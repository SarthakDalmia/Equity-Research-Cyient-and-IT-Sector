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51196F13-6AD0-C1B8-E2B4-A1F9AE17003E}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kitt5\Downloads\"/>
    </mc:Choice>
  </mc:AlternateContent>
  <x:bookViews>
    <x:workbookView xWindow="0" yWindow="0" windowWidth="38400" windowHeight="17745" activeTab="0"/>
  </x:bookViews>
  <x:sheets>
    <x:sheet name="Deep Estimates - Source" sheetId="2" r:id="rId1"/>
    <x:sheet name="Deep Estimates - Period" sheetId="3" r:id="rId2"/>
    <x:sheet name="$MODL_Data_Sheet" sheetId="4" r:id="Rfad02547f1204988"/>
  </x:sheets>
  <x:functionGroups builtInGroupCount="18"/>
  <x:externalReferences>
    <x:externalReference r:id="rId3"/>
  </x:externalReferences>
  <x:definedNames>
    <x:definedName name="BB_DEEP_BROKER_NAME">OFFSET('Deep Estimates - Source'!$E$19,1,0,COUNTA('Deep Estimates - Source'!$E$20:$E$295),2)</x:definedName>
    <x:definedName name="BB_DEEP_EST_BROKER">'Deep Estimates - Source'!$H$19</x:definedName>
    <x:definedName name="BB_DEEP_EST_PERIOD">'Deep Estimates - Period'!$H$23</x:definedName>
    <x:definedName name="BB_TICKER_PERIOD">'Deep Estimates - Period'!$H$14</x:definedName>
    <x:definedName name="BB_TICKER_SOURCE">'Deep Estimates - Source'!$H$15</x:definedName>
    <x:definedName name="BLPH1" localSheetId="1" hidden="1">'[1]Template (XFA)'!#REF!</x:definedName>
    <x:definedName name="BLPH1" hidden="1">'[1]Template (XFA)'!#REF!</x:definedName>
    <x:definedName name="BLPH2" localSheetId="1" hidden="1">#REF!</x:definedName>
    <x:definedName name="BLPH2" hidden="1">#REF!</x:definedName>
    <x:definedName name="BLPH3" localSheetId="1" hidden="1">#REF!</x:definedName>
    <x:definedName name="BLPH3" hidden="1">#REF!</x:definedName>
    <x:definedName name="TICKER">#REF!</x:definedName>
    <x:definedName name="x" localSheetId="1" hidden="1">'[1]Template (XFA)'!#REF!</x:definedName>
    <x:definedName name="x" hidden="1">'[1]Template (XFA)'!#REF!</x:definedName>
    <x:definedName name="xx" localSheetId="1" hidden="1">#REF!</x:definedName>
    <x:definedName name="xx" hidden="1">#REF!</x:definedName>
    <x:definedName name="xxxx" localSheetId="1" hidden="1">#REF!</x:definedName>
    <x:definedName name="xxxx" hidden="1">#REF!</x:definedName>
    <x:definedName name="xxxxx" localSheetId="1" hidden="1">'[1]Template (XFA)'!#REF!</x:definedName>
    <x:definedName name="xxxxx" hidden="1">'[1]Template (XFA)'!#REF!</x:definedName>
    <x:definedName name="yy" localSheetId="1" hidden="1">#REF!</x:definedName>
    <x:definedName name="yy" hidden="1">#REF!</x:definedName>
    <x:definedName name="zzz" localSheetId="1" hidden="1">#REF!</x:definedName>
    <x:definedName name="zzz" hidden="1">#REF!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BZ300" i="3" l="1"/>
  <c r="BY300" i="3"/>
  <c r="BX300" i="3"/>
  <c r="BW300" i="3"/>
  <c r="BV300" i="3"/>
  <c r="BU300" i="3"/>
  <c r="BT300" i="3"/>
  <c r="BS300" i="3"/>
  <c r="BR300" i="3"/>
  <c r="BQ300" i="3"/>
  <c r="BP300" i="3"/>
  <c r="BO300" i="3"/>
  <c r="BN300" i="3"/>
  <c r="BM300" i="3"/>
  <c r="BL300" i="3"/>
  <c r="BK300" i="3"/>
  <c r="BJ300" i="3"/>
  <c r="BI300" i="3"/>
  <c r="BH300" i="3"/>
  <c r="BG300" i="3"/>
  <c r="BF300" i="3"/>
  <c r="BE300" i="3"/>
  <c r="BD300" i="3"/>
  <c r="BC300" i="3"/>
  <c r="BB300" i="3"/>
  <c r="BA300" i="3"/>
  <c r="AZ300" i="3"/>
  <c r="AY300" i="3"/>
  <c r="AX300" i="3"/>
  <c r="AW300" i="3"/>
  <c r="AV300" i="3"/>
  <c r="AU300" i="3"/>
  <c r="AT300" i="3"/>
  <c r="AS300" i="3"/>
  <c r="AR300" i="3"/>
  <c r="AQ300" i="3"/>
  <c r="AP300" i="3"/>
  <c r="AO300" i="3"/>
  <c r="AN300" i="3"/>
  <c r="AM300" i="3"/>
  <c r="AL300" i="3"/>
  <c r="AK300" i="3"/>
  <c r="AJ300" i="3"/>
  <c r="AI300" i="3"/>
  <c r="AH300" i="3"/>
  <c r="AG300" i="3"/>
  <c r="AF300" i="3"/>
  <c r="AE300" i="3"/>
  <c r="AD300" i="3"/>
  <c r="AC300" i="3"/>
  <c r="AB300" i="3"/>
  <c r="AA300" i="3"/>
  <c r="Z300" i="3"/>
  <c r="Y300" i="3"/>
  <c r="X300" i="3"/>
  <c r="W300" i="3"/>
  <c r="V300" i="3"/>
  <c r="U300" i="3"/>
  <c r="T300" i="3"/>
  <c r="S300" i="3"/>
  <c r="R300" i="3"/>
  <c r="Q300" i="3"/>
  <c r="P300" i="3"/>
  <c r="O300" i="3"/>
  <c r="N300" i="3"/>
  <c r="M300" i="3"/>
  <c r="L300" i="3"/>
  <c r="K300" i="3"/>
  <c r="I300" i="3"/>
  <c r="H300" i="3"/>
  <c r="BZ299" i="3"/>
  <c r="BY299" i="3"/>
  <c r="BX299" i="3"/>
  <c r="BW299" i="3"/>
  <c r="BV299" i="3"/>
  <c r="BU299" i="3"/>
  <c r="BT299" i="3"/>
  <c r="BS299" i="3"/>
  <c r="BR299" i="3"/>
  <c r="BQ299" i="3"/>
  <c r="BP299" i="3"/>
  <c r="BO299" i="3"/>
  <c r="BN299" i="3"/>
  <c r="BM299" i="3"/>
  <c r="BL299" i="3"/>
  <c r="BK299" i="3"/>
  <c r="BJ299" i="3"/>
  <c r="BI299" i="3"/>
  <c r="BH299" i="3"/>
  <c r="BG299" i="3"/>
  <c r="BF299" i="3"/>
  <c r="BE299" i="3"/>
  <c r="BD299" i="3"/>
  <c r="BC299" i="3"/>
  <c r="BB299" i="3"/>
  <c r="BA299" i="3"/>
  <c r="AZ299" i="3"/>
  <c r="AY299" i="3"/>
  <c r="AX299" i="3"/>
  <c r="AW299" i="3"/>
  <c r="AV299" i="3"/>
  <c r="AU299" i="3"/>
  <c r="AT299" i="3"/>
  <c r="AS299" i="3"/>
  <c r="AR299" i="3"/>
  <c r="AQ299" i="3"/>
  <c r="AP299" i="3"/>
  <c r="AO299" i="3"/>
  <c r="AN299" i="3"/>
  <c r="AM299" i="3"/>
  <c r="AL299" i="3"/>
  <c r="AK299" i="3"/>
  <c r="AJ299" i="3"/>
  <c r="AI299" i="3"/>
  <c r="AH299" i="3"/>
  <c r="AG299" i="3"/>
  <c r="AF299" i="3"/>
  <c r="AE299" i="3"/>
  <c r="AD299" i="3"/>
  <c r="AC299" i="3"/>
  <c r="AB299" i="3"/>
  <c r="AA299" i="3"/>
  <c r="Z299" i="3"/>
  <c r="Y299" i="3"/>
  <c r="X299" i="3"/>
  <c r="W299" i="3"/>
  <c r="V299" i="3"/>
  <c r="U299" i="3"/>
  <c r="T299" i="3"/>
  <c r="S299" i="3"/>
  <c r="R299" i="3"/>
  <c r="Q299" i="3"/>
  <c r="P299" i="3"/>
  <c r="O299" i="3"/>
  <c r="N299" i="3"/>
  <c r="M299" i="3"/>
  <c r="L299" i="3"/>
  <c r="K299" i="3"/>
  <c r="I299" i="3"/>
  <c r="H299" i="3"/>
  <c r="BZ298" i="3"/>
  <c r="BY298" i="3"/>
  <c r="BX298" i="3"/>
  <c r="BW298" i="3"/>
  <c r="BV298" i="3"/>
  <c r="BU298" i="3"/>
  <c r="BT298" i="3"/>
  <c r="BS298" i="3"/>
  <c r="BR298" i="3"/>
  <c r="BQ298" i="3"/>
  <c r="BP298" i="3"/>
  <c r="BO298" i="3"/>
  <c r="BN298" i="3"/>
  <c r="BM298" i="3"/>
  <c r="BL298" i="3"/>
  <c r="BK298" i="3"/>
  <c r="BJ298" i="3"/>
  <c r="BI298" i="3"/>
  <c r="BH298" i="3"/>
  <c r="BG298" i="3"/>
  <c r="BF298" i="3"/>
  <c r="BE298" i="3"/>
  <c r="BD298" i="3"/>
  <c r="BC298" i="3"/>
  <c r="BB298" i="3"/>
  <c r="BA298" i="3"/>
  <c r="AZ298" i="3"/>
  <c r="AY298" i="3"/>
  <c r="AX298" i="3"/>
  <c r="AW298" i="3"/>
  <c r="AV298" i="3"/>
  <c r="AU298" i="3"/>
  <c r="AT298" i="3"/>
  <c r="AS298" i="3"/>
  <c r="AR298" i="3"/>
  <c r="AQ298" i="3"/>
  <c r="AP298" i="3"/>
  <c r="AO298" i="3"/>
  <c r="AN298" i="3"/>
  <c r="AM298" i="3"/>
  <c r="AL298" i="3"/>
  <c r="AK298" i="3"/>
  <c r="AJ298" i="3"/>
  <c r="AI298" i="3"/>
  <c r="AH298" i="3"/>
  <c r="AG298" i="3"/>
  <c r="AF298" i="3"/>
  <c r="AE298" i="3"/>
  <c r="AD298" i="3"/>
  <c r="AC298" i="3"/>
  <c r="AB298" i="3"/>
  <c r="AA298" i="3"/>
  <c r="Z298" i="3"/>
  <c r="Y298" i="3"/>
  <c r="X298" i="3"/>
  <c r="W298" i="3"/>
  <c r="V298" i="3"/>
  <c r="U298" i="3"/>
  <c r="T298" i="3"/>
  <c r="S298" i="3"/>
  <c r="R298" i="3"/>
  <c r="Q298" i="3"/>
  <c r="P298" i="3"/>
  <c r="O298" i="3"/>
  <c r="N298" i="3"/>
  <c r="M298" i="3"/>
  <c r="L298" i="3"/>
  <c r="K298" i="3"/>
  <c r="I298" i="3"/>
  <c r="H298" i="3"/>
  <c r="BZ297" i="3"/>
  <c r="BY297" i="3"/>
  <c r="BX297" i="3"/>
  <c r="BW297" i="3"/>
  <c r="BV297" i="3"/>
  <c r="BU297" i="3"/>
  <c r="BT297" i="3"/>
  <c r="BS297" i="3"/>
  <c r="BR297" i="3"/>
  <c r="BQ297" i="3"/>
  <c r="BP297" i="3"/>
  <c r="BO297" i="3"/>
  <c r="BN297" i="3"/>
  <c r="BM297" i="3"/>
  <c r="BL297" i="3"/>
  <c r="BK297" i="3"/>
  <c r="BJ297" i="3"/>
  <c r="BI297" i="3"/>
  <c r="BH297" i="3"/>
  <c r="BG297" i="3"/>
  <c r="BF297" i="3"/>
  <c r="BE297" i="3"/>
  <c r="BD297" i="3"/>
  <c r="BC297" i="3"/>
  <c r="BB297" i="3"/>
  <c r="BA297" i="3"/>
  <c r="AZ297" i="3"/>
  <c r="AY297" i="3"/>
  <c r="AX297" i="3"/>
  <c r="AW297" i="3"/>
  <c r="AV297" i="3"/>
  <c r="AU297" i="3"/>
  <c r="AT297" i="3"/>
  <c r="AS297" i="3"/>
  <c r="AR297" i="3"/>
  <c r="AQ297" i="3"/>
  <c r="AP297" i="3"/>
  <c r="AO297" i="3"/>
  <c r="AN297" i="3"/>
  <c r="AM297" i="3"/>
  <c r="AL297" i="3"/>
  <c r="AK297" i="3"/>
  <c r="AJ297" i="3"/>
  <c r="AI297" i="3"/>
  <c r="AH297" i="3"/>
  <c r="AG297" i="3"/>
  <c r="AF297" i="3"/>
  <c r="AE297" i="3"/>
  <c r="AD297" i="3"/>
  <c r="AC297" i="3"/>
  <c r="AB297" i="3"/>
  <c r="AA297" i="3"/>
  <c r="Z297" i="3"/>
  <c r="Y297" i="3"/>
  <c r="X297" i="3"/>
  <c r="W297" i="3"/>
  <c r="V297" i="3"/>
  <c r="U297" i="3"/>
  <c r="T297" i="3"/>
  <c r="S297" i="3"/>
  <c r="R297" i="3"/>
  <c r="Q297" i="3"/>
  <c r="P297" i="3"/>
  <c r="O297" i="3"/>
  <c r="N297" i="3"/>
  <c r="M297" i="3"/>
  <c r="L297" i="3"/>
  <c r="K297" i="3"/>
  <c r="I297" i="3"/>
  <c r="H297" i="3"/>
  <c r="BZ296" i="3"/>
  <c r="BY296" i="3"/>
  <c r="BX296" i="3"/>
  <c r="BW296" i="3"/>
  <c r="BV296" i="3"/>
  <c r="BU296" i="3"/>
  <c r="BT296" i="3"/>
  <c r="BS296" i="3"/>
  <c r="BR296" i="3"/>
  <c r="BQ296" i="3"/>
  <c r="BP296" i="3"/>
  <c r="BO296" i="3"/>
  <c r="BN296" i="3"/>
  <c r="BM296" i="3"/>
  <c r="BL296" i="3"/>
  <c r="BK296" i="3"/>
  <c r="BJ296" i="3"/>
  <c r="BI296" i="3"/>
  <c r="BH296" i="3"/>
  <c r="BG296" i="3"/>
  <c r="BF296" i="3"/>
  <c r="BE296" i="3"/>
  <c r="BD296" i="3"/>
  <c r="BC296" i="3"/>
  <c r="BB296" i="3"/>
  <c r="BA296" i="3"/>
  <c r="AZ296" i="3"/>
  <c r="AY296" i="3"/>
  <c r="AX296" i="3"/>
  <c r="AW296" i="3"/>
  <c r="AV296" i="3"/>
  <c r="AU296" i="3"/>
  <c r="AT296" i="3"/>
  <c r="AS296" i="3"/>
  <c r="AR296" i="3"/>
  <c r="AQ296" i="3"/>
  <c r="AP296" i="3"/>
  <c r="AO296" i="3"/>
  <c r="AN296" i="3"/>
  <c r="AM296" i="3"/>
  <c r="AL296" i="3"/>
  <c r="AK296" i="3"/>
  <c r="AJ296" i="3"/>
  <c r="AI296" i="3"/>
  <c r="AH296" i="3"/>
  <c r="AG296" i="3"/>
  <c r="AF296" i="3"/>
  <c r="AE296" i="3"/>
  <c r="AD296" i="3"/>
  <c r="AC296" i="3"/>
  <c r="AB296" i="3"/>
  <c r="AA296" i="3"/>
  <c r="Z296" i="3"/>
  <c r="Y296" i="3"/>
  <c r="X296" i="3"/>
  <c r="W296" i="3"/>
  <c r="V296" i="3"/>
  <c r="U296" i="3"/>
  <c r="T296" i="3"/>
  <c r="S296" i="3"/>
  <c r="R296" i="3"/>
  <c r="Q296" i="3"/>
  <c r="P296" i="3"/>
  <c r="O296" i="3"/>
  <c r="N296" i="3"/>
  <c r="M296" i="3"/>
  <c r="L296" i="3"/>
  <c r="K296" i="3"/>
  <c r="I296" i="3"/>
  <c r="H296" i="3"/>
  <c r="BZ295" i="3"/>
  <c r="BY295" i="3"/>
  <c r="BX295" i="3"/>
  <c r="BW295" i="3"/>
  <c r="BV295" i="3"/>
  <c r="BU295" i="3"/>
  <c r="BT295" i="3"/>
  <c r="BS295" i="3"/>
  <c r="BR295" i="3"/>
  <c r="BQ295" i="3"/>
  <c r="BP295" i="3"/>
  <c r="BO295" i="3"/>
  <c r="BN295" i="3"/>
  <c r="BM295" i="3"/>
  <c r="BL295" i="3"/>
  <c r="BK295" i="3"/>
  <c r="BJ295" i="3"/>
  <c r="BI295" i="3"/>
  <c r="BH295" i="3"/>
  <c r="BG295" i="3"/>
  <c r="BF295" i="3"/>
  <c r="BE295" i="3"/>
  <c r="BD295" i="3"/>
  <c r="BC295" i="3"/>
  <c r="BB295" i="3"/>
  <c r="BA295" i="3"/>
  <c r="AZ295" i="3"/>
  <c r="AY295" i="3"/>
  <c r="AX295" i="3"/>
  <c r="AW295" i="3"/>
  <c r="AV295" i="3"/>
  <c r="AU295" i="3"/>
  <c r="AT295" i="3"/>
  <c r="AS295" i="3"/>
  <c r="AR295" i="3"/>
  <c r="AQ295" i="3"/>
  <c r="AP295" i="3"/>
  <c r="AO295" i="3"/>
  <c r="AN295" i="3"/>
  <c r="AM295" i="3"/>
  <c r="AL295" i="3"/>
  <c r="AK295" i="3"/>
  <c r="AJ295" i="3"/>
  <c r="AI295" i="3"/>
  <c r="AH295" i="3"/>
  <c r="AG295" i="3"/>
  <c r="AF295" i="3"/>
  <c r="AE295" i="3"/>
  <c r="AD295" i="3"/>
  <c r="AC295" i="3"/>
  <c r="AB295" i="3"/>
  <c r="AA295" i="3"/>
  <c r="Z295" i="3"/>
  <c r="Y295" i="3"/>
  <c r="X295" i="3"/>
  <c r="W295" i="3"/>
  <c r="V295" i="3"/>
  <c r="U295" i="3"/>
  <c r="T295" i="3"/>
  <c r="S295" i="3"/>
  <c r="R295" i="3"/>
  <c r="Q295" i="3"/>
  <c r="P295" i="3"/>
  <c r="O295" i="3"/>
  <c r="N295" i="3"/>
  <c r="M295" i="3"/>
  <c r="L295" i="3"/>
  <c r="K295" i="3"/>
  <c r="I295" i="3"/>
  <c r="H295" i="3"/>
  <c r="BZ294" i="3"/>
  <c r="BY294" i="3"/>
  <c r="BX294" i="3"/>
  <c r="BW294" i="3"/>
  <c r="BV294" i="3"/>
  <c r="BU294" i="3"/>
  <c r="BT294" i="3"/>
  <c r="BS294" i="3"/>
  <c r="BR294" i="3"/>
  <c r="BQ294" i="3"/>
  <c r="BP294" i="3"/>
  <c r="BO294" i="3"/>
  <c r="BN294" i="3"/>
  <c r="BM294" i="3"/>
  <c r="BL294" i="3"/>
  <c r="BK294" i="3"/>
  <c r="BJ294" i="3"/>
  <c r="BI294" i="3"/>
  <c r="BH294" i="3"/>
  <c r="BG294" i="3"/>
  <c r="BF294" i="3"/>
  <c r="BE294" i="3"/>
  <c r="BD294" i="3"/>
  <c r="BC294" i="3"/>
  <c r="BB294" i="3"/>
  <c r="BA294" i="3"/>
  <c r="AZ294" i="3"/>
  <c r="AY294" i="3"/>
  <c r="AX294" i="3"/>
  <c r="AW294" i="3"/>
  <c r="AV294" i="3"/>
  <c r="AU294" i="3"/>
  <c r="AT294" i="3"/>
  <c r="AS294" i="3"/>
  <c r="AR294" i="3"/>
  <c r="AQ294" i="3"/>
  <c r="AP294" i="3"/>
  <c r="AO294" i="3"/>
  <c r="AN294" i="3"/>
  <c r="AM294" i="3"/>
  <c r="AL294" i="3"/>
  <c r="AK294" i="3"/>
  <c r="AJ294" i="3"/>
  <c r="AI294" i="3"/>
  <c r="AH294" i="3"/>
  <c r="AG294" i="3"/>
  <c r="AF294" i="3"/>
  <c r="AE294" i="3"/>
  <c r="AD294" i="3"/>
  <c r="AC294" i="3"/>
  <c r="AB294" i="3"/>
  <c r="AA294" i="3"/>
  <c r="Z294" i="3"/>
  <c r="Y294" i="3"/>
  <c r="X294" i="3"/>
  <c r="W294" i="3"/>
  <c r="V294" i="3"/>
  <c r="U294" i="3"/>
  <c r="T294" i="3"/>
  <c r="S294" i="3"/>
  <c r="R294" i="3"/>
  <c r="Q294" i="3"/>
  <c r="P294" i="3"/>
  <c r="O294" i="3"/>
  <c r="N294" i="3"/>
  <c r="M294" i="3"/>
  <c r="L294" i="3"/>
  <c r="K294" i="3"/>
  <c r="I294" i="3"/>
  <c r="H294" i="3"/>
  <c r="BZ293" i="3"/>
  <c r="BY293" i="3"/>
  <c r="BX293" i="3"/>
  <c r="BW293" i="3"/>
  <c r="BV293" i="3"/>
  <c r="BU293" i="3"/>
  <c r="BT293" i="3"/>
  <c r="BS293" i="3"/>
  <c r="BR293" i="3"/>
  <c r="BQ293" i="3"/>
  <c r="BP293" i="3"/>
  <c r="BO293" i="3"/>
  <c r="BN293" i="3"/>
  <c r="BM293" i="3"/>
  <c r="BL293" i="3"/>
  <c r="BK293" i="3"/>
  <c r="BJ293" i="3"/>
  <c r="BI293" i="3"/>
  <c r="BH293" i="3"/>
  <c r="BG293" i="3"/>
  <c r="BF293" i="3"/>
  <c r="BE293" i="3"/>
  <c r="BD293" i="3"/>
  <c r="BC293" i="3"/>
  <c r="BB293" i="3"/>
  <c r="BA293" i="3"/>
  <c r="AZ293" i="3"/>
  <c r="AY293" i="3"/>
  <c r="AX293" i="3"/>
  <c r="AW293" i="3"/>
  <c r="AV293" i="3"/>
  <c r="AU293" i="3"/>
  <c r="AT293" i="3"/>
  <c r="AS293" i="3"/>
  <c r="AR293" i="3"/>
  <c r="AQ293" i="3"/>
  <c r="AP293" i="3"/>
  <c r="AO293" i="3"/>
  <c r="AN293" i="3"/>
  <c r="AM293" i="3"/>
  <c r="AL293" i="3"/>
  <c r="AK293" i="3"/>
  <c r="AJ293" i="3"/>
  <c r="AI293" i="3"/>
  <c r="AH293" i="3"/>
  <c r="AG293" i="3"/>
  <c r="AF293" i="3"/>
  <c r="AE293" i="3"/>
  <c r="AD293" i="3"/>
  <c r="AC293" i="3"/>
  <c r="AB293" i="3"/>
  <c r="AA293" i="3"/>
  <c r="Z293" i="3"/>
  <c r="Y293" i="3"/>
  <c r="X293" i="3"/>
  <c r="W293" i="3"/>
  <c r="V293" i="3"/>
  <c r="U293" i="3"/>
  <c r="T293" i="3"/>
  <c r="S293" i="3"/>
  <c r="R293" i="3"/>
  <c r="Q293" i="3"/>
  <c r="P293" i="3"/>
  <c r="O293" i="3"/>
  <c r="N293" i="3"/>
  <c r="M293" i="3"/>
  <c r="L293" i="3"/>
  <c r="K293" i="3"/>
  <c r="I293" i="3"/>
  <c r="H293" i="3"/>
  <c r="BZ292" i="3"/>
  <c r="BY292" i="3"/>
  <c r="BX292" i="3"/>
  <c r="BW292" i="3"/>
  <c r="BV292" i="3"/>
  <c r="BU292" i="3"/>
  <c r="BT292" i="3"/>
  <c r="BS292" i="3"/>
  <c r="BR292" i="3"/>
  <c r="BQ292" i="3"/>
  <c r="BP292" i="3"/>
  <c r="BO292" i="3"/>
  <c r="BN292" i="3"/>
  <c r="BM292" i="3"/>
  <c r="BL292" i="3"/>
  <c r="BK292" i="3"/>
  <c r="BJ292" i="3"/>
  <c r="BI292" i="3"/>
  <c r="BH292" i="3"/>
  <c r="BG292" i="3"/>
  <c r="BF292" i="3"/>
  <c r="BE292" i="3"/>
  <c r="BD292" i="3"/>
  <c r="BC292" i="3"/>
  <c r="BB292" i="3"/>
  <c r="BA292" i="3"/>
  <c r="AZ292" i="3"/>
  <c r="AY292" i="3"/>
  <c r="AX292" i="3"/>
  <c r="AW292" i="3"/>
  <c r="AV292" i="3"/>
  <c r="AU292" i="3"/>
  <c r="AT292" i="3"/>
  <c r="AS292" i="3"/>
  <c r="AR292" i="3"/>
  <c r="AQ292" i="3"/>
  <c r="AP292" i="3"/>
  <c r="AO292" i="3"/>
  <c r="AN292" i="3"/>
  <c r="AM292" i="3"/>
  <c r="AL292" i="3"/>
  <c r="AK292" i="3"/>
  <c r="AJ292" i="3"/>
  <c r="AI292" i="3"/>
  <c r="AH292" i="3"/>
  <c r="AG292" i="3"/>
  <c r="AF292" i="3"/>
  <c r="AE292" i="3"/>
  <c r="AD292" i="3"/>
  <c r="AC292" i="3"/>
  <c r="AB292" i="3"/>
  <c r="AA292" i="3"/>
  <c r="Z292" i="3"/>
  <c r="Y292" i="3"/>
  <c r="X292" i="3"/>
  <c r="W292" i="3"/>
  <c r="V292" i="3"/>
  <c r="U292" i="3"/>
  <c r="T292" i="3"/>
  <c r="S292" i="3"/>
  <c r="R292" i="3"/>
  <c r="Q292" i="3"/>
  <c r="P292" i="3"/>
  <c r="O292" i="3"/>
  <c r="N292" i="3"/>
  <c r="M292" i="3"/>
  <c r="L292" i="3"/>
  <c r="K292" i="3"/>
  <c r="I292" i="3"/>
  <c r="H292" i="3"/>
  <c r="BZ291" i="3"/>
  <c r="BY291" i="3"/>
  <c r="BX291" i="3"/>
  <c r="BW291" i="3"/>
  <c r="BV291" i="3"/>
  <c r="BU291" i="3"/>
  <c r="BT291" i="3"/>
  <c r="BS291" i="3"/>
  <c r="BR291" i="3"/>
  <c r="BQ291" i="3"/>
  <c r="BP291" i="3"/>
  <c r="BO291" i="3"/>
  <c r="BN291" i="3"/>
  <c r="BM291" i="3"/>
  <c r="BL291" i="3"/>
  <c r="BK291" i="3"/>
  <c r="BJ291" i="3"/>
  <c r="BI291" i="3"/>
  <c r="BH291" i="3"/>
  <c r="BG291" i="3"/>
  <c r="BF291" i="3"/>
  <c r="BE291" i="3"/>
  <c r="BD291" i="3"/>
  <c r="BC291" i="3"/>
  <c r="BB291" i="3"/>
  <c r="BA291" i="3"/>
  <c r="AZ291" i="3"/>
  <c r="AY291" i="3"/>
  <c r="AX291" i="3"/>
  <c r="AW291" i="3"/>
  <c r="AV291" i="3"/>
  <c r="AU291" i="3"/>
  <c r="AT291" i="3"/>
  <c r="AS291" i="3"/>
  <c r="AR291" i="3"/>
  <c r="AQ291" i="3"/>
  <c r="AP291" i="3"/>
  <c r="AO291" i="3"/>
  <c r="AN291" i="3"/>
  <c r="AM291" i="3"/>
  <c r="AL291" i="3"/>
  <c r="AK291" i="3"/>
  <c r="AJ291" i="3"/>
  <c r="AI291" i="3"/>
  <c r="AH291" i="3"/>
  <c r="AG291" i="3"/>
  <c r="AF291" i="3"/>
  <c r="AE291" i="3"/>
  <c r="AD291" i="3"/>
  <c r="AC291" i="3"/>
  <c r="AB291" i="3"/>
  <c r="AA291" i="3"/>
  <c r="Z291" i="3"/>
  <c r="Y291" i="3"/>
  <c r="X291" i="3"/>
  <c r="W291" i="3"/>
  <c r="V291" i="3"/>
  <c r="U291" i="3"/>
  <c r="T291" i="3"/>
  <c r="S291" i="3"/>
  <c r="R291" i="3"/>
  <c r="Q291" i="3"/>
  <c r="P291" i="3"/>
  <c r="O291" i="3"/>
  <c r="N291" i="3"/>
  <c r="M291" i="3"/>
  <c r="L291" i="3"/>
  <c r="K291" i="3"/>
  <c r="I291" i="3"/>
  <c r="H291" i="3"/>
  <c r="BZ290" i="3"/>
  <c r="BY290" i="3"/>
  <c r="BX290" i="3"/>
  <c r="BW290" i="3"/>
  <c r="BV290" i="3"/>
  <c r="BU290" i="3"/>
  <c r="BT290" i="3"/>
  <c r="BS290" i="3"/>
  <c r="BR290" i="3"/>
  <c r="BQ290" i="3"/>
  <c r="BP290" i="3"/>
  <c r="BO290" i="3"/>
  <c r="BN290" i="3"/>
  <c r="BM290" i="3"/>
  <c r="BL290" i="3"/>
  <c r="BK290" i="3"/>
  <c r="BJ290" i="3"/>
  <c r="BI290" i="3"/>
  <c r="BH290" i="3"/>
  <c r="BG290" i="3"/>
  <c r="BF290" i="3"/>
  <c r="BE290" i="3"/>
  <c r="BD290" i="3"/>
  <c r="BC290" i="3"/>
  <c r="BB290" i="3"/>
  <c r="BA290" i="3"/>
  <c r="AZ290" i="3"/>
  <c r="AY290" i="3"/>
  <c r="AX290" i="3"/>
  <c r="AW290" i="3"/>
  <c r="AV290" i="3"/>
  <c r="AU290" i="3"/>
  <c r="AT290" i="3"/>
  <c r="AS290" i="3"/>
  <c r="AR290" i="3"/>
  <c r="AQ290" i="3"/>
  <c r="AP290" i="3"/>
  <c r="AO290" i="3"/>
  <c r="AN290" i="3"/>
  <c r="AM290" i="3"/>
  <c r="AL290" i="3"/>
  <c r="AK290" i="3"/>
  <c r="AJ290" i="3"/>
  <c r="AI290" i="3"/>
  <c r="AH290" i="3"/>
  <c r="AG290" i="3"/>
  <c r="AF290" i="3"/>
  <c r="AE290" i="3"/>
  <c r="AD290" i="3"/>
  <c r="AC290" i="3"/>
  <c r="AB290" i="3"/>
  <c r="AA290" i="3"/>
  <c r="Z290" i="3"/>
  <c r="Y290" i="3"/>
  <c r="X290" i="3"/>
  <c r="W290" i="3"/>
  <c r="V290" i="3"/>
  <c r="U290" i="3"/>
  <c r="T290" i="3"/>
  <c r="S290" i="3"/>
  <c r="R290" i="3"/>
  <c r="Q290" i="3"/>
  <c r="P290" i="3"/>
  <c r="O290" i="3"/>
  <c r="N290" i="3"/>
  <c r="M290" i="3"/>
  <c r="L290" i="3"/>
  <c r="K290" i="3"/>
  <c r="I290" i="3"/>
  <c r="H290" i="3"/>
  <c r="BZ289" i="3"/>
  <c r="BY289" i="3"/>
  <c r="BX289" i="3"/>
  <c r="BW289" i="3"/>
  <c r="BV289" i="3"/>
  <c r="BU289" i="3"/>
  <c r="BT289" i="3"/>
  <c r="BS289" i="3"/>
  <c r="BR289" i="3"/>
  <c r="BQ289" i="3"/>
  <c r="BP289" i="3"/>
  <c r="BO289" i="3"/>
  <c r="BN289" i="3"/>
  <c r="BM289" i="3"/>
  <c r="BL289" i="3"/>
  <c r="BK289" i="3"/>
  <c r="BJ289" i="3"/>
  <c r="BI289" i="3"/>
  <c r="BH289" i="3"/>
  <c r="BG289" i="3"/>
  <c r="BF289" i="3"/>
  <c r="BE289" i="3"/>
  <c r="BD289" i="3"/>
  <c r="BC289" i="3"/>
  <c r="BB289" i="3"/>
  <c r="BA289" i="3"/>
  <c r="AZ289" i="3"/>
  <c r="AY289" i="3"/>
  <c r="AX289" i="3"/>
  <c r="AW289" i="3"/>
  <c r="AV289" i="3"/>
  <c r="AU289" i="3"/>
  <c r="AT289" i="3"/>
  <c r="AS289" i="3"/>
  <c r="AR289" i="3"/>
  <c r="AQ289" i="3"/>
  <c r="AP289" i="3"/>
  <c r="AO289" i="3"/>
  <c r="AN289" i="3"/>
  <c r="AM289" i="3"/>
  <c r="AL289" i="3"/>
  <c r="AK289" i="3"/>
  <c r="AJ289" i="3"/>
  <c r="AI289" i="3"/>
  <c r="AH289" i="3"/>
  <c r="AG289" i="3"/>
  <c r="AF289" i="3"/>
  <c r="AE289" i="3"/>
  <c r="AD289" i="3"/>
  <c r="AC289" i="3"/>
  <c r="AB289" i="3"/>
  <c r="AA289" i="3"/>
  <c r="Z289" i="3"/>
  <c r="Y289" i="3"/>
  <c r="X289" i="3"/>
  <c r="W289" i="3"/>
  <c r="V289" i="3"/>
  <c r="U289" i="3"/>
  <c r="T289" i="3"/>
  <c r="S289" i="3"/>
  <c r="R289" i="3"/>
  <c r="Q289" i="3"/>
  <c r="P289" i="3"/>
  <c r="O289" i="3"/>
  <c r="N289" i="3"/>
  <c r="M289" i="3"/>
  <c r="L289" i="3"/>
  <c r="K289" i="3"/>
  <c r="I289" i="3"/>
  <c r="H289" i="3"/>
  <c r="BZ288" i="3"/>
  <c r="BY288" i="3"/>
  <c r="BX288" i="3"/>
  <c r="BW288" i="3"/>
  <c r="BV288" i="3"/>
  <c r="BU288" i="3"/>
  <c r="BT288" i="3"/>
  <c r="BS288" i="3"/>
  <c r="BR288" i="3"/>
  <c r="BQ288" i="3"/>
  <c r="BP288" i="3"/>
  <c r="BO288" i="3"/>
  <c r="BN288" i="3"/>
  <c r="BM288" i="3"/>
  <c r="BL288" i="3"/>
  <c r="BK288" i="3"/>
  <c r="BJ288" i="3"/>
  <c r="BI288" i="3"/>
  <c r="BH288" i="3"/>
  <c r="BG288" i="3"/>
  <c r="BF288" i="3"/>
  <c r="BE288" i="3"/>
  <c r="BD288" i="3"/>
  <c r="BC288" i="3"/>
  <c r="BB288" i="3"/>
  <c r="BA288" i="3"/>
  <c r="AZ288" i="3"/>
  <c r="AY288" i="3"/>
  <c r="AX288" i="3"/>
  <c r="AW288" i="3"/>
  <c r="AV288" i="3"/>
  <c r="AU288" i="3"/>
  <c r="AT288" i="3"/>
  <c r="AS288" i="3"/>
  <c r="AR288" i="3"/>
  <c r="AQ288" i="3"/>
  <c r="AP288" i="3"/>
  <c r="AO288" i="3"/>
  <c r="AN288" i="3"/>
  <c r="AM288" i="3"/>
  <c r="AL288" i="3"/>
  <c r="AK288" i="3"/>
  <c r="AJ288" i="3"/>
  <c r="AI288" i="3"/>
  <c r="AH288" i="3"/>
  <c r="AG288" i="3"/>
  <c r="AF288" i="3"/>
  <c r="AE288" i="3"/>
  <c r="AD288" i="3"/>
  <c r="AC288" i="3"/>
  <c r="AB288" i="3"/>
  <c r="AA288" i="3"/>
  <c r="Z288" i="3"/>
  <c r="Y288" i="3"/>
  <c r="X288" i="3"/>
  <c r="W288" i="3"/>
  <c r="V288" i="3"/>
  <c r="U288" i="3"/>
  <c r="T288" i="3"/>
  <c r="S288" i="3"/>
  <c r="R288" i="3"/>
  <c r="Q288" i="3"/>
  <c r="P288" i="3"/>
  <c r="O288" i="3"/>
  <c r="N288" i="3"/>
  <c r="M288" i="3"/>
  <c r="L288" i="3"/>
  <c r="K288" i="3"/>
  <c r="I288" i="3"/>
  <c r="H288" i="3"/>
  <c r="BZ287" i="3"/>
  <c r="BY287" i="3"/>
  <c r="BX287" i="3"/>
  <c r="BW287" i="3"/>
  <c r="BV287" i="3"/>
  <c r="BU287" i="3"/>
  <c r="BT287" i="3"/>
  <c r="BS287" i="3"/>
  <c r="BR287" i="3"/>
  <c r="BQ287" i="3"/>
  <c r="BP287" i="3"/>
  <c r="BO287" i="3"/>
  <c r="BN287" i="3"/>
  <c r="BM287" i="3"/>
  <c r="BL287" i="3"/>
  <c r="BK287" i="3"/>
  <c r="BJ287" i="3"/>
  <c r="BI287" i="3"/>
  <c r="BH287" i="3"/>
  <c r="BG287" i="3"/>
  <c r="BF287" i="3"/>
  <c r="BE287" i="3"/>
  <c r="BD287" i="3"/>
  <c r="BC287" i="3"/>
  <c r="BB287" i="3"/>
  <c r="BA287" i="3"/>
  <c r="AZ287" i="3"/>
  <c r="AY287" i="3"/>
  <c r="AX287" i="3"/>
  <c r="AW287" i="3"/>
  <c r="AV287" i="3"/>
  <c r="AU287" i="3"/>
  <c r="AT287" i="3"/>
  <c r="AS287" i="3"/>
  <c r="AR287" i="3"/>
  <c r="AQ287" i="3"/>
  <c r="AP287" i="3"/>
  <c r="AO287" i="3"/>
  <c r="AN287" i="3"/>
  <c r="AM287" i="3"/>
  <c r="AL287" i="3"/>
  <c r="AK287" i="3"/>
  <c r="AJ287" i="3"/>
  <c r="AI287" i="3"/>
  <c r="AH287" i="3"/>
  <c r="AG287" i="3"/>
  <c r="AF287" i="3"/>
  <c r="AE287" i="3"/>
  <c r="AD287" i="3"/>
  <c r="AC287" i="3"/>
  <c r="AB287" i="3"/>
  <c r="AA287" i="3"/>
  <c r="Z287" i="3"/>
  <c r="Y287" i="3"/>
  <c r="X287" i="3"/>
  <c r="W287" i="3"/>
  <c r="V287" i="3"/>
  <c r="U287" i="3"/>
  <c r="T287" i="3"/>
  <c r="S287" i="3"/>
  <c r="R287" i="3"/>
  <c r="Q287" i="3"/>
  <c r="P287" i="3"/>
  <c r="O287" i="3"/>
  <c r="N287" i="3"/>
  <c r="M287" i="3"/>
  <c r="L287" i="3"/>
  <c r="K287" i="3"/>
  <c r="I287" i="3"/>
  <c r="H287" i="3"/>
  <c r="BZ286" i="3"/>
  <c r="BY286" i="3"/>
  <c r="BX286" i="3"/>
  <c r="BW286" i="3"/>
  <c r="BV286" i="3"/>
  <c r="BU286" i="3"/>
  <c r="BT286" i="3"/>
  <c r="BS286" i="3"/>
  <c r="BR286" i="3"/>
  <c r="BQ286" i="3"/>
  <c r="BP286" i="3"/>
  <c r="BO286" i="3"/>
  <c r="BN286" i="3"/>
  <c r="BM286" i="3"/>
  <c r="BL286" i="3"/>
  <c r="BK286" i="3"/>
  <c r="BJ286" i="3"/>
  <c r="BI286" i="3"/>
  <c r="BH286" i="3"/>
  <c r="BG286" i="3"/>
  <c r="BF286" i="3"/>
  <c r="BE286" i="3"/>
  <c r="BD286" i="3"/>
  <c r="BC286" i="3"/>
  <c r="BB286" i="3"/>
  <c r="BA286" i="3"/>
  <c r="AZ286" i="3"/>
  <c r="AY286" i="3"/>
  <c r="AX286" i="3"/>
  <c r="AW286" i="3"/>
  <c r="AV286" i="3"/>
  <c r="AU286" i="3"/>
  <c r="AT286" i="3"/>
  <c r="AS286" i="3"/>
  <c r="AR286" i="3"/>
  <c r="AQ286" i="3"/>
  <c r="AP286" i="3"/>
  <c r="AO286" i="3"/>
  <c r="AN286" i="3"/>
  <c r="AM286" i="3"/>
  <c r="AL286" i="3"/>
  <c r="AK286" i="3"/>
  <c r="AJ286" i="3"/>
  <c r="AI286" i="3"/>
  <c r="AH286" i="3"/>
  <c r="AG286" i="3"/>
  <c r="AF286" i="3"/>
  <c r="AE286" i="3"/>
  <c r="AD286" i="3"/>
  <c r="AC286" i="3"/>
  <c r="AB286" i="3"/>
  <c r="AA286" i="3"/>
  <c r="Z286" i="3"/>
  <c r="Y286" i="3"/>
  <c r="X286" i="3"/>
  <c r="W286" i="3"/>
  <c r="V286" i="3"/>
  <c r="U286" i="3"/>
  <c r="T286" i="3"/>
  <c r="S286" i="3"/>
  <c r="R286" i="3"/>
  <c r="Q286" i="3"/>
  <c r="P286" i="3"/>
  <c r="O286" i="3"/>
  <c r="N286" i="3"/>
  <c r="M286" i="3"/>
  <c r="L286" i="3"/>
  <c r="K286" i="3"/>
  <c r="I286" i="3"/>
  <c r="H286" i="3"/>
  <c r="BZ285" i="3"/>
  <c r="BY285" i="3"/>
  <c r="BX285" i="3"/>
  <c r="BW285" i="3"/>
  <c r="BV285" i="3"/>
  <c r="BU285" i="3"/>
  <c r="BT285" i="3"/>
  <c r="BS285" i="3"/>
  <c r="BR285" i="3"/>
  <c r="BQ285" i="3"/>
  <c r="BP285" i="3"/>
  <c r="BO285" i="3"/>
  <c r="BN285" i="3"/>
  <c r="BM285" i="3"/>
  <c r="BL285" i="3"/>
  <c r="BK285" i="3"/>
  <c r="BJ285" i="3"/>
  <c r="BI285" i="3"/>
  <c r="BH285" i="3"/>
  <c r="BG285" i="3"/>
  <c r="BF285" i="3"/>
  <c r="BE285" i="3"/>
  <c r="BD285" i="3"/>
  <c r="BC285" i="3"/>
  <c r="BB285" i="3"/>
  <c r="BA285" i="3"/>
  <c r="AZ285" i="3"/>
  <c r="AY285" i="3"/>
  <c r="AX285" i="3"/>
  <c r="AW285" i="3"/>
  <c r="AV285" i="3"/>
  <c r="AU285" i="3"/>
  <c r="AT285" i="3"/>
  <c r="AS285" i="3"/>
  <c r="AR285" i="3"/>
  <c r="AQ285" i="3"/>
  <c r="AP285" i="3"/>
  <c r="AO285" i="3"/>
  <c r="AN285" i="3"/>
  <c r="AM285" i="3"/>
  <c r="AL285" i="3"/>
  <c r="AK285" i="3"/>
  <c r="AJ285" i="3"/>
  <c r="AI285" i="3"/>
  <c r="AH285" i="3"/>
  <c r="AG285" i="3"/>
  <c r="AF285" i="3"/>
  <c r="AE285" i="3"/>
  <c r="AD285" i="3"/>
  <c r="AC285" i="3"/>
  <c r="AB285" i="3"/>
  <c r="AA285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I285" i="3"/>
  <c r="H285" i="3"/>
  <c r="BZ284" i="3"/>
  <c r="BY284" i="3"/>
  <c r="BX284" i="3"/>
  <c r="BW284" i="3"/>
  <c r="BV284" i="3"/>
  <c r="BU284" i="3"/>
  <c r="BT284" i="3"/>
  <c r="BS284" i="3"/>
  <c r="BR284" i="3"/>
  <c r="BQ284" i="3"/>
  <c r="BP284" i="3"/>
  <c r="BO284" i="3"/>
  <c r="BN284" i="3"/>
  <c r="BM284" i="3"/>
  <c r="BL284" i="3"/>
  <c r="BK284" i="3"/>
  <c r="BJ284" i="3"/>
  <c r="BI284" i="3"/>
  <c r="BH284" i="3"/>
  <c r="BG284" i="3"/>
  <c r="BF284" i="3"/>
  <c r="BE284" i="3"/>
  <c r="BD284" i="3"/>
  <c r="BC284" i="3"/>
  <c r="BB284" i="3"/>
  <c r="BA284" i="3"/>
  <c r="AZ284" i="3"/>
  <c r="AY284" i="3"/>
  <c r="AX284" i="3"/>
  <c r="AW284" i="3"/>
  <c r="AV284" i="3"/>
  <c r="AU284" i="3"/>
  <c r="AT284" i="3"/>
  <c r="AS284" i="3"/>
  <c r="AR284" i="3"/>
  <c r="AQ284" i="3"/>
  <c r="AP284" i="3"/>
  <c r="AO284" i="3"/>
  <c r="AN284" i="3"/>
  <c r="AM284" i="3"/>
  <c r="AL284" i="3"/>
  <c r="AK284" i="3"/>
  <c r="AJ284" i="3"/>
  <c r="AI284" i="3"/>
  <c r="AH284" i="3"/>
  <c r="AG284" i="3"/>
  <c r="AF284" i="3"/>
  <c r="AE284" i="3"/>
  <c r="AD284" i="3"/>
  <c r="AC284" i="3"/>
  <c r="AB284" i="3"/>
  <c r="AA284" i="3"/>
  <c r="Z284" i="3"/>
  <c r="Y284" i="3"/>
  <c r="X284" i="3"/>
  <c r="W284" i="3"/>
  <c r="V284" i="3"/>
  <c r="U284" i="3"/>
  <c r="T284" i="3"/>
  <c r="S284" i="3"/>
  <c r="R284" i="3"/>
  <c r="Q284" i="3"/>
  <c r="P284" i="3"/>
  <c r="O284" i="3"/>
  <c r="N284" i="3"/>
  <c r="M284" i="3"/>
  <c r="L284" i="3"/>
  <c r="K284" i="3"/>
  <c r="I284" i="3"/>
  <c r="H284" i="3"/>
  <c r="BZ283" i="3"/>
  <c r="BY283" i="3"/>
  <c r="BX283" i="3"/>
  <c r="BW283" i="3"/>
  <c r="BV283" i="3"/>
  <c r="BU283" i="3"/>
  <c r="BT283" i="3"/>
  <c r="BS283" i="3"/>
  <c r="BR283" i="3"/>
  <c r="BQ283" i="3"/>
  <c r="BP283" i="3"/>
  <c r="BO283" i="3"/>
  <c r="BN283" i="3"/>
  <c r="BM283" i="3"/>
  <c r="BL283" i="3"/>
  <c r="BK283" i="3"/>
  <c r="BJ283" i="3"/>
  <c r="BI283" i="3"/>
  <c r="BH283" i="3"/>
  <c r="BG283" i="3"/>
  <c r="BF283" i="3"/>
  <c r="BE283" i="3"/>
  <c r="BD283" i="3"/>
  <c r="BC283" i="3"/>
  <c r="BB283" i="3"/>
  <c r="BA283" i="3"/>
  <c r="AZ283" i="3"/>
  <c r="AY283" i="3"/>
  <c r="AX283" i="3"/>
  <c r="AW283" i="3"/>
  <c r="AV283" i="3"/>
  <c r="AU283" i="3"/>
  <c r="AT283" i="3"/>
  <c r="AS283" i="3"/>
  <c r="AR283" i="3"/>
  <c r="AQ283" i="3"/>
  <c r="AP283" i="3"/>
  <c r="AO283" i="3"/>
  <c r="AN283" i="3"/>
  <c r="AM283" i="3"/>
  <c r="AL283" i="3"/>
  <c r="AK283" i="3"/>
  <c r="AJ283" i="3"/>
  <c r="AI283" i="3"/>
  <c r="AH283" i="3"/>
  <c r="AG283" i="3"/>
  <c r="AF283" i="3"/>
  <c r="AE283" i="3"/>
  <c r="AD283" i="3"/>
  <c r="AC283" i="3"/>
  <c r="AB283" i="3"/>
  <c r="AA283" i="3"/>
  <c r="Z283" i="3"/>
  <c r="Y283" i="3"/>
  <c r="X283" i="3"/>
  <c r="W283" i="3"/>
  <c r="V283" i="3"/>
  <c r="U283" i="3"/>
  <c r="T283" i="3"/>
  <c r="S283" i="3"/>
  <c r="R283" i="3"/>
  <c r="Q283" i="3"/>
  <c r="P283" i="3"/>
  <c r="O283" i="3"/>
  <c r="N283" i="3"/>
  <c r="M283" i="3"/>
  <c r="L283" i="3"/>
  <c r="K283" i="3"/>
  <c r="I283" i="3"/>
  <c r="H283" i="3"/>
  <c r="BZ282" i="3"/>
  <c r="BY282" i="3"/>
  <c r="BX282" i="3"/>
  <c r="BW282" i="3"/>
  <c r="BV282" i="3"/>
  <c r="BU282" i="3"/>
  <c r="BT282" i="3"/>
  <c r="BS282" i="3"/>
  <c r="BR282" i="3"/>
  <c r="BQ282" i="3"/>
  <c r="BP282" i="3"/>
  <c r="BO282" i="3"/>
  <c r="BN282" i="3"/>
  <c r="BM282" i="3"/>
  <c r="BL282" i="3"/>
  <c r="BK282" i="3"/>
  <c r="BJ282" i="3"/>
  <c r="BI282" i="3"/>
  <c r="BH282" i="3"/>
  <c r="BG282" i="3"/>
  <c r="BF282" i="3"/>
  <c r="BE282" i="3"/>
  <c r="BD282" i="3"/>
  <c r="BC282" i="3"/>
  <c r="BB282" i="3"/>
  <c r="BA282" i="3"/>
  <c r="AZ282" i="3"/>
  <c r="AY282" i="3"/>
  <c r="AX282" i="3"/>
  <c r="AW282" i="3"/>
  <c r="AV282" i="3"/>
  <c r="AU282" i="3"/>
  <c r="AT282" i="3"/>
  <c r="AS282" i="3"/>
  <c r="AR282" i="3"/>
  <c r="AQ282" i="3"/>
  <c r="AP282" i="3"/>
  <c r="AO282" i="3"/>
  <c r="AN282" i="3"/>
  <c r="AM282" i="3"/>
  <c r="AL282" i="3"/>
  <c r="AK282" i="3"/>
  <c r="AJ282" i="3"/>
  <c r="AI282" i="3"/>
  <c r="AH282" i="3"/>
  <c r="AG282" i="3"/>
  <c r="AF282" i="3"/>
  <c r="AE282" i="3"/>
  <c r="AD282" i="3"/>
  <c r="AC282" i="3"/>
  <c r="AB282" i="3"/>
  <c r="AA282" i="3"/>
  <c r="Z282" i="3"/>
  <c r="Y282" i="3"/>
  <c r="X282" i="3"/>
  <c r="W282" i="3"/>
  <c r="V282" i="3"/>
  <c r="U282" i="3"/>
  <c r="T282" i="3"/>
  <c r="S282" i="3"/>
  <c r="R282" i="3"/>
  <c r="Q282" i="3"/>
  <c r="P282" i="3"/>
  <c r="O282" i="3"/>
  <c r="N282" i="3"/>
  <c r="M282" i="3"/>
  <c r="L282" i="3"/>
  <c r="K282" i="3"/>
  <c r="I282" i="3"/>
  <c r="H282" i="3"/>
  <c r="BZ281" i="3"/>
  <c r="BY281" i="3"/>
  <c r="BX281" i="3"/>
  <c r="BW281" i="3"/>
  <c r="BV281" i="3"/>
  <c r="BU281" i="3"/>
  <c r="BT281" i="3"/>
  <c r="BS281" i="3"/>
  <c r="BR281" i="3"/>
  <c r="BQ281" i="3"/>
  <c r="BP281" i="3"/>
  <c r="BO281" i="3"/>
  <c r="BN281" i="3"/>
  <c r="BM281" i="3"/>
  <c r="BL281" i="3"/>
  <c r="BK281" i="3"/>
  <c r="BJ281" i="3"/>
  <c r="BI281" i="3"/>
  <c r="BH281" i="3"/>
  <c r="BG281" i="3"/>
  <c r="BF281" i="3"/>
  <c r="BE281" i="3"/>
  <c r="BD281" i="3"/>
  <c r="BC281" i="3"/>
  <c r="BB281" i="3"/>
  <c r="BA281" i="3"/>
  <c r="AZ281" i="3"/>
  <c r="AY281" i="3"/>
  <c r="AX281" i="3"/>
  <c r="AW281" i="3"/>
  <c r="AV281" i="3"/>
  <c r="AU281" i="3"/>
  <c r="AT281" i="3"/>
  <c r="AS281" i="3"/>
  <c r="AR281" i="3"/>
  <c r="AQ281" i="3"/>
  <c r="AP281" i="3"/>
  <c r="AO281" i="3"/>
  <c r="AN281" i="3"/>
  <c r="AM281" i="3"/>
  <c r="AL281" i="3"/>
  <c r="AK281" i="3"/>
  <c r="AJ281" i="3"/>
  <c r="AI281" i="3"/>
  <c r="AH281" i="3"/>
  <c r="AG281" i="3"/>
  <c r="AF281" i="3"/>
  <c r="AE281" i="3"/>
  <c r="AD281" i="3"/>
  <c r="AC281" i="3"/>
  <c r="AB281" i="3"/>
  <c r="AA281" i="3"/>
  <c r="Z281" i="3"/>
  <c r="Y281" i="3"/>
  <c r="X281" i="3"/>
  <c r="W281" i="3"/>
  <c r="V281" i="3"/>
  <c r="U281" i="3"/>
  <c r="T281" i="3"/>
  <c r="S281" i="3"/>
  <c r="R281" i="3"/>
  <c r="Q281" i="3"/>
  <c r="P281" i="3"/>
  <c r="O281" i="3"/>
  <c r="N281" i="3"/>
  <c r="M281" i="3"/>
  <c r="L281" i="3"/>
  <c r="K281" i="3"/>
  <c r="I281" i="3"/>
  <c r="H281" i="3"/>
  <c r="BZ280" i="3"/>
  <c r="BY280" i="3"/>
  <c r="BX280" i="3"/>
  <c r="BW280" i="3"/>
  <c r="BV280" i="3"/>
  <c r="BU280" i="3"/>
  <c r="BT280" i="3"/>
  <c r="BS280" i="3"/>
  <c r="BR280" i="3"/>
  <c r="BQ280" i="3"/>
  <c r="BP280" i="3"/>
  <c r="BO280" i="3"/>
  <c r="BN280" i="3"/>
  <c r="BM280" i="3"/>
  <c r="BL280" i="3"/>
  <c r="BK280" i="3"/>
  <c r="BJ280" i="3"/>
  <c r="BI280" i="3"/>
  <c r="BH280" i="3"/>
  <c r="BG280" i="3"/>
  <c r="BF280" i="3"/>
  <c r="BE280" i="3"/>
  <c r="BD280" i="3"/>
  <c r="BC280" i="3"/>
  <c r="BB280" i="3"/>
  <c r="BA280" i="3"/>
  <c r="AZ280" i="3"/>
  <c r="AY280" i="3"/>
  <c r="AX280" i="3"/>
  <c r="AW280" i="3"/>
  <c r="AV280" i="3"/>
  <c r="AU280" i="3"/>
  <c r="AT280" i="3"/>
  <c r="AS280" i="3"/>
  <c r="AR280" i="3"/>
  <c r="AQ280" i="3"/>
  <c r="AP280" i="3"/>
  <c r="AO280" i="3"/>
  <c r="AN280" i="3"/>
  <c r="AM280" i="3"/>
  <c r="AL280" i="3"/>
  <c r="AK280" i="3"/>
  <c r="AJ280" i="3"/>
  <c r="AI280" i="3"/>
  <c r="AH280" i="3"/>
  <c r="AG280" i="3"/>
  <c r="AF280" i="3"/>
  <c r="AE280" i="3"/>
  <c r="AD280" i="3"/>
  <c r="AC280" i="3"/>
  <c r="AB280" i="3"/>
  <c r="AA280" i="3"/>
  <c r="Z280" i="3"/>
  <c r="Y280" i="3"/>
  <c r="X280" i="3"/>
  <c r="W280" i="3"/>
  <c r="V280" i="3"/>
  <c r="U280" i="3"/>
  <c r="T280" i="3"/>
  <c r="S280" i="3"/>
  <c r="R280" i="3"/>
  <c r="Q280" i="3"/>
  <c r="P280" i="3"/>
  <c r="O280" i="3"/>
  <c r="N280" i="3"/>
  <c r="M280" i="3"/>
  <c r="L280" i="3"/>
  <c r="K280" i="3"/>
  <c r="I280" i="3"/>
  <c r="H280" i="3"/>
  <c r="BZ279" i="3"/>
  <c r="BY279" i="3"/>
  <c r="BX279" i="3"/>
  <c r="BW279" i="3"/>
  <c r="BV279" i="3"/>
  <c r="BU279" i="3"/>
  <c r="BT279" i="3"/>
  <c r="BS279" i="3"/>
  <c r="BR279" i="3"/>
  <c r="BQ279" i="3"/>
  <c r="BP279" i="3"/>
  <c r="BO279" i="3"/>
  <c r="BN279" i="3"/>
  <c r="BM279" i="3"/>
  <c r="BL279" i="3"/>
  <c r="BK279" i="3"/>
  <c r="BJ279" i="3"/>
  <c r="BI279" i="3"/>
  <c r="BH279" i="3"/>
  <c r="BG279" i="3"/>
  <c r="BF279" i="3"/>
  <c r="BE279" i="3"/>
  <c r="BD279" i="3"/>
  <c r="BC279" i="3"/>
  <c r="BB279" i="3"/>
  <c r="BA279" i="3"/>
  <c r="AZ279" i="3"/>
  <c r="AY279" i="3"/>
  <c r="AX279" i="3"/>
  <c r="AW279" i="3"/>
  <c r="AV279" i="3"/>
  <c r="AU279" i="3"/>
  <c r="AT279" i="3"/>
  <c r="AS279" i="3"/>
  <c r="AR279" i="3"/>
  <c r="AQ279" i="3"/>
  <c r="AP279" i="3"/>
  <c r="AO279" i="3"/>
  <c r="AN279" i="3"/>
  <c r="AM279" i="3"/>
  <c r="AL279" i="3"/>
  <c r="AK279" i="3"/>
  <c r="AJ279" i="3"/>
  <c r="AI279" i="3"/>
  <c r="AH279" i="3"/>
  <c r="AG279" i="3"/>
  <c r="AF279" i="3"/>
  <c r="AE279" i="3"/>
  <c r="AD279" i="3"/>
  <c r="AC279" i="3"/>
  <c r="AB279" i="3"/>
  <c r="AA279" i="3"/>
  <c r="Z279" i="3"/>
  <c r="Y279" i="3"/>
  <c r="X279" i="3"/>
  <c r="W279" i="3"/>
  <c r="V279" i="3"/>
  <c r="U279" i="3"/>
  <c r="T279" i="3"/>
  <c r="S279" i="3"/>
  <c r="R279" i="3"/>
  <c r="Q279" i="3"/>
  <c r="P279" i="3"/>
  <c r="O279" i="3"/>
  <c r="N279" i="3"/>
  <c r="M279" i="3"/>
  <c r="L279" i="3"/>
  <c r="K279" i="3"/>
  <c r="I279" i="3"/>
  <c r="H279" i="3"/>
  <c r="BZ278" i="3"/>
  <c r="BY278" i="3"/>
  <c r="BX278" i="3"/>
  <c r="BW278" i="3"/>
  <c r="BV278" i="3"/>
  <c r="BU278" i="3"/>
  <c r="BT278" i="3"/>
  <c r="BS278" i="3"/>
  <c r="BR278" i="3"/>
  <c r="BQ278" i="3"/>
  <c r="BP278" i="3"/>
  <c r="BO278" i="3"/>
  <c r="BN278" i="3"/>
  <c r="BM278" i="3"/>
  <c r="BL278" i="3"/>
  <c r="BK278" i="3"/>
  <c r="BJ278" i="3"/>
  <c r="BI278" i="3"/>
  <c r="BH278" i="3"/>
  <c r="BG278" i="3"/>
  <c r="BF278" i="3"/>
  <c r="BE278" i="3"/>
  <c r="BD278" i="3"/>
  <c r="BC278" i="3"/>
  <c r="BB278" i="3"/>
  <c r="BA278" i="3"/>
  <c r="AZ278" i="3"/>
  <c r="AY278" i="3"/>
  <c r="AX278" i="3"/>
  <c r="AW278" i="3"/>
  <c r="AV278" i="3"/>
  <c r="AU278" i="3"/>
  <c r="AT278" i="3"/>
  <c r="AS278" i="3"/>
  <c r="AR278" i="3"/>
  <c r="AQ278" i="3"/>
  <c r="AP278" i="3"/>
  <c r="AO278" i="3"/>
  <c r="AN278" i="3"/>
  <c r="AM278" i="3"/>
  <c r="AL278" i="3"/>
  <c r="AK278" i="3"/>
  <c r="AJ278" i="3"/>
  <c r="AI278" i="3"/>
  <c r="AH278" i="3"/>
  <c r="AG278" i="3"/>
  <c r="AF278" i="3"/>
  <c r="AE278" i="3"/>
  <c r="AD278" i="3"/>
  <c r="AC278" i="3"/>
  <c r="AB278" i="3"/>
  <c r="AA278" i="3"/>
  <c r="Z278" i="3"/>
  <c r="Y278" i="3"/>
  <c r="X278" i="3"/>
  <c r="W278" i="3"/>
  <c r="V278" i="3"/>
  <c r="U278" i="3"/>
  <c r="T278" i="3"/>
  <c r="S278" i="3"/>
  <c r="R278" i="3"/>
  <c r="Q278" i="3"/>
  <c r="P278" i="3"/>
  <c r="O278" i="3"/>
  <c r="N278" i="3"/>
  <c r="M278" i="3"/>
  <c r="L278" i="3"/>
  <c r="K278" i="3"/>
  <c r="I278" i="3"/>
  <c r="H278" i="3"/>
  <c r="BZ277" i="3"/>
  <c r="BY277" i="3"/>
  <c r="BX277" i="3"/>
  <c r="BW277" i="3"/>
  <c r="BV277" i="3"/>
  <c r="BU277" i="3"/>
  <c r="BT277" i="3"/>
  <c r="BS277" i="3"/>
  <c r="BR277" i="3"/>
  <c r="BQ277" i="3"/>
  <c r="BP277" i="3"/>
  <c r="BO277" i="3"/>
  <c r="BN277" i="3"/>
  <c r="BM277" i="3"/>
  <c r="BL277" i="3"/>
  <c r="BK277" i="3"/>
  <c r="BJ277" i="3"/>
  <c r="BI277" i="3"/>
  <c r="BH277" i="3"/>
  <c r="BG277" i="3"/>
  <c r="BF277" i="3"/>
  <c r="BE277" i="3"/>
  <c r="BD277" i="3"/>
  <c r="BC277" i="3"/>
  <c r="BB277" i="3"/>
  <c r="BA277" i="3"/>
  <c r="AZ277" i="3"/>
  <c r="AY277" i="3"/>
  <c r="AX277" i="3"/>
  <c r="AW277" i="3"/>
  <c r="AV277" i="3"/>
  <c r="AU277" i="3"/>
  <c r="AT277" i="3"/>
  <c r="AS277" i="3"/>
  <c r="AR277" i="3"/>
  <c r="AQ277" i="3"/>
  <c r="AP277" i="3"/>
  <c r="AO277" i="3"/>
  <c r="AN277" i="3"/>
  <c r="AM277" i="3"/>
  <c r="AL277" i="3"/>
  <c r="AK277" i="3"/>
  <c r="AJ277" i="3"/>
  <c r="AI277" i="3"/>
  <c r="AH277" i="3"/>
  <c r="AG277" i="3"/>
  <c r="AF277" i="3"/>
  <c r="AE277" i="3"/>
  <c r="AD277" i="3"/>
  <c r="AC277" i="3"/>
  <c r="AB277" i="3"/>
  <c r="AA277" i="3"/>
  <c r="Z277" i="3"/>
  <c r="Y277" i="3"/>
  <c r="X277" i="3"/>
  <c r="W277" i="3"/>
  <c r="V277" i="3"/>
  <c r="U277" i="3"/>
  <c r="T277" i="3"/>
  <c r="S277" i="3"/>
  <c r="R277" i="3"/>
  <c r="Q277" i="3"/>
  <c r="P277" i="3"/>
  <c r="O277" i="3"/>
  <c r="N277" i="3"/>
  <c r="M277" i="3"/>
  <c r="L277" i="3"/>
  <c r="K277" i="3"/>
  <c r="I277" i="3"/>
  <c r="H277" i="3"/>
  <c r="BZ276" i="3"/>
  <c r="BY276" i="3"/>
  <c r="BX276" i="3"/>
  <c r="BW276" i="3"/>
  <c r="BV276" i="3"/>
  <c r="BU276" i="3"/>
  <c r="BT276" i="3"/>
  <c r="BS276" i="3"/>
  <c r="BR276" i="3"/>
  <c r="BQ276" i="3"/>
  <c r="BP276" i="3"/>
  <c r="BO276" i="3"/>
  <c r="BN276" i="3"/>
  <c r="BM276" i="3"/>
  <c r="BL276" i="3"/>
  <c r="BK276" i="3"/>
  <c r="BJ276" i="3"/>
  <c r="BI276" i="3"/>
  <c r="BH276" i="3"/>
  <c r="BG276" i="3"/>
  <c r="BF276" i="3"/>
  <c r="BE276" i="3"/>
  <c r="BD276" i="3"/>
  <c r="BC276" i="3"/>
  <c r="BB276" i="3"/>
  <c r="BA276" i="3"/>
  <c r="AZ276" i="3"/>
  <c r="AY276" i="3"/>
  <c r="AX276" i="3"/>
  <c r="AW276" i="3"/>
  <c r="AV276" i="3"/>
  <c r="AU276" i="3"/>
  <c r="AT276" i="3"/>
  <c r="AS276" i="3"/>
  <c r="AR276" i="3"/>
  <c r="AQ276" i="3"/>
  <c r="AP276" i="3"/>
  <c r="AO276" i="3"/>
  <c r="AN276" i="3"/>
  <c r="AM276" i="3"/>
  <c r="AL276" i="3"/>
  <c r="AK276" i="3"/>
  <c r="AJ276" i="3"/>
  <c r="AI276" i="3"/>
  <c r="AH276" i="3"/>
  <c r="AG276" i="3"/>
  <c r="AF276" i="3"/>
  <c r="AE276" i="3"/>
  <c r="AD276" i="3"/>
  <c r="AC276" i="3"/>
  <c r="AB276" i="3"/>
  <c r="AA276" i="3"/>
  <c r="Z276" i="3"/>
  <c r="Y276" i="3"/>
  <c r="X276" i="3"/>
  <c r="W276" i="3"/>
  <c r="V276" i="3"/>
  <c r="U276" i="3"/>
  <c r="T276" i="3"/>
  <c r="S276" i="3"/>
  <c r="R276" i="3"/>
  <c r="Q276" i="3"/>
  <c r="P276" i="3"/>
  <c r="O276" i="3"/>
  <c r="N276" i="3"/>
  <c r="M276" i="3"/>
  <c r="L276" i="3"/>
  <c r="K276" i="3"/>
  <c r="I276" i="3"/>
  <c r="H276" i="3"/>
  <c r="BZ275" i="3"/>
  <c r="BY275" i="3"/>
  <c r="BX275" i="3"/>
  <c r="BW275" i="3"/>
  <c r="BV275" i="3"/>
  <c r="BU275" i="3"/>
  <c r="BT275" i="3"/>
  <c r="BS275" i="3"/>
  <c r="BR275" i="3"/>
  <c r="BQ275" i="3"/>
  <c r="BP275" i="3"/>
  <c r="BO275" i="3"/>
  <c r="BN275" i="3"/>
  <c r="BM275" i="3"/>
  <c r="BL275" i="3"/>
  <c r="BK275" i="3"/>
  <c r="BJ275" i="3"/>
  <c r="BI275" i="3"/>
  <c r="BH275" i="3"/>
  <c r="BG275" i="3"/>
  <c r="BF275" i="3"/>
  <c r="BE275" i="3"/>
  <c r="BD275" i="3"/>
  <c r="BC275" i="3"/>
  <c r="BB275" i="3"/>
  <c r="BA275" i="3"/>
  <c r="AZ275" i="3"/>
  <c r="AY275" i="3"/>
  <c r="AX275" i="3"/>
  <c r="AW275" i="3"/>
  <c r="AV275" i="3"/>
  <c r="AU275" i="3"/>
  <c r="AT275" i="3"/>
  <c r="AS275" i="3"/>
  <c r="AR275" i="3"/>
  <c r="AQ275" i="3"/>
  <c r="AP275" i="3"/>
  <c r="AO275" i="3"/>
  <c r="AN275" i="3"/>
  <c r="AM275" i="3"/>
  <c r="AL275" i="3"/>
  <c r="AK275" i="3"/>
  <c r="AJ275" i="3"/>
  <c r="AI275" i="3"/>
  <c r="AH275" i="3"/>
  <c r="AG275" i="3"/>
  <c r="AF275" i="3"/>
  <c r="AE275" i="3"/>
  <c r="AD275" i="3"/>
  <c r="AC275" i="3"/>
  <c r="AB275" i="3"/>
  <c r="AA275" i="3"/>
  <c r="Z275" i="3"/>
  <c r="Y275" i="3"/>
  <c r="X275" i="3"/>
  <c r="W275" i="3"/>
  <c r="V275" i="3"/>
  <c r="U275" i="3"/>
  <c r="T275" i="3"/>
  <c r="S275" i="3"/>
  <c r="R275" i="3"/>
  <c r="Q275" i="3"/>
  <c r="P275" i="3"/>
  <c r="O275" i="3"/>
  <c r="N275" i="3"/>
  <c r="M275" i="3"/>
  <c r="L275" i="3"/>
  <c r="K275" i="3"/>
  <c r="I275" i="3"/>
  <c r="H275" i="3"/>
  <c r="BZ274" i="3"/>
  <c r="BY274" i="3"/>
  <c r="BX274" i="3"/>
  <c r="BW274" i="3"/>
  <c r="BV274" i="3"/>
  <c r="BU274" i="3"/>
  <c r="BT274" i="3"/>
  <c r="BS274" i="3"/>
  <c r="BR274" i="3"/>
  <c r="BQ274" i="3"/>
  <c r="BP274" i="3"/>
  <c r="BO274" i="3"/>
  <c r="BN274" i="3"/>
  <c r="BM274" i="3"/>
  <c r="BL274" i="3"/>
  <c r="BK274" i="3"/>
  <c r="BJ274" i="3"/>
  <c r="BI274" i="3"/>
  <c r="BH274" i="3"/>
  <c r="BG274" i="3"/>
  <c r="BF274" i="3"/>
  <c r="BE274" i="3"/>
  <c r="BD274" i="3"/>
  <c r="BC274" i="3"/>
  <c r="BB274" i="3"/>
  <c r="BA274" i="3"/>
  <c r="AZ274" i="3"/>
  <c r="AY274" i="3"/>
  <c r="AX274" i="3"/>
  <c r="AW274" i="3"/>
  <c r="AV274" i="3"/>
  <c r="AU274" i="3"/>
  <c r="AT274" i="3"/>
  <c r="AS274" i="3"/>
  <c r="AR274" i="3"/>
  <c r="AQ274" i="3"/>
  <c r="AP274" i="3"/>
  <c r="AO274" i="3"/>
  <c r="AN274" i="3"/>
  <c r="AM274" i="3"/>
  <c r="AL274" i="3"/>
  <c r="AK274" i="3"/>
  <c r="AJ274" i="3"/>
  <c r="AI274" i="3"/>
  <c r="AH274" i="3"/>
  <c r="AG274" i="3"/>
  <c r="AF274" i="3"/>
  <c r="AE274" i="3"/>
  <c r="AD274" i="3"/>
  <c r="AC274" i="3"/>
  <c r="AB274" i="3"/>
  <c r="AA274" i="3"/>
  <c r="Z274" i="3"/>
  <c r="Y274" i="3"/>
  <c r="X274" i="3"/>
  <c r="W274" i="3"/>
  <c r="V274" i="3"/>
  <c r="U274" i="3"/>
  <c r="T274" i="3"/>
  <c r="S274" i="3"/>
  <c r="R274" i="3"/>
  <c r="Q274" i="3"/>
  <c r="P274" i="3"/>
  <c r="O274" i="3"/>
  <c r="N274" i="3"/>
  <c r="M274" i="3"/>
  <c r="L274" i="3"/>
  <c r="K274" i="3"/>
  <c r="I274" i="3"/>
  <c r="H274" i="3"/>
  <c r="BZ273" i="3"/>
  <c r="BY273" i="3"/>
  <c r="BX273" i="3"/>
  <c r="BW273" i="3"/>
  <c r="BV273" i="3"/>
  <c r="BU273" i="3"/>
  <c r="BT273" i="3"/>
  <c r="BS273" i="3"/>
  <c r="BR273" i="3"/>
  <c r="BQ273" i="3"/>
  <c r="BP273" i="3"/>
  <c r="BO273" i="3"/>
  <c r="BN273" i="3"/>
  <c r="BM273" i="3"/>
  <c r="BL273" i="3"/>
  <c r="BK273" i="3"/>
  <c r="BJ273" i="3"/>
  <c r="BI273" i="3"/>
  <c r="BH273" i="3"/>
  <c r="BG273" i="3"/>
  <c r="BF273" i="3"/>
  <c r="BE273" i="3"/>
  <c r="BD273" i="3"/>
  <c r="BC273" i="3"/>
  <c r="BB273" i="3"/>
  <c r="BA273" i="3"/>
  <c r="AZ273" i="3"/>
  <c r="AY273" i="3"/>
  <c r="AX273" i="3"/>
  <c r="AW273" i="3"/>
  <c r="AV273" i="3"/>
  <c r="AU273" i="3"/>
  <c r="AT273" i="3"/>
  <c r="AS273" i="3"/>
  <c r="AR273" i="3"/>
  <c r="AQ273" i="3"/>
  <c r="AP273" i="3"/>
  <c r="AO273" i="3"/>
  <c r="AN273" i="3"/>
  <c r="AM273" i="3"/>
  <c r="AL273" i="3"/>
  <c r="AK273" i="3"/>
  <c r="AJ273" i="3"/>
  <c r="AI273" i="3"/>
  <c r="AH273" i="3"/>
  <c r="AG273" i="3"/>
  <c r="AF273" i="3"/>
  <c r="AE273" i="3"/>
  <c r="AD273" i="3"/>
  <c r="AC273" i="3"/>
  <c r="AB273" i="3"/>
  <c r="AA273" i="3"/>
  <c r="Z273" i="3"/>
  <c r="Y273" i="3"/>
  <c r="X273" i="3"/>
  <c r="W273" i="3"/>
  <c r="V273" i="3"/>
  <c r="U273" i="3"/>
  <c r="T273" i="3"/>
  <c r="S273" i="3"/>
  <c r="R273" i="3"/>
  <c r="Q273" i="3"/>
  <c r="P273" i="3"/>
  <c r="O273" i="3"/>
  <c r="N273" i="3"/>
  <c r="M273" i="3"/>
  <c r="L273" i="3"/>
  <c r="K273" i="3"/>
  <c r="I273" i="3"/>
  <c r="H273" i="3"/>
  <c r="BZ272" i="3"/>
  <c r="BY272" i="3"/>
  <c r="BX272" i="3"/>
  <c r="BW272" i="3"/>
  <c r="BV272" i="3"/>
  <c r="BU272" i="3"/>
  <c r="BT272" i="3"/>
  <c r="BS272" i="3"/>
  <c r="BR272" i="3"/>
  <c r="BQ272" i="3"/>
  <c r="BP272" i="3"/>
  <c r="BO272" i="3"/>
  <c r="BN272" i="3"/>
  <c r="BM272" i="3"/>
  <c r="BL272" i="3"/>
  <c r="BK272" i="3"/>
  <c r="BJ272" i="3"/>
  <c r="BI272" i="3"/>
  <c r="BH272" i="3"/>
  <c r="BG272" i="3"/>
  <c r="BF272" i="3"/>
  <c r="BE272" i="3"/>
  <c r="BD272" i="3"/>
  <c r="BC272" i="3"/>
  <c r="BB272" i="3"/>
  <c r="BA272" i="3"/>
  <c r="AZ272" i="3"/>
  <c r="AY272" i="3"/>
  <c r="AX272" i="3"/>
  <c r="AW272" i="3"/>
  <c r="AV272" i="3"/>
  <c r="AU272" i="3"/>
  <c r="AT272" i="3"/>
  <c r="AS272" i="3"/>
  <c r="AR272" i="3"/>
  <c r="AQ272" i="3"/>
  <c r="AP272" i="3"/>
  <c r="AO272" i="3"/>
  <c r="AN272" i="3"/>
  <c r="AM272" i="3"/>
  <c r="AL272" i="3"/>
  <c r="AK272" i="3"/>
  <c r="AJ272" i="3"/>
  <c r="AI272" i="3"/>
  <c r="AH272" i="3"/>
  <c r="AG272" i="3"/>
  <c r="AF272" i="3"/>
  <c r="AE272" i="3"/>
  <c r="AD272" i="3"/>
  <c r="AC272" i="3"/>
  <c r="AB272" i="3"/>
  <c r="AA272" i="3"/>
  <c r="Z272" i="3"/>
  <c r="Y272" i="3"/>
  <c r="X272" i="3"/>
  <c r="W272" i="3"/>
  <c r="V272" i="3"/>
  <c r="U272" i="3"/>
  <c r="T272" i="3"/>
  <c r="S272" i="3"/>
  <c r="R272" i="3"/>
  <c r="Q272" i="3"/>
  <c r="P272" i="3"/>
  <c r="O272" i="3"/>
  <c r="N272" i="3"/>
  <c r="M272" i="3"/>
  <c r="L272" i="3"/>
  <c r="K272" i="3"/>
  <c r="I272" i="3"/>
  <c r="H272" i="3"/>
  <c r="BZ271" i="3"/>
  <c r="BY271" i="3"/>
  <c r="BX271" i="3"/>
  <c r="BW271" i="3"/>
  <c r="BV271" i="3"/>
  <c r="BU271" i="3"/>
  <c r="BT271" i="3"/>
  <c r="BS271" i="3"/>
  <c r="BR271" i="3"/>
  <c r="BQ271" i="3"/>
  <c r="BP271" i="3"/>
  <c r="BO271" i="3"/>
  <c r="BN271" i="3"/>
  <c r="BM271" i="3"/>
  <c r="BL271" i="3"/>
  <c r="BK271" i="3"/>
  <c r="BJ271" i="3"/>
  <c r="BI271" i="3"/>
  <c r="BH271" i="3"/>
  <c r="BG271" i="3"/>
  <c r="BF271" i="3"/>
  <c r="BE271" i="3"/>
  <c r="BD271" i="3"/>
  <c r="BC271" i="3"/>
  <c r="BB271" i="3"/>
  <c r="BA271" i="3"/>
  <c r="AZ271" i="3"/>
  <c r="AY271" i="3"/>
  <c r="AX271" i="3"/>
  <c r="AW271" i="3"/>
  <c r="AV271" i="3"/>
  <c r="AU271" i="3"/>
  <c r="AT271" i="3"/>
  <c r="AS271" i="3"/>
  <c r="AR271" i="3"/>
  <c r="AQ271" i="3"/>
  <c r="AP271" i="3"/>
  <c r="AO271" i="3"/>
  <c r="AN271" i="3"/>
  <c r="AM271" i="3"/>
  <c r="AL271" i="3"/>
  <c r="AK271" i="3"/>
  <c r="AJ271" i="3"/>
  <c r="AI271" i="3"/>
  <c r="AH271" i="3"/>
  <c r="AG271" i="3"/>
  <c r="AF271" i="3"/>
  <c r="AE271" i="3"/>
  <c r="AD271" i="3"/>
  <c r="AC271" i="3"/>
  <c r="AB271" i="3"/>
  <c r="AA271" i="3"/>
  <c r="Z271" i="3"/>
  <c r="Y271" i="3"/>
  <c r="X271" i="3"/>
  <c r="W271" i="3"/>
  <c r="V271" i="3"/>
  <c r="U271" i="3"/>
  <c r="T271" i="3"/>
  <c r="S271" i="3"/>
  <c r="R271" i="3"/>
  <c r="Q271" i="3"/>
  <c r="P271" i="3"/>
  <c r="O271" i="3"/>
  <c r="N271" i="3"/>
  <c r="M271" i="3"/>
  <c r="L271" i="3"/>
  <c r="K271" i="3"/>
  <c r="I271" i="3"/>
  <c r="H271" i="3"/>
  <c r="BZ270" i="3"/>
  <c r="BY270" i="3"/>
  <c r="BX270" i="3"/>
  <c r="BW270" i="3"/>
  <c r="BV270" i="3"/>
  <c r="BU270" i="3"/>
  <c r="BT270" i="3"/>
  <c r="BS270" i="3"/>
  <c r="BR270" i="3"/>
  <c r="BQ270" i="3"/>
  <c r="BP270" i="3"/>
  <c r="BO270" i="3"/>
  <c r="BN270" i="3"/>
  <c r="BM270" i="3"/>
  <c r="BL270" i="3"/>
  <c r="BK270" i="3"/>
  <c r="BJ270" i="3"/>
  <c r="BI270" i="3"/>
  <c r="BH270" i="3"/>
  <c r="BG270" i="3"/>
  <c r="BF270" i="3"/>
  <c r="BE270" i="3"/>
  <c r="BD270" i="3"/>
  <c r="BC270" i="3"/>
  <c r="BB270" i="3"/>
  <c r="BA270" i="3"/>
  <c r="AZ270" i="3"/>
  <c r="AY270" i="3"/>
  <c r="AX270" i="3"/>
  <c r="AW270" i="3"/>
  <c r="AV270" i="3"/>
  <c r="AU270" i="3"/>
  <c r="AT270" i="3"/>
  <c r="AS270" i="3"/>
  <c r="AR270" i="3"/>
  <c r="AQ270" i="3"/>
  <c r="AP270" i="3"/>
  <c r="AO270" i="3"/>
  <c r="AN270" i="3"/>
  <c r="AM270" i="3"/>
  <c r="AL270" i="3"/>
  <c r="AK270" i="3"/>
  <c r="AJ270" i="3"/>
  <c r="AI270" i="3"/>
  <c r="AH270" i="3"/>
  <c r="AG270" i="3"/>
  <c r="AF270" i="3"/>
  <c r="AE270" i="3"/>
  <c r="AD270" i="3"/>
  <c r="AC270" i="3"/>
  <c r="AB270" i="3"/>
  <c r="AA270" i="3"/>
  <c r="Z270" i="3"/>
  <c r="Y270" i="3"/>
  <c r="X270" i="3"/>
  <c r="W270" i="3"/>
  <c r="V270" i="3"/>
  <c r="U270" i="3"/>
  <c r="T270" i="3"/>
  <c r="S270" i="3"/>
  <c r="R270" i="3"/>
  <c r="Q270" i="3"/>
  <c r="P270" i="3"/>
  <c r="O270" i="3"/>
  <c r="N270" i="3"/>
  <c r="M270" i="3"/>
  <c r="L270" i="3"/>
  <c r="K270" i="3"/>
  <c r="I270" i="3"/>
  <c r="H270" i="3"/>
  <c r="BZ269" i="3"/>
  <c r="BY269" i="3"/>
  <c r="BX269" i="3"/>
  <c r="BW269" i="3"/>
  <c r="BV269" i="3"/>
  <c r="BU269" i="3"/>
  <c r="BT269" i="3"/>
  <c r="BS269" i="3"/>
  <c r="BR269" i="3"/>
  <c r="BQ269" i="3"/>
  <c r="BP269" i="3"/>
  <c r="BO269" i="3"/>
  <c r="BN269" i="3"/>
  <c r="BM269" i="3"/>
  <c r="BL269" i="3"/>
  <c r="BK269" i="3"/>
  <c r="BJ269" i="3"/>
  <c r="BI269" i="3"/>
  <c r="BH269" i="3"/>
  <c r="BG269" i="3"/>
  <c r="BF269" i="3"/>
  <c r="BE269" i="3"/>
  <c r="BD269" i="3"/>
  <c r="BC269" i="3"/>
  <c r="BB269" i="3"/>
  <c r="BA269" i="3"/>
  <c r="AZ269" i="3"/>
  <c r="AY269" i="3"/>
  <c r="AX269" i="3"/>
  <c r="AW269" i="3"/>
  <c r="AV269" i="3"/>
  <c r="AU269" i="3"/>
  <c r="AT269" i="3"/>
  <c r="AS269" i="3"/>
  <c r="AR269" i="3"/>
  <c r="AQ269" i="3"/>
  <c r="AP269" i="3"/>
  <c r="AO269" i="3"/>
  <c r="AN269" i="3"/>
  <c r="AM269" i="3"/>
  <c r="AL269" i="3"/>
  <c r="AK269" i="3"/>
  <c r="AJ269" i="3"/>
  <c r="AI269" i="3"/>
  <c r="AH269" i="3"/>
  <c r="AG269" i="3"/>
  <c r="AF269" i="3"/>
  <c r="AE269" i="3"/>
  <c r="AD269" i="3"/>
  <c r="AC269" i="3"/>
  <c r="AB269" i="3"/>
  <c r="AA269" i="3"/>
  <c r="Z269" i="3"/>
  <c r="Y269" i="3"/>
  <c r="X269" i="3"/>
  <c r="W269" i="3"/>
  <c r="V269" i="3"/>
  <c r="U269" i="3"/>
  <c r="T269" i="3"/>
  <c r="S269" i="3"/>
  <c r="R269" i="3"/>
  <c r="Q269" i="3"/>
  <c r="P269" i="3"/>
  <c r="O269" i="3"/>
  <c r="N269" i="3"/>
  <c r="M269" i="3"/>
  <c r="L269" i="3"/>
  <c r="K269" i="3"/>
  <c r="I269" i="3"/>
  <c r="H269" i="3"/>
  <c r="BZ268" i="3"/>
  <c r="BY268" i="3"/>
  <c r="BX268" i="3"/>
  <c r="BW268" i="3"/>
  <c r="BV268" i="3"/>
  <c r="BU268" i="3"/>
  <c r="BT268" i="3"/>
  <c r="BS268" i="3"/>
  <c r="BR268" i="3"/>
  <c r="BQ268" i="3"/>
  <c r="BP268" i="3"/>
  <c r="BO268" i="3"/>
  <c r="BN268" i="3"/>
  <c r="BM268" i="3"/>
  <c r="BL268" i="3"/>
  <c r="BK268" i="3"/>
  <c r="BJ268" i="3"/>
  <c r="BI268" i="3"/>
  <c r="BH268" i="3"/>
  <c r="BG268" i="3"/>
  <c r="BF268" i="3"/>
  <c r="BE268" i="3"/>
  <c r="BD268" i="3"/>
  <c r="BC268" i="3"/>
  <c r="BB268" i="3"/>
  <c r="BA268" i="3"/>
  <c r="AZ268" i="3"/>
  <c r="AY268" i="3"/>
  <c r="AX268" i="3"/>
  <c r="AW268" i="3"/>
  <c r="AV268" i="3"/>
  <c r="AU268" i="3"/>
  <c r="AT268" i="3"/>
  <c r="AS268" i="3"/>
  <c r="AR268" i="3"/>
  <c r="AQ268" i="3"/>
  <c r="AP268" i="3"/>
  <c r="AO268" i="3"/>
  <c r="AN268" i="3"/>
  <c r="AM268" i="3"/>
  <c r="AL268" i="3"/>
  <c r="AK268" i="3"/>
  <c r="AJ268" i="3"/>
  <c r="AI268" i="3"/>
  <c r="AH268" i="3"/>
  <c r="AG268" i="3"/>
  <c r="AF268" i="3"/>
  <c r="AE268" i="3"/>
  <c r="AD268" i="3"/>
  <c r="AC268" i="3"/>
  <c r="AB268" i="3"/>
  <c r="AA268" i="3"/>
  <c r="Z268" i="3"/>
  <c r="Y268" i="3"/>
  <c r="X268" i="3"/>
  <c r="W268" i="3"/>
  <c r="V268" i="3"/>
  <c r="U268" i="3"/>
  <c r="T268" i="3"/>
  <c r="S268" i="3"/>
  <c r="R268" i="3"/>
  <c r="Q268" i="3"/>
  <c r="P268" i="3"/>
  <c r="O268" i="3"/>
  <c r="N268" i="3"/>
  <c r="M268" i="3"/>
  <c r="L268" i="3"/>
  <c r="K268" i="3"/>
  <c r="I268" i="3"/>
  <c r="H268" i="3"/>
  <c r="BZ267" i="3"/>
  <c r="BY267" i="3"/>
  <c r="BX267" i="3"/>
  <c r="BW267" i="3"/>
  <c r="BV267" i="3"/>
  <c r="BU267" i="3"/>
  <c r="BT267" i="3"/>
  <c r="BS267" i="3"/>
  <c r="BR267" i="3"/>
  <c r="BQ267" i="3"/>
  <c r="BP267" i="3"/>
  <c r="BO267" i="3"/>
  <c r="BN267" i="3"/>
  <c r="BM267" i="3"/>
  <c r="BL267" i="3"/>
  <c r="BK267" i="3"/>
  <c r="BJ267" i="3"/>
  <c r="BI267" i="3"/>
  <c r="BH267" i="3"/>
  <c r="BG267" i="3"/>
  <c r="BF267" i="3"/>
  <c r="BE267" i="3"/>
  <c r="BD267" i="3"/>
  <c r="BC267" i="3"/>
  <c r="BB267" i="3"/>
  <c r="BA267" i="3"/>
  <c r="AZ267" i="3"/>
  <c r="AY267" i="3"/>
  <c r="AX267" i="3"/>
  <c r="AW267" i="3"/>
  <c r="AV267" i="3"/>
  <c r="AU267" i="3"/>
  <c r="AT267" i="3"/>
  <c r="AS267" i="3"/>
  <c r="AR267" i="3"/>
  <c r="AQ267" i="3"/>
  <c r="AP267" i="3"/>
  <c r="AO267" i="3"/>
  <c r="AN267" i="3"/>
  <c r="AM267" i="3"/>
  <c r="AL267" i="3"/>
  <c r="AK267" i="3"/>
  <c r="AJ267" i="3"/>
  <c r="AI267" i="3"/>
  <c r="AH267" i="3"/>
  <c r="AG267" i="3"/>
  <c r="AF267" i="3"/>
  <c r="AE267" i="3"/>
  <c r="AD267" i="3"/>
  <c r="AC267" i="3"/>
  <c r="AB267" i="3"/>
  <c r="AA267" i="3"/>
  <c r="Z267" i="3"/>
  <c r="Y267" i="3"/>
  <c r="X267" i="3"/>
  <c r="W267" i="3"/>
  <c r="V267" i="3"/>
  <c r="U267" i="3"/>
  <c r="T267" i="3"/>
  <c r="S267" i="3"/>
  <c r="R267" i="3"/>
  <c r="Q267" i="3"/>
  <c r="P267" i="3"/>
  <c r="O267" i="3"/>
  <c r="N267" i="3"/>
  <c r="M267" i="3"/>
  <c r="L267" i="3"/>
  <c r="K267" i="3"/>
  <c r="I267" i="3"/>
  <c r="H267" i="3"/>
  <c r="BZ266" i="3"/>
  <c r="BY266" i="3"/>
  <c r="BX266" i="3"/>
  <c r="BW266" i="3"/>
  <c r="BV266" i="3"/>
  <c r="BU266" i="3"/>
  <c r="BT266" i="3"/>
  <c r="BS266" i="3"/>
  <c r="BR266" i="3"/>
  <c r="BQ266" i="3"/>
  <c r="BP266" i="3"/>
  <c r="BO266" i="3"/>
  <c r="BN266" i="3"/>
  <c r="BM266" i="3"/>
  <c r="BL266" i="3"/>
  <c r="BK266" i="3"/>
  <c r="BJ266" i="3"/>
  <c r="BI266" i="3"/>
  <c r="BH266" i="3"/>
  <c r="BG266" i="3"/>
  <c r="BF266" i="3"/>
  <c r="BE266" i="3"/>
  <c r="BD266" i="3"/>
  <c r="BC266" i="3"/>
  <c r="BB266" i="3"/>
  <c r="BA266" i="3"/>
  <c r="AZ266" i="3"/>
  <c r="AY266" i="3"/>
  <c r="AX266" i="3"/>
  <c r="AW266" i="3"/>
  <c r="AV266" i="3"/>
  <c r="AU266" i="3"/>
  <c r="AT266" i="3"/>
  <c r="AS266" i="3"/>
  <c r="AR266" i="3"/>
  <c r="AQ266" i="3"/>
  <c r="AP266" i="3"/>
  <c r="AO266" i="3"/>
  <c r="AN266" i="3"/>
  <c r="AM266" i="3"/>
  <c r="AL266" i="3"/>
  <c r="AK266" i="3"/>
  <c r="AJ266" i="3"/>
  <c r="AI266" i="3"/>
  <c r="AH266" i="3"/>
  <c r="AG266" i="3"/>
  <c r="AF266" i="3"/>
  <c r="AE266" i="3"/>
  <c r="AD266" i="3"/>
  <c r="AC266" i="3"/>
  <c r="AB266" i="3"/>
  <c r="AA266" i="3"/>
  <c r="Z266" i="3"/>
  <c r="Y266" i="3"/>
  <c r="X266" i="3"/>
  <c r="W266" i="3"/>
  <c r="V266" i="3"/>
  <c r="U266" i="3"/>
  <c r="T266" i="3"/>
  <c r="S266" i="3"/>
  <c r="R266" i="3"/>
  <c r="Q266" i="3"/>
  <c r="P266" i="3"/>
  <c r="O266" i="3"/>
  <c r="N266" i="3"/>
  <c r="M266" i="3"/>
  <c r="L266" i="3"/>
  <c r="K266" i="3"/>
  <c r="I266" i="3"/>
  <c r="H266" i="3"/>
  <c r="BZ265" i="3"/>
  <c r="BY265" i="3"/>
  <c r="BX265" i="3"/>
  <c r="BW265" i="3"/>
  <c r="BV265" i="3"/>
  <c r="BU265" i="3"/>
  <c r="BT265" i="3"/>
  <c r="BS265" i="3"/>
  <c r="BR265" i="3"/>
  <c r="BQ265" i="3"/>
  <c r="BP265" i="3"/>
  <c r="BO265" i="3"/>
  <c r="BN265" i="3"/>
  <c r="BM265" i="3"/>
  <c r="BL265" i="3"/>
  <c r="BK265" i="3"/>
  <c r="BJ265" i="3"/>
  <c r="BI265" i="3"/>
  <c r="BH265" i="3"/>
  <c r="BG265" i="3"/>
  <c r="BF265" i="3"/>
  <c r="BE265" i="3"/>
  <c r="BD265" i="3"/>
  <c r="BC265" i="3"/>
  <c r="BB265" i="3"/>
  <c r="BA265" i="3"/>
  <c r="AZ265" i="3"/>
  <c r="AY265" i="3"/>
  <c r="AX265" i="3"/>
  <c r="AW265" i="3"/>
  <c r="AV265" i="3"/>
  <c r="AU265" i="3"/>
  <c r="AT265" i="3"/>
  <c r="AS265" i="3"/>
  <c r="AR265" i="3"/>
  <c r="AQ265" i="3"/>
  <c r="AP265" i="3"/>
  <c r="AO265" i="3"/>
  <c r="AN265" i="3"/>
  <c r="AM265" i="3"/>
  <c r="AL265" i="3"/>
  <c r="AK265" i="3"/>
  <c r="AJ265" i="3"/>
  <c r="AI265" i="3"/>
  <c r="AH265" i="3"/>
  <c r="AG265" i="3"/>
  <c r="AF265" i="3"/>
  <c r="AE265" i="3"/>
  <c r="AD265" i="3"/>
  <c r="AC265" i="3"/>
  <c r="AB265" i="3"/>
  <c r="AA265" i="3"/>
  <c r="Z265" i="3"/>
  <c r="Y265" i="3"/>
  <c r="X265" i="3"/>
  <c r="W265" i="3"/>
  <c r="V265" i="3"/>
  <c r="U265" i="3"/>
  <c r="T265" i="3"/>
  <c r="S265" i="3"/>
  <c r="R265" i="3"/>
  <c r="Q265" i="3"/>
  <c r="P265" i="3"/>
  <c r="O265" i="3"/>
  <c r="N265" i="3"/>
  <c r="M265" i="3"/>
  <c r="L265" i="3"/>
  <c r="K265" i="3"/>
  <c r="I265" i="3"/>
  <c r="H265" i="3"/>
  <c r="BZ264" i="3"/>
  <c r="BY264" i="3"/>
  <c r="BX264" i="3"/>
  <c r="BW264" i="3"/>
  <c r="BV264" i="3"/>
  <c r="BU264" i="3"/>
  <c r="BT264" i="3"/>
  <c r="BS264" i="3"/>
  <c r="BR264" i="3"/>
  <c r="BQ264" i="3"/>
  <c r="BP264" i="3"/>
  <c r="BO264" i="3"/>
  <c r="BN264" i="3"/>
  <c r="BM264" i="3"/>
  <c r="BL264" i="3"/>
  <c r="BK264" i="3"/>
  <c r="BJ264" i="3"/>
  <c r="BI264" i="3"/>
  <c r="BH264" i="3"/>
  <c r="BG264" i="3"/>
  <c r="BF264" i="3"/>
  <c r="BE264" i="3"/>
  <c r="BD264" i="3"/>
  <c r="BC264" i="3"/>
  <c r="BB264" i="3"/>
  <c r="BA264" i="3"/>
  <c r="AZ264" i="3"/>
  <c r="AY264" i="3"/>
  <c r="AX264" i="3"/>
  <c r="AW264" i="3"/>
  <c r="AV264" i="3"/>
  <c r="AU264" i="3"/>
  <c r="AT264" i="3"/>
  <c r="AS264" i="3"/>
  <c r="AR264" i="3"/>
  <c r="AQ264" i="3"/>
  <c r="AP264" i="3"/>
  <c r="AO264" i="3"/>
  <c r="AN264" i="3"/>
  <c r="AM264" i="3"/>
  <c r="AL264" i="3"/>
  <c r="AK264" i="3"/>
  <c r="AJ264" i="3"/>
  <c r="AI264" i="3"/>
  <c r="AH264" i="3"/>
  <c r="AG264" i="3"/>
  <c r="AF264" i="3"/>
  <c r="AE264" i="3"/>
  <c r="AD264" i="3"/>
  <c r="AC264" i="3"/>
  <c r="AB264" i="3"/>
  <c r="AA264" i="3"/>
  <c r="Z264" i="3"/>
  <c r="Y264" i="3"/>
  <c r="X264" i="3"/>
  <c r="W264" i="3"/>
  <c r="V264" i="3"/>
  <c r="U264" i="3"/>
  <c r="T264" i="3"/>
  <c r="S264" i="3"/>
  <c r="R264" i="3"/>
  <c r="Q264" i="3"/>
  <c r="P264" i="3"/>
  <c r="O264" i="3"/>
  <c r="N264" i="3"/>
  <c r="M264" i="3"/>
  <c r="L264" i="3"/>
  <c r="K264" i="3"/>
  <c r="I264" i="3"/>
  <c r="H264" i="3"/>
  <c r="BZ263" i="3"/>
  <c r="BY263" i="3"/>
  <c r="BX263" i="3"/>
  <c r="BW263" i="3"/>
  <c r="BV263" i="3"/>
  <c r="BU263" i="3"/>
  <c r="BT263" i="3"/>
  <c r="BS263" i="3"/>
  <c r="BR263" i="3"/>
  <c r="BQ263" i="3"/>
  <c r="BP263" i="3"/>
  <c r="BO263" i="3"/>
  <c r="BN263" i="3"/>
  <c r="BM263" i="3"/>
  <c r="BL263" i="3"/>
  <c r="BK263" i="3"/>
  <c r="BJ263" i="3"/>
  <c r="BI263" i="3"/>
  <c r="BH263" i="3"/>
  <c r="BG263" i="3"/>
  <c r="BF263" i="3"/>
  <c r="BE263" i="3"/>
  <c r="BD263" i="3"/>
  <c r="BC263" i="3"/>
  <c r="BB263" i="3"/>
  <c r="BA263" i="3"/>
  <c r="AZ263" i="3"/>
  <c r="AY263" i="3"/>
  <c r="AX263" i="3"/>
  <c r="AW263" i="3"/>
  <c r="AV263" i="3"/>
  <c r="AU263" i="3"/>
  <c r="AT263" i="3"/>
  <c r="AS263" i="3"/>
  <c r="AR263" i="3"/>
  <c r="AQ263" i="3"/>
  <c r="AP263" i="3"/>
  <c r="AO263" i="3"/>
  <c r="AN263" i="3"/>
  <c r="AM263" i="3"/>
  <c r="AL263" i="3"/>
  <c r="AK263" i="3"/>
  <c r="AJ263" i="3"/>
  <c r="AI263" i="3"/>
  <c r="AH263" i="3"/>
  <c r="AG263" i="3"/>
  <c r="AF263" i="3"/>
  <c r="AE263" i="3"/>
  <c r="AD263" i="3"/>
  <c r="AC263" i="3"/>
  <c r="AB263" i="3"/>
  <c r="AA263" i="3"/>
  <c r="Z263" i="3"/>
  <c r="Y263" i="3"/>
  <c r="X263" i="3"/>
  <c r="W263" i="3"/>
  <c r="V263" i="3"/>
  <c r="U263" i="3"/>
  <c r="T263" i="3"/>
  <c r="S263" i="3"/>
  <c r="R263" i="3"/>
  <c r="Q263" i="3"/>
  <c r="P263" i="3"/>
  <c r="O263" i="3"/>
  <c r="N263" i="3"/>
  <c r="M263" i="3"/>
  <c r="L263" i="3"/>
  <c r="K263" i="3"/>
  <c r="I263" i="3"/>
  <c r="H263" i="3"/>
  <c r="BZ262" i="3"/>
  <c r="BY262" i="3"/>
  <c r="BX262" i="3"/>
  <c r="BW262" i="3"/>
  <c r="BV262" i="3"/>
  <c r="BU262" i="3"/>
  <c r="BT262" i="3"/>
  <c r="BS262" i="3"/>
  <c r="BR262" i="3"/>
  <c r="BQ262" i="3"/>
  <c r="BP262" i="3"/>
  <c r="BO262" i="3"/>
  <c r="BN262" i="3"/>
  <c r="BM262" i="3"/>
  <c r="BL262" i="3"/>
  <c r="BK262" i="3"/>
  <c r="BJ262" i="3"/>
  <c r="BI262" i="3"/>
  <c r="BH262" i="3"/>
  <c r="BG262" i="3"/>
  <c r="BF262" i="3"/>
  <c r="BE262" i="3"/>
  <c r="BD262" i="3"/>
  <c r="BC262" i="3"/>
  <c r="BB262" i="3"/>
  <c r="BA262" i="3"/>
  <c r="AZ262" i="3"/>
  <c r="AY262" i="3"/>
  <c r="AX262" i="3"/>
  <c r="AW262" i="3"/>
  <c r="AV262" i="3"/>
  <c r="AU262" i="3"/>
  <c r="AT262" i="3"/>
  <c r="AS262" i="3"/>
  <c r="AR262" i="3"/>
  <c r="AQ262" i="3"/>
  <c r="AP262" i="3"/>
  <c r="AO262" i="3"/>
  <c r="AN262" i="3"/>
  <c r="AM262" i="3"/>
  <c r="AL262" i="3"/>
  <c r="AK262" i="3"/>
  <c r="AJ262" i="3"/>
  <c r="AI262" i="3"/>
  <c r="AH262" i="3"/>
  <c r="AG262" i="3"/>
  <c r="AF262" i="3"/>
  <c r="AE262" i="3"/>
  <c r="AD262" i="3"/>
  <c r="AC262" i="3"/>
  <c r="AB262" i="3"/>
  <c r="AA262" i="3"/>
  <c r="Z262" i="3"/>
  <c r="Y262" i="3"/>
  <c r="X262" i="3"/>
  <c r="W262" i="3"/>
  <c r="V262" i="3"/>
  <c r="U262" i="3"/>
  <c r="T262" i="3"/>
  <c r="S262" i="3"/>
  <c r="R262" i="3"/>
  <c r="Q262" i="3"/>
  <c r="P262" i="3"/>
  <c r="O262" i="3"/>
  <c r="N262" i="3"/>
  <c r="M262" i="3"/>
  <c r="L262" i="3"/>
  <c r="K262" i="3"/>
  <c r="I262" i="3"/>
  <c r="H262" i="3"/>
  <c r="BZ261" i="3"/>
  <c r="BY261" i="3"/>
  <c r="BX261" i="3"/>
  <c r="BW261" i="3"/>
  <c r="BV261" i="3"/>
  <c r="BU261" i="3"/>
  <c r="BT261" i="3"/>
  <c r="BS261" i="3"/>
  <c r="BR261" i="3"/>
  <c r="BQ261" i="3"/>
  <c r="BP261" i="3"/>
  <c r="BO261" i="3"/>
  <c r="BN261" i="3"/>
  <c r="BM261" i="3"/>
  <c r="BL261" i="3"/>
  <c r="BK261" i="3"/>
  <c r="BJ261" i="3"/>
  <c r="BI261" i="3"/>
  <c r="BH261" i="3"/>
  <c r="BG261" i="3"/>
  <c r="BF261" i="3"/>
  <c r="BE261" i="3"/>
  <c r="BD261" i="3"/>
  <c r="BC261" i="3"/>
  <c r="BB261" i="3"/>
  <c r="BA261" i="3"/>
  <c r="AZ261" i="3"/>
  <c r="AY261" i="3"/>
  <c r="AX261" i="3"/>
  <c r="AW261" i="3"/>
  <c r="AV261" i="3"/>
  <c r="AU261" i="3"/>
  <c r="AT261" i="3"/>
  <c r="AS261" i="3"/>
  <c r="AR261" i="3"/>
  <c r="AQ261" i="3"/>
  <c r="AP261" i="3"/>
  <c r="AO261" i="3"/>
  <c r="AN261" i="3"/>
  <c r="AM261" i="3"/>
  <c r="AL261" i="3"/>
  <c r="AK261" i="3"/>
  <c r="AJ261" i="3"/>
  <c r="AI261" i="3"/>
  <c r="AH261" i="3"/>
  <c r="AG261" i="3"/>
  <c r="AF261" i="3"/>
  <c r="AE261" i="3"/>
  <c r="AD261" i="3"/>
  <c r="AC261" i="3"/>
  <c r="AB261" i="3"/>
  <c r="AA261" i="3"/>
  <c r="Z261" i="3"/>
  <c r="Y261" i="3"/>
  <c r="X261" i="3"/>
  <c r="W261" i="3"/>
  <c r="V261" i="3"/>
  <c r="U261" i="3"/>
  <c r="T261" i="3"/>
  <c r="S261" i="3"/>
  <c r="R261" i="3"/>
  <c r="Q261" i="3"/>
  <c r="P261" i="3"/>
  <c r="O261" i="3"/>
  <c r="N261" i="3"/>
  <c r="M261" i="3"/>
  <c r="L261" i="3"/>
  <c r="K261" i="3"/>
  <c r="I261" i="3"/>
  <c r="H261" i="3"/>
  <c r="BZ260" i="3"/>
  <c r="BY260" i="3"/>
  <c r="BX260" i="3"/>
  <c r="BW260" i="3"/>
  <c r="BV260" i="3"/>
  <c r="BU260" i="3"/>
  <c r="BT260" i="3"/>
  <c r="BS260" i="3"/>
  <c r="BR260" i="3"/>
  <c r="BQ260" i="3"/>
  <c r="BP260" i="3"/>
  <c r="BO260" i="3"/>
  <c r="BN260" i="3"/>
  <c r="BM260" i="3"/>
  <c r="BL260" i="3"/>
  <c r="BK260" i="3"/>
  <c r="BJ260" i="3"/>
  <c r="BI260" i="3"/>
  <c r="BH260" i="3"/>
  <c r="BG260" i="3"/>
  <c r="BF260" i="3"/>
  <c r="BE260" i="3"/>
  <c r="BD260" i="3"/>
  <c r="BC260" i="3"/>
  <c r="BB260" i="3"/>
  <c r="BA260" i="3"/>
  <c r="AZ260" i="3"/>
  <c r="AY260" i="3"/>
  <c r="AX260" i="3"/>
  <c r="AW260" i="3"/>
  <c r="AV260" i="3"/>
  <c r="AU260" i="3"/>
  <c r="AT260" i="3"/>
  <c r="AS260" i="3"/>
  <c r="AR260" i="3"/>
  <c r="AQ260" i="3"/>
  <c r="AP260" i="3"/>
  <c r="AO260" i="3"/>
  <c r="AN260" i="3"/>
  <c r="AM260" i="3"/>
  <c r="AL260" i="3"/>
  <c r="AK260" i="3"/>
  <c r="AJ260" i="3"/>
  <c r="AI260" i="3"/>
  <c r="AH260" i="3"/>
  <c r="AG260" i="3"/>
  <c r="AF260" i="3"/>
  <c r="AE260" i="3"/>
  <c r="AD260" i="3"/>
  <c r="AC260" i="3"/>
  <c r="AB260" i="3"/>
  <c r="AA260" i="3"/>
  <c r="Z260" i="3"/>
  <c r="Y260" i="3"/>
  <c r="X260" i="3"/>
  <c r="W260" i="3"/>
  <c r="V260" i="3"/>
  <c r="U260" i="3"/>
  <c r="T260" i="3"/>
  <c r="S260" i="3"/>
  <c r="R260" i="3"/>
  <c r="Q260" i="3"/>
  <c r="P260" i="3"/>
  <c r="O260" i="3"/>
  <c r="N260" i="3"/>
  <c r="M260" i="3"/>
  <c r="L260" i="3"/>
  <c r="K260" i="3"/>
  <c r="I260" i="3"/>
  <c r="H260" i="3"/>
  <c r="BZ259" i="3"/>
  <c r="BY259" i="3"/>
  <c r="BX259" i="3"/>
  <c r="BW259" i="3"/>
  <c r="BV259" i="3"/>
  <c r="BU259" i="3"/>
  <c r="BT259" i="3"/>
  <c r="BS259" i="3"/>
  <c r="BR259" i="3"/>
  <c r="BQ259" i="3"/>
  <c r="BP259" i="3"/>
  <c r="BO259" i="3"/>
  <c r="BN259" i="3"/>
  <c r="BM259" i="3"/>
  <c r="BL259" i="3"/>
  <c r="BK259" i="3"/>
  <c r="BJ259" i="3"/>
  <c r="BI259" i="3"/>
  <c r="BH259" i="3"/>
  <c r="BG259" i="3"/>
  <c r="BF259" i="3"/>
  <c r="BE259" i="3"/>
  <c r="BD259" i="3"/>
  <c r="BC259" i="3"/>
  <c r="BB259" i="3"/>
  <c r="BA259" i="3"/>
  <c r="AZ259" i="3"/>
  <c r="AY259" i="3"/>
  <c r="AX259" i="3"/>
  <c r="AW259" i="3"/>
  <c r="AV259" i="3"/>
  <c r="AU259" i="3"/>
  <c r="AT259" i="3"/>
  <c r="AS259" i="3"/>
  <c r="AR259" i="3"/>
  <c r="AQ259" i="3"/>
  <c r="AP259" i="3"/>
  <c r="AO259" i="3"/>
  <c r="AN259" i="3"/>
  <c r="AM259" i="3"/>
  <c r="AL259" i="3"/>
  <c r="AK259" i="3"/>
  <c r="AJ259" i="3"/>
  <c r="AI259" i="3"/>
  <c r="AH259" i="3"/>
  <c r="AG259" i="3"/>
  <c r="AF259" i="3"/>
  <c r="AE259" i="3"/>
  <c r="AD259" i="3"/>
  <c r="AC259" i="3"/>
  <c r="AB259" i="3"/>
  <c r="AA259" i="3"/>
  <c r="Z259" i="3"/>
  <c r="Y259" i="3"/>
  <c r="X259" i="3"/>
  <c r="W259" i="3"/>
  <c r="V259" i="3"/>
  <c r="U259" i="3"/>
  <c r="T259" i="3"/>
  <c r="S259" i="3"/>
  <c r="R259" i="3"/>
  <c r="Q259" i="3"/>
  <c r="P259" i="3"/>
  <c r="O259" i="3"/>
  <c r="N259" i="3"/>
  <c r="M259" i="3"/>
  <c r="L259" i="3"/>
  <c r="K259" i="3"/>
  <c r="I259" i="3"/>
  <c r="H259" i="3"/>
  <c r="BZ258" i="3"/>
  <c r="BY258" i="3"/>
  <c r="BX258" i="3"/>
  <c r="BW258" i="3"/>
  <c r="BV258" i="3"/>
  <c r="BU258" i="3"/>
  <c r="BT258" i="3"/>
  <c r="BS258" i="3"/>
  <c r="BR258" i="3"/>
  <c r="BQ258" i="3"/>
  <c r="BP258" i="3"/>
  <c r="BO258" i="3"/>
  <c r="BN258" i="3"/>
  <c r="BM258" i="3"/>
  <c r="BL258" i="3"/>
  <c r="BK258" i="3"/>
  <c r="BJ258" i="3"/>
  <c r="BI258" i="3"/>
  <c r="BH258" i="3"/>
  <c r="BG258" i="3"/>
  <c r="BF258" i="3"/>
  <c r="BE258" i="3"/>
  <c r="BD258" i="3"/>
  <c r="BC258" i="3"/>
  <c r="BB258" i="3"/>
  <c r="BA258" i="3"/>
  <c r="AZ258" i="3"/>
  <c r="AY258" i="3"/>
  <c r="AX258" i="3"/>
  <c r="AW258" i="3"/>
  <c r="AV258" i="3"/>
  <c r="AU258" i="3"/>
  <c r="AT258" i="3"/>
  <c r="AS258" i="3"/>
  <c r="AR258" i="3"/>
  <c r="AQ258" i="3"/>
  <c r="AP258" i="3"/>
  <c r="AO258" i="3"/>
  <c r="AN258" i="3"/>
  <c r="AM258" i="3"/>
  <c r="AL258" i="3"/>
  <c r="AK258" i="3"/>
  <c r="AJ258" i="3"/>
  <c r="AI258" i="3"/>
  <c r="AH258" i="3"/>
  <c r="AG258" i="3"/>
  <c r="AF258" i="3"/>
  <c r="AE258" i="3"/>
  <c r="AD258" i="3"/>
  <c r="AC258" i="3"/>
  <c r="AB258" i="3"/>
  <c r="AA258" i="3"/>
  <c r="Z258" i="3"/>
  <c r="Y258" i="3"/>
  <c r="X258" i="3"/>
  <c r="W258" i="3"/>
  <c r="V258" i="3"/>
  <c r="U258" i="3"/>
  <c r="T258" i="3"/>
  <c r="S258" i="3"/>
  <c r="R258" i="3"/>
  <c r="Q258" i="3"/>
  <c r="P258" i="3"/>
  <c r="O258" i="3"/>
  <c r="N258" i="3"/>
  <c r="M258" i="3"/>
  <c r="L258" i="3"/>
  <c r="K258" i="3"/>
  <c r="I258" i="3"/>
  <c r="H258" i="3"/>
  <c r="BZ257" i="3"/>
  <c r="BY257" i="3"/>
  <c r="BX257" i="3"/>
  <c r="BW257" i="3"/>
  <c r="BV257" i="3"/>
  <c r="BU257" i="3"/>
  <c r="BT257" i="3"/>
  <c r="BS257" i="3"/>
  <c r="BR257" i="3"/>
  <c r="BQ257" i="3"/>
  <c r="BP257" i="3"/>
  <c r="BO257" i="3"/>
  <c r="BN257" i="3"/>
  <c r="BM257" i="3"/>
  <c r="BL257" i="3"/>
  <c r="BK257" i="3"/>
  <c r="BJ257" i="3"/>
  <c r="BI257" i="3"/>
  <c r="BH257" i="3"/>
  <c r="BG257" i="3"/>
  <c r="BF257" i="3"/>
  <c r="BE257" i="3"/>
  <c r="BD257" i="3"/>
  <c r="BC257" i="3"/>
  <c r="BB257" i="3"/>
  <c r="BA257" i="3"/>
  <c r="AZ257" i="3"/>
  <c r="AY257" i="3"/>
  <c r="AX257" i="3"/>
  <c r="AW257" i="3"/>
  <c r="AV257" i="3"/>
  <c r="AU257" i="3"/>
  <c r="AT257" i="3"/>
  <c r="AS257" i="3"/>
  <c r="AR257" i="3"/>
  <c r="AQ257" i="3"/>
  <c r="AP257" i="3"/>
  <c r="AO257" i="3"/>
  <c r="AN257" i="3"/>
  <c r="AM257" i="3"/>
  <c r="AL257" i="3"/>
  <c r="AK257" i="3"/>
  <c r="AJ257" i="3"/>
  <c r="AI257" i="3"/>
  <c r="AH257" i="3"/>
  <c r="AG257" i="3"/>
  <c r="AF257" i="3"/>
  <c r="AE257" i="3"/>
  <c r="AD257" i="3"/>
  <c r="AC257" i="3"/>
  <c r="AB257" i="3"/>
  <c r="AA257" i="3"/>
  <c r="Z257" i="3"/>
  <c r="Y257" i="3"/>
  <c r="X257" i="3"/>
  <c r="W257" i="3"/>
  <c r="V257" i="3"/>
  <c r="U257" i="3"/>
  <c r="T257" i="3"/>
  <c r="S257" i="3"/>
  <c r="R257" i="3"/>
  <c r="Q257" i="3"/>
  <c r="P257" i="3"/>
  <c r="O257" i="3"/>
  <c r="N257" i="3"/>
  <c r="M257" i="3"/>
  <c r="L257" i="3"/>
  <c r="K257" i="3"/>
  <c r="I257" i="3"/>
  <c r="H257" i="3"/>
  <c r="BZ256" i="3"/>
  <c r="BY256" i="3"/>
  <c r="BX256" i="3"/>
  <c r="BW256" i="3"/>
  <c r="BV256" i="3"/>
  <c r="BU256" i="3"/>
  <c r="BT256" i="3"/>
  <c r="BS256" i="3"/>
  <c r="BR256" i="3"/>
  <c r="BQ256" i="3"/>
  <c r="BP256" i="3"/>
  <c r="BO256" i="3"/>
  <c r="BN256" i="3"/>
  <c r="BM256" i="3"/>
  <c r="BL256" i="3"/>
  <c r="BK256" i="3"/>
  <c r="BJ256" i="3"/>
  <c r="BI256" i="3"/>
  <c r="BH256" i="3"/>
  <c r="BG256" i="3"/>
  <c r="BF256" i="3"/>
  <c r="BE256" i="3"/>
  <c r="BD256" i="3"/>
  <c r="BC256" i="3"/>
  <c r="BB256" i="3"/>
  <c r="BA256" i="3"/>
  <c r="AZ256" i="3"/>
  <c r="AY256" i="3"/>
  <c r="AX256" i="3"/>
  <c r="AW256" i="3"/>
  <c r="AV256" i="3"/>
  <c r="AU256" i="3"/>
  <c r="AT256" i="3"/>
  <c r="AS256" i="3"/>
  <c r="AR256" i="3"/>
  <c r="AQ256" i="3"/>
  <c r="AP256" i="3"/>
  <c r="AO256" i="3"/>
  <c r="AN256" i="3"/>
  <c r="AM256" i="3"/>
  <c r="AL256" i="3"/>
  <c r="AK256" i="3"/>
  <c r="AJ256" i="3"/>
  <c r="AI256" i="3"/>
  <c r="AH256" i="3"/>
  <c r="AG256" i="3"/>
  <c r="AF256" i="3"/>
  <c r="AE256" i="3"/>
  <c r="AD256" i="3"/>
  <c r="AC256" i="3"/>
  <c r="AB256" i="3"/>
  <c r="AA256" i="3"/>
  <c r="Z256" i="3"/>
  <c r="Y256" i="3"/>
  <c r="X256" i="3"/>
  <c r="W256" i="3"/>
  <c r="V256" i="3"/>
  <c r="U256" i="3"/>
  <c r="T256" i="3"/>
  <c r="S256" i="3"/>
  <c r="R256" i="3"/>
  <c r="Q256" i="3"/>
  <c r="P256" i="3"/>
  <c r="O256" i="3"/>
  <c r="N256" i="3"/>
  <c r="M256" i="3"/>
  <c r="L256" i="3"/>
  <c r="K256" i="3"/>
  <c r="I256" i="3"/>
  <c r="H256" i="3"/>
  <c r="BZ255" i="3"/>
  <c r="BY255" i="3"/>
  <c r="BX255" i="3"/>
  <c r="BW255" i="3"/>
  <c r="BV255" i="3"/>
  <c r="BU255" i="3"/>
  <c r="BT255" i="3"/>
  <c r="BS255" i="3"/>
  <c r="BR255" i="3"/>
  <c r="BQ255" i="3"/>
  <c r="BP255" i="3"/>
  <c r="BO255" i="3"/>
  <c r="BN255" i="3"/>
  <c r="BM255" i="3"/>
  <c r="BL255" i="3"/>
  <c r="BK255" i="3"/>
  <c r="BJ255" i="3"/>
  <c r="BI255" i="3"/>
  <c r="BH255" i="3"/>
  <c r="BG255" i="3"/>
  <c r="BF255" i="3"/>
  <c r="BE255" i="3"/>
  <c r="BD255" i="3"/>
  <c r="BC255" i="3"/>
  <c r="BB255" i="3"/>
  <c r="BA255" i="3"/>
  <c r="AZ255" i="3"/>
  <c r="AY255" i="3"/>
  <c r="AX255" i="3"/>
  <c r="AW255" i="3"/>
  <c r="AV255" i="3"/>
  <c r="AU255" i="3"/>
  <c r="AT255" i="3"/>
  <c r="AS255" i="3"/>
  <c r="AR255" i="3"/>
  <c r="AQ255" i="3"/>
  <c r="AP255" i="3"/>
  <c r="AO255" i="3"/>
  <c r="AN255" i="3"/>
  <c r="AM255" i="3"/>
  <c r="AL255" i="3"/>
  <c r="AK255" i="3"/>
  <c r="AJ255" i="3"/>
  <c r="AI255" i="3"/>
  <c r="AH255" i="3"/>
  <c r="AG255" i="3"/>
  <c r="AF255" i="3"/>
  <c r="AE255" i="3"/>
  <c r="AD255" i="3"/>
  <c r="AC255" i="3"/>
  <c r="AB255" i="3"/>
  <c r="AA255" i="3"/>
  <c r="Z255" i="3"/>
  <c r="Y255" i="3"/>
  <c r="X255" i="3"/>
  <c r="W255" i="3"/>
  <c r="V255" i="3"/>
  <c r="U255" i="3"/>
  <c r="T255" i="3"/>
  <c r="S255" i="3"/>
  <c r="R255" i="3"/>
  <c r="Q255" i="3"/>
  <c r="P255" i="3"/>
  <c r="O255" i="3"/>
  <c r="N255" i="3"/>
  <c r="M255" i="3"/>
  <c r="L255" i="3"/>
  <c r="K255" i="3"/>
  <c r="I255" i="3"/>
  <c r="H255" i="3"/>
  <c r="BZ254" i="3"/>
  <c r="BY254" i="3"/>
  <c r="BX254" i="3"/>
  <c r="BW254" i="3"/>
  <c r="BV254" i="3"/>
  <c r="BU254" i="3"/>
  <c r="BT254" i="3"/>
  <c r="BS254" i="3"/>
  <c r="BR254" i="3"/>
  <c r="BQ254" i="3"/>
  <c r="BP254" i="3"/>
  <c r="BO254" i="3"/>
  <c r="BN254" i="3"/>
  <c r="BM254" i="3"/>
  <c r="BL254" i="3"/>
  <c r="BK254" i="3"/>
  <c r="BJ254" i="3"/>
  <c r="BI254" i="3"/>
  <c r="BH254" i="3"/>
  <c r="BG254" i="3"/>
  <c r="BF254" i="3"/>
  <c r="BE254" i="3"/>
  <c r="BD254" i="3"/>
  <c r="BC254" i="3"/>
  <c r="BB254" i="3"/>
  <c r="BA254" i="3"/>
  <c r="AZ254" i="3"/>
  <c r="AY254" i="3"/>
  <c r="AX254" i="3"/>
  <c r="AW254" i="3"/>
  <c r="AV254" i="3"/>
  <c r="AU254" i="3"/>
  <c r="AT254" i="3"/>
  <c r="AS254" i="3"/>
  <c r="AR254" i="3"/>
  <c r="AQ254" i="3"/>
  <c r="AP254" i="3"/>
  <c r="AO254" i="3"/>
  <c r="AN254" i="3"/>
  <c r="AM254" i="3"/>
  <c r="AL254" i="3"/>
  <c r="AK254" i="3"/>
  <c r="AJ254" i="3"/>
  <c r="AI254" i="3"/>
  <c r="AH254" i="3"/>
  <c r="AG254" i="3"/>
  <c r="AF254" i="3"/>
  <c r="AE254" i="3"/>
  <c r="AD254" i="3"/>
  <c r="AC254" i="3"/>
  <c r="AB254" i="3"/>
  <c r="AA254" i="3"/>
  <c r="Z254" i="3"/>
  <c r="Y254" i="3"/>
  <c r="X254" i="3"/>
  <c r="W254" i="3"/>
  <c r="V254" i="3"/>
  <c r="U254" i="3"/>
  <c r="T254" i="3"/>
  <c r="S254" i="3"/>
  <c r="R254" i="3"/>
  <c r="Q254" i="3"/>
  <c r="P254" i="3"/>
  <c r="O254" i="3"/>
  <c r="N254" i="3"/>
  <c r="M254" i="3"/>
  <c r="L254" i="3"/>
  <c r="K254" i="3"/>
  <c r="I254" i="3"/>
  <c r="H254" i="3"/>
  <c r="BZ253" i="3"/>
  <c r="BY253" i="3"/>
  <c r="BX253" i="3"/>
  <c r="BW253" i="3"/>
  <c r="BV253" i="3"/>
  <c r="BU253" i="3"/>
  <c r="BT253" i="3"/>
  <c r="BS253" i="3"/>
  <c r="BR253" i="3"/>
  <c r="BQ253" i="3"/>
  <c r="BP253" i="3"/>
  <c r="BO253" i="3"/>
  <c r="BN253" i="3"/>
  <c r="BM253" i="3"/>
  <c r="BL253" i="3"/>
  <c r="BK253" i="3"/>
  <c r="BJ253" i="3"/>
  <c r="BI253" i="3"/>
  <c r="BH253" i="3"/>
  <c r="BG253" i="3"/>
  <c r="BF253" i="3"/>
  <c r="BE253" i="3"/>
  <c r="BD253" i="3"/>
  <c r="BC253" i="3"/>
  <c r="BB253" i="3"/>
  <c r="BA253" i="3"/>
  <c r="AZ253" i="3"/>
  <c r="AY253" i="3"/>
  <c r="AX253" i="3"/>
  <c r="AW253" i="3"/>
  <c r="AV253" i="3"/>
  <c r="AU253" i="3"/>
  <c r="AT253" i="3"/>
  <c r="AS253" i="3"/>
  <c r="AR253" i="3"/>
  <c r="AQ253" i="3"/>
  <c r="AP253" i="3"/>
  <c r="AO253" i="3"/>
  <c r="AN253" i="3"/>
  <c r="AM253" i="3"/>
  <c r="AL253" i="3"/>
  <c r="AK253" i="3"/>
  <c r="AJ253" i="3"/>
  <c r="AI253" i="3"/>
  <c r="AH253" i="3"/>
  <c r="AG253" i="3"/>
  <c r="AF253" i="3"/>
  <c r="AE253" i="3"/>
  <c r="AD253" i="3"/>
  <c r="AC253" i="3"/>
  <c r="AB253" i="3"/>
  <c r="AA253" i="3"/>
  <c r="Z253" i="3"/>
  <c r="Y253" i="3"/>
  <c r="X253" i="3"/>
  <c r="W253" i="3"/>
  <c r="V253" i="3"/>
  <c r="U253" i="3"/>
  <c r="T253" i="3"/>
  <c r="S253" i="3"/>
  <c r="R253" i="3"/>
  <c r="Q253" i="3"/>
  <c r="P253" i="3"/>
  <c r="O253" i="3"/>
  <c r="N253" i="3"/>
  <c r="M253" i="3"/>
  <c r="L253" i="3"/>
  <c r="K253" i="3"/>
  <c r="I253" i="3"/>
  <c r="H253" i="3"/>
  <c r="BZ252" i="3"/>
  <c r="BY252" i="3"/>
  <c r="BX252" i="3"/>
  <c r="BW252" i="3"/>
  <c r="BV252" i="3"/>
  <c r="BU252" i="3"/>
  <c r="BT252" i="3"/>
  <c r="BS252" i="3"/>
  <c r="BR252" i="3"/>
  <c r="BQ252" i="3"/>
  <c r="BP252" i="3"/>
  <c r="BO252" i="3"/>
  <c r="BN252" i="3"/>
  <c r="BM252" i="3"/>
  <c r="BL252" i="3"/>
  <c r="BK252" i="3"/>
  <c r="BJ252" i="3"/>
  <c r="BI252" i="3"/>
  <c r="BH252" i="3"/>
  <c r="BG252" i="3"/>
  <c r="BF252" i="3"/>
  <c r="BE252" i="3"/>
  <c r="BD252" i="3"/>
  <c r="BC252" i="3"/>
  <c r="BB252" i="3"/>
  <c r="BA252" i="3"/>
  <c r="AZ252" i="3"/>
  <c r="AY252" i="3"/>
  <c r="AX252" i="3"/>
  <c r="AW252" i="3"/>
  <c r="AV252" i="3"/>
  <c r="AU252" i="3"/>
  <c r="AT252" i="3"/>
  <c r="AS252" i="3"/>
  <c r="AR252" i="3"/>
  <c r="AQ252" i="3"/>
  <c r="AP252" i="3"/>
  <c r="AO252" i="3"/>
  <c r="AN252" i="3"/>
  <c r="AM252" i="3"/>
  <c r="AL252" i="3"/>
  <c r="AK252" i="3"/>
  <c r="AJ252" i="3"/>
  <c r="AI252" i="3"/>
  <c r="AH252" i="3"/>
  <c r="AG252" i="3"/>
  <c r="AF252" i="3"/>
  <c r="AE252" i="3"/>
  <c r="AD252" i="3"/>
  <c r="AC252" i="3"/>
  <c r="AB252" i="3"/>
  <c r="AA252" i="3"/>
  <c r="Z252" i="3"/>
  <c r="Y252" i="3"/>
  <c r="X252" i="3"/>
  <c r="W252" i="3"/>
  <c r="V252" i="3"/>
  <c r="U252" i="3"/>
  <c r="T252" i="3"/>
  <c r="S252" i="3"/>
  <c r="R252" i="3"/>
  <c r="Q252" i="3"/>
  <c r="P252" i="3"/>
  <c r="O252" i="3"/>
  <c r="N252" i="3"/>
  <c r="M252" i="3"/>
  <c r="L252" i="3"/>
  <c r="K252" i="3"/>
  <c r="I252" i="3"/>
  <c r="H252" i="3"/>
  <c r="BZ251" i="3"/>
  <c r="BY251" i="3"/>
  <c r="BX251" i="3"/>
  <c r="BW251" i="3"/>
  <c r="BV251" i="3"/>
  <c r="BU251" i="3"/>
  <c r="BT251" i="3"/>
  <c r="BS251" i="3"/>
  <c r="BR251" i="3"/>
  <c r="BQ251" i="3"/>
  <c r="BP251" i="3"/>
  <c r="BO251" i="3"/>
  <c r="BN251" i="3"/>
  <c r="BM251" i="3"/>
  <c r="BL251" i="3"/>
  <c r="BK251" i="3"/>
  <c r="BJ251" i="3"/>
  <c r="BI251" i="3"/>
  <c r="BH251" i="3"/>
  <c r="BG251" i="3"/>
  <c r="BF251" i="3"/>
  <c r="BE251" i="3"/>
  <c r="BD251" i="3"/>
  <c r="BC251" i="3"/>
  <c r="BB251" i="3"/>
  <c r="BA251" i="3"/>
  <c r="AZ251" i="3"/>
  <c r="AY251" i="3"/>
  <c r="AX251" i="3"/>
  <c r="AW251" i="3"/>
  <c r="AV251" i="3"/>
  <c r="AU251" i="3"/>
  <c r="AT251" i="3"/>
  <c r="AS251" i="3"/>
  <c r="AR251" i="3"/>
  <c r="AQ251" i="3"/>
  <c r="AP251" i="3"/>
  <c r="AO251" i="3"/>
  <c r="AN251" i="3"/>
  <c r="AM251" i="3"/>
  <c r="AL251" i="3"/>
  <c r="AK251" i="3"/>
  <c r="AJ251" i="3"/>
  <c r="AI251" i="3"/>
  <c r="AH251" i="3"/>
  <c r="AG251" i="3"/>
  <c r="AF251" i="3"/>
  <c r="AE251" i="3"/>
  <c r="AD251" i="3"/>
  <c r="AC251" i="3"/>
  <c r="AB251" i="3"/>
  <c r="AA251" i="3"/>
  <c r="Z251" i="3"/>
  <c r="Y251" i="3"/>
  <c r="X251" i="3"/>
  <c r="W251" i="3"/>
  <c r="V251" i="3"/>
  <c r="U251" i="3"/>
  <c r="T251" i="3"/>
  <c r="S251" i="3"/>
  <c r="R251" i="3"/>
  <c r="Q251" i="3"/>
  <c r="P251" i="3"/>
  <c r="O251" i="3"/>
  <c r="N251" i="3"/>
  <c r="M251" i="3"/>
  <c r="L251" i="3"/>
  <c r="K251" i="3"/>
  <c r="I251" i="3"/>
  <c r="H251" i="3"/>
  <c r="BZ250" i="3"/>
  <c r="BY250" i="3"/>
  <c r="BX250" i="3"/>
  <c r="BW250" i="3"/>
  <c r="BV250" i="3"/>
  <c r="BU250" i="3"/>
  <c r="BT250" i="3"/>
  <c r="BS250" i="3"/>
  <c r="BR250" i="3"/>
  <c r="BQ250" i="3"/>
  <c r="BP250" i="3"/>
  <c r="BO250" i="3"/>
  <c r="BN250" i="3"/>
  <c r="BM250" i="3"/>
  <c r="BL250" i="3"/>
  <c r="BK250" i="3"/>
  <c r="BJ250" i="3"/>
  <c r="BI250" i="3"/>
  <c r="BH250" i="3"/>
  <c r="BG250" i="3"/>
  <c r="BF250" i="3"/>
  <c r="BE250" i="3"/>
  <c r="BD250" i="3"/>
  <c r="BC250" i="3"/>
  <c r="BB250" i="3"/>
  <c r="BA250" i="3"/>
  <c r="AZ250" i="3"/>
  <c r="AY250" i="3"/>
  <c r="AX250" i="3"/>
  <c r="AW250" i="3"/>
  <c r="AV250" i="3"/>
  <c r="AU250" i="3"/>
  <c r="AT250" i="3"/>
  <c r="AS250" i="3"/>
  <c r="AR250" i="3"/>
  <c r="AQ250" i="3"/>
  <c r="AP250" i="3"/>
  <c r="AO250" i="3"/>
  <c r="AN250" i="3"/>
  <c r="AM250" i="3"/>
  <c r="AL250" i="3"/>
  <c r="AK250" i="3"/>
  <c r="AJ250" i="3"/>
  <c r="AI250" i="3"/>
  <c r="AH250" i="3"/>
  <c r="AG250" i="3"/>
  <c r="AF250" i="3"/>
  <c r="AE250" i="3"/>
  <c r="AD250" i="3"/>
  <c r="AC250" i="3"/>
  <c r="AB250" i="3"/>
  <c r="AA250" i="3"/>
  <c r="Z250" i="3"/>
  <c r="Y250" i="3"/>
  <c r="X250" i="3"/>
  <c r="W250" i="3"/>
  <c r="V250" i="3"/>
  <c r="U250" i="3"/>
  <c r="T250" i="3"/>
  <c r="S250" i="3"/>
  <c r="R250" i="3"/>
  <c r="Q250" i="3"/>
  <c r="P250" i="3"/>
  <c r="O250" i="3"/>
  <c r="N250" i="3"/>
  <c r="M250" i="3"/>
  <c r="L250" i="3"/>
  <c r="K250" i="3"/>
  <c r="I250" i="3"/>
  <c r="H250" i="3"/>
  <c r="BZ249" i="3"/>
  <c r="BY249" i="3"/>
  <c r="BX249" i="3"/>
  <c r="BW249" i="3"/>
  <c r="BV249" i="3"/>
  <c r="BU249" i="3"/>
  <c r="BT249" i="3"/>
  <c r="BS249" i="3"/>
  <c r="BR249" i="3"/>
  <c r="BQ249" i="3"/>
  <c r="BP249" i="3"/>
  <c r="BO249" i="3"/>
  <c r="BN249" i="3"/>
  <c r="BM249" i="3"/>
  <c r="BL249" i="3"/>
  <c r="BK249" i="3"/>
  <c r="BJ249" i="3"/>
  <c r="BI249" i="3"/>
  <c r="BH249" i="3"/>
  <c r="BG249" i="3"/>
  <c r="BF249" i="3"/>
  <c r="BE249" i="3"/>
  <c r="BD249" i="3"/>
  <c r="BC249" i="3"/>
  <c r="BB249" i="3"/>
  <c r="BA249" i="3"/>
  <c r="AZ249" i="3"/>
  <c r="AY249" i="3"/>
  <c r="AX249" i="3"/>
  <c r="AW249" i="3"/>
  <c r="AV249" i="3"/>
  <c r="AU249" i="3"/>
  <c r="AT249" i="3"/>
  <c r="AS249" i="3"/>
  <c r="AR249" i="3"/>
  <c r="AQ249" i="3"/>
  <c r="AP249" i="3"/>
  <c r="AO249" i="3"/>
  <c r="AN249" i="3"/>
  <c r="AM249" i="3"/>
  <c r="AL249" i="3"/>
  <c r="AK249" i="3"/>
  <c r="AJ249" i="3"/>
  <c r="AI249" i="3"/>
  <c r="AH249" i="3"/>
  <c r="AG249" i="3"/>
  <c r="AF249" i="3"/>
  <c r="AE249" i="3"/>
  <c r="AD249" i="3"/>
  <c r="AC249" i="3"/>
  <c r="AB249" i="3"/>
  <c r="AA249" i="3"/>
  <c r="Z249" i="3"/>
  <c r="Y249" i="3"/>
  <c r="X249" i="3"/>
  <c r="W249" i="3"/>
  <c r="V249" i="3"/>
  <c r="U249" i="3"/>
  <c r="T249" i="3"/>
  <c r="S249" i="3"/>
  <c r="R249" i="3"/>
  <c r="Q249" i="3"/>
  <c r="P249" i="3"/>
  <c r="O249" i="3"/>
  <c r="N249" i="3"/>
  <c r="M249" i="3"/>
  <c r="L249" i="3"/>
  <c r="K249" i="3"/>
  <c r="I249" i="3"/>
  <c r="H249" i="3"/>
  <c r="BZ248" i="3"/>
  <c r="BY248" i="3"/>
  <c r="BX248" i="3"/>
  <c r="BW248" i="3"/>
  <c r="BV248" i="3"/>
  <c r="BU248" i="3"/>
  <c r="BT248" i="3"/>
  <c r="BS248" i="3"/>
  <c r="BR248" i="3"/>
  <c r="BQ248" i="3"/>
  <c r="BP248" i="3"/>
  <c r="BO248" i="3"/>
  <c r="BN248" i="3"/>
  <c r="BM248" i="3"/>
  <c r="BL248" i="3"/>
  <c r="BK248" i="3"/>
  <c r="BJ248" i="3"/>
  <c r="BI248" i="3"/>
  <c r="BH248" i="3"/>
  <c r="BG248" i="3"/>
  <c r="BF248" i="3"/>
  <c r="BE248" i="3"/>
  <c r="BD248" i="3"/>
  <c r="BC248" i="3"/>
  <c r="BB248" i="3"/>
  <c r="BA248" i="3"/>
  <c r="AZ248" i="3"/>
  <c r="AY248" i="3"/>
  <c r="AX248" i="3"/>
  <c r="AW248" i="3"/>
  <c r="AV248" i="3"/>
  <c r="AU248" i="3"/>
  <c r="AT248" i="3"/>
  <c r="AS248" i="3"/>
  <c r="AR248" i="3"/>
  <c r="AQ248" i="3"/>
  <c r="AP248" i="3"/>
  <c r="AO248" i="3"/>
  <c r="AN248" i="3"/>
  <c r="AM248" i="3"/>
  <c r="AL248" i="3"/>
  <c r="AK248" i="3"/>
  <c r="AJ248" i="3"/>
  <c r="AI248" i="3"/>
  <c r="AH248" i="3"/>
  <c r="AG248" i="3"/>
  <c r="AF248" i="3"/>
  <c r="AE248" i="3"/>
  <c r="AD248" i="3"/>
  <c r="AC248" i="3"/>
  <c r="AB248" i="3"/>
  <c r="AA248" i="3"/>
  <c r="Z248" i="3"/>
  <c r="Y248" i="3"/>
  <c r="X248" i="3"/>
  <c r="W248" i="3"/>
  <c r="V248" i="3"/>
  <c r="U248" i="3"/>
  <c r="T248" i="3"/>
  <c r="S248" i="3"/>
  <c r="R248" i="3"/>
  <c r="Q248" i="3"/>
  <c r="P248" i="3"/>
  <c r="O248" i="3"/>
  <c r="N248" i="3"/>
  <c r="M248" i="3"/>
  <c r="L248" i="3"/>
  <c r="K248" i="3"/>
  <c r="I248" i="3"/>
  <c r="H248" i="3"/>
  <c r="BZ247" i="3"/>
  <c r="BY247" i="3"/>
  <c r="BX247" i="3"/>
  <c r="BW247" i="3"/>
  <c r="BV247" i="3"/>
  <c r="BU247" i="3"/>
  <c r="BT247" i="3"/>
  <c r="BS247" i="3"/>
  <c r="BR247" i="3"/>
  <c r="BQ247" i="3"/>
  <c r="BP247" i="3"/>
  <c r="BO247" i="3"/>
  <c r="BN247" i="3"/>
  <c r="BM247" i="3"/>
  <c r="BL247" i="3"/>
  <c r="BK247" i="3"/>
  <c r="BJ247" i="3"/>
  <c r="BI247" i="3"/>
  <c r="BH247" i="3"/>
  <c r="BG247" i="3"/>
  <c r="BF247" i="3"/>
  <c r="BE247" i="3"/>
  <c r="BD247" i="3"/>
  <c r="BC247" i="3"/>
  <c r="BB247" i="3"/>
  <c r="BA247" i="3"/>
  <c r="AZ247" i="3"/>
  <c r="AY247" i="3"/>
  <c r="AX247" i="3"/>
  <c r="AW247" i="3"/>
  <c r="AV247" i="3"/>
  <c r="AU247" i="3"/>
  <c r="AT247" i="3"/>
  <c r="AS247" i="3"/>
  <c r="AR247" i="3"/>
  <c r="AQ247" i="3"/>
  <c r="AP247" i="3"/>
  <c r="AO247" i="3"/>
  <c r="AN247" i="3"/>
  <c r="AM247" i="3"/>
  <c r="AL247" i="3"/>
  <c r="AK247" i="3"/>
  <c r="AJ247" i="3"/>
  <c r="AI247" i="3"/>
  <c r="AH247" i="3"/>
  <c r="AG247" i="3"/>
  <c r="AF247" i="3"/>
  <c r="AE247" i="3"/>
  <c r="AD247" i="3"/>
  <c r="AC247" i="3"/>
  <c r="AB247" i="3"/>
  <c r="AA247" i="3"/>
  <c r="Z247" i="3"/>
  <c r="Y247" i="3"/>
  <c r="X247" i="3"/>
  <c r="W247" i="3"/>
  <c r="V247" i="3"/>
  <c r="U247" i="3"/>
  <c r="T247" i="3"/>
  <c r="S247" i="3"/>
  <c r="R247" i="3"/>
  <c r="Q247" i="3"/>
  <c r="P247" i="3"/>
  <c r="O247" i="3"/>
  <c r="N247" i="3"/>
  <c r="M247" i="3"/>
  <c r="L247" i="3"/>
  <c r="K247" i="3"/>
  <c r="I247" i="3"/>
  <c r="H247" i="3"/>
  <c r="BZ246" i="3"/>
  <c r="BY246" i="3"/>
  <c r="BX246" i="3"/>
  <c r="BW246" i="3"/>
  <c r="BV246" i="3"/>
  <c r="BU246" i="3"/>
  <c r="BT246" i="3"/>
  <c r="BS246" i="3"/>
  <c r="BR246" i="3"/>
  <c r="BQ246" i="3"/>
  <c r="BP246" i="3"/>
  <c r="BO246" i="3"/>
  <c r="BN246" i="3"/>
  <c r="BM246" i="3"/>
  <c r="BL246" i="3"/>
  <c r="BK246" i="3"/>
  <c r="BJ246" i="3"/>
  <c r="BI246" i="3"/>
  <c r="BH246" i="3"/>
  <c r="BG246" i="3"/>
  <c r="BF246" i="3"/>
  <c r="BE246" i="3"/>
  <c r="BD246" i="3"/>
  <c r="BC246" i="3"/>
  <c r="BB246" i="3"/>
  <c r="BA246" i="3"/>
  <c r="AZ246" i="3"/>
  <c r="AY246" i="3"/>
  <c r="AX246" i="3"/>
  <c r="AW246" i="3"/>
  <c r="AV246" i="3"/>
  <c r="AU246" i="3"/>
  <c r="AT246" i="3"/>
  <c r="AS246" i="3"/>
  <c r="AR246" i="3"/>
  <c r="AQ246" i="3"/>
  <c r="AP246" i="3"/>
  <c r="AO246" i="3"/>
  <c r="AN246" i="3"/>
  <c r="AM246" i="3"/>
  <c r="AL246" i="3"/>
  <c r="AK246" i="3"/>
  <c r="AJ246" i="3"/>
  <c r="AI246" i="3"/>
  <c r="AH246" i="3"/>
  <c r="AG246" i="3"/>
  <c r="AF246" i="3"/>
  <c r="AE246" i="3"/>
  <c r="AD246" i="3"/>
  <c r="AC246" i="3"/>
  <c r="AB246" i="3"/>
  <c r="AA246" i="3"/>
  <c r="Z246" i="3"/>
  <c r="Y246" i="3"/>
  <c r="X246" i="3"/>
  <c r="W246" i="3"/>
  <c r="V246" i="3"/>
  <c r="U246" i="3"/>
  <c r="T246" i="3"/>
  <c r="S246" i="3"/>
  <c r="R246" i="3"/>
  <c r="Q246" i="3"/>
  <c r="P246" i="3"/>
  <c r="O246" i="3"/>
  <c r="N246" i="3"/>
  <c r="M246" i="3"/>
  <c r="L246" i="3"/>
  <c r="K246" i="3"/>
  <c r="I246" i="3"/>
  <c r="H246" i="3"/>
  <c r="BZ245" i="3"/>
  <c r="BY245" i="3"/>
  <c r="BX245" i="3"/>
  <c r="BW245" i="3"/>
  <c r="BV245" i="3"/>
  <c r="BU245" i="3"/>
  <c r="BT245" i="3"/>
  <c r="BS245" i="3"/>
  <c r="BR245" i="3"/>
  <c r="BQ245" i="3"/>
  <c r="BP245" i="3"/>
  <c r="BO245" i="3"/>
  <c r="BN245" i="3"/>
  <c r="BM245" i="3"/>
  <c r="BL245" i="3"/>
  <c r="BK245" i="3"/>
  <c r="BJ245" i="3"/>
  <c r="BI245" i="3"/>
  <c r="BH245" i="3"/>
  <c r="BG245" i="3"/>
  <c r="BF245" i="3"/>
  <c r="BE245" i="3"/>
  <c r="BD245" i="3"/>
  <c r="BC245" i="3"/>
  <c r="BB245" i="3"/>
  <c r="BA245" i="3"/>
  <c r="AZ245" i="3"/>
  <c r="AY245" i="3"/>
  <c r="AX245" i="3"/>
  <c r="AW245" i="3"/>
  <c r="AV245" i="3"/>
  <c r="AU245" i="3"/>
  <c r="AT245" i="3"/>
  <c r="AS245" i="3"/>
  <c r="AR245" i="3"/>
  <c r="AQ245" i="3"/>
  <c r="AP245" i="3"/>
  <c r="AO245" i="3"/>
  <c r="AN245" i="3"/>
  <c r="AM245" i="3"/>
  <c r="AL245" i="3"/>
  <c r="AK245" i="3"/>
  <c r="AJ245" i="3"/>
  <c r="AI245" i="3"/>
  <c r="AH245" i="3"/>
  <c r="AG245" i="3"/>
  <c r="AF245" i="3"/>
  <c r="AE245" i="3"/>
  <c r="AD245" i="3"/>
  <c r="AC245" i="3"/>
  <c r="AB245" i="3"/>
  <c r="AA245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I245" i="3"/>
  <c r="H245" i="3"/>
  <c r="BZ244" i="3"/>
  <c r="BY244" i="3"/>
  <c r="BX244" i="3"/>
  <c r="BW244" i="3"/>
  <c r="BV244" i="3"/>
  <c r="BU244" i="3"/>
  <c r="BT244" i="3"/>
  <c r="BS244" i="3"/>
  <c r="BR244" i="3"/>
  <c r="BQ244" i="3"/>
  <c r="BP244" i="3"/>
  <c r="BO244" i="3"/>
  <c r="BN244" i="3"/>
  <c r="BM244" i="3"/>
  <c r="BL244" i="3"/>
  <c r="BK244" i="3"/>
  <c r="BJ244" i="3"/>
  <c r="BI244" i="3"/>
  <c r="BH244" i="3"/>
  <c r="BG244" i="3"/>
  <c r="BF244" i="3"/>
  <c r="BE244" i="3"/>
  <c r="BD244" i="3"/>
  <c r="BC244" i="3"/>
  <c r="BB244" i="3"/>
  <c r="BA244" i="3"/>
  <c r="AZ244" i="3"/>
  <c r="AY244" i="3"/>
  <c r="AX244" i="3"/>
  <c r="AW244" i="3"/>
  <c r="AV244" i="3"/>
  <c r="AU244" i="3"/>
  <c r="AT244" i="3"/>
  <c r="AS244" i="3"/>
  <c r="AR244" i="3"/>
  <c r="AQ244" i="3"/>
  <c r="AP244" i="3"/>
  <c r="AO244" i="3"/>
  <c r="AN244" i="3"/>
  <c r="AM244" i="3"/>
  <c r="AL244" i="3"/>
  <c r="AK244" i="3"/>
  <c r="AJ244" i="3"/>
  <c r="AI244" i="3"/>
  <c r="AH244" i="3"/>
  <c r="AG244" i="3"/>
  <c r="AF244" i="3"/>
  <c r="AE244" i="3"/>
  <c r="AD244" i="3"/>
  <c r="AC244" i="3"/>
  <c r="AB244" i="3"/>
  <c r="AA244" i="3"/>
  <c r="Z244" i="3"/>
  <c r="Y244" i="3"/>
  <c r="X244" i="3"/>
  <c r="W244" i="3"/>
  <c r="V244" i="3"/>
  <c r="U244" i="3"/>
  <c r="T244" i="3"/>
  <c r="S244" i="3"/>
  <c r="R244" i="3"/>
  <c r="Q244" i="3"/>
  <c r="P244" i="3"/>
  <c r="O244" i="3"/>
  <c r="N244" i="3"/>
  <c r="M244" i="3"/>
  <c r="L244" i="3"/>
  <c r="K244" i="3"/>
  <c r="I244" i="3"/>
  <c r="H244" i="3"/>
  <c r="BZ243" i="3"/>
  <c r="BY243" i="3"/>
  <c r="BX243" i="3"/>
  <c r="BW243" i="3"/>
  <c r="BV243" i="3"/>
  <c r="BU243" i="3"/>
  <c r="BT243" i="3"/>
  <c r="BS243" i="3"/>
  <c r="BR243" i="3"/>
  <c r="BQ243" i="3"/>
  <c r="BP243" i="3"/>
  <c r="BO243" i="3"/>
  <c r="BN243" i="3"/>
  <c r="BM243" i="3"/>
  <c r="BL243" i="3"/>
  <c r="BK243" i="3"/>
  <c r="BJ243" i="3"/>
  <c r="BI243" i="3"/>
  <c r="BH243" i="3"/>
  <c r="BG243" i="3"/>
  <c r="BF243" i="3"/>
  <c r="BE243" i="3"/>
  <c r="BD243" i="3"/>
  <c r="BC243" i="3"/>
  <c r="BB243" i="3"/>
  <c r="BA243" i="3"/>
  <c r="AZ243" i="3"/>
  <c r="AY243" i="3"/>
  <c r="AX243" i="3"/>
  <c r="AW243" i="3"/>
  <c r="AV243" i="3"/>
  <c r="AU243" i="3"/>
  <c r="AT243" i="3"/>
  <c r="AS243" i="3"/>
  <c r="AR243" i="3"/>
  <c r="AQ243" i="3"/>
  <c r="AP243" i="3"/>
  <c r="AO243" i="3"/>
  <c r="AN243" i="3"/>
  <c r="AM243" i="3"/>
  <c r="AL243" i="3"/>
  <c r="AK243" i="3"/>
  <c r="AJ243" i="3"/>
  <c r="AI243" i="3"/>
  <c r="AH243" i="3"/>
  <c r="AG243" i="3"/>
  <c r="AF243" i="3"/>
  <c r="AE243" i="3"/>
  <c r="AD243" i="3"/>
  <c r="AC243" i="3"/>
  <c r="AB243" i="3"/>
  <c r="AA243" i="3"/>
  <c r="Z243" i="3"/>
  <c r="Y243" i="3"/>
  <c r="X243" i="3"/>
  <c r="W243" i="3"/>
  <c r="V243" i="3"/>
  <c r="U243" i="3"/>
  <c r="T243" i="3"/>
  <c r="S243" i="3"/>
  <c r="R243" i="3"/>
  <c r="Q243" i="3"/>
  <c r="P243" i="3"/>
  <c r="O243" i="3"/>
  <c r="N243" i="3"/>
  <c r="M243" i="3"/>
  <c r="L243" i="3"/>
  <c r="K243" i="3"/>
  <c r="I243" i="3"/>
  <c r="H243" i="3"/>
  <c r="BZ242" i="3"/>
  <c r="BY242" i="3"/>
  <c r="BX242" i="3"/>
  <c r="BW242" i="3"/>
  <c r="BV242" i="3"/>
  <c r="BU242" i="3"/>
  <c r="BT242" i="3"/>
  <c r="BS242" i="3"/>
  <c r="BR242" i="3"/>
  <c r="BQ242" i="3"/>
  <c r="BP242" i="3"/>
  <c r="BO242" i="3"/>
  <c r="BN242" i="3"/>
  <c r="BM242" i="3"/>
  <c r="BL242" i="3"/>
  <c r="BK242" i="3"/>
  <c r="BJ242" i="3"/>
  <c r="BI242" i="3"/>
  <c r="BH242" i="3"/>
  <c r="BG242" i="3"/>
  <c r="BF242" i="3"/>
  <c r="BE242" i="3"/>
  <c r="BD242" i="3"/>
  <c r="BC242" i="3"/>
  <c r="BB242" i="3"/>
  <c r="BA242" i="3"/>
  <c r="AZ242" i="3"/>
  <c r="AY242" i="3"/>
  <c r="AX242" i="3"/>
  <c r="AW242" i="3"/>
  <c r="AV242" i="3"/>
  <c r="AU242" i="3"/>
  <c r="AT242" i="3"/>
  <c r="AS242" i="3"/>
  <c r="AR242" i="3"/>
  <c r="AQ242" i="3"/>
  <c r="AP242" i="3"/>
  <c r="AO242" i="3"/>
  <c r="AN242" i="3"/>
  <c r="AM242" i="3"/>
  <c r="AL242" i="3"/>
  <c r="AK242" i="3"/>
  <c r="AJ242" i="3"/>
  <c r="AI242" i="3"/>
  <c r="AH242" i="3"/>
  <c r="AG242" i="3"/>
  <c r="AF242" i="3"/>
  <c r="AE242" i="3"/>
  <c r="AD242" i="3"/>
  <c r="AC242" i="3"/>
  <c r="AB242" i="3"/>
  <c r="AA242" i="3"/>
  <c r="Z242" i="3"/>
  <c r="Y242" i="3"/>
  <c r="X242" i="3"/>
  <c r="W242" i="3"/>
  <c r="V242" i="3"/>
  <c r="U242" i="3"/>
  <c r="T242" i="3"/>
  <c r="S242" i="3"/>
  <c r="R242" i="3"/>
  <c r="Q242" i="3"/>
  <c r="P242" i="3"/>
  <c r="O242" i="3"/>
  <c r="N242" i="3"/>
  <c r="M242" i="3"/>
  <c r="L242" i="3"/>
  <c r="K242" i="3"/>
  <c r="I242" i="3"/>
  <c r="H242" i="3"/>
  <c r="BZ241" i="3"/>
  <c r="BY241" i="3"/>
  <c r="BX241" i="3"/>
  <c r="BW241" i="3"/>
  <c r="BV241" i="3"/>
  <c r="BU241" i="3"/>
  <c r="BT241" i="3"/>
  <c r="BS241" i="3"/>
  <c r="BR241" i="3"/>
  <c r="BQ241" i="3"/>
  <c r="BP241" i="3"/>
  <c r="BO241" i="3"/>
  <c r="BN241" i="3"/>
  <c r="BM241" i="3"/>
  <c r="BL241" i="3"/>
  <c r="BK241" i="3"/>
  <c r="BJ241" i="3"/>
  <c r="BI241" i="3"/>
  <c r="BH241" i="3"/>
  <c r="BG241" i="3"/>
  <c r="BF241" i="3"/>
  <c r="BE241" i="3"/>
  <c r="BD241" i="3"/>
  <c r="BC241" i="3"/>
  <c r="BB241" i="3"/>
  <c r="BA241" i="3"/>
  <c r="AZ241" i="3"/>
  <c r="AY241" i="3"/>
  <c r="AX241" i="3"/>
  <c r="AW241" i="3"/>
  <c r="AV241" i="3"/>
  <c r="AU241" i="3"/>
  <c r="AT241" i="3"/>
  <c r="AS241" i="3"/>
  <c r="AR241" i="3"/>
  <c r="AQ241" i="3"/>
  <c r="AP241" i="3"/>
  <c r="AO241" i="3"/>
  <c r="AN241" i="3"/>
  <c r="AM241" i="3"/>
  <c r="AL241" i="3"/>
  <c r="AK241" i="3"/>
  <c r="AJ241" i="3"/>
  <c r="AI241" i="3"/>
  <c r="AH241" i="3"/>
  <c r="AG241" i="3"/>
  <c r="AF241" i="3"/>
  <c r="AE241" i="3"/>
  <c r="AD241" i="3"/>
  <c r="AC241" i="3"/>
  <c r="AB241" i="3"/>
  <c r="AA241" i="3"/>
  <c r="Z241" i="3"/>
  <c r="Y241" i="3"/>
  <c r="X241" i="3"/>
  <c r="W241" i="3"/>
  <c r="V241" i="3"/>
  <c r="U241" i="3"/>
  <c r="T241" i="3"/>
  <c r="S241" i="3"/>
  <c r="R241" i="3"/>
  <c r="Q241" i="3"/>
  <c r="P241" i="3"/>
  <c r="O241" i="3"/>
  <c r="N241" i="3"/>
  <c r="M241" i="3"/>
  <c r="L241" i="3"/>
  <c r="K241" i="3"/>
  <c r="I241" i="3"/>
  <c r="H241" i="3"/>
  <c r="BZ240" i="3"/>
  <c r="BY240" i="3"/>
  <c r="BX240" i="3"/>
  <c r="BW240" i="3"/>
  <c r="BV240" i="3"/>
  <c r="BU240" i="3"/>
  <c r="BT240" i="3"/>
  <c r="BS240" i="3"/>
  <c r="BR240" i="3"/>
  <c r="BQ240" i="3"/>
  <c r="BP240" i="3"/>
  <c r="BO240" i="3"/>
  <c r="BN240" i="3"/>
  <c r="BM240" i="3"/>
  <c r="BL240" i="3"/>
  <c r="BK240" i="3"/>
  <c r="BJ240" i="3"/>
  <c r="BI240" i="3"/>
  <c r="BH240" i="3"/>
  <c r="BG240" i="3"/>
  <c r="BF240" i="3"/>
  <c r="BE240" i="3"/>
  <c r="BD240" i="3"/>
  <c r="BC240" i="3"/>
  <c r="BB240" i="3"/>
  <c r="BA240" i="3"/>
  <c r="AZ240" i="3"/>
  <c r="AY240" i="3"/>
  <c r="AX240" i="3"/>
  <c r="AW240" i="3"/>
  <c r="AV240" i="3"/>
  <c r="AU240" i="3"/>
  <c r="AT240" i="3"/>
  <c r="AS240" i="3"/>
  <c r="AR240" i="3"/>
  <c r="AQ240" i="3"/>
  <c r="AP240" i="3"/>
  <c r="AO240" i="3"/>
  <c r="AN240" i="3"/>
  <c r="AM240" i="3"/>
  <c r="AL240" i="3"/>
  <c r="AK240" i="3"/>
  <c r="AJ240" i="3"/>
  <c r="AI240" i="3"/>
  <c r="AH240" i="3"/>
  <c r="AG240" i="3"/>
  <c r="AF240" i="3"/>
  <c r="AE240" i="3"/>
  <c r="AD240" i="3"/>
  <c r="AC240" i="3"/>
  <c r="AB240" i="3"/>
  <c r="AA240" i="3"/>
  <c r="Z240" i="3"/>
  <c r="Y240" i="3"/>
  <c r="X240" i="3"/>
  <c r="W240" i="3"/>
  <c r="V240" i="3"/>
  <c r="U240" i="3"/>
  <c r="T240" i="3"/>
  <c r="S240" i="3"/>
  <c r="R240" i="3"/>
  <c r="Q240" i="3"/>
  <c r="P240" i="3"/>
  <c r="O240" i="3"/>
  <c r="N240" i="3"/>
  <c r="M240" i="3"/>
  <c r="L240" i="3"/>
  <c r="K240" i="3"/>
  <c r="I240" i="3"/>
  <c r="H240" i="3"/>
  <c r="BZ239" i="3"/>
  <c r="BY239" i="3"/>
  <c r="BX239" i="3"/>
  <c r="BW239" i="3"/>
  <c r="BV239" i="3"/>
  <c r="BU239" i="3"/>
  <c r="BT239" i="3"/>
  <c r="BS239" i="3"/>
  <c r="BR239" i="3"/>
  <c r="BQ239" i="3"/>
  <c r="BP239" i="3"/>
  <c r="BO239" i="3"/>
  <c r="BN239" i="3"/>
  <c r="BM239" i="3"/>
  <c r="BL239" i="3"/>
  <c r="BK239" i="3"/>
  <c r="BJ239" i="3"/>
  <c r="BI239" i="3"/>
  <c r="BH239" i="3"/>
  <c r="BG239" i="3"/>
  <c r="BF239" i="3"/>
  <c r="BE239" i="3"/>
  <c r="BD239" i="3"/>
  <c r="BC239" i="3"/>
  <c r="BB239" i="3"/>
  <c r="BA239" i="3"/>
  <c r="AZ239" i="3"/>
  <c r="AY239" i="3"/>
  <c r="AX239" i="3"/>
  <c r="AW239" i="3"/>
  <c r="AV239" i="3"/>
  <c r="AU239" i="3"/>
  <c r="AT239" i="3"/>
  <c r="AS239" i="3"/>
  <c r="AR239" i="3"/>
  <c r="AQ239" i="3"/>
  <c r="AP239" i="3"/>
  <c r="AO239" i="3"/>
  <c r="AN239" i="3"/>
  <c r="AM239" i="3"/>
  <c r="AL239" i="3"/>
  <c r="AK239" i="3"/>
  <c r="AJ239" i="3"/>
  <c r="AI239" i="3"/>
  <c r="AH239" i="3"/>
  <c r="AG239" i="3"/>
  <c r="AF239" i="3"/>
  <c r="AE239" i="3"/>
  <c r="AD239" i="3"/>
  <c r="AC239" i="3"/>
  <c r="AB239" i="3"/>
  <c r="AA239" i="3"/>
  <c r="Z239" i="3"/>
  <c r="Y239" i="3"/>
  <c r="X239" i="3"/>
  <c r="W239" i="3"/>
  <c r="H239" i="3"/>
  <c r="BZ238" i="3"/>
  <c r="BY238" i="3"/>
  <c r="BX238" i="3"/>
  <c r="BW238" i="3"/>
  <c r="BV238" i="3"/>
  <c r="BU238" i="3"/>
  <c r="BT238" i="3"/>
  <c r="BS238" i="3"/>
  <c r="BR238" i="3"/>
  <c r="BQ238" i="3"/>
  <c r="BP238" i="3"/>
  <c r="BO238" i="3"/>
  <c r="BN238" i="3"/>
  <c r="BM238" i="3"/>
  <c r="BL238" i="3"/>
  <c r="BK238" i="3"/>
  <c r="BJ238" i="3"/>
  <c r="BI238" i="3"/>
  <c r="BH238" i="3"/>
  <c r="BG238" i="3"/>
  <c r="BF238" i="3"/>
  <c r="BE238" i="3"/>
  <c r="BD238" i="3"/>
  <c r="BC238" i="3"/>
  <c r="BB238" i="3"/>
  <c r="BA238" i="3"/>
  <c r="AZ238" i="3"/>
  <c r="AY238" i="3"/>
  <c r="AX238" i="3"/>
  <c r="AW238" i="3"/>
  <c r="AV238" i="3"/>
  <c r="AU238" i="3"/>
  <c r="AT238" i="3"/>
  <c r="AS238" i="3"/>
  <c r="AR238" i="3"/>
  <c r="AQ238" i="3"/>
  <c r="AP238" i="3"/>
  <c r="AO238" i="3"/>
  <c r="AN238" i="3"/>
  <c r="AM238" i="3"/>
  <c r="AL238" i="3"/>
  <c r="AK238" i="3"/>
  <c r="AJ238" i="3"/>
  <c r="AI238" i="3"/>
  <c r="AH238" i="3"/>
  <c r="AG238" i="3"/>
  <c r="AF238" i="3"/>
  <c r="AE238" i="3"/>
  <c r="AD238" i="3"/>
  <c r="AC238" i="3"/>
  <c r="AB238" i="3"/>
  <c r="AA238" i="3"/>
  <c r="Z238" i="3"/>
  <c r="Y238" i="3"/>
  <c r="X238" i="3"/>
  <c r="W238" i="3"/>
  <c r="H238" i="3"/>
  <c r="BZ237" i="3"/>
  <c r="BY237" i="3"/>
  <c r="BX237" i="3"/>
  <c r="BW237" i="3"/>
  <c r="BV237" i="3"/>
  <c r="BU237" i="3"/>
  <c r="BT237" i="3"/>
  <c r="BS237" i="3"/>
  <c r="BR237" i="3"/>
  <c r="BQ237" i="3"/>
  <c r="BP237" i="3"/>
  <c r="BO237" i="3"/>
  <c r="BN237" i="3"/>
  <c r="BM237" i="3"/>
  <c r="BL237" i="3"/>
  <c r="BK237" i="3"/>
  <c r="BJ237" i="3"/>
  <c r="BI237" i="3"/>
  <c r="BH237" i="3"/>
  <c r="BG237" i="3"/>
  <c r="BF237" i="3"/>
  <c r="BE237" i="3"/>
  <c r="BD237" i="3"/>
  <c r="BC237" i="3"/>
  <c r="BB237" i="3"/>
  <c r="BA237" i="3"/>
  <c r="AZ237" i="3"/>
  <c r="AY237" i="3"/>
  <c r="AX237" i="3"/>
  <c r="AW237" i="3"/>
  <c r="AV237" i="3"/>
  <c r="AU237" i="3"/>
  <c r="AT237" i="3"/>
  <c r="AS237" i="3"/>
  <c r="AR237" i="3"/>
  <c r="AQ237" i="3"/>
  <c r="AP237" i="3"/>
  <c r="AO237" i="3"/>
  <c r="AN237" i="3"/>
  <c r="AM237" i="3"/>
  <c r="AL237" i="3"/>
  <c r="AK237" i="3"/>
  <c r="AJ237" i="3"/>
  <c r="AI237" i="3"/>
  <c r="AH237" i="3"/>
  <c r="AG237" i="3"/>
  <c r="AF237" i="3"/>
  <c r="AE237" i="3"/>
  <c r="AD237" i="3"/>
  <c r="AC237" i="3"/>
  <c r="AB237" i="3"/>
  <c r="AA237" i="3"/>
  <c r="Z237" i="3"/>
  <c r="Y237" i="3"/>
  <c r="X237" i="3"/>
  <c r="W237" i="3"/>
  <c r="H237" i="3"/>
  <c r="BZ236" i="3"/>
  <c r="BY236" i="3"/>
  <c r="BX236" i="3"/>
  <c r="BW236" i="3"/>
  <c r="BV236" i="3"/>
  <c r="BU236" i="3"/>
  <c r="BT236" i="3"/>
  <c r="BS236" i="3"/>
  <c r="BR236" i="3"/>
  <c r="BQ236" i="3"/>
  <c r="BP236" i="3"/>
  <c r="BO236" i="3"/>
  <c r="BN236" i="3"/>
  <c r="BM236" i="3"/>
  <c r="BL236" i="3"/>
  <c r="BK236" i="3"/>
  <c r="BJ236" i="3"/>
  <c r="BI236" i="3"/>
  <c r="BH236" i="3"/>
  <c r="BG236" i="3"/>
  <c r="BF236" i="3"/>
  <c r="BE236" i="3"/>
  <c r="BD236" i="3"/>
  <c r="BC236" i="3"/>
  <c r="BB236" i="3"/>
  <c r="BA236" i="3"/>
  <c r="AZ236" i="3"/>
  <c r="AY236" i="3"/>
  <c r="AX236" i="3"/>
  <c r="AW236" i="3"/>
  <c r="AV236" i="3"/>
  <c r="AU236" i="3"/>
  <c r="AT236" i="3"/>
  <c r="AS236" i="3"/>
  <c r="AR236" i="3"/>
  <c r="AQ236" i="3"/>
  <c r="AP236" i="3"/>
  <c r="AO236" i="3"/>
  <c r="AN236" i="3"/>
  <c r="AM236" i="3"/>
  <c r="AL236" i="3"/>
  <c r="AK236" i="3"/>
  <c r="AJ236" i="3"/>
  <c r="AI236" i="3"/>
  <c r="AH236" i="3"/>
  <c r="AG236" i="3"/>
  <c r="AF236" i="3"/>
  <c r="AE236" i="3"/>
  <c r="AD236" i="3"/>
  <c r="AC236" i="3"/>
  <c r="AB236" i="3"/>
  <c r="AA236" i="3"/>
  <c r="Z236" i="3"/>
  <c r="Y236" i="3"/>
  <c r="X236" i="3"/>
  <c r="W236" i="3"/>
  <c r="H236" i="3"/>
  <c r="BZ235" i="3"/>
  <c r="BY235" i="3"/>
  <c r="BX235" i="3"/>
  <c r="BW235" i="3"/>
  <c r="BV235" i="3"/>
  <c r="BU235" i="3"/>
  <c r="BT235" i="3"/>
  <c r="BS235" i="3"/>
  <c r="BR235" i="3"/>
  <c r="BQ235" i="3"/>
  <c r="BP235" i="3"/>
  <c r="BO235" i="3"/>
  <c r="BN235" i="3"/>
  <c r="BM235" i="3"/>
  <c r="BL235" i="3"/>
  <c r="BK235" i="3"/>
  <c r="BJ235" i="3"/>
  <c r="BI235" i="3"/>
  <c r="BH235" i="3"/>
  <c r="BG235" i="3"/>
  <c r="BF235" i="3"/>
  <c r="BE235" i="3"/>
  <c r="BD235" i="3"/>
  <c r="BC235" i="3"/>
  <c r="BB235" i="3"/>
  <c r="BA235" i="3"/>
  <c r="AZ235" i="3"/>
  <c r="AY235" i="3"/>
  <c r="AX235" i="3"/>
  <c r="AW235" i="3"/>
  <c r="AV235" i="3"/>
  <c r="AU235" i="3"/>
  <c r="AT235" i="3"/>
  <c r="AS235" i="3"/>
  <c r="AR235" i="3"/>
  <c r="AQ235" i="3"/>
  <c r="AP235" i="3"/>
  <c r="AO235" i="3"/>
  <c r="AN235" i="3"/>
  <c r="AM235" i="3"/>
  <c r="AL235" i="3"/>
  <c r="AK235" i="3"/>
  <c r="AJ235" i="3"/>
  <c r="AI235" i="3"/>
  <c r="AH235" i="3"/>
  <c r="AG235" i="3"/>
  <c r="AF235" i="3"/>
  <c r="AE235" i="3"/>
  <c r="AD235" i="3"/>
  <c r="AC235" i="3"/>
  <c r="AB235" i="3"/>
  <c r="AA235" i="3"/>
  <c r="Z235" i="3"/>
  <c r="Y235" i="3"/>
  <c r="X235" i="3"/>
  <c r="W235" i="3"/>
  <c r="H235" i="3"/>
  <c r="BZ234" i="3"/>
  <c r="BY234" i="3"/>
  <c r="BX234" i="3"/>
  <c r="BW234" i="3"/>
  <c r="BV234" i="3"/>
  <c r="BU234" i="3"/>
  <c r="BT234" i="3"/>
  <c r="BS234" i="3"/>
  <c r="BR234" i="3"/>
  <c r="BQ234" i="3"/>
  <c r="BP234" i="3"/>
  <c r="BO234" i="3"/>
  <c r="BN234" i="3"/>
  <c r="BM234" i="3"/>
  <c r="BL234" i="3"/>
  <c r="BK234" i="3"/>
  <c r="BJ234" i="3"/>
  <c r="BI234" i="3"/>
  <c r="BH234" i="3"/>
  <c r="BG234" i="3"/>
  <c r="BF234" i="3"/>
  <c r="BE234" i="3"/>
  <c r="BD234" i="3"/>
  <c r="BC234" i="3"/>
  <c r="BB234" i="3"/>
  <c r="BA234" i="3"/>
  <c r="AZ234" i="3"/>
  <c r="AY234" i="3"/>
  <c r="AX234" i="3"/>
  <c r="AW234" i="3"/>
  <c r="AV234" i="3"/>
  <c r="AU234" i="3"/>
  <c r="AT234" i="3"/>
  <c r="AS234" i="3"/>
  <c r="AR234" i="3"/>
  <c r="AQ234" i="3"/>
  <c r="AP234" i="3"/>
  <c r="AO234" i="3"/>
  <c r="AN234" i="3"/>
  <c r="AM234" i="3"/>
  <c r="AL234" i="3"/>
  <c r="AK234" i="3"/>
  <c r="AJ234" i="3"/>
  <c r="AI234" i="3"/>
  <c r="AH234" i="3"/>
  <c r="AG234" i="3"/>
  <c r="AF234" i="3"/>
  <c r="AE234" i="3"/>
  <c r="AD234" i="3"/>
  <c r="AC234" i="3"/>
  <c r="AB234" i="3"/>
  <c r="AA234" i="3"/>
  <c r="Z234" i="3"/>
  <c r="Y234" i="3"/>
  <c r="X234" i="3"/>
  <c r="W234" i="3"/>
  <c r="H234" i="3"/>
  <c r="BZ233" i="3"/>
  <c r="BY233" i="3"/>
  <c r="BX233" i="3"/>
  <c r="BW233" i="3"/>
  <c r="BV233" i="3"/>
  <c r="BU233" i="3"/>
  <c r="BT233" i="3"/>
  <c r="BS233" i="3"/>
  <c r="BR233" i="3"/>
  <c r="BQ233" i="3"/>
  <c r="BP233" i="3"/>
  <c r="BO233" i="3"/>
  <c r="BN233" i="3"/>
  <c r="BM233" i="3"/>
  <c r="BL233" i="3"/>
  <c r="BK233" i="3"/>
  <c r="BJ233" i="3"/>
  <c r="BI233" i="3"/>
  <c r="BH233" i="3"/>
  <c r="BG233" i="3"/>
  <c r="BF233" i="3"/>
  <c r="BE233" i="3"/>
  <c r="BD233" i="3"/>
  <c r="BC233" i="3"/>
  <c r="BB233" i="3"/>
  <c r="BA233" i="3"/>
  <c r="AZ233" i="3"/>
  <c r="AY233" i="3"/>
  <c r="AX233" i="3"/>
  <c r="AW233" i="3"/>
  <c r="AV233" i="3"/>
  <c r="AU233" i="3"/>
  <c r="AT233" i="3"/>
  <c r="AS233" i="3"/>
  <c r="AR233" i="3"/>
  <c r="AQ233" i="3"/>
  <c r="AP233" i="3"/>
  <c r="AO233" i="3"/>
  <c r="AN233" i="3"/>
  <c r="AM233" i="3"/>
  <c r="AL233" i="3"/>
  <c r="AK233" i="3"/>
  <c r="AJ233" i="3"/>
  <c r="AI233" i="3"/>
  <c r="AH233" i="3"/>
  <c r="AG233" i="3"/>
  <c r="AF233" i="3"/>
  <c r="AE233" i="3"/>
  <c r="AD233" i="3"/>
  <c r="AC233" i="3"/>
  <c r="AB233" i="3"/>
  <c r="AA233" i="3"/>
  <c r="Z233" i="3"/>
  <c r="Y233" i="3"/>
  <c r="X233" i="3"/>
  <c r="W233" i="3"/>
  <c r="H233" i="3"/>
  <c r="BZ232" i="3"/>
  <c r="BY232" i="3"/>
  <c r="BX232" i="3"/>
  <c r="BW232" i="3"/>
  <c r="BV232" i="3"/>
  <c r="BU232" i="3"/>
  <c r="BT232" i="3"/>
  <c r="BS232" i="3"/>
  <c r="BR232" i="3"/>
  <c r="BQ232" i="3"/>
  <c r="BP232" i="3"/>
  <c r="BO232" i="3"/>
  <c r="BN232" i="3"/>
  <c r="BM232" i="3"/>
  <c r="BL232" i="3"/>
  <c r="BK232" i="3"/>
  <c r="BJ232" i="3"/>
  <c r="BI232" i="3"/>
  <c r="BH232" i="3"/>
  <c r="BG232" i="3"/>
  <c r="BF232" i="3"/>
  <c r="BE232" i="3"/>
  <c r="BD232" i="3"/>
  <c r="BC232" i="3"/>
  <c r="BB232" i="3"/>
  <c r="BA232" i="3"/>
  <c r="AZ232" i="3"/>
  <c r="AY232" i="3"/>
  <c r="AX232" i="3"/>
  <c r="AW232" i="3"/>
  <c r="AV232" i="3"/>
  <c r="AU232" i="3"/>
  <c r="AT232" i="3"/>
  <c r="AS232" i="3"/>
  <c r="AR232" i="3"/>
  <c r="AQ232" i="3"/>
  <c r="AP232" i="3"/>
  <c r="AO232" i="3"/>
  <c r="AN232" i="3"/>
  <c r="AM232" i="3"/>
  <c r="AL232" i="3"/>
  <c r="AK232" i="3"/>
  <c r="AJ232" i="3"/>
  <c r="AI232" i="3"/>
  <c r="AH232" i="3"/>
  <c r="AG232" i="3"/>
  <c r="AF232" i="3"/>
  <c r="AE232" i="3"/>
  <c r="AD232" i="3"/>
  <c r="AC232" i="3"/>
  <c r="AB232" i="3"/>
  <c r="AA232" i="3"/>
  <c r="Z232" i="3"/>
  <c r="Y232" i="3"/>
  <c r="X232" i="3"/>
  <c r="W232" i="3"/>
  <c r="H232" i="3"/>
  <c r="BZ231" i="3"/>
  <c r="BY231" i="3"/>
  <c r="BX231" i="3"/>
  <c r="BW231" i="3"/>
  <c r="BV231" i="3"/>
  <c r="BU231" i="3"/>
  <c r="BT231" i="3"/>
  <c r="BS231" i="3"/>
  <c r="BR231" i="3"/>
  <c r="BQ231" i="3"/>
  <c r="BP231" i="3"/>
  <c r="BO231" i="3"/>
  <c r="BN231" i="3"/>
  <c r="BM231" i="3"/>
  <c r="BL231" i="3"/>
  <c r="BK231" i="3"/>
  <c r="BJ231" i="3"/>
  <c r="BI231" i="3"/>
  <c r="BH231" i="3"/>
  <c r="BG231" i="3"/>
  <c r="BF231" i="3"/>
  <c r="BE231" i="3"/>
  <c r="BD231" i="3"/>
  <c r="BC231" i="3"/>
  <c r="BB231" i="3"/>
  <c r="BA231" i="3"/>
  <c r="AZ231" i="3"/>
  <c r="AY231" i="3"/>
  <c r="AX231" i="3"/>
  <c r="AW231" i="3"/>
  <c r="AV231" i="3"/>
  <c r="AU231" i="3"/>
  <c r="AT231" i="3"/>
  <c r="AS231" i="3"/>
  <c r="AR231" i="3"/>
  <c r="AQ231" i="3"/>
  <c r="AP231" i="3"/>
  <c r="AO231" i="3"/>
  <c r="AN231" i="3"/>
  <c r="AM231" i="3"/>
  <c r="AL231" i="3"/>
  <c r="AK231" i="3"/>
  <c r="AJ231" i="3"/>
  <c r="AI231" i="3"/>
  <c r="AH231" i="3"/>
  <c r="AG231" i="3"/>
  <c r="AF231" i="3"/>
  <c r="AE231" i="3"/>
  <c r="AD231" i="3"/>
  <c r="AC231" i="3"/>
  <c r="AB231" i="3"/>
  <c r="AA231" i="3"/>
  <c r="Z231" i="3"/>
  <c r="Y231" i="3"/>
  <c r="X231" i="3"/>
  <c r="W231" i="3"/>
  <c r="H231" i="3"/>
  <c r="BZ230" i="3"/>
  <c r="BY230" i="3"/>
  <c r="BX230" i="3"/>
  <c r="BW230" i="3"/>
  <c r="BV230" i="3"/>
  <c r="BU230" i="3"/>
  <c r="BT230" i="3"/>
  <c r="BS230" i="3"/>
  <c r="BR230" i="3"/>
  <c r="BQ230" i="3"/>
  <c r="BP230" i="3"/>
  <c r="BO230" i="3"/>
  <c r="BN230" i="3"/>
  <c r="BM230" i="3"/>
  <c r="BL230" i="3"/>
  <c r="BK230" i="3"/>
  <c r="BJ230" i="3"/>
  <c r="BI230" i="3"/>
  <c r="BH230" i="3"/>
  <c r="BG230" i="3"/>
  <c r="BF230" i="3"/>
  <c r="BE230" i="3"/>
  <c r="BD230" i="3"/>
  <c r="BC230" i="3"/>
  <c r="BB230" i="3"/>
  <c r="BA230" i="3"/>
  <c r="AZ230" i="3"/>
  <c r="AY230" i="3"/>
  <c r="AX230" i="3"/>
  <c r="AW230" i="3"/>
  <c r="AV230" i="3"/>
  <c r="AU230" i="3"/>
  <c r="AT230" i="3"/>
  <c r="AS230" i="3"/>
  <c r="AR230" i="3"/>
  <c r="AQ230" i="3"/>
  <c r="AP230" i="3"/>
  <c r="AO230" i="3"/>
  <c r="AN230" i="3"/>
  <c r="AM230" i="3"/>
  <c r="AL230" i="3"/>
  <c r="AK230" i="3"/>
  <c r="AJ230" i="3"/>
  <c r="AI230" i="3"/>
  <c r="AH230" i="3"/>
  <c r="AG230" i="3"/>
  <c r="AF230" i="3"/>
  <c r="AE230" i="3"/>
  <c r="AD230" i="3"/>
  <c r="AC230" i="3"/>
  <c r="AB230" i="3"/>
  <c r="AA230" i="3"/>
  <c r="Z230" i="3"/>
  <c r="Y230" i="3"/>
  <c r="X230" i="3"/>
  <c r="W230" i="3"/>
  <c r="H230" i="3"/>
  <c r="BZ229" i="3"/>
  <c r="BY229" i="3"/>
  <c r="BX229" i="3"/>
  <c r="BW229" i="3"/>
  <c r="BV229" i="3"/>
  <c r="BU229" i="3"/>
  <c r="BT229" i="3"/>
  <c r="BS229" i="3"/>
  <c r="BR229" i="3"/>
  <c r="BQ229" i="3"/>
  <c r="BP229" i="3"/>
  <c r="BO229" i="3"/>
  <c r="BN229" i="3"/>
  <c r="BM229" i="3"/>
  <c r="BL229" i="3"/>
  <c r="BK229" i="3"/>
  <c r="BJ229" i="3"/>
  <c r="BI229" i="3"/>
  <c r="BH229" i="3"/>
  <c r="BG229" i="3"/>
  <c r="BF229" i="3"/>
  <c r="BE229" i="3"/>
  <c r="BD229" i="3"/>
  <c r="BC229" i="3"/>
  <c r="BB229" i="3"/>
  <c r="BA229" i="3"/>
  <c r="AZ229" i="3"/>
  <c r="AY229" i="3"/>
  <c r="AX229" i="3"/>
  <c r="AW229" i="3"/>
  <c r="AV229" i="3"/>
  <c r="AU229" i="3"/>
  <c r="AT229" i="3"/>
  <c r="AS229" i="3"/>
  <c r="AR229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AE229" i="3"/>
  <c r="AD229" i="3"/>
  <c r="AC229" i="3"/>
  <c r="AB229" i="3"/>
  <c r="AA229" i="3"/>
  <c r="Z229" i="3"/>
  <c r="Y229" i="3"/>
  <c r="X229" i="3"/>
  <c r="W229" i="3"/>
  <c r="H229" i="3"/>
  <c r="BZ228" i="3"/>
  <c r="BY228" i="3"/>
  <c r="BX228" i="3"/>
  <c r="BW228" i="3"/>
  <c r="BV228" i="3"/>
  <c r="BU228" i="3"/>
  <c r="BT228" i="3"/>
  <c r="BS228" i="3"/>
  <c r="BR228" i="3"/>
  <c r="BQ228" i="3"/>
  <c r="BP228" i="3"/>
  <c r="BO228" i="3"/>
  <c r="BN228" i="3"/>
  <c r="BM228" i="3"/>
  <c r="BL228" i="3"/>
  <c r="BK228" i="3"/>
  <c r="BJ228" i="3"/>
  <c r="BI228" i="3"/>
  <c r="BH228" i="3"/>
  <c r="BG228" i="3"/>
  <c r="BF228" i="3"/>
  <c r="BE228" i="3"/>
  <c r="BD228" i="3"/>
  <c r="BC228" i="3"/>
  <c r="BB228" i="3"/>
  <c r="BA228" i="3"/>
  <c r="AZ228" i="3"/>
  <c r="AY228" i="3"/>
  <c r="AX228" i="3"/>
  <c r="AW228" i="3"/>
  <c r="AV228" i="3"/>
  <c r="AU228" i="3"/>
  <c r="AT228" i="3"/>
  <c r="AS228" i="3"/>
  <c r="AR228" i="3"/>
  <c r="AQ228" i="3"/>
  <c r="AP228" i="3"/>
  <c r="AO228" i="3"/>
  <c r="AN228" i="3"/>
  <c r="AM228" i="3"/>
  <c r="AL228" i="3"/>
  <c r="AK228" i="3"/>
  <c r="AJ228" i="3"/>
  <c r="AI228" i="3"/>
  <c r="AH228" i="3"/>
  <c r="AG228" i="3"/>
  <c r="AF228" i="3"/>
  <c r="AE228" i="3"/>
  <c r="AD228" i="3"/>
  <c r="AC228" i="3"/>
  <c r="AB228" i="3"/>
  <c r="AA228" i="3"/>
  <c r="Z228" i="3"/>
  <c r="Y228" i="3"/>
  <c r="X228" i="3"/>
  <c r="W228" i="3"/>
  <c r="H228" i="3"/>
  <c r="BZ227" i="3"/>
  <c r="BY227" i="3"/>
  <c r="BX227" i="3"/>
  <c r="BW227" i="3"/>
  <c r="BV227" i="3"/>
  <c r="BU227" i="3"/>
  <c r="BT227" i="3"/>
  <c r="BS227" i="3"/>
  <c r="BR227" i="3"/>
  <c r="BQ227" i="3"/>
  <c r="BP227" i="3"/>
  <c r="BO227" i="3"/>
  <c r="BN227" i="3"/>
  <c r="BM227" i="3"/>
  <c r="BL227" i="3"/>
  <c r="BK227" i="3"/>
  <c r="BJ227" i="3"/>
  <c r="BI227" i="3"/>
  <c r="BH227" i="3"/>
  <c r="BG227" i="3"/>
  <c r="BF227" i="3"/>
  <c r="BE227" i="3"/>
  <c r="BD227" i="3"/>
  <c r="BC227" i="3"/>
  <c r="BB227" i="3"/>
  <c r="BA227" i="3"/>
  <c r="AZ227" i="3"/>
  <c r="AY227" i="3"/>
  <c r="AX227" i="3"/>
  <c r="AW227" i="3"/>
  <c r="AV227" i="3"/>
  <c r="AU227" i="3"/>
  <c r="AT227" i="3"/>
  <c r="AS227" i="3"/>
  <c r="AR227" i="3"/>
  <c r="AQ227" i="3"/>
  <c r="AP227" i="3"/>
  <c r="AO227" i="3"/>
  <c r="AN227" i="3"/>
  <c r="AM227" i="3"/>
  <c r="AL227" i="3"/>
  <c r="AK227" i="3"/>
  <c r="AJ227" i="3"/>
  <c r="AI227" i="3"/>
  <c r="AH227" i="3"/>
  <c r="AG227" i="3"/>
  <c r="AF227" i="3"/>
  <c r="AE227" i="3"/>
  <c r="AD227" i="3"/>
  <c r="AC227" i="3"/>
  <c r="AB227" i="3"/>
  <c r="AA227" i="3"/>
  <c r="Z227" i="3"/>
  <c r="Y227" i="3"/>
  <c r="X227" i="3"/>
  <c r="W227" i="3"/>
  <c r="H227" i="3"/>
  <c r="BZ226" i="3"/>
  <c r="BY226" i="3"/>
  <c r="BX226" i="3"/>
  <c r="BW226" i="3"/>
  <c r="BV226" i="3"/>
  <c r="BU226" i="3"/>
  <c r="BT226" i="3"/>
  <c r="BS226" i="3"/>
  <c r="BR226" i="3"/>
  <c r="BQ226" i="3"/>
  <c r="BP226" i="3"/>
  <c r="BO226" i="3"/>
  <c r="BN226" i="3"/>
  <c r="BM226" i="3"/>
  <c r="BL226" i="3"/>
  <c r="BK226" i="3"/>
  <c r="BJ226" i="3"/>
  <c r="BI226" i="3"/>
  <c r="BH226" i="3"/>
  <c r="BG226" i="3"/>
  <c r="BF226" i="3"/>
  <c r="BE226" i="3"/>
  <c r="BD226" i="3"/>
  <c r="BC226" i="3"/>
  <c r="BB226" i="3"/>
  <c r="BA226" i="3"/>
  <c r="AZ226" i="3"/>
  <c r="AY226" i="3"/>
  <c r="AX226" i="3"/>
  <c r="AW226" i="3"/>
  <c r="AV226" i="3"/>
  <c r="AU226" i="3"/>
  <c r="AT226" i="3"/>
  <c r="AS226" i="3"/>
  <c r="AR226" i="3"/>
  <c r="AQ226" i="3"/>
  <c r="AP226" i="3"/>
  <c r="AO226" i="3"/>
  <c r="AN226" i="3"/>
  <c r="AM226" i="3"/>
  <c r="AL226" i="3"/>
  <c r="AK226" i="3"/>
  <c r="AJ226" i="3"/>
  <c r="AI226" i="3"/>
  <c r="AH226" i="3"/>
  <c r="AG226" i="3"/>
  <c r="AF226" i="3"/>
  <c r="AE226" i="3"/>
  <c r="AD226" i="3"/>
  <c r="AC226" i="3"/>
  <c r="AB226" i="3"/>
  <c r="AA226" i="3"/>
  <c r="Z226" i="3"/>
  <c r="Y226" i="3"/>
  <c r="X226" i="3"/>
  <c r="W226" i="3"/>
  <c r="H226" i="3"/>
  <c r="BZ225" i="3"/>
  <c r="BY225" i="3"/>
  <c r="BX225" i="3"/>
  <c r="BW225" i="3"/>
  <c r="BV225" i="3"/>
  <c r="BU225" i="3"/>
  <c r="BT225" i="3"/>
  <c r="BS225" i="3"/>
  <c r="BR225" i="3"/>
  <c r="BQ225" i="3"/>
  <c r="BP225" i="3"/>
  <c r="BO225" i="3"/>
  <c r="BN225" i="3"/>
  <c r="BM225" i="3"/>
  <c r="BL225" i="3"/>
  <c r="BK225" i="3"/>
  <c r="BJ225" i="3"/>
  <c r="BI225" i="3"/>
  <c r="BH225" i="3"/>
  <c r="BG225" i="3"/>
  <c r="BF225" i="3"/>
  <c r="BE225" i="3"/>
  <c r="BD225" i="3"/>
  <c r="BC225" i="3"/>
  <c r="BB225" i="3"/>
  <c r="BA225" i="3"/>
  <c r="AZ225" i="3"/>
  <c r="AY225" i="3"/>
  <c r="AX225" i="3"/>
  <c r="AW225" i="3"/>
  <c r="AV225" i="3"/>
  <c r="AU225" i="3"/>
  <c r="AT225" i="3"/>
  <c r="AS225" i="3"/>
  <c r="AR225" i="3"/>
  <c r="AQ225" i="3"/>
  <c r="AP225" i="3"/>
  <c r="AO225" i="3"/>
  <c r="AN225" i="3"/>
  <c r="AM225" i="3"/>
  <c r="AL225" i="3"/>
  <c r="AK225" i="3"/>
  <c r="AJ225" i="3"/>
  <c r="AI225" i="3"/>
  <c r="AH225" i="3"/>
  <c r="AG225" i="3"/>
  <c r="AF225" i="3"/>
  <c r="AE225" i="3"/>
  <c r="AD225" i="3"/>
  <c r="AC225" i="3"/>
  <c r="AB225" i="3"/>
  <c r="AA225" i="3"/>
  <c r="Z225" i="3"/>
  <c r="Y225" i="3"/>
  <c r="X225" i="3"/>
  <c r="W225" i="3"/>
  <c r="H225" i="3"/>
  <c r="BZ224" i="3"/>
  <c r="BY224" i="3"/>
  <c r="BX224" i="3"/>
  <c r="BW224" i="3"/>
  <c r="BV224" i="3"/>
  <c r="BU224" i="3"/>
  <c r="BT224" i="3"/>
  <c r="BS224" i="3"/>
  <c r="BR224" i="3"/>
  <c r="BQ224" i="3"/>
  <c r="BP224" i="3"/>
  <c r="BO224" i="3"/>
  <c r="BN224" i="3"/>
  <c r="BM224" i="3"/>
  <c r="BL224" i="3"/>
  <c r="BK224" i="3"/>
  <c r="BJ224" i="3"/>
  <c r="BI224" i="3"/>
  <c r="BH224" i="3"/>
  <c r="BG224" i="3"/>
  <c r="BF224" i="3"/>
  <c r="BE224" i="3"/>
  <c r="BD224" i="3"/>
  <c r="BC224" i="3"/>
  <c r="BB224" i="3"/>
  <c r="BA224" i="3"/>
  <c r="AZ224" i="3"/>
  <c r="AY224" i="3"/>
  <c r="AX224" i="3"/>
  <c r="AW224" i="3"/>
  <c r="AV224" i="3"/>
  <c r="AU224" i="3"/>
  <c r="AT224" i="3"/>
  <c r="AS224" i="3"/>
  <c r="AR224" i="3"/>
  <c r="AQ224" i="3"/>
  <c r="AP224" i="3"/>
  <c r="AO224" i="3"/>
  <c r="AN224" i="3"/>
  <c r="AM224" i="3"/>
  <c r="AL224" i="3"/>
  <c r="AK224" i="3"/>
  <c r="AJ224" i="3"/>
  <c r="AI224" i="3"/>
  <c r="AH224" i="3"/>
  <c r="AG224" i="3"/>
  <c r="AF224" i="3"/>
  <c r="AE224" i="3"/>
  <c r="AD224" i="3"/>
  <c r="AC224" i="3"/>
  <c r="AB224" i="3"/>
  <c r="AA224" i="3"/>
  <c r="Z224" i="3"/>
  <c r="Y224" i="3"/>
  <c r="X224" i="3"/>
  <c r="W224" i="3"/>
  <c r="H224" i="3"/>
  <c r="BZ223" i="3"/>
  <c r="BY223" i="3"/>
  <c r="BX223" i="3"/>
  <c r="BW223" i="3"/>
  <c r="BV223" i="3"/>
  <c r="BU223" i="3"/>
  <c r="BT223" i="3"/>
  <c r="BS223" i="3"/>
  <c r="BR223" i="3"/>
  <c r="BQ223" i="3"/>
  <c r="BP223" i="3"/>
  <c r="BO223" i="3"/>
  <c r="BN223" i="3"/>
  <c r="BM223" i="3"/>
  <c r="BL223" i="3"/>
  <c r="BK223" i="3"/>
  <c r="BJ223" i="3"/>
  <c r="BI223" i="3"/>
  <c r="BH223" i="3"/>
  <c r="BG223" i="3"/>
  <c r="BF223" i="3"/>
  <c r="BE223" i="3"/>
  <c r="BD223" i="3"/>
  <c r="BC223" i="3"/>
  <c r="BB223" i="3"/>
  <c r="BA223" i="3"/>
  <c r="AZ223" i="3"/>
  <c r="AY223" i="3"/>
  <c r="AX223" i="3"/>
  <c r="AW223" i="3"/>
  <c r="AV223" i="3"/>
  <c r="AU223" i="3"/>
  <c r="AT223" i="3"/>
  <c r="AS223" i="3"/>
  <c r="AR223" i="3"/>
  <c r="AQ223" i="3"/>
  <c r="AP223" i="3"/>
  <c r="AO223" i="3"/>
  <c r="AN223" i="3"/>
  <c r="AM223" i="3"/>
  <c r="AL223" i="3"/>
  <c r="AK223" i="3"/>
  <c r="AJ223" i="3"/>
  <c r="AI223" i="3"/>
  <c r="AH223" i="3"/>
  <c r="AG223" i="3"/>
  <c r="AF223" i="3"/>
  <c r="AE223" i="3"/>
  <c r="AD223" i="3"/>
  <c r="AC223" i="3"/>
  <c r="AB223" i="3"/>
  <c r="AA223" i="3"/>
  <c r="Z223" i="3"/>
  <c r="Y223" i="3"/>
  <c r="X223" i="3"/>
  <c r="W223" i="3"/>
  <c r="H223" i="3"/>
  <c r="BZ222" i="3"/>
  <c r="BY222" i="3"/>
  <c r="BX222" i="3"/>
  <c r="BW222" i="3"/>
  <c r="BV222" i="3"/>
  <c r="BU222" i="3"/>
  <c r="BT222" i="3"/>
  <c r="BS222" i="3"/>
  <c r="BR222" i="3"/>
  <c r="BQ222" i="3"/>
  <c r="BP222" i="3"/>
  <c r="BO222" i="3"/>
  <c r="BN222" i="3"/>
  <c r="BM222" i="3"/>
  <c r="BL222" i="3"/>
  <c r="BK222" i="3"/>
  <c r="BJ222" i="3"/>
  <c r="BI222" i="3"/>
  <c r="BH222" i="3"/>
  <c r="BG222" i="3"/>
  <c r="BF222" i="3"/>
  <c r="BE222" i="3"/>
  <c r="BD222" i="3"/>
  <c r="BC222" i="3"/>
  <c r="BB222" i="3"/>
  <c r="BA222" i="3"/>
  <c r="AZ222" i="3"/>
  <c r="AY222" i="3"/>
  <c r="AX222" i="3"/>
  <c r="AW222" i="3"/>
  <c r="AV222" i="3"/>
  <c r="AU222" i="3"/>
  <c r="AT222" i="3"/>
  <c r="AS222" i="3"/>
  <c r="AR222" i="3"/>
  <c r="AQ222" i="3"/>
  <c r="AP222" i="3"/>
  <c r="AO222" i="3"/>
  <c r="AN222" i="3"/>
  <c r="AM222" i="3"/>
  <c r="AL222" i="3"/>
  <c r="AK222" i="3"/>
  <c r="AJ222" i="3"/>
  <c r="AI222" i="3"/>
  <c r="AH222" i="3"/>
  <c r="AG222" i="3"/>
  <c r="AF222" i="3"/>
  <c r="AE222" i="3"/>
  <c r="AD222" i="3"/>
  <c r="AC222" i="3"/>
  <c r="AB222" i="3"/>
  <c r="AA222" i="3"/>
  <c r="Z222" i="3"/>
  <c r="Y222" i="3"/>
  <c r="X222" i="3"/>
  <c r="H222" i="3"/>
  <c r="BZ221" i="3"/>
  <c r="BY221" i="3"/>
  <c r="BX221" i="3"/>
  <c r="BW221" i="3"/>
  <c r="BV221" i="3"/>
  <c r="BU221" i="3"/>
  <c r="BT221" i="3"/>
  <c r="BS221" i="3"/>
  <c r="BR221" i="3"/>
  <c r="BQ221" i="3"/>
  <c r="BP221" i="3"/>
  <c r="BO221" i="3"/>
  <c r="BN221" i="3"/>
  <c r="BM221" i="3"/>
  <c r="BL221" i="3"/>
  <c r="BK221" i="3"/>
  <c r="BJ221" i="3"/>
  <c r="BI221" i="3"/>
  <c r="BH221" i="3"/>
  <c r="BG221" i="3"/>
  <c r="BF221" i="3"/>
  <c r="BE221" i="3"/>
  <c r="BD221" i="3"/>
  <c r="BC221" i="3"/>
  <c r="BB221" i="3"/>
  <c r="BA221" i="3"/>
  <c r="AZ221" i="3"/>
  <c r="AY221" i="3"/>
  <c r="AX221" i="3"/>
  <c r="AW221" i="3"/>
  <c r="AV221" i="3"/>
  <c r="AU221" i="3"/>
  <c r="AT221" i="3"/>
  <c r="AS221" i="3"/>
  <c r="AR221" i="3"/>
  <c r="AQ221" i="3"/>
  <c r="AP221" i="3"/>
  <c r="AO221" i="3"/>
  <c r="AN221" i="3"/>
  <c r="AM221" i="3"/>
  <c r="AL221" i="3"/>
  <c r="AK221" i="3"/>
  <c r="AJ221" i="3"/>
  <c r="AI221" i="3"/>
  <c r="AH221" i="3"/>
  <c r="AG221" i="3"/>
  <c r="AF221" i="3"/>
  <c r="AE221" i="3"/>
  <c r="AD221" i="3"/>
  <c r="AC221" i="3"/>
  <c r="AB221" i="3"/>
  <c r="AA221" i="3"/>
  <c r="Z221" i="3"/>
  <c r="Y221" i="3"/>
  <c r="X221" i="3"/>
  <c r="H221" i="3"/>
  <c r="BZ220" i="3"/>
  <c r="BY220" i="3"/>
  <c r="BX220" i="3"/>
  <c r="BW220" i="3"/>
  <c r="BV220" i="3"/>
  <c r="BU220" i="3"/>
  <c r="BT220" i="3"/>
  <c r="BS220" i="3"/>
  <c r="BR220" i="3"/>
  <c r="BQ220" i="3"/>
  <c r="BP220" i="3"/>
  <c r="BO220" i="3"/>
  <c r="BN220" i="3"/>
  <c r="BM220" i="3"/>
  <c r="BL220" i="3"/>
  <c r="BK220" i="3"/>
  <c r="BJ220" i="3"/>
  <c r="BI220" i="3"/>
  <c r="BH220" i="3"/>
  <c r="BG220" i="3"/>
  <c r="BF220" i="3"/>
  <c r="BE220" i="3"/>
  <c r="BD220" i="3"/>
  <c r="BC220" i="3"/>
  <c r="BB220" i="3"/>
  <c r="BA220" i="3"/>
  <c r="AZ220" i="3"/>
  <c r="AY220" i="3"/>
  <c r="AX220" i="3"/>
  <c r="AW220" i="3"/>
  <c r="AV220" i="3"/>
  <c r="AU220" i="3"/>
  <c r="AT220" i="3"/>
  <c r="AS220" i="3"/>
  <c r="AR220" i="3"/>
  <c r="AQ220" i="3"/>
  <c r="AP220" i="3"/>
  <c r="AO220" i="3"/>
  <c r="AN220" i="3"/>
  <c r="AM220" i="3"/>
  <c r="AL220" i="3"/>
  <c r="AK220" i="3"/>
  <c r="AJ220" i="3"/>
  <c r="AI220" i="3"/>
  <c r="AH220" i="3"/>
  <c r="AG220" i="3"/>
  <c r="AF220" i="3"/>
  <c r="AE220" i="3"/>
  <c r="AD220" i="3"/>
  <c r="AC220" i="3"/>
  <c r="AB220" i="3"/>
  <c r="AA220" i="3"/>
  <c r="Z220" i="3"/>
  <c r="Y220" i="3"/>
  <c r="X220" i="3"/>
  <c r="H220" i="3"/>
  <c r="BZ219" i="3"/>
  <c r="BY219" i="3"/>
  <c r="BX219" i="3"/>
  <c r="BW219" i="3"/>
  <c r="BV219" i="3"/>
  <c r="BU219" i="3"/>
  <c r="BT219" i="3"/>
  <c r="BS219" i="3"/>
  <c r="BR219" i="3"/>
  <c r="BQ219" i="3"/>
  <c r="BP219" i="3"/>
  <c r="BO219" i="3"/>
  <c r="BN219" i="3"/>
  <c r="BM219" i="3"/>
  <c r="BL219" i="3"/>
  <c r="BK219" i="3"/>
  <c r="BJ219" i="3"/>
  <c r="BI219" i="3"/>
  <c r="BH219" i="3"/>
  <c r="BG219" i="3"/>
  <c r="BF219" i="3"/>
  <c r="BE219" i="3"/>
  <c r="BD219" i="3"/>
  <c r="BC219" i="3"/>
  <c r="BB219" i="3"/>
  <c r="BA219" i="3"/>
  <c r="AZ219" i="3"/>
  <c r="AY219" i="3"/>
  <c r="AX219" i="3"/>
  <c r="AW219" i="3"/>
  <c r="AV219" i="3"/>
  <c r="AU219" i="3"/>
  <c r="AT219" i="3"/>
  <c r="AS219" i="3"/>
  <c r="AR219" i="3"/>
  <c r="AQ219" i="3"/>
  <c r="AP219" i="3"/>
  <c r="AO219" i="3"/>
  <c r="AN219" i="3"/>
  <c r="AM219" i="3"/>
  <c r="AL219" i="3"/>
  <c r="AK219" i="3"/>
  <c r="AJ219" i="3"/>
  <c r="AI219" i="3"/>
  <c r="AH219" i="3"/>
  <c r="AG219" i="3"/>
  <c r="AF219" i="3"/>
  <c r="AE219" i="3"/>
  <c r="AD219" i="3"/>
  <c r="AC219" i="3"/>
  <c r="AB219" i="3"/>
  <c r="AA219" i="3"/>
  <c r="Z219" i="3"/>
  <c r="Y219" i="3"/>
  <c r="X219" i="3"/>
  <c r="H219" i="3"/>
  <c r="BZ218" i="3"/>
  <c r="BY218" i="3"/>
  <c r="BX218" i="3"/>
  <c r="BW218" i="3"/>
  <c r="BV218" i="3"/>
  <c r="BU218" i="3"/>
  <c r="BT218" i="3"/>
  <c r="BS218" i="3"/>
  <c r="BR218" i="3"/>
  <c r="BQ218" i="3"/>
  <c r="BP218" i="3"/>
  <c r="BO218" i="3"/>
  <c r="BN218" i="3"/>
  <c r="BM218" i="3"/>
  <c r="BL218" i="3"/>
  <c r="BK218" i="3"/>
  <c r="BJ218" i="3"/>
  <c r="BI218" i="3"/>
  <c r="BH218" i="3"/>
  <c r="BG218" i="3"/>
  <c r="BF218" i="3"/>
  <c r="BE218" i="3"/>
  <c r="BD218" i="3"/>
  <c r="BC218" i="3"/>
  <c r="BB218" i="3"/>
  <c r="BA218" i="3"/>
  <c r="AZ218" i="3"/>
  <c r="AY218" i="3"/>
  <c r="AX218" i="3"/>
  <c r="AW218" i="3"/>
  <c r="AV218" i="3"/>
  <c r="AU218" i="3"/>
  <c r="AT218" i="3"/>
  <c r="AS218" i="3"/>
  <c r="AR218" i="3"/>
  <c r="AQ218" i="3"/>
  <c r="AP218" i="3"/>
  <c r="AO218" i="3"/>
  <c r="AN218" i="3"/>
  <c r="AM218" i="3"/>
  <c r="AL218" i="3"/>
  <c r="AK218" i="3"/>
  <c r="AJ218" i="3"/>
  <c r="AI218" i="3"/>
  <c r="AH218" i="3"/>
  <c r="AG218" i="3"/>
  <c r="AF218" i="3"/>
  <c r="AE218" i="3"/>
  <c r="AD218" i="3"/>
  <c r="AC218" i="3"/>
  <c r="AB218" i="3"/>
  <c r="AA218" i="3"/>
  <c r="Z218" i="3"/>
  <c r="Y218" i="3"/>
  <c r="X218" i="3"/>
  <c r="H218" i="3"/>
  <c r="BZ217" i="3"/>
  <c r="BY217" i="3"/>
  <c r="BX217" i="3"/>
  <c r="BW217" i="3"/>
  <c r="BV217" i="3"/>
  <c r="BU217" i="3"/>
  <c r="BT217" i="3"/>
  <c r="BS217" i="3"/>
  <c r="BR217" i="3"/>
  <c r="BQ217" i="3"/>
  <c r="BP217" i="3"/>
  <c r="BO217" i="3"/>
  <c r="BN217" i="3"/>
  <c r="BM217" i="3"/>
  <c r="BL217" i="3"/>
  <c r="BK217" i="3"/>
  <c r="BJ217" i="3"/>
  <c r="BI217" i="3"/>
  <c r="BH217" i="3"/>
  <c r="BG217" i="3"/>
  <c r="BF217" i="3"/>
  <c r="BE217" i="3"/>
  <c r="BD217" i="3"/>
  <c r="BC217" i="3"/>
  <c r="BB217" i="3"/>
  <c r="BA217" i="3"/>
  <c r="AZ217" i="3"/>
  <c r="AY217" i="3"/>
  <c r="AX217" i="3"/>
  <c r="AW217" i="3"/>
  <c r="AV217" i="3"/>
  <c r="AU217" i="3"/>
  <c r="AT217" i="3"/>
  <c r="AS217" i="3"/>
  <c r="AR217" i="3"/>
  <c r="AQ217" i="3"/>
  <c r="AP217" i="3"/>
  <c r="AO217" i="3"/>
  <c r="AN217" i="3"/>
  <c r="AM217" i="3"/>
  <c r="AL217" i="3"/>
  <c r="AK217" i="3"/>
  <c r="AJ217" i="3"/>
  <c r="AI217" i="3"/>
  <c r="AH217" i="3"/>
  <c r="AG217" i="3"/>
  <c r="AF217" i="3"/>
  <c r="AE217" i="3"/>
  <c r="AD217" i="3"/>
  <c r="AC217" i="3"/>
  <c r="AB217" i="3"/>
  <c r="AA217" i="3"/>
  <c r="Z217" i="3"/>
  <c r="Y217" i="3"/>
  <c r="X217" i="3"/>
  <c r="H217" i="3"/>
  <c r="BZ216" i="3"/>
  <c r="BY216" i="3"/>
  <c r="BX216" i="3"/>
  <c r="BW216" i="3"/>
  <c r="BV216" i="3"/>
  <c r="BU216" i="3"/>
  <c r="BT216" i="3"/>
  <c r="BS216" i="3"/>
  <c r="BR216" i="3"/>
  <c r="BQ216" i="3"/>
  <c r="BP216" i="3"/>
  <c r="BO216" i="3"/>
  <c r="BN216" i="3"/>
  <c r="BM216" i="3"/>
  <c r="BL216" i="3"/>
  <c r="BK216" i="3"/>
  <c r="BJ216" i="3"/>
  <c r="BI216" i="3"/>
  <c r="BH216" i="3"/>
  <c r="BG216" i="3"/>
  <c r="BF216" i="3"/>
  <c r="BE216" i="3"/>
  <c r="BD216" i="3"/>
  <c r="BC216" i="3"/>
  <c r="BB216" i="3"/>
  <c r="BA216" i="3"/>
  <c r="AZ216" i="3"/>
  <c r="AY216" i="3"/>
  <c r="AX216" i="3"/>
  <c r="AW216" i="3"/>
  <c r="AV216" i="3"/>
  <c r="AU216" i="3"/>
  <c r="AT216" i="3"/>
  <c r="AS216" i="3"/>
  <c r="AR216" i="3"/>
  <c r="AQ216" i="3"/>
  <c r="AP216" i="3"/>
  <c r="AO216" i="3"/>
  <c r="AN216" i="3"/>
  <c r="AM216" i="3"/>
  <c r="AL216" i="3"/>
  <c r="AK216" i="3"/>
  <c r="AJ216" i="3"/>
  <c r="AI216" i="3"/>
  <c r="AH216" i="3"/>
  <c r="AG216" i="3"/>
  <c r="AF216" i="3"/>
  <c r="AE216" i="3"/>
  <c r="AD216" i="3"/>
  <c r="AC216" i="3"/>
  <c r="AB216" i="3"/>
  <c r="AA216" i="3"/>
  <c r="Z216" i="3"/>
  <c r="Y216" i="3"/>
  <c r="X216" i="3"/>
  <c r="H216" i="3"/>
  <c r="BZ215" i="3"/>
  <c r="BY215" i="3"/>
  <c r="BX215" i="3"/>
  <c r="BW215" i="3"/>
  <c r="BV215" i="3"/>
  <c r="BU215" i="3"/>
  <c r="BT215" i="3"/>
  <c r="BS215" i="3"/>
  <c r="BR215" i="3"/>
  <c r="BQ215" i="3"/>
  <c r="BP215" i="3"/>
  <c r="BO215" i="3"/>
  <c r="BN215" i="3"/>
  <c r="BM215" i="3"/>
  <c r="BL215" i="3"/>
  <c r="BK215" i="3"/>
  <c r="BJ215" i="3"/>
  <c r="BI215" i="3"/>
  <c r="BH215" i="3"/>
  <c r="BG215" i="3"/>
  <c r="BF215" i="3"/>
  <c r="BE215" i="3"/>
  <c r="BD215" i="3"/>
  <c r="BC215" i="3"/>
  <c r="BB215" i="3"/>
  <c r="BA215" i="3"/>
  <c r="AZ215" i="3"/>
  <c r="AY215" i="3"/>
  <c r="AX215" i="3"/>
  <c r="AW215" i="3"/>
  <c r="AV215" i="3"/>
  <c r="AU215" i="3"/>
  <c r="AT215" i="3"/>
  <c r="AS215" i="3"/>
  <c r="AR215" i="3"/>
  <c r="AQ215" i="3"/>
  <c r="AP215" i="3"/>
  <c r="AO215" i="3"/>
  <c r="AN215" i="3"/>
  <c r="AM215" i="3"/>
  <c r="AL215" i="3"/>
  <c r="AK215" i="3"/>
  <c r="AJ215" i="3"/>
  <c r="AI215" i="3"/>
  <c r="AH215" i="3"/>
  <c r="AG215" i="3"/>
  <c r="AF215" i="3"/>
  <c r="AE215" i="3"/>
  <c r="AD215" i="3"/>
  <c r="AC215" i="3"/>
  <c r="AB215" i="3"/>
  <c r="AA215" i="3"/>
  <c r="Z215" i="3"/>
  <c r="Y215" i="3"/>
  <c r="X215" i="3"/>
  <c r="H215" i="3"/>
  <c r="BZ214" i="3"/>
  <c r="BY214" i="3"/>
  <c r="BX214" i="3"/>
  <c r="BW214" i="3"/>
  <c r="BV214" i="3"/>
  <c r="BU214" i="3"/>
  <c r="BT214" i="3"/>
  <c r="BS214" i="3"/>
  <c r="BR214" i="3"/>
  <c r="BQ214" i="3"/>
  <c r="BP214" i="3"/>
  <c r="BO214" i="3"/>
  <c r="BN214" i="3"/>
  <c r="BM214" i="3"/>
  <c r="BL214" i="3"/>
  <c r="BK214" i="3"/>
  <c r="BJ214" i="3"/>
  <c r="BI214" i="3"/>
  <c r="BH214" i="3"/>
  <c r="BG214" i="3"/>
  <c r="BF214" i="3"/>
  <c r="BE214" i="3"/>
  <c r="BD214" i="3"/>
  <c r="BC214" i="3"/>
  <c r="BB214" i="3"/>
  <c r="BA214" i="3"/>
  <c r="AZ214" i="3"/>
  <c r="AY214" i="3"/>
  <c r="AX214" i="3"/>
  <c r="AW214" i="3"/>
  <c r="AV214" i="3"/>
  <c r="AU214" i="3"/>
  <c r="AT214" i="3"/>
  <c r="AS214" i="3"/>
  <c r="AR214" i="3"/>
  <c r="AQ214" i="3"/>
  <c r="AP214" i="3"/>
  <c r="AO214" i="3"/>
  <c r="AN214" i="3"/>
  <c r="AM214" i="3"/>
  <c r="AL214" i="3"/>
  <c r="AK214" i="3"/>
  <c r="AJ214" i="3"/>
  <c r="AI214" i="3"/>
  <c r="AH214" i="3"/>
  <c r="AG214" i="3"/>
  <c r="AF214" i="3"/>
  <c r="AE214" i="3"/>
  <c r="AD214" i="3"/>
  <c r="AC214" i="3"/>
  <c r="AB214" i="3"/>
  <c r="AA214" i="3"/>
  <c r="Z214" i="3"/>
  <c r="Y214" i="3"/>
  <c r="X214" i="3"/>
  <c r="H214" i="3"/>
  <c r="BZ213" i="3"/>
  <c r="BY213" i="3"/>
  <c r="BX213" i="3"/>
  <c r="BW213" i="3"/>
  <c r="BV213" i="3"/>
  <c r="BU213" i="3"/>
  <c r="BT213" i="3"/>
  <c r="BS213" i="3"/>
  <c r="BR213" i="3"/>
  <c r="BQ213" i="3"/>
  <c r="BP213" i="3"/>
  <c r="BO213" i="3"/>
  <c r="BN213" i="3"/>
  <c r="BM213" i="3"/>
  <c r="BL213" i="3"/>
  <c r="BK213" i="3"/>
  <c r="BJ213" i="3"/>
  <c r="BI213" i="3"/>
  <c r="BH213" i="3"/>
  <c r="BG213" i="3"/>
  <c r="BF213" i="3"/>
  <c r="BE213" i="3"/>
  <c r="BD213" i="3"/>
  <c r="BC213" i="3"/>
  <c r="BB213" i="3"/>
  <c r="BA213" i="3"/>
  <c r="AZ213" i="3"/>
  <c r="AY213" i="3"/>
  <c r="AX213" i="3"/>
  <c r="AW213" i="3"/>
  <c r="AV213" i="3"/>
  <c r="AU213" i="3"/>
  <c r="AT213" i="3"/>
  <c r="AS213" i="3"/>
  <c r="AR213" i="3"/>
  <c r="AQ213" i="3"/>
  <c r="AP213" i="3"/>
  <c r="AO213" i="3"/>
  <c r="AN213" i="3"/>
  <c r="AM213" i="3"/>
  <c r="AL213" i="3"/>
  <c r="AK213" i="3"/>
  <c r="AJ213" i="3"/>
  <c r="AI213" i="3"/>
  <c r="AH213" i="3"/>
  <c r="AG213" i="3"/>
  <c r="AF213" i="3"/>
  <c r="AE213" i="3"/>
  <c r="AD213" i="3"/>
  <c r="AC213" i="3"/>
  <c r="AB213" i="3"/>
  <c r="AA213" i="3"/>
  <c r="Z213" i="3"/>
  <c r="Y213" i="3"/>
  <c r="X213" i="3"/>
  <c r="H213" i="3"/>
  <c r="BZ212" i="3"/>
  <c r="BY212" i="3"/>
  <c r="BX212" i="3"/>
  <c r="BW212" i="3"/>
  <c r="BV212" i="3"/>
  <c r="BU212" i="3"/>
  <c r="BT212" i="3"/>
  <c r="BS212" i="3"/>
  <c r="BR212" i="3"/>
  <c r="BQ212" i="3"/>
  <c r="BP212" i="3"/>
  <c r="BO212" i="3"/>
  <c r="BN212" i="3"/>
  <c r="BM212" i="3"/>
  <c r="BL212" i="3"/>
  <c r="BK212" i="3"/>
  <c r="BJ212" i="3"/>
  <c r="BI212" i="3"/>
  <c r="BH212" i="3"/>
  <c r="BG212" i="3"/>
  <c r="BF212" i="3"/>
  <c r="BE212" i="3"/>
  <c r="BD212" i="3"/>
  <c r="BC212" i="3"/>
  <c r="BB212" i="3"/>
  <c r="BA212" i="3"/>
  <c r="AZ212" i="3"/>
  <c r="AY212" i="3"/>
  <c r="AX212" i="3"/>
  <c r="AW212" i="3"/>
  <c r="AV212" i="3"/>
  <c r="AU212" i="3"/>
  <c r="AT212" i="3"/>
  <c r="AS212" i="3"/>
  <c r="AR212" i="3"/>
  <c r="AQ212" i="3"/>
  <c r="AP212" i="3"/>
  <c r="AO212" i="3"/>
  <c r="AN212" i="3"/>
  <c r="AM212" i="3"/>
  <c r="AL212" i="3"/>
  <c r="AK212" i="3"/>
  <c r="AJ212" i="3"/>
  <c r="AI212" i="3"/>
  <c r="AH212" i="3"/>
  <c r="AG212" i="3"/>
  <c r="AF212" i="3"/>
  <c r="AE212" i="3"/>
  <c r="AD212" i="3"/>
  <c r="AC212" i="3"/>
  <c r="AB212" i="3"/>
  <c r="AA212" i="3"/>
  <c r="Z212" i="3"/>
  <c r="Y212" i="3"/>
  <c r="X212" i="3"/>
  <c r="H212" i="3"/>
  <c r="BZ211" i="3"/>
  <c r="BY211" i="3"/>
  <c r="BX211" i="3"/>
  <c r="BW211" i="3"/>
  <c r="BV211" i="3"/>
  <c r="BU211" i="3"/>
  <c r="BT211" i="3"/>
  <c r="BS211" i="3"/>
  <c r="BR211" i="3"/>
  <c r="BQ211" i="3"/>
  <c r="BP211" i="3"/>
  <c r="BO211" i="3"/>
  <c r="BN211" i="3"/>
  <c r="BM211" i="3"/>
  <c r="BL211" i="3"/>
  <c r="BK211" i="3"/>
  <c r="BJ211" i="3"/>
  <c r="BI211" i="3"/>
  <c r="BH211" i="3"/>
  <c r="BG211" i="3"/>
  <c r="BF211" i="3"/>
  <c r="BE211" i="3"/>
  <c r="BD211" i="3"/>
  <c r="BC211" i="3"/>
  <c r="BB211" i="3"/>
  <c r="BA211" i="3"/>
  <c r="AZ211" i="3"/>
  <c r="AY211" i="3"/>
  <c r="AX211" i="3"/>
  <c r="AW211" i="3"/>
  <c r="AV211" i="3"/>
  <c r="AU211" i="3"/>
  <c r="AT211" i="3"/>
  <c r="AS211" i="3"/>
  <c r="AR211" i="3"/>
  <c r="AQ211" i="3"/>
  <c r="AP211" i="3"/>
  <c r="AO211" i="3"/>
  <c r="AN211" i="3"/>
  <c r="AM211" i="3"/>
  <c r="AL211" i="3"/>
  <c r="AK211" i="3"/>
  <c r="AJ211" i="3"/>
  <c r="AI211" i="3"/>
  <c r="AH211" i="3"/>
  <c r="AG211" i="3"/>
  <c r="AF211" i="3"/>
  <c r="AE211" i="3"/>
  <c r="AD211" i="3"/>
  <c r="AC211" i="3"/>
  <c r="AB211" i="3"/>
  <c r="AA211" i="3"/>
  <c r="Z211" i="3"/>
  <c r="Y211" i="3"/>
  <c r="X211" i="3"/>
  <c r="H211" i="3"/>
  <c r="BZ210" i="3"/>
  <c r="BY210" i="3"/>
  <c r="BX210" i="3"/>
  <c r="BW210" i="3"/>
  <c r="BV210" i="3"/>
  <c r="BU210" i="3"/>
  <c r="BT210" i="3"/>
  <c r="BS210" i="3"/>
  <c r="BR210" i="3"/>
  <c r="BQ210" i="3"/>
  <c r="BP210" i="3"/>
  <c r="BO210" i="3"/>
  <c r="BN210" i="3"/>
  <c r="BM210" i="3"/>
  <c r="BL210" i="3"/>
  <c r="BK210" i="3"/>
  <c r="BJ210" i="3"/>
  <c r="BI210" i="3"/>
  <c r="BH210" i="3"/>
  <c r="BG210" i="3"/>
  <c r="BF210" i="3"/>
  <c r="BE210" i="3"/>
  <c r="BD210" i="3"/>
  <c r="BC210" i="3"/>
  <c r="BB210" i="3"/>
  <c r="BA210" i="3"/>
  <c r="AZ210" i="3"/>
  <c r="AY210" i="3"/>
  <c r="AX210" i="3"/>
  <c r="AW210" i="3"/>
  <c r="AV210" i="3"/>
  <c r="AU210" i="3"/>
  <c r="AT210" i="3"/>
  <c r="AS210" i="3"/>
  <c r="AR210" i="3"/>
  <c r="AQ210" i="3"/>
  <c r="AP210" i="3"/>
  <c r="AO210" i="3"/>
  <c r="AN210" i="3"/>
  <c r="AM210" i="3"/>
  <c r="AL210" i="3"/>
  <c r="AK210" i="3"/>
  <c r="AJ210" i="3"/>
  <c r="AI210" i="3"/>
  <c r="AH210" i="3"/>
  <c r="AG210" i="3"/>
  <c r="AF210" i="3"/>
  <c r="AE210" i="3"/>
  <c r="AD210" i="3"/>
  <c r="AC210" i="3"/>
  <c r="AB210" i="3"/>
  <c r="AA210" i="3"/>
  <c r="Z210" i="3"/>
  <c r="Y210" i="3"/>
  <c r="X210" i="3"/>
  <c r="H210" i="3"/>
  <c r="BZ209" i="3"/>
  <c r="BY209" i="3"/>
  <c r="BX209" i="3"/>
  <c r="BW209" i="3"/>
  <c r="BV209" i="3"/>
  <c r="BU209" i="3"/>
  <c r="BT209" i="3"/>
  <c r="BS209" i="3"/>
  <c r="BR209" i="3"/>
  <c r="BQ209" i="3"/>
  <c r="BP209" i="3"/>
  <c r="BO209" i="3"/>
  <c r="BN209" i="3"/>
  <c r="BM209" i="3"/>
  <c r="BL209" i="3"/>
  <c r="BK209" i="3"/>
  <c r="BJ209" i="3"/>
  <c r="BI209" i="3"/>
  <c r="BH209" i="3"/>
  <c r="BG209" i="3"/>
  <c r="BF209" i="3"/>
  <c r="BE209" i="3"/>
  <c r="BD209" i="3"/>
  <c r="BC209" i="3"/>
  <c r="BB209" i="3"/>
  <c r="BA209" i="3"/>
  <c r="AZ209" i="3"/>
  <c r="AY209" i="3"/>
  <c r="AX209" i="3"/>
  <c r="AW209" i="3"/>
  <c r="AV209" i="3"/>
  <c r="AU209" i="3"/>
  <c r="AT209" i="3"/>
  <c r="AS209" i="3"/>
  <c r="AR209" i="3"/>
  <c r="AQ209" i="3"/>
  <c r="AP209" i="3"/>
  <c r="AO209" i="3"/>
  <c r="AN209" i="3"/>
  <c r="AM209" i="3"/>
  <c r="AL209" i="3"/>
  <c r="AK209" i="3"/>
  <c r="AJ209" i="3"/>
  <c r="AI209" i="3"/>
  <c r="AH209" i="3"/>
  <c r="AG209" i="3"/>
  <c r="AF209" i="3"/>
  <c r="AE209" i="3"/>
  <c r="AD209" i="3"/>
  <c r="AC209" i="3"/>
  <c r="AB209" i="3"/>
  <c r="AA209" i="3"/>
  <c r="Z209" i="3"/>
  <c r="Y209" i="3"/>
  <c r="X209" i="3"/>
  <c r="H209" i="3"/>
  <c r="BZ208" i="3"/>
  <c r="BY208" i="3"/>
  <c r="BX208" i="3"/>
  <c r="BW208" i="3"/>
  <c r="BV208" i="3"/>
  <c r="BU208" i="3"/>
  <c r="BT208" i="3"/>
  <c r="BS208" i="3"/>
  <c r="BR208" i="3"/>
  <c r="BQ208" i="3"/>
  <c r="BP208" i="3"/>
  <c r="BO208" i="3"/>
  <c r="BN208" i="3"/>
  <c r="BM208" i="3"/>
  <c r="BL208" i="3"/>
  <c r="BK208" i="3"/>
  <c r="BJ208" i="3"/>
  <c r="BI208" i="3"/>
  <c r="BH208" i="3"/>
  <c r="BG208" i="3"/>
  <c r="BF208" i="3"/>
  <c r="BE208" i="3"/>
  <c r="BD208" i="3"/>
  <c r="BC208" i="3"/>
  <c r="BB208" i="3"/>
  <c r="BA208" i="3"/>
  <c r="AZ208" i="3"/>
  <c r="AY208" i="3"/>
  <c r="AX208" i="3"/>
  <c r="AW208" i="3"/>
  <c r="AV208" i="3"/>
  <c r="AU208" i="3"/>
  <c r="AT208" i="3"/>
  <c r="AS208" i="3"/>
  <c r="AR208" i="3"/>
  <c r="AQ208" i="3"/>
  <c r="AP208" i="3"/>
  <c r="AO208" i="3"/>
  <c r="AN208" i="3"/>
  <c r="AM208" i="3"/>
  <c r="AL208" i="3"/>
  <c r="AK208" i="3"/>
  <c r="AJ208" i="3"/>
  <c r="AI208" i="3"/>
  <c r="AH208" i="3"/>
  <c r="AG208" i="3"/>
  <c r="AF208" i="3"/>
  <c r="AE208" i="3"/>
  <c r="AD208" i="3"/>
  <c r="AC208" i="3"/>
  <c r="AB208" i="3"/>
  <c r="AA208" i="3"/>
  <c r="Z208" i="3"/>
  <c r="Y208" i="3"/>
  <c r="X208" i="3"/>
  <c r="H208" i="3"/>
  <c r="BZ207" i="3"/>
  <c r="BY207" i="3"/>
  <c r="BX207" i="3"/>
  <c r="BW207" i="3"/>
  <c r="BV207" i="3"/>
  <c r="BU207" i="3"/>
  <c r="BT207" i="3"/>
  <c r="BS207" i="3"/>
  <c r="BR207" i="3"/>
  <c r="BQ207" i="3"/>
  <c r="BP207" i="3"/>
  <c r="BO207" i="3"/>
  <c r="BN207" i="3"/>
  <c r="BM207" i="3"/>
  <c r="BL207" i="3"/>
  <c r="BK207" i="3"/>
  <c r="BJ207" i="3"/>
  <c r="BI207" i="3"/>
  <c r="BH207" i="3"/>
  <c r="BG207" i="3"/>
  <c r="BF207" i="3"/>
  <c r="BE207" i="3"/>
  <c r="BD207" i="3"/>
  <c r="BC207" i="3"/>
  <c r="BB207" i="3"/>
  <c r="BA207" i="3"/>
  <c r="AZ207" i="3"/>
  <c r="AY207" i="3"/>
  <c r="AX207" i="3"/>
  <c r="AW207" i="3"/>
  <c r="AV207" i="3"/>
  <c r="AU207" i="3"/>
  <c r="AT207" i="3"/>
  <c r="AS207" i="3"/>
  <c r="AR207" i="3"/>
  <c r="AQ207" i="3"/>
  <c r="AP207" i="3"/>
  <c r="AO207" i="3"/>
  <c r="AN207" i="3"/>
  <c r="AM207" i="3"/>
  <c r="AL207" i="3"/>
  <c r="AK207" i="3"/>
  <c r="AJ207" i="3"/>
  <c r="AI207" i="3"/>
  <c r="AH207" i="3"/>
  <c r="AG207" i="3"/>
  <c r="AF207" i="3"/>
  <c r="AE207" i="3"/>
  <c r="AD207" i="3"/>
  <c r="AC207" i="3"/>
  <c r="AB207" i="3"/>
  <c r="AA207" i="3"/>
  <c r="Z207" i="3"/>
  <c r="Y207" i="3"/>
  <c r="X207" i="3"/>
  <c r="H207" i="3"/>
  <c r="BZ206" i="3"/>
  <c r="BY206" i="3"/>
  <c r="BX206" i="3"/>
  <c r="BW206" i="3"/>
  <c r="BV206" i="3"/>
  <c r="BU206" i="3"/>
  <c r="BT206" i="3"/>
  <c r="BS206" i="3"/>
  <c r="BR206" i="3"/>
  <c r="BQ206" i="3"/>
  <c r="BP206" i="3"/>
  <c r="BO206" i="3"/>
  <c r="BN206" i="3"/>
  <c r="BM206" i="3"/>
  <c r="BL206" i="3"/>
  <c r="BK206" i="3"/>
  <c r="BJ206" i="3"/>
  <c r="BI206" i="3"/>
  <c r="BH206" i="3"/>
  <c r="BG206" i="3"/>
  <c r="BF206" i="3"/>
  <c r="BE206" i="3"/>
  <c r="BD206" i="3"/>
  <c r="BC206" i="3"/>
  <c r="BB206" i="3"/>
  <c r="BA206" i="3"/>
  <c r="AZ206" i="3"/>
  <c r="AY206" i="3"/>
  <c r="AX206" i="3"/>
  <c r="AW206" i="3"/>
  <c r="AV206" i="3"/>
  <c r="AU206" i="3"/>
  <c r="AT206" i="3"/>
  <c r="AS206" i="3"/>
  <c r="AR206" i="3"/>
  <c r="AQ206" i="3"/>
  <c r="AP206" i="3"/>
  <c r="AO206" i="3"/>
  <c r="AN206" i="3"/>
  <c r="AM206" i="3"/>
  <c r="AL206" i="3"/>
  <c r="AK206" i="3"/>
  <c r="AJ206" i="3"/>
  <c r="AI206" i="3"/>
  <c r="AH206" i="3"/>
  <c r="AG206" i="3"/>
  <c r="AF206" i="3"/>
  <c r="AE206" i="3"/>
  <c r="AD206" i="3"/>
  <c r="AC206" i="3"/>
  <c r="AB206" i="3"/>
  <c r="AA206" i="3"/>
  <c r="Z206" i="3"/>
  <c r="Y206" i="3"/>
  <c r="X206" i="3"/>
  <c r="H206" i="3"/>
  <c r="BZ205" i="3"/>
  <c r="BY205" i="3"/>
  <c r="BX205" i="3"/>
  <c r="BW205" i="3"/>
  <c r="BV205" i="3"/>
  <c r="BU205" i="3"/>
  <c r="BT205" i="3"/>
  <c r="BS205" i="3"/>
  <c r="BR205" i="3"/>
  <c r="BQ205" i="3"/>
  <c r="BP205" i="3"/>
  <c r="BO205" i="3"/>
  <c r="BN205" i="3"/>
  <c r="BM205" i="3"/>
  <c r="BL205" i="3"/>
  <c r="BK205" i="3"/>
  <c r="BJ205" i="3"/>
  <c r="BI205" i="3"/>
  <c r="BH205" i="3"/>
  <c r="BG205" i="3"/>
  <c r="BF205" i="3"/>
  <c r="BE205" i="3"/>
  <c r="BD205" i="3"/>
  <c r="BC205" i="3"/>
  <c r="BB205" i="3"/>
  <c r="BA205" i="3"/>
  <c r="AZ205" i="3"/>
  <c r="AY205" i="3"/>
  <c r="AX205" i="3"/>
  <c r="AW205" i="3"/>
  <c r="AV205" i="3"/>
  <c r="AU205" i="3"/>
  <c r="AT205" i="3"/>
  <c r="AS205" i="3"/>
  <c r="AR205" i="3"/>
  <c r="AQ205" i="3"/>
  <c r="AP205" i="3"/>
  <c r="AO205" i="3"/>
  <c r="AN205" i="3"/>
  <c r="AM205" i="3"/>
  <c r="AL205" i="3"/>
  <c r="AK205" i="3"/>
  <c r="AJ205" i="3"/>
  <c r="AI205" i="3"/>
  <c r="AH205" i="3"/>
  <c r="AG205" i="3"/>
  <c r="AF205" i="3"/>
  <c r="AE205" i="3"/>
  <c r="AD205" i="3"/>
  <c r="AC205" i="3"/>
  <c r="AB205" i="3"/>
  <c r="AA205" i="3"/>
  <c r="Z205" i="3"/>
  <c r="Y205" i="3"/>
  <c r="X205" i="3"/>
  <c r="H205" i="3"/>
  <c r="BZ204" i="3"/>
  <c r="BY204" i="3"/>
  <c r="BX204" i="3"/>
  <c r="BW204" i="3"/>
  <c r="BV204" i="3"/>
  <c r="BU204" i="3"/>
  <c r="BT204" i="3"/>
  <c r="BS204" i="3"/>
  <c r="BR204" i="3"/>
  <c r="BQ204" i="3"/>
  <c r="BP204" i="3"/>
  <c r="BO204" i="3"/>
  <c r="BN204" i="3"/>
  <c r="BM204" i="3"/>
  <c r="BL204" i="3"/>
  <c r="BK204" i="3"/>
  <c r="BJ204" i="3"/>
  <c r="BI204" i="3"/>
  <c r="BH204" i="3"/>
  <c r="BG204" i="3"/>
  <c r="BF204" i="3"/>
  <c r="BE204" i="3"/>
  <c r="BD204" i="3"/>
  <c r="BC204" i="3"/>
  <c r="BB204" i="3"/>
  <c r="BA204" i="3"/>
  <c r="AZ204" i="3"/>
  <c r="AY204" i="3"/>
  <c r="AX204" i="3"/>
  <c r="AW204" i="3"/>
  <c r="AV204" i="3"/>
  <c r="AU204" i="3"/>
  <c r="AT204" i="3"/>
  <c r="AS204" i="3"/>
  <c r="AR204" i="3"/>
  <c r="AQ204" i="3"/>
  <c r="AP204" i="3"/>
  <c r="AO204" i="3"/>
  <c r="AN204" i="3"/>
  <c r="AM204" i="3"/>
  <c r="AL204" i="3"/>
  <c r="AK204" i="3"/>
  <c r="AJ204" i="3"/>
  <c r="AI204" i="3"/>
  <c r="AH204" i="3"/>
  <c r="AG204" i="3"/>
  <c r="AF204" i="3"/>
  <c r="AE204" i="3"/>
  <c r="AD204" i="3"/>
  <c r="AC204" i="3"/>
  <c r="AB204" i="3"/>
  <c r="AA204" i="3"/>
  <c r="Z204" i="3"/>
  <c r="Y204" i="3"/>
  <c r="X204" i="3"/>
  <c r="H204" i="3"/>
  <c r="BZ203" i="3"/>
  <c r="BY203" i="3"/>
  <c r="BX203" i="3"/>
  <c r="BW203" i="3"/>
  <c r="BV203" i="3"/>
  <c r="BU203" i="3"/>
  <c r="BT203" i="3"/>
  <c r="BS203" i="3"/>
  <c r="BR203" i="3"/>
  <c r="BQ203" i="3"/>
  <c r="BP203" i="3"/>
  <c r="BO203" i="3"/>
  <c r="BN203" i="3"/>
  <c r="BM203" i="3"/>
  <c r="BL203" i="3"/>
  <c r="BK203" i="3"/>
  <c r="BJ203" i="3"/>
  <c r="BI203" i="3"/>
  <c r="BH203" i="3"/>
  <c r="BG203" i="3"/>
  <c r="BF203" i="3"/>
  <c r="BE203" i="3"/>
  <c r="BD203" i="3"/>
  <c r="BC203" i="3"/>
  <c r="BB203" i="3"/>
  <c r="BA203" i="3"/>
  <c r="AZ203" i="3"/>
  <c r="AY203" i="3"/>
  <c r="AX203" i="3"/>
  <c r="AW203" i="3"/>
  <c r="AV203" i="3"/>
  <c r="AU203" i="3"/>
  <c r="AT203" i="3"/>
  <c r="AS203" i="3"/>
  <c r="AR203" i="3"/>
  <c r="AQ203" i="3"/>
  <c r="AP203" i="3"/>
  <c r="AO203" i="3"/>
  <c r="AN203" i="3"/>
  <c r="AM203" i="3"/>
  <c r="AL203" i="3"/>
  <c r="AK203" i="3"/>
  <c r="AJ203" i="3"/>
  <c r="AI203" i="3"/>
  <c r="AH203" i="3"/>
  <c r="AG203" i="3"/>
  <c r="AF203" i="3"/>
  <c r="AE203" i="3"/>
  <c r="AD203" i="3"/>
  <c r="AC203" i="3"/>
  <c r="AB203" i="3"/>
  <c r="AA203" i="3"/>
  <c r="Z203" i="3"/>
  <c r="Y203" i="3"/>
  <c r="X203" i="3"/>
  <c r="H203" i="3"/>
  <c r="BZ202" i="3"/>
  <c r="BY202" i="3"/>
  <c r="BX202" i="3"/>
  <c r="BW202" i="3"/>
  <c r="BV202" i="3"/>
  <c r="BU202" i="3"/>
  <c r="BT202" i="3"/>
  <c r="BS202" i="3"/>
  <c r="BR202" i="3"/>
  <c r="BQ202" i="3"/>
  <c r="BP202" i="3"/>
  <c r="BO202" i="3"/>
  <c r="BN202" i="3"/>
  <c r="BM202" i="3"/>
  <c r="BL202" i="3"/>
  <c r="BK202" i="3"/>
  <c r="BJ202" i="3"/>
  <c r="BI202" i="3"/>
  <c r="BH202" i="3"/>
  <c r="BG202" i="3"/>
  <c r="BF202" i="3"/>
  <c r="BE202" i="3"/>
  <c r="BD202" i="3"/>
  <c r="BC202" i="3"/>
  <c r="BB202" i="3"/>
  <c r="BA202" i="3"/>
  <c r="AZ202" i="3"/>
  <c r="AY202" i="3"/>
  <c r="AX202" i="3"/>
  <c r="AW202" i="3"/>
  <c r="AV202" i="3"/>
  <c r="AU202" i="3"/>
  <c r="AT202" i="3"/>
  <c r="AS202" i="3"/>
  <c r="AR202" i="3"/>
  <c r="AQ202" i="3"/>
  <c r="AP202" i="3"/>
  <c r="AO202" i="3"/>
  <c r="AN202" i="3"/>
  <c r="AM202" i="3"/>
  <c r="AL202" i="3"/>
  <c r="AK202" i="3"/>
  <c r="AJ202" i="3"/>
  <c r="AI202" i="3"/>
  <c r="AH202" i="3"/>
  <c r="AG202" i="3"/>
  <c r="AF202" i="3"/>
  <c r="AE202" i="3"/>
  <c r="AD202" i="3"/>
  <c r="AC202" i="3"/>
  <c r="AB202" i="3"/>
  <c r="AA202" i="3"/>
  <c r="Z202" i="3"/>
  <c r="Y202" i="3"/>
  <c r="X202" i="3"/>
  <c r="H202" i="3"/>
  <c r="BZ201" i="3"/>
  <c r="BY201" i="3"/>
  <c r="BX201" i="3"/>
  <c r="BW201" i="3"/>
  <c r="BV201" i="3"/>
  <c r="BU201" i="3"/>
  <c r="BT201" i="3"/>
  <c r="BS201" i="3"/>
  <c r="BR201" i="3"/>
  <c r="BQ201" i="3"/>
  <c r="BP201" i="3"/>
  <c r="BO201" i="3"/>
  <c r="BN201" i="3"/>
  <c r="BM201" i="3"/>
  <c r="BL201" i="3"/>
  <c r="BK201" i="3"/>
  <c r="BJ201" i="3"/>
  <c r="BI201" i="3"/>
  <c r="BH201" i="3"/>
  <c r="BG201" i="3"/>
  <c r="BF201" i="3"/>
  <c r="BE201" i="3"/>
  <c r="BD201" i="3"/>
  <c r="BC201" i="3"/>
  <c r="BB201" i="3"/>
  <c r="BA201" i="3"/>
  <c r="AZ201" i="3"/>
  <c r="AY201" i="3"/>
  <c r="AX201" i="3"/>
  <c r="AW201" i="3"/>
  <c r="AV201" i="3"/>
  <c r="AU201" i="3"/>
  <c r="AT201" i="3"/>
  <c r="AS201" i="3"/>
  <c r="AR201" i="3"/>
  <c r="AQ201" i="3"/>
  <c r="AP201" i="3"/>
  <c r="AO201" i="3"/>
  <c r="AN201" i="3"/>
  <c r="AM201" i="3"/>
  <c r="AL201" i="3"/>
  <c r="AK201" i="3"/>
  <c r="AJ201" i="3"/>
  <c r="AI201" i="3"/>
  <c r="AH201" i="3"/>
  <c r="AG201" i="3"/>
  <c r="AF201" i="3"/>
  <c r="AE201" i="3"/>
  <c r="AD201" i="3"/>
  <c r="AC201" i="3"/>
  <c r="AB201" i="3"/>
  <c r="AA201" i="3"/>
  <c r="Z201" i="3"/>
  <c r="Y201" i="3"/>
  <c r="X201" i="3"/>
  <c r="H201" i="3"/>
  <c r="BZ200" i="3"/>
  <c r="BY200" i="3"/>
  <c r="BX200" i="3"/>
  <c r="BW200" i="3"/>
  <c r="BV200" i="3"/>
  <c r="BU200" i="3"/>
  <c r="BT200" i="3"/>
  <c r="BS200" i="3"/>
  <c r="BR200" i="3"/>
  <c r="BQ200" i="3"/>
  <c r="BP200" i="3"/>
  <c r="BO200" i="3"/>
  <c r="BN200" i="3"/>
  <c r="BM200" i="3"/>
  <c r="BL200" i="3"/>
  <c r="BK200" i="3"/>
  <c r="BJ200" i="3"/>
  <c r="BI200" i="3"/>
  <c r="BH200" i="3"/>
  <c r="BG200" i="3"/>
  <c r="BF200" i="3"/>
  <c r="BE200" i="3"/>
  <c r="BD200" i="3"/>
  <c r="BC200" i="3"/>
  <c r="BB200" i="3"/>
  <c r="BA200" i="3"/>
  <c r="AZ200" i="3"/>
  <c r="AY200" i="3"/>
  <c r="AX200" i="3"/>
  <c r="AW200" i="3"/>
  <c r="AV200" i="3"/>
  <c r="AU200" i="3"/>
  <c r="AT200" i="3"/>
  <c r="AS200" i="3"/>
  <c r="AR200" i="3"/>
  <c r="AQ200" i="3"/>
  <c r="AP200" i="3"/>
  <c r="AO200" i="3"/>
  <c r="AN200" i="3"/>
  <c r="AM200" i="3"/>
  <c r="AL200" i="3"/>
  <c r="AK200" i="3"/>
  <c r="AJ200" i="3"/>
  <c r="AI200" i="3"/>
  <c r="AH200" i="3"/>
  <c r="AG200" i="3"/>
  <c r="AF200" i="3"/>
  <c r="AE200" i="3"/>
  <c r="AD200" i="3"/>
  <c r="AC200" i="3"/>
  <c r="AB200" i="3"/>
  <c r="AA200" i="3"/>
  <c r="Z200" i="3"/>
  <c r="Y200" i="3"/>
  <c r="X200" i="3"/>
  <c r="H200" i="3"/>
  <c r="BZ199" i="3"/>
  <c r="BY199" i="3"/>
  <c r="BX199" i="3"/>
  <c r="BW199" i="3"/>
  <c r="BV199" i="3"/>
  <c r="BU199" i="3"/>
  <c r="BT199" i="3"/>
  <c r="BS199" i="3"/>
  <c r="BR199" i="3"/>
  <c r="BQ199" i="3"/>
  <c r="BP199" i="3"/>
  <c r="BO199" i="3"/>
  <c r="BN199" i="3"/>
  <c r="BM199" i="3"/>
  <c r="BL199" i="3"/>
  <c r="BK199" i="3"/>
  <c r="BJ199" i="3"/>
  <c r="BI199" i="3"/>
  <c r="BH199" i="3"/>
  <c r="BG199" i="3"/>
  <c r="BF199" i="3"/>
  <c r="BE199" i="3"/>
  <c r="BD199" i="3"/>
  <c r="BC199" i="3"/>
  <c r="BB199" i="3"/>
  <c r="BA199" i="3"/>
  <c r="AZ199" i="3"/>
  <c r="AY199" i="3"/>
  <c r="AX199" i="3"/>
  <c r="AW199" i="3"/>
  <c r="AV199" i="3"/>
  <c r="AU199" i="3"/>
  <c r="AT199" i="3"/>
  <c r="AS199" i="3"/>
  <c r="AR199" i="3"/>
  <c r="AQ199" i="3"/>
  <c r="AP199" i="3"/>
  <c r="AO199" i="3"/>
  <c r="AN199" i="3"/>
  <c r="AM199" i="3"/>
  <c r="AL199" i="3"/>
  <c r="AK199" i="3"/>
  <c r="AJ199" i="3"/>
  <c r="AI199" i="3"/>
  <c r="AH199" i="3"/>
  <c r="AG199" i="3"/>
  <c r="AF199" i="3"/>
  <c r="AE199" i="3"/>
  <c r="AD199" i="3"/>
  <c r="AC199" i="3"/>
  <c r="AB199" i="3"/>
  <c r="AA199" i="3"/>
  <c r="Z199" i="3"/>
  <c r="Y199" i="3"/>
  <c r="X199" i="3"/>
  <c r="H199" i="3"/>
  <c r="BZ198" i="3"/>
  <c r="BY198" i="3"/>
  <c r="BX198" i="3"/>
  <c r="BW198" i="3"/>
  <c r="BV198" i="3"/>
  <c r="BU198" i="3"/>
  <c r="BT198" i="3"/>
  <c r="BS198" i="3"/>
  <c r="BR198" i="3"/>
  <c r="BQ198" i="3"/>
  <c r="BP198" i="3"/>
  <c r="BO198" i="3"/>
  <c r="BN198" i="3"/>
  <c r="BM198" i="3"/>
  <c r="BL198" i="3"/>
  <c r="BK198" i="3"/>
  <c r="BJ198" i="3"/>
  <c r="BI198" i="3"/>
  <c r="BH198" i="3"/>
  <c r="BG198" i="3"/>
  <c r="BF198" i="3"/>
  <c r="BE198" i="3"/>
  <c r="BD198" i="3"/>
  <c r="BC198" i="3"/>
  <c r="BB198" i="3"/>
  <c r="BA198" i="3"/>
  <c r="AZ198" i="3"/>
  <c r="AY198" i="3"/>
  <c r="AX198" i="3"/>
  <c r="AW198" i="3"/>
  <c r="AV198" i="3"/>
  <c r="AU198" i="3"/>
  <c r="AT198" i="3"/>
  <c r="AS198" i="3"/>
  <c r="AR198" i="3"/>
  <c r="AQ198" i="3"/>
  <c r="AP198" i="3"/>
  <c r="AO198" i="3"/>
  <c r="AN198" i="3"/>
  <c r="AM198" i="3"/>
  <c r="AL198" i="3"/>
  <c r="AK198" i="3"/>
  <c r="AJ198" i="3"/>
  <c r="AI198" i="3"/>
  <c r="AH198" i="3"/>
  <c r="AG198" i="3"/>
  <c r="AF198" i="3"/>
  <c r="AE198" i="3"/>
  <c r="AD198" i="3"/>
  <c r="AC198" i="3"/>
  <c r="AB198" i="3"/>
  <c r="AA198" i="3"/>
  <c r="Z198" i="3"/>
  <c r="Y198" i="3"/>
  <c r="X198" i="3"/>
  <c r="H198" i="3"/>
  <c r="BZ197" i="3"/>
  <c r="BY197" i="3"/>
  <c r="BX197" i="3"/>
  <c r="BW197" i="3"/>
  <c r="BV197" i="3"/>
  <c r="BU197" i="3"/>
  <c r="BT197" i="3"/>
  <c r="BS197" i="3"/>
  <c r="BR197" i="3"/>
  <c r="BQ197" i="3"/>
  <c r="BP197" i="3"/>
  <c r="BO197" i="3"/>
  <c r="BN197" i="3"/>
  <c r="BM197" i="3"/>
  <c r="BL197" i="3"/>
  <c r="BK197" i="3"/>
  <c r="BJ197" i="3"/>
  <c r="BI197" i="3"/>
  <c r="BH197" i="3"/>
  <c r="BG197" i="3"/>
  <c r="BF197" i="3"/>
  <c r="BE197" i="3"/>
  <c r="BD197" i="3"/>
  <c r="BC197" i="3"/>
  <c r="BB197" i="3"/>
  <c r="BA197" i="3"/>
  <c r="AZ197" i="3"/>
  <c r="AY197" i="3"/>
  <c r="AX197" i="3"/>
  <c r="AW197" i="3"/>
  <c r="AV197" i="3"/>
  <c r="AU197" i="3"/>
  <c r="AT197" i="3"/>
  <c r="AS197" i="3"/>
  <c r="AR197" i="3"/>
  <c r="AQ197" i="3"/>
  <c r="AP197" i="3"/>
  <c r="AO197" i="3"/>
  <c r="AN197" i="3"/>
  <c r="AM197" i="3"/>
  <c r="AL197" i="3"/>
  <c r="AK197" i="3"/>
  <c r="AJ197" i="3"/>
  <c r="AI197" i="3"/>
  <c r="AH197" i="3"/>
  <c r="AG197" i="3"/>
  <c r="AF197" i="3"/>
  <c r="AE197" i="3"/>
  <c r="AD197" i="3"/>
  <c r="AC197" i="3"/>
  <c r="AB197" i="3"/>
  <c r="AA197" i="3"/>
  <c r="Z197" i="3"/>
  <c r="Y197" i="3"/>
  <c r="X197" i="3"/>
  <c r="H197" i="3"/>
  <c r="BZ196" i="3"/>
  <c r="BY196" i="3"/>
  <c r="BX196" i="3"/>
  <c r="BW196" i="3"/>
  <c r="BV196" i="3"/>
  <c r="BU196" i="3"/>
  <c r="BT196" i="3"/>
  <c r="BS196" i="3"/>
  <c r="BR196" i="3"/>
  <c r="BQ196" i="3"/>
  <c r="BP196" i="3"/>
  <c r="BO196" i="3"/>
  <c r="BN196" i="3"/>
  <c r="BM196" i="3"/>
  <c r="BL196" i="3"/>
  <c r="BK196" i="3"/>
  <c r="BJ196" i="3"/>
  <c r="BI196" i="3"/>
  <c r="BH196" i="3"/>
  <c r="BG196" i="3"/>
  <c r="BF196" i="3"/>
  <c r="BE196" i="3"/>
  <c r="BD196" i="3"/>
  <c r="BC196" i="3"/>
  <c r="BB196" i="3"/>
  <c r="BA196" i="3"/>
  <c r="AZ196" i="3"/>
  <c r="AY196" i="3"/>
  <c r="AX196" i="3"/>
  <c r="AW196" i="3"/>
  <c r="AV196" i="3"/>
  <c r="AU196" i="3"/>
  <c r="AT196" i="3"/>
  <c r="AS196" i="3"/>
  <c r="AR196" i="3"/>
  <c r="AQ196" i="3"/>
  <c r="AP196" i="3"/>
  <c r="AO196" i="3"/>
  <c r="AN196" i="3"/>
  <c r="AM196" i="3"/>
  <c r="AL196" i="3"/>
  <c r="AK196" i="3"/>
  <c r="AJ196" i="3"/>
  <c r="AI196" i="3"/>
  <c r="AH196" i="3"/>
  <c r="AG196" i="3"/>
  <c r="AF196" i="3"/>
  <c r="AE196" i="3"/>
  <c r="AD196" i="3"/>
  <c r="AC196" i="3"/>
  <c r="AB196" i="3"/>
  <c r="AA196" i="3"/>
  <c r="Z196" i="3"/>
  <c r="Y196" i="3"/>
  <c r="X196" i="3"/>
  <c r="H196" i="3"/>
  <c r="BZ195" i="3"/>
  <c r="BY195" i="3"/>
  <c r="BX195" i="3"/>
  <c r="BW195" i="3"/>
  <c r="BV195" i="3"/>
  <c r="BU195" i="3"/>
  <c r="BT195" i="3"/>
  <c r="BS195" i="3"/>
  <c r="BR195" i="3"/>
  <c r="BQ195" i="3"/>
  <c r="BP195" i="3"/>
  <c r="BO195" i="3"/>
  <c r="BN195" i="3"/>
  <c r="BM195" i="3"/>
  <c r="BL195" i="3"/>
  <c r="BK195" i="3"/>
  <c r="BJ195" i="3"/>
  <c r="BI195" i="3"/>
  <c r="BH195" i="3"/>
  <c r="BG195" i="3"/>
  <c r="BF195" i="3"/>
  <c r="BE195" i="3"/>
  <c r="BD195" i="3"/>
  <c r="BC195" i="3"/>
  <c r="BB195" i="3"/>
  <c r="BA195" i="3"/>
  <c r="AZ195" i="3"/>
  <c r="AY195" i="3"/>
  <c r="AX195" i="3"/>
  <c r="AW195" i="3"/>
  <c r="AV195" i="3"/>
  <c r="AU195" i="3"/>
  <c r="AT195" i="3"/>
  <c r="AS195" i="3"/>
  <c r="AR195" i="3"/>
  <c r="AQ195" i="3"/>
  <c r="AP195" i="3"/>
  <c r="AO195" i="3"/>
  <c r="AN195" i="3"/>
  <c r="AM195" i="3"/>
  <c r="AL195" i="3"/>
  <c r="AK195" i="3"/>
  <c r="AJ195" i="3"/>
  <c r="AI195" i="3"/>
  <c r="AH195" i="3"/>
  <c r="AG195" i="3"/>
  <c r="AF195" i="3"/>
  <c r="AE195" i="3"/>
  <c r="AD195" i="3"/>
  <c r="AC195" i="3"/>
  <c r="AB195" i="3"/>
  <c r="AA195" i="3"/>
  <c r="Z195" i="3"/>
  <c r="Y195" i="3"/>
  <c r="X195" i="3"/>
  <c r="H195" i="3"/>
  <c r="BZ194" i="3"/>
  <c r="BY194" i="3"/>
  <c r="BX194" i="3"/>
  <c r="BW194" i="3"/>
  <c r="BV194" i="3"/>
  <c r="BU194" i="3"/>
  <c r="BT194" i="3"/>
  <c r="BS194" i="3"/>
  <c r="BR194" i="3"/>
  <c r="BQ194" i="3"/>
  <c r="BP194" i="3"/>
  <c r="BO194" i="3"/>
  <c r="BN194" i="3"/>
  <c r="BM194" i="3"/>
  <c r="BL194" i="3"/>
  <c r="BK194" i="3"/>
  <c r="BJ194" i="3"/>
  <c r="BI194" i="3"/>
  <c r="BH194" i="3"/>
  <c r="BG194" i="3"/>
  <c r="BF194" i="3"/>
  <c r="BE194" i="3"/>
  <c r="BD194" i="3"/>
  <c r="BC194" i="3"/>
  <c r="BB194" i="3"/>
  <c r="BA194" i="3"/>
  <c r="AZ194" i="3"/>
  <c r="AY194" i="3"/>
  <c r="AX194" i="3"/>
  <c r="AW194" i="3"/>
  <c r="AV194" i="3"/>
  <c r="AU194" i="3"/>
  <c r="AT194" i="3"/>
  <c r="AS194" i="3"/>
  <c r="AR194" i="3"/>
  <c r="AQ194" i="3"/>
  <c r="AP194" i="3"/>
  <c r="AO194" i="3"/>
  <c r="AN194" i="3"/>
  <c r="AM194" i="3"/>
  <c r="AL194" i="3"/>
  <c r="AK194" i="3"/>
  <c r="AJ194" i="3"/>
  <c r="AI194" i="3"/>
  <c r="AH194" i="3"/>
  <c r="AG194" i="3"/>
  <c r="AF194" i="3"/>
  <c r="AE194" i="3"/>
  <c r="AD194" i="3"/>
  <c r="AC194" i="3"/>
  <c r="AB194" i="3"/>
  <c r="AA194" i="3"/>
  <c r="Z194" i="3"/>
  <c r="Y194" i="3"/>
  <c r="X194" i="3"/>
  <c r="H194" i="3"/>
  <c r="BZ193" i="3"/>
  <c r="BY193" i="3"/>
  <c r="BX193" i="3"/>
  <c r="BW193" i="3"/>
  <c r="BV193" i="3"/>
  <c r="BU193" i="3"/>
  <c r="BT193" i="3"/>
  <c r="BS193" i="3"/>
  <c r="BR193" i="3"/>
  <c r="BQ193" i="3"/>
  <c r="BP193" i="3"/>
  <c r="BO193" i="3"/>
  <c r="BN193" i="3"/>
  <c r="BM193" i="3"/>
  <c r="BL193" i="3"/>
  <c r="BK193" i="3"/>
  <c r="BJ193" i="3"/>
  <c r="BI193" i="3"/>
  <c r="BH193" i="3"/>
  <c r="BG193" i="3"/>
  <c r="BF193" i="3"/>
  <c r="BE193" i="3"/>
  <c r="BD193" i="3"/>
  <c r="BC193" i="3"/>
  <c r="BB193" i="3"/>
  <c r="BA193" i="3"/>
  <c r="AZ193" i="3"/>
  <c r="AY193" i="3"/>
  <c r="AX193" i="3"/>
  <c r="AW193" i="3"/>
  <c r="AV193" i="3"/>
  <c r="AU193" i="3"/>
  <c r="AT193" i="3"/>
  <c r="AS193" i="3"/>
  <c r="AR193" i="3"/>
  <c r="AQ193" i="3"/>
  <c r="AP193" i="3"/>
  <c r="AO193" i="3"/>
  <c r="AN193" i="3"/>
  <c r="AM193" i="3"/>
  <c r="AL193" i="3"/>
  <c r="AK193" i="3"/>
  <c r="AJ193" i="3"/>
  <c r="AI193" i="3"/>
  <c r="AH193" i="3"/>
  <c r="AG193" i="3"/>
  <c r="AF193" i="3"/>
  <c r="AE193" i="3"/>
  <c r="AD193" i="3"/>
  <c r="AC193" i="3"/>
  <c r="AB193" i="3"/>
  <c r="AA193" i="3"/>
  <c r="Z193" i="3"/>
  <c r="Y193" i="3"/>
  <c r="X193" i="3"/>
  <c r="H193" i="3"/>
  <c r="BZ192" i="3"/>
  <c r="BY192" i="3"/>
  <c r="BX192" i="3"/>
  <c r="BW192" i="3"/>
  <c r="BV192" i="3"/>
  <c r="BU192" i="3"/>
  <c r="BT192" i="3"/>
  <c r="BS192" i="3"/>
  <c r="BR192" i="3"/>
  <c r="BQ192" i="3"/>
  <c r="BP192" i="3"/>
  <c r="BO192" i="3"/>
  <c r="BN192" i="3"/>
  <c r="BM192" i="3"/>
  <c r="BL192" i="3"/>
  <c r="BK192" i="3"/>
  <c r="BJ192" i="3"/>
  <c r="BI192" i="3"/>
  <c r="BH192" i="3"/>
  <c r="BG192" i="3"/>
  <c r="BF192" i="3"/>
  <c r="BE192" i="3"/>
  <c r="BD192" i="3"/>
  <c r="BC192" i="3"/>
  <c r="BB192" i="3"/>
  <c r="BA192" i="3"/>
  <c r="AZ192" i="3"/>
  <c r="AY192" i="3"/>
  <c r="AX192" i="3"/>
  <c r="AW192" i="3"/>
  <c r="AV192" i="3"/>
  <c r="AU192" i="3"/>
  <c r="AT192" i="3"/>
  <c r="AS192" i="3"/>
  <c r="AR192" i="3"/>
  <c r="AQ192" i="3"/>
  <c r="AP192" i="3"/>
  <c r="AO192" i="3"/>
  <c r="AN192" i="3"/>
  <c r="AM192" i="3"/>
  <c r="AL192" i="3"/>
  <c r="AK192" i="3"/>
  <c r="AJ192" i="3"/>
  <c r="AI192" i="3"/>
  <c r="AH192" i="3"/>
  <c r="AG192" i="3"/>
  <c r="AF192" i="3"/>
  <c r="AE192" i="3"/>
  <c r="AD192" i="3"/>
  <c r="AC192" i="3"/>
  <c r="AB192" i="3"/>
  <c r="AA192" i="3"/>
  <c r="H192" i="3"/>
  <c r="BZ191" i="3"/>
  <c r="BY191" i="3"/>
  <c r="BX191" i="3"/>
  <c r="BW191" i="3"/>
  <c r="BV191" i="3"/>
  <c r="BU191" i="3"/>
  <c r="BT191" i="3"/>
  <c r="BS191" i="3"/>
  <c r="BR191" i="3"/>
  <c r="BQ191" i="3"/>
  <c r="BP191" i="3"/>
  <c r="BO191" i="3"/>
  <c r="BN191" i="3"/>
  <c r="BM191" i="3"/>
  <c r="BL191" i="3"/>
  <c r="BK191" i="3"/>
  <c r="BJ191" i="3"/>
  <c r="BI191" i="3"/>
  <c r="BH191" i="3"/>
  <c r="BG191" i="3"/>
  <c r="BF191" i="3"/>
  <c r="BE191" i="3"/>
  <c r="BD191" i="3"/>
  <c r="BC191" i="3"/>
  <c r="BB191" i="3"/>
  <c r="BA191" i="3"/>
  <c r="AZ191" i="3"/>
  <c r="AY191" i="3"/>
  <c r="AX191" i="3"/>
  <c r="AW191" i="3"/>
  <c r="AV191" i="3"/>
  <c r="AU191" i="3"/>
  <c r="AT191" i="3"/>
  <c r="AS191" i="3"/>
  <c r="AR191" i="3"/>
  <c r="AQ191" i="3"/>
  <c r="AP191" i="3"/>
  <c r="AO191" i="3"/>
  <c r="AN191" i="3"/>
  <c r="AM191" i="3"/>
  <c r="AL191" i="3"/>
  <c r="AK191" i="3"/>
  <c r="AJ191" i="3"/>
  <c r="AI191" i="3"/>
  <c r="AH191" i="3"/>
  <c r="AG191" i="3"/>
  <c r="AF191" i="3"/>
  <c r="AE191" i="3"/>
  <c r="AD191" i="3"/>
  <c r="AC191" i="3"/>
  <c r="AB191" i="3"/>
  <c r="AA191" i="3"/>
  <c r="H191" i="3"/>
  <c r="BZ190" i="3"/>
  <c r="BY190" i="3"/>
  <c r="BX190" i="3"/>
  <c r="BW190" i="3"/>
  <c r="BV190" i="3"/>
  <c r="BU190" i="3"/>
  <c r="BT190" i="3"/>
  <c r="BS190" i="3"/>
  <c r="BR190" i="3"/>
  <c r="BQ190" i="3"/>
  <c r="BP190" i="3"/>
  <c r="BO190" i="3"/>
  <c r="BN190" i="3"/>
  <c r="BM190" i="3"/>
  <c r="BL190" i="3"/>
  <c r="BK190" i="3"/>
  <c r="BJ190" i="3"/>
  <c r="BI190" i="3"/>
  <c r="BH190" i="3"/>
  <c r="BG190" i="3"/>
  <c r="BF190" i="3"/>
  <c r="BE190" i="3"/>
  <c r="BD190" i="3"/>
  <c r="BC190" i="3"/>
  <c r="BB190" i="3"/>
  <c r="BA190" i="3"/>
  <c r="AZ190" i="3"/>
  <c r="AY190" i="3"/>
  <c r="AX190" i="3"/>
  <c r="AW190" i="3"/>
  <c r="AV190" i="3"/>
  <c r="AU190" i="3"/>
  <c r="AT190" i="3"/>
  <c r="AS190" i="3"/>
  <c r="AR190" i="3"/>
  <c r="AQ190" i="3"/>
  <c r="AP190" i="3"/>
  <c r="AO190" i="3"/>
  <c r="AN190" i="3"/>
  <c r="AM190" i="3"/>
  <c r="AL190" i="3"/>
  <c r="AK190" i="3"/>
  <c r="AJ190" i="3"/>
  <c r="AI190" i="3"/>
  <c r="AH190" i="3"/>
  <c r="AG190" i="3"/>
  <c r="AF190" i="3"/>
  <c r="AE190" i="3"/>
  <c r="AD190" i="3"/>
  <c r="AC190" i="3"/>
  <c r="AB190" i="3"/>
  <c r="AA190" i="3"/>
  <c r="H190" i="3"/>
  <c r="BZ189" i="3"/>
  <c r="BY189" i="3"/>
  <c r="BX189" i="3"/>
  <c r="BW189" i="3"/>
  <c r="BV189" i="3"/>
  <c r="BU189" i="3"/>
  <c r="BT189" i="3"/>
  <c r="BS189" i="3"/>
  <c r="BR189" i="3"/>
  <c r="BQ189" i="3"/>
  <c r="BP189" i="3"/>
  <c r="BO189" i="3"/>
  <c r="BN189" i="3"/>
  <c r="BM189" i="3"/>
  <c r="BL189" i="3"/>
  <c r="BK189" i="3"/>
  <c r="BJ189" i="3"/>
  <c r="BI189" i="3"/>
  <c r="BH189" i="3"/>
  <c r="BG189" i="3"/>
  <c r="BF189" i="3"/>
  <c r="BE189" i="3"/>
  <c r="BD189" i="3"/>
  <c r="BC189" i="3"/>
  <c r="BB189" i="3"/>
  <c r="BA189" i="3"/>
  <c r="AZ189" i="3"/>
  <c r="AY189" i="3"/>
  <c r="AX189" i="3"/>
  <c r="AW189" i="3"/>
  <c r="AV189" i="3"/>
  <c r="AU189" i="3"/>
  <c r="AT189" i="3"/>
  <c r="AS189" i="3"/>
  <c r="AR189" i="3"/>
  <c r="AQ189" i="3"/>
  <c r="AP189" i="3"/>
  <c r="AO189" i="3"/>
  <c r="AN189" i="3"/>
  <c r="AM189" i="3"/>
  <c r="AL189" i="3"/>
  <c r="AK189" i="3"/>
  <c r="AJ189" i="3"/>
  <c r="AI189" i="3"/>
  <c r="AH189" i="3"/>
  <c r="AG189" i="3"/>
  <c r="AF189" i="3"/>
  <c r="AE189" i="3"/>
  <c r="AD189" i="3"/>
  <c r="AC189" i="3"/>
  <c r="AB189" i="3"/>
  <c r="AA189" i="3"/>
  <c r="H189" i="3"/>
  <c r="BZ188" i="3"/>
  <c r="BY188" i="3"/>
  <c r="BX188" i="3"/>
  <c r="BW188" i="3"/>
  <c r="BV188" i="3"/>
  <c r="BU188" i="3"/>
  <c r="BT188" i="3"/>
  <c r="BS188" i="3"/>
  <c r="BR188" i="3"/>
  <c r="BQ188" i="3"/>
  <c r="BP188" i="3"/>
  <c r="BO188" i="3"/>
  <c r="BN188" i="3"/>
  <c r="BM188" i="3"/>
  <c r="BL188" i="3"/>
  <c r="BK188" i="3"/>
  <c r="BJ188" i="3"/>
  <c r="BI188" i="3"/>
  <c r="BH188" i="3"/>
  <c r="BG188" i="3"/>
  <c r="BF188" i="3"/>
  <c r="BE188" i="3"/>
  <c r="BD188" i="3"/>
  <c r="BC188" i="3"/>
  <c r="BB188" i="3"/>
  <c r="BA188" i="3"/>
  <c r="AZ188" i="3"/>
  <c r="AY188" i="3"/>
  <c r="AX188" i="3"/>
  <c r="AW188" i="3"/>
  <c r="AV188" i="3"/>
  <c r="AU188" i="3"/>
  <c r="AT188" i="3"/>
  <c r="AS188" i="3"/>
  <c r="AR188" i="3"/>
  <c r="AQ188" i="3"/>
  <c r="AP188" i="3"/>
  <c r="AO188" i="3"/>
  <c r="AN188" i="3"/>
  <c r="AM188" i="3"/>
  <c r="AL188" i="3"/>
  <c r="AK188" i="3"/>
  <c r="AJ188" i="3"/>
  <c r="AI188" i="3"/>
  <c r="AH188" i="3"/>
  <c r="AG188" i="3"/>
  <c r="AF188" i="3"/>
  <c r="AE188" i="3"/>
  <c r="AD188" i="3"/>
  <c r="AC188" i="3"/>
  <c r="AB188" i="3"/>
  <c r="AA188" i="3"/>
  <c r="H188" i="3"/>
  <c r="BZ187" i="3"/>
  <c r="BY187" i="3"/>
  <c r="BX187" i="3"/>
  <c r="BW187" i="3"/>
  <c r="BV187" i="3"/>
  <c r="BU187" i="3"/>
  <c r="BT187" i="3"/>
  <c r="BS187" i="3"/>
  <c r="BR187" i="3"/>
  <c r="BQ187" i="3"/>
  <c r="BP187" i="3"/>
  <c r="BO187" i="3"/>
  <c r="BN187" i="3"/>
  <c r="BM187" i="3"/>
  <c r="BL187" i="3"/>
  <c r="BK187" i="3"/>
  <c r="BJ187" i="3"/>
  <c r="BI187" i="3"/>
  <c r="BH187" i="3"/>
  <c r="BG187" i="3"/>
  <c r="BF187" i="3"/>
  <c r="BE187" i="3"/>
  <c r="BD187" i="3"/>
  <c r="BC187" i="3"/>
  <c r="BB187" i="3"/>
  <c r="BA187" i="3"/>
  <c r="AZ187" i="3"/>
  <c r="AY187" i="3"/>
  <c r="AX187" i="3"/>
  <c r="AW187" i="3"/>
  <c r="AV187" i="3"/>
  <c r="AU187" i="3"/>
  <c r="AT187" i="3"/>
  <c r="AS187" i="3"/>
  <c r="AR187" i="3"/>
  <c r="AQ187" i="3"/>
  <c r="AP187" i="3"/>
  <c r="AO187" i="3"/>
  <c r="AN187" i="3"/>
  <c r="AM187" i="3"/>
  <c r="AL187" i="3"/>
  <c r="AK187" i="3"/>
  <c r="AJ187" i="3"/>
  <c r="AI187" i="3"/>
  <c r="AH187" i="3"/>
  <c r="AG187" i="3"/>
  <c r="AF187" i="3"/>
  <c r="AE187" i="3"/>
  <c r="AD187" i="3"/>
  <c r="AC187" i="3"/>
  <c r="AB187" i="3"/>
  <c r="AA187" i="3"/>
  <c r="H187" i="3"/>
  <c r="BZ186" i="3"/>
  <c r="BY186" i="3"/>
  <c r="BX186" i="3"/>
  <c r="BW186" i="3"/>
  <c r="BV186" i="3"/>
  <c r="BU186" i="3"/>
  <c r="BT186" i="3"/>
  <c r="BS186" i="3"/>
  <c r="BR186" i="3"/>
  <c r="BQ186" i="3"/>
  <c r="BP186" i="3"/>
  <c r="BO186" i="3"/>
  <c r="BN186" i="3"/>
  <c r="BM186" i="3"/>
  <c r="BL186" i="3"/>
  <c r="BK186" i="3"/>
  <c r="BJ186" i="3"/>
  <c r="BI186" i="3"/>
  <c r="BH186" i="3"/>
  <c r="BG186" i="3"/>
  <c r="BF186" i="3"/>
  <c r="BE186" i="3"/>
  <c r="BD186" i="3"/>
  <c r="BC186" i="3"/>
  <c r="BB186" i="3"/>
  <c r="BA186" i="3"/>
  <c r="AZ186" i="3"/>
  <c r="AY186" i="3"/>
  <c r="AX186" i="3"/>
  <c r="AW186" i="3"/>
  <c r="AV186" i="3"/>
  <c r="AU186" i="3"/>
  <c r="AT186" i="3"/>
  <c r="AS186" i="3"/>
  <c r="AR186" i="3"/>
  <c r="AQ186" i="3"/>
  <c r="AP186" i="3"/>
  <c r="AO186" i="3"/>
  <c r="AN186" i="3"/>
  <c r="AM186" i="3"/>
  <c r="AL186" i="3"/>
  <c r="AK186" i="3"/>
  <c r="AJ186" i="3"/>
  <c r="AI186" i="3"/>
  <c r="AH186" i="3"/>
  <c r="AG186" i="3"/>
  <c r="AF186" i="3"/>
  <c r="AE186" i="3"/>
  <c r="AD186" i="3"/>
  <c r="AC186" i="3"/>
  <c r="AB186" i="3"/>
  <c r="AA186" i="3"/>
  <c r="H186" i="3"/>
  <c r="BZ185" i="3"/>
  <c r="BY185" i="3"/>
  <c r="BX185" i="3"/>
  <c r="BW185" i="3"/>
  <c r="BV185" i="3"/>
  <c r="BU185" i="3"/>
  <c r="BT185" i="3"/>
  <c r="BS185" i="3"/>
  <c r="BR185" i="3"/>
  <c r="BQ185" i="3"/>
  <c r="BP185" i="3"/>
  <c r="BO185" i="3"/>
  <c r="BN185" i="3"/>
  <c r="BM185" i="3"/>
  <c r="BL185" i="3"/>
  <c r="BK185" i="3"/>
  <c r="BJ185" i="3"/>
  <c r="BI185" i="3"/>
  <c r="BH185" i="3"/>
  <c r="BG185" i="3"/>
  <c r="BF185" i="3"/>
  <c r="BE185" i="3"/>
  <c r="BD185" i="3"/>
  <c r="BC185" i="3"/>
  <c r="BB185" i="3"/>
  <c r="BA185" i="3"/>
  <c r="AZ185" i="3"/>
  <c r="AY185" i="3"/>
  <c r="AX185" i="3"/>
  <c r="AW185" i="3"/>
  <c r="AV185" i="3"/>
  <c r="AU185" i="3"/>
  <c r="AT185" i="3"/>
  <c r="AS185" i="3"/>
  <c r="AR185" i="3"/>
  <c r="AQ185" i="3"/>
  <c r="AP185" i="3"/>
  <c r="AO185" i="3"/>
  <c r="AN185" i="3"/>
  <c r="AM185" i="3"/>
  <c r="AL185" i="3"/>
  <c r="AK185" i="3"/>
  <c r="AJ185" i="3"/>
  <c r="AI185" i="3"/>
  <c r="AH185" i="3"/>
  <c r="AG185" i="3"/>
  <c r="AF185" i="3"/>
  <c r="AE185" i="3"/>
  <c r="AD185" i="3"/>
  <c r="AC185" i="3"/>
  <c r="AB185" i="3"/>
  <c r="AA185" i="3"/>
  <c r="H185" i="3"/>
  <c r="BZ184" i="3"/>
  <c r="BY184" i="3"/>
  <c r="BX184" i="3"/>
  <c r="BW184" i="3"/>
  <c r="BV184" i="3"/>
  <c r="BU184" i="3"/>
  <c r="BT184" i="3"/>
  <c r="BS184" i="3"/>
  <c r="BR184" i="3"/>
  <c r="BQ184" i="3"/>
  <c r="BP184" i="3"/>
  <c r="BO184" i="3"/>
  <c r="BN184" i="3"/>
  <c r="BM184" i="3"/>
  <c r="BL184" i="3"/>
  <c r="BK184" i="3"/>
  <c r="BJ184" i="3"/>
  <c r="BI184" i="3"/>
  <c r="BH184" i="3"/>
  <c r="BG184" i="3"/>
  <c r="BF184" i="3"/>
  <c r="BE184" i="3"/>
  <c r="BD184" i="3"/>
  <c r="BC184" i="3"/>
  <c r="BB184" i="3"/>
  <c r="BA184" i="3"/>
  <c r="AZ184" i="3"/>
  <c r="AY184" i="3"/>
  <c r="AX184" i="3"/>
  <c r="AW184" i="3"/>
  <c r="AV184" i="3"/>
  <c r="AU184" i="3"/>
  <c r="AT184" i="3"/>
  <c r="AS184" i="3"/>
  <c r="AR184" i="3"/>
  <c r="AQ184" i="3"/>
  <c r="AP184" i="3"/>
  <c r="AO184" i="3"/>
  <c r="AN184" i="3"/>
  <c r="AM184" i="3"/>
  <c r="AL184" i="3"/>
  <c r="AK184" i="3"/>
  <c r="AJ184" i="3"/>
  <c r="AI184" i="3"/>
  <c r="AH184" i="3"/>
  <c r="AG184" i="3"/>
  <c r="AF184" i="3"/>
  <c r="AE184" i="3"/>
  <c r="AD184" i="3"/>
  <c r="AC184" i="3"/>
  <c r="AB184" i="3"/>
  <c r="AA184" i="3"/>
  <c r="H184" i="3"/>
  <c r="BZ183" i="3"/>
  <c r="BY183" i="3"/>
  <c r="BX183" i="3"/>
  <c r="BW183" i="3"/>
  <c r="BV183" i="3"/>
  <c r="BU183" i="3"/>
  <c r="BT183" i="3"/>
  <c r="BS183" i="3"/>
  <c r="BR183" i="3"/>
  <c r="BQ183" i="3"/>
  <c r="BP183" i="3"/>
  <c r="BO183" i="3"/>
  <c r="BN183" i="3"/>
  <c r="BM183" i="3"/>
  <c r="BL183" i="3"/>
  <c r="BK183" i="3"/>
  <c r="BJ183" i="3"/>
  <c r="BI183" i="3"/>
  <c r="BH183" i="3"/>
  <c r="BG183" i="3"/>
  <c r="BF183" i="3"/>
  <c r="BE183" i="3"/>
  <c r="BD183" i="3"/>
  <c r="BC183" i="3"/>
  <c r="BB183" i="3"/>
  <c r="BA183" i="3"/>
  <c r="AZ183" i="3"/>
  <c r="AY183" i="3"/>
  <c r="AX183" i="3"/>
  <c r="AW183" i="3"/>
  <c r="AV183" i="3"/>
  <c r="AU183" i="3"/>
  <c r="AT183" i="3"/>
  <c r="AS183" i="3"/>
  <c r="AR183" i="3"/>
  <c r="AQ183" i="3"/>
  <c r="AP183" i="3"/>
  <c r="AO183" i="3"/>
  <c r="AN183" i="3"/>
  <c r="AM183" i="3"/>
  <c r="AL183" i="3"/>
  <c r="AK183" i="3"/>
  <c r="AJ183" i="3"/>
  <c r="AI183" i="3"/>
  <c r="AH183" i="3"/>
  <c r="AG183" i="3"/>
  <c r="AF183" i="3"/>
  <c r="AE183" i="3"/>
  <c r="AD183" i="3"/>
  <c r="AC183" i="3"/>
  <c r="AB183" i="3"/>
  <c r="AA183" i="3"/>
  <c r="H183" i="3"/>
  <c r="BZ182" i="3"/>
  <c r="BY182" i="3"/>
  <c r="BX182" i="3"/>
  <c r="BW182" i="3"/>
  <c r="BV182" i="3"/>
  <c r="BU182" i="3"/>
  <c r="BT182" i="3"/>
  <c r="BS182" i="3"/>
  <c r="BR182" i="3"/>
  <c r="BQ182" i="3"/>
  <c r="BP182" i="3"/>
  <c r="BO182" i="3"/>
  <c r="BN182" i="3"/>
  <c r="BM182" i="3"/>
  <c r="BL182" i="3"/>
  <c r="BK182" i="3"/>
  <c r="BJ182" i="3"/>
  <c r="BI182" i="3"/>
  <c r="BH182" i="3"/>
  <c r="BG182" i="3"/>
  <c r="BF182" i="3"/>
  <c r="BE182" i="3"/>
  <c r="BD182" i="3"/>
  <c r="BC182" i="3"/>
  <c r="BB182" i="3"/>
  <c r="BA182" i="3"/>
  <c r="AZ182" i="3"/>
  <c r="AY182" i="3"/>
  <c r="AX182" i="3"/>
  <c r="AW182" i="3"/>
  <c r="AV182" i="3"/>
  <c r="AU182" i="3"/>
  <c r="AT182" i="3"/>
  <c r="AS182" i="3"/>
  <c r="AR182" i="3"/>
  <c r="AQ182" i="3"/>
  <c r="AP182" i="3"/>
  <c r="AO182" i="3"/>
  <c r="AN182" i="3"/>
  <c r="AM182" i="3"/>
  <c r="AL182" i="3"/>
  <c r="AK182" i="3"/>
  <c r="AJ182" i="3"/>
  <c r="AI182" i="3"/>
  <c r="AH182" i="3"/>
  <c r="AG182" i="3"/>
  <c r="AF182" i="3"/>
  <c r="AE182" i="3"/>
  <c r="AD182" i="3"/>
  <c r="AC182" i="3"/>
  <c r="AB182" i="3"/>
  <c r="AA182" i="3"/>
  <c r="H182" i="3"/>
  <c r="BZ181" i="3"/>
  <c r="BY181" i="3"/>
  <c r="BX181" i="3"/>
  <c r="BW181" i="3"/>
  <c r="BV181" i="3"/>
  <c r="BU181" i="3"/>
  <c r="BT181" i="3"/>
  <c r="BS181" i="3"/>
  <c r="BR181" i="3"/>
  <c r="BQ181" i="3"/>
  <c r="BP181" i="3"/>
  <c r="BO181" i="3"/>
  <c r="BN181" i="3"/>
  <c r="BM181" i="3"/>
  <c r="BL181" i="3"/>
  <c r="BK181" i="3"/>
  <c r="BJ181" i="3"/>
  <c r="BI181" i="3"/>
  <c r="BH181" i="3"/>
  <c r="BG181" i="3"/>
  <c r="BF181" i="3"/>
  <c r="BE181" i="3"/>
  <c r="BD181" i="3"/>
  <c r="BC181" i="3"/>
  <c r="BB181" i="3"/>
  <c r="BA181" i="3"/>
  <c r="AZ181" i="3"/>
  <c r="AY181" i="3"/>
  <c r="AX181" i="3"/>
  <c r="AW181" i="3"/>
  <c r="AV181" i="3"/>
  <c r="AU181" i="3"/>
  <c r="AT181" i="3"/>
  <c r="AS181" i="3"/>
  <c r="AR181" i="3"/>
  <c r="AQ181" i="3"/>
  <c r="AP181" i="3"/>
  <c r="AO181" i="3"/>
  <c r="AN181" i="3"/>
  <c r="AM181" i="3"/>
  <c r="AL181" i="3"/>
  <c r="AK181" i="3"/>
  <c r="AJ181" i="3"/>
  <c r="AI181" i="3"/>
  <c r="AH181" i="3"/>
  <c r="AG181" i="3"/>
  <c r="AF181" i="3"/>
  <c r="AE181" i="3"/>
  <c r="AD181" i="3"/>
  <c r="AC181" i="3"/>
  <c r="AB181" i="3"/>
  <c r="AA181" i="3"/>
  <c r="H181" i="3"/>
  <c r="BZ180" i="3"/>
  <c r="BY180" i="3"/>
  <c r="BX180" i="3"/>
  <c r="BW180" i="3"/>
  <c r="BV180" i="3"/>
  <c r="BU180" i="3"/>
  <c r="BT180" i="3"/>
  <c r="BS180" i="3"/>
  <c r="BR180" i="3"/>
  <c r="BQ180" i="3"/>
  <c r="BP180" i="3"/>
  <c r="BO180" i="3"/>
  <c r="BN180" i="3"/>
  <c r="BM180" i="3"/>
  <c r="BL180" i="3"/>
  <c r="BK180" i="3"/>
  <c r="BJ180" i="3"/>
  <c r="BI180" i="3"/>
  <c r="BH180" i="3"/>
  <c r="BG180" i="3"/>
  <c r="BF180" i="3"/>
  <c r="BE180" i="3"/>
  <c r="BD180" i="3"/>
  <c r="BC180" i="3"/>
  <c r="BB180" i="3"/>
  <c r="BA180" i="3"/>
  <c r="AZ180" i="3"/>
  <c r="AY180" i="3"/>
  <c r="AX180" i="3"/>
  <c r="AW180" i="3"/>
  <c r="AV180" i="3"/>
  <c r="AU180" i="3"/>
  <c r="AT180" i="3"/>
  <c r="AS180" i="3"/>
  <c r="AR180" i="3"/>
  <c r="AQ180" i="3"/>
  <c r="AP180" i="3"/>
  <c r="AO180" i="3"/>
  <c r="AN180" i="3"/>
  <c r="AM180" i="3"/>
  <c r="AL180" i="3"/>
  <c r="AK180" i="3"/>
  <c r="AJ180" i="3"/>
  <c r="AI180" i="3"/>
  <c r="AH180" i="3"/>
  <c r="AG180" i="3"/>
  <c r="AF180" i="3"/>
  <c r="AE180" i="3"/>
  <c r="AD180" i="3"/>
  <c r="AC180" i="3"/>
  <c r="AB180" i="3"/>
  <c r="AA180" i="3"/>
  <c r="H180" i="3"/>
  <c r="BZ179" i="3"/>
  <c r="BY179" i="3"/>
  <c r="BX179" i="3"/>
  <c r="BW179" i="3"/>
  <c r="BV179" i="3"/>
  <c r="BU179" i="3"/>
  <c r="BT179" i="3"/>
  <c r="BS179" i="3"/>
  <c r="BR179" i="3"/>
  <c r="BQ179" i="3"/>
  <c r="BP179" i="3"/>
  <c r="BO179" i="3"/>
  <c r="BN179" i="3"/>
  <c r="BM179" i="3"/>
  <c r="BL179" i="3"/>
  <c r="BK179" i="3"/>
  <c r="BJ179" i="3"/>
  <c r="BI179" i="3"/>
  <c r="BH179" i="3"/>
  <c r="BG179" i="3"/>
  <c r="BF179" i="3"/>
  <c r="BE179" i="3"/>
  <c r="BD179" i="3"/>
  <c r="BC179" i="3"/>
  <c r="BB179" i="3"/>
  <c r="BA179" i="3"/>
  <c r="AZ179" i="3"/>
  <c r="AY179" i="3"/>
  <c r="AX179" i="3"/>
  <c r="AW179" i="3"/>
  <c r="AV179" i="3"/>
  <c r="AU179" i="3"/>
  <c r="AT179" i="3"/>
  <c r="AS179" i="3"/>
  <c r="AR179" i="3"/>
  <c r="AQ179" i="3"/>
  <c r="AP179" i="3"/>
  <c r="AO179" i="3"/>
  <c r="AN179" i="3"/>
  <c r="AM179" i="3"/>
  <c r="AL179" i="3"/>
  <c r="AK179" i="3"/>
  <c r="AJ179" i="3"/>
  <c r="AI179" i="3"/>
  <c r="AH179" i="3"/>
  <c r="AG179" i="3"/>
  <c r="AF179" i="3"/>
  <c r="AE179" i="3"/>
  <c r="AD179" i="3"/>
  <c r="AC179" i="3"/>
  <c r="AB179" i="3"/>
  <c r="AA179" i="3"/>
  <c r="H179" i="3"/>
  <c r="BZ178" i="3"/>
  <c r="BY178" i="3"/>
  <c r="BX178" i="3"/>
  <c r="BW178" i="3"/>
  <c r="BV178" i="3"/>
  <c r="BU178" i="3"/>
  <c r="BT178" i="3"/>
  <c r="BS178" i="3"/>
  <c r="BR178" i="3"/>
  <c r="BQ178" i="3"/>
  <c r="BP178" i="3"/>
  <c r="BO178" i="3"/>
  <c r="BN178" i="3"/>
  <c r="BM178" i="3"/>
  <c r="BL178" i="3"/>
  <c r="BK178" i="3"/>
  <c r="BJ178" i="3"/>
  <c r="BI178" i="3"/>
  <c r="BH178" i="3"/>
  <c r="BG178" i="3"/>
  <c r="BF178" i="3"/>
  <c r="BE178" i="3"/>
  <c r="BD178" i="3"/>
  <c r="BC178" i="3"/>
  <c r="BB178" i="3"/>
  <c r="BA178" i="3"/>
  <c r="AZ178" i="3"/>
  <c r="AY178" i="3"/>
  <c r="AX178" i="3"/>
  <c r="AW178" i="3"/>
  <c r="AV178" i="3"/>
  <c r="AU178" i="3"/>
  <c r="AT178" i="3"/>
  <c r="AS178" i="3"/>
  <c r="AR178" i="3"/>
  <c r="AQ178" i="3"/>
  <c r="AP178" i="3"/>
  <c r="AO178" i="3"/>
  <c r="AN178" i="3"/>
  <c r="AM178" i="3"/>
  <c r="AL178" i="3"/>
  <c r="AK178" i="3"/>
  <c r="AJ178" i="3"/>
  <c r="AI178" i="3"/>
  <c r="AH178" i="3"/>
  <c r="AG178" i="3"/>
  <c r="AF178" i="3"/>
  <c r="AE178" i="3"/>
  <c r="AD178" i="3"/>
  <c r="AC178" i="3"/>
  <c r="AB178" i="3"/>
  <c r="AA178" i="3"/>
  <c r="H178" i="3"/>
  <c r="BZ177" i="3"/>
  <c r="BY177" i="3"/>
  <c r="BX177" i="3"/>
  <c r="BW177" i="3"/>
  <c r="BV177" i="3"/>
  <c r="BU177" i="3"/>
  <c r="BT177" i="3"/>
  <c r="BS177" i="3"/>
  <c r="BR177" i="3"/>
  <c r="BQ177" i="3"/>
  <c r="BP177" i="3"/>
  <c r="BO177" i="3"/>
  <c r="BN177" i="3"/>
  <c r="BM177" i="3"/>
  <c r="BL177" i="3"/>
  <c r="BK177" i="3"/>
  <c r="BJ177" i="3"/>
  <c r="BI177" i="3"/>
  <c r="BH177" i="3"/>
  <c r="BG177" i="3"/>
  <c r="BF177" i="3"/>
  <c r="BE177" i="3"/>
  <c r="BD177" i="3"/>
  <c r="BC177" i="3"/>
  <c r="BB177" i="3"/>
  <c r="BA177" i="3"/>
  <c r="AZ177" i="3"/>
  <c r="AY177" i="3"/>
  <c r="AX177" i="3"/>
  <c r="AW177" i="3"/>
  <c r="AV177" i="3"/>
  <c r="AU177" i="3"/>
  <c r="AT177" i="3"/>
  <c r="AS177" i="3"/>
  <c r="AR177" i="3"/>
  <c r="AQ177" i="3"/>
  <c r="AP177" i="3"/>
  <c r="AO177" i="3"/>
  <c r="AN177" i="3"/>
  <c r="AM177" i="3"/>
  <c r="AL177" i="3"/>
  <c r="AK177" i="3"/>
  <c r="AJ177" i="3"/>
  <c r="AI177" i="3"/>
  <c r="AH177" i="3"/>
  <c r="AG177" i="3"/>
  <c r="AF177" i="3"/>
  <c r="AE177" i="3"/>
  <c r="AD177" i="3"/>
  <c r="AC177" i="3"/>
  <c r="AB177" i="3"/>
  <c r="AA177" i="3"/>
  <c r="H177" i="3"/>
  <c r="BZ176" i="3"/>
  <c r="BY176" i="3"/>
  <c r="BX176" i="3"/>
  <c r="BW176" i="3"/>
  <c r="BV176" i="3"/>
  <c r="BU176" i="3"/>
  <c r="BT176" i="3"/>
  <c r="BS176" i="3"/>
  <c r="BR176" i="3"/>
  <c r="BQ176" i="3"/>
  <c r="BP176" i="3"/>
  <c r="BO176" i="3"/>
  <c r="BN176" i="3"/>
  <c r="BM176" i="3"/>
  <c r="BL176" i="3"/>
  <c r="BK176" i="3"/>
  <c r="BJ176" i="3"/>
  <c r="BI176" i="3"/>
  <c r="BH176" i="3"/>
  <c r="BG176" i="3"/>
  <c r="BF176" i="3"/>
  <c r="BE176" i="3"/>
  <c r="BD176" i="3"/>
  <c r="BC176" i="3"/>
  <c r="BB176" i="3"/>
  <c r="BA176" i="3"/>
  <c r="AZ176" i="3"/>
  <c r="AY176" i="3"/>
  <c r="AX176" i="3"/>
  <c r="AW176" i="3"/>
  <c r="AV176" i="3"/>
  <c r="AU176" i="3"/>
  <c r="AT176" i="3"/>
  <c r="AS176" i="3"/>
  <c r="AR176" i="3"/>
  <c r="AQ176" i="3"/>
  <c r="AP176" i="3"/>
  <c r="AO176" i="3"/>
  <c r="AN176" i="3"/>
  <c r="AM176" i="3"/>
  <c r="AL176" i="3"/>
  <c r="AK176" i="3"/>
  <c r="AJ176" i="3"/>
  <c r="AI176" i="3"/>
  <c r="AH176" i="3"/>
  <c r="AG176" i="3"/>
  <c r="AF176" i="3"/>
  <c r="AE176" i="3"/>
  <c r="AD176" i="3"/>
  <c r="AC176" i="3"/>
  <c r="AB176" i="3"/>
  <c r="AA176" i="3"/>
  <c r="H176" i="3"/>
  <c r="BZ175" i="3"/>
  <c r="BY175" i="3"/>
  <c r="BX175" i="3"/>
  <c r="BW175" i="3"/>
  <c r="BV175" i="3"/>
  <c r="BU175" i="3"/>
  <c r="BT175" i="3"/>
  <c r="BS175" i="3"/>
  <c r="BR175" i="3"/>
  <c r="BQ175" i="3"/>
  <c r="BP175" i="3"/>
  <c r="BO175" i="3"/>
  <c r="BN175" i="3"/>
  <c r="BM175" i="3"/>
  <c r="BL175" i="3"/>
  <c r="BK175" i="3"/>
  <c r="BJ175" i="3"/>
  <c r="BI175" i="3"/>
  <c r="BH175" i="3"/>
  <c r="BG175" i="3"/>
  <c r="BF175" i="3"/>
  <c r="BE175" i="3"/>
  <c r="BD175" i="3"/>
  <c r="BC175" i="3"/>
  <c r="BB175" i="3"/>
  <c r="BA175" i="3"/>
  <c r="AZ175" i="3"/>
  <c r="AY175" i="3"/>
  <c r="AX175" i="3"/>
  <c r="AW175" i="3"/>
  <c r="AV175" i="3"/>
  <c r="AU175" i="3"/>
  <c r="AT175" i="3"/>
  <c r="AS175" i="3"/>
  <c r="AR175" i="3"/>
  <c r="AQ175" i="3"/>
  <c r="AP175" i="3"/>
  <c r="AO175" i="3"/>
  <c r="AN175" i="3"/>
  <c r="AM175" i="3"/>
  <c r="AL175" i="3"/>
  <c r="AK175" i="3"/>
  <c r="AJ175" i="3"/>
  <c r="AI175" i="3"/>
  <c r="AH175" i="3"/>
  <c r="AG175" i="3"/>
  <c r="AF175" i="3"/>
  <c r="AE175" i="3"/>
  <c r="AD175" i="3"/>
  <c r="AC175" i="3"/>
  <c r="AB175" i="3"/>
  <c r="AA175" i="3"/>
  <c r="H175" i="3"/>
  <c r="BZ174" i="3"/>
  <c r="BY174" i="3"/>
  <c r="BX174" i="3"/>
  <c r="BW174" i="3"/>
  <c r="BV174" i="3"/>
  <c r="BU174" i="3"/>
  <c r="BT174" i="3"/>
  <c r="BS174" i="3"/>
  <c r="BR174" i="3"/>
  <c r="BQ174" i="3"/>
  <c r="BP174" i="3"/>
  <c r="BO174" i="3"/>
  <c r="BN174" i="3"/>
  <c r="BM174" i="3"/>
  <c r="BL174" i="3"/>
  <c r="BK174" i="3"/>
  <c r="BJ174" i="3"/>
  <c r="BI174" i="3"/>
  <c r="BH174" i="3"/>
  <c r="BG174" i="3"/>
  <c r="BF174" i="3"/>
  <c r="BE174" i="3"/>
  <c r="BD174" i="3"/>
  <c r="BC174" i="3"/>
  <c r="BB174" i="3"/>
  <c r="BA174" i="3"/>
  <c r="AZ174" i="3"/>
  <c r="AY174" i="3"/>
  <c r="AX174" i="3"/>
  <c r="AW174" i="3"/>
  <c r="AV174" i="3"/>
  <c r="AU174" i="3"/>
  <c r="AT174" i="3"/>
  <c r="AS174" i="3"/>
  <c r="AR174" i="3"/>
  <c r="AQ174" i="3"/>
  <c r="AP174" i="3"/>
  <c r="AO174" i="3"/>
  <c r="AN174" i="3"/>
  <c r="AM174" i="3"/>
  <c r="AL174" i="3"/>
  <c r="AK174" i="3"/>
  <c r="AJ174" i="3"/>
  <c r="AI174" i="3"/>
  <c r="AH174" i="3"/>
  <c r="AG174" i="3"/>
  <c r="AF174" i="3"/>
  <c r="AE174" i="3"/>
  <c r="AD174" i="3"/>
  <c r="AC174" i="3"/>
  <c r="AB174" i="3"/>
  <c r="AA174" i="3"/>
  <c r="H174" i="3"/>
  <c r="BZ173" i="3"/>
  <c r="BY173" i="3"/>
  <c r="BX173" i="3"/>
  <c r="BW173" i="3"/>
  <c r="BV173" i="3"/>
  <c r="BU173" i="3"/>
  <c r="BT173" i="3"/>
  <c r="BS173" i="3"/>
  <c r="BR173" i="3"/>
  <c r="BQ173" i="3"/>
  <c r="BP173" i="3"/>
  <c r="BO173" i="3"/>
  <c r="BN173" i="3"/>
  <c r="BM173" i="3"/>
  <c r="BL173" i="3"/>
  <c r="BK173" i="3"/>
  <c r="BJ173" i="3"/>
  <c r="BI173" i="3"/>
  <c r="BH173" i="3"/>
  <c r="BG173" i="3"/>
  <c r="BF173" i="3"/>
  <c r="BE173" i="3"/>
  <c r="BD173" i="3"/>
  <c r="BC173" i="3"/>
  <c r="BB173" i="3"/>
  <c r="BA173" i="3"/>
  <c r="AZ173" i="3"/>
  <c r="AY173" i="3"/>
  <c r="AX173" i="3"/>
  <c r="AW173" i="3"/>
  <c r="AV173" i="3"/>
  <c r="AU173" i="3"/>
  <c r="AT173" i="3"/>
  <c r="AS173" i="3"/>
  <c r="AR173" i="3"/>
  <c r="AQ173" i="3"/>
  <c r="AP173" i="3"/>
  <c r="AO173" i="3"/>
  <c r="AN173" i="3"/>
  <c r="AM173" i="3"/>
  <c r="AL173" i="3"/>
  <c r="AK173" i="3"/>
  <c r="AJ173" i="3"/>
  <c r="AI173" i="3"/>
  <c r="AH173" i="3"/>
  <c r="AG173" i="3"/>
  <c r="AF173" i="3"/>
  <c r="AE173" i="3"/>
  <c r="AD173" i="3"/>
  <c r="AC173" i="3"/>
  <c r="AB173" i="3"/>
  <c r="AA173" i="3"/>
  <c r="H173" i="3"/>
  <c r="BZ172" i="3"/>
  <c r="BY172" i="3"/>
  <c r="BX172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H172" i="3"/>
  <c r="BZ171" i="3"/>
  <c r="BY171" i="3"/>
  <c r="BX171" i="3"/>
  <c r="BW171" i="3"/>
  <c r="BV171" i="3"/>
  <c r="BU171" i="3"/>
  <c r="BT171" i="3"/>
  <c r="BS171" i="3"/>
  <c r="BR171" i="3"/>
  <c r="BQ171" i="3"/>
  <c r="BP171" i="3"/>
  <c r="BO171" i="3"/>
  <c r="BN171" i="3"/>
  <c r="BM171" i="3"/>
  <c r="BL171" i="3"/>
  <c r="BK171" i="3"/>
  <c r="BJ171" i="3"/>
  <c r="BI171" i="3"/>
  <c r="BH171" i="3"/>
  <c r="BG171" i="3"/>
  <c r="BF171" i="3"/>
  <c r="BE171" i="3"/>
  <c r="BD171" i="3"/>
  <c r="BC171" i="3"/>
  <c r="BB171" i="3"/>
  <c r="BA171" i="3"/>
  <c r="AZ171" i="3"/>
  <c r="AY171" i="3"/>
  <c r="AX171" i="3"/>
  <c r="AW171" i="3"/>
  <c r="AV171" i="3"/>
  <c r="AU171" i="3"/>
  <c r="AT171" i="3"/>
  <c r="AS171" i="3"/>
  <c r="AR171" i="3"/>
  <c r="AQ171" i="3"/>
  <c r="AP171" i="3"/>
  <c r="AO171" i="3"/>
  <c r="AN171" i="3"/>
  <c r="AM171" i="3"/>
  <c r="AL171" i="3"/>
  <c r="AK171" i="3"/>
  <c r="AJ171" i="3"/>
  <c r="AI171" i="3"/>
  <c r="AH171" i="3"/>
  <c r="AG171" i="3"/>
  <c r="AF171" i="3"/>
  <c r="AE171" i="3"/>
  <c r="AD171" i="3"/>
  <c r="AC171" i="3"/>
  <c r="AB171" i="3"/>
  <c r="AA171" i="3"/>
  <c r="H171" i="3"/>
  <c r="BZ170" i="3"/>
  <c r="BY170" i="3"/>
  <c r="BX170" i="3"/>
  <c r="BW170" i="3"/>
  <c r="BV170" i="3"/>
  <c r="BU170" i="3"/>
  <c r="BT170" i="3"/>
  <c r="BS170" i="3"/>
  <c r="BR170" i="3"/>
  <c r="BQ170" i="3"/>
  <c r="BP170" i="3"/>
  <c r="BO170" i="3"/>
  <c r="BN170" i="3"/>
  <c r="BM170" i="3"/>
  <c r="BL170" i="3"/>
  <c r="BK170" i="3"/>
  <c r="BJ170" i="3"/>
  <c r="BI170" i="3"/>
  <c r="BH170" i="3"/>
  <c r="BG170" i="3"/>
  <c r="BF170" i="3"/>
  <c r="BE170" i="3"/>
  <c r="BD170" i="3"/>
  <c r="BC170" i="3"/>
  <c r="BB170" i="3"/>
  <c r="BA170" i="3"/>
  <c r="AZ170" i="3"/>
  <c r="AY170" i="3"/>
  <c r="AX170" i="3"/>
  <c r="AW170" i="3"/>
  <c r="AV170" i="3"/>
  <c r="AU170" i="3"/>
  <c r="AT170" i="3"/>
  <c r="AS170" i="3"/>
  <c r="AR170" i="3"/>
  <c r="AQ170" i="3"/>
  <c r="AP170" i="3"/>
  <c r="AO170" i="3"/>
  <c r="AN170" i="3"/>
  <c r="AM170" i="3"/>
  <c r="AL170" i="3"/>
  <c r="AK170" i="3"/>
  <c r="AJ170" i="3"/>
  <c r="AI170" i="3"/>
  <c r="AH170" i="3"/>
  <c r="AG170" i="3"/>
  <c r="AF170" i="3"/>
  <c r="AE170" i="3"/>
  <c r="AD170" i="3"/>
  <c r="AC170" i="3"/>
  <c r="AB170" i="3"/>
  <c r="AA170" i="3"/>
  <c r="H170" i="3"/>
  <c r="BZ169" i="3"/>
  <c r="BY169" i="3"/>
  <c r="BX169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AE169" i="3"/>
  <c r="AD169" i="3"/>
  <c r="AC169" i="3"/>
  <c r="AB169" i="3"/>
  <c r="AA169" i="3"/>
  <c r="H169" i="3"/>
  <c r="BZ168" i="3"/>
  <c r="BY168" i="3"/>
  <c r="BX168" i="3"/>
  <c r="BW168" i="3"/>
  <c r="BV168" i="3"/>
  <c r="BU168" i="3"/>
  <c r="BT168" i="3"/>
  <c r="BS168" i="3"/>
  <c r="BR168" i="3"/>
  <c r="BQ168" i="3"/>
  <c r="BP168" i="3"/>
  <c r="BO168" i="3"/>
  <c r="BN168" i="3"/>
  <c r="BM168" i="3"/>
  <c r="BL168" i="3"/>
  <c r="BK168" i="3"/>
  <c r="BJ168" i="3"/>
  <c r="BI168" i="3"/>
  <c r="BH168" i="3"/>
  <c r="BG168" i="3"/>
  <c r="BF168" i="3"/>
  <c r="BE168" i="3"/>
  <c r="BD168" i="3"/>
  <c r="BC168" i="3"/>
  <c r="BB168" i="3"/>
  <c r="BA168" i="3"/>
  <c r="AZ168" i="3"/>
  <c r="AY168" i="3"/>
  <c r="AX168" i="3"/>
  <c r="AW168" i="3"/>
  <c r="AV168" i="3"/>
  <c r="AU168" i="3"/>
  <c r="AT168" i="3"/>
  <c r="AS168" i="3"/>
  <c r="AR168" i="3"/>
  <c r="AQ168" i="3"/>
  <c r="AP168" i="3"/>
  <c r="AO168" i="3"/>
  <c r="AN168" i="3"/>
  <c r="AM168" i="3"/>
  <c r="AL168" i="3"/>
  <c r="AK168" i="3"/>
  <c r="AJ168" i="3"/>
  <c r="AI168" i="3"/>
  <c r="AH168" i="3"/>
  <c r="AG168" i="3"/>
  <c r="AF168" i="3"/>
  <c r="AE168" i="3"/>
  <c r="AD168" i="3"/>
  <c r="AC168" i="3"/>
  <c r="AB168" i="3"/>
  <c r="AA168" i="3"/>
  <c r="H168" i="3"/>
  <c r="BZ167" i="3"/>
  <c r="BY167" i="3"/>
  <c r="BX167" i="3"/>
  <c r="BW167" i="3"/>
  <c r="BV167" i="3"/>
  <c r="BU167" i="3"/>
  <c r="BT167" i="3"/>
  <c r="BS167" i="3"/>
  <c r="BR167" i="3"/>
  <c r="BQ167" i="3"/>
  <c r="BP167" i="3"/>
  <c r="BO167" i="3"/>
  <c r="BN167" i="3"/>
  <c r="BM167" i="3"/>
  <c r="BL167" i="3"/>
  <c r="BK167" i="3"/>
  <c r="BJ167" i="3"/>
  <c r="BI167" i="3"/>
  <c r="BH167" i="3"/>
  <c r="BG167" i="3"/>
  <c r="BF167" i="3"/>
  <c r="BE167" i="3"/>
  <c r="BD167" i="3"/>
  <c r="BC167" i="3"/>
  <c r="BB167" i="3"/>
  <c r="BA167" i="3"/>
  <c r="AZ167" i="3"/>
  <c r="AY167" i="3"/>
  <c r="AX167" i="3"/>
  <c r="AW167" i="3"/>
  <c r="AV167" i="3"/>
  <c r="AU167" i="3"/>
  <c r="AT167" i="3"/>
  <c r="AS167" i="3"/>
  <c r="AR167" i="3"/>
  <c r="AQ167" i="3"/>
  <c r="AP167" i="3"/>
  <c r="AO167" i="3"/>
  <c r="AN167" i="3"/>
  <c r="AM167" i="3"/>
  <c r="AL167" i="3"/>
  <c r="AK167" i="3"/>
  <c r="AJ167" i="3"/>
  <c r="AI167" i="3"/>
  <c r="AH167" i="3"/>
  <c r="AG167" i="3"/>
  <c r="AF167" i="3"/>
  <c r="AE167" i="3"/>
  <c r="AD167" i="3"/>
  <c r="AC167" i="3"/>
  <c r="AB167" i="3"/>
  <c r="AA167" i="3"/>
  <c r="H167" i="3"/>
  <c r="BZ166" i="3"/>
  <c r="BY166" i="3"/>
  <c r="BX166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AE166" i="3"/>
  <c r="AD166" i="3"/>
  <c r="AC166" i="3"/>
  <c r="AB166" i="3"/>
  <c r="AA166" i="3"/>
  <c r="H166" i="3"/>
  <c r="BZ165" i="3"/>
  <c r="BY165" i="3"/>
  <c r="BX165" i="3"/>
  <c r="BW165" i="3"/>
  <c r="BV165" i="3"/>
  <c r="BU165" i="3"/>
  <c r="BT165" i="3"/>
  <c r="BS165" i="3"/>
  <c r="BR165" i="3"/>
  <c r="BQ165" i="3"/>
  <c r="BP165" i="3"/>
  <c r="BO165" i="3"/>
  <c r="BN165" i="3"/>
  <c r="BM165" i="3"/>
  <c r="BL165" i="3"/>
  <c r="BK165" i="3"/>
  <c r="BJ165" i="3"/>
  <c r="BI165" i="3"/>
  <c r="BH165" i="3"/>
  <c r="BG165" i="3"/>
  <c r="BF165" i="3"/>
  <c r="BE165" i="3"/>
  <c r="BD165" i="3"/>
  <c r="BC165" i="3"/>
  <c r="BB165" i="3"/>
  <c r="BA165" i="3"/>
  <c r="AZ165" i="3"/>
  <c r="AY165" i="3"/>
  <c r="AX165" i="3"/>
  <c r="AW165" i="3"/>
  <c r="AV165" i="3"/>
  <c r="AU165" i="3"/>
  <c r="AT165" i="3"/>
  <c r="AS165" i="3"/>
  <c r="AR165" i="3"/>
  <c r="AQ165" i="3"/>
  <c r="AP165" i="3"/>
  <c r="AO165" i="3"/>
  <c r="AN165" i="3"/>
  <c r="AM165" i="3"/>
  <c r="AL165" i="3"/>
  <c r="AK165" i="3"/>
  <c r="AJ165" i="3"/>
  <c r="AI165" i="3"/>
  <c r="AH165" i="3"/>
  <c r="AG165" i="3"/>
  <c r="AF165" i="3"/>
  <c r="AE165" i="3"/>
  <c r="AD165" i="3"/>
  <c r="AC165" i="3"/>
  <c r="AB165" i="3"/>
  <c r="AA165" i="3"/>
  <c r="H165" i="3"/>
  <c r="BZ164" i="3"/>
  <c r="BY164" i="3"/>
  <c r="BX164" i="3"/>
  <c r="BW164" i="3"/>
  <c r="BV164" i="3"/>
  <c r="BU164" i="3"/>
  <c r="BT164" i="3"/>
  <c r="BS164" i="3"/>
  <c r="BR164" i="3"/>
  <c r="BQ164" i="3"/>
  <c r="BP164" i="3"/>
  <c r="BO164" i="3"/>
  <c r="BN164" i="3"/>
  <c r="BM164" i="3"/>
  <c r="BL164" i="3"/>
  <c r="BK164" i="3"/>
  <c r="BJ164" i="3"/>
  <c r="BI164" i="3"/>
  <c r="BH164" i="3"/>
  <c r="BG164" i="3"/>
  <c r="BF164" i="3"/>
  <c r="BE164" i="3"/>
  <c r="BD164" i="3"/>
  <c r="BC164" i="3"/>
  <c r="BB164" i="3"/>
  <c r="BA164" i="3"/>
  <c r="AZ164" i="3"/>
  <c r="AY164" i="3"/>
  <c r="AX164" i="3"/>
  <c r="AW164" i="3"/>
  <c r="AV164" i="3"/>
  <c r="AU164" i="3"/>
  <c r="AT164" i="3"/>
  <c r="AS164" i="3"/>
  <c r="AR164" i="3"/>
  <c r="AQ164" i="3"/>
  <c r="AP164" i="3"/>
  <c r="AO164" i="3"/>
  <c r="AN164" i="3"/>
  <c r="AM164" i="3"/>
  <c r="AL164" i="3"/>
  <c r="AK164" i="3"/>
  <c r="AJ164" i="3"/>
  <c r="AI164" i="3"/>
  <c r="AH164" i="3"/>
  <c r="AG164" i="3"/>
  <c r="AF164" i="3"/>
  <c r="AE164" i="3"/>
  <c r="AD164" i="3"/>
  <c r="AC164" i="3"/>
  <c r="AB164" i="3"/>
  <c r="AA164" i="3"/>
  <c r="H164" i="3"/>
  <c r="BZ163" i="3"/>
  <c r="BY163" i="3"/>
  <c r="BX163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H163" i="3"/>
  <c r="BZ162" i="3"/>
  <c r="BY162" i="3"/>
  <c r="BX162" i="3"/>
  <c r="BW162" i="3"/>
  <c r="BV162" i="3"/>
  <c r="BU162" i="3"/>
  <c r="BT162" i="3"/>
  <c r="BS162" i="3"/>
  <c r="BR162" i="3"/>
  <c r="BQ162" i="3"/>
  <c r="BP162" i="3"/>
  <c r="BO162" i="3"/>
  <c r="BN162" i="3"/>
  <c r="BM162" i="3"/>
  <c r="BL162" i="3"/>
  <c r="BK162" i="3"/>
  <c r="BJ162" i="3"/>
  <c r="BI162" i="3"/>
  <c r="BH162" i="3"/>
  <c r="BG162" i="3"/>
  <c r="BF162" i="3"/>
  <c r="BE162" i="3"/>
  <c r="BD162" i="3"/>
  <c r="BC162" i="3"/>
  <c r="BB162" i="3"/>
  <c r="BA162" i="3"/>
  <c r="AZ162" i="3"/>
  <c r="AY162" i="3"/>
  <c r="AX162" i="3"/>
  <c r="AW162" i="3"/>
  <c r="AV162" i="3"/>
  <c r="AU162" i="3"/>
  <c r="AT162" i="3"/>
  <c r="AS162" i="3"/>
  <c r="AR162" i="3"/>
  <c r="AQ162" i="3"/>
  <c r="AP162" i="3"/>
  <c r="AO162" i="3"/>
  <c r="AN162" i="3"/>
  <c r="AM162" i="3"/>
  <c r="AL162" i="3"/>
  <c r="AK162" i="3"/>
  <c r="AJ162" i="3"/>
  <c r="AI162" i="3"/>
  <c r="AH162" i="3"/>
  <c r="AG162" i="3"/>
  <c r="AF162" i="3"/>
  <c r="AE162" i="3"/>
  <c r="AD162" i="3"/>
  <c r="AC162" i="3"/>
  <c r="AB162" i="3"/>
  <c r="AA162" i="3"/>
  <c r="H162" i="3"/>
  <c r="BZ161" i="3"/>
  <c r="BY161" i="3"/>
  <c r="BX161" i="3"/>
  <c r="BW161" i="3"/>
  <c r="BV161" i="3"/>
  <c r="BU161" i="3"/>
  <c r="BT161" i="3"/>
  <c r="BS161" i="3"/>
  <c r="BR161" i="3"/>
  <c r="BQ161" i="3"/>
  <c r="BP161" i="3"/>
  <c r="BO161" i="3"/>
  <c r="BN161" i="3"/>
  <c r="BM161" i="3"/>
  <c r="BL161" i="3"/>
  <c r="BK161" i="3"/>
  <c r="BJ161" i="3"/>
  <c r="BI161" i="3"/>
  <c r="BH161" i="3"/>
  <c r="BG161" i="3"/>
  <c r="BF161" i="3"/>
  <c r="BE161" i="3"/>
  <c r="BD161" i="3"/>
  <c r="BC161" i="3"/>
  <c r="BB161" i="3"/>
  <c r="BA161" i="3"/>
  <c r="AZ161" i="3"/>
  <c r="AY161" i="3"/>
  <c r="AX161" i="3"/>
  <c r="AW161" i="3"/>
  <c r="AV161" i="3"/>
  <c r="AU161" i="3"/>
  <c r="AT161" i="3"/>
  <c r="AS161" i="3"/>
  <c r="AR161" i="3"/>
  <c r="AQ161" i="3"/>
  <c r="AP161" i="3"/>
  <c r="AO161" i="3"/>
  <c r="AN161" i="3"/>
  <c r="AM161" i="3"/>
  <c r="AL161" i="3"/>
  <c r="AK161" i="3"/>
  <c r="AJ161" i="3"/>
  <c r="AI161" i="3"/>
  <c r="AH161" i="3"/>
  <c r="AG161" i="3"/>
  <c r="AF161" i="3"/>
  <c r="AE161" i="3"/>
  <c r="AD161" i="3"/>
  <c r="AC161" i="3"/>
  <c r="AB161" i="3"/>
  <c r="AA161" i="3"/>
  <c r="H161" i="3"/>
  <c r="BZ160" i="3"/>
  <c r="BY160" i="3"/>
  <c r="BX160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AE160" i="3"/>
  <c r="AD160" i="3"/>
  <c r="AC160" i="3"/>
  <c r="AB160" i="3"/>
  <c r="AA160" i="3"/>
  <c r="H160" i="3"/>
  <c r="BZ159" i="3"/>
  <c r="BY159" i="3"/>
  <c r="BX159" i="3"/>
  <c r="BW159" i="3"/>
  <c r="BV159" i="3"/>
  <c r="BU159" i="3"/>
  <c r="BT159" i="3"/>
  <c r="BS159" i="3"/>
  <c r="BR159" i="3"/>
  <c r="BQ159" i="3"/>
  <c r="BP159" i="3"/>
  <c r="BO159" i="3"/>
  <c r="BN159" i="3"/>
  <c r="BM159" i="3"/>
  <c r="BL159" i="3"/>
  <c r="BK159" i="3"/>
  <c r="BJ159" i="3"/>
  <c r="BI159" i="3"/>
  <c r="BH159" i="3"/>
  <c r="BG159" i="3"/>
  <c r="BF159" i="3"/>
  <c r="BE159" i="3"/>
  <c r="BD159" i="3"/>
  <c r="BC159" i="3"/>
  <c r="BB159" i="3"/>
  <c r="BA159" i="3"/>
  <c r="AZ159" i="3"/>
  <c r="AY159" i="3"/>
  <c r="AX159" i="3"/>
  <c r="AW159" i="3"/>
  <c r="AV159" i="3"/>
  <c r="AU159" i="3"/>
  <c r="AT159" i="3"/>
  <c r="AS159" i="3"/>
  <c r="AR159" i="3"/>
  <c r="AQ159" i="3"/>
  <c r="AP159" i="3"/>
  <c r="AO159" i="3"/>
  <c r="AN159" i="3"/>
  <c r="AM159" i="3"/>
  <c r="AL159" i="3"/>
  <c r="AK159" i="3"/>
  <c r="AJ159" i="3"/>
  <c r="AI159" i="3"/>
  <c r="AH159" i="3"/>
  <c r="AG159" i="3"/>
  <c r="AF159" i="3"/>
  <c r="AE159" i="3"/>
  <c r="AD159" i="3"/>
  <c r="AC159" i="3"/>
  <c r="AB159" i="3"/>
  <c r="AA159" i="3"/>
  <c r="H159" i="3"/>
  <c r="BZ158" i="3"/>
  <c r="BY158" i="3"/>
  <c r="BX158" i="3"/>
  <c r="BW158" i="3"/>
  <c r="BV158" i="3"/>
  <c r="BU158" i="3"/>
  <c r="BT158" i="3"/>
  <c r="BS158" i="3"/>
  <c r="BR158" i="3"/>
  <c r="BQ158" i="3"/>
  <c r="BP158" i="3"/>
  <c r="BO158" i="3"/>
  <c r="BN158" i="3"/>
  <c r="BM158" i="3"/>
  <c r="BL158" i="3"/>
  <c r="BK158" i="3"/>
  <c r="BJ158" i="3"/>
  <c r="BI158" i="3"/>
  <c r="BH158" i="3"/>
  <c r="BG158" i="3"/>
  <c r="BF158" i="3"/>
  <c r="BE158" i="3"/>
  <c r="BD158" i="3"/>
  <c r="BC158" i="3"/>
  <c r="BB158" i="3"/>
  <c r="BA158" i="3"/>
  <c r="AZ158" i="3"/>
  <c r="AY158" i="3"/>
  <c r="AX158" i="3"/>
  <c r="AW158" i="3"/>
  <c r="AV158" i="3"/>
  <c r="AU158" i="3"/>
  <c r="AT158" i="3"/>
  <c r="AS158" i="3"/>
  <c r="AR158" i="3"/>
  <c r="AQ158" i="3"/>
  <c r="AP158" i="3"/>
  <c r="AO158" i="3"/>
  <c r="AN158" i="3"/>
  <c r="AM158" i="3"/>
  <c r="AL158" i="3"/>
  <c r="AK158" i="3"/>
  <c r="AJ158" i="3"/>
  <c r="AI158" i="3"/>
  <c r="AH158" i="3"/>
  <c r="AG158" i="3"/>
  <c r="AF158" i="3"/>
  <c r="AE158" i="3"/>
  <c r="AD158" i="3"/>
  <c r="AC158" i="3"/>
  <c r="AB158" i="3"/>
  <c r="AA158" i="3"/>
  <c r="H158" i="3"/>
  <c r="BZ157" i="3"/>
  <c r="BY157" i="3"/>
  <c r="BX157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AE157" i="3"/>
  <c r="AD157" i="3"/>
  <c r="AC157" i="3"/>
  <c r="AB157" i="3"/>
  <c r="AA157" i="3"/>
  <c r="H157" i="3"/>
  <c r="BZ156" i="3"/>
  <c r="BY156" i="3"/>
  <c r="BX156" i="3"/>
  <c r="BW156" i="3"/>
  <c r="BV156" i="3"/>
  <c r="BU156" i="3"/>
  <c r="BT156" i="3"/>
  <c r="BS156" i="3"/>
  <c r="BR156" i="3"/>
  <c r="BQ156" i="3"/>
  <c r="BP156" i="3"/>
  <c r="BO156" i="3"/>
  <c r="BN156" i="3"/>
  <c r="BM156" i="3"/>
  <c r="BL156" i="3"/>
  <c r="BK156" i="3"/>
  <c r="BJ156" i="3"/>
  <c r="BI156" i="3"/>
  <c r="BH156" i="3"/>
  <c r="BG156" i="3"/>
  <c r="BF156" i="3"/>
  <c r="BE156" i="3"/>
  <c r="BD156" i="3"/>
  <c r="BC156" i="3"/>
  <c r="BB156" i="3"/>
  <c r="BA156" i="3"/>
  <c r="AZ156" i="3"/>
  <c r="AY156" i="3"/>
  <c r="AX156" i="3"/>
  <c r="AW156" i="3"/>
  <c r="AV156" i="3"/>
  <c r="AU156" i="3"/>
  <c r="AT156" i="3"/>
  <c r="AS156" i="3"/>
  <c r="AR156" i="3"/>
  <c r="AQ156" i="3"/>
  <c r="AP156" i="3"/>
  <c r="AO156" i="3"/>
  <c r="AN156" i="3"/>
  <c r="AM156" i="3"/>
  <c r="AL156" i="3"/>
  <c r="AK156" i="3"/>
  <c r="AJ156" i="3"/>
  <c r="AI156" i="3"/>
  <c r="AH156" i="3"/>
  <c r="AG156" i="3"/>
  <c r="AF156" i="3"/>
  <c r="AE156" i="3"/>
  <c r="AD156" i="3"/>
  <c r="AC156" i="3"/>
  <c r="AB156" i="3"/>
  <c r="AA156" i="3"/>
  <c r="H156" i="3"/>
  <c r="BZ155" i="3"/>
  <c r="BY155" i="3"/>
  <c r="BX155" i="3"/>
  <c r="BW155" i="3"/>
  <c r="BV155" i="3"/>
  <c r="BU155" i="3"/>
  <c r="BT155" i="3"/>
  <c r="BS155" i="3"/>
  <c r="BR155" i="3"/>
  <c r="BQ155" i="3"/>
  <c r="BP155" i="3"/>
  <c r="BO155" i="3"/>
  <c r="BN155" i="3"/>
  <c r="BM155" i="3"/>
  <c r="BL155" i="3"/>
  <c r="BK155" i="3"/>
  <c r="BJ155" i="3"/>
  <c r="BI155" i="3"/>
  <c r="BH155" i="3"/>
  <c r="BG155" i="3"/>
  <c r="BF155" i="3"/>
  <c r="BE155" i="3"/>
  <c r="BD155" i="3"/>
  <c r="BC155" i="3"/>
  <c r="BB155" i="3"/>
  <c r="BA155" i="3"/>
  <c r="AZ155" i="3"/>
  <c r="AY155" i="3"/>
  <c r="AX155" i="3"/>
  <c r="AW155" i="3"/>
  <c r="AV155" i="3"/>
  <c r="AU155" i="3"/>
  <c r="AT155" i="3"/>
  <c r="AS155" i="3"/>
  <c r="AR155" i="3"/>
  <c r="AQ155" i="3"/>
  <c r="AP155" i="3"/>
  <c r="AO155" i="3"/>
  <c r="AN155" i="3"/>
  <c r="AM155" i="3"/>
  <c r="AL155" i="3"/>
  <c r="AK155" i="3"/>
  <c r="AJ155" i="3"/>
  <c r="AI155" i="3"/>
  <c r="AH155" i="3"/>
  <c r="AG155" i="3"/>
  <c r="AF155" i="3"/>
  <c r="AE155" i="3"/>
  <c r="AD155" i="3"/>
  <c r="AC155" i="3"/>
  <c r="AB155" i="3"/>
  <c r="AA155" i="3"/>
  <c r="H155" i="3"/>
  <c r="BZ154" i="3"/>
  <c r="BY154" i="3"/>
  <c r="BX154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AE154" i="3"/>
  <c r="AD154" i="3"/>
  <c r="AC154" i="3"/>
  <c r="AB154" i="3"/>
  <c r="AA154" i="3"/>
  <c r="H154" i="3"/>
  <c r="BZ153" i="3"/>
  <c r="BY153" i="3"/>
  <c r="BX153" i="3"/>
  <c r="BW153" i="3"/>
  <c r="BV153" i="3"/>
  <c r="BU153" i="3"/>
  <c r="BT153" i="3"/>
  <c r="BS153" i="3"/>
  <c r="BR153" i="3"/>
  <c r="BQ153" i="3"/>
  <c r="BP153" i="3"/>
  <c r="BO153" i="3"/>
  <c r="BN153" i="3"/>
  <c r="BM153" i="3"/>
  <c r="BL153" i="3"/>
  <c r="BK153" i="3"/>
  <c r="BJ153" i="3"/>
  <c r="BI153" i="3"/>
  <c r="BH153" i="3"/>
  <c r="BG153" i="3"/>
  <c r="BF153" i="3"/>
  <c r="BE153" i="3"/>
  <c r="BD153" i="3"/>
  <c r="BC153" i="3"/>
  <c r="BB153" i="3"/>
  <c r="BA153" i="3"/>
  <c r="AZ153" i="3"/>
  <c r="AY153" i="3"/>
  <c r="AX153" i="3"/>
  <c r="AW153" i="3"/>
  <c r="AV153" i="3"/>
  <c r="AU153" i="3"/>
  <c r="AT153" i="3"/>
  <c r="AS153" i="3"/>
  <c r="AR153" i="3"/>
  <c r="AQ153" i="3"/>
  <c r="AP153" i="3"/>
  <c r="AO153" i="3"/>
  <c r="AN153" i="3"/>
  <c r="AM153" i="3"/>
  <c r="AL153" i="3"/>
  <c r="AK153" i="3"/>
  <c r="AJ153" i="3"/>
  <c r="AI153" i="3"/>
  <c r="AH153" i="3"/>
  <c r="AG153" i="3"/>
  <c r="AF153" i="3"/>
  <c r="AE153" i="3"/>
  <c r="AD153" i="3"/>
  <c r="AC153" i="3"/>
  <c r="AB153" i="3"/>
  <c r="AA153" i="3"/>
  <c r="H153" i="3"/>
  <c r="BZ152" i="3"/>
  <c r="BY152" i="3"/>
  <c r="BX152" i="3"/>
  <c r="BW152" i="3"/>
  <c r="BV152" i="3"/>
  <c r="BU152" i="3"/>
  <c r="BT152" i="3"/>
  <c r="BS152" i="3"/>
  <c r="BR152" i="3"/>
  <c r="BQ152" i="3"/>
  <c r="BP152" i="3"/>
  <c r="BO152" i="3"/>
  <c r="BN152" i="3"/>
  <c r="BM152" i="3"/>
  <c r="BL152" i="3"/>
  <c r="BK152" i="3"/>
  <c r="BJ152" i="3"/>
  <c r="BI152" i="3"/>
  <c r="BH152" i="3"/>
  <c r="BG152" i="3"/>
  <c r="BF152" i="3"/>
  <c r="BE152" i="3"/>
  <c r="BD152" i="3"/>
  <c r="BC152" i="3"/>
  <c r="BB152" i="3"/>
  <c r="BA152" i="3"/>
  <c r="AZ152" i="3"/>
  <c r="AY152" i="3"/>
  <c r="AX152" i="3"/>
  <c r="AW152" i="3"/>
  <c r="AV152" i="3"/>
  <c r="AU152" i="3"/>
  <c r="AT152" i="3"/>
  <c r="AS152" i="3"/>
  <c r="AR152" i="3"/>
  <c r="AQ152" i="3"/>
  <c r="AP152" i="3"/>
  <c r="AO152" i="3"/>
  <c r="AN152" i="3"/>
  <c r="AM152" i="3"/>
  <c r="AL152" i="3"/>
  <c r="AK152" i="3"/>
  <c r="AJ152" i="3"/>
  <c r="AI152" i="3"/>
  <c r="AH152" i="3"/>
  <c r="AG152" i="3"/>
  <c r="AF152" i="3"/>
  <c r="AE152" i="3"/>
  <c r="AD152" i="3"/>
  <c r="AC152" i="3"/>
  <c r="AB152" i="3"/>
  <c r="AA152" i="3"/>
  <c r="H152" i="3"/>
  <c r="BZ151" i="3"/>
  <c r="BY151" i="3"/>
  <c r="BX151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H151" i="3"/>
  <c r="BZ150" i="3"/>
  <c r="BY150" i="3"/>
  <c r="BX150" i="3"/>
  <c r="BW150" i="3"/>
  <c r="BV150" i="3"/>
  <c r="BU150" i="3"/>
  <c r="BT150" i="3"/>
  <c r="BS150" i="3"/>
  <c r="BR150" i="3"/>
  <c r="BQ150" i="3"/>
  <c r="BP150" i="3"/>
  <c r="BO150" i="3"/>
  <c r="BN150" i="3"/>
  <c r="BM150" i="3"/>
  <c r="BL150" i="3"/>
  <c r="BK150" i="3"/>
  <c r="BJ150" i="3"/>
  <c r="BI150" i="3"/>
  <c r="BH150" i="3"/>
  <c r="BG150" i="3"/>
  <c r="BF150" i="3"/>
  <c r="BE150" i="3"/>
  <c r="BD150" i="3"/>
  <c r="BC150" i="3"/>
  <c r="BB150" i="3"/>
  <c r="BA150" i="3"/>
  <c r="AZ150" i="3"/>
  <c r="AY150" i="3"/>
  <c r="AX150" i="3"/>
  <c r="AW150" i="3"/>
  <c r="AV150" i="3"/>
  <c r="AU150" i="3"/>
  <c r="AT150" i="3"/>
  <c r="AS150" i="3"/>
  <c r="AR150" i="3"/>
  <c r="AQ150" i="3"/>
  <c r="AP150" i="3"/>
  <c r="AO150" i="3"/>
  <c r="AN150" i="3"/>
  <c r="AM150" i="3"/>
  <c r="AL150" i="3"/>
  <c r="AK150" i="3"/>
  <c r="AJ150" i="3"/>
  <c r="AI150" i="3"/>
  <c r="AH150" i="3"/>
  <c r="AG150" i="3"/>
  <c r="AF150" i="3"/>
  <c r="AE150" i="3"/>
  <c r="AD150" i="3"/>
  <c r="AC150" i="3"/>
  <c r="AB150" i="3"/>
  <c r="AA150" i="3"/>
  <c r="H150" i="3"/>
  <c r="BZ149" i="3"/>
  <c r="BY149" i="3"/>
  <c r="BX149" i="3"/>
  <c r="BW149" i="3"/>
  <c r="BV149" i="3"/>
  <c r="BU149" i="3"/>
  <c r="BT149" i="3"/>
  <c r="BS149" i="3"/>
  <c r="BR149" i="3"/>
  <c r="BQ149" i="3"/>
  <c r="BP149" i="3"/>
  <c r="BO149" i="3"/>
  <c r="BN149" i="3"/>
  <c r="BM149" i="3"/>
  <c r="BL149" i="3"/>
  <c r="BK149" i="3"/>
  <c r="BJ149" i="3"/>
  <c r="BI149" i="3"/>
  <c r="BH149" i="3"/>
  <c r="BG149" i="3"/>
  <c r="BF149" i="3"/>
  <c r="BE149" i="3"/>
  <c r="BD149" i="3"/>
  <c r="BC149" i="3"/>
  <c r="BB149" i="3"/>
  <c r="BA149" i="3"/>
  <c r="AZ149" i="3"/>
  <c r="AY149" i="3"/>
  <c r="AX149" i="3"/>
  <c r="AW149" i="3"/>
  <c r="AV149" i="3"/>
  <c r="AU149" i="3"/>
  <c r="AT149" i="3"/>
  <c r="AS149" i="3"/>
  <c r="AR149" i="3"/>
  <c r="AQ149" i="3"/>
  <c r="AP149" i="3"/>
  <c r="AO149" i="3"/>
  <c r="AN149" i="3"/>
  <c r="AM149" i="3"/>
  <c r="AL149" i="3"/>
  <c r="AK149" i="3"/>
  <c r="AJ149" i="3"/>
  <c r="AI149" i="3"/>
  <c r="AH149" i="3"/>
  <c r="AG149" i="3"/>
  <c r="AF149" i="3"/>
  <c r="AE149" i="3"/>
  <c r="AD149" i="3"/>
  <c r="AC149" i="3"/>
  <c r="AB149" i="3"/>
  <c r="AA149" i="3"/>
  <c r="H149" i="3"/>
  <c r="BZ148" i="3"/>
  <c r="BY148" i="3"/>
  <c r="BX148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H148" i="3"/>
  <c r="BZ147" i="3"/>
  <c r="BY147" i="3"/>
  <c r="BX147" i="3"/>
  <c r="BW147" i="3"/>
  <c r="BV147" i="3"/>
  <c r="BU147" i="3"/>
  <c r="BT147" i="3"/>
  <c r="BS147" i="3"/>
  <c r="BR147" i="3"/>
  <c r="BQ147" i="3"/>
  <c r="BP147" i="3"/>
  <c r="BO147" i="3"/>
  <c r="BN147" i="3"/>
  <c r="BM147" i="3"/>
  <c r="BL147" i="3"/>
  <c r="BK147" i="3"/>
  <c r="BJ147" i="3"/>
  <c r="BI147" i="3"/>
  <c r="BH147" i="3"/>
  <c r="BG147" i="3"/>
  <c r="BF147" i="3"/>
  <c r="BE147" i="3"/>
  <c r="BD147" i="3"/>
  <c r="BC147" i="3"/>
  <c r="BB147" i="3"/>
  <c r="BA147" i="3"/>
  <c r="AZ147" i="3"/>
  <c r="AY147" i="3"/>
  <c r="AX147" i="3"/>
  <c r="AW147" i="3"/>
  <c r="AV147" i="3"/>
  <c r="AU147" i="3"/>
  <c r="AT147" i="3"/>
  <c r="AS147" i="3"/>
  <c r="AR147" i="3"/>
  <c r="AQ147" i="3"/>
  <c r="AP147" i="3"/>
  <c r="AO147" i="3"/>
  <c r="AN147" i="3"/>
  <c r="AM147" i="3"/>
  <c r="AL147" i="3"/>
  <c r="AK147" i="3"/>
  <c r="AJ147" i="3"/>
  <c r="AI147" i="3"/>
  <c r="AH147" i="3"/>
  <c r="AG147" i="3"/>
  <c r="AF147" i="3"/>
  <c r="AE147" i="3"/>
  <c r="AD147" i="3"/>
  <c r="AC147" i="3"/>
  <c r="AB147" i="3"/>
  <c r="AA147" i="3"/>
  <c r="H147" i="3"/>
  <c r="BZ146" i="3"/>
  <c r="BY146" i="3"/>
  <c r="BX146" i="3"/>
  <c r="BW146" i="3"/>
  <c r="BV146" i="3"/>
  <c r="BU146" i="3"/>
  <c r="BT146" i="3"/>
  <c r="BS146" i="3"/>
  <c r="BR146" i="3"/>
  <c r="BQ146" i="3"/>
  <c r="BP146" i="3"/>
  <c r="BO146" i="3"/>
  <c r="BN146" i="3"/>
  <c r="BM146" i="3"/>
  <c r="BL146" i="3"/>
  <c r="BK146" i="3"/>
  <c r="BJ146" i="3"/>
  <c r="BI146" i="3"/>
  <c r="BH146" i="3"/>
  <c r="BG146" i="3"/>
  <c r="BF146" i="3"/>
  <c r="BE146" i="3"/>
  <c r="BD146" i="3"/>
  <c r="BC146" i="3"/>
  <c r="BB146" i="3"/>
  <c r="BA146" i="3"/>
  <c r="AZ146" i="3"/>
  <c r="AY146" i="3"/>
  <c r="AX146" i="3"/>
  <c r="AW146" i="3"/>
  <c r="AV146" i="3"/>
  <c r="AU146" i="3"/>
  <c r="AT146" i="3"/>
  <c r="AS146" i="3"/>
  <c r="AR146" i="3"/>
  <c r="AQ146" i="3"/>
  <c r="AP146" i="3"/>
  <c r="AO146" i="3"/>
  <c r="AN146" i="3"/>
  <c r="AM146" i="3"/>
  <c r="AL146" i="3"/>
  <c r="AK146" i="3"/>
  <c r="AJ146" i="3"/>
  <c r="AI146" i="3"/>
  <c r="AH146" i="3"/>
  <c r="AG146" i="3"/>
  <c r="AF146" i="3"/>
  <c r="AE146" i="3"/>
  <c r="AD146" i="3"/>
  <c r="AC146" i="3"/>
  <c r="AB146" i="3"/>
  <c r="AA146" i="3"/>
  <c r="H146" i="3"/>
  <c r="BZ145" i="3"/>
  <c r="BY145" i="3"/>
  <c r="BX145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AE145" i="3"/>
  <c r="AD145" i="3"/>
  <c r="AC145" i="3"/>
  <c r="AB145" i="3"/>
  <c r="AA145" i="3"/>
  <c r="H145" i="3"/>
  <c r="BZ144" i="3"/>
  <c r="BY144" i="3"/>
  <c r="BX144" i="3"/>
  <c r="BW144" i="3"/>
  <c r="BV144" i="3"/>
  <c r="BU144" i="3"/>
  <c r="BT144" i="3"/>
  <c r="BS144" i="3"/>
  <c r="BR144" i="3"/>
  <c r="BQ144" i="3"/>
  <c r="BP144" i="3"/>
  <c r="BO144" i="3"/>
  <c r="BN144" i="3"/>
  <c r="BM144" i="3"/>
  <c r="BL144" i="3"/>
  <c r="BK144" i="3"/>
  <c r="BJ144" i="3"/>
  <c r="BI144" i="3"/>
  <c r="BH144" i="3"/>
  <c r="BG144" i="3"/>
  <c r="BF144" i="3"/>
  <c r="BE144" i="3"/>
  <c r="BD144" i="3"/>
  <c r="BC144" i="3"/>
  <c r="BB144" i="3"/>
  <c r="BA144" i="3"/>
  <c r="AZ144" i="3"/>
  <c r="AY144" i="3"/>
  <c r="AX144" i="3"/>
  <c r="AW144" i="3"/>
  <c r="AV144" i="3"/>
  <c r="AU144" i="3"/>
  <c r="AT144" i="3"/>
  <c r="AS144" i="3"/>
  <c r="AR144" i="3"/>
  <c r="AQ144" i="3"/>
  <c r="AP144" i="3"/>
  <c r="AO144" i="3"/>
  <c r="AN144" i="3"/>
  <c r="AM144" i="3"/>
  <c r="AL144" i="3"/>
  <c r="AK144" i="3"/>
  <c r="AJ144" i="3"/>
  <c r="AI144" i="3"/>
  <c r="AH144" i="3"/>
  <c r="AG144" i="3"/>
  <c r="AF144" i="3"/>
  <c r="AE144" i="3"/>
  <c r="AD144" i="3"/>
  <c r="AC144" i="3"/>
  <c r="AB144" i="3"/>
  <c r="AA144" i="3"/>
  <c r="H144" i="3"/>
  <c r="BZ143" i="3"/>
  <c r="BY143" i="3"/>
  <c r="BX143" i="3"/>
  <c r="BW143" i="3"/>
  <c r="BV143" i="3"/>
  <c r="BU143" i="3"/>
  <c r="BT143" i="3"/>
  <c r="BS143" i="3"/>
  <c r="BR143" i="3"/>
  <c r="BQ143" i="3"/>
  <c r="BP143" i="3"/>
  <c r="BO143" i="3"/>
  <c r="BN143" i="3"/>
  <c r="BM143" i="3"/>
  <c r="BL143" i="3"/>
  <c r="BK143" i="3"/>
  <c r="BJ143" i="3"/>
  <c r="BI143" i="3"/>
  <c r="BH143" i="3"/>
  <c r="BG143" i="3"/>
  <c r="BF143" i="3"/>
  <c r="BE143" i="3"/>
  <c r="BD143" i="3"/>
  <c r="BC143" i="3"/>
  <c r="BB143" i="3"/>
  <c r="BA143" i="3"/>
  <c r="AZ143" i="3"/>
  <c r="AY143" i="3"/>
  <c r="AX143" i="3"/>
  <c r="AW143" i="3"/>
  <c r="AV143" i="3"/>
  <c r="AU143" i="3"/>
  <c r="AT143" i="3"/>
  <c r="AS143" i="3"/>
  <c r="AR143" i="3"/>
  <c r="AQ143" i="3"/>
  <c r="AP143" i="3"/>
  <c r="AO143" i="3"/>
  <c r="AN143" i="3"/>
  <c r="AM143" i="3"/>
  <c r="AL143" i="3"/>
  <c r="AK143" i="3"/>
  <c r="AJ143" i="3"/>
  <c r="AI143" i="3"/>
  <c r="AH143" i="3"/>
  <c r="AG143" i="3"/>
  <c r="AF143" i="3"/>
  <c r="AE143" i="3"/>
  <c r="AD143" i="3"/>
  <c r="AC143" i="3"/>
  <c r="AB143" i="3"/>
  <c r="AA143" i="3"/>
  <c r="H143" i="3"/>
  <c r="BZ142" i="3"/>
  <c r="BY142" i="3"/>
  <c r="BX142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H142" i="3"/>
  <c r="BZ141" i="3"/>
  <c r="BY141" i="3"/>
  <c r="BX141" i="3"/>
  <c r="BW141" i="3"/>
  <c r="BV141" i="3"/>
  <c r="BU141" i="3"/>
  <c r="BT141" i="3"/>
  <c r="BS141" i="3"/>
  <c r="BR141" i="3"/>
  <c r="BQ141" i="3"/>
  <c r="BP141" i="3"/>
  <c r="BO141" i="3"/>
  <c r="BN141" i="3"/>
  <c r="BM141" i="3"/>
  <c r="BL141" i="3"/>
  <c r="BK141" i="3"/>
  <c r="BJ141" i="3"/>
  <c r="BI141" i="3"/>
  <c r="BH141" i="3"/>
  <c r="BG141" i="3"/>
  <c r="BF141" i="3"/>
  <c r="BE141" i="3"/>
  <c r="BD141" i="3"/>
  <c r="BC141" i="3"/>
  <c r="BB141" i="3"/>
  <c r="BA141" i="3"/>
  <c r="AZ141" i="3"/>
  <c r="AY141" i="3"/>
  <c r="AX141" i="3"/>
  <c r="AW141" i="3"/>
  <c r="AV141" i="3"/>
  <c r="AU141" i="3"/>
  <c r="AT141" i="3"/>
  <c r="AS141" i="3"/>
  <c r="AR141" i="3"/>
  <c r="AQ141" i="3"/>
  <c r="AP141" i="3"/>
  <c r="AO141" i="3"/>
  <c r="AN141" i="3"/>
  <c r="AM141" i="3"/>
  <c r="AL141" i="3"/>
  <c r="AK141" i="3"/>
  <c r="AJ141" i="3"/>
  <c r="AI141" i="3"/>
  <c r="AH141" i="3"/>
  <c r="AG141" i="3"/>
  <c r="AF141" i="3"/>
  <c r="AE141" i="3"/>
  <c r="AD141" i="3"/>
  <c r="AC141" i="3"/>
  <c r="AB141" i="3"/>
  <c r="AA141" i="3"/>
  <c r="H141" i="3"/>
  <c r="BZ140" i="3"/>
  <c r="BY140" i="3"/>
  <c r="BX140" i="3"/>
  <c r="BW140" i="3"/>
  <c r="BV140" i="3"/>
  <c r="BU140" i="3"/>
  <c r="BT140" i="3"/>
  <c r="BS140" i="3"/>
  <c r="BR140" i="3"/>
  <c r="BQ140" i="3"/>
  <c r="BP140" i="3"/>
  <c r="BO140" i="3"/>
  <c r="BN140" i="3"/>
  <c r="BM140" i="3"/>
  <c r="BL140" i="3"/>
  <c r="BK140" i="3"/>
  <c r="BJ140" i="3"/>
  <c r="BI140" i="3"/>
  <c r="BH140" i="3"/>
  <c r="BG140" i="3"/>
  <c r="BF140" i="3"/>
  <c r="BE140" i="3"/>
  <c r="BD140" i="3"/>
  <c r="BC140" i="3"/>
  <c r="BB140" i="3"/>
  <c r="BA140" i="3"/>
  <c r="AZ140" i="3"/>
  <c r="AY140" i="3"/>
  <c r="AX140" i="3"/>
  <c r="AW140" i="3"/>
  <c r="AV140" i="3"/>
  <c r="AU140" i="3"/>
  <c r="AT140" i="3"/>
  <c r="AS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AE140" i="3"/>
  <c r="AD140" i="3"/>
  <c r="AC140" i="3"/>
  <c r="AB140" i="3"/>
  <c r="AA140" i="3"/>
  <c r="H140" i="3"/>
  <c r="BZ139" i="3"/>
  <c r="BY139" i="3"/>
  <c r="BX139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AE139" i="3"/>
  <c r="AD139" i="3"/>
  <c r="AC139" i="3"/>
  <c r="AB139" i="3"/>
  <c r="AA139" i="3"/>
  <c r="H139" i="3"/>
  <c r="BZ138" i="3"/>
  <c r="BY138" i="3"/>
  <c r="BX138" i="3"/>
  <c r="BW138" i="3"/>
  <c r="BV138" i="3"/>
  <c r="BU138" i="3"/>
  <c r="BT138" i="3"/>
  <c r="BS138" i="3"/>
  <c r="BR138" i="3"/>
  <c r="BQ138" i="3"/>
  <c r="BP138" i="3"/>
  <c r="BO138" i="3"/>
  <c r="BN138" i="3"/>
  <c r="BM138" i="3"/>
  <c r="BL138" i="3"/>
  <c r="BK138" i="3"/>
  <c r="BJ138" i="3"/>
  <c r="BI138" i="3"/>
  <c r="BH138" i="3"/>
  <c r="BG138" i="3"/>
  <c r="BF138" i="3"/>
  <c r="BE138" i="3"/>
  <c r="BD138" i="3"/>
  <c r="BC138" i="3"/>
  <c r="BB138" i="3"/>
  <c r="BA138" i="3"/>
  <c r="AZ138" i="3"/>
  <c r="AY138" i="3"/>
  <c r="AX138" i="3"/>
  <c r="AW138" i="3"/>
  <c r="AV138" i="3"/>
  <c r="AU138" i="3"/>
  <c r="AT138" i="3"/>
  <c r="AS138" i="3"/>
  <c r="AR138" i="3"/>
  <c r="AQ138" i="3"/>
  <c r="AP138" i="3"/>
  <c r="AO138" i="3"/>
  <c r="AN138" i="3"/>
  <c r="AM138" i="3"/>
  <c r="AL138" i="3"/>
  <c r="AK138" i="3"/>
  <c r="AJ138" i="3"/>
  <c r="AI138" i="3"/>
  <c r="AH138" i="3"/>
  <c r="AG138" i="3"/>
  <c r="AF138" i="3"/>
  <c r="AE138" i="3"/>
  <c r="AD138" i="3"/>
  <c r="AC138" i="3"/>
  <c r="AB138" i="3"/>
  <c r="AA138" i="3"/>
  <c r="H138" i="3"/>
  <c r="BZ137" i="3"/>
  <c r="BY137" i="3"/>
  <c r="BX137" i="3"/>
  <c r="BW137" i="3"/>
  <c r="BV137" i="3"/>
  <c r="BU137" i="3"/>
  <c r="BT137" i="3"/>
  <c r="BS137" i="3"/>
  <c r="BR137" i="3"/>
  <c r="BQ137" i="3"/>
  <c r="BP137" i="3"/>
  <c r="BO137" i="3"/>
  <c r="BN137" i="3"/>
  <c r="BM137" i="3"/>
  <c r="BL137" i="3"/>
  <c r="BK137" i="3"/>
  <c r="BJ137" i="3"/>
  <c r="BI137" i="3"/>
  <c r="BH137" i="3"/>
  <c r="BG137" i="3"/>
  <c r="BF137" i="3"/>
  <c r="BE137" i="3"/>
  <c r="BD137" i="3"/>
  <c r="BC137" i="3"/>
  <c r="BB137" i="3"/>
  <c r="BA137" i="3"/>
  <c r="AZ137" i="3"/>
  <c r="AY137" i="3"/>
  <c r="AX137" i="3"/>
  <c r="AW137" i="3"/>
  <c r="AV137" i="3"/>
  <c r="AU137" i="3"/>
  <c r="AT137" i="3"/>
  <c r="AS137" i="3"/>
  <c r="AR137" i="3"/>
  <c r="AQ137" i="3"/>
  <c r="AP137" i="3"/>
  <c r="AO137" i="3"/>
  <c r="AN137" i="3"/>
  <c r="AM137" i="3"/>
  <c r="AL137" i="3"/>
  <c r="AK137" i="3"/>
  <c r="AJ137" i="3"/>
  <c r="AI137" i="3"/>
  <c r="AH137" i="3"/>
  <c r="AG137" i="3"/>
  <c r="AF137" i="3"/>
  <c r="AE137" i="3"/>
  <c r="AD137" i="3"/>
  <c r="AC137" i="3"/>
  <c r="AB137" i="3"/>
  <c r="AA137" i="3"/>
  <c r="H137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H136" i="3"/>
  <c r="BZ135" i="3"/>
  <c r="BY135" i="3"/>
  <c r="BX135" i="3"/>
  <c r="BW135" i="3"/>
  <c r="BV135" i="3"/>
  <c r="BU135" i="3"/>
  <c r="BT135" i="3"/>
  <c r="BS135" i="3"/>
  <c r="BR135" i="3"/>
  <c r="BQ135" i="3"/>
  <c r="BP135" i="3"/>
  <c r="BO135" i="3"/>
  <c r="BN135" i="3"/>
  <c r="BM135" i="3"/>
  <c r="BL135" i="3"/>
  <c r="BK135" i="3"/>
  <c r="BJ135" i="3"/>
  <c r="BI135" i="3"/>
  <c r="BH135" i="3"/>
  <c r="BG135" i="3"/>
  <c r="BF135" i="3"/>
  <c r="BE135" i="3"/>
  <c r="BD135" i="3"/>
  <c r="BC135" i="3"/>
  <c r="BB135" i="3"/>
  <c r="BA135" i="3"/>
  <c r="AZ135" i="3"/>
  <c r="AY135" i="3"/>
  <c r="AX135" i="3"/>
  <c r="AW135" i="3"/>
  <c r="AV135" i="3"/>
  <c r="AU135" i="3"/>
  <c r="AT135" i="3"/>
  <c r="AS135" i="3"/>
  <c r="AR135" i="3"/>
  <c r="AQ135" i="3"/>
  <c r="AP135" i="3"/>
  <c r="AO135" i="3"/>
  <c r="AN135" i="3"/>
  <c r="AM135" i="3"/>
  <c r="AL135" i="3"/>
  <c r="AK135" i="3"/>
  <c r="AJ135" i="3"/>
  <c r="AI135" i="3"/>
  <c r="AH135" i="3"/>
  <c r="AG135" i="3"/>
  <c r="AF135" i="3"/>
  <c r="AE135" i="3"/>
  <c r="AD135" i="3"/>
  <c r="AC135" i="3"/>
  <c r="AB135" i="3"/>
  <c r="AA135" i="3"/>
  <c r="H135" i="3"/>
  <c r="BZ134" i="3"/>
  <c r="BY134" i="3"/>
  <c r="BX134" i="3"/>
  <c r="BW134" i="3"/>
  <c r="BV134" i="3"/>
  <c r="BU134" i="3"/>
  <c r="BT134" i="3"/>
  <c r="BS134" i="3"/>
  <c r="BR134" i="3"/>
  <c r="BQ134" i="3"/>
  <c r="BP134" i="3"/>
  <c r="BO134" i="3"/>
  <c r="BN134" i="3"/>
  <c r="BM134" i="3"/>
  <c r="BL134" i="3"/>
  <c r="BK134" i="3"/>
  <c r="BJ134" i="3"/>
  <c r="BI134" i="3"/>
  <c r="BH134" i="3"/>
  <c r="BG134" i="3"/>
  <c r="BF134" i="3"/>
  <c r="BE134" i="3"/>
  <c r="BD134" i="3"/>
  <c r="BC134" i="3"/>
  <c r="BB134" i="3"/>
  <c r="BA134" i="3"/>
  <c r="AZ134" i="3"/>
  <c r="AY134" i="3"/>
  <c r="AX134" i="3"/>
  <c r="AW134" i="3"/>
  <c r="AV134" i="3"/>
  <c r="AU134" i="3"/>
  <c r="AT134" i="3"/>
  <c r="AS134" i="3"/>
  <c r="AR134" i="3"/>
  <c r="AQ134" i="3"/>
  <c r="AP134" i="3"/>
  <c r="AO134" i="3"/>
  <c r="AN134" i="3"/>
  <c r="AM134" i="3"/>
  <c r="AL134" i="3"/>
  <c r="AK134" i="3"/>
  <c r="AJ134" i="3"/>
  <c r="AI134" i="3"/>
  <c r="AH134" i="3"/>
  <c r="AG134" i="3"/>
  <c r="AF134" i="3"/>
  <c r="AE134" i="3"/>
  <c r="AD134" i="3"/>
  <c r="AC134" i="3"/>
  <c r="AB134" i="3"/>
  <c r="AA134" i="3"/>
  <c r="H134" i="3"/>
  <c r="BZ133" i="3"/>
  <c r="BY133" i="3"/>
  <c r="BX133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AE133" i="3"/>
  <c r="AD133" i="3"/>
  <c r="AC133" i="3"/>
  <c r="AB133" i="3"/>
  <c r="AA133" i="3"/>
  <c r="H133" i="3"/>
  <c r="BZ132" i="3"/>
  <c r="BY132" i="3"/>
  <c r="BX132" i="3"/>
  <c r="BW132" i="3"/>
  <c r="BV132" i="3"/>
  <c r="BU132" i="3"/>
  <c r="BT132" i="3"/>
  <c r="BS132" i="3"/>
  <c r="BR132" i="3"/>
  <c r="BQ132" i="3"/>
  <c r="BP132" i="3"/>
  <c r="BO132" i="3"/>
  <c r="BN132" i="3"/>
  <c r="BM132" i="3"/>
  <c r="BL132" i="3"/>
  <c r="BK132" i="3"/>
  <c r="BJ132" i="3"/>
  <c r="BI132" i="3"/>
  <c r="BH132" i="3"/>
  <c r="BG132" i="3"/>
  <c r="BF132" i="3"/>
  <c r="BE132" i="3"/>
  <c r="BD132" i="3"/>
  <c r="BC132" i="3"/>
  <c r="BB132" i="3"/>
  <c r="BA132" i="3"/>
  <c r="AZ132" i="3"/>
  <c r="AY132" i="3"/>
  <c r="AX132" i="3"/>
  <c r="AW132" i="3"/>
  <c r="AV132" i="3"/>
  <c r="AU132" i="3"/>
  <c r="AT132" i="3"/>
  <c r="AS132" i="3"/>
  <c r="AR132" i="3"/>
  <c r="AQ132" i="3"/>
  <c r="AP132" i="3"/>
  <c r="AO132" i="3"/>
  <c r="AN132" i="3"/>
  <c r="AM132" i="3"/>
  <c r="AL132" i="3"/>
  <c r="AK132" i="3"/>
  <c r="AJ132" i="3"/>
  <c r="AI132" i="3"/>
  <c r="AH132" i="3"/>
  <c r="AG132" i="3"/>
  <c r="AF132" i="3"/>
  <c r="AE132" i="3"/>
  <c r="AD132" i="3"/>
  <c r="AC132" i="3"/>
  <c r="AB132" i="3"/>
  <c r="AA132" i="3"/>
  <c r="H132" i="3"/>
  <c r="BZ131" i="3"/>
  <c r="BY131" i="3"/>
  <c r="BX131" i="3"/>
  <c r="BW131" i="3"/>
  <c r="BV131" i="3"/>
  <c r="BU131" i="3"/>
  <c r="BT131" i="3"/>
  <c r="BS131" i="3"/>
  <c r="BR131" i="3"/>
  <c r="BQ131" i="3"/>
  <c r="BP131" i="3"/>
  <c r="BO131" i="3"/>
  <c r="BN131" i="3"/>
  <c r="BM131" i="3"/>
  <c r="BL131" i="3"/>
  <c r="BK131" i="3"/>
  <c r="BJ131" i="3"/>
  <c r="BI131" i="3"/>
  <c r="BH131" i="3"/>
  <c r="BG131" i="3"/>
  <c r="BF131" i="3"/>
  <c r="BE131" i="3"/>
  <c r="BD131" i="3"/>
  <c r="BC131" i="3"/>
  <c r="BB131" i="3"/>
  <c r="BA131" i="3"/>
  <c r="AZ131" i="3"/>
  <c r="AY131" i="3"/>
  <c r="AX131" i="3"/>
  <c r="AW131" i="3"/>
  <c r="AV131" i="3"/>
  <c r="AU131" i="3"/>
  <c r="AT131" i="3"/>
  <c r="AS131" i="3"/>
  <c r="AR131" i="3"/>
  <c r="AQ131" i="3"/>
  <c r="AP131" i="3"/>
  <c r="AO131" i="3"/>
  <c r="AN131" i="3"/>
  <c r="AM131" i="3"/>
  <c r="AL131" i="3"/>
  <c r="AK131" i="3"/>
  <c r="AJ131" i="3"/>
  <c r="AI131" i="3"/>
  <c r="AH131" i="3"/>
  <c r="AG131" i="3"/>
  <c r="AF131" i="3"/>
  <c r="AE131" i="3"/>
  <c r="AD131" i="3"/>
  <c r="AC131" i="3"/>
  <c r="AB131" i="3"/>
  <c r="AA131" i="3"/>
  <c r="H131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H130" i="3"/>
  <c r="BZ129" i="3"/>
  <c r="BY129" i="3"/>
  <c r="BX129" i="3"/>
  <c r="BW129" i="3"/>
  <c r="BV129" i="3"/>
  <c r="BU129" i="3"/>
  <c r="BT129" i="3"/>
  <c r="BS129" i="3"/>
  <c r="BR129" i="3"/>
  <c r="BQ129" i="3"/>
  <c r="BP129" i="3"/>
  <c r="BO129" i="3"/>
  <c r="BN129" i="3"/>
  <c r="BM129" i="3"/>
  <c r="BL129" i="3"/>
  <c r="BK129" i="3"/>
  <c r="BJ129" i="3"/>
  <c r="BI129" i="3"/>
  <c r="BH129" i="3"/>
  <c r="BG129" i="3"/>
  <c r="BF129" i="3"/>
  <c r="BE129" i="3"/>
  <c r="BD129" i="3"/>
  <c r="BC129" i="3"/>
  <c r="BB129" i="3"/>
  <c r="BA129" i="3"/>
  <c r="AZ129" i="3"/>
  <c r="AY129" i="3"/>
  <c r="AX129" i="3"/>
  <c r="AW129" i="3"/>
  <c r="AV129" i="3"/>
  <c r="AU129" i="3"/>
  <c r="AT129" i="3"/>
  <c r="AS129" i="3"/>
  <c r="AR129" i="3"/>
  <c r="AQ129" i="3"/>
  <c r="AP129" i="3"/>
  <c r="AO129" i="3"/>
  <c r="AN129" i="3"/>
  <c r="AM129" i="3"/>
  <c r="AL129" i="3"/>
  <c r="AK129" i="3"/>
  <c r="AJ129" i="3"/>
  <c r="AI129" i="3"/>
  <c r="AH129" i="3"/>
  <c r="AG129" i="3"/>
  <c r="AF129" i="3"/>
  <c r="AE129" i="3"/>
  <c r="AD129" i="3"/>
  <c r="AC129" i="3"/>
  <c r="AB129" i="3"/>
  <c r="AA129" i="3"/>
  <c r="H129" i="3"/>
  <c r="BZ128" i="3"/>
  <c r="BY128" i="3"/>
  <c r="BX128" i="3"/>
  <c r="BW128" i="3"/>
  <c r="BV128" i="3"/>
  <c r="BU128" i="3"/>
  <c r="BT128" i="3"/>
  <c r="BS128" i="3"/>
  <c r="BR128" i="3"/>
  <c r="BQ128" i="3"/>
  <c r="BP128" i="3"/>
  <c r="BO128" i="3"/>
  <c r="BN128" i="3"/>
  <c r="BM128" i="3"/>
  <c r="BL128" i="3"/>
  <c r="BK128" i="3"/>
  <c r="BJ128" i="3"/>
  <c r="BI128" i="3"/>
  <c r="BH128" i="3"/>
  <c r="BG128" i="3"/>
  <c r="BF128" i="3"/>
  <c r="BE128" i="3"/>
  <c r="BD128" i="3"/>
  <c r="BC128" i="3"/>
  <c r="BB128" i="3"/>
  <c r="BA128" i="3"/>
  <c r="AZ128" i="3"/>
  <c r="AY128" i="3"/>
  <c r="AX128" i="3"/>
  <c r="AW128" i="3"/>
  <c r="AV128" i="3"/>
  <c r="AU128" i="3"/>
  <c r="AT128" i="3"/>
  <c r="AS128" i="3"/>
  <c r="AR128" i="3"/>
  <c r="AQ128" i="3"/>
  <c r="AP128" i="3"/>
  <c r="AO128" i="3"/>
  <c r="AN128" i="3"/>
  <c r="AM128" i="3"/>
  <c r="AL128" i="3"/>
  <c r="AK128" i="3"/>
  <c r="AJ128" i="3"/>
  <c r="AI128" i="3"/>
  <c r="AH128" i="3"/>
  <c r="AG128" i="3"/>
  <c r="AF128" i="3"/>
  <c r="AE128" i="3"/>
  <c r="AD128" i="3"/>
  <c r="AC128" i="3"/>
  <c r="AB128" i="3"/>
  <c r="AA128" i="3"/>
  <c r="H128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H127" i="3"/>
  <c r="BZ126" i="3"/>
  <c r="BY126" i="3"/>
  <c r="BX126" i="3"/>
  <c r="BW126" i="3"/>
  <c r="BV126" i="3"/>
  <c r="BU126" i="3"/>
  <c r="BT126" i="3"/>
  <c r="BS126" i="3"/>
  <c r="BR126" i="3"/>
  <c r="BQ126" i="3"/>
  <c r="BP126" i="3"/>
  <c r="BO126" i="3"/>
  <c r="BN126" i="3"/>
  <c r="BM126" i="3"/>
  <c r="BL126" i="3"/>
  <c r="BK126" i="3"/>
  <c r="BJ126" i="3"/>
  <c r="BI126" i="3"/>
  <c r="BH126" i="3"/>
  <c r="BG126" i="3"/>
  <c r="BF126" i="3"/>
  <c r="BE126" i="3"/>
  <c r="BD126" i="3"/>
  <c r="BC126" i="3"/>
  <c r="BB126" i="3"/>
  <c r="BA126" i="3"/>
  <c r="AZ126" i="3"/>
  <c r="AY126" i="3"/>
  <c r="AX126" i="3"/>
  <c r="AW126" i="3"/>
  <c r="AV126" i="3"/>
  <c r="AU126" i="3"/>
  <c r="AT126" i="3"/>
  <c r="AS126" i="3"/>
  <c r="AR126" i="3"/>
  <c r="AQ126" i="3"/>
  <c r="AP126" i="3"/>
  <c r="AO126" i="3"/>
  <c r="AN126" i="3"/>
  <c r="AM126" i="3"/>
  <c r="AL126" i="3"/>
  <c r="AK126" i="3"/>
  <c r="AJ126" i="3"/>
  <c r="AI126" i="3"/>
  <c r="AH126" i="3"/>
  <c r="AG126" i="3"/>
  <c r="AF126" i="3"/>
  <c r="AE126" i="3"/>
  <c r="AD126" i="3"/>
  <c r="AC126" i="3"/>
  <c r="AB126" i="3"/>
  <c r="AA126" i="3"/>
  <c r="H126" i="3"/>
  <c r="BZ125" i="3"/>
  <c r="BY125" i="3"/>
  <c r="BX125" i="3"/>
  <c r="BW125" i="3"/>
  <c r="BV125" i="3"/>
  <c r="BU125" i="3"/>
  <c r="BT125" i="3"/>
  <c r="BS125" i="3"/>
  <c r="BR125" i="3"/>
  <c r="BQ125" i="3"/>
  <c r="BP125" i="3"/>
  <c r="BO125" i="3"/>
  <c r="BN125" i="3"/>
  <c r="BM125" i="3"/>
  <c r="BL125" i="3"/>
  <c r="BK125" i="3"/>
  <c r="BJ125" i="3"/>
  <c r="BI125" i="3"/>
  <c r="BH125" i="3"/>
  <c r="BG125" i="3"/>
  <c r="BF125" i="3"/>
  <c r="BE125" i="3"/>
  <c r="BD125" i="3"/>
  <c r="BC125" i="3"/>
  <c r="BB125" i="3"/>
  <c r="BA125" i="3"/>
  <c r="AZ125" i="3"/>
  <c r="AY125" i="3"/>
  <c r="AX125" i="3"/>
  <c r="AW125" i="3"/>
  <c r="AV125" i="3"/>
  <c r="AU125" i="3"/>
  <c r="AT125" i="3"/>
  <c r="AS125" i="3"/>
  <c r="AR125" i="3"/>
  <c r="AQ125" i="3"/>
  <c r="AP125" i="3"/>
  <c r="AO125" i="3"/>
  <c r="AN125" i="3"/>
  <c r="AM125" i="3"/>
  <c r="AL125" i="3"/>
  <c r="AK125" i="3"/>
  <c r="AJ125" i="3"/>
  <c r="AI125" i="3"/>
  <c r="AH125" i="3"/>
  <c r="AG125" i="3"/>
  <c r="AF125" i="3"/>
  <c r="AE125" i="3"/>
  <c r="AD125" i="3"/>
  <c r="AC125" i="3"/>
  <c r="AB125" i="3"/>
  <c r="AA125" i="3"/>
  <c r="H125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H124" i="3"/>
  <c r="BZ123" i="3"/>
  <c r="BY123" i="3"/>
  <c r="BX123" i="3"/>
  <c r="BW123" i="3"/>
  <c r="BV123" i="3"/>
  <c r="BU123" i="3"/>
  <c r="BT123" i="3"/>
  <c r="BS123" i="3"/>
  <c r="BR123" i="3"/>
  <c r="BQ123" i="3"/>
  <c r="BP123" i="3"/>
  <c r="BO123" i="3"/>
  <c r="BN123" i="3"/>
  <c r="BM123" i="3"/>
  <c r="BL123" i="3"/>
  <c r="BK123" i="3"/>
  <c r="BJ123" i="3"/>
  <c r="BI123" i="3"/>
  <c r="BH123" i="3"/>
  <c r="BG123" i="3"/>
  <c r="BF123" i="3"/>
  <c r="BE123" i="3"/>
  <c r="BD123" i="3"/>
  <c r="BC123" i="3"/>
  <c r="BB123" i="3"/>
  <c r="BA123" i="3"/>
  <c r="AZ123" i="3"/>
  <c r="AY123" i="3"/>
  <c r="AX123" i="3"/>
  <c r="AW123" i="3"/>
  <c r="AV123" i="3"/>
  <c r="AU123" i="3"/>
  <c r="AT123" i="3"/>
  <c r="AS123" i="3"/>
  <c r="AR123" i="3"/>
  <c r="AQ123" i="3"/>
  <c r="AP123" i="3"/>
  <c r="AO123" i="3"/>
  <c r="AN123" i="3"/>
  <c r="AM123" i="3"/>
  <c r="AL123" i="3"/>
  <c r="AK123" i="3"/>
  <c r="AJ123" i="3"/>
  <c r="AI123" i="3"/>
  <c r="AH123" i="3"/>
  <c r="AG123" i="3"/>
  <c r="AF123" i="3"/>
  <c r="AE123" i="3"/>
  <c r="AD123" i="3"/>
  <c r="AC123" i="3"/>
  <c r="AB123" i="3"/>
  <c r="AA123" i="3"/>
  <c r="H123" i="3"/>
  <c r="BZ122" i="3"/>
  <c r="BY122" i="3"/>
  <c r="BX122" i="3"/>
  <c r="BW122" i="3"/>
  <c r="BV122" i="3"/>
  <c r="BU122" i="3"/>
  <c r="BT122" i="3"/>
  <c r="BS122" i="3"/>
  <c r="BR122" i="3"/>
  <c r="BQ122" i="3"/>
  <c r="BP122" i="3"/>
  <c r="BO122" i="3"/>
  <c r="BN122" i="3"/>
  <c r="BM122" i="3"/>
  <c r="BL122" i="3"/>
  <c r="BK122" i="3"/>
  <c r="BJ122" i="3"/>
  <c r="BI122" i="3"/>
  <c r="BH122" i="3"/>
  <c r="BG122" i="3"/>
  <c r="BF122" i="3"/>
  <c r="BE122" i="3"/>
  <c r="BD122" i="3"/>
  <c r="BC122" i="3"/>
  <c r="BB122" i="3"/>
  <c r="BA122" i="3"/>
  <c r="AZ122" i="3"/>
  <c r="AY122" i="3"/>
  <c r="AX122" i="3"/>
  <c r="AW122" i="3"/>
  <c r="AV122" i="3"/>
  <c r="AU122" i="3"/>
  <c r="AT122" i="3"/>
  <c r="AS122" i="3"/>
  <c r="AR122" i="3"/>
  <c r="AQ122" i="3"/>
  <c r="AP122" i="3"/>
  <c r="AO122" i="3"/>
  <c r="AN122" i="3"/>
  <c r="AM122" i="3"/>
  <c r="AL122" i="3"/>
  <c r="AK122" i="3"/>
  <c r="AJ122" i="3"/>
  <c r="AI122" i="3"/>
  <c r="AH122" i="3"/>
  <c r="AG122" i="3"/>
  <c r="AF122" i="3"/>
  <c r="AE122" i="3"/>
  <c r="AD122" i="3"/>
  <c r="AC122" i="3"/>
  <c r="AB122" i="3"/>
  <c r="AA122" i="3"/>
  <c r="H122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H121" i="3"/>
  <c r="BZ120" i="3"/>
  <c r="BY120" i="3"/>
  <c r="BX120" i="3"/>
  <c r="BW120" i="3"/>
  <c r="BV120" i="3"/>
  <c r="BU120" i="3"/>
  <c r="BT120" i="3"/>
  <c r="BS120" i="3"/>
  <c r="BR120" i="3"/>
  <c r="BQ120" i="3"/>
  <c r="BP120" i="3"/>
  <c r="BO120" i="3"/>
  <c r="BN120" i="3"/>
  <c r="BM120" i="3"/>
  <c r="BL120" i="3"/>
  <c r="BK120" i="3"/>
  <c r="BJ120" i="3"/>
  <c r="BI120" i="3"/>
  <c r="BH120" i="3"/>
  <c r="BG120" i="3"/>
  <c r="BF120" i="3"/>
  <c r="BE120" i="3"/>
  <c r="BD120" i="3"/>
  <c r="BC120" i="3"/>
  <c r="BB120" i="3"/>
  <c r="BA120" i="3"/>
  <c r="AZ120" i="3"/>
  <c r="AY120" i="3"/>
  <c r="AX120" i="3"/>
  <c r="AW120" i="3"/>
  <c r="AV120" i="3"/>
  <c r="AU120" i="3"/>
  <c r="AT120" i="3"/>
  <c r="AS120" i="3"/>
  <c r="AR120" i="3"/>
  <c r="AQ120" i="3"/>
  <c r="AP120" i="3"/>
  <c r="AO120" i="3"/>
  <c r="AN120" i="3"/>
  <c r="AM120" i="3"/>
  <c r="AL120" i="3"/>
  <c r="AK120" i="3"/>
  <c r="AJ120" i="3"/>
  <c r="AI120" i="3"/>
  <c r="AH120" i="3"/>
  <c r="AG120" i="3"/>
  <c r="AF120" i="3"/>
  <c r="AE120" i="3"/>
  <c r="AD120" i="3"/>
  <c r="AC120" i="3"/>
  <c r="AB120" i="3"/>
  <c r="AA120" i="3"/>
  <c r="H120" i="3"/>
  <c r="BZ119" i="3"/>
  <c r="BY119" i="3"/>
  <c r="BX119" i="3"/>
  <c r="BW119" i="3"/>
  <c r="BV119" i="3"/>
  <c r="BU119" i="3"/>
  <c r="BT119" i="3"/>
  <c r="BS119" i="3"/>
  <c r="BR119" i="3"/>
  <c r="BQ119" i="3"/>
  <c r="BP119" i="3"/>
  <c r="BO119" i="3"/>
  <c r="BN119" i="3"/>
  <c r="BM119" i="3"/>
  <c r="BL119" i="3"/>
  <c r="BK119" i="3"/>
  <c r="BJ119" i="3"/>
  <c r="BI119" i="3"/>
  <c r="BH119" i="3"/>
  <c r="BG119" i="3"/>
  <c r="BF119" i="3"/>
  <c r="BE119" i="3"/>
  <c r="BD119" i="3"/>
  <c r="BC119" i="3"/>
  <c r="BB119" i="3"/>
  <c r="BA119" i="3"/>
  <c r="AZ119" i="3"/>
  <c r="AY119" i="3"/>
  <c r="AX119" i="3"/>
  <c r="AW119" i="3"/>
  <c r="AV119" i="3"/>
  <c r="AU119" i="3"/>
  <c r="AT119" i="3"/>
  <c r="AS119" i="3"/>
  <c r="AR119" i="3"/>
  <c r="AQ119" i="3"/>
  <c r="AP119" i="3"/>
  <c r="AO119" i="3"/>
  <c r="AN119" i="3"/>
  <c r="AM119" i="3"/>
  <c r="AL119" i="3"/>
  <c r="AK119" i="3"/>
  <c r="AJ119" i="3"/>
  <c r="AI119" i="3"/>
  <c r="AH119" i="3"/>
  <c r="AG119" i="3"/>
  <c r="AF119" i="3"/>
  <c r="AE119" i="3"/>
  <c r="AD119" i="3"/>
  <c r="AC119" i="3"/>
  <c r="AB119" i="3"/>
  <c r="AA119" i="3"/>
  <c r="H119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H118" i="3"/>
  <c r="BZ117" i="3"/>
  <c r="BY117" i="3"/>
  <c r="BX117" i="3"/>
  <c r="BW117" i="3"/>
  <c r="BV117" i="3"/>
  <c r="BU117" i="3"/>
  <c r="BT117" i="3"/>
  <c r="BS117" i="3"/>
  <c r="BR117" i="3"/>
  <c r="BQ117" i="3"/>
  <c r="BP117" i="3"/>
  <c r="BO117" i="3"/>
  <c r="BN117" i="3"/>
  <c r="BM117" i="3"/>
  <c r="BL117" i="3"/>
  <c r="BK117" i="3"/>
  <c r="BJ117" i="3"/>
  <c r="BI117" i="3"/>
  <c r="BH117" i="3"/>
  <c r="BG117" i="3"/>
  <c r="BF117" i="3"/>
  <c r="BE117" i="3"/>
  <c r="BD117" i="3"/>
  <c r="BC117" i="3"/>
  <c r="BB117" i="3"/>
  <c r="BA117" i="3"/>
  <c r="AZ117" i="3"/>
  <c r="AY117" i="3"/>
  <c r="AX117" i="3"/>
  <c r="AW117" i="3"/>
  <c r="AV117" i="3"/>
  <c r="AU117" i="3"/>
  <c r="AT117" i="3"/>
  <c r="AS117" i="3"/>
  <c r="AR117" i="3"/>
  <c r="AQ117" i="3"/>
  <c r="AP117" i="3"/>
  <c r="AO117" i="3"/>
  <c r="AN117" i="3"/>
  <c r="AM117" i="3"/>
  <c r="AL117" i="3"/>
  <c r="AK117" i="3"/>
  <c r="AJ117" i="3"/>
  <c r="AI117" i="3"/>
  <c r="AH117" i="3"/>
  <c r="AG117" i="3"/>
  <c r="AF117" i="3"/>
  <c r="AE117" i="3"/>
  <c r="AD117" i="3"/>
  <c r="AC117" i="3"/>
  <c r="AB117" i="3"/>
  <c r="AA117" i="3"/>
  <c r="H117" i="3"/>
  <c r="BZ116" i="3"/>
  <c r="BY116" i="3"/>
  <c r="BX116" i="3"/>
  <c r="BW116" i="3"/>
  <c r="BV116" i="3"/>
  <c r="BU116" i="3"/>
  <c r="BT116" i="3"/>
  <c r="BS116" i="3"/>
  <c r="BR116" i="3"/>
  <c r="BQ116" i="3"/>
  <c r="BP116" i="3"/>
  <c r="BO116" i="3"/>
  <c r="BN116" i="3"/>
  <c r="BM116" i="3"/>
  <c r="BL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H116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H115" i="3"/>
  <c r="BZ114" i="3"/>
  <c r="BY114" i="3"/>
  <c r="BX114" i="3"/>
  <c r="BW114" i="3"/>
  <c r="BV114" i="3"/>
  <c r="BU114" i="3"/>
  <c r="BT114" i="3"/>
  <c r="BS114" i="3"/>
  <c r="BR114" i="3"/>
  <c r="BQ114" i="3"/>
  <c r="BP114" i="3"/>
  <c r="BO114" i="3"/>
  <c r="BN114" i="3"/>
  <c r="BM114" i="3"/>
  <c r="BL114" i="3"/>
  <c r="BK114" i="3"/>
  <c r="BJ114" i="3"/>
  <c r="BI114" i="3"/>
  <c r="BH114" i="3"/>
  <c r="BG114" i="3"/>
  <c r="BF114" i="3"/>
  <c r="BE114" i="3"/>
  <c r="BD114" i="3"/>
  <c r="BC114" i="3"/>
  <c r="BB114" i="3"/>
  <c r="BA114" i="3"/>
  <c r="AZ114" i="3"/>
  <c r="AY114" i="3"/>
  <c r="AX114" i="3"/>
  <c r="AW114" i="3"/>
  <c r="AV114" i="3"/>
  <c r="AU114" i="3"/>
  <c r="AT114" i="3"/>
  <c r="AS114" i="3"/>
  <c r="AR114" i="3"/>
  <c r="AQ114" i="3"/>
  <c r="AP114" i="3"/>
  <c r="AO114" i="3"/>
  <c r="AN114" i="3"/>
  <c r="AM114" i="3"/>
  <c r="AL114" i="3"/>
  <c r="AK114" i="3"/>
  <c r="AJ114" i="3"/>
  <c r="AI114" i="3"/>
  <c r="AH114" i="3"/>
  <c r="AG114" i="3"/>
  <c r="AF114" i="3"/>
  <c r="AE114" i="3"/>
  <c r="AD114" i="3"/>
  <c r="AC114" i="3"/>
  <c r="AB114" i="3"/>
  <c r="AA114" i="3"/>
  <c r="H114" i="3"/>
  <c r="BZ113" i="3"/>
  <c r="BY113" i="3"/>
  <c r="BX113" i="3"/>
  <c r="BW113" i="3"/>
  <c r="BV113" i="3"/>
  <c r="BU113" i="3"/>
  <c r="BT113" i="3"/>
  <c r="BS113" i="3"/>
  <c r="BR113" i="3"/>
  <c r="BQ113" i="3"/>
  <c r="BP113" i="3"/>
  <c r="BO113" i="3"/>
  <c r="BN113" i="3"/>
  <c r="BM113" i="3"/>
  <c r="BL113" i="3"/>
  <c r="BK113" i="3"/>
  <c r="BJ113" i="3"/>
  <c r="BI113" i="3"/>
  <c r="BH113" i="3"/>
  <c r="BG113" i="3"/>
  <c r="BF113" i="3"/>
  <c r="BE113" i="3"/>
  <c r="BD113" i="3"/>
  <c r="BC113" i="3"/>
  <c r="BB113" i="3"/>
  <c r="BA113" i="3"/>
  <c r="AZ113" i="3"/>
  <c r="AY113" i="3"/>
  <c r="AX113" i="3"/>
  <c r="AW113" i="3"/>
  <c r="AV113" i="3"/>
  <c r="AU113" i="3"/>
  <c r="AT113" i="3"/>
  <c r="AS113" i="3"/>
  <c r="AR113" i="3"/>
  <c r="AQ113" i="3"/>
  <c r="AP113" i="3"/>
  <c r="AO113" i="3"/>
  <c r="AN113" i="3"/>
  <c r="AM113" i="3"/>
  <c r="AL113" i="3"/>
  <c r="AK113" i="3"/>
  <c r="AJ113" i="3"/>
  <c r="AI113" i="3"/>
  <c r="AH113" i="3"/>
  <c r="AG113" i="3"/>
  <c r="AF113" i="3"/>
  <c r="AE113" i="3"/>
  <c r="AD113" i="3"/>
  <c r="AC113" i="3"/>
  <c r="AB113" i="3"/>
  <c r="AA113" i="3"/>
  <c r="H113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H112" i="3"/>
  <c r="BZ111" i="3"/>
  <c r="BY111" i="3"/>
  <c r="BX111" i="3"/>
  <c r="BW111" i="3"/>
  <c r="BV111" i="3"/>
  <c r="BU111" i="3"/>
  <c r="BT111" i="3"/>
  <c r="BS111" i="3"/>
  <c r="BR111" i="3"/>
  <c r="BQ111" i="3"/>
  <c r="BP111" i="3"/>
  <c r="BO111" i="3"/>
  <c r="BN111" i="3"/>
  <c r="BM111" i="3"/>
  <c r="BL111" i="3"/>
  <c r="BK111" i="3"/>
  <c r="BJ111" i="3"/>
  <c r="BI111" i="3"/>
  <c r="BH111" i="3"/>
  <c r="BG111" i="3"/>
  <c r="BF111" i="3"/>
  <c r="BE111" i="3"/>
  <c r="BD111" i="3"/>
  <c r="BC111" i="3"/>
  <c r="BB111" i="3"/>
  <c r="BA111" i="3"/>
  <c r="AZ111" i="3"/>
  <c r="AY111" i="3"/>
  <c r="AX111" i="3"/>
  <c r="AW111" i="3"/>
  <c r="AV111" i="3"/>
  <c r="AU111" i="3"/>
  <c r="AT111" i="3"/>
  <c r="AS111" i="3"/>
  <c r="AR111" i="3"/>
  <c r="AQ111" i="3"/>
  <c r="AP111" i="3"/>
  <c r="AO111" i="3"/>
  <c r="AN111" i="3"/>
  <c r="AM111" i="3"/>
  <c r="AL111" i="3"/>
  <c r="AK111" i="3"/>
  <c r="AJ111" i="3"/>
  <c r="AI111" i="3"/>
  <c r="AH111" i="3"/>
  <c r="AG111" i="3"/>
  <c r="AF111" i="3"/>
  <c r="AE111" i="3"/>
  <c r="AD111" i="3"/>
  <c r="AC111" i="3"/>
  <c r="AB111" i="3"/>
  <c r="AA111" i="3"/>
  <c r="H111" i="3"/>
  <c r="BZ110" i="3"/>
  <c r="BY110" i="3"/>
  <c r="BX110" i="3"/>
  <c r="BW110" i="3"/>
  <c r="BV110" i="3"/>
  <c r="BU110" i="3"/>
  <c r="BT110" i="3"/>
  <c r="BS110" i="3"/>
  <c r="BR110" i="3"/>
  <c r="BQ110" i="3"/>
  <c r="BP110" i="3"/>
  <c r="BO110" i="3"/>
  <c r="BN110" i="3"/>
  <c r="BM110" i="3"/>
  <c r="BL110" i="3"/>
  <c r="BK110" i="3"/>
  <c r="BJ110" i="3"/>
  <c r="BI110" i="3"/>
  <c r="BH110" i="3"/>
  <c r="BG110" i="3"/>
  <c r="BF110" i="3"/>
  <c r="BE110" i="3"/>
  <c r="BD110" i="3"/>
  <c r="BC110" i="3"/>
  <c r="BB110" i="3"/>
  <c r="BA110" i="3"/>
  <c r="AZ110" i="3"/>
  <c r="AY110" i="3"/>
  <c r="AX110" i="3"/>
  <c r="AW110" i="3"/>
  <c r="AV110" i="3"/>
  <c r="AU110" i="3"/>
  <c r="AT110" i="3"/>
  <c r="AS110" i="3"/>
  <c r="AR110" i="3"/>
  <c r="AQ110" i="3"/>
  <c r="AP110" i="3"/>
  <c r="AO110" i="3"/>
  <c r="AN110" i="3"/>
  <c r="AM110" i="3"/>
  <c r="AL110" i="3"/>
  <c r="AK110" i="3"/>
  <c r="AJ110" i="3"/>
  <c r="AI110" i="3"/>
  <c r="AH110" i="3"/>
  <c r="AG110" i="3"/>
  <c r="AF110" i="3"/>
  <c r="AE110" i="3"/>
  <c r="AD110" i="3"/>
  <c r="AC110" i="3"/>
  <c r="AB110" i="3"/>
  <c r="AA110" i="3"/>
  <c r="H110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H109" i="3"/>
  <c r="BZ108" i="3"/>
  <c r="BY108" i="3"/>
  <c r="BX108" i="3"/>
  <c r="BW108" i="3"/>
  <c r="BV108" i="3"/>
  <c r="BU108" i="3"/>
  <c r="BT108" i="3"/>
  <c r="BS108" i="3"/>
  <c r="BR108" i="3"/>
  <c r="BQ108" i="3"/>
  <c r="BP108" i="3"/>
  <c r="BO108" i="3"/>
  <c r="BN108" i="3"/>
  <c r="BM108" i="3"/>
  <c r="BL108" i="3"/>
  <c r="BK108" i="3"/>
  <c r="BJ108" i="3"/>
  <c r="BI108" i="3"/>
  <c r="BH108" i="3"/>
  <c r="BG108" i="3"/>
  <c r="BF108" i="3"/>
  <c r="BE108" i="3"/>
  <c r="BD108" i="3"/>
  <c r="BC108" i="3"/>
  <c r="BB108" i="3"/>
  <c r="BA108" i="3"/>
  <c r="AZ108" i="3"/>
  <c r="AY108" i="3"/>
  <c r="AX108" i="3"/>
  <c r="AW108" i="3"/>
  <c r="AV108" i="3"/>
  <c r="AU108" i="3"/>
  <c r="AT108" i="3"/>
  <c r="AS108" i="3"/>
  <c r="AR108" i="3"/>
  <c r="AQ108" i="3"/>
  <c r="AP108" i="3"/>
  <c r="AO108" i="3"/>
  <c r="AN108" i="3"/>
  <c r="AM108" i="3"/>
  <c r="AL108" i="3"/>
  <c r="AK108" i="3"/>
  <c r="AJ108" i="3"/>
  <c r="AI108" i="3"/>
  <c r="AH108" i="3"/>
  <c r="AG108" i="3"/>
  <c r="AF108" i="3"/>
  <c r="AE108" i="3"/>
  <c r="AD108" i="3"/>
  <c r="AC108" i="3"/>
  <c r="AB108" i="3"/>
  <c r="AA108" i="3"/>
  <c r="H108" i="3"/>
  <c r="BZ107" i="3"/>
  <c r="BY107" i="3"/>
  <c r="BX107" i="3"/>
  <c r="BW107" i="3"/>
  <c r="BV107" i="3"/>
  <c r="BU107" i="3"/>
  <c r="BT107" i="3"/>
  <c r="BS107" i="3"/>
  <c r="BR107" i="3"/>
  <c r="BQ107" i="3"/>
  <c r="BP107" i="3"/>
  <c r="BO107" i="3"/>
  <c r="BN107" i="3"/>
  <c r="BM107" i="3"/>
  <c r="BL107" i="3"/>
  <c r="BK107" i="3"/>
  <c r="BJ107" i="3"/>
  <c r="BI107" i="3"/>
  <c r="BH107" i="3"/>
  <c r="BG107" i="3"/>
  <c r="BF107" i="3"/>
  <c r="BE107" i="3"/>
  <c r="BD107" i="3"/>
  <c r="BC107" i="3"/>
  <c r="BB107" i="3"/>
  <c r="BA107" i="3"/>
  <c r="AZ107" i="3"/>
  <c r="AY107" i="3"/>
  <c r="AX107" i="3"/>
  <c r="AW107" i="3"/>
  <c r="AV107" i="3"/>
  <c r="AU107" i="3"/>
  <c r="AT107" i="3"/>
  <c r="AS107" i="3"/>
  <c r="AR107" i="3"/>
  <c r="AQ107" i="3"/>
  <c r="AP107" i="3"/>
  <c r="AO107" i="3"/>
  <c r="AN107" i="3"/>
  <c r="AM107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H107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H106" i="3"/>
  <c r="BZ105" i="3"/>
  <c r="BY105" i="3"/>
  <c r="BX105" i="3"/>
  <c r="BW105" i="3"/>
  <c r="BV105" i="3"/>
  <c r="BU105" i="3"/>
  <c r="BT105" i="3"/>
  <c r="BS105" i="3"/>
  <c r="BR105" i="3"/>
  <c r="BQ105" i="3"/>
  <c r="BP105" i="3"/>
  <c r="BO105" i="3"/>
  <c r="BN105" i="3"/>
  <c r="BM105" i="3"/>
  <c r="BL105" i="3"/>
  <c r="BK105" i="3"/>
  <c r="BJ105" i="3"/>
  <c r="BI105" i="3"/>
  <c r="BH105" i="3"/>
  <c r="BG105" i="3"/>
  <c r="BF105" i="3"/>
  <c r="BE105" i="3"/>
  <c r="BD105" i="3"/>
  <c r="BC105" i="3"/>
  <c r="BB105" i="3"/>
  <c r="BA105" i="3"/>
  <c r="AZ105" i="3"/>
  <c r="AY105" i="3"/>
  <c r="AX105" i="3"/>
  <c r="AW105" i="3"/>
  <c r="AV105" i="3"/>
  <c r="AU105" i="3"/>
  <c r="AT105" i="3"/>
  <c r="AS105" i="3"/>
  <c r="AR105" i="3"/>
  <c r="AQ105" i="3"/>
  <c r="AP105" i="3"/>
  <c r="AO105" i="3"/>
  <c r="AN105" i="3"/>
  <c r="AM105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H105" i="3"/>
  <c r="BZ104" i="3"/>
  <c r="BY104" i="3"/>
  <c r="BX104" i="3"/>
  <c r="BW104" i="3"/>
  <c r="BV104" i="3"/>
  <c r="BU104" i="3"/>
  <c r="BT104" i="3"/>
  <c r="BS104" i="3"/>
  <c r="BR104" i="3"/>
  <c r="BQ104" i="3"/>
  <c r="BP104" i="3"/>
  <c r="BO104" i="3"/>
  <c r="BN104" i="3"/>
  <c r="BM104" i="3"/>
  <c r="BL104" i="3"/>
  <c r="BK104" i="3"/>
  <c r="BJ104" i="3"/>
  <c r="BI104" i="3"/>
  <c r="BH104" i="3"/>
  <c r="BG104" i="3"/>
  <c r="BF104" i="3"/>
  <c r="BE104" i="3"/>
  <c r="BD104" i="3"/>
  <c r="BC104" i="3"/>
  <c r="BB104" i="3"/>
  <c r="BA104" i="3"/>
  <c r="AZ104" i="3"/>
  <c r="AY104" i="3"/>
  <c r="AX104" i="3"/>
  <c r="AW104" i="3"/>
  <c r="AV104" i="3"/>
  <c r="AU104" i="3"/>
  <c r="AT104" i="3"/>
  <c r="AS104" i="3"/>
  <c r="AR104" i="3"/>
  <c r="AQ104" i="3"/>
  <c r="AP104" i="3"/>
  <c r="AO104" i="3"/>
  <c r="AN104" i="3"/>
  <c r="AM104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H104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H103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H102" i="3"/>
  <c r="BZ101" i="3"/>
  <c r="BY101" i="3"/>
  <c r="BX101" i="3"/>
  <c r="BW101" i="3"/>
  <c r="BV101" i="3"/>
  <c r="BU101" i="3"/>
  <c r="BT101" i="3"/>
  <c r="BS101" i="3"/>
  <c r="BR101" i="3"/>
  <c r="BQ101" i="3"/>
  <c r="BP101" i="3"/>
  <c r="BO101" i="3"/>
  <c r="BN101" i="3"/>
  <c r="BM101" i="3"/>
  <c r="BL101" i="3"/>
  <c r="BK101" i="3"/>
  <c r="BJ101" i="3"/>
  <c r="BI101" i="3"/>
  <c r="BH101" i="3"/>
  <c r="BG101" i="3"/>
  <c r="BF101" i="3"/>
  <c r="BE101" i="3"/>
  <c r="BD101" i="3"/>
  <c r="BC101" i="3"/>
  <c r="BB101" i="3"/>
  <c r="BA101" i="3"/>
  <c r="AZ101" i="3"/>
  <c r="AY101" i="3"/>
  <c r="AX101" i="3"/>
  <c r="AW101" i="3"/>
  <c r="AV101" i="3"/>
  <c r="AU101" i="3"/>
  <c r="AT101" i="3"/>
  <c r="AS101" i="3"/>
  <c r="AR101" i="3"/>
  <c r="AQ101" i="3"/>
  <c r="AP101" i="3"/>
  <c r="AO101" i="3"/>
  <c r="AN101" i="3"/>
  <c r="AM101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H101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H100" i="3"/>
  <c r="BZ99" i="3"/>
  <c r="BY99" i="3"/>
  <c r="BX99" i="3"/>
  <c r="BW99" i="3"/>
  <c r="BV99" i="3"/>
  <c r="BU99" i="3"/>
  <c r="BT99" i="3"/>
  <c r="BS99" i="3"/>
  <c r="BR99" i="3"/>
  <c r="BQ99" i="3"/>
  <c r="BP99" i="3"/>
  <c r="BO99" i="3"/>
  <c r="BN99" i="3"/>
  <c r="BM99" i="3"/>
  <c r="BL99" i="3"/>
  <c r="BK99" i="3"/>
  <c r="BJ99" i="3"/>
  <c r="BI99" i="3"/>
  <c r="BH99" i="3"/>
  <c r="BG99" i="3"/>
  <c r="BF99" i="3"/>
  <c r="BE99" i="3"/>
  <c r="BD99" i="3"/>
  <c r="BC99" i="3"/>
  <c r="BB99" i="3"/>
  <c r="BA99" i="3"/>
  <c r="AZ99" i="3"/>
  <c r="AY99" i="3"/>
  <c r="AX99" i="3"/>
  <c r="AW99" i="3"/>
  <c r="AV99" i="3"/>
  <c r="AU99" i="3"/>
  <c r="AT99" i="3"/>
  <c r="AS99" i="3"/>
  <c r="AR99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A99" i="3"/>
  <c r="H99" i="3"/>
  <c r="BZ98" i="3"/>
  <c r="BY98" i="3"/>
  <c r="BX98" i="3"/>
  <c r="BW98" i="3"/>
  <c r="BV98" i="3"/>
  <c r="BU98" i="3"/>
  <c r="BT98" i="3"/>
  <c r="BS98" i="3"/>
  <c r="BR98" i="3"/>
  <c r="BQ98" i="3"/>
  <c r="BP98" i="3"/>
  <c r="BO98" i="3"/>
  <c r="BN98" i="3"/>
  <c r="BM98" i="3"/>
  <c r="BL98" i="3"/>
  <c r="BK98" i="3"/>
  <c r="BJ98" i="3"/>
  <c r="BI98" i="3"/>
  <c r="BH98" i="3"/>
  <c r="BG98" i="3"/>
  <c r="BF98" i="3"/>
  <c r="BE98" i="3"/>
  <c r="BD98" i="3"/>
  <c r="BC98" i="3"/>
  <c r="BB98" i="3"/>
  <c r="BA98" i="3"/>
  <c r="AZ98" i="3"/>
  <c r="AY98" i="3"/>
  <c r="AX98" i="3"/>
  <c r="AW98" i="3"/>
  <c r="AV98" i="3"/>
  <c r="AU98" i="3"/>
  <c r="AT98" i="3"/>
  <c r="AS98" i="3"/>
  <c r="AR98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H98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H97" i="3"/>
  <c r="BZ96" i="3"/>
  <c r="BY96" i="3"/>
  <c r="BX96" i="3"/>
  <c r="BW96" i="3"/>
  <c r="BV96" i="3"/>
  <c r="BU96" i="3"/>
  <c r="BT96" i="3"/>
  <c r="BS96" i="3"/>
  <c r="BR96" i="3"/>
  <c r="BQ96" i="3"/>
  <c r="BP96" i="3"/>
  <c r="BO96" i="3"/>
  <c r="BN96" i="3"/>
  <c r="BM96" i="3"/>
  <c r="BL96" i="3"/>
  <c r="BK96" i="3"/>
  <c r="BJ96" i="3"/>
  <c r="BI96" i="3"/>
  <c r="BH96" i="3"/>
  <c r="BG96" i="3"/>
  <c r="BF96" i="3"/>
  <c r="BE96" i="3"/>
  <c r="BD96" i="3"/>
  <c r="BC96" i="3"/>
  <c r="BB96" i="3"/>
  <c r="BA96" i="3"/>
  <c r="AZ96" i="3"/>
  <c r="AY96" i="3"/>
  <c r="AX96" i="3"/>
  <c r="AW96" i="3"/>
  <c r="AV96" i="3"/>
  <c r="AU96" i="3"/>
  <c r="AT96" i="3"/>
  <c r="AS96" i="3"/>
  <c r="AR96" i="3"/>
  <c r="AQ96" i="3"/>
  <c r="AP96" i="3"/>
  <c r="AO96" i="3"/>
  <c r="AN96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H96" i="3"/>
  <c r="BZ95" i="3"/>
  <c r="BY95" i="3"/>
  <c r="BX95" i="3"/>
  <c r="BW95" i="3"/>
  <c r="BV95" i="3"/>
  <c r="BU95" i="3"/>
  <c r="BT95" i="3"/>
  <c r="BS95" i="3"/>
  <c r="BR95" i="3"/>
  <c r="BQ95" i="3"/>
  <c r="BP95" i="3"/>
  <c r="BO95" i="3"/>
  <c r="BN95" i="3"/>
  <c r="BM95" i="3"/>
  <c r="BL95" i="3"/>
  <c r="BK95" i="3"/>
  <c r="BJ95" i="3"/>
  <c r="BI95" i="3"/>
  <c r="BH95" i="3"/>
  <c r="BG95" i="3"/>
  <c r="BF95" i="3"/>
  <c r="BE95" i="3"/>
  <c r="BD95" i="3"/>
  <c r="BC95" i="3"/>
  <c r="BB95" i="3"/>
  <c r="BA95" i="3"/>
  <c r="AZ95" i="3"/>
  <c r="AY95" i="3"/>
  <c r="AX95" i="3"/>
  <c r="AW95" i="3"/>
  <c r="AV95" i="3"/>
  <c r="AU95" i="3"/>
  <c r="AT95" i="3"/>
  <c r="AS95" i="3"/>
  <c r="AR95" i="3"/>
  <c r="AQ95" i="3"/>
  <c r="AP95" i="3"/>
  <c r="AO95" i="3"/>
  <c r="AN95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H95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H94" i="3"/>
  <c r="BZ93" i="3"/>
  <c r="BY93" i="3"/>
  <c r="BX93" i="3"/>
  <c r="BW93" i="3"/>
  <c r="BV93" i="3"/>
  <c r="BU93" i="3"/>
  <c r="BT93" i="3"/>
  <c r="BS93" i="3"/>
  <c r="BR93" i="3"/>
  <c r="BQ93" i="3"/>
  <c r="BP93" i="3"/>
  <c r="BO93" i="3"/>
  <c r="BN93" i="3"/>
  <c r="BM93" i="3"/>
  <c r="BL93" i="3"/>
  <c r="BK93" i="3"/>
  <c r="BJ93" i="3"/>
  <c r="BI93" i="3"/>
  <c r="BH93" i="3"/>
  <c r="BG93" i="3"/>
  <c r="BF93" i="3"/>
  <c r="BE93" i="3"/>
  <c r="BD93" i="3"/>
  <c r="BC93" i="3"/>
  <c r="BB93" i="3"/>
  <c r="BA93" i="3"/>
  <c r="AZ93" i="3"/>
  <c r="AY93" i="3"/>
  <c r="AX93" i="3"/>
  <c r="AW93" i="3"/>
  <c r="AV93" i="3"/>
  <c r="AU93" i="3"/>
  <c r="AT93" i="3"/>
  <c r="AS93" i="3"/>
  <c r="AR93" i="3"/>
  <c r="AQ93" i="3"/>
  <c r="AP93" i="3"/>
  <c r="AO93" i="3"/>
  <c r="AN93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H93" i="3"/>
  <c r="BZ92" i="3"/>
  <c r="BY92" i="3"/>
  <c r="BX92" i="3"/>
  <c r="BW92" i="3"/>
  <c r="BV92" i="3"/>
  <c r="BU92" i="3"/>
  <c r="BT92" i="3"/>
  <c r="BS92" i="3"/>
  <c r="BR92" i="3"/>
  <c r="BQ92" i="3"/>
  <c r="BP92" i="3"/>
  <c r="BO92" i="3"/>
  <c r="BN92" i="3"/>
  <c r="BM92" i="3"/>
  <c r="BL92" i="3"/>
  <c r="BK92" i="3"/>
  <c r="BJ92" i="3"/>
  <c r="BI92" i="3"/>
  <c r="BH92" i="3"/>
  <c r="BG92" i="3"/>
  <c r="BF92" i="3"/>
  <c r="BE92" i="3"/>
  <c r="BD92" i="3"/>
  <c r="BC92" i="3"/>
  <c r="BB92" i="3"/>
  <c r="BA92" i="3"/>
  <c r="AZ92" i="3"/>
  <c r="AY92" i="3"/>
  <c r="AX92" i="3"/>
  <c r="AW92" i="3"/>
  <c r="AV92" i="3"/>
  <c r="AU92" i="3"/>
  <c r="AT92" i="3"/>
  <c r="AS92" i="3"/>
  <c r="AR92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H92" i="3"/>
  <c r="BZ91" i="3"/>
  <c r="BY91" i="3"/>
  <c r="BX91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H91" i="3"/>
  <c r="BZ90" i="3"/>
  <c r="BY90" i="3"/>
  <c r="BX90" i="3"/>
  <c r="BW90" i="3"/>
  <c r="BV90" i="3"/>
  <c r="BU90" i="3"/>
  <c r="BT90" i="3"/>
  <c r="BS90" i="3"/>
  <c r="BR90" i="3"/>
  <c r="BQ90" i="3"/>
  <c r="BP90" i="3"/>
  <c r="BO90" i="3"/>
  <c r="BN90" i="3"/>
  <c r="BM90" i="3"/>
  <c r="BL90" i="3"/>
  <c r="BK90" i="3"/>
  <c r="BJ90" i="3"/>
  <c r="BI90" i="3"/>
  <c r="BH90" i="3"/>
  <c r="BG90" i="3"/>
  <c r="BF90" i="3"/>
  <c r="BE90" i="3"/>
  <c r="BD90" i="3"/>
  <c r="BC90" i="3"/>
  <c r="BB90" i="3"/>
  <c r="BA90" i="3"/>
  <c r="AZ90" i="3"/>
  <c r="AY90" i="3"/>
  <c r="AX90" i="3"/>
  <c r="AW90" i="3"/>
  <c r="AV90" i="3"/>
  <c r="AU90" i="3"/>
  <c r="AT90" i="3"/>
  <c r="AS90" i="3"/>
  <c r="AR90" i="3"/>
  <c r="AQ90" i="3"/>
  <c r="AP90" i="3"/>
  <c r="AO90" i="3"/>
  <c r="AN90" i="3"/>
  <c r="AM90" i="3"/>
  <c r="AL90" i="3"/>
  <c r="AK90" i="3"/>
  <c r="AJ90" i="3"/>
  <c r="AI90" i="3"/>
  <c r="AH90" i="3"/>
  <c r="AG90" i="3"/>
  <c r="AF90" i="3"/>
  <c r="AE90" i="3"/>
  <c r="AD90" i="3"/>
  <c r="AC90" i="3"/>
  <c r="AB90" i="3"/>
  <c r="AA90" i="3"/>
  <c r="H90" i="3"/>
  <c r="BZ89" i="3"/>
  <c r="BY89" i="3"/>
  <c r="BX89" i="3"/>
  <c r="BW89" i="3"/>
  <c r="BV89" i="3"/>
  <c r="BU89" i="3"/>
  <c r="BT89" i="3"/>
  <c r="BS89" i="3"/>
  <c r="BR89" i="3"/>
  <c r="BQ89" i="3"/>
  <c r="BP89" i="3"/>
  <c r="BO89" i="3"/>
  <c r="BN89" i="3"/>
  <c r="BM89" i="3"/>
  <c r="BL89" i="3"/>
  <c r="BK89" i="3"/>
  <c r="BJ89" i="3"/>
  <c r="BI89" i="3"/>
  <c r="BH89" i="3"/>
  <c r="BG89" i="3"/>
  <c r="BF89" i="3"/>
  <c r="BE89" i="3"/>
  <c r="BD89" i="3"/>
  <c r="BC89" i="3"/>
  <c r="BB89" i="3"/>
  <c r="BA89" i="3"/>
  <c r="AZ89" i="3"/>
  <c r="AY89" i="3"/>
  <c r="AX89" i="3"/>
  <c r="AW89" i="3"/>
  <c r="AV89" i="3"/>
  <c r="AU89" i="3"/>
  <c r="AT89" i="3"/>
  <c r="AS89" i="3"/>
  <c r="AR89" i="3"/>
  <c r="AQ89" i="3"/>
  <c r="AP89" i="3"/>
  <c r="AO89" i="3"/>
  <c r="AN89" i="3"/>
  <c r="AM89" i="3"/>
  <c r="AL89" i="3"/>
  <c r="AK89" i="3"/>
  <c r="AJ89" i="3"/>
  <c r="AI89" i="3"/>
  <c r="AH89" i="3"/>
  <c r="AG89" i="3"/>
  <c r="AF89" i="3"/>
  <c r="AE89" i="3"/>
  <c r="AD89" i="3"/>
  <c r="AC89" i="3"/>
  <c r="AB89" i="3"/>
  <c r="AA89" i="3"/>
  <c r="H89" i="3"/>
  <c r="BZ88" i="3"/>
  <c r="BY88" i="3"/>
  <c r="BX88" i="3"/>
  <c r="BW88" i="3"/>
  <c r="BV88" i="3"/>
  <c r="BU88" i="3"/>
  <c r="BT88" i="3"/>
  <c r="BS88" i="3"/>
  <c r="BR88" i="3"/>
  <c r="BQ88" i="3"/>
  <c r="BP88" i="3"/>
  <c r="BO88" i="3"/>
  <c r="BN88" i="3"/>
  <c r="BM88" i="3"/>
  <c r="BL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H88" i="3"/>
  <c r="BZ87" i="3"/>
  <c r="BY87" i="3"/>
  <c r="BX87" i="3"/>
  <c r="BW87" i="3"/>
  <c r="BV87" i="3"/>
  <c r="BU87" i="3"/>
  <c r="BT87" i="3"/>
  <c r="BS87" i="3"/>
  <c r="BR87" i="3"/>
  <c r="BQ87" i="3"/>
  <c r="BP87" i="3"/>
  <c r="BO87" i="3"/>
  <c r="BN87" i="3"/>
  <c r="BM87" i="3"/>
  <c r="BL87" i="3"/>
  <c r="BK87" i="3"/>
  <c r="BJ87" i="3"/>
  <c r="BI87" i="3"/>
  <c r="BH87" i="3"/>
  <c r="BG87" i="3"/>
  <c r="BF87" i="3"/>
  <c r="BE87" i="3"/>
  <c r="BD87" i="3"/>
  <c r="BC87" i="3"/>
  <c r="BB87" i="3"/>
  <c r="BA87" i="3"/>
  <c r="AZ87" i="3"/>
  <c r="AY87" i="3"/>
  <c r="AX87" i="3"/>
  <c r="AW87" i="3"/>
  <c r="AV87" i="3"/>
  <c r="AU87" i="3"/>
  <c r="AT87" i="3"/>
  <c r="AS87" i="3"/>
  <c r="AR87" i="3"/>
  <c r="AQ87" i="3"/>
  <c r="AP87" i="3"/>
  <c r="AO87" i="3"/>
  <c r="AN87" i="3"/>
  <c r="AM87" i="3"/>
  <c r="AL87" i="3"/>
  <c r="AK87" i="3"/>
  <c r="AJ87" i="3"/>
  <c r="AI87" i="3"/>
  <c r="AH87" i="3"/>
  <c r="AG87" i="3"/>
  <c r="AF87" i="3"/>
  <c r="AE87" i="3"/>
  <c r="AD87" i="3"/>
  <c r="AC87" i="3"/>
  <c r="AB87" i="3"/>
  <c r="AA87" i="3"/>
  <c r="H87" i="3"/>
  <c r="BZ86" i="3"/>
  <c r="BY86" i="3"/>
  <c r="BX86" i="3"/>
  <c r="BW86" i="3"/>
  <c r="BV86" i="3"/>
  <c r="BU86" i="3"/>
  <c r="BT86" i="3"/>
  <c r="BS86" i="3"/>
  <c r="BR86" i="3"/>
  <c r="BQ86" i="3"/>
  <c r="BP86" i="3"/>
  <c r="BO86" i="3"/>
  <c r="BN86" i="3"/>
  <c r="BM86" i="3"/>
  <c r="BL86" i="3"/>
  <c r="BK86" i="3"/>
  <c r="BJ86" i="3"/>
  <c r="BI86" i="3"/>
  <c r="BH86" i="3"/>
  <c r="BG86" i="3"/>
  <c r="BF86" i="3"/>
  <c r="BE86" i="3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H86" i="3"/>
  <c r="BZ85" i="3"/>
  <c r="BY85" i="3"/>
  <c r="BX85" i="3"/>
  <c r="BW85" i="3"/>
  <c r="BV85" i="3"/>
  <c r="BU85" i="3"/>
  <c r="BT85" i="3"/>
  <c r="BS85" i="3"/>
  <c r="BR85" i="3"/>
  <c r="BQ85" i="3"/>
  <c r="BP85" i="3"/>
  <c r="BO85" i="3"/>
  <c r="BN85" i="3"/>
  <c r="BM85" i="3"/>
  <c r="BL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H85" i="3"/>
  <c r="BZ84" i="3"/>
  <c r="BY84" i="3"/>
  <c r="BX84" i="3"/>
  <c r="BW84" i="3"/>
  <c r="BV84" i="3"/>
  <c r="BU84" i="3"/>
  <c r="BT84" i="3"/>
  <c r="BS84" i="3"/>
  <c r="BR84" i="3"/>
  <c r="BQ84" i="3"/>
  <c r="BP84" i="3"/>
  <c r="BO84" i="3"/>
  <c r="BN84" i="3"/>
  <c r="BM84" i="3"/>
  <c r="BL84" i="3"/>
  <c r="BK84" i="3"/>
  <c r="BJ84" i="3"/>
  <c r="BI84" i="3"/>
  <c r="BH84" i="3"/>
  <c r="BG84" i="3"/>
  <c r="BF84" i="3"/>
  <c r="BE84" i="3"/>
  <c r="BD84" i="3"/>
  <c r="BC84" i="3"/>
  <c r="BB84" i="3"/>
  <c r="BA84" i="3"/>
  <c r="AZ84" i="3"/>
  <c r="AY84" i="3"/>
  <c r="AX84" i="3"/>
  <c r="AW84" i="3"/>
  <c r="AV84" i="3"/>
  <c r="AU84" i="3"/>
  <c r="AT84" i="3"/>
  <c r="AS84" i="3"/>
  <c r="AR84" i="3"/>
  <c r="AQ84" i="3"/>
  <c r="AP84" i="3"/>
  <c r="AO84" i="3"/>
  <c r="AN84" i="3"/>
  <c r="AM84" i="3"/>
  <c r="AL84" i="3"/>
  <c r="AK84" i="3"/>
  <c r="AJ84" i="3"/>
  <c r="AI84" i="3"/>
  <c r="AH84" i="3"/>
  <c r="AG84" i="3"/>
  <c r="AF84" i="3"/>
  <c r="AE84" i="3"/>
  <c r="AD84" i="3"/>
  <c r="AC84" i="3"/>
  <c r="AB84" i="3"/>
  <c r="AA84" i="3"/>
  <c r="H84" i="3"/>
  <c r="BZ83" i="3"/>
  <c r="BY83" i="3"/>
  <c r="BX83" i="3"/>
  <c r="BW83" i="3"/>
  <c r="BV83" i="3"/>
  <c r="BU83" i="3"/>
  <c r="BT83" i="3"/>
  <c r="BS83" i="3"/>
  <c r="BR83" i="3"/>
  <c r="BQ83" i="3"/>
  <c r="BP83" i="3"/>
  <c r="BO83" i="3"/>
  <c r="BN83" i="3"/>
  <c r="BM83" i="3"/>
  <c r="BL83" i="3"/>
  <c r="BK83" i="3"/>
  <c r="BJ83" i="3"/>
  <c r="BI83" i="3"/>
  <c r="BH83" i="3"/>
  <c r="BG83" i="3"/>
  <c r="BF83" i="3"/>
  <c r="BE83" i="3"/>
  <c r="BD83" i="3"/>
  <c r="BC83" i="3"/>
  <c r="BB83" i="3"/>
  <c r="BA83" i="3"/>
  <c r="AZ83" i="3"/>
  <c r="AY83" i="3"/>
  <c r="AX83" i="3"/>
  <c r="AW83" i="3"/>
  <c r="AV83" i="3"/>
  <c r="AU83" i="3"/>
  <c r="AT83" i="3"/>
  <c r="AS83" i="3"/>
  <c r="AR83" i="3"/>
  <c r="AQ83" i="3"/>
  <c r="AP83" i="3"/>
  <c r="AO83" i="3"/>
  <c r="AN83" i="3"/>
  <c r="AM83" i="3"/>
  <c r="AL83" i="3"/>
  <c r="AK83" i="3"/>
  <c r="AJ83" i="3"/>
  <c r="AI83" i="3"/>
  <c r="AH83" i="3"/>
  <c r="AG83" i="3"/>
  <c r="AF83" i="3"/>
  <c r="AE83" i="3"/>
  <c r="AD83" i="3"/>
  <c r="AC83" i="3"/>
  <c r="AB83" i="3"/>
  <c r="AA83" i="3"/>
  <c r="H83" i="3"/>
  <c r="BZ82" i="3"/>
  <c r="BY82" i="3"/>
  <c r="BX82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H82" i="3"/>
  <c r="BZ81" i="3"/>
  <c r="BY81" i="3"/>
  <c r="BX81" i="3"/>
  <c r="BW81" i="3"/>
  <c r="BV81" i="3"/>
  <c r="BU81" i="3"/>
  <c r="BT81" i="3"/>
  <c r="BS81" i="3"/>
  <c r="BR81" i="3"/>
  <c r="BQ81" i="3"/>
  <c r="BP81" i="3"/>
  <c r="BO81" i="3"/>
  <c r="BN81" i="3"/>
  <c r="BM81" i="3"/>
  <c r="BL81" i="3"/>
  <c r="BK81" i="3"/>
  <c r="BJ81" i="3"/>
  <c r="BI81" i="3"/>
  <c r="BH81" i="3"/>
  <c r="BG81" i="3"/>
  <c r="BF81" i="3"/>
  <c r="BE81" i="3"/>
  <c r="BD81" i="3"/>
  <c r="BC81" i="3"/>
  <c r="BB81" i="3"/>
  <c r="BA81" i="3"/>
  <c r="AZ81" i="3"/>
  <c r="AY81" i="3"/>
  <c r="AX81" i="3"/>
  <c r="AW81" i="3"/>
  <c r="AV81" i="3"/>
  <c r="AU81" i="3"/>
  <c r="AT81" i="3"/>
  <c r="AS81" i="3"/>
  <c r="AR81" i="3"/>
  <c r="AQ81" i="3"/>
  <c r="AP81" i="3"/>
  <c r="AO81" i="3"/>
  <c r="AN81" i="3"/>
  <c r="AM81" i="3"/>
  <c r="AL81" i="3"/>
  <c r="AK81" i="3"/>
  <c r="AJ81" i="3"/>
  <c r="AI81" i="3"/>
  <c r="AH81" i="3"/>
  <c r="AG81" i="3"/>
  <c r="AF81" i="3"/>
  <c r="AE81" i="3"/>
  <c r="AD81" i="3"/>
  <c r="AC81" i="3"/>
  <c r="AB81" i="3"/>
  <c r="AA81" i="3"/>
  <c r="H81" i="3"/>
  <c r="BZ80" i="3"/>
  <c r="BY80" i="3"/>
  <c r="BX80" i="3"/>
  <c r="BW80" i="3"/>
  <c r="BV80" i="3"/>
  <c r="BU80" i="3"/>
  <c r="BT80" i="3"/>
  <c r="BS80" i="3"/>
  <c r="BR80" i="3"/>
  <c r="BQ80" i="3"/>
  <c r="BP80" i="3"/>
  <c r="BO80" i="3"/>
  <c r="BN80" i="3"/>
  <c r="BM80" i="3"/>
  <c r="BL80" i="3"/>
  <c r="BK80" i="3"/>
  <c r="BJ80" i="3"/>
  <c r="BI80" i="3"/>
  <c r="BH80" i="3"/>
  <c r="BG80" i="3"/>
  <c r="BF80" i="3"/>
  <c r="BE80" i="3"/>
  <c r="BD80" i="3"/>
  <c r="BC80" i="3"/>
  <c r="BB80" i="3"/>
  <c r="BA80" i="3"/>
  <c r="AZ80" i="3"/>
  <c r="AY80" i="3"/>
  <c r="AX80" i="3"/>
  <c r="AW80" i="3"/>
  <c r="AV80" i="3"/>
  <c r="AU80" i="3"/>
  <c r="AT80" i="3"/>
  <c r="AS80" i="3"/>
  <c r="AR80" i="3"/>
  <c r="AQ80" i="3"/>
  <c r="AP80" i="3"/>
  <c r="AO80" i="3"/>
  <c r="AN80" i="3"/>
  <c r="AM80" i="3"/>
  <c r="AL80" i="3"/>
  <c r="AK80" i="3"/>
  <c r="AJ80" i="3"/>
  <c r="AI80" i="3"/>
  <c r="AH80" i="3"/>
  <c r="AG80" i="3"/>
  <c r="AF80" i="3"/>
  <c r="AE80" i="3"/>
  <c r="AD80" i="3"/>
  <c r="AC80" i="3"/>
  <c r="AB80" i="3"/>
  <c r="AA80" i="3"/>
  <c r="H80" i="3"/>
  <c r="BZ79" i="3"/>
  <c r="BY79" i="3"/>
  <c r="BX79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A79" i="3"/>
  <c r="H79" i="3"/>
  <c r="BZ78" i="3"/>
  <c r="BY78" i="3"/>
  <c r="BX78" i="3"/>
  <c r="BW78" i="3"/>
  <c r="BV78" i="3"/>
  <c r="BU78" i="3"/>
  <c r="BT78" i="3"/>
  <c r="BS78" i="3"/>
  <c r="BR78" i="3"/>
  <c r="BQ78" i="3"/>
  <c r="BP78" i="3"/>
  <c r="BO78" i="3"/>
  <c r="BN78" i="3"/>
  <c r="BM78" i="3"/>
  <c r="BL78" i="3"/>
  <c r="BK78" i="3"/>
  <c r="BJ78" i="3"/>
  <c r="BI78" i="3"/>
  <c r="BH78" i="3"/>
  <c r="BG78" i="3"/>
  <c r="BF78" i="3"/>
  <c r="BE78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A78" i="3"/>
  <c r="H78" i="3"/>
  <c r="BZ77" i="3"/>
  <c r="BY77" i="3"/>
  <c r="BX77" i="3"/>
  <c r="BW77" i="3"/>
  <c r="BV77" i="3"/>
  <c r="BU77" i="3"/>
  <c r="BT77" i="3"/>
  <c r="BS77" i="3"/>
  <c r="BR77" i="3"/>
  <c r="BQ77" i="3"/>
  <c r="BP77" i="3"/>
  <c r="BO77" i="3"/>
  <c r="BN77" i="3"/>
  <c r="BM77" i="3"/>
  <c r="BL77" i="3"/>
  <c r="BK77" i="3"/>
  <c r="BJ77" i="3"/>
  <c r="BI77" i="3"/>
  <c r="BH77" i="3"/>
  <c r="BG77" i="3"/>
  <c r="BF77" i="3"/>
  <c r="BE77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A77" i="3"/>
  <c r="H77" i="3"/>
  <c r="BZ76" i="3"/>
  <c r="BY76" i="3"/>
  <c r="BX76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A76" i="3"/>
  <c r="H76" i="3"/>
  <c r="BZ75" i="3"/>
  <c r="BY75" i="3"/>
  <c r="BX75" i="3"/>
  <c r="BW75" i="3"/>
  <c r="BV75" i="3"/>
  <c r="BU75" i="3"/>
  <c r="BT75" i="3"/>
  <c r="BS75" i="3"/>
  <c r="BR75" i="3"/>
  <c r="BQ75" i="3"/>
  <c r="BP75" i="3"/>
  <c r="BO75" i="3"/>
  <c r="BN75" i="3"/>
  <c r="BM75" i="3"/>
  <c r="BL75" i="3"/>
  <c r="BK75" i="3"/>
  <c r="BJ75" i="3"/>
  <c r="BI75" i="3"/>
  <c r="BH75" i="3"/>
  <c r="BG75" i="3"/>
  <c r="BF75" i="3"/>
  <c r="BE75" i="3"/>
  <c r="BD75" i="3"/>
  <c r="BC75" i="3"/>
  <c r="BB75" i="3"/>
  <c r="BA75" i="3"/>
  <c r="AZ75" i="3"/>
  <c r="AY75" i="3"/>
  <c r="AX75" i="3"/>
  <c r="AW75" i="3"/>
  <c r="AV75" i="3"/>
  <c r="AU75" i="3"/>
  <c r="AT75" i="3"/>
  <c r="AS75" i="3"/>
  <c r="AR75" i="3"/>
  <c r="AQ75" i="3"/>
  <c r="AP75" i="3"/>
  <c r="AO75" i="3"/>
  <c r="AN75" i="3"/>
  <c r="AM75" i="3"/>
  <c r="AL75" i="3"/>
  <c r="AK75" i="3"/>
  <c r="AJ75" i="3"/>
  <c r="AI75" i="3"/>
  <c r="AH75" i="3"/>
  <c r="AG75" i="3"/>
  <c r="AF75" i="3"/>
  <c r="AE75" i="3"/>
  <c r="AD75" i="3"/>
  <c r="AC75" i="3"/>
  <c r="AB75" i="3"/>
  <c r="AA75" i="3"/>
  <c r="H75" i="3"/>
  <c r="BZ74" i="3"/>
  <c r="BY74" i="3"/>
  <c r="BX74" i="3"/>
  <c r="BW74" i="3"/>
  <c r="BV74" i="3"/>
  <c r="BU74" i="3"/>
  <c r="BT74" i="3"/>
  <c r="BS74" i="3"/>
  <c r="BR74" i="3"/>
  <c r="BQ74" i="3"/>
  <c r="BP74" i="3"/>
  <c r="BO74" i="3"/>
  <c r="BN74" i="3"/>
  <c r="BM74" i="3"/>
  <c r="BL74" i="3"/>
  <c r="BK74" i="3"/>
  <c r="BJ74" i="3"/>
  <c r="BI74" i="3"/>
  <c r="BH74" i="3"/>
  <c r="BG74" i="3"/>
  <c r="BF74" i="3"/>
  <c r="BE74" i="3"/>
  <c r="BD74" i="3"/>
  <c r="BC74" i="3"/>
  <c r="BB74" i="3"/>
  <c r="BA74" i="3"/>
  <c r="AZ74" i="3"/>
  <c r="AY74" i="3"/>
  <c r="AX74" i="3"/>
  <c r="AW74" i="3"/>
  <c r="AV74" i="3"/>
  <c r="AU74" i="3"/>
  <c r="AT74" i="3"/>
  <c r="AS74" i="3"/>
  <c r="AR74" i="3"/>
  <c r="AQ74" i="3"/>
  <c r="AP74" i="3"/>
  <c r="AO74" i="3"/>
  <c r="AN74" i="3"/>
  <c r="AM74" i="3"/>
  <c r="AL74" i="3"/>
  <c r="AK74" i="3"/>
  <c r="AJ74" i="3"/>
  <c r="AI74" i="3"/>
  <c r="AH74" i="3"/>
  <c r="AG74" i="3"/>
  <c r="AF74" i="3"/>
  <c r="AE74" i="3"/>
  <c r="AD74" i="3"/>
  <c r="AC74" i="3"/>
  <c r="AB74" i="3"/>
  <c r="AA74" i="3"/>
  <c r="H74" i="3"/>
  <c r="BZ73" i="3"/>
  <c r="BY73" i="3"/>
  <c r="BX73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H73" i="3"/>
  <c r="BZ72" i="3"/>
  <c r="BY72" i="3"/>
  <c r="BX72" i="3"/>
  <c r="BW72" i="3"/>
  <c r="BV72" i="3"/>
  <c r="BU72" i="3"/>
  <c r="BT72" i="3"/>
  <c r="BS72" i="3"/>
  <c r="BR72" i="3"/>
  <c r="BQ72" i="3"/>
  <c r="BP72" i="3"/>
  <c r="BO72" i="3"/>
  <c r="BN72" i="3"/>
  <c r="BM72" i="3"/>
  <c r="BL72" i="3"/>
  <c r="BK72" i="3"/>
  <c r="BJ72" i="3"/>
  <c r="BI72" i="3"/>
  <c r="BH72" i="3"/>
  <c r="BG72" i="3"/>
  <c r="BF72" i="3"/>
  <c r="BE72" i="3"/>
  <c r="BD72" i="3"/>
  <c r="BC72" i="3"/>
  <c r="BB72" i="3"/>
  <c r="BA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A72" i="3"/>
  <c r="H72" i="3"/>
  <c r="BZ71" i="3"/>
  <c r="BY71" i="3"/>
  <c r="BX71" i="3"/>
  <c r="BW71" i="3"/>
  <c r="BV71" i="3"/>
  <c r="BU71" i="3"/>
  <c r="BT71" i="3"/>
  <c r="BS71" i="3"/>
  <c r="BR71" i="3"/>
  <c r="BQ71" i="3"/>
  <c r="BP71" i="3"/>
  <c r="BO71" i="3"/>
  <c r="BN71" i="3"/>
  <c r="BM71" i="3"/>
  <c r="BL71" i="3"/>
  <c r="BK71" i="3"/>
  <c r="BJ71" i="3"/>
  <c r="BI71" i="3"/>
  <c r="BH71" i="3"/>
  <c r="BG71" i="3"/>
  <c r="BF71" i="3"/>
  <c r="BE71" i="3"/>
  <c r="BD71" i="3"/>
  <c r="BC71" i="3"/>
  <c r="BB71" i="3"/>
  <c r="BA71" i="3"/>
  <c r="AZ71" i="3"/>
  <c r="AY71" i="3"/>
  <c r="AX71" i="3"/>
  <c r="AW71" i="3"/>
  <c r="AV71" i="3"/>
  <c r="AU71" i="3"/>
  <c r="AT71" i="3"/>
  <c r="AS71" i="3"/>
  <c r="AR71" i="3"/>
  <c r="AQ71" i="3"/>
  <c r="AP71" i="3"/>
  <c r="AO71" i="3"/>
  <c r="AN71" i="3"/>
  <c r="AM71" i="3"/>
  <c r="AL71" i="3"/>
  <c r="AK71" i="3"/>
  <c r="AJ71" i="3"/>
  <c r="AI71" i="3"/>
  <c r="AH71" i="3"/>
  <c r="AG71" i="3"/>
  <c r="AF71" i="3"/>
  <c r="AE71" i="3"/>
  <c r="AD71" i="3"/>
  <c r="AC71" i="3"/>
  <c r="AB71" i="3"/>
  <c r="AA71" i="3"/>
  <c r="H71" i="3"/>
  <c r="BZ70" i="3"/>
  <c r="BY70" i="3"/>
  <c r="BX70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A70" i="3"/>
  <c r="H70" i="3"/>
  <c r="BZ69" i="3"/>
  <c r="BY69" i="3"/>
  <c r="BX69" i="3"/>
  <c r="BW69" i="3"/>
  <c r="BV69" i="3"/>
  <c r="BU69" i="3"/>
  <c r="BT69" i="3"/>
  <c r="BS69" i="3"/>
  <c r="BR69" i="3"/>
  <c r="BQ69" i="3"/>
  <c r="BP69" i="3"/>
  <c r="BO69" i="3"/>
  <c r="BN69" i="3"/>
  <c r="BM69" i="3"/>
  <c r="BL69" i="3"/>
  <c r="BK69" i="3"/>
  <c r="BJ69" i="3"/>
  <c r="BI69" i="3"/>
  <c r="BH69" i="3"/>
  <c r="BG69" i="3"/>
  <c r="BF69" i="3"/>
  <c r="BE69" i="3"/>
  <c r="BD69" i="3"/>
  <c r="BC69" i="3"/>
  <c r="BB69" i="3"/>
  <c r="BA69" i="3"/>
  <c r="AZ69" i="3"/>
  <c r="AY69" i="3"/>
  <c r="AX69" i="3"/>
  <c r="AW69" i="3"/>
  <c r="AV69" i="3"/>
  <c r="AU69" i="3"/>
  <c r="AT69" i="3"/>
  <c r="AS69" i="3"/>
  <c r="AR69" i="3"/>
  <c r="AQ69" i="3"/>
  <c r="AP69" i="3"/>
  <c r="AO69" i="3"/>
  <c r="AN69" i="3"/>
  <c r="AM69" i="3"/>
  <c r="AL69" i="3"/>
  <c r="AK69" i="3"/>
  <c r="AJ69" i="3"/>
  <c r="AI69" i="3"/>
  <c r="AH69" i="3"/>
  <c r="AG69" i="3"/>
  <c r="AF69" i="3"/>
  <c r="AE69" i="3"/>
  <c r="AD69" i="3"/>
  <c r="AC69" i="3"/>
  <c r="AB69" i="3"/>
  <c r="AA69" i="3"/>
  <c r="H69" i="3"/>
  <c r="BZ68" i="3"/>
  <c r="BY68" i="3"/>
  <c r="BX68" i="3"/>
  <c r="BW68" i="3"/>
  <c r="BV68" i="3"/>
  <c r="BU68" i="3"/>
  <c r="BT68" i="3"/>
  <c r="BS68" i="3"/>
  <c r="BR68" i="3"/>
  <c r="BQ68" i="3"/>
  <c r="BP68" i="3"/>
  <c r="BO68" i="3"/>
  <c r="BN68" i="3"/>
  <c r="BM68" i="3"/>
  <c r="BL68" i="3"/>
  <c r="BK68" i="3"/>
  <c r="BJ68" i="3"/>
  <c r="BI68" i="3"/>
  <c r="BH68" i="3"/>
  <c r="BG68" i="3"/>
  <c r="BF68" i="3"/>
  <c r="BE68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A68" i="3"/>
  <c r="H68" i="3"/>
  <c r="BZ67" i="3"/>
  <c r="BY67" i="3"/>
  <c r="BX67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H67" i="3"/>
  <c r="BZ66" i="3"/>
  <c r="BY66" i="3"/>
  <c r="BX66" i="3"/>
  <c r="BW66" i="3"/>
  <c r="BV66" i="3"/>
  <c r="BU66" i="3"/>
  <c r="BT66" i="3"/>
  <c r="BS66" i="3"/>
  <c r="BR66" i="3"/>
  <c r="BQ66" i="3"/>
  <c r="BP66" i="3"/>
  <c r="BO66" i="3"/>
  <c r="BN66" i="3"/>
  <c r="BM66" i="3"/>
  <c r="BL66" i="3"/>
  <c r="BK66" i="3"/>
  <c r="BJ66" i="3"/>
  <c r="BI66" i="3"/>
  <c r="BH66" i="3"/>
  <c r="BG66" i="3"/>
  <c r="BF66" i="3"/>
  <c r="BE66" i="3"/>
  <c r="BD66" i="3"/>
  <c r="BC66" i="3"/>
  <c r="BB66" i="3"/>
  <c r="BA66" i="3"/>
  <c r="AZ66" i="3"/>
  <c r="AY66" i="3"/>
  <c r="AX66" i="3"/>
  <c r="AW66" i="3"/>
  <c r="AV66" i="3"/>
  <c r="AU66" i="3"/>
  <c r="AT66" i="3"/>
  <c r="AS66" i="3"/>
  <c r="AR66" i="3"/>
  <c r="AQ66" i="3"/>
  <c r="AP66" i="3"/>
  <c r="AO66" i="3"/>
  <c r="AN66" i="3"/>
  <c r="AM66" i="3"/>
  <c r="AL66" i="3"/>
  <c r="AK66" i="3"/>
  <c r="AJ66" i="3"/>
  <c r="AI66" i="3"/>
  <c r="AH66" i="3"/>
  <c r="AG66" i="3"/>
  <c r="AF66" i="3"/>
  <c r="AE66" i="3"/>
  <c r="AD66" i="3"/>
  <c r="AC66" i="3"/>
  <c r="AB66" i="3"/>
  <c r="AA66" i="3"/>
  <c r="H66" i="3"/>
  <c r="BZ65" i="3"/>
  <c r="BY65" i="3"/>
  <c r="BX65" i="3"/>
  <c r="BW65" i="3"/>
  <c r="BV65" i="3"/>
  <c r="BU65" i="3"/>
  <c r="BT65" i="3"/>
  <c r="BS65" i="3"/>
  <c r="BR65" i="3"/>
  <c r="BQ65" i="3"/>
  <c r="BP65" i="3"/>
  <c r="BO65" i="3"/>
  <c r="BN65" i="3"/>
  <c r="BM65" i="3"/>
  <c r="BL65" i="3"/>
  <c r="BK65" i="3"/>
  <c r="BJ65" i="3"/>
  <c r="BI65" i="3"/>
  <c r="BH65" i="3"/>
  <c r="BG65" i="3"/>
  <c r="BF65" i="3"/>
  <c r="BE65" i="3"/>
  <c r="BD65" i="3"/>
  <c r="BC65" i="3"/>
  <c r="BB65" i="3"/>
  <c r="BA65" i="3"/>
  <c r="AZ65" i="3"/>
  <c r="AY65" i="3"/>
  <c r="AX65" i="3"/>
  <c r="AW65" i="3"/>
  <c r="AV65" i="3"/>
  <c r="AU65" i="3"/>
  <c r="AT65" i="3"/>
  <c r="AS65" i="3"/>
  <c r="AR65" i="3"/>
  <c r="AQ65" i="3"/>
  <c r="AP65" i="3"/>
  <c r="AO65" i="3"/>
  <c r="AN65" i="3"/>
  <c r="AM65" i="3"/>
  <c r="AL65" i="3"/>
  <c r="AK65" i="3"/>
  <c r="AJ65" i="3"/>
  <c r="AI65" i="3"/>
  <c r="AH65" i="3"/>
  <c r="AG65" i="3"/>
  <c r="AF65" i="3"/>
  <c r="AE65" i="3"/>
  <c r="AD65" i="3"/>
  <c r="AC65" i="3"/>
  <c r="AB65" i="3"/>
  <c r="AA65" i="3"/>
  <c r="H65" i="3"/>
  <c r="BZ64" i="3"/>
  <c r="BY64" i="3"/>
  <c r="BX64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H64" i="3"/>
  <c r="BZ63" i="3"/>
  <c r="BY63" i="3"/>
  <c r="BX63" i="3"/>
  <c r="BW63" i="3"/>
  <c r="BV63" i="3"/>
  <c r="BU63" i="3"/>
  <c r="BT63" i="3"/>
  <c r="BS63" i="3"/>
  <c r="BR63" i="3"/>
  <c r="BQ63" i="3"/>
  <c r="BP63" i="3"/>
  <c r="BO63" i="3"/>
  <c r="BN63" i="3"/>
  <c r="BM63" i="3"/>
  <c r="BL63" i="3"/>
  <c r="BK63" i="3"/>
  <c r="BJ63" i="3"/>
  <c r="BI63" i="3"/>
  <c r="BH63" i="3"/>
  <c r="BG63" i="3"/>
  <c r="BF63" i="3"/>
  <c r="BE63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H63" i="3"/>
  <c r="BZ62" i="3"/>
  <c r="BY62" i="3"/>
  <c r="BX62" i="3"/>
  <c r="BW62" i="3"/>
  <c r="BV62" i="3"/>
  <c r="BU62" i="3"/>
  <c r="BT62" i="3"/>
  <c r="BS62" i="3"/>
  <c r="BR62" i="3"/>
  <c r="BQ62" i="3"/>
  <c r="BP62" i="3"/>
  <c r="BO62" i="3"/>
  <c r="BN62" i="3"/>
  <c r="BM62" i="3"/>
  <c r="BL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H62" i="3"/>
  <c r="BZ61" i="3"/>
  <c r="BY61" i="3"/>
  <c r="BX61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H61" i="3"/>
  <c r="BZ60" i="3"/>
  <c r="BY60" i="3"/>
  <c r="BX60" i="3"/>
  <c r="BW60" i="3"/>
  <c r="BV60" i="3"/>
  <c r="BU60" i="3"/>
  <c r="BT60" i="3"/>
  <c r="BS60" i="3"/>
  <c r="BR60" i="3"/>
  <c r="BQ60" i="3"/>
  <c r="BP60" i="3"/>
  <c r="BO60" i="3"/>
  <c r="BN60" i="3"/>
  <c r="BM60" i="3"/>
  <c r="BL60" i="3"/>
  <c r="BK60" i="3"/>
  <c r="BJ60" i="3"/>
  <c r="BI60" i="3"/>
  <c r="BH60" i="3"/>
  <c r="BG60" i="3"/>
  <c r="BF60" i="3"/>
  <c r="BE60" i="3"/>
  <c r="BD60" i="3"/>
  <c r="BC60" i="3"/>
  <c r="BB60" i="3"/>
  <c r="BA60" i="3"/>
  <c r="AZ60" i="3"/>
  <c r="AY60" i="3"/>
  <c r="AX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K60" i="3"/>
  <c r="AJ60" i="3"/>
  <c r="AI60" i="3"/>
  <c r="AH60" i="3"/>
  <c r="AG60" i="3"/>
  <c r="AF60" i="3"/>
  <c r="AE60" i="3"/>
  <c r="AD60" i="3"/>
  <c r="AC60" i="3"/>
  <c r="AB60" i="3"/>
  <c r="AA60" i="3"/>
  <c r="H60" i="3"/>
  <c r="BZ59" i="3"/>
  <c r="BY59" i="3"/>
  <c r="BX59" i="3"/>
  <c r="BW59" i="3"/>
  <c r="BV59" i="3"/>
  <c r="BU59" i="3"/>
  <c r="BT59" i="3"/>
  <c r="BS59" i="3"/>
  <c r="BR59" i="3"/>
  <c r="BQ59" i="3"/>
  <c r="BP59" i="3"/>
  <c r="BO59" i="3"/>
  <c r="BN59" i="3"/>
  <c r="BM59" i="3"/>
  <c r="BL59" i="3"/>
  <c r="BK59" i="3"/>
  <c r="BJ59" i="3"/>
  <c r="BI59" i="3"/>
  <c r="BH59" i="3"/>
  <c r="BG59" i="3"/>
  <c r="BF59" i="3"/>
  <c r="BE59" i="3"/>
  <c r="BD59" i="3"/>
  <c r="BC59" i="3"/>
  <c r="BB59" i="3"/>
  <c r="BA59" i="3"/>
  <c r="AZ59" i="3"/>
  <c r="AY59" i="3"/>
  <c r="AX59" i="3"/>
  <c r="AW59" i="3"/>
  <c r="AV59" i="3"/>
  <c r="AU59" i="3"/>
  <c r="AT59" i="3"/>
  <c r="AS59" i="3"/>
  <c r="AR59" i="3"/>
  <c r="AQ59" i="3"/>
  <c r="AP59" i="3"/>
  <c r="AO59" i="3"/>
  <c r="AN59" i="3"/>
  <c r="AM59" i="3"/>
  <c r="AL59" i="3"/>
  <c r="AK59" i="3"/>
  <c r="AJ59" i="3"/>
  <c r="AI59" i="3"/>
  <c r="AH59" i="3"/>
  <c r="AG59" i="3"/>
  <c r="AF59" i="3"/>
  <c r="AE59" i="3"/>
  <c r="AD59" i="3"/>
  <c r="AC59" i="3"/>
  <c r="AB59" i="3"/>
  <c r="AA59" i="3"/>
  <c r="H59" i="3"/>
  <c r="BZ58" i="3"/>
  <c r="BY58" i="3"/>
  <c r="BX58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H58" i="3"/>
  <c r="BZ57" i="3"/>
  <c r="BY57" i="3"/>
  <c r="BX57" i="3"/>
  <c r="BW57" i="3"/>
  <c r="BV57" i="3"/>
  <c r="BU57" i="3"/>
  <c r="BT57" i="3"/>
  <c r="BS57" i="3"/>
  <c r="BR57" i="3"/>
  <c r="BQ57" i="3"/>
  <c r="BP57" i="3"/>
  <c r="BO57" i="3"/>
  <c r="BN57" i="3"/>
  <c r="BM57" i="3"/>
  <c r="BL57" i="3"/>
  <c r="BK57" i="3"/>
  <c r="BJ57" i="3"/>
  <c r="BI57" i="3"/>
  <c r="BH57" i="3"/>
  <c r="BG57" i="3"/>
  <c r="BF57" i="3"/>
  <c r="BE57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H57" i="3"/>
  <c r="BZ56" i="3"/>
  <c r="BY56" i="3"/>
  <c r="BX56" i="3"/>
  <c r="BW56" i="3"/>
  <c r="BV56" i="3"/>
  <c r="BU56" i="3"/>
  <c r="BT56" i="3"/>
  <c r="BS56" i="3"/>
  <c r="BR56" i="3"/>
  <c r="BQ56" i="3"/>
  <c r="BP56" i="3"/>
  <c r="BO56" i="3"/>
  <c r="BN56" i="3"/>
  <c r="BM56" i="3"/>
  <c r="BL56" i="3"/>
  <c r="BK56" i="3"/>
  <c r="BJ56" i="3"/>
  <c r="BI56" i="3"/>
  <c r="BH56" i="3"/>
  <c r="BG56" i="3"/>
  <c r="BF56" i="3"/>
  <c r="BE56" i="3"/>
  <c r="BD56" i="3"/>
  <c r="BC56" i="3"/>
  <c r="BB56" i="3"/>
  <c r="BA56" i="3"/>
  <c r="AZ56" i="3"/>
  <c r="AY56" i="3"/>
  <c r="AX56" i="3"/>
  <c r="AW56" i="3"/>
  <c r="AV56" i="3"/>
  <c r="AU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AH56" i="3"/>
  <c r="AG56" i="3"/>
  <c r="AF56" i="3"/>
  <c r="AE56" i="3"/>
  <c r="AD56" i="3"/>
  <c r="AC56" i="3"/>
  <c r="AB56" i="3"/>
  <c r="AA56" i="3"/>
  <c r="H56" i="3"/>
  <c r="BZ55" i="3"/>
  <c r="BY55" i="3"/>
  <c r="BX55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H55" i="3"/>
  <c r="BZ54" i="3"/>
  <c r="BY54" i="3"/>
  <c r="BX54" i="3"/>
  <c r="BW54" i="3"/>
  <c r="BV54" i="3"/>
  <c r="BU54" i="3"/>
  <c r="BT54" i="3"/>
  <c r="BS54" i="3"/>
  <c r="BR54" i="3"/>
  <c r="BQ54" i="3"/>
  <c r="BP54" i="3"/>
  <c r="BO54" i="3"/>
  <c r="BN54" i="3"/>
  <c r="BM54" i="3"/>
  <c r="BL54" i="3"/>
  <c r="BK54" i="3"/>
  <c r="BJ54" i="3"/>
  <c r="BI54" i="3"/>
  <c r="BH54" i="3"/>
  <c r="BG54" i="3"/>
  <c r="BF54" i="3"/>
  <c r="BE54" i="3"/>
  <c r="BD54" i="3"/>
  <c r="BC54" i="3"/>
  <c r="BB54" i="3"/>
  <c r="BA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AH54" i="3"/>
  <c r="AG54" i="3"/>
  <c r="AF54" i="3"/>
  <c r="AE54" i="3"/>
  <c r="AD54" i="3"/>
  <c r="AC54" i="3"/>
  <c r="AB54" i="3"/>
  <c r="AA54" i="3"/>
  <c r="H54" i="3"/>
  <c r="BZ53" i="3"/>
  <c r="BY53" i="3"/>
  <c r="BX53" i="3"/>
  <c r="BW53" i="3"/>
  <c r="BV53" i="3"/>
  <c r="BU53" i="3"/>
  <c r="BT53" i="3"/>
  <c r="BS53" i="3"/>
  <c r="BR53" i="3"/>
  <c r="BQ53" i="3"/>
  <c r="BP53" i="3"/>
  <c r="BO53" i="3"/>
  <c r="BN53" i="3"/>
  <c r="BM53" i="3"/>
  <c r="BL53" i="3"/>
  <c r="BK53" i="3"/>
  <c r="BJ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H53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H52" i="3"/>
  <c r="BZ51" i="3"/>
  <c r="BY51" i="3"/>
  <c r="BX51" i="3"/>
  <c r="BW51" i="3"/>
  <c r="BV51" i="3"/>
  <c r="BU51" i="3"/>
  <c r="BT51" i="3"/>
  <c r="BS51" i="3"/>
  <c r="BR51" i="3"/>
  <c r="BQ51" i="3"/>
  <c r="BP51" i="3"/>
  <c r="BO51" i="3"/>
  <c r="BN51" i="3"/>
  <c r="BM51" i="3"/>
  <c r="BL51" i="3"/>
  <c r="BK51" i="3"/>
  <c r="BJ51" i="3"/>
  <c r="BI51" i="3"/>
  <c r="BH51" i="3"/>
  <c r="BG51" i="3"/>
  <c r="BF51" i="3"/>
  <c r="BE51" i="3"/>
  <c r="BD51" i="3"/>
  <c r="BC51" i="3"/>
  <c r="BB51" i="3"/>
  <c r="BA51" i="3"/>
  <c r="AZ51" i="3"/>
  <c r="AY51" i="3"/>
  <c r="AX51" i="3"/>
  <c r="AW51" i="3"/>
  <c r="AV51" i="3"/>
  <c r="AU51" i="3"/>
  <c r="AT51" i="3"/>
  <c r="AS51" i="3"/>
  <c r="AR51" i="3"/>
  <c r="AQ51" i="3"/>
  <c r="AP51" i="3"/>
  <c r="AO51" i="3"/>
  <c r="AN51" i="3"/>
  <c r="AM51" i="3"/>
  <c r="AL51" i="3"/>
  <c r="AK51" i="3"/>
  <c r="AJ51" i="3"/>
  <c r="AI51" i="3"/>
  <c r="AH51" i="3"/>
  <c r="AG51" i="3"/>
  <c r="AF51" i="3"/>
  <c r="AE51" i="3"/>
  <c r="AD51" i="3"/>
  <c r="AC51" i="3"/>
  <c r="AB51" i="3"/>
  <c r="AA51" i="3"/>
  <c r="H51" i="3"/>
  <c r="BZ50" i="3"/>
  <c r="BY50" i="3"/>
  <c r="BX50" i="3"/>
  <c r="BW50" i="3"/>
  <c r="BV50" i="3"/>
  <c r="BU50" i="3"/>
  <c r="BT50" i="3"/>
  <c r="BS50" i="3"/>
  <c r="BR50" i="3"/>
  <c r="BQ50" i="3"/>
  <c r="BP50" i="3"/>
  <c r="BO50" i="3"/>
  <c r="BN50" i="3"/>
  <c r="BM50" i="3"/>
  <c r="BL50" i="3"/>
  <c r="BK50" i="3"/>
  <c r="BJ50" i="3"/>
  <c r="BI50" i="3"/>
  <c r="BH50" i="3"/>
  <c r="BG50" i="3"/>
  <c r="BF50" i="3"/>
  <c r="BE50" i="3"/>
  <c r="BD50" i="3"/>
  <c r="BC50" i="3"/>
  <c r="BB50" i="3"/>
  <c r="BA50" i="3"/>
  <c r="AZ50" i="3"/>
  <c r="AY50" i="3"/>
  <c r="AX50" i="3"/>
  <c r="AW50" i="3"/>
  <c r="AV50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AH50" i="3"/>
  <c r="AG50" i="3"/>
  <c r="AF50" i="3"/>
  <c r="AE50" i="3"/>
  <c r="AD50" i="3"/>
  <c r="AC50" i="3"/>
  <c r="AB50" i="3"/>
  <c r="AA50" i="3"/>
  <c r="H50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H49" i="3"/>
  <c r="BZ48" i="3"/>
  <c r="BY48" i="3"/>
  <c r="BX48" i="3"/>
  <c r="BW48" i="3"/>
  <c r="BV48" i="3"/>
  <c r="BU48" i="3"/>
  <c r="BT48" i="3"/>
  <c r="BS48" i="3"/>
  <c r="BR48" i="3"/>
  <c r="BQ48" i="3"/>
  <c r="BP48" i="3"/>
  <c r="BO48" i="3"/>
  <c r="BN48" i="3"/>
  <c r="BM48" i="3"/>
  <c r="BL48" i="3"/>
  <c r="BK48" i="3"/>
  <c r="BJ48" i="3"/>
  <c r="BI48" i="3"/>
  <c r="BH48" i="3"/>
  <c r="BG48" i="3"/>
  <c r="BF48" i="3"/>
  <c r="BE48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H48" i="3"/>
  <c r="BZ47" i="3"/>
  <c r="BY47" i="3"/>
  <c r="BX47" i="3"/>
  <c r="BW47" i="3"/>
  <c r="BV47" i="3"/>
  <c r="BU47" i="3"/>
  <c r="BT47" i="3"/>
  <c r="BS47" i="3"/>
  <c r="BR47" i="3"/>
  <c r="BQ47" i="3"/>
  <c r="BP47" i="3"/>
  <c r="BO47" i="3"/>
  <c r="BN47" i="3"/>
  <c r="BM47" i="3"/>
  <c r="BL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H47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H46" i="3"/>
  <c r="BZ45" i="3"/>
  <c r="BY45" i="3"/>
  <c r="BX45" i="3"/>
  <c r="BW45" i="3"/>
  <c r="BV45" i="3"/>
  <c r="BU45" i="3"/>
  <c r="BT45" i="3"/>
  <c r="BS45" i="3"/>
  <c r="BR45" i="3"/>
  <c r="BQ45" i="3"/>
  <c r="BP45" i="3"/>
  <c r="BO45" i="3"/>
  <c r="BN45" i="3"/>
  <c r="BM45" i="3"/>
  <c r="BL45" i="3"/>
  <c r="BK45" i="3"/>
  <c r="BJ45" i="3"/>
  <c r="BI45" i="3"/>
  <c r="BH45" i="3"/>
  <c r="BG45" i="3"/>
  <c r="BF45" i="3"/>
  <c r="BE45" i="3"/>
  <c r="BD45" i="3"/>
  <c r="BC45" i="3"/>
  <c r="BB45" i="3"/>
  <c r="BA45" i="3"/>
  <c r="AZ45" i="3"/>
  <c r="AY45" i="3"/>
  <c r="AX45" i="3"/>
  <c r="AW45" i="3"/>
  <c r="AV45" i="3"/>
  <c r="AU45" i="3"/>
  <c r="AT45" i="3"/>
  <c r="AS45" i="3"/>
  <c r="AR45" i="3"/>
  <c r="AQ45" i="3"/>
  <c r="AP45" i="3"/>
  <c r="AO45" i="3"/>
  <c r="AN45" i="3"/>
  <c r="AM45" i="3"/>
  <c r="AL45" i="3"/>
  <c r="AK45" i="3"/>
  <c r="AJ45" i="3"/>
  <c r="AI45" i="3"/>
  <c r="AH45" i="3"/>
  <c r="AG45" i="3"/>
  <c r="AF45" i="3"/>
  <c r="AE45" i="3"/>
  <c r="AD45" i="3"/>
  <c r="AC45" i="3"/>
  <c r="AB45" i="3"/>
  <c r="AA45" i="3"/>
  <c r="H45" i="3"/>
  <c r="BZ44" i="3"/>
  <c r="BY44" i="3"/>
  <c r="BX44" i="3"/>
  <c r="BW44" i="3"/>
  <c r="BV44" i="3"/>
  <c r="BU44" i="3"/>
  <c r="BT44" i="3"/>
  <c r="BS44" i="3"/>
  <c r="BR44" i="3"/>
  <c r="BQ44" i="3"/>
  <c r="BP44" i="3"/>
  <c r="BO44" i="3"/>
  <c r="BN44" i="3"/>
  <c r="BM44" i="3"/>
  <c r="BL44" i="3"/>
  <c r="BK44" i="3"/>
  <c r="BJ44" i="3"/>
  <c r="BI44" i="3"/>
  <c r="BH44" i="3"/>
  <c r="BG44" i="3"/>
  <c r="BF44" i="3"/>
  <c r="BE44" i="3"/>
  <c r="BD44" i="3"/>
  <c r="BC44" i="3"/>
  <c r="BB44" i="3"/>
  <c r="BA44" i="3"/>
  <c r="AZ44" i="3"/>
  <c r="AY44" i="3"/>
  <c r="AX44" i="3"/>
  <c r="AW44" i="3"/>
  <c r="AV44" i="3"/>
  <c r="AU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H44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H43" i="3"/>
  <c r="BZ42" i="3"/>
  <c r="BY42" i="3"/>
  <c r="BX42" i="3"/>
  <c r="BW42" i="3"/>
  <c r="BV42" i="3"/>
  <c r="BU42" i="3"/>
  <c r="BT42" i="3"/>
  <c r="BS42" i="3"/>
  <c r="BR42" i="3"/>
  <c r="BQ42" i="3"/>
  <c r="BP42" i="3"/>
  <c r="BO42" i="3"/>
  <c r="BN42" i="3"/>
  <c r="BM42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H42" i="3"/>
  <c r="BZ41" i="3"/>
  <c r="BY41" i="3"/>
  <c r="BX41" i="3"/>
  <c r="BW41" i="3"/>
  <c r="BV41" i="3"/>
  <c r="BU41" i="3"/>
  <c r="BT41" i="3"/>
  <c r="BS41" i="3"/>
  <c r="BR41" i="3"/>
  <c r="BQ41" i="3"/>
  <c r="BP41" i="3"/>
  <c r="BO41" i="3"/>
  <c r="BN41" i="3"/>
  <c r="BM41" i="3"/>
  <c r="BL41" i="3"/>
  <c r="BK41" i="3"/>
  <c r="BJ41" i="3"/>
  <c r="BI41" i="3"/>
  <c r="BH41" i="3"/>
  <c r="BG41" i="3"/>
  <c r="BF41" i="3"/>
  <c r="BE41" i="3"/>
  <c r="BD41" i="3"/>
  <c r="BC41" i="3"/>
  <c r="BB41" i="3"/>
  <c r="BA41" i="3"/>
  <c r="AZ41" i="3"/>
  <c r="AY41" i="3"/>
  <c r="AX41" i="3"/>
  <c r="AW41" i="3"/>
  <c r="AV41" i="3"/>
  <c r="AU41" i="3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H41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H40" i="3"/>
  <c r="BZ39" i="3"/>
  <c r="BY39" i="3"/>
  <c r="BX39" i="3"/>
  <c r="BW39" i="3"/>
  <c r="BV39" i="3"/>
  <c r="BU39" i="3"/>
  <c r="BT39" i="3"/>
  <c r="BS39" i="3"/>
  <c r="BR39" i="3"/>
  <c r="BQ39" i="3"/>
  <c r="BP39" i="3"/>
  <c r="BO39" i="3"/>
  <c r="BN39" i="3"/>
  <c r="BM39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H39" i="3"/>
  <c r="BZ38" i="3"/>
  <c r="BY38" i="3"/>
  <c r="BX38" i="3"/>
  <c r="BW38" i="3"/>
  <c r="BV38" i="3"/>
  <c r="BU38" i="3"/>
  <c r="BT38" i="3"/>
  <c r="BS38" i="3"/>
  <c r="BR38" i="3"/>
  <c r="BQ38" i="3"/>
  <c r="BP38" i="3"/>
  <c r="BO38" i="3"/>
  <c r="BN38" i="3"/>
  <c r="BM38" i="3"/>
  <c r="BL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H38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H37" i="3"/>
  <c r="BZ36" i="3"/>
  <c r="BY36" i="3"/>
  <c r="BX36" i="3"/>
  <c r="BW36" i="3"/>
  <c r="BV36" i="3"/>
  <c r="BU36" i="3"/>
  <c r="BT36" i="3"/>
  <c r="BS36" i="3"/>
  <c r="BR36" i="3"/>
  <c r="BQ36" i="3"/>
  <c r="BP36" i="3"/>
  <c r="BO36" i="3"/>
  <c r="BN36" i="3"/>
  <c r="BM36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H36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H35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H34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H33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H32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H31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H30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H29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H28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H27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H26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H25" i="3"/>
  <c r="AN20" i="3"/>
  <c r="AI20" i="3"/>
  <c r="AD20" i="3"/>
  <c r="Y20" i="3"/>
  <c r="T20" i="3"/>
  <c r="O20" i="3"/>
  <c r="AQ299" i="2"/>
  <c r="AP299" i="2"/>
  <c r="AO299" i="2"/>
  <c r="AN299" i="2"/>
  <c r="AM299" i="2"/>
  <c r="AL299" i="2"/>
  <c r="AK299" i="2"/>
  <c r="AJ299" i="2"/>
  <c r="AI299" i="2"/>
  <c r="AH299" i="2"/>
  <c r="AG299" i="2"/>
  <c r="AF299" i="2"/>
  <c r="AE299" i="2"/>
  <c r="AD299" i="2"/>
  <c r="AC299" i="2"/>
  <c r="AB299" i="2"/>
  <c r="AA299" i="2"/>
  <c r="Z299" i="2"/>
  <c r="Y299" i="2"/>
  <c r="X299" i="2"/>
  <c r="W299" i="2"/>
  <c r="V299" i="2"/>
  <c r="U299" i="2"/>
  <c r="T299" i="2"/>
  <c r="S299" i="2"/>
  <c r="R299" i="2"/>
  <c r="Q299" i="2"/>
  <c r="P299" i="2"/>
  <c r="O299" i="2"/>
  <c r="N299" i="2"/>
  <c r="M299" i="2"/>
  <c r="L299" i="2"/>
  <c r="K299" i="2"/>
  <c r="J299" i="2"/>
  <c r="I299" i="2"/>
  <c r="H299" i="2"/>
  <c r="AQ298" i="2"/>
  <c r="AP298" i="2"/>
  <c r="AO298" i="2"/>
  <c r="AN298" i="2"/>
  <c r="AM298" i="2"/>
  <c r="AL298" i="2"/>
  <c r="AK298" i="2"/>
  <c r="AJ298" i="2"/>
  <c r="AI298" i="2"/>
  <c r="AH298" i="2"/>
  <c r="AG298" i="2"/>
  <c r="AF298" i="2"/>
  <c r="AE298" i="2"/>
  <c r="AD298" i="2"/>
  <c r="AC298" i="2"/>
  <c r="AB298" i="2"/>
  <c r="AA298" i="2"/>
  <c r="Z298" i="2"/>
  <c r="Y298" i="2"/>
  <c r="X298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K298" i="2"/>
  <c r="J298" i="2"/>
  <c r="I298" i="2"/>
  <c r="H298" i="2"/>
  <c r="AQ297" i="2"/>
  <c r="AP297" i="2"/>
  <c r="AO297" i="2"/>
  <c r="AN297" i="2"/>
  <c r="AM297" i="2"/>
  <c r="AL297" i="2"/>
  <c r="AK297" i="2"/>
  <c r="AJ297" i="2"/>
  <c r="AI297" i="2"/>
  <c r="AH297" i="2"/>
  <c r="AG297" i="2"/>
  <c r="AF297" i="2"/>
  <c r="AE297" i="2"/>
  <c r="AD297" i="2"/>
  <c r="AC297" i="2"/>
  <c r="AB297" i="2"/>
  <c r="AA297" i="2"/>
  <c r="Z297" i="2"/>
  <c r="Y297" i="2"/>
  <c r="X297" i="2"/>
  <c r="W297" i="2"/>
  <c r="V297" i="2"/>
  <c r="U297" i="2"/>
  <c r="T297" i="2"/>
  <c r="S297" i="2"/>
  <c r="R297" i="2"/>
  <c r="Q297" i="2"/>
  <c r="P297" i="2"/>
  <c r="O297" i="2"/>
  <c r="N297" i="2"/>
  <c r="M297" i="2"/>
  <c r="L297" i="2"/>
  <c r="K297" i="2"/>
  <c r="J297" i="2"/>
  <c r="I297" i="2"/>
  <c r="H297" i="2"/>
  <c r="AQ296" i="2"/>
  <c r="AP296" i="2"/>
  <c r="AO296" i="2"/>
  <c r="AN296" i="2"/>
  <c r="AM296" i="2"/>
  <c r="AL296" i="2"/>
  <c r="AK296" i="2"/>
  <c r="AJ296" i="2"/>
  <c r="AI296" i="2"/>
  <c r="AH296" i="2"/>
  <c r="AG296" i="2"/>
  <c r="AF296" i="2"/>
  <c r="AE296" i="2"/>
  <c r="AD296" i="2"/>
  <c r="AC296" i="2"/>
  <c r="AB296" i="2"/>
  <c r="AA296" i="2"/>
  <c r="Z296" i="2"/>
  <c r="Y296" i="2"/>
  <c r="X296" i="2"/>
  <c r="W296" i="2"/>
  <c r="V296" i="2"/>
  <c r="U296" i="2"/>
  <c r="T296" i="2"/>
  <c r="S296" i="2"/>
  <c r="R296" i="2"/>
  <c r="Q296" i="2"/>
  <c r="P296" i="2"/>
  <c r="O296" i="2"/>
  <c r="N296" i="2"/>
  <c r="M296" i="2"/>
  <c r="L296" i="2"/>
  <c r="K296" i="2"/>
  <c r="J296" i="2"/>
  <c r="I296" i="2"/>
  <c r="H296" i="2"/>
  <c r="AQ295" i="2"/>
  <c r="AP295" i="2"/>
  <c r="AO295" i="2"/>
  <c r="AN295" i="2"/>
  <c r="AM295" i="2"/>
  <c r="AL295" i="2"/>
  <c r="AK295" i="2"/>
  <c r="AJ295" i="2"/>
  <c r="AI295" i="2"/>
  <c r="AH295" i="2"/>
  <c r="AG295" i="2"/>
  <c r="AF295" i="2"/>
  <c r="AE295" i="2"/>
  <c r="AD295" i="2"/>
  <c r="AC295" i="2"/>
  <c r="AB295" i="2"/>
  <c r="AA295" i="2"/>
  <c r="Z295" i="2"/>
  <c r="Y295" i="2"/>
  <c r="X295" i="2"/>
  <c r="W295" i="2"/>
  <c r="V295" i="2"/>
  <c r="U295" i="2"/>
  <c r="T295" i="2"/>
  <c r="S295" i="2"/>
  <c r="R295" i="2"/>
  <c r="Q295" i="2"/>
  <c r="P295" i="2"/>
  <c r="O295" i="2"/>
  <c r="N295" i="2"/>
  <c r="M295" i="2"/>
  <c r="L295" i="2"/>
  <c r="K295" i="2"/>
  <c r="J295" i="2"/>
  <c r="I295" i="2"/>
  <c r="H295" i="2"/>
  <c r="AQ294" i="2"/>
  <c r="AP294" i="2"/>
  <c r="AO294" i="2"/>
  <c r="AN294" i="2"/>
  <c r="AM294" i="2"/>
  <c r="AL294" i="2"/>
  <c r="AK294" i="2"/>
  <c r="AJ294" i="2"/>
  <c r="AI294" i="2"/>
  <c r="AH294" i="2"/>
  <c r="AG294" i="2"/>
  <c r="AF294" i="2"/>
  <c r="AE294" i="2"/>
  <c r="AD294" i="2"/>
  <c r="AC294" i="2"/>
  <c r="AB294" i="2"/>
  <c r="AA294" i="2"/>
  <c r="Z294" i="2"/>
  <c r="Y294" i="2"/>
  <c r="X294" i="2"/>
  <c r="W294" i="2"/>
  <c r="V294" i="2"/>
  <c r="U294" i="2"/>
  <c r="T294" i="2"/>
  <c r="S294" i="2"/>
  <c r="R294" i="2"/>
  <c r="Q294" i="2"/>
  <c r="P294" i="2"/>
  <c r="O294" i="2"/>
  <c r="N294" i="2"/>
  <c r="M294" i="2"/>
  <c r="L294" i="2"/>
  <c r="K294" i="2"/>
  <c r="J294" i="2"/>
  <c r="I294" i="2"/>
  <c r="H294" i="2"/>
  <c r="AQ293" i="2"/>
  <c r="AP293" i="2"/>
  <c r="AO293" i="2"/>
  <c r="AN293" i="2"/>
  <c r="AM293" i="2"/>
  <c r="AL293" i="2"/>
  <c r="AK293" i="2"/>
  <c r="AJ293" i="2"/>
  <c r="AI293" i="2"/>
  <c r="AH293" i="2"/>
  <c r="AG293" i="2"/>
  <c r="AF293" i="2"/>
  <c r="AE293" i="2"/>
  <c r="AD293" i="2"/>
  <c r="AC293" i="2"/>
  <c r="AB293" i="2"/>
  <c r="AA293" i="2"/>
  <c r="Z293" i="2"/>
  <c r="Y293" i="2"/>
  <c r="X293" i="2"/>
  <c r="W293" i="2"/>
  <c r="V293" i="2"/>
  <c r="U293" i="2"/>
  <c r="T293" i="2"/>
  <c r="S293" i="2"/>
  <c r="R293" i="2"/>
  <c r="Q293" i="2"/>
  <c r="P293" i="2"/>
  <c r="O293" i="2"/>
  <c r="N293" i="2"/>
  <c r="M293" i="2"/>
  <c r="L293" i="2"/>
  <c r="K293" i="2"/>
  <c r="J293" i="2"/>
  <c r="I293" i="2"/>
  <c r="H293" i="2"/>
  <c r="AQ292" i="2"/>
  <c r="AP292" i="2"/>
  <c r="AO292" i="2"/>
  <c r="AN292" i="2"/>
  <c r="AM292" i="2"/>
  <c r="AL292" i="2"/>
  <c r="AK292" i="2"/>
  <c r="AJ292" i="2"/>
  <c r="AI292" i="2"/>
  <c r="AH292" i="2"/>
  <c r="AG292" i="2"/>
  <c r="AF292" i="2"/>
  <c r="AE292" i="2"/>
  <c r="AD292" i="2"/>
  <c r="AC292" i="2"/>
  <c r="AB292" i="2"/>
  <c r="AA292" i="2"/>
  <c r="Z292" i="2"/>
  <c r="Y292" i="2"/>
  <c r="X292" i="2"/>
  <c r="W292" i="2"/>
  <c r="V292" i="2"/>
  <c r="U292" i="2"/>
  <c r="T292" i="2"/>
  <c r="S292" i="2"/>
  <c r="R292" i="2"/>
  <c r="Q292" i="2"/>
  <c r="P292" i="2"/>
  <c r="O292" i="2"/>
  <c r="N292" i="2"/>
  <c r="M292" i="2"/>
  <c r="L292" i="2"/>
  <c r="K292" i="2"/>
  <c r="J292" i="2"/>
  <c r="I292" i="2"/>
  <c r="H292" i="2"/>
  <c r="AQ291" i="2"/>
  <c r="AP291" i="2"/>
  <c r="AO291" i="2"/>
  <c r="AN291" i="2"/>
  <c r="AM291" i="2"/>
  <c r="AL291" i="2"/>
  <c r="AK291" i="2"/>
  <c r="AJ291" i="2"/>
  <c r="AI291" i="2"/>
  <c r="AH291" i="2"/>
  <c r="AG291" i="2"/>
  <c r="AF291" i="2"/>
  <c r="AE291" i="2"/>
  <c r="AD291" i="2"/>
  <c r="AC291" i="2"/>
  <c r="AB291" i="2"/>
  <c r="AA291" i="2"/>
  <c r="Z291" i="2"/>
  <c r="Y291" i="2"/>
  <c r="X291" i="2"/>
  <c r="W291" i="2"/>
  <c r="V291" i="2"/>
  <c r="U291" i="2"/>
  <c r="T291" i="2"/>
  <c r="S291" i="2"/>
  <c r="R291" i="2"/>
  <c r="Q291" i="2"/>
  <c r="P291" i="2"/>
  <c r="O291" i="2"/>
  <c r="N291" i="2"/>
  <c r="M291" i="2"/>
  <c r="L291" i="2"/>
  <c r="K291" i="2"/>
  <c r="J291" i="2"/>
  <c r="I291" i="2"/>
  <c r="H291" i="2"/>
  <c r="AQ290" i="2"/>
  <c r="AP290" i="2"/>
  <c r="AO290" i="2"/>
  <c r="AN290" i="2"/>
  <c r="AM290" i="2"/>
  <c r="AL290" i="2"/>
  <c r="AK290" i="2"/>
  <c r="AJ290" i="2"/>
  <c r="AI290" i="2"/>
  <c r="AH290" i="2"/>
  <c r="AG290" i="2"/>
  <c r="AF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AQ289" i="2"/>
  <c r="AP289" i="2"/>
  <c r="AO289" i="2"/>
  <c r="AN289" i="2"/>
  <c r="AM289" i="2"/>
  <c r="AL289" i="2"/>
  <c r="AK289" i="2"/>
  <c r="AJ289" i="2"/>
  <c r="AI289" i="2"/>
  <c r="AH289" i="2"/>
  <c r="AG289" i="2"/>
  <c r="AF289" i="2"/>
  <c r="AE289" i="2"/>
  <c r="AD289" i="2"/>
  <c r="AC289" i="2"/>
  <c r="AB289" i="2"/>
  <c r="AA289" i="2"/>
  <c r="Z289" i="2"/>
  <c r="Y289" i="2"/>
  <c r="X289" i="2"/>
  <c r="W289" i="2"/>
  <c r="V289" i="2"/>
  <c r="U289" i="2"/>
  <c r="T289" i="2"/>
  <c r="S289" i="2"/>
  <c r="R289" i="2"/>
  <c r="Q289" i="2"/>
  <c r="P289" i="2"/>
  <c r="O289" i="2"/>
  <c r="N289" i="2"/>
  <c r="M289" i="2"/>
  <c r="L289" i="2"/>
  <c r="K289" i="2"/>
  <c r="J289" i="2"/>
  <c r="I289" i="2"/>
  <c r="H289" i="2"/>
  <c r="AQ288" i="2"/>
  <c r="AP288" i="2"/>
  <c r="AO288" i="2"/>
  <c r="AN288" i="2"/>
  <c r="AM288" i="2"/>
  <c r="AL288" i="2"/>
  <c r="AK288" i="2"/>
  <c r="AJ288" i="2"/>
  <c r="AI288" i="2"/>
  <c r="AH288" i="2"/>
  <c r="AG288" i="2"/>
  <c r="AF288" i="2"/>
  <c r="AE288" i="2"/>
  <c r="AD288" i="2"/>
  <c r="AC288" i="2"/>
  <c r="AB288" i="2"/>
  <c r="AA288" i="2"/>
  <c r="Z288" i="2"/>
  <c r="Y288" i="2"/>
  <c r="X288" i="2"/>
  <c r="W288" i="2"/>
  <c r="V288" i="2"/>
  <c r="U288" i="2"/>
  <c r="T288" i="2"/>
  <c r="S288" i="2"/>
  <c r="R288" i="2"/>
  <c r="Q288" i="2"/>
  <c r="P288" i="2"/>
  <c r="O288" i="2"/>
  <c r="N288" i="2"/>
  <c r="M288" i="2"/>
  <c r="L288" i="2"/>
  <c r="K288" i="2"/>
  <c r="J288" i="2"/>
  <c r="I288" i="2"/>
  <c r="H288" i="2"/>
  <c r="AQ287" i="2"/>
  <c r="AP287" i="2"/>
  <c r="AO287" i="2"/>
  <c r="AN287" i="2"/>
  <c r="AM287" i="2"/>
  <c r="AL287" i="2"/>
  <c r="AK287" i="2"/>
  <c r="AJ287" i="2"/>
  <c r="AI287" i="2"/>
  <c r="AH287" i="2"/>
  <c r="AG287" i="2"/>
  <c r="AF287" i="2"/>
  <c r="AE287" i="2"/>
  <c r="AD287" i="2"/>
  <c r="AC287" i="2"/>
  <c r="AB287" i="2"/>
  <c r="AA287" i="2"/>
  <c r="Z287" i="2"/>
  <c r="Y287" i="2"/>
  <c r="X287" i="2"/>
  <c r="W287" i="2"/>
  <c r="V287" i="2"/>
  <c r="U287" i="2"/>
  <c r="T287" i="2"/>
  <c r="S287" i="2"/>
  <c r="R287" i="2"/>
  <c r="Q287" i="2"/>
  <c r="P287" i="2"/>
  <c r="O287" i="2"/>
  <c r="N287" i="2"/>
  <c r="M287" i="2"/>
  <c r="L287" i="2"/>
  <c r="K287" i="2"/>
  <c r="J287" i="2"/>
  <c r="I287" i="2"/>
  <c r="H287" i="2"/>
  <c r="AQ286" i="2"/>
  <c r="AP286" i="2"/>
  <c r="AO286" i="2"/>
  <c r="AN286" i="2"/>
  <c r="AM286" i="2"/>
  <c r="AL286" i="2"/>
  <c r="AK286" i="2"/>
  <c r="AJ286" i="2"/>
  <c r="AI286" i="2"/>
  <c r="AH286" i="2"/>
  <c r="AG286" i="2"/>
  <c r="AF286" i="2"/>
  <c r="AE286" i="2"/>
  <c r="AD286" i="2"/>
  <c r="AC286" i="2"/>
  <c r="AB286" i="2"/>
  <c r="AA286" i="2"/>
  <c r="Z286" i="2"/>
  <c r="Y286" i="2"/>
  <c r="X286" i="2"/>
  <c r="W286" i="2"/>
  <c r="V286" i="2"/>
  <c r="U286" i="2"/>
  <c r="T286" i="2"/>
  <c r="S286" i="2"/>
  <c r="R286" i="2"/>
  <c r="Q286" i="2"/>
  <c r="P286" i="2"/>
  <c r="O286" i="2"/>
  <c r="N286" i="2"/>
  <c r="M286" i="2"/>
  <c r="L286" i="2"/>
  <c r="K286" i="2"/>
  <c r="J286" i="2"/>
  <c r="I286" i="2"/>
  <c r="H286" i="2"/>
  <c r="AQ285" i="2"/>
  <c r="AP285" i="2"/>
  <c r="AO285" i="2"/>
  <c r="AN285" i="2"/>
  <c r="AM285" i="2"/>
  <c r="AL285" i="2"/>
  <c r="AK285" i="2"/>
  <c r="AJ285" i="2"/>
  <c r="AI285" i="2"/>
  <c r="AH285" i="2"/>
  <c r="AG285" i="2"/>
  <c r="AF285" i="2"/>
  <c r="AE285" i="2"/>
  <c r="AD285" i="2"/>
  <c r="AC285" i="2"/>
  <c r="AB285" i="2"/>
  <c r="AA285" i="2"/>
  <c r="Z285" i="2"/>
  <c r="Y285" i="2"/>
  <c r="X285" i="2"/>
  <c r="W285" i="2"/>
  <c r="V285" i="2"/>
  <c r="U285" i="2"/>
  <c r="T285" i="2"/>
  <c r="S285" i="2"/>
  <c r="R285" i="2"/>
  <c r="Q285" i="2"/>
  <c r="P285" i="2"/>
  <c r="O285" i="2"/>
  <c r="N285" i="2"/>
  <c r="M285" i="2"/>
  <c r="L285" i="2"/>
  <c r="K285" i="2"/>
  <c r="J285" i="2"/>
  <c r="I285" i="2"/>
  <c r="H285" i="2"/>
  <c r="AQ284" i="2"/>
  <c r="AP284" i="2"/>
  <c r="AO284" i="2"/>
  <c r="AN284" i="2"/>
  <c r="AM284" i="2"/>
  <c r="AL284" i="2"/>
  <c r="AK284" i="2"/>
  <c r="AJ284" i="2"/>
  <c r="AI284" i="2"/>
  <c r="AH284" i="2"/>
  <c r="AG284" i="2"/>
  <c r="AF284" i="2"/>
  <c r="AE284" i="2"/>
  <c r="AD284" i="2"/>
  <c r="AC284" i="2"/>
  <c r="AB284" i="2"/>
  <c r="AA284" i="2"/>
  <c r="Z284" i="2"/>
  <c r="Y284" i="2"/>
  <c r="X284" i="2"/>
  <c r="W284" i="2"/>
  <c r="V284" i="2"/>
  <c r="U284" i="2"/>
  <c r="T284" i="2"/>
  <c r="S284" i="2"/>
  <c r="R284" i="2"/>
  <c r="Q284" i="2"/>
  <c r="P284" i="2"/>
  <c r="O284" i="2"/>
  <c r="N284" i="2"/>
  <c r="M284" i="2"/>
  <c r="L284" i="2"/>
  <c r="K284" i="2"/>
  <c r="J284" i="2"/>
  <c r="I284" i="2"/>
  <c r="H284" i="2"/>
  <c r="AQ283" i="2"/>
  <c r="AP283" i="2"/>
  <c r="AO283" i="2"/>
  <c r="AN283" i="2"/>
  <c r="AM283" i="2"/>
  <c r="AL283" i="2"/>
  <c r="AK283" i="2"/>
  <c r="AJ283" i="2"/>
  <c r="AI283" i="2"/>
  <c r="AH283" i="2"/>
  <c r="AG283" i="2"/>
  <c r="AF283" i="2"/>
  <c r="AE283" i="2"/>
  <c r="AD283" i="2"/>
  <c r="AC283" i="2"/>
  <c r="AB283" i="2"/>
  <c r="AA283" i="2"/>
  <c r="Z283" i="2"/>
  <c r="Y283" i="2"/>
  <c r="X283" i="2"/>
  <c r="W283" i="2"/>
  <c r="V283" i="2"/>
  <c r="U283" i="2"/>
  <c r="T283" i="2"/>
  <c r="S283" i="2"/>
  <c r="R283" i="2"/>
  <c r="Q283" i="2"/>
  <c r="P283" i="2"/>
  <c r="O283" i="2"/>
  <c r="N283" i="2"/>
  <c r="M283" i="2"/>
  <c r="L283" i="2"/>
  <c r="K283" i="2"/>
  <c r="J283" i="2"/>
  <c r="I283" i="2"/>
  <c r="H283" i="2"/>
  <c r="AQ282" i="2"/>
  <c r="AP282" i="2"/>
  <c r="AO282" i="2"/>
  <c r="AN282" i="2"/>
  <c r="AM282" i="2"/>
  <c r="AL282" i="2"/>
  <c r="AK282" i="2"/>
  <c r="AJ282" i="2"/>
  <c r="AI282" i="2"/>
  <c r="AH282" i="2"/>
  <c r="AG282" i="2"/>
  <c r="AF282" i="2"/>
  <c r="AE282" i="2"/>
  <c r="AD282" i="2"/>
  <c r="AC282" i="2"/>
  <c r="AB282" i="2"/>
  <c r="AA282" i="2"/>
  <c r="Z282" i="2"/>
  <c r="Y282" i="2"/>
  <c r="X282" i="2"/>
  <c r="W282" i="2"/>
  <c r="V282" i="2"/>
  <c r="U282" i="2"/>
  <c r="T282" i="2"/>
  <c r="S282" i="2"/>
  <c r="R282" i="2"/>
  <c r="Q282" i="2"/>
  <c r="P282" i="2"/>
  <c r="O282" i="2"/>
  <c r="N282" i="2"/>
  <c r="M282" i="2"/>
  <c r="L282" i="2"/>
  <c r="K282" i="2"/>
  <c r="J282" i="2"/>
  <c r="I282" i="2"/>
  <c r="H282" i="2"/>
  <c r="AQ281" i="2"/>
  <c r="AP281" i="2"/>
  <c r="AO281" i="2"/>
  <c r="AN281" i="2"/>
  <c r="AM281" i="2"/>
  <c r="AL281" i="2"/>
  <c r="AK281" i="2"/>
  <c r="AJ281" i="2"/>
  <c r="AI281" i="2"/>
  <c r="AH281" i="2"/>
  <c r="AG281" i="2"/>
  <c r="AF281" i="2"/>
  <c r="AE281" i="2"/>
  <c r="AD281" i="2"/>
  <c r="AC281" i="2"/>
  <c r="AB281" i="2"/>
  <c r="AA281" i="2"/>
  <c r="Z281" i="2"/>
  <c r="Y281" i="2"/>
  <c r="X281" i="2"/>
  <c r="W281" i="2"/>
  <c r="V281" i="2"/>
  <c r="U281" i="2"/>
  <c r="T281" i="2"/>
  <c r="S281" i="2"/>
  <c r="R281" i="2"/>
  <c r="Q281" i="2"/>
  <c r="P281" i="2"/>
  <c r="O281" i="2"/>
  <c r="N281" i="2"/>
  <c r="M281" i="2"/>
  <c r="L281" i="2"/>
  <c r="K281" i="2"/>
  <c r="J281" i="2"/>
  <c r="I281" i="2"/>
  <c r="H281" i="2"/>
  <c r="AQ280" i="2"/>
  <c r="AP280" i="2"/>
  <c r="AO280" i="2"/>
  <c r="AN280" i="2"/>
  <c r="AM280" i="2"/>
  <c r="AL280" i="2"/>
  <c r="AK280" i="2"/>
  <c r="AJ280" i="2"/>
  <c r="AI280" i="2"/>
  <c r="AH280" i="2"/>
  <c r="AG280" i="2"/>
  <c r="AF280" i="2"/>
  <c r="AE280" i="2"/>
  <c r="AD280" i="2"/>
  <c r="AC280" i="2"/>
  <c r="AB280" i="2"/>
  <c r="AA280" i="2"/>
  <c r="Z280" i="2"/>
  <c r="Y280" i="2"/>
  <c r="X280" i="2"/>
  <c r="W280" i="2"/>
  <c r="V280" i="2"/>
  <c r="U280" i="2"/>
  <c r="T280" i="2"/>
  <c r="S280" i="2"/>
  <c r="R280" i="2"/>
  <c r="Q280" i="2"/>
  <c r="P280" i="2"/>
  <c r="O280" i="2"/>
  <c r="N280" i="2"/>
  <c r="M280" i="2"/>
  <c r="L280" i="2"/>
  <c r="K280" i="2"/>
  <c r="J280" i="2"/>
  <c r="I280" i="2"/>
  <c r="H280" i="2"/>
  <c r="AQ279" i="2"/>
  <c r="AP279" i="2"/>
  <c r="AO279" i="2"/>
  <c r="AN279" i="2"/>
  <c r="AM279" i="2"/>
  <c r="AL279" i="2"/>
  <c r="AK279" i="2"/>
  <c r="AJ279" i="2"/>
  <c r="AI279" i="2"/>
  <c r="AH279" i="2"/>
  <c r="AG279" i="2"/>
  <c r="AF279" i="2"/>
  <c r="AE279" i="2"/>
  <c r="AD279" i="2"/>
  <c r="AC279" i="2"/>
  <c r="AB279" i="2"/>
  <c r="AA279" i="2"/>
  <c r="Z279" i="2"/>
  <c r="Y279" i="2"/>
  <c r="X279" i="2"/>
  <c r="W279" i="2"/>
  <c r="V279" i="2"/>
  <c r="U279" i="2"/>
  <c r="T279" i="2"/>
  <c r="S279" i="2"/>
  <c r="R279" i="2"/>
  <c r="Q279" i="2"/>
  <c r="P279" i="2"/>
  <c r="O279" i="2"/>
  <c r="N279" i="2"/>
  <c r="M279" i="2"/>
  <c r="L279" i="2"/>
  <c r="K279" i="2"/>
  <c r="J279" i="2"/>
  <c r="I279" i="2"/>
  <c r="H279" i="2"/>
  <c r="AQ278" i="2"/>
  <c r="AP278" i="2"/>
  <c r="AO278" i="2"/>
  <c r="AN278" i="2"/>
  <c r="AM278" i="2"/>
  <c r="AL278" i="2"/>
  <c r="AK278" i="2"/>
  <c r="AJ278" i="2"/>
  <c r="AI278" i="2"/>
  <c r="AH278" i="2"/>
  <c r="AG278" i="2"/>
  <c r="AF278" i="2"/>
  <c r="AE278" i="2"/>
  <c r="AD278" i="2"/>
  <c r="AC278" i="2"/>
  <c r="AB278" i="2"/>
  <c r="AA278" i="2"/>
  <c r="Z278" i="2"/>
  <c r="Y278" i="2"/>
  <c r="X278" i="2"/>
  <c r="W278" i="2"/>
  <c r="V278" i="2"/>
  <c r="U278" i="2"/>
  <c r="T278" i="2"/>
  <c r="S278" i="2"/>
  <c r="R278" i="2"/>
  <c r="Q278" i="2"/>
  <c r="P278" i="2"/>
  <c r="O278" i="2"/>
  <c r="N278" i="2"/>
  <c r="M278" i="2"/>
  <c r="L278" i="2"/>
  <c r="K278" i="2"/>
  <c r="J278" i="2"/>
  <c r="I278" i="2"/>
  <c r="H278" i="2"/>
  <c r="AQ277" i="2"/>
  <c r="AP277" i="2"/>
  <c r="AO277" i="2"/>
  <c r="AN277" i="2"/>
  <c r="AM277" i="2"/>
  <c r="AL277" i="2"/>
  <c r="AK277" i="2"/>
  <c r="AJ277" i="2"/>
  <c r="AI277" i="2"/>
  <c r="AH277" i="2"/>
  <c r="AG277" i="2"/>
  <c r="AF277" i="2"/>
  <c r="AE277" i="2"/>
  <c r="AD277" i="2"/>
  <c r="AC277" i="2"/>
  <c r="AB277" i="2"/>
  <c r="AA277" i="2"/>
  <c r="Z277" i="2"/>
  <c r="Y277" i="2"/>
  <c r="X277" i="2"/>
  <c r="W277" i="2"/>
  <c r="V277" i="2"/>
  <c r="U277" i="2"/>
  <c r="T277" i="2"/>
  <c r="S277" i="2"/>
  <c r="R277" i="2"/>
  <c r="Q277" i="2"/>
  <c r="P277" i="2"/>
  <c r="O277" i="2"/>
  <c r="N277" i="2"/>
  <c r="M277" i="2"/>
  <c r="L277" i="2"/>
  <c r="K277" i="2"/>
  <c r="J277" i="2"/>
  <c r="I277" i="2"/>
  <c r="H277" i="2"/>
  <c r="AQ276" i="2"/>
  <c r="AP276" i="2"/>
  <c r="AO276" i="2"/>
  <c r="AN276" i="2"/>
  <c r="AM276" i="2"/>
  <c r="AL276" i="2"/>
  <c r="AK276" i="2"/>
  <c r="AJ276" i="2"/>
  <c r="AI276" i="2"/>
  <c r="AH276" i="2"/>
  <c r="AG276" i="2"/>
  <c r="AF276" i="2"/>
  <c r="AE276" i="2"/>
  <c r="AD276" i="2"/>
  <c r="AC276" i="2"/>
  <c r="AB276" i="2"/>
  <c r="AA276" i="2"/>
  <c r="Z276" i="2"/>
  <c r="Y276" i="2"/>
  <c r="X276" i="2"/>
  <c r="W276" i="2"/>
  <c r="V276" i="2"/>
  <c r="U276" i="2"/>
  <c r="T276" i="2"/>
  <c r="S276" i="2"/>
  <c r="R276" i="2"/>
  <c r="Q276" i="2"/>
  <c r="P276" i="2"/>
  <c r="O276" i="2"/>
  <c r="N276" i="2"/>
  <c r="M276" i="2"/>
  <c r="L276" i="2"/>
  <c r="K276" i="2"/>
  <c r="J276" i="2"/>
  <c r="I276" i="2"/>
  <c r="H276" i="2"/>
  <c r="AQ275" i="2"/>
  <c r="AP275" i="2"/>
  <c r="AO275" i="2"/>
  <c r="AN275" i="2"/>
  <c r="AM275" i="2"/>
  <c r="AL275" i="2"/>
  <c r="AK275" i="2"/>
  <c r="AJ275" i="2"/>
  <c r="AI275" i="2"/>
  <c r="AH275" i="2"/>
  <c r="AG275" i="2"/>
  <c r="AF275" i="2"/>
  <c r="AE275" i="2"/>
  <c r="AD275" i="2"/>
  <c r="AC275" i="2"/>
  <c r="AB275" i="2"/>
  <c r="AA275" i="2"/>
  <c r="Z275" i="2"/>
  <c r="Y275" i="2"/>
  <c r="X275" i="2"/>
  <c r="W275" i="2"/>
  <c r="V275" i="2"/>
  <c r="U275" i="2"/>
  <c r="T275" i="2"/>
  <c r="S275" i="2"/>
  <c r="R275" i="2"/>
  <c r="Q275" i="2"/>
  <c r="P275" i="2"/>
  <c r="O275" i="2"/>
  <c r="N275" i="2"/>
  <c r="M275" i="2"/>
  <c r="L275" i="2"/>
  <c r="K275" i="2"/>
  <c r="J275" i="2"/>
  <c r="I275" i="2"/>
  <c r="H275" i="2"/>
  <c r="AQ274" i="2"/>
  <c r="AP274" i="2"/>
  <c r="AO274" i="2"/>
  <c r="AN274" i="2"/>
  <c r="AM274" i="2"/>
  <c r="AL274" i="2"/>
  <c r="AK274" i="2"/>
  <c r="AJ274" i="2"/>
  <c r="AI274" i="2"/>
  <c r="AH274" i="2"/>
  <c r="AG274" i="2"/>
  <c r="AF274" i="2"/>
  <c r="AE274" i="2"/>
  <c r="AD274" i="2"/>
  <c r="AC274" i="2"/>
  <c r="AB274" i="2"/>
  <c r="AA274" i="2"/>
  <c r="Z274" i="2"/>
  <c r="Y274" i="2"/>
  <c r="X274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K274" i="2"/>
  <c r="J274" i="2"/>
  <c r="I274" i="2"/>
  <c r="H274" i="2"/>
  <c r="AQ273" i="2"/>
  <c r="AP273" i="2"/>
  <c r="AO273" i="2"/>
  <c r="AN273" i="2"/>
  <c r="AM273" i="2"/>
  <c r="AL273" i="2"/>
  <c r="AK273" i="2"/>
  <c r="AJ273" i="2"/>
  <c r="AI273" i="2"/>
  <c r="AH273" i="2"/>
  <c r="AG273" i="2"/>
  <c r="AF273" i="2"/>
  <c r="AE273" i="2"/>
  <c r="AD273" i="2"/>
  <c r="AC273" i="2"/>
  <c r="AB273" i="2"/>
  <c r="AA273" i="2"/>
  <c r="Z273" i="2"/>
  <c r="Y273" i="2"/>
  <c r="X273" i="2"/>
  <c r="W273" i="2"/>
  <c r="V273" i="2"/>
  <c r="U273" i="2"/>
  <c r="T273" i="2"/>
  <c r="S273" i="2"/>
  <c r="R273" i="2"/>
  <c r="Q273" i="2"/>
  <c r="P273" i="2"/>
  <c r="O273" i="2"/>
  <c r="N273" i="2"/>
  <c r="M273" i="2"/>
  <c r="L273" i="2"/>
  <c r="K273" i="2"/>
  <c r="J273" i="2"/>
  <c r="I273" i="2"/>
  <c r="H273" i="2"/>
  <c r="AQ272" i="2"/>
  <c r="AP272" i="2"/>
  <c r="AO272" i="2"/>
  <c r="AN272" i="2"/>
  <c r="AM272" i="2"/>
  <c r="AL272" i="2"/>
  <c r="AK272" i="2"/>
  <c r="AJ272" i="2"/>
  <c r="AI272" i="2"/>
  <c r="AH272" i="2"/>
  <c r="AG272" i="2"/>
  <c r="AF272" i="2"/>
  <c r="AE272" i="2"/>
  <c r="AD272" i="2"/>
  <c r="AC272" i="2"/>
  <c r="AB272" i="2"/>
  <c r="AA272" i="2"/>
  <c r="Z272" i="2"/>
  <c r="Y272" i="2"/>
  <c r="X272" i="2"/>
  <c r="W272" i="2"/>
  <c r="V272" i="2"/>
  <c r="U272" i="2"/>
  <c r="T272" i="2"/>
  <c r="S272" i="2"/>
  <c r="R272" i="2"/>
  <c r="Q272" i="2"/>
  <c r="P272" i="2"/>
  <c r="O272" i="2"/>
  <c r="N272" i="2"/>
  <c r="M272" i="2"/>
  <c r="L272" i="2"/>
  <c r="K272" i="2"/>
  <c r="J272" i="2"/>
  <c r="I272" i="2"/>
  <c r="H272" i="2"/>
  <c r="AQ271" i="2"/>
  <c r="AP271" i="2"/>
  <c r="AO271" i="2"/>
  <c r="AN271" i="2"/>
  <c r="AM271" i="2"/>
  <c r="AL271" i="2"/>
  <c r="AK271" i="2"/>
  <c r="AJ271" i="2"/>
  <c r="AI271" i="2"/>
  <c r="AH271" i="2"/>
  <c r="AG271" i="2"/>
  <c r="AF271" i="2"/>
  <c r="AE271" i="2"/>
  <c r="AD271" i="2"/>
  <c r="AC271" i="2"/>
  <c r="AB271" i="2"/>
  <c r="AA271" i="2"/>
  <c r="Z271" i="2"/>
  <c r="Y271" i="2"/>
  <c r="X271" i="2"/>
  <c r="W271" i="2"/>
  <c r="V271" i="2"/>
  <c r="U271" i="2"/>
  <c r="T271" i="2"/>
  <c r="S271" i="2"/>
  <c r="R271" i="2"/>
  <c r="Q271" i="2"/>
  <c r="P271" i="2"/>
  <c r="O271" i="2"/>
  <c r="N271" i="2"/>
  <c r="M271" i="2"/>
  <c r="L271" i="2"/>
  <c r="K271" i="2"/>
  <c r="J271" i="2"/>
  <c r="I271" i="2"/>
  <c r="H271" i="2"/>
  <c r="AQ270" i="2"/>
  <c r="AP270" i="2"/>
  <c r="AO270" i="2"/>
  <c r="AN270" i="2"/>
  <c r="AM270" i="2"/>
  <c r="AL270" i="2"/>
  <c r="AK270" i="2"/>
  <c r="AJ270" i="2"/>
  <c r="AI270" i="2"/>
  <c r="AH270" i="2"/>
  <c r="AG270" i="2"/>
  <c r="AF270" i="2"/>
  <c r="AE270" i="2"/>
  <c r="AD270" i="2"/>
  <c r="AC270" i="2"/>
  <c r="AB270" i="2"/>
  <c r="AA270" i="2"/>
  <c r="Z270" i="2"/>
  <c r="Y270" i="2"/>
  <c r="X270" i="2"/>
  <c r="W270" i="2"/>
  <c r="V270" i="2"/>
  <c r="U270" i="2"/>
  <c r="T270" i="2"/>
  <c r="S270" i="2"/>
  <c r="R270" i="2"/>
  <c r="Q270" i="2"/>
  <c r="P270" i="2"/>
  <c r="O270" i="2"/>
  <c r="N270" i="2"/>
  <c r="M270" i="2"/>
  <c r="L270" i="2"/>
  <c r="K270" i="2"/>
  <c r="J270" i="2"/>
  <c r="I270" i="2"/>
  <c r="H270" i="2"/>
  <c r="AQ269" i="2"/>
  <c r="AP269" i="2"/>
  <c r="AO269" i="2"/>
  <c r="AN269" i="2"/>
  <c r="AM269" i="2"/>
  <c r="AL269" i="2"/>
  <c r="AK269" i="2"/>
  <c r="AJ269" i="2"/>
  <c r="AI269" i="2"/>
  <c r="AH269" i="2"/>
  <c r="AG269" i="2"/>
  <c r="AF269" i="2"/>
  <c r="AE269" i="2"/>
  <c r="AD269" i="2"/>
  <c r="AC269" i="2"/>
  <c r="AB269" i="2"/>
  <c r="AA269" i="2"/>
  <c r="Z269" i="2"/>
  <c r="Y269" i="2"/>
  <c r="X269" i="2"/>
  <c r="W269" i="2"/>
  <c r="V269" i="2"/>
  <c r="U269" i="2"/>
  <c r="T269" i="2"/>
  <c r="S269" i="2"/>
  <c r="R269" i="2"/>
  <c r="Q269" i="2"/>
  <c r="P269" i="2"/>
  <c r="O269" i="2"/>
  <c r="N269" i="2"/>
  <c r="M269" i="2"/>
  <c r="L269" i="2"/>
  <c r="K269" i="2"/>
  <c r="J269" i="2"/>
  <c r="I269" i="2"/>
  <c r="H269" i="2"/>
  <c r="AQ268" i="2"/>
  <c r="AP268" i="2"/>
  <c r="AO268" i="2"/>
  <c r="AN268" i="2"/>
  <c r="AM268" i="2"/>
  <c r="AL268" i="2"/>
  <c r="AK268" i="2"/>
  <c r="AJ268" i="2"/>
  <c r="AI268" i="2"/>
  <c r="AH268" i="2"/>
  <c r="AG268" i="2"/>
  <c r="AF268" i="2"/>
  <c r="AE268" i="2"/>
  <c r="AD268" i="2"/>
  <c r="AC268" i="2"/>
  <c r="AB268" i="2"/>
  <c r="AA268" i="2"/>
  <c r="Z268" i="2"/>
  <c r="Y268" i="2"/>
  <c r="X268" i="2"/>
  <c r="W268" i="2"/>
  <c r="V268" i="2"/>
  <c r="U268" i="2"/>
  <c r="T268" i="2"/>
  <c r="S268" i="2"/>
  <c r="R268" i="2"/>
  <c r="Q268" i="2"/>
  <c r="P268" i="2"/>
  <c r="O268" i="2"/>
  <c r="N268" i="2"/>
  <c r="M268" i="2"/>
  <c r="L268" i="2"/>
  <c r="K268" i="2"/>
  <c r="J268" i="2"/>
  <c r="I268" i="2"/>
  <c r="H268" i="2"/>
  <c r="AQ267" i="2"/>
  <c r="AP267" i="2"/>
  <c r="AO267" i="2"/>
  <c r="AN267" i="2"/>
  <c r="AM267" i="2"/>
  <c r="AL267" i="2"/>
  <c r="AK267" i="2"/>
  <c r="AJ267" i="2"/>
  <c r="AI267" i="2"/>
  <c r="AH267" i="2"/>
  <c r="AG267" i="2"/>
  <c r="AF267" i="2"/>
  <c r="AE267" i="2"/>
  <c r="AD267" i="2"/>
  <c r="AC267" i="2"/>
  <c r="AB267" i="2"/>
  <c r="AA267" i="2"/>
  <c r="Z267" i="2"/>
  <c r="Y267" i="2"/>
  <c r="X267" i="2"/>
  <c r="W267" i="2"/>
  <c r="V267" i="2"/>
  <c r="U267" i="2"/>
  <c r="T267" i="2"/>
  <c r="S267" i="2"/>
  <c r="R267" i="2"/>
  <c r="Q267" i="2"/>
  <c r="P267" i="2"/>
  <c r="O267" i="2"/>
  <c r="N267" i="2"/>
  <c r="M267" i="2"/>
  <c r="L267" i="2"/>
  <c r="K267" i="2"/>
  <c r="J267" i="2"/>
  <c r="I267" i="2"/>
  <c r="H267" i="2"/>
  <c r="AQ266" i="2"/>
  <c r="AP266" i="2"/>
  <c r="AO266" i="2"/>
  <c r="AN266" i="2"/>
  <c r="AM266" i="2"/>
  <c r="AL266" i="2"/>
  <c r="AK266" i="2"/>
  <c r="AJ266" i="2"/>
  <c r="AI266" i="2"/>
  <c r="AH266" i="2"/>
  <c r="AG266" i="2"/>
  <c r="AF266" i="2"/>
  <c r="AE266" i="2"/>
  <c r="AD266" i="2"/>
  <c r="AC266" i="2"/>
  <c r="AB266" i="2"/>
  <c r="AA266" i="2"/>
  <c r="Z266" i="2"/>
  <c r="Y266" i="2"/>
  <c r="X266" i="2"/>
  <c r="W266" i="2"/>
  <c r="V266" i="2"/>
  <c r="U266" i="2"/>
  <c r="T266" i="2"/>
  <c r="S266" i="2"/>
  <c r="R266" i="2"/>
  <c r="Q266" i="2"/>
  <c r="P266" i="2"/>
  <c r="O266" i="2"/>
  <c r="N266" i="2"/>
  <c r="M266" i="2"/>
  <c r="L266" i="2"/>
  <c r="K266" i="2"/>
  <c r="J266" i="2"/>
  <c r="I266" i="2"/>
  <c r="H266" i="2"/>
  <c r="AQ265" i="2"/>
  <c r="AP265" i="2"/>
  <c r="AO265" i="2"/>
  <c r="AN265" i="2"/>
  <c r="AM265" i="2"/>
  <c r="AL265" i="2"/>
  <c r="AK265" i="2"/>
  <c r="AJ265" i="2"/>
  <c r="AI265" i="2"/>
  <c r="AH265" i="2"/>
  <c r="AG265" i="2"/>
  <c r="AF265" i="2"/>
  <c r="AE265" i="2"/>
  <c r="AD265" i="2"/>
  <c r="AC265" i="2"/>
  <c r="AB265" i="2"/>
  <c r="AA265" i="2"/>
  <c r="Z265" i="2"/>
  <c r="Y265" i="2"/>
  <c r="X265" i="2"/>
  <c r="W265" i="2"/>
  <c r="V265" i="2"/>
  <c r="U265" i="2"/>
  <c r="T265" i="2"/>
  <c r="S265" i="2"/>
  <c r="R265" i="2"/>
  <c r="Q265" i="2"/>
  <c r="P265" i="2"/>
  <c r="O265" i="2"/>
  <c r="N265" i="2"/>
  <c r="M265" i="2"/>
  <c r="L265" i="2"/>
  <c r="K265" i="2"/>
  <c r="J265" i="2"/>
  <c r="I265" i="2"/>
  <c r="H265" i="2"/>
  <c r="AQ264" i="2"/>
  <c r="AP264" i="2"/>
  <c r="AO264" i="2"/>
  <c r="AN264" i="2"/>
  <c r="AM264" i="2"/>
  <c r="AL264" i="2"/>
  <c r="AK264" i="2"/>
  <c r="AJ264" i="2"/>
  <c r="AI264" i="2"/>
  <c r="AH264" i="2"/>
  <c r="AG264" i="2"/>
  <c r="AF264" i="2"/>
  <c r="AE264" i="2"/>
  <c r="AD264" i="2"/>
  <c r="AC264" i="2"/>
  <c r="AB264" i="2"/>
  <c r="AA264" i="2"/>
  <c r="Z264" i="2"/>
  <c r="Y264" i="2"/>
  <c r="X264" i="2"/>
  <c r="W264" i="2"/>
  <c r="V264" i="2"/>
  <c r="U264" i="2"/>
  <c r="T264" i="2"/>
  <c r="S264" i="2"/>
  <c r="R264" i="2"/>
  <c r="Q264" i="2"/>
  <c r="P264" i="2"/>
  <c r="O264" i="2"/>
  <c r="N264" i="2"/>
  <c r="M264" i="2"/>
  <c r="L264" i="2"/>
  <c r="K264" i="2"/>
  <c r="J264" i="2"/>
  <c r="I264" i="2"/>
  <c r="H264" i="2"/>
  <c r="AQ263" i="2"/>
  <c r="AP263" i="2"/>
  <c r="AO263" i="2"/>
  <c r="AN263" i="2"/>
  <c r="AM263" i="2"/>
  <c r="AL263" i="2"/>
  <c r="AK263" i="2"/>
  <c r="AJ263" i="2"/>
  <c r="AI263" i="2"/>
  <c r="AH263" i="2"/>
  <c r="AG263" i="2"/>
  <c r="AF263" i="2"/>
  <c r="AE263" i="2"/>
  <c r="AD263" i="2"/>
  <c r="AC263" i="2"/>
  <c r="AB263" i="2"/>
  <c r="AA263" i="2"/>
  <c r="Z263" i="2"/>
  <c r="Y263" i="2"/>
  <c r="X263" i="2"/>
  <c r="W263" i="2"/>
  <c r="V263" i="2"/>
  <c r="U263" i="2"/>
  <c r="T263" i="2"/>
  <c r="S263" i="2"/>
  <c r="R263" i="2"/>
  <c r="Q263" i="2"/>
  <c r="P263" i="2"/>
  <c r="O263" i="2"/>
  <c r="N263" i="2"/>
  <c r="M263" i="2"/>
  <c r="L263" i="2"/>
  <c r="K263" i="2"/>
  <c r="J263" i="2"/>
  <c r="I263" i="2"/>
  <c r="H263" i="2"/>
  <c r="AQ262" i="2"/>
  <c r="AP262" i="2"/>
  <c r="AO262" i="2"/>
  <c r="AN262" i="2"/>
  <c r="AM262" i="2"/>
  <c r="AL262" i="2"/>
  <c r="AK262" i="2"/>
  <c r="AJ262" i="2"/>
  <c r="AI262" i="2"/>
  <c r="AH262" i="2"/>
  <c r="AG262" i="2"/>
  <c r="AF262" i="2"/>
  <c r="AE262" i="2"/>
  <c r="AD262" i="2"/>
  <c r="AC262" i="2"/>
  <c r="AB262" i="2"/>
  <c r="AA262" i="2"/>
  <c r="Z262" i="2"/>
  <c r="Y262" i="2"/>
  <c r="X262" i="2"/>
  <c r="W262" i="2"/>
  <c r="V262" i="2"/>
  <c r="U262" i="2"/>
  <c r="T262" i="2"/>
  <c r="S262" i="2"/>
  <c r="R262" i="2"/>
  <c r="Q262" i="2"/>
  <c r="P262" i="2"/>
  <c r="O262" i="2"/>
  <c r="N262" i="2"/>
  <c r="M262" i="2"/>
  <c r="L262" i="2"/>
  <c r="K262" i="2"/>
  <c r="J262" i="2"/>
  <c r="I262" i="2"/>
  <c r="H262" i="2"/>
  <c r="AQ261" i="2"/>
  <c r="AP261" i="2"/>
  <c r="AO261" i="2"/>
  <c r="AN261" i="2"/>
  <c r="AM261" i="2"/>
  <c r="AL261" i="2"/>
  <c r="AK261" i="2"/>
  <c r="AJ261" i="2"/>
  <c r="AI261" i="2"/>
  <c r="AH261" i="2"/>
  <c r="AG261" i="2"/>
  <c r="AF261" i="2"/>
  <c r="AE261" i="2"/>
  <c r="AD261" i="2"/>
  <c r="AC261" i="2"/>
  <c r="AB261" i="2"/>
  <c r="AA261" i="2"/>
  <c r="Z261" i="2"/>
  <c r="Y261" i="2"/>
  <c r="X261" i="2"/>
  <c r="W261" i="2"/>
  <c r="V261" i="2"/>
  <c r="U261" i="2"/>
  <c r="T261" i="2"/>
  <c r="S261" i="2"/>
  <c r="R261" i="2"/>
  <c r="Q261" i="2"/>
  <c r="P261" i="2"/>
  <c r="O261" i="2"/>
  <c r="N261" i="2"/>
  <c r="M261" i="2"/>
  <c r="L261" i="2"/>
  <c r="K261" i="2"/>
  <c r="J261" i="2"/>
  <c r="I261" i="2"/>
  <c r="H261" i="2"/>
  <c r="AQ260" i="2"/>
  <c r="AP260" i="2"/>
  <c r="AO260" i="2"/>
  <c r="AN260" i="2"/>
  <c r="AM260" i="2"/>
  <c r="AL260" i="2"/>
  <c r="AK260" i="2"/>
  <c r="AJ260" i="2"/>
  <c r="AI260" i="2"/>
  <c r="AH260" i="2"/>
  <c r="AG260" i="2"/>
  <c r="AF260" i="2"/>
  <c r="AE260" i="2"/>
  <c r="AD260" i="2"/>
  <c r="AC260" i="2"/>
  <c r="AB260" i="2"/>
  <c r="AA260" i="2"/>
  <c r="Z260" i="2"/>
  <c r="Y260" i="2"/>
  <c r="X260" i="2"/>
  <c r="W260" i="2"/>
  <c r="V260" i="2"/>
  <c r="U260" i="2"/>
  <c r="T260" i="2"/>
  <c r="S260" i="2"/>
  <c r="R260" i="2"/>
  <c r="Q260" i="2"/>
  <c r="P260" i="2"/>
  <c r="O260" i="2"/>
  <c r="N260" i="2"/>
  <c r="M260" i="2"/>
  <c r="L260" i="2"/>
  <c r="K260" i="2"/>
  <c r="J260" i="2"/>
  <c r="I260" i="2"/>
  <c r="H260" i="2"/>
  <c r="AQ259" i="2"/>
  <c r="AP259" i="2"/>
  <c r="AO259" i="2"/>
  <c r="AN259" i="2"/>
  <c r="AM259" i="2"/>
  <c r="AL259" i="2"/>
  <c r="AK259" i="2"/>
  <c r="AJ259" i="2"/>
  <c r="AI259" i="2"/>
  <c r="AH259" i="2"/>
  <c r="AG259" i="2"/>
  <c r="AF259" i="2"/>
  <c r="AE259" i="2"/>
  <c r="AD259" i="2"/>
  <c r="AC259" i="2"/>
  <c r="AB259" i="2"/>
  <c r="AA259" i="2"/>
  <c r="Z259" i="2"/>
  <c r="Y259" i="2"/>
  <c r="X259" i="2"/>
  <c r="W259" i="2"/>
  <c r="V259" i="2"/>
  <c r="U259" i="2"/>
  <c r="T259" i="2"/>
  <c r="S259" i="2"/>
  <c r="R259" i="2"/>
  <c r="Q259" i="2"/>
  <c r="P259" i="2"/>
  <c r="O259" i="2"/>
  <c r="N259" i="2"/>
  <c r="M259" i="2"/>
  <c r="L259" i="2"/>
  <c r="K259" i="2"/>
  <c r="J259" i="2"/>
  <c r="I259" i="2"/>
  <c r="H259" i="2"/>
  <c r="AQ258" i="2"/>
  <c r="AP258" i="2"/>
  <c r="AO258" i="2"/>
  <c r="AN258" i="2"/>
  <c r="AM258" i="2"/>
  <c r="AL258" i="2"/>
  <c r="AK258" i="2"/>
  <c r="AJ258" i="2"/>
  <c r="AI258" i="2"/>
  <c r="AH258" i="2"/>
  <c r="AG258" i="2"/>
  <c r="AF258" i="2"/>
  <c r="AE258" i="2"/>
  <c r="AD258" i="2"/>
  <c r="AC258" i="2"/>
  <c r="AB258" i="2"/>
  <c r="AA258" i="2"/>
  <c r="Z258" i="2"/>
  <c r="Y258" i="2"/>
  <c r="X258" i="2"/>
  <c r="W258" i="2"/>
  <c r="V258" i="2"/>
  <c r="U258" i="2"/>
  <c r="T258" i="2"/>
  <c r="S258" i="2"/>
  <c r="R258" i="2"/>
  <c r="Q258" i="2"/>
  <c r="P258" i="2"/>
  <c r="O258" i="2"/>
  <c r="N258" i="2"/>
  <c r="M258" i="2"/>
  <c r="L258" i="2"/>
  <c r="K258" i="2"/>
  <c r="J258" i="2"/>
  <c r="I258" i="2"/>
  <c r="H258" i="2"/>
  <c r="AQ257" i="2"/>
  <c r="AP257" i="2"/>
  <c r="AO257" i="2"/>
  <c r="AN257" i="2"/>
  <c r="AM257" i="2"/>
  <c r="AL257" i="2"/>
  <c r="AK257" i="2"/>
  <c r="AJ257" i="2"/>
  <c r="AI257" i="2"/>
  <c r="AH257" i="2"/>
  <c r="AG257" i="2"/>
  <c r="AF257" i="2"/>
  <c r="AE257" i="2"/>
  <c r="AD257" i="2"/>
  <c r="AC257" i="2"/>
  <c r="AB257" i="2"/>
  <c r="AA257" i="2"/>
  <c r="Z257" i="2"/>
  <c r="Y257" i="2"/>
  <c r="X257" i="2"/>
  <c r="W257" i="2"/>
  <c r="V257" i="2"/>
  <c r="U257" i="2"/>
  <c r="T257" i="2"/>
  <c r="S257" i="2"/>
  <c r="R257" i="2"/>
  <c r="Q257" i="2"/>
  <c r="P257" i="2"/>
  <c r="O257" i="2"/>
  <c r="N257" i="2"/>
  <c r="M257" i="2"/>
  <c r="L257" i="2"/>
  <c r="K257" i="2"/>
  <c r="J257" i="2"/>
  <c r="I257" i="2"/>
  <c r="H257" i="2"/>
  <c r="AQ256" i="2"/>
  <c r="AP256" i="2"/>
  <c r="AO256" i="2"/>
  <c r="AN256" i="2"/>
  <c r="AM256" i="2"/>
  <c r="AL256" i="2"/>
  <c r="AK256" i="2"/>
  <c r="AJ256" i="2"/>
  <c r="AI256" i="2"/>
  <c r="AH256" i="2"/>
  <c r="AG256" i="2"/>
  <c r="AF256" i="2"/>
  <c r="AE256" i="2"/>
  <c r="AD256" i="2"/>
  <c r="AC256" i="2"/>
  <c r="AB256" i="2"/>
  <c r="AA256" i="2"/>
  <c r="Z256" i="2"/>
  <c r="Y256" i="2"/>
  <c r="X256" i="2"/>
  <c r="W256" i="2"/>
  <c r="V256" i="2"/>
  <c r="U256" i="2"/>
  <c r="T256" i="2"/>
  <c r="S256" i="2"/>
  <c r="R256" i="2"/>
  <c r="Q256" i="2"/>
  <c r="P256" i="2"/>
  <c r="O256" i="2"/>
  <c r="N256" i="2"/>
  <c r="M256" i="2"/>
  <c r="L256" i="2"/>
  <c r="K256" i="2"/>
  <c r="J256" i="2"/>
  <c r="I256" i="2"/>
  <c r="H256" i="2"/>
  <c r="AQ255" i="2"/>
  <c r="AP255" i="2"/>
  <c r="AO255" i="2"/>
  <c r="AN255" i="2"/>
  <c r="AM255" i="2"/>
  <c r="AL255" i="2"/>
  <c r="AK255" i="2"/>
  <c r="AJ255" i="2"/>
  <c r="AI255" i="2"/>
  <c r="AH255" i="2"/>
  <c r="AG255" i="2"/>
  <c r="AF255" i="2"/>
  <c r="AE255" i="2"/>
  <c r="AD255" i="2"/>
  <c r="AC255" i="2"/>
  <c r="AB255" i="2"/>
  <c r="AA255" i="2"/>
  <c r="Z255" i="2"/>
  <c r="Y255" i="2"/>
  <c r="X255" i="2"/>
  <c r="W255" i="2"/>
  <c r="V255" i="2"/>
  <c r="U255" i="2"/>
  <c r="T255" i="2"/>
  <c r="S255" i="2"/>
  <c r="R255" i="2"/>
  <c r="Q255" i="2"/>
  <c r="P255" i="2"/>
  <c r="O255" i="2"/>
  <c r="N255" i="2"/>
  <c r="M255" i="2"/>
  <c r="L255" i="2"/>
  <c r="K255" i="2"/>
  <c r="J255" i="2"/>
  <c r="I255" i="2"/>
  <c r="H255" i="2"/>
  <c r="AQ254" i="2"/>
  <c r="AP254" i="2"/>
  <c r="AO254" i="2"/>
  <c r="AN254" i="2"/>
  <c r="AM254" i="2"/>
  <c r="AL254" i="2"/>
  <c r="AK254" i="2"/>
  <c r="AJ254" i="2"/>
  <c r="AI254" i="2"/>
  <c r="AH254" i="2"/>
  <c r="AG254" i="2"/>
  <c r="AF254" i="2"/>
  <c r="AE254" i="2"/>
  <c r="AD254" i="2"/>
  <c r="AC254" i="2"/>
  <c r="AB254" i="2"/>
  <c r="AA254" i="2"/>
  <c r="Z254" i="2"/>
  <c r="Y254" i="2"/>
  <c r="X254" i="2"/>
  <c r="W254" i="2"/>
  <c r="V254" i="2"/>
  <c r="U254" i="2"/>
  <c r="T254" i="2"/>
  <c r="S254" i="2"/>
  <c r="R254" i="2"/>
  <c r="Q254" i="2"/>
  <c r="P254" i="2"/>
  <c r="O254" i="2"/>
  <c r="N254" i="2"/>
  <c r="M254" i="2"/>
  <c r="L254" i="2"/>
  <c r="K254" i="2"/>
  <c r="J254" i="2"/>
  <c r="I254" i="2"/>
  <c r="H254" i="2"/>
  <c r="AQ253" i="2"/>
  <c r="AP253" i="2"/>
  <c r="AO253" i="2"/>
  <c r="AN253" i="2"/>
  <c r="AM253" i="2"/>
  <c r="AL253" i="2"/>
  <c r="AK253" i="2"/>
  <c r="AJ253" i="2"/>
  <c r="AI253" i="2"/>
  <c r="AH253" i="2"/>
  <c r="AG253" i="2"/>
  <c r="AF253" i="2"/>
  <c r="AE253" i="2"/>
  <c r="AD253" i="2"/>
  <c r="AC253" i="2"/>
  <c r="AB253" i="2"/>
  <c r="AA253" i="2"/>
  <c r="Z253" i="2"/>
  <c r="Y253" i="2"/>
  <c r="X253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AQ252" i="2"/>
  <c r="AP252" i="2"/>
  <c r="AO252" i="2"/>
  <c r="AN252" i="2"/>
  <c r="AM252" i="2"/>
  <c r="AL252" i="2"/>
  <c r="AK252" i="2"/>
  <c r="AJ252" i="2"/>
  <c r="AI252" i="2"/>
  <c r="AH252" i="2"/>
  <c r="AG252" i="2"/>
  <c r="AF252" i="2"/>
  <c r="AE252" i="2"/>
  <c r="AD252" i="2"/>
  <c r="AC252" i="2"/>
  <c r="AB252" i="2"/>
  <c r="AA252" i="2"/>
  <c r="Z252" i="2"/>
  <c r="Y252" i="2"/>
  <c r="X252" i="2"/>
  <c r="W252" i="2"/>
  <c r="V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AQ251" i="2"/>
  <c r="AP251" i="2"/>
  <c r="AO251" i="2"/>
  <c r="AN251" i="2"/>
  <c r="AM251" i="2"/>
  <c r="AL251" i="2"/>
  <c r="AK251" i="2"/>
  <c r="AJ251" i="2"/>
  <c r="AI251" i="2"/>
  <c r="AH251" i="2"/>
  <c r="AG251" i="2"/>
  <c r="AF251" i="2"/>
  <c r="AE251" i="2"/>
  <c r="AD251" i="2"/>
  <c r="AC251" i="2"/>
  <c r="AB251" i="2"/>
  <c r="AA251" i="2"/>
  <c r="Z251" i="2"/>
  <c r="Y251" i="2"/>
  <c r="X251" i="2"/>
  <c r="W251" i="2"/>
  <c r="V251" i="2"/>
  <c r="U251" i="2"/>
  <c r="T251" i="2"/>
  <c r="S251" i="2"/>
  <c r="R251" i="2"/>
  <c r="Q251" i="2"/>
  <c r="P251" i="2"/>
  <c r="O251" i="2"/>
  <c r="N251" i="2"/>
  <c r="M251" i="2"/>
  <c r="L251" i="2"/>
  <c r="K251" i="2"/>
  <c r="J251" i="2"/>
  <c r="I251" i="2"/>
  <c r="H251" i="2"/>
  <c r="AQ250" i="2"/>
  <c r="AP250" i="2"/>
  <c r="AO250" i="2"/>
  <c r="AN250" i="2"/>
  <c r="AM250" i="2"/>
  <c r="AL250" i="2"/>
  <c r="AK250" i="2"/>
  <c r="AJ250" i="2"/>
  <c r="AI250" i="2"/>
  <c r="AH250" i="2"/>
  <c r="AG250" i="2"/>
  <c r="AF250" i="2"/>
  <c r="AE250" i="2"/>
  <c r="AD250" i="2"/>
  <c r="AC250" i="2"/>
  <c r="AB250" i="2"/>
  <c r="AA250" i="2"/>
  <c r="Z250" i="2"/>
  <c r="Y250" i="2"/>
  <c r="X250" i="2"/>
  <c r="W250" i="2"/>
  <c r="V250" i="2"/>
  <c r="U250" i="2"/>
  <c r="T250" i="2"/>
  <c r="S250" i="2"/>
  <c r="R250" i="2"/>
  <c r="Q250" i="2"/>
  <c r="P250" i="2"/>
  <c r="O250" i="2"/>
  <c r="N250" i="2"/>
  <c r="M250" i="2"/>
  <c r="L250" i="2"/>
  <c r="K250" i="2"/>
  <c r="J250" i="2"/>
  <c r="I250" i="2"/>
  <c r="H250" i="2"/>
  <c r="AQ249" i="2"/>
  <c r="AP249" i="2"/>
  <c r="AO249" i="2"/>
  <c r="AN249" i="2"/>
  <c r="AM249" i="2"/>
  <c r="AL249" i="2"/>
  <c r="AK249" i="2"/>
  <c r="AJ249" i="2"/>
  <c r="AI249" i="2"/>
  <c r="AH249" i="2"/>
  <c r="AG249" i="2"/>
  <c r="AF249" i="2"/>
  <c r="AE249" i="2"/>
  <c r="AD249" i="2"/>
  <c r="AC249" i="2"/>
  <c r="AB249" i="2"/>
  <c r="AA249" i="2"/>
  <c r="Z249" i="2"/>
  <c r="Y249" i="2"/>
  <c r="X249" i="2"/>
  <c r="W249" i="2"/>
  <c r="V249" i="2"/>
  <c r="U249" i="2"/>
  <c r="T249" i="2"/>
  <c r="S249" i="2"/>
  <c r="R249" i="2"/>
  <c r="Q249" i="2"/>
  <c r="P249" i="2"/>
  <c r="O249" i="2"/>
  <c r="N249" i="2"/>
  <c r="M249" i="2"/>
  <c r="L249" i="2"/>
  <c r="K249" i="2"/>
  <c r="J249" i="2"/>
  <c r="I249" i="2"/>
  <c r="H249" i="2"/>
  <c r="AQ248" i="2"/>
  <c r="AP248" i="2"/>
  <c r="AO248" i="2"/>
  <c r="AN248" i="2"/>
  <c r="AM248" i="2"/>
  <c r="AL248" i="2"/>
  <c r="AK248" i="2"/>
  <c r="AJ248" i="2"/>
  <c r="AI248" i="2"/>
  <c r="AH248" i="2"/>
  <c r="AG248" i="2"/>
  <c r="AF248" i="2"/>
  <c r="AE248" i="2"/>
  <c r="AD248" i="2"/>
  <c r="AC248" i="2"/>
  <c r="AB248" i="2"/>
  <c r="AA248" i="2"/>
  <c r="Z248" i="2"/>
  <c r="Y248" i="2"/>
  <c r="X248" i="2"/>
  <c r="W248" i="2"/>
  <c r="V248" i="2"/>
  <c r="U248" i="2"/>
  <c r="T248" i="2"/>
  <c r="S248" i="2"/>
  <c r="R248" i="2"/>
  <c r="Q248" i="2"/>
  <c r="P248" i="2"/>
  <c r="O248" i="2"/>
  <c r="N248" i="2"/>
  <c r="M248" i="2"/>
  <c r="L248" i="2"/>
  <c r="K248" i="2"/>
  <c r="J248" i="2"/>
  <c r="I248" i="2"/>
  <c r="H248" i="2"/>
  <c r="AQ247" i="2"/>
  <c r="AP247" i="2"/>
  <c r="AO247" i="2"/>
  <c r="AN247" i="2"/>
  <c r="AM247" i="2"/>
  <c r="AL247" i="2"/>
  <c r="AK247" i="2"/>
  <c r="AJ247" i="2"/>
  <c r="AI247" i="2"/>
  <c r="AH247" i="2"/>
  <c r="AG247" i="2"/>
  <c r="AF247" i="2"/>
  <c r="AE247" i="2"/>
  <c r="AD247" i="2"/>
  <c r="AC247" i="2"/>
  <c r="AB247" i="2"/>
  <c r="AA247" i="2"/>
  <c r="Z247" i="2"/>
  <c r="Y247" i="2"/>
  <c r="X247" i="2"/>
  <c r="W247" i="2"/>
  <c r="V247" i="2"/>
  <c r="U247" i="2"/>
  <c r="T247" i="2"/>
  <c r="S247" i="2"/>
  <c r="R247" i="2"/>
  <c r="Q247" i="2"/>
  <c r="P247" i="2"/>
  <c r="O247" i="2"/>
  <c r="N247" i="2"/>
  <c r="M247" i="2"/>
  <c r="L247" i="2"/>
  <c r="K247" i="2"/>
  <c r="J247" i="2"/>
  <c r="I247" i="2"/>
  <c r="H247" i="2"/>
  <c r="AQ246" i="2"/>
  <c r="AP246" i="2"/>
  <c r="AO246" i="2"/>
  <c r="AN246" i="2"/>
  <c r="AM246" i="2"/>
  <c r="AL246" i="2"/>
  <c r="AK246" i="2"/>
  <c r="AJ246" i="2"/>
  <c r="AI246" i="2"/>
  <c r="AH246" i="2"/>
  <c r="AG246" i="2"/>
  <c r="AF246" i="2"/>
  <c r="AE246" i="2"/>
  <c r="AD246" i="2"/>
  <c r="AC246" i="2"/>
  <c r="AB246" i="2"/>
  <c r="AA246" i="2"/>
  <c r="Z246" i="2"/>
  <c r="Y246" i="2"/>
  <c r="X246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K246" i="2"/>
  <c r="J246" i="2"/>
  <c r="I246" i="2"/>
  <c r="H246" i="2"/>
  <c r="AQ245" i="2"/>
  <c r="AP245" i="2"/>
  <c r="AO245" i="2"/>
  <c r="AN245" i="2"/>
  <c r="AM245" i="2"/>
  <c r="AL245" i="2"/>
  <c r="AK245" i="2"/>
  <c r="AJ245" i="2"/>
  <c r="AI245" i="2"/>
  <c r="AH245" i="2"/>
  <c r="AG245" i="2"/>
  <c r="AF245" i="2"/>
  <c r="AE245" i="2"/>
  <c r="AD245" i="2"/>
  <c r="AC245" i="2"/>
  <c r="AB245" i="2"/>
  <c r="AA245" i="2"/>
  <c r="Z245" i="2"/>
  <c r="Y245" i="2"/>
  <c r="X245" i="2"/>
  <c r="W245" i="2"/>
  <c r="V245" i="2"/>
  <c r="U245" i="2"/>
  <c r="T245" i="2"/>
  <c r="S245" i="2"/>
  <c r="R245" i="2"/>
  <c r="Q245" i="2"/>
  <c r="P245" i="2"/>
  <c r="O245" i="2"/>
  <c r="N245" i="2"/>
  <c r="M245" i="2"/>
  <c r="L245" i="2"/>
  <c r="K245" i="2"/>
  <c r="J245" i="2"/>
  <c r="I245" i="2"/>
  <c r="H245" i="2"/>
  <c r="AQ244" i="2"/>
  <c r="AP244" i="2"/>
  <c r="AO244" i="2"/>
  <c r="AN244" i="2"/>
  <c r="AM244" i="2"/>
  <c r="AL244" i="2"/>
  <c r="AK244" i="2"/>
  <c r="AJ244" i="2"/>
  <c r="AI244" i="2"/>
  <c r="AH244" i="2"/>
  <c r="AG244" i="2"/>
  <c r="AF244" i="2"/>
  <c r="AE244" i="2"/>
  <c r="AD244" i="2"/>
  <c r="AC244" i="2"/>
  <c r="AB244" i="2"/>
  <c r="AA244" i="2"/>
  <c r="Z244" i="2"/>
  <c r="Y244" i="2"/>
  <c r="X244" i="2"/>
  <c r="W244" i="2"/>
  <c r="V244" i="2"/>
  <c r="U244" i="2"/>
  <c r="T244" i="2"/>
  <c r="S244" i="2"/>
  <c r="R244" i="2"/>
  <c r="Q244" i="2"/>
  <c r="P244" i="2"/>
  <c r="O244" i="2"/>
  <c r="N244" i="2"/>
  <c r="M244" i="2"/>
  <c r="L244" i="2"/>
  <c r="K244" i="2"/>
  <c r="J244" i="2"/>
  <c r="I244" i="2"/>
  <c r="H244" i="2"/>
  <c r="AQ243" i="2"/>
  <c r="AP243" i="2"/>
  <c r="AO243" i="2"/>
  <c r="AN243" i="2"/>
  <c r="AM243" i="2"/>
  <c r="AL243" i="2"/>
  <c r="AK243" i="2"/>
  <c r="AJ243" i="2"/>
  <c r="AI243" i="2"/>
  <c r="AH243" i="2"/>
  <c r="AG243" i="2"/>
  <c r="AF243" i="2"/>
  <c r="AE243" i="2"/>
  <c r="AD243" i="2"/>
  <c r="AC243" i="2"/>
  <c r="AB243" i="2"/>
  <c r="AA243" i="2"/>
  <c r="Z243" i="2"/>
  <c r="Y243" i="2"/>
  <c r="X243" i="2"/>
  <c r="W243" i="2"/>
  <c r="V243" i="2"/>
  <c r="U243" i="2"/>
  <c r="T243" i="2"/>
  <c r="S243" i="2"/>
  <c r="R243" i="2"/>
  <c r="Q243" i="2"/>
  <c r="P243" i="2"/>
  <c r="O243" i="2"/>
  <c r="N243" i="2"/>
  <c r="M243" i="2"/>
  <c r="L243" i="2"/>
  <c r="K243" i="2"/>
  <c r="J243" i="2"/>
  <c r="I243" i="2"/>
  <c r="H243" i="2"/>
  <c r="AQ242" i="2"/>
  <c r="AP242" i="2"/>
  <c r="AO242" i="2"/>
  <c r="AN242" i="2"/>
  <c r="AM242" i="2"/>
  <c r="AL242" i="2"/>
  <c r="AK242" i="2"/>
  <c r="AJ242" i="2"/>
  <c r="AI242" i="2"/>
  <c r="AH242" i="2"/>
  <c r="AG242" i="2"/>
  <c r="AF242" i="2"/>
  <c r="AE242" i="2"/>
  <c r="AD242" i="2"/>
  <c r="AC242" i="2"/>
  <c r="AB242" i="2"/>
  <c r="AA242" i="2"/>
  <c r="Z242" i="2"/>
  <c r="Y242" i="2"/>
  <c r="X242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K242" i="2"/>
  <c r="J242" i="2"/>
  <c r="I242" i="2"/>
  <c r="H242" i="2"/>
  <c r="AQ241" i="2"/>
  <c r="AP241" i="2"/>
  <c r="AO241" i="2"/>
  <c r="AN241" i="2"/>
  <c r="AM241" i="2"/>
  <c r="AL241" i="2"/>
  <c r="AK241" i="2"/>
  <c r="AJ241" i="2"/>
  <c r="AI241" i="2"/>
  <c r="AH241" i="2"/>
  <c r="AG241" i="2"/>
  <c r="AF241" i="2"/>
  <c r="AE241" i="2"/>
  <c r="AD241" i="2"/>
  <c r="AC241" i="2"/>
  <c r="AB241" i="2"/>
  <c r="AA241" i="2"/>
  <c r="Z241" i="2"/>
  <c r="Y241" i="2"/>
  <c r="X241" i="2"/>
  <c r="W241" i="2"/>
  <c r="V241" i="2"/>
  <c r="U241" i="2"/>
  <c r="T241" i="2"/>
  <c r="S241" i="2"/>
  <c r="R241" i="2"/>
  <c r="Q241" i="2"/>
  <c r="P241" i="2"/>
  <c r="O241" i="2"/>
  <c r="N241" i="2"/>
  <c r="M241" i="2"/>
  <c r="L241" i="2"/>
  <c r="K241" i="2"/>
  <c r="J241" i="2"/>
  <c r="I241" i="2"/>
  <c r="H241" i="2"/>
  <c r="AQ240" i="2"/>
  <c r="AP240" i="2"/>
  <c r="AO240" i="2"/>
  <c r="AN240" i="2"/>
  <c r="AM240" i="2"/>
  <c r="AL240" i="2"/>
  <c r="AK240" i="2"/>
  <c r="AJ240" i="2"/>
  <c r="AI240" i="2"/>
  <c r="AH240" i="2"/>
  <c r="AG240" i="2"/>
  <c r="AF240" i="2"/>
  <c r="AE240" i="2"/>
  <c r="AD240" i="2"/>
  <c r="AC240" i="2"/>
  <c r="AB240" i="2"/>
  <c r="AA240" i="2"/>
  <c r="Z240" i="2"/>
  <c r="Y240" i="2"/>
  <c r="X240" i="2"/>
  <c r="W240" i="2"/>
  <c r="V240" i="2"/>
  <c r="U240" i="2"/>
  <c r="T240" i="2"/>
  <c r="S240" i="2"/>
  <c r="R240" i="2"/>
  <c r="Q240" i="2"/>
  <c r="P240" i="2"/>
  <c r="O240" i="2"/>
  <c r="N240" i="2"/>
  <c r="M240" i="2"/>
  <c r="L240" i="2"/>
  <c r="K240" i="2"/>
  <c r="J240" i="2"/>
  <c r="I240" i="2"/>
  <c r="H240" i="2"/>
  <c r="AQ239" i="2"/>
  <c r="AP239" i="2"/>
  <c r="AO239" i="2"/>
  <c r="AN239" i="2"/>
  <c r="AM239" i="2"/>
  <c r="AL239" i="2"/>
  <c r="AK239" i="2"/>
  <c r="AJ239" i="2"/>
  <c r="AI239" i="2"/>
  <c r="AH239" i="2"/>
  <c r="AG239" i="2"/>
  <c r="AF239" i="2"/>
  <c r="AE239" i="2"/>
  <c r="AD239" i="2"/>
  <c r="AC239" i="2"/>
  <c r="AB239" i="2"/>
  <c r="AA239" i="2"/>
  <c r="Z239" i="2"/>
  <c r="Y239" i="2"/>
  <c r="X239" i="2"/>
  <c r="W239" i="2"/>
  <c r="V239" i="2"/>
  <c r="U239" i="2"/>
  <c r="T239" i="2"/>
  <c r="S239" i="2"/>
  <c r="R239" i="2"/>
  <c r="Q239" i="2"/>
  <c r="P239" i="2"/>
  <c r="O239" i="2"/>
  <c r="N239" i="2"/>
  <c r="M239" i="2"/>
  <c r="L239" i="2"/>
  <c r="K239" i="2"/>
  <c r="J239" i="2"/>
  <c r="I239" i="2"/>
  <c r="H239" i="2"/>
  <c r="AQ238" i="2"/>
  <c r="AP238" i="2"/>
  <c r="AO238" i="2"/>
  <c r="AN238" i="2"/>
  <c r="AM238" i="2"/>
  <c r="AL238" i="2"/>
  <c r="AK238" i="2"/>
  <c r="AJ238" i="2"/>
  <c r="AI238" i="2"/>
  <c r="AH238" i="2"/>
  <c r="AG238" i="2"/>
  <c r="AF238" i="2"/>
  <c r="AE238" i="2"/>
  <c r="AD238" i="2"/>
  <c r="AC238" i="2"/>
  <c r="AB238" i="2"/>
  <c r="AA238" i="2"/>
  <c r="Z238" i="2"/>
  <c r="Y238" i="2"/>
  <c r="X238" i="2"/>
  <c r="W238" i="2"/>
  <c r="V238" i="2"/>
  <c r="U238" i="2"/>
  <c r="T238" i="2"/>
  <c r="S238" i="2"/>
  <c r="R238" i="2"/>
  <c r="Q238" i="2"/>
  <c r="P238" i="2"/>
  <c r="O238" i="2"/>
  <c r="N238" i="2"/>
  <c r="M238" i="2"/>
  <c r="L238" i="2"/>
  <c r="K238" i="2"/>
  <c r="J238" i="2"/>
  <c r="I238" i="2"/>
  <c r="H238" i="2"/>
  <c r="AQ237" i="2"/>
  <c r="AP237" i="2"/>
  <c r="AO237" i="2"/>
  <c r="AN237" i="2"/>
  <c r="AM237" i="2"/>
  <c r="AL237" i="2"/>
  <c r="AK237" i="2"/>
  <c r="AJ237" i="2"/>
  <c r="AI237" i="2"/>
  <c r="AH237" i="2"/>
  <c r="AG237" i="2"/>
  <c r="AF237" i="2"/>
  <c r="AE237" i="2"/>
  <c r="AD237" i="2"/>
  <c r="AC237" i="2"/>
  <c r="AB237" i="2"/>
  <c r="AA237" i="2"/>
  <c r="Z237" i="2"/>
  <c r="Y237" i="2"/>
  <c r="X237" i="2"/>
  <c r="W237" i="2"/>
  <c r="V237" i="2"/>
  <c r="U237" i="2"/>
  <c r="T237" i="2"/>
  <c r="S237" i="2"/>
  <c r="R237" i="2"/>
  <c r="Q237" i="2"/>
  <c r="P237" i="2"/>
  <c r="O237" i="2"/>
  <c r="N237" i="2"/>
  <c r="M237" i="2"/>
  <c r="L237" i="2"/>
  <c r="K237" i="2"/>
  <c r="J237" i="2"/>
  <c r="I237" i="2"/>
  <c r="H237" i="2"/>
  <c r="AQ236" i="2"/>
  <c r="AP236" i="2"/>
  <c r="AO236" i="2"/>
  <c r="AN236" i="2"/>
  <c r="AM236" i="2"/>
  <c r="AL236" i="2"/>
  <c r="AK236" i="2"/>
  <c r="AJ236" i="2"/>
  <c r="AI236" i="2"/>
  <c r="AH236" i="2"/>
  <c r="AG236" i="2"/>
  <c r="AF236" i="2"/>
  <c r="AE236" i="2"/>
  <c r="AD236" i="2"/>
  <c r="AC236" i="2"/>
  <c r="AB236" i="2"/>
  <c r="AA236" i="2"/>
  <c r="Z236" i="2"/>
  <c r="Y236" i="2"/>
  <c r="X236" i="2"/>
  <c r="W236" i="2"/>
  <c r="V236" i="2"/>
  <c r="U236" i="2"/>
  <c r="T236" i="2"/>
  <c r="S236" i="2"/>
  <c r="R236" i="2"/>
  <c r="Q236" i="2"/>
  <c r="P236" i="2"/>
  <c r="O236" i="2"/>
  <c r="N236" i="2"/>
  <c r="M236" i="2"/>
  <c r="L236" i="2"/>
  <c r="K236" i="2"/>
  <c r="J236" i="2"/>
  <c r="I236" i="2"/>
  <c r="H236" i="2"/>
  <c r="AQ235" i="2"/>
  <c r="AP235" i="2"/>
  <c r="AO235" i="2"/>
  <c r="AN235" i="2"/>
  <c r="AM235" i="2"/>
  <c r="AL235" i="2"/>
  <c r="AK235" i="2"/>
  <c r="AJ235" i="2"/>
  <c r="AI235" i="2"/>
  <c r="AH235" i="2"/>
  <c r="AG235" i="2"/>
  <c r="AF235" i="2"/>
  <c r="AE235" i="2"/>
  <c r="AD235" i="2"/>
  <c r="AC235" i="2"/>
  <c r="AB235" i="2"/>
  <c r="AA235" i="2"/>
  <c r="Z235" i="2"/>
  <c r="Y235" i="2"/>
  <c r="X235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K235" i="2"/>
  <c r="J235" i="2"/>
  <c r="I235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AP10" i="2"/>
  <c r="AR20" i="3" s="1"/>
  <c r="AO10" i="2"/>
  <c r="AQ20" i="3" s="1"/>
  <c r="AN10" i="2"/>
  <c r="AP20" i="3" s="1"/>
  <c r="AM10" i="2"/>
  <c r="AO20" i="3" s="1"/>
  <c r="AK10" i="2"/>
  <c r="AM20" i="3" s="1"/>
  <c r="AJ10" i="2"/>
  <c r="AL20" i="3" s="1"/>
  <c r="AI10" i="2"/>
  <c r="AK20" i="3" s="1"/>
  <c r="AH10" i="2"/>
  <c r="AJ20" i="3" s="1"/>
  <c r="AF10" i="2"/>
  <c r="AH20" i="3" s="1"/>
  <c r="AE10" i="2"/>
  <c r="AG20" i="3" s="1"/>
  <c r="AD10" i="2"/>
  <c r="AF20" i="3" s="1"/>
  <c r="AC10" i="2"/>
  <c r="AE20" i="3" s="1"/>
  <c r="AA10" i="2"/>
  <c r="AC20" i="3" s="1"/>
  <c r="Z10" i="2"/>
  <c r="AB20" i="3" s="1"/>
  <c r="Y10" i="2"/>
  <c r="AA20" i="3" s="1"/>
  <c r="X10" i="2"/>
  <c r="Z20" i="3" s="1"/>
  <c r="V10" i="2"/>
  <c r="X20" i="3" s="1"/>
  <c r="U10" i="2"/>
  <c r="W20" i="3" s="1"/>
  <c r="T10" i="2"/>
  <c r="V20" i="3" s="1"/>
  <c r="S10" i="2"/>
  <c r="U20" i="3" s="1"/>
  <c r="Q10" i="2"/>
  <c r="S20" i="3" s="1"/>
  <c r="P10" i="2"/>
  <c r="R20" i="3" s="1"/>
  <c r="O10" i="2"/>
  <c r="Q20" i="3" s="1"/>
  <c r="N10" i="2"/>
  <c r="P20" i="3" s="1"/>
  <c r="L10" i="2"/>
  <c r="N20" i="3" s="1"/>
  <c r="K10" i="2"/>
  <c r="M20" i="3" s="1"/>
  <c r="J10" i="2"/>
  <c r="L20" i="3" s="1"/>
  <c r="I10" i="2"/>
  <c r="K20" i="3" s="1"/>
  <c r="B19" i="2"/>
  <c r="E21" i="2"/>
  <c r="B24" i="3"/>
  <c r="J23" i="3"/>
  <c r="H17" i="2"/>
  <c r="B6" i="2"/>
  <c r="H16" i="3"/>
  <c r="F7" i="2" l="1"/>
  <c r="B9" i="2"/>
  <c r="M9" i="2" s="1"/>
  <c r="J296" i="3"/>
  <c r="J288" i="3"/>
  <c r="J280" i="3"/>
  <c r="J272" i="3"/>
  <c r="J264" i="3"/>
  <c r="J256" i="3"/>
  <c r="J248" i="3"/>
  <c r="J240" i="3"/>
  <c r="J297" i="3"/>
  <c r="J289" i="3"/>
  <c r="J281" i="3"/>
  <c r="J273" i="3"/>
  <c r="J265" i="3"/>
  <c r="J257" i="3"/>
  <c r="J249" i="3"/>
  <c r="J241" i="3"/>
  <c r="J298" i="3"/>
  <c r="J290" i="3"/>
  <c r="J282" i="3"/>
  <c r="J274" i="3"/>
  <c r="J266" i="3"/>
  <c r="J258" i="3"/>
  <c r="J250" i="3"/>
  <c r="J242" i="3"/>
  <c r="J299" i="3"/>
  <c r="J291" i="3"/>
  <c r="J283" i="3"/>
  <c r="J275" i="3"/>
  <c r="J267" i="3"/>
  <c r="J259" i="3"/>
  <c r="J251" i="3"/>
  <c r="J243" i="3"/>
  <c r="J300" i="3"/>
  <c r="J292" i="3"/>
  <c r="J284" i="3"/>
  <c r="J276" i="3"/>
  <c r="J268" i="3"/>
  <c r="J260" i="3"/>
  <c r="J252" i="3"/>
  <c r="J244" i="3"/>
  <c r="J294" i="3"/>
  <c r="J286" i="3"/>
  <c r="J278" i="3"/>
  <c r="J270" i="3"/>
  <c r="J262" i="3"/>
  <c r="J254" i="3"/>
  <c r="J246" i="3"/>
  <c r="J295" i="3"/>
  <c r="J287" i="3"/>
  <c r="J279" i="3"/>
  <c r="J271" i="3"/>
  <c r="J263" i="3"/>
  <c r="J255" i="3"/>
  <c r="J247" i="3"/>
  <c r="J277" i="3"/>
  <c r="J269" i="3"/>
  <c r="J261" i="3"/>
  <c r="J253" i="3"/>
  <c r="J245" i="3"/>
  <c r="J293" i="3"/>
  <c r="J285" i="3"/>
  <c r="O19" i="3" l="1"/>
  <c r="O18" i="3" s="1"/>
  <c r="L9" i="2"/>
  <c r="M18" i="2"/>
  <c r="M11" i="2"/>
  <c r="K9" i="2"/>
  <c r="R9" i="2"/>
  <c r="J9" i="2"/>
  <c r="I9" i="2"/>
  <c r="M234" i="2"/>
  <c r="M232" i="2"/>
  <c r="M230" i="2"/>
  <c r="M228" i="2"/>
  <c r="M226" i="2"/>
  <c r="M224" i="2"/>
  <c r="M222" i="2"/>
  <c r="M220" i="2"/>
  <c r="M218" i="2"/>
  <c r="M233" i="2"/>
  <c r="M231" i="2"/>
  <c r="M229" i="2"/>
  <c r="M227" i="2"/>
  <c r="M225" i="2"/>
  <c r="M223" i="2"/>
  <c r="M221" i="2"/>
  <c r="M219" i="2"/>
  <c r="M168" i="2"/>
  <c r="M195" i="2"/>
  <c r="M176" i="2"/>
  <c r="M144" i="2"/>
  <c r="M174" i="2"/>
  <c r="M122" i="2"/>
  <c r="M213" i="2"/>
  <c r="M191" i="2"/>
  <c r="M157" i="2"/>
  <c r="M209" i="2"/>
  <c r="M179" i="2"/>
  <c r="M177" i="2"/>
  <c r="M108" i="2"/>
  <c r="M37" i="2"/>
  <c r="M115" i="2"/>
  <c r="M31" i="2"/>
  <c r="M42" i="2"/>
  <c r="M89" i="2"/>
  <c r="M47" i="2"/>
  <c r="M100" i="2"/>
  <c r="M27" i="2"/>
  <c r="M68" i="2"/>
  <c r="M94" i="2"/>
  <c r="M34" i="2"/>
  <c r="M52" i="2"/>
  <c r="M73" i="2"/>
  <c r="M190" i="2"/>
  <c r="M117" i="2"/>
  <c r="M63" i="2"/>
  <c r="M39" i="2"/>
  <c r="M205" i="2"/>
  <c r="M172" i="2"/>
  <c r="M141" i="2"/>
  <c r="M171" i="2"/>
  <c r="M184" i="2"/>
  <c r="M163" i="2"/>
  <c r="M159" i="2"/>
  <c r="M199" i="2"/>
  <c r="M162" i="2"/>
  <c r="M158" i="2"/>
  <c r="M216" i="2"/>
  <c r="M156" i="2"/>
  <c r="M153" i="2"/>
  <c r="M92" i="2"/>
  <c r="M20" i="2"/>
  <c r="M106" i="2"/>
  <c r="M64" i="2"/>
  <c r="M79" i="2"/>
  <c r="M102" i="2"/>
  <c r="M29" i="2"/>
  <c r="M84" i="2"/>
  <c r="M26" i="2"/>
  <c r="M21" i="2"/>
  <c r="M211" i="2"/>
  <c r="M87" i="2"/>
  <c r="M210" i="2"/>
  <c r="M152" i="2"/>
  <c r="M142" i="2"/>
  <c r="M149" i="2"/>
  <c r="M125" i="2"/>
  <c r="M147" i="2"/>
  <c r="M127" i="2"/>
  <c r="M204" i="2"/>
  <c r="M146" i="2"/>
  <c r="M154" i="2"/>
  <c r="M198" i="2"/>
  <c r="M140" i="2"/>
  <c r="M137" i="2"/>
  <c r="M116" i="2"/>
  <c r="M67" i="2"/>
  <c r="M90" i="2"/>
  <c r="M107" i="2"/>
  <c r="M65" i="2"/>
  <c r="M86" i="2"/>
  <c r="M28" i="2"/>
  <c r="M70" i="2"/>
  <c r="M32" i="2"/>
  <c r="M36" i="2"/>
  <c r="M99" i="2"/>
  <c r="M57" i="2"/>
  <c r="M135" i="2"/>
  <c r="M132" i="2"/>
  <c r="M180" i="2"/>
  <c r="M105" i="2"/>
  <c r="M194" i="2"/>
  <c r="M136" i="2"/>
  <c r="M138" i="2"/>
  <c r="M133" i="2"/>
  <c r="M126" i="2"/>
  <c r="M131" i="2"/>
  <c r="M128" i="2"/>
  <c r="M188" i="2"/>
  <c r="M130" i="2"/>
  <c r="M214" i="2"/>
  <c r="M182" i="2"/>
  <c r="M124" i="2"/>
  <c r="M121" i="2"/>
  <c r="M62" i="2"/>
  <c r="M35" i="2"/>
  <c r="M76" i="2"/>
  <c r="M91" i="2"/>
  <c r="M49" i="2"/>
  <c r="M72" i="2"/>
  <c r="M113" i="2"/>
  <c r="M54" i="2"/>
  <c r="M101" i="2"/>
  <c r="M75" i="2"/>
  <c r="M83" i="2"/>
  <c r="M41" i="2"/>
  <c r="M175" i="2"/>
  <c r="M53" i="2"/>
  <c r="M45" i="2"/>
  <c r="M178" i="2"/>
  <c r="M169" i="2"/>
  <c r="M217" i="2"/>
  <c r="M170" i="2"/>
  <c r="M215" i="2"/>
  <c r="M165" i="2"/>
  <c r="M200" i="2"/>
  <c r="M193" i="2"/>
  <c r="M120" i="2"/>
  <c r="M197" i="2"/>
  <c r="M181" i="2"/>
  <c r="M207" i="2"/>
  <c r="M119" i="2"/>
  <c r="M46" i="2"/>
  <c r="M97" i="2"/>
  <c r="M60" i="2"/>
  <c r="M104" i="2"/>
  <c r="M33" i="2"/>
  <c r="M56" i="2"/>
  <c r="M48" i="2"/>
  <c r="M38" i="2"/>
  <c r="M85" i="2"/>
  <c r="M59" i="2"/>
  <c r="M112" i="2"/>
  <c r="M23" i="2"/>
  <c r="M129" i="2"/>
  <c r="M93" i="2"/>
  <c r="M82" i="2"/>
  <c r="M173" i="2"/>
  <c r="M134" i="2"/>
  <c r="M203" i="2"/>
  <c r="M167" i="2"/>
  <c r="M201" i="2"/>
  <c r="M164" i="2"/>
  <c r="M185" i="2"/>
  <c r="M161" i="2"/>
  <c r="M143" i="2"/>
  <c r="M202" i="2"/>
  <c r="M155" i="2"/>
  <c r="M212" i="2"/>
  <c r="M111" i="2"/>
  <c r="M78" i="2"/>
  <c r="M71" i="2"/>
  <c r="M44" i="2"/>
  <c r="M88" i="2"/>
  <c r="M30" i="2"/>
  <c r="M40" i="2"/>
  <c r="M19" i="2"/>
  <c r="M77" i="2"/>
  <c r="M114" i="2"/>
  <c r="M43" i="2"/>
  <c r="M96" i="2"/>
  <c r="M22" i="2"/>
  <c r="M118" i="2"/>
  <c r="M166" i="2"/>
  <c r="M123" i="2"/>
  <c r="M58" i="2"/>
  <c r="M24" i="2"/>
  <c r="M151" i="2"/>
  <c r="M187" i="2"/>
  <c r="M208" i="2"/>
  <c r="M150" i="2"/>
  <c r="M206" i="2"/>
  <c r="M148" i="2"/>
  <c r="M183" i="2"/>
  <c r="M145" i="2"/>
  <c r="M160" i="2"/>
  <c r="M186" i="2"/>
  <c r="M139" i="2"/>
  <c r="M196" i="2"/>
  <c r="M95" i="2"/>
  <c r="M69" i="2"/>
  <c r="M109" i="2"/>
  <c r="M80" i="2"/>
  <c r="M74" i="2"/>
  <c r="M55" i="2"/>
  <c r="M81" i="2"/>
  <c r="M103" i="2"/>
  <c r="M61" i="2"/>
  <c r="M98" i="2"/>
  <c r="M25" i="2"/>
  <c r="M66" i="2"/>
  <c r="M110" i="2"/>
  <c r="M192" i="2"/>
  <c r="M189" i="2"/>
  <c r="M51" i="2"/>
  <c r="M50" i="2"/>
  <c r="O21" i="3" l="1"/>
  <c r="K19" i="3"/>
  <c r="K18" i="3" s="1"/>
  <c r="I11" i="2"/>
  <c r="I18" i="2"/>
  <c r="L19" i="3"/>
  <c r="L18" i="3" s="1"/>
  <c r="J18" i="2"/>
  <c r="J11" i="2"/>
  <c r="T19" i="3"/>
  <c r="T18" i="3" s="1"/>
  <c r="N9" i="2"/>
  <c r="P9" i="2"/>
  <c r="R18" i="2"/>
  <c r="W9" i="2"/>
  <c r="O9" i="2"/>
  <c r="R11" i="2"/>
  <c r="Q9" i="2"/>
  <c r="M19" i="3"/>
  <c r="M18" i="3" s="1"/>
  <c r="K18" i="2"/>
  <c r="K11" i="2"/>
  <c r="N19" i="3"/>
  <c r="N18" i="3" s="1"/>
  <c r="L11" i="2"/>
  <c r="L18" i="2"/>
  <c r="K233" i="2"/>
  <c r="K231" i="2"/>
  <c r="K229" i="2"/>
  <c r="K227" i="2"/>
  <c r="K225" i="2"/>
  <c r="K234" i="2"/>
  <c r="K232" i="2"/>
  <c r="K230" i="2"/>
  <c r="K228" i="2"/>
  <c r="K226" i="2"/>
  <c r="K224" i="2"/>
  <c r="K222" i="2"/>
  <c r="K220" i="2"/>
  <c r="K218" i="2"/>
  <c r="K221" i="2"/>
  <c r="K223" i="2"/>
  <c r="K219" i="2"/>
  <c r="J234" i="2"/>
  <c r="J230" i="2"/>
  <c r="J226" i="2"/>
  <c r="J218" i="2"/>
  <c r="J221" i="2"/>
  <c r="J231" i="2"/>
  <c r="J227" i="2"/>
  <c r="J220" i="2"/>
  <c r="J232" i="2"/>
  <c r="J228" i="2"/>
  <c r="J224" i="2"/>
  <c r="J223" i="2"/>
  <c r="J233" i="2"/>
  <c r="J229" i="2"/>
  <c r="J225" i="2"/>
  <c r="J222" i="2"/>
  <c r="J219" i="2"/>
  <c r="I233" i="2"/>
  <c r="I231" i="2"/>
  <c r="I229" i="2"/>
  <c r="I227" i="2"/>
  <c r="I225" i="2"/>
  <c r="I223" i="2"/>
  <c r="I221" i="2"/>
  <c r="I219" i="2"/>
  <c r="I234" i="2"/>
  <c r="I232" i="2"/>
  <c r="I230" i="2"/>
  <c r="I228" i="2"/>
  <c r="I226" i="2"/>
  <c r="I224" i="2"/>
  <c r="I222" i="2"/>
  <c r="I220" i="2"/>
  <c r="I218" i="2"/>
  <c r="L234" i="2"/>
  <c r="L232" i="2"/>
  <c r="L230" i="2"/>
  <c r="L228" i="2"/>
  <c r="L226" i="2"/>
  <c r="L224" i="2"/>
  <c r="L222" i="2"/>
  <c r="L220" i="2"/>
  <c r="L218" i="2"/>
  <c r="L231" i="2"/>
  <c r="L227" i="2"/>
  <c r="L223" i="2"/>
  <c r="L219" i="2"/>
  <c r="L233" i="2"/>
  <c r="L229" i="2"/>
  <c r="L225" i="2"/>
  <c r="L221" i="2"/>
  <c r="R223" i="2"/>
  <c r="R232" i="2"/>
  <c r="R228" i="2"/>
  <c r="R224" i="2"/>
  <c r="R222" i="2"/>
  <c r="R219" i="2"/>
  <c r="R233" i="2"/>
  <c r="R229" i="2"/>
  <c r="R225" i="2"/>
  <c r="R218" i="2"/>
  <c r="R231" i="2"/>
  <c r="R227" i="2"/>
  <c r="R221" i="2"/>
  <c r="R234" i="2"/>
  <c r="R230" i="2"/>
  <c r="R226" i="2"/>
  <c r="R220" i="2"/>
  <c r="T21" i="3" l="1"/>
  <c r="S19" i="3"/>
  <c r="S18" i="3" s="1"/>
  <c r="Q11" i="2"/>
  <c r="Q18" i="2"/>
  <c r="Q19" i="3"/>
  <c r="Q18" i="3" s="1"/>
  <c r="O11" i="2"/>
  <c r="O18" i="2"/>
  <c r="N21" i="3"/>
  <c r="Y19" i="3"/>
  <c r="Y18" i="3" s="1"/>
  <c r="W11" i="2"/>
  <c r="V9" i="2"/>
  <c r="AB9" i="2"/>
  <c r="T9" i="2"/>
  <c r="U9" i="2"/>
  <c r="S9" i="2"/>
  <c r="W18" i="2"/>
  <c r="K21" i="3"/>
  <c r="L21" i="3"/>
  <c r="M21" i="3"/>
  <c r="R19" i="3"/>
  <c r="R18" i="3" s="1"/>
  <c r="P18" i="2"/>
  <c r="P11" i="2"/>
  <c r="P19" i="3"/>
  <c r="P18" i="3" s="1"/>
  <c r="N11" i="2"/>
  <c r="N18" i="2"/>
  <c r="W234" i="2"/>
  <c r="W232" i="2"/>
  <c r="W230" i="2"/>
  <c r="W228" i="2"/>
  <c r="W226" i="2"/>
  <c r="W224" i="2"/>
  <c r="W233" i="2"/>
  <c r="W231" i="2"/>
  <c r="W229" i="2"/>
  <c r="W227" i="2"/>
  <c r="W225" i="2"/>
  <c r="W223" i="2"/>
  <c r="W221" i="2"/>
  <c r="W219" i="2"/>
  <c r="W222" i="2"/>
  <c r="W218" i="2"/>
  <c r="W220" i="2"/>
  <c r="N231" i="2"/>
  <c r="N227" i="2"/>
  <c r="N223" i="2"/>
  <c r="N220" i="2"/>
  <c r="N232" i="2"/>
  <c r="N228" i="2"/>
  <c r="N224" i="2"/>
  <c r="N219" i="2"/>
  <c r="N233" i="2"/>
  <c r="N229" i="2"/>
  <c r="N225" i="2"/>
  <c r="N221" i="2"/>
  <c r="N218" i="2"/>
  <c r="N230" i="2"/>
  <c r="N234" i="2"/>
  <c r="N222" i="2"/>
  <c r="N226" i="2"/>
  <c r="Q233" i="2"/>
  <c r="Q231" i="2"/>
  <c r="Q229" i="2"/>
  <c r="Q227" i="2"/>
  <c r="Q225" i="2"/>
  <c r="Q223" i="2"/>
  <c r="Q221" i="2"/>
  <c r="Q219" i="2"/>
  <c r="Q234" i="2"/>
  <c r="Q232" i="2"/>
  <c r="Q230" i="2"/>
  <c r="Q228" i="2"/>
  <c r="Q226" i="2"/>
  <c r="Q224" i="2"/>
  <c r="Q222" i="2"/>
  <c r="Q220" i="2"/>
  <c r="Q218" i="2"/>
  <c r="O234" i="2"/>
  <c r="O232" i="2"/>
  <c r="O230" i="2"/>
  <c r="O228" i="2"/>
  <c r="O226" i="2"/>
  <c r="O224" i="2"/>
  <c r="O233" i="2"/>
  <c r="O231" i="2"/>
  <c r="O229" i="2"/>
  <c r="O227" i="2"/>
  <c r="O225" i="2"/>
  <c r="O223" i="2"/>
  <c r="O221" i="2"/>
  <c r="O219" i="2"/>
  <c r="O220" i="2"/>
  <c r="O222" i="2"/>
  <c r="O218" i="2"/>
  <c r="P233" i="2"/>
  <c r="P231" i="2"/>
  <c r="P229" i="2"/>
  <c r="P227" i="2"/>
  <c r="P225" i="2"/>
  <c r="P223" i="2"/>
  <c r="P221" i="2"/>
  <c r="P219" i="2"/>
  <c r="P220" i="2"/>
  <c r="P232" i="2"/>
  <c r="P228" i="2"/>
  <c r="P224" i="2"/>
  <c r="P222" i="2"/>
  <c r="P234" i="2"/>
  <c r="P230" i="2"/>
  <c r="P226" i="2"/>
  <c r="P218" i="2"/>
  <c r="K131" i="2"/>
  <c r="J185" i="2"/>
  <c r="J119" i="2"/>
  <c r="I138" i="2"/>
  <c r="L193" i="2"/>
  <c r="L164" i="2"/>
  <c r="R170" i="2"/>
  <c r="J148" i="2"/>
  <c r="K199" i="2"/>
  <c r="K164" i="2"/>
  <c r="J188" i="2"/>
  <c r="I214" i="2"/>
  <c r="I168" i="2"/>
  <c r="L175" i="2"/>
  <c r="L146" i="2"/>
  <c r="R157" i="2"/>
  <c r="K191" i="2"/>
  <c r="R149" i="2"/>
  <c r="K127" i="2"/>
  <c r="J181" i="2"/>
  <c r="J160" i="2"/>
  <c r="I134" i="2"/>
  <c r="L189" i="2"/>
  <c r="L160" i="2"/>
  <c r="R182" i="2"/>
  <c r="R150" i="2"/>
  <c r="L183" i="2"/>
  <c r="K179" i="2"/>
  <c r="K124" i="2"/>
  <c r="J137" i="2"/>
  <c r="I187" i="2"/>
  <c r="I190" i="2"/>
  <c r="L147" i="2"/>
  <c r="R187" i="2"/>
  <c r="R151" i="2"/>
  <c r="L122" i="2"/>
  <c r="K184" i="2"/>
  <c r="J202" i="2"/>
  <c r="J135" i="2"/>
  <c r="I185" i="2"/>
  <c r="I174" i="2"/>
  <c r="L129" i="2"/>
  <c r="R203" i="2"/>
  <c r="K212" i="2"/>
  <c r="K172" i="2"/>
  <c r="J194" i="2"/>
  <c r="J122" i="2"/>
  <c r="I180" i="2"/>
  <c r="L202" i="2"/>
  <c r="L136" i="2"/>
  <c r="R190" i="2"/>
  <c r="R128" i="2"/>
  <c r="L195" i="2"/>
  <c r="K169" i="2"/>
  <c r="K126" i="2"/>
  <c r="J161" i="2"/>
  <c r="I195" i="2"/>
  <c r="I186" i="2"/>
  <c r="L139" i="2"/>
  <c r="R195" i="2"/>
  <c r="R134" i="2"/>
  <c r="J121" i="2"/>
  <c r="K82" i="2"/>
  <c r="K32" i="2"/>
  <c r="J75" i="2"/>
  <c r="I116" i="2"/>
  <c r="I39" i="2"/>
  <c r="L108" i="2"/>
  <c r="L77" i="2"/>
  <c r="R61" i="2"/>
  <c r="R102" i="2"/>
  <c r="L98" i="2"/>
  <c r="K50" i="2"/>
  <c r="J96" i="2"/>
  <c r="J58" i="2"/>
  <c r="I69" i="2"/>
  <c r="L103" i="2"/>
  <c r="L67" i="2"/>
  <c r="R79" i="2"/>
  <c r="R21" i="2"/>
  <c r="I103" i="2"/>
  <c r="K102" i="2"/>
  <c r="K51" i="2"/>
  <c r="J55" i="2"/>
  <c r="I96" i="2"/>
  <c r="I50" i="2"/>
  <c r="L68" i="2"/>
  <c r="R104" i="2"/>
  <c r="R56" i="2"/>
  <c r="R91" i="2"/>
  <c r="R51" i="2"/>
  <c r="K61" i="2"/>
  <c r="J105" i="2"/>
  <c r="J24" i="2"/>
  <c r="L99" i="2"/>
  <c r="K19" i="2"/>
  <c r="J68" i="2"/>
  <c r="K165" i="2"/>
  <c r="J169" i="2"/>
  <c r="J136" i="2"/>
  <c r="I122" i="2"/>
  <c r="L177" i="2"/>
  <c r="L148" i="2"/>
  <c r="R159" i="2"/>
  <c r="I160" i="2"/>
  <c r="K183" i="2"/>
  <c r="K132" i="2"/>
  <c r="J172" i="2"/>
  <c r="I198" i="2"/>
  <c r="I149" i="2"/>
  <c r="L196" i="2"/>
  <c r="L130" i="2"/>
  <c r="R141" i="2"/>
  <c r="K148" i="2"/>
  <c r="K204" i="2"/>
  <c r="K123" i="2"/>
  <c r="J165" i="2"/>
  <c r="J130" i="2"/>
  <c r="I166" i="2"/>
  <c r="L173" i="2"/>
  <c r="L144" i="2"/>
  <c r="R166" i="2"/>
  <c r="R123" i="2"/>
  <c r="L154" i="2"/>
  <c r="K188" i="2"/>
  <c r="J204" i="2"/>
  <c r="J118" i="2"/>
  <c r="I164" i="2"/>
  <c r="I121" i="2"/>
  <c r="L131" i="2"/>
  <c r="R171" i="2"/>
  <c r="K153" i="2"/>
  <c r="R176" i="2"/>
  <c r="K155" i="2"/>
  <c r="J215" i="2"/>
  <c r="J127" i="2"/>
  <c r="I162" i="2"/>
  <c r="L213" i="2"/>
  <c r="L210" i="2"/>
  <c r="R127" i="2"/>
  <c r="K196" i="2"/>
  <c r="K150" i="2"/>
  <c r="J178" i="2"/>
  <c r="I204" i="2"/>
  <c r="I155" i="2"/>
  <c r="L190" i="2"/>
  <c r="L120" i="2"/>
  <c r="R174" i="2"/>
  <c r="R136" i="2"/>
  <c r="L170" i="2"/>
  <c r="K171" i="2"/>
  <c r="J212" i="2"/>
  <c r="J145" i="2"/>
  <c r="I179" i="2"/>
  <c r="I119" i="2"/>
  <c r="L123" i="2"/>
  <c r="R179" i="2"/>
  <c r="R130" i="2"/>
  <c r="I144" i="2"/>
  <c r="K68" i="2"/>
  <c r="K73" i="2"/>
  <c r="J59" i="2"/>
  <c r="I100" i="2"/>
  <c r="I70" i="2"/>
  <c r="L92" i="2"/>
  <c r="L24" i="2"/>
  <c r="R45" i="2"/>
  <c r="R71" i="2"/>
  <c r="L43" i="2"/>
  <c r="K79" i="2"/>
  <c r="J109" i="2"/>
  <c r="J42" i="2"/>
  <c r="I53" i="2"/>
  <c r="L87" i="2"/>
  <c r="L26" i="2"/>
  <c r="R75" i="2"/>
  <c r="L66" i="2"/>
  <c r="I60" i="2"/>
  <c r="K100" i="2"/>
  <c r="K30" i="2"/>
  <c r="J39" i="2"/>
  <c r="I109" i="2"/>
  <c r="I34" i="2"/>
  <c r="L52" i="2"/>
  <c r="R88" i="2"/>
  <c r="R40" i="2"/>
  <c r="R54" i="2"/>
  <c r="K107" i="2"/>
  <c r="K55" i="2"/>
  <c r="J89" i="2"/>
  <c r="J21" i="2"/>
  <c r="I64" i="2"/>
  <c r="L83" i="2"/>
  <c r="I106" i="2"/>
  <c r="K44" i="2"/>
  <c r="J106" i="2"/>
  <c r="J52" i="2"/>
  <c r="I63" i="2"/>
  <c r="L115" i="2"/>
  <c r="L29" i="2"/>
  <c r="K208" i="2"/>
  <c r="K142" i="2"/>
  <c r="J190" i="2"/>
  <c r="I216" i="2"/>
  <c r="I171" i="2"/>
  <c r="L212" i="2"/>
  <c r="L132" i="2"/>
  <c r="R143" i="2"/>
  <c r="I178" i="2"/>
  <c r="K166" i="2"/>
  <c r="K118" i="2"/>
  <c r="J157" i="2"/>
  <c r="I207" i="2"/>
  <c r="I133" i="2"/>
  <c r="L184" i="2"/>
  <c r="R206" i="2"/>
  <c r="R158" i="2"/>
  <c r="J209" i="2"/>
  <c r="K213" i="2"/>
  <c r="K134" i="2"/>
  <c r="J186" i="2"/>
  <c r="I212" i="2"/>
  <c r="I163" i="2"/>
  <c r="L206" i="2"/>
  <c r="L128" i="2"/>
  <c r="R155" i="2"/>
  <c r="R122" i="2"/>
  <c r="R167" i="2"/>
  <c r="K157" i="2"/>
  <c r="J207" i="2"/>
  <c r="J142" i="2"/>
  <c r="I148" i="2"/>
  <c r="L217" i="2"/>
  <c r="L168" i="2"/>
  <c r="R199" i="2"/>
  <c r="K154" i="2"/>
  <c r="R119" i="2"/>
  <c r="K139" i="2"/>
  <c r="J193" i="2"/>
  <c r="J138" i="2"/>
  <c r="I146" i="2"/>
  <c r="L197" i="2"/>
  <c r="L156" i="2"/>
  <c r="K207" i="2"/>
  <c r="K205" i="2"/>
  <c r="K119" i="2"/>
  <c r="J163" i="2"/>
  <c r="I213" i="2"/>
  <c r="I139" i="2"/>
  <c r="L174" i="2"/>
  <c r="R212" i="2"/>
  <c r="R163" i="2"/>
  <c r="R152" i="2"/>
  <c r="R183" i="2"/>
  <c r="K149" i="2"/>
  <c r="J196" i="2"/>
  <c r="J195" i="2"/>
  <c r="I156" i="2"/>
  <c r="L207" i="2"/>
  <c r="L167" i="2"/>
  <c r="R205" i="2"/>
  <c r="R140" i="2"/>
  <c r="L216" i="2"/>
  <c r="K52" i="2"/>
  <c r="J114" i="2"/>
  <c r="J43" i="2"/>
  <c r="I84" i="2"/>
  <c r="I54" i="2"/>
  <c r="L72" i="2"/>
  <c r="R108" i="2"/>
  <c r="R76" i="2"/>
  <c r="R38" i="2"/>
  <c r="R103" i="2"/>
  <c r="K92" i="2"/>
  <c r="J93" i="2"/>
  <c r="J28" i="2"/>
  <c r="I37" i="2"/>
  <c r="L106" i="2"/>
  <c r="L61" i="2"/>
  <c r="R59" i="2"/>
  <c r="L63" i="2"/>
  <c r="L114" i="2"/>
  <c r="K64" i="2"/>
  <c r="K47" i="2"/>
  <c r="J72" i="2"/>
  <c r="I93" i="2"/>
  <c r="I22" i="2"/>
  <c r="L35" i="2"/>
  <c r="R109" i="2"/>
  <c r="R24" i="2"/>
  <c r="K27" i="2"/>
  <c r="K91" i="2"/>
  <c r="K39" i="2"/>
  <c r="J69" i="2"/>
  <c r="I110" i="2"/>
  <c r="I48" i="2"/>
  <c r="L102" i="2"/>
  <c r="L48" i="2"/>
  <c r="K78" i="2"/>
  <c r="J90" i="2"/>
  <c r="J36" i="2"/>
  <c r="I47" i="2"/>
  <c r="L113" i="2"/>
  <c r="L53" i="2"/>
  <c r="R89" i="2"/>
  <c r="R19" i="2"/>
  <c r="I44" i="2"/>
  <c r="K72" i="2"/>
  <c r="K31" i="2"/>
  <c r="J31" i="2"/>
  <c r="I85" i="2"/>
  <c r="I29" i="2"/>
  <c r="L45" i="2"/>
  <c r="R85" i="2"/>
  <c r="R27" i="2"/>
  <c r="R78" i="2"/>
  <c r="R34" i="2"/>
  <c r="K88" i="2"/>
  <c r="J84" i="2"/>
  <c r="J46" i="2"/>
  <c r="I73" i="2"/>
  <c r="L107" i="2"/>
  <c r="L23" i="2"/>
  <c r="R46" i="2"/>
  <c r="L80" i="2"/>
  <c r="J113" i="2"/>
  <c r="J78" i="2"/>
  <c r="K201" i="2"/>
  <c r="K167" i="2"/>
  <c r="J174" i="2"/>
  <c r="I200" i="2"/>
  <c r="I151" i="2"/>
  <c r="L186" i="2"/>
  <c r="L169" i="2"/>
  <c r="R125" i="2"/>
  <c r="L176" i="2"/>
  <c r="K161" i="2"/>
  <c r="J208" i="2"/>
  <c r="J141" i="2"/>
  <c r="I191" i="2"/>
  <c r="I118" i="2"/>
  <c r="L166" i="2"/>
  <c r="R214" i="2"/>
  <c r="R129" i="2"/>
  <c r="I206" i="2"/>
  <c r="K197" i="2"/>
  <c r="K160" i="2"/>
  <c r="J170" i="2"/>
  <c r="I196" i="2"/>
  <c r="I147" i="2"/>
  <c r="L182" i="2"/>
  <c r="R217" i="2"/>
  <c r="R139" i="2"/>
  <c r="K198" i="2"/>
  <c r="R120" i="2"/>
  <c r="K141" i="2"/>
  <c r="J179" i="2"/>
  <c r="J156" i="2"/>
  <c r="I132" i="2"/>
  <c r="L199" i="2"/>
  <c r="L158" i="2"/>
  <c r="R180" i="2"/>
  <c r="J175" i="2"/>
  <c r="K214" i="2"/>
  <c r="K168" i="2"/>
  <c r="J177" i="2"/>
  <c r="J152" i="2"/>
  <c r="I130" i="2"/>
  <c r="L185" i="2"/>
  <c r="L140" i="2"/>
  <c r="J123" i="2"/>
  <c r="K189" i="2"/>
  <c r="K144" i="2"/>
  <c r="J147" i="2"/>
  <c r="I197" i="2"/>
  <c r="I123" i="2"/>
  <c r="L157" i="2"/>
  <c r="R196" i="2"/>
  <c r="R147" i="2"/>
  <c r="K137" i="2"/>
  <c r="R142" i="2"/>
  <c r="K133" i="2"/>
  <c r="J217" i="2"/>
  <c r="J158" i="2"/>
  <c r="I140" i="2"/>
  <c r="L208" i="2"/>
  <c r="L150" i="2"/>
  <c r="R188" i="2"/>
  <c r="R162" i="2"/>
  <c r="L143" i="2"/>
  <c r="K36" i="2"/>
  <c r="J98" i="2"/>
  <c r="J76" i="2"/>
  <c r="I113" i="2"/>
  <c r="I38" i="2"/>
  <c r="L56" i="2"/>
  <c r="R92" i="2"/>
  <c r="R60" i="2"/>
  <c r="K58" i="2"/>
  <c r="R50" i="2"/>
  <c r="K75" i="2"/>
  <c r="J115" i="2"/>
  <c r="J25" i="2"/>
  <c r="I68" i="2"/>
  <c r="L90" i="2"/>
  <c r="L44" i="2"/>
  <c r="R43" i="2"/>
  <c r="R107" i="2"/>
  <c r="L49" i="2"/>
  <c r="K48" i="2"/>
  <c r="J110" i="2"/>
  <c r="J56" i="2"/>
  <c r="I115" i="2"/>
  <c r="I21" i="2"/>
  <c r="L42" i="2"/>
  <c r="R93" i="2"/>
  <c r="R80" i="2"/>
  <c r="J85" i="2"/>
  <c r="K86" i="2"/>
  <c r="K24" i="2"/>
  <c r="J53" i="2"/>
  <c r="I94" i="2"/>
  <c r="I32" i="2"/>
  <c r="L50" i="2"/>
  <c r="R114" i="2"/>
  <c r="K41" i="2"/>
  <c r="J103" i="2"/>
  <c r="J22" i="2"/>
  <c r="I82" i="2"/>
  <c r="L97" i="2"/>
  <c r="L46" i="2"/>
  <c r="R69" i="2"/>
  <c r="K103" i="2"/>
  <c r="L82" i="2"/>
  <c r="K56" i="2"/>
  <c r="J102" i="2"/>
  <c r="J64" i="2"/>
  <c r="I75" i="2"/>
  <c r="L109" i="2"/>
  <c r="L25" i="2"/>
  <c r="R117" i="2"/>
  <c r="R110" i="2"/>
  <c r="K34" i="2"/>
  <c r="K117" i="2"/>
  <c r="K108" i="2"/>
  <c r="I57" i="2"/>
  <c r="K185" i="2"/>
  <c r="K136" i="2"/>
  <c r="J159" i="2"/>
  <c r="I209" i="2"/>
  <c r="I135" i="2"/>
  <c r="L204" i="2"/>
  <c r="R208" i="2"/>
  <c r="R146" i="2"/>
  <c r="L138" i="2"/>
  <c r="K145" i="2"/>
  <c r="J216" i="2"/>
  <c r="J126" i="2"/>
  <c r="I175" i="2"/>
  <c r="I182" i="2"/>
  <c r="L151" i="2"/>
  <c r="R191" i="2"/>
  <c r="R164" i="2"/>
  <c r="I128" i="2"/>
  <c r="K181" i="2"/>
  <c r="K130" i="2"/>
  <c r="J155" i="2"/>
  <c r="I205" i="2"/>
  <c r="I131" i="2"/>
  <c r="L171" i="2"/>
  <c r="R204" i="2"/>
  <c r="R154" i="2"/>
  <c r="J191" i="2"/>
  <c r="K216" i="2"/>
  <c r="K125" i="2"/>
  <c r="J201" i="2"/>
  <c r="J125" i="2"/>
  <c r="I192" i="2"/>
  <c r="L187" i="2"/>
  <c r="L142" i="2"/>
  <c r="R209" i="2"/>
  <c r="J134" i="2"/>
  <c r="K200" i="2"/>
  <c r="K158" i="2"/>
  <c r="J211" i="2"/>
  <c r="J124" i="2"/>
  <c r="I188" i="2"/>
  <c r="L194" i="2"/>
  <c r="L124" i="2"/>
  <c r="I184" i="2"/>
  <c r="K173" i="2"/>
  <c r="K122" i="2"/>
  <c r="J131" i="2"/>
  <c r="I181" i="2"/>
  <c r="I165" i="2"/>
  <c r="L141" i="2"/>
  <c r="R215" i="2"/>
  <c r="R131" i="2"/>
  <c r="J200" i="2"/>
  <c r="K210" i="2"/>
  <c r="K170" i="2"/>
  <c r="J187" i="2"/>
  <c r="J129" i="2"/>
  <c r="I124" i="2"/>
  <c r="L179" i="2"/>
  <c r="L134" i="2"/>
  <c r="R172" i="2"/>
  <c r="R135" i="2"/>
  <c r="R201" i="2"/>
  <c r="K80" i="2"/>
  <c r="J82" i="2"/>
  <c r="J60" i="2"/>
  <c r="I97" i="2"/>
  <c r="I26" i="2"/>
  <c r="L55" i="2"/>
  <c r="R113" i="2"/>
  <c r="R44" i="2"/>
  <c r="K43" i="2"/>
  <c r="K111" i="2"/>
  <c r="K37" i="2"/>
  <c r="J73" i="2"/>
  <c r="I114" i="2"/>
  <c r="I52" i="2"/>
  <c r="L70" i="2"/>
  <c r="R106" i="2"/>
  <c r="R74" i="2"/>
  <c r="R55" i="2"/>
  <c r="R67" i="2"/>
  <c r="K110" i="2"/>
  <c r="J94" i="2"/>
  <c r="J40" i="2"/>
  <c r="I67" i="2"/>
  <c r="L101" i="2"/>
  <c r="L47" i="2"/>
  <c r="R73" i="2"/>
  <c r="L86" i="2"/>
  <c r="J33" i="2"/>
  <c r="K84" i="2"/>
  <c r="K28" i="2"/>
  <c r="J37" i="2"/>
  <c r="I107" i="2"/>
  <c r="I79" i="2"/>
  <c r="L34" i="2"/>
  <c r="K105" i="2"/>
  <c r="K35" i="2"/>
  <c r="J87" i="2"/>
  <c r="J19" i="2"/>
  <c r="I62" i="2"/>
  <c r="L100" i="2"/>
  <c r="L57" i="2"/>
  <c r="R53" i="2"/>
  <c r="K87" i="2"/>
  <c r="L40" i="2"/>
  <c r="K40" i="2"/>
  <c r="K194" i="2"/>
  <c r="K120" i="2"/>
  <c r="J143" i="2"/>
  <c r="I193" i="2"/>
  <c r="I120" i="2"/>
  <c r="L153" i="2"/>
  <c r="R193" i="2"/>
  <c r="K175" i="2"/>
  <c r="R216" i="2"/>
  <c r="K129" i="2"/>
  <c r="J213" i="2"/>
  <c r="J150" i="2"/>
  <c r="I152" i="2"/>
  <c r="L215" i="2"/>
  <c r="L135" i="2"/>
  <c r="R175" i="2"/>
  <c r="R132" i="2"/>
  <c r="L211" i="2"/>
  <c r="K192" i="2"/>
  <c r="J206" i="2"/>
  <c r="J139" i="2"/>
  <c r="I189" i="2"/>
  <c r="I172" i="2"/>
  <c r="L149" i="2"/>
  <c r="R213" i="2"/>
  <c r="R121" i="2"/>
  <c r="J133" i="2"/>
  <c r="K202" i="2"/>
  <c r="K162" i="2"/>
  <c r="J184" i="2"/>
  <c r="I210" i="2"/>
  <c r="I161" i="2"/>
  <c r="L200" i="2"/>
  <c r="L126" i="2"/>
  <c r="R153" i="2"/>
  <c r="I183" i="2"/>
  <c r="K209" i="2"/>
  <c r="K174" i="2"/>
  <c r="J182" i="2"/>
  <c r="I208" i="2"/>
  <c r="I159" i="2"/>
  <c r="L178" i="2"/>
  <c r="R200" i="2"/>
  <c r="L127" i="2"/>
  <c r="K176" i="2"/>
  <c r="J198" i="2"/>
  <c r="J162" i="2"/>
  <c r="I158" i="2"/>
  <c r="L214" i="2"/>
  <c r="L125" i="2"/>
  <c r="R211" i="2"/>
  <c r="R138" i="2"/>
  <c r="J149" i="2"/>
  <c r="K215" i="2"/>
  <c r="K146" i="2"/>
  <c r="J171" i="2"/>
  <c r="J140" i="2"/>
  <c r="I176" i="2"/>
  <c r="L188" i="2"/>
  <c r="L118" i="2"/>
  <c r="R161" i="2"/>
  <c r="K180" i="2"/>
  <c r="R133" i="2"/>
  <c r="K22" i="2"/>
  <c r="J111" i="2"/>
  <c r="J44" i="2"/>
  <c r="I81" i="2"/>
  <c r="I25" i="2"/>
  <c r="L75" i="2"/>
  <c r="R97" i="2"/>
  <c r="R28" i="2"/>
  <c r="J65" i="2"/>
  <c r="K95" i="2"/>
  <c r="K67" i="2"/>
  <c r="J57" i="2"/>
  <c r="I98" i="2"/>
  <c r="I36" i="2"/>
  <c r="L54" i="2"/>
  <c r="R90" i="2"/>
  <c r="R58" i="2"/>
  <c r="K74" i="2"/>
  <c r="R29" i="2"/>
  <c r="K77" i="2"/>
  <c r="J107" i="2"/>
  <c r="J26" i="2"/>
  <c r="I51" i="2"/>
  <c r="L85" i="2"/>
  <c r="L22" i="2"/>
  <c r="R57" i="2"/>
  <c r="L69" i="2"/>
  <c r="I45" i="2"/>
  <c r="K62" i="2"/>
  <c r="K26" i="2"/>
  <c r="J70" i="2"/>
  <c r="I91" i="2"/>
  <c r="I78" i="2"/>
  <c r="L73" i="2"/>
  <c r="K89" i="2"/>
  <c r="K29" i="2"/>
  <c r="J67" i="2"/>
  <c r="I108" i="2"/>
  <c r="I46" i="2"/>
  <c r="L84" i="2"/>
  <c r="L19" i="2"/>
  <c r="R37" i="2"/>
  <c r="K96" i="2"/>
  <c r="R82" i="2"/>
  <c r="K104" i="2"/>
  <c r="J117" i="2"/>
  <c r="J32" i="2"/>
  <c r="I43" i="2"/>
  <c r="L112" i="2"/>
  <c r="L31" i="2"/>
  <c r="R49" i="2"/>
  <c r="R63" i="2"/>
  <c r="J66" i="2"/>
  <c r="K83" i="2"/>
  <c r="K23" i="2"/>
  <c r="J81" i="2"/>
  <c r="I102" i="2"/>
  <c r="I72" i="2"/>
  <c r="L94" i="2"/>
  <c r="L30" i="2"/>
  <c r="K42" i="2"/>
  <c r="K60" i="2"/>
  <c r="K163" i="2"/>
  <c r="J210" i="2"/>
  <c r="J205" i="2"/>
  <c r="I177" i="2"/>
  <c r="I167" i="2"/>
  <c r="L137" i="2"/>
  <c r="R177" i="2"/>
  <c r="K182" i="2"/>
  <c r="K206" i="2"/>
  <c r="K186" i="2"/>
  <c r="J183" i="2"/>
  <c r="J164" i="2"/>
  <c r="I136" i="2"/>
  <c r="L203" i="2"/>
  <c r="L119" i="2"/>
  <c r="R184" i="2"/>
  <c r="R124" i="2"/>
  <c r="L159" i="2"/>
  <c r="K159" i="2"/>
  <c r="J214" i="2"/>
  <c r="J120" i="2"/>
  <c r="I173" i="2"/>
  <c r="I170" i="2"/>
  <c r="L133" i="2"/>
  <c r="R189" i="2"/>
  <c r="R160" i="2"/>
  <c r="I199" i="2"/>
  <c r="K211" i="2"/>
  <c r="K190" i="2"/>
  <c r="J168" i="2"/>
  <c r="I194" i="2"/>
  <c r="I145" i="2"/>
  <c r="L180" i="2"/>
  <c r="R202" i="2"/>
  <c r="R137" i="2"/>
  <c r="I125" i="2"/>
  <c r="K193" i="2"/>
  <c r="K152" i="2"/>
  <c r="J166" i="2"/>
  <c r="I215" i="2"/>
  <c r="I143" i="2"/>
  <c r="L161" i="2"/>
  <c r="R185" i="2"/>
  <c r="R192" i="2"/>
  <c r="K151" i="2"/>
  <c r="J189" i="2"/>
  <c r="J128" i="2"/>
  <c r="I142" i="2"/>
  <c r="L209" i="2"/>
  <c r="L165" i="2"/>
  <c r="R181" i="2"/>
  <c r="R118" i="2"/>
  <c r="I217" i="2"/>
  <c r="K203" i="2"/>
  <c r="K178" i="2"/>
  <c r="J192" i="2"/>
  <c r="I202" i="2"/>
  <c r="I153" i="2"/>
  <c r="L172" i="2"/>
  <c r="R210" i="2"/>
  <c r="R145" i="2"/>
  <c r="K128" i="2"/>
  <c r="K113" i="2"/>
  <c r="K33" i="2"/>
  <c r="J95" i="2"/>
  <c r="J30" i="2"/>
  <c r="I71" i="2"/>
  <c r="L105" i="2"/>
  <c r="L21" i="2"/>
  <c r="R81" i="2"/>
  <c r="R23" i="2"/>
  <c r="I77" i="2"/>
  <c r="K115" i="2"/>
  <c r="K57" i="2"/>
  <c r="J41" i="2"/>
  <c r="I111" i="2"/>
  <c r="I24" i="2"/>
  <c r="L38" i="2"/>
  <c r="R111" i="2"/>
  <c r="R42" i="2"/>
  <c r="K114" i="2"/>
  <c r="K109" i="2"/>
  <c r="K71" i="2"/>
  <c r="J91" i="2"/>
  <c r="J23" i="2"/>
  <c r="I35" i="2"/>
  <c r="L104" i="2"/>
  <c r="L81" i="2"/>
  <c r="R41" i="2"/>
  <c r="L20" i="2"/>
  <c r="L62" i="2"/>
  <c r="K46" i="2"/>
  <c r="J108" i="2"/>
  <c r="J54" i="2"/>
  <c r="I65" i="2"/>
  <c r="L117" i="2"/>
  <c r="R22" i="2"/>
  <c r="K112" i="2"/>
  <c r="K98" i="2"/>
  <c r="J51" i="2"/>
  <c r="I92" i="2"/>
  <c r="I31" i="2"/>
  <c r="L64" i="2"/>
  <c r="R100" i="2"/>
  <c r="R68" i="2"/>
  <c r="K116" i="2"/>
  <c r="R35" i="2"/>
  <c r="K20" i="2"/>
  <c r="J99" i="2"/>
  <c r="J80" i="2"/>
  <c r="I74" i="2"/>
  <c r="L96" i="2"/>
  <c r="L37" i="2"/>
  <c r="R33" i="2"/>
  <c r="R31" i="2"/>
  <c r="I90" i="2"/>
  <c r="K90" i="2"/>
  <c r="K49" i="2"/>
  <c r="J77" i="2"/>
  <c r="I86" i="2"/>
  <c r="I56" i="2"/>
  <c r="L74" i="2"/>
  <c r="R94" i="2"/>
  <c r="K69" i="2"/>
  <c r="J20" i="2"/>
  <c r="K147" i="2"/>
  <c r="J203" i="2"/>
  <c r="J154" i="2"/>
  <c r="I154" i="2"/>
  <c r="L205" i="2"/>
  <c r="L121" i="2"/>
  <c r="R186" i="2"/>
  <c r="J199" i="2"/>
  <c r="K217" i="2"/>
  <c r="K138" i="2"/>
  <c r="J167" i="2"/>
  <c r="J132" i="2"/>
  <c r="I169" i="2"/>
  <c r="L191" i="2"/>
  <c r="L162" i="2"/>
  <c r="R168" i="2"/>
  <c r="R178" i="2"/>
  <c r="R198" i="2"/>
  <c r="K143" i="2"/>
  <c r="J197" i="2"/>
  <c r="J146" i="2"/>
  <c r="I150" i="2"/>
  <c r="L201" i="2"/>
  <c r="L198" i="2"/>
  <c r="R173" i="2"/>
  <c r="R126" i="2"/>
  <c r="I141" i="2"/>
  <c r="K195" i="2"/>
  <c r="K156" i="2"/>
  <c r="J153" i="2"/>
  <c r="I203" i="2"/>
  <c r="I129" i="2"/>
  <c r="L163" i="2"/>
  <c r="R207" i="2"/>
  <c r="R156" i="2"/>
  <c r="L192" i="2"/>
  <c r="K177" i="2"/>
  <c r="K121" i="2"/>
  <c r="J151" i="2"/>
  <c r="I201" i="2"/>
  <c r="I127" i="2"/>
  <c r="L145" i="2"/>
  <c r="R169" i="2"/>
  <c r="R148" i="2"/>
  <c r="K135" i="2"/>
  <c r="J173" i="2"/>
  <c r="J144" i="2"/>
  <c r="I126" i="2"/>
  <c r="L181" i="2"/>
  <c r="L152" i="2"/>
  <c r="R165" i="2"/>
  <c r="R144" i="2"/>
  <c r="I157" i="2"/>
  <c r="K187" i="2"/>
  <c r="K140" i="2"/>
  <c r="J176" i="2"/>
  <c r="I211" i="2"/>
  <c r="I137" i="2"/>
  <c r="L155" i="2"/>
  <c r="R194" i="2"/>
  <c r="R197" i="2"/>
  <c r="J180" i="2"/>
  <c r="K97" i="2"/>
  <c r="K21" i="2"/>
  <c r="J79" i="2"/>
  <c r="J27" i="2"/>
  <c r="I55" i="2"/>
  <c r="L89" i="2"/>
  <c r="L28" i="2"/>
  <c r="R77" i="2"/>
  <c r="L39" i="2"/>
  <c r="I80" i="2"/>
  <c r="K66" i="2"/>
  <c r="J112" i="2"/>
  <c r="J74" i="2"/>
  <c r="I95" i="2"/>
  <c r="I23" i="2"/>
  <c r="L59" i="2"/>
  <c r="R95" i="2"/>
  <c r="R26" i="2"/>
  <c r="J34" i="2"/>
  <c r="K93" i="2"/>
  <c r="K59" i="2"/>
  <c r="J71" i="2"/>
  <c r="I112" i="2"/>
  <c r="I66" i="2"/>
  <c r="L88" i="2"/>
  <c r="L41" i="2"/>
  <c r="R72" i="2"/>
  <c r="R86" i="2"/>
  <c r="R98" i="2"/>
  <c r="K94" i="2"/>
  <c r="J92" i="2"/>
  <c r="J38" i="2"/>
  <c r="I49" i="2"/>
  <c r="L116" i="2"/>
  <c r="J104" i="2"/>
  <c r="K76" i="2"/>
  <c r="K63" i="2"/>
  <c r="J35" i="2"/>
  <c r="I105" i="2"/>
  <c r="I20" i="2"/>
  <c r="L78" i="2"/>
  <c r="R84" i="2"/>
  <c r="R52" i="2"/>
  <c r="J88" i="2"/>
  <c r="K101" i="2"/>
  <c r="K65" i="2"/>
  <c r="J83" i="2"/>
  <c r="I104" i="2"/>
  <c r="I58" i="2"/>
  <c r="L76" i="2"/>
  <c r="R112" i="2"/>
  <c r="R64" i="2"/>
  <c r="R62" i="2"/>
  <c r="I76" i="2"/>
  <c r="K70" i="2"/>
  <c r="K81" i="2"/>
  <c r="J61" i="2"/>
  <c r="I117" i="2"/>
  <c r="I40" i="2"/>
  <c r="L58" i="2"/>
  <c r="R99" i="2"/>
  <c r="J49" i="2"/>
  <c r="I33" i="2"/>
  <c r="I89" i="2"/>
  <c r="I87" i="2"/>
  <c r="J48" i="2"/>
  <c r="L79" i="2"/>
  <c r="R30" i="2"/>
  <c r="K45" i="2"/>
  <c r="I83" i="2"/>
  <c r="L32" i="2"/>
  <c r="R87" i="2"/>
  <c r="J100" i="2"/>
  <c r="R48" i="2"/>
  <c r="L71" i="2"/>
  <c r="I19" i="2"/>
  <c r="K85" i="2"/>
  <c r="I88" i="2"/>
  <c r="L36" i="2"/>
  <c r="R39" i="2"/>
  <c r="J116" i="2"/>
  <c r="I41" i="2"/>
  <c r="L51" i="2"/>
  <c r="R66" i="2"/>
  <c r="R115" i="2"/>
  <c r="K54" i="2"/>
  <c r="L65" i="2"/>
  <c r="K106" i="2"/>
  <c r="I101" i="2"/>
  <c r="R96" i="2"/>
  <c r="J101" i="2"/>
  <c r="I28" i="2"/>
  <c r="J62" i="2"/>
  <c r="L33" i="2"/>
  <c r="R116" i="2"/>
  <c r="K25" i="2"/>
  <c r="I59" i="2"/>
  <c r="R101" i="2"/>
  <c r="L111" i="2"/>
  <c r="J97" i="2"/>
  <c r="I27" i="2"/>
  <c r="R47" i="2"/>
  <c r="R25" i="2"/>
  <c r="R70" i="2"/>
  <c r="L95" i="2"/>
  <c r="R105" i="2"/>
  <c r="K53" i="2"/>
  <c r="I42" i="2"/>
  <c r="R65" i="2"/>
  <c r="L27" i="2"/>
  <c r="J45" i="2"/>
  <c r="L91" i="2"/>
  <c r="L110" i="2"/>
  <c r="I61" i="2"/>
  <c r="R36" i="2"/>
  <c r="J86" i="2"/>
  <c r="I30" i="2"/>
  <c r="K99" i="2"/>
  <c r="R20" i="2"/>
  <c r="J63" i="2"/>
  <c r="L93" i="2"/>
  <c r="R32" i="2"/>
  <c r="J29" i="2"/>
  <c r="J50" i="2"/>
  <c r="J47" i="2"/>
  <c r="L60" i="2"/>
  <c r="R83" i="2"/>
  <c r="K38" i="2"/>
  <c r="I99" i="2"/>
  <c r="W210" i="2"/>
  <c r="W141" i="2"/>
  <c r="N191" i="2"/>
  <c r="N135" i="2"/>
  <c r="Q184" i="2"/>
  <c r="O174" i="2"/>
  <c r="O135" i="2"/>
  <c r="P149" i="2"/>
  <c r="W126" i="2"/>
  <c r="N184" i="2"/>
  <c r="N130" i="2"/>
  <c r="Q146" i="2"/>
  <c r="O216" i="2"/>
  <c r="O149" i="2"/>
  <c r="P187" i="2"/>
  <c r="P171" i="2"/>
  <c r="W156" i="2"/>
  <c r="N196" i="2"/>
  <c r="N153" i="2"/>
  <c r="Q160" i="2"/>
  <c r="O207" i="2"/>
  <c r="O169" i="2"/>
  <c r="P185" i="2"/>
  <c r="P170" i="2"/>
  <c r="W138" i="2"/>
  <c r="N180" i="2"/>
  <c r="N155" i="2"/>
  <c r="Q167" i="2"/>
  <c r="O195" i="2"/>
  <c r="O127" i="2"/>
  <c r="P136" i="2"/>
  <c r="W207" i="2"/>
  <c r="W170" i="2"/>
  <c r="N194" i="2"/>
  <c r="N151" i="2"/>
  <c r="Q124" i="2"/>
  <c r="O196" i="2"/>
  <c r="O125" i="2"/>
  <c r="P157" i="2"/>
  <c r="W134" i="2"/>
  <c r="N192" i="2"/>
  <c r="N147" i="2"/>
  <c r="Q122" i="2"/>
  <c r="O180" i="2"/>
  <c r="O147" i="2"/>
  <c r="P148" i="2"/>
  <c r="W203" i="2"/>
  <c r="W185" i="2"/>
  <c r="N198" i="2"/>
  <c r="Q213" i="2"/>
  <c r="Q166" i="2"/>
  <c r="O214" i="2"/>
  <c r="O118" i="2"/>
  <c r="P177" i="2"/>
  <c r="P119" i="2"/>
  <c r="W146" i="2"/>
  <c r="N188" i="2"/>
  <c r="N133" i="2"/>
  <c r="Q150" i="2"/>
  <c r="O215" i="2"/>
  <c r="O179" i="2"/>
  <c r="P188" i="2"/>
  <c r="P135" i="2"/>
  <c r="W53" i="2"/>
  <c r="N113" i="2"/>
  <c r="N69" i="2"/>
  <c r="Q93" i="2"/>
  <c r="Q78" i="2"/>
  <c r="O37" i="2"/>
  <c r="P96" i="2"/>
  <c r="W109" i="2"/>
  <c r="W76" i="2"/>
  <c r="N79" i="2"/>
  <c r="Q80" i="2"/>
  <c r="O106" i="2"/>
  <c r="O95" i="2"/>
  <c r="P34" i="2"/>
  <c r="W50" i="2"/>
  <c r="N98" i="2"/>
  <c r="N30" i="2"/>
  <c r="Q76" i="2"/>
  <c r="O65" i="2"/>
  <c r="P108" i="2"/>
  <c r="P49" i="2"/>
  <c r="W108" i="2"/>
  <c r="W34" i="2"/>
  <c r="N96" i="2"/>
  <c r="N31" i="2"/>
  <c r="Q61" i="2"/>
  <c r="O86" i="2"/>
  <c r="O54" i="2"/>
  <c r="P23" i="2"/>
  <c r="W23" i="2"/>
  <c r="N110" i="2"/>
  <c r="N45" i="2"/>
  <c r="Q59" i="2"/>
  <c r="O84" i="2"/>
  <c r="O68" i="2"/>
  <c r="P36" i="2"/>
  <c r="W59" i="2"/>
  <c r="N103" i="2"/>
  <c r="N59" i="2"/>
  <c r="Q73" i="2"/>
  <c r="O114" i="2"/>
  <c r="O105" i="2"/>
  <c r="P105" i="2"/>
  <c r="P68" i="2"/>
  <c r="W117" i="2"/>
  <c r="W81" i="2"/>
  <c r="N68" i="2"/>
  <c r="Q102" i="2"/>
  <c r="Q68" i="2"/>
  <c r="O103" i="2"/>
  <c r="O58" i="2"/>
  <c r="P61" i="2"/>
  <c r="P57" i="2"/>
  <c r="W79" i="2"/>
  <c r="W20" i="2"/>
  <c r="N34" i="2"/>
  <c r="Q111" i="2"/>
  <c r="Q34" i="2"/>
  <c r="O55" i="2"/>
  <c r="P114" i="2"/>
  <c r="P24" i="2"/>
  <c r="P39" i="2"/>
  <c r="N94" i="2"/>
  <c r="W43" i="2"/>
  <c r="W192" i="2"/>
  <c r="W159" i="2"/>
  <c r="N175" i="2"/>
  <c r="Q212" i="2"/>
  <c r="Q161" i="2"/>
  <c r="O164" i="2"/>
  <c r="P208" i="2"/>
  <c r="W197" i="2"/>
  <c r="W173" i="2"/>
  <c r="N168" i="2"/>
  <c r="N163" i="2"/>
  <c r="Q130" i="2"/>
  <c r="O202" i="2"/>
  <c r="O121" i="2"/>
  <c r="P209" i="2"/>
  <c r="P141" i="2"/>
  <c r="W140" i="2"/>
  <c r="N182" i="2"/>
  <c r="N124" i="2"/>
  <c r="Q144" i="2"/>
  <c r="O213" i="2"/>
  <c r="O145" i="2"/>
  <c r="P199" i="2"/>
  <c r="P118" i="2"/>
  <c r="W165" i="2"/>
  <c r="N200" i="2"/>
  <c r="Q206" i="2"/>
  <c r="Q155" i="2"/>
  <c r="O158" i="2"/>
  <c r="P202" i="2"/>
  <c r="P120" i="2"/>
  <c r="W214" i="2"/>
  <c r="W157" i="2"/>
  <c r="N183" i="2"/>
  <c r="Q216" i="2"/>
  <c r="Q172" i="2"/>
  <c r="O182" i="2"/>
  <c r="O151" i="2"/>
  <c r="W205" i="2"/>
  <c r="W189" i="2"/>
  <c r="N176" i="2"/>
  <c r="Q214" i="2"/>
  <c r="Q169" i="2"/>
  <c r="O168" i="2"/>
  <c r="P217" i="2"/>
  <c r="P132" i="2"/>
  <c r="W216" i="2"/>
  <c r="W149" i="2"/>
  <c r="N179" i="2"/>
  <c r="Q200" i="2"/>
  <c r="Q149" i="2"/>
  <c r="O178" i="2"/>
  <c r="O143" i="2"/>
  <c r="P162" i="2"/>
  <c r="W217" i="2"/>
  <c r="W130" i="2"/>
  <c r="N172" i="2"/>
  <c r="N118" i="2"/>
  <c r="Q134" i="2"/>
  <c r="O197" i="2"/>
  <c r="O157" i="2"/>
  <c r="P172" i="2"/>
  <c r="P168" i="2"/>
  <c r="W37" i="2"/>
  <c r="N97" i="2"/>
  <c r="N53" i="2"/>
  <c r="Q82" i="2"/>
  <c r="Q19" i="2"/>
  <c r="O89" i="2"/>
  <c r="P83" i="2"/>
  <c r="W107" i="2"/>
  <c r="W105" i="2"/>
  <c r="N67" i="2"/>
  <c r="Q65" i="2"/>
  <c r="O90" i="2"/>
  <c r="O23" i="2"/>
  <c r="W110" i="2"/>
  <c r="W58" i="2"/>
  <c r="N82" i="2"/>
  <c r="Q110" i="2"/>
  <c r="Q60" i="2"/>
  <c r="O49" i="2"/>
  <c r="P92" i="2"/>
  <c r="P21" i="2"/>
  <c r="W92" i="2"/>
  <c r="W28" i="2"/>
  <c r="N80" i="2"/>
  <c r="N28" i="2"/>
  <c r="Q45" i="2"/>
  <c r="O116" i="2"/>
  <c r="O46" i="2"/>
  <c r="W106" i="2"/>
  <c r="W89" i="2"/>
  <c r="N29" i="2"/>
  <c r="O79" i="2"/>
  <c r="P30" i="2"/>
  <c r="W176" i="2"/>
  <c r="W127" i="2"/>
  <c r="N165" i="2"/>
  <c r="Q196" i="2"/>
  <c r="Q145" i="2"/>
  <c r="O148" i="2"/>
  <c r="P186" i="2"/>
  <c r="W208" i="2"/>
  <c r="W137" i="2"/>
  <c r="N189" i="2"/>
  <c r="N131" i="2"/>
  <c r="Q180" i="2"/>
  <c r="O188" i="2"/>
  <c r="O163" i="2"/>
  <c r="P156" i="2"/>
  <c r="W211" i="2"/>
  <c r="W124" i="2"/>
  <c r="N166" i="2"/>
  <c r="N159" i="2"/>
  <c r="Q128" i="2"/>
  <c r="O200" i="2"/>
  <c r="O185" i="2"/>
  <c r="P154" i="2"/>
  <c r="P166" i="2"/>
  <c r="W161" i="2"/>
  <c r="N185" i="2"/>
  <c r="Q209" i="2"/>
  <c r="Q139" i="2"/>
  <c r="O142" i="2"/>
  <c r="P214" i="2"/>
  <c r="P159" i="2"/>
  <c r="W202" i="2"/>
  <c r="W123" i="2"/>
  <c r="N167" i="2"/>
  <c r="Q204" i="2"/>
  <c r="Q153" i="2"/>
  <c r="O193" i="2"/>
  <c r="O171" i="2"/>
  <c r="W213" i="2"/>
  <c r="W153" i="2"/>
  <c r="N210" i="2"/>
  <c r="Q202" i="2"/>
  <c r="Q151" i="2"/>
  <c r="O154" i="2"/>
  <c r="P198" i="2"/>
  <c r="P167" i="2"/>
  <c r="W198" i="2"/>
  <c r="W169" i="2"/>
  <c r="N156" i="2"/>
  <c r="Q203" i="2"/>
  <c r="Q133" i="2"/>
  <c r="O165" i="2"/>
  <c r="P215" i="2"/>
  <c r="P146" i="2"/>
  <c r="W201" i="2"/>
  <c r="W181" i="2"/>
  <c r="N193" i="2"/>
  <c r="N139" i="2"/>
  <c r="Q188" i="2"/>
  <c r="O206" i="2"/>
  <c r="O124" i="2"/>
  <c r="P191" i="2"/>
  <c r="W114" i="2"/>
  <c r="W54" i="2"/>
  <c r="N102" i="2"/>
  <c r="N37" i="2"/>
  <c r="Q67" i="2"/>
  <c r="O108" i="2"/>
  <c r="O42" i="2"/>
  <c r="P33" i="2"/>
  <c r="W67" i="2"/>
  <c r="N111" i="2"/>
  <c r="N51" i="2"/>
  <c r="Q49" i="2"/>
  <c r="O83" i="2"/>
  <c r="O34" i="2"/>
  <c r="W94" i="2"/>
  <c r="W30" i="2"/>
  <c r="N76" i="2"/>
  <c r="Q94" i="2"/>
  <c r="Q44" i="2"/>
  <c r="O107" i="2"/>
  <c r="P111" i="2"/>
  <c r="P25" i="2"/>
  <c r="W103" i="2"/>
  <c r="W62" i="2"/>
  <c r="N74" i="2"/>
  <c r="Q108" i="2"/>
  <c r="Q74" i="2"/>
  <c r="O93" i="2"/>
  <c r="O21" i="2"/>
  <c r="W90" i="2"/>
  <c r="W26" i="2"/>
  <c r="N78" i="2"/>
  <c r="N26" i="2"/>
  <c r="Q72" i="2"/>
  <c r="O77" i="2"/>
  <c r="W187" i="2"/>
  <c r="N215" i="2"/>
  <c r="N152" i="2"/>
  <c r="Q199" i="2"/>
  <c r="Q129" i="2"/>
  <c r="O132" i="2"/>
  <c r="P189" i="2"/>
  <c r="W190" i="2"/>
  <c r="W155" i="2"/>
  <c r="N173" i="2"/>
  <c r="Q210" i="2"/>
  <c r="Q159" i="2"/>
  <c r="O172" i="2"/>
  <c r="O131" i="2"/>
  <c r="P140" i="2"/>
  <c r="W195" i="2"/>
  <c r="W167" i="2"/>
  <c r="N187" i="2"/>
  <c r="N123" i="2"/>
  <c r="Q176" i="2"/>
  <c r="O186" i="2"/>
  <c r="O159" i="2"/>
  <c r="P138" i="2"/>
  <c r="W209" i="2"/>
  <c r="W125" i="2"/>
  <c r="N169" i="2"/>
  <c r="Q215" i="2"/>
  <c r="Q123" i="2"/>
  <c r="O126" i="2"/>
  <c r="P180" i="2"/>
  <c r="P143" i="2"/>
  <c r="W184" i="2"/>
  <c r="W143" i="2"/>
  <c r="N160" i="2"/>
  <c r="Q207" i="2"/>
  <c r="Q137" i="2"/>
  <c r="O156" i="2"/>
  <c r="P200" i="2"/>
  <c r="W200" i="2"/>
  <c r="W119" i="2"/>
  <c r="N181" i="2"/>
  <c r="Q205" i="2"/>
  <c r="Q135" i="2"/>
  <c r="O138" i="2"/>
  <c r="P192" i="2"/>
  <c r="P155" i="2"/>
  <c r="W180" i="2"/>
  <c r="W135" i="2"/>
  <c r="N140" i="2"/>
  <c r="Q189" i="2"/>
  <c r="Q182" i="2"/>
  <c r="O152" i="2"/>
  <c r="P212" i="2"/>
  <c r="P130" i="2"/>
  <c r="W212" i="2"/>
  <c r="W145" i="2"/>
  <c r="N177" i="2"/>
  <c r="Q217" i="2"/>
  <c r="Q163" i="2"/>
  <c r="O192" i="2"/>
  <c r="O189" i="2"/>
  <c r="P175" i="2"/>
  <c r="W98" i="2"/>
  <c r="W99" i="2"/>
  <c r="N86" i="2"/>
  <c r="N21" i="2"/>
  <c r="Q51" i="2"/>
  <c r="O92" i="2"/>
  <c r="O72" i="2"/>
  <c r="P113" i="2"/>
  <c r="W51" i="2"/>
  <c r="N95" i="2"/>
  <c r="N35" i="2"/>
  <c r="Q33" i="2"/>
  <c r="O113" i="2"/>
  <c r="O56" i="2"/>
  <c r="W93" i="2"/>
  <c r="W83" i="2"/>
  <c r="N60" i="2"/>
  <c r="Q105" i="2"/>
  <c r="Q29" i="2"/>
  <c r="O50" i="2"/>
  <c r="P95" i="2"/>
  <c r="P47" i="2"/>
  <c r="W80" i="2"/>
  <c r="W56" i="2"/>
  <c r="N58" i="2"/>
  <c r="Q92" i="2"/>
  <c r="Q58" i="2"/>
  <c r="O81" i="2"/>
  <c r="O25" i="2"/>
  <c r="W87" i="2"/>
  <c r="W38" i="2"/>
  <c r="N72" i="2"/>
  <c r="Q106" i="2"/>
  <c r="Q56" i="2"/>
  <c r="O61" i="2"/>
  <c r="P107" i="2"/>
  <c r="P66" i="2"/>
  <c r="W64" i="2"/>
  <c r="N92" i="2"/>
  <c r="N24" i="2"/>
  <c r="Q70" i="2"/>
  <c r="O78" i="2"/>
  <c r="O74" i="2"/>
  <c r="P63" i="2"/>
  <c r="P22" i="2"/>
  <c r="W97" i="2"/>
  <c r="W60" i="2"/>
  <c r="N73" i="2"/>
  <c r="Q97" i="2"/>
  <c r="Q24" i="2"/>
  <c r="O41" i="2"/>
  <c r="P100" i="2"/>
  <c r="P26" i="2"/>
  <c r="P64" i="2"/>
  <c r="W39" i="2"/>
  <c r="N83" i="2"/>
  <c r="N39" i="2"/>
  <c r="Q69" i="2"/>
  <c r="O115" i="2"/>
  <c r="O60" i="2"/>
  <c r="P85" i="2"/>
  <c r="P99" i="2"/>
  <c r="P60" i="2"/>
  <c r="N101" i="2"/>
  <c r="Q81" i="2"/>
  <c r="W160" i="2"/>
  <c r="N201" i="2"/>
  <c r="N136" i="2"/>
  <c r="Q185" i="2"/>
  <c r="Q174" i="2"/>
  <c r="O175" i="2"/>
  <c r="P173" i="2"/>
  <c r="W174" i="2"/>
  <c r="W122" i="2"/>
  <c r="N208" i="2"/>
  <c r="Q194" i="2"/>
  <c r="Q143" i="2"/>
  <c r="O162" i="2"/>
  <c r="P216" i="2"/>
  <c r="P124" i="2"/>
  <c r="W206" i="2"/>
  <c r="W133" i="2"/>
  <c r="N171" i="2"/>
  <c r="Q208" i="2"/>
  <c r="Q157" i="2"/>
  <c r="O194" i="2"/>
  <c r="O123" i="2"/>
  <c r="P122" i="2"/>
  <c r="W204" i="2"/>
  <c r="W147" i="2"/>
  <c r="N162" i="2"/>
  <c r="Q179" i="2"/>
  <c r="Q120" i="2"/>
  <c r="O177" i="2"/>
  <c r="P211" i="2"/>
  <c r="P127" i="2"/>
  <c r="W194" i="2"/>
  <c r="W118" i="2"/>
  <c r="N144" i="2"/>
  <c r="Q193" i="2"/>
  <c r="Q190" i="2"/>
  <c r="O140" i="2"/>
  <c r="P197" i="2"/>
  <c r="W182" i="2"/>
  <c r="W139" i="2"/>
  <c r="N158" i="2"/>
  <c r="Q191" i="2"/>
  <c r="Q186" i="2"/>
  <c r="O187" i="2"/>
  <c r="P176" i="2"/>
  <c r="P139" i="2"/>
  <c r="W166" i="2"/>
  <c r="N205" i="2"/>
  <c r="N128" i="2"/>
  <c r="Q173" i="2"/>
  <c r="Q165" i="2"/>
  <c r="O136" i="2"/>
  <c r="P196" i="2"/>
  <c r="P203" i="2"/>
  <c r="W196" i="2"/>
  <c r="W163" i="2"/>
  <c r="N204" i="2"/>
  <c r="Q198" i="2"/>
  <c r="Q147" i="2"/>
  <c r="O176" i="2"/>
  <c r="O139" i="2"/>
  <c r="P160" i="2"/>
  <c r="W82" i="2"/>
  <c r="W52" i="2"/>
  <c r="N116" i="2"/>
  <c r="N19" i="2"/>
  <c r="Q35" i="2"/>
  <c r="O99" i="2"/>
  <c r="O22" i="2"/>
  <c r="P70" i="2"/>
  <c r="W35" i="2"/>
  <c r="N100" i="2"/>
  <c r="Q112" i="2"/>
  <c r="Q62" i="2"/>
  <c r="O67" i="2"/>
  <c r="P116" i="2"/>
  <c r="W91" i="2"/>
  <c r="W72" i="2"/>
  <c r="N44" i="2"/>
  <c r="Q89" i="2"/>
  <c r="O104" i="2"/>
  <c r="O70" i="2"/>
  <c r="P78" i="2"/>
  <c r="P90" i="2"/>
  <c r="W63" i="2"/>
  <c r="N107" i="2"/>
  <c r="N42" i="2"/>
  <c r="Q116" i="2"/>
  <c r="Q42" i="2"/>
  <c r="O63" i="2"/>
  <c r="P106" i="2"/>
  <c r="W77" i="2"/>
  <c r="W48" i="2"/>
  <c r="N56" i="2"/>
  <c r="Q90" i="2"/>
  <c r="Q40" i="2"/>
  <c r="O45" i="2"/>
  <c r="P91" i="2"/>
  <c r="W104" i="2"/>
  <c r="W29" i="2"/>
  <c r="N70" i="2"/>
  <c r="Q104" i="2"/>
  <c r="Q54" i="2"/>
  <c r="O75" i="2"/>
  <c r="O52" i="2"/>
  <c r="P19" i="2"/>
  <c r="W73" i="2"/>
  <c r="N57" i="2"/>
  <c r="Q21" i="2"/>
  <c r="W144" i="2"/>
  <c r="N202" i="2"/>
  <c r="N161" i="2"/>
  <c r="Q164" i="2"/>
  <c r="O211" i="2"/>
  <c r="O153" i="2"/>
  <c r="P158" i="2"/>
  <c r="W183" i="2"/>
  <c r="N214" i="2"/>
  <c r="N150" i="2"/>
  <c r="Q197" i="2"/>
  <c r="Q127" i="2"/>
  <c r="O146" i="2"/>
  <c r="P206" i="2"/>
  <c r="P163" i="2"/>
  <c r="W188" i="2"/>
  <c r="W151" i="2"/>
  <c r="N164" i="2"/>
  <c r="Q211" i="2"/>
  <c r="Q141" i="2"/>
  <c r="O160" i="2"/>
  <c r="P204" i="2"/>
  <c r="P161" i="2"/>
  <c r="W186" i="2"/>
  <c r="W120" i="2"/>
  <c r="N146" i="2"/>
  <c r="Q158" i="2"/>
  <c r="O205" i="2"/>
  <c r="O141" i="2"/>
  <c r="P183" i="2"/>
  <c r="P181" i="2"/>
  <c r="W171" i="2"/>
  <c r="N209" i="2"/>
  <c r="N127" i="2"/>
  <c r="Q177" i="2"/>
  <c r="Q118" i="2"/>
  <c r="O191" i="2"/>
  <c r="P178" i="2"/>
  <c r="W193" i="2"/>
  <c r="W129" i="2"/>
  <c r="N142" i="2"/>
  <c r="Q175" i="2"/>
  <c r="Q168" i="2"/>
  <c r="O181" i="2"/>
  <c r="P205" i="2"/>
  <c r="P123" i="2"/>
  <c r="W164" i="2"/>
  <c r="N216" i="2"/>
  <c r="N137" i="2"/>
  <c r="Q152" i="2"/>
  <c r="O217" i="2"/>
  <c r="O183" i="2"/>
  <c r="P190" i="2"/>
  <c r="P153" i="2"/>
  <c r="W178" i="2"/>
  <c r="W131" i="2"/>
  <c r="N154" i="2"/>
  <c r="Q201" i="2"/>
  <c r="Q131" i="2"/>
  <c r="O170" i="2"/>
  <c r="P213" i="2"/>
  <c r="P144" i="2"/>
  <c r="W116" i="2"/>
  <c r="W32" i="2"/>
  <c r="N64" i="2"/>
  <c r="Q114" i="2"/>
  <c r="Q64" i="2"/>
  <c r="O80" i="2"/>
  <c r="O20" i="2"/>
  <c r="P62" i="2"/>
  <c r="W46" i="2"/>
  <c r="N84" i="2"/>
  <c r="Q96" i="2"/>
  <c r="Q46" i="2"/>
  <c r="O51" i="2"/>
  <c r="P110" i="2"/>
  <c r="W65" i="2"/>
  <c r="N109" i="2"/>
  <c r="N65" i="2"/>
  <c r="Q115" i="2"/>
  <c r="O88" i="2"/>
  <c r="O64" i="2"/>
  <c r="P69" i="2"/>
  <c r="P93" i="2"/>
  <c r="W47" i="2"/>
  <c r="N91" i="2"/>
  <c r="N81" i="2"/>
  <c r="Q103" i="2"/>
  <c r="Q30" i="2"/>
  <c r="O47" i="2"/>
  <c r="P109" i="2"/>
  <c r="W61" i="2"/>
  <c r="N105" i="2"/>
  <c r="N40" i="2"/>
  <c r="Q101" i="2"/>
  <c r="Q28" i="2"/>
  <c r="O33" i="2"/>
  <c r="P80" i="2"/>
  <c r="W88" i="2"/>
  <c r="W24" i="2"/>
  <c r="N54" i="2"/>
  <c r="Q88" i="2"/>
  <c r="Q38" i="2"/>
  <c r="O59" i="2"/>
  <c r="P117" i="2"/>
  <c r="P32" i="2"/>
  <c r="P71" i="2"/>
  <c r="W57" i="2"/>
  <c r="N85" i="2"/>
  <c r="N41" i="2"/>
  <c r="Q71" i="2"/>
  <c r="O117" i="2"/>
  <c r="O76" i="2"/>
  <c r="P103" i="2"/>
  <c r="P52" i="2"/>
  <c r="W115" i="2"/>
  <c r="W27" i="2"/>
  <c r="N88" i="2"/>
  <c r="N20" i="2"/>
  <c r="Q37" i="2"/>
  <c r="O94" i="2"/>
  <c r="O24" i="2"/>
  <c r="P59" i="2"/>
  <c r="P48" i="2"/>
  <c r="W199" i="2"/>
  <c r="W177" i="2"/>
  <c r="N170" i="2"/>
  <c r="N126" i="2"/>
  <c r="Q132" i="2"/>
  <c r="O190" i="2"/>
  <c r="O173" i="2"/>
  <c r="P126" i="2"/>
  <c r="W142" i="2"/>
  <c r="N212" i="2"/>
  <c r="N157" i="2"/>
  <c r="Q162" i="2"/>
  <c r="O209" i="2"/>
  <c r="O167" i="2"/>
  <c r="P207" i="2"/>
  <c r="P131" i="2"/>
  <c r="W179" i="2"/>
  <c r="N197" i="2"/>
  <c r="N132" i="2"/>
  <c r="Q181" i="2"/>
  <c r="Q121" i="2"/>
  <c r="O128" i="2"/>
  <c r="P201" i="2"/>
  <c r="P129" i="2"/>
  <c r="W154" i="2"/>
  <c r="N195" i="2"/>
  <c r="N122" i="2"/>
  <c r="Q126" i="2"/>
  <c r="O184" i="2"/>
  <c r="O155" i="2"/>
  <c r="P152" i="2"/>
  <c r="P125" i="2"/>
  <c r="W136" i="2"/>
  <c r="N178" i="2"/>
  <c r="N121" i="2"/>
  <c r="Q140" i="2"/>
  <c r="O212" i="2"/>
  <c r="O137" i="2"/>
  <c r="P150" i="2"/>
  <c r="W150" i="2"/>
  <c r="N217" i="2"/>
  <c r="N125" i="2"/>
  <c r="Q138" i="2"/>
  <c r="O210" i="2"/>
  <c r="O120" i="2"/>
  <c r="P164" i="2"/>
  <c r="P133" i="2"/>
  <c r="W132" i="2"/>
  <c r="N174" i="2"/>
  <c r="N143" i="2"/>
  <c r="Q192" i="2"/>
  <c r="O208" i="2"/>
  <c r="O129" i="2"/>
  <c r="P193" i="2"/>
  <c r="P121" i="2"/>
  <c r="W162" i="2"/>
  <c r="N213" i="2"/>
  <c r="N119" i="2"/>
  <c r="Q170" i="2"/>
  <c r="Q119" i="2"/>
  <c r="O134" i="2"/>
  <c r="P194" i="2"/>
  <c r="P169" i="2"/>
  <c r="W69" i="2"/>
  <c r="W19" i="2"/>
  <c r="N32" i="2"/>
  <c r="Q109" i="2"/>
  <c r="Q32" i="2"/>
  <c r="O53" i="2"/>
  <c r="P112" i="2"/>
  <c r="W96" i="2"/>
  <c r="W44" i="2"/>
  <c r="N46" i="2"/>
  <c r="Q91" i="2"/>
  <c r="Q20" i="2"/>
  <c r="O66" i="2"/>
  <c r="P27" i="2"/>
  <c r="W101" i="2"/>
  <c r="N114" i="2"/>
  <c r="N33" i="2"/>
  <c r="Q47" i="2"/>
  <c r="O97" i="2"/>
  <c r="O38" i="2"/>
  <c r="P54" i="2"/>
  <c r="P44" i="2"/>
  <c r="W25" i="2"/>
  <c r="N112" i="2"/>
  <c r="N47" i="2"/>
  <c r="Q77" i="2"/>
  <c r="O102" i="2"/>
  <c r="O48" i="2"/>
  <c r="P67" i="2"/>
  <c r="W111" i="2"/>
  <c r="N115" i="2"/>
  <c r="N61" i="2"/>
  <c r="Q75" i="2"/>
  <c r="O100" i="2"/>
  <c r="O30" i="2"/>
  <c r="P76" i="2"/>
  <c r="W75" i="2"/>
  <c r="W42" i="2"/>
  <c r="N75" i="2"/>
  <c r="Q83" i="2"/>
  <c r="Q23" i="2"/>
  <c r="O101" i="2"/>
  <c r="P86" i="2"/>
  <c r="P43" i="2"/>
  <c r="P74" i="2"/>
  <c r="W40" i="2"/>
  <c r="N90" i="2"/>
  <c r="N22" i="2"/>
  <c r="Q39" i="2"/>
  <c r="O96" i="2"/>
  <c r="O26" i="2"/>
  <c r="P77" i="2"/>
  <c r="P35" i="2"/>
  <c r="W84" i="2"/>
  <c r="W66" i="2"/>
  <c r="N50" i="2"/>
  <c r="Q84" i="2"/>
  <c r="Q50" i="2"/>
  <c r="O71" i="2"/>
  <c r="O27" i="2"/>
  <c r="P38" i="2"/>
  <c r="P55" i="2"/>
  <c r="Q43" i="2"/>
  <c r="P104" i="2"/>
  <c r="W215" i="2"/>
  <c r="W158" i="2"/>
  <c r="W172" i="2"/>
  <c r="W175" i="2"/>
  <c r="W152" i="2"/>
  <c r="N207" i="2"/>
  <c r="N190" i="2"/>
  <c r="N203" i="2"/>
  <c r="W36" i="2"/>
  <c r="N62" i="2"/>
  <c r="Q63" i="2"/>
  <c r="Q87" i="2"/>
  <c r="Q25" i="2"/>
  <c r="N87" i="2"/>
  <c r="Q26" i="2"/>
  <c r="P81" i="2"/>
  <c r="W22" i="2"/>
  <c r="Q55" i="2"/>
  <c r="O44" i="2"/>
  <c r="P29" i="2"/>
  <c r="W21" i="2"/>
  <c r="O39" i="2"/>
  <c r="W121" i="2"/>
  <c r="N120" i="2"/>
  <c r="N48" i="2"/>
  <c r="Q27" i="2"/>
  <c r="O98" i="2"/>
  <c r="Q52" i="2"/>
  <c r="N99" i="2"/>
  <c r="O111" i="2"/>
  <c r="O91" i="2"/>
  <c r="N106" i="2"/>
  <c r="W128" i="2"/>
  <c r="N199" i="2"/>
  <c r="N211" i="2"/>
  <c r="N141" i="2"/>
  <c r="Q107" i="2"/>
  <c r="O36" i="2"/>
  <c r="P28" i="2"/>
  <c r="P115" i="2"/>
  <c r="P37" i="2"/>
  <c r="O82" i="2"/>
  <c r="Q53" i="2"/>
  <c r="N186" i="2"/>
  <c r="N134" i="2"/>
  <c r="N148" i="2"/>
  <c r="N149" i="2"/>
  <c r="N145" i="2"/>
  <c r="Q154" i="2"/>
  <c r="Q136" i="2"/>
  <c r="Q187" i="2"/>
  <c r="Q98" i="2"/>
  <c r="Q31" i="2"/>
  <c r="O29" i="2"/>
  <c r="N38" i="2"/>
  <c r="N104" i="2"/>
  <c r="N129" i="2"/>
  <c r="Q183" i="2"/>
  <c r="Q195" i="2"/>
  <c r="Q142" i="2"/>
  <c r="Q156" i="2"/>
  <c r="O201" i="2"/>
  <c r="O199" i="2"/>
  <c r="Q178" i="2"/>
  <c r="Q48" i="2"/>
  <c r="O35" i="2"/>
  <c r="P53" i="2"/>
  <c r="P82" i="2"/>
  <c r="P65" i="2"/>
  <c r="N43" i="2"/>
  <c r="O43" i="2"/>
  <c r="P73" i="2"/>
  <c r="N52" i="2"/>
  <c r="O112" i="2"/>
  <c r="P87" i="2"/>
  <c r="W100" i="2"/>
  <c r="N66" i="2"/>
  <c r="Q66" i="2"/>
  <c r="O40" i="2"/>
  <c r="P94" i="2"/>
  <c r="P137" i="2"/>
  <c r="N117" i="2"/>
  <c r="P102" i="2"/>
  <c r="O85" i="2"/>
  <c r="N23" i="2"/>
  <c r="P41" i="2"/>
  <c r="O62" i="2"/>
  <c r="Q148" i="2"/>
  <c r="Q171" i="2"/>
  <c r="Q125" i="2"/>
  <c r="O198" i="2"/>
  <c r="O203" i="2"/>
  <c r="O133" i="2"/>
  <c r="O161" i="2"/>
  <c r="O150" i="2"/>
  <c r="O69" i="2"/>
  <c r="P79" i="2"/>
  <c r="P51" i="2"/>
  <c r="W45" i="2"/>
  <c r="P58" i="2"/>
  <c r="N27" i="2"/>
  <c r="O32" i="2"/>
  <c r="P72" i="2"/>
  <c r="N36" i="2"/>
  <c r="O73" i="2"/>
  <c r="P45" i="2"/>
  <c r="W71" i="2"/>
  <c r="N71" i="2"/>
  <c r="Q22" i="2"/>
  <c r="P98" i="2"/>
  <c r="O122" i="2"/>
  <c r="P165" i="2"/>
  <c r="P151" i="2"/>
  <c r="W112" i="2"/>
  <c r="N77" i="2"/>
  <c r="Q57" i="2"/>
  <c r="Q86" i="2"/>
  <c r="W70" i="2"/>
  <c r="P75" i="2"/>
  <c r="P46" i="2"/>
  <c r="O204" i="2"/>
  <c r="O130" i="2"/>
  <c r="O144" i="2"/>
  <c r="O166" i="2"/>
  <c r="O119" i="2"/>
  <c r="P179" i="2"/>
  <c r="P174" i="2"/>
  <c r="P210" i="2"/>
  <c r="O19" i="2"/>
  <c r="W49" i="2"/>
  <c r="W85" i="2"/>
  <c r="N89" i="2"/>
  <c r="W113" i="2"/>
  <c r="Q99" i="2"/>
  <c r="O28" i="2"/>
  <c r="W102" i="2"/>
  <c r="N25" i="2"/>
  <c r="O57" i="2"/>
  <c r="P31" i="2"/>
  <c r="W55" i="2"/>
  <c r="N55" i="2"/>
  <c r="Q79" i="2"/>
  <c r="P101" i="2"/>
  <c r="P184" i="2"/>
  <c r="P182" i="2"/>
  <c r="P195" i="2"/>
  <c r="P128" i="2"/>
  <c r="N93" i="2"/>
  <c r="W95" i="2"/>
  <c r="W86" i="2"/>
  <c r="P40" i="2"/>
  <c r="O110" i="2"/>
  <c r="Q36" i="2"/>
  <c r="P56" i="2"/>
  <c r="P142" i="2"/>
  <c r="P147" i="2"/>
  <c r="P145" i="2"/>
  <c r="P134" i="2"/>
  <c r="W168" i="2"/>
  <c r="W148" i="2"/>
  <c r="W191" i="2"/>
  <c r="W78" i="2"/>
  <c r="W74" i="2"/>
  <c r="N49" i="2"/>
  <c r="N63" i="2"/>
  <c r="Q85" i="2"/>
  <c r="W33" i="2"/>
  <c r="Q41" i="2"/>
  <c r="P89" i="2"/>
  <c r="W41" i="2"/>
  <c r="Q113" i="2"/>
  <c r="O31" i="2"/>
  <c r="P50" i="2"/>
  <c r="W68" i="2"/>
  <c r="Q100" i="2"/>
  <c r="O87" i="2"/>
  <c r="P42" i="2"/>
  <c r="Q95" i="2"/>
  <c r="P20" i="2"/>
  <c r="N206" i="2"/>
  <c r="N138" i="2"/>
  <c r="O109" i="2"/>
  <c r="N108" i="2"/>
  <c r="W31" i="2"/>
  <c r="P97" i="2"/>
  <c r="Q117" i="2"/>
  <c r="P88" i="2"/>
  <c r="P84" i="2"/>
  <c r="R21" i="3" l="1"/>
  <c r="U19" i="3"/>
  <c r="U18" i="3" s="1"/>
  <c r="S18" i="2"/>
  <c r="S11" i="2"/>
  <c r="W19" i="3"/>
  <c r="W18" i="3" s="1"/>
  <c r="U11" i="2"/>
  <c r="U18" i="2"/>
  <c r="Q21" i="3"/>
  <c r="V19" i="3"/>
  <c r="V18" i="3" s="1"/>
  <c r="T11" i="2"/>
  <c r="T18" i="2"/>
  <c r="AD19" i="3"/>
  <c r="AD18" i="3" s="1"/>
  <c r="AB11" i="2"/>
  <c r="AA9" i="2"/>
  <c r="Z9" i="2"/>
  <c r="AG9" i="2"/>
  <c r="Y9" i="2"/>
  <c r="X9" i="2"/>
  <c r="AB18" i="2"/>
  <c r="X19" i="3"/>
  <c r="X18" i="3" s="1"/>
  <c r="V11" i="2"/>
  <c r="V18" i="2"/>
  <c r="S21" i="3"/>
  <c r="P21" i="3"/>
  <c r="Y21" i="3"/>
  <c r="V232" i="2"/>
  <c r="V228" i="2"/>
  <c r="V224" i="2"/>
  <c r="V233" i="2"/>
  <c r="V229" i="2"/>
  <c r="V225" i="2"/>
  <c r="V222" i="2"/>
  <c r="V221" i="2"/>
  <c r="V218" i="2"/>
  <c r="V234" i="2"/>
  <c r="V230" i="2"/>
  <c r="V226" i="2"/>
  <c r="V220" i="2"/>
  <c r="V219" i="2"/>
  <c r="V223" i="2"/>
  <c r="V227" i="2"/>
  <c r="V231" i="2"/>
  <c r="T234" i="2"/>
  <c r="T232" i="2"/>
  <c r="T230" i="2"/>
  <c r="T228" i="2"/>
  <c r="T226" i="2"/>
  <c r="T224" i="2"/>
  <c r="T222" i="2"/>
  <c r="T220" i="2"/>
  <c r="T218" i="2"/>
  <c r="T219" i="2"/>
  <c r="T233" i="2"/>
  <c r="T229" i="2"/>
  <c r="T225" i="2"/>
  <c r="T221" i="2"/>
  <c r="T231" i="2"/>
  <c r="T227" i="2"/>
  <c r="T223" i="2"/>
  <c r="S233" i="2"/>
  <c r="S231" i="2"/>
  <c r="S229" i="2"/>
  <c r="S227" i="2"/>
  <c r="S225" i="2"/>
  <c r="S234" i="2"/>
  <c r="S232" i="2"/>
  <c r="S230" i="2"/>
  <c r="S228" i="2"/>
  <c r="S226" i="2"/>
  <c r="S224" i="2"/>
  <c r="S222" i="2"/>
  <c r="S220" i="2"/>
  <c r="S218" i="2"/>
  <c r="S219" i="2"/>
  <c r="S221" i="2"/>
  <c r="S223" i="2"/>
  <c r="AB234" i="2"/>
  <c r="AB232" i="2"/>
  <c r="AB230" i="2"/>
  <c r="AB228" i="2"/>
  <c r="AB226" i="2"/>
  <c r="AB224" i="2"/>
  <c r="AB222" i="2"/>
  <c r="AB220" i="2"/>
  <c r="AB218" i="2"/>
  <c r="AB231" i="2"/>
  <c r="AB227" i="2"/>
  <c r="AB223" i="2"/>
  <c r="AB219" i="2"/>
  <c r="AB233" i="2"/>
  <c r="AB229" i="2"/>
  <c r="AB225" i="2"/>
  <c r="AB221" i="2"/>
  <c r="U234" i="2"/>
  <c r="U232" i="2"/>
  <c r="U230" i="2"/>
  <c r="U228" i="2"/>
  <c r="U226" i="2"/>
  <c r="U224" i="2"/>
  <c r="U222" i="2"/>
  <c r="U220" i="2"/>
  <c r="U218" i="2"/>
  <c r="U233" i="2"/>
  <c r="U231" i="2"/>
  <c r="U229" i="2"/>
  <c r="U227" i="2"/>
  <c r="U225" i="2"/>
  <c r="U223" i="2"/>
  <c r="U221" i="2"/>
  <c r="U219" i="2"/>
  <c r="AC19" i="3" l="1"/>
  <c r="AC18" i="3" s="1"/>
  <c r="AA18" i="2"/>
  <c r="AA11" i="2"/>
  <c r="W21" i="3"/>
  <c r="AI19" i="3"/>
  <c r="AI18" i="3" s="1"/>
  <c r="AL9" i="2"/>
  <c r="AD9" i="2"/>
  <c r="AF9" i="2"/>
  <c r="AC9" i="2"/>
  <c r="AG18" i="2"/>
  <c r="AG11" i="2"/>
  <c r="AE9" i="2"/>
  <c r="AD21" i="3"/>
  <c r="AB19" i="3"/>
  <c r="AB18" i="3" s="1"/>
  <c r="Z18" i="2"/>
  <c r="Z11" i="2"/>
  <c r="U21" i="3"/>
  <c r="V21" i="3"/>
  <c r="X21" i="3"/>
  <c r="Z19" i="3"/>
  <c r="Z18" i="3" s="1"/>
  <c r="X18" i="2"/>
  <c r="X11" i="2"/>
  <c r="AA19" i="3"/>
  <c r="AA18" i="3" s="1"/>
  <c r="Y18" i="2"/>
  <c r="Y11" i="2"/>
  <c r="AA233" i="2"/>
  <c r="AA231" i="2"/>
  <c r="AA229" i="2"/>
  <c r="AA227" i="2"/>
  <c r="AA225" i="2"/>
  <c r="AA223" i="2"/>
  <c r="AA234" i="2"/>
  <c r="AA232" i="2"/>
  <c r="AA230" i="2"/>
  <c r="AA228" i="2"/>
  <c r="AA226" i="2"/>
  <c r="AA224" i="2"/>
  <c r="AA222" i="2"/>
  <c r="AA220" i="2"/>
  <c r="AA218" i="2"/>
  <c r="AA221" i="2"/>
  <c r="AA219" i="2"/>
  <c r="AG233" i="2"/>
  <c r="AG231" i="2"/>
  <c r="AG229" i="2"/>
  <c r="AG227" i="2"/>
  <c r="AG225" i="2"/>
  <c r="AG223" i="2"/>
  <c r="AG221" i="2"/>
  <c r="AG219" i="2"/>
  <c r="AG234" i="2"/>
  <c r="AG232" i="2"/>
  <c r="AG230" i="2"/>
  <c r="AG228" i="2"/>
  <c r="AG226" i="2"/>
  <c r="AG224" i="2"/>
  <c r="AG222" i="2"/>
  <c r="AG220" i="2"/>
  <c r="AG218" i="2"/>
  <c r="Z233" i="2"/>
  <c r="Z229" i="2"/>
  <c r="Z225" i="2"/>
  <c r="Z218" i="2"/>
  <c r="Z221" i="2"/>
  <c r="Z234" i="2"/>
  <c r="Z230" i="2"/>
  <c r="Z226" i="2"/>
  <c r="Z220" i="2"/>
  <c r="Z231" i="2"/>
  <c r="Z227" i="2"/>
  <c r="Z223" i="2"/>
  <c r="Z232" i="2"/>
  <c r="Z228" i="2"/>
  <c r="Z224" i="2"/>
  <c r="Z222" i="2"/>
  <c r="Z219" i="2"/>
  <c r="X233" i="2"/>
  <c r="X231" i="2"/>
  <c r="X229" i="2"/>
  <c r="X227" i="2"/>
  <c r="X225" i="2"/>
  <c r="X223" i="2"/>
  <c r="X221" i="2"/>
  <c r="X219" i="2"/>
  <c r="X218" i="2"/>
  <c r="X234" i="2"/>
  <c r="X230" i="2"/>
  <c r="X226" i="2"/>
  <c r="X220" i="2"/>
  <c r="X232" i="2"/>
  <c r="X228" i="2"/>
  <c r="X224" i="2"/>
  <c r="X222" i="2"/>
  <c r="Y233" i="2"/>
  <c r="Y231" i="2"/>
  <c r="Y229" i="2"/>
  <c r="Y227" i="2"/>
  <c r="Y225" i="2"/>
  <c r="Y223" i="2"/>
  <c r="Y221" i="2"/>
  <c r="Y219" i="2"/>
  <c r="Y234" i="2"/>
  <c r="Y232" i="2"/>
  <c r="Y230" i="2"/>
  <c r="Y228" i="2"/>
  <c r="Y226" i="2"/>
  <c r="Y224" i="2"/>
  <c r="Y222" i="2"/>
  <c r="Y220" i="2"/>
  <c r="Y218" i="2"/>
  <c r="V213" i="2"/>
  <c r="V212" i="2"/>
  <c r="T188" i="2"/>
  <c r="T167" i="2"/>
  <c r="S174" i="2"/>
  <c r="AB174" i="2"/>
  <c r="U213" i="2"/>
  <c r="U168" i="2"/>
  <c r="AB177" i="2"/>
  <c r="V208" i="2"/>
  <c r="T189" i="2"/>
  <c r="T146" i="2"/>
  <c r="S180" i="2"/>
  <c r="AB216" i="2"/>
  <c r="AB129" i="2"/>
  <c r="U188" i="2"/>
  <c r="V145" i="2"/>
  <c r="U167" i="2"/>
  <c r="V134" i="2"/>
  <c r="T184" i="2"/>
  <c r="T202" i="2"/>
  <c r="S141" i="2"/>
  <c r="AB183" i="2"/>
  <c r="AB148" i="2"/>
  <c r="U147" i="2"/>
  <c r="U185" i="2"/>
  <c r="U158" i="2"/>
  <c r="V164" i="2"/>
  <c r="T217" i="2"/>
  <c r="T158" i="2"/>
  <c r="S167" i="2"/>
  <c r="AB217" i="2"/>
  <c r="AB125" i="2"/>
  <c r="U184" i="2"/>
  <c r="U181" i="2"/>
  <c r="AB180" i="2"/>
  <c r="V185" i="2"/>
  <c r="T199" i="2"/>
  <c r="T213" i="2"/>
  <c r="S217" i="2"/>
  <c r="AB201" i="2"/>
  <c r="AB160" i="2"/>
  <c r="U159" i="2"/>
  <c r="AB199" i="2"/>
  <c r="V198" i="2"/>
  <c r="V135" i="2"/>
  <c r="T143" i="2"/>
  <c r="S195" i="2"/>
  <c r="S148" i="2"/>
  <c r="AB206" i="2"/>
  <c r="U201" i="2"/>
  <c r="U156" i="2"/>
  <c r="T178" i="2"/>
  <c r="V188" i="2"/>
  <c r="V137" i="2"/>
  <c r="T190" i="2"/>
  <c r="T118" i="2"/>
  <c r="S131" i="2"/>
  <c r="AB189" i="2"/>
  <c r="AB154" i="2"/>
  <c r="U153" i="2"/>
  <c r="U122" i="2"/>
  <c r="U203" i="2"/>
  <c r="V76" i="2"/>
  <c r="T109" i="2"/>
  <c r="T57" i="2"/>
  <c r="AB51" i="2"/>
  <c r="V42" i="2"/>
  <c r="T82" i="2"/>
  <c r="S99" i="2"/>
  <c r="S69" i="2"/>
  <c r="AB98" i="2"/>
  <c r="AB59" i="2"/>
  <c r="U80" i="2"/>
  <c r="AB47" i="2"/>
  <c r="S66" i="2"/>
  <c r="AB100" i="2"/>
  <c r="V98" i="2"/>
  <c r="V33" i="2"/>
  <c r="T80" i="2"/>
  <c r="S106" i="2"/>
  <c r="S47" i="2"/>
  <c r="AB63" i="2"/>
  <c r="U110" i="2"/>
  <c r="AB53" i="2"/>
  <c r="S28" i="2"/>
  <c r="U62" i="2"/>
  <c r="V38" i="2"/>
  <c r="T110" i="2"/>
  <c r="T44" i="2"/>
  <c r="S78" i="2"/>
  <c r="AB110" i="2"/>
  <c r="U61" i="2"/>
  <c r="AB73" i="2"/>
  <c r="U67" i="2"/>
  <c r="V36" i="2"/>
  <c r="T108" i="2"/>
  <c r="T41" i="2"/>
  <c r="S92" i="2"/>
  <c r="AB108" i="2"/>
  <c r="AB71" i="2"/>
  <c r="U54" i="2"/>
  <c r="V62" i="2"/>
  <c r="U100" i="2"/>
  <c r="U35" i="2"/>
  <c r="V75" i="2"/>
  <c r="T106" i="2"/>
  <c r="T55" i="2"/>
  <c r="S65" i="2"/>
  <c r="AB87" i="2"/>
  <c r="AB79" i="2"/>
  <c r="U68" i="2"/>
  <c r="AB86" i="2"/>
  <c r="V32" i="2"/>
  <c r="V186" i="2"/>
  <c r="V133" i="2"/>
  <c r="T172" i="2"/>
  <c r="S202" i="2"/>
  <c r="S130" i="2"/>
  <c r="AB163" i="2"/>
  <c r="U197" i="2"/>
  <c r="U152" i="2"/>
  <c r="AB142" i="2"/>
  <c r="V152" i="2"/>
  <c r="T173" i="2"/>
  <c r="T130" i="2"/>
  <c r="S159" i="2"/>
  <c r="AB207" i="2"/>
  <c r="AB202" i="2"/>
  <c r="U169" i="2"/>
  <c r="V121" i="2"/>
  <c r="V207" i="2"/>
  <c r="V157" i="2"/>
  <c r="T198" i="2"/>
  <c r="S214" i="2"/>
  <c r="S125" i="2"/>
  <c r="AB204" i="2"/>
  <c r="AB132" i="2"/>
  <c r="U131" i="2"/>
  <c r="V144" i="2"/>
  <c r="V205" i="2"/>
  <c r="V148" i="2"/>
  <c r="T185" i="2"/>
  <c r="T142" i="2"/>
  <c r="S155" i="2"/>
  <c r="AB203" i="2"/>
  <c r="AB162" i="2"/>
  <c r="U161" i="2"/>
  <c r="U183" i="2"/>
  <c r="AB158" i="2"/>
  <c r="V169" i="2"/>
  <c r="T212" i="2"/>
  <c r="T156" i="2"/>
  <c r="S153" i="2"/>
  <c r="AB179" i="2"/>
  <c r="AB144" i="2"/>
  <c r="U143" i="2"/>
  <c r="AB137" i="2"/>
  <c r="V181" i="2"/>
  <c r="T211" i="2"/>
  <c r="T127" i="2"/>
  <c r="S185" i="2"/>
  <c r="S170" i="2"/>
  <c r="AB151" i="2"/>
  <c r="U210" i="2"/>
  <c r="U140" i="2"/>
  <c r="S215" i="2"/>
  <c r="V172" i="2"/>
  <c r="V163" i="2"/>
  <c r="T174" i="2"/>
  <c r="S204" i="2"/>
  <c r="S178" i="2"/>
  <c r="AB173" i="2"/>
  <c r="AB138" i="2"/>
  <c r="U137" i="2"/>
  <c r="U134" i="2"/>
  <c r="U179" i="2"/>
  <c r="V60" i="2"/>
  <c r="T93" i="2"/>
  <c r="T39" i="2"/>
  <c r="V111" i="2"/>
  <c r="V67" i="2"/>
  <c r="T64" i="2"/>
  <c r="S83" i="2"/>
  <c r="S27" i="2"/>
  <c r="AB82" i="2"/>
  <c r="U113" i="2"/>
  <c r="U65" i="2"/>
  <c r="AB43" i="2"/>
  <c r="S37" i="2"/>
  <c r="AB28" i="2"/>
  <c r="V82" i="2"/>
  <c r="V30" i="2"/>
  <c r="T53" i="2"/>
  <c r="S76" i="2"/>
  <c r="S41" i="2"/>
  <c r="AB41" i="2"/>
  <c r="U94" i="2"/>
  <c r="AB65" i="2"/>
  <c r="AB102" i="2"/>
  <c r="V107" i="2"/>
  <c r="V116" i="2"/>
  <c r="T94" i="2"/>
  <c r="T33" i="2"/>
  <c r="S75" i="2"/>
  <c r="AB94" i="2"/>
  <c r="U28" i="2"/>
  <c r="U85" i="2"/>
  <c r="V105" i="2"/>
  <c r="V77" i="2"/>
  <c r="T92" i="2"/>
  <c r="T26" i="2"/>
  <c r="S59" i="2"/>
  <c r="AB92" i="2"/>
  <c r="AB49" i="2"/>
  <c r="U38" i="2"/>
  <c r="V39" i="2"/>
  <c r="U53" i="2"/>
  <c r="V103" i="2"/>
  <c r="V170" i="2"/>
  <c r="V159" i="2"/>
  <c r="T155" i="2"/>
  <c r="S207" i="2"/>
  <c r="S140" i="2"/>
  <c r="AB147" i="2"/>
  <c r="U206" i="2"/>
  <c r="U173" i="2"/>
  <c r="U157" i="2"/>
  <c r="V136" i="2"/>
  <c r="T186" i="2"/>
  <c r="T170" i="2"/>
  <c r="S143" i="2"/>
  <c r="AB185" i="2"/>
  <c r="AB150" i="2"/>
  <c r="U149" i="2"/>
  <c r="T204" i="2"/>
  <c r="V206" i="2"/>
  <c r="V193" i="2"/>
  <c r="T151" i="2"/>
  <c r="S198" i="2"/>
  <c r="S168" i="2"/>
  <c r="AB186" i="2"/>
  <c r="AB168" i="2"/>
  <c r="U191" i="2"/>
  <c r="T197" i="2"/>
  <c r="V215" i="2"/>
  <c r="V132" i="2"/>
  <c r="T200" i="2"/>
  <c r="T126" i="2"/>
  <c r="S139" i="2"/>
  <c r="AB181" i="2"/>
  <c r="AB146" i="2"/>
  <c r="U145" i="2"/>
  <c r="U128" i="2"/>
  <c r="U196" i="2"/>
  <c r="V162" i="2"/>
  <c r="T183" i="2"/>
  <c r="T140" i="2"/>
  <c r="S137" i="2"/>
  <c r="AB198" i="2"/>
  <c r="AB128" i="2"/>
  <c r="U127" i="2"/>
  <c r="U125" i="2"/>
  <c r="V165" i="2"/>
  <c r="T195" i="2"/>
  <c r="T168" i="2"/>
  <c r="S192" i="2"/>
  <c r="S138" i="2"/>
  <c r="AB135" i="2"/>
  <c r="U194" i="2"/>
  <c r="U124" i="2"/>
  <c r="S186" i="2"/>
  <c r="V217" i="2"/>
  <c r="V131" i="2"/>
  <c r="T157" i="2"/>
  <c r="S209" i="2"/>
  <c r="S118" i="2"/>
  <c r="AB192" i="2"/>
  <c r="AB122" i="2"/>
  <c r="U121" i="2"/>
  <c r="V167" i="2"/>
  <c r="V113" i="2"/>
  <c r="V44" i="2"/>
  <c r="T100" i="2"/>
  <c r="T61" i="2"/>
  <c r="V95" i="2"/>
  <c r="V51" i="2"/>
  <c r="T78" i="2"/>
  <c r="S96" i="2"/>
  <c r="S57" i="2"/>
  <c r="AB62" i="2"/>
  <c r="U97" i="2"/>
  <c r="U49" i="2"/>
  <c r="U92" i="2"/>
  <c r="AB66" i="2"/>
  <c r="U99" i="2"/>
  <c r="V72" i="2"/>
  <c r="T105" i="2"/>
  <c r="T25" i="2"/>
  <c r="S60" i="2"/>
  <c r="AB109" i="2"/>
  <c r="AB35" i="2"/>
  <c r="U74" i="2"/>
  <c r="U109" i="2"/>
  <c r="AB67" i="2"/>
  <c r="V91" i="2"/>
  <c r="V63" i="2"/>
  <c r="T76" i="2"/>
  <c r="S111" i="2"/>
  <c r="S43" i="2"/>
  <c r="AB74" i="2"/>
  <c r="V46" i="2"/>
  <c r="U69" i="2"/>
  <c r="V89" i="2"/>
  <c r="V61" i="2"/>
  <c r="T74" i="2"/>
  <c r="S109" i="2"/>
  <c r="S86" i="2"/>
  <c r="AB72" i="2"/>
  <c r="U107" i="2"/>
  <c r="U75" i="2"/>
  <c r="T86" i="2"/>
  <c r="S112" i="2"/>
  <c r="V202" i="2"/>
  <c r="V127" i="2"/>
  <c r="T139" i="2"/>
  <c r="S181" i="2"/>
  <c r="S162" i="2"/>
  <c r="AB131" i="2"/>
  <c r="U190" i="2"/>
  <c r="V176" i="2"/>
  <c r="V209" i="2"/>
  <c r="V161" i="2"/>
  <c r="T208" i="2"/>
  <c r="S216" i="2"/>
  <c r="S127" i="2"/>
  <c r="AB210" i="2"/>
  <c r="AB134" i="2"/>
  <c r="U133" i="2"/>
  <c r="T138" i="2"/>
  <c r="V182" i="2"/>
  <c r="V151" i="2"/>
  <c r="T135" i="2"/>
  <c r="S203" i="2"/>
  <c r="S164" i="2"/>
  <c r="AB213" i="2"/>
  <c r="U209" i="2"/>
  <c r="U164" i="2"/>
  <c r="T129" i="2"/>
  <c r="V200" i="2"/>
  <c r="V153" i="2"/>
  <c r="T182" i="2"/>
  <c r="S212" i="2"/>
  <c r="S166" i="2"/>
  <c r="AB193" i="2"/>
  <c r="AB130" i="2"/>
  <c r="U129" i="2"/>
  <c r="V216" i="2"/>
  <c r="U142" i="2"/>
  <c r="V146" i="2"/>
  <c r="T210" i="2"/>
  <c r="T124" i="2"/>
  <c r="S190" i="2"/>
  <c r="AB182" i="2"/>
  <c r="AB171" i="2"/>
  <c r="U144" i="2"/>
  <c r="V201" i="2"/>
  <c r="V158" i="2"/>
  <c r="T194" i="2"/>
  <c r="T152" i="2"/>
  <c r="S169" i="2"/>
  <c r="AB197" i="2"/>
  <c r="AB119" i="2"/>
  <c r="U178" i="2"/>
  <c r="U119" i="2"/>
  <c r="AB200" i="2"/>
  <c r="V179" i="2"/>
  <c r="T216" i="2"/>
  <c r="T141" i="2"/>
  <c r="S213" i="2"/>
  <c r="S144" i="2"/>
  <c r="AB176" i="2"/>
  <c r="U215" i="2"/>
  <c r="U171" i="2"/>
  <c r="T181" i="2"/>
  <c r="V97" i="2"/>
  <c r="V69" i="2"/>
  <c r="T84" i="2"/>
  <c r="T19" i="2"/>
  <c r="V115" i="2"/>
  <c r="V35" i="2"/>
  <c r="T69" i="2"/>
  <c r="S94" i="2"/>
  <c r="S51" i="2"/>
  <c r="AB78" i="2"/>
  <c r="U112" i="2"/>
  <c r="U33" i="2"/>
  <c r="U77" i="2"/>
  <c r="AB39" i="2"/>
  <c r="U46" i="2"/>
  <c r="V56" i="2"/>
  <c r="T89" i="2"/>
  <c r="T34" i="2"/>
  <c r="S44" i="2"/>
  <c r="AB93" i="2"/>
  <c r="AB22" i="2"/>
  <c r="U58" i="2"/>
  <c r="U108" i="2"/>
  <c r="U101" i="2"/>
  <c r="V112" i="2"/>
  <c r="V47" i="2"/>
  <c r="T60" i="2"/>
  <c r="S95" i="2"/>
  <c r="S23" i="2"/>
  <c r="AB33" i="2"/>
  <c r="T111" i="2"/>
  <c r="S64" i="2"/>
  <c r="V110" i="2"/>
  <c r="V45" i="2"/>
  <c r="T58" i="2"/>
  <c r="S93" i="2"/>
  <c r="S21" i="2"/>
  <c r="AB56" i="2"/>
  <c r="U91" i="2"/>
  <c r="U59" i="2"/>
  <c r="T24" i="2"/>
  <c r="S19" i="2"/>
  <c r="V108" i="2"/>
  <c r="V27" i="2"/>
  <c r="T56" i="2"/>
  <c r="S91" i="2"/>
  <c r="S82" i="2"/>
  <c r="AB70" i="2"/>
  <c r="U105" i="2"/>
  <c r="U73" i="2"/>
  <c r="T95" i="2"/>
  <c r="U20" i="2"/>
  <c r="V85" i="2"/>
  <c r="V41" i="2"/>
  <c r="T70" i="2"/>
  <c r="S116" i="2"/>
  <c r="S39" i="2"/>
  <c r="AB104" i="2"/>
  <c r="AB42" i="2"/>
  <c r="U34" i="2"/>
  <c r="V71" i="2"/>
  <c r="U84" i="2"/>
  <c r="U89" i="2"/>
  <c r="S20" i="2"/>
  <c r="V25" i="2"/>
  <c r="V177" i="2"/>
  <c r="T214" i="2"/>
  <c r="T123" i="2"/>
  <c r="S184" i="2"/>
  <c r="AB209" i="2"/>
  <c r="AB166" i="2"/>
  <c r="U174" i="2"/>
  <c r="T196" i="2"/>
  <c r="V184" i="2"/>
  <c r="V130" i="2"/>
  <c r="T153" i="2"/>
  <c r="S200" i="2"/>
  <c r="S171" i="2"/>
  <c r="AB188" i="2"/>
  <c r="AB118" i="2"/>
  <c r="U166" i="2"/>
  <c r="S151" i="2"/>
  <c r="V166" i="2"/>
  <c r="V122" i="2"/>
  <c r="T119" i="2"/>
  <c r="S193" i="2"/>
  <c r="S132" i="2"/>
  <c r="AB159" i="2"/>
  <c r="U193" i="2"/>
  <c r="U148" i="2"/>
  <c r="S172" i="2"/>
  <c r="V180" i="2"/>
  <c r="V125" i="2"/>
  <c r="T169" i="2"/>
  <c r="S196" i="2"/>
  <c r="S121" i="2"/>
  <c r="AB184" i="2"/>
  <c r="AB165" i="2"/>
  <c r="U187" i="2"/>
  <c r="V139" i="2"/>
  <c r="V203" i="2"/>
  <c r="V149" i="2"/>
  <c r="T180" i="2"/>
  <c r="S210" i="2"/>
  <c r="S124" i="2"/>
  <c r="AB196" i="2"/>
  <c r="U205" i="2"/>
  <c r="V183" i="2"/>
  <c r="V192" i="2"/>
  <c r="V142" i="2"/>
  <c r="T179" i="2"/>
  <c r="T136" i="2"/>
  <c r="S149" i="2"/>
  <c r="AB191" i="2"/>
  <c r="AB156" i="2"/>
  <c r="U155" i="2"/>
  <c r="U136" i="2"/>
  <c r="AB121" i="2"/>
  <c r="V196" i="2"/>
  <c r="T209" i="2"/>
  <c r="T125" i="2"/>
  <c r="S183" i="2"/>
  <c r="S128" i="2"/>
  <c r="AB167" i="2"/>
  <c r="U199" i="2"/>
  <c r="U154" i="2"/>
  <c r="T171" i="2"/>
  <c r="V81" i="2"/>
  <c r="V53" i="2"/>
  <c r="T66" i="2"/>
  <c r="S101" i="2"/>
  <c r="V100" i="2"/>
  <c r="T107" i="2"/>
  <c r="T27" i="2"/>
  <c r="S62" i="2"/>
  <c r="AB115" i="2"/>
  <c r="AB44" i="2"/>
  <c r="U96" i="2"/>
  <c r="U31" i="2"/>
  <c r="U27" i="2"/>
  <c r="U116" i="2"/>
  <c r="U19" i="2"/>
  <c r="V40" i="2"/>
  <c r="T112" i="2"/>
  <c r="T51" i="2"/>
  <c r="S98" i="2"/>
  <c r="AB112" i="2"/>
  <c r="AB32" i="2"/>
  <c r="U42" i="2"/>
  <c r="U56" i="2"/>
  <c r="U32" i="2"/>
  <c r="V96" i="2"/>
  <c r="V31" i="2"/>
  <c r="T79" i="2"/>
  <c r="S90" i="2"/>
  <c r="S34" i="2"/>
  <c r="AB29" i="2"/>
  <c r="T73" i="2"/>
  <c r="S67" i="2"/>
  <c r="V94" i="2"/>
  <c r="V29" i="2"/>
  <c r="T75" i="2"/>
  <c r="S81" i="2"/>
  <c r="S71" i="2"/>
  <c r="AB34" i="2"/>
  <c r="U117" i="2"/>
  <c r="U43" i="2"/>
  <c r="S104" i="2"/>
  <c r="AB113" i="2"/>
  <c r="V92" i="2"/>
  <c r="V24" i="2"/>
  <c r="T59" i="2"/>
  <c r="S117" i="2"/>
  <c r="S45" i="2"/>
  <c r="AB54" i="2"/>
  <c r="U57" i="2"/>
  <c r="T52" i="2"/>
  <c r="V106" i="2"/>
  <c r="V194" i="2"/>
  <c r="T207" i="2"/>
  <c r="T164" i="2"/>
  <c r="S161" i="2"/>
  <c r="AB187" i="2"/>
  <c r="AB152" i="2"/>
  <c r="U151" i="2"/>
  <c r="T154" i="2"/>
  <c r="V168" i="2"/>
  <c r="V155" i="2"/>
  <c r="T137" i="2"/>
  <c r="S205" i="2"/>
  <c r="S165" i="2"/>
  <c r="AB172" i="2"/>
  <c r="U211" i="2"/>
  <c r="U165" i="2"/>
  <c r="AB170" i="2"/>
  <c r="V189" i="2"/>
  <c r="T203" i="2"/>
  <c r="T160" i="2"/>
  <c r="S177" i="2"/>
  <c r="S154" i="2"/>
  <c r="AB143" i="2"/>
  <c r="U202" i="2"/>
  <c r="U132" i="2"/>
  <c r="S119" i="2"/>
  <c r="V204" i="2"/>
  <c r="V147" i="2"/>
  <c r="T149" i="2"/>
  <c r="S201" i="2"/>
  <c r="S160" i="2"/>
  <c r="AB212" i="2"/>
  <c r="U207" i="2"/>
  <c r="U162" i="2"/>
  <c r="T145" i="2"/>
  <c r="V214" i="2"/>
  <c r="V126" i="2"/>
  <c r="T163" i="2"/>
  <c r="S199" i="2"/>
  <c r="S156" i="2"/>
  <c r="AB155" i="2"/>
  <c r="U216" i="2"/>
  <c r="T161" i="2"/>
  <c r="V199" i="2"/>
  <c r="V129" i="2"/>
  <c r="T192" i="2"/>
  <c r="T120" i="2"/>
  <c r="S133" i="2"/>
  <c r="AB175" i="2"/>
  <c r="AB140" i="2"/>
  <c r="U139" i="2"/>
  <c r="U120" i="2"/>
  <c r="U180" i="2"/>
  <c r="V156" i="2"/>
  <c r="T215" i="2"/>
  <c r="T165" i="2"/>
  <c r="S188" i="2"/>
  <c r="S134" i="2"/>
  <c r="AB149" i="2"/>
  <c r="U208" i="2"/>
  <c r="U138" i="2"/>
  <c r="S187" i="2"/>
  <c r="V117" i="2"/>
  <c r="V37" i="2"/>
  <c r="T50" i="2"/>
  <c r="S85" i="2"/>
  <c r="V84" i="2"/>
  <c r="T91" i="2"/>
  <c r="T47" i="2"/>
  <c r="S46" i="2"/>
  <c r="AB111" i="2"/>
  <c r="AB38" i="2"/>
  <c r="U76" i="2"/>
  <c r="U79" i="2"/>
  <c r="T115" i="2"/>
  <c r="U64" i="2"/>
  <c r="V109" i="2"/>
  <c r="V79" i="2"/>
  <c r="T96" i="2"/>
  <c r="T35" i="2"/>
  <c r="S30" i="2"/>
  <c r="AB96" i="2"/>
  <c r="AB20" i="2"/>
  <c r="U63" i="2"/>
  <c r="U45" i="2"/>
  <c r="S110" i="2"/>
  <c r="V80" i="2"/>
  <c r="V28" i="2"/>
  <c r="T46" i="2"/>
  <c r="S74" i="2"/>
  <c r="S108" i="2"/>
  <c r="U93" i="2"/>
  <c r="S87" i="2"/>
  <c r="AB97" i="2"/>
  <c r="V78" i="2"/>
  <c r="V26" i="2"/>
  <c r="T43" i="2"/>
  <c r="S72" i="2"/>
  <c r="S35" i="2"/>
  <c r="AB46" i="2"/>
  <c r="U106" i="2"/>
  <c r="U25" i="2"/>
  <c r="S79" i="2"/>
  <c r="AB81" i="2"/>
  <c r="V66" i="2"/>
  <c r="V211" i="2"/>
  <c r="V154" i="2"/>
  <c r="T191" i="2"/>
  <c r="T148" i="2"/>
  <c r="S145" i="2"/>
  <c r="AB215" i="2"/>
  <c r="AB136" i="2"/>
  <c r="U135" i="2"/>
  <c r="S197" i="2"/>
  <c r="V191" i="2"/>
  <c r="V128" i="2"/>
  <c r="T121" i="2"/>
  <c r="S194" i="2"/>
  <c r="S136" i="2"/>
  <c r="AB161" i="2"/>
  <c r="U195" i="2"/>
  <c r="U150" i="2"/>
  <c r="AB126" i="2"/>
  <c r="V173" i="2"/>
  <c r="T187" i="2"/>
  <c r="T144" i="2"/>
  <c r="S176" i="2"/>
  <c r="AB214" i="2"/>
  <c r="AB127" i="2"/>
  <c r="U186" i="2"/>
  <c r="U118" i="2"/>
  <c r="AB208" i="2"/>
  <c r="V187" i="2"/>
  <c r="V120" i="2"/>
  <c r="T133" i="2"/>
  <c r="S191" i="2"/>
  <c r="S126" i="2"/>
  <c r="AB157" i="2"/>
  <c r="U214" i="2"/>
  <c r="U146" i="2"/>
  <c r="T122" i="2"/>
  <c r="V210" i="2"/>
  <c r="V143" i="2"/>
  <c r="T147" i="2"/>
  <c r="S189" i="2"/>
  <c r="S123" i="2"/>
  <c r="AB139" i="2"/>
  <c r="U198" i="2"/>
  <c r="S208" i="2"/>
  <c r="V190" i="2"/>
  <c r="V141" i="2"/>
  <c r="T176" i="2"/>
  <c r="S206" i="2"/>
  <c r="S182" i="2"/>
  <c r="AB194" i="2"/>
  <c r="AB124" i="2"/>
  <c r="U123" i="2"/>
  <c r="V160" i="2"/>
  <c r="U126" i="2"/>
  <c r="V140" i="2"/>
  <c r="T193" i="2"/>
  <c r="T150" i="2"/>
  <c r="S163" i="2"/>
  <c r="AB211" i="2"/>
  <c r="AB133" i="2"/>
  <c r="U192" i="2"/>
  <c r="U170" i="2"/>
  <c r="S142" i="2"/>
  <c r="V102" i="2"/>
  <c r="V21" i="2"/>
  <c r="T28" i="2"/>
  <c r="S22" i="2"/>
  <c r="V74" i="2"/>
  <c r="T114" i="2"/>
  <c r="T67" i="2"/>
  <c r="S114" i="2"/>
  <c r="AB95" i="2"/>
  <c r="AB24" i="2"/>
  <c r="U60" i="2"/>
  <c r="U47" i="2"/>
  <c r="T68" i="2"/>
  <c r="U81" i="2"/>
  <c r="V93" i="2"/>
  <c r="V65" i="2"/>
  <c r="T81" i="2"/>
  <c r="S113" i="2"/>
  <c r="S53" i="2"/>
  <c r="AB76" i="2"/>
  <c r="U111" i="2"/>
  <c r="U29" i="2"/>
  <c r="T36" i="2"/>
  <c r="AB117" i="2"/>
  <c r="V70" i="2"/>
  <c r="T103" i="2"/>
  <c r="T23" i="2"/>
  <c r="S58" i="2"/>
  <c r="AB107" i="2"/>
  <c r="U72" i="2"/>
  <c r="S32" i="2"/>
  <c r="AB48" i="2"/>
  <c r="V68" i="2"/>
  <c r="T101" i="2"/>
  <c r="T21" i="2"/>
  <c r="S56" i="2"/>
  <c r="AB105" i="2"/>
  <c r="AB27" i="2"/>
  <c r="U90" i="2"/>
  <c r="U26" i="2"/>
  <c r="AB50" i="2"/>
  <c r="V195" i="2"/>
  <c r="V138" i="2"/>
  <c r="T175" i="2"/>
  <c r="T132" i="2"/>
  <c r="S129" i="2"/>
  <c r="AB190" i="2"/>
  <c r="AB120" i="2"/>
  <c r="U172" i="2"/>
  <c r="S152" i="2"/>
  <c r="V175" i="2"/>
  <c r="T205" i="2"/>
  <c r="T162" i="2"/>
  <c r="S179" i="2"/>
  <c r="S158" i="2"/>
  <c r="AB145" i="2"/>
  <c r="U204" i="2"/>
  <c r="U177" i="2"/>
  <c r="U141" i="2"/>
  <c r="V150" i="2"/>
  <c r="T206" i="2"/>
  <c r="T128" i="2"/>
  <c r="S157" i="2"/>
  <c r="AB205" i="2"/>
  <c r="AB164" i="2"/>
  <c r="U163" i="2"/>
  <c r="U160" i="2"/>
  <c r="U212" i="2"/>
  <c r="V171" i="2"/>
  <c r="T201" i="2"/>
  <c r="T166" i="2"/>
  <c r="S175" i="2"/>
  <c r="S150" i="2"/>
  <c r="AB141" i="2"/>
  <c r="U200" i="2"/>
  <c r="U130" i="2"/>
  <c r="S135" i="2"/>
  <c r="V178" i="2"/>
  <c r="V118" i="2"/>
  <c r="T131" i="2"/>
  <c r="S173" i="2"/>
  <c r="S146" i="2"/>
  <c r="AB123" i="2"/>
  <c r="U182" i="2"/>
  <c r="S122" i="2"/>
  <c r="V174" i="2"/>
  <c r="V119" i="2"/>
  <c r="T159" i="2"/>
  <c r="S211" i="2"/>
  <c r="S120" i="2"/>
  <c r="AB178" i="2"/>
  <c r="U217" i="2"/>
  <c r="U175" i="2"/>
  <c r="V123" i="2"/>
  <c r="V197" i="2"/>
  <c r="V124" i="2"/>
  <c r="T177" i="2"/>
  <c r="T134" i="2"/>
  <c r="S147" i="2"/>
  <c r="AB195" i="2"/>
  <c r="AB169" i="2"/>
  <c r="U176" i="2"/>
  <c r="U189" i="2"/>
  <c r="AB153" i="2"/>
  <c r="V86" i="2"/>
  <c r="V19" i="2"/>
  <c r="T29" i="2"/>
  <c r="S73" i="2"/>
  <c r="V58" i="2"/>
  <c r="T98" i="2"/>
  <c r="T38" i="2"/>
  <c r="S61" i="2"/>
  <c r="AB114" i="2"/>
  <c r="AB45" i="2"/>
  <c r="U44" i="2"/>
  <c r="U30" i="2"/>
  <c r="T77" i="2"/>
  <c r="S48" i="2"/>
  <c r="V114" i="2"/>
  <c r="V49" i="2"/>
  <c r="T62" i="2"/>
  <c r="S97" i="2"/>
  <c r="S25" i="2"/>
  <c r="AB60" i="2"/>
  <c r="U95" i="2"/>
  <c r="AB58" i="2"/>
  <c r="S103" i="2"/>
  <c r="AB64" i="2"/>
  <c r="V54" i="2"/>
  <c r="T87" i="2"/>
  <c r="T71" i="2"/>
  <c r="S42" i="2"/>
  <c r="AB91" i="2"/>
  <c r="U40" i="2"/>
  <c r="AB99" i="2"/>
  <c r="U114" i="2"/>
  <c r="V52" i="2"/>
  <c r="T85" i="2"/>
  <c r="T48" i="2"/>
  <c r="S40" i="2"/>
  <c r="AB89" i="2"/>
  <c r="AB40" i="2"/>
  <c r="U70" i="2"/>
  <c r="V104" i="2"/>
  <c r="AB37" i="2"/>
  <c r="U82" i="2"/>
  <c r="V34" i="2"/>
  <c r="T83" i="2"/>
  <c r="T45" i="2"/>
  <c r="S38" i="2"/>
  <c r="AB103" i="2"/>
  <c r="AB25" i="2"/>
  <c r="U88" i="2"/>
  <c r="U24" i="2"/>
  <c r="S80" i="2"/>
  <c r="AB75" i="2"/>
  <c r="V48" i="2"/>
  <c r="T113" i="2"/>
  <c r="T20" i="2"/>
  <c r="S100" i="2"/>
  <c r="S24" i="2"/>
  <c r="AB26" i="2"/>
  <c r="U102" i="2"/>
  <c r="U21" i="2"/>
  <c r="S84" i="2"/>
  <c r="U83" i="2"/>
  <c r="V83" i="2"/>
  <c r="U98" i="2"/>
  <c r="S26" i="2"/>
  <c r="V64" i="2"/>
  <c r="AB101" i="2"/>
  <c r="U39" i="2"/>
  <c r="V59" i="2"/>
  <c r="T22" i="2"/>
  <c r="AB106" i="2"/>
  <c r="U52" i="2"/>
  <c r="AB61" i="2"/>
  <c r="V73" i="2"/>
  <c r="T49" i="2"/>
  <c r="S68" i="2"/>
  <c r="AB85" i="2"/>
  <c r="U103" i="2"/>
  <c r="U22" i="2"/>
  <c r="AB21" i="2"/>
  <c r="V43" i="2"/>
  <c r="S107" i="2"/>
  <c r="AB90" i="2"/>
  <c r="U36" i="2"/>
  <c r="U48" i="2"/>
  <c r="V57" i="2"/>
  <c r="T40" i="2"/>
  <c r="S52" i="2"/>
  <c r="AB88" i="2"/>
  <c r="U87" i="2"/>
  <c r="V99" i="2"/>
  <c r="U37" i="2"/>
  <c r="T116" i="2"/>
  <c r="S70" i="2"/>
  <c r="AB31" i="2"/>
  <c r="U41" i="2"/>
  <c r="S29" i="2"/>
  <c r="V22" i="2"/>
  <c r="T30" i="2"/>
  <c r="S36" i="2"/>
  <c r="AB68" i="2"/>
  <c r="U86" i="2"/>
  <c r="V88" i="2"/>
  <c r="S88" i="2"/>
  <c r="S54" i="2"/>
  <c r="AB30" i="2"/>
  <c r="U23" i="2"/>
  <c r="AB84" i="2"/>
  <c r="T117" i="2"/>
  <c r="S31" i="2"/>
  <c r="AB52" i="2"/>
  <c r="V20" i="2"/>
  <c r="T99" i="2"/>
  <c r="T42" i="2"/>
  <c r="U66" i="2"/>
  <c r="AB57" i="2"/>
  <c r="T90" i="2"/>
  <c r="S49" i="2"/>
  <c r="AB55" i="2"/>
  <c r="V55" i="2"/>
  <c r="U51" i="2"/>
  <c r="T97" i="2"/>
  <c r="T65" i="2"/>
  <c r="S63" i="2"/>
  <c r="AB80" i="2"/>
  <c r="U50" i="2"/>
  <c r="T102" i="2"/>
  <c r="U78" i="2"/>
  <c r="AB19" i="2"/>
  <c r="T72" i="2"/>
  <c r="S77" i="2"/>
  <c r="AB36" i="2"/>
  <c r="V23" i="2"/>
  <c r="V101" i="2"/>
  <c r="T104" i="2"/>
  <c r="S105" i="2"/>
  <c r="S102" i="2"/>
  <c r="AB23" i="2"/>
  <c r="U71" i="2"/>
  <c r="T37" i="2"/>
  <c r="V87" i="2"/>
  <c r="T63" i="2"/>
  <c r="S33" i="2"/>
  <c r="U115" i="2"/>
  <c r="T32" i="2"/>
  <c r="V90" i="2"/>
  <c r="T88" i="2"/>
  <c r="S89" i="2"/>
  <c r="S55" i="2"/>
  <c r="AB77" i="2"/>
  <c r="U55" i="2"/>
  <c r="V50" i="2"/>
  <c r="T31" i="2"/>
  <c r="AB116" i="2"/>
  <c r="U104" i="2"/>
  <c r="S50" i="2"/>
  <c r="T54" i="2"/>
  <c r="S115" i="2"/>
  <c r="AB69" i="2"/>
  <c r="AB83" i="2"/>
  <c r="AA209" i="2"/>
  <c r="AA126" i="2"/>
  <c r="AG152" i="2"/>
  <c r="Z202" i="2"/>
  <c r="Z131" i="2"/>
  <c r="X211" i="2"/>
  <c r="X137" i="2"/>
  <c r="Y174" i="2"/>
  <c r="AA157" i="2"/>
  <c r="AG198" i="2"/>
  <c r="AG151" i="2"/>
  <c r="Z192" i="2"/>
  <c r="X215" i="2"/>
  <c r="X142" i="2"/>
  <c r="Y203" i="2"/>
  <c r="Y133" i="2"/>
  <c r="AA182" i="2"/>
  <c r="AG212" i="2"/>
  <c r="AG170" i="2"/>
  <c r="Z185" i="2"/>
  <c r="Z120" i="2"/>
  <c r="X173" i="2"/>
  <c r="Y212" i="2"/>
  <c r="Y163" i="2"/>
  <c r="AA203" i="2"/>
  <c r="AA158" i="2"/>
  <c r="AG130" i="2"/>
  <c r="Z211" i="2"/>
  <c r="Z144" i="2"/>
  <c r="X154" i="2"/>
  <c r="Y194" i="2"/>
  <c r="Y145" i="2"/>
  <c r="AA183" i="2"/>
  <c r="AA154" i="2"/>
  <c r="AG128" i="2"/>
  <c r="Z195" i="2"/>
  <c r="Z140" i="2"/>
  <c r="X171" i="2"/>
  <c r="Y208" i="2"/>
  <c r="AA212" i="2"/>
  <c r="AA123" i="2"/>
  <c r="AG181" i="2"/>
  <c r="AG172" i="2"/>
  <c r="Z137" i="2"/>
  <c r="X183" i="2"/>
  <c r="Y206" i="2"/>
  <c r="Y157" i="2"/>
  <c r="AA197" i="2"/>
  <c r="AA192" i="2"/>
  <c r="AG140" i="2"/>
  <c r="Z199" i="2"/>
  <c r="Z132" i="2"/>
  <c r="X148" i="2"/>
  <c r="Y209" i="2"/>
  <c r="Y139" i="2"/>
  <c r="AA170" i="2"/>
  <c r="AG202" i="2"/>
  <c r="AG155" i="2"/>
  <c r="Z193" i="2"/>
  <c r="Z124" i="2"/>
  <c r="X165" i="2"/>
  <c r="Y175" i="2"/>
  <c r="Y120" i="2"/>
  <c r="AA20" i="2"/>
  <c r="AG113" i="2"/>
  <c r="AG38" i="2"/>
  <c r="Z53" i="2"/>
  <c r="X96" i="2"/>
  <c r="X20" i="2"/>
  <c r="Y69" i="2"/>
  <c r="Y36" i="2"/>
  <c r="X29" i="2"/>
  <c r="AA54" i="2"/>
  <c r="AG102" i="2"/>
  <c r="AG68" i="2"/>
  <c r="Z67" i="2"/>
  <c r="X94" i="2"/>
  <c r="X36" i="2"/>
  <c r="Y67" i="2"/>
  <c r="AA37" i="2"/>
  <c r="Y71" i="2"/>
  <c r="AA92" i="2"/>
  <c r="AG109" i="2"/>
  <c r="AG31" i="2"/>
  <c r="Z66" i="2"/>
  <c r="X78" i="2"/>
  <c r="Y110" i="2"/>
  <c r="Y66" i="2"/>
  <c r="AA113" i="2"/>
  <c r="Y84" i="2"/>
  <c r="AA26" i="2"/>
  <c r="AG107" i="2"/>
  <c r="AG32" i="2"/>
  <c r="Z63" i="2"/>
  <c r="X90" i="2"/>
  <c r="X62" i="2"/>
  <c r="Y63" i="2"/>
  <c r="AG99" i="2"/>
  <c r="AA103" i="2"/>
  <c r="AA41" i="2"/>
  <c r="AG75" i="2"/>
  <c r="Z115" i="2"/>
  <c r="Z62" i="2"/>
  <c r="X91" i="2"/>
  <c r="X60" i="2"/>
  <c r="Z94" i="2"/>
  <c r="AA88" i="2"/>
  <c r="AA77" i="2"/>
  <c r="AG41" i="2"/>
  <c r="Z82" i="2"/>
  <c r="Z60" i="2"/>
  <c r="X89" i="2"/>
  <c r="X27" i="2"/>
  <c r="Y76" i="2"/>
  <c r="AG56" i="2"/>
  <c r="AA99" i="2"/>
  <c r="AA31" i="2"/>
  <c r="AG101" i="2"/>
  <c r="AG26" i="2"/>
  <c r="Z57" i="2"/>
  <c r="X84" i="2"/>
  <c r="X33" i="2"/>
  <c r="Y73" i="2"/>
  <c r="AA42" i="2"/>
  <c r="Y72" i="2"/>
  <c r="AA22" i="2"/>
  <c r="AG37" i="2"/>
  <c r="AA191" i="2"/>
  <c r="AA128" i="2"/>
  <c r="AG136" i="2"/>
  <c r="Z216" i="2"/>
  <c r="Z156" i="2"/>
  <c r="X209" i="2"/>
  <c r="X121" i="2"/>
  <c r="Y118" i="2"/>
  <c r="AA141" i="2"/>
  <c r="AG203" i="2"/>
  <c r="AG135" i="2"/>
  <c r="Z176" i="2"/>
  <c r="X212" i="2"/>
  <c r="X126" i="2"/>
  <c r="Y187" i="2"/>
  <c r="Y119" i="2"/>
  <c r="AA155" i="2"/>
  <c r="AG196" i="2"/>
  <c r="AG149" i="2"/>
  <c r="Z169" i="2"/>
  <c r="Z146" i="2"/>
  <c r="X156" i="2"/>
  <c r="Y196" i="2"/>
  <c r="Y147" i="2"/>
  <c r="AA185" i="2"/>
  <c r="AA124" i="2"/>
  <c r="AG182" i="2"/>
  <c r="Z183" i="2"/>
  <c r="Z118" i="2"/>
  <c r="X138" i="2"/>
  <c r="Y199" i="2"/>
  <c r="Y129" i="2"/>
  <c r="AA193" i="2"/>
  <c r="AA130" i="2"/>
  <c r="AG178" i="2"/>
  <c r="Z181" i="2"/>
  <c r="Z128" i="2"/>
  <c r="X152" i="2"/>
  <c r="Y217" i="2"/>
  <c r="AA196" i="2"/>
  <c r="AA140" i="2"/>
  <c r="AG158" i="2"/>
  <c r="Z208" i="2"/>
  <c r="Z123" i="2"/>
  <c r="X168" i="2"/>
  <c r="Y211" i="2"/>
  <c r="Y141" i="2"/>
  <c r="AA179" i="2"/>
  <c r="AA146" i="2"/>
  <c r="AG124" i="2"/>
  <c r="Z177" i="2"/>
  <c r="Z162" i="2"/>
  <c r="X132" i="2"/>
  <c r="Y193" i="2"/>
  <c r="Y123" i="2"/>
  <c r="AA161" i="2"/>
  <c r="AG207" i="2"/>
  <c r="AG139" i="2"/>
  <c r="Z180" i="2"/>
  <c r="X200" i="2"/>
  <c r="X155" i="2"/>
  <c r="Y158" i="2"/>
  <c r="Y124" i="2"/>
  <c r="AA59" i="2"/>
  <c r="AG97" i="2"/>
  <c r="AG22" i="2"/>
  <c r="Z37" i="2"/>
  <c r="X99" i="2"/>
  <c r="X50" i="2"/>
  <c r="Y53" i="2"/>
  <c r="Y82" i="2"/>
  <c r="Y115" i="2"/>
  <c r="AA38" i="2"/>
  <c r="AG86" i="2"/>
  <c r="AG52" i="2"/>
  <c r="Z51" i="2"/>
  <c r="X113" i="2"/>
  <c r="X39" i="2"/>
  <c r="Y51" i="2"/>
  <c r="AG69" i="2"/>
  <c r="Y24" i="2"/>
  <c r="AA75" i="2"/>
  <c r="AG93" i="2"/>
  <c r="Z104" i="2"/>
  <c r="Z50" i="2"/>
  <c r="X65" i="2"/>
  <c r="Y94" i="2"/>
  <c r="Y50" i="2"/>
  <c r="AA58" i="2"/>
  <c r="Y39" i="2"/>
  <c r="AA57" i="2"/>
  <c r="AG91" i="2"/>
  <c r="AG29" i="2"/>
  <c r="Z47" i="2"/>
  <c r="X109" i="2"/>
  <c r="X72" i="2"/>
  <c r="Y47" i="2"/>
  <c r="AG40" i="2"/>
  <c r="AA87" i="2"/>
  <c r="AA35" i="2"/>
  <c r="AG59" i="2"/>
  <c r="Z100" i="2"/>
  <c r="Z46" i="2"/>
  <c r="X77" i="2"/>
  <c r="Y106" i="2"/>
  <c r="Z39" i="2"/>
  <c r="AA62" i="2"/>
  <c r="AA55" i="2"/>
  <c r="AG76" i="2"/>
  <c r="Z116" i="2"/>
  <c r="Z44" i="2"/>
  <c r="X75" i="2"/>
  <c r="Y104" i="2"/>
  <c r="Y60" i="2"/>
  <c r="Z111" i="2"/>
  <c r="AA83" i="2"/>
  <c r="AA24" i="2"/>
  <c r="AG85" i="2"/>
  <c r="AG23" i="2"/>
  <c r="Z41" i="2"/>
  <c r="X103" i="2"/>
  <c r="X35" i="2"/>
  <c r="Y57" i="2"/>
  <c r="Y41" i="2"/>
  <c r="AA175" i="2"/>
  <c r="AA138" i="2"/>
  <c r="AG120" i="2"/>
  <c r="Z189" i="2"/>
  <c r="Z127" i="2"/>
  <c r="X177" i="2"/>
  <c r="Y215" i="2"/>
  <c r="AA214" i="2"/>
  <c r="AA125" i="2"/>
  <c r="AG189" i="2"/>
  <c r="AG188" i="2"/>
  <c r="Z161" i="2"/>
  <c r="X196" i="2"/>
  <c r="X167" i="2"/>
  <c r="Y192" i="2"/>
  <c r="Y184" i="2"/>
  <c r="AA139" i="2"/>
  <c r="AG201" i="2"/>
  <c r="AG133" i="2"/>
  <c r="Z190" i="2"/>
  <c r="X213" i="2"/>
  <c r="X140" i="2"/>
  <c r="Y201" i="2"/>
  <c r="Y131" i="2"/>
  <c r="AA178" i="2"/>
  <c r="AG210" i="2"/>
  <c r="AG163" i="2"/>
  <c r="Z167" i="2"/>
  <c r="Z142" i="2"/>
  <c r="X122" i="2"/>
  <c r="Y183" i="2"/>
  <c r="Y176" i="2"/>
  <c r="AA174" i="2"/>
  <c r="AG208" i="2"/>
  <c r="AG161" i="2"/>
  <c r="Z165" i="2"/>
  <c r="Z138" i="2"/>
  <c r="X136" i="2"/>
  <c r="Y197" i="2"/>
  <c r="AA199" i="2"/>
  <c r="AA118" i="2"/>
  <c r="AG142" i="2"/>
  <c r="Z205" i="2"/>
  <c r="Z136" i="2"/>
  <c r="X150" i="2"/>
  <c r="Y195" i="2"/>
  <c r="Y125" i="2"/>
  <c r="AA165" i="2"/>
  <c r="AG217" i="2"/>
  <c r="AG164" i="2"/>
  <c r="Z203" i="2"/>
  <c r="Z129" i="2"/>
  <c r="X203" i="2"/>
  <c r="Y177" i="2"/>
  <c r="Y121" i="2"/>
  <c r="AA145" i="2"/>
  <c r="AG215" i="2"/>
  <c r="AG123" i="2"/>
  <c r="Z201" i="2"/>
  <c r="X188" i="2"/>
  <c r="X139" i="2"/>
  <c r="Y142" i="2"/>
  <c r="AA111" i="2"/>
  <c r="AA80" i="2"/>
  <c r="AG81" i="2"/>
  <c r="AG19" i="2"/>
  <c r="Z70" i="2"/>
  <c r="X83" i="2"/>
  <c r="X19" i="2"/>
  <c r="Y37" i="2"/>
  <c r="AA97" i="2"/>
  <c r="Y55" i="2"/>
  <c r="AA108" i="2"/>
  <c r="AG111" i="2"/>
  <c r="AG36" i="2"/>
  <c r="Z35" i="2"/>
  <c r="X97" i="2"/>
  <c r="X45" i="2"/>
  <c r="Y35" i="2"/>
  <c r="AG21" i="2"/>
  <c r="AA107" i="2"/>
  <c r="AA73" i="2"/>
  <c r="AG78" i="2"/>
  <c r="Z88" i="2"/>
  <c r="Z34" i="2"/>
  <c r="X81" i="2"/>
  <c r="Y109" i="2"/>
  <c r="Y34" i="2"/>
  <c r="AA25" i="2"/>
  <c r="AA105" i="2"/>
  <c r="AA51" i="2"/>
  <c r="AG77" i="2"/>
  <c r="Z117" i="2"/>
  <c r="Z31" i="2"/>
  <c r="X93" i="2"/>
  <c r="X32" i="2"/>
  <c r="Y48" i="2"/>
  <c r="Z79" i="2"/>
  <c r="AA104" i="2"/>
  <c r="AA79" i="2"/>
  <c r="AG43" i="2"/>
  <c r="Z84" i="2"/>
  <c r="Z30" i="2"/>
  <c r="X61" i="2"/>
  <c r="Y90" i="2"/>
  <c r="X114" i="2"/>
  <c r="AA46" i="2"/>
  <c r="AG110" i="2"/>
  <c r="AG60" i="2"/>
  <c r="Z99" i="2"/>
  <c r="Z28" i="2"/>
  <c r="X59" i="2"/>
  <c r="Y88" i="2"/>
  <c r="Y44" i="2"/>
  <c r="Z56" i="2"/>
  <c r="AA106" i="2"/>
  <c r="AA27" i="2"/>
  <c r="AG71" i="2"/>
  <c r="Z112" i="2"/>
  <c r="Z74" i="2"/>
  <c r="X87" i="2"/>
  <c r="X23" i="2"/>
  <c r="AG106" i="2"/>
  <c r="AA190" i="2"/>
  <c r="AG216" i="2"/>
  <c r="AG171" i="2"/>
  <c r="Z173" i="2"/>
  <c r="Z154" i="2"/>
  <c r="X160" i="2"/>
  <c r="Y200" i="2"/>
  <c r="AA204" i="2"/>
  <c r="AA156" i="2"/>
  <c r="AG173" i="2"/>
  <c r="AG119" i="2"/>
  <c r="Z145" i="2"/>
  <c r="X184" i="2"/>
  <c r="X151" i="2"/>
  <c r="Y154" i="2"/>
  <c r="Y143" i="2"/>
  <c r="AA169" i="2"/>
  <c r="AG187" i="2"/>
  <c r="AG184" i="2"/>
  <c r="Z174" i="2"/>
  <c r="X210" i="2"/>
  <c r="X124" i="2"/>
  <c r="Y185" i="2"/>
  <c r="Y166" i="2"/>
  <c r="AA153" i="2"/>
  <c r="AG194" i="2"/>
  <c r="AG147" i="2"/>
  <c r="Z188" i="2"/>
  <c r="X208" i="2"/>
  <c r="X163" i="2"/>
  <c r="Y168" i="2"/>
  <c r="Y159" i="2"/>
  <c r="AA151" i="2"/>
  <c r="AG213" i="2"/>
  <c r="AG145" i="2"/>
  <c r="Z186" i="2"/>
  <c r="X214" i="2"/>
  <c r="X120" i="2"/>
  <c r="Y181" i="2"/>
  <c r="AA181" i="2"/>
  <c r="AA150" i="2"/>
  <c r="AG126" i="2"/>
  <c r="Z179" i="2"/>
  <c r="Z122" i="2"/>
  <c r="X134" i="2"/>
  <c r="Y179" i="2"/>
  <c r="Y171" i="2"/>
  <c r="AA163" i="2"/>
  <c r="AG204" i="2"/>
  <c r="AG157" i="2"/>
  <c r="Z182" i="2"/>
  <c r="X202" i="2"/>
  <c r="X157" i="2"/>
  <c r="Y160" i="2"/>
  <c r="Y151" i="2"/>
  <c r="AA129" i="2"/>
  <c r="AG177" i="2"/>
  <c r="AG121" i="2"/>
  <c r="Z149" i="2"/>
  <c r="X172" i="2"/>
  <c r="X123" i="2"/>
  <c r="Y126" i="2"/>
  <c r="AA95" i="2"/>
  <c r="AA23" i="2"/>
  <c r="AG67" i="2"/>
  <c r="Z108" i="2"/>
  <c r="Z54" i="2"/>
  <c r="X69" i="2"/>
  <c r="Y114" i="2"/>
  <c r="Y70" i="2"/>
  <c r="AA81" i="2"/>
  <c r="Y21" i="2"/>
  <c r="AA65" i="2"/>
  <c r="AG95" i="2"/>
  <c r="AG20" i="2"/>
  <c r="Z68" i="2"/>
  <c r="X79" i="2"/>
  <c r="Y112" i="2"/>
  <c r="Y68" i="2"/>
  <c r="Z110" i="2"/>
  <c r="AA91" i="2"/>
  <c r="AA67" i="2"/>
  <c r="AG63" i="2"/>
  <c r="Z105" i="2"/>
  <c r="Z78" i="2"/>
  <c r="X37" i="2"/>
  <c r="Y93" i="2"/>
  <c r="Y20" i="2"/>
  <c r="AG83" i="2"/>
  <c r="AA89" i="2"/>
  <c r="AA30" i="2"/>
  <c r="AG61" i="2"/>
  <c r="Z102" i="2"/>
  <c r="Z64" i="2"/>
  <c r="X80" i="2"/>
  <c r="Y108" i="2"/>
  <c r="Y32" i="2"/>
  <c r="Z24" i="2"/>
  <c r="AA64" i="2"/>
  <c r="AA71" i="2"/>
  <c r="AG116" i="2"/>
  <c r="Z101" i="2"/>
  <c r="Z27" i="2"/>
  <c r="X43" i="2"/>
  <c r="Y105" i="2"/>
  <c r="X66" i="2"/>
  <c r="AA98" i="2"/>
  <c r="AG94" i="2"/>
  <c r="AG44" i="2"/>
  <c r="Z83" i="2"/>
  <c r="Z25" i="2"/>
  <c r="X40" i="2"/>
  <c r="Y103" i="2"/>
  <c r="Y28" i="2"/>
  <c r="X116" i="2"/>
  <c r="AA76" i="2"/>
  <c r="AA61" i="2"/>
  <c r="AG55" i="2"/>
  <c r="Z96" i="2"/>
  <c r="Z58" i="2"/>
  <c r="X73" i="2"/>
  <c r="Y117" i="2"/>
  <c r="Y74" i="2"/>
  <c r="Y100" i="2"/>
  <c r="AA159" i="2"/>
  <c r="AG200" i="2"/>
  <c r="AG153" i="2"/>
  <c r="Z207" i="2"/>
  <c r="X217" i="2"/>
  <c r="X144" i="2"/>
  <c r="Y205" i="2"/>
  <c r="AA207" i="2"/>
  <c r="AA176" i="2"/>
  <c r="AG150" i="2"/>
  <c r="Z215" i="2"/>
  <c r="Z197" i="2"/>
  <c r="X195" i="2"/>
  <c r="X135" i="2"/>
  <c r="Y138" i="2"/>
  <c r="AA202" i="2"/>
  <c r="AA152" i="2"/>
  <c r="AG166" i="2"/>
  <c r="AG118" i="2"/>
  <c r="Z159" i="2"/>
  <c r="X194" i="2"/>
  <c r="X193" i="2"/>
  <c r="Y172" i="2"/>
  <c r="Y132" i="2"/>
  <c r="AA137" i="2"/>
  <c r="AG199" i="2"/>
  <c r="AG131" i="2"/>
  <c r="Z172" i="2"/>
  <c r="X180" i="2"/>
  <c r="X147" i="2"/>
  <c r="Y150" i="2"/>
  <c r="Y127" i="2"/>
  <c r="AA135" i="2"/>
  <c r="AG197" i="2"/>
  <c r="AG129" i="2"/>
  <c r="Z170" i="2"/>
  <c r="X206" i="2"/>
  <c r="X161" i="2"/>
  <c r="Y164" i="2"/>
  <c r="AA194" i="2"/>
  <c r="AA119" i="2"/>
  <c r="AG174" i="2"/>
  <c r="Z209" i="2"/>
  <c r="Z134" i="2"/>
  <c r="X118" i="2"/>
  <c r="Y162" i="2"/>
  <c r="Y140" i="2"/>
  <c r="AA147" i="2"/>
  <c r="AG209" i="2"/>
  <c r="AG141" i="2"/>
  <c r="Z166" i="2"/>
  <c r="X190" i="2"/>
  <c r="X141" i="2"/>
  <c r="Y144" i="2"/>
  <c r="AA208" i="2"/>
  <c r="AA164" i="2"/>
  <c r="AG154" i="2"/>
  <c r="Z214" i="2"/>
  <c r="Z133" i="2"/>
  <c r="X179" i="2"/>
  <c r="Y214" i="2"/>
  <c r="Y178" i="2"/>
  <c r="AA100" i="2"/>
  <c r="AA32" i="2"/>
  <c r="AG51" i="2"/>
  <c r="Z92" i="2"/>
  <c r="Z38" i="2"/>
  <c r="X53" i="2"/>
  <c r="Y98" i="2"/>
  <c r="Y54" i="2"/>
  <c r="AG90" i="2"/>
  <c r="AA109" i="2"/>
  <c r="AA28" i="2"/>
  <c r="AG79" i="2"/>
  <c r="Z106" i="2"/>
  <c r="Z52" i="2"/>
  <c r="X67" i="2"/>
  <c r="Y96" i="2"/>
  <c r="Y52" i="2"/>
  <c r="Z71" i="2"/>
  <c r="AA110" i="2"/>
  <c r="AA43" i="2"/>
  <c r="AG47" i="2"/>
  <c r="Z89" i="2"/>
  <c r="X108" i="2"/>
  <c r="X47" i="2"/>
  <c r="Y78" i="2"/>
  <c r="Y64" i="2"/>
  <c r="AG24" i="2"/>
  <c r="AA94" i="2"/>
  <c r="AA86" i="2"/>
  <c r="AG45" i="2"/>
  <c r="Z86" i="2"/>
  <c r="Z48" i="2"/>
  <c r="X63" i="2"/>
  <c r="Y92" i="2"/>
  <c r="Y89" i="2"/>
  <c r="X101" i="2"/>
  <c r="AA48" i="2"/>
  <c r="AG112" i="2"/>
  <c r="AG62" i="2"/>
  <c r="Z85" i="2"/>
  <c r="X117" i="2"/>
  <c r="X82" i="2"/>
  <c r="Y61" i="2"/>
  <c r="Y83" i="2"/>
  <c r="AA69" i="2"/>
  <c r="AG103" i="2"/>
  <c r="AG28" i="2"/>
  <c r="Z75" i="2"/>
  <c r="X115" i="2"/>
  <c r="X54" i="2"/>
  <c r="Y87" i="2"/>
  <c r="Y25" i="2"/>
  <c r="X71" i="2"/>
  <c r="AA60" i="2"/>
  <c r="AA39" i="2"/>
  <c r="AG39" i="2"/>
  <c r="Z113" i="2"/>
  <c r="Z42" i="2"/>
  <c r="X57" i="2"/>
  <c r="Y102" i="2"/>
  <c r="Y58" i="2"/>
  <c r="Z55" i="2"/>
  <c r="X55" i="2"/>
  <c r="X21" i="2"/>
  <c r="AA143" i="2"/>
  <c r="AG205" i="2"/>
  <c r="AG137" i="2"/>
  <c r="Z178" i="2"/>
  <c r="X216" i="2"/>
  <c r="X128" i="2"/>
  <c r="Y189" i="2"/>
  <c r="AA189" i="2"/>
  <c r="AA122" i="2"/>
  <c r="AG134" i="2"/>
  <c r="Z200" i="2"/>
  <c r="Z152" i="2"/>
  <c r="X191" i="2"/>
  <c r="X119" i="2"/>
  <c r="Y122" i="2"/>
  <c r="AA205" i="2"/>
  <c r="AA168" i="2"/>
  <c r="AG148" i="2"/>
  <c r="Z213" i="2"/>
  <c r="Z143" i="2"/>
  <c r="X182" i="2"/>
  <c r="X149" i="2"/>
  <c r="Y152" i="2"/>
  <c r="Y180" i="2"/>
  <c r="AA166" i="2"/>
  <c r="AG185" i="2"/>
  <c r="AG180" i="2"/>
  <c r="Z157" i="2"/>
  <c r="X199" i="2"/>
  <c r="X131" i="2"/>
  <c r="Y134" i="2"/>
  <c r="AA213" i="2"/>
  <c r="AA188" i="2"/>
  <c r="AG183" i="2"/>
  <c r="AG176" i="2"/>
  <c r="Z155" i="2"/>
  <c r="X201" i="2"/>
  <c r="X145" i="2"/>
  <c r="Y148" i="2"/>
  <c r="AA167" i="2"/>
  <c r="AG206" i="2"/>
  <c r="AG159" i="2"/>
  <c r="Z184" i="2"/>
  <c r="X204" i="2"/>
  <c r="X159" i="2"/>
  <c r="Y146" i="2"/>
  <c r="Y135" i="2"/>
  <c r="AA131" i="2"/>
  <c r="AG193" i="2"/>
  <c r="AG125" i="2"/>
  <c r="Z151" i="2"/>
  <c r="X174" i="2"/>
  <c r="X125" i="2"/>
  <c r="Y128" i="2"/>
  <c r="AA211" i="2"/>
  <c r="AA132" i="2"/>
  <c r="AG138" i="2"/>
  <c r="Z204" i="2"/>
  <c r="Z160" i="2"/>
  <c r="X162" i="2"/>
  <c r="Y202" i="2"/>
  <c r="Y153" i="2"/>
  <c r="AA72" i="2"/>
  <c r="AA19" i="2"/>
  <c r="AG35" i="2"/>
  <c r="Z109" i="2"/>
  <c r="Z22" i="2"/>
  <c r="X74" i="2"/>
  <c r="Y113" i="2"/>
  <c r="Y38" i="2"/>
  <c r="AG72" i="2"/>
  <c r="AA93" i="2"/>
  <c r="AA78" i="2"/>
  <c r="AG65" i="2"/>
  <c r="Z90" i="2"/>
  <c r="Z36" i="2"/>
  <c r="X51" i="2"/>
  <c r="Y111" i="2"/>
  <c r="Y31" i="2"/>
  <c r="Z21" i="2"/>
  <c r="AA68" i="2"/>
  <c r="AA117" i="2"/>
  <c r="AG66" i="2"/>
  <c r="Z65" i="2"/>
  <c r="X92" i="2"/>
  <c r="X25" i="2"/>
  <c r="Y65" i="2"/>
  <c r="Y29" i="2"/>
  <c r="Z40" i="2"/>
  <c r="AA66" i="2"/>
  <c r="AG114" i="2"/>
  <c r="AG80" i="2"/>
  <c r="Z103" i="2"/>
  <c r="Z32" i="2"/>
  <c r="X64" i="2"/>
  <c r="Y107" i="2"/>
  <c r="Y62" i="2"/>
  <c r="X24" i="2"/>
  <c r="AA114" i="2"/>
  <c r="AG96" i="2"/>
  <c r="AG46" i="2"/>
  <c r="Z77" i="2"/>
  <c r="X104" i="2"/>
  <c r="X30" i="2"/>
  <c r="Y27" i="2"/>
  <c r="AA101" i="2"/>
  <c r="AA47" i="2"/>
  <c r="AG87" i="2"/>
  <c r="AG25" i="2"/>
  <c r="Z59" i="2"/>
  <c r="X102" i="2"/>
  <c r="X28" i="2"/>
  <c r="Y75" i="2"/>
  <c r="AA74" i="2"/>
  <c r="Y116" i="2"/>
  <c r="AA44" i="2"/>
  <c r="AG108" i="2"/>
  <c r="AG74" i="2"/>
  <c r="Z97" i="2"/>
  <c r="Z26" i="2"/>
  <c r="X76" i="2"/>
  <c r="Y86" i="2"/>
  <c r="Y42" i="2"/>
  <c r="Y26" i="2"/>
  <c r="AA216" i="2"/>
  <c r="AA127" i="2"/>
  <c r="AG191" i="2"/>
  <c r="AG192" i="2"/>
  <c r="Z163" i="2"/>
  <c r="X198" i="2"/>
  <c r="X170" i="2"/>
  <c r="Y173" i="2"/>
  <c r="AA173" i="2"/>
  <c r="AA134" i="2"/>
  <c r="AG190" i="2"/>
  <c r="Z187" i="2"/>
  <c r="Z121" i="2"/>
  <c r="X175" i="2"/>
  <c r="Y213" i="2"/>
  <c r="Y167" i="2"/>
  <c r="AA187" i="2"/>
  <c r="AA162" i="2"/>
  <c r="AG132" i="2"/>
  <c r="Z198" i="2"/>
  <c r="Z130" i="2"/>
  <c r="X205" i="2"/>
  <c r="X133" i="2"/>
  <c r="Y136" i="2"/>
  <c r="AA215" i="2"/>
  <c r="AA148" i="2"/>
  <c r="AG162" i="2"/>
  <c r="Z212" i="2"/>
  <c r="Z141" i="2"/>
  <c r="X187" i="2"/>
  <c r="X169" i="2"/>
  <c r="Y170" i="2"/>
  <c r="AA198" i="2"/>
  <c r="AA144" i="2"/>
  <c r="AG160" i="2"/>
  <c r="Z210" i="2"/>
  <c r="Z139" i="2"/>
  <c r="X178" i="2"/>
  <c r="X129" i="2"/>
  <c r="Y190" i="2"/>
  <c r="AA149" i="2"/>
  <c r="AG211" i="2"/>
  <c r="AG143" i="2"/>
  <c r="Z168" i="2"/>
  <c r="X192" i="2"/>
  <c r="X143" i="2"/>
  <c r="Y130" i="2"/>
  <c r="AA210" i="2"/>
  <c r="AA172" i="2"/>
  <c r="AG179" i="2"/>
  <c r="AG167" i="2"/>
  <c r="Z135" i="2"/>
  <c r="X181" i="2"/>
  <c r="Y216" i="2"/>
  <c r="Y182" i="2"/>
  <c r="AA195" i="2"/>
  <c r="AA180" i="2"/>
  <c r="AG122" i="2"/>
  <c r="Z191" i="2"/>
  <c r="Z126" i="2"/>
  <c r="X146" i="2"/>
  <c r="Y207" i="2"/>
  <c r="Y137" i="2"/>
  <c r="AA56" i="2"/>
  <c r="AG104" i="2"/>
  <c r="AG70" i="2"/>
  <c r="Z93" i="2"/>
  <c r="Z19" i="2"/>
  <c r="X68" i="2"/>
  <c r="Y97" i="2"/>
  <c r="Y22" i="2"/>
  <c r="Z95" i="2"/>
  <c r="AA84" i="2"/>
  <c r="AA21" i="2"/>
  <c r="AG49" i="2"/>
  <c r="Z107" i="2"/>
  <c r="Z20" i="2"/>
  <c r="X58" i="2"/>
  <c r="Y95" i="2"/>
  <c r="Y45" i="2"/>
  <c r="X85" i="2"/>
  <c r="AA52" i="2"/>
  <c r="AG100" i="2"/>
  <c r="AG50" i="2"/>
  <c r="Z49" i="2"/>
  <c r="X111" i="2"/>
  <c r="X70" i="2"/>
  <c r="Y49" i="2"/>
  <c r="Y77" i="2"/>
  <c r="X98" i="2"/>
  <c r="AA50" i="2"/>
  <c r="AG98" i="2"/>
  <c r="AG64" i="2"/>
  <c r="Z87" i="2"/>
  <c r="Z29" i="2"/>
  <c r="X34" i="2"/>
  <c r="Y91" i="2"/>
  <c r="AA90" i="2"/>
  <c r="Y99" i="2"/>
  <c r="AA96" i="2"/>
  <c r="AG105" i="2"/>
  <c r="AG30" i="2"/>
  <c r="Z61" i="2"/>
  <c r="X88" i="2"/>
  <c r="X41" i="2"/>
  <c r="AA45" i="2"/>
  <c r="AA85" i="2"/>
  <c r="AA33" i="2"/>
  <c r="AG73" i="2"/>
  <c r="Z114" i="2"/>
  <c r="Z43" i="2"/>
  <c r="X86" i="2"/>
  <c r="X38" i="2"/>
  <c r="Y59" i="2"/>
  <c r="AA49" i="2"/>
  <c r="Y56" i="2"/>
  <c r="AA82" i="2"/>
  <c r="AG92" i="2"/>
  <c r="AG58" i="2"/>
  <c r="Z81" i="2"/>
  <c r="Z23" i="2"/>
  <c r="X49" i="2"/>
  <c r="Y101" i="2"/>
  <c r="AA206" i="2"/>
  <c r="AA160" i="2"/>
  <c r="AG175" i="2"/>
  <c r="AG169" i="2"/>
  <c r="Z147" i="2"/>
  <c r="X186" i="2"/>
  <c r="X153" i="2"/>
  <c r="Y156" i="2"/>
  <c r="AA186" i="2"/>
  <c r="AG214" i="2"/>
  <c r="AG165" i="2"/>
  <c r="Z171" i="2"/>
  <c r="Z150" i="2"/>
  <c r="X158" i="2"/>
  <c r="Y198" i="2"/>
  <c r="Y149" i="2"/>
  <c r="AA171" i="2"/>
  <c r="AA184" i="2"/>
  <c r="AG186" i="2"/>
  <c r="Z217" i="2"/>
  <c r="Z148" i="2"/>
  <c r="X189" i="2"/>
  <c r="X207" i="2"/>
  <c r="Y165" i="2"/>
  <c r="AA200" i="2"/>
  <c r="AA121" i="2"/>
  <c r="AG146" i="2"/>
  <c r="Z196" i="2"/>
  <c r="Z125" i="2"/>
  <c r="X197" i="2"/>
  <c r="Y210" i="2"/>
  <c r="Y161" i="2"/>
  <c r="AA201" i="2"/>
  <c r="AA120" i="2"/>
  <c r="AG144" i="2"/>
  <c r="Z194" i="2"/>
  <c r="Z119" i="2"/>
  <c r="X185" i="2"/>
  <c r="X166" i="2"/>
  <c r="Y188" i="2"/>
  <c r="AA133" i="2"/>
  <c r="AG195" i="2"/>
  <c r="AG127" i="2"/>
  <c r="Z153" i="2"/>
  <c r="X176" i="2"/>
  <c r="X127" i="2"/>
  <c r="Y186" i="2"/>
  <c r="AA217" i="2"/>
  <c r="AA136" i="2"/>
  <c r="AG156" i="2"/>
  <c r="Z206" i="2"/>
  <c r="Z164" i="2"/>
  <c r="X164" i="2"/>
  <c r="Y204" i="2"/>
  <c r="Y155" i="2"/>
  <c r="AA177" i="2"/>
  <c r="AA142" i="2"/>
  <c r="AG168" i="2"/>
  <c r="Z175" i="2"/>
  <c r="Z158" i="2"/>
  <c r="X130" i="2"/>
  <c r="Y191" i="2"/>
  <c r="Y169" i="2"/>
  <c r="AA40" i="2"/>
  <c r="AG88" i="2"/>
  <c r="AG54" i="2"/>
  <c r="Z69" i="2"/>
  <c r="X112" i="2"/>
  <c r="X22" i="2"/>
  <c r="Y81" i="2"/>
  <c r="Y19" i="2"/>
  <c r="Z72" i="2"/>
  <c r="AA70" i="2"/>
  <c r="AA112" i="2"/>
  <c r="AG33" i="2"/>
  <c r="Z91" i="2"/>
  <c r="X110" i="2"/>
  <c r="X52" i="2"/>
  <c r="Y79" i="2"/>
  <c r="Y30" i="2"/>
  <c r="X31" i="2"/>
  <c r="AA36" i="2"/>
  <c r="AG84" i="2"/>
  <c r="AG34" i="2"/>
  <c r="Z33" i="2"/>
  <c r="X95" i="2"/>
  <c r="X42" i="2"/>
  <c r="Y33" i="2"/>
  <c r="Y46" i="2"/>
  <c r="X46" i="2"/>
  <c r="AA34" i="2"/>
  <c r="AG82" i="2"/>
  <c r="AG48" i="2"/>
  <c r="Z80" i="2"/>
  <c r="X106" i="2"/>
  <c r="X44" i="2"/>
  <c r="Y80" i="2"/>
  <c r="AA102" i="2"/>
  <c r="Y40" i="2"/>
  <c r="AA63" i="2"/>
  <c r="AG89" i="2"/>
  <c r="AG27" i="2"/>
  <c r="Z45" i="2"/>
  <c r="X107" i="2"/>
  <c r="X56" i="2"/>
  <c r="AG53" i="2"/>
  <c r="AA115" i="2"/>
  <c r="AA29" i="2"/>
  <c r="AG57" i="2"/>
  <c r="Z98" i="2"/>
  <c r="Z76" i="2"/>
  <c r="X105" i="2"/>
  <c r="X48" i="2"/>
  <c r="Y43" i="2"/>
  <c r="AG115" i="2"/>
  <c r="AA116" i="2"/>
  <c r="AA53" i="2"/>
  <c r="AG117" i="2"/>
  <c r="AG42" i="2"/>
  <c r="Z73" i="2"/>
  <c r="X100" i="2"/>
  <c r="X26" i="2"/>
  <c r="Y85" i="2"/>
  <c r="Y23" i="2"/>
  <c r="AH19" i="3" l="1"/>
  <c r="AH18" i="3" s="1"/>
  <c r="AF18" i="2"/>
  <c r="AF11" i="2"/>
  <c r="AA21" i="3"/>
  <c r="AE19" i="3"/>
  <c r="AE18" i="3" s="1"/>
  <c r="AC18" i="2"/>
  <c r="AC11" i="2"/>
  <c r="AF19" i="3"/>
  <c r="AF18" i="3" s="1"/>
  <c r="AD11" i="2"/>
  <c r="AD18" i="2"/>
  <c r="Z21" i="3"/>
  <c r="AN19" i="3"/>
  <c r="AN18" i="3" s="1"/>
  <c r="AJ9" i="2"/>
  <c r="AL11" i="2"/>
  <c r="AK9" i="2"/>
  <c r="AQ9" i="2"/>
  <c r="AI9" i="2"/>
  <c r="AH9" i="2"/>
  <c r="AL18" i="2"/>
  <c r="AG19" i="3"/>
  <c r="AG18" i="3" s="1"/>
  <c r="AE11" i="2"/>
  <c r="AE18" i="2"/>
  <c r="AB21" i="3"/>
  <c r="AI21" i="3"/>
  <c r="AC21" i="3"/>
  <c r="AD234" i="2"/>
  <c r="AD230" i="2"/>
  <c r="AD226" i="2"/>
  <c r="AD231" i="2"/>
  <c r="AD227" i="2"/>
  <c r="AD223" i="2"/>
  <c r="AD220" i="2"/>
  <c r="AD219" i="2"/>
  <c r="AD233" i="2"/>
  <c r="AD229" i="2"/>
  <c r="AD225" i="2"/>
  <c r="AD221" i="2"/>
  <c r="AD218" i="2"/>
  <c r="AD232" i="2"/>
  <c r="AD228" i="2"/>
  <c r="AD224" i="2"/>
  <c r="AD222" i="2"/>
  <c r="AE234" i="2"/>
  <c r="AE232" i="2"/>
  <c r="AE230" i="2"/>
  <c r="AE228" i="2"/>
  <c r="AE226" i="2"/>
  <c r="AE224" i="2"/>
  <c r="AE233" i="2"/>
  <c r="AE231" i="2"/>
  <c r="AE229" i="2"/>
  <c r="AE227" i="2"/>
  <c r="AE225" i="2"/>
  <c r="AE223" i="2"/>
  <c r="AE221" i="2"/>
  <c r="AE219" i="2"/>
  <c r="AE220" i="2"/>
  <c r="AE222" i="2"/>
  <c r="AE218" i="2"/>
  <c r="AC234" i="2"/>
  <c r="AC232" i="2"/>
  <c r="AC230" i="2"/>
  <c r="AC228" i="2"/>
  <c r="AC226" i="2"/>
  <c r="AC224" i="2"/>
  <c r="AC222" i="2"/>
  <c r="AC220" i="2"/>
  <c r="AC218" i="2"/>
  <c r="AC233" i="2"/>
  <c r="AC231" i="2"/>
  <c r="AC229" i="2"/>
  <c r="AC227" i="2"/>
  <c r="AC225" i="2"/>
  <c r="AC223" i="2"/>
  <c r="AC221" i="2"/>
  <c r="AC219" i="2"/>
  <c r="AF233" i="2"/>
  <c r="AF231" i="2"/>
  <c r="AF229" i="2"/>
  <c r="AF227" i="2"/>
  <c r="AF225" i="2"/>
  <c r="AF223" i="2"/>
  <c r="AF221" i="2"/>
  <c r="AF219" i="2"/>
  <c r="AF234" i="2"/>
  <c r="AF230" i="2"/>
  <c r="AF226" i="2"/>
  <c r="AF220" i="2"/>
  <c r="AF222" i="2"/>
  <c r="AF232" i="2"/>
  <c r="AF228" i="2"/>
  <c r="AF224" i="2"/>
  <c r="AF218" i="2"/>
  <c r="AL222" i="2"/>
  <c r="AL232" i="2"/>
  <c r="AL228" i="2"/>
  <c r="AL224" i="2"/>
  <c r="AL221" i="2"/>
  <c r="AL233" i="2"/>
  <c r="AL229" i="2"/>
  <c r="AL225" i="2"/>
  <c r="AL218" i="2"/>
  <c r="AL234" i="2"/>
  <c r="AL230" i="2"/>
  <c r="AL226" i="2"/>
  <c r="AL220" i="2"/>
  <c r="AL219" i="2"/>
  <c r="AL231" i="2"/>
  <c r="AL227" i="2"/>
  <c r="AL223" i="2"/>
  <c r="AQ18" i="2" l="1"/>
  <c r="AM9" i="2"/>
  <c r="AQ11" i="2"/>
  <c r="AP9" i="2"/>
  <c r="AO9" i="2"/>
  <c r="AN9" i="2"/>
  <c r="AN21" i="3"/>
  <c r="AM19" i="3"/>
  <c r="AM18" i="3" s="1"/>
  <c r="AK11" i="2"/>
  <c r="AK18" i="2"/>
  <c r="AL19" i="3"/>
  <c r="AL18" i="3" s="1"/>
  <c r="AJ11" i="2"/>
  <c r="AJ18" i="2"/>
  <c r="AH21" i="3"/>
  <c r="AJ19" i="3"/>
  <c r="AJ18" i="3" s="1"/>
  <c r="AH18" i="2"/>
  <c r="AH11" i="2"/>
  <c r="AE21" i="3"/>
  <c r="AG21" i="3"/>
  <c r="AK19" i="3"/>
  <c r="AK18" i="3" s="1"/>
  <c r="AI18" i="2"/>
  <c r="AI11" i="2"/>
  <c r="AF21" i="3"/>
  <c r="AJ234" i="2"/>
  <c r="AJ232" i="2"/>
  <c r="AJ230" i="2"/>
  <c r="AJ228" i="2"/>
  <c r="AJ226" i="2"/>
  <c r="AJ224" i="2"/>
  <c r="AJ222" i="2"/>
  <c r="AJ220" i="2"/>
  <c r="AJ218" i="2"/>
  <c r="AJ231" i="2"/>
  <c r="AJ227" i="2"/>
  <c r="AJ223" i="2"/>
  <c r="AJ219" i="2"/>
  <c r="AJ221" i="2"/>
  <c r="AJ233" i="2"/>
  <c r="AJ229" i="2"/>
  <c r="AJ225" i="2"/>
  <c r="AI233" i="2"/>
  <c r="AI231" i="2"/>
  <c r="AI229" i="2"/>
  <c r="AI227" i="2"/>
  <c r="AI225" i="2"/>
  <c r="AI223" i="2"/>
  <c r="AI234" i="2"/>
  <c r="AI232" i="2"/>
  <c r="AI230" i="2"/>
  <c r="AI228" i="2"/>
  <c r="AI226" i="2"/>
  <c r="AI224" i="2"/>
  <c r="AI222" i="2"/>
  <c r="AI220" i="2"/>
  <c r="AI218" i="2"/>
  <c r="AI219" i="2"/>
  <c r="AI221" i="2"/>
  <c r="AK234" i="2"/>
  <c r="AK232" i="2"/>
  <c r="AK230" i="2"/>
  <c r="AK228" i="2"/>
  <c r="AK226" i="2"/>
  <c r="AK224" i="2"/>
  <c r="AK222" i="2"/>
  <c r="AK220" i="2"/>
  <c r="AK218" i="2"/>
  <c r="AK233" i="2"/>
  <c r="AK231" i="2"/>
  <c r="AK229" i="2"/>
  <c r="AK227" i="2"/>
  <c r="AK225" i="2"/>
  <c r="AK223" i="2"/>
  <c r="AK221" i="2"/>
  <c r="AK219" i="2"/>
  <c r="AH231" i="2"/>
  <c r="AH227" i="2"/>
  <c r="AH223" i="2"/>
  <c r="AH222" i="2"/>
  <c r="AH219" i="2"/>
  <c r="AH232" i="2"/>
  <c r="AH228" i="2"/>
  <c r="AH224" i="2"/>
  <c r="AH218" i="2"/>
  <c r="AH234" i="2"/>
  <c r="AH230" i="2"/>
  <c r="AH226" i="2"/>
  <c r="AH221" i="2"/>
  <c r="AH225" i="2"/>
  <c r="AH229" i="2"/>
  <c r="AH220" i="2"/>
  <c r="AH233" i="2"/>
  <c r="AQ233" i="2"/>
  <c r="AQ231" i="2"/>
  <c r="AQ229" i="2"/>
  <c r="AQ227" i="2"/>
  <c r="AQ225" i="2"/>
  <c r="AQ223" i="2"/>
  <c r="AQ234" i="2"/>
  <c r="AQ232" i="2"/>
  <c r="AQ230" i="2"/>
  <c r="AQ228" i="2"/>
  <c r="AQ226" i="2"/>
  <c r="AQ224" i="2"/>
  <c r="AQ222" i="2"/>
  <c r="AQ220" i="2"/>
  <c r="AQ218" i="2"/>
  <c r="AQ221" i="2"/>
  <c r="AQ219" i="2"/>
  <c r="AO19" i="3" l="1"/>
  <c r="AO18" i="3" s="1"/>
  <c r="AM11" i="2"/>
  <c r="AM18" i="2"/>
  <c r="AJ21" i="3"/>
  <c r="AM21" i="3"/>
  <c r="AK21" i="3"/>
  <c r="AP19" i="3"/>
  <c r="AP18" i="3" s="1"/>
  <c r="AN18" i="2"/>
  <c r="AN11" i="2"/>
  <c r="AQ19" i="3"/>
  <c r="AQ18" i="3" s="1"/>
  <c r="AO18" i="2"/>
  <c r="AO11" i="2"/>
  <c r="AL21" i="3"/>
  <c r="AR19" i="3"/>
  <c r="AR18" i="3" s="1"/>
  <c r="AP18" i="2"/>
  <c r="AP11" i="2"/>
  <c r="AM234" i="2"/>
  <c r="AM232" i="2"/>
  <c r="AM230" i="2"/>
  <c r="AM228" i="2"/>
  <c r="AM226" i="2"/>
  <c r="AM224" i="2"/>
  <c r="AM233" i="2"/>
  <c r="AM231" i="2"/>
  <c r="AM229" i="2"/>
  <c r="AM227" i="2"/>
  <c r="AM225" i="2"/>
  <c r="AM223" i="2"/>
  <c r="AM221" i="2"/>
  <c r="AM219" i="2"/>
  <c r="AM222" i="2"/>
  <c r="AM218" i="2"/>
  <c r="AM220" i="2"/>
  <c r="AP232" i="2"/>
  <c r="AP228" i="2"/>
  <c r="AP224" i="2"/>
  <c r="AP218" i="2"/>
  <c r="AP221" i="2"/>
  <c r="AP233" i="2"/>
  <c r="AP229" i="2"/>
  <c r="AP225" i="2"/>
  <c r="AP220" i="2"/>
  <c r="AP234" i="2"/>
  <c r="AP230" i="2"/>
  <c r="AP226" i="2"/>
  <c r="AP231" i="2"/>
  <c r="AP227" i="2"/>
  <c r="AP223" i="2"/>
  <c r="AP222" i="2"/>
  <c r="AP219" i="2"/>
  <c r="AN233" i="2"/>
  <c r="AN231" i="2"/>
  <c r="AN229" i="2"/>
  <c r="AN227" i="2"/>
  <c r="AN225" i="2"/>
  <c r="AN223" i="2"/>
  <c r="AN221" i="2"/>
  <c r="AN219" i="2"/>
  <c r="AN232" i="2"/>
  <c r="AN228" i="2"/>
  <c r="AN224" i="2"/>
  <c r="AN218" i="2"/>
  <c r="AN220" i="2"/>
  <c r="AN234" i="2"/>
  <c r="AN230" i="2"/>
  <c r="AN226" i="2"/>
  <c r="AN222" i="2"/>
  <c r="AO233" i="2"/>
  <c r="AO231" i="2"/>
  <c r="AO229" i="2"/>
  <c r="AO227" i="2"/>
  <c r="AO225" i="2"/>
  <c r="AO223" i="2"/>
  <c r="AO221" i="2"/>
  <c r="AO219" i="2"/>
  <c r="AO234" i="2"/>
  <c r="AO232" i="2"/>
  <c r="AO230" i="2"/>
  <c r="AO228" i="2"/>
  <c r="AO226" i="2"/>
  <c r="AO224" i="2"/>
  <c r="AO222" i="2"/>
  <c r="AO220" i="2"/>
  <c r="AO218" i="2"/>
  <c r="AQ21" i="3" l="1"/>
  <c r="AP21" i="3"/>
  <c r="AR21" i="3"/>
  <c r="H19" i="3" s="1"/>
  <c r="AO21" i="3"/>
  <c r="Z28" i="3"/>
  <c r="X38" i="3"/>
  <c r="Z60" i="3"/>
  <c r="Z68" i="3"/>
  <c r="X102" i="3"/>
  <c r="Z116" i="3"/>
  <c r="X134" i="3"/>
  <c r="Z148" i="3"/>
  <c r="Z172" i="3"/>
  <c r="Z29" i="3"/>
  <c r="Y30" i="3"/>
  <c r="X31" i="3"/>
  <c r="Z37" i="3"/>
  <c r="Y38" i="3"/>
  <c r="X39" i="3"/>
  <c r="Z45" i="3"/>
  <c r="Y46" i="3"/>
  <c r="X47" i="3"/>
  <c r="Z53" i="3"/>
  <c r="Y54" i="3"/>
  <c r="X55" i="3"/>
  <c r="Z61" i="3"/>
  <c r="Y62" i="3"/>
  <c r="X63" i="3"/>
  <c r="Z69" i="3"/>
  <c r="Y70" i="3"/>
  <c r="X71" i="3"/>
  <c r="Z77" i="3"/>
  <c r="Y78" i="3"/>
  <c r="X79" i="3"/>
  <c r="Z85" i="3"/>
  <c r="Y86" i="3"/>
  <c r="X87" i="3"/>
  <c r="Z93" i="3"/>
  <c r="Y94" i="3"/>
  <c r="X95" i="3"/>
  <c r="Z101" i="3"/>
  <c r="Y102" i="3"/>
  <c r="X103" i="3"/>
  <c r="Z109" i="3"/>
  <c r="Y110" i="3"/>
  <c r="X111" i="3"/>
  <c r="Z117" i="3"/>
  <c r="Y118" i="3"/>
  <c r="X119" i="3"/>
  <c r="Z125" i="3"/>
  <c r="Y126" i="3"/>
  <c r="X127" i="3"/>
  <c r="Z133" i="3"/>
  <c r="Y134" i="3"/>
  <c r="X135" i="3"/>
  <c r="Z141" i="3"/>
  <c r="Y142" i="3"/>
  <c r="X143" i="3"/>
  <c r="Z149" i="3"/>
  <c r="Y150" i="3"/>
  <c r="X151" i="3"/>
  <c r="Z157" i="3"/>
  <c r="Y158" i="3"/>
  <c r="X159" i="3"/>
  <c r="Z165" i="3"/>
  <c r="Y166" i="3"/>
  <c r="X167" i="3"/>
  <c r="Z173" i="3"/>
  <c r="Y174" i="3"/>
  <c r="X175" i="3"/>
  <c r="Z181" i="3"/>
  <c r="Y182" i="3"/>
  <c r="X183" i="3"/>
  <c r="Z189" i="3"/>
  <c r="Y190" i="3"/>
  <c r="X191" i="3"/>
  <c r="Y29" i="3"/>
  <c r="X46" i="3"/>
  <c r="X54" i="3"/>
  <c r="Y69" i="3"/>
  <c r="Y85" i="3"/>
  <c r="Z100" i="3"/>
  <c r="Z108" i="3"/>
  <c r="X118" i="3"/>
  <c r="Y133" i="3"/>
  <c r="Y149" i="3"/>
  <c r="Y165" i="3"/>
  <c r="Y189" i="3"/>
  <c r="Z30" i="3"/>
  <c r="Y31" i="3"/>
  <c r="X32" i="3"/>
  <c r="Z38" i="3"/>
  <c r="Y39" i="3"/>
  <c r="X40" i="3"/>
  <c r="Z46" i="3"/>
  <c r="Y47" i="3"/>
  <c r="X48" i="3"/>
  <c r="Z54" i="3"/>
  <c r="Y55" i="3"/>
  <c r="X56" i="3"/>
  <c r="Z62" i="3"/>
  <c r="Y63" i="3"/>
  <c r="X64" i="3"/>
  <c r="Z70" i="3"/>
  <c r="Y71" i="3"/>
  <c r="X72" i="3"/>
  <c r="Z78" i="3"/>
  <c r="Y79" i="3"/>
  <c r="X80" i="3"/>
  <c r="Z86" i="3"/>
  <c r="Y87" i="3"/>
  <c r="X88" i="3"/>
  <c r="Z94" i="3"/>
  <c r="Y95" i="3"/>
  <c r="X96" i="3"/>
  <c r="Z102" i="3"/>
  <c r="Y103" i="3"/>
  <c r="X104" i="3"/>
  <c r="Z110" i="3"/>
  <c r="Y111" i="3"/>
  <c r="X112" i="3"/>
  <c r="Z118" i="3"/>
  <c r="Y119" i="3"/>
  <c r="X120" i="3"/>
  <c r="Z126" i="3"/>
  <c r="Y127" i="3"/>
  <c r="X128" i="3"/>
  <c r="Z134" i="3"/>
  <c r="Y135" i="3"/>
  <c r="X136" i="3"/>
  <c r="Z142" i="3"/>
  <c r="Y143" i="3"/>
  <c r="X144" i="3"/>
  <c r="Z150" i="3"/>
  <c r="Y151" i="3"/>
  <c r="X152" i="3"/>
  <c r="Z158" i="3"/>
  <c r="Y159" i="3"/>
  <c r="X160" i="3"/>
  <c r="Z166" i="3"/>
  <c r="Y167" i="3"/>
  <c r="X168" i="3"/>
  <c r="Z174" i="3"/>
  <c r="Y175" i="3"/>
  <c r="X176" i="3"/>
  <c r="Z182" i="3"/>
  <c r="Y183" i="3"/>
  <c r="X184" i="3"/>
  <c r="Z190" i="3"/>
  <c r="Y191" i="3"/>
  <c r="X192" i="3"/>
  <c r="Y45" i="3"/>
  <c r="X62" i="3"/>
  <c r="Y77" i="3"/>
  <c r="X94" i="3"/>
  <c r="Y117" i="3"/>
  <c r="Y125" i="3"/>
  <c r="Z140" i="3"/>
  <c r="Z156" i="3"/>
  <c r="X166" i="3"/>
  <c r="Z180" i="3"/>
  <c r="Z188" i="3"/>
  <c r="X25" i="3"/>
  <c r="Z31" i="3"/>
  <c r="Y32" i="3"/>
  <c r="X33" i="3"/>
  <c r="Z39" i="3"/>
  <c r="Y40" i="3"/>
  <c r="X41" i="3"/>
  <c r="Z47" i="3"/>
  <c r="Y48" i="3"/>
  <c r="X49" i="3"/>
  <c r="Z55" i="3"/>
  <c r="Y56" i="3"/>
  <c r="X57" i="3"/>
  <c r="Z63" i="3"/>
  <c r="Y64" i="3"/>
  <c r="X65" i="3"/>
  <c r="Z71" i="3"/>
  <c r="Y72" i="3"/>
  <c r="X73" i="3"/>
  <c r="Z79" i="3"/>
  <c r="Y80" i="3"/>
  <c r="X81" i="3"/>
  <c r="Z87" i="3"/>
  <c r="Y88" i="3"/>
  <c r="X89" i="3"/>
  <c r="Z95" i="3"/>
  <c r="Y96" i="3"/>
  <c r="X97" i="3"/>
  <c r="Z103" i="3"/>
  <c r="Y104" i="3"/>
  <c r="X105" i="3"/>
  <c r="Z111" i="3"/>
  <c r="Y112" i="3"/>
  <c r="X113" i="3"/>
  <c r="Z119" i="3"/>
  <c r="Y120" i="3"/>
  <c r="X121" i="3"/>
  <c r="Z127" i="3"/>
  <c r="Y128" i="3"/>
  <c r="X129" i="3"/>
  <c r="Z135" i="3"/>
  <c r="Y136" i="3"/>
  <c r="X137" i="3"/>
  <c r="Z143" i="3"/>
  <c r="Y144" i="3"/>
  <c r="X145" i="3"/>
  <c r="Z151" i="3"/>
  <c r="Y152" i="3"/>
  <c r="X153" i="3"/>
  <c r="Z159" i="3"/>
  <c r="Y160" i="3"/>
  <c r="X161" i="3"/>
  <c r="Z167" i="3"/>
  <c r="Y168" i="3"/>
  <c r="X169" i="3"/>
  <c r="Z175" i="3"/>
  <c r="Y176" i="3"/>
  <c r="X177" i="3"/>
  <c r="Z183" i="3"/>
  <c r="Y184" i="3"/>
  <c r="X185" i="3"/>
  <c r="Z191" i="3"/>
  <c r="Y192" i="3"/>
  <c r="Y37" i="3"/>
  <c r="Z44" i="3"/>
  <c r="Z52" i="3"/>
  <c r="Z76" i="3"/>
  <c r="Z84" i="3"/>
  <c r="Z92" i="3"/>
  <c r="Y109" i="3"/>
  <c r="Z124" i="3"/>
  <c r="Y157" i="3"/>
  <c r="Y173" i="3"/>
  <c r="Y25" i="3"/>
  <c r="X26" i="3"/>
  <c r="Z32" i="3"/>
  <c r="Y33" i="3"/>
  <c r="X34" i="3"/>
  <c r="Z40" i="3"/>
  <c r="Y41" i="3"/>
  <c r="X42" i="3"/>
  <c r="Z48" i="3"/>
  <c r="Y49" i="3"/>
  <c r="X50" i="3"/>
  <c r="Z56" i="3"/>
  <c r="Y57" i="3"/>
  <c r="X58" i="3"/>
  <c r="Z64" i="3"/>
  <c r="Y65" i="3"/>
  <c r="X66" i="3"/>
  <c r="Z72" i="3"/>
  <c r="Y73" i="3"/>
  <c r="X74" i="3"/>
  <c r="Z80" i="3"/>
  <c r="Y81" i="3"/>
  <c r="X82" i="3"/>
  <c r="Z88" i="3"/>
  <c r="Y89" i="3"/>
  <c r="X90" i="3"/>
  <c r="Z96" i="3"/>
  <c r="Y97" i="3"/>
  <c r="X98" i="3"/>
  <c r="Z104" i="3"/>
  <c r="Y105" i="3"/>
  <c r="X106" i="3"/>
  <c r="Z112" i="3"/>
  <c r="Y113" i="3"/>
  <c r="X114" i="3"/>
  <c r="Z120" i="3"/>
  <c r="Y121" i="3"/>
  <c r="X122" i="3"/>
  <c r="Z128" i="3"/>
  <c r="Y129" i="3"/>
  <c r="X130" i="3"/>
  <c r="Z136" i="3"/>
  <c r="Y137" i="3"/>
  <c r="X138" i="3"/>
  <c r="Z144" i="3"/>
  <c r="Y145" i="3"/>
  <c r="X146" i="3"/>
  <c r="Z152" i="3"/>
  <c r="Y153" i="3"/>
  <c r="X154" i="3"/>
  <c r="Z160" i="3"/>
  <c r="Y161" i="3"/>
  <c r="X162" i="3"/>
  <c r="Z168" i="3"/>
  <c r="Y169" i="3"/>
  <c r="X170" i="3"/>
  <c r="Z176" i="3"/>
  <c r="Y177" i="3"/>
  <c r="X178" i="3"/>
  <c r="Z184" i="3"/>
  <c r="Y185" i="3"/>
  <c r="X186" i="3"/>
  <c r="Z192" i="3"/>
  <c r="X30" i="3"/>
  <c r="X70" i="3"/>
  <c r="X86" i="3"/>
  <c r="Y141" i="3"/>
  <c r="X158" i="3"/>
  <c r="Y181" i="3"/>
  <c r="Z25" i="3"/>
  <c r="Y26" i="3"/>
  <c r="X27" i="3"/>
  <c r="Z33" i="3"/>
  <c r="Y34" i="3"/>
  <c r="X35" i="3"/>
  <c r="Z41" i="3"/>
  <c r="Y42" i="3"/>
  <c r="X43" i="3"/>
  <c r="Z49" i="3"/>
  <c r="Y50" i="3"/>
  <c r="X51" i="3"/>
  <c r="Z57" i="3"/>
  <c r="Y58" i="3"/>
  <c r="X59" i="3"/>
  <c r="Z65" i="3"/>
  <c r="Y66" i="3"/>
  <c r="X67" i="3"/>
  <c r="Z73" i="3"/>
  <c r="Y74" i="3"/>
  <c r="X75" i="3"/>
  <c r="Z81" i="3"/>
  <c r="Y82" i="3"/>
  <c r="X83" i="3"/>
  <c r="Z89" i="3"/>
  <c r="Y90" i="3"/>
  <c r="X91" i="3"/>
  <c r="Z97" i="3"/>
  <c r="Y98" i="3"/>
  <c r="X99" i="3"/>
  <c r="Z105" i="3"/>
  <c r="Y106" i="3"/>
  <c r="X107" i="3"/>
  <c r="Z113" i="3"/>
  <c r="Y114" i="3"/>
  <c r="X115" i="3"/>
  <c r="Z121" i="3"/>
  <c r="Y122" i="3"/>
  <c r="X123" i="3"/>
  <c r="Z129" i="3"/>
  <c r="Y130" i="3"/>
  <c r="X131" i="3"/>
  <c r="Z137" i="3"/>
  <c r="Y138" i="3"/>
  <c r="X139" i="3"/>
  <c r="Z145" i="3"/>
  <c r="Y146" i="3"/>
  <c r="X147" i="3"/>
  <c r="Z153" i="3"/>
  <c r="Y154" i="3"/>
  <c r="X155" i="3"/>
  <c r="Z161" i="3"/>
  <c r="Y162" i="3"/>
  <c r="X163" i="3"/>
  <c r="Z169" i="3"/>
  <c r="Y170" i="3"/>
  <c r="X171" i="3"/>
  <c r="Z177" i="3"/>
  <c r="Y178" i="3"/>
  <c r="X179" i="3"/>
  <c r="Z185" i="3"/>
  <c r="Y186" i="3"/>
  <c r="X187" i="3"/>
  <c r="Z36" i="3"/>
  <c r="Y53" i="3"/>
  <c r="Y101" i="3"/>
  <c r="Z132" i="3"/>
  <c r="Z164" i="3"/>
  <c r="X190" i="3"/>
  <c r="Z26" i="3"/>
  <c r="Y27" i="3"/>
  <c r="X28" i="3"/>
  <c r="Z34" i="3"/>
  <c r="Y35" i="3"/>
  <c r="X36" i="3"/>
  <c r="Z42" i="3"/>
  <c r="Y43" i="3"/>
  <c r="X44" i="3"/>
  <c r="Z50" i="3"/>
  <c r="Y51" i="3"/>
  <c r="X52" i="3"/>
  <c r="Z58" i="3"/>
  <c r="Y59" i="3"/>
  <c r="X60" i="3"/>
  <c r="Z66" i="3"/>
  <c r="Y67" i="3"/>
  <c r="X68" i="3"/>
  <c r="Z74" i="3"/>
  <c r="Y75" i="3"/>
  <c r="X76" i="3"/>
  <c r="Z82" i="3"/>
  <c r="Y83" i="3"/>
  <c r="X84" i="3"/>
  <c r="Z90" i="3"/>
  <c r="Y91" i="3"/>
  <c r="X92" i="3"/>
  <c r="Z98" i="3"/>
  <c r="Y99" i="3"/>
  <c r="X100" i="3"/>
  <c r="Z106" i="3"/>
  <c r="Y107" i="3"/>
  <c r="X108" i="3"/>
  <c r="Z114" i="3"/>
  <c r="Y115" i="3"/>
  <c r="X116" i="3"/>
  <c r="Z122" i="3"/>
  <c r="Y123" i="3"/>
  <c r="X124" i="3"/>
  <c r="Z130" i="3"/>
  <c r="Y131" i="3"/>
  <c r="X132" i="3"/>
  <c r="Z138" i="3"/>
  <c r="Y139" i="3"/>
  <c r="X140" i="3"/>
  <c r="Z146" i="3"/>
  <c r="Y147" i="3"/>
  <c r="X148" i="3"/>
  <c r="Z154" i="3"/>
  <c r="Y155" i="3"/>
  <c r="X156" i="3"/>
  <c r="Z162" i="3"/>
  <c r="Y163" i="3"/>
  <c r="X164" i="3"/>
  <c r="Z170" i="3"/>
  <c r="Y171" i="3"/>
  <c r="X172" i="3"/>
  <c r="Z178" i="3"/>
  <c r="Y179" i="3"/>
  <c r="X180" i="3"/>
  <c r="Z186" i="3"/>
  <c r="Y187" i="3"/>
  <c r="X188" i="3"/>
  <c r="Y61" i="3"/>
  <c r="X78" i="3"/>
  <c r="Y93" i="3"/>
  <c r="X110" i="3"/>
  <c r="X126" i="3"/>
  <c r="X142" i="3"/>
  <c r="X150" i="3"/>
  <c r="X174" i="3"/>
  <c r="X182" i="3"/>
  <c r="Z27" i="3"/>
  <c r="Y28" i="3"/>
  <c r="X29" i="3"/>
  <c r="Z35" i="3"/>
  <c r="Y36" i="3"/>
  <c r="X37" i="3"/>
  <c r="Z43" i="3"/>
  <c r="Y44" i="3"/>
  <c r="X45" i="3"/>
  <c r="Z51" i="3"/>
  <c r="Y52" i="3"/>
  <c r="X53" i="3"/>
  <c r="Z59" i="3"/>
  <c r="Y60" i="3"/>
  <c r="X61" i="3"/>
  <c r="Z67" i="3"/>
  <c r="Y68" i="3"/>
  <c r="X69" i="3"/>
  <c r="Z75" i="3"/>
  <c r="Y76" i="3"/>
  <c r="X77" i="3"/>
  <c r="Z83" i="3"/>
  <c r="Y84" i="3"/>
  <c r="X85" i="3"/>
  <c r="Z91" i="3"/>
  <c r="Y92" i="3"/>
  <c r="X93" i="3"/>
  <c r="Z99" i="3"/>
  <c r="Y100" i="3"/>
  <c r="X101" i="3"/>
  <c r="Z107" i="3"/>
  <c r="Y108" i="3"/>
  <c r="X109" i="3"/>
  <c r="Z115" i="3"/>
  <c r="Y116" i="3"/>
  <c r="X117" i="3"/>
  <c r="Z123" i="3"/>
  <c r="Y124" i="3"/>
  <c r="X125" i="3"/>
  <c r="Z131" i="3"/>
  <c r="Y132" i="3"/>
  <c r="X133" i="3"/>
  <c r="Z139" i="3"/>
  <c r="Y140" i="3"/>
  <c r="X141" i="3"/>
  <c r="Z147" i="3"/>
  <c r="Y148" i="3"/>
  <c r="X149" i="3"/>
  <c r="Z155" i="3"/>
  <c r="Y156" i="3"/>
  <c r="X157" i="3"/>
  <c r="Z163" i="3"/>
  <c r="Y164" i="3"/>
  <c r="X165" i="3"/>
  <c r="Z171" i="3"/>
  <c r="Y172" i="3"/>
  <c r="X173" i="3"/>
  <c r="Z179" i="3"/>
  <c r="Y180" i="3"/>
  <c r="X181" i="3"/>
  <c r="Z187" i="3"/>
  <c r="Y188" i="3"/>
  <c r="X189" i="3"/>
  <c r="J229" i="3"/>
  <c r="J228" i="3"/>
  <c r="J236" i="3"/>
  <c r="J224" i="3"/>
  <c r="J223" i="3"/>
  <c r="J230" i="3"/>
  <c r="J225" i="3"/>
  <c r="J232" i="3"/>
  <c r="J237" i="3"/>
  <c r="J231" i="3"/>
  <c r="J238" i="3"/>
  <c r="J227" i="3"/>
  <c r="J226" i="3"/>
  <c r="J233" i="3"/>
  <c r="J239" i="3"/>
  <c r="J235" i="3"/>
  <c r="J234" i="3"/>
  <c r="P227" i="3"/>
  <c r="I236" i="3"/>
  <c r="M224" i="3"/>
  <c r="K230" i="3"/>
  <c r="U224" i="3"/>
  <c r="S230" i="3"/>
  <c r="N233" i="3"/>
  <c r="Q236" i="3"/>
  <c r="L239" i="3"/>
  <c r="I228" i="3"/>
  <c r="V233" i="3"/>
  <c r="T239" i="3"/>
  <c r="N225" i="3"/>
  <c r="Q228" i="3"/>
  <c r="L231" i="3"/>
  <c r="V225" i="3"/>
  <c r="T231" i="3"/>
  <c r="O234" i="3"/>
  <c r="R237" i="3"/>
  <c r="L223" i="3"/>
  <c r="T223" i="3"/>
  <c r="O226" i="3"/>
  <c r="R229" i="3"/>
  <c r="M232" i="3"/>
  <c r="P235" i="3"/>
  <c r="K238" i="3"/>
  <c r="U232" i="3"/>
  <c r="S238" i="3"/>
  <c r="R223" i="3"/>
  <c r="K224" i="3"/>
  <c r="S224" i="3"/>
  <c r="L225" i="3"/>
  <c r="T225" i="3"/>
  <c r="M226" i="3"/>
  <c r="U226" i="3"/>
  <c r="N227" i="3"/>
  <c r="V227" i="3"/>
  <c r="O228" i="3"/>
  <c r="P229" i="3"/>
  <c r="I230" i="3"/>
  <c r="Q230" i="3"/>
  <c r="R231" i="3"/>
  <c r="K232" i="3"/>
  <c r="S232" i="3"/>
  <c r="L233" i="3"/>
  <c r="T233" i="3"/>
  <c r="M234" i="3"/>
  <c r="U234" i="3"/>
  <c r="N235" i="3"/>
  <c r="V235" i="3"/>
  <c r="O236" i="3"/>
  <c r="P237" i="3"/>
  <c r="I238" i="3"/>
  <c r="Q238" i="3"/>
  <c r="R239" i="3"/>
  <c r="K223" i="3"/>
  <c r="S223" i="3"/>
  <c r="L224" i="3"/>
  <c r="T224" i="3"/>
  <c r="M225" i="3"/>
  <c r="U225" i="3"/>
  <c r="N226" i="3"/>
  <c r="V226" i="3"/>
  <c r="O227" i="3"/>
  <c r="P228" i="3"/>
  <c r="I229" i="3"/>
  <c r="Q229" i="3"/>
  <c r="R230" i="3"/>
  <c r="K231" i="3"/>
  <c r="S231" i="3"/>
  <c r="L232" i="3"/>
  <c r="T232" i="3"/>
  <c r="M233" i="3"/>
  <c r="U233" i="3"/>
  <c r="N234" i="3"/>
  <c r="V234" i="3"/>
  <c r="O235" i="3"/>
  <c r="P236" i="3"/>
  <c r="I237" i="3"/>
  <c r="Q237" i="3"/>
  <c r="R238" i="3"/>
  <c r="K239" i="3"/>
  <c r="S239" i="3"/>
  <c r="M223" i="3"/>
  <c r="U223" i="3"/>
  <c r="N224" i="3"/>
  <c r="V224" i="3"/>
  <c r="O225" i="3"/>
  <c r="P226" i="3"/>
  <c r="I227" i="3"/>
  <c r="Q227" i="3"/>
  <c r="R228" i="3"/>
  <c r="K229" i="3"/>
  <c r="S229" i="3"/>
  <c r="L230" i="3"/>
  <c r="T230" i="3"/>
  <c r="M231" i="3"/>
  <c r="U231" i="3"/>
  <c r="N232" i="3"/>
  <c r="V232" i="3"/>
  <c r="O233" i="3"/>
  <c r="P234" i="3"/>
  <c r="I235" i="3"/>
  <c r="Q235" i="3"/>
  <c r="R236" i="3"/>
  <c r="K237" i="3"/>
  <c r="S237" i="3"/>
  <c r="L238" i="3"/>
  <c r="T238" i="3"/>
  <c r="M239" i="3"/>
  <c r="U239" i="3"/>
  <c r="N223" i="3"/>
  <c r="V223" i="3"/>
  <c r="O224" i="3"/>
  <c r="P225" i="3"/>
  <c r="I226" i="3"/>
  <c r="Q226" i="3"/>
  <c r="R227" i="3"/>
  <c r="K228" i="3"/>
  <c r="S228" i="3"/>
  <c r="L229" i="3"/>
  <c r="T229" i="3"/>
  <c r="M230" i="3"/>
  <c r="U230" i="3"/>
  <c r="N231" i="3"/>
  <c r="V231" i="3"/>
  <c r="O232" i="3"/>
  <c r="P233" i="3"/>
  <c r="I234" i="3"/>
  <c r="Q234" i="3"/>
  <c r="R235" i="3"/>
  <c r="K236" i="3"/>
  <c r="S236" i="3"/>
  <c r="L237" i="3"/>
  <c r="T237" i="3"/>
  <c r="M238" i="3"/>
  <c r="U238" i="3"/>
  <c r="N239" i="3"/>
  <c r="V239" i="3"/>
  <c r="O223" i="3"/>
  <c r="P224" i="3"/>
  <c r="I225" i="3"/>
  <c r="Q225" i="3"/>
  <c r="R226" i="3"/>
  <c r="K227" i="3"/>
  <c r="S227" i="3"/>
  <c r="L228" i="3"/>
  <c r="T228" i="3"/>
  <c r="M229" i="3"/>
  <c r="U229" i="3"/>
  <c r="N230" i="3"/>
  <c r="V230" i="3"/>
  <c r="O231" i="3"/>
  <c r="P232" i="3"/>
  <c r="I233" i="3"/>
  <c r="Q233" i="3"/>
  <c r="R234" i="3"/>
  <c r="K235" i="3"/>
  <c r="S235" i="3"/>
  <c r="L236" i="3"/>
  <c r="T236" i="3"/>
  <c r="M237" i="3"/>
  <c r="U237" i="3"/>
  <c r="N238" i="3"/>
  <c r="V238" i="3"/>
  <c r="O239" i="3"/>
  <c r="P223" i="3"/>
  <c r="I224" i="3"/>
  <c r="Q224" i="3"/>
  <c r="R225" i="3"/>
  <c r="K226" i="3"/>
  <c r="S226" i="3"/>
  <c r="L227" i="3"/>
  <c r="T227" i="3"/>
  <c r="M228" i="3"/>
  <c r="U228" i="3"/>
  <c r="N229" i="3"/>
  <c r="V229" i="3"/>
  <c r="O230" i="3"/>
  <c r="P231" i="3"/>
  <c r="I232" i="3"/>
  <c r="Q232" i="3"/>
  <c r="R233" i="3"/>
  <c r="K234" i="3"/>
  <c r="S234" i="3"/>
  <c r="L235" i="3"/>
  <c r="T235" i="3"/>
  <c r="M236" i="3"/>
  <c r="U236" i="3"/>
  <c r="N237" i="3"/>
  <c r="V237" i="3"/>
  <c r="O238" i="3"/>
  <c r="P239" i="3"/>
  <c r="I223" i="3"/>
  <c r="Q223" i="3"/>
  <c r="R224" i="3"/>
  <c r="K225" i="3"/>
  <c r="S225" i="3"/>
  <c r="L226" i="3"/>
  <c r="T226" i="3"/>
  <c r="M227" i="3"/>
  <c r="U227" i="3"/>
  <c r="N228" i="3"/>
  <c r="V228" i="3"/>
  <c r="O229" i="3"/>
  <c r="P230" i="3"/>
  <c r="I231" i="3"/>
  <c r="Q231" i="3"/>
  <c r="R232" i="3"/>
  <c r="K233" i="3"/>
  <c r="S233" i="3"/>
  <c r="L234" i="3"/>
  <c r="T234" i="3"/>
  <c r="M235" i="3"/>
  <c r="U235" i="3"/>
  <c r="N236" i="3"/>
  <c r="V236" i="3"/>
  <c r="O237" i="3"/>
  <c r="P238" i="3"/>
  <c r="I239" i="3"/>
  <c r="Q239" i="3"/>
  <c r="AD192" i="2"/>
  <c r="AD129" i="2"/>
  <c r="AE126" i="2"/>
  <c r="AC200" i="2"/>
  <c r="AC136" i="2"/>
  <c r="AF173" i="2"/>
  <c r="AL198" i="2"/>
  <c r="AL145" i="2"/>
  <c r="AD156" i="2"/>
  <c r="AE196" i="2"/>
  <c r="AE139" i="2"/>
  <c r="AC155" i="2"/>
  <c r="AF210" i="2"/>
  <c r="AF137" i="2"/>
  <c r="AD172" i="2"/>
  <c r="AD133" i="2"/>
  <c r="AE189" i="2"/>
  <c r="AC196" i="2"/>
  <c r="AC132" i="2"/>
  <c r="AF154" i="2"/>
  <c r="AL216" i="2"/>
  <c r="AL143" i="2"/>
  <c r="AF145" i="2"/>
  <c r="AD183" i="2"/>
  <c r="AE201" i="2"/>
  <c r="AE163" i="2"/>
  <c r="AC151" i="2"/>
  <c r="AF186" i="2"/>
  <c r="AF149" i="2"/>
  <c r="AL177" i="2"/>
  <c r="AL212" i="2"/>
  <c r="AD199" i="2"/>
  <c r="AD134" i="2"/>
  <c r="AE193" i="2"/>
  <c r="AE170" i="2"/>
  <c r="AC149" i="2"/>
  <c r="AF184" i="2"/>
  <c r="AF147" i="2"/>
  <c r="AL160" i="2"/>
  <c r="AD196" i="2"/>
  <c r="AE197" i="2"/>
  <c r="AE118" i="2"/>
  <c r="AC174" i="2"/>
  <c r="AC122" i="2"/>
  <c r="AL213" i="2"/>
  <c r="AD164" i="2"/>
  <c r="AD123" i="2"/>
  <c r="AE130" i="2"/>
  <c r="AC204" i="2"/>
  <c r="AC140" i="2"/>
  <c r="AF162" i="2"/>
  <c r="AL190" i="2"/>
  <c r="AL129" i="2"/>
  <c r="AF153" i="2"/>
  <c r="AD191" i="2"/>
  <c r="AE209" i="2"/>
  <c r="AE122" i="2"/>
  <c r="AC191" i="2"/>
  <c r="AC119" i="2"/>
  <c r="AF128" i="2"/>
  <c r="AL172" i="2"/>
  <c r="AL153" i="2"/>
  <c r="AL181" i="2"/>
  <c r="AD50" i="2"/>
  <c r="AE100" i="2"/>
  <c r="AE34" i="2"/>
  <c r="AC117" i="2"/>
  <c r="AC19" i="2"/>
  <c r="AF32" i="2"/>
  <c r="AL104" i="2"/>
  <c r="AL23" i="2"/>
  <c r="AD113" i="2"/>
  <c r="AD32" i="2"/>
  <c r="AE98" i="2"/>
  <c r="AE25" i="2"/>
  <c r="AC62" i="2"/>
  <c r="AF98" i="2"/>
  <c r="AF26" i="2"/>
  <c r="AL76" i="2"/>
  <c r="AL78" i="2"/>
  <c r="AD95" i="2"/>
  <c r="AD33" i="2"/>
  <c r="AE51" i="2"/>
  <c r="AC95" i="2"/>
  <c r="AC51" i="2"/>
  <c r="AF67" i="2"/>
  <c r="AL95" i="2"/>
  <c r="AL45" i="2"/>
  <c r="AF87" i="2"/>
  <c r="AD76" i="2"/>
  <c r="AE110" i="2"/>
  <c r="AE31" i="2"/>
  <c r="AC88" i="2"/>
  <c r="AC30" i="2"/>
  <c r="AF21" i="2"/>
  <c r="AL98" i="2"/>
  <c r="AL79" i="2"/>
  <c r="AF39" i="2"/>
  <c r="AD78" i="2"/>
  <c r="AE108" i="2"/>
  <c r="AE64" i="2"/>
  <c r="AC72" i="2"/>
  <c r="AF108" i="2"/>
  <c r="AF56" i="2"/>
  <c r="AL80" i="2"/>
  <c r="AL26" i="2"/>
  <c r="AF64" i="2"/>
  <c r="AD40" i="2"/>
  <c r="AE77" i="2"/>
  <c r="AE46" i="2"/>
  <c r="AC77" i="2"/>
  <c r="AF107" i="2"/>
  <c r="AF60" i="2"/>
  <c r="AL64" i="2"/>
  <c r="AD73" i="2"/>
  <c r="AE75" i="2"/>
  <c r="AE29" i="2"/>
  <c r="AC36" i="2"/>
  <c r="AF104" i="2"/>
  <c r="AF42" i="2"/>
  <c r="AL66" i="2"/>
  <c r="AD71" i="2"/>
  <c r="AL35" i="2"/>
  <c r="AD55" i="2"/>
  <c r="AL67" i="2"/>
  <c r="AD122" i="2"/>
  <c r="AE178" i="2"/>
  <c r="AD176" i="2"/>
  <c r="AD137" i="2"/>
  <c r="AE171" i="2"/>
  <c r="AC184" i="2"/>
  <c r="AC168" i="2"/>
  <c r="AF158" i="2"/>
  <c r="AL183" i="2"/>
  <c r="AD217" i="2"/>
  <c r="AD140" i="2"/>
  <c r="AE184" i="2"/>
  <c r="AE161" i="2"/>
  <c r="AC139" i="2"/>
  <c r="AF194" i="2"/>
  <c r="AL194" i="2"/>
  <c r="AD185" i="2"/>
  <c r="AE203" i="2"/>
  <c r="AE165" i="2"/>
  <c r="AC180" i="2"/>
  <c r="AC165" i="2"/>
  <c r="AF138" i="2"/>
  <c r="AL208" i="2"/>
  <c r="AL118" i="2"/>
  <c r="AL176" i="2"/>
  <c r="AD167" i="2"/>
  <c r="AE208" i="2"/>
  <c r="AE131" i="2"/>
  <c r="AC135" i="2"/>
  <c r="AF199" i="2"/>
  <c r="AF133" i="2"/>
  <c r="AL200" i="2"/>
  <c r="AL162" i="2"/>
  <c r="AD210" i="2"/>
  <c r="AD189" i="2"/>
  <c r="AE207" i="2"/>
  <c r="AE121" i="2"/>
  <c r="AC187" i="2"/>
  <c r="AF217" i="2"/>
  <c r="AF142" i="2"/>
  <c r="AL138" i="2"/>
  <c r="AD205" i="2"/>
  <c r="AD120" i="2"/>
  <c r="AE214" i="2"/>
  <c r="AE125" i="2"/>
  <c r="AC123" i="2"/>
  <c r="AF190" i="2"/>
  <c r="AL165" i="2"/>
  <c r="AD169" i="2"/>
  <c r="AE210" i="2"/>
  <c r="AE167" i="2"/>
  <c r="AC179" i="2"/>
  <c r="AF213" i="2"/>
  <c r="AF122" i="2"/>
  <c r="AL182" i="2"/>
  <c r="AL141" i="2"/>
  <c r="AL173" i="2"/>
  <c r="AD152" i="2"/>
  <c r="AE180" i="2"/>
  <c r="AE153" i="2"/>
  <c r="AC169" i="2"/>
  <c r="AF183" i="2"/>
  <c r="AF167" i="2"/>
  <c r="AL148" i="2"/>
  <c r="AL135" i="2"/>
  <c r="AD184" i="2"/>
  <c r="AD139" i="2"/>
  <c r="AE213" i="2"/>
  <c r="AC217" i="2"/>
  <c r="AC166" i="2"/>
  <c r="AF181" i="2"/>
  <c r="AL202" i="2"/>
  <c r="AD197" i="2"/>
  <c r="AD132" i="2"/>
  <c r="AE192" i="2"/>
  <c r="AE187" i="2"/>
  <c r="AC147" i="2"/>
  <c r="AF214" i="2"/>
  <c r="AL144" i="2"/>
  <c r="AD177" i="2"/>
  <c r="AE195" i="2"/>
  <c r="AE127" i="2"/>
  <c r="AC214" i="2"/>
  <c r="AC170" i="2"/>
  <c r="AF130" i="2"/>
  <c r="AL206" i="2"/>
  <c r="AL121" i="2"/>
  <c r="AL168" i="2"/>
  <c r="AD160" i="2"/>
  <c r="AE188" i="2"/>
  <c r="AE119" i="2"/>
  <c r="AC143" i="2"/>
  <c r="AF205" i="2"/>
  <c r="AF157" i="2"/>
  <c r="AL185" i="2"/>
  <c r="AL197" i="2"/>
  <c r="AD99" i="2"/>
  <c r="AD69" i="2"/>
  <c r="AE91" i="2"/>
  <c r="AE36" i="2"/>
  <c r="AC48" i="2"/>
  <c r="AF84" i="2"/>
  <c r="AF36" i="2"/>
  <c r="AL62" i="2"/>
  <c r="AL71" i="2"/>
  <c r="AD81" i="2"/>
  <c r="AD51" i="2"/>
  <c r="AE101" i="2"/>
  <c r="AE20" i="2"/>
  <c r="AC81" i="2"/>
  <c r="AF99" i="2"/>
  <c r="AF70" i="2"/>
  <c r="AL44" i="2"/>
  <c r="AE52" i="2"/>
  <c r="AD98" i="2"/>
  <c r="AD26" i="2"/>
  <c r="AE44" i="2"/>
  <c r="AC90" i="2"/>
  <c r="AC31" i="2"/>
  <c r="AF27" i="2"/>
  <c r="AL84" i="2"/>
  <c r="AL89" i="2"/>
  <c r="AL20" i="2"/>
  <c r="AD44" i="2"/>
  <c r="AE87" i="2"/>
  <c r="AE93" i="2"/>
  <c r="AC58" i="2"/>
  <c r="AF94" i="2"/>
  <c r="AF22" i="2"/>
  <c r="AL72" i="2"/>
  <c r="AL94" i="2"/>
  <c r="AL32" i="2"/>
  <c r="AD58" i="2"/>
  <c r="AE113" i="2"/>
  <c r="AE27" i="2"/>
  <c r="AC40" i="2"/>
  <c r="AF109" i="2"/>
  <c r="AF76" i="2"/>
  <c r="AL54" i="2"/>
  <c r="AL39" i="2"/>
  <c r="AD105" i="2"/>
  <c r="AD59" i="2"/>
  <c r="AE45" i="2"/>
  <c r="AC89" i="2"/>
  <c r="AC45" i="2"/>
  <c r="AF77" i="2"/>
  <c r="AL68" i="2"/>
  <c r="AD87" i="2"/>
  <c r="AD41" i="2"/>
  <c r="AE43" i="2"/>
  <c r="AC87" i="2"/>
  <c r="AC59" i="2"/>
  <c r="AF105" i="2"/>
  <c r="AF46" i="2"/>
  <c r="AL34" i="2"/>
  <c r="AE57" i="2"/>
  <c r="AD85" i="2"/>
  <c r="AD27" i="2"/>
  <c r="AF93" i="2"/>
  <c r="AF40" i="2"/>
  <c r="AL38" i="2"/>
  <c r="AD173" i="2"/>
  <c r="AE198" i="2"/>
  <c r="AE143" i="2"/>
  <c r="AC157" i="2"/>
  <c r="AF212" i="2"/>
  <c r="AF126" i="2"/>
  <c r="AL149" i="2"/>
  <c r="AD214" i="2"/>
  <c r="AD151" i="2"/>
  <c r="AE156" i="2"/>
  <c r="AC209" i="2"/>
  <c r="AC173" i="2"/>
  <c r="AF174" i="2"/>
  <c r="AL123" i="2"/>
  <c r="AD154" i="2"/>
  <c r="AE194" i="2"/>
  <c r="AE135" i="2"/>
  <c r="AC153" i="2"/>
  <c r="AF208" i="2"/>
  <c r="AF207" i="2"/>
  <c r="AL166" i="2"/>
  <c r="AL178" i="2"/>
  <c r="AL131" i="2"/>
  <c r="AD136" i="2"/>
  <c r="AE169" i="2"/>
  <c r="AC205" i="2"/>
  <c r="AC162" i="2"/>
  <c r="AF169" i="2"/>
  <c r="AL207" i="2"/>
  <c r="AL132" i="2"/>
  <c r="AL133" i="2"/>
  <c r="AD168" i="2"/>
  <c r="AD125" i="2"/>
  <c r="AE150" i="2"/>
  <c r="AC203" i="2"/>
  <c r="AC160" i="2"/>
  <c r="AF211" i="2"/>
  <c r="AL191" i="2"/>
  <c r="AD204" i="2"/>
  <c r="AD121" i="2"/>
  <c r="AE176" i="2"/>
  <c r="AE145" i="2"/>
  <c r="AC131" i="2"/>
  <c r="AF182" i="2"/>
  <c r="AL126" i="2"/>
  <c r="AD162" i="2"/>
  <c r="AE202" i="2"/>
  <c r="AE151" i="2"/>
  <c r="AC161" i="2"/>
  <c r="AF200" i="2"/>
  <c r="AF195" i="2"/>
  <c r="AL187" i="2"/>
  <c r="AL214" i="2"/>
  <c r="AL136" i="2"/>
  <c r="AD144" i="2"/>
  <c r="AE172" i="2"/>
  <c r="AE137" i="2"/>
  <c r="AC127" i="2"/>
  <c r="AF178" i="2"/>
  <c r="AF141" i="2"/>
  <c r="AL169" i="2"/>
  <c r="AL170" i="2"/>
  <c r="AD83" i="2"/>
  <c r="AD53" i="2"/>
  <c r="AE71" i="2"/>
  <c r="AE19" i="2"/>
  <c r="AC32" i="2"/>
  <c r="AF101" i="2"/>
  <c r="AF33" i="2"/>
  <c r="AL46" i="2"/>
  <c r="AE28" i="2"/>
  <c r="AD100" i="2"/>
  <c r="AD35" i="2"/>
  <c r="AE69" i="2"/>
  <c r="AC113" i="2"/>
  <c r="AC69" i="2"/>
  <c r="AF83" i="2"/>
  <c r="AL113" i="2"/>
  <c r="AL63" i="2"/>
  <c r="AC66" i="2"/>
  <c r="AD82" i="2"/>
  <c r="AE112" i="2"/>
  <c r="AE40" i="2"/>
  <c r="AC76" i="2"/>
  <c r="AF112" i="2"/>
  <c r="AF74" i="2"/>
  <c r="AL74" i="2"/>
  <c r="AL52" i="2"/>
  <c r="AD109" i="2"/>
  <c r="AD79" i="2"/>
  <c r="AE79" i="2"/>
  <c r="AE76" i="2"/>
  <c r="AC42" i="2"/>
  <c r="AF111" i="2"/>
  <c r="AF47" i="2"/>
  <c r="AL56" i="2"/>
  <c r="AL36" i="2"/>
  <c r="AD107" i="2"/>
  <c r="AD42" i="2"/>
  <c r="AE78" i="2"/>
  <c r="AE60" i="2"/>
  <c r="AC79" i="2"/>
  <c r="AD158" i="2"/>
  <c r="AE186" i="2"/>
  <c r="AE175" i="2"/>
  <c r="AC141" i="2"/>
  <c r="AF196" i="2"/>
  <c r="AF193" i="2"/>
  <c r="AF165" i="2"/>
  <c r="AD190" i="2"/>
  <c r="AD124" i="2"/>
  <c r="AE140" i="2"/>
  <c r="AC193" i="2"/>
  <c r="AC150" i="2"/>
  <c r="AF187" i="2"/>
  <c r="AD216" i="2"/>
  <c r="AD138" i="2"/>
  <c r="AE182" i="2"/>
  <c r="AE157" i="2"/>
  <c r="AC137" i="2"/>
  <c r="AF188" i="2"/>
  <c r="AF151" i="2"/>
  <c r="AL179" i="2"/>
  <c r="AL175" i="2"/>
  <c r="AD201" i="2"/>
  <c r="AD127" i="2"/>
  <c r="AE152" i="2"/>
  <c r="AC210" i="2"/>
  <c r="AC146" i="2"/>
  <c r="AF152" i="2"/>
  <c r="AL217" i="2"/>
  <c r="AL139" i="2"/>
  <c r="AF164" i="2"/>
  <c r="AD194" i="2"/>
  <c r="AD149" i="2"/>
  <c r="AE134" i="2"/>
  <c r="AC208" i="2"/>
  <c r="AC144" i="2"/>
  <c r="AF150" i="2"/>
  <c r="AL128" i="2"/>
  <c r="AD182" i="2"/>
  <c r="AD135" i="2"/>
  <c r="AE166" i="2"/>
  <c r="AC215" i="2"/>
  <c r="AC189" i="2"/>
  <c r="AF203" i="2"/>
  <c r="AD211" i="2"/>
  <c r="AD146" i="2"/>
  <c r="AE190" i="2"/>
  <c r="AE129" i="2"/>
  <c r="AC145" i="2"/>
  <c r="AF216" i="2"/>
  <c r="AF159" i="2"/>
  <c r="AL171" i="2"/>
  <c r="AL186" i="2"/>
  <c r="AL119" i="2"/>
  <c r="AD212" i="2"/>
  <c r="AE160" i="2"/>
  <c r="AC216" i="2"/>
  <c r="AC181" i="2"/>
  <c r="AF191" i="2"/>
  <c r="AF125" i="2"/>
  <c r="AL156" i="2"/>
  <c r="AL154" i="2"/>
  <c r="AD102" i="2"/>
  <c r="AD37" i="2"/>
  <c r="AE55" i="2"/>
  <c r="AC99" i="2"/>
  <c r="AC71" i="2"/>
  <c r="AF85" i="2"/>
  <c r="AF19" i="2"/>
  <c r="AL30" i="2"/>
  <c r="AC96" i="2"/>
  <c r="AD84" i="2"/>
  <c r="AD23" i="2"/>
  <c r="AE53" i="2"/>
  <c r="AC97" i="2"/>
  <c r="AC53" i="2"/>
  <c r="AF69" i="2"/>
  <c r="AL97" i="2"/>
  <c r="AL47" i="2"/>
  <c r="AF41" i="2"/>
  <c r="AD62" i="2"/>
  <c r="AE96" i="2"/>
  <c r="AE83" i="2"/>
  <c r="AC60" i="2"/>
  <c r="AF96" i="2"/>
  <c r="AF24" i="2"/>
  <c r="AL58" i="2"/>
  <c r="AL29" i="2"/>
  <c r="AD93" i="2"/>
  <c r="AD63" i="2"/>
  <c r="AE65" i="2"/>
  <c r="AC109" i="2"/>
  <c r="AC80" i="2"/>
  <c r="AF95" i="2"/>
  <c r="AF43" i="2"/>
  <c r="AL40" i="2"/>
  <c r="AL24" i="2"/>
  <c r="AD91" i="2"/>
  <c r="AD77" i="2"/>
  <c r="AE63" i="2"/>
  <c r="AC107" i="2"/>
  <c r="AC63" i="2"/>
  <c r="AF78" i="2"/>
  <c r="AL107" i="2"/>
  <c r="AL73" i="2"/>
  <c r="AE107" i="2"/>
  <c r="AD108" i="2"/>
  <c r="AE106" i="2"/>
  <c r="AE99" i="2"/>
  <c r="AC84" i="2"/>
  <c r="AC26" i="2"/>
  <c r="AF68" i="2"/>
  <c r="AC101" i="2"/>
  <c r="AD90" i="2"/>
  <c r="AE104" i="2"/>
  <c r="AE68" i="2"/>
  <c r="AC98" i="2"/>
  <c r="AC25" i="2"/>
  <c r="AF75" i="2"/>
  <c r="AL103" i="2"/>
  <c r="AL53" i="2"/>
  <c r="AC50" i="2"/>
  <c r="AD88" i="2"/>
  <c r="AE89" i="2"/>
  <c r="AF171" i="2"/>
  <c r="AD203" i="2"/>
  <c r="AD142" i="2"/>
  <c r="AE216" i="2"/>
  <c r="AE133" i="2"/>
  <c r="AC125" i="2"/>
  <c r="AF192" i="2"/>
  <c r="AF155" i="2"/>
  <c r="AL211" i="2"/>
  <c r="AD174" i="2"/>
  <c r="AD153" i="2"/>
  <c r="AE124" i="2"/>
  <c r="AC198" i="2"/>
  <c r="AC134" i="2"/>
  <c r="AD207" i="2"/>
  <c r="AD126" i="2"/>
  <c r="AE158" i="2"/>
  <c r="AC211" i="2"/>
  <c r="AC177" i="2"/>
  <c r="AF176" i="2"/>
  <c r="AF139" i="2"/>
  <c r="AL184" i="2"/>
  <c r="AD187" i="2"/>
  <c r="AE205" i="2"/>
  <c r="AE168" i="2"/>
  <c r="AC182" i="2"/>
  <c r="AC172" i="2"/>
  <c r="AF156" i="2"/>
  <c r="AD213" i="2"/>
  <c r="AD147" i="2"/>
  <c r="AE154" i="2"/>
  <c r="AC207" i="2"/>
  <c r="AC164" i="2"/>
  <c r="AF185" i="2"/>
  <c r="AF119" i="2"/>
  <c r="AL150" i="2"/>
  <c r="AL120" i="2"/>
  <c r="AD170" i="2"/>
  <c r="AD130" i="2"/>
  <c r="AE185" i="2"/>
  <c r="AC178" i="2"/>
  <c r="AC120" i="2"/>
  <c r="AF120" i="2"/>
  <c r="AL164" i="2"/>
  <c r="AL137" i="2"/>
  <c r="AL189" i="2"/>
  <c r="AD165" i="2"/>
  <c r="AE199" i="2"/>
  <c r="AE120" i="2"/>
  <c r="AC176" i="2"/>
  <c r="AC118" i="2"/>
  <c r="AF118" i="2"/>
  <c r="AF129" i="2"/>
  <c r="AD202" i="2"/>
  <c r="AD157" i="2"/>
  <c r="AE132" i="2"/>
  <c r="AC206" i="2"/>
  <c r="AC142" i="2"/>
  <c r="AF166" i="2"/>
  <c r="AD193" i="2"/>
  <c r="AD163" i="2"/>
  <c r="AE162" i="2"/>
  <c r="AC213" i="2"/>
  <c r="AC185" i="2"/>
  <c r="AF197" i="2"/>
  <c r="AF127" i="2"/>
  <c r="AL142" i="2"/>
  <c r="AL151" i="2"/>
  <c r="AD198" i="2"/>
  <c r="AD128" i="2"/>
  <c r="AE128" i="2"/>
  <c r="AC202" i="2"/>
  <c r="AC138" i="2"/>
  <c r="AF160" i="2"/>
  <c r="AL199" i="2"/>
  <c r="AL155" i="2"/>
  <c r="AF124" i="2"/>
  <c r="AD117" i="2"/>
  <c r="AD30" i="2"/>
  <c r="AE74" i="2"/>
  <c r="AC110" i="2"/>
  <c r="AC39" i="2"/>
  <c r="AF55" i="2"/>
  <c r="AL83" i="2"/>
  <c r="AL49" i="2"/>
  <c r="AF57" i="2"/>
  <c r="AD64" i="2"/>
  <c r="AE116" i="2"/>
  <c r="AE58" i="2"/>
  <c r="AC92" i="2"/>
  <c r="AC20" i="2"/>
  <c r="AF34" i="2"/>
  <c r="AL102" i="2"/>
  <c r="AL21" i="2"/>
  <c r="AL51" i="2"/>
  <c r="AD65" i="2"/>
  <c r="AE85" i="2"/>
  <c r="AE21" i="2"/>
  <c r="AC78" i="2"/>
  <c r="AF97" i="2"/>
  <c r="AF54" i="2"/>
  <c r="AL77" i="2"/>
  <c r="AC112" i="2"/>
  <c r="AD96" i="2"/>
  <c r="AD31" i="2"/>
  <c r="AE111" i="2"/>
  <c r="AC116" i="2"/>
  <c r="AC49" i="2"/>
  <c r="AF65" i="2"/>
  <c r="AL93" i="2"/>
  <c r="AL59" i="2"/>
  <c r="AC41" i="2"/>
  <c r="AD110" i="2"/>
  <c r="AD45" i="2"/>
  <c r="AE95" i="2"/>
  <c r="AC102" i="2"/>
  <c r="AC29" i="2"/>
  <c r="AF80" i="2"/>
  <c r="AL112" i="2"/>
  <c r="AL41" i="2"/>
  <c r="AC34" i="2"/>
  <c r="AD72" i="2"/>
  <c r="AE117" i="2"/>
  <c r="AE42" i="2"/>
  <c r="AC54" i="2"/>
  <c r="AF106" i="2"/>
  <c r="AF45" i="2"/>
  <c r="AF73" i="2"/>
  <c r="AD54" i="2"/>
  <c r="AE115" i="2"/>
  <c r="AE30" i="2"/>
  <c r="AC68" i="2"/>
  <c r="AF116" i="2"/>
  <c r="AF52" i="2"/>
  <c r="AL108" i="2"/>
  <c r="AL27" i="2"/>
  <c r="AF30" i="2"/>
  <c r="AD52" i="2"/>
  <c r="AC57" i="2"/>
  <c r="AD215" i="2"/>
  <c r="AD155" i="2"/>
  <c r="AE142" i="2"/>
  <c r="AC195" i="2"/>
  <c r="AC152" i="2"/>
  <c r="AF189" i="2"/>
  <c r="AF123" i="2"/>
  <c r="AL152" i="2"/>
  <c r="AD171" i="2"/>
  <c r="AE212" i="2"/>
  <c r="AE183" i="2"/>
  <c r="AC183" i="2"/>
  <c r="AF215" i="2"/>
  <c r="AF140" i="2"/>
  <c r="AD188" i="2"/>
  <c r="AD119" i="2"/>
  <c r="AE138" i="2"/>
  <c r="AC212" i="2"/>
  <c r="AC148" i="2"/>
  <c r="AF201" i="2"/>
  <c r="AL209" i="2"/>
  <c r="AL134" i="2"/>
  <c r="AF132" i="2"/>
  <c r="AD208" i="2"/>
  <c r="AD145" i="2"/>
  <c r="AE179" i="2"/>
  <c r="AC175" i="2"/>
  <c r="AF206" i="2"/>
  <c r="AF170" i="2"/>
  <c r="AL210" i="2"/>
  <c r="AL205" i="2"/>
  <c r="AL163" i="2"/>
  <c r="AD150" i="2"/>
  <c r="AE206" i="2"/>
  <c r="AC167" i="2"/>
  <c r="AF204" i="2"/>
  <c r="AF163" i="2"/>
  <c r="AL192" i="2"/>
  <c r="AD118" i="2"/>
  <c r="AD186" i="2"/>
  <c r="AL203" i="2"/>
  <c r="AC128" i="2"/>
  <c r="AD148" i="2"/>
  <c r="AC190" i="2"/>
  <c r="AD195" i="2"/>
  <c r="AE173" i="2"/>
  <c r="AF177" i="2"/>
  <c r="AL167" i="2"/>
  <c r="AE200" i="2"/>
  <c r="AC171" i="2"/>
  <c r="AL140" i="2"/>
  <c r="AD34" i="2"/>
  <c r="AC94" i="2"/>
  <c r="AL99" i="2"/>
  <c r="AD97" i="2"/>
  <c r="AE54" i="2"/>
  <c r="AF53" i="2"/>
  <c r="AL55" i="2"/>
  <c r="AE67" i="2"/>
  <c r="AF113" i="2"/>
  <c r="AL117" i="2"/>
  <c r="AD24" i="2"/>
  <c r="AC65" i="2"/>
  <c r="AL82" i="2"/>
  <c r="AD94" i="2"/>
  <c r="AC91" i="2"/>
  <c r="AF23" i="2"/>
  <c r="AE50" i="2"/>
  <c r="AE90" i="2"/>
  <c r="AC70" i="2"/>
  <c r="AF62" i="2"/>
  <c r="AD70" i="2"/>
  <c r="AE48" i="2"/>
  <c r="AC24" i="2"/>
  <c r="AL87" i="2"/>
  <c r="AF86" i="2"/>
  <c r="AC85" i="2"/>
  <c r="AE191" i="2"/>
  <c r="AD143" i="2"/>
  <c r="AD181" i="2"/>
  <c r="AF209" i="2"/>
  <c r="AD161" i="2"/>
  <c r="AC163" i="2"/>
  <c r="AD180" i="2"/>
  <c r="AE141" i="2"/>
  <c r="AF146" i="2"/>
  <c r="AL127" i="2"/>
  <c r="AE144" i="2"/>
  <c r="AF198" i="2"/>
  <c r="AL124" i="2"/>
  <c r="AD25" i="2"/>
  <c r="AC64" i="2"/>
  <c r="AL116" i="2"/>
  <c r="AD115" i="2"/>
  <c r="AE24" i="2"/>
  <c r="AF29" i="2"/>
  <c r="AL106" i="2"/>
  <c r="AE35" i="2"/>
  <c r="AF81" i="2"/>
  <c r="AE32" i="2"/>
  <c r="AE94" i="2"/>
  <c r="AC33" i="2"/>
  <c r="AL75" i="2"/>
  <c r="AD74" i="2"/>
  <c r="AC86" i="2"/>
  <c r="AL91" i="2"/>
  <c r="AF103" i="2"/>
  <c r="AE97" i="2"/>
  <c r="AC38" i="2"/>
  <c r="AF66" i="2"/>
  <c r="AD38" i="2"/>
  <c r="AE66" i="2"/>
  <c r="AF115" i="2"/>
  <c r="AL92" i="2"/>
  <c r="AL90" i="2"/>
  <c r="AF35" i="2"/>
  <c r="AC47" i="2"/>
  <c r="AC46" i="2"/>
  <c r="AC28" i="2"/>
  <c r="AF117" i="2"/>
  <c r="AC82" i="2"/>
  <c r="AD68" i="2"/>
  <c r="AL25" i="2"/>
  <c r="AD47" i="2"/>
  <c r="AE123" i="2"/>
  <c r="AE136" i="2"/>
  <c r="AE217" i="2"/>
  <c r="AF134" i="2"/>
  <c r="AE215" i="2"/>
  <c r="AC158" i="2"/>
  <c r="AD206" i="2"/>
  <c r="AC199" i="2"/>
  <c r="AF143" i="2"/>
  <c r="AL195" i="2"/>
  <c r="AE164" i="2"/>
  <c r="AF175" i="2"/>
  <c r="AL122" i="2"/>
  <c r="AD19" i="2"/>
  <c r="AC55" i="2"/>
  <c r="AL88" i="2"/>
  <c r="AD48" i="2"/>
  <c r="AC108" i="2"/>
  <c r="AF20" i="2"/>
  <c r="AD111" i="2"/>
  <c r="AE22" i="2"/>
  <c r="AF51" i="2"/>
  <c r="AC22" i="2"/>
  <c r="AE49" i="2"/>
  <c r="AF110" i="2"/>
  <c r="AL43" i="2"/>
  <c r="AD61" i="2"/>
  <c r="AC56" i="2"/>
  <c r="AL96" i="2"/>
  <c r="AL48" i="2"/>
  <c r="AE61" i="2"/>
  <c r="AC61" i="2"/>
  <c r="AF31" i="2"/>
  <c r="AD57" i="2"/>
  <c r="AC103" i="2"/>
  <c r="AF88" i="2"/>
  <c r="AL50" i="2"/>
  <c r="AD101" i="2"/>
  <c r="AL28" i="2"/>
  <c r="AD89" i="2"/>
  <c r="AC27" i="2"/>
  <c r="AD29" i="2"/>
  <c r="AC114" i="2"/>
  <c r="AD104" i="2"/>
  <c r="AC129" i="2"/>
  <c r="AC197" i="2"/>
  <c r="AL33" i="2"/>
  <c r="AC106" i="2"/>
  <c r="AE41" i="2"/>
  <c r="AE62" i="2"/>
  <c r="AE88" i="2"/>
  <c r="AF59" i="2"/>
  <c r="AD66" i="2"/>
  <c r="AE37" i="2"/>
  <c r="AL105" i="2"/>
  <c r="AL61" i="2"/>
  <c r="AD116" i="2"/>
  <c r="AF44" i="2"/>
  <c r="AC100" i="2"/>
  <c r="AF37" i="2"/>
  <c r="AC121" i="2"/>
  <c r="AC194" i="2"/>
  <c r="AE181" i="2"/>
  <c r="AF131" i="2"/>
  <c r="AE204" i="2"/>
  <c r="AC126" i="2"/>
  <c r="AD200" i="2"/>
  <c r="AC188" i="2"/>
  <c r="AL201" i="2"/>
  <c r="AD209" i="2"/>
  <c r="AE147" i="2"/>
  <c r="AF144" i="2"/>
  <c r="AL130" i="2"/>
  <c r="AE84" i="2"/>
  <c r="AC21" i="2"/>
  <c r="AL65" i="2"/>
  <c r="AD67" i="2"/>
  <c r="AC115" i="2"/>
  <c r="AL81" i="2"/>
  <c r="AD114" i="2"/>
  <c r="AC111" i="2"/>
  <c r="AF58" i="2"/>
  <c r="AF25" i="2"/>
  <c r="AE33" i="2"/>
  <c r="AF79" i="2"/>
  <c r="AD22" i="2"/>
  <c r="AL70" i="2"/>
  <c r="AE80" i="2"/>
  <c r="AE73" i="2"/>
  <c r="AF89" i="2"/>
  <c r="AL69" i="2"/>
  <c r="AL174" i="2"/>
  <c r="AF121" i="2"/>
  <c r="AF100" i="2"/>
  <c r="AL86" i="2"/>
  <c r="AL111" i="2"/>
  <c r="AE72" i="2"/>
  <c r="AE92" i="2"/>
  <c r="AD92" i="2"/>
  <c r="AC73" i="2"/>
  <c r="AL37" i="2"/>
  <c r="AC83" i="2"/>
  <c r="AE103" i="2"/>
  <c r="AC74" i="2"/>
  <c r="AE56" i="2"/>
  <c r="AD43" i="2"/>
  <c r="AD106" i="2"/>
  <c r="AE105" i="2"/>
  <c r="AE23" i="2"/>
  <c r="AF172" i="2"/>
  <c r="AC130" i="2"/>
  <c r="AE159" i="2"/>
  <c r="AF148" i="2"/>
  <c r="AE148" i="2"/>
  <c r="AF202" i="2"/>
  <c r="AD131" i="2"/>
  <c r="AD178" i="2"/>
  <c r="AF168" i="2"/>
  <c r="AE39" i="2"/>
  <c r="AD28" i="2"/>
  <c r="AD46" i="2"/>
  <c r="AD112" i="2"/>
  <c r="AF49" i="2"/>
  <c r="AL57" i="2"/>
  <c r="AF135" i="2"/>
  <c r="AF136" i="2"/>
  <c r="AE149" i="2"/>
  <c r="AL161" i="2"/>
  <c r="AE177" i="2"/>
  <c r="AF179" i="2"/>
  <c r="AE211" i="2"/>
  <c r="AC156" i="2"/>
  <c r="AL158" i="2"/>
  <c r="AD175" i="2"/>
  <c r="AC186" i="2"/>
  <c r="AL215" i="2"/>
  <c r="AL147" i="2"/>
  <c r="AE38" i="2"/>
  <c r="AF71" i="2"/>
  <c r="AL19" i="2"/>
  <c r="AE114" i="2"/>
  <c r="AC37" i="2"/>
  <c r="AL60" i="2"/>
  <c r="AD49" i="2"/>
  <c r="AC44" i="2"/>
  <c r="AL100" i="2"/>
  <c r="AD80" i="2"/>
  <c r="AC93" i="2"/>
  <c r="AF72" i="2"/>
  <c r="AF102" i="2"/>
  <c r="AE47" i="2"/>
  <c r="AF92" i="2"/>
  <c r="AL115" i="2"/>
  <c r="AD56" i="2"/>
  <c r="AE109" i="2"/>
  <c r="AF90" i="2"/>
  <c r="AL101" i="2"/>
  <c r="AE81" i="2"/>
  <c r="AC52" i="2"/>
  <c r="AF48" i="2"/>
  <c r="AL22" i="2"/>
  <c r="AD36" i="2"/>
  <c r="AF91" i="2"/>
  <c r="AD103" i="2"/>
  <c r="AE59" i="2"/>
  <c r="AC75" i="2"/>
  <c r="AF50" i="2"/>
  <c r="AE102" i="2"/>
  <c r="AD39" i="2"/>
  <c r="AL146" i="2"/>
  <c r="AL204" i="2"/>
  <c r="AL180" i="2"/>
  <c r="AC192" i="2"/>
  <c r="AD166" i="2"/>
  <c r="AE155" i="2"/>
  <c r="AF161" i="2"/>
  <c r="AE174" i="2"/>
  <c r="AC124" i="2"/>
  <c r="AL159" i="2"/>
  <c r="AD159" i="2"/>
  <c r="AC159" i="2"/>
  <c r="AL188" i="2"/>
  <c r="AD86" i="2"/>
  <c r="AE26" i="2"/>
  <c r="AF38" i="2"/>
  <c r="AC23" i="2"/>
  <c r="AE82" i="2"/>
  <c r="AF114" i="2"/>
  <c r="AL31" i="2"/>
  <c r="AD21" i="2"/>
  <c r="AC67" i="2"/>
  <c r="AL42" i="2"/>
  <c r="AD60" i="2"/>
  <c r="AC104" i="2"/>
  <c r="AL109" i="2"/>
  <c r="AL85" i="2"/>
  <c r="AE70" i="2"/>
  <c r="AF63" i="2"/>
  <c r="AL110" i="2"/>
  <c r="AD75" i="2"/>
  <c r="AC105" i="2"/>
  <c r="AL125" i="2"/>
  <c r="AC133" i="2"/>
  <c r="AD179" i="2"/>
  <c r="AC201" i="2"/>
  <c r="AL196" i="2"/>
  <c r="AE146" i="2"/>
  <c r="AF180" i="2"/>
  <c r="AL157" i="2"/>
  <c r="AD141" i="2"/>
  <c r="AC154" i="2"/>
  <c r="AL193" i="2"/>
  <c r="AF28" i="2"/>
  <c r="AF82" i="2"/>
  <c r="AC35" i="2"/>
  <c r="AL114" i="2"/>
  <c r="AE86" i="2"/>
  <c r="AF61" i="2"/>
  <c r="AC43" i="2"/>
  <c r="AD20" i="2"/>
  <c r="AJ196" i="2"/>
  <c r="AJ120" i="2"/>
  <c r="AI129" i="2"/>
  <c r="AK198" i="2"/>
  <c r="AK126" i="2"/>
  <c r="AH164" i="2"/>
  <c r="AQ211" i="2"/>
  <c r="AQ122" i="2"/>
  <c r="AJ192" i="2"/>
  <c r="AJ118" i="2"/>
  <c r="AI176" i="2"/>
  <c r="AK159" i="2"/>
  <c r="AH212" i="2"/>
  <c r="AH153" i="2"/>
  <c r="AQ161" i="2"/>
  <c r="AJ190" i="2"/>
  <c r="AJ166" i="2"/>
  <c r="AI125" i="2"/>
  <c r="AK194" i="2"/>
  <c r="AK122" i="2"/>
  <c r="AH168" i="2"/>
  <c r="AQ202" i="2"/>
  <c r="AJ194" i="2"/>
  <c r="AJ130" i="2"/>
  <c r="AI155" i="2"/>
  <c r="AK201" i="2"/>
  <c r="AK152" i="2"/>
  <c r="AH211" i="2"/>
  <c r="AQ214" i="2"/>
  <c r="AQ123" i="2"/>
  <c r="AQ130" i="2"/>
  <c r="AJ205" i="2"/>
  <c r="AJ160" i="2"/>
  <c r="AI174" i="2"/>
  <c r="AK213" i="2"/>
  <c r="AK167" i="2"/>
  <c r="AH167" i="2"/>
  <c r="AH130" i="2"/>
  <c r="AQ153" i="2"/>
  <c r="AJ206" i="2"/>
  <c r="AI196" i="2"/>
  <c r="AI169" i="2"/>
  <c r="AK172" i="2"/>
  <c r="AK179" i="2"/>
  <c r="AH145" i="2"/>
  <c r="AQ137" i="2"/>
  <c r="AJ182" i="2"/>
  <c r="AI210" i="2"/>
  <c r="AI166" i="2"/>
  <c r="AK165" i="2"/>
  <c r="AH202" i="2"/>
  <c r="AH160" i="2"/>
  <c r="AQ171" i="2"/>
  <c r="AJ175" i="2"/>
  <c r="AJ138" i="2"/>
  <c r="AI147" i="2"/>
  <c r="AK193" i="2"/>
  <c r="AK144" i="2"/>
  <c r="AH201" i="2"/>
  <c r="AQ213" i="2"/>
  <c r="AQ150" i="2"/>
  <c r="AQ126" i="2"/>
  <c r="AJ115" i="2"/>
  <c r="AJ77" i="2"/>
  <c r="AI114" i="2"/>
  <c r="AI75" i="2"/>
  <c r="AK77" i="2"/>
  <c r="AH97" i="2"/>
  <c r="AQ114" i="2"/>
  <c r="AQ36" i="2"/>
  <c r="AQ29" i="2"/>
  <c r="AQ103" i="2"/>
  <c r="AJ45" i="2"/>
  <c r="AI80" i="2"/>
  <c r="AI65" i="2"/>
  <c r="AK40" i="2"/>
  <c r="AH82" i="2"/>
  <c r="AH62" i="2"/>
  <c r="AQ66" i="2"/>
  <c r="AQ55" i="2"/>
  <c r="AH31" i="2"/>
  <c r="AJ56" i="2"/>
  <c r="AI91" i="2"/>
  <c r="AI77" i="2"/>
  <c r="AK88" i="2"/>
  <c r="AK28" i="2"/>
  <c r="AH76" i="2"/>
  <c r="AQ108" i="2"/>
  <c r="AH24" i="2"/>
  <c r="AH66" i="2"/>
  <c r="AJ54" i="2"/>
  <c r="AI89" i="2"/>
  <c r="AI43" i="2"/>
  <c r="AK36" i="2"/>
  <c r="AH107" i="2"/>
  <c r="AH28" i="2"/>
  <c r="AQ102" i="2"/>
  <c r="AJ178" i="2"/>
  <c r="AI206" i="2"/>
  <c r="AI180" i="2"/>
  <c r="AK182" i="2"/>
  <c r="AK187" i="2"/>
  <c r="AH155" i="2"/>
  <c r="AQ183" i="2"/>
  <c r="AQ159" i="2"/>
  <c r="AJ176" i="2"/>
  <c r="AI204" i="2"/>
  <c r="AI162" i="2"/>
  <c r="AK143" i="2"/>
  <c r="AH196" i="2"/>
  <c r="AH137" i="2"/>
  <c r="AQ174" i="2"/>
  <c r="AJ174" i="2"/>
  <c r="AI202" i="2"/>
  <c r="AI172" i="2"/>
  <c r="AK178" i="2"/>
  <c r="AK175" i="2"/>
  <c r="AH151" i="2"/>
  <c r="AQ207" i="2"/>
  <c r="AJ188" i="2"/>
  <c r="AJ164" i="2"/>
  <c r="AI139" i="2"/>
  <c r="AK208" i="2"/>
  <c r="AK136" i="2"/>
  <c r="AH182" i="2"/>
  <c r="AQ200" i="2"/>
  <c r="AQ134" i="2"/>
  <c r="AQ186" i="2"/>
  <c r="AJ181" i="2"/>
  <c r="AJ144" i="2"/>
  <c r="AI153" i="2"/>
  <c r="AK199" i="2"/>
  <c r="AK150" i="2"/>
  <c r="AH195" i="2"/>
  <c r="AQ198" i="2"/>
  <c r="AQ158" i="2"/>
  <c r="AJ153" i="2"/>
  <c r="AI205" i="2"/>
  <c r="AI146" i="2"/>
  <c r="AK151" i="2"/>
  <c r="AH204" i="2"/>
  <c r="AH205" i="2"/>
  <c r="AQ156" i="2"/>
  <c r="AJ168" i="2"/>
  <c r="AI203" i="2"/>
  <c r="AI142" i="2"/>
  <c r="AK149" i="2"/>
  <c r="AH216" i="2"/>
  <c r="AH127" i="2"/>
  <c r="AQ176" i="2"/>
  <c r="AJ212" i="2"/>
  <c r="AJ122" i="2"/>
  <c r="AI131" i="2"/>
  <c r="AK200" i="2"/>
  <c r="AK128" i="2"/>
  <c r="AH157" i="2"/>
  <c r="AQ197" i="2"/>
  <c r="AQ178" i="2"/>
  <c r="AQ209" i="2"/>
  <c r="AJ109" i="2"/>
  <c r="AJ81" i="2"/>
  <c r="AI66" i="2"/>
  <c r="AK113" i="2"/>
  <c r="AK61" i="2"/>
  <c r="AH81" i="2"/>
  <c r="AJ163" i="2"/>
  <c r="AI215" i="2"/>
  <c r="AI119" i="2"/>
  <c r="AK161" i="2"/>
  <c r="AH198" i="2"/>
  <c r="AH139" i="2"/>
  <c r="AQ163" i="2"/>
  <c r="AQ119" i="2"/>
  <c r="AJ161" i="2"/>
  <c r="AI197" i="2"/>
  <c r="AI124" i="2"/>
  <c r="AK127" i="2"/>
  <c r="AH213" i="2"/>
  <c r="AH148" i="2"/>
  <c r="AQ140" i="2"/>
  <c r="AJ159" i="2"/>
  <c r="AI211" i="2"/>
  <c r="AI158" i="2"/>
  <c r="AK157" i="2"/>
  <c r="AH210" i="2"/>
  <c r="AH135" i="2"/>
  <c r="AQ193" i="2"/>
  <c r="AJ172" i="2"/>
  <c r="AI216" i="2"/>
  <c r="AI193" i="2"/>
  <c r="AK192" i="2"/>
  <c r="AK166" i="2"/>
  <c r="AH166" i="2"/>
  <c r="AQ205" i="2"/>
  <c r="AQ182" i="2"/>
  <c r="AQ196" i="2"/>
  <c r="AJ208" i="2"/>
  <c r="AJ128" i="2"/>
  <c r="AI137" i="2"/>
  <c r="AK206" i="2"/>
  <c r="AK134" i="2"/>
  <c r="AH180" i="2"/>
  <c r="AQ191" i="2"/>
  <c r="AQ128" i="2"/>
  <c r="AJ137" i="2"/>
  <c r="AI189" i="2"/>
  <c r="AI126" i="2"/>
  <c r="AK135" i="2"/>
  <c r="AH209" i="2"/>
  <c r="AH132" i="2"/>
  <c r="AQ154" i="2"/>
  <c r="AJ151" i="2"/>
  <c r="AI187" i="2"/>
  <c r="AI121" i="2"/>
  <c r="AK133" i="2"/>
  <c r="AH179" i="2"/>
  <c r="AH150" i="2"/>
  <c r="AQ151" i="2"/>
  <c r="AJ180" i="2"/>
  <c r="AI208" i="2"/>
  <c r="AI184" i="2"/>
  <c r="AK184" i="2"/>
  <c r="AK168" i="2"/>
  <c r="AH141" i="2"/>
  <c r="AQ185" i="2"/>
  <c r="AQ148" i="2"/>
  <c r="AQ166" i="2"/>
  <c r="AJ93" i="2"/>
  <c r="AJ25" i="2"/>
  <c r="AI50" i="2"/>
  <c r="AK97" i="2"/>
  <c r="AK45" i="2"/>
  <c r="AH77" i="2"/>
  <c r="AQ101" i="2"/>
  <c r="AQ57" i="2"/>
  <c r="AI68" i="2"/>
  <c r="AJ107" i="2"/>
  <c r="AJ79" i="2"/>
  <c r="AI64" i="2"/>
  <c r="AK111" i="2"/>
  <c r="AK59" i="2"/>
  <c r="AH95" i="2"/>
  <c r="AH29" i="2"/>
  <c r="AQ34" i="2"/>
  <c r="AJ96" i="2"/>
  <c r="AQ51" i="2"/>
  <c r="AJ42" i="2"/>
  <c r="AI79" i="2"/>
  <c r="AI49" i="2"/>
  <c r="AK54" i="2"/>
  <c r="AH96" i="2"/>
  <c r="AH44" i="2"/>
  <c r="AQ48" i="2"/>
  <c r="AJ95" i="2"/>
  <c r="AJ147" i="2"/>
  <c r="AI199" i="2"/>
  <c r="AI134" i="2"/>
  <c r="AK145" i="2"/>
  <c r="AH214" i="2"/>
  <c r="AH152" i="2"/>
  <c r="AQ131" i="2"/>
  <c r="AJ214" i="2"/>
  <c r="AJ145" i="2"/>
  <c r="AI181" i="2"/>
  <c r="AI156" i="2"/>
  <c r="AK177" i="2"/>
  <c r="AH189" i="2"/>
  <c r="AH119" i="2"/>
  <c r="AQ124" i="2"/>
  <c r="AJ143" i="2"/>
  <c r="AI195" i="2"/>
  <c r="AI130" i="2"/>
  <c r="AK141" i="2"/>
  <c r="AH194" i="2"/>
  <c r="AH144" i="2"/>
  <c r="AQ179" i="2"/>
  <c r="AJ157" i="2"/>
  <c r="AI200" i="2"/>
  <c r="AI167" i="2"/>
  <c r="AK176" i="2"/>
  <c r="AK120" i="2"/>
  <c r="AH149" i="2"/>
  <c r="AQ177" i="2"/>
  <c r="AQ132" i="2"/>
  <c r="AQ180" i="2"/>
  <c r="AJ186" i="2"/>
  <c r="AI214" i="2"/>
  <c r="AI170" i="2"/>
  <c r="AK190" i="2"/>
  <c r="AK164" i="2"/>
  <c r="AH163" i="2"/>
  <c r="AQ184" i="2"/>
  <c r="AQ120" i="2"/>
  <c r="AJ121" i="2"/>
  <c r="AI173" i="2"/>
  <c r="AI140" i="2"/>
  <c r="AK170" i="2"/>
  <c r="AH181" i="2"/>
  <c r="AH154" i="2"/>
  <c r="AJ213" i="2"/>
  <c r="AJ135" i="2"/>
  <c r="AI171" i="2"/>
  <c r="AI136" i="2"/>
  <c r="AK189" i="2"/>
  <c r="AH192" i="2"/>
  <c r="AJ216" i="2"/>
  <c r="AJ131" i="2"/>
  <c r="AI183" i="2"/>
  <c r="AI160" i="2"/>
  <c r="AK129" i="2"/>
  <c r="AH191" i="2"/>
  <c r="AH128" i="2"/>
  <c r="AQ146" i="2"/>
  <c r="AJ211" i="2"/>
  <c r="AJ129" i="2"/>
  <c r="AI186" i="2"/>
  <c r="AK205" i="2"/>
  <c r="AK156" i="2"/>
  <c r="AH173" i="2"/>
  <c r="AH138" i="2"/>
  <c r="AJ209" i="2"/>
  <c r="AJ127" i="2"/>
  <c r="AI179" i="2"/>
  <c r="AI152" i="2"/>
  <c r="AK125" i="2"/>
  <c r="AH187" i="2"/>
  <c r="AH129" i="2"/>
  <c r="AQ143" i="2"/>
  <c r="AJ141" i="2"/>
  <c r="AI209" i="2"/>
  <c r="AI154" i="2"/>
  <c r="AK155" i="2"/>
  <c r="AH208" i="2"/>
  <c r="AH133" i="2"/>
  <c r="AQ188" i="2"/>
  <c r="AQ203" i="2"/>
  <c r="AQ165" i="2"/>
  <c r="AJ200" i="2"/>
  <c r="AI198" i="2"/>
  <c r="AI164" i="2"/>
  <c r="AK174" i="2"/>
  <c r="AK191" i="2"/>
  <c r="AH147" i="2"/>
  <c r="AQ139" i="2"/>
  <c r="AJ203" i="2"/>
  <c r="AJ158" i="2"/>
  <c r="AI168" i="2"/>
  <c r="AK214" i="2"/>
  <c r="AK169" i="2"/>
  <c r="AH165" i="2"/>
  <c r="AH125" i="2"/>
  <c r="AJ201" i="2"/>
  <c r="AJ119" i="2"/>
  <c r="AI165" i="2"/>
  <c r="AK211" i="2"/>
  <c r="AK162" i="2"/>
  <c r="AH176" i="2"/>
  <c r="AQ210" i="2"/>
  <c r="AQ118" i="2"/>
  <c r="AJ149" i="2"/>
  <c r="AI201" i="2"/>
  <c r="AI138" i="2"/>
  <c r="AK147" i="2"/>
  <c r="AH203" i="2"/>
  <c r="AH122" i="2"/>
  <c r="AQ172" i="2"/>
  <c r="AQ195" i="2"/>
  <c r="AQ142" i="2"/>
  <c r="AJ94" i="2"/>
  <c r="AJ47" i="2"/>
  <c r="AI32" i="2"/>
  <c r="AK92" i="2"/>
  <c r="AK20" i="2"/>
  <c r="AH45" i="2"/>
  <c r="AQ78" i="2"/>
  <c r="AQ23" i="2"/>
  <c r="AK94" i="2"/>
  <c r="AJ108" i="2"/>
  <c r="AJ32" i="2"/>
  <c r="AI108" i="2"/>
  <c r="AK106" i="2"/>
  <c r="AK79" i="2"/>
  <c r="AH75" i="2"/>
  <c r="AQ99" i="2"/>
  <c r="AQ100" i="2"/>
  <c r="AI88" i="2"/>
  <c r="AJ89" i="2"/>
  <c r="AJ21" i="2"/>
  <c r="AI62" i="2"/>
  <c r="AK109" i="2"/>
  <c r="AK73" i="2"/>
  <c r="AH93" i="2"/>
  <c r="AH27" i="2"/>
  <c r="AJ197" i="2"/>
  <c r="AJ210" i="2"/>
  <c r="AI190" i="2"/>
  <c r="AI122" i="2"/>
  <c r="AK181" i="2"/>
  <c r="AH175" i="2"/>
  <c r="AH142" i="2"/>
  <c r="AQ144" i="2"/>
  <c r="AJ195" i="2"/>
  <c r="AJ167" i="2"/>
  <c r="AI159" i="2"/>
  <c r="AK212" i="2"/>
  <c r="AK140" i="2"/>
  <c r="AH197" i="2"/>
  <c r="AH121" i="2"/>
  <c r="AJ193" i="2"/>
  <c r="AJ169" i="2"/>
  <c r="AI182" i="2"/>
  <c r="AK217" i="2"/>
  <c r="AK173" i="2"/>
  <c r="AH171" i="2"/>
  <c r="AH134" i="2"/>
  <c r="AQ138" i="2"/>
  <c r="AJ125" i="2"/>
  <c r="AI217" i="2"/>
  <c r="AI123" i="2"/>
  <c r="AK139" i="2"/>
  <c r="AH215" i="2"/>
  <c r="AH140" i="2"/>
  <c r="AQ157" i="2"/>
  <c r="AQ175" i="2"/>
  <c r="AQ121" i="2"/>
  <c r="AJ155" i="2"/>
  <c r="AI207" i="2"/>
  <c r="AI150" i="2"/>
  <c r="AK153" i="2"/>
  <c r="AH206" i="2"/>
  <c r="AH131" i="2"/>
  <c r="AQ162" i="2"/>
  <c r="AJ179" i="2"/>
  <c r="AJ142" i="2"/>
  <c r="AI151" i="2"/>
  <c r="AK197" i="2"/>
  <c r="AK148" i="2"/>
  <c r="AH193" i="2"/>
  <c r="AQ212" i="2"/>
  <c r="AJ204" i="2"/>
  <c r="AJ156" i="2"/>
  <c r="AI149" i="2"/>
  <c r="AK195" i="2"/>
  <c r="AK146" i="2"/>
  <c r="AH217" i="2"/>
  <c r="AQ217" i="2"/>
  <c r="AJ215" i="2"/>
  <c r="AJ133" i="2"/>
  <c r="AI185" i="2"/>
  <c r="AI120" i="2"/>
  <c r="AK131" i="2"/>
  <c r="AH177" i="2"/>
  <c r="AH146" i="2"/>
  <c r="AQ149" i="2"/>
  <c r="AQ164" i="2"/>
  <c r="AQ192" i="2"/>
  <c r="AJ76" i="2"/>
  <c r="AI111" i="2"/>
  <c r="AI45" i="2"/>
  <c r="AK74" i="2"/>
  <c r="AH100" i="2"/>
  <c r="AH64" i="2"/>
  <c r="AQ98" i="2"/>
  <c r="AQ28" i="2"/>
  <c r="AK47" i="2"/>
  <c r="AJ92" i="2"/>
  <c r="AJ34" i="2"/>
  <c r="AI20" i="2"/>
  <c r="AK90" i="2"/>
  <c r="AK30" i="2"/>
  <c r="AJ189" i="2"/>
  <c r="AJ152" i="2"/>
  <c r="AI161" i="2"/>
  <c r="AK207" i="2"/>
  <c r="AK158" i="2"/>
  <c r="AH188" i="2"/>
  <c r="AH120" i="2"/>
  <c r="AQ181" i="2"/>
  <c r="AJ187" i="2"/>
  <c r="AJ150" i="2"/>
  <c r="AI143" i="2"/>
  <c r="AK196" i="2"/>
  <c r="AK124" i="2"/>
  <c r="AH186" i="2"/>
  <c r="AQ204" i="2"/>
  <c r="AJ185" i="2"/>
  <c r="AJ148" i="2"/>
  <c r="AI157" i="2"/>
  <c r="AK203" i="2"/>
  <c r="AK154" i="2"/>
  <c r="AH207" i="2"/>
  <c r="AH126" i="2"/>
  <c r="AJ207" i="2"/>
  <c r="AJ162" i="2"/>
  <c r="AI177" i="2"/>
  <c r="AI148" i="2"/>
  <c r="AK123" i="2"/>
  <c r="AH185" i="2"/>
  <c r="AH162" i="2"/>
  <c r="AQ141" i="2"/>
  <c r="AQ155" i="2"/>
  <c r="AQ135" i="2"/>
  <c r="AJ139" i="2"/>
  <c r="AI191" i="2"/>
  <c r="AI118" i="2"/>
  <c r="AK137" i="2"/>
  <c r="AH199" i="2"/>
  <c r="AH136" i="2"/>
  <c r="AQ160" i="2"/>
  <c r="AJ202" i="2"/>
  <c r="AJ126" i="2"/>
  <c r="AI135" i="2"/>
  <c r="AK204" i="2"/>
  <c r="AK132" i="2"/>
  <c r="AH178" i="2"/>
  <c r="AQ201" i="2"/>
  <c r="AJ177" i="2"/>
  <c r="AJ140" i="2"/>
  <c r="AI133" i="2"/>
  <c r="AK202" i="2"/>
  <c r="AK130" i="2"/>
  <c r="AH159" i="2"/>
  <c r="AQ199" i="2"/>
  <c r="AJ199" i="2"/>
  <c r="AJ170" i="2"/>
  <c r="AI194" i="2"/>
  <c r="AI132" i="2"/>
  <c r="AK185" i="2"/>
  <c r="AH190" i="2"/>
  <c r="AH118" i="2"/>
  <c r="AQ133" i="2"/>
  <c r="AQ147" i="2"/>
  <c r="AQ127" i="2"/>
  <c r="AJ60" i="2"/>
  <c r="AI95" i="2"/>
  <c r="AI71" i="2"/>
  <c r="AK58" i="2"/>
  <c r="AH84" i="2"/>
  <c r="AH48" i="2"/>
  <c r="AQ68" i="2"/>
  <c r="AQ107" i="2"/>
  <c r="AH78" i="2"/>
  <c r="AJ74" i="2"/>
  <c r="AI109" i="2"/>
  <c r="AI78" i="2"/>
  <c r="AK72" i="2"/>
  <c r="AH114" i="2"/>
  <c r="AH43" i="2"/>
  <c r="AQ77" i="2"/>
  <c r="AQ21" i="2"/>
  <c r="AK83" i="2"/>
  <c r="AJ90" i="2"/>
  <c r="AJ33" i="2"/>
  <c r="AI92" i="2"/>
  <c r="AK116" i="2"/>
  <c r="AK41" i="2"/>
  <c r="AH57" i="2"/>
  <c r="AQ97" i="2"/>
  <c r="AQ90" i="2"/>
  <c r="AK76" i="2"/>
  <c r="AJ88" i="2"/>
  <c r="AJ30" i="2"/>
  <c r="AI61" i="2"/>
  <c r="AK68" i="2"/>
  <c r="AH110" i="2"/>
  <c r="AH58" i="2"/>
  <c r="AQ62" i="2"/>
  <c r="AH21" i="2"/>
  <c r="AH102" i="2"/>
  <c r="AJ102" i="2"/>
  <c r="AJ40" i="2"/>
  <c r="AI42" i="2"/>
  <c r="AK105" i="2"/>
  <c r="AK53" i="2"/>
  <c r="AH89" i="2"/>
  <c r="AH23" i="2"/>
  <c r="AQ71" i="2"/>
  <c r="AJ51" i="2"/>
  <c r="AJ83" i="2"/>
  <c r="AJ49" i="2"/>
  <c r="AI56" i="2"/>
  <c r="AK115" i="2"/>
  <c r="AK32" i="2"/>
  <c r="AH115" i="2"/>
  <c r="AH38" i="2"/>
  <c r="AQ54" i="2"/>
  <c r="AJ80" i="2"/>
  <c r="AI100" i="2"/>
  <c r="AI23" i="2"/>
  <c r="AK46" i="2"/>
  <c r="AH101" i="2"/>
  <c r="AH36" i="2"/>
  <c r="AQ56" i="2"/>
  <c r="AJ117" i="2"/>
  <c r="AQ37" i="2"/>
  <c r="AQ42" i="2"/>
  <c r="AK56" i="2"/>
  <c r="AJ173" i="2"/>
  <c r="AJ136" i="2"/>
  <c r="AI145" i="2"/>
  <c r="AK216" i="2"/>
  <c r="AK142" i="2"/>
  <c r="AH172" i="2"/>
  <c r="AQ206" i="2"/>
  <c r="AQ129" i="2"/>
  <c r="AJ171" i="2"/>
  <c r="AJ134" i="2"/>
  <c r="AI127" i="2"/>
  <c r="AK180" i="2"/>
  <c r="AK118" i="2"/>
  <c r="AH170" i="2"/>
  <c r="AQ215" i="2"/>
  <c r="AJ198" i="2"/>
  <c r="AJ132" i="2"/>
  <c r="AI141" i="2"/>
  <c r="AK210" i="2"/>
  <c r="AK138" i="2"/>
  <c r="AH184" i="2"/>
  <c r="AQ216" i="2"/>
  <c r="AJ183" i="2"/>
  <c r="AJ146" i="2"/>
  <c r="AI178" i="2"/>
  <c r="AK215" i="2"/>
  <c r="AK171" i="2"/>
  <c r="AH169" i="2"/>
  <c r="AH124" i="2"/>
  <c r="AQ125" i="2"/>
  <c r="AQ168" i="2"/>
  <c r="AQ152" i="2"/>
  <c r="AJ123" i="2"/>
  <c r="AI175" i="2"/>
  <c r="AI144" i="2"/>
  <c r="AK121" i="2"/>
  <c r="AH183" i="2"/>
  <c r="AH158" i="2"/>
  <c r="AQ189" i="2"/>
  <c r="AJ184" i="2"/>
  <c r="AI212" i="2"/>
  <c r="AI192" i="2"/>
  <c r="AK188" i="2"/>
  <c r="AK119" i="2"/>
  <c r="AH161" i="2"/>
  <c r="AQ173" i="2"/>
  <c r="AJ217" i="2"/>
  <c r="AJ124" i="2"/>
  <c r="AI188" i="2"/>
  <c r="AK186" i="2"/>
  <c r="AK183" i="2"/>
  <c r="AH143" i="2"/>
  <c r="AQ187" i="2"/>
  <c r="AJ191" i="2"/>
  <c r="AJ154" i="2"/>
  <c r="AI163" i="2"/>
  <c r="AK209" i="2"/>
  <c r="AK160" i="2"/>
  <c r="AH174" i="2"/>
  <c r="AQ208" i="2"/>
  <c r="AQ194" i="2"/>
  <c r="AQ190" i="2"/>
  <c r="AQ136" i="2"/>
  <c r="AJ48" i="2"/>
  <c r="AI81" i="2"/>
  <c r="AI22" i="2"/>
  <c r="AK42" i="2"/>
  <c r="AH113" i="2"/>
  <c r="AH32" i="2"/>
  <c r="AQ52" i="2"/>
  <c r="AH20" i="2"/>
  <c r="AJ58" i="2"/>
  <c r="AI93" i="2"/>
  <c r="AI55" i="2"/>
  <c r="AH98" i="2"/>
  <c r="AH123" i="2"/>
  <c r="AQ169" i="2"/>
  <c r="AH61" i="2"/>
  <c r="AJ91" i="2"/>
  <c r="AK43" i="2"/>
  <c r="AQ82" i="2"/>
  <c r="AK78" i="2"/>
  <c r="AI107" i="2"/>
  <c r="AK104" i="2"/>
  <c r="AH41" i="2"/>
  <c r="AQ75" i="2"/>
  <c r="AQ61" i="2"/>
  <c r="AJ41" i="2"/>
  <c r="AI29" i="2"/>
  <c r="AK55" i="2"/>
  <c r="AH39" i="2"/>
  <c r="AQ46" i="2"/>
  <c r="AJ112" i="2"/>
  <c r="AQ25" i="2"/>
  <c r="AJ63" i="2"/>
  <c r="AI74" i="2"/>
  <c r="AK117" i="2"/>
  <c r="AK37" i="2"/>
  <c r="AH53" i="2"/>
  <c r="AQ88" i="2"/>
  <c r="AQ45" i="2"/>
  <c r="AH83" i="2"/>
  <c r="AJ44" i="2"/>
  <c r="AI72" i="2"/>
  <c r="AK103" i="2"/>
  <c r="AK51" i="2"/>
  <c r="AH67" i="2"/>
  <c r="AK99" i="2"/>
  <c r="AJ82" i="2"/>
  <c r="AI99" i="2"/>
  <c r="AI33" i="2"/>
  <c r="AK65" i="2"/>
  <c r="AH116" i="2"/>
  <c r="AQ105" i="2"/>
  <c r="AQ49" i="2"/>
  <c r="AK60" i="2"/>
  <c r="AI86" i="2"/>
  <c r="AH72" i="2"/>
  <c r="AQ74" i="2"/>
  <c r="AJ37" i="2"/>
  <c r="AK114" i="2"/>
  <c r="AH35" i="2"/>
  <c r="AJ67" i="2"/>
  <c r="AI19" i="2"/>
  <c r="AK33" i="2"/>
  <c r="AQ32" i="2"/>
  <c r="AJ29" i="2"/>
  <c r="AK85" i="2"/>
  <c r="AQ72" i="2"/>
  <c r="AI59" i="2"/>
  <c r="AH112" i="2"/>
  <c r="AJ57" i="2"/>
  <c r="AQ95" i="2"/>
  <c r="AH63" i="2"/>
  <c r="AK50" i="2"/>
  <c r="AQ106" i="2"/>
  <c r="AJ66" i="2"/>
  <c r="AK64" i="2"/>
  <c r="AJ97" i="2"/>
  <c r="AH52" i="2"/>
  <c r="AH200" i="2"/>
  <c r="AI21" i="2"/>
  <c r="AQ115" i="2"/>
  <c r="AJ71" i="2"/>
  <c r="AH109" i="2"/>
  <c r="AH99" i="2"/>
  <c r="AJ39" i="2"/>
  <c r="AH71" i="2"/>
  <c r="AH34" i="2"/>
  <c r="AI87" i="2"/>
  <c r="AH105" i="2"/>
  <c r="AH22" i="2"/>
  <c r="AI30" i="2"/>
  <c r="AQ170" i="2"/>
  <c r="AQ167" i="2"/>
  <c r="AQ117" i="2"/>
  <c r="AJ61" i="2"/>
  <c r="AH111" i="2"/>
  <c r="AQ50" i="2"/>
  <c r="AQ94" i="2"/>
  <c r="AI116" i="2"/>
  <c r="AK70" i="2"/>
  <c r="AH60" i="2"/>
  <c r="AQ63" i="2"/>
  <c r="AJ103" i="2"/>
  <c r="AJ59" i="2"/>
  <c r="AI96" i="2"/>
  <c r="AK39" i="2"/>
  <c r="AH74" i="2"/>
  <c r="AQ84" i="2"/>
  <c r="AJ27" i="2"/>
  <c r="AJ116" i="2"/>
  <c r="AJ36" i="2"/>
  <c r="AI58" i="2"/>
  <c r="AK89" i="2"/>
  <c r="AK27" i="2"/>
  <c r="AH37" i="2"/>
  <c r="AQ76" i="2"/>
  <c r="AQ91" i="2"/>
  <c r="AQ73" i="2"/>
  <c r="AJ31" i="2"/>
  <c r="AI40" i="2"/>
  <c r="AK87" i="2"/>
  <c r="AK35" i="2"/>
  <c r="AH51" i="2"/>
  <c r="AK21" i="2"/>
  <c r="AJ64" i="2"/>
  <c r="AI83" i="2"/>
  <c r="AI112" i="2"/>
  <c r="AK49" i="2"/>
  <c r="AH65" i="2"/>
  <c r="AQ89" i="2"/>
  <c r="AQ27" i="2"/>
  <c r="AH47" i="2"/>
  <c r="AQ24" i="2"/>
  <c r="AI51" i="2"/>
  <c r="AJ101" i="2"/>
  <c r="AJ65" i="2"/>
  <c r="AK100" i="2"/>
  <c r="AK24" i="2"/>
  <c r="AQ60" i="2"/>
  <c r="AJ99" i="2"/>
  <c r="AI73" i="2"/>
  <c r="AH86" i="2"/>
  <c r="AI104" i="2"/>
  <c r="AQ67" i="2"/>
  <c r="AK52" i="2"/>
  <c r="AQ104" i="2"/>
  <c r="AJ52" i="2"/>
  <c r="AK34" i="2"/>
  <c r="AQ109" i="2"/>
  <c r="AK110" i="2"/>
  <c r="AI85" i="2"/>
  <c r="AK48" i="2"/>
  <c r="AJ53" i="2"/>
  <c r="AJ69" i="2"/>
  <c r="AQ96" i="2"/>
  <c r="AQ116" i="2"/>
  <c r="AH69" i="2"/>
  <c r="AK63" i="2"/>
  <c r="AH87" i="2"/>
  <c r="AJ19" i="2"/>
  <c r="AH85" i="2"/>
  <c r="AJ165" i="2"/>
  <c r="AQ145" i="2"/>
  <c r="AQ85" i="2"/>
  <c r="AJ23" i="2"/>
  <c r="AH79" i="2"/>
  <c r="AQ20" i="2"/>
  <c r="AJ105" i="2"/>
  <c r="AI82" i="2"/>
  <c r="AK38" i="2"/>
  <c r="AH30" i="2"/>
  <c r="AQ58" i="2"/>
  <c r="AJ87" i="2"/>
  <c r="AI105" i="2"/>
  <c r="AK107" i="2"/>
  <c r="AK29" i="2"/>
  <c r="AH42" i="2"/>
  <c r="AK25" i="2"/>
  <c r="AH49" i="2"/>
  <c r="AQ110" i="2"/>
  <c r="AQ70" i="2"/>
  <c r="AI54" i="2"/>
  <c r="AK19" i="2"/>
  <c r="AH68" i="2"/>
  <c r="AJ111" i="2"/>
  <c r="AQ31" i="2"/>
  <c r="AI31" i="2"/>
  <c r="AI36" i="2"/>
  <c r="AK86" i="2"/>
  <c r="AQ35" i="2"/>
  <c r="AI103" i="2"/>
  <c r="AH117" i="2"/>
  <c r="AI106" i="2"/>
  <c r="AI25" i="2"/>
  <c r="AQ80" i="2"/>
  <c r="AI38" i="2"/>
  <c r="AH104" i="2"/>
  <c r="AQ40" i="2"/>
  <c r="AI213" i="2"/>
  <c r="AJ110" i="2"/>
  <c r="AQ30" i="2"/>
  <c r="AI98" i="2"/>
  <c r="AH59" i="2"/>
  <c r="AQ26" i="2"/>
  <c r="AJ106" i="2"/>
  <c r="AI46" i="2"/>
  <c r="AK57" i="2"/>
  <c r="AQ113" i="2"/>
  <c r="AJ26" i="2"/>
  <c r="AJ104" i="2"/>
  <c r="AI76" i="2"/>
  <c r="AK91" i="2"/>
  <c r="AK26" i="2"/>
  <c r="AH25" i="2"/>
  <c r="AQ59" i="2"/>
  <c r="AK44" i="2"/>
  <c r="AJ85" i="2"/>
  <c r="AJ24" i="2"/>
  <c r="AI41" i="2"/>
  <c r="AK84" i="2"/>
  <c r="AH108" i="2"/>
  <c r="AH56" i="2"/>
  <c r="AQ44" i="2"/>
  <c r="AQ65" i="2"/>
  <c r="AJ100" i="2"/>
  <c r="AJ73" i="2"/>
  <c r="AI28" i="2"/>
  <c r="AK98" i="2"/>
  <c r="AK22" i="2"/>
  <c r="AH70" i="2"/>
  <c r="AH50" i="2"/>
  <c r="AJ28" i="2"/>
  <c r="AI70" i="2"/>
  <c r="AK101" i="2"/>
  <c r="AK23" i="2"/>
  <c r="AH33" i="2"/>
  <c r="AQ79" i="2"/>
  <c r="AQ19" i="2"/>
  <c r="AJ84" i="2"/>
  <c r="AI115" i="2"/>
  <c r="AI53" i="2"/>
  <c r="AK82" i="2"/>
  <c r="AH106" i="2"/>
  <c r="AH54" i="2"/>
  <c r="AJ113" i="2"/>
  <c r="AI37" i="2"/>
  <c r="AI102" i="2"/>
  <c r="AQ112" i="2"/>
  <c r="AI69" i="2"/>
  <c r="AQ47" i="2"/>
  <c r="AJ50" i="2"/>
  <c r="AI26" i="2"/>
  <c r="AH103" i="2"/>
  <c r="AJ114" i="2"/>
  <c r="AI57" i="2"/>
  <c r="AK96" i="2"/>
  <c r="AI113" i="2"/>
  <c r="AQ41" i="2"/>
  <c r="AJ38" i="2"/>
  <c r="AK69" i="2"/>
  <c r="AQ53" i="2"/>
  <c r="AJ20" i="2"/>
  <c r="AK67" i="2"/>
  <c r="AI52" i="2"/>
  <c r="AK62" i="2"/>
  <c r="AH19" i="2"/>
  <c r="AI35" i="2"/>
  <c r="AI128" i="2"/>
  <c r="AJ35" i="2"/>
  <c r="AQ33" i="2"/>
  <c r="AI48" i="2"/>
  <c r="AH80" i="2"/>
  <c r="AQ22" i="2"/>
  <c r="AJ72" i="2"/>
  <c r="AI47" i="2"/>
  <c r="AK31" i="2"/>
  <c r="AQ81" i="2"/>
  <c r="AI97" i="2"/>
  <c r="AJ70" i="2"/>
  <c r="AI60" i="2"/>
  <c r="AK102" i="2"/>
  <c r="AH94" i="2"/>
  <c r="AQ111" i="2"/>
  <c r="AQ69" i="2"/>
  <c r="AK80" i="2"/>
  <c r="AJ86" i="2"/>
  <c r="AI117" i="2"/>
  <c r="AI39" i="2"/>
  <c r="AK66" i="2"/>
  <c r="AH92" i="2"/>
  <c r="AH40" i="2"/>
  <c r="AQ86" i="2"/>
  <c r="AI84" i="2"/>
  <c r="AK163" i="2"/>
  <c r="AI34" i="2"/>
  <c r="AJ62" i="2"/>
  <c r="AH46" i="2"/>
  <c r="AJ22" i="2"/>
  <c r="AQ64" i="2"/>
  <c r="AI44" i="2"/>
  <c r="AH91" i="2"/>
  <c r="AJ68" i="2"/>
  <c r="AI27" i="2"/>
  <c r="AH26" i="2"/>
  <c r="AI101" i="2"/>
  <c r="AH90" i="2"/>
  <c r="AJ46" i="2"/>
  <c r="AK112" i="2"/>
  <c r="AJ78" i="2"/>
  <c r="AK108" i="2"/>
  <c r="AK95" i="2"/>
  <c r="AJ43" i="2"/>
  <c r="AH88" i="2"/>
  <c r="AI110" i="2"/>
  <c r="AQ93" i="2"/>
  <c r="AI24" i="2"/>
  <c r="AI67" i="2"/>
  <c r="AQ43" i="2"/>
  <c r="AH156" i="2"/>
  <c r="AK81" i="2"/>
  <c r="AQ38" i="2"/>
  <c r="AK75" i="2"/>
  <c r="AQ83" i="2"/>
  <c r="AI90" i="2"/>
  <c r="AJ75" i="2"/>
  <c r="AK93" i="2"/>
  <c r="AH73" i="2"/>
  <c r="AQ39" i="2"/>
  <c r="AQ87" i="2"/>
  <c r="AJ55" i="2"/>
  <c r="AI63" i="2"/>
  <c r="AK71" i="2"/>
  <c r="AH55" i="2"/>
  <c r="AQ92" i="2"/>
  <c r="AI94" i="2"/>
  <c r="AJ98" i="2"/>
  <c r="AM181" i="2"/>
  <c r="AP202" i="2"/>
  <c r="AP162" i="2"/>
  <c r="AN179" i="2"/>
  <c r="AO204" i="2"/>
  <c r="AO155" i="2"/>
  <c r="AM118" i="2"/>
  <c r="AM192" i="2"/>
  <c r="AM197" i="2"/>
  <c r="AM168" i="2"/>
  <c r="AP171" i="2"/>
  <c r="AP160" i="2"/>
  <c r="AN162" i="2"/>
  <c r="AO202" i="2"/>
  <c r="AO153" i="2"/>
  <c r="AO132" i="2"/>
  <c r="AO181" i="2"/>
  <c r="AO179" i="2"/>
  <c r="AM152" i="2"/>
  <c r="AP214" i="2"/>
  <c r="AP154" i="2"/>
  <c r="AN175" i="2"/>
  <c r="AO214" i="2"/>
  <c r="AO149" i="2"/>
  <c r="AN211" i="2"/>
  <c r="AM134" i="2"/>
  <c r="AP203" i="2"/>
  <c r="AP150" i="2"/>
  <c r="AN173" i="2"/>
  <c r="AO215" i="2"/>
  <c r="AN197" i="2"/>
  <c r="AM207" i="2"/>
  <c r="AM191" i="2"/>
  <c r="AP181" i="2"/>
  <c r="AP126" i="2"/>
  <c r="AN140" i="2"/>
  <c r="AO201" i="2"/>
  <c r="AO131" i="2"/>
  <c r="AP140" i="2"/>
  <c r="AP182" i="2"/>
  <c r="AM180" i="2"/>
  <c r="AM145" i="2"/>
  <c r="AP141" i="2"/>
  <c r="AN185" i="2"/>
  <c r="AN170" i="2"/>
  <c r="AO192" i="2"/>
  <c r="AM178" i="2"/>
  <c r="AN214" i="2"/>
  <c r="AN150" i="2"/>
  <c r="AP153" i="2"/>
  <c r="AM63" i="2"/>
  <c r="AP100" i="2"/>
  <c r="AP70" i="2"/>
  <c r="AN81" i="2"/>
  <c r="AO116" i="2"/>
  <c r="AO31" i="2"/>
  <c r="AM113" i="2"/>
  <c r="AM24" i="2"/>
  <c r="AP47" i="2"/>
  <c r="AN111" i="2"/>
  <c r="AN33" i="2"/>
  <c r="AO61" i="2"/>
  <c r="AO84" i="2"/>
  <c r="AM43" i="2"/>
  <c r="AP96" i="2"/>
  <c r="AP29" i="2"/>
  <c r="AN46" i="2"/>
  <c r="AO93" i="2"/>
  <c r="AO99" i="2"/>
  <c r="AM99" i="2"/>
  <c r="AP103" i="2"/>
  <c r="AP32" i="2"/>
  <c r="AN72" i="2"/>
  <c r="AO107" i="2"/>
  <c r="AO32" i="2"/>
  <c r="AM91" i="2"/>
  <c r="AM58" i="2"/>
  <c r="AP73" i="2"/>
  <c r="AN117" i="2"/>
  <c r="AN35" i="2"/>
  <c r="AO71" i="2"/>
  <c r="AO49" i="2"/>
  <c r="AM103" i="2"/>
  <c r="AP99" i="2"/>
  <c r="AP26" i="2"/>
  <c r="AN53" i="2"/>
  <c r="AO88" i="2"/>
  <c r="AO44" i="2"/>
  <c r="AM51" i="2"/>
  <c r="AP104" i="2"/>
  <c r="AP74" i="2"/>
  <c r="AN101" i="2"/>
  <c r="AN47" i="2"/>
  <c r="AO51" i="2"/>
  <c r="AM116" i="2"/>
  <c r="AM62" i="2"/>
  <c r="AP111" i="2"/>
  <c r="AP40" i="2"/>
  <c r="AN65" i="2"/>
  <c r="AN104" i="2"/>
  <c r="AM108" i="2"/>
  <c r="AP83" i="2"/>
  <c r="AN39" i="2"/>
  <c r="AO26" i="2"/>
  <c r="AP88" i="2"/>
  <c r="AN85" i="2"/>
  <c r="AO35" i="2"/>
  <c r="AM56" i="2"/>
  <c r="AP22" i="2"/>
  <c r="AN31" i="2"/>
  <c r="AO65" i="2"/>
  <c r="AN51" i="2"/>
  <c r="AM28" i="2"/>
  <c r="AO30" i="2"/>
  <c r="AO36" i="2"/>
  <c r="AP45" i="2"/>
  <c r="AM74" i="2"/>
  <c r="AO100" i="2"/>
  <c r="AO106" i="2"/>
  <c r="AN86" i="2"/>
  <c r="AP81" i="2"/>
  <c r="AO42" i="2"/>
  <c r="AP51" i="2"/>
  <c r="AN199" i="2"/>
  <c r="AO118" i="2"/>
  <c r="AN163" i="2"/>
  <c r="AO157" i="2"/>
  <c r="AN24" i="2"/>
  <c r="AP20" i="2"/>
  <c r="AM22" i="2"/>
  <c r="AM73" i="2"/>
  <c r="AO78" i="2"/>
  <c r="AP46" i="2"/>
  <c r="AP106" i="2"/>
  <c r="AM40" i="2"/>
  <c r="AN19" i="2"/>
  <c r="AP35" i="2"/>
  <c r="AN59" i="2"/>
  <c r="AN73" i="2"/>
  <c r="AP101" i="2"/>
  <c r="AO28" i="2"/>
  <c r="AN32" i="2"/>
  <c r="AN28" i="2"/>
  <c r="AN99" i="2"/>
  <c r="AO143" i="2"/>
  <c r="AN177" i="2"/>
  <c r="AN134" i="2"/>
  <c r="AN121" i="2"/>
  <c r="AN119" i="2"/>
  <c r="AP146" i="2"/>
  <c r="AM123" i="2"/>
  <c r="AN204" i="2"/>
  <c r="AM156" i="2"/>
  <c r="AP189" i="2"/>
  <c r="AP130" i="2"/>
  <c r="AN167" i="2"/>
  <c r="AO209" i="2"/>
  <c r="AO139" i="2"/>
  <c r="AP168" i="2"/>
  <c r="AM147" i="2"/>
  <c r="AM204" i="2"/>
  <c r="AM139" i="2"/>
  <c r="AP199" i="2"/>
  <c r="AP128" i="2"/>
  <c r="AN146" i="2"/>
  <c r="AO207" i="2"/>
  <c r="AO137" i="2"/>
  <c r="AO133" i="2"/>
  <c r="AO159" i="2"/>
  <c r="AO125" i="2"/>
  <c r="AM136" i="2"/>
  <c r="AP185" i="2"/>
  <c r="AP121" i="2"/>
  <c r="AN160" i="2"/>
  <c r="AO200" i="2"/>
  <c r="AP201" i="2"/>
  <c r="AO217" i="2"/>
  <c r="AM164" i="2"/>
  <c r="AP183" i="2"/>
  <c r="AP120" i="2"/>
  <c r="AN158" i="2"/>
  <c r="AO198" i="2"/>
  <c r="AN165" i="2"/>
  <c r="AM216" i="2"/>
  <c r="AM159" i="2"/>
  <c r="AP165" i="2"/>
  <c r="AP148" i="2"/>
  <c r="AN124" i="2"/>
  <c r="AO185" i="2"/>
  <c r="AO174" i="2"/>
  <c r="AN183" i="2"/>
  <c r="AP209" i="2"/>
  <c r="AM170" i="2"/>
  <c r="AP208" i="2"/>
  <c r="AP118" i="2"/>
  <c r="AN205" i="2"/>
  <c r="AO210" i="2"/>
  <c r="AO161" i="2"/>
  <c r="AM189" i="2"/>
  <c r="AN145" i="2"/>
  <c r="AO195" i="2"/>
  <c r="AN174" i="2"/>
  <c r="AM47" i="2"/>
  <c r="AP84" i="2"/>
  <c r="AP54" i="2"/>
  <c r="AN63" i="2"/>
  <c r="AO98" i="2"/>
  <c r="AO70" i="2"/>
  <c r="AM77" i="2"/>
  <c r="AM33" i="2"/>
  <c r="AP31" i="2"/>
  <c r="AN95" i="2"/>
  <c r="AN74" i="2"/>
  <c r="AO45" i="2"/>
  <c r="AO40" i="2"/>
  <c r="AM78" i="2"/>
  <c r="AP105" i="2"/>
  <c r="AN108" i="2"/>
  <c r="AN76" i="2"/>
  <c r="AO75" i="2"/>
  <c r="AO19" i="2"/>
  <c r="AM48" i="2"/>
  <c r="AP87" i="2"/>
  <c r="AP27" i="2"/>
  <c r="AN68" i="2"/>
  <c r="AO91" i="2"/>
  <c r="AO27" i="2"/>
  <c r="AM71" i="2"/>
  <c r="AM93" i="2"/>
  <c r="AP57" i="2"/>
  <c r="AN43" i="2"/>
  <c r="AO55" i="2"/>
  <c r="AM66" i="2"/>
  <c r="AP23" i="2"/>
  <c r="AO103" i="2"/>
  <c r="AM35" i="2"/>
  <c r="AP58" i="2"/>
  <c r="AN48" i="2"/>
  <c r="AM104" i="2"/>
  <c r="AP95" i="2"/>
  <c r="AN49" i="2"/>
  <c r="AN40" i="2"/>
  <c r="AP97" i="2"/>
  <c r="AM117" i="2"/>
  <c r="AN23" i="2"/>
  <c r="AP36" i="2"/>
  <c r="AO79" i="2"/>
  <c r="AN107" i="2"/>
  <c r="AP114" i="2"/>
  <c r="AO62" i="2"/>
  <c r="AN70" i="2"/>
  <c r="AP21" i="2"/>
  <c r="AN26" i="2"/>
  <c r="AM141" i="2"/>
  <c r="AM205" i="2"/>
  <c r="AM217" i="2"/>
  <c r="AM38" i="2"/>
  <c r="AO81" i="2"/>
  <c r="AO111" i="2"/>
  <c r="AN75" i="2"/>
  <c r="AP78" i="2"/>
  <c r="AO72" i="2"/>
  <c r="AO90" i="2"/>
  <c r="AN103" i="2"/>
  <c r="AP69" i="2"/>
  <c r="AM65" i="2"/>
  <c r="AM30" i="2"/>
  <c r="AP64" i="2"/>
  <c r="AP28" i="2"/>
  <c r="AP90" i="2"/>
  <c r="AM70" i="2"/>
  <c r="AO85" i="2"/>
  <c r="AO190" i="2"/>
  <c r="AO216" i="2"/>
  <c r="AP198" i="2"/>
  <c r="AP196" i="2"/>
  <c r="AP197" i="2"/>
  <c r="AM196" i="2"/>
  <c r="AO128" i="2"/>
  <c r="AM140" i="2"/>
  <c r="AP173" i="2"/>
  <c r="AP127" i="2"/>
  <c r="AN148" i="2"/>
  <c r="AO193" i="2"/>
  <c r="AO123" i="2"/>
  <c r="AP119" i="2"/>
  <c r="AP204" i="2"/>
  <c r="AM188" i="2"/>
  <c r="AM161" i="2"/>
  <c r="AP178" i="2"/>
  <c r="AN216" i="2"/>
  <c r="AN130" i="2"/>
  <c r="AO191" i="2"/>
  <c r="AO165" i="2"/>
  <c r="AM151" i="2"/>
  <c r="AM208" i="2"/>
  <c r="AM211" i="2"/>
  <c r="AM166" i="2"/>
  <c r="AP169" i="2"/>
  <c r="AP156" i="2"/>
  <c r="AN144" i="2"/>
  <c r="AO205" i="2"/>
  <c r="AN120" i="2"/>
  <c r="AO140" i="2"/>
  <c r="AM163" i="2"/>
  <c r="AP167" i="2"/>
  <c r="AP152" i="2"/>
  <c r="AN142" i="2"/>
  <c r="AO203" i="2"/>
  <c r="AM158" i="2"/>
  <c r="AM198" i="2"/>
  <c r="AM129" i="2"/>
  <c r="AP188" i="2"/>
  <c r="AN213" i="2"/>
  <c r="AN168" i="2"/>
  <c r="AO162" i="2"/>
  <c r="AM194" i="2"/>
  <c r="AN161" i="2"/>
  <c r="AN181" i="2"/>
  <c r="AM162" i="2"/>
  <c r="AP193" i="2"/>
  <c r="AP142" i="2"/>
  <c r="AN154" i="2"/>
  <c r="AO194" i="2"/>
  <c r="AO145" i="2"/>
  <c r="AM144" i="2"/>
  <c r="AO197" i="2"/>
  <c r="AO178" i="2"/>
  <c r="AN143" i="2"/>
  <c r="AM89" i="2"/>
  <c r="AP109" i="2"/>
  <c r="AP38" i="2"/>
  <c r="AN79" i="2"/>
  <c r="AO82" i="2"/>
  <c r="AO54" i="2"/>
  <c r="AM61" i="2"/>
  <c r="AP116" i="2"/>
  <c r="AP68" i="2"/>
  <c r="AN77" i="2"/>
  <c r="AO112" i="2"/>
  <c r="AO68" i="2"/>
  <c r="AM114" i="2"/>
  <c r="AM52" i="2"/>
  <c r="AP89" i="2"/>
  <c r="AN92" i="2"/>
  <c r="AN29" i="2"/>
  <c r="AO59" i="2"/>
  <c r="AM112" i="2"/>
  <c r="AM29" i="2"/>
  <c r="AP75" i="2"/>
  <c r="AN106" i="2"/>
  <c r="AN60" i="2"/>
  <c r="AO73" i="2"/>
  <c r="AO25" i="2"/>
  <c r="AM55" i="2"/>
  <c r="AP108" i="2"/>
  <c r="AP41" i="2"/>
  <c r="AN88" i="2"/>
  <c r="AN52" i="2"/>
  <c r="AO39" i="2"/>
  <c r="AM92" i="2"/>
  <c r="AM60" i="2"/>
  <c r="AP71" i="2"/>
  <c r="AN115" i="2"/>
  <c r="AN27" i="2"/>
  <c r="AO87" i="2"/>
  <c r="AO23" i="2"/>
  <c r="AM80" i="2"/>
  <c r="AP113" i="2"/>
  <c r="AP42" i="2"/>
  <c r="AN67" i="2"/>
  <c r="AO102" i="2"/>
  <c r="AO74" i="2"/>
  <c r="AM88" i="2"/>
  <c r="AM46" i="2"/>
  <c r="AP79" i="2"/>
  <c r="AP19" i="2"/>
  <c r="AN102" i="2"/>
  <c r="AM72" i="2"/>
  <c r="AO58" i="2"/>
  <c r="AN114" i="2"/>
  <c r="AP82" i="2"/>
  <c r="AN58" i="2"/>
  <c r="AN20" i="2"/>
  <c r="AP62" i="2"/>
  <c r="AM69" i="2"/>
  <c r="AO53" i="2"/>
  <c r="AN36" i="2"/>
  <c r="AM54" i="2"/>
  <c r="AO164" i="2"/>
  <c r="AN206" i="2"/>
  <c r="AO160" i="2"/>
  <c r="AM86" i="2"/>
  <c r="AO33" i="2"/>
  <c r="AN50" i="2"/>
  <c r="AP66" i="2"/>
  <c r="AM20" i="2"/>
  <c r="AM27" i="2"/>
  <c r="AO46" i="2"/>
  <c r="AN64" i="2"/>
  <c r="AN116" i="2"/>
  <c r="AM19" i="2"/>
  <c r="AN37" i="2"/>
  <c r="AO50" i="2"/>
  <c r="AO108" i="2"/>
  <c r="AN55" i="2"/>
  <c r="AP60" i="2"/>
  <c r="AP53" i="2"/>
  <c r="AO83" i="2"/>
  <c r="AO115" i="2"/>
  <c r="AM133" i="2"/>
  <c r="AN125" i="2"/>
  <c r="AM169" i="2"/>
  <c r="AO176" i="2"/>
  <c r="AP131" i="2"/>
  <c r="AM150" i="2"/>
  <c r="AM132" i="2"/>
  <c r="AP155" i="2"/>
  <c r="AM210" i="2"/>
  <c r="AM124" i="2"/>
  <c r="AP195" i="2"/>
  <c r="AP132" i="2"/>
  <c r="AN132" i="2"/>
  <c r="AO177" i="2"/>
  <c r="AO121" i="2"/>
  <c r="AN192" i="2"/>
  <c r="AP123" i="2"/>
  <c r="AM172" i="2"/>
  <c r="AM121" i="2"/>
  <c r="AP205" i="2"/>
  <c r="AN198" i="2"/>
  <c r="AN169" i="2"/>
  <c r="AO175" i="2"/>
  <c r="AO182" i="2"/>
  <c r="AP184" i="2"/>
  <c r="AM126" i="2"/>
  <c r="AM195" i="2"/>
  <c r="AM165" i="2"/>
  <c r="AP192" i="2"/>
  <c r="AN217" i="2"/>
  <c r="AN128" i="2"/>
  <c r="AO189" i="2"/>
  <c r="AO158" i="2"/>
  <c r="AM209" i="2"/>
  <c r="AM131" i="2"/>
  <c r="AP190" i="2"/>
  <c r="AN215" i="2"/>
  <c r="AN126" i="2"/>
  <c r="AO187" i="2"/>
  <c r="AP166" i="2"/>
  <c r="AM182" i="2"/>
  <c r="AM149" i="2"/>
  <c r="AP172" i="2"/>
  <c r="AN208" i="2"/>
  <c r="AN149" i="2"/>
  <c r="AO146" i="2"/>
  <c r="AM160" i="2"/>
  <c r="AO213" i="2"/>
  <c r="AN127" i="2"/>
  <c r="AM146" i="2"/>
  <c r="AP179" i="2"/>
  <c r="AP122" i="2"/>
  <c r="AN138" i="2"/>
  <c r="AO199" i="2"/>
  <c r="AO129" i="2"/>
  <c r="AM183" i="2"/>
  <c r="AO188" i="2"/>
  <c r="AP191" i="2"/>
  <c r="AO184" i="2"/>
  <c r="AM42" i="2"/>
  <c r="AP93" i="2"/>
  <c r="AP30" i="2"/>
  <c r="AN66" i="2"/>
  <c r="AO113" i="2"/>
  <c r="AO38" i="2"/>
  <c r="AM45" i="2"/>
  <c r="AP98" i="2"/>
  <c r="AP52" i="2"/>
  <c r="AN61" i="2"/>
  <c r="AO96" i="2"/>
  <c r="AO52" i="2"/>
  <c r="AM98" i="2"/>
  <c r="AM68" i="2"/>
  <c r="AP61" i="2"/>
  <c r="AN109" i="2"/>
  <c r="AN30" i="2"/>
  <c r="AO43" i="2"/>
  <c r="AM96" i="2"/>
  <c r="AM87" i="2"/>
  <c r="AP59" i="2"/>
  <c r="AN90" i="2"/>
  <c r="AN45" i="2"/>
  <c r="AO57" i="2"/>
  <c r="AO21" i="2"/>
  <c r="AM39" i="2"/>
  <c r="AP92" i="2"/>
  <c r="AP80" i="2"/>
  <c r="AN105" i="2"/>
  <c r="AN38" i="2"/>
  <c r="AO80" i="2"/>
  <c r="AM101" i="2"/>
  <c r="AM25" i="2"/>
  <c r="AP55" i="2"/>
  <c r="AO69" i="2"/>
  <c r="AP24" i="2"/>
  <c r="AO86" i="2"/>
  <c r="AP67" i="2"/>
  <c r="AO114" i="2"/>
  <c r="AM109" i="2"/>
  <c r="AM107" i="2"/>
  <c r="AO41" i="2"/>
  <c r="AN89" i="2"/>
  <c r="AP39" i="2"/>
  <c r="AM106" i="2"/>
  <c r="AO117" i="2"/>
  <c r="AN98" i="2"/>
  <c r="AN187" i="2"/>
  <c r="AM187" i="2"/>
  <c r="AM179" i="2"/>
  <c r="AN96" i="2"/>
  <c r="AP107" i="2"/>
  <c r="AM97" i="2"/>
  <c r="AO66" i="2"/>
  <c r="AN41" i="2"/>
  <c r="AN71" i="2"/>
  <c r="AP76" i="2"/>
  <c r="AM90" i="2"/>
  <c r="AN25" i="2"/>
  <c r="AN82" i="2"/>
  <c r="AP50" i="2"/>
  <c r="AP110" i="2"/>
  <c r="AM23" i="2"/>
  <c r="AM37" i="2"/>
  <c r="AM85" i="2"/>
  <c r="AN100" i="2"/>
  <c r="AP72" i="2"/>
  <c r="AM174" i="2"/>
  <c r="AO180" i="2"/>
  <c r="AP187" i="2"/>
  <c r="AO167" i="2"/>
  <c r="AN191" i="2"/>
  <c r="AN189" i="2"/>
  <c r="AN156" i="2"/>
  <c r="AP157" i="2"/>
  <c r="AP136" i="2"/>
  <c r="AM199" i="2"/>
  <c r="AM175" i="2"/>
  <c r="AP180" i="2"/>
  <c r="AN200" i="2"/>
  <c r="AN195" i="2"/>
  <c r="AO154" i="2"/>
  <c r="AO135" i="2"/>
  <c r="AN136" i="2"/>
  <c r="AN193" i="2"/>
  <c r="AM177" i="2"/>
  <c r="AP216" i="2"/>
  <c r="AP149" i="2"/>
  <c r="AN186" i="2"/>
  <c r="AN155" i="2"/>
  <c r="AO152" i="2"/>
  <c r="AO150" i="2"/>
  <c r="AP124" i="2"/>
  <c r="AM137" i="2"/>
  <c r="AM202" i="2"/>
  <c r="AM135" i="2"/>
  <c r="AP176" i="2"/>
  <c r="AN212" i="2"/>
  <c r="AN166" i="2"/>
  <c r="AO173" i="2"/>
  <c r="AO127" i="2"/>
  <c r="AM200" i="2"/>
  <c r="AM153" i="2"/>
  <c r="AP174" i="2"/>
  <c r="AN210" i="2"/>
  <c r="AN164" i="2"/>
  <c r="AO171" i="2"/>
  <c r="AN190" i="2"/>
  <c r="AM213" i="2"/>
  <c r="AM119" i="2"/>
  <c r="AP159" i="2"/>
  <c r="AN180" i="2"/>
  <c r="AN133" i="2"/>
  <c r="AO130" i="2"/>
  <c r="AM128" i="2"/>
  <c r="AO126" i="2"/>
  <c r="AO156" i="2"/>
  <c r="AM130" i="2"/>
  <c r="AP213" i="2"/>
  <c r="AP144" i="2"/>
  <c r="AN122" i="2"/>
  <c r="AO183" i="2"/>
  <c r="AO170" i="2"/>
  <c r="AP206" i="2"/>
  <c r="AM201" i="2"/>
  <c r="AN159" i="2"/>
  <c r="AM102" i="2"/>
  <c r="AM36" i="2"/>
  <c r="AP77" i="2"/>
  <c r="AN112" i="2"/>
  <c r="AN21" i="2"/>
  <c r="AO97" i="2"/>
  <c r="AM79" i="2"/>
  <c r="AN78" i="2"/>
  <c r="AM82" i="2"/>
  <c r="AN93" i="2"/>
  <c r="AP43" i="2"/>
  <c r="AM83" i="2"/>
  <c r="AM64" i="2"/>
  <c r="AM50" i="2"/>
  <c r="AM111" i="2"/>
  <c r="AP143" i="2"/>
  <c r="AP186" i="2"/>
  <c r="AP177" i="2"/>
  <c r="AP65" i="2"/>
  <c r="AM31" i="2"/>
  <c r="AO20" i="2"/>
  <c r="AO110" i="2"/>
  <c r="AN91" i="2"/>
  <c r="AP117" i="2"/>
  <c r="AM53" i="2"/>
  <c r="AO37" i="2"/>
  <c r="AO101" i="2"/>
  <c r="AO94" i="2"/>
  <c r="AO64" i="2"/>
  <c r="AO105" i="2"/>
  <c r="AO76" i="2"/>
  <c r="AP102" i="2"/>
  <c r="AP135" i="2"/>
  <c r="AN129" i="2"/>
  <c r="AP215" i="2"/>
  <c r="AO147" i="2"/>
  <c r="AM142" i="2"/>
  <c r="AM206" i="2"/>
  <c r="AM143" i="2"/>
  <c r="AP164" i="2"/>
  <c r="AN188" i="2"/>
  <c r="AN157" i="2"/>
  <c r="AO138" i="2"/>
  <c r="AO148" i="2"/>
  <c r="AO208" i="2"/>
  <c r="AO206" i="2"/>
  <c r="AM154" i="2"/>
  <c r="AP200" i="2"/>
  <c r="AP133" i="2"/>
  <c r="AN203" i="2"/>
  <c r="AN139" i="2"/>
  <c r="AO136" i="2"/>
  <c r="AO169" i="2"/>
  <c r="AN176" i="2"/>
  <c r="AP137" i="2"/>
  <c r="AM186" i="2"/>
  <c r="AM157" i="2"/>
  <c r="AP163" i="2"/>
  <c r="AN196" i="2"/>
  <c r="AN153" i="2"/>
  <c r="AO134" i="2"/>
  <c r="AM176" i="2"/>
  <c r="AM184" i="2"/>
  <c r="AM127" i="2"/>
  <c r="AP161" i="2"/>
  <c r="AN194" i="2"/>
  <c r="AN151" i="2"/>
  <c r="AO166" i="2"/>
  <c r="AN118" i="2"/>
  <c r="AM167" i="2"/>
  <c r="AP210" i="2"/>
  <c r="AM214" i="2"/>
  <c r="AP134" i="2"/>
  <c r="AO141" i="2"/>
  <c r="AO196" i="2"/>
  <c r="AN178" i="2"/>
  <c r="AM95" i="2"/>
  <c r="AM190" i="2"/>
  <c r="AM120" i="2"/>
  <c r="AP151" i="2"/>
  <c r="AN172" i="2"/>
  <c r="AN141" i="2"/>
  <c r="AO122" i="2"/>
  <c r="AO168" i="2"/>
  <c r="AO142" i="2"/>
  <c r="AO124" i="2"/>
  <c r="AM138" i="2"/>
  <c r="AP217" i="2"/>
  <c r="AP158" i="2"/>
  <c r="AN201" i="2"/>
  <c r="AN123" i="2"/>
  <c r="AO120" i="2"/>
  <c r="AO151" i="2"/>
  <c r="AN152" i="2"/>
  <c r="AN202" i="2"/>
  <c r="AM193" i="2"/>
  <c r="AM122" i="2"/>
  <c r="AP147" i="2"/>
  <c r="AN184" i="2"/>
  <c r="AN137" i="2"/>
  <c r="AO172" i="2"/>
  <c r="AP175" i="2"/>
  <c r="AM171" i="2"/>
  <c r="AP212" i="2"/>
  <c r="AP145" i="2"/>
  <c r="AN182" i="2"/>
  <c r="AN135" i="2"/>
  <c r="AO186" i="2"/>
  <c r="AO211" i="2"/>
  <c r="AM148" i="2"/>
  <c r="AP194" i="2"/>
  <c r="AP129" i="2"/>
  <c r="AN171" i="2"/>
  <c r="AO212" i="2"/>
  <c r="AO163" i="2"/>
  <c r="AP207" i="2"/>
  <c r="AM185" i="2"/>
  <c r="AM212" i="2"/>
  <c r="AM155" i="2"/>
  <c r="AP170" i="2"/>
  <c r="AN209" i="2"/>
  <c r="AN147" i="2"/>
  <c r="AO144" i="2"/>
  <c r="AM203" i="2"/>
  <c r="AP139" i="2"/>
  <c r="AP211" i="2"/>
  <c r="AM215" i="2"/>
  <c r="AM115" i="2"/>
  <c r="AM26" i="2"/>
  <c r="AP49" i="2"/>
  <c r="AN113" i="2"/>
  <c r="AN34" i="2"/>
  <c r="AO63" i="2"/>
  <c r="AM100" i="2"/>
  <c r="AM32" i="2"/>
  <c r="AP91" i="2"/>
  <c r="AN110" i="2"/>
  <c r="AN42" i="2"/>
  <c r="AO95" i="2"/>
  <c r="AO34" i="2"/>
  <c r="AM75" i="2"/>
  <c r="AM57" i="2"/>
  <c r="AM110" i="2"/>
  <c r="AN87" i="2"/>
  <c r="AM49" i="2"/>
  <c r="AN207" i="2"/>
  <c r="AP125" i="2"/>
  <c r="AM173" i="2"/>
  <c r="AO119" i="2"/>
  <c r="AP138" i="2"/>
  <c r="AM125" i="2"/>
  <c r="AN131" i="2"/>
  <c r="AM34" i="2"/>
  <c r="AP33" i="2"/>
  <c r="AN22" i="2"/>
  <c r="AO29" i="2"/>
  <c r="AM76" i="2"/>
  <c r="AP44" i="2"/>
  <c r="AN54" i="2"/>
  <c r="AN69" i="2"/>
  <c r="AO22" i="2"/>
  <c r="AO89" i="2"/>
  <c r="AP37" i="2"/>
  <c r="AN97" i="2"/>
  <c r="AO77" i="2"/>
  <c r="AM41" i="2"/>
  <c r="AP85" i="2"/>
  <c r="AO67" i="2"/>
  <c r="AM105" i="2"/>
  <c r="AO24" i="2"/>
  <c r="AM94" i="2"/>
  <c r="AN62" i="2"/>
  <c r="AN44" i="2"/>
  <c r="AP94" i="2"/>
  <c r="AP25" i="2"/>
  <c r="AO104" i="2"/>
  <c r="AO60" i="2"/>
  <c r="AP86" i="2"/>
  <c r="AN83" i="2"/>
  <c r="AO47" i="2"/>
  <c r="AM59" i="2"/>
  <c r="AP48" i="2"/>
  <c r="AN56" i="2"/>
  <c r="AP56" i="2"/>
  <c r="AP115" i="2"/>
  <c r="AM84" i="2"/>
  <c r="AP112" i="2"/>
  <c r="AN57" i="2"/>
  <c r="AM67" i="2"/>
  <c r="AO109" i="2"/>
  <c r="AM21" i="2"/>
  <c r="AP34" i="2"/>
  <c r="AO92" i="2"/>
  <c r="AM44" i="2"/>
  <c r="AO56" i="2"/>
  <c r="AP63" i="2"/>
  <c r="AN80" i="2"/>
  <c r="AO48" i="2"/>
  <c r="AM81" i="2"/>
  <c r="AN84" i="2"/>
  <c r="AN94" i="2"/>
  <c r="W199" i="3"/>
  <c r="W193" i="3"/>
  <c r="W195" i="3"/>
  <c r="W137" i="3"/>
  <c r="W187" i="3"/>
  <c r="J198" i="3"/>
  <c r="J191" i="3"/>
  <c r="K171" i="3"/>
  <c r="N130" i="3"/>
  <c r="R150" i="3"/>
  <c r="N141" i="3"/>
  <c r="I182" i="3"/>
  <c r="T162" i="3"/>
  <c r="T137" i="3"/>
  <c r="N177" i="3"/>
  <c r="P181" i="3"/>
  <c r="N153" i="3"/>
  <c r="S214" i="3"/>
  <c r="R164" i="3"/>
  <c r="W142" i="3"/>
  <c r="J139" i="3"/>
  <c r="R196" i="3"/>
  <c r="L126" i="3"/>
  <c r="S139" i="3"/>
  <c r="V150" i="3"/>
  <c r="K162" i="3"/>
  <c r="Q143" i="3"/>
  <c r="U191" i="3"/>
  <c r="I158" i="3"/>
  <c r="M161" i="3"/>
  <c r="P139" i="3"/>
  <c r="S180" i="3"/>
  <c r="L150" i="3"/>
  <c r="J186" i="3"/>
  <c r="J142" i="3"/>
  <c r="K135" i="3"/>
  <c r="M157" i="3"/>
  <c r="M124" i="3"/>
  <c r="U132" i="3"/>
  <c r="M172" i="3"/>
  <c r="L154" i="3"/>
  <c r="L129" i="3"/>
  <c r="S168" i="3"/>
  <c r="K167" i="3"/>
  <c r="U144" i="3"/>
  <c r="L189" i="3"/>
  <c r="Q155" i="3"/>
  <c r="V217" i="3"/>
  <c r="W170" i="3"/>
  <c r="J168" i="3"/>
  <c r="J155" i="3"/>
  <c r="Q125" i="3"/>
  <c r="P160" i="3"/>
  <c r="U124" i="3"/>
  <c r="S138" i="3"/>
  <c r="V177" i="3"/>
  <c r="T154" i="3"/>
  <c r="T129" i="3"/>
  <c r="L169" i="3"/>
  <c r="S167" i="3"/>
  <c r="N145" i="3"/>
  <c r="L190" i="3"/>
  <c r="V160" i="3"/>
  <c r="W145" i="3"/>
  <c r="W148" i="3"/>
  <c r="J199" i="3"/>
  <c r="V123" i="3"/>
  <c r="I123" i="3"/>
  <c r="R130" i="3"/>
  <c r="T164" i="3"/>
  <c r="T163" i="3"/>
  <c r="N140" i="3"/>
  <c r="K182" i="3"/>
  <c r="K160" i="3"/>
  <c r="R158" i="3"/>
  <c r="M136" i="3"/>
  <c r="T175" i="3"/>
  <c r="I147" i="3"/>
  <c r="M190" i="3"/>
  <c r="W182" i="3"/>
  <c r="J187" i="3"/>
  <c r="O127" i="3"/>
  <c r="T144" i="3"/>
  <c r="O175" i="3"/>
  <c r="K130" i="3"/>
  <c r="R169" i="3"/>
  <c r="L146" i="3"/>
  <c r="O201" i="3"/>
  <c r="P165" i="3"/>
  <c r="O163" i="3"/>
  <c r="U136" i="3"/>
  <c r="M176" i="3"/>
  <c r="Q147" i="3"/>
  <c r="J183" i="3"/>
  <c r="J184" i="3"/>
  <c r="U149" i="3"/>
  <c r="T182" i="3"/>
  <c r="U123" i="3"/>
  <c r="V149" i="3"/>
  <c r="V195" i="3"/>
  <c r="M171" i="3"/>
  <c r="R151" i="3"/>
  <c r="S222" i="3"/>
  <c r="P211" i="3"/>
  <c r="V161" i="3"/>
  <c r="S133" i="3"/>
  <c r="K173" i="3"/>
  <c r="W160" i="3"/>
  <c r="W141" i="3"/>
  <c r="J169" i="3"/>
  <c r="J164" i="3"/>
  <c r="Q127" i="3"/>
  <c r="P148" i="3"/>
  <c r="N124" i="3"/>
  <c r="O150" i="3"/>
  <c r="S196" i="3"/>
  <c r="U171" i="3"/>
  <c r="U146" i="3"/>
  <c r="I196" i="3"/>
  <c r="K214" i="3"/>
  <c r="O162" i="3"/>
  <c r="L134" i="3"/>
  <c r="S173" i="3"/>
  <c r="K140" i="3"/>
  <c r="T181" i="3"/>
  <c r="M185" i="3"/>
  <c r="M207" i="3"/>
  <c r="W207" i="3"/>
  <c r="W201" i="3"/>
  <c r="W203" i="3"/>
  <c r="W153" i="3"/>
  <c r="W124" i="3"/>
  <c r="J176" i="3"/>
  <c r="J171" i="3"/>
  <c r="M131" i="3"/>
  <c r="U157" i="3"/>
  <c r="R191" i="3"/>
  <c r="S146" i="3"/>
  <c r="T189" i="3"/>
  <c r="Q167" i="3"/>
  <c r="Q142" i="3"/>
  <c r="V184" i="3"/>
  <c r="M199" i="3"/>
  <c r="S158" i="3"/>
  <c r="O129" i="3"/>
  <c r="V168" i="3"/>
  <c r="W158" i="3"/>
  <c r="J124" i="3"/>
  <c r="P124" i="3"/>
  <c r="Q137" i="3"/>
  <c r="K155" i="3"/>
  <c r="P127" i="3"/>
  <c r="O166" i="3"/>
  <c r="N148" i="3"/>
  <c r="M216" i="3"/>
  <c r="U162" i="3"/>
  <c r="R166" i="3"/>
  <c r="M144" i="3"/>
  <c r="K188" i="3"/>
  <c r="I155" i="3"/>
  <c r="J174" i="3"/>
  <c r="J156" i="3"/>
  <c r="K151" i="3"/>
  <c r="S124" i="3"/>
  <c r="M133" i="3"/>
  <c r="K138" i="3"/>
  <c r="K177" i="3"/>
  <c r="I159" i="3"/>
  <c r="I134" i="3"/>
  <c r="P173" i="3"/>
  <c r="O171" i="3"/>
  <c r="K150" i="3"/>
  <c r="L197" i="3"/>
  <c r="N160" i="3"/>
  <c r="W136" i="3"/>
  <c r="W186" i="3"/>
  <c r="J193" i="3"/>
  <c r="J170" i="3"/>
  <c r="I137" i="3"/>
  <c r="L125" i="3"/>
  <c r="R134" i="3"/>
  <c r="P143" i="3"/>
  <c r="S184" i="3"/>
  <c r="Q159" i="3"/>
  <c r="Q134" i="3"/>
  <c r="I174" i="3"/>
  <c r="P172" i="3"/>
  <c r="S150" i="3"/>
  <c r="L198" i="3"/>
  <c r="L166" i="3"/>
  <c r="W161" i="3"/>
  <c r="W164" i="3"/>
  <c r="J203" i="3"/>
  <c r="O184" i="3"/>
  <c r="I129" i="3"/>
  <c r="I145" i="3"/>
  <c r="R129" i="3"/>
  <c r="Q168" i="3"/>
  <c r="S145" i="3"/>
  <c r="M200" i="3"/>
  <c r="O164" i="3"/>
  <c r="V162" i="3"/>
  <c r="R141" i="3"/>
  <c r="L183" i="3"/>
  <c r="U151" i="3"/>
  <c r="Q198" i="3"/>
  <c r="J159" i="3"/>
  <c r="J217" i="3"/>
  <c r="T140" i="3"/>
  <c r="I169" i="3"/>
  <c r="W198" i="3"/>
  <c r="W215" i="3"/>
  <c r="W209" i="3"/>
  <c r="W211" i="3"/>
  <c r="W169" i="3"/>
  <c r="W140" i="3"/>
  <c r="J201" i="3"/>
  <c r="P125" i="3"/>
  <c r="U165" i="3"/>
  <c r="S190" i="3"/>
  <c r="V124" i="3"/>
  <c r="P151" i="3"/>
  <c r="T197" i="3"/>
  <c r="N172" i="3"/>
  <c r="N147" i="3"/>
  <c r="I198" i="3"/>
  <c r="I220" i="3"/>
  <c r="P163" i="3"/>
  <c r="T134" i="3"/>
  <c r="L174" i="3"/>
  <c r="W174" i="3"/>
  <c r="J215" i="3"/>
  <c r="U133" i="3"/>
  <c r="R154" i="3"/>
  <c r="T123" i="3"/>
  <c r="M132" i="3"/>
  <c r="T171" i="3"/>
  <c r="S153" i="3"/>
  <c r="S128" i="3"/>
  <c r="K168" i="3"/>
  <c r="V170" i="3"/>
  <c r="R149" i="3"/>
  <c r="K196" i="3"/>
  <c r="U159" i="3"/>
  <c r="J146" i="3"/>
  <c r="J145" i="3"/>
  <c r="I124" i="3"/>
  <c r="N134" i="3"/>
  <c r="N158" i="3"/>
  <c r="O142" i="3"/>
  <c r="T183" i="3"/>
  <c r="U163" i="3"/>
  <c r="U138" i="3"/>
  <c r="U179" i="3"/>
  <c r="T176" i="3"/>
  <c r="O154" i="3"/>
  <c r="Q220" i="3"/>
  <c r="S165" i="3"/>
  <c r="W152" i="3"/>
  <c r="W133" i="3"/>
  <c r="J133" i="3"/>
  <c r="J163" i="3"/>
  <c r="T156" i="3"/>
  <c r="U137" i="3"/>
  <c r="Q161" i="3"/>
  <c r="M148" i="3"/>
  <c r="S192" i="3"/>
  <c r="N164" i="3"/>
  <c r="N139" i="3"/>
  <c r="Q180" i="3"/>
  <c r="O177" i="3"/>
  <c r="P155" i="3"/>
  <c r="Q131" i="3"/>
  <c r="I171" i="3"/>
  <c r="W177" i="3"/>
  <c r="W180" i="3"/>
  <c r="J197" i="3"/>
  <c r="R126" i="3"/>
  <c r="V142" i="3"/>
  <c r="T172" i="3"/>
  <c r="V133" i="3"/>
  <c r="N173" i="3"/>
  <c r="P150" i="3"/>
  <c r="M130" i="3"/>
  <c r="T169" i="3"/>
  <c r="L168" i="3"/>
  <c r="V145" i="3"/>
  <c r="L191" i="3"/>
  <c r="K157" i="3"/>
  <c r="W159" i="3"/>
  <c r="J178" i="3"/>
  <c r="J136" i="3"/>
  <c r="R162" i="3"/>
  <c r="M126" i="3"/>
  <c r="U141" i="3"/>
  <c r="T139" i="3"/>
  <c r="Q179" i="3"/>
  <c r="U155" i="3"/>
  <c r="K136" i="3"/>
  <c r="R175" i="3"/>
  <c r="Q173" i="3"/>
  <c r="O146" i="3"/>
  <c r="K192" i="3"/>
  <c r="S157" i="3"/>
  <c r="J149" i="3"/>
  <c r="N132" i="3"/>
  <c r="R124" i="3"/>
  <c r="I133" i="3"/>
  <c r="Q145" i="3"/>
  <c r="I160" i="3"/>
  <c r="O141" i="3"/>
  <c r="U184" i="3"/>
  <c r="L161" i="3"/>
  <c r="S159" i="3"/>
  <c r="Q132" i="3"/>
  <c r="I172" i="3"/>
  <c r="M143" i="3"/>
  <c r="M184" i="3"/>
  <c r="W192" i="3"/>
  <c r="W173" i="3"/>
  <c r="J141" i="3"/>
  <c r="Q153" i="3"/>
  <c r="S197" i="3"/>
  <c r="M125" i="3"/>
  <c r="K147" i="3"/>
  <c r="Q160" i="3"/>
  <c r="P142" i="3"/>
  <c r="V185" i="3"/>
  <c r="O156" i="3"/>
  <c r="L160" i="3"/>
  <c r="R133" i="3"/>
  <c r="Q172" i="3"/>
  <c r="U143" i="3"/>
  <c r="N185" i="3"/>
  <c r="T149" i="3"/>
  <c r="R197" i="3"/>
  <c r="V194" i="3"/>
  <c r="V216" i="3"/>
  <c r="W206" i="3"/>
  <c r="W213" i="3"/>
  <c r="W217" i="3"/>
  <c r="W219" i="3"/>
  <c r="W185" i="3"/>
  <c r="W156" i="3"/>
  <c r="J132" i="3"/>
  <c r="N123" i="3"/>
  <c r="P202" i="3"/>
  <c r="U125" i="3"/>
  <c r="O133" i="3"/>
  <c r="M156" i="3"/>
  <c r="L138" i="3"/>
  <c r="U178" i="3"/>
  <c r="S152" i="3"/>
  <c r="O155" i="3"/>
  <c r="U128" i="3"/>
  <c r="M168" i="3"/>
  <c r="Q139" i="3"/>
  <c r="M179" i="3"/>
  <c r="W190" i="3"/>
  <c r="J150" i="3"/>
  <c r="Q149" i="3"/>
  <c r="K124" i="3"/>
  <c r="T130" i="3"/>
  <c r="R137" i="3"/>
  <c r="Q176" i="3"/>
  <c r="P158" i="3"/>
  <c r="P133" i="3"/>
  <c r="O172" i="3"/>
  <c r="L176" i="3"/>
  <c r="V153" i="3"/>
  <c r="N217" i="3"/>
  <c r="K165" i="3"/>
  <c r="J207" i="3"/>
  <c r="J182" i="3"/>
  <c r="O135" i="3"/>
  <c r="N166" i="3"/>
  <c r="O218" i="3"/>
  <c r="T147" i="3"/>
  <c r="T191" i="3"/>
  <c r="K169" i="3"/>
  <c r="K144" i="3"/>
  <c r="I188" i="3"/>
  <c r="I186" i="3"/>
  <c r="T159" i="3"/>
  <c r="I131" i="3"/>
  <c r="P170" i="3"/>
  <c r="W168" i="3"/>
  <c r="W149" i="3"/>
  <c r="J213" i="3"/>
  <c r="J152" i="3"/>
  <c r="Q124" i="3"/>
  <c r="Q169" i="3"/>
  <c r="I127" i="3"/>
  <c r="R153" i="3"/>
  <c r="U202" i="3"/>
  <c r="S169" i="3"/>
  <c r="S144" i="3"/>
  <c r="I190" i="3"/>
  <c r="K189" i="3"/>
  <c r="M160" i="3"/>
  <c r="N136" i="3"/>
  <c r="U175" i="3"/>
  <c r="W131" i="3"/>
  <c r="J160" i="3"/>
  <c r="J210" i="3"/>
  <c r="V138" i="3"/>
  <c r="K163" i="3"/>
  <c r="N125" i="3"/>
  <c r="L139" i="3"/>
  <c r="T178" i="3"/>
  <c r="M155" i="3"/>
  <c r="R135" i="3"/>
  <c r="Q174" i="3"/>
  <c r="I173" i="3"/>
  <c r="L151" i="3"/>
  <c r="R199" i="3"/>
  <c r="O161" i="3"/>
  <c r="W135" i="3"/>
  <c r="J166" i="3"/>
  <c r="J144" i="3"/>
  <c r="K126" i="3"/>
  <c r="M141" i="3"/>
  <c r="P179" i="3"/>
  <c r="Q144" i="3"/>
  <c r="U186" i="3"/>
  <c r="K161" i="3"/>
  <c r="O140" i="3"/>
  <c r="L182" i="3"/>
  <c r="I179" i="3"/>
  <c r="T151" i="3"/>
  <c r="U200" i="3"/>
  <c r="P162" i="3"/>
  <c r="J135" i="3"/>
  <c r="Q133" i="3"/>
  <c r="O131" i="3"/>
  <c r="T148" i="3"/>
  <c r="R170" i="3"/>
  <c r="U164" i="3"/>
  <c r="T146" i="3"/>
  <c r="T207" i="3"/>
  <c r="I166" i="3"/>
  <c r="P164" i="3"/>
  <c r="N137" i="3"/>
  <c r="U176" i="3"/>
  <c r="R148" i="3"/>
  <c r="M192" i="3"/>
  <c r="W130" i="3"/>
  <c r="W189" i="3"/>
  <c r="J216" i="3"/>
  <c r="R138" i="3"/>
  <c r="K125" i="3"/>
  <c r="P134" i="3"/>
  <c r="M173" i="3"/>
  <c r="N165" i="3"/>
  <c r="M147" i="3"/>
  <c r="O210" i="3"/>
  <c r="T161" i="3"/>
  <c r="I165" i="3"/>
  <c r="V137" i="3"/>
  <c r="P177" i="3"/>
  <c r="K149" i="3"/>
  <c r="N193" i="3"/>
  <c r="Q154" i="3"/>
  <c r="L215" i="3"/>
  <c r="L200" i="3"/>
  <c r="L222" i="3"/>
  <c r="W214" i="3"/>
  <c r="W221" i="3"/>
  <c r="W194" i="3"/>
  <c r="W196" i="3"/>
  <c r="W123" i="3"/>
  <c r="W172" i="3"/>
  <c r="J154" i="3"/>
  <c r="M149" i="3"/>
  <c r="S125" i="3"/>
  <c r="L136" i="3"/>
  <c r="I149" i="3"/>
  <c r="R161" i="3"/>
  <c r="I143" i="3"/>
  <c r="U190" i="3"/>
  <c r="P157" i="3"/>
  <c r="T160" i="3"/>
  <c r="K134" i="3"/>
  <c r="R173" i="3"/>
  <c r="N144" i="3"/>
  <c r="O186" i="3"/>
  <c r="J172" i="3"/>
  <c r="J157" i="3"/>
  <c r="P123" i="3"/>
  <c r="S131" i="3"/>
  <c r="S155" i="3"/>
  <c r="V141" i="3"/>
  <c r="U182" i="3"/>
  <c r="M163" i="3"/>
  <c r="M138" i="3"/>
  <c r="I178" i="3"/>
  <c r="M182" i="3"/>
  <c r="L159" i="3"/>
  <c r="P130" i="3"/>
  <c r="W127" i="3"/>
  <c r="J123" i="3"/>
  <c r="U129" i="3"/>
  <c r="N174" i="3"/>
  <c r="T198" i="3"/>
  <c r="P126" i="3"/>
  <c r="Q152" i="3"/>
  <c r="N201" i="3"/>
  <c r="O173" i="3"/>
  <c r="O148" i="3"/>
  <c r="N200" i="3"/>
  <c r="V201" i="3"/>
  <c r="Q164" i="3"/>
  <c r="U135" i="3"/>
  <c r="M175" i="3"/>
  <c r="W184" i="3"/>
  <c r="W165" i="3"/>
  <c r="J214" i="3"/>
  <c r="J212" i="3"/>
  <c r="M137" i="3"/>
  <c r="K123" i="3"/>
  <c r="N138" i="3"/>
  <c r="V157" i="3"/>
  <c r="I135" i="3"/>
  <c r="P174" i="3"/>
  <c r="P149" i="3"/>
  <c r="T201" i="3"/>
  <c r="P203" i="3"/>
  <c r="R165" i="3"/>
  <c r="S141" i="3"/>
  <c r="S181" i="3"/>
  <c r="W147" i="3"/>
  <c r="J220" i="3"/>
  <c r="J129" i="3"/>
  <c r="O159" i="3"/>
  <c r="T125" i="3"/>
  <c r="P136" i="3"/>
  <c r="I144" i="3"/>
  <c r="T185" i="3"/>
  <c r="R160" i="3"/>
  <c r="V139" i="3"/>
  <c r="O181" i="3"/>
  <c r="L178" i="3"/>
  <c r="I156" i="3"/>
  <c r="M127" i="3"/>
  <c r="T166" i="3"/>
  <c r="W151" i="3"/>
  <c r="J162" i="3"/>
  <c r="J195" i="3"/>
  <c r="P144" i="3"/>
  <c r="Q178" i="3"/>
  <c r="M123" i="3"/>
  <c r="N149" i="3"/>
  <c r="U194" i="3"/>
  <c r="O165" i="3"/>
  <c r="T145" i="3"/>
  <c r="V192" i="3"/>
  <c r="I194" i="3"/>
  <c r="Q156" i="3"/>
  <c r="U127" i="3"/>
  <c r="W143" i="3"/>
  <c r="J219" i="3"/>
  <c r="T128" i="3"/>
  <c r="N146" i="3"/>
  <c r="O204" i="3"/>
  <c r="S130" i="3"/>
  <c r="K170" i="3"/>
  <c r="Q151" i="3"/>
  <c r="N131" i="3"/>
  <c r="U170" i="3"/>
  <c r="M169" i="3"/>
  <c r="S142" i="3"/>
  <c r="L185" i="3"/>
  <c r="V152" i="3"/>
  <c r="V200" i="3"/>
  <c r="W146" i="3"/>
  <c r="W167" i="3"/>
  <c r="J140" i="3"/>
  <c r="U145" i="3"/>
  <c r="V132" i="3"/>
  <c r="N150" i="3"/>
  <c r="L131" i="3"/>
  <c r="S170" i="3"/>
  <c r="R152" i="3"/>
  <c r="R127" i="3"/>
  <c r="Q166" i="3"/>
  <c r="U169" i="3"/>
  <c r="L143" i="3"/>
  <c r="M186" i="3"/>
  <c r="O153" i="3"/>
  <c r="M167" i="3"/>
  <c r="N159" i="3"/>
  <c r="S208" i="3"/>
  <c r="I205" i="3"/>
  <c r="W222" i="3"/>
  <c r="W200" i="3"/>
  <c r="W202" i="3"/>
  <c r="W204" i="3"/>
  <c r="W139" i="3"/>
  <c r="W188" i="3"/>
  <c r="J147" i="3"/>
  <c r="O123" i="3"/>
  <c r="S135" i="3"/>
  <c r="P152" i="3"/>
  <c r="P176" i="3"/>
  <c r="V165" i="3"/>
  <c r="U147" i="3"/>
  <c r="R213" i="3"/>
  <c r="M162" i="3"/>
  <c r="Q165" i="3"/>
  <c r="O138" i="3"/>
  <c r="M178" i="3"/>
  <c r="S149" i="3"/>
  <c r="O194" i="3"/>
  <c r="J125" i="3"/>
  <c r="J165" i="3"/>
  <c r="T132" i="3"/>
  <c r="S163" i="3"/>
  <c r="R195" i="3"/>
  <c r="L147" i="3"/>
  <c r="T190" i="3"/>
  <c r="R168" i="3"/>
  <c r="R143" i="3"/>
  <c r="I187" i="3"/>
  <c r="S200" i="3"/>
  <c r="I164" i="3"/>
  <c r="M135" i="3"/>
  <c r="J126" i="3"/>
  <c r="J222" i="3"/>
  <c r="R188" i="3"/>
  <c r="R221" i="3"/>
  <c r="V126" i="3"/>
  <c r="T136" i="3"/>
  <c r="N157" i="3"/>
  <c r="M139" i="3"/>
  <c r="O180" i="3"/>
  <c r="T153" i="3"/>
  <c r="L152" i="3"/>
  <c r="V129" i="3"/>
  <c r="N169" i="3"/>
  <c r="K141" i="3"/>
  <c r="V180" i="3"/>
  <c r="W175" i="3"/>
  <c r="W181" i="3"/>
  <c r="J127" i="3"/>
  <c r="U173" i="3"/>
  <c r="T177" i="3"/>
  <c r="M129" i="3"/>
  <c r="V158" i="3"/>
  <c r="L163" i="3"/>
  <c r="U139" i="3"/>
  <c r="L181" i="3"/>
  <c r="M154" i="3"/>
  <c r="T152" i="3"/>
  <c r="O130" i="3"/>
  <c r="V169" i="3"/>
  <c r="P146" i="3"/>
  <c r="P189" i="3"/>
  <c r="W163" i="3"/>
  <c r="J167" i="3"/>
  <c r="J137" i="3"/>
  <c r="R125" i="3"/>
  <c r="O139" i="3"/>
  <c r="L164" i="3"/>
  <c r="U148" i="3"/>
  <c r="T193" i="3"/>
  <c r="V164" i="3"/>
  <c r="L145" i="3"/>
  <c r="V191" i="3"/>
  <c r="K190" i="3"/>
  <c r="U160" i="3"/>
  <c r="R132" i="3"/>
  <c r="Q171" i="3"/>
  <c r="W134" i="3"/>
  <c r="J206" i="3"/>
  <c r="I126" i="3"/>
  <c r="S189" i="3"/>
  <c r="L124" i="3"/>
  <c r="S129" i="3"/>
  <c r="S154" i="3"/>
  <c r="L207" i="3"/>
  <c r="T170" i="3"/>
  <c r="Q150" i="3"/>
  <c r="U216" i="3"/>
  <c r="M208" i="3"/>
  <c r="N161" i="3"/>
  <c r="K133" i="3"/>
  <c r="J158" i="3"/>
  <c r="J143" i="3"/>
  <c r="N142" i="3"/>
  <c r="V174" i="3"/>
  <c r="O126" i="3"/>
  <c r="P135" i="3"/>
  <c r="O174" i="3"/>
  <c r="N156" i="3"/>
  <c r="S136" i="3"/>
  <c r="K176" i="3"/>
  <c r="R174" i="3"/>
  <c r="P147" i="3"/>
  <c r="L193" i="3"/>
  <c r="L158" i="3"/>
  <c r="W191" i="3"/>
  <c r="W162" i="3"/>
  <c r="J196" i="3"/>
  <c r="J181" i="3"/>
  <c r="K131" i="3"/>
  <c r="L148" i="3"/>
  <c r="L128" i="3"/>
  <c r="I136" i="3"/>
  <c r="P175" i="3"/>
  <c r="V156" i="3"/>
  <c r="V131" i="3"/>
  <c r="N171" i="3"/>
  <c r="K175" i="3"/>
  <c r="I148" i="3"/>
  <c r="M194" i="3"/>
  <c r="T158" i="3"/>
  <c r="M191" i="3"/>
  <c r="S164" i="3"/>
  <c r="P213" i="3"/>
  <c r="U209" i="3"/>
  <c r="W197" i="3"/>
  <c r="W208" i="3"/>
  <c r="W210" i="3"/>
  <c r="W212" i="3"/>
  <c r="W155" i="3"/>
  <c r="J179" i="3"/>
  <c r="J134" i="3"/>
  <c r="P132" i="3"/>
  <c r="S151" i="3"/>
  <c r="L123" i="3"/>
  <c r="T131" i="3"/>
  <c r="L171" i="3"/>
  <c r="K153" i="3"/>
  <c r="K128" i="3"/>
  <c r="R167" i="3"/>
  <c r="N170" i="3"/>
  <c r="T143" i="3"/>
  <c r="N187" i="3"/>
  <c r="P154" i="3"/>
  <c r="W183" i="3"/>
  <c r="J175" i="3"/>
  <c r="P140" i="3"/>
  <c r="S171" i="3"/>
  <c r="Q194" i="3"/>
  <c r="O125" i="3"/>
  <c r="I152" i="3"/>
  <c r="K200" i="3"/>
  <c r="V172" i="3"/>
  <c r="V147" i="3"/>
  <c r="L199" i="3"/>
  <c r="N129" i="3"/>
  <c r="U168" i="3"/>
  <c r="R140" i="3"/>
  <c r="J180" i="3"/>
  <c r="J128" i="3"/>
  <c r="O124" i="3"/>
  <c r="T126" i="3"/>
  <c r="Q141" i="3"/>
  <c r="I153" i="3"/>
  <c r="S162" i="3"/>
  <c r="R144" i="3"/>
  <c r="U192" i="3"/>
  <c r="Q158" i="3"/>
  <c r="I157" i="3"/>
  <c r="L135" i="3"/>
  <c r="S174" i="3"/>
  <c r="O145" i="3"/>
  <c r="O188" i="3"/>
  <c r="W138" i="3"/>
  <c r="J153" i="3"/>
  <c r="J211" i="3"/>
  <c r="L201" i="3"/>
  <c r="S127" i="3"/>
  <c r="K143" i="3"/>
  <c r="Q128" i="3"/>
  <c r="I168" i="3"/>
  <c r="K145" i="3"/>
  <c r="V193" i="3"/>
  <c r="R159" i="3"/>
  <c r="Q157" i="3"/>
  <c r="T135" i="3"/>
  <c r="L175" i="3"/>
  <c r="M151" i="3"/>
  <c r="P197" i="3"/>
  <c r="W179" i="3"/>
  <c r="J200" i="3"/>
  <c r="J151" i="3"/>
  <c r="R142" i="3"/>
  <c r="L172" i="3"/>
  <c r="P128" i="3"/>
  <c r="K154" i="3"/>
  <c r="Q204" i="3"/>
  <c r="L170" i="3"/>
  <c r="I150" i="3"/>
  <c r="N203" i="3"/>
  <c r="R205" i="3"/>
  <c r="K166" i="3"/>
  <c r="V136" i="3"/>
  <c r="N176" i="3"/>
  <c r="W150" i="3"/>
  <c r="J189" i="3"/>
  <c r="K127" i="3"/>
  <c r="Q123" i="3"/>
  <c r="U131" i="3"/>
  <c r="S143" i="3"/>
  <c r="P159" i="3"/>
  <c r="R136" i="3"/>
  <c r="Q175" i="3"/>
  <c r="N155" i="3"/>
  <c r="U153" i="3"/>
  <c r="L127" i="3"/>
  <c r="S166" i="3"/>
  <c r="O137" i="3"/>
  <c r="J185" i="3"/>
  <c r="J204" i="3"/>
  <c r="M165" i="3"/>
  <c r="U126" i="3"/>
  <c r="O143" i="3"/>
  <c r="M140" i="3"/>
  <c r="N180" i="3"/>
  <c r="S161" i="3"/>
  <c r="P141" i="3"/>
  <c r="I183" i="3"/>
  <c r="V179" i="3"/>
  <c r="M152" i="3"/>
  <c r="V203" i="3"/>
  <c r="I163" i="3"/>
  <c r="W128" i="3"/>
  <c r="W178" i="3"/>
  <c r="J192" i="3"/>
  <c r="J205" i="3"/>
  <c r="L144" i="3"/>
  <c r="V209" i="3"/>
  <c r="M145" i="3"/>
  <c r="U140" i="3"/>
  <c r="K181" i="3"/>
  <c r="L162" i="3"/>
  <c r="L137" i="3"/>
  <c r="S176" i="3"/>
  <c r="R180" i="3"/>
  <c r="U152" i="3"/>
  <c r="U208" i="3"/>
  <c r="Q163" i="3"/>
  <c r="I130" i="3"/>
  <c r="P169" i="3"/>
  <c r="M218" i="3"/>
  <c r="K215" i="3"/>
  <c r="J177" i="3"/>
  <c r="O132" i="3"/>
  <c r="Q126" i="3"/>
  <c r="P156" i="3"/>
  <c r="I161" i="3"/>
  <c r="R181" i="3"/>
  <c r="V166" i="3"/>
  <c r="P182" i="3"/>
  <c r="L140" i="3"/>
  <c r="L142" i="3"/>
  <c r="O167" i="3"/>
  <c r="S160" i="3"/>
  <c r="T142" i="3"/>
  <c r="R146" i="3"/>
  <c r="P166" i="3"/>
  <c r="R157" i="3"/>
  <c r="W125" i="3"/>
  <c r="K129" i="3"/>
  <c r="I167" i="3"/>
  <c r="K158" i="3"/>
  <c r="M174" i="3"/>
  <c r="P209" i="3"/>
  <c r="T204" i="3"/>
  <c r="Q130" i="3"/>
  <c r="I170" i="3"/>
  <c r="I181" i="3"/>
  <c r="P220" i="3"/>
  <c r="I210" i="3"/>
  <c r="M205" i="3"/>
  <c r="K202" i="3"/>
  <c r="Q199" i="3"/>
  <c r="U213" i="3"/>
  <c r="R131" i="3"/>
  <c r="Q170" i="3"/>
  <c r="Q181" i="3"/>
  <c r="I221" i="3"/>
  <c r="N215" i="3"/>
  <c r="K211" i="3"/>
  <c r="S202" i="3"/>
  <c r="R200" i="3"/>
  <c r="Q215" i="3"/>
  <c r="M209" i="3"/>
  <c r="R184" i="3"/>
  <c r="N151" i="3"/>
  <c r="O202" i="3"/>
  <c r="L192" i="3"/>
  <c r="V208" i="3"/>
  <c r="I177" i="3"/>
  <c r="P216" i="3"/>
  <c r="I208" i="3"/>
  <c r="Q191" i="3"/>
  <c r="T206" i="3"/>
  <c r="K209" i="3"/>
  <c r="V151" i="3"/>
  <c r="I204" i="3"/>
  <c r="T192" i="3"/>
  <c r="O209" i="3"/>
  <c r="Q177" i="3"/>
  <c r="I217" i="3"/>
  <c r="Q208" i="3"/>
  <c r="N194" i="3"/>
  <c r="J188" i="3"/>
  <c r="V171" i="3"/>
  <c r="T215" i="3"/>
  <c r="S134" i="3"/>
  <c r="I128" i="3"/>
  <c r="T150" i="3"/>
  <c r="N133" i="3"/>
  <c r="R156" i="3"/>
  <c r="O158" i="3"/>
  <c r="Q182" i="3"/>
  <c r="O134" i="3"/>
  <c r="M170" i="3"/>
  <c r="N152" i="3"/>
  <c r="T124" i="3"/>
  <c r="R176" i="3"/>
  <c r="L167" i="3"/>
  <c r="W157" i="3"/>
  <c r="Q186" i="3"/>
  <c r="L177" i="3"/>
  <c r="T167" i="3"/>
  <c r="R189" i="3"/>
  <c r="M214" i="3"/>
  <c r="Q209" i="3"/>
  <c r="N135" i="3"/>
  <c r="U174" i="3"/>
  <c r="U185" i="3"/>
  <c r="I203" i="3"/>
  <c r="U214" i="3"/>
  <c r="R210" i="3"/>
  <c r="O206" i="3"/>
  <c r="N204" i="3"/>
  <c r="U180" i="3"/>
  <c r="V135" i="3"/>
  <c r="N175" i="3"/>
  <c r="N186" i="3"/>
  <c r="Q203" i="3"/>
  <c r="S220" i="3"/>
  <c r="O215" i="3"/>
  <c r="P207" i="3"/>
  <c r="V204" i="3"/>
  <c r="T186" i="3"/>
  <c r="S221" i="3"/>
  <c r="T218" i="3"/>
  <c r="S156" i="3"/>
  <c r="P205" i="3"/>
  <c r="I197" i="3"/>
  <c r="L214" i="3"/>
  <c r="U181" i="3"/>
  <c r="M221" i="3"/>
  <c r="U212" i="3"/>
  <c r="P206" i="3"/>
  <c r="T213" i="3"/>
  <c r="V176" i="3"/>
  <c r="L157" i="3"/>
  <c r="I206" i="3"/>
  <c r="Q197" i="3"/>
  <c r="T214" i="3"/>
  <c r="N182" i="3"/>
  <c r="U221" i="3"/>
  <c r="N213" i="3"/>
  <c r="M189" i="3"/>
  <c r="L133" i="3"/>
  <c r="S172" i="3"/>
  <c r="P221" i="3"/>
  <c r="I213" i="3"/>
  <c r="S212" i="3"/>
  <c r="K203" i="3"/>
  <c r="S194" i="3"/>
  <c r="K208" i="3"/>
  <c r="M220" i="3"/>
  <c r="N143" i="3"/>
  <c r="Q187" i="3"/>
  <c r="L184" i="3"/>
  <c r="L206" i="3"/>
  <c r="I218" i="3"/>
  <c r="P208" i="3"/>
  <c r="I200" i="3"/>
  <c r="T202" i="3"/>
  <c r="R139" i="3"/>
  <c r="N179" i="3"/>
  <c r="T195" i="3"/>
  <c r="W34" i="3"/>
  <c r="W52" i="3"/>
  <c r="J28" i="3"/>
  <c r="V33" i="3"/>
  <c r="K30" i="3"/>
  <c r="Q51" i="3"/>
  <c r="M38" i="3"/>
  <c r="O108" i="3"/>
  <c r="S59" i="3"/>
  <c r="S50" i="3"/>
  <c r="I39" i="3"/>
  <c r="O28" i="3"/>
  <c r="V67" i="3"/>
  <c r="P52" i="3"/>
  <c r="V82" i="3"/>
  <c r="W95" i="3"/>
  <c r="W51" i="3"/>
  <c r="J27" i="3"/>
  <c r="J67" i="3"/>
  <c r="N25" i="3"/>
  <c r="N32" i="3"/>
  <c r="P72" i="3"/>
  <c r="N63" i="3"/>
  <c r="M45" i="3"/>
  <c r="M36" i="3"/>
  <c r="T97" i="3"/>
  <c r="M59" i="3"/>
  <c r="L49" i="3"/>
  <c r="R38" i="3"/>
  <c r="U73" i="3"/>
  <c r="W29" i="3"/>
  <c r="J42" i="3"/>
  <c r="J83" i="3"/>
  <c r="N41" i="3"/>
  <c r="I43" i="3"/>
  <c r="Q34" i="3"/>
  <c r="M82" i="3"/>
  <c r="O55" i="3"/>
  <c r="K42" i="3"/>
  <c r="S25" i="3"/>
  <c r="K65" i="3"/>
  <c r="Q54" i="3"/>
  <c r="O43" i="3"/>
  <c r="S79" i="3"/>
  <c r="W25" i="3"/>
  <c r="W31" i="3"/>
  <c r="S147" i="3"/>
  <c r="S175" i="3"/>
  <c r="N126" i="3"/>
  <c r="K174" i="3"/>
  <c r="P167" i="3"/>
  <c r="O196" i="3"/>
  <c r="U172" i="3"/>
  <c r="W129" i="3"/>
  <c r="Q135" i="3"/>
  <c r="W166" i="3"/>
  <c r="M164" i="3"/>
  <c r="K159" i="3"/>
  <c r="J130" i="3"/>
  <c r="R183" i="3"/>
  <c r="M146" i="3"/>
  <c r="N128" i="3"/>
  <c r="J221" i="3"/>
  <c r="R187" i="3"/>
  <c r="I142" i="3"/>
  <c r="V128" i="3"/>
  <c r="P180" i="3"/>
  <c r="R219" i="3"/>
  <c r="N214" i="3"/>
  <c r="S140" i="3"/>
  <c r="S182" i="3"/>
  <c r="K191" i="3"/>
  <c r="U207" i="3"/>
  <c r="K220" i="3"/>
  <c r="V214" i="3"/>
  <c r="T211" i="3"/>
  <c r="S209" i="3"/>
  <c r="N188" i="3"/>
  <c r="L141" i="3"/>
  <c r="N183" i="3"/>
  <c r="S191" i="3"/>
  <c r="N208" i="3"/>
  <c r="M181" i="3"/>
  <c r="T220" i="3"/>
  <c r="M212" i="3"/>
  <c r="L210" i="3"/>
  <c r="S201" i="3"/>
  <c r="O208" i="3"/>
  <c r="T174" i="3"/>
  <c r="P161" i="3"/>
  <c r="M210" i="3"/>
  <c r="U201" i="3"/>
  <c r="I219" i="3"/>
  <c r="K187" i="3"/>
  <c r="S178" i="3"/>
  <c r="K218" i="3"/>
  <c r="R216" i="3"/>
  <c r="S179" i="3"/>
  <c r="K206" i="3"/>
  <c r="I162" i="3"/>
  <c r="U210" i="3"/>
  <c r="N202" i="3"/>
  <c r="Q219" i="3"/>
  <c r="S187" i="3"/>
  <c r="L179" i="3"/>
  <c r="S218" i="3"/>
  <c r="N205" i="3"/>
  <c r="I138" i="3"/>
  <c r="S177" i="3"/>
  <c r="N178" i="3"/>
  <c r="U217" i="3"/>
  <c r="P217" i="3"/>
  <c r="O207" i="3"/>
  <c r="P199" i="3"/>
  <c r="O179" i="3"/>
  <c r="S193" i="3"/>
  <c r="S148" i="3"/>
  <c r="Q195" i="3"/>
  <c r="I189" i="3"/>
  <c r="I211" i="3"/>
  <c r="U222" i="3"/>
  <c r="M213" i="3"/>
  <c r="U204" i="3"/>
  <c r="Q207" i="3"/>
  <c r="V143" i="3"/>
  <c r="Q188" i="3"/>
  <c r="P215" i="3"/>
  <c r="W50" i="3"/>
  <c r="W68" i="3"/>
  <c r="J30" i="3"/>
  <c r="L31" i="3"/>
  <c r="K62" i="3"/>
  <c r="N56" i="3"/>
  <c r="R43" i="3"/>
  <c r="I25" i="3"/>
  <c r="P64" i="3"/>
  <c r="P55" i="3"/>
  <c r="U43" i="3"/>
  <c r="T33" i="3"/>
  <c r="T89" i="3"/>
  <c r="M57" i="3"/>
  <c r="L88" i="3"/>
  <c r="W40" i="3"/>
  <c r="W67" i="3"/>
  <c r="J100" i="3"/>
  <c r="J75" i="3"/>
  <c r="T55" i="3"/>
  <c r="S37" i="3"/>
  <c r="L29" i="3"/>
  <c r="S68" i="3"/>
  <c r="R50" i="3"/>
  <c r="R41" i="3"/>
  <c r="K25" i="3"/>
  <c r="R64" i="3"/>
  <c r="I54" i="3"/>
  <c r="V42" i="3"/>
  <c r="K79" i="3"/>
  <c r="W45" i="3"/>
  <c r="J99" i="3"/>
  <c r="I28" i="3"/>
  <c r="T113" i="3"/>
  <c r="U47" i="3"/>
  <c r="N39" i="3"/>
  <c r="M114" i="3"/>
  <c r="T60" i="3"/>
  <c r="O46" i="3"/>
  <c r="P30" i="3"/>
  <c r="O69" i="3"/>
  <c r="N59" i="3"/>
  <c r="T48" i="3"/>
  <c r="P84" i="3"/>
  <c r="W41" i="3"/>
  <c r="W30" i="3"/>
  <c r="J98" i="3"/>
  <c r="J48" i="3"/>
  <c r="I52" i="3"/>
  <c r="N65" i="3"/>
  <c r="M63" i="3"/>
  <c r="W205" i="3"/>
  <c r="R123" i="3"/>
  <c r="Q148" i="3"/>
  <c r="V134" i="3"/>
  <c r="V144" i="3"/>
  <c r="V148" i="3"/>
  <c r="W154" i="3"/>
  <c r="O149" i="3"/>
  <c r="W132" i="3"/>
  <c r="I175" i="3"/>
  <c r="J202" i="3"/>
  <c r="V173" i="3"/>
  <c r="T168" i="3"/>
  <c r="J209" i="3"/>
  <c r="V130" i="3"/>
  <c r="V155" i="3"/>
  <c r="P138" i="3"/>
  <c r="J194" i="3"/>
  <c r="L132" i="3"/>
  <c r="K152" i="3"/>
  <c r="I139" i="3"/>
  <c r="R190" i="3"/>
  <c r="L180" i="3"/>
  <c r="S219" i="3"/>
  <c r="P145" i="3"/>
  <c r="Q190" i="3"/>
  <c r="O195" i="3"/>
  <c r="K213" i="3"/>
  <c r="T180" i="3"/>
  <c r="L220" i="3"/>
  <c r="Q216" i="3"/>
  <c r="P214" i="3"/>
  <c r="L218" i="3"/>
  <c r="I146" i="3"/>
  <c r="N191" i="3"/>
  <c r="P196" i="3"/>
  <c r="S213" i="3"/>
  <c r="R186" i="3"/>
  <c r="K178" i="3"/>
  <c r="R217" i="3"/>
  <c r="I215" i="3"/>
  <c r="M211" i="3"/>
  <c r="L204" i="3"/>
  <c r="M202" i="3"/>
  <c r="M166" i="3"/>
  <c r="R215" i="3"/>
  <c r="K207" i="3"/>
  <c r="P201" i="3"/>
  <c r="O191" i="3"/>
  <c r="P183" i="3"/>
  <c r="O222" i="3"/>
  <c r="V196" i="3"/>
  <c r="I209" i="3"/>
  <c r="N127" i="3"/>
  <c r="U166" i="3"/>
  <c r="K216" i="3"/>
  <c r="S207" i="3"/>
  <c r="I202" i="3"/>
  <c r="P192" i="3"/>
  <c r="I184" i="3"/>
  <c r="N196" i="3"/>
  <c r="P198" i="3"/>
  <c r="U142" i="3"/>
  <c r="P186" i="3"/>
  <c r="S183" i="3"/>
  <c r="S205" i="3"/>
  <c r="M222" i="3"/>
  <c r="T212" i="3"/>
  <c r="M204" i="3"/>
  <c r="R214" i="3"/>
  <c r="M196" i="3"/>
  <c r="P153" i="3"/>
  <c r="N209" i="3"/>
  <c r="U193" i="3"/>
  <c r="U215" i="3"/>
  <c r="K179" i="3"/>
  <c r="R218" i="3"/>
  <c r="K210" i="3"/>
  <c r="N212" i="3"/>
  <c r="L149" i="3"/>
  <c r="Q196" i="3"/>
  <c r="Q183" i="3"/>
  <c r="W66" i="3"/>
  <c r="W84" i="3"/>
  <c r="J86" i="3"/>
  <c r="M90" i="3"/>
  <c r="L39" i="3"/>
  <c r="S61" i="3"/>
  <c r="V47" i="3"/>
  <c r="U29" i="3"/>
  <c r="M69" i="3"/>
  <c r="M60" i="3"/>
  <c r="K49" i="3"/>
  <c r="Q38" i="3"/>
  <c r="T121" i="3"/>
  <c r="R62" i="3"/>
  <c r="I93" i="3"/>
  <c r="W56" i="3"/>
  <c r="W83" i="3"/>
  <c r="J79" i="3"/>
  <c r="J84" i="3"/>
  <c r="S38" i="3"/>
  <c r="P42" i="3"/>
  <c r="I34" i="3"/>
  <c r="R79" i="3"/>
  <c r="V54" i="3"/>
  <c r="V45" i="3"/>
  <c r="O29" i="3"/>
  <c r="V68" i="3"/>
  <c r="U58" i="3"/>
  <c r="L48" i="3"/>
  <c r="O83" i="3"/>
  <c r="W61" i="3"/>
  <c r="J37" i="3"/>
  <c r="S54" i="3"/>
  <c r="V41" i="3"/>
  <c r="K53" i="3"/>
  <c r="S44" i="3"/>
  <c r="R26" i="3"/>
  <c r="Q65" i="3"/>
  <c r="T51" i="3"/>
  <c r="M35" i="3"/>
  <c r="U106" i="3"/>
  <c r="S64" i="3"/>
  <c r="Q53" i="3"/>
  <c r="M89" i="3"/>
  <c r="W57" i="3"/>
  <c r="W46" i="3"/>
  <c r="J36" i="3"/>
  <c r="J73" i="3"/>
  <c r="U40" i="3"/>
  <c r="K29" i="3"/>
  <c r="R68" i="3"/>
  <c r="W216" i="3"/>
  <c r="Q129" i="3"/>
  <c r="N195" i="3"/>
  <c r="U156" i="3"/>
  <c r="J161" i="3"/>
  <c r="P219" i="3"/>
  <c r="J190" i="3"/>
  <c r="K222" i="3"/>
  <c r="J131" i="3"/>
  <c r="U154" i="3"/>
  <c r="R128" i="3"/>
  <c r="V140" i="3"/>
  <c r="I132" i="3"/>
  <c r="J173" i="3"/>
  <c r="R145" i="3"/>
  <c r="I195" i="3"/>
  <c r="U167" i="3"/>
  <c r="J218" i="3"/>
  <c r="K146" i="3"/>
  <c r="V183" i="3"/>
  <c r="N168" i="3"/>
  <c r="O219" i="3"/>
  <c r="I185" i="3"/>
  <c r="R201" i="3"/>
  <c r="M150" i="3"/>
  <c r="S198" i="3"/>
  <c r="T200" i="3"/>
  <c r="O217" i="3"/>
  <c r="Q185" i="3"/>
  <c r="V181" i="3"/>
  <c r="N221" i="3"/>
  <c r="M219" i="3"/>
  <c r="P191" i="3"/>
  <c r="U150" i="3"/>
  <c r="U199" i="3"/>
  <c r="M201" i="3"/>
  <c r="P218" i="3"/>
  <c r="V190" i="3"/>
  <c r="O182" i="3"/>
  <c r="V221" i="3"/>
  <c r="U219" i="3"/>
  <c r="L202" i="3"/>
  <c r="K186" i="3"/>
  <c r="K132" i="3"/>
  <c r="R171" i="3"/>
  <c r="V219" i="3"/>
  <c r="O211" i="3"/>
  <c r="M206" i="3"/>
  <c r="T196" i="3"/>
  <c r="M188" i="3"/>
  <c r="L186" i="3"/>
  <c r="U211" i="3"/>
  <c r="Q200" i="3"/>
  <c r="S132" i="3"/>
  <c r="K172" i="3"/>
  <c r="O220" i="3"/>
  <c r="P212" i="3"/>
  <c r="U206" i="3"/>
  <c r="M197" i="3"/>
  <c r="U188" i="3"/>
  <c r="V220" i="3"/>
  <c r="L211" i="3"/>
  <c r="K148" i="3"/>
  <c r="P194" i="3"/>
  <c r="P188" i="3"/>
  <c r="P210" i="3"/>
  <c r="R178" i="3"/>
  <c r="Q217" i="3"/>
  <c r="R209" i="3"/>
  <c r="Q211" i="3"/>
  <c r="O213" i="3"/>
  <c r="M158" i="3"/>
  <c r="R207" i="3"/>
  <c r="K199" i="3"/>
  <c r="K221" i="3"/>
  <c r="O183" i="3"/>
  <c r="V222" i="3"/>
  <c r="O214" i="3"/>
  <c r="S217" i="3"/>
  <c r="I154" i="3"/>
  <c r="O212" i="3"/>
  <c r="V212" i="3"/>
  <c r="W82" i="3"/>
  <c r="W100" i="3"/>
  <c r="J51" i="3"/>
  <c r="M40" i="3"/>
  <c r="I27" i="3"/>
  <c r="P66" i="3"/>
  <c r="L53" i="3"/>
  <c r="K35" i="3"/>
  <c r="S88" i="3"/>
  <c r="R65" i="3"/>
  <c r="O53" i="3"/>
  <c r="N43" i="3"/>
  <c r="O27" i="3"/>
  <c r="V66" i="3"/>
  <c r="U97" i="3"/>
  <c r="W72" i="3"/>
  <c r="W99" i="3"/>
  <c r="J78" i="3"/>
  <c r="V65" i="3"/>
  <c r="P93" i="3"/>
  <c r="M47" i="3"/>
  <c r="U38" i="3"/>
  <c r="R111" i="3"/>
  <c r="L60" i="3"/>
  <c r="L51" i="3"/>
  <c r="T34" i="3"/>
  <c r="L89" i="3"/>
  <c r="K64" i="3"/>
  <c r="I53" i="3"/>
  <c r="T88" i="3"/>
  <c r="W77" i="3"/>
  <c r="J32" i="3"/>
  <c r="W218" i="3"/>
  <c r="Q136" i="3"/>
  <c r="M159" i="3"/>
  <c r="T138" i="3"/>
  <c r="J148" i="3"/>
  <c r="N163" i="3"/>
  <c r="J138" i="3"/>
  <c r="V163" i="3"/>
  <c r="K180" i="3"/>
  <c r="M153" i="3"/>
  <c r="L130" i="3"/>
  <c r="I151" i="3"/>
  <c r="K142" i="3"/>
  <c r="O147" i="3"/>
  <c r="L155" i="3"/>
  <c r="N154" i="3"/>
  <c r="R177" i="3"/>
  <c r="O192" i="3"/>
  <c r="T155" i="3"/>
  <c r="V154" i="3"/>
  <c r="O178" i="3"/>
  <c r="R212" i="3"/>
  <c r="U189" i="3"/>
  <c r="I199" i="3"/>
  <c r="R155" i="3"/>
  <c r="L209" i="3"/>
  <c r="Q205" i="3"/>
  <c r="T222" i="3"/>
  <c r="N190" i="3"/>
  <c r="L187" i="3"/>
  <c r="K185" i="3"/>
  <c r="P204" i="3"/>
  <c r="U203" i="3"/>
  <c r="K156" i="3"/>
  <c r="T209" i="3"/>
  <c r="R206" i="3"/>
  <c r="O200" i="3"/>
  <c r="L196" i="3"/>
  <c r="T187" i="3"/>
  <c r="S185" i="3"/>
  <c r="I191" i="3"/>
  <c r="O221" i="3"/>
  <c r="S210" i="3"/>
  <c r="O136" i="3"/>
  <c r="V175" i="3"/>
  <c r="M177" i="3"/>
  <c r="T216" i="3"/>
  <c r="R211" i="3"/>
  <c r="Q201" i="3"/>
  <c r="R193" i="3"/>
  <c r="K201" i="3"/>
  <c r="T217" i="3"/>
  <c r="R208" i="3"/>
  <c r="P137" i="3"/>
  <c r="O176" i="3"/>
  <c r="U177" i="3"/>
  <c r="M217" i="3"/>
  <c r="K212" i="3"/>
  <c r="R202" i="3"/>
  <c r="K194" i="3"/>
  <c r="M187" i="3"/>
  <c r="V188" i="3"/>
  <c r="O152" i="3"/>
  <c r="S206" i="3"/>
  <c r="M193" i="3"/>
  <c r="M215" i="3"/>
  <c r="V182" i="3"/>
  <c r="N222" i="3"/>
  <c r="V213" i="3"/>
  <c r="U198" i="3"/>
  <c r="M183" i="3"/>
  <c r="R163" i="3"/>
  <c r="V211" i="3"/>
  <c r="O203" i="3"/>
  <c r="M198" i="3"/>
  <c r="T188" i="3"/>
  <c r="M180" i="3"/>
  <c r="T219" i="3"/>
  <c r="P222" i="3"/>
  <c r="U158" i="3"/>
  <c r="S199" i="3"/>
  <c r="S186" i="3"/>
  <c r="W98" i="3"/>
  <c r="W116" i="3"/>
  <c r="J54" i="3"/>
  <c r="S73" i="3"/>
  <c r="U31" i="3"/>
  <c r="O71" i="3"/>
  <c r="I58" i="3"/>
  <c r="O39" i="3"/>
  <c r="O30" i="3"/>
  <c r="V69" i="3"/>
  <c r="T58" i="3"/>
  <c r="S48" i="3"/>
  <c r="T32" i="3"/>
  <c r="L73" i="3"/>
  <c r="K103" i="3"/>
  <c r="W88" i="3"/>
  <c r="W115" i="3"/>
  <c r="J77" i="3"/>
  <c r="U48" i="3"/>
  <c r="I36" i="3"/>
  <c r="R52" i="3"/>
  <c r="K44" i="3"/>
  <c r="Q25" i="3"/>
  <c r="I65" i="3"/>
  <c r="I56" i="3"/>
  <c r="Q39" i="3"/>
  <c r="P29" i="3"/>
  <c r="O68" i="3"/>
  <c r="U57" i="3"/>
  <c r="Q93" i="3"/>
  <c r="W93" i="3"/>
  <c r="J122" i="3"/>
  <c r="K46" i="3"/>
  <c r="S62" i="3"/>
  <c r="T62" i="3"/>
  <c r="M54" i="3"/>
  <c r="L36" i="3"/>
  <c r="Q94" i="3"/>
  <c r="N61" i="3"/>
  <c r="V44" i="3"/>
  <c r="U34" i="3"/>
  <c r="R95" i="3"/>
  <c r="S63" i="3"/>
  <c r="V98" i="3"/>
  <c r="W89" i="3"/>
  <c r="W220" i="3"/>
  <c r="I176" i="3"/>
  <c r="W126" i="3"/>
  <c r="R179" i="3"/>
  <c r="I125" i="3"/>
  <c r="U161" i="3"/>
  <c r="L156" i="3"/>
  <c r="N162" i="3"/>
  <c r="P185" i="3"/>
  <c r="P131" i="3"/>
  <c r="V146" i="3"/>
  <c r="U183" i="3"/>
  <c r="P171" i="3"/>
  <c r="S126" i="3"/>
  <c r="V187" i="3"/>
  <c r="K197" i="3"/>
  <c r="W144" i="3"/>
  <c r="P168" i="3"/>
  <c r="S188" i="3"/>
  <c r="K198" i="3"/>
  <c r="U134" i="3"/>
  <c r="N199" i="3"/>
  <c r="K195" i="3"/>
  <c r="O169" i="3"/>
  <c r="V159" i="3"/>
  <c r="I214" i="3"/>
  <c r="N210" i="3"/>
  <c r="V199" i="3"/>
  <c r="S195" i="3"/>
  <c r="I192" i="3"/>
  <c r="O189" i="3"/>
  <c r="Q218" i="3"/>
  <c r="R172" i="3"/>
  <c r="O160" i="3"/>
  <c r="Q214" i="3"/>
  <c r="V210" i="3"/>
  <c r="T205" i="3"/>
  <c r="I201" i="3"/>
  <c r="Q192" i="3"/>
  <c r="P190" i="3"/>
  <c r="U195" i="3"/>
  <c r="Q222" i="3"/>
  <c r="M203" i="3"/>
  <c r="T141" i="3"/>
  <c r="N184" i="3"/>
  <c r="R182" i="3"/>
  <c r="Q221" i="3"/>
  <c r="V215" i="3"/>
  <c r="N206" i="3"/>
  <c r="V197" i="3"/>
  <c r="T210" i="3"/>
  <c r="Q189" i="3"/>
  <c r="N181" i="3"/>
  <c r="M142" i="3"/>
  <c r="O185" i="3"/>
  <c r="K183" i="3"/>
  <c r="R222" i="3"/>
  <c r="O216" i="3"/>
  <c r="V206" i="3"/>
  <c r="O198" i="3"/>
  <c r="K217" i="3"/>
  <c r="I180" i="3"/>
  <c r="T157" i="3"/>
  <c r="Q206" i="3"/>
  <c r="R198" i="3"/>
  <c r="R220" i="3"/>
  <c r="L188" i="3"/>
  <c r="T179" i="3"/>
  <c r="L219" i="3"/>
  <c r="R194" i="3"/>
  <c r="O128" i="3"/>
  <c r="V167" i="3"/>
  <c r="L217" i="3"/>
  <c r="T208" i="3"/>
  <c r="R203" i="3"/>
  <c r="Q193" i="3"/>
  <c r="R185" i="3"/>
  <c r="U187" i="3"/>
  <c r="P187" i="3"/>
  <c r="K164" i="3"/>
  <c r="N216" i="3"/>
  <c r="I216" i="3"/>
  <c r="W114" i="3"/>
  <c r="W87" i="3"/>
  <c r="J68" i="3"/>
  <c r="V49" i="3"/>
  <c r="K37" i="3"/>
  <c r="U122" i="3"/>
  <c r="U62" i="3"/>
  <c r="T44" i="3"/>
  <c r="T35" i="3"/>
  <c r="V91" i="3"/>
  <c r="Q63" i="3"/>
  <c r="P53" i="3"/>
  <c r="Q37" i="3"/>
  <c r="L113" i="3"/>
  <c r="O107" i="3"/>
  <c r="W104" i="3"/>
  <c r="W55" i="3"/>
  <c r="J66" i="3"/>
  <c r="K96" i="3"/>
  <c r="I68" i="3"/>
  <c r="V56" i="3"/>
  <c r="O48" i="3"/>
  <c r="N30" i="3"/>
  <c r="U69" i="3"/>
  <c r="U60" i="3"/>
  <c r="N44" i="3"/>
  <c r="M34" i="3"/>
  <c r="O92" i="3"/>
  <c r="K63" i="3"/>
  <c r="N98" i="3"/>
  <c r="W109" i="3"/>
  <c r="J29" i="3"/>
  <c r="O26" i="3"/>
  <c r="R28" i="3"/>
  <c r="Q67" i="3"/>
  <c r="R59" i="3"/>
  <c r="I41" i="3"/>
  <c r="L27" i="3"/>
  <c r="S66" i="3"/>
  <c r="L50" i="3"/>
  <c r="K40" i="3"/>
  <c r="I29" i="3"/>
  <c r="P68" i="3"/>
  <c r="L104" i="3"/>
  <c r="W105" i="3"/>
  <c r="W94" i="3"/>
  <c r="J116" i="3"/>
  <c r="I102" i="3"/>
  <c r="Q44" i="3"/>
  <c r="Q43" i="3"/>
  <c r="W171" i="3"/>
  <c r="O157" i="3"/>
  <c r="J208" i="3"/>
  <c r="L153" i="3"/>
  <c r="K139" i="3"/>
  <c r="I140" i="3"/>
  <c r="I141" i="3"/>
  <c r="Q140" i="3"/>
  <c r="S123" i="3"/>
  <c r="O170" i="3"/>
  <c r="V125" i="3"/>
  <c r="U130" i="3"/>
  <c r="K184" i="3"/>
  <c r="P193" i="3"/>
  <c r="K137" i="3"/>
  <c r="T127" i="3"/>
  <c r="W176" i="3"/>
  <c r="O151" i="3"/>
  <c r="S137" i="3"/>
  <c r="M128" i="3"/>
  <c r="O144" i="3"/>
  <c r="S204" i="3"/>
  <c r="O199" i="3"/>
  <c r="P195" i="3"/>
  <c r="L165" i="3"/>
  <c r="U218" i="3"/>
  <c r="S215" i="3"/>
  <c r="L205" i="3"/>
  <c r="P200" i="3"/>
  <c r="U196" i="3"/>
  <c r="T194" i="3"/>
  <c r="P184" i="3"/>
  <c r="T199" i="3"/>
  <c r="T165" i="3"/>
  <c r="N219" i="3"/>
  <c r="L216" i="3"/>
  <c r="Q210" i="3"/>
  <c r="U205" i="3"/>
  <c r="N197" i="3"/>
  <c r="M195" i="3"/>
  <c r="O205" i="3"/>
  <c r="T184" i="3"/>
  <c r="V205" i="3"/>
  <c r="Q146" i="3"/>
  <c r="N192" i="3"/>
  <c r="V186" i="3"/>
  <c r="R204" i="3"/>
  <c r="L221" i="3"/>
  <c r="S211" i="3"/>
  <c r="L203" i="3"/>
  <c r="N220" i="3"/>
  <c r="V218" i="3"/>
  <c r="U220" i="3"/>
  <c r="R147" i="3"/>
  <c r="O193" i="3"/>
  <c r="O187" i="3"/>
  <c r="K205" i="3"/>
  <c r="T221" i="3"/>
  <c r="L212" i="3"/>
  <c r="T203" i="3"/>
  <c r="Q212" i="3"/>
  <c r="I212" i="3"/>
  <c r="Q162" i="3"/>
  <c r="N211" i="3"/>
  <c r="V202" i="3"/>
  <c r="Q202" i="3"/>
  <c r="I193" i="3"/>
  <c r="Q184" i="3"/>
  <c r="R192" i="3"/>
  <c r="K219" i="3"/>
  <c r="T133" i="3"/>
  <c r="L173" i="3"/>
  <c r="I222" i="3"/>
  <c r="Q213" i="3"/>
  <c r="V207" i="3"/>
  <c r="N198" i="3"/>
  <c r="V189" i="3"/>
  <c r="K193" i="3"/>
  <c r="P129" i="3"/>
  <c r="O168" i="3"/>
  <c r="K204" i="3"/>
  <c r="L194" i="3"/>
  <c r="W47" i="3"/>
  <c r="J41" i="3"/>
  <c r="J76" i="3"/>
  <c r="U32" i="3"/>
  <c r="O41" i="3"/>
  <c r="S28" i="3"/>
  <c r="K68" i="3"/>
  <c r="Q49" i="3"/>
  <c r="Q40" i="3"/>
  <c r="V28" i="3"/>
  <c r="N68" i="3"/>
  <c r="M58" i="3"/>
  <c r="N42" i="3"/>
  <c r="M73" i="3"/>
  <c r="T112" i="3"/>
  <c r="W120" i="3"/>
  <c r="J64" i="3"/>
  <c r="J53" i="3"/>
  <c r="P43" i="3"/>
  <c r="U56" i="3"/>
  <c r="L62" i="3"/>
  <c r="T53" i="3"/>
  <c r="S35" i="3"/>
  <c r="N91" i="3"/>
  <c r="K66" i="3"/>
  <c r="S49" i="3"/>
  <c r="R39" i="3"/>
  <c r="P28" i="3"/>
  <c r="O67" i="3"/>
  <c r="S103" i="3"/>
  <c r="J71" i="3"/>
  <c r="J93" i="3"/>
  <c r="S26" i="3"/>
  <c r="V32" i="3"/>
  <c r="T73" i="3"/>
  <c r="V63" i="3"/>
  <c r="U45" i="3"/>
  <c r="I32" i="3"/>
  <c r="U71" i="3"/>
  <c r="I55" i="3"/>
  <c r="O44" i="3"/>
  <c r="U33" i="3"/>
  <c r="Q78" i="3"/>
  <c r="I109" i="3"/>
  <c r="W121" i="3"/>
  <c r="W110" i="3"/>
  <c r="J39" i="3"/>
  <c r="I60" i="3"/>
  <c r="R119" i="3"/>
  <c r="N48" i="3"/>
  <c r="V127" i="3"/>
  <c r="O190" i="3"/>
  <c r="O197" i="3"/>
  <c r="R87" i="3"/>
  <c r="R63" i="3"/>
  <c r="Q27" i="3"/>
  <c r="M33" i="3"/>
  <c r="L38" i="3"/>
  <c r="U36" i="3"/>
  <c r="K39" i="3"/>
  <c r="W78" i="3"/>
  <c r="J82" i="3"/>
  <c r="T38" i="3"/>
  <c r="I50" i="3"/>
  <c r="O31" i="3"/>
  <c r="V70" i="3"/>
  <c r="R57" i="3"/>
  <c r="K41" i="3"/>
  <c r="Q30" i="3"/>
  <c r="I70" i="3"/>
  <c r="V58" i="3"/>
  <c r="K95" i="3"/>
  <c r="W106" i="3"/>
  <c r="W108" i="3"/>
  <c r="J115" i="3"/>
  <c r="O42" i="3"/>
  <c r="O50" i="3"/>
  <c r="L54" i="3"/>
  <c r="O40" i="3"/>
  <c r="K120" i="3"/>
  <c r="U61" i="3"/>
  <c r="I48" i="3"/>
  <c r="Q31" i="3"/>
  <c r="I71" i="3"/>
  <c r="K56" i="3"/>
  <c r="L40" i="3"/>
  <c r="K71" i="3"/>
  <c r="R110" i="3"/>
  <c r="W27" i="3"/>
  <c r="J72" i="3"/>
  <c r="J103" i="3"/>
  <c r="T63" i="3"/>
  <c r="L30" i="3"/>
  <c r="S69" i="3"/>
  <c r="V55" i="3"/>
  <c r="K43" i="3"/>
  <c r="U28" i="3"/>
  <c r="M68" i="3"/>
  <c r="U51" i="3"/>
  <c r="O36" i="3"/>
  <c r="K104" i="3"/>
  <c r="P60" i="3"/>
  <c r="V90" i="3"/>
  <c r="W53" i="3"/>
  <c r="J119" i="3"/>
  <c r="J44" i="3"/>
  <c r="Q52" i="3"/>
  <c r="T30" i="3"/>
  <c r="L70" i="3"/>
  <c r="O56" i="3"/>
  <c r="S43" i="3"/>
  <c r="S34" i="3"/>
  <c r="K80" i="3"/>
  <c r="S57" i="3"/>
  <c r="M42" i="3"/>
  <c r="N26" i="3"/>
  <c r="U65" i="3"/>
  <c r="T96" i="3"/>
  <c r="W81" i="3"/>
  <c r="W102" i="3"/>
  <c r="J47" i="3"/>
  <c r="R69" i="3"/>
  <c r="P26" i="3"/>
  <c r="O65" i="3"/>
  <c r="S52" i="3"/>
  <c r="V38" i="3"/>
  <c r="V29" i="3"/>
  <c r="N69" i="3"/>
  <c r="V52" i="3"/>
  <c r="U42" i="3"/>
  <c r="V26" i="3"/>
  <c r="N66" i="3"/>
  <c r="M97" i="3"/>
  <c r="V73" i="3"/>
  <c r="N113" i="3"/>
  <c r="P106" i="3"/>
  <c r="K92" i="3"/>
  <c r="V78" i="3"/>
  <c r="N118" i="3"/>
  <c r="M108" i="3"/>
  <c r="V100" i="3"/>
  <c r="T79" i="3"/>
  <c r="L119" i="3"/>
  <c r="U111" i="3"/>
  <c r="P97" i="3"/>
  <c r="T84" i="3"/>
  <c r="S74" i="3"/>
  <c r="K114" i="3"/>
  <c r="T106" i="3"/>
  <c r="R85" i="3"/>
  <c r="L78" i="3"/>
  <c r="S117" i="3"/>
  <c r="U102" i="3"/>
  <c r="R90" i="3"/>
  <c r="I80" i="3"/>
  <c r="P119" i="3"/>
  <c r="R112" i="3"/>
  <c r="T95" i="3"/>
  <c r="Q83" i="3"/>
  <c r="I74" i="3"/>
  <c r="P113" i="3"/>
  <c r="Q105" i="3"/>
  <c r="P95" i="3"/>
  <c r="R88" i="3"/>
  <c r="R118" i="3"/>
  <c r="V105" i="3"/>
  <c r="L94" i="3"/>
  <c r="S84" i="3"/>
  <c r="T76" i="3"/>
  <c r="L116" i="3"/>
  <c r="U100" i="3"/>
  <c r="O93" i="3"/>
  <c r="R77" i="3"/>
  <c r="Q116" i="3"/>
  <c r="N104" i="3"/>
  <c r="V86" i="3"/>
  <c r="I72" i="3"/>
  <c r="M99" i="3"/>
  <c r="V121" i="3"/>
  <c r="S100" i="3"/>
  <c r="Q72" i="3"/>
  <c r="P83" i="3"/>
  <c r="T110" i="3"/>
  <c r="S83" i="3"/>
  <c r="Q112" i="3"/>
  <c r="K100" i="3"/>
  <c r="T87" i="3"/>
  <c r="U116" i="3"/>
  <c r="L101" i="3"/>
  <c r="R98" i="3"/>
  <c r="N167" i="3"/>
  <c r="Q138" i="3"/>
  <c r="M134" i="3"/>
  <c r="T46" i="3"/>
  <c r="S47" i="3"/>
  <c r="I67" i="3"/>
  <c r="N75" i="3"/>
  <c r="O57" i="3"/>
  <c r="Q56" i="3"/>
  <c r="N58" i="3"/>
  <c r="J87" i="3"/>
  <c r="N57" i="3"/>
  <c r="S53" i="3"/>
  <c r="U54" i="3"/>
  <c r="T36" i="3"/>
  <c r="L97" i="3"/>
  <c r="V61" i="3"/>
  <c r="O45" i="3"/>
  <c r="N35" i="3"/>
  <c r="M98" i="3"/>
  <c r="L64" i="3"/>
  <c r="O99" i="3"/>
  <c r="W122" i="3"/>
  <c r="W39" i="3"/>
  <c r="J46" i="3"/>
  <c r="Q60" i="3"/>
  <c r="T25" i="3"/>
  <c r="I59" i="3"/>
  <c r="T45" i="3"/>
  <c r="S27" i="3"/>
  <c r="K67" i="3"/>
  <c r="U52" i="3"/>
  <c r="N36" i="3"/>
  <c r="N115" i="3"/>
  <c r="O60" i="3"/>
  <c r="I45" i="3"/>
  <c r="O75" i="3"/>
  <c r="V114" i="3"/>
  <c r="W43" i="3"/>
  <c r="J96" i="3"/>
  <c r="J62" i="3"/>
  <c r="N49" i="3"/>
  <c r="I35" i="3"/>
  <c r="N99" i="3"/>
  <c r="L61" i="3"/>
  <c r="O47" i="3"/>
  <c r="K34" i="3"/>
  <c r="P77" i="3"/>
  <c r="K57" i="3"/>
  <c r="T41" i="3"/>
  <c r="U25" i="3"/>
  <c r="M65" i="3"/>
  <c r="L96" i="3"/>
  <c r="W69" i="3"/>
  <c r="J57" i="3"/>
  <c r="J110" i="3"/>
  <c r="K38" i="3"/>
  <c r="Q35" i="3"/>
  <c r="Q102" i="3"/>
  <c r="T61" i="3"/>
  <c r="P48" i="3"/>
  <c r="P39" i="3"/>
  <c r="K112" i="3"/>
  <c r="P62" i="3"/>
  <c r="R47" i="3"/>
  <c r="S31" i="3"/>
  <c r="L71" i="3"/>
  <c r="Q101" i="3"/>
  <c r="W97" i="3"/>
  <c r="W118" i="3"/>
  <c r="J61" i="3"/>
  <c r="L55" i="3"/>
  <c r="M31" i="3"/>
  <c r="T70" i="3"/>
  <c r="P57" i="3"/>
  <c r="L44" i="3"/>
  <c r="L35" i="3"/>
  <c r="I86" i="3"/>
  <c r="L58" i="3"/>
  <c r="K48" i="3"/>
  <c r="L32" i="3"/>
  <c r="K72" i="3"/>
  <c r="R102" i="3"/>
  <c r="L79" i="3"/>
  <c r="S118" i="3"/>
  <c r="M111" i="3"/>
  <c r="O96" i="3"/>
  <c r="L84" i="3"/>
  <c r="K74" i="3"/>
  <c r="R113" i="3"/>
  <c r="L106" i="3"/>
  <c r="Q84" i="3"/>
  <c r="S77" i="3"/>
  <c r="K117" i="3"/>
  <c r="M102" i="3"/>
  <c r="Q89" i="3"/>
  <c r="P79" i="3"/>
  <c r="O118" i="3"/>
  <c r="Q111" i="3"/>
  <c r="V89" i="3"/>
  <c r="I83" i="3"/>
  <c r="P122" i="3"/>
  <c r="K108" i="3"/>
  <c r="V94" i="3"/>
  <c r="U84" i="3"/>
  <c r="O77" i="3"/>
  <c r="V116" i="3"/>
  <c r="Q100" i="3"/>
  <c r="N88" i="3"/>
  <c r="U78" i="3"/>
  <c r="M118" i="3"/>
  <c r="N110" i="3"/>
  <c r="M100" i="3"/>
  <c r="V92" i="3"/>
  <c r="T71" i="3"/>
  <c r="L111" i="3"/>
  <c r="I99" i="3"/>
  <c r="P89" i="3"/>
  <c r="Q81" i="3"/>
  <c r="I121" i="3"/>
  <c r="K106" i="3"/>
  <c r="T98" i="3"/>
  <c r="V81" i="3"/>
  <c r="N121" i="3"/>
  <c r="S109" i="3"/>
  <c r="R104" i="3"/>
  <c r="I115" i="3"/>
  <c r="K105" i="3"/>
  <c r="P88" i="3"/>
  <c r="I88" i="3"/>
  <c r="S216" i="3"/>
  <c r="P178" i="3"/>
  <c r="T173" i="3"/>
  <c r="P33" i="3"/>
  <c r="R78" i="3"/>
  <c r="Q58" i="3"/>
  <c r="W119" i="3"/>
  <c r="T29" i="3"/>
  <c r="O100" i="3"/>
  <c r="N74" i="3"/>
  <c r="J49" i="3"/>
  <c r="M122" i="3"/>
  <c r="P58" i="3"/>
  <c r="K60" i="3"/>
  <c r="Q41" i="3"/>
  <c r="T27" i="3"/>
  <c r="L67" i="3"/>
  <c r="T50" i="3"/>
  <c r="S40" i="3"/>
  <c r="Q29" i="3"/>
  <c r="I69" i="3"/>
  <c r="T104" i="3"/>
  <c r="W103" i="3"/>
  <c r="J26" i="3"/>
  <c r="J120" i="3"/>
  <c r="K26" i="3"/>
  <c r="Q68" i="3"/>
  <c r="U63" i="3"/>
  <c r="Q50" i="3"/>
  <c r="P32" i="3"/>
  <c r="R71" i="3"/>
  <c r="K58" i="3"/>
  <c r="S41" i="3"/>
  <c r="M26" i="3"/>
  <c r="T65" i="3"/>
  <c r="U49" i="3"/>
  <c r="T80" i="3"/>
  <c r="W32" i="3"/>
  <c r="W59" i="3"/>
  <c r="J50" i="3"/>
  <c r="J63" i="3"/>
  <c r="P35" i="3"/>
  <c r="U39" i="3"/>
  <c r="Q26" i="3"/>
  <c r="I66" i="3"/>
  <c r="T52" i="3"/>
  <c r="O38" i="3"/>
  <c r="P109" i="3"/>
  <c r="O61" i="3"/>
  <c r="Q46" i="3"/>
  <c r="K31" i="3"/>
  <c r="R70" i="3"/>
  <c r="I101" i="3"/>
  <c r="W85" i="3"/>
  <c r="J105" i="3"/>
  <c r="J70" i="3"/>
  <c r="K70" i="3"/>
  <c r="N40" i="3"/>
  <c r="R27" i="3"/>
  <c r="Q66" i="3"/>
  <c r="M53" i="3"/>
  <c r="M44" i="3"/>
  <c r="U27" i="3"/>
  <c r="M67" i="3"/>
  <c r="V51" i="3"/>
  <c r="P36" i="3"/>
  <c r="N107" i="3"/>
  <c r="N106" i="3"/>
  <c r="W113" i="3"/>
  <c r="J34" i="3"/>
  <c r="J101" i="3"/>
  <c r="I44" i="3"/>
  <c r="R36" i="3"/>
  <c r="L105" i="3"/>
  <c r="M62" i="3"/>
  <c r="I49" i="3"/>
  <c r="I40" i="3"/>
  <c r="I118" i="3"/>
  <c r="I63" i="3"/>
  <c r="O52" i="3"/>
  <c r="I37" i="3"/>
  <c r="Q110" i="3"/>
  <c r="V106" i="3"/>
  <c r="I84" i="3"/>
  <c r="K77" i="3"/>
  <c r="R116" i="3"/>
  <c r="T101" i="3"/>
  <c r="I89" i="3"/>
  <c r="O78" i="3"/>
  <c r="V117" i="3"/>
  <c r="I111" i="3"/>
  <c r="N89" i="3"/>
  <c r="P82" i="3"/>
  <c r="O121" i="3"/>
  <c r="R107" i="3"/>
  <c r="N94" i="3"/>
  <c r="M84" i="3"/>
  <c r="V76" i="3"/>
  <c r="N116" i="3"/>
  <c r="L95" i="3"/>
  <c r="U87" i="3"/>
  <c r="P73" i="3"/>
  <c r="O112" i="3"/>
  <c r="L100" i="3"/>
  <c r="K90" i="3"/>
  <c r="T82" i="3"/>
  <c r="L122" i="3"/>
  <c r="N105" i="3"/>
  <c r="S93" i="3"/>
  <c r="K84" i="3"/>
  <c r="L76" i="3"/>
  <c r="S115" i="3"/>
  <c r="R105" i="3"/>
  <c r="L98" i="3"/>
  <c r="Q76" i="3"/>
  <c r="I116" i="3"/>
  <c r="U103" i="3"/>
  <c r="M94" i="3"/>
  <c r="N86" i="3"/>
  <c r="P71" i="3"/>
  <c r="O110" i="3"/>
  <c r="Q103" i="3"/>
  <c r="L87" i="3"/>
  <c r="I75" i="3"/>
  <c r="P114" i="3"/>
  <c r="O104" i="3"/>
  <c r="I97" i="3"/>
  <c r="K82" i="3"/>
  <c r="R121" i="3"/>
  <c r="V108" i="3"/>
  <c r="Q92" i="3"/>
  <c r="N80" i="3"/>
  <c r="U119" i="3"/>
  <c r="M110" i="3"/>
  <c r="Q97" i="3"/>
  <c r="S82" i="3"/>
  <c r="K122" i="3"/>
  <c r="O109" i="3"/>
  <c r="R93" i="3"/>
  <c r="V80" i="3"/>
  <c r="N120" i="3"/>
  <c r="I106" i="3"/>
  <c r="M93" i="3"/>
  <c r="L83" i="3"/>
  <c r="S122" i="3"/>
  <c r="P110" i="3"/>
  <c r="V109" i="3"/>
  <c r="K109" i="3"/>
  <c r="S91" i="3"/>
  <c r="T115" i="3"/>
  <c r="I92" i="3"/>
  <c r="M119" i="3"/>
  <c r="U101" i="3"/>
  <c r="T74" i="3"/>
  <c r="L114" i="3"/>
  <c r="S85" i="3"/>
  <c r="R115" i="3"/>
  <c r="P87" i="3"/>
  <c r="T114" i="3"/>
  <c r="N71" i="3"/>
  <c r="U75" i="3"/>
  <c r="L208" i="3"/>
  <c r="V178" i="3"/>
  <c r="V198" i="3"/>
  <c r="O76" i="3"/>
  <c r="Q117" i="3"/>
  <c r="P40" i="3"/>
  <c r="J88" i="3"/>
  <c r="P49" i="3"/>
  <c r="R40" i="3"/>
  <c r="R94" i="3"/>
  <c r="J108" i="3"/>
  <c r="R29" i="3"/>
  <c r="U90" i="3"/>
  <c r="O64" i="3"/>
  <c r="N46" i="3"/>
  <c r="Q32" i="3"/>
  <c r="V72" i="3"/>
  <c r="Q55" i="3"/>
  <c r="P45" i="3"/>
  <c r="N34" i="3"/>
  <c r="L81" i="3"/>
  <c r="W26" i="3"/>
  <c r="W28" i="3"/>
  <c r="J95" i="3"/>
  <c r="J59" i="3"/>
  <c r="V57" i="3"/>
  <c r="S29" i="3"/>
  <c r="K69" i="3"/>
  <c r="N55" i="3"/>
  <c r="M37" i="3"/>
  <c r="U114" i="3"/>
  <c r="O62" i="3"/>
  <c r="P46" i="3"/>
  <c r="R31" i="3"/>
  <c r="Q70" i="3"/>
  <c r="K55" i="3"/>
  <c r="Q85" i="3"/>
  <c r="W48" i="3"/>
  <c r="W75" i="3"/>
  <c r="J106" i="3"/>
  <c r="J80" i="3"/>
  <c r="P67" i="3"/>
  <c r="K45" i="3"/>
  <c r="N31" i="3"/>
  <c r="U70" i="3"/>
  <c r="Q57" i="3"/>
  <c r="T43" i="3"/>
  <c r="M27" i="3"/>
  <c r="T66" i="3"/>
  <c r="N51" i="3"/>
  <c r="O35" i="3"/>
  <c r="S104" i="3"/>
  <c r="U105" i="3"/>
  <c r="W101" i="3"/>
  <c r="J31" i="3"/>
  <c r="R45" i="3"/>
  <c r="S70" i="3"/>
  <c r="S45" i="3"/>
  <c r="V31" i="3"/>
  <c r="Q71" i="3"/>
  <c r="R58" i="3"/>
  <c r="R49" i="3"/>
  <c r="K33" i="3"/>
  <c r="S80" i="3"/>
  <c r="L57" i="3"/>
  <c r="M41" i="3"/>
  <c r="L72" i="3"/>
  <c r="S111" i="3"/>
  <c r="W63" i="3"/>
  <c r="J91" i="3"/>
  <c r="J118" i="3"/>
  <c r="P25" i="3"/>
  <c r="V40" i="3"/>
  <c r="K28" i="3"/>
  <c r="R67" i="3"/>
  <c r="U53" i="3"/>
  <c r="U44" i="3"/>
  <c r="N28" i="3"/>
  <c r="U67" i="3"/>
  <c r="T57" i="3"/>
  <c r="U41" i="3"/>
  <c r="T72" i="3"/>
  <c r="L112" i="3"/>
  <c r="U88" i="3"/>
  <c r="O81" i="3"/>
  <c r="V120" i="3"/>
  <c r="Q106" i="3"/>
  <c r="U93" i="3"/>
  <c r="T83" i="3"/>
  <c r="N76" i="3"/>
  <c r="U115" i="3"/>
  <c r="S94" i="3"/>
  <c r="M87" i="3"/>
  <c r="O72" i="3"/>
  <c r="V111" i="3"/>
  <c r="S99" i="3"/>
  <c r="R89" i="3"/>
  <c r="L82" i="3"/>
  <c r="S121" i="3"/>
  <c r="I100" i="3"/>
  <c r="K93" i="3"/>
  <c r="M78" i="3"/>
  <c r="T117" i="3"/>
  <c r="I105" i="3"/>
  <c r="O94" i="3"/>
  <c r="Q87" i="3"/>
  <c r="N114" i="3"/>
  <c r="S110" i="3"/>
  <c r="P98" i="3"/>
  <c r="O88" i="3"/>
  <c r="I81" i="3"/>
  <c r="P120" i="3"/>
  <c r="I103" i="3"/>
  <c r="N81" i="3"/>
  <c r="U120" i="3"/>
  <c r="R99" i="3"/>
  <c r="M76" i="3"/>
  <c r="N108" i="3"/>
  <c r="U79" i="3"/>
  <c r="T109" i="3"/>
  <c r="O86" i="3"/>
  <c r="N97" i="3"/>
  <c r="K76" i="3"/>
  <c r="N102" i="3"/>
  <c r="M75" i="3"/>
  <c r="V97" i="3"/>
  <c r="L86" i="3"/>
  <c r="U110" i="3"/>
  <c r="N207" i="3"/>
  <c r="N218" i="3"/>
  <c r="W79" i="3"/>
  <c r="N54" i="3"/>
  <c r="W35" i="3"/>
  <c r="P31" i="3"/>
  <c r="J74" i="3"/>
  <c r="L69" i="3"/>
  <c r="U59" i="3"/>
  <c r="U113" i="3"/>
  <c r="J43" i="3"/>
  <c r="R61" i="3"/>
  <c r="M30" i="3"/>
  <c r="T69" i="3"/>
  <c r="S51" i="3"/>
  <c r="N37" i="3"/>
  <c r="R103" i="3"/>
  <c r="N60" i="3"/>
  <c r="M50" i="3"/>
  <c r="S39" i="3"/>
  <c r="V74" i="3"/>
  <c r="W42" i="3"/>
  <c r="W44" i="3"/>
  <c r="J97" i="3"/>
  <c r="J55" i="3"/>
  <c r="S46" i="3"/>
  <c r="P34" i="3"/>
  <c r="S96" i="3"/>
  <c r="S60" i="3"/>
  <c r="R42" i="3"/>
  <c r="M28" i="3"/>
  <c r="T67" i="3"/>
  <c r="M51" i="3"/>
  <c r="V35" i="3"/>
  <c r="P101" i="3"/>
  <c r="O59" i="3"/>
  <c r="N90" i="3"/>
  <c r="W64" i="3"/>
  <c r="W91" i="3"/>
  <c r="J65" i="3"/>
  <c r="T39" i="3"/>
  <c r="U64" i="3"/>
  <c r="O49" i="3"/>
  <c r="S36" i="3"/>
  <c r="I94" i="3"/>
  <c r="N62" i="3"/>
  <c r="Q48" i="3"/>
  <c r="R32" i="3"/>
  <c r="U74" i="3"/>
  <c r="S56" i="3"/>
  <c r="T40" i="3"/>
  <c r="S71" i="3"/>
  <c r="K111" i="3"/>
  <c r="W117" i="3"/>
  <c r="J113" i="3"/>
  <c r="K54" i="3"/>
  <c r="R25" i="3"/>
  <c r="P50" i="3"/>
  <c r="L37" i="3"/>
  <c r="V99" i="3"/>
  <c r="V62" i="3"/>
  <c r="V53" i="3"/>
  <c r="O37" i="3"/>
  <c r="L121" i="3"/>
  <c r="I62" i="3"/>
  <c r="R46" i="3"/>
  <c r="I77" i="3"/>
  <c r="P116" i="3"/>
  <c r="W38" i="3"/>
  <c r="J104" i="3"/>
  <c r="P51" i="3"/>
  <c r="T81" i="3"/>
  <c r="L46" i="3"/>
  <c r="O32" i="3"/>
  <c r="R72" i="3"/>
  <c r="K59" i="3"/>
  <c r="K50" i="3"/>
  <c r="S33" i="3"/>
  <c r="N83" i="3"/>
  <c r="Q62" i="3"/>
  <c r="K47" i="3"/>
  <c r="Q77" i="3"/>
  <c r="I117" i="3"/>
  <c r="K94" i="3"/>
  <c r="T86" i="3"/>
  <c r="V71" i="3"/>
  <c r="N111" i="3"/>
  <c r="K99" i="3"/>
  <c r="Q88" i="3"/>
  <c r="S81" i="3"/>
  <c r="K121" i="3"/>
  <c r="P99" i="3"/>
  <c r="R92" i="3"/>
  <c r="T77" i="3"/>
  <c r="L117" i="3"/>
  <c r="P104" i="3"/>
  <c r="V93" i="3"/>
  <c r="I87" i="3"/>
  <c r="M113" i="3"/>
  <c r="U104" i="3"/>
  <c r="O97" i="3"/>
  <c r="R83" i="3"/>
  <c r="Q122" i="3"/>
  <c r="U109" i="3"/>
  <c r="T99" i="3"/>
  <c r="N92" i="3"/>
  <c r="I76" i="3"/>
  <c r="P115" i="3"/>
  <c r="M103" i="3"/>
  <c r="T93" i="3"/>
  <c r="U85" i="3"/>
  <c r="T75" i="3"/>
  <c r="L115" i="3"/>
  <c r="U107" i="3"/>
  <c r="S86" i="3"/>
  <c r="P74" i="3"/>
  <c r="O113" i="3"/>
  <c r="V103" i="3"/>
  <c r="P96" i="3"/>
  <c r="R81" i="3"/>
  <c r="Q120" i="3"/>
  <c r="S113" i="3"/>
  <c r="U96" i="3"/>
  <c r="K85" i="3"/>
  <c r="R75" i="3"/>
  <c r="Q114" i="3"/>
  <c r="K107" i="3"/>
  <c r="T91" i="3"/>
  <c r="Q79" i="3"/>
  <c r="I119" i="3"/>
  <c r="S102" i="3"/>
  <c r="P90" i="3"/>
  <c r="O80" i="3"/>
  <c r="V119" i="3"/>
  <c r="S107" i="3"/>
  <c r="M92" i="3"/>
  <c r="R80" i="3"/>
  <c r="Q119" i="3"/>
  <c r="L103" i="3"/>
  <c r="I91" i="3"/>
  <c r="S76" i="3"/>
  <c r="K116" i="3"/>
  <c r="V102" i="3"/>
  <c r="R120" i="3"/>
  <c r="U197" i="3"/>
  <c r="L213" i="3"/>
  <c r="W36" i="3"/>
  <c r="N45" i="3"/>
  <c r="J89" i="3"/>
  <c r="O70" i="3"/>
  <c r="O116" i="3"/>
  <c r="V30" i="3"/>
  <c r="I30" i="3"/>
  <c r="W73" i="3"/>
  <c r="J121" i="3"/>
  <c r="T47" i="3"/>
  <c r="R35" i="3"/>
  <c r="P85" i="3"/>
  <c r="P56" i="3"/>
  <c r="S42" i="3"/>
  <c r="L26" i="3"/>
  <c r="S65" i="3"/>
  <c r="R55" i="3"/>
  <c r="P44" i="3"/>
  <c r="L80" i="3"/>
  <c r="W58" i="3"/>
  <c r="W60" i="3"/>
  <c r="J35" i="3"/>
  <c r="J56" i="3"/>
  <c r="M32" i="3"/>
  <c r="M39" i="3"/>
  <c r="I26" i="3"/>
  <c r="P65" i="3"/>
  <c r="V46" i="3"/>
  <c r="R33" i="3"/>
  <c r="M74" i="3"/>
  <c r="R56" i="3"/>
  <c r="L41" i="3"/>
  <c r="M25" i="3"/>
  <c r="T64" i="3"/>
  <c r="S95" i="3"/>
  <c r="W80" i="3"/>
  <c r="W107" i="3"/>
  <c r="J114" i="3"/>
  <c r="M48" i="3"/>
  <c r="R53" i="3"/>
  <c r="T54" i="3"/>
  <c r="P41" i="3"/>
  <c r="L28" i="3"/>
  <c r="S67" i="3"/>
  <c r="N53" i="3"/>
  <c r="V36" i="3"/>
  <c r="Q118" i="3"/>
  <c r="P61" i="3"/>
  <c r="Q45" i="3"/>
  <c r="P76" i="3"/>
  <c r="O115" i="3"/>
  <c r="W71" i="3"/>
  <c r="J25" i="3"/>
  <c r="N72" i="3"/>
  <c r="M56" i="3"/>
  <c r="M55" i="3"/>
  <c r="I42" i="3"/>
  <c r="T28" i="3"/>
  <c r="L68" i="3"/>
  <c r="L59" i="3"/>
  <c r="T42" i="3"/>
  <c r="N27" i="3"/>
  <c r="U66" i="3"/>
  <c r="V50" i="3"/>
  <c r="U81" i="3"/>
  <c r="W33" i="3"/>
  <c r="W54" i="3"/>
  <c r="J38" i="3"/>
  <c r="Q28" i="3"/>
  <c r="P27" i="3"/>
  <c r="I51" i="3"/>
  <c r="T37" i="3"/>
  <c r="T105" i="3"/>
  <c r="O63" i="3"/>
  <c r="O54" i="3"/>
  <c r="P38" i="3"/>
  <c r="V27" i="3"/>
  <c r="N67" i="3"/>
  <c r="O51" i="3"/>
  <c r="N82" i="3"/>
  <c r="U121" i="3"/>
  <c r="O98" i="3"/>
  <c r="Q91" i="3"/>
  <c r="L77" i="3"/>
  <c r="S116" i="3"/>
  <c r="O103" i="3"/>
  <c r="N93" i="3"/>
  <c r="P86" i="3"/>
  <c r="Q109" i="3"/>
  <c r="M104" i="3"/>
  <c r="V96" i="3"/>
  <c r="Q82" i="3"/>
  <c r="I122" i="3"/>
  <c r="M109" i="3"/>
  <c r="L99" i="3"/>
  <c r="U91" i="3"/>
  <c r="V122" i="3"/>
  <c r="K110" i="3"/>
  <c r="T102" i="3"/>
  <c r="V87" i="3"/>
  <c r="S75" i="3"/>
  <c r="K115" i="3"/>
  <c r="Q104" i="3"/>
  <c r="S97" i="3"/>
  <c r="U80" i="3"/>
  <c r="M120" i="3"/>
  <c r="R108" i="3"/>
  <c r="Q98" i="3"/>
  <c r="K91" i="3"/>
  <c r="Q80" i="3"/>
  <c r="I120" i="3"/>
  <c r="K113" i="3"/>
  <c r="P91" i="3"/>
  <c r="M79" i="3"/>
  <c r="T118" i="3"/>
  <c r="L109" i="3"/>
  <c r="M101" i="3"/>
  <c r="V85" i="3"/>
  <c r="I79" i="3"/>
  <c r="P118" i="3"/>
  <c r="K102" i="3"/>
  <c r="O89" i="3"/>
  <c r="V79" i="3"/>
  <c r="N119" i="3"/>
  <c r="O111" i="3"/>
  <c r="Q96" i="3"/>
  <c r="N84" i="3"/>
  <c r="S119" i="3"/>
  <c r="P107" i="3"/>
  <c r="M95" i="3"/>
  <c r="T85" i="3"/>
  <c r="I73" i="3"/>
  <c r="P112" i="3"/>
  <c r="R97" i="3"/>
  <c r="V84" i="3"/>
  <c r="L120" i="3"/>
  <c r="I108" i="3"/>
  <c r="U95" i="3"/>
  <c r="P81" i="3"/>
  <c r="O120" i="3"/>
  <c r="L108" i="3"/>
  <c r="K98" i="3"/>
  <c r="O85" i="3"/>
  <c r="M116" i="3"/>
  <c r="T92" i="3"/>
  <c r="R76" i="3"/>
  <c r="S105" i="3"/>
  <c r="K81" i="3"/>
  <c r="N189" i="3"/>
  <c r="S203" i="3"/>
  <c r="J90" i="3"/>
  <c r="L34" i="3"/>
  <c r="J102" i="3"/>
  <c r="P54" i="3"/>
  <c r="O58" i="3"/>
  <c r="K51" i="3"/>
  <c r="T49" i="3"/>
  <c r="W111" i="3"/>
  <c r="J60" i="3"/>
  <c r="V107" i="3"/>
  <c r="V39" i="3"/>
  <c r="P117" i="3"/>
  <c r="M61" i="3"/>
  <c r="P47" i="3"/>
  <c r="I31" i="3"/>
  <c r="P70" i="3"/>
  <c r="V59" i="3"/>
  <c r="M49" i="3"/>
  <c r="I85" i="3"/>
  <c r="W74" i="3"/>
  <c r="W76" i="3"/>
  <c r="J107" i="3"/>
  <c r="J81" i="3"/>
  <c r="M64" i="3"/>
  <c r="R44" i="3"/>
  <c r="U30" i="3"/>
  <c r="M70" i="3"/>
  <c r="L52" i="3"/>
  <c r="V37" i="3"/>
  <c r="M106" i="3"/>
  <c r="V60" i="3"/>
  <c r="I46" i="3"/>
  <c r="R30" i="3"/>
  <c r="Q69" i="3"/>
  <c r="P100" i="3"/>
  <c r="W96" i="3"/>
  <c r="J45" i="3"/>
  <c r="J69" i="3"/>
  <c r="L63" i="3"/>
  <c r="S30" i="3"/>
  <c r="Q59" i="3"/>
  <c r="M46" i="3"/>
  <c r="I33" i="3"/>
  <c r="S72" i="3"/>
  <c r="S58" i="3"/>
  <c r="L42" i="3"/>
  <c r="U26" i="3"/>
  <c r="M66" i="3"/>
  <c r="N50" i="3"/>
  <c r="M81" i="3"/>
  <c r="T120" i="3"/>
  <c r="J111" i="3"/>
  <c r="J85" i="3"/>
  <c r="O34" i="3"/>
  <c r="N33" i="3"/>
  <c r="R60" i="3"/>
  <c r="U46" i="3"/>
  <c r="Q33" i="3"/>
  <c r="L74" i="3"/>
  <c r="I64" i="3"/>
  <c r="Q47" i="3"/>
  <c r="S32" i="3"/>
  <c r="I78" i="3"/>
  <c r="L56" i="3"/>
  <c r="K87" i="3"/>
  <c r="W49" i="3"/>
  <c r="W70" i="3"/>
  <c r="J112" i="3"/>
  <c r="O84" i="3"/>
  <c r="P59" i="3"/>
  <c r="U55" i="3"/>
  <c r="Q42" i="3"/>
  <c r="M29" i="3"/>
  <c r="T68" i="3"/>
  <c r="T59" i="3"/>
  <c r="M43" i="3"/>
  <c r="L33" i="3"/>
  <c r="V83" i="3"/>
  <c r="T56" i="3"/>
  <c r="S87" i="3"/>
  <c r="P108" i="3"/>
  <c r="T103" i="3"/>
  <c r="N96" i="3"/>
  <c r="I82" i="3"/>
  <c r="P121" i="3"/>
  <c r="T108" i="3"/>
  <c r="S98" i="3"/>
  <c r="M91" i="3"/>
  <c r="N122" i="3"/>
  <c r="R109" i="3"/>
  <c r="L102" i="3"/>
  <c r="N87" i="3"/>
  <c r="K75" i="3"/>
  <c r="R114" i="3"/>
  <c r="I104" i="3"/>
  <c r="K97" i="3"/>
  <c r="P75" i="3"/>
  <c r="O114" i="3"/>
  <c r="Q107" i="3"/>
  <c r="L93" i="3"/>
  <c r="P80" i="3"/>
  <c r="O119" i="3"/>
  <c r="N109" i="3"/>
  <c r="P102" i="3"/>
  <c r="K86" i="3"/>
  <c r="O73" i="3"/>
  <c r="V112" i="3"/>
  <c r="N103" i="3"/>
  <c r="O95" i="3"/>
  <c r="N85" i="3"/>
  <c r="P78" i="3"/>
  <c r="O117" i="3"/>
  <c r="M96" i="3"/>
  <c r="R84" i="3"/>
  <c r="Q74" i="3"/>
  <c r="I114" i="3"/>
  <c r="R106" i="3"/>
  <c r="L91" i="3"/>
  <c r="U83" i="3"/>
  <c r="K119" i="3"/>
  <c r="O106" i="3"/>
  <c r="T94" i="3"/>
  <c r="L85" i="3"/>
  <c r="M77" i="3"/>
  <c r="T116" i="3"/>
  <c r="N101" i="3"/>
  <c r="S89" i="3"/>
  <c r="U72" i="3"/>
  <c r="M112" i="3"/>
  <c r="R100" i="3"/>
  <c r="Q90" i="3"/>
  <c r="U77" i="3"/>
  <c r="M117" i="3"/>
  <c r="V101" i="3"/>
  <c r="L90" i="3"/>
  <c r="N73" i="3"/>
  <c r="U112" i="3"/>
  <c r="K101" i="3"/>
  <c r="M86" i="3"/>
  <c r="Q73" i="3"/>
  <c r="I113" i="3"/>
  <c r="O102" i="3"/>
  <c r="T90" i="3"/>
  <c r="U76" i="3"/>
  <c r="P105" i="3"/>
  <c r="M88" i="3"/>
  <c r="V77" i="3"/>
  <c r="U92" i="3"/>
  <c r="I207" i="3"/>
  <c r="L195" i="3"/>
  <c r="J109" i="3"/>
  <c r="Q86" i="3"/>
  <c r="L25" i="3"/>
  <c r="V43" i="3"/>
  <c r="V75" i="3"/>
  <c r="N70" i="3"/>
  <c r="P69" i="3"/>
  <c r="W62" i="3"/>
  <c r="J33" i="3"/>
  <c r="O33" i="3"/>
  <c r="L45" i="3"/>
  <c r="K27" i="3"/>
  <c r="R66" i="3"/>
  <c r="M52" i="3"/>
  <c r="U35" i="3"/>
  <c r="S112" i="3"/>
  <c r="L65" i="3"/>
  <c r="R54" i="3"/>
  <c r="U89" i="3"/>
  <c r="W90" i="3"/>
  <c r="W92" i="3"/>
  <c r="J58" i="3"/>
  <c r="V25" i="3"/>
  <c r="L47" i="3"/>
  <c r="V48" i="3"/>
  <c r="K36" i="3"/>
  <c r="K88" i="3"/>
  <c r="I57" i="3"/>
  <c r="L43" i="3"/>
  <c r="T26" i="3"/>
  <c r="L66" i="3"/>
  <c r="U50" i="3"/>
  <c r="V34" i="3"/>
  <c r="U98" i="3"/>
  <c r="M105" i="3"/>
  <c r="W112" i="3"/>
  <c r="J117" i="3"/>
  <c r="J94" i="3"/>
  <c r="T31" i="3"/>
  <c r="M71" i="3"/>
  <c r="N64" i="3"/>
  <c r="R51" i="3"/>
  <c r="U37" i="3"/>
  <c r="S120" i="3"/>
  <c r="P63" i="3"/>
  <c r="I47" i="3"/>
  <c r="K32" i="3"/>
  <c r="K73" i="3"/>
  <c r="S55" i="3"/>
  <c r="R86" i="3"/>
  <c r="W37" i="3"/>
  <c r="J92" i="3"/>
  <c r="J40" i="3"/>
  <c r="O66" i="3"/>
  <c r="O25" i="3"/>
  <c r="V64" i="3"/>
  <c r="K52" i="3"/>
  <c r="N38" i="3"/>
  <c r="N29" i="3"/>
  <c r="U68" i="3"/>
  <c r="N52" i="3"/>
  <c r="P37" i="3"/>
  <c r="I110" i="3"/>
  <c r="I61" i="3"/>
  <c r="O91" i="3"/>
  <c r="W65" i="3"/>
  <c r="W86" i="3"/>
  <c r="J52" i="3"/>
  <c r="R37" i="3"/>
  <c r="Q36" i="3"/>
  <c r="K61" i="3"/>
  <c r="N47" i="3"/>
  <c r="R34" i="3"/>
  <c r="U82" i="3"/>
  <c r="Q64" i="3"/>
  <c r="R48" i="3"/>
  <c r="I38" i="3"/>
  <c r="V115" i="3"/>
  <c r="Q61" i="3"/>
  <c r="P92" i="3"/>
  <c r="M121" i="3"/>
  <c r="Q108" i="3"/>
  <c r="S101" i="3"/>
  <c r="U86" i="3"/>
  <c r="R74" i="3"/>
  <c r="Q113" i="3"/>
  <c r="P103" i="3"/>
  <c r="R96" i="3"/>
  <c r="O74" i="3"/>
  <c r="V113" i="3"/>
  <c r="I107" i="3"/>
  <c r="S92" i="3"/>
  <c r="O79" i="3"/>
  <c r="V118" i="3"/>
  <c r="U108" i="3"/>
  <c r="O101" i="3"/>
  <c r="M80" i="3"/>
  <c r="T119" i="3"/>
  <c r="N112" i="3"/>
  <c r="I98" i="3"/>
  <c r="M85" i="3"/>
  <c r="L75" i="3"/>
  <c r="S114" i="3"/>
  <c r="M107" i="3"/>
  <c r="O90" i="3"/>
  <c r="T78" i="3"/>
  <c r="L118" i="3"/>
  <c r="S108" i="3"/>
  <c r="T100" i="3"/>
  <c r="S90" i="3"/>
  <c r="M83" i="3"/>
  <c r="T122" i="3"/>
  <c r="R101" i="3"/>
  <c r="V88" i="3"/>
  <c r="N79" i="3"/>
  <c r="U118" i="3"/>
  <c r="V110" i="3"/>
  <c r="I96" i="3"/>
  <c r="K89" i="3"/>
  <c r="M72" i="3"/>
  <c r="T111" i="3"/>
  <c r="Q99" i="3"/>
  <c r="I90" i="3"/>
  <c r="R82" i="3"/>
  <c r="Q121" i="3"/>
  <c r="S106" i="3"/>
  <c r="P94" i="3"/>
  <c r="K78" i="3"/>
  <c r="R117" i="3"/>
  <c r="V104" i="3"/>
  <c r="N95" i="3"/>
  <c r="K83" i="3"/>
  <c r="R122" i="3"/>
  <c r="L107" i="3"/>
  <c r="I95" i="3"/>
  <c r="S78" i="3"/>
  <c r="K118" i="3"/>
  <c r="O105" i="3"/>
  <c r="R91" i="3"/>
  <c r="N78" i="3"/>
  <c r="U117" i="3"/>
  <c r="T107" i="3"/>
  <c r="Q95" i="3"/>
  <c r="U94" i="3"/>
  <c r="P111" i="3"/>
  <c r="O82" i="3"/>
  <c r="L110" i="3"/>
  <c r="O87" i="3"/>
  <c r="I112" i="3"/>
  <c r="U99" i="3"/>
  <c r="O122" i="3"/>
  <c r="V95" i="3"/>
  <c r="R73" i="3"/>
  <c r="N100" i="3"/>
  <c r="L92" i="3"/>
  <c r="Q75" i="3"/>
  <c r="N77" i="3"/>
  <c r="Q115" i="3"/>
  <c r="N117" i="3"/>
  <c r="M115" i="3"/>
</calcChain>
</file>

<file path=xl/sharedStrings.xml><?xml version="1.0" encoding="utf-8"?>
<x:sst xmlns:x="http://schemas.openxmlformats.org/spreadsheetml/2006/main" count="443" uniqueCount="219">
  <x:si>
    <x:t>Y</x:t>
  </x:si>
  <x:si>
    <x:t>Broker:</x:t>
  </x:si>
  <x:si>
    <x:t>Oppenheimer &amp; Co</x:t>
  </x:si>
  <x:si>
    <x:t>Wedbush</x:t>
  </x:si>
  <x:si>
    <x:t>Raymond James</x:t>
  </x:si>
  <x:si>
    <x:t>Piper Jaffray</x:t>
  </x:si>
  <x:si>
    <x:t>Barclays</x:t>
  </x:si>
  <x:si>
    <x:t>Ticker</x:t>
  </x:si>
  <x:si>
    <x:t>Q</x:t>
  </x:si>
  <x:si>
    <x:t>J.P. Morgan</x:t>
  </x:si>
  <x:si>
    <x:t>Morningstar, Inc</x:t>
  </x:si>
  <x:si>
    <x:t>ID</x:t>
  </x:si>
  <x:si>
    <x:t>Total Revenue</x:t>
  </x:si>
  <x:si>
    <x:t>Cost of Revenue</x:t>
  </x:si>
  <x:si>
    <x:t>Gross Profit</x:t>
  </x:si>
  <x:si>
    <x:t>Gross Profit &gt; Gross Margin (%)</x:t>
  </x:si>
  <x:si>
    <x:t>Total Operating Expenses</x:t>
  </x:si>
  <x:si>
    <x:t>Operating Income</x:t>
  </x:si>
  <x:si>
    <x:t>EBITDA</x:t>
  </x:si>
  <x:si>
    <x:t>Income Tax Expense</x:t>
  </x:si>
  <x:si>
    <x:t>Broker Name</x:t>
  </x:si>
  <x:si>
    <x:t>Stifel</x:t>
  </x:si>
  <x:si>
    <x:t>Income Tax Expense &gt; Effective Tax Rate (%)</x:t>
  </x:si>
  <x:si>
    <x:t>Assets &gt; Current Assets</x:t>
  </x:si>
  <x:si>
    <x:t>Assets &gt; Current Assets &gt; Cash and Cash Equivalents</x:t>
  </x:si>
  <x:si>
    <x:t>Cash from Investing Activities &gt; Capital Expenditures</x:t>
  </x:si>
  <x:si>
    <x:t>Cash Flow from Financing</x:t>
  </x:si>
  <x:si>
    <x:t>2019 Y</x:t>
  </x:si>
  <x:si>
    <x:t>Depreciation and Amortization</x:t>
  </x:si>
  <x:si>
    <x:t>EBITDA &gt; EBITDA Margin (%)</x:t>
  </x:si>
  <x:si>
    <x:t>Interest Expense, Net</x:t>
  </x:si>
  <x:si>
    <x:t>Pretax Income</x:t>
  </x:si>
  <x:si>
    <x:t>Diluted Shares Outstanding</x:t>
  </x:si>
  <x:si>
    <x:t>Net Change in Cash</x:t>
  </x:si>
  <x:si>
    <x:t>Free Cash Flow</x:t>
  </x:si>
  <x:si>
    <x:t>D.A. Davidson &amp; Co</x:t>
  </x:si>
  <x:si>
    <x:t>Guggenheim Securities</x:t>
  </x:si>
  <x:si>
    <x:t>Average Monthly Unique Visitors</x:t>
  </x:si>
  <x:si>
    <x:t>Average Monthly Unique Hotel Shoppers</x:t>
  </x:si>
  <x:si>
    <x:t>Total2) 33/64Average2) 33/64Unique2) 33/64Monthly2) 33/64Hotel Shoppers for the Period</x:t>
  </x:si>
  <x:si>
    <x:t>Revenue per Hotel Shopper</x:t>
  </x:si>
  <x:si>
    <x:t>Hotels, Media &amp; Platform &gt; Revenue</x:t>
  </x:si>
  <x:si>
    <x:t>Hotels, Media &amp; Platform &gt; Revenue &gt; TripAdvisor-Branded  Hotels</x:t>
  </x:si>
  <x:si>
    <x:t>Hotels, Media &amp; Platform &gt; Revenue &gt; TripAdvisor-Branded  Hotels &gt; YoY Growth (%)</x:t>
  </x:si>
  <x:si>
    <x:t>Hotels, Media &amp; Platform &gt; Revenue &gt; TripAdvisor-Branded Display &amp; Platform</x:t>
  </x:si>
  <x:si>
    <x:t>Hotels, Media &amp; Platform &gt; Revenue &gt; TripAdvisor-Branded Display &amp; Platform &gt; YoY Growth (%)</x:t>
  </x:si>
  <x:si>
    <x:t>Experiences &amp; Dining &gt; Revenue</x:t>
  </x:si>
  <x:si>
    <x:t>Other &gt; Revenue</x:t>
  </x:si>
  <x:si>
    <x:t>Interest Expense, Net &gt; Interest Expense</x:t>
  </x:si>
  <x:si>
    <x:t>Assets &gt; Current Assets &gt; Accounts Receivable</x:t>
  </x:si>
  <x:si>
    <x:t>Assets &gt; Current Assets &gt; Short-Term Investment</x:t>
  </x:si>
  <x:si>
    <x:t>Liabilities &amp; Shareholders' Equity &gt; Current Liabilities</x:t>
  </x:si>
  <x:si>
    <x:t>Liabilities &amp; Shareholders' Equity &gt; Current Liabilities &gt; Accounts Payable and Other Accrued Expenses</x:t>
  </x:si>
  <x:si>
    <x:t>Liabilities &amp; Shareholders' Equity &gt; Current Liabilities &gt; Deferred Merchant Payable</x:t>
  </x:si>
  <x:si>
    <x:t>Liabilities &amp; Shareholders' Equity &gt; Current Liabilities &gt; Deferred Revenue</x:t>
  </x:si>
  <x:si>
    <x:t>Liabilities &amp; Shareholders' Equity &gt; Total Liabilities</x:t>
  </x:si>
  <x:si>
    <x:t>Liabilities &amp; Shareholders' Equity &gt; Shareholder's Equity &gt; Additional Paid-in Capital</x:t>
  </x:si>
  <x:si>
    <x:t>Liabilities &amp; Shareholders' Equity &gt; Shareholder's Equity &gt; Retained Earnings</x:t>
  </x:si>
  <x:si>
    <x:t>Liabilities &amp; Shareholders' Equity &gt; Shareholder's Equity &gt; Treasury Stock</x:t>
  </x:si>
  <x:si>
    <x:t>Liabilities &amp; Shareholders' Equity &gt; Shareholder's Equity &gt; Other Equity</x:t>
  </x:si>
  <x:si>
    <x:t>Liabilities &amp; Shareholders' Equity &gt; Total Shareholder Equity</x:t>
  </x:si>
  <x:si>
    <x:t>Total Liabilities and Shareholder Equity</x:t>
  </x:si>
  <x:si>
    <x:t>Net Debt (Cash)</x:t>
  </x:si>
  <x:si>
    <x:t>Total Debt to Capital</x:t>
  </x:si>
  <x:si>
    <x:t>Cash from Operations Activities &gt; Net Income, GAAP</x:t>
  </x:si>
  <x:si>
    <x:t>Cash from Operations Activities &gt; Depreciation and Amortization</x:t>
  </x:si>
  <x:si>
    <x:t>Cash from Operations Activities &gt; Stock Based Compensation</x:t>
  </x:si>
  <x:si>
    <x:t>Cash from Operations Activities &gt; Deferred Income Taxes</x:t>
  </x:si>
  <x:si>
    <x:t>Cash from Operations Activities &gt; Other Non-Cash Adjustments</x:t>
  </x:si>
  <x:si>
    <x:t>Cash from Investing Activities &gt; Purchases of marketable securities</x:t>
  </x:si>
  <x:si>
    <x:t>Cash from Investing Activities &gt; Maturities of marketable securities</x:t>
  </x:si>
  <x:si>
    <x:t>Cash from Financing Activities &gt; Cash from (Repayment) Issuance of Debt</x:t>
  </x:si>
  <x:si>
    <x:t>Cash from Financing Activities &gt; Cash from Issuance (Repurchase) of Equity</x:t>
  </x:si>
  <x:si>
    <x:t>Cash from Financing Activities &gt; Cash Flows from Other Financing Activity</x:t>
  </x:si>
  <x:si>
    <x:t>Net Effect of Foreign Exchange Rates on Cash</x:t>
  </x:si>
  <x:si>
    <x:t>Free Cash Flow Per Basic Share</x:t>
  </x:si>
  <x:si>
    <x:t>Free Cash Flow to Firm</x:t>
  </x:si>
  <x:si>
    <x:t>SunTrust Robinson Humphrey</x:t>
  </x:si>
  <x:si>
    <x:t>Canaccord Genuity</x:t>
  </x:si>
  <x:si>
    <x:t>Susquehanna Financial</x:t>
  </x:si>
  <x:si>
    <x:t>TRIP US Equity</x:t>
  </x:si>
  <x:si>
    <x:t>Average Monthly Unique Visitors &gt; YoY Growth (%)</x:t>
  </x:si>
  <x:si>
    <x:t>Average Quarterly Unique Hotel Shoppers</x:t>
  </x:si>
  <x:si>
    <x:t>Average Quarterly Unique Hotel Shoppers &gt; YoY Growth (%)</x:t>
  </x:si>
  <x:si>
    <x:t>Revenue per Hotel Shopper &gt; YoY Growth (%)</x:t>
  </x:si>
  <x:si>
    <x:t>Days in Accounts Receivables</x:t>
  </x:si>
  <x:si>
    <x:t>EBITDA to Free Cash Flow Conversion Rate</x:t>
  </x:si>
  <x:si>
    <x:t>Hotels, Media &amp; Platform &gt; Revenue &gt; As % of Revenue</x:t>
  </x:si>
  <x:si>
    <x:t>Hotels, Media &amp; Platform &gt; Revenue &gt; YoY Growth (%)</x:t>
  </x:si>
  <x:si>
    <x:t>Hotels, Media &amp; Platform &gt; Revenue &gt; Revenue Growth (% YoY)</x:t>
  </x:si>
  <x:si>
    <x:t>Hotels, Media &amp; Platform &gt; Operating Expenses</x:t>
  </x:si>
  <x:si>
    <x:t>Hotels, Media &amp; Platform &gt; EBITDA</x:t>
  </x:si>
  <x:si>
    <x:t>Hotels, Media &amp; Platform &gt; EBITDA &gt; As % of Hotels, Media &amp; Platform Revenue</x:t>
  </x:si>
  <x:si>
    <x:t>Experiences &amp; Dining &gt; Revenue &gt; YoY Growth (%)</x:t>
  </x:si>
  <x:si>
    <x:t>Experiences &amp; Dining &gt; Operating Expenses</x:t>
  </x:si>
  <x:si>
    <x:t>Experiences &amp; Dining &gt; EBITDA</x:t>
  </x:si>
  <x:si>
    <x:t>Experiences &amp; Dining &gt; EBITDA &gt; As % of Experiences &amp; Dining Revenue</x:t>
  </x:si>
  <x:si>
    <x:t>Other &gt; Revenue &gt; YoY Growth (%)</x:t>
  </x:si>
  <x:si>
    <x:t>Other &gt; EBITDA</x:t>
  </x:si>
  <x:si>
    <x:t>Other &gt; EBITDA &gt; As % of Other Revenue</x:t>
  </x:si>
  <x:si>
    <x:t>Total Revenue &gt; Hotel &gt; Revenue</x:t>
  </x:si>
  <x:si>
    <x:t>Total Revenue &gt; Hotel &gt; Revenue &gt; As % of Revenue</x:t>
  </x:si>
  <x:si>
    <x:t>Total Revenue &gt; Hotel &gt; Revenue &gt; YoY Growth (%)</x:t>
  </x:si>
  <x:si>
    <x:t>Total Revenue &gt; Hotel &gt; Revenue &gt; QoQ Growth (%)</x:t>
  </x:si>
  <x:si>
    <x:t>Total Revenue &gt; Hotel &gt; Revenue &gt; TripAdvisor-branded Click-based &amp; Transaction</x:t>
  </x:si>
  <x:si>
    <x:t>Total Revenue &gt; Hotel &gt; Revenue &gt; TripAdvisor-branded Click-based &amp; Transaction &gt; As % of Revenue</x:t>
  </x:si>
  <x:si>
    <x:t>Total Revenue &gt; Hotel &gt; Revenue &gt; TripAdvisor-branded Click-based &amp; Transaction &gt; YoY Growth (%)</x:t>
  </x:si>
  <x:si>
    <x:t>Total Revenue &gt; Hotel &gt; Revenue &gt; TripAdvisor-branded Click-based &amp; Transaction &gt; Smartphone Hotel Shoppers</x:t>
  </x:si>
  <x:si>
    <x:t>Total Revenue &gt; Hotel &gt; Revenue &gt; TripAdvisor-branded Click-based &amp; Transaction &gt; Smartphone Hotel Shoppers &gt; YoY Growth (%)</x:t>
  </x:si>
  <x:si>
    <x:t>Total Revenue &gt; Hotel &gt; Revenue &gt; TripAdvisor-branded Click-based &amp; Transaction &gt; Smartphone Revenue</x:t>
  </x:si>
  <x:si>
    <x:t>Total Revenue &gt; Hotel &gt; Revenue &gt; TripAdvisor-branded Click-based &amp; Transaction &gt; Desktop Revenue</x:t>
  </x:si>
  <x:si>
    <x:t>Total Revenue &gt; Hotel &gt; Revenue &gt; TripAdvisor-branded Display-based Advertising &amp; Subscription</x:t>
  </x:si>
  <x:si>
    <x:t>Total Revenue &gt; Hotel &gt; Revenue &gt; TripAdvisor-branded Display-based Advertising &amp; Subscription &gt; As % of Revenue</x:t>
  </x:si>
  <x:si>
    <x:t>Total Revenue &gt; Hotel &gt; Revenue &gt; TripAdvisor-branded Display-based Advertising &amp; Subscription &gt; YoY Growth (%)</x:t>
  </x:si>
  <x:si>
    <x:t>Total Revenue &gt; Hotel &gt; Revenue &gt; TripAdvisor-branded Display-based Advertising &amp; Subscription &gt; QoQ Growth (%)</x:t>
  </x:si>
  <x:si>
    <x:t>Total Revenue &gt; Hotel &gt; Revenue &gt; Other Hotel Revenue</x:t>
  </x:si>
  <x:si>
    <x:t>Total Revenue &gt; Hotel &gt; Revenue &gt; Other Hotel Revenue &gt; As % of Revenue</x:t>
  </x:si>
  <x:si>
    <x:t>Total Revenue &gt; Hotel &gt; Revenue &gt; Other Hotel Revenue &gt; YoY Growth (%)</x:t>
  </x:si>
  <x:si>
    <x:t>Total Revenue &gt; Hotel &gt; Revenue &gt; Other Hotel Revenue &gt; QoQ Growth (%)</x:t>
  </x:si>
  <x:si>
    <x:t>Total Revenue &gt; Hotel &gt; Adjusted EBITDA</x:t>
  </x:si>
  <x:si>
    <x:t>Total Revenue &gt; Hotel &gt; Adjusted EBITDA &gt; Adjusted EBITDA Margin (%)</x:t>
  </x:si>
  <x:si>
    <x:t>Total Revenue &gt; Non-Hotel &gt; Revenue</x:t>
  </x:si>
  <x:si>
    <x:t>Total Revenue &gt; Non-Hotel &gt; Revenue &gt; As % of Revenue</x:t>
  </x:si>
  <x:si>
    <x:t>Total Revenue &gt; Non-Hotel &gt; Revenue &gt; YoY Growth (%)</x:t>
  </x:si>
  <x:si>
    <x:t>Total Revenue &gt; Non-Hotel &gt; Adjusted EBITDA</x:t>
  </x:si>
  <x:si>
    <x:t>Total Revenue &gt; Non-Hotel &gt; Adjusted EBITDA &gt; Adjusted EBITDA Margin (%)</x:t>
  </x:si>
  <x:si>
    <x:t>Total Revenue &gt; YoY Growth (%)</x:t>
  </x:si>
  <x:si>
    <x:t>Total Revenue &gt; QoQ Growth (%)</x:t>
  </x:si>
  <x:si>
    <x:t>Cost of Revenue &gt; As % of Revenue</x:t>
  </x:si>
  <x:si>
    <x:t>Cost of Revenue &gt; Direct Costs</x:t>
  </x:si>
  <x:si>
    <x:t>Cost of Revenue &gt; Direct Costs &gt; YoY Growth (%)</x:t>
  </x:si>
  <x:si>
    <x:t>Cost of Revenue &gt; Personnel &amp; Overhead</x:t>
  </x:si>
  <x:si>
    <x:t>Gross Profit &gt; YoY Growth (%)</x:t>
  </x:si>
  <x:si>
    <x:t>Sales &amp; Marketing Expenses</x:t>
  </x:si>
  <x:si>
    <x:t>Sales &amp; Marketing Expenses &gt; As % of Revenue</x:t>
  </x:si>
  <x:si>
    <x:t>Sales &amp; Marketing Expenses &gt; YoY Growth (%)</x:t>
  </x:si>
  <x:si>
    <x:t>Sales &amp; Marketing Expenses &gt; Direct Costs</x:t>
  </x:si>
  <x:si>
    <x:t>Sales &amp; Marketing Expenses &gt; Direct Costs &gt; As % of Revenue</x:t>
  </x:si>
  <x:si>
    <x:t>Sales &amp; Marketing Expenses &gt; Direct Costs &gt; YoY Growth (%)</x:t>
  </x:si>
  <x:si>
    <x:t>Sales &amp; Marketing Expenses &gt; Personnel &amp; Overhead</x:t>
  </x:si>
  <x:si>
    <x:t>Sales &amp; Marketing Expenses &gt; Personnel &amp; Overhead &gt; Personnel &amp; Overhead (ex-SBC)</x:t>
  </x:si>
  <x:si>
    <x:t>Sales &amp; Marketing Expenses &gt; Personnel &amp; Overhead &gt; Personnel &amp; Overhead (ex-SBC) &gt; As % of Revenue</x:t>
  </x:si>
  <x:si>
    <x:t>Sales &amp; Marketing Expenses &gt; Personnel &amp; Overhead &gt; Personnel &amp; Overhead (ex-SBC) &gt; YoY Growth (%)</x:t>
  </x:si>
  <x:si>
    <x:t>Sales &amp; Marketing Expenses &gt; Selling &amp; Marketing Expense (ex-SBC)</x:t>
  </x:si>
  <x:si>
    <x:t>Sales &amp; Marketing Expenses &gt; Selling &amp; Marketing Expense (ex-SBC) &gt; As % of Revenue</x:t>
  </x:si>
  <x:si>
    <x:t>Sales &amp; Marketing Expenses &gt; Selling &amp; Marketing Expense (ex-SBC) &gt; YoY Growth (%)</x:t>
  </x:si>
  <x:si>
    <x:t>Sales &amp; Marketing Expenses &gt; Stock Based Compensation (Non-GAAP)</x:t>
  </x:si>
  <x:si>
    <x:t>General &amp; Administrative Expenses</x:t>
  </x:si>
  <x:si>
    <x:t>General &amp; Administrative Expenses &gt; As % of Revenue</x:t>
  </x:si>
  <x:si>
    <x:t>General &amp; Administrative Expenses &gt; General &amp; Administrative Expenses (ex-SBC)</x:t>
  </x:si>
  <x:si>
    <x:t>General &amp; Administrative Expenses &gt; General &amp; Administrative Expenses (ex-SBC) &gt; YoY Growth (%)</x:t>
  </x:si>
  <x:si>
    <x:t>General &amp; Administrative Expenses &gt; Stock Based Compensation (Non-GAAP)</x:t>
  </x:si>
  <x:si>
    <x:t>Research &amp; Development Expense</x:t>
  </x:si>
  <x:si>
    <x:t>Research &amp; Development Expense &gt; As % of Revenue</x:t>
  </x:si>
  <x:si>
    <x:t>Research &amp; Development Expense &gt; YoY Growth (%)</x:t>
  </x:si>
  <x:si>
    <x:t>Research &amp; Development Expense &gt; Other</x:t>
  </x:si>
  <x:si>
    <x:t>Research &amp; Development Expense &gt; Research &amp; Development Expense (ex-SBC)</x:t>
  </x:si>
  <x:si>
    <x:t>Research &amp; Development Expense &gt; Research &amp; Development Expense (ex-SBC) &gt; As % of Revenue</x:t>
  </x:si>
  <x:si>
    <x:t>Research &amp; Development Expense &gt; Stock Based Compensation (Non-GAAP)</x:t>
  </x:si>
  <x:si>
    <x:t>Direct Costs (excluding-TV)</x:t>
  </x:si>
  <x:si>
    <x:t>TV Brand Advertising</x:t>
  </x:si>
  <x:si>
    <x:t>TV Brand Advertising &gt; As % of Revenue</x:t>
  </x:si>
  <x:si>
    <x:t>Depreciation &amp; Amortization of Intangible Assets</x:t>
  </x:si>
  <x:si>
    <x:t>Depreciation &amp; Amortization of Intangible Assets &gt; Depreciation</x:t>
  </x:si>
  <x:si>
    <x:t>Depreciation &amp; Amortization of Intangible Assets &gt; Depreciation &gt; As % of Revenue</x:t>
  </x:si>
  <x:si>
    <x:t>Depreciation &amp; Amortization of Intangible Assets &gt; Amortization of Intangible Assets</x:t>
  </x:si>
  <x:si>
    <x:t>Depreciation &amp; Amortization of Intangible Assets &gt; Amortization of Intangible Assets &gt; As % of Revenue</x:t>
  </x:si>
  <x:si>
    <x:t>Total Costs</x:t>
  </x:si>
  <x:si>
    <x:t>Operating Income &gt; Operating Margin(%)</x:t>
  </x:si>
  <x:si>
    <x:t>Operating Income &gt; YoY Growth (%)</x:t>
  </x:si>
  <x:si>
    <x:t>EBITDA &gt; YoY Growth (%)</x:t>
  </x:si>
  <x:si>
    <x:t>Pretax Income &gt; Pretax Income Margin (%)</x:t>
  </x:si>
  <x:si>
    <x:t>Net Income</x:t>
  </x:si>
  <x:si>
    <x:t>Net Income &gt; Net Income Margin (%)</x:t>
  </x:si>
  <x:si>
    <x:t>Basic Shares Outstanding</x:t>
  </x:si>
  <x:si>
    <x:t>Basic EPS, GAAP</x:t>
  </x:si>
  <x:si>
    <x:t>Diluted EPS, GAAP</x:t>
  </x:si>
  <x:si>
    <x:t>Non-GAAP Metrics &gt; Total Operating Expenses</x:t>
  </x:si>
  <x:si>
    <x:t>Non-GAAP Metrics &gt; Operating Income</x:t>
  </x:si>
  <x:si>
    <x:t>Non-GAAP Metrics &gt; Operating Income &gt; Operating Margin (%)</x:t>
  </x:si>
  <x:si>
    <x:t>Non-GAAP Metrics &gt; EBITDA</x:t>
  </x:si>
  <x:si>
    <x:t>Non-GAAP Metrics &gt; EBITDA &gt; YoY Growth (%)</x:t>
  </x:si>
  <x:si>
    <x:t>Non-GAAP Metrics &gt; EBITDA &gt; EBITDA Margin (%)</x:t>
  </x:si>
  <x:si>
    <x:t>Non-GAAP Metrics &gt; EBITDA &gt; Incremental EBITDA Margin (%)</x:t>
  </x:si>
  <x:si>
    <x:t>Non-GAAP Metrics &gt; Stock Based Compensation</x:t>
  </x:si>
  <x:si>
    <x:t>Non-GAAP Metrics &gt; Pre-Tax Income</x:t>
  </x:si>
  <x:si>
    <x:t>Non-GAAP Metrics &gt; Tax Effect of Non-GAAP Adjustments</x:t>
  </x:si>
  <x:si>
    <x:t>Non-GAAP Metrics &gt; Net Income</x:t>
  </x:si>
  <x:si>
    <x:t>Non-GAAP Metrics &gt; Net Income &gt; Net Income Margin (%)</x:t>
  </x:si>
  <x:si>
    <x:t>Non-GAAP Metrics &gt; Diluted Shares Outstanding</x:t>
  </x:si>
  <x:si>
    <x:t>Non-GAAP Metrics &gt; Diluted EPS</x:t>
  </x:si>
  <x:si>
    <x:t>Assets &gt; Current Assets &gt; Prepaid Expenses &amp; Other Current Assets</x:t>
  </x:si>
  <x:si>
    <x:t>Assets &gt; Current Assets &gt; Prepaid Expenses &amp; Other Current Assets &gt; As % of Revenue</x:t>
  </x:si>
  <x:si>
    <x:t>Assets &gt; Non-Current Assets &gt; Plant, Property &amp; Equipment</x:t>
  </x:si>
  <x:si>
    <x:t>Assets &gt; Non-Current Assets &gt; Intangible Assets, net</x:t>
  </x:si>
  <x:si>
    <x:t>Assets &gt; Non-Current Assets &gt; Goodwill</x:t>
  </x:si>
  <x:si>
    <x:t>Assets &gt; Non-Current Assets &gt; Deferred Income Taxes, net</x:t>
  </x:si>
  <x:si>
    <x:t>Assets &gt; Non-Current Assets &gt; Other Long-Term Investments</x:t>
  </x:si>
  <x:si>
    <x:t>Total Assets</x:t>
  </x:si>
  <x:si>
    <x:t>Liabilities &amp; Shareholders' Equity &gt; Current Liabilities &gt; Deferred Revenue &gt; As % of Revenue</x:t>
  </x:si>
  <x:si>
    <x:t>Liabilities &amp; Shareholders' Equity &gt; Current Liabilities &gt; Accured Expense &amp; Other Current Liabilities</x:t>
  </x:si>
  <x:si>
    <x:t>Liabilities &amp; Shareholders' Equity &gt; Current Liabilities &gt; Accured Expense &amp; Other Current Liabilities &gt; As % of Revenue</x:t>
  </x:si>
  <x:si>
    <x:t>Liabilities &amp; Shareholders' Equity &gt; Non-Current Liabilities &gt; Deferred income taxes, net</x:t>
  </x:si>
  <x:si>
    <x:t>Liabilities &amp; Shareholders' Equity &gt; Non-Current Liabilities &gt; Other Long-Term Liabilities</x:t>
  </x:si>
  <x:si>
    <x:t>Cash from Operations Activities &gt; Stock Based Compensation &gt; As % of Revenue</x:t>
  </x:si>
  <x:si>
    <x:t>Cash from Operations Activities &gt; Stock Based Compensation &gt; YoY Growth (%)</x:t>
  </x:si>
  <x:si>
    <x:t>Cash from Operations Activities &gt; Changes in Working Capital</x:t>
  </x:si>
  <x:si>
    <x:t>Cash from Operations Activities &gt; Changes in Working Capital &gt; Accounts Receivable</x:t>
  </x:si>
  <x:si>
    <x:t>Cash from Operations Activities &gt; Changes in Working Capital &gt; Accrued Expenses &amp; other Current Liabilities</x:t>
  </x:si>
  <x:si>
    <x:t>Cash Flow from Operating</x:t>
  </x:si>
  <x:si>
    <x:t>Cash from Investing Activities &gt; Capital Expenditures &gt; As % of Revenue</x:t>
  </x:si>
  <x:si>
    <x:t>Cash Flow from Investing</x:t>
  </x:si>
  <x:si>
    <x:t>Cash from Financing Activities &gt; Proceeds from Exercise of Stock Options</x:t>
  </x:si>
  <x:si>
    <x:t>Cash from Financing Activities &gt; Purchases of Marketable Securities</x:t>
  </x:si>
  <x:si>
    <x:t>Cash from Financing Activities &gt; Payment of Withholding Taxes on Net Share Settlements of Equity Awards</x:t>
  </x:si>
  <x:si>
    <x:t>Net Change in Cash &gt; Cash &amp; Cash Equivalents (End of Period)</x:t>
  </x:si>
  <x:si>
    <x:t>Net Change in Cash &gt; Cash &amp; Cash Equivalents (Beg of Period)</x:t>
  </x:si>
  <x:si>
    <x:t>Free Cash Flow &gt; YoY Growth (%)</x:t>
  </x:si>
  <x:si>
    <x:t>Model Consensus</x:t>
  </x:si>
  <x:si>
    <x:t xml:space="preserve">CYL IN Equity</x:t>
  </x:si>
  <x:si>
    <x:t xml:space="preserve">Default Broker (Source View)</x:t>
  </x:si>
  <x:si>
    <x:t xml:space="preserve">Default Period Type (Period View)</x:t>
  </x:si>
  <x:si>
    <x:t xml:space="preserve">Year</x:t>
  </x:si>
  <x:si>
    <x:t xml:space="preserve">Default Period Year (Period View)</x:t>
  </x:si>
</x:sst>
</file>

<file path=xl/styles.xml><?xml version="1.0" encoding="utf-8"?>
<x:styleSheet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x:numFmts count="1">
    <x:numFmt numFmtId="164" formatCode="m/d/yy"/>
  </x:numFmts>
  <x:fonts count="5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b/>
      <x:sz val="14"/>
      <x:color theme="1"/>
      <x:name val="Calibri"/>
      <x:family val="2"/>
      <x:scheme val="minor"/>
    </x:font>
    <x:font>
      <x:b/>
      <x:sz val="10"/>
      <x:color rgb="FF000000"/>
      <x:name val="Calibri"/>
      <x:family val="2"/>
      <x:scheme val="minor"/>
    </x:font>
    <x:font>
      <x:b/>
      <x:sz val="10"/>
      <x:color theme="0"/>
      <x:name val="Calibri"/>
      <x:family val="2"/>
      <x:scheme val="minor"/>
    </x:font>
  </x:fonts>
  <x:fills count="5">
    <x:fill>
      <x:patternFill patternType="none"/>
    </x:fill>
    <x:fill>
      <x:patternFill patternType="gray125"/>
    </x:fill>
    <x:fill>
      <x:gradientFill>
        <x:stop position="0">
          <x:color rgb="FFB8CCE4"/>
        </x:stop>
        <x:stop position="0.5">
          <x:color rgb="FFDCE6F1"/>
        </x:stop>
        <x:stop position="1">
          <x:color rgb="FFB8CCE4"/>
        </x:stop>
      </x:gradientFill>
    </x:fill>
    <x:fill>
      <x:gradientFill>
        <x:stop position="0">
          <x:color rgb="FF1F497D"/>
        </x:stop>
        <x:stop position="0.5">
          <x:color rgb="FF4F81BD"/>
        </x:stop>
        <x:stop position="1">
          <x:color rgb="FF1F497D"/>
        </x:stop>
      </x:gradientFill>
    </x:fill>
    <x:fill>
      <x:gradientFill>
        <x:stop position="0">
          <x:color rgb="FFFCD5B4"/>
        </x:stop>
        <x:stop position="0.5">
          <x:color rgb="FFFDE9D9"/>
        </x:stop>
        <x:stop position="1">
          <x:color rgb="FFFCD5B4"/>
        </x:stop>
      </x:gradientFill>
    </x:fill>
  </x:fills>
  <x:borders count="13">
    <x:border>
      <x:left/>
      <x:right/>
      <x:top/>
      <x:bottom/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 style="thin">
        <x:color theme="0"/>
      </x:left>
      <x:right/>
      <x:top style="thin">
        <x:color indexed="64"/>
      </x:top>
      <x:bottom/>
      <x:diagonal/>
    </x:border>
    <x:border>
      <x:left style="thin">
        <x:color theme="0" tint="-0.24994659260841701"/>
      </x:left>
      <x:right style="thin">
        <x:color theme="0" tint="-0.24994659260841701"/>
      </x:right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/>
      <x:bottom style="thin">
        <x:color indexed="64"/>
      </x:bottom>
      <x:diagonal/>
    </x:border>
    <x:border>
      <x:left style="thin">
        <x:color theme="0"/>
      </x:left>
      <x:right/>
      <x:top/>
      <x:bottom style="thin">
        <x:color indexed="64"/>
      </x:bottom>
      <x:diagonal/>
    </x:border>
    <x:border>
      <x:left style="thin">
        <x:color theme="0" tint="-0.24994659260841701"/>
      </x:left>
      <x:right style="thin">
        <x:color theme="0" tint="-0.24994659260841701"/>
      </x:right>
      <x:top/>
      <x:bottom style="thin">
        <x:color indexed="64"/>
      </x:bottom>
      <x:diagonal/>
    </x:border>
    <x:border>
      <x:left/>
      <x:right/>
      <x:top/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theme="1"/>
      </x:left>
      <x:right style="thin">
        <x:color theme="0"/>
      </x:right>
      <x:top style="thin">
        <x:color theme="1"/>
      </x:top>
      <x:bottom style="thin">
        <x:color theme="1"/>
      </x:bottom>
      <x:diagonal/>
    </x:border>
    <x:border>
      <x:left style="thin">
        <x:color theme="0"/>
      </x:left>
      <x:right style="thin">
        <x:color theme="0"/>
      </x:right>
      <x:top style="thin">
        <x:color theme="1"/>
      </x:top>
      <x:bottom style="thin">
        <x:color theme="1"/>
      </x:bottom>
      <x:diagonal/>
    </x:border>
  </x:borders>
  <x:cellStyleXfs count="1">
    <x:xf numFmtId="0" fontId="0" fillId="0" borderId="0"/>
  </x:cellStyleXfs>
  <x:cellXfs count="22">
    <x:xf numFmtId="0" fontId="0" fillId="0" borderId="0" xfId="0"/>
    <x:xf numFmtId="0" fontId="0" fillId="0" borderId="0" xfId="0" applyProtection="1">
      <x:protection locked="0"/>
    </x:xf>
    <x:xf numFmtId="0" fontId="0" fillId="0" borderId="0" xfId="0" applyBorder="1" applyProtection="1">
      <x:protection locked="0"/>
    </x:xf>
    <x:xf numFmtId="0" fontId="0" fillId="0" borderId="0" xfId="0" applyAlignment="1">
      <x:alignment horizontal="left"/>
    </x:xf>
    <x:xf numFmtId="0" fontId="0" fillId="0" borderId="0" xfId="0" applyAlignment="1">
      <x:alignment horizontal="right"/>
    </x:xf>
    <x:xf numFmtId="0" fontId="2" fillId="0" borderId="0" xfId="0" applyFont="1" applyProtection="1">
      <x:protection locked="0"/>
    </x:xf>
    <x:xf numFmtId="0" fontId="1" fillId="0" borderId="0" xfId="0" applyFont="1"/>
    <x:xf numFmtId="0" fontId="3" fillId="2" borderId="1" xfId="0" applyFont="1" applyFill="1" applyBorder="1" applyAlignment="1" applyProtection="1">
      <x:alignment horizontal="right" vertical="top"/>
    </x:xf>
    <x:xf numFmtId="0" fontId="3" fillId="2" borderId="2" xfId="0" applyFont="1" applyFill="1" applyBorder="1" applyAlignment="1" applyProtection="1">
      <x:alignment horizontal="right" vertical="top"/>
    </x:xf>
    <x:xf numFmtId="0" fontId="4" fillId="3" borderId="3" xfId="0" applyFont="1" applyFill="1" applyBorder="1" applyAlignment="1" applyProtection="1">
      <x:alignment horizontal="right" vertical="top"/>
    </x:xf>
    <x:xf numFmtId="0" fontId="3" fillId="2" borderId="4" xfId="0" applyFont="1" applyFill="1" applyBorder="1" applyAlignment="1" applyProtection="1">
      <x:alignment horizontal="right" vertical="top"/>
    </x:xf>
    <x:xf numFmtId="0" fontId="0" fillId="0" borderId="0" xfId="0" applyAlignment="1">
      <x:alignment horizontal="center"/>
    </x:xf>
    <x:xf numFmtId="3" fontId="3" fillId="4" borderId="5" xfId="0" applyNumberFormat="1" applyFont="1" applyFill="1" applyBorder="1" applyAlignment="1">
      <x:alignment horizontal="left" vertical="top"/>
    </x:xf>
    <x:xf numFmtId="164" fontId="3" fillId="2" borderId="6" xfId="0" applyNumberFormat="1" applyFont="1" applyFill="1" applyBorder="1" applyAlignment="1" applyProtection="1">
      <x:alignment horizontal="right" vertical="top"/>
    </x:xf>
    <x:xf numFmtId="164" fontId="3" fillId="2" borderId="7" xfId="0" applyNumberFormat="1" applyFont="1" applyFill="1" applyBorder="1" applyAlignment="1" applyProtection="1">
      <x:alignment horizontal="right" vertical="top"/>
    </x:xf>
    <x:xf numFmtId="164" fontId="4" fillId="3" borderId="8" xfId="0" applyNumberFormat="1" applyFont="1" applyFill="1" applyBorder="1" applyAlignment="1" applyProtection="1">
      <x:alignment horizontal="right" vertical="top"/>
    </x:xf>
    <x:xf numFmtId="164" fontId="3" fillId="2" borderId="9" xfId="0" applyNumberFormat="1" applyFont="1" applyFill="1" applyBorder="1" applyAlignment="1" applyProtection="1">
      <x:alignment horizontal="right" vertical="top"/>
    </x:xf>
    <x:xf numFmtId="3" fontId="0" fillId="0" borderId="0" xfId="0" applyNumberFormat="1" applyAlignment="1">
      <x:alignment horizontal="right"/>
    </x:xf>
    <x:xf numFmtId="0" fontId="1" fillId="0" borderId="0" xfId="0" applyFont="1" applyAlignment="1">
      <x:alignment horizontal="right"/>
    </x:xf>
    <x:xf numFmtId="3" fontId="3" fillId="4" borderId="10" xfId="0" applyNumberFormat="1" applyFont="1" applyFill="1" applyBorder="1" applyAlignment="1">
      <x:alignment horizontal="left" vertical="center"/>
    </x:xf>
    <x:xf numFmtId="0" fontId="4" fillId="3" borderId="11" xfId="0" applyFont="1" applyFill="1" applyBorder="1" applyAlignment="1" applyProtection="1">
      <x:alignment horizontal="right" wrapText="1"/>
    </x:xf>
    <x:xf numFmtId="0" fontId="4" fillId="3" borderId="12" xfId="0" applyFont="1" applyFill="1" applyBorder="1" applyAlignment="1" applyProtection="1">
      <x:alignment horizontal="right" wrapText="1"/>
    </x:xf>
  </x:cellXfs>
  <x:cellStyles count="1">
    <x:cellStyle name="Normal" xfId="0" builtinId="0"/>
  </x:cellStyles>
  <x:dxfs count="4">
    <x:dxf>
      <x:font>
        <x:b/>
        <x:i val="0"/>
        <x:color rgb="FFFF0000"/>
      </x:font>
    </x:dxf>
    <x:dxf>
      <x:font>
        <x:b/>
        <x:i val="0"/>
        <x:color rgb="FFFF0000"/>
      </x:font>
    </x:dxf>
    <x:dxf>
      <x:font>
        <x:b/>
        <x:i val="0"/>
        <x:color rgb="FFFF0000"/>
      </x:font>
    </x:dxf>
    <x:dxf>
      <x:font>
        <x:b/>
        <x:i val="0"/>
        <x:color rgb="FFFF0000"/>
      </x:font>
    </x:dxf>
  </x:dxfs>
  <x:tableStyles count="0" defaultTableStyle="TableStyleMedium2" defaultPivotStyle="PivotStyleLight16"/>
</x: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externalLink" Target="externalLinks/externalLink1.xml" Id="rId3" /><Relationship Type="http://schemas.openxmlformats.org/officeDocument/2006/relationships/calcChain" Target="calcChain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theme" Target="theme/theme1.xml" Id="rId4" /><Relationship Type="http://schemas.openxmlformats.org/officeDocument/2006/relationships/worksheet" Target="/xl/worksheets/sheet3.xml" Id="Rfad02547f1204988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133350</xdr:colOff>
      <xdr:row>1</xdr:row>
      <xdr:rowOff>0</xdr:rowOff>
    </xdr:from>
    <xdr:to>
      <xdr:col>7</xdr:col>
      <xdr:colOff>1687830</xdr:colOff>
      <xdr:row>3</xdr:row>
      <xdr:rowOff>182880</xdr:rowOff>
    </xdr:to>
    <xdr:pic>
      <xdr:nvPicPr>
        <xdr:cNvPr id="2" name="Bloomber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7</xdr:col>
      <xdr:colOff>1665275</xdr:colOff>
      <xdr:row>1</xdr:row>
      <xdr:rowOff>0</xdr:rowOff>
    </xdr:from>
    <xdr:to>
      <xdr:col>32</xdr:col>
      <xdr:colOff>466725</xdr:colOff>
      <xdr:row>3</xdr:row>
      <xdr:rowOff>185928</xdr:rowOff>
    </xdr:to>
    <xdr:sp macro="" textlink="">
      <xdr:nvSpPr>
        <xdr:cNvPr id="3" name="BannerTitle"/>
        <xdr:cNvSpPr>
          <a:spLocks noChangeArrowheads="1"/>
        </xdr:cNvSpPr>
      </xdr:nvSpPr>
      <xdr:spPr bwMode="auto">
        <a:xfrm>
          <a:off x="1931975" y="57150"/>
          <a:ext cx="9097975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MODL - Model Level Estimates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133350</xdr:colOff>
      <xdr:row>1</xdr:row>
      <xdr:rowOff>0</xdr:rowOff>
    </xdr:from>
    <xdr:to>
      <xdr:col>7</xdr:col>
      <xdr:colOff>2202180</xdr:colOff>
      <xdr:row>3</xdr:row>
      <xdr:rowOff>182880</xdr:rowOff>
    </xdr:to>
    <xdr:pic>
      <xdr:nvPicPr>
        <xdr:cNvPr id="2" name="Bloomber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57150"/>
          <a:ext cx="2259330" cy="563880"/>
        </a:xfrm>
        <a:prstGeom prst="rect">
          <a:avLst/>
        </a:prstGeom>
      </xdr:spPr>
    </xdr:pic>
    <xdr:clientData/>
  </xdr:twoCellAnchor>
  <xdr:twoCellAnchor editAs="absolute">
    <xdr:from>
      <xdr:col>7</xdr:col>
      <xdr:colOff>2179625</xdr:colOff>
      <xdr:row>1</xdr:row>
      <xdr:rowOff>0</xdr:rowOff>
    </xdr:from>
    <xdr:to>
      <xdr:col>17</xdr:col>
      <xdr:colOff>847725</xdr:colOff>
      <xdr:row>3</xdr:row>
      <xdr:rowOff>185928</xdr:rowOff>
    </xdr:to>
    <xdr:sp macro="" textlink="">
      <xdr:nvSpPr>
        <xdr:cNvPr id="3" name="BannerTitle"/>
        <xdr:cNvSpPr>
          <a:spLocks noChangeArrowheads="1"/>
        </xdr:cNvSpPr>
      </xdr:nvSpPr>
      <xdr:spPr bwMode="auto">
        <a:xfrm>
          <a:off x="2370125" y="57150"/>
          <a:ext cx="1282225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MODL - Model Level Estimates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aji1/AppData/Local/BLOOMB~1/data/v1.1%20XF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(XFA)"/>
      <sheetName val="Help (XFA)"/>
      <sheetName val="Utility (XHFU)"/>
      <sheetName val="Help (XHFU)"/>
      <sheetName val="Energy (XHFG)"/>
      <sheetName val="Help (XHFG)"/>
      <sheetName val="REIT (XHFR)"/>
      <sheetName val="Help (XHFR)"/>
      <sheetName val="Bank (XHFB)"/>
      <sheetName val="Help (XHFB)"/>
      <sheetName val="Mining (XHFM)"/>
      <sheetName val=" Help (XHFM)"/>
      <sheetName val="Financial (XHFF)"/>
      <sheetName val="Help (XHFF)"/>
      <sheetName val="Industrial (XHFN)"/>
      <sheetName val="Help (XHFN)"/>
      <sheetName val="Calc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">
          <cell r="B1" t="str">
            <v>GOOG US Equity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eepEst">
    <outlinePr summaryBelow="0"/>
  </sheetPr>
  <dimension ref="A1:DP299"/>
  <sheetViews>
    <sheetView showGridLines="0" tabSelected="1" workbookViewId="0">
      <pane xSplit="8" ySplit="19" topLeftCell="I20" activePane="bottomRight" state="frozen"/>
      <selection activeCell="M27" sqref="M27"/>
      <selection pane="topRight" activeCell="M27" sqref="M27"/>
      <selection pane="bottomLeft" activeCell="M27" sqref="M27"/>
      <selection pane="bottomRight" activeCell="H15" sqref="H15"/>
    </sheetView>
  </sheetViews>
  <sheetFormatPr defaultRowHeight="15" outlineLevelCol="1" x14ac:dyDescent="0.25"/>
  <cols>
    <col min="1" max="1" width="2" hidden="1" customWidth="1" collapsed="1"/>
    <col min="2" max="2" width="95" hidden="1" customWidth="1"/>
    <col min="3" max="3" width="5" hidden="1" customWidth="1"/>
    <col min="4" max="4" width="2" hidden="1" customWidth="1"/>
    <col min="5" max="5" width="21.85546875" hidden="1" customWidth="1"/>
    <col min="6" max="6" width="9" hidden="1" customWidth="1"/>
    <col min="7" max="7" width="4" customWidth="1"/>
    <col min="8" max="8" width="95" bestFit="1" customWidth="1"/>
    <col min="9" max="9" width="10.7109375" hidden="1" customWidth="1" outlineLevel="1"/>
    <col min="10" max="11" width="9.7109375" hidden="1" customWidth="1" outlineLevel="1"/>
    <col min="12" max="12" width="14.85546875" hidden="1" customWidth="1" outlineLevel="1"/>
    <col min="13" max="13" width="14.85546875" bestFit="1" customWidth="1" collapsed="1"/>
    <col min="14" max="16" width="14.85546875" hidden="1" customWidth="1" outlineLevel="1"/>
    <col min="17" max="17" width="3.5703125" hidden="1" customWidth="1" outlineLevel="1"/>
    <col min="18" max="18" width="14.85546875" bestFit="1" customWidth="1" collapsed="1"/>
    <col min="19" max="19" width="10.7109375" hidden="1" customWidth="1" outlineLevel="1"/>
    <col min="20" max="22" width="9.7109375" hidden="1" customWidth="1" outlineLevel="1"/>
    <col min="23" max="23" width="14.42578125" customWidth="1" collapsed="1"/>
    <col min="24" max="24" width="10.7109375" hidden="1" customWidth="1" outlineLevel="1"/>
    <col min="25" max="27" width="9.7109375" hidden="1" customWidth="1" outlineLevel="1"/>
    <col min="28" max="28" width="15.28515625" customWidth="1" collapsed="1"/>
    <col min="29" max="29" width="10.7109375" hidden="1" customWidth="1" outlineLevel="1"/>
    <col min="30" max="32" width="9.7109375" hidden="1" customWidth="1" outlineLevel="1"/>
    <col min="33" max="33" width="15.42578125" customWidth="1" collapsed="1"/>
    <col min="34" max="34" width="10.7109375" hidden="1" customWidth="1" outlineLevel="1"/>
    <col min="35" max="37" width="9.7109375" hidden="1" customWidth="1" outlineLevel="1"/>
    <col min="38" max="38" width="15.85546875" customWidth="1" collapsed="1"/>
    <col min="39" max="39" width="10.7109375" hidden="1" customWidth="1" outlineLevel="1"/>
    <col min="40" max="42" width="9.7109375" hidden="1" customWidth="1" outlineLevel="1"/>
    <col min="43" max="43" width="15.140625" customWidth="1" collapsed="1"/>
  </cols>
  <sheetData>
    <row r="1" spans="2:120" s="1" customFormat="1" ht="5.0999999999999996" customHeight="1" x14ac:dyDescent="0.25">
      <c r="DP1" s="2"/>
    </row>
    <row r="2" spans="2:120" s="1" customFormat="1" ht="15" customHeight="1" x14ac:dyDescent="0.25">
      <c r="DP2" s="2"/>
    </row>
    <row r="3" spans="2:120" s="1" customFormat="1" ht="15" customHeight="1" x14ac:dyDescent="0.25">
      <c r="DP3" s="2"/>
    </row>
    <row r="4" spans="2:120" s="1" customFormat="1" x14ac:dyDescent="0.25">
      <c r="DP4" s="2"/>
    </row>
    <row r="5" spans="2:120" s="1" customFormat="1" hidden="1" x14ac:dyDescent="0.25">
      <c r="DP5" s="2"/>
    </row>
    <row r="6" spans="2:120" hidden="1" x14ac:dyDescent="0.25">
      <c r="B6" t="e">
        <f>_xll.BDP(TICKER,"FISCAL_YEAR_PERIOD","EQY_FUND_RELATIVE_PERIOD","-0FY")</f>
        <v>#REF!</v>
      </c>
    </row>
    <row r="7" spans="2:120" hidden="1" x14ac:dyDescent="0.25">
      <c r="B7" t="s">
        <v>8</v>
      </c>
      <c r="F7">
        <f ca="1">VLOOKUP($H19,BB_DEEP_BROKER_NAME,2,0)</f>
        <v>819288</v>
      </c>
    </row>
    <row r="8" spans="2:120" hidden="1" x14ac:dyDescent="0.25"/>
    <row r="9" spans="2:120" hidden="1" x14ac:dyDescent="0.25">
      <c r="B9" s="3" t="e">
        <f>LEFT(B6,4)</f>
        <v>#REF!</v>
      </c>
      <c r="I9" s="4" t="e">
        <f>M9</f>
        <v>#REF!</v>
      </c>
      <c r="J9" s="4" t="e">
        <f>M9</f>
        <v>#REF!</v>
      </c>
      <c r="K9" s="4" t="e">
        <f>M9</f>
        <v>#REF!</v>
      </c>
      <c r="L9" s="4" t="e">
        <f>M9</f>
        <v>#REF!</v>
      </c>
      <c r="M9" s="4" t="e">
        <f>B9+1</f>
        <v>#REF!</v>
      </c>
      <c r="N9" s="4" t="e">
        <f>R9</f>
        <v>#REF!</v>
      </c>
      <c r="O9" s="4" t="e">
        <f>R9</f>
        <v>#REF!</v>
      </c>
      <c r="P9" s="4" t="e">
        <f>R9</f>
        <v>#REF!</v>
      </c>
      <c r="Q9" s="4" t="e">
        <f>R9</f>
        <v>#REF!</v>
      </c>
      <c r="R9" s="4" t="e">
        <f>M9+1</f>
        <v>#REF!</v>
      </c>
      <c r="S9" s="4" t="e">
        <f>W9</f>
        <v>#REF!</v>
      </c>
      <c r="T9" s="4" t="e">
        <f>W9</f>
        <v>#REF!</v>
      </c>
      <c r="U9" s="4" t="e">
        <f>W9</f>
        <v>#REF!</v>
      </c>
      <c r="V9" s="4" t="e">
        <f>W9</f>
        <v>#REF!</v>
      </c>
      <c r="W9" t="e">
        <f>R9+1</f>
        <v>#REF!</v>
      </c>
      <c r="X9" s="4" t="e">
        <f>AB9</f>
        <v>#REF!</v>
      </c>
      <c r="Y9" s="4" t="e">
        <f>AB9</f>
        <v>#REF!</v>
      </c>
      <c r="Z9" s="4" t="e">
        <f>AB9</f>
        <v>#REF!</v>
      </c>
      <c r="AA9" s="4" t="e">
        <f>AB9</f>
        <v>#REF!</v>
      </c>
      <c r="AB9" t="e">
        <f>W9+1</f>
        <v>#REF!</v>
      </c>
      <c r="AC9" s="4" t="e">
        <f>AG9</f>
        <v>#REF!</v>
      </c>
      <c r="AD9" s="4" t="e">
        <f>AG9</f>
        <v>#REF!</v>
      </c>
      <c r="AE9" s="4" t="e">
        <f>AG9</f>
        <v>#REF!</v>
      </c>
      <c r="AF9" s="4" t="e">
        <f>AG9</f>
        <v>#REF!</v>
      </c>
      <c r="AG9" t="e">
        <f>AB9+1</f>
        <v>#REF!</v>
      </c>
      <c r="AH9" s="4" t="e">
        <f>AL9</f>
        <v>#REF!</v>
      </c>
      <c r="AI9" s="4" t="e">
        <f>AL9</f>
        <v>#REF!</v>
      </c>
      <c r="AJ9" s="4" t="e">
        <f>AL9</f>
        <v>#REF!</v>
      </c>
      <c r="AK9" s="4" t="e">
        <f>AL9</f>
        <v>#REF!</v>
      </c>
      <c r="AL9" t="e">
        <f>AG9+1</f>
        <v>#REF!</v>
      </c>
      <c r="AM9" s="4" t="e">
        <f>AQ9</f>
        <v>#REF!</v>
      </c>
      <c r="AN9" s="4" t="e">
        <f>AQ9</f>
        <v>#REF!</v>
      </c>
      <c r="AO9" s="4" t="e">
        <f>AQ9</f>
        <v>#REF!</v>
      </c>
      <c r="AP9" s="4" t="e">
        <f>AQ9</f>
        <v>#REF!</v>
      </c>
      <c r="AQ9" t="e">
        <f>AL9+1</f>
        <v>#REF!</v>
      </c>
    </row>
    <row r="10" spans="2:120" hidden="1" x14ac:dyDescent="0.25">
      <c r="I10" s="4" t="str">
        <f>IF($B$7="Q","Q1","")</f>
        <v>Q1</v>
      </c>
      <c r="J10" s="4" t="str">
        <f>IF($B$7="Q","Q2","S1")</f>
        <v>Q2</v>
      </c>
      <c r="K10" s="4" t="str">
        <f>IF($B$7="Q","Q3","")</f>
        <v>Q3</v>
      </c>
      <c r="L10" s="4" t="str">
        <f>IF($B$7="Q","Q4","S2")</f>
        <v>Q4</v>
      </c>
      <c r="M10" s="4" t="s">
        <v>0</v>
      </c>
      <c r="N10" s="4" t="str">
        <f>IF($B$7="Q","Q1","")</f>
        <v>Q1</v>
      </c>
      <c r="O10" s="4" t="str">
        <f>IF($B$7="Q","Q2","S1")</f>
        <v>Q2</v>
      </c>
      <c r="P10" s="4" t="str">
        <f>IF($B$7="Q","Q3","")</f>
        <v>Q3</v>
      </c>
      <c r="Q10" s="4" t="str">
        <f>IF($B$7="Q","Q4","S2")</f>
        <v>Q4</v>
      </c>
      <c r="R10" s="4" t="s">
        <v>0</v>
      </c>
      <c r="S10" s="4" t="str">
        <f>IF($B$7="Q","Q1","")</f>
        <v>Q1</v>
      </c>
      <c r="T10" s="4" t="str">
        <f>IF($B$7="Q","Q2","S1")</f>
        <v>Q2</v>
      </c>
      <c r="U10" s="4" t="str">
        <f>IF($B$7="Q","Q3","")</f>
        <v>Q3</v>
      </c>
      <c r="V10" s="4" t="str">
        <f>IF($B$7="Q","Q4","S2")</f>
        <v>Q4</v>
      </c>
      <c r="W10" s="4" t="s">
        <v>0</v>
      </c>
      <c r="X10" s="4" t="str">
        <f>IF($B$7="Q","Q1","")</f>
        <v>Q1</v>
      </c>
      <c r="Y10" s="4" t="str">
        <f>IF($B$7="Q","Q2","S1")</f>
        <v>Q2</v>
      </c>
      <c r="Z10" s="4" t="str">
        <f>IF($B$7="Q","Q3","")</f>
        <v>Q3</v>
      </c>
      <c r="AA10" s="4" t="str">
        <f>IF($B$7="Q","Q4","S2")</f>
        <v>Q4</v>
      </c>
      <c r="AB10" s="4" t="s">
        <v>0</v>
      </c>
      <c r="AC10" s="4" t="str">
        <f>IF($B$7="Q","Q1","")</f>
        <v>Q1</v>
      </c>
      <c r="AD10" s="4" t="str">
        <f>IF($B$7="Q","Q2","S1")</f>
        <v>Q2</v>
      </c>
      <c r="AE10" s="4" t="str">
        <f>IF($B$7="Q","Q3","")</f>
        <v>Q3</v>
      </c>
      <c r="AF10" s="4" t="str">
        <f>IF($B$7="Q","Q4","S2")</f>
        <v>Q4</v>
      </c>
      <c r="AG10" s="4" t="s">
        <v>0</v>
      </c>
      <c r="AH10" s="4" t="str">
        <f>IF($B$7="Q","Q1","")</f>
        <v>Q1</v>
      </c>
      <c r="AI10" s="4" t="str">
        <f>IF($B$7="Q","Q2","S1")</f>
        <v>Q2</v>
      </c>
      <c r="AJ10" s="4" t="str">
        <f>IF($B$7="Q","Q3","")</f>
        <v>Q3</v>
      </c>
      <c r="AK10" s="4" t="str">
        <f>IF($B$7="Q","Q4","S2")</f>
        <v>Q4</v>
      </c>
      <c r="AL10" s="4" t="s">
        <v>0</v>
      </c>
      <c r="AM10" s="4" t="str">
        <f>IF($B$7="Q","Q1","")</f>
        <v>Q1</v>
      </c>
      <c r="AN10" s="4" t="str">
        <f>IF($B$7="Q","Q2","S1")</f>
        <v>Q2</v>
      </c>
      <c r="AO10" s="4" t="str">
        <f>IF($B$7="Q","Q3","")</f>
        <v>Q3</v>
      </c>
      <c r="AP10" s="4" t="str">
        <f>IF($B$7="Q","Q4","S2")</f>
        <v>Q4</v>
      </c>
      <c r="AQ10" s="4" t="s">
        <v>0</v>
      </c>
    </row>
    <row r="11" spans="2:120" hidden="1" x14ac:dyDescent="0.25">
      <c r="I11" s="4" t="e">
        <f t="shared" ref="I11:AQ11" si="0">RIGHT(I$9,2)&amp;I$10</f>
        <v>#REF!</v>
      </c>
      <c r="J11" s="4" t="e">
        <f t="shared" si="0"/>
        <v>#REF!</v>
      </c>
      <c r="K11" s="4" t="e">
        <f t="shared" si="0"/>
        <v>#REF!</v>
      </c>
      <c r="L11" s="4" t="e">
        <f t="shared" si="0"/>
        <v>#REF!</v>
      </c>
      <c r="M11" s="4" t="e">
        <f t="shared" si="0"/>
        <v>#REF!</v>
      </c>
      <c r="N11" s="4" t="e">
        <f t="shared" si="0"/>
        <v>#REF!</v>
      </c>
      <c r="O11" s="4" t="e">
        <f t="shared" si="0"/>
        <v>#REF!</v>
      </c>
      <c r="P11" s="4" t="e">
        <f t="shared" si="0"/>
        <v>#REF!</v>
      </c>
      <c r="Q11" s="4" t="e">
        <f t="shared" si="0"/>
        <v>#REF!</v>
      </c>
      <c r="R11" s="4" t="e">
        <f t="shared" si="0"/>
        <v>#REF!</v>
      </c>
      <c r="S11" s="4" t="e">
        <f t="shared" si="0"/>
        <v>#REF!</v>
      </c>
      <c r="T11" s="4" t="e">
        <f t="shared" si="0"/>
        <v>#REF!</v>
      </c>
      <c r="U11" s="4" t="e">
        <f t="shared" si="0"/>
        <v>#REF!</v>
      </c>
      <c r="V11" s="4" t="e">
        <f t="shared" si="0"/>
        <v>#REF!</v>
      </c>
      <c r="W11" s="4" t="e">
        <f t="shared" si="0"/>
        <v>#REF!</v>
      </c>
      <c r="X11" s="4" t="e">
        <f t="shared" si="0"/>
        <v>#REF!</v>
      </c>
      <c r="Y11" s="4" t="e">
        <f t="shared" si="0"/>
        <v>#REF!</v>
      </c>
      <c r="Z11" s="4" t="e">
        <f t="shared" si="0"/>
        <v>#REF!</v>
      </c>
      <c r="AA11" s="4" t="e">
        <f t="shared" si="0"/>
        <v>#REF!</v>
      </c>
      <c r="AB11" s="4" t="e">
        <f t="shared" si="0"/>
        <v>#REF!</v>
      </c>
      <c r="AC11" s="4" t="e">
        <f t="shared" si="0"/>
        <v>#REF!</v>
      </c>
      <c r="AD11" s="4" t="e">
        <f t="shared" si="0"/>
        <v>#REF!</v>
      </c>
      <c r="AE11" s="4" t="e">
        <f t="shared" si="0"/>
        <v>#REF!</v>
      </c>
      <c r="AF11" s="4" t="e">
        <f t="shared" si="0"/>
        <v>#REF!</v>
      </c>
      <c r="AG11" s="4" t="e">
        <f t="shared" si="0"/>
        <v>#REF!</v>
      </c>
      <c r="AH11" s="4" t="e">
        <f t="shared" si="0"/>
        <v>#REF!</v>
      </c>
      <c r="AI11" s="4" t="e">
        <f t="shared" si="0"/>
        <v>#REF!</v>
      </c>
      <c r="AJ11" s="4" t="e">
        <f t="shared" si="0"/>
        <v>#REF!</v>
      </c>
      <c r="AK11" s="4" t="e">
        <f t="shared" si="0"/>
        <v>#REF!</v>
      </c>
      <c r="AL11" s="4" t="e">
        <f t="shared" si="0"/>
        <v>#REF!</v>
      </c>
      <c r="AM11" s="4" t="e">
        <f t="shared" si="0"/>
        <v>#REF!</v>
      </c>
      <c r="AN11" s="4" t="e">
        <f t="shared" si="0"/>
        <v>#REF!</v>
      </c>
      <c r="AO11" s="4" t="e">
        <f t="shared" si="0"/>
        <v>#REF!</v>
      </c>
      <c r="AP11" s="4" t="e">
        <f t="shared" si="0"/>
        <v>#REF!</v>
      </c>
      <c r="AQ11" s="4" t="e">
        <f t="shared" si="0"/>
        <v>#REF!</v>
      </c>
    </row>
    <row r="12" spans="2:120" hidden="1" x14ac:dyDescent="0.25"/>
    <row r="13" spans="2:120" hidden="1" x14ac:dyDescent="0.25"/>
    <row r="14" spans="2:120" s="1" customFormat="1" ht="21.75" customHeight="1" x14ac:dyDescent="0.3">
      <c r="H14" s="5" t="s">
        <v>7</v>
      </c>
      <c r="CE14" s="2"/>
    </row>
    <row r="15" spans="2:120" s="1" customFormat="1" ht="21.75" customHeight="1" x14ac:dyDescent="0.25">
      <c r="H15" s="19" t="s">
        <v>80</v>
      </c>
      <c r="CE15" s="2"/>
    </row>
    <row r="16" spans="2:120" s="1" customFormat="1" ht="21.75" customHeight="1" x14ac:dyDescent="0.25">
      <c r="CE16" s="2"/>
    </row>
    <row r="17" spans="2:43" ht="18.75" x14ac:dyDescent="0.3">
      <c r="H17" s="5" t="e">
        <f>_xll.BDP(TICKER,"security_name")&amp;" ("&amp;_xll.BDP(TICKER,"TICKER")&amp;")"</f>
        <v>#REF!</v>
      </c>
    </row>
    <row r="18" spans="2:43" x14ac:dyDescent="0.25">
      <c r="H18" s="6" t="s">
        <v>1</v>
      </c>
      <c r="I18" s="7" t="e">
        <f t="shared" ref="I18:AQ18" si="1">I9&amp;" "&amp;I10</f>
        <v>#REF!</v>
      </c>
      <c r="J18" s="8" t="e">
        <f t="shared" si="1"/>
        <v>#REF!</v>
      </c>
      <c r="K18" s="8" t="e">
        <f t="shared" si="1"/>
        <v>#REF!</v>
      </c>
      <c r="L18" s="8" t="e">
        <f t="shared" si="1"/>
        <v>#REF!</v>
      </c>
      <c r="M18" s="9" t="e">
        <f t="shared" si="1"/>
        <v>#REF!</v>
      </c>
      <c r="N18" s="10" t="e">
        <f t="shared" si="1"/>
        <v>#REF!</v>
      </c>
      <c r="O18" s="8" t="e">
        <f t="shared" si="1"/>
        <v>#REF!</v>
      </c>
      <c r="P18" s="8" t="e">
        <f t="shared" si="1"/>
        <v>#REF!</v>
      </c>
      <c r="Q18" s="8" t="e">
        <f t="shared" si="1"/>
        <v>#REF!</v>
      </c>
      <c r="R18" s="9" t="e">
        <f t="shared" si="1"/>
        <v>#REF!</v>
      </c>
      <c r="S18" s="10" t="e">
        <f t="shared" si="1"/>
        <v>#REF!</v>
      </c>
      <c r="T18" s="8" t="e">
        <f t="shared" si="1"/>
        <v>#REF!</v>
      </c>
      <c r="U18" s="8" t="e">
        <f t="shared" si="1"/>
        <v>#REF!</v>
      </c>
      <c r="V18" s="8" t="e">
        <f t="shared" si="1"/>
        <v>#REF!</v>
      </c>
      <c r="W18" s="9" t="e">
        <f t="shared" si="1"/>
        <v>#REF!</v>
      </c>
      <c r="X18" s="10" t="e">
        <f t="shared" si="1"/>
        <v>#REF!</v>
      </c>
      <c r="Y18" s="8" t="e">
        <f t="shared" si="1"/>
        <v>#REF!</v>
      </c>
      <c r="Z18" s="8" t="e">
        <f t="shared" si="1"/>
        <v>#REF!</v>
      </c>
      <c r="AA18" s="8" t="e">
        <f t="shared" si="1"/>
        <v>#REF!</v>
      </c>
      <c r="AB18" s="9" t="e">
        <f t="shared" si="1"/>
        <v>#REF!</v>
      </c>
      <c r="AC18" s="10" t="e">
        <f t="shared" si="1"/>
        <v>#REF!</v>
      </c>
      <c r="AD18" s="8" t="e">
        <f t="shared" si="1"/>
        <v>#REF!</v>
      </c>
      <c r="AE18" s="8" t="e">
        <f t="shared" si="1"/>
        <v>#REF!</v>
      </c>
      <c r="AF18" s="8" t="e">
        <f t="shared" si="1"/>
        <v>#REF!</v>
      </c>
      <c r="AG18" s="9" t="e">
        <f t="shared" si="1"/>
        <v>#REF!</v>
      </c>
      <c r="AH18" s="10" t="e">
        <f t="shared" si="1"/>
        <v>#REF!</v>
      </c>
      <c r="AI18" s="8" t="e">
        <f t="shared" si="1"/>
        <v>#REF!</v>
      </c>
      <c r="AJ18" s="8" t="e">
        <f t="shared" si="1"/>
        <v>#REF!</v>
      </c>
      <c r="AK18" s="8" t="e">
        <f t="shared" si="1"/>
        <v>#REF!</v>
      </c>
      <c r="AL18" s="9" t="e">
        <f t="shared" si="1"/>
        <v>#REF!</v>
      </c>
      <c r="AM18" s="10" t="e">
        <f t="shared" si="1"/>
        <v>#REF!</v>
      </c>
      <c r="AN18" s="8" t="e">
        <f t="shared" si="1"/>
        <v>#REF!</v>
      </c>
      <c r="AO18" s="8" t="e">
        <f t="shared" si="1"/>
        <v>#REF!</v>
      </c>
      <c r="AP18" s="8" t="e">
        <f t="shared" si="1"/>
        <v>#REF!</v>
      </c>
      <c r="AQ18" s="9" t="e">
        <f t="shared" si="1"/>
        <v>#REF!</v>
      </c>
    </row>
    <row r="19" spans="2:43" x14ac:dyDescent="0.25">
      <c r="B19" t="e">
        <f>_xll.BDS(TICKER,"DEEP_MEASURE_NAME_AND_ID","headers=y","cols=2;rows=199")</f>
        <v>#REF!</v>
      </c>
      <c r="C19" s="11" t="s">
        <v>11</v>
      </c>
      <c r="E19" t="s">
        <v>20</v>
      </c>
      <c r="F19" t="s">
        <v>11</v>
      </c>
      <c r="H19" s="12" t="s">
        <v>2</v>
      </c>
      <c r="I19" s="13" t="e">
        <f>_xll.BDP(TICKER,"BEST_PERIOD_END_DATE","BEST_FPERIOD_OVERRIDE",I$11)</f>
        <v>#REF!</v>
      </c>
      <c r="J19" s="14" t="e">
        <f>_xll.BDP(TICKER,"BEST_PERIOD_END_DATE","BEST_FPERIOD_OVERRIDE",J$11)</f>
        <v>#REF!</v>
      </c>
      <c r="K19" s="14" t="e">
        <f>_xll.BDP(TICKER,"BEST_PERIOD_END_DATE","BEST_FPERIOD_OVERRIDE",K$11)</f>
        <v>#REF!</v>
      </c>
      <c r="L19" s="14" t="e">
        <f>_xll.BDP(TICKER,"BEST_PERIOD_END_DATE","BEST_FPERIOD_OVERRIDE",L$11)</f>
        <v>#REF!</v>
      </c>
      <c r="M19" s="15" t="e">
        <f>_xll.BDP(TICKER,"BEST_PERIOD_END_DATE","BEST_FPERIOD_OVERRIDE",M$11)</f>
        <v>#REF!</v>
      </c>
      <c r="N19" s="16" t="e">
        <f>_xll.BDP(TICKER,"BEST_PERIOD_END_DATE","BEST_FPERIOD_OVERRIDE",N$11)</f>
        <v>#REF!</v>
      </c>
      <c r="O19" s="14" t="e">
        <f>_xll.BDP(TICKER,"BEST_PERIOD_END_DATE","BEST_FPERIOD_OVERRIDE",O$11)</f>
        <v>#REF!</v>
      </c>
      <c r="P19" s="14" t="e">
        <f>_xll.BDP(TICKER,"BEST_PERIOD_END_DATE","BEST_FPERIOD_OVERRIDE",P$11)</f>
        <v>#REF!</v>
      </c>
      <c r="Q19" s="14" t="e">
        <f>_xll.BDP(TICKER,"BEST_PERIOD_END_DATE","BEST_FPERIOD_OVERRIDE",Q$11)</f>
        <v>#REF!</v>
      </c>
      <c r="R19" s="15" t="e">
        <f>_xll.BDP(TICKER,"BEST_PERIOD_END_DATE","BEST_FPERIOD_OVERRIDE",R$11)</f>
        <v>#REF!</v>
      </c>
      <c r="S19" s="16" t="e">
        <f>_xll.BDP(TICKER,"BEST_PERIOD_END_DATE","BEST_FPERIOD_OVERRIDE",S$11)</f>
        <v>#REF!</v>
      </c>
      <c r="T19" s="14" t="e">
        <f>_xll.BDP(TICKER,"BEST_PERIOD_END_DATE","BEST_FPERIOD_OVERRIDE",T$11)</f>
        <v>#REF!</v>
      </c>
      <c r="U19" s="14" t="e">
        <f>_xll.BDP(TICKER,"BEST_PERIOD_END_DATE","BEST_FPERIOD_OVERRIDE",U$11)</f>
        <v>#REF!</v>
      </c>
      <c r="V19" s="14" t="e">
        <f>_xll.BDP(TICKER,"BEST_PERIOD_END_DATE","BEST_FPERIOD_OVERRIDE",V$11)</f>
        <v>#REF!</v>
      </c>
      <c r="W19" s="15" t="e">
        <f>_xll.BDP(TICKER,"BEST_PERIOD_END_DATE","BEST_FPERIOD_OVERRIDE",W$11)</f>
        <v>#REF!</v>
      </c>
      <c r="X19" s="16" t="e">
        <f>_xll.BDP(TICKER,"BEST_PERIOD_END_DATE","BEST_FPERIOD_OVERRIDE",X$11)</f>
        <v>#REF!</v>
      </c>
      <c r="Y19" s="14" t="e">
        <f>_xll.BDP(TICKER,"BEST_PERIOD_END_DATE","BEST_FPERIOD_OVERRIDE",Y$11)</f>
        <v>#REF!</v>
      </c>
      <c r="Z19" s="14" t="e">
        <f>_xll.BDP(TICKER,"BEST_PERIOD_END_DATE","BEST_FPERIOD_OVERRIDE",Z$11)</f>
        <v>#REF!</v>
      </c>
      <c r="AA19" s="14" t="e">
        <f>_xll.BDP(TICKER,"BEST_PERIOD_END_DATE","BEST_FPERIOD_OVERRIDE",AA$11)</f>
        <v>#REF!</v>
      </c>
      <c r="AB19" s="15" t="e">
        <f>_xll.BDP(TICKER,"BEST_PERIOD_END_DATE","BEST_FPERIOD_OVERRIDE",AB$11)</f>
        <v>#REF!</v>
      </c>
      <c r="AC19" s="16" t="e">
        <f>_xll.BDP(TICKER,"BEST_PERIOD_END_DATE","BEST_FPERIOD_OVERRIDE",AC$11)</f>
        <v>#REF!</v>
      </c>
      <c r="AD19" s="14" t="e">
        <f>_xll.BDP(TICKER,"BEST_PERIOD_END_DATE","BEST_FPERIOD_OVERRIDE",AD$11)</f>
        <v>#REF!</v>
      </c>
      <c r="AE19" s="14" t="e">
        <f>_xll.BDP(TICKER,"BEST_PERIOD_END_DATE","BEST_FPERIOD_OVERRIDE",AE$11)</f>
        <v>#REF!</v>
      </c>
      <c r="AF19" s="14" t="e">
        <f>_xll.BDP(TICKER,"BEST_PERIOD_END_DATE","BEST_FPERIOD_OVERRIDE",AF$11)</f>
        <v>#REF!</v>
      </c>
      <c r="AG19" s="15" t="e">
        <f>_xll.BDP(TICKER,"BEST_PERIOD_END_DATE","BEST_FPERIOD_OVERRIDE",AG$11)</f>
        <v>#REF!</v>
      </c>
      <c r="AH19" s="16" t="e">
        <f>_xll.BDP(TICKER,"BEST_PERIOD_END_DATE","BEST_FPERIOD_OVERRIDE",AH$11)</f>
        <v>#REF!</v>
      </c>
      <c r="AI19" s="14" t="e">
        <f>_xll.BDP(TICKER,"BEST_PERIOD_END_DATE","BEST_FPERIOD_OVERRIDE",AI$11)</f>
        <v>#REF!</v>
      </c>
      <c r="AJ19" s="14" t="e">
        <f>_xll.BDP(TICKER,"BEST_PERIOD_END_DATE","BEST_FPERIOD_OVERRIDE",AJ$11)</f>
        <v>#REF!</v>
      </c>
      <c r="AK19" s="14" t="e">
        <f>_xll.BDP(TICKER,"BEST_PERIOD_END_DATE","BEST_FPERIOD_OVERRIDE",AK$11)</f>
        <v>#REF!</v>
      </c>
      <c r="AL19" s="15" t="e">
        <f>_xll.BDP(TICKER,"BEST_PERIOD_END_DATE","BEST_FPERIOD_OVERRIDE",AL$11)</f>
        <v>#REF!</v>
      </c>
      <c r="AM19" s="16" t="e">
        <f>_xll.BDP(TICKER,"BEST_PERIOD_END_DATE","BEST_FPERIOD_OVERRIDE",AM$11)</f>
        <v>#REF!</v>
      </c>
      <c r="AN19" s="14" t="e">
        <f>_xll.BDP(TICKER,"BEST_PERIOD_END_DATE","BEST_FPERIOD_OVERRIDE",AN$11)</f>
        <v>#REF!</v>
      </c>
      <c r="AO19" s="14" t="e">
        <f>_xll.BDP(TICKER,"BEST_PERIOD_END_DATE","BEST_FPERIOD_OVERRIDE",AO$11)</f>
        <v>#REF!</v>
      </c>
      <c r="AP19" s="14" t="e">
        <f>_xll.BDP(TICKER,"BEST_PERIOD_END_DATE","BEST_FPERIOD_OVERRIDE",AP$11)</f>
        <v>#REF!</v>
      </c>
      <c r="AQ19" s="15" t="e">
        <f>_xll.BDP(TICKER,"BEST_PERIOD_END_DATE","BEST_FPERIOD_OVERRIDE",AQ$11)</f>
        <v>#REF!</v>
      </c>
    </row>
    <row r="20" spans="2:43" x14ac:dyDescent="0.25">
      <c r="B20" t="s">
        <v>37</v>
      </c>
      <c r="C20" s="11">
        <v>565</v>
      </c>
      <c r="E20" t="s">
        <v>218</v>
      </c>
      <c r="H20" t="str">
        <f>IF(ISNA($B20),"",IF(ISBLANK($B20),"",$B20))</f>
        <v>Average Monthly Unique Visitors</v>
      </c>
      <c r="I20" s="17" t="str">
        <f ca="1">IF(ISNA($B20),"",IF($B20="","",IFERROR(_xll.BDP(TICKER,"DEEP_MEASURE_PERIOD_BROKER_VALUE","DEEP_MEASURE_ID_OVERRIDE",$C20,"DEEP_BROKER_ID_OVERRIDE",$F$7,"DEEP_PERIOD_OVERRIDE",I$11)*1,"")))</f>
        <v/>
      </c>
      <c r="J20" s="17" t="str">
        <f ca="1">IF(ISNA($B20),"",IF($B20="","",IFERROR(_xll.BDP(TICKER,"DEEP_MEASURE_PERIOD_BROKER_VALUE","DEEP_MEASURE_ID_OVERRIDE",$C20,"DEEP_BROKER_ID_OVERRIDE",$F$7,"DEEP_PERIOD_OVERRIDE",J$11)*1,"")))</f>
        <v/>
      </c>
      <c r="K20" s="17" t="str">
        <f ca="1">IF(ISNA($B20),"",IF($B20="","",IFERROR(_xll.BDP(TICKER,"DEEP_MEASURE_PERIOD_BROKER_VALUE","DEEP_MEASURE_ID_OVERRIDE",$C20,"DEEP_BROKER_ID_OVERRIDE",$F$7,"DEEP_PERIOD_OVERRIDE",K$11)*1,"")))</f>
        <v/>
      </c>
      <c r="L20" s="17" t="str">
        <f ca="1">IF(ISNA($B20),"",IF($B20="","",IFERROR(_xll.BDP(TICKER,"DEEP_MEASURE_PERIOD_BROKER_VALUE","DEEP_MEASURE_ID_OVERRIDE",$C20,"DEEP_BROKER_ID_OVERRIDE",$F$7,"DEEP_PERIOD_OVERRIDE",L$11)*1,"")))</f>
        <v/>
      </c>
      <c r="M20" s="17" t="str">
        <f ca="1">IF(ISNA($B20),"",IF($B20="","",IFERROR(_xll.BDP(TICKER,"DEEP_MEASURE_PERIOD_BROKER_VALUE","DEEP_MEASURE_ID_OVERRIDE",$C20,"DEEP_BROKER_ID_OVERRIDE",$F$7,"DEEP_PERIOD_OVERRIDE",M$11)*1,"")))</f>
        <v/>
      </c>
      <c r="N20" s="17" t="str">
        <f ca="1">IF(ISNA($B20),"",IF($B20="","",IFERROR(_xll.BDP(TICKER,"DEEP_MEASURE_PERIOD_BROKER_VALUE","DEEP_MEASURE_ID_OVERRIDE",$C20,"DEEP_BROKER_ID_OVERRIDE",$F$7,"DEEP_PERIOD_OVERRIDE",N$11)*1,"")))</f>
        <v/>
      </c>
      <c r="O20" s="17" t="str">
        <f ca="1">IF(ISNA($B20),"",IF($B20="","",IFERROR(_xll.BDP(TICKER,"DEEP_MEASURE_PERIOD_BROKER_VALUE","DEEP_MEASURE_ID_OVERRIDE",$C20,"DEEP_BROKER_ID_OVERRIDE",$F$7,"DEEP_PERIOD_OVERRIDE",O$11)*1,"")))</f>
        <v/>
      </c>
      <c r="P20" s="17" t="str">
        <f ca="1">IF(ISNA($B20),"",IF($B20="","",IFERROR(_xll.BDP(TICKER,"DEEP_MEASURE_PERIOD_BROKER_VALUE","DEEP_MEASURE_ID_OVERRIDE",$C20,"DEEP_BROKER_ID_OVERRIDE",$F$7,"DEEP_PERIOD_OVERRIDE",P$11)*1,"")))</f>
        <v/>
      </c>
      <c r="Q20" s="17" t="str">
        <f ca="1">IF(ISNA($B20),"",IF($B20="","",IFERROR(_xll.BDP(TICKER,"DEEP_MEASURE_PERIOD_BROKER_VALUE","DEEP_MEASURE_ID_OVERRIDE",$C20,"DEEP_BROKER_ID_OVERRIDE",$F$7,"DEEP_PERIOD_OVERRIDE",Q$11)*1,"")))</f>
        <v/>
      </c>
      <c r="R20" s="17" t="str">
        <f ca="1">IF(ISNA($B20),"",IF($B20="","",IFERROR(_xll.BDP(TICKER,"DEEP_MEASURE_PERIOD_BROKER_VALUE","DEEP_MEASURE_ID_OVERRIDE",$C20,"DEEP_BROKER_ID_OVERRIDE",$F$7,"DEEP_PERIOD_OVERRIDE",R$11)*1,"")))</f>
        <v/>
      </c>
      <c r="S20" s="17" t="str">
        <f ca="1">IF(ISNA($B20),"",IF($B20="","",IFERROR(_xll.BDP(TICKER,"DEEP_MEASURE_PERIOD_BROKER_VALUE","DEEP_MEASURE_ID_OVERRIDE",$C20,"DEEP_BROKER_ID_OVERRIDE",$F$7,"DEEP_PERIOD_OVERRIDE",S$11)*1,"")))</f>
        <v/>
      </c>
      <c r="T20" s="17" t="str">
        <f ca="1">IF(ISNA($B20),"",IF($B20="","",IFERROR(_xll.BDP(TICKER,"DEEP_MEASURE_PERIOD_BROKER_VALUE","DEEP_MEASURE_ID_OVERRIDE",$C20,"DEEP_BROKER_ID_OVERRIDE",$F$7,"DEEP_PERIOD_OVERRIDE",T$11)*1,"")))</f>
        <v/>
      </c>
      <c r="U20" s="17" t="str">
        <f ca="1">IF(ISNA($B20),"",IF($B20="","",IFERROR(_xll.BDP(TICKER,"DEEP_MEASURE_PERIOD_BROKER_VALUE","DEEP_MEASURE_ID_OVERRIDE",$C20,"DEEP_BROKER_ID_OVERRIDE",$F$7,"DEEP_PERIOD_OVERRIDE",U$11)*1,"")))</f>
        <v/>
      </c>
      <c r="V20" s="17" t="str">
        <f ca="1">IF(ISNA($B20),"",IF($B20="","",IFERROR(_xll.BDP(TICKER,"DEEP_MEASURE_PERIOD_BROKER_VALUE","DEEP_MEASURE_ID_OVERRIDE",$C20,"DEEP_BROKER_ID_OVERRIDE",$F$7,"DEEP_PERIOD_OVERRIDE",V$11)*1,"")))</f>
        <v/>
      </c>
      <c r="W20" s="17" t="str">
        <f ca="1">IF(ISNA($B20),"",IF($B20="","",IFERROR(_xll.BDP(TICKER,"DEEP_MEASURE_PERIOD_BROKER_VALUE","DEEP_MEASURE_ID_OVERRIDE",$C20,"DEEP_BROKER_ID_OVERRIDE",$F$7,"DEEP_PERIOD_OVERRIDE",W$11)*1,"")))</f>
        <v/>
      </c>
      <c r="X20" s="17" t="str">
        <f ca="1">IF(ISNA($B20),"",IF($B20="","",IFERROR(_xll.BDP(TICKER,"DEEP_MEASURE_PERIOD_BROKER_VALUE","DEEP_MEASURE_ID_OVERRIDE",$C20,"DEEP_BROKER_ID_OVERRIDE",$F$7,"DEEP_PERIOD_OVERRIDE",X$11)*1,"")))</f>
        <v/>
      </c>
      <c r="Y20" s="17" t="str">
        <f ca="1">IF(ISNA($B20),"",IF($B20="","",IFERROR(_xll.BDP(TICKER,"DEEP_MEASURE_PERIOD_BROKER_VALUE","DEEP_MEASURE_ID_OVERRIDE",$C20,"DEEP_BROKER_ID_OVERRIDE",$F$7,"DEEP_PERIOD_OVERRIDE",Y$11)*1,"")))</f>
        <v/>
      </c>
      <c r="Z20" s="17" t="str">
        <f ca="1">IF(ISNA($B20),"",IF($B20="","",IFERROR(_xll.BDP(TICKER,"DEEP_MEASURE_PERIOD_BROKER_VALUE","DEEP_MEASURE_ID_OVERRIDE",$C20,"DEEP_BROKER_ID_OVERRIDE",$F$7,"DEEP_PERIOD_OVERRIDE",Z$11)*1,"")))</f>
        <v/>
      </c>
      <c r="AA20" s="17" t="str">
        <f ca="1">IF(ISNA($B20),"",IF($B20="","",IFERROR(_xll.BDP(TICKER,"DEEP_MEASURE_PERIOD_BROKER_VALUE","DEEP_MEASURE_ID_OVERRIDE",$C20,"DEEP_BROKER_ID_OVERRIDE",$F$7,"DEEP_PERIOD_OVERRIDE",AA$11)*1,"")))</f>
        <v/>
      </c>
      <c r="AB20" s="17" t="str">
        <f ca="1">IF(ISNA($B20),"",IF($B20="","",IFERROR(_xll.BDP(TICKER,"DEEP_MEASURE_PERIOD_BROKER_VALUE","DEEP_MEASURE_ID_OVERRIDE",$C20,"DEEP_BROKER_ID_OVERRIDE",$F$7,"DEEP_PERIOD_OVERRIDE",AB$11)*1,"")))</f>
        <v/>
      </c>
      <c r="AC20" s="17" t="str">
        <f ca="1">IF(ISNA($B20),"",IF($B20="","",IFERROR(_xll.BDP(TICKER,"DEEP_MEASURE_PERIOD_BROKER_VALUE","DEEP_MEASURE_ID_OVERRIDE",$C20,"DEEP_BROKER_ID_OVERRIDE",$F$7,"DEEP_PERIOD_OVERRIDE",AC$11)*1,"")))</f>
        <v/>
      </c>
      <c r="AD20" s="17" t="str">
        <f ca="1">IF(ISNA($B20),"",IF($B20="","",IFERROR(_xll.BDP(TICKER,"DEEP_MEASURE_PERIOD_BROKER_VALUE","DEEP_MEASURE_ID_OVERRIDE",$C20,"DEEP_BROKER_ID_OVERRIDE",$F$7,"DEEP_PERIOD_OVERRIDE",AD$11)*1,"")))</f>
        <v/>
      </c>
      <c r="AE20" s="17" t="str">
        <f ca="1">IF(ISNA($B20),"",IF($B20="","",IFERROR(_xll.BDP(TICKER,"DEEP_MEASURE_PERIOD_BROKER_VALUE","DEEP_MEASURE_ID_OVERRIDE",$C20,"DEEP_BROKER_ID_OVERRIDE",$F$7,"DEEP_PERIOD_OVERRIDE",AE$11)*1,"")))</f>
        <v/>
      </c>
      <c r="AF20" s="17" t="str">
        <f ca="1">IF(ISNA($B20),"",IF($B20="","",IFERROR(_xll.BDP(TICKER,"DEEP_MEASURE_PERIOD_BROKER_VALUE","DEEP_MEASURE_ID_OVERRIDE",$C20,"DEEP_BROKER_ID_OVERRIDE",$F$7,"DEEP_PERIOD_OVERRIDE",AF$11)*1,"")))</f>
        <v/>
      </c>
      <c r="AG20" s="17" t="str">
        <f ca="1">IF(ISNA($B20),"",IF($B20="","",IFERROR(_xll.BDP(TICKER,"DEEP_MEASURE_PERIOD_BROKER_VALUE","DEEP_MEASURE_ID_OVERRIDE",$C20,"DEEP_BROKER_ID_OVERRIDE",$F$7,"DEEP_PERIOD_OVERRIDE",AG$11)*1,"")))</f>
        <v/>
      </c>
      <c r="AH20" s="17" t="str">
        <f ca="1">IF(ISNA($B20),"",IF($B20="","",IFERROR(_xll.BDP(TICKER,"DEEP_MEASURE_PERIOD_BROKER_VALUE","DEEP_MEASURE_ID_OVERRIDE",$C20,"DEEP_BROKER_ID_OVERRIDE",$F$7,"DEEP_PERIOD_OVERRIDE",AH$11)*1,"")))</f>
        <v/>
      </c>
      <c r="AI20" s="17" t="str">
        <f ca="1">IF(ISNA($B20),"",IF($B20="","",IFERROR(_xll.BDP(TICKER,"DEEP_MEASURE_PERIOD_BROKER_VALUE","DEEP_MEASURE_ID_OVERRIDE",$C20,"DEEP_BROKER_ID_OVERRIDE",$F$7,"DEEP_PERIOD_OVERRIDE",AI$11)*1,"")))</f>
        <v/>
      </c>
      <c r="AJ20" s="17" t="str">
        <f ca="1">IF(ISNA($B20),"",IF($B20="","",IFERROR(_xll.BDP(TICKER,"DEEP_MEASURE_PERIOD_BROKER_VALUE","DEEP_MEASURE_ID_OVERRIDE",$C20,"DEEP_BROKER_ID_OVERRIDE",$F$7,"DEEP_PERIOD_OVERRIDE",AJ$11)*1,"")))</f>
        <v/>
      </c>
      <c r="AK20" s="17" t="str">
        <f ca="1">IF(ISNA($B20),"",IF($B20="","",IFERROR(_xll.BDP(TICKER,"DEEP_MEASURE_PERIOD_BROKER_VALUE","DEEP_MEASURE_ID_OVERRIDE",$C20,"DEEP_BROKER_ID_OVERRIDE",$F$7,"DEEP_PERIOD_OVERRIDE",AK$11)*1,"")))</f>
        <v/>
      </c>
      <c r="AL20" s="17" t="str">
        <f ca="1">IF(ISNA($B20),"",IF($B20="","",IFERROR(_xll.BDP(TICKER,"DEEP_MEASURE_PERIOD_BROKER_VALUE","DEEP_MEASURE_ID_OVERRIDE",$C20,"DEEP_BROKER_ID_OVERRIDE",$F$7,"DEEP_PERIOD_OVERRIDE",AL$11)*1,"")))</f>
        <v/>
      </c>
      <c r="AM20" s="17" t="str">
        <f ca="1">IF(ISNA($B20),"",IF($B20="","",IFERROR(_xll.BDP(TICKER,"DEEP_MEASURE_PERIOD_BROKER_VALUE","DEEP_MEASURE_ID_OVERRIDE",$C20,"DEEP_BROKER_ID_OVERRIDE",$F$7,"DEEP_PERIOD_OVERRIDE",AM$11)*1,"")))</f>
        <v/>
      </c>
      <c r="AN20" s="17" t="str">
        <f ca="1">IF(ISNA($B20),"",IF($B20="","",IFERROR(_xll.BDP(TICKER,"DEEP_MEASURE_PERIOD_BROKER_VALUE","DEEP_MEASURE_ID_OVERRIDE",$C20,"DEEP_BROKER_ID_OVERRIDE",$F$7,"DEEP_PERIOD_OVERRIDE",AN$11)*1,"")))</f>
        <v/>
      </c>
      <c r="AO20" s="17" t="str">
        <f ca="1">IF(ISNA($B20),"",IF($B20="","",IFERROR(_xll.BDP(TICKER,"DEEP_MEASURE_PERIOD_BROKER_VALUE","DEEP_MEASURE_ID_OVERRIDE",$C20,"DEEP_BROKER_ID_OVERRIDE",$F$7,"DEEP_PERIOD_OVERRIDE",AO$11)*1,"")))</f>
        <v/>
      </c>
      <c r="AP20" s="17" t="str">
        <f ca="1">IF(ISNA($B20),"",IF($B20="","",IFERROR(_xll.BDP(TICKER,"DEEP_MEASURE_PERIOD_BROKER_VALUE","DEEP_MEASURE_ID_OVERRIDE",$C20,"DEEP_BROKER_ID_OVERRIDE",$F$7,"DEEP_PERIOD_OVERRIDE",AP$11)*1,"")))</f>
        <v/>
      </c>
      <c r="AQ20" s="17" t="str">
        <f ca="1">IF(ISNA($B20),"",IF($B20="","",IFERROR(_xll.BDP(TICKER,"DEEP_MEASURE_PERIOD_BROKER_VALUE","DEEP_MEASURE_ID_OVERRIDE",$C20,"DEEP_BROKER_ID_OVERRIDE",$F$7,"DEEP_PERIOD_OVERRIDE",AQ$11)*1,"")))</f>
        <v/>
      </c>
    </row>
    <row r="21" spans="2:43" x14ac:dyDescent="0.25">
      <c r="B21" t="s">
        <v>81</v>
      </c>
      <c r="C21" s="11">
        <v>1685</v>
      </c>
      <c r="E21" t="e">
        <f>_xll.BDS(TICKER,"DEEP_ENABLED_BROKER_NAME_AND_ID","headers=n","cols=2;rows=14")</f>
        <v>#REF!</v>
      </c>
      <c r="F21">
        <v>115691</v>
      </c>
      <c r="H21" t="str">
        <f t="shared" ref="H21:H84" si="2">IF(ISNA($B21),"",IF(ISBLANK($B21),"",$B21))</f>
        <v>Average Monthly Unique Visitors &gt; YoY Growth (%)</v>
      </c>
      <c r="I21" s="17" t="str">
        <f ca="1">IF(ISNA($B21),"",IF($B21="","",IFERROR(_xll.BDP(TICKER,"DEEP_MEASURE_PERIOD_BROKER_VALUE","DEEP_MEASURE_ID_OVERRIDE",$C21,"DEEP_BROKER_ID_OVERRIDE",$F$7,"DEEP_PERIOD_OVERRIDE",I$11)*1,"")))</f>
        <v/>
      </c>
      <c r="J21" s="17" t="str">
        <f ca="1">IF(ISNA($B21),"",IF($B21="","",IFERROR(_xll.BDP(TICKER,"DEEP_MEASURE_PERIOD_BROKER_VALUE","DEEP_MEASURE_ID_OVERRIDE",$C21,"DEEP_BROKER_ID_OVERRIDE",$F$7,"DEEP_PERIOD_OVERRIDE",J$11)*1,"")))</f>
        <v/>
      </c>
      <c r="K21" s="17" t="str">
        <f ca="1">IF(ISNA($B21),"",IF($B21="","",IFERROR(_xll.BDP(TICKER,"DEEP_MEASURE_PERIOD_BROKER_VALUE","DEEP_MEASURE_ID_OVERRIDE",$C21,"DEEP_BROKER_ID_OVERRIDE",$F$7,"DEEP_PERIOD_OVERRIDE",K$11)*1,"")))</f>
        <v/>
      </c>
      <c r="L21" s="17" t="str">
        <f ca="1">IF(ISNA($B21),"",IF($B21="","",IFERROR(_xll.BDP(TICKER,"DEEP_MEASURE_PERIOD_BROKER_VALUE","DEEP_MEASURE_ID_OVERRIDE",$C21,"DEEP_BROKER_ID_OVERRIDE",$F$7,"DEEP_PERIOD_OVERRIDE",L$11)*1,"")))</f>
        <v/>
      </c>
      <c r="M21" s="17" t="str">
        <f ca="1">IF(ISNA($B21),"",IF($B21="","",IFERROR(_xll.BDP(TICKER,"DEEP_MEASURE_PERIOD_BROKER_VALUE","DEEP_MEASURE_ID_OVERRIDE",$C21,"DEEP_BROKER_ID_OVERRIDE",$F$7,"DEEP_PERIOD_OVERRIDE",M$11)*1,"")))</f>
        <v/>
      </c>
      <c r="N21" s="17" t="str">
        <f ca="1">IF(ISNA($B21),"",IF($B21="","",IFERROR(_xll.BDP(TICKER,"DEEP_MEASURE_PERIOD_BROKER_VALUE","DEEP_MEASURE_ID_OVERRIDE",$C21,"DEEP_BROKER_ID_OVERRIDE",$F$7,"DEEP_PERIOD_OVERRIDE",N$11)*1,"")))</f>
        <v/>
      </c>
      <c r="O21" s="17" t="str">
        <f ca="1">IF(ISNA($B21),"",IF($B21="","",IFERROR(_xll.BDP(TICKER,"DEEP_MEASURE_PERIOD_BROKER_VALUE","DEEP_MEASURE_ID_OVERRIDE",$C21,"DEEP_BROKER_ID_OVERRIDE",$F$7,"DEEP_PERIOD_OVERRIDE",O$11)*1,"")))</f>
        <v/>
      </c>
      <c r="P21" s="17" t="str">
        <f ca="1">IF(ISNA($B21),"",IF($B21="","",IFERROR(_xll.BDP(TICKER,"DEEP_MEASURE_PERIOD_BROKER_VALUE","DEEP_MEASURE_ID_OVERRIDE",$C21,"DEEP_BROKER_ID_OVERRIDE",$F$7,"DEEP_PERIOD_OVERRIDE",P$11)*1,"")))</f>
        <v/>
      </c>
      <c r="Q21" s="17" t="str">
        <f ca="1">IF(ISNA($B21),"",IF($B21="","",IFERROR(_xll.BDP(TICKER,"DEEP_MEASURE_PERIOD_BROKER_VALUE","DEEP_MEASURE_ID_OVERRIDE",$C21,"DEEP_BROKER_ID_OVERRIDE",$F$7,"DEEP_PERIOD_OVERRIDE",Q$11)*1,"")))</f>
        <v/>
      </c>
      <c r="R21" s="17" t="str">
        <f ca="1">IF(ISNA($B21),"",IF($B21="","",IFERROR(_xll.BDP(TICKER,"DEEP_MEASURE_PERIOD_BROKER_VALUE","DEEP_MEASURE_ID_OVERRIDE",$C21,"DEEP_BROKER_ID_OVERRIDE",$F$7,"DEEP_PERIOD_OVERRIDE",R$11)*1,"")))</f>
        <v/>
      </c>
      <c r="S21" s="17" t="str">
        <f ca="1">IF(ISNA($B21),"",IF($B21="","",IFERROR(_xll.BDP(TICKER,"DEEP_MEASURE_PERIOD_BROKER_VALUE","DEEP_MEASURE_ID_OVERRIDE",$C21,"DEEP_BROKER_ID_OVERRIDE",$F$7,"DEEP_PERIOD_OVERRIDE",S$11)*1,"")))</f>
        <v/>
      </c>
      <c r="T21" s="17" t="str">
        <f ca="1">IF(ISNA($B21),"",IF($B21="","",IFERROR(_xll.BDP(TICKER,"DEEP_MEASURE_PERIOD_BROKER_VALUE","DEEP_MEASURE_ID_OVERRIDE",$C21,"DEEP_BROKER_ID_OVERRIDE",$F$7,"DEEP_PERIOD_OVERRIDE",T$11)*1,"")))</f>
        <v/>
      </c>
      <c r="U21" s="17" t="str">
        <f ca="1">IF(ISNA($B21),"",IF($B21="","",IFERROR(_xll.BDP(TICKER,"DEEP_MEASURE_PERIOD_BROKER_VALUE","DEEP_MEASURE_ID_OVERRIDE",$C21,"DEEP_BROKER_ID_OVERRIDE",$F$7,"DEEP_PERIOD_OVERRIDE",U$11)*1,"")))</f>
        <v/>
      </c>
      <c r="V21" s="17" t="str">
        <f ca="1">IF(ISNA($B21),"",IF($B21="","",IFERROR(_xll.BDP(TICKER,"DEEP_MEASURE_PERIOD_BROKER_VALUE","DEEP_MEASURE_ID_OVERRIDE",$C21,"DEEP_BROKER_ID_OVERRIDE",$F$7,"DEEP_PERIOD_OVERRIDE",V$11)*1,"")))</f>
        <v/>
      </c>
      <c r="W21" s="17" t="str">
        <f ca="1">IF(ISNA($B21),"",IF($B21="","",IFERROR(_xll.BDP(TICKER,"DEEP_MEASURE_PERIOD_BROKER_VALUE","DEEP_MEASURE_ID_OVERRIDE",$C21,"DEEP_BROKER_ID_OVERRIDE",$F$7,"DEEP_PERIOD_OVERRIDE",W$11)*1,"")))</f>
        <v/>
      </c>
      <c r="X21" s="17" t="str">
        <f ca="1">IF(ISNA($B21),"",IF($B21="","",IFERROR(_xll.BDP(TICKER,"DEEP_MEASURE_PERIOD_BROKER_VALUE","DEEP_MEASURE_ID_OVERRIDE",$C21,"DEEP_BROKER_ID_OVERRIDE",$F$7,"DEEP_PERIOD_OVERRIDE",X$11)*1,"")))</f>
        <v/>
      </c>
      <c r="Y21" s="17" t="str">
        <f ca="1">IF(ISNA($B21),"",IF($B21="","",IFERROR(_xll.BDP(TICKER,"DEEP_MEASURE_PERIOD_BROKER_VALUE","DEEP_MEASURE_ID_OVERRIDE",$C21,"DEEP_BROKER_ID_OVERRIDE",$F$7,"DEEP_PERIOD_OVERRIDE",Y$11)*1,"")))</f>
        <v/>
      </c>
      <c r="Z21" s="17" t="str">
        <f ca="1">IF(ISNA($B21),"",IF($B21="","",IFERROR(_xll.BDP(TICKER,"DEEP_MEASURE_PERIOD_BROKER_VALUE","DEEP_MEASURE_ID_OVERRIDE",$C21,"DEEP_BROKER_ID_OVERRIDE",$F$7,"DEEP_PERIOD_OVERRIDE",Z$11)*1,"")))</f>
        <v/>
      </c>
      <c r="AA21" s="17" t="str">
        <f ca="1">IF(ISNA($B21),"",IF($B21="","",IFERROR(_xll.BDP(TICKER,"DEEP_MEASURE_PERIOD_BROKER_VALUE","DEEP_MEASURE_ID_OVERRIDE",$C21,"DEEP_BROKER_ID_OVERRIDE",$F$7,"DEEP_PERIOD_OVERRIDE",AA$11)*1,"")))</f>
        <v/>
      </c>
      <c r="AB21" s="17" t="str">
        <f ca="1">IF(ISNA($B21),"",IF($B21="","",IFERROR(_xll.BDP(TICKER,"DEEP_MEASURE_PERIOD_BROKER_VALUE","DEEP_MEASURE_ID_OVERRIDE",$C21,"DEEP_BROKER_ID_OVERRIDE",$F$7,"DEEP_PERIOD_OVERRIDE",AB$11)*1,"")))</f>
        <v/>
      </c>
      <c r="AC21" s="17" t="str">
        <f ca="1">IF(ISNA($B21),"",IF($B21="","",IFERROR(_xll.BDP(TICKER,"DEEP_MEASURE_PERIOD_BROKER_VALUE","DEEP_MEASURE_ID_OVERRIDE",$C21,"DEEP_BROKER_ID_OVERRIDE",$F$7,"DEEP_PERIOD_OVERRIDE",AC$11)*1,"")))</f>
        <v/>
      </c>
      <c r="AD21" s="17" t="str">
        <f ca="1">IF(ISNA($B21),"",IF($B21="","",IFERROR(_xll.BDP(TICKER,"DEEP_MEASURE_PERIOD_BROKER_VALUE","DEEP_MEASURE_ID_OVERRIDE",$C21,"DEEP_BROKER_ID_OVERRIDE",$F$7,"DEEP_PERIOD_OVERRIDE",AD$11)*1,"")))</f>
        <v/>
      </c>
      <c r="AE21" s="17" t="str">
        <f ca="1">IF(ISNA($B21),"",IF($B21="","",IFERROR(_xll.BDP(TICKER,"DEEP_MEASURE_PERIOD_BROKER_VALUE","DEEP_MEASURE_ID_OVERRIDE",$C21,"DEEP_BROKER_ID_OVERRIDE",$F$7,"DEEP_PERIOD_OVERRIDE",AE$11)*1,"")))</f>
        <v/>
      </c>
      <c r="AF21" s="17" t="str">
        <f ca="1">IF(ISNA($B21),"",IF($B21="","",IFERROR(_xll.BDP(TICKER,"DEEP_MEASURE_PERIOD_BROKER_VALUE","DEEP_MEASURE_ID_OVERRIDE",$C21,"DEEP_BROKER_ID_OVERRIDE",$F$7,"DEEP_PERIOD_OVERRIDE",AF$11)*1,"")))</f>
        <v/>
      </c>
      <c r="AG21" s="17" t="str">
        <f ca="1">IF(ISNA($B21),"",IF($B21="","",IFERROR(_xll.BDP(TICKER,"DEEP_MEASURE_PERIOD_BROKER_VALUE","DEEP_MEASURE_ID_OVERRIDE",$C21,"DEEP_BROKER_ID_OVERRIDE",$F$7,"DEEP_PERIOD_OVERRIDE",AG$11)*1,"")))</f>
        <v/>
      </c>
      <c r="AH21" s="17" t="str">
        <f ca="1">IF(ISNA($B21),"",IF($B21="","",IFERROR(_xll.BDP(TICKER,"DEEP_MEASURE_PERIOD_BROKER_VALUE","DEEP_MEASURE_ID_OVERRIDE",$C21,"DEEP_BROKER_ID_OVERRIDE",$F$7,"DEEP_PERIOD_OVERRIDE",AH$11)*1,"")))</f>
        <v/>
      </c>
      <c r="AI21" s="17" t="str">
        <f ca="1">IF(ISNA($B21),"",IF($B21="","",IFERROR(_xll.BDP(TICKER,"DEEP_MEASURE_PERIOD_BROKER_VALUE","DEEP_MEASURE_ID_OVERRIDE",$C21,"DEEP_BROKER_ID_OVERRIDE",$F$7,"DEEP_PERIOD_OVERRIDE",AI$11)*1,"")))</f>
        <v/>
      </c>
      <c r="AJ21" s="17" t="str">
        <f ca="1">IF(ISNA($B21),"",IF($B21="","",IFERROR(_xll.BDP(TICKER,"DEEP_MEASURE_PERIOD_BROKER_VALUE","DEEP_MEASURE_ID_OVERRIDE",$C21,"DEEP_BROKER_ID_OVERRIDE",$F$7,"DEEP_PERIOD_OVERRIDE",AJ$11)*1,"")))</f>
        <v/>
      </c>
      <c r="AK21" s="17" t="str">
        <f ca="1">IF(ISNA($B21),"",IF($B21="","",IFERROR(_xll.BDP(TICKER,"DEEP_MEASURE_PERIOD_BROKER_VALUE","DEEP_MEASURE_ID_OVERRIDE",$C21,"DEEP_BROKER_ID_OVERRIDE",$F$7,"DEEP_PERIOD_OVERRIDE",AK$11)*1,"")))</f>
        <v/>
      </c>
      <c r="AL21" s="17" t="str">
        <f ca="1">IF(ISNA($B21),"",IF($B21="","",IFERROR(_xll.BDP(TICKER,"DEEP_MEASURE_PERIOD_BROKER_VALUE","DEEP_MEASURE_ID_OVERRIDE",$C21,"DEEP_BROKER_ID_OVERRIDE",$F$7,"DEEP_PERIOD_OVERRIDE",AL$11)*1,"")))</f>
        <v/>
      </c>
      <c r="AM21" s="17" t="str">
        <f ca="1">IF(ISNA($B21),"",IF($B21="","",IFERROR(_xll.BDP(TICKER,"DEEP_MEASURE_PERIOD_BROKER_VALUE","DEEP_MEASURE_ID_OVERRIDE",$C21,"DEEP_BROKER_ID_OVERRIDE",$F$7,"DEEP_PERIOD_OVERRIDE",AM$11)*1,"")))</f>
        <v/>
      </c>
      <c r="AN21" s="17" t="str">
        <f ca="1">IF(ISNA($B21),"",IF($B21="","",IFERROR(_xll.BDP(TICKER,"DEEP_MEASURE_PERIOD_BROKER_VALUE","DEEP_MEASURE_ID_OVERRIDE",$C21,"DEEP_BROKER_ID_OVERRIDE",$F$7,"DEEP_PERIOD_OVERRIDE",AN$11)*1,"")))</f>
        <v/>
      </c>
      <c r="AO21" s="17" t="str">
        <f ca="1">IF(ISNA($B21),"",IF($B21="","",IFERROR(_xll.BDP(TICKER,"DEEP_MEASURE_PERIOD_BROKER_VALUE","DEEP_MEASURE_ID_OVERRIDE",$C21,"DEEP_BROKER_ID_OVERRIDE",$F$7,"DEEP_PERIOD_OVERRIDE",AO$11)*1,"")))</f>
        <v/>
      </c>
      <c r="AP21" s="17" t="str">
        <f ca="1">IF(ISNA($B21),"",IF($B21="","",IFERROR(_xll.BDP(TICKER,"DEEP_MEASURE_PERIOD_BROKER_VALUE","DEEP_MEASURE_ID_OVERRIDE",$C21,"DEEP_BROKER_ID_OVERRIDE",$F$7,"DEEP_PERIOD_OVERRIDE",AP$11)*1,"")))</f>
        <v/>
      </c>
      <c r="AQ21" s="17" t="str">
        <f ca="1">IF(ISNA($B21),"",IF($B21="","",IFERROR(_xll.BDP(TICKER,"DEEP_MEASURE_PERIOD_BROKER_VALUE","DEEP_MEASURE_ID_OVERRIDE",$C21,"DEEP_BROKER_ID_OVERRIDE",$F$7,"DEEP_PERIOD_OVERRIDE",AQ$11)*1,"")))</f>
        <v/>
      </c>
    </row>
    <row r="22" spans="2:43" x14ac:dyDescent="0.25">
      <c r="B22" t="s">
        <v>38</v>
      </c>
      <c r="C22" s="11">
        <v>1623</v>
      </c>
      <c r="E22" t="s">
        <v>35</v>
      </c>
      <c r="F22">
        <v>171619</v>
      </c>
      <c r="H22" t="str">
        <f t="shared" si="2"/>
        <v>Average Monthly Unique Hotel Shoppers</v>
      </c>
      <c r="I22" s="17" t="str">
        <f ca="1">IF(ISNA($B22),"",IF($B22="","",IFERROR(_xll.BDP(TICKER,"DEEP_MEASURE_PERIOD_BROKER_VALUE","DEEP_MEASURE_ID_OVERRIDE",$C22,"DEEP_BROKER_ID_OVERRIDE",$F$7,"DEEP_PERIOD_OVERRIDE",I$11)*1,"")))</f>
        <v/>
      </c>
      <c r="J22" s="17" t="str">
        <f ca="1">IF(ISNA($B22),"",IF($B22="","",IFERROR(_xll.BDP(TICKER,"DEEP_MEASURE_PERIOD_BROKER_VALUE","DEEP_MEASURE_ID_OVERRIDE",$C22,"DEEP_BROKER_ID_OVERRIDE",$F$7,"DEEP_PERIOD_OVERRIDE",J$11)*1,"")))</f>
        <v/>
      </c>
      <c r="K22" s="17" t="str">
        <f ca="1">IF(ISNA($B22),"",IF($B22="","",IFERROR(_xll.BDP(TICKER,"DEEP_MEASURE_PERIOD_BROKER_VALUE","DEEP_MEASURE_ID_OVERRIDE",$C22,"DEEP_BROKER_ID_OVERRIDE",$F$7,"DEEP_PERIOD_OVERRIDE",K$11)*1,"")))</f>
        <v/>
      </c>
      <c r="L22" s="17" t="str">
        <f ca="1">IF(ISNA($B22),"",IF($B22="","",IFERROR(_xll.BDP(TICKER,"DEEP_MEASURE_PERIOD_BROKER_VALUE","DEEP_MEASURE_ID_OVERRIDE",$C22,"DEEP_BROKER_ID_OVERRIDE",$F$7,"DEEP_PERIOD_OVERRIDE",L$11)*1,"")))</f>
        <v/>
      </c>
      <c r="M22" s="17" t="str">
        <f ca="1">IF(ISNA($B22),"",IF($B22="","",IFERROR(_xll.BDP(TICKER,"DEEP_MEASURE_PERIOD_BROKER_VALUE","DEEP_MEASURE_ID_OVERRIDE",$C22,"DEEP_BROKER_ID_OVERRIDE",$F$7,"DEEP_PERIOD_OVERRIDE",M$11)*1,"")))</f>
        <v/>
      </c>
      <c r="N22" s="17" t="str">
        <f ca="1">IF(ISNA($B22),"",IF($B22="","",IFERROR(_xll.BDP(TICKER,"DEEP_MEASURE_PERIOD_BROKER_VALUE","DEEP_MEASURE_ID_OVERRIDE",$C22,"DEEP_BROKER_ID_OVERRIDE",$F$7,"DEEP_PERIOD_OVERRIDE",N$11)*1,"")))</f>
        <v/>
      </c>
      <c r="O22" s="17" t="str">
        <f ca="1">IF(ISNA($B22),"",IF($B22="","",IFERROR(_xll.BDP(TICKER,"DEEP_MEASURE_PERIOD_BROKER_VALUE","DEEP_MEASURE_ID_OVERRIDE",$C22,"DEEP_BROKER_ID_OVERRIDE",$F$7,"DEEP_PERIOD_OVERRIDE",O$11)*1,"")))</f>
        <v/>
      </c>
      <c r="P22" s="17" t="str">
        <f ca="1">IF(ISNA($B22),"",IF($B22="","",IFERROR(_xll.BDP(TICKER,"DEEP_MEASURE_PERIOD_BROKER_VALUE","DEEP_MEASURE_ID_OVERRIDE",$C22,"DEEP_BROKER_ID_OVERRIDE",$F$7,"DEEP_PERIOD_OVERRIDE",P$11)*1,"")))</f>
        <v/>
      </c>
      <c r="Q22" s="17" t="str">
        <f ca="1">IF(ISNA($B22),"",IF($B22="","",IFERROR(_xll.BDP(TICKER,"DEEP_MEASURE_PERIOD_BROKER_VALUE","DEEP_MEASURE_ID_OVERRIDE",$C22,"DEEP_BROKER_ID_OVERRIDE",$F$7,"DEEP_PERIOD_OVERRIDE",Q$11)*1,"")))</f>
        <v/>
      </c>
      <c r="R22" s="17" t="str">
        <f ca="1">IF(ISNA($B22),"",IF($B22="","",IFERROR(_xll.BDP(TICKER,"DEEP_MEASURE_PERIOD_BROKER_VALUE","DEEP_MEASURE_ID_OVERRIDE",$C22,"DEEP_BROKER_ID_OVERRIDE",$F$7,"DEEP_PERIOD_OVERRIDE",R$11)*1,"")))</f>
        <v/>
      </c>
      <c r="S22" s="17" t="str">
        <f ca="1">IF(ISNA($B22),"",IF($B22="","",IFERROR(_xll.BDP(TICKER,"DEEP_MEASURE_PERIOD_BROKER_VALUE","DEEP_MEASURE_ID_OVERRIDE",$C22,"DEEP_BROKER_ID_OVERRIDE",$F$7,"DEEP_PERIOD_OVERRIDE",S$11)*1,"")))</f>
        <v/>
      </c>
      <c r="T22" s="17" t="str">
        <f ca="1">IF(ISNA($B22),"",IF($B22="","",IFERROR(_xll.BDP(TICKER,"DEEP_MEASURE_PERIOD_BROKER_VALUE","DEEP_MEASURE_ID_OVERRIDE",$C22,"DEEP_BROKER_ID_OVERRIDE",$F$7,"DEEP_PERIOD_OVERRIDE",T$11)*1,"")))</f>
        <v/>
      </c>
      <c r="U22" s="17" t="str">
        <f ca="1">IF(ISNA($B22),"",IF($B22="","",IFERROR(_xll.BDP(TICKER,"DEEP_MEASURE_PERIOD_BROKER_VALUE","DEEP_MEASURE_ID_OVERRIDE",$C22,"DEEP_BROKER_ID_OVERRIDE",$F$7,"DEEP_PERIOD_OVERRIDE",U$11)*1,"")))</f>
        <v/>
      </c>
      <c r="V22" s="17" t="str">
        <f ca="1">IF(ISNA($B22),"",IF($B22="","",IFERROR(_xll.BDP(TICKER,"DEEP_MEASURE_PERIOD_BROKER_VALUE","DEEP_MEASURE_ID_OVERRIDE",$C22,"DEEP_BROKER_ID_OVERRIDE",$F$7,"DEEP_PERIOD_OVERRIDE",V$11)*1,"")))</f>
        <v/>
      </c>
      <c r="W22" s="17" t="str">
        <f ca="1">IF(ISNA($B22),"",IF($B22="","",IFERROR(_xll.BDP(TICKER,"DEEP_MEASURE_PERIOD_BROKER_VALUE","DEEP_MEASURE_ID_OVERRIDE",$C22,"DEEP_BROKER_ID_OVERRIDE",$F$7,"DEEP_PERIOD_OVERRIDE",W$11)*1,"")))</f>
        <v/>
      </c>
      <c r="X22" s="17" t="str">
        <f ca="1">IF(ISNA($B22),"",IF($B22="","",IFERROR(_xll.BDP(TICKER,"DEEP_MEASURE_PERIOD_BROKER_VALUE","DEEP_MEASURE_ID_OVERRIDE",$C22,"DEEP_BROKER_ID_OVERRIDE",$F$7,"DEEP_PERIOD_OVERRIDE",X$11)*1,"")))</f>
        <v/>
      </c>
      <c r="Y22" s="17" t="str">
        <f ca="1">IF(ISNA($B22),"",IF($B22="","",IFERROR(_xll.BDP(TICKER,"DEEP_MEASURE_PERIOD_BROKER_VALUE","DEEP_MEASURE_ID_OVERRIDE",$C22,"DEEP_BROKER_ID_OVERRIDE",$F$7,"DEEP_PERIOD_OVERRIDE",Y$11)*1,"")))</f>
        <v/>
      </c>
      <c r="Z22" s="17" t="str">
        <f ca="1">IF(ISNA($B22),"",IF($B22="","",IFERROR(_xll.BDP(TICKER,"DEEP_MEASURE_PERIOD_BROKER_VALUE","DEEP_MEASURE_ID_OVERRIDE",$C22,"DEEP_BROKER_ID_OVERRIDE",$F$7,"DEEP_PERIOD_OVERRIDE",Z$11)*1,"")))</f>
        <v/>
      </c>
      <c r="AA22" s="17" t="str">
        <f ca="1">IF(ISNA($B22),"",IF($B22="","",IFERROR(_xll.BDP(TICKER,"DEEP_MEASURE_PERIOD_BROKER_VALUE","DEEP_MEASURE_ID_OVERRIDE",$C22,"DEEP_BROKER_ID_OVERRIDE",$F$7,"DEEP_PERIOD_OVERRIDE",AA$11)*1,"")))</f>
        <v/>
      </c>
      <c r="AB22" s="17" t="str">
        <f ca="1">IF(ISNA($B22),"",IF($B22="","",IFERROR(_xll.BDP(TICKER,"DEEP_MEASURE_PERIOD_BROKER_VALUE","DEEP_MEASURE_ID_OVERRIDE",$C22,"DEEP_BROKER_ID_OVERRIDE",$F$7,"DEEP_PERIOD_OVERRIDE",AB$11)*1,"")))</f>
        <v/>
      </c>
      <c r="AC22" s="17" t="str">
        <f ca="1">IF(ISNA($B22),"",IF($B22="","",IFERROR(_xll.BDP(TICKER,"DEEP_MEASURE_PERIOD_BROKER_VALUE","DEEP_MEASURE_ID_OVERRIDE",$C22,"DEEP_BROKER_ID_OVERRIDE",$F$7,"DEEP_PERIOD_OVERRIDE",AC$11)*1,"")))</f>
        <v/>
      </c>
      <c r="AD22" s="17" t="str">
        <f ca="1">IF(ISNA($B22),"",IF($B22="","",IFERROR(_xll.BDP(TICKER,"DEEP_MEASURE_PERIOD_BROKER_VALUE","DEEP_MEASURE_ID_OVERRIDE",$C22,"DEEP_BROKER_ID_OVERRIDE",$F$7,"DEEP_PERIOD_OVERRIDE",AD$11)*1,"")))</f>
        <v/>
      </c>
      <c r="AE22" s="17" t="str">
        <f ca="1">IF(ISNA($B22),"",IF($B22="","",IFERROR(_xll.BDP(TICKER,"DEEP_MEASURE_PERIOD_BROKER_VALUE","DEEP_MEASURE_ID_OVERRIDE",$C22,"DEEP_BROKER_ID_OVERRIDE",$F$7,"DEEP_PERIOD_OVERRIDE",AE$11)*1,"")))</f>
        <v/>
      </c>
      <c r="AF22" s="17" t="str">
        <f ca="1">IF(ISNA($B22),"",IF($B22="","",IFERROR(_xll.BDP(TICKER,"DEEP_MEASURE_PERIOD_BROKER_VALUE","DEEP_MEASURE_ID_OVERRIDE",$C22,"DEEP_BROKER_ID_OVERRIDE",$F$7,"DEEP_PERIOD_OVERRIDE",AF$11)*1,"")))</f>
        <v/>
      </c>
      <c r="AG22" s="17" t="str">
        <f ca="1">IF(ISNA($B22),"",IF($B22="","",IFERROR(_xll.BDP(TICKER,"DEEP_MEASURE_PERIOD_BROKER_VALUE","DEEP_MEASURE_ID_OVERRIDE",$C22,"DEEP_BROKER_ID_OVERRIDE",$F$7,"DEEP_PERIOD_OVERRIDE",AG$11)*1,"")))</f>
        <v/>
      </c>
      <c r="AH22" s="17" t="str">
        <f ca="1">IF(ISNA($B22),"",IF($B22="","",IFERROR(_xll.BDP(TICKER,"DEEP_MEASURE_PERIOD_BROKER_VALUE","DEEP_MEASURE_ID_OVERRIDE",$C22,"DEEP_BROKER_ID_OVERRIDE",$F$7,"DEEP_PERIOD_OVERRIDE",AH$11)*1,"")))</f>
        <v/>
      </c>
      <c r="AI22" s="17" t="str">
        <f ca="1">IF(ISNA($B22),"",IF($B22="","",IFERROR(_xll.BDP(TICKER,"DEEP_MEASURE_PERIOD_BROKER_VALUE","DEEP_MEASURE_ID_OVERRIDE",$C22,"DEEP_BROKER_ID_OVERRIDE",$F$7,"DEEP_PERIOD_OVERRIDE",AI$11)*1,"")))</f>
        <v/>
      </c>
      <c r="AJ22" s="17" t="str">
        <f ca="1">IF(ISNA($B22),"",IF($B22="","",IFERROR(_xll.BDP(TICKER,"DEEP_MEASURE_PERIOD_BROKER_VALUE","DEEP_MEASURE_ID_OVERRIDE",$C22,"DEEP_BROKER_ID_OVERRIDE",$F$7,"DEEP_PERIOD_OVERRIDE",AJ$11)*1,"")))</f>
        <v/>
      </c>
      <c r="AK22" s="17" t="str">
        <f ca="1">IF(ISNA($B22),"",IF($B22="","",IFERROR(_xll.BDP(TICKER,"DEEP_MEASURE_PERIOD_BROKER_VALUE","DEEP_MEASURE_ID_OVERRIDE",$C22,"DEEP_BROKER_ID_OVERRIDE",$F$7,"DEEP_PERIOD_OVERRIDE",AK$11)*1,"")))</f>
        <v/>
      </c>
      <c r="AL22" s="17" t="str">
        <f ca="1">IF(ISNA($B22),"",IF($B22="","",IFERROR(_xll.BDP(TICKER,"DEEP_MEASURE_PERIOD_BROKER_VALUE","DEEP_MEASURE_ID_OVERRIDE",$C22,"DEEP_BROKER_ID_OVERRIDE",$F$7,"DEEP_PERIOD_OVERRIDE",AL$11)*1,"")))</f>
        <v/>
      </c>
      <c r="AM22" s="17" t="str">
        <f ca="1">IF(ISNA($B22),"",IF($B22="","",IFERROR(_xll.BDP(TICKER,"DEEP_MEASURE_PERIOD_BROKER_VALUE","DEEP_MEASURE_ID_OVERRIDE",$C22,"DEEP_BROKER_ID_OVERRIDE",$F$7,"DEEP_PERIOD_OVERRIDE",AM$11)*1,"")))</f>
        <v/>
      </c>
      <c r="AN22" s="17" t="str">
        <f ca="1">IF(ISNA($B22),"",IF($B22="","",IFERROR(_xll.BDP(TICKER,"DEEP_MEASURE_PERIOD_BROKER_VALUE","DEEP_MEASURE_ID_OVERRIDE",$C22,"DEEP_BROKER_ID_OVERRIDE",$F$7,"DEEP_PERIOD_OVERRIDE",AN$11)*1,"")))</f>
        <v/>
      </c>
      <c r="AO22" s="17" t="str">
        <f ca="1">IF(ISNA($B22),"",IF($B22="","",IFERROR(_xll.BDP(TICKER,"DEEP_MEASURE_PERIOD_BROKER_VALUE","DEEP_MEASURE_ID_OVERRIDE",$C22,"DEEP_BROKER_ID_OVERRIDE",$F$7,"DEEP_PERIOD_OVERRIDE",AO$11)*1,"")))</f>
        <v/>
      </c>
      <c r="AP22" s="17" t="str">
        <f ca="1">IF(ISNA($B22),"",IF($B22="","",IFERROR(_xll.BDP(TICKER,"DEEP_MEASURE_PERIOD_BROKER_VALUE","DEEP_MEASURE_ID_OVERRIDE",$C22,"DEEP_BROKER_ID_OVERRIDE",$F$7,"DEEP_PERIOD_OVERRIDE",AP$11)*1,"")))</f>
        <v/>
      </c>
      <c r="AQ22" s="17" t="str">
        <f ca="1">IF(ISNA($B22),"",IF($B22="","",IFERROR(_xll.BDP(TICKER,"DEEP_MEASURE_PERIOD_BROKER_VALUE","DEEP_MEASURE_ID_OVERRIDE",$C22,"DEEP_BROKER_ID_OVERRIDE",$F$7,"DEEP_PERIOD_OVERRIDE",AQ$11)*1,"")))</f>
        <v/>
      </c>
    </row>
    <row r="23" spans="2:43" x14ac:dyDescent="0.25">
      <c r="B23" t="s">
        <v>82</v>
      </c>
      <c r="C23" s="11">
        <v>11890</v>
      </c>
      <c r="E23" t="s">
        <v>77</v>
      </c>
      <c r="F23">
        <v>171627</v>
      </c>
      <c r="H23" t="str">
        <f t="shared" si="2"/>
        <v>Average Quarterly Unique Hotel Shoppers</v>
      </c>
      <c r="I23" s="17" t="str">
        <f ca="1">IF(ISNA($B23),"",IF($B23="","",IFERROR(_xll.BDP(TICKER,"DEEP_MEASURE_PERIOD_BROKER_VALUE","DEEP_MEASURE_ID_OVERRIDE",$C23,"DEEP_BROKER_ID_OVERRIDE",$F$7,"DEEP_PERIOD_OVERRIDE",I$11)*1,"")))</f>
        <v/>
      </c>
      <c r="J23" s="17" t="str">
        <f ca="1">IF(ISNA($B23),"",IF($B23="","",IFERROR(_xll.BDP(TICKER,"DEEP_MEASURE_PERIOD_BROKER_VALUE","DEEP_MEASURE_ID_OVERRIDE",$C23,"DEEP_BROKER_ID_OVERRIDE",$F$7,"DEEP_PERIOD_OVERRIDE",J$11)*1,"")))</f>
        <v/>
      </c>
      <c r="K23" s="17" t="str">
        <f ca="1">IF(ISNA($B23),"",IF($B23="","",IFERROR(_xll.BDP(TICKER,"DEEP_MEASURE_PERIOD_BROKER_VALUE","DEEP_MEASURE_ID_OVERRIDE",$C23,"DEEP_BROKER_ID_OVERRIDE",$F$7,"DEEP_PERIOD_OVERRIDE",K$11)*1,"")))</f>
        <v/>
      </c>
      <c r="L23" s="17" t="str">
        <f ca="1">IF(ISNA($B23),"",IF($B23="","",IFERROR(_xll.BDP(TICKER,"DEEP_MEASURE_PERIOD_BROKER_VALUE","DEEP_MEASURE_ID_OVERRIDE",$C23,"DEEP_BROKER_ID_OVERRIDE",$F$7,"DEEP_PERIOD_OVERRIDE",L$11)*1,"")))</f>
        <v/>
      </c>
      <c r="M23" s="17" t="str">
        <f ca="1">IF(ISNA($B23),"",IF($B23="","",IFERROR(_xll.BDP(TICKER,"DEEP_MEASURE_PERIOD_BROKER_VALUE","DEEP_MEASURE_ID_OVERRIDE",$C23,"DEEP_BROKER_ID_OVERRIDE",$F$7,"DEEP_PERIOD_OVERRIDE",M$11)*1,"")))</f>
        <v/>
      </c>
      <c r="N23" s="17" t="str">
        <f ca="1">IF(ISNA($B23),"",IF($B23="","",IFERROR(_xll.BDP(TICKER,"DEEP_MEASURE_PERIOD_BROKER_VALUE","DEEP_MEASURE_ID_OVERRIDE",$C23,"DEEP_BROKER_ID_OVERRIDE",$F$7,"DEEP_PERIOD_OVERRIDE",N$11)*1,"")))</f>
        <v/>
      </c>
      <c r="O23" s="17" t="str">
        <f ca="1">IF(ISNA($B23),"",IF($B23="","",IFERROR(_xll.BDP(TICKER,"DEEP_MEASURE_PERIOD_BROKER_VALUE","DEEP_MEASURE_ID_OVERRIDE",$C23,"DEEP_BROKER_ID_OVERRIDE",$F$7,"DEEP_PERIOD_OVERRIDE",O$11)*1,"")))</f>
        <v/>
      </c>
      <c r="P23" s="17" t="str">
        <f ca="1">IF(ISNA($B23),"",IF($B23="","",IFERROR(_xll.BDP(TICKER,"DEEP_MEASURE_PERIOD_BROKER_VALUE","DEEP_MEASURE_ID_OVERRIDE",$C23,"DEEP_BROKER_ID_OVERRIDE",$F$7,"DEEP_PERIOD_OVERRIDE",P$11)*1,"")))</f>
        <v/>
      </c>
      <c r="Q23" s="17" t="str">
        <f ca="1">IF(ISNA($B23),"",IF($B23="","",IFERROR(_xll.BDP(TICKER,"DEEP_MEASURE_PERIOD_BROKER_VALUE","DEEP_MEASURE_ID_OVERRIDE",$C23,"DEEP_BROKER_ID_OVERRIDE",$F$7,"DEEP_PERIOD_OVERRIDE",Q$11)*1,"")))</f>
        <v/>
      </c>
      <c r="R23" s="17" t="str">
        <f ca="1">IF(ISNA($B23),"",IF($B23="","",IFERROR(_xll.BDP(TICKER,"DEEP_MEASURE_PERIOD_BROKER_VALUE","DEEP_MEASURE_ID_OVERRIDE",$C23,"DEEP_BROKER_ID_OVERRIDE",$F$7,"DEEP_PERIOD_OVERRIDE",R$11)*1,"")))</f>
        <v/>
      </c>
      <c r="S23" s="17" t="str">
        <f ca="1">IF(ISNA($B23),"",IF($B23="","",IFERROR(_xll.BDP(TICKER,"DEEP_MEASURE_PERIOD_BROKER_VALUE","DEEP_MEASURE_ID_OVERRIDE",$C23,"DEEP_BROKER_ID_OVERRIDE",$F$7,"DEEP_PERIOD_OVERRIDE",S$11)*1,"")))</f>
        <v/>
      </c>
      <c r="T23" s="17" t="str">
        <f ca="1">IF(ISNA($B23),"",IF($B23="","",IFERROR(_xll.BDP(TICKER,"DEEP_MEASURE_PERIOD_BROKER_VALUE","DEEP_MEASURE_ID_OVERRIDE",$C23,"DEEP_BROKER_ID_OVERRIDE",$F$7,"DEEP_PERIOD_OVERRIDE",T$11)*1,"")))</f>
        <v/>
      </c>
      <c r="U23" s="17" t="str">
        <f ca="1">IF(ISNA($B23),"",IF($B23="","",IFERROR(_xll.BDP(TICKER,"DEEP_MEASURE_PERIOD_BROKER_VALUE","DEEP_MEASURE_ID_OVERRIDE",$C23,"DEEP_BROKER_ID_OVERRIDE",$F$7,"DEEP_PERIOD_OVERRIDE",U$11)*1,"")))</f>
        <v/>
      </c>
      <c r="V23" s="17" t="str">
        <f ca="1">IF(ISNA($B23),"",IF($B23="","",IFERROR(_xll.BDP(TICKER,"DEEP_MEASURE_PERIOD_BROKER_VALUE","DEEP_MEASURE_ID_OVERRIDE",$C23,"DEEP_BROKER_ID_OVERRIDE",$F$7,"DEEP_PERIOD_OVERRIDE",V$11)*1,"")))</f>
        <v/>
      </c>
      <c r="W23" s="17" t="str">
        <f ca="1">IF(ISNA($B23),"",IF($B23="","",IFERROR(_xll.BDP(TICKER,"DEEP_MEASURE_PERIOD_BROKER_VALUE","DEEP_MEASURE_ID_OVERRIDE",$C23,"DEEP_BROKER_ID_OVERRIDE",$F$7,"DEEP_PERIOD_OVERRIDE",W$11)*1,"")))</f>
        <v/>
      </c>
      <c r="X23" s="17" t="str">
        <f ca="1">IF(ISNA($B23),"",IF($B23="","",IFERROR(_xll.BDP(TICKER,"DEEP_MEASURE_PERIOD_BROKER_VALUE","DEEP_MEASURE_ID_OVERRIDE",$C23,"DEEP_BROKER_ID_OVERRIDE",$F$7,"DEEP_PERIOD_OVERRIDE",X$11)*1,"")))</f>
        <v/>
      </c>
      <c r="Y23" s="17" t="str">
        <f ca="1">IF(ISNA($B23),"",IF($B23="","",IFERROR(_xll.BDP(TICKER,"DEEP_MEASURE_PERIOD_BROKER_VALUE","DEEP_MEASURE_ID_OVERRIDE",$C23,"DEEP_BROKER_ID_OVERRIDE",$F$7,"DEEP_PERIOD_OVERRIDE",Y$11)*1,"")))</f>
        <v/>
      </c>
      <c r="Z23" s="17" t="str">
        <f ca="1">IF(ISNA($B23),"",IF($B23="","",IFERROR(_xll.BDP(TICKER,"DEEP_MEASURE_PERIOD_BROKER_VALUE","DEEP_MEASURE_ID_OVERRIDE",$C23,"DEEP_BROKER_ID_OVERRIDE",$F$7,"DEEP_PERIOD_OVERRIDE",Z$11)*1,"")))</f>
        <v/>
      </c>
      <c r="AA23" s="17" t="str">
        <f ca="1">IF(ISNA($B23),"",IF($B23="","",IFERROR(_xll.BDP(TICKER,"DEEP_MEASURE_PERIOD_BROKER_VALUE","DEEP_MEASURE_ID_OVERRIDE",$C23,"DEEP_BROKER_ID_OVERRIDE",$F$7,"DEEP_PERIOD_OVERRIDE",AA$11)*1,"")))</f>
        <v/>
      </c>
      <c r="AB23" s="17" t="str">
        <f ca="1">IF(ISNA($B23),"",IF($B23="","",IFERROR(_xll.BDP(TICKER,"DEEP_MEASURE_PERIOD_BROKER_VALUE","DEEP_MEASURE_ID_OVERRIDE",$C23,"DEEP_BROKER_ID_OVERRIDE",$F$7,"DEEP_PERIOD_OVERRIDE",AB$11)*1,"")))</f>
        <v/>
      </c>
      <c r="AC23" s="17" t="str">
        <f ca="1">IF(ISNA($B23),"",IF($B23="","",IFERROR(_xll.BDP(TICKER,"DEEP_MEASURE_PERIOD_BROKER_VALUE","DEEP_MEASURE_ID_OVERRIDE",$C23,"DEEP_BROKER_ID_OVERRIDE",$F$7,"DEEP_PERIOD_OVERRIDE",AC$11)*1,"")))</f>
        <v/>
      </c>
      <c r="AD23" s="17" t="str">
        <f ca="1">IF(ISNA($B23),"",IF($B23="","",IFERROR(_xll.BDP(TICKER,"DEEP_MEASURE_PERIOD_BROKER_VALUE","DEEP_MEASURE_ID_OVERRIDE",$C23,"DEEP_BROKER_ID_OVERRIDE",$F$7,"DEEP_PERIOD_OVERRIDE",AD$11)*1,"")))</f>
        <v/>
      </c>
      <c r="AE23" s="17" t="str">
        <f ca="1">IF(ISNA($B23),"",IF($B23="","",IFERROR(_xll.BDP(TICKER,"DEEP_MEASURE_PERIOD_BROKER_VALUE","DEEP_MEASURE_ID_OVERRIDE",$C23,"DEEP_BROKER_ID_OVERRIDE",$F$7,"DEEP_PERIOD_OVERRIDE",AE$11)*1,"")))</f>
        <v/>
      </c>
      <c r="AF23" s="17" t="str">
        <f ca="1">IF(ISNA($B23),"",IF($B23="","",IFERROR(_xll.BDP(TICKER,"DEEP_MEASURE_PERIOD_BROKER_VALUE","DEEP_MEASURE_ID_OVERRIDE",$C23,"DEEP_BROKER_ID_OVERRIDE",$F$7,"DEEP_PERIOD_OVERRIDE",AF$11)*1,"")))</f>
        <v/>
      </c>
      <c r="AG23" s="17" t="str">
        <f ca="1">IF(ISNA($B23),"",IF($B23="","",IFERROR(_xll.BDP(TICKER,"DEEP_MEASURE_PERIOD_BROKER_VALUE","DEEP_MEASURE_ID_OVERRIDE",$C23,"DEEP_BROKER_ID_OVERRIDE",$F$7,"DEEP_PERIOD_OVERRIDE",AG$11)*1,"")))</f>
        <v/>
      </c>
      <c r="AH23" s="17" t="str">
        <f ca="1">IF(ISNA($B23),"",IF($B23="","",IFERROR(_xll.BDP(TICKER,"DEEP_MEASURE_PERIOD_BROKER_VALUE","DEEP_MEASURE_ID_OVERRIDE",$C23,"DEEP_BROKER_ID_OVERRIDE",$F$7,"DEEP_PERIOD_OVERRIDE",AH$11)*1,"")))</f>
        <v/>
      </c>
      <c r="AI23" s="17" t="str">
        <f ca="1">IF(ISNA($B23),"",IF($B23="","",IFERROR(_xll.BDP(TICKER,"DEEP_MEASURE_PERIOD_BROKER_VALUE","DEEP_MEASURE_ID_OVERRIDE",$C23,"DEEP_BROKER_ID_OVERRIDE",$F$7,"DEEP_PERIOD_OVERRIDE",AI$11)*1,"")))</f>
        <v/>
      </c>
      <c r="AJ23" s="17" t="str">
        <f ca="1">IF(ISNA($B23),"",IF($B23="","",IFERROR(_xll.BDP(TICKER,"DEEP_MEASURE_PERIOD_BROKER_VALUE","DEEP_MEASURE_ID_OVERRIDE",$C23,"DEEP_BROKER_ID_OVERRIDE",$F$7,"DEEP_PERIOD_OVERRIDE",AJ$11)*1,"")))</f>
        <v/>
      </c>
      <c r="AK23" s="17" t="str">
        <f ca="1">IF(ISNA($B23),"",IF($B23="","",IFERROR(_xll.BDP(TICKER,"DEEP_MEASURE_PERIOD_BROKER_VALUE","DEEP_MEASURE_ID_OVERRIDE",$C23,"DEEP_BROKER_ID_OVERRIDE",$F$7,"DEEP_PERIOD_OVERRIDE",AK$11)*1,"")))</f>
        <v/>
      </c>
      <c r="AL23" s="17" t="str">
        <f ca="1">IF(ISNA($B23),"",IF($B23="","",IFERROR(_xll.BDP(TICKER,"DEEP_MEASURE_PERIOD_BROKER_VALUE","DEEP_MEASURE_ID_OVERRIDE",$C23,"DEEP_BROKER_ID_OVERRIDE",$F$7,"DEEP_PERIOD_OVERRIDE",AL$11)*1,"")))</f>
        <v/>
      </c>
      <c r="AM23" s="17" t="str">
        <f ca="1">IF(ISNA($B23),"",IF($B23="","",IFERROR(_xll.BDP(TICKER,"DEEP_MEASURE_PERIOD_BROKER_VALUE","DEEP_MEASURE_ID_OVERRIDE",$C23,"DEEP_BROKER_ID_OVERRIDE",$F$7,"DEEP_PERIOD_OVERRIDE",AM$11)*1,"")))</f>
        <v/>
      </c>
      <c r="AN23" s="17" t="str">
        <f ca="1">IF(ISNA($B23),"",IF($B23="","",IFERROR(_xll.BDP(TICKER,"DEEP_MEASURE_PERIOD_BROKER_VALUE","DEEP_MEASURE_ID_OVERRIDE",$C23,"DEEP_BROKER_ID_OVERRIDE",$F$7,"DEEP_PERIOD_OVERRIDE",AN$11)*1,"")))</f>
        <v/>
      </c>
      <c r="AO23" s="17" t="str">
        <f ca="1">IF(ISNA($B23),"",IF($B23="","",IFERROR(_xll.BDP(TICKER,"DEEP_MEASURE_PERIOD_BROKER_VALUE","DEEP_MEASURE_ID_OVERRIDE",$C23,"DEEP_BROKER_ID_OVERRIDE",$F$7,"DEEP_PERIOD_OVERRIDE",AO$11)*1,"")))</f>
        <v/>
      </c>
      <c r="AP23" s="17" t="str">
        <f ca="1">IF(ISNA($B23),"",IF($B23="","",IFERROR(_xll.BDP(TICKER,"DEEP_MEASURE_PERIOD_BROKER_VALUE","DEEP_MEASURE_ID_OVERRIDE",$C23,"DEEP_BROKER_ID_OVERRIDE",$F$7,"DEEP_PERIOD_OVERRIDE",AP$11)*1,"")))</f>
        <v/>
      </c>
      <c r="AQ23" s="17" t="str">
        <f ca="1">IF(ISNA($B23),"",IF($B23="","",IFERROR(_xll.BDP(TICKER,"DEEP_MEASURE_PERIOD_BROKER_VALUE","DEEP_MEASURE_ID_OVERRIDE",$C23,"DEEP_BROKER_ID_OVERRIDE",$F$7,"DEEP_PERIOD_OVERRIDE",AQ$11)*1,"")))</f>
        <v/>
      </c>
    </row>
    <row r="24" spans="2:43" x14ac:dyDescent="0.25">
      <c r="B24" t="s">
        <v>83</v>
      </c>
      <c r="C24" s="11">
        <v>1921</v>
      </c>
      <c r="E24" t="s">
        <v>9</v>
      </c>
      <c r="F24">
        <v>171649</v>
      </c>
      <c r="H24" t="str">
        <f t="shared" si="2"/>
        <v>Average Quarterly Unique Hotel Shoppers &gt; YoY Growth (%)</v>
      </c>
      <c r="I24" s="17" t="str">
        <f ca="1">IF(ISNA($B24),"",IF($B24="","",IFERROR(_xll.BDP(TICKER,"DEEP_MEASURE_PERIOD_BROKER_VALUE","DEEP_MEASURE_ID_OVERRIDE",$C24,"DEEP_BROKER_ID_OVERRIDE",$F$7,"DEEP_PERIOD_OVERRIDE",I$11)*1,"")))</f>
        <v/>
      </c>
      <c r="J24" s="17" t="str">
        <f ca="1">IF(ISNA($B24),"",IF($B24="","",IFERROR(_xll.BDP(TICKER,"DEEP_MEASURE_PERIOD_BROKER_VALUE","DEEP_MEASURE_ID_OVERRIDE",$C24,"DEEP_BROKER_ID_OVERRIDE",$F$7,"DEEP_PERIOD_OVERRIDE",J$11)*1,"")))</f>
        <v/>
      </c>
      <c r="K24" s="17" t="str">
        <f ca="1">IF(ISNA($B24),"",IF($B24="","",IFERROR(_xll.BDP(TICKER,"DEEP_MEASURE_PERIOD_BROKER_VALUE","DEEP_MEASURE_ID_OVERRIDE",$C24,"DEEP_BROKER_ID_OVERRIDE",$F$7,"DEEP_PERIOD_OVERRIDE",K$11)*1,"")))</f>
        <v/>
      </c>
      <c r="L24" s="17" t="str">
        <f ca="1">IF(ISNA($B24),"",IF($B24="","",IFERROR(_xll.BDP(TICKER,"DEEP_MEASURE_PERIOD_BROKER_VALUE","DEEP_MEASURE_ID_OVERRIDE",$C24,"DEEP_BROKER_ID_OVERRIDE",$F$7,"DEEP_PERIOD_OVERRIDE",L$11)*1,"")))</f>
        <v/>
      </c>
      <c r="M24" s="17" t="str">
        <f ca="1">IF(ISNA($B24),"",IF($B24="","",IFERROR(_xll.BDP(TICKER,"DEEP_MEASURE_PERIOD_BROKER_VALUE","DEEP_MEASURE_ID_OVERRIDE",$C24,"DEEP_BROKER_ID_OVERRIDE",$F$7,"DEEP_PERIOD_OVERRIDE",M$11)*1,"")))</f>
        <v/>
      </c>
      <c r="N24" s="17" t="str">
        <f ca="1">IF(ISNA($B24),"",IF($B24="","",IFERROR(_xll.BDP(TICKER,"DEEP_MEASURE_PERIOD_BROKER_VALUE","DEEP_MEASURE_ID_OVERRIDE",$C24,"DEEP_BROKER_ID_OVERRIDE",$F$7,"DEEP_PERIOD_OVERRIDE",N$11)*1,"")))</f>
        <v/>
      </c>
      <c r="O24" s="17" t="str">
        <f ca="1">IF(ISNA($B24),"",IF($B24="","",IFERROR(_xll.BDP(TICKER,"DEEP_MEASURE_PERIOD_BROKER_VALUE","DEEP_MEASURE_ID_OVERRIDE",$C24,"DEEP_BROKER_ID_OVERRIDE",$F$7,"DEEP_PERIOD_OVERRIDE",O$11)*1,"")))</f>
        <v/>
      </c>
      <c r="P24" s="17" t="str">
        <f ca="1">IF(ISNA($B24),"",IF($B24="","",IFERROR(_xll.BDP(TICKER,"DEEP_MEASURE_PERIOD_BROKER_VALUE","DEEP_MEASURE_ID_OVERRIDE",$C24,"DEEP_BROKER_ID_OVERRIDE",$F$7,"DEEP_PERIOD_OVERRIDE",P$11)*1,"")))</f>
        <v/>
      </c>
      <c r="Q24" s="17" t="str">
        <f ca="1">IF(ISNA($B24),"",IF($B24="","",IFERROR(_xll.BDP(TICKER,"DEEP_MEASURE_PERIOD_BROKER_VALUE","DEEP_MEASURE_ID_OVERRIDE",$C24,"DEEP_BROKER_ID_OVERRIDE",$F$7,"DEEP_PERIOD_OVERRIDE",Q$11)*1,"")))</f>
        <v/>
      </c>
      <c r="R24" s="17" t="str">
        <f ca="1">IF(ISNA($B24),"",IF($B24="","",IFERROR(_xll.BDP(TICKER,"DEEP_MEASURE_PERIOD_BROKER_VALUE","DEEP_MEASURE_ID_OVERRIDE",$C24,"DEEP_BROKER_ID_OVERRIDE",$F$7,"DEEP_PERIOD_OVERRIDE",R$11)*1,"")))</f>
        <v/>
      </c>
      <c r="S24" s="17" t="str">
        <f ca="1">IF(ISNA($B24),"",IF($B24="","",IFERROR(_xll.BDP(TICKER,"DEEP_MEASURE_PERIOD_BROKER_VALUE","DEEP_MEASURE_ID_OVERRIDE",$C24,"DEEP_BROKER_ID_OVERRIDE",$F$7,"DEEP_PERIOD_OVERRIDE",S$11)*1,"")))</f>
        <v/>
      </c>
      <c r="T24" s="17" t="str">
        <f ca="1">IF(ISNA($B24),"",IF($B24="","",IFERROR(_xll.BDP(TICKER,"DEEP_MEASURE_PERIOD_BROKER_VALUE","DEEP_MEASURE_ID_OVERRIDE",$C24,"DEEP_BROKER_ID_OVERRIDE",$F$7,"DEEP_PERIOD_OVERRIDE",T$11)*1,"")))</f>
        <v/>
      </c>
      <c r="U24" s="17" t="str">
        <f ca="1">IF(ISNA($B24),"",IF($B24="","",IFERROR(_xll.BDP(TICKER,"DEEP_MEASURE_PERIOD_BROKER_VALUE","DEEP_MEASURE_ID_OVERRIDE",$C24,"DEEP_BROKER_ID_OVERRIDE",$F$7,"DEEP_PERIOD_OVERRIDE",U$11)*1,"")))</f>
        <v/>
      </c>
      <c r="V24" s="17" t="str">
        <f ca="1">IF(ISNA($B24),"",IF($B24="","",IFERROR(_xll.BDP(TICKER,"DEEP_MEASURE_PERIOD_BROKER_VALUE","DEEP_MEASURE_ID_OVERRIDE",$C24,"DEEP_BROKER_ID_OVERRIDE",$F$7,"DEEP_PERIOD_OVERRIDE",V$11)*1,"")))</f>
        <v/>
      </c>
      <c r="W24" s="17" t="str">
        <f ca="1">IF(ISNA($B24),"",IF($B24="","",IFERROR(_xll.BDP(TICKER,"DEEP_MEASURE_PERIOD_BROKER_VALUE","DEEP_MEASURE_ID_OVERRIDE",$C24,"DEEP_BROKER_ID_OVERRIDE",$F$7,"DEEP_PERIOD_OVERRIDE",W$11)*1,"")))</f>
        <v/>
      </c>
      <c r="X24" s="17" t="str">
        <f ca="1">IF(ISNA($B24),"",IF($B24="","",IFERROR(_xll.BDP(TICKER,"DEEP_MEASURE_PERIOD_BROKER_VALUE","DEEP_MEASURE_ID_OVERRIDE",$C24,"DEEP_BROKER_ID_OVERRIDE",$F$7,"DEEP_PERIOD_OVERRIDE",X$11)*1,"")))</f>
        <v/>
      </c>
      <c r="Y24" s="17" t="str">
        <f ca="1">IF(ISNA($B24),"",IF($B24="","",IFERROR(_xll.BDP(TICKER,"DEEP_MEASURE_PERIOD_BROKER_VALUE","DEEP_MEASURE_ID_OVERRIDE",$C24,"DEEP_BROKER_ID_OVERRIDE",$F$7,"DEEP_PERIOD_OVERRIDE",Y$11)*1,"")))</f>
        <v/>
      </c>
      <c r="Z24" s="17" t="str">
        <f ca="1">IF(ISNA($B24),"",IF($B24="","",IFERROR(_xll.BDP(TICKER,"DEEP_MEASURE_PERIOD_BROKER_VALUE","DEEP_MEASURE_ID_OVERRIDE",$C24,"DEEP_BROKER_ID_OVERRIDE",$F$7,"DEEP_PERIOD_OVERRIDE",Z$11)*1,"")))</f>
        <v/>
      </c>
      <c r="AA24" s="17" t="str">
        <f ca="1">IF(ISNA($B24),"",IF($B24="","",IFERROR(_xll.BDP(TICKER,"DEEP_MEASURE_PERIOD_BROKER_VALUE","DEEP_MEASURE_ID_OVERRIDE",$C24,"DEEP_BROKER_ID_OVERRIDE",$F$7,"DEEP_PERIOD_OVERRIDE",AA$11)*1,"")))</f>
        <v/>
      </c>
      <c r="AB24" s="17" t="str">
        <f ca="1">IF(ISNA($B24),"",IF($B24="","",IFERROR(_xll.BDP(TICKER,"DEEP_MEASURE_PERIOD_BROKER_VALUE","DEEP_MEASURE_ID_OVERRIDE",$C24,"DEEP_BROKER_ID_OVERRIDE",$F$7,"DEEP_PERIOD_OVERRIDE",AB$11)*1,"")))</f>
        <v/>
      </c>
      <c r="AC24" s="17" t="str">
        <f ca="1">IF(ISNA($B24),"",IF($B24="","",IFERROR(_xll.BDP(TICKER,"DEEP_MEASURE_PERIOD_BROKER_VALUE","DEEP_MEASURE_ID_OVERRIDE",$C24,"DEEP_BROKER_ID_OVERRIDE",$F$7,"DEEP_PERIOD_OVERRIDE",AC$11)*1,"")))</f>
        <v/>
      </c>
      <c r="AD24" s="17" t="str">
        <f ca="1">IF(ISNA($B24),"",IF($B24="","",IFERROR(_xll.BDP(TICKER,"DEEP_MEASURE_PERIOD_BROKER_VALUE","DEEP_MEASURE_ID_OVERRIDE",$C24,"DEEP_BROKER_ID_OVERRIDE",$F$7,"DEEP_PERIOD_OVERRIDE",AD$11)*1,"")))</f>
        <v/>
      </c>
      <c r="AE24" s="17" t="str">
        <f ca="1">IF(ISNA($B24),"",IF($B24="","",IFERROR(_xll.BDP(TICKER,"DEEP_MEASURE_PERIOD_BROKER_VALUE","DEEP_MEASURE_ID_OVERRIDE",$C24,"DEEP_BROKER_ID_OVERRIDE",$F$7,"DEEP_PERIOD_OVERRIDE",AE$11)*1,"")))</f>
        <v/>
      </c>
      <c r="AF24" s="17" t="str">
        <f ca="1">IF(ISNA($B24),"",IF($B24="","",IFERROR(_xll.BDP(TICKER,"DEEP_MEASURE_PERIOD_BROKER_VALUE","DEEP_MEASURE_ID_OVERRIDE",$C24,"DEEP_BROKER_ID_OVERRIDE",$F$7,"DEEP_PERIOD_OVERRIDE",AF$11)*1,"")))</f>
        <v/>
      </c>
      <c r="AG24" s="17" t="str">
        <f ca="1">IF(ISNA($B24),"",IF($B24="","",IFERROR(_xll.BDP(TICKER,"DEEP_MEASURE_PERIOD_BROKER_VALUE","DEEP_MEASURE_ID_OVERRIDE",$C24,"DEEP_BROKER_ID_OVERRIDE",$F$7,"DEEP_PERIOD_OVERRIDE",AG$11)*1,"")))</f>
        <v/>
      </c>
      <c r="AH24" s="17" t="str">
        <f ca="1">IF(ISNA($B24),"",IF($B24="","",IFERROR(_xll.BDP(TICKER,"DEEP_MEASURE_PERIOD_BROKER_VALUE","DEEP_MEASURE_ID_OVERRIDE",$C24,"DEEP_BROKER_ID_OVERRIDE",$F$7,"DEEP_PERIOD_OVERRIDE",AH$11)*1,"")))</f>
        <v/>
      </c>
      <c r="AI24" s="17" t="str">
        <f ca="1">IF(ISNA($B24),"",IF($B24="","",IFERROR(_xll.BDP(TICKER,"DEEP_MEASURE_PERIOD_BROKER_VALUE","DEEP_MEASURE_ID_OVERRIDE",$C24,"DEEP_BROKER_ID_OVERRIDE",$F$7,"DEEP_PERIOD_OVERRIDE",AI$11)*1,"")))</f>
        <v/>
      </c>
      <c r="AJ24" s="17" t="str">
        <f ca="1">IF(ISNA($B24),"",IF($B24="","",IFERROR(_xll.BDP(TICKER,"DEEP_MEASURE_PERIOD_BROKER_VALUE","DEEP_MEASURE_ID_OVERRIDE",$C24,"DEEP_BROKER_ID_OVERRIDE",$F$7,"DEEP_PERIOD_OVERRIDE",AJ$11)*1,"")))</f>
        <v/>
      </c>
      <c r="AK24" s="17" t="str">
        <f ca="1">IF(ISNA($B24),"",IF($B24="","",IFERROR(_xll.BDP(TICKER,"DEEP_MEASURE_PERIOD_BROKER_VALUE","DEEP_MEASURE_ID_OVERRIDE",$C24,"DEEP_BROKER_ID_OVERRIDE",$F$7,"DEEP_PERIOD_OVERRIDE",AK$11)*1,"")))</f>
        <v/>
      </c>
      <c r="AL24" s="17" t="str">
        <f ca="1">IF(ISNA($B24),"",IF($B24="","",IFERROR(_xll.BDP(TICKER,"DEEP_MEASURE_PERIOD_BROKER_VALUE","DEEP_MEASURE_ID_OVERRIDE",$C24,"DEEP_BROKER_ID_OVERRIDE",$F$7,"DEEP_PERIOD_OVERRIDE",AL$11)*1,"")))</f>
        <v/>
      </c>
      <c r="AM24" s="17" t="str">
        <f ca="1">IF(ISNA($B24),"",IF($B24="","",IFERROR(_xll.BDP(TICKER,"DEEP_MEASURE_PERIOD_BROKER_VALUE","DEEP_MEASURE_ID_OVERRIDE",$C24,"DEEP_BROKER_ID_OVERRIDE",$F$7,"DEEP_PERIOD_OVERRIDE",AM$11)*1,"")))</f>
        <v/>
      </c>
      <c r="AN24" s="17" t="str">
        <f ca="1">IF(ISNA($B24),"",IF($B24="","",IFERROR(_xll.BDP(TICKER,"DEEP_MEASURE_PERIOD_BROKER_VALUE","DEEP_MEASURE_ID_OVERRIDE",$C24,"DEEP_BROKER_ID_OVERRIDE",$F$7,"DEEP_PERIOD_OVERRIDE",AN$11)*1,"")))</f>
        <v/>
      </c>
      <c r="AO24" s="17" t="str">
        <f ca="1">IF(ISNA($B24),"",IF($B24="","",IFERROR(_xll.BDP(TICKER,"DEEP_MEASURE_PERIOD_BROKER_VALUE","DEEP_MEASURE_ID_OVERRIDE",$C24,"DEEP_BROKER_ID_OVERRIDE",$F$7,"DEEP_PERIOD_OVERRIDE",AO$11)*1,"")))</f>
        <v/>
      </c>
      <c r="AP24" s="17" t="str">
        <f ca="1">IF(ISNA($B24),"",IF($B24="","",IFERROR(_xll.BDP(TICKER,"DEEP_MEASURE_PERIOD_BROKER_VALUE","DEEP_MEASURE_ID_OVERRIDE",$C24,"DEEP_BROKER_ID_OVERRIDE",$F$7,"DEEP_PERIOD_OVERRIDE",AP$11)*1,"")))</f>
        <v/>
      </c>
      <c r="AQ24" s="17" t="str">
        <f ca="1">IF(ISNA($B24),"",IF($B24="","",IFERROR(_xll.BDP(TICKER,"DEEP_MEASURE_PERIOD_BROKER_VALUE","DEEP_MEASURE_ID_OVERRIDE",$C24,"DEEP_BROKER_ID_OVERRIDE",$F$7,"DEEP_PERIOD_OVERRIDE",AQ$11)*1,"")))</f>
        <v/>
      </c>
    </row>
    <row r="25" spans="2:43" x14ac:dyDescent="0.25">
      <c r="B25" t="s">
        <v>39</v>
      </c>
      <c r="C25" s="11">
        <v>1702</v>
      </c>
      <c r="E25" t="s">
        <v>3</v>
      </c>
      <c r="F25">
        <v>171715</v>
      </c>
      <c r="H25" t="str">
        <f t="shared" si="2"/>
        <v>Total2) 33/64Average2) 33/64Unique2) 33/64Monthly2) 33/64Hotel Shoppers for the Period</v>
      </c>
      <c r="I25" s="17" t="str">
        <f ca="1">IF(ISNA($B25),"",IF($B25="","",IFERROR(_xll.BDP(TICKER,"DEEP_MEASURE_PERIOD_BROKER_VALUE","DEEP_MEASURE_ID_OVERRIDE",$C25,"DEEP_BROKER_ID_OVERRIDE",$F$7,"DEEP_PERIOD_OVERRIDE",I$11)*1,"")))</f>
        <v/>
      </c>
      <c r="J25" s="17" t="str">
        <f ca="1">IF(ISNA($B25),"",IF($B25="","",IFERROR(_xll.BDP(TICKER,"DEEP_MEASURE_PERIOD_BROKER_VALUE","DEEP_MEASURE_ID_OVERRIDE",$C25,"DEEP_BROKER_ID_OVERRIDE",$F$7,"DEEP_PERIOD_OVERRIDE",J$11)*1,"")))</f>
        <v/>
      </c>
      <c r="K25" s="17" t="str">
        <f ca="1">IF(ISNA($B25),"",IF($B25="","",IFERROR(_xll.BDP(TICKER,"DEEP_MEASURE_PERIOD_BROKER_VALUE","DEEP_MEASURE_ID_OVERRIDE",$C25,"DEEP_BROKER_ID_OVERRIDE",$F$7,"DEEP_PERIOD_OVERRIDE",K$11)*1,"")))</f>
        <v/>
      </c>
      <c r="L25" s="17" t="str">
        <f ca="1">IF(ISNA($B25),"",IF($B25="","",IFERROR(_xll.BDP(TICKER,"DEEP_MEASURE_PERIOD_BROKER_VALUE","DEEP_MEASURE_ID_OVERRIDE",$C25,"DEEP_BROKER_ID_OVERRIDE",$F$7,"DEEP_PERIOD_OVERRIDE",L$11)*1,"")))</f>
        <v/>
      </c>
      <c r="M25" s="17" t="str">
        <f ca="1">IF(ISNA($B25),"",IF($B25="","",IFERROR(_xll.BDP(TICKER,"DEEP_MEASURE_PERIOD_BROKER_VALUE","DEEP_MEASURE_ID_OVERRIDE",$C25,"DEEP_BROKER_ID_OVERRIDE",$F$7,"DEEP_PERIOD_OVERRIDE",M$11)*1,"")))</f>
        <v/>
      </c>
      <c r="N25" s="17" t="str">
        <f ca="1">IF(ISNA($B25),"",IF($B25="","",IFERROR(_xll.BDP(TICKER,"DEEP_MEASURE_PERIOD_BROKER_VALUE","DEEP_MEASURE_ID_OVERRIDE",$C25,"DEEP_BROKER_ID_OVERRIDE",$F$7,"DEEP_PERIOD_OVERRIDE",N$11)*1,"")))</f>
        <v/>
      </c>
      <c r="O25" s="17" t="str">
        <f ca="1">IF(ISNA($B25),"",IF($B25="","",IFERROR(_xll.BDP(TICKER,"DEEP_MEASURE_PERIOD_BROKER_VALUE","DEEP_MEASURE_ID_OVERRIDE",$C25,"DEEP_BROKER_ID_OVERRIDE",$F$7,"DEEP_PERIOD_OVERRIDE",O$11)*1,"")))</f>
        <v/>
      </c>
      <c r="P25" s="17" t="str">
        <f ca="1">IF(ISNA($B25),"",IF($B25="","",IFERROR(_xll.BDP(TICKER,"DEEP_MEASURE_PERIOD_BROKER_VALUE","DEEP_MEASURE_ID_OVERRIDE",$C25,"DEEP_BROKER_ID_OVERRIDE",$F$7,"DEEP_PERIOD_OVERRIDE",P$11)*1,"")))</f>
        <v/>
      </c>
      <c r="Q25" s="17" t="str">
        <f ca="1">IF(ISNA($B25),"",IF($B25="","",IFERROR(_xll.BDP(TICKER,"DEEP_MEASURE_PERIOD_BROKER_VALUE","DEEP_MEASURE_ID_OVERRIDE",$C25,"DEEP_BROKER_ID_OVERRIDE",$F$7,"DEEP_PERIOD_OVERRIDE",Q$11)*1,"")))</f>
        <v/>
      </c>
      <c r="R25" s="17" t="str">
        <f ca="1">IF(ISNA($B25),"",IF($B25="","",IFERROR(_xll.BDP(TICKER,"DEEP_MEASURE_PERIOD_BROKER_VALUE","DEEP_MEASURE_ID_OVERRIDE",$C25,"DEEP_BROKER_ID_OVERRIDE",$F$7,"DEEP_PERIOD_OVERRIDE",R$11)*1,"")))</f>
        <v/>
      </c>
      <c r="S25" s="17" t="str">
        <f ca="1">IF(ISNA($B25),"",IF($B25="","",IFERROR(_xll.BDP(TICKER,"DEEP_MEASURE_PERIOD_BROKER_VALUE","DEEP_MEASURE_ID_OVERRIDE",$C25,"DEEP_BROKER_ID_OVERRIDE",$F$7,"DEEP_PERIOD_OVERRIDE",S$11)*1,"")))</f>
        <v/>
      </c>
      <c r="T25" s="17" t="str">
        <f ca="1">IF(ISNA($B25),"",IF($B25="","",IFERROR(_xll.BDP(TICKER,"DEEP_MEASURE_PERIOD_BROKER_VALUE","DEEP_MEASURE_ID_OVERRIDE",$C25,"DEEP_BROKER_ID_OVERRIDE",$F$7,"DEEP_PERIOD_OVERRIDE",T$11)*1,"")))</f>
        <v/>
      </c>
      <c r="U25" s="17" t="str">
        <f ca="1">IF(ISNA($B25),"",IF($B25="","",IFERROR(_xll.BDP(TICKER,"DEEP_MEASURE_PERIOD_BROKER_VALUE","DEEP_MEASURE_ID_OVERRIDE",$C25,"DEEP_BROKER_ID_OVERRIDE",$F$7,"DEEP_PERIOD_OVERRIDE",U$11)*1,"")))</f>
        <v/>
      </c>
      <c r="V25" s="17" t="str">
        <f ca="1">IF(ISNA($B25),"",IF($B25="","",IFERROR(_xll.BDP(TICKER,"DEEP_MEASURE_PERIOD_BROKER_VALUE","DEEP_MEASURE_ID_OVERRIDE",$C25,"DEEP_BROKER_ID_OVERRIDE",$F$7,"DEEP_PERIOD_OVERRIDE",V$11)*1,"")))</f>
        <v/>
      </c>
      <c r="W25" s="17" t="str">
        <f ca="1">IF(ISNA($B25),"",IF($B25="","",IFERROR(_xll.BDP(TICKER,"DEEP_MEASURE_PERIOD_BROKER_VALUE","DEEP_MEASURE_ID_OVERRIDE",$C25,"DEEP_BROKER_ID_OVERRIDE",$F$7,"DEEP_PERIOD_OVERRIDE",W$11)*1,"")))</f>
        <v/>
      </c>
      <c r="X25" s="17" t="str">
        <f ca="1">IF(ISNA($B25),"",IF($B25="","",IFERROR(_xll.BDP(TICKER,"DEEP_MEASURE_PERIOD_BROKER_VALUE","DEEP_MEASURE_ID_OVERRIDE",$C25,"DEEP_BROKER_ID_OVERRIDE",$F$7,"DEEP_PERIOD_OVERRIDE",X$11)*1,"")))</f>
        <v/>
      </c>
      <c r="Y25" s="17" t="str">
        <f ca="1">IF(ISNA($B25),"",IF($B25="","",IFERROR(_xll.BDP(TICKER,"DEEP_MEASURE_PERIOD_BROKER_VALUE","DEEP_MEASURE_ID_OVERRIDE",$C25,"DEEP_BROKER_ID_OVERRIDE",$F$7,"DEEP_PERIOD_OVERRIDE",Y$11)*1,"")))</f>
        <v/>
      </c>
      <c r="Z25" s="17" t="str">
        <f ca="1">IF(ISNA($B25),"",IF($B25="","",IFERROR(_xll.BDP(TICKER,"DEEP_MEASURE_PERIOD_BROKER_VALUE","DEEP_MEASURE_ID_OVERRIDE",$C25,"DEEP_BROKER_ID_OVERRIDE",$F$7,"DEEP_PERIOD_OVERRIDE",Z$11)*1,"")))</f>
        <v/>
      </c>
      <c r="AA25" s="17" t="str">
        <f ca="1">IF(ISNA($B25),"",IF($B25="","",IFERROR(_xll.BDP(TICKER,"DEEP_MEASURE_PERIOD_BROKER_VALUE","DEEP_MEASURE_ID_OVERRIDE",$C25,"DEEP_BROKER_ID_OVERRIDE",$F$7,"DEEP_PERIOD_OVERRIDE",AA$11)*1,"")))</f>
        <v/>
      </c>
      <c r="AB25" s="17" t="str">
        <f ca="1">IF(ISNA($B25),"",IF($B25="","",IFERROR(_xll.BDP(TICKER,"DEEP_MEASURE_PERIOD_BROKER_VALUE","DEEP_MEASURE_ID_OVERRIDE",$C25,"DEEP_BROKER_ID_OVERRIDE",$F$7,"DEEP_PERIOD_OVERRIDE",AB$11)*1,"")))</f>
        <v/>
      </c>
      <c r="AC25" s="17" t="str">
        <f ca="1">IF(ISNA($B25),"",IF($B25="","",IFERROR(_xll.BDP(TICKER,"DEEP_MEASURE_PERIOD_BROKER_VALUE","DEEP_MEASURE_ID_OVERRIDE",$C25,"DEEP_BROKER_ID_OVERRIDE",$F$7,"DEEP_PERIOD_OVERRIDE",AC$11)*1,"")))</f>
        <v/>
      </c>
      <c r="AD25" s="17" t="str">
        <f ca="1">IF(ISNA($B25),"",IF($B25="","",IFERROR(_xll.BDP(TICKER,"DEEP_MEASURE_PERIOD_BROKER_VALUE","DEEP_MEASURE_ID_OVERRIDE",$C25,"DEEP_BROKER_ID_OVERRIDE",$F$7,"DEEP_PERIOD_OVERRIDE",AD$11)*1,"")))</f>
        <v/>
      </c>
      <c r="AE25" s="17" t="str">
        <f ca="1">IF(ISNA($B25),"",IF($B25="","",IFERROR(_xll.BDP(TICKER,"DEEP_MEASURE_PERIOD_BROKER_VALUE","DEEP_MEASURE_ID_OVERRIDE",$C25,"DEEP_BROKER_ID_OVERRIDE",$F$7,"DEEP_PERIOD_OVERRIDE",AE$11)*1,"")))</f>
        <v/>
      </c>
      <c r="AF25" s="17" t="str">
        <f ca="1">IF(ISNA($B25),"",IF($B25="","",IFERROR(_xll.BDP(TICKER,"DEEP_MEASURE_PERIOD_BROKER_VALUE","DEEP_MEASURE_ID_OVERRIDE",$C25,"DEEP_BROKER_ID_OVERRIDE",$F$7,"DEEP_PERIOD_OVERRIDE",AF$11)*1,"")))</f>
        <v/>
      </c>
      <c r="AG25" s="17" t="str">
        <f ca="1">IF(ISNA($B25),"",IF($B25="","",IFERROR(_xll.BDP(TICKER,"DEEP_MEASURE_PERIOD_BROKER_VALUE","DEEP_MEASURE_ID_OVERRIDE",$C25,"DEEP_BROKER_ID_OVERRIDE",$F$7,"DEEP_PERIOD_OVERRIDE",AG$11)*1,"")))</f>
        <v/>
      </c>
      <c r="AH25" s="17" t="str">
        <f ca="1">IF(ISNA($B25),"",IF($B25="","",IFERROR(_xll.BDP(TICKER,"DEEP_MEASURE_PERIOD_BROKER_VALUE","DEEP_MEASURE_ID_OVERRIDE",$C25,"DEEP_BROKER_ID_OVERRIDE",$F$7,"DEEP_PERIOD_OVERRIDE",AH$11)*1,"")))</f>
        <v/>
      </c>
      <c r="AI25" s="17" t="str">
        <f ca="1">IF(ISNA($B25),"",IF($B25="","",IFERROR(_xll.BDP(TICKER,"DEEP_MEASURE_PERIOD_BROKER_VALUE","DEEP_MEASURE_ID_OVERRIDE",$C25,"DEEP_BROKER_ID_OVERRIDE",$F$7,"DEEP_PERIOD_OVERRIDE",AI$11)*1,"")))</f>
        <v/>
      </c>
      <c r="AJ25" s="17" t="str">
        <f ca="1">IF(ISNA($B25),"",IF($B25="","",IFERROR(_xll.BDP(TICKER,"DEEP_MEASURE_PERIOD_BROKER_VALUE","DEEP_MEASURE_ID_OVERRIDE",$C25,"DEEP_BROKER_ID_OVERRIDE",$F$7,"DEEP_PERIOD_OVERRIDE",AJ$11)*1,"")))</f>
        <v/>
      </c>
      <c r="AK25" s="17" t="str">
        <f ca="1">IF(ISNA($B25),"",IF($B25="","",IFERROR(_xll.BDP(TICKER,"DEEP_MEASURE_PERIOD_BROKER_VALUE","DEEP_MEASURE_ID_OVERRIDE",$C25,"DEEP_BROKER_ID_OVERRIDE",$F$7,"DEEP_PERIOD_OVERRIDE",AK$11)*1,"")))</f>
        <v/>
      </c>
      <c r="AL25" s="17" t="str">
        <f ca="1">IF(ISNA($B25),"",IF($B25="","",IFERROR(_xll.BDP(TICKER,"DEEP_MEASURE_PERIOD_BROKER_VALUE","DEEP_MEASURE_ID_OVERRIDE",$C25,"DEEP_BROKER_ID_OVERRIDE",$F$7,"DEEP_PERIOD_OVERRIDE",AL$11)*1,"")))</f>
        <v/>
      </c>
      <c r="AM25" s="17" t="str">
        <f ca="1">IF(ISNA($B25),"",IF($B25="","",IFERROR(_xll.BDP(TICKER,"DEEP_MEASURE_PERIOD_BROKER_VALUE","DEEP_MEASURE_ID_OVERRIDE",$C25,"DEEP_BROKER_ID_OVERRIDE",$F$7,"DEEP_PERIOD_OVERRIDE",AM$11)*1,"")))</f>
        <v/>
      </c>
      <c r="AN25" s="17" t="str">
        <f ca="1">IF(ISNA($B25),"",IF($B25="","",IFERROR(_xll.BDP(TICKER,"DEEP_MEASURE_PERIOD_BROKER_VALUE","DEEP_MEASURE_ID_OVERRIDE",$C25,"DEEP_BROKER_ID_OVERRIDE",$F$7,"DEEP_PERIOD_OVERRIDE",AN$11)*1,"")))</f>
        <v/>
      </c>
      <c r="AO25" s="17" t="str">
        <f ca="1">IF(ISNA($B25),"",IF($B25="","",IFERROR(_xll.BDP(TICKER,"DEEP_MEASURE_PERIOD_BROKER_VALUE","DEEP_MEASURE_ID_OVERRIDE",$C25,"DEEP_BROKER_ID_OVERRIDE",$F$7,"DEEP_PERIOD_OVERRIDE",AO$11)*1,"")))</f>
        <v/>
      </c>
      <c r="AP25" s="17" t="str">
        <f ca="1">IF(ISNA($B25),"",IF($B25="","",IFERROR(_xll.BDP(TICKER,"DEEP_MEASURE_PERIOD_BROKER_VALUE","DEEP_MEASURE_ID_OVERRIDE",$C25,"DEEP_BROKER_ID_OVERRIDE",$F$7,"DEEP_PERIOD_OVERRIDE",AP$11)*1,"")))</f>
        <v/>
      </c>
      <c r="AQ25" s="17" t="str">
        <f ca="1">IF(ISNA($B25),"",IF($B25="","",IFERROR(_xll.BDP(TICKER,"DEEP_MEASURE_PERIOD_BROKER_VALUE","DEEP_MEASURE_ID_OVERRIDE",$C25,"DEEP_BROKER_ID_OVERRIDE",$F$7,"DEEP_PERIOD_OVERRIDE",AQ$11)*1,"")))</f>
        <v/>
      </c>
    </row>
    <row r="26" spans="2:43" x14ac:dyDescent="0.25">
      <c r="B26" t="s">
        <v>40</v>
      </c>
      <c r="C26" s="11">
        <v>2785</v>
      </c>
      <c r="E26" t="s">
        <v>4</v>
      </c>
      <c r="F26">
        <v>171878</v>
      </c>
      <c r="H26" t="str">
        <f t="shared" si="2"/>
        <v>Revenue per Hotel Shopper</v>
      </c>
      <c r="I26" s="17" t="str">
        <f ca="1">IF(ISNA($B26),"",IF($B26="","",IFERROR(_xll.BDP(TICKER,"DEEP_MEASURE_PERIOD_BROKER_VALUE","DEEP_MEASURE_ID_OVERRIDE",$C26,"DEEP_BROKER_ID_OVERRIDE",$F$7,"DEEP_PERIOD_OVERRIDE",I$11)*1,"")))</f>
        <v/>
      </c>
      <c r="J26" s="17" t="str">
        <f ca="1">IF(ISNA($B26),"",IF($B26="","",IFERROR(_xll.BDP(TICKER,"DEEP_MEASURE_PERIOD_BROKER_VALUE","DEEP_MEASURE_ID_OVERRIDE",$C26,"DEEP_BROKER_ID_OVERRIDE",$F$7,"DEEP_PERIOD_OVERRIDE",J$11)*1,"")))</f>
        <v/>
      </c>
      <c r="K26" s="17" t="str">
        <f ca="1">IF(ISNA($B26),"",IF($B26="","",IFERROR(_xll.BDP(TICKER,"DEEP_MEASURE_PERIOD_BROKER_VALUE","DEEP_MEASURE_ID_OVERRIDE",$C26,"DEEP_BROKER_ID_OVERRIDE",$F$7,"DEEP_PERIOD_OVERRIDE",K$11)*1,"")))</f>
        <v/>
      </c>
      <c r="L26" s="17" t="str">
        <f ca="1">IF(ISNA($B26),"",IF($B26="","",IFERROR(_xll.BDP(TICKER,"DEEP_MEASURE_PERIOD_BROKER_VALUE","DEEP_MEASURE_ID_OVERRIDE",$C26,"DEEP_BROKER_ID_OVERRIDE",$F$7,"DEEP_PERIOD_OVERRIDE",L$11)*1,"")))</f>
        <v/>
      </c>
      <c r="M26" s="17" t="str">
        <f ca="1">IF(ISNA($B26),"",IF($B26="","",IFERROR(_xll.BDP(TICKER,"DEEP_MEASURE_PERIOD_BROKER_VALUE","DEEP_MEASURE_ID_OVERRIDE",$C26,"DEEP_BROKER_ID_OVERRIDE",$F$7,"DEEP_PERIOD_OVERRIDE",M$11)*1,"")))</f>
        <v/>
      </c>
      <c r="N26" s="17" t="str">
        <f ca="1">IF(ISNA($B26),"",IF($B26="","",IFERROR(_xll.BDP(TICKER,"DEEP_MEASURE_PERIOD_BROKER_VALUE","DEEP_MEASURE_ID_OVERRIDE",$C26,"DEEP_BROKER_ID_OVERRIDE",$F$7,"DEEP_PERIOD_OVERRIDE",N$11)*1,"")))</f>
        <v/>
      </c>
      <c r="O26" s="17" t="str">
        <f ca="1">IF(ISNA($B26),"",IF($B26="","",IFERROR(_xll.BDP(TICKER,"DEEP_MEASURE_PERIOD_BROKER_VALUE","DEEP_MEASURE_ID_OVERRIDE",$C26,"DEEP_BROKER_ID_OVERRIDE",$F$7,"DEEP_PERIOD_OVERRIDE",O$11)*1,"")))</f>
        <v/>
      </c>
      <c r="P26" s="17" t="str">
        <f ca="1">IF(ISNA($B26),"",IF($B26="","",IFERROR(_xll.BDP(TICKER,"DEEP_MEASURE_PERIOD_BROKER_VALUE","DEEP_MEASURE_ID_OVERRIDE",$C26,"DEEP_BROKER_ID_OVERRIDE",$F$7,"DEEP_PERIOD_OVERRIDE",P$11)*1,"")))</f>
        <v/>
      </c>
      <c r="Q26" s="17" t="str">
        <f ca="1">IF(ISNA($B26),"",IF($B26="","",IFERROR(_xll.BDP(TICKER,"DEEP_MEASURE_PERIOD_BROKER_VALUE","DEEP_MEASURE_ID_OVERRIDE",$C26,"DEEP_BROKER_ID_OVERRIDE",$F$7,"DEEP_PERIOD_OVERRIDE",Q$11)*1,"")))</f>
        <v/>
      </c>
      <c r="R26" s="17" t="str">
        <f ca="1">IF(ISNA($B26),"",IF($B26="","",IFERROR(_xll.BDP(TICKER,"DEEP_MEASURE_PERIOD_BROKER_VALUE","DEEP_MEASURE_ID_OVERRIDE",$C26,"DEEP_BROKER_ID_OVERRIDE",$F$7,"DEEP_PERIOD_OVERRIDE",R$11)*1,"")))</f>
        <v/>
      </c>
      <c r="S26" s="17" t="str">
        <f ca="1">IF(ISNA($B26),"",IF($B26="","",IFERROR(_xll.BDP(TICKER,"DEEP_MEASURE_PERIOD_BROKER_VALUE","DEEP_MEASURE_ID_OVERRIDE",$C26,"DEEP_BROKER_ID_OVERRIDE",$F$7,"DEEP_PERIOD_OVERRIDE",S$11)*1,"")))</f>
        <v/>
      </c>
      <c r="T26" s="17" t="str">
        <f ca="1">IF(ISNA($B26),"",IF($B26="","",IFERROR(_xll.BDP(TICKER,"DEEP_MEASURE_PERIOD_BROKER_VALUE","DEEP_MEASURE_ID_OVERRIDE",$C26,"DEEP_BROKER_ID_OVERRIDE",$F$7,"DEEP_PERIOD_OVERRIDE",T$11)*1,"")))</f>
        <v/>
      </c>
      <c r="U26" s="17" t="str">
        <f ca="1">IF(ISNA($B26),"",IF($B26="","",IFERROR(_xll.BDP(TICKER,"DEEP_MEASURE_PERIOD_BROKER_VALUE","DEEP_MEASURE_ID_OVERRIDE",$C26,"DEEP_BROKER_ID_OVERRIDE",$F$7,"DEEP_PERIOD_OVERRIDE",U$11)*1,"")))</f>
        <v/>
      </c>
      <c r="V26" s="17" t="str">
        <f ca="1">IF(ISNA($B26),"",IF($B26="","",IFERROR(_xll.BDP(TICKER,"DEEP_MEASURE_PERIOD_BROKER_VALUE","DEEP_MEASURE_ID_OVERRIDE",$C26,"DEEP_BROKER_ID_OVERRIDE",$F$7,"DEEP_PERIOD_OVERRIDE",V$11)*1,"")))</f>
        <v/>
      </c>
      <c r="W26" s="17" t="str">
        <f ca="1">IF(ISNA($B26),"",IF($B26="","",IFERROR(_xll.BDP(TICKER,"DEEP_MEASURE_PERIOD_BROKER_VALUE","DEEP_MEASURE_ID_OVERRIDE",$C26,"DEEP_BROKER_ID_OVERRIDE",$F$7,"DEEP_PERIOD_OVERRIDE",W$11)*1,"")))</f>
        <v/>
      </c>
      <c r="X26" s="17" t="str">
        <f ca="1">IF(ISNA($B26),"",IF($B26="","",IFERROR(_xll.BDP(TICKER,"DEEP_MEASURE_PERIOD_BROKER_VALUE","DEEP_MEASURE_ID_OVERRIDE",$C26,"DEEP_BROKER_ID_OVERRIDE",$F$7,"DEEP_PERIOD_OVERRIDE",X$11)*1,"")))</f>
        <v/>
      </c>
      <c r="Y26" s="17" t="str">
        <f ca="1">IF(ISNA($B26),"",IF($B26="","",IFERROR(_xll.BDP(TICKER,"DEEP_MEASURE_PERIOD_BROKER_VALUE","DEEP_MEASURE_ID_OVERRIDE",$C26,"DEEP_BROKER_ID_OVERRIDE",$F$7,"DEEP_PERIOD_OVERRIDE",Y$11)*1,"")))</f>
        <v/>
      </c>
      <c r="Z26" s="17" t="str">
        <f ca="1">IF(ISNA($B26),"",IF($B26="","",IFERROR(_xll.BDP(TICKER,"DEEP_MEASURE_PERIOD_BROKER_VALUE","DEEP_MEASURE_ID_OVERRIDE",$C26,"DEEP_BROKER_ID_OVERRIDE",$F$7,"DEEP_PERIOD_OVERRIDE",Z$11)*1,"")))</f>
        <v/>
      </c>
      <c r="AA26" s="17" t="str">
        <f ca="1">IF(ISNA($B26),"",IF($B26="","",IFERROR(_xll.BDP(TICKER,"DEEP_MEASURE_PERIOD_BROKER_VALUE","DEEP_MEASURE_ID_OVERRIDE",$C26,"DEEP_BROKER_ID_OVERRIDE",$F$7,"DEEP_PERIOD_OVERRIDE",AA$11)*1,"")))</f>
        <v/>
      </c>
      <c r="AB26" s="17" t="str">
        <f ca="1">IF(ISNA($B26),"",IF($B26="","",IFERROR(_xll.BDP(TICKER,"DEEP_MEASURE_PERIOD_BROKER_VALUE","DEEP_MEASURE_ID_OVERRIDE",$C26,"DEEP_BROKER_ID_OVERRIDE",$F$7,"DEEP_PERIOD_OVERRIDE",AB$11)*1,"")))</f>
        <v/>
      </c>
      <c r="AC26" s="17" t="str">
        <f ca="1">IF(ISNA($B26),"",IF($B26="","",IFERROR(_xll.BDP(TICKER,"DEEP_MEASURE_PERIOD_BROKER_VALUE","DEEP_MEASURE_ID_OVERRIDE",$C26,"DEEP_BROKER_ID_OVERRIDE",$F$7,"DEEP_PERIOD_OVERRIDE",AC$11)*1,"")))</f>
        <v/>
      </c>
      <c r="AD26" s="17" t="str">
        <f ca="1">IF(ISNA($B26),"",IF($B26="","",IFERROR(_xll.BDP(TICKER,"DEEP_MEASURE_PERIOD_BROKER_VALUE","DEEP_MEASURE_ID_OVERRIDE",$C26,"DEEP_BROKER_ID_OVERRIDE",$F$7,"DEEP_PERIOD_OVERRIDE",AD$11)*1,"")))</f>
        <v/>
      </c>
      <c r="AE26" s="17" t="str">
        <f ca="1">IF(ISNA($B26),"",IF($B26="","",IFERROR(_xll.BDP(TICKER,"DEEP_MEASURE_PERIOD_BROKER_VALUE","DEEP_MEASURE_ID_OVERRIDE",$C26,"DEEP_BROKER_ID_OVERRIDE",$F$7,"DEEP_PERIOD_OVERRIDE",AE$11)*1,"")))</f>
        <v/>
      </c>
      <c r="AF26" s="17" t="str">
        <f ca="1">IF(ISNA($B26),"",IF($B26="","",IFERROR(_xll.BDP(TICKER,"DEEP_MEASURE_PERIOD_BROKER_VALUE","DEEP_MEASURE_ID_OVERRIDE",$C26,"DEEP_BROKER_ID_OVERRIDE",$F$7,"DEEP_PERIOD_OVERRIDE",AF$11)*1,"")))</f>
        <v/>
      </c>
      <c r="AG26" s="17" t="str">
        <f ca="1">IF(ISNA($B26),"",IF($B26="","",IFERROR(_xll.BDP(TICKER,"DEEP_MEASURE_PERIOD_BROKER_VALUE","DEEP_MEASURE_ID_OVERRIDE",$C26,"DEEP_BROKER_ID_OVERRIDE",$F$7,"DEEP_PERIOD_OVERRIDE",AG$11)*1,"")))</f>
        <v/>
      </c>
      <c r="AH26" s="17" t="str">
        <f ca="1">IF(ISNA($B26),"",IF($B26="","",IFERROR(_xll.BDP(TICKER,"DEEP_MEASURE_PERIOD_BROKER_VALUE","DEEP_MEASURE_ID_OVERRIDE",$C26,"DEEP_BROKER_ID_OVERRIDE",$F$7,"DEEP_PERIOD_OVERRIDE",AH$11)*1,"")))</f>
        <v/>
      </c>
      <c r="AI26" s="17" t="str">
        <f ca="1">IF(ISNA($B26),"",IF($B26="","",IFERROR(_xll.BDP(TICKER,"DEEP_MEASURE_PERIOD_BROKER_VALUE","DEEP_MEASURE_ID_OVERRIDE",$C26,"DEEP_BROKER_ID_OVERRIDE",$F$7,"DEEP_PERIOD_OVERRIDE",AI$11)*1,"")))</f>
        <v/>
      </c>
      <c r="AJ26" s="17" t="str">
        <f ca="1">IF(ISNA($B26),"",IF($B26="","",IFERROR(_xll.BDP(TICKER,"DEEP_MEASURE_PERIOD_BROKER_VALUE","DEEP_MEASURE_ID_OVERRIDE",$C26,"DEEP_BROKER_ID_OVERRIDE",$F$7,"DEEP_PERIOD_OVERRIDE",AJ$11)*1,"")))</f>
        <v/>
      </c>
      <c r="AK26" s="17" t="str">
        <f ca="1">IF(ISNA($B26),"",IF($B26="","",IFERROR(_xll.BDP(TICKER,"DEEP_MEASURE_PERIOD_BROKER_VALUE","DEEP_MEASURE_ID_OVERRIDE",$C26,"DEEP_BROKER_ID_OVERRIDE",$F$7,"DEEP_PERIOD_OVERRIDE",AK$11)*1,"")))</f>
        <v/>
      </c>
      <c r="AL26" s="17" t="str">
        <f ca="1">IF(ISNA($B26),"",IF($B26="","",IFERROR(_xll.BDP(TICKER,"DEEP_MEASURE_PERIOD_BROKER_VALUE","DEEP_MEASURE_ID_OVERRIDE",$C26,"DEEP_BROKER_ID_OVERRIDE",$F$7,"DEEP_PERIOD_OVERRIDE",AL$11)*1,"")))</f>
        <v/>
      </c>
      <c r="AM26" s="17" t="str">
        <f ca="1">IF(ISNA($B26),"",IF($B26="","",IFERROR(_xll.BDP(TICKER,"DEEP_MEASURE_PERIOD_BROKER_VALUE","DEEP_MEASURE_ID_OVERRIDE",$C26,"DEEP_BROKER_ID_OVERRIDE",$F$7,"DEEP_PERIOD_OVERRIDE",AM$11)*1,"")))</f>
        <v/>
      </c>
      <c r="AN26" s="17" t="str">
        <f ca="1">IF(ISNA($B26),"",IF($B26="","",IFERROR(_xll.BDP(TICKER,"DEEP_MEASURE_PERIOD_BROKER_VALUE","DEEP_MEASURE_ID_OVERRIDE",$C26,"DEEP_BROKER_ID_OVERRIDE",$F$7,"DEEP_PERIOD_OVERRIDE",AN$11)*1,"")))</f>
        <v/>
      </c>
      <c r="AO26" s="17" t="str">
        <f ca="1">IF(ISNA($B26),"",IF($B26="","",IFERROR(_xll.BDP(TICKER,"DEEP_MEASURE_PERIOD_BROKER_VALUE","DEEP_MEASURE_ID_OVERRIDE",$C26,"DEEP_BROKER_ID_OVERRIDE",$F$7,"DEEP_PERIOD_OVERRIDE",AO$11)*1,"")))</f>
        <v/>
      </c>
      <c r="AP26" s="17" t="str">
        <f ca="1">IF(ISNA($B26),"",IF($B26="","",IFERROR(_xll.BDP(TICKER,"DEEP_MEASURE_PERIOD_BROKER_VALUE","DEEP_MEASURE_ID_OVERRIDE",$C26,"DEEP_BROKER_ID_OVERRIDE",$F$7,"DEEP_PERIOD_OVERRIDE",AP$11)*1,"")))</f>
        <v/>
      </c>
      <c r="AQ26" s="17" t="str">
        <f ca="1">IF(ISNA($B26),"",IF($B26="","",IFERROR(_xll.BDP(TICKER,"DEEP_MEASURE_PERIOD_BROKER_VALUE","DEEP_MEASURE_ID_OVERRIDE",$C26,"DEEP_BROKER_ID_OVERRIDE",$F$7,"DEEP_PERIOD_OVERRIDE",AQ$11)*1,"")))</f>
        <v/>
      </c>
    </row>
    <row r="27" spans="2:43" x14ac:dyDescent="0.25">
      <c r="B27" t="s">
        <v>84</v>
      </c>
      <c r="C27" s="11">
        <v>2792</v>
      </c>
      <c r="E27" t="s">
        <v>21</v>
      </c>
      <c r="F27">
        <v>233480</v>
      </c>
      <c r="H27" t="str">
        <f t="shared" si="2"/>
        <v>Revenue per Hotel Shopper &gt; YoY Growth (%)</v>
      </c>
      <c r="I27" s="17" t="str">
        <f ca="1">IF(ISNA($B27),"",IF($B27="","",IFERROR(_xll.BDP(TICKER,"DEEP_MEASURE_PERIOD_BROKER_VALUE","DEEP_MEASURE_ID_OVERRIDE",$C27,"DEEP_BROKER_ID_OVERRIDE",$F$7,"DEEP_PERIOD_OVERRIDE",I$11)*1,"")))</f>
        <v/>
      </c>
      <c r="J27" s="17" t="str">
        <f ca="1">IF(ISNA($B27),"",IF($B27="","",IFERROR(_xll.BDP(TICKER,"DEEP_MEASURE_PERIOD_BROKER_VALUE","DEEP_MEASURE_ID_OVERRIDE",$C27,"DEEP_BROKER_ID_OVERRIDE",$F$7,"DEEP_PERIOD_OVERRIDE",J$11)*1,"")))</f>
        <v/>
      </c>
      <c r="K27" s="17" t="str">
        <f ca="1">IF(ISNA($B27),"",IF($B27="","",IFERROR(_xll.BDP(TICKER,"DEEP_MEASURE_PERIOD_BROKER_VALUE","DEEP_MEASURE_ID_OVERRIDE",$C27,"DEEP_BROKER_ID_OVERRIDE",$F$7,"DEEP_PERIOD_OVERRIDE",K$11)*1,"")))</f>
        <v/>
      </c>
      <c r="L27" s="17" t="str">
        <f ca="1">IF(ISNA($B27),"",IF($B27="","",IFERROR(_xll.BDP(TICKER,"DEEP_MEASURE_PERIOD_BROKER_VALUE","DEEP_MEASURE_ID_OVERRIDE",$C27,"DEEP_BROKER_ID_OVERRIDE",$F$7,"DEEP_PERIOD_OVERRIDE",L$11)*1,"")))</f>
        <v/>
      </c>
      <c r="M27" s="17" t="str">
        <f ca="1">IF(ISNA($B27),"",IF($B27="","",IFERROR(_xll.BDP(TICKER,"DEEP_MEASURE_PERIOD_BROKER_VALUE","DEEP_MEASURE_ID_OVERRIDE",$C27,"DEEP_BROKER_ID_OVERRIDE",$F$7,"DEEP_PERIOD_OVERRIDE",M$11)*1,"")))</f>
        <v/>
      </c>
      <c r="N27" s="17" t="str">
        <f ca="1">IF(ISNA($B27),"",IF($B27="","",IFERROR(_xll.BDP(TICKER,"DEEP_MEASURE_PERIOD_BROKER_VALUE","DEEP_MEASURE_ID_OVERRIDE",$C27,"DEEP_BROKER_ID_OVERRIDE",$F$7,"DEEP_PERIOD_OVERRIDE",N$11)*1,"")))</f>
        <v/>
      </c>
      <c r="O27" s="17" t="str">
        <f ca="1">IF(ISNA($B27),"",IF($B27="","",IFERROR(_xll.BDP(TICKER,"DEEP_MEASURE_PERIOD_BROKER_VALUE","DEEP_MEASURE_ID_OVERRIDE",$C27,"DEEP_BROKER_ID_OVERRIDE",$F$7,"DEEP_PERIOD_OVERRIDE",O$11)*1,"")))</f>
        <v/>
      </c>
      <c r="P27" s="17" t="str">
        <f ca="1">IF(ISNA($B27),"",IF($B27="","",IFERROR(_xll.BDP(TICKER,"DEEP_MEASURE_PERIOD_BROKER_VALUE","DEEP_MEASURE_ID_OVERRIDE",$C27,"DEEP_BROKER_ID_OVERRIDE",$F$7,"DEEP_PERIOD_OVERRIDE",P$11)*1,"")))</f>
        <v/>
      </c>
      <c r="Q27" s="17" t="str">
        <f ca="1">IF(ISNA($B27),"",IF($B27="","",IFERROR(_xll.BDP(TICKER,"DEEP_MEASURE_PERIOD_BROKER_VALUE","DEEP_MEASURE_ID_OVERRIDE",$C27,"DEEP_BROKER_ID_OVERRIDE",$F$7,"DEEP_PERIOD_OVERRIDE",Q$11)*1,"")))</f>
        <v/>
      </c>
      <c r="R27" s="17" t="str">
        <f ca="1">IF(ISNA($B27),"",IF($B27="","",IFERROR(_xll.BDP(TICKER,"DEEP_MEASURE_PERIOD_BROKER_VALUE","DEEP_MEASURE_ID_OVERRIDE",$C27,"DEEP_BROKER_ID_OVERRIDE",$F$7,"DEEP_PERIOD_OVERRIDE",R$11)*1,"")))</f>
        <v/>
      </c>
      <c r="S27" s="17" t="str">
        <f ca="1">IF(ISNA($B27),"",IF($B27="","",IFERROR(_xll.BDP(TICKER,"DEEP_MEASURE_PERIOD_BROKER_VALUE","DEEP_MEASURE_ID_OVERRIDE",$C27,"DEEP_BROKER_ID_OVERRIDE",$F$7,"DEEP_PERIOD_OVERRIDE",S$11)*1,"")))</f>
        <v/>
      </c>
      <c r="T27" s="17" t="str">
        <f ca="1">IF(ISNA($B27),"",IF($B27="","",IFERROR(_xll.BDP(TICKER,"DEEP_MEASURE_PERIOD_BROKER_VALUE","DEEP_MEASURE_ID_OVERRIDE",$C27,"DEEP_BROKER_ID_OVERRIDE",$F$7,"DEEP_PERIOD_OVERRIDE",T$11)*1,"")))</f>
        <v/>
      </c>
      <c r="U27" s="17" t="str">
        <f ca="1">IF(ISNA($B27),"",IF($B27="","",IFERROR(_xll.BDP(TICKER,"DEEP_MEASURE_PERIOD_BROKER_VALUE","DEEP_MEASURE_ID_OVERRIDE",$C27,"DEEP_BROKER_ID_OVERRIDE",$F$7,"DEEP_PERIOD_OVERRIDE",U$11)*1,"")))</f>
        <v/>
      </c>
      <c r="V27" s="17" t="str">
        <f ca="1">IF(ISNA($B27),"",IF($B27="","",IFERROR(_xll.BDP(TICKER,"DEEP_MEASURE_PERIOD_BROKER_VALUE","DEEP_MEASURE_ID_OVERRIDE",$C27,"DEEP_BROKER_ID_OVERRIDE",$F$7,"DEEP_PERIOD_OVERRIDE",V$11)*1,"")))</f>
        <v/>
      </c>
      <c r="W27" s="17" t="str">
        <f ca="1">IF(ISNA($B27),"",IF($B27="","",IFERROR(_xll.BDP(TICKER,"DEEP_MEASURE_PERIOD_BROKER_VALUE","DEEP_MEASURE_ID_OVERRIDE",$C27,"DEEP_BROKER_ID_OVERRIDE",$F$7,"DEEP_PERIOD_OVERRIDE",W$11)*1,"")))</f>
        <v/>
      </c>
      <c r="X27" s="17" t="str">
        <f ca="1">IF(ISNA($B27),"",IF($B27="","",IFERROR(_xll.BDP(TICKER,"DEEP_MEASURE_PERIOD_BROKER_VALUE","DEEP_MEASURE_ID_OVERRIDE",$C27,"DEEP_BROKER_ID_OVERRIDE",$F$7,"DEEP_PERIOD_OVERRIDE",X$11)*1,"")))</f>
        <v/>
      </c>
      <c r="Y27" s="17" t="str">
        <f ca="1">IF(ISNA($B27),"",IF($B27="","",IFERROR(_xll.BDP(TICKER,"DEEP_MEASURE_PERIOD_BROKER_VALUE","DEEP_MEASURE_ID_OVERRIDE",$C27,"DEEP_BROKER_ID_OVERRIDE",$F$7,"DEEP_PERIOD_OVERRIDE",Y$11)*1,"")))</f>
        <v/>
      </c>
      <c r="Z27" s="17" t="str">
        <f ca="1">IF(ISNA($B27),"",IF($B27="","",IFERROR(_xll.BDP(TICKER,"DEEP_MEASURE_PERIOD_BROKER_VALUE","DEEP_MEASURE_ID_OVERRIDE",$C27,"DEEP_BROKER_ID_OVERRIDE",$F$7,"DEEP_PERIOD_OVERRIDE",Z$11)*1,"")))</f>
        <v/>
      </c>
      <c r="AA27" s="17" t="str">
        <f ca="1">IF(ISNA($B27),"",IF($B27="","",IFERROR(_xll.BDP(TICKER,"DEEP_MEASURE_PERIOD_BROKER_VALUE","DEEP_MEASURE_ID_OVERRIDE",$C27,"DEEP_BROKER_ID_OVERRIDE",$F$7,"DEEP_PERIOD_OVERRIDE",AA$11)*1,"")))</f>
        <v/>
      </c>
      <c r="AB27" s="17" t="str">
        <f ca="1">IF(ISNA($B27),"",IF($B27="","",IFERROR(_xll.BDP(TICKER,"DEEP_MEASURE_PERIOD_BROKER_VALUE","DEEP_MEASURE_ID_OVERRIDE",$C27,"DEEP_BROKER_ID_OVERRIDE",$F$7,"DEEP_PERIOD_OVERRIDE",AB$11)*1,"")))</f>
        <v/>
      </c>
      <c r="AC27" s="17" t="str">
        <f ca="1">IF(ISNA($B27),"",IF($B27="","",IFERROR(_xll.BDP(TICKER,"DEEP_MEASURE_PERIOD_BROKER_VALUE","DEEP_MEASURE_ID_OVERRIDE",$C27,"DEEP_BROKER_ID_OVERRIDE",$F$7,"DEEP_PERIOD_OVERRIDE",AC$11)*1,"")))</f>
        <v/>
      </c>
      <c r="AD27" s="17" t="str">
        <f ca="1">IF(ISNA($B27),"",IF($B27="","",IFERROR(_xll.BDP(TICKER,"DEEP_MEASURE_PERIOD_BROKER_VALUE","DEEP_MEASURE_ID_OVERRIDE",$C27,"DEEP_BROKER_ID_OVERRIDE",$F$7,"DEEP_PERIOD_OVERRIDE",AD$11)*1,"")))</f>
        <v/>
      </c>
      <c r="AE27" s="17" t="str">
        <f ca="1">IF(ISNA($B27),"",IF($B27="","",IFERROR(_xll.BDP(TICKER,"DEEP_MEASURE_PERIOD_BROKER_VALUE","DEEP_MEASURE_ID_OVERRIDE",$C27,"DEEP_BROKER_ID_OVERRIDE",$F$7,"DEEP_PERIOD_OVERRIDE",AE$11)*1,"")))</f>
        <v/>
      </c>
      <c r="AF27" s="17" t="str">
        <f ca="1">IF(ISNA($B27),"",IF($B27="","",IFERROR(_xll.BDP(TICKER,"DEEP_MEASURE_PERIOD_BROKER_VALUE","DEEP_MEASURE_ID_OVERRIDE",$C27,"DEEP_BROKER_ID_OVERRIDE",$F$7,"DEEP_PERIOD_OVERRIDE",AF$11)*1,"")))</f>
        <v/>
      </c>
      <c r="AG27" s="17" t="str">
        <f ca="1">IF(ISNA($B27),"",IF($B27="","",IFERROR(_xll.BDP(TICKER,"DEEP_MEASURE_PERIOD_BROKER_VALUE","DEEP_MEASURE_ID_OVERRIDE",$C27,"DEEP_BROKER_ID_OVERRIDE",$F$7,"DEEP_PERIOD_OVERRIDE",AG$11)*1,"")))</f>
        <v/>
      </c>
      <c r="AH27" s="17" t="str">
        <f ca="1">IF(ISNA($B27),"",IF($B27="","",IFERROR(_xll.BDP(TICKER,"DEEP_MEASURE_PERIOD_BROKER_VALUE","DEEP_MEASURE_ID_OVERRIDE",$C27,"DEEP_BROKER_ID_OVERRIDE",$F$7,"DEEP_PERIOD_OVERRIDE",AH$11)*1,"")))</f>
        <v/>
      </c>
      <c r="AI27" s="17" t="str">
        <f ca="1">IF(ISNA($B27),"",IF($B27="","",IFERROR(_xll.BDP(TICKER,"DEEP_MEASURE_PERIOD_BROKER_VALUE","DEEP_MEASURE_ID_OVERRIDE",$C27,"DEEP_BROKER_ID_OVERRIDE",$F$7,"DEEP_PERIOD_OVERRIDE",AI$11)*1,"")))</f>
        <v/>
      </c>
      <c r="AJ27" s="17" t="str">
        <f ca="1">IF(ISNA($B27),"",IF($B27="","",IFERROR(_xll.BDP(TICKER,"DEEP_MEASURE_PERIOD_BROKER_VALUE","DEEP_MEASURE_ID_OVERRIDE",$C27,"DEEP_BROKER_ID_OVERRIDE",$F$7,"DEEP_PERIOD_OVERRIDE",AJ$11)*1,"")))</f>
        <v/>
      </c>
      <c r="AK27" s="17" t="str">
        <f ca="1">IF(ISNA($B27),"",IF($B27="","",IFERROR(_xll.BDP(TICKER,"DEEP_MEASURE_PERIOD_BROKER_VALUE","DEEP_MEASURE_ID_OVERRIDE",$C27,"DEEP_BROKER_ID_OVERRIDE",$F$7,"DEEP_PERIOD_OVERRIDE",AK$11)*1,"")))</f>
        <v/>
      </c>
      <c r="AL27" s="17" t="str">
        <f ca="1">IF(ISNA($B27),"",IF($B27="","",IFERROR(_xll.BDP(TICKER,"DEEP_MEASURE_PERIOD_BROKER_VALUE","DEEP_MEASURE_ID_OVERRIDE",$C27,"DEEP_BROKER_ID_OVERRIDE",$F$7,"DEEP_PERIOD_OVERRIDE",AL$11)*1,"")))</f>
        <v/>
      </c>
      <c r="AM27" s="17" t="str">
        <f ca="1">IF(ISNA($B27),"",IF($B27="","",IFERROR(_xll.BDP(TICKER,"DEEP_MEASURE_PERIOD_BROKER_VALUE","DEEP_MEASURE_ID_OVERRIDE",$C27,"DEEP_BROKER_ID_OVERRIDE",$F$7,"DEEP_PERIOD_OVERRIDE",AM$11)*1,"")))</f>
        <v/>
      </c>
      <c r="AN27" s="17" t="str">
        <f ca="1">IF(ISNA($B27),"",IF($B27="","",IFERROR(_xll.BDP(TICKER,"DEEP_MEASURE_PERIOD_BROKER_VALUE","DEEP_MEASURE_ID_OVERRIDE",$C27,"DEEP_BROKER_ID_OVERRIDE",$F$7,"DEEP_PERIOD_OVERRIDE",AN$11)*1,"")))</f>
        <v/>
      </c>
      <c r="AO27" s="17" t="str">
        <f ca="1">IF(ISNA($B27),"",IF($B27="","",IFERROR(_xll.BDP(TICKER,"DEEP_MEASURE_PERIOD_BROKER_VALUE","DEEP_MEASURE_ID_OVERRIDE",$C27,"DEEP_BROKER_ID_OVERRIDE",$F$7,"DEEP_PERIOD_OVERRIDE",AO$11)*1,"")))</f>
        <v/>
      </c>
      <c r="AP27" s="17" t="str">
        <f ca="1">IF(ISNA($B27),"",IF($B27="","",IFERROR(_xll.BDP(TICKER,"DEEP_MEASURE_PERIOD_BROKER_VALUE","DEEP_MEASURE_ID_OVERRIDE",$C27,"DEEP_BROKER_ID_OVERRIDE",$F$7,"DEEP_PERIOD_OVERRIDE",AP$11)*1,"")))</f>
        <v/>
      </c>
      <c r="AQ27" s="17" t="str">
        <f ca="1">IF(ISNA($B27),"",IF($B27="","",IFERROR(_xll.BDP(TICKER,"DEEP_MEASURE_PERIOD_BROKER_VALUE","DEEP_MEASURE_ID_OVERRIDE",$C27,"DEEP_BROKER_ID_OVERRIDE",$F$7,"DEEP_PERIOD_OVERRIDE",AQ$11)*1,"")))</f>
        <v/>
      </c>
    </row>
    <row r="28" spans="2:43" x14ac:dyDescent="0.25">
      <c r="B28" t="s">
        <v>85</v>
      </c>
      <c r="C28" s="11">
        <v>4903</v>
      </c>
      <c r="E28" t="s">
        <v>78</v>
      </c>
      <c r="F28">
        <v>368603</v>
      </c>
      <c r="H28" t="str">
        <f t="shared" si="2"/>
        <v>Days in Accounts Receivables</v>
      </c>
      <c r="I28" s="17" t="str">
        <f ca="1">IF(ISNA($B28),"",IF($B28="","",IFERROR(_xll.BDP(TICKER,"DEEP_MEASURE_PERIOD_BROKER_VALUE","DEEP_MEASURE_ID_OVERRIDE",$C28,"DEEP_BROKER_ID_OVERRIDE",$F$7,"DEEP_PERIOD_OVERRIDE",I$11)*1,"")))</f>
        <v/>
      </c>
      <c r="J28" s="17" t="str">
        <f ca="1">IF(ISNA($B28),"",IF($B28="","",IFERROR(_xll.BDP(TICKER,"DEEP_MEASURE_PERIOD_BROKER_VALUE","DEEP_MEASURE_ID_OVERRIDE",$C28,"DEEP_BROKER_ID_OVERRIDE",$F$7,"DEEP_PERIOD_OVERRIDE",J$11)*1,"")))</f>
        <v/>
      </c>
      <c r="K28" s="17" t="str">
        <f ca="1">IF(ISNA($B28),"",IF($B28="","",IFERROR(_xll.BDP(TICKER,"DEEP_MEASURE_PERIOD_BROKER_VALUE","DEEP_MEASURE_ID_OVERRIDE",$C28,"DEEP_BROKER_ID_OVERRIDE",$F$7,"DEEP_PERIOD_OVERRIDE",K$11)*1,"")))</f>
        <v/>
      </c>
      <c r="L28" s="17" t="str">
        <f ca="1">IF(ISNA($B28),"",IF($B28="","",IFERROR(_xll.BDP(TICKER,"DEEP_MEASURE_PERIOD_BROKER_VALUE","DEEP_MEASURE_ID_OVERRIDE",$C28,"DEEP_BROKER_ID_OVERRIDE",$F$7,"DEEP_PERIOD_OVERRIDE",L$11)*1,"")))</f>
        <v/>
      </c>
      <c r="M28" s="17" t="str">
        <f ca="1">IF(ISNA($B28),"",IF($B28="","",IFERROR(_xll.BDP(TICKER,"DEEP_MEASURE_PERIOD_BROKER_VALUE","DEEP_MEASURE_ID_OVERRIDE",$C28,"DEEP_BROKER_ID_OVERRIDE",$F$7,"DEEP_PERIOD_OVERRIDE",M$11)*1,"")))</f>
        <v/>
      </c>
      <c r="N28" s="17" t="str">
        <f ca="1">IF(ISNA($B28),"",IF($B28="","",IFERROR(_xll.BDP(TICKER,"DEEP_MEASURE_PERIOD_BROKER_VALUE","DEEP_MEASURE_ID_OVERRIDE",$C28,"DEEP_BROKER_ID_OVERRIDE",$F$7,"DEEP_PERIOD_OVERRIDE",N$11)*1,"")))</f>
        <v/>
      </c>
      <c r="O28" s="17" t="str">
        <f ca="1">IF(ISNA($B28),"",IF($B28="","",IFERROR(_xll.BDP(TICKER,"DEEP_MEASURE_PERIOD_BROKER_VALUE","DEEP_MEASURE_ID_OVERRIDE",$C28,"DEEP_BROKER_ID_OVERRIDE",$F$7,"DEEP_PERIOD_OVERRIDE",O$11)*1,"")))</f>
        <v/>
      </c>
      <c r="P28" s="17" t="str">
        <f ca="1">IF(ISNA($B28),"",IF($B28="","",IFERROR(_xll.BDP(TICKER,"DEEP_MEASURE_PERIOD_BROKER_VALUE","DEEP_MEASURE_ID_OVERRIDE",$C28,"DEEP_BROKER_ID_OVERRIDE",$F$7,"DEEP_PERIOD_OVERRIDE",P$11)*1,"")))</f>
        <v/>
      </c>
      <c r="Q28" s="17" t="str">
        <f ca="1">IF(ISNA($B28),"",IF($B28="","",IFERROR(_xll.BDP(TICKER,"DEEP_MEASURE_PERIOD_BROKER_VALUE","DEEP_MEASURE_ID_OVERRIDE",$C28,"DEEP_BROKER_ID_OVERRIDE",$F$7,"DEEP_PERIOD_OVERRIDE",Q$11)*1,"")))</f>
        <v/>
      </c>
      <c r="R28" s="17" t="str">
        <f ca="1">IF(ISNA($B28),"",IF($B28="","",IFERROR(_xll.BDP(TICKER,"DEEP_MEASURE_PERIOD_BROKER_VALUE","DEEP_MEASURE_ID_OVERRIDE",$C28,"DEEP_BROKER_ID_OVERRIDE",$F$7,"DEEP_PERIOD_OVERRIDE",R$11)*1,"")))</f>
        <v/>
      </c>
      <c r="S28" s="17" t="str">
        <f ca="1">IF(ISNA($B28),"",IF($B28="","",IFERROR(_xll.BDP(TICKER,"DEEP_MEASURE_PERIOD_BROKER_VALUE","DEEP_MEASURE_ID_OVERRIDE",$C28,"DEEP_BROKER_ID_OVERRIDE",$F$7,"DEEP_PERIOD_OVERRIDE",S$11)*1,"")))</f>
        <v/>
      </c>
      <c r="T28" s="17" t="str">
        <f ca="1">IF(ISNA($B28),"",IF($B28="","",IFERROR(_xll.BDP(TICKER,"DEEP_MEASURE_PERIOD_BROKER_VALUE","DEEP_MEASURE_ID_OVERRIDE",$C28,"DEEP_BROKER_ID_OVERRIDE",$F$7,"DEEP_PERIOD_OVERRIDE",T$11)*1,"")))</f>
        <v/>
      </c>
      <c r="U28" s="17" t="str">
        <f ca="1">IF(ISNA($B28),"",IF($B28="","",IFERROR(_xll.BDP(TICKER,"DEEP_MEASURE_PERIOD_BROKER_VALUE","DEEP_MEASURE_ID_OVERRIDE",$C28,"DEEP_BROKER_ID_OVERRIDE",$F$7,"DEEP_PERIOD_OVERRIDE",U$11)*1,"")))</f>
        <v/>
      </c>
      <c r="V28" s="17" t="str">
        <f ca="1">IF(ISNA($B28),"",IF($B28="","",IFERROR(_xll.BDP(TICKER,"DEEP_MEASURE_PERIOD_BROKER_VALUE","DEEP_MEASURE_ID_OVERRIDE",$C28,"DEEP_BROKER_ID_OVERRIDE",$F$7,"DEEP_PERIOD_OVERRIDE",V$11)*1,"")))</f>
        <v/>
      </c>
      <c r="W28" s="17" t="str">
        <f ca="1">IF(ISNA($B28),"",IF($B28="","",IFERROR(_xll.BDP(TICKER,"DEEP_MEASURE_PERIOD_BROKER_VALUE","DEEP_MEASURE_ID_OVERRIDE",$C28,"DEEP_BROKER_ID_OVERRIDE",$F$7,"DEEP_PERIOD_OVERRIDE",W$11)*1,"")))</f>
        <v/>
      </c>
      <c r="X28" s="17" t="str">
        <f ca="1">IF(ISNA($B28),"",IF($B28="","",IFERROR(_xll.BDP(TICKER,"DEEP_MEASURE_PERIOD_BROKER_VALUE","DEEP_MEASURE_ID_OVERRIDE",$C28,"DEEP_BROKER_ID_OVERRIDE",$F$7,"DEEP_PERIOD_OVERRIDE",X$11)*1,"")))</f>
        <v/>
      </c>
      <c r="Y28" s="17" t="str">
        <f ca="1">IF(ISNA($B28),"",IF($B28="","",IFERROR(_xll.BDP(TICKER,"DEEP_MEASURE_PERIOD_BROKER_VALUE","DEEP_MEASURE_ID_OVERRIDE",$C28,"DEEP_BROKER_ID_OVERRIDE",$F$7,"DEEP_PERIOD_OVERRIDE",Y$11)*1,"")))</f>
        <v/>
      </c>
      <c r="Z28" s="17" t="str">
        <f ca="1">IF(ISNA($B28),"",IF($B28="","",IFERROR(_xll.BDP(TICKER,"DEEP_MEASURE_PERIOD_BROKER_VALUE","DEEP_MEASURE_ID_OVERRIDE",$C28,"DEEP_BROKER_ID_OVERRIDE",$F$7,"DEEP_PERIOD_OVERRIDE",Z$11)*1,"")))</f>
        <v/>
      </c>
      <c r="AA28" s="17" t="str">
        <f ca="1">IF(ISNA($B28),"",IF($B28="","",IFERROR(_xll.BDP(TICKER,"DEEP_MEASURE_PERIOD_BROKER_VALUE","DEEP_MEASURE_ID_OVERRIDE",$C28,"DEEP_BROKER_ID_OVERRIDE",$F$7,"DEEP_PERIOD_OVERRIDE",AA$11)*1,"")))</f>
        <v/>
      </c>
      <c r="AB28" s="17" t="str">
        <f ca="1">IF(ISNA($B28),"",IF($B28="","",IFERROR(_xll.BDP(TICKER,"DEEP_MEASURE_PERIOD_BROKER_VALUE","DEEP_MEASURE_ID_OVERRIDE",$C28,"DEEP_BROKER_ID_OVERRIDE",$F$7,"DEEP_PERIOD_OVERRIDE",AB$11)*1,"")))</f>
        <v/>
      </c>
      <c r="AC28" s="17" t="str">
        <f ca="1">IF(ISNA($B28),"",IF($B28="","",IFERROR(_xll.BDP(TICKER,"DEEP_MEASURE_PERIOD_BROKER_VALUE","DEEP_MEASURE_ID_OVERRIDE",$C28,"DEEP_BROKER_ID_OVERRIDE",$F$7,"DEEP_PERIOD_OVERRIDE",AC$11)*1,"")))</f>
        <v/>
      </c>
      <c r="AD28" s="17" t="str">
        <f ca="1">IF(ISNA($B28),"",IF($B28="","",IFERROR(_xll.BDP(TICKER,"DEEP_MEASURE_PERIOD_BROKER_VALUE","DEEP_MEASURE_ID_OVERRIDE",$C28,"DEEP_BROKER_ID_OVERRIDE",$F$7,"DEEP_PERIOD_OVERRIDE",AD$11)*1,"")))</f>
        <v/>
      </c>
      <c r="AE28" s="17" t="str">
        <f ca="1">IF(ISNA($B28),"",IF($B28="","",IFERROR(_xll.BDP(TICKER,"DEEP_MEASURE_PERIOD_BROKER_VALUE","DEEP_MEASURE_ID_OVERRIDE",$C28,"DEEP_BROKER_ID_OVERRIDE",$F$7,"DEEP_PERIOD_OVERRIDE",AE$11)*1,"")))</f>
        <v/>
      </c>
      <c r="AF28" s="17" t="str">
        <f ca="1">IF(ISNA($B28),"",IF($B28="","",IFERROR(_xll.BDP(TICKER,"DEEP_MEASURE_PERIOD_BROKER_VALUE","DEEP_MEASURE_ID_OVERRIDE",$C28,"DEEP_BROKER_ID_OVERRIDE",$F$7,"DEEP_PERIOD_OVERRIDE",AF$11)*1,"")))</f>
        <v/>
      </c>
      <c r="AG28" s="17" t="str">
        <f ca="1">IF(ISNA($B28),"",IF($B28="","",IFERROR(_xll.BDP(TICKER,"DEEP_MEASURE_PERIOD_BROKER_VALUE","DEEP_MEASURE_ID_OVERRIDE",$C28,"DEEP_BROKER_ID_OVERRIDE",$F$7,"DEEP_PERIOD_OVERRIDE",AG$11)*1,"")))</f>
        <v/>
      </c>
      <c r="AH28" s="17" t="str">
        <f ca="1">IF(ISNA($B28),"",IF($B28="","",IFERROR(_xll.BDP(TICKER,"DEEP_MEASURE_PERIOD_BROKER_VALUE","DEEP_MEASURE_ID_OVERRIDE",$C28,"DEEP_BROKER_ID_OVERRIDE",$F$7,"DEEP_PERIOD_OVERRIDE",AH$11)*1,"")))</f>
        <v/>
      </c>
      <c r="AI28" s="17" t="str">
        <f ca="1">IF(ISNA($B28),"",IF($B28="","",IFERROR(_xll.BDP(TICKER,"DEEP_MEASURE_PERIOD_BROKER_VALUE","DEEP_MEASURE_ID_OVERRIDE",$C28,"DEEP_BROKER_ID_OVERRIDE",$F$7,"DEEP_PERIOD_OVERRIDE",AI$11)*1,"")))</f>
        <v/>
      </c>
      <c r="AJ28" s="17" t="str">
        <f ca="1">IF(ISNA($B28),"",IF($B28="","",IFERROR(_xll.BDP(TICKER,"DEEP_MEASURE_PERIOD_BROKER_VALUE","DEEP_MEASURE_ID_OVERRIDE",$C28,"DEEP_BROKER_ID_OVERRIDE",$F$7,"DEEP_PERIOD_OVERRIDE",AJ$11)*1,"")))</f>
        <v/>
      </c>
      <c r="AK28" s="17" t="str">
        <f ca="1">IF(ISNA($B28),"",IF($B28="","",IFERROR(_xll.BDP(TICKER,"DEEP_MEASURE_PERIOD_BROKER_VALUE","DEEP_MEASURE_ID_OVERRIDE",$C28,"DEEP_BROKER_ID_OVERRIDE",$F$7,"DEEP_PERIOD_OVERRIDE",AK$11)*1,"")))</f>
        <v/>
      </c>
      <c r="AL28" s="17" t="str">
        <f ca="1">IF(ISNA($B28),"",IF($B28="","",IFERROR(_xll.BDP(TICKER,"DEEP_MEASURE_PERIOD_BROKER_VALUE","DEEP_MEASURE_ID_OVERRIDE",$C28,"DEEP_BROKER_ID_OVERRIDE",$F$7,"DEEP_PERIOD_OVERRIDE",AL$11)*1,"")))</f>
        <v/>
      </c>
      <c r="AM28" s="17" t="str">
        <f ca="1">IF(ISNA($B28),"",IF($B28="","",IFERROR(_xll.BDP(TICKER,"DEEP_MEASURE_PERIOD_BROKER_VALUE","DEEP_MEASURE_ID_OVERRIDE",$C28,"DEEP_BROKER_ID_OVERRIDE",$F$7,"DEEP_PERIOD_OVERRIDE",AM$11)*1,"")))</f>
        <v/>
      </c>
      <c r="AN28" s="17" t="str">
        <f ca="1">IF(ISNA($B28),"",IF($B28="","",IFERROR(_xll.BDP(TICKER,"DEEP_MEASURE_PERIOD_BROKER_VALUE","DEEP_MEASURE_ID_OVERRIDE",$C28,"DEEP_BROKER_ID_OVERRIDE",$F$7,"DEEP_PERIOD_OVERRIDE",AN$11)*1,"")))</f>
        <v/>
      </c>
      <c r="AO28" s="17" t="str">
        <f ca="1">IF(ISNA($B28),"",IF($B28="","",IFERROR(_xll.BDP(TICKER,"DEEP_MEASURE_PERIOD_BROKER_VALUE","DEEP_MEASURE_ID_OVERRIDE",$C28,"DEEP_BROKER_ID_OVERRIDE",$F$7,"DEEP_PERIOD_OVERRIDE",AO$11)*1,"")))</f>
        <v/>
      </c>
      <c r="AP28" s="17" t="str">
        <f ca="1">IF(ISNA($B28),"",IF($B28="","",IFERROR(_xll.BDP(TICKER,"DEEP_MEASURE_PERIOD_BROKER_VALUE","DEEP_MEASURE_ID_OVERRIDE",$C28,"DEEP_BROKER_ID_OVERRIDE",$F$7,"DEEP_PERIOD_OVERRIDE",AP$11)*1,"")))</f>
        <v/>
      </c>
      <c r="AQ28" s="17" t="str">
        <f ca="1">IF(ISNA($B28),"",IF($B28="","",IFERROR(_xll.BDP(TICKER,"DEEP_MEASURE_PERIOD_BROKER_VALUE","DEEP_MEASURE_ID_OVERRIDE",$C28,"DEEP_BROKER_ID_OVERRIDE",$F$7,"DEEP_PERIOD_OVERRIDE",AQ$11)*1,"")))</f>
        <v/>
      </c>
    </row>
    <row r="29" spans="2:43" x14ac:dyDescent="0.25">
      <c r="B29" t="s">
        <v>86</v>
      </c>
      <c r="C29" s="11">
        <v>1870</v>
      </c>
      <c r="E29" t="s">
        <v>2</v>
      </c>
      <c r="F29">
        <v>819288</v>
      </c>
      <c r="H29" t="str">
        <f t="shared" si="2"/>
        <v>EBITDA to Free Cash Flow Conversion Rate</v>
      </c>
      <c r="I29" s="17" t="str">
        <f ca="1">IF(ISNA($B29),"",IF($B29="","",IFERROR(_xll.BDP(TICKER,"DEEP_MEASURE_PERIOD_BROKER_VALUE","DEEP_MEASURE_ID_OVERRIDE",$C29,"DEEP_BROKER_ID_OVERRIDE",$F$7,"DEEP_PERIOD_OVERRIDE",I$11)*1,"")))</f>
        <v/>
      </c>
      <c r="J29" s="17" t="str">
        <f ca="1">IF(ISNA($B29),"",IF($B29="","",IFERROR(_xll.BDP(TICKER,"DEEP_MEASURE_PERIOD_BROKER_VALUE","DEEP_MEASURE_ID_OVERRIDE",$C29,"DEEP_BROKER_ID_OVERRIDE",$F$7,"DEEP_PERIOD_OVERRIDE",J$11)*1,"")))</f>
        <v/>
      </c>
      <c r="K29" s="17" t="str">
        <f ca="1">IF(ISNA($B29),"",IF($B29="","",IFERROR(_xll.BDP(TICKER,"DEEP_MEASURE_PERIOD_BROKER_VALUE","DEEP_MEASURE_ID_OVERRIDE",$C29,"DEEP_BROKER_ID_OVERRIDE",$F$7,"DEEP_PERIOD_OVERRIDE",K$11)*1,"")))</f>
        <v/>
      </c>
      <c r="L29" s="17" t="str">
        <f ca="1">IF(ISNA($B29),"",IF($B29="","",IFERROR(_xll.BDP(TICKER,"DEEP_MEASURE_PERIOD_BROKER_VALUE","DEEP_MEASURE_ID_OVERRIDE",$C29,"DEEP_BROKER_ID_OVERRIDE",$F$7,"DEEP_PERIOD_OVERRIDE",L$11)*1,"")))</f>
        <v/>
      </c>
      <c r="M29" s="17" t="str">
        <f ca="1">IF(ISNA($B29),"",IF($B29="","",IFERROR(_xll.BDP(TICKER,"DEEP_MEASURE_PERIOD_BROKER_VALUE","DEEP_MEASURE_ID_OVERRIDE",$C29,"DEEP_BROKER_ID_OVERRIDE",$F$7,"DEEP_PERIOD_OVERRIDE",M$11)*1,"")))</f>
        <v/>
      </c>
      <c r="N29" s="17" t="str">
        <f ca="1">IF(ISNA($B29),"",IF($B29="","",IFERROR(_xll.BDP(TICKER,"DEEP_MEASURE_PERIOD_BROKER_VALUE","DEEP_MEASURE_ID_OVERRIDE",$C29,"DEEP_BROKER_ID_OVERRIDE",$F$7,"DEEP_PERIOD_OVERRIDE",N$11)*1,"")))</f>
        <v/>
      </c>
      <c r="O29" s="17" t="str">
        <f ca="1">IF(ISNA($B29),"",IF($B29="","",IFERROR(_xll.BDP(TICKER,"DEEP_MEASURE_PERIOD_BROKER_VALUE","DEEP_MEASURE_ID_OVERRIDE",$C29,"DEEP_BROKER_ID_OVERRIDE",$F$7,"DEEP_PERIOD_OVERRIDE",O$11)*1,"")))</f>
        <v/>
      </c>
      <c r="P29" s="17" t="str">
        <f ca="1">IF(ISNA($B29),"",IF($B29="","",IFERROR(_xll.BDP(TICKER,"DEEP_MEASURE_PERIOD_BROKER_VALUE","DEEP_MEASURE_ID_OVERRIDE",$C29,"DEEP_BROKER_ID_OVERRIDE",$F$7,"DEEP_PERIOD_OVERRIDE",P$11)*1,"")))</f>
        <v/>
      </c>
      <c r="Q29" s="17" t="str">
        <f ca="1">IF(ISNA($B29),"",IF($B29="","",IFERROR(_xll.BDP(TICKER,"DEEP_MEASURE_PERIOD_BROKER_VALUE","DEEP_MEASURE_ID_OVERRIDE",$C29,"DEEP_BROKER_ID_OVERRIDE",$F$7,"DEEP_PERIOD_OVERRIDE",Q$11)*1,"")))</f>
        <v/>
      </c>
      <c r="R29" s="17" t="str">
        <f ca="1">IF(ISNA($B29),"",IF($B29="","",IFERROR(_xll.BDP(TICKER,"DEEP_MEASURE_PERIOD_BROKER_VALUE","DEEP_MEASURE_ID_OVERRIDE",$C29,"DEEP_BROKER_ID_OVERRIDE",$F$7,"DEEP_PERIOD_OVERRIDE",R$11)*1,"")))</f>
        <v/>
      </c>
      <c r="S29" s="17" t="str">
        <f ca="1">IF(ISNA($B29),"",IF($B29="","",IFERROR(_xll.BDP(TICKER,"DEEP_MEASURE_PERIOD_BROKER_VALUE","DEEP_MEASURE_ID_OVERRIDE",$C29,"DEEP_BROKER_ID_OVERRIDE",$F$7,"DEEP_PERIOD_OVERRIDE",S$11)*1,"")))</f>
        <v/>
      </c>
      <c r="T29" s="17" t="str">
        <f ca="1">IF(ISNA($B29),"",IF($B29="","",IFERROR(_xll.BDP(TICKER,"DEEP_MEASURE_PERIOD_BROKER_VALUE","DEEP_MEASURE_ID_OVERRIDE",$C29,"DEEP_BROKER_ID_OVERRIDE",$F$7,"DEEP_PERIOD_OVERRIDE",T$11)*1,"")))</f>
        <v/>
      </c>
      <c r="U29" s="17" t="str">
        <f ca="1">IF(ISNA($B29),"",IF($B29="","",IFERROR(_xll.BDP(TICKER,"DEEP_MEASURE_PERIOD_BROKER_VALUE","DEEP_MEASURE_ID_OVERRIDE",$C29,"DEEP_BROKER_ID_OVERRIDE",$F$7,"DEEP_PERIOD_OVERRIDE",U$11)*1,"")))</f>
        <v/>
      </c>
      <c r="V29" s="17" t="str">
        <f ca="1">IF(ISNA($B29),"",IF($B29="","",IFERROR(_xll.BDP(TICKER,"DEEP_MEASURE_PERIOD_BROKER_VALUE","DEEP_MEASURE_ID_OVERRIDE",$C29,"DEEP_BROKER_ID_OVERRIDE",$F$7,"DEEP_PERIOD_OVERRIDE",V$11)*1,"")))</f>
        <v/>
      </c>
      <c r="W29" s="17" t="str">
        <f ca="1">IF(ISNA($B29),"",IF($B29="","",IFERROR(_xll.BDP(TICKER,"DEEP_MEASURE_PERIOD_BROKER_VALUE","DEEP_MEASURE_ID_OVERRIDE",$C29,"DEEP_BROKER_ID_OVERRIDE",$F$7,"DEEP_PERIOD_OVERRIDE",W$11)*1,"")))</f>
        <v/>
      </c>
      <c r="X29" s="17" t="str">
        <f ca="1">IF(ISNA($B29),"",IF($B29="","",IFERROR(_xll.BDP(TICKER,"DEEP_MEASURE_PERIOD_BROKER_VALUE","DEEP_MEASURE_ID_OVERRIDE",$C29,"DEEP_BROKER_ID_OVERRIDE",$F$7,"DEEP_PERIOD_OVERRIDE",X$11)*1,"")))</f>
        <v/>
      </c>
      <c r="Y29" s="17" t="str">
        <f ca="1">IF(ISNA($B29),"",IF($B29="","",IFERROR(_xll.BDP(TICKER,"DEEP_MEASURE_PERIOD_BROKER_VALUE","DEEP_MEASURE_ID_OVERRIDE",$C29,"DEEP_BROKER_ID_OVERRIDE",$F$7,"DEEP_PERIOD_OVERRIDE",Y$11)*1,"")))</f>
        <v/>
      </c>
      <c r="Z29" s="17" t="str">
        <f ca="1">IF(ISNA($B29),"",IF($B29="","",IFERROR(_xll.BDP(TICKER,"DEEP_MEASURE_PERIOD_BROKER_VALUE","DEEP_MEASURE_ID_OVERRIDE",$C29,"DEEP_BROKER_ID_OVERRIDE",$F$7,"DEEP_PERIOD_OVERRIDE",Z$11)*1,"")))</f>
        <v/>
      </c>
      <c r="AA29" s="17" t="str">
        <f ca="1">IF(ISNA($B29),"",IF($B29="","",IFERROR(_xll.BDP(TICKER,"DEEP_MEASURE_PERIOD_BROKER_VALUE","DEEP_MEASURE_ID_OVERRIDE",$C29,"DEEP_BROKER_ID_OVERRIDE",$F$7,"DEEP_PERIOD_OVERRIDE",AA$11)*1,"")))</f>
        <v/>
      </c>
      <c r="AB29" s="17" t="str">
        <f ca="1">IF(ISNA($B29),"",IF($B29="","",IFERROR(_xll.BDP(TICKER,"DEEP_MEASURE_PERIOD_BROKER_VALUE","DEEP_MEASURE_ID_OVERRIDE",$C29,"DEEP_BROKER_ID_OVERRIDE",$F$7,"DEEP_PERIOD_OVERRIDE",AB$11)*1,"")))</f>
        <v/>
      </c>
      <c r="AC29" s="17" t="str">
        <f ca="1">IF(ISNA($B29),"",IF($B29="","",IFERROR(_xll.BDP(TICKER,"DEEP_MEASURE_PERIOD_BROKER_VALUE","DEEP_MEASURE_ID_OVERRIDE",$C29,"DEEP_BROKER_ID_OVERRIDE",$F$7,"DEEP_PERIOD_OVERRIDE",AC$11)*1,"")))</f>
        <v/>
      </c>
      <c r="AD29" s="17" t="str">
        <f ca="1">IF(ISNA($B29),"",IF($B29="","",IFERROR(_xll.BDP(TICKER,"DEEP_MEASURE_PERIOD_BROKER_VALUE","DEEP_MEASURE_ID_OVERRIDE",$C29,"DEEP_BROKER_ID_OVERRIDE",$F$7,"DEEP_PERIOD_OVERRIDE",AD$11)*1,"")))</f>
        <v/>
      </c>
      <c r="AE29" s="17" t="str">
        <f ca="1">IF(ISNA($B29),"",IF($B29="","",IFERROR(_xll.BDP(TICKER,"DEEP_MEASURE_PERIOD_BROKER_VALUE","DEEP_MEASURE_ID_OVERRIDE",$C29,"DEEP_BROKER_ID_OVERRIDE",$F$7,"DEEP_PERIOD_OVERRIDE",AE$11)*1,"")))</f>
        <v/>
      </c>
      <c r="AF29" s="17" t="str">
        <f ca="1">IF(ISNA($B29),"",IF($B29="","",IFERROR(_xll.BDP(TICKER,"DEEP_MEASURE_PERIOD_BROKER_VALUE","DEEP_MEASURE_ID_OVERRIDE",$C29,"DEEP_BROKER_ID_OVERRIDE",$F$7,"DEEP_PERIOD_OVERRIDE",AF$11)*1,"")))</f>
        <v/>
      </c>
      <c r="AG29" s="17" t="str">
        <f ca="1">IF(ISNA($B29),"",IF($B29="","",IFERROR(_xll.BDP(TICKER,"DEEP_MEASURE_PERIOD_BROKER_VALUE","DEEP_MEASURE_ID_OVERRIDE",$C29,"DEEP_BROKER_ID_OVERRIDE",$F$7,"DEEP_PERIOD_OVERRIDE",AG$11)*1,"")))</f>
        <v/>
      </c>
      <c r="AH29" s="17" t="str">
        <f ca="1">IF(ISNA($B29),"",IF($B29="","",IFERROR(_xll.BDP(TICKER,"DEEP_MEASURE_PERIOD_BROKER_VALUE","DEEP_MEASURE_ID_OVERRIDE",$C29,"DEEP_BROKER_ID_OVERRIDE",$F$7,"DEEP_PERIOD_OVERRIDE",AH$11)*1,"")))</f>
        <v/>
      </c>
      <c r="AI29" s="17" t="str">
        <f ca="1">IF(ISNA($B29),"",IF($B29="","",IFERROR(_xll.BDP(TICKER,"DEEP_MEASURE_PERIOD_BROKER_VALUE","DEEP_MEASURE_ID_OVERRIDE",$C29,"DEEP_BROKER_ID_OVERRIDE",$F$7,"DEEP_PERIOD_OVERRIDE",AI$11)*1,"")))</f>
        <v/>
      </c>
      <c r="AJ29" s="17" t="str">
        <f ca="1">IF(ISNA($B29),"",IF($B29="","",IFERROR(_xll.BDP(TICKER,"DEEP_MEASURE_PERIOD_BROKER_VALUE","DEEP_MEASURE_ID_OVERRIDE",$C29,"DEEP_BROKER_ID_OVERRIDE",$F$7,"DEEP_PERIOD_OVERRIDE",AJ$11)*1,"")))</f>
        <v/>
      </c>
      <c r="AK29" s="17" t="str">
        <f ca="1">IF(ISNA($B29),"",IF($B29="","",IFERROR(_xll.BDP(TICKER,"DEEP_MEASURE_PERIOD_BROKER_VALUE","DEEP_MEASURE_ID_OVERRIDE",$C29,"DEEP_BROKER_ID_OVERRIDE",$F$7,"DEEP_PERIOD_OVERRIDE",AK$11)*1,"")))</f>
        <v/>
      </c>
      <c r="AL29" s="17" t="str">
        <f ca="1">IF(ISNA($B29),"",IF($B29="","",IFERROR(_xll.BDP(TICKER,"DEEP_MEASURE_PERIOD_BROKER_VALUE","DEEP_MEASURE_ID_OVERRIDE",$C29,"DEEP_BROKER_ID_OVERRIDE",$F$7,"DEEP_PERIOD_OVERRIDE",AL$11)*1,"")))</f>
        <v/>
      </c>
      <c r="AM29" s="17" t="str">
        <f ca="1">IF(ISNA($B29),"",IF($B29="","",IFERROR(_xll.BDP(TICKER,"DEEP_MEASURE_PERIOD_BROKER_VALUE","DEEP_MEASURE_ID_OVERRIDE",$C29,"DEEP_BROKER_ID_OVERRIDE",$F$7,"DEEP_PERIOD_OVERRIDE",AM$11)*1,"")))</f>
        <v/>
      </c>
      <c r="AN29" s="17" t="str">
        <f ca="1">IF(ISNA($B29),"",IF($B29="","",IFERROR(_xll.BDP(TICKER,"DEEP_MEASURE_PERIOD_BROKER_VALUE","DEEP_MEASURE_ID_OVERRIDE",$C29,"DEEP_BROKER_ID_OVERRIDE",$F$7,"DEEP_PERIOD_OVERRIDE",AN$11)*1,"")))</f>
        <v/>
      </c>
      <c r="AO29" s="17" t="str">
        <f ca="1">IF(ISNA($B29),"",IF($B29="","",IFERROR(_xll.BDP(TICKER,"DEEP_MEASURE_PERIOD_BROKER_VALUE","DEEP_MEASURE_ID_OVERRIDE",$C29,"DEEP_BROKER_ID_OVERRIDE",$F$7,"DEEP_PERIOD_OVERRIDE",AO$11)*1,"")))</f>
        <v/>
      </c>
      <c r="AP29" s="17" t="str">
        <f ca="1">IF(ISNA($B29),"",IF($B29="","",IFERROR(_xll.BDP(TICKER,"DEEP_MEASURE_PERIOD_BROKER_VALUE","DEEP_MEASURE_ID_OVERRIDE",$C29,"DEEP_BROKER_ID_OVERRIDE",$F$7,"DEEP_PERIOD_OVERRIDE",AP$11)*1,"")))</f>
        <v/>
      </c>
      <c r="AQ29" s="17" t="str">
        <f ca="1">IF(ISNA($B29),"",IF($B29="","",IFERROR(_xll.BDP(TICKER,"DEEP_MEASURE_PERIOD_BROKER_VALUE","DEEP_MEASURE_ID_OVERRIDE",$C29,"DEEP_BROKER_ID_OVERRIDE",$F$7,"DEEP_PERIOD_OVERRIDE",AQ$11)*1,"")))</f>
        <v/>
      </c>
    </row>
    <row r="30" spans="2:43" x14ac:dyDescent="0.25">
      <c r="B30" t="s">
        <v>41</v>
      </c>
      <c r="C30" s="11">
        <v>9836</v>
      </c>
      <c r="E30" t="s">
        <v>36</v>
      </c>
      <c r="F30">
        <v>976855</v>
      </c>
      <c r="H30" t="str">
        <f t="shared" si="2"/>
        <v>Hotels, Media &amp; Platform &gt; Revenue</v>
      </c>
      <c r="I30" s="17" t="str">
        <f ca="1">IF(ISNA($B30),"",IF($B30="","",IFERROR(_xll.BDP(TICKER,"DEEP_MEASURE_PERIOD_BROKER_VALUE","DEEP_MEASURE_ID_OVERRIDE",$C30,"DEEP_BROKER_ID_OVERRIDE",$F$7,"DEEP_PERIOD_OVERRIDE",I$11)*1,"")))</f>
        <v/>
      </c>
      <c r="J30" s="17" t="str">
        <f ca="1">IF(ISNA($B30),"",IF($B30="","",IFERROR(_xll.BDP(TICKER,"DEEP_MEASURE_PERIOD_BROKER_VALUE","DEEP_MEASURE_ID_OVERRIDE",$C30,"DEEP_BROKER_ID_OVERRIDE",$F$7,"DEEP_PERIOD_OVERRIDE",J$11)*1,"")))</f>
        <v/>
      </c>
      <c r="K30" s="17" t="str">
        <f ca="1">IF(ISNA($B30),"",IF($B30="","",IFERROR(_xll.BDP(TICKER,"DEEP_MEASURE_PERIOD_BROKER_VALUE","DEEP_MEASURE_ID_OVERRIDE",$C30,"DEEP_BROKER_ID_OVERRIDE",$F$7,"DEEP_PERIOD_OVERRIDE",K$11)*1,"")))</f>
        <v/>
      </c>
      <c r="L30" s="17" t="str">
        <f ca="1">IF(ISNA($B30),"",IF($B30="","",IFERROR(_xll.BDP(TICKER,"DEEP_MEASURE_PERIOD_BROKER_VALUE","DEEP_MEASURE_ID_OVERRIDE",$C30,"DEEP_BROKER_ID_OVERRIDE",$F$7,"DEEP_PERIOD_OVERRIDE",L$11)*1,"")))</f>
        <v/>
      </c>
      <c r="M30" s="17" t="str">
        <f ca="1">IF(ISNA($B30),"",IF($B30="","",IFERROR(_xll.BDP(TICKER,"DEEP_MEASURE_PERIOD_BROKER_VALUE","DEEP_MEASURE_ID_OVERRIDE",$C30,"DEEP_BROKER_ID_OVERRIDE",$F$7,"DEEP_PERIOD_OVERRIDE",M$11)*1,"")))</f>
        <v/>
      </c>
      <c r="N30" s="17" t="str">
        <f ca="1">IF(ISNA($B30),"",IF($B30="","",IFERROR(_xll.BDP(TICKER,"DEEP_MEASURE_PERIOD_BROKER_VALUE","DEEP_MEASURE_ID_OVERRIDE",$C30,"DEEP_BROKER_ID_OVERRIDE",$F$7,"DEEP_PERIOD_OVERRIDE",N$11)*1,"")))</f>
        <v/>
      </c>
      <c r="O30" s="17" t="str">
        <f ca="1">IF(ISNA($B30),"",IF($B30="","",IFERROR(_xll.BDP(TICKER,"DEEP_MEASURE_PERIOD_BROKER_VALUE","DEEP_MEASURE_ID_OVERRIDE",$C30,"DEEP_BROKER_ID_OVERRIDE",$F$7,"DEEP_PERIOD_OVERRIDE",O$11)*1,"")))</f>
        <v/>
      </c>
      <c r="P30" s="17" t="str">
        <f ca="1">IF(ISNA($B30),"",IF($B30="","",IFERROR(_xll.BDP(TICKER,"DEEP_MEASURE_PERIOD_BROKER_VALUE","DEEP_MEASURE_ID_OVERRIDE",$C30,"DEEP_BROKER_ID_OVERRIDE",$F$7,"DEEP_PERIOD_OVERRIDE",P$11)*1,"")))</f>
        <v/>
      </c>
      <c r="Q30" s="17" t="str">
        <f ca="1">IF(ISNA($B30),"",IF($B30="","",IFERROR(_xll.BDP(TICKER,"DEEP_MEASURE_PERIOD_BROKER_VALUE","DEEP_MEASURE_ID_OVERRIDE",$C30,"DEEP_BROKER_ID_OVERRIDE",$F$7,"DEEP_PERIOD_OVERRIDE",Q$11)*1,"")))</f>
        <v/>
      </c>
      <c r="R30" s="17" t="str">
        <f ca="1">IF(ISNA($B30),"",IF($B30="","",IFERROR(_xll.BDP(TICKER,"DEEP_MEASURE_PERIOD_BROKER_VALUE","DEEP_MEASURE_ID_OVERRIDE",$C30,"DEEP_BROKER_ID_OVERRIDE",$F$7,"DEEP_PERIOD_OVERRIDE",R$11)*1,"")))</f>
        <v/>
      </c>
      <c r="S30" s="17" t="str">
        <f ca="1">IF(ISNA($B30),"",IF($B30="","",IFERROR(_xll.BDP(TICKER,"DEEP_MEASURE_PERIOD_BROKER_VALUE","DEEP_MEASURE_ID_OVERRIDE",$C30,"DEEP_BROKER_ID_OVERRIDE",$F$7,"DEEP_PERIOD_OVERRIDE",S$11)*1,"")))</f>
        <v/>
      </c>
      <c r="T30" s="17" t="str">
        <f ca="1">IF(ISNA($B30),"",IF($B30="","",IFERROR(_xll.BDP(TICKER,"DEEP_MEASURE_PERIOD_BROKER_VALUE","DEEP_MEASURE_ID_OVERRIDE",$C30,"DEEP_BROKER_ID_OVERRIDE",$F$7,"DEEP_PERIOD_OVERRIDE",T$11)*1,"")))</f>
        <v/>
      </c>
      <c r="U30" s="17" t="str">
        <f ca="1">IF(ISNA($B30),"",IF($B30="","",IFERROR(_xll.BDP(TICKER,"DEEP_MEASURE_PERIOD_BROKER_VALUE","DEEP_MEASURE_ID_OVERRIDE",$C30,"DEEP_BROKER_ID_OVERRIDE",$F$7,"DEEP_PERIOD_OVERRIDE",U$11)*1,"")))</f>
        <v/>
      </c>
      <c r="V30" s="17" t="str">
        <f ca="1">IF(ISNA($B30),"",IF($B30="","",IFERROR(_xll.BDP(TICKER,"DEEP_MEASURE_PERIOD_BROKER_VALUE","DEEP_MEASURE_ID_OVERRIDE",$C30,"DEEP_BROKER_ID_OVERRIDE",$F$7,"DEEP_PERIOD_OVERRIDE",V$11)*1,"")))</f>
        <v/>
      </c>
      <c r="W30" s="17" t="str">
        <f ca="1">IF(ISNA($B30),"",IF($B30="","",IFERROR(_xll.BDP(TICKER,"DEEP_MEASURE_PERIOD_BROKER_VALUE","DEEP_MEASURE_ID_OVERRIDE",$C30,"DEEP_BROKER_ID_OVERRIDE",$F$7,"DEEP_PERIOD_OVERRIDE",W$11)*1,"")))</f>
        <v/>
      </c>
      <c r="X30" s="17" t="str">
        <f ca="1">IF(ISNA($B30),"",IF($B30="","",IFERROR(_xll.BDP(TICKER,"DEEP_MEASURE_PERIOD_BROKER_VALUE","DEEP_MEASURE_ID_OVERRIDE",$C30,"DEEP_BROKER_ID_OVERRIDE",$F$7,"DEEP_PERIOD_OVERRIDE",X$11)*1,"")))</f>
        <v/>
      </c>
      <c r="Y30" s="17" t="str">
        <f ca="1">IF(ISNA($B30),"",IF($B30="","",IFERROR(_xll.BDP(TICKER,"DEEP_MEASURE_PERIOD_BROKER_VALUE","DEEP_MEASURE_ID_OVERRIDE",$C30,"DEEP_BROKER_ID_OVERRIDE",$F$7,"DEEP_PERIOD_OVERRIDE",Y$11)*1,"")))</f>
        <v/>
      </c>
      <c r="Z30" s="17" t="str">
        <f ca="1">IF(ISNA($B30),"",IF($B30="","",IFERROR(_xll.BDP(TICKER,"DEEP_MEASURE_PERIOD_BROKER_VALUE","DEEP_MEASURE_ID_OVERRIDE",$C30,"DEEP_BROKER_ID_OVERRIDE",$F$7,"DEEP_PERIOD_OVERRIDE",Z$11)*1,"")))</f>
        <v/>
      </c>
      <c r="AA30" s="17" t="str">
        <f ca="1">IF(ISNA($B30),"",IF($B30="","",IFERROR(_xll.BDP(TICKER,"DEEP_MEASURE_PERIOD_BROKER_VALUE","DEEP_MEASURE_ID_OVERRIDE",$C30,"DEEP_BROKER_ID_OVERRIDE",$F$7,"DEEP_PERIOD_OVERRIDE",AA$11)*1,"")))</f>
        <v/>
      </c>
      <c r="AB30" s="17" t="str">
        <f ca="1">IF(ISNA($B30),"",IF($B30="","",IFERROR(_xll.BDP(TICKER,"DEEP_MEASURE_PERIOD_BROKER_VALUE","DEEP_MEASURE_ID_OVERRIDE",$C30,"DEEP_BROKER_ID_OVERRIDE",$F$7,"DEEP_PERIOD_OVERRIDE",AB$11)*1,"")))</f>
        <v/>
      </c>
      <c r="AC30" s="17" t="str">
        <f ca="1">IF(ISNA($B30),"",IF($B30="","",IFERROR(_xll.BDP(TICKER,"DEEP_MEASURE_PERIOD_BROKER_VALUE","DEEP_MEASURE_ID_OVERRIDE",$C30,"DEEP_BROKER_ID_OVERRIDE",$F$7,"DEEP_PERIOD_OVERRIDE",AC$11)*1,"")))</f>
        <v/>
      </c>
      <c r="AD30" s="17" t="str">
        <f ca="1">IF(ISNA($B30),"",IF($B30="","",IFERROR(_xll.BDP(TICKER,"DEEP_MEASURE_PERIOD_BROKER_VALUE","DEEP_MEASURE_ID_OVERRIDE",$C30,"DEEP_BROKER_ID_OVERRIDE",$F$7,"DEEP_PERIOD_OVERRIDE",AD$11)*1,"")))</f>
        <v/>
      </c>
      <c r="AE30" s="17" t="str">
        <f ca="1">IF(ISNA($B30),"",IF($B30="","",IFERROR(_xll.BDP(TICKER,"DEEP_MEASURE_PERIOD_BROKER_VALUE","DEEP_MEASURE_ID_OVERRIDE",$C30,"DEEP_BROKER_ID_OVERRIDE",$F$7,"DEEP_PERIOD_OVERRIDE",AE$11)*1,"")))</f>
        <v/>
      </c>
      <c r="AF30" s="17" t="str">
        <f ca="1">IF(ISNA($B30),"",IF($B30="","",IFERROR(_xll.BDP(TICKER,"DEEP_MEASURE_PERIOD_BROKER_VALUE","DEEP_MEASURE_ID_OVERRIDE",$C30,"DEEP_BROKER_ID_OVERRIDE",$F$7,"DEEP_PERIOD_OVERRIDE",AF$11)*1,"")))</f>
        <v/>
      </c>
      <c r="AG30" s="17" t="str">
        <f ca="1">IF(ISNA($B30),"",IF($B30="","",IFERROR(_xll.BDP(TICKER,"DEEP_MEASURE_PERIOD_BROKER_VALUE","DEEP_MEASURE_ID_OVERRIDE",$C30,"DEEP_BROKER_ID_OVERRIDE",$F$7,"DEEP_PERIOD_OVERRIDE",AG$11)*1,"")))</f>
        <v/>
      </c>
      <c r="AH30" s="17" t="str">
        <f ca="1">IF(ISNA($B30),"",IF($B30="","",IFERROR(_xll.BDP(TICKER,"DEEP_MEASURE_PERIOD_BROKER_VALUE","DEEP_MEASURE_ID_OVERRIDE",$C30,"DEEP_BROKER_ID_OVERRIDE",$F$7,"DEEP_PERIOD_OVERRIDE",AH$11)*1,"")))</f>
        <v/>
      </c>
      <c r="AI30" s="17" t="str">
        <f ca="1">IF(ISNA($B30),"",IF($B30="","",IFERROR(_xll.BDP(TICKER,"DEEP_MEASURE_PERIOD_BROKER_VALUE","DEEP_MEASURE_ID_OVERRIDE",$C30,"DEEP_BROKER_ID_OVERRIDE",$F$7,"DEEP_PERIOD_OVERRIDE",AI$11)*1,"")))</f>
        <v/>
      </c>
      <c r="AJ30" s="17" t="str">
        <f ca="1">IF(ISNA($B30),"",IF($B30="","",IFERROR(_xll.BDP(TICKER,"DEEP_MEASURE_PERIOD_BROKER_VALUE","DEEP_MEASURE_ID_OVERRIDE",$C30,"DEEP_BROKER_ID_OVERRIDE",$F$7,"DEEP_PERIOD_OVERRIDE",AJ$11)*1,"")))</f>
        <v/>
      </c>
      <c r="AK30" s="17" t="str">
        <f ca="1">IF(ISNA($B30),"",IF($B30="","",IFERROR(_xll.BDP(TICKER,"DEEP_MEASURE_PERIOD_BROKER_VALUE","DEEP_MEASURE_ID_OVERRIDE",$C30,"DEEP_BROKER_ID_OVERRIDE",$F$7,"DEEP_PERIOD_OVERRIDE",AK$11)*1,"")))</f>
        <v/>
      </c>
      <c r="AL30" s="17" t="str">
        <f ca="1">IF(ISNA($B30),"",IF($B30="","",IFERROR(_xll.BDP(TICKER,"DEEP_MEASURE_PERIOD_BROKER_VALUE","DEEP_MEASURE_ID_OVERRIDE",$C30,"DEEP_BROKER_ID_OVERRIDE",$F$7,"DEEP_PERIOD_OVERRIDE",AL$11)*1,"")))</f>
        <v/>
      </c>
      <c r="AM30" s="17" t="str">
        <f ca="1">IF(ISNA($B30),"",IF($B30="","",IFERROR(_xll.BDP(TICKER,"DEEP_MEASURE_PERIOD_BROKER_VALUE","DEEP_MEASURE_ID_OVERRIDE",$C30,"DEEP_BROKER_ID_OVERRIDE",$F$7,"DEEP_PERIOD_OVERRIDE",AM$11)*1,"")))</f>
        <v/>
      </c>
      <c r="AN30" s="17" t="str">
        <f ca="1">IF(ISNA($B30),"",IF($B30="","",IFERROR(_xll.BDP(TICKER,"DEEP_MEASURE_PERIOD_BROKER_VALUE","DEEP_MEASURE_ID_OVERRIDE",$C30,"DEEP_BROKER_ID_OVERRIDE",$F$7,"DEEP_PERIOD_OVERRIDE",AN$11)*1,"")))</f>
        <v/>
      </c>
      <c r="AO30" s="17" t="str">
        <f ca="1">IF(ISNA($B30),"",IF($B30="","",IFERROR(_xll.BDP(TICKER,"DEEP_MEASURE_PERIOD_BROKER_VALUE","DEEP_MEASURE_ID_OVERRIDE",$C30,"DEEP_BROKER_ID_OVERRIDE",$F$7,"DEEP_PERIOD_OVERRIDE",AO$11)*1,"")))</f>
        <v/>
      </c>
      <c r="AP30" s="17" t="str">
        <f ca="1">IF(ISNA($B30),"",IF($B30="","",IFERROR(_xll.BDP(TICKER,"DEEP_MEASURE_PERIOD_BROKER_VALUE","DEEP_MEASURE_ID_OVERRIDE",$C30,"DEEP_BROKER_ID_OVERRIDE",$F$7,"DEEP_PERIOD_OVERRIDE",AP$11)*1,"")))</f>
        <v/>
      </c>
      <c r="AQ30" s="17" t="str">
        <f ca="1">IF(ISNA($B30),"",IF($B30="","",IFERROR(_xll.BDP(TICKER,"DEEP_MEASURE_PERIOD_BROKER_VALUE","DEEP_MEASURE_ID_OVERRIDE",$C30,"DEEP_BROKER_ID_OVERRIDE",$F$7,"DEEP_PERIOD_OVERRIDE",AQ$11)*1,"")))</f>
        <v/>
      </c>
    </row>
    <row r="31" spans="2:43" x14ac:dyDescent="0.25">
      <c r="B31" t="s">
        <v>87</v>
      </c>
      <c r="C31" s="11">
        <v>9893</v>
      </c>
      <c r="E31" t="s">
        <v>10</v>
      </c>
      <c r="F31">
        <v>7417951</v>
      </c>
      <c r="H31" t="str">
        <f t="shared" si="2"/>
        <v>Hotels, Media &amp; Platform &gt; Revenue &gt; As % of Revenue</v>
      </c>
      <c r="I31" s="17" t="str">
        <f ca="1">IF(ISNA($B31),"",IF($B31="","",IFERROR(_xll.BDP(TICKER,"DEEP_MEASURE_PERIOD_BROKER_VALUE","DEEP_MEASURE_ID_OVERRIDE",$C31,"DEEP_BROKER_ID_OVERRIDE",$F$7,"DEEP_PERIOD_OVERRIDE",I$11)*1,"")))</f>
        <v/>
      </c>
      <c r="J31" s="17" t="str">
        <f ca="1">IF(ISNA($B31),"",IF($B31="","",IFERROR(_xll.BDP(TICKER,"DEEP_MEASURE_PERIOD_BROKER_VALUE","DEEP_MEASURE_ID_OVERRIDE",$C31,"DEEP_BROKER_ID_OVERRIDE",$F$7,"DEEP_PERIOD_OVERRIDE",J$11)*1,"")))</f>
        <v/>
      </c>
      <c r="K31" s="17" t="str">
        <f ca="1">IF(ISNA($B31),"",IF($B31="","",IFERROR(_xll.BDP(TICKER,"DEEP_MEASURE_PERIOD_BROKER_VALUE","DEEP_MEASURE_ID_OVERRIDE",$C31,"DEEP_BROKER_ID_OVERRIDE",$F$7,"DEEP_PERIOD_OVERRIDE",K$11)*1,"")))</f>
        <v/>
      </c>
      <c r="L31" s="17" t="str">
        <f ca="1">IF(ISNA($B31),"",IF($B31="","",IFERROR(_xll.BDP(TICKER,"DEEP_MEASURE_PERIOD_BROKER_VALUE","DEEP_MEASURE_ID_OVERRIDE",$C31,"DEEP_BROKER_ID_OVERRIDE",$F$7,"DEEP_PERIOD_OVERRIDE",L$11)*1,"")))</f>
        <v/>
      </c>
      <c r="M31" s="17" t="str">
        <f ca="1">IF(ISNA($B31),"",IF($B31="","",IFERROR(_xll.BDP(TICKER,"DEEP_MEASURE_PERIOD_BROKER_VALUE","DEEP_MEASURE_ID_OVERRIDE",$C31,"DEEP_BROKER_ID_OVERRIDE",$F$7,"DEEP_PERIOD_OVERRIDE",M$11)*1,"")))</f>
        <v/>
      </c>
      <c r="N31" s="17" t="str">
        <f ca="1">IF(ISNA($B31),"",IF($B31="","",IFERROR(_xll.BDP(TICKER,"DEEP_MEASURE_PERIOD_BROKER_VALUE","DEEP_MEASURE_ID_OVERRIDE",$C31,"DEEP_BROKER_ID_OVERRIDE",$F$7,"DEEP_PERIOD_OVERRIDE",N$11)*1,"")))</f>
        <v/>
      </c>
      <c r="O31" s="17" t="str">
        <f ca="1">IF(ISNA($B31),"",IF($B31="","",IFERROR(_xll.BDP(TICKER,"DEEP_MEASURE_PERIOD_BROKER_VALUE","DEEP_MEASURE_ID_OVERRIDE",$C31,"DEEP_BROKER_ID_OVERRIDE",$F$7,"DEEP_PERIOD_OVERRIDE",O$11)*1,"")))</f>
        <v/>
      </c>
      <c r="P31" s="17" t="str">
        <f ca="1">IF(ISNA($B31),"",IF($B31="","",IFERROR(_xll.BDP(TICKER,"DEEP_MEASURE_PERIOD_BROKER_VALUE","DEEP_MEASURE_ID_OVERRIDE",$C31,"DEEP_BROKER_ID_OVERRIDE",$F$7,"DEEP_PERIOD_OVERRIDE",P$11)*1,"")))</f>
        <v/>
      </c>
      <c r="Q31" s="17" t="str">
        <f ca="1">IF(ISNA($B31),"",IF($B31="","",IFERROR(_xll.BDP(TICKER,"DEEP_MEASURE_PERIOD_BROKER_VALUE","DEEP_MEASURE_ID_OVERRIDE",$C31,"DEEP_BROKER_ID_OVERRIDE",$F$7,"DEEP_PERIOD_OVERRIDE",Q$11)*1,"")))</f>
        <v/>
      </c>
      <c r="R31" s="17" t="str">
        <f ca="1">IF(ISNA($B31),"",IF($B31="","",IFERROR(_xll.BDP(TICKER,"DEEP_MEASURE_PERIOD_BROKER_VALUE","DEEP_MEASURE_ID_OVERRIDE",$C31,"DEEP_BROKER_ID_OVERRIDE",$F$7,"DEEP_PERIOD_OVERRIDE",R$11)*1,"")))</f>
        <v/>
      </c>
      <c r="S31" s="17" t="str">
        <f ca="1">IF(ISNA($B31),"",IF($B31="","",IFERROR(_xll.BDP(TICKER,"DEEP_MEASURE_PERIOD_BROKER_VALUE","DEEP_MEASURE_ID_OVERRIDE",$C31,"DEEP_BROKER_ID_OVERRIDE",$F$7,"DEEP_PERIOD_OVERRIDE",S$11)*1,"")))</f>
        <v/>
      </c>
      <c r="T31" s="17" t="str">
        <f ca="1">IF(ISNA($B31),"",IF($B31="","",IFERROR(_xll.BDP(TICKER,"DEEP_MEASURE_PERIOD_BROKER_VALUE","DEEP_MEASURE_ID_OVERRIDE",$C31,"DEEP_BROKER_ID_OVERRIDE",$F$7,"DEEP_PERIOD_OVERRIDE",T$11)*1,"")))</f>
        <v/>
      </c>
      <c r="U31" s="17" t="str">
        <f ca="1">IF(ISNA($B31),"",IF($B31="","",IFERROR(_xll.BDP(TICKER,"DEEP_MEASURE_PERIOD_BROKER_VALUE","DEEP_MEASURE_ID_OVERRIDE",$C31,"DEEP_BROKER_ID_OVERRIDE",$F$7,"DEEP_PERIOD_OVERRIDE",U$11)*1,"")))</f>
        <v/>
      </c>
      <c r="V31" s="17" t="str">
        <f ca="1">IF(ISNA($B31),"",IF($B31="","",IFERROR(_xll.BDP(TICKER,"DEEP_MEASURE_PERIOD_BROKER_VALUE","DEEP_MEASURE_ID_OVERRIDE",$C31,"DEEP_BROKER_ID_OVERRIDE",$F$7,"DEEP_PERIOD_OVERRIDE",V$11)*1,"")))</f>
        <v/>
      </c>
      <c r="W31" s="17" t="str">
        <f ca="1">IF(ISNA($B31),"",IF($B31="","",IFERROR(_xll.BDP(TICKER,"DEEP_MEASURE_PERIOD_BROKER_VALUE","DEEP_MEASURE_ID_OVERRIDE",$C31,"DEEP_BROKER_ID_OVERRIDE",$F$7,"DEEP_PERIOD_OVERRIDE",W$11)*1,"")))</f>
        <v/>
      </c>
      <c r="X31" s="17" t="str">
        <f ca="1">IF(ISNA($B31),"",IF($B31="","",IFERROR(_xll.BDP(TICKER,"DEEP_MEASURE_PERIOD_BROKER_VALUE","DEEP_MEASURE_ID_OVERRIDE",$C31,"DEEP_BROKER_ID_OVERRIDE",$F$7,"DEEP_PERIOD_OVERRIDE",X$11)*1,"")))</f>
        <v/>
      </c>
      <c r="Y31" s="17" t="str">
        <f ca="1">IF(ISNA($B31),"",IF($B31="","",IFERROR(_xll.BDP(TICKER,"DEEP_MEASURE_PERIOD_BROKER_VALUE","DEEP_MEASURE_ID_OVERRIDE",$C31,"DEEP_BROKER_ID_OVERRIDE",$F$7,"DEEP_PERIOD_OVERRIDE",Y$11)*1,"")))</f>
        <v/>
      </c>
      <c r="Z31" s="17" t="str">
        <f ca="1">IF(ISNA($B31),"",IF($B31="","",IFERROR(_xll.BDP(TICKER,"DEEP_MEASURE_PERIOD_BROKER_VALUE","DEEP_MEASURE_ID_OVERRIDE",$C31,"DEEP_BROKER_ID_OVERRIDE",$F$7,"DEEP_PERIOD_OVERRIDE",Z$11)*1,"")))</f>
        <v/>
      </c>
      <c r="AA31" s="17" t="str">
        <f ca="1">IF(ISNA($B31),"",IF($B31="","",IFERROR(_xll.BDP(TICKER,"DEEP_MEASURE_PERIOD_BROKER_VALUE","DEEP_MEASURE_ID_OVERRIDE",$C31,"DEEP_BROKER_ID_OVERRIDE",$F$7,"DEEP_PERIOD_OVERRIDE",AA$11)*1,"")))</f>
        <v/>
      </c>
      <c r="AB31" s="17" t="str">
        <f ca="1">IF(ISNA($B31),"",IF($B31="","",IFERROR(_xll.BDP(TICKER,"DEEP_MEASURE_PERIOD_BROKER_VALUE","DEEP_MEASURE_ID_OVERRIDE",$C31,"DEEP_BROKER_ID_OVERRIDE",$F$7,"DEEP_PERIOD_OVERRIDE",AB$11)*1,"")))</f>
        <v/>
      </c>
      <c r="AC31" s="17" t="str">
        <f ca="1">IF(ISNA($B31),"",IF($B31="","",IFERROR(_xll.BDP(TICKER,"DEEP_MEASURE_PERIOD_BROKER_VALUE","DEEP_MEASURE_ID_OVERRIDE",$C31,"DEEP_BROKER_ID_OVERRIDE",$F$7,"DEEP_PERIOD_OVERRIDE",AC$11)*1,"")))</f>
        <v/>
      </c>
      <c r="AD31" s="17" t="str">
        <f ca="1">IF(ISNA($B31),"",IF($B31="","",IFERROR(_xll.BDP(TICKER,"DEEP_MEASURE_PERIOD_BROKER_VALUE","DEEP_MEASURE_ID_OVERRIDE",$C31,"DEEP_BROKER_ID_OVERRIDE",$F$7,"DEEP_PERIOD_OVERRIDE",AD$11)*1,"")))</f>
        <v/>
      </c>
      <c r="AE31" s="17" t="str">
        <f ca="1">IF(ISNA($B31),"",IF($B31="","",IFERROR(_xll.BDP(TICKER,"DEEP_MEASURE_PERIOD_BROKER_VALUE","DEEP_MEASURE_ID_OVERRIDE",$C31,"DEEP_BROKER_ID_OVERRIDE",$F$7,"DEEP_PERIOD_OVERRIDE",AE$11)*1,"")))</f>
        <v/>
      </c>
      <c r="AF31" s="17" t="str">
        <f ca="1">IF(ISNA($B31),"",IF($B31="","",IFERROR(_xll.BDP(TICKER,"DEEP_MEASURE_PERIOD_BROKER_VALUE","DEEP_MEASURE_ID_OVERRIDE",$C31,"DEEP_BROKER_ID_OVERRIDE",$F$7,"DEEP_PERIOD_OVERRIDE",AF$11)*1,"")))</f>
        <v/>
      </c>
      <c r="AG31" s="17" t="str">
        <f ca="1">IF(ISNA($B31),"",IF($B31="","",IFERROR(_xll.BDP(TICKER,"DEEP_MEASURE_PERIOD_BROKER_VALUE","DEEP_MEASURE_ID_OVERRIDE",$C31,"DEEP_BROKER_ID_OVERRIDE",$F$7,"DEEP_PERIOD_OVERRIDE",AG$11)*1,"")))</f>
        <v/>
      </c>
      <c r="AH31" s="17" t="str">
        <f ca="1">IF(ISNA($B31),"",IF($B31="","",IFERROR(_xll.BDP(TICKER,"DEEP_MEASURE_PERIOD_BROKER_VALUE","DEEP_MEASURE_ID_OVERRIDE",$C31,"DEEP_BROKER_ID_OVERRIDE",$F$7,"DEEP_PERIOD_OVERRIDE",AH$11)*1,"")))</f>
        <v/>
      </c>
      <c r="AI31" s="17" t="str">
        <f ca="1">IF(ISNA($B31),"",IF($B31="","",IFERROR(_xll.BDP(TICKER,"DEEP_MEASURE_PERIOD_BROKER_VALUE","DEEP_MEASURE_ID_OVERRIDE",$C31,"DEEP_BROKER_ID_OVERRIDE",$F$7,"DEEP_PERIOD_OVERRIDE",AI$11)*1,"")))</f>
        <v/>
      </c>
      <c r="AJ31" s="17" t="str">
        <f ca="1">IF(ISNA($B31),"",IF($B31="","",IFERROR(_xll.BDP(TICKER,"DEEP_MEASURE_PERIOD_BROKER_VALUE","DEEP_MEASURE_ID_OVERRIDE",$C31,"DEEP_BROKER_ID_OVERRIDE",$F$7,"DEEP_PERIOD_OVERRIDE",AJ$11)*1,"")))</f>
        <v/>
      </c>
      <c r="AK31" s="17" t="str">
        <f ca="1">IF(ISNA($B31),"",IF($B31="","",IFERROR(_xll.BDP(TICKER,"DEEP_MEASURE_PERIOD_BROKER_VALUE","DEEP_MEASURE_ID_OVERRIDE",$C31,"DEEP_BROKER_ID_OVERRIDE",$F$7,"DEEP_PERIOD_OVERRIDE",AK$11)*1,"")))</f>
        <v/>
      </c>
      <c r="AL31" s="17" t="str">
        <f ca="1">IF(ISNA($B31),"",IF($B31="","",IFERROR(_xll.BDP(TICKER,"DEEP_MEASURE_PERIOD_BROKER_VALUE","DEEP_MEASURE_ID_OVERRIDE",$C31,"DEEP_BROKER_ID_OVERRIDE",$F$7,"DEEP_PERIOD_OVERRIDE",AL$11)*1,"")))</f>
        <v/>
      </c>
      <c r="AM31" s="17" t="str">
        <f ca="1">IF(ISNA($B31),"",IF($B31="","",IFERROR(_xll.BDP(TICKER,"DEEP_MEASURE_PERIOD_BROKER_VALUE","DEEP_MEASURE_ID_OVERRIDE",$C31,"DEEP_BROKER_ID_OVERRIDE",$F$7,"DEEP_PERIOD_OVERRIDE",AM$11)*1,"")))</f>
        <v/>
      </c>
      <c r="AN31" s="17" t="str">
        <f ca="1">IF(ISNA($B31),"",IF($B31="","",IFERROR(_xll.BDP(TICKER,"DEEP_MEASURE_PERIOD_BROKER_VALUE","DEEP_MEASURE_ID_OVERRIDE",$C31,"DEEP_BROKER_ID_OVERRIDE",$F$7,"DEEP_PERIOD_OVERRIDE",AN$11)*1,"")))</f>
        <v/>
      </c>
      <c r="AO31" s="17" t="str">
        <f ca="1">IF(ISNA($B31),"",IF($B31="","",IFERROR(_xll.BDP(TICKER,"DEEP_MEASURE_PERIOD_BROKER_VALUE","DEEP_MEASURE_ID_OVERRIDE",$C31,"DEEP_BROKER_ID_OVERRIDE",$F$7,"DEEP_PERIOD_OVERRIDE",AO$11)*1,"")))</f>
        <v/>
      </c>
      <c r="AP31" s="17" t="str">
        <f ca="1">IF(ISNA($B31),"",IF($B31="","",IFERROR(_xll.BDP(TICKER,"DEEP_MEASURE_PERIOD_BROKER_VALUE","DEEP_MEASURE_ID_OVERRIDE",$C31,"DEEP_BROKER_ID_OVERRIDE",$F$7,"DEEP_PERIOD_OVERRIDE",AP$11)*1,"")))</f>
        <v/>
      </c>
      <c r="AQ31" s="17" t="str">
        <f ca="1">IF(ISNA($B31),"",IF($B31="","",IFERROR(_xll.BDP(TICKER,"DEEP_MEASURE_PERIOD_BROKER_VALUE","DEEP_MEASURE_ID_OVERRIDE",$C31,"DEEP_BROKER_ID_OVERRIDE",$F$7,"DEEP_PERIOD_OVERRIDE",AQ$11)*1,"")))</f>
        <v/>
      </c>
    </row>
    <row r="32" spans="2:43" x14ac:dyDescent="0.25">
      <c r="B32" t="s">
        <v>88</v>
      </c>
      <c r="C32" s="11">
        <v>9895</v>
      </c>
      <c r="E32" t="s">
        <v>79</v>
      </c>
      <c r="F32">
        <v>8096755</v>
      </c>
      <c r="H32" t="str">
        <f t="shared" si="2"/>
        <v>Hotels, Media &amp; Platform &gt; Revenue &gt; YoY Growth (%)</v>
      </c>
      <c r="I32" s="17" t="str">
        <f ca="1">IF(ISNA($B32),"",IF($B32="","",IFERROR(_xll.BDP(TICKER,"DEEP_MEASURE_PERIOD_BROKER_VALUE","DEEP_MEASURE_ID_OVERRIDE",$C32,"DEEP_BROKER_ID_OVERRIDE",$F$7,"DEEP_PERIOD_OVERRIDE",I$11)*1,"")))</f>
        <v/>
      </c>
      <c r="J32" s="17" t="str">
        <f ca="1">IF(ISNA($B32),"",IF($B32="","",IFERROR(_xll.BDP(TICKER,"DEEP_MEASURE_PERIOD_BROKER_VALUE","DEEP_MEASURE_ID_OVERRIDE",$C32,"DEEP_BROKER_ID_OVERRIDE",$F$7,"DEEP_PERIOD_OVERRIDE",J$11)*1,"")))</f>
        <v/>
      </c>
      <c r="K32" s="17" t="str">
        <f ca="1">IF(ISNA($B32),"",IF($B32="","",IFERROR(_xll.BDP(TICKER,"DEEP_MEASURE_PERIOD_BROKER_VALUE","DEEP_MEASURE_ID_OVERRIDE",$C32,"DEEP_BROKER_ID_OVERRIDE",$F$7,"DEEP_PERIOD_OVERRIDE",K$11)*1,"")))</f>
        <v/>
      </c>
      <c r="L32" s="17" t="str">
        <f ca="1">IF(ISNA($B32),"",IF($B32="","",IFERROR(_xll.BDP(TICKER,"DEEP_MEASURE_PERIOD_BROKER_VALUE","DEEP_MEASURE_ID_OVERRIDE",$C32,"DEEP_BROKER_ID_OVERRIDE",$F$7,"DEEP_PERIOD_OVERRIDE",L$11)*1,"")))</f>
        <v/>
      </c>
      <c r="M32" s="17" t="str">
        <f ca="1">IF(ISNA($B32),"",IF($B32="","",IFERROR(_xll.BDP(TICKER,"DEEP_MEASURE_PERIOD_BROKER_VALUE","DEEP_MEASURE_ID_OVERRIDE",$C32,"DEEP_BROKER_ID_OVERRIDE",$F$7,"DEEP_PERIOD_OVERRIDE",M$11)*1,"")))</f>
        <v/>
      </c>
      <c r="N32" s="17" t="str">
        <f ca="1">IF(ISNA($B32),"",IF($B32="","",IFERROR(_xll.BDP(TICKER,"DEEP_MEASURE_PERIOD_BROKER_VALUE","DEEP_MEASURE_ID_OVERRIDE",$C32,"DEEP_BROKER_ID_OVERRIDE",$F$7,"DEEP_PERIOD_OVERRIDE",N$11)*1,"")))</f>
        <v/>
      </c>
      <c r="O32" s="17" t="str">
        <f ca="1">IF(ISNA($B32),"",IF($B32="","",IFERROR(_xll.BDP(TICKER,"DEEP_MEASURE_PERIOD_BROKER_VALUE","DEEP_MEASURE_ID_OVERRIDE",$C32,"DEEP_BROKER_ID_OVERRIDE",$F$7,"DEEP_PERIOD_OVERRIDE",O$11)*1,"")))</f>
        <v/>
      </c>
      <c r="P32" s="17" t="str">
        <f ca="1">IF(ISNA($B32),"",IF($B32="","",IFERROR(_xll.BDP(TICKER,"DEEP_MEASURE_PERIOD_BROKER_VALUE","DEEP_MEASURE_ID_OVERRIDE",$C32,"DEEP_BROKER_ID_OVERRIDE",$F$7,"DEEP_PERIOD_OVERRIDE",P$11)*1,"")))</f>
        <v/>
      </c>
      <c r="Q32" s="17" t="str">
        <f ca="1">IF(ISNA($B32),"",IF($B32="","",IFERROR(_xll.BDP(TICKER,"DEEP_MEASURE_PERIOD_BROKER_VALUE","DEEP_MEASURE_ID_OVERRIDE",$C32,"DEEP_BROKER_ID_OVERRIDE",$F$7,"DEEP_PERIOD_OVERRIDE",Q$11)*1,"")))</f>
        <v/>
      </c>
      <c r="R32" s="17" t="str">
        <f ca="1">IF(ISNA($B32),"",IF($B32="","",IFERROR(_xll.BDP(TICKER,"DEEP_MEASURE_PERIOD_BROKER_VALUE","DEEP_MEASURE_ID_OVERRIDE",$C32,"DEEP_BROKER_ID_OVERRIDE",$F$7,"DEEP_PERIOD_OVERRIDE",R$11)*1,"")))</f>
        <v/>
      </c>
      <c r="S32" s="17" t="str">
        <f ca="1">IF(ISNA($B32),"",IF($B32="","",IFERROR(_xll.BDP(TICKER,"DEEP_MEASURE_PERIOD_BROKER_VALUE","DEEP_MEASURE_ID_OVERRIDE",$C32,"DEEP_BROKER_ID_OVERRIDE",$F$7,"DEEP_PERIOD_OVERRIDE",S$11)*1,"")))</f>
        <v/>
      </c>
      <c r="T32" s="17" t="str">
        <f ca="1">IF(ISNA($B32),"",IF($B32="","",IFERROR(_xll.BDP(TICKER,"DEEP_MEASURE_PERIOD_BROKER_VALUE","DEEP_MEASURE_ID_OVERRIDE",$C32,"DEEP_BROKER_ID_OVERRIDE",$F$7,"DEEP_PERIOD_OVERRIDE",T$11)*1,"")))</f>
        <v/>
      </c>
      <c r="U32" s="17" t="str">
        <f ca="1">IF(ISNA($B32),"",IF($B32="","",IFERROR(_xll.BDP(TICKER,"DEEP_MEASURE_PERIOD_BROKER_VALUE","DEEP_MEASURE_ID_OVERRIDE",$C32,"DEEP_BROKER_ID_OVERRIDE",$F$7,"DEEP_PERIOD_OVERRIDE",U$11)*1,"")))</f>
        <v/>
      </c>
      <c r="V32" s="17" t="str">
        <f ca="1">IF(ISNA($B32),"",IF($B32="","",IFERROR(_xll.BDP(TICKER,"DEEP_MEASURE_PERIOD_BROKER_VALUE","DEEP_MEASURE_ID_OVERRIDE",$C32,"DEEP_BROKER_ID_OVERRIDE",$F$7,"DEEP_PERIOD_OVERRIDE",V$11)*1,"")))</f>
        <v/>
      </c>
      <c r="W32" s="17" t="str">
        <f ca="1">IF(ISNA($B32),"",IF($B32="","",IFERROR(_xll.BDP(TICKER,"DEEP_MEASURE_PERIOD_BROKER_VALUE","DEEP_MEASURE_ID_OVERRIDE",$C32,"DEEP_BROKER_ID_OVERRIDE",$F$7,"DEEP_PERIOD_OVERRIDE",W$11)*1,"")))</f>
        <v/>
      </c>
      <c r="X32" s="17" t="str">
        <f ca="1">IF(ISNA($B32),"",IF($B32="","",IFERROR(_xll.BDP(TICKER,"DEEP_MEASURE_PERIOD_BROKER_VALUE","DEEP_MEASURE_ID_OVERRIDE",$C32,"DEEP_BROKER_ID_OVERRIDE",$F$7,"DEEP_PERIOD_OVERRIDE",X$11)*1,"")))</f>
        <v/>
      </c>
      <c r="Y32" s="17" t="str">
        <f ca="1">IF(ISNA($B32),"",IF($B32="","",IFERROR(_xll.BDP(TICKER,"DEEP_MEASURE_PERIOD_BROKER_VALUE","DEEP_MEASURE_ID_OVERRIDE",$C32,"DEEP_BROKER_ID_OVERRIDE",$F$7,"DEEP_PERIOD_OVERRIDE",Y$11)*1,"")))</f>
        <v/>
      </c>
      <c r="Z32" s="17" t="str">
        <f ca="1">IF(ISNA($B32),"",IF($B32="","",IFERROR(_xll.BDP(TICKER,"DEEP_MEASURE_PERIOD_BROKER_VALUE","DEEP_MEASURE_ID_OVERRIDE",$C32,"DEEP_BROKER_ID_OVERRIDE",$F$7,"DEEP_PERIOD_OVERRIDE",Z$11)*1,"")))</f>
        <v/>
      </c>
      <c r="AA32" s="17" t="str">
        <f ca="1">IF(ISNA($B32),"",IF($B32="","",IFERROR(_xll.BDP(TICKER,"DEEP_MEASURE_PERIOD_BROKER_VALUE","DEEP_MEASURE_ID_OVERRIDE",$C32,"DEEP_BROKER_ID_OVERRIDE",$F$7,"DEEP_PERIOD_OVERRIDE",AA$11)*1,"")))</f>
        <v/>
      </c>
      <c r="AB32" s="17" t="str">
        <f ca="1">IF(ISNA($B32),"",IF($B32="","",IFERROR(_xll.BDP(TICKER,"DEEP_MEASURE_PERIOD_BROKER_VALUE","DEEP_MEASURE_ID_OVERRIDE",$C32,"DEEP_BROKER_ID_OVERRIDE",$F$7,"DEEP_PERIOD_OVERRIDE",AB$11)*1,"")))</f>
        <v/>
      </c>
      <c r="AC32" s="17" t="str">
        <f ca="1">IF(ISNA($B32),"",IF($B32="","",IFERROR(_xll.BDP(TICKER,"DEEP_MEASURE_PERIOD_BROKER_VALUE","DEEP_MEASURE_ID_OVERRIDE",$C32,"DEEP_BROKER_ID_OVERRIDE",$F$7,"DEEP_PERIOD_OVERRIDE",AC$11)*1,"")))</f>
        <v/>
      </c>
      <c r="AD32" s="17" t="str">
        <f ca="1">IF(ISNA($B32),"",IF($B32="","",IFERROR(_xll.BDP(TICKER,"DEEP_MEASURE_PERIOD_BROKER_VALUE","DEEP_MEASURE_ID_OVERRIDE",$C32,"DEEP_BROKER_ID_OVERRIDE",$F$7,"DEEP_PERIOD_OVERRIDE",AD$11)*1,"")))</f>
        <v/>
      </c>
      <c r="AE32" s="17" t="str">
        <f ca="1">IF(ISNA($B32),"",IF($B32="","",IFERROR(_xll.BDP(TICKER,"DEEP_MEASURE_PERIOD_BROKER_VALUE","DEEP_MEASURE_ID_OVERRIDE",$C32,"DEEP_BROKER_ID_OVERRIDE",$F$7,"DEEP_PERIOD_OVERRIDE",AE$11)*1,"")))</f>
        <v/>
      </c>
      <c r="AF32" s="17" t="str">
        <f ca="1">IF(ISNA($B32),"",IF($B32="","",IFERROR(_xll.BDP(TICKER,"DEEP_MEASURE_PERIOD_BROKER_VALUE","DEEP_MEASURE_ID_OVERRIDE",$C32,"DEEP_BROKER_ID_OVERRIDE",$F$7,"DEEP_PERIOD_OVERRIDE",AF$11)*1,"")))</f>
        <v/>
      </c>
      <c r="AG32" s="17" t="str">
        <f ca="1">IF(ISNA($B32),"",IF($B32="","",IFERROR(_xll.BDP(TICKER,"DEEP_MEASURE_PERIOD_BROKER_VALUE","DEEP_MEASURE_ID_OVERRIDE",$C32,"DEEP_BROKER_ID_OVERRIDE",$F$7,"DEEP_PERIOD_OVERRIDE",AG$11)*1,"")))</f>
        <v/>
      </c>
      <c r="AH32" s="17" t="str">
        <f ca="1">IF(ISNA($B32),"",IF($B32="","",IFERROR(_xll.BDP(TICKER,"DEEP_MEASURE_PERIOD_BROKER_VALUE","DEEP_MEASURE_ID_OVERRIDE",$C32,"DEEP_BROKER_ID_OVERRIDE",$F$7,"DEEP_PERIOD_OVERRIDE",AH$11)*1,"")))</f>
        <v/>
      </c>
      <c r="AI32" s="17" t="str">
        <f ca="1">IF(ISNA($B32),"",IF($B32="","",IFERROR(_xll.BDP(TICKER,"DEEP_MEASURE_PERIOD_BROKER_VALUE","DEEP_MEASURE_ID_OVERRIDE",$C32,"DEEP_BROKER_ID_OVERRIDE",$F$7,"DEEP_PERIOD_OVERRIDE",AI$11)*1,"")))</f>
        <v/>
      </c>
      <c r="AJ32" s="17" t="str">
        <f ca="1">IF(ISNA($B32),"",IF($B32="","",IFERROR(_xll.BDP(TICKER,"DEEP_MEASURE_PERIOD_BROKER_VALUE","DEEP_MEASURE_ID_OVERRIDE",$C32,"DEEP_BROKER_ID_OVERRIDE",$F$7,"DEEP_PERIOD_OVERRIDE",AJ$11)*1,"")))</f>
        <v/>
      </c>
      <c r="AK32" s="17" t="str">
        <f ca="1">IF(ISNA($B32),"",IF($B32="","",IFERROR(_xll.BDP(TICKER,"DEEP_MEASURE_PERIOD_BROKER_VALUE","DEEP_MEASURE_ID_OVERRIDE",$C32,"DEEP_BROKER_ID_OVERRIDE",$F$7,"DEEP_PERIOD_OVERRIDE",AK$11)*1,"")))</f>
        <v/>
      </c>
      <c r="AL32" s="17" t="str">
        <f ca="1">IF(ISNA($B32),"",IF($B32="","",IFERROR(_xll.BDP(TICKER,"DEEP_MEASURE_PERIOD_BROKER_VALUE","DEEP_MEASURE_ID_OVERRIDE",$C32,"DEEP_BROKER_ID_OVERRIDE",$F$7,"DEEP_PERIOD_OVERRIDE",AL$11)*1,"")))</f>
        <v/>
      </c>
      <c r="AM32" s="17" t="str">
        <f ca="1">IF(ISNA($B32),"",IF($B32="","",IFERROR(_xll.BDP(TICKER,"DEEP_MEASURE_PERIOD_BROKER_VALUE","DEEP_MEASURE_ID_OVERRIDE",$C32,"DEEP_BROKER_ID_OVERRIDE",$F$7,"DEEP_PERIOD_OVERRIDE",AM$11)*1,"")))</f>
        <v/>
      </c>
      <c r="AN32" s="17" t="str">
        <f ca="1">IF(ISNA($B32),"",IF($B32="","",IFERROR(_xll.BDP(TICKER,"DEEP_MEASURE_PERIOD_BROKER_VALUE","DEEP_MEASURE_ID_OVERRIDE",$C32,"DEEP_BROKER_ID_OVERRIDE",$F$7,"DEEP_PERIOD_OVERRIDE",AN$11)*1,"")))</f>
        <v/>
      </c>
      <c r="AO32" s="17" t="str">
        <f ca="1">IF(ISNA($B32),"",IF($B32="","",IFERROR(_xll.BDP(TICKER,"DEEP_MEASURE_PERIOD_BROKER_VALUE","DEEP_MEASURE_ID_OVERRIDE",$C32,"DEEP_BROKER_ID_OVERRIDE",$F$7,"DEEP_PERIOD_OVERRIDE",AO$11)*1,"")))</f>
        <v/>
      </c>
      <c r="AP32" s="17" t="str">
        <f ca="1">IF(ISNA($B32),"",IF($B32="","",IFERROR(_xll.BDP(TICKER,"DEEP_MEASURE_PERIOD_BROKER_VALUE","DEEP_MEASURE_ID_OVERRIDE",$C32,"DEEP_BROKER_ID_OVERRIDE",$F$7,"DEEP_PERIOD_OVERRIDE",AP$11)*1,"")))</f>
        <v/>
      </c>
      <c r="AQ32" s="17" t="str">
        <f ca="1">IF(ISNA($B32),"",IF($B32="","",IFERROR(_xll.BDP(TICKER,"DEEP_MEASURE_PERIOD_BROKER_VALUE","DEEP_MEASURE_ID_OVERRIDE",$C32,"DEEP_BROKER_ID_OVERRIDE",$F$7,"DEEP_PERIOD_OVERRIDE",AQ$11)*1,"")))</f>
        <v/>
      </c>
    </row>
    <row r="33" spans="2:43" x14ac:dyDescent="0.25">
      <c r="B33" t="s">
        <v>42</v>
      </c>
      <c r="C33" s="11">
        <v>9837</v>
      </c>
      <c r="E33" t="s">
        <v>5</v>
      </c>
      <c r="F33">
        <v>8530840</v>
      </c>
      <c r="H33" t="str">
        <f t="shared" si="2"/>
        <v>Hotels, Media &amp; Platform &gt; Revenue &gt; TripAdvisor-Branded  Hotels</v>
      </c>
      <c r="I33" s="17" t="str">
        <f ca="1">IF(ISNA($B33),"",IF($B33="","",IFERROR(_xll.BDP(TICKER,"DEEP_MEASURE_PERIOD_BROKER_VALUE","DEEP_MEASURE_ID_OVERRIDE",$C33,"DEEP_BROKER_ID_OVERRIDE",$F$7,"DEEP_PERIOD_OVERRIDE",I$11)*1,"")))</f>
        <v/>
      </c>
      <c r="J33" s="17" t="str">
        <f ca="1">IF(ISNA($B33),"",IF($B33="","",IFERROR(_xll.BDP(TICKER,"DEEP_MEASURE_PERIOD_BROKER_VALUE","DEEP_MEASURE_ID_OVERRIDE",$C33,"DEEP_BROKER_ID_OVERRIDE",$F$7,"DEEP_PERIOD_OVERRIDE",J$11)*1,"")))</f>
        <v/>
      </c>
      <c r="K33" s="17" t="str">
        <f ca="1">IF(ISNA($B33),"",IF($B33="","",IFERROR(_xll.BDP(TICKER,"DEEP_MEASURE_PERIOD_BROKER_VALUE","DEEP_MEASURE_ID_OVERRIDE",$C33,"DEEP_BROKER_ID_OVERRIDE",$F$7,"DEEP_PERIOD_OVERRIDE",K$11)*1,"")))</f>
        <v/>
      </c>
      <c r="L33" s="17" t="str">
        <f ca="1">IF(ISNA($B33),"",IF($B33="","",IFERROR(_xll.BDP(TICKER,"DEEP_MEASURE_PERIOD_BROKER_VALUE","DEEP_MEASURE_ID_OVERRIDE",$C33,"DEEP_BROKER_ID_OVERRIDE",$F$7,"DEEP_PERIOD_OVERRIDE",L$11)*1,"")))</f>
        <v/>
      </c>
      <c r="M33" s="17" t="str">
        <f ca="1">IF(ISNA($B33),"",IF($B33="","",IFERROR(_xll.BDP(TICKER,"DEEP_MEASURE_PERIOD_BROKER_VALUE","DEEP_MEASURE_ID_OVERRIDE",$C33,"DEEP_BROKER_ID_OVERRIDE",$F$7,"DEEP_PERIOD_OVERRIDE",M$11)*1,"")))</f>
        <v/>
      </c>
      <c r="N33" s="17" t="str">
        <f ca="1">IF(ISNA($B33),"",IF($B33="","",IFERROR(_xll.BDP(TICKER,"DEEP_MEASURE_PERIOD_BROKER_VALUE","DEEP_MEASURE_ID_OVERRIDE",$C33,"DEEP_BROKER_ID_OVERRIDE",$F$7,"DEEP_PERIOD_OVERRIDE",N$11)*1,"")))</f>
        <v/>
      </c>
      <c r="O33" s="17" t="str">
        <f ca="1">IF(ISNA($B33),"",IF($B33="","",IFERROR(_xll.BDP(TICKER,"DEEP_MEASURE_PERIOD_BROKER_VALUE","DEEP_MEASURE_ID_OVERRIDE",$C33,"DEEP_BROKER_ID_OVERRIDE",$F$7,"DEEP_PERIOD_OVERRIDE",O$11)*1,"")))</f>
        <v/>
      </c>
      <c r="P33" s="17" t="str">
        <f ca="1">IF(ISNA($B33),"",IF($B33="","",IFERROR(_xll.BDP(TICKER,"DEEP_MEASURE_PERIOD_BROKER_VALUE","DEEP_MEASURE_ID_OVERRIDE",$C33,"DEEP_BROKER_ID_OVERRIDE",$F$7,"DEEP_PERIOD_OVERRIDE",P$11)*1,"")))</f>
        <v/>
      </c>
      <c r="Q33" s="17" t="str">
        <f ca="1">IF(ISNA($B33),"",IF($B33="","",IFERROR(_xll.BDP(TICKER,"DEEP_MEASURE_PERIOD_BROKER_VALUE","DEEP_MEASURE_ID_OVERRIDE",$C33,"DEEP_BROKER_ID_OVERRIDE",$F$7,"DEEP_PERIOD_OVERRIDE",Q$11)*1,"")))</f>
        <v/>
      </c>
      <c r="R33" s="17" t="str">
        <f ca="1">IF(ISNA($B33),"",IF($B33="","",IFERROR(_xll.BDP(TICKER,"DEEP_MEASURE_PERIOD_BROKER_VALUE","DEEP_MEASURE_ID_OVERRIDE",$C33,"DEEP_BROKER_ID_OVERRIDE",$F$7,"DEEP_PERIOD_OVERRIDE",R$11)*1,"")))</f>
        <v/>
      </c>
      <c r="S33" s="17" t="str">
        <f ca="1">IF(ISNA($B33),"",IF($B33="","",IFERROR(_xll.BDP(TICKER,"DEEP_MEASURE_PERIOD_BROKER_VALUE","DEEP_MEASURE_ID_OVERRIDE",$C33,"DEEP_BROKER_ID_OVERRIDE",$F$7,"DEEP_PERIOD_OVERRIDE",S$11)*1,"")))</f>
        <v/>
      </c>
      <c r="T33" s="17" t="str">
        <f ca="1">IF(ISNA($B33),"",IF($B33="","",IFERROR(_xll.BDP(TICKER,"DEEP_MEASURE_PERIOD_BROKER_VALUE","DEEP_MEASURE_ID_OVERRIDE",$C33,"DEEP_BROKER_ID_OVERRIDE",$F$7,"DEEP_PERIOD_OVERRIDE",T$11)*1,"")))</f>
        <v/>
      </c>
      <c r="U33" s="17" t="str">
        <f ca="1">IF(ISNA($B33),"",IF($B33="","",IFERROR(_xll.BDP(TICKER,"DEEP_MEASURE_PERIOD_BROKER_VALUE","DEEP_MEASURE_ID_OVERRIDE",$C33,"DEEP_BROKER_ID_OVERRIDE",$F$7,"DEEP_PERIOD_OVERRIDE",U$11)*1,"")))</f>
        <v/>
      </c>
      <c r="V33" s="17" t="str">
        <f ca="1">IF(ISNA($B33),"",IF($B33="","",IFERROR(_xll.BDP(TICKER,"DEEP_MEASURE_PERIOD_BROKER_VALUE","DEEP_MEASURE_ID_OVERRIDE",$C33,"DEEP_BROKER_ID_OVERRIDE",$F$7,"DEEP_PERIOD_OVERRIDE",V$11)*1,"")))</f>
        <v/>
      </c>
      <c r="W33" s="17" t="str">
        <f ca="1">IF(ISNA($B33),"",IF($B33="","",IFERROR(_xll.BDP(TICKER,"DEEP_MEASURE_PERIOD_BROKER_VALUE","DEEP_MEASURE_ID_OVERRIDE",$C33,"DEEP_BROKER_ID_OVERRIDE",$F$7,"DEEP_PERIOD_OVERRIDE",W$11)*1,"")))</f>
        <v/>
      </c>
      <c r="X33" s="17" t="str">
        <f ca="1">IF(ISNA($B33),"",IF($B33="","",IFERROR(_xll.BDP(TICKER,"DEEP_MEASURE_PERIOD_BROKER_VALUE","DEEP_MEASURE_ID_OVERRIDE",$C33,"DEEP_BROKER_ID_OVERRIDE",$F$7,"DEEP_PERIOD_OVERRIDE",X$11)*1,"")))</f>
        <v/>
      </c>
      <c r="Y33" s="17" t="str">
        <f ca="1">IF(ISNA($B33),"",IF($B33="","",IFERROR(_xll.BDP(TICKER,"DEEP_MEASURE_PERIOD_BROKER_VALUE","DEEP_MEASURE_ID_OVERRIDE",$C33,"DEEP_BROKER_ID_OVERRIDE",$F$7,"DEEP_PERIOD_OVERRIDE",Y$11)*1,"")))</f>
        <v/>
      </c>
      <c r="Z33" s="17" t="str">
        <f ca="1">IF(ISNA($B33),"",IF($B33="","",IFERROR(_xll.BDP(TICKER,"DEEP_MEASURE_PERIOD_BROKER_VALUE","DEEP_MEASURE_ID_OVERRIDE",$C33,"DEEP_BROKER_ID_OVERRIDE",$F$7,"DEEP_PERIOD_OVERRIDE",Z$11)*1,"")))</f>
        <v/>
      </c>
      <c r="AA33" s="17" t="str">
        <f ca="1">IF(ISNA($B33),"",IF($B33="","",IFERROR(_xll.BDP(TICKER,"DEEP_MEASURE_PERIOD_BROKER_VALUE","DEEP_MEASURE_ID_OVERRIDE",$C33,"DEEP_BROKER_ID_OVERRIDE",$F$7,"DEEP_PERIOD_OVERRIDE",AA$11)*1,"")))</f>
        <v/>
      </c>
      <c r="AB33" s="17" t="str">
        <f ca="1">IF(ISNA($B33),"",IF($B33="","",IFERROR(_xll.BDP(TICKER,"DEEP_MEASURE_PERIOD_BROKER_VALUE","DEEP_MEASURE_ID_OVERRIDE",$C33,"DEEP_BROKER_ID_OVERRIDE",$F$7,"DEEP_PERIOD_OVERRIDE",AB$11)*1,"")))</f>
        <v/>
      </c>
      <c r="AC33" s="17" t="str">
        <f ca="1">IF(ISNA($B33),"",IF($B33="","",IFERROR(_xll.BDP(TICKER,"DEEP_MEASURE_PERIOD_BROKER_VALUE","DEEP_MEASURE_ID_OVERRIDE",$C33,"DEEP_BROKER_ID_OVERRIDE",$F$7,"DEEP_PERIOD_OVERRIDE",AC$11)*1,"")))</f>
        <v/>
      </c>
      <c r="AD33" s="17" t="str">
        <f ca="1">IF(ISNA($B33),"",IF($B33="","",IFERROR(_xll.BDP(TICKER,"DEEP_MEASURE_PERIOD_BROKER_VALUE","DEEP_MEASURE_ID_OVERRIDE",$C33,"DEEP_BROKER_ID_OVERRIDE",$F$7,"DEEP_PERIOD_OVERRIDE",AD$11)*1,"")))</f>
        <v/>
      </c>
      <c r="AE33" s="17" t="str">
        <f ca="1">IF(ISNA($B33),"",IF($B33="","",IFERROR(_xll.BDP(TICKER,"DEEP_MEASURE_PERIOD_BROKER_VALUE","DEEP_MEASURE_ID_OVERRIDE",$C33,"DEEP_BROKER_ID_OVERRIDE",$F$7,"DEEP_PERIOD_OVERRIDE",AE$11)*1,"")))</f>
        <v/>
      </c>
      <c r="AF33" s="17" t="str">
        <f ca="1">IF(ISNA($B33),"",IF($B33="","",IFERROR(_xll.BDP(TICKER,"DEEP_MEASURE_PERIOD_BROKER_VALUE","DEEP_MEASURE_ID_OVERRIDE",$C33,"DEEP_BROKER_ID_OVERRIDE",$F$7,"DEEP_PERIOD_OVERRIDE",AF$11)*1,"")))</f>
        <v/>
      </c>
      <c r="AG33" s="17" t="str">
        <f ca="1">IF(ISNA($B33),"",IF($B33="","",IFERROR(_xll.BDP(TICKER,"DEEP_MEASURE_PERIOD_BROKER_VALUE","DEEP_MEASURE_ID_OVERRIDE",$C33,"DEEP_BROKER_ID_OVERRIDE",$F$7,"DEEP_PERIOD_OVERRIDE",AG$11)*1,"")))</f>
        <v/>
      </c>
      <c r="AH33" s="17" t="str">
        <f ca="1">IF(ISNA($B33),"",IF($B33="","",IFERROR(_xll.BDP(TICKER,"DEEP_MEASURE_PERIOD_BROKER_VALUE","DEEP_MEASURE_ID_OVERRIDE",$C33,"DEEP_BROKER_ID_OVERRIDE",$F$7,"DEEP_PERIOD_OVERRIDE",AH$11)*1,"")))</f>
        <v/>
      </c>
      <c r="AI33" s="17" t="str">
        <f ca="1">IF(ISNA($B33),"",IF($B33="","",IFERROR(_xll.BDP(TICKER,"DEEP_MEASURE_PERIOD_BROKER_VALUE","DEEP_MEASURE_ID_OVERRIDE",$C33,"DEEP_BROKER_ID_OVERRIDE",$F$7,"DEEP_PERIOD_OVERRIDE",AI$11)*1,"")))</f>
        <v/>
      </c>
      <c r="AJ33" s="17" t="str">
        <f ca="1">IF(ISNA($B33),"",IF($B33="","",IFERROR(_xll.BDP(TICKER,"DEEP_MEASURE_PERIOD_BROKER_VALUE","DEEP_MEASURE_ID_OVERRIDE",$C33,"DEEP_BROKER_ID_OVERRIDE",$F$7,"DEEP_PERIOD_OVERRIDE",AJ$11)*1,"")))</f>
        <v/>
      </c>
      <c r="AK33" s="17" t="str">
        <f ca="1">IF(ISNA($B33),"",IF($B33="","",IFERROR(_xll.BDP(TICKER,"DEEP_MEASURE_PERIOD_BROKER_VALUE","DEEP_MEASURE_ID_OVERRIDE",$C33,"DEEP_BROKER_ID_OVERRIDE",$F$7,"DEEP_PERIOD_OVERRIDE",AK$11)*1,"")))</f>
        <v/>
      </c>
      <c r="AL33" s="17" t="str">
        <f ca="1">IF(ISNA($B33),"",IF($B33="","",IFERROR(_xll.BDP(TICKER,"DEEP_MEASURE_PERIOD_BROKER_VALUE","DEEP_MEASURE_ID_OVERRIDE",$C33,"DEEP_BROKER_ID_OVERRIDE",$F$7,"DEEP_PERIOD_OVERRIDE",AL$11)*1,"")))</f>
        <v/>
      </c>
      <c r="AM33" s="17" t="str">
        <f ca="1">IF(ISNA($B33),"",IF($B33="","",IFERROR(_xll.BDP(TICKER,"DEEP_MEASURE_PERIOD_BROKER_VALUE","DEEP_MEASURE_ID_OVERRIDE",$C33,"DEEP_BROKER_ID_OVERRIDE",$F$7,"DEEP_PERIOD_OVERRIDE",AM$11)*1,"")))</f>
        <v/>
      </c>
      <c r="AN33" s="17" t="str">
        <f ca="1">IF(ISNA($B33),"",IF($B33="","",IFERROR(_xll.BDP(TICKER,"DEEP_MEASURE_PERIOD_BROKER_VALUE","DEEP_MEASURE_ID_OVERRIDE",$C33,"DEEP_BROKER_ID_OVERRIDE",$F$7,"DEEP_PERIOD_OVERRIDE",AN$11)*1,"")))</f>
        <v/>
      </c>
      <c r="AO33" s="17" t="str">
        <f ca="1">IF(ISNA($B33),"",IF($B33="","",IFERROR(_xll.BDP(TICKER,"DEEP_MEASURE_PERIOD_BROKER_VALUE","DEEP_MEASURE_ID_OVERRIDE",$C33,"DEEP_BROKER_ID_OVERRIDE",$F$7,"DEEP_PERIOD_OVERRIDE",AO$11)*1,"")))</f>
        <v/>
      </c>
      <c r="AP33" s="17" t="str">
        <f ca="1">IF(ISNA($B33),"",IF($B33="","",IFERROR(_xll.BDP(TICKER,"DEEP_MEASURE_PERIOD_BROKER_VALUE","DEEP_MEASURE_ID_OVERRIDE",$C33,"DEEP_BROKER_ID_OVERRIDE",$F$7,"DEEP_PERIOD_OVERRIDE",AP$11)*1,"")))</f>
        <v/>
      </c>
      <c r="AQ33" s="17" t="str">
        <f ca="1">IF(ISNA($B33),"",IF($B33="","",IFERROR(_xll.BDP(TICKER,"DEEP_MEASURE_PERIOD_BROKER_VALUE","DEEP_MEASURE_ID_OVERRIDE",$C33,"DEEP_BROKER_ID_OVERRIDE",$F$7,"DEEP_PERIOD_OVERRIDE",AQ$11)*1,"")))</f>
        <v/>
      </c>
    </row>
    <row r="34" spans="2:43" x14ac:dyDescent="0.25">
      <c r="B34" t="s">
        <v>43</v>
      </c>
      <c r="C34" s="11">
        <v>9843</v>
      </c>
      <c r="E34" t="s">
        <v>6</v>
      </c>
      <c r="F34">
        <v>14089599</v>
      </c>
      <c r="H34" t="str">
        <f t="shared" si="2"/>
        <v>Hotels, Media &amp; Platform &gt; Revenue &gt; TripAdvisor-Branded  Hotels &gt; YoY Growth (%)</v>
      </c>
      <c r="I34" s="17" t="str">
        <f ca="1">IF(ISNA($B34),"",IF($B34="","",IFERROR(_xll.BDP(TICKER,"DEEP_MEASURE_PERIOD_BROKER_VALUE","DEEP_MEASURE_ID_OVERRIDE",$C34,"DEEP_BROKER_ID_OVERRIDE",$F$7,"DEEP_PERIOD_OVERRIDE",I$11)*1,"")))</f>
        <v/>
      </c>
      <c r="J34" s="17" t="str">
        <f ca="1">IF(ISNA($B34),"",IF($B34="","",IFERROR(_xll.BDP(TICKER,"DEEP_MEASURE_PERIOD_BROKER_VALUE","DEEP_MEASURE_ID_OVERRIDE",$C34,"DEEP_BROKER_ID_OVERRIDE",$F$7,"DEEP_PERIOD_OVERRIDE",J$11)*1,"")))</f>
        <v/>
      </c>
      <c r="K34" s="17" t="str">
        <f ca="1">IF(ISNA($B34),"",IF($B34="","",IFERROR(_xll.BDP(TICKER,"DEEP_MEASURE_PERIOD_BROKER_VALUE","DEEP_MEASURE_ID_OVERRIDE",$C34,"DEEP_BROKER_ID_OVERRIDE",$F$7,"DEEP_PERIOD_OVERRIDE",K$11)*1,"")))</f>
        <v/>
      </c>
      <c r="L34" s="17" t="str">
        <f ca="1">IF(ISNA($B34),"",IF($B34="","",IFERROR(_xll.BDP(TICKER,"DEEP_MEASURE_PERIOD_BROKER_VALUE","DEEP_MEASURE_ID_OVERRIDE",$C34,"DEEP_BROKER_ID_OVERRIDE",$F$7,"DEEP_PERIOD_OVERRIDE",L$11)*1,"")))</f>
        <v/>
      </c>
      <c r="M34" s="17" t="str">
        <f ca="1">IF(ISNA($B34),"",IF($B34="","",IFERROR(_xll.BDP(TICKER,"DEEP_MEASURE_PERIOD_BROKER_VALUE","DEEP_MEASURE_ID_OVERRIDE",$C34,"DEEP_BROKER_ID_OVERRIDE",$F$7,"DEEP_PERIOD_OVERRIDE",M$11)*1,"")))</f>
        <v/>
      </c>
      <c r="N34" s="17" t="str">
        <f ca="1">IF(ISNA($B34),"",IF($B34="","",IFERROR(_xll.BDP(TICKER,"DEEP_MEASURE_PERIOD_BROKER_VALUE","DEEP_MEASURE_ID_OVERRIDE",$C34,"DEEP_BROKER_ID_OVERRIDE",$F$7,"DEEP_PERIOD_OVERRIDE",N$11)*1,"")))</f>
        <v/>
      </c>
      <c r="O34" s="17" t="str">
        <f ca="1">IF(ISNA($B34),"",IF($B34="","",IFERROR(_xll.BDP(TICKER,"DEEP_MEASURE_PERIOD_BROKER_VALUE","DEEP_MEASURE_ID_OVERRIDE",$C34,"DEEP_BROKER_ID_OVERRIDE",$F$7,"DEEP_PERIOD_OVERRIDE",O$11)*1,"")))</f>
        <v/>
      </c>
      <c r="P34" s="17" t="str">
        <f ca="1">IF(ISNA($B34),"",IF($B34="","",IFERROR(_xll.BDP(TICKER,"DEEP_MEASURE_PERIOD_BROKER_VALUE","DEEP_MEASURE_ID_OVERRIDE",$C34,"DEEP_BROKER_ID_OVERRIDE",$F$7,"DEEP_PERIOD_OVERRIDE",P$11)*1,"")))</f>
        <v/>
      </c>
      <c r="Q34" s="17" t="str">
        <f ca="1">IF(ISNA($B34),"",IF($B34="","",IFERROR(_xll.BDP(TICKER,"DEEP_MEASURE_PERIOD_BROKER_VALUE","DEEP_MEASURE_ID_OVERRIDE",$C34,"DEEP_BROKER_ID_OVERRIDE",$F$7,"DEEP_PERIOD_OVERRIDE",Q$11)*1,"")))</f>
        <v/>
      </c>
      <c r="R34" s="17" t="str">
        <f ca="1">IF(ISNA($B34),"",IF($B34="","",IFERROR(_xll.BDP(TICKER,"DEEP_MEASURE_PERIOD_BROKER_VALUE","DEEP_MEASURE_ID_OVERRIDE",$C34,"DEEP_BROKER_ID_OVERRIDE",$F$7,"DEEP_PERIOD_OVERRIDE",R$11)*1,"")))</f>
        <v/>
      </c>
      <c r="S34" s="17" t="str">
        <f ca="1">IF(ISNA($B34),"",IF($B34="","",IFERROR(_xll.BDP(TICKER,"DEEP_MEASURE_PERIOD_BROKER_VALUE","DEEP_MEASURE_ID_OVERRIDE",$C34,"DEEP_BROKER_ID_OVERRIDE",$F$7,"DEEP_PERIOD_OVERRIDE",S$11)*1,"")))</f>
        <v/>
      </c>
      <c r="T34" s="17" t="str">
        <f ca="1">IF(ISNA($B34),"",IF($B34="","",IFERROR(_xll.BDP(TICKER,"DEEP_MEASURE_PERIOD_BROKER_VALUE","DEEP_MEASURE_ID_OVERRIDE",$C34,"DEEP_BROKER_ID_OVERRIDE",$F$7,"DEEP_PERIOD_OVERRIDE",T$11)*1,"")))</f>
        <v/>
      </c>
      <c r="U34" s="17" t="str">
        <f ca="1">IF(ISNA($B34),"",IF($B34="","",IFERROR(_xll.BDP(TICKER,"DEEP_MEASURE_PERIOD_BROKER_VALUE","DEEP_MEASURE_ID_OVERRIDE",$C34,"DEEP_BROKER_ID_OVERRIDE",$F$7,"DEEP_PERIOD_OVERRIDE",U$11)*1,"")))</f>
        <v/>
      </c>
      <c r="V34" s="17" t="str">
        <f ca="1">IF(ISNA($B34),"",IF($B34="","",IFERROR(_xll.BDP(TICKER,"DEEP_MEASURE_PERIOD_BROKER_VALUE","DEEP_MEASURE_ID_OVERRIDE",$C34,"DEEP_BROKER_ID_OVERRIDE",$F$7,"DEEP_PERIOD_OVERRIDE",V$11)*1,"")))</f>
        <v/>
      </c>
      <c r="W34" s="17" t="str">
        <f ca="1">IF(ISNA($B34),"",IF($B34="","",IFERROR(_xll.BDP(TICKER,"DEEP_MEASURE_PERIOD_BROKER_VALUE","DEEP_MEASURE_ID_OVERRIDE",$C34,"DEEP_BROKER_ID_OVERRIDE",$F$7,"DEEP_PERIOD_OVERRIDE",W$11)*1,"")))</f>
        <v/>
      </c>
      <c r="X34" s="17" t="str">
        <f ca="1">IF(ISNA($B34),"",IF($B34="","",IFERROR(_xll.BDP(TICKER,"DEEP_MEASURE_PERIOD_BROKER_VALUE","DEEP_MEASURE_ID_OVERRIDE",$C34,"DEEP_BROKER_ID_OVERRIDE",$F$7,"DEEP_PERIOD_OVERRIDE",X$11)*1,"")))</f>
        <v/>
      </c>
      <c r="Y34" s="17" t="str">
        <f ca="1">IF(ISNA($B34),"",IF($B34="","",IFERROR(_xll.BDP(TICKER,"DEEP_MEASURE_PERIOD_BROKER_VALUE","DEEP_MEASURE_ID_OVERRIDE",$C34,"DEEP_BROKER_ID_OVERRIDE",$F$7,"DEEP_PERIOD_OVERRIDE",Y$11)*1,"")))</f>
        <v/>
      </c>
      <c r="Z34" s="17" t="str">
        <f ca="1">IF(ISNA($B34),"",IF($B34="","",IFERROR(_xll.BDP(TICKER,"DEEP_MEASURE_PERIOD_BROKER_VALUE","DEEP_MEASURE_ID_OVERRIDE",$C34,"DEEP_BROKER_ID_OVERRIDE",$F$7,"DEEP_PERIOD_OVERRIDE",Z$11)*1,"")))</f>
        <v/>
      </c>
      <c r="AA34" s="17" t="str">
        <f ca="1">IF(ISNA($B34),"",IF($B34="","",IFERROR(_xll.BDP(TICKER,"DEEP_MEASURE_PERIOD_BROKER_VALUE","DEEP_MEASURE_ID_OVERRIDE",$C34,"DEEP_BROKER_ID_OVERRIDE",$F$7,"DEEP_PERIOD_OVERRIDE",AA$11)*1,"")))</f>
        <v/>
      </c>
      <c r="AB34" s="17" t="str">
        <f ca="1">IF(ISNA($B34),"",IF($B34="","",IFERROR(_xll.BDP(TICKER,"DEEP_MEASURE_PERIOD_BROKER_VALUE","DEEP_MEASURE_ID_OVERRIDE",$C34,"DEEP_BROKER_ID_OVERRIDE",$F$7,"DEEP_PERIOD_OVERRIDE",AB$11)*1,"")))</f>
        <v/>
      </c>
      <c r="AC34" s="17" t="str">
        <f ca="1">IF(ISNA($B34),"",IF($B34="","",IFERROR(_xll.BDP(TICKER,"DEEP_MEASURE_PERIOD_BROKER_VALUE","DEEP_MEASURE_ID_OVERRIDE",$C34,"DEEP_BROKER_ID_OVERRIDE",$F$7,"DEEP_PERIOD_OVERRIDE",AC$11)*1,"")))</f>
        <v/>
      </c>
      <c r="AD34" s="17" t="str">
        <f ca="1">IF(ISNA($B34),"",IF($B34="","",IFERROR(_xll.BDP(TICKER,"DEEP_MEASURE_PERIOD_BROKER_VALUE","DEEP_MEASURE_ID_OVERRIDE",$C34,"DEEP_BROKER_ID_OVERRIDE",$F$7,"DEEP_PERIOD_OVERRIDE",AD$11)*1,"")))</f>
        <v/>
      </c>
      <c r="AE34" s="17" t="str">
        <f ca="1">IF(ISNA($B34),"",IF($B34="","",IFERROR(_xll.BDP(TICKER,"DEEP_MEASURE_PERIOD_BROKER_VALUE","DEEP_MEASURE_ID_OVERRIDE",$C34,"DEEP_BROKER_ID_OVERRIDE",$F$7,"DEEP_PERIOD_OVERRIDE",AE$11)*1,"")))</f>
        <v/>
      </c>
      <c r="AF34" s="17" t="str">
        <f ca="1">IF(ISNA($B34),"",IF($B34="","",IFERROR(_xll.BDP(TICKER,"DEEP_MEASURE_PERIOD_BROKER_VALUE","DEEP_MEASURE_ID_OVERRIDE",$C34,"DEEP_BROKER_ID_OVERRIDE",$F$7,"DEEP_PERIOD_OVERRIDE",AF$11)*1,"")))</f>
        <v/>
      </c>
      <c r="AG34" s="17" t="str">
        <f ca="1">IF(ISNA($B34),"",IF($B34="","",IFERROR(_xll.BDP(TICKER,"DEEP_MEASURE_PERIOD_BROKER_VALUE","DEEP_MEASURE_ID_OVERRIDE",$C34,"DEEP_BROKER_ID_OVERRIDE",$F$7,"DEEP_PERIOD_OVERRIDE",AG$11)*1,"")))</f>
        <v/>
      </c>
      <c r="AH34" s="17" t="str">
        <f ca="1">IF(ISNA($B34),"",IF($B34="","",IFERROR(_xll.BDP(TICKER,"DEEP_MEASURE_PERIOD_BROKER_VALUE","DEEP_MEASURE_ID_OVERRIDE",$C34,"DEEP_BROKER_ID_OVERRIDE",$F$7,"DEEP_PERIOD_OVERRIDE",AH$11)*1,"")))</f>
        <v/>
      </c>
      <c r="AI34" s="17" t="str">
        <f ca="1">IF(ISNA($B34),"",IF($B34="","",IFERROR(_xll.BDP(TICKER,"DEEP_MEASURE_PERIOD_BROKER_VALUE","DEEP_MEASURE_ID_OVERRIDE",$C34,"DEEP_BROKER_ID_OVERRIDE",$F$7,"DEEP_PERIOD_OVERRIDE",AI$11)*1,"")))</f>
        <v/>
      </c>
      <c r="AJ34" s="17" t="str">
        <f ca="1">IF(ISNA($B34),"",IF($B34="","",IFERROR(_xll.BDP(TICKER,"DEEP_MEASURE_PERIOD_BROKER_VALUE","DEEP_MEASURE_ID_OVERRIDE",$C34,"DEEP_BROKER_ID_OVERRIDE",$F$7,"DEEP_PERIOD_OVERRIDE",AJ$11)*1,"")))</f>
        <v/>
      </c>
      <c r="AK34" s="17" t="str">
        <f ca="1">IF(ISNA($B34),"",IF($B34="","",IFERROR(_xll.BDP(TICKER,"DEEP_MEASURE_PERIOD_BROKER_VALUE","DEEP_MEASURE_ID_OVERRIDE",$C34,"DEEP_BROKER_ID_OVERRIDE",$F$7,"DEEP_PERIOD_OVERRIDE",AK$11)*1,"")))</f>
        <v/>
      </c>
      <c r="AL34" s="17" t="str">
        <f ca="1">IF(ISNA($B34),"",IF($B34="","",IFERROR(_xll.BDP(TICKER,"DEEP_MEASURE_PERIOD_BROKER_VALUE","DEEP_MEASURE_ID_OVERRIDE",$C34,"DEEP_BROKER_ID_OVERRIDE",$F$7,"DEEP_PERIOD_OVERRIDE",AL$11)*1,"")))</f>
        <v/>
      </c>
      <c r="AM34" s="17" t="str">
        <f ca="1">IF(ISNA($B34),"",IF($B34="","",IFERROR(_xll.BDP(TICKER,"DEEP_MEASURE_PERIOD_BROKER_VALUE","DEEP_MEASURE_ID_OVERRIDE",$C34,"DEEP_BROKER_ID_OVERRIDE",$F$7,"DEEP_PERIOD_OVERRIDE",AM$11)*1,"")))</f>
        <v/>
      </c>
      <c r="AN34" s="17" t="str">
        <f ca="1">IF(ISNA($B34),"",IF($B34="","",IFERROR(_xll.BDP(TICKER,"DEEP_MEASURE_PERIOD_BROKER_VALUE","DEEP_MEASURE_ID_OVERRIDE",$C34,"DEEP_BROKER_ID_OVERRIDE",$F$7,"DEEP_PERIOD_OVERRIDE",AN$11)*1,"")))</f>
        <v/>
      </c>
      <c r="AO34" s="17" t="str">
        <f ca="1">IF(ISNA($B34),"",IF($B34="","",IFERROR(_xll.BDP(TICKER,"DEEP_MEASURE_PERIOD_BROKER_VALUE","DEEP_MEASURE_ID_OVERRIDE",$C34,"DEEP_BROKER_ID_OVERRIDE",$F$7,"DEEP_PERIOD_OVERRIDE",AO$11)*1,"")))</f>
        <v/>
      </c>
      <c r="AP34" s="17" t="str">
        <f ca="1">IF(ISNA($B34),"",IF($B34="","",IFERROR(_xll.BDP(TICKER,"DEEP_MEASURE_PERIOD_BROKER_VALUE","DEEP_MEASURE_ID_OVERRIDE",$C34,"DEEP_BROKER_ID_OVERRIDE",$F$7,"DEEP_PERIOD_OVERRIDE",AP$11)*1,"")))</f>
        <v/>
      </c>
      <c r="AQ34" s="17" t="str">
        <f ca="1">IF(ISNA($B34),"",IF($B34="","",IFERROR(_xll.BDP(TICKER,"DEEP_MEASURE_PERIOD_BROKER_VALUE","DEEP_MEASURE_ID_OVERRIDE",$C34,"DEEP_BROKER_ID_OVERRIDE",$F$7,"DEEP_PERIOD_OVERRIDE",AQ$11)*1,"")))</f>
        <v/>
      </c>
    </row>
    <row r="35" spans="2:43" x14ac:dyDescent="0.25">
      <c r="B35" t="s">
        <v>44</v>
      </c>
      <c r="C35" s="11">
        <v>9760</v>
      </c>
      <c r="H35" t="str">
        <f t="shared" si="2"/>
        <v>Hotels, Media &amp; Platform &gt; Revenue &gt; TripAdvisor-Branded Display &amp; Platform</v>
      </c>
      <c r="I35" s="17" t="str">
        <f ca="1">IF(ISNA($B35),"",IF($B35="","",IFERROR(_xll.BDP(TICKER,"DEEP_MEASURE_PERIOD_BROKER_VALUE","DEEP_MEASURE_ID_OVERRIDE",$C35,"DEEP_BROKER_ID_OVERRIDE",$F$7,"DEEP_PERIOD_OVERRIDE",I$11)*1,"")))</f>
        <v/>
      </c>
      <c r="J35" s="17" t="str">
        <f ca="1">IF(ISNA($B35),"",IF($B35="","",IFERROR(_xll.BDP(TICKER,"DEEP_MEASURE_PERIOD_BROKER_VALUE","DEEP_MEASURE_ID_OVERRIDE",$C35,"DEEP_BROKER_ID_OVERRIDE",$F$7,"DEEP_PERIOD_OVERRIDE",J$11)*1,"")))</f>
        <v/>
      </c>
      <c r="K35" s="17" t="str">
        <f ca="1">IF(ISNA($B35),"",IF($B35="","",IFERROR(_xll.BDP(TICKER,"DEEP_MEASURE_PERIOD_BROKER_VALUE","DEEP_MEASURE_ID_OVERRIDE",$C35,"DEEP_BROKER_ID_OVERRIDE",$F$7,"DEEP_PERIOD_OVERRIDE",K$11)*1,"")))</f>
        <v/>
      </c>
      <c r="L35" s="17" t="str">
        <f ca="1">IF(ISNA($B35),"",IF($B35="","",IFERROR(_xll.BDP(TICKER,"DEEP_MEASURE_PERIOD_BROKER_VALUE","DEEP_MEASURE_ID_OVERRIDE",$C35,"DEEP_BROKER_ID_OVERRIDE",$F$7,"DEEP_PERIOD_OVERRIDE",L$11)*1,"")))</f>
        <v/>
      </c>
      <c r="M35" s="17" t="str">
        <f ca="1">IF(ISNA($B35),"",IF($B35="","",IFERROR(_xll.BDP(TICKER,"DEEP_MEASURE_PERIOD_BROKER_VALUE","DEEP_MEASURE_ID_OVERRIDE",$C35,"DEEP_BROKER_ID_OVERRIDE",$F$7,"DEEP_PERIOD_OVERRIDE",M$11)*1,"")))</f>
        <v/>
      </c>
      <c r="N35" s="17" t="str">
        <f ca="1">IF(ISNA($B35),"",IF($B35="","",IFERROR(_xll.BDP(TICKER,"DEEP_MEASURE_PERIOD_BROKER_VALUE","DEEP_MEASURE_ID_OVERRIDE",$C35,"DEEP_BROKER_ID_OVERRIDE",$F$7,"DEEP_PERIOD_OVERRIDE",N$11)*1,"")))</f>
        <v/>
      </c>
      <c r="O35" s="17" t="str">
        <f ca="1">IF(ISNA($B35),"",IF($B35="","",IFERROR(_xll.BDP(TICKER,"DEEP_MEASURE_PERIOD_BROKER_VALUE","DEEP_MEASURE_ID_OVERRIDE",$C35,"DEEP_BROKER_ID_OVERRIDE",$F$7,"DEEP_PERIOD_OVERRIDE",O$11)*1,"")))</f>
        <v/>
      </c>
      <c r="P35" s="17" t="str">
        <f ca="1">IF(ISNA($B35),"",IF($B35="","",IFERROR(_xll.BDP(TICKER,"DEEP_MEASURE_PERIOD_BROKER_VALUE","DEEP_MEASURE_ID_OVERRIDE",$C35,"DEEP_BROKER_ID_OVERRIDE",$F$7,"DEEP_PERIOD_OVERRIDE",P$11)*1,"")))</f>
        <v/>
      </c>
      <c r="Q35" s="17" t="str">
        <f ca="1">IF(ISNA($B35),"",IF($B35="","",IFERROR(_xll.BDP(TICKER,"DEEP_MEASURE_PERIOD_BROKER_VALUE","DEEP_MEASURE_ID_OVERRIDE",$C35,"DEEP_BROKER_ID_OVERRIDE",$F$7,"DEEP_PERIOD_OVERRIDE",Q$11)*1,"")))</f>
        <v/>
      </c>
      <c r="R35" s="17" t="str">
        <f ca="1">IF(ISNA($B35),"",IF($B35="","",IFERROR(_xll.BDP(TICKER,"DEEP_MEASURE_PERIOD_BROKER_VALUE","DEEP_MEASURE_ID_OVERRIDE",$C35,"DEEP_BROKER_ID_OVERRIDE",$F$7,"DEEP_PERIOD_OVERRIDE",R$11)*1,"")))</f>
        <v/>
      </c>
      <c r="S35" s="17" t="str">
        <f ca="1">IF(ISNA($B35),"",IF($B35="","",IFERROR(_xll.BDP(TICKER,"DEEP_MEASURE_PERIOD_BROKER_VALUE","DEEP_MEASURE_ID_OVERRIDE",$C35,"DEEP_BROKER_ID_OVERRIDE",$F$7,"DEEP_PERIOD_OVERRIDE",S$11)*1,"")))</f>
        <v/>
      </c>
      <c r="T35" s="17" t="str">
        <f ca="1">IF(ISNA($B35),"",IF($B35="","",IFERROR(_xll.BDP(TICKER,"DEEP_MEASURE_PERIOD_BROKER_VALUE","DEEP_MEASURE_ID_OVERRIDE",$C35,"DEEP_BROKER_ID_OVERRIDE",$F$7,"DEEP_PERIOD_OVERRIDE",T$11)*1,"")))</f>
        <v/>
      </c>
      <c r="U35" s="17" t="str">
        <f ca="1">IF(ISNA($B35),"",IF($B35="","",IFERROR(_xll.BDP(TICKER,"DEEP_MEASURE_PERIOD_BROKER_VALUE","DEEP_MEASURE_ID_OVERRIDE",$C35,"DEEP_BROKER_ID_OVERRIDE",$F$7,"DEEP_PERIOD_OVERRIDE",U$11)*1,"")))</f>
        <v/>
      </c>
      <c r="V35" s="17" t="str">
        <f ca="1">IF(ISNA($B35),"",IF($B35="","",IFERROR(_xll.BDP(TICKER,"DEEP_MEASURE_PERIOD_BROKER_VALUE","DEEP_MEASURE_ID_OVERRIDE",$C35,"DEEP_BROKER_ID_OVERRIDE",$F$7,"DEEP_PERIOD_OVERRIDE",V$11)*1,"")))</f>
        <v/>
      </c>
      <c r="W35" s="17" t="str">
        <f ca="1">IF(ISNA($B35),"",IF($B35="","",IFERROR(_xll.BDP(TICKER,"DEEP_MEASURE_PERIOD_BROKER_VALUE","DEEP_MEASURE_ID_OVERRIDE",$C35,"DEEP_BROKER_ID_OVERRIDE",$F$7,"DEEP_PERIOD_OVERRIDE",W$11)*1,"")))</f>
        <v/>
      </c>
      <c r="X35" s="17" t="str">
        <f ca="1">IF(ISNA($B35),"",IF($B35="","",IFERROR(_xll.BDP(TICKER,"DEEP_MEASURE_PERIOD_BROKER_VALUE","DEEP_MEASURE_ID_OVERRIDE",$C35,"DEEP_BROKER_ID_OVERRIDE",$F$7,"DEEP_PERIOD_OVERRIDE",X$11)*1,"")))</f>
        <v/>
      </c>
      <c r="Y35" s="17" t="str">
        <f ca="1">IF(ISNA($B35),"",IF($B35="","",IFERROR(_xll.BDP(TICKER,"DEEP_MEASURE_PERIOD_BROKER_VALUE","DEEP_MEASURE_ID_OVERRIDE",$C35,"DEEP_BROKER_ID_OVERRIDE",$F$7,"DEEP_PERIOD_OVERRIDE",Y$11)*1,"")))</f>
        <v/>
      </c>
      <c r="Z35" s="17" t="str">
        <f ca="1">IF(ISNA($B35),"",IF($B35="","",IFERROR(_xll.BDP(TICKER,"DEEP_MEASURE_PERIOD_BROKER_VALUE","DEEP_MEASURE_ID_OVERRIDE",$C35,"DEEP_BROKER_ID_OVERRIDE",$F$7,"DEEP_PERIOD_OVERRIDE",Z$11)*1,"")))</f>
        <v/>
      </c>
      <c r="AA35" s="17" t="str">
        <f ca="1">IF(ISNA($B35),"",IF($B35="","",IFERROR(_xll.BDP(TICKER,"DEEP_MEASURE_PERIOD_BROKER_VALUE","DEEP_MEASURE_ID_OVERRIDE",$C35,"DEEP_BROKER_ID_OVERRIDE",$F$7,"DEEP_PERIOD_OVERRIDE",AA$11)*1,"")))</f>
        <v/>
      </c>
      <c r="AB35" s="17" t="str">
        <f ca="1">IF(ISNA($B35),"",IF($B35="","",IFERROR(_xll.BDP(TICKER,"DEEP_MEASURE_PERIOD_BROKER_VALUE","DEEP_MEASURE_ID_OVERRIDE",$C35,"DEEP_BROKER_ID_OVERRIDE",$F$7,"DEEP_PERIOD_OVERRIDE",AB$11)*1,"")))</f>
        <v/>
      </c>
      <c r="AC35" s="17" t="str">
        <f ca="1">IF(ISNA($B35),"",IF($B35="","",IFERROR(_xll.BDP(TICKER,"DEEP_MEASURE_PERIOD_BROKER_VALUE","DEEP_MEASURE_ID_OVERRIDE",$C35,"DEEP_BROKER_ID_OVERRIDE",$F$7,"DEEP_PERIOD_OVERRIDE",AC$11)*1,"")))</f>
        <v/>
      </c>
      <c r="AD35" s="17" t="str">
        <f ca="1">IF(ISNA($B35),"",IF($B35="","",IFERROR(_xll.BDP(TICKER,"DEEP_MEASURE_PERIOD_BROKER_VALUE","DEEP_MEASURE_ID_OVERRIDE",$C35,"DEEP_BROKER_ID_OVERRIDE",$F$7,"DEEP_PERIOD_OVERRIDE",AD$11)*1,"")))</f>
        <v/>
      </c>
      <c r="AE35" s="17" t="str">
        <f ca="1">IF(ISNA($B35),"",IF($B35="","",IFERROR(_xll.BDP(TICKER,"DEEP_MEASURE_PERIOD_BROKER_VALUE","DEEP_MEASURE_ID_OVERRIDE",$C35,"DEEP_BROKER_ID_OVERRIDE",$F$7,"DEEP_PERIOD_OVERRIDE",AE$11)*1,"")))</f>
        <v/>
      </c>
      <c r="AF35" s="17" t="str">
        <f ca="1">IF(ISNA($B35),"",IF($B35="","",IFERROR(_xll.BDP(TICKER,"DEEP_MEASURE_PERIOD_BROKER_VALUE","DEEP_MEASURE_ID_OVERRIDE",$C35,"DEEP_BROKER_ID_OVERRIDE",$F$7,"DEEP_PERIOD_OVERRIDE",AF$11)*1,"")))</f>
        <v/>
      </c>
      <c r="AG35" s="17" t="str">
        <f ca="1">IF(ISNA($B35),"",IF($B35="","",IFERROR(_xll.BDP(TICKER,"DEEP_MEASURE_PERIOD_BROKER_VALUE","DEEP_MEASURE_ID_OVERRIDE",$C35,"DEEP_BROKER_ID_OVERRIDE",$F$7,"DEEP_PERIOD_OVERRIDE",AG$11)*1,"")))</f>
        <v/>
      </c>
      <c r="AH35" s="17" t="str">
        <f ca="1">IF(ISNA($B35),"",IF($B35="","",IFERROR(_xll.BDP(TICKER,"DEEP_MEASURE_PERIOD_BROKER_VALUE","DEEP_MEASURE_ID_OVERRIDE",$C35,"DEEP_BROKER_ID_OVERRIDE",$F$7,"DEEP_PERIOD_OVERRIDE",AH$11)*1,"")))</f>
        <v/>
      </c>
      <c r="AI35" s="17" t="str">
        <f ca="1">IF(ISNA($B35),"",IF($B35="","",IFERROR(_xll.BDP(TICKER,"DEEP_MEASURE_PERIOD_BROKER_VALUE","DEEP_MEASURE_ID_OVERRIDE",$C35,"DEEP_BROKER_ID_OVERRIDE",$F$7,"DEEP_PERIOD_OVERRIDE",AI$11)*1,"")))</f>
        <v/>
      </c>
      <c r="AJ35" s="17" t="str">
        <f ca="1">IF(ISNA($B35),"",IF($B35="","",IFERROR(_xll.BDP(TICKER,"DEEP_MEASURE_PERIOD_BROKER_VALUE","DEEP_MEASURE_ID_OVERRIDE",$C35,"DEEP_BROKER_ID_OVERRIDE",$F$7,"DEEP_PERIOD_OVERRIDE",AJ$11)*1,"")))</f>
        <v/>
      </c>
      <c r="AK35" s="17" t="str">
        <f ca="1">IF(ISNA($B35),"",IF($B35="","",IFERROR(_xll.BDP(TICKER,"DEEP_MEASURE_PERIOD_BROKER_VALUE","DEEP_MEASURE_ID_OVERRIDE",$C35,"DEEP_BROKER_ID_OVERRIDE",$F$7,"DEEP_PERIOD_OVERRIDE",AK$11)*1,"")))</f>
        <v/>
      </c>
      <c r="AL35" s="17" t="str">
        <f ca="1">IF(ISNA($B35),"",IF($B35="","",IFERROR(_xll.BDP(TICKER,"DEEP_MEASURE_PERIOD_BROKER_VALUE","DEEP_MEASURE_ID_OVERRIDE",$C35,"DEEP_BROKER_ID_OVERRIDE",$F$7,"DEEP_PERIOD_OVERRIDE",AL$11)*1,"")))</f>
        <v/>
      </c>
      <c r="AM35" s="17" t="str">
        <f ca="1">IF(ISNA($B35),"",IF($B35="","",IFERROR(_xll.BDP(TICKER,"DEEP_MEASURE_PERIOD_BROKER_VALUE","DEEP_MEASURE_ID_OVERRIDE",$C35,"DEEP_BROKER_ID_OVERRIDE",$F$7,"DEEP_PERIOD_OVERRIDE",AM$11)*1,"")))</f>
        <v/>
      </c>
      <c r="AN35" s="17" t="str">
        <f ca="1">IF(ISNA($B35),"",IF($B35="","",IFERROR(_xll.BDP(TICKER,"DEEP_MEASURE_PERIOD_BROKER_VALUE","DEEP_MEASURE_ID_OVERRIDE",$C35,"DEEP_BROKER_ID_OVERRIDE",$F$7,"DEEP_PERIOD_OVERRIDE",AN$11)*1,"")))</f>
        <v/>
      </c>
      <c r="AO35" s="17" t="str">
        <f ca="1">IF(ISNA($B35),"",IF($B35="","",IFERROR(_xll.BDP(TICKER,"DEEP_MEASURE_PERIOD_BROKER_VALUE","DEEP_MEASURE_ID_OVERRIDE",$C35,"DEEP_BROKER_ID_OVERRIDE",$F$7,"DEEP_PERIOD_OVERRIDE",AO$11)*1,"")))</f>
        <v/>
      </c>
      <c r="AP35" s="17" t="str">
        <f ca="1">IF(ISNA($B35),"",IF($B35="","",IFERROR(_xll.BDP(TICKER,"DEEP_MEASURE_PERIOD_BROKER_VALUE","DEEP_MEASURE_ID_OVERRIDE",$C35,"DEEP_BROKER_ID_OVERRIDE",$F$7,"DEEP_PERIOD_OVERRIDE",AP$11)*1,"")))</f>
        <v/>
      </c>
      <c r="AQ35" s="17" t="str">
        <f ca="1">IF(ISNA($B35),"",IF($B35="","",IFERROR(_xll.BDP(TICKER,"DEEP_MEASURE_PERIOD_BROKER_VALUE","DEEP_MEASURE_ID_OVERRIDE",$C35,"DEEP_BROKER_ID_OVERRIDE",$F$7,"DEEP_PERIOD_OVERRIDE",AQ$11)*1,"")))</f>
        <v/>
      </c>
    </row>
    <row r="36" spans="2:43" x14ac:dyDescent="0.25">
      <c r="B36" t="s">
        <v>45</v>
      </c>
      <c r="C36" s="11">
        <v>9844</v>
      </c>
      <c r="H36" t="str">
        <f t="shared" si="2"/>
        <v>Hotels, Media &amp; Platform &gt; Revenue &gt; TripAdvisor-Branded Display &amp; Platform &gt; YoY Growth (%)</v>
      </c>
      <c r="I36" s="17" t="str">
        <f ca="1">IF(ISNA($B36),"",IF($B36="","",IFERROR(_xll.BDP(TICKER,"DEEP_MEASURE_PERIOD_BROKER_VALUE","DEEP_MEASURE_ID_OVERRIDE",$C36,"DEEP_BROKER_ID_OVERRIDE",$F$7,"DEEP_PERIOD_OVERRIDE",I$11)*1,"")))</f>
        <v/>
      </c>
      <c r="J36" s="17" t="str">
        <f ca="1">IF(ISNA($B36),"",IF($B36="","",IFERROR(_xll.BDP(TICKER,"DEEP_MEASURE_PERIOD_BROKER_VALUE","DEEP_MEASURE_ID_OVERRIDE",$C36,"DEEP_BROKER_ID_OVERRIDE",$F$7,"DEEP_PERIOD_OVERRIDE",J$11)*1,"")))</f>
        <v/>
      </c>
      <c r="K36" s="17" t="str">
        <f ca="1">IF(ISNA($B36),"",IF($B36="","",IFERROR(_xll.BDP(TICKER,"DEEP_MEASURE_PERIOD_BROKER_VALUE","DEEP_MEASURE_ID_OVERRIDE",$C36,"DEEP_BROKER_ID_OVERRIDE",$F$7,"DEEP_PERIOD_OVERRIDE",K$11)*1,"")))</f>
        <v/>
      </c>
      <c r="L36" s="17" t="str">
        <f ca="1">IF(ISNA($B36),"",IF($B36="","",IFERROR(_xll.BDP(TICKER,"DEEP_MEASURE_PERIOD_BROKER_VALUE","DEEP_MEASURE_ID_OVERRIDE",$C36,"DEEP_BROKER_ID_OVERRIDE",$F$7,"DEEP_PERIOD_OVERRIDE",L$11)*1,"")))</f>
        <v/>
      </c>
      <c r="M36" s="17" t="str">
        <f ca="1">IF(ISNA($B36),"",IF($B36="","",IFERROR(_xll.BDP(TICKER,"DEEP_MEASURE_PERIOD_BROKER_VALUE","DEEP_MEASURE_ID_OVERRIDE",$C36,"DEEP_BROKER_ID_OVERRIDE",$F$7,"DEEP_PERIOD_OVERRIDE",M$11)*1,"")))</f>
        <v/>
      </c>
      <c r="N36" s="17" t="str">
        <f ca="1">IF(ISNA($B36),"",IF($B36="","",IFERROR(_xll.BDP(TICKER,"DEEP_MEASURE_PERIOD_BROKER_VALUE","DEEP_MEASURE_ID_OVERRIDE",$C36,"DEEP_BROKER_ID_OVERRIDE",$F$7,"DEEP_PERIOD_OVERRIDE",N$11)*1,"")))</f>
        <v/>
      </c>
      <c r="O36" s="17" t="str">
        <f ca="1">IF(ISNA($B36),"",IF($B36="","",IFERROR(_xll.BDP(TICKER,"DEEP_MEASURE_PERIOD_BROKER_VALUE","DEEP_MEASURE_ID_OVERRIDE",$C36,"DEEP_BROKER_ID_OVERRIDE",$F$7,"DEEP_PERIOD_OVERRIDE",O$11)*1,"")))</f>
        <v/>
      </c>
      <c r="P36" s="17" t="str">
        <f ca="1">IF(ISNA($B36),"",IF($B36="","",IFERROR(_xll.BDP(TICKER,"DEEP_MEASURE_PERIOD_BROKER_VALUE","DEEP_MEASURE_ID_OVERRIDE",$C36,"DEEP_BROKER_ID_OVERRIDE",$F$7,"DEEP_PERIOD_OVERRIDE",P$11)*1,"")))</f>
        <v/>
      </c>
      <c r="Q36" s="17" t="str">
        <f ca="1">IF(ISNA($B36),"",IF($B36="","",IFERROR(_xll.BDP(TICKER,"DEEP_MEASURE_PERIOD_BROKER_VALUE","DEEP_MEASURE_ID_OVERRIDE",$C36,"DEEP_BROKER_ID_OVERRIDE",$F$7,"DEEP_PERIOD_OVERRIDE",Q$11)*1,"")))</f>
        <v/>
      </c>
      <c r="R36" s="17" t="str">
        <f ca="1">IF(ISNA($B36),"",IF($B36="","",IFERROR(_xll.BDP(TICKER,"DEEP_MEASURE_PERIOD_BROKER_VALUE","DEEP_MEASURE_ID_OVERRIDE",$C36,"DEEP_BROKER_ID_OVERRIDE",$F$7,"DEEP_PERIOD_OVERRIDE",R$11)*1,"")))</f>
        <v/>
      </c>
      <c r="S36" s="17" t="str">
        <f ca="1">IF(ISNA($B36),"",IF($B36="","",IFERROR(_xll.BDP(TICKER,"DEEP_MEASURE_PERIOD_BROKER_VALUE","DEEP_MEASURE_ID_OVERRIDE",$C36,"DEEP_BROKER_ID_OVERRIDE",$F$7,"DEEP_PERIOD_OVERRIDE",S$11)*1,"")))</f>
        <v/>
      </c>
      <c r="T36" s="17" t="str">
        <f ca="1">IF(ISNA($B36),"",IF($B36="","",IFERROR(_xll.BDP(TICKER,"DEEP_MEASURE_PERIOD_BROKER_VALUE","DEEP_MEASURE_ID_OVERRIDE",$C36,"DEEP_BROKER_ID_OVERRIDE",$F$7,"DEEP_PERIOD_OVERRIDE",T$11)*1,"")))</f>
        <v/>
      </c>
      <c r="U36" s="17" t="str">
        <f ca="1">IF(ISNA($B36),"",IF($B36="","",IFERROR(_xll.BDP(TICKER,"DEEP_MEASURE_PERIOD_BROKER_VALUE","DEEP_MEASURE_ID_OVERRIDE",$C36,"DEEP_BROKER_ID_OVERRIDE",$F$7,"DEEP_PERIOD_OVERRIDE",U$11)*1,"")))</f>
        <v/>
      </c>
      <c r="V36" s="17" t="str">
        <f ca="1">IF(ISNA($B36),"",IF($B36="","",IFERROR(_xll.BDP(TICKER,"DEEP_MEASURE_PERIOD_BROKER_VALUE","DEEP_MEASURE_ID_OVERRIDE",$C36,"DEEP_BROKER_ID_OVERRIDE",$F$7,"DEEP_PERIOD_OVERRIDE",V$11)*1,"")))</f>
        <v/>
      </c>
      <c r="W36" s="17" t="str">
        <f ca="1">IF(ISNA($B36),"",IF($B36="","",IFERROR(_xll.BDP(TICKER,"DEEP_MEASURE_PERIOD_BROKER_VALUE","DEEP_MEASURE_ID_OVERRIDE",$C36,"DEEP_BROKER_ID_OVERRIDE",$F$7,"DEEP_PERIOD_OVERRIDE",W$11)*1,"")))</f>
        <v/>
      </c>
      <c r="X36" s="17" t="str">
        <f ca="1">IF(ISNA($B36),"",IF($B36="","",IFERROR(_xll.BDP(TICKER,"DEEP_MEASURE_PERIOD_BROKER_VALUE","DEEP_MEASURE_ID_OVERRIDE",$C36,"DEEP_BROKER_ID_OVERRIDE",$F$7,"DEEP_PERIOD_OVERRIDE",X$11)*1,"")))</f>
        <v/>
      </c>
      <c r="Y36" s="17" t="str">
        <f ca="1">IF(ISNA($B36),"",IF($B36="","",IFERROR(_xll.BDP(TICKER,"DEEP_MEASURE_PERIOD_BROKER_VALUE","DEEP_MEASURE_ID_OVERRIDE",$C36,"DEEP_BROKER_ID_OVERRIDE",$F$7,"DEEP_PERIOD_OVERRIDE",Y$11)*1,"")))</f>
        <v/>
      </c>
      <c r="Z36" s="17" t="str">
        <f ca="1">IF(ISNA($B36),"",IF($B36="","",IFERROR(_xll.BDP(TICKER,"DEEP_MEASURE_PERIOD_BROKER_VALUE","DEEP_MEASURE_ID_OVERRIDE",$C36,"DEEP_BROKER_ID_OVERRIDE",$F$7,"DEEP_PERIOD_OVERRIDE",Z$11)*1,"")))</f>
        <v/>
      </c>
      <c r="AA36" s="17" t="str">
        <f ca="1">IF(ISNA($B36),"",IF($B36="","",IFERROR(_xll.BDP(TICKER,"DEEP_MEASURE_PERIOD_BROKER_VALUE","DEEP_MEASURE_ID_OVERRIDE",$C36,"DEEP_BROKER_ID_OVERRIDE",$F$7,"DEEP_PERIOD_OVERRIDE",AA$11)*1,"")))</f>
        <v/>
      </c>
      <c r="AB36" s="17" t="str">
        <f ca="1">IF(ISNA($B36),"",IF($B36="","",IFERROR(_xll.BDP(TICKER,"DEEP_MEASURE_PERIOD_BROKER_VALUE","DEEP_MEASURE_ID_OVERRIDE",$C36,"DEEP_BROKER_ID_OVERRIDE",$F$7,"DEEP_PERIOD_OVERRIDE",AB$11)*1,"")))</f>
        <v/>
      </c>
      <c r="AC36" s="17" t="str">
        <f ca="1">IF(ISNA($B36),"",IF($B36="","",IFERROR(_xll.BDP(TICKER,"DEEP_MEASURE_PERIOD_BROKER_VALUE","DEEP_MEASURE_ID_OVERRIDE",$C36,"DEEP_BROKER_ID_OVERRIDE",$F$7,"DEEP_PERIOD_OVERRIDE",AC$11)*1,"")))</f>
        <v/>
      </c>
      <c r="AD36" s="17" t="str">
        <f ca="1">IF(ISNA($B36),"",IF($B36="","",IFERROR(_xll.BDP(TICKER,"DEEP_MEASURE_PERIOD_BROKER_VALUE","DEEP_MEASURE_ID_OVERRIDE",$C36,"DEEP_BROKER_ID_OVERRIDE",$F$7,"DEEP_PERIOD_OVERRIDE",AD$11)*1,"")))</f>
        <v/>
      </c>
      <c r="AE36" s="17" t="str">
        <f ca="1">IF(ISNA($B36),"",IF($B36="","",IFERROR(_xll.BDP(TICKER,"DEEP_MEASURE_PERIOD_BROKER_VALUE","DEEP_MEASURE_ID_OVERRIDE",$C36,"DEEP_BROKER_ID_OVERRIDE",$F$7,"DEEP_PERIOD_OVERRIDE",AE$11)*1,"")))</f>
        <v/>
      </c>
      <c r="AF36" s="17" t="str">
        <f ca="1">IF(ISNA($B36),"",IF($B36="","",IFERROR(_xll.BDP(TICKER,"DEEP_MEASURE_PERIOD_BROKER_VALUE","DEEP_MEASURE_ID_OVERRIDE",$C36,"DEEP_BROKER_ID_OVERRIDE",$F$7,"DEEP_PERIOD_OVERRIDE",AF$11)*1,"")))</f>
        <v/>
      </c>
      <c r="AG36" s="17" t="str">
        <f ca="1">IF(ISNA($B36),"",IF($B36="","",IFERROR(_xll.BDP(TICKER,"DEEP_MEASURE_PERIOD_BROKER_VALUE","DEEP_MEASURE_ID_OVERRIDE",$C36,"DEEP_BROKER_ID_OVERRIDE",$F$7,"DEEP_PERIOD_OVERRIDE",AG$11)*1,"")))</f>
        <v/>
      </c>
      <c r="AH36" s="17" t="str">
        <f ca="1">IF(ISNA($B36),"",IF($B36="","",IFERROR(_xll.BDP(TICKER,"DEEP_MEASURE_PERIOD_BROKER_VALUE","DEEP_MEASURE_ID_OVERRIDE",$C36,"DEEP_BROKER_ID_OVERRIDE",$F$7,"DEEP_PERIOD_OVERRIDE",AH$11)*1,"")))</f>
        <v/>
      </c>
      <c r="AI36" s="17" t="str">
        <f ca="1">IF(ISNA($B36),"",IF($B36="","",IFERROR(_xll.BDP(TICKER,"DEEP_MEASURE_PERIOD_BROKER_VALUE","DEEP_MEASURE_ID_OVERRIDE",$C36,"DEEP_BROKER_ID_OVERRIDE",$F$7,"DEEP_PERIOD_OVERRIDE",AI$11)*1,"")))</f>
        <v/>
      </c>
      <c r="AJ36" s="17" t="str">
        <f ca="1">IF(ISNA($B36),"",IF($B36="","",IFERROR(_xll.BDP(TICKER,"DEEP_MEASURE_PERIOD_BROKER_VALUE","DEEP_MEASURE_ID_OVERRIDE",$C36,"DEEP_BROKER_ID_OVERRIDE",$F$7,"DEEP_PERIOD_OVERRIDE",AJ$11)*1,"")))</f>
        <v/>
      </c>
      <c r="AK36" s="17" t="str">
        <f ca="1">IF(ISNA($B36),"",IF($B36="","",IFERROR(_xll.BDP(TICKER,"DEEP_MEASURE_PERIOD_BROKER_VALUE","DEEP_MEASURE_ID_OVERRIDE",$C36,"DEEP_BROKER_ID_OVERRIDE",$F$7,"DEEP_PERIOD_OVERRIDE",AK$11)*1,"")))</f>
        <v/>
      </c>
      <c r="AL36" s="17" t="str">
        <f ca="1">IF(ISNA($B36),"",IF($B36="","",IFERROR(_xll.BDP(TICKER,"DEEP_MEASURE_PERIOD_BROKER_VALUE","DEEP_MEASURE_ID_OVERRIDE",$C36,"DEEP_BROKER_ID_OVERRIDE",$F$7,"DEEP_PERIOD_OVERRIDE",AL$11)*1,"")))</f>
        <v/>
      </c>
      <c r="AM36" s="17" t="str">
        <f ca="1">IF(ISNA($B36),"",IF($B36="","",IFERROR(_xll.BDP(TICKER,"DEEP_MEASURE_PERIOD_BROKER_VALUE","DEEP_MEASURE_ID_OVERRIDE",$C36,"DEEP_BROKER_ID_OVERRIDE",$F$7,"DEEP_PERIOD_OVERRIDE",AM$11)*1,"")))</f>
        <v/>
      </c>
      <c r="AN36" s="17" t="str">
        <f ca="1">IF(ISNA($B36),"",IF($B36="","",IFERROR(_xll.BDP(TICKER,"DEEP_MEASURE_PERIOD_BROKER_VALUE","DEEP_MEASURE_ID_OVERRIDE",$C36,"DEEP_BROKER_ID_OVERRIDE",$F$7,"DEEP_PERIOD_OVERRIDE",AN$11)*1,"")))</f>
        <v/>
      </c>
      <c r="AO36" s="17" t="str">
        <f ca="1">IF(ISNA($B36),"",IF($B36="","",IFERROR(_xll.BDP(TICKER,"DEEP_MEASURE_PERIOD_BROKER_VALUE","DEEP_MEASURE_ID_OVERRIDE",$C36,"DEEP_BROKER_ID_OVERRIDE",$F$7,"DEEP_PERIOD_OVERRIDE",AO$11)*1,"")))</f>
        <v/>
      </c>
      <c r="AP36" s="17" t="str">
        <f ca="1">IF(ISNA($B36),"",IF($B36="","",IFERROR(_xll.BDP(TICKER,"DEEP_MEASURE_PERIOD_BROKER_VALUE","DEEP_MEASURE_ID_OVERRIDE",$C36,"DEEP_BROKER_ID_OVERRIDE",$F$7,"DEEP_PERIOD_OVERRIDE",AP$11)*1,"")))</f>
        <v/>
      </c>
      <c r="AQ36" s="17" t="str">
        <f ca="1">IF(ISNA($B36),"",IF($B36="","",IFERROR(_xll.BDP(TICKER,"DEEP_MEASURE_PERIOD_BROKER_VALUE","DEEP_MEASURE_ID_OVERRIDE",$C36,"DEEP_BROKER_ID_OVERRIDE",$F$7,"DEEP_PERIOD_OVERRIDE",AQ$11)*1,"")))</f>
        <v/>
      </c>
    </row>
    <row r="37" spans="2:43" x14ac:dyDescent="0.25">
      <c r="B37" t="s">
        <v>89</v>
      </c>
      <c r="C37" s="11">
        <v>9842</v>
      </c>
      <c r="H37" t="str">
        <f t="shared" si="2"/>
        <v>Hotels, Media &amp; Platform &gt; Revenue &gt; Revenue Growth (% YoY)</v>
      </c>
      <c r="I37" s="17" t="str">
        <f ca="1">IF(ISNA($B37),"",IF($B37="","",IFERROR(_xll.BDP(TICKER,"DEEP_MEASURE_PERIOD_BROKER_VALUE","DEEP_MEASURE_ID_OVERRIDE",$C37,"DEEP_BROKER_ID_OVERRIDE",$F$7,"DEEP_PERIOD_OVERRIDE",I$11)*1,"")))</f>
        <v/>
      </c>
      <c r="J37" s="17" t="str">
        <f ca="1">IF(ISNA($B37),"",IF($B37="","",IFERROR(_xll.BDP(TICKER,"DEEP_MEASURE_PERIOD_BROKER_VALUE","DEEP_MEASURE_ID_OVERRIDE",$C37,"DEEP_BROKER_ID_OVERRIDE",$F$7,"DEEP_PERIOD_OVERRIDE",J$11)*1,"")))</f>
        <v/>
      </c>
      <c r="K37" s="17" t="str">
        <f ca="1">IF(ISNA($B37),"",IF($B37="","",IFERROR(_xll.BDP(TICKER,"DEEP_MEASURE_PERIOD_BROKER_VALUE","DEEP_MEASURE_ID_OVERRIDE",$C37,"DEEP_BROKER_ID_OVERRIDE",$F$7,"DEEP_PERIOD_OVERRIDE",K$11)*1,"")))</f>
        <v/>
      </c>
      <c r="L37" s="17" t="str">
        <f ca="1">IF(ISNA($B37),"",IF($B37="","",IFERROR(_xll.BDP(TICKER,"DEEP_MEASURE_PERIOD_BROKER_VALUE","DEEP_MEASURE_ID_OVERRIDE",$C37,"DEEP_BROKER_ID_OVERRIDE",$F$7,"DEEP_PERIOD_OVERRIDE",L$11)*1,"")))</f>
        <v/>
      </c>
      <c r="M37" s="17" t="str">
        <f ca="1">IF(ISNA($B37),"",IF($B37="","",IFERROR(_xll.BDP(TICKER,"DEEP_MEASURE_PERIOD_BROKER_VALUE","DEEP_MEASURE_ID_OVERRIDE",$C37,"DEEP_BROKER_ID_OVERRIDE",$F$7,"DEEP_PERIOD_OVERRIDE",M$11)*1,"")))</f>
        <v/>
      </c>
      <c r="N37" s="17" t="str">
        <f ca="1">IF(ISNA($B37),"",IF($B37="","",IFERROR(_xll.BDP(TICKER,"DEEP_MEASURE_PERIOD_BROKER_VALUE","DEEP_MEASURE_ID_OVERRIDE",$C37,"DEEP_BROKER_ID_OVERRIDE",$F$7,"DEEP_PERIOD_OVERRIDE",N$11)*1,"")))</f>
        <v/>
      </c>
      <c r="O37" s="17" t="str">
        <f ca="1">IF(ISNA($B37),"",IF($B37="","",IFERROR(_xll.BDP(TICKER,"DEEP_MEASURE_PERIOD_BROKER_VALUE","DEEP_MEASURE_ID_OVERRIDE",$C37,"DEEP_BROKER_ID_OVERRIDE",$F$7,"DEEP_PERIOD_OVERRIDE",O$11)*1,"")))</f>
        <v/>
      </c>
      <c r="P37" s="17" t="str">
        <f ca="1">IF(ISNA($B37),"",IF($B37="","",IFERROR(_xll.BDP(TICKER,"DEEP_MEASURE_PERIOD_BROKER_VALUE","DEEP_MEASURE_ID_OVERRIDE",$C37,"DEEP_BROKER_ID_OVERRIDE",$F$7,"DEEP_PERIOD_OVERRIDE",P$11)*1,"")))</f>
        <v/>
      </c>
      <c r="Q37" s="17" t="str">
        <f ca="1">IF(ISNA($B37),"",IF($B37="","",IFERROR(_xll.BDP(TICKER,"DEEP_MEASURE_PERIOD_BROKER_VALUE","DEEP_MEASURE_ID_OVERRIDE",$C37,"DEEP_BROKER_ID_OVERRIDE",$F$7,"DEEP_PERIOD_OVERRIDE",Q$11)*1,"")))</f>
        <v/>
      </c>
      <c r="R37" s="17" t="str">
        <f ca="1">IF(ISNA($B37),"",IF($B37="","",IFERROR(_xll.BDP(TICKER,"DEEP_MEASURE_PERIOD_BROKER_VALUE","DEEP_MEASURE_ID_OVERRIDE",$C37,"DEEP_BROKER_ID_OVERRIDE",$F$7,"DEEP_PERIOD_OVERRIDE",R$11)*1,"")))</f>
        <v/>
      </c>
      <c r="S37" s="17" t="str">
        <f ca="1">IF(ISNA($B37),"",IF($B37="","",IFERROR(_xll.BDP(TICKER,"DEEP_MEASURE_PERIOD_BROKER_VALUE","DEEP_MEASURE_ID_OVERRIDE",$C37,"DEEP_BROKER_ID_OVERRIDE",$F$7,"DEEP_PERIOD_OVERRIDE",S$11)*1,"")))</f>
        <v/>
      </c>
      <c r="T37" s="17" t="str">
        <f ca="1">IF(ISNA($B37),"",IF($B37="","",IFERROR(_xll.BDP(TICKER,"DEEP_MEASURE_PERIOD_BROKER_VALUE","DEEP_MEASURE_ID_OVERRIDE",$C37,"DEEP_BROKER_ID_OVERRIDE",$F$7,"DEEP_PERIOD_OVERRIDE",T$11)*1,"")))</f>
        <v/>
      </c>
      <c r="U37" s="17" t="str">
        <f ca="1">IF(ISNA($B37),"",IF($B37="","",IFERROR(_xll.BDP(TICKER,"DEEP_MEASURE_PERIOD_BROKER_VALUE","DEEP_MEASURE_ID_OVERRIDE",$C37,"DEEP_BROKER_ID_OVERRIDE",$F$7,"DEEP_PERIOD_OVERRIDE",U$11)*1,"")))</f>
        <v/>
      </c>
      <c r="V37" s="17" t="str">
        <f ca="1">IF(ISNA($B37),"",IF($B37="","",IFERROR(_xll.BDP(TICKER,"DEEP_MEASURE_PERIOD_BROKER_VALUE","DEEP_MEASURE_ID_OVERRIDE",$C37,"DEEP_BROKER_ID_OVERRIDE",$F$7,"DEEP_PERIOD_OVERRIDE",V$11)*1,"")))</f>
        <v/>
      </c>
      <c r="W37" s="17" t="str">
        <f ca="1">IF(ISNA($B37),"",IF($B37="","",IFERROR(_xll.BDP(TICKER,"DEEP_MEASURE_PERIOD_BROKER_VALUE","DEEP_MEASURE_ID_OVERRIDE",$C37,"DEEP_BROKER_ID_OVERRIDE",$F$7,"DEEP_PERIOD_OVERRIDE",W$11)*1,"")))</f>
        <v/>
      </c>
      <c r="X37" s="17" t="str">
        <f ca="1">IF(ISNA($B37),"",IF($B37="","",IFERROR(_xll.BDP(TICKER,"DEEP_MEASURE_PERIOD_BROKER_VALUE","DEEP_MEASURE_ID_OVERRIDE",$C37,"DEEP_BROKER_ID_OVERRIDE",$F$7,"DEEP_PERIOD_OVERRIDE",X$11)*1,"")))</f>
        <v/>
      </c>
      <c r="Y37" s="17" t="str">
        <f ca="1">IF(ISNA($B37),"",IF($B37="","",IFERROR(_xll.BDP(TICKER,"DEEP_MEASURE_PERIOD_BROKER_VALUE","DEEP_MEASURE_ID_OVERRIDE",$C37,"DEEP_BROKER_ID_OVERRIDE",$F$7,"DEEP_PERIOD_OVERRIDE",Y$11)*1,"")))</f>
        <v/>
      </c>
      <c r="Z37" s="17" t="str">
        <f ca="1">IF(ISNA($B37),"",IF($B37="","",IFERROR(_xll.BDP(TICKER,"DEEP_MEASURE_PERIOD_BROKER_VALUE","DEEP_MEASURE_ID_OVERRIDE",$C37,"DEEP_BROKER_ID_OVERRIDE",$F$7,"DEEP_PERIOD_OVERRIDE",Z$11)*1,"")))</f>
        <v/>
      </c>
      <c r="AA37" s="17" t="str">
        <f ca="1">IF(ISNA($B37),"",IF($B37="","",IFERROR(_xll.BDP(TICKER,"DEEP_MEASURE_PERIOD_BROKER_VALUE","DEEP_MEASURE_ID_OVERRIDE",$C37,"DEEP_BROKER_ID_OVERRIDE",$F$7,"DEEP_PERIOD_OVERRIDE",AA$11)*1,"")))</f>
        <v/>
      </c>
      <c r="AB37" s="17" t="str">
        <f ca="1">IF(ISNA($B37),"",IF($B37="","",IFERROR(_xll.BDP(TICKER,"DEEP_MEASURE_PERIOD_BROKER_VALUE","DEEP_MEASURE_ID_OVERRIDE",$C37,"DEEP_BROKER_ID_OVERRIDE",$F$7,"DEEP_PERIOD_OVERRIDE",AB$11)*1,"")))</f>
        <v/>
      </c>
      <c r="AC37" s="17" t="str">
        <f ca="1">IF(ISNA($B37),"",IF($B37="","",IFERROR(_xll.BDP(TICKER,"DEEP_MEASURE_PERIOD_BROKER_VALUE","DEEP_MEASURE_ID_OVERRIDE",$C37,"DEEP_BROKER_ID_OVERRIDE",$F$7,"DEEP_PERIOD_OVERRIDE",AC$11)*1,"")))</f>
        <v/>
      </c>
      <c r="AD37" s="17" t="str">
        <f ca="1">IF(ISNA($B37),"",IF($B37="","",IFERROR(_xll.BDP(TICKER,"DEEP_MEASURE_PERIOD_BROKER_VALUE","DEEP_MEASURE_ID_OVERRIDE",$C37,"DEEP_BROKER_ID_OVERRIDE",$F$7,"DEEP_PERIOD_OVERRIDE",AD$11)*1,"")))</f>
        <v/>
      </c>
      <c r="AE37" s="17" t="str">
        <f ca="1">IF(ISNA($B37),"",IF($B37="","",IFERROR(_xll.BDP(TICKER,"DEEP_MEASURE_PERIOD_BROKER_VALUE","DEEP_MEASURE_ID_OVERRIDE",$C37,"DEEP_BROKER_ID_OVERRIDE",$F$7,"DEEP_PERIOD_OVERRIDE",AE$11)*1,"")))</f>
        <v/>
      </c>
      <c r="AF37" s="17" t="str">
        <f ca="1">IF(ISNA($B37),"",IF($B37="","",IFERROR(_xll.BDP(TICKER,"DEEP_MEASURE_PERIOD_BROKER_VALUE","DEEP_MEASURE_ID_OVERRIDE",$C37,"DEEP_BROKER_ID_OVERRIDE",$F$7,"DEEP_PERIOD_OVERRIDE",AF$11)*1,"")))</f>
        <v/>
      </c>
      <c r="AG37" s="17" t="str">
        <f ca="1">IF(ISNA($B37),"",IF($B37="","",IFERROR(_xll.BDP(TICKER,"DEEP_MEASURE_PERIOD_BROKER_VALUE","DEEP_MEASURE_ID_OVERRIDE",$C37,"DEEP_BROKER_ID_OVERRIDE",$F$7,"DEEP_PERIOD_OVERRIDE",AG$11)*1,"")))</f>
        <v/>
      </c>
      <c r="AH37" s="17" t="str">
        <f ca="1">IF(ISNA($B37),"",IF($B37="","",IFERROR(_xll.BDP(TICKER,"DEEP_MEASURE_PERIOD_BROKER_VALUE","DEEP_MEASURE_ID_OVERRIDE",$C37,"DEEP_BROKER_ID_OVERRIDE",$F$7,"DEEP_PERIOD_OVERRIDE",AH$11)*1,"")))</f>
        <v/>
      </c>
      <c r="AI37" s="17" t="str">
        <f ca="1">IF(ISNA($B37),"",IF($B37="","",IFERROR(_xll.BDP(TICKER,"DEEP_MEASURE_PERIOD_BROKER_VALUE","DEEP_MEASURE_ID_OVERRIDE",$C37,"DEEP_BROKER_ID_OVERRIDE",$F$7,"DEEP_PERIOD_OVERRIDE",AI$11)*1,"")))</f>
        <v/>
      </c>
      <c r="AJ37" s="17" t="str">
        <f ca="1">IF(ISNA($B37),"",IF($B37="","",IFERROR(_xll.BDP(TICKER,"DEEP_MEASURE_PERIOD_BROKER_VALUE","DEEP_MEASURE_ID_OVERRIDE",$C37,"DEEP_BROKER_ID_OVERRIDE",$F$7,"DEEP_PERIOD_OVERRIDE",AJ$11)*1,"")))</f>
        <v/>
      </c>
      <c r="AK37" s="17" t="str">
        <f ca="1">IF(ISNA($B37),"",IF($B37="","",IFERROR(_xll.BDP(TICKER,"DEEP_MEASURE_PERIOD_BROKER_VALUE","DEEP_MEASURE_ID_OVERRIDE",$C37,"DEEP_BROKER_ID_OVERRIDE",$F$7,"DEEP_PERIOD_OVERRIDE",AK$11)*1,"")))</f>
        <v/>
      </c>
      <c r="AL37" s="17" t="str">
        <f ca="1">IF(ISNA($B37),"",IF($B37="","",IFERROR(_xll.BDP(TICKER,"DEEP_MEASURE_PERIOD_BROKER_VALUE","DEEP_MEASURE_ID_OVERRIDE",$C37,"DEEP_BROKER_ID_OVERRIDE",$F$7,"DEEP_PERIOD_OVERRIDE",AL$11)*1,"")))</f>
        <v/>
      </c>
      <c r="AM37" s="17" t="str">
        <f ca="1">IF(ISNA($B37),"",IF($B37="","",IFERROR(_xll.BDP(TICKER,"DEEP_MEASURE_PERIOD_BROKER_VALUE","DEEP_MEASURE_ID_OVERRIDE",$C37,"DEEP_BROKER_ID_OVERRIDE",$F$7,"DEEP_PERIOD_OVERRIDE",AM$11)*1,"")))</f>
        <v/>
      </c>
      <c r="AN37" s="17" t="str">
        <f ca="1">IF(ISNA($B37),"",IF($B37="","",IFERROR(_xll.BDP(TICKER,"DEEP_MEASURE_PERIOD_BROKER_VALUE","DEEP_MEASURE_ID_OVERRIDE",$C37,"DEEP_BROKER_ID_OVERRIDE",$F$7,"DEEP_PERIOD_OVERRIDE",AN$11)*1,"")))</f>
        <v/>
      </c>
      <c r="AO37" s="17" t="str">
        <f ca="1">IF(ISNA($B37),"",IF($B37="","",IFERROR(_xll.BDP(TICKER,"DEEP_MEASURE_PERIOD_BROKER_VALUE","DEEP_MEASURE_ID_OVERRIDE",$C37,"DEEP_BROKER_ID_OVERRIDE",$F$7,"DEEP_PERIOD_OVERRIDE",AO$11)*1,"")))</f>
        <v/>
      </c>
      <c r="AP37" s="17" t="str">
        <f ca="1">IF(ISNA($B37),"",IF($B37="","",IFERROR(_xll.BDP(TICKER,"DEEP_MEASURE_PERIOD_BROKER_VALUE","DEEP_MEASURE_ID_OVERRIDE",$C37,"DEEP_BROKER_ID_OVERRIDE",$F$7,"DEEP_PERIOD_OVERRIDE",AP$11)*1,"")))</f>
        <v/>
      </c>
      <c r="AQ37" s="17" t="str">
        <f ca="1">IF(ISNA($B37),"",IF($B37="","",IFERROR(_xll.BDP(TICKER,"DEEP_MEASURE_PERIOD_BROKER_VALUE","DEEP_MEASURE_ID_OVERRIDE",$C37,"DEEP_BROKER_ID_OVERRIDE",$F$7,"DEEP_PERIOD_OVERRIDE",AQ$11)*1,"")))</f>
        <v/>
      </c>
    </row>
    <row r="38" spans="2:43" x14ac:dyDescent="0.25">
      <c r="B38" t="s">
        <v>90</v>
      </c>
      <c r="C38" s="11">
        <v>10237</v>
      </c>
      <c r="H38" t="str">
        <f t="shared" si="2"/>
        <v>Hotels, Media &amp; Platform &gt; Operating Expenses</v>
      </c>
      <c r="I38" s="17" t="str">
        <f ca="1">IF(ISNA($B38),"",IF($B38="","",IFERROR(_xll.BDP(TICKER,"DEEP_MEASURE_PERIOD_BROKER_VALUE","DEEP_MEASURE_ID_OVERRIDE",$C38,"DEEP_BROKER_ID_OVERRIDE",$F$7,"DEEP_PERIOD_OVERRIDE",I$11)*1,"")))</f>
        <v/>
      </c>
      <c r="J38" s="17" t="str">
        <f ca="1">IF(ISNA($B38),"",IF($B38="","",IFERROR(_xll.BDP(TICKER,"DEEP_MEASURE_PERIOD_BROKER_VALUE","DEEP_MEASURE_ID_OVERRIDE",$C38,"DEEP_BROKER_ID_OVERRIDE",$F$7,"DEEP_PERIOD_OVERRIDE",J$11)*1,"")))</f>
        <v/>
      </c>
      <c r="K38" s="17" t="str">
        <f ca="1">IF(ISNA($B38),"",IF($B38="","",IFERROR(_xll.BDP(TICKER,"DEEP_MEASURE_PERIOD_BROKER_VALUE","DEEP_MEASURE_ID_OVERRIDE",$C38,"DEEP_BROKER_ID_OVERRIDE",$F$7,"DEEP_PERIOD_OVERRIDE",K$11)*1,"")))</f>
        <v/>
      </c>
      <c r="L38" s="17" t="str">
        <f ca="1">IF(ISNA($B38),"",IF($B38="","",IFERROR(_xll.BDP(TICKER,"DEEP_MEASURE_PERIOD_BROKER_VALUE","DEEP_MEASURE_ID_OVERRIDE",$C38,"DEEP_BROKER_ID_OVERRIDE",$F$7,"DEEP_PERIOD_OVERRIDE",L$11)*1,"")))</f>
        <v/>
      </c>
      <c r="M38" s="17" t="str">
        <f ca="1">IF(ISNA($B38),"",IF($B38="","",IFERROR(_xll.BDP(TICKER,"DEEP_MEASURE_PERIOD_BROKER_VALUE","DEEP_MEASURE_ID_OVERRIDE",$C38,"DEEP_BROKER_ID_OVERRIDE",$F$7,"DEEP_PERIOD_OVERRIDE",M$11)*1,"")))</f>
        <v/>
      </c>
      <c r="N38" s="17" t="str">
        <f ca="1">IF(ISNA($B38),"",IF($B38="","",IFERROR(_xll.BDP(TICKER,"DEEP_MEASURE_PERIOD_BROKER_VALUE","DEEP_MEASURE_ID_OVERRIDE",$C38,"DEEP_BROKER_ID_OVERRIDE",$F$7,"DEEP_PERIOD_OVERRIDE",N$11)*1,"")))</f>
        <v/>
      </c>
      <c r="O38" s="17" t="str">
        <f ca="1">IF(ISNA($B38),"",IF($B38="","",IFERROR(_xll.BDP(TICKER,"DEEP_MEASURE_PERIOD_BROKER_VALUE","DEEP_MEASURE_ID_OVERRIDE",$C38,"DEEP_BROKER_ID_OVERRIDE",$F$7,"DEEP_PERIOD_OVERRIDE",O$11)*1,"")))</f>
        <v/>
      </c>
      <c r="P38" s="17" t="str">
        <f ca="1">IF(ISNA($B38),"",IF($B38="","",IFERROR(_xll.BDP(TICKER,"DEEP_MEASURE_PERIOD_BROKER_VALUE","DEEP_MEASURE_ID_OVERRIDE",$C38,"DEEP_BROKER_ID_OVERRIDE",$F$7,"DEEP_PERIOD_OVERRIDE",P$11)*1,"")))</f>
        <v/>
      </c>
      <c r="Q38" s="17" t="str">
        <f ca="1">IF(ISNA($B38),"",IF($B38="","",IFERROR(_xll.BDP(TICKER,"DEEP_MEASURE_PERIOD_BROKER_VALUE","DEEP_MEASURE_ID_OVERRIDE",$C38,"DEEP_BROKER_ID_OVERRIDE",$F$7,"DEEP_PERIOD_OVERRIDE",Q$11)*1,"")))</f>
        <v/>
      </c>
      <c r="R38" s="17" t="str">
        <f ca="1">IF(ISNA($B38),"",IF($B38="","",IFERROR(_xll.BDP(TICKER,"DEEP_MEASURE_PERIOD_BROKER_VALUE","DEEP_MEASURE_ID_OVERRIDE",$C38,"DEEP_BROKER_ID_OVERRIDE",$F$7,"DEEP_PERIOD_OVERRIDE",R$11)*1,"")))</f>
        <v/>
      </c>
      <c r="S38" s="17" t="str">
        <f ca="1">IF(ISNA($B38),"",IF($B38="","",IFERROR(_xll.BDP(TICKER,"DEEP_MEASURE_PERIOD_BROKER_VALUE","DEEP_MEASURE_ID_OVERRIDE",$C38,"DEEP_BROKER_ID_OVERRIDE",$F$7,"DEEP_PERIOD_OVERRIDE",S$11)*1,"")))</f>
        <v/>
      </c>
      <c r="T38" s="17" t="str">
        <f ca="1">IF(ISNA($B38),"",IF($B38="","",IFERROR(_xll.BDP(TICKER,"DEEP_MEASURE_PERIOD_BROKER_VALUE","DEEP_MEASURE_ID_OVERRIDE",$C38,"DEEP_BROKER_ID_OVERRIDE",$F$7,"DEEP_PERIOD_OVERRIDE",T$11)*1,"")))</f>
        <v/>
      </c>
      <c r="U38" s="17" t="str">
        <f ca="1">IF(ISNA($B38),"",IF($B38="","",IFERROR(_xll.BDP(TICKER,"DEEP_MEASURE_PERIOD_BROKER_VALUE","DEEP_MEASURE_ID_OVERRIDE",$C38,"DEEP_BROKER_ID_OVERRIDE",$F$7,"DEEP_PERIOD_OVERRIDE",U$11)*1,"")))</f>
        <v/>
      </c>
      <c r="V38" s="17" t="str">
        <f ca="1">IF(ISNA($B38),"",IF($B38="","",IFERROR(_xll.BDP(TICKER,"DEEP_MEASURE_PERIOD_BROKER_VALUE","DEEP_MEASURE_ID_OVERRIDE",$C38,"DEEP_BROKER_ID_OVERRIDE",$F$7,"DEEP_PERIOD_OVERRIDE",V$11)*1,"")))</f>
        <v/>
      </c>
      <c r="W38" s="17" t="str">
        <f ca="1">IF(ISNA($B38),"",IF($B38="","",IFERROR(_xll.BDP(TICKER,"DEEP_MEASURE_PERIOD_BROKER_VALUE","DEEP_MEASURE_ID_OVERRIDE",$C38,"DEEP_BROKER_ID_OVERRIDE",$F$7,"DEEP_PERIOD_OVERRIDE",W$11)*1,"")))</f>
        <v/>
      </c>
      <c r="X38" s="17" t="str">
        <f ca="1">IF(ISNA($B38),"",IF($B38="","",IFERROR(_xll.BDP(TICKER,"DEEP_MEASURE_PERIOD_BROKER_VALUE","DEEP_MEASURE_ID_OVERRIDE",$C38,"DEEP_BROKER_ID_OVERRIDE",$F$7,"DEEP_PERIOD_OVERRIDE",X$11)*1,"")))</f>
        <v/>
      </c>
      <c r="Y38" s="17" t="str">
        <f ca="1">IF(ISNA($B38),"",IF($B38="","",IFERROR(_xll.BDP(TICKER,"DEEP_MEASURE_PERIOD_BROKER_VALUE","DEEP_MEASURE_ID_OVERRIDE",$C38,"DEEP_BROKER_ID_OVERRIDE",$F$7,"DEEP_PERIOD_OVERRIDE",Y$11)*1,"")))</f>
        <v/>
      </c>
      <c r="Z38" s="17" t="str">
        <f ca="1">IF(ISNA($B38),"",IF($B38="","",IFERROR(_xll.BDP(TICKER,"DEEP_MEASURE_PERIOD_BROKER_VALUE","DEEP_MEASURE_ID_OVERRIDE",$C38,"DEEP_BROKER_ID_OVERRIDE",$F$7,"DEEP_PERIOD_OVERRIDE",Z$11)*1,"")))</f>
        <v/>
      </c>
      <c r="AA38" s="17" t="str">
        <f ca="1">IF(ISNA($B38),"",IF($B38="","",IFERROR(_xll.BDP(TICKER,"DEEP_MEASURE_PERIOD_BROKER_VALUE","DEEP_MEASURE_ID_OVERRIDE",$C38,"DEEP_BROKER_ID_OVERRIDE",$F$7,"DEEP_PERIOD_OVERRIDE",AA$11)*1,"")))</f>
        <v/>
      </c>
      <c r="AB38" s="17" t="str">
        <f ca="1">IF(ISNA($B38),"",IF($B38="","",IFERROR(_xll.BDP(TICKER,"DEEP_MEASURE_PERIOD_BROKER_VALUE","DEEP_MEASURE_ID_OVERRIDE",$C38,"DEEP_BROKER_ID_OVERRIDE",$F$7,"DEEP_PERIOD_OVERRIDE",AB$11)*1,"")))</f>
        <v/>
      </c>
      <c r="AC38" s="17" t="str">
        <f ca="1">IF(ISNA($B38),"",IF($B38="","",IFERROR(_xll.BDP(TICKER,"DEEP_MEASURE_PERIOD_BROKER_VALUE","DEEP_MEASURE_ID_OVERRIDE",$C38,"DEEP_BROKER_ID_OVERRIDE",$F$7,"DEEP_PERIOD_OVERRIDE",AC$11)*1,"")))</f>
        <v/>
      </c>
      <c r="AD38" s="17" t="str">
        <f ca="1">IF(ISNA($B38),"",IF($B38="","",IFERROR(_xll.BDP(TICKER,"DEEP_MEASURE_PERIOD_BROKER_VALUE","DEEP_MEASURE_ID_OVERRIDE",$C38,"DEEP_BROKER_ID_OVERRIDE",$F$7,"DEEP_PERIOD_OVERRIDE",AD$11)*1,"")))</f>
        <v/>
      </c>
      <c r="AE38" s="17" t="str">
        <f ca="1">IF(ISNA($B38),"",IF($B38="","",IFERROR(_xll.BDP(TICKER,"DEEP_MEASURE_PERIOD_BROKER_VALUE","DEEP_MEASURE_ID_OVERRIDE",$C38,"DEEP_BROKER_ID_OVERRIDE",$F$7,"DEEP_PERIOD_OVERRIDE",AE$11)*1,"")))</f>
        <v/>
      </c>
      <c r="AF38" s="17" t="str">
        <f ca="1">IF(ISNA($B38),"",IF($B38="","",IFERROR(_xll.BDP(TICKER,"DEEP_MEASURE_PERIOD_BROKER_VALUE","DEEP_MEASURE_ID_OVERRIDE",$C38,"DEEP_BROKER_ID_OVERRIDE",$F$7,"DEEP_PERIOD_OVERRIDE",AF$11)*1,"")))</f>
        <v/>
      </c>
      <c r="AG38" s="17" t="str">
        <f ca="1">IF(ISNA($B38),"",IF($B38="","",IFERROR(_xll.BDP(TICKER,"DEEP_MEASURE_PERIOD_BROKER_VALUE","DEEP_MEASURE_ID_OVERRIDE",$C38,"DEEP_BROKER_ID_OVERRIDE",$F$7,"DEEP_PERIOD_OVERRIDE",AG$11)*1,"")))</f>
        <v/>
      </c>
      <c r="AH38" s="17" t="str">
        <f ca="1">IF(ISNA($B38),"",IF($B38="","",IFERROR(_xll.BDP(TICKER,"DEEP_MEASURE_PERIOD_BROKER_VALUE","DEEP_MEASURE_ID_OVERRIDE",$C38,"DEEP_BROKER_ID_OVERRIDE",$F$7,"DEEP_PERIOD_OVERRIDE",AH$11)*1,"")))</f>
        <v/>
      </c>
      <c r="AI38" s="17" t="str">
        <f ca="1">IF(ISNA($B38),"",IF($B38="","",IFERROR(_xll.BDP(TICKER,"DEEP_MEASURE_PERIOD_BROKER_VALUE","DEEP_MEASURE_ID_OVERRIDE",$C38,"DEEP_BROKER_ID_OVERRIDE",$F$7,"DEEP_PERIOD_OVERRIDE",AI$11)*1,"")))</f>
        <v/>
      </c>
      <c r="AJ38" s="17" t="str">
        <f ca="1">IF(ISNA($B38),"",IF($B38="","",IFERROR(_xll.BDP(TICKER,"DEEP_MEASURE_PERIOD_BROKER_VALUE","DEEP_MEASURE_ID_OVERRIDE",$C38,"DEEP_BROKER_ID_OVERRIDE",$F$7,"DEEP_PERIOD_OVERRIDE",AJ$11)*1,"")))</f>
        <v/>
      </c>
      <c r="AK38" s="17" t="str">
        <f ca="1">IF(ISNA($B38),"",IF($B38="","",IFERROR(_xll.BDP(TICKER,"DEEP_MEASURE_PERIOD_BROKER_VALUE","DEEP_MEASURE_ID_OVERRIDE",$C38,"DEEP_BROKER_ID_OVERRIDE",$F$7,"DEEP_PERIOD_OVERRIDE",AK$11)*1,"")))</f>
        <v/>
      </c>
      <c r="AL38" s="17" t="str">
        <f ca="1">IF(ISNA($B38),"",IF($B38="","",IFERROR(_xll.BDP(TICKER,"DEEP_MEASURE_PERIOD_BROKER_VALUE","DEEP_MEASURE_ID_OVERRIDE",$C38,"DEEP_BROKER_ID_OVERRIDE",$F$7,"DEEP_PERIOD_OVERRIDE",AL$11)*1,"")))</f>
        <v/>
      </c>
      <c r="AM38" s="17" t="str">
        <f ca="1">IF(ISNA($B38),"",IF($B38="","",IFERROR(_xll.BDP(TICKER,"DEEP_MEASURE_PERIOD_BROKER_VALUE","DEEP_MEASURE_ID_OVERRIDE",$C38,"DEEP_BROKER_ID_OVERRIDE",$F$7,"DEEP_PERIOD_OVERRIDE",AM$11)*1,"")))</f>
        <v/>
      </c>
      <c r="AN38" s="17" t="str">
        <f ca="1">IF(ISNA($B38),"",IF($B38="","",IFERROR(_xll.BDP(TICKER,"DEEP_MEASURE_PERIOD_BROKER_VALUE","DEEP_MEASURE_ID_OVERRIDE",$C38,"DEEP_BROKER_ID_OVERRIDE",$F$7,"DEEP_PERIOD_OVERRIDE",AN$11)*1,"")))</f>
        <v/>
      </c>
      <c r="AO38" s="17" t="str">
        <f ca="1">IF(ISNA($B38),"",IF($B38="","",IFERROR(_xll.BDP(TICKER,"DEEP_MEASURE_PERIOD_BROKER_VALUE","DEEP_MEASURE_ID_OVERRIDE",$C38,"DEEP_BROKER_ID_OVERRIDE",$F$7,"DEEP_PERIOD_OVERRIDE",AO$11)*1,"")))</f>
        <v/>
      </c>
      <c r="AP38" s="17" t="str">
        <f ca="1">IF(ISNA($B38),"",IF($B38="","",IFERROR(_xll.BDP(TICKER,"DEEP_MEASURE_PERIOD_BROKER_VALUE","DEEP_MEASURE_ID_OVERRIDE",$C38,"DEEP_BROKER_ID_OVERRIDE",$F$7,"DEEP_PERIOD_OVERRIDE",AP$11)*1,"")))</f>
        <v/>
      </c>
      <c r="AQ38" s="17" t="str">
        <f ca="1">IF(ISNA($B38),"",IF($B38="","",IFERROR(_xll.BDP(TICKER,"DEEP_MEASURE_PERIOD_BROKER_VALUE","DEEP_MEASURE_ID_OVERRIDE",$C38,"DEEP_BROKER_ID_OVERRIDE",$F$7,"DEEP_PERIOD_OVERRIDE",AQ$11)*1,"")))</f>
        <v/>
      </c>
    </row>
    <row r="39" spans="2:43" x14ac:dyDescent="0.25">
      <c r="B39" t="s">
        <v>91</v>
      </c>
      <c r="C39" s="11">
        <v>9839</v>
      </c>
      <c r="H39" t="str">
        <f t="shared" si="2"/>
        <v>Hotels, Media &amp; Platform &gt; EBITDA</v>
      </c>
      <c r="I39" s="17" t="str">
        <f ca="1">IF(ISNA($B39),"",IF($B39="","",IFERROR(_xll.BDP(TICKER,"DEEP_MEASURE_PERIOD_BROKER_VALUE","DEEP_MEASURE_ID_OVERRIDE",$C39,"DEEP_BROKER_ID_OVERRIDE",$F$7,"DEEP_PERIOD_OVERRIDE",I$11)*1,"")))</f>
        <v/>
      </c>
      <c r="J39" s="17" t="str">
        <f ca="1">IF(ISNA($B39),"",IF($B39="","",IFERROR(_xll.BDP(TICKER,"DEEP_MEASURE_PERIOD_BROKER_VALUE","DEEP_MEASURE_ID_OVERRIDE",$C39,"DEEP_BROKER_ID_OVERRIDE",$F$7,"DEEP_PERIOD_OVERRIDE",J$11)*1,"")))</f>
        <v/>
      </c>
      <c r="K39" s="17" t="str">
        <f ca="1">IF(ISNA($B39),"",IF($B39="","",IFERROR(_xll.BDP(TICKER,"DEEP_MEASURE_PERIOD_BROKER_VALUE","DEEP_MEASURE_ID_OVERRIDE",$C39,"DEEP_BROKER_ID_OVERRIDE",$F$7,"DEEP_PERIOD_OVERRIDE",K$11)*1,"")))</f>
        <v/>
      </c>
      <c r="L39" s="17" t="str">
        <f ca="1">IF(ISNA($B39),"",IF($B39="","",IFERROR(_xll.BDP(TICKER,"DEEP_MEASURE_PERIOD_BROKER_VALUE","DEEP_MEASURE_ID_OVERRIDE",$C39,"DEEP_BROKER_ID_OVERRIDE",$F$7,"DEEP_PERIOD_OVERRIDE",L$11)*1,"")))</f>
        <v/>
      </c>
      <c r="M39" s="17" t="str">
        <f ca="1">IF(ISNA($B39),"",IF($B39="","",IFERROR(_xll.BDP(TICKER,"DEEP_MEASURE_PERIOD_BROKER_VALUE","DEEP_MEASURE_ID_OVERRIDE",$C39,"DEEP_BROKER_ID_OVERRIDE",$F$7,"DEEP_PERIOD_OVERRIDE",M$11)*1,"")))</f>
        <v/>
      </c>
      <c r="N39" s="17" t="str">
        <f ca="1">IF(ISNA($B39),"",IF($B39="","",IFERROR(_xll.BDP(TICKER,"DEEP_MEASURE_PERIOD_BROKER_VALUE","DEEP_MEASURE_ID_OVERRIDE",$C39,"DEEP_BROKER_ID_OVERRIDE",$F$7,"DEEP_PERIOD_OVERRIDE",N$11)*1,"")))</f>
        <v/>
      </c>
      <c r="O39" s="17" t="str">
        <f ca="1">IF(ISNA($B39),"",IF($B39="","",IFERROR(_xll.BDP(TICKER,"DEEP_MEASURE_PERIOD_BROKER_VALUE","DEEP_MEASURE_ID_OVERRIDE",$C39,"DEEP_BROKER_ID_OVERRIDE",$F$7,"DEEP_PERIOD_OVERRIDE",O$11)*1,"")))</f>
        <v/>
      </c>
      <c r="P39" s="17" t="str">
        <f ca="1">IF(ISNA($B39),"",IF($B39="","",IFERROR(_xll.BDP(TICKER,"DEEP_MEASURE_PERIOD_BROKER_VALUE","DEEP_MEASURE_ID_OVERRIDE",$C39,"DEEP_BROKER_ID_OVERRIDE",$F$7,"DEEP_PERIOD_OVERRIDE",P$11)*1,"")))</f>
        <v/>
      </c>
      <c r="Q39" s="17" t="str">
        <f ca="1">IF(ISNA($B39),"",IF($B39="","",IFERROR(_xll.BDP(TICKER,"DEEP_MEASURE_PERIOD_BROKER_VALUE","DEEP_MEASURE_ID_OVERRIDE",$C39,"DEEP_BROKER_ID_OVERRIDE",$F$7,"DEEP_PERIOD_OVERRIDE",Q$11)*1,"")))</f>
        <v/>
      </c>
      <c r="R39" s="17" t="str">
        <f ca="1">IF(ISNA($B39),"",IF($B39="","",IFERROR(_xll.BDP(TICKER,"DEEP_MEASURE_PERIOD_BROKER_VALUE","DEEP_MEASURE_ID_OVERRIDE",$C39,"DEEP_BROKER_ID_OVERRIDE",$F$7,"DEEP_PERIOD_OVERRIDE",R$11)*1,"")))</f>
        <v/>
      </c>
      <c r="S39" s="17" t="str">
        <f ca="1">IF(ISNA($B39),"",IF($B39="","",IFERROR(_xll.BDP(TICKER,"DEEP_MEASURE_PERIOD_BROKER_VALUE","DEEP_MEASURE_ID_OVERRIDE",$C39,"DEEP_BROKER_ID_OVERRIDE",$F$7,"DEEP_PERIOD_OVERRIDE",S$11)*1,"")))</f>
        <v/>
      </c>
      <c r="T39" s="17" t="str">
        <f ca="1">IF(ISNA($B39),"",IF($B39="","",IFERROR(_xll.BDP(TICKER,"DEEP_MEASURE_PERIOD_BROKER_VALUE","DEEP_MEASURE_ID_OVERRIDE",$C39,"DEEP_BROKER_ID_OVERRIDE",$F$7,"DEEP_PERIOD_OVERRIDE",T$11)*1,"")))</f>
        <v/>
      </c>
      <c r="U39" s="17" t="str">
        <f ca="1">IF(ISNA($B39),"",IF($B39="","",IFERROR(_xll.BDP(TICKER,"DEEP_MEASURE_PERIOD_BROKER_VALUE","DEEP_MEASURE_ID_OVERRIDE",$C39,"DEEP_BROKER_ID_OVERRIDE",$F$7,"DEEP_PERIOD_OVERRIDE",U$11)*1,"")))</f>
        <v/>
      </c>
      <c r="V39" s="17" t="str">
        <f ca="1">IF(ISNA($B39),"",IF($B39="","",IFERROR(_xll.BDP(TICKER,"DEEP_MEASURE_PERIOD_BROKER_VALUE","DEEP_MEASURE_ID_OVERRIDE",$C39,"DEEP_BROKER_ID_OVERRIDE",$F$7,"DEEP_PERIOD_OVERRIDE",V$11)*1,"")))</f>
        <v/>
      </c>
      <c r="W39" s="17" t="str">
        <f ca="1">IF(ISNA($B39),"",IF($B39="","",IFERROR(_xll.BDP(TICKER,"DEEP_MEASURE_PERIOD_BROKER_VALUE","DEEP_MEASURE_ID_OVERRIDE",$C39,"DEEP_BROKER_ID_OVERRIDE",$F$7,"DEEP_PERIOD_OVERRIDE",W$11)*1,"")))</f>
        <v/>
      </c>
      <c r="X39" s="17" t="str">
        <f ca="1">IF(ISNA($B39),"",IF($B39="","",IFERROR(_xll.BDP(TICKER,"DEEP_MEASURE_PERIOD_BROKER_VALUE","DEEP_MEASURE_ID_OVERRIDE",$C39,"DEEP_BROKER_ID_OVERRIDE",$F$7,"DEEP_PERIOD_OVERRIDE",X$11)*1,"")))</f>
        <v/>
      </c>
      <c r="Y39" s="17" t="str">
        <f ca="1">IF(ISNA($B39),"",IF($B39="","",IFERROR(_xll.BDP(TICKER,"DEEP_MEASURE_PERIOD_BROKER_VALUE","DEEP_MEASURE_ID_OVERRIDE",$C39,"DEEP_BROKER_ID_OVERRIDE",$F$7,"DEEP_PERIOD_OVERRIDE",Y$11)*1,"")))</f>
        <v/>
      </c>
      <c r="Z39" s="17" t="str">
        <f ca="1">IF(ISNA($B39),"",IF($B39="","",IFERROR(_xll.BDP(TICKER,"DEEP_MEASURE_PERIOD_BROKER_VALUE","DEEP_MEASURE_ID_OVERRIDE",$C39,"DEEP_BROKER_ID_OVERRIDE",$F$7,"DEEP_PERIOD_OVERRIDE",Z$11)*1,"")))</f>
        <v/>
      </c>
      <c r="AA39" s="17" t="str">
        <f ca="1">IF(ISNA($B39),"",IF($B39="","",IFERROR(_xll.BDP(TICKER,"DEEP_MEASURE_PERIOD_BROKER_VALUE","DEEP_MEASURE_ID_OVERRIDE",$C39,"DEEP_BROKER_ID_OVERRIDE",$F$7,"DEEP_PERIOD_OVERRIDE",AA$11)*1,"")))</f>
        <v/>
      </c>
      <c r="AB39" s="17" t="str">
        <f ca="1">IF(ISNA($B39),"",IF($B39="","",IFERROR(_xll.BDP(TICKER,"DEEP_MEASURE_PERIOD_BROKER_VALUE","DEEP_MEASURE_ID_OVERRIDE",$C39,"DEEP_BROKER_ID_OVERRIDE",$F$7,"DEEP_PERIOD_OVERRIDE",AB$11)*1,"")))</f>
        <v/>
      </c>
      <c r="AC39" s="17" t="str">
        <f ca="1">IF(ISNA($B39),"",IF($B39="","",IFERROR(_xll.BDP(TICKER,"DEEP_MEASURE_PERIOD_BROKER_VALUE","DEEP_MEASURE_ID_OVERRIDE",$C39,"DEEP_BROKER_ID_OVERRIDE",$F$7,"DEEP_PERIOD_OVERRIDE",AC$11)*1,"")))</f>
        <v/>
      </c>
      <c r="AD39" s="17" t="str">
        <f ca="1">IF(ISNA($B39),"",IF($B39="","",IFERROR(_xll.BDP(TICKER,"DEEP_MEASURE_PERIOD_BROKER_VALUE","DEEP_MEASURE_ID_OVERRIDE",$C39,"DEEP_BROKER_ID_OVERRIDE",$F$7,"DEEP_PERIOD_OVERRIDE",AD$11)*1,"")))</f>
        <v/>
      </c>
      <c r="AE39" s="17" t="str">
        <f ca="1">IF(ISNA($B39),"",IF($B39="","",IFERROR(_xll.BDP(TICKER,"DEEP_MEASURE_PERIOD_BROKER_VALUE","DEEP_MEASURE_ID_OVERRIDE",$C39,"DEEP_BROKER_ID_OVERRIDE",$F$7,"DEEP_PERIOD_OVERRIDE",AE$11)*1,"")))</f>
        <v/>
      </c>
      <c r="AF39" s="17" t="str">
        <f ca="1">IF(ISNA($B39),"",IF($B39="","",IFERROR(_xll.BDP(TICKER,"DEEP_MEASURE_PERIOD_BROKER_VALUE","DEEP_MEASURE_ID_OVERRIDE",$C39,"DEEP_BROKER_ID_OVERRIDE",$F$7,"DEEP_PERIOD_OVERRIDE",AF$11)*1,"")))</f>
        <v/>
      </c>
      <c r="AG39" s="17" t="str">
        <f ca="1">IF(ISNA($B39),"",IF($B39="","",IFERROR(_xll.BDP(TICKER,"DEEP_MEASURE_PERIOD_BROKER_VALUE","DEEP_MEASURE_ID_OVERRIDE",$C39,"DEEP_BROKER_ID_OVERRIDE",$F$7,"DEEP_PERIOD_OVERRIDE",AG$11)*1,"")))</f>
        <v/>
      </c>
      <c r="AH39" s="17" t="str">
        <f ca="1">IF(ISNA($B39),"",IF($B39="","",IFERROR(_xll.BDP(TICKER,"DEEP_MEASURE_PERIOD_BROKER_VALUE","DEEP_MEASURE_ID_OVERRIDE",$C39,"DEEP_BROKER_ID_OVERRIDE",$F$7,"DEEP_PERIOD_OVERRIDE",AH$11)*1,"")))</f>
        <v/>
      </c>
      <c r="AI39" s="17" t="str">
        <f ca="1">IF(ISNA($B39),"",IF($B39="","",IFERROR(_xll.BDP(TICKER,"DEEP_MEASURE_PERIOD_BROKER_VALUE","DEEP_MEASURE_ID_OVERRIDE",$C39,"DEEP_BROKER_ID_OVERRIDE",$F$7,"DEEP_PERIOD_OVERRIDE",AI$11)*1,"")))</f>
        <v/>
      </c>
      <c r="AJ39" s="17" t="str">
        <f ca="1">IF(ISNA($B39),"",IF($B39="","",IFERROR(_xll.BDP(TICKER,"DEEP_MEASURE_PERIOD_BROKER_VALUE","DEEP_MEASURE_ID_OVERRIDE",$C39,"DEEP_BROKER_ID_OVERRIDE",$F$7,"DEEP_PERIOD_OVERRIDE",AJ$11)*1,"")))</f>
        <v/>
      </c>
      <c r="AK39" s="17" t="str">
        <f ca="1">IF(ISNA($B39),"",IF($B39="","",IFERROR(_xll.BDP(TICKER,"DEEP_MEASURE_PERIOD_BROKER_VALUE","DEEP_MEASURE_ID_OVERRIDE",$C39,"DEEP_BROKER_ID_OVERRIDE",$F$7,"DEEP_PERIOD_OVERRIDE",AK$11)*1,"")))</f>
        <v/>
      </c>
      <c r="AL39" s="17" t="str">
        <f ca="1">IF(ISNA($B39),"",IF($B39="","",IFERROR(_xll.BDP(TICKER,"DEEP_MEASURE_PERIOD_BROKER_VALUE","DEEP_MEASURE_ID_OVERRIDE",$C39,"DEEP_BROKER_ID_OVERRIDE",$F$7,"DEEP_PERIOD_OVERRIDE",AL$11)*1,"")))</f>
        <v/>
      </c>
      <c r="AM39" s="17" t="str">
        <f ca="1">IF(ISNA($B39),"",IF($B39="","",IFERROR(_xll.BDP(TICKER,"DEEP_MEASURE_PERIOD_BROKER_VALUE","DEEP_MEASURE_ID_OVERRIDE",$C39,"DEEP_BROKER_ID_OVERRIDE",$F$7,"DEEP_PERIOD_OVERRIDE",AM$11)*1,"")))</f>
        <v/>
      </c>
      <c r="AN39" s="17" t="str">
        <f ca="1">IF(ISNA($B39),"",IF($B39="","",IFERROR(_xll.BDP(TICKER,"DEEP_MEASURE_PERIOD_BROKER_VALUE","DEEP_MEASURE_ID_OVERRIDE",$C39,"DEEP_BROKER_ID_OVERRIDE",$F$7,"DEEP_PERIOD_OVERRIDE",AN$11)*1,"")))</f>
        <v/>
      </c>
      <c r="AO39" s="17" t="str">
        <f ca="1">IF(ISNA($B39),"",IF($B39="","",IFERROR(_xll.BDP(TICKER,"DEEP_MEASURE_PERIOD_BROKER_VALUE","DEEP_MEASURE_ID_OVERRIDE",$C39,"DEEP_BROKER_ID_OVERRIDE",$F$7,"DEEP_PERIOD_OVERRIDE",AO$11)*1,"")))</f>
        <v/>
      </c>
      <c r="AP39" s="17" t="str">
        <f ca="1">IF(ISNA($B39),"",IF($B39="","",IFERROR(_xll.BDP(TICKER,"DEEP_MEASURE_PERIOD_BROKER_VALUE","DEEP_MEASURE_ID_OVERRIDE",$C39,"DEEP_BROKER_ID_OVERRIDE",$F$7,"DEEP_PERIOD_OVERRIDE",AP$11)*1,"")))</f>
        <v/>
      </c>
      <c r="AQ39" s="17" t="str">
        <f ca="1">IF(ISNA($B39),"",IF($B39="","",IFERROR(_xll.BDP(TICKER,"DEEP_MEASURE_PERIOD_BROKER_VALUE","DEEP_MEASURE_ID_OVERRIDE",$C39,"DEEP_BROKER_ID_OVERRIDE",$F$7,"DEEP_PERIOD_OVERRIDE",AQ$11)*1,"")))</f>
        <v/>
      </c>
    </row>
    <row r="40" spans="2:43" x14ac:dyDescent="0.25">
      <c r="B40" t="s">
        <v>92</v>
      </c>
      <c r="C40" s="11">
        <v>9973</v>
      </c>
      <c r="H40" t="str">
        <f t="shared" si="2"/>
        <v>Hotels, Media &amp; Platform &gt; EBITDA &gt; As % of Hotels, Media &amp; Platform Revenue</v>
      </c>
      <c r="I40" s="17" t="str">
        <f ca="1">IF(ISNA($B40),"",IF($B40="","",IFERROR(_xll.BDP(TICKER,"DEEP_MEASURE_PERIOD_BROKER_VALUE","DEEP_MEASURE_ID_OVERRIDE",$C40,"DEEP_BROKER_ID_OVERRIDE",$F$7,"DEEP_PERIOD_OVERRIDE",I$11)*1,"")))</f>
        <v/>
      </c>
      <c r="J40" s="17" t="str">
        <f ca="1">IF(ISNA($B40),"",IF($B40="","",IFERROR(_xll.BDP(TICKER,"DEEP_MEASURE_PERIOD_BROKER_VALUE","DEEP_MEASURE_ID_OVERRIDE",$C40,"DEEP_BROKER_ID_OVERRIDE",$F$7,"DEEP_PERIOD_OVERRIDE",J$11)*1,"")))</f>
        <v/>
      </c>
      <c r="K40" s="17" t="str">
        <f ca="1">IF(ISNA($B40),"",IF($B40="","",IFERROR(_xll.BDP(TICKER,"DEEP_MEASURE_PERIOD_BROKER_VALUE","DEEP_MEASURE_ID_OVERRIDE",$C40,"DEEP_BROKER_ID_OVERRIDE",$F$7,"DEEP_PERIOD_OVERRIDE",K$11)*1,"")))</f>
        <v/>
      </c>
      <c r="L40" s="17" t="str">
        <f ca="1">IF(ISNA($B40),"",IF($B40="","",IFERROR(_xll.BDP(TICKER,"DEEP_MEASURE_PERIOD_BROKER_VALUE","DEEP_MEASURE_ID_OVERRIDE",$C40,"DEEP_BROKER_ID_OVERRIDE",$F$7,"DEEP_PERIOD_OVERRIDE",L$11)*1,"")))</f>
        <v/>
      </c>
      <c r="M40" s="17" t="str">
        <f ca="1">IF(ISNA($B40),"",IF($B40="","",IFERROR(_xll.BDP(TICKER,"DEEP_MEASURE_PERIOD_BROKER_VALUE","DEEP_MEASURE_ID_OVERRIDE",$C40,"DEEP_BROKER_ID_OVERRIDE",$F$7,"DEEP_PERIOD_OVERRIDE",M$11)*1,"")))</f>
        <v/>
      </c>
      <c r="N40" s="17" t="str">
        <f ca="1">IF(ISNA($B40),"",IF($B40="","",IFERROR(_xll.BDP(TICKER,"DEEP_MEASURE_PERIOD_BROKER_VALUE","DEEP_MEASURE_ID_OVERRIDE",$C40,"DEEP_BROKER_ID_OVERRIDE",$F$7,"DEEP_PERIOD_OVERRIDE",N$11)*1,"")))</f>
        <v/>
      </c>
      <c r="O40" s="17" t="str">
        <f ca="1">IF(ISNA($B40),"",IF($B40="","",IFERROR(_xll.BDP(TICKER,"DEEP_MEASURE_PERIOD_BROKER_VALUE","DEEP_MEASURE_ID_OVERRIDE",$C40,"DEEP_BROKER_ID_OVERRIDE",$F$7,"DEEP_PERIOD_OVERRIDE",O$11)*1,"")))</f>
        <v/>
      </c>
      <c r="P40" s="17" t="str">
        <f ca="1">IF(ISNA($B40),"",IF($B40="","",IFERROR(_xll.BDP(TICKER,"DEEP_MEASURE_PERIOD_BROKER_VALUE","DEEP_MEASURE_ID_OVERRIDE",$C40,"DEEP_BROKER_ID_OVERRIDE",$F$7,"DEEP_PERIOD_OVERRIDE",P$11)*1,"")))</f>
        <v/>
      </c>
      <c r="Q40" s="17" t="str">
        <f ca="1">IF(ISNA($B40),"",IF($B40="","",IFERROR(_xll.BDP(TICKER,"DEEP_MEASURE_PERIOD_BROKER_VALUE","DEEP_MEASURE_ID_OVERRIDE",$C40,"DEEP_BROKER_ID_OVERRIDE",$F$7,"DEEP_PERIOD_OVERRIDE",Q$11)*1,"")))</f>
        <v/>
      </c>
      <c r="R40" s="17" t="str">
        <f ca="1">IF(ISNA($B40),"",IF($B40="","",IFERROR(_xll.BDP(TICKER,"DEEP_MEASURE_PERIOD_BROKER_VALUE","DEEP_MEASURE_ID_OVERRIDE",$C40,"DEEP_BROKER_ID_OVERRIDE",$F$7,"DEEP_PERIOD_OVERRIDE",R$11)*1,"")))</f>
        <v/>
      </c>
      <c r="S40" s="17" t="str">
        <f ca="1">IF(ISNA($B40),"",IF($B40="","",IFERROR(_xll.BDP(TICKER,"DEEP_MEASURE_PERIOD_BROKER_VALUE","DEEP_MEASURE_ID_OVERRIDE",$C40,"DEEP_BROKER_ID_OVERRIDE",$F$7,"DEEP_PERIOD_OVERRIDE",S$11)*1,"")))</f>
        <v/>
      </c>
      <c r="T40" s="17" t="str">
        <f ca="1">IF(ISNA($B40),"",IF($B40="","",IFERROR(_xll.BDP(TICKER,"DEEP_MEASURE_PERIOD_BROKER_VALUE","DEEP_MEASURE_ID_OVERRIDE",$C40,"DEEP_BROKER_ID_OVERRIDE",$F$7,"DEEP_PERIOD_OVERRIDE",T$11)*1,"")))</f>
        <v/>
      </c>
      <c r="U40" s="17" t="str">
        <f ca="1">IF(ISNA($B40),"",IF($B40="","",IFERROR(_xll.BDP(TICKER,"DEEP_MEASURE_PERIOD_BROKER_VALUE","DEEP_MEASURE_ID_OVERRIDE",$C40,"DEEP_BROKER_ID_OVERRIDE",$F$7,"DEEP_PERIOD_OVERRIDE",U$11)*1,"")))</f>
        <v/>
      </c>
      <c r="V40" s="17" t="str">
        <f ca="1">IF(ISNA($B40),"",IF($B40="","",IFERROR(_xll.BDP(TICKER,"DEEP_MEASURE_PERIOD_BROKER_VALUE","DEEP_MEASURE_ID_OVERRIDE",$C40,"DEEP_BROKER_ID_OVERRIDE",$F$7,"DEEP_PERIOD_OVERRIDE",V$11)*1,"")))</f>
        <v/>
      </c>
      <c r="W40" s="17" t="str">
        <f ca="1">IF(ISNA($B40),"",IF($B40="","",IFERROR(_xll.BDP(TICKER,"DEEP_MEASURE_PERIOD_BROKER_VALUE","DEEP_MEASURE_ID_OVERRIDE",$C40,"DEEP_BROKER_ID_OVERRIDE",$F$7,"DEEP_PERIOD_OVERRIDE",W$11)*1,"")))</f>
        <v/>
      </c>
      <c r="X40" s="17" t="str">
        <f ca="1">IF(ISNA($B40),"",IF($B40="","",IFERROR(_xll.BDP(TICKER,"DEEP_MEASURE_PERIOD_BROKER_VALUE","DEEP_MEASURE_ID_OVERRIDE",$C40,"DEEP_BROKER_ID_OVERRIDE",$F$7,"DEEP_PERIOD_OVERRIDE",X$11)*1,"")))</f>
        <v/>
      </c>
      <c r="Y40" s="17" t="str">
        <f ca="1">IF(ISNA($B40),"",IF($B40="","",IFERROR(_xll.BDP(TICKER,"DEEP_MEASURE_PERIOD_BROKER_VALUE","DEEP_MEASURE_ID_OVERRIDE",$C40,"DEEP_BROKER_ID_OVERRIDE",$F$7,"DEEP_PERIOD_OVERRIDE",Y$11)*1,"")))</f>
        <v/>
      </c>
      <c r="Z40" s="17" t="str">
        <f ca="1">IF(ISNA($B40),"",IF($B40="","",IFERROR(_xll.BDP(TICKER,"DEEP_MEASURE_PERIOD_BROKER_VALUE","DEEP_MEASURE_ID_OVERRIDE",$C40,"DEEP_BROKER_ID_OVERRIDE",$F$7,"DEEP_PERIOD_OVERRIDE",Z$11)*1,"")))</f>
        <v/>
      </c>
      <c r="AA40" s="17" t="str">
        <f ca="1">IF(ISNA($B40),"",IF($B40="","",IFERROR(_xll.BDP(TICKER,"DEEP_MEASURE_PERIOD_BROKER_VALUE","DEEP_MEASURE_ID_OVERRIDE",$C40,"DEEP_BROKER_ID_OVERRIDE",$F$7,"DEEP_PERIOD_OVERRIDE",AA$11)*1,"")))</f>
        <v/>
      </c>
      <c r="AB40" s="17" t="str">
        <f ca="1">IF(ISNA($B40),"",IF($B40="","",IFERROR(_xll.BDP(TICKER,"DEEP_MEASURE_PERIOD_BROKER_VALUE","DEEP_MEASURE_ID_OVERRIDE",$C40,"DEEP_BROKER_ID_OVERRIDE",$F$7,"DEEP_PERIOD_OVERRIDE",AB$11)*1,"")))</f>
        <v/>
      </c>
      <c r="AC40" s="17" t="str">
        <f ca="1">IF(ISNA($B40),"",IF($B40="","",IFERROR(_xll.BDP(TICKER,"DEEP_MEASURE_PERIOD_BROKER_VALUE","DEEP_MEASURE_ID_OVERRIDE",$C40,"DEEP_BROKER_ID_OVERRIDE",$F$7,"DEEP_PERIOD_OVERRIDE",AC$11)*1,"")))</f>
        <v/>
      </c>
      <c r="AD40" s="17" t="str">
        <f ca="1">IF(ISNA($B40),"",IF($B40="","",IFERROR(_xll.BDP(TICKER,"DEEP_MEASURE_PERIOD_BROKER_VALUE","DEEP_MEASURE_ID_OVERRIDE",$C40,"DEEP_BROKER_ID_OVERRIDE",$F$7,"DEEP_PERIOD_OVERRIDE",AD$11)*1,"")))</f>
        <v/>
      </c>
      <c r="AE40" s="17" t="str">
        <f ca="1">IF(ISNA($B40),"",IF($B40="","",IFERROR(_xll.BDP(TICKER,"DEEP_MEASURE_PERIOD_BROKER_VALUE","DEEP_MEASURE_ID_OVERRIDE",$C40,"DEEP_BROKER_ID_OVERRIDE",$F$7,"DEEP_PERIOD_OVERRIDE",AE$11)*1,"")))</f>
        <v/>
      </c>
      <c r="AF40" s="17" t="str">
        <f ca="1">IF(ISNA($B40),"",IF($B40="","",IFERROR(_xll.BDP(TICKER,"DEEP_MEASURE_PERIOD_BROKER_VALUE","DEEP_MEASURE_ID_OVERRIDE",$C40,"DEEP_BROKER_ID_OVERRIDE",$F$7,"DEEP_PERIOD_OVERRIDE",AF$11)*1,"")))</f>
        <v/>
      </c>
      <c r="AG40" s="17" t="str">
        <f ca="1">IF(ISNA($B40),"",IF($B40="","",IFERROR(_xll.BDP(TICKER,"DEEP_MEASURE_PERIOD_BROKER_VALUE","DEEP_MEASURE_ID_OVERRIDE",$C40,"DEEP_BROKER_ID_OVERRIDE",$F$7,"DEEP_PERIOD_OVERRIDE",AG$11)*1,"")))</f>
        <v/>
      </c>
      <c r="AH40" s="17" t="str">
        <f ca="1">IF(ISNA($B40),"",IF($B40="","",IFERROR(_xll.BDP(TICKER,"DEEP_MEASURE_PERIOD_BROKER_VALUE","DEEP_MEASURE_ID_OVERRIDE",$C40,"DEEP_BROKER_ID_OVERRIDE",$F$7,"DEEP_PERIOD_OVERRIDE",AH$11)*1,"")))</f>
        <v/>
      </c>
      <c r="AI40" s="17" t="str">
        <f ca="1">IF(ISNA($B40),"",IF($B40="","",IFERROR(_xll.BDP(TICKER,"DEEP_MEASURE_PERIOD_BROKER_VALUE","DEEP_MEASURE_ID_OVERRIDE",$C40,"DEEP_BROKER_ID_OVERRIDE",$F$7,"DEEP_PERIOD_OVERRIDE",AI$11)*1,"")))</f>
        <v/>
      </c>
      <c r="AJ40" s="17" t="str">
        <f ca="1">IF(ISNA($B40),"",IF($B40="","",IFERROR(_xll.BDP(TICKER,"DEEP_MEASURE_PERIOD_BROKER_VALUE","DEEP_MEASURE_ID_OVERRIDE",$C40,"DEEP_BROKER_ID_OVERRIDE",$F$7,"DEEP_PERIOD_OVERRIDE",AJ$11)*1,"")))</f>
        <v/>
      </c>
      <c r="AK40" s="17" t="str">
        <f ca="1">IF(ISNA($B40),"",IF($B40="","",IFERROR(_xll.BDP(TICKER,"DEEP_MEASURE_PERIOD_BROKER_VALUE","DEEP_MEASURE_ID_OVERRIDE",$C40,"DEEP_BROKER_ID_OVERRIDE",$F$7,"DEEP_PERIOD_OVERRIDE",AK$11)*1,"")))</f>
        <v/>
      </c>
      <c r="AL40" s="17" t="str">
        <f ca="1">IF(ISNA($B40),"",IF($B40="","",IFERROR(_xll.BDP(TICKER,"DEEP_MEASURE_PERIOD_BROKER_VALUE","DEEP_MEASURE_ID_OVERRIDE",$C40,"DEEP_BROKER_ID_OVERRIDE",$F$7,"DEEP_PERIOD_OVERRIDE",AL$11)*1,"")))</f>
        <v/>
      </c>
      <c r="AM40" s="17" t="str">
        <f ca="1">IF(ISNA($B40),"",IF($B40="","",IFERROR(_xll.BDP(TICKER,"DEEP_MEASURE_PERIOD_BROKER_VALUE","DEEP_MEASURE_ID_OVERRIDE",$C40,"DEEP_BROKER_ID_OVERRIDE",$F$7,"DEEP_PERIOD_OVERRIDE",AM$11)*1,"")))</f>
        <v/>
      </c>
      <c r="AN40" s="17" t="str">
        <f ca="1">IF(ISNA($B40),"",IF($B40="","",IFERROR(_xll.BDP(TICKER,"DEEP_MEASURE_PERIOD_BROKER_VALUE","DEEP_MEASURE_ID_OVERRIDE",$C40,"DEEP_BROKER_ID_OVERRIDE",$F$7,"DEEP_PERIOD_OVERRIDE",AN$11)*1,"")))</f>
        <v/>
      </c>
      <c r="AO40" s="17" t="str">
        <f ca="1">IF(ISNA($B40),"",IF($B40="","",IFERROR(_xll.BDP(TICKER,"DEEP_MEASURE_PERIOD_BROKER_VALUE","DEEP_MEASURE_ID_OVERRIDE",$C40,"DEEP_BROKER_ID_OVERRIDE",$F$7,"DEEP_PERIOD_OVERRIDE",AO$11)*1,"")))</f>
        <v/>
      </c>
      <c r="AP40" s="17" t="str">
        <f ca="1">IF(ISNA($B40),"",IF($B40="","",IFERROR(_xll.BDP(TICKER,"DEEP_MEASURE_PERIOD_BROKER_VALUE","DEEP_MEASURE_ID_OVERRIDE",$C40,"DEEP_BROKER_ID_OVERRIDE",$F$7,"DEEP_PERIOD_OVERRIDE",AP$11)*1,"")))</f>
        <v/>
      </c>
      <c r="AQ40" s="17" t="str">
        <f ca="1">IF(ISNA($B40),"",IF($B40="","",IFERROR(_xll.BDP(TICKER,"DEEP_MEASURE_PERIOD_BROKER_VALUE","DEEP_MEASURE_ID_OVERRIDE",$C40,"DEEP_BROKER_ID_OVERRIDE",$F$7,"DEEP_PERIOD_OVERRIDE",AQ$11)*1,"")))</f>
        <v/>
      </c>
    </row>
    <row r="41" spans="2:43" x14ac:dyDescent="0.25">
      <c r="B41" t="s">
        <v>46</v>
      </c>
      <c r="C41" s="11">
        <v>9838</v>
      </c>
      <c r="H41" t="str">
        <f t="shared" si="2"/>
        <v>Experiences &amp; Dining &gt; Revenue</v>
      </c>
      <c r="I41" s="17" t="str">
        <f ca="1">IF(ISNA($B41),"",IF($B41="","",IFERROR(_xll.BDP(TICKER,"DEEP_MEASURE_PERIOD_BROKER_VALUE","DEEP_MEASURE_ID_OVERRIDE",$C41,"DEEP_BROKER_ID_OVERRIDE",$F$7,"DEEP_PERIOD_OVERRIDE",I$11)*1,"")))</f>
        <v/>
      </c>
      <c r="J41" s="17" t="str">
        <f ca="1">IF(ISNA($B41),"",IF($B41="","",IFERROR(_xll.BDP(TICKER,"DEEP_MEASURE_PERIOD_BROKER_VALUE","DEEP_MEASURE_ID_OVERRIDE",$C41,"DEEP_BROKER_ID_OVERRIDE",$F$7,"DEEP_PERIOD_OVERRIDE",J$11)*1,"")))</f>
        <v/>
      </c>
      <c r="K41" s="17" t="str">
        <f ca="1">IF(ISNA($B41),"",IF($B41="","",IFERROR(_xll.BDP(TICKER,"DEEP_MEASURE_PERIOD_BROKER_VALUE","DEEP_MEASURE_ID_OVERRIDE",$C41,"DEEP_BROKER_ID_OVERRIDE",$F$7,"DEEP_PERIOD_OVERRIDE",K$11)*1,"")))</f>
        <v/>
      </c>
      <c r="L41" s="17" t="str">
        <f ca="1">IF(ISNA($B41),"",IF($B41="","",IFERROR(_xll.BDP(TICKER,"DEEP_MEASURE_PERIOD_BROKER_VALUE","DEEP_MEASURE_ID_OVERRIDE",$C41,"DEEP_BROKER_ID_OVERRIDE",$F$7,"DEEP_PERIOD_OVERRIDE",L$11)*1,"")))</f>
        <v/>
      </c>
      <c r="M41" s="17" t="str">
        <f ca="1">IF(ISNA($B41),"",IF($B41="","",IFERROR(_xll.BDP(TICKER,"DEEP_MEASURE_PERIOD_BROKER_VALUE","DEEP_MEASURE_ID_OVERRIDE",$C41,"DEEP_BROKER_ID_OVERRIDE",$F$7,"DEEP_PERIOD_OVERRIDE",M$11)*1,"")))</f>
        <v/>
      </c>
      <c r="N41" s="17" t="str">
        <f ca="1">IF(ISNA($B41),"",IF($B41="","",IFERROR(_xll.BDP(TICKER,"DEEP_MEASURE_PERIOD_BROKER_VALUE","DEEP_MEASURE_ID_OVERRIDE",$C41,"DEEP_BROKER_ID_OVERRIDE",$F$7,"DEEP_PERIOD_OVERRIDE",N$11)*1,"")))</f>
        <v/>
      </c>
      <c r="O41" s="17" t="str">
        <f ca="1">IF(ISNA($B41),"",IF($B41="","",IFERROR(_xll.BDP(TICKER,"DEEP_MEASURE_PERIOD_BROKER_VALUE","DEEP_MEASURE_ID_OVERRIDE",$C41,"DEEP_BROKER_ID_OVERRIDE",$F$7,"DEEP_PERIOD_OVERRIDE",O$11)*1,"")))</f>
        <v/>
      </c>
      <c r="P41" s="17" t="str">
        <f ca="1">IF(ISNA($B41),"",IF($B41="","",IFERROR(_xll.BDP(TICKER,"DEEP_MEASURE_PERIOD_BROKER_VALUE","DEEP_MEASURE_ID_OVERRIDE",$C41,"DEEP_BROKER_ID_OVERRIDE",$F$7,"DEEP_PERIOD_OVERRIDE",P$11)*1,"")))</f>
        <v/>
      </c>
      <c r="Q41" s="17" t="str">
        <f ca="1">IF(ISNA($B41),"",IF($B41="","",IFERROR(_xll.BDP(TICKER,"DEEP_MEASURE_PERIOD_BROKER_VALUE","DEEP_MEASURE_ID_OVERRIDE",$C41,"DEEP_BROKER_ID_OVERRIDE",$F$7,"DEEP_PERIOD_OVERRIDE",Q$11)*1,"")))</f>
        <v/>
      </c>
      <c r="R41" s="17" t="str">
        <f ca="1">IF(ISNA($B41),"",IF($B41="","",IFERROR(_xll.BDP(TICKER,"DEEP_MEASURE_PERIOD_BROKER_VALUE","DEEP_MEASURE_ID_OVERRIDE",$C41,"DEEP_BROKER_ID_OVERRIDE",$F$7,"DEEP_PERIOD_OVERRIDE",R$11)*1,"")))</f>
        <v/>
      </c>
      <c r="S41" s="17" t="str">
        <f ca="1">IF(ISNA($B41),"",IF($B41="","",IFERROR(_xll.BDP(TICKER,"DEEP_MEASURE_PERIOD_BROKER_VALUE","DEEP_MEASURE_ID_OVERRIDE",$C41,"DEEP_BROKER_ID_OVERRIDE",$F$7,"DEEP_PERIOD_OVERRIDE",S$11)*1,"")))</f>
        <v/>
      </c>
      <c r="T41" s="17" t="str">
        <f ca="1">IF(ISNA($B41),"",IF($B41="","",IFERROR(_xll.BDP(TICKER,"DEEP_MEASURE_PERIOD_BROKER_VALUE","DEEP_MEASURE_ID_OVERRIDE",$C41,"DEEP_BROKER_ID_OVERRIDE",$F$7,"DEEP_PERIOD_OVERRIDE",T$11)*1,"")))</f>
        <v/>
      </c>
      <c r="U41" s="17" t="str">
        <f ca="1">IF(ISNA($B41),"",IF($B41="","",IFERROR(_xll.BDP(TICKER,"DEEP_MEASURE_PERIOD_BROKER_VALUE","DEEP_MEASURE_ID_OVERRIDE",$C41,"DEEP_BROKER_ID_OVERRIDE",$F$7,"DEEP_PERIOD_OVERRIDE",U$11)*1,"")))</f>
        <v/>
      </c>
      <c r="V41" s="17" t="str">
        <f ca="1">IF(ISNA($B41),"",IF($B41="","",IFERROR(_xll.BDP(TICKER,"DEEP_MEASURE_PERIOD_BROKER_VALUE","DEEP_MEASURE_ID_OVERRIDE",$C41,"DEEP_BROKER_ID_OVERRIDE",$F$7,"DEEP_PERIOD_OVERRIDE",V$11)*1,"")))</f>
        <v/>
      </c>
      <c r="W41" s="17" t="str">
        <f ca="1">IF(ISNA($B41),"",IF($B41="","",IFERROR(_xll.BDP(TICKER,"DEEP_MEASURE_PERIOD_BROKER_VALUE","DEEP_MEASURE_ID_OVERRIDE",$C41,"DEEP_BROKER_ID_OVERRIDE",$F$7,"DEEP_PERIOD_OVERRIDE",W$11)*1,"")))</f>
        <v/>
      </c>
      <c r="X41" s="17" t="str">
        <f ca="1">IF(ISNA($B41),"",IF($B41="","",IFERROR(_xll.BDP(TICKER,"DEEP_MEASURE_PERIOD_BROKER_VALUE","DEEP_MEASURE_ID_OVERRIDE",$C41,"DEEP_BROKER_ID_OVERRIDE",$F$7,"DEEP_PERIOD_OVERRIDE",X$11)*1,"")))</f>
        <v/>
      </c>
      <c r="Y41" s="17" t="str">
        <f ca="1">IF(ISNA($B41),"",IF($B41="","",IFERROR(_xll.BDP(TICKER,"DEEP_MEASURE_PERIOD_BROKER_VALUE","DEEP_MEASURE_ID_OVERRIDE",$C41,"DEEP_BROKER_ID_OVERRIDE",$F$7,"DEEP_PERIOD_OVERRIDE",Y$11)*1,"")))</f>
        <v/>
      </c>
      <c r="Z41" s="17" t="str">
        <f ca="1">IF(ISNA($B41),"",IF($B41="","",IFERROR(_xll.BDP(TICKER,"DEEP_MEASURE_PERIOD_BROKER_VALUE","DEEP_MEASURE_ID_OVERRIDE",$C41,"DEEP_BROKER_ID_OVERRIDE",$F$7,"DEEP_PERIOD_OVERRIDE",Z$11)*1,"")))</f>
        <v/>
      </c>
      <c r="AA41" s="17" t="str">
        <f ca="1">IF(ISNA($B41),"",IF($B41="","",IFERROR(_xll.BDP(TICKER,"DEEP_MEASURE_PERIOD_BROKER_VALUE","DEEP_MEASURE_ID_OVERRIDE",$C41,"DEEP_BROKER_ID_OVERRIDE",$F$7,"DEEP_PERIOD_OVERRIDE",AA$11)*1,"")))</f>
        <v/>
      </c>
      <c r="AB41" s="17" t="str">
        <f ca="1">IF(ISNA($B41),"",IF($B41="","",IFERROR(_xll.BDP(TICKER,"DEEP_MEASURE_PERIOD_BROKER_VALUE","DEEP_MEASURE_ID_OVERRIDE",$C41,"DEEP_BROKER_ID_OVERRIDE",$F$7,"DEEP_PERIOD_OVERRIDE",AB$11)*1,"")))</f>
        <v/>
      </c>
      <c r="AC41" s="17" t="str">
        <f ca="1">IF(ISNA($B41),"",IF($B41="","",IFERROR(_xll.BDP(TICKER,"DEEP_MEASURE_PERIOD_BROKER_VALUE","DEEP_MEASURE_ID_OVERRIDE",$C41,"DEEP_BROKER_ID_OVERRIDE",$F$7,"DEEP_PERIOD_OVERRIDE",AC$11)*1,"")))</f>
        <v/>
      </c>
      <c r="AD41" s="17" t="str">
        <f ca="1">IF(ISNA($B41),"",IF($B41="","",IFERROR(_xll.BDP(TICKER,"DEEP_MEASURE_PERIOD_BROKER_VALUE","DEEP_MEASURE_ID_OVERRIDE",$C41,"DEEP_BROKER_ID_OVERRIDE",$F$7,"DEEP_PERIOD_OVERRIDE",AD$11)*1,"")))</f>
        <v/>
      </c>
      <c r="AE41" s="17" t="str">
        <f ca="1">IF(ISNA($B41),"",IF($B41="","",IFERROR(_xll.BDP(TICKER,"DEEP_MEASURE_PERIOD_BROKER_VALUE","DEEP_MEASURE_ID_OVERRIDE",$C41,"DEEP_BROKER_ID_OVERRIDE",$F$7,"DEEP_PERIOD_OVERRIDE",AE$11)*1,"")))</f>
        <v/>
      </c>
      <c r="AF41" s="17" t="str">
        <f ca="1">IF(ISNA($B41),"",IF($B41="","",IFERROR(_xll.BDP(TICKER,"DEEP_MEASURE_PERIOD_BROKER_VALUE","DEEP_MEASURE_ID_OVERRIDE",$C41,"DEEP_BROKER_ID_OVERRIDE",$F$7,"DEEP_PERIOD_OVERRIDE",AF$11)*1,"")))</f>
        <v/>
      </c>
      <c r="AG41" s="17" t="str">
        <f ca="1">IF(ISNA($B41),"",IF($B41="","",IFERROR(_xll.BDP(TICKER,"DEEP_MEASURE_PERIOD_BROKER_VALUE","DEEP_MEASURE_ID_OVERRIDE",$C41,"DEEP_BROKER_ID_OVERRIDE",$F$7,"DEEP_PERIOD_OVERRIDE",AG$11)*1,"")))</f>
        <v/>
      </c>
      <c r="AH41" s="17" t="str">
        <f ca="1">IF(ISNA($B41),"",IF($B41="","",IFERROR(_xll.BDP(TICKER,"DEEP_MEASURE_PERIOD_BROKER_VALUE","DEEP_MEASURE_ID_OVERRIDE",$C41,"DEEP_BROKER_ID_OVERRIDE",$F$7,"DEEP_PERIOD_OVERRIDE",AH$11)*1,"")))</f>
        <v/>
      </c>
      <c r="AI41" s="17" t="str">
        <f ca="1">IF(ISNA($B41),"",IF($B41="","",IFERROR(_xll.BDP(TICKER,"DEEP_MEASURE_PERIOD_BROKER_VALUE","DEEP_MEASURE_ID_OVERRIDE",$C41,"DEEP_BROKER_ID_OVERRIDE",$F$7,"DEEP_PERIOD_OVERRIDE",AI$11)*1,"")))</f>
        <v/>
      </c>
      <c r="AJ41" s="17" t="str">
        <f ca="1">IF(ISNA($B41),"",IF($B41="","",IFERROR(_xll.BDP(TICKER,"DEEP_MEASURE_PERIOD_BROKER_VALUE","DEEP_MEASURE_ID_OVERRIDE",$C41,"DEEP_BROKER_ID_OVERRIDE",$F$7,"DEEP_PERIOD_OVERRIDE",AJ$11)*1,"")))</f>
        <v/>
      </c>
      <c r="AK41" s="17" t="str">
        <f ca="1">IF(ISNA($B41),"",IF($B41="","",IFERROR(_xll.BDP(TICKER,"DEEP_MEASURE_PERIOD_BROKER_VALUE","DEEP_MEASURE_ID_OVERRIDE",$C41,"DEEP_BROKER_ID_OVERRIDE",$F$7,"DEEP_PERIOD_OVERRIDE",AK$11)*1,"")))</f>
        <v/>
      </c>
      <c r="AL41" s="17" t="str">
        <f ca="1">IF(ISNA($B41),"",IF($B41="","",IFERROR(_xll.BDP(TICKER,"DEEP_MEASURE_PERIOD_BROKER_VALUE","DEEP_MEASURE_ID_OVERRIDE",$C41,"DEEP_BROKER_ID_OVERRIDE",$F$7,"DEEP_PERIOD_OVERRIDE",AL$11)*1,"")))</f>
        <v/>
      </c>
      <c r="AM41" s="17" t="str">
        <f ca="1">IF(ISNA($B41),"",IF($B41="","",IFERROR(_xll.BDP(TICKER,"DEEP_MEASURE_PERIOD_BROKER_VALUE","DEEP_MEASURE_ID_OVERRIDE",$C41,"DEEP_BROKER_ID_OVERRIDE",$F$7,"DEEP_PERIOD_OVERRIDE",AM$11)*1,"")))</f>
        <v/>
      </c>
      <c r="AN41" s="17" t="str">
        <f ca="1">IF(ISNA($B41),"",IF($B41="","",IFERROR(_xll.BDP(TICKER,"DEEP_MEASURE_PERIOD_BROKER_VALUE","DEEP_MEASURE_ID_OVERRIDE",$C41,"DEEP_BROKER_ID_OVERRIDE",$F$7,"DEEP_PERIOD_OVERRIDE",AN$11)*1,"")))</f>
        <v/>
      </c>
      <c r="AO41" s="17" t="str">
        <f ca="1">IF(ISNA($B41),"",IF($B41="","",IFERROR(_xll.BDP(TICKER,"DEEP_MEASURE_PERIOD_BROKER_VALUE","DEEP_MEASURE_ID_OVERRIDE",$C41,"DEEP_BROKER_ID_OVERRIDE",$F$7,"DEEP_PERIOD_OVERRIDE",AO$11)*1,"")))</f>
        <v/>
      </c>
      <c r="AP41" s="17" t="str">
        <f ca="1">IF(ISNA($B41),"",IF($B41="","",IFERROR(_xll.BDP(TICKER,"DEEP_MEASURE_PERIOD_BROKER_VALUE","DEEP_MEASURE_ID_OVERRIDE",$C41,"DEEP_BROKER_ID_OVERRIDE",$F$7,"DEEP_PERIOD_OVERRIDE",AP$11)*1,"")))</f>
        <v/>
      </c>
      <c r="AQ41" s="17" t="str">
        <f ca="1">IF(ISNA($B41),"",IF($B41="","",IFERROR(_xll.BDP(TICKER,"DEEP_MEASURE_PERIOD_BROKER_VALUE","DEEP_MEASURE_ID_OVERRIDE",$C41,"DEEP_BROKER_ID_OVERRIDE",$F$7,"DEEP_PERIOD_OVERRIDE",AQ$11)*1,"")))</f>
        <v/>
      </c>
    </row>
    <row r="42" spans="2:43" x14ac:dyDescent="0.25">
      <c r="B42" t="s">
        <v>93</v>
      </c>
      <c r="C42" s="11">
        <v>9845</v>
      </c>
      <c r="H42" t="str">
        <f t="shared" si="2"/>
        <v>Experiences &amp; Dining &gt; Revenue &gt; YoY Growth (%)</v>
      </c>
      <c r="I42" s="17" t="str">
        <f ca="1">IF(ISNA($B42),"",IF($B42="","",IFERROR(_xll.BDP(TICKER,"DEEP_MEASURE_PERIOD_BROKER_VALUE","DEEP_MEASURE_ID_OVERRIDE",$C42,"DEEP_BROKER_ID_OVERRIDE",$F$7,"DEEP_PERIOD_OVERRIDE",I$11)*1,"")))</f>
        <v/>
      </c>
      <c r="J42" s="17" t="str">
        <f ca="1">IF(ISNA($B42),"",IF($B42="","",IFERROR(_xll.BDP(TICKER,"DEEP_MEASURE_PERIOD_BROKER_VALUE","DEEP_MEASURE_ID_OVERRIDE",$C42,"DEEP_BROKER_ID_OVERRIDE",$F$7,"DEEP_PERIOD_OVERRIDE",J$11)*1,"")))</f>
        <v/>
      </c>
      <c r="K42" s="17" t="str">
        <f ca="1">IF(ISNA($B42),"",IF($B42="","",IFERROR(_xll.BDP(TICKER,"DEEP_MEASURE_PERIOD_BROKER_VALUE","DEEP_MEASURE_ID_OVERRIDE",$C42,"DEEP_BROKER_ID_OVERRIDE",$F$7,"DEEP_PERIOD_OVERRIDE",K$11)*1,"")))</f>
        <v/>
      </c>
      <c r="L42" s="17" t="str">
        <f ca="1">IF(ISNA($B42),"",IF($B42="","",IFERROR(_xll.BDP(TICKER,"DEEP_MEASURE_PERIOD_BROKER_VALUE","DEEP_MEASURE_ID_OVERRIDE",$C42,"DEEP_BROKER_ID_OVERRIDE",$F$7,"DEEP_PERIOD_OVERRIDE",L$11)*1,"")))</f>
        <v/>
      </c>
      <c r="M42" s="17" t="str">
        <f ca="1">IF(ISNA($B42),"",IF($B42="","",IFERROR(_xll.BDP(TICKER,"DEEP_MEASURE_PERIOD_BROKER_VALUE","DEEP_MEASURE_ID_OVERRIDE",$C42,"DEEP_BROKER_ID_OVERRIDE",$F$7,"DEEP_PERIOD_OVERRIDE",M$11)*1,"")))</f>
        <v/>
      </c>
      <c r="N42" s="17" t="str">
        <f ca="1">IF(ISNA($B42),"",IF($B42="","",IFERROR(_xll.BDP(TICKER,"DEEP_MEASURE_PERIOD_BROKER_VALUE","DEEP_MEASURE_ID_OVERRIDE",$C42,"DEEP_BROKER_ID_OVERRIDE",$F$7,"DEEP_PERIOD_OVERRIDE",N$11)*1,"")))</f>
        <v/>
      </c>
      <c r="O42" s="17" t="str">
        <f ca="1">IF(ISNA($B42),"",IF($B42="","",IFERROR(_xll.BDP(TICKER,"DEEP_MEASURE_PERIOD_BROKER_VALUE","DEEP_MEASURE_ID_OVERRIDE",$C42,"DEEP_BROKER_ID_OVERRIDE",$F$7,"DEEP_PERIOD_OVERRIDE",O$11)*1,"")))</f>
        <v/>
      </c>
      <c r="P42" s="17" t="str">
        <f ca="1">IF(ISNA($B42),"",IF($B42="","",IFERROR(_xll.BDP(TICKER,"DEEP_MEASURE_PERIOD_BROKER_VALUE","DEEP_MEASURE_ID_OVERRIDE",$C42,"DEEP_BROKER_ID_OVERRIDE",$F$7,"DEEP_PERIOD_OVERRIDE",P$11)*1,"")))</f>
        <v/>
      </c>
      <c r="Q42" s="17" t="str">
        <f ca="1">IF(ISNA($B42),"",IF($B42="","",IFERROR(_xll.BDP(TICKER,"DEEP_MEASURE_PERIOD_BROKER_VALUE","DEEP_MEASURE_ID_OVERRIDE",$C42,"DEEP_BROKER_ID_OVERRIDE",$F$7,"DEEP_PERIOD_OVERRIDE",Q$11)*1,"")))</f>
        <v/>
      </c>
      <c r="R42" s="17" t="str">
        <f ca="1">IF(ISNA($B42),"",IF($B42="","",IFERROR(_xll.BDP(TICKER,"DEEP_MEASURE_PERIOD_BROKER_VALUE","DEEP_MEASURE_ID_OVERRIDE",$C42,"DEEP_BROKER_ID_OVERRIDE",$F$7,"DEEP_PERIOD_OVERRIDE",R$11)*1,"")))</f>
        <v/>
      </c>
      <c r="S42" s="17" t="str">
        <f ca="1">IF(ISNA($B42),"",IF($B42="","",IFERROR(_xll.BDP(TICKER,"DEEP_MEASURE_PERIOD_BROKER_VALUE","DEEP_MEASURE_ID_OVERRIDE",$C42,"DEEP_BROKER_ID_OVERRIDE",$F$7,"DEEP_PERIOD_OVERRIDE",S$11)*1,"")))</f>
        <v/>
      </c>
      <c r="T42" s="17" t="str">
        <f ca="1">IF(ISNA($B42),"",IF($B42="","",IFERROR(_xll.BDP(TICKER,"DEEP_MEASURE_PERIOD_BROKER_VALUE","DEEP_MEASURE_ID_OVERRIDE",$C42,"DEEP_BROKER_ID_OVERRIDE",$F$7,"DEEP_PERIOD_OVERRIDE",T$11)*1,"")))</f>
        <v/>
      </c>
      <c r="U42" s="17" t="str">
        <f ca="1">IF(ISNA($B42),"",IF($B42="","",IFERROR(_xll.BDP(TICKER,"DEEP_MEASURE_PERIOD_BROKER_VALUE","DEEP_MEASURE_ID_OVERRIDE",$C42,"DEEP_BROKER_ID_OVERRIDE",$F$7,"DEEP_PERIOD_OVERRIDE",U$11)*1,"")))</f>
        <v/>
      </c>
      <c r="V42" s="17" t="str">
        <f ca="1">IF(ISNA($B42),"",IF($B42="","",IFERROR(_xll.BDP(TICKER,"DEEP_MEASURE_PERIOD_BROKER_VALUE","DEEP_MEASURE_ID_OVERRIDE",$C42,"DEEP_BROKER_ID_OVERRIDE",$F$7,"DEEP_PERIOD_OVERRIDE",V$11)*1,"")))</f>
        <v/>
      </c>
      <c r="W42" s="17" t="str">
        <f ca="1">IF(ISNA($B42),"",IF($B42="","",IFERROR(_xll.BDP(TICKER,"DEEP_MEASURE_PERIOD_BROKER_VALUE","DEEP_MEASURE_ID_OVERRIDE",$C42,"DEEP_BROKER_ID_OVERRIDE",$F$7,"DEEP_PERIOD_OVERRIDE",W$11)*1,"")))</f>
        <v/>
      </c>
      <c r="X42" s="17" t="str">
        <f ca="1">IF(ISNA($B42),"",IF($B42="","",IFERROR(_xll.BDP(TICKER,"DEEP_MEASURE_PERIOD_BROKER_VALUE","DEEP_MEASURE_ID_OVERRIDE",$C42,"DEEP_BROKER_ID_OVERRIDE",$F$7,"DEEP_PERIOD_OVERRIDE",X$11)*1,"")))</f>
        <v/>
      </c>
      <c r="Y42" s="17" t="str">
        <f ca="1">IF(ISNA($B42),"",IF($B42="","",IFERROR(_xll.BDP(TICKER,"DEEP_MEASURE_PERIOD_BROKER_VALUE","DEEP_MEASURE_ID_OVERRIDE",$C42,"DEEP_BROKER_ID_OVERRIDE",$F$7,"DEEP_PERIOD_OVERRIDE",Y$11)*1,"")))</f>
        <v/>
      </c>
      <c r="Z42" s="17" t="str">
        <f ca="1">IF(ISNA($B42),"",IF($B42="","",IFERROR(_xll.BDP(TICKER,"DEEP_MEASURE_PERIOD_BROKER_VALUE","DEEP_MEASURE_ID_OVERRIDE",$C42,"DEEP_BROKER_ID_OVERRIDE",$F$7,"DEEP_PERIOD_OVERRIDE",Z$11)*1,"")))</f>
        <v/>
      </c>
      <c r="AA42" s="17" t="str">
        <f ca="1">IF(ISNA($B42),"",IF($B42="","",IFERROR(_xll.BDP(TICKER,"DEEP_MEASURE_PERIOD_BROKER_VALUE","DEEP_MEASURE_ID_OVERRIDE",$C42,"DEEP_BROKER_ID_OVERRIDE",$F$7,"DEEP_PERIOD_OVERRIDE",AA$11)*1,"")))</f>
        <v/>
      </c>
      <c r="AB42" s="17" t="str">
        <f ca="1">IF(ISNA($B42),"",IF($B42="","",IFERROR(_xll.BDP(TICKER,"DEEP_MEASURE_PERIOD_BROKER_VALUE","DEEP_MEASURE_ID_OVERRIDE",$C42,"DEEP_BROKER_ID_OVERRIDE",$F$7,"DEEP_PERIOD_OVERRIDE",AB$11)*1,"")))</f>
        <v/>
      </c>
      <c r="AC42" s="17" t="str">
        <f ca="1">IF(ISNA($B42),"",IF($B42="","",IFERROR(_xll.BDP(TICKER,"DEEP_MEASURE_PERIOD_BROKER_VALUE","DEEP_MEASURE_ID_OVERRIDE",$C42,"DEEP_BROKER_ID_OVERRIDE",$F$7,"DEEP_PERIOD_OVERRIDE",AC$11)*1,"")))</f>
        <v/>
      </c>
      <c r="AD42" s="17" t="str">
        <f ca="1">IF(ISNA($B42),"",IF($B42="","",IFERROR(_xll.BDP(TICKER,"DEEP_MEASURE_PERIOD_BROKER_VALUE","DEEP_MEASURE_ID_OVERRIDE",$C42,"DEEP_BROKER_ID_OVERRIDE",$F$7,"DEEP_PERIOD_OVERRIDE",AD$11)*1,"")))</f>
        <v/>
      </c>
      <c r="AE42" s="17" t="str">
        <f ca="1">IF(ISNA($B42),"",IF($B42="","",IFERROR(_xll.BDP(TICKER,"DEEP_MEASURE_PERIOD_BROKER_VALUE","DEEP_MEASURE_ID_OVERRIDE",$C42,"DEEP_BROKER_ID_OVERRIDE",$F$7,"DEEP_PERIOD_OVERRIDE",AE$11)*1,"")))</f>
        <v/>
      </c>
      <c r="AF42" s="17" t="str">
        <f ca="1">IF(ISNA($B42),"",IF($B42="","",IFERROR(_xll.BDP(TICKER,"DEEP_MEASURE_PERIOD_BROKER_VALUE","DEEP_MEASURE_ID_OVERRIDE",$C42,"DEEP_BROKER_ID_OVERRIDE",$F$7,"DEEP_PERIOD_OVERRIDE",AF$11)*1,"")))</f>
        <v/>
      </c>
      <c r="AG42" s="17" t="str">
        <f ca="1">IF(ISNA($B42),"",IF($B42="","",IFERROR(_xll.BDP(TICKER,"DEEP_MEASURE_PERIOD_BROKER_VALUE","DEEP_MEASURE_ID_OVERRIDE",$C42,"DEEP_BROKER_ID_OVERRIDE",$F$7,"DEEP_PERIOD_OVERRIDE",AG$11)*1,"")))</f>
        <v/>
      </c>
      <c r="AH42" s="17" t="str">
        <f ca="1">IF(ISNA($B42),"",IF($B42="","",IFERROR(_xll.BDP(TICKER,"DEEP_MEASURE_PERIOD_BROKER_VALUE","DEEP_MEASURE_ID_OVERRIDE",$C42,"DEEP_BROKER_ID_OVERRIDE",$F$7,"DEEP_PERIOD_OVERRIDE",AH$11)*1,"")))</f>
        <v/>
      </c>
      <c r="AI42" s="17" t="str">
        <f ca="1">IF(ISNA($B42),"",IF($B42="","",IFERROR(_xll.BDP(TICKER,"DEEP_MEASURE_PERIOD_BROKER_VALUE","DEEP_MEASURE_ID_OVERRIDE",$C42,"DEEP_BROKER_ID_OVERRIDE",$F$7,"DEEP_PERIOD_OVERRIDE",AI$11)*1,"")))</f>
        <v/>
      </c>
      <c r="AJ42" s="17" t="str">
        <f ca="1">IF(ISNA($B42),"",IF($B42="","",IFERROR(_xll.BDP(TICKER,"DEEP_MEASURE_PERIOD_BROKER_VALUE","DEEP_MEASURE_ID_OVERRIDE",$C42,"DEEP_BROKER_ID_OVERRIDE",$F$7,"DEEP_PERIOD_OVERRIDE",AJ$11)*1,"")))</f>
        <v/>
      </c>
      <c r="AK42" s="17" t="str">
        <f ca="1">IF(ISNA($B42),"",IF($B42="","",IFERROR(_xll.BDP(TICKER,"DEEP_MEASURE_PERIOD_BROKER_VALUE","DEEP_MEASURE_ID_OVERRIDE",$C42,"DEEP_BROKER_ID_OVERRIDE",$F$7,"DEEP_PERIOD_OVERRIDE",AK$11)*1,"")))</f>
        <v/>
      </c>
      <c r="AL42" s="17" t="str">
        <f ca="1">IF(ISNA($B42),"",IF($B42="","",IFERROR(_xll.BDP(TICKER,"DEEP_MEASURE_PERIOD_BROKER_VALUE","DEEP_MEASURE_ID_OVERRIDE",$C42,"DEEP_BROKER_ID_OVERRIDE",$F$7,"DEEP_PERIOD_OVERRIDE",AL$11)*1,"")))</f>
        <v/>
      </c>
      <c r="AM42" s="17" t="str">
        <f ca="1">IF(ISNA($B42),"",IF($B42="","",IFERROR(_xll.BDP(TICKER,"DEEP_MEASURE_PERIOD_BROKER_VALUE","DEEP_MEASURE_ID_OVERRIDE",$C42,"DEEP_BROKER_ID_OVERRIDE",$F$7,"DEEP_PERIOD_OVERRIDE",AM$11)*1,"")))</f>
        <v/>
      </c>
      <c r="AN42" s="17" t="str">
        <f ca="1">IF(ISNA($B42),"",IF($B42="","",IFERROR(_xll.BDP(TICKER,"DEEP_MEASURE_PERIOD_BROKER_VALUE","DEEP_MEASURE_ID_OVERRIDE",$C42,"DEEP_BROKER_ID_OVERRIDE",$F$7,"DEEP_PERIOD_OVERRIDE",AN$11)*1,"")))</f>
        <v/>
      </c>
      <c r="AO42" s="17" t="str">
        <f ca="1">IF(ISNA($B42),"",IF($B42="","",IFERROR(_xll.BDP(TICKER,"DEEP_MEASURE_PERIOD_BROKER_VALUE","DEEP_MEASURE_ID_OVERRIDE",$C42,"DEEP_BROKER_ID_OVERRIDE",$F$7,"DEEP_PERIOD_OVERRIDE",AO$11)*1,"")))</f>
        <v/>
      </c>
      <c r="AP42" s="17" t="str">
        <f ca="1">IF(ISNA($B42),"",IF($B42="","",IFERROR(_xll.BDP(TICKER,"DEEP_MEASURE_PERIOD_BROKER_VALUE","DEEP_MEASURE_ID_OVERRIDE",$C42,"DEEP_BROKER_ID_OVERRIDE",$F$7,"DEEP_PERIOD_OVERRIDE",AP$11)*1,"")))</f>
        <v/>
      </c>
      <c r="AQ42" s="17" t="str">
        <f ca="1">IF(ISNA($B42),"",IF($B42="","",IFERROR(_xll.BDP(TICKER,"DEEP_MEASURE_PERIOD_BROKER_VALUE","DEEP_MEASURE_ID_OVERRIDE",$C42,"DEEP_BROKER_ID_OVERRIDE",$F$7,"DEEP_PERIOD_OVERRIDE",AQ$11)*1,"")))</f>
        <v/>
      </c>
    </row>
    <row r="43" spans="2:43" x14ac:dyDescent="0.25">
      <c r="B43" t="s">
        <v>94</v>
      </c>
      <c r="C43" s="11">
        <v>10272</v>
      </c>
      <c r="H43" t="str">
        <f t="shared" si="2"/>
        <v>Experiences &amp; Dining &gt; Operating Expenses</v>
      </c>
      <c r="I43" s="17" t="str">
        <f ca="1">IF(ISNA($B43),"",IF($B43="","",IFERROR(_xll.BDP(TICKER,"DEEP_MEASURE_PERIOD_BROKER_VALUE","DEEP_MEASURE_ID_OVERRIDE",$C43,"DEEP_BROKER_ID_OVERRIDE",$F$7,"DEEP_PERIOD_OVERRIDE",I$11)*1,"")))</f>
        <v/>
      </c>
      <c r="J43" s="17" t="str">
        <f ca="1">IF(ISNA($B43),"",IF($B43="","",IFERROR(_xll.BDP(TICKER,"DEEP_MEASURE_PERIOD_BROKER_VALUE","DEEP_MEASURE_ID_OVERRIDE",$C43,"DEEP_BROKER_ID_OVERRIDE",$F$7,"DEEP_PERIOD_OVERRIDE",J$11)*1,"")))</f>
        <v/>
      </c>
      <c r="K43" s="17" t="str">
        <f ca="1">IF(ISNA($B43),"",IF($B43="","",IFERROR(_xll.BDP(TICKER,"DEEP_MEASURE_PERIOD_BROKER_VALUE","DEEP_MEASURE_ID_OVERRIDE",$C43,"DEEP_BROKER_ID_OVERRIDE",$F$7,"DEEP_PERIOD_OVERRIDE",K$11)*1,"")))</f>
        <v/>
      </c>
      <c r="L43" s="17" t="str">
        <f ca="1">IF(ISNA($B43),"",IF($B43="","",IFERROR(_xll.BDP(TICKER,"DEEP_MEASURE_PERIOD_BROKER_VALUE","DEEP_MEASURE_ID_OVERRIDE",$C43,"DEEP_BROKER_ID_OVERRIDE",$F$7,"DEEP_PERIOD_OVERRIDE",L$11)*1,"")))</f>
        <v/>
      </c>
      <c r="M43" s="17" t="str">
        <f ca="1">IF(ISNA($B43),"",IF($B43="","",IFERROR(_xll.BDP(TICKER,"DEEP_MEASURE_PERIOD_BROKER_VALUE","DEEP_MEASURE_ID_OVERRIDE",$C43,"DEEP_BROKER_ID_OVERRIDE",$F$7,"DEEP_PERIOD_OVERRIDE",M$11)*1,"")))</f>
        <v/>
      </c>
      <c r="N43" s="17" t="str">
        <f ca="1">IF(ISNA($B43),"",IF($B43="","",IFERROR(_xll.BDP(TICKER,"DEEP_MEASURE_PERIOD_BROKER_VALUE","DEEP_MEASURE_ID_OVERRIDE",$C43,"DEEP_BROKER_ID_OVERRIDE",$F$7,"DEEP_PERIOD_OVERRIDE",N$11)*1,"")))</f>
        <v/>
      </c>
      <c r="O43" s="17" t="str">
        <f ca="1">IF(ISNA($B43),"",IF($B43="","",IFERROR(_xll.BDP(TICKER,"DEEP_MEASURE_PERIOD_BROKER_VALUE","DEEP_MEASURE_ID_OVERRIDE",$C43,"DEEP_BROKER_ID_OVERRIDE",$F$7,"DEEP_PERIOD_OVERRIDE",O$11)*1,"")))</f>
        <v/>
      </c>
      <c r="P43" s="17" t="str">
        <f ca="1">IF(ISNA($B43),"",IF($B43="","",IFERROR(_xll.BDP(TICKER,"DEEP_MEASURE_PERIOD_BROKER_VALUE","DEEP_MEASURE_ID_OVERRIDE",$C43,"DEEP_BROKER_ID_OVERRIDE",$F$7,"DEEP_PERIOD_OVERRIDE",P$11)*1,"")))</f>
        <v/>
      </c>
      <c r="Q43" s="17" t="str">
        <f ca="1">IF(ISNA($B43),"",IF($B43="","",IFERROR(_xll.BDP(TICKER,"DEEP_MEASURE_PERIOD_BROKER_VALUE","DEEP_MEASURE_ID_OVERRIDE",$C43,"DEEP_BROKER_ID_OVERRIDE",$F$7,"DEEP_PERIOD_OVERRIDE",Q$11)*1,"")))</f>
        <v/>
      </c>
      <c r="R43" s="17" t="str">
        <f ca="1">IF(ISNA($B43),"",IF($B43="","",IFERROR(_xll.BDP(TICKER,"DEEP_MEASURE_PERIOD_BROKER_VALUE","DEEP_MEASURE_ID_OVERRIDE",$C43,"DEEP_BROKER_ID_OVERRIDE",$F$7,"DEEP_PERIOD_OVERRIDE",R$11)*1,"")))</f>
        <v/>
      </c>
      <c r="S43" s="17" t="str">
        <f ca="1">IF(ISNA($B43),"",IF($B43="","",IFERROR(_xll.BDP(TICKER,"DEEP_MEASURE_PERIOD_BROKER_VALUE","DEEP_MEASURE_ID_OVERRIDE",$C43,"DEEP_BROKER_ID_OVERRIDE",$F$7,"DEEP_PERIOD_OVERRIDE",S$11)*1,"")))</f>
        <v/>
      </c>
      <c r="T43" s="17" t="str">
        <f ca="1">IF(ISNA($B43),"",IF($B43="","",IFERROR(_xll.BDP(TICKER,"DEEP_MEASURE_PERIOD_BROKER_VALUE","DEEP_MEASURE_ID_OVERRIDE",$C43,"DEEP_BROKER_ID_OVERRIDE",$F$7,"DEEP_PERIOD_OVERRIDE",T$11)*1,"")))</f>
        <v/>
      </c>
      <c r="U43" s="17" t="str">
        <f ca="1">IF(ISNA($B43),"",IF($B43="","",IFERROR(_xll.BDP(TICKER,"DEEP_MEASURE_PERIOD_BROKER_VALUE","DEEP_MEASURE_ID_OVERRIDE",$C43,"DEEP_BROKER_ID_OVERRIDE",$F$7,"DEEP_PERIOD_OVERRIDE",U$11)*1,"")))</f>
        <v/>
      </c>
      <c r="V43" s="17" t="str">
        <f ca="1">IF(ISNA($B43),"",IF($B43="","",IFERROR(_xll.BDP(TICKER,"DEEP_MEASURE_PERIOD_BROKER_VALUE","DEEP_MEASURE_ID_OVERRIDE",$C43,"DEEP_BROKER_ID_OVERRIDE",$F$7,"DEEP_PERIOD_OVERRIDE",V$11)*1,"")))</f>
        <v/>
      </c>
      <c r="W43" s="17" t="str">
        <f ca="1">IF(ISNA($B43),"",IF($B43="","",IFERROR(_xll.BDP(TICKER,"DEEP_MEASURE_PERIOD_BROKER_VALUE","DEEP_MEASURE_ID_OVERRIDE",$C43,"DEEP_BROKER_ID_OVERRIDE",$F$7,"DEEP_PERIOD_OVERRIDE",W$11)*1,"")))</f>
        <v/>
      </c>
      <c r="X43" s="17" t="str">
        <f ca="1">IF(ISNA($B43),"",IF($B43="","",IFERROR(_xll.BDP(TICKER,"DEEP_MEASURE_PERIOD_BROKER_VALUE","DEEP_MEASURE_ID_OVERRIDE",$C43,"DEEP_BROKER_ID_OVERRIDE",$F$7,"DEEP_PERIOD_OVERRIDE",X$11)*1,"")))</f>
        <v/>
      </c>
      <c r="Y43" s="17" t="str">
        <f ca="1">IF(ISNA($B43),"",IF($B43="","",IFERROR(_xll.BDP(TICKER,"DEEP_MEASURE_PERIOD_BROKER_VALUE","DEEP_MEASURE_ID_OVERRIDE",$C43,"DEEP_BROKER_ID_OVERRIDE",$F$7,"DEEP_PERIOD_OVERRIDE",Y$11)*1,"")))</f>
        <v/>
      </c>
      <c r="Z43" s="17" t="str">
        <f ca="1">IF(ISNA($B43),"",IF($B43="","",IFERROR(_xll.BDP(TICKER,"DEEP_MEASURE_PERIOD_BROKER_VALUE","DEEP_MEASURE_ID_OVERRIDE",$C43,"DEEP_BROKER_ID_OVERRIDE",$F$7,"DEEP_PERIOD_OVERRIDE",Z$11)*1,"")))</f>
        <v/>
      </c>
      <c r="AA43" s="17" t="str">
        <f ca="1">IF(ISNA($B43),"",IF($B43="","",IFERROR(_xll.BDP(TICKER,"DEEP_MEASURE_PERIOD_BROKER_VALUE","DEEP_MEASURE_ID_OVERRIDE",$C43,"DEEP_BROKER_ID_OVERRIDE",$F$7,"DEEP_PERIOD_OVERRIDE",AA$11)*1,"")))</f>
        <v/>
      </c>
      <c r="AB43" s="17" t="str">
        <f ca="1">IF(ISNA($B43),"",IF($B43="","",IFERROR(_xll.BDP(TICKER,"DEEP_MEASURE_PERIOD_BROKER_VALUE","DEEP_MEASURE_ID_OVERRIDE",$C43,"DEEP_BROKER_ID_OVERRIDE",$F$7,"DEEP_PERIOD_OVERRIDE",AB$11)*1,"")))</f>
        <v/>
      </c>
      <c r="AC43" s="17" t="str">
        <f ca="1">IF(ISNA($B43),"",IF($B43="","",IFERROR(_xll.BDP(TICKER,"DEEP_MEASURE_PERIOD_BROKER_VALUE","DEEP_MEASURE_ID_OVERRIDE",$C43,"DEEP_BROKER_ID_OVERRIDE",$F$7,"DEEP_PERIOD_OVERRIDE",AC$11)*1,"")))</f>
        <v/>
      </c>
      <c r="AD43" s="17" t="str">
        <f ca="1">IF(ISNA($B43),"",IF($B43="","",IFERROR(_xll.BDP(TICKER,"DEEP_MEASURE_PERIOD_BROKER_VALUE","DEEP_MEASURE_ID_OVERRIDE",$C43,"DEEP_BROKER_ID_OVERRIDE",$F$7,"DEEP_PERIOD_OVERRIDE",AD$11)*1,"")))</f>
        <v/>
      </c>
      <c r="AE43" s="17" t="str">
        <f ca="1">IF(ISNA($B43),"",IF($B43="","",IFERROR(_xll.BDP(TICKER,"DEEP_MEASURE_PERIOD_BROKER_VALUE","DEEP_MEASURE_ID_OVERRIDE",$C43,"DEEP_BROKER_ID_OVERRIDE",$F$7,"DEEP_PERIOD_OVERRIDE",AE$11)*1,"")))</f>
        <v/>
      </c>
      <c r="AF43" s="17" t="str">
        <f ca="1">IF(ISNA($B43),"",IF($B43="","",IFERROR(_xll.BDP(TICKER,"DEEP_MEASURE_PERIOD_BROKER_VALUE","DEEP_MEASURE_ID_OVERRIDE",$C43,"DEEP_BROKER_ID_OVERRIDE",$F$7,"DEEP_PERIOD_OVERRIDE",AF$11)*1,"")))</f>
        <v/>
      </c>
      <c r="AG43" s="17" t="str">
        <f ca="1">IF(ISNA($B43),"",IF($B43="","",IFERROR(_xll.BDP(TICKER,"DEEP_MEASURE_PERIOD_BROKER_VALUE","DEEP_MEASURE_ID_OVERRIDE",$C43,"DEEP_BROKER_ID_OVERRIDE",$F$7,"DEEP_PERIOD_OVERRIDE",AG$11)*1,"")))</f>
        <v/>
      </c>
      <c r="AH43" s="17" t="str">
        <f ca="1">IF(ISNA($B43),"",IF($B43="","",IFERROR(_xll.BDP(TICKER,"DEEP_MEASURE_PERIOD_BROKER_VALUE","DEEP_MEASURE_ID_OVERRIDE",$C43,"DEEP_BROKER_ID_OVERRIDE",$F$7,"DEEP_PERIOD_OVERRIDE",AH$11)*1,"")))</f>
        <v/>
      </c>
      <c r="AI43" s="17" t="str">
        <f ca="1">IF(ISNA($B43),"",IF($B43="","",IFERROR(_xll.BDP(TICKER,"DEEP_MEASURE_PERIOD_BROKER_VALUE","DEEP_MEASURE_ID_OVERRIDE",$C43,"DEEP_BROKER_ID_OVERRIDE",$F$7,"DEEP_PERIOD_OVERRIDE",AI$11)*1,"")))</f>
        <v/>
      </c>
      <c r="AJ43" s="17" t="str">
        <f ca="1">IF(ISNA($B43),"",IF($B43="","",IFERROR(_xll.BDP(TICKER,"DEEP_MEASURE_PERIOD_BROKER_VALUE","DEEP_MEASURE_ID_OVERRIDE",$C43,"DEEP_BROKER_ID_OVERRIDE",$F$7,"DEEP_PERIOD_OVERRIDE",AJ$11)*1,"")))</f>
        <v/>
      </c>
      <c r="AK43" s="17" t="str">
        <f ca="1">IF(ISNA($B43),"",IF($B43="","",IFERROR(_xll.BDP(TICKER,"DEEP_MEASURE_PERIOD_BROKER_VALUE","DEEP_MEASURE_ID_OVERRIDE",$C43,"DEEP_BROKER_ID_OVERRIDE",$F$7,"DEEP_PERIOD_OVERRIDE",AK$11)*1,"")))</f>
        <v/>
      </c>
      <c r="AL43" s="17" t="str">
        <f ca="1">IF(ISNA($B43),"",IF($B43="","",IFERROR(_xll.BDP(TICKER,"DEEP_MEASURE_PERIOD_BROKER_VALUE","DEEP_MEASURE_ID_OVERRIDE",$C43,"DEEP_BROKER_ID_OVERRIDE",$F$7,"DEEP_PERIOD_OVERRIDE",AL$11)*1,"")))</f>
        <v/>
      </c>
      <c r="AM43" s="17" t="str">
        <f ca="1">IF(ISNA($B43),"",IF($B43="","",IFERROR(_xll.BDP(TICKER,"DEEP_MEASURE_PERIOD_BROKER_VALUE","DEEP_MEASURE_ID_OVERRIDE",$C43,"DEEP_BROKER_ID_OVERRIDE",$F$7,"DEEP_PERIOD_OVERRIDE",AM$11)*1,"")))</f>
        <v/>
      </c>
      <c r="AN43" s="17" t="str">
        <f ca="1">IF(ISNA($B43),"",IF($B43="","",IFERROR(_xll.BDP(TICKER,"DEEP_MEASURE_PERIOD_BROKER_VALUE","DEEP_MEASURE_ID_OVERRIDE",$C43,"DEEP_BROKER_ID_OVERRIDE",$F$7,"DEEP_PERIOD_OVERRIDE",AN$11)*1,"")))</f>
        <v/>
      </c>
      <c r="AO43" s="17" t="str">
        <f ca="1">IF(ISNA($B43),"",IF($B43="","",IFERROR(_xll.BDP(TICKER,"DEEP_MEASURE_PERIOD_BROKER_VALUE","DEEP_MEASURE_ID_OVERRIDE",$C43,"DEEP_BROKER_ID_OVERRIDE",$F$7,"DEEP_PERIOD_OVERRIDE",AO$11)*1,"")))</f>
        <v/>
      </c>
      <c r="AP43" s="17" t="str">
        <f ca="1">IF(ISNA($B43),"",IF($B43="","",IFERROR(_xll.BDP(TICKER,"DEEP_MEASURE_PERIOD_BROKER_VALUE","DEEP_MEASURE_ID_OVERRIDE",$C43,"DEEP_BROKER_ID_OVERRIDE",$F$7,"DEEP_PERIOD_OVERRIDE",AP$11)*1,"")))</f>
        <v/>
      </c>
      <c r="AQ43" s="17" t="str">
        <f ca="1">IF(ISNA($B43),"",IF($B43="","",IFERROR(_xll.BDP(TICKER,"DEEP_MEASURE_PERIOD_BROKER_VALUE","DEEP_MEASURE_ID_OVERRIDE",$C43,"DEEP_BROKER_ID_OVERRIDE",$F$7,"DEEP_PERIOD_OVERRIDE",AQ$11)*1,"")))</f>
        <v/>
      </c>
    </row>
    <row r="44" spans="2:43" x14ac:dyDescent="0.25">
      <c r="B44" t="s">
        <v>95</v>
      </c>
      <c r="C44" s="11">
        <v>9840</v>
      </c>
      <c r="H44" t="str">
        <f t="shared" si="2"/>
        <v>Experiences &amp; Dining &gt; EBITDA</v>
      </c>
      <c r="I44" s="17" t="str">
        <f ca="1">IF(ISNA($B44),"",IF($B44="","",IFERROR(_xll.BDP(TICKER,"DEEP_MEASURE_PERIOD_BROKER_VALUE","DEEP_MEASURE_ID_OVERRIDE",$C44,"DEEP_BROKER_ID_OVERRIDE",$F$7,"DEEP_PERIOD_OVERRIDE",I$11)*1,"")))</f>
        <v/>
      </c>
      <c r="J44" s="17" t="str">
        <f ca="1">IF(ISNA($B44),"",IF($B44="","",IFERROR(_xll.BDP(TICKER,"DEEP_MEASURE_PERIOD_BROKER_VALUE","DEEP_MEASURE_ID_OVERRIDE",$C44,"DEEP_BROKER_ID_OVERRIDE",$F$7,"DEEP_PERIOD_OVERRIDE",J$11)*1,"")))</f>
        <v/>
      </c>
      <c r="K44" s="17" t="str">
        <f ca="1">IF(ISNA($B44),"",IF($B44="","",IFERROR(_xll.BDP(TICKER,"DEEP_MEASURE_PERIOD_BROKER_VALUE","DEEP_MEASURE_ID_OVERRIDE",$C44,"DEEP_BROKER_ID_OVERRIDE",$F$7,"DEEP_PERIOD_OVERRIDE",K$11)*1,"")))</f>
        <v/>
      </c>
      <c r="L44" s="17" t="str">
        <f ca="1">IF(ISNA($B44),"",IF($B44="","",IFERROR(_xll.BDP(TICKER,"DEEP_MEASURE_PERIOD_BROKER_VALUE","DEEP_MEASURE_ID_OVERRIDE",$C44,"DEEP_BROKER_ID_OVERRIDE",$F$7,"DEEP_PERIOD_OVERRIDE",L$11)*1,"")))</f>
        <v/>
      </c>
      <c r="M44" s="17" t="str">
        <f ca="1">IF(ISNA($B44),"",IF($B44="","",IFERROR(_xll.BDP(TICKER,"DEEP_MEASURE_PERIOD_BROKER_VALUE","DEEP_MEASURE_ID_OVERRIDE",$C44,"DEEP_BROKER_ID_OVERRIDE",$F$7,"DEEP_PERIOD_OVERRIDE",M$11)*1,"")))</f>
        <v/>
      </c>
      <c r="N44" s="17" t="str">
        <f ca="1">IF(ISNA($B44),"",IF($B44="","",IFERROR(_xll.BDP(TICKER,"DEEP_MEASURE_PERIOD_BROKER_VALUE","DEEP_MEASURE_ID_OVERRIDE",$C44,"DEEP_BROKER_ID_OVERRIDE",$F$7,"DEEP_PERIOD_OVERRIDE",N$11)*1,"")))</f>
        <v/>
      </c>
      <c r="O44" s="17" t="str">
        <f ca="1">IF(ISNA($B44),"",IF($B44="","",IFERROR(_xll.BDP(TICKER,"DEEP_MEASURE_PERIOD_BROKER_VALUE","DEEP_MEASURE_ID_OVERRIDE",$C44,"DEEP_BROKER_ID_OVERRIDE",$F$7,"DEEP_PERIOD_OVERRIDE",O$11)*1,"")))</f>
        <v/>
      </c>
      <c r="P44" s="17" t="str">
        <f ca="1">IF(ISNA($B44),"",IF($B44="","",IFERROR(_xll.BDP(TICKER,"DEEP_MEASURE_PERIOD_BROKER_VALUE","DEEP_MEASURE_ID_OVERRIDE",$C44,"DEEP_BROKER_ID_OVERRIDE",$F$7,"DEEP_PERIOD_OVERRIDE",P$11)*1,"")))</f>
        <v/>
      </c>
      <c r="Q44" s="17" t="str">
        <f ca="1">IF(ISNA($B44),"",IF($B44="","",IFERROR(_xll.BDP(TICKER,"DEEP_MEASURE_PERIOD_BROKER_VALUE","DEEP_MEASURE_ID_OVERRIDE",$C44,"DEEP_BROKER_ID_OVERRIDE",$F$7,"DEEP_PERIOD_OVERRIDE",Q$11)*1,"")))</f>
        <v/>
      </c>
      <c r="R44" s="17" t="str">
        <f ca="1">IF(ISNA($B44),"",IF($B44="","",IFERROR(_xll.BDP(TICKER,"DEEP_MEASURE_PERIOD_BROKER_VALUE","DEEP_MEASURE_ID_OVERRIDE",$C44,"DEEP_BROKER_ID_OVERRIDE",$F$7,"DEEP_PERIOD_OVERRIDE",R$11)*1,"")))</f>
        <v/>
      </c>
      <c r="S44" s="17" t="str">
        <f ca="1">IF(ISNA($B44),"",IF($B44="","",IFERROR(_xll.BDP(TICKER,"DEEP_MEASURE_PERIOD_BROKER_VALUE","DEEP_MEASURE_ID_OVERRIDE",$C44,"DEEP_BROKER_ID_OVERRIDE",$F$7,"DEEP_PERIOD_OVERRIDE",S$11)*1,"")))</f>
        <v/>
      </c>
      <c r="T44" s="17" t="str">
        <f ca="1">IF(ISNA($B44),"",IF($B44="","",IFERROR(_xll.BDP(TICKER,"DEEP_MEASURE_PERIOD_BROKER_VALUE","DEEP_MEASURE_ID_OVERRIDE",$C44,"DEEP_BROKER_ID_OVERRIDE",$F$7,"DEEP_PERIOD_OVERRIDE",T$11)*1,"")))</f>
        <v/>
      </c>
      <c r="U44" s="17" t="str">
        <f ca="1">IF(ISNA($B44),"",IF($B44="","",IFERROR(_xll.BDP(TICKER,"DEEP_MEASURE_PERIOD_BROKER_VALUE","DEEP_MEASURE_ID_OVERRIDE",$C44,"DEEP_BROKER_ID_OVERRIDE",$F$7,"DEEP_PERIOD_OVERRIDE",U$11)*1,"")))</f>
        <v/>
      </c>
      <c r="V44" s="17" t="str">
        <f ca="1">IF(ISNA($B44),"",IF($B44="","",IFERROR(_xll.BDP(TICKER,"DEEP_MEASURE_PERIOD_BROKER_VALUE","DEEP_MEASURE_ID_OVERRIDE",$C44,"DEEP_BROKER_ID_OVERRIDE",$F$7,"DEEP_PERIOD_OVERRIDE",V$11)*1,"")))</f>
        <v/>
      </c>
      <c r="W44" s="17" t="str">
        <f ca="1">IF(ISNA($B44),"",IF($B44="","",IFERROR(_xll.BDP(TICKER,"DEEP_MEASURE_PERIOD_BROKER_VALUE","DEEP_MEASURE_ID_OVERRIDE",$C44,"DEEP_BROKER_ID_OVERRIDE",$F$7,"DEEP_PERIOD_OVERRIDE",W$11)*1,"")))</f>
        <v/>
      </c>
      <c r="X44" s="17" t="str">
        <f ca="1">IF(ISNA($B44),"",IF($B44="","",IFERROR(_xll.BDP(TICKER,"DEEP_MEASURE_PERIOD_BROKER_VALUE","DEEP_MEASURE_ID_OVERRIDE",$C44,"DEEP_BROKER_ID_OVERRIDE",$F$7,"DEEP_PERIOD_OVERRIDE",X$11)*1,"")))</f>
        <v/>
      </c>
      <c r="Y44" s="17" t="str">
        <f ca="1">IF(ISNA($B44),"",IF($B44="","",IFERROR(_xll.BDP(TICKER,"DEEP_MEASURE_PERIOD_BROKER_VALUE","DEEP_MEASURE_ID_OVERRIDE",$C44,"DEEP_BROKER_ID_OVERRIDE",$F$7,"DEEP_PERIOD_OVERRIDE",Y$11)*1,"")))</f>
        <v/>
      </c>
      <c r="Z44" s="17" t="str">
        <f ca="1">IF(ISNA($B44),"",IF($B44="","",IFERROR(_xll.BDP(TICKER,"DEEP_MEASURE_PERIOD_BROKER_VALUE","DEEP_MEASURE_ID_OVERRIDE",$C44,"DEEP_BROKER_ID_OVERRIDE",$F$7,"DEEP_PERIOD_OVERRIDE",Z$11)*1,"")))</f>
        <v/>
      </c>
      <c r="AA44" s="17" t="str">
        <f ca="1">IF(ISNA($B44),"",IF($B44="","",IFERROR(_xll.BDP(TICKER,"DEEP_MEASURE_PERIOD_BROKER_VALUE","DEEP_MEASURE_ID_OVERRIDE",$C44,"DEEP_BROKER_ID_OVERRIDE",$F$7,"DEEP_PERIOD_OVERRIDE",AA$11)*1,"")))</f>
        <v/>
      </c>
      <c r="AB44" s="17" t="str">
        <f ca="1">IF(ISNA($B44),"",IF($B44="","",IFERROR(_xll.BDP(TICKER,"DEEP_MEASURE_PERIOD_BROKER_VALUE","DEEP_MEASURE_ID_OVERRIDE",$C44,"DEEP_BROKER_ID_OVERRIDE",$F$7,"DEEP_PERIOD_OVERRIDE",AB$11)*1,"")))</f>
        <v/>
      </c>
      <c r="AC44" s="17" t="str">
        <f ca="1">IF(ISNA($B44),"",IF($B44="","",IFERROR(_xll.BDP(TICKER,"DEEP_MEASURE_PERIOD_BROKER_VALUE","DEEP_MEASURE_ID_OVERRIDE",$C44,"DEEP_BROKER_ID_OVERRIDE",$F$7,"DEEP_PERIOD_OVERRIDE",AC$11)*1,"")))</f>
        <v/>
      </c>
      <c r="AD44" s="17" t="str">
        <f ca="1">IF(ISNA($B44),"",IF($B44="","",IFERROR(_xll.BDP(TICKER,"DEEP_MEASURE_PERIOD_BROKER_VALUE","DEEP_MEASURE_ID_OVERRIDE",$C44,"DEEP_BROKER_ID_OVERRIDE",$F$7,"DEEP_PERIOD_OVERRIDE",AD$11)*1,"")))</f>
        <v/>
      </c>
      <c r="AE44" s="17" t="str">
        <f ca="1">IF(ISNA($B44),"",IF($B44="","",IFERROR(_xll.BDP(TICKER,"DEEP_MEASURE_PERIOD_BROKER_VALUE","DEEP_MEASURE_ID_OVERRIDE",$C44,"DEEP_BROKER_ID_OVERRIDE",$F$7,"DEEP_PERIOD_OVERRIDE",AE$11)*1,"")))</f>
        <v/>
      </c>
      <c r="AF44" s="17" t="str">
        <f ca="1">IF(ISNA($B44),"",IF($B44="","",IFERROR(_xll.BDP(TICKER,"DEEP_MEASURE_PERIOD_BROKER_VALUE","DEEP_MEASURE_ID_OVERRIDE",$C44,"DEEP_BROKER_ID_OVERRIDE",$F$7,"DEEP_PERIOD_OVERRIDE",AF$11)*1,"")))</f>
        <v/>
      </c>
      <c r="AG44" s="17" t="str">
        <f ca="1">IF(ISNA($B44),"",IF($B44="","",IFERROR(_xll.BDP(TICKER,"DEEP_MEASURE_PERIOD_BROKER_VALUE","DEEP_MEASURE_ID_OVERRIDE",$C44,"DEEP_BROKER_ID_OVERRIDE",$F$7,"DEEP_PERIOD_OVERRIDE",AG$11)*1,"")))</f>
        <v/>
      </c>
      <c r="AH44" s="17" t="str">
        <f ca="1">IF(ISNA($B44),"",IF($B44="","",IFERROR(_xll.BDP(TICKER,"DEEP_MEASURE_PERIOD_BROKER_VALUE","DEEP_MEASURE_ID_OVERRIDE",$C44,"DEEP_BROKER_ID_OVERRIDE",$F$7,"DEEP_PERIOD_OVERRIDE",AH$11)*1,"")))</f>
        <v/>
      </c>
      <c r="AI44" s="17" t="str">
        <f ca="1">IF(ISNA($B44),"",IF($B44="","",IFERROR(_xll.BDP(TICKER,"DEEP_MEASURE_PERIOD_BROKER_VALUE","DEEP_MEASURE_ID_OVERRIDE",$C44,"DEEP_BROKER_ID_OVERRIDE",$F$7,"DEEP_PERIOD_OVERRIDE",AI$11)*1,"")))</f>
        <v/>
      </c>
      <c r="AJ44" s="17" t="str">
        <f ca="1">IF(ISNA($B44),"",IF($B44="","",IFERROR(_xll.BDP(TICKER,"DEEP_MEASURE_PERIOD_BROKER_VALUE","DEEP_MEASURE_ID_OVERRIDE",$C44,"DEEP_BROKER_ID_OVERRIDE",$F$7,"DEEP_PERIOD_OVERRIDE",AJ$11)*1,"")))</f>
        <v/>
      </c>
      <c r="AK44" s="17" t="str">
        <f ca="1">IF(ISNA($B44),"",IF($B44="","",IFERROR(_xll.BDP(TICKER,"DEEP_MEASURE_PERIOD_BROKER_VALUE","DEEP_MEASURE_ID_OVERRIDE",$C44,"DEEP_BROKER_ID_OVERRIDE",$F$7,"DEEP_PERIOD_OVERRIDE",AK$11)*1,"")))</f>
        <v/>
      </c>
      <c r="AL44" s="17" t="str">
        <f ca="1">IF(ISNA($B44),"",IF($B44="","",IFERROR(_xll.BDP(TICKER,"DEEP_MEASURE_PERIOD_BROKER_VALUE","DEEP_MEASURE_ID_OVERRIDE",$C44,"DEEP_BROKER_ID_OVERRIDE",$F$7,"DEEP_PERIOD_OVERRIDE",AL$11)*1,"")))</f>
        <v/>
      </c>
      <c r="AM44" s="17" t="str">
        <f ca="1">IF(ISNA($B44),"",IF($B44="","",IFERROR(_xll.BDP(TICKER,"DEEP_MEASURE_PERIOD_BROKER_VALUE","DEEP_MEASURE_ID_OVERRIDE",$C44,"DEEP_BROKER_ID_OVERRIDE",$F$7,"DEEP_PERIOD_OVERRIDE",AM$11)*1,"")))</f>
        <v/>
      </c>
      <c r="AN44" s="17" t="str">
        <f ca="1">IF(ISNA($B44),"",IF($B44="","",IFERROR(_xll.BDP(TICKER,"DEEP_MEASURE_PERIOD_BROKER_VALUE","DEEP_MEASURE_ID_OVERRIDE",$C44,"DEEP_BROKER_ID_OVERRIDE",$F$7,"DEEP_PERIOD_OVERRIDE",AN$11)*1,"")))</f>
        <v/>
      </c>
      <c r="AO44" s="17" t="str">
        <f ca="1">IF(ISNA($B44),"",IF($B44="","",IFERROR(_xll.BDP(TICKER,"DEEP_MEASURE_PERIOD_BROKER_VALUE","DEEP_MEASURE_ID_OVERRIDE",$C44,"DEEP_BROKER_ID_OVERRIDE",$F$7,"DEEP_PERIOD_OVERRIDE",AO$11)*1,"")))</f>
        <v/>
      </c>
      <c r="AP44" s="17" t="str">
        <f ca="1">IF(ISNA($B44),"",IF($B44="","",IFERROR(_xll.BDP(TICKER,"DEEP_MEASURE_PERIOD_BROKER_VALUE","DEEP_MEASURE_ID_OVERRIDE",$C44,"DEEP_BROKER_ID_OVERRIDE",$F$7,"DEEP_PERIOD_OVERRIDE",AP$11)*1,"")))</f>
        <v/>
      </c>
      <c r="AQ44" s="17" t="str">
        <f ca="1">IF(ISNA($B44),"",IF($B44="","",IFERROR(_xll.BDP(TICKER,"DEEP_MEASURE_PERIOD_BROKER_VALUE","DEEP_MEASURE_ID_OVERRIDE",$C44,"DEEP_BROKER_ID_OVERRIDE",$F$7,"DEEP_PERIOD_OVERRIDE",AQ$11)*1,"")))</f>
        <v/>
      </c>
    </row>
    <row r="45" spans="2:43" x14ac:dyDescent="0.25">
      <c r="B45" t="s">
        <v>96</v>
      </c>
      <c r="C45" s="11">
        <v>9848</v>
      </c>
      <c r="H45" t="str">
        <f t="shared" si="2"/>
        <v>Experiences &amp; Dining &gt; EBITDA &gt; As % of Experiences &amp; Dining Revenue</v>
      </c>
      <c r="I45" s="17" t="str">
        <f ca="1">IF(ISNA($B45),"",IF($B45="","",IFERROR(_xll.BDP(TICKER,"DEEP_MEASURE_PERIOD_BROKER_VALUE","DEEP_MEASURE_ID_OVERRIDE",$C45,"DEEP_BROKER_ID_OVERRIDE",$F$7,"DEEP_PERIOD_OVERRIDE",I$11)*1,"")))</f>
        <v/>
      </c>
      <c r="J45" s="17" t="str">
        <f ca="1">IF(ISNA($B45),"",IF($B45="","",IFERROR(_xll.BDP(TICKER,"DEEP_MEASURE_PERIOD_BROKER_VALUE","DEEP_MEASURE_ID_OVERRIDE",$C45,"DEEP_BROKER_ID_OVERRIDE",$F$7,"DEEP_PERIOD_OVERRIDE",J$11)*1,"")))</f>
        <v/>
      </c>
      <c r="K45" s="17" t="str">
        <f ca="1">IF(ISNA($B45),"",IF($B45="","",IFERROR(_xll.BDP(TICKER,"DEEP_MEASURE_PERIOD_BROKER_VALUE","DEEP_MEASURE_ID_OVERRIDE",$C45,"DEEP_BROKER_ID_OVERRIDE",$F$7,"DEEP_PERIOD_OVERRIDE",K$11)*1,"")))</f>
        <v/>
      </c>
      <c r="L45" s="17" t="str">
        <f ca="1">IF(ISNA($B45),"",IF($B45="","",IFERROR(_xll.BDP(TICKER,"DEEP_MEASURE_PERIOD_BROKER_VALUE","DEEP_MEASURE_ID_OVERRIDE",$C45,"DEEP_BROKER_ID_OVERRIDE",$F$7,"DEEP_PERIOD_OVERRIDE",L$11)*1,"")))</f>
        <v/>
      </c>
      <c r="M45" s="17" t="str">
        <f ca="1">IF(ISNA($B45),"",IF($B45="","",IFERROR(_xll.BDP(TICKER,"DEEP_MEASURE_PERIOD_BROKER_VALUE","DEEP_MEASURE_ID_OVERRIDE",$C45,"DEEP_BROKER_ID_OVERRIDE",$F$7,"DEEP_PERIOD_OVERRIDE",M$11)*1,"")))</f>
        <v/>
      </c>
      <c r="N45" s="17" t="str">
        <f ca="1">IF(ISNA($B45),"",IF($B45="","",IFERROR(_xll.BDP(TICKER,"DEEP_MEASURE_PERIOD_BROKER_VALUE","DEEP_MEASURE_ID_OVERRIDE",$C45,"DEEP_BROKER_ID_OVERRIDE",$F$7,"DEEP_PERIOD_OVERRIDE",N$11)*1,"")))</f>
        <v/>
      </c>
      <c r="O45" s="17" t="str">
        <f ca="1">IF(ISNA($B45),"",IF($B45="","",IFERROR(_xll.BDP(TICKER,"DEEP_MEASURE_PERIOD_BROKER_VALUE","DEEP_MEASURE_ID_OVERRIDE",$C45,"DEEP_BROKER_ID_OVERRIDE",$F$7,"DEEP_PERIOD_OVERRIDE",O$11)*1,"")))</f>
        <v/>
      </c>
      <c r="P45" s="17" t="str">
        <f ca="1">IF(ISNA($B45),"",IF($B45="","",IFERROR(_xll.BDP(TICKER,"DEEP_MEASURE_PERIOD_BROKER_VALUE","DEEP_MEASURE_ID_OVERRIDE",$C45,"DEEP_BROKER_ID_OVERRIDE",$F$7,"DEEP_PERIOD_OVERRIDE",P$11)*1,"")))</f>
        <v/>
      </c>
      <c r="Q45" s="17" t="str">
        <f ca="1">IF(ISNA($B45),"",IF($B45="","",IFERROR(_xll.BDP(TICKER,"DEEP_MEASURE_PERIOD_BROKER_VALUE","DEEP_MEASURE_ID_OVERRIDE",$C45,"DEEP_BROKER_ID_OVERRIDE",$F$7,"DEEP_PERIOD_OVERRIDE",Q$11)*1,"")))</f>
        <v/>
      </c>
      <c r="R45" s="17" t="str">
        <f ca="1">IF(ISNA($B45),"",IF($B45="","",IFERROR(_xll.BDP(TICKER,"DEEP_MEASURE_PERIOD_BROKER_VALUE","DEEP_MEASURE_ID_OVERRIDE",$C45,"DEEP_BROKER_ID_OVERRIDE",$F$7,"DEEP_PERIOD_OVERRIDE",R$11)*1,"")))</f>
        <v/>
      </c>
      <c r="S45" s="17" t="str">
        <f ca="1">IF(ISNA($B45),"",IF($B45="","",IFERROR(_xll.BDP(TICKER,"DEEP_MEASURE_PERIOD_BROKER_VALUE","DEEP_MEASURE_ID_OVERRIDE",$C45,"DEEP_BROKER_ID_OVERRIDE",$F$7,"DEEP_PERIOD_OVERRIDE",S$11)*1,"")))</f>
        <v/>
      </c>
      <c r="T45" s="17" t="str">
        <f ca="1">IF(ISNA($B45),"",IF($B45="","",IFERROR(_xll.BDP(TICKER,"DEEP_MEASURE_PERIOD_BROKER_VALUE","DEEP_MEASURE_ID_OVERRIDE",$C45,"DEEP_BROKER_ID_OVERRIDE",$F$7,"DEEP_PERIOD_OVERRIDE",T$11)*1,"")))</f>
        <v/>
      </c>
      <c r="U45" s="17" t="str">
        <f ca="1">IF(ISNA($B45),"",IF($B45="","",IFERROR(_xll.BDP(TICKER,"DEEP_MEASURE_PERIOD_BROKER_VALUE","DEEP_MEASURE_ID_OVERRIDE",$C45,"DEEP_BROKER_ID_OVERRIDE",$F$7,"DEEP_PERIOD_OVERRIDE",U$11)*1,"")))</f>
        <v/>
      </c>
      <c r="V45" s="17" t="str">
        <f ca="1">IF(ISNA($B45),"",IF($B45="","",IFERROR(_xll.BDP(TICKER,"DEEP_MEASURE_PERIOD_BROKER_VALUE","DEEP_MEASURE_ID_OVERRIDE",$C45,"DEEP_BROKER_ID_OVERRIDE",$F$7,"DEEP_PERIOD_OVERRIDE",V$11)*1,"")))</f>
        <v/>
      </c>
      <c r="W45" s="17" t="str">
        <f ca="1">IF(ISNA($B45),"",IF($B45="","",IFERROR(_xll.BDP(TICKER,"DEEP_MEASURE_PERIOD_BROKER_VALUE","DEEP_MEASURE_ID_OVERRIDE",$C45,"DEEP_BROKER_ID_OVERRIDE",$F$7,"DEEP_PERIOD_OVERRIDE",W$11)*1,"")))</f>
        <v/>
      </c>
      <c r="X45" s="17" t="str">
        <f ca="1">IF(ISNA($B45),"",IF($B45="","",IFERROR(_xll.BDP(TICKER,"DEEP_MEASURE_PERIOD_BROKER_VALUE","DEEP_MEASURE_ID_OVERRIDE",$C45,"DEEP_BROKER_ID_OVERRIDE",$F$7,"DEEP_PERIOD_OVERRIDE",X$11)*1,"")))</f>
        <v/>
      </c>
      <c r="Y45" s="17" t="str">
        <f ca="1">IF(ISNA($B45),"",IF($B45="","",IFERROR(_xll.BDP(TICKER,"DEEP_MEASURE_PERIOD_BROKER_VALUE","DEEP_MEASURE_ID_OVERRIDE",$C45,"DEEP_BROKER_ID_OVERRIDE",$F$7,"DEEP_PERIOD_OVERRIDE",Y$11)*1,"")))</f>
        <v/>
      </c>
      <c r="Z45" s="17" t="str">
        <f ca="1">IF(ISNA($B45),"",IF($B45="","",IFERROR(_xll.BDP(TICKER,"DEEP_MEASURE_PERIOD_BROKER_VALUE","DEEP_MEASURE_ID_OVERRIDE",$C45,"DEEP_BROKER_ID_OVERRIDE",$F$7,"DEEP_PERIOD_OVERRIDE",Z$11)*1,"")))</f>
        <v/>
      </c>
      <c r="AA45" s="17" t="str">
        <f ca="1">IF(ISNA($B45),"",IF($B45="","",IFERROR(_xll.BDP(TICKER,"DEEP_MEASURE_PERIOD_BROKER_VALUE","DEEP_MEASURE_ID_OVERRIDE",$C45,"DEEP_BROKER_ID_OVERRIDE",$F$7,"DEEP_PERIOD_OVERRIDE",AA$11)*1,"")))</f>
        <v/>
      </c>
      <c r="AB45" s="17" t="str">
        <f ca="1">IF(ISNA($B45),"",IF($B45="","",IFERROR(_xll.BDP(TICKER,"DEEP_MEASURE_PERIOD_BROKER_VALUE","DEEP_MEASURE_ID_OVERRIDE",$C45,"DEEP_BROKER_ID_OVERRIDE",$F$7,"DEEP_PERIOD_OVERRIDE",AB$11)*1,"")))</f>
        <v/>
      </c>
      <c r="AC45" s="17" t="str">
        <f ca="1">IF(ISNA($B45),"",IF($B45="","",IFERROR(_xll.BDP(TICKER,"DEEP_MEASURE_PERIOD_BROKER_VALUE","DEEP_MEASURE_ID_OVERRIDE",$C45,"DEEP_BROKER_ID_OVERRIDE",$F$7,"DEEP_PERIOD_OVERRIDE",AC$11)*1,"")))</f>
        <v/>
      </c>
      <c r="AD45" s="17" t="str">
        <f ca="1">IF(ISNA($B45),"",IF($B45="","",IFERROR(_xll.BDP(TICKER,"DEEP_MEASURE_PERIOD_BROKER_VALUE","DEEP_MEASURE_ID_OVERRIDE",$C45,"DEEP_BROKER_ID_OVERRIDE",$F$7,"DEEP_PERIOD_OVERRIDE",AD$11)*1,"")))</f>
        <v/>
      </c>
      <c r="AE45" s="17" t="str">
        <f ca="1">IF(ISNA($B45),"",IF($B45="","",IFERROR(_xll.BDP(TICKER,"DEEP_MEASURE_PERIOD_BROKER_VALUE","DEEP_MEASURE_ID_OVERRIDE",$C45,"DEEP_BROKER_ID_OVERRIDE",$F$7,"DEEP_PERIOD_OVERRIDE",AE$11)*1,"")))</f>
        <v/>
      </c>
      <c r="AF45" s="17" t="str">
        <f ca="1">IF(ISNA($B45),"",IF($B45="","",IFERROR(_xll.BDP(TICKER,"DEEP_MEASURE_PERIOD_BROKER_VALUE","DEEP_MEASURE_ID_OVERRIDE",$C45,"DEEP_BROKER_ID_OVERRIDE",$F$7,"DEEP_PERIOD_OVERRIDE",AF$11)*1,"")))</f>
        <v/>
      </c>
      <c r="AG45" s="17" t="str">
        <f ca="1">IF(ISNA($B45),"",IF($B45="","",IFERROR(_xll.BDP(TICKER,"DEEP_MEASURE_PERIOD_BROKER_VALUE","DEEP_MEASURE_ID_OVERRIDE",$C45,"DEEP_BROKER_ID_OVERRIDE",$F$7,"DEEP_PERIOD_OVERRIDE",AG$11)*1,"")))</f>
        <v/>
      </c>
      <c r="AH45" s="17" t="str">
        <f ca="1">IF(ISNA($B45),"",IF($B45="","",IFERROR(_xll.BDP(TICKER,"DEEP_MEASURE_PERIOD_BROKER_VALUE","DEEP_MEASURE_ID_OVERRIDE",$C45,"DEEP_BROKER_ID_OVERRIDE",$F$7,"DEEP_PERIOD_OVERRIDE",AH$11)*1,"")))</f>
        <v/>
      </c>
      <c r="AI45" s="17" t="str">
        <f ca="1">IF(ISNA($B45),"",IF($B45="","",IFERROR(_xll.BDP(TICKER,"DEEP_MEASURE_PERIOD_BROKER_VALUE","DEEP_MEASURE_ID_OVERRIDE",$C45,"DEEP_BROKER_ID_OVERRIDE",$F$7,"DEEP_PERIOD_OVERRIDE",AI$11)*1,"")))</f>
        <v/>
      </c>
      <c r="AJ45" s="17" t="str">
        <f ca="1">IF(ISNA($B45),"",IF($B45="","",IFERROR(_xll.BDP(TICKER,"DEEP_MEASURE_PERIOD_BROKER_VALUE","DEEP_MEASURE_ID_OVERRIDE",$C45,"DEEP_BROKER_ID_OVERRIDE",$F$7,"DEEP_PERIOD_OVERRIDE",AJ$11)*1,"")))</f>
        <v/>
      </c>
      <c r="AK45" s="17" t="str">
        <f ca="1">IF(ISNA($B45),"",IF($B45="","",IFERROR(_xll.BDP(TICKER,"DEEP_MEASURE_PERIOD_BROKER_VALUE","DEEP_MEASURE_ID_OVERRIDE",$C45,"DEEP_BROKER_ID_OVERRIDE",$F$7,"DEEP_PERIOD_OVERRIDE",AK$11)*1,"")))</f>
        <v/>
      </c>
      <c r="AL45" s="17" t="str">
        <f ca="1">IF(ISNA($B45),"",IF($B45="","",IFERROR(_xll.BDP(TICKER,"DEEP_MEASURE_PERIOD_BROKER_VALUE","DEEP_MEASURE_ID_OVERRIDE",$C45,"DEEP_BROKER_ID_OVERRIDE",$F$7,"DEEP_PERIOD_OVERRIDE",AL$11)*1,"")))</f>
        <v/>
      </c>
      <c r="AM45" s="17" t="str">
        <f ca="1">IF(ISNA($B45),"",IF($B45="","",IFERROR(_xll.BDP(TICKER,"DEEP_MEASURE_PERIOD_BROKER_VALUE","DEEP_MEASURE_ID_OVERRIDE",$C45,"DEEP_BROKER_ID_OVERRIDE",$F$7,"DEEP_PERIOD_OVERRIDE",AM$11)*1,"")))</f>
        <v/>
      </c>
      <c r="AN45" s="17" t="str">
        <f ca="1">IF(ISNA($B45),"",IF($B45="","",IFERROR(_xll.BDP(TICKER,"DEEP_MEASURE_PERIOD_BROKER_VALUE","DEEP_MEASURE_ID_OVERRIDE",$C45,"DEEP_BROKER_ID_OVERRIDE",$F$7,"DEEP_PERIOD_OVERRIDE",AN$11)*1,"")))</f>
        <v/>
      </c>
      <c r="AO45" s="17" t="str">
        <f ca="1">IF(ISNA($B45),"",IF($B45="","",IFERROR(_xll.BDP(TICKER,"DEEP_MEASURE_PERIOD_BROKER_VALUE","DEEP_MEASURE_ID_OVERRIDE",$C45,"DEEP_BROKER_ID_OVERRIDE",$F$7,"DEEP_PERIOD_OVERRIDE",AO$11)*1,"")))</f>
        <v/>
      </c>
      <c r="AP45" s="17" t="str">
        <f ca="1">IF(ISNA($B45),"",IF($B45="","",IFERROR(_xll.BDP(TICKER,"DEEP_MEASURE_PERIOD_BROKER_VALUE","DEEP_MEASURE_ID_OVERRIDE",$C45,"DEEP_BROKER_ID_OVERRIDE",$F$7,"DEEP_PERIOD_OVERRIDE",AP$11)*1,"")))</f>
        <v/>
      </c>
      <c r="AQ45" s="17" t="str">
        <f ca="1">IF(ISNA($B45),"",IF($B45="","",IFERROR(_xll.BDP(TICKER,"DEEP_MEASURE_PERIOD_BROKER_VALUE","DEEP_MEASURE_ID_OVERRIDE",$C45,"DEEP_BROKER_ID_OVERRIDE",$F$7,"DEEP_PERIOD_OVERRIDE",AQ$11)*1,"")))</f>
        <v/>
      </c>
    </row>
    <row r="46" spans="2:43" x14ac:dyDescent="0.25">
      <c r="B46" t="s">
        <v>47</v>
      </c>
      <c r="C46" s="11">
        <v>6991</v>
      </c>
      <c r="H46" t="str">
        <f t="shared" si="2"/>
        <v>Other &gt; Revenue</v>
      </c>
      <c r="I46" s="17" t="str">
        <f ca="1">IF(ISNA($B46),"",IF($B46="","",IFERROR(_xll.BDP(TICKER,"DEEP_MEASURE_PERIOD_BROKER_VALUE","DEEP_MEASURE_ID_OVERRIDE",$C46,"DEEP_BROKER_ID_OVERRIDE",$F$7,"DEEP_PERIOD_OVERRIDE",I$11)*1,"")))</f>
        <v/>
      </c>
      <c r="J46" s="17" t="str">
        <f ca="1">IF(ISNA($B46),"",IF($B46="","",IFERROR(_xll.BDP(TICKER,"DEEP_MEASURE_PERIOD_BROKER_VALUE","DEEP_MEASURE_ID_OVERRIDE",$C46,"DEEP_BROKER_ID_OVERRIDE",$F$7,"DEEP_PERIOD_OVERRIDE",J$11)*1,"")))</f>
        <v/>
      </c>
      <c r="K46" s="17" t="str">
        <f ca="1">IF(ISNA($B46),"",IF($B46="","",IFERROR(_xll.BDP(TICKER,"DEEP_MEASURE_PERIOD_BROKER_VALUE","DEEP_MEASURE_ID_OVERRIDE",$C46,"DEEP_BROKER_ID_OVERRIDE",$F$7,"DEEP_PERIOD_OVERRIDE",K$11)*1,"")))</f>
        <v/>
      </c>
      <c r="L46" s="17" t="str">
        <f ca="1">IF(ISNA($B46),"",IF($B46="","",IFERROR(_xll.BDP(TICKER,"DEEP_MEASURE_PERIOD_BROKER_VALUE","DEEP_MEASURE_ID_OVERRIDE",$C46,"DEEP_BROKER_ID_OVERRIDE",$F$7,"DEEP_PERIOD_OVERRIDE",L$11)*1,"")))</f>
        <v/>
      </c>
      <c r="M46" s="17" t="str">
        <f ca="1">IF(ISNA($B46),"",IF($B46="","",IFERROR(_xll.BDP(TICKER,"DEEP_MEASURE_PERIOD_BROKER_VALUE","DEEP_MEASURE_ID_OVERRIDE",$C46,"DEEP_BROKER_ID_OVERRIDE",$F$7,"DEEP_PERIOD_OVERRIDE",M$11)*1,"")))</f>
        <v/>
      </c>
      <c r="N46" s="17" t="str">
        <f ca="1">IF(ISNA($B46),"",IF($B46="","",IFERROR(_xll.BDP(TICKER,"DEEP_MEASURE_PERIOD_BROKER_VALUE","DEEP_MEASURE_ID_OVERRIDE",$C46,"DEEP_BROKER_ID_OVERRIDE",$F$7,"DEEP_PERIOD_OVERRIDE",N$11)*1,"")))</f>
        <v/>
      </c>
      <c r="O46" s="17" t="str">
        <f ca="1">IF(ISNA($B46),"",IF($B46="","",IFERROR(_xll.BDP(TICKER,"DEEP_MEASURE_PERIOD_BROKER_VALUE","DEEP_MEASURE_ID_OVERRIDE",$C46,"DEEP_BROKER_ID_OVERRIDE",$F$7,"DEEP_PERIOD_OVERRIDE",O$11)*1,"")))</f>
        <v/>
      </c>
      <c r="P46" s="17" t="str">
        <f ca="1">IF(ISNA($B46),"",IF($B46="","",IFERROR(_xll.BDP(TICKER,"DEEP_MEASURE_PERIOD_BROKER_VALUE","DEEP_MEASURE_ID_OVERRIDE",$C46,"DEEP_BROKER_ID_OVERRIDE",$F$7,"DEEP_PERIOD_OVERRIDE",P$11)*1,"")))</f>
        <v/>
      </c>
      <c r="Q46" s="17" t="str">
        <f ca="1">IF(ISNA($B46),"",IF($B46="","",IFERROR(_xll.BDP(TICKER,"DEEP_MEASURE_PERIOD_BROKER_VALUE","DEEP_MEASURE_ID_OVERRIDE",$C46,"DEEP_BROKER_ID_OVERRIDE",$F$7,"DEEP_PERIOD_OVERRIDE",Q$11)*1,"")))</f>
        <v/>
      </c>
      <c r="R46" s="17" t="str">
        <f ca="1">IF(ISNA($B46),"",IF($B46="","",IFERROR(_xll.BDP(TICKER,"DEEP_MEASURE_PERIOD_BROKER_VALUE","DEEP_MEASURE_ID_OVERRIDE",$C46,"DEEP_BROKER_ID_OVERRIDE",$F$7,"DEEP_PERIOD_OVERRIDE",R$11)*1,"")))</f>
        <v/>
      </c>
      <c r="S46" s="17" t="str">
        <f ca="1">IF(ISNA($B46),"",IF($B46="","",IFERROR(_xll.BDP(TICKER,"DEEP_MEASURE_PERIOD_BROKER_VALUE","DEEP_MEASURE_ID_OVERRIDE",$C46,"DEEP_BROKER_ID_OVERRIDE",$F$7,"DEEP_PERIOD_OVERRIDE",S$11)*1,"")))</f>
        <v/>
      </c>
      <c r="T46" s="17" t="str">
        <f ca="1">IF(ISNA($B46),"",IF($B46="","",IFERROR(_xll.BDP(TICKER,"DEEP_MEASURE_PERIOD_BROKER_VALUE","DEEP_MEASURE_ID_OVERRIDE",$C46,"DEEP_BROKER_ID_OVERRIDE",$F$7,"DEEP_PERIOD_OVERRIDE",T$11)*1,"")))</f>
        <v/>
      </c>
      <c r="U46" s="17" t="str">
        <f ca="1">IF(ISNA($B46),"",IF($B46="","",IFERROR(_xll.BDP(TICKER,"DEEP_MEASURE_PERIOD_BROKER_VALUE","DEEP_MEASURE_ID_OVERRIDE",$C46,"DEEP_BROKER_ID_OVERRIDE",$F$7,"DEEP_PERIOD_OVERRIDE",U$11)*1,"")))</f>
        <v/>
      </c>
      <c r="V46" s="17" t="str">
        <f ca="1">IF(ISNA($B46),"",IF($B46="","",IFERROR(_xll.BDP(TICKER,"DEEP_MEASURE_PERIOD_BROKER_VALUE","DEEP_MEASURE_ID_OVERRIDE",$C46,"DEEP_BROKER_ID_OVERRIDE",$F$7,"DEEP_PERIOD_OVERRIDE",V$11)*1,"")))</f>
        <v/>
      </c>
      <c r="W46" s="17" t="str">
        <f ca="1">IF(ISNA($B46),"",IF($B46="","",IFERROR(_xll.BDP(TICKER,"DEEP_MEASURE_PERIOD_BROKER_VALUE","DEEP_MEASURE_ID_OVERRIDE",$C46,"DEEP_BROKER_ID_OVERRIDE",$F$7,"DEEP_PERIOD_OVERRIDE",W$11)*1,"")))</f>
        <v/>
      </c>
      <c r="X46" s="17" t="str">
        <f ca="1">IF(ISNA($B46),"",IF($B46="","",IFERROR(_xll.BDP(TICKER,"DEEP_MEASURE_PERIOD_BROKER_VALUE","DEEP_MEASURE_ID_OVERRIDE",$C46,"DEEP_BROKER_ID_OVERRIDE",$F$7,"DEEP_PERIOD_OVERRIDE",X$11)*1,"")))</f>
        <v/>
      </c>
      <c r="Y46" s="17" t="str">
        <f ca="1">IF(ISNA($B46),"",IF($B46="","",IFERROR(_xll.BDP(TICKER,"DEEP_MEASURE_PERIOD_BROKER_VALUE","DEEP_MEASURE_ID_OVERRIDE",$C46,"DEEP_BROKER_ID_OVERRIDE",$F$7,"DEEP_PERIOD_OVERRIDE",Y$11)*1,"")))</f>
        <v/>
      </c>
      <c r="Z46" s="17" t="str">
        <f ca="1">IF(ISNA($B46),"",IF($B46="","",IFERROR(_xll.BDP(TICKER,"DEEP_MEASURE_PERIOD_BROKER_VALUE","DEEP_MEASURE_ID_OVERRIDE",$C46,"DEEP_BROKER_ID_OVERRIDE",$F$7,"DEEP_PERIOD_OVERRIDE",Z$11)*1,"")))</f>
        <v/>
      </c>
      <c r="AA46" s="17" t="str">
        <f ca="1">IF(ISNA($B46),"",IF($B46="","",IFERROR(_xll.BDP(TICKER,"DEEP_MEASURE_PERIOD_BROKER_VALUE","DEEP_MEASURE_ID_OVERRIDE",$C46,"DEEP_BROKER_ID_OVERRIDE",$F$7,"DEEP_PERIOD_OVERRIDE",AA$11)*1,"")))</f>
        <v/>
      </c>
      <c r="AB46" s="17" t="str">
        <f ca="1">IF(ISNA($B46),"",IF($B46="","",IFERROR(_xll.BDP(TICKER,"DEEP_MEASURE_PERIOD_BROKER_VALUE","DEEP_MEASURE_ID_OVERRIDE",$C46,"DEEP_BROKER_ID_OVERRIDE",$F$7,"DEEP_PERIOD_OVERRIDE",AB$11)*1,"")))</f>
        <v/>
      </c>
      <c r="AC46" s="17" t="str">
        <f ca="1">IF(ISNA($B46),"",IF($B46="","",IFERROR(_xll.BDP(TICKER,"DEEP_MEASURE_PERIOD_BROKER_VALUE","DEEP_MEASURE_ID_OVERRIDE",$C46,"DEEP_BROKER_ID_OVERRIDE",$F$7,"DEEP_PERIOD_OVERRIDE",AC$11)*1,"")))</f>
        <v/>
      </c>
      <c r="AD46" s="17" t="str">
        <f ca="1">IF(ISNA($B46),"",IF($B46="","",IFERROR(_xll.BDP(TICKER,"DEEP_MEASURE_PERIOD_BROKER_VALUE","DEEP_MEASURE_ID_OVERRIDE",$C46,"DEEP_BROKER_ID_OVERRIDE",$F$7,"DEEP_PERIOD_OVERRIDE",AD$11)*1,"")))</f>
        <v/>
      </c>
      <c r="AE46" s="17" t="str">
        <f ca="1">IF(ISNA($B46),"",IF($B46="","",IFERROR(_xll.BDP(TICKER,"DEEP_MEASURE_PERIOD_BROKER_VALUE","DEEP_MEASURE_ID_OVERRIDE",$C46,"DEEP_BROKER_ID_OVERRIDE",$F$7,"DEEP_PERIOD_OVERRIDE",AE$11)*1,"")))</f>
        <v/>
      </c>
      <c r="AF46" s="17" t="str">
        <f ca="1">IF(ISNA($B46),"",IF($B46="","",IFERROR(_xll.BDP(TICKER,"DEEP_MEASURE_PERIOD_BROKER_VALUE","DEEP_MEASURE_ID_OVERRIDE",$C46,"DEEP_BROKER_ID_OVERRIDE",$F$7,"DEEP_PERIOD_OVERRIDE",AF$11)*1,"")))</f>
        <v/>
      </c>
      <c r="AG46" s="17" t="str">
        <f ca="1">IF(ISNA($B46),"",IF($B46="","",IFERROR(_xll.BDP(TICKER,"DEEP_MEASURE_PERIOD_BROKER_VALUE","DEEP_MEASURE_ID_OVERRIDE",$C46,"DEEP_BROKER_ID_OVERRIDE",$F$7,"DEEP_PERIOD_OVERRIDE",AG$11)*1,"")))</f>
        <v/>
      </c>
      <c r="AH46" s="17" t="str">
        <f ca="1">IF(ISNA($B46),"",IF($B46="","",IFERROR(_xll.BDP(TICKER,"DEEP_MEASURE_PERIOD_BROKER_VALUE","DEEP_MEASURE_ID_OVERRIDE",$C46,"DEEP_BROKER_ID_OVERRIDE",$F$7,"DEEP_PERIOD_OVERRIDE",AH$11)*1,"")))</f>
        <v/>
      </c>
      <c r="AI46" s="17" t="str">
        <f ca="1">IF(ISNA($B46),"",IF($B46="","",IFERROR(_xll.BDP(TICKER,"DEEP_MEASURE_PERIOD_BROKER_VALUE","DEEP_MEASURE_ID_OVERRIDE",$C46,"DEEP_BROKER_ID_OVERRIDE",$F$7,"DEEP_PERIOD_OVERRIDE",AI$11)*1,"")))</f>
        <v/>
      </c>
      <c r="AJ46" s="17" t="str">
        <f ca="1">IF(ISNA($B46),"",IF($B46="","",IFERROR(_xll.BDP(TICKER,"DEEP_MEASURE_PERIOD_BROKER_VALUE","DEEP_MEASURE_ID_OVERRIDE",$C46,"DEEP_BROKER_ID_OVERRIDE",$F$7,"DEEP_PERIOD_OVERRIDE",AJ$11)*1,"")))</f>
        <v/>
      </c>
      <c r="AK46" s="17" t="str">
        <f ca="1">IF(ISNA($B46),"",IF($B46="","",IFERROR(_xll.BDP(TICKER,"DEEP_MEASURE_PERIOD_BROKER_VALUE","DEEP_MEASURE_ID_OVERRIDE",$C46,"DEEP_BROKER_ID_OVERRIDE",$F$7,"DEEP_PERIOD_OVERRIDE",AK$11)*1,"")))</f>
        <v/>
      </c>
      <c r="AL46" s="17" t="str">
        <f ca="1">IF(ISNA($B46),"",IF($B46="","",IFERROR(_xll.BDP(TICKER,"DEEP_MEASURE_PERIOD_BROKER_VALUE","DEEP_MEASURE_ID_OVERRIDE",$C46,"DEEP_BROKER_ID_OVERRIDE",$F$7,"DEEP_PERIOD_OVERRIDE",AL$11)*1,"")))</f>
        <v/>
      </c>
      <c r="AM46" s="17" t="str">
        <f ca="1">IF(ISNA($B46),"",IF($B46="","",IFERROR(_xll.BDP(TICKER,"DEEP_MEASURE_PERIOD_BROKER_VALUE","DEEP_MEASURE_ID_OVERRIDE",$C46,"DEEP_BROKER_ID_OVERRIDE",$F$7,"DEEP_PERIOD_OVERRIDE",AM$11)*1,"")))</f>
        <v/>
      </c>
      <c r="AN46" s="17" t="str">
        <f ca="1">IF(ISNA($B46),"",IF($B46="","",IFERROR(_xll.BDP(TICKER,"DEEP_MEASURE_PERIOD_BROKER_VALUE","DEEP_MEASURE_ID_OVERRIDE",$C46,"DEEP_BROKER_ID_OVERRIDE",$F$7,"DEEP_PERIOD_OVERRIDE",AN$11)*1,"")))</f>
        <v/>
      </c>
      <c r="AO46" s="17" t="str">
        <f ca="1">IF(ISNA($B46),"",IF($B46="","",IFERROR(_xll.BDP(TICKER,"DEEP_MEASURE_PERIOD_BROKER_VALUE","DEEP_MEASURE_ID_OVERRIDE",$C46,"DEEP_BROKER_ID_OVERRIDE",$F$7,"DEEP_PERIOD_OVERRIDE",AO$11)*1,"")))</f>
        <v/>
      </c>
      <c r="AP46" s="17" t="str">
        <f ca="1">IF(ISNA($B46),"",IF($B46="","",IFERROR(_xll.BDP(TICKER,"DEEP_MEASURE_PERIOD_BROKER_VALUE","DEEP_MEASURE_ID_OVERRIDE",$C46,"DEEP_BROKER_ID_OVERRIDE",$F$7,"DEEP_PERIOD_OVERRIDE",AP$11)*1,"")))</f>
        <v/>
      </c>
      <c r="AQ46" s="17" t="str">
        <f ca="1">IF(ISNA($B46),"",IF($B46="","",IFERROR(_xll.BDP(TICKER,"DEEP_MEASURE_PERIOD_BROKER_VALUE","DEEP_MEASURE_ID_OVERRIDE",$C46,"DEEP_BROKER_ID_OVERRIDE",$F$7,"DEEP_PERIOD_OVERRIDE",AQ$11)*1,"")))</f>
        <v/>
      </c>
    </row>
    <row r="47" spans="2:43" x14ac:dyDescent="0.25">
      <c r="B47" t="s">
        <v>97</v>
      </c>
      <c r="C47" s="11">
        <v>9846</v>
      </c>
      <c r="H47" t="str">
        <f t="shared" si="2"/>
        <v>Other &gt; Revenue &gt; YoY Growth (%)</v>
      </c>
      <c r="I47" s="17" t="str">
        <f ca="1">IF(ISNA($B47),"",IF($B47="","",IFERROR(_xll.BDP(TICKER,"DEEP_MEASURE_PERIOD_BROKER_VALUE","DEEP_MEASURE_ID_OVERRIDE",$C47,"DEEP_BROKER_ID_OVERRIDE",$F$7,"DEEP_PERIOD_OVERRIDE",I$11)*1,"")))</f>
        <v/>
      </c>
      <c r="J47" s="17" t="str">
        <f ca="1">IF(ISNA($B47),"",IF($B47="","",IFERROR(_xll.BDP(TICKER,"DEEP_MEASURE_PERIOD_BROKER_VALUE","DEEP_MEASURE_ID_OVERRIDE",$C47,"DEEP_BROKER_ID_OVERRIDE",$F$7,"DEEP_PERIOD_OVERRIDE",J$11)*1,"")))</f>
        <v/>
      </c>
      <c r="K47" s="17" t="str">
        <f ca="1">IF(ISNA($B47),"",IF($B47="","",IFERROR(_xll.BDP(TICKER,"DEEP_MEASURE_PERIOD_BROKER_VALUE","DEEP_MEASURE_ID_OVERRIDE",$C47,"DEEP_BROKER_ID_OVERRIDE",$F$7,"DEEP_PERIOD_OVERRIDE",K$11)*1,"")))</f>
        <v/>
      </c>
      <c r="L47" s="17" t="str">
        <f ca="1">IF(ISNA($B47),"",IF($B47="","",IFERROR(_xll.BDP(TICKER,"DEEP_MEASURE_PERIOD_BROKER_VALUE","DEEP_MEASURE_ID_OVERRIDE",$C47,"DEEP_BROKER_ID_OVERRIDE",$F$7,"DEEP_PERIOD_OVERRIDE",L$11)*1,"")))</f>
        <v/>
      </c>
      <c r="M47" s="17" t="str">
        <f ca="1">IF(ISNA($B47),"",IF($B47="","",IFERROR(_xll.BDP(TICKER,"DEEP_MEASURE_PERIOD_BROKER_VALUE","DEEP_MEASURE_ID_OVERRIDE",$C47,"DEEP_BROKER_ID_OVERRIDE",$F$7,"DEEP_PERIOD_OVERRIDE",M$11)*1,"")))</f>
        <v/>
      </c>
      <c r="N47" s="17" t="str">
        <f ca="1">IF(ISNA($B47),"",IF($B47="","",IFERROR(_xll.BDP(TICKER,"DEEP_MEASURE_PERIOD_BROKER_VALUE","DEEP_MEASURE_ID_OVERRIDE",$C47,"DEEP_BROKER_ID_OVERRIDE",$F$7,"DEEP_PERIOD_OVERRIDE",N$11)*1,"")))</f>
        <v/>
      </c>
      <c r="O47" s="17" t="str">
        <f ca="1">IF(ISNA($B47),"",IF($B47="","",IFERROR(_xll.BDP(TICKER,"DEEP_MEASURE_PERIOD_BROKER_VALUE","DEEP_MEASURE_ID_OVERRIDE",$C47,"DEEP_BROKER_ID_OVERRIDE",$F$7,"DEEP_PERIOD_OVERRIDE",O$11)*1,"")))</f>
        <v/>
      </c>
      <c r="P47" s="17" t="str">
        <f ca="1">IF(ISNA($B47),"",IF($B47="","",IFERROR(_xll.BDP(TICKER,"DEEP_MEASURE_PERIOD_BROKER_VALUE","DEEP_MEASURE_ID_OVERRIDE",$C47,"DEEP_BROKER_ID_OVERRIDE",$F$7,"DEEP_PERIOD_OVERRIDE",P$11)*1,"")))</f>
        <v/>
      </c>
      <c r="Q47" s="17" t="str">
        <f ca="1">IF(ISNA($B47),"",IF($B47="","",IFERROR(_xll.BDP(TICKER,"DEEP_MEASURE_PERIOD_BROKER_VALUE","DEEP_MEASURE_ID_OVERRIDE",$C47,"DEEP_BROKER_ID_OVERRIDE",$F$7,"DEEP_PERIOD_OVERRIDE",Q$11)*1,"")))</f>
        <v/>
      </c>
      <c r="R47" s="17" t="str">
        <f ca="1">IF(ISNA($B47),"",IF($B47="","",IFERROR(_xll.BDP(TICKER,"DEEP_MEASURE_PERIOD_BROKER_VALUE","DEEP_MEASURE_ID_OVERRIDE",$C47,"DEEP_BROKER_ID_OVERRIDE",$F$7,"DEEP_PERIOD_OVERRIDE",R$11)*1,"")))</f>
        <v/>
      </c>
      <c r="S47" s="17" t="str">
        <f ca="1">IF(ISNA($B47),"",IF($B47="","",IFERROR(_xll.BDP(TICKER,"DEEP_MEASURE_PERIOD_BROKER_VALUE","DEEP_MEASURE_ID_OVERRIDE",$C47,"DEEP_BROKER_ID_OVERRIDE",$F$7,"DEEP_PERIOD_OVERRIDE",S$11)*1,"")))</f>
        <v/>
      </c>
      <c r="T47" s="17" t="str">
        <f ca="1">IF(ISNA($B47),"",IF($B47="","",IFERROR(_xll.BDP(TICKER,"DEEP_MEASURE_PERIOD_BROKER_VALUE","DEEP_MEASURE_ID_OVERRIDE",$C47,"DEEP_BROKER_ID_OVERRIDE",$F$7,"DEEP_PERIOD_OVERRIDE",T$11)*1,"")))</f>
        <v/>
      </c>
      <c r="U47" s="17" t="str">
        <f ca="1">IF(ISNA($B47),"",IF($B47="","",IFERROR(_xll.BDP(TICKER,"DEEP_MEASURE_PERIOD_BROKER_VALUE","DEEP_MEASURE_ID_OVERRIDE",$C47,"DEEP_BROKER_ID_OVERRIDE",$F$7,"DEEP_PERIOD_OVERRIDE",U$11)*1,"")))</f>
        <v/>
      </c>
      <c r="V47" s="17" t="str">
        <f ca="1">IF(ISNA($B47),"",IF($B47="","",IFERROR(_xll.BDP(TICKER,"DEEP_MEASURE_PERIOD_BROKER_VALUE","DEEP_MEASURE_ID_OVERRIDE",$C47,"DEEP_BROKER_ID_OVERRIDE",$F$7,"DEEP_PERIOD_OVERRIDE",V$11)*1,"")))</f>
        <v/>
      </c>
      <c r="W47" s="17" t="str">
        <f ca="1">IF(ISNA($B47),"",IF($B47="","",IFERROR(_xll.BDP(TICKER,"DEEP_MEASURE_PERIOD_BROKER_VALUE","DEEP_MEASURE_ID_OVERRIDE",$C47,"DEEP_BROKER_ID_OVERRIDE",$F$7,"DEEP_PERIOD_OVERRIDE",W$11)*1,"")))</f>
        <v/>
      </c>
      <c r="X47" s="17" t="str">
        <f ca="1">IF(ISNA($B47),"",IF($B47="","",IFERROR(_xll.BDP(TICKER,"DEEP_MEASURE_PERIOD_BROKER_VALUE","DEEP_MEASURE_ID_OVERRIDE",$C47,"DEEP_BROKER_ID_OVERRIDE",$F$7,"DEEP_PERIOD_OVERRIDE",X$11)*1,"")))</f>
        <v/>
      </c>
      <c r="Y47" s="17" t="str">
        <f ca="1">IF(ISNA($B47),"",IF($B47="","",IFERROR(_xll.BDP(TICKER,"DEEP_MEASURE_PERIOD_BROKER_VALUE","DEEP_MEASURE_ID_OVERRIDE",$C47,"DEEP_BROKER_ID_OVERRIDE",$F$7,"DEEP_PERIOD_OVERRIDE",Y$11)*1,"")))</f>
        <v/>
      </c>
      <c r="Z47" s="17" t="str">
        <f ca="1">IF(ISNA($B47),"",IF($B47="","",IFERROR(_xll.BDP(TICKER,"DEEP_MEASURE_PERIOD_BROKER_VALUE","DEEP_MEASURE_ID_OVERRIDE",$C47,"DEEP_BROKER_ID_OVERRIDE",$F$7,"DEEP_PERIOD_OVERRIDE",Z$11)*1,"")))</f>
        <v/>
      </c>
      <c r="AA47" s="17" t="str">
        <f ca="1">IF(ISNA($B47),"",IF($B47="","",IFERROR(_xll.BDP(TICKER,"DEEP_MEASURE_PERIOD_BROKER_VALUE","DEEP_MEASURE_ID_OVERRIDE",$C47,"DEEP_BROKER_ID_OVERRIDE",$F$7,"DEEP_PERIOD_OVERRIDE",AA$11)*1,"")))</f>
        <v/>
      </c>
      <c r="AB47" s="17" t="str">
        <f ca="1">IF(ISNA($B47),"",IF($B47="","",IFERROR(_xll.BDP(TICKER,"DEEP_MEASURE_PERIOD_BROKER_VALUE","DEEP_MEASURE_ID_OVERRIDE",$C47,"DEEP_BROKER_ID_OVERRIDE",$F$7,"DEEP_PERIOD_OVERRIDE",AB$11)*1,"")))</f>
        <v/>
      </c>
      <c r="AC47" s="17" t="str">
        <f ca="1">IF(ISNA($B47),"",IF($B47="","",IFERROR(_xll.BDP(TICKER,"DEEP_MEASURE_PERIOD_BROKER_VALUE","DEEP_MEASURE_ID_OVERRIDE",$C47,"DEEP_BROKER_ID_OVERRIDE",$F$7,"DEEP_PERIOD_OVERRIDE",AC$11)*1,"")))</f>
        <v/>
      </c>
      <c r="AD47" s="17" t="str">
        <f ca="1">IF(ISNA($B47),"",IF($B47="","",IFERROR(_xll.BDP(TICKER,"DEEP_MEASURE_PERIOD_BROKER_VALUE","DEEP_MEASURE_ID_OVERRIDE",$C47,"DEEP_BROKER_ID_OVERRIDE",$F$7,"DEEP_PERIOD_OVERRIDE",AD$11)*1,"")))</f>
        <v/>
      </c>
      <c r="AE47" s="17" t="str">
        <f ca="1">IF(ISNA($B47),"",IF($B47="","",IFERROR(_xll.BDP(TICKER,"DEEP_MEASURE_PERIOD_BROKER_VALUE","DEEP_MEASURE_ID_OVERRIDE",$C47,"DEEP_BROKER_ID_OVERRIDE",$F$7,"DEEP_PERIOD_OVERRIDE",AE$11)*1,"")))</f>
        <v/>
      </c>
      <c r="AF47" s="17" t="str">
        <f ca="1">IF(ISNA($B47),"",IF($B47="","",IFERROR(_xll.BDP(TICKER,"DEEP_MEASURE_PERIOD_BROKER_VALUE","DEEP_MEASURE_ID_OVERRIDE",$C47,"DEEP_BROKER_ID_OVERRIDE",$F$7,"DEEP_PERIOD_OVERRIDE",AF$11)*1,"")))</f>
        <v/>
      </c>
      <c r="AG47" s="17" t="str">
        <f ca="1">IF(ISNA($B47),"",IF($B47="","",IFERROR(_xll.BDP(TICKER,"DEEP_MEASURE_PERIOD_BROKER_VALUE","DEEP_MEASURE_ID_OVERRIDE",$C47,"DEEP_BROKER_ID_OVERRIDE",$F$7,"DEEP_PERIOD_OVERRIDE",AG$11)*1,"")))</f>
        <v/>
      </c>
      <c r="AH47" s="17" t="str">
        <f ca="1">IF(ISNA($B47),"",IF($B47="","",IFERROR(_xll.BDP(TICKER,"DEEP_MEASURE_PERIOD_BROKER_VALUE","DEEP_MEASURE_ID_OVERRIDE",$C47,"DEEP_BROKER_ID_OVERRIDE",$F$7,"DEEP_PERIOD_OVERRIDE",AH$11)*1,"")))</f>
        <v/>
      </c>
      <c r="AI47" s="17" t="str">
        <f ca="1">IF(ISNA($B47),"",IF($B47="","",IFERROR(_xll.BDP(TICKER,"DEEP_MEASURE_PERIOD_BROKER_VALUE","DEEP_MEASURE_ID_OVERRIDE",$C47,"DEEP_BROKER_ID_OVERRIDE",$F$7,"DEEP_PERIOD_OVERRIDE",AI$11)*1,"")))</f>
        <v/>
      </c>
      <c r="AJ47" s="17" t="str">
        <f ca="1">IF(ISNA($B47),"",IF($B47="","",IFERROR(_xll.BDP(TICKER,"DEEP_MEASURE_PERIOD_BROKER_VALUE","DEEP_MEASURE_ID_OVERRIDE",$C47,"DEEP_BROKER_ID_OVERRIDE",$F$7,"DEEP_PERIOD_OVERRIDE",AJ$11)*1,"")))</f>
        <v/>
      </c>
      <c r="AK47" s="17" t="str">
        <f ca="1">IF(ISNA($B47),"",IF($B47="","",IFERROR(_xll.BDP(TICKER,"DEEP_MEASURE_PERIOD_BROKER_VALUE","DEEP_MEASURE_ID_OVERRIDE",$C47,"DEEP_BROKER_ID_OVERRIDE",$F$7,"DEEP_PERIOD_OVERRIDE",AK$11)*1,"")))</f>
        <v/>
      </c>
      <c r="AL47" s="17" t="str">
        <f ca="1">IF(ISNA($B47),"",IF($B47="","",IFERROR(_xll.BDP(TICKER,"DEEP_MEASURE_PERIOD_BROKER_VALUE","DEEP_MEASURE_ID_OVERRIDE",$C47,"DEEP_BROKER_ID_OVERRIDE",$F$7,"DEEP_PERIOD_OVERRIDE",AL$11)*1,"")))</f>
        <v/>
      </c>
      <c r="AM47" s="17" t="str">
        <f ca="1">IF(ISNA($B47),"",IF($B47="","",IFERROR(_xll.BDP(TICKER,"DEEP_MEASURE_PERIOD_BROKER_VALUE","DEEP_MEASURE_ID_OVERRIDE",$C47,"DEEP_BROKER_ID_OVERRIDE",$F$7,"DEEP_PERIOD_OVERRIDE",AM$11)*1,"")))</f>
        <v/>
      </c>
      <c r="AN47" s="17" t="str">
        <f ca="1">IF(ISNA($B47),"",IF($B47="","",IFERROR(_xll.BDP(TICKER,"DEEP_MEASURE_PERIOD_BROKER_VALUE","DEEP_MEASURE_ID_OVERRIDE",$C47,"DEEP_BROKER_ID_OVERRIDE",$F$7,"DEEP_PERIOD_OVERRIDE",AN$11)*1,"")))</f>
        <v/>
      </c>
      <c r="AO47" s="17" t="str">
        <f ca="1">IF(ISNA($B47),"",IF($B47="","",IFERROR(_xll.BDP(TICKER,"DEEP_MEASURE_PERIOD_BROKER_VALUE","DEEP_MEASURE_ID_OVERRIDE",$C47,"DEEP_BROKER_ID_OVERRIDE",$F$7,"DEEP_PERIOD_OVERRIDE",AO$11)*1,"")))</f>
        <v/>
      </c>
      <c r="AP47" s="17" t="str">
        <f ca="1">IF(ISNA($B47),"",IF($B47="","",IFERROR(_xll.BDP(TICKER,"DEEP_MEASURE_PERIOD_BROKER_VALUE","DEEP_MEASURE_ID_OVERRIDE",$C47,"DEEP_BROKER_ID_OVERRIDE",$F$7,"DEEP_PERIOD_OVERRIDE",AP$11)*1,"")))</f>
        <v/>
      </c>
      <c r="AQ47" s="17" t="str">
        <f ca="1">IF(ISNA($B47),"",IF($B47="","",IFERROR(_xll.BDP(TICKER,"DEEP_MEASURE_PERIOD_BROKER_VALUE","DEEP_MEASURE_ID_OVERRIDE",$C47,"DEEP_BROKER_ID_OVERRIDE",$F$7,"DEEP_PERIOD_OVERRIDE",AQ$11)*1,"")))</f>
        <v/>
      </c>
    </row>
    <row r="48" spans="2:43" x14ac:dyDescent="0.25">
      <c r="B48" t="s">
        <v>98</v>
      </c>
      <c r="C48" s="11">
        <v>9841</v>
      </c>
      <c r="H48" t="str">
        <f t="shared" si="2"/>
        <v>Other &gt; EBITDA</v>
      </c>
      <c r="I48" s="17" t="str">
        <f ca="1">IF(ISNA($B48),"",IF($B48="","",IFERROR(_xll.BDP(TICKER,"DEEP_MEASURE_PERIOD_BROKER_VALUE","DEEP_MEASURE_ID_OVERRIDE",$C48,"DEEP_BROKER_ID_OVERRIDE",$F$7,"DEEP_PERIOD_OVERRIDE",I$11)*1,"")))</f>
        <v/>
      </c>
      <c r="J48" s="17" t="str">
        <f ca="1">IF(ISNA($B48),"",IF($B48="","",IFERROR(_xll.BDP(TICKER,"DEEP_MEASURE_PERIOD_BROKER_VALUE","DEEP_MEASURE_ID_OVERRIDE",$C48,"DEEP_BROKER_ID_OVERRIDE",$F$7,"DEEP_PERIOD_OVERRIDE",J$11)*1,"")))</f>
        <v/>
      </c>
      <c r="K48" s="17" t="str">
        <f ca="1">IF(ISNA($B48),"",IF($B48="","",IFERROR(_xll.BDP(TICKER,"DEEP_MEASURE_PERIOD_BROKER_VALUE","DEEP_MEASURE_ID_OVERRIDE",$C48,"DEEP_BROKER_ID_OVERRIDE",$F$7,"DEEP_PERIOD_OVERRIDE",K$11)*1,"")))</f>
        <v/>
      </c>
      <c r="L48" s="17" t="str">
        <f ca="1">IF(ISNA($B48),"",IF($B48="","",IFERROR(_xll.BDP(TICKER,"DEEP_MEASURE_PERIOD_BROKER_VALUE","DEEP_MEASURE_ID_OVERRIDE",$C48,"DEEP_BROKER_ID_OVERRIDE",$F$7,"DEEP_PERIOD_OVERRIDE",L$11)*1,"")))</f>
        <v/>
      </c>
      <c r="M48" s="17" t="str">
        <f ca="1">IF(ISNA($B48),"",IF($B48="","",IFERROR(_xll.BDP(TICKER,"DEEP_MEASURE_PERIOD_BROKER_VALUE","DEEP_MEASURE_ID_OVERRIDE",$C48,"DEEP_BROKER_ID_OVERRIDE",$F$7,"DEEP_PERIOD_OVERRIDE",M$11)*1,"")))</f>
        <v/>
      </c>
      <c r="N48" s="17" t="str">
        <f ca="1">IF(ISNA($B48),"",IF($B48="","",IFERROR(_xll.BDP(TICKER,"DEEP_MEASURE_PERIOD_BROKER_VALUE","DEEP_MEASURE_ID_OVERRIDE",$C48,"DEEP_BROKER_ID_OVERRIDE",$F$7,"DEEP_PERIOD_OVERRIDE",N$11)*1,"")))</f>
        <v/>
      </c>
      <c r="O48" s="17" t="str">
        <f ca="1">IF(ISNA($B48),"",IF($B48="","",IFERROR(_xll.BDP(TICKER,"DEEP_MEASURE_PERIOD_BROKER_VALUE","DEEP_MEASURE_ID_OVERRIDE",$C48,"DEEP_BROKER_ID_OVERRIDE",$F$7,"DEEP_PERIOD_OVERRIDE",O$11)*1,"")))</f>
        <v/>
      </c>
      <c r="P48" s="17" t="str">
        <f ca="1">IF(ISNA($B48),"",IF($B48="","",IFERROR(_xll.BDP(TICKER,"DEEP_MEASURE_PERIOD_BROKER_VALUE","DEEP_MEASURE_ID_OVERRIDE",$C48,"DEEP_BROKER_ID_OVERRIDE",$F$7,"DEEP_PERIOD_OVERRIDE",P$11)*1,"")))</f>
        <v/>
      </c>
      <c r="Q48" s="17" t="str">
        <f ca="1">IF(ISNA($B48),"",IF($B48="","",IFERROR(_xll.BDP(TICKER,"DEEP_MEASURE_PERIOD_BROKER_VALUE","DEEP_MEASURE_ID_OVERRIDE",$C48,"DEEP_BROKER_ID_OVERRIDE",$F$7,"DEEP_PERIOD_OVERRIDE",Q$11)*1,"")))</f>
        <v/>
      </c>
      <c r="R48" s="17" t="str">
        <f ca="1">IF(ISNA($B48),"",IF($B48="","",IFERROR(_xll.BDP(TICKER,"DEEP_MEASURE_PERIOD_BROKER_VALUE","DEEP_MEASURE_ID_OVERRIDE",$C48,"DEEP_BROKER_ID_OVERRIDE",$F$7,"DEEP_PERIOD_OVERRIDE",R$11)*1,"")))</f>
        <v/>
      </c>
      <c r="S48" s="17" t="str">
        <f ca="1">IF(ISNA($B48),"",IF($B48="","",IFERROR(_xll.BDP(TICKER,"DEEP_MEASURE_PERIOD_BROKER_VALUE","DEEP_MEASURE_ID_OVERRIDE",$C48,"DEEP_BROKER_ID_OVERRIDE",$F$7,"DEEP_PERIOD_OVERRIDE",S$11)*1,"")))</f>
        <v/>
      </c>
      <c r="T48" s="17" t="str">
        <f ca="1">IF(ISNA($B48),"",IF($B48="","",IFERROR(_xll.BDP(TICKER,"DEEP_MEASURE_PERIOD_BROKER_VALUE","DEEP_MEASURE_ID_OVERRIDE",$C48,"DEEP_BROKER_ID_OVERRIDE",$F$7,"DEEP_PERIOD_OVERRIDE",T$11)*1,"")))</f>
        <v/>
      </c>
      <c r="U48" s="17" t="str">
        <f ca="1">IF(ISNA($B48),"",IF($B48="","",IFERROR(_xll.BDP(TICKER,"DEEP_MEASURE_PERIOD_BROKER_VALUE","DEEP_MEASURE_ID_OVERRIDE",$C48,"DEEP_BROKER_ID_OVERRIDE",$F$7,"DEEP_PERIOD_OVERRIDE",U$11)*1,"")))</f>
        <v/>
      </c>
      <c r="V48" s="17" t="str">
        <f ca="1">IF(ISNA($B48),"",IF($B48="","",IFERROR(_xll.BDP(TICKER,"DEEP_MEASURE_PERIOD_BROKER_VALUE","DEEP_MEASURE_ID_OVERRIDE",$C48,"DEEP_BROKER_ID_OVERRIDE",$F$7,"DEEP_PERIOD_OVERRIDE",V$11)*1,"")))</f>
        <v/>
      </c>
      <c r="W48" s="17" t="str">
        <f ca="1">IF(ISNA($B48),"",IF($B48="","",IFERROR(_xll.BDP(TICKER,"DEEP_MEASURE_PERIOD_BROKER_VALUE","DEEP_MEASURE_ID_OVERRIDE",$C48,"DEEP_BROKER_ID_OVERRIDE",$F$7,"DEEP_PERIOD_OVERRIDE",W$11)*1,"")))</f>
        <v/>
      </c>
      <c r="X48" s="17" t="str">
        <f ca="1">IF(ISNA($B48),"",IF($B48="","",IFERROR(_xll.BDP(TICKER,"DEEP_MEASURE_PERIOD_BROKER_VALUE","DEEP_MEASURE_ID_OVERRIDE",$C48,"DEEP_BROKER_ID_OVERRIDE",$F$7,"DEEP_PERIOD_OVERRIDE",X$11)*1,"")))</f>
        <v/>
      </c>
      <c r="Y48" s="17" t="str">
        <f ca="1">IF(ISNA($B48),"",IF($B48="","",IFERROR(_xll.BDP(TICKER,"DEEP_MEASURE_PERIOD_BROKER_VALUE","DEEP_MEASURE_ID_OVERRIDE",$C48,"DEEP_BROKER_ID_OVERRIDE",$F$7,"DEEP_PERIOD_OVERRIDE",Y$11)*1,"")))</f>
        <v/>
      </c>
      <c r="Z48" s="17" t="str">
        <f ca="1">IF(ISNA($B48),"",IF($B48="","",IFERROR(_xll.BDP(TICKER,"DEEP_MEASURE_PERIOD_BROKER_VALUE","DEEP_MEASURE_ID_OVERRIDE",$C48,"DEEP_BROKER_ID_OVERRIDE",$F$7,"DEEP_PERIOD_OVERRIDE",Z$11)*1,"")))</f>
        <v/>
      </c>
      <c r="AA48" s="17" t="str">
        <f ca="1">IF(ISNA($B48),"",IF($B48="","",IFERROR(_xll.BDP(TICKER,"DEEP_MEASURE_PERIOD_BROKER_VALUE","DEEP_MEASURE_ID_OVERRIDE",$C48,"DEEP_BROKER_ID_OVERRIDE",$F$7,"DEEP_PERIOD_OVERRIDE",AA$11)*1,"")))</f>
        <v/>
      </c>
      <c r="AB48" s="17" t="str">
        <f ca="1">IF(ISNA($B48),"",IF($B48="","",IFERROR(_xll.BDP(TICKER,"DEEP_MEASURE_PERIOD_BROKER_VALUE","DEEP_MEASURE_ID_OVERRIDE",$C48,"DEEP_BROKER_ID_OVERRIDE",$F$7,"DEEP_PERIOD_OVERRIDE",AB$11)*1,"")))</f>
        <v/>
      </c>
      <c r="AC48" s="17" t="str">
        <f ca="1">IF(ISNA($B48),"",IF($B48="","",IFERROR(_xll.BDP(TICKER,"DEEP_MEASURE_PERIOD_BROKER_VALUE","DEEP_MEASURE_ID_OVERRIDE",$C48,"DEEP_BROKER_ID_OVERRIDE",$F$7,"DEEP_PERIOD_OVERRIDE",AC$11)*1,"")))</f>
        <v/>
      </c>
      <c r="AD48" s="17" t="str">
        <f ca="1">IF(ISNA($B48),"",IF($B48="","",IFERROR(_xll.BDP(TICKER,"DEEP_MEASURE_PERIOD_BROKER_VALUE","DEEP_MEASURE_ID_OVERRIDE",$C48,"DEEP_BROKER_ID_OVERRIDE",$F$7,"DEEP_PERIOD_OVERRIDE",AD$11)*1,"")))</f>
        <v/>
      </c>
      <c r="AE48" s="17" t="str">
        <f ca="1">IF(ISNA($B48),"",IF($B48="","",IFERROR(_xll.BDP(TICKER,"DEEP_MEASURE_PERIOD_BROKER_VALUE","DEEP_MEASURE_ID_OVERRIDE",$C48,"DEEP_BROKER_ID_OVERRIDE",$F$7,"DEEP_PERIOD_OVERRIDE",AE$11)*1,"")))</f>
        <v/>
      </c>
      <c r="AF48" s="17" t="str">
        <f ca="1">IF(ISNA($B48),"",IF($B48="","",IFERROR(_xll.BDP(TICKER,"DEEP_MEASURE_PERIOD_BROKER_VALUE","DEEP_MEASURE_ID_OVERRIDE",$C48,"DEEP_BROKER_ID_OVERRIDE",$F$7,"DEEP_PERIOD_OVERRIDE",AF$11)*1,"")))</f>
        <v/>
      </c>
      <c r="AG48" s="17" t="str">
        <f ca="1">IF(ISNA($B48),"",IF($B48="","",IFERROR(_xll.BDP(TICKER,"DEEP_MEASURE_PERIOD_BROKER_VALUE","DEEP_MEASURE_ID_OVERRIDE",$C48,"DEEP_BROKER_ID_OVERRIDE",$F$7,"DEEP_PERIOD_OVERRIDE",AG$11)*1,"")))</f>
        <v/>
      </c>
      <c r="AH48" s="17" t="str">
        <f ca="1">IF(ISNA($B48),"",IF($B48="","",IFERROR(_xll.BDP(TICKER,"DEEP_MEASURE_PERIOD_BROKER_VALUE","DEEP_MEASURE_ID_OVERRIDE",$C48,"DEEP_BROKER_ID_OVERRIDE",$F$7,"DEEP_PERIOD_OVERRIDE",AH$11)*1,"")))</f>
        <v/>
      </c>
      <c r="AI48" s="17" t="str">
        <f ca="1">IF(ISNA($B48),"",IF($B48="","",IFERROR(_xll.BDP(TICKER,"DEEP_MEASURE_PERIOD_BROKER_VALUE","DEEP_MEASURE_ID_OVERRIDE",$C48,"DEEP_BROKER_ID_OVERRIDE",$F$7,"DEEP_PERIOD_OVERRIDE",AI$11)*1,"")))</f>
        <v/>
      </c>
      <c r="AJ48" s="17" t="str">
        <f ca="1">IF(ISNA($B48),"",IF($B48="","",IFERROR(_xll.BDP(TICKER,"DEEP_MEASURE_PERIOD_BROKER_VALUE","DEEP_MEASURE_ID_OVERRIDE",$C48,"DEEP_BROKER_ID_OVERRIDE",$F$7,"DEEP_PERIOD_OVERRIDE",AJ$11)*1,"")))</f>
        <v/>
      </c>
      <c r="AK48" s="17" t="str">
        <f ca="1">IF(ISNA($B48),"",IF($B48="","",IFERROR(_xll.BDP(TICKER,"DEEP_MEASURE_PERIOD_BROKER_VALUE","DEEP_MEASURE_ID_OVERRIDE",$C48,"DEEP_BROKER_ID_OVERRIDE",$F$7,"DEEP_PERIOD_OVERRIDE",AK$11)*1,"")))</f>
        <v/>
      </c>
      <c r="AL48" s="17" t="str">
        <f ca="1">IF(ISNA($B48),"",IF($B48="","",IFERROR(_xll.BDP(TICKER,"DEEP_MEASURE_PERIOD_BROKER_VALUE","DEEP_MEASURE_ID_OVERRIDE",$C48,"DEEP_BROKER_ID_OVERRIDE",$F$7,"DEEP_PERIOD_OVERRIDE",AL$11)*1,"")))</f>
        <v/>
      </c>
      <c r="AM48" s="17" t="str">
        <f ca="1">IF(ISNA($B48),"",IF($B48="","",IFERROR(_xll.BDP(TICKER,"DEEP_MEASURE_PERIOD_BROKER_VALUE","DEEP_MEASURE_ID_OVERRIDE",$C48,"DEEP_BROKER_ID_OVERRIDE",$F$7,"DEEP_PERIOD_OVERRIDE",AM$11)*1,"")))</f>
        <v/>
      </c>
      <c r="AN48" s="17" t="str">
        <f ca="1">IF(ISNA($B48),"",IF($B48="","",IFERROR(_xll.BDP(TICKER,"DEEP_MEASURE_PERIOD_BROKER_VALUE","DEEP_MEASURE_ID_OVERRIDE",$C48,"DEEP_BROKER_ID_OVERRIDE",$F$7,"DEEP_PERIOD_OVERRIDE",AN$11)*1,"")))</f>
        <v/>
      </c>
      <c r="AO48" s="17" t="str">
        <f ca="1">IF(ISNA($B48),"",IF($B48="","",IFERROR(_xll.BDP(TICKER,"DEEP_MEASURE_PERIOD_BROKER_VALUE","DEEP_MEASURE_ID_OVERRIDE",$C48,"DEEP_BROKER_ID_OVERRIDE",$F$7,"DEEP_PERIOD_OVERRIDE",AO$11)*1,"")))</f>
        <v/>
      </c>
      <c r="AP48" s="17" t="str">
        <f ca="1">IF(ISNA($B48),"",IF($B48="","",IFERROR(_xll.BDP(TICKER,"DEEP_MEASURE_PERIOD_BROKER_VALUE","DEEP_MEASURE_ID_OVERRIDE",$C48,"DEEP_BROKER_ID_OVERRIDE",$F$7,"DEEP_PERIOD_OVERRIDE",AP$11)*1,"")))</f>
        <v/>
      </c>
      <c r="AQ48" s="17" t="str">
        <f ca="1">IF(ISNA($B48),"",IF($B48="","",IFERROR(_xll.BDP(TICKER,"DEEP_MEASURE_PERIOD_BROKER_VALUE","DEEP_MEASURE_ID_OVERRIDE",$C48,"DEEP_BROKER_ID_OVERRIDE",$F$7,"DEEP_PERIOD_OVERRIDE",AQ$11)*1,"")))</f>
        <v/>
      </c>
    </row>
    <row r="49" spans="2:43" x14ac:dyDescent="0.25">
      <c r="B49" t="s">
        <v>99</v>
      </c>
      <c r="C49" s="11">
        <v>9979</v>
      </c>
      <c r="H49" t="str">
        <f t="shared" si="2"/>
        <v>Other &gt; EBITDA &gt; As % of Other Revenue</v>
      </c>
      <c r="I49" s="17" t="str">
        <f ca="1">IF(ISNA($B49),"",IF($B49="","",IFERROR(_xll.BDP(TICKER,"DEEP_MEASURE_PERIOD_BROKER_VALUE","DEEP_MEASURE_ID_OVERRIDE",$C49,"DEEP_BROKER_ID_OVERRIDE",$F$7,"DEEP_PERIOD_OVERRIDE",I$11)*1,"")))</f>
        <v/>
      </c>
      <c r="J49" s="17" t="str">
        <f ca="1">IF(ISNA($B49),"",IF($B49="","",IFERROR(_xll.BDP(TICKER,"DEEP_MEASURE_PERIOD_BROKER_VALUE","DEEP_MEASURE_ID_OVERRIDE",$C49,"DEEP_BROKER_ID_OVERRIDE",$F$7,"DEEP_PERIOD_OVERRIDE",J$11)*1,"")))</f>
        <v/>
      </c>
      <c r="K49" s="17" t="str">
        <f ca="1">IF(ISNA($B49),"",IF($B49="","",IFERROR(_xll.BDP(TICKER,"DEEP_MEASURE_PERIOD_BROKER_VALUE","DEEP_MEASURE_ID_OVERRIDE",$C49,"DEEP_BROKER_ID_OVERRIDE",$F$7,"DEEP_PERIOD_OVERRIDE",K$11)*1,"")))</f>
        <v/>
      </c>
      <c r="L49" s="17" t="str">
        <f ca="1">IF(ISNA($B49),"",IF($B49="","",IFERROR(_xll.BDP(TICKER,"DEEP_MEASURE_PERIOD_BROKER_VALUE","DEEP_MEASURE_ID_OVERRIDE",$C49,"DEEP_BROKER_ID_OVERRIDE",$F$7,"DEEP_PERIOD_OVERRIDE",L$11)*1,"")))</f>
        <v/>
      </c>
      <c r="M49" s="17" t="str">
        <f ca="1">IF(ISNA($B49),"",IF($B49="","",IFERROR(_xll.BDP(TICKER,"DEEP_MEASURE_PERIOD_BROKER_VALUE","DEEP_MEASURE_ID_OVERRIDE",$C49,"DEEP_BROKER_ID_OVERRIDE",$F$7,"DEEP_PERIOD_OVERRIDE",M$11)*1,"")))</f>
        <v/>
      </c>
      <c r="N49" s="17" t="str">
        <f ca="1">IF(ISNA($B49),"",IF($B49="","",IFERROR(_xll.BDP(TICKER,"DEEP_MEASURE_PERIOD_BROKER_VALUE","DEEP_MEASURE_ID_OVERRIDE",$C49,"DEEP_BROKER_ID_OVERRIDE",$F$7,"DEEP_PERIOD_OVERRIDE",N$11)*1,"")))</f>
        <v/>
      </c>
      <c r="O49" s="17" t="str">
        <f ca="1">IF(ISNA($B49),"",IF($B49="","",IFERROR(_xll.BDP(TICKER,"DEEP_MEASURE_PERIOD_BROKER_VALUE","DEEP_MEASURE_ID_OVERRIDE",$C49,"DEEP_BROKER_ID_OVERRIDE",$F$7,"DEEP_PERIOD_OVERRIDE",O$11)*1,"")))</f>
        <v/>
      </c>
      <c r="P49" s="17" t="str">
        <f ca="1">IF(ISNA($B49),"",IF($B49="","",IFERROR(_xll.BDP(TICKER,"DEEP_MEASURE_PERIOD_BROKER_VALUE","DEEP_MEASURE_ID_OVERRIDE",$C49,"DEEP_BROKER_ID_OVERRIDE",$F$7,"DEEP_PERIOD_OVERRIDE",P$11)*1,"")))</f>
        <v/>
      </c>
      <c r="Q49" s="17" t="str">
        <f ca="1">IF(ISNA($B49),"",IF($B49="","",IFERROR(_xll.BDP(TICKER,"DEEP_MEASURE_PERIOD_BROKER_VALUE","DEEP_MEASURE_ID_OVERRIDE",$C49,"DEEP_BROKER_ID_OVERRIDE",$F$7,"DEEP_PERIOD_OVERRIDE",Q$11)*1,"")))</f>
        <v/>
      </c>
      <c r="R49" s="17" t="str">
        <f ca="1">IF(ISNA($B49),"",IF($B49="","",IFERROR(_xll.BDP(TICKER,"DEEP_MEASURE_PERIOD_BROKER_VALUE","DEEP_MEASURE_ID_OVERRIDE",$C49,"DEEP_BROKER_ID_OVERRIDE",$F$7,"DEEP_PERIOD_OVERRIDE",R$11)*1,"")))</f>
        <v/>
      </c>
      <c r="S49" s="17" t="str">
        <f ca="1">IF(ISNA($B49),"",IF($B49="","",IFERROR(_xll.BDP(TICKER,"DEEP_MEASURE_PERIOD_BROKER_VALUE","DEEP_MEASURE_ID_OVERRIDE",$C49,"DEEP_BROKER_ID_OVERRIDE",$F$7,"DEEP_PERIOD_OVERRIDE",S$11)*1,"")))</f>
        <v/>
      </c>
      <c r="T49" s="17" t="str">
        <f ca="1">IF(ISNA($B49),"",IF($B49="","",IFERROR(_xll.BDP(TICKER,"DEEP_MEASURE_PERIOD_BROKER_VALUE","DEEP_MEASURE_ID_OVERRIDE",$C49,"DEEP_BROKER_ID_OVERRIDE",$F$7,"DEEP_PERIOD_OVERRIDE",T$11)*1,"")))</f>
        <v/>
      </c>
      <c r="U49" s="17" t="str">
        <f ca="1">IF(ISNA($B49),"",IF($B49="","",IFERROR(_xll.BDP(TICKER,"DEEP_MEASURE_PERIOD_BROKER_VALUE","DEEP_MEASURE_ID_OVERRIDE",$C49,"DEEP_BROKER_ID_OVERRIDE",$F$7,"DEEP_PERIOD_OVERRIDE",U$11)*1,"")))</f>
        <v/>
      </c>
      <c r="V49" s="17" t="str">
        <f ca="1">IF(ISNA($B49),"",IF($B49="","",IFERROR(_xll.BDP(TICKER,"DEEP_MEASURE_PERIOD_BROKER_VALUE","DEEP_MEASURE_ID_OVERRIDE",$C49,"DEEP_BROKER_ID_OVERRIDE",$F$7,"DEEP_PERIOD_OVERRIDE",V$11)*1,"")))</f>
        <v/>
      </c>
      <c r="W49" s="17" t="str">
        <f ca="1">IF(ISNA($B49),"",IF($B49="","",IFERROR(_xll.BDP(TICKER,"DEEP_MEASURE_PERIOD_BROKER_VALUE","DEEP_MEASURE_ID_OVERRIDE",$C49,"DEEP_BROKER_ID_OVERRIDE",$F$7,"DEEP_PERIOD_OVERRIDE",W$11)*1,"")))</f>
        <v/>
      </c>
      <c r="X49" s="17" t="str">
        <f ca="1">IF(ISNA($B49),"",IF($B49="","",IFERROR(_xll.BDP(TICKER,"DEEP_MEASURE_PERIOD_BROKER_VALUE","DEEP_MEASURE_ID_OVERRIDE",$C49,"DEEP_BROKER_ID_OVERRIDE",$F$7,"DEEP_PERIOD_OVERRIDE",X$11)*1,"")))</f>
        <v/>
      </c>
      <c r="Y49" s="17" t="str">
        <f ca="1">IF(ISNA($B49),"",IF($B49="","",IFERROR(_xll.BDP(TICKER,"DEEP_MEASURE_PERIOD_BROKER_VALUE","DEEP_MEASURE_ID_OVERRIDE",$C49,"DEEP_BROKER_ID_OVERRIDE",$F$7,"DEEP_PERIOD_OVERRIDE",Y$11)*1,"")))</f>
        <v/>
      </c>
      <c r="Z49" s="17" t="str">
        <f ca="1">IF(ISNA($B49),"",IF($B49="","",IFERROR(_xll.BDP(TICKER,"DEEP_MEASURE_PERIOD_BROKER_VALUE","DEEP_MEASURE_ID_OVERRIDE",$C49,"DEEP_BROKER_ID_OVERRIDE",$F$7,"DEEP_PERIOD_OVERRIDE",Z$11)*1,"")))</f>
        <v/>
      </c>
      <c r="AA49" s="17" t="str">
        <f ca="1">IF(ISNA($B49),"",IF($B49="","",IFERROR(_xll.BDP(TICKER,"DEEP_MEASURE_PERIOD_BROKER_VALUE","DEEP_MEASURE_ID_OVERRIDE",$C49,"DEEP_BROKER_ID_OVERRIDE",$F$7,"DEEP_PERIOD_OVERRIDE",AA$11)*1,"")))</f>
        <v/>
      </c>
      <c r="AB49" s="17" t="str">
        <f ca="1">IF(ISNA($B49),"",IF($B49="","",IFERROR(_xll.BDP(TICKER,"DEEP_MEASURE_PERIOD_BROKER_VALUE","DEEP_MEASURE_ID_OVERRIDE",$C49,"DEEP_BROKER_ID_OVERRIDE",$F$7,"DEEP_PERIOD_OVERRIDE",AB$11)*1,"")))</f>
        <v/>
      </c>
      <c r="AC49" s="17" t="str">
        <f ca="1">IF(ISNA($B49),"",IF($B49="","",IFERROR(_xll.BDP(TICKER,"DEEP_MEASURE_PERIOD_BROKER_VALUE","DEEP_MEASURE_ID_OVERRIDE",$C49,"DEEP_BROKER_ID_OVERRIDE",$F$7,"DEEP_PERIOD_OVERRIDE",AC$11)*1,"")))</f>
        <v/>
      </c>
      <c r="AD49" s="17" t="str">
        <f ca="1">IF(ISNA($B49),"",IF($B49="","",IFERROR(_xll.BDP(TICKER,"DEEP_MEASURE_PERIOD_BROKER_VALUE","DEEP_MEASURE_ID_OVERRIDE",$C49,"DEEP_BROKER_ID_OVERRIDE",$F$7,"DEEP_PERIOD_OVERRIDE",AD$11)*1,"")))</f>
        <v/>
      </c>
      <c r="AE49" s="17" t="str">
        <f ca="1">IF(ISNA($B49),"",IF($B49="","",IFERROR(_xll.BDP(TICKER,"DEEP_MEASURE_PERIOD_BROKER_VALUE","DEEP_MEASURE_ID_OVERRIDE",$C49,"DEEP_BROKER_ID_OVERRIDE",$F$7,"DEEP_PERIOD_OVERRIDE",AE$11)*1,"")))</f>
        <v/>
      </c>
      <c r="AF49" s="17" t="str">
        <f ca="1">IF(ISNA($B49),"",IF($B49="","",IFERROR(_xll.BDP(TICKER,"DEEP_MEASURE_PERIOD_BROKER_VALUE","DEEP_MEASURE_ID_OVERRIDE",$C49,"DEEP_BROKER_ID_OVERRIDE",$F$7,"DEEP_PERIOD_OVERRIDE",AF$11)*1,"")))</f>
        <v/>
      </c>
      <c r="AG49" s="17" t="str">
        <f ca="1">IF(ISNA($B49),"",IF($B49="","",IFERROR(_xll.BDP(TICKER,"DEEP_MEASURE_PERIOD_BROKER_VALUE","DEEP_MEASURE_ID_OVERRIDE",$C49,"DEEP_BROKER_ID_OVERRIDE",$F$7,"DEEP_PERIOD_OVERRIDE",AG$11)*1,"")))</f>
        <v/>
      </c>
      <c r="AH49" s="17" t="str">
        <f ca="1">IF(ISNA($B49),"",IF($B49="","",IFERROR(_xll.BDP(TICKER,"DEEP_MEASURE_PERIOD_BROKER_VALUE","DEEP_MEASURE_ID_OVERRIDE",$C49,"DEEP_BROKER_ID_OVERRIDE",$F$7,"DEEP_PERIOD_OVERRIDE",AH$11)*1,"")))</f>
        <v/>
      </c>
      <c r="AI49" s="17" t="str">
        <f ca="1">IF(ISNA($B49),"",IF($B49="","",IFERROR(_xll.BDP(TICKER,"DEEP_MEASURE_PERIOD_BROKER_VALUE","DEEP_MEASURE_ID_OVERRIDE",$C49,"DEEP_BROKER_ID_OVERRIDE",$F$7,"DEEP_PERIOD_OVERRIDE",AI$11)*1,"")))</f>
        <v/>
      </c>
      <c r="AJ49" s="17" t="str">
        <f ca="1">IF(ISNA($B49),"",IF($B49="","",IFERROR(_xll.BDP(TICKER,"DEEP_MEASURE_PERIOD_BROKER_VALUE","DEEP_MEASURE_ID_OVERRIDE",$C49,"DEEP_BROKER_ID_OVERRIDE",$F$7,"DEEP_PERIOD_OVERRIDE",AJ$11)*1,"")))</f>
        <v/>
      </c>
      <c r="AK49" s="17" t="str">
        <f ca="1">IF(ISNA($B49),"",IF($B49="","",IFERROR(_xll.BDP(TICKER,"DEEP_MEASURE_PERIOD_BROKER_VALUE","DEEP_MEASURE_ID_OVERRIDE",$C49,"DEEP_BROKER_ID_OVERRIDE",$F$7,"DEEP_PERIOD_OVERRIDE",AK$11)*1,"")))</f>
        <v/>
      </c>
      <c r="AL49" s="17" t="str">
        <f ca="1">IF(ISNA($B49),"",IF($B49="","",IFERROR(_xll.BDP(TICKER,"DEEP_MEASURE_PERIOD_BROKER_VALUE","DEEP_MEASURE_ID_OVERRIDE",$C49,"DEEP_BROKER_ID_OVERRIDE",$F$7,"DEEP_PERIOD_OVERRIDE",AL$11)*1,"")))</f>
        <v/>
      </c>
      <c r="AM49" s="17" t="str">
        <f ca="1">IF(ISNA($B49),"",IF($B49="","",IFERROR(_xll.BDP(TICKER,"DEEP_MEASURE_PERIOD_BROKER_VALUE","DEEP_MEASURE_ID_OVERRIDE",$C49,"DEEP_BROKER_ID_OVERRIDE",$F$7,"DEEP_PERIOD_OVERRIDE",AM$11)*1,"")))</f>
        <v/>
      </c>
      <c r="AN49" s="17" t="str">
        <f ca="1">IF(ISNA($B49),"",IF($B49="","",IFERROR(_xll.BDP(TICKER,"DEEP_MEASURE_PERIOD_BROKER_VALUE","DEEP_MEASURE_ID_OVERRIDE",$C49,"DEEP_BROKER_ID_OVERRIDE",$F$7,"DEEP_PERIOD_OVERRIDE",AN$11)*1,"")))</f>
        <v/>
      </c>
      <c r="AO49" s="17" t="str">
        <f ca="1">IF(ISNA($B49),"",IF($B49="","",IFERROR(_xll.BDP(TICKER,"DEEP_MEASURE_PERIOD_BROKER_VALUE","DEEP_MEASURE_ID_OVERRIDE",$C49,"DEEP_BROKER_ID_OVERRIDE",$F$7,"DEEP_PERIOD_OVERRIDE",AO$11)*1,"")))</f>
        <v/>
      </c>
      <c r="AP49" s="17" t="str">
        <f ca="1">IF(ISNA($B49),"",IF($B49="","",IFERROR(_xll.BDP(TICKER,"DEEP_MEASURE_PERIOD_BROKER_VALUE","DEEP_MEASURE_ID_OVERRIDE",$C49,"DEEP_BROKER_ID_OVERRIDE",$F$7,"DEEP_PERIOD_OVERRIDE",AP$11)*1,"")))</f>
        <v/>
      </c>
      <c r="AQ49" s="17" t="str">
        <f ca="1">IF(ISNA($B49),"",IF($B49="","",IFERROR(_xll.BDP(TICKER,"DEEP_MEASURE_PERIOD_BROKER_VALUE","DEEP_MEASURE_ID_OVERRIDE",$C49,"DEEP_BROKER_ID_OVERRIDE",$F$7,"DEEP_PERIOD_OVERRIDE",AQ$11)*1,"")))</f>
        <v/>
      </c>
    </row>
    <row r="50" spans="2:43" x14ac:dyDescent="0.25">
      <c r="B50" t="s">
        <v>12</v>
      </c>
      <c r="C50" s="11">
        <v>527</v>
      </c>
      <c r="H50" t="str">
        <f t="shared" si="2"/>
        <v>Total Revenue</v>
      </c>
      <c r="I50" s="17" t="str">
        <f ca="1">IF(ISNA($B50),"",IF($B50="","",IFERROR(_xll.BDP(TICKER,"DEEP_MEASURE_PERIOD_BROKER_VALUE","DEEP_MEASURE_ID_OVERRIDE",$C50,"DEEP_BROKER_ID_OVERRIDE",$F$7,"DEEP_PERIOD_OVERRIDE",I$11)*1,"")))</f>
        <v/>
      </c>
      <c r="J50" s="17" t="str">
        <f ca="1">IF(ISNA($B50),"",IF($B50="","",IFERROR(_xll.BDP(TICKER,"DEEP_MEASURE_PERIOD_BROKER_VALUE","DEEP_MEASURE_ID_OVERRIDE",$C50,"DEEP_BROKER_ID_OVERRIDE",$F$7,"DEEP_PERIOD_OVERRIDE",J$11)*1,"")))</f>
        <v/>
      </c>
      <c r="K50" s="17" t="str">
        <f ca="1">IF(ISNA($B50),"",IF($B50="","",IFERROR(_xll.BDP(TICKER,"DEEP_MEASURE_PERIOD_BROKER_VALUE","DEEP_MEASURE_ID_OVERRIDE",$C50,"DEEP_BROKER_ID_OVERRIDE",$F$7,"DEEP_PERIOD_OVERRIDE",K$11)*1,"")))</f>
        <v/>
      </c>
      <c r="L50" s="17" t="str">
        <f ca="1">IF(ISNA($B50),"",IF($B50="","",IFERROR(_xll.BDP(TICKER,"DEEP_MEASURE_PERIOD_BROKER_VALUE","DEEP_MEASURE_ID_OVERRIDE",$C50,"DEEP_BROKER_ID_OVERRIDE",$F$7,"DEEP_PERIOD_OVERRIDE",L$11)*1,"")))</f>
        <v/>
      </c>
      <c r="M50" s="17" t="str">
        <f ca="1">IF(ISNA($B50),"",IF($B50="","",IFERROR(_xll.BDP(TICKER,"DEEP_MEASURE_PERIOD_BROKER_VALUE","DEEP_MEASURE_ID_OVERRIDE",$C50,"DEEP_BROKER_ID_OVERRIDE",$F$7,"DEEP_PERIOD_OVERRIDE",M$11)*1,"")))</f>
        <v/>
      </c>
      <c r="N50" s="17" t="str">
        <f ca="1">IF(ISNA($B50),"",IF($B50="","",IFERROR(_xll.BDP(TICKER,"DEEP_MEASURE_PERIOD_BROKER_VALUE","DEEP_MEASURE_ID_OVERRIDE",$C50,"DEEP_BROKER_ID_OVERRIDE",$F$7,"DEEP_PERIOD_OVERRIDE",N$11)*1,"")))</f>
        <v/>
      </c>
      <c r="O50" s="17" t="str">
        <f ca="1">IF(ISNA($B50),"",IF($B50="","",IFERROR(_xll.BDP(TICKER,"DEEP_MEASURE_PERIOD_BROKER_VALUE","DEEP_MEASURE_ID_OVERRIDE",$C50,"DEEP_BROKER_ID_OVERRIDE",$F$7,"DEEP_PERIOD_OVERRIDE",O$11)*1,"")))</f>
        <v/>
      </c>
      <c r="P50" s="17" t="str">
        <f ca="1">IF(ISNA($B50),"",IF($B50="","",IFERROR(_xll.BDP(TICKER,"DEEP_MEASURE_PERIOD_BROKER_VALUE","DEEP_MEASURE_ID_OVERRIDE",$C50,"DEEP_BROKER_ID_OVERRIDE",$F$7,"DEEP_PERIOD_OVERRIDE",P$11)*1,"")))</f>
        <v/>
      </c>
      <c r="Q50" s="17" t="str">
        <f ca="1">IF(ISNA($B50),"",IF($B50="","",IFERROR(_xll.BDP(TICKER,"DEEP_MEASURE_PERIOD_BROKER_VALUE","DEEP_MEASURE_ID_OVERRIDE",$C50,"DEEP_BROKER_ID_OVERRIDE",$F$7,"DEEP_PERIOD_OVERRIDE",Q$11)*1,"")))</f>
        <v/>
      </c>
      <c r="R50" s="17" t="str">
        <f ca="1">IF(ISNA($B50),"",IF($B50="","",IFERROR(_xll.BDP(TICKER,"DEEP_MEASURE_PERIOD_BROKER_VALUE","DEEP_MEASURE_ID_OVERRIDE",$C50,"DEEP_BROKER_ID_OVERRIDE",$F$7,"DEEP_PERIOD_OVERRIDE",R$11)*1,"")))</f>
        <v/>
      </c>
      <c r="S50" s="17" t="str">
        <f ca="1">IF(ISNA($B50),"",IF($B50="","",IFERROR(_xll.BDP(TICKER,"DEEP_MEASURE_PERIOD_BROKER_VALUE","DEEP_MEASURE_ID_OVERRIDE",$C50,"DEEP_BROKER_ID_OVERRIDE",$F$7,"DEEP_PERIOD_OVERRIDE",S$11)*1,"")))</f>
        <v/>
      </c>
      <c r="T50" s="17" t="str">
        <f ca="1">IF(ISNA($B50),"",IF($B50="","",IFERROR(_xll.BDP(TICKER,"DEEP_MEASURE_PERIOD_BROKER_VALUE","DEEP_MEASURE_ID_OVERRIDE",$C50,"DEEP_BROKER_ID_OVERRIDE",$F$7,"DEEP_PERIOD_OVERRIDE",T$11)*1,"")))</f>
        <v/>
      </c>
      <c r="U50" s="17" t="str">
        <f ca="1">IF(ISNA($B50),"",IF($B50="","",IFERROR(_xll.BDP(TICKER,"DEEP_MEASURE_PERIOD_BROKER_VALUE","DEEP_MEASURE_ID_OVERRIDE",$C50,"DEEP_BROKER_ID_OVERRIDE",$F$7,"DEEP_PERIOD_OVERRIDE",U$11)*1,"")))</f>
        <v/>
      </c>
      <c r="V50" s="17" t="str">
        <f ca="1">IF(ISNA($B50),"",IF($B50="","",IFERROR(_xll.BDP(TICKER,"DEEP_MEASURE_PERIOD_BROKER_VALUE","DEEP_MEASURE_ID_OVERRIDE",$C50,"DEEP_BROKER_ID_OVERRIDE",$F$7,"DEEP_PERIOD_OVERRIDE",V$11)*1,"")))</f>
        <v/>
      </c>
      <c r="W50" s="17" t="str">
        <f ca="1">IF(ISNA($B50),"",IF($B50="","",IFERROR(_xll.BDP(TICKER,"DEEP_MEASURE_PERIOD_BROKER_VALUE","DEEP_MEASURE_ID_OVERRIDE",$C50,"DEEP_BROKER_ID_OVERRIDE",$F$7,"DEEP_PERIOD_OVERRIDE",W$11)*1,"")))</f>
        <v/>
      </c>
      <c r="X50" s="17" t="str">
        <f ca="1">IF(ISNA($B50),"",IF($B50="","",IFERROR(_xll.BDP(TICKER,"DEEP_MEASURE_PERIOD_BROKER_VALUE","DEEP_MEASURE_ID_OVERRIDE",$C50,"DEEP_BROKER_ID_OVERRIDE",$F$7,"DEEP_PERIOD_OVERRIDE",X$11)*1,"")))</f>
        <v/>
      </c>
      <c r="Y50" s="17" t="str">
        <f ca="1">IF(ISNA($B50),"",IF($B50="","",IFERROR(_xll.BDP(TICKER,"DEEP_MEASURE_PERIOD_BROKER_VALUE","DEEP_MEASURE_ID_OVERRIDE",$C50,"DEEP_BROKER_ID_OVERRIDE",$F$7,"DEEP_PERIOD_OVERRIDE",Y$11)*1,"")))</f>
        <v/>
      </c>
      <c r="Z50" s="17" t="str">
        <f ca="1">IF(ISNA($B50),"",IF($B50="","",IFERROR(_xll.BDP(TICKER,"DEEP_MEASURE_PERIOD_BROKER_VALUE","DEEP_MEASURE_ID_OVERRIDE",$C50,"DEEP_BROKER_ID_OVERRIDE",$F$7,"DEEP_PERIOD_OVERRIDE",Z$11)*1,"")))</f>
        <v/>
      </c>
      <c r="AA50" s="17" t="str">
        <f ca="1">IF(ISNA($B50),"",IF($B50="","",IFERROR(_xll.BDP(TICKER,"DEEP_MEASURE_PERIOD_BROKER_VALUE","DEEP_MEASURE_ID_OVERRIDE",$C50,"DEEP_BROKER_ID_OVERRIDE",$F$7,"DEEP_PERIOD_OVERRIDE",AA$11)*1,"")))</f>
        <v/>
      </c>
      <c r="AB50" s="17" t="str">
        <f ca="1">IF(ISNA($B50),"",IF($B50="","",IFERROR(_xll.BDP(TICKER,"DEEP_MEASURE_PERIOD_BROKER_VALUE","DEEP_MEASURE_ID_OVERRIDE",$C50,"DEEP_BROKER_ID_OVERRIDE",$F$7,"DEEP_PERIOD_OVERRIDE",AB$11)*1,"")))</f>
        <v/>
      </c>
      <c r="AC50" s="17" t="str">
        <f ca="1">IF(ISNA($B50),"",IF($B50="","",IFERROR(_xll.BDP(TICKER,"DEEP_MEASURE_PERIOD_BROKER_VALUE","DEEP_MEASURE_ID_OVERRIDE",$C50,"DEEP_BROKER_ID_OVERRIDE",$F$7,"DEEP_PERIOD_OVERRIDE",AC$11)*1,"")))</f>
        <v/>
      </c>
      <c r="AD50" s="17" t="str">
        <f ca="1">IF(ISNA($B50),"",IF($B50="","",IFERROR(_xll.BDP(TICKER,"DEEP_MEASURE_PERIOD_BROKER_VALUE","DEEP_MEASURE_ID_OVERRIDE",$C50,"DEEP_BROKER_ID_OVERRIDE",$F$7,"DEEP_PERIOD_OVERRIDE",AD$11)*1,"")))</f>
        <v/>
      </c>
      <c r="AE50" s="17" t="str">
        <f ca="1">IF(ISNA($B50),"",IF($B50="","",IFERROR(_xll.BDP(TICKER,"DEEP_MEASURE_PERIOD_BROKER_VALUE","DEEP_MEASURE_ID_OVERRIDE",$C50,"DEEP_BROKER_ID_OVERRIDE",$F$7,"DEEP_PERIOD_OVERRIDE",AE$11)*1,"")))</f>
        <v/>
      </c>
      <c r="AF50" s="17" t="str">
        <f ca="1">IF(ISNA($B50),"",IF($B50="","",IFERROR(_xll.BDP(TICKER,"DEEP_MEASURE_PERIOD_BROKER_VALUE","DEEP_MEASURE_ID_OVERRIDE",$C50,"DEEP_BROKER_ID_OVERRIDE",$F$7,"DEEP_PERIOD_OVERRIDE",AF$11)*1,"")))</f>
        <v/>
      </c>
      <c r="AG50" s="17" t="str">
        <f ca="1">IF(ISNA($B50),"",IF($B50="","",IFERROR(_xll.BDP(TICKER,"DEEP_MEASURE_PERIOD_BROKER_VALUE","DEEP_MEASURE_ID_OVERRIDE",$C50,"DEEP_BROKER_ID_OVERRIDE",$F$7,"DEEP_PERIOD_OVERRIDE",AG$11)*1,"")))</f>
        <v/>
      </c>
      <c r="AH50" s="17" t="str">
        <f ca="1">IF(ISNA($B50),"",IF($B50="","",IFERROR(_xll.BDP(TICKER,"DEEP_MEASURE_PERIOD_BROKER_VALUE","DEEP_MEASURE_ID_OVERRIDE",$C50,"DEEP_BROKER_ID_OVERRIDE",$F$7,"DEEP_PERIOD_OVERRIDE",AH$11)*1,"")))</f>
        <v/>
      </c>
      <c r="AI50" s="17" t="str">
        <f ca="1">IF(ISNA($B50),"",IF($B50="","",IFERROR(_xll.BDP(TICKER,"DEEP_MEASURE_PERIOD_BROKER_VALUE","DEEP_MEASURE_ID_OVERRIDE",$C50,"DEEP_BROKER_ID_OVERRIDE",$F$7,"DEEP_PERIOD_OVERRIDE",AI$11)*1,"")))</f>
        <v/>
      </c>
      <c r="AJ50" s="17" t="str">
        <f ca="1">IF(ISNA($B50),"",IF($B50="","",IFERROR(_xll.BDP(TICKER,"DEEP_MEASURE_PERIOD_BROKER_VALUE","DEEP_MEASURE_ID_OVERRIDE",$C50,"DEEP_BROKER_ID_OVERRIDE",$F$7,"DEEP_PERIOD_OVERRIDE",AJ$11)*1,"")))</f>
        <v/>
      </c>
      <c r="AK50" s="17" t="str">
        <f ca="1">IF(ISNA($B50),"",IF($B50="","",IFERROR(_xll.BDP(TICKER,"DEEP_MEASURE_PERIOD_BROKER_VALUE","DEEP_MEASURE_ID_OVERRIDE",$C50,"DEEP_BROKER_ID_OVERRIDE",$F$7,"DEEP_PERIOD_OVERRIDE",AK$11)*1,"")))</f>
        <v/>
      </c>
      <c r="AL50" s="17" t="str">
        <f ca="1">IF(ISNA($B50),"",IF($B50="","",IFERROR(_xll.BDP(TICKER,"DEEP_MEASURE_PERIOD_BROKER_VALUE","DEEP_MEASURE_ID_OVERRIDE",$C50,"DEEP_BROKER_ID_OVERRIDE",$F$7,"DEEP_PERIOD_OVERRIDE",AL$11)*1,"")))</f>
        <v/>
      </c>
      <c r="AM50" s="17" t="str">
        <f ca="1">IF(ISNA($B50),"",IF($B50="","",IFERROR(_xll.BDP(TICKER,"DEEP_MEASURE_PERIOD_BROKER_VALUE","DEEP_MEASURE_ID_OVERRIDE",$C50,"DEEP_BROKER_ID_OVERRIDE",$F$7,"DEEP_PERIOD_OVERRIDE",AM$11)*1,"")))</f>
        <v/>
      </c>
      <c r="AN50" s="17" t="str">
        <f ca="1">IF(ISNA($B50),"",IF($B50="","",IFERROR(_xll.BDP(TICKER,"DEEP_MEASURE_PERIOD_BROKER_VALUE","DEEP_MEASURE_ID_OVERRIDE",$C50,"DEEP_BROKER_ID_OVERRIDE",$F$7,"DEEP_PERIOD_OVERRIDE",AN$11)*1,"")))</f>
        <v/>
      </c>
      <c r="AO50" s="17" t="str">
        <f ca="1">IF(ISNA($B50),"",IF($B50="","",IFERROR(_xll.BDP(TICKER,"DEEP_MEASURE_PERIOD_BROKER_VALUE","DEEP_MEASURE_ID_OVERRIDE",$C50,"DEEP_BROKER_ID_OVERRIDE",$F$7,"DEEP_PERIOD_OVERRIDE",AO$11)*1,"")))</f>
        <v/>
      </c>
      <c r="AP50" s="17" t="str">
        <f ca="1">IF(ISNA($B50),"",IF($B50="","",IFERROR(_xll.BDP(TICKER,"DEEP_MEASURE_PERIOD_BROKER_VALUE","DEEP_MEASURE_ID_OVERRIDE",$C50,"DEEP_BROKER_ID_OVERRIDE",$F$7,"DEEP_PERIOD_OVERRIDE",AP$11)*1,"")))</f>
        <v/>
      </c>
      <c r="AQ50" s="17" t="str">
        <f ca="1">IF(ISNA($B50),"",IF($B50="","",IFERROR(_xll.BDP(TICKER,"DEEP_MEASURE_PERIOD_BROKER_VALUE","DEEP_MEASURE_ID_OVERRIDE",$C50,"DEEP_BROKER_ID_OVERRIDE",$F$7,"DEEP_PERIOD_OVERRIDE",AQ$11)*1,"")))</f>
        <v/>
      </c>
    </row>
    <row r="51" spans="2:43" x14ac:dyDescent="0.25">
      <c r="B51" t="s">
        <v>100</v>
      </c>
      <c r="C51" s="11">
        <v>574</v>
      </c>
      <c r="H51" t="str">
        <f t="shared" si="2"/>
        <v>Total Revenue &gt; Hotel &gt; Revenue</v>
      </c>
      <c r="I51" s="17" t="str">
        <f ca="1">IF(ISNA($B51),"",IF($B51="","",IFERROR(_xll.BDP(TICKER,"DEEP_MEASURE_PERIOD_BROKER_VALUE","DEEP_MEASURE_ID_OVERRIDE",$C51,"DEEP_BROKER_ID_OVERRIDE",$F$7,"DEEP_PERIOD_OVERRIDE",I$11)*1,"")))</f>
        <v/>
      </c>
      <c r="J51" s="17" t="str">
        <f ca="1">IF(ISNA($B51),"",IF($B51="","",IFERROR(_xll.BDP(TICKER,"DEEP_MEASURE_PERIOD_BROKER_VALUE","DEEP_MEASURE_ID_OVERRIDE",$C51,"DEEP_BROKER_ID_OVERRIDE",$F$7,"DEEP_PERIOD_OVERRIDE",J$11)*1,"")))</f>
        <v/>
      </c>
      <c r="K51" s="17" t="str">
        <f ca="1">IF(ISNA($B51),"",IF($B51="","",IFERROR(_xll.BDP(TICKER,"DEEP_MEASURE_PERIOD_BROKER_VALUE","DEEP_MEASURE_ID_OVERRIDE",$C51,"DEEP_BROKER_ID_OVERRIDE",$F$7,"DEEP_PERIOD_OVERRIDE",K$11)*1,"")))</f>
        <v/>
      </c>
      <c r="L51" s="17" t="str">
        <f ca="1">IF(ISNA($B51),"",IF($B51="","",IFERROR(_xll.BDP(TICKER,"DEEP_MEASURE_PERIOD_BROKER_VALUE","DEEP_MEASURE_ID_OVERRIDE",$C51,"DEEP_BROKER_ID_OVERRIDE",$F$7,"DEEP_PERIOD_OVERRIDE",L$11)*1,"")))</f>
        <v/>
      </c>
      <c r="M51" s="17" t="str">
        <f ca="1">IF(ISNA($B51),"",IF($B51="","",IFERROR(_xll.BDP(TICKER,"DEEP_MEASURE_PERIOD_BROKER_VALUE","DEEP_MEASURE_ID_OVERRIDE",$C51,"DEEP_BROKER_ID_OVERRIDE",$F$7,"DEEP_PERIOD_OVERRIDE",M$11)*1,"")))</f>
        <v/>
      </c>
      <c r="N51" s="17" t="str">
        <f ca="1">IF(ISNA($B51),"",IF($B51="","",IFERROR(_xll.BDP(TICKER,"DEEP_MEASURE_PERIOD_BROKER_VALUE","DEEP_MEASURE_ID_OVERRIDE",$C51,"DEEP_BROKER_ID_OVERRIDE",$F$7,"DEEP_PERIOD_OVERRIDE",N$11)*1,"")))</f>
        <v/>
      </c>
      <c r="O51" s="17" t="str">
        <f ca="1">IF(ISNA($B51),"",IF($B51="","",IFERROR(_xll.BDP(TICKER,"DEEP_MEASURE_PERIOD_BROKER_VALUE","DEEP_MEASURE_ID_OVERRIDE",$C51,"DEEP_BROKER_ID_OVERRIDE",$F$7,"DEEP_PERIOD_OVERRIDE",O$11)*1,"")))</f>
        <v/>
      </c>
      <c r="P51" s="17" t="str">
        <f ca="1">IF(ISNA($B51),"",IF($B51="","",IFERROR(_xll.BDP(TICKER,"DEEP_MEASURE_PERIOD_BROKER_VALUE","DEEP_MEASURE_ID_OVERRIDE",$C51,"DEEP_BROKER_ID_OVERRIDE",$F$7,"DEEP_PERIOD_OVERRIDE",P$11)*1,"")))</f>
        <v/>
      </c>
      <c r="Q51" s="17" t="str">
        <f ca="1">IF(ISNA($B51),"",IF($B51="","",IFERROR(_xll.BDP(TICKER,"DEEP_MEASURE_PERIOD_BROKER_VALUE","DEEP_MEASURE_ID_OVERRIDE",$C51,"DEEP_BROKER_ID_OVERRIDE",$F$7,"DEEP_PERIOD_OVERRIDE",Q$11)*1,"")))</f>
        <v/>
      </c>
      <c r="R51" s="17" t="str">
        <f ca="1">IF(ISNA($B51),"",IF($B51="","",IFERROR(_xll.BDP(TICKER,"DEEP_MEASURE_PERIOD_BROKER_VALUE","DEEP_MEASURE_ID_OVERRIDE",$C51,"DEEP_BROKER_ID_OVERRIDE",$F$7,"DEEP_PERIOD_OVERRIDE",R$11)*1,"")))</f>
        <v/>
      </c>
      <c r="S51" s="17" t="str">
        <f ca="1">IF(ISNA($B51),"",IF($B51="","",IFERROR(_xll.BDP(TICKER,"DEEP_MEASURE_PERIOD_BROKER_VALUE","DEEP_MEASURE_ID_OVERRIDE",$C51,"DEEP_BROKER_ID_OVERRIDE",$F$7,"DEEP_PERIOD_OVERRIDE",S$11)*1,"")))</f>
        <v/>
      </c>
      <c r="T51" s="17" t="str">
        <f ca="1">IF(ISNA($B51),"",IF($B51="","",IFERROR(_xll.BDP(TICKER,"DEEP_MEASURE_PERIOD_BROKER_VALUE","DEEP_MEASURE_ID_OVERRIDE",$C51,"DEEP_BROKER_ID_OVERRIDE",$F$7,"DEEP_PERIOD_OVERRIDE",T$11)*1,"")))</f>
        <v/>
      </c>
      <c r="U51" s="17" t="str">
        <f ca="1">IF(ISNA($B51),"",IF($B51="","",IFERROR(_xll.BDP(TICKER,"DEEP_MEASURE_PERIOD_BROKER_VALUE","DEEP_MEASURE_ID_OVERRIDE",$C51,"DEEP_BROKER_ID_OVERRIDE",$F$7,"DEEP_PERIOD_OVERRIDE",U$11)*1,"")))</f>
        <v/>
      </c>
      <c r="V51" s="17" t="str">
        <f ca="1">IF(ISNA($B51),"",IF($B51="","",IFERROR(_xll.BDP(TICKER,"DEEP_MEASURE_PERIOD_BROKER_VALUE","DEEP_MEASURE_ID_OVERRIDE",$C51,"DEEP_BROKER_ID_OVERRIDE",$F$7,"DEEP_PERIOD_OVERRIDE",V$11)*1,"")))</f>
        <v/>
      </c>
      <c r="W51" s="17" t="str">
        <f ca="1">IF(ISNA($B51),"",IF($B51="","",IFERROR(_xll.BDP(TICKER,"DEEP_MEASURE_PERIOD_BROKER_VALUE","DEEP_MEASURE_ID_OVERRIDE",$C51,"DEEP_BROKER_ID_OVERRIDE",$F$7,"DEEP_PERIOD_OVERRIDE",W$11)*1,"")))</f>
        <v/>
      </c>
      <c r="X51" s="17" t="str">
        <f ca="1">IF(ISNA($B51),"",IF($B51="","",IFERROR(_xll.BDP(TICKER,"DEEP_MEASURE_PERIOD_BROKER_VALUE","DEEP_MEASURE_ID_OVERRIDE",$C51,"DEEP_BROKER_ID_OVERRIDE",$F$7,"DEEP_PERIOD_OVERRIDE",X$11)*1,"")))</f>
        <v/>
      </c>
      <c r="Y51" s="17" t="str">
        <f ca="1">IF(ISNA($B51),"",IF($B51="","",IFERROR(_xll.BDP(TICKER,"DEEP_MEASURE_PERIOD_BROKER_VALUE","DEEP_MEASURE_ID_OVERRIDE",$C51,"DEEP_BROKER_ID_OVERRIDE",$F$7,"DEEP_PERIOD_OVERRIDE",Y$11)*1,"")))</f>
        <v/>
      </c>
      <c r="Z51" s="17" t="str">
        <f ca="1">IF(ISNA($B51),"",IF($B51="","",IFERROR(_xll.BDP(TICKER,"DEEP_MEASURE_PERIOD_BROKER_VALUE","DEEP_MEASURE_ID_OVERRIDE",$C51,"DEEP_BROKER_ID_OVERRIDE",$F$7,"DEEP_PERIOD_OVERRIDE",Z$11)*1,"")))</f>
        <v/>
      </c>
      <c r="AA51" s="17" t="str">
        <f ca="1">IF(ISNA($B51),"",IF($B51="","",IFERROR(_xll.BDP(TICKER,"DEEP_MEASURE_PERIOD_BROKER_VALUE","DEEP_MEASURE_ID_OVERRIDE",$C51,"DEEP_BROKER_ID_OVERRIDE",$F$7,"DEEP_PERIOD_OVERRIDE",AA$11)*1,"")))</f>
        <v/>
      </c>
      <c r="AB51" s="17" t="str">
        <f ca="1">IF(ISNA($B51),"",IF($B51="","",IFERROR(_xll.BDP(TICKER,"DEEP_MEASURE_PERIOD_BROKER_VALUE","DEEP_MEASURE_ID_OVERRIDE",$C51,"DEEP_BROKER_ID_OVERRIDE",$F$7,"DEEP_PERIOD_OVERRIDE",AB$11)*1,"")))</f>
        <v/>
      </c>
      <c r="AC51" s="17" t="str">
        <f ca="1">IF(ISNA($B51),"",IF($B51="","",IFERROR(_xll.BDP(TICKER,"DEEP_MEASURE_PERIOD_BROKER_VALUE","DEEP_MEASURE_ID_OVERRIDE",$C51,"DEEP_BROKER_ID_OVERRIDE",$F$7,"DEEP_PERIOD_OVERRIDE",AC$11)*1,"")))</f>
        <v/>
      </c>
      <c r="AD51" s="17" t="str">
        <f ca="1">IF(ISNA($B51),"",IF($B51="","",IFERROR(_xll.BDP(TICKER,"DEEP_MEASURE_PERIOD_BROKER_VALUE","DEEP_MEASURE_ID_OVERRIDE",$C51,"DEEP_BROKER_ID_OVERRIDE",$F$7,"DEEP_PERIOD_OVERRIDE",AD$11)*1,"")))</f>
        <v/>
      </c>
      <c r="AE51" s="17" t="str">
        <f ca="1">IF(ISNA($B51),"",IF($B51="","",IFERROR(_xll.BDP(TICKER,"DEEP_MEASURE_PERIOD_BROKER_VALUE","DEEP_MEASURE_ID_OVERRIDE",$C51,"DEEP_BROKER_ID_OVERRIDE",$F$7,"DEEP_PERIOD_OVERRIDE",AE$11)*1,"")))</f>
        <v/>
      </c>
      <c r="AF51" s="17" t="str">
        <f ca="1">IF(ISNA($B51),"",IF($B51="","",IFERROR(_xll.BDP(TICKER,"DEEP_MEASURE_PERIOD_BROKER_VALUE","DEEP_MEASURE_ID_OVERRIDE",$C51,"DEEP_BROKER_ID_OVERRIDE",$F$7,"DEEP_PERIOD_OVERRIDE",AF$11)*1,"")))</f>
        <v/>
      </c>
      <c r="AG51" s="17" t="str">
        <f ca="1">IF(ISNA($B51),"",IF($B51="","",IFERROR(_xll.BDP(TICKER,"DEEP_MEASURE_PERIOD_BROKER_VALUE","DEEP_MEASURE_ID_OVERRIDE",$C51,"DEEP_BROKER_ID_OVERRIDE",$F$7,"DEEP_PERIOD_OVERRIDE",AG$11)*1,"")))</f>
        <v/>
      </c>
      <c r="AH51" s="17" t="str">
        <f ca="1">IF(ISNA($B51),"",IF($B51="","",IFERROR(_xll.BDP(TICKER,"DEEP_MEASURE_PERIOD_BROKER_VALUE","DEEP_MEASURE_ID_OVERRIDE",$C51,"DEEP_BROKER_ID_OVERRIDE",$F$7,"DEEP_PERIOD_OVERRIDE",AH$11)*1,"")))</f>
        <v/>
      </c>
      <c r="AI51" s="17" t="str">
        <f ca="1">IF(ISNA($B51),"",IF($B51="","",IFERROR(_xll.BDP(TICKER,"DEEP_MEASURE_PERIOD_BROKER_VALUE","DEEP_MEASURE_ID_OVERRIDE",$C51,"DEEP_BROKER_ID_OVERRIDE",$F$7,"DEEP_PERIOD_OVERRIDE",AI$11)*1,"")))</f>
        <v/>
      </c>
      <c r="AJ51" s="17" t="str">
        <f ca="1">IF(ISNA($B51),"",IF($B51="","",IFERROR(_xll.BDP(TICKER,"DEEP_MEASURE_PERIOD_BROKER_VALUE","DEEP_MEASURE_ID_OVERRIDE",$C51,"DEEP_BROKER_ID_OVERRIDE",$F$7,"DEEP_PERIOD_OVERRIDE",AJ$11)*1,"")))</f>
        <v/>
      </c>
      <c r="AK51" s="17" t="str">
        <f ca="1">IF(ISNA($B51),"",IF($B51="","",IFERROR(_xll.BDP(TICKER,"DEEP_MEASURE_PERIOD_BROKER_VALUE","DEEP_MEASURE_ID_OVERRIDE",$C51,"DEEP_BROKER_ID_OVERRIDE",$F$7,"DEEP_PERIOD_OVERRIDE",AK$11)*1,"")))</f>
        <v/>
      </c>
      <c r="AL51" s="17" t="str">
        <f ca="1">IF(ISNA($B51),"",IF($B51="","",IFERROR(_xll.BDP(TICKER,"DEEP_MEASURE_PERIOD_BROKER_VALUE","DEEP_MEASURE_ID_OVERRIDE",$C51,"DEEP_BROKER_ID_OVERRIDE",$F$7,"DEEP_PERIOD_OVERRIDE",AL$11)*1,"")))</f>
        <v/>
      </c>
      <c r="AM51" s="17" t="str">
        <f ca="1">IF(ISNA($B51),"",IF($B51="","",IFERROR(_xll.BDP(TICKER,"DEEP_MEASURE_PERIOD_BROKER_VALUE","DEEP_MEASURE_ID_OVERRIDE",$C51,"DEEP_BROKER_ID_OVERRIDE",$F$7,"DEEP_PERIOD_OVERRIDE",AM$11)*1,"")))</f>
        <v/>
      </c>
      <c r="AN51" s="17" t="str">
        <f ca="1">IF(ISNA($B51),"",IF($B51="","",IFERROR(_xll.BDP(TICKER,"DEEP_MEASURE_PERIOD_BROKER_VALUE","DEEP_MEASURE_ID_OVERRIDE",$C51,"DEEP_BROKER_ID_OVERRIDE",$F$7,"DEEP_PERIOD_OVERRIDE",AN$11)*1,"")))</f>
        <v/>
      </c>
      <c r="AO51" s="17" t="str">
        <f ca="1">IF(ISNA($B51),"",IF($B51="","",IFERROR(_xll.BDP(TICKER,"DEEP_MEASURE_PERIOD_BROKER_VALUE","DEEP_MEASURE_ID_OVERRIDE",$C51,"DEEP_BROKER_ID_OVERRIDE",$F$7,"DEEP_PERIOD_OVERRIDE",AO$11)*1,"")))</f>
        <v/>
      </c>
      <c r="AP51" s="17" t="str">
        <f ca="1">IF(ISNA($B51),"",IF($B51="","",IFERROR(_xll.BDP(TICKER,"DEEP_MEASURE_PERIOD_BROKER_VALUE","DEEP_MEASURE_ID_OVERRIDE",$C51,"DEEP_BROKER_ID_OVERRIDE",$F$7,"DEEP_PERIOD_OVERRIDE",AP$11)*1,"")))</f>
        <v/>
      </c>
      <c r="AQ51" s="17" t="str">
        <f ca="1">IF(ISNA($B51),"",IF($B51="","",IFERROR(_xll.BDP(TICKER,"DEEP_MEASURE_PERIOD_BROKER_VALUE","DEEP_MEASURE_ID_OVERRIDE",$C51,"DEEP_BROKER_ID_OVERRIDE",$F$7,"DEEP_PERIOD_OVERRIDE",AQ$11)*1,"")))</f>
        <v/>
      </c>
    </row>
    <row r="52" spans="2:43" x14ac:dyDescent="0.25">
      <c r="B52" t="s">
        <v>101</v>
      </c>
      <c r="C52" s="11">
        <v>130</v>
      </c>
      <c r="H52" t="str">
        <f t="shared" si="2"/>
        <v>Total Revenue &gt; Hotel &gt; Revenue &gt; As % of Revenue</v>
      </c>
      <c r="I52" s="17" t="str">
        <f ca="1">IF(ISNA($B52),"",IF($B52="","",IFERROR(_xll.BDP(TICKER,"DEEP_MEASURE_PERIOD_BROKER_VALUE","DEEP_MEASURE_ID_OVERRIDE",$C52,"DEEP_BROKER_ID_OVERRIDE",$F$7,"DEEP_PERIOD_OVERRIDE",I$11)*1,"")))</f>
        <v/>
      </c>
      <c r="J52" s="17" t="str">
        <f ca="1">IF(ISNA($B52),"",IF($B52="","",IFERROR(_xll.BDP(TICKER,"DEEP_MEASURE_PERIOD_BROKER_VALUE","DEEP_MEASURE_ID_OVERRIDE",$C52,"DEEP_BROKER_ID_OVERRIDE",$F$7,"DEEP_PERIOD_OVERRIDE",J$11)*1,"")))</f>
        <v/>
      </c>
      <c r="K52" s="17" t="str">
        <f ca="1">IF(ISNA($B52),"",IF($B52="","",IFERROR(_xll.BDP(TICKER,"DEEP_MEASURE_PERIOD_BROKER_VALUE","DEEP_MEASURE_ID_OVERRIDE",$C52,"DEEP_BROKER_ID_OVERRIDE",$F$7,"DEEP_PERIOD_OVERRIDE",K$11)*1,"")))</f>
        <v/>
      </c>
      <c r="L52" s="17" t="str">
        <f ca="1">IF(ISNA($B52),"",IF($B52="","",IFERROR(_xll.BDP(TICKER,"DEEP_MEASURE_PERIOD_BROKER_VALUE","DEEP_MEASURE_ID_OVERRIDE",$C52,"DEEP_BROKER_ID_OVERRIDE",$F$7,"DEEP_PERIOD_OVERRIDE",L$11)*1,"")))</f>
        <v/>
      </c>
      <c r="M52" s="17" t="str">
        <f ca="1">IF(ISNA($B52),"",IF($B52="","",IFERROR(_xll.BDP(TICKER,"DEEP_MEASURE_PERIOD_BROKER_VALUE","DEEP_MEASURE_ID_OVERRIDE",$C52,"DEEP_BROKER_ID_OVERRIDE",$F$7,"DEEP_PERIOD_OVERRIDE",M$11)*1,"")))</f>
        <v/>
      </c>
      <c r="N52" s="17" t="str">
        <f ca="1">IF(ISNA($B52),"",IF($B52="","",IFERROR(_xll.BDP(TICKER,"DEEP_MEASURE_PERIOD_BROKER_VALUE","DEEP_MEASURE_ID_OVERRIDE",$C52,"DEEP_BROKER_ID_OVERRIDE",$F$7,"DEEP_PERIOD_OVERRIDE",N$11)*1,"")))</f>
        <v/>
      </c>
      <c r="O52" s="17" t="str">
        <f ca="1">IF(ISNA($B52),"",IF($B52="","",IFERROR(_xll.BDP(TICKER,"DEEP_MEASURE_PERIOD_BROKER_VALUE","DEEP_MEASURE_ID_OVERRIDE",$C52,"DEEP_BROKER_ID_OVERRIDE",$F$7,"DEEP_PERIOD_OVERRIDE",O$11)*1,"")))</f>
        <v/>
      </c>
      <c r="P52" s="17" t="str">
        <f ca="1">IF(ISNA($B52),"",IF($B52="","",IFERROR(_xll.BDP(TICKER,"DEEP_MEASURE_PERIOD_BROKER_VALUE","DEEP_MEASURE_ID_OVERRIDE",$C52,"DEEP_BROKER_ID_OVERRIDE",$F$7,"DEEP_PERIOD_OVERRIDE",P$11)*1,"")))</f>
        <v/>
      </c>
      <c r="Q52" s="17" t="str">
        <f ca="1">IF(ISNA($B52),"",IF($B52="","",IFERROR(_xll.BDP(TICKER,"DEEP_MEASURE_PERIOD_BROKER_VALUE","DEEP_MEASURE_ID_OVERRIDE",$C52,"DEEP_BROKER_ID_OVERRIDE",$F$7,"DEEP_PERIOD_OVERRIDE",Q$11)*1,"")))</f>
        <v/>
      </c>
      <c r="R52" s="17" t="str">
        <f ca="1">IF(ISNA($B52),"",IF($B52="","",IFERROR(_xll.BDP(TICKER,"DEEP_MEASURE_PERIOD_BROKER_VALUE","DEEP_MEASURE_ID_OVERRIDE",$C52,"DEEP_BROKER_ID_OVERRIDE",$F$7,"DEEP_PERIOD_OVERRIDE",R$11)*1,"")))</f>
        <v/>
      </c>
      <c r="S52" s="17" t="str">
        <f ca="1">IF(ISNA($B52),"",IF($B52="","",IFERROR(_xll.BDP(TICKER,"DEEP_MEASURE_PERIOD_BROKER_VALUE","DEEP_MEASURE_ID_OVERRIDE",$C52,"DEEP_BROKER_ID_OVERRIDE",$F$7,"DEEP_PERIOD_OVERRIDE",S$11)*1,"")))</f>
        <v/>
      </c>
      <c r="T52" s="17" t="str">
        <f ca="1">IF(ISNA($B52),"",IF($B52="","",IFERROR(_xll.BDP(TICKER,"DEEP_MEASURE_PERIOD_BROKER_VALUE","DEEP_MEASURE_ID_OVERRIDE",$C52,"DEEP_BROKER_ID_OVERRIDE",$F$7,"DEEP_PERIOD_OVERRIDE",T$11)*1,"")))</f>
        <v/>
      </c>
      <c r="U52" s="17" t="str">
        <f ca="1">IF(ISNA($B52),"",IF($B52="","",IFERROR(_xll.BDP(TICKER,"DEEP_MEASURE_PERIOD_BROKER_VALUE","DEEP_MEASURE_ID_OVERRIDE",$C52,"DEEP_BROKER_ID_OVERRIDE",$F$7,"DEEP_PERIOD_OVERRIDE",U$11)*1,"")))</f>
        <v/>
      </c>
      <c r="V52" s="17" t="str">
        <f ca="1">IF(ISNA($B52),"",IF($B52="","",IFERROR(_xll.BDP(TICKER,"DEEP_MEASURE_PERIOD_BROKER_VALUE","DEEP_MEASURE_ID_OVERRIDE",$C52,"DEEP_BROKER_ID_OVERRIDE",$F$7,"DEEP_PERIOD_OVERRIDE",V$11)*1,"")))</f>
        <v/>
      </c>
      <c r="W52" s="17" t="str">
        <f ca="1">IF(ISNA($B52),"",IF($B52="","",IFERROR(_xll.BDP(TICKER,"DEEP_MEASURE_PERIOD_BROKER_VALUE","DEEP_MEASURE_ID_OVERRIDE",$C52,"DEEP_BROKER_ID_OVERRIDE",$F$7,"DEEP_PERIOD_OVERRIDE",W$11)*1,"")))</f>
        <v/>
      </c>
      <c r="X52" s="17" t="str">
        <f ca="1">IF(ISNA($B52),"",IF($B52="","",IFERROR(_xll.BDP(TICKER,"DEEP_MEASURE_PERIOD_BROKER_VALUE","DEEP_MEASURE_ID_OVERRIDE",$C52,"DEEP_BROKER_ID_OVERRIDE",$F$7,"DEEP_PERIOD_OVERRIDE",X$11)*1,"")))</f>
        <v/>
      </c>
      <c r="Y52" s="17" t="str">
        <f ca="1">IF(ISNA($B52),"",IF($B52="","",IFERROR(_xll.BDP(TICKER,"DEEP_MEASURE_PERIOD_BROKER_VALUE","DEEP_MEASURE_ID_OVERRIDE",$C52,"DEEP_BROKER_ID_OVERRIDE",$F$7,"DEEP_PERIOD_OVERRIDE",Y$11)*1,"")))</f>
        <v/>
      </c>
      <c r="Z52" s="17" t="str">
        <f ca="1">IF(ISNA($B52),"",IF($B52="","",IFERROR(_xll.BDP(TICKER,"DEEP_MEASURE_PERIOD_BROKER_VALUE","DEEP_MEASURE_ID_OVERRIDE",$C52,"DEEP_BROKER_ID_OVERRIDE",$F$7,"DEEP_PERIOD_OVERRIDE",Z$11)*1,"")))</f>
        <v/>
      </c>
      <c r="AA52" s="17" t="str">
        <f ca="1">IF(ISNA($B52),"",IF($B52="","",IFERROR(_xll.BDP(TICKER,"DEEP_MEASURE_PERIOD_BROKER_VALUE","DEEP_MEASURE_ID_OVERRIDE",$C52,"DEEP_BROKER_ID_OVERRIDE",$F$7,"DEEP_PERIOD_OVERRIDE",AA$11)*1,"")))</f>
        <v/>
      </c>
      <c r="AB52" s="17" t="str">
        <f ca="1">IF(ISNA($B52),"",IF($B52="","",IFERROR(_xll.BDP(TICKER,"DEEP_MEASURE_PERIOD_BROKER_VALUE","DEEP_MEASURE_ID_OVERRIDE",$C52,"DEEP_BROKER_ID_OVERRIDE",$F$7,"DEEP_PERIOD_OVERRIDE",AB$11)*1,"")))</f>
        <v/>
      </c>
      <c r="AC52" s="17" t="str">
        <f ca="1">IF(ISNA($B52),"",IF($B52="","",IFERROR(_xll.BDP(TICKER,"DEEP_MEASURE_PERIOD_BROKER_VALUE","DEEP_MEASURE_ID_OVERRIDE",$C52,"DEEP_BROKER_ID_OVERRIDE",$F$7,"DEEP_PERIOD_OVERRIDE",AC$11)*1,"")))</f>
        <v/>
      </c>
      <c r="AD52" s="17" t="str">
        <f ca="1">IF(ISNA($B52),"",IF($B52="","",IFERROR(_xll.BDP(TICKER,"DEEP_MEASURE_PERIOD_BROKER_VALUE","DEEP_MEASURE_ID_OVERRIDE",$C52,"DEEP_BROKER_ID_OVERRIDE",$F$7,"DEEP_PERIOD_OVERRIDE",AD$11)*1,"")))</f>
        <v/>
      </c>
      <c r="AE52" s="17" t="str">
        <f ca="1">IF(ISNA($B52),"",IF($B52="","",IFERROR(_xll.BDP(TICKER,"DEEP_MEASURE_PERIOD_BROKER_VALUE","DEEP_MEASURE_ID_OVERRIDE",$C52,"DEEP_BROKER_ID_OVERRIDE",$F$7,"DEEP_PERIOD_OVERRIDE",AE$11)*1,"")))</f>
        <v/>
      </c>
      <c r="AF52" s="17" t="str">
        <f ca="1">IF(ISNA($B52),"",IF($B52="","",IFERROR(_xll.BDP(TICKER,"DEEP_MEASURE_PERIOD_BROKER_VALUE","DEEP_MEASURE_ID_OVERRIDE",$C52,"DEEP_BROKER_ID_OVERRIDE",$F$7,"DEEP_PERIOD_OVERRIDE",AF$11)*1,"")))</f>
        <v/>
      </c>
      <c r="AG52" s="17" t="str">
        <f ca="1">IF(ISNA($B52),"",IF($B52="","",IFERROR(_xll.BDP(TICKER,"DEEP_MEASURE_PERIOD_BROKER_VALUE","DEEP_MEASURE_ID_OVERRIDE",$C52,"DEEP_BROKER_ID_OVERRIDE",$F$7,"DEEP_PERIOD_OVERRIDE",AG$11)*1,"")))</f>
        <v/>
      </c>
      <c r="AH52" s="17" t="str">
        <f ca="1">IF(ISNA($B52),"",IF($B52="","",IFERROR(_xll.BDP(TICKER,"DEEP_MEASURE_PERIOD_BROKER_VALUE","DEEP_MEASURE_ID_OVERRIDE",$C52,"DEEP_BROKER_ID_OVERRIDE",$F$7,"DEEP_PERIOD_OVERRIDE",AH$11)*1,"")))</f>
        <v/>
      </c>
      <c r="AI52" s="17" t="str">
        <f ca="1">IF(ISNA($B52),"",IF($B52="","",IFERROR(_xll.BDP(TICKER,"DEEP_MEASURE_PERIOD_BROKER_VALUE","DEEP_MEASURE_ID_OVERRIDE",$C52,"DEEP_BROKER_ID_OVERRIDE",$F$7,"DEEP_PERIOD_OVERRIDE",AI$11)*1,"")))</f>
        <v/>
      </c>
      <c r="AJ52" s="17" t="str">
        <f ca="1">IF(ISNA($B52),"",IF($B52="","",IFERROR(_xll.BDP(TICKER,"DEEP_MEASURE_PERIOD_BROKER_VALUE","DEEP_MEASURE_ID_OVERRIDE",$C52,"DEEP_BROKER_ID_OVERRIDE",$F$7,"DEEP_PERIOD_OVERRIDE",AJ$11)*1,"")))</f>
        <v/>
      </c>
      <c r="AK52" s="17" t="str">
        <f ca="1">IF(ISNA($B52),"",IF($B52="","",IFERROR(_xll.BDP(TICKER,"DEEP_MEASURE_PERIOD_BROKER_VALUE","DEEP_MEASURE_ID_OVERRIDE",$C52,"DEEP_BROKER_ID_OVERRIDE",$F$7,"DEEP_PERIOD_OVERRIDE",AK$11)*1,"")))</f>
        <v/>
      </c>
      <c r="AL52" s="17" t="str">
        <f ca="1">IF(ISNA($B52),"",IF($B52="","",IFERROR(_xll.BDP(TICKER,"DEEP_MEASURE_PERIOD_BROKER_VALUE","DEEP_MEASURE_ID_OVERRIDE",$C52,"DEEP_BROKER_ID_OVERRIDE",$F$7,"DEEP_PERIOD_OVERRIDE",AL$11)*1,"")))</f>
        <v/>
      </c>
      <c r="AM52" s="17" t="str">
        <f ca="1">IF(ISNA($B52),"",IF($B52="","",IFERROR(_xll.BDP(TICKER,"DEEP_MEASURE_PERIOD_BROKER_VALUE","DEEP_MEASURE_ID_OVERRIDE",$C52,"DEEP_BROKER_ID_OVERRIDE",$F$7,"DEEP_PERIOD_OVERRIDE",AM$11)*1,"")))</f>
        <v/>
      </c>
      <c r="AN52" s="17" t="str">
        <f ca="1">IF(ISNA($B52),"",IF($B52="","",IFERROR(_xll.BDP(TICKER,"DEEP_MEASURE_PERIOD_BROKER_VALUE","DEEP_MEASURE_ID_OVERRIDE",$C52,"DEEP_BROKER_ID_OVERRIDE",$F$7,"DEEP_PERIOD_OVERRIDE",AN$11)*1,"")))</f>
        <v/>
      </c>
      <c r="AO52" s="17" t="str">
        <f ca="1">IF(ISNA($B52),"",IF($B52="","",IFERROR(_xll.BDP(TICKER,"DEEP_MEASURE_PERIOD_BROKER_VALUE","DEEP_MEASURE_ID_OVERRIDE",$C52,"DEEP_BROKER_ID_OVERRIDE",$F$7,"DEEP_PERIOD_OVERRIDE",AO$11)*1,"")))</f>
        <v/>
      </c>
      <c r="AP52" s="17" t="str">
        <f ca="1">IF(ISNA($B52),"",IF($B52="","",IFERROR(_xll.BDP(TICKER,"DEEP_MEASURE_PERIOD_BROKER_VALUE","DEEP_MEASURE_ID_OVERRIDE",$C52,"DEEP_BROKER_ID_OVERRIDE",$F$7,"DEEP_PERIOD_OVERRIDE",AP$11)*1,"")))</f>
        <v/>
      </c>
      <c r="AQ52" s="17" t="str">
        <f ca="1">IF(ISNA($B52),"",IF($B52="","",IFERROR(_xll.BDP(TICKER,"DEEP_MEASURE_PERIOD_BROKER_VALUE","DEEP_MEASURE_ID_OVERRIDE",$C52,"DEEP_BROKER_ID_OVERRIDE",$F$7,"DEEP_PERIOD_OVERRIDE",AQ$11)*1,"")))</f>
        <v/>
      </c>
    </row>
    <row r="53" spans="2:43" x14ac:dyDescent="0.25">
      <c r="B53" t="s">
        <v>102</v>
      </c>
      <c r="C53" s="11">
        <v>100</v>
      </c>
      <c r="H53" t="str">
        <f t="shared" si="2"/>
        <v>Total Revenue &gt; Hotel &gt; Revenue &gt; YoY Growth (%)</v>
      </c>
      <c r="I53" s="17" t="str">
        <f ca="1">IF(ISNA($B53),"",IF($B53="","",IFERROR(_xll.BDP(TICKER,"DEEP_MEASURE_PERIOD_BROKER_VALUE","DEEP_MEASURE_ID_OVERRIDE",$C53,"DEEP_BROKER_ID_OVERRIDE",$F$7,"DEEP_PERIOD_OVERRIDE",I$11)*1,"")))</f>
        <v/>
      </c>
      <c r="J53" s="17" t="str">
        <f ca="1">IF(ISNA($B53),"",IF($B53="","",IFERROR(_xll.BDP(TICKER,"DEEP_MEASURE_PERIOD_BROKER_VALUE","DEEP_MEASURE_ID_OVERRIDE",$C53,"DEEP_BROKER_ID_OVERRIDE",$F$7,"DEEP_PERIOD_OVERRIDE",J$11)*1,"")))</f>
        <v/>
      </c>
      <c r="K53" s="17" t="str">
        <f ca="1">IF(ISNA($B53),"",IF($B53="","",IFERROR(_xll.BDP(TICKER,"DEEP_MEASURE_PERIOD_BROKER_VALUE","DEEP_MEASURE_ID_OVERRIDE",$C53,"DEEP_BROKER_ID_OVERRIDE",$F$7,"DEEP_PERIOD_OVERRIDE",K$11)*1,"")))</f>
        <v/>
      </c>
      <c r="L53" s="17" t="str">
        <f ca="1">IF(ISNA($B53),"",IF($B53="","",IFERROR(_xll.BDP(TICKER,"DEEP_MEASURE_PERIOD_BROKER_VALUE","DEEP_MEASURE_ID_OVERRIDE",$C53,"DEEP_BROKER_ID_OVERRIDE",$F$7,"DEEP_PERIOD_OVERRIDE",L$11)*1,"")))</f>
        <v/>
      </c>
      <c r="M53" s="17" t="str">
        <f ca="1">IF(ISNA($B53),"",IF($B53="","",IFERROR(_xll.BDP(TICKER,"DEEP_MEASURE_PERIOD_BROKER_VALUE","DEEP_MEASURE_ID_OVERRIDE",$C53,"DEEP_BROKER_ID_OVERRIDE",$F$7,"DEEP_PERIOD_OVERRIDE",M$11)*1,"")))</f>
        <v/>
      </c>
      <c r="N53" s="17" t="str">
        <f ca="1">IF(ISNA($B53),"",IF($B53="","",IFERROR(_xll.BDP(TICKER,"DEEP_MEASURE_PERIOD_BROKER_VALUE","DEEP_MEASURE_ID_OVERRIDE",$C53,"DEEP_BROKER_ID_OVERRIDE",$F$7,"DEEP_PERIOD_OVERRIDE",N$11)*1,"")))</f>
        <v/>
      </c>
      <c r="O53" s="17" t="str">
        <f ca="1">IF(ISNA($B53),"",IF($B53="","",IFERROR(_xll.BDP(TICKER,"DEEP_MEASURE_PERIOD_BROKER_VALUE","DEEP_MEASURE_ID_OVERRIDE",$C53,"DEEP_BROKER_ID_OVERRIDE",$F$7,"DEEP_PERIOD_OVERRIDE",O$11)*1,"")))</f>
        <v/>
      </c>
      <c r="P53" s="17" t="str">
        <f ca="1">IF(ISNA($B53),"",IF($B53="","",IFERROR(_xll.BDP(TICKER,"DEEP_MEASURE_PERIOD_BROKER_VALUE","DEEP_MEASURE_ID_OVERRIDE",$C53,"DEEP_BROKER_ID_OVERRIDE",$F$7,"DEEP_PERIOD_OVERRIDE",P$11)*1,"")))</f>
        <v/>
      </c>
      <c r="Q53" s="17" t="str">
        <f ca="1">IF(ISNA($B53),"",IF($B53="","",IFERROR(_xll.BDP(TICKER,"DEEP_MEASURE_PERIOD_BROKER_VALUE","DEEP_MEASURE_ID_OVERRIDE",$C53,"DEEP_BROKER_ID_OVERRIDE",$F$7,"DEEP_PERIOD_OVERRIDE",Q$11)*1,"")))</f>
        <v/>
      </c>
      <c r="R53" s="17" t="str">
        <f ca="1">IF(ISNA($B53),"",IF($B53="","",IFERROR(_xll.BDP(TICKER,"DEEP_MEASURE_PERIOD_BROKER_VALUE","DEEP_MEASURE_ID_OVERRIDE",$C53,"DEEP_BROKER_ID_OVERRIDE",$F$7,"DEEP_PERIOD_OVERRIDE",R$11)*1,"")))</f>
        <v/>
      </c>
      <c r="S53" s="17" t="str">
        <f ca="1">IF(ISNA($B53),"",IF($B53="","",IFERROR(_xll.BDP(TICKER,"DEEP_MEASURE_PERIOD_BROKER_VALUE","DEEP_MEASURE_ID_OVERRIDE",$C53,"DEEP_BROKER_ID_OVERRIDE",$F$7,"DEEP_PERIOD_OVERRIDE",S$11)*1,"")))</f>
        <v/>
      </c>
      <c r="T53" s="17" t="str">
        <f ca="1">IF(ISNA($B53),"",IF($B53="","",IFERROR(_xll.BDP(TICKER,"DEEP_MEASURE_PERIOD_BROKER_VALUE","DEEP_MEASURE_ID_OVERRIDE",$C53,"DEEP_BROKER_ID_OVERRIDE",$F$7,"DEEP_PERIOD_OVERRIDE",T$11)*1,"")))</f>
        <v/>
      </c>
      <c r="U53" s="17" t="str">
        <f ca="1">IF(ISNA($B53),"",IF($B53="","",IFERROR(_xll.BDP(TICKER,"DEEP_MEASURE_PERIOD_BROKER_VALUE","DEEP_MEASURE_ID_OVERRIDE",$C53,"DEEP_BROKER_ID_OVERRIDE",$F$7,"DEEP_PERIOD_OVERRIDE",U$11)*1,"")))</f>
        <v/>
      </c>
      <c r="V53" s="17" t="str">
        <f ca="1">IF(ISNA($B53),"",IF($B53="","",IFERROR(_xll.BDP(TICKER,"DEEP_MEASURE_PERIOD_BROKER_VALUE","DEEP_MEASURE_ID_OVERRIDE",$C53,"DEEP_BROKER_ID_OVERRIDE",$F$7,"DEEP_PERIOD_OVERRIDE",V$11)*1,"")))</f>
        <v/>
      </c>
      <c r="W53" s="17" t="str">
        <f ca="1">IF(ISNA($B53),"",IF($B53="","",IFERROR(_xll.BDP(TICKER,"DEEP_MEASURE_PERIOD_BROKER_VALUE","DEEP_MEASURE_ID_OVERRIDE",$C53,"DEEP_BROKER_ID_OVERRIDE",$F$7,"DEEP_PERIOD_OVERRIDE",W$11)*1,"")))</f>
        <v/>
      </c>
      <c r="X53" s="17" t="str">
        <f ca="1">IF(ISNA($B53),"",IF($B53="","",IFERROR(_xll.BDP(TICKER,"DEEP_MEASURE_PERIOD_BROKER_VALUE","DEEP_MEASURE_ID_OVERRIDE",$C53,"DEEP_BROKER_ID_OVERRIDE",$F$7,"DEEP_PERIOD_OVERRIDE",X$11)*1,"")))</f>
        <v/>
      </c>
      <c r="Y53" s="17" t="str">
        <f ca="1">IF(ISNA($B53),"",IF($B53="","",IFERROR(_xll.BDP(TICKER,"DEEP_MEASURE_PERIOD_BROKER_VALUE","DEEP_MEASURE_ID_OVERRIDE",$C53,"DEEP_BROKER_ID_OVERRIDE",$F$7,"DEEP_PERIOD_OVERRIDE",Y$11)*1,"")))</f>
        <v/>
      </c>
      <c r="Z53" s="17" t="str">
        <f ca="1">IF(ISNA($B53),"",IF($B53="","",IFERROR(_xll.BDP(TICKER,"DEEP_MEASURE_PERIOD_BROKER_VALUE","DEEP_MEASURE_ID_OVERRIDE",$C53,"DEEP_BROKER_ID_OVERRIDE",$F$7,"DEEP_PERIOD_OVERRIDE",Z$11)*1,"")))</f>
        <v/>
      </c>
      <c r="AA53" s="17" t="str">
        <f ca="1">IF(ISNA($B53),"",IF($B53="","",IFERROR(_xll.BDP(TICKER,"DEEP_MEASURE_PERIOD_BROKER_VALUE","DEEP_MEASURE_ID_OVERRIDE",$C53,"DEEP_BROKER_ID_OVERRIDE",$F$7,"DEEP_PERIOD_OVERRIDE",AA$11)*1,"")))</f>
        <v/>
      </c>
      <c r="AB53" s="17" t="str">
        <f ca="1">IF(ISNA($B53),"",IF($B53="","",IFERROR(_xll.BDP(TICKER,"DEEP_MEASURE_PERIOD_BROKER_VALUE","DEEP_MEASURE_ID_OVERRIDE",$C53,"DEEP_BROKER_ID_OVERRIDE",$F$7,"DEEP_PERIOD_OVERRIDE",AB$11)*1,"")))</f>
        <v/>
      </c>
      <c r="AC53" s="17" t="str">
        <f ca="1">IF(ISNA($B53),"",IF($B53="","",IFERROR(_xll.BDP(TICKER,"DEEP_MEASURE_PERIOD_BROKER_VALUE","DEEP_MEASURE_ID_OVERRIDE",$C53,"DEEP_BROKER_ID_OVERRIDE",$F$7,"DEEP_PERIOD_OVERRIDE",AC$11)*1,"")))</f>
        <v/>
      </c>
      <c r="AD53" s="17" t="str">
        <f ca="1">IF(ISNA($B53),"",IF($B53="","",IFERROR(_xll.BDP(TICKER,"DEEP_MEASURE_PERIOD_BROKER_VALUE","DEEP_MEASURE_ID_OVERRIDE",$C53,"DEEP_BROKER_ID_OVERRIDE",$F$7,"DEEP_PERIOD_OVERRIDE",AD$11)*1,"")))</f>
        <v/>
      </c>
      <c r="AE53" s="17" t="str">
        <f ca="1">IF(ISNA($B53),"",IF($B53="","",IFERROR(_xll.BDP(TICKER,"DEEP_MEASURE_PERIOD_BROKER_VALUE","DEEP_MEASURE_ID_OVERRIDE",$C53,"DEEP_BROKER_ID_OVERRIDE",$F$7,"DEEP_PERIOD_OVERRIDE",AE$11)*1,"")))</f>
        <v/>
      </c>
      <c r="AF53" s="17" t="str">
        <f ca="1">IF(ISNA($B53),"",IF($B53="","",IFERROR(_xll.BDP(TICKER,"DEEP_MEASURE_PERIOD_BROKER_VALUE","DEEP_MEASURE_ID_OVERRIDE",$C53,"DEEP_BROKER_ID_OVERRIDE",$F$7,"DEEP_PERIOD_OVERRIDE",AF$11)*1,"")))</f>
        <v/>
      </c>
      <c r="AG53" s="17" t="str">
        <f ca="1">IF(ISNA($B53),"",IF($B53="","",IFERROR(_xll.BDP(TICKER,"DEEP_MEASURE_PERIOD_BROKER_VALUE","DEEP_MEASURE_ID_OVERRIDE",$C53,"DEEP_BROKER_ID_OVERRIDE",$F$7,"DEEP_PERIOD_OVERRIDE",AG$11)*1,"")))</f>
        <v/>
      </c>
      <c r="AH53" s="17" t="str">
        <f ca="1">IF(ISNA($B53),"",IF($B53="","",IFERROR(_xll.BDP(TICKER,"DEEP_MEASURE_PERIOD_BROKER_VALUE","DEEP_MEASURE_ID_OVERRIDE",$C53,"DEEP_BROKER_ID_OVERRIDE",$F$7,"DEEP_PERIOD_OVERRIDE",AH$11)*1,"")))</f>
        <v/>
      </c>
      <c r="AI53" s="17" t="str">
        <f ca="1">IF(ISNA($B53),"",IF($B53="","",IFERROR(_xll.BDP(TICKER,"DEEP_MEASURE_PERIOD_BROKER_VALUE","DEEP_MEASURE_ID_OVERRIDE",$C53,"DEEP_BROKER_ID_OVERRIDE",$F$7,"DEEP_PERIOD_OVERRIDE",AI$11)*1,"")))</f>
        <v/>
      </c>
      <c r="AJ53" s="17" t="str">
        <f ca="1">IF(ISNA($B53),"",IF($B53="","",IFERROR(_xll.BDP(TICKER,"DEEP_MEASURE_PERIOD_BROKER_VALUE","DEEP_MEASURE_ID_OVERRIDE",$C53,"DEEP_BROKER_ID_OVERRIDE",$F$7,"DEEP_PERIOD_OVERRIDE",AJ$11)*1,"")))</f>
        <v/>
      </c>
      <c r="AK53" s="17" t="str">
        <f ca="1">IF(ISNA($B53),"",IF($B53="","",IFERROR(_xll.BDP(TICKER,"DEEP_MEASURE_PERIOD_BROKER_VALUE","DEEP_MEASURE_ID_OVERRIDE",$C53,"DEEP_BROKER_ID_OVERRIDE",$F$7,"DEEP_PERIOD_OVERRIDE",AK$11)*1,"")))</f>
        <v/>
      </c>
      <c r="AL53" s="17" t="str">
        <f ca="1">IF(ISNA($B53),"",IF($B53="","",IFERROR(_xll.BDP(TICKER,"DEEP_MEASURE_PERIOD_BROKER_VALUE","DEEP_MEASURE_ID_OVERRIDE",$C53,"DEEP_BROKER_ID_OVERRIDE",$F$7,"DEEP_PERIOD_OVERRIDE",AL$11)*1,"")))</f>
        <v/>
      </c>
      <c r="AM53" s="17" t="str">
        <f ca="1">IF(ISNA($B53),"",IF($B53="","",IFERROR(_xll.BDP(TICKER,"DEEP_MEASURE_PERIOD_BROKER_VALUE","DEEP_MEASURE_ID_OVERRIDE",$C53,"DEEP_BROKER_ID_OVERRIDE",$F$7,"DEEP_PERIOD_OVERRIDE",AM$11)*1,"")))</f>
        <v/>
      </c>
      <c r="AN53" s="17" t="str">
        <f ca="1">IF(ISNA($B53),"",IF($B53="","",IFERROR(_xll.BDP(TICKER,"DEEP_MEASURE_PERIOD_BROKER_VALUE","DEEP_MEASURE_ID_OVERRIDE",$C53,"DEEP_BROKER_ID_OVERRIDE",$F$7,"DEEP_PERIOD_OVERRIDE",AN$11)*1,"")))</f>
        <v/>
      </c>
      <c r="AO53" s="17" t="str">
        <f ca="1">IF(ISNA($B53),"",IF($B53="","",IFERROR(_xll.BDP(TICKER,"DEEP_MEASURE_PERIOD_BROKER_VALUE","DEEP_MEASURE_ID_OVERRIDE",$C53,"DEEP_BROKER_ID_OVERRIDE",$F$7,"DEEP_PERIOD_OVERRIDE",AO$11)*1,"")))</f>
        <v/>
      </c>
      <c r="AP53" s="17" t="str">
        <f ca="1">IF(ISNA($B53),"",IF($B53="","",IFERROR(_xll.BDP(TICKER,"DEEP_MEASURE_PERIOD_BROKER_VALUE","DEEP_MEASURE_ID_OVERRIDE",$C53,"DEEP_BROKER_ID_OVERRIDE",$F$7,"DEEP_PERIOD_OVERRIDE",AP$11)*1,"")))</f>
        <v/>
      </c>
      <c r="AQ53" s="17" t="str">
        <f ca="1">IF(ISNA($B53),"",IF($B53="","",IFERROR(_xll.BDP(TICKER,"DEEP_MEASURE_PERIOD_BROKER_VALUE","DEEP_MEASURE_ID_OVERRIDE",$C53,"DEEP_BROKER_ID_OVERRIDE",$F$7,"DEEP_PERIOD_OVERRIDE",AQ$11)*1,"")))</f>
        <v/>
      </c>
    </row>
    <row r="54" spans="2:43" x14ac:dyDescent="0.25">
      <c r="B54" t="s">
        <v>103</v>
      </c>
      <c r="C54" s="11">
        <v>9959</v>
      </c>
      <c r="H54" t="str">
        <f t="shared" si="2"/>
        <v>Total Revenue &gt; Hotel &gt; Revenue &gt; QoQ Growth (%)</v>
      </c>
      <c r="I54" s="17" t="str">
        <f ca="1">IF(ISNA($B54),"",IF($B54="","",IFERROR(_xll.BDP(TICKER,"DEEP_MEASURE_PERIOD_BROKER_VALUE","DEEP_MEASURE_ID_OVERRIDE",$C54,"DEEP_BROKER_ID_OVERRIDE",$F$7,"DEEP_PERIOD_OVERRIDE",I$11)*1,"")))</f>
        <v/>
      </c>
      <c r="J54" s="17" t="str">
        <f ca="1">IF(ISNA($B54),"",IF($B54="","",IFERROR(_xll.BDP(TICKER,"DEEP_MEASURE_PERIOD_BROKER_VALUE","DEEP_MEASURE_ID_OVERRIDE",$C54,"DEEP_BROKER_ID_OVERRIDE",$F$7,"DEEP_PERIOD_OVERRIDE",J$11)*1,"")))</f>
        <v/>
      </c>
      <c r="K54" s="17" t="str">
        <f ca="1">IF(ISNA($B54),"",IF($B54="","",IFERROR(_xll.BDP(TICKER,"DEEP_MEASURE_PERIOD_BROKER_VALUE","DEEP_MEASURE_ID_OVERRIDE",$C54,"DEEP_BROKER_ID_OVERRIDE",$F$7,"DEEP_PERIOD_OVERRIDE",K$11)*1,"")))</f>
        <v/>
      </c>
      <c r="L54" s="17" t="str">
        <f ca="1">IF(ISNA($B54),"",IF($B54="","",IFERROR(_xll.BDP(TICKER,"DEEP_MEASURE_PERIOD_BROKER_VALUE","DEEP_MEASURE_ID_OVERRIDE",$C54,"DEEP_BROKER_ID_OVERRIDE",$F$7,"DEEP_PERIOD_OVERRIDE",L$11)*1,"")))</f>
        <v/>
      </c>
      <c r="M54" s="17" t="str">
        <f ca="1">IF(ISNA($B54),"",IF($B54="","",IFERROR(_xll.BDP(TICKER,"DEEP_MEASURE_PERIOD_BROKER_VALUE","DEEP_MEASURE_ID_OVERRIDE",$C54,"DEEP_BROKER_ID_OVERRIDE",$F$7,"DEEP_PERIOD_OVERRIDE",M$11)*1,"")))</f>
        <v/>
      </c>
      <c r="N54" s="17" t="str">
        <f ca="1">IF(ISNA($B54),"",IF($B54="","",IFERROR(_xll.BDP(TICKER,"DEEP_MEASURE_PERIOD_BROKER_VALUE","DEEP_MEASURE_ID_OVERRIDE",$C54,"DEEP_BROKER_ID_OVERRIDE",$F$7,"DEEP_PERIOD_OVERRIDE",N$11)*1,"")))</f>
        <v/>
      </c>
      <c r="O54" s="17" t="str">
        <f ca="1">IF(ISNA($B54),"",IF($B54="","",IFERROR(_xll.BDP(TICKER,"DEEP_MEASURE_PERIOD_BROKER_VALUE","DEEP_MEASURE_ID_OVERRIDE",$C54,"DEEP_BROKER_ID_OVERRIDE",$F$7,"DEEP_PERIOD_OVERRIDE",O$11)*1,"")))</f>
        <v/>
      </c>
      <c r="P54" s="17" t="str">
        <f ca="1">IF(ISNA($B54),"",IF($B54="","",IFERROR(_xll.BDP(TICKER,"DEEP_MEASURE_PERIOD_BROKER_VALUE","DEEP_MEASURE_ID_OVERRIDE",$C54,"DEEP_BROKER_ID_OVERRIDE",$F$7,"DEEP_PERIOD_OVERRIDE",P$11)*1,"")))</f>
        <v/>
      </c>
      <c r="Q54" s="17" t="str">
        <f ca="1">IF(ISNA($B54),"",IF($B54="","",IFERROR(_xll.BDP(TICKER,"DEEP_MEASURE_PERIOD_BROKER_VALUE","DEEP_MEASURE_ID_OVERRIDE",$C54,"DEEP_BROKER_ID_OVERRIDE",$F$7,"DEEP_PERIOD_OVERRIDE",Q$11)*1,"")))</f>
        <v/>
      </c>
      <c r="R54" s="17" t="str">
        <f ca="1">IF(ISNA($B54),"",IF($B54="","",IFERROR(_xll.BDP(TICKER,"DEEP_MEASURE_PERIOD_BROKER_VALUE","DEEP_MEASURE_ID_OVERRIDE",$C54,"DEEP_BROKER_ID_OVERRIDE",$F$7,"DEEP_PERIOD_OVERRIDE",R$11)*1,"")))</f>
        <v/>
      </c>
      <c r="S54" s="17" t="str">
        <f ca="1">IF(ISNA($B54),"",IF($B54="","",IFERROR(_xll.BDP(TICKER,"DEEP_MEASURE_PERIOD_BROKER_VALUE","DEEP_MEASURE_ID_OVERRIDE",$C54,"DEEP_BROKER_ID_OVERRIDE",$F$7,"DEEP_PERIOD_OVERRIDE",S$11)*1,"")))</f>
        <v/>
      </c>
      <c r="T54" s="17" t="str">
        <f ca="1">IF(ISNA($B54),"",IF($B54="","",IFERROR(_xll.BDP(TICKER,"DEEP_MEASURE_PERIOD_BROKER_VALUE","DEEP_MEASURE_ID_OVERRIDE",$C54,"DEEP_BROKER_ID_OVERRIDE",$F$7,"DEEP_PERIOD_OVERRIDE",T$11)*1,"")))</f>
        <v/>
      </c>
      <c r="U54" s="17" t="str">
        <f ca="1">IF(ISNA($B54),"",IF($B54="","",IFERROR(_xll.BDP(TICKER,"DEEP_MEASURE_PERIOD_BROKER_VALUE","DEEP_MEASURE_ID_OVERRIDE",$C54,"DEEP_BROKER_ID_OVERRIDE",$F$7,"DEEP_PERIOD_OVERRIDE",U$11)*1,"")))</f>
        <v/>
      </c>
      <c r="V54" s="17" t="str">
        <f ca="1">IF(ISNA($B54),"",IF($B54="","",IFERROR(_xll.BDP(TICKER,"DEEP_MEASURE_PERIOD_BROKER_VALUE","DEEP_MEASURE_ID_OVERRIDE",$C54,"DEEP_BROKER_ID_OVERRIDE",$F$7,"DEEP_PERIOD_OVERRIDE",V$11)*1,"")))</f>
        <v/>
      </c>
      <c r="W54" s="17" t="str">
        <f ca="1">IF(ISNA($B54),"",IF($B54="","",IFERROR(_xll.BDP(TICKER,"DEEP_MEASURE_PERIOD_BROKER_VALUE","DEEP_MEASURE_ID_OVERRIDE",$C54,"DEEP_BROKER_ID_OVERRIDE",$F$7,"DEEP_PERIOD_OVERRIDE",W$11)*1,"")))</f>
        <v/>
      </c>
      <c r="X54" s="17" t="str">
        <f ca="1">IF(ISNA($B54),"",IF($B54="","",IFERROR(_xll.BDP(TICKER,"DEEP_MEASURE_PERIOD_BROKER_VALUE","DEEP_MEASURE_ID_OVERRIDE",$C54,"DEEP_BROKER_ID_OVERRIDE",$F$7,"DEEP_PERIOD_OVERRIDE",X$11)*1,"")))</f>
        <v/>
      </c>
      <c r="Y54" s="17" t="str">
        <f ca="1">IF(ISNA($B54),"",IF($B54="","",IFERROR(_xll.BDP(TICKER,"DEEP_MEASURE_PERIOD_BROKER_VALUE","DEEP_MEASURE_ID_OVERRIDE",$C54,"DEEP_BROKER_ID_OVERRIDE",$F$7,"DEEP_PERIOD_OVERRIDE",Y$11)*1,"")))</f>
        <v/>
      </c>
      <c r="Z54" s="17" t="str">
        <f ca="1">IF(ISNA($B54),"",IF($B54="","",IFERROR(_xll.BDP(TICKER,"DEEP_MEASURE_PERIOD_BROKER_VALUE","DEEP_MEASURE_ID_OVERRIDE",$C54,"DEEP_BROKER_ID_OVERRIDE",$F$7,"DEEP_PERIOD_OVERRIDE",Z$11)*1,"")))</f>
        <v/>
      </c>
      <c r="AA54" s="17" t="str">
        <f ca="1">IF(ISNA($B54),"",IF($B54="","",IFERROR(_xll.BDP(TICKER,"DEEP_MEASURE_PERIOD_BROKER_VALUE","DEEP_MEASURE_ID_OVERRIDE",$C54,"DEEP_BROKER_ID_OVERRIDE",$F$7,"DEEP_PERIOD_OVERRIDE",AA$11)*1,"")))</f>
        <v/>
      </c>
      <c r="AB54" s="17" t="str">
        <f ca="1">IF(ISNA($B54),"",IF($B54="","",IFERROR(_xll.BDP(TICKER,"DEEP_MEASURE_PERIOD_BROKER_VALUE","DEEP_MEASURE_ID_OVERRIDE",$C54,"DEEP_BROKER_ID_OVERRIDE",$F$7,"DEEP_PERIOD_OVERRIDE",AB$11)*1,"")))</f>
        <v/>
      </c>
      <c r="AC54" s="17" t="str">
        <f ca="1">IF(ISNA($B54),"",IF($B54="","",IFERROR(_xll.BDP(TICKER,"DEEP_MEASURE_PERIOD_BROKER_VALUE","DEEP_MEASURE_ID_OVERRIDE",$C54,"DEEP_BROKER_ID_OVERRIDE",$F$7,"DEEP_PERIOD_OVERRIDE",AC$11)*1,"")))</f>
        <v/>
      </c>
      <c r="AD54" s="17" t="str">
        <f ca="1">IF(ISNA($B54),"",IF($B54="","",IFERROR(_xll.BDP(TICKER,"DEEP_MEASURE_PERIOD_BROKER_VALUE","DEEP_MEASURE_ID_OVERRIDE",$C54,"DEEP_BROKER_ID_OVERRIDE",$F$7,"DEEP_PERIOD_OVERRIDE",AD$11)*1,"")))</f>
        <v/>
      </c>
      <c r="AE54" s="17" t="str">
        <f ca="1">IF(ISNA($B54),"",IF($B54="","",IFERROR(_xll.BDP(TICKER,"DEEP_MEASURE_PERIOD_BROKER_VALUE","DEEP_MEASURE_ID_OVERRIDE",$C54,"DEEP_BROKER_ID_OVERRIDE",$F$7,"DEEP_PERIOD_OVERRIDE",AE$11)*1,"")))</f>
        <v/>
      </c>
      <c r="AF54" s="17" t="str">
        <f ca="1">IF(ISNA($B54),"",IF($B54="","",IFERROR(_xll.BDP(TICKER,"DEEP_MEASURE_PERIOD_BROKER_VALUE","DEEP_MEASURE_ID_OVERRIDE",$C54,"DEEP_BROKER_ID_OVERRIDE",$F$7,"DEEP_PERIOD_OVERRIDE",AF$11)*1,"")))</f>
        <v/>
      </c>
      <c r="AG54" s="17" t="str">
        <f ca="1">IF(ISNA($B54),"",IF($B54="","",IFERROR(_xll.BDP(TICKER,"DEEP_MEASURE_PERIOD_BROKER_VALUE","DEEP_MEASURE_ID_OVERRIDE",$C54,"DEEP_BROKER_ID_OVERRIDE",$F$7,"DEEP_PERIOD_OVERRIDE",AG$11)*1,"")))</f>
        <v/>
      </c>
      <c r="AH54" s="17" t="str">
        <f ca="1">IF(ISNA($B54),"",IF($B54="","",IFERROR(_xll.BDP(TICKER,"DEEP_MEASURE_PERIOD_BROKER_VALUE","DEEP_MEASURE_ID_OVERRIDE",$C54,"DEEP_BROKER_ID_OVERRIDE",$F$7,"DEEP_PERIOD_OVERRIDE",AH$11)*1,"")))</f>
        <v/>
      </c>
      <c r="AI54" s="17" t="str">
        <f ca="1">IF(ISNA($B54),"",IF($B54="","",IFERROR(_xll.BDP(TICKER,"DEEP_MEASURE_PERIOD_BROKER_VALUE","DEEP_MEASURE_ID_OVERRIDE",$C54,"DEEP_BROKER_ID_OVERRIDE",$F$7,"DEEP_PERIOD_OVERRIDE",AI$11)*1,"")))</f>
        <v/>
      </c>
      <c r="AJ54" s="17" t="str">
        <f ca="1">IF(ISNA($B54),"",IF($B54="","",IFERROR(_xll.BDP(TICKER,"DEEP_MEASURE_PERIOD_BROKER_VALUE","DEEP_MEASURE_ID_OVERRIDE",$C54,"DEEP_BROKER_ID_OVERRIDE",$F$7,"DEEP_PERIOD_OVERRIDE",AJ$11)*1,"")))</f>
        <v/>
      </c>
      <c r="AK54" s="17" t="str">
        <f ca="1">IF(ISNA($B54),"",IF($B54="","",IFERROR(_xll.BDP(TICKER,"DEEP_MEASURE_PERIOD_BROKER_VALUE","DEEP_MEASURE_ID_OVERRIDE",$C54,"DEEP_BROKER_ID_OVERRIDE",$F$7,"DEEP_PERIOD_OVERRIDE",AK$11)*1,"")))</f>
        <v/>
      </c>
      <c r="AL54" s="17" t="str">
        <f ca="1">IF(ISNA($B54),"",IF($B54="","",IFERROR(_xll.BDP(TICKER,"DEEP_MEASURE_PERIOD_BROKER_VALUE","DEEP_MEASURE_ID_OVERRIDE",$C54,"DEEP_BROKER_ID_OVERRIDE",$F$7,"DEEP_PERIOD_OVERRIDE",AL$11)*1,"")))</f>
        <v/>
      </c>
      <c r="AM54" s="17" t="str">
        <f ca="1">IF(ISNA($B54),"",IF($B54="","",IFERROR(_xll.BDP(TICKER,"DEEP_MEASURE_PERIOD_BROKER_VALUE","DEEP_MEASURE_ID_OVERRIDE",$C54,"DEEP_BROKER_ID_OVERRIDE",$F$7,"DEEP_PERIOD_OVERRIDE",AM$11)*1,"")))</f>
        <v/>
      </c>
      <c r="AN54" s="17" t="str">
        <f ca="1">IF(ISNA($B54),"",IF($B54="","",IFERROR(_xll.BDP(TICKER,"DEEP_MEASURE_PERIOD_BROKER_VALUE","DEEP_MEASURE_ID_OVERRIDE",$C54,"DEEP_BROKER_ID_OVERRIDE",$F$7,"DEEP_PERIOD_OVERRIDE",AN$11)*1,"")))</f>
        <v/>
      </c>
      <c r="AO54" s="17" t="str">
        <f ca="1">IF(ISNA($B54),"",IF($B54="","",IFERROR(_xll.BDP(TICKER,"DEEP_MEASURE_PERIOD_BROKER_VALUE","DEEP_MEASURE_ID_OVERRIDE",$C54,"DEEP_BROKER_ID_OVERRIDE",$F$7,"DEEP_PERIOD_OVERRIDE",AO$11)*1,"")))</f>
        <v/>
      </c>
      <c r="AP54" s="17" t="str">
        <f ca="1">IF(ISNA($B54),"",IF($B54="","",IFERROR(_xll.BDP(TICKER,"DEEP_MEASURE_PERIOD_BROKER_VALUE","DEEP_MEASURE_ID_OVERRIDE",$C54,"DEEP_BROKER_ID_OVERRIDE",$F$7,"DEEP_PERIOD_OVERRIDE",AP$11)*1,"")))</f>
        <v/>
      </c>
      <c r="AQ54" s="17" t="str">
        <f ca="1">IF(ISNA($B54),"",IF($B54="","",IFERROR(_xll.BDP(TICKER,"DEEP_MEASURE_PERIOD_BROKER_VALUE","DEEP_MEASURE_ID_OVERRIDE",$C54,"DEEP_BROKER_ID_OVERRIDE",$F$7,"DEEP_PERIOD_OVERRIDE",AQ$11)*1,"")))</f>
        <v/>
      </c>
    </row>
    <row r="55" spans="2:43" x14ac:dyDescent="0.25">
      <c r="B55" t="s">
        <v>104</v>
      </c>
      <c r="C55" s="11">
        <v>2827</v>
      </c>
      <c r="H55" t="str">
        <f t="shared" si="2"/>
        <v>Total Revenue &gt; Hotel &gt; Revenue &gt; TripAdvisor-branded Click-based &amp; Transaction</v>
      </c>
      <c r="I55" s="17" t="str">
        <f ca="1">IF(ISNA($B55),"",IF($B55="","",IFERROR(_xll.BDP(TICKER,"DEEP_MEASURE_PERIOD_BROKER_VALUE","DEEP_MEASURE_ID_OVERRIDE",$C55,"DEEP_BROKER_ID_OVERRIDE",$F$7,"DEEP_PERIOD_OVERRIDE",I$11)*1,"")))</f>
        <v/>
      </c>
      <c r="J55" s="17" t="str">
        <f ca="1">IF(ISNA($B55),"",IF($B55="","",IFERROR(_xll.BDP(TICKER,"DEEP_MEASURE_PERIOD_BROKER_VALUE","DEEP_MEASURE_ID_OVERRIDE",$C55,"DEEP_BROKER_ID_OVERRIDE",$F$7,"DEEP_PERIOD_OVERRIDE",J$11)*1,"")))</f>
        <v/>
      </c>
      <c r="K55" s="17" t="str">
        <f ca="1">IF(ISNA($B55),"",IF($B55="","",IFERROR(_xll.BDP(TICKER,"DEEP_MEASURE_PERIOD_BROKER_VALUE","DEEP_MEASURE_ID_OVERRIDE",$C55,"DEEP_BROKER_ID_OVERRIDE",$F$7,"DEEP_PERIOD_OVERRIDE",K$11)*1,"")))</f>
        <v/>
      </c>
      <c r="L55" s="17" t="str">
        <f ca="1">IF(ISNA($B55),"",IF($B55="","",IFERROR(_xll.BDP(TICKER,"DEEP_MEASURE_PERIOD_BROKER_VALUE","DEEP_MEASURE_ID_OVERRIDE",$C55,"DEEP_BROKER_ID_OVERRIDE",$F$7,"DEEP_PERIOD_OVERRIDE",L$11)*1,"")))</f>
        <v/>
      </c>
      <c r="M55" s="17" t="str">
        <f ca="1">IF(ISNA($B55),"",IF($B55="","",IFERROR(_xll.BDP(TICKER,"DEEP_MEASURE_PERIOD_BROKER_VALUE","DEEP_MEASURE_ID_OVERRIDE",$C55,"DEEP_BROKER_ID_OVERRIDE",$F$7,"DEEP_PERIOD_OVERRIDE",M$11)*1,"")))</f>
        <v/>
      </c>
      <c r="N55" s="17" t="str">
        <f ca="1">IF(ISNA($B55),"",IF($B55="","",IFERROR(_xll.BDP(TICKER,"DEEP_MEASURE_PERIOD_BROKER_VALUE","DEEP_MEASURE_ID_OVERRIDE",$C55,"DEEP_BROKER_ID_OVERRIDE",$F$7,"DEEP_PERIOD_OVERRIDE",N$11)*1,"")))</f>
        <v/>
      </c>
      <c r="O55" s="17" t="str">
        <f ca="1">IF(ISNA($B55),"",IF($B55="","",IFERROR(_xll.BDP(TICKER,"DEEP_MEASURE_PERIOD_BROKER_VALUE","DEEP_MEASURE_ID_OVERRIDE",$C55,"DEEP_BROKER_ID_OVERRIDE",$F$7,"DEEP_PERIOD_OVERRIDE",O$11)*1,"")))</f>
        <v/>
      </c>
      <c r="P55" s="17" t="str">
        <f ca="1">IF(ISNA($B55),"",IF($B55="","",IFERROR(_xll.BDP(TICKER,"DEEP_MEASURE_PERIOD_BROKER_VALUE","DEEP_MEASURE_ID_OVERRIDE",$C55,"DEEP_BROKER_ID_OVERRIDE",$F$7,"DEEP_PERIOD_OVERRIDE",P$11)*1,"")))</f>
        <v/>
      </c>
      <c r="Q55" s="17" t="str">
        <f ca="1">IF(ISNA($B55),"",IF($B55="","",IFERROR(_xll.BDP(TICKER,"DEEP_MEASURE_PERIOD_BROKER_VALUE","DEEP_MEASURE_ID_OVERRIDE",$C55,"DEEP_BROKER_ID_OVERRIDE",$F$7,"DEEP_PERIOD_OVERRIDE",Q$11)*1,"")))</f>
        <v/>
      </c>
      <c r="R55" s="17" t="str">
        <f ca="1">IF(ISNA($B55),"",IF($B55="","",IFERROR(_xll.BDP(TICKER,"DEEP_MEASURE_PERIOD_BROKER_VALUE","DEEP_MEASURE_ID_OVERRIDE",$C55,"DEEP_BROKER_ID_OVERRIDE",$F$7,"DEEP_PERIOD_OVERRIDE",R$11)*1,"")))</f>
        <v/>
      </c>
      <c r="S55" s="17" t="str">
        <f ca="1">IF(ISNA($B55),"",IF($B55="","",IFERROR(_xll.BDP(TICKER,"DEEP_MEASURE_PERIOD_BROKER_VALUE","DEEP_MEASURE_ID_OVERRIDE",$C55,"DEEP_BROKER_ID_OVERRIDE",$F$7,"DEEP_PERIOD_OVERRIDE",S$11)*1,"")))</f>
        <v/>
      </c>
      <c r="T55" s="17" t="str">
        <f ca="1">IF(ISNA($B55),"",IF($B55="","",IFERROR(_xll.BDP(TICKER,"DEEP_MEASURE_PERIOD_BROKER_VALUE","DEEP_MEASURE_ID_OVERRIDE",$C55,"DEEP_BROKER_ID_OVERRIDE",$F$7,"DEEP_PERIOD_OVERRIDE",T$11)*1,"")))</f>
        <v/>
      </c>
      <c r="U55" s="17" t="str">
        <f ca="1">IF(ISNA($B55),"",IF($B55="","",IFERROR(_xll.BDP(TICKER,"DEEP_MEASURE_PERIOD_BROKER_VALUE","DEEP_MEASURE_ID_OVERRIDE",$C55,"DEEP_BROKER_ID_OVERRIDE",$F$7,"DEEP_PERIOD_OVERRIDE",U$11)*1,"")))</f>
        <v/>
      </c>
      <c r="V55" s="17" t="str">
        <f ca="1">IF(ISNA($B55),"",IF($B55="","",IFERROR(_xll.BDP(TICKER,"DEEP_MEASURE_PERIOD_BROKER_VALUE","DEEP_MEASURE_ID_OVERRIDE",$C55,"DEEP_BROKER_ID_OVERRIDE",$F$7,"DEEP_PERIOD_OVERRIDE",V$11)*1,"")))</f>
        <v/>
      </c>
      <c r="W55" s="17" t="str">
        <f ca="1">IF(ISNA($B55),"",IF($B55="","",IFERROR(_xll.BDP(TICKER,"DEEP_MEASURE_PERIOD_BROKER_VALUE","DEEP_MEASURE_ID_OVERRIDE",$C55,"DEEP_BROKER_ID_OVERRIDE",$F$7,"DEEP_PERIOD_OVERRIDE",W$11)*1,"")))</f>
        <v/>
      </c>
      <c r="X55" s="17" t="str">
        <f ca="1">IF(ISNA($B55),"",IF($B55="","",IFERROR(_xll.BDP(TICKER,"DEEP_MEASURE_PERIOD_BROKER_VALUE","DEEP_MEASURE_ID_OVERRIDE",$C55,"DEEP_BROKER_ID_OVERRIDE",$F$7,"DEEP_PERIOD_OVERRIDE",X$11)*1,"")))</f>
        <v/>
      </c>
      <c r="Y55" s="17" t="str">
        <f ca="1">IF(ISNA($B55),"",IF($B55="","",IFERROR(_xll.BDP(TICKER,"DEEP_MEASURE_PERIOD_BROKER_VALUE","DEEP_MEASURE_ID_OVERRIDE",$C55,"DEEP_BROKER_ID_OVERRIDE",$F$7,"DEEP_PERIOD_OVERRIDE",Y$11)*1,"")))</f>
        <v/>
      </c>
      <c r="Z55" s="17" t="str">
        <f ca="1">IF(ISNA($B55),"",IF($B55="","",IFERROR(_xll.BDP(TICKER,"DEEP_MEASURE_PERIOD_BROKER_VALUE","DEEP_MEASURE_ID_OVERRIDE",$C55,"DEEP_BROKER_ID_OVERRIDE",$F$7,"DEEP_PERIOD_OVERRIDE",Z$11)*1,"")))</f>
        <v/>
      </c>
      <c r="AA55" s="17" t="str">
        <f ca="1">IF(ISNA($B55),"",IF($B55="","",IFERROR(_xll.BDP(TICKER,"DEEP_MEASURE_PERIOD_BROKER_VALUE","DEEP_MEASURE_ID_OVERRIDE",$C55,"DEEP_BROKER_ID_OVERRIDE",$F$7,"DEEP_PERIOD_OVERRIDE",AA$11)*1,"")))</f>
        <v/>
      </c>
      <c r="AB55" s="17" t="str">
        <f ca="1">IF(ISNA($B55),"",IF($B55="","",IFERROR(_xll.BDP(TICKER,"DEEP_MEASURE_PERIOD_BROKER_VALUE","DEEP_MEASURE_ID_OVERRIDE",$C55,"DEEP_BROKER_ID_OVERRIDE",$F$7,"DEEP_PERIOD_OVERRIDE",AB$11)*1,"")))</f>
        <v/>
      </c>
      <c r="AC55" s="17" t="str">
        <f ca="1">IF(ISNA($B55),"",IF($B55="","",IFERROR(_xll.BDP(TICKER,"DEEP_MEASURE_PERIOD_BROKER_VALUE","DEEP_MEASURE_ID_OVERRIDE",$C55,"DEEP_BROKER_ID_OVERRIDE",$F$7,"DEEP_PERIOD_OVERRIDE",AC$11)*1,"")))</f>
        <v/>
      </c>
      <c r="AD55" s="17" t="str">
        <f ca="1">IF(ISNA($B55),"",IF($B55="","",IFERROR(_xll.BDP(TICKER,"DEEP_MEASURE_PERIOD_BROKER_VALUE","DEEP_MEASURE_ID_OVERRIDE",$C55,"DEEP_BROKER_ID_OVERRIDE",$F$7,"DEEP_PERIOD_OVERRIDE",AD$11)*1,"")))</f>
        <v/>
      </c>
      <c r="AE55" s="17" t="str">
        <f ca="1">IF(ISNA($B55),"",IF($B55="","",IFERROR(_xll.BDP(TICKER,"DEEP_MEASURE_PERIOD_BROKER_VALUE","DEEP_MEASURE_ID_OVERRIDE",$C55,"DEEP_BROKER_ID_OVERRIDE",$F$7,"DEEP_PERIOD_OVERRIDE",AE$11)*1,"")))</f>
        <v/>
      </c>
      <c r="AF55" s="17" t="str">
        <f ca="1">IF(ISNA($B55),"",IF($B55="","",IFERROR(_xll.BDP(TICKER,"DEEP_MEASURE_PERIOD_BROKER_VALUE","DEEP_MEASURE_ID_OVERRIDE",$C55,"DEEP_BROKER_ID_OVERRIDE",$F$7,"DEEP_PERIOD_OVERRIDE",AF$11)*1,"")))</f>
        <v/>
      </c>
      <c r="AG55" s="17" t="str">
        <f ca="1">IF(ISNA($B55),"",IF($B55="","",IFERROR(_xll.BDP(TICKER,"DEEP_MEASURE_PERIOD_BROKER_VALUE","DEEP_MEASURE_ID_OVERRIDE",$C55,"DEEP_BROKER_ID_OVERRIDE",$F$7,"DEEP_PERIOD_OVERRIDE",AG$11)*1,"")))</f>
        <v/>
      </c>
      <c r="AH55" s="17" t="str">
        <f ca="1">IF(ISNA($B55),"",IF($B55="","",IFERROR(_xll.BDP(TICKER,"DEEP_MEASURE_PERIOD_BROKER_VALUE","DEEP_MEASURE_ID_OVERRIDE",$C55,"DEEP_BROKER_ID_OVERRIDE",$F$7,"DEEP_PERIOD_OVERRIDE",AH$11)*1,"")))</f>
        <v/>
      </c>
      <c r="AI55" s="17" t="str">
        <f ca="1">IF(ISNA($B55),"",IF($B55="","",IFERROR(_xll.BDP(TICKER,"DEEP_MEASURE_PERIOD_BROKER_VALUE","DEEP_MEASURE_ID_OVERRIDE",$C55,"DEEP_BROKER_ID_OVERRIDE",$F$7,"DEEP_PERIOD_OVERRIDE",AI$11)*1,"")))</f>
        <v/>
      </c>
      <c r="AJ55" s="17" t="str">
        <f ca="1">IF(ISNA($B55),"",IF($B55="","",IFERROR(_xll.BDP(TICKER,"DEEP_MEASURE_PERIOD_BROKER_VALUE","DEEP_MEASURE_ID_OVERRIDE",$C55,"DEEP_BROKER_ID_OVERRIDE",$F$7,"DEEP_PERIOD_OVERRIDE",AJ$11)*1,"")))</f>
        <v/>
      </c>
      <c r="AK55" s="17" t="str">
        <f ca="1">IF(ISNA($B55),"",IF($B55="","",IFERROR(_xll.BDP(TICKER,"DEEP_MEASURE_PERIOD_BROKER_VALUE","DEEP_MEASURE_ID_OVERRIDE",$C55,"DEEP_BROKER_ID_OVERRIDE",$F$7,"DEEP_PERIOD_OVERRIDE",AK$11)*1,"")))</f>
        <v/>
      </c>
      <c r="AL55" s="17" t="str">
        <f ca="1">IF(ISNA($B55),"",IF($B55="","",IFERROR(_xll.BDP(TICKER,"DEEP_MEASURE_PERIOD_BROKER_VALUE","DEEP_MEASURE_ID_OVERRIDE",$C55,"DEEP_BROKER_ID_OVERRIDE",$F$7,"DEEP_PERIOD_OVERRIDE",AL$11)*1,"")))</f>
        <v/>
      </c>
      <c r="AM55" s="17" t="str">
        <f ca="1">IF(ISNA($B55),"",IF($B55="","",IFERROR(_xll.BDP(TICKER,"DEEP_MEASURE_PERIOD_BROKER_VALUE","DEEP_MEASURE_ID_OVERRIDE",$C55,"DEEP_BROKER_ID_OVERRIDE",$F$7,"DEEP_PERIOD_OVERRIDE",AM$11)*1,"")))</f>
        <v/>
      </c>
      <c r="AN55" s="17" t="str">
        <f ca="1">IF(ISNA($B55),"",IF($B55="","",IFERROR(_xll.BDP(TICKER,"DEEP_MEASURE_PERIOD_BROKER_VALUE","DEEP_MEASURE_ID_OVERRIDE",$C55,"DEEP_BROKER_ID_OVERRIDE",$F$7,"DEEP_PERIOD_OVERRIDE",AN$11)*1,"")))</f>
        <v/>
      </c>
      <c r="AO55" s="17" t="str">
        <f ca="1">IF(ISNA($B55),"",IF($B55="","",IFERROR(_xll.BDP(TICKER,"DEEP_MEASURE_PERIOD_BROKER_VALUE","DEEP_MEASURE_ID_OVERRIDE",$C55,"DEEP_BROKER_ID_OVERRIDE",$F$7,"DEEP_PERIOD_OVERRIDE",AO$11)*1,"")))</f>
        <v/>
      </c>
      <c r="AP55" s="17" t="str">
        <f ca="1">IF(ISNA($B55),"",IF($B55="","",IFERROR(_xll.BDP(TICKER,"DEEP_MEASURE_PERIOD_BROKER_VALUE","DEEP_MEASURE_ID_OVERRIDE",$C55,"DEEP_BROKER_ID_OVERRIDE",$F$7,"DEEP_PERIOD_OVERRIDE",AP$11)*1,"")))</f>
        <v/>
      </c>
      <c r="AQ55" s="17" t="str">
        <f ca="1">IF(ISNA($B55),"",IF($B55="","",IFERROR(_xll.BDP(TICKER,"DEEP_MEASURE_PERIOD_BROKER_VALUE","DEEP_MEASURE_ID_OVERRIDE",$C55,"DEEP_BROKER_ID_OVERRIDE",$F$7,"DEEP_PERIOD_OVERRIDE",AQ$11)*1,"")))</f>
        <v/>
      </c>
    </row>
    <row r="56" spans="2:43" x14ac:dyDescent="0.25">
      <c r="B56" t="s">
        <v>105</v>
      </c>
      <c r="C56" s="11">
        <v>1936</v>
      </c>
      <c r="H56" t="str">
        <f t="shared" si="2"/>
        <v>Total Revenue &gt; Hotel &gt; Revenue &gt; TripAdvisor-branded Click-based &amp; Transaction &gt; As % of Revenue</v>
      </c>
      <c r="I56" s="17" t="str">
        <f ca="1">IF(ISNA($B56),"",IF($B56="","",IFERROR(_xll.BDP(TICKER,"DEEP_MEASURE_PERIOD_BROKER_VALUE","DEEP_MEASURE_ID_OVERRIDE",$C56,"DEEP_BROKER_ID_OVERRIDE",$F$7,"DEEP_PERIOD_OVERRIDE",I$11)*1,"")))</f>
        <v/>
      </c>
      <c r="J56" s="17" t="str">
        <f ca="1">IF(ISNA($B56),"",IF($B56="","",IFERROR(_xll.BDP(TICKER,"DEEP_MEASURE_PERIOD_BROKER_VALUE","DEEP_MEASURE_ID_OVERRIDE",$C56,"DEEP_BROKER_ID_OVERRIDE",$F$7,"DEEP_PERIOD_OVERRIDE",J$11)*1,"")))</f>
        <v/>
      </c>
      <c r="K56" s="17" t="str">
        <f ca="1">IF(ISNA($B56),"",IF($B56="","",IFERROR(_xll.BDP(TICKER,"DEEP_MEASURE_PERIOD_BROKER_VALUE","DEEP_MEASURE_ID_OVERRIDE",$C56,"DEEP_BROKER_ID_OVERRIDE",$F$7,"DEEP_PERIOD_OVERRIDE",K$11)*1,"")))</f>
        <v/>
      </c>
      <c r="L56" s="17" t="str">
        <f ca="1">IF(ISNA($B56),"",IF($B56="","",IFERROR(_xll.BDP(TICKER,"DEEP_MEASURE_PERIOD_BROKER_VALUE","DEEP_MEASURE_ID_OVERRIDE",$C56,"DEEP_BROKER_ID_OVERRIDE",$F$7,"DEEP_PERIOD_OVERRIDE",L$11)*1,"")))</f>
        <v/>
      </c>
      <c r="M56" s="17" t="str">
        <f ca="1">IF(ISNA($B56),"",IF($B56="","",IFERROR(_xll.BDP(TICKER,"DEEP_MEASURE_PERIOD_BROKER_VALUE","DEEP_MEASURE_ID_OVERRIDE",$C56,"DEEP_BROKER_ID_OVERRIDE",$F$7,"DEEP_PERIOD_OVERRIDE",M$11)*1,"")))</f>
        <v/>
      </c>
      <c r="N56" s="17" t="str">
        <f ca="1">IF(ISNA($B56),"",IF($B56="","",IFERROR(_xll.BDP(TICKER,"DEEP_MEASURE_PERIOD_BROKER_VALUE","DEEP_MEASURE_ID_OVERRIDE",$C56,"DEEP_BROKER_ID_OVERRIDE",$F$7,"DEEP_PERIOD_OVERRIDE",N$11)*1,"")))</f>
        <v/>
      </c>
      <c r="O56" s="17" t="str">
        <f ca="1">IF(ISNA($B56),"",IF($B56="","",IFERROR(_xll.BDP(TICKER,"DEEP_MEASURE_PERIOD_BROKER_VALUE","DEEP_MEASURE_ID_OVERRIDE",$C56,"DEEP_BROKER_ID_OVERRIDE",$F$7,"DEEP_PERIOD_OVERRIDE",O$11)*1,"")))</f>
        <v/>
      </c>
      <c r="P56" s="17" t="str">
        <f ca="1">IF(ISNA($B56),"",IF($B56="","",IFERROR(_xll.BDP(TICKER,"DEEP_MEASURE_PERIOD_BROKER_VALUE","DEEP_MEASURE_ID_OVERRIDE",$C56,"DEEP_BROKER_ID_OVERRIDE",$F$7,"DEEP_PERIOD_OVERRIDE",P$11)*1,"")))</f>
        <v/>
      </c>
      <c r="Q56" s="17" t="str">
        <f ca="1">IF(ISNA($B56),"",IF($B56="","",IFERROR(_xll.BDP(TICKER,"DEEP_MEASURE_PERIOD_BROKER_VALUE","DEEP_MEASURE_ID_OVERRIDE",$C56,"DEEP_BROKER_ID_OVERRIDE",$F$7,"DEEP_PERIOD_OVERRIDE",Q$11)*1,"")))</f>
        <v/>
      </c>
      <c r="R56" s="17" t="str">
        <f ca="1">IF(ISNA($B56),"",IF($B56="","",IFERROR(_xll.BDP(TICKER,"DEEP_MEASURE_PERIOD_BROKER_VALUE","DEEP_MEASURE_ID_OVERRIDE",$C56,"DEEP_BROKER_ID_OVERRIDE",$F$7,"DEEP_PERIOD_OVERRIDE",R$11)*1,"")))</f>
        <v/>
      </c>
      <c r="S56" s="17" t="str">
        <f ca="1">IF(ISNA($B56),"",IF($B56="","",IFERROR(_xll.BDP(TICKER,"DEEP_MEASURE_PERIOD_BROKER_VALUE","DEEP_MEASURE_ID_OVERRIDE",$C56,"DEEP_BROKER_ID_OVERRIDE",$F$7,"DEEP_PERIOD_OVERRIDE",S$11)*1,"")))</f>
        <v/>
      </c>
      <c r="T56" s="17" t="str">
        <f ca="1">IF(ISNA($B56),"",IF($B56="","",IFERROR(_xll.BDP(TICKER,"DEEP_MEASURE_PERIOD_BROKER_VALUE","DEEP_MEASURE_ID_OVERRIDE",$C56,"DEEP_BROKER_ID_OVERRIDE",$F$7,"DEEP_PERIOD_OVERRIDE",T$11)*1,"")))</f>
        <v/>
      </c>
      <c r="U56" s="17" t="str">
        <f ca="1">IF(ISNA($B56),"",IF($B56="","",IFERROR(_xll.BDP(TICKER,"DEEP_MEASURE_PERIOD_BROKER_VALUE","DEEP_MEASURE_ID_OVERRIDE",$C56,"DEEP_BROKER_ID_OVERRIDE",$F$7,"DEEP_PERIOD_OVERRIDE",U$11)*1,"")))</f>
        <v/>
      </c>
      <c r="V56" s="17" t="str">
        <f ca="1">IF(ISNA($B56),"",IF($B56="","",IFERROR(_xll.BDP(TICKER,"DEEP_MEASURE_PERIOD_BROKER_VALUE","DEEP_MEASURE_ID_OVERRIDE",$C56,"DEEP_BROKER_ID_OVERRIDE",$F$7,"DEEP_PERIOD_OVERRIDE",V$11)*1,"")))</f>
        <v/>
      </c>
      <c r="W56" s="17" t="str">
        <f ca="1">IF(ISNA($B56),"",IF($B56="","",IFERROR(_xll.BDP(TICKER,"DEEP_MEASURE_PERIOD_BROKER_VALUE","DEEP_MEASURE_ID_OVERRIDE",$C56,"DEEP_BROKER_ID_OVERRIDE",$F$7,"DEEP_PERIOD_OVERRIDE",W$11)*1,"")))</f>
        <v/>
      </c>
      <c r="X56" s="17" t="str">
        <f ca="1">IF(ISNA($B56),"",IF($B56="","",IFERROR(_xll.BDP(TICKER,"DEEP_MEASURE_PERIOD_BROKER_VALUE","DEEP_MEASURE_ID_OVERRIDE",$C56,"DEEP_BROKER_ID_OVERRIDE",$F$7,"DEEP_PERIOD_OVERRIDE",X$11)*1,"")))</f>
        <v/>
      </c>
      <c r="Y56" s="17" t="str">
        <f ca="1">IF(ISNA($B56),"",IF($B56="","",IFERROR(_xll.BDP(TICKER,"DEEP_MEASURE_PERIOD_BROKER_VALUE","DEEP_MEASURE_ID_OVERRIDE",$C56,"DEEP_BROKER_ID_OVERRIDE",$F$7,"DEEP_PERIOD_OVERRIDE",Y$11)*1,"")))</f>
        <v/>
      </c>
      <c r="Z56" s="17" t="str">
        <f ca="1">IF(ISNA($B56),"",IF($B56="","",IFERROR(_xll.BDP(TICKER,"DEEP_MEASURE_PERIOD_BROKER_VALUE","DEEP_MEASURE_ID_OVERRIDE",$C56,"DEEP_BROKER_ID_OVERRIDE",$F$7,"DEEP_PERIOD_OVERRIDE",Z$11)*1,"")))</f>
        <v/>
      </c>
      <c r="AA56" s="17" t="str">
        <f ca="1">IF(ISNA($B56),"",IF($B56="","",IFERROR(_xll.BDP(TICKER,"DEEP_MEASURE_PERIOD_BROKER_VALUE","DEEP_MEASURE_ID_OVERRIDE",$C56,"DEEP_BROKER_ID_OVERRIDE",$F$7,"DEEP_PERIOD_OVERRIDE",AA$11)*1,"")))</f>
        <v/>
      </c>
      <c r="AB56" s="17" t="str">
        <f ca="1">IF(ISNA($B56),"",IF($B56="","",IFERROR(_xll.BDP(TICKER,"DEEP_MEASURE_PERIOD_BROKER_VALUE","DEEP_MEASURE_ID_OVERRIDE",$C56,"DEEP_BROKER_ID_OVERRIDE",$F$7,"DEEP_PERIOD_OVERRIDE",AB$11)*1,"")))</f>
        <v/>
      </c>
      <c r="AC56" s="17" t="str">
        <f ca="1">IF(ISNA($B56),"",IF($B56="","",IFERROR(_xll.BDP(TICKER,"DEEP_MEASURE_PERIOD_BROKER_VALUE","DEEP_MEASURE_ID_OVERRIDE",$C56,"DEEP_BROKER_ID_OVERRIDE",$F$7,"DEEP_PERIOD_OVERRIDE",AC$11)*1,"")))</f>
        <v/>
      </c>
      <c r="AD56" s="17" t="str">
        <f ca="1">IF(ISNA($B56),"",IF($B56="","",IFERROR(_xll.BDP(TICKER,"DEEP_MEASURE_PERIOD_BROKER_VALUE","DEEP_MEASURE_ID_OVERRIDE",$C56,"DEEP_BROKER_ID_OVERRIDE",$F$7,"DEEP_PERIOD_OVERRIDE",AD$11)*1,"")))</f>
        <v/>
      </c>
      <c r="AE56" s="17" t="str">
        <f ca="1">IF(ISNA($B56),"",IF($B56="","",IFERROR(_xll.BDP(TICKER,"DEEP_MEASURE_PERIOD_BROKER_VALUE","DEEP_MEASURE_ID_OVERRIDE",$C56,"DEEP_BROKER_ID_OVERRIDE",$F$7,"DEEP_PERIOD_OVERRIDE",AE$11)*1,"")))</f>
        <v/>
      </c>
      <c r="AF56" s="17" t="str">
        <f ca="1">IF(ISNA($B56),"",IF($B56="","",IFERROR(_xll.BDP(TICKER,"DEEP_MEASURE_PERIOD_BROKER_VALUE","DEEP_MEASURE_ID_OVERRIDE",$C56,"DEEP_BROKER_ID_OVERRIDE",$F$7,"DEEP_PERIOD_OVERRIDE",AF$11)*1,"")))</f>
        <v/>
      </c>
      <c r="AG56" s="17" t="str">
        <f ca="1">IF(ISNA($B56),"",IF($B56="","",IFERROR(_xll.BDP(TICKER,"DEEP_MEASURE_PERIOD_BROKER_VALUE","DEEP_MEASURE_ID_OVERRIDE",$C56,"DEEP_BROKER_ID_OVERRIDE",$F$7,"DEEP_PERIOD_OVERRIDE",AG$11)*1,"")))</f>
        <v/>
      </c>
      <c r="AH56" s="17" t="str">
        <f ca="1">IF(ISNA($B56),"",IF($B56="","",IFERROR(_xll.BDP(TICKER,"DEEP_MEASURE_PERIOD_BROKER_VALUE","DEEP_MEASURE_ID_OVERRIDE",$C56,"DEEP_BROKER_ID_OVERRIDE",$F$7,"DEEP_PERIOD_OVERRIDE",AH$11)*1,"")))</f>
        <v/>
      </c>
      <c r="AI56" s="17" t="str">
        <f ca="1">IF(ISNA($B56),"",IF($B56="","",IFERROR(_xll.BDP(TICKER,"DEEP_MEASURE_PERIOD_BROKER_VALUE","DEEP_MEASURE_ID_OVERRIDE",$C56,"DEEP_BROKER_ID_OVERRIDE",$F$7,"DEEP_PERIOD_OVERRIDE",AI$11)*1,"")))</f>
        <v/>
      </c>
      <c r="AJ56" s="17" t="str">
        <f ca="1">IF(ISNA($B56),"",IF($B56="","",IFERROR(_xll.BDP(TICKER,"DEEP_MEASURE_PERIOD_BROKER_VALUE","DEEP_MEASURE_ID_OVERRIDE",$C56,"DEEP_BROKER_ID_OVERRIDE",$F$7,"DEEP_PERIOD_OVERRIDE",AJ$11)*1,"")))</f>
        <v/>
      </c>
      <c r="AK56" s="17" t="str">
        <f ca="1">IF(ISNA($B56),"",IF($B56="","",IFERROR(_xll.BDP(TICKER,"DEEP_MEASURE_PERIOD_BROKER_VALUE","DEEP_MEASURE_ID_OVERRIDE",$C56,"DEEP_BROKER_ID_OVERRIDE",$F$7,"DEEP_PERIOD_OVERRIDE",AK$11)*1,"")))</f>
        <v/>
      </c>
      <c r="AL56" s="17" t="str">
        <f ca="1">IF(ISNA($B56),"",IF($B56="","",IFERROR(_xll.BDP(TICKER,"DEEP_MEASURE_PERIOD_BROKER_VALUE","DEEP_MEASURE_ID_OVERRIDE",$C56,"DEEP_BROKER_ID_OVERRIDE",$F$7,"DEEP_PERIOD_OVERRIDE",AL$11)*1,"")))</f>
        <v/>
      </c>
      <c r="AM56" s="17" t="str">
        <f ca="1">IF(ISNA($B56),"",IF($B56="","",IFERROR(_xll.BDP(TICKER,"DEEP_MEASURE_PERIOD_BROKER_VALUE","DEEP_MEASURE_ID_OVERRIDE",$C56,"DEEP_BROKER_ID_OVERRIDE",$F$7,"DEEP_PERIOD_OVERRIDE",AM$11)*1,"")))</f>
        <v/>
      </c>
      <c r="AN56" s="17" t="str">
        <f ca="1">IF(ISNA($B56),"",IF($B56="","",IFERROR(_xll.BDP(TICKER,"DEEP_MEASURE_PERIOD_BROKER_VALUE","DEEP_MEASURE_ID_OVERRIDE",$C56,"DEEP_BROKER_ID_OVERRIDE",$F$7,"DEEP_PERIOD_OVERRIDE",AN$11)*1,"")))</f>
        <v/>
      </c>
      <c r="AO56" s="17" t="str">
        <f ca="1">IF(ISNA($B56),"",IF($B56="","",IFERROR(_xll.BDP(TICKER,"DEEP_MEASURE_PERIOD_BROKER_VALUE","DEEP_MEASURE_ID_OVERRIDE",$C56,"DEEP_BROKER_ID_OVERRIDE",$F$7,"DEEP_PERIOD_OVERRIDE",AO$11)*1,"")))</f>
        <v/>
      </c>
      <c r="AP56" s="17" t="str">
        <f ca="1">IF(ISNA($B56),"",IF($B56="","",IFERROR(_xll.BDP(TICKER,"DEEP_MEASURE_PERIOD_BROKER_VALUE","DEEP_MEASURE_ID_OVERRIDE",$C56,"DEEP_BROKER_ID_OVERRIDE",$F$7,"DEEP_PERIOD_OVERRIDE",AP$11)*1,"")))</f>
        <v/>
      </c>
      <c r="AQ56" s="17" t="str">
        <f ca="1">IF(ISNA($B56),"",IF($B56="","",IFERROR(_xll.BDP(TICKER,"DEEP_MEASURE_PERIOD_BROKER_VALUE","DEEP_MEASURE_ID_OVERRIDE",$C56,"DEEP_BROKER_ID_OVERRIDE",$F$7,"DEEP_PERIOD_OVERRIDE",AQ$11)*1,"")))</f>
        <v/>
      </c>
    </row>
    <row r="57" spans="2:43" x14ac:dyDescent="0.25">
      <c r="B57" t="s">
        <v>106</v>
      </c>
      <c r="C57" s="11">
        <v>1931</v>
      </c>
      <c r="H57" t="str">
        <f t="shared" si="2"/>
        <v>Total Revenue &gt; Hotel &gt; Revenue &gt; TripAdvisor-branded Click-based &amp; Transaction &gt; YoY Growth (%)</v>
      </c>
      <c r="I57" s="17" t="str">
        <f ca="1">IF(ISNA($B57),"",IF($B57="","",IFERROR(_xll.BDP(TICKER,"DEEP_MEASURE_PERIOD_BROKER_VALUE","DEEP_MEASURE_ID_OVERRIDE",$C57,"DEEP_BROKER_ID_OVERRIDE",$F$7,"DEEP_PERIOD_OVERRIDE",I$11)*1,"")))</f>
        <v/>
      </c>
      <c r="J57" s="17" t="str">
        <f ca="1">IF(ISNA($B57),"",IF($B57="","",IFERROR(_xll.BDP(TICKER,"DEEP_MEASURE_PERIOD_BROKER_VALUE","DEEP_MEASURE_ID_OVERRIDE",$C57,"DEEP_BROKER_ID_OVERRIDE",$F$7,"DEEP_PERIOD_OVERRIDE",J$11)*1,"")))</f>
        <v/>
      </c>
      <c r="K57" s="17" t="str">
        <f ca="1">IF(ISNA($B57),"",IF($B57="","",IFERROR(_xll.BDP(TICKER,"DEEP_MEASURE_PERIOD_BROKER_VALUE","DEEP_MEASURE_ID_OVERRIDE",$C57,"DEEP_BROKER_ID_OVERRIDE",$F$7,"DEEP_PERIOD_OVERRIDE",K$11)*1,"")))</f>
        <v/>
      </c>
      <c r="L57" s="17" t="str">
        <f ca="1">IF(ISNA($B57),"",IF($B57="","",IFERROR(_xll.BDP(TICKER,"DEEP_MEASURE_PERIOD_BROKER_VALUE","DEEP_MEASURE_ID_OVERRIDE",$C57,"DEEP_BROKER_ID_OVERRIDE",$F$7,"DEEP_PERIOD_OVERRIDE",L$11)*1,"")))</f>
        <v/>
      </c>
      <c r="M57" s="17" t="str">
        <f ca="1">IF(ISNA($B57),"",IF($B57="","",IFERROR(_xll.BDP(TICKER,"DEEP_MEASURE_PERIOD_BROKER_VALUE","DEEP_MEASURE_ID_OVERRIDE",$C57,"DEEP_BROKER_ID_OVERRIDE",$F$7,"DEEP_PERIOD_OVERRIDE",M$11)*1,"")))</f>
        <v/>
      </c>
      <c r="N57" s="17" t="str">
        <f ca="1">IF(ISNA($B57),"",IF($B57="","",IFERROR(_xll.BDP(TICKER,"DEEP_MEASURE_PERIOD_BROKER_VALUE","DEEP_MEASURE_ID_OVERRIDE",$C57,"DEEP_BROKER_ID_OVERRIDE",$F$7,"DEEP_PERIOD_OVERRIDE",N$11)*1,"")))</f>
        <v/>
      </c>
      <c r="O57" s="17" t="str">
        <f ca="1">IF(ISNA($B57),"",IF($B57="","",IFERROR(_xll.BDP(TICKER,"DEEP_MEASURE_PERIOD_BROKER_VALUE","DEEP_MEASURE_ID_OVERRIDE",$C57,"DEEP_BROKER_ID_OVERRIDE",$F$7,"DEEP_PERIOD_OVERRIDE",O$11)*1,"")))</f>
        <v/>
      </c>
      <c r="P57" s="17" t="str">
        <f ca="1">IF(ISNA($B57),"",IF($B57="","",IFERROR(_xll.BDP(TICKER,"DEEP_MEASURE_PERIOD_BROKER_VALUE","DEEP_MEASURE_ID_OVERRIDE",$C57,"DEEP_BROKER_ID_OVERRIDE",$F$7,"DEEP_PERIOD_OVERRIDE",P$11)*1,"")))</f>
        <v/>
      </c>
      <c r="Q57" s="17" t="str">
        <f ca="1">IF(ISNA($B57),"",IF($B57="","",IFERROR(_xll.BDP(TICKER,"DEEP_MEASURE_PERIOD_BROKER_VALUE","DEEP_MEASURE_ID_OVERRIDE",$C57,"DEEP_BROKER_ID_OVERRIDE",$F$7,"DEEP_PERIOD_OVERRIDE",Q$11)*1,"")))</f>
        <v/>
      </c>
      <c r="R57" s="17" t="str">
        <f ca="1">IF(ISNA($B57),"",IF($B57="","",IFERROR(_xll.BDP(TICKER,"DEEP_MEASURE_PERIOD_BROKER_VALUE","DEEP_MEASURE_ID_OVERRIDE",$C57,"DEEP_BROKER_ID_OVERRIDE",$F$7,"DEEP_PERIOD_OVERRIDE",R$11)*1,"")))</f>
        <v/>
      </c>
      <c r="S57" s="17" t="str">
        <f ca="1">IF(ISNA($B57),"",IF($B57="","",IFERROR(_xll.BDP(TICKER,"DEEP_MEASURE_PERIOD_BROKER_VALUE","DEEP_MEASURE_ID_OVERRIDE",$C57,"DEEP_BROKER_ID_OVERRIDE",$F$7,"DEEP_PERIOD_OVERRIDE",S$11)*1,"")))</f>
        <v/>
      </c>
      <c r="T57" s="17" t="str">
        <f ca="1">IF(ISNA($B57),"",IF($B57="","",IFERROR(_xll.BDP(TICKER,"DEEP_MEASURE_PERIOD_BROKER_VALUE","DEEP_MEASURE_ID_OVERRIDE",$C57,"DEEP_BROKER_ID_OVERRIDE",$F$7,"DEEP_PERIOD_OVERRIDE",T$11)*1,"")))</f>
        <v/>
      </c>
      <c r="U57" s="17" t="str">
        <f ca="1">IF(ISNA($B57),"",IF($B57="","",IFERROR(_xll.BDP(TICKER,"DEEP_MEASURE_PERIOD_BROKER_VALUE","DEEP_MEASURE_ID_OVERRIDE",$C57,"DEEP_BROKER_ID_OVERRIDE",$F$7,"DEEP_PERIOD_OVERRIDE",U$11)*1,"")))</f>
        <v/>
      </c>
      <c r="V57" s="17" t="str">
        <f ca="1">IF(ISNA($B57),"",IF($B57="","",IFERROR(_xll.BDP(TICKER,"DEEP_MEASURE_PERIOD_BROKER_VALUE","DEEP_MEASURE_ID_OVERRIDE",$C57,"DEEP_BROKER_ID_OVERRIDE",$F$7,"DEEP_PERIOD_OVERRIDE",V$11)*1,"")))</f>
        <v/>
      </c>
      <c r="W57" s="17" t="str">
        <f ca="1">IF(ISNA($B57),"",IF($B57="","",IFERROR(_xll.BDP(TICKER,"DEEP_MEASURE_PERIOD_BROKER_VALUE","DEEP_MEASURE_ID_OVERRIDE",$C57,"DEEP_BROKER_ID_OVERRIDE",$F$7,"DEEP_PERIOD_OVERRIDE",W$11)*1,"")))</f>
        <v/>
      </c>
      <c r="X57" s="17" t="str">
        <f ca="1">IF(ISNA($B57),"",IF($B57="","",IFERROR(_xll.BDP(TICKER,"DEEP_MEASURE_PERIOD_BROKER_VALUE","DEEP_MEASURE_ID_OVERRIDE",$C57,"DEEP_BROKER_ID_OVERRIDE",$F$7,"DEEP_PERIOD_OVERRIDE",X$11)*1,"")))</f>
        <v/>
      </c>
      <c r="Y57" s="17" t="str">
        <f ca="1">IF(ISNA($B57),"",IF($B57="","",IFERROR(_xll.BDP(TICKER,"DEEP_MEASURE_PERIOD_BROKER_VALUE","DEEP_MEASURE_ID_OVERRIDE",$C57,"DEEP_BROKER_ID_OVERRIDE",$F$7,"DEEP_PERIOD_OVERRIDE",Y$11)*1,"")))</f>
        <v/>
      </c>
      <c r="Z57" s="17" t="str">
        <f ca="1">IF(ISNA($B57),"",IF($B57="","",IFERROR(_xll.BDP(TICKER,"DEEP_MEASURE_PERIOD_BROKER_VALUE","DEEP_MEASURE_ID_OVERRIDE",$C57,"DEEP_BROKER_ID_OVERRIDE",$F$7,"DEEP_PERIOD_OVERRIDE",Z$11)*1,"")))</f>
        <v/>
      </c>
      <c r="AA57" s="17" t="str">
        <f ca="1">IF(ISNA($B57),"",IF($B57="","",IFERROR(_xll.BDP(TICKER,"DEEP_MEASURE_PERIOD_BROKER_VALUE","DEEP_MEASURE_ID_OVERRIDE",$C57,"DEEP_BROKER_ID_OVERRIDE",$F$7,"DEEP_PERIOD_OVERRIDE",AA$11)*1,"")))</f>
        <v/>
      </c>
      <c r="AB57" s="17" t="str">
        <f ca="1">IF(ISNA($B57),"",IF($B57="","",IFERROR(_xll.BDP(TICKER,"DEEP_MEASURE_PERIOD_BROKER_VALUE","DEEP_MEASURE_ID_OVERRIDE",$C57,"DEEP_BROKER_ID_OVERRIDE",$F$7,"DEEP_PERIOD_OVERRIDE",AB$11)*1,"")))</f>
        <v/>
      </c>
      <c r="AC57" s="17" t="str">
        <f ca="1">IF(ISNA($B57),"",IF($B57="","",IFERROR(_xll.BDP(TICKER,"DEEP_MEASURE_PERIOD_BROKER_VALUE","DEEP_MEASURE_ID_OVERRIDE",$C57,"DEEP_BROKER_ID_OVERRIDE",$F$7,"DEEP_PERIOD_OVERRIDE",AC$11)*1,"")))</f>
        <v/>
      </c>
      <c r="AD57" s="17" t="str">
        <f ca="1">IF(ISNA($B57),"",IF($B57="","",IFERROR(_xll.BDP(TICKER,"DEEP_MEASURE_PERIOD_BROKER_VALUE","DEEP_MEASURE_ID_OVERRIDE",$C57,"DEEP_BROKER_ID_OVERRIDE",$F$7,"DEEP_PERIOD_OVERRIDE",AD$11)*1,"")))</f>
        <v/>
      </c>
      <c r="AE57" s="17" t="str">
        <f ca="1">IF(ISNA($B57),"",IF($B57="","",IFERROR(_xll.BDP(TICKER,"DEEP_MEASURE_PERIOD_BROKER_VALUE","DEEP_MEASURE_ID_OVERRIDE",$C57,"DEEP_BROKER_ID_OVERRIDE",$F$7,"DEEP_PERIOD_OVERRIDE",AE$11)*1,"")))</f>
        <v/>
      </c>
      <c r="AF57" s="17" t="str">
        <f ca="1">IF(ISNA($B57),"",IF($B57="","",IFERROR(_xll.BDP(TICKER,"DEEP_MEASURE_PERIOD_BROKER_VALUE","DEEP_MEASURE_ID_OVERRIDE",$C57,"DEEP_BROKER_ID_OVERRIDE",$F$7,"DEEP_PERIOD_OVERRIDE",AF$11)*1,"")))</f>
        <v/>
      </c>
      <c r="AG57" s="17" t="str">
        <f ca="1">IF(ISNA($B57),"",IF($B57="","",IFERROR(_xll.BDP(TICKER,"DEEP_MEASURE_PERIOD_BROKER_VALUE","DEEP_MEASURE_ID_OVERRIDE",$C57,"DEEP_BROKER_ID_OVERRIDE",$F$7,"DEEP_PERIOD_OVERRIDE",AG$11)*1,"")))</f>
        <v/>
      </c>
      <c r="AH57" s="17" t="str">
        <f ca="1">IF(ISNA($B57),"",IF($B57="","",IFERROR(_xll.BDP(TICKER,"DEEP_MEASURE_PERIOD_BROKER_VALUE","DEEP_MEASURE_ID_OVERRIDE",$C57,"DEEP_BROKER_ID_OVERRIDE",$F$7,"DEEP_PERIOD_OVERRIDE",AH$11)*1,"")))</f>
        <v/>
      </c>
      <c r="AI57" s="17" t="str">
        <f ca="1">IF(ISNA($B57),"",IF($B57="","",IFERROR(_xll.BDP(TICKER,"DEEP_MEASURE_PERIOD_BROKER_VALUE","DEEP_MEASURE_ID_OVERRIDE",$C57,"DEEP_BROKER_ID_OVERRIDE",$F$7,"DEEP_PERIOD_OVERRIDE",AI$11)*1,"")))</f>
        <v/>
      </c>
      <c r="AJ57" s="17" t="str">
        <f ca="1">IF(ISNA($B57),"",IF($B57="","",IFERROR(_xll.BDP(TICKER,"DEEP_MEASURE_PERIOD_BROKER_VALUE","DEEP_MEASURE_ID_OVERRIDE",$C57,"DEEP_BROKER_ID_OVERRIDE",$F$7,"DEEP_PERIOD_OVERRIDE",AJ$11)*1,"")))</f>
        <v/>
      </c>
      <c r="AK57" s="17" t="str">
        <f ca="1">IF(ISNA($B57),"",IF($B57="","",IFERROR(_xll.BDP(TICKER,"DEEP_MEASURE_PERIOD_BROKER_VALUE","DEEP_MEASURE_ID_OVERRIDE",$C57,"DEEP_BROKER_ID_OVERRIDE",$F$7,"DEEP_PERIOD_OVERRIDE",AK$11)*1,"")))</f>
        <v/>
      </c>
      <c r="AL57" s="17" t="str">
        <f ca="1">IF(ISNA($B57),"",IF($B57="","",IFERROR(_xll.BDP(TICKER,"DEEP_MEASURE_PERIOD_BROKER_VALUE","DEEP_MEASURE_ID_OVERRIDE",$C57,"DEEP_BROKER_ID_OVERRIDE",$F$7,"DEEP_PERIOD_OVERRIDE",AL$11)*1,"")))</f>
        <v/>
      </c>
      <c r="AM57" s="17" t="str">
        <f ca="1">IF(ISNA($B57),"",IF($B57="","",IFERROR(_xll.BDP(TICKER,"DEEP_MEASURE_PERIOD_BROKER_VALUE","DEEP_MEASURE_ID_OVERRIDE",$C57,"DEEP_BROKER_ID_OVERRIDE",$F$7,"DEEP_PERIOD_OVERRIDE",AM$11)*1,"")))</f>
        <v/>
      </c>
      <c r="AN57" s="17" t="str">
        <f ca="1">IF(ISNA($B57),"",IF($B57="","",IFERROR(_xll.BDP(TICKER,"DEEP_MEASURE_PERIOD_BROKER_VALUE","DEEP_MEASURE_ID_OVERRIDE",$C57,"DEEP_BROKER_ID_OVERRIDE",$F$7,"DEEP_PERIOD_OVERRIDE",AN$11)*1,"")))</f>
        <v/>
      </c>
      <c r="AO57" s="17" t="str">
        <f ca="1">IF(ISNA($B57),"",IF($B57="","",IFERROR(_xll.BDP(TICKER,"DEEP_MEASURE_PERIOD_BROKER_VALUE","DEEP_MEASURE_ID_OVERRIDE",$C57,"DEEP_BROKER_ID_OVERRIDE",$F$7,"DEEP_PERIOD_OVERRIDE",AO$11)*1,"")))</f>
        <v/>
      </c>
      <c r="AP57" s="17" t="str">
        <f ca="1">IF(ISNA($B57),"",IF($B57="","",IFERROR(_xll.BDP(TICKER,"DEEP_MEASURE_PERIOD_BROKER_VALUE","DEEP_MEASURE_ID_OVERRIDE",$C57,"DEEP_BROKER_ID_OVERRIDE",$F$7,"DEEP_PERIOD_OVERRIDE",AP$11)*1,"")))</f>
        <v/>
      </c>
      <c r="AQ57" s="17" t="str">
        <f ca="1">IF(ISNA($B57),"",IF($B57="","",IFERROR(_xll.BDP(TICKER,"DEEP_MEASURE_PERIOD_BROKER_VALUE","DEEP_MEASURE_ID_OVERRIDE",$C57,"DEEP_BROKER_ID_OVERRIDE",$F$7,"DEEP_PERIOD_OVERRIDE",AQ$11)*1,"")))</f>
        <v/>
      </c>
    </row>
    <row r="58" spans="2:43" x14ac:dyDescent="0.25">
      <c r="B58" t="s">
        <v>107</v>
      </c>
      <c r="C58" s="11">
        <v>5874</v>
      </c>
      <c r="H58" t="str">
        <f t="shared" si="2"/>
        <v>Total Revenue &gt; Hotel &gt; Revenue &gt; TripAdvisor-branded Click-based &amp; Transaction &gt; Smartphone Hotel Shoppers</v>
      </c>
      <c r="I58" s="17" t="str">
        <f ca="1">IF(ISNA($B58),"",IF($B58="","",IFERROR(_xll.BDP(TICKER,"DEEP_MEASURE_PERIOD_BROKER_VALUE","DEEP_MEASURE_ID_OVERRIDE",$C58,"DEEP_BROKER_ID_OVERRIDE",$F$7,"DEEP_PERIOD_OVERRIDE",I$11)*1,"")))</f>
        <v/>
      </c>
      <c r="J58" s="17" t="str">
        <f ca="1">IF(ISNA($B58),"",IF($B58="","",IFERROR(_xll.BDP(TICKER,"DEEP_MEASURE_PERIOD_BROKER_VALUE","DEEP_MEASURE_ID_OVERRIDE",$C58,"DEEP_BROKER_ID_OVERRIDE",$F$7,"DEEP_PERIOD_OVERRIDE",J$11)*1,"")))</f>
        <v/>
      </c>
      <c r="K58" s="17" t="str">
        <f ca="1">IF(ISNA($B58),"",IF($B58="","",IFERROR(_xll.BDP(TICKER,"DEEP_MEASURE_PERIOD_BROKER_VALUE","DEEP_MEASURE_ID_OVERRIDE",$C58,"DEEP_BROKER_ID_OVERRIDE",$F$7,"DEEP_PERIOD_OVERRIDE",K$11)*1,"")))</f>
        <v/>
      </c>
      <c r="L58" s="17" t="str">
        <f ca="1">IF(ISNA($B58),"",IF($B58="","",IFERROR(_xll.BDP(TICKER,"DEEP_MEASURE_PERIOD_BROKER_VALUE","DEEP_MEASURE_ID_OVERRIDE",$C58,"DEEP_BROKER_ID_OVERRIDE",$F$7,"DEEP_PERIOD_OVERRIDE",L$11)*1,"")))</f>
        <v/>
      </c>
      <c r="M58" s="17" t="str">
        <f ca="1">IF(ISNA($B58),"",IF($B58="","",IFERROR(_xll.BDP(TICKER,"DEEP_MEASURE_PERIOD_BROKER_VALUE","DEEP_MEASURE_ID_OVERRIDE",$C58,"DEEP_BROKER_ID_OVERRIDE",$F$7,"DEEP_PERIOD_OVERRIDE",M$11)*1,"")))</f>
        <v/>
      </c>
      <c r="N58" s="17" t="str">
        <f ca="1">IF(ISNA($B58),"",IF($B58="","",IFERROR(_xll.BDP(TICKER,"DEEP_MEASURE_PERIOD_BROKER_VALUE","DEEP_MEASURE_ID_OVERRIDE",$C58,"DEEP_BROKER_ID_OVERRIDE",$F$7,"DEEP_PERIOD_OVERRIDE",N$11)*1,"")))</f>
        <v/>
      </c>
      <c r="O58" s="17" t="str">
        <f ca="1">IF(ISNA($B58),"",IF($B58="","",IFERROR(_xll.BDP(TICKER,"DEEP_MEASURE_PERIOD_BROKER_VALUE","DEEP_MEASURE_ID_OVERRIDE",$C58,"DEEP_BROKER_ID_OVERRIDE",$F$7,"DEEP_PERIOD_OVERRIDE",O$11)*1,"")))</f>
        <v/>
      </c>
      <c r="P58" s="17" t="str">
        <f ca="1">IF(ISNA($B58),"",IF($B58="","",IFERROR(_xll.BDP(TICKER,"DEEP_MEASURE_PERIOD_BROKER_VALUE","DEEP_MEASURE_ID_OVERRIDE",$C58,"DEEP_BROKER_ID_OVERRIDE",$F$7,"DEEP_PERIOD_OVERRIDE",P$11)*1,"")))</f>
        <v/>
      </c>
      <c r="Q58" s="17" t="str">
        <f ca="1">IF(ISNA($B58),"",IF($B58="","",IFERROR(_xll.BDP(TICKER,"DEEP_MEASURE_PERIOD_BROKER_VALUE","DEEP_MEASURE_ID_OVERRIDE",$C58,"DEEP_BROKER_ID_OVERRIDE",$F$7,"DEEP_PERIOD_OVERRIDE",Q$11)*1,"")))</f>
        <v/>
      </c>
      <c r="R58" s="17" t="str">
        <f ca="1">IF(ISNA($B58),"",IF($B58="","",IFERROR(_xll.BDP(TICKER,"DEEP_MEASURE_PERIOD_BROKER_VALUE","DEEP_MEASURE_ID_OVERRIDE",$C58,"DEEP_BROKER_ID_OVERRIDE",$F$7,"DEEP_PERIOD_OVERRIDE",R$11)*1,"")))</f>
        <v/>
      </c>
      <c r="S58" s="17" t="str">
        <f ca="1">IF(ISNA($B58),"",IF($B58="","",IFERROR(_xll.BDP(TICKER,"DEEP_MEASURE_PERIOD_BROKER_VALUE","DEEP_MEASURE_ID_OVERRIDE",$C58,"DEEP_BROKER_ID_OVERRIDE",$F$7,"DEEP_PERIOD_OVERRIDE",S$11)*1,"")))</f>
        <v/>
      </c>
      <c r="T58" s="17" t="str">
        <f ca="1">IF(ISNA($B58),"",IF($B58="","",IFERROR(_xll.BDP(TICKER,"DEEP_MEASURE_PERIOD_BROKER_VALUE","DEEP_MEASURE_ID_OVERRIDE",$C58,"DEEP_BROKER_ID_OVERRIDE",$F$7,"DEEP_PERIOD_OVERRIDE",T$11)*1,"")))</f>
        <v/>
      </c>
      <c r="U58" s="17" t="str">
        <f ca="1">IF(ISNA($B58),"",IF($B58="","",IFERROR(_xll.BDP(TICKER,"DEEP_MEASURE_PERIOD_BROKER_VALUE","DEEP_MEASURE_ID_OVERRIDE",$C58,"DEEP_BROKER_ID_OVERRIDE",$F$7,"DEEP_PERIOD_OVERRIDE",U$11)*1,"")))</f>
        <v/>
      </c>
      <c r="V58" s="17" t="str">
        <f ca="1">IF(ISNA($B58),"",IF($B58="","",IFERROR(_xll.BDP(TICKER,"DEEP_MEASURE_PERIOD_BROKER_VALUE","DEEP_MEASURE_ID_OVERRIDE",$C58,"DEEP_BROKER_ID_OVERRIDE",$F$7,"DEEP_PERIOD_OVERRIDE",V$11)*1,"")))</f>
        <v/>
      </c>
      <c r="W58" s="17" t="str">
        <f ca="1">IF(ISNA($B58),"",IF($B58="","",IFERROR(_xll.BDP(TICKER,"DEEP_MEASURE_PERIOD_BROKER_VALUE","DEEP_MEASURE_ID_OVERRIDE",$C58,"DEEP_BROKER_ID_OVERRIDE",$F$7,"DEEP_PERIOD_OVERRIDE",W$11)*1,"")))</f>
        <v/>
      </c>
      <c r="X58" s="17" t="str">
        <f ca="1">IF(ISNA($B58),"",IF($B58="","",IFERROR(_xll.BDP(TICKER,"DEEP_MEASURE_PERIOD_BROKER_VALUE","DEEP_MEASURE_ID_OVERRIDE",$C58,"DEEP_BROKER_ID_OVERRIDE",$F$7,"DEEP_PERIOD_OVERRIDE",X$11)*1,"")))</f>
        <v/>
      </c>
      <c r="Y58" s="17" t="str">
        <f ca="1">IF(ISNA($B58),"",IF($B58="","",IFERROR(_xll.BDP(TICKER,"DEEP_MEASURE_PERIOD_BROKER_VALUE","DEEP_MEASURE_ID_OVERRIDE",$C58,"DEEP_BROKER_ID_OVERRIDE",$F$7,"DEEP_PERIOD_OVERRIDE",Y$11)*1,"")))</f>
        <v/>
      </c>
      <c r="Z58" s="17" t="str">
        <f ca="1">IF(ISNA($B58),"",IF($B58="","",IFERROR(_xll.BDP(TICKER,"DEEP_MEASURE_PERIOD_BROKER_VALUE","DEEP_MEASURE_ID_OVERRIDE",$C58,"DEEP_BROKER_ID_OVERRIDE",$F$7,"DEEP_PERIOD_OVERRIDE",Z$11)*1,"")))</f>
        <v/>
      </c>
      <c r="AA58" s="17" t="str">
        <f ca="1">IF(ISNA($B58),"",IF($B58="","",IFERROR(_xll.BDP(TICKER,"DEEP_MEASURE_PERIOD_BROKER_VALUE","DEEP_MEASURE_ID_OVERRIDE",$C58,"DEEP_BROKER_ID_OVERRIDE",$F$7,"DEEP_PERIOD_OVERRIDE",AA$11)*1,"")))</f>
        <v/>
      </c>
      <c r="AB58" s="17" t="str">
        <f ca="1">IF(ISNA($B58),"",IF($B58="","",IFERROR(_xll.BDP(TICKER,"DEEP_MEASURE_PERIOD_BROKER_VALUE","DEEP_MEASURE_ID_OVERRIDE",$C58,"DEEP_BROKER_ID_OVERRIDE",$F$7,"DEEP_PERIOD_OVERRIDE",AB$11)*1,"")))</f>
        <v/>
      </c>
      <c r="AC58" s="17" t="str">
        <f ca="1">IF(ISNA($B58),"",IF($B58="","",IFERROR(_xll.BDP(TICKER,"DEEP_MEASURE_PERIOD_BROKER_VALUE","DEEP_MEASURE_ID_OVERRIDE",$C58,"DEEP_BROKER_ID_OVERRIDE",$F$7,"DEEP_PERIOD_OVERRIDE",AC$11)*1,"")))</f>
        <v/>
      </c>
      <c r="AD58" s="17" t="str">
        <f ca="1">IF(ISNA($B58),"",IF($B58="","",IFERROR(_xll.BDP(TICKER,"DEEP_MEASURE_PERIOD_BROKER_VALUE","DEEP_MEASURE_ID_OVERRIDE",$C58,"DEEP_BROKER_ID_OVERRIDE",$F$7,"DEEP_PERIOD_OVERRIDE",AD$11)*1,"")))</f>
        <v/>
      </c>
      <c r="AE58" s="17" t="str">
        <f ca="1">IF(ISNA($B58),"",IF($B58="","",IFERROR(_xll.BDP(TICKER,"DEEP_MEASURE_PERIOD_BROKER_VALUE","DEEP_MEASURE_ID_OVERRIDE",$C58,"DEEP_BROKER_ID_OVERRIDE",$F$7,"DEEP_PERIOD_OVERRIDE",AE$11)*1,"")))</f>
        <v/>
      </c>
      <c r="AF58" s="17" t="str">
        <f ca="1">IF(ISNA($B58),"",IF($B58="","",IFERROR(_xll.BDP(TICKER,"DEEP_MEASURE_PERIOD_BROKER_VALUE","DEEP_MEASURE_ID_OVERRIDE",$C58,"DEEP_BROKER_ID_OVERRIDE",$F$7,"DEEP_PERIOD_OVERRIDE",AF$11)*1,"")))</f>
        <v/>
      </c>
      <c r="AG58" s="17" t="str">
        <f ca="1">IF(ISNA($B58),"",IF($B58="","",IFERROR(_xll.BDP(TICKER,"DEEP_MEASURE_PERIOD_BROKER_VALUE","DEEP_MEASURE_ID_OVERRIDE",$C58,"DEEP_BROKER_ID_OVERRIDE",$F$7,"DEEP_PERIOD_OVERRIDE",AG$11)*1,"")))</f>
        <v/>
      </c>
      <c r="AH58" s="17" t="str">
        <f ca="1">IF(ISNA($B58),"",IF($B58="","",IFERROR(_xll.BDP(TICKER,"DEEP_MEASURE_PERIOD_BROKER_VALUE","DEEP_MEASURE_ID_OVERRIDE",$C58,"DEEP_BROKER_ID_OVERRIDE",$F$7,"DEEP_PERIOD_OVERRIDE",AH$11)*1,"")))</f>
        <v/>
      </c>
      <c r="AI58" s="17" t="str">
        <f ca="1">IF(ISNA($B58),"",IF($B58="","",IFERROR(_xll.BDP(TICKER,"DEEP_MEASURE_PERIOD_BROKER_VALUE","DEEP_MEASURE_ID_OVERRIDE",$C58,"DEEP_BROKER_ID_OVERRIDE",$F$7,"DEEP_PERIOD_OVERRIDE",AI$11)*1,"")))</f>
        <v/>
      </c>
      <c r="AJ58" s="17" t="str">
        <f ca="1">IF(ISNA($B58),"",IF($B58="","",IFERROR(_xll.BDP(TICKER,"DEEP_MEASURE_PERIOD_BROKER_VALUE","DEEP_MEASURE_ID_OVERRIDE",$C58,"DEEP_BROKER_ID_OVERRIDE",$F$7,"DEEP_PERIOD_OVERRIDE",AJ$11)*1,"")))</f>
        <v/>
      </c>
      <c r="AK58" s="17" t="str">
        <f ca="1">IF(ISNA($B58),"",IF($B58="","",IFERROR(_xll.BDP(TICKER,"DEEP_MEASURE_PERIOD_BROKER_VALUE","DEEP_MEASURE_ID_OVERRIDE",$C58,"DEEP_BROKER_ID_OVERRIDE",$F$7,"DEEP_PERIOD_OVERRIDE",AK$11)*1,"")))</f>
        <v/>
      </c>
      <c r="AL58" s="17" t="str">
        <f ca="1">IF(ISNA($B58),"",IF($B58="","",IFERROR(_xll.BDP(TICKER,"DEEP_MEASURE_PERIOD_BROKER_VALUE","DEEP_MEASURE_ID_OVERRIDE",$C58,"DEEP_BROKER_ID_OVERRIDE",$F$7,"DEEP_PERIOD_OVERRIDE",AL$11)*1,"")))</f>
        <v/>
      </c>
      <c r="AM58" s="17" t="str">
        <f ca="1">IF(ISNA($B58),"",IF($B58="","",IFERROR(_xll.BDP(TICKER,"DEEP_MEASURE_PERIOD_BROKER_VALUE","DEEP_MEASURE_ID_OVERRIDE",$C58,"DEEP_BROKER_ID_OVERRIDE",$F$7,"DEEP_PERIOD_OVERRIDE",AM$11)*1,"")))</f>
        <v/>
      </c>
      <c r="AN58" s="17" t="str">
        <f ca="1">IF(ISNA($B58),"",IF($B58="","",IFERROR(_xll.BDP(TICKER,"DEEP_MEASURE_PERIOD_BROKER_VALUE","DEEP_MEASURE_ID_OVERRIDE",$C58,"DEEP_BROKER_ID_OVERRIDE",$F$7,"DEEP_PERIOD_OVERRIDE",AN$11)*1,"")))</f>
        <v/>
      </c>
      <c r="AO58" s="17" t="str">
        <f ca="1">IF(ISNA($B58),"",IF($B58="","",IFERROR(_xll.BDP(TICKER,"DEEP_MEASURE_PERIOD_BROKER_VALUE","DEEP_MEASURE_ID_OVERRIDE",$C58,"DEEP_BROKER_ID_OVERRIDE",$F$7,"DEEP_PERIOD_OVERRIDE",AO$11)*1,"")))</f>
        <v/>
      </c>
      <c r="AP58" s="17" t="str">
        <f ca="1">IF(ISNA($B58),"",IF($B58="","",IFERROR(_xll.BDP(TICKER,"DEEP_MEASURE_PERIOD_BROKER_VALUE","DEEP_MEASURE_ID_OVERRIDE",$C58,"DEEP_BROKER_ID_OVERRIDE",$F$7,"DEEP_PERIOD_OVERRIDE",AP$11)*1,"")))</f>
        <v/>
      </c>
      <c r="AQ58" s="17" t="str">
        <f ca="1">IF(ISNA($B58),"",IF($B58="","",IFERROR(_xll.BDP(TICKER,"DEEP_MEASURE_PERIOD_BROKER_VALUE","DEEP_MEASURE_ID_OVERRIDE",$C58,"DEEP_BROKER_ID_OVERRIDE",$F$7,"DEEP_PERIOD_OVERRIDE",AQ$11)*1,"")))</f>
        <v/>
      </c>
    </row>
    <row r="59" spans="2:43" x14ac:dyDescent="0.25">
      <c r="B59" t="s">
        <v>108</v>
      </c>
      <c r="C59" s="11">
        <v>4783</v>
      </c>
      <c r="H59" t="str">
        <f t="shared" si="2"/>
        <v>Total Revenue &gt; Hotel &gt; Revenue &gt; TripAdvisor-branded Click-based &amp; Transaction &gt; Smartphone Hotel Shoppers &gt; YoY Growth (%)</v>
      </c>
      <c r="I59" s="17" t="str">
        <f ca="1">IF(ISNA($B59),"",IF($B59="","",IFERROR(_xll.BDP(TICKER,"DEEP_MEASURE_PERIOD_BROKER_VALUE","DEEP_MEASURE_ID_OVERRIDE",$C59,"DEEP_BROKER_ID_OVERRIDE",$F$7,"DEEP_PERIOD_OVERRIDE",I$11)*1,"")))</f>
        <v/>
      </c>
      <c r="J59" s="17" t="str">
        <f ca="1">IF(ISNA($B59),"",IF($B59="","",IFERROR(_xll.BDP(TICKER,"DEEP_MEASURE_PERIOD_BROKER_VALUE","DEEP_MEASURE_ID_OVERRIDE",$C59,"DEEP_BROKER_ID_OVERRIDE",$F$7,"DEEP_PERIOD_OVERRIDE",J$11)*1,"")))</f>
        <v/>
      </c>
      <c r="K59" s="17" t="str">
        <f ca="1">IF(ISNA($B59),"",IF($B59="","",IFERROR(_xll.BDP(TICKER,"DEEP_MEASURE_PERIOD_BROKER_VALUE","DEEP_MEASURE_ID_OVERRIDE",$C59,"DEEP_BROKER_ID_OVERRIDE",$F$7,"DEEP_PERIOD_OVERRIDE",K$11)*1,"")))</f>
        <v/>
      </c>
      <c r="L59" s="17" t="str">
        <f ca="1">IF(ISNA($B59),"",IF($B59="","",IFERROR(_xll.BDP(TICKER,"DEEP_MEASURE_PERIOD_BROKER_VALUE","DEEP_MEASURE_ID_OVERRIDE",$C59,"DEEP_BROKER_ID_OVERRIDE",$F$7,"DEEP_PERIOD_OVERRIDE",L$11)*1,"")))</f>
        <v/>
      </c>
      <c r="M59" s="17" t="str">
        <f ca="1">IF(ISNA($B59),"",IF($B59="","",IFERROR(_xll.BDP(TICKER,"DEEP_MEASURE_PERIOD_BROKER_VALUE","DEEP_MEASURE_ID_OVERRIDE",$C59,"DEEP_BROKER_ID_OVERRIDE",$F$7,"DEEP_PERIOD_OVERRIDE",M$11)*1,"")))</f>
        <v/>
      </c>
      <c r="N59" s="17" t="str">
        <f ca="1">IF(ISNA($B59),"",IF($B59="","",IFERROR(_xll.BDP(TICKER,"DEEP_MEASURE_PERIOD_BROKER_VALUE","DEEP_MEASURE_ID_OVERRIDE",$C59,"DEEP_BROKER_ID_OVERRIDE",$F$7,"DEEP_PERIOD_OVERRIDE",N$11)*1,"")))</f>
        <v/>
      </c>
      <c r="O59" s="17" t="str">
        <f ca="1">IF(ISNA($B59),"",IF($B59="","",IFERROR(_xll.BDP(TICKER,"DEEP_MEASURE_PERIOD_BROKER_VALUE","DEEP_MEASURE_ID_OVERRIDE",$C59,"DEEP_BROKER_ID_OVERRIDE",$F$7,"DEEP_PERIOD_OVERRIDE",O$11)*1,"")))</f>
        <v/>
      </c>
      <c r="P59" s="17" t="str">
        <f ca="1">IF(ISNA($B59),"",IF($B59="","",IFERROR(_xll.BDP(TICKER,"DEEP_MEASURE_PERIOD_BROKER_VALUE","DEEP_MEASURE_ID_OVERRIDE",$C59,"DEEP_BROKER_ID_OVERRIDE",$F$7,"DEEP_PERIOD_OVERRIDE",P$11)*1,"")))</f>
        <v/>
      </c>
      <c r="Q59" s="17" t="str">
        <f ca="1">IF(ISNA($B59),"",IF($B59="","",IFERROR(_xll.BDP(TICKER,"DEEP_MEASURE_PERIOD_BROKER_VALUE","DEEP_MEASURE_ID_OVERRIDE",$C59,"DEEP_BROKER_ID_OVERRIDE",$F$7,"DEEP_PERIOD_OVERRIDE",Q$11)*1,"")))</f>
        <v/>
      </c>
      <c r="R59" s="17" t="str">
        <f ca="1">IF(ISNA($B59),"",IF($B59="","",IFERROR(_xll.BDP(TICKER,"DEEP_MEASURE_PERIOD_BROKER_VALUE","DEEP_MEASURE_ID_OVERRIDE",$C59,"DEEP_BROKER_ID_OVERRIDE",$F$7,"DEEP_PERIOD_OVERRIDE",R$11)*1,"")))</f>
        <v/>
      </c>
      <c r="S59" s="17" t="str">
        <f ca="1">IF(ISNA($B59),"",IF($B59="","",IFERROR(_xll.BDP(TICKER,"DEEP_MEASURE_PERIOD_BROKER_VALUE","DEEP_MEASURE_ID_OVERRIDE",$C59,"DEEP_BROKER_ID_OVERRIDE",$F$7,"DEEP_PERIOD_OVERRIDE",S$11)*1,"")))</f>
        <v/>
      </c>
      <c r="T59" s="17" t="str">
        <f ca="1">IF(ISNA($B59),"",IF($B59="","",IFERROR(_xll.BDP(TICKER,"DEEP_MEASURE_PERIOD_BROKER_VALUE","DEEP_MEASURE_ID_OVERRIDE",$C59,"DEEP_BROKER_ID_OVERRIDE",$F$7,"DEEP_PERIOD_OVERRIDE",T$11)*1,"")))</f>
        <v/>
      </c>
      <c r="U59" s="17" t="str">
        <f ca="1">IF(ISNA($B59),"",IF($B59="","",IFERROR(_xll.BDP(TICKER,"DEEP_MEASURE_PERIOD_BROKER_VALUE","DEEP_MEASURE_ID_OVERRIDE",$C59,"DEEP_BROKER_ID_OVERRIDE",$F$7,"DEEP_PERIOD_OVERRIDE",U$11)*1,"")))</f>
        <v/>
      </c>
      <c r="V59" s="17" t="str">
        <f ca="1">IF(ISNA($B59),"",IF($B59="","",IFERROR(_xll.BDP(TICKER,"DEEP_MEASURE_PERIOD_BROKER_VALUE","DEEP_MEASURE_ID_OVERRIDE",$C59,"DEEP_BROKER_ID_OVERRIDE",$F$7,"DEEP_PERIOD_OVERRIDE",V$11)*1,"")))</f>
        <v/>
      </c>
      <c r="W59" s="17" t="str">
        <f ca="1">IF(ISNA($B59),"",IF($B59="","",IFERROR(_xll.BDP(TICKER,"DEEP_MEASURE_PERIOD_BROKER_VALUE","DEEP_MEASURE_ID_OVERRIDE",$C59,"DEEP_BROKER_ID_OVERRIDE",$F$7,"DEEP_PERIOD_OVERRIDE",W$11)*1,"")))</f>
        <v/>
      </c>
      <c r="X59" s="17" t="str">
        <f ca="1">IF(ISNA($B59),"",IF($B59="","",IFERROR(_xll.BDP(TICKER,"DEEP_MEASURE_PERIOD_BROKER_VALUE","DEEP_MEASURE_ID_OVERRIDE",$C59,"DEEP_BROKER_ID_OVERRIDE",$F$7,"DEEP_PERIOD_OVERRIDE",X$11)*1,"")))</f>
        <v/>
      </c>
      <c r="Y59" s="17" t="str">
        <f ca="1">IF(ISNA($B59),"",IF($B59="","",IFERROR(_xll.BDP(TICKER,"DEEP_MEASURE_PERIOD_BROKER_VALUE","DEEP_MEASURE_ID_OVERRIDE",$C59,"DEEP_BROKER_ID_OVERRIDE",$F$7,"DEEP_PERIOD_OVERRIDE",Y$11)*1,"")))</f>
        <v/>
      </c>
      <c r="Z59" s="17" t="str">
        <f ca="1">IF(ISNA($B59),"",IF($B59="","",IFERROR(_xll.BDP(TICKER,"DEEP_MEASURE_PERIOD_BROKER_VALUE","DEEP_MEASURE_ID_OVERRIDE",$C59,"DEEP_BROKER_ID_OVERRIDE",$F$7,"DEEP_PERIOD_OVERRIDE",Z$11)*1,"")))</f>
        <v/>
      </c>
      <c r="AA59" s="17" t="str">
        <f ca="1">IF(ISNA($B59),"",IF($B59="","",IFERROR(_xll.BDP(TICKER,"DEEP_MEASURE_PERIOD_BROKER_VALUE","DEEP_MEASURE_ID_OVERRIDE",$C59,"DEEP_BROKER_ID_OVERRIDE",$F$7,"DEEP_PERIOD_OVERRIDE",AA$11)*1,"")))</f>
        <v/>
      </c>
      <c r="AB59" s="17" t="str">
        <f ca="1">IF(ISNA($B59),"",IF($B59="","",IFERROR(_xll.BDP(TICKER,"DEEP_MEASURE_PERIOD_BROKER_VALUE","DEEP_MEASURE_ID_OVERRIDE",$C59,"DEEP_BROKER_ID_OVERRIDE",$F$7,"DEEP_PERIOD_OVERRIDE",AB$11)*1,"")))</f>
        <v/>
      </c>
      <c r="AC59" s="17" t="str">
        <f ca="1">IF(ISNA($B59),"",IF($B59="","",IFERROR(_xll.BDP(TICKER,"DEEP_MEASURE_PERIOD_BROKER_VALUE","DEEP_MEASURE_ID_OVERRIDE",$C59,"DEEP_BROKER_ID_OVERRIDE",$F$7,"DEEP_PERIOD_OVERRIDE",AC$11)*1,"")))</f>
        <v/>
      </c>
      <c r="AD59" s="17" t="str">
        <f ca="1">IF(ISNA($B59),"",IF($B59="","",IFERROR(_xll.BDP(TICKER,"DEEP_MEASURE_PERIOD_BROKER_VALUE","DEEP_MEASURE_ID_OVERRIDE",$C59,"DEEP_BROKER_ID_OVERRIDE",$F$7,"DEEP_PERIOD_OVERRIDE",AD$11)*1,"")))</f>
        <v/>
      </c>
      <c r="AE59" s="17" t="str">
        <f ca="1">IF(ISNA($B59),"",IF($B59="","",IFERROR(_xll.BDP(TICKER,"DEEP_MEASURE_PERIOD_BROKER_VALUE","DEEP_MEASURE_ID_OVERRIDE",$C59,"DEEP_BROKER_ID_OVERRIDE",$F$7,"DEEP_PERIOD_OVERRIDE",AE$11)*1,"")))</f>
        <v/>
      </c>
      <c r="AF59" s="17" t="str">
        <f ca="1">IF(ISNA($B59),"",IF($B59="","",IFERROR(_xll.BDP(TICKER,"DEEP_MEASURE_PERIOD_BROKER_VALUE","DEEP_MEASURE_ID_OVERRIDE",$C59,"DEEP_BROKER_ID_OVERRIDE",$F$7,"DEEP_PERIOD_OVERRIDE",AF$11)*1,"")))</f>
        <v/>
      </c>
      <c r="AG59" s="17" t="str">
        <f ca="1">IF(ISNA($B59),"",IF($B59="","",IFERROR(_xll.BDP(TICKER,"DEEP_MEASURE_PERIOD_BROKER_VALUE","DEEP_MEASURE_ID_OVERRIDE",$C59,"DEEP_BROKER_ID_OVERRIDE",$F$7,"DEEP_PERIOD_OVERRIDE",AG$11)*1,"")))</f>
        <v/>
      </c>
      <c r="AH59" s="17" t="str">
        <f ca="1">IF(ISNA($B59),"",IF($B59="","",IFERROR(_xll.BDP(TICKER,"DEEP_MEASURE_PERIOD_BROKER_VALUE","DEEP_MEASURE_ID_OVERRIDE",$C59,"DEEP_BROKER_ID_OVERRIDE",$F$7,"DEEP_PERIOD_OVERRIDE",AH$11)*1,"")))</f>
        <v/>
      </c>
      <c r="AI59" s="17" t="str">
        <f ca="1">IF(ISNA($B59),"",IF($B59="","",IFERROR(_xll.BDP(TICKER,"DEEP_MEASURE_PERIOD_BROKER_VALUE","DEEP_MEASURE_ID_OVERRIDE",$C59,"DEEP_BROKER_ID_OVERRIDE",$F$7,"DEEP_PERIOD_OVERRIDE",AI$11)*1,"")))</f>
        <v/>
      </c>
      <c r="AJ59" s="17" t="str">
        <f ca="1">IF(ISNA($B59),"",IF($B59="","",IFERROR(_xll.BDP(TICKER,"DEEP_MEASURE_PERIOD_BROKER_VALUE","DEEP_MEASURE_ID_OVERRIDE",$C59,"DEEP_BROKER_ID_OVERRIDE",$F$7,"DEEP_PERIOD_OVERRIDE",AJ$11)*1,"")))</f>
        <v/>
      </c>
      <c r="AK59" s="17" t="str">
        <f ca="1">IF(ISNA($B59),"",IF($B59="","",IFERROR(_xll.BDP(TICKER,"DEEP_MEASURE_PERIOD_BROKER_VALUE","DEEP_MEASURE_ID_OVERRIDE",$C59,"DEEP_BROKER_ID_OVERRIDE",$F$7,"DEEP_PERIOD_OVERRIDE",AK$11)*1,"")))</f>
        <v/>
      </c>
      <c r="AL59" s="17" t="str">
        <f ca="1">IF(ISNA($B59),"",IF($B59="","",IFERROR(_xll.BDP(TICKER,"DEEP_MEASURE_PERIOD_BROKER_VALUE","DEEP_MEASURE_ID_OVERRIDE",$C59,"DEEP_BROKER_ID_OVERRIDE",$F$7,"DEEP_PERIOD_OVERRIDE",AL$11)*1,"")))</f>
        <v/>
      </c>
      <c r="AM59" s="17" t="str">
        <f ca="1">IF(ISNA($B59),"",IF($B59="","",IFERROR(_xll.BDP(TICKER,"DEEP_MEASURE_PERIOD_BROKER_VALUE","DEEP_MEASURE_ID_OVERRIDE",$C59,"DEEP_BROKER_ID_OVERRIDE",$F$7,"DEEP_PERIOD_OVERRIDE",AM$11)*1,"")))</f>
        <v/>
      </c>
      <c r="AN59" s="17" t="str">
        <f ca="1">IF(ISNA($B59),"",IF($B59="","",IFERROR(_xll.BDP(TICKER,"DEEP_MEASURE_PERIOD_BROKER_VALUE","DEEP_MEASURE_ID_OVERRIDE",$C59,"DEEP_BROKER_ID_OVERRIDE",$F$7,"DEEP_PERIOD_OVERRIDE",AN$11)*1,"")))</f>
        <v/>
      </c>
      <c r="AO59" s="17" t="str">
        <f ca="1">IF(ISNA($B59),"",IF($B59="","",IFERROR(_xll.BDP(TICKER,"DEEP_MEASURE_PERIOD_BROKER_VALUE","DEEP_MEASURE_ID_OVERRIDE",$C59,"DEEP_BROKER_ID_OVERRIDE",$F$7,"DEEP_PERIOD_OVERRIDE",AO$11)*1,"")))</f>
        <v/>
      </c>
      <c r="AP59" s="17" t="str">
        <f ca="1">IF(ISNA($B59),"",IF($B59="","",IFERROR(_xll.BDP(TICKER,"DEEP_MEASURE_PERIOD_BROKER_VALUE","DEEP_MEASURE_ID_OVERRIDE",$C59,"DEEP_BROKER_ID_OVERRIDE",$F$7,"DEEP_PERIOD_OVERRIDE",AP$11)*1,"")))</f>
        <v/>
      </c>
      <c r="AQ59" s="17" t="str">
        <f ca="1">IF(ISNA($B59),"",IF($B59="","",IFERROR(_xll.BDP(TICKER,"DEEP_MEASURE_PERIOD_BROKER_VALUE","DEEP_MEASURE_ID_OVERRIDE",$C59,"DEEP_BROKER_ID_OVERRIDE",$F$7,"DEEP_PERIOD_OVERRIDE",AQ$11)*1,"")))</f>
        <v/>
      </c>
    </row>
    <row r="60" spans="2:43" x14ac:dyDescent="0.25">
      <c r="B60" t="s">
        <v>109</v>
      </c>
      <c r="C60" s="11">
        <v>8641</v>
      </c>
      <c r="H60" t="str">
        <f t="shared" si="2"/>
        <v>Total Revenue &gt; Hotel &gt; Revenue &gt; TripAdvisor-branded Click-based &amp; Transaction &gt; Smartphone Revenue</v>
      </c>
      <c r="I60" s="17" t="str">
        <f ca="1">IF(ISNA($B60),"",IF($B60="","",IFERROR(_xll.BDP(TICKER,"DEEP_MEASURE_PERIOD_BROKER_VALUE","DEEP_MEASURE_ID_OVERRIDE",$C60,"DEEP_BROKER_ID_OVERRIDE",$F$7,"DEEP_PERIOD_OVERRIDE",I$11)*1,"")))</f>
        <v/>
      </c>
      <c r="J60" s="17" t="str">
        <f ca="1">IF(ISNA($B60),"",IF($B60="","",IFERROR(_xll.BDP(TICKER,"DEEP_MEASURE_PERIOD_BROKER_VALUE","DEEP_MEASURE_ID_OVERRIDE",$C60,"DEEP_BROKER_ID_OVERRIDE",$F$7,"DEEP_PERIOD_OVERRIDE",J$11)*1,"")))</f>
        <v/>
      </c>
      <c r="K60" s="17" t="str">
        <f ca="1">IF(ISNA($B60),"",IF($B60="","",IFERROR(_xll.BDP(TICKER,"DEEP_MEASURE_PERIOD_BROKER_VALUE","DEEP_MEASURE_ID_OVERRIDE",$C60,"DEEP_BROKER_ID_OVERRIDE",$F$7,"DEEP_PERIOD_OVERRIDE",K$11)*1,"")))</f>
        <v/>
      </c>
      <c r="L60" s="17" t="str">
        <f ca="1">IF(ISNA($B60),"",IF($B60="","",IFERROR(_xll.BDP(TICKER,"DEEP_MEASURE_PERIOD_BROKER_VALUE","DEEP_MEASURE_ID_OVERRIDE",$C60,"DEEP_BROKER_ID_OVERRIDE",$F$7,"DEEP_PERIOD_OVERRIDE",L$11)*1,"")))</f>
        <v/>
      </c>
      <c r="M60" s="17" t="str">
        <f ca="1">IF(ISNA($B60),"",IF($B60="","",IFERROR(_xll.BDP(TICKER,"DEEP_MEASURE_PERIOD_BROKER_VALUE","DEEP_MEASURE_ID_OVERRIDE",$C60,"DEEP_BROKER_ID_OVERRIDE",$F$7,"DEEP_PERIOD_OVERRIDE",M$11)*1,"")))</f>
        <v/>
      </c>
      <c r="N60" s="17" t="str">
        <f ca="1">IF(ISNA($B60),"",IF($B60="","",IFERROR(_xll.BDP(TICKER,"DEEP_MEASURE_PERIOD_BROKER_VALUE","DEEP_MEASURE_ID_OVERRIDE",$C60,"DEEP_BROKER_ID_OVERRIDE",$F$7,"DEEP_PERIOD_OVERRIDE",N$11)*1,"")))</f>
        <v/>
      </c>
      <c r="O60" s="17" t="str">
        <f ca="1">IF(ISNA($B60),"",IF($B60="","",IFERROR(_xll.BDP(TICKER,"DEEP_MEASURE_PERIOD_BROKER_VALUE","DEEP_MEASURE_ID_OVERRIDE",$C60,"DEEP_BROKER_ID_OVERRIDE",$F$7,"DEEP_PERIOD_OVERRIDE",O$11)*1,"")))</f>
        <v/>
      </c>
      <c r="P60" s="17" t="str">
        <f ca="1">IF(ISNA($B60),"",IF($B60="","",IFERROR(_xll.BDP(TICKER,"DEEP_MEASURE_PERIOD_BROKER_VALUE","DEEP_MEASURE_ID_OVERRIDE",$C60,"DEEP_BROKER_ID_OVERRIDE",$F$7,"DEEP_PERIOD_OVERRIDE",P$11)*1,"")))</f>
        <v/>
      </c>
      <c r="Q60" s="17" t="str">
        <f ca="1">IF(ISNA($B60),"",IF($B60="","",IFERROR(_xll.BDP(TICKER,"DEEP_MEASURE_PERIOD_BROKER_VALUE","DEEP_MEASURE_ID_OVERRIDE",$C60,"DEEP_BROKER_ID_OVERRIDE",$F$7,"DEEP_PERIOD_OVERRIDE",Q$11)*1,"")))</f>
        <v/>
      </c>
      <c r="R60" s="17" t="str">
        <f ca="1">IF(ISNA($B60),"",IF($B60="","",IFERROR(_xll.BDP(TICKER,"DEEP_MEASURE_PERIOD_BROKER_VALUE","DEEP_MEASURE_ID_OVERRIDE",$C60,"DEEP_BROKER_ID_OVERRIDE",$F$7,"DEEP_PERIOD_OVERRIDE",R$11)*1,"")))</f>
        <v/>
      </c>
      <c r="S60" s="17" t="str">
        <f ca="1">IF(ISNA($B60),"",IF($B60="","",IFERROR(_xll.BDP(TICKER,"DEEP_MEASURE_PERIOD_BROKER_VALUE","DEEP_MEASURE_ID_OVERRIDE",$C60,"DEEP_BROKER_ID_OVERRIDE",$F$7,"DEEP_PERIOD_OVERRIDE",S$11)*1,"")))</f>
        <v/>
      </c>
      <c r="T60" s="17" t="str">
        <f ca="1">IF(ISNA($B60),"",IF($B60="","",IFERROR(_xll.BDP(TICKER,"DEEP_MEASURE_PERIOD_BROKER_VALUE","DEEP_MEASURE_ID_OVERRIDE",$C60,"DEEP_BROKER_ID_OVERRIDE",$F$7,"DEEP_PERIOD_OVERRIDE",T$11)*1,"")))</f>
        <v/>
      </c>
      <c r="U60" s="17" t="str">
        <f ca="1">IF(ISNA($B60),"",IF($B60="","",IFERROR(_xll.BDP(TICKER,"DEEP_MEASURE_PERIOD_BROKER_VALUE","DEEP_MEASURE_ID_OVERRIDE",$C60,"DEEP_BROKER_ID_OVERRIDE",$F$7,"DEEP_PERIOD_OVERRIDE",U$11)*1,"")))</f>
        <v/>
      </c>
      <c r="V60" s="17" t="str">
        <f ca="1">IF(ISNA($B60),"",IF($B60="","",IFERROR(_xll.BDP(TICKER,"DEEP_MEASURE_PERIOD_BROKER_VALUE","DEEP_MEASURE_ID_OVERRIDE",$C60,"DEEP_BROKER_ID_OVERRIDE",$F$7,"DEEP_PERIOD_OVERRIDE",V$11)*1,"")))</f>
        <v/>
      </c>
      <c r="W60" s="17" t="str">
        <f ca="1">IF(ISNA($B60),"",IF($B60="","",IFERROR(_xll.BDP(TICKER,"DEEP_MEASURE_PERIOD_BROKER_VALUE","DEEP_MEASURE_ID_OVERRIDE",$C60,"DEEP_BROKER_ID_OVERRIDE",$F$7,"DEEP_PERIOD_OVERRIDE",W$11)*1,"")))</f>
        <v/>
      </c>
      <c r="X60" s="17" t="str">
        <f ca="1">IF(ISNA($B60),"",IF($B60="","",IFERROR(_xll.BDP(TICKER,"DEEP_MEASURE_PERIOD_BROKER_VALUE","DEEP_MEASURE_ID_OVERRIDE",$C60,"DEEP_BROKER_ID_OVERRIDE",$F$7,"DEEP_PERIOD_OVERRIDE",X$11)*1,"")))</f>
        <v/>
      </c>
      <c r="Y60" s="17" t="str">
        <f ca="1">IF(ISNA($B60),"",IF($B60="","",IFERROR(_xll.BDP(TICKER,"DEEP_MEASURE_PERIOD_BROKER_VALUE","DEEP_MEASURE_ID_OVERRIDE",$C60,"DEEP_BROKER_ID_OVERRIDE",$F$7,"DEEP_PERIOD_OVERRIDE",Y$11)*1,"")))</f>
        <v/>
      </c>
      <c r="Z60" s="17" t="str">
        <f ca="1">IF(ISNA($B60),"",IF($B60="","",IFERROR(_xll.BDP(TICKER,"DEEP_MEASURE_PERIOD_BROKER_VALUE","DEEP_MEASURE_ID_OVERRIDE",$C60,"DEEP_BROKER_ID_OVERRIDE",$F$7,"DEEP_PERIOD_OVERRIDE",Z$11)*1,"")))</f>
        <v/>
      </c>
      <c r="AA60" s="17" t="str">
        <f ca="1">IF(ISNA($B60),"",IF($B60="","",IFERROR(_xll.BDP(TICKER,"DEEP_MEASURE_PERIOD_BROKER_VALUE","DEEP_MEASURE_ID_OVERRIDE",$C60,"DEEP_BROKER_ID_OVERRIDE",$F$7,"DEEP_PERIOD_OVERRIDE",AA$11)*1,"")))</f>
        <v/>
      </c>
      <c r="AB60" s="17" t="str">
        <f ca="1">IF(ISNA($B60),"",IF($B60="","",IFERROR(_xll.BDP(TICKER,"DEEP_MEASURE_PERIOD_BROKER_VALUE","DEEP_MEASURE_ID_OVERRIDE",$C60,"DEEP_BROKER_ID_OVERRIDE",$F$7,"DEEP_PERIOD_OVERRIDE",AB$11)*1,"")))</f>
        <v/>
      </c>
      <c r="AC60" s="17" t="str">
        <f ca="1">IF(ISNA($B60),"",IF($B60="","",IFERROR(_xll.BDP(TICKER,"DEEP_MEASURE_PERIOD_BROKER_VALUE","DEEP_MEASURE_ID_OVERRIDE",$C60,"DEEP_BROKER_ID_OVERRIDE",$F$7,"DEEP_PERIOD_OVERRIDE",AC$11)*1,"")))</f>
        <v/>
      </c>
      <c r="AD60" s="17" t="str">
        <f ca="1">IF(ISNA($B60),"",IF($B60="","",IFERROR(_xll.BDP(TICKER,"DEEP_MEASURE_PERIOD_BROKER_VALUE","DEEP_MEASURE_ID_OVERRIDE",$C60,"DEEP_BROKER_ID_OVERRIDE",$F$7,"DEEP_PERIOD_OVERRIDE",AD$11)*1,"")))</f>
        <v/>
      </c>
      <c r="AE60" s="17" t="str">
        <f ca="1">IF(ISNA($B60),"",IF($B60="","",IFERROR(_xll.BDP(TICKER,"DEEP_MEASURE_PERIOD_BROKER_VALUE","DEEP_MEASURE_ID_OVERRIDE",$C60,"DEEP_BROKER_ID_OVERRIDE",$F$7,"DEEP_PERIOD_OVERRIDE",AE$11)*1,"")))</f>
        <v/>
      </c>
      <c r="AF60" s="17" t="str">
        <f ca="1">IF(ISNA($B60),"",IF($B60="","",IFERROR(_xll.BDP(TICKER,"DEEP_MEASURE_PERIOD_BROKER_VALUE","DEEP_MEASURE_ID_OVERRIDE",$C60,"DEEP_BROKER_ID_OVERRIDE",$F$7,"DEEP_PERIOD_OVERRIDE",AF$11)*1,"")))</f>
        <v/>
      </c>
      <c r="AG60" s="17" t="str">
        <f ca="1">IF(ISNA($B60),"",IF($B60="","",IFERROR(_xll.BDP(TICKER,"DEEP_MEASURE_PERIOD_BROKER_VALUE","DEEP_MEASURE_ID_OVERRIDE",$C60,"DEEP_BROKER_ID_OVERRIDE",$F$7,"DEEP_PERIOD_OVERRIDE",AG$11)*1,"")))</f>
        <v/>
      </c>
      <c r="AH60" s="17" t="str">
        <f ca="1">IF(ISNA($B60),"",IF($B60="","",IFERROR(_xll.BDP(TICKER,"DEEP_MEASURE_PERIOD_BROKER_VALUE","DEEP_MEASURE_ID_OVERRIDE",$C60,"DEEP_BROKER_ID_OVERRIDE",$F$7,"DEEP_PERIOD_OVERRIDE",AH$11)*1,"")))</f>
        <v/>
      </c>
      <c r="AI60" s="17" t="str">
        <f ca="1">IF(ISNA($B60),"",IF($B60="","",IFERROR(_xll.BDP(TICKER,"DEEP_MEASURE_PERIOD_BROKER_VALUE","DEEP_MEASURE_ID_OVERRIDE",$C60,"DEEP_BROKER_ID_OVERRIDE",$F$7,"DEEP_PERIOD_OVERRIDE",AI$11)*1,"")))</f>
        <v/>
      </c>
      <c r="AJ60" s="17" t="str">
        <f ca="1">IF(ISNA($B60),"",IF($B60="","",IFERROR(_xll.BDP(TICKER,"DEEP_MEASURE_PERIOD_BROKER_VALUE","DEEP_MEASURE_ID_OVERRIDE",$C60,"DEEP_BROKER_ID_OVERRIDE",$F$7,"DEEP_PERIOD_OVERRIDE",AJ$11)*1,"")))</f>
        <v/>
      </c>
      <c r="AK60" s="17" t="str">
        <f ca="1">IF(ISNA($B60),"",IF($B60="","",IFERROR(_xll.BDP(TICKER,"DEEP_MEASURE_PERIOD_BROKER_VALUE","DEEP_MEASURE_ID_OVERRIDE",$C60,"DEEP_BROKER_ID_OVERRIDE",$F$7,"DEEP_PERIOD_OVERRIDE",AK$11)*1,"")))</f>
        <v/>
      </c>
      <c r="AL60" s="17" t="str">
        <f ca="1">IF(ISNA($B60),"",IF($B60="","",IFERROR(_xll.BDP(TICKER,"DEEP_MEASURE_PERIOD_BROKER_VALUE","DEEP_MEASURE_ID_OVERRIDE",$C60,"DEEP_BROKER_ID_OVERRIDE",$F$7,"DEEP_PERIOD_OVERRIDE",AL$11)*1,"")))</f>
        <v/>
      </c>
      <c r="AM60" s="17" t="str">
        <f ca="1">IF(ISNA($B60),"",IF($B60="","",IFERROR(_xll.BDP(TICKER,"DEEP_MEASURE_PERIOD_BROKER_VALUE","DEEP_MEASURE_ID_OVERRIDE",$C60,"DEEP_BROKER_ID_OVERRIDE",$F$7,"DEEP_PERIOD_OVERRIDE",AM$11)*1,"")))</f>
        <v/>
      </c>
      <c r="AN60" s="17" t="str">
        <f ca="1">IF(ISNA($B60),"",IF($B60="","",IFERROR(_xll.BDP(TICKER,"DEEP_MEASURE_PERIOD_BROKER_VALUE","DEEP_MEASURE_ID_OVERRIDE",$C60,"DEEP_BROKER_ID_OVERRIDE",$F$7,"DEEP_PERIOD_OVERRIDE",AN$11)*1,"")))</f>
        <v/>
      </c>
      <c r="AO60" s="17" t="str">
        <f ca="1">IF(ISNA($B60),"",IF($B60="","",IFERROR(_xll.BDP(TICKER,"DEEP_MEASURE_PERIOD_BROKER_VALUE","DEEP_MEASURE_ID_OVERRIDE",$C60,"DEEP_BROKER_ID_OVERRIDE",$F$7,"DEEP_PERIOD_OVERRIDE",AO$11)*1,"")))</f>
        <v/>
      </c>
      <c r="AP60" s="17" t="str">
        <f ca="1">IF(ISNA($B60),"",IF($B60="","",IFERROR(_xll.BDP(TICKER,"DEEP_MEASURE_PERIOD_BROKER_VALUE","DEEP_MEASURE_ID_OVERRIDE",$C60,"DEEP_BROKER_ID_OVERRIDE",$F$7,"DEEP_PERIOD_OVERRIDE",AP$11)*1,"")))</f>
        <v/>
      </c>
      <c r="AQ60" s="17" t="str">
        <f ca="1">IF(ISNA($B60),"",IF($B60="","",IFERROR(_xll.BDP(TICKER,"DEEP_MEASURE_PERIOD_BROKER_VALUE","DEEP_MEASURE_ID_OVERRIDE",$C60,"DEEP_BROKER_ID_OVERRIDE",$F$7,"DEEP_PERIOD_OVERRIDE",AQ$11)*1,"")))</f>
        <v/>
      </c>
    </row>
    <row r="61" spans="2:43" x14ac:dyDescent="0.25">
      <c r="B61" t="s">
        <v>110</v>
      </c>
      <c r="C61" s="11">
        <v>5004</v>
      </c>
      <c r="H61" t="str">
        <f t="shared" si="2"/>
        <v>Total Revenue &gt; Hotel &gt; Revenue &gt; TripAdvisor-branded Click-based &amp; Transaction &gt; Desktop Revenue</v>
      </c>
      <c r="I61" s="17" t="str">
        <f ca="1">IF(ISNA($B61),"",IF($B61="","",IFERROR(_xll.BDP(TICKER,"DEEP_MEASURE_PERIOD_BROKER_VALUE","DEEP_MEASURE_ID_OVERRIDE",$C61,"DEEP_BROKER_ID_OVERRIDE",$F$7,"DEEP_PERIOD_OVERRIDE",I$11)*1,"")))</f>
        <v/>
      </c>
      <c r="J61" s="17" t="str">
        <f ca="1">IF(ISNA($B61),"",IF($B61="","",IFERROR(_xll.BDP(TICKER,"DEEP_MEASURE_PERIOD_BROKER_VALUE","DEEP_MEASURE_ID_OVERRIDE",$C61,"DEEP_BROKER_ID_OVERRIDE",$F$7,"DEEP_PERIOD_OVERRIDE",J$11)*1,"")))</f>
        <v/>
      </c>
      <c r="K61" s="17" t="str">
        <f ca="1">IF(ISNA($B61),"",IF($B61="","",IFERROR(_xll.BDP(TICKER,"DEEP_MEASURE_PERIOD_BROKER_VALUE","DEEP_MEASURE_ID_OVERRIDE",$C61,"DEEP_BROKER_ID_OVERRIDE",$F$7,"DEEP_PERIOD_OVERRIDE",K$11)*1,"")))</f>
        <v/>
      </c>
      <c r="L61" s="17" t="str">
        <f ca="1">IF(ISNA($B61),"",IF($B61="","",IFERROR(_xll.BDP(TICKER,"DEEP_MEASURE_PERIOD_BROKER_VALUE","DEEP_MEASURE_ID_OVERRIDE",$C61,"DEEP_BROKER_ID_OVERRIDE",$F$7,"DEEP_PERIOD_OVERRIDE",L$11)*1,"")))</f>
        <v/>
      </c>
      <c r="M61" s="17" t="str">
        <f ca="1">IF(ISNA($B61),"",IF($B61="","",IFERROR(_xll.BDP(TICKER,"DEEP_MEASURE_PERIOD_BROKER_VALUE","DEEP_MEASURE_ID_OVERRIDE",$C61,"DEEP_BROKER_ID_OVERRIDE",$F$7,"DEEP_PERIOD_OVERRIDE",M$11)*1,"")))</f>
        <v/>
      </c>
      <c r="N61" s="17" t="str">
        <f ca="1">IF(ISNA($B61),"",IF($B61="","",IFERROR(_xll.BDP(TICKER,"DEEP_MEASURE_PERIOD_BROKER_VALUE","DEEP_MEASURE_ID_OVERRIDE",$C61,"DEEP_BROKER_ID_OVERRIDE",$F$7,"DEEP_PERIOD_OVERRIDE",N$11)*1,"")))</f>
        <v/>
      </c>
      <c r="O61" s="17" t="str">
        <f ca="1">IF(ISNA($B61),"",IF($B61="","",IFERROR(_xll.BDP(TICKER,"DEEP_MEASURE_PERIOD_BROKER_VALUE","DEEP_MEASURE_ID_OVERRIDE",$C61,"DEEP_BROKER_ID_OVERRIDE",$F$7,"DEEP_PERIOD_OVERRIDE",O$11)*1,"")))</f>
        <v/>
      </c>
      <c r="P61" s="17" t="str">
        <f ca="1">IF(ISNA($B61),"",IF($B61="","",IFERROR(_xll.BDP(TICKER,"DEEP_MEASURE_PERIOD_BROKER_VALUE","DEEP_MEASURE_ID_OVERRIDE",$C61,"DEEP_BROKER_ID_OVERRIDE",$F$7,"DEEP_PERIOD_OVERRIDE",P$11)*1,"")))</f>
        <v/>
      </c>
      <c r="Q61" s="17" t="str">
        <f ca="1">IF(ISNA($B61),"",IF($B61="","",IFERROR(_xll.BDP(TICKER,"DEEP_MEASURE_PERIOD_BROKER_VALUE","DEEP_MEASURE_ID_OVERRIDE",$C61,"DEEP_BROKER_ID_OVERRIDE",$F$7,"DEEP_PERIOD_OVERRIDE",Q$11)*1,"")))</f>
        <v/>
      </c>
      <c r="R61" s="17" t="str">
        <f ca="1">IF(ISNA($B61),"",IF($B61="","",IFERROR(_xll.BDP(TICKER,"DEEP_MEASURE_PERIOD_BROKER_VALUE","DEEP_MEASURE_ID_OVERRIDE",$C61,"DEEP_BROKER_ID_OVERRIDE",$F$7,"DEEP_PERIOD_OVERRIDE",R$11)*1,"")))</f>
        <v/>
      </c>
      <c r="S61" s="17" t="str">
        <f ca="1">IF(ISNA($B61),"",IF($B61="","",IFERROR(_xll.BDP(TICKER,"DEEP_MEASURE_PERIOD_BROKER_VALUE","DEEP_MEASURE_ID_OVERRIDE",$C61,"DEEP_BROKER_ID_OVERRIDE",$F$7,"DEEP_PERIOD_OVERRIDE",S$11)*1,"")))</f>
        <v/>
      </c>
      <c r="T61" s="17" t="str">
        <f ca="1">IF(ISNA($B61),"",IF($B61="","",IFERROR(_xll.BDP(TICKER,"DEEP_MEASURE_PERIOD_BROKER_VALUE","DEEP_MEASURE_ID_OVERRIDE",$C61,"DEEP_BROKER_ID_OVERRIDE",$F$7,"DEEP_PERIOD_OVERRIDE",T$11)*1,"")))</f>
        <v/>
      </c>
      <c r="U61" s="17" t="str">
        <f ca="1">IF(ISNA($B61),"",IF($B61="","",IFERROR(_xll.BDP(TICKER,"DEEP_MEASURE_PERIOD_BROKER_VALUE","DEEP_MEASURE_ID_OVERRIDE",$C61,"DEEP_BROKER_ID_OVERRIDE",$F$7,"DEEP_PERIOD_OVERRIDE",U$11)*1,"")))</f>
        <v/>
      </c>
      <c r="V61" s="17" t="str">
        <f ca="1">IF(ISNA($B61),"",IF($B61="","",IFERROR(_xll.BDP(TICKER,"DEEP_MEASURE_PERIOD_BROKER_VALUE","DEEP_MEASURE_ID_OVERRIDE",$C61,"DEEP_BROKER_ID_OVERRIDE",$F$7,"DEEP_PERIOD_OVERRIDE",V$11)*1,"")))</f>
        <v/>
      </c>
      <c r="W61" s="17" t="str">
        <f ca="1">IF(ISNA($B61),"",IF($B61="","",IFERROR(_xll.BDP(TICKER,"DEEP_MEASURE_PERIOD_BROKER_VALUE","DEEP_MEASURE_ID_OVERRIDE",$C61,"DEEP_BROKER_ID_OVERRIDE",$F$7,"DEEP_PERIOD_OVERRIDE",W$11)*1,"")))</f>
        <v/>
      </c>
      <c r="X61" s="17" t="str">
        <f ca="1">IF(ISNA($B61),"",IF($B61="","",IFERROR(_xll.BDP(TICKER,"DEEP_MEASURE_PERIOD_BROKER_VALUE","DEEP_MEASURE_ID_OVERRIDE",$C61,"DEEP_BROKER_ID_OVERRIDE",$F$7,"DEEP_PERIOD_OVERRIDE",X$11)*1,"")))</f>
        <v/>
      </c>
      <c r="Y61" s="17" t="str">
        <f ca="1">IF(ISNA($B61),"",IF($B61="","",IFERROR(_xll.BDP(TICKER,"DEEP_MEASURE_PERIOD_BROKER_VALUE","DEEP_MEASURE_ID_OVERRIDE",$C61,"DEEP_BROKER_ID_OVERRIDE",$F$7,"DEEP_PERIOD_OVERRIDE",Y$11)*1,"")))</f>
        <v/>
      </c>
      <c r="Z61" s="17" t="str">
        <f ca="1">IF(ISNA($B61),"",IF($B61="","",IFERROR(_xll.BDP(TICKER,"DEEP_MEASURE_PERIOD_BROKER_VALUE","DEEP_MEASURE_ID_OVERRIDE",$C61,"DEEP_BROKER_ID_OVERRIDE",$F$7,"DEEP_PERIOD_OVERRIDE",Z$11)*1,"")))</f>
        <v/>
      </c>
      <c r="AA61" s="17" t="str">
        <f ca="1">IF(ISNA($B61),"",IF($B61="","",IFERROR(_xll.BDP(TICKER,"DEEP_MEASURE_PERIOD_BROKER_VALUE","DEEP_MEASURE_ID_OVERRIDE",$C61,"DEEP_BROKER_ID_OVERRIDE",$F$7,"DEEP_PERIOD_OVERRIDE",AA$11)*1,"")))</f>
        <v/>
      </c>
      <c r="AB61" s="17" t="str">
        <f ca="1">IF(ISNA($B61),"",IF($B61="","",IFERROR(_xll.BDP(TICKER,"DEEP_MEASURE_PERIOD_BROKER_VALUE","DEEP_MEASURE_ID_OVERRIDE",$C61,"DEEP_BROKER_ID_OVERRIDE",$F$7,"DEEP_PERIOD_OVERRIDE",AB$11)*1,"")))</f>
        <v/>
      </c>
      <c r="AC61" s="17" t="str">
        <f ca="1">IF(ISNA($B61),"",IF($B61="","",IFERROR(_xll.BDP(TICKER,"DEEP_MEASURE_PERIOD_BROKER_VALUE","DEEP_MEASURE_ID_OVERRIDE",$C61,"DEEP_BROKER_ID_OVERRIDE",$F$7,"DEEP_PERIOD_OVERRIDE",AC$11)*1,"")))</f>
        <v/>
      </c>
      <c r="AD61" s="17" t="str">
        <f ca="1">IF(ISNA($B61),"",IF($B61="","",IFERROR(_xll.BDP(TICKER,"DEEP_MEASURE_PERIOD_BROKER_VALUE","DEEP_MEASURE_ID_OVERRIDE",$C61,"DEEP_BROKER_ID_OVERRIDE",$F$7,"DEEP_PERIOD_OVERRIDE",AD$11)*1,"")))</f>
        <v/>
      </c>
      <c r="AE61" s="17" t="str">
        <f ca="1">IF(ISNA($B61),"",IF($B61="","",IFERROR(_xll.BDP(TICKER,"DEEP_MEASURE_PERIOD_BROKER_VALUE","DEEP_MEASURE_ID_OVERRIDE",$C61,"DEEP_BROKER_ID_OVERRIDE",$F$7,"DEEP_PERIOD_OVERRIDE",AE$11)*1,"")))</f>
        <v/>
      </c>
      <c r="AF61" s="17" t="str">
        <f ca="1">IF(ISNA($B61),"",IF($B61="","",IFERROR(_xll.BDP(TICKER,"DEEP_MEASURE_PERIOD_BROKER_VALUE","DEEP_MEASURE_ID_OVERRIDE",$C61,"DEEP_BROKER_ID_OVERRIDE",$F$7,"DEEP_PERIOD_OVERRIDE",AF$11)*1,"")))</f>
        <v/>
      </c>
      <c r="AG61" s="17" t="str">
        <f ca="1">IF(ISNA($B61),"",IF($B61="","",IFERROR(_xll.BDP(TICKER,"DEEP_MEASURE_PERIOD_BROKER_VALUE","DEEP_MEASURE_ID_OVERRIDE",$C61,"DEEP_BROKER_ID_OVERRIDE",$F$7,"DEEP_PERIOD_OVERRIDE",AG$11)*1,"")))</f>
        <v/>
      </c>
      <c r="AH61" s="17" t="str">
        <f ca="1">IF(ISNA($B61),"",IF($B61="","",IFERROR(_xll.BDP(TICKER,"DEEP_MEASURE_PERIOD_BROKER_VALUE","DEEP_MEASURE_ID_OVERRIDE",$C61,"DEEP_BROKER_ID_OVERRIDE",$F$7,"DEEP_PERIOD_OVERRIDE",AH$11)*1,"")))</f>
        <v/>
      </c>
      <c r="AI61" s="17" t="str">
        <f ca="1">IF(ISNA($B61),"",IF($B61="","",IFERROR(_xll.BDP(TICKER,"DEEP_MEASURE_PERIOD_BROKER_VALUE","DEEP_MEASURE_ID_OVERRIDE",$C61,"DEEP_BROKER_ID_OVERRIDE",$F$7,"DEEP_PERIOD_OVERRIDE",AI$11)*1,"")))</f>
        <v/>
      </c>
      <c r="AJ61" s="17" t="str">
        <f ca="1">IF(ISNA($B61),"",IF($B61="","",IFERROR(_xll.BDP(TICKER,"DEEP_MEASURE_PERIOD_BROKER_VALUE","DEEP_MEASURE_ID_OVERRIDE",$C61,"DEEP_BROKER_ID_OVERRIDE",$F$7,"DEEP_PERIOD_OVERRIDE",AJ$11)*1,"")))</f>
        <v/>
      </c>
      <c r="AK61" s="17" t="str">
        <f ca="1">IF(ISNA($B61),"",IF($B61="","",IFERROR(_xll.BDP(TICKER,"DEEP_MEASURE_PERIOD_BROKER_VALUE","DEEP_MEASURE_ID_OVERRIDE",$C61,"DEEP_BROKER_ID_OVERRIDE",$F$7,"DEEP_PERIOD_OVERRIDE",AK$11)*1,"")))</f>
        <v/>
      </c>
      <c r="AL61" s="17" t="str">
        <f ca="1">IF(ISNA($B61),"",IF($B61="","",IFERROR(_xll.BDP(TICKER,"DEEP_MEASURE_PERIOD_BROKER_VALUE","DEEP_MEASURE_ID_OVERRIDE",$C61,"DEEP_BROKER_ID_OVERRIDE",$F$7,"DEEP_PERIOD_OVERRIDE",AL$11)*1,"")))</f>
        <v/>
      </c>
      <c r="AM61" s="17" t="str">
        <f ca="1">IF(ISNA($B61),"",IF($B61="","",IFERROR(_xll.BDP(TICKER,"DEEP_MEASURE_PERIOD_BROKER_VALUE","DEEP_MEASURE_ID_OVERRIDE",$C61,"DEEP_BROKER_ID_OVERRIDE",$F$7,"DEEP_PERIOD_OVERRIDE",AM$11)*1,"")))</f>
        <v/>
      </c>
      <c r="AN61" s="17" t="str">
        <f ca="1">IF(ISNA($B61),"",IF($B61="","",IFERROR(_xll.BDP(TICKER,"DEEP_MEASURE_PERIOD_BROKER_VALUE","DEEP_MEASURE_ID_OVERRIDE",$C61,"DEEP_BROKER_ID_OVERRIDE",$F$7,"DEEP_PERIOD_OVERRIDE",AN$11)*1,"")))</f>
        <v/>
      </c>
      <c r="AO61" s="17" t="str">
        <f ca="1">IF(ISNA($B61),"",IF($B61="","",IFERROR(_xll.BDP(TICKER,"DEEP_MEASURE_PERIOD_BROKER_VALUE","DEEP_MEASURE_ID_OVERRIDE",$C61,"DEEP_BROKER_ID_OVERRIDE",$F$7,"DEEP_PERIOD_OVERRIDE",AO$11)*1,"")))</f>
        <v/>
      </c>
      <c r="AP61" s="17" t="str">
        <f ca="1">IF(ISNA($B61),"",IF($B61="","",IFERROR(_xll.BDP(TICKER,"DEEP_MEASURE_PERIOD_BROKER_VALUE","DEEP_MEASURE_ID_OVERRIDE",$C61,"DEEP_BROKER_ID_OVERRIDE",$F$7,"DEEP_PERIOD_OVERRIDE",AP$11)*1,"")))</f>
        <v/>
      </c>
      <c r="AQ61" s="17" t="str">
        <f ca="1">IF(ISNA($B61),"",IF($B61="","",IFERROR(_xll.BDP(TICKER,"DEEP_MEASURE_PERIOD_BROKER_VALUE","DEEP_MEASURE_ID_OVERRIDE",$C61,"DEEP_BROKER_ID_OVERRIDE",$F$7,"DEEP_PERIOD_OVERRIDE",AQ$11)*1,"")))</f>
        <v/>
      </c>
    </row>
    <row r="62" spans="2:43" x14ac:dyDescent="0.25">
      <c r="B62" t="s">
        <v>111</v>
      </c>
      <c r="C62" s="11">
        <v>1937</v>
      </c>
      <c r="H62" t="str">
        <f t="shared" si="2"/>
        <v>Total Revenue &gt; Hotel &gt; Revenue &gt; TripAdvisor-branded Display-based Advertising &amp; Subscription</v>
      </c>
      <c r="I62" s="17" t="str">
        <f ca="1">IF(ISNA($B62),"",IF($B62="","",IFERROR(_xll.BDP(TICKER,"DEEP_MEASURE_PERIOD_BROKER_VALUE","DEEP_MEASURE_ID_OVERRIDE",$C62,"DEEP_BROKER_ID_OVERRIDE",$F$7,"DEEP_PERIOD_OVERRIDE",I$11)*1,"")))</f>
        <v/>
      </c>
      <c r="J62" s="17" t="str">
        <f ca="1">IF(ISNA($B62),"",IF($B62="","",IFERROR(_xll.BDP(TICKER,"DEEP_MEASURE_PERIOD_BROKER_VALUE","DEEP_MEASURE_ID_OVERRIDE",$C62,"DEEP_BROKER_ID_OVERRIDE",$F$7,"DEEP_PERIOD_OVERRIDE",J$11)*1,"")))</f>
        <v/>
      </c>
      <c r="K62" s="17" t="str">
        <f ca="1">IF(ISNA($B62),"",IF($B62="","",IFERROR(_xll.BDP(TICKER,"DEEP_MEASURE_PERIOD_BROKER_VALUE","DEEP_MEASURE_ID_OVERRIDE",$C62,"DEEP_BROKER_ID_OVERRIDE",$F$7,"DEEP_PERIOD_OVERRIDE",K$11)*1,"")))</f>
        <v/>
      </c>
      <c r="L62" s="17" t="str">
        <f ca="1">IF(ISNA($B62),"",IF($B62="","",IFERROR(_xll.BDP(TICKER,"DEEP_MEASURE_PERIOD_BROKER_VALUE","DEEP_MEASURE_ID_OVERRIDE",$C62,"DEEP_BROKER_ID_OVERRIDE",$F$7,"DEEP_PERIOD_OVERRIDE",L$11)*1,"")))</f>
        <v/>
      </c>
      <c r="M62" s="17" t="str">
        <f ca="1">IF(ISNA($B62),"",IF($B62="","",IFERROR(_xll.BDP(TICKER,"DEEP_MEASURE_PERIOD_BROKER_VALUE","DEEP_MEASURE_ID_OVERRIDE",$C62,"DEEP_BROKER_ID_OVERRIDE",$F$7,"DEEP_PERIOD_OVERRIDE",M$11)*1,"")))</f>
        <v/>
      </c>
      <c r="N62" s="17" t="str">
        <f ca="1">IF(ISNA($B62),"",IF($B62="","",IFERROR(_xll.BDP(TICKER,"DEEP_MEASURE_PERIOD_BROKER_VALUE","DEEP_MEASURE_ID_OVERRIDE",$C62,"DEEP_BROKER_ID_OVERRIDE",$F$7,"DEEP_PERIOD_OVERRIDE",N$11)*1,"")))</f>
        <v/>
      </c>
      <c r="O62" s="17" t="str">
        <f ca="1">IF(ISNA($B62),"",IF($B62="","",IFERROR(_xll.BDP(TICKER,"DEEP_MEASURE_PERIOD_BROKER_VALUE","DEEP_MEASURE_ID_OVERRIDE",$C62,"DEEP_BROKER_ID_OVERRIDE",$F$7,"DEEP_PERIOD_OVERRIDE",O$11)*1,"")))</f>
        <v/>
      </c>
      <c r="P62" s="17" t="str">
        <f ca="1">IF(ISNA($B62),"",IF($B62="","",IFERROR(_xll.BDP(TICKER,"DEEP_MEASURE_PERIOD_BROKER_VALUE","DEEP_MEASURE_ID_OVERRIDE",$C62,"DEEP_BROKER_ID_OVERRIDE",$F$7,"DEEP_PERIOD_OVERRIDE",P$11)*1,"")))</f>
        <v/>
      </c>
      <c r="Q62" s="17" t="str">
        <f ca="1">IF(ISNA($B62),"",IF($B62="","",IFERROR(_xll.BDP(TICKER,"DEEP_MEASURE_PERIOD_BROKER_VALUE","DEEP_MEASURE_ID_OVERRIDE",$C62,"DEEP_BROKER_ID_OVERRIDE",$F$7,"DEEP_PERIOD_OVERRIDE",Q$11)*1,"")))</f>
        <v/>
      </c>
      <c r="R62" s="17" t="str">
        <f ca="1">IF(ISNA($B62),"",IF($B62="","",IFERROR(_xll.BDP(TICKER,"DEEP_MEASURE_PERIOD_BROKER_VALUE","DEEP_MEASURE_ID_OVERRIDE",$C62,"DEEP_BROKER_ID_OVERRIDE",$F$7,"DEEP_PERIOD_OVERRIDE",R$11)*1,"")))</f>
        <v/>
      </c>
      <c r="S62" s="17" t="str">
        <f ca="1">IF(ISNA($B62),"",IF($B62="","",IFERROR(_xll.BDP(TICKER,"DEEP_MEASURE_PERIOD_BROKER_VALUE","DEEP_MEASURE_ID_OVERRIDE",$C62,"DEEP_BROKER_ID_OVERRIDE",$F$7,"DEEP_PERIOD_OVERRIDE",S$11)*1,"")))</f>
        <v/>
      </c>
      <c r="T62" s="17" t="str">
        <f ca="1">IF(ISNA($B62),"",IF($B62="","",IFERROR(_xll.BDP(TICKER,"DEEP_MEASURE_PERIOD_BROKER_VALUE","DEEP_MEASURE_ID_OVERRIDE",$C62,"DEEP_BROKER_ID_OVERRIDE",$F$7,"DEEP_PERIOD_OVERRIDE",T$11)*1,"")))</f>
        <v/>
      </c>
      <c r="U62" s="17" t="str">
        <f ca="1">IF(ISNA($B62),"",IF($B62="","",IFERROR(_xll.BDP(TICKER,"DEEP_MEASURE_PERIOD_BROKER_VALUE","DEEP_MEASURE_ID_OVERRIDE",$C62,"DEEP_BROKER_ID_OVERRIDE",$F$7,"DEEP_PERIOD_OVERRIDE",U$11)*1,"")))</f>
        <v/>
      </c>
      <c r="V62" s="17" t="str">
        <f ca="1">IF(ISNA($B62),"",IF($B62="","",IFERROR(_xll.BDP(TICKER,"DEEP_MEASURE_PERIOD_BROKER_VALUE","DEEP_MEASURE_ID_OVERRIDE",$C62,"DEEP_BROKER_ID_OVERRIDE",$F$7,"DEEP_PERIOD_OVERRIDE",V$11)*1,"")))</f>
        <v/>
      </c>
      <c r="W62" s="17" t="str">
        <f ca="1">IF(ISNA($B62),"",IF($B62="","",IFERROR(_xll.BDP(TICKER,"DEEP_MEASURE_PERIOD_BROKER_VALUE","DEEP_MEASURE_ID_OVERRIDE",$C62,"DEEP_BROKER_ID_OVERRIDE",$F$7,"DEEP_PERIOD_OVERRIDE",W$11)*1,"")))</f>
        <v/>
      </c>
      <c r="X62" s="17" t="str">
        <f ca="1">IF(ISNA($B62),"",IF($B62="","",IFERROR(_xll.BDP(TICKER,"DEEP_MEASURE_PERIOD_BROKER_VALUE","DEEP_MEASURE_ID_OVERRIDE",$C62,"DEEP_BROKER_ID_OVERRIDE",$F$7,"DEEP_PERIOD_OVERRIDE",X$11)*1,"")))</f>
        <v/>
      </c>
      <c r="Y62" s="17" t="str">
        <f ca="1">IF(ISNA($B62),"",IF($B62="","",IFERROR(_xll.BDP(TICKER,"DEEP_MEASURE_PERIOD_BROKER_VALUE","DEEP_MEASURE_ID_OVERRIDE",$C62,"DEEP_BROKER_ID_OVERRIDE",$F$7,"DEEP_PERIOD_OVERRIDE",Y$11)*1,"")))</f>
        <v/>
      </c>
      <c r="Z62" s="17" t="str">
        <f ca="1">IF(ISNA($B62),"",IF($B62="","",IFERROR(_xll.BDP(TICKER,"DEEP_MEASURE_PERIOD_BROKER_VALUE","DEEP_MEASURE_ID_OVERRIDE",$C62,"DEEP_BROKER_ID_OVERRIDE",$F$7,"DEEP_PERIOD_OVERRIDE",Z$11)*1,"")))</f>
        <v/>
      </c>
      <c r="AA62" s="17" t="str">
        <f ca="1">IF(ISNA($B62),"",IF($B62="","",IFERROR(_xll.BDP(TICKER,"DEEP_MEASURE_PERIOD_BROKER_VALUE","DEEP_MEASURE_ID_OVERRIDE",$C62,"DEEP_BROKER_ID_OVERRIDE",$F$7,"DEEP_PERIOD_OVERRIDE",AA$11)*1,"")))</f>
        <v/>
      </c>
      <c r="AB62" s="17" t="str">
        <f ca="1">IF(ISNA($B62),"",IF($B62="","",IFERROR(_xll.BDP(TICKER,"DEEP_MEASURE_PERIOD_BROKER_VALUE","DEEP_MEASURE_ID_OVERRIDE",$C62,"DEEP_BROKER_ID_OVERRIDE",$F$7,"DEEP_PERIOD_OVERRIDE",AB$11)*1,"")))</f>
        <v/>
      </c>
      <c r="AC62" s="17" t="str">
        <f ca="1">IF(ISNA($B62),"",IF($B62="","",IFERROR(_xll.BDP(TICKER,"DEEP_MEASURE_PERIOD_BROKER_VALUE","DEEP_MEASURE_ID_OVERRIDE",$C62,"DEEP_BROKER_ID_OVERRIDE",$F$7,"DEEP_PERIOD_OVERRIDE",AC$11)*1,"")))</f>
        <v/>
      </c>
      <c r="AD62" s="17" t="str">
        <f ca="1">IF(ISNA($B62),"",IF($B62="","",IFERROR(_xll.BDP(TICKER,"DEEP_MEASURE_PERIOD_BROKER_VALUE","DEEP_MEASURE_ID_OVERRIDE",$C62,"DEEP_BROKER_ID_OVERRIDE",$F$7,"DEEP_PERIOD_OVERRIDE",AD$11)*1,"")))</f>
        <v/>
      </c>
      <c r="AE62" s="17" t="str">
        <f ca="1">IF(ISNA($B62),"",IF($B62="","",IFERROR(_xll.BDP(TICKER,"DEEP_MEASURE_PERIOD_BROKER_VALUE","DEEP_MEASURE_ID_OVERRIDE",$C62,"DEEP_BROKER_ID_OVERRIDE",$F$7,"DEEP_PERIOD_OVERRIDE",AE$11)*1,"")))</f>
        <v/>
      </c>
      <c r="AF62" s="17" t="str">
        <f ca="1">IF(ISNA($B62),"",IF($B62="","",IFERROR(_xll.BDP(TICKER,"DEEP_MEASURE_PERIOD_BROKER_VALUE","DEEP_MEASURE_ID_OVERRIDE",$C62,"DEEP_BROKER_ID_OVERRIDE",$F$7,"DEEP_PERIOD_OVERRIDE",AF$11)*1,"")))</f>
        <v/>
      </c>
      <c r="AG62" s="17" t="str">
        <f ca="1">IF(ISNA($B62),"",IF($B62="","",IFERROR(_xll.BDP(TICKER,"DEEP_MEASURE_PERIOD_BROKER_VALUE","DEEP_MEASURE_ID_OVERRIDE",$C62,"DEEP_BROKER_ID_OVERRIDE",$F$7,"DEEP_PERIOD_OVERRIDE",AG$11)*1,"")))</f>
        <v/>
      </c>
      <c r="AH62" s="17" t="str">
        <f ca="1">IF(ISNA($B62),"",IF($B62="","",IFERROR(_xll.BDP(TICKER,"DEEP_MEASURE_PERIOD_BROKER_VALUE","DEEP_MEASURE_ID_OVERRIDE",$C62,"DEEP_BROKER_ID_OVERRIDE",$F$7,"DEEP_PERIOD_OVERRIDE",AH$11)*1,"")))</f>
        <v/>
      </c>
      <c r="AI62" s="17" t="str">
        <f ca="1">IF(ISNA($B62),"",IF($B62="","",IFERROR(_xll.BDP(TICKER,"DEEP_MEASURE_PERIOD_BROKER_VALUE","DEEP_MEASURE_ID_OVERRIDE",$C62,"DEEP_BROKER_ID_OVERRIDE",$F$7,"DEEP_PERIOD_OVERRIDE",AI$11)*1,"")))</f>
        <v/>
      </c>
      <c r="AJ62" s="17" t="str">
        <f ca="1">IF(ISNA($B62),"",IF($B62="","",IFERROR(_xll.BDP(TICKER,"DEEP_MEASURE_PERIOD_BROKER_VALUE","DEEP_MEASURE_ID_OVERRIDE",$C62,"DEEP_BROKER_ID_OVERRIDE",$F$7,"DEEP_PERIOD_OVERRIDE",AJ$11)*1,"")))</f>
        <v/>
      </c>
      <c r="AK62" s="17" t="str">
        <f ca="1">IF(ISNA($B62),"",IF($B62="","",IFERROR(_xll.BDP(TICKER,"DEEP_MEASURE_PERIOD_BROKER_VALUE","DEEP_MEASURE_ID_OVERRIDE",$C62,"DEEP_BROKER_ID_OVERRIDE",$F$7,"DEEP_PERIOD_OVERRIDE",AK$11)*1,"")))</f>
        <v/>
      </c>
      <c r="AL62" s="17" t="str">
        <f ca="1">IF(ISNA($B62),"",IF($B62="","",IFERROR(_xll.BDP(TICKER,"DEEP_MEASURE_PERIOD_BROKER_VALUE","DEEP_MEASURE_ID_OVERRIDE",$C62,"DEEP_BROKER_ID_OVERRIDE",$F$7,"DEEP_PERIOD_OVERRIDE",AL$11)*1,"")))</f>
        <v/>
      </c>
      <c r="AM62" s="17" t="str">
        <f ca="1">IF(ISNA($B62),"",IF($B62="","",IFERROR(_xll.BDP(TICKER,"DEEP_MEASURE_PERIOD_BROKER_VALUE","DEEP_MEASURE_ID_OVERRIDE",$C62,"DEEP_BROKER_ID_OVERRIDE",$F$7,"DEEP_PERIOD_OVERRIDE",AM$11)*1,"")))</f>
        <v/>
      </c>
      <c r="AN62" s="17" t="str">
        <f ca="1">IF(ISNA($B62),"",IF($B62="","",IFERROR(_xll.BDP(TICKER,"DEEP_MEASURE_PERIOD_BROKER_VALUE","DEEP_MEASURE_ID_OVERRIDE",$C62,"DEEP_BROKER_ID_OVERRIDE",$F$7,"DEEP_PERIOD_OVERRIDE",AN$11)*1,"")))</f>
        <v/>
      </c>
      <c r="AO62" s="17" t="str">
        <f ca="1">IF(ISNA($B62),"",IF($B62="","",IFERROR(_xll.BDP(TICKER,"DEEP_MEASURE_PERIOD_BROKER_VALUE","DEEP_MEASURE_ID_OVERRIDE",$C62,"DEEP_BROKER_ID_OVERRIDE",$F$7,"DEEP_PERIOD_OVERRIDE",AO$11)*1,"")))</f>
        <v/>
      </c>
      <c r="AP62" s="17" t="str">
        <f ca="1">IF(ISNA($B62),"",IF($B62="","",IFERROR(_xll.BDP(TICKER,"DEEP_MEASURE_PERIOD_BROKER_VALUE","DEEP_MEASURE_ID_OVERRIDE",$C62,"DEEP_BROKER_ID_OVERRIDE",$F$7,"DEEP_PERIOD_OVERRIDE",AP$11)*1,"")))</f>
        <v/>
      </c>
      <c r="AQ62" s="17" t="str">
        <f ca="1">IF(ISNA($B62),"",IF($B62="","",IFERROR(_xll.BDP(TICKER,"DEEP_MEASURE_PERIOD_BROKER_VALUE","DEEP_MEASURE_ID_OVERRIDE",$C62,"DEEP_BROKER_ID_OVERRIDE",$F$7,"DEEP_PERIOD_OVERRIDE",AQ$11)*1,"")))</f>
        <v/>
      </c>
    </row>
    <row r="63" spans="2:43" x14ac:dyDescent="0.25">
      <c r="B63" t="s">
        <v>112</v>
      </c>
      <c r="C63" s="11">
        <v>1943</v>
      </c>
      <c r="H63" t="str">
        <f t="shared" si="2"/>
        <v>Total Revenue &gt; Hotel &gt; Revenue &gt; TripAdvisor-branded Display-based Advertising &amp; Subscription &gt; As % of Revenue</v>
      </c>
      <c r="I63" s="17" t="str">
        <f ca="1">IF(ISNA($B63),"",IF($B63="","",IFERROR(_xll.BDP(TICKER,"DEEP_MEASURE_PERIOD_BROKER_VALUE","DEEP_MEASURE_ID_OVERRIDE",$C63,"DEEP_BROKER_ID_OVERRIDE",$F$7,"DEEP_PERIOD_OVERRIDE",I$11)*1,"")))</f>
        <v/>
      </c>
      <c r="J63" s="17" t="str">
        <f ca="1">IF(ISNA($B63),"",IF($B63="","",IFERROR(_xll.BDP(TICKER,"DEEP_MEASURE_PERIOD_BROKER_VALUE","DEEP_MEASURE_ID_OVERRIDE",$C63,"DEEP_BROKER_ID_OVERRIDE",$F$7,"DEEP_PERIOD_OVERRIDE",J$11)*1,"")))</f>
        <v/>
      </c>
      <c r="K63" s="17" t="str">
        <f ca="1">IF(ISNA($B63),"",IF($B63="","",IFERROR(_xll.BDP(TICKER,"DEEP_MEASURE_PERIOD_BROKER_VALUE","DEEP_MEASURE_ID_OVERRIDE",$C63,"DEEP_BROKER_ID_OVERRIDE",$F$7,"DEEP_PERIOD_OVERRIDE",K$11)*1,"")))</f>
        <v/>
      </c>
      <c r="L63" s="17" t="str">
        <f ca="1">IF(ISNA($B63),"",IF($B63="","",IFERROR(_xll.BDP(TICKER,"DEEP_MEASURE_PERIOD_BROKER_VALUE","DEEP_MEASURE_ID_OVERRIDE",$C63,"DEEP_BROKER_ID_OVERRIDE",$F$7,"DEEP_PERIOD_OVERRIDE",L$11)*1,"")))</f>
        <v/>
      </c>
      <c r="M63" s="17" t="str">
        <f ca="1">IF(ISNA($B63),"",IF($B63="","",IFERROR(_xll.BDP(TICKER,"DEEP_MEASURE_PERIOD_BROKER_VALUE","DEEP_MEASURE_ID_OVERRIDE",$C63,"DEEP_BROKER_ID_OVERRIDE",$F$7,"DEEP_PERIOD_OVERRIDE",M$11)*1,"")))</f>
        <v/>
      </c>
      <c r="N63" s="17" t="str">
        <f ca="1">IF(ISNA($B63),"",IF($B63="","",IFERROR(_xll.BDP(TICKER,"DEEP_MEASURE_PERIOD_BROKER_VALUE","DEEP_MEASURE_ID_OVERRIDE",$C63,"DEEP_BROKER_ID_OVERRIDE",$F$7,"DEEP_PERIOD_OVERRIDE",N$11)*1,"")))</f>
        <v/>
      </c>
      <c r="O63" s="17" t="str">
        <f ca="1">IF(ISNA($B63),"",IF($B63="","",IFERROR(_xll.BDP(TICKER,"DEEP_MEASURE_PERIOD_BROKER_VALUE","DEEP_MEASURE_ID_OVERRIDE",$C63,"DEEP_BROKER_ID_OVERRIDE",$F$7,"DEEP_PERIOD_OVERRIDE",O$11)*1,"")))</f>
        <v/>
      </c>
      <c r="P63" s="17" t="str">
        <f ca="1">IF(ISNA($B63),"",IF($B63="","",IFERROR(_xll.BDP(TICKER,"DEEP_MEASURE_PERIOD_BROKER_VALUE","DEEP_MEASURE_ID_OVERRIDE",$C63,"DEEP_BROKER_ID_OVERRIDE",$F$7,"DEEP_PERIOD_OVERRIDE",P$11)*1,"")))</f>
        <v/>
      </c>
      <c r="Q63" s="17" t="str">
        <f ca="1">IF(ISNA($B63),"",IF($B63="","",IFERROR(_xll.BDP(TICKER,"DEEP_MEASURE_PERIOD_BROKER_VALUE","DEEP_MEASURE_ID_OVERRIDE",$C63,"DEEP_BROKER_ID_OVERRIDE",$F$7,"DEEP_PERIOD_OVERRIDE",Q$11)*1,"")))</f>
        <v/>
      </c>
      <c r="R63" s="17" t="str">
        <f ca="1">IF(ISNA($B63),"",IF($B63="","",IFERROR(_xll.BDP(TICKER,"DEEP_MEASURE_PERIOD_BROKER_VALUE","DEEP_MEASURE_ID_OVERRIDE",$C63,"DEEP_BROKER_ID_OVERRIDE",$F$7,"DEEP_PERIOD_OVERRIDE",R$11)*1,"")))</f>
        <v/>
      </c>
      <c r="S63" s="17" t="str">
        <f ca="1">IF(ISNA($B63),"",IF($B63="","",IFERROR(_xll.BDP(TICKER,"DEEP_MEASURE_PERIOD_BROKER_VALUE","DEEP_MEASURE_ID_OVERRIDE",$C63,"DEEP_BROKER_ID_OVERRIDE",$F$7,"DEEP_PERIOD_OVERRIDE",S$11)*1,"")))</f>
        <v/>
      </c>
      <c r="T63" s="17" t="str">
        <f ca="1">IF(ISNA($B63),"",IF($B63="","",IFERROR(_xll.BDP(TICKER,"DEEP_MEASURE_PERIOD_BROKER_VALUE","DEEP_MEASURE_ID_OVERRIDE",$C63,"DEEP_BROKER_ID_OVERRIDE",$F$7,"DEEP_PERIOD_OVERRIDE",T$11)*1,"")))</f>
        <v/>
      </c>
      <c r="U63" s="17" t="str">
        <f ca="1">IF(ISNA($B63),"",IF($B63="","",IFERROR(_xll.BDP(TICKER,"DEEP_MEASURE_PERIOD_BROKER_VALUE","DEEP_MEASURE_ID_OVERRIDE",$C63,"DEEP_BROKER_ID_OVERRIDE",$F$7,"DEEP_PERIOD_OVERRIDE",U$11)*1,"")))</f>
        <v/>
      </c>
      <c r="V63" s="17" t="str">
        <f ca="1">IF(ISNA($B63),"",IF($B63="","",IFERROR(_xll.BDP(TICKER,"DEEP_MEASURE_PERIOD_BROKER_VALUE","DEEP_MEASURE_ID_OVERRIDE",$C63,"DEEP_BROKER_ID_OVERRIDE",$F$7,"DEEP_PERIOD_OVERRIDE",V$11)*1,"")))</f>
        <v/>
      </c>
      <c r="W63" s="17" t="str">
        <f ca="1">IF(ISNA($B63),"",IF($B63="","",IFERROR(_xll.BDP(TICKER,"DEEP_MEASURE_PERIOD_BROKER_VALUE","DEEP_MEASURE_ID_OVERRIDE",$C63,"DEEP_BROKER_ID_OVERRIDE",$F$7,"DEEP_PERIOD_OVERRIDE",W$11)*1,"")))</f>
        <v/>
      </c>
      <c r="X63" s="17" t="str">
        <f ca="1">IF(ISNA($B63),"",IF($B63="","",IFERROR(_xll.BDP(TICKER,"DEEP_MEASURE_PERIOD_BROKER_VALUE","DEEP_MEASURE_ID_OVERRIDE",$C63,"DEEP_BROKER_ID_OVERRIDE",$F$7,"DEEP_PERIOD_OVERRIDE",X$11)*1,"")))</f>
        <v/>
      </c>
      <c r="Y63" s="17" t="str">
        <f ca="1">IF(ISNA($B63),"",IF($B63="","",IFERROR(_xll.BDP(TICKER,"DEEP_MEASURE_PERIOD_BROKER_VALUE","DEEP_MEASURE_ID_OVERRIDE",$C63,"DEEP_BROKER_ID_OVERRIDE",$F$7,"DEEP_PERIOD_OVERRIDE",Y$11)*1,"")))</f>
        <v/>
      </c>
      <c r="Z63" s="17" t="str">
        <f ca="1">IF(ISNA($B63),"",IF($B63="","",IFERROR(_xll.BDP(TICKER,"DEEP_MEASURE_PERIOD_BROKER_VALUE","DEEP_MEASURE_ID_OVERRIDE",$C63,"DEEP_BROKER_ID_OVERRIDE",$F$7,"DEEP_PERIOD_OVERRIDE",Z$11)*1,"")))</f>
        <v/>
      </c>
      <c r="AA63" s="17" t="str">
        <f ca="1">IF(ISNA($B63),"",IF($B63="","",IFERROR(_xll.BDP(TICKER,"DEEP_MEASURE_PERIOD_BROKER_VALUE","DEEP_MEASURE_ID_OVERRIDE",$C63,"DEEP_BROKER_ID_OVERRIDE",$F$7,"DEEP_PERIOD_OVERRIDE",AA$11)*1,"")))</f>
        <v/>
      </c>
      <c r="AB63" s="17" t="str">
        <f ca="1">IF(ISNA($B63),"",IF($B63="","",IFERROR(_xll.BDP(TICKER,"DEEP_MEASURE_PERIOD_BROKER_VALUE","DEEP_MEASURE_ID_OVERRIDE",$C63,"DEEP_BROKER_ID_OVERRIDE",$F$7,"DEEP_PERIOD_OVERRIDE",AB$11)*1,"")))</f>
        <v/>
      </c>
      <c r="AC63" s="17" t="str">
        <f ca="1">IF(ISNA($B63),"",IF($B63="","",IFERROR(_xll.BDP(TICKER,"DEEP_MEASURE_PERIOD_BROKER_VALUE","DEEP_MEASURE_ID_OVERRIDE",$C63,"DEEP_BROKER_ID_OVERRIDE",$F$7,"DEEP_PERIOD_OVERRIDE",AC$11)*1,"")))</f>
        <v/>
      </c>
      <c r="AD63" s="17" t="str">
        <f ca="1">IF(ISNA($B63),"",IF($B63="","",IFERROR(_xll.BDP(TICKER,"DEEP_MEASURE_PERIOD_BROKER_VALUE","DEEP_MEASURE_ID_OVERRIDE",$C63,"DEEP_BROKER_ID_OVERRIDE",$F$7,"DEEP_PERIOD_OVERRIDE",AD$11)*1,"")))</f>
        <v/>
      </c>
      <c r="AE63" s="17" t="str">
        <f ca="1">IF(ISNA($B63),"",IF($B63="","",IFERROR(_xll.BDP(TICKER,"DEEP_MEASURE_PERIOD_BROKER_VALUE","DEEP_MEASURE_ID_OVERRIDE",$C63,"DEEP_BROKER_ID_OVERRIDE",$F$7,"DEEP_PERIOD_OVERRIDE",AE$11)*1,"")))</f>
        <v/>
      </c>
      <c r="AF63" s="17" t="str">
        <f ca="1">IF(ISNA($B63),"",IF($B63="","",IFERROR(_xll.BDP(TICKER,"DEEP_MEASURE_PERIOD_BROKER_VALUE","DEEP_MEASURE_ID_OVERRIDE",$C63,"DEEP_BROKER_ID_OVERRIDE",$F$7,"DEEP_PERIOD_OVERRIDE",AF$11)*1,"")))</f>
        <v/>
      </c>
      <c r="AG63" s="17" t="str">
        <f ca="1">IF(ISNA($B63),"",IF($B63="","",IFERROR(_xll.BDP(TICKER,"DEEP_MEASURE_PERIOD_BROKER_VALUE","DEEP_MEASURE_ID_OVERRIDE",$C63,"DEEP_BROKER_ID_OVERRIDE",$F$7,"DEEP_PERIOD_OVERRIDE",AG$11)*1,"")))</f>
        <v/>
      </c>
      <c r="AH63" s="17" t="str">
        <f ca="1">IF(ISNA($B63),"",IF($B63="","",IFERROR(_xll.BDP(TICKER,"DEEP_MEASURE_PERIOD_BROKER_VALUE","DEEP_MEASURE_ID_OVERRIDE",$C63,"DEEP_BROKER_ID_OVERRIDE",$F$7,"DEEP_PERIOD_OVERRIDE",AH$11)*1,"")))</f>
        <v/>
      </c>
      <c r="AI63" s="17" t="str">
        <f ca="1">IF(ISNA($B63),"",IF($B63="","",IFERROR(_xll.BDP(TICKER,"DEEP_MEASURE_PERIOD_BROKER_VALUE","DEEP_MEASURE_ID_OVERRIDE",$C63,"DEEP_BROKER_ID_OVERRIDE",$F$7,"DEEP_PERIOD_OVERRIDE",AI$11)*1,"")))</f>
        <v/>
      </c>
      <c r="AJ63" s="17" t="str">
        <f ca="1">IF(ISNA($B63),"",IF($B63="","",IFERROR(_xll.BDP(TICKER,"DEEP_MEASURE_PERIOD_BROKER_VALUE","DEEP_MEASURE_ID_OVERRIDE",$C63,"DEEP_BROKER_ID_OVERRIDE",$F$7,"DEEP_PERIOD_OVERRIDE",AJ$11)*1,"")))</f>
        <v/>
      </c>
      <c r="AK63" s="17" t="str">
        <f ca="1">IF(ISNA($B63),"",IF($B63="","",IFERROR(_xll.BDP(TICKER,"DEEP_MEASURE_PERIOD_BROKER_VALUE","DEEP_MEASURE_ID_OVERRIDE",$C63,"DEEP_BROKER_ID_OVERRIDE",$F$7,"DEEP_PERIOD_OVERRIDE",AK$11)*1,"")))</f>
        <v/>
      </c>
      <c r="AL63" s="17" t="str">
        <f ca="1">IF(ISNA($B63),"",IF($B63="","",IFERROR(_xll.BDP(TICKER,"DEEP_MEASURE_PERIOD_BROKER_VALUE","DEEP_MEASURE_ID_OVERRIDE",$C63,"DEEP_BROKER_ID_OVERRIDE",$F$7,"DEEP_PERIOD_OVERRIDE",AL$11)*1,"")))</f>
        <v/>
      </c>
      <c r="AM63" s="17" t="str">
        <f ca="1">IF(ISNA($B63),"",IF($B63="","",IFERROR(_xll.BDP(TICKER,"DEEP_MEASURE_PERIOD_BROKER_VALUE","DEEP_MEASURE_ID_OVERRIDE",$C63,"DEEP_BROKER_ID_OVERRIDE",$F$7,"DEEP_PERIOD_OVERRIDE",AM$11)*1,"")))</f>
        <v/>
      </c>
      <c r="AN63" s="17" t="str">
        <f ca="1">IF(ISNA($B63),"",IF($B63="","",IFERROR(_xll.BDP(TICKER,"DEEP_MEASURE_PERIOD_BROKER_VALUE","DEEP_MEASURE_ID_OVERRIDE",$C63,"DEEP_BROKER_ID_OVERRIDE",$F$7,"DEEP_PERIOD_OVERRIDE",AN$11)*1,"")))</f>
        <v/>
      </c>
      <c r="AO63" s="17" t="str">
        <f ca="1">IF(ISNA($B63),"",IF($B63="","",IFERROR(_xll.BDP(TICKER,"DEEP_MEASURE_PERIOD_BROKER_VALUE","DEEP_MEASURE_ID_OVERRIDE",$C63,"DEEP_BROKER_ID_OVERRIDE",$F$7,"DEEP_PERIOD_OVERRIDE",AO$11)*1,"")))</f>
        <v/>
      </c>
      <c r="AP63" s="17" t="str">
        <f ca="1">IF(ISNA($B63),"",IF($B63="","",IFERROR(_xll.BDP(TICKER,"DEEP_MEASURE_PERIOD_BROKER_VALUE","DEEP_MEASURE_ID_OVERRIDE",$C63,"DEEP_BROKER_ID_OVERRIDE",$F$7,"DEEP_PERIOD_OVERRIDE",AP$11)*1,"")))</f>
        <v/>
      </c>
      <c r="AQ63" s="17" t="str">
        <f ca="1">IF(ISNA($B63),"",IF($B63="","",IFERROR(_xll.BDP(TICKER,"DEEP_MEASURE_PERIOD_BROKER_VALUE","DEEP_MEASURE_ID_OVERRIDE",$C63,"DEEP_BROKER_ID_OVERRIDE",$F$7,"DEEP_PERIOD_OVERRIDE",AQ$11)*1,"")))</f>
        <v/>
      </c>
    </row>
    <row r="64" spans="2:43" x14ac:dyDescent="0.25">
      <c r="B64" t="s">
        <v>113</v>
      </c>
      <c r="C64" s="11">
        <v>1938</v>
      </c>
      <c r="H64" t="str">
        <f t="shared" si="2"/>
        <v>Total Revenue &gt; Hotel &gt; Revenue &gt; TripAdvisor-branded Display-based Advertising &amp; Subscription &gt; YoY Growth (%)</v>
      </c>
      <c r="I64" s="17" t="str">
        <f ca="1">IF(ISNA($B64),"",IF($B64="","",IFERROR(_xll.BDP(TICKER,"DEEP_MEASURE_PERIOD_BROKER_VALUE","DEEP_MEASURE_ID_OVERRIDE",$C64,"DEEP_BROKER_ID_OVERRIDE",$F$7,"DEEP_PERIOD_OVERRIDE",I$11)*1,"")))</f>
        <v/>
      </c>
      <c r="J64" s="17" t="str">
        <f ca="1">IF(ISNA($B64),"",IF($B64="","",IFERROR(_xll.BDP(TICKER,"DEEP_MEASURE_PERIOD_BROKER_VALUE","DEEP_MEASURE_ID_OVERRIDE",$C64,"DEEP_BROKER_ID_OVERRIDE",$F$7,"DEEP_PERIOD_OVERRIDE",J$11)*1,"")))</f>
        <v/>
      </c>
      <c r="K64" s="17" t="str">
        <f ca="1">IF(ISNA($B64),"",IF($B64="","",IFERROR(_xll.BDP(TICKER,"DEEP_MEASURE_PERIOD_BROKER_VALUE","DEEP_MEASURE_ID_OVERRIDE",$C64,"DEEP_BROKER_ID_OVERRIDE",$F$7,"DEEP_PERIOD_OVERRIDE",K$11)*1,"")))</f>
        <v/>
      </c>
      <c r="L64" s="17" t="str">
        <f ca="1">IF(ISNA($B64),"",IF($B64="","",IFERROR(_xll.BDP(TICKER,"DEEP_MEASURE_PERIOD_BROKER_VALUE","DEEP_MEASURE_ID_OVERRIDE",$C64,"DEEP_BROKER_ID_OVERRIDE",$F$7,"DEEP_PERIOD_OVERRIDE",L$11)*1,"")))</f>
        <v/>
      </c>
      <c r="M64" s="17" t="str">
        <f ca="1">IF(ISNA($B64),"",IF($B64="","",IFERROR(_xll.BDP(TICKER,"DEEP_MEASURE_PERIOD_BROKER_VALUE","DEEP_MEASURE_ID_OVERRIDE",$C64,"DEEP_BROKER_ID_OVERRIDE",$F$7,"DEEP_PERIOD_OVERRIDE",M$11)*1,"")))</f>
        <v/>
      </c>
      <c r="N64" s="17" t="str">
        <f ca="1">IF(ISNA($B64),"",IF($B64="","",IFERROR(_xll.BDP(TICKER,"DEEP_MEASURE_PERIOD_BROKER_VALUE","DEEP_MEASURE_ID_OVERRIDE",$C64,"DEEP_BROKER_ID_OVERRIDE",$F$7,"DEEP_PERIOD_OVERRIDE",N$11)*1,"")))</f>
        <v/>
      </c>
      <c r="O64" s="17" t="str">
        <f ca="1">IF(ISNA($B64),"",IF($B64="","",IFERROR(_xll.BDP(TICKER,"DEEP_MEASURE_PERIOD_BROKER_VALUE","DEEP_MEASURE_ID_OVERRIDE",$C64,"DEEP_BROKER_ID_OVERRIDE",$F$7,"DEEP_PERIOD_OVERRIDE",O$11)*1,"")))</f>
        <v/>
      </c>
      <c r="P64" s="17" t="str">
        <f ca="1">IF(ISNA($B64),"",IF($B64="","",IFERROR(_xll.BDP(TICKER,"DEEP_MEASURE_PERIOD_BROKER_VALUE","DEEP_MEASURE_ID_OVERRIDE",$C64,"DEEP_BROKER_ID_OVERRIDE",$F$7,"DEEP_PERIOD_OVERRIDE",P$11)*1,"")))</f>
        <v/>
      </c>
      <c r="Q64" s="17" t="str">
        <f ca="1">IF(ISNA($B64),"",IF($B64="","",IFERROR(_xll.BDP(TICKER,"DEEP_MEASURE_PERIOD_BROKER_VALUE","DEEP_MEASURE_ID_OVERRIDE",$C64,"DEEP_BROKER_ID_OVERRIDE",$F$7,"DEEP_PERIOD_OVERRIDE",Q$11)*1,"")))</f>
        <v/>
      </c>
      <c r="R64" s="17" t="str">
        <f ca="1">IF(ISNA($B64),"",IF($B64="","",IFERROR(_xll.BDP(TICKER,"DEEP_MEASURE_PERIOD_BROKER_VALUE","DEEP_MEASURE_ID_OVERRIDE",$C64,"DEEP_BROKER_ID_OVERRIDE",$F$7,"DEEP_PERIOD_OVERRIDE",R$11)*1,"")))</f>
        <v/>
      </c>
      <c r="S64" s="17" t="str">
        <f ca="1">IF(ISNA($B64),"",IF($B64="","",IFERROR(_xll.BDP(TICKER,"DEEP_MEASURE_PERIOD_BROKER_VALUE","DEEP_MEASURE_ID_OVERRIDE",$C64,"DEEP_BROKER_ID_OVERRIDE",$F$7,"DEEP_PERIOD_OVERRIDE",S$11)*1,"")))</f>
        <v/>
      </c>
      <c r="T64" s="17" t="str">
        <f ca="1">IF(ISNA($B64),"",IF($B64="","",IFERROR(_xll.BDP(TICKER,"DEEP_MEASURE_PERIOD_BROKER_VALUE","DEEP_MEASURE_ID_OVERRIDE",$C64,"DEEP_BROKER_ID_OVERRIDE",$F$7,"DEEP_PERIOD_OVERRIDE",T$11)*1,"")))</f>
        <v/>
      </c>
      <c r="U64" s="17" t="str">
        <f ca="1">IF(ISNA($B64),"",IF($B64="","",IFERROR(_xll.BDP(TICKER,"DEEP_MEASURE_PERIOD_BROKER_VALUE","DEEP_MEASURE_ID_OVERRIDE",$C64,"DEEP_BROKER_ID_OVERRIDE",$F$7,"DEEP_PERIOD_OVERRIDE",U$11)*1,"")))</f>
        <v/>
      </c>
      <c r="V64" s="17" t="str">
        <f ca="1">IF(ISNA($B64),"",IF($B64="","",IFERROR(_xll.BDP(TICKER,"DEEP_MEASURE_PERIOD_BROKER_VALUE","DEEP_MEASURE_ID_OVERRIDE",$C64,"DEEP_BROKER_ID_OVERRIDE",$F$7,"DEEP_PERIOD_OVERRIDE",V$11)*1,"")))</f>
        <v/>
      </c>
      <c r="W64" s="17" t="str">
        <f ca="1">IF(ISNA($B64),"",IF($B64="","",IFERROR(_xll.BDP(TICKER,"DEEP_MEASURE_PERIOD_BROKER_VALUE","DEEP_MEASURE_ID_OVERRIDE",$C64,"DEEP_BROKER_ID_OVERRIDE",$F$7,"DEEP_PERIOD_OVERRIDE",W$11)*1,"")))</f>
        <v/>
      </c>
      <c r="X64" s="17" t="str">
        <f ca="1">IF(ISNA($B64),"",IF($B64="","",IFERROR(_xll.BDP(TICKER,"DEEP_MEASURE_PERIOD_BROKER_VALUE","DEEP_MEASURE_ID_OVERRIDE",$C64,"DEEP_BROKER_ID_OVERRIDE",$F$7,"DEEP_PERIOD_OVERRIDE",X$11)*1,"")))</f>
        <v/>
      </c>
      <c r="Y64" s="17" t="str">
        <f ca="1">IF(ISNA($B64),"",IF($B64="","",IFERROR(_xll.BDP(TICKER,"DEEP_MEASURE_PERIOD_BROKER_VALUE","DEEP_MEASURE_ID_OVERRIDE",$C64,"DEEP_BROKER_ID_OVERRIDE",$F$7,"DEEP_PERIOD_OVERRIDE",Y$11)*1,"")))</f>
        <v/>
      </c>
      <c r="Z64" s="17" t="str">
        <f ca="1">IF(ISNA($B64),"",IF($B64="","",IFERROR(_xll.BDP(TICKER,"DEEP_MEASURE_PERIOD_BROKER_VALUE","DEEP_MEASURE_ID_OVERRIDE",$C64,"DEEP_BROKER_ID_OVERRIDE",$F$7,"DEEP_PERIOD_OVERRIDE",Z$11)*1,"")))</f>
        <v/>
      </c>
      <c r="AA64" s="17" t="str">
        <f ca="1">IF(ISNA($B64),"",IF($B64="","",IFERROR(_xll.BDP(TICKER,"DEEP_MEASURE_PERIOD_BROKER_VALUE","DEEP_MEASURE_ID_OVERRIDE",$C64,"DEEP_BROKER_ID_OVERRIDE",$F$7,"DEEP_PERIOD_OVERRIDE",AA$11)*1,"")))</f>
        <v/>
      </c>
      <c r="AB64" s="17" t="str">
        <f ca="1">IF(ISNA($B64),"",IF($B64="","",IFERROR(_xll.BDP(TICKER,"DEEP_MEASURE_PERIOD_BROKER_VALUE","DEEP_MEASURE_ID_OVERRIDE",$C64,"DEEP_BROKER_ID_OVERRIDE",$F$7,"DEEP_PERIOD_OVERRIDE",AB$11)*1,"")))</f>
        <v/>
      </c>
      <c r="AC64" s="17" t="str">
        <f ca="1">IF(ISNA($B64),"",IF($B64="","",IFERROR(_xll.BDP(TICKER,"DEEP_MEASURE_PERIOD_BROKER_VALUE","DEEP_MEASURE_ID_OVERRIDE",$C64,"DEEP_BROKER_ID_OVERRIDE",$F$7,"DEEP_PERIOD_OVERRIDE",AC$11)*1,"")))</f>
        <v/>
      </c>
      <c r="AD64" s="17" t="str">
        <f ca="1">IF(ISNA($B64),"",IF($B64="","",IFERROR(_xll.BDP(TICKER,"DEEP_MEASURE_PERIOD_BROKER_VALUE","DEEP_MEASURE_ID_OVERRIDE",$C64,"DEEP_BROKER_ID_OVERRIDE",$F$7,"DEEP_PERIOD_OVERRIDE",AD$11)*1,"")))</f>
        <v/>
      </c>
      <c r="AE64" s="17" t="str">
        <f ca="1">IF(ISNA($B64),"",IF($B64="","",IFERROR(_xll.BDP(TICKER,"DEEP_MEASURE_PERIOD_BROKER_VALUE","DEEP_MEASURE_ID_OVERRIDE",$C64,"DEEP_BROKER_ID_OVERRIDE",$F$7,"DEEP_PERIOD_OVERRIDE",AE$11)*1,"")))</f>
        <v/>
      </c>
      <c r="AF64" s="17" t="str">
        <f ca="1">IF(ISNA($B64),"",IF($B64="","",IFERROR(_xll.BDP(TICKER,"DEEP_MEASURE_PERIOD_BROKER_VALUE","DEEP_MEASURE_ID_OVERRIDE",$C64,"DEEP_BROKER_ID_OVERRIDE",$F$7,"DEEP_PERIOD_OVERRIDE",AF$11)*1,"")))</f>
        <v/>
      </c>
      <c r="AG64" s="17" t="str">
        <f ca="1">IF(ISNA($B64),"",IF($B64="","",IFERROR(_xll.BDP(TICKER,"DEEP_MEASURE_PERIOD_BROKER_VALUE","DEEP_MEASURE_ID_OVERRIDE",$C64,"DEEP_BROKER_ID_OVERRIDE",$F$7,"DEEP_PERIOD_OVERRIDE",AG$11)*1,"")))</f>
        <v/>
      </c>
      <c r="AH64" s="17" t="str">
        <f ca="1">IF(ISNA($B64),"",IF($B64="","",IFERROR(_xll.BDP(TICKER,"DEEP_MEASURE_PERIOD_BROKER_VALUE","DEEP_MEASURE_ID_OVERRIDE",$C64,"DEEP_BROKER_ID_OVERRIDE",$F$7,"DEEP_PERIOD_OVERRIDE",AH$11)*1,"")))</f>
        <v/>
      </c>
      <c r="AI64" s="17" t="str">
        <f ca="1">IF(ISNA($B64),"",IF($B64="","",IFERROR(_xll.BDP(TICKER,"DEEP_MEASURE_PERIOD_BROKER_VALUE","DEEP_MEASURE_ID_OVERRIDE",$C64,"DEEP_BROKER_ID_OVERRIDE",$F$7,"DEEP_PERIOD_OVERRIDE",AI$11)*1,"")))</f>
        <v/>
      </c>
      <c r="AJ64" s="17" t="str">
        <f ca="1">IF(ISNA($B64),"",IF($B64="","",IFERROR(_xll.BDP(TICKER,"DEEP_MEASURE_PERIOD_BROKER_VALUE","DEEP_MEASURE_ID_OVERRIDE",$C64,"DEEP_BROKER_ID_OVERRIDE",$F$7,"DEEP_PERIOD_OVERRIDE",AJ$11)*1,"")))</f>
        <v/>
      </c>
      <c r="AK64" s="17" t="str">
        <f ca="1">IF(ISNA($B64),"",IF($B64="","",IFERROR(_xll.BDP(TICKER,"DEEP_MEASURE_PERIOD_BROKER_VALUE","DEEP_MEASURE_ID_OVERRIDE",$C64,"DEEP_BROKER_ID_OVERRIDE",$F$7,"DEEP_PERIOD_OVERRIDE",AK$11)*1,"")))</f>
        <v/>
      </c>
      <c r="AL64" s="17" t="str">
        <f ca="1">IF(ISNA($B64),"",IF($B64="","",IFERROR(_xll.BDP(TICKER,"DEEP_MEASURE_PERIOD_BROKER_VALUE","DEEP_MEASURE_ID_OVERRIDE",$C64,"DEEP_BROKER_ID_OVERRIDE",$F$7,"DEEP_PERIOD_OVERRIDE",AL$11)*1,"")))</f>
        <v/>
      </c>
      <c r="AM64" s="17" t="str">
        <f ca="1">IF(ISNA($B64),"",IF($B64="","",IFERROR(_xll.BDP(TICKER,"DEEP_MEASURE_PERIOD_BROKER_VALUE","DEEP_MEASURE_ID_OVERRIDE",$C64,"DEEP_BROKER_ID_OVERRIDE",$F$7,"DEEP_PERIOD_OVERRIDE",AM$11)*1,"")))</f>
        <v/>
      </c>
      <c r="AN64" s="17" t="str">
        <f ca="1">IF(ISNA($B64),"",IF($B64="","",IFERROR(_xll.BDP(TICKER,"DEEP_MEASURE_PERIOD_BROKER_VALUE","DEEP_MEASURE_ID_OVERRIDE",$C64,"DEEP_BROKER_ID_OVERRIDE",$F$7,"DEEP_PERIOD_OVERRIDE",AN$11)*1,"")))</f>
        <v/>
      </c>
      <c r="AO64" s="17" t="str">
        <f ca="1">IF(ISNA($B64),"",IF($B64="","",IFERROR(_xll.BDP(TICKER,"DEEP_MEASURE_PERIOD_BROKER_VALUE","DEEP_MEASURE_ID_OVERRIDE",$C64,"DEEP_BROKER_ID_OVERRIDE",$F$7,"DEEP_PERIOD_OVERRIDE",AO$11)*1,"")))</f>
        <v/>
      </c>
      <c r="AP64" s="17" t="str">
        <f ca="1">IF(ISNA($B64),"",IF($B64="","",IFERROR(_xll.BDP(TICKER,"DEEP_MEASURE_PERIOD_BROKER_VALUE","DEEP_MEASURE_ID_OVERRIDE",$C64,"DEEP_BROKER_ID_OVERRIDE",$F$7,"DEEP_PERIOD_OVERRIDE",AP$11)*1,"")))</f>
        <v/>
      </c>
      <c r="AQ64" s="17" t="str">
        <f ca="1">IF(ISNA($B64),"",IF($B64="","",IFERROR(_xll.BDP(TICKER,"DEEP_MEASURE_PERIOD_BROKER_VALUE","DEEP_MEASURE_ID_OVERRIDE",$C64,"DEEP_BROKER_ID_OVERRIDE",$F$7,"DEEP_PERIOD_OVERRIDE",AQ$11)*1,"")))</f>
        <v/>
      </c>
    </row>
    <row r="65" spans="2:43" x14ac:dyDescent="0.25">
      <c r="B65" t="s">
        <v>114</v>
      </c>
      <c r="C65" s="11">
        <v>1940</v>
      </c>
      <c r="H65" t="str">
        <f t="shared" si="2"/>
        <v>Total Revenue &gt; Hotel &gt; Revenue &gt; TripAdvisor-branded Display-based Advertising &amp; Subscription &gt; QoQ Growth (%)</v>
      </c>
      <c r="I65" s="17" t="str">
        <f ca="1">IF(ISNA($B65),"",IF($B65="","",IFERROR(_xll.BDP(TICKER,"DEEP_MEASURE_PERIOD_BROKER_VALUE","DEEP_MEASURE_ID_OVERRIDE",$C65,"DEEP_BROKER_ID_OVERRIDE",$F$7,"DEEP_PERIOD_OVERRIDE",I$11)*1,"")))</f>
        <v/>
      </c>
      <c r="J65" s="17" t="str">
        <f ca="1">IF(ISNA($B65),"",IF($B65="","",IFERROR(_xll.BDP(TICKER,"DEEP_MEASURE_PERIOD_BROKER_VALUE","DEEP_MEASURE_ID_OVERRIDE",$C65,"DEEP_BROKER_ID_OVERRIDE",$F$7,"DEEP_PERIOD_OVERRIDE",J$11)*1,"")))</f>
        <v/>
      </c>
      <c r="K65" s="17" t="str">
        <f ca="1">IF(ISNA($B65),"",IF($B65="","",IFERROR(_xll.BDP(TICKER,"DEEP_MEASURE_PERIOD_BROKER_VALUE","DEEP_MEASURE_ID_OVERRIDE",$C65,"DEEP_BROKER_ID_OVERRIDE",$F$7,"DEEP_PERIOD_OVERRIDE",K$11)*1,"")))</f>
        <v/>
      </c>
      <c r="L65" s="17" t="str">
        <f ca="1">IF(ISNA($B65),"",IF($B65="","",IFERROR(_xll.BDP(TICKER,"DEEP_MEASURE_PERIOD_BROKER_VALUE","DEEP_MEASURE_ID_OVERRIDE",$C65,"DEEP_BROKER_ID_OVERRIDE",$F$7,"DEEP_PERIOD_OVERRIDE",L$11)*1,"")))</f>
        <v/>
      </c>
      <c r="M65" s="17" t="str">
        <f ca="1">IF(ISNA($B65),"",IF($B65="","",IFERROR(_xll.BDP(TICKER,"DEEP_MEASURE_PERIOD_BROKER_VALUE","DEEP_MEASURE_ID_OVERRIDE",$C65,"DEEP_BROKER_ID_OVERRIDE",$F$7,"DEEP_PERIOD_OVERRIDE",M$11)*1,"")))</f>
        <v/>
      </c>
      <c r="N65" s="17" t="str">
        <f ca="1">IF(ISNA($B65),"",IF($B65="","",IFERROR(_xll.BDP(TICKER,"DEEP_MEASURE_PERIOD_BROKER_VALUE","DEEP_MEASURE_ID_OVERRIDE",$C65,"DEEP_BROKER_ID_OVERRIDE",$F$7,"DEEP_PERIOD_OVERRIDE",N$11)*1,"")))</f>
        <v/>
      </c>
      <c r="O65" s="17" t="str">
        <f ca="1">IF(ISNA($B65),"",IF($B65="","",IFERROR(_xll.BDP(TICKER,"DEEP_MEASURE_PERIOD_BROKER_VALUE","DEEP_MEASURE_ID_OVERRIDE",$C65,"DEEP_BROKER_ID_OVERRIDE",$F$7,"DEEP_PERIOD_OVERRIDE",O$11)*1,"")))</f>
        <v/>
      </c>
      <c r="P65" s="17" t="str">
        <f ca="1">IF(ISNA($B65),"",IF($B65="","",IFERROR(_xll.BDP(TICKER,"DEEP_MEASURE_PERIOD_BROKER_VALUE","DEEP_MEASURE_ID_OVERRIDE",$C65,"DEEP_BROKER_ID_OVERRIDE",$F$7,"DEEP_PERIOD_OVERRIDE",P$11)*1,"")))</f>
        <v/>
      </c>
      <c r="Q65" s="17" t="str">
        <f ca="1">IF(ISNA($B65),"",IF($B65="","",IFERROR(_xll.BDP(TICKER,"DEEP_MEASURE_PERIOD_BROKER_VALUE","DEEP_MEASURE_ID_OVERRIDE",$C65,"DEEP_BROKER_ID_OVERRIDE",$F$7,"DEEP_PERIOD_OVERRIDE",Q$11)*1,"")))</f>
        <v/>
      </c>
      <c r="R65" s="17" t="str">
        <f ca="1">IF(ISNA($B65),"",IF($B65="","",IFERROR(_xll.BDP(TICKER,"DEEP_MEASURE_PERIOD_BROKER_VALUE","DEEP_MEASURE_ID_OVERRIDE",$C65,"DEEP_BROKER_ID_OVERRIDE",$F$7,"DEEP_PERIOD_OVERRIDE",R$11)*1,"")))</f>
        <v/>
      </c>
      <c r="S65" s="17" t="str">
        <f ca="1">IF(ISNA($B65),"",IF($B65="","",IFERROR(_xll.BDP(TICKER,"DEEP_MEASURE_PERIOD_BROKER_VALUE","DEEP_MEASURE_ID_OVERRIDE",$C65,"DEEP_BROKER_ID_OVERRIDE",$F$7,"DEEP_PERIOD_OVERRIDE",S$11)*1,"")))</f>
        <v/>
      </c>
      <c r="T65" s="17" t="str">
        <f ca="1">IF(ISNA($B65),"",IF($B65="","",IFERROR(_xll.BDP(TICKER,"DEEP_MEASURE_PERIOD_BROKER_VALUE","DEEP_MEASURE_ID_OVERRIDE",$C65,"DEEP_BROKER_ID_OVERRIDE",$F$7,"DEEP_PERIOD_OVERRIDE",T$11)*1,"")))</f>
        <v/>
      </c>
      <c r="U65" s="17" t="str">
        <f ca="1">IF(ISNA($B65),"",IF($B65="","",IFERROR(_xll.BDP(TICKER,"DEEP_MEASURE_PERIOD_BROKER_VALUE","DEEP_MEASURE_ID_OVERRIDE",$C65,"DEEP_BROKER_ID_OVERRIDE",$F$7,"DEEP_PERIOD_OVERRIDE",U$11)*1,"")))</f>
        <v/>
      </c>
      <c r="V65" s="17" t="str">
        <f ca="1">IF(ISNA($B65),"",IF($B65="","",IFERROR(_xll.BDP(TICKER,"DEEP_MEASURE_PERIOD_BROKER_VALUE","DEEP_MEASURE_ID_OVERRIDE",$C65,"DEEP_BROKER_ID_OVERRIDE",$F$7,"DEEP_PERIOD_OVERRIDE",V$11)*1,"")))</f>
        <v/>
      </c>
      <c r="W65" s="17" t="str">
        <f ca="1">IF(ISNA($B65),"",IF($B65="","",IFERROR(_xll.BDP(TICKER,"DEEP_MEASURE_PERIOD_BROKER_VALUE","DEEP_MEASURE_ID_OVERRIDE",$C65,"DEEP_BROKER_ID_OVERRIDE",$F$7,"DEEP_PERIOD_OVERRIDE",W$11)*1,"")))</f>
        <v/>
      </c>
      <c r="X65" s="17" t="str">
        <f ca="1">IF(ISNA($B65),"",IF($B65="","",IFERROR(_xll.BDP(TICKER,"DEEP_MEASURE_PERIOD_BROKER_VALUE","DEEP_MEASURE_ID_OVERRIDE",$C65,"DEEP_BROKER_ID_OVERRIDE",$F$7,"DEEP_PERIOD_OVERRIDE",X$11)*1,"")))</f>
        <v/>
      </c>
      <c r="Y65" s="17" t="str">
        <f ca="1">IF(ISNA($B65),"",IF($B65="","",IFERROR(_xll.BDP(TICKER,"DEEP_MEASURE_PERIOD_BROKER_VALUE","DEEP_MEASURE_ID_OVERRIDE",$C65,"DEEP_BROKER_ID_OVERRIDE",$F$7,"DEEP_PERIOD_OVERRIDE",Y$11)*1,"")))</f>
        <v/>
      </c>
      <c r="Z65" s="17" t="str">
        <f ca="1">IF(ISNA($B65),"",IF($B65="","",IFERROR(_xll.BDP(TICKER,"DEEP_MEASURE_PERIOD_BROKER_VALUE","DEEP_MEASURE_ID_OVERRIDE",$C65,"DEEP_BROKER_ID_OVERRIDE",$F$7,"DEEP_PERIOD_OVERRIDE",Z$11)*1,"")))</f>
        <v/>
      </c>
      <c r="AA65" s="17" t="str">
        <f ca="1">IF(ISNA($B65),"",IF($B65="","",IFERROR(_xll.BDP(TICKER,"DEEP_MEASURE_PERIOD_BROKER_VALUE","DEEP_MEASURE_ID_OVERRIDE",$C65,"DEEP_BROKER_ID_OVERRIDE",$F$7,"DEEP_PERIOD_OVERRIDE",AA$11)*1,"")))</f>
        <v/>
      </c>
      <c r="AB65" s="17" t="str">
        <f ca="1">IF(ISNA($B65),"",IF($B65="","",IFERROR(_xll.BDP(TICKER,"DEEP_MEASURE_PERIOD_BROKER_VALUE","DEEP_MEASURE_ID_OVERRIDE",$C65,"DEEP_BROKER_ID_OVERRIDE",$F$7,"DEEP_PERIOD_OVERRIDE",AB$11)*1,"")))</f>
        <v/>
      </c>
      <c r="AC65" s="17" t="str">
        <f ca="1">IF(ISNA($B65),"",IF($B65="","",IFERROR(_xll.BDP(TICKER,"DEEP_MEASURE_PERIOD_BROKER_VALUE","DEEP_MEASURE_ID_OVERRIDE",$C65,"DEEP_BROKER_ID_OVERRIDE",$F$7,"DEEP_PERIOD_OVERRIDE",AC$11)*1,"")))</f>
        <v/>
      </c>
      <c r="AD65" s="17" t="str">
        <f ca="1">IF(ISNA($B65),"",IF($B65="","",IFERROR(_xll.BDP(TICKER,"DEEP_MEASURE_PERIOD_BROKER_VALUE","DEEP_MEASURE_ID_OVERRIDE",$C65,"DEEP_BROKER_ID_OVERRIDE",$F$7,"DEEP_PERIOD_OVERRIDE",AD$11)*1,"")))</f>
        <v/>
      </c>
      <c r="AE65" s="17" t="str">
        <f ca="1">IF(ISNA($B65),"",IF($B65="","",IFERROR(_xll.BDP(TICKER,"DEEP_MEASURE_PERIOD_BROKER_VALUE","DEEP_MEASURE_ID_OVERRIDE",$C65,"DEEP_BROKER_ID_OVERRIDE",$F$7,"DEEP_PERIOD_OVERRIDE",AE$11)*1,"")))</f>
        <v/>
      </c>
      <c r="AF65" s="17" t="str">
        <f ca="1">IF(ISNA($B65),"",IF($B65="","",IFERROR(_xll.BDP(TICKER,"DEEP_MEASURE_PERIOD_BROKER_VALUE","DEEP_MEASURE_ID_OVERRIDE",$C65,"DEEP_BROKER_ID_OVERRIDE",$F$7,"DEEP_PERIOD_OVERRIDE",AF$11)*1,"")))</f>
        <v/>
      </c>
      <c r="AG65" s="17" t="str">
        <f ca="1">IF(ISNA($B65),"",IF($B65="","",IFERROR(_xll.BDP(TICKER,"DEEP_MEASURE_PERIOD_BROKER_VALUE","DEEP_MEASURE_ID_OVERRIDE",$C65,"DEEP_BROKER_ID_OVERRIDE",$F$7,"DEEP_PERIOD_OVERRIDE",AG$11)*1,"")))</f>
        <v/>
      </c>
      <c r="AH65" s="17" t="str">
        <f ca="1">IF(ISNA($B65),"",IF($B65="","",IFERROR(_xll.BDP(TICKER,"DEEP_MEASURE_PERIOD_BROKER_VALUE","DEEP_MEASURE_ID_OVERRIDE",$C65,"DEEP_BROKER_ID_OVERRIDE",$F$7,"DEEP_PERIOD_OVERRIDE",AH$11)*1,"")))</f>
        <v/>
      </c>
      <c r="AI65" s="17" t="str">
        <f ca="1">IF(ISNA($B65),"",IF($B65="","",IFERROR(_xll.BDP(TICKER,"DEEP_MEASURE_PERIOD_BROKER_VALUE","DEEP_MEASURE_ID_OVERRIDE",$C65,"DEEP_BROKER_ID_OVERRIDE",$F$7,"DEEP_PERIOD_OVERRIDE",AI$11)*1,"")))</f>
        <v/>
      </c>
      <c r="AJ65" s="17" t="str">
        <f ca="1">IF(ISNA($B65),"",IF($B65="","",IFERROR(_xll.BDP(TICKER,"DEEP_MEASURE_PERIOD_BROKER_VALUE","DEEP_MEASURE_ID_OVERRIDE",$C65,"DEEP_BROKER_ID_OVERRIDE",$F$7,"DEEP_PERIOD_OVERRIDE",AJ$11)*1,"")))</f>
        <v/>
      </c>
      <c r="AK65" s="17" t="str">
        <f ca="1">IF(ISNA($B65),"",IF($B65="","",IFERROR(_xll.BDP(TICKER,"DEEP_MEASURE_PERIOD_BROKER_VALUE","DEEP_MEASURE_ID_OVERRIDE",$C65,"DEEP_BROKER_ID_OVERRIDE",$F$7,"DEEP_PERIOD_OVERRIDE",AK$11)*1,"")))</f>
        <v/>
      </c>
      <c r="AL65" s="17" t="str">
        <f ca="1">IF(ISNA($B65),"",IF($B65="","",IFERROR(_xll.BDP(TICKER,"DEEP_MEASURE_PERIOD_BROKER_VALUE","DEEP_MEASURE_ID_OVERRIDE",$C65,"DEEP_BROKER_ID_OVERRIDE",$F$7,"DEEP_PERIOD_OVERRIDE",AL$11)*1,"")))</f>
        <v/>
      </c>
      <c r="AM65" s="17" t="str">
        <f ca="1">IF(ISNA($B65),"",IF($B65="","",IFERROR(_xll.BDP(TICKER,"DEEP_MEASURE_PERIOD_BROKER_VALUE","DEEP_MEASURE_ID_OVERRIDE",$C65,"DEEP_BROKER_ID_OVERRIDE",$F$7,"DEEP_PERIOD_OVERRIDE",AM$11)*1,"")))</f>
        <v/>
      </c>
      <c r="AN65" s="17" t="str">
        <f ca="1">IF(ISNA($B65),"",IF($B65="","",IFERROR(_xll.BDP(TICKER,"DEEP_MEASURE_PERIOD_BROKER_VALUE","DEEP_MEASURE_ID_OVERRIDE",$C65,"DEEP_BROKER_ID_OVERRIDE",$F$7,"DEEP_PERIOD_OVERRIDE",AN$11)*1,"")))</f>
        <v/>
      </c>
      <c r="AO65" s="17" t="str">
        <f ca="1">IF(ISNA($B65),"",IF($B65="","",IFERROR(_xll.BDP(TICKER,"DEEP_MEASURE_PERIOD_BROKER_VALUE","DEEP_MEASURE_ID_OVERRIDE",$C65,"DEEP_BROKER_ID_OVERRIDE",$F$7,"DEEP_PERIOD_OVERRIDE",AO$11)*1,"")))</f>
        <v/>
      </c>
      <c r="AP65" s="17" t="str">
        <f ca="1">IF(ISNA($B65),"",IF($B65="","",IFERROR(_xll.BDP(TICKER,"DEEP_MEASURE_PERIOD_BROKER_VALUE","DEEP_MEASURE_ID_OVERRIDE",$C65,"DEEP_BROKER_ID_OVERRIDE",$F$7,"DEEP_PERIOD_OVERRIDE",AP$11)*1,"")))</f>
        <v/>
      </c>
      <c r="AQ65" s="17" t="str">
        <f ca="1">IF(ISNA($B65),"",IF($B65="","",IFERROR(_xll.BDP(TICKER,"DEEP_MEASURE_PERIOD_BROKER_VALUE","DEEP_MEASURE_ID_OVERRIDE",$C65,"DEEP_BROKER_ID_OVERRIDE",$F$7,"DEEP_PERIOD_OVERRIDE",AQ$11)*1,"")))</f>
        <v/>
      </c>
    </row>
    <row r="66" spans="2:43" x14ac:dyDescent="0.25">
      <c r="B66" t="s">
        <v>115</v>
      </c>
      <c r="C66" s="11">
        <v>1944</v>
      </c>
      <c r="H66" t="str">
        <f t="shared" si="2"/>
        <v>Total Revenue &gt; Hotel &gt; Revenue &gt; Other Hotel Revenue</v>
      </c>
      <c r="I66" s="17" t="str">
        <f ca="1">IF(ISNA($B66),"",IF($B66="","",IFERROR(_xll.BDP(TICKER,"DEEP_MEASURE_PERIOD_BROKER_VALUE","DEEP_MEASURE_ID_OVERRIDE",$C66,"DEEP_BROKER_ID_OVERRIDE",$F$7,"DEEP_PERIOD_OVERRIDE",I$11)*1,"")))</f>
        <v/>
      </c>
      <c r="J66" s="17" t="str">
        <f ca="1">IF(ISNA($B66),"",IF($B66="","",IFERROR(_xll.BDP(TICKER,"DEEP_MEASURE_PERIOD_BROKER_VALUE","DEEP_MEASURE_ID_OVERRIDE",$C66,"DEEP_BROKER_ID_OVERRIDE",$F$7,"DEEP_PERIOD_OVERRIDE",J$11)*1,"")))</f>
        <v/>
      </c>
      <c r="K66" s="17" t="str">
        <f ca="1">IF(ISNA($B66),"",IF($B66="","",IFERROR(_xll.BDP(TICKER,"DEEP_MEASURE_PERIOD_BROKER_VALUE","DEEP_MEASURE_ID_OVERRIDE",$C66,"DEEP_BROKER_ID_OVERRIDE",$F$7,"DEEP_PERIOD_OVERRIDE",K$11)*1,"")))</f>
        <v/>
      </c>
      <c r="L66" s="17" t="str">
        <f ca="1">IF(ISNA($B66),"",IF($B66="","",IFERROR(_xll.BDP(TICKER,"DEEP_MEASURE_PERIOD_BROKER_VALUE","DEEP_MEASURE_ID_OVERRIDE",$C66,"DEEP_BROKER_ID_OVERRIDE",$F$7,"DEEP_PERIOD_OVERRIDE",L$11)*1,"")))</f>
        <v/>
      </c>
      <c r="M66" s="17" t="str">
        <f ca="1">IF(ISNA($B66),"",IF($B66="","",IFERROR(_xll.BDP(TICKER,"DEEP_MEASURE_PERIOD_BROKER_VALUE","DEEP_MEASURE_ID_OVERRIDE",$C66,"DEEP_BROKER_ID_OVERRIDE",$F$7,"DEEP_PERIOD_OVERRIDE",M$11)*1,"")))</f>
        <v/>
      </c>
      <c r="N66" s="17" t="str">
        <f ca="1">IF(ISNA($B66),"",IF($B66="","",IFERROR(_xll.BDP(TICKER,"DEEP_MEASURE_PERIOD_BROKER_VALUE","DEEP_MEASURE_ID_OVERRIDE",$C66,"DEEP_BROKER_ID_OVERRIDE",$F$7,"DEEP_PERIOD_OVERRIDE",N$11)*1,"")))</f>
        <v/>
      </c>
      <c r="O66" s="17" t="str">
        <f ca="1">IF(ISNA($B66),"",IF($B66="","",IFERROR(_xll.BDP(TICKER,"DEEP_MEASURE_PERIOD_BROKER_VALUE","DEEP_MEASURE_ID_OVERRIDE",$C66,"DEEP_BROKER_ID_OVERRIDE",$F$7,"DEEP_PERIOD_OVERRIDE",O$11)*1,"")))</f>
        <v/>
      </c>
      <c r="P66" s="17" t="str">
        <f ca="1">IF(ISNA($B66),"",IF($B66="","",IFERROR(_xll.BDP(TICKER,"DEEP_MEASURE_PERIOD_BROKER_VALUE","DEEP_MEASURE_ID_OVERRIDE",$C66,"DEEP_BROKER_ID_OVERRIDE",$F$7,"DEEP_PERIOD_OVERRIDE",P$11)*1,"")))</f>
        <v/>
      </c>
      <c r="Q66" s="17" t="str">
        <f ca="1">IF(ISNA($B66),"",IF($B66="","",IFERROR(_xll.BDP(TICKER,"DEEP_MEASURE_PERIOD_BROKER_VALUE","DEEP_MEASURE_ID_OVERRIDE",$C66,"DEEP_BROKER_ID_OVERRIDE",$F$7,"DEEP_PERIOD_OVERRIDE",Q$11)*1,"")))</f>
        <v/>
      </c>
      <c r="R66" s="17" t="str">
        <f ca="1">IF(ISNA($B66),"",IF($B66="","",IFERROR(_xll.BDP(TICKER,"DEEP_MEASURE_PERIOD_BROKER_VALUE","DEEP_MEASURE_ID_OVERRIDE",$C66,"DEEP_BROKER_ID_OVERRIDE",$F$7,"DEEP_PERIOD_OVERRIDE",R$11)*1,"")))</f>
        <v/>
      </c>
      <c r="S66" s="17" t="str">
        <f ca="1">IF(ISNA($B66),"",IF($B66="","",IFERROR(_xll.BDP(TICKER,"DEEP_MEASURE_PERIOD_BROKER_VALUE","DEEP_MEASURE_ID_OVERRIDE",$C66,"DEEP_BROKER_ID_OVERRIDE",$F$7,"DEEP_PERIOD_OVERRIDE",S$11)*1,"")))</f>
        <v/>
      </c>
      <c r="T66" s="17" t="str">
        <f ca="1">IF(ISNA($B66),"",IF($B66="","",IFERROR(_xll.BDP(TICKER,"DEEP_MEASURE_PERIOD_BROKER_VALUE","DEEP_MEASURE_ID_OVERRIDE",$C66,"DEEP_BROKER_ID_OVERRIDE",$F$7,"DEEP_PERIOD_OVERRIDE",T$11)*1,"")))</f>
        <v/>
      </c>
      <c r="U66" s="17" t="str">
        <f ca="1">IF(ISNA($B66),"",IF($B66="","",IFERROR(_xll.BDP(TICKER,"DEEP_MEASURE_PERIOD_BROKER_VALUE","DEEP_MEASURE_ID_OVERRIDE",$C66,"DEEP_BROKER_ID_OVERRIDE",$F$7,"DEEP_PERIOD_OVERRIDE",U$11)*1,"")))</f>
        <v/>
      </c>
      <c r="V66" s="17" t="str">
        <f ca="1">IF(ISNA($B66),"",IF($B66="","",IFERROR(_xll.BDP(TICKER,"DEEP_MEASURE_PERIOD_BROKER_VALUE","DEEP_MEASURE_ID_OVERRIDE",$C66,"DEEP_BROKER_ID_OVERRIDE",$F$7,"DEEP_PERIOD_OVERRIDE",V$11)*1,"")))</f>
        <v/>
      </c>
      <c r="W66" s="17" t="str">
        <f ca="1">IF(ISNA($B66),"",IF($B66="","",IFERROR(_xll.BDP(TICKER,"DEEP_MEASURE_PERIOD_BROKER_VALUE","DEEP_MEASURE_ID_OVERRIDE",$C66,"DEEP_BROKER_ID_OVERRIDE",$F$7,"DEEP_PERIOD_OVERRIDE",W$11)*1,"")))</f>
        <v/>
      </c>
      <c r="X66" s="17" t="str">
        <f ca="1">IF(ISNA($B66),"",IF($B66="","",IFERROR(_xll.BDP(TICKER,"DEEP_MEASURE_PERIOD_BROKER_VALUE","DEEP_MEASURE_ID_OVERRIDE",$C66,"DEEP_BROKER_ID_OVERRIDE",$F$7,"DEEP_PERIOD_OVERRIDE",X$11)*1,"")))</f>
        <v/>
      </c>
      <c r="Y66" s="17" t="str">
        <f ca="1">IF(ISNA($B66),"",IF($B66="","",IFERROR(_xll.BDP(TICKER,"DEEP_MEASURE_PERIOD_BROKER_VALUE","DEEP_MEASURE_ID_OVERRIDE",$C66,"DEEP_BROKER_ID_OVERRIDE",$F$7,"DEEP_PERIOD_OVERRIDE",Y$11)*1,"")))</f>
        <v/>
      </c>
      <c r="Z66" s="17" t="str">
        <f ca="1">IF(ISNA($B66),"",IF($B66="","",IFERROR(_xll.BDP(TICKER,"DEEP_MEASURE_PERIOD_BROKER_VALUE","DEEP_MEASURE_ID_OVERRIDE",$C66,"DEEP_BROKER_ID_OVERRIDE",$F$7,"DEEP_PERIOD_OVERRIDE",Z$11)*1,"")))</f>
        <v/>
      </c>
      <c r="AA66" s="17" t="str">
        <f ca="1">IF(ISNA($B66),"",IF($B66="","",IFERROR(_xll.BDP(TICKER,"DEEP_MEASURE_PERIOD_BROKER_VALUE","DEEP_MEASURE_ID_OVERRIDE",$C66,"DEEP_BROKER_ID_OVERRIDE",$F$7,"DEEP_PERIOD_OVERRIDE",AA$11)*1,"")))</f>
        <v/>
      </c>
      <c r="AB66" s="17" t="str">
        <f ca="1">IF(ISNA($B66),"",IF($B66="","",IFERROR(_xll.BDP(TICKER,"DEEP_MEASURE_PERIOD_BROKER_VALUE","DEEP_MEASURE_ID_OVERRIDE",$C66,"DEEP_BROKER_ID_OVERRIDE",$F$7,"DEEP_PERIOD_OVERRIDE",AB$11)*1,"")))</f>
        <v/>
      </c>
      <c r="AC66" s="17" t="str">
        <f ca="1">IF(ISNA($B66),"",IF($B66="","",IFERROR(_xll.BDP(TICKER,"DEEP_MEASURE_PERIOD_BROKER_VALUE","DEEP_MEASURE_ID_OVERRIDE",$C66,"DEEP_BROKER_ID_OVERRIDE",$F$7,"DEEP_PERIOD_OVERRIDE",AC$11)*1,"")))</f>
        <v/>
      </c>
      <c r="AD66" s="17" t="str">
        <f ca="1">IF(ISNA($B66),"",IF($B66="","",IFERROR(_xll.BDP(TICKER,"DEEP_MEASURE_PERIOD_BROKER_VALUE","DEEP_MEASURE_ID_OVERRIDE",$C66,"DEEP_BROKER_ID_OVERRIDE",$F$7,"DEEP_PERIOD_OVERRIDE",AD$11)*1,"")))</f>
        <v/>
      </c>
      <c r="AE66" s="17" t="str">
        <f ca="1">IF(ISNA($B66),"",IF($B66="","",IFERROR(_xll.BDP(TICKER,"DEEP_MEASURE_PERIOD_BROKER_VALUE","DEEP_MEASURE_ID_OVERRIDE",$C66,"DEEP_BROKER_ID_OVERRIDE",$F$7,"DEEP_PERIOD_OVERRIDE",AE$11)*1,"")))</f>
        <v/>
      </c>
      <c r="AF66" s="17" t="str">
        <f ca="1">IF(ISNA($B66),"",IF($B66="","",IFERROR(_xll.BDP(TICKER,"DEEP_MEASURE_PERIOD_BROKER_VALUE","DEEP_MEASURE_ID_OVERRIDE",$C66,"DEEP_BROKER_ID_OVERRIDE",$F$7,"DEEP_PERIOD_OVERRIDE",AF$11)*1,"")))</f>
        <v/>
      </c>
      <c r="AG66" s="17" t="str">
        <f ca="1">IF(ISNA($B66),"",IF($B66="","",IFERROR(_xll.BDP(TICKER,"DEEP_MEASURE_PERIOD_BROKER_VALUE","DEEP_MEASURE_ID_OVERRIDE",$C66,"DEEP_BROKER_ID_OVERRIDE",$F$7,"DEEP_PERIOD_OVERRIDE",AG$11)*1,"")))</f>
        <v/>
      </c>
      <c r="AH66" s="17" t="str">
        <f ca="1">IF(ISNA($B66),"",IF($B66="","",IFERROR(_xll.BDP(TICKER,"DEEP_MEASURE_PERIOD_BROKER_VALUE","DEEP_MEASURE_ID_OVERRIDE",$C66,"DEEP_BROKER_ID_OVERRIDE",$F$7,"DEEP_PERIOD_OVERRIDE",AH$11)*1,"")))</f>
        <v/>
      </c>
      <c r="AI66" s="17" t="str">
        <f ca="1">IF(ISNA($B66),"",IF($B66="","",IFERROR(_xll.BDP(TICKER,"DEEP_MEASURE_PERIOD_BROKER_VALUE","DEEP_MEASURE_ID_OVERRIDE",$C66,"DEEP_BROKER_ID_OVERRIDE",$F$7,"DEEP_PERIOD_OVERRIDE",AI$11)*1,"")))</f>
        <v/>
      </c>
      <c r="AJ66" s="17" t="str">
        <f ca="1">IF(ISNA($B66),"",IF($B66="","",IFERROR(_xll.BDP(TICKER,"DEEP_MEASURE_PERIOD_BROKER_VALUE","DEEP_MEASURE_ID_OVERRIDE",$C66,"DEEP_BROKER_ID_OVERRIDE",$F$7,"DEEP_PERIOD_OVERRIDE",AJ$11)*1,"")))</f>
        <v/>
      </c>
      <c r="AK66" s="17" t="str">
        <f ca="1">IF(ISNA($B66),"",IF($B66="","",IFERROR(_xll.BDP(TICKER,"DEEP_MEASURE_PERIOD_BROKER_VALUE","DEEP_MEASURE_ID_OVERRIDE",$C66,"DEEP_BROKER_ID_OVERRIDE",$F$7,"DEEP_PERIOD_OVERRIDE",AK$11)*1,"")))</f>
        <v/>
      </c>
      <c r="AL66" s="17" t="str">
        <f ca="1">IF(ISNA($B66),"",IF($B66="","",IFERROR(_xll.BDP(TICKER,"DEEP_MEASURE_PERIOD_BROKER_VALUE","DEEP_MEASURE_ID_OVERRIDE",$C66,"DEEP_BROKER_ID_OVERRIDE",$F$7,"DEEP_PERIOD_OVERRIDE",AL$11)*1,"")))</f>
        <v/>
      </c>
      <c r="AM66" s="17" t="str">
        <f ca="1">IF(ISNA($B66),"",IF($B66="","",IFERROR(_xll.BDP(TICKER,"DEEP_MEASURE_PERIOD_BROKER_VALUE","DEEP_MEASURE_ID_OVERRIDE",$C66,"DEEP_BROKER_ID_OVERRIDE",$F$7,"DEEP_PERIOD_OVERRIDE",AM$11)*1,"")))</f>
        <v/>
      </c>
      <c r="AN66" s="17" t="str">
        <f ca="1">IF(ISNA($B66),"",IF($B66="","",IFERROR(_xll.BDP(TICKER,"DEEP_MEASURE_PERIOD_BROKER_VALUE","DEEP_MEASURE_ID_OVERRIDE",$C66,"DEEP_BROKER_ID_OVERRIDE",$F$7,"DEEP_PERIOD_OVERRIDE",AN$11)*1,"")))</f>
        <v/>
      </c>
      <c r="AO66" s="17" t="str">
        <f ca="1">IF(ISNA($B66),"",IF($B66="","",IFERROR(_xll.BDP(TICKER,"DEEP_MEASURE_PERIOD_BROKER_VALUE","DEEP_MEASURE_ID_OVERRIDE",$C66,"DEEP_BROKER_ID_OVERRIDE",$F$7,"DEEP_PERIOD_OVERRIDE",AO$11)*1,"")))</f>
        <v/>
      </c>
      <c r="AP66" s="17" t="str">
        <f ca="1">IF(ISNA($B66),"",IF($B66="","",IFERROR(_xll.BDP(TICKER,"DEEP_MEASURE_PERIOD_BROKER_VALUE","DEEP_MEASURE_ID_OVERRIDE",$C66,"DEEP_BROKER_ID_OVERRIDE",$F$7,"DEEP_PERIOD_OVERRIDE",AP$11)*1,"")))</f>
        <v/>
      </c>
      <c r="AQ66" s="17" t="str">
        <f ca="1">IF(ISNA($B66),"",IF($B66="","",IFERROR(_xll.BDP(TICKER,"DEEP_MEASURE_PERIOD_BROKER_VALUE","DEEP_MEASURE_ID_OVERRIDE",$C66,"DEEP_BROKER_ID_OVERRIDE",$F$7,"DEEP_PERIOD_OVERRIDE",AQ$11)*1,"")))</f>
        <v/>
      </c>
    </row>
    <row r="67" spans="2:43" x14ac:dyDescent="0.25">
      <c r="B67" t="s">
        <v>116</v>
      </c>
      <c r="C67" s="11">
        <v>1950</v>
      </c>
      <c r="H67" t="str">
        <f t="shared" si="2"/>
        <v>Total Revenue &gt; Hotel &gt; Revenue &gt; Other Hotel Revenue &gt; As % of Revenue</v>
      </c>
      <c r="I67" s="17" t="str">
        <f ca="1">IF(ISNA($B67),"",IF($B67="","",IFERROR(_xll.BDP(TICKER,"DEEP_MEASURE_PERIOD_BROKER_VALUE","DEEP_MEASURE_ID_OVERRIDE",$C67,"DEEP_BROKER_ID_OVERRIDE",$F$7,"DEEP_PERIOD_OVERRIDE",I$11)*1,"")))</f>
        <v/>
      </c>
      <c r="J67" s="17" t="str">
        <f ca="1">IF(ISNA($B67),"",IF($B67="","",IFERROR(_xll.BDP(TICKER,"DEEP_MEASURE_PERIOD_BROKER_VALUE","DEEP_MEASURE_ID_OVERRIDE",$C67,"DEEP_BROKER_ID_OVERRIDE",$F$7,"DEEP_PERIOD_OVERRIDE",J$11)*1,"")))</f>
        <v/>
      </c>
      <c r="K67" s="17" t="str">
        <f ca="1">IF(ISNA($B67),"",IF($B67="","",IFERROR(_xll.BDP(TICKER,"DEEP_MEASURE_PERIOD_BROKER_VALUE","DEEP_MEASURE_ID_OVERRIDE",$C67,"DEEP_BROKER_ID_OVERRIDE",$F$7,"DEEP_PERIOD_OVERRIDE",K$11)*1,"")))</f>
        <v/>
      </c>
      <c r="L67" s="17" t="str">
        <f ca="1">IF(ISNA($B67),"",IF($B67="","",IFERROR(_xll.BDP(TICKER,"DEEP_MEASURE_PERIOD_BROKER_VALUE","DEEP_MEASURE_ID_OVERRIDE",$C67,"DEEP_BROKER_ID_OVERRIDE",$F$7,"DEEP_PERIOD_OVERRIDE",L$11)*1,"")))</f>
        <v/>
      </c>
      <c r="M67" s="17" t="str">
        <f ca="1">IF(ISNA($B67),"",IF($B67="","",IFERROR(_xll.BDP(TICKER,"DEEP_MEASURE_PERIOD_BROKER_VALUE","DEEP_MEASURE_ID_OVERRIDE",$C67,"DEEP_BROKER_ID_OVERRIDE",$F$7,"DEEP_PERIOD_OVERRIDE",M$11)*1,"")))</f>
        <v/>
      </c>
      <c r="N67" s="17" t="str">
        <f ca="1">IF(ISNA($B67),"",IF($B67="","",IFERROR(_xll.BDP(TICKER,"DEEP_MEASURE_PERIOD_BROKER_VALUE","DEEP_MEASURE_ID_OVERRIDE",$C67,"DEEP_BROKER_ID_OVERRIDE",$F$7,"DEEP_PERIOD_OVERRIDE",N$11)*1,"")))</f>
        <v/>
      </c>
      <c r="O67" s="17" t="str">
        <f ca="1">IF(ISNA($B67),"",IF($B67="","",IFERROR(_xll.BDP(TICKER,"DEEP_MEASURE_PERIOD_BROKER_VALUE","DEEP_MEASURE_ID_OVERRIDE",$C67,"DEEP_BROKER_ID_OVERRIDE",$F$7,"DEEP_PERIOD_OVERRIDE",O$11)*1,"")))</f>
        <v/>
      </c>
      <c r="P67" s="17" t="str">
        <f ca="1">IF(ISNA($B67),"",IF($B67="","",IFERROR(_xll.BDP(TICKER,"DEEP_MEASURE_PERIOD_BROKER_VALUE","DEEP_MEASURE_ID_OVERRIDE",$C67,"DEEP_BROKER_ID_OVERRIDE",$F$7,"DEEP_PERIOD_OVERRIDE",P$11)*1,"")))</f>
        <v/>
      </c>
      <c r="Q67" s="17" t="str">
        <f ca="1">IF(ISNA($B67),"",IF($B67="","",IFERROR(_xll.BDP(TICKER,"DEEP_MEASURE_PERIOD_BROKER_VALUE","DEEP_MEASURE_ID_OVERRIDE",$C67,"DEEP_BROKER_ID_OVERRIDE",$F$7,"DEEP_PERIOD_OVERRIDE",Q$11)*1,"")))</f>
        <v/>
      </c>
      <c r="R67" s="17" t="str">
        <f ca="1">IF(ISNA($B67),"",IF($B67="","",IFERROR(_xll.BDP(TICKER,"DEEP_MEASURE_PERIOD_BROKER_VALUE","DEEP_MEASURE_ID_OVERRIDE",$C67,"DEEP_BROKER_ID_OVERRIDE",$F$7,"DEEP_PERIOD_OVERRIDE",R$11)*1,"")))</f>
        <v/>
      </c>
      <c r="S67" s="17" t="str">
        <f ca="1">IF(ISNA($B67),"",IF($B67="","",IFERROR(_xll.BDP(TICKER,"DEEP_MEASURE_PERIOD_BROKER_VALUE","DEEP_MEASURE_ID_OVERRIDE",$C67,"DEEP_BROKER_ID_OVERRIDE",$F$7,"DEEP_PERIOD_OVERRIDE",S$11)*1,"")))</f>
        <v/>
      </c>
      <c r="T67" s="17" t="str">
        <f ca="1">IF(ISNA($B67),"",IF($B67="","",IFERROR(_xll.BDP(TICKER,"DEEP_MEASURE_PERIOD_BROKER_VALUE","DEEP_MEASURE_ID_OVERRIDE",$C67,"DEEP_BROKER_ID_OVERRIDE",$F$7,"DEEP_PERIOD_OVERRIDE",T$11)*1,"")))</f>
        <v/>
      </c>
      <c r="U67" s="17" t="str">
        <f ca="1">IF(ISNA($B67),"",IF($B67="","",IFERROR(_xll.BDP(TICKER,"DEEP_MEASURE_PERIOD_BROKER_VALUE","DEEP_MEASURE_ID_OVERRIDE",$C67,"DEEP_BROKER_ID_OVERRIDE",$F$7,"DEEP_PERIOD_OVERRIDE",U$11)*1,"")))</f>
        <v/>
      </c>
      <c r="V67" s="17" t="str">
        <f ca="1">IF(ISNA($B67),"",IF($B67="","",IFERROR(_xll.BDP(TICKER,"DEEP_MEASURE_PERIOD_BROKER_VALUE","DEEP_MEASURE_ID_OVERRIDE",$C67,"DEEP_BROKER_ID_OVERRIDE",$F$7,"DEEP_PERIOD_OVERRIDE",V$11)*1,"")))</f>
        <v/>
      </c>
      <c r="W67" s="17" t="str">
        <f ca="1">IF(ISNA($B67),"",IF($B67="","",IFERROR(_xll.BDP(TICKER,"DEEP_MEASURE_PERIOD_BROKER_VALUE","DEEP_MEASURE_ID_OVERRIDE",$C67,"DEEP_BROKER_ID_OVERRIDE",$F$7,"DEEP_PERIOD_OVERRIDE",W$11)*1,"")))</f>
        <v/>
      </c>
      <c r="X67" s="17" t="str">
        <f ca="1">IF(ISNA($B67),"",IF($B67="","",IFERROR(_xll.BDP(TICKER,"DEEP_MEASURE_PERIOD_BROKER_VALUE","DEEP_MEASURE_ID_OVERRIDE",$C67,"DEEP_BROKER_ID_OVERRIDE",$F$7,"DEEP_PERIOD_OVERRIDE",X$11)*1,"")))</f>
        <v/>
      </c>
      <c r="Y67" s="17" t="str">
        <f ca="1">IF(ISNA($B67),"",IF($B67="","",IFERROR(_xll.BDP(TICKER,"DEEP_MEASURE_PERIOD_BROKER_VALUE","DEEP_MEASURE_ID_OVERRIDE",$C67,"DEEP_BROKER_ID_OVERRIDE",$F$7,"DEEP_PERIOD_OVERRIDE",Y$11)*1,"")))</f>
        <v/>
      </c>
      <c r="Z67" s="17" t="str">
        <f ca="1">IF(ISNA($B67),"",IF($B67="","",IFERROR(_xll.BDP(TICKER,"DEEP_MEASURE_PERIOD_BROKER_VALUE","DEEP_MEASURE_ID_OVERRIDE",$C67,"DEEP_BROKER_ID_OVERRIDE",$F$7,"DEEP_PERIOD_OVERRIDE",Z$11)*1,"")))</f>
        <v/>
      </c>
      <c r="AA67" s="17" t="str">
        <f ca="1">IF(ISNA($B67),"",IF($B67="","",IFERROR(_xll.BDP(TICKER,"DEEP_MEASURE_PERIOD_BROKER_VALUE","DEEP_MEASURE_ID_OVERRIDE",$C67,"DEEP_BROKER_ID_OVERRIDE",$F$7,"DEEP_PERIOD_OVERRIDE",AA$11)*1,"")))</f>
        <v/>
      </c>
      <c r="AB67" s="17" t="str">
        <f ca="1">IF(ISNA($B67),"",IF($B67="","",IFERROR(_xll.BDP(TICKER,"DEEP_MEASURE_PERIOD_BROKER_VALUE","DEEP_MEASURE_ID_OVERRIDE",$C67,"DEEP_BROKER_ID_OVERRIDE",$F$7,"DEEP_PERIOD_OVERRIDE",AB$11)*1,"")))</f>
        <v/>
      </c>
      <c r="AC67" s="17" t="str">
        <f ca="1">IF(ISNA($B67),"",IF($B67="","",IFERROR(_xll.BDP(TICKER,"DEEP_MEASURE_PERIOD_BROKER_VALUE","DEEP_MEASURE_ID_OVERRIDE",$C67,"DEEP_BROKER_ID_OVERRIDE",$F$7,"DEEP_PERIOD_OVERRIDE",AC$11)*1,"")))</f>
        <v/>
      </c>
      <c r="AD67" s="17" t="str">
        <f ca="1">IF(ISNA($B67),"",IF($B67="","",IFERROR(_xll.BDP(TICKER,"DEEP_MEASURE_PERIOD_BROKER_VALUE","DEEP_MEASURE_ID_OVERRIDE",$C67,"DEEP_BROKER_ID_OVERRIDE",$F$7,"DEEP_PERIOD_OVERRIDE",AD$11)*1,"")))</f>
        <v/>
      </c>
      <c r="AE67" s="17" t="str">
        <f ca="1">IF(ISNA($B67),"",IF($B67="","",IFERROR(_xll.BDP(TICKER,"DEEP_MEASURE_PERIOD_BROKER_VALUE","DEEP_MEASURE_ID_OVERRIDE",$C67,"DEEP_BROKER_ID_OVERRIDE",$F$7,"DEEP_PERIOD_OVERRIDE",AE$11)*1,"")))</f>
        <v/>
      </c>
      <c r="AF67" s="17" t="str">
        <f ca="1">IF(ISNA($B67),"",IF($B67="","",IFERROR(_xll.BDP(TICKER,"DEEP_MEASURE_PERIOD_BROKER_VALUE","DEEP_MEASURE_ID_OVERRIDE",$C67,"DEEP_BROKER_ID_OVERRIDE",$F$7,"DEEP_PERIOD_OVERRIDE",AF$11)*1,"")))</f>
        <v/>
      </c>
      <c r="AG67" s="17" t="str">
        <f ca="1">IF(ISNA($B67),"",IF($B67="","",IFERROR(_xll.BDP(TICKER,"DEEP_MEASURE_PERIOD_BROKER_VALUE","DEEP_MEASURE_ID_OVERRIDE",$C67,"DEEP_BROKER_ID_OVERRIDE",$F$7,"DEEP_PERIOD_OVERRIDE",AG$11)*1,"")))</f>
        <v/>
      </c>
      <c r="AH67" s="17" t="str">
        <f ca="1">IF(ISNA($B67),"",IF($B67="","",IFERROR(_xll.BDP(TICKER,"DEEP_MEASURE_PERIOD_BROKER_VALUE","DEEP_MEASURE_ID_OVERRIDE",$C67,"DEEP_BROKER_ID_OVERRIDE",$F$7,"DEEP_PERIOD_OVERRIDE",AH$11)*1,"")))</f>
        <v/>
      </c>
      <c r="AI67" s="17" t="str">
        <f ca="1">IF(ISNA($B67),"",IF($B67="","",IFERROR(_xll.BDP(TICKER,"DEEP_MEASURE_PERIOD_BROKER_VALUE","DEEP_MEASURE_ID_OVERRIDE",$C67,"DEEP_BROKER_ID_OVERRIDE",$F$7,"DEEP_PERIOD_OVERRIDE",AI$11)*1,"")))</f>
        <v/>
      </c>
      <c r="AJ67" s="17" t="str">
        <f ca="1">IF(ISNA($B67),"",IF($B67="","",IFERROR(_xll.BDP(TICKER,"DEEP_MEASURE_PERIOD_BROKER_VALUE","DEEP_MEASURE_ID_OVERRIDE",$C67,"DEEP_BROKER_ID_OVERRIDE",$F$7,"DEEP_PERIOD_OVERRIDE",AJ$11)*1,"")))</f>
        <v/>
      </c>
      <c r="AK67" s="17" t="str">
        <f ca="1">IF(ISNA($B67),"",IF($B67="","",IFERROR(_xll.BDP(TICKER,"DEEP_MEASURE_PERIOD_BROKER_VALUE","DEEP_MEASURE_ID_OVERRIDE",$C67,"DEEP_BROKER_ID_OVERRIDE",$F$7,"DEEP_PERIOD_OVERRIDE",AK$11)*1,"")))</f>
        <v/>
      </c>
      <c r="AL67" s="17" t="str">
        <f ca="1">IF(ISNA($B67),"",IF($B67="","",IFERROR(_xll.BDP(TICKER,"DEEP_MEASURE_PERIOD_BROKER_VALUE","DEEP_MEASURE_ID_OVERRIDE",$C67,"DEEP_BROKER_ID_OVERRIDE",$F$7,"DEEP_PERIOD_OVERRIDE",AL$11)*1,"")))</f>
        <v/>
      </c>
      <c r="AM67" s="17" t="str">
        <f ca="1">IF(ISNA($B67),"",IF($B67="","",IFERROR(_xll.BDP(TICKER,"DEEP_MEASURE_PERIOD_BROKER_VALUE","DEEP_MEASURE_ID_OVERRIDE",$C67,"DEEP_BROKER_ID_OVERRIDE",$F$7,"DEEP_PERIOD_OVERRIDE",AM$11)*1,"")))</f>
        <v/>
      </c>
      <c r="AN67" s="17" t="str">
        <f ca="1">IF(ISNA($B67),"",IF($B67="","",IFERROR(_xll.BDP(TICKER,"DEEP_MEASURE_PERIOD_BROKER_VALUE","DEEP_MEASURE_ID_OVERRIDE",$C67,"DEEP_BROKER_ID_OVERRIDE",$F$7,"DEEP_PERIOD_OVERRIDE",AN$11)*1,"")))</f>
        <v/>
      </c>
      <c r="AO67" s="17" t="str">
        <f ca="1">IF(ISNA($B67),"",IF($B67="","",IFERROR(_xll.BDP(TICKER,"DEEP_MEASURE_PERIOD_BROKER_VALUE","DEEP_MEASURE_ID_OVERRIDE",$C67,"DEEP_BROKER_ID_OVERRIDE",$F$7,"DEEP_PERIOD_OVERRIDE",AO$11)*1,"")))</f>
        <v/>
      </c>
      <c r="AP67" s="17" t="str">
        <f ca="1">IF(ISNA($B67),"",IF($B67="","",IFERROR(_xll.BDP(TICKER,"DEEP_MEASURE_PERIOD_BROKER_VALUE","DEEP_MEASURE_ID_OVERRIDE",$C67,"DEEP_BROKER_ID_OVERRIDE",$F$7,"DEEP_PERIOD_OVERRIDE",AP$11)*1,"")))</f>
        <v/>
      </c>
      <c r="AQ67" s="17" t="str">
        <f ca="1">IF(ISNA($B67),"",IF($B67="","",IFERROR(_xll.BDP(TICKER,"DEEP_MEASURE_PERIOD_BROKER_VALUE","DEEP_MEASURE_ID_OVERRIDE",$C67,"DEEP_BROKER_ID_OVERRIDE",$F$7,"DEEP_PERIOD_OVERRIDE",AQ$11)*1,"")))</f>
        <v/>
      </c>
    </row>
    <row r="68" spans="2:43" x14ac:dyDescent="0.25">
      <c r="B68" t="s">
        <v>117</v>
      </c>
      <c r="C68" s="11">
        <v>1945</v>
      </c>
      <c r="H68" t="str">
        <f t="shared" si="2"/>
        <v>Total Revenue &gt; Hotel &gt; Revenue &gt; Other Hotel Revenue &gt; YoY Growth (%)</v>
      </c>
      <c r="I68" s="17" t="str">
        <f ca="1">IF(ISNA($B68),"",IF($B68="","",IFERROR(_xll.BDP(TICKER,"DEEP_MEASURE_PERIOD_BROKER_VALUE","DEEP_MEASURE_ID_OVERRIDE",$C68,"DEEP_BROKER_ID_OVERRIDE",$F$7,"DEEP_PERIOD_OVERRIDE",I$11)*1,"")))</f>
        <v/>
      </c>
      <c r="J68" s="17" t="str">
        <f ca="1">IF(ISNA($B68),"",IF($B68="","",IFERROR(_xll.BDP(TICKER,"DEEP_MEASURE_PERIOD_BROKER_VALUE","DEEP_MEASURE_ID_OVERRIDE",$C68,"DEEP_BROKER_ID_OVERRIDE",$F$7,"DEEP_PERIOD_OVERRIDE",J$11)*1,"")))</f>
        <v/>
      </c>
      <c r="K68" s="17" t="str">
        <f ca="1">IF(ISNA($B68),"",IF($B68="","",IFERROR(_xll.BDP(TICKER,"DEEP_MEASURE_PERIOD_BROKER_VALUE","DEEP_MEASURE_ID_OVERRIDE",$C68,"DEEP_BROKER_ID_OVERRIDE",$F$7,"DEEP_PERIOD_OVERRIDE",K$11)*1,"")))</f>
        <v/>
      </c>
      <c r="L68" s="17" t="str">
        <f ca="1">IF(ISNA($B68),"",IF($B68="","",IFERROR(_xll.BDP(TICKER,"DEEP_MEASURE_PERIOD_BROKER_VALUE","DEEP_MEASURE_ID_OVERRIDE",$C68,"DEEP_BROKER_ID_OVERRIDE",$F$7,"DEEP_PERIOD_OVERRIDE",L$11)*1,"")))</f>
        <v/>
      </c>
      <c r="M68" s="17" t="str">
        <f ca="1">IF(ISNA($B68),"",IF($B68="","",IFERROR(_xll.BDP(TICKER,"DEEP_MEASURE_PERIOD_BROKER_VALUE","DEEP_MEASURE_ID_OVERRIDE",$C68,"DEEP_BROKER_ID_OVERRIDE",$F$7,"DEEP_PERIOD_OVERRIDE",M$11)*1,"")))</f>
        <v/>
      </c>
      <c r="N68" s="17" t="str">
        <f ca="1">IF(ISNA($B68),"",IF($B68="","",IFERROR(_xll.BDP(TICKER,"DEEP_MEASURE_PERIOD_BROKER_VALUE","DEEP_MEASURE_ID_OVERRIDE",$C68,"DEEP_BROKER_ID_OVERRIDE",$F$7,"DEEP_PERIOD_OVERRIDE",N$11)*1,"")))</f>
        <v/>
      </c>
      <c r="O68" s="17" t="str">
        <f ca="1">IF(ISNA($B68),"",IF($B68="","",IFERROR(_xll.BDP(TICKER,"DEEP_MEASURE_PERIOD_BROKER_VALUE","DEEP_MEASURE_ID_OVERRIDE",$C68,"DEEP_BROKER_ID_OVERRIDE",$F$7,"DEEP_PERIOD_OVERRIDE",O$11)*1,"")))</f>
        <v/>
      </c>
      <c r="P68" s="17" t="str">
        <f ca="1">IF(ISNA($B68),"",IF($B68="","",IFERROR(_xll.BDP(TICKER,"DEEP_MEASURE_PERIOD_BROKER_VALUE","DEEP_MEASURE_ID_OVERRIDE",$C68,"DEEP_BROKER_ID_OVERRIDE",$F$7,"DEEP_PERIOD_OVERRIDE",P$11)*1,"")))</f>
        <v/>
      </c>
      <c r="Q68" s="17" t="str">
        <f ca="1">IF(ISNA($B68),"",IF($B68="","",IFERROR(_xll.BDP(TICKER,"DEEP_MEASURE_PERIOD_BROKER_VALUE","DEEP_MEASURE_ID_OVERRIDE",$C68,"DEEP_BROKER_ID_OVERRIDE",$F$7,"DEEP_PERIOD_OVERRIDE",Q$11)*1,"")))</f>
        <v/>
      </c>
      <c r="R68" s="17" t="str">
        <f ca="1">IF(ISNA($B68),"",IF($B68="","",IFERROR(_xll.BDP(TICKER,"DEEP_MEASURE_PERIOD_BROKER_VALUE","DEEP_MEASURE_ID_OVERRIDE",$C68,"DEEP_BROKER_ID_OVERRIDE",$F$7,"DEEP_PERIOD_OVERRIDE",R$11)*1,"")))</f>
        <v/>
      </c>
      <c r="S68" s="17" t="str">
        <f ca="1">IF(ISNA($B68),"",IF($B68="","",IFERROR(_xll.BDP(TICKER,"DEEP_MEASURE_PERIOD_BROKER_VALUE","DEEP_MEASURE_ID_OVERRIDE",$C68,"DEEP_BROKER_ID_OVERRIDE",$F$7,"DEEP_PERIOD_OVERRIDE",S$11)*1,"")))</f>
        <v/>
      </c>
      <c r="T68" s="17" t="str">
        <f ca="1">IF(ISNA($B68),"",IF($B68="","",IFERROR(_xll.BDP(TICKER,"DEEP_MEASURE_PERIOD_BROKER_VALUE","DEEP_MEASURE_ID_OVERRIDE",$C68,"DEEP_BROKER_ID_OVERRIDE",$F$7,"DEEP_PERIOD_OVERRIDE",T$11)*1,"")))</f>
        <v/>
      </c>
      <c r="U68" s="17" t="str">
        <f ca="1">IF(ISNA($B68),"",IF($B68="","",IFERROR(_xll.BDP(TICKER,"DEEP_MEASURE_PERIOD_BROKER_VALUE","DEEP_MEASURE_ID_OVERRIDE",$C68,"DEEP_BROKER_ID_OVERRIDE",$F$7,"DEEP_PERIOD_OVERRIDE",U$11)*1,"")))</f>
        <v/>
      </c>
      <c r="V68" s="17" t="str">
        <f ca="1">IF(ISNA($B68),"",IF($B68="","",IFERROR(_xll.BDP(TICKER,"DEEP_MEASURE_PERIOD_BROKER_VALUE","DEEP_MEASURE_ID_OVERRIDE",$C68,"DEEP_BROKER_ID_OVERRIDE",$F$7,"DEEP_PERIOD_OVERRIDE",V$11)*1,"")))</f>
        <v/>
      </c>
      <c r="W68" s="17" t="str">
        <f ca="1">IF(ISNA($B68),"",IF($B68="","",IFERROR(_xll.BDP(TICKER,"DEEP_MEASURE_PERIOD_BROKER_VALUE","DEEP_MEASURE_ID_OVERRIDE",$C68,"DEEP_BROKER_ID_OVERRIDE",$F$7,"DEEP_PERIOD_OVERRIDE",W$11)*1,"")))</f>
        <v/>
      </c>
      <c r="X68" s="17" t="str">
        <f ca="1">IF(ISNA($B68),"",IF($B68="","",IFERROR(_xll.BDP(TICKER,"DEEP_MEASURE_PERIOD_BROKER_VALUE","DEEP_MEASURE_ID_OVERRIDE",$C68,"DEEP_BROKER_ID_OVERRIDE",$F$7,"DEEP_PERIOD_OVERRIDE",X$11)*1,"")))</f>
        <v/>
      </c>
      <c r="Y68" s="17" t="str">
        <f ca="1">IF(ISNA($B68),"",IF($B68="","",IFERROR(_xll.BDP(TICKER,"DEEP_MEASURE_PERIOD_BROKER_VALUE","DEEP_MEASURE_ID_OVERRIDE",$C68,"DEEP_BROKER_ID_OVERRIDE",$F$7,"DEEP_PERIOD_OVERRIDE",Y$11)*1,"")))</f>
        <v/>
      </c>
      <c r="Z68" s="17" t="str">
        <f ca="1">IF(ISNA($B68),"",IF($B68="","",IFERROR(_xll.BDP(TICKER,"DEEP_MEASURE_PERIOD_BROKER_VALUE","DEEP_MEASURE_ID_OVERRIDE",$C68,"DEEP_BROKER_ID_OVERRIDE",$F$7,"DEEP_PERIOD_OVERRIDE",Z$11)*1,"")))</f>
        <v/>
      </c>
      <c r="AA68" s="17" t="str">
        <f ca="1">IF(ISNA($B68),"",IF($B68="","",IFERROR(_xll.BDP(TICKER,"DEEP_MEASURE_PERIOD_BROKER_VALUE","DEEP_MEASURE_ID_OVERRIDE",$C68,"DEEP_BROKER_ID_OVERRIDE",$F$7,"DEEP_PERIOD_OVERRIDE",AA$11)*1,"")))</f>
        <v/>
      </c>
      <c r="AB68" s="17" t="str">
        <f ca="1">IF(ISNA($B68),"",IF($B68="","",IFERROR(_xll.BDP(TICKER,"DEEP_MEASURE_PERIOD_BROKER_VALUE","DEEP_MEASURE_ID_OVERRIDE",$C68,"DEEP_BROKER_ID_OVERRIDE",$F$7,"DEEP_PERIOD_OVERRIDE",AB$11)*1,"")))</f>
        <v/>
      </c>
      <c r="AC68" s="17" t="str">
        <f ca="1">IF(ISNA($B68),"",IF($B68="","",IFERROR(_xll.BDP(TICKER,"DEEP_MEASURE_PERIOD_BROKER_VALUE","DEEP_MEASURE_ID_OVERRIDE",$C68,"DEEP_BROKER_ID_OVERRIDE",$F$7,"DEEP_PERIOD_OVERRIDE",AC$11)*1,"")))</f>
        <v/>
      </c>
      <c r="AD68" s="17" t="str">
        <f ca="1">IF(ISNA($B68),"",IF($B68="","",IFERROR(_xll.BDP(TICKER,"DEEP_MEASURE_PERIOD_BROKER_VALUE","DEEP_MEASURE_ID_OVERRIDE",$C68,"DEEP_BROKER_ID_OVERRIDE",$F$7,"DEEP_PERIOD_OVERRIDE",AD$11)*1,"")))</f>
        <v/>
      </c>
      <c r="AE68" s="17" t="str">
        <f ca="1">IF(ISNA($B68),"",IF($B68="","",IFERROR(_xll.BDP(TICKER,"DEEP_MEASURE_PERIOD_BROKER_VALUE","DEEP_MEASURE_ID_OVERRIDE",$C68,"DEEP_BROKER_ID_OVERRIDE",$F$7,"DEEP_PERIOD_OVERRIDE",AE$11)*1,"")))</f>
        <v/>
      </c>
      <c r="AF68" s="17" t="str">
        <f ca="1">IF(ISNA($B68),"",IF($B68="","",IFERROR(_xll.BDP(TICKER,"DEEP_MEASURE_PERIOD_BROKER_VALUE","DEEP_MEASURE_ID_OVERRIDE",$C68,"DEEP_BROKER_ID_OVERRIDE",$F$7,"DEEP_PERIOD_OVERRIDE",AF$11)*1,"")))</f>
        <v/>
      </c>
      <c r="AG68" s="17" t="str">
        <f ca="1">IF(ISNA($B68),"",IF($B68="","",IFERROR(_xll.BDP(TICKER,"DEEP_MEASURE_PERIOD_BROKER_VALUE","DEEP_MEASURE_ID_OVERRIDE",$C68,"DEEP_BROKER_ID_OVERRIDE",$F$7,"DEEP_PERIOD_OVERRIDE",AG$11)*1,"")))</f>
        <v/>
      </c>
      <c r="AH68" s="17" t="str">
        <f ca="1">IF(ISNA($B68),"",IF($B68="","",IFERROR(_xll.BDP(TICKER,"DEEP_MEASURE_PERIOD_BROKER_VALUE","DEEP_MEASURE_ID_OVERRIDE",$C68,"DEEP_BROKER_ID_OVERRIDE",$F$7,"DEEP_PERIOD_OVERRIDE",AH$11)*1,"")))</f>
        <v/>
      </c>
      <c r="AI68" s="17" t="str">
        <f ca="1">IF(ISNA($B68),"",IF($B68="","",IFERROR(_xll.BDP(TICKER,"DEEP_MEASURE_PERIOD_BROKER_VALUE","DEEP_MEASURE_ID_OVERRIDE",$C68,"DEEP_BROKER_ID_OVERRIDE",$F$7,"DEEP_PERIOD_OVERRIDE",AI$11)*1,"")))</f>
        <v/>
      </c>
      <c r="AJ68" s="17" t="str">
        <f ca="1">IF(ISNA($B68),"",IF($B68="","",IFERROR(_xll.BDP(TICKER,"DEEP_MEASURE_PERIOD_BROKER_VALUE","DEEP_MEASURE_ID_OVERRIDE",$C68,"DEEP_BROKER_ID_OVERRIDE",$F$7,"DEEP_PERIOD_OVERRIDE",AJ$11)*1,"")))</f>
        <v/>
      </c>
      <c r="AK68" s="17" t="str">
        <f ca="1">IF(ISNA($B68),"",IF($B68="","",IFERROR(_xll.BDP(TICKER,"DEEP_MEASURE_PERIOD_BROKER_VALUE","DEEP_MEASURE_ID_OVERRIDE",$C68,"DEEP_BROKER_ID_OVERRIDE",$F$7,"DEEP_PERIOD_OVERRIDE",AK$11)*1,"")))</f>
        <v/>
      </c>
      <c r="AL68" s="17" t="str">
        <f ca="1">IF(ISNA($B68),"",IF($B68="","",IFERROR(_xll.BDP(TICKER,"DEEP_MEASURE_PERIOD_BROKER_VALUE","DEEP_MEASURE_ID_OVERRIDE",$C68,"DEEP_BROKER_ID_OVERRIDE",$F$7,"DEEP_PERIOD_OVERRIDE",AL$11)*1,"")))</f>
        <v/>
      </c>
      <c r="AM68" s="17" t="str">
        <f ca="1">IF(ISNA($B68),"",IF($B68="","",IFERROR(_xll.BDP(TICKER,"DEEP_MEASURE_PERIOD_BROKER_VALUE","DEEP_MEASURE_ID_OVERRIDE",$C68,"DEEP_BROKER_ID_OVERRIDE",$F$7,"DEEP_PERIOD_OVERRIDE",AM$11)*1,"")))</f>
        <v/>
      </c>
      <c r="AN68" s="17" t="str">
        <f ca="1">IF(ISNA($B68),"",IF($B68="","",IFERROR(_xll.BDP(TICKER,"DEEP_MEASURE_PERIOD_BROKER_VALUE","DEEP_MEASURE_ID_OVERRIDE",$C68,"DEEP_BROKER_ID_OVERRIDE",$F$7,"DEEP_PERIOD_OVERRIDE",AN$11)*1,"")))</f>
        <v/>
      </c>
      <c r="AO68" s="17" t="str">
        <f ca="1">IF(ISNA($B68),"",IF($B68="","",IFERROR(_xll.BDP(TICKER,"DEEP_MEASURE_PERIOD_BROKER_VALUE","DEEP_MEASURE_ID_OVERRIDE",$C68,"DEEP_BROKER_ID_OVERRIDE",$F$7,"DEEP_PERIOD_OVERRIDE",AO$11)*1,"")))</f>
        <v/>
      </c>
      <c r="AP68" s="17" t="str">
        <f ca="1">IF(ISNA($B68),"",IF($B68="","",IFERROR(_xll.BDP(TICKER,"DEEP_MEASURE_PERIOD_BROKER_VALUE","DEEP_MEASURE_ID_OVERRIDE",$C68,"DEEP_BROKER_ID_OVERRIDE",$F$7,"DEEP_PERIOD_OVERRIDE",AP$11)*1,"")))</f>
        <v/>
      </c>
      <c r="AQ68" s="17" t="str">
        <f ca="1">IF(ISNA($B68),"",IF($B68="","",IFERROR(_xll.BDP(TICKER,"DEEP_MEASURE_PERIOD_BROKER_VALUE","DEEP_MEASURE_ID_OVERRIDE",$C68,"DEEP_BROKER_ID_OVERRIDE",$F$7,"DEEP_PERIOD_OVERRIDE",AQ$11)*1,"")))</f>
        <v/>
      </c>
    </row>
    <row r="69" spans="2:43" x14ac:dyDescent="0.25">
      <c r="B69" t="s">
        <v>118</v>
      </c>
      <c r="C69" s="11">
        <v>1947</v>
      </c>
      <c r="H69" t="str">
        <f t="shared" si="2"/>
        <v>Total Revenue &gt; Hotel &gt; Revenue &gt; Other Hotel Revenue &gt; QoQ Growth (%)</v>
      </c>
      <c r="I69" s="17" t="str">
        <f ca="1">IF(ISNA($B69),"",IF($B69="","",IFERROR(_xll.BDP(TICKER,"DEEP_MEASURE_PERIOD_BROKER_VALUE","DEEP_MEASURE_ID_OVERRIDE",$C69,"DEEP_BROKER_ID_OVERRIDE",$F$7,"DEEP_PERIOD_OVERRIDE",I$11)*1,"")))</f>
        <v/>
      </c>
      <c r="J69" s="17" t="str">
        <f ca="1">IF(ISNA($B69),"",IF($B69="","",IFERROR(_xll.BDP(TICKER,"DEEP_MEASURE_PERIOD_BROKER_VALUE","DEEP_MEASURE_ID_OVERRIDE",$C69,"DEEP_BROKER_ID_OVERRIDE",$F$7,"DEEP_PERIOD_OVERRIDE",J$11)*1,"")))</f>
        <v/>
      </c>
      <c r="K69" s="17" t="str">
        <f ca="1">IF(ISNA($B69),"",IF($B69="","",IFERROR(_xll.BDP(TICKER,"DEEP_MEASURE_PERIOD_BROKER_VALUE","DEEP_MEASURE_ID_OVERRIDE",$C69,"DEEP_BROKER_ID_OVERRIDE",$F$7,"DEEP_PERIOD_OVERRIDE",K$11)*1,"")))</f>
        <v/>
      </c>
      <c r="L69" s="17" t="str">
        <f ca="1">IF(ISNA($B69),"",IF($B69="","",IFERROR(_xll.BDP(TICKER,"DEEP_MEASURE_PERIOD_BROKER_VALUE","DEEP_MEASURE_ID_OVERRIDE",$C69,"DEEP_BROKER_ID_OVERRIDE",$F$7,"DEEP_PERIOD_OVERRIDE",L$11)*1,"")))</f>
        <v/>
      </c>
      <c r="M69" s="17" t="str">
        <f ca="1">IF(ISNA($B69),"",IF($B69="","",IFERROR(_xll.BDP(TICKER,"DEEP_MEASURE_PERIOD_BROKER_VALUE","DEEP_MEASURE_ID_OVERRIDE",$C69,"DEEP_BROKER_ID_OVERRIDE",$F$7,"DEEP_PERIOD_OVERRIDE",M$11)*1,"")))</f>
        <v/>
      </c>
      <c r="N69" s="17" t="str">
        <f ca="1">IF(ISNA($B69),"",IF($B69="","",IFERROR(_xll.BDP(TICKER,"DEEP_MEASURE_PERIOD_BROKER_VALUE","DEEP_MEASURE_ID_OVERRIDE",$C69,"DEEP_BROKER_ID_OVERRIDE",$F$7,"DEEP_PERIOD_OVERRIDE",N$11)*1,"")))</f>
        <v/>
      </c>
      <c r="O69" s="17" t="str">
        <f ca="1">IF(ISNA($B69),"",IF($B69="","",IFERROR(_xll.BDP(TICKER,"DEEP_MEASURE_PERIOD_BROKER_VALUE","DEEP_MEASURE_ID_OVERRIDE",$C69,"DEEP_BROKER_ID_OVERRIDE",$F$7,"DEEP_PERIOD_OVERRIDE",O$11)*1,"")))</f>
        <v/>
      </c>
      <c r="P69" s="17" t="str">
        <f ca="1">IF(ISNA($B69),"",IF($B69="","",IFERROR(_xll.BDP(TICKER,"DEEP_MEASURE_PERIOD_BROKER_VALUE","DEEP_MEASURE_ID_OVERRIDE",$C69,"DEEP_BROKER_ID_OVERRIDE",$F$7,"DEEP_PERIOD_OVERRIDE",P$11)*1,"")))</f>
        <v/>
      </c>
      <c r="Q69" s="17" t="str">
        <f ca="1">IF(ISNA($B69),"",IF($B69="","",IFERROR(_xll.BDP(TICKER,"DEEP_MEASURE_PERIOD_BROKER_VALUE","DEEP_MEASURE_ID_OVERRIDE",$C69,"DEEP_BROKER_ID_OVERRIDE",$F$7,"DEEP_PERIOD_OVERRIDE",Q$11)*1,"")))</f>
        <v/>
      </c>
      <c r="R69" s="17" t="str">
        <f ca="1">IF(ISNA($B69),"",IF($B69="","",IFERROR(_xll.BDP(TICKER,"DEEP_MEASURE_PERIOD_BROKER_VALUE","DEEP_MEASURE_ID_OVERRIDE",$C69,"DEEP_BROKER_ID_OVERRIDE",$F$7,"DEEP_PERIOD_OVERRIDE",R$11)*1,"")))</f>
        <v/>
      </c>
      <c r="S69" s="17" t="str">
        <f ca="1">IF(ISNA($B69),"",IF($B69="","",IFERROR(_xll.BDP(TICKER,"DEEP_MEASURE_PERIOD_BROKER_VALUE","DEEP_MEASURE_ID_OVERRIDE",$C69,"DEEP_BROKER_ID_OVERRIDE",$F$7,"DEEP_PERIOD_OVERRIDE",S$11)*1,"")))</f>
        <v/>
      </c>
      <c r="T69" s="17" t="str">
        <f ca="1">IF(ISNA($B69),"",IF($B69="","",IFERROR(_xll.BDP(TICKER,"DEEP_MEASURE_PERIOD_BROKER_VALUE","DEEP_MEASURE_ID_OVERRIDE",$C69,"DEEP_BROKER_ID_OVERRIDE",$F$7,"DEEP_PERIOD_OVERRIDE",T$11)*1,"")))</f>
        <v/>
      </c>
      <c r="U69" s="17" t="str">
        <f ca="1">IF(ISNA($B69),"",IF($B69="","",IFERROR(_xll.BDP(TICKER,"DEEP_MEASURE_PERIOD_BROKER_VALUE","DEEP_MEASURE_ID_OVERRIDE",$C69,"DEEP_BROKER_ID_OVERRIDE",$F$7,"DEEP_PERIOD_OVERRIDE",U$11)*1,"")))</f>
        <v/>
      </c>
      <c r="V69" s="17" t="str">
        <f ca="1">IF(ISNA($B69),"",IF($B69="","",IFERROR(_xll.BDP(TICKER,"DEEP_MEASURE_PERIOD_BROKER_VALUE","DEEP_MEASURE_ID_OVERRIDE",$C69,"DEEP_BROKER_ID_OVERRIDE",$F$7,"DEEP_PERIOD_OVERRIDE",V$11)*1,"")))</f>
        <v/>
      </c>
      <c r="W69" s="17" t="str">
        <f ca="1">IF(ISNA($B69),"",IF($B69="","",IFERROR(_xll.BDP(TICKER,"DEEP_MEASURE_PERIOD_BROKER_VALUE","DEEP_MEASURE_ID_OVERRIDE",$C69,"DEEP_BROKER_ID_OVERRIDE",$F$7,"DEEP_PERIOD_OVERRIDE",W$11)*1,"")))</f>
        <v/>
      </c>
      <c r="X69" s="17" t="str">
        <f ca="1">IF(ISNA($B69),"",IF($B69="","",IFERROR(_xll.BDP(TICKER,"DEEP_MEASURE_PERIOD_BROKER_VALUE","DEEP_MEASURE_ID_OVERRIDE",$C69,"DEEP_BROKER_ID_OVERRIDE",$F$7,"DEEP_PERIOD_OVERRIDE",X$11)*1,"")))</f>
        <v/>
      </c>
      <c r="Y69" s="17" t="str">
        <f ca="1">IF(ISNA($B69),"",IF($B69="","",IFERROR(_xll.BDP(TICKER,"DEEP_MEASURE_PERIOD_BROKER_VALUE","DEEP_MEASURE_ID_OVERRIDE",$C69,"DEEP_BROKER_ID_OVERRIDE",$F$7,"DEEP_PERIOD_OVERRIDE",Y$11)*1,"")))</f>
        <v/>
      </c>
      <c r="Z69" s="17" t="str">
        <f ca="1">IF(ISNA($B69),"",IF($B69="","",IFERROR(_xll.BDP(TICKER,"DEEP_MEASURE_PERIOD_BROKER_VALUE","DEEP_MEASURE_ID_OVERRIDE",$C69,"DEEP_BROKER_ID_OVERRIDE",$F$7,"DEEP_PERIOD_OVERRIDE",Z$11)*1,"")))</f>
        <v/>
      </c>
      <c r="AA69" s="17" t="str">
        <f ca="1">IF(ISNA($B69),"",IF($B69="","",IFERROR(_xll.BDP(TICKER,"DEEP_MEASURE_PERIOD_BROKER_VALUE","DEEP_MEASURE_ID_OVERRIDE",$C69,"DEEP_BROKER_ID_OVERRIDE",$F$7,"DEEP_PERIOD_OVERRIDE",AA$11)*1,"")))</f>
        <v/>
      </c>
      <c r="AB69" s="17" t="str">
        <f ca="1">IF(ISNA($B69),"",IF($B69="","",IFERROR(_xll.BDP(TICKER,"DEEP_MEASURE_PERIOD_BROKER_VALUE","DEEP_MEASURE_ID_OVERRIDE",$C69,"DEEP_BROKER_ID_OVERRIDE",$F$7,"DEEP_PERIOD_OVERRIDE",AB$11)*1,"")))</f>
        <v/>
      </c>
      <c r="AC69" s="17" t="str">
        <f ca="1">IF(ISNA($B69),"",IF($B69="","",IFERROR(_xll.BDP(TICKER,"DEEP_MEASURE_PERIOD_BROKER_VALUE","DEEP_MEASURE_ID_OVERRIDE",$C69,"DEEP_BROKER_ID_OVERRIDE",$F$7,"DEEP_PERIOD_OVERRIDE",AC$11)*1,"")))</f>
        <v/>
      </c>
      <c r="AD69" s="17" t="str">
        <f ca="1">IF(ISNA($B69),"",IF($B69="","",IFERROR(_xll.BDP(TICKER,"DEEP_MEASURE_PERIOD_BROKER_VALUE","DEEP_MEASURE_ID_OVERRIDE",$C69,"DEEP_BROKER_ID_OVERRIDE",$F$7,"DEEP_PERIOD_OVERRIDE",AD$11)*1,"")))</f>
        <v/>
      </c>
      <c r="AE69" s="17" t="str">
        <f ca="1">IF(ISNA($B69),"",IF($B69="","",IFERROR(_xll.BDP(TICKER,"DEEP_MEASURE_PERIOD_BROKER_VALUE","DEEP_MEASURE_ID_OVERRIDE",$C69,"DEEP_BROKER_ID_OVERRIDE",$F$7,"DEEP_PERIOD_OVERRIDE",AE$11)*1,"")))</f>
        <v/>
      </c>
      <c r="AF69" s="17" t="str">
        <f ca="1">IF(ISNA($B69),"",IF($B69="","",IFERROR(_xll.BDP(TICKER,"DEEP_MEASURE_PERIOD_BROKER_VALUE","DEEP_MEASURE_ID_OVERRIDE",$C69,"DEEP_BROKER_ID_OVERRIDE",$F$7,"DEEP_PERIOD_OVERRIDE",AF$11)*1,"")))</f>
        <v/>
      </c>
      <c r="AG69" s="17" t="str">
        <f ca="1">IF(ISNA($B69),"",IF($B69="","",IFERROR(_xll.BDP(TICKER,"DEEP_MEASURE_PERIOD_BROKER_VALUE","DEEP_MEASURE_ID_OVERRIDE",$C69,"DEEP_BROKER_ID_OVERRIDE",$F$7,"DEEP_PERIOD_OVERRIDE",AG$11)*1,"")))</f>
        <v/>
      </c>
      <c r="AH69" s="17" t="str">
        <f ca="1">IF(ISNA($B69),"",IF($B69="","",IFERROR(_xll.BDP(TICKER,"DEEP_MEASURE_PERIOD_BROKER_VALUE","DEEP_MEASURE_ID_OVERRIDE",$C69,"DEEP_BROKER_ID_OVERRIDE",$F$7,"DEEP_PERIOD_OVERRIDE",AH$11)*1,"")))</f>
        <v/>
      </c>
      <c r="AI69" s="17" t="str">
        <f ca="1">IF(ISNA($B69),"",IF($B69="","",IFERROR(_xll.BDP(TICKER,"DEEP_MEASURE_PERIOD_BROKER_VALUE","DEEP_MEASURE_ID_OVERRIDE",$C69,"DEEP_BROKER_ID_OVERRIDE",$F$7,"DEEP_PERIOD_OVERRIDE",AI$11)*1,"")))</f>
        <v/>
      </c>
      <c r="AJ69" s="17" t="str">
        <f ca="1">IF(ISNA($B69),"",IF($B69="","",IFERROR(_xll.BDP(TICKER,"DEEP_MEASURE_PERIOD_BROKER_VALUE","DEEP_MEASURE_ID_OVERRIDE",$C69,"DEEP_BROKER_ID_OVERRIDE",$F$7,"DEEP_PERIOD_OVERRIDE",AJ$11)*1,"")))</f>
        <v/>
      </c>
      <c r="AK69" s="17" t="str">
        <f ca="1">IF(ISNA($B69),"",IF($B69="","",IFERROR(_xll.BDP(TICKER,"DEEP_MEASURE_PERIOD_BROKER_VALUE","DEEP_MEASURE_ID_OVERRIDE",$C69,"DEEP_BROKER_ID_OVERRIDE",$F$7,"DEEP_PERIOD_OVERRIDE",AK$11)*1,"")))</f>
        <v/>
      </c>
      <c r="AL69" s="17" t="str">
        <f ca="1">IF(ISNA($B69),"",IF($B69="","",IFERROR(_xll.BDP(TICKER,"DEEP_MEASURE_PERIOD_BROKER_VALUE","DEEP_MEASURE_ID_OVERRIDE",$C69,"DEEP_BROKER_ID_OVERRIDE",$F$7,"DEEP_PERIOD_OVERRIDE",AL$11)*1,"")))</f>
        <v/>
      </c>
      <c r="AM69" s="17" t="str">
        <f ca="1">IF(ISNA($B69),"",IF($B69="","",IFERROR(_xll.BDP(TICKER,"DEEP_MEASURE_PERIOD_BROKER_VALUE","DEEP_MEASURE_ID_OVERRIDE",$C69,"DEEP_BROKER_ID_OVERRIDE",$F$7,"DEEP_PERIOD_OVERRIDE",AM$11)*1,"")))</f>
        <v/>
      </c>
      <c r="AN69" s="17" t="str">
        <f ca="1">IF(ISNA($B69),"",IF($B69="","",IFERROR(_xll.BDP(TICKER,"DEEP_MEASURE_PERIOD_BROKER_VALUE","DEEP_MEASURE_ID_OVERRIDE",$C69,"DEEP_BROKER_ID_OVERRIDE",$F$7,"DEEP_PERIOD_OVERRIDE",AN$11)*1,"")))</f>
        <v/>
      </c>
      <c r="AO69" s="17" t="str">
        <f ca="1">IF(ISNA($B69),"",IF($B69="","",IFERROR(_xll.BDP(TICKER,"DEEP_MEASURE_PERIOD_BROKER_VALUE","DEEP_MEASURE_ID_OVERRIDE",$C69,"DEEP_BROKER_ID_OVERRIDE",$F$7,"DEEP_PERIOD_OVERRIDE",AO$11)*1,"")))</f>
        <v/>
      </c>
      <c r="AP69" s="17" t="str">
        <f ca="1">IF(ISNA($B69),"",IF($B69="","",IFERROR(_xll.BDP(TICKER,"DEEP_MEASURE_PERIOD_BROKER_VALUE","DEEP_MEASURE_ID_OVERRIDE",$C69,"DEEP_BROKER_ID_OVERRIDE",$F$7,"DEEP_PERIOD_OVERRIDE",AP$11)*1,"")))</f>
        <v/>
      </c>
      <c r="AQ69" s="17" t="str">
        <f ca="1">IF(ISNA($B69),"",IF($B69="","",IFERROR(_xll.BDP(TICKER,"DEEP_MEASURE_PERIOD_BROKER_VALUE","DEEP_MEASURE_ID_OVERRIDE",$C69,"DEEP_BROKER_ID_OVERRIDE",$F$7,"DEEP_PERIOD_OVERRIDE",AQ$11)*1,"")))</f>
        <v/>
      </c>
    </row>
    <row r="70" spans="2:43" x14ac:dyDescent="0.25">
      <c r="B70" t="s">
        <v>119</v>
      </c>
      <c r="C70" s="11">
        <v>939</v>
      </c>
      <c r="H70" t="str">
        <f t="shared" si="2"/>
        <v>Total Revenue &gt; Hotel &gt; Adjusted EBITDA</v>
      </c>
      <c r="I70" s="17" t="str">
        <f ca="1">IF(ISNA($B70),"",IF($B70="","",IFERROR(_xll.BDP(TICKER,"DEEP_MEASURE_PERIOD_BROKER_VALUE","DEEP_MEASURE_ID_OVERRIDE",$C70,"DEEP_BROKER_ID_OVERRIDE",$F$7,"DEEP_PERIOD_OVERRIDE",I$11)*1,"")))</f>
        <v/>
      </c>
      <c r="J70" s="17" t="str">
        <f ca="1">IF(ISNA($B70),"",IF($B70="","",IFERROR(_xll.BDP(TICKER,"DEEP_MEASURE_PERIOD_BROKER_VALUE","DEEP_MEASURE_ID_OVERRIDE",$C70,"DEEP_BROKER_ID_OVERRIDE",$F$7,"DEEP_PERIOD_OVERRIDE",J$11)*1,"")))</f>
        <v/>
      </c>
      <c r="K70" s="17" t="str">
        <f ca="1">IF(ISNA($B70),"",IF($B70="","",IFERROR(_xll.BDP(TICKER,"DEEP_MEASURE_PERIOD_BROKER_VALUE","DEEP_MEASURE_ID_OVERRIDE",$C70,"DEEP_BROKER_ID_OVERRIDE",$F$7,"DEEP_PERIOD_OVERRIDE",K$11)*1,"")))</f>
        <v/>
      </c>
      <c r="L70" s="17" t="str">
        <f ca="1">IF(ISNA($B70),"",IF($B70="","",IFERROR(_xll.BDP(TICKER,"DEEP_MEASURE_PERIOD_BROKER_VALUE","DEEP_MEASURE_ID_OVERRIDE",$C70,"DEEP_BROKER_ID_OVERRIDE",$F$7,"DEEP_PERIOD_OVERRIDE",L$11)*1,"")))</f>
        <v/>
      </c>
      <c r="M70" s="17" t="str">
        <f ca="1">IF(ISNA($B70),"",IF($B70="","",IFERROR(_xll.BDP(TICKER,"DEEP_MEASURE_PERIOD_BROKER_VALUE","DEEP_MEASURE_ID_OVERRIDE",$C70,"DEEP_BROKER_ID_OVERRIDE",$F$7,"DEEP_PERIOD_OVERRIDE",M$11)*1,"")))</f>
        <v/>
      </c>
      <c r="N70" s="17" t="str">
        <f ca="1">IF(ISNA($B70),"",IF($B70="","",IFERROR(_xll.BDP(TICKER,"DEEP_MEASURE_PERIOD_BROKER_VALUE","DEEP_MEASURE_ID_OVERRIDE",$C70,"DEEP_BROKER_ID_OVERRIDE",$F$7,"DEEP_PERIOD_OVERRIDE",N$11)*1,"")))</f>
        <v/>
      </c>
      <c r="O70" s="17" t="str">
        <f ca="1">IF(ISNA($B70),"",IF($B70="","",IFERROR(_xll.BDP(TICKER,"DEEP_MEASURE_PERIOD_BROKER_VALUE","DEEP_MEASURE_ID_OVERRIDE",$C70,"DEEP_BROKER_ID_OVERRIDE",$F$7,"DEEP_PERIOD_OVERRIDE",O$11)*1,"")))</f>
        <v/>
      </c>
      <c r="P70" s="17" t="str">
        <f ca="1">IF(ISNA($B70),"",IF($B70="","",IFERROR(_xll.BDP(TICKER,"DEEP_MEASURE_PERIOD_BROKER_VALUE","DEEP_MEASURE_ID_OVERRIDE",$C70,"DEEP_BROKER_ID_OVERRIDE",$F$7,"DEEP_PERIOD_OVERRIDE",P$11)*1,"")))</f>
        <v/>
      </c>
      <c r="Q70" s="17" t="str">
        <f ca="1">IF(ISNA($B70),"",IF($B70="","",IFERROR(_xll.BDP(TICKER,"DEEP_MEASURE_PERIOD_BROKER_VALUE","DEEP_MEASURE_ID_OVERRIDE",$C70,"DEEP_BROKER_ID_OVERRIDE",$F$7,"DEEP_PERIOD_OVERRIDE",Q$11)*1,"")))</f>
        <v/>
      </c>
      <c r="R70" s="17" t="str">
        <f ca="1">IF(ISNA($B70),"",IF($B70="","",IFERROR(_xll.BDP(TICKER,"DEEP_MEASURE_PERIOD_BROKER_VALUE","DEEP_MEASURE_ID_OVERRIDE",$C70,"DEEP_BROKER_ID_OVERRIDE",$F$7,"DEEP_PERIOD_OVERRIDE",R$11)*1,"")))</f>
        <v/>
      </c>
      <c r="S70" s="17" t="str">
        <f ca="1">IF(ISNA($B70),"",IF($B70="","",IFERROR(_xll.BDP(TICKER,"DEEP_MEASURE_PERIOD_BROKER_VALUE","DEEP_MEASURE_ID_OVERRIDE",$C70,"DEEP_BROKER_ID_OVERRIDE",$F$7,"DEEP_PERIOD_OVERRIDE",S$11)*1,"")))</f>
        <v/>
      </c>
      <c r="T70" s="17" t="str">
        <f ca="1">IF(ISNA($B70),"",IF($B70="","",IFERROR(_xll.BDP(TICKER,"DEEP_MEASURE_PERIOD_BROKER_VALUE","DEEP_MEASURE_ID_OVERRIDE",$C70,"DEEP_BROKER_ID_OVERRIDE",$F$7,"DEEP_PERIOD_OVERRIDE",T$11)*1,"")))</f>
        <v/>
      </c>
      <c r="U70" s="17" t="str">
        <f ca="1">IF(ISNA($B70),"",IF($B70="","",IFERROR(_xll.BDP(TICKER,"DEEP_MEASURE_PERIOD_BROKER_VALUE","DEEP_MEASURE_ID_OVERRIDE",$C70,"DEEP_BROKER_ID_OVERRIDE",$F$7,"DEEP_PERIOD_OVERRIDE",U$11)*1,"")))</f>
        <v/>
      </c>
      <c r="V70" s="17" t="str">
        <f ca="1">IF(ISNA($B70),"",IF($B70="","",IFERROR(_xll.BDP(TICKER,"DEEP_MEASURE_PERIOD_BROKER_VALUE","DEEP_MEASURE_ID_OVERRIDE",$C70,"DEEP_BROKER_ID_OVERRIDE",$F$7,"DEEP_PERIOD_OVERRIDE",V$11)*1,"")))</f>
        <v/>
      </c>
      <c r="W70" s="17" t="str">
        <f ca="1">IF(ISNA($B70),"",IF($B70="","",IFERROR(_xll.BDP(TICKER,"DEEP_MEASURE_PERIOD_BROKER_VALUE","DEEP_MEASURE_ID_OVERRIDE",$C70,"DEEP_BROKER_ID_OVERRIDE",$F$7,"DEEP_PERIOD_OVERRIDE",W$11)*1,"")))</f>
        <v/>
      </c>
      <c r="X70" s="17" t="str">
        <f ca="1">IF(ISNA($B70),"",IF($B70="","",IFERROR(_xll.BDP(TICKER,"DEEP_MEASURE_PERIOD_BROKER_VALUE","DEEP_MEASURE_ID_OVERRIDE",$C70,"DEEP_BROKER_ID_OVERRIDE",$F$7,"DEEP_PERIOD_OVERRIDE",X$11)*1,"")))</f>
        <v/>
      </c>
      <c r="Y70" s="17" t="str">
        <f ca="1">IF(ISNA($B70),"",IF($B70="","",IFERROR(_xll.BDP(TICKER,"DEEP_MEASURE_PERIOD_BROKER_VALUE","DEEP_MEASURE_ID_OVERRIDE",$C70,"DEEP_BROKER_ID_OVERRIDE",$F$7,"DEEP_PERIOD_OVERRIDE",Y$11)*1,"")))</f>
        <v/>
      </c>
      <c r="Z70" s="17" t="str">
        <f ca="1">IF(ISNA($B70),"",IF($B70="","",IFERROR(_xll.BDP(TICKER,"DEEP_MEASURE_PERIOD_BROKER_VALUE","DEEP_MEASURE_ID_OVERRIDE",$C70,"DEEP_BROKER_ID_OVERRIDE",$F$7,"DEEP_PERIOD_OVERRIDE",Z$11)*1,"")))</f>
        <v/>
      </c>
      <c r="AA70" s="17" t="str">
        <f ca="1">IF(ISNA($B70),"",IF($B70="","",IFERROR(_xll.BDP(TICKER,"DEEP_MEASURE_PERIOD_BROKER_VALUE","DEEP_MEASURE_ID_OVERRIDE",$C70,"DEEP_BROKER_ID_OVERRIDE",$F$7,"DEEP_PERIOD_OVERRIDE",AA$11)*1,"")))</f>
        <v/>
      </c>
      <c r="AB70" s="17" t="str">
        <f ca="1">IF(ISNA($B70),"",IF($B70="","",IFERROR(_xll.BDP(TICKER,"DEEP_MEASURE_PERIOD_BROKER_VALUE","DEEP_MEASURE_ID_OVERRIDE",$C70,"DEEP_BROKER_ID_OVERRIDE",$F$7,"DEEP_PERIOD_OVERRIDE",AB$11)*1,"")))</f>
        <v/>
      </c>
      <c r="AC70" s="17" t="str">
        <f ca="1">IF(ISNA($B70),"",IF($B70="","",IFERROR(_xll.BDP(TICKER,"DEEP_MEASURE_PERIOD_BROKER_VALUE","DEEP_MEASURE_ID_OVERRIDE",$C70,"DEEP_BROKER_ID_OVERRIDE",$F$7,"DEEP_PERIOD_OVERRIDE",AC$11)*1,"")))</f>
        <v/>
      </c>
      <c r="AD70" s="17" t="str">
        <f ca="1">IF(ISNA($B70),"",IF($B70="","",IFERROR(_xll.BDP(TICKER,"DEEP_MEASURE_PERIOD_BROKER_VALUE","DEEP_MEASURE_ID_OVERRIDE",$C70,"DEEP_BROKER_ID_OVERRIDE",$F$7,"DEEP_PERIOD_OVERRIDE",AD$11)*1,"")))</f>
        <v/>
      </c>
      <c r="AE70" s="17" t="str">
        <f ca="1">IF(ISNA($B70),"",IF($B70="","",IFERROR(_xll.BDP(TICKER,"DEEP_MEASURE_PERIOD_BROKER_VALUE","DEEP_MEASURE_ID_OVERRIDE",$C70,"DEEP_BROKER_ID_OVERRIDE",$F$7,"DEEP_PERIOD_OVERRIDE",AE$11)*1,"")))</f>
        <v/>
      </c>
      <c r="AF70" s="17" t="str">
        <f ca="1">IF(ISNA($B70),"",IF($B70="","",IFERROR(_xll.BDP(TICKER,"DEEP_MEASURE_PERIOD_BROKER_VALUE","DEEP_MEASURE_ID_OVERRIDE",$C70,"DEEP_BROKER_ID_OVERRIDE",$F$7,"DEEP_PERIOD_OVERRIDE",AF$11)*1,"")))</f>
        <v/>
      </c>
      <c r="AG70" s="17" t="str">
        <f ca="1">IF(ISNA($B70),"",IF($B70="","",IFERROR(_xll.BDP(TICKER,"DEEP_MEASURE_PERIOD_BROKER_VALUE","DEEP_MEASURE_ID_OVERRIDE",$C70,"DEEP_BROKER_ID_OVERRIDE",$F$7,"DEEP_PERIOD_OVERRIDE",AG$11)*1,"")))</f>
        <v/>
      </c>
      <c r="AH70" s="17" t="str">
        <f ca="1">IF(ISNA($B70),"",IF($B70="","",IFERROR(_xll.BDP(TICKER,"DEEP_MEASURE_PERIOD_BROKER_VALUE","DEEP_MEASURE_ID_OVERRIDE",$C70,"DEEP_BROKER_ID_OVERRIDE",$F$7,"DEEP_PERIOD_OVERRIDE",AH$11)*1,"")))</f>
        <v/>
      </c>
      <c r="AI70" s="17" t="str">
        <f ca="1">IF(ISNA($B70),"",IF($B70="","",IFERROR(_xll.BDP(TICKER,"DEEP_MEASURE_PERIOD_BROKER_VALUE","DEEP_MEASURE_ID_OVERRIDE",$C70,"DEEP_BROKER_ID_OVERRIDE",$F$7,"DEEP_PERIOD_OVERRIDE",AI$11)*1,"")))</f>
        <v/>
      </c>
      <c r="AJ70" s="17" t="str">
        <f ca="1">IF(ISNA($B70),"",IF($B70="","",IFERROR(_xll.BDP(TICKER,"DEEP_MEASURE_PERIOD_BROKER_VALUE","DEEP_MEASURE_ID_OVERRIDE",$C70,"DEEP_BROKER_ID_OVERRIDE",$F$7,"DEEP_PERIOD_OVERRIDE",AJ$11)*1,"")))</f>
        <v/>
      </c>
      <c r="AK70" s="17" t="str">
        <f ca="1">IF(ISNA($B70),"",IF($B70="","",IFERROR(_xll.BDP(TICKER,"DEEP_MEASURE_PERIOD_BROKER_VALUE","DEEP_MEASURE_ID_OVERRIDE",$C70,"DEEP_BROKER_ID_OVERRIDE",$F$7,"DEEP_PERIOD_OVERRIDE",AK$11)*1,"")))</f>
        <v/>
      </c>
      <c r="AL70" s="17" t="str">
        <f ca="1">IF(ISNA($B70),"",IF($B70="","",IFERROR(_xll.BDP(TICKER,"DEEP_MEASURE_PERIOD_BROKER_VALUE","DEEP_MEASURE_ID_OVERRIDE",$C70,"DEEP_BROKER_ID_OVERRIDE",$F$7,"DEEP_PERIOD_OVERRIDE",AL$11)*1,"")))</f>
        <v/>
      </c>
      <c r="AM70" s="17" t="str">
        <f ca="1">IF(ISNA($B70),"",IF($B70="","",IFERROR(_xll.BDP(TICKER,"DEEP_MEASURE_PERIOD_BROKER_VALUE","DEEP_MEASURE_ID_OVERRIDE",$C70,"DEEP_BROKER_ID_OVERRIDE",$F$7,"DEEP_PERIOD_OVERRIDE",AM$11)*1,"")))</f>
        <v/>
      </c>
      <c r="AN70" s="17" t="str">
        <f ca="1">IF(ISNA($B70),"",IF($B70="","",IFERROR(_xll.BDP(TICKER,"DEEP_MEASURE_PERIOD_BROKER_VALUE","DEEP_MEASURE_ID_OVERRIDE",$C70,"DEEP_BROKER_ID_OVERRIDE",$F$7,"DEEP_PERIOD_OVERRIDE",AN$11)*1,"")))</f>
        <v/>
      </c>
      <c r="AO70" s="17" t="str">
        <f ca="1">IF(ISNA($B70),"",IF($B70="","",IFERROR(_xll.BDP(TICKER,"DEEP_MEASURE_PERIOD_BROKER_VALUE","DEEP_MEASURE_ID_OVERRIDE",$C70,"DEEP_BROKER_ID_OVERRIDE",$F$7,"DEEP_PERIOD_OVERRIDE",AO$11)*1,"")))</f>
        <v/>
      </c>
      <c r="AP70" s="17" t="str">
        <f ca="1">IF(ISNA($B70),"",IF($B70="","",IFERROR(_xll.BDP(TICKER,"DEEP_MEASURE_PERIOD_BROKER_VALUE","DEEP_MEASURE_ID_OVERRIDE",$C70,"DEEP_BROKER_ID_OVERRIDE",$F$7,"DEEP_PERIOD_OVERRIDE",AP$11)*1,"")))</f>
        <v/>
      </c>
      <c r="AQ70" s="17" t="str">
        <f ca="1">IF(ISNA($B70),"",IF($B70="","",IFERROR(_xll.BDP(TICKER,"DEEP_MEASURE_PERIOD_BROKER_VALUE","DEEP_MEASURE_ID_OVERRIDE",$C70,"DEEP_BROKER_ID_OVERRIDE",$F$7,"DEEP_PERIOD_OVERRIDE",AQ$11)*1,"")))</f>
        <v/>
      </c>
    </row>
    <row r="71" spans="2:43" x14ac:dyDescent="0.25">
      <c r="B71" t="s">
        <v>120</v>
      </c>
      <c r="C71" s="11">
        <v>398</v>
      </c>
      <c r="H71" t="str">
        <f t="shared" si="2"/>
        <v>Total Revenue &gt; Hotel &gt; Adjusted EBITDA &gt; Adjusted EBITDA Margin (%)</v>
      </c>
      <c r="I71" s="17" t="str">
        <f ca="1">IF(ISNA($B71),"",IF($B71="","",IFERROR(_xll.BDP(TICKER,"DEEP_MEASURE_PERIOD_BROKER_VALUE","DEEP_MEASURE_ID_OVERRIDE",$C71,"DEEP_BROKER_ID_OVERRIDE",$F$7,"DEEP_PERIOD_OVERRIDE",I$11)*1,"")))</f>
        <v/>
      </c>
      <c r="J71" s="17" t="str">
        <f ca="1">IF(ISNA($B71),"",IF($B71="","",IFERROR(_xll.BDP(TICKER,"DEEP_MEASURE_PERIOD_BROKER_VALUE","DEEP_MEASURE_ID_OVERRIDE",$C71,"DEEP_BROKER_ID_OVERRIDE",$F$7,"DEEP_PERIOD_OVERRIDE",J$11)*1,"")))</f>
        <v/>
      </c>
      <c r="K71" s="17" t="str">
        <f ca="1">IF(ISNA($B71),"",IF($B71="","",IFERROR(_xll.BDP(TICKER,"DEEP_MEASURE_PERIOD_BROKER_VALUE","DEEP_MEASURE_ID_OVERRIDE",$C71,"DEEP_BROKER_ID_OVERRIDE",$F$7,"DEEP_PERIOD_OVERRIDE",K$11)*1,"")))</f>
        <v/>
      </c>
      <c r="L71" s="17" t="str">
        <f ca="1">IF(ISNA($B71),"",IF($B71="","",IFERROR(_xll.BDP(TICKER,"DEEP_MEASURE_PERIOD_BROKER_VALUE","DEEP_MEASURE_ID_OVERRIDE",$C71,"DEEP_BROKER_ID_OVERRIDE",$F$7,"DEEP_PERIOD_OVERRIDE",L$11)*1,"")))</f>
        <v/>
      </c>
      <c r="M71" s="17" t="str">
        <f ca="1">IF(ISNA($B71),"",IF($B71="","",IFERROR(_xll.BDP(TICKER,"DEEP_MEASURE_PERIOD_BROKER_VALUE","DEEP_MEASURE_ID_OVERRIDE",$C71,"DEEP_BROKER_ID_OVERRIDE",$F$7,"DEEP_PERIOD_OVERRIDE",M$11)*1,"")))</f>
        <v/>
      </c>
      <c r="N71" s="17" t="str">
        <f ca="1">IF(ISNA($B71),"",IF($B71="","",IFERROR(_xll.BDP(TICKER,"DEEP_MEASURE_PERIOD_BROKER_VALUE","DEEP_MEASURE_ID_OVERRIDE",$C71,"DEEP_BROKER_ID_OVERRIDE",$F$7,"DEEP_PERIOD_OVERRIDE",N$11)*1,"")))</f>
        <v/>
      </c>
      <c r="O71" s="17" t="str">
        <f ca="1">IF(ISNA($B71),"",IF($B71="","",IFERROR(_xll.BDP(TICKER,"DEEP_MEASURE_PERIOD_BROKER_VALUE","DEEP_MEASURE_ID_OVERRIDE",$C71,"DEEP_BROKER_ID_OVERRIDE",$F$7,"DEEP_PERIOD_OVERRIDE",O$11)*1,"")))</f>
        <v/>
      </c>
      <c r="P71" s="17" t="str">
        <f ca="1">IF(ISNA($B71),"",IF($B71="","",IFERROR(_xll.BDP(TICKER,"DEEP_MEASURE_PERIOD_BROKER_VALUE","DEEP_MEASURE_ID_OVERRIDE",$C71,"DEEP_BROKER_ID_OVERRIDE",$F$7,"DEEP_PERIOD_OVERRIDE",P$11)*1,"")))</f>
        <v/>
      </c>
      <c r="Q71" s="17" t="str">
        <f ca="1">IF(ISNA($B71),"",IF($B71="","",IFERROR(_xll.BDP(TICKER,"DEEP_MEASURE_PERIOD_BROKER_VALUE","DEEP_MEASURE_ID_OVERRIDE",$C71,"DEEP_BROKER_ID_OVERRIDE",$F$7,"DEEP_PERIOD_OVERRIDE",Q$11)*1,"")))</f>
        <v/>
      </c>
      <c r="R71" s="17" t="str">
        <f ca="1">IF(ISNA($B71),"",IF($B71="","",IFERROR(_xll.BDP(TICKER,"DEEP_MEASURE_PERIOD_BROKER_VALUE","DEEP_MEASURE_ID_OVERRIDE",$C71,"DEEP_BROKER_ID_OVERRIDE",$F$7,"DEEP_PERIOD_OVERRIDE",R$11)*1,"")))</f>
        <v/>
      </c>
      <c r="S71" s="17" t="str">
        <f ca="1">IF(ISNA($B71),"",IF($B71="","",IFERROR(_xll.BDP(TICKER,"DEEP_MEASURE_PERIOD_BROKER_VALUE","DEEP_MEASURE_ID_OVERRIDE",$C71,"DEEP_BROKER_ID_OVERRIDE",$F$7,"DEEP_PERIOD_OVERRIDE",S$11)*1,"")))</f>
        <v/>
      </c>
      <c r="T71" s="17" t="str">
        <f ca="1">IF(ISNA($B71),"",IF($B71="","",IFERROR(_xll.BDP(TICKER,"DEEP_MEASURE_PERIOD_BROKER_VALUE","DEEP_MEASURE_ID_OVERRIDE",$C71,"DEEP_BROKER_ID_OVERRIDE",$F$7,"DEEP_PERIOD_OVERRIDE",T$11)*1,"")))</f>
        <v/>
      </c>
      <c r="U71" s="17" t="str">
        <f ca="1">IF(ISNA($B71),"",IF($B71="","",IFERROR(_xll.BDP(TICKER,"DEEP_MEASURE_PERIOD_BROKER_VALUE","DEEP_MEASURE_ID_OVERRIDE",$C71,"DEEP_BROKER_ID_OVERRIDE",$F$7,"DEEP_PERIOD_OVERRIDE",U$11)*1,"")))</f>
        <v/>
      </c>
      <c r="V71" s="17" t="str">
        <f ca="1">IF(ISNA($B71),"",IF($B71="","",IFERROR(_xll.BDP(TICKER,"DEEP_MEASURE_PERIOD_BROKER_VALUE","DEEP_MEASURE_ID_OVERRIDE",$C71,"DEEP_BROKER_ID_OVERRIDE",$F$7,"DEEP_PERIOD_OVERRIDE",V$11)*1,"")))</f>
        <v/>
      </c>
      <c r="W71" s="17" t="str">
        <f ca="1">IF(ISNA($B71),"",IF($B71="","",IFERROR(_xll.BDP(TICKER,"DEEP_MEASURE_PERIOD_BROKER_VALUE","DEEP_MEASURE_ID_OVERRIDE",$C71,"DEEP_BROKER_ID_OVERRIDE",$F$7,"DEEP_PERIOD_OVERRIDE",W$11)*1,"")))</f>
        <v/>
      </c>
      <c r="X71" s="17" t="str">
        <f ca="1">IF(ISNA($B71),"",IF($B71="","",IFERROR(_xll.BDP(TICKER,"DEEP_MEASURE_PERIOD_BROKER_VALUE","DEEP_MEASURE_ID_OVERRIDE",$C71,"DEEP_BROKER_ID_OVERRIDE",$F$7,"DEEP_PERIOD_OVERRIDE",X$11)*1,"")))</f>
        <v/>
      </c>
      <c r="Y71" s="17" t="str">
        <f ca="1">IF(ISNA($B71),"",IF($B71="","",IFERROR(_xll.BDP(TICKER,"DEEP_MEASURE_PERIOD_BROKER_VALUE","DEEP_MEASURE_ID_OVERRIDE",$C71,"DEEP_BROKER_ID_OVERRIDE",$F$7,"DEEP_PERIOD_OVERRIDE",Y$11)*1,"")))</f>
        <v/>
      </c>
      <c r="Z71" s="17" t="str">
        <f ca="1">IF(ISNA($B71),"",IF($B71="","",IFERROR(_xll.BDP(TICKER,"DEEP_MEASURE_PERIOD_BROKER_VALUE","DEEP_MEASURE_ID_OVERRIDE",$C71,"DEEP_BROKER_ID_OVERRIDE",$F$7,"DEEP_PERIOD_OVERRIDE",Z$11)*1,"")))</f>
        <v/>
      </c>
      <c r="AA71" s="17" t="str">
        <f ca="1">IF(ISNA($B71),"",IF($B71="","",IFERROR(_xll.BDP(TICKER,"DEEP_MEASURE_PERIOD_BROKER_VALUE","DEEP_MEASURE_ID_OVERRIDE",$C71,"DEEP_BROKER_ID_OVERRIDE",$F$7,"DEEP_PERIOD_OVERRIDE",AA$11)*1,"")))</f>
        <v/>
      </c>
      <c r="AB71" s="17" t="str">
        <f ca="1">IF(ISNA($B71),"",IF($B71="","",IFERROR(_xll.BDP(TICKER,"DEEP_MEASURE_PERIOD_BROKER_VALUE","DEEP_MEASURE_ID_OVERRIDE",$C71,"DEEP_BROKER_ID_OVERRIDE",$F$7,"DEEP_PERIOD_OVERRIDE",AB$11)*1,"")))</f>
        <v/>
      </c>
      <c r="AC71" s="17" t="str">
        <f ca="1">IF(ISNA($B71),"",IF($B71="","",IFERROR(_xll.BDP(TICKER,"DEEP_MEASURE_PERIOD_BROKER_VALUE","DEEP_MEASURE_ID_OVERRIDE",$C71,"DEEP_BROKER_ID_OVERRIDE",$F$7,"DEEP_PERIOD_OVERRIDE",AC$11)*1,"")))</f>
        <v/>
      </c>
      <c r="AD71" s="17" t="str">
        <f ca="1">IF(ISNA($B71),"",IF($B71="","",IFERROR(_xll.BDP(TICKER,"DEEP_MEASURE_PERIOD_BROKER_VALUE","DEEP_MEASURE_ID_OVERRIDE",$C71,"DEEP_BROKER_ID_OVERRIDE",$F$7,"DEEP_PERIOD_OVERRIDE",AD$11)*1,"")))</f>
        <v/>
      </c>
      <c r="AE71" s="17" t="str">
        <f ca="1">IF(ISNA($B71),"",IF($B71="","",IFERROR(_xll.BDP(TICKER,"DEEP_MEASURE_PERIOD_BROKER_VALUE","DEEP_MEASURE_ID_OVERRIDE",$C71,"DEEP_BROKER_ID_OVERRIDE",$F$7,"DEEP_PERIOD_OVERRIDE",AE$11)*1,"")))</f>
        <v/>
      </c>
      <c r="AF71" s="17" t="str">
        <f ca="1">IF(ISNA($B71),"",IF($B71="","",IFERROR(_xll.BDP(TICKER,"DEEP_MEASURE_PERIOD_BROKER_VALUE","DEEP_MEASURE_ID_OVERRIDE",$C71,"DEEP_BROKER_ID_OVERRIDE",$F$7,"DEEP_PERIOD_OVERRIDE",AF$11)*1,"")))</f>
        <v/>
      </c>
      <c r="AG71" s="17" t="str">
        <f ca="1">IF(ISNA($B71),"",IF($B71="","",IFERROR(_xll.BDP(TICKER,"DEEP_MEASURE_PERIOD_BROKER_VALUE","DEEP_MEASURE_ID_OVERRIDE",$C71,"DEEP_BROKER_ID_OVERRIDE",$F$7,"DEEP_PERIOD_OVERRIDE",AG$11)*1,"")))</f>
        <v/>
      </c>
      <c r="AH71" s="17" t="str">
        <f ca="1">IF(ISNA($B71),"",IF($B71="","",IFERROR(_xll.BDP(TICKER,"DEEP_MEASURE_PERIOD_BROKER_VALUE","DEEP_MEASURE_ID_OVERRIDE",$C71,"DEEP_BROKER_ID_OVERRIDE",$F$7,"DEEP_PERIOD_OVERRIDE",AH$11)*1,"")))</f>
        <v/>
      </c>
      <c r="AI71" s="17" t="str">
        <f ca="1">IF(ISNA($B71),"",IF($B71="","",IFERROR(_xll.BDP(TICKER,"DEEP_MEASURE_PERIOD_BROKER_VALUE","DEEP_MEASURE_ID_OVERRIDE",$C71,"DEEP_BROKER_ID_OVERRIDE",$F$7,"DEEP_PERIOD_OVERRIDE",AI$11)*1,"")))</f>
        <v/>
      </c>
      <c r="AJ71" s="17" t="str">
        <f ca="1">IF(ISNA($B71),"",IF($B71="","",IFERROR(_xll.BDP(TICKER,"DEEP_MEASURE_PERIOD_BROKER_VALUE","DEEP_MEASURE_ID_OVERRIDE",$C71,"DEEP_BROKER_ID_OVERRIDE",$F$7,"DEEP_PERIOD_OVERRIDE",AJ$11)*1,"")))</f>
        <v/>
      </c>
      <c r="AK71" s="17" t="str">
        <f ca="1">IF(ISNA($B71),"",IF($B71="","",IFERROR(_xll.BDP(TICKER,"DEEP_MEASURE_PERIOD_BROKER_VALUE","DEEP_MEASURE_ID_OVERRIDE",$C71,"DEEP_BROKER_ID_OVERRIDE",$F$7,"DEEP_PERIOD_OVERRIDE",AK$11)*1,"")))</f>
        <v/>
      </c>
      <c r="AL71" s="17" t="str">
        <f ca="1">IF(ISNA($B71),"",IF($B71="","",IFERROR(_xll.BDP(TICKER,"DEEP_MEASURE_PERIOD_BROKER_VALUE","DEEP_MEASURE_ID_OVERRIDE",$C71,"DEEP_BROKER_ID_OVERRIDE",$F$7,"DEEP_PERIOD_OVERRIDE",AL$11)*1,"")))</f>
        <v/>
      </c>
      <c r="AM71" s="17" t="str">
        <f ca="1">IF(ISNA($B71),"",IF($B71="","",IFERROR(_xll.BDP(TICKER,"DEEP_MEASURE_PERIOD_BROKER_VALUE","DEEP_MEASURE_ID_OVERRIDE",$C71,"DEEP_BROKER_ID_OVERRIDE",$F$7,"DEEP_PERIOD_OVERRIDE",AM$11)*1,"")))</f>
        <v/>
      </c>
      <c r="AN71" s="17" t="str">
        <f ca="1">IF(ISNA($B71),"",IF($B71="","",IFERROR(_xll.BDP(TICKER,"DEEP_MEASURE_PERIOD_BROKER_VALUE","DEEP_MEASURE_ID_OVERRIDE",$C71,"DEEP_BROKER_ID_OVERRIDE",$F$7,"DEEP_PERIOD_OVERRIDE",AN$11)*1,"")))</f>
        <v/>
      </c>
      <c r="AO71" s="17" t="str">
        <f ca="1">IF(ISNA($B71),"",IF($B71="","",IFERROR(_xll.BDP(TICKER,"DEEP_MEASURE_PERIOD_BROKER_VALUE","DEEP_MEASURE_ID_OVERRIDE",$C71,"DEEP_BROKER_ID_OVERRIDE",$F$7,"DEEP_PERIOD_OVERRIDE",AO$11)*1,"")))</f>
        <v/>
      </c>
      <c r="AP71" s="17" t="str">
        <f ca="1">IF(ISNA($B71),"",IF($B71="","",IFERROR(_xll.BDP(TICKER,"DEEP_MEASURE_PERIOD_BROKER_VALUE","DEEP_MEASURE_ID_OVERRIDE",$C71,"DEEP_BROKER_ID_OVERRIDE",$F$7,"DEEP_PERIOD_OVERRIDE",AP$11)*1,"")))</f>
        <v/>
      </c>
      <c r="AQ71" s="17" t="str">
        <f ca="1">IF(ISNA($B71),"",IF($B71="","",IFERROR(_xll.BDP(TICKER,"DEEP_MEASURE_PERIOD_BROKER_VALUE","DEEP_MEASURE_ID_OVERRIDE",$C71,"DEEP_BROKER_ID_OVERRIDE",$F$7,"DEEP_PERIOD_OVERRIDE",AQ$11)*1,"")))</f>
        <v/>
      </c>
    </row>
    <row r="72" spans="2:43" x14ac:dyDescent="0.25">
      <c r="B72" t="s">
        <v>121</v>
      </c>
      <c r="C72" s="11">
        <v>575</v>
      </c>
      <c r="H72" t="str">
        <f t="shared" si="2"/>
        <v>Total Revenue &gt; Non-Hotel &gt; Revenue</v>
      </c>
      <c r="I72" s="17" t="str">
        <f ca="1">IF(ISNA($B72),"",IF($B72="","",IFERROR(_xll.BDP(TICKER,"DEEP_MEASURE_PERIOD_BROKER_VALUE","DEEP_MEASURE_ID_OVERRIDE",$C72,"DEEP_BROKER_ID_OVERRIDE",$F$7,"DEEP_PERIOD_OVERRIDE",I$11)*1,"")))</f>
        <v/>
      </c>
      <c r="J72" s="17" t="str">
        <f ca="1">IF(ISNA($B72),"",IF($B72="","",IFERROR(_xll.BDP(TICKER,"DEEP_MEASURE_PERIOD_BROKER_VALUE","DEEP_MEASURE_ID_OVERRIDE",$C72,"DEEP_BROKER_ID_OVERRIDE",$F$7,"DEEP_PERIOD_OVERRIDE",J$11)*1,"")))</f>
        <v/>
      </c>
      <c r="K72" s="17" t="str">
        <f ca="1">IF(ISNA($B72),"",IF($B72="","",IFERROR(_xll.BDP(TICKER,"DEEP_MEASURE_PERIOD_BROKER_VALUE","DEEP_MEASURE_ID_OVERRIDE",$C72,"DEEP_BROKER_ID_OVERRIDE",$F$7,"DEEP_PERIOD_OVERRIDE",K$11)*1,"")))</f>
        <v/>
      </c>
      <c r="L72" s="17" t="str">
        <f ca="1">IF(ISNA($B72),"",IF($B72="","",IFERROR(_xll.BDP(TICKER,"DEEP_MEASURE_PERIOD_BROKER_VALUE","DEEP_MEASURE_ID_OVERRIDE",$C72,"DEEP_BROKER_ID_OVERRIDE",$F$7,"DEEP_PERIOD_OVERRIDE",L$11)*1,"")))</f>
        <v/>
      </c>
      <c r="M72" s="17" t="str">
        <f ca="1">IF(ISNA($B72),"",IF($B72="","",IFERROR(_xll.BDP(TICKER,"DEEP_MEASURE_PERIOD_BROKER_VALUE","DEEP_MEASURE_ID_OVERRIDE",$C72,"DEEP_BROKER_ID_OVERRIDE",$F$7,"DEEP_PERIOD_OVERRIDE",M$11)*1,"")))</f>
        <v/>
      </c>
      <c r="N72" s="17" t="str">
        <f ca="1">IF(ISNA($B72),"",IF($B72="","",IFERROR(_xll.BDP(TICKER,"DEEP_MEASURE_PERIOD_BROKER_VALUE","DEEP_MEASURE_ID_OVERRIDE",$C72,"DEEP_BROKER_ID_OVERRIDE",$F$7,"DEEP_PERIOD_OVERRIDE",N$11)*1,"")))</f>
        <v/>
      </c>
      <c r="O72" s="17" t="str">
        <f ca="1">IF(ISNA($B72),"",IF($B72="","",IFERROR(_xll.BDP(TICKER,"DEEP_MEASURE_PERIOD_BROKER_VALUE","DEEP_MEASURE_ID_OVERRIDE",$C72,"DEEP_BROKER_ID_OVERRIDE",$F$7,"DEEP_PERIOD_OVERRIDE",O$11)*1,"")))</f>
        <v/>
      </c>
      <c r="P72" s="17" t="str">
        <f ca="1">IF(ISNA($B72),"",IF($B72="","",IFERROR(_xll.BDP(TICKER,"DEEP_MEASURE_PERIOD_BROKER_VALUE","DEEP_MEASURE_ID_OVERRIDE",$C72,"DEEP_BROKER_ID_OVERRIDE",$F$7,"DEEP_PERIOD_OVERRIDE",P$11)*1,"")))</f>
        <v/>
      </c>
      <c r="Q72" s="17" t="str">
        <f ca="1">IF(ISNA($B72),"",IF($B72="","",IFERROR(_xll.BDP(TICKER,"DEEP_MEASURE_PERIOD_BROKER_VALUE","DEEP_MEASURE_ID_OVERRIDE",$C72,"DEEP_BROKER_ID_OVERRIDE",$F$7,"DEEP_PERIOD_OVERRIDE",Q$11)*1,"")))</f>
        <v/>
      </c>
      <c r="R72" s="17" t="str">
        <f ca="1">IF(ISNA($B72),"",IF($B72="","",IFERROR(_xll.BDP(TICKER,"DEEP_MEASURE_PERIOD_BROKER_VALUE","DEEP_MEASURE_ID_OVERRIDE",$C72,"DEEP_BROKER_ID_OVERRIDE",$F$7,"DEEP_PERIOD_OVERRIDE",R$11)*1,"")))</f>
        <v/>
      </c>
      <c r="S72" s="17" t="str">
        <f ca="1">IF(ISNA($B72),"",IF($B72="","",IFERROR(_xll.BDP(TICKER,"DEEP_MEASURE_PERIOD_BROKER_VALUE","DEEP_MEASURE_ID_OVERRIDE",$C72,"DEEP_BROKER_ID_OVERRIDE",$F$7,"DEEP_PERIOD_OVERRIDE",S$11)*1,"")))</f>
        <v/>
      </c>
      <c r="T72" s="17" t="str">
        <f ca="1">IF(ISNA($B72),"",IF($B72="","",IFERROR(_xll.BDP(TICKER,"DEEP_MEASURE_PERIOD_BROKER_VALUE","DEEP_MEASURE_ID_OVERRIDE",$C72,"DEEP_BROKER_ID_OVERRIDE",$F$7,"DEEP_PERIOD_OVERRIDE",T$11)*1,"")))</f>
        <v/>
      </c>
      <c r="U72" s="17" t="str">
        <f ca="1">IF(ISNA($B72),"",IF($B72="","",IFERROR(_xll.BDP(TICKER,"DEEP_MEASURE_PERIOD_BROKER_VALUE","DEEP_MEASURE_ID_OVERRIDE",$C72,"DEEP_BROKER_ID_OVERRIDE",$F$7,"DEEP_PERIOD_OVERRIDE",U$11)*1,"")))</f>
        <v/>
      </c>
      <c r="V72" s="17" t="str">
        <f ca="1">IF(ISNA($B72),"",IF($B72="","",IFERROR(_xll.BDP(TICKER,"DEEP_MEASURE_PERIOD_BROKER_VALUE","DEEP_MEASURE_ID_OVERRIDE",$C72,"DEEP_BROKER_ID_OVERRIDE",$F$7,"DEEP_PERIOD_OVERRIDE",V$11)*1,"")))</f>
        <v/>
      </c>
      <c r="W72" s="17" t="str">
        <f ca="1">IF(ISNA($B72),"",IF($B72="","",IFERROR(_xll.BDP(TICKER,"DEEP_MEASURE_PERIOD_BROKER_VALUE","DEEP_MEASURE_ID_OVERRIDE",$C72,"DEEP_BROKER_ID_OVERRIDE",$F$7,"DEEP_PERIOD_OVERRIDE",W$11)*1,"")))</f>
        <v/>
      </c>
      <c r="X72" s="17" t="str">
        <f ca="1">IF(ISNA($B72),"",IF($B72="","",IFERROR(_xll.BDP(TICKER,"DEEP_MEASURE_PERIOD_BROKER_VALUE","DEEP_MEASURE_ID_OVERRIDE",$C72,"DEEP_BROKER_ID_OVERRIDE",$F$7,"DEEP_PERIOD_OVERRIDE",X$11)*1,"")))</f>
        <v/>
      </c>
      <c r="Y72" s="17" t="str">
        <f ca="1">IF(ISNA($B72),"",IF($B72="","",IFERROR(_xll.BDP(TICKER,"DEEP_MEASURE_PERIOD_BROKER_VALUE","DEEP_MEASURE_ID_OVERRIDE",$C72,"DEEP_BROKER_ID_OVERRIDE",$F$7,"DEEP_PERIOD_OVERRIDE",Y$11)*1,"")))</f>
        <v/>
      </c>
      <c r="Z72" s="17" t="str">
        <f ca="1">IF(ISNA($B72),"",IF($B72="","",IFERROR(_xll.BDP(TICKER,"DEEP_MEASURE_PERIOD_BROKER_VALUE","DEEP_MEASURE_ID_OVERRIDE",$C72,"DEEP_BROKER_ID_OVERRIDE",$F$7,"DEEP_PERIOD_OVERRIDE",Z$11)*1,"")))</f>
        <v/>
      </c>
      <c r="AA72" s="17" t="str">
        <f ca="1">IF(ISNA($B72),"",IF($B72="","",IFERROR(_xll.BDP(TICKER,"DEEP_MEASURE_PERIOD_BROKER_VALUE","DEEP_MEASURE_ID_OVERRIDE",$C72,"DEEP_BROKER_ID_OVERRIDE",$F$7,"DEEP_PERIOD_OVERRIDE",AA$11)*1,"")))</f>
        <v/>
      </c>
      <c r="AB72" s="17" t="str">
        <f ca="1">IF(ISNA($B72),"",IF($B72="","",IFERROR(_xll.BDP(TICKER,"DEEP_MEASURE_PERIOD_BROKER_VALUE","DEEP_MEASURE_ID_OVERRIDE",$C72,"DEEP_BROKER_ID_OVERRIDE",$F$7,"DEEP_PERIOD_OVERRIDE",AB$11)*1,"")))</f>
        <v/>
      </c>
      <c r="AC72" s="17" t="str">
        <f ca="1">IF(ISNA($B72),"",IF($B72="","",IFERROR(_xll.BDP(TICKER,"DEEP_MEASURE_PERIOD_BROKER_VALUE","DEEP_MEASURE_ID_OVERRIDE",$C72,"DEEP_BROKER_ID_OVERRIDE",$F$7,"DEEP_PERIOD_OVERRIDE",AC$11)*1,"")))</f>
        <v/>
      </c>
      <c r="AD72" s="17" t="str">
        <f ca="1">IF(ISNA($B72),"",IF($B72="","",IFERROR(_xll.BDP(TICKER,"DEEP_MEASURE_PERIOD_BROKER_VALUE","DEEP_MEASURE_ID_OVERRIDE",$C72,"DEEP_BROKER_ID_OVERRIDE",$F$7,"DEEP_PERIOD_OVERRIDE",AD$11)*1,"")))</f>
        <v/>
      </c>
      <c r="AE72" s="17" t="str">
        <f ca="1">IF(ISNA($B72),"",IF($B72="","",IFERROR(_xll.BDP(TICKER,"DEEP_MEASURE_PERIOD_BROKER_VALUE","DEEP_MEASURE_ID_OVERRIDE",$C72,"DEEP_BROKER_ID_OVERRIDE",$F$7,"DEEP_PERIOD_OVERRIDE",AE$11)*1,"")))</f>
        <v/>
      </c>
      <c r="AF72" s="17" t="str">
        <f ca="1">IF(ISNA($B72),"",IF($B72="","",IFERROR(_xll.BDP(TICKER,"DEEP_MEASURE_PERIOD_BROKER_VALUE","DEEP_MEASURE_ID_OVERRIDE",$C72,"DEEP_BROKER_ID_OVERRIDE",$F$7,"DEEP_PERIOD_OVERRIDE",AF$11)*1,"")))</f>
        <v/>
      </c>
      <c r="AG72" s="17" t="str">
        <f ca="1">IF(ISNA($B72),"",IF($B72="","",IFERROR(_xll.BDP(TICKER,"DEEP_MEASURE_PERIOD_BROKER_VALUE","DEEP_MEASURE_ID_OVERRIDE",$C72,"DEEP_BROKER_ID_OVERRIDE",$F$7,"DEEP_PERIOD_OVERRIDE",AG$11)*1,"")))</f>
        <v/>
      </c>
      <c r="AH72" s="17" t="str">
        <f ca="1">IF(ISNA($B72),"",IF($B72="","",IFERROR(_xll.BDP(TICKER,"DEEP_MEASURE_PERIOD_BROKER_VALUE","DEEP_MEASURE_ID_OVERRIDE",$C72,"DEEP_BROKER_ID_OVERRIDE",$F$7,"DEEP_PERIOD_OVERRIDE",AH$11)*1,"")))</f>
        <v/>
      </c>
      <c r="AI72" s="17" t="str">
        <f ca="1">IF(ISNA($B72),"",IF($B72="","",IFERROR(_xll.BDP(TICKER,"DEEP_MEASURE_PERIOD_BROKER_VALUE","DEEP_MEASURE_ID_OVERRIDE",$C72,"DEEP_BROKER_ID_OVERRIDE",$F$7,"DEEP_PERIOD_OVERRIDE",AI$11)*1,"")))</f>
        <v/>
      </c>
      <c r="AJ72" s="17" t="str">
        <f ca="1">IF(ISNA($B72),"",IF($B72="","",IFERROR(_xll.BDP(TICKER,"DEEP_MEASURE_PERIOD_BROKER_VALUE","DEEP_MEASURE_ID_OVERRIDE",$C72,"DEEP_BROKER_ID_OVERRIDE",$F$7,"DEEP_PERIOD_OVERRIDE",AJ$11)*1,"")))</f>
        <v/>
      </c>
      <c r="AK72" s="17" t="str">
        <f ca="1">IF(ISNA($B72),"",IF($B72="","",IFERROR(_xll.BDP(TICKER,"DEEP_MEASURE_PERIOD_BROKER_VALUE","DEEP_MEASURE_ID_OVERRIDE",$C72,"DEEP_BROKER_ID_OVERRIDE",$F$7,"DEEP_PERIOD_OVERRIDE",AK$11)*1,"")))</f>
        <v/>
      </c>
      <c r="AL72" s="17" t="str">
        <f ca="1">IF(ISNA($B72),"",IF($B72="","",IFERROR(_xll.BDP(TICKER,"DEEP_MEASURE_PERIOD_BROKER_VALUE","DEEP_MEASURE_ID_OVERRIDE",$C72,"DEEP_BROKER_ID_OVERRIDE",$F$7,"DEEP_PERIOD_OVERRIDE",AL$11)*1,"")))</f>
        <v/>
      </c>
      <c r="AM72" s="17" t="str">
        <f ca="1">IF(ISNA($B72),"",IF($B72="","",IFERROR(_xll.BDP(TICKER,"DEEP_MEASURE_PERIOD_BROKER_VALUE","DEEP_MEASURE_ID_OVERRIDE",$C72,"DEEP_BROKER_ID_OVERRIDE",$F$7,"DEEP_PERIOD_OVERRIDE",AM$11)*1,"")))</f>
        <v/>
      </c>
      <c r="AN72" s="17" t="str">
        <f ca="1">IF(ISNA($B72),"",IF($B72="","",IFERROR(_xll.BDP(TICKER,"DEEP_MEASURE_PERIOD_BROKER_VALUE","DEEP_MEASURE_ID_OVERRIDE",$C72,"DEEP_BROKER_ID_OVERRIDE",$F$7,"DEEP_PERIOD_OVERRIDE",AN$11)*1,"")))</f>
        <v/>
      </c>
      <c r="AO72" s="17" t="str">
        <f ca="1">IF(ISNA($B72),"",IF($B72="","",IFERROR(_xll.BDP(TICKER,"DEEP_MEASURE_PERIOD_BROKER_VALUE","DEEP_MEASURE_ID_OVERRIDE",$C72,"DEEP_BROKER_ID_OVERRIDE",$F$7,"DEEP_PERIOD_OVERRIDE",AO$11)*1,"")))</f>
        <v/>
      </c>
      <c r="AP72" s="17" t="str">
        <f ca="1">IF(ISNA($B72),"",IF($B72="","",IFERROR(_xll.BDP(TICKER,"DEEP_MEASURE_PERIOD_BROKER_VALUE","DEEP_MEASURE_ID_OVERRIDE",$C72,"DEEP_BROKER_ID_OVERRIDE",$F$7,"DEEP_PERIOD_OVERRIDE",AP$11)*1,"")))</f>
        <v/>
      </c>
      <c r="AQ72" s="17" t="str">
        <f ca="1">IF(ISNA($B72),"",IF($B72="","",IFERROR(_xll.BDP(TICKER,"DEEP_MEASURE_PERIOD_BROKER_VALUE","DEEP_MEASURE_ID_OVERRIDE",$C72,"DEEP_BROKER_ID_OVERRIDE",$F$7,"DEEP_PERIOD_OVERRIDE",AQ$11)*1,"")))</f>
        <v/>
      </c>
    </row>
    <row r="73" spans="2:43" x14ac:dyDescent="0.25">
      <c r="B73" t="s">
        <v>122</v>
      </c>
      <c r="C73" s="11">
        <v>133</v>
      </c>
      <c r="H73" t="str">
        <f t="shared" si="2"/>
        <v>Total Revenue &gt; Non-Hotel &gt; Revenue &gt; As % of Revenue</v>
      </c>
      <c r="I73" s="17" t="str">
        <f ca="1">IF(ISNA($B73),"",IF($B73="","",IFERROR(_xll.BDP(TICKER,"DEEP_MEASURE_PERIOD_BROKER_VALUE","DEEP_MEASURE_ID_OVERRIDE",$C73,"DEEP_BROKER_ID_OVERRIDE",$F$7,"DEEP_PERIOD_OVERRIDE",I$11)*1,"")))</f>
        <v/>
      </c>
      <c r="J73" s="17" t="str">
        <f ca="1">IF(ISNA($B73),"",IF($B73="","",IFERROR(_xll.BDP(TICKER,"DEEP_MEASURE_PERIOD_BROKER_VALUE","DEEP_MEASURE_ID_OVERRIDE",$C73,"DEEP_BROKER_ID_OVERRIDE",$F$7,"DEEP_PERIOD_OVERRIDE",J$11)*1,"")))</f>
        <v/>
      </c>
      <c r="K73" s="17" t="str">
        <f ca="1">IF(ISNA($B73),"",IF($B73="","",IFERROR(_xll.BDP(TICKER,"DEEP_MEASURE_PERIOD_BROKER_VALUE","DEEP_MEASURE_ID_OVERRIDE",$C73,"DEEP_BROKER_ID_OVERRIDE",$F$7,"DEEP_PERIOD_OVERRIDE",K$11)*1,"")))</f>
        <v/>
      </c>
      <c r="L73" s="17" t="str">
        <f ca="1">IF(ISNA($B73),"",IF($B73="","",IFERROR(_xll.BDP(TICKER,"DEEP_MEASURE_PERIOD_BROKER_VALUE","DEEP_MEASURE_ID_OVERRIDE",$C73,"DEEP_BROKER_ID_OVERRIDE",$F$7,"DEEP_PERIOD_OVERRIDE",L$11)*1,"")))</f>
        <v/>
      </c>
      <c r="M73" s="17" t="str">
        <f ca="1">IF(ISNA($B73),"",IF($B73="","",IFERROR(_xll.BDP(TICKER,"DEEP_MEASURE_PERIOD_BROKER_VALUE","DEEP_MEASURE_ID_OVERRIDE",$C73,"DEEP_BROKER_ID_OVERRIDE",$F$7,"DEEP_PERIOD_OVERRIDE",M$11)*1,"")))</f>
        <v/>
      </c>
      <c r="N73" s="17" t="str">
        <f ca="1">IF(ISNA($B73),"",IF($B73="","",IFERROR(_xll.BDP(TICKER,"DEEP_MEASURE_PERIOD_BROKER_VALUE","DEEP_MEASURE_ID_OVERRIDE",$C73,"DEEP_BROKER_ID_OVERRIDE",$F$7,"DEEP_PERIOD_OVERRIDE",N$11)*1,"")))</f>
        <v/>
      </c>
      <c r="O73" s="17" t="str">
        <f ca="1">IF(ISNA($B73),"",IF($B73="","",IFERROR(_xll.BDP(TICKER,"DEEP_MEASURE_PERIOD_BROKER_VALUE","DEEP_MEASURE_ID_OVERRIDE",$C73,"DEEP_BROKER_ID_OVERRIDE",$F$7,"DEEP_PERIOD_OVERRIDE",O$11)*1,"")))</f>
        <v/>
      </c>
      <c r="P73" s="17" t="str">
        <f ca="1">IF(ISNA($B73),"",IF($B73="","",IFERROR(_xll.BDP(TICKER,"DEEP_MEASURE_PERIOD_BROKER_VALUE","DEEP_MEASURE_ID_OVERRIDE",$C73,"DEEP_BROKER_ID_OVERRIDE",$F$7,"DEEP_PERIOD_OVERRIDE",P$11)*1,"")))</f>
        <v/>
      </c>
      <c r="Q73" s="17" t="str">
        <f ca="1">IF(ISNA($B73),"",IF($B73="","",IFERROR(_xll.BDP(TICKER,"DEEP_MEASURE_PERIOD_BROKER_VALUE","DEEP_MEASURE_ID_OVERRIDE",$C73,"DEEP_BROKER_ID_OVERRIDE",$F$7,"DEEP_PERIOD_OVERRIDE",Q$11)*1,"")))</f>
        <v/>
      </c>
      <c r="R73" s="17" t="str">
        <f ca="1">IF(ISNA($B73),"",IF($B73="","",IFERROR(_xll.BDP(TICKER,"DEEP_MEASURE_PERIOD_BROKER_VALUE","DEEP_MEASURE_ID_OVERRIDE",$C73,"DEEP_BROKER_ID_OVERRIDE",$F$7,"DEEP_PERIOD_OVERRIDE",R$11)*1,"")))</f>
        <v/>
      </c>
      <c r="S73" s="17" t="str">
        <f ca="1">IF(ISNA($B73),"",IF($B73="","",IFERROR(_xll.BDP(TICKER,"DEEP_MEASURE_PERIOD_BROKER_VALUE","DEEP_MEASURE_ID_OVERRIDE",$C73,"DEEP_BROKER_ID_OVERRIDE",$F$7,"DEEP_PERIOD_OVERRIDE",S$11)*1,"")))</f>
        <v/>
      </c>
      <c r="T73" s="17" t="str">
        <f ca="1">IF(ISNA($B73),"",IF($B73="","",IFERROR(_xll.BDP(TICKER,"DEEP_MEASURE_PERIOD_BROKER_VALUE","DEEP_MEASURE_ID_OVERRIDE",$C73,"DEEP_BROKER_ID_OVERRIDE",$F$7,"DEEP_PERIOD_OVERRIDE",T$11)*1,"")))</f>
        <v/>
      </c>
      <c r="U73" s="17" t="str">
        <f ca="1">IF(ISNA($B73),"",IF($B73="","",IFERROR(_xll.BDP(TICKER,"DEEP_MEASURE_PERIOD_BROKER_VALUE","DEEP_MEASURE_ID_OVERRIDE",$C73,"DEEP_BROKER_ID_OVERRIDE",$F$7,"DEEP_PERIOD_OVERRIDE",U$11)*1,"")))</f>
        <v/>
      </c>
      <c r="V73" s="17" t="str">
        <f ca="1">IF(ISNA($B73),"",IF($B73="","",IFERROR(_xll.BDP(TICKER,"DEEP_MEASURE_PERIOD_BROKER_VALUE","DEEP_MEASURE_ID_OVERRIDE",$C73,"DEEP_BROKER_ID_OVERRIDE",$F$7,"DEEP_PERIOD_OVERRIDE",V$11)*1,"")))</f>
        <v/>
      </c>
      <c r="W73" s="17" t="str">
        <f ca="1">IF(ISNA($B73),"",IF($B73="","",IFERROR(_xll.BDP(TICKER,"DEEP_MEASURE_PERIOD_BROKER_VALUE","DEEP_MEASURE_ID_OVERRIDE",$C73,"DEEP_BROKER_ID_OVERRIDE",$F$7,"DEEP_PERIOD_OVERRIDE",W$11)*1,"")))</f>
        <v/>
      </c>
      <c r="X73" s="17" t="str">
        <f ca="1">IF(ISNA($B73),"",IF($B73="","",IFERROR(_xll.BDP(TICKER,"DEEP_MEASURE_PERIOD_BROKER_VALUE","DEEP_MEASURE_ID_OVERRIDE",$C73,"DEEP_BROKER_ID_OVERRIDE",$F$7,"DEEP_PERIOD_OVERRIDE",X$11)*1,"")))</f>
        <v/>
      </c>
      <c r="Y73" s="17" t="str">
        <f ca="1">IF(ISNA($B73),"",IF($B73="","",IFERROR(_xll.BDP(TICKER,"DEEP_MEASURE_PERIOD_BROKER_VALUE","DEEP_MEASURE_ID_OVERRIDE",$C73,"DEEP_BROKER_ID_OVERRIDE",$F$7,"DEEP_PERIOD_OVERRIDE",Y$11)*1,"")))</f>
        <v/>
      </c>
      <c r="Z73" s="17" t="str">
        <f ca="1">IF(ISNA($B73),"",IF($B73="","",IFERROR(_xll.BDP(TICKER,"DEEP_MEASURE_PERIOD_BROKER_VALUE","DEEP_MEASURE_ID_OVERRIDE",$C73,"DEEP_BROKER_ID_OVERRIDE",$F$7,"DEEP_PERIOD_OVERRIDE",Z$11)*1,"")))</f>
        <v/>
      </c>
      <c r="AA73" s="17" t="str">
        <f ca="1">IF(ISNA($B73),"",IF($B73="","",IFERROR(_xll.BDP(TICKER,"DEEP_MEASURE_PERIOD_BROKER_VALUE","DEEP_MEASURE_ID_OVERRIDE",$C73,"DEEP_BROKER_ID_OVERRIDE",$F$7,"DEEP_PERIOD_OVERRIDE",AA$11)*1,"")))</f>
        <v/>
      </c>
      <c r="AB73" s="17" t="str">
        <f ca="1">IF(ISNA($B73),"",IF($B73="","",IFERROR(_xll.BDP(TICKER,"DEEP_MEASURE_PERIOD_BROKER_VALUE","DEEP_MEASURE_ID_OVERRIDE",$C73,"DEEP_BROKER_ID_OVERRIDE",$F$7,"DEEP_PERIOD_OVERRIDE",AB$11)*1,"")))</f>
        <v/>
      </c>
      <c r="AC73" s="17" t="str">
        <f ca="1">IF(ISNA($B73),"",IF($B73="","",IFERROR(_xll.BDP(TICKER,"DEEP_MEASURE_PERIOD_BROKER_VALUE","DEEP_MEASURE_ID_OVERRIDE",$C73,"DEEP_BROKER_ID_OVERRIDE",$F$7,"DEEP_PERIOD_OVERRIDE",AC$11)*1,"")))</f>
        <v/>
      </c>
      <c r="AD73" s="17" t="str">
        <f ca="1">IF(ISNA($B73),"",IF($B73="","",IFERROR(_xll.BDP(TICKER,"DEEP_MEASURE_PERIOD_BROKER_VALUE","DEEP_MEASURE_ID_OVERRIDE",$C73,"DEEP_BROKER_ID_OVERRIDE",$F$7,"DEEP_PERIOD_OVERRIDE",AD$11)*1,"")))</f>
        <v/>
      </c>
      <c r="AE73" s="17" t="str">
        <f ca="1">IF(ISNA($B73),"",IF($B73="","",IFERROR(_xll.BDP(TICKER,"DEEP_MEASURE_PERIOD_BROKER_VALUE","DEEP_MEASURE_ID_OVERRIDE",$C73,"DEEP_BROKER_ID_OVERRIDE",$F$7,"DEEP_PERIOD_OVERRIDE",AE$11)*1,"")))</f>
        <v/>
      </c>
      <c r="AF73" s="17" t="str">
        <f ca="1">IF(ISNA($B73),"",IF($B73="","",IFERROR(_xll.BDP(TICKER,"DEEP_MEASURE_PERIOD_BROKER_VALUE","DEEP_MEASURE_ID_OVERRIDE",$C73,"DEEP_BROKER_ID_OVERRIDE",$F$7,"DEEP_PERIOD_OVERRIDE",AF$11)*1,"")))</f>
        <v/>
      </c>
      <c r="AG73" s="17" t="str">
        <f ca="1">IF(ISNA($B73),"",IF($B73="","",IFERROR(_xll.BDP(TICKER,"DEEP_MEASURE_PERIOD_BROKER_VALUE","DEEP_MEASURE_ID_OVERRIDE",$C73,"DEEP_BROKER_ID_OVERRIDE",$F$7,"DEEP_PERIOD_OVERRIDE",AG$11)*1,"")))</f>
        <v/>
      </c>
      <c r="AH73" s="17" t="str">
        <f ca="1">IF(ISNA($B73),"",IF($B73="","",IFERROR(_xll.BDP(TICKER,"DEEP_MEASURE_PERIOD_BROKER_VALUE","DEEP_MEASURE_ID_OVERRIDE",$C73,"DEEP_BROKER_ID_OVERRIDE",$F$7,"DEEP_PERIOD_OVERRIDE",AH$11)*1,"")))</f>
        <v/>
      </c>
      <c r="AI73" s="17" t="str">
        <f ca="1">IF(ISNA($B73),"",IF($B73="","",IFERROR(_xll.BDP(TICKER,"DEEP_MEASURE_PERIOD_BROKER_VALUE","DEEP_MEASURE_ID_OVERRIDE",$C73,"DEEP_BROKER_ID_OVERRIDE",$F$7,"DEEP_PERIOD_OVERRIDE",AI$11)*1,"")))</f>
        <v/>
      </c>
      <c r="AJ73" s="17" t="str">
        <f ca="1">IF(ISNA($B73),"",IF($B73="","",IFERROR(_xll.BDP(TICKER,"DEEP_MEASURE_PERIOD_BROKER_VALUE","DEEP_MEASURE_ID_OVERRIDE",$C73,"DEEP_BROKER_ID_OVERRIDE",$F$7,"DEEP_PERIOD_OVERRIDE",AJ$11)*1,"")))</f>
        <v/>
      </c>
      <c r="AK73" s="17" t="str">
        <f ca="1">IF(ISNA($B73),"",IF($B73="","",IFERROR(_xll.BDP(TICKER,"DEEP_MEASURE_PERIOD_BROKER_VALUE","DEEP_MEASURE_ID_OVERRIDE",$C73,"DEEP_BROKER_ID_OVERRIDE",$F$7,"DEEP_PERIOD_OVERRIDE",AK$11)*1,"")))</f>
        <v/>
      </c>
      <c r="AL73" s="17" t="str">
        <f ca="1">IF(ISNA($B73),"",IF($B73="","",IFERROR(_xll.BDP(TICKER,"DEEP_MEASURE_PERIOD_BROKER_VALUE","DEEP_MEASURE_ID_OVERRIDE",$C73,"DEEP_BROKER_ID_OVERRIDE",$F$7,"DEEP_PERIOD_OVERRIDE",AL$11)*1,"")))</f>
        <v/>
      </c>
      <c r="AM73" s="17" t="str">
        <f ca="1">IF(ISNA($B73),"",IF($B73="","",IFERROR(_xll.BDP(TICKER,"DEEP_MEASURE_PERIOD_BROKER_VALUE","DEEP_MEASURE_ID_OVERRIDE",$C73,"DEEP_BROKER_ID_OVERRIDE",$F$7,"DEEP_PERIOD_OVERRIDE",AM$11)*1,"")))</f>
        <v/>
      </c>
      <c r="AN73" s="17" t="str">
        <f ca="1">IF(ISNA($B73),"",IF($B73="","",IFERROR(_xll.BDP(TICKER,"DEEP_MEASURE_PERIOD_BROKER_VALUE","DEEP_MEASURE_ID_OVERRIDE",$C73,"DEEP_BROKER_ID_OVERRIDE",$F$7,"DEEP_PERIOD_OVERRIDE",AN$11)*1,"")))</f>
        <v/>
      </c>
      <c r="AO73" s="17" t="str">
        <f ca="1">IF(ISNA($B73),"",IF($B73="","",IFERROR(_xll.BDP(TICKER,"DEEP_MEASURE_PERIOD_BROKER_VALUE","DEEP_MEASURE_ID_OVERRIDE",$C73,"DEEP_BROKER_ID_OVERRIDE",$F$7,"DEEP_PERIOD_OVERRIDE",AO$11)*1,"")))</f>
        <v/>
      </c>
      <c r="AP73" s="17" t="str">
        <f ca="1">IF(ISNA($B73),"",IF($B73="","",IFERROR(_xll.BDP(TICKER,"DEEP_MEASURE_PERIOD_BROKER_VALUE","DEEP_MEASURE_ID_OVERRIDE",$C73,"DEEP_BROKER_ID_OVERRIDE",$F$7,"DEEP_PERIOD_OVERRIDE",AP$11)*1,"")))</f>
        <v/>
      </c>
      <c r="AQ73" s="17" t="str">
        <f ca="1">IF(ISNA($B73),"",IF($B73="","",IFERROR(_xll.BDP(TICKER,"DEEP_MEASURE_PERIOD_BROKER_VALUE","DEEP_MEASURE_ID_OVERRIDE",$C73,"DEEP_BROKER_ID_OVERRIDE",$F$7,"DEEP_PERIOD_OVERRIDE",AQ$11)*1,"")))</f>
        <v/>
      </c>
    </row>
    <row r="74" spans="2:43" x14ac:dyDescent="0.25">
      <c r="B74" t="s">
        <v>123</v>
      </c>
      <c r="C74" s="11">
        <v>9963</v>
      </c>
      <c r="H74" t="str">
        <f t="shared" si="2"/>
        <v>Total Revenue &gt; Non-Hotel &gt; Revenue &gt; YoY Growth (%)</v>
      </c>
      <c r="I74" s="17" t="str">
        <f ca="1">IF(ISNA($B74),"",IF($B74="","",IFERROR(_xll.BDP(TICKER,"DEEP_MEASURE_PERIOD_BROKER_VALUE","DEEP_MEASURE_ID_OVERRIDE",$C74,"DEEP_BROKER_ID_OVERRIDE",$F$7,"DEEP_PERIOD_OVERRIDE",I$11)*1,"")))</f>
        <v/>
      </c>
      <c r="J74" s="17" t="str">
        <f ca="1">IF(ISNA($B74),"",IF($B74="","",IFERROR(_xll.BDP(TICKER,"DEEP_MEASURE_PERIOD_BROKER_VALUE","DEEP_MEASURE_ID_OVERRIDE",$C74,"DEEP_BROKER_ID_OVERRIDE",$F$7,"DEEP_PERIOD_OVERRIDE",J$11)*1,"")))</f>
        <v/>
      </c>
      <c r="K74" s="17" t="str">
        <f ca="1">IF(ISNA($B74),"",IF($B74="","",IFERROR(_xll.BDP(TICKER,"DEEP_MEASURE_PERIOD_BROKER_VALUE","DEEP_MEASURE_ID_OVERRIDE",$C74,"DEEP_BROKER_ID_OVERRIDE",$F$7,"DEEP_PERIOD_OVERRIDE",K$11)*1,"")))</f>
        <v/>
      </c>
      <c r="L74" s="17" t="str">
        <f ca="1">IF(ISNA($B74),"",IF($B74="","",IFERROR(_xll.BDP(TICKER,"DEEP_MEASURE_PERIOD_BROKER_VALUE","DEEP_MEASURE_ID_OVERRIDE",$C74,"DEEP_BROKER_ID_OVERRIDE",$F$7,"DEEP_PERIOD_OVERRIDE",L$11)*1,"")))</f>
        <v/>
      </c>
      <c r="M74" s="17" t="str">
        <f ca="1">IF(ISNA($B74),"",IF($B74="","",IFERROR(_xll.BDP(TICKER,"DEEP_MEASURE_PERIOD_BROKER_VALUE","DEEP_MEASURE_ID_OVERRIDE",$C74,"DEEP_BROKER_ID_OVERRIDE",$F$7,"DEEP_PERIOD_OVERRIDE",M$11)*1,"")))</f>
        <v/>
      </c>
      <c r="N74" s="17" t="str">
        <f ca="1">IF(ISNA($B74),"",IF($B74="","",IFERROR(_xll.BDP(TICKER,"DEEP_MEASURE_PERIOD_BROKER_VALUE","DEEP_MEASURE_ID_OVERRIDE",$C74,"DEEP_BROKER_ID_OVERRIDE",$F$7,"DEEP_PERIOD_OVERRIDE",N$11)*1,"")))</f>
        <v/>
      </c>
      <c r="O74" s="17" t="str">
        <f ca="1">IF(ISNA($B74),"",IF($B74="","",IFERROR(_xll.BDP(TICKER,"DEEP_MEASURE_PERIOD_BROKER_VALUE","DEEP_MEASURE_ID_OVERRIDE",$C74,"DEEP_BROKER_ID_OVERRIDE",$F$7,"DEEP_PERIOD_OVERRIDE",O$11)*1,"")))</f>
        <v/>
      </c>
      <c r="P74" s="17" t="str">
        <f ca="1">IF(ISNA($B74),"",IF($B74="","",IFERROR(_xll.BDP(TICKER,"DEEP_MEASURE_PERIOD_BROKER_VALUE","DEEP_MEASURE_ID_OVERRIDE",$C74,"DEEP_BROKER_ID_OVERRIDE",$F$7,"DEEP_PERIOD_OVERRIDE",P$11)*1,"")))</f>
        <v/>
      </c>
      <c r="Q74" s="17" t="str">
        <f ca="1">IF(ISNA($B74),"",IF($B74="","",IFERROR(_xll.BDP(TICKER,"DEEP_MEASURE_PERIOD_BROKER_VALUE","DEEP_MEASURE_ID_OVERRIDE",$C74,"DEEP_BROKER_ID_OVERRIDE",$F$7,"DEEP_PERIOD_OVERRIDE",Q$11)*1,"")))</f>
        <v/>
      </c>
      <c r="R74" s="17" t="str">
        <f ca="1">IF(ISNA($B74),"",IF($B74="","",IFERROR(_xll.BDP(TICKER,"DEEP_MEASURE_PERIOD_BROKER_VALUE","DEEP_MEASURE_ID_OVERRIDE",$C74,"DEEP_BROKER_ID_OVERRIDE",$F$7,"DEEP_PERIOD_OVERRIDE",R$11)*1,"")))</f>
        <v/>
      </c>
      <c r="S74" s="17" t="str">
        <f ca="1">IF(ISNA($B74),"",IF($B74="","",IFERROR(_xll.BDP(TICKER,"DEEP_MEASURE_PERIOD_BROKER_VALUE","DEEP_MEASURE_ID_OVERRIDE",$C74,"DEEP_BROKER_ID_OVERRIDE",$F$7,"DEEP_PERIOD_OVERRIDE",S$11)*1,"")))</f>
        <v/>
      </c>
      <c r="T74" s="17" t="str">
        <f ca="1">IF(ISNA($B74),"",IF($B74="","",IFERROR(_xll.BDP(TICKER,"DEEP_MEASURE_PERIOD_BROKER_VALUE","DEEP_MEASURE_ID_OVERRIDE",$C74,"DEEP_BROKER_ID_OVERRIDE",$F$7,"DEEP_PERIOD_OVERRIDE",T$11)*1,"")))</f>
        <v/>
      </c>
      <c r="U74" s="17" t="str">
        <f ca="1">IF(ISNA($B74),"",IF($B74="","",IFERROR(_xll.BDP(TICKER,"DEEP_MEASURE_PERIOD_BROKER_VALUE","DEEP_MEASURE_ID_OVERRIDE",$C74,"DEEP_BROKER_ID_OVERRIDE",$F$7,"DEEP_PERIOD_OVERRIDE",U$11)*1,"")))</f>
        <v/>
      </c>
      <c r="V74" s="17" t="str">
        <f ca="1">IF(ISNA($B74),"",IF($B74="","",IFERROR(_xll.BDP(TICKER,"DEEP_MEASURE_PERIOD_BROKER_VALUE","DEEP_MEASURE_ID_OVERRIDE",$C74,"DEEP_BROKER_ID_OVERRIDE",$F$7,"DEEP_PERIOD_OVERRIDE",V$11)*1,"")))</f>
        <v/>
      </c>
      <c r="W74" s="17" t="str">
        <f ca="1">IF(ISNA($B74),"",IF($B74="","",IFERROR(_xll.BDP(TICKER,"DEEP_MEASURE_PERIOD_BROKER_VALUE","DEEP_MEASURE_ID_OVERRIDE",$C74,"DEEP_BROKER_ID_OVERRIDE",$F$7,"DEEP_PERIOD_OVERRIDE",W$11)*1,"")))</f>
        <v/>
      </c>
      <c r="X74" s="17" t="str">
        <f ca="1">IF(ISNA($B74),"",IF($B74="","",IFERROR(_xll.BDP(TICKER,"DEEP_MEASURE_PERIOD_BROKER_VALUE","DEEP_MEASURE_ID_OVERRIDE",$C74,"DEEP_BROKER_ID_OVERRIDE",$F$7,"DEEP_PERIOD_OVERRIDE",X$11)*1,"")))</f>
        <v/>
      </c>
      <c r="Y74" s="17" t="str">
        <f ca="1">IF(ISNA($B74),"",IF($B74="","",IFERROR(_xll.BDP(TICKER,"DEEP_MEASURE_PERIOD_BROKER_VALUE","DEEP_MEASURE_ID_OVERRIDE",$C74,"DEEP_BROKER_ID_OVERRIDE",$F$7,"DEEP_PERIOD_OVERRIDE",Y$11)*1,"")))</f>
        <v/>
      </c>
      <c r="Z74" s="17" t="str">
        <f ca="1">IF(ISNA($B74),"",IF($B74="","",IFERROR(_xll.BDP(TICKER,"DEEP_MEASURE_PERIOD_BROKER_VALUE","DEEP_MEASURE_ID_OVERRIDE",$C74,"DEEP_BROKER_ID_OVERRIDE",$F$7,"DEEP_PERIOD_OVERRIDE",Z$11)*1,"")))</f>
        <v/>
      </c>
      <c r="AA74" s="17" t="str">
        <f ca="1">IF(ISNA($B74),"",IF($B74="","",IFERROR(_xll.BDP(TICKER,"DEEP_MEASURE_PERIOD_BROKER_VALUE","DEEP_MEASURE_ID_OVERRIDE",$C74,"DEEP_BROKER_ID_OVERRIDE",$F$7,"DEEP_PERIOD_OVERRIDE",AA$11)*1,"")))</f>
        <v/>
      </c>
      <c r="AB74" s="17" t="str">
        <f ca="1">IF(ISNA($B74),"",IF($B74="","",IFERROR(_xll.BDP(TICKER,"DEEP_MEASURE_PERIOD_BROKER_VALUE","DEEP_MEASURE_ID_OVERRIDE",$C74,"DEEP_BROKER_ID_OVERRIDE",$F$7,"DEEP_PERIOD_OVERRIDE",AB$11)*1,"")))</f>
        <v/>
      </c>
      <c r="AC74" s="17" t="str">
        <f ca="1">IF(ISNA($B74),"",IF($B74="","",IFERROR(_xll.BDP(TICKER,"DEEP_MEASURE_PERIOD_BROKER_VALUE","DEEP_MEASURE_ID_OVERRIDE",$C74,"DEEP_BROKER_ID_OVERRIDE",$F$7,"DEEP_PERIOD_OVERRIDE",AC$11)*1,"")))</f>
        <v/>
      </c>
      <c r="AD74" s="17" t="str">
        <f ca="1">IF(ISNA($B74),"",IF($B74="","",IFERROR(_xll.BDP(TICKER,"DEEP_MEASURE_PERIOD_BROKER_VALUE","DEEP_MEASURE_ID_OVERRIDE",$C74,"DEEP_BROKER_ID_OVERRIDE",$F$7,"DEEP_PERIOD_OVERRIDE",AD$11)*1,"")))</f>
        <v/>
      </c>
      <c r="AE74" s="17" t="str">
        <f ca="1">IF(ISNA($B74),"",IF($B74="","",IFERROR(_xll.BDP(TICKER,"DEEP_MEASURE_PERIOD_BROKER_VALUE","DEEP_MEASURE_ID_OVERRIDE",$C74,"DEEP_BROKER_ID_OVERRIDE",$F$7,"DEEP_PERIOD_OVERRIDE",AE$11)*1,"")))</f>
        <v/>
      </c>
      <c r="AF74" s="17" t="str">
        <f ca="1">IF(ISNA($B74),"",IF($B74="","",IFERROR(_xll.BDP(TICKER,"DEEP_MEASURE_PERIOD_BROKER_VALUE","DEEP_MEASURE_ID_OVERRIDE",$C74,"DEEP_BROKER_ID_OVERRIDE",$F$7,"DEEP_PERIOD_OVERRIDE",AF$11)*1,"")))</f>
        <v/>
      </c>
      <c r="AG74" s="17" t="str">
        <f ca="1">IF(ISNA($B74),"",IF($B74="","",IFERROR(_xll.BDP(TICKER,"DEEP_MEASURE_PERIOD_BROKER_VALUE","DEEP_MEASURE_ID_OVERRIDE",$C74,"DEEP_BROKER_ID_OVERRIDE",$F$7,"DEEP_PERIOD_OVERRIDE",AG$11)*1,"")))</f>
        <v/>
      </c>
      <c r="AH74" s="17" t="str">
        <f ca="1">IF(ISNA($B74),"",IF($B74="","",IFERROR(_xll.BDP(TICKER,"DEEP_MEASURE_PERIOD_BROKER_VALUE","DEEP_MEASURE_ID_OVERRIDE",$C74,"DEEP_BROKER_ID_OVERRIDE",$F$7,"DEEP_PERIOD_OVERRIDE",AH$11)*1,"")))</f>
        <v/>
      </c>
      <c r="AI74" s="17" t="str">
        <f ca="1">IF(ISNA($B74),"",IF($B74="","",IFERROR(_xll.BDP(TICKER,"DEEP_MEASURE_PERIOD_BROKER_VALUE","DEEP_MEASURE_ID_OVERRIDE",$C74,"DEEP_BROKER_ID_OVERRIDE",$F$7,"DEEP_PERIOD_OVERRIDE",AI$11)*1,"")))</f>
        <v/>
      </c>
      <c r="AJ74" s="17" t="str">
        <f ca="1">IF(ISNA($B74),"",IF($B74="","",IFERROR(_xll.BDP(TICKER,"DEEP_MEASURE_PERIOD_BROKER_VALUE","DEEP_MEASURE_ID_OVERRIDE",$C74,"DEEP_BROKER_ID_OVERRIDE",$F$7,"DEEP_PERIOD_OVERRIDE",AJ$11)*1,"")))</f>
        <v/>
      </c>
      <c r="AK74" s="17" t="str">
        <f ca="1">IF(ISNA($B74),"",IF($B74="","",IFERROR(_xll.BDP(TICKER,"DEEP_MEASURE_PERIOD_BROKER_VALUE","DEEP_MEASURE_ID_OVERRIDE",$C74,"DEEP_BROKER_ID_OVERRIDE",$F$7,"DEEP_PERIOD_OVERRIDE",AK$11)*1,"")))</f>
        <v/>
      </c>
      <c r="AL74" s="17" t="str">
        <f ca="1">IF(ISNA($B74),"",IF($B74="","",IFERROR(_xll.BDP(TICKER,"DEEP_MEASURE_PERIOD_BROKER_VALUE","DEEP_MEASURE_ID_OVERRIDE",$C74,"DEEP_BROKER_ID_OVERRIDE",$F$7,"DEEP_PERIOD_OVERRIDE",AL$11)*1,"")))</f>
        <v/>
      </c>
      <c r="AM74" s="17" t="str">
        <f ca="1">IF(ISNA($B74),"",IF($B74="","",IFERROR(_xll.BDP(TICKER,"DEEP_MEASURE_PERIOD_BROKER_VALUE","DEEP_MEASURE_ID_OVERRIDE",$C74,"DEEP_BROKER_ID_OVERRIDE",$F$7,"DEEP_PERIOD_OVERRIDE",AM$11)*1,"")))</f>
        <v/>
      </c>
      <c r="AN74" s="17" t="str">
        <f ca="1">IF(ISNA($B74),"",IF($B74="","",IFERROR(_xll.BDP(TICKER,"DEEP_MEASURE_PERIOD_BROKER_VALUE","DEEP_MEASURE_ID_OVERRIDE",$C74,"DEEP_BROKER_ID_OVERRIDE",$F$7,"DEEP_PERIOD_OVERRIDE",AN$11)*1,"")))</f>
        <v/>
      </c>
      <c r="AO74" s="17" t="str">
        <f ca="1">IF(ISNA($B74),"",IF($B74="","",IFERROR(_xll.BDP(TICKER,"DEEP_MEASURE_PERIOD_BROKER_VALUE","DEEP_MEASURE_ID_OVERRIDE",$C74,"DEEP_BROKER_ID_OVERRIDE",$F$7,"DEEP_PERIOD_OVERRIDE",AO$11)*1,"")))</f>
        <v/>
      </c>
      <c r="AP74" s="17" t="str">
        <f ca="1">IF(ISNA($B74),"",IF($B74="","",IFERROR(_xll.BDP(TICKER,"DEEP_MEASURE_PERIOD_BROKER_VALUE","DEEP_MEASURE_ID_OVERRIDE",$C74,"DEEP_BROKER_ID_OVERRIDE",$F$7,"DEEP_PERIOD_OVERRIDE",AP$11)*1,"")))</f>
        <v/>
      </c>
      <c r="AQ74" s="17" t="str">
        <f ca="1">IF(ISNA($B74),"",IF($B74="","",IFERROR(_xll.BDP(TICKER,"DEEP_MEASURE_PERIOD_BROKER_VALUE","DEEP_MEASURE_ID_OVERRIDE",$C74,"DEEP_BROKER_ID_OVERRIDE",$F$7,"DEEP_PERIOD_OVERRIDE",AQ$11)*1,"")))</f>
        <v/>
      </c>
    </row>
    <row r="75" spans="2:43" x14ac:dyDescent="0.25">
      <c r="B75" t="s">
        <v>124</v>
      </c>
      <c r="C75" s="11">
        <v>940</v>
      </c>
      <c r="H75" t="str">
        <f t="shared" si="2"/>
        <v>Total Revenue &gt; Non-Hotel &gt; Adjusted EBITDA</v>
      </c>
      <c r="I75" s="17" t="str">
        <f ca="1">IF(ISNA($B75),"",IF($B75="","",IFERROR(_xll.BDP(TICKER,"DEEP_MEASURE_PERIOD_BROKER_VALUE","DEEP_MEASURE_ID_OVERRIDE",$C75,"DEEP_BROKER_ID_OVERRIDE",$F$7,"DEEP_PERIOD_OVERRIDE",I$11)*1,"")))</f>
        <v/>
      </c>
      <c r="J75" s="17" t="str">
        <f ca="1">IF(ISNA($B75),"",IF($B75="","",IFERROR(_xll.BDP(TICKER,"DEEP_MEASURE_PERIOD_BROKER_VALUE","DEEP_MEASURE_ID_OVERRIDE",$C75,"DEEP_BROKER_ID_OVERRIDE",$F$7,"DEEP_PERIOD_OVERRIDE",J$11)*1,"")))</f>
        <v/>
      </c>
      <c r="K75" s="17" t="str">
        <f ca="1">IF(ISNA($B75),"",IF($B75="","",IFERROR(_xll.BDP(TICKER,"DEEP_MEASURE_PERIOD_BROKER_VALUE","DEEP_MEASURE_ID_OVERRIDE",$C75,"DEEP_BROKER_ID_OVERRIDE",$F$7,"DEEP_PERIOD_OVERRIDE",K$11)*1,"")))</f>
        <v/>
      </c>
      <c r="L75" s="17" t="str">
        <f ca="1">IF(ISNA($B75),"",IF($B75="","",IFERROR(_xll.BDP(TICKER,"DEEP_MEASURE_PERIOD_BROKER_VALUE","DEEP_MEASURE_ID_OVERRIDE",$C75,"DEEP_BROKER_ID_OVERRIDE",$F$7,"DEEP_PERIOD_OVERRIDE",L$11)*1,"")))</f>
        <v/>
      </c>
      <c r="M75" s="17" t="str">
        <f ca="1">IF(ISNA($B75),"",IF($B75="","",IFERROR(_xll.BDP(TICKER,"DEEP_MEASURE_PERIOD_BROKER_VALUE","DEEP_MEASURE_ID_OVERRIDE",$C75,"DEEP_BROKER_ID_OVERRIDE",$F$7,"DEEP_PERIOD_OVERRIDE",M$11)*1,"")))</f>
        <v/>
      </c>
      <c r="N75" s="17" t="str">
        <f ca="1">IF(ISNA($B75),"",IF($B75="","",IFERROR(_xll.BDP(TICKER,"DEEP_MEASURE_PERIOD_BROKER_VALUE","DEEP_MEASURE_ID_OVERRIDE",$C75,"DEEP_BROKER_ID_OVERRIDE",$F$7,"DEEP_PERIOD_OVERRIDE",N$11)*1,"")))</f>
        <v/>
      </c>
      <c r="O75" s="17" t="str">
        <f ca="1">IF(ISNA($B75),"",IF($B75="","",IFERROR(_xll.BDP(TICKER,"DEEP_MEASURE_PERIOD_BROKER_VALUE","DEEP_MEASURE_ID_OVERRIDE",$C75,"DEEP_BROKER_ID_OVERRIDE",$F$7,"DEEP_PERIOD_OVERRIDE",O$11)*1,"")))</f>
        <v/>
      </c>
      <c r="P75" s="17" t="str">
        <f ca="1">IF(ISNA($B75),"",IF($B75="","",IFERROR(_xll.BDP(TICKER,"DEEP_MEASURE_PERIOD_BROKER_VALUE","DEEP_MEASURE_ID_OVERRIDE",$C75,"DEEP_BROKER_ID_OVERRIDE",$F$7,"DEEP_PERIOD_OVERRIDE",P$11)*1,"")))</f>
        <v/>
      </c>
      <c r="Q75" s="17" t="str">
        <f ca="1">IF(ISNA($B75),"",IF($B75="","",IFERROR(_xll.BDP(TICKER,"DEEP_MEASURE_PERIOD_BROKER_VALUE","DEEP_MEASURE_ID_OVERRIDE",$C75,"DEEP_BROKER_ID_OVERRIDE",$F$7,"DEEP_PERIOD_OVERRIDE",Q$11)*1,"")))</f>
        <v/>
      </c>
      <c r="R75" s="17" t="str">
        <f ca="1">IF(ISNA($B75),"",IF($B75="","",IFERROR(_xll.BDP(TICKER,"DEEP_MEASURE_PERIOD_BROKER_VALUE","DEEP_MEASURE_ID_OVERRIDE",$C75,"DEEP_BROKER_ID_OVERRIDE",$F$7,"DEEP_PERIOD_OVERRIDE",R$11)*1,"")))</f>
        <v/>
      </c>
      <c r="S75" s="17" t="str">
        <f ca="1">IF(ISNA($B75),"",IF($B75="","",IFERROR(_xll.BDP(TICKER,"DEEP_MEASURE_PERIOD_BROKER_VALUE","DEEP_MEASURE_ID_OVERRIDE",$C75,"DEEP_BROKER_ID_OVERRIDE",$F$7,"DEEP_PERIOD_OVERRIDE",S$11)*1,"")))</f>
        <v/>
      </c>
      <c r="T75" s="17" t="str">
        <f ca="1">IF(ISNA($B75),"",IF($B75="","",IFERROR(_xll.BDP(TICKER,"DEEP_MEASURE_PERIOD_BROKER_VALUE","DEEP_MEASURE_ID_OVERRIDE",$C75,"DEEP_BROKER_ID_OVERRIDE",$F$7,"DEEP_PERIOD_OVERRIDE",T$11)*1,"")))</f>
        <v/>
      </c>
      <c r="U75" s="17" t="str">
        <f ca="1">IF(ISNA($B75),"",IF($B75="","",IFERROR(_xll.BDP(TICKER,"DEEP_MEASURE_PERIOD_BROKER_VALUE","DEEP_MEASURE_ID_OVERRIDE",$C75,"DEEP_BROKER_ID_OVERRIDE",$F$7,"DEEP_PERIOD_OVERRIDE",U$11)*1,"")))</f>
        <v/>
      </c>
      <c r="V75" s="17" t="str">
        <f ca="1">IF(ISNA($B75),"",IF($B75="","",IFERROR(_xll.BDP(TICKER,"DEEP_MEASURE_PERIOD_BROKER_VALUE","DEEP_MEASURE_ID_OVERRIDE",$C75,"DEEP_BROKER_ID_OVERRIDE",$F$7,"DEEP_PERIOD_OVERRIDE",V$11)*1,"")))</f>
        <v/>
      </c>
      <c r="W75" s="17" t="str">
        <f ca="1">IF(ISNA($B75),"",IF($B75="","",IFERROR(_xll.BDP(TICKER,"DEEP_MEASURE_PERIOD_BROKER_VALUE","DEEP_MEASURE_ID_OVERRIDE",$C75,"DEEP_BROKER_ID_OVERRIDE",$F$7,"DEEP_PERIOD_OVERRIDE",W$11)*1,"")))</f>
        <v/>
      </c>
      <c r="X75" s="17" t="str">
        <f ca="1">IF(ISNA($B75),"",IF($B75="","",IFERROR(_xll.BDP(TICKER,"DEEP_MEASURE_PERIOD_BROKER_VALUE","DEEP_MEASURE_ID_OVERRIDE",$C75,"DEEP_BROKER_ID_OVERRIDE",$F$7,"DEEP_PERIOD_OVERRIDE",X$11)*1,"")))</f>
        <v/>
      </c>
      <c r="Y75" s="17" t="str">
        <f ca="1">IF(ISNA($B75),"",IF($B75="","",IFERROR(_xll.BDP(TICKER,"DEEP_MEASURE_PERIOD_BROKER_VALUE","DEEP_MEASURE_ID_OVERRIDE",$C75,"DEEP_BROKER_ID_OVERRIDE",$F$7,"DEEP_PERIOD_OVERRIDE",Y$11)*1,"")))</f>
        <v/>
      </c>
      <c r="Z75" s="17" t="str">
        <f ca="1">IF(ISNA($B75),"",IF($B75="","",IFERROR(_xll.BDP(TICKER,"DEEP_MEASURE_PERIOD_BROKER_VALUE","DEEP_MEASURE_ID_OVERRIDE",$C75,"DEEP_BROKER_ID_OVERRIDE",$F$7,"DEEP_PERIOD_OVERRIDE",Z$11)*1,"")))</f>
        <v/>
      </c>
      <c r="AA75" s="17" t="str">
        <f ca="1">IF(ISNA($B75),"",IF($B75="","",IFERROR(_xll.BDP(TICKER,"DEEP_MEASURE_PERIOD_BROKER_VALUE","DEEP_MEASURE_ID_OVERRIDE",$C75,"DEEP_BROKER_ID_OVERRIDE",$F$7,"DEEP_PERIOD_OVERRIDE",AA$11)*1,"")))</f>
        <v/>
      </c>
      <c r="AB75" s="17" t="str">
        <f ca="1">IF(ISNA($B75),"",IF($B75="","",IFERROR(_xll.BDP(TICKER,"DEEP_MEASURE_PERIOD_BROKER_VALUE","DEEP_MEASURE_ID_OVERRIDE",$C75,"DEEP_BROKER_ID_OVERRIDE",$F$7,"DEEP_PERIOD_OVERRIDE",AB$11)*1,"")))</f>
        <v/>
      </c>
      <c r="AC75" s="17" t="str">
        <f ca="1">IF(ISNA($B75),"",IF($B75="","",IFERROR(_xll.BDP(TICKER,"DEEP_MEASURE_PERIOD_BROKER_VALUE","DEEP_MEASURE_ID_OVERRIDE",$C75,"DEEP_BROKER_ID_OVERRIDE",$F$7,"DEEP_PERIOD_OVERRIDE",AC$11)*1,"")))</f>
        <v/>
      </c>
      <c r="AD75" s="17" t="str">
        <f ca="1">IF(ISNA($B75),"",IF($B75="","",IFERROR(_xll.BDP(TICKER,"DEEP_MEASURE_PERIOD_BROKER_VALUE","DEEP_MEASURE_ID_OVERRIDE",$C75,"DEEP_BROKER_ID_OVERRIDE",$F$7,"DEEP_PERIOD_OVERRIDE",AD$11)*1,"")))</f>
        <v/>
      </c>
      <c r="AE75" s="17" t="str">
        <f ca="1">IF(ISNA($B75),"",IF($B75="","",IFERROR(_xll.BDP(TICKER,"DEEP_MEASURE_PERIOD_BROKER_VALUE","DEEP_MEASURE_ID_OVERRIDE",$C75,"DEEP_BROKER_ID_OVERRIDE",$F$7,"DEEP_PERIOD_OVERRIDE",AE$11)*1,"")))</f>
        <v/>
      </c>
      <c r="AF75" s="17" t="str">
        <f ca="1">IF(ISNA($B75),"",IF($B75="","",IFERROR(_xll.BDP(TICKER,"DEEP_MEASURE_PERIOD_BROKER_VALUE","DEEP_MEASURE_ID_OVERRIDE",$C75,"DEEP_BROKER_ID_OVERRIDE",$F$7,"DEEP_PERIOD_OVERRIDE",AF$11)*1,"")))</f>
        <v/>
      </c>
      <c r="AG75" s="17" t="str">
        <f ca="1">IF(ISNA($B75),"",IF($B75="","",IFERROR(_xll.BDP(TICKER,"DEEP_MEASURE_PERIOD_BROKER_VALUE","DEEP_MEASURE_ID_OVERRIDE",$C75,"DEEP_BROKER_ID_OVERRIDE",$F$7,"DEEP_PERIOD_OVERRIDE",AG$11)*1,"")))</f>
        <v/>
      </c>
      <c r="AH75" s="17" t="str">
        <f ca="1">IF(ISNA($B75),"",IF($B75="","",IFERROR(_xll.BDP(TICKER,"DEEP_MEASURE_PERIOD_BROKER_VALUE","DEEP_MEASURE_ID_OVERRIDE",$C75,"DEEP_BROKER_ID_OVERRIDE",$F$7,"DEEP_PERIOD_OVERRIDE",AH$11)*1,"")))</f>
        <v/>
      </c>
      <c r="AI75" s="17" t="str">
        <f ca="1">IF(ISNA($B75),"",IF($B75="","",IFERROR(_xll.BDP(TICKER,"DEEP_MEASURE_PERIOD_BROKER_VALUE","DEEP_MEASURE_ID_OVERRIDE",$C75,"DEEP_BROKER_ID_OVERRIDE",$F$7,"DEEP_PERIOD_OVERRIDE",AI$11)*1,"")))</f>
        <v/>
      </c>
      <c r="AJ75" s="17" t="str">
        <f ca="1">IF(ISNA($B75),"",IF($B75="","",IFERROR(_xll.BDP(TICKER,"DEEP_MEASURE_PERIOD_BROKER_VALUE","DEEP_MEASURE_ID_OVERRIDE",$C75,"DEEP_BROKER_ID_OVERRIDE",$F$7,"DEEP_PERIOD_OVERRIDE",AJ$11)*1,"")))</f>
        <v/>
      </c>
      <c r="AK75" s="17" t="str">
        <f ca="1">IF(ISNA($B75),"",IF($B75="","",IFERROR(_xll.BDP(TICKER,"DEEP_MEASURE_PERIOD_BROKER_VALUE","DEEP_MEASURE_ID_OVERRIDE",$C75,"DEEP_BROKER_ID_OVERRIDE",$F$7,"DEEP_PERIOD_OVERRIDE",AK$11)*1,"")))</f>
        <v/>
      </c>
      <c r="AL75" s="17" t="str">
        <f ca="1">IF(ISNA($B75),"",IF($B75="","",IFERROR(_xll.BDP(TICKER,"DEEP_MEASURE_PERIOD_BROKER_VALUE","DEEP_MEASURE_ID_OVERRIDE",$C75,"DEEP_BROKER_ID_OVERRIDE",$F$7,"DEEP_PERIOD_OVERRIDE",AL$11)*1,"")))</f>
        <v/>
      </c>
      <c r="AM75" s="17" t="str">
        <f ca="1">IF(ISNA($B75),"",IF($B75="","",IFERROR(_xll.BDP(TICKER,"DEEP_MEASURE_PERIOD_BROKER_VALUE","DEEP_MEASURE_ID_OVERRIDE",$C75,"DEEP_BROKER_ID_OVERRIDE",$F$7,"DEEP_PERIOD_OVERRIDE",AM$11)*1,"")))</f>
        <v/>
      </c>
      <c r="AN75" s="17" t="str">
        <f ca="1">IF(ISNA($B75),"",IF($B75="","",IFERROR(_xll.BDP(TICKER,"DEEP_MEASURE_PERIOD_BROKER_VALUE","DEEP_MEASURE_ID_OVERRIDE",$C75,"DEEP_BROKER_ID_OVERRIDE",$F$7,"DEEP_PERIOD_OVERRIDE",AN$11)*1,"")))</f>
        <v/>
      </c>
      <c r="AO75" s="17" t="str">
        <f ca="1">IF(ISNA($B75),"",IF($B75="","",IFERROR(_xll.BDP(TICKER,"DEEP_MEASURE_PERIOD_BROKER_VALUE","DEEP_MEASURE_ID_OVERRIDE",$C75,"DEEP_BROKER_ID_OVERRIDE",$F$7,"DEEP_PERIOD_OVERRIDE",AO$11)*1,"")))</f>
        <v/>
      </c>
      <c r="AP75" s="17" t="str">
        <f ca="1">IF(ISNA($B75),"",IF($B75="","",IFERROR(_xll.BDP(TICKER,"DEEP_MEASURE_PERIOD_BROKER_VALUE","DEEP_MEASURE_ID_OVERRIDE",$C75,"DEEP_BROKER_ID_OVERRIDE",$F$7,"DEEP_PERIOD_OVERRIDE",AP$11)*1,"")))</f>
        <v/>
      </c>
      <c r="AQ75" s="17" t="str">
        <f ca="1">IF(ISNA($B75),"",IF($B75="","",IFERROR(_xll.BDP(TICKER,"DEEP_MEASURE_PERIOD_BROKER_VALUE","DEEP_MEASURE_ID_OVERRIDE",$C75,"DEEP_BROKER_ID_OVERRIDE",$F$7,"DEEP_PERIOD_OVERRIDE",AQ$11)*1,"")))</f>
        <v/>
      </c>
    </row>
    <row r="76" spans="2:43" x14ac:dyDescent="0.25">
      <c r="B76" t="s">
        <v>125</v>
      </c>
      <c r="C76" s="11">
        <v>399</v>
      </c>
      <c r="H76" t="str">
        <f t="shared" si="2"/>
        <v>Total Revenue &gt; Non-Hotel &gt; Adjusted EBITDA &gt; Adjusted EBITDA Margin (%)</v>
      </c>
      <c r="I76" s="17" t="str">
        <f ca="1">IF(ISNA($B76),"",IF($B76="","",IFERROR(_xll.BDP(TICKER,"DEEP_MEASURE_PERIOD_BROKER_VALUE","DEEP_MEASURE_ID_OVERRIDE",$C76,"DEEP_BROKER_ID_OVERRIDE",$F$7,"DEEP_PERIOD_OVERRIDE",I$11)*1,"")))</f>
        <v/>
      </c>
      <c r="J76" s="17" t="str">
        <f ca="1">IF(ISNA($B76),"",IF($B76="","",IFERROR(_xll.BDP(TICKER,"DEEP_MEASURE_PERIOD_BROKER_VALUE","DEEP_MEASURE_ID_OVERRIDE",$C76,"DEEP_BROKER_ID_OVERRIDE",$F$7,"DEEP_PERIOD_OVERRIDE",J$11)*1,"")))</f>
        <v/>
      </c>
      <c r="K76" s="17" t="str">
        <f ca="1">IF(ISNA($B76),"",IF($B76="","",IFERROR(_xll.BDP(TICKER,"DEEP_MEASURE_PERIOD_BROKER_VALUE","DEEP_MEASURE_ID_OVERRIDE",$C76,"DEEP_BROKER_ID_OVERRIDE",$F$7,"DEEP_PERIOD_OVERRIDE",K$11)*1,"")))</f>
        <v/>
      </c>
      <c r="L76" s="17" t="str">
        <f ca="1">IF(ISNA($B76),"",IF($B76="","",IFERROR(_xll.BDP(TICKER,"DEEP_MEASURE_PERIOD_BROKER_VALUE","DEEP_MEASURE_ID_OVERRIDE",$C76,"DEEP_BROKER_ID_OVERRIDE",$F$7,"DEEP_PERIOD_OVERRIDE",L$11)*1,"")))</f>
        <v/>
      </c>
      <c r="M76" s="17" t="str">
        <f ca="1">IF(ISNA($B76),"",IF($B76="","",IFERROR(_xll.BDP(TICKER,"DEEP_MEASURE_PERIOD_BROKER_VALUE","DEEP_MEASURE_ID_OVERRIDE",$C76,"DEEP_BROKER_ID_OVERRIDE",$F$7,"DEEP_PERIOD_OVERRIDE",M$11)*1,"")))</f>
        <v/>
      </c>
      <c r="N76" s="17" t="str">
        <f ca="1">IF(ISNA($B76),"",IF($B76="","",IFERROR(_xll.BDP(TICKER,"DEEP_MEASURE_PERIOD_BROKER_VALUE","DEEP_MEASURE_ID_OVERRIDE",$C76,"DEEP_BROKER_ID_OVERRIDE",$F$7,"DEEP_PERIOD_OVERRIDE",N$11)*1,"")))</f>
        <v/>
      </c>
      <c r="O76" s="17" t="str">
        <f ca="1">IF(ISNA($B76),"",IF($B76="","",IFERROR(_xll.BDP(TICKER,"DEEP_MEASURE_PERIOD_BROKER_VALUE","DEEP_MEASURE_ID_OVERRIDE",$C76,"DEEP_BROKER_ID_OVERRIDE",$F$7,"DEEP_PERIOD_OVERRIDE",O$11)*1,"")))</f>
        <v/>
      </c>
      <c r="P76" s="17" t="str">
        <f ca="1">IF(ISNA($B76),"",IF($B76="","",IFERROR(_xll.BDP(TICKER,"DEEP_MEASURE_PERIOD_BROKER_VALUE","DEEP_MEASURE_ID_OVERRIDE",$C76,"DEEP_BROKER_ID_OVERRIDE",$F$7,"DEEP_PERIOD_OVERRIDE",P$11)*1,"")))</f>
        <v/>
      </c>
      <c r="Q76" s="17" t="str">
        <f ca="1">IF(ISNA($B76),"",IF($B76="","",IFERROR(_xll.BDP(TICKER,"DEEP_MEASURE_PERIOD_BROKER_VALUE","DEEP_MEASURE_ID_OVERRIDE",$C76,"DEEP_BROKER_ID_OVERRIDE",$F$7,"DEEP_PERIOD_OVERRIDE",Q$11)*1,"")))</f>
        <v/>
      </c>
      <c r="R76" s="17" t="str">
        <f ca="1">IF(ISNA($B76),"",IF($B76="","",IFERROR(_xll.BDP(TICKER,"DEEP_MEASURE_PERIOD_BROKER_VALUE","DEEP_MEASURE_ID_OVERRIDE",$C76,"DEEP_BROKER_ID_OVERRIDE",$F$7,"DEEP_PERIOD_OVERRIDE",R$11)*1,"")))</f>
        <v/>
      </c>
      <c r="S76" s="17" t="str">
        <f ca="1">IF(ISNA($B76),"",IF($B76="","",IFERROR(_xll.BDP(TICKER,"DEEP_MEASURE_PERIOD_BROKER_VALUE","DEEP_MEASURE_ID_OVERRIDE",$C76,"DEEP_BROKER_ID_OVERRIDE",$F$7,"DEEP_PERIOD_OVERRIDE",S$11)*1,"")))</f>
        <v/>
      </c>
      <c r="T76" s="17" t="str">
        <f ca="1">IF(ISNA($B76),"",IF($B76="","",IFERROR(_xll.BDP(TICKER,"DEEP_MEASURE_PERIOD_BROKER_VALUE","DEEP_MEASURE_ID_OVERRIDE",$C76,"DEEP_BROKER_ID_OVERRIDE",$F$7,"DEEP_PERIOD_OVERRIDE",T$11)*1,"")))</f>
        <v/>
      </c>
      <c r="U76" s="17" t="str">
        <f ca="1">IF(ISNA($B76),"",IF($B76="","",IFERROR(_xll.BDP(TICKER,"DEEP_MEASURE_PERIOD_BROKER_VALUE","DEEP_MEASURE_ID_OVERRIDE",$C76,"DEEP_BROKER_ID_OVERRIDE",$F$7,"DEEP_PERIOD_OVERRIDE",U$11)*1,"")))</f>
        <v/>
      </c>
      <c r="V76" s="17" t="str">
        <f ca="1">IF(ISNA($B76),"",IF($B76="","",IFERROR(_xll.BDP(TICKER,"DEEP_MEASURE_PERIOD_BROKER_VALUE","DEEP_MEASURE_ID_OVERRIDE",$C76,"DEEP_BROKER_ID_OVERRIDE",$F$7,"DEEP_PERIOD_OVERRIDE",V$11)*1,"")))</f>
        <v/>
      </c>
      <c r="W76" s="17" t="str">
        <f ca="1">IF(ISNA($B76),"",IF($B76="","",IFERROR(_xll.BDP(TICKER,"DEEP_MEASURE_PERIOD_BROKER_VALUE","DEEP_MEASURE_ID_OVERRIDE",$C76,"DEEP_BROKER_ID_OVERRIDE",$F$7,"DEEP_PERIOD_OVERRIDE",W$11)*1,"")))</f>
        <v/>
      </c>
      <c r="X76" s="17" t="str">
        <f ca="1">IF(ISNA($B76),"",IF($B76="","",IFERROR(_xll.BDP(TICKER,"DEEP_MEASURE_PERIOD_BROKER_VALUE","DEEP_MEASURE_ID_OVERRIDE",$C76,"DEEP_BROKER_ID_OVERRIDE",$F$7,"DEEP_PERIOD_OVERRIDE",X$11)*1,"")))</f>
        <v/>
      </c>
      <c r="Y76" s="17" t="str">
        <f ca="1">IF(ISNA($B76),"",IF($B76="","",IFERROR(_xll.BDP(TICKER,"DEEP_MEASURE_PERIOD_BROKER_VALUE","DEEP_MEASURE_ID_OVERRIDE",$C76,"DEEP_BROKER_ID_OVERRIDE",$F$7,"DEEP_PERIOD_OVERRIDE",Y$11)*1,"")))</f>
        <v/>
      </c>
      <c r="Z76" s="17" t="str">
        <f ca="1">IF(ISNA($B76),"",IF($B76="","",IFERROR(_xll.BDP(TICKER,"DEEP_MEASURE_PERIOD_BROKER_VALUE","DEEP_MEASURE_ID_OVERRIDE",$C76,"DEEP_BROKER_ID_OVERRIDE",$F$7,"DEEP_PERIOD_OVERRIDE",Z$11)*1,"")))</f>
        <v/>
      </c>
      <c r="AA76" s="17" t="str">
        <f ca="1">IF(ISNA($B76),"",IF($B76="","",IFERROR(_xll.BDP(TICKER,"DEEP_MEASURE_PERIOD_BROKER_VALUE","DEEP_MEASURE_ID_OVERRIDE",$C76,"DEEP_BROKER_ID_OVERRIDE",$F$7,"DEEP_PERIOD_OVERRIDE",AA$11)*1,"")))</f>
        <v/>
      </c>
      <c r="AB76" s="17" t="str">
        <f ca="1">IF(ISNA($B76),"",IF($B76="","",IFERROR(_xll.BDP(TICKER,"DEEP_MEASURE_PERIOD_BROKER_VALUE","DEEP_MEASURE_ID_OVERRIDE",$C76,"DEEP_BROKER_ID_OVERRIDE",$F$7,"DEEP_PERIOD_OVERRIDE",AB$11)*1,"")))</f>
        <v/>
      </c>
      <c r="AC76" s="17" t="str">
        <f ca="1">IF(ISNA($B76),"",IF($B76="","",IFERROR(_xll.BDP(TICKER,"DEEP_MEASURE_PERIOD_BROKER_VALUE","DEEP_MEASURE_ID_OVERRIDE",$C76,"DEEP_BROKER_ID_OVERRIDE",$F$7,"DEEP_PERIOD_OVERRIDE",AC$11)*1,"")))</f>
        <v/>
      </c>
      <c r="AD76" s="17" t="str">
        <f ca="1">IF(ISNA($B76),"",IF($B76="","",IFERROR(_xll.BDP(TICKER,"DEEP_MEASURE_PERIOD_BROKER_VALUE","DEEP_MEASURE_ID_OVERRIDE",$C76,"DEEP_BROKER_ID_OVERRIDE",$F$7,"DEEP_PERIOD_OVERRIDE",AD$11)*1,"")))</f>
        <v/>
      </c>
      <c r="AE76" s="17" t="str">
        <f ca="1">IF(ISNA($B76),"",IF($B76="","",IFERROR(_xll.BDP(TICKER,"DEEP_MEASURE_PERIOD_BROKER_VALUE","DEEP_MEASURE_ID_OVERRIDE",$C76,"DEEP_BROKER_ID_OVERRIDE",$F$7,"DEEP_PERIOD_OVERRIDE",AE$11)*1,"")))</f>
        <v/>
      </c>
      <c r="AF76" s="17" t="str">
        <f ca="1">IF(ISNA($B76),"",IF($B76="","",IFERROR(_xll.BDP(TICKER,"DEEP_MEASURE_PERIOD_BROKER_VALUE","DEEP_MEASURE_ID_OVERRIDE",$C76,"DEEP_BROKER_ID_OVERRIDE",$F$7,"DEEP_PERIOD_OVERRIDE",AF$11)*1,"")))</f>
        <v/>
      </c>
      <c r="AG76" s="17" t="str">
        <f ca="1">IF(ISNA($B76),"",IF($B76="","",IFERROR(_xll.BDP(TICKER,"DEEP_MEASURE_PERIOD_BROKER_VALUE","DEEP_MEASURE_ID_OVERRIDE",$C76,"DEEP_BROKER_ID_OVERRIDE",$F$7,"DEEP_PERIOD_OVERRIDE",AG$11)*1,"")))</f>
        <v/>
      </c>
      <c r="AH76" s="17" t="str">
        <f ca="1">IF(ISNA($B76),"",IF($B76="","",IFERROR(_xll.BDP(TICKER,"DEEP_MEASURE_PERIOD_BROKER_VALUE","DEEP_MEASURE_ID_OVERRIDE",$C76,"DEEP_BROKER_ID_OVERRIDE",$F$7,"DEEP_PERIOD_OVERRIDE",AH$11)*1,"")))</f>
        <v/>
      </c>
      <c r="AI76" s="17" t="str">
        <f ca="1">IF(ISNA($B76),"",IF($B76="","",IFERROR(_xll.BDP(TICKER,"DEEP_MEASURE_PERIOD_BROKER_VALUE","DEEP_MEASURE_ID_OVERRIDE",$C76,"DEEP_BROKER_ID_OVERRIDE",$F$7,"DEEP_PERIOD_OVERRIDE",AI$11)*1,"")))</f>
        <v/>
      </c>
      <c r="AJ76" s="17" t="str">
        <f ca="1">IF(ISNA($B76),"",IF($B76="","",IFERROR(_xll.BDP(TICKER,"DEEP_MEASURE_PERIOD_BROKER_VALUE","DEEP_MEASURE_ID_OVERRIDE",$C76,"DEEP_BROKER_ID_OVERRIDE",$F$7,"DEEP_PERIOD_OVERRIDE",AJ$11)*1,"")))</f>
        <v/>
      </c>
      <c r="AK76" s="17" t="str">
        <f ca="1">IF(ISNA($B76),"",IF($B76="","",IFERROR(_xll.BDP(TICKER,"DEEP_MEASURE_PERIOD_BROKER_VALUE","DEEP_MEASURE_ID_OVERRIDE",$C76,"DEEP_BROKER_ID_OVERRIDE",$F$7,"DEEP_PERIOD_OVERRIDE",AK$11)*1,"")))</f>
        <v/>
      </c>
      <c r="AL76" s="17" t="str">
        <f ca="1">IF(ISNA($B76),"",IF($B76="","",IFERROR(_xll.BDP(TICKER,"DEEP_MEASURE_PERIOD_BROKER_VALUE","DEEP_MEASURE_ID_OVERRIDE",$C76,"DEEP_BROKER_ID_OVERRIDE",$F$7,"DEEP_PERIOD_OVERRIDE",AL$11)*1,"")))</f>
        <v/>
      </c>
      <c r="AM76" s="17" t="str">
        <f ca="1">IF(ISNA($B76),"",IF($B76="","",IFERROR(_xll.BDP(TICKER,"DEEP_MEASURE_PERIOD_BROKER_VALUE","DEEP_MEASURE_ID_OVERRIDE",$C76,"DEEP_BROKER_ID_OVERRIDE",$F$7,"DEEP_PERIOD_OVERRIDE",AM$11)*1,"")))</f>
        <v/>
      </c>
      <c r="AN76" s="17" t="str">
        <f ca="1">IF(ISNA($B76),"",IF($B76="","",IFERROR(_xll.BDP(TICKER,"DEEP_MEASURE_PERIOD_BROKER_VALUE","DEEP_MEASURE_ID_OVERRIDE",$C76,"DEEP_BROKER_ID_OVERRIDE",$F$7,"DEEP_PERIOD_OVERRIDE",AN$11)*1,"")))</f>
        <v/>
      </c>
      <c r="AO76" s="17" t="str">
        <f ca="1">IF(ISNA($B76),"",IF($B76="","",IFERROR(_xll.BDP(TICKER,"DEEP_MEASURE_PERIOD_BROKER_VALUE","DEEP_MEASURE_ID_OVERRIDE",$C76,"DEEP_BROKER_ID_OVERRIDE",$F$7,"DEEP_PERIOD_OVERRIDE",AO$11)*1,"")))</f>
        <v/>
      </c>
      <c r="AP76" s="17" t="str">
        <f ca="1">IF(ISNA($B76),"",IF($B76="","",IFERROR(_xll.BDP(TICKER,"DEEP_MEASURE_PERIOD_BROKER_VALUE","DEEP_MEASURE_ID_OVERRIDE",$C76,"DEEP_BROKER_ID_OVERRIDE",$F$7,"DEEP_PERIOD_OVERRIDE",AP$11)*1,"")))</f>
        <v/>
      </c>
      <c r="AQ76" s="17" t="str">
        <f ca="1">IF(ISNA($B76),"",IF($B76="","",IFERROR(_xll.BDP(TICKER,"DEEP_MEASURE_PERIOD_BROKER_VALUE","DEEP_MEASURE_ID_OVERRIDE",$C76,"DEEP_BROKER_ID_OVERRIDE",$F$7,"DEEP_PERIOD_OVERRIDE",AQ$11)*1,"")))</f>
        <v/>
      </c>
    </row>
    <row r="77" spans="2:43" x14ac:dyDescent="0.25">
      <c r="B77" t="s">
        <v>12</v>
      </c>
      <c r="C77" s="11">
        <v>527</v>
      </c>
      <c r="H77" t="str">
        <f t="shared" si="2"/>
        <v>Total Revenue</v>
      </c>
      <c r="I77" s="17" t="str">
        <f ca="1">IF(ISNA($B77),"",IF($B77="","",IFERROR(_xll.BDP(TICKER,"DEEP_MEASURE_PERIOD_BROKER_VALUE","DEEP_MEASURE_ID_OVERRIDE",$C77,"DEEP_BROKER_ID_OVERRIDE",$F$7,"DEEP_PERIOD_OVERRIDE",I$11)*1,"")))</f>
        <v/>
      </c>
      <c r="J77" s="17" t="str">
        <f ca="1">IF(ISNA($B77),"",IF($B77="","",IFERROR(_xll.BDP(TICKER,"DEEP_MEASURE_PERIOD_BROKER_VALUE","DEEP_MEASURE_ID_OVERRIDE",$C77,"DEEP_BROKER_ID_OVERRIDE",$F$7,"DEEP_PERIOD_OVERRIDE",J$11)*1,"")))</f>
        <v/>
      </c>
      <c r="K77" s="17" t="str">
        <f ca="1">IF(ISNA($B77),"",IF($B77="","",IFERROR(_xll.BDP(TICKER,"DEEP_MEASURE_PERIOD_BROKER_VALUE","DEEP_MEASURE_ID_OVERRIDE",$C77,"DEEP_BROKER_ID_OVERRIDE",$F$7,"DEEP_PERIOD_OVERRIDE",K$11)*1,"")))</f>
        <v/>
      </c>
      <c r="L77" s="17" t="str">
        <f ca="1">IF(ISNA($B77),"",IF($B77="","",IFERROR(_xll.BDP(TICKER,"DEEP_MEASURE_PERIOD_BROKER_VALUE","DEEP_MEASURE_ID_OVERRIDE",$C77,"DEEP_BROKER_ID_OVERRIDE",$F$7,"DEEP_PERIOD_OVERRIDE",L$11)*1,"")))</f>
        <v/>
      </c>
      <c r="M77" s="17" t="str">
        <f ca="1">IF(ISNA($B77),"",IF($B77="","",IFERROR(_xll.BDP(TICKER,"DEEP_MEASURE_PERIOD_BROKER_VALUE","DEEP_MEASURE_ID_OVERRIDE",$C77,"DEEP_BROKER_ID_OVERRIDE",$F$7,"DEEP_PERIOD_OVERRIDE",M$11)*1,"")))</f>
        <v/>
      </c>
      <c r="N77" s="17" t="str">
        <f ca="1">IF(ISNA($B77),"",IF($B77="","",IFERROR(_xll.BDP(TICKER,"DEEP_MEASURE_PERIOD_BROKER_VALUE","DEEP_MEASURE_ID_OVERRIDE",$C77,"DEEP_BROKER_ID_OVERRIDE",$F$7,"DEEP_PERIOD_OVERRIDE",N$11)*1,"")))</f>
        <v/>
      </c>
      <c r="O77" s="17" t="str">
        <f ca="1">IF(ISNA($B77),"",IF($B77="","",IFERROR(_xll.BDP(TICKER,"DEEP_MEASURE_PERIOD_BROKER_VALUE","DEEP_MEASURE_ID_OVERRIDE",$C77,"DEEP_BROKER_ID_OVERRIDE",$F$7,"DEEP_PERIOD_OVERRIDE",O$11)*1,"")))</f>
        <v/>
      </c>
      <c r="P77" s="17" t="str">
        <f ca="1">IF(ISNA($B77),"",IF($B77="","",IFERROR(_xll.BDP(TICKER,"DEEP_MEASURE_PERIOD_BROKER_VALUE","DEEP_MEASURE_ID_OVERRIDE",$C77,"DEEP_BROKER_ID_OVERRIDE",$F$7,"DEEP_PERIOD_OVERRIDE",P$11)*1,"")))</f>
        <v/>
      </c>
      <c r="Q77" s="17" t="str">
        <f ca="1">IF(ISNA($B77),"",IF($B77="","",IFERROR(_xll.BDP(TICKER,"DEEP_MEASURE_PERIOD_BROKER_VALUE","DEEP_MEASURE_ID_OVERRIDE",$C77,"DEEP_BROKER_ID_OVERRIDE",$F$7,"DEEP_PERIOD_OVERRIDE",Q$11)*1,"")))</f>
        <v/>
      </c>
      <c r="R77" s="17" t="str">
        <f ca="1">IF(ISNA($B77),"",IF($B77="","",IFERROR(_xll.BDP(TICKER,"DEEP_MEASURE_PERIOD_BROKER_VALUE","DEEP_MEASURE_ID_OVERRIDE",$C77,"DEEP_BROKER_ID_OVERRIDE",$F$7,"DEEP_PERIOD_OVERRIDE",R$11)*1,"")))</f>
        <v/>
      </c>
      <c r="S77" s="17" t="str">
        <f ca="1">IF(ISNA($B77),"",IF($B77="","",IFERROR(_xll.BDP(TICKER,"DEEP_MEASURE_PERIOD_BROKER_VALUE","DEEP_MEASURE_ID_OVERRIDE",$C77,"DEEP_BROKER_ID_OVERRIDE",$F$7,"DEEP_PERIOD_OVERRIDE",S$11)*1,"")))</f>
        <v/>
      </c>
      <c r="T77" s="17" t="str">
        <f ca="1">IF(ISNA($B77),"",IF($B77="","",IFERROR(_xll.BDP(TICKER,"DEEP_MEASURE_PERIOD_BROKER_VALUE","DEEP_MEASURE_ID_OVERRIDE",$C77,"DEEP_BROKER_ID_OVERRIDE",$F$7,"DEEP_PERIOD_OVERRIDE",T$11)*1,"")))</f>
        <v/>
      </c>
      <c r="U77" s="17" t="str">
        <f ca="1">IF(ISNA($B77),"",IF($B77="","",IFERROR(_xll.BDP(TICKER,"DEEP_MEASURE_PERIOD_BROKER_VALUE","DEEP_MEASURE_ID_OVERRIDE",$C77,"DEEP_BROKER_ID_OVERRIDE",$F$7,"DEEP_PERIOD_OVERRIDE",U$11)*1,"")))</f>
        <v/>
      </c>
      <c r="V77" s="17" t="str">
        <f ca="1">IF(ISNA($B77),"",IF($B77="","",IFERROR(_xll.BDP(TICKER,"DEEP_MEASURE_PERIOD_BROKER_VALUE","DEEP_MEASURE_ID_OVERRIDE",$C77,"DEEP_BROKER_ID_OVERRIDE",$F$7,"DEEP_PERIOD_OVERRIDE",V$11)*1,"")))</f>
        <v/>
      </c>
      <c r="W77" s="17" t="str">
        <f ca="1">IF(ISNA($B77),"",IF($B77="","",IFERROR(_xll.BDP(TICKER,"DEEP_MEASURE_PERIOD_BROKER_VALUE","DEEP_MEASURE_ID_OVERRIDE",$C77,"DEEP_BROKER_ID_OVERRIDE",$F$7,"DEEP_PERIOD_OVERRIDE",W$11)*1,"")))</f>
        <v/>
      </c>
      <c r="X77" s="17" t="str">
        <f ca="1">IF(ISNA($B77),"",IF($B77="","",IFERROR(_xll.BDP(TICKER,"DEEP_MEASURE_PERIOD_BROKER_VALUE","DEEP_MEASURE_ID_OVERRIDE",$C77,"DEEP_BROKER_ID_OVERRIDE",$F$7,"DEEP_PERIOD_OVERRIDE",X$11)*1,"")))</f>
        <v/>
      </c>
      <c r="Y77" s="17" t="str">
        <f ca="1">IF(ISNA($B77),"",IF($B77="","",IFERROR(_xll.BDP(TICKER,"DEEP_MEASURE_PERIOD_BROKER_VALUE","DEEP_MEASURE_ID_OVERRIDE",$C77,"DEEP_BROKER_ID_OVERRIDE",$F$7,"DEEP_PERIOD_OVERRIDE",Y$11)*1,"")))</f>
        <v/>
      </c>
      <c r="Z77" s="17" t="str">
        <f ca="1">IF(ISNA($B77),"",IF($B77="","",IFERROR(_xll.BDP(TICKER,"DEEP_MEASURE_PERIOD_BROKER_VALUE","DEEP_MEASURE_ID_OVERRIDE",$C77,"DEEP_BROKER_ID_OVERRIDE",$F$7,"DEEP_PERIOD_OVERRIDE",Z$11)*1,"")))</f>
        <v/>
      </c>
      <c r="AA77" s="17" t="str">
        <f ca="1">IF(ISNA($B77),"",IF($B77="","",IFERROR(_xll.BDP(TICKER,"DEEP_MEASURE_PERIOD_BROKER_VALUE","DEEP_MEASURE_ID_OVERRIDE",$C77,"DEEP_BROKER_ID_OVERRIDE",$F$7,"DEEP_PERIOD_OVERRIDE",AA$11)*1,"")))</f>
        <v/>
      </c>
      <c r="AB77" s="17" t="str">
        <f ca="1">IF(ISNA($B77),"",IF($B77="","",IFERROR(_xll.BDP(TICKER,"DEEP_MEASURE_PERIOD_BROKER_VALUE","DEEP_MEASURE_ID_OVERRIDE",$C77,"DEEP_BROKER_ID_OVERRIDE",$F$7,"DEEP_PERIOD_OVERRIDE",AB$11)*1,"")))</f>
        <v/>
      </c>
      <c r="AC77" s="17" t="str">
        <f ca="1">IF(ISNA($B77),"",IF($B77="","",IFERROR(_xll.BDP(TICKER,"DEEP_MEASURE_PERIOD_BROKER_VALUE","DEEP_MEASURE_ID_OVERRIDE",$C77,"DEEP_BROKER_ID_OVERRIDE",$F$7,"DEEP_PERIOD_OVERRIDE",AC$11)*1,"")))</f>
        <v/>
      </c>
      <c r="AD77" s="17" t="str">
        <f ca="1">IF(ISNA($B77),"",IF($B77="","",IFERROR(_xll.BDP(TICKER,"DEEP_MEASURE_PERIOD_BROKER_VALUE","DEEP_MEASURE_ID_OVERRIDE",$C77,"DEEP_BROKER_ID_OVERRIDE",$F$7,"DEEP_PERIOD_OVERRIDE",AD$11)*1,"")))</f>
        <v/>
      </c>
      <c r="AE77" s="17" t="str">
        <f ca="1">IF(ISNA($B77),"",IF($B77="","",IFERROR(_xll.BDP(TICKER,"DEEP_MEASURE_PERIOD_BROKER_VALUE","DEEP_MEASURE_ID_OVERRIDE",$C77,"DEEP_BROKER_ID_OVERRIDE",$F$7,"DEEP_PERIOD_OVERRIDE",AE$11)*1,"")))</f>
        <v/>
      </c>
      <c r="AF77" s="17" t="str">
        <f ca="1">IF(ISNA($B77),"",IF($B77="","",IFERROR(_xll.BDP(TICKER,"DEEP_MEASURE_PERIOD_BROKER_VALUE","DEEP_MEASURE_ID_OVERRIDE",$C77,"DEEP_BROKER_ID_OVERRIDE",$F$7,"DEEP_PERIOD_OVERRIDE",AF$11)*1,"")))</f>
        <v/>
      </c>
      <c r="AG77" s="17" t="str">
        <f ca="1">IF(ISNA($B77),"",IF($B77="","",IFERROR(_xll.BDP(TICKER,"DEEP_MEASURE_PERIOD_BROKER_VALUE","DEEP_MEASURE_ID_OVERRIDE",$C77,"DEEP_BROKER_ID_OVERRIDE",$F$7,"DEEP_PERIOD_OVERRIDE",AG$11)*1,"")))</f>
        <v/>
      </c>
      <c r="AH77" s="17" t="str">
        <f ca="1">IF(ISNA($B77),"",IF($B77="","",IFERROR(_xll.BDP(TICKER,"DEEP_MEASURE_PERIOD_BROKER_VALUE","DEEP_MEASURE_ID_OVERRIDE",$C77,"DEEP_BROKER_ID_OVERRIDE",$F$7,"DEEP_PERIOD_OVERRIDE",AH$11)*1,"")))</f>
        <v/>
      </c>
      <c r="AI77" s="17" t="str">
        <f ca="1">IF(ISNA($B77),"",IF($B77="","",IFERROR(_xll.BDP(TICKER,"DEEP_MEASURE_PERIOD_BROKER_VALUE","DEEP_MEASURE_ID_OVERRIDE",$C77,"DEEP_BROKER_ID_OVERRIDE",$F$7,"DEEP_PERIOD_OVERRIDE",AI$11)*1,"")))</f>
        <v/>
      </c>
      <c r="AJ77" s="17" t="str">
        <f ca="1">IF(ISNA($B77),"",IF($B77="","",IFERROR(_xll.BDP(TICKER,"DEEP_MEASURE_PERIOD_BROKER_VALUE","DEEP_MEASURE_ID_OVERRIDE",$C77,"DEEP_BROKER_ID_OVERRIDE",$F$7,"DEEP_PERIOD_OVERRIDE",AJ$11)*1,"")))</f>
        <v/>
      </c>
      <c r="AK77" s="17" t="str">
        <f ca="1">IF(ISNA($B77),"",IF($B77="","",IFERROR(_xll.BDP(TICKER,"DEEP_MEASURE_PERIOD_BROKER_VALUE","DEEP_MEASURE_ID_OVERRIDE",$C77,"DEEP_BROKER_ID_OVERRIDE",$F$7,"DEEP_PERIOD_OVERRIDE",AK$11)*1,"")))</f>
        <v/>
      </c>
      <c r="AL77" s="17" t="str">
        <f ca="1">IF(ISNA($B77),"",IF($B77="","",IFERROR(_xll.BDP(TICKER,"DEEP_MEASURE_PERIOD_BROKER_VALUE","DEEP_MEASURE_ID_OVERRIDE",$C77,"DEEP_BROKER_ID_OVERRIDE",$F$7,"DEEP_PERIOD_OVERRIDE",AL$11)*1,"")))</f>
        <v/>
      </c>
      <c r="AM77" s="17" t="str">
        <f ca="1">IF(ISNA($B77),"",IF($B77="","",IFERROR(_xll.BDP(TICKER,"DEEP_MEASURE_PERIOD_BROKER_VALUE","DEEP_MEASURE_ID_OVERRIDE",$C77,"DEEP_BROKER_ID_OVERRIDE",$F$7,"DEEP_PERIOD_OVERRIDE",AM$11)*1,"")))</f>
        <v/>
      </c>
      <c r="AN77" s="17" t="str">
        <f ca="1">IF(ISNA($B77),"",IF($B77="","",IFERROR(_xll.BDP(TICKER,"DEEP_MEASURE_PERIOD_BROKER_VALUE","DEEP_MEASURE_ID_OVERRIDE",$C77,"DEEP_BROKER_ID_OVERRIDE",$F$7,"DEEP_PERIOD_OVERRIDE",AN$11)*1,"")))</f>
        <v/>
      </c>
      <c r="AO77" s="17" t="str">
        <f ca="1">IF(ISNA($B77),"",IF($B77="","",IFERROR(_xll.BDP(TICKER,"DEEP_MEASURE_PERIOD_BROKER_VALUE","DEEP_MEASURE_ID_OVERRIDE",$C77,"DEEP_BROKER_ID_OVERRIDE",$F$7,"DEEP_PERIOD_OVERRIDE",AO$11)*1,"")))</f>
        <v/>
      </c>
      <c r="AP77" s="17" t="str">
        <f ca="1">IF(ISNA($B77),"",IF($B77="","",IFERROR(_xll.BDP(TICKER,"DEEP_MEASURE_PERIOD_BROKER_VALUE","DEEP_MEASURE_ID_OVERRIDE",$C77,"DEEP_BROKER_ID_OVERRIDE",$F$7,"DEEP_PERIOD_OVERRIDE",AP$11)*1,"")))</f>
        <v/>
      </c>
      <c r="AQ77" s="17" t="str">
        <f ca="1">IF(ISNA($B77),"",IF($B77="","",IFERROR(_xll.BDP(TICKER,"DEEP_MEASURE_PERIOD_BROKER_VALUE","DEEP_MEASURE_ID_OVERRIDE",$C77,"DEEP_BROKER_ID_OVERRIDE",$F$7,"DEEP_PERIOD_OVERRIDE",AQ$11)*1,"")))</f>
        <v/>
      </c>
    </row>
    <row r="78" spans="2:43" x14ac:dyDescent="0.25">
      <c r="B78" t="s">
        <v>126</v>
      </c>
      <c r="C78" s="11">
        <v>104</v>
      </c>
      <c r="H78" t="str">
        <f t="shared" si="2"/>
        <v>Total Revenue &gt; YoY Growth (%)</v>
      </c>
      <c r="I78" s="17" t="str">
        <f ca="1">IF(ISNA($B78),"",IF($B78="","",IFERROR(_xll.BDP(TICKER,"DEEP_MEASURE_PERIOD_BROKER_VALUE","DEEP_MEASURE_ID_OVERRIDE",$C78,"DEEP_BROKER_ID_OVERRIDE",$F$7,"DEEP_PERIOD_OVERRIDE",I$11)*1,"")))</f>
        <v/>
      </c>
      <c r="J78" s="17" t="str">
        <f ca="1">IF(ISNA($B78),"",IF($B78="","",IFERROR(_xll.BDP(TICKER,"DEEP_MEASURE_PERIOD_BROKER_VALUE","DEEP_MEASURE_ID_OVERRIDE",$C78,"DEEP_BROKER_ID_OVERRIDE",$F$7,"DEEP_PERIOD_OVERRIDE",J$11)*1,"")))</f>
        <v/>
      </c>
      <c r="K78" s="17" t="str">
        <f ca="1">IF(ISNA($B78),"",IF($B78="","",IFERROR(_xll.BDP(TICKER,"DEEP_MEASURE_PERIOD_BROKER_VALUE","DEEP_MEASURE_ID_OVERRIDE",$C78,"DEEP_BROKER_ID_OVERRIDE",$F$7,"DEEP_PERIOD_OVERRIDE",K$11)*1,"")))</f>
        <v/>
      </c>
      <c r="L78" s="17" t="str">
        <f ca="1">IF(ISNA($B78),"",IF($B78="","",IFERROR(_xll.BDP(TICKER,"DEEP_MEASURE_PERIOD_BROKER_VALUE","DEEP_MEASURE_ID_OVERRIDE",$C78,"DEEP_BROKER_ID_OVERRIDE",$F$7,"DEEP_PERIOD_OVERRIDE",L$11)*1,"")))</f>
        <v/>
      </c>
      <c r="M78" s="17" t="str">
        <f ca="1">IF(ISNA($B78),"",IF($B78="","",IFERROR(_xll.BDP(TICKER,"DEEP_MEASURE_PERIOD_BROKER_VALUE","DEEP_MEASURE_ID_OVERRIDE",$C78,"DEEP_BROKER_ID_OVERRIDE",$F$7,"DEEP_PERIOD_OVERRIDE",M$11)*1,"")))</f>
        <v/>
      </c>
      <c r="N78" s="17" t="str">
        <f ca="1">IF(ISNA($B78),"",IF($B78="","",IFERROR(_xll.BDP(TICKER,"DEEP_MEASURE_PERIOD_BROKER_VALUE","DEEP_MEASURE_ID_OVERRIDE",$C78,"DEEP_BROKER_ID_OVERRIDE",$F$7,"DEEP_PERIOD_OVERRIDE",N$11)*1,"")))</f>
        <v/>
      </c>
      <c r="O78" s="17" t="str">
        <f ca="1">IF(ISNA($B78),"",IF($B78="","",IFERROR(_xll.BDP(TICKER,"DEEP_MEASURE_PERIOD_BROKER_VALUE","DEEP_MEASURE_ID_OVERRIDE",$C78,"DEEP_BROKER_ID_OVERRIDE",$F$7,"DEEP_PERIOD_OVERRIDE",O$11)*1,"")))</f>
        <v/>
      </c>
      <c r="P78" s="17" t="str">
        <f ca="1">IF(ISNA($B78),"",IF($B78="","",IFERROR(_xll.BDP(TICKER,"DEEP_MEASURE_PERIOD_BROKER_VALUE","DEEP_MEASURE_ID_OVERRIDE",$C78,"DEEP_BROKER_ID_OVERRIDE",$F$7,"DEEP_PERIOD_OVERRIDE",P$11)*1,"")))</f>
        <v/>
      </c>
      <c r="Q78" s="17" t="str">
        <f ca="1">IF(ISNA($B78),"",IF($B78="","",IFERROR(_xll.BDP(TICKER,"DEEP_MEASURE_PERIOD_BROKER_VALUE","DEEP_MEASURE_ID_OVERRIDE",$C78,"DEEP_BROKER_ID_OVERRIDE",$F$7,"DEEP_PERIOD_OVERRIDE",Q$11)*1,"")))</f>
        <v/>
      </c>
      <c r="R78" s="17" t="str">
        <f ca="1">IF(ISNA($B78),"",IF($B78="","",IFERROR(_xll.BDP(TICKER,"DEEP_MEASURE_PERIOD_BROKER_VALUE","DEEP_MEASURE_ID_OVERRIDE",$C78,"DEEP_BROKER_ID_OVERRIDE",$F$7,"DEEP_PERIOD_OVERRIDE",R$11)*1,"")))</f>
        <v/>
      </c>
      <c r="S78" s="17" t="str">
        <f ca="1">IF(ISNA($B78),"",IF($B78="","",IFERROR(_xll.BDP(TICKER,"DEEP_MEASURE_PERIOD_BROKER_VALUE","DEEP_MEASURE_ID_OVERRIDE",$C78,"DEEP_BROKER_ID_OVERRIDE",$F$7,"DEEP_PERIOD_OVERRIDE",S$11)*1,"")))</f>
        <v/>
      </c>
      <c r="T78" s="17" t="str">
        <f ca="1">IF(ISNA($B78),"",IF($B78="","",IFERROR(_xll.BDP(TICKER,"DEEP_MEASURE_PERIOD_BROKER_VALUE","DEEP_MEASURE_ID_OVERRIDE",$C78,"DEEP_BROKER_ID_OVERRIDE",$F$7,"DEEP_PERIOD_OVERRIDE",T$11)*1,"")))</f>
        <v/>
      </c>
      <c r="U78" s="17" t="str">
        <f ca="1">IF(ISNA($B78),"",IF($B78="","",IFERROR(_xll.BDP(TICKER,"DEEP_MEASURE_PERIOD_BROKER_VALUE","DEEP_MEASURE_ID_OVERRIDE",$C78,"DEEP_BROKER_ID_OVERRIDE",$F$7,"DEEP_PERIOD_OVERRIDE",U$11)*1,"")))</f>
        <v/>
      </c>
      <c r="V78" s="17" t="str">
        <f ca="1">IF(ISNA($B78),"",IF($B78="","",IFERROR(_xll.BDP(TICKER,"DEEP_MEASURE_PERIOD_BROKER_VALUE","DEEP_MEASURE_ID_OVERRIDE",$C78,"DEEP_BROKER_ID_OVERRIDE",$F$7,"DEEP_PERIOD_OVERRIDE",V$11)*1,"")))</f>
        <v/>
      </c>
      <c r="W78" s="17" t="str">
        <f ca="1">IF(ISNA($B78),"",IF($B78="","",IFERROR(_xll.BDP(TICKER,"DEEP_MEASURE_PERIOD_BROKER_VALUE","DEEP_MEASURE_ID_OVERRIDE",$C78,"DEEP_BROKER_ID_OVERRIDE",$F$7,"DEEP_PERIOD_OVERRIDE",W$11)*1,"")))</f>
        <v/>
      </c>
      <c r="X78" s="17" t="str">
        <f ca="1">IF(ISNA($B78),"",IF($B78="","",IFERROR(_xll.BDP(TICKER,"DEEP_MEASURE_PERIOD_BROKER_VALUE","DEEP_MEASURE_ID_OVERRIDE",$C78,"DEEP_BROKER_ID_OVERRIDE",$F$7,"DEEP_PERIOD_OVERRIDE",X$11)*1,"")))</f>
        <v/>
      </c>
      <c r="Y78" s="17" t="str">
        <f ca="1">IF(ISNA($B78),"",IF($B78="","",IFERROR(_xll.BDP(TICKER,"DEEP_MEASURE_PERIOD_BROKER_VALUE","DEEP_MEASURE_ID_OVERRIDE",$C78,"DEEP_BROKER_ID_OVERRIDE",$F$7,"DEEP_PERIOD_OVERRIDE",Y$11)*1,"")))</f>
        <v/>
      </c>
      <c r="Z78" s="17" t="str">
        <f ca="1">IF(ISNA($B78),"",IF($B78="","",IFERROR(_xll.BDP(TICKER,"DEEP_MEASURE_PERIOD_BROKER_VALUE","DEEP_MEASURE_ID_OVERRIDE",$C78,"DEEP_BROKER_ID_OVERRIDE",$F$7,"DEEP_PERIOD_OVERRIDE",Z$11)*1,"")))</f>
        <v/>
      </c>
      <c r="AA78" s="17" t="str">
        <f ca="1">IF(ISNA($B78),"",IF($B78="","",IFERROR(_xll.BDP(TICKER,"DEEP_MEASURE_PERIOD_BROKER_VALUE","DEEP_MEASURE_ID_OVERRIDE",$C78,"DEEP_BROKER_ID_OVERRIDE",$F$7,"DEEP_PERIOD_OVERRIDE",AA$11)*1,"")))</f>
        <v/>
      </c>
      <c r="AB78" s="17" t="str">
        <f ca="1">IF(ISNA($B78),"",IF($B78="","",IFERROR(_xll.BDP(TICKER,"DEEP_MEASURE_PERIOD_BROKER_VALUE","DEEP_MEASURE_ID_OVERRIDE",$C78,"DEEP_BROKER_ID_OVERRIDE",$F$7,"DEEP_PERIOD_OVERRIDE",AB$11)*1,"")))</f>
        <v/>
      </c>
      <c r="AC78" s="17" t="str">
        <f ca="1">IF(ISNA($B78),"",IF($B78="","",IFERROR(_xll.BDP(TICKER,"DEEP_MEASURE_PERIOD_BROKER_VALUE","DEEP_MEASURE_ID_OVERRIDE",$C78,"DEEP_BROKER_ID_OVERRIDE",$F$7,"DEEP_PERIOD_OVERRIDE",AC$11)*1,"")))</f>
        <v/>
      </c>
      <c r="AD78" s="17" t="str">
        <f ca="1">IF(ISNA($B78),"",IF($B78="","",IFERROR(_xll.BDP(TICKER,"DEEP_MEASURE_PERIOD_BROKER_VALUE","DEEP_MEASURE_ID_OVERRIDE",$C78,"DEEP_BROKER_ID_OVERRIDE",$F$7,"DEEP_PERIOD_OVERRIDE",AD$11)*1,"")))</f>
        <v/>
      </c>
      <c r="AE78" s="17" t="str">
        <f ca="1">IF(ISNA($B78),"",IF($B78="","",IFERROR(_xll.BDP(TICKER,"DEEP_MEASURE_PERIOD_BROKER_VALUE","DEEP_MEASURE_ID_OVERRIDE",$C78,"DEEP_BROKER_ID_OVERRIDE",$F$7,"DEEP_PERIOD_OVERRIDE",AE$11)*1,"")))</f>
        <v/>
      </c>
      <c r="AF78" s="17" t="str">
        <f ca="1">IF(ISNA($B78),"",IF($B78="","",IFERROR(_xll.BDP(TICKER,"DEEP_MEASURE_PERIOD_BROKER_VALUE","DEEP_MEASURE_ID_OVERRIDE",$C78,"DEEP_BROKER_ID_OVERRIDE",$F$7,"DEEP_PERIOD_OVERRIDE",AF$11)*1,"")))</f>
        <v/>
      </c>
      <c r="AG78" s="17" t="str">
        <f ca="1">IF(ISNA($B78),"",IF($B78="","",IFERROR(_xll.BDP(TICKER,"DEEP_MEASURE_PERIOD_BROKER_VALUE","DEEP_MEASURE_ID_OVERRIDE",$C78,"DEEP_BROKER_ID_OVERRIDE",$F$7,"DEEP_PERIOD_OVERRIDE",AG$11)*1,"")))</f>
        <v/>
      </c>
      <c r="AH78" s="17" t="str">
        <f ca="1">IF(ISNA($B78),"",IF($B78="","",IFERROR(_xll.BDP(TICKER,"DEEP_MEASURE_PERIOD_BROKER_VALUE","DEEP_MEASURE_ID_OVERRIDE",$C78,"DEEP_BROKER_ID_OVERRIDE",$F$7,"DEEP_PERIOD_OVERRIDE",AH$11)*1,"")))</f>
        <v/>
      </c>
      <c r="AI78" s="17" t="str">
        <f ca="1">IF(ISNA($B78),"",IF($B78="","",IFERROR(_xll.BDP(TICKER,"DEEP_MEASURE_PERIOD_BROKER_VALUE","DEEP_MEASURE_ID_OVERRIDE",$C78,"DEEP_BROKER_ID_OVERRIDE",$F$7,"DEEP_PERIOD_OVERRIDE",AI$11)*1,"")))</f>
        <v/>
      </c>
      <c r="AJ78" s="17" t="str">
        <f ca="1">IF(ISNA($B78),"",IF($B78="","",IFERROR(_xll.BDP(TICKER,"DEEP_MEASURE_PERIOD_BROKER_VALUE","DEEP_MEASURE_ID_OVERRIDE",$C78,"DEEP_BROKER_ID_OVERRIDE",$F$7,"DEEP_PERIOD_OVERRIDE",AJ$11)*1,"")))</f>
        <v/>
      </c>
      <c r="AK78" s="17" t="str">
        <f ca="1">IF(ISNA($B78),"",IF($B78="","",IFERROR(_xll.BDP(TICKER,"DEEP_MEASURE_PERIOD_BROKER_VALUE","DEEP_MEASURE_ID_OVERRIDE",$C78,"DEEP_BROKER_ID_OVERRIDE",$F$7,"DEEP_PERIOD_OVERRIDE",AK$11)*1,"")))</f>
        <v/>
      </c>
      <c r="AL78" s="17" t="str">
        <f ca="1">IF(ISNA($B78),"",IF($B78="","",IFERROR(_xll.BDP(TICKER,"DEEP_MEASURE_PERIOD_BROKER_VALUE","DEEP_MEASURE_ID_OVERRIDE",$C78,"DEEP_BROKER_ID_OVERRIDE",$F$7,"DEEP_PERIOD_OVERRIDE",AL$11)*1,"")))</f>
        <v/>
      </c>
      <c r="AM78" s="17" t="str">
        <f ca="1">IF(ISNA($B78),"",IF($B78="","",IFERROR(_xll.BDP(TICKER,"DEEP_MEASURE_PERIOD_BROKER_VALUE","DEEP_MEASURE_ID_OVERRIDE",$C78,"DEEP_BROKER_ID_OVERRIDE",$F$7,"DEEP_PERIOD_OVERRIDE",AM$11)*1,"")))</f>
        <v/>
      </c>
      <c r="AN78" s="17" t="str">
        <f ca="1">IF(ISNA($B78),"",IF($B78="","",IFERROR(_xll.BDP(TICKER,"DEEP_MEASURE_PERIOD_BROKER_VALUE","DEEP_MEASURE_ID_OVERRIDE",$C78,"DEEP_BROKER_ID_OVERRIDE",$F$7,"DEEP_PERIOD_OVERRIDE",AN$11)*1,"")))</f>
        <v/>
      </c>
      <c r="AO78" s="17" t="str">
        <f ca="1">IF(ISNA($B78),"",IF($B78="","",IFERROR(_xll.BDP(TICKER,"DEEP_MEASURE_PERIOD_BROKER_VALUE","DEEP_MEASURE_ID_OVERRIDE",$C78,"DEEP_BROKER_ID_OVERRIDE",$F$7,"DEEP_PERIOD_OVERRIDE",AO$11)*1,"")))</f>
        <v/>
      </c>
      <c r="AP78" s="17" t="str">
        <f ca="1">IF(ISNA($B78),"",IF($B78="","",IFERROR(_xll.BDP(TICKER,"DEEP_MEASURE_PERIOD_BROKER_VALUE","DEEP_MEASURE_ID_OVERRIDE",$C78,"DEEP_BROKER_ID_OVERRIDE",$F$7,"DEEP_PERIOD_OVERRIDE",AP$11)*1,"")))</f>
        <v/>
      </c>
      <c r="AQ78" s="17" t="str">
        <f ca="1">IF(ISNA($B78),"",IF($B78="","",IFERROR(_xll.BDP(TICKER,"DEEP_MEASURE_PERIOD_BROKER_VALUE","DEEP_MEASURE_ID_OVERRIDE",$C78,"DEEP_BROKER_ID_OVERRIDE",$F$7,"DEEP_PERIOD_OVERRIDE",AQ$11)*1,"")))</f>
        <v/>
      </c>
    </row>
    <row r="79" spans="2:43" x14ac:dyDescent="0.25">
      <c r="B79" t="s">
        <v>127</v>
      </c>
      <c r="C79" s="11">
        <v>637</v>
      </c>
      <c r="H79" t="str">
        <f t="shared" si="2"/>
        <v>Total Revenue &gt; QoQ Growth (%)</v>
      </c>
      <c r="I79" s="17" t="str">
        <f ca="1">IF(ISNA($B79),"",IF($B79="","",IFERROR(_xll.BDP(TICKER,"DEEP_MEASURE_PERIOD_BROKER_VALUE","DEEP_MEASURE_ID_OVERRIDE",$C79,"DEEP_BROKER_ID_OVERRIDE",$F$7,"DEEP_PERIOD_OVERRIDE",I$11)*1,"")))</f>
        <v/>
      </c>
      <c r="J79" s="17" t="str">
        <f ca="1">IF(ISNA($B79),"",IF($B79="","",IFERROR(_xll.BDP(TICKER,"DEEP_MEASURE_PERIOD_BROKER_VALUE","DEEP_MEASURE_ID_OVERRIDE",$C79,"DEEP_BROKER_ID_OVERRIDE",$F$7,"DEEP_PERIOD_OVERRIDE",J$11)*1,"")))</f>
        <v/>
      </c>
      <c r="K79" s="17" t="str">
        <f ca="1">IF(ISNA($B79),"",IF($B79="","",IFERROR(_xll.BDP(TICKER,"DEEP_MEASURE_PERIOD_BROKER_VALUE","DEEP_MEASURE_ID_OVERRIDE",$C79,"DEEP_BROKER_ID_OVERRIDE",$F$7,"DEEP_PERIOD_OVERRIDE",K$11)*1,"")))</f>
        <v/>
      </c>
      <c r="L79" s="17" t="str">
        <f ca="1">IF(ISNA($B79),"",IF($B79="","",IFERROR(_xll.BDP(TICKER,"DEEP_MEASURE_PERIOD_BROKER_VALUE","DEEP_MEASURE_ID_OVERRIDE",$C79,"DEEP_BROKER_ID_OVERRIDE",$F$7,"DEEP_PERIOD_OVERRIDE",L$11)*1,"")))</f>
        <v/>
      </c>
      <c r="M79" s="17" t="str">
        <f ca="1">IF(ISNA($B79),"",IF($B79="","",IFERROR(_xll.BDP(TICKER,"DEEP_MEASURE_PERIOD_BROKER_VALUE","DEEP_MEASURE_ID_OVERRIDE",$C79,"DEEP_BROKER_ID_OVERRIDE",$F$7,"DEEP_PERIOD_OVERRIDE",M$11)*1,"")))</f>
        <v/>
      </c>
      <c r="N79" s="17" t="str">
        <f ca="1">IF(ISNA($B79),"",IF($B79="","",IFERROR(_xll.BDP(TICKER,"DEEP_MEASURE_PERIOD_BROKER_VALUE","DEEP_MEASURE_ID_OVERRIDE",$C79,"DEEP_BROKER_ID_OVERRIDE",$F$7,"DEEP_PERIOD_OVERRIDE",N$11)*1,"")))</f>
        <v/>
      </c>
      <c r="O79" s="17" t="str">
        <f ca="1">IF(ISNA($B79),"",IF($B79="","",IFERROR(_xll.BDP(TICKER,"DEEP_MEASURE_PERIOD_BROKER_VALUE","DEEP_MEASURE_ID_OVERRIDE",$C79,"DEEP_BROKER_ID_OVERRIDE",$F$7,"DEEP_PERIOD_OVERRIDE",O$11)*1,"")))</f>
        <v/>
      </c>
      <c r="P79" s="17" t="str">
        <f ca="1">IF(ISNA($B79),"",IF($B79="","",IFERROR(_xll.BDP(TICKER,"DEEP_MEASURE_PERIOD_BROKER_VALUE","DEEP_MEASURE_ID_OVERRIDE",$C79,"DEEP_BROKER_ID_OVERRIDE",$F$7,"DEEP_PERIOD_OVERRIDE",P$11)*1,"")))</f>
        <v/>
      </c>
      <c r="Q79" s="17" t="str">
        <f ca="1">IF(ISNA($B79),"",IF($B79="","",IFERROR(_xll.BDP(TICKER,"DEEP_MEASURE_PERIOD_BROKER_VALUE","DEEP_MEASURE_ID_OVERRIDE",$C79,"DEEP_BROKER_ID_OVERRIDE",$F$7,"DEEP_PERIOD_OVERRIDE",Q$11)*1,"")))</f>
        <v/>
      </c>
      <c r="R79" s="17" t="str">
        <f ca="1">IF(ISNA($B79),"",IF($B79="","",IFERROR(_xll.BDP(TICKER,"DEEP_MEASURE_PERIOD_BROKER_VALUE","DEEP_MEASURE_ID_OVERRIDE",$C79,"DEEP_BROKER_ID_OVERRIDE",$F$7,"DEEP_PERIOD_OVERRIDE",R$11)*1,"")))</f>
        <v/>
      </c>
      <c r="S79" s="17" t="str">
        <f ca="1">IF(ISNA($B79),"",IF($B79="","",IFERROR(_xll.BDP(TICKER,"DEEP_MEASURE_PERIOD_BROKER_VALUE","DEEP_MEASURE_ID_OVERRIDE",$C79,"DEEP_BROKER_ID_OVERRIDE",$F$7,"DEEP_PERIOD_OVERRIDE",S$11)*1,"")))</f>
        <v/>
      </c>
      <c r="T79" s="17" t="str">
        <f ca="1">IF(ISNA($B79),"",IF($B79="","",IFERROR(_xll.BDP(TICKER,"DEEP_MEASURE_PERIOD_BROKER_VALUE","DEEP_MEASURE_ID_OVERRIDE",$C79,"DEEP_BROKER_ID_OVERRIDE",$F$7,"DEEP_PERIOD_OVERRIDE",T$11)*1,"")))</f>
        <v/>
      </c>
      <c r="U79" s="17" t="str">
        <f ca="1">IF(ISNA($B79),"",IF($B79="","",IFERROR(_xll.BDP(TICKER,"DEEP_MEASURE_PERIOD_BROKER_VALUE","DEEP_MEASURE_ID_OVERRIDE",$C79,"DEEP_BROKER_ID_OVERRIDE",$F$7,"DEEP_PERIOD_OVERRIDE",U$11)*1,"")))</f>
        <v/>
      </c>
      <c r="V79" s="17" t="str">
        <f ca="1">IF(ISNA($B79),"",IF($B79="","",IFERROR(_xll.BDP(TICKER,"DEEP_MEASURE_PERIOD_BROKER_VALUE","DEEP_MEASURE_ID_OVERRIDE",$C79,"DEEP_BROKER_ID_OVERRIDE",$F$7,"DEEP_PERIOD_OVERRIDE",V$11)*1,"")))</f>
        <v/>
      </c>
      <c r="W79" s="17" t="str">
        <f ca="1">IF(ISNA($B79),"",IF($B79="","",IFERROR(_xll.BDP(TICKER,"DEEP_MEASURE_PERIOD_BROKER_VALUE","DEEP_MEASURE_ID_OVERRIDE",$C79,"DEEP_BROKER_ID_OVERRIDE",$F$7,"DEEP_PERIOD_OVERRIDE",W$11)*1,"")))</f>
        <v/>
      </c>
      <c r="X79" s="17" t="str">
        <f ca="1">IF(ISNA($B79),"",IF($B79="","",IFERROR(_xll.BDP(TICKER,"DEEP_MEASURE_PERIOD_BROKER_VALUE","DEEP_MEASURE_ID_OVERRIDE",$C79,"DEEP_BROKER_ID_OVERRIDE",$F$7,"DEEP_PERIOD_OVERRIDE",X$11)*1,"")))</f>
        <v/>
      </c>
      <c r="Y79" s="17" t="str">
        <f ca="1">IF(ISNA($B79),"",IF($B79="","",IFERROR(_xll.BDP(TICKER,"DEEP_MEASURE_PERIOD_BROKER_VALUE","DEEP_MEASURE_ID_OVERRIDE",$C79,"DEEP_BROKER_ID_OVERRIDE",$F$7,"DEEP_PERIOD_OVERRIDE",Y$11)*1,"")))</f>
        <v/>
      </c>
      <c r="Z79" s="17" t="str">
        <f ca="1">IF(ISNA($B79),"",IF($B79="","",IFERROR(_xll.BDP(TICKER,"DEEP_MEASURE_PERIOD_BROKER_VALUE","DEEP_MEASURE_ID_OVERRIDE",$C79,"DEEP_BROKER_ID_OVERRIDE",$F$7,"DEEP_PERIOD_OVERRIDE",Z$11)*1,"")))</f>
        <v/>
      </c>
      <c r="AA79" s="17" t="str">
        <f ca="1">IF(ISNA($B79),"",IF($B79="","",IFERROR(_xll.BDP(TICKER,"DEEP_MEASURE_PERIOD_BROKER_VALUE","DEEP_MEASURE_ID_OVERRIDE",$C79,"DEEP_BROKER_ID_OVERRIDE",$F$7,"DEEP_PERIOD_OVERRIDE",AA$11)*1,"")))</f>
        <v/>
      </c>
      <c r="AB79" s="17" t="str">
        <f ca="1">IF(ISNA($B79),"",IF($B79="","",IFERROR(_xll.BDP(TICKER,"DEEP_MEASURE_PERIOD_BROKER_VALUE","DEEP_MEASURE_ID_OVERRIDE",$C79,"DEEP_BROKER_ID_OVERRIDE",$F$7,"DEEP_PERIOD_OVERRIDE",AB$11)*1,"")))</f>
        <v/>
      </c>
      <c r="AC79" s="17" t="str">
        <f ca="1">IF(ISNA($B79),"",IF($B79="","",IFERROR(_xll.BDP(TICKER,"DEEP_MEASURE_PERIOD_BROKER_VALUE","DEEP_MEASURE_ID_OVERRIDE",$C79,"DEEP_BROKER_ID_OVERRIDE",$F$7,"DEEP_PERIOD_OVERRIDE",AC$11)*1,"")))</f>
        <v/>
      </c>
      <c r="AD79" s="17" t="str">
        <f ca="1">IF(ISNA($B79),"",IF($B79="","",IFERROR(_xll.BDP(TICKER,"DEEP_MEASURE_PERIOD_BROKER_VALUE","DEEP_MEASURE_ID_OVERRIDE",$C79,"DEEP_BROKER_ID_OVERRIDE",$F$7,"DEEP_PERIOD_OVERRIDE",AD$11)*1,"")))</f>
        <v/>
      </c>
      <c r="AE79" s="17" t="str">
        <f ca="1">IF(ISNA($B79),"",IF($B79="","",IFERROR(_xll.BDP(TICKER,"DEEP_MEASURE_PERIOD_BROKER_VALUE","DEEP_MEASURE_ID_OVERRIDE",$C79,"DEEP_BROKER_ID_OVERRIDE",$F$7,"DEEP_PERIOD_OVERRIDE",AE$11)*1,"")))</f>
        <v/>
      </c>
      <c r="AF79" s="17" t="str">
        <f ca="1">IF(ISNA($B79),"",IF($B79="","",IFERROR(_xll.BDP(TICKER,"DEEP_MEASURE_PERIOD_BROKER_VALUE","DEEP_MEASURE_ID_OVERRIDE",$C79,"DEEP_BROKER_ID_OVERRIDE",$F$7,"DEEP_PERIOD_OVERRIDE",AF$11)*1,"")))</f>
        <v/>
      </c>
      <c r="AG79" s="17" t="str">
        <f ca="1">IF(ISNA($B79),"",IF($B79="","",IFERROR(_xll.BDP(TICKER,"DEEP_MEASURE_PERIOD_BROKER_VALUE","DEEP_MEASURE_ID_OVERRIDE",$C79,"DEEP_BROKER_ID_OVERRIDE",$F$7,"DEEP_PERIOD_OVERRIDE",AG$11)*1,"")))</f>
        <v/>
      </c>
      <c r="AH79" s="17" t="str">
        <f ca="1">IF(ISNA($B79),"",IF($B79="","",IFERROR(_xll.BDP(TICKER,"DEEP_MEASURE_PERIOD_BROKER_VALUE","DEEP_MEASURE_ID_OVERRIDE",$C79,"DEEP_BROKER_ID_OVERRIDE",$F$7,"DEEP_PERIOD_OVERRIDE",AH$11)*1,"")))</f>
        <v/>
      </c>
      <c r="AI79" s="17" t="str">
        <f ca="1">IF(ISNA($B79),"",IF($B79="","",IFERROR(_xll.BDP(TICKER,"DEEP_MEASURE_PERIOD_BROKER_VALUE","DEEP_MEASURE_ID_OVERRIDE",$C79,"DEEP_BROKER_ID_OVERRIDE",$F$7,"DEEP_PERIOD_OVERRIDE",AI$11)*1,"")))</f>
        <v/>
      </c>
      <c r="AJ79" s="17" t="str">
        <f ca="1">IF(ISNA($B79),"",IF($B79="","",IFERROR(_xll.BDP(TICKER,"DEEP_MEASURE_PERIOD_BROKER_VALUE","DEEP_MEASURE_ID_OVERRIDE",$C79,"DEEP_BROKER_ID_OVERRIDE",$F$7,"DEEP_PERIOD_OVERRIDE",AJ$11)*1,"")))</f>
        <v/>
      </c>
      <c r="AK79" s="17" t="str">
        <f ca="1">IF(ISNA($B79),"",IF($B79="","",IFERROR(_xll.BDP(TICKER,"DEEP_MEASURE_PERIOD_BROKER_VALUE","DEEP_MEASURE_ID_OVERRIDE",$C79,"DEEP_BROKER_ID_OVERRIDE",$F$7,"DEEP_PERIOD_OVERRIDE",AK$11)*1,"")))</f>
        <v/>
      </c>
      <c r="AL79" s="17" t="str">
        <f ca="1">IF(ISNA($B79),"",IF($B79="","",IFERROR(_xll.BDP(TICKER,"DEEP_MEASURE_PERIOD_BROKER_VALUE","DEEP_MEASURE_ID_OVERRIDE",$C79,"DEEP_BROKER_ID_OVERRIDE",$F$7,"DEEP_PERIOD_OVERRIDE",AL$11)*1,"")))</f>
        <v/>
      </c>
      <c r="AM79" s="17" t="str">
        <f ca="1">IF(ISNA($B79),"",IF($B79="","",IFERROR(_xll.BDP(TICKER,"DEEP_MEASURE_PERIOD_BROKER_VALUE","DEEP_MEASURE_ID_OVERRIDE",$C79,"DEEP_BROKER_ID_OVERRIDE",$F$7,"DEEP_PERIOD_OVERRIDE",AM$11)*1,"")))</f>
        <v/>
      </c>
      <c r="AN79" s="17" t="str">
        <f ca="1">IF(ISNA($B79),"",IF($B79="","",IFERROR(_xll.BDP(TICKER,"DEEP_MEASURE_PERIOD_BROKER_VALUE","DEEP_MEASURE_ID_OVERRIDE",$C79,"DEEP_BROKER_ID_OVERRIDE",$F$7,"DEEP_PERIOD_OVERRIDE",AN$11)*1,"")))</f>
        <v/>
      </c>
      <c r="AO79" s="17" t="str">
        <f ca="1">IF(ISNA($B79),"",IF($B79="","",IFERROR(_xll.BDP(TICKER,"DEEP_MEASURE_PERIOD_BROKER_VALUE","DEEP_MEASURE_ID_OVERRIDE",$C79,"DEEP_BROKER_ID_OVERRIDE",$F$7,"DEEP_PERIOD_OVERRIDE",AO$11)*1,"")))</f>
        <v/>
      </c>
      <c r="AP79" s="17" t="str">
        <f ca="1">IF(ISNA($B79),"",IF($B79="","",IFERROR(_xll.BDP(TICKER,"DEEP_MEASURE_PERIOD_BROKER_VALUE","DEEP_MEASURE_ID_OVERRIDE",$C79,"DEEP_BROKER_ID_OVERRIDE",$F$7,"DEEP_PERIOD_OVERRIDE",AP$11)*1,"")))</f>
        <v/>
      </c>
      <c r="AQ79" s="17" t="str">
        <f ca="1">IF(ISNA($B79),"",IF($B79="","",IFERROR(_xll.BDP(TICKER,"DEEP_MEASURE_PERIOD_BROKER_VALUE","DEEP_MEASURE_ID_OVERRIDE",$C79,"DEEP_BROKER_ID_OVERRIDE",$F$7,"DEEP_PERIOD_OVERRIDE",AQ$11)*1,"")))</f>
        <v/>
      </c>
    </row>
    <row r="80" spans="2:43" x14ac:dyDescent="0.25">
      <c r="B80" t="s">
        <v>13</v>
      </c>
      <c r="C80" s="11">
        <v>300</v>
      </c>
      <c r="H80" t="str">
        <f t="shared" si="2"/>
        <v>Cost of Revenue</v>
      </c>
      <c r="I80" s="17" t="str">
        <f ca="1">IF(ISNA($B80),"",IF($B80="","",IFERROR(_xll.BDP(TICKER,"DEEP_MEASURE_PERIOD_BROKER_VALUE","DEEP_MEASURE_ID_OVERRIDE",$C80,"DEEP_BROKER_ID_OVERRIDE",$F$7,"DEEP_PERIOD_OVERRIDE",I$11)*1,"")))</f>
        <v/>
      </c>
      <c r="J80" s="17" t="str">
        <f ca="1">IF(ISNA($B80),"",IF($B80="","",IFERROR(_xll.BDP(TICKER,"DEEP_MEASURE_PERIOD_BROKER_VALUE","DEEP_MEASURE_ID_OVERRIDE",$C80,"DEEP_BROKER_ID_OVERRIDE",$F$7,"DEEP_PERIOD_OVERRIDE",J$11)*1,"")))</f>
        <v/>
      </c>
      <c r="K80" s="17" t="str">
        <f ca="1">IF(ISNA($B80),"",IF($B80="","",IFERROR(_xll.BDP(TICKER,"DEEP_MEASURE_PERIOD_BROKER_VALUE","DEEP_MEASURE_ID_OVERRIDE",$C80,"DEEP_BROKER_ID_OVERRIDE",$F$7,"DEEP_PERIOD_OVERRIDE",K$11)*1,"")))</f>
        <v/>
      </c>
      <c r="L80" s="17" t="str">
        <f ca="1">IF(ISNA($B80),"",IF($B80="","",IFERROR(_xll.BDP(TICKER,"DEEP_MEASURE_PERIOD_BROKER_VALUE","DEEP_MEASURE_ID_OVERRIDE",$C80,"DEEP_BROKER_ID_OVERRIDE",$F$7,"DEEP_PERIOD_OVERRIDE",L$11)*1,"")))</f>
        <v/>
      </c>
      <c r="M80" s="17" t="str">
        <f ca="1">IF(ISNA($B80),"",IF($B80="","",IFERROR(_xll.BDP(TICKER,"DEEP_MEASURE_PERIOD_BROKER_VALUE","DEEP_MEASURE_ID_OVERRIDE",$C80,"DEEP_BROKER_ID_OVERRIDE",$F$7,"DEEP_PERIOD_OVERRIDE",M$11)*1,"")))</f>
        <v/>
      </c>
      <c r="N80" s="17" t="str">
        <f ca="1">IF(ISNA($B80),"",IF($B80="","",IFERROR(_xll.BDP(TICKER,"DEEP_MEASURE_PERIOD_BROKER_VALUE","DEEP_MEASURE_ID_OVERRIDE",$C80,"DEEP_BROKER_ID_OVERRIDE",$F$7,"DEEP_PERIOD_OVERRIDE",N$11)*1,"")))</f>
        <v/>
      </c>
      <c r="O80" s="17" t="str">
        <f ca="1">IF(ISNA($B80),"",IF($B80="","",IFERROR(_xll.BDP(TICKER,"DEEP_MEASURE_PERIOD_BROKER_VALUE","DEEP_MEASURE_ID_OVERRIDE",$C80,"DEEP_BROKER_ID_OVERRIDE",$F$7,"DEEP_PERIOD_OVERRIDE",O$11)*1,"")))</f>
        <v/>
      </c>
      <c r="P80" s="17" t="str">
        <f ca="1">IF(ISNA($B80),"",IF($B80="","",IFERROR(_xll.BDP(TICKER,"DEEP_MEASURE_PERIOD_BROKER_VALUE","DEEP_MEASURE_ID_OVERRIDE",$C80,"DEEP_BROKER_ID_OVERRIDE",$F$7,"DEEP_PERIOD_OVERRIDE",P$11)*1,"")))</f>
        <v/>
      </c>
      <c r="Q80" s="17" t="str">
        <f ca="1">IF(ISNA($B80),"",IF($B80="","",IFERROR(_xll.BDP(TICKER,"DEEP_MEASURE_PERIOD_BROKER_VALUE","DEEP_MEASURE_ID_OVERRIDE",$C80,"DEEP_BROKER_ID_OVERRIDE",$F$7,"DEEP_PERIOD_OVERRIDE",Q$11)*1,"")))</f>
        <v/>
      </c>
      <c r="R80" s="17" t="str">
        <f ca="1">IF(ISNA($B80),"",IF($B80="","",IFERROR(_xll.BDP(TICKER,"DEEP_MEASURE_PERIOD_BROKER_VALUE","DEEP_MEASURE_ID_OVERRIDE",$C80,"DEEP_BROKER_ID_OVERRIDE",$F$7,"DEEP_PERIOD_OVERRIDE",R$11)*1,"")))</f>
        <v/>
      </c>
      <c r="S80" s="17" t="str">
        <f ca="1">IF(ISNA($B80),"",IF($B80="","",IFERROR(_xll.BDP(TICKER,"DEEP_MEASURE_PERIOD_BROKER_VALUE","DEEP_MEASURE_ID_OVERRIDE",$C80,"DEEP_BROKER_ID_OVERRIDE",$F$7,"DEEP_PERIOD_OVERRIDE",S$11)*1,"")))</f>
        <v/>
      </c>
      <c r="T80" s="17" t="str">
        <f ca="1">IF(ISNA($B80),"",IF($B80="","",IFERROR(_xll.BDP(TICKER,"DEEP_MEASURE_PERIOD_BROKER_VALUE","DEEP_MEASURE_ID_OVERRIDE",$C80,"DEEP_BROKER_ID_OVERRIDE",$F$7,"DEEP_PERIOD_OVERRIDE",T$11)*1,"")))</f>
        <v/>
      </c>
      <c r="U80" s="17" t="str">
        <f ca="1">IF(ISNA($B80),"",IF($B80="","",IFERROR(_xll.BDP(TICKER,"DEEP_MEASURE_PERIOD_BROKER_VALUE","DEEP_MEASURE_ID_OVERRIDE",$C80,"DEEP_BROKER_ID_OVERRIDE",$F$7,"DEEP_PERIOD_OVERRIDE",U$11)*1,"")))</f>
        <v/>
      </c>
      <c r="V80" s="17" t="str">
        <f ca="1">IF(ISNA($B80),"",IF($B80="","",IFERROR(_xll.BDP(TICKER,"DEEP_MEASURE_PERIOD_BROKER_VALUE","DEEP_MEASURE_ID_OVERRIDE",$C80,"DEEP_BROKER_ID_OVERRIDE",$F$7,"DEEP_PERIOD_OVERRIDE",V$11)*1,"")))</f>
        <v/>
      </c>
      <c r="W80" s="17" t="str">
        <f ca="1">IF(ISNA($B80),"",IF($B80="","",IFERROR(_xll.BDP(TICKER,"DEEP_MEASURE_PERIOD_BROKER_VALUE","DEEP_MEASURE_ID_OVERRIDE",$C80,"DEEP_BROKER_ID_OVERRIDE",$F$7,"DEEP_PERIOD_OVERRIDE",W$11)*1,"")))</f>
        <v/>
      </c>
      <c r="X80" s="17" t="str">
        <f ca="1">IF(ISNA($B80),"",IF($B80="","",IFERROR(_xll.BDP(TICKER,"DEEP_MEASURE_PERIOD_BROKER_VALUE","DEEP_MEASURE_ID_OVERRIDE",$C80,"DEEP_BROKER_ID_OVERRIDE",$F$7,"DEEP_PERIOD_OVERRIDE",X$11)*1,"")))</f>
        <v/>
      </c>
      <c r="Y80" s="17" t="str">
        <f ca="1">IF(ISNA($B80),"",IF($B80="","",IFERROR(_xll.BDP(TICKER,"DEEP_MEASURE_PERIOD_BROKER_VALUE","DEEP_MEASURE_ID_OVERRIDE",$C80,"DEEP_BROKER_ID_OVERRIDE",$F$7,"DEEP_PERIOD_OVERRIDE",Y$11)*1,"")))</f>
        <v/>
      </c>
      <c r="Z80" s="17" t="str">
        <f ca="1">IF(ISNA($B80),"",IF($B80="","",IFERROR(_xll.BDP(TICKER,"DEEP_MEASURE_PERIOD_BROKER_VALUE","DEEP_MEASURE_ID_OVERRIDE",$C80,"DEEP_BROKER_ID_OVERRIDE",$F$7,"DEEP_PERIOD_OVERRIDE",Z$11)*1,"")))</f>
        <v/>
      </c>
      <c r="AA80" s="17" t="str">
        <f ca="1">IF(ISNA($B80),"",IF($B80="","",IFERROR(_xll.BDP(TICKER,"DEEP_MEASURE_PERIOD_BROKER_VALUE","DEEP_MEASURE_ID_OVERRIDE",$C80,"DEEP_BROKER_ID_OVERRIDE",$F$7,"DEEP_PERIOD_OVERRIDE",AA$11)*1,"")))</f>
        <v/>
      </c>
      <c r="AB80" s="17" t="str">
        <f ca="1">IF(ISNA($B80),"",IF($B80="","",IFERROR(_xll.BDP(TICKER,"DEEP_MEASURE_PERIOD_BROKER_VALUE","DEEP_MEASURE_ID_OVERRIDE",$C80,"DEEP_BROKER_ID_OVERRIDE",$F$7,"DEEP_PERIOD_OVERRIDE",AB$11)*1,"")))</f>
        <v/>
      </c>
      <c r="AC80" s="17" t="str">
        <f ca="1">IF(ISNA($B80),"",IF($B80="","",IFERROR(_xll.BDP(TICKER,"DEEP_MEASURE_PERIOD_BROKER_VALUE","DEEP_MEASURE_ID_OVERRIDE",$C80,"DEEP_BROKER_ID_OVERRIDE",$F$7,"DEEP_PERIOD_OVERRIDE",AC$11)*1,"")))</f>
        <v/>
      </c>
      <c r="AD80" s="17" t="str">
        <f ca="1">IF(ISNA($B80),"",IF($B80="","",IFERROR(_xll.BDP(TICKER,"DEEP_MEASURE_PERIOD_BROKER_VALUE","DEEP_MEASURE_ID_OVERRIDE",$C80,"DEEP_BROKER_ID_OVERRIDE",$F$7,"DEEP_PERIOD_OVERRIDE",AD$11)*1,"")))</f>
        <v/>
      </c>
      <c r="AE80" s="17" t="str">
        <f ca="1">IF(ISNA($B80),"",IF($B80="","",IFERROR(_xll.BDP(TICKER,"DEEP_MEASURE_PERIOD_BROKER_VALUE","DEEP_MEASURE_ID_OVERRIDE",$C80,"DEEP_BROKER_ID_OVERRIDE",$F$7,"DEEP_PERIOD_OVERRIDE",AE$11)*1,"")))</f>
        <v/>
      </c>
      <c r="AF80" s="17" t="str">
        <f ca="1">IF(ISNA($B80),"",IF($B80="","",IFERROR(_xll.BDP(TICKER,"DEEP_MEASURE_PERIOD_BROKER_VALUE","DEEP_MEASURE_ID_OVERRIDE",$C80,"DEEP_BROKER_ID_OVERRIDE",$F$7,"DEEP_PERIOD_OVERRIDE",AF$11)*1,"")))</f>
        <v/>
      </c>
      <c r="AG80" s="17" t="str">
        <f ca="1">IF(ISNA($B80),"",IF($B80="","",IFERROR(_xll.BDP(TICKER,"DEEP_MEASURE_PERIOD_BROKER_VALUE","DEEP_MEASURE_ID_OVERRIDE",$C80,"DEEP_BROKER_ID_OVERRIDE",$F$7,"DEEP_PERIOD_OVERRIDE",AG$11)*1,"")))</f>
        <v/>
      </c>
      <c r="AH80" s="17" t="str">
        <f ca="1">IF(ISNA($B80),"",IF($B80="","",IFERROR(_xll.BDP(TICKER,"DEEP_MEASURE_PERIOD_BROKER_VALUE","DEEP_MEASURE_ID_OVERRIDE",$C80,"DEEP_BROKER_ID_OVERRIDE",$F$7,"DEEP_PERIOD_OVERRIDE",AH$11)*1,"")))</f>
        <v/>
      </c>
      <c r="AI80" s="17" t="str">
        <f ca="1">IF(ISNA($B80),"",IF($B80="","",IFERROR(_xll.BDP(TICKER,"DEEP_MEASURE_PERIOD_BROKER_VALUE","DEEP_MEASURE_ID_OVERRIDE",$C80,"DEEP_BROKER_ID_OVERRIDE",$F$7,"DEEP_PERIOD_OVERRIDE",AI$11)*1,"")))</f>
        <v/>
      </c>
      <c r="AJ80" s="17" t="str">
        <f ca="1">IF(ISNA($B80),"",IF($B80="","",IFERROR(_xll.BDP(TICKER,"DEEP_MEASURE_PERIOD_BROKER_VALUE","DEEP_MEASURE_ID_OVERRIDE",$C80,"DEEP_BROKER_ID_OVERRIDE",$F$7,"DEEP_PERIOD_OVERRIDE",AJ$11)*1,"")))</f>
        <v/>
      </c>
      <c r="AK80" s="17" t="str">
        <f ca="1">IF(ISNA($B80),"",IF($B80="","",IFERROR(_xll.BDP(TICKER,"DEEP_MEASURE_PERIOD_BROKER_VALUE","DEEP_MEASURE_ID_OVERRIDE",$C80,"DEEP_BROKER_ID_OVERRIDE",$F$7,"DEEP_PERIOD_OVERRIDE",AK$11)*1,"")))</f>
        <v/>
      </c>
      <c r="AL80" s="17" t="str">
        <f ca="1">IF(ISNA($B80),"",IF($B80="","",IFERROR(_xll.BDP(TICKER,"DEEP_MEASURE_PERIOD_BROKER_VALUE","DEEP_MEASURE_ID_OVERRIDE",$C80,"DEEP_BROKER_ID_OVERRIDE",$F$7,"DEEP_PERIOD_OVERRIDE",AL$11)*1,"")))</f>
        <v/>
      </c>
      <c r="AM80" s="17" t="str">
        <f ca="1">IF(ISNA($B80),"",IF($B80="","",IFERROR(_xll.BDP(TICKER,"DEEP_MEASURE_PERIOD_BROKER_VALUE","DEEP_MEASURE_ID_OVERRIDE",$C80,"DEEP_BROKER_ID_OVERRIDE",$F$7,"DEEP_PERIOD_OVERRIDE",AM$11)*1,"")))</f>
        <v/>
      </c>
      <c r="AN80" s="17" t="str">
        <f ca="1">IF(ISNA($B80),"",IF($B80="","",IFERROR(_xll.BDP(TICKER,"DEEP_MEASURE_PERIOD_BROKER_VALUE","DEEP_MEASURE_ID_OVERRIDE",$C80,"DEEP_BROKER_ID_OVERRIDE",$F$7,"DEEP_PERIOD_OVERRIDE",AN$11)*1,"")))</f>
        <v/>
      </c>
      <c r="AO80" s="17" t="str">
        <f ca="1">IF(ISNA($B80),"",IF($B80="","",IFERROR(_xll.BDP(TICKER,"DEEP_MEASURE_PERIOD_BROKER_VALUE","DEEP_MEASURE_ID_OVERRIDE",$C80,"DEEP_BROKER_ID_OVERRIDE",$F$7,"DEEP_PERIOD_OVERRIDE",AO$11)*1,"")))</f>
        <v/>
      </c>
      <c r="AP80" s="17" t="str">
        <f ca="1">IF(ISNA($B80),"",IF($B80="","",IFERROR(_xll.BDP(TICKER,"DEEP_MEASURE_PERIOD_BROKER_VALUE","DEEP_MEASURE_ID_OVERRIDE",$C80,"DEEP_BROKER_ID_OVERRIDE",$F$7,"DEEP_PERIOD_OVERRIDE",AP$11)*1,"")))</f>
        <v/>
      </c>
      <c r="AQ80" s="17" t="str">
        <f ca="1">IF(ISNA($B80),"",IF($B80="","",IFERROR(_xll.BDP(TICKER,"DEEP_MEASURE_PERIOD_BROKER_VALUE","DEEP_MEASURE_ID_OVERRIDE",$C80,"DEEP_BROKER_ID_OVERRIDE",$F$7,"DEEP_PERIOD_OVERRIDE",AQ$11)*1,"")))</f>
        <v/>
      </c>
    </row>
    <row r="81" spans="2:43" x14ac:dyDescent="0.25">
      <c r="B81" t="s">
        <v>128</v>
      </c>
      <c r="C81" s="11">
        <v>373</v>
      </c>
      <c r="H81" t="str">
        <f t="shared" si="2"/>
        <v>Cost of Revenue &gt; As % of Revenue</v>
      </c>
      <c r="I81" s="17" t="str">
        <f ca="1">IF(ISNA($B81),"",IF($B81="","",IFERROR(_xll.BDP(TICKER,"DEEP_MEASURE_PERIOD_BROKER_VALUE","DEEP_MEASURE_ID_OVERRIDE",$C81,"DEEP_BROKER_ID_OVERRIDE",$F$7,"DEEP_PERIOD_OVERRIDE",I$11)*1,"")))</f>
        <v/>
      </c>
      <c r="J81" s="17" t="str">
        <f ca="1">IF(ISNA($B81),"",IF($B81="","",IFERROR(_xll.BDP(TICKER,"DEEP_MEASURE_PERIOD_BROKER_VALUE","DEEP_MEASURE_ID_OVERRIDE",$C81,"DEEP_BROKER_ID_OVERRIDE",$F$7,"DEEP_PERIOD_OVERRIDE",J$11)*1,"")))</f>
        <v/>
      </c>
      <c r="K81" s="17" t="str">
        <f ca="1">IF(ISNA($B81),"",IF($B81="","",IFERROR(_xll.BDP(TICKER,"DEEP_MEASURE_PERIOD_BROKER_VALUE","DEEP_MEASURE_ID_OVERRIDE",$C81,"DEEP_BROKER_ID_OVERRIDE",$F$7,"DEEP_PERIOD_OVERRIDE",K$11)*1,"")))</f>
        <v/>
      </c>
      <c r="L81" s="17" t="str">
        <f ca="1">IF(ISNA($B81),"",IF($B81="","",IFERROR(_xll.BDP(TICKER,"DEEP_MEASURE_PERIOD_BROKER_VALUE","DEEP_MEASURE_ID_OVERRIDE",$C81,"DEEP_BROKER_ID_OVERRIDE",$F$7,"DEEP_PERIOD_OVERRIDE",L$11)*1,"")))</f>
        <v/>
      </c>
      <c r="M81" s="17" t="str">
        <f ca="1">IF(ISNA($B81),"",IF($B81="","",IFERROR(_xll.BDP(TICKER,"DEEP_MEASURE_PERIOD_BROKER_VALUE","DEEP_MEASURE_ID_OVERRIDE",$C81,"DEEP_BROKER_ID_OVERRIDE",$F$7,"DEEP_PERIOD_OVERRIDE",M$11)*1,"")))</f>
        <v/>
      </c>
      <c r="N81" s="17" t="str">
        <f ca="1">IF(ISNA($B81),"",IF($B81="","",IFERROR(_xll.BDP(TICKER,"DEEP_MEASURE_PERIOD_BROKER_VALUE","DEEP_MEASURE_ID_OVERRIDE",$C81,"DEEP_BROKER_ID_OVERRIDE",$F$7,"DEEP_PERIOD_OVERRIDE",N$11)*1,"")))</f>
        <v/>
      </c>
      <c r="O81" s="17" t="str">
        <f ca="1">IF(ISNA($B81),"",IF($B81="","",IFERROR(_xll.BDP(TICKER,"DEEP_MEASURE_PERIOD_BROKER_VALUE","DEEP_MEASURE_ID_OVERRIDE",$C81,"DEEP_BROKER_ID_OVERRIDE",$F$7,"DEEP_PERIOD_OVERRIDE",O$11)*1,"")))</f>
        <v/>
      </c>
      <c r="P81" s="17" t="str">
        <f ca="1">IF(ISNA($B81),"",IF($B81="","",IFERROR(_xll.BDP(TICKER,"DEEP_MEASURE_PERIOD_BROKER_VALUE","DEEP_MEASURE_ID_OVERRIDE",$C81,"DEEP_BROKER_ID_OVERRIDE",$F$7,"DEEP_PERIOD_OVERRIDE",P$11)*1,"")))</f>
        <v/>
      </c>
      <c r="Q81" s="17" t="str">
        <f ca="1">IF(ISNA($B81),"",IF($B81="","",IFERROR(_xll.BDP(TICKER,"DEEP_MEASURE_PERIOD_BROKER_VALUE","DEEP_MEASURE_ID_OVERRIDE",$C81,"DEEP_BROKER_ID_OVERRIDE",$F$7,"DEEP_PERIOD_OVERRIDE",Q$11)*1,"")))</f>
        <v/>
      </c>
      <c r="R81" s="17" t="str">
        <f ca="1">IF(ISNA($B81),"",IF($B81="","",IFERROR(_xll.BDP(TICKER,"DEEP_MEASURE_PERIOD_BROKER_VALUE","DEEP_MEASURE_ID_OVERRIDE",$C81,"DEEP_BROKER_ID_OVERRIDE",$F$7,"DEEP_PERIOD_OVERRIDE",R$11)*1,"")))</f>
        <v/>
      </c>
      <c r="S81" s="17" t="str">
        <f ca="1">IF(ISNA($B81),"",IF($B81="","",IFERROR(_xll.BDP(TICKER,"DEEP_MEASURE_PERIOD_BROKER_VALUE","DEEP_MEASURE_ID_OVERRIDE",$C81,"DEEP_BROKER_ID_OVERRIDE",$F$7,"DEEP_PERIOD_OVERRIDE",S$11)*1,"")))</f>
        <v/>
      </c>
      <c r="T81" s="17" t="str">
        <f ca="1">IF(ISNA($B81),"",IF($B81="","",IFERROR(_xll.BDP(TICKER,"DEEP_MEASURE_PERIOD_BROKER_VALUE","DEEP_MEASURE_ID_OVERRIDE",$C81,"DEEP_BROKER_ID_OVERRIDE",$F$7,"DEEP_PERIOD_OVERRIDE",T$11)*1,"")))</f>
        <v/>
      </c>
      <c r="U81" s="17" t="str">
        <f ca="1">IF(ISNA($B81),"",IF($B81="","",IFERROR(_xll.BDP(TICKER,"DEEP_MEASURE_PERIOD_BROKER_VALUE","DEEP_MEASURE_ID_OVERRIDE",$C81,"DEEP_BROKER_ID_OVERRIDE",$F$7,"DEEP_PERIOD_OVERRIDE",U$11)*1,"")))</f>
        <v/>
      </c>
      <c r="V81" s="17" t="str">
        <f ca="1">IF(ISNA($B81),"",IF($B81="","",IFERROR(_xll.BDP(TICKER,"DEEP_MEASURE_PERIOD_BROKER_VALUE","DEEP_MEASURE_ID_OVERRIDE",$C81,"DEEP_BROKER_ID_OVERRIDE",$F$7,"DEEP_PERIOD_OVERRIDE",V$11)*1,"")))</f>
        <v/>
      </c>
      <c r="W81" s="17" t="str">
        <f ca="1">IF(ISNA($B81),"",IF($B81="","",IFERROR(_xll.BDP(TICKER,"DEEP_MEASURE_PERIOD_BROKER_VALUE","DEEP_MEASURE_ID_OVERRIDE",$C81,"DEEP_BROKER_ID_OVERRIDE",$F$7,"DEEP_PERIOD_OVERRIDE",W$11)*1,"")))</f>
        <v/>
      </c>
      <c r="X81" s="17" t="str">
        <f ca="1">IF(ISNA($B81),"",IF($B81="","",IFERROR(_xll.BDP(TICKER,"DEEP_MEASURE_PERIOD_BROKER_VALUE","DEEP_MEASURE_ID_OVERRIDE",$C81,"DEEP_BROKER_ID_OVERRIDE",$F$7,"DEEP_PERIOD_OVERRIDE",X$11)*1,"")))</f>
        <v/>
      </c>
      <c r="Y81" s="17" t="str">
        <f ca="1">IF(ISNA($B81),"",IF($B81="","",IFERROR(_xll.BDP(TICKER,"DEEP_MEASURE_PERIOD_BROKER_VALUE","DEEP_MEASURE_ID_OVERRIDE",$C81,"DEEP_BROKER_ID_OVERRIDE",$F$7,"DEEP_PERIOD_OVERRIDE",Y$11)*1,"")))</f>
        <v/>
      </c>
      <c r="Z81" s="17" t="str">
        <f ca="1">IF(ISNA($B81),"",IF($B81="","",IFERROR(_xll.BDP(TICKER,"DEEP_MEASURE_PERIOD_BROKER_VALUE","DEEP_MEASURE_ID_OVERRIDE",$C81,"DEEP_BROKER_ID_OVERRIDE",$F$7,"DEEP_PERIOD_OVERRIDE",Z$11)*1,"")))</f>
        <v/>
      </c>
      <c r="AA81" s="17" t="str">
        <f ca="1">IF(ISNA($B81),"",IF($B81="","",IFERROR(_xll.BDP(TICKER,"DEEP_MEASURE_PERIOD_BROKER_VALUE","DEEP_MEASURE_ID_OVERRIDE",$C81,"DEEP_BROKER_ID_OVERRIDE",$F$7,"DEEP_PERIOD_OVERRIDE",AA$11)*1,"")))</f>
        <v/>
      </c>
      <c r="AB81" s="17" t="str">
        <f ca="1">IF(ISNA($B81),"",IF($B81="","",IFERROR(_xll.BDP(TICKER,"DEEP_MEASURE_PERIOD_BROKER_VALUE","DEEP_MEASURE_ID_OVERRIDE",$C81,"DEEP_BROKER_ID_OVERRIDE",$F$7,"DEEP_PERIOD_OVERRIDE",AB$11)*1,"")))</f>
        <v/>
      </c>
      <c r="AC81" s="17" t="str">
        <f ca="1">IF(ISNA($B81),"",IF($B81="","",IFERROR(_xll.BDP(TICKER,"DEEP_MEASURE_PERIOD_BROKER_VALUE","DEEP_MEASURE_ID_OVERRIDE",$C81,"DEEP_BROKER_ID_OVERRIDE",$F$7,"DEEP_PERIOD_OVERRIDE",AC$11)*1,"")))</f>
        <v/>
      </c>
      <c r="AD81" s="17" t="str">
        <f ca="1">IF(ISNA($B81),"",IF($B81="","",IFERROR(_xll.BDP(TICKER,"DEEP_MEASURE_PERIOD_BROKER_VALUE","DEEP_MEASURE_ID_OVERRIDE",$C81,"DEEP_BROKER_ID_OVERRIDE",$F$7,"DEEP_PERIOD_OVERRIDE",AD$11)*1,"")))</f>
        <v/>
      </c>
      <c r="AE81" s="17" t="str">
        <f ca="1">IF(ISNA($B81),"",IF($B81="","",IFERROR(_xll.BDP(TICKER,"DEEP_MEASURE_PERIOD_BROKER_VALUE","DEEP_MEASURE_ID_OVERRIDE",$C81,"DEEP_BROKER_ID_OVERRIDE",$F$7,"DEEP_PERIOD_OVERRIDE",AE$11)*1,"")))</f>
        <v/>
      </c>
      <c r="AF81" s="17" t="str">
        <f ca="1">IF(ISNA($B81),"",IF($B81="","",IFERROR(_xll.BDP(TICKER,"DEEP_MEASURE_PERIOD_BROKER_VALUE","DEEP_MEASURE_ID_OVERRIDE",$C81,"DEEP_BROKER_ID_OVERRIDE",$F$7,"DEEP_PERIOD_OVERRIDE",AF$11)*1,"")))</f>
        <v/>
      </c>
      <c r="AG81" s="17" t="str">
        <f ca="1">IF(ISNA($B81),"",IF($B81="","",IFERROR(_xll.BDP(TICKER,"DEEP_MEASURE_PERIOD_BROKER_VALUE","DEEP_MEASURE_ID_OVERRIDE",$C81,"DEEP_BROKER_ID_OVERRIDE",$F$7,"DEEP_PERIOD_OVERRIDE",AG$11)*1,"")))</f>
        <v/>
      </c>
      <c r="AH81" s="17" t="str">
        <f ca="1">IF(ISNA($B81),"",IF($B81="","",IFERROR(_xll.BDP(TICKER,"DEEP_MEASURE_PERIOD_BROKER_VALUE","DEEP_MEASURE_ID_OVERRIDE",$C81,"DEEP_BROKER_ID_OVERRIDE",$F$7,"DEEP_PERIOD_OVERRIDE",AH$11)*1,"")))</f>
        <v/>
      </c>
      <c r="AI81" s="17" t="str">
        <f ca="1">IF(ISNA($B81),"",IF($B81="","",IFERROR(_xll.BDP(TICKER,"DEEP_MEASURE_PERIOD_BROKER_VALUE","DEEP_MEASURE_ID_OVERRIDE",$C81,"DEEP_BROKER_ID_OVERRIDE",$F$7,"DEEP_PERIOD_OVERRIDE",AI$11)*1,"")))</f>
        <v/>
      </c>
      <c r="AJ81" s="17" t="str">
        <f ca="1">IF(ISNA($B81),"",IF($B81="","",IFERROR(_xll.BDP(TICKER,"DEEP_MEASURE_PERIOD_BROKER_VALUE","DEEP_MEASURE_ID_OVERRIDE",$C81,"DEEP_BROKER_ID_OVERRIDE",$F$7,"DEEP_PERIOD_OVERRIDE",AJ$11)*1,"")))</f>
        <v/>
      </c>
      <c r="AK81" s="17" t="str">
        <f ca="1">IF(ISNA($B81),"",IF($B81="","",IFERROR(_xll.BDP(TICKER,"DEEP_MEASURE_PERIOD_BROKER_VALUE","DEEP_MEASURE_ID_OVERRIDE",$C81,"DEEP_BROKER_ID_OVERRIDE",$F$7,"DEEP_PERIOD_OVERRIDE",AK$11)*1,"")))</f>
        <v/>
      </c>
      <c r="AL81" s="17" t="str">
        <f ca="1">IF(ISNA($B81),"",IF($B81="","",IFERROR(_xll.BDP(TICKER,"DEEP_MEASURE_PERIOD_BROKER_VALUE","DEEP_MEASURE_ID_OVERRIDE",$C81,"DEEP_BROKER_ID_OVERRIDE",$F$7,"DEEP_PERIOD_OVERRIDE",AL$11)*1,"")))</f>
        <v/>
      </c>
      <c r="AM81" s="17" t="str">
        <f ca="1">IF(ISNA($B81),"",IF($B81="","",IFERROR(_xll.BDP(TICKER,"DEEP_MEASURE_PERIOD_BROKER_VALUE","DEEP_MEASURE_ID_OVERRIDE",$C81,"DEEP_BROKER_ID_OVERRIDE",$F$7,"DEEP_PERIOD_OVERRIDE",AM$11)*1,"")))</f>
        <v/>
      </c>
      <c r="AN81" s="17" t="str">
        <f ca="1">IF(ISNA($B81),"",IF($B81="","",IFERROR(_xll.BDP(TICKER,"DEEP_MEASURE_PERIOD_BROKER_VALUE","DEEP_MEASURE_ID_OVERRIDE",$C81,"DEEP_BROKER_ID_OVERRIDE",$F$7,"DEEP_PERIOD_OVERRIDE",AN$11)*1,"")))</f>
        <v/>
      </c>
      <c r="AO81" s="17" t="str">
        <f ca="1">IF(ISNA($B81),"",IF($B81="","",IFERROR(_xll.BDP(TICKER,"DEEP_MEASURE_PERIOD_BROKER_VALUE","DEEP_MEASURE_ID_OVERRIDE",$C81,"DEEP_BROKER_ID_OVERRIDE",$F$7,"DEEP_PERIOD_OVERRIDE",AO$11)*1,"")))</f>
        <v/>
      </c>
      <c r="AP81" s="17" t="str">
        <f ca="1">IF(ISNA($B81),"",IF($B81="","",IFERROR(_xll.BDP(TICKER,"DEEP_MEASURE_PERIOD_BROKER_VALUE","DEEP_MEASURE_ID_OVERRIDE",$C81,"DEEP_BROKER_ID_OVERRIDE",$F$7,"DEEP_PERIOD_OVERRIDE",AP$11)*1,"")))</f>
        <v/>
      </c>
      <c r="AQ81" s="17" t="str">
        <f ca="1">IF(ISNA($B81),"",IF($B81="","",IFERROR(_xll.BDP(TICKER,"DEEP_MEASURE_PERIOD_BROKER_VALUE","DEEP_MEASURE_ID_OVERRIDE",$C81,"DEEP_BROKER_ID_OVERRIDE",$F$7,"DEEP_PERIOD_OVERRIDE",AQ$11)*1,"")))</f>
        <v/>
      </c>
    </row>
    <row r="82" spans="2:43" x14ac:dyDescent="0.25">
      <c r="B82" t="s">
        <v>129</v>
      </c>
      <c r="C82" s="11">
        <v>3337</v>
      </c>
      <c r="H82" t="str">
        <f t="shared" si="2"/>
        <v>Cost of Revenue &gt; Direct Costs</v>
      </c>
      <c r="I82" s="17" t="str">
        <f ca="1">IF(ISNA($B82),"",IF($B82="","",IFERROR(_xll.BDP(TICKER,"DEEP_MEASURE_PERIOD_BROKER_VALUE","DEEP_MEASURE_ID_OVERRIDE",$C82,"DEEP_BROKER_ID_OVERRIDE",$F$7,"DEEP_PERIOD_OVERRIDE",I$11)*1,"")))</f>
        <v/>
      </c>
      <c r="J82" s="17" t="str">
        <f ca="1">IF(ISNA($B82),"",IF($B82="","",IFERROR(_xll.BDP(TICKER,"DEEP_MEASURE_PERIOD_BROKER_VALUE","DEEP_MEASURE_ID_OVERRIDE",$C82,"DEEP_BROKER_ID_OVERRIDE",$F$7,"DEEP_PERIOD_OVERRIDE",J$11)*1,"")))</f>
        <v/>
      </c>
      <c r="K82" s="17" t="str">
        <f ca="1">IF(ISNA($B82),"",IF($B82="","",IFERROR(_xll.BDP(TICKER,"DEEP_MEASURE_PERIOD_BROKER_VALUE","DEEP_MEASURE_ID_OVERRIDE",$C82,"DEEP_BROKER_ID_OVERRIDE",$F$7,"DEEP_PERIOD_OVERRIDE",K$11)*1,"")))</f>
        <v/>
      </c>
      <c r="L82" s="17" t="str">
        <f ca="1">IF(ISNA($B82),"",IF($B82="","",IFERROR(_xll.BDP(TICKER,"DEEP_MEASURE_PERIOD_BROKER_VALUE","DEEP_MEASURE_ID_OVERRIDE",$C82,"DEEP_BROKER_ID_OVERRIDE",$F$7,"DEEP_PERIOD_OVERRIDE",L$11)*1,"")))</f>
        <v/>
      </c>
      <c r="M82" s="17" t="str">
        <f ca="1">IF(ISNA($B82),"",IF($B82="","",IFERROR(_xll.BDP(TICKER,"DEEP_MEASURE_PERIOD_BROKER_VALUE","DEEP_MEASURE_ID_OVERRIDE",$C82,"DEEP_BROKER_ID_OVERRIDE",$F$7,"DEEP_PERIOD_OVERRIDE",M$11)*1,"")))</f>
        <v/>
      </c>
      <c r="N82" s="17" t="str">
        <f ca="1">IF(ISNA($B82),"",IF($B82="","",IFERROR(_xll.BDP(TICKER,"DEEP_MEASURE_PERIOD_BROKER_VALUE","DEEP_MEASURE_ID_OVERRIDE",$C82,"DEEP_BROKER_ID_OVERRIDE",$F$7,"DEEP_PERIOD_OVERRIDE",N$11)*1,"")))</f>
        <v/>
      </c>
      <c r="O82" s="17" t="str">
        <f ca="1">IF(ISNA($B82),"",IF($B82="","",IFERROR(_xll.BDP(TICKER,"DEEP_MEASURE_PERIOD_BROKER_VALUE","DEEP_MEASURE_ID_OVERRIDE",$C82,"DEEP_BROKER_ID_OVERRIDE",$F$7,"DEEP_PERIOD_OVERRIDE",O$11)*1,"")))</f>
        <v/>
      </c>
      <c r="P82" s="17" t="str">
        <f ca="1">IF(ISNA($B82),"",IF($B82="","",IFERROR(_xll.BDP(TICKER,"DEEP_MEASURE_PERIOD_BROKER_VALUE","DEEP_MEASURE_ID_OVERRIDE",$C82,"DEEP_BROKER_ID_OVERRIDE",$F$7,"DEEP_PERIOD_OVERRIDE",P$11)*1,"")))</f>
        <v/>
      </c>
      <c r="Q82" s="17" t="str">
        <f ca="1">IF(ISNA($B82),"",IF($B82="","",IFERROR(_xll.BDP(TICKER,"DEEP_MEASURE_PERIOD_BROKER_VALUE","DEEP_MEASURE_ID_OVERRIDE",$C82,"DEEP_BROKER_ID_OVERRIDE",$F$7,"DEEP_PERIOD_OVERRIDE",Q$11)*1,"")))</f>
        <v/>
      </c>
      <c r="R82" s="17" t="str">
        <f ca="1">IF(ISNA($B82),"",IF($B82="","",IFERROR(_xll.BDP(TICKER,"DEEP_MEASURE_PERIOD_BROKER_VALUE","DEEP_MEASURE_ID_OVERRIDE",$C82,"DEEP_BROKER_ID_OVERRIDE",$F$7,"DEEP_PERIOD_OVERRIDE",R$11)*1,"")))</f>
        <v/>
      </c>
      <c r="S82" s="17" t="str">
        <f ca="1">IF(ISNA($B82),"",IF($B82="","",IFERROR(_xll.BDP(TICKER,"DEEP_MEASURE_PERIOD_BROKER_VALUE","DEEP_MEASURE_ID_OVERRIDE",$C82,"DEEP_BROKER_ID_OVERRIDE",$F$7,"DEEP_PERIOD_OVERRIDE",S$11)*1,"")))</f>
        <v/>
      </c>
      <c r="T82" s="17" t="str">
        <f ca="1">IF(ISNA($B82),"",IF($B82="","",IFERROR(_xll.BDP(TICKER,"DEEP_MEASURE_PERIOD_BROKER_VALUE","DEEP_MEASURE_ID_OVERRIDE",$C82,"DEEP_BROKER_ID_OVERRIDE",$F$7,"DEEP_PERIOD_OVERRIDE",T$11)*1,"")))</f>
        <v/>
      </c>
      <c r="U82" s="17" t="str">
        <f ca="1">IF(ISNA($B82),"",IF($B82="","",IFERROR(_xll.BDP(TICKER,"DEEP_MEASURE_PERIOD_BROKER_VALUE","DEEP_MEASURE_ID_OVERRIDE",$C82,"DEEP_BROKER_ID_OVERRIDE",$F$7,"DEEP_PERIOD_OVERRIDE",U$11)*1,"")))</f>
        <v/>
      </c>
      <c r="V82" s="17" t="str">
        <f ca="1">IF(ISNA($B82),"",IF($B82="","",IFERROR(_xll.BDP(TICKER,"DEEP_MEASURE_PERIOD_BROKER_VALUE","DEEP_MEASURE_ID_OVERRIDE",$C82,"DEEP_BROKER_ID_OVERRIDE",$F$7,"DEEP_PERIOD_OVERRIDE",V$11)*1,"")))</f>
        <v/>
      </c>
      <c r="W82" s="17" t="str">
        <f ca="1">IF(ISNA($B82),"",IF($B82="","",IFERROR(_xll.BDP(TICKER,"DEEP_MEASURE_PERIOD_BROKER_VALUE","DEEP_MEASURE_ID_OVERRIDE",$C82,"DEEP_BROKER_ID_OVERRIDE",$F$7,"DEEP_PERIOD_OVERRIDE",W$11)*1,"")))</f>
        <v/>
      </c>
      <c r="X82" s="17" t="str">
        <f ca="1">IF(ISNA($B82),"",IF($B82="","",IFERROR(_xll.BDP(TICKER,"DEEP_MEASURE_PERIOD_BROKER_VALUE","DEEP_MEASURE_ID_OVERRIDE",$C82,"DEEP_BROKER_ID_OVERRIDE",$F$7,"DEEP_PERIOD_OVERRIDE",X$11)*1,"")))</f>
        <v/>
      </c>
      <c r="Y82" s="17" t="str">
        <f ca="1">IF(ISNA($B82),"",IF($B82="","",IFERROR(_xll.BDP(TICKER,"DEEP_MEASURE_PERIOD_BROKER_VALUE","DEEP_MEASURE_ID_OVERRIDE",$C82,"DEEP_BROKER_ID_OVERRIDE",$F$7,"DEEP_PERIOD_OVERRIDE",Y$11)*1,"")))</f>
        <v/>
      </c>
      <c r="Z82" s="17" t="str">
        <f ca="1">IF(ISNA($B82),"",IF($B82="","",IFERROR(_xll.BDP(TICKER,"DEEP_MEASURE_PERIOD_BROKER_VALUE","DEEP_MEASURE_ID_OVERRIDE",$C82,"DEEP_BROKER_ID_OVERRIDE",$F$7,"DEEP_PERIOD_OVERRIDE",Z$11)*1,"")))</f>
        <v/>
      </c>
      <c r="AA82" s="17" t="str">
        <f ca="1">IF(ISNA($B82),"",IF($B82="","",IFERROR(_xll.BDP(TICKER,"DEEP_MEASURE_PERIOD_BROKER_VALUE","DEEP_MEASURE_ID_OVERRIDE",$C82,"DEEP_BROKER_ID_OVERRIDE",$F$7,"DEEP_PERIOD_OVERRIDE",AA$11)*1,"")))</f>
        <v/>
      </c>
      <c r="AB82" s="17" t="str">
        <f ca="1">IF(ISNA($B82),"",IF($B82="","",IFERROR(_xll.BDP(TICKER,"DEEP_MEASURE_PERIOD_BROKER_VALUE","DEEP_MEASURE_ID_OVERRIDE",$C82,"DEEP_BROKER_ID_OVERRIDE",$F$7,"DEEP_PERIOD_OVERRIDE",AB$11)*1,"")))</f>
        <v/>
      </c>
      <c r="AC82" s="17" t="str">
        <f ca="1">IF(ISNA($B82),"",IF($B82="","",IFERROR(_xll.BDP(TICKER,"DEEP_MEASURE_PERIOD_BROKER_VALUE","DEEP_MEASURE_ID_OVERRIDE",$C82,"DEEP_BROKER_ID_OVERRIDE",$F$7,"DEEP_PERIOD_OVERRIDE",AC$11)*1,"")))</f>
        <v/>
      </c>
      <c r="AD82" s="17" t="str">
        <f ca="1">IF(ISNA($B82),"",IF($B82="","",IFERROR(_xll.BDP(TICKER,"DEEP_MEASURE_PERIOD_BROKER_VALUE","DEEP_MEASURE_ID_OVERRIDE",$C82,"DEEP_BROKER_ID_OVERRIDE",$F$7,"DEEP_PERIOD_OVERRIDE",AD$11)*1,"")))</f>
        <v/>
      </c>
      <c r="AE82" s="17" t="str">
        <f ca="1">IF(ISNA($B82),"",IF($B82="","",IFERROR(_xll.BDP(TICKER,"DEEP_MEASURE_PERIOD_BROKER_VALUE","DEEP_MEASURE_ID_OVERRIDE",$C82,"DEEP_BROKER_ID_OVERRIDE",$F$7,"DEEP_PERIOD_OVERRIDE",AE$11)*1,"")))</f>
        <v/>
      </c>
      <c r="AF82" s="17" t="str">
        <f ca="1">IF(ISNA($B82),"",IF($B82="","",IFERROR(_xll.BDP(TICKER,"DEEP_MEASURE_PERIOD_BROKER_VALUE","DEEP_MEASURE_ID_OVERRIDE",$C82,"DEEP_BROKER_ID_OVERRIDE",$F$7,"DEEP_PERIOD_OVERRIDE",AF$11)*1,"")))</f>
        <v/>
      </c>
      <c r="AG82" s="17" t="str">
        <f ca="1">IF(ISNA($B82),"",IF($B82="","",IFERROR(_xll.BDP(TICKER,"DEEP_MEASURE_PERIOD_BROKER_VALUE","DEEP_MEASURE_ID_OVERRIDE",$C82,"DEEP_BROKER_ID_OVERRIDE",$F$7,"DEEP_PERIOD_OVERRIDE",AG$11)*1,"")))</f>
        <v/>
      </c>
      <c r="AH82" s="17" t="str">
        <f ca="1">IF(ISNA($B82),"",IF($B82="","",IFERROR(_xll.BDP(TICKER,"DEEP_MEASURE_PERIOD_BROKER_VALUE","DEEP_MEASURE_ID_OVERRIDE",$C82,"DEEP_BROKER_ID_OVERRIDE",$F$7,"DEEP_PERIOD_OVERRIDE",AH$11)*1,"")))</f>
        <v/>
      </c>
      <c r="AI82" s="17" t="str">
        <f ca="1">IF(ISNA($B82),"",IF($B82="","",IFERROR(_xll.BDP(TICKER,"DEEP_MEASURE_PERIOD_BROKER_VALUE","DEEP_MEASURE_ID_OVERRIDE",$C82,"DEEP_BROKER_ID_OVERRIDE",$F$7,"DEEP_PERIOD_OVERRIDE",AI$11)*1,"")))</f>
        <v/>
      </c>
      <c r="AJ82" s="17" t="str">
        <f ca="1">IF(ISNA($B82),"",IF($B82="","",IFERROR(_xll.BDP(TICKER,"DEEP_MEASURE_PERIOD_BROKER_VALUE","DEEP_MEASURE_ID_OVERRIDE",$C82,"DEEP_BROKER_ID_OVERRIDE",$F$7,"DEEP_PERIOD_OVERRIDE",AJ$11)*1,"")))</f>
        <v/>
      </c>
      <c r="AK82" s="17" t="str">
        <f ca="1">IF(ISNA($B82),"",IF($B82="","",IFERROR(_xll.BDP(TICKER,"DEEP_MEASURE_PERIOD_BROKER_VALUE","DEEP_MEASURE_ID_OVERRIDE",$C82,"DEEP_BROKER_ID_OVERRIDE",$F$7,"DEEP_PERIOD_OVERRIDE",AK$11)*1,"")))</f>
        <v/>
      </c>
      <c r="AL82" s="17" t="str">
        <f ca="1">IF(ISNA($B82),"",IF($B82="","",IFERROR(_xll.BDP(TICKER,"DEEP_MEASURE_PERIOD_BROKER_VALUE","DEEP_MEASURE_ID_OVERRIDE",$C82,"DEEP_BROKER_ID_OVERRIDE",$F$7,"DEEP_PERIOD_OVERRIDE",AL$11)*1,"")))</f>
        <v/>
      </c>
      <c r="AM82" s="17" t="str">
        <f ca="1">IF(ISNA($B82),"",IF($B82="","",IFERROR(_xll.BDP(TICKER,"DEEP_MEASURE_PERIOD_BROKER_VALUE","DEEP_MEASURE_ID_OVERRIDE",$C82,"DEEP_BROKER_ID_OVERRIDE",$F$7,"DEEP_PERIOD_OVERRIDE",AM$11)*1,"")))</f>
        <v/>
      </c>
      <c r="AN82" s="17" t="str">
        <f ca="1">IF(ISNA($B82),"",IF($B82="","",IFERROR(_xll.BDP(TICKER,"DEEP_MEASURE_PERIOD_BROKER_VALUE","DEEP_MEASURE_ID_OVERRIDE",$C82,"DEEP_BROKER_ID_OVERRIDE",$F$7,"DEEP_PERIOD_OVERRIDE",AN$11)*1,"")))</f>
        <v/>
      </c>
      <c r="AO82" s="17" t="str">
        <f ca="1">IF(ISNA($B82),"",IF($B82="","",IFERROR(_xll.BDP(TICKER,"DEEP_MEASURE_PERIOD_BROKER_VALUE","DEEP_MEASURE_ID_OVERRIDE",$C82,"DEEP_BROKER_ID_OVERRIDE",$F$7,"DEEP_PERIOD_OVERRIDE",AO$11)*1,"")))</f>
        <v/>
      </c>
      <c r="AP82" s="17" t="str">
        <f ca="1">IF(ISNA($B82),"",IF($B82="","",IFERROR(_xll.BDP(TICKER,"DEEP_MEASURE_PERIOD_BROKER_VALUE","DEEP_MEASURE_ID_OVERRIDE",$C82,"DEEP_BROKER_ID_OVERRIDE",$F$7,"DEEP_PERIOD_OVERRIDE",AP$11)*1,"")))</f>
        <v/>
      </c>
      <c r="AQ82" s="17" t="str">
        <f ca="1">IF(ISNA($B82),"",IF($B82="","",IFERROR(_xll.BDP(TICKER,"DEEP_MEASURE_PERIOD_BROKER_VALUE","DEEP_MEASURE_ID_OVERRIDE",$C82,"DEEP_BROKER_ID_OVERRIDE",$F$7,"DEEP_PERIOD_OVERRIDE",AQ$11)*1,"")))</f>
        <v/>
      </c>
    </row>
    <row r="83" spans="2:43" x14ac:dyDescent="0.25">
      <c r="B83" t="s">
        <v>130</v>
      </c>
      <c r="C83" s="11">
        <v>8871</v>
      </c>
      <c r="H83" t="str">
        <f t="shared" si="2"/>
        <v>Cost of Revenue &gt; Direct Costs &gt; YoY Growth (%)</v>
      </c>
      <c r="I83" s="17" t="str">
        <f ca="1">IF(ISNA($B83),"",IF($B83="","",IFERROR(_xll.BDP(TICKER,"DEEP_MEASURE_PERIOD_BROKER_VALUE","DEEP_MEASURE_ID_OVERRIDE",$C83,"DEEP_BROKER_ID_OVERRIDE",$F$7,"DEEP_PERIOD_OVERRIDE",I$11)*1,"")))</f>
        <v/>
      </c>
      <c r="J83" s="17" t="str">
        <f ca="1">IF(ISNA($B83),"",IF($B83="","",IFERROR(_xll.BDP(TICKER,"DEEP_MEASURE_PERIOD_BROKER_VALUE","DEEP_MEASURE_ID_OVERRIDE",$C83,"DEEP_BROKER_ID_OVERRIDE",$F$7,"DEEP_PERIOD_OVERRIDE",J$11)*1,"")))</f>
        <v/>
      </c>
      <c r="K83" s="17" t="str">
        <f ca="1">IF(ISNA($B83),"",IF($B83="","",IFERROR(_xll.BDP(TICKER,"DEEP_MEASURE_PERIOD_BROKER_VALUE","DEEP_MEASURE_ID_OVERRIDE",$C83,"DEEP_BROKER_ID_OVERRIDE",$F$7,"DEEP_PERIOD_OVERRIDE",K$11)*1,"")))</f>
        <v/>
      </c>
      <c r="L83" s="17" t="str">
        <f ca="1">IF(ISNA($B83),"",IF($B83="","",IFERROR(_xll.BDP(TICKER,"DEEP_MEASURE_PERIOD_BROKER_VALUE","DEEP_MEASURE_ID_OVERRIDE",$C83,"DEEP_BROKER_ID_OVERRIDE",$F$7,"DEEP_PERIOD_OVERRIDE",L$11)*1,"")))</f>
        <v/>
      </c>
      <c r="M83" s="17" t="str">
        <f ca="1">IF(ISNA($B83),"",IF($B83="","",IFERROR(_xll.BDP(TICKER,"DEEP_MEASURE_PERIOD_BROKER_VALUE","DEEP_MEASURE_ID_OVERRIDE",$C83,"DEEP_BROKER_ID_OVERRIDE",$F$7,"DEEP_PERIOD_OVERRIDE",M$11)*1,"")))</f>
        <v/>
      </c>
      <c r="N83" s="17" t="str">
        <f ca="1">IF(ISNA($B83),"",IF($B83="","",IFERROR(_xll.BDP(TICKER,"DEEP_MEASURE_PERIOD_BROKER_VALUE","DEEP_MEASURE_ID_OVERRIDE",$C83,"DEEP_BROKER_ID_OVERRIDE",$F$7,"DEEP_PERIOD_OVERRIDE",N$11)*1,"")))</f>
        <v/>
      </c>
      <c r="O83" s="17" t="str">
        <f ca="1">IF(ISNA($B83),"",IF($B83="","",IFERROR(_xll.BDP(TICKER,"DEEP_MEASURE_PERIOD_BROKER_VALUE","DEEP_MEASURE_ID_OVERRIDE",$C83,"DEEP_BROKER_ID_OVERRIDE",$F$7,"DEEP_PERIOD_OVERRIDE",O$11)*1,"")))</f>
        <v/>
      </c>
      <c r="P83" s="17" t="str">
        <f ca="1">IF(ISNA($B83),"",IF($B83="","",IFERROR(_xll.BDP(TICKER,"DEEP_MEASURE_PERIOD_BROKER_VALUE","DEEP_MEASURE_ID_OVERRIDE",$C83,"DEEP_BROKER_ID_OVERRIDE",$F$7,"DEEP_PERIOD_OVERRIDE",P$11)*1,"")))</f>
        <v/>
      </c>
      <c r="Q83" s="17" t="str">
        <f ca="1">IF(ISNA($B83),"",IF($B83="","",IFERROR(_xll.BDP(TICKER,"DEEP_MEASURE_PERIOD_BROKER_VALUE","DEEP_MEASURE_ID_OVERRIDE",$C83,"DEEP_BROKER_ID_OVERRIDE",$F$7,"DEEP_PERIOD_OVERRIDE",Q$11)*1,"")))</f>
        <v/>
      </c>
      <c r="R83" s="17" t="str">
        <f ca="1">IF(ISNA($B83),"",IF($B83="","",IFERROR(_xll.BDP(TICKER,"DEEP_MEASURE_PERIOD_BROKER_VALUE","DEEP_MEASURE_ID_OVERRIDE",$C83,"DEEP_BROKER_ID_OVERRIDE",$F$7,"DEEP_PERIOD_OVERRIDE",R$11)*1,"")))</f>
        <v/>
      </c>
      <c r="S83" s="17" t="str">
        <f ca="1">IF(ISNA($B83),"",IF($B83="","",IFERROR(_xll.BDP(TICKER,"DEEP_MEASURE_PERIOD_BROKER_VALUE","DEEP_MEASURE_ID_OVERRIDE",$C83,"DEEP_BROKER_ID_OVERRIDE",$F$7,"DEEP_PERIOD_OVERRIDE",S$11)*1,"")))</f>
        <v/>
      </c>
      <c r="T83" s="17" t="str">
        <f ca="1">IF(ISNA($B83),"",IF($B83="","",IFERROR(_xll.BDP(TICKER,"DEEP_MEASURE_PERIOD_BROKER_VALUE","DEEP_MEASURE_ID_OVERRIDE",$C83,"DEEP_BROKER_ID_OVERRIDE",$F$7,"DEEP_PERIOD_OVERRIDE",T$11)*1,"")))</f>
        <v/>
      </c>
      <c r="U83" s="17" t="str">
        <f ca="1">IF(ISNA($B83),"",IF($B83="","",IFERROR(_xll.BDP(TICKER,"DEEP_MEASURE_PERIOD_BROKER_VALUE","DEEP_MEASURE_ID_OVERRIDE",$C83,"DEEP_BROKER_ID_OVERRIDE",$F$7,"DEEP_PERIOD_OVERRIDE",U$11)*1,"")))</f>
        <v/>
      </c>
      <c r="V83" s="17" t="str">
        <f ca="1">IF(ISNA($B83),"",IF($B83="","",IFERROR(_xll.BDP(TICKER,"DEEP_MEASURE_PERIOD_BROKER_VALUE","DEEP_MEASURE_ID_OVERRIDE",$C83,"DEEP_BROKER_ID_OVERRIDE",$F$7,"DEEP_PERIOD_OVERRIDE",V$11)*1,"")))</f>
        <v/>
      </c>
      <c r="W83" s="17" t="str">
        <f ca="1">IF(ISNA($B83),"",IF($B83="","",IFERROR(_xll.BDP(TICKER,"DEEP_MEASURE_PERIOD_BROKER_VALUE","DEEP_MEASURE_ID_OVERRIDE",$C83,"DEEP_BROKER_ID_OVERRIDE",$F$7,"DEEP_PERIOD_OVERRIDE",W$11)*1,"")))</f>
        <v/>
      </c>
      <c r="X83" s="17" t="str">
        <f ca="1">IF(ISNA($B83),"",IF($B83="","",IFERROR(_xll.BDP(TICKER,"DEEP_MEASURE_PERIOD_BROKER_VALUE","DEEP_MEASURE_ID_OVERRIDE",$C83,"DEEP_BROKER_ID_OVERRIDE",$F$7,"DEEP_PERIOD_OVERRIDE",X$11)*1,"")))</f>
        <v/>
      </c>
      <c r="Y83" s="17" t="str">
        <f ca="1">IF(ISNA($B83),"",IF($B83="","",IFERROR(_xll.BDP(TICKER,"DEEP_MEASURE_PERIOD_BROKER_VALUE","DEEP_MEASURE_ID_OVERRIDE",$C83,"DEEP_BROKER_ID_OVERRIDE",$F$7,"DEEP_PERIOD_OVERRIDE",Y$11)*1,"")))</f>
        <v/>
      </c>
      <c r="Z83" s="17" t="str">
        <f ca="1">IF(ISNA($B83),"",IF($B83="","",IFERROR(_xll.BDP(TICKER,"DEEP_MEASURE_PERIOD_BROKER_VALUE","DEEP_MEASURE_ID_OVERRIDE",$C83,"DEEP_BROKER_ID_OVERRIDE",$F$7,"DEEP_PERIOD_OVERRIDE",Z$11)*1,"")))</f>
        <v/>
      </c>
      <c r="AA83" s="17" t="str">
        <f ca="1">IF(ISNA($B83),"",IF($B83="","",IFERROR(_xll.BDP(TICKER,"DEEP_MEASURE_PERIOD_BROKER_VALUE","DEEP_MEASURE_ID_OVERRIDE",$C83,"DEEP_BROKER_ID_OVERRIDE",$F$7,"DEEP_PERIOD_OVERRIDE",AA$11)*1,"")))</f>
        <v/>
      </c>
      <c r="AB83" s="17" t="str">
        <f ca="1">IF(ISNA($B83),"",IF($B83="","",IFERROR(_xll.BDP(TICKER,"DEEP_MEASURE_PERIOD_BROKER_VALUE","DEEP_MEASURE_ID_OVERRIDE",$C83,"DEEP_BROKER_ID_OVERRIDE",$F$7,"DEEP_PERIOD_OVERRIDE",AB$11)*1,"")))</f>
        <v/>
      </c>
      <c r="AC83" s="17" t="str">
        <f ca="1">IF(ISNA($B83),"",IF($B83="","",IFERROR(_xll.BDP(TICKER,"DEEP_MEASURE_PERIOD_BROKER_VALUE","DEEP_MEASURE_ID_OVERRIDE",$C83,"DEEP_BROKER_ID_OVERRIDE",$F$7,"DEEP_PERIOD_OVERRIDE",AC$11)*1,"")))</f>
        <v/>
      </c>
      <c r="AD83" s="17" t="str">
        <f ca="1">IF(ISNA($B83),"",IF($B83="","",IFERROR(_xll.BDP(TICKER,"DEEP_MEASURE_PERIOD_BROKER_VALUE","DEEP_MEASURE_ID_OVERRIDE",$C83,"DEEP_BROKER_ID_OVERRIDE",$F$7,"DEEP_PERIOD_OVERRIDE",AD$11)*1,"")))</f>
        <v/>
      </c>
      <c r="AE83" s="17" t="str">
        <f ca="1">IF(ISNA($B83),"",IF($B83="","",IFERROR(_xll.BDP(TICKER,"DEEP_MEASURE_PERIOD_BROKER_VALUE","DEEP_MEASURE_ID_OVERRIDE",$C83,"DEEP_BROKER_ID_OVERRIDE",$F$7,"DEEP_PERIOD_OVERRIDE",AE$11)*1,"")))</f>
        <v/>
      </c>
      <c r="AF83" s="17" t="str">
        <f ca="1">IF(ISNA($B83),"",IF($B83="","",IFERROR(_xll.BDP(TICKER,"DEEP_MEASURE_PERIOD_BROKER_VALUE","DEEP_MEASURE_ID_OVERRIDE",$C83,"DEEP_BROKER_ID_OVERRIDE",$F$7,"DEEP_PERIOD_OVERRIDE",AF$11)*1,"")))</f>
        <v/>
      </c>
      <c r="AG83" s="17" t="str">
        <f ca="1">IF(ISNA($B83),"",IF($B83="","",IFERROR(_xll.BDP(TICKER,"DEEP_MEASURE_PERIOD_BROKER_VALUE","DEEP_MEASURE_ID_OVERRIDE",$C83,"DEEP_BROKER_ID_OVERRIDE",$F$7,"DEEP_PERIOD_OVERRIDE",AG$11)*1,"")))</f>
        <v/>
      </c>
      <c r="AH83" s="17" t="str">
        <f ca="1">IF(ISNA($B83),"",IF($B83="","",IFERROR(_xll.BDP(TICKER,"DEEP_MEASURE_PERIOD_BROKER_VALUE","DEEP_MEASURE_ID_OVERRIDE",$C83,"DEEP_BROKER_ID_OVERRIDE",$F$7,"DEEP_PERIOD_OVERRIDE",AH$11)*1,"")))</f>
        <v/>
      </c>
      <c r="AI83" s="17" t="str">
        <f ca="1">IF(ISNA($B83),"",IF($B83="","",IFERROR(_xll.BDP(TICKER,"DEEP_MEASURE_PERIOD_BROKER_VALUE","DEEP_MEASURE_ID_OVERRIDE",$C83,"DEEP_BROKER_ID_OVERRIDE",$F$7,"DEEP_PERIOD_OVERRIDE",AI$11)*1,"")))</f>
        <v/>
      </c>
      <c r="AJ83" s="17" t="str">
        <f ca="1">IF(ISNA($B83),"",IF($B83="","",IFERROR(_xll.BDP(TICKER,"DEEP_MEASURE_PERIOD_BROKER_VALUE","DEEP_MEASURE_ID_OVERRIDE",$C83,"DEEP_BROKER_ID_OVERRIDE",$F$7,"DEEP_PERIOD_OVERRIDE",AJ$11)*1,"")))</f>
        <v/>
      </c>
      <c r="AK83" s="17" t="str">
        <f ca="1">IF(ISNA($B83),"",IF($B83="","",IFERROR(_xll.BDP(TICKER,"DEEP_MEASURE_PERIOD_BROKER_VALUE","DEEP_MEASURE_ID_OVERRIDE",$C83,"DEEP_BROKER_ID_OVERRIDE",$F$7,"DEEP_PERIOD_OVERRIDE",AK$11)*1,"")))</f>
        <v/>
      </c>
      <c r="AL83" s="17" t="str">
        <f ca="1">IF(ISNA($B83),"",IF($B83="","",IFERROR(_xll.BDP(TICKER,"DEEP_MEASURE_PERIOD_BROKER_VALUE","DEEP_MEASURE_ID_OVERRIDE",$C83,"DEEP_BROKER_ID_OVERRIDE",$F$7,"DEEP_PERIOD_OVERRIDE",AL$11)*1,"")))</f>
        <v/>
      </c>
      <c r="AM83" s="17" t="str">
        <f ca="1">IF(ISNA($B83),"",IF($B83="","",IFERROR(_xll.BDP(TICKER,"DEEP_MEASURE_PERIOD_BROKER_VALUE","DEEP_MEASURE_ID_OVERRIDE",$C83,"DEEP_BROKER_ID_OVERRIDE",$F$7,"DEEP_PERIOD_OVERRIDE",AM$11)*1,"")))</f>
        <v/>
      </c>
      <c r="AN83" s="17" t="str">
        <f ca="1">IF(ISNA($B83),"",IF($B83="","",IFERROR(_xll.BDP(TICKER,"DEEP_MEASURE_PERIOD_BROKER_VALUE","DEEP_MEASURE_ID_OVERRIDE",$C83,"DEEP_BROKER_ID_OVERRIDE",$F$7,"DEEP_PERIOD_OVERRIDE",AN$11)*1,"")))</f>
        <v/>
      </c>
      <c r="AO83" s="17" t="str">
        <f ca="1">IF(ISNA($B83),"",IF($B83="","",IFERROR(_xll.BDP(TICKER,"DEEP_MEASURE_PERIOD_BROKER_VALUE","DEEP_MEASURE_ID_OVERRIDE",$C83,"DEEP_BROKER_ID_OVERRIDE",$F$7,"DEEP_PERIOD_OVERRIDE",AO$11)*1,"")))</f>
        <v/>
      </c>
      <c r="AP83" s="17" t="str">
        <f ca="1">IF(ISNA($B83),"",IF($B83="","",IFERROR(_xll.BDP(TICKER,"DEEP_MEASURE_PERIOD_BROKER_VALUE","DEEP_MEASURE_ID_OVERRIDE",$C83,"DEEP_BROKER_ID_OVERRIDE",$F$7,"DEEP_PERIOD_OVERRIDE",AP$11)*1,"")))</f>
        <v/>
      </c>
      <c r="AQ83" s="17" t="str">
        <f ca="1">IF(ISNA($B83),"",IF($B83="","",IFERROR(_xll.BDP(TICKER,"DEEP_MEASURE_PERIOD_BROKER_VALUE","DEEP_MEASURE_ID_OVERRIDE",$C83,"DEEP_BROKER_ID_OVERRIDE",$F$7,"DEEP_PERIOD_OVERRIDE",AQ$11)*1,"")))</f>
        <v/>
      </c>
    </row>
    <row r="84" spans="2:43" x14ac:dyDescent="0.25">
      <c r="B84" t="s">
        <v>131</v>
      </c>
      <c r="C84" s="11">
        <v>3315</v>
      </c>
      <c r="H84" t="str">
        <f t="shared" si="2"/>
        <v>Cost of Revenue &gt; Personnel &amp; Overhead</v>
      </c>
      <c r="I84" s="17" t="str">
        <f ca="1">IF(ISNA($B84),"",IF($B84="","",IFERROR(_xll.BDP(TICKER,"DEEP_MEASURE_PERIOD_BROKER_VALUE","DEEP_MEASURE_ID_OVERRIDE",$C84,"DEEP_BROKER_ID_OVERRIDE",$F$7,"DEEP_PERIOD_OVERRIDE",I$11)*1,"")))</f>
        <v/>
      </c>
      <c r="J84" s="17" t="str">
        <f ca="1">IF(ISNA($B84),"",IF($B84="","",IFERROR(_xll.BDP(TICKER,"DEEP_MEASURE_PERIOD_BROKER_VALUE","DEEP_MEASURE_ID_OVERRIDE",$C84,"DEEP_BROKER_ID_OVERRIDE",$F$7,"DEEP_PERIOD_OVERRIDE",J$11)*1,"")))</f>
        <v/>
      </c>
      <c r="K84" s="17" t="str">
        <f ca="1">IF(ISNA($B84),"",IF($B84="","",IFERROR(_xll.BDP(TICKER,"DEEP_MEASURE_PERIOD_BROKER_VALUE","DEEP_MEASURE_ID_OVERRIDE",$C84,"DEEP_BROKER_ID_OVERRIDE",$F$7,"DEEP_PERIOD_OVERRIDE",K$11)*1,"")))</f>
        <v/>
      </c>
      <c r="L84" s="17" t="str">
        <f ca="1">IF(ISNA($B84),"",IF($B84="","",IFERROR(_xll.BDP(TICKER,"DEEP_MEASURE_PERIOD_BROKER_VALUE","DEEP_MEASURE_ID_OVERRIDE",$C84,"DEEP_BROKER_ID_OVERRIDE",$F$7,"DEEP_PERIOD_OVERRIDE",L$11)*1,"")))</f>
        <v/>
      </c>
      <c r="M84" s="17" t="str">
        <f ca="1">IF(ISNA($B84),"",IF($B84="","",IFERROR(_xll.BDP(TICKER,"DEEP_MEASURE_PERIOD_BROKER_VALUE","DEEP_MEASURE_ID_OVERRIDE",$C84,"DEEP_BROKER_ID_OVERRIDE",$F$7,"DEEP_PERIOD_OVERRIDE",M$11)*1,"")))</f>
        <v/>
      </c>
      <c r="N84" s="17" t="str">
        <f ca="1">IF(ISNA($B84),"",IF($B84="","",IFERROR(_xll.BDP(TICKER,"DEEP_MEASURE_PERIOD_BROKER_VALUE","DEEP_MEASURE_ID_OVERRIDE",$C84,"DEEP_BROKER_ID_OVERRIDE",$F$7,"DEEP_PERIOD_OVERRIDE",N$11)*1,"")))</f>
        <v/>
      </c>
      <c r="O84" s="17" t="str">
        <f ca="1">IF(ISNA($B84),"",IF($B84="","",IFERROR(_xll.BDP(TICKER,"DEEP_MEASURE_PERIOD_BROKER_VALUE","DEEP_MEASURE_ID_OVERRIDE",$C84,"DEEP_BROKER_ID_OVERRIDE",$F$7,"DEEP_PERIOD_OVERRIDE",O$11)*1,"")))</f>
        <v/>
      </c>
      <c r="P84" s="17" t="str">
        <f ca="1">IF(ISNA($B84),"",IF($B84="","",IFERROR(_xll.BDP(TICKER,"DEEP_MEASURE_PERIOD_BROKER_VALUE","DEEP_MEASURE_ID_OVERRIDE",$C84,"DEEP_BROKER_ID_OVERRIDE",$F$7,"DEEP_PERIOD_OVERRIDE",P$11)*1,"")))</f>
        <v/>
      </c>
      <c r="Q84" s="17" t="str">
        <f ca="1">IF(ISNA($B84),"",IF($B84="","",IFERROR(_xll.BDP(TICKER,"DEEP_MEASURE_PERIOD_BROKER_VALUE","DEEP_MEASURE_ID_OVERRIDE",$C84,"DEEP_BROKER_ID_OVERRIDE",$F$7,"DEEP_PERIOD_OVERRIDE",Q$11)*1,"")))</f>
        <v/>
      </c>
      <c r="R84" s="17" t="str">
        <f ca="1">IF(ISNA($B84),"",IF($B84="","",IFERROR(_xll.BDP(TICKER,"DEEP_MEASURE_PERIOD_BROKER_VALUE","DEEP_MEASURE_ID_OVERRIDE",$C84,"DEEP_BROKER_ID_OVERRIDE",$F$7,"DEEP_PERIOD_OVERRIDE",R$11)*1,"")))</f>
        <v/>
      </c>
      <c r="S84" s="17" t="str">
        <f ca="1">IF(ISNA($B84),"",IF($B84="","",IFERROR(_xll.BDP(TICKER,"DEEP_MEASURE_PERIOD_BROKER_VALUE","DEEP_MEASURE_ID_OVERRIDE",$C84,"DEEP_BROKER_ID_OVERRIDE",$F$7,"DEEP_PERIOD_OVERRIDE",S$11)*1,"")))</f>
        <v/>
      </c>
      <c r="T84" s="17" t="str">
        <f ca="1">IF(ISNA($B84),"",IF($B84="","",IFERROR(_xll.BDP(TICKER,"DEEP_MEASURE_PERIOD_BROKER_VALUE","DEEP_MEASURE_ID_OVERRIDE",$C84,"DEEP_BROKER_ID_OVERRIDE",$F$7,"DEEP_PERIOD_OVERRIDE",T$11)*1,"")))</f>
        <v/>
      </c>
      <c r="U84" s="17" t="str">
        <f ca="1">IF(ISNA($B84),"",IF($B84="","",IFERROR(_xll.BDP(TICKER,"DEEP_MEASURE_PERIOD_BROKER_VALUE","DEEP_MEASURE_ID_OVERRIDE",$C84,"DEEP_BROKER_ID_OVERRIDE",$F$7,"DEEP_PERIOD_OVERRIDE",U$11)*1,"")))</f>
        <v/>
      </c>
      <c r="V84" s="17" t="str">
        <f ca="1">IF(ISNA($B84),"",IF($B84="","",IFERROR(_xll.BDP(TICKER,"DEEP_MEASURE_PERIOD_BROKER_VALUE","DEEP_MEASURE_ID_OVERRIDE",$C84,"DEEP_BROKER_ID_OVERRIDE",$F$7,"DEEP_PERIOD_OVERRIDE",V$11)*1,"")))</f>
        <v/>
      </c>
      <c r="W84" s="17" t="str">
        <f ca="1">IF(ISNA($B84),"",IF($B84="","",IFERROR(_xll.BDP(TICKER,"DEEP_MEASURE_PERIOD_BROKER_VALUE","DEEP_MEASURE_ID_OVERRIDE",$C84,"DEEP_BROKER_ID_OVERRIDE",$F$7,"DEEP_PERIOD_OVERRIDE",W$11)*1,"")))</f>
        <v/>
      </c>
      <c r="X84" s="17" t="str">
        <f ca="1">IF(ISNA($B84),"",IF($B84="","",IFERROR(_xll.BDP(TICKER,"DEEP_MEASURE_PERIOD_BROKER_VALUE","DEEP_MEASURE_ID_OVERRIDE",$C84,"DEEP_BROKER_ID_OVERRIDE",$F$7,"DEEP_PERIOD_OVERRIDE",X$11)*1,"")))</f>
        <v/>
      </c>
      <c r="Y84" s="17" t="str">
        <f ca="1">IF(ISNA($B84),"",IF($B84="","",IFERROR(_xll.BDP(TICKER,"DEEP_MEASURE_PERIOD_BROKER_VALUE","DEEP_MEASURE_ID_OVERRIDE",$C84,"DEEP_BROKER_ID_OVERRIDE",$F$7,"DEEP_PERIOD_OVERRIDE",Y$11)*1,"")))</f>
        <v/>
      </c>
      <c r="Z84" s="17" t="str">
        <f ca="1">IF(ISNA($B84),"",IF($B84="","",IFERROR(_xll.BDP(TICKER,"DEEP_MEASURE_PERIOD_BROKER_VALUE","DEEP_MEASURE_ID_OVERRIDE",$C84,"DEEP_BROKER_ID_OVERRIDE",$F$7,"DEEP_PERIOD_OVERRIDE",Z$11)*1,"")))</f>
        <v/>
      </c>
      <c r="AA84" s="17" t="str">
        <f ca="1">IF(ISNA($B84),"",IF($B84="","",IFERROR(_xll.BDP(TICKER,"DEEP_MEASURE_PERIOD_BROKER_VALUE","DEEP_MEASURE_ID_OVERRIDE",$C84,"DEEP_BROKER_ID_OVERRIDE",$F$7,"DEEP_PERIOD_OVERRIDE",AA$11)*1,"")))</f>
        <v/>
      </c>
      <c r="AB84" s="17" t="str">
        <f ca="1">IF(ISNA($B84),"",IF($B84="","",IFERROR(_xll.BDP(TICKER,"DEEP_MEASURE_PERIOD_BROKER_VALUE","DEEP_MEASURE_ID_OVERRIDE",$C84,"DEEP_BROKER_ID_OVERRIDE",$F$7,"DEEP_PERIOD_OVERRIDE",AB$11)*1,"")))</f>
        <v/>
      </c>
      <c r="AC84" s="17" t="str">
        <f ca="1">IF(ISNA($B84),"",IF($B84="","",IFERROR(_xll.BDP(TICKER,"DEEP_MEASURE_PERIOD_BROKER_VALUE","DEEP_MEASURE_ID_OVERRIDE",$C84,"DEEP_BROKER_ID_OVERRIDE",$F$7,"DEEP_PERIOD_OVERRIDE",AC$11)*1,"")))</f>
        <v/>
      </c>
      <c r="AD84" s="17" t="str">
        <f ca="1">IF(ISNA($B84),"",IF($B84="","",IFERROR(_xll.BDP(TICKER,"DEEP_MEASURE_PERIOD_BROKER_VALUE","DEEP_MEASURE_ID_OVERRIDE",$C84,"DEEP_BROKER_ID_OVERRIDE",$F$7,"DEEP_PERIOD_OVERRIDE",AD$11)*1,"")))</f>
        <v/>
      </c>
      <c r="AE84" s="17" t="str">
        <f ca="1">IF(ISNA($B84),"",IF($B84="","",IFERROR(_xll.BDP(TICKER,"DEEP_MEASURE_PERIOD_BROKER_VALUE","DEEP_MEASURE_ID_OVERRIDE",$C84,"DEEP_BROKER_ID_OVERRIDE",$F$7,"DEEP_PERIOD_OVERRIDE",AE$11)*1,"")))</f>
        <v/>
      </c>
      <c r="AF84" s="17" t="str">
        <f ca="1">IF(ISNA($B84),"",IF($B84="","",IFERROR(_xll.BDP(TICKER,"DEEP_MEASURE_PERIOD_BROKER_VALUE","DEEP_MEASURE_ID_OVERRIDE",$C84,"DEEP_BROKER_ID_OVERRIDE",$F$7,"DEEP_PERIOD_OVERRIDE",AF$11)*1,"")))</f>
        <v/>
      </c>
      <c r="AG84" s="17" t="str">
        <f ca="1">IF(ISNA($B84),"",IF($B84="","",IFERROR(_xll.BDP(TICKER,"DEEP_MEASURE_PERIOD_BROKER_VALUE","DEEP_MEASURE_ID_OVERRIDE",$C84,"DEEP_BROKER_ID_OVERRIDE",$F$7,"DEEP_PERIOD_OVERRIDE",AG$11)*1,"")))</f>
        <v/>
      </c>
      <c r="AH84" s="17" t="str">
        <f ca="1">IF(ISNA($B84),"",IF($B84="","",IFERROR(_xll.BDP(TICKER,"DEEP_MEASURE_PERIOD_BROKER_VALUE","DEEP_MEASURE_ID_OVERRIDE",$C84,"DEEP_BROKER_ID_OVERRIDE",$F$7,"DEEP_PERIOD_OVERRIDE",AH$11)*1,"")))</f>
        <v/>
      </c>
      <c r="AI84" s="17" t="str">
        <f ca="1">IF(ISNA($B84),"",IF($B84="","",IFERROR(_xll.BDP(TICKER,"DEEP_MEASURE_PERIOD_BROKER_VALUE","DEEP_MEASURE_ID_OVERRIDE",$C84,"DEEP_BROKER_ID_OVERRIDE",$F$7,"DEEP_PERIOD_OVERRIDE",AI$11)*1,"")))</f>
        <v/>
      </c>
      <c r="AJ84" s="17" t="str">
        <f ca="1">IF(ISNA($B84),"",IF($B84="","",IFERROR(_xll.BDP(TICKER,"DEEP_MEASURE_PERIOD_BROKER_VALUE","DEEP_MEASURE_ID_OVERRIDE",$C84,"DEEP_BROKER_ID_OVERRIDE",$F$7,"DEEP_PERIOD_OVERRIDE",AJ$11)*1,"")))</f>
        <v/>
      </c>
      <c r="AK84" s="17" t="str">
        <f ca="1">IF(ISNA($B84),"",IF($B84="","",IFERROR(_xll.BDP(TICKER,"DEEP_MEASURE_PERIOD_BROKER_VALUE","DEEP_MEASURE_ID_OVERRIDE",$C84,"DEEP_BROKER_ID_OVERRIDE",$F$7,"DEEP_PERIOD_OVERRIDE",AK$11)*1,"")))</f>
        <v/>
      </c>
      <c r="AL84" s="17" t="str">
        <f ca="1">IF(ISNA($B84),"",IF($B84="","",IFERROR(_xll.BDP(TICKER,"DEEP_MEASURE_PERIOD_BROKER_VALUE","DEEP_MEASURE_ID_OVERRIDE",$C84,"DEEP_BROKER_ID_OVERRIDE",$F$7,"DEEP_PERIOD_OVERRIDE",AL$11)*1,"")))</f>
        <v/>
      </c>
      <c r="AM84" s="17" t="str">
        <f ca="1">IF(ISNA($B84),"",IF($B84="","",IFERROR(_xll.BDP(TICKER,"DEEP_MEASURE_PERIOD_BROKER_VALUE","DEEP_MEASURE_ID_OVERRIDE",$C84,"DEEP_BROKER_ID_OVERRIDE",$F$7,"DEEP_PERIOD_OVERRIDE",AM$11)*1,"")))</f>
        <v/>
      </c>
      <c r="AN84" s="17" t="str">
        <f ca="1">IF(ISNA($B84),"",IF($B84="","",IFERROR(_xll.BDP(TICKER,"DEEP_MEASURE_PERIOD_BROKER_VALUE","DEEP_MEASURE_ID_OVERRIDE",$C84,"DEEP_BROKER_ID_OVERRIDE",$F$7,"DEEP_PERIOD_OVERRIDE",AN$11)*1,"")))</f>
        <v/>
      </c>
      <c r="AO84" s="17" t="str">
        <f ca="1">IF(ISNA($B84),"",IF($B84="","",IFERROR(_xll.BDP(TICKER,"DEEP_MEASURE_PERIOD_BROKER_VALUE","DEEP_MEASURE_ID_OVERRIDE",$C84,"DEEP_BROKER_ID_OVERRIDE",$F$7,"DEEP_PERIOD_OVERRIDE",AO$11)*1,"")))</f>
        <v/>
      </c>
      <c r="AP84" s="17" t="str">
        <f ca="1">IF(ISNA($B84),"",IF($B84="","",IFERROR(_xll.BDP(TICKER,"DEEP_MEASURE_PERIOD_BROKER_VALUE","DEEP_MEASURE_ID_OVERRIDE",$C84,"DEEP_BROKER_ID_OVERRIDE",$F$7,"DEEP_PERIOD_OVERRIDE",AP$11)*1,"")))</f>
        <v/>
      </c>
      <c r="AQ84" s="17" t="str">
        <f ca="1">IF(ISNA($B84),"",IF($B84="","",IFERROR(_xll.BDP(TICKER,"DEEP_MEASURE_PERIOD_BROKER_VALUE","DEEP_MEASURE_ID_OVERRIDE",$C84,"DEEP_BROKER_ID_OVERRIDE",$F$7,"DEEP_PERIOD_OVERRIDE",AQ$11)*1,"")))</f>
        <v/>
      </c>
    </row>
    <row r="85" spans="2:43" x14ac:dyDescent="0.25">
      <c r="B85" t="s">
        <v>14</v>
      </c>
      <c r="C85" s="11">
        <v>529</v>
      </c>
      <c r="H85" t="str">
        <f t="shared" ref="H85:H148" si="3">IF(ISNA($B85),"",IF(ISBLANK($B85),"",$B85))</f>
        <v>Gross Profit</v>
      </c>
      <c r="I85" s="17" t="str">
        <f ca="1">IF(ISNA($B85),"",IF($B85="","",IFERROR(_xll.BDP(TICKER,"DEEP_MEASURE_PERIOD_BROKER_VALUE","DEEP_MEASURE_ID_OVERRIDE",$C85,"DEEP_BROKER_ID_OVERRIDE",$F$7,"DEEP_PERIOD_OVERRIDE",I$11)*1,"")))</f>
        <v/>
      </c>
      <c r="J85" s="17" t="str">
        <f ca="1">IF(ISNA($B85),"",IF($B85="","",IFERROR(_xll.BDP(TICKER,"DEEP_MEASURE_PERIOD_BROKER_VALUE","DEEP_MEASURE_ID_OVERRIDE",$C85,"DEEP_BROKER_ID_OVERRIDE",$F$7,"DEEP_PERIOD_OVERRIDE",J$11)*1,"")))</f>
        <v/>
      </c>
      <c r="K85" s="17" t="str">
        <f ca="1">IF(ISNA($B85),"",IF($B85="","",IFERROR(_xll.BDP(TICKER,"DEEP_MEASURE_PERIOD_BROKER_VALUE","DEEP_MEASURE_ID_OVERRIDE",$C85,"DEEP_BROKER_ID_OVERRIDE",$F$7,"DEEP_PERIOD_OVERRIDE",K$11)*1,"")))</f>
        <v/>
      </c>
      <c r="L85" s="17" t="str">
        <f ca="1">IF(ISNA($B85),"",IF($B85="","",IFERROR(_xll.BDP(TICKER,"DEEP_MEASURE_PERIOD_BROKER_VALUE","DEEP_MEASURE_ID_OVERRIDE",$C85,"DEEP_BROKER_ID_OVERRIDE",$F$7,"DEEP_PERIOD_OVERRIDE",L$11)*1,"")))</f>
        <v/>
      </c>
      <c r="M85" s="17" t="str">
        <f ca="1">IF(ISNA($B85),"",IF($B85="","",IFERROR(_xll.BDP(TICKER,"DEEP_MEASURE_PERIOD_BROKER_VALUE","DEEP_MEASURE_ID_OVERRIDE",$C85,"DEEP_BROKER_ID_OVERRIDE",$F$7,"DEEP_PERIOD_OVERRIDE",M$11)*1,"")))</f>
        <v/>
      </c>
      <c r="N85" s="17" t="str">
        <f ca="1">IF(ISNA($B85),"",IF($B85="","",IFERROR(_xll.BDP(TICKER,"DEEP_MEASURE_PERIOD_BROKER_VALUE","DEEP_MEASURE_ID_OVERRIDE",$C85,"DEEP_BROKER_ID_OVERRIDE",$F$7,"DEEP_PERIOD_OVERRIDE",N$11)*1,"")))</f>
        <v/>
      </c>
      <c r="O85" s="17" t="str">
        <f ca="1">IF(ISNA($B85),"",IF($B85="","",IFERROR(_xll.BDP(TICKER,"DEEP_MEASURE_PERIOD_BROKER_VALUE","DEEP_MEASURE_ID_OVERRIDE",$C85,"DEEP_BROKER_ID_OVERRIDE",$F$7,"DEEP_PERIOD_OVERRIDE",O$11)*1,"")))</f>
        <v/>
      </c>
      <c r="P85" s="17" t="str">
        <f ca="1">IF(ISNA($B85),"",IF($B85="","",IFERROR(_xll.BDP(TICKER,"DEEP_MEASURE_PERIOD_BROKER_VALUE","DEEP_MEASURE_ID_OVERRIDE",$C85,"DEEP_BROKER_ID_OVERRIDE",$F$7,"DEEP_PERIOD_OVERRIDE",P$11)*1,"")))</f>
        <v/>
      </c>
      <c r="Q85" s="17" t="str">
        <f ca="1">IF(ISNA($B85),"",IF($B85="","",IFERROR(_xll.BDP(TICKER,"DEEP_MEASURE_PERIOD_BROKER_VALUE","DEEP_MEASURE_ID_OVERRIDE",$C85,"DEEP_BROKER_ID_OVERRIDE",$F$7,"DEEP_PERIOD_OVERRIDE",Q$11)*1,"")))</f>
        <v/>
      </c>
      <c r="R85" s="17" t="str">
        <f ca="1">IF(ISNA($B85),"",IF($B85="","",IFERROR(_xll.BDP(TICKER,"DEEP_MEASURE_PERIOD_BROKER_VALUE","DEEP_MEASURE_ID_OVERRIDE",$C85,"DEEP_BROKER_ID_OVERRIDE",$F$7,"DEEP_PERIOD_OVERRIDE",R$11)*1,"")))</f>
        <v/>
      </c>
      <c r="S85" s="17" t="str">
        <f ca="1">IF(ISNA($B85),"",IF($B85="","",IFERROR(_xll.BDP(TICKER,"DEEP_MEASURE_PERIOD_BROKER_VALUE","DEEP_MEASURE_ID_OVERRIDE",$C85,"DEEP_BROKER_ID_OVERRIDE",$F$7,"DEEP_PERIOD_OVERRIDE",S$11)*1,"")))</f>
        <v/>
      </c>
      <c r="T85" s="17" t="str">
        <f ca="1">IF(ISNA($B85),"",IF($B85="","",IFERROR(_xll.BDP(TICKER,"DEEP_MEASURE_PERIOD_BROKER_VALUE","DEEP_MEASURE_ID_OVERRIDE",$C85,"DEEP_BROKER_ID_OVERRIDE",$F$7,"DEEP_PERIOD_OVERRIDE",T$11)*1,"")))</f>
        <v/>
      </c>
      <c r="U85" s="17" t="str">
        <f ca="1">IF(ISNA($B85),"",IF($B85="","",IFERROR(_xll.BDP(TICKER,"DEEP_MEASURE_PERIOD_BROKER_VALUE","DEEP_MEASURE_ID_OVERRIDE",$C85,"DEEP_BROKER_ID_OVERRIDE",$F$7,"DEEP_PERIOD_OVERRIDE",U$11)*1,"")))</f>
        <v/>
      </c>
      <c r="V85" s="17" t="str">
        <f ca="1">IF(ISNA($B85),"",IF($B85="","",IFERROR(_xll.BDP(TICKER,"DEEP_MEASURE_PERIOD_BROKER_VALUE","DEEP_MEASURE_ID_OVERRIDE",$C85,"DEEP_BROKER_ID_OVERRIDE",$F$7,"DEEP_PERIOD_OVERRIDE",V$11)*1,"")))</f>
        <v/>
      </c>
      <c r="W85" s="17" t="str">
        <f ca="1">IF(ISNA($B85),"",IF($B85="","",IFERROR(_xll.BDP(TICKER,"DEEP_MEASURE_PERIOD_BROKER_VALUE","DEEP_MEASURE_ID_OVERRIDE",$C85,"DEEP_BROKER_ID_OVERRIDE",$F$7,"DEEP_PERIOD_OVERRIDE",W$11)*1,"")))</f>
        <v/>
      </c>
      <c r="X85" s="17" t="str">
        <f ca="1">IF(ISNA($B85),"",IF($B85="","",IFERROR(_xll.BDP(TICKER,"DEEP_MEASURE_PERIOD_BROKER_VALUE","DEEP_MEASURE_ID_OVERRIDE",$C85,"DEEP_BROKER_ID_OVERRIDE",$F$7,"DEEP_PERIOD_OVERRIDE",X$11)*1,"")))</f>
        <v/>
      </c>
      <c r="Y85" s="17" t="str">
        <f ca="1">IF(ISNA($B85),"",IF($B85="","",IFERROR(_xll.BDP(TICKER,"DEEP_MEASURE_PERIOD_BROKER_VALUE","DEEP_MEASURE_ID_OVERRIDE",$C85,"DEEP_BROKER_ID_OVERRIDE",$F$7,"DEEP_PERIOD_OVERRIDE",Y$11)*1,"")))</f>
        <v/>
      </c>
      <c r="Z85" s="17" t="str">
        <f ca="1">IF(ISNA($B85),"",IF($B85="","",IFERROR(_xll.BDP(TICKER,"DEEP_MEASURE_PERIOD_BROKER_VALUE","DEEP_MEASURE_ID_OVERRIDE",$C85,"DEEP_BROKER_ID_OVERRIDE",$F$7,"DEEP_PERIOD_OVERRIDE",Z$11)*1,"")))</f>
        <v/>
      </c>
      <c r="AA85" s="17" t="str">
        <f ca="1">IF(ISNA($B85),"",IF($B85="","",IFERROR(_xll.BDP(TICKER,"DEEP_MEASURE_PERIOD_BROKER_VALUE","DEEP_MEASURE_ID_OVERRIDE",$C85,"DEEP_BROKER_ID_OVERRIDE",$F$7,"DEEP_PERIOD_OVERRIDE",AA$11)*1,"")))</f>
        <v/>
      </c>
      <c r="AB85" s="17" t="str">
        <f ca="1">IF(ISNA($B85),"",IF($B85="","",IFERROR(_xll.BDP(TICKER,"DEEP_MEASURE_PERIOD_BROKER_VALUE","DEEP_MEASURE_ID_OVERRIDE",$C85,"DEEP_BROKER_ID_OVERRIDE",$F$7,"DEEP_PERIOD_OVERRIDE",AB$11)*1,"")))</f>
        <v/>
      </c>
      <c r="AC85" s="17" t="str">
        <f ca="1">IF(ISNA($B85),"",IF($B85="","",IFERROR(_xll.BDP(TICKER,"DEEP_MEASURE_PERIOD_BROKER_VALUE","DEEP_MEASURE_ID_OVERRIDE",$C85,"DEEP_BROKER_ID_OVERRIDE",$F$7,"DEEP_PERIOD_OVERRIDE",AC$11)*1,"")))</f>
        <v/>
      </c>
      <c r="AD85" s="17" t="str">
        <f ca="1">IF(ISNA($B85),"",IF($B85="","",IFERROR(_xll.BDP(TICKER,"DEEP_MEASURE_PERIOD_BROKER_VALUE","DEEP_MEASURE_ID_OVERRIDE",$C85,"DEEP_BROKER_ID_OVERRIDE",$F$7,"DEEP_PERIOD_OVERRIDE",AD$11)*1,"")))</f>
        <v/>
      </c>
      <c r="AE85" s="17" t="str">
        <f ca="1">IF(ISNA($B85),"",IF($B85="","",IFERROR(_xll.BDP(TICKER,"DEEP_MEASURE_PERIOD_BROKER_VALUE","DEEP_MEASURE_ID_OVERRIDE",$C85,"DEEP_BROKER_ID_OVERRIDE",$F$7,"DEEP_PERIOD_OVERRIDE",AE$11)*1,"")))</f>
        <v/>
      </c>
      <c r="AF85" s="17" t="str">
        <f ca="1">IF(ISNA($B85),"",IF($B85="","",IFERROR(_xll.BDP(TICKER,"DEEP_MEASURE_PERIOD_BROKER_VALUE","DEEP_MEASURE_ID_OVERRIDE",$C85,"DEEP_BROKER_ID_OVERRIDE",$F$7,"DEEP_PERIOD_OVERRIDE",AF$11)*1,"")))</f>
        <v/>
      </c>
      <c r="AG85" s="17" t="str">
        <f ca="1">IF(ISNA($B85),"",IF($B85="","",IFERROR(_xll.BDP(TICKER,"DEEP_MEASURE_PERIOD_BROKER_VALUE","DEEP_MEASURE_ID_OVERRIDE",$C85,"DEEP_BROKER_ID_OVERRIDE",$F$7,"DEEP_PERIOD_OVERRIDE",AG$11)*1,"")))</f>
        <v/>
      </c>
      <c r="AH85" s="17" t="str">
        <f ca="1">IF(ISNA($B85),"",IF($B85="","",IFERROR(_xll.BDP(TICKER,"DEEP_MEASURE_PERIOD_BROKER_VALUE","DEEP_MEASURE_ID_OVERRIDE",$C85,"DEEP_BROKER_ID_OVERRIDE",$F$7,"DEEP_PERIOD_OVERRIDE",AH$11)*1,"")))</f>
        <v/>
      </c>
      <c r="AI85" s="17" t="str">
        <f ca="1">IF(ISNA($B85),"",IF($B85="","",IFERROR(_xll.BDP(TICKER,"DEEP_MEASURE_PERIOD_BROKER_VALUE","DEEP_MEASURE_ID_OVERRIDE",$C85,"DEEP_BROKER_ID_OVERRIDE",$F$7,"DEEP_PERIOD_OVERRIDE",AI$11)*1,"")))</f>
        <v/>
      </c>
      <c r="AJ85" s="17" t="str">
        <f ca="1">IF(ISNA($B85),"",IF($B85="","",IFERROR(_xll.BDP(TICKER,"DEEP_MEASURE_PERIOD_BROKER_VALUE","DEEP_MEASURE_ID_OVERRIDE",$C85,"DEEP_BROKER_ID_OVERRIDE",$F$7,"DEEP_PERIOD_OVERRIDE",AJ$11)*1,"")))</f>
        <v/>
      </c>
      <c r="AK85" s="17" t="str">
        <f ca="1">IF(ISNA($B85),"",IF($B85="","",IFERROR(_xll.BDP(TICKER,"DEEP_MEASURE_PERIOD_BROKER_VALUE","DEEP_MEASURE_ID_OVERRIDE",$C85,"DEEP_BROKER_ID_OVERRIDE",$F$7,"DEEP_PERIOD_OVERRIDE",AK$11)*1,"")))</f>
        <v/>
      </c>
      <c r="AL85" s="17" t="str">
        <f ca="1">IF(ISNA($B85),"",IF($B85="","",IFERROR(_xll.BDP(TICKER,"DEEP_MEASURE_PERIOD_BROKER_VALUE","DEEP_MEASURE_ID_OVERRIDE",$C85,"DEEP_BROKER_ID_OVERRIDE",$F$7,"DEEP_PERIOD_OVERRIDE",AL$11)*1,"")))</f>
        <v/>
      </c>
      <c r="AM85" s="17" t="str">
        <f ca="1">IF(ISNA($B85),"",IF($B85="","",IFERROR(_xll.BDP(TICKER,"DEEP_MEASURE_PERIOD_BROKER_VALUE","DEEP_MEASURE_ID_OVERRIDE",$C85,"DEEP_BROKER_ID_OVERRIDE",$F$7,"DEEP_PERIOD_OVERRIDE",AM$11)*1,"")))</f>
        <v/>
      </c>
      <c r="AN85" s="17" t="str">
        <f ca="1">IF(ISNA($B85),"",IF($B85="","",IFERROR(_xll.BDP(TICKER,"DEEP_MEASURE_PERIOD_BROKER_VALUE","DEEP_MEASURE_ID_OVERRIDE",$C85,"DEEP_BROKER_ID_OVERRIDE",$F$7,"DEEP_PERIOD_OVERRIDE",AN$11)*1,"")))</f>
        <v/>
      </c>
      <c r="AO85" s="17" t="str">
        <f ca="1">IF(ISNA($B85),"",IF($B85="","",IFERROR(_xll.BDP(TICKER,"DEEP_MEASURE_PERIOD_BROKER_VALUE","DEEP_MEASURE_ID_OVERRIDE",$C85,"DEEP_BROKER_ID_OVERRIDE",$F$7,"DEEP_PERIOD_OVERRIDE",AO$11)*1,"")))</f>
        <v/>
      </c>
      <c r="AP85" s="17" t="str">
        <f ca="1">IF(ISNA($B85),"",IF($B85="","",IFERROR(_xll.BDP(TICKER,"DEEP_MEASURE_PERIOD_BROKER_VALUE","DEEP_MEASURE_ID_OVERRIDE",$C85,"DEEP_BROKER_ID_OVERRIDE",$F$7,"DEEP_PERIOD_OVERRIDE",AP$11)*1,"")))</f>
        <v/>
      </c>
      <c r="AQ85" s="17" t="str">
        <f ca="1">IF(ISNA($B85),"",IF($B85="","",IFERROR(_xll.BDP(TICKER,"DEEP_MEASURE_PERIOD_BROKER_VALUE","DEEP_MEASURE_ID_OVERRIDE",$C85,"DEEP_BROKER_ID_OVERRIDE",$F$7,"DEEP_PERIOD_OVERRIDE",AQ$11)*1,"")))</f>
        <v/>
      </c>
    </row>
    <row r="86" spans="2:43" x14ac:dyDescent="0.25">
      <c r="B86" t="s">
        <v>15</v>
      </c>
      <c r="C86" s="11">
        <v>555</v>
      </c>
      <c r="H86" t="str">
        <f t="shared" si="3"/>
        <v>Gross Profit &gt; Gross Margin (%)</v>
      </c>
      <c r="I86" s="17" t="str">
        <f ca="1">IF(ISNA($B86),"",IF($B86="","",IFERROR(_xll.BDP(TICKER,"DEEP_MEASURE_PERIOD_BROKER_VALUE","DEEP_MEASURE_ID_OVERRIDE",$C86,"DEEP_BROKER_ID_OVERRIDE",$F$7,"DEEP_PERIOD_OVERRIDE",I$11)*1,"")))</f>
        <v/>
      </c>
      <c r="J86" s="17" t="str">
        <f ca="1">IF(ISNA($B86),"",IF($B86="","",IFERROR(_xll.BDP(TICKER,"DEEP_MEASURE_PERIOD_BROKER_VALUE","DEEP_MEASURE_ID_OVERRIDE",$C86,"DEEP_BROKER_ID_OVERRIDE",$F$7,"DEEP_PERIOD_OVERRIDE",J$11)*1,"")))</f>
        <v/>
      </c>
      <c r="K86" s="17" t="str">
        <f ca="1">IF(ISNA($B86),"",IF($B86="","",IFERROR(_xll.BDP(TICKER,"DEEP_MEASURE_PERIOD_BROKER_VALUE","DEEP_MEASURE_ID_OVERRIDE",$C86,"DEEP_BROKER_ID_OVERRIDE",$F$7,"DEEP_PERIOD_OVERRIDE",K$11)*1,"")))</f>
        <v/>
      </c>
      <c r="L86" s="17" t="str">
        <f ca="1">IF(ISNA($B86),"",IF($B86="","",IFERROR(_xll.BDP(TICKER,"DEEP_MEASURE_PERIOD_BROKER_VALUE","DEEP_MEASURE_ID_OVERRIDE",$C86,"DEEP_BROKER_ID_OVERRIDE",$F$7,"DEEP_PERIOD_OVERRIDE",L$11)*1,"")))</f>
        <v/>
      </c>
      <c r="M86" s="17" t="str">
        <f ca="1">IF(ISNA($B86),"",IF($B86="","",IFERROR(_xll.BDP(TICKER,"DEEP_MEASURE_PERIOD_BROKER_VALUE","DEEP_MEASURE_ID_OVERRIDE",$C86,"DEEP_BROKER_ID_OVERRIDE",$F$7,"DEEP_PERIOD_OVERRIDE",M$11)*1,"")))</f>
        <v/>
      </c>
      <c r="N86" s="17" t="str">
        <f ca="1">IF(ISNA($B86),"",IF($B86="","",IFERROR(_xll.BDP(TICKER,"DEEP_MEASURE_PERIOD_BROKER_VALUE","DEEP_MEASURE_ID_OVERRIDE",$C86,"DEEP_BROKER_ID_OVERRIDE",$F$7,"DEEP_PERIOD_OVERRIDE",N$11)*1,"")))</f>
        <v/>
      </c>
      <c r="O86" s="17" t="str">
        <f ca="1">IF(ISNA($B86),"",IF($B86="","",IFERROR(_xll.BDP(TICKER,"DEEP_MEASURE_PERIOD_BROKER_VALUE","DEEP_MEASURE_ID_OVERRIDE",$C86,"DEEP_BROKER_ID_OVERRIDE",$F$7,"DEEP_PERIOD_OVERRIDE",O$11)*1,"")))</f>
        <v/>
      </c>
      <c r="P86" s="17" t="str">
        <f ca="1">IF(ISNA($B86),"",IF($B86="","",IFERROR(_xll.BDP(TICKER,"DEEP_MEASURE_PERIOD_BROKER_VALUE","DEEP_MEASURE_ID_OVERRIDE",$C86,"DEEP_BROKER_ID_OVERRIDE",$F$7,"DEEP_PERIOD_OVERRIDE",P$11)*1,"")))</f>
        <v/>
      </c>
      <c r="Q86" s="17" t="str">
        <f ca="1">IF(ISNA($B86),"",IF($B86="","",IFERROR(_xll.BDP(TICKER,"DEEP_MEASURE_PERIOD_BROKER_VALUE","DEEP_MEASURE_ID_OVERRIDE",$C86,"DEEP_BROKER_ID_OVERRIDE",$F$7,"DEEP_PERIOD_OVERRIDE",Q$11)*1,"")))</f>
        <v/>
      </c>
      <c r="R86" s="17" t="str">
        <f ca="1">IF(ISNA($B86),"",IF($B86="","",IFERROR(_xll.BDP(TICKER,"DEEP_MEASURE_PERIOD_BROKER_VALUE","DEEP_MEASURE_ID_OVERRIDE",$C86,"DEEP_BROKER_ID_OVERRIDE",$F$7,"DEEP_PERIOD_OVERRIDE",R$11)*1,"")))</f>
        <v/>
      </c>
      <c r="S86" s="17" t="str">
        <f ca="1">IF(ISNA($B86),"",IF($B86="","",IFERROR(_xll.BDP(TICKER,"DEEP_MEASURE_PERIOD_BROKER_VALUE","DEEP_MEASURE_ID_OVERRIDE",$C86,"DEEP_BROKER_ID_OVERRIDE",$F$7,"DEEP_PERIOD_OVERRIDE",S$11)*1,"")))</f>
        <v/>
      </c>
      <c r="T86" s="17" t="str">
        <f ca="1">IF(ISNA($B86),"",IF($B86="","",IFERROR(_xll.BDP(TICKER,"DEEP_MEASURE_PERIOD_BROKER_VALUE","DEEP_MEASURE_ID_OVERRIDE",$C86,"DEEP_BROKER_ID_OVERRIDE",$F$7,"DEEP_PERIOD_OVERRIDE",T$11)*1,"")))</f>
        <v/>
      </c>
      <c r="U86" s="17" t="str">
        <f ca="1">IF(ISNA($B86),"",IF($B86="","",IFERROR(_xll.BDP(TICKER,"DEEP_MEASURE_PERIOD_BROKER_VALUE","DEEP_MEASURE_ID_OVERRIDE",$C86,"DEEP_BROKER_ID_OVERRIDE",$F$7,"DEEP_PERIOD_OVERRIDE",U$11)*1,"")))</f>
        <v/>
      </c>
      <c r="V86" s="17" t="str">
        <f ca="1">IF(ISNA($B86),"",IF($B86="","",IFERROR(_xll.BDP(TICKER,"DEEP_MEASURE_PERIOD_BROKER_VALUE","DEEP_MEASURE_ID_OVERRIDE",$C86,"DEEP_BROKER_ID_OVERRIDE",$F$7,"DEEP_PERIOD_OVERRIDE",V$11)*1,"")))</f>
        <v/>
      </c>
      <c r="W86" s="17" t="str">
        <f ca="1">IF(ISNA($B86),"",IF($B86="","",IFERROR(_xll.BDP(TICKER,"DEEP_MEASURE_PERIOD_BROKER_VALUE","DEEP_MEASURE_ID_OVERRIDE",$C86,"DEEP_BROKER_ID_OVERRIDE",$F$7,"DEEP_PERIOD_OVERRIDE",W$11)*1,"")))</f>
        <v/>
      </c>
      <c r="X86" s="17" t="str">
        <f ca="1">IF(ISNA($B86),"",IF($B86="","",IFERROR(_xll.BDP(TICKER,"DEEP_MEASURE_PERIOD_BROKER_VALUE","DEEP_MEASURE_ID_OVERRIDE",$C86,"DEEP_BROKER_ID_OVERRIDE",$F$7,"DEEP_PERIOD_OVERRIDE",X$11)*1,"")))</f>
        <v/>
      </c>
      <c r="Y86" s="17" t="str">
        <f ca="1">IF(ISNA($B86),"",IF($B86="","",IFERROR(_xll.BDP(TICKER,"DEEP_MEASURE_PERIOD_BROKER_VALUE","DEEP_MEASURE_ID_OVERRIDE",$C86,"DEEP_BROKER_ID_OVERRIDE",$F$7,"DEEP_PERIOD_OVERRIDE",Y$11)*1,"")))</f>
        <v/>
      </c>
      <c r="Z86" s="17" t="str">
        <f ca="1">IF(ISNA($B86),"",IF($B86="","",IFERROR(_xll.BDP(TICKER,"DEEP_MEASURE_PERIOD_BROKER_VALUE","DEEP_MEASURE_ID_OVERRIDE",$C86,"DEEP_BROKER_ID_OVERRIDE",$F$7,"DEEP_PERIOD_OVERRIDE",Z$11)*1,"")))</f>
        <v/>
      </c>
      <c r="AA86" s="17" t="str">
        <f ca="1">IF(ISNA($B86),"",IF($B86="","",IFERROR(_xll.BDP(TICKER,"DEEP_MEASURE_PERIOD_BROKER_VALUE","DEEP_MEASURE_ID_OVERRIDE",$C86,"DEEP_BROKER_ID_OVERRIDE",$F$7,"DEEP_PERIOD_OVERRIDE",AA$11)*1,"")))</f>
        <v/>
      </c>
      <c r="AB86" s="17" t="str">
        <f ca="1">IF(ISNA($B86),"",IF($B86="","",IFERROR(_xll.BDP(TICKER,"DEEP_MEASURE_PERIOD_BROKER_VALUE","DEEP_MEASURE_ID_OVERRIDE",$C86,"DEEP_BROKER_ID_OVERRIDE",$F$7,"DEEP_PERIOD_OVERRIDE",AB$11)*1,"")))</f>
        <v/>
      </c>
      <c r="AC86" s="17" t="str">
        <f ca="1">IF(ISNA($B86),"",IF($B86="","",IFERROR(_xll.BDP(TICKER,"DEEP_MEASURE_PERIOD_BROKER_VALUE","DEEP_MEASURE_ID_OVERRIDE",$C86,"DEEP_BROKER_ID_OVERRIDE",$F$7,"DEEP_PERIOD_OVERRIDE",AC$11)*1,"")))</f>
        <v/>
      </c>
      <c r="AD86" s="17" t="str">
        <f ca="1">IF(ISNA($B86),"",IF($B86="","",IFERROR(_xll.BDP(TICKER,"DEEP_MEASURE_PERIOD_BROKER_VALUE","DEEP_MEASURE_ID_OVERRIDE",$C86,"DEEP_BROKER_ID_OVERRIDE",$F$7,"DEEP_PERIOD_OVERRIDE",AD$11)*1,"")))</f>
        <v/>
      </c>
      <c r="AE86" s="17" t="str">
        <f ca="1">IF(ISNA($B86),"",IF($B86="","",IFERROR(_xll.BDP(TICKER,"DEEP_MEASURE_PERIOD_BROKER_VALUE","DEEP_MEASURE_ID_OVERRIDE",$C86,"DEEP_BROKER_ID_OVERRIDE",$F$7,"DEEP_PERIOD_OVERRIDE",AE$11)*1,"")))</f>
        <v/>
      </c>
      <c r="AF86" s="17" t="str">
        <f ca="1">IF(ISNA($B86),"",IF($B86="","",IFERROR(_xll.BDP(TICKER,"DEEP_MEASURE_PERIOD_BROKER_VALUE","DEEP_MEASURE_ID_OVERRIDE",$C86,"DEEP_BROKER_ID_OVERRIDE",$F$7,"DEEP_PERIOD_OVERRIDE",AF$11)*1,"")))</f>
        <v/>
      </c>
      <c r="AG86" s="17" t="str">
        <f ca="1">IF(ISNA($B86),"",IF($B86="","",IFERROR(_xll.BDP(TICKER,"DEEP_MEASURE_PERIOD_BROKER_VALUE","DEEP_MEASURE_ID_OVERRIDE",$C86,"DEEP_BROKER_ID_OVERRIDE",$F$7,"DEEP_PERIOD_OVERRIDE",AG$11)*1,"")))</f>
        <v/>
      </c>
      <c r="AH86" s="17" t="str">
        <f ca="1">IF(ISNA($B86),"",IF($B86="","",IFERROR(_xll.BDP(TICKER,"DEEP_MEASURE_PERIOD_BROKER_VALUE","DEEP_MEASURE_ID_OVERRIDE",$C86,"DEEP_BROKER_ID_OVERRIDE",$F$7,"DEEP_PERIOD_OVERRIDE",AH$11)*1,"")))</f>
        <v/>
      </c>
      <c r="AI86" s="17" t="str">
        <f ca="1">IF(ISNA($B86),"",IF($B86="","",IFERROR(_xll.BDP(TICKER,"DEEP_MEASURE_PERIOD_BROKER_VALUE","DEEP_MEASURE_ID_OVERRIDE",$C86,"DEEP_BROKER_ID_OVERRIDE",$F$7,"DEEP_PERIOD_OVERRIDE",AI$11)*1,"")))</f>
        <v/>
      </c>
      <c r="AJ86" s="17" t="str">
        <f ca="1">IF(ISNA($B86),"",IF($B86="","",IFERROR(_xll.BDP(TICKER,"DEEP_MEASURE_PERIOD_BROKER_VALUE","DEEP_MEASURE_ID_OVERRIDE",$C86,"DEEP_BROKER_ID_OVERRIDE",$F$7,"DEEP_PERIOD_OVERRIDE",AJ$11)*1,"")))</f>
        <v/>
      </c>
      <c r="AK86" s="17" t="str">
        <f ca="1">IF(ISNA($B86),"",IF($B86="","",IFERROR(_xll.BDP(TICKER,"DEEP_MEASURE_PERIOD_BROKER_VALUE","DEEP_MEASURE_ID_OVERRIDE",$C86,"DEEP_BROKER_ID_OVERRIDE",$F$7,"DEEP_PERIOD_OVERRIDE",AK$11)*1,"")))</f>
        <v/>
      </c>
      <c r="AL86" s="17" t="str">
        <f ca="1">IF(ISNA($B86),"",IF($B86="","",IFERROR(_xll.BDP(TICKER,"DEEP_MEASURE_PERIOD_BROKER_VALUE","DEEP_MEASURE_ID_OVERRIDE",$C86,"DEEP_BROKER_ID_OVERRIDE",$F$7,"DEEP_PERIOD_OVERRIDE",AL$11)*1,"")))</f>
        <v/>
      </c>
      <c r="AM86" s="17" t="str">
        <f ca="1">IF(ISNA($B86),"",IF($B86="","",IFERROR(_xll.BDP(TICKER,"DEEP_MEASURE_PERIOD_BROKER_VALUE","DEEP_MEASURE_ID_OVERRIDE",$C86,"DEEP_BROKER_ID_OVERRIDE",$F$7,"DEEP_PERIOD_OVERRIDE",AM$11)*1,"")))</f>
        <v/>
      </c>
      <c r="AN86" s="17" t="str">
        <f ca="1">IF(ISNA($B86),"",IF($B86="","",IFERROR(_xll.BDP(TICKER,"DEEP_MEASURE_PERIOD_BROKER_VALUE","DEEP_MEASURE_ID_OVERRIDE",$C86,"DEEP_BROKER_ID_OVERRIDE",$F$7,"DEEP_PERIOD_OVERRIDE",AN$11)*1,"")))</f>
        <v/>
      </c>
      <c r="AO86" s="17" t="str">
        <f ca="1">IF(ISNA($B86),"",IF($B86="","",IFERROR(_xll.BDP(TICKER,"DEEP_MEASURE_PERIOD_BROKER_VALUE","DEEP_MEASURE_ID_OVERRIDE",$C86,"DEEP_BROKER_ID_OVERRIDE",$F$7,"DEEP_PERIOD_OVERRIDE",AO$11)*1,"")))</f>
        <v/>
      </c>
      <c r="AP86" s="17" t="str">
        <f ca="1">IF(ISNA($B86),"",IF($B86="","",IFERROR(_xll.BDP(TICKER,"DEEP_MEASURE_PERIOD_BROKER_VALUE","DEEP_MEASURE_ID_OVERRIDE",$C86,"DEEP_BROKER_ID_OVERRIDE",$F$7,"DEEP_PERIOD_OVERRIDE",AP$11)*1,"")))</f>
        <v/>
      </c>
      <c r="AQ86" s="17" t="str">
        <f ca="1">IF(ISNA($B86),"",IF($B86="","",IFERROR(_xll.BDP(TICKER,"DEEP_MEASURE_PERIOD_BROKER_VALUE","DEEP_MEASURE_ID_OVERRIDE",$C86,"DEEP_BROKER_ID_OVERRIDE",$F$7,"DEEP_PERIOD_OVERRIDE",AQ$11)*1,"")))</f>
        <v/>
      </c>
    </row>
    <row r="87" spans="2:43" x14ac:dyDescent="0.25">
      <c r="B87" t="s">
        <v>132</v>
      </c>
      <c r="C87" s="11">
        <v>1277</v>
      </c>
      <c r="H87" t="str">
        <f t="shared" si="3"/>
        <v>Gross Profit &gt; YoY Growth (%)</v>
      </c>
      <c r="I87" s="17" t="str">
        <f ca="1">IF(ISNA($B87),"",IF($B87="","",IFERROR(_xll.BDP(TICKER,"DEEP_MEASURE_PERIOD_BROKER_VALUE","DEEP_MEASURE_ID_OVERRIDE",$C87,"DEEP_BROKER_ID_OVERRIDE",$F$7,"DEEP_PERIOD_OVERRIDE",I$11)*1,"")))</f>
        <v/>
      </c>
      <c r="J87" s="17" t="str">
        <f ca="1">IF(ISNA($B87),"",IF($B87="","",IFERROR(_xll.BDP(TICKER,"DEEP_MEASURE_PERIOD_BROKER_VALUE","DEEP_MEASURE_ID_OVERRIDE",$C87,"DEEP_BROKER_ID_OVERRIDE",$F$7,"DEEP_PERIOD_OVERRIDE",J$11)*1,"")))</f>
        <v/>
      </c>
      <c r="K87" s="17" t="str">
        <f ca="1">IF(ISNA($B87),"",IF($B87="","",IFERROR(_xll.BDP(TICKER,"DEEP_MEASURE_PERIOD_BROKER_VALUE","DEEP_MEASURE_ID_OVERRIDE",$C87,"DEEP_BROKER_ID_OVERRIDE",$F$7,"DEEP_PERIOD_OVERRIDE",K$11)*1,"")))</f>
        <v/>
      </c>
      <c r="L87" s="17" t="str">
        <f ca="1">IF(ISNA($B87),"",IF($B87="","",IFERROR(_xll.BDP(TICKER,"DEEP_MEASURE_PERIOD_BROKER_VALUE","DEEP_MEASURE_ID_OVERRIDE",$C87,"DEEP_BROKER_ID_OVERRIDE",$F$7,"DEEP_PERIOD_OVERRIDE",L$11)*1,"")))</f>
        <v/>
      </c>
      <c r="M87" s="17" t="str">
        <f ca="1">IF(ISNA($B87),"",IF($B87="","",IFERROR(_xll.BDP(TICKER,"DEEP_MEASURE_PERIOD_BROKER_VALUE","DEEP_MEASURE_ID_OVERRIDE",$C87,"DEEP_BROKER_ID_OVERRIDE",$F$7,"DEEP_PERIOD_OVERRIDE",M$11)*1,"")))</f>
        <v/>
      </c>
      <c r="N87" s="17" t="str">
        <f ca="1">IF(ISNA($B87),"",IF($B87="","",IFERROR(_xll.BDP(TICKER,"DEEP_MEASURE_PERIOD_BROKER_VALUE","DEEP_MEASURE_ID_OVERRIDE",$C87,"DEEP_BROKER_ID_OVERRIDE",$F$7,"DEEP_PERIOD_OVERRIDE",N$11)*1,"")))</f>
        <v/>
      </c>
      <c r="O87" s="17" t="str">
        <f ca="1">IF(ISNA($B87),"",IF($B87="","",IFERROR(_xll.BDP(TICKER,"DEEP_MEASURE_PERIOD_BROKER_VALUE","DEEP_MEASURE_ID_OVERRIDE",$C87,"DEEP_BROKER_ID_OVERRIDE",$F$7,"DEEP_PERIOD_OVERRIDE",O$11)*1,"")))</f>
        <v/>
      </c>
      <c r="P87" s="17" t="str">
        <f ca="1">IF(ISNA($B87),"",IF($B87="","",IFERROR(_xll.BDP(TICKER,"DEEP_MEASURE_PERIOD_BROKER_VALUE","DEEP_MEASURE_ID_OVERRIDE",$C87,"DEEP_BROKER_ID_OVERRIDE",$F$7,"DEEP_PERIOD_OVERRIDE",P$11)*1,"")))</f>
        <v/>
      </c>
      <c r="Q87" s="17" t="str">
        <f ca="1">IF(ISNA($B87),"",IF($B87="","",IFERROR(_xll.BDP(TICKER,"DEEP_MEASURE_PERIOD_BROKER_VALUE","DEEP_MEASURE_ID_OVERRIDE",$C87,"DEEP_BROKER_ID_OVERRIDE",$F$7,"DEEP_PERIOD_OVERRIDE",Q$11)*1,"")))</f>
        <v/>
      </c>
      <c r="R87" s="17" t="str">
        <f ca="1">IF(ISNA($B87),"",IF($B87="","",IFERROR(_xll.BDP(TICKER,"DEEP_MEASURE_PERIOD_BROKER_VALUE","DEEP_MEASURE_ID_OVERRIDE",$C87,"DEEP_BROKER_ID_OVERRIDE",$F$7,"DEEP_PERIOD_OVERRIDE",R$11)*1,"")))</f>
        <v/>
      </c>
      <c r="S87" s="17" t="str">
        <f ca="1">IF(ISNA($B87),"",IF($B87="","",IFERROR(_xll.BDP(TICKER,"DEEP_MEASURE_PERIOD_BROKER_VALUE","DEEP_MEASURE_ID_OVERRIDE",$C87,"DEEP_BROKER_ID_OVERRIDE",$F$7,"DEEP_PERIOD_OVERRIDE",S$11)*1,"")))</f>
        <v/>
      </c>
      <c r="T87" s="17" t="str">
        <f ca="1">IF(ISNA($B87),"",IF($B87="","",IFERROR(_xll.BDP(TICKER,"DEEP_MEASURE_PERIOD_BROKER_VALUE","DEEP_MEASURE_ID_OVERRIDE",$C87,"DEEP_BROKER_ID_OVERRIDE",$F$7,"DEEP_PERIOD_OVERRIDE",T$11)*1,"")))</f>
        <v/>
      </c>
      <c r="U87" s="17" t="str">
        <f ca="1">IF(ISNA($B87),"",IF($B87="","",IFERROR(_xll.BDP(TICKER,"DEEP_MEASURE_PERIOD_BROKER_VALUE","DEEP_MEASURE_ID_OVERRIDE",$C87,"DEEP_BROKER_ID_OVERRIDE",$F$7,"DEEP_PERIOD_OVERRIDE",U$11)*1,"")))</f>
        <v/>
      </c>
      <c r="V87" s="17" t="str">
        <f ca="1">IF(ISNA($B87),"",IF($B87="","",IFERROR(_xll.BDP(TICKER,"DEEP_MEASURE_PERIOD_BROKER_VALUE","DEEP_MEASURE_ID_OVERRIDE",$C87,"DEEP_BROKER_ID_OVERRIDE",$F$7,"DEEP_PERIOD_OVERRIDE",V$11)*1,"")))</f>
        <v/>
      </c>
      <c r="W87" s="17" t="str">
        <f ca="1">IF(ISNA($B87),"",IF($B87="","",IFERROR(_xll.BDP(TICKER,"DEEP_MEASURE_PERIOD_BROKER_VALUE","DEEP_MEASURE_ID_OVERRIDE",$C87,"DEEP_BROKER_ID_OVERRIDE",$F$7,"DEEP_PERIOD_OVERRIDE",W$11)*1,"")))</f>
        <v/>
      </c>
      <c r="X87" s="17" t="str">
        <f ca="1">IF(ISNA($B87),"",IF($B87="","",IFERROR(_xll.BDP(TICKER,"DEEP_MEASURE_PERIOD_BROKER_VALUE","DEEP_MEASURE_ID_OVERRIDE",$C87,"DEEP_BROKER_ID_OVERRIDE",$F$7,"DEEP_PERIOD_OVERRIDE",X$11)*1,"")))</f>
        <v/>
      </c>
      <c r="Y87" s="17" t="str">
        <f ca="1">IF(ISNA($B87),"",IF($B87="","",IFERROR(_xll.BDP(TICKER,"DEEP_MEASURE_PERIOD_BROKER_VALUE","DEEP_MEASURE_ID_OVERRIDE",$C87,"DEEP_BROKER_ID_OVERRIDE",$F$7,"DEEP_PERIOD_OVERRIDE",Y$11)*1,"")))</f>
        <v/>
      </c>
      <c r="Z87" s="17" t="str">
        <f ca="1">IF(ISNA($B87),"",IF($B87="","",IFERROR(_xll.BDP(TICKER,"DEEP_MEASURE_PERIOD_BROKER_VALUE","DEEP_MEASURE_ID_OVERRIDE",$C87,"DEEP_BROKER_ID_OVERRIDE",$F$7,"DEEP_PERIOD_OVERRIDE",Z$11)*1,"")))</f>
        <v/>
      </c>
      <c r="AA87" s="17" t="str">
        <f ca="1">IF(ISNA($B87),"",IF($B87="","",IFERROR(_xll.BDP(TICKER,"DEEP_MEASURE_PERIOD_BROKER_VALUE","DEEP_MEASURE_ID_OVERRIDE",$C87,"DEEP_BROKER_ID_OVERRIDE",$F$7,"DEEP_PERIOD_OVERRIDE",AA$11)*1,"")))</f>
        <v/>
      </c>
      <c r="AB87" s="17" t="str">
        <f ca="1">IF(ISNA($B87),"",IF($B87="","",IFERROR(_xll.BDP(TICKER,"DEEP_MEASURE_PERIOD_BROKER_VALUE","DEEP_MEASURE_ID_OVERRIDE",$C87,"DEEP_BROKER_ID_OVERRIDE",$F$7,"DEEP_PERIOD_OVERRIDE",AB$11)*1,"")))</f>
        <v/>
      </c>
      <c r="AC87" s="17" t="str">
        <f ca="1">IF(ISNA($B87),"",IF($B87="","",IFERROR(_xll.BDP(TICKER,"DEEP_MEASURE_PERIOD_BROKER_VALUE","DEEP_MEASURE_ID_OVERRIDE",$C87,"DEEP_BROKER_ID_OVERRIDE",$F$7,"DEEP_PERIOD_OVERRIDE",AC$11)*1,"")))</f>
        <v/>
      </c>
      <c r="AD87" s="17" t="str">
        <f ca="1">IF(ISNA($B87),"",IF($B87="","",IFERROR(_xll.BDP(TICKER,"DEEP_MEASURE_PERIOD_BROKER_VALUE","DEEP_MEASURE_ID_OVERRIDE",$C87,"DEEP_BROKER_ID_OVERRIDE",$F$7,"DEEP_PERIOD_OVERRIDE",AD$11)*1,"")))</f>
        <v/>
      </c>
      <c r="AE87" s="17" t="str">
        <f ca="1">IF(ISNA($B87),"",IF($B87="","",IFERROR(_xll.BDP(TICKER,"DEEP_MEASURE_PERIOD_BROKER_VALUE","DEEP_MEASURE_ID_OVERRIDE",$C87,"DEEP_BROKER_ID_OVERRIDE",$F$7,"DEEP_PERIOD_OVERRIDE",AE$11)*1,"")))</f>
        <v/>
      </c>
      <c r="AF87" s="17" t="str">
        <f ca="1">IF(ISNA($B87),"",IF($B87="","",IFERROR(_xll.BDP(TICKER,"DEEP_MEASURE_PERIOD_BROKER_VALUE","DEEP_MEASURE_ID_OVERRIDE",$C87,"DEEP_BROKER_ID_OVERRIDE",$F$7,"DEEP_PERIOD_OVERRIDE",AF$11)*1,"")))</f>
        <v/>
      </c>
      <c r="AG87" s="17" t="str">
        <f ca="1">IF(ISNA($B87),"",IF($B87="","",IFERROR(_xll.BDP(TICKER,"DEEP_MEASURE_PERIOD_BROKER_VALUE","DEEP_MEASURE_ID_OVERRIDE",$C87,"DEEP_BROKER_ID_OVERRIDE",$F$7,"DEEP_PERIOD_OVERRIDE",AG$11)*1,"")))</f>
        <v/>
      </c>
      <c r="AH87" s="17" t="str">
        <f ca="1">IF(ISNA($B87),"",IF($B87="","",IFERROR(_xll.BDP(TICKER,"DEEP_MEASURE_PERIOD_BROKER_VALUE","DEEP_MEASURE_ID_OVERRIDE",$C87,"DEEP_BROKER_ID_OVERRIDE",$F$7,"DEEP_PERIOD_OVERRIDE",AH$11)*1,"")))</f>
        <v/>
      </c>
      <c r="AI87" s="17" t="str">
        <f ca="1">IF(ISNA($B87),"",IF($B87="","",IFERROR(_xll.BDP(TICKER,"DEEP_MEASURE_PERIOD_BROKER_VALUE","DEEP_MEASURE_ID_OVERRIDE",$C87,"DEEP_BROKER_ID_OVERRIDE",$F$7,"DEEP_PERIOD_OVERRIDE",AI$11)*1,"")))</f>
        <v/>
      </c>
      <c r="AJ87" s="17" t="str">
        <f ca="1">IF(ISNA($B87),"",IF($B87="","",IFERROR(_xll.BDP(TICKER,"DEEP_MEASURE_PERIOD_BROKER_VALUE","DEEP_MEASURE_ID_OVERRIDE",$C87,"DEEP_BROKER_ID_OVERRIDE",$F$7,"DEEP_PERIOD_OVERRIDE",AJ$11)*1,"")))</f>
        <v/>
      </c>
      <c r="AK87" s="17" t="str">
        <f ca="1">IF(ISNA($B87),"",IF($B87="","",IFERROR(_xll.BDP(TICKER,"DEEP_MEASURE_PERIOD_BROKER_VALUE","DEEP_MEASURE_ID_OVERRIDE",$C87,"DEEP_BROKER_ID_OVERRIDE",$F$7,"DEEP_PERIOD_OVERRIDE",AK$11)*1,"")))</f>
        <v/>
      </c>
      <c r="AL87" s="17" t="str">
        <f ca="1">IF(ISNA($B87),"",IF($B87="","",IFERROR(_xll.BDP(TICKER,"DEEP_MEASURE_PERIOD_BROKER_VALUE","DEEP_MEASURE_ID_OVERRIDE",$C87,"DEEP_BROKER_ID_OVERRIDE",$F$7,"DEEP_PERIOD_OVERRIDE",AL$11)*1,"")))</f>
        <v/>
      </c>
      <c r="AM87" s="17" t="str">
        <f ca="1">IF(ISNA($B87),"",IF($B87="","",IFERROR(_xll.BDP(TICKER,"DEEP_MEASURE_PERIOD_BROKER_VALUE","DEEP_MEASURE_ID_OVERRIDE",$C87,"DEEP_BROKER_ID_OVERRIDE",$F$7,"DEEP_PERIOD_OVERRIDE",AM$11)*1,"")))</f>
        <v/>
      </c>
      <c r="AN87" s="17" t="str">
        <f ca="1">IF(ISNA($B87),"",IF($B87="","",IFERROR(_xll.BDP(TICKER,"DEEP_MEASURE_PERIOD_BROKER_VALUE","DEEP_MEASURE_ID_OVERRIDE",$C87,"DEEP_BROKER_ID_OVERRIDE",$F$7,"DEEP_PERIOD_OVERRIDE",AN$11)*1,"")))</f>
        <v/>
      </c>
      <c r="AO87" s="17" t="str">
        <f ca="1">IF(ISNA($B87),"",IF($B87="","",IFERROR(_xll.BDP(TICKER,"DEEP_MEASURE_PERIOD_BROKER_VALUE","DEEP_MEASURE_ID_OVERRIDE",$C87,"DEEP_BROKER_ID_OVERRIDE",$F$7,"DEEP_PERIOD_OVERRIDE",AO$11)*1,"")))</f>
        <v/>
      </c>
      <c r="AP87" s="17" t="str">
        <f ca="1">IF(ISNA($B87),"",IF($B87="","",IFERROR(_xll.BDP(TICKER,"DEEP_MEASURE_PERIOD_BROKER_VALUE","DEEP_MEASURE_ID_OVERRIDE",$C87,"DEEP_BROKER_ID_OVERRIDE",$F$7,"DEEP_PERIOD_OVERRIDE",AP$11)*1,"")))</f>
        <v/>
      </c>
      <c r="AQ87" s="17" t="str">
        <f ca="1">IF(ISNA($B87),"",IF($B87="","",IFERROR(_xll.BDP(TICKER,"DEEP_MEASURE_PERIOD_BROKER_VALUE","DEEP_MEASURE_ID_OVERRIDE",$C87,"DEEP_BROKER_ID_OVERRIDE",$F$7,"DEEP_PERIOD_OVERRIDE",AQ$11)*1,"")))</f>
        <v/>
      </c>
    </row>
    <row r="88" spans="2:43" x14ac:dyDescent="0.25">
      <c r="B88" t="s">
        <v>133</v>
      </c>
      <c r="C88" s="11">
        <v>900</v>
      </c>
      <c r="H88" t="str">
        <f t="shared" si="3"/>
        <v>Sales &amp; Marketing Expenses</v>
      </c>
      <c r="I88" s="17" t="str">
        <f ca="1">IF(ISNA($B88),"",IF($B88="","",IFERROR(_xll.BDP(TICKER,"DEEP_MEASURE_PERIOD_BROKER_VALUE","DEEP_MEASURE_ID_OVERRIDE",$C88,"DEEP_BROKER_ID_OVERRIDE",$F$7,"DEEP_PERIOD_OVERRIDE",I$11)*1,"")))</f>
        <v/>
      </c>
      <c r="J88" s="17" t="str">
        <f ca="1">IF(ISNA($B88),"",IF($B88="","",IFERROR(_xll.BDP(TICKER,"DEEP_MEASURE_PERIOD_BROKER_VALUE","DEEP_MEASURE_ID_OVERRIDE",$C88,"DEEP_BROKER_ID_OVERRIDE",$F$7,"DEEP_PERIOD_OVERRIDE",J$11)*1,"")))</f>
        <v/>
      </c>
      <c r="K88" s="17" t="str">
        <f ca="1">IF(ISNA($B88),"",IF($B88="","",IFERROR(_xll.BDP(TICKER,"DEEP_MEASURE_PERIOD_BROKER_VALUE","DEEP_MEASURE_ID_OVERRIDE",$C88,"DEEP_BROKER_ID_OVERRIDE",$F$7,"DEEP_PERIOD_OVERRIDE",K$11)*1,"")))</f>
        <v/>
      </c>
      <c r="L88" s="17" t="str">
        <f ca="1">IF(ISNA($B88),"",IF($B88="","",IFERROR(_xll.BDP(TICKER,"DEEP_MEASURE_PERIOD_BROKER_VALUE","DEEP_MEASURE_ID_OVERRIDE",$C88,"DEEP_BROKER_ID_OVERRIDE",$F$7,"DEEP_PERIOD_OVERRIDE",L$11)*1,"")))</f>
        <v/>
      </c>
      <c r="M88" s="17" t="str">
        <f ca="1">IF(ISNA($B88),"",IF($B88="","",IFERROR(_xll.BDP(TICKER,"DEEP_MEASURE_PERIOD_BROKER_VALUE","DEEP_MEASURE_ID_OVERRIDE",$C88,"DEEP_BROKER_ID_OVERRIDE",$F$7,"DEEP_PERIOD_OVERRIDE",M$11)*1,"")))</f>
        <v/>
      </c>
      <c r="N88" s="17" t="str">
        <f ca="1">IF(ISNA($B88),"",IF($B88="","",IFERROR(_xll.BDP(TICKER,"DEEP_MEASURE_PERIOD_BROKER_VALUE","DEEP_MEASURE_ID_OVERRIDE",$C88,"DEEP_BROKER_ID_OVERRIDE",$F$7,"DEEP_PERIOD_OVERRIDE",N$11)*1,"")))</f>
        <v/>
      </c>
      <c r="O88" s="17" t="str">
        <f ca="1">IF(ISNA($B88),"",IF($B88="","",IFERROR(_xll.BDP(TICKER,"DEEP_MEASURE_PERIOD_BROKER_VALUE","DEEP_MEASURE_ID_OVERRIDE",$C88,"DEEP_BROKER_ID_OVERRIDE",$F$7,"DEEP_PERIOD_OVERRIDE",O$11)*1,"")))</f>
        <v/>
      </c>
      <c r="P88" s="17" t="str">
        <f ca="1">IF(ISNA($B88),"",IF($B88="","",IFERROR(_xll.BDP(TICKER,"DEEP_MEASURE_PERIOD_BROKER_VALUE","DEEP_MEASURE_ID_OVERRIDE",$C88,"DEEP_BROKER_ID_OVERRIDE",$F$7,"DEEP_PERIOD_OVERRIDE",P$11)*1,"")))</f>
        <v/>
      </c>
      <c r="Q88" s="17" t="str">
        <f ca="1">IF(ISNA($B88),"",IF($B88="","",IFERROR(_xll.BDP(TICKER,"DEEP_MEASURE_PERIOD_BROKER_VALUE","DEEP_MEASURE_ID_OVERRIDE",$C88,"DEEP_BROKER_ID_OVERRIDE",$F$7,"DEEP_PERIOD_OVERRIDE",Q$11)*1,"")))</f>
        <v/>
      </c>
      <c r="R88" s="17" t="str">
        <f ca="1">IF(ISNA($B88),"",IF($B88="","",IFERROR(_xll.BDP(TICKER,"DEEP_MEASURE_PERIOD_BROKER_VALUE","DEEP_MEASURE_ID_OVERRIDE",$C88,"DEEP_BROKER_ID_OVERRIDE",$F$7,"DEEP_PERIOD_OVERRIDE",R$11)*1,"")))</f>
        <v/>
      </c>
      <c r="S88" s="17" t="str">
        <f ca="1">IF(ISNA($B88),"",IF($B88="","",IFERROR(_xll.BDP(TICKER,"DEEP_MEASURE_PERIOD_BROKER_VALUE","DEEP_MEASURE_ID_OVERRIDE",$C88,"DEEP_BROKER_ID_OVERRIDE",$F$7,"DEEP_PERIOD_OVERRIDE",S$11)*1,"")))</f>
        <v/>
      </c>
      <c r="T88" s="17" t="str">
        <f ca="1">IF(ISNA($B88),"",IF($B88="","",IFERROR(_xll.BDP(TICKER,"DEEP_MEASURE_PERIOD_BROKER_VALUE","DEEP_MEASURE_ID_OVERRIDE",$C88,"DEEP_BROKER_ID_OVERRIDE",$F$7,"DEEP_PERIOD_OVERRIDE",T$11)*1,"")))</f>
        <v/>
      </c>
      <c r="U88" s="17" t="str">
        <f ca="1">IF(ISNA($B88),"",IF($B88="","",IFERROR(_xll.BDP(TICKER,"DEEP_MEASURE_PERIOD_BROKER_VALUE","DEEP_MEASURE_ID_OVERRIDE",$C88,"DEEP_BROKER_ID_OVERRIDE",$F$7,"DEEP_PERIOD_OVERRIDE",U$11)*1,"")))</f>
        <v/>
      </c>
      <c r="V88" s="17" t="str">
        <f ca="1">IF(ISNA($B88),"",IF($B88="","",IFERROR(_xll.BDP(TICKER,"DEEP_MEASURE_PERIOD_BROKER_VALUE","DEEP_MEASURE_ID_OVERRIDE",$C88,"DEEP_BROKER_ID_OVERRIDE",$F$7,"DEEP_PERIOD_OVERRIDE",V$11)*1,"")))</f>
        <v/>
      </c>
      <c r="W88" s="17" t="str">
        <f ca="1">IF(ISNA($B88),"",IF($B88="","",IFERROR(_xll.BDP(TICKER,"DEEP_MEASURE_PERIOD_BROKER_VALUE","DEEP_MEASURE_ID_OVERRIDE",$C88,"DEEP_BROKER_ID_OVERRIDE",$F$7,"DEEP_PERIOD_OVERRIDE",W$11)*1,"")))</f>
        <v/>
      </c>
      <c r="X88" s="17" t="str">
        <f ca="1">IF(ISNA($B88),"",IF($B88="","",IFERROR(_xll.BDP(TICKER,"DEEP_MEASURE_PERIOD_BROKER_VALUE","DEEP_MEASURE_ID_OVERRIDE",$C88,"DEEP_BROKER_ID_OVERRIDE",$F$7,"DEEP_PERIOD_OVERRIDE",X$11)*1,"")))</f>
        <v/>
      </c>
      <c r="Y88" s="17" t="str">
        <f ca="1">IF(ISNA($B88),"",IF($B88="","",IFERROR(_xll.BDP(TICKER,"DEEP_MEASURE_PERIOD_BROKER_VALUE","DEEP_MEASURE_ID_OVERRIDE",$C88,"DEEP_BROKER_ID_OVERRIDE",$F$7,"DEEP_PERIOD_OVERRIDE",Y$11)*1,"")))</f>
        <v/>
      </c>
      <c r="Z88" s="17" t="str">
        <f ca="1">IF(ISNA($B88),"",IF($B88="","",IFERROR(_xll.BDP(TICKER,"DEEP_MEASURE_PERIOD_BROKER_VALUE","DEEP_MEASURE_ID_OVERRIDE",$C88,"DEEP_BROKER_ID_OVERRIDE",$F$7,"DEEP_PERIOD_OVERRIDE",Z$11)*1,"")))</f>
        <v/>
      </c>
      <c r="AA88" s="17" t="str">
        <f ca="1">IF(ISNA($B88),"",IF($B88="","",IFERROR(_xll.BDP(TICKER,"DEEP_MEASURE_PERIOD_BROKER_VALUE","DEEP_MEASURE_ID_OVERRIDE",$C88,"DEEP_BROKER_ID_OVERRIDE",$F$7,"DEEP_PERIOD_OVERRIDE",AA$11)*1,"")))</f>
        <v/>
      </c>
      <c r="AB88" s="17" t="str">
        <f ca="1">IF(ISNA($B88),"",IF($B88="","",IFERROR(_xll.BDP(TICKER,"DEEP_MEASURE_PERIOD_BROKER_VALUE","DEEP_MEASURE_ID_OVERRIDE",$C88,"DEEP_BROKER_ID_OVERRIDE",$F$7,"DEEP_PERIOD_OVERRIDE",AB$11)*1,"")))</f>
        <v/>
      </c>
      <c r="AC88" s="17" t="str">
        <f ca="1">IF(ISNA($B88),"",IF($B88="","",IFERROR(_xll.BDP(TICKER,"DEEP_MEASURE_PERIOD_BROKER_VALUE","DEEP_MEASURE_ID_OVERRIDE",$C88,"DEEP_BROKER_ID_OVERRIDE",$F$7,"DEEP_PERIOD_OVERRIDE",AC$11)*1,"")))</f>
        <v/>
      </c>
      <c r="AD88" s="17" t="str">
        <f ca="1">IF(ISNA($B88),"",IF($B88="","",IFERROR(_xll.BDP(TICKER,"DEEP_MEASURE_PERIOD_BROKER_VALUE","DEEP_MEASURE_ID_OVERRIDE",$C88,"DEEP_BROKER_ID_OVERRIDE",$F$7,"DEEP_PERIOD_OVERRIDE",AD$11)*1,"")))</f>
        <v/>
      </c>
      <c r="AE88" s="17" t="str">
        <f ca="1">IF(ISNA($B88),"",IF($B88="","",IFERROR(_xll.BDP(TICKER,"DEEP_MEASURE_PERIOD_BROKER_VALUE","DEEP_MEASURE_ID_OVERRIDE",$C88,"DEEP_BROKER_ID_OVERRIDE",$F$7,"DEEP_PERIOD_OVERRIDE",AE$11)*1,"")))</f>
        <v/>
      </c>
      <c r="AF88" s="17" t="str">
        <f ca="1">IF(ISNA($B88),"",IF($B88="","",IFERROR(_xll.BDP(TICKER,"DEEP_MEASURE_PERIOD_BROKER_VALUE","DEEP_MEASURE_ID_OVERRIDE",$C88,"DEEP_BROKER_ID_OVERRIDE",$F$7,"DEEP_PERIOD_OVERRIDE",AF$11)*1,"")))</f>
        <v/>
      </c>
      <c r="AG88" s="17" t="str">
        <f ca="1">IF(ISNA($B88),"",IF($B88="","",IFERROR(_xll.BDP(TICKER,"DEEP_MEASURE_PERIOD_BROKER_VALUE","DEEP_MEASURE_ID_OVERRIDE",$C88,"DEEP_BROKER_ID_OVERRIDE",$F$7,"DEEP_PERIOD_OVERRIDE",AG$11)*1,"")))</f>
        <v/>
      </c>
      <c r="AH88" s="17" t="str">
        <f ca="1">IF(ISNA($B88),"",IF($B88="","",IFERROR(_xll.BDP(TICKER,"DEEP_MEASURE_PERIOD_BROKER_VALUE","DEEP_MEASURE_ID_OVERRIDE",$C88,"DEEP_BROKER_ID_OVERRIDE",$F$7,"DEEP_PERIOD_OVERRIDE",AH$11)*1,"")))</f>
        <v/>
      </c>
      <c r="AI88" s="17" t="str">
        <f ca="1">IF(ISNA($B88),"",IF($B88="","",IFERROR(_xll.BDP(TICKER,"DEEP_MEASURE_PERIOD_BROKER_VALUE","DEEP_MEASURE_ID_OVERRIDE",$C88,"DEEP_BROKER_ID_OVERRIDE",$F$7,"DEEP_PERIOD_OVERRIDE",AI$11)*1,"")))</f>
        <v/>
      </c>
      <c r="AJ88" s="17" t="str">
        <f ca="1">IF(ISNA($B88),"",IF($B88="","",IFERROR(_xll.BDP(TICKER,"DEEP_MEASURE_PERIOD_BROKER_VALUE","DEEP_MEASURE_ID_OVERRIDE",$C88,"DEEP_BROKER_ID_OVERRIDE",$F$7,"DEEP_PERIOD_OVERRIDE",AJ$11)*1,"")))</f>
        <v/>
      </c>
      <c r="AK88" s="17" t="str">
        <f ca="1">IF(ISNA($B88),"",IF($B88="","",IFERROR(_xll.BDP(TICKER,"DEEP_MEASURE_PERIOD_BROKER_VALUE","DEEP_MEASURE_ID_OVERRIDE",$C88,"DEEP_BROKER_ID_OVERRIDE",$F$7,"DEEP_PERIOD_OVERRIDE",AK$11)*1,"")))</f>
        <v/>
      </c>
      <c r="AL88" s="17" t="str">
        <f ca="1">IF(ISNA($B88),"",IF($B88="","",IFERROR(_xll.BDP(TICKER,"DEEP_MEASURE_PERIOD_BROKER_VALUE","DEEP_MEASURE_ID_OVERRIDE",$C88,"DEEP_BROKER_ID_OVERRIDE",$F$7,"DEEP_PERIOD_OVERRIDE",AL$11)*1,"")))</f>
        <v/>
      </c>
      <c r="AM88" s="17" t="str">
        <f ca="1">IF(ISNA($B88),"",IF($B88="","",IFERROR(_xll.BDP(TICKER,"DEEP_MEASURE_PERIOD_BROKER_VALUE","DEEP_MEASURE_ID_OVERRIDE",$C88,"DEEP_BROKER_ID_OVERRIDE",$F$7,"DEEP_PERIOD_OVERRIDE",AM$11)*1,"")))</f>
        <v/>
      </c>
      <c r="AN88" s="17" t="str">
        <f ca="1">IF(ISNA($B88),"",IF($B88="","",IFERROR(_xll.BDP(TICKER,"DEEP_MEASURE_PERIOD_BROKER_VALUE","DEEP_MEASURE_ID_OVERRIDE",$C88,"DEEP_BROKER_ID_OVERRIDE",$F$7,"DEEP_PERIOD_OVERRIDE",AN$11)*1,"")))</f>
        <v/>
      </c>
      <c r="AO88" s="17" t="str">
        <f ca="1">IF(ISNA($B88),"",IF($B88="","",IFERROR(_xll.BDP(TICKER,"DEEP_MEASURE_PERIOD_BROKER_VALUE","DEEP_MEASURE_ID_OVERRIDE",$C88,"DEEP_BROKER_ID_OVERRIDE",$F$7,"DEEP_PERIOD_OVERRIDE",AO$11)*1,"")))</f>
        <v/>
      </c>
      <c r="AP88" s="17" t="str">
        <f ca="1">IF(ISNA($B88),"",IF($B88="","",IFERROR(_xll.BDP(TICKER,"DEEP_MEASURE_PERIOD_BROKER_VALUE","DEEP_MEASURE_ID_OVERRIDE",$C88,"DEEP_BROKER_ID_OVERRIDE",$F$7,"DEEP_PERIOD_OVERRIDE",AP$11)*1,"")))</f>
        <v/>
      </c>
      <c r="AQ88" s="17" t="str">
        <f ca="1">IF(ISNA($B88),"",IF($B88="","",IFERROR(_xll.BDP(TICKER,"DEEP_MEASURE_PERIOD_BROKER_VALUE","DEEP_MEASURE_ID_OVERRIDE",$C88,"DEEP_BROKER_ID_OVERRIDE",$F$7,"DEEP_PERIOD_OVERRIDE",AQ$11)*1,"")))</f>
        <v/>
      </c>
    </row>
    <row r="89" spans="2:43" x14ac:dyDescent="0.25">
      <c r="B89" t="s">
        <v>134</v>
      </c>
      <c r="C89" s="11">
        <v>4979</v>
      </c>
      <c r="H89" t="str">
        <f t="shared" si="3"/>
        <v>Sales &amp; Marketing Expenses &gt; As % of Revenue</v>
      </c>
      <c r="I89" s="17" t="str">
        <f ca="1">IF(ISNA($B89),"",IF($B89="","",IFERROR(_xll.BDP(TICKER,"DEEP_MEASURE_PERIOD_BROKER_VALUE","DEEP_MEASURE_ID_OVERRIDE",$C89,"DEEP_BROKER_ID_OVERRIDE",$F$7,"DEEP_PERIOD_OVERRIDE",I$11)*1,"")))</f>
        <v/>
      </c>
      <c r="J89" s="17" t="str">
        <f ca="1">IF(ISNA($B89),"",IF($B89="","",IFERROR(_xll.BDP(TICKER,"DEEP_MEASURE_PERIOD_BROKER_VALUE","DEEP_MEASURE_ID_OVERRIDE",$C89,"DEEP_BROKER_ID_OVERRIDE",$F$7,"DEEP_PERIOD_OVERRIDE",J$11)*1,"")))</f>
        <v/>
      </c>
      <c r="K89" s="17" t="str">
        <f ca="1">IF(ISNA($B89),"",IF($B89="","",IFERROR(_xll.BDP(TICKER,"DEEP_MEASURE_PERIOD_BROKER_VALUE","DEEP_MEASURE_ID_OVERRIDE",$C89,"DEEP_BROKER_ID_OVERRIDE",$F$7,"DEEP_PERIOD_OVERRIDE",K$11)*1,"")))</f>
        <v/>
      </c>
      <c r="L89" s="17" t="str">
        <f ca="1">IF(ISNA($B89),"",IF($B89="","",IFERROR(_xll.BDP(TICKER,"DEEP_MEASURE_PERIOD_BROKER_VALUE","DEEP_MEASURE_ID_OVERRIDE",$C89,"DEEP_BROKER_ID_OVERRIDE",$F$7,"DEEP_PERIOD_OVERRIDE",L$11)*1,"")))</f>
        <v/>
      </c>
      <c r="M89" s="17" t="str">
        <f ca="1">IF(ISNA($B89),"",IF($B89="","",IFERROR(_xll.BDP(TICKER,"DEEP_MEASURE_PERIOD_BROKER_VALUE","DEEP_MEASURE_ID_OVERRIDE",$C89,"DEEP_BROKER_ID_OVERRIDE",$F$7,"DEEP_PERIOD_OVERRIDE",M$11)*1,"")))</f>
        <v/>
      </c>
      <c r="N89" s="17" t="str">
        <f ca="1">IF(ISNA($B89),"",IF($B89="","",IFERROR(_xll.BDP(TICKER,"DEEP_MEASURE_PERIOD_BROKER_VALUE","DEEP_MEASURE_ID_OVERRIDE",$C89,"DEEP_BROKER_ID_OVERRIDE",$F$7,"DEEP_PERIOD_OVERRIDE",N$11)*1,"")))</f>
        <v/>
      </c>
      <c r="O89" s="17" t="str">
        <f ca="1">IF(ISNA($B89),"",IF($B89="","",IFERROR(_xll.BDP(TICKER,"DEEP_MEASURE_PERIOD_BROKER_VALUE","DEEP_MEASURE_ID_OVERRIDE",$C89,"DEEP_BROKER_ID_OVERRIDE",$F$7,"DEEP_PERIOD_OVERRIDE",O$11)*1,"")))</f>
        <v/>
      </c>
      <c r="P89" s="17" t="str">
        <f ca="1">IF(ISNA($B89),"",IF($B89="","",IFERROR(_xll.BDP(TICKER,"DEEP_MEASURE_PERIOD_BROKER_VALUE","DEEP_MEASURE_ID_OVERRIDE",$C89,"DEEP_BROKER_ID_OVERRIDE",$F$7,"DEEP_PERIOD_OVERRIDE",P$11)*1,"")))</f>
        <v/>
      </c>
      <c r="Q89" s="17" t="str">
        <f ca="1">IF(ISNA($B89),"",IF($B89="","",IFERROR(_xll.BDP(TICKER,"DEEP_MEASURE_PERIOD_BROKER_VALUE","DEEP_MEASURE_ID_OVERRIDE",$C89,"DEEP_BROKER_ID_OVERRIDE",$F$7,"DEEP_PERIOD_OVERRIDE",Q$11)*1,"")))</f>
        <v/>
      </c>
      <c r="R89" s="17" t="str">
        <f ca="1">IF(ISNA($B89),"",IF($B89="","",IFERROR(_xll.BDP(TICKER,"DEEP_MEASURE_PERIOD_BROKER_VALUE","DEEP_MEASURE_ID_OVERRIDE",$C89,"DEEP_BROKER_ID_OVERRIDE",$F$7,"DEEP_PERIOD_OVERRIDE",R$11)*1,"")))</f>
        <v/>
      </c>
      <c r="S89" s="17" t="str">
        <f ca="1">IF(ISNA($B89),"",IF($B89="","",IFERROR(_xll.BDP(TICKER,"DEEP_MEASURE_PERIOD_BROKER_VALUE","DEEP_MEASURE_ID_OVERRIDE",$C89,"DEEP_BROKER_ID_OVERRIDE",$F$7,"DEEP_PERIOD_OVERRIDE",S$11)*1,"")))</f>
        <v/>
      </c>
      <c r="T89" s="17" t="str">
        <f ca="1">IF(ISNA($B89),"",IF($B89="","",IFERROR(_xll.BDP(TICKER,"DEEP_MEASURE_PERIOD_BROKER_VALUE","DEEP_MEASURE_ID_OVERRIDE",$C89,"DEEP_BROKER_ID_OVERRIDE",$F$7,"DEEP_PERIOD_OVERRIDE",T$11)*1,"")))</f>
        <v/>
      </c>
      <c r="U89" s="17" t="str">
        <f ca="1">IF(ISNA($B89),"",IF($B89="","",IFERROR(_xll.BDP(TICKER,"DEEP_MEASURE_PERIOD_BROKER_VALUE","DEEP_MEASURE_ID_OVERRIDE",$C89,"DEEP_BROKER_ID_OVERRIDE",$F$7,"DEEP_PERIOD_OVERRIDE",U$11)*1,"")))</f>
        <v/>
      </c>
      <c r="V89" s="17" t="str">
        <f ca="1">IF(ISNA($B89),"",IF($B89="","",IFERROR(_xll.BDP(TICKER,"DEEP_MEASURE_PERIOD_BROKER_VALUE","DEEP_MEASURE_ID_OVERRIDE",$C89,"DEEP_BROKER_ID_OVERRIDE",$F$7,"DEEP_PERIOD_OVERRIDE",V$11)*1,"")))</f>
        <v/>
      </c>
      <c r="W89" s="17" t="str">
        <f ca="1">IF(ISNA($B89),"",IF($B89="","",IFERROR(_xll.BDP(TICKER,"DEEP_MEASURE_PERIOD_BROKER_VALUE","DEEP_MEASURE_ID_OVERRIDE",$C89,"DEEP_BROKER_ID_OVERRIDE",$F$7,"DEEP_PERIOD_OVERRIDE",W$11)*1,"")))</f>
        <v/>
      </c>
      <c r="X89" s="17" t="str">
        <f ca="1">IF(ISNA($B89),"",IF($B89="","",IFERROR(_xll.BDP(TICKER,"DEEP_MEASURE_PERIOD_BROKER_VALUE","DEEP_MEASURE_ID_OVERRIDE",$C89,"DEEP_BROKER_ID_OVERRIDE",$F$7,"DEEP_PERIOD_OVERRIDE",X$11)*1,"")))</f>
        <v/>
      </c>
      <c r="Y89" s="17" t="str">
        <f ca="1">IF(ISNA($B89),"",IF($B89="","",IFERROR(_xll.BDP(TICKER,"DEEP_MEASURE_PERIOD_BROKER_VALUE","DEEP_MEASURE_ID_OVERRIDE",$C89,"DEEP_BROKER_ID_OVERRIDE",$F$7,"DEEP_PERIOD_OVERRIDE",Y$11)*1,"")))</f>
        <v/>
      </c>
      <c r="Z89" s="17" t="str">
        <f ca="1">IF(ISNA($B89),"",IF($B89="","",IFERROR(_xll.BDP(TICKER,"DEEP_MEASURE_PERIOD_BROKER_VALUE","DEEP_MEASURE_ID_OVERRIDE",$C89,"DEEP_BROKER_ID_OVERRIDE",$F$7,"DEEP_PERIOD_OVERRIDE",Z$11)*1,"")))</f>
        <v/>
      </c>
      <c r="AA89" s="17" t="str">
        <f ca="1">IF(ISNA($B89),"",IF($B89="","",IFERROR(_xll.BDP(TICKER,"DEEP_MEASURE_PERIOD_BROKER_VALUE","DEEP_MEASURE_ID_OVERRIDE",$C89,"DEEP_BROKER_ID_OVERRIDE",$F$7,"DEEP_PERIOD_OVERRIDE",AA$11)*1,"")))</f>
        <v/>
      </c>
      <c r="AB89" s="17" t="str">
        <f ca="1">IF(ISNA($B89),"",IF($B89="","",IFERROR(_xll.BDP(TICKER,"DEEP_MEASURE_PERIOD_BROKER_VALUE","DEEP_MEASURE_ID_OVERRIDE",$C89,"DEEP_BROKER_ID_OVERRIDE",$F$7,"DEEP_PERIOD_OVERRIDE",AB$11)*1,"")))</f>
        <v/>
      </c>
      <c r="AC89" s="17" t="str">
        <f ca="1">IF(ISNA($B89),"",IF($B89="","",IFERROR(_xll.BDP(TICKER,"DEEP_MEASURE_PERIOD_BROKER_VALUE","DEEP_MEASURE_ID_OVERRIDE",$C89,"DEEP_BROKER_ID_OVERRIDE",$F$7,"DEEP_PERIOD_OVERRIDE",AC$11)*1,"")))</f>
        <v/>
      </c>
      <c r="AD89" s="17" t="str">
        <f ca="1">IF(ISNA($B89),"",IF($B89="","",IFERROR(_xll.BDP(TICKER,"DEEP_MEASURE_PERIOD_BROKER_VALUE","DEEP_MEASURE_ID_OVERRIDE",$C89,"DEEP_BROKER_ID_OVERRIDE",$F$7,"DEEP_PERIOD_OVERRIDE",AD$11)*1,"")))</f>
        <v/>
      </c>
      <c r="AE89" s="17" t="str">
        <f ca="1">IF(ISNA($B89),"",IF($B89="","",IFERROR(_xll.BDP(TICKER,"DEEP_MEASURE_PERIOD_BROKER_VALUE","DEEP_MEASURE_ID_OVERRIDE",$C89,"DEEP_BROKER_ID_OVERRIDE",$F$7,"DEEP_PERIOD_OVERRIDE",AE$11)*1,"")))</f>
        <v/>
      </c>
      <c r="AF89" s="17" t="str">
        <f ca="1">IF(ISNA($B89),"",IF($B89="","",IFERROR(_xll.BDP(TICKER,"DEEP_MEASURE_PERIOD_BROKER_VALUE","DEEP_MEASURE_ID_OVERRIDE",$C89,"DEEP_BROKER_ID_OVERRIDE",$F$7,"DEEP_PERIOD_OVERRIDE",AF$11)*1,"")))</f>
        <v/>
      </c>
      <c r="AG89" s="17" t="str">
        <f ca="1">IF(ISNA($B89),"",IF($B89="","",IFERROR(_xll.BDP(TICKER,"DEEP_MEASURE_PERIOD_BROKER_VALUE","DEEP_MEASURE_ID_OVERRIDE",$C89,"DEEP_BROKER_ID_OVERRIDE",$F$7,"DEEP_PERIOD_OVERRIDE",AG$11)*1,"")))</f>
        <v/>
      </c>
      <c r="AH89" s="17" t="str">
        <f ca="1">IF(ISNA($B89),"",IF($B89="","",IFERROR(_xll.BDP(TICKER,"DEEP_MEASURE_PERIOD_BROKER_VALUE","DEEP_MEASURE_ID_OVERRIDE",$C89,"DEEP_BROKER_ID_OVERRIDE",$F$7,"DEEP_PERIOD_OVERRIDE",AH$11)*1,"")))</f>
        <v/>
      </c>
      <c r="AI89" s="17" t="str">
        <f ca="1">IF(ISNA($B89),"",IF($B89="","",IFERROR(_xll.BDP(TICKER,"DEEP_MEASURE_PERIOD_BROKER_VALUE","DEEP_MEASURE_ID_OVERRIDE",$C89,"DEEP_BROKER_ID_OVERRIDE",$F$7,"DEEP_PERIOD_OVERRIDE",AI$11)*1,"")))</f>
        <v/>
      </c>
      <c r="AJ89" s="17" t="str">
        <f ca="1">IF(ISNA($B89),"",IF($B89="","",IFERROR(_xll.BDP(TICKER,"DEEP_MEASURE_PERIOD_BROKER_VALUE","DEEP_MEASURE_ID_OVERRIDE",$C89,"DEEP_BROKER_ID_OVERRIDE",$F$7,"DEEP_PERIOD_OVERRIDE",AJ$11)*1,"")))</f>
        <v/>
      </c>
      <c r="AK89" s="17" t="str">
        <f ca="1">IF(ISNA($B89),"",IF($B89="","",IFERROR(_xll.BDP(TICKER,"DEEP_MEASURE_PERIOD_BROKER_VALUE","DEEP_MEASURE_ID_OVERRIDE",$C89,"DEEP_BROKER_ID_OVERRIDE",$F$7,"DEEP_PERIOD_OVERRIDE",AK$11)*1,"")))</f>
        <v/>
      </c>
      <c r="AL89" s="17" t="str">
        <f ca="1">IF(ISNA($B89),"",IF($B89="","",IFERROR(_xll.BDP(TICKER,"DEEP_MEASURE_PERIOD_BROKER_VALUE","DEEP_MEASURE_ID_OVERRIDE",$C89,"DEEP_BROKER_ID_OVERRIDE",$F$7,"DEEP_PERIOD_OVERRIDE",AL$11)*1,"")))</f>
        <v/>
      </c>
      <c r="AM89" s="17" t="str">
        <f ca="1">IF(ISNA($B89),"",IF($B89="","",IFERROR(_xll.BDP(TICKER,"DEEP_MEASURE_PERIOD_BROKER_VALUE","DEEP_MEASURE_ID_OVERRIDE",$C89,"DEEP_BROKER_ID_OVERRIDE",$F$7,"DEEP_PERIOD_OVERRIDE",AM$11)*1,"")))</f>
        <v/>
      </c>
      <c r="AN89" s="17" t="str">
        <f ca="1">IF(ISNA($B89),"",IF($B89="","",IFERROR(_xll.BDP(TICKER,"DEEP_MEASURE_PERIOD_BROKER_VALUE","DEEP_MEASURE_ID_OVERRIDE",$C89,"DEEP_BROKER_ID_OVERRIDE",$F$7,"DEEP_PERIOD_OVERRIDE",AN$11)*1,"")))</f>
        <v/>
      </c>
      <c r="AO89" s="17" t="str">
        <f ca="1">IF(ISNA($B89),"",IF($B89="","",IFERROR(_xll.BDP(TICKER,"DEEP_MEASURE_PERIOD_BROKER_VALUE","DEEP_MEASURE_ID_OVERRIDE",$C89,"DEEP_BROKER_ID_OVERRIDE",$F$7,"DEEP_PERIOD_OVERRIDE",AO$11)*1,"")))</f>
        <v/>
      </c>
      <c r="AP89" s="17" t="str">
        <f ca="1">IF(ISNA($B89),"",IF($B89="","",IFERROR(_xll.BDP(TICKER,"DEEP_MEASURE_PERIOD_BROKER_VALUE","DEEP_MEASURE_ID_OVERRIDE",$C89,"DEEP_BROKER_ID_OVERRIDE",$F$7,"DEEP_PERIOD_OVERRIDE",AP$11)*1,"")))</f>
        <v/>
      </c>
      <c r="AQ89" s="17" t="str">
        <f ca="1">IF(ISNA($B89),"",IF($B89="","",IFERROR(_xll.BDP(TICKER,"DEEP_MEASURE_PERIOD_BROKER_VALUE","DEEP_MEASURE_ID_OVERRIDE",$C89,"DEEP_BROKER_ID_OVERRIDE",$F$7,"DEEP_PERIOD_OVERRIDE",AQ$11)*1,"")))</f>
        <v/>
      </c>
    </row>
    <row r="90" spans="2:43" x14ac:dyDescent="0.25">
      <c r="B90" t="s">
        <v>135</v>
      </c>
      <c r="C90" s="11">
        <v>3631</v>
      </c>
      <c r="H90" t="str">
        <f t="shared" si="3"/>
        <v>Sales &amp; Marketing Expenses &gt; YoY Growth (%)</v>
      </c>
      <c r="I90" s="17" t="str">
        <f ca="1">IF(ISNA($B90),"",IF($B90="","",IFERROR(_xll.BDP(TICKER,"DEEP_MEASURE_PERIOD_BROKER_VALUE","DEEP_MEASURE_ID_OVERRIDE",$C90,"DEEP_BROKER_ID_OVERRIDE",$F$7,"DEEP_PERIOD_OVERRIDE",I$11)*1,"")))</f>
        <v/>
      </c>
      <c r="J90" s="17" t="str">
        <f ca="1">IF(ISNA($B90),"",IF($B90="","",IFERROR(_xll.BDP(TICKER,"DEEP_MEASURE_PERIOD_BROKER_VALUE","DEEP_MEASURE_ID_OVERRIDE",$C90,"DEEP_BROKER_ID_OVERRIDE",$F$7,"DEEP_PERIOD_OVERRIDE",J$11)*1,"")))</f>
        <v/>
      </c>
      <c r="K90" s="17" t="str">
        <f ca="1">IF(ISNA($B90),"",IF($B90="","",IFERROR(_xll.BDP(TICKER,"DEEP_MEASURE_PERIOD_BROKER_VALUE","DEEP_MEASURE_ID_OVERRIDE",$C90,"DEEP_BROKER_ID_OVERRIDE",$F$7,"DEEP_PERIOD_OVERRIDE",K$11)*1,"")))</f>
        <v/>
      </c>
      <c r="L90" s="17" t="str">
        <f ca="1">IF(ISNA($B90),"",IF($B90="","",IFERROR(_xll.BDP(TICKER,"DEEP_MEASURE_PERIOD_BROKER_VALUE","DEEP_MEASURE_ID_OVERRIDE",$C90,"DEEP_BROKER_ID_OVERRIDE",$F$7,"DEEP_PERIOD_OVERRIDE",L$11)*1,"")))</f>
        <v/>
      </c>
      <c r="M90" s="17" t="str">
        <f ca="1">IF(ISNA($B90),"",IF($B90="","",IFERROR(_xll.BDP(TICKER,"DEEP_MEASURE_PERIOD_BROKER_VALUE","DEEP_MEASURE_ID_OVERRIDE",$C90,"DEEP_BROKER_ID_OVERRIDE",$F$7,"DEEP_PERIOD_OVERRIDE",M$11)*1,"")))</f>
        <v/>
      </c>
      <c r="N90" s="17" t="str">
        <f ca="1">IF(ISNA($B90),"",IF($B90="","",IFERROR(_xll.BDP(TICKER,"DEEP_MEASURE_PERIOD_BROKER_VALUE","DEEP_MEASURE_ID_OVERRIDE",$C90,"DEEP_BROKER_ID_OVERRIDE",$F$7,"DEEP_PERIOD_OVERRIDE",N$11)*1,"")))</f>
        <v/>
      </c>
      <c r="O90" s="17" t="str">
        <f ca="1">IF(ISNA($B90),"",IF($B90="","",IFERROR(_xll.BDP(TICKER,"DEEP_MEASURE_PERIOD_BROKER_VALUE","DEEP_MEASURE_ID_OVERRIDE",$C90,"DEEP_BROKER_ID_OVERRIDE",$F$7,"DEEP_PERIOD_OVERRIDE",O$11)*1,"")))</f>
        <v/>
      </c>
      <c r="P90" s="17" t="str">
        <f ca="1">IF(ISNA($B90),"",IF($B90="","",IFERROR(_xll.BDP(TICKER,"DEEP_MEASURE_PERIOD_BROKER_VALUE","DEEP_MEASURE_ID_OVERRIDE",$C90,"DEEP_BROKER_ID_OVERRIDE",$F$7,"DEEP_PERIOD_OVERRIDE",P$11)*1,"")))</f>
        <v/>
      </c>
      <c r="Q90" s="17" t="str">
        <f ca="1">IF(ISNA($B90),"",IF($B90="","",IFERROR(_xll.BDP(TICKER,"DEEP_MEASURE_PERIOD_BROKER_VALUE","DEEP_MEASURE_ID_OVERRIDE",$C90,"DEEP_BROKER_ID_OVERRIDE",$F$7,"DEEP_PERIOD_OVERRIDE",Q$11)*1,"")))</f>
        <v/>
      </c>
      <c r="R90" s="17" t="str">
        <f ca="1">IF(ISNA($B90),"",IF($B90="","",IFERROR(_xll.BDP(TICKER,"DEEP_MEASURE_PERIOD_BROKER_VALUE","DEEP_MEASURE_ID_OVERRIDE",$C90,"DEEP_BROKER_ID_OVERRIDE",$F$7,"DEEP_PERIOD_OVERRIDE",R$11)*1,"")))</f>
        <v/>
      </c>
      <c r="S90" s="17" t="str">
        <f ca="1">IF(ISNA($B90),"",IF($B90="","",IFERROR(_xll.BDP(TICKER,"DEEP_MEASURE_PERIOD_BROKER_VALUE","DEEP_MEASURE_ID_OVERRIDE",$C90,"DEEP_BROKER_ID_OVERRIDE",$F$7,"DEEP_PERIOD_OVERRIDE",S$11)*1,"")))</f>
        <v/>
      </c>
      <c r="T90" s="17" t="str">
        <f ca="1">IF(ISNA($B90),"",IF($B90="","",IFERROR(_xll.BDP(TICKER,"DEEP_MEASURE_PERIOD_BROKER_VALUE","DEEP_MEASURE_ID_OVERRIDE",$C90,"DEEP_BROKER_ID_OVERRIDE",$F$7,"DEEP_PERIOD_OVERRIDE",T$11)*1,"")))</f>
        <v/>
      </c>
      <c r="U90" s="17" t="str">
        <f ca="1">IF(ISNA($B90),"",IF($B90="","",IFERROR(_xll.BDP(TICKER,"DEEP_MEASURE_PERIOD_BROKER_VALUE","DEEP_MEASURE_ID_OVERRIDE",$C90,"DEEP_BROKER_ID_OVERRIDE",$F$7,"DEEP_PERIOD_OVERRIDE",U$11)*1,"")))</f>
        <v/>
      </c>
      <c r="V90" s="17" t="str">
        <f ca="1">IF(ISNA($B90),"",IF($B90="","",IFERROR(_xll.BDP(TICKER,"DEEP_MEASURE_PERIOD_BROKER_VALUE","DEEP_MEASURE_ID_OVERRIDE",$C90,"DEEP_BROKER_ID_OVERRIDE",$F$7,"DEEP_PERIOD_OVERRIDE",V$11)*1,"")))</f>
        <v/>
      </c>
      <c r="W90" s="17" t="str">
        <f ca="1">IF(ISNA($B90),"",IF($B90="","",IFERROR(_xll.BDP(TICKER,"DEEP_MEASURE_PERIOD_BROKER_VALUE","DEEP_MEASURE_ID_OVERRIDE",$C90,"DEEP_BROKER_ID_OVERRIDE",$F$7,"DEEP_PERIOD_OVERRIDE",W$11)*1,"")))</f>
        <v/>
      </c>
      <c r="X90" s="17" t="str">
        <f ca="1">IF(ISNA($B90),"",IF($B90="","",IFERROR(_xll.BDP(TICKER,"DEEP_MEASURE_PERIOD_BROKER_VALUE","DEEP_MEASURE_ID_OVERRIDE",$C90,"DEEP_BROKER_ID_OVERRIDE",$F$7,"DEEP_PERIOD_OVERRIDE",X$11)*1,"")))</f>
        <v/>
      </c>
      <c r="Y90" s="17" t="str">
        <f ca="1">IF(ISNA($B90),"",IF($B90="","",IFERROR(_xll.BDP(TICKER,"DEEP_MEASURE_PERIOD_BROKER_VALUE","DEEP_MEASURE_ID_OVERRIDE",$C90,"DEEP_BROKER_ID_OVERRIDE",$F$7,"DEEP_PERIOD_OVERRIDE",Y$11)*1,"")))</f>
        <v/>
      </c>
      <c r="Z90" s="17" t="str">
        <f ca="1">IF(ISNA($B90),"",IF($B90="","",IFERROR(_xll.BDP(TICKER,"DEEP_MEASURE_PERIOD_BROKER_VALUE","DEEP_MEASURE_ID_OVERRIDE",$C90,"DEEP_BROKER_ID_OVERRIDE",$F$7,"DEEP_PERIOD_OVERRIDE",Z$11)*1,"")))</f>
        <v/>
      </c>
      <c r="AA90" s="17" t="str">
        <f ca="1">IF(ISNA($B90),"",IF($B90="","",IFERROR(_xll.BDP(TICKER,"DEEP_MEASURE_PERIOD_BROKER_VALUE","DEEP_MEASURE_ID_OVERRIDE",$C90,"DEEP_BROKER_ID_OVERRIDE",$F$7,"DEEP_PERIOD_OVERRIDE",AA$11)*1,"")))</f>
        <v/>
      </c>
      <c r="AB90" s="17" t="str">
        <f ca="1">IF(ISNA($B90),"",IF($B90="","",IFERROR(_xll.BDP(TICKER,"DEEP_MEASURE_PERIOD_BROKER_VALUE","DEEP_MEASURE_ID_OVERRIDE",$C90,"DEEP_BROKER_ID_OVERRIDE",$F$7,"DEEP_PERIOD_OVERRIDE",AB$11)*1,"")))</f>
        <v/>
      </c>
      <c r="AC90" s="17" t="str">
        <f ca="1">IF(ISNA($B90),"",IF($B90="","",IFERROR(_xll.BDP(TICKER,"DEEP_MEASURE_PERIOD_BROKER_VALUE","DEEP_MEASURE_ID_OVERRIDE",$C90,"DEEP_BROKER_ID_OVERRIDE",$F$7,"DEEP_PERIOD_OVERRIDE",AC$11)*1,"")))</f>
        <v/>
      </c>
      <c r="AD90" s="17" t="str">
        <f ca="1">IF(ISNA($B90),"",IF($B90="","",IFERROR(_xll.BDP(TICKER,"DEEP_MEASURE_PERIOD_BROKER_VALUE","DEEP_MEASURE_ID_OVERRIDE",$C90,"DEEP_BROKER_ID_OVERRIDE",$F$7,"DEEP_PERIOD_OVERRIDE",AD$11)*1,"")))</f>
        <v/>
      </c>
      <c r="AE90" s="17" t="str">
        <f ca="1">IF(ISNA($B90),"",IF($B90="","",IFERROR(_xll.BDP(TICKER,"DEEP_MEASURE_PERIOD_BROKER_VALUE","DEEP_MEASURE_ID_OVERRIDE",$C90,"DEEP_BROKER_ID_OVERRIDE",$F$7,"DEEP_PERIOD_OVERRIDE",AE$11)*1,"")))</f>
        <v/>
      </c>
      <c r="AF90" s="17" t="str">
        <f ca="1">IF(ISNA($B90),"",IF($B90="","",IFERROR(_xll.BDP(TICKER,"DEEP_MEASURE_PERIOD_BROKER_VALUE","DEEP_MEASURE_ID_OVERRIDE",$C90,"DEEP_BROKER_ID_OVERRIDE",$F$7,"DEEP_PERIOD_OVERRIDE",AF$11)*1,"")))</f>
        <v/>
      </c>
      <c r="AG90" s="17" t="str">
        <f ca="1">IF(ISNA($B90),"",IF($B90="","",IFERROR(_xll.BDP(TICKER,"DEEP_MEASURE_PERIOD_BROKER_VALUE","DEEP_MEASURE_ID_OVERRIDE",$C90,"DEEP_BROKER_ID_OVERRIDE",$F$7,"DEEP_PERIOD_OVERRIDE",AG$11)*1,"")))</f>
        <v/>
      </c>
      <c r="AH90" s="17" t="str">
        <f ca="1">IF(ISNA($B90),"",IF($B90="","",IFERROR(_xll.BDP(TICKER,"DEEP_MEASURE_PERIOD_BROKER_VALUE","DEEP_MEASURE_ID_OVERRIDE",$C90,"DEEP_BROKER_ID_OVERRIDE",$F$7,"DEEP_PERIOD_OVERRIDE",AH$11)*1,"")))</f>
        <v/>
      </c>
      <c r="AI90" s="17" t="str">
        <f ca="1">IF(ISNA($B90),"",IF($B90="","",IFERROR(_xll.BDP(TICKER,"DEEP_MEASURE_PERIOD_BROKER_VALUE","DEEP_MEASURE_ID_OVERRIDE",$C90,"DEEP_BROKER_ID_OVERRIDE",$F$7,"DEEP_PERIOD_OVERRIDE",AI$11)*1,"")))</f>
        <v/>
      </c>
      <c r="AJ90" s="17" t="str">
        <f ca="1">IF(ISNA($B90),"",IF($B90="","",IFERROR(_xll.BDP(TICKER,"DEEP_MEASURE_PERIOD_BROKER_VALUE","DEEP_MEASURE_ID_OVERRIDE",$C90,"DEEP_BROKER_ID_OVERRIDE",$F$7,"DEEP_PERIOD_OVERRIDE",AJ$11)*1,"")))</f>
        <v/>
      </c>
      <c r="AK90" s="17" t="str">
        <f ca="1">IF(ISNA($B90),"",IF($B90="","",IFERROR(_xll.BDP(TICKER,"DEEP_MEASURE_PERIOD_BROKER_VALUE","DEEP_MEASURE_ID_OVERRIDE",$C90,"DEEP_BROKER_ID_OVERRIDE",$F$7,"DEEP_PERIOD_OVERRIDE",AK$11)*1,"")))</f>
        <v/>
      </c>
      <c r="AL90" s="17" t="str">
        <f ca="1">IF(ISNA($B90),"",IF($B90="","",IFERROR(_xll.BDP(TICKER,"DEEP_MEASURE_PERIOD_BROKER_VALUE","DEEP_MEASURE_ID_OVERRIDE",$C90,"DEEP_BROKER_ID_OVERRIDE",$F$7,"DEEP_PERIOD_OVERRIDE",AL$11)*1,"")))</f>
        <v/>
      </c>
      <c r="AM90" s="17" t="str">
        <f ca="1">IF(ISNA($B90),"",IF($B90="","",IFERROR(_xll.BDP(TICKER,"DEEP_MEASURE_PERIOD_BROKER_VALUE","DEEP_MEASURE_ID_OVERRIDE",$C90,"DEEP_BROKER_ID_OVERRIDE",$F$7,"DEEP_PERIOD_OVERRIDE",AM$11)*1,"")))</f>
        <v/>
      </c>
      <c r="AN90" s="17" t="str">
        <f ca="1">IF(ISNA($B90),"",IF($B90="","",IFERROR(_xll.BDP(TICKER,"DEEP_MEASURE_PERIOD_BROKER_VALUE","DEEP_MEASURE_ID_OVERRIDE",$C90,"DEEP_BROKER_ID_OVERRIDE",$F$7,"DEEP_PERIOD_OVERRIDE",AN$11)*1,"")))</f>
        <v/>
      </c>
      <c r="AO90" s="17" t="str">
        <f ca="1">IF(ISNA($B90),"",IF($B90="","",IFERROR(_xll.BDP(TICKER,"DEEP_MEASURE_PERIOD_BROKER_VALUE","DEEP_MEASURE_ID_OVERRIDE",$C90,"DEEP_BROKER_ID_OVERRIDE",$F$7,"DEEP_PERIOD_OVERRIDE",AO$11)*1,"")))</f>
        <v/>
      </c>
      <c r="AP90" s="17" t="str">
        <f ca="1">IF(ISNA($B90),"",IF($B90="","",IFERROR(_xll.BDP(TICKER,"DEEP_MEASURE_PERIOD_BROKER_VALUE","DEEP_MEASURE_ID_OVERRIDE",$C90,"DEEP_BROKER_ID_OVERRIDE",$F$7,"DEEP_PERIOD_OVERRIDE",AP$11)*1,"")))</f>
        <v/>
      </c>
      <c r="AQ90" s="17" t="str">
        <f ca="1">IF(ISNA($B90),"",IF($B90="","",IFERROR(_xll.BDP(TICKER,"DEEP_MEASURE_PERIOD_BROKER_VALUE","DEEP_MEASURE_ID_OVERRIDE",$C90,"DEEP_BROKER_ID_OVERRIDE",$F$7,"DEEP_PERIOD_OVERRIDE",AQ$11)*1,"")))</f>
        <v/>
      </c>
    </row>
    <row r="91" spans="2:43" x14ac:dyDescent="0.25">
      <c r="B91" t="s">
        <v>136</v>
      </c>
      <c r="C91" s="11">
        <v>301</v>
      </c>
      <c r="H91" t="str">
        <f t="shared" si="3"/>
        <v>Sales &amp; Marketing Expenses &gt; Direct Costs</v>
      </c>
      <c r="I91" s="17" t="str">
        <f ca="1">IF(ISNA($B91),"",IF($B91="","",IFERROR(_xll.BDP(TICKER,"DEEP_MEASURE_PERIOD_BROKER_VALUE","DEEP_MEASURE_ID_OVERRIDE",$C91,"DEEP_BROKER_ID_OVERRIDE",$F$7,"DEEP_PERIOD_OVERRIDE",I$11)*1,"")))</f>
        <v/>
      </c>
      <c r="J91" s="17" t="str">
        <f ca="1">IF(ISNA($B91),"",IF($B91="","",IFERROR(_xll.BDP(TICKER,"DEEP_MEASURE_PERIOD_BROKER_VALUE","DEEP_MEASURE_ID_OVERRIDE",$C91,"DEEP_BROKER_ID_OVERRIDE",$F$7,"DEEP_PERIOD_OVERRIDE",J$11)*1,"")))</f>
        <v/>
      </c>
      <c r="K91" s="17" t="str">
        <f ca="1">IF(ISNA($B91),"",IF($B91="","",IFERROR(_xll.BDP(TICKER,"DEEP_MEASURE_PERIOD_BROKER_VALUE","DEEP_MEASURE_ID_OVERRIDE",$C91,"DEEP_BROKER_ID_OVERRIDE",$F$7,"DEEP_PERIOD_OVERRIDE",K$11)*1,"")))</f>
        <v/>
      </c>
      <c r="L91" s="17" t="str">
        <f ca="1">IF(ISNA($B91),"",IF($B91="","",IFERROR(_xll.BDP(TICKER,"DEEP_MEASURE_PERIOD_BROKER_VALUE","DEEP_MEASURE_ID_OVERRIDE",$C91,"DEEP_BROKER_ID_OVERRIDE",$F$7,"DEEP_PERIOD_OVERRIDE",L$11)*1,"")))</f>
        <v/>
      </c>
      <c r="M91" s="17" t="str">
        <f ca="1">IF(ISNA($B91),"",IF($B91="","",IFERROR(_xll.BDP(TICKER,"DEEP_MEASURE_PERIOD_BROKER_VALUE","DEEP_MEASURE_ID_OVERRIDE",$C91,"DEEP_BROKER_ID_OVERRIDE",$F$7,"DEEP_PERIOD_OVERRIDE",M$11)*1,"")))</f>
        <v/>
      </c>
      <c r="N91" s="17" t="str">
        <f ca="1">IF(ISNA($B91),"",IF($B91="","",IFERROR(_xll.BDP(TICKER,"DEEP_MEASURE_PERIOD_BROKER_VALUE","DEEP_MEASURE_ID_OVERRIDE",$C91,"DEEP_BROKER_ID_OVERRIDE",$F$7,"DEEP_PERIOD_OVERRIDE",N$11)*1,"")))</f>
        <v/>
      </c>
      <c r="O91" s="17" t="str">
        <f ca="1">IF(ISNA($B91),"",IF($B91="","",IFERROR(_xll.BDP(TICKER,"DEEP_MEASURE_PERIOD_BROKER_VALUE","DEEP_MEASURE_ID_OVERRIDE",$C91,"DEEP_BROKER_ID_OVERRIDE",$F$7,"DEEP_PERIOD_OVERRIDE",O$11)*1,"")))</f>
        <v/>
      </c>
      <c r="P91" s="17" t="str">
        <f ca="1">IF(ISNA($B91),"",IF($B91="","",IFERROR(_xll.BDP(TICKER,"DEEP_MEASURE_PERIOD_BROKER_VALUE","DEEP_MEASURE_ID_OVERRIDE",$C91,"DEEP_BROKER_ID_OVERRIDE",$F$7,"DEEP_PERIOD_OVERRIDE",P$11)*1,"")))</f>
        <v/>
      </c>
      <c r="Q91" s="17" t="str">
        <f ca="1">IF(ISNA($B91),"",IF($B91="","",IFERROR(_xll.BDP(TICKER,"DEEP_MEASURE_PERIOD_BROKER_VALUE","DEEP_MEASURE_ID_OVERRIDE",$C91,"DEEP_BROKER_ID_OVERRIDE",$F$7,"DEEP_PERIOD_OVERRIDE",Q$11)*1,"")))</f>
        <v/>
      </c>
      <c r="R91" s="17" t="str">
        <f ca="1">IF(ISNA($B91),"",IF($B91="","",IFERROR(_xll.BDP(TICKER,"DEEP_MEASURE_PERIOD_BROKER_VALUE","DEEP_MEASURE_ID_OVERRIDE",$C91,"DEEP_BROKER_ID_OVERRIDE",$F$7,"DEEP_PERIOD_OVERRIDE",R$11)*1,"")))</f>
        <v/>
      </c>
      <c r="S91" s="17" t="str">
        <f ca="1">IF(ISNA($B91),"",IF($B91="","",IFERROR(_xll.BDP(TICKER,"DEEP_MEASURE_PERIOD_BROKER_VALUE","DEEP_MEASURE_ID_OVERRIDE",$C91,"DEEP_BROKER_ID_OVERRIDE",$F$7,"DEEP_PERIOD_OVERRIDE",S$11)*1,"")))</f>
        <v/>
      </c>
      <c r="T91" s="17" t="str">
        <f ca="1">IF(ISNA($B91),"",IF($B91="","",IFERROR(_xll.BDP(TICKER,"DEEP_MEASURE_PERIOD_BROKER_VALUE","DEEP_MEASURE_ID_OVERRIDE",$C91,"DEEP_BROKER_ID_OVERRIDE",$F$7,"DEEP_PERIOD_OVERRIDE",T$11)*1,"")))</f>
        <v/>
      </c>
      <c r="U91" s="17" t="str">
        <f ca="1">IF(ISNA($B91),"",IF($B91="","",IFERROR(_xll.BDP(TICKER,"DEEP_MEASURE_PERIOD_BROKER_VALUE","DEEP_MEASURE_ID_OVERRIDE",$C91,"DEEP_BROKER_ID_OVERRIDE",$F$7,"DEEP_PERIOD_OVERRIDE",U$11)*1,"")))</f>
        <v/>
      </c>
      <c r="V91" s="17" t="str">
        <f ca="1">IF(ISNA($B91),"",IF($B91="","",IFERROR(_xll.BDP(TICKER,"DEEP_MEASURE_PERIOD_BROKER_VALUE","DEEP_MEASURE_ID_OVERRIDE",$C91,"DEEP_BROKER_ID_OVERRIDE",$F$7,"DEEP_PERIOD_OVERRIDE",V$11)*1,"")))</f>
        <v/>
      </c>
      <c r="W91" s="17" t="str">
        <f ca="1">IF(ISNA($B91),"",IF($B91="","",IFERROR(_xll.BDP(TICKER,"DEEP_MEASURE_PERIOD_BROKER_VALUE","DEEP_MEASURE_ID_OVERRIDE",$C91,"DEEP_BROKER_ID_OVERRIDE",$F$7,"DEEP_PERIOD_OVERRIDE",W$11)*1,"")))</f>
        <v/>
      </c>
      <c r="X91" s="17" t="str">
        <f ca="1">IF(ISNA($B91),"",IF($B91="","",IFERROR(_xll.BDP(TICKER,"DEEP_MEASURE_PERIOD_BROKER_VALUE","DEEP_MEASURE_ID_OVERRIDE",$C91,"DEEP_BROKER_ID_OVERRIDE",$F$7,"DEEP_PERIOD_OVERRIDE",X$11)*1,"")))</f>
        <v/>
      </c>
      <c r="Y91" s="17" t="str">
        <f ca="1">IF(ISNA($B91),"",IF($B91="","",IFERROR(_xll.BDP(TICKER,"DEEP_MEASURE_PERIOD_BROKER_VALUE","DEEP_MEASURE_ID_OVERRIDE",$C91,"DEEP_BROKER_ID_OVERRIDE",$F$7,"DEEP_PERIOD_OVERRIDE",Y$11)*1,"")))</f>
        <v/>
      </c>
      <c r="Z91" s="17" t="str">
        <f ca="1">IF(ISNA($B91),"",IF($B91="","",IFERROR(_xll.BDP(TICKER,"DEEP_MEASURE_PERIOD_BROKER_VALUE","DEEP_MEASURE_ID_OVERRIDE",$C91,"DEEP_BROKER_ID_OVERRIDE",$F$7,"DEEP_PERIOD_OVERRIDE",Z$11)*1,"")))</f>
        <v/>
      </c>
      <c r="AA91" s="17" t="str">
        <f ca="1">IF(ISNA($B91),"",IF($B91="","",IFERROR(_xll.BDP(TICKER,"DEEP_MEASURE_PERIOD_BROKER_VALUE","DEEP_MEASURE_ID_OVERRIDE",$C91,"DEEP_BROKER_ID_OVERRIDE",$F$7,"DEEP_PERIOD_OVERRIDE",AA$11)*1,"")))</f>
        <v/>
      </c>
      <c r="AB91" s="17" t="str">
        <f ca="1">IF(ISNA($B91),"",IF($B91="","",IFERROR(_xll.BDP(TICKER,"DEEP_MEASURE_PERIOD_BROKER_VALUE","DEEP_MEASURE_ID_OVERRIDE",$C91,"DEEP_BROKER_ID_OVERRIDE",$F$7,"DEEP_PERIOD_OVERRIDE",AB$11)*1,"")))</f>
        <v/>
      </c>
      <c r="AC91" s="17" t="str">
        <f ca="1">IF(ISNA($B91),"",IF($B91="","",IFERROR(_xll.BDP(TICKER,"DEEP_MEASURE_PERIOD_BROKER_VALUE","DEEP_MEASURE_ID_OVERRIDE",$C91,"DEEP_BROKER_ID_OVERRIDE",$F$7,"DEEP_PERIOD_OVERRIDE",AC$11)*1,"")))</f>
        <v/>
      </c>
      <c r="AD91" s="17" t="str">
        <f ca="1">IF(ISNA($B91),"",IF($B91="","",IFERROR(_xll.BDP(TICKER,"DEEP_MEASURE_PERIOD_BROKER_VALUE","DEEP_MEASURE_ID_OVERRIDE",$C91,"DEEP_BROKER_ID_OVERRIDE",$F$7,"DEEP_PERIOD_OVERRIDE",AD$11)*1,"")))</f>
        <v/>
      </c>
      <c r="AE91" s="17" t="str">
        <f ca="1">IF(ISNA($B91),"",IF($B91="","",IFERROR(_xll.BDP(TICKER,"DEEP_MEASURE_PERIOD_BROKER_VALUE","DEEP_MEASURE_ID_OVERRIDE",$C91,"DEEP_BROKER_ID_OVERRIDE",$F$7,"DEEP_PERIOD_OVERRIDE",AE$11)*1,"")))</f>
        <v/>
      </c>
      <c r="AF91" s="17" t="str">
        <f ca="1">IF(ISNA($B91),"",IF($B91="","",IFERROR(_xll.BDP(TICKER,"DEEP_MEASURE_PERIOD_BROKER_VALUE","DEEP_MEASURE_ID_OVERRIDE",$C91,"DEEP_BROKER_ID_OVERRIDE",$F$7,"DEEP_PERIOD_OVERRIDE",AF$11)*1,"")))</f>
        <v/>
      </c>
      <c r="AG91" s="17" t="str">
        <f ca="1">IF(ISNA($B91),"",IF($B91="","",IFERROR(_xll.BDP(TICKER,"DEEP_MEASURE_PERIOD_BROKER_VALUE","DEEP_MEASURE_ID_OVERRIDE",$C91,"DEEP_BROKER_ID_OVERRIDE",$F$7,"DEEP_PERIOD_OVERRIDE",AG$11)*1,"")))</f>
        <v/>
      </c>
      <c r="AH91" s="17" t="str">
        <f ca="1">IF(ISNA($B91),"",IF($B91="","",IFERROR(_xll.BDP(TICKER,"DEEP_MEASURE_PERIOD_BROKER_VALUE","DEEP_MEASURE_ID_OVERRIDE",$C91,"DEEP_BROKER_ID_OVERRIDE",$F$7,"DEEP_PERIOD_OVERRIDE",AH$11)*1,"")))</f>
        <v/>
      </c>
      <c r="AI91" s="17" t="str">
        <f ca="1">IF(ISNA($B91),"",IF($B91="","",IFERROR(_xll.BDP(TICKER,"DEEP_MEASURE_PERIOD_BROKER_VALUE","DEEP_MEASURE_ID_OVERRIDE",$C91,"DEEP_BROKER_ID_OVERRIDE",$F$7,"DEEP_PERIOD_OVERRIDE",AI$11)*1,"")))</f>
        <v/>
      </c>
      <c r="AJ91" s="17" t="str">
        <f ca="1">IF(ISNA($B91),"",IF($B91="","",IFERROR(_xll.BDP(TICKER,"DEEP_MEASURE_PERIOD_BROKER_VALUE","DEEP_MEASURE_ID_OVERRIDE",$C91,"DEEP_BROKER_ID_OVERRIDE",$F$7,"DEEP_PERIOD_OVERRIDE",AJ$11)*1,"")))</f>
        <v/>
      </c>
      <c r="AK91" s="17" t="str">
        <f ca="1">IF(ISNA($B91),"",IF($B91="","",IFERROR(_xll.BDP(TICKER,"DEEP_MEASURE_PERIOD_BROKER_VALUE","DEEP_MEASURE_ID_OVERRIDE",$C91,"DEEP_BROKER_ID_OVERRIDE",$F$7,"DEEP_PERIOD_OVERRIDE",AK$11)*1,"")))</f>
        <v/>
      </c>
      <c r="AL91" s="17" t="str">
        <f ca="1">IF(ISNA($B91),"",IF($B91="","",IFERROR(_xll.BDP(TICKER,"DEEP_MEASURE_PERIOD_BROKER_VALUE","DEEP_MEASURE_ID_OVERRIDE",$C91,"DEEP_BROKER_ID_OVERRIDE",$F$7,"DEEP_PERIOD_OVERRIDE",AL$11)*1,"")))</f>
        <v/>
      </c>
      <c r="AM91" s="17" t="str">
        <f ca="1">IF(ISNA($B91),"",IF($B91="","",IFERROR(_xll.BDP(TICKER,"DEEP_MEASURE_PERIOD_BROKER_VALUE","DEEP_MEASURE_ID_OVERRIDE",$C91,"DEEP_BROKER_ID_OVERRIDE",$F$7,"DEEP_PERIOD_OVERRIDE",AM$11)*1,"")))</f>
        <v/>
      </c>
      <c r="AN91" s="17" t="str">
        <f ca="1">IF(ISNA($B91),"",IF($B91="","",IFERROR(_xll.BDP(TICKER,"DEEP_MEASURE_PERIOD_BROKER_VALUE","DEEP_MEASURE_ID_OVERRIDE",$C91,"DEEP_BROKER_ID_OVERRIDE",$F$7,"DEEP_PERIOD_OVERRIDE",AN$11)*1,"")))</f>
        <v/>
      </c>
      <c r="AO91" s="17" t="str">
        <f ca="1">IF(ISNA($B91),"",IF($B91="","",IFERROR(_xll.BDP(TICKER,"DEEP_MEASURE_PERIOD_BROKER_VALUE","DEEP_MEASURE_ID_OVERRIDE",$C91,"DEEP_BROKER_ID_OVERRIDE",$F$7,"DEEP_PERIOD_OVERRIDE",AO$11)*1,"")))</f>
        <v/>
      </c>
      <c r="AP91" s="17" t="str">
        <f ca="1">IF(ISNA($B91),"",IF($B91="","",IFERROR(_xll.BDP(TICKER,"DEEP_MEASURE_PERIOD_BROKER_VALUE","DEEP_MEASURE_ID_OVERRIDE",$C91,"DEEP_BROKER_ID_OVERRIDE",$F$7,"DEEP_PERIOD_OVERRIDE",AP$11)*1,"")))</f>
        <v/>
      </c>
      <c r="AQ91" s="17" t="str">
        <f ca="1">IF(ISNA($B91),"",IF($B91="","",IFERROR(_xll.BDP(TICKER,"DEEP_MEASURE_PERIOD_BROKER_VALUE","DEEP_MEASURE_ID_OVERRIDE",$C91,"DEEP_BROKER_ID_OVERRIDE",$F$7,"DEEP_PERIOD_OVERRIDE",AQ$11)*1,"")))</f>
        <v/>
      </c>
    </row>
    <row r="92" spans="2:43" x14ac:dyDescent="0.25">
      <c r="B92" t="s">
        <v>137</v>
      </c>
      <c r="C92" s="11">
        <v>374</v>
      </c>
      <c r="H92" t="str">
        <f t="shared" si="3"/>
        <v>Sales &amp; Marketing Expenses &gt; Direct Costs &gt; As % of Revenue</v>
      </c>
      <c r="I92" s="17" t="str">
        <f ca="1">IF(ISNA($B92),"",IF($B92="","",IFERROR(_xll.BDP(TICKER,"DEEP_MEASURE_PERIOD_BROKER_VALUE","DEEP_MEASURE_ID_OVERRIDE",$C92,"DEEP_BROKER_ID_OVERRIDE",$F$7,"DEEP_PERIOD_OVERRIDE",I$11)*1,"")))</f>
        <v/>
      </c>
      <c r="J92" s="17" t="str">
        <f ca="1">IF(ISNA($B92),"",IF($B92="","",IFERROR(_xll.BDP(TICKER,"DEEP_MEASURE_PERIOD_BROKER_VALUE","DEEP_MEASURE_ID_OVERRIDE",$C92,"DEEP_BROKER_ID_OVERRIDE",$F$7,"DEEP_PERIOD_OVERRIDE",J$11)*1,"")))</f>
        <v/>
      </c>
      <c r="K92" s="17" t="str">
        <f ca="1">IF(ISNA($B92),"",IF($B92="","",IFERROR(_xll.BDP(TICKER,"DEEP_MEASURE_PERIOD_BROKER_VALUE","DEEP_MEASURE_ID_OVERRIDE",$C92,"DEEP_BROKER_ID_OVERRIDE",$F$7,"DEEP_PERIOD_OVERRIDE",K$11)*1,"")))</f>
        <v/>
      </c>
      <c r="L92" s="17" t="str">
        <f ca="1">IF(ISNA($B92),"",IF($B92="","",IFERROR(_xll.BDP(TICKER,"DEEP_MEASURE_PERIOD_BROKER_VALUE","DEEP_MEASURE_ID_OVERRIDE",$C92,"DEEP_BROKER_ID_OVERRIDE",$F$7,"DEEP_PERIOD_OVERRIDE",L$11)*1,"")))</f>
        <v/>
      </c>
      <c r="M92" s="17" t="str">
        <f ca="1">IF(ISNA($B92),"",IF($B92="","",IFERROR(_xll.BDP(TICKER,"DEEP_MEASURE_PERIOD_BROKER_VALUE","DEEP_MEASURE_ID_OVERRIDE",$C92,"DEEP_BROKER_ID_OVERRIDE",$F$7,"DEEP_PERIOD_OVERRIDE",M$11)*1,"")))</f>
        <v/>
      </c>
      <c r="N92" s="17" t="str">
        <f ca="1">IF(ISNA($B92),"",IF($B92="","",IFERROR(_xll.BDP(TICKER,"DEEP_MEASURE_PERIOD_BROKER_VALUE","DEEP_MEASURE_ID_OVERRIDE",$C92,"DEEP_BROKER_ID_OVERRIDE",$F$7,"DEEP_PERIOD_OVERRIDE",N$11)*1,"")))</f>
        <v/>
      </c>
      <c r="O92" s="17" t="str">
        <f ca="1">IF(ISNA($B92),"",IF($B92="","",IFERROR(_xll.BDP(TICKER,"DEEP_MEASURE_PERIOD_BROKER_VALUE","DEEP_MEASURE_ID_OVERRIDE",$C92,"DEEP_BROKER_ID_OVERRIDE",$F$7,"DEEP_PERIOD_OVERRIDE",O$11)*1,"")))</f>
        <v/>
      </c>
      <c r="P92" s="17" t="str">
        <f ca="1">IF(ISNA($B92),"",IF($B92="","",IFERROR(_xll.BDP(TICKER,"DEEP_MEASURE_PERIOD_BROKER_VALUE","DEEP_MEASURE_ID_OVERRIDE",$C92,"DEEP_BROKER_ID_OVERRIDE",$F$7,"DEEP_PERIOD_OVERRIDE",P$11)*1,"")))</f>
        <v/>
      </c>
      <c r="Q92" s="17" t="str">
        <f ca="1">IF(ISNA($B92),"",IF($B92="","",IFERROR(_xll.BDP(TICKER,"DEEP_MEASURE_PERIOD_BROKER_VALUE","DEEP_MEASURE_ID_OVERRIDE",$C92,"DEEP_BROKER_ID_OVERRIDE",$F$7,"DEEP_PERIOD_OVERRIDE",Q$11)*1,"")))</f>
        <v/>
      </c>
      <c r="R92" s="17" t="str">
        <f ca="1">IF(ISNA($B92),"",IF($B92="","",IFERROR(_xll.BDP(TICKER,"DEEP_MEASURE_PERIOD_BROKER_VALUE","DEEP_MEASURE_ID_OVERRIDE",$C92,"DEEP_BROKER_ID_OVERRIDE",$F$7,"DEEP_PERIOD_OVERRIDE",R$11)*1,"")))</f>
        <v/>
      </c>
      <c r="S92" s="17" t="str">
        <f ca="1">IF(ISNA($B92),"",IF($B92="","",IFERROR(_xll.BDP(TICKER,"DEEP_MEASURE_PERIOD_BROKER_VALUE","DEEP_MEASURE_ID_OVERRIDE",$C92,"DEEP_BROKER_ID_OVERRIDE",$F$7,"DEEP_PERIOD_OVERRIDE",S$11)*1,"")))</f>
        <v/>
      </c>
      <c r="T92" s="17" t="str">
        <f ca="1">IF(ISNA($B92),"",IF($B92="","",IFERROR(_xll.BDP(TICKER,"DEEP_MEASURE_PERIOD_BROKER_VALUE","DEEP_MEASURE_ID_OVERRIDE",$C92,"DEEP_BROKER_ID_OVERRIDE",$F$7,"DEEP_PERIOD_OVERRIDE",T$11)*1,"")))</f>
        <v/>
      </c>
      <c r="U92" s="17" t="str">
        <f ca="1">IF(ISNA($B92),"",IF($B92="","",IFERROR(_xll.BDP(TICKER,"DEEP_MEASURE_PERIOD_BROKER_VALUE","DEEP_MEASURE_ID_OVERRIDE",$C92,"DEEP_BROKER_ID_OVERRIDE",$F$7,"DEEP_PERIOD_OVERRIDE",U$11)*1,"")))</f>
        <v/>
      </c>
      <c r="V92" s="17" t="str">
        <f ca="1">IF(ISNA($B92),"",IF($B92="","",IFERROR(_xll.BDP(TICKER,"DEEP_MEASURE_PERIOD_BROKER_VALUE","DEEP_MEASURE_ID_OVERRIDE",$C92,"DEEP_BROKER_ID_OVERRIDE",$F$7,"DEEP_PERIOD_OVERRIDE",V$11)*1,"")))</f>
        <v/>
      </c>
      <c r="W92" s="17" t="str">
        <f ca="1">IF(ISNA($B92),"",IF($B92="","",IFERROR(_xll.BDP(TICKER,"DEEP_MEASURE_PERIOD_BROKER_VALUE","DEEP_MEASURE_ID_OVERRIDE",$C92,"DEEP_BROKER_ID_OVERRIDE",$F$7,"DEEP_PERIOD_OVERRIDE",W$11)*1,"")))</f>
        <v/>
      </c>
      <c r="X92" s="17" t="str">
        <f ca="1">IF(ISNA($B92),"",IF($B92="","",IFERROR(_xll.BDP(TICKER,"DEEP_MEASURE_PERIOD_BROKER_VALUE","DEEP_MEASURE_ID_OVERRIDE",$C92,"DEEP_BROKER_ID_OVERRIDE",$F$7,"DEEP_PERIOD_OVERRIDE",X$11)*1,"")))</f>
        <v/>
      </c>
      <c r="Y92" s="17" t="str">
        <f ca="1">IF(ISNA($B92),"",IF($B92="","",IFERROR(_xll.BDP(TICKER,"DEEP_MEASURE_PERIOD_BROKER_VALUE","DEEP_MEASURE_ID_OVERRIDE",$C92,"DEEP_BROKER_ID_OVERRIDE",$F$7,"DEEP_PERIOD_OVERRIDE",Y$11)*1,"")))</f>
        <v/>
      </c>
      <c r="Z92" s="17" t="str">
        <f ca="1">IF(ISNA($B92),"",IF($B92="","",IFERROR(_xll.BDP(TICKER,"DEEP_MEASURE_PERIOD_BROKER_VALUE","DEEP_MEASURE_ID_OVERRIDE",$C92,"DEEP_BROKER_ID_OVERRIDE",$F$7,"DEEP_PERIOD_OVERRIDE",Z$11)*1,"")))</f>
        <v/>
      </c>
      <c r="AA92" s="17" t="str">
        <f ca="1">IF(ISNA($B92),"",IF($B92="","",IFERROR(_xll.BDP(TICKER,"DEEP_MEASURE_PERIOD_BROKER_VALUE","DEEP_MEASURE_ID_OVERRIDE",$C92,"DEEP_BROKER_ID_OVERRIDE",$F$7,"DEEP_PERIOD_OVERRIDE",AA$11)*1,"")))</f>
        <v/>
      </c>
      <c r="AB92" s="17" t="str">
        <f ca="1">IF(ISNA($B92),"",IF($B92="","",IFERROR(_xll.BDP(TICKER,"DEEP_MEASURE_PERIOD_BROKER_VALUE","DEEP_MEASURE_ID_OVERRIDE",$C92,"DEEP_BROKER_ID_OVERRIDE",$F$7,"DEEP_PERIOD_OVERRIDE",AB$11)*1,"")))</f>
        <v/>
      </c>
      <c r="AC92" s="17" t="str">
        <f ca="1">IF(ISNA($B92),"",IF($B92="","",IFERROR(_xll.BDP(TICKER,"DEEP_MEASURE_PERIOD_BROKER_VALUE","DEEP_MEASURE_ID_OVERRIDE",$C92,"DEEP_BROKER_ID_OVERRIDE",$F$7,"DEEP_PERIOD_OVERRIDE",AC$11)*1,"")))</f>
        <v/>
      </c>
      <c r="AD92" s="17" t="str">
        <f ca="1">IF(ISNA($B92),"",IF($B92="","",IFERROR(_xll.BDP(TICKER,"DEEP_MEASURE_PERIOD_BROKER_VALUE","DEEP_MEASURE_ID_OVERRIDE",$C92,"DEEP_BROKER_ID_OVERRIDE",$F$7,"DEEP_PERIOD_OVERRIDE",AD$11)*1,"")))</f>
        <v/>
      </c>
      <c r="AE92" s="17" t="str">
        <f ca="1">IF(ISNA($B92),"",IF($B92="","",IFERROR(_xll.BDP(TICKER,"DEEP_MEASURE_PERIOD_BROKER_VALUE","DEEP_MEASURE_ID_OVERRIDE",$C92,"DEEP_BROKER_ID_OVERRIDE",$F$7,"DEEP_PERIOD_OVERRIDE",AE$11)*1,"")))</f>
        <v/>
      </c>
      <c r="AF92" s="17" t="str">
        <f ca="1">IF(ISNA($B92),"",IF($B92="","",IFERROR(_xll.BDP(TICKER,"DEEP_MEASURE_PERIOD_BROKER_VALUE","DEEP_MEASURE_ID_OVERRIDE",$C92,"DEEP_BROKER_ID_OVERRIDE",$F$7,"DEEP_PERIOD_OVERRIDE",AF$11)*1,"")))</f>
        <v/>
      </c>
      <c r="AG92" s="17" t="str">
        <f ca="1">IF(ISNA($B92),"",IF($B92="","",IFERROR(_xll.BDP(TICKER,"DEEP_MEASURE_PERIOD_BROKER_VALUE","DEEP_MEASURE_ID_OVERRIDE",$C92,"DEEP_BROKER_ID_OVERRIDE",$F$7,"DEEP_PERIOD_OVERRIDE",AG$11)*1,"")))</f>
        <v/>
      </c>
      <c r="AH92" s="17" t="str">
        <f ca="1">IF(ISNA($B92),"",IF($B92="","",IFERROR(_xll.BDP(TICKER,"DEEP_MEASURE_PERIOD_BROKER_VALUE","DEEP_MEASURE_ID_OVERRIDE",$C92,"DEEP_BROKER_ID_OVERRIDE",$F$7,"DEEP_PERIOD_OVERRIDE",AH$11)*1,"")))</f>
        <v/>
      </c>
      <c r="AI92" s="17" t="str">
        <f ca="1">IF(ISNA($B92),"",IF($B92="","",IFERROR(_xll.BDP(TICKER,"DEEP_MEASURE_PERIOD_BROKER_VALUE","DEEP_MEASURE_ID_OVERRIDE",$C92,"DEEP_BROKER_ID_OVERRIDE",$F$7,"DEEP_PERIOD_OVERRIDE",AI$11)*1,"")))</f>
        <v/>
      </c>
      <c r="AJ92" s="17" t="str">
        <f ca="1">IF(ISNA($B92),"",IF($B92="","",IFERROR(_xll.BDP(TICKER,"DEEP_MEASURE_PERIOD_BROKER_VALUE","DEEP_MEASURE_ID_OVERRIDE",$C92,"DEEP_BROKER_ID_OVERRIDE",$F$7,"DEEP_PERIOD_OVERRIDE",AJ$11)*1,"")))</f>
        <v/>
      </c>
      <c r="AK92" s="17" t="str">
        <f ca="1">IF(ISNA($B92),"",IF($B92="","",IFERROR(_xll.BDP(TICKER,"DEEP_MEASURE_PERIOD_BROKER_VALUE","DEEP_MEASURE_ID_OVERRIDE",$C92,"DEEP_BROKER_ID_OVERRIDE",$F$7,"DEEP_PERIOD_OVERRIDE",AK$11)*1,"")))</f>
        <v/>
      </c>
      <c r="AL92" s="17" t="str">
        <f ca="1">IF(ISNA($B92),"",IF($B92="","",IFERROR(_xll.BDP(TICKER,"DEEP_MEASURE_PERIOD_BROKER_VALUE","DEEP_MEASURE_ID_OVERRIDE",$C92,"DEEP_BROKER_ID_OVERRIDE",$F$7,"DEEP_PERIOD_OVERRIDE",AL$11)*1,"")))</f>
        <v/>
      </c>
      <c r="AM92" s="17" t="str">
        <f ca="1">IF(ISNA($B92),"",IF($B92="","",IFERROR(_xll.BDP(TICKER,"DEEP_MEASURE_PERIOD_BROKER_VALUE","DEEP_MEASURE_ID_OVERRIDE",$C92,"DEEP_BROKER_ID_OVERRIDE",$F$7,"DEEP_PERIOD_OVERRIDE",AM$11)*1,"")))</f>
        <v/>
      </c>
      <c r="AN92" s="17" t="str">
        <f ca="1">IF(ISNA($B92),"",IF($B92="","",IFERROR(_xll.BDP(TICKER,"DEEP_MEASURE_PERIOD_BROKER_VALUE","DEEP_MEASURE_ID_OVERRIDE",$C92,"DEEP_BROKER_ID_OVERRIDE",$F$7,"DEEP_PERIOD_OVERRIDE",AN$11)*1,"")))</f>
        <v/>
      </c>
      <c r="AO92" s="17" t="str">
        <f ca="1">IF(ISNA($B92),"",IF($B92="","",IFERROR(_xll.BDP(TICKER,"DEEP_MEASURE_PERIOD_BROKER_VALUE","DEEP_MEASURE_ID_OVERRIDE",$C92,"DEEP_BROKER_ID_OVERRIDE",$F$7,"DEEP_PERIOD_OVERRIDE",AO$11)*1,"")))</f>
        <v/>
      </c>
      <c r="AP92" s="17" t="str">
        <f ca="1">IF(ISNA($B92),"",IF($B92="","",IFERROR(_xll.BDP(TICKER,"DEEP_MEASURE_PERIOD_BROKER_VALUE","DEEP_MEASURE_ID_OVERRIDE",$C92,"DEEP_BROKER_ID_OVERRIDE",$F$7,"DEEP_PERIOD_OVERRIDE",AP$11)*1,"")))</f>
        <v/>
      </c>
      <c r="AQ92" s="17" t="str">
        <f ca="1">IF(ISNA($B92),"",IF($B92="","",IFERROR(_xll.BDP(TICKER,"DEEP_MEASURE_PERIOD_BROKER_VALUE","DEEP_MEASURE_ID_OVERRIDE",$C92,"DEEP_BROKER_ID_OVERRIDE",$F$7,"DEEP_PERIOD_OVERRIDE",AQ$11)*1,"")))</f>
        <v/>
      </c>
    </row>
    <row r="93" spans="2:43" x14ac:dyDescent="0.25">
      <c r="B93" t="s">
        <v>138</v>
      </c>
      <c r="C93" s="11">
        <v>3734</v>
      </c>
      <c r="H93" t="str">
        <f t="shared" si="3"/>
        <v>Sales &amp; Marketing Expenses &gt; Direct Costs &gt; YoY Growth (%)</v>
      </c>
      <c r="I93" s="17" t="str">
        <f ca="1">IF(ISNA($B93),"",IF($B93="","",IFERROR(_xll.BDP(TICKER,"DEEP_MEASURE_PERIOD_BROKER_VALUE","DEEP_MEASURE_ID_OVERRIDE",$C93,"DEEP_BROKER_ID_OVERRIDE",$F$7,"DEEP_PERIOD_OVERRIDE",I$11)*1,"")))</f>
        <v/>
      </c>
      <c r="J93" s="17" t="str">
        <f ca="1">IF(ISNA($B93),"",IF($B93="","",IFERROR(_xll.BDP(TICKER,"DEEP_MEASURE_PERIOD_BROKER_VALUE","DEEP_MEASURE_ID_OVERRIDE",$C93,"DEEP_BROKER_ID_OVERRIDE",$F$7,"DEEP_PERIOD_OVERRIDE",J$11)*1,"")))</f>
        <v/>
      </c>
      <c r="K93" s="17" t="str">
        <f ca="1">IF(ISNA($B93),"",IF($B93="","",IFERROR(_xll.BDP(TICKER,"DEEP_MEASURE_PERIOD_BROKER_VALUE","DEEP_MEASURE_ID_OVERRIDE",$C93,"DEEP_BROKER_ID_OVERRIDE",$F$7,"DEEP_PERIOD_OVERRIDE",K$11)*1,"")))</f>
        <v/>
      </c>
      <c r="L93" s="17" t="str">
        <f ca="1">IF(ISNA($B93),"",IF($B93="","",IFERROR(_xll.BDP(TICKER,"DEEP_MEASURE_PERIOD_BROKER_VALUE","DEEP_MEASURE_ID_OVERRIDE",$C93,"DEEP_BROKER_ID_OVERRIDE",$F$7,"DEEP_PERIOD_OVERRIDE",L$11)*1,"")))</f>
        <v/>
      </c>
      <c r="M93" s="17" t="str">
        <f ca="1">IF(ISNA($B93),"",IF($B93="","",IFERROR(_xll.BDP(TICKER,"DEEP_MEASURE_PERIOD_BROKER_VALUE","DEEP_MEASURE_ID_OVERRIDE",$C93,"DEEP_BROKER_ID_OVERRIDE",$F$7,"DEEP_PERIOD_OVERRIDE",M$11)*1,"")))</f>
        <v/>
      </c>
      <c r="N93" s="17" t="str">
        <f ca="1">IF(ISNA($B93),"",IF($B93="","",IFERROR(_xll.BDP(TICKER,"DEEP_MEASURE_PERIOD_BROKER_VALUE","DEEP_MEASURE_ID_OVERRIDE",$C93,"DEEP_BROKER_ID_OVERRIDE",$F$7,"DEEP_PERIOD_OVERRIDE",N$11)*1,"")))</f>
        <v/>
      </c>
      <c r="O93" s="17" t="str">
        <f ca="1">IF(ISNA($B93),"",IF($B93="","",IFERROR(_xll.BDP(TICKER,"DEEP_MEASURE_PERIOD_BROKER_VALUE","DEEP_MEASURE_ID_OVERRIDE",$C93,"DEEP_BROKER_ID_OVERRIDE",$F$7,"DEEP_PERIOD_OVERRIDE",O$11)*1,"")))</f>
        <v/>
      </c>
      <c r="P93" s="17" t="str">
        <f ca="1">IF(ISNA($B93),"",IF($B93="","",IFERROR(_xll.BDP(TICKER,"DEEP_MEASURE_PERIOD_BROKER_VALUE","DEEP_MEASURE_ID_OVERRIDE",$C93,"DEEP_BROKER_ID_OVERRIDE",$F$7,"DEEP_PERIOD_OVERRIDE",P$11)*1,"")))</f>
        <v/>
      </c>
      <c r="Q93" s="17" t="str">
        <f ca="1">IF(ISNA($B93),"",IF($B93="","",IFERROR(_xll.BDP(TICKER,"DEEP_MEASURE_PERIOD_BROKER_VALUE","DEEP_MEASURE_ID_OVERRIDE",$C93,"DEEP_BROKER_ID_OVERRIDE",$F$7,"DEEP_PERIOD_OVERRIDE",Q$11)*1,"")))</f>
        <v/>
      </c>
      <c r="R93" s="17" t="str">
        <f ca="1">IF(ISNA($B93),"",IF($B93="","",IFERROR(_xll.BDP(TICKER,"DEEP_MEASURE_PERIOD_BROKER_VALUE","DEEP_MEASURE_ID_OVERRIDE",$C93,"DEEP_BROKER_ID_OVERRIDE",$F$7,"DEEP_PERIOD_OVERRIDE",R$11)*1,"")))</f>
        <v/>
      </c>
      <c r="S93" s="17" t="str">
        <f ca="1">IF(ISNA($B93),"",IF($B93="","",IFERROR(_xll.BDP(TICKER,"DEEP_MEASURE_PERIOD_BROKER_VALUE","DEEP_MEASURE_ID_OVERRIDE",$C93,"DEEP_BROKER_ID_OVERRIDE",$F$7,"DEEP_PERIOD_OVERRIDE",S$11)*1,"")))</f>
        <v/>
      </c>
      <c r="T93" s="17" t="str">
        <f ca="1">IF(ISNA($B93),"",IF($B93="","",IFERROR(_xll.BDP(TICKER,"DEEP_MEASURE_PERIOD_BROKER_VALUE","DEEP_MEASURE_ID_OVERRIDE",$C93,"DEEP_BROKER_ID_OVERRIDE",$F$7,"DEEP_PERIOD_OVERRIDE",T$11)*1,"")))</f>
        <v/>
      </c>
      <c r="U93" s="17" t="str">
        <f ca="1">IF(ISNA($B93),"",IF($B93="","",IFERROR(_xll.BDP(TICKER,"DEEP_MEASURE_PERIOD_BROKER_VALUE","DEEP_MEASURE_ID_OVERRIDE",$C93,"DEEP_BROKER_ID_OVERRIDE",$F$7,"DEEP_PERIOD_OVERRIDE",U$11)*1,"")))</f>
        <v/>
      </c>
      <c r="V93" s="17" t="str">
        <f ca="1">IF(ISNA($B93),"",IF($B93="","",IFERROR(_xll.BDP(TICKER,"DEEP_MEASURE_PERIOD_BROKER_VALUE","DEEP_MEASURE_ID_OVERRIDE",$C93,"DEEP_BROKER_ID_OVERRIDE",$F$7,"DEEP_PERIOD_OVERRIDE",V$11)*1,"")))</f>
        <v/>
      </c>
      <c r="W93" s="17" t="str">
        <f ca="1">IF(ISNA($B93),"",IF($B93="","",IFERROR(_xll.BDP(TICKER,"DEEP_MEASURE_PERIOD_BROKER_VALUE","DEEP_MEASURE_ID_OVERRIDE",$C93,"DEEP_BROKER_ID_OVERRIDE",$F$7,"DEEP_PERIOD_OVERRIDE",W$11)*1,"")))</f>
        <v/>
      </c>
      <c r="X93" s="17" t="str">
        <f ca="1">IF(ISNA($B93),"",IF($B93="","",IFERROR(_xll.BDP(TICKER,"DEEP_MEASURE_PERIOD_BROKER_VALUE","DEEP_MEASURE_ID_OVERRIDE",$C93,"DEEP_BROKER_ID_OVERRIDE",$F$7,"DEEP_PERIOD_OVERRIDE",X$11)*1,"")))</f>
        <v/>
      </c>
      <c r="Y93" s="17" t="str">
        <f ca="1">IF(ISNA($B93),"",IF($B93="","",IFERROR(_xll.BDP(TICKER,"DEEP_MEASURE_PERIOD_BROKER_VALUE","DEEP_MEASURE_ID_OVERRIDE",$C93,"DEEP_BROKER_ID_OVERRIDE",$F$7,"DEEP_PERIOD_OVERRIDE",Y$11)*1,"")))</f>
        <v/>
      </c>
      <c r="Z93" s="17" t="str">
        <f ca="1">IF(ISNA($B93),"",IF($B93="","",IFERROR(_xll.BDP(TICKER,"DEEP_MEASURE_PERIOD_BROKER_VALUE","DEEP_MEASURE_ID_OVERRIDE",$C93,"DEEP_BROKER_ID_OVERRIDE",$F$7,"DEEP_PERIOD_OVERRIDE",Z$11)*1,"")))</f>
        <v/>
      </c>
      <c r="AA93" s="17" t="str">
        <f ca="1">IF(ISNA($B93),"",IF($B93="","",IFERROR(_xll.BDP(TICKER,"DEEP_MEASURE_PERIOD_BROKER_VALUE","DEEP_MEASURE_ID_OVERRIDE",$C93,"DEEP_BROKER_ID_OVERRIDE",$F$7,"DEEP_PERIOD_OVERRIDE",AA$11)*1,"")))</f>
        <v/>
      </c>
      <c r="AB93" s="17" t="str">
        <f ca="1">IF(ISNA($B93),"",IF($B93="","",IFERROR(_xll.BDP(TICKER,"DEEP_MEASURE_PERIOD_BROKER_VALUE","DEEP_MEASURE_ID_OVERRIDE",$C93,"DEEP_BROKER_ID_OVERRIDE",$F$7,"DEEP_PERIOD_OVERRIDE",AB$11)*1,"")))</f>
        <v/>
      </c>
      <c r="AC93" s="17" t="str">
        <f ca="1">IF(ISNA($B93),"",IF($B93="","",IFERROR(_xll.BDP(TICKER,"DEEP_MEASURE_PERIOD_BROKER_VALUE","DEEP_MEASURE_ID_OVERRIDE",$C93,"DEEP_BROKER_ID_OVERRIDE",$F$7,"DEEP_PERIOD_OVERRIDE",AC$11)*1,"")))</f>
        <v/>
      </c>
      <c r="AD93" s="17" t="str">
        <f ca="1">IF(ISNA($B93),"",IF($B93="","",IFERROR(_xll.BDP(TICKER,"DEEP_MEASURE_PERIOD_BROKER_VALUE","DEEP_MEASURE_ID_OVERRIDE",$C93,"DEEP_BROKER_ID_OVERRIDE",$F$7,"DEEP_PERIOD_OVERRIDE",AD$11)*1,"")))</f>
        <v/>
      </c>
      <c r="AE93" s="17" t="str">
        <f ca="1">IF(ISNA($B93),"",IF($B93="","",IFERROR(_xll.BDP(TICKER,"DEEP_MEASURE_PERIOD_BROKER_VALUE","DEEP_MEASURE_ID_OVERRIDE",$C93,"DEEP_BROKER_ID_OVERRIDE",$F$7,"DEEP_PERIOD_OVERRIDE",AE$11)*1,"")))</f>
        <v/>
      </c>
      <c r="AF93" s="17" t="str">
        <f ca="1">IF(ISNA($B93),"",IF($B93="","",IFERROR(_xll.BDP(TICKER,"DEEP_MEASURE_PERIOD_BROKER_VALUE","DEEP_MEASURE_ID_OVERRIDE",$C93,"DEEP_BROKER_ID_OVERRIDE",$F$7,"DEEP_PERIOD_OVERRIDE",AF$11)*1,"")))</f>
        <v/>
      </c>
      <c r="AG93" s="17" t="str">
        <f ca="1">IF(ISNA($B93),"",IF($B93="","",IFERROR(_xll.BDP(TICKER,"DEEP_MEASURE_PERIOD_BROKER_VALUE","DEEP_MEASURE_ID_OVERRIDE",$C93,"DEEP_BROKER_ID_OVERRIDE",$F$7,"DEEP_PERIOD_OVERRIDE",AG$11)*1,"")))</f>
        <v/>
      </c>
      <c r="AH93" s="17" t="str">
        <f ca="1">IF(ISNA($B93),"",IF($B93="","",IFERROR(_xll.BDP(TICKER,"DEEP_MEASURE_PERIOD_BROKER_VALUE","DEEP_MEASURE_ID_OVERRIDE",$C93,"DEEP_BROKER_ID_OVERRIDE",$F$7,"DEEP_PERIOD_OVERRIDE",AH$11)*1,"")))</f>
        <v/>
      </c>
      <c r="AI93" s="17" t="str">
        <f ca="1">IF(ISNA($B93),"",IF($B93="","",IFERROR(_xll.BDP(TICKER,"DEEP_MEASURE_PERIOD_BROKER_VALUE","DEEP_MEASURE_ID_OVERRIDE",$C93,"DEEP_BROKER_ID_OVERRIDE",$F$7,"DEEP_PERIOD_OVERRIDE",AI$11)*1,"")))</f>
        <v/>
      </c>
      <c r="AJ93" s="17" t="str">
        <f ca="1">IF(ISNA($B93),"",IF($B93="","",IFERROR(_xll.BDP(TICKER,"DEEP_MEASURE_PERIOD_BROKER_VALUE","DEEP_MEASURE_ID_OVERRIDE",$C93,"DEEP_BROKER_ID_OVERRIDE",$F$7,"DEEP_PERIOD_OVERRIDE",AJ$11)*1,"")))</f>
        <v/>
      </c>
      <c r="AK93" s="17" t="str">
        <f ca="1">IF(ISNA($B93),"",IF($B93="","",IFERROR(_xll.BDP(TICKER,"DEEP_MEASURE_PERIOD_BROKER_VALUE","DEEP_MEASURE_ID_OVERRIDE",$C93,"DEEP_BROKER_ID_OVERRIDE",$F$7,"DEEP_PERIOD_OVERRIDE",AK$11)*1,"")))</f>
        <v/>
      </c>
      <c r="AL93" s="17" t="str">
        <f ca="1">IF(ISNA($B93),"",IF($B93="","",IFERROR(_xll.BDP(TICKER,"DEEP_MEASURE_PERIOD_BROKER_VALUE","DEEP_MEASURE_ID_OVERRIDE",$C93,"DEEP_BROKER_ID_OVERRIDE",$F$7,"DEEP_PERIOD_OVERRIDE",AL$11)*1,"")))</f>
        <v/>
      </c>
      <c r="AM93" s="17" t="str">
        <f ca="1">IF(ISNA($B93),"",IF($B93="","",IFERROR(_xll.BDP(TICKER,"DEEP_MEASURE_PERIOD_BROKER_VALUE","DEEP_MEASURE_ID_OVERRIDE",$C93,"DEEP_BROKER_ID_OVERRIDE",$F$7,"DEEP_PERIOD_OVERRIDE",AM$11)*1,"")))</f>
        <v/>
      </c>
      <c r="AN93" s="17" t="str">
        <f ca="1">IF(ISNA($B93),"",IF($B93="","",IFERROR(_xll.BDP(TICKER,"DEEP_MEASURE_PERIOD_BROKER_VALUE","DEEP_MEASURE_ID_OVERRIDE",$C93,"DEEP_BROKER_ID_OVERRIDE",$F$7,"DEEP_PERIOD_OVERRIDE",AN$11)*1,"")))</f>
        <v/>
      </c>
      <c r="AO93" s="17" t="str">
        <f ca="1">IF(ISNA($B93),"",IF($B93="","",IFERROR(_xll.BDP(TICKER,"DEEP_MEASURE_PERIOD_BROKER_VALUE","DEEP_MEASURE_ID_OVERRIDE",$C93,"DEEP_BROKER_ID_OVERRIDE",$F$7,"DEEP_PERIOD_OVERRIDE",AO$11)*1,"")))</f>
        <v/>
      </c>
      <c r="AP93" s="17" t="str">
        <f ca="1">IF(ISNA($B93),"",IF($B93="","",IFERROR(_xll.BDP(TICKER,"DEEP_MEASURE_PERIOD_BROKER_VALUE","DEEP_MEASURE_ID_OVERRIDE",$C93,"DEEP_BROKER_ID_OVERRIDE",$F$7,"DEEP_PERIOD_OVERRIDE",AP$11)*1,"")))</f>
        <v/>
      </c>
      <c r="AQ93" s="17" t="str">
        <f ca="1">IF(ISNA($B93),"",IF($B93="","",IFERROR(_xll.BDP(TICKER,"DEEP_MEASURE_PERIOD_BROKER_VALUE","DEEP_MEASURE_ID_OVERRIDE",$C93,"DEEP_BROKER_ID_OVERRIDE",$F$7,"DEEP_PERIOD_OVERRIDE",AQ$11)*1,"")))</f>
        <v/>
      </c>
    </row>
    <row r="94" spans="2:43" x14ac:dyDescent="0.25">
      <c r="B94" t="s">
        <v>139</v>
      </c>
      <c r="C94" s="11">
        <v>8426</v>
      </c>
      <c r="H94" t="str">
        <f t="shared" si="3"/>
        <v>Sales &amp; Marketing Expenses &gt; Personnel &amp; Overhead</v>
      </c>
      <c r="I94" s="17" t="str">
        <f ca="1">IF(ISNA($B94),"",IF($B94="","",IFERROR(_xll.BDP(TICKER,"DEEP_MEASURE_PERIOD_BROKER_VALUE","DEEP_MEASURE_ID_OVERRIDE",$C94,"DEEP_BROKER_ID_OVERRIDE",$F$7,"DEEP_PERIOD_OVERRIDE",I$11)*1,"")))</f>
        <v/>
      </c>
      <c r="J94" s="17" t="str">
        <f ca="1">IF(ISNA($B94),"",IF($B94="","",IFERROR(_xll.BDP(TICKER,"DEEP_MEASURE_PERIOD_BROKER_VALUE","DEEP_MEASURE_ID_OVERRIDE",$C94,"DEEP_BROKER_ID_OVERRIDE",$F$7,"DEEP_PERIOD_OVERRIDE",J$11)*1,"")))</f>
        <v/>
      </c>
      <c r="K94" s="17" t="str">
        <f ca="1">IF(ISNA($B94),"",IF($B94="","",IFERROR(_xll.BDP(TICKER,"DEEP_MEASURE_PERIOD_BROKER_VALUE","DEEP_MEASURE_ID_OVERRIDE",$C94,"DEEP_BROKER_ID_OVERRIDE",$F$7,"DEEP_PERIOD_OVERRIDE",K$11)*1,"")))</f>
        <v/>
      </c>
      <c r="L94" s="17" t="str">
        <f ca="1">IF(ISNA($B94),"",IF($B94="","",IFERROR(_xll.BDP(TICKER,"DEEP_MEASURE_PERIOD_BROKER_VALUE","DEEP_MEASURE_ID_OVERRIDE",$C94,"DEEP_BROKER_ID_OVERRIDE",$F$7,"DEEP_PERIOD_OVERRIDE",L$11)*1,"")))</f>
        <v/>
      </c>
      <c r="M94" s="17" t="str">
        <f ca="1">IF(ISNA($B94),"",IF($B94="","",IFERROR(_xll.BDP(TICKER,"DEEP_MEASURE_PERIOD_BROKER_VALUE","DEEP_MEASURE_ID_OVERRIDE",$C94,"DEEP_BROKER_ID_OVERRIDE",$F$7,"DEEP_PERIOD_OVERRIDE",M$11)*1,"")))</f>
        <v/>
      </c>
      <c r="N94" s="17" t="str">
        <f ca="1">IF(ISNA($B94),"",IF($B94="","",IFERROR(_xll.BDP(TICKER,"DEEP_MEASURE_PERIOD_BROKER_VALUE","DEEP_MEASURE_ID_OVERRIDE",$C94,"DEEP_BROKER_ID_OVERRIDE",$F$7,"DEEP_PERIOD_OVERRIDE",N$11)*1,"")))</f>
        <v/>
      </c>
      <c r="O94" s="17" t="str">
        <f ca="1">IF(ISNA($B94),"",IF($B94="","",IFERROR(_xll.BDP(TICKER,"DEEP_MEASURE_PERIOD_BROKER_VALUE","DEEP_MEASURE_ID_OVERRIDE",$C94,"DEEP_BROKER_ID_OVERRIDE",$F$7,"DEEP_PERIOD_OVERRIDE",O$11)*1,"")))</f>
        <v/>
      </c>
      <c r="P94" s="17" t="str">
        <f ca="1">IF(ISNA($B94),"",IF($B94="","",IFERROR(_xll.BDP(TICKER,"DEEP_MEASURE_PERIOD_BROKER_VALUE","DEEP_MEASURE_ID_OVERRIDE",$C94,"DEEP_BROKER_ID_OVERRIDE",$F$7,"DEEP_PERIOD_OVERRIDE",P$11)*1,"")))</f>
        <v/>
      </c>
      <c r="Q94" s="17" t="str">
        <f ca="1">IF(ISNA($B94),"",IF($B94="","",IFERROR(_xll.BDP(TICKER,"DEEP_MEASURE_PERIOD_BROKER_VALUE","DEEP_MEASURE_ID_OVERRIDE",$C94,"DEEP_BROKER_ID_OVERRIDE",$F$7,"DEEP_PERIOD_OVERRIDE",Q$11)*1,"")))</f>
        <v/>
      </c>
      <c r="R94" s="17" t="str">
        <f ca="1">IF(ISNA($B94),"",IF($B94="","",IFERROR(_xll.BDP(TICKER,"DEEP_MEASURE_PERIOD_BROKER_VALUE","DEEP_MEASURE_ID_OVERRIDE",$C94,"DEEP_BROKER_ID_OVERRIDE",$F$7,"DEEP_PERIOD_OVERRIDE",R$11)*1,"")))</f>
        <v/>
      </c>
      <c r="S94" s="17" t="str">
        <f ca="1">IF(ISNA($B94),"",IF($B94="","",IFERROR(_xll.BDP(TICKER,"DEEP_MEASURE_PERIOD_BROKER_VALUE","DEEP_MEASURE_ID_OVERRIDE",$C94,"DEEP_BROKER_ID_OVERRIDE",$F$7,"DEEP_PERIOD_OVERRIDE",S$11)*1,"")))</f>
        <v/>
      </c>
      <c r="T94" s="17" t="str">
        <f ca="1">IF(ISNA($B94),"",IF($B94="","",IFERROR(_xll.BDP(TICKER,"DEEP_MEASURE_PERIOD_BROKER_VALUE","DEEP_MEASURE_ID_OVERRIDE",$C94,"DEEP_BROKER_ID_OVERRIDE",$F$7,"DEEP_PERIOD_OVERRIDE",T$11)*1,"")))</f>
        <v/>
      </c>
      <c r="U94" s="17" t="str">
        <f ca="1">IF(ISNA($B94),"",IF($B94="","",IFERROR(_xll.BDP(TICKER,"DEEP_MEASURE_PERIOD_BROKER_VALUE","DEEP_MEASURE_ID_OVERRIDE",$C94,"DEEP_BROKER_ID_OVERRIDE",$F$7,"DEEP_PERIOD_OVERRIDE",U$11)*1,"")))</f>
        <v/>
      </c>
      <c r="V94" s="17" t="str">
        <f ca="1">IF(ISNA($B94),"",IF($B94="","",IFERROR(_xll.BDP(TICKER,"DEEP_MEASURE_PERIOD_BROKER_VALUE","DEEP_MEASURE_ID_OVERRIDE",$C94,"DEEP_BROKER_ID_OVERRIDE",$F$7,"DEEP_PERIOD_OVERRIDE",V$11)*1,"")))</f>
        <v/>
      </c>
      <c r="W94" s="17" t="str">
        <f ca="1">IF(ISNA($B94),"",IF($B94="","",IFERROR(_xll.BDP(TICKER,"DEEP_MEASURE_PERIOD_BROKER_VALUE","DEEP_MEASURE_ID_OVERRIDE",$C94,"DEEP_BROKER_ID_OVERRIDE",$F$7,"DEEP_PERIOD_OVERRIDE",W$11)*1,"")))</f>
        <v/>
      </c>
      <c r="X94" s="17" t="str">
        <f ca="1">IF(ISNA($B94),"",IF($B94="","",IFERROR(_xll.BDP(TICKER,"DEEP_MEASURE_PERIOD_BROKER_VALUE","DEEP_MEASURE_ID_OVERRIDE",$C94,"DEEP_BROKER_ID_OVERRIDE",$F$7,"DEEP_PERIOD_OVERRIDE",X$11)*1,"")))</f>
        <v/>
      </c>
      <c r="Y94" s="17" t="str">
        <f ca="1">IF(ISNA($B94),"",IF($B94="","",IFERROR(_xll.BDP(TICKER,"DEEP_MEASURE_PERIOD_BROKER_VALUE","DEEP_MEASURE_ID_OVERRIDE",$C94,"DEEP_BROKER_ID_OVERRIDE",$F$7,"DEEP_PERIOD_OVERRIDE",Y$11)*1,"")))</f>
        <v/>
      </c>
      <c r="Z94" s="17" t="str">
        <f ca="1">IF(ISNA($B94),"",IF($B94="","",IFERROR(_xll.BDP(TICKER,"DEEP_MEASURE_PERIOD_BROKER_VALUE","DEEP_MEASURE_ID_OVERRIDE",$C94,"DEEP_BROKER_ID_OVERRIDE",$F$7,"DEEP_PERIOD_OVERRIDE",Z$11)*1,"")))</f>
        <v/>
      </c>
      <c r="AA94" s="17" t="str">
        <f ca="1">IF(ISNA($B94),"",IF($B94="","",IFERROR(_xll.BDP(TICKER,"DEEP_MEASURE_PERIOD_BROKER_VALUE","DEEP_MEASURE_ID_OVERRIDE",$C94,"DEEP_BROKER_ID_OVERRIDE",$F$7,"DEEP_PERIOD_OVERRIDE",AA$11)*1,"")))</f>
        <v/>
      </c>
      <c r="AB94" s="17" t="str">
        <f ca="1">IF(ISNA($B94),"",IF($B94="","",IFERROR(_xll.BDP(TICKER,"DEEP_MEASURE_PERIOD_BROKER_VALUE","DEEP_MEASURE_ID_OVERRIDE",$C94,"DEEP_BROKER_ID_OVERRIDE",$F$7,"DEEP_PERIOD_OVERRIDE",AB$11)*1,"")))</f>
        <v/>
      </c>
      <c r="AC94" s="17" t="str">
        <f ca="1">IF(ISNA($B94),"",IF($B94="","",IFERROR(_xll.BDP(TICKER,"DEEP_MEASURE_PERIOD_BROKER_VALUE","DEEP_MEASURE_ID_OVERRIDE",$C94,"DEEP_BROKER_ID_OVERRIDE",$F$7,"DEEP_PERIOD_OVERRIDE",AC$11)*1,"")))</f>
        <v/>
      </c>
      <c r="AD94" s="17" t="str">
        <f ca="1">IF(ISNA($B94),"",IF($B94="","",IFERROR(_xll.BDP(TICKER,"DEEP_MEASURE_PERIOD_BROKER_VALUE","DEEP_MEASURE_ID_OVERRIDE",$C94,"DEEP_BROKER_ID_OVERRIDE",$F$7,"DEEP_PERIOD_OVERRIDE",AD$11)*1,"")))</f>
        <v/>
      </c>
      <c r="AE94" s="17" t="str">
        <f ca="1">IF(ISNA($B94),"",IF($B94="","",IFERROR(_xll.BDP(TICKER,"DEEP_MEASURE_PERIOD_BROKER_VALUE","DEEP_MEASURE_ID_OVERRIDE",$C94,"DEEP_BROKER_ID_OVERRIDE",$F$7,"DEEP_PERIOD_OVERRIDE",AE$11)*1,"")))</f>
        <v/>
      </c>
      <c r="AF94" s="17" t="str">
        <f ca="1">IF(ISNA($B94),"",IF($B94="","",IFERROR(_xll.BDP(TICKER,"DEEP_MEASURE_PERIOD_BROKER_VALUE","DEEP_MEASURE_ID_OVERRIDE",$C94,"DEEP_BROKER_ID_OVERRIDE",$F$7,"DEEP_PERIOD_OVERRIDE",AF$11)*1,"")))</f>
        <v/>
      </c>
      <c r="AG94" s="17" t="str">
        <f ca="1">IF(ISNA($B94),"",IF($B94="","",IFERROR(_xll.BDP(TICKER,"DEEP_MEASURE_PERIOD_BROKER_VALUE","DEEP_MEASURE_ID_OVERRIDE",$C94,"DEEP_BROKER_ID_OVERRIDE",$F$7,"DEEP_PERIOD_OVERRIDE",AG$11)*1,"")))</f>
        <v/>
      </c>
      <c r="AH94" s="17" t="str">
        <f ca="1">IF(ISNA($B94),"",IF($B94="","",IFERROR(_xll.BDP(TICKER,"DEEP_MEASURE_PERIOD_BROKER_VALUE","DEEP_MEASURE_ID_OVERRIDE",$C94,"DEEP_BROKER_ID_OVERRIDE",$F$7,"DEEP_PERIOD_OVERRIDE",AH$11)*1,"")))</f>
        <v/>
      </c>
      <c r="AI94" s="17" t="str">
        <f ca="1">IF(ISNA($B94),"",IF($B94="","",IFERROR(_xll.BDP(TICKER,"DEEP_MEASURE_PERIOD_BROKER_VALUE","DEEP_MEASURE_ID_OVERRIDE",$C94,"DEEP_BROKER_ID_OVERRIDE",$F$7,"DEEP_PERIOD_OVERRIDE",AI$11)*1,"")))</f>
        <v/>
      </c>
      <c r="AJ94" s="17" t="str">
        <f ca="1">IF(ISNA($B94),"",IF($B94="","",IFERROR(_xll.BDP(TICKER,"DEEP_MEASURE_PERIOD_BROKER_VALUE","DEEP_MEASURE_ID_OVERRIDE",$C94,"DEEP_BROKER_ID_OVERRIDE",$F$7,"DEEP_PERIOD_OVERRIDE",AJ$11)*1,"")))</f>
        <v/>
      </c>
      <c r="AK94" s="17" t="str">
        <f ca="1">IF(ISNA($B94),"",IF($B94="","",IFERROR(_xll.BDP(TICKER,"DEEP_MEASURE_PERIOD_BROKER_VALUE","DEEP_MEASURE_ID_OVERRIDE",$C94,"DEEP_BROKER_ID_OVERRIDE",$F$7,"DEEP_PERIOD_OVERRIDE",AK$11)*1,"")))</f>
        <v/>
      </c>
      <c r="AL94" s="17" t="str">
        <f ca="1">IF(ISNA($B94),"",IF($B94="","",IFERROR(_xll.BDP(TICKER,"DEEP_MEASURE_PERIOD_BROKER_VALUE","DEEP_MEASURE_ID_OVERRIDE",$C94,"DEEP_BROKER_ID_OVERRIDE",$F$7,"DEEP_PERIOD_OVERRIDE",AL$11)*1,"")))</f>
        <v/>
      </c>
      <c r="AM94" s="17" t="str">
        <f ca="1">IF(ISNA($B94),"",IF($B94="","",IFERROR(_xll.BDP(TICKER,"DEEP_MEASURE_PERIOD_BROKER_VALUE","DEEP_MEASURE_ID_OVERRIDE",$C94,"DEEP_BROKER_ID_OVERRIDE",$F$7,"DEEP_PERIOD_OVERRIDE",AM$11)*1,"")))</f>
        <v/>
      </c>
      <c r="AN94" s="17" t="str">
        <f ca="1">IF(ISNA($B94),"",IF($B94="","",IFERROR(_xll.BDP(TICKER,"DEEP_MEASURE_PERIOD_BROKER_VALUE","DEEP_MEASURE_ID_OVERRIDE",$C94,"DEEP_BROKER_ID_OVERRIDE",$F$7,"DEEP_PERIOD_OVERRIDE",AN$11)*1,"")))</f>
        <v/>
      </c>
      <c r="AO94" s="17" t="str">
        <f ca="1">IF(ISNA($B94),"",IF($B94="","",IFERROR(_xll.BDP(TICKER,"DEEP_MEASURE_PERIOD_BROKER_VALUE","DEEP_MEASURE_ID_OVERRIDE",$C94,"DEEP_BROKER_ID_OVERRIDE",$F$7,"DEEP_PERIOD_OVERRIDE",AO$11)*1,"")))</f>
        <v/>
      </c>
      <c r="AP94" s="17" t="str">
        <f ca="1">IF(ISNA($B94),"",IF($B94="","",IFERROR(_xll.BDP(TICKER,"DEEP_MEASURE_PERIOD_BROKER_VALUE","DEEP_MEASURE_ID_OVERRIDE",$C94,"DEEP_BROKER_ID_OVERRIDE",$F$7,"DEEP_PERIOD_OVERRIDE",AP$11)*1,"")))</f>
        <v/>
      </c>
      <c r="AQ94" s="17" t="str">
        <f ca="1">IF(ISNA($B94),"",IF($B94="","",IFERROR(_xll.BDP(TICKER,"DEEP_MEASURE_PERIOD_BROKER_VALUE","DEEP_MEASURE_ID_OVERRIDE",$C94,"DEEP_BROKER_ID_OVERRIDE",$F$7,"DEEP_PERIOD_OVERRIDE",AQ$11)*1,"")))</f>
        <v/>
      </c>
    </row>
    <row r="95" spans="2:43" x14ac:dyDescent="0.25">
      <c r="B95" t="s">
        <v>140</v>
      </c>
      <c r="C95" s="11">
        <v>322</v>
      </c>
      <c r="H95" t="str">
        <f t="shared" si="3"/>
        <v>Sales &amp; Marketing Expenses &gt; Personnel &amp; Overhead &gt; Personnel &amp; Overhead (ex-SBC)</v>
      </c>
      <c r="I95" s="17" t="str">
        <f ca="1">IF(ISNA($B95),"",IF($B95="","",IFERROR(_xll.BDP(TICKER,"DEEP_MEASURE_PERIOD_BROKER_VALUE","DEEP_MEASURE_ID_OVERRIDE",$C95,"DEEP_BROKER_ID_OVERRIDE",$F$7,"DEEP_PERIOD_OVERRIDE",I$11)*1,"")))</f>
        <v/>
      </c>
      <c r="J95" s="17" t="str">
        <f ca="1">IF(ISNA($B95),"",IF($B95="","",IFERROR(_xll.BDP(TICKER,"DEEP_MEASURE_PERIOD_BROKER_VALUE","DEEP_MEASURE_ID_OVERRIDE",$C95,"DEEP_BROKER_ID_OVERRIDE",$F$7,"DEEP_PERIOD_OVERRIDE",J$11)*1,"")))</f>
        <v/>
      </c>
      <c r="K95" s="17" t="str">
        <f ca="1">IF(ISNA($B95),"",IF($B95="","",IFERROR(_xll.BDP(TICKER,"DEEP_MEASURE_PERIOD_BROKER_VALUE","DEEP_MEASURE_ID_OVERRIDE",$C95,"DEEP_BROKER_ID_OVERRIDE",$F$7,"DEEP_PERIOD_OVERRIDE",K$11)*1,"")))</f>
        <v/>
      </c>
      <c r="L95" s="17" t="str">
        <f ca="1">IF(ISNA($B95),"",IF($B95="","",IFERROR(_xll.BDP(TICKER,"DEEP_MEASURE_PERIOD_BROKER_VALUE","DEEP_MEASURE_ID_OVERRIDE",$C95,"DEEP_BROKER_ID_OVERRIDE",$F$7,"DEEP_PERIOD_OVERRIDE",L$11)*1,"")))</f>
        <v/>
      </c>
      <c r="M95" s="17" t="str">
        <f ca="1">IF(ISNA($B95),"",IF($B95="","",IFERROR(_xll.BDP(TICKER,"DEEP_MEASURE_PERIOD_BROKER_VALUE","DEEP_MEASURE_ID_OVERRIDE",$C95,"DEEP_BROKER_ID_OVERRIDE",$F$7,"DEEP_PERIOD_OVERRIDE",M$11)*1,"")))</f>
        <v/>
      </c>
      <c r="N95" s="17" t="str">
        <f ca="1">IF(ISNA($B95),"",IF($B95="","",IFERROR(_xll.BDP(TICKER,"DEEP_MEASURE_PERIOD_BROKER_VALUE","DEEP_MEASURE_ID_OVERRIDE",$C95,"DEEP_BROKER_ID_OVERRIDE",$F$7,"DEEP_PERIOD_OVERRIDE",N$11)*1,"")))</f>
        <v/>
      </c>
      <c r="O95" s="17" t="str">
        <f ca="1">IF(ISNA($B95),"",IF($B95="","",IFERROR(_xll.BDP(TICKER,"DEEP_MEASURE_PERIOD_BROKER_VALUE","DEEP_MEASURE_ID_OVERRIDE",$C95,"DEEP_BROKER_ID_OVERRIDE",$F$7,"DEEP_PERIOD_OVERRIDE",O$11)*1,"")))</f>
        <v/>
      </c>
      <c r="P95" s="17" t="str">
        <f ca="1">IF(ISNA($B95),"",IF($B95="","",IFERROR(_xll.BDP(TICKER,"DEEP_MEASURE_PERIOD_BROKER_VALUE","DEEP_MEASURE_ID_OVERRIDE",$C95,"DEEP_BROKER_ID_OVERRIDE",$F$7,"DEEP_PERIOD_OVERRIDE",P$11)*1,"")))</f>
        <v/>
      </c>
      <c r="Q95" s="17" t="str">
        <f ca="1">IF(ISNA($B95),"",IF($B95="","",IFERROR(_xll.BDP(TICKER,"DEEP_MEASURE_PERIOD_BROKER_VALUE","DEEP_MEASURE_ID_OVERRIDE",$C95,"DEEP_BROKER_ID_OVERRIDE",$F$7,"DEEP_PERIOD_OVERRIDE",Q$11)*1,"")))</f>
        <v/>
      </c>
      <c r="R95" s="17" t="str">
        <f ca="1">IF(ISNA($B95),"",IF($B95="","",IFERROR(_xll.BDP(TICKER,"DEEP_MEASURE_PERIOD_BROKER_VALUE","DEEP_MEASURE_ID_OVERRIDE",$C95,"DEEP_BROKER_ID_OVERRIDE",$F$7,"DEEP_PERIOD_OVERRIDE",R$11)*1,"")))</f>
        <v/>
      </c>
      <c r="S95" s="17" t="str">
        <f ca="1">IF(ISNA($B95),"",IF($B95="","",IFERROR(_xll.BDP(TICKER,"DEEP_MEASURE_PERIOD_BROKER_VALUE","DEEP_MEASURE_ID_OVERRIDE",$C95,"DEEP_BROKER_ID_OVERRIDE",$F$7,"DEEP_PERIOD_OVERRIDE",S$11)*1,"")))</f>
        <v/>
      </c>
      <c r="T95" s="17" t="str">
        <f ca="1">IF(ISNA($B95),"",IF($B95="","",IFERROR(_xll.BDP(TICKER,"DEEP_MEASURE_PERIOD_BROKER_VALUE","DEEP_MEASURE_ID_OVERRIDE",$C95,"DEEP_BROKER_ID_OVERRIDE",$F$7,"DEEP_PERIOD_OVERRIDE",T$11)*1,"")))</f>
        <v/>
      </c>
      <c r="U95" s="17" t="str">
        <f ca="1">IF(ISNA($B95),"",IF($B95="","",IFERROR(_xll.BDP(TICKER,"DEEP_MEASURE_PERIOD_BROKER_VALUE","DEEP_MEASURE_ID_OVERRIDE",$C95,"DEEP_BROKER_ID_OVERRIDE",$F$7,"DEEP_PERIOD_OVERRIDE",U$11)*1,"")))</f>
        <v/>
      </c>
      <c r="V95" s="17" t="str">
        <f ca="1">IF(ISNA($B95),"",IF($B95="","",IFERROR(_xll.BDP(TICKER,"DEEP_MEASURE_PERIOD_BROKER_VALUE","DEEP_MEASURE_ID_OVERRIDE",$C95,"DEEP_BROKER_ID_OVERRIDE",$F$7,"DEEP_PERIOD_OVERRIDE",V$11)*1,"")))</f>
        <v/>
      </c>
      <c r="W95" s="17" t="str">
        <f ca="1">IF(ISNA($B95),"",IF($B95="","",IFERROR(_xll.BDP(TICKER,"DEEP_MEASURE_PERIOD_BROKER_VALUE","DEEP_MEASURE_ID_OVERRIDE",$C95,"DEEP_BROKER_ID_OVERRIDE",$F$7,"DEEP_PERIOD_OVERRIDE",W$11)*1,"")))</f>
        <v/>
      </c>
      <c r="X95" s="17" t="str">
        <f ca="1">IF(ISNA($B95),"",IF($B95="","",IFERROR(_xll.BDP(TICKER,"DEEP_MEASURE_PERIOD_BROKER_VALUE","DEEP_MEASURE_ID_OVERRIDE",$C95,"DEEP_BROKER_ID_OVERRIDE",$F$7,"DEEP_PERIOD_OVERRIDE",X$11)*1,"")))</f>
        <v/>
      </c>
      <c r="Y95" s="17" t="str">
        <f ca="1">IF(ISNA($B95),"",IF($B95="","",IFERROR(_xll.BDP(TICKER,"DEEP_MEASURE_PERIOD_BROKER_VALUE","DEEP_MEASURE_ID_OVERRIDE",$C95,"DEEP_BROKER_ID_OVERRIDE",$F$7,"DEEP_PERIOD_OVERRIDE",Y$11)*1,"")))</f>
        <v/>
      </c>
      <c r="Z95" s="17" t="str">
        <f ca="1">IF(ISNA($B95),"",IF($B95="","",IFERROR(_xll.BDP(TICKER,"DEEP_MEASURE_PERIOD_BROKER_VALUE","DEEP_MEASURE_ID_OVERRIDE",$C95,"DEEP_BROKER_ID_OVERRIDE",$F$7,"DEEP_PERIOD_OVERRIDE",Z$11)*1,"")))</f>
        <v/>
      </c>
      <c r="AA95" s="17" t="str">
        <f ca="1">IF(ISNA($B95),"",IF($B95="","",IFERROR(_xll.BDP(TICKER,"DEEP_MEASURE_PERIOD_BROKER_VALUE","DEEP_MEASURE_ID_OVERRIDE",$C95,"DEEP_BROKER_ID_OVERRIDE",$F$7,"DEEP_PERIOD_OVERRIDE",AA$11)*1,"")))</f>
        <v/>
      </c>
      <c r="AB95" s="17" t="str">
        <f ca="1">IF(ISNA($B95),"",IF($B95="","",IFERROR(_xll.BDP(TICKER,"DEEP_MEASURE_PERIOD_BROKER_VALUE","DEEP_MEASURE_ID_OVERRIDE",$C95,"DEEP_BROKER_ID_OVERRIDE",$F$7,"DEEP_PERIOD_OVERRIDE",AB$11)*1,"")))</f>
        <v/>
      </c>
      <c r="AC95" s="17" t="str">
        <f ca="1">IF(ISNA($B95),"",IF($B95="","",IFERROR(_xll.BDP(TICKER,"DEEP_MEASURE_PERIOD_BROKER_VALUE","DEEP_MEASURE_ID_OVERRIDE",$C95,"DEEP_BROKER_ID_OVERRIDE",$F$7,"DEEP_PERIOD_OVERRIDE",AC$11)*1,"")))</f>
        <v/>
      </c>
      <c r="AD95" s="17" t="str">
        <f ca="1">IF(ISNA($B95),"",IF($B95="","",IFERROR(_xll.BDP(TICKER,"DEEP_MEASURE_PERIOD_BROKER_VALUE","DEEP_MEASURE_ID_OVERRIDE",$C95,"DEEP_BROKER_ID_OVERRIDE",$F$7,"DEEP_PERIOD_OVERRIDE",AD$11)*1,"")))</f>
        <v/>
      </c>
      <c r="AE95" s="17" t="str">
        <f ca="1">IF(ISNA($B95),"",IF($B95="","",IFERROR(_xll.BDP(TICKER,"DEEP_MEASURE_PERIOD_BROKER_VALUE","DEEP_MEASURE_ID_OVERRIDE",$C95,"DEEP_BROKER_ID_OVERRIDE",$F$7,"DEEP_PERIOD_OVERRIDE",AE$11)*1,"")))</f>
        <v/>
      </c>
      <c r="AF95" s="17" t="str">
        <f ca="1">IF(ISNA($B95),"",IF($B95="","",IFERROR(_xll.BDP(TICKER,"DEEP_MEASURE_PERIOD_BROKER_VALUE","DEEP_MEASURE_ID_OVERRIDE",$C95,"DEEP_BROKER_ID_OVERRIDE",$F$7,"DEEP_PERIOD_OVERRIDE",AF$11)*1,"")))</f>
        <v/>
      </c>
      <c r="AG95" s="17" t="str">
        <f ca="1">IF(ISNA($B95),"",IF($B95="","",IFERROR(_xll.BDP(TICKER,"DEEP_MEASURE_PERIOD_BROKER_VALUE","DEEP_MEASURE_ID_OVERRIDE",$C95,"DEEP_BROKER_ID_OVERRIDE",$F$7,"DEEP_PERIOD_OVERRIDE",AG$11)*1,"")))</f>
        <v/>
      </c>
      <c r="AH95" s="17" t="str">
        <f ca="1">IF(ISNA($B95),"",IF($B95="","",IFERROR(_xll.BDP(TICKER,"DEEP_MEASURE_PERIOD_BROKER_VALUE","DEEP_MEASURE_ID_OVERRIDE",$C95,"DEEP_BROKER_ID_OVERRIDE",$F$7,"DEEP_PERIOD_OVERRIDE",AH$11)*1,"")))</f>
        <v/>
      </c>
      <c r="AI95" s="17" t="str">
        <f ca="1">IF(ISNA($B95),"",IF($B95="","",IFERROR(_xll.BDP(TICKER,"DEEP_MEASURE_PERIOD_BROKER_VALUE","DEEP_MEASURE_ID_OVERRIDE",$C95,"DEEP_BROKER_ID_OVERRIDE",$F$7,"DEEP_PERIOD_OVERRIDE",AI$11)*1,"")))</f>
        <v/>
      </c>
      <c r="AJ95" s="17" t="str">
        <f ca="1">IF(ISNA($B95),"",IF($B95="","",IFERROR(_xll.BDP(TICKER,"DEEP_MEASURE_PERIOD_BROKER_VALUE","DEEP_MEASURE_ID_OVERRIDE",$C95,"DEEP_BROKER_ID_OVERRIDE",$F$7,"DEEP_PERIOD_OVERRIDE",AJ$11)*1,"")))</f>
        <v/>
      </c>
      <c r="AK95" s="17" t="str">
        <f ca="1">IF(ISNA($B95),"",IF($B95="","",IFERROR(_xll.BDP(TICKER,"DEEP_MEASURE_PERIOD_BROKER_VALUE","DEEP_MEASURE_ID_OVERRIDE",$C95,"DEEP_BROKER_ID_OVERRIDE",$F$7,"DEEP_PERIOD_OVERRIDE",AK$11)*1,"")))</f>
        <v/>
      </c>
      <c r="AL95" s="17" t="str">
        <f ca="1">IF(ISNA($B95),"",IF($B95="","",IFERROR(_xll.BDP(TICKER,"DEEP_MEASURE_PERIOD_BROKER_VALUE","DEEP_MEASURE_ID_OVERRIDE",$C95,"DEEP_BROKER_ID_OVERRIDE",$F$7,"DEEP_PERIOD_OVERRIDE",AL$11)*1,"")))</f>
        <v/>
      </c>
      <c r="AM95" s="17" t="str">
        <f ca="1">IF(ISNA($B95),"",IF($B95="","",IFERROR(_xll.BDP(TICKER,"DEEP_MEASURE_PERIOD_BROKER_VALUE","DEEP_MEASURE_ID_OVERRIDE",$C95,"DEEP_BROKER_ID_OVERRIDE",$F$7,"DEEP_PERIOD_OVERRIDE",AM$11)*1,"")))</f>
        <v/>
      </c>
      <c r="AN95" s="17" t="str">
        <f ca="1">IF(ISNA($B95),"",IF($B95="","",IFERROR(_xll.BDP(TICKER,"DEEP_MEASURE_PERIOD_BROKER_VALUE","DEEP_MEASURE_ID_OVERRIDE",$C95,"DEEP_BROKER_ID_OVERRIDE",$F$7,"DEEP_PERIOD_OVERRIDE",AN$11)*1,"")))</f>
        <v/>
      </c>
      <c r="AO95" s="17" t="str">
        <f ca="1">IF(ISNA($B95),"",IF($B95="","",IFERROR(_xll.BDP(TICKER,"DEEP_MEASURE_PERIOD_BROKER_VALUE","DEEP_MEASURE_ID_OVERRIDE",$C95,"DEEP_BROKER_ID_OVERRIDE",$F$7,"DEEP_PERIOD_OVERRIDE",AO$11)*1,"")))</f>
        <v/>
      </c>
      <c r="AP95" s="17" t="str">
        <f ca="1">IF(ISNA($B95),"",IF($B95="","",IFERROR(_xll.BDP(TICKER,"DEEP_MEASURE_PERIOD_BROKER_VALUE","DEEP_MEASURE_ID_OVERRIDE",$C95,"DEEP_BROKER_ID_OVERRIDE",$F$7,"DEEP_PERIOD_OVERRIDE",AP$11)*1,"")))</f>
        <v/>
      </c>
      <c r="AQ95" s="17" t="str">
        <f ca="1">IF(ISNA($B95),"",IF($B95="","",IFERROR(_xll.BDP(TICKER,"DEEP_MEASURE_PERIOD_BROKER_VALUE","DEEP_MEASURE_ID_OVERRIDE",$C95,"DEEP_BROKER_ID_OVERRIDE",$F$7,"DEEP_PERIOD_OVERRIDE",AQ$11)*1,"")))</f>
        <v/>
      </c>
    </row>
    <row r="96" spans="2:43" x14ac:dyDescent="0.25">
      <c r="B96" t="s">
        <v>141</v>
      </c>
      <c r="C96" s="11">
        <v>382</v>
      </c>
      <c r="H96" t="str">
        <f t="shared" si="3"/>
        <v>Sales &amp; Marketing Expenses &gt; Personnel &amp; Overhead &gt; Personnel &amp; Overhead (ex-SBC) &gt; As % of Revenue</v>
      </c>
      <c r="I96" s="17" t="str">
        <f ca="1">IF(ISNA($B96),"",IF($B96="","",IFERROR(_xll.BDP(TICKER,"DEEP_MEASURE_PERIOD_BROKER_VALUE","DEEP_MEASURE_ID_OVERRIDE",$C96,"DEEP_BROKER_ID_OVERRIDE",$F$7,"DEEP_PERIOD_OVERRIDE",I$11)*1,"")))</f>
        <v/>
      </c>
      <c r="J96" s="17" t="str">
        <f ca="1">IF(ISNA($B96),"",IF($B96="","",IFERROR(_xll.BDP(TICKER,"DEEP_MEASURE_PERIOD_BROKER_VALUE","DEEP_MEASURE_ID_OVERRIDE",$C96,"DEEP_BROKER_ID_OVERRIDE",$F$7,"DEEP_PERIOD_OVERRIDE",J$11)*1,"")))</f>
        <v/>
      </c>
      <c r="K96" s="17" t="str">
        <f ca="1">IF(ISNA($B96),"",IF($B96="","",IFERROR(_xll.BDP(TICKER,"DEEP_MEASURE_PERIOD_BROKER_VALUE","DEEP_MEASURE_ID_OVERRIDE",$C96,"DEEP_BROKER_ID_OVERRIDE",$F$7,"DEEP_PERIOD_OVERRIDE",K$11)*1,"")))</f>
        <v/>
      </c>
      <c r="L96" s="17" t="str">
        <f ca="1">IF(ISNA($B96),"",IF($B96="","",IFERROR(_xll.BDP(TICKER,"DEEP_MEASURE_PERIOD_BROKER_VALUE","DEEP_MEASURE_ID_OVERRIDE",$C96,"DEEP_BROKER_ID_OVERRIDE",$F$7,"DEEP_PERIOD_OVERRIDE",L$11)*1,"")))</f>
        <v/>
      </c>
      <c r="M96" s="17" t="str">
        <f ca="1">IF(ISNA($B96),"",IF($B96="","",IFERROR(_xll.BDP(TICKER,"DEEP_MEASURE_PERIOD_BROKER_VALUE","DEEP_MEASURE_ID_OVERRIDE",$C96,"DEEP_BROKER_ID_OVERRIDE",$F$7,"DEEP_PERIOD_OVERRIDE",M$11)*1,"")))</f>
        <v/>
      </c>
      <c r="N96" s="17" t="str">
        <f ca="1">IF(ISNA($B96),"",IF($B96="","",IFERROR(_xll.BDP(TICKER,"DEEP_MEASURE_PERIOD_BROKER_VALUE","DEEP_MEASURE_ID_OVERRIDE",$C96,"DEEP_BROKER_ID_OVERRIDE",$F$7,"DEEP_PERIOD_OVERRIDE",N$11)*1,"")))</f>
        <v/>
      </c>
      <c r="O96" s="17" t="str">
        <f ca="1">IF(ISNA($B96),"",IF($B96="","",IFERROR(_xll.BDP(TICKER,"DEEP_MEASURE_PERIOD_BROKER_VALUE","DEEP_MEASURE_ID_OVERRIDE",$C96,"DEEP_BROKER_ID_OVERRIDE",$F$7,"DEEP_PERIOD_OVERRIDE",O$11)*1,"")))</f>
        <v/>
      </c>
      <c r="P96" s="17" t="str">
        <f ca="1">IF(ISNA($B96),"",IF($B96="","",IFERROR(_xll.BDP(TICKER,"DEEP_MEASURE_PERIOD_BROKER_VALUE","DEEP_MEASURE_ID_OVERRIDE",$C96,"DEEP_BROKER_ID_OVERRIDE",$F$7,"DEEP_PERIOD_OVERRIDE",P$11)*1,"")))</f>
        <v/>
      </c>
      <c r="Q96" s="17" t="str">
        <f ca="1">IF(ISNA($B96),"",IF($B96="","",IFERROR(_xll.BDP(TICKER,"DEEP_MEASURE_PERIOD_BROKER_VALUE","DEEP_MEASURE_ID_OVERRIDE",$C96,"DEEP_BROKER_ID_OVERRIDE",$F$7,"DEEP_PERIOD_OVERRIDE",Q$11)*1,"")))</f>
        <v/>
      </c>
      <c r="R96" s="17" t="str">
        <f ca="1">IF(ISNA($B96),"",IF($B96="","",IFERROR(_xll.BDP(TICKER,"DEEP_MEASURE_PERIOD_BROKER_VALUE","DEEP_MEASURE_ID_OVERRIDE",$C96,"DEEP_BROKER_ID_OVERRIDE",$F$7,"DEEP_PERIOD_OVERRIDE",R$11)*1,"")))</f>
        <v/>
      </c>
      <c r="S96" s="17" t="str">
        <f ca="1">IF(ISNA($B96),"",IF($B96="","",IFERROR(_xll.BDP(TICKER,"DEEP_MEASURE_PERIOD_BROKER_VALUE","DEEP_MEASURE_ID_OVERRIDE",$C96,"DEEP_BROKER_ID_OVERRIDE",$F$7,"DEEP_PERIOD_OVERRIDE",S$11)*1,"")))</f>
        <v/>
      </c>
      <c r="T96" s="17" t="str">
        <f ca="1">IF(ISNA($B96),"",IF($B96="","",IFERROR(_xll.BDP(TICKER,"DEEP_MEASURE_PERIOD_BROKER_VALUE","DEEP_MEASURE_ID_OVERRIDE",$C96,"DEEP_BROKER_ID_OVERRIDE",$F$7,"DEEP_PERIOD_OVERRIDE",T$11)*1,"")))</f>
        <v/>
      </c>
      <c r="U96" s="17" t="str">
        <f ca="1">IF(ISNA($B96),"",IF($B96="","",IFERROR(_xll.BDP(TICKER,"DEEP_MEASURE_PERIOD_BROKER_VALUE","DEEP_MEASURE_ID_OVERRIDE",$C96,"DEEP_BROKER_ID_OVERRIDE",$F$7,"DEEP_PERIOD_OVERRIDE",U$11)*1,"")))</f>
        <v/>
      </c>
      <c r="V96" s="17" t="str">
        <f ca="1">IF(ISNA($B96),"",IF($B96="","",IFERROR(_xll.BDP(TICKER,"DEEP_MEASURE_PERIOD_BROKER_VALUE","DEEP_MEASURE_ID_OVERRIDE",$C96,"DEEP_BROKER_ID_OVERRIDE",$F$7,"DEEP_PERIOD_OVERRIDE",V$11)*1,"")))</f>
        <v/>
      </c>
      <c r="W96" s="17" t="str">
        <f ca="1">IF(ISNA($B96),"",IF($B96="","",IFERROR(_xll.BDP(TICKER,"DEEP_MEASURE_PERIOD_BROKER_VALUE","DEEP_MEASURE_ID_OVERRIDE",$C96,"DEEP_BROKER_ID_OVERRIDE",$F$7,"DEEP_PERIOD_OVERRIDE",W$11)*1,"")))</f>
        <v/>
      </c>
      <c r="X96" s="17" t="str">
        <f ca="1">IF(ISNA($B96),"",IF($B96="","",IFERROR(_xll.BDP(TICKER,"DEEP_MEASURE_PERIOD_BROKER_VALUE","DEEP_MEASURE_ID_OVERRIDE",$C96,"DEEP_BROKER_ID_OVERRIDE",$F$7,"DEEP_PERIOD_OVERRIDE",X$11)*1,"")))</f>
        <v/>
      </c>
      <c r="Y96" s="17" t="str">
        <f ca="1">IF(ISNA($B96),"",IF($B96="","",IFERROR(_xll.BDP(TICKER,"DEEP_MEASURE_PERIOD_BROKER_VALUE","DEEP_MEASURE_ID_OVERRIDE",$C96,"DEEP_BROKER_ID_OVERRIDE",$F$7,"DEEP_PERIOD_OVERRIDE",Y$11)*1,"")))</f>
        <v/>
      </c>
      <c r="Z96" s="17" t="str">
        <f ca="1">IF(ISNA($B96),"",IF($B96="","",IFERROR(_xll.BDP(TICKER,"DEEP_MEASURE_PERIOD_BROKER_VALUE","DEEP_MEASURE_ID_OVERRIDE",$C96,"DEEP_BROKER_ID_OVERRIDE",$F$7,"DEEP_PERIOD_OVERRIDE",Z$11)*1,"")))</f>
        <v/>
      </c>
      <c r="AA96" s="17" t="str">
        <f ca="1">IF(ISNA($B96),"",IF($B96="","",IFERROR(_xll.BDP(TICKER,"DEEP_MEASURE_PERIOD_BROKER_VALUE","DEEP_MEASURE_ID_OVERRIDE",$C96,"DEEP_BROKER_ID_OVERRIDE",$F$7,"DEEP_PERIOD_OVERRIDE",AA$11)*1,"")))</f>
        <v/>
      </c>
      <c r="AB96" s="17" t="str">
        <f ca="1">IF(ISNA($B96),"",IF($B96="","",IFERROR(_xll.BDP(TICKER,"DEEP_MEASURE_PERIOD_BROKER_VALUE","DEEP_MEASURE_ID_OVERRIDE",$C96,"DEEP_BROKER_ID_OVERRIDE",$F$7,"DEEP_PERIOD_OVERRIDE",AB$11)*1,"")))</f>
        <v/>
      </c>
      <c r="AC96" s="17" t="str">
        <f ca="1">IF(ISNA($B96),"",IF($B96="","",IFERROR(_xll.BDP(TICKER,"DEEP_MEASURE_PERIOD_BROKER_VALUE","DEEP_MEASURE_ID_OVERRIDE",$C96,"DEEP_BROKER_ID_OVERRIDE",$F$7,"DEEP_PERIOD_OVERRIDE",AC$11)*1,"")))</f>
        <v/>
      </c>
      <c r="AD96" s="17" t="str">
        <f ca="1">IF(ISNA($B96),"",IF($B96="","",IFERROR(_xll.BDP(TICKER,"DEEP_MEASURE_PERIOD_BROKER_VALUE","DEEP_MEASURE_ID_OVERRIDE",$C96,"DEEP_BROKER_ID_OVERRIDE",$F$7,"DEEP_PERIOD_OVERRIDE",AD$11)*1,"")))</f>
        <v/>
      </c>
      <c r="AE96" s="17" t="str">
        <f ca="1">IF(ISNA($B96),"",IF($B96="","",IFERROR(_xll.BDP(TICKER,"DEEP_MEASURE_PERIOD_BROKER_VALUE","DEEP_MEASURE_ID_OVERRIDE",$C96,"DEEP_BROKER_ID_OVERRIDE",$F$7,"DEEP_PERIOD_OVERRIDE",AE$11)*1,"")))</f>
        <v/>
      </c>
      <c r="AF96" s="17" t="str">
        <f ca="1">IF(ISNA($B96),"",IF($B96="","",IFERROR(_xll.BDP(TICKER,"DEEP_MEASURE_PERIOD_BROKER_VALUE","DEEP_MEASURE_ID_OVERRIDE",$C96,"DEEP_BROKER_ID_OVERRIDE",$F$7,"DEEP_PERIOD_OVERRIDE",AF$11)*1,"")))</f>
        <v/>
      </c>
      <c r="AG96" s="17" t="str">
        <f ca="1">IF(ISNA($B96),"",IF($B96="","",IFERROR(_xll.BDP(TICKER,"DEEP_MEASURE_PERIOD_BROKER_VALUE","DEEP_MEASURE_ID_OVERRIDE",$C96,"DEEP_BROKER_ID_OVERRIDE",$F$7,"DEEP_PERIOD_OVERRIDE",AG$11)*1,"")))</f>
        <v/>
      </c>
      <c r="AH96" s="17" t="str">
        <f ca="1">IF(ISNA($B96),"",IF($B96="","",IFERROR(_xll.BDP(TICKER,"DEEP_MEASURE_PERIOD_BROKER_VALUE","DEEP_MEASURE_ID_OVERRIDE",$C96,"DEEP_BROKER_ID_OVERRIDE",$F$7,"DEEP_PERIOD_OVERRIDE",AH$11)*1,"")))</f>
        <v/>
      </c>
      <c r="AI96" s="17" t="str">
        <f ca="1">IF(ISNA($B96),"",IF($B96="","",IFERROR(_xll.BDP(TICKER,"DEEP_MEASURE_PERIOD_BROKER_VALUE","DEEP_MEASURE_ID_OVERRIDE",$C96,"DEEP_BROKER_ID_OVERRIDE",$F$7,"DEEP_PERIOD_OVERRIDE",AI$11)*1,"")))</f>
        <v/>
      </c>
      <c r="AJ96" s="17" t="str">
        <f ca="1">IF(ISNA($B96),"",IF($B96="","",IFERROR(_xll.BDP(TICKER,"DEEP_MEASURE_PERIOD_BROKER_VALUE","DEEP_MEASURE_ID_OVERRIDE",$C96,"DEEP_BROKER_ID_OVERRIDE",$F$7,"DEEP_PERIOD_OVERRIDE",AJ$11)*1,"")))</f>
        <v/>
      </c>
      <c r="AK96" s="17" t="str">
        <f ca="1">IF(ISNA($B96),"",IF($B96="","",IFERROR(_xll.BDP(TICKER,"DEEP_MEASURE_PERIOD_BROKER_VALUE","DEEP_MEASURE_ID_OVERRIDE",$C96,"DEEP_BROKER_ID_OVERRIDE",$F$7,"DEEP_PERIOD_OVERRIDE",AK$11)*1,"")))</f>
        <v/>
      </c>
      <c r="AL96" s="17" t="str">
        <f ca="1">IF(ISNA($B96),"",IF($B96="","",IFERROR(_xll.BDP(TICKER,"DEEP_MEASURE_PERIOD_BROKER_VALUE","DEEP_MEASURE_ID_OVERRIDE",$C96,"DEEP_BROKER_ID_OVERRIDE",$F$7,"DEEP_PERIOD_OVERRIDE",AL$11)*1,"")))</f>
        <v/>
      </c>
      <c r="AM96" s="17" t="str">
        <f ca="1">IF(ISNA($B96),"",IF($B96="","",IFERROR(_xll.BDP(TICKER,"DEEP_MEASURE_PERIOD_BROKER_VALUE","DEEP_MEASURE_ID_OVERRIDE",$C96,"DEEP_BROKER_ID_OVERRIDE",$F$7,"DEEP_PERIOD_OVERRIDE",AM$11)*1,"")))</f>
        <v/>
      </c>
      <c r="AN96" s="17" t="str">
        <f ca="1">IF(ISNA($B96),"",IF($B96="","",IFERROR(_xll.BDP(TICKER,"DEEP_MEASURE_PERIOD_BROKER_VALUE","DEEP_MEASURE_ID_OVERRIDE",$C96,"DEEP_BROKER_ID_OVERRIDE",$F$7,"DEEP_PERIOD_OVERRIDE",AN$11)*1,"")))</f>
        <v/>
      </c>
      <c r="AO96" s="17" t="str">
        <f ca="1">IF(ISNA($B96),"",IF($B96="","",IFERROR(_xll.BDP(TICKER,"DEEP_MEASURE_PERIOD_BROKER_VALUE","DEEP_MEASURE_ID_OVERRIDE",$C96,"DEEP_BROKER_ID_OVERRIDE",$F$7,"DEEP_PERIOD_OVERRIDE",AO$11)*1,"")))</f>
        <v/>
      </c>
      <c r="AP96" s="17" t="str">
        <f ca="1">IF(ISNA($B96),"",IF($B96="","",IFERROR(_xll.BDP(TICKER,"DEEP_MEASURE_PERIOD_BROKER_VALUE","DEEP_MEASURE_ID_OVERRIDE",$C96,"DEEP_BROKER_ID_OVERRIDE",$F$7,"DEEP_PERIOD_OVERRIDE",AP$11)*1,"")))</f>
        <v/>
      </c>
      <c r="AQ96" s="17" t="str">
        <f ca="1">IF(ISNA($B96),"",IF($B96="","",IFERROR(_xll.BDP(TICKER,"DEEP_MEASURE_PERIOD_BROKER_VALUE","DEEP_MEASURE_ID_OVERRIDE",$C96,"DEEP_BROKER_ID_OVERRIDE",$F$7,"DEEP_PERIOD_OVERRIDE",AQ$11)*1,"")))</f>
        <v/>
      </c>
    </row>
    <row r="97" spans="2:43" x14ac:dyDescent="0.25">
      <c r="B97" t="s">
        <v>142</v>
      </c>
      <c r="C97" s="11">
        <v>2058</v>
      </c>
      <c r="H97" t="str">
        <f t="shared" si="3"/>
        <v>Sales &amp; Marketing Expenses &gt; Personnel &amp; Overhead &gt; Personnel &amp; Overhead (ex-SBC) &gt; YoY Growth (%)</v>
      </c>
      <c r="I97" s="17" t="str">
        <f ca="1">IF(ISNA($B97),"",IF($B97="","",IFERROR(_xll.BDP(TICKER,"DEEP_MEASURE_PERIOD_BROKER_VALUE","DEEP_MEASURE_ID_OVERRIDE",$C97,"DEEP_BROKER_ID_OVERRIDE",$F$7,"DEEP_PERIOD_OVERRIDE",I$11)*1,"")))</f>
        <v/>
      </c>
      <c r="J97" s="17" t="str">
        <f ca="1">IF(ISNA($B97),"",IF($B97="","",IFERROR(_xll.BDP(TICKER,"DEEP_MEASURE_PERIOD_BROKER_VALUE","DEEP_MEASURE_ID_OVERRIDE",$C97,"DEEP_BROKER_ID_OVERRIDE",$F$7,"DEEP_PERIOD_OVERRIDE",J$11)*1,"")))</f>
        <v/>
      </c>
      <c r="K97" s="17" t="str">
        <f ca="1">IF(ISNA($B97),"",IF($B97="","",IFERROR(_xll.BDP(TICKER,"DEEP_MEASURE_PERIOD_BROKER_VALUE","DEEP_MEASURE_ID_OVERRIDE",$C97,"DEEP_BROKER_ID_OVERRIDE",$F$7,"DEEP_PERIOD_OVERRIDE",K$11)*1,"")))</f>
        <v/>
      </c>
      <c r="L97" s="17" t="str">
        <f ca="1">IF(ISNA($B97),"",IF($B97="","",IFERROR(_xll.BDP(TICKER,"DEEP_MEASURE_PERIOD_BROKER_VALUE","DEEP_MEASURE_ID_OVERRIDE",$C97,"DEEP_BROKER_ID_OVERRIDE",$F$7,"DEEP_PERIOD_OVERRIDE",L$11)*1,"")))</f>
        <v/>
      </c>
      <c r="M97" s="17" t="str">
        <f ca="1">IF(ISNA($B97),"",IF($B97="","",IFERROR(_xll.BDP(TICKER,"DEEP_MEASURE_PERIOD_BROKER_VALUE","DEEP_MEASURE_ID_OVERRIDE",$C97,"DEEP_BROKER_ID_OVERRIDE",$F$7,"DEEP_PERIOD_OVERRIDE",M$11)*1,"")))</f>
        <v/>
      </c>
      <c r="N97" s="17" t="str">
        <f ca="1">IF(ISNA($B97),"",IF($B97="","",IFERROR(_xll.BDP(TICKER,"DEEP_MEASURE_PERIOD_BROKER_VALUE","DEEP_MEASURE_ID_OVERRIDE",$C97,"DEEP_BROKER_ID_OVERRIDE",$F$7,"DEEP_PERIOD_OVERRIDE",N$11)*1,"")))</f>
        <v/>
      </c>
      <c r="O97" s="17" t="str">
        <f ca="1">IF(ISNA($B97),"",IF($B97="","",IFERROR(_xll.BDP(TICKER,"DEEP_MEASURE_PERIOD_BROKER_VALUE","DEEP_MEASURE_ID_OVERRIDE",$C97,"DEEP_BROKER_ID_OVERRIDE",$F$7,"DEEP_PERIOD_OVERRIDE",O$11)*1,"")))</f>
        <v/>
      </c>
      <c r="P97" s="17" t="str">
        <f ca="1">IF(ISNA($B97),"",IF($B97="","",IFERROR(_xll.BDP(TICKER,"DEEP_MEASURE_PERIOD_BROKER_VALUE","DEEP_MEASURE_ID_OVERRIDE",$C97,"DEEP_BROKER_ID_OVERRIDE",$F$7,"DEEP_PERIOD_OVERRIDE",P$11)*1,"")))</f>
        <v/>
      </c>
      <c r="Q97" s="17" t="str">
        <f ca="1">IF(ISNA($B97),"",IF($B97="","",IFERROR(_xll.BDP(TICKER,"DEEP_MEASURE_PERIOD_BROKER_VALUE","DEEP_MEASURE_ID_OVERRIDE",$C97,"DEEP_BROKER_ID_OVERRIDE",$F$7,"DEEP_PERIOD_OVERRIDE",Q$11)*1,"")))</f>
        <v/>
      </c>
      <c r="R97" s="17" t="str">
        <f ca="1">IF(ISNA($B97),"",IF($B97="","",IFERROR(_xll.BDP(TICKER,"DEEP_MEASURE_PERIOD_BROKER_VALUE","DEEP_MEASURE_ID_OVERRIDE",$C97,"DEEP_BROKER_ID_OVERRIDE",$F$7,"DEEP_PERIOD_OVERRIDE",R$11)*1,"")))</f>
        <v/>
      </c>
      <c r="S97" s="17" t="str">
        <f ca="1">IF(ISNA($B97),"",IF($B97="","",IFERROR(_xll.BDP(TICKER,"DEEP_MEASURE_PERIOD_BROKER_VALUE","DEEP_MEASURE_ID_OVERRIDE",$C97,"DEEP_BROKER_ID_OVERRIDE",$F$7,"DEEP_PERIOD_OVERRIDE",S$11)*1,"")))</f>
        <v/>
      </c>
      <c r="T97" s="17" t="str">
        <f ca="1">IF(ISNA($B97),"",IF($B97="","",IFERROR(_xll.BDP(TICKER,"DEEP_MEASURE_PERIOD_BROKER_VALUE","DEEP_MEASURE_ID_OVERRIDE",$C97,"DEEP_BROKER_ID_OVERRIDE",$F$7,"DEEP_PERIOD_OVERRIDE",T$11)*1,"")))</f>
        <v/>
      </c>
      <c r="U97" s="17" t="str">
        <f ca="1">IF(ISNA($B97),"",IF($B97="","",IFERROR(_xll.BDP(TICKER,"DEEP_MEASURE_PERIOD_BROKER_VALUE","DEEP_MEASURE_ID_OVERRIDE",$C97,"DEEP_BROKER_ID_OVERRIDE",$F$7,"DEEP_PERIOD_OVERRIDE",U$11)*1,"")))</f>
        <v/>
      </c>
      <c r="V97" s="17" t="str">
        <f ca="1">IF(ISNA($B97),"",IF($B97="","",IFERROR(_xll.BDP(TICKER,"DEEP_MEASURE_PERIOD_BROKER_VALUE","DEEP_MEASURE_ID_OVERRIDE",$C97,"DEEP_BROKER_ID_OVERRIDE",$F$7,"DEEP_PERIOD_OVERRIDE",V$11)*1,"")))</f>
        <v/>
      </c>
      <c r="W97" s="17" t="str">
        <f ca="1">IF(ISNA($B97),"",IF($B97="","",IFERROR(_xll.BDP(TICKER,"DEEP_MEASURE_PERIOD_BROKER_VALUE","DEEP_MEASURE_ID_OVERRIDE",$C97,"DEEP_BROKER_ID_OVERRIDE",$F$7,"DEEP_PERIOD_OVERRIDE",W$11)*1,"")))</f>
        <v/>
      </c>
      <c r="X97" s="17" t="str">
        <f ca="1">IF(ISNA($B97),"",IF($B97="","",IFERROR(_xll.BDP(TICKER,"DEEP_MEASURE_PERIOD_BROKER_VALUE","DEEP_MEASURE_ID_OVERRIDE",$C97,"DEEP_BROKER_ID_OVERRIDE",$F$7,"DEEP_PERIOD_OVERRIDE",X$11)*1,"")))</f>
        <v/>
      </c>
      <c r="Y97" s="17" t="str">
        <f ca="1">IF(ISNA($B97),"",IF($B97="","",IFERROR(_xll.BDP(TICKER,"DEEP_MEASURE_PERIOD_BROKER_VALUE","DEEP_MEASURE_ID_OVERRIDE",$C97,"DEEP_BROKER_ID_OVERRIDE",$F$7,"DEEP_PERIOD_OVERRIDE",Y$11)*1,"")))</f>
        <v/>
      </c>
      <c r="Z97" s="17" t="str">
        <f ca="1">IF(ISNA($B97),"",IF($B97="","",IFERROR(_xll.BDP(TICKER,"DEEP_MEASURE_PERIOD_BROKER_VALUE","DEEP_MEASURE_ID_OVERRIDE",$C97,"DEEP_BROKER_ID_OVERRIDE",$F$7,"DEEP_PERIOD_OVERRIDE",Z$11)*1,"")))</f>
        <v/>
      </c>
      <c r="AA97" s="17" t="str">
        <f ca="1">IF(ISNA($B97),"",IF($B97="","",IFERROR(_xll.BDP(TICKER,"DEEP_MEASURE_PERIOD_BROKER_VALUE","DEEP_MEASURE_ID_OVERRIDE",$C97,"DEEP_BROKER_ID_OVERRIDE",$F$7,"DEEP_PERIOD_OVERRIDE",AA$11)*1,"")))</f>
        <v/>
      </c>
      <c r="AB97" s="17" t="str">
        <f ca="1">IF(ISNA($B97),"",IF($B97="","",IFERROR(_xll.BDP(TICKER,"DEEP_MEASURE_PERIOD_BROKER_VALUE","DEEP_MEASURE_ID_OVERRIDE",$C97,"DEEP_BROKER_ID_OVERRIDE",$F$7,"DEEP_PERIOD_OVERRIDE",AB$11)*1,"")))</f>
        <v/>
      </c>
      <c r="AC97" s="17" t="str">
        <f ca="1">IF(ISNA($B97),"",IF($B97="","",IFERROR(_xll.BDP(TICKER,"DEEP_MEASURE_PERIOD_BROKER_VALUE","DEEP_MEASURE_ID_OVERRIDE",$C97,"DEEP_BROKER_ID_OVERRIDE",$F$7,"DEEP_PERIOD_OVERRIDE",AC$11)*1,"")))</f>
        <v/>
      </c>
      <c r="AD97" s="17" t="str">
        <f ca="1">IF(ISNA($B97),"",IF($B97="","",IFERROR(_xll.BDP(TICKER,"DEEP_MEASURE_PERIOD_BROKER_VALUE","DEEP_MEASURE_ID_OVERRIDE",$C97,"DEEP_BROKER_ID_OVERRIDE",$F$7,"DEEP_PERIOD_OVERRIDE",AD$11)*1,"")))</f>
        <v/>
      </c>
      <c r="AE97" s="17" t="str">
        <f ca="1">IF(ISNA($B97),"",IF($B97="","",IFERROR(_xll.BDP(TICKER,"DEEP_MEASURE_PERIOD_BROKER_VALUE","DEEP_MEASURE_ID_OVERRIDE",$C97,"DEEP_BROKER_ID_OVERRIDE",$F$7,"DEEP_PERIOD_OVERRIDE",AE$11)*1,"")))</f>
        <v/>
      </c>
      <c r="AF97" s="17" t="str">
        <f ca="1">IF(ISNA($B97),"",IF($B97="","",IFERROR(_xll.BDP(TICKER,"DEEP_MEASURE_PERIOD_BROKER_VALUE","DEEP_MEASURE_ID_OVERRIDE",$C97,"DEEP_BROKER_ID_OVERRIDE",$F$7,"DEEP_PERIOD_OVERRIDE",AF$11)*1,"")))</f>
        <v/>
      </c>
      <c r="AG97" s="17" t="str">
        <f ca="1">IF(ISNA($B97),"",IF($B97="","",IFERROR(_xll.BDP(TICKER,"DEEP_MEASURE_PERIOD_BROKER_VALUE","DEEP_MEASURE_ID_OVERRIDE",$C97,"DEEP_BROKER_ID_OVERRIDE",$F$7,"DEEP_PERIOD_OVERRIDE",AG$11)*1,"")))</f>
        <v/>
      </c>
      <c r="AH97" s="17" t="str">
        <f ca="1">IF(ISNA($B97),"",IF($B97="","",IFERROR(_xll.BDP(TICKER,"DEEP_MEASURE_PERIOD_BROKER_VALUE","DEEP_MEASURE_ID_OVERRIDE",$C97,"DEEP_BROKER_ID_OVERRIDE",$F$7,"DEEP_PERIOD_OVERRIDE",AH$11)*1,"")))</f>
        <v/>
      </c>
      <c r="AI97" s="17" t="str">
        <f ca="1">IF(ISNA($B97),"",IF($B97="","",IFERROR(_xll.BDP(TICKER,"DEEP_MEASURE_PERIOD_BROKER_VALUE","DEEP_MEASURE_ID_OVERRIDE",$C97,"DEEP_BROKER_ID_OVERRIDE",$F$7,"DEEP_PERIOD_OVERRIDE",AI$11)*1,"")))</f>
        <v/>
      </c>
      <c r="AJ97" s="17" t="str">
        <f ca="1">IF(ISNA($B97),"",IF($B97="","",IFERROR(_xll.BDP(TICKER,"DEEP_MEASURE_PERIOD_BROKER_VALUE","DEEP_MEASURE_ID_OVERRIDE",$C97,"DEEP_BROKER_ID_OVERRIDE",$F$7,"DEEP_PERIOD_OVERRIDE",AJ$11)*1,"")))</f>
        <v/>
      </c>
      <c r="AK97" s="17" t="str">
        <f ca="1">IF(ISNA($B97),"",IF($B97="","",IFERROR(_xll.BDP(TICKER,"DEEP_MEASURE_PERIOD_BROKER_VALUE","DEEP_MEASURE_ID_OVERRIDE",$C97,"DEEP_BROKER_ID_OVERRIDE",$F$7,"DEEP_PERIOD_OVERRIDE",AK$11)*1,"")))</f>
        <v/>
      </c>
      <c r="AL97" s="17" t="str">
        <f ca="1">IF(ISNA($B97),"",IF($B97="","",IFERROR(_xll.BDP(TICKER,"DEEP_MEASURE_PERIOD_BROKER_VALUE","DEEP_MEASURE_ID_OVERRIDE",$C97,"DEEP_BROKER_ID_OVERRIDE",$F$7,"DEEP_PERIOD_OVERRIDE",AL$11)*1,"")))</f>
        <v/>
      </c>
      <c r="AM97" s="17" t="str">
        <f ca="1">IF(ISNA($B97),"",IF($B97="","",IFERROR(_xll.BDP(TICKER,"DEEP_MEASURE_PERIOD_BROKER_VALUE","DEEP_MEASURE_ID_OVERRIDE",$C97,"DEEP_BROKER_ID_OVERRIDE",$F$7,"DEEP_PERIOD_OVERRIDE",AM$11)*1,"")))</f>
        <v/>
      </c>
      <c r="AN97" s="17" t="str">
        <f ca="1">IF(ISNA($B97),"",IF($B97="","",IFERROR(_xll.BDP(TICKER,"DEEP_MEASURE_PERIOD_BROKER_VALUE","DEEP_MEASURE_ID_OVERRIDE",$C97,"DEEP_BROKER_ID_OVERRIDE",$F$7,"DEEP_PERIOD_OVERRIDE",AN$11)*1,"")))</f>
        <v/>
      </c>
      <c r="AO97" s="17" t="str">
        <f ca="1">IF(ISNA($B97),"",IF($B97="","",IFERROR(_xll.BDP(TICKER,"DEEP_MEASURE_PERIOD_BROKER_VALUE","DEEP_MEASURE_ID_OVERRIDE",$C97,"DEEP_BROKER_ID_OVERRIDE",$F$7,"DEEP_PERIOD_OVERRIDE",AO$11)*1,"")))</f>
        <v/>
      </c>
      <c r="AP97" s="17" t="str">
        <f ca="1">IF(ISNA($B97),"",IF($B97="","",IFERROR(_xll.BDP(TICKER,"DEEP_MEASURE_PERIOD_BROKER_VALUE","DEEP_MEASURE_ID_OVERRIDE",$C97,"DEEP_BROKER_ID_OVERRIDE",$F$7,"DEEP_PERIOD_OVERRIDE",AP$11)*1,"")))</f>
        <v/>
      </c>
      <c r="AQ97" s="17" t="str">
        <f ca="1">IF(ISNA($B97),"",IF($B97="","",IFERROR(_xll.BDP(TICKER,"DEEP_MEASURE_PERIOD_BROKER_VALUE","DEEP_MEASURE_ID_OVERRIDE",$C97,"DEEP_BROKER_ID_OVERRIDE",$F$7,"DEEP_PERIOD_OVERRIDE",AQ$11)*1,"")))</f>
        <v/>
      </c>
    </row>
    <row r="98" spans="2:43" x14ac:dyDescent="0.25">
      <c r="B98" t="s">
        <v>143</v>
      </c>
      <c r="C98" s="11">
        <v>530</v>
      </c>
      <c r="H98" t="str">
        <f t="shared" si="3"/>
        <v>Sales &amp; Marketing Expenses &gt; Selling &amp; Marketing Expense (ex-SBC)</v>
      </c>
      <c r="I98" s="17" t="str">
        <f ca="1">IF(ISNA($B98),"",IF($B98="","",IFERROR(_xll.BDP(TICKER,"DEEP_MEASURE_PERIOD_BROKER_VALUE","DEEP_MEASURE_ID_OVERRIDE",$C98,"DEEP_BROKER_ID_OVERRIDE",$F$7,"DEEP_PERIOD_OVERRIDE",I$11)*1,"")))</f>
        <v/>
      </c>
      <c r="J98" s="17" t="str">
        <f ca="1">IF(ISNA($B98),"",IF($B98="","",IFERROR(_xll.BDP(TICKER,"DEEP_MEASURE_PERIOD_BROKER_VALUE","DEEP_MEASURE_ID_OVERRIDE",$C98,"DEEP_BROKER_ID_OVERRIDE",$F$7,"DEEP_PERIOD_OVERRIDE",J$11)*1,"")))</f>
        <v/>
      </c>
      <c r="K98" s="17" t="str">
        <f ca="1">IF(ISNA($B98),"",IF($B98="","",IFERROR(_xll.BDP(TICKER,"DEEP_MEASURE_PERIOD_BROKER_VALUE","DEEP_MEASURE_ID_OVERRIDE",$C98,"DEEP_BROKER_ID_OVERRIDE",$F$7,"DEEP_PERIOD_OVERRIDE",K$11)*1,"")))</f>
        <v/>
      </c>
      <c r="L98" s="17" t="str">
        <f ca="1">IF(ISNA($B98),"",IF($B98="","",IFERROR(_xll.BDP(TICKER,"DEEP_MEASURE_PERIOD_BROKER_VALUE","DEEP_MEASURE_ID_OVERRIDE",$C98,"DEEP_BROKER_ID_OVERRIDE",$F$7,"DEEP_PERIOD_OVERRIDE",L$11)*1,"")))</f>
        <v/>
      </c>
      <c r="M98" s="17" t="str">
        <f ca="1">IF(ISNA($B98),"",IF($B98="","",IFERROR(_xll.BDP(TICKER,"DEEP_MEASURE_PERIOD_BROKER_VALUE","DEEP_MEASURE_ID_OVERRIDE",$C98,"DEEP_BROKER_ID_OVERRIDE",$F$7,"DEEP_PERIOD_OVERRIDE",M$11)*1,"")))</f>
        <v/>
      </c>
      <c r="N98" s="17" t="str">
        <f ca="1">IF(ISNA($B98),"",IF($B98="","",IFERROR(_xll.BDP(TICKER,"DEEP_MEASURE_PERIOD_BROKER_VALUE","DEEP_MEASURE_ID_OVERRIDE",$C98,"DEEP_BROKER_ID_OVERRIDE",$F$7,"DEEP_PERIOD_OVERRIDE",N$11)*1,"")))</f>
        <v/>
      </c>
      <c r="O98" s="17" t="str">
        <f ca="1">IF(ISNA($B98),"",IF($B98="","",IFERROR(_xll.BDP(TICKER,"DEEP_MEASURE_PERIOD_BROKER_VALUE","DEEP_MEASURE_ID_OVERRIDE",$C98,"DEEP_BROKER_ID_OVERRIDE",$F$7,"DEEP_PERIOD_OVERRIDE",O$11)*1,"")))</f>
        <v/>
      </c>
      <c r="P98" s="17" t="str">
        <f ca="1">IF(ISNA($B98),"",IF($B98="","",IFERROR(_xll.BDP(TICKER,"DEEP_MEASURE_PERIOD_BROKER_VALUE","DEEP_MEASURE_ID_OVERRIDE",$C98,"DEEP_BROKER_ID_OVERRIDE",$F$7,"DEEP_PERIOD_OVERRIDE",P$11)*1,"")))</f>
        <v/>
      </c>
      <c r="Q98" s="17" t="str">
        <f ca="1">IF(ISNA($B98),"",IF($B98="","",IFERROR(_xll.BDP(TICKER,"DEEP_MEASURE_PERIOD_BROKER_VALUE","DEEP_MEASURE_ID_OVERRIDE",$C98,"DEEP_BROKER_ID_OVERRIDE",$F$7,"DEEP_PERIOD_OVERRIDE",Q$11)*1,"")))</f>
        <v/>
      </c>
      <c r="R98" s="17" t="str">
        <f ca="1">IF(ISNA($B98),"",IF($B98="","",IFERROR(_xll.BDP(TICKER,"DEEP_MEASURE_PERIOD_BROKER_VALUE","DEEP_MEASURE_ID_OVERRIDE",$C98,"DEEP_BROKER_ID_OVERRIDE",$F$7,"DEEP_PERIOD_OVERRIDE",R$11)*1,"")))</f>
        <v/>
      </c>
      <c r="S98" s="17" t="str">
        <f ca="1">IF(ISNA($B98),"",IF($B98="","",IFERROR(_xll.BDP(TICKER,"DEEP_MEASURE_PERIOD_BROKER_VALUE","DEEP_MEASURE_ID_OVERRIDE",$C98,"DEEP_BROKER_ID_OVERRIDE",$F$7,"DEEP_PERIOD_OVERRIDE",S$11)*1,"")))</f>
        <v/>
      </c>
      <c r="T98" s="17" t="str">
        <f ca="1">IF(ISNA($B98),"",IF($B98="","",IFERROR(_xll.BDP(TICKER,"DEEP_MEASURE_PERIOD_BROKER_VALUE","DEEP_MEASURE_ID_OVERRIDE",$C98,"DEEP_BROKER_ID_OVERRIDE",$F$7,"DEEP_PERIOD_OVERRIDE",T$11)*1,"")))</f>
        <v/>
      </c>
      <c r="U98" s="17" t="str">
        <f ca="1">IF(ISNA($B98),"",IF($B98="","",IFERROR(_xll.BDP(TICKER,"DEEP_MEASURE_PERIOD_BROKER_VALUE","DEEP_MEASURE_ID_OVERRIDE",$C98,"DEEP_BROKER_ID_OVERRIDE",$F$7,"DEEP_PERIOD_OVERRIDE",U$11)*1,"")))</f>
        <v/>
      </c>
      <c r="V98" s="17" t="str">
        <f ca="1">IF(ISNA($B98),"",IF($B98="","",IFERROR(_xll.BDP(TICKER,"DEEP_MEASURE_PERIOD_BROKER_VALUE","DEEP_MEASURE_ID_OVERRIDE",$C98,"DEEP_BROKER_ID_OVERRIDE",$F$7,"DEEP_PERIOD_OVERRIDE",V$11)*1,"")))</f>
        <v/>
      </c>
      <c r="W98" s="17" t="str">
        <f ca="1">IF(ISNA($B98),"",IF($B98="","",IFERROR(_xll.BDP(TICKER,"DEEP_MEASURE_PERIOD_BROKER_VALUE","DEEP_MEASURE_ID_OVERRIDE",$C98,"DEEP_BROKER_ID_OVERRIDE",$F$7,"DEEP_PERIOD_OVERRIDE",W$11)*1,"")))</f>
        <v/>
      </c>
      <c r="X98" s="17" t="str">
        <f ca="1">IF(ISNA($B98),"",IF($B98="","",IFERROR(_xll.BDP(TICKER,"DEEP_MEASURE_PERIOD_BROKER_VALUE","DEEP_MEASURE_ID_OVERRIDE",$C98,"DEEP_BROKER_ID_OVERRIDE",$F$7,"DEEP_PERIOD_OVERRIDE",X$11)*1,"")))</f>
        <v/>
      </c>
      <c r="Y98" s="17" t="str">
        <f ca="1">IF(ISNA($B98),"",IF($B98="","",IFERROR(_xll.BDP(TICKER,"DEEP_MEASURE_PERIOD_BROKER_VALUE","DEEP_MEASURE_ID_OVERRIDE",$C98,"DEEP_BROKER_ID_OVERRIDE",$F$7,"DEEP_PERIOD_OVERRIDE",Y$11)*1,"")))</f>
        <v/>
      </c>
      <c r="Z98" s="17" t="str">
        <f ca="1">IF(ISNA($B98),"",IF($B98="","",IFERROR(_xll.BDP(TICKER,"DEEP_MEASURE_PERIOD_BROKER_VALUE","DEEP_MEASURE_ID_OVERRIDE",$C98,"DEEP_BROKER_ID_OVERRIDE",$F$7,"DEEP_PERIOD_OVERRIDE",Z$11)*1,"")))</f>
        <v/>
      </c>
      <c r="AA98" s="17" t="str">
        <f ca="1">IF(ISNA($B98),"",IF($B98="","",IFERROR(_xll.BDP(TICKER,"DEEP_MEASURE_PERIOD_BROKER_VALUE","DEEP_MEASURE_ID_OVERRIDE",$C98,"DEEP_BROKER_ID_OVERRIDE",$F$7,"DEEP_PERIOD_OVERRIDE",AA$11)*1,"")))</f>
        <v/>
      </c>
      <c r="AB98" s="17" t="str">
        <f ca="1">IF(ISNA($B98),"",IF($B98="","",IFERROR(_xll.BDP(TICKER,"DEEP_MEASURE_PERIOD_BROKER_VALUE","DEEP_MEASURE_ID_OVERRIDE",$C98,"DEEP_BROKER_ID_OVERRIDE",$F$7,"DEEP_PERIOD_OVERRIDE",AB$11)*1,"")))</f>
        <v/>
      </c>
      <c r="AC98" s="17" t="str">
        <f ca="1">IF(ISNA($B98),"",IF($B98="","",IFERROR(_xll.BDP(TICKER,"DEEP_MEASURE_PERIOD_BROKER_VALUE","DEEP_MEASURE_ID_OVERRIDE",$C98,"DEEP_BROKER_ID_OVERRIDE",$F$7,"DEEP_PERIOD_OVERRIDE",AC$11)*1,"")))</f>
        <v/>
      </c>
      <c r="AD98" s="17" t="str">
        <f ca="1">IF(ISNA($B98),"",IF($B98="","",IFERROR(_xll.BDP(TICKER,"DEEP_MEASURE_PERIOD_BROKER_VALUE","DEEP_MEASURE_ID_OVERRIDE",$C98,"DEEP_BROKER_ID_OVERRIDE",$F$7,"DEEP_PERIOD_OVERRIDE",AD$11)*1,"")))</f>
        <v/>
      </c>
      <c r="AE98" s="17" t="str">
        <f ca="1">IF(ISNA($B98),"",IF($B98="","",IFERROR(_xll.BDP(TICKER,"DEEP_MEASURE_PERIOD_BROKER_VALUE","DEEP_MEASURE_ID_OVERRIDE",$C98,"DEEP_BROKER_ID_OVERRIDE",$F$7,"DEEP_PERIOD_OVERRIDE",AE$11)*1,"")))</f>
        <v/>
      </c>
      <c r="AF98" s="17" t="str">
        <f ca="1">IF(ISNA($B98),"",IF($B98="","",IFERROR(_xll.BDP(TICKER,"DEEP_MEASURE_PERIOD_BROKER_VALUE","DEEP_MEASURE_ID_OVERRIDE",$C98,"DEEP_BROKER_ID_OVERRIDE",$F$7,"DEEP_PERIOD_OVERRIDE",AF$11)*1,"")))</f>
        <v/>
      </c>
      <c r="AG98" s="17" t="str">
        <f ca="1">IF(ISNA($B98),"",IF($B98="","",IFERROR(_xll.BDP(TICKER,"DEEP_MEASURE_PERIOD_BROKER_VALUE","DEEP_MEASURE_ID_OVERRIDE",$C98,"DEEP_BROKER_ID_OVERRIDE",$F$7,"DEEP_PERIOD_OVERRIDE",AG$11)*1,"")))</f>
        <v/>
      </c>
      <c r="AH98" s="17" t="str">
        <f ca="1">IF(ISNA($B98),"",IF($B98="","",IFERROR(_xll.BDP(TICKER,"DEEP_MEASURE_PERIOD_BROKER_VALUE","DEEP_MEASURE_ID_OVERRIDE",$C98,"DEEP_BROKER_ID_OVERRIDE",$F$7,"DEEP_PERIOD_OVERRIDE",AH$11)*1,"")))</f>
        <v/>
      </c>
      <c r="AI98" s="17" t="str">
        <f ca="1">IF(ISNA($B98),"",IF($B98="","",IFERROR(_xll.BDP(TICKER,"DEEP_MEASURE_PERIOD_BROKER_VALUE","DEEP_MEASURE_ID_OVERRIDE",$C98,"DEEP_BROKER_ID_OVERRIDE",$F$7,"DEEP_PERIOD_OVERRIDE",AI$11)*1,"")))</f>
        <v/>
      </c>
      <c r="AJ98" s="17" t="str">
        <f ca="1">IF(ISNA($B98),"",IF($B98="","",IFERROR(_xll.BDP(TICKER,"DEEP_MEASURE_PERIOD_BROKER_VALUE","DEEP_MEASURE_ID_OVERRIDE",$C98,"DEEP_BROKER_ID_OVERRIDE",$F$7,"DEEP_PERIOD_OVERRIDE",AJ$11)*1,"")))</f>
        <v/>
      </c>
      <c r="AK98" s="17" t="str">
        <f ca="1">IF(ISNA($B98),"",IF($B98="","",IFERROR(_xll.BDP(TICKER,"DEEP_MEASURE_PERIOD_BROKER_VALUE","DEEP_MEASURE_ID_OVERRIDE",$C98,"DEEP_BROKER_ID_OVERRIDE",$F$7,"DEEP_PERIOD_OVERRIDE",AK$11)*1,"")))</f>
        <v/>
      </c>
      <c r="AL98" s="17" t="str">
        <f ca="1">IF(ISNA($B98),"",IF($B98="","",IFERROR(_xll.BDP(TICKER,"DEEP_MEASURE_PERIOD_BROKER_VALUE","DEEP_MEASURE_ID_OVERRIDE",$C98,"DEEP_BROKER_ID_OVERRIDE",$F$7,"DEEP_PERIOD_OVERRIDE",AL$11)*1,"")))</f>
        <v/>
      </c>
      <c r="AM98" s="17" t="str">
        <f ca="1">IF(ISNA($B98),"",IF($B98="","",IFERROR(_xll.BDP(TICKER,"DEEP_MEASURE_PERIOD_BROKER_VALUE","DEEP_MEASURE_ID_OVERRIDE",$C98,"DEEP_BROKER_ID_OVERRIDE",$F$7,"DEEP_PERIOD_OVERRIDE",AM$11)*1,"")))</f>
        <v/>
      </c>
      <c r="AN98" s="17" t="str">
        <f ca="1">IF(ISNA($B98),"",IF($B98="","",IFERROR(_xll.BDP(TICKER,"DEEP_MEASURE_PERIOD_BROKER_VALUE","DEEP_MEASURE_ID_OVERRIDE",$C98,"DEEP_BROKER_ID_OVERRIDE",$F$7,"DEEP_PERIOD_OVERRIDE",AN$11)*1,"")))</f>
        <v/>
      </c>
      <c r="AO98" s="17" t="str">
        <f ca="1">IF(ISNA($B98),"",IF($B98="","",IFERROR(_xll.BDP(TICKER,"DEEP_MEASURE_PERIOD_BROKER_VALUE","DEEP_MEASURE_ID_OVERRIDE",$C98,"DEEP_BROKER_ID_OVERRIDE",$F$7,"DEEP_PERIOD_OVERRIDE",AO$11)*1,"")))</f>
        <v/>
      </c>
      <c r="AP98" s="17" t="str">
        <f ca="1">IF(ISNA($B98),"",IF($B98="","",IFERROR(_xll.BDP(TICKER,"DEEP_MEASURE_PERIOD_BROKER_VALUE","DEEP_MEASURE_ID_OVERRIDE",$C98,"DEEP_BROKER_ID_OVERRIDE",$F$7,"DEEP_PERIOD_OVERRIDE",AP$11)*1,"")))</f>
        <v/>
      </c>
      <c r="AQ98" s="17" t="str">
        <f ca="1">IF(ISNA($B98),"",IF($B98="","",IFERROR(_xll.BDP(TICKER,"DEEP_MEASURE_PERIOD_BROKER_VALUE","DEEP_MEASURE_ID_OVERRIDE",$C98,"DEEP_BROKER_ID_OVERRIDE",$F$7,"DEEP_PERIOD_OVERRIDE",AQ$11)*1,"")))</f>
        <v/>
      </c>
    </row>
    <row r="99" spans="2:43" x14ac:dyDescent="0.25">
      <c r="B99" t="s">
        <v>144</v>
      </c>
      <c r="C99" s="11">
        <v>383</v>
      </c>
      <c r="H99" t="str">
        <f t="shared" si="3"/>
        <v>Sales &amp; Marketing Expenses &gt; Selling &amp; Marketing Expense (ex-SBC) &gt; As % of Revenue</v>
      </c>
      <c r="I99" s="17" t="str">
        <f ca="1">IF(ISNA($B99),"",IF($B99="","",IFERROR(_xll.BDP(TICKER,"DEEP_MEASURE_PERIOD_BROKER_VALUE","DEEP_MEASURE_ID_OVERRIDE",$C99,"DEEP_BROKER_ID_OVERRIDE",$F$7,"DEEP_PERIOD_OVERRIDE",I$11)*1,"")))</f>
        <v/>
      </c>
      <c r="J99" s="17" t="str">
        <f ca="1">IF(ISNA($B99),"",IF($B99="","",IFERROR(_xll.BDP(TICKER,"DEEP_MEASURE_PERIOD_BROKER_VALUE","DEEP_MEASURE_ID_OVERRIDE",$C99,"DEEP_BROKER_ID_OVERRIDE",$F$7,"DEEP_PERIOD_OVERRIDE",J$11)*1,"")))</f>
        <v/>
      </c>
      <c r="K99" s="17" t="str">
        <f ca="1">IF(ISNA($B99),"",IF($B99="","",IFERROR(_xll.BDP(TICKER,"DEEP_MEASURE_PERIOD_BROKER_VALUE","DEEP_MEASURE_ID_OVERRIDE",$C99,"DEEP_BROKER_ID_OVERRIDE",$F$7,"DEEP_PERIOD_OVERRIDE",K$11)*1,"")))</f>
        <v/>
      </c>
      <c r="L99" s="17" t="str">
        <f ca="1">IF(ISNA($B99),"",IF($B99="","",IFERROR(_xll.BDP(TICKER,"DEEP_MEASURE_PERIOD_BROKER_VALUE","DEEP_MEASURE_ID_OVERRIDE",$C99,"DEEP_BROKER_ID_OVERRIDE",$F$7,"DEEP_PERIOD_OVERRIDE",L$11)*1,"")))</f>
        <v/>
      </c>
      <c r="M99" s="17" t="str">
        <f ca="1">IF(ISNA($B99),"",IF($B99="","",IFERROR(_xll.BDP(TICKER,"DEEP_MEASURE_PERIOD_BROKER_VALUE","DEEP_MEASURE_ID_OVERRIDE",$C99,"DEEP_BROKER_ID_OVERRIDE",$F$7,"DEEP_PERIOD_OVERRIDE",M$11)*1,"")))</f>
        <v/>
      </c>
      <c r="N99" s="17" t="str">
        <f ca="1">IF(ISNA($B99),"",IF($B99="","",IFERROR(_xll.BDP(TICKER,"DEEP_MEASURE_PERIOD_BROKER_VALUE","DEEP_MEASURE_ID_OVERRIDE",$C99,"DEEP_BROKER_ID_OVERRIDE",$F$7,"DEEP_PERIOD_OVERRIDE",N$11)*1,"")))</f>
        <v/>
      </c>
      <c r="O99" s="17" t="str">
        <f ca="1">IF(ISNA($B99),"",IF($B99="","",IFERROR(_xll.BDP(TICKER,"DEEP_MEASURE_PERIOD_BROKER_VALUE","DEEP_MEASURE_ID_OVERRIDE",$C99,"DEEP_BROKER_ID_OVERRIDE",$F$7,"DEEP_PERIOD_OVERRIDE",O$11)*1,"")))</f>
        <v/>
      </c>
      <c r="P99" s="17" t="str">
        <f ca="1">IF(ISNA($B99),"",IF($B99="","",IFERROR(_xll.BDP(TICKER,"DEEP_MEASURE_PERIOD_BROKER_VALUE","DEEP_MEASURE_ID_OVERRIDE",$C99,"DEEP_BROKER_ID_OVERRIDE",$F$7,"DEEP_PERIOD_OVERRIDE",P$11)*1,"")))</f>
        <v/>
      </c>
      <c r="Q99" s="17" t="str">
        <f ca="1">IF(ISNA($B99),"",IF($B99="","",IFERROR(_xll.BDP(TICKER,"DEEP_MEASURE_PERIOD_BROKER_VALUE","DEEP_MEASURE_ID_OVERRIDE",$C99,"DEEP_BROKER_ID_OVERRIDE",$F$7,"DEEP_PERIOD_OVERRIDE",Q$11)*1,"")))</f>
        <v/>
      </c>
      <c r="R99" s="17" t="str">
        <f ca="1">IF(ISNA($B99),"",IF($B99="","",IFERROR(_xll.BDP(TICKER,"DEEP_MEASURE_PERIOD_BROKER_VALUE","DEEP_MEASURE_ID_OVERRIDE",$C99,"DEEP_BROKER_ID_OVERRIDE",$F$7,"DEEP_PERIOD_OVERRIDE",R$11)*1,"")))</f>
        <v/>
      </c>
      <c r="S99" s="17" t="str">
        <f ca="1">IF(ISNA($B99),"",IF($B99="","",IFERROR(_xll.BDP(TICKER,"DEEP_MEASURE_PERIOD_BROKER_VALUE","DEEP_MEASURE_ID_OVERRIDE",$C99,"DEEP_BROKER_ID_OVERRIDE",$F$7,"DEEP_PERIOD_OVERRIDE",S$11)*1,"")))</f>
        <v/>
      </c>
      <c r="T99" s="17" t="str">
        <f ca="1">IF(ISNA($B99),"",IF($B99="","",IFERROR(_xll.BDP(TICKER,"DEEP_MEASURE_PERIOD_BROKER_VALUE","DEEP_MEASURE_ID_OVERRIDE",$C99,"DEEP_BROKER_ID_OVERRIDE",$F$7,"DEEP_PERIOD_OVERRIDE",T$11)*1,"")))</f>
        <v/>
      </c>
      <c r="U99" s="17" t="str">
        <f ca="1">IF(ISNA($B99),"",IF($B99="","",IFERROR(_xll.BDP(TICKER,"DEEP_MEASURE_PERIOD_BROKER_VALUE","DEEP_MEASURE_ID_OVERRIDE",$C99,"DEEP_BROKER_ID_OVERRIDE",$F$7,"DEEP_PERIOD_OVERRIDE",U$11)*1,"")))</f>
        <v/>
      </c>
      <c r="V99" s="17" t="str">
        <f ca="1">IF(ISNA($B99),"",IF($B99="","",IFERROR(_xll.BDP(TICKER,"DEEP_MEASURE_PERIOD_BROKER_VALUE","DEEP_MEASURE_ID_OVERRIDE",$C99,"DEEP_BROKER_ID_OVERRIDE",$F$7,"DEEP_PERIOD_OVERRIDE",V$11)*1,"")))</f>
        <v/>
      </c>
      <c r="W99" s="17" t="str">
        <f ca="1">IF(ISNA($B99),"",IF($B99="","",IFERROR(_xll.BDP(TICKER,"DEEP_MEASURE_PERIOD_BROKER_VALUE","DEEP_MEASURE_ID_OVERRIDE",$C99,"DEEP_BROKER_ID_OVERRIDE",$F$7,"DEEP_PERIOD_OVERRIDE",W$11)*1,"")))</f>
        <v/>
      </c>
      <c r="X99" s="17" t="str">
        <f ca="1">IF(ISNA($B99),"",IF($B99="","",IFERROR(_xll.BDP(TICKER,"DEEP_MEASURE_PERIOD_BROKER_VALUE","DEEP_MEASURE_ID_OVERRIDE",$C99,"DEEP_BROKER_ID_OVERRIDE",$F$7,"DEEP_PERIOD_OVERRIDE",X$11)*1,"")))</f>
        <v/>
      </c>
      <c r="Y99" s="17" t="str">
        <f ca="1">IF(ISNA($B99),"",IF($B99="","",IFERROR(_xll.BDP(TICKER,"DEEP_MEASURE_PERIOD_BROKER_VALUE","DEEP_MEASURE_ID_OVERRIDE",$C99,"DEEP_BROKER_ID_OVERRIDE",$F$7,"DEEP_PERIOD_OVERRIDE",Y$11)*1,"")))</f>
        <v/>
      </c>
      <c r="Z99" s="17" t="str">
        <f ca="1">IF(ISNA($B99),"",IF($B99="","",IFERROR(_xll.BDP(TICKER,"DEEP_MEASURE_PERIOD_BROKER_VALUE","DEEP_MEASURE_ID_OVERRIDE",$C99,"DEEP_BROKER_ID_OVERRIDE",$F$7,"DEEP_PERIOD_OVERRIDE",Z$11)*1,"")))</f>
        <v/>
      </c>
      <c r="AA99" s="17" t="str">
        <f ca="1">IF(ISNA($B99),"",IF($B99="","",IFERROR(_xll.BDP(TICKER,"DEEP_MEASURE_PERIOD_BROKER_VALUE","DEEP_MEASURE_ID_OVERRIDE",$C99,"DEEP_BROKER_ID_OVERRIDE",$F$7,"DEEP_PERIOD_OVERRIDE",AA$11)*1,"")))</f>
        <v/>
      </c>
      <c r="AB99" s="17" t="str">
        <f ca="1">IF(ISNA($B99),"",IF($B99="","",IFERROR(_xll.BDP(TICKER,"DEEP_MEASURE_PERIOD_BROKER_VALUE","DEEP_MEASURE_ID_OVERRIDE",$C99,"DEEP_BROKER_ID_OVERRIDE",$F$7,"DEEP_PERIOD_OVERRIDE",AB$11)*1,"")))</f>
        <v/>
      </c>
      <c r="AC99" s="17" t="str">
        <f ca="1">IF(ISNA($B99),"",IF($B99="","",IFERROR(_xll.BDP(TICKER,"DEEP_MEASURE_PERIOD_BROKER_VALUE","DEEP_MEASURE_ID_OVERRIDE",$C99,"DEEP_BROKER_ID_OVERRIDE",$F$7,"DEEP_PERIOD_OVERRIDE",AC$11)*1,"")))</f>
        <v/>
      </c>
      <c r="AD99" s="17" t="str">
        <f ca="1">IF(ISNA($B99),"",IF($B99="","",IFERROR(_xll.BDP(TICKER,"DEEP_MEASURE_PERIOD_BROKER_VALUE","DEEP_MEASURE_ID_OVERRIDE",$C99,"DEEP_BROKER_ID_OVERRIDE",$F$7,"DEEP_PERIOD_OVERRIDE",AD$11)*1,"")))</f>
        <v/>
      </c>
      <c r="AE99" s="17" t="str">
        <f ca="1">IF(ISNA($B99),"",IF($B99="","",IFERROR(_xll.BDP(TICKER,"DEEP_MEASURE_PERIOD_BROKER_VALUE","DEEP_MEASURE_ID_OVERRIDE",$C99,"DEEP_BROKER_ID_OVERRIDE",$F$7,"DEEP_PERIOD_OVERRIDE",AE$11)*1,"")))</f>
        <v/>
      </c>
      <c r="AF99" s="17" t="str">
        <f ca="1">IF(ISNA($B99),"",IF($B99="","",IFERROR(_xll.BDP(TICKER,"DEEP_MEASURE_PERIOD_BROKER_VALUE","DEEP_MEASURE_ID_OVERRIDE",$C99,"DEEP_BROKER_ID_OVERRIDE",$F$7,"DEEP_PERIOD_OVERRIDE",AF$11)*1,"")))</f>
        <v/>
      </c>
      <c r="AG99" s="17" t="str">
        <f ca="1">IF(ISNA($B99),"",IF($B99="","",IFERROR(_xll.BDP(TICKER,"DEEP_MEASURE_PERIOD_BROKER_VALUE","DEEP_MEASURE_ID_OVERRIDE",$C99,"DEEP_BROKER_ID_OVERRIDE",$F$7,"DEEP_PERIOD_OVERRIDE",AG$11)*1,"")))</f>
        <v/>
      </c>
      <c r="AH99" s="17" t="str">
        <f ca="1">IF(ISNA($B99),"",IF($B99="","",IFERROR(_xll.BDP(TICKER,"DEEP_MEASURE_PERIOD_BROKER_VALUE","DEEP_MEASURE_ID_OVERRIDE",$C99,"DEEP_BROKER_ID_OVERRIDE",$F$7,"DEEP_PERIOD_OVERRIDE",AH$11)*1,"")))</f>
        <v/>
      </c>
      <c r="AI99" s="17" t="str">
        <f ca="1">IF(ISNA($B99),"",IF($B99="","",IFERROR(_xll.BDP(TICKER,"DEEP_MEASURE_PERIOD_BROKER_VALUE","DEEP_MEASURE_ID_OVERRIDE",$C99,"DEEP_BROKER_ID_OVERRIDE",$F$7,"DEEP_PERIOD_OVERRIDE",AI$11)*1,"")))</f>
        <v/>
      </c>
      <c r="AJ99" s="17" t="str">
        <f ca="1">IF(ISNA($B99),"",IF($B99="","",IFERROR(_xll.BDP(TICKER,"DEEP_MEASURE_PERIOD_BROKER_VALUE","DEEP_MEASURE_ID_OVERRIDE",$C99,"DEEP_BROKER_ID_OVERRIDE",$F$7,"DEEP_PERIOD_OVERRIDE",AJ$11)*1,"")))</f>
        <v/>
      </c>
      <c r="AK99" s="17" t="str">
        <f ca="1">IF(ISNA($B99),"",IF($B99="","",IFERROR(_xll.BDP(TICKER,"DEEP_MEASURE_PERIOD_BROKER_VALUE","DEEP_MEASURE_ID_OVERRIDE",$C99,"DEEP_BROKER_ID_OVERRIDE",$F$7,"DEEP_PERIOD_OVERRIDE",AK$11)*1,"")))</f>
        <v/>
      </c>
      <c r="AL99" s="17" t="str">
        <f ca="1">IF(ISNA($B99),"",IF($B99="","",IFERROR(_xll.BDP(TICKER,"DEEP_MEASURE_PERIOD_BROKER_VALUE","DEEP_MEASURE_ID_OVERRIDE",$C99,"DEEP_BROKER_ID_OVERRIDE",$F$7,"DEEP_PERIOD_OVERRIDE",AL$11)*1,"")))</f>
        <v/>
      </c>
      <c r="AM99" s="17" t="str">
        <f ca="1">IF(ISNA($B99),"",IF($B99="","",IFERROR(_xll.BDP(TICKER,"DEEP_MEASURE_PERIOD_BROKER_VALUE","DEEP_MEASURE_ID_OVERRIDE",$C99,"DEEP_BROKER_ID_OVERRIDE",$F$7,"DEEP_PERIOD_OVERRIDE",AM$11)*1,"")))</f>
        <v/>
      </c>
      <c r="AN99" s="17" t="str">
        <f ca="1">IF(ISNA($B99),"",IF($B99="","",IFERROR(_xll.BDP(TICKER,"DEEP_MEASURE_PERIOD_BROKER_VALUE","DEEP_MEASURE_ID_OVERRIDE",$C99,"DEEP_BROKER_ID_OVERRIDE",$F$7,"DEEP_PERIOD_OVERRIDE",AN$11)*1,"")))</f>
        <v/>
      </c>
      <c r="AO99" s="17" t="str">
        <f ca="1">IF(ISNA($B99),"",IF($B99="","",IFERROR(_xll.BDP(TICKER,"DEEP_MEASURE_PERIOD_BROKER_VALUE","DEEP_MEASURE_ID_OVERRIDE",$C99,"DEEP_BROKER_ID_OVERRIDE",$F$7,"DEEP_PERIOD_OVERRIDE",AO$11)*1,"")))</f>
        <v/>
      </c>
      <c r="AP99" s="17" t="str">
        <f ca="1">IF(ISNA($B99),"",IF($B99="","",IFERROR(_xll.BDP(TICKER,"DEEP_MEASURE_PERIOD_BROKER_VALUE","DEEP_MEASURE_ID_OVERRIDE",$C99,"DEEP_BROKER_ID_OVERRIDE",$F$7,"DEEP_PERIOD_OVERRIDE",AP$11)*1,"")))</f>
        <v/>
      </c>
      <c r="AQ99" s="17" t="str">
        <f ca="1">IF(ISNA($B99),"",IF($B99="","",IFERROR(_xll.BDP(TICKER,"DEEP_MEASURE_PERIOD_BROKER_VALUE","DEEP_MEASURE_ID_OVERRIDE",$C99,"DEEP_BROKER_ID_OVERRIDE",$F$7,"DEEP_PERIOD_OVERRIDE",AQ$11)*1,"")))</f>
        <v/>
      </c>
    </row>
    <row r="100" spans="2:43" x14ac:dyDescent="0.25">
      <c r="B100" t="s">
        <v>145</v>
      </c>
      <c r="C100" s="11">
        <v>1712</v>
      </c>
      <c r="H100" t="str">
        <f t="shared" si="3"/>
        <v>Sales &amp; Marketing Expenses &gt; Selling &amp; Marketing Expense (ex-SBC) &gt; YoY Growth (%)</v>
      </c>
      <c r="I100" s="17" t="str">
        <f ca="1">IF(ISNA($B100),"",IF($B100="","",IFERROR(_xll.BDP(TICKER,"DEEP_MEASURE_PERIOD_BROKER_VALUE","DEEP_MEASURE_ID_OVERRIDE",$C100,"DEEP_BROKER_ID_OVERRIDE",$F$7,"DEEP_PERIOD_OVERRIDE",I$11)*1,"")))</f>
        <v/>
      </c>
      <c r="J100" s="17" t="str">
        <f ca="1">IF(ISNA($B100),"",IF($B100="","",IFERROR(_xll.BDP(TICKER,"DEEP_MEASURE_PERIOD_BROKER_VALUE","DEEP_MEASURE_ID_OVERRIDE",$C100,"DEEP_BROKER_ID_OVERRIDE",$F$7,"DEEP_PERIOD_OVERRIDE",J$11)*1,"")))</f>
        <v/>
      </c>
      <c r="K100" s="17" t="str">
        <f ca="1">IF(ISNA($B100),"",IF($B100="","",IFERROR(_xll.BDP(TICKER,"DEEP_MEASURE_PERIOD_BROKER_VALUE","DEEP_MEASURE_ID_OVERRIDE",$C100,"DEEP_BROKER_ID_OVERRIDE",$F$7,"DEEP_PERIOD_OVERRIDE",K$11)*1,"")))</f>
        <v/>
      </c>
      <c r="L100" s="17" t="str">
        <f ca="1">IF(ISNA($B100),"",IF($B100="","",IFERROR(_xll.BDP(TICKER,"DEEP_MEASURE_PERIOD_BROKER_VALUE","DEEP_MEASURE_ID_OVERRIDE",$C100,"DEEP_BROKER_ID_OVERRIDE",$F$7,"DEEP_PERIOD_OVERRIDE",L$11)*1,"")))</f>
        <v/>
      </c>
      <c r="M100" s="17" t="str">
        <f ca="1">IF(ISNA($B100),"",IF($B100="","",IFERROR(_xll.BDP(TICKER,"DEEP_MEASURE_PERIOD_BROKER_VALUE","DEEP_MEASURE_ID_OVERRIDE",$C100,"DEEP_BROKER_ID_OVERRIDE",$F$7,"DEEP_PERIOD_OVERRIDE",M$11)*1,"")))</f>
        <v/>
      </c>
      <c r="N100" s="17" t="str">
        <f ca="1">IF(ISNA($B100),"",IF($B100="","",IFERROR(_xll.BDP(TICKER,"DEEP_MEASURE_PERIOD_BROKER_VALUE","DEEP_MEASURE_ID_OVERRIDE",$C100,"DEEP_BROKER_ID_OVERRIDE",$F$7,"DEEP_PERIOD_OVERRIDE",N$11)*1,"")))</f>
        <v/>
      </c>
      <c r="O100" s="17" t="str">
        <f ca="1">IF(ISNA($B100),"",IF($B100="","",IFERROR(_xll.BDP(TICKER,"DEEP_MEASURE_PERIOD_BROKER_VALUE","DEEP_MEASURE_ID_OVERRIDE",$C100,"DEEP_BROKER_ID_OVERRIDE",$F$7,"DEEP_PERIOD_OVERRIDE",O$11)*1,"")))</f>
        <v/>
      </c>
      <c r="P100" s="17" t="str">
        <f ca="1">IF(ISNA($B100),"",IF($B100="","",IFERROR(_xll.BDP(TICKER,"DEEP_MEASURE_PERIOD_BROKER_VALUE","DEEP_MEASURE_ID_OVERRIDE",$C100,"DEEP_BROKER_ID_OVERRIDE",$F$7,"DEEP_PERIOD_OVERRIDE",P$11)*1,"")))</f>
        <v/>
      </c>
      <c r="Q100" s="17" t="str">
        <f ca="1">IF(ISNA($B100),"",IF($B100="","",IFERROR(_xll.BDP(TICKER,"DEEP_MEASURE_PERIOD_BROKER_VALUE","DEEP_MEASURE_ID_OVERRIDE",$C100,"DEEP_BROKER_ID_OVERRIDE",$F$7,"DEEP_PERIOD_OVERRIDE",Q$11)*1,"")))</f>
        <v/>
      </c>
      <c r="R100" s="17" t="str">
        <f ca="1">IF(ISNA($B100),"",IF($B100="","",IFERROR(_xll.BDP(TICKER,"DEEP_MEASURE_PERIOD_BROKER_VALUE","DEEP_MEASURE_ID_OVERRIDE",$C100,"DEEP_BROKER_ID_OVERRIDE",$F$7,"DEEP_PERIOD_OVERRIDE",R$11)*1,"")))</f>
        <v/>
      </c>
      <c r="S100" s="17" t="str">
        <f ca="1">IF(ISNA($B100),"",IF($B100="","",IFERROR(_xll.BDP(TICKER,"DEEP_MEASURE_PERIOD_BROKER_VALUE","DEEP_MEASURE_ID_OVERRIDE",$C100,"DEEP_BROKER_ID_OVERRIDE",$F$7,"DEEP_PERIOD_OVERRIDE",S$11)*1,"")))</f>
        <v/>
      </c>
      <c r="T100" s="17" t="str">
        <f ca="1">IF(ISNA($B100),"",IF($B100="","",IFERROR(_xll.BDP(TICKER,"DEEP_MEASURE_PERIOD_BROKER_VALUE","DEEP_MEASURE_ID_OVERRIDE",$C100,"DEEP_BROKER_ID_OVERRIDE",$F$7,"DEEP_PERIOD_OVERRIDE",T$11)*1,"")))</f>
        <v/>
      </c>
      <c r="U100" s="17" t="str">
        <f ca="1">IF(ISNA($B100),"",IF($B100="","",IFERROR(_xll.BDP(TICKER,"DEEP_MEASURE_PERIOD_BROKER_VALUE","DEEP_MEASURE_ID_OVERRIDE",$C100,"DEEP_BROKER_ID_OVERRIDE",$F$7,"DEEP_PERIOD_OVERRIDE",U$11)*1,"")))</f>
        <v/>
      </c>
      <c r="V100" s="17" t="str">
        <f ca="1">IF(ISNA($B100),"",IF($B100="","",IFERROR(_xll.BDP(TICKER,"DEEP_MEASURE_PERIOD_BROKER_VALUE","DEEP_MEASURE_ID_OVERRIDE",$C100,"DEEP_BROKER_ID_OVERRIDE",$F$7,"DEEP_PERIOD_OVERRIDE",V$11)*1,"")))</f>
        <v/>
      </c>
      <c r="W100" s="17" t="str">
        <f ca="1">IF(ISNA($B100),"",IF($B100="","",IFERROR(_xll.BDP(TICKER,"DEEP_MEASURE_PERIOD_BROKER_VALUE","DEEP_MEASURE_ID_OVERRIDE",$C100,"DEEP_BROKER_ID_OVERRIDE",$F$7,"DEEP_PERIOD_OVERRIDE",W$11)*1,"")))</f>
        <v/>
      </c>
      <c r="X100" s="17" t="str">
        <f ca="1">IF(ISNA($B100),"",IF($B100="","",IFERROR(_xll.BDP(TICKER,"DEEP_MEASURE_PERIOD_BROKER_VALUE","DEEP_MEASURE_ID_OVERRIDE",$C100,"DEEP_BROKER_ID_OVERRIDE",$F$7,"DEEP_PERIOD_OVERRIDE",X$11)*1,"")))</f>
        <v/>
      </c>
      <c r="Y100" s="17" t="str">
        <f ca="1">IF(ISNA($B100),"",IF($B100="","",IFERROR(_xll.BDP(TICKER,"DEEP_MEASURE_PERIOD_BROKER_VALUE","DEEP_MEASURE_ID_OVERRIDE",$C100,"DEEP_BROKER_ID_OVERRIDE",$F$7,"DEEP_PERIOD_OVERRIDE",Y$11)*1,"")))</f>
        <v/>
      </c>
      <c r="Z100" s="17" t="str">
        <f ca="1">IF(ISNA($B100),"",IF($B100="","",IFERROR(_xll.BDP(TICKER,"DEEP_MEASURE_PERIOD_BROKER_VALUE","DEEP_MEASURE_ID_OVERRIDE",$C100,"DEEP_BROKER_ID_OVERRIDE",$F$7,"DEEP_PERIOD_OVERRIDE",Z$11)*1,"")))</f>
        <v/>
      </c>
      <c r="AA100" s="17" t="str">
        <f ca="1">IF(ISNA($B100),"",IF($B100="","",IFERROR(_xll.BDP(TICKER,"DEEP_MEASURE_PERIOD_BROKER_VALUE","DEEP_MEASURE_ID_OVERRIDE",$C100,"DEEP_BROKER_ID_OVERRIDE",$F$7,"DEEP_PERIOD_OVERRIDE",AA$11)*1,"")))</f>
        <v/>
      </c>
      <c r="AB100" s="17" t="str">
        <f ca="1">IF(ISNA($B100),"",IF($B100="","",IFERROR(_xll.BDP(TICKER,"DEEP_MEASURE_PERIOD_BROKER_VALUE","DEEP_MEASURE_ID_OVERRIDE",$C100,"DEEP_BROKER_ID_OVERRIDE",$F$7,"DEEP_PERIOD_OVERRIDE",AB$11)*1,"")))</f>
        <v/>
      </c>
      <c r="AC100" s="17" t="str">
        <f ca="1">IF(ISNA($B100),"",IF($B100="","",IFERROR(_xll.BDP(TICKER,"DEEP_MEASURE_PERIOD_BROKER_VALUE","DEEP_MEASURE_ID_OVERRIDE",$C100,"DEEP_BROKER_ID_OVERRIDE",$F$7,"DEEP_PERIOD_OVERRIDE",AC$11)*1,"")))</f>
        <v/>
      </c>
      <c r="AD100" s="17" t="str">
        <f ca="1">IF(ISNA($B100),"",IF($B100="","",IFERROR(_xll.BDP(TICKER,"DEEP_MEASURE_PERIOD_BROKER_VALUE","DEEP_MEASURE_ID_OVERRIDE",$C100,"DEEP_BROKER_ID_OVERRIDE",$F$7,"DEEP_PERIOD_OVERRIDE",AD$11)*1,"")))</f>
        <v/>
      </c>
      <c r="AE100" s="17" t="str">
        <f ca="1">IF(ISNA($B100),"",IF($B100="","",IFERROR(_xll.BDP(TICKER,"DEEP_MEASURE_PERIOD_BROKER_VALUE","DEEP_MEASURE_ID_OVERRIDE",$C100,"DEEP_BROKER_ID_OVERRIDE",$F$7,"DEEP_PERIOD_OVERRIDE",AE$11)*1,"")))</f>
        <v/>
      </c>
      <c r="AF100" s="17" t="str">
        <f ca="1">IF(ISNA($B100),"",IF($B100="","",IFERROR(_xll.BDP(TICKER,"DEEP_MEASURE_PERIOD_BROKER_VALUE","DEEP_MEASURE_ID_OVERRIDE",$C100,"DEEP_BROKER_ID_OVERRIDE",$F$7,"DEEP_PERIOD_OVERRIDE",AF$11)*1,"")))</f>
        <v/>
      </c>
      <c r="AG100" s="17" t="str">
        <f ca="1">IF(ISNA($B100),"",IF($B100="","",IFERROR(_xll.BDP(TICKER,"DEEP_MEASURE_PERIOD_BROKER_VALUE","DEEP_MEASURE_ID_OVERRIDE",$C100,"DEEP_BROKER_ID_OVERRIDE",$F$7,"DEEP_PERIOD_OVERRIDE",AG$11)*1,"")))</f>
        <v/>
      </c>
      <c r="AH100" s="17" t="str">
        <f ca="1">IF(ISNA($B100),"",IF($B100="","",IFERROR(_xll.BDP(TICKER,"DEEP_MEASURE_PERIOD_BROKER_VALUE","DEEP_MEASURE_ID_OVERRIDE",$C100,"DEEP_BROKER_ID_OVERRIDE",$F$7,"DEEP_PERIOD_OVERRIDE",AH$11)*1,"")))</f>
        <v/>
      </c>
      <c r="AI100" s="17" t="str">
        <f ca="1">IF(ISNA($B100),"",IF($B100="","",IFERROR(_xll.BDP(TICKER,"DEEP_MEASURE_PERIOD_BROKER_VALUE","DEEP_MEASURE_ID_OVERRIDE",$C100,"DEEP_BROKER_ID_OVERRIDE",$F$7,"DEEP_PERIOD_OVERRIDE",AI$11)*1,"")))</f>
        <v/>
      </c>
      <c r="AJ100" s="17" t="str">
        <f ca="1">IF(ISNA($B100),"",IF($B100="","",IFERROR(_xll.BDP(TICKER,"DEEP_MEASURE_PERIOD_BROKER_VALUE","DEEP_MEASURE_ID_OVERRIDE",$C100,"DEEP_BROKER_ID_OVERRIDE",$F$7,"DEEP_PERIOD_OVERRIDE",AJ$11)*1,"")))</f>
        <v/>
      </c>
      <c r="AK100" s="17" t="str">
        <f ca="1">IF(ISNA($B100),"",IF($B100="","",IFERROR(_xll.BDP(TICKER,"DEEP_MEASURE_PERIOD_BROKER_VALUE","DEEP_MEASURE_ID_OVERRIDE",$C100,"DEEP_BROKER_ID_OVERRIDE",$F$7,"DEEP_PERIOD_OVERRIDE",AK$11)*1,"")))</f>
        <v/>
      </c>
      <c r="AL100" s="17" t="str">
        <f ca="1">IF(ISNA($B100),"",IF($B100="","",IFERROR(_xll.BDP(TICKER,"DEEP_MEASURE_PERIOD_BROKER_VALUE","DEEP_MEASURE_ID_OVERRIDE",$C100,"DEEP_BROKER_ID_OVERRIDE",$F$7,"DEEP_PERIOD_OVERRIDE",AL$11)*1,"")))</f>
        <v/>
      </c>
      <c r="AM100" s="17" t="str">
        <f ca="1">IF(ISNA($B100),"",IF($B100="","",IFERROR(_xll.BDP(TICKER,"DEEP_MEASURE_PERIOD_BROKER_VALUE","DEEP_MEASURE_ID_OVERRIDE",$C100,"DEEP_BROKER_ID_OVERRIDE",$F$7,"DEEP_PERIOD_OVERRIDE",AM$11)*1,"")))</f>
        <v/>
      </c>
      <c r="AN100" s="17" t="str">
        <f ca="1">IF(ISNA($B100),"",IF($B100="","",IFERROR(_xll.BDP(TICKER,"DEEP_MEASURE_PERIOD_BROKER_VALUE","DEEP_MEASURE_ID_OVERRIDE",$C100,"DEEP_BROKER_ID_OVERRIDE",$F$7,"DEEP_PERIOD_OVERRIDE",AN$11)*1,"")))</f>
        <v/>
      </c>
      <c r="AO100" s="17" t="str">
        <f ca="1">IF(ISNA($B100),"",IF($B100="","",IFERROR(_xll.BDP(TICKER,"DEEP_MEASURE_PERIOD_BROKER_VALUE","DEEP_MEASURE_ID_OVERRIDE",$C100,"DEEP_BROKER_ID_OVERRIDE",$F$7,"DEEP_PERIOD_OVERRIDE",AO$11)*1,"")))</f>
        <v/>
      </c>
      <c r="AP100" s="17" t="str">
        <f ca="1">IF(ISNA($B100),"",IF($B100="","",IFERROR(_xll.BDP(TICKER,"DEEP_MEASURE_PERIOD_BROKER_VALUE","DEEP_MEASURE_ID_OVERRIDE",$C100,"DEEP_BROKER_ID_OVERRIDE",$F$7,"DEEP_PERIOD_OVERRIDE",AP$11)*1,"")))</f>
        <v/>
      </c>
      <c r="AQ100" s="17" t="str">
        <f ca="1">IF(ISNA($B100),"",IF($B100="","",IFERROR(_xll.BDP(TICKER,"DEEP_MEASURE_PERIOD_BROKER_VALUE","DEEP_MEASURE_ID_OVERRIDE",$C100,"DEEP_BROKER_ID_OVERRIDE",$F$7,"DEEP_PERIOD_OVERRIDE",AQ$11)*1,"")))</f>
        <v/>
      </c>
    </row>
    <row r="101" spans="2:43" x14ac:dyDescent="0.25">
      <c r="B101" t="s">
        <v>146</v>
      </c>
      <c r="C101" s="11">
        <v>341</v>
      </c>
      <c r="H101" t="str">
        <f t="shared" si="3"/>
        <v>Sales &amp; Marketing Expenses &gt; Stock Based Compensation (Non-GAAP)</v>
      </c>
      <c r="I101" s="17" t="str">
        <f ca="1">IF(ISNA($B101),"",IF($B101="","",IFERROR(_xll.BDP(TICKER,"DEEP_MEASURE_PERIOD_BROKER_VALUE","DEEP_MEASURE_ID_OVERRIDE",$C101,"DEEP_BROKER_ID_OVERRIDE",$F$7,"DEEP_PERIOD_OVERRIDE",I$11)*1,"")))</f>
        <v/>
      </c>
      <c r="J101" s="17" t="str">
        <f ca="1">IF(ISNA($B101),"",IF($B101="","",IFERROR(_xll.BDP(TICKER,"DEEP_MEASURE_PERIOD_BROKER_VALUE","DEEP_MEASURE_ID_OVERRIDE",$C101,"DEEP_BROKER_ID_OVERRIDE",$F$7,"DEEP_PERIOD_OVERRIDE",J$11)*1,"")))</f>
        <v/>
      </c>
      <c r="K101" s="17" t="str">
        <f ca="1">IF(ISNA($B101),"",IF($B101="","",IFERROR(_xll.BDP(TICKER,"DEEP_MEASURE_PERIOD_BROKER_VALUE","DEEP_MEASURE_ID_OVERRIDE",$C101,"DEEP_BROKER_ID_OVERRIDE",$F$7,"DEEP_PERIOD_OVERRIDE",K$11)*1,"")))</f>
        <v/>
      </c>
      <c r="L101" s="17" t="str">
        <f ca="1">IF(ISNA($B101),"",IF($B101="","",IFERROR(_xll.BDP(TICKER,"DEEP_MEASURE_PERIOD_BROKER_VALUE","DEEP_MEASURE_ID_OVERRIDE",$C101,"DEEP_BROKER_ID_OVERRIDE",$F$7,"DEEP_PERIOD_OVERRIDE",L$11)*1,"")))</f>
        <v/>
      </c>
      <c r="M101" s="17" t="str">
        <f ca="1">IF(ISNA($B101),"",IF($B101="","",IFERROR(_xll.BDP(TICKER,"DEEP_MEASURE_PERIOD_BROKER_VALUE","DEEP_MEASURE_ID_OVERRIDE",$C101,"DEEP_BROKER_ID_OVERRIDE",$F$7,"DEEP_PERIOD_OVERRIDE",M$11)*1,"")))</f>
        <v/>
      </c>
      <c r="N101" s="17" t="str">
        <f ca="1">IF(ISNA($B101),"",IF($B101="","",IFERROR(_xll.BDP(TICKER,"DEEP_MEASURE_PERIOD_BROKER_VALUE","DEEP_MEASURE_ID_OVERRIDE",$C101,"DEEP_BROKER_ID_OVERRIDE",$F$7,"DEEP_PERIOD_OVERRIDE",N$11)*1,"")))</f>
        <v/>
      </c>
      <c r="O101" s="17" t="str">
        <f ca="1">IF(ISNA($B101),"",IF($B101="","",IFERROR(_xll.BDP(TICKER,"DEEP_MEASURE_PERIOD_BROKER_VALUE","DEEP_MEASURE_ID_OVERRIDE",$C101,"DEEP_BROKER_ID_OVERRIDE",$F$7,"DEEP_PERIOD_OVERRIDE",O$11)*1,"")))</f>
        <v/>
      </c>
      <c r="P101" s="17" t="str">
        <f ca="1">IF(ISNA($B101),"",IF($B101="","",IFERROR(_xll.BDP(TICKER,"DEEP_MEASURE_PERIOD_BROKER_VALUE","DEEP_MEASURE_ID_OVERRIDE",$C101,"DEEP_BROKER_ID_OVERRIDE",$F$7,"DEEP_PERIOD_OVERRIDE",P$11)*1,"")))</f>
        <v/>
      </c>
      <c r="Q101" s="17" t="str">
        <f ca="1">IF(ISNA($B101),"",IF($B101="","",IFERROR(_xll.BDP(TICKER,"DEEP_MEASURE_PERIOD_BROKER_VALUE","DEEP_MEASURE_ID_OVERRIDE",$C101,"DEEP_BROKER_ID_OVERRIDE",$F$7,"DEEP_PERIOD_OVERRIDE",Q$11)*1,"")))</f>
        <v/>
      </c>
      <c r="R101" s="17" t="str">
        <f ca="1">IF(ISNA($B101),"",IF($B101="","",IFERROR(_xll.BDP(TICKER,"DEEP_MEASURE_PERIOD_BROKER_VALUE","DEEP_MEASURE_ID_OVERRIDE",$C101,"DEEP_BROKER_ID_OVERRIDE",$F$7,"DEEP_PERIOD_OVERRIDE",R$11)*1,"")))</f>
        <v/>
      </c>
      <c r="S101" s="17" t="str">
        <f ca="1">IF(ISNA($B101),"",IF($B101="","",IFERROR(_xll.BDP(TICKER,"DEEP_MEASURE_PERIOD_BROKER_VALUE","DEEP_MEASURE_ID_OVERRIDE",$C101,"DEEP_BROKER_ID_OVERRIDE",$F$7,"DEEP_PERIOD_OVERRIDE",S$11)*1,"")))</f>
        <v/>
      </c>
      <c r="T101" s="17" t="str">
        <f ca="1">IF(ISNA($B101),"",IF($B101="","",IFERROR(_xll.BDP(TICKER,"DEEP_MEASURE_PERIOD_BROKER_VALUE","DEEP_MEASURE_ID_OVERRIDE",$C101,"DEEP_BROKER_ID_OVERRIDE",$F$7,"DEEP_PERIOD_OVERRIDE",T$11)*1,"")))</f>
        <v/>
      </c>
      <c r="U101" s="17" t="str">
        <f ca="1">IF(ISNA($B101),"",IF($B101="","",IFERROR(_xll.BDP(TICKER,"DEEP_MEASURE_PERIOD_BROKER_VALUE","DEEP_MEASURE_ID_OVERRIDE",$C101,"DEEP_BROKER_ID_OVERRIDE",$F$7,"DEEP_PERIOD_OVERRIDE",U$11)*1,"")))</f>
        <v/>
      </c>
      <c r="V101" s="17" t="str">
        <f ca="1">IF(ISNA($B101),"",IF($B101="","",IFERROR(_xll.BDP(TICKER,"DEEP_MEASURE_PERIOD_BROKER_VALUE","DEEP_MEASURE_ID_OVERRIDE",$C101,"DEEP_BROKER_ID_OVERRIDE",$F$7,"DEEP_PERIOD_OVERRIDE",V$11)*1,"")))</f>
        <v/>
      </c>
      <c r="W101" s="17" t="str">
        <f ca="1">IF(ISNA($B101),"",IF($B101="","",IFERROR(_xll.BDP(TICKER,"DEEP_MEASURE_PERIOD_BROKER_VALUE","DEEP_MEASURE_ID_OVERRIDE",$C101,"DEEP_BROKER_ID_OVERRIDE",$F$7,"DEEP_PERIOD_OVERRIDE",W$11)*1,"")))</f>
        <v/>
      </c>
      <c r="X101" s="17" t="str">
        <f ca="1">IF(ISNA($B101),"",IF($B101="","",IFERROR(_xll.BDP(TICKER,"DEEP_MEASURE_PERIOD_BROKER_VALUE","DEEP_MEASURE_ID_OVERRIDE",$C101,"DEEP_BROKER_ID_OVERRIDE",$F$7,"DEEP_PERIOD_OVERRIDE",X$11)*1,"")))</f>
        <v/>
      </c>
      <c r="Y101" s="17" t="str">
        <f ca="1">IF(ISNA($B101),"",IF($B101="","",IFERROR(_xll.BDP(TICKER,"DEEP_MEASURE_PERIOD_BROKER_VALUE","DEEP_MEASURE_ID_OVERRIDE",$C101,"DEEP_BROKER_ID_OVERRIDE",$F$7,"DEEP_PERIOD_OVERRIDE",Y$11)*1,"")))</f>
        <v/>
      </c>
      <c r="Z101" s="17" t="str">
        <f ca="1">IF(ISNA($B101),"",IF($B101="","",IFERROR(_xll.BDP(TICKER,"DEEP_MEASURE_PERIOD_BROKER_VALUE","DEEP_MEASURE_ID_OVERRIDE",$C101,"DEEP_BROKER_ID_OVERRIDE",$F$7,"DEEP_PERIOD_OVERRIDE",Z$11)*1,"")))</f>
        <v/>
      </c>
      <c r="AA101" s="17" t="str">
        <f ca="1">IF(ISNA($B101),"",IF($B101="","",IFERROR(_xll.BDP(TICKER,"DEEP_MEASURE_PERIOD_BROKER_VALUE","DEEP_MEASURE_ID_OVERRIDE",$C101,"DEEP_BROKER_ID_OVERRIDE",$F$7,"DEEP_PERIOD_OVERRIDE",AA$11)*1,"")))</f>
        <v/>
      </c>
      <c r="AB101" s="17" t="str">
        <f ca="1">IF(ISNA($B101),"",IF($B101="","",IFERROR(_xll.BDP(TICKER,"DEEP_MEASURE_PERIOD_BROKER_VALUE","DEEP_MEASURE_ID_OVERRIDE",$C101,"DEEP_BROKER_ID_OVERRIDE",$F$7,"DEEP_PERIOD_OVERRIDE",AB$11)*1,"")))</f>
        <v/>
      </c>
      <c r="AC101" s="17" t="str">
        <f ca="1">IF(ISNA($B101),"",IF($B101="","",IFERROR(_xll.BDP(TICKER,"DEEP_MEASURE_PERIOD_BROKER_VALUE","DEEP_MEASURE_ID_OVERRIDE",$C101,"DEEP_BROKER_ID_OVERRIDE",$F$7,"DEEP_PERIOD_OVERRIDE",AC$11)*1,"")))</f>
        <v/>
      </c>
      <c r="AD101" s="17" t="str">
        <f ca="1">IF(ISNA($B101),"",IF($B101="","",IFERROR(_xll.BDP(TICKER,"DEEP_MEASURE_PERIOD_BROKER_VALUE","DEEP_MEASURE_ID_OVERRIDE",$C101,"DEEP_BROKER_ID_OVERRIDE",$F$7,"DEEP_PERIOD_OVERRIDE",AD$11)*1,"")))</f>
        <v/>
      </c>
      <c r="AE101" s="17" t="str">
        <f ca="1">IF(ISNA($B101),"",IF($B101="","",IFERROR(_xll.BDP(TICKER,"DEEP_MEASURE_PERIOD_BROKER_VALUE","DEEP_MEASURE_ID_OVERRIDE",$C101,"DEEP_BROKER_ID_OVERRIDE",$F$7,"DEEP_PERIOD_OVERRIDE",AE$11)*1,"")))</f>
        <v/>
      </c>
      <c r="AF101" s="17" t="str">
        <f ca="1">IF(ISNA($B101),"",IF($B101="","",IFERROR(_xll.BDP(TICKER,"DEEP_MEASURE_PERIOD_BROKER_VALUE","DEEP_MEASURE_ID_OVERRIDE",$C101,"DEEP_BROKER_ID_OVERRIDE",$F$7,"DEEP_PERIOD_OVERRIDE",AF$11)*1,"")))</f>
        <v/>
      </c>
      <c r="AG101" s="17" t="str">
        <f ca="1">IF(ISNA($B101),"",IF($B101="","",IFERROR(_xll.BDP(TICKER,"DEEP_MEASURE_PERIOD_BROKER_VALUE","DEEP_MEASURE_ID_OVERRIDE",$C101,"DEEP_BROKER_ID_OVERRIDE",$F$7,"DEEP_PERIOD_OVERRIDE",AG$11)*1,"")))</f>
        <v/>
      </c>
      <c r="AH101" s="17" t="str">
        <f ca="1">IF(ISNA($B101),"",IF($B101="","",IFERROR(_xll.BDP(TICKER,"DEEP_MEASURE_PERIOD_BROKER_VALUE","DEEP_MEASURE_ID_OVERRIDE",$C101,"DEEP_BROKER_ID_OVERRIDE",$F$7,"DEEP_PERIOD_OVERRIDE",AH$11)*1,"")))</f>
        <v/>
      </c>
      <c r="AI101" s="17" t="str">
        <f ca="1">IF(ISNA($B101),"",IF($B101="","",IFERROR(_xll.BDP(TICKER,"DEEP_MEASURE_PERIOD_BROKER_VALUE","DEEP_MEASURE_ID_OVERRIDE",$C101,"DEEP_BROKER_ID_OVERRIDE",$F$7,"DEEP_PERIOD_OVERRIDE",AI$11)*1,"")))</f>
        <v/>
      </c>
      <c r="AJ101" s="17" t="str">
        <f ca="1">IF(ISNA($B101),"",IF($B101="","",IFERROR(_xll.BDP(TICKER,"DEEP_MEASURE_PERIOD_BROKER_VALUE","DEEP_MEASURE_ID_OVERRIDE",$C101,"DEEP_BROKER_ID_OVERRIDE",$F$7,"DEEP_PERIOD_OVERRIDE",AJ$11)*1,"")))</f>
        <v/>
      </c>
      <c r="AK101" s="17" t="str">
        <f ca="1">IF(ISNA($B101),"",IF($B101="","",IFERROR(_xll.BDP(TICKER,"DEEP_MEASURE_PERIOD_BROKER_VALUE","DEEP_MEASURE_ID_OVERRIDE",$C101,"DEEP_BROKER_ID_OVERRIDE",$F$7,"DEEP_PERIOD_OVERRIDE",AK$11)*1,"")))</f>
        <v/>
      </c>
      <c r="AL101" s="17" t="str">
        <f ca="1">IF(ISNA($B101),"",IF($B101="","",IFERROR(_xll.BDP(TICKER,"DEEP_MEASURE_PERIOD_BROKER_VALUE","DEEP_MEASURE_ID_OVERRIDE",$C101,"DEEP_BROKER_ID_OVERRIDE",$F$7,"DEEP_PERIOD_OVERRIDE",AL$11)*1,"")))</f>
        <v/>
      </c>
      <c r="AM101" s="17" t="str">
        <f ca="1">IF(ISNA($B101),"",IF($B101="","",IFERROR(_xll.BDP(TICKER,"DEEP_MEASURE_PERIOD_BROKER_VALUE","DEEP_MEASURE_ID_OVERRIDE",$C101,"DEEP_BROKER_ID_OVERRIDE",$F$7,"DEEP_PERIOD_OVERRIDE",AM$11)*1,"")))</f>
        <v/>
      </c>
      <c r="AN101" s="17" t="str">
        <f ca="1">IF(ISNA($B101),"",IF($B101="","",IFERROR(_xll.BDP(TICKER,"DEEP_MEASURE_PERIOD_BROKER_VALUE","DEEP_MEASURE_ID_OVERRIDE",$C101,"DEEP_BROKER_ID_OVERRIDE",$F$7,"DEEP_PERIOD_OVERRIDE",AN$11)*1,"")))</f>
        <v/>
      </c>
      <c r="AO101" s="17" t="str">
        <f ca="1">IF(ISNA($B101),"",IF($B101="","",IFERROR(_xll.BDP(TICKER,"DEEP_MEASURE_PERIOD_BROKER_VALUE","DEEP_MEASURE_ID_OVERRIDE",$C101,"DEEP_BROKER_ID_OVERRIDE",$F$7,"DEEP_PERIOD_OVERRIDE",AO$11)*1,"")))</f>
        <v/>
      </c>
      <c r="AP101" s="17" t="str">
        <f ca="1">IF(ISNA($B101),"",IF($B101="","",IFERROR(_xll.BDP(TICKER,"DEEP_MEASURE_PERIOD_BROKER_VALUE","DEEP_MEASURE_ID_OVERRIDE",$C101,"DEEP_BROKER_ID_OVERRIDE",$F$7,"DEEP_PERIOD_OVERRIDE",AP$11)*1,"")))</f>
        <v/>
      </c>
      <c r="AQ101" s="17" t="str">
        <f ca="1">IF(ISNA($B101),"",IF($B101="","",IFERROR(_xll.BDP(TICKER,"DEEP_MEASURE_PERIOD_BROKER_VALUE","DEEP_MEASURE_ID_OVERRIDE",$C101,"DEEP_BROKER_ID_OVERRIDE",$F$7,"DEEP_PERIOD_OVERRIDE",AQ$11)*1,"")))</f>
        <v/>
      </c>
    </row>
    <row r="102" spans="2:43" x14ac:dyDescent="0.25">
      <c r="B102" t="s">
        <v>147</v>
      </c>
      <c r="C102" s="11">
        <v>307</v>
      </c>
      <c r="H102" t="str">
        <f t="shared" si="3"/>
        <v>General &amp; Administrative Expenses</v>
      </c>
      <c r="I102" s="17" t="str">
        <f ca="1">IF(ISNA($B102),"",IF($B102="","",IFERROR(_xll.BDP(TICKER,"DEEP_MEASURE_PERIOD_BROKER_VALUE","DEEP_MEASURE_ID_OVERRIDE",$C102,"DEEP_BROKER_ID_OVERRIDE",$F$7,"DEEP_PERIOD_OVERRIDE",I$11)*1,"")))</f>
        <v/>
      </c>
      <c r="J102" s="17" t="str">
        <f ca="1">IF(ISNA($B102),"",IF($B102="","",IFERROR(_xll.BDP(TICKER,"DEEP_MEASURE_PERIOD_BROKER_VALUE","DEEP_MEASURE_ID_OVERRIDE",$C102,"DEEP_BROKER_ID_OVERRIDE",$F$7,"DEEP_PERIOD_OVERRIDE",J$11)*1,"")))</f>
        <v/>
      </c>
      <c r="K102" s="17" t="str">
        <f ca="1">IF(ISNA($B102),"",IF($B102="","",IFERROR(_xll.BDP(TICKER,"DEEP_MEASURE_PERIOD_BROKER_VALUE","DEEP_MEASURE_ID_OVERRIDE",$C102,"DEEP_BROKER_ID_OVERRIDE",$F$7,"DEEP_PERIOD_OVERRIDE",K$11)*1,"")))</f>
        <v/>
      </c>
      <c r="L102" s="17" t="str">
        <f ca="1">IF(ISNA($B102),"",IF($B102="","",IFERROR(_xll.BDP(TICKER,"DEEP_MEASURE_PERIOD_BROKER_VALUE","DEEP_MEASURE_ID_OVERRIDE",$C102,"DEEP_BROKER_ID_OVERRIDE",$F$7,"DEEP_PERIOD_OVERRIDE",L$11)*1,"")))</f>
        <v/>
      </c>
      <c r="M102" s="17" t="str">
        <f ca="1">IF(ISNA($B102),"",IF($B102="","",IFERROR(_xll.BDP(TICKER,"DEEP_MEASURE_PERIOD_BROKER_VALUE","DEEP_MEASURE_ID_OVERRIDE",$C102,"DEEP_BROKER_ID_OVERRIDE",$F$7,"DEEP_PERIOD_OVERRIDE",M$11)*1,"")))</f>
        <v/>
      </c>
      <c r="N102" s="17" t="str">
        <f ca="1">IF(ISNA($B102),"",IF($B102="","",IFERROR(_xll.BDP(TICKER,"DEEP_MEASURE_PERIOD_BROKER_VALUE","DEEP_MEASURE_ID_OVERRIDE",$C102,"DEEP_BROKER_ID_OVERRIDE",$F$7,"DEEP_PERIOD_OVERRIDE",N$11)*1,"")))</f>
        <v/>
      </c>
      <c r="O102" s="17" t="str">
        <f ca="1">IF(ISNA($B102),"",IF($B102="","",IFERROR(_xll.BDP(TICKER,"DEEP_MEASURE_PERIOD_BROKER_VALUE","DEEP_MEASURE_ID_OVERRIDE",$C102,"DEEP_BROKER_ID_OVERRIDE",$F$7,"DEEP_PERIOD_OVERRIDE",O$11)*1,"")))</f>
        <v/>
      </c>
      <c r="P102" s="17" t="str">
        <f ca="1">IF(ISNA($B102),"",IF($B102="","",IFERROR(_xll.BDP(TICKER,"DEEP_MEASURE_PERIOD_BROKER_VALUE","DEEP_MEASURE_ID_OVERRIDE",$C102,"DEEP_BROKER_ID_OVERRIDE",$F$7,"DEEP_PERIOD_OVERRIDE",P$11)*1,"")))</f>
        <v/>
      </c>
      <c r="Q102" s="17" t="str">
        <f ca="1">IF(ISNA($B102),"",IF($B102="","",IFERROR(_xll.BDP(TICKER,"DEEP_MEASURE_PERIOD_BROKER_VALUE","DEEP_MEASURE_ID_OVERRIDE",$C102,"DEEP_BROKER_ID_OVERRIDE",$F$7,"DEEP_PERIOD_OVERRIDE",Q$11)*1,"")))</f>
        <v/>
      </c>
      <c r="R102" s="17" t="str">
        <f ca="1">IF(ISNA($B102),"",IF($B102="","",IFERROR(_xll.BDP(TICKER,"DEEP_MEASURE_PERIOD_BROKER_VALUE","DEEP_MEASURE_ID_OVERRIDE",$C102,"DEEP_BROKER_ID_OVERRIDE",$F$7,"DEEP_PERIOD_OVERRIDE",R$11)*1,"")))</f>
        <v/>
      </c>
      <c r="S102" s="17" t="str">
        <f ca="1">IF(ISNA($B102),"",IF($B102="","",IFERROR(_xll.BDP(TICKER,"DEEP_MEASURE_PERIOD_BROKER_VALUE","DEEP_MEASURE_ID_OVERRIDE",$C102,"DEEP_BROKER_ID_OVERRIDE",$F$7,"DEEP_PERIOD_OVERRIDE",S$11)*1,"")))</f>
        <v/>
      </c>
      <c r="T102" s="17" t="str">
        <f ca="1">IF(ISNA($B102),"",IF($B102="","",IFERROR(_xll.BDP(TICKER,"DEEP_MEASURE_PERIOD_BROKER_VALUE","DEEP_MEASURE_ID_OVERRIDE",$C102,"DEEP_BROKER_ID_OVERRIDE",$F$7,"DEEP_PERIOD_OVERRIDE",T$11)*1,"")))</f>
        <v/>
      </c>
      <c r="U102" s="17" t="str">
        <f ca="1">IF(ISNA($B102),"",IF($B102="","",IFERROR(_xll.BDP(TICKER,"DEEP_MEASURE_PERIOD_BROKER_VALUE","DEEP_MEASURE_ID_OVERRIDE",$C102,"DEEP_BROKER_ID_OVERRIDE",$F$7,"DEEP_PERIOD_OVERRIDE",U$11)*1,"")))</f>
        <v/>
      </c>
      <c r="V102" s="17" t="str">
        <f ca="1">IF(ISNA($B102),"",IF($B102="","",IFERROR(_xll.BDP(TICKER,"DEEP_MEASURE_PERIOD_BROKER_VALUE","DEEP_MEASURE_ID_OVERRIDE",$C102,"DEEP_BROKER_ID_OVERRIDE",$F$7,"DEEP_PERIOD_OVERRIDE",V$11)*1,"")))</f>
        <v/>
      </c>
      <c r="W102" s="17" t="str">
        <f ca="1">IF(ISNA($B102),"",IF($B102="","",IFERROR(_xll.BDP(TICKER,"DEEP_MEASURE_PERIOD_BROKER_VALUE","DEEP_MEASURE_ID_OVERRIDE",$C102,"DEEP_BROKER_ID_OVERRIDE",$F$7,"DEEP_PERIOD_OVERRIDE",W$11)*1,"")))</f>
        <v/>
      </c>
      <c r="X102" s="17" t="str">
        <f ca="1">IF(ISNA($B102),"",IF($B102="","",IFERROR(_xll.BDP(TICKER,"DEEP_MEASURE_PERIOD_BROKER_VALUE","DEEP_MEASURE_ID_OVERRIDE",$C102,"DEEP_BROKER_ID_OVERRIDE",$F$7,"DEEP_PERIOD_OVERRIDE",X$11)*1,"")))</f>
        <v/>
      </c>
      <c r="Y102" s="17" t="str">
        <f ca="1">IF(ISNA($B102),"",IF($B102="","",IFERROR(_xll.BDP(TICKER,"DEEP_MEASURE_PERIOD_BROKER_VALUE","DEEP_MEASURE_ID_OVERRIDE",$C102,"DEEP_BROKER_ID_OVERRIDE",$F$7,"DEEP_PERIOD_OVERRIDE",Y$11)*1,"")))</f>
        <v/>
      </c>
      <c r="Z102" s="17" t="str">
        <f ca="1">IF(ISNA($B102),"",IF($B102="","",IFERROR(_xll.BDP(TICKER,"DEEP_MEASURE_PERIOD_BROKER_VALUE","DEEP_MEASURE_ID_OVERRIDE",$C102,"DEEP_BROKER_ID_OVERRIDE",$F$7,"DEEP_PERIOD_OVERRIDE",Z$11)*1,"")))</f>
        <v/>
      </c>
      <c r="AA102" s="17" t="str">
        <f ca="1">IF(ISNA($B102),"",IF($B102="","",IFERROR(_xll.BDP(TICKER,"DEEP_MEASURE_PERIOD_BROKER_VALUE","DEEP_MEASURE_ID_OVERRIDE",$C102,"DEEP_BROKER_ID_OVERRIDE",$F$7,"DEEP_PERIOD_OVERRIDE",AA$11)*1,"")))</f>
        <v/>
      </c>
      <c r="AB102" s="17" t="str">
        <f ca="1">IF(ISNA($B102),"",IF($B102="","",IFERROR(_xll.BDP(TICKER,"DEEP_MEASURE_PERIOD_BROKER_VALUE","DEEP_MEASURE_ID_OVERRIDE",$C102,"DEEP_BROKER_ID_OVERRIDE",$F$7,"DEEP_PERIOD_OVERRIDE",AB$11)*1,"")))</f>
        <v/>
      </c>
      <c r="AC102" s="17" t="str">
        <f ca="1">IF(ISNA($B102),"",IF($B102="","",IFERROR(_xll.BDP(TICKER,"DEEP_MEASURE_PERIOD_BROKER_VALUE","DEEP_MEASURE_ID_OVERRIDE",$C102,"DEEP_BROKER_ID_OVERRIDE",$F$7,"DEEP_PERIOD_OVERRIDE",AC$11)*1,"")))</f>
        <v/>
      </c>
      <c r="AD102" s="17" t="str">
        <f ca="1">IF(ISNA($B102),"",IF($B102="","",IFERROR(_xll.BDP(TICKER,"DEEP_MEASURE_PERIOD_BROKER_VALUE","DEEP_MEASURE_ID_OVERRIDE",$C102,"DEEP_BROKER_ID_OVERRIDE",$F$7,"DEEP_PERIOD_OVERRIDE",AD$11)*1,"")))</f>
        <v/>
      </c>
      <c r="AE102" s="17" t="str">
        <f ca="1">IF(ISNA($B102),"",IF($B102="","",IFERROR(_xll.BDP(TICKER,"DEEP_MEASURE_PERIOD_BROKER_VALUE","DEEP_MEASURE_ID_OVERRIDE",$C102,"DEEP_BROKER_ID_OVERRIDE",$F$7,"DEEP_PERIOD_OVERRIDE",AE$11)*1,"")))</f>
        <v/>
      </c>
      <c r="AF102" s="17" t="str">
        <f ca="1">IF(ISNA($B102),"",IF($B102="","",IFERROR(_xll.BDP(TICKER,"DEEP_MEASURE_PERIOD_BROKER_VALUE","DEEP_MEASURE_ID_OVERRIDE",$C102,"DEEP_BROKER_ID_OVERRIDE",$F$7,"DEEP_PERIOD_OVERRIDE",AF$11)*1,"")))</f>
        <v/>
      </c>
      <c r="AG102" s="17" t="str">
        <f ca="1">IF(ISNA($B102),"",IF($B102="","",IFERROR(_xll.BDP(TICKER,"DEEP_MEASURE_PERIOD_BROKER_VALUE","DEEP_MEASURE_ID_OVERRIDE",$C102,"DEEP_BROKER_ID_OVERRIDE",$F$7,"DEEP_PERIOD_OVERRIDE",AG$11)*1,"")))</f>
        <v/>
      </c>
      <c r="AH102" s="17" t="str">
        <f ca="1">IF(ISNA($B102),"",IF($B102="","",IFERROR(_xll.BDP(TICKER,"DEEP_MEASURE_PERIOD_BROKER_VALUE","DEEP_MEASURE_ID_OVERRIDE",$C102,"DEEP_BROKER_ID_OVERRIDE",$F$7,"DEEP_PERIOD_OVERRIDE",AH$11)*1,"")))</f>
        <v/>
      </c>
      <c r="AI102" s="17" t="str">
        <f ca="1">IF(ISNA($B102),"",IF($B102="","",IFERROR(_xll.BDP(TICKER,"DEEP_MEASURE_PERIOD_BROKER_VALUE","DEEP_MEASURE_ID_OVERRIDE",$C102,"DEEP_BROKER_ID_OVERRIDE",$F$7,"DEEP_PERIOD_OVERRIDE",AI$11)*1,"")))</f>
        <v/>
      </c>
      <c r="AJ102" s="17" t="str">
        <f ca="1">IF(ISNA($B102),"",IF($B102="","",IFERROR(_xll.BDP(TICKER,"DEEP_MEASURE_PERIOD_BROKER_VALUE","DEEP_MEASURE_ID_OVERRIDE",$C102,"DEEP_BROKER_ID_OVERRIDE",$F$7,"DEEP_PERIOD_OVERRIDE",AJ$11)*1,"")))</f>
        <v/>
      </c>
      <c r="AK102" s="17" t="str">
        <f ca="1">IF(ISNA($B102),"",IF($B102="","",IFERROR(_xll.BDP(TICKER,"DEEP_MEASURE_PERIOD_BROKER_VALUE","DEEP_MEASURE_ID_OVERRIDE",$C102,"DEEP_BROKER_ID_OVERRIDE",$F$7,"DEEP_PERIOD_OVERRIDE",AK$11)*1,"")))</f>
        <v/>
      </c>
      <c r="AL102" s="17" t="str">
        <f ca="1">IF(ISNA($B102),"",IF($B102="","",IFERROR(_xll.BDP(TICKER,"DEEP_MEASURE_PERIOD_BROKER_VALUE","DEEP_MEASURE_ID_OVERRIDE",$C102,"DEEP_BROKER_ID_OVERRIDE",$F$7,"DEEP_PERIOD_OVERRIDE",AL$11)*1,"")))</f>
        <v/>
      </c>
      <c r="AM102" s="17" t="str">
        <f ca="1">IF(ISNA($B102),"",IF($B102="","",IFERROR(_xll.BDP(TICKER,"DEEP_MEASURE_PERIOD_BROKER_VALUE","DEEP_MEASURE_ID_OVERRIDE",$C102,"DEEP_BROKER_ID_OVERRIDE",$F$7,"DEEP_PERIOD_OVERRIDE",AM$11)*1,"")))</f>
        <v/>
      </c>
      <c r="AN102" s="17" t="str">
        <f ca="1">IF(ISNA($B102),"",IF($B102="","",IFERROR(_xll.BDP(TICKER,"DEEP_MEASURE_PERIOD_BROKER_VALUE","DEEP_MEASURE_ID_OVERRIDE",$C102,"DEEP_BROKER_ID_OVERRIDE",$F$7,"DEEP_PERIOD_OVERRIDE",AN$11)*1,"")))</f>
        <v/>
      </c>
      <c r="AO102" s="17" t="str">
        <f ca="1">IF(ISNA($B102),"",IF($B102="","",IFERROR(_xll.BDP(TICKER,"DEEP_MEASURE_PERIOD_BROKER_VALUE","DEEP_MEASURE_ID_OVERRIDE",$C102,"DEEP_BROKER_ID_OVERRIDE",$F$7,"DEEP_PERIOD_OVERRIDE",AO$11)*1,"")))</f>
        <v/>
      </c>
      <c r="AP102" s="17" t="str">
        <f ca="1">IF(ISNA($B102),"",IF($B102="","",IFERROR(_xll.BDP(TICKER,"DEEP_MEASURE_PERIOD_BROKER_VALUE","DEEP_MEASURE_ID_OVERRIDE",$C102,"DEEP_BROKER_ID_OVERRIDE",$F$7,"DEEP_PERIOD_OVERRIDE",AP$11)*1,"")))</f>
        <v/>
      </c>
      <c r="AQ102" s="17" t="str">
        <f ca="1">IF(ISNA($B102),"",IF($B102="","",IFERROR(_xll.BDP(TICKER,"DEEP_MEASURE_PERIOD_BROKER_VALUE","DEEP_MEASURE_ID_OVERRIDE",$C102,"DEEP_BROKER_ID_OVERRIDE",$F$7,"DEEP_PERIOD_OVERRIDE",AQ$11)*1,"")))</f>
        <v/>
      </c>
    </row>
    <row r="103" spans="2:43" x14ac:dyDescent="0.25">
      <c r="B103" t="s">
        <v>148</v>
      </c>
      <c r="C103" s="11">
        <v>385</v>
      </c>
      <c r="H103" t="str">
        <f t="shared" si="3"/>
        <v>General &amp; Administrative Expenses &gt; As % of Revenue</v>
      </c>
      <c r="I103" s="17" t="str">
        <f ca="1">IF(ISNA($B103),"",IF($B103="","",IFERROR(_xll.BDP(TICKER,"DEEP_MEASURE_PERIOD_BROKER_VALUE","DEEP_MEASURE_ID_OVERRIDE",$C103,"DEEP_BROKER_ID_OVERRIDE",$F$7,"DEEP_PERIOD_OVERRIDE",I$11)*1,"")))</f>
        <v/>
      </c>
      <c r="J103" s="17" t="str">
        <f ca="1">IF(ISNA($B103),"",IF($B103="","",IFERROR(_xll.BDP(TICKER,"DEEP_MEASURE_PERIOD_BROKER_VALUE","DEEP_MEASURE_ID_OVERRIDE",$C103,"DEEP_BROKER_ID_OVERRIDE",$F$7,"DEEP_PERIOD_OVERRIDE",J$11)*1,"")))</f>
        <v/>
      </c>
      <c r="K103" s="17" t="str">
        <f ca="1">IF(ISNA($B103),"",IF($B103="","",IFERROR(_xll.BDP(TICKER,"DEEP_MEASURE_PERIOD_BROKER_VALUE","DEEP_MEASURE_ID_OVERRIDE",$C103,"DEEP_BROKER_ID_OVERRIDE",$F$7,"DEEP_PERIOD_OVERRIDE",K$11)*1,"")))</f>
        <v/>
      </c>
      <c r="L103" s="17" t="str">
        <f ca="1">IF(ISNA($B103),"",IF($B103="","",IFERROR(_xll.BDP(TICKER,"DEEP_MEASURE_PERIOD_BROKER_VALUE","DEEP_MEASURE_ID_OVERRIDE",$C103,"DEEP_BROKER_ID_OVERRIDE",$F$7,"DEEP_PERIOD_OVERRIDE",L$11)*1,"")))</f>
        <v/>
      </c>
      <c r="M103" s="17" t="str">
        <f ca="1">IF(ISNA($B103),"",IF($B103="","",IFERROR(_xll.BDP(TICKER,"DEEP_MEASURE_PERIOD_BROKER_VALUE","DEEP_MEASURE_ID_OVERRIDE",$C103,"DEEP_BROKER_ID_OVERRIDE",$F$7,"DEEP_PERIOD_OVERRIDE",M$11)*1,"")))</f>
        <v/>
      </c>
      <c r="N103" s="17" t="str">
        <f ca="1">IF(ISNA($B103),"",IF($B103="","",IFERROR(_xll.BDP(TICKER,"DEEP_MEASURE_PERIOD_BROKER_VALUE","DEEP_MEASURE_ID_OVERRIDE",$C103,"DEEP_BROKER_ID_OVERRIDE",$F$7,"DEEP_PERIOD_OVERRIDE",N$11)*1,"")))</f>
        <v/>
      </c>
      <c r="O103" s="17" t="str">
        <f ca="1">IF(ISNA($B103),"",IF($B103="","",IFERROR(_xll.BDP(TICKER,"DEEP_MEASURE_PERIOD_BROKER_VALUE","DEEP_MEASURE_ID_OVERRIDE",$C103,"DEEP_BROKER_ID_OVERRIDE",$F$7,"DEEP_PERIOD_OVERRIDE",O$11)*1,"")))</f>
        <v/>
      </c>
      <c r="P103" s="17" t="str">
        <f ca="1">IF(ISNA($B103),"",IF($B103="","",IFERROR(_xll.BDP(TICKER,"DEEP_MEASURE_PERIOD_BROKER_VALUE","DEEP_MEASURE_ID_OVERRIDE",$C103,"DEEP_BROKER_ID_OVERRIDE",$F$7,"DEEP_PERIOD_OVERRIDE",P$11)*1,"")))</f>
        <v/>
      </c>
      <c r="Q103" s="17" t="str">
        <f ca="1">IF(ISNA($B103),"",IF($B103="","",IFERROR(_xll.BDP(TICKER,"DEEP_MEASURE_PERIOD_BROKER_VALUE","DEEP_MEASURE_ID_OVERRIDE",$C103,"DEEP_BROKER_ID_OVERRIDE",$F$7,"DEEP_PERIOD_OVERRIDE",Q$11)*1,"")))</f>
        <v/>
      </c>
      <c r="R103" s="17" t="str">
        <f ca="1">IF(ISNA($B103),"",IF($B103="","",IFERROR(_xll.BDP(TICKER,"DEEP_MEASURE_PERIOD_BROKER_VALUE","DEEP_MEASURE_ID_OVERRIDE",$C103,"DEEP_BROKER_ID_OVERRIDE",$F$7,"DEEP_PERIOD_OVERRIDE",R$11)*1,"")))</f>
        <v/>
      </c>
      <c r="S103" s="17" t="str">
        <f ca="1">IF(ISNA($B103),"",IF($B103="","",IFERROR(_xll.BDP(TICKER,"DEEP_MEASURE_PERIOD_BROKER_VALUE","DEEP_MEASURE_ID_OVERRIDE",$C103,"DEEP_BROKER_ID_OVERRIDE",$F$7,"DEEP_PERIOD_OVERRIDE",S$11)*1,"")))</f>
        <v/>
      </c>
      <c r="T103" s="17" t="str">
        <f ca="1">IF(ISNA($B103),"",IF($B103="","",IFERROR(_xll.BDP(TICKER,"DEEP_MEASURE_PERIOD_BROKER_VALUE","DEEP_MEASURE_ID_OVERRIDE",$C103,"DEEP_BROKER_ID_OVERRIDE",$F$7,"DEEP_PERIOD_OVERRIDE",T$11)*1,"")))</f>
        <v/>
      </c>
      <c r="U103" s="17" t="str">
        <f ca="1">IF(ISNA($B103),"",IF($B103="","",IFERROR(_xll.BDP(TICKER,"DEEP_MEASURE_PERIOD_BROKER_VALUE","DEEP_MEASURE_ID_OVERRIDE",$C103,"DEEP_BROKER_ID_OVERRIDE",$F$7,"DEEP_PERIOD_OVERRIDE",U$11)*1,"")))</f>
        <v/>
      </c>
      <c r="V103" s="17" t="str">
        <f ca="1">IF(ISNA($B103),"",IF($B103="","",IFERROR(_xll.BDP(TICKER,"DEEP_MEASURE_PERIOD_BROKER_VALUE","DEEP_MEASURE_ID_OVERRIDE",$C103,"DEEP_BROKER_ID_OVERRIDE",$F$7,"DEEP_PERIOD_OVERRIDE",V$11)*1,"")))</f>
        <v/>
      </c>
      <c r="W103" s="17" t="str">
        <f ca="1">IF(ISNA($B103),"",IF($B103="","",IFERROR(_xll.BDP(TICKER,"DEEP_MEASURE_PERIOD_BROKER_VALUE","DEEP_MEASURE_ID_OVERRIDE",$C103,"DEEP_BROKER_ID_OVERRIDE",$F$7,"DEEP_PERIOD_OVERRIDE",W$11)*1,"")))</f>
        <v/>
      </c>
      <c r="X103" s="17" t="str">
        <f ca="1">IF(ISNA($B103),"",IF($B103="","",IFERROR(_xll.BDP(TICKER,"DEEP_MEASURE_PERIOD_BROKER_VALUE","DEEP_MEASURE_ID_OVERRIDE",$C103,"DEEP_BROKER_ID_OVERRIDE",$F$7,"DEEP_PERIOD_OVERRIDE",X$11)*1,"")))</f>
        <v/>
      </c>
      <c r="Y103" s="17" t="str">
        <f ca="1">IF(ISNA($B103),"",IF($B103="","",IFERROR(_xll.BDP(TICKER,"DEEP_MEASURE_PERIOD_BROKER_VALUE","DEEP_MEASURE_ID_OVERRIDE",$C103,"DEEP_BROKER_ID_OVERRIDE",$F$7,"DEEP_PERIOD_OVERRIDE",Y$11)*1,"")))</f>
        <v/>
      </c>
      <c r="Z103" s="17" t="str">
        <f ca="1">IF(ISNA($B103),"",IF($B103="","",IFERROR(_xll.BDP(TICKER,"DEEP_MEASURE_PERIOD_BROKER_VALUE","DEEP_MEASURE_ID_OVERRIDE",$C103,"DEEP_BROKER_ID_OVERRIDE",$F$7,"DEEP_PERIOD_OVERRIDE",Z$11)*1,"")))</f>
        <v/>
      </c>
      <c r="AA103" s="17" t="str">
        <f ca="1">IF(ISNA($B103),"",IF($B103="","",IFERROR(_xll.BDP(TICKER,"DEEP_MEASURE_PERIOD_BROKER_VALUE","DEEP_MEASURE_ID_OVERRIDE",$C103,"DEEP_BROKER_ID_OVERRIDE",$F$7,"DEEP_PERIOD_OVERRIDE",AA$11)*1,"")))</f>
        <v/>
      </c>
      <c r="AB103" s="17" t="str">
        <f ca="1">IF(ISNA($B103),"",IF($B103="","",IFERROR(_xll.BDP(TICKER,"DEEP_MEASURE_PERIOD_BROKER_VALUE","DEEP_MEASURE_ID_OVERRIDE",$C103,"DEEP_BROKER_ID_OVERRIDE",$F$7,"DEEP_PERIOD_OVERRIDE",AB$11)*1,"")))</f>
        <v/>
      </c>
      <c r="AC103" s="17" t="str">
        <f ca="1">IF(ISNA($B103),"",IF($B103="","",IFERROR(_xll.BDP(TICKER,"DEEP_MEASURE_PERIOD_BROKER_VALUE","DEEP_MEASURE_ID_OVERRIDE",$C103,"DEEP_BROKER_ID_OVERRIDE",$F$7,"DEEP_PERIOD_OVERRIDE",AC$11)*1,"")))</f>
        <v/>
      </c>
      <c r="AD103" s="17" t="str">
        <f ca="1">IF(ISNA($B103),"",IF($B103="","",IFERROR(_xll.BDP(TICKER,"DEEP_MEASURE_PERIOD_BROKER_VALUE","DEEP_MEASURE_ID_OVERRIDE",$C103,"DEEP_BROKER_ID_OVERRIDE",$F$7,"DEEP_PERIOD_OVERRIDE",AD$11)*1,"")))</f>
        <v/>
      </c>
      <c r="AE103" s="17" t="str">
        <f ca="1">IF(ISNA($B103),"",IF($B103="","",IFERROR(_xll.BDP(TICKER,"DEEP_MEASURE_PERIOD_BROKER_VALUE","DEEP_MEASURE_ID_OVERRIDE",$C103,"DEEP_BROKER_ID_OVERRIDE",$F$7,"DEEP_PERIOD_OVERRIDE",AE$11)*1,"")))</f>
        <v/>
      </c>
      <c r="AF103" s="17" t="str">
        <f ca="1">IF(ISNA($B103),"",IF($B103="","",IFERROR(_xll.BDP(TICKER,"DEEP_MEASURE_PERIOD_BROKER_VALUE","DEEP_MEASURE_ID_OVERRIDE",$C103,"DEEP_BROKER_ID_OVERRIDE",$F$7,"DEEP_PERIOD_OVERRIDE",AF$11)*1,"")))</f>
        <v/>
      </c>
      <c r="AG103" s="17" t="str">
        <f ca="1">IF(ISNA($B103),"",IF($B103="","",IFERROR(_xll.BDP(TICKER,"DEEP_MEASURE_PERIOD_BROKER_VALUE","DEEP_MEASURE_ID_OVERRIDE",$C103,"DEEP_BROKER_ID_OVERRIDE",$F$7,"DEEP_PERIOD_OVERRIDE",AG$11)*1,"")))</f>
        <v/>
      </c>
      <c r="AH103" s="17" t="str">
        <f ca="1">IF(ISNA($B103),"",IF($B103="","",IFERROR(_xll.BDP(TICKER,"DEEP_MEASURE_PERIOD_BROKER_VALUE","DEEP_MEASURE_ID_OVERRIDE",$C103,"DEEP_BROKER_ID_OVERRIDE",$F$7,"DEEP_PERIOD_OVERRIDE",AH$11)*1,"")))</f>
        <v/>
      </c>
      <c r="AI103" s="17" t="str">
        <f ca="1">IF(ISNA($B103),"",IF($B103="","",IFERROR(_xll.BDP(TICKER,"DEEP_MEASURE_PERIOD_BROKER_VALUE","DEEP_MEASURE_ID_OVERRIDE",$C103,"DEEP_BROKER_ID_OVERRIDE",$F$7,"DEEP_PERIOD_OVERRIDE",AI$11)*1,"")))</f>
        <v/>
      </c>
      <c r="AJ103" s="17" t="str">
        <f ca="1">IF(ISNA($B103),"",IF($B103="","",IFERROR(_xll.BDP(TICKER,"DEEP_MEASURE_PERIOD_BROKER_VALUE","DEEP_MEASURE_ID_OVERRIDE",$C103,"DEEP_BROKER_ID_OVERRIDE",$F$7,"DEEP_PERIOD_OVERRIDE",AJ$11)*1,"")))</f>
        <v/>
      </c>
      <c r="AK103" s="17" t="str">
        <f ca="1">IF(ISNA($B103),"",IF($B103="","",IFERROR(_xll.BDP(TICKER,"DEEP_MEASURE_PERIOD_BROKER_VALUE","DEEP_MEASURE_ID_OVERRIDE",$C103,"DEEP_BROKER_ID_OVERRIDE",$F$7,"DEEP_PERIOD_OVERRIDE",AK$11)*1,"")))</f>
        <v/>
      </c>
      <c r="AL103" s="17" t="str">
        <f ca="1">IF(ISNA($B103),"",IF($B103="","",IFERROR(_xll.BDP(TICKER,"DEEP_MEASURE_PERIOD_BROKER_VALUE","DEEP_MEASURE_ID_OVERRIDE",$C103,"DEEP_BROKER_ID_OVERRIDE",$F$7,"DEEP_PERIOD_OVERRIDE",AL$11)*1,"")))</f>
        <v/>
      </c>
      <c r="AM103" s="17" t="str">
        <f ca="1">IF(ISNA($B103),"",IF($B103="","",IFERROR(_xll.BDP(TICKER,"DEEP_MEASURE_PERIOD_BROKER_VALUE","DEEP_MEASURE_ID_OVERRIDE",$C103,"DEEP_BROKER_ID_OVERRIDE",$F$7,"DEEP_PERIOD_OVERRIDE",AM$11)*1,"")))</f>
        <v/>
      </c>
      <c r="AN103" s="17" t="str">
        <f ca="1">IF(ISNA($B103),"",IF($B103="","",IFERROR(_xll.BDP(TICKER,"DEEP_MEASURE_PERIOD_BROKER_VALUE","DEEP_MEASURE_ID_OVERRIDE",$C103,"DEEP_BROKER_ID_OVERRIDE",$F$7,"DEEP_PERIOD_OVERRIDE",AN$11)*1,"")))</f>
        <v/>
      </c>
      <c r="AO103" s="17" t="str">
        <f ca="1">IF(ISNA($B103),"",IF($B103="","",IFERROR(_xll.BDP(TICKER,"DEEP_MEASURE_PERIOD_BROKER_VALUE","DEEP_MEASURE_ID_OVERRIDE",$C103,"DEEP_BROKER_ID_OVERRIDE",$F$7,"DEEP_PERIOD_OVERRIDE",AO$11)*1,"")))</f>
        <v/>
      </c>
      <c r="AP103" s="17" t="str">
        <f ca="1">IF(ISNA($B103),"",IF($B103="","",IFERROR(_xll.BDP(TICKER,"DEEP_MEASURE_PERIOD_BROKER_VALUE","DEEP_MEASURE_ID_OVERRIDE",$C103,"DEEP_BROKER_ID_OVERRIDE",$F$7,"DEEP_PERIOD_OVERRIDE",AP$11)*1,"")))</f>
        <v/>
      </c>
      <c r="AQ103" s="17" t="str">
        <f ca="1">IF(ISNA($B103),"",IF($B103="","",IFERROR(_xll.BDP(TICKER,"DEEP_MEASURE_PERIOD_BROKER_VALUE","DEEP_MEASURE_ID_OVERRIDE",$C103,"DEEP_BROKER_ID_OVERRIDE",$F$7,"DEEP_PERIOD_OVERRIDE",AQ$11)*1,"")))</f>
        <v/>
      </c>
    </row>
    <row r="104" spans="2:43" x14ac:dyDescent="0.25">
      <c r="B104" t="s">
        <v>149</v>
      </c>
      <c r="C104" s="11">
        <v>325</v>
      </c>
      <c r="H104" t="str">
        <f t="shared" si="3"/>
        <v>General &amp; Administrative Expenses &gt; General &amp; Administrative Expenses (ex-SBC)</v>
      </c>
      <c r="I104" s="17" t="str">
        <f ca="1">IF(ISNA($B104),"",IF($B104="","",IFERROR(_xll.BDP(TICKER,"DEEP_MEASURE_PERIOD_BROKER_VALUE","DEEP_MEASURE_ID_OVERRIDE",$C104,"DEEP_BROKER_ID_OVERRIDE",$F$7,"DEEP_PERIOD_OVERRIDE",I$11)*1,"")))</f>
        <v/>
      </c>
      <c r="J104" s="17" t="str">
        <f ca="1">IF(ISNA($B104),"",IF($B104="","",IFERROR(_xll.BDP(TICKER,"DEEP_MEASURE_PERIOD_BROKER_VALUE","DEEP_MEASURE_ID_OVERRIDE",$C104,"DEEP_BROKER_ID_OVERRIDE",$F$7,"DEEP_PERIOD_OVERRIDE",J$11)*1,"")))</f>
        <v/>
      </c>
      <c r="K104" s="17" t="str">
        <f ca="1">IF(ISNA($B104),"",IF($B104="","",IFERROR(_xll.BDP(TICKER,"DEEP_MEASURE_PERIOD_BROKER_VALUE","DEEP_MEASURE_ID_OVERRIDE",$C104,"DEEP_BROKER_ID_OVERRIDE",$F$7,"DEEP_PERIOD_OVERRIDE",K$11)*1,"")))</f>
        <v/>
      </c>
      <c r="L104" s="17" t="str">
        <f ca="1">IF(ISNA($B104),"",IF($B104="","",IFERROR(_xll.BDP(TICKER,"DEEP_MEASURE_PERIOD_BROKER_VALUE","DEEP_MEASURE_ID_OVERRIDE",$C104,"DEEP_BROKER_ID_OVERRIDE",$F$7,"DEEP_PERIOD_OVERRIDE",L$11)*1,"")))</f>
        <v/>
      </c>
      <c r="M104" s="17" t="str">
        <f ca="1">IF(ISNA($B104),"",IF($B104="","",IFERROR(_xll.BDP(TICKER,"DEEP_MEASURE_PERIOD_BROKER_VALUE","DEEP_MEASURE_ID_OVERRIDE",$C104,"DEEP_BROKER_ID_OVERRIDE",$F$7,"DEEP_PERIOD_OVERRIDE",M$11)*1,"")))</f>
        <v/>
      </c>
      <c r="N104" s="17" t="str">
        <f ca="1">IF(ISNA($B104),"",IF($B104="","",IFERROR(_xll.BDP(TICKER,"DEEP_MEASURE_PERIOD_BROKER_VALUE","DEEP_MEASURE_ID_OVERRIDE",$C104,"DEEP_BROKER_ID_OVERRIDE",$F$7,"DEEP_PERIOD_OVERRIDE",N$11)*1,"")))</f>
        <v/>
      </c>
      <c r="O104" s="17" t="str">
        <f ca="1">IF(ISNA($B104),"",IF($B104="","",IFERROR(_xll.BDP(TICKER,"DEEP_MEASURE_PERIOD_BROKER_VALUE","DEEP_MEASURE_ID_OVERRIDE",$C104,"DEEP_BROKER_ID_OVERRIDE",$F$7,"DEEP_PERIOD_OVERRIDE",O$11)*1,"")))</f>
        <v/>
      </c>
      <c r="P104" s="17" t="str">
        <f ca="1">IF(ISNA($B104),"",IF($B104="","",IFERROR(_xll.BDP(TICKER,"DEEP_MEASURE_PERIOD_BROKER_VALUE","DEEP_MEASURE_ID_OVERRIDE",$C104,"DEEP_BROKER_ID_OVERRIDE",$F$7,"DEEP_PERIOD_OVERRIDE",P$11)*1,"")))</f>
        <v/>
      </c>
      <c r="Q104" s="17" t="str">
        <f ca="1">IF(ISNA($B104),"",IF($B104="","",IFERROR(_xll.BDP(TICKER,"DEEP_MEASURE_PERIOD_BROKER_VALUE","DEEP_MEASURE_ID_OVERRIDE",$C104,"DEEP_BROKER_ID_OVERRIDE",$F$7,"DEEP_PERIOD_OVERRIDE",Q$11)*1,"")))</f>
        <v/>
      </c>
      <c r="R104" s="17" t="str">
        <f ca="1">IF(ISNA($B104),"",IF($B104="","",IFERROR(_xll.BDP(TICKER,"DEEP_MEASURE_PERIOD_BROKER_VALUE","DEEP_MEASURE_ID_OVERRIDE",$C104,"DEEP_BROKER_ID_OVERRIDE",$F$7,"DEEP_PERIOD_OVERRIDE",R$11)*1,"")))</f>
        <v/>
      </c>
      <c r="S104" s="17" t="str">
        <f ca="1">IF(ISNA($B104),"",IF($B104="","",IFERROR(_xll.BDP(TICKER,"DEEP_MEASURE_PERIOD_BROKER_VALUE","DEEP_MEASURE_ID_OVERRIDE",$C104,"DEEP_BROKER_ID_OVERRIDE",$F$7,"DEEP_PERIOD_OVERRIDE",S$11)*1,"")))</f>
        <v/>
      </c>
      <c r="T104" s="17" t="str">
        <f ca="1">IF(ISNA($B104),"",IF($B104="","",IFERROR(_xll.BDP(TICKER,"DEEP_MEASURE_PERIOD_BROKER_VALUE","DEEP_MEASURE_ID_OVERRIDE",$C104,"DEEP_BROKER_ID_OVERRIDE",$F$7,"DEEP_PERIOD_OVERRIDE",T$11)*1,"")))</f>
        <v/>
      </c>
      <c r="U104" s="17" t="str">
        <f ca="1">IF(ISNA($B104),"",IF($B104="","",IFERROR(_xll.BDP(TICKER,"DEEP_MEASURE_PERIOD_BROKER_VALUE","DEEP_MEASURE_ID_OVERRIDE",$C104,"DEEP_BROKER_ID_OVERRIDE",$F$7,"DEEP_PERIOD_OVERRIDE",U$11)*1,"")))</f>
        <v/>
      </c>
      <c r="V104" s="17" t="str">
        <f ca="1">IF(ISNA($B104),"",IF($B104="","",IFERROR(_xll.BDP(TICKER,"DEEP_MEASURE_PERIOD_BROKER_VALUE","DEEP_MEASURE_ID_OVERRIDE",$C104,"DEEP_BROKER_ID_OVERRIDE",$F$7,"DEEP_PERIOD_OVERRIDE",V$11)*1,"")))</f>
        <v/>
      </c>
      <c r="W104" s="17" t="str">
        <f ca="1">IF(ISNA($B104),"",IF($B104="","",IFERROR(_xll.BDP(TICKER,"DEEP_MEASURE_PERIOD_BROKER_VALUE","DEEP_MEASURE_ID_OVERRIDE",$C104,"DEEP_BROKER_ID_OVERRIDE",$F$7,"DEEP_PERIOD_OVERRIDE",W$11)*1,"")))</f>
        <v/>
      </c>
      <c r="X104" s="17" t="str">
        <f ca="1">IF(ISNA($B104),"",IF($B104="","",IFERROR(_xll.BDP(TICKER,"DEEP_MEASURE_PERIOD_BROKER_VALUE","DEEP_MEASURE_ID_OVERRIDE",$C104,"DEEP_BROKER_ID_OVERRIDE",$F$7,"DEEP_PERIOD_OVERRIDE",X$11)*1,"")))</f>
        <v/>
      </c>
      <c r="Y104" s="17" t="str">
        <f ca="1">IF(ISNA($B104),"",IF($B104="","",IFERROR(_xll.BDP(TICKER,"DEEP_MEASURE_PERIOD_BROKER_VALUE","DEEP_MEASURE_ID_OVERRIDE",$C104,"DEEP_BROKER_ID_OVERRIDE",$F$7,"DEEP_PERIOD_OVERRIDE",Y$11)*1,"")))</f>
        <v/>
      </c>
      <c r="Z104" s="17" t="str">
        <f ca="1">IF(ISNA($B104),"",IF($B104="","",IFERROR(_xll.BDP(TICKER,"DEEP_MEASURE_PERIOD_BROKER_VALUE","DEEP_MEASURE_ID_OVERRIDE",$C104,"DEEP_BROKER_ID_OVERRIDE",$F$7,"DEEP_PERIOD_OVERRIDE",Z$11)*1,"")))</f>
        <v/>
      </c>
      <c r="AA104" s="17" t="str">
        <f ca="1">IF(ISNA($B104),"",IF($B104="","",IFERROR(_xll.BDP(TICKER,"DEEP_MEASURE_PERIOD_BROKER_VALUE","DEEP_MEASURE_ID_OVERRIDE",$C104,"DEEP_BROKER_ID_OVERRIDE",$F$7,"DEEP_PERIOD_OVERRIDE",AA$11)*1,"")))</f>
        <v/>
      </c>
      <c r="AB104" s="17" t="str">
        <f ca="1">IF(ISNA($B104),"",IF($B104="","",IFERROR(_xll.BDP(TICKER,"DEEP_MEASURE_PERIOD_BROKER_VALUE","DEEP_MEASURE_ID_OVERRIDE",$C104,"DEEP_BROKER_ID_OVERRIDE",$F$7,"DEEP_PERIOD_OVERRIDE",AB$11)*1,"")))</f>
        <v/>
      </c>
      <c r="AC104" s="17" t="str">
        <f ca="1">IF(ISNA($B104),"",IF($B104="","",IFERROR(_xll.BDP(TICKER,"DEEP_MEASURE_PERIOD_BROKER_VALUE","DEEP_MEASURE_ID_OVERRIDE",$C104,"DEEP_BROKER_ID_OVERRIDE",$F$7,"DEEP_PERIOD_OVERRIDE",AC$11)*1,"")))</f>
        <v/>
      </c>
      <c r="AD104" s="17" t="str">
        <f ca="1">IF(ISNA($B104),"",IF($B104="","",IFERROR(_xll.BDP(TICKER,"DEEP_MEASURE_PERIOD_BROKER_VALUE","DEEP_MEASURE_ID_OVERRIDE",$C104,"DEEP_BROKER_ID_OVERRIDE",$F$7,"DEEP_PERIOD_OVERRIDE",AD$11)*1,"")))</f>
        <v/>
      </c>
      <c r="AE104" s="17" t="str">
        <f ca="1">IF(ISNA($B104),"",IF($B104="","",IFERROR(_xll.BDP(TICKER,"DEEP_MEASURE_PERIOD_BROKER_VALUE","DEEP_MEASURE_ID_OVERRIDE",$C104,"DEEP_BROKER_ID_OVERRIDE",$F$7,"DEEP_PERIOD_OVERRIDE",AE$11)*1,"")))</f>
        <v/>
      </c>
      <c r="AF104" s="17" t="str">
        <f ca="1">IF(ISNA($B104),"",IF($B104="","",IFERROR(_xll.BDP(TICKER,"DEEP_MEASURE_PERIOD_BROKER_VALUE","DEEP_MEASURE_ID_OVERRIDE",$C104,"DEEP_BROKER_ID_OVERRIDE",$F$7,"DEEP_PERIOD_OVERRIDE",AF$11)*1,"")))</f>
        <v/>
      </c>
      <c r="AG104" s="17" t="str">
        <f ca="1">IF(ISNA($B104),"",IF($B104="","",IFERROR(_xll.BDP(TICKER,"DEEP_MEASURE_PERIOD_BROKER_VALUE","DEEP_MEASURE_ID_OVERRIDE",$C104,"DEEP_BROKER_ID_OVERRIDE",$F$7,"DEEP_PERIOD_OVERRIDE",AG$11)*1,"")))</f>
        <v/>
      </c>
      <c r="AH104" s="17" t="str">
        <f ca="1">IF(ISNA($B104),"",IF($B104="","",IFERROR(_xll.BDP(TICKER,"DEEP_MEASURE_PERIOD_BROKER_VALUE","DEEP_MEASURE_ID_OVERRIDE",$C104,"DEEP_BROKER_ID_OVERRIDE",$F$7,"DEEP_PERIOD_OVERRIDE",AH$11)*1,"")))</f>
        <v/>
      </c>
      <c r="AI104" s="17" t="str">
        <f ca="1">IF(ISNA($B104),"",IF($B104="","",IFERROR(_xll.BDP(TICKER,"DEEP_MEASURE_PERIOD_BROKER_VALUE","DEEP_MEASURE_ID_OVERRIDE",$C104,"DEEP_BROKER_ID_OVERRIDE",$F$7,"DEEP_PERIOD_OVERRIDE",AI$11)*1,"")))</f>
        <v/>
      </c>
      <c r="AJ104" s="17" t="str">
        <f ca="1">IF(ISNA($B104),"",IF($B104="","",IFERROR(_xll.BDP(TICKER,"DEEP_MEASURE_PERIOD_BROKER_VALUE","DEEP_MEASURE_ID_OVERRIDE",$C104,"DEEP_BROKER_ID_OVERRIDE",$F$7,"DEEP_PERIOD_OVERRIDE",AJ$11)*1,"")))</f>
        <v/>
      </c>
      <c r="AK104" s="17" t="str">
        <f ca="1">IF(ISNA($B104),"",IF($B104="","",IFERROR(_xll.BDP(TICKER,"DEEP_MEASURE_PERIOD_BROKER_VALUE","DEEP_MEASURE_ID_OVERRIDE",$C104,"DEEP_BROKER_ID_OVERRIDE",$F$7,"DEEP_PERIOD_OVERRIDE",AK$11)*1,"")))</f>
        <v/>
      </c>
      <c r="AL104" s="17" t="str">
        <f ca="1">IF(ISNA($B104),"",IF($B104="","",IFERROR(_xll.BDP(TICKER,"DEEP_MEASURE_PERIOD_BROKER_VALUE","DEEP_MEASURE_ID_OVERRIDE",$C104,"DEEP_BROKER_ID_OVERRIDE",$F$7,"DEEP_PERIOD_OVERRIDE",AL$11)*1,"")))</f>
        <v/>
      </c>
      <c r="AM104" s="17" t="str">
        <f ca="1">IF(ISNA($B104),"",IF($B104="","",IFERROR(_xll.BDP(TICKER,"DEEP_MEASURE_PERIOD_BROKER_VALUE","DEEP_MEASURE_ID_OVERRIDE",$C104,"DEEP_BROKER_ID_OVERRIDE",$F$7,"DEEP_PERIOD_OVERRIDE",AM$11)*1,"")))</f>
        <v/>
      </c>
      <c r="AN104" s="17" t="str">
        <f ca="1">IF(ISNA($B104),"",IF($B104="","",IFERROR(_xll.BDP(TICKER,"DEEP_MEASURE_PERIOD_BROKER_VALUE","DEEP_MEASURE_ID_OVERRIDE",$C104,"DEEP_BROKER_ID_OVERRIDE",$F$7,"DEEP_PERIOD_OVERRIDE",AN$11)*1,"")))</f>
        <v/>
      </c>
      <c r="AO104" s="17" t="str">
        <f ca="1">IF(ISNA($B104),"",IF($B104="","",IFERROR(_xll.BDP(TICKER,"DEEP_MEASURE_PERIOD_BROKER_VALUE","DEEP_MEASURE_ID_OVERRIDE",$C104,"DEEP_BROKER_ID_OVERRIDE",$F$7,"DEEP_PERIOD_OVERRIDE",AO$11)*1,"")))</f>
        <v/>
      </c>
      <c r="AP104" s="17" t="str">
        <f ca="1">IF(ISNA($B104),"",IF($B104="","",IFERROR(_xll.BDP(TICKER,"DEEP_MEASURE_PERIOD_BROKER_VALUE","DEEP_MEASURE_ID_OVERRIDE",$C104,"DEEP_BROKER_ID_OVERRIDE",$F$7,"DEEP_PERIOD_OVERRIDE",AP$11)*1,"")))</f>
        <v/>
      </c>
      <c r="AQ104" s="17" t="str">
        <f ca="1">IF(ISNA($B104),"",IF($B104="","",IFERROR(_xll.BDP(TICKER,"DEEP_MEASURE_PERIOD_BROKER_VALUE","DEEP_MEASURE_ID_OVERRIDE",$C104,"DEEP_BROKER_ID_OVERRIDE",$F$7,"DEEP_PERIOD_OVERRIDE",AQ$11)*1,"")))</f>
        <v/>
      </c>
    </row>
    <row r="105" spans="2:43" x14ac:dyDescent="0.25">
      <c r="B105" t="s">
        <v>150</v>
      </c>
      <c r="C105" s="11">
        <v>1723</v>
      </c>
      <c r="H105" t="str">
        <f t="shared" si="3"/>
        <v>General &amp; Administrative Expenses &gt; General &amp; Administrative Expenses (ex-SBC) &gt; YoY Growth (%)</v>
      </c>
      <c r="I105" s="17" t="str">
        <f ca="1">IF(ISNA($B105),"",IF($B105="","",IFERROR(_xll.BDP(TICKER,"DEEP_MEASURE_PERIOD_BROKER_VALUE","DEEP_MEASURE_ID_OVERRIDE",$C105,"DEEP_BROKER_ID_OVERRIDE",$F$7,"DEEP_PERIOD_OVERRIDE",I$11)*1,"")))</f>
        <v/>
      </c>
      <c r="J105" s="17" t="str">
        <f ca="1">IF(ISNA($B105),"",IF($B105="","",IFERROR(_xll.BDP(TICKER,"DEEP_MEASURE_PERIOD_BROKER_VALUE","DEEP_MEASURE_ID_OVERRIDE",$C105,"DEEP_BROKER_ID_OVERRIDE",$F$7,"DEEP_PERIOD_OVERRIDE",J$11)*1,"")))</f>
        <v/>
      </c>
      <c r="K105" s="17" t="str">
        <f ca="1">IF(ISNA($B105),"",IF($B105="","",IFERROR(_xll.BDP(TICKER,"DEEP_MEASURE_PERIOD_BROKER_VALUE","DEEP_MEASURE_ID_OVERRIDE",$C105,"DEEP_BROKER_ID_OVERRIDE",$F$7,"DEEP_PERIOD_OVERRIDE",K$11)*1,"")))</f>
        <v/>
      </c>
      <c r="L105" s="17" t="str">
        <f ca="1">IF(ISNA($B105),"",IF($B105="","",IFERROR(_xll.BDP(TICKER,"DEEP_MEASURE_PERIOD_BROKER_VALUE","DEEP_MEASURE_ID_OVERRIDE",$C105,"DEEP_BROKER_ID_OVERRIDE",$F$7,"DEEP_PERIOD_OVERRIDE",L$11)*1,"")))</f>
        <v/>
      </c>
      <c r="M105" s="17" t="str">
        <f ca="1">IF(ISNA($B105),"",IF($B105="","",IFERROR(_xll.BDP(TICKER,"DEEP_MEASURE_PERIOD_BROKER_VALUE","DEEP_MEASURE_ID_OVERRIDE",$C105,"DEEP_BROKER_ID_OVERRIDE",$F$7,"DEEP_PERIOD_OVERRIDE",M$11)*1,"")))</f>
        <v/>
      </c>
      <c r="N105" s="17" t="str">
        <f ca="1">IF(ISNA($B105),"",IF($B105="","",IFERROR(_xll.BDP(TICKER,"DEEP_MEASURE_PERIOD_BROKER_VALUE","DEEP_MEASURE_ID_OVERRIDE",$C105,"DEEP_BROKER_ID_OVERRIDE",$F$7,"DEEP_PERIOD_OVERRIDE",N$11)*1,"")))</f>
        <v/>
      </c>
      <c r="O105" s="17" t="str">
        <f ca="1">IF(ISNA($B105),"",IF($B105="","",IFERROR(_xll.BDP(TICKER,"DEEP_MEASURE_PERIOD_BROKER_VALUE","DEEP_MEASURE_ID_OVERRIDE",$C105,"DEEP_BROKER_ID_OVERRIDE",$F$7,"DEEP_PERIOD_OVERRIDE",O$11)*1,"")))</f>
        <v/>
      </c>
      <c r="P105" s="17" t="str">
        <f ca="1">IF(ISNA($B105),"",IF($B105="","",IFERROR(_xll.BDP(TICKER,"DEEP_MEASURE_PERIOD_BROKER_VALUE","DEEP_MEASURE_ID_OVERRIDE",$C105,"DEEP_BROKER_ID_OVERRIDE",$F$7,"DEEP_PERIOD_OVERRIDE",P$11)*1,"")))</f>
        <v/>
      </c>
      <c r="Q105" s="17" t="str">
        <f ca="1">IF(ISNA($B105),"",IF($B105="","",IFERROR(_xll.BDP(TICKER,"DEEP_MEASURE_PERIOD_BROKER_VALUE","DEEP_MEASURE_ID_OVERRIDE",$C105,"DEEP_BROKER_ID_OVERRIDE",$F$7,"DEEP_PERIOD_OVERRIDE",Q$11)*1,"")))</f>
        <v/>
      </c>
      <c r="R105" s="17" t="str">
        <f ca="1">IF(ISNA($B105),"",IF($B105="","",IFERROR(_xll.BDP(TICKER,"DEEP_MEASURE_PERIOD_BROKER_VALUE","DEEP_MEASURE_ID_OVERRIDE",$C105,"DEEP_BROKER_ID_OVERRIDE",$F$7,"DEEP_PERIOD_OVERRIDE",R$11)*1,"")))</f>
        <v/>
      </c>
      <c r="S105" s="17" t="str">
        <f ca="1">IF(ISNA($B105),"",IF($B105="","",IFERROR(_xll.BDP(TICKER,"DEEP_MEASURE_PERIOD_BROKER_VALUE","DEEP_MEASURE_ID_OVERRIDE",$C105,"DEEP_BROKER_ID_OVERRIDE",$F$7,"DEEP_PERIOD_OVERRIDE",S$11)*1,"")))</f>
        <v/>
      </c>
      <c r="T105" s="17" t="str">
        <f ca="1">IF(ISNA($B105),"",IF($B105="","",IFERROR(_xll.BDP(TICKER,"DEEP_MEASURE_PERIOD_BROKER_VALUE","DEEP_MEASURE_ID_OVERRIDE",$C105,"DEEP_BROKER_ID_OVERRIDE",$F$7,"DEEP_PERIOD_OVERRIDE",T$11)*1,"")))</f>
        <v/>
      </c>
      <c r="U105" s="17" t="str">
        <f ca="1">IF(ISNA($B105),"",IF($B105="","",IFERROR(_xll.BDP(TICKER,"DEEP_MEASURE_PERIOD_BROKER_VALUE","DEEP_MEASURE_ID_OVERRIDE",$C105,"DEEP_BROKER_ID_OVERRIDE",$F$7,"DEEP_PERIOD_OVERRIDE",U$11)*1,"")))</f>
        <v/>
      </c>
      <c r="V105" s="17" t="str">
        <f ca="1">IF(ISNA($B105),"",IF($B105="","",IFERROR(_xll.BDP(TICKER,"DEEP_MEASURE_PERIOD_BROKER_VALUE","DEEP_MEASURE_ID_OVERRIDE",$C105,"DEEP_BROKER_ID_OVERRIDE",$F$7,"DEEP_PERIOD_OVERRIDE",V$11)*1,"")))</f>
        <v/>
      </c>
      <c r="W105" s="17" t="str">
        <f ca="1">IF(ISNA($B105),"",IF($B105="","",IFERROR(_xll.BDP(TICKER,"DEEP_MEASURE_PERIOD_BROKER_VALUE","DEEP_MEASURE_ID_OVERRIDE",$C105,"DEEP_BROKER_ID_OVERRIDE",$F$7,"DEEP_PERIOD_OVERRIDE",W$11)*1,"")))</f>
        <v/>
      </c>
      <c r="X105" s="17" t="str">
        <f ca="1">IF(ISNA($B105),"",IF($B105="","",IFERROR(_xll.BDP(TICKER,"DEEP_MEASURE_PERIOD_BROKER_VALUE","DEEP_MEASURE_ID_OVERRIDE",$C105,"DEEP_BROKER_ID_OVERRIDE",$F$7,"DEEP_PERIOD_OVERRIDE",X$11)*1,"")))</f>
        <v/>
      </c>
      <c r="Y105" s="17" t="str">
        <f ca="1">IF(ISNA($B105),"",IF($B105="","",IFERROR(_xll.BDP(TICKER,"DEEP_MEASURE_PERIOD_BROKER_VALUE","DEEP_MEASURE_ID_OVERRIDE",$C105,"DEEP_BROKER_ID_OVERRIDE",$F$7,"DEEP_PERIOD_OVERRIDE",Y$11)*1,"")))</f>
        <v/>
      </c>
      <c r="Z105" s="17" t="str">
        <f ca="1">IF(ISNA($B105),"",IF($B105="","",IFERROR(_xll.BDP(TICKER,"DEEP_MEASURE_PERIOD_BROKER_VALUE","DEEP_MEASURE_ID_OVERRIDE",$C105,"DEEP_BROKER_ID_OVERRIDE",$F$7,"DEEP_PERIOD_OVERRIDE",Z$11)*1,"")))</f>
        <v/>
      </c>
      <c r="AA105" s="17" t="str">
        <f ca="1">IF(ISNA($B105),"",IF($B105="","",IFERROR(_xll.BDP(TICKER,"DEEP_MEASURE_PERIOD_BROKER_VALUE","DEEP_MEASURE_ID_OVERRIDE",$C105,"DEEP_BROKER_ID_OVERRIDE",$F$7,"DEEP_PERIOD_OVERRIDE",AA$11)*1,"")))</f>
        <v/>
      </c>
      <c r="AB105" s="17" t="str">
        <f ca="1">IF(ISNA($B105),"",IF($B105="","",IFERROR(_xll.BDP(TICKER,"DEEP_MEASURE_PERIOD_BROKER_VALUE","DEEP_MEASURE_ID_OVERRIDE",$C105,"DEEP_BROKER_ID_OVERRIDE",$F$7,"DEEP_PERIOD_OVERRIDE",AB$11)*1,"")))</f>
        <v/>
      </c>
      <c r="AC105" s="17" t="str">
        <f ca="1">IF(ISNA($B105),"",IF($B105="","",IFERROR(_xll.BDP(TICKER,"DEEP_MEASURE_PERIOD_BROKER_VALUE","DEEP_MEASURE_ID_OVERRIDE",$C105,"DEEP_BROKER_ID_OVERRIDE",$F$7,"DEEP_PERIOD_OVERRIDE",AC$11)*1,"")))</f>
        <v/>
      </c>
      <c r="AD105" s="17" t="str">
        <f ca="1">IF(ISNA($B105),"",IF($B105="","",IFERROR(_xll.BDP(TICKER,"DEEP_MEASURE_PERIOD_BROKER_VALUE","DEEP_MEASURE_ID_OVERRIDE",$C105,"DEEP_BROKER_ID_OVERRIDE",$F$7,"DEEP_PERIOD_OVERRIDE",AD$11)*1,"")))</f>
        <v/>
      </c>
      <c r="AE105" s="17" t="str">
        <f ca="1">IF(ISNA($B105),"",IF($B105="","",IFERROR(_xll.BDP(TICKER,"DEEP_MEASURE_PERIOD_BROKER_VALUE","DEEP_MEASURE_ID_OVERRIDE",$C105,"DEEP_BROKER_ID_OVERRIDE",$F$7,"DEEP_PERIOD_OVERRIDE",AE$11)*1,"")))</f>
        <v/>
      </c>
      <c r="AF105" s="17" t="str">
        <f ca="1">IF(ISNA($B105),"",IF($B105="","",IFERROR(_xll.BDP(TICKER,"DEEP_MEASURE_PERIOD_BROKER_VALUE","DEEP_MEASURE_ID_OVERRIDE",$C105,"DEEP_BROKER_ID_OVERRIDE",$F$7,"DEEP_PERIOD_OVERRIDE",AF$11)*1,"")))</f>
        <v/>
      </c>
      <c r="AG105" s="17" t="str">
        <f ca="1">IF(ISNA($B105),"",IF($B105="","",IFERROR(_xll.BDP(TICKER,"DEEP_MEASURE_PERIOD_BROKER_VALUE","DEEP_MEASURE_ID_OVERRIDE",$C105,"DEEP_BROKER_ID_OVERRIDE",$F$7,"DEEP_PERIOD_OVERRIDE",AG$11)*1,"")))</f>
        <v/>
      </c>
      <c r="AH105" s="17" t="str">
        <f ca="1">IF(ISNA($B105),"",IF($B105="","",IFERROR(_xll.BDP(TICKER,"DEEP_MEASURE_PERIOD_BROKER_VALUE","DEEP_MEASURE_ID_OVERRIDE",$C105,"DEEP_BROKER_ID_OVERRIDE",$F$7,"DEEP_PERIOD_OVERRIDE",AH$11)*1,"")))</f>
        <v/>
      </c>
      <c r="AI105" s="17" t="str">
        <f ca="1">IF(ISNA($B105),"",IF($B105="","",IFERROR(_xll.BDP(TICKER,"DEEP_MEASURE_PERIOD_BROKER_VALUE","DEEP_MEASURE_ID_OVERRIDE",$C105,"DEEP_BROKER_ID_OVERRIDE",$F$7,"DEEP_PERIOD_OVERRIDE",AI$11)*1,"")))</f>
        <v/>
      </c>
      <c r="AJ105" s="17" t="str">
        <f ca="1">IF(ISNA($B105),"",IF($B105="","",IFERROR(_xll.BDP(TICKER,"DEEP_MEASURE_PERIOD_BROKER_VALUE","DEEP_MEASURE_ID_OVERRIDE",$C105,"DEEP_BROKER_ID_OVERRIDE",$F$7,"DEEP_PERIOD_OVERRIDE",AJ$11)*1,"")))</f>
        <v/>
      </c>
      <c r="AK105" s="17" t="str">
        <f ca="1">IF(ISNA($B105),"",IF($B105="","",IFERROR(_xll.BDP(TICKER,"DEEP_MEASURE_PERIOD_BROKER_VALUE","DEEP_MEASURE_ID_OVERRIDE",$C105,"DEEP_BROKER_ID_OVERRIDE",$F$7,"DEEP_PERIOD_OVERRIDE",AK$11)*1,"")))</f>
        <v/>
      </c>
      <c r="AL105" s="17" t="str">
        <f ca="1">IF(ISNA($B105),"",IF($B105="","",IFERROR(_xll.BDP(TICKER,"DEEP_MEASURE_PERIOD_BROKER_VALUE","DEEP_MEASURE_ID_OVERRIDE",$C105,"DEEP_BROKER_ID_OVERRIDE",$F$7,"DEEP_PERIOD_OVERRIDE",AL$11)*1,"")))</f>
        <v/>
      </c>
      <c r="AM105" s="17" t="str">
        <f ca="1">IF(ISNA($B105),"",IF($B105="","",IFERROR(_xll.BDP(TICKER,"DEEP_MEASURE_PERIOD_BROKER_VALUE","DEEP_MEASURE_ID_OVERRIDE",$C105,"DEEP_BROKER_ID_OVERRIDE",$F$7,"DEEP_PERIOD_OVERRIDE",AM$11)*1,"")))</f>
        <v/>
      </c>
      <c r="AN105" s="17" t="str">
        <f ca="1">IF(ISNA($B105),"",IF($B105="","",IFERROR(_xll.BDP(TICKER,"DEEP_MEASURE_PERIOD_BROKER_VALUE","DEEP_MEASURE_ID_OVERRIDE",$C105,"DEEP_BROKER_ID_OVERRIDE",$F$7,"DEEP_PERIOD_OVERRIDE",AN$11)*1,"")))</f>
        <v/>
      </c>
      <c r="AO105" s="17" t="str">
        <f ca="1">IF(ISNA($B105),"",IF($B105="","",IFERROR(_xll.BDP(TICKER,"DEEP_MEASURE_PERIOD_BROKER_VALUE","DEEP_MEASURE_ID_OVERRIDE",$C105,"DEEP_BROKER_ID_OVERRIDE",$F$7,"DEEP_PERIOD_OVERRIDE",AO$11)*1,"")))</f>
        <v/>
      </c>
      <c r="AP105" s="17" t="str">
        <f ca="1">IF(ISNA($B105),"",IF($B105="","",IFERROR(_xll.BDP(TICKER,"DEEP_MEASURE_PERIOD_BROKER_VALUE","DEEP_MEASURE_ID_OVERRIDE",$C105,"DEEP_BROKER_ID_OVERRIDE",$F$7,"DEEP_PERIOD_OVERRIDE",AP$11)*1,"")))</f>
        <v/>
      </c>
      <c r="AQ105" s="17" t="str">
        <f ca="1">IF(ISNA($B105),"",IF($B105="","",IFERROR(_xll.BDP(TICKER,"DEEP_MEASURE_PERIOD_BROKER_VALUE","DEEP_MEASURE_ID_OVERRIDE",$C105,"DEEP_BROKER_ID_OVERRIDE",$F$7,"DEEP_PERIOD_OVERRIDE",AQ$11)*1,"")))</f>
        <v/>
      </c>
    </row>
    <row r="106" spans="2:43" x14ac:dyDescent="0.25">
      <c r="B106" t="s">
        <v>151</v>
      </c>
      <c r="C106" s="11">
        <v>343</v>
      </c>
      <c r="H106" t="str">
        <f t="shared" si="3"/>
        <v>General &amp; Administrative Expenses &gt; Stock Based Compensation (Non-GAAP)</v>
      </c>
      <c r="I106" s="17" t="str">
        <f ca="1">IF(ISNA($B106),"",IF($B106="","",IFERROR(_xll.BDP(TICKER,"DEEP_MEASURE_PERIOD_BROKER_VALUE","DEEP_MEASURE_ID_OVERRIDE",$C106,"DEEP_BROKER_ID_OVERRIDE",$F$7,"DEEP_PERIOD_OVERRIDE",I$11)*1,"")))</f>
        <v/>
      </c>
      <c r="J106" s="17" t="str">
        <f ca="1">IF(ISNA($B106),"",IF($B106="","",IFERROR(_xll.BDP(TICKER,"DEEP_MEASURE_PERIOD_BROKER_VALUE","DEEP_MEASURE_ID_OVERRIDE",$C106,"DEEP_BROKER_ID_OVERRIDE",$F$7,"DEEP_PERIOD_OVERRIDE",J$11)*1,"")))</f>
        <v/>
      </c>
      <c r="K106" s="17" t="str">
        <f ca="1">IF(ISNA($B106),"",IF($B106="","",IFERROR(_xll.BDP(TICKER,"DEEP_MEASURE_PERIOD_BROKER_VALUE","DEEP_MEASURE_ID_OVERRIDE",$C106,"DEEP_BROKER_ID_OVERRIDE",$F$7,"DEEP_PERIOD_OVERRIDE",K$11)*1,"")))</f>
        <v/>
      </c>
      <c r="L106" s="17" t="str">
        <f ca="1">IF(ISNA($B106),"",IF($B106="","",IFERROR(_xll.BDP(TICKER,"DEEP_MEASURE_PERIOD_BROKER_VALUE","DEEP_MEASURE_ID_OVERRIDE",$C106,"DEEP_BROKER_ID_OVERRIDE",$F$7,"DEEP_PERIOD_OVERRIDE",L$11)*1,"")))</f>
        <v/>
      </c>
      <c r="M106" s="17" t="str">
        <f ca="1">IF(ISNA($B106),"",IF($B106="","",IFERROR(_xll.BDP(TICKER,"DEEP_MEASURE_PERIOD_BROKER_VALUE","DEEP_MEASURE_ID_OVERRIDE",$C106,"DEEP_BROKER_ID_OVERRIDE",$F$7,"DEEP_PERIOD_OVERRIDE",M$11)*1,"")))</f>
        <v/>
      </c>
      <c r="N106" s="17" t="str">
        <f ca="1">IF(ISNA($B106),"",IF($B106="","",IFERROR(_xll.BDP(TICKER,"DEEP_MEASURE_PERIOD_BROKER_VALUE","DEEP_MEASURE_ID_OVERRIDE",$C106,"DEEP_BROKER_ID_OVERRIDE",$F$7,"DEEP_PERIOD_OVERRIDE",N$11)*1,"")))</f>
        <v/>
      </c>
      <c r="O106" s="17" t="str">
        <f ca="1">IF(ISNA($B106),"",IF($B106="","",IFERROR(_xll.BDP(TICKER,"DEEP_MEASURE_PERIOD_BROKER_VALUE","DEEP_MEASURE_ID_OVERRIDE",$C106,"DEEP_BROKER_ID_OVERRIDE",$F$7,"DEEP_PERIOD_OVERRIDE",O$11)*1,"")))</f>
        <v/>
      </c>
      <c r="P106" s="17" t="str">
        <f ca="1">IF(ISNA($B106),"",IF($B106="","",IFERROR(_xll.BDP(TICKER,"DEEP_MEASURE_PERIOD_BROKER_VALUE","DEEP_MEASURE_ID_OVERRIDE",$C106,"DEEP_BROKER_ID_OVERRIDE",$F$7,"DEEP_PERIOD_OVERRIDE",P$11)*1,"")))</f>
        <v/>
      </c>
      <c r="Q106" s="17" t="str">
        <f ca="1">IF(ISNA($B106),"",IF($B106="","",IFERROR(_xll.BDP(TICKER,"DEEP_MEASURE_PERIOD_BROKER_VALUE","DEEP_MEASURE_ID_OVERRIDE",$C106,"DEEP_BROKER_ID_OVERRIDE",$F$7,"DEEP_PERIOD_OVERRIDE",Q$11)*1,"")))</f>
        <v/>
      </c>
      <c r="R106" s="17" t="str">
        <f ca="1">IF(ISNA($B106),"",IF($B106="","",IFERROR(_xll.BDP(TICKER,"DEEP_MEASURE_PERIOD_BROKER_VALUE","DEEP_MEASURE_ID_OVERRIDE",$C106,"DEEP_BROKER_ID_OVERRIDE",$F$7,"DEEP_PERIOD_OVERRIDE",R$11)*1,"")))</f>
        <v/>
      </c>
      <c r="S106" s="17" t="str">
        <f ca="1">IF(ISNA($B106),"",IF($B106="","",IFERROR(_xll.BDP(TICKER,"DEEP_MEASURE_PERIOD_BROKER_VALUE","DEEP_MEASURE_ID_OVERRIDE",$C106,"DEEP_BROKER_ID_OVERRIDE",$F$7,"DEEP_PERIOD_OVERRIDE",S$11)*1,"")))</f>
        <v/>
      </c>
      <c r="T106" s="17" t="str">
        <f ca="1">IF(ISNA($B106),"",IF($B106="","",IFERROR(_xll.BDP(TICKER,"DEEP_MEASURE_PERIOD_BROKER_VALUE","DEEP_MEASURE_ID_OVERRIDE",$C106,"DEEP_BROKER_ID_OVERRIDE",$F$7,"DEEP_PERIOD_OVERRIDE",T$11)*1,"")))</f>
        <v/>
      </c>
      <c r="U106" s="17" t="str">
        <f ca="1">IF(ISNA($B106),"",IF($B106="","",IFERROR(_xll.BDP(TICKER,"DEEP_MEASURE_PERIOD_BROKER_VALUE","DEEP_MEASURE_ID_OVERRIDE",$C106,"DEEP_BROKER_ID_OVERRIDE",$F$7,"DEEP_PERIOD_OVERRIDE",U$11)*1,"")))</f>
        <v/>
      </c>
      <c r="V106" s="17" t="str">
        <f ca="1">IF(ISNA($B106),"",IF($B106="","",IFERROR(_xll.BDP(TICKER,"DEEP_MEASURE_PERIOD_BROKER_VALUE","DEEP_MEASURE_ID_OVERRIDE",$C106,"DEEP_BROKER_ID_OVERRIDE",$F$7,"DEEP_PERIOD_OVERRIDE",V$11)*1,"")))</f>
        <v/>
      </c>
      <c r="W106" s="17" t="str">
        <f ca="1">IF(ISNA($B106),"",IF($B106="","",IFERROR(_xll.BDP(TICKER,"DEEP_MEASURE_PERIOD_BROKER_VALUE","DEEP_MEASURE_ID_OVERRIDE",$C106,"DEEP_BROKER_ID_OVERRIDE",$F$7,"DEEP_PERIOD_OVERRIDE",W$11)*1,"")))</f>
        <v/>
      </c>
      <c r="X106" s="17" t="str">
        <f ca="1">IF(ISNA($B106),"",IF($B106="","",IFERROR(_xll.BDP(TICKER,"DEEP_MEASURE_PERIOD_BROKER_VALUE","DEEP_MEASURE_ID_OVERRIDE",$C106,"DEEP_BROKER_ID_OVERRIDE",$F$7,"DEEP_PERIOD_OVERRIDE",X$11)*1,"")))</f>
        <v/>
      </c>
      <c r="Y106" s="17" t="str">
        <f ca="1">IF(ISNA($B106),"",IF($B106="","",IFERROR(_xll.BDP(TICKER,"DEEP_MEASURE_PERIOD_BROKER_VALUE","DEEP_MEASURE_ID_OVERRIDE",$C106,"DEEP_BROKER_ID_OVERRIDE",$F$7,"DEEP_PERIOD_OVERRIDE",Y$11)*1,"")))</f>
        <v/>
      </c>
      <c r="Z106" s="17" t="str">
        <f ca="1">IF(ISNA($B106),"",IF($B106="","",IFERROR(_xll.BDP(TICKER,"DEEP_MEASURE_PERIOD_BROKER_VALUE","DEEP_MEASURE_ID_OVERRIDE",$C106,"DEEP_BROKER_ID_OVERRIDE",$F$7,"DEEP_PERIOD_OVERRIDE",Z$11)*1,"")))</f>
        <v/>
      </c>
      <c r="AA106" s="17" t="str">
        <f ca="1">IF(ISNA($B106),"",IF($B106="","",IFERROR(_xll.BDP(TICKER,"DEEP_MEASURE_PERIOD_BROKER_VALUE","DEEP_MEASURE_ID_OVERRIDE",$C106,"DEEP_BROKER_ID_OVERRIDE",$F$7,"DEEP_PERIOD_OVERRIDE",AA$11)*1,"")))</f>
        <v/>
      </c>
      <c r="AB106" s="17" t="str">
        <f ca="1">IF(ISNA($B106),"",IF($B106="","",IFERROR(_xll.BDP(TICKER,"DEEP_MEASURE_PERIOD_BROKER_VALUE","DEEP_MEASURE_ID_OVERRIDE",$C106,"DEEP_BROKER_ID_OVERRIDE",$F$7,"DEEP_PERIOD_OVERRIDE",AB$11)*1,"")))</f>
        <v/>
      </c>
      <c r="AC106" s="17" t="str">
        <f ca="1">IF(ISNA($B106),"",IF($B106="","",IFERROR(_xll.BDP(TICKER,"DEEP_MEASURE_PERIOD_BROKER_VALUE","DEEP_MEASURE_ID_OVERRIDE",$C106,"DEEP_BROKER_ID_OVERRIDE",$F$7,"DEEP_PERIOD_OVERRIDE",AC$11)*1,"")))</f>
        <v/>
      </c>
      <c r="AD106" s="17" t="str">
        <f ca="1">IF(ISNA($B106),"",IF($B106="","",IFERROR(_xll.BDP(TICKER,"DEEP_MEASURE_PERIOD_BROKER_VALUE","DEEP_MEASURE_ID_OVERRIDE",$C106,"DEEP_BROKER_ID_OVERRIDE",$F$7,"DEEP_PERIOD_OVERRIDE",AD$11)*1,"")))</f>
        <v/>
      </c>
      <c r="AE106" s="17" t="str">
        <f ca="1">IF(ISNA($B106),"",IF($B106="","",IFERROR(_xll.BDP(TICKER,"DEEP_MEASURE_PERIOD_BROKER_VALUE","DEEP_MEASURE_ID_OVERRIDE",$C106,"DEEP_BROKER_ID_OVERRIDE",$F$7,"DEEP_PERIOD_OVERRIDE",AE$11)*1,"")))</f>
        <v/>
      </c>
      <c r="AF106" s="17" t="str">
        <f ca="1">IF(ISNA($B106),"",IF($B106="","",IFERROR(_xll.BDP(TICKER,"DEEP_MEASURE_PERIOD_BROKER_VALUE","DEEP_MEASURE_ID_OVERRIDE",$C106,"DEEP_BROKER_ID_OVERRIDE",$F$7,"DEEP_PERIOD_OVERRIDE",AF$11)*1,"")))</f>
        <v/>
      </c>
      <c r="AG106" s="17" t="str">
        <f ca="1">IF(ISNA($B106),"",IF($B106="","",IFERROR(_xll.BDP(TICKER,"DEEP_MEASURE_PERIOD_BROKER_VALUE","DEEP_MEASURE_ID_OVERRIDE",$C106,"DEEP_BROKER_ID_OVERRIDE",$F$7,"DEEP_PERIOD_OVERRIDE",AG$11)*1,"")))</f>
        <v/>
      </c>
      <c r="AH106" s="17" t="str">
        <f ca="1">IF(ISNA($B106),"",IF($B106="","",IFERROR(_xll.BDP(TICKER,"DEEP_MEASURE_PERIOD_BROKER_VALUE","DEEP_MEASURE_ID_OVERRIDE",$C106,"DEEP_BROKER_ID_OVERRIDE",$F$7,"DEEP_PERIOD_OVERRIDE",AH$11)*1,"")))</f>
        <v/>
      </c>
      <c r="AI106" s="17" t="str">
        <f ca="1">IF(ISNA($B106),"",IF($B106="","",IFERROR(_xll.BDP(TICKER,"DEEP_MEASURE_PERIOD_BROKER_VALUE","DEEP_MEASURE_ID_OVERRIDE",$C106,"DEEP_BROKER_ID_OVERRIDE",$F$7,"DEEP_PERIOD_OVERRIDE",AI$11)*1,"")))</f>
        <v/>
      </c>
      <c r="AJ106" s="17" t="str">
        <f ca="1">IF(ISNA($B106),"",IF($B106="","",IFERROR(_xll.BDP(TICKER,"DEEP_MEASURE_PERIOD_BROKER_VALUE","DEEP_MEASURE_ID_OVERRIDE",$C106,"DEEP_BROKER_ID_OVERRIDE",$F$7,"DEEP_PERIOD_OVERRIDE",AJ$11)*1,"")))</f>
        <v/>
      </c>
      <c r="AK106" s="17" t="str">
        <f ca="1">IF(ISNA($B106),"",IF($B106="","",IFERROR(_xll.BDP(TICKER,"DEEP_MEASURE_PERIOD_BROKER_VALUE","DEEP_MEASURE_ID_OVERRIDE",$C106,"DEEP_BROKER_ID_OVERRIDE",$F$7,"DEEP_PERIOD_OVERRIDE",AK$11)*1,"")))</f>
        <v/>
      </c>
      <c r="AL106" s="17" t="str">
        <f ca="1">IF(ISNA($B106),"",IF($B106="","",IFERROR(_xll.BDP(TICKER,"DEEP_MEASURE_PERIOD_BROKER_VALUE","DEEP_MEASURE_ID_OVERRIDE",$C106,"DEEP_BROKER_ID_OVERRIDE",$F$7,"DEEP_PERIOD_OVERRIDE",AL$11)*1,"")))</f>
        <v/>
      </c>
      <c r="AM106" s="17" t="str">
        <f ca="1">IF(ISNA($B106),"",IF($B106="","",IFERROR(_xll.BDP(TICKER,"DEEP_MEASURE_PERIOD_BROKER_VALUE","DEEP_MEASURE_ID_OVERRIDE",$C106,"DEEP_BROKER_ID_OVERRIDE",$F$7,"DEEP_PERIOD_OVERRIDE",AM$11)*1,"")))</f>
        <v/>
      </c>
      <c r="AN106" s="17" t="str">
        <f ca="1">IF(ISNA($B106),"",IF($B106="","",IFERROR(_xll.BDP(TICKER,"DEEP_MEASURE_PERIOD_BROKER_VALUE","DEEP_MEASURE_ID_OVERRIDE",$C106,"DEEP_BROKER_ID_OVERRIDE",$F$7,"DEEP_PERIOD_OVERRIDE",AN$11)*1,"")))</f>
        <v/>
      </c>
      <c r="AO106" s="17" t="str">
        <f ca="1">IF(ISNA($B106),"",IF($B106="","",IFERROR(_xll.BDP(TICKER,"DEEP_MEASURE_PERIOD_BROKER_VALUE","DEEP_MEASURE_ID_OVERRIDE",$C106,"DEEP_BROKER_ID_OVERRIDE",$F$7,"DEEP_PERIOD_OVERRIDE",AO$11)*1,"")))</f>
        <v/>
      </c>
      <c r="AP106" s="17" t="str">
        <f ca="1">IF(ISNA($B106),"",IF($B106="","",IFERROR(_xll.BDP(TICKER,"DEEP_MEASURE_PERIOD_BROKER_VALUE","DEEP_MEASURE_ID_OVERRIDE",$C106,"DEEP_BROKER_ID_OVERRIDE",$F$7,"DEEP_PERIOD_OVERRIDE",AP$11)*1,"")))</f>
        <v/>
      </c>
      <c r="AQ106" s="17" t="str">
        <f ca="1">IF(ISNA($B106),"",IF($B106="","",IFERROR(_xll.BDP(TICKER,"DEEP_MEASURE_PERIOD_BROKER_VALUE","DEEP_MEASURE_ID_OVERRIDE",$C106,"DEEP_BROKER_ID_OVERRIDE",$F$7,"DEEP_PERIOD_OVERRIDE",AQ$11)*1,"")))</f>
        <v/>
      </c>
    </row>
    <row r="107" spans="2:43" x14ac:dyDescent="0.25">
      <c r="B107" t="s">
        <v>152</v>
      </c>
      <c r="C107" s="11">
        <v>901</v>
      </c>
      <c r="H107" t="str">
        <f t="shared" si="3"/>
        <v>Research &amp; Development Expense</v>
      </c>
      <c r="I107" s="17" t="str">
        <f ca="1">IF(ISNA($B107),"",IF($B107="","",IFERROR(_xll.BDP(TICKER,"DEEP_MEASURE_PERIOD_BROKER_VALUE","DEEP_MEASURE_ID_OVERRIDE",$C107,"DEEP_BROKER_ID_OVERRIDE",$F$7,"DEEP_PERIOD_OVERRIDE",I$11)*1,"")))</f>
        <v/>
      </c>
      <c r="J107" s="17" t="str">
        <f ca="1">IF(ISNA($B107),"",IF($B107="","",IFERROR(_xll.BDP(TICKER,"DEEP_MEASURE_PERIOD_BROKER_VALUE","DEEP_MEASURE_ID_OVERRIDE",$C107,"DEEP_BROKER_ID_OVERRIDE",$F$7,"DEEP_PERIOD_OVERRIDE",J$11)*1,"")))</f>
        <v/>
      </c>
      <c r="K107" s="17" t="str">
        <f ca="1">IF(ISNA($B107),"",IF($B107="","",IFERROR(_xll.BDP(TICKER,"DEEP_MEASURE_PERIOD_BROKER_VALUE","DEEP_MEASURE_ID_OVERRIDE",$C107,"DEEP_BROKER_ID_OVERRIDE",$F$7,"DEEP_PERIOD_OVERRIDE",K$11)*1,"")))</f>
        <v/>
      </c>
      <c r="L107" s="17" t="str">
        <f ca="1">IF(ISNA($B107),"",IF($B107="","",IFERROR(_xll.BDP(TICKER,"DEEP_MEASURE_PERIOD_BROKER_VALUE","DEEP_MEASURE_ID_OVERRIDE",$C107,"DEEP_BROKER_ID_OVERRIDE",$F$7,"DEEP_PERIOD_OVERRIDE",L$11)*1,"")))</f>
        <v/>
      </c>
      <c r="M107" s="17" t="str">
        <f ca="1">IF(ISNA($B107),"",IF($B107="","",IFERROR(_xll.BDP(TICKER,"DEEP_MEASURE_PERIOD_BROKER_VALUE","DEEP_MEASURE_ID_OVERRIDE",$C107,"DEEP_BROKER_ID_OVERRIDE",$F$7,"DEEP_PERIOD_OVERRIDE",M$11)*1,"")))</f>
        <v/>
      </c>
      <c r="N107" s="17" t="str">
        <f ca="1">IF(ISNA($B107),"",IF($B107="","",IFERROR(_xll.BDP(TICKER,"DEEP_MEASURE_PERIOD_BROKER_VALUE","DEEP_MEASURE_ID_OVERRIDE",$C107,"DEEP_BROKER_ID_OVERRIDE",$F$7,"DEEP_PERIOD_OVERRIDE",N$11)*1,"")))</f>
        <v/>
      </c>
      <c r="O107" s="17" t="str">
        <f ca="1">IF(ISNA($B107),"",IF($B107="","",IFERROR(_xll.BDP(TICKER,"DEEP_MEASURE_PERIOD_BROKER_VALUE","DEEP_MEASURE_ID_OVERRIDE",$C107,"DEEP_BROKER_ID_OVERRIDE",$F$7,"DEEP_PERIOD_OVERRIDE",O$11)*1,"")))</f>
        <v/>
      </c>
      <c r="P107" s="17" t="str">
        <f ca="1">IF(ISNA($B107),"",IF($B107="","",IFERROR(_xll.BDP(TICKER,"DEEP_MEASURE_PERIOD_BROKER_VALUE","DEEP_MEASURE_ID_OVERRIDE",$C107,"DEEP_BROKER_ID_OVERRIDE",$F$7,"DEEP_PERIOD_OVERRIDE",P$11)*1,"")))</f>
        <v/>
      </c>
      <c r="Q107" s="17" t="str">
        <f ca="1">IF(ISNA($B107),"",IF($B107="","",IFERROR(_xll.BDP(TICKER,"DEEP_MEASURE_PERIOD_BROKER_VALUE","DEEP_MEASURE_ID_OVERRIDE",$C107,"DEEP_BROKER_ID_OVERRIDE",$F$7,"DEEP_PERIOD_OVERRIDE",Q$11)*1,"")))</f>
        <v/>
      </c>
      <c r="R107" s="17" t="str">
        <f ca="1">IF(ISNA($B107),"",IF($B107="","",IFERROR(_xll.BDP(TICKER,"DEEP_MEASURE_PERIOD_BROKER_VALUE","DEEP_MEASURE_ID_OVERRIDE",$C107,"DEEP_BROKER_ID_OVERRIDE",$F$7,"DEEP_PERIOD_OVERRIDE",R$11)*1,"")))</f>
        <v/>
      </c>
      <c r="S107" s="17" t="str">
        <f ca="1">IF(ISNA($B107),"",IF($B107="","",IFERROR(_xll.BDP(TICKER,"DEEP_MEASURE_PERIOD_BROKER_VALUE","DEEP_MEASURE_ID_OVERRIDE",$C107,"DEEP_BROKER_ID_OVERRIDE",$F$7,"DEEP_PERIOD_OVERRIDE",S$11)*1,"")))</f>
        <v/>
      </c>
      <c r="T107" s="17" t="str">
        <f ca="1">IF(ISNA($B107),"",IF($B107="","",IFERROR(_xll.BDP(TICKER,"DEEP_MEASURE_PERIOD_BROKER_VALUE","DEEP_MEASURE_ID_OVERRIDE",$C107,"DEEP_BROKER_ID_OVERRIDE",$F$7,"DEEP_PERIOD_OVERRIDE",T$11)*1,"")))</f>
        <v/>
      </c>
      <c r="U107" s="17" t="str">
        <f ca="1">IF(ISNA($B107),"",IF($B107="","",IFERROR(_xll.BDP(TICKER,"DEEP_MEASURE_PERIOD_BROKER_VALUE","DEEP_MEASURE_ID_OVERRIDE",$C107,"DEEP_BROKER_ID_OVERRIDE",$F$7,"DEEP_PERIOD_OVERRIDE",U$11)*1,"")))</f>
        <v/>
      </c>
      <c r="V107" s="17" t="str">
        <f ca="1">IF(ISNA($B107),"",IF($B107="","",IFERROR(_xll.BDP(TICKER,"DEEP_MEASURE_PERIOD_BROKER_VALUE","DEEP_MEASURE_ID_OVERRIDE",$C107,"DEEP_BROKER_ID_OVERRIDE",$F$7,"DEEP_PERIOD_OVERRIDE",V$11)*1,"")))</f>
        <v/>
      </c>
      <c r="W107" s="17" t="str">
        <f ca="1">IF(ISNA($B107),"",IF($B107="","",IFERROR(_xll.BDP(TICKER,"DEEP_MEASURE_PERIOD_BROKER_VALUE","DEEP_MEASURE_ID_OVERRIDE",$C107,"DEEP_BROKER_ID_OVERRIDE",$F$7,"DEEP_PERIOD_OVERRIDE",W$11)*1,"")))</f>
        <v/>
      </c>
      <c r="X107" s="17" t="str">
        <f ca="1">IF(ISNA($B107),"",IF($B107="","",IFERROR(_xll.BDP(TICKER,"DEEP_MEASURE_PERIOD_BROKER_VALUE","DEEP_MEASURE_ID_OVERRIDE",$C107,"DEEP_BROKER_ID_OVERRIDE",$F$7,"DEEP_PERIOD_OVERRIDE",X$11)*1,"")))</f>
        <v/>
      </c>
      <c r="Y107" s="17" t="str">
        <f ca="1">IF(ISNA($B107),"",IF($B107="","",IFERROR(_xll.BDP(TICKER,"DEEP_MEASURE_PERIOD_BROKER_VALUE","DEEP_MEASURE_ID_OVERRIDE",$C107,"DEEP_BROKER_ID_OVERRIDE",$F$7,"DEEP_PERIOD_OVERRIDE",Y$11)*1,"")))</f>
        <v/>
      </c>
      <c r="Z107" s="17" t="str">
        <f ca="1">IF(ISNA($B107),"",IF($B107="","",IFERROR(_xll.BDP(TICKER,"DEEP_MEASURE_PERIOD_BROKER_VALUE","DEEP_MEASURE_ID_OVERRIDE",$C107,"DEEP_BROKER_ID_OVERRIDE",$F$7,"DEEP_PERIOD_OVERRIDE",Z$11)*1,"")))</f>
        <v/>
      </c>
      <c r="AA107" s="17" t="str">
        <f ca="1">IF(ISNA($B107),"",IF($B107="","",IFERROR(_xll.BDP(TICKER,"DEEP_MEASURE_PERIOD_BROKER_VALUE","DEEP_MEASURE_ID_OVERRIDE",$C107,"DEEP_BROKER_ID_OVERRIDE",$F$7,"DEEP_PERIOD_OVERRIDE",AA$11)*1,"")))</f>
        <v/>
      </c>
      <c r="AB107" s="17" t="str">
        <f ca="1">IF(ISNA($B107),"",IF($B107="","",IFERROR(_xll.BDP(TICKER,"DEEP_MEASURE_PERIOD_BROKER_VALUE","DEEP_MEASURE_ID_OVERRIDE",$C107,"DEEP_BROKER_ID_OVERRIDE",$F$7,"DEEP_PERIOD_OVERRIDE",AB$11)*1,"")))</f>
        <v/>
      </c>
      <c r="AC107" s="17" t="str">
        <f ca="1">IF(ISNA($B107),"",IF($B107="","",IFERROR(_xll.BDP(TICKER,"DEEP_MEASURE_PERIOD_BROKER_VALUE","DEEP_MEASURE_ID_OVERRIDE",$C107,"DEEP_BROKER_ID_OVERRIDE",$F$7,"DEEP_PERIOD_OVERRIDE",AC$11)*1,"")))</f>
        <v/>
      </c>
      <c r="AD107" s="17" t="str">
        <f ca="1">IF(ISNA($B107),"",IF($B107="","",IFERROR(_xll.BDP(TICKER,"DEEP_MEASURE_PERIOD_BROKER_VALUE","DEEP_MEASURE_ID_OVERRIDE",$C107,"DEEP_BROKER_ID_OVERRIDE",$F$7,"DEEP_PERIOD_OVERRIDE",AD$11)*1,"")))</f>
        <v/>
      </c>
      <c r="AE107" s="17" t="str">
        <f ca="1">IF(ISNA($B107),"",IF($B107="","",IFERROR(_xll.BDP(TICKER,"DEEP_MEASURE_PERIOD_BROKER_VALUE","DEEP_MEASURE_ID_OVERRIDE",$C107,"DEEP_BROKER_ID_OVERRIDE",$F$7,"DEEP_PERIOD_OVERRIDE",AE$11)*1,"")))</f>
        <v/>
      </c>
      <c r="AF107" s="17" t="str">
        <f ca="1">IF(ISNA($B107),"",IF($B107="","",IFERROR(_xll.BDP(TICKER,"DEEP_MEASURE_PERIOD_BROKER_VALUE","DEEP_MEASURE_ID_OVERRIDE",$C107,"DEEP_BROKER_ID_OVERRIDE",$F$7,"DEEP_PERIOD_OVERRIDE",AF$11)*1,"")))</f>
        <v/>
      </c>
      <c r="AG107" s="17" t="str">
        <f ca="1">IF(ISNA($B107),"",IF($B107="","",IFERROR(_xll.BDP(TICKER,"DEEP_MEASURE_PERIOD_BROKER_VALUE","DEEP_MEASURE_ID_OVERRIDE",$C107,"DEEP_BROKER_ID_OVERRIDE",$F$7,"DEEP_PERIOD_OVERRIDE",AG$11)*1,"")))</f>
        <v/>
      </c>
      <c r="AH107" s="17" t="str">
        <f ca="1">IF(ISNA($B107),"",IF($B107="","",IFERROR(_xll.BDP(TICKER,"DEEP_MEASURE_PERIOD_BROKER_VALUE","DEEP_MEASURE_ID_OVERRIDE",$C107,"DEEP_BROKER_ID_OVERRIDE",$F$7,"DEEP_PERIOD_OVERRIDE",AH$11)*1,"")))</f>
        <v/>
      </c>
      <c r="AI107" s="17" t="str">
        <f ca="1">IF(ISNA($B107),"",IF($B107="","",IFERROR(_xll.BDP(TICKER,"DEEP_MEASURE_PERIOD_BROKER_VALUE","DEEP_MEASURE_ID_OVERRIDE",$C107,"DEEP_BROKER_ID_OVERRIDE",$F$7,"DEEP_PERIOD_OVERRIDE",AI$11)*1,"")))</f>
        <v/>
      </c>
      <c r="AJ107" s="17" t="str">
        <f ca="1">IF(ISNA($B107),"",IF($B107="","",IFERROR(_xll.BDP(TICKER,"DEEP_MEASURE_PERIOD_BROKER_VALUE","DEEP_MEASURE_ID_OVERRIDE",$C107,"DEEP_BROKER_ID_OVERRIDE",$F$7,"DEEP_PERIOD_OVERRIDE",AJ$11)*1,"")))</f>
        <v/>
      </c>
      <c r="AK107" s="17" t="str">
        <f ca="1">IF(ISNA($B107),"",IF($B107="","",IFERROR(_xll.BDP(TICKER,"DEEP_MEASURE_PERIOD_BROKER_VALUE","DEEP_MEASURE_ID_OVERRIDE",$C107,"DEEP_BROKER_ID_OVERRIDE",$F$7,"DEEP_PERIOD_OVERRIDE",AK$11)*1,"")))</f>
        <v/>
      </c>
      <c r="AL107" s="17" t="str">
        <f ca="1">IF(ISNA($B107),"",IF($B107="","",IFERROR(_xll.BDP(TICKER,"DEEP_MEASURE_PERIOD_BROKER_VALUE","DEEP_MEASURE_ID_OVERRIDE",$C107,"DEEP_BROKER_ID_OVERRIDE",$F$7,"DEEP_PERIOD_OVERRIDE",AL$11)*1,"")))</f>
        <v/>
      </c>
      <c r="AM107" s="17" t="str">
        <f ca="1">IF(ISNA($B107),"",IF($B107="","",IFERROR(_xll.BDP(TICKER,"DEEP_MEASURE_PERIOD_BROKER_VALUE","DEEP_MEASURE_ID_OVERRIDE",$C107,"DEEP_BROKER_ID_OVERRIDE",$F$7,"DEEP_PERIOD_OVERRIDE",AM$11)*1,"")))</f>
        <v/>
      </c>
      <c r="AN107" s="17" t="str">
        <f ca="1">IF(ISNA($B107),"",IF($B107="","",IFERROR(_xll.BDP(TICKER,"DEEP_MEASURE_PERIOD_BROKER_VALUE","DEEP_MEASURE_ID_OVERRIDE",$C107,"DEEP_BROKER_ID_OVERRIDE",$F$7,"DEEP_PERIOD_OVERRIDE",AN$11)*1,"")))</f>
        <v/>
      </c>
      <c r="AO107" s="17" t="str">
        <f ca="1">IF(ISNA($B107),"",IF($B107="","",IFERROR(_xll.BDP(TICKER,"DEEP_MEASURE_PERIOD_BROKER_VALUE","DEEP_MEASURE_ID_OVERRIDE",$C107,"DEEP_BROKER_ID_OVERRIDE",$F$7,"DEEP_PERIOD_OVERRIDE",AO$11)*1,"")))</f>
        <v/>
      </c>
      <c r="AP107" s="17" t="str">
        <f ca="1">IF(ISNA($B107),"",IF($B107="","",IFERROR(_xll.BDP(TICKER,"DEEP_MEASURE_PERIOD_BROKER_VALUE","DEEP_MEASURE_ID_OVERRIDE",$C107,"DEEP_BROKER_ID_OVERRIDE",$F$7,"DEEP_PERIOD_OVERRIDE",AP$11)*1,"")))</f>
        <v/>
      </c>
      <c r="AQ107" s="17" t="str">
        <f ca="1">IF(ISNA($B107),"",IF($B107="","",IFERROR(_xll.BDP(TICKER,"DEEP_MEASURE_PERIOD_BROKER_VALUE","DEEP_MEASURE_ID_OVERRIDE",$C107,"DEEP_BROKER_ID_OVERRIDE",$F$7,"DEEP_PERIOD_OVERRIDE",AQ$11)*1,"")))</f>
        <v/>
      </c>
    </row>
    <row r="108" spans="2:43" x14ac:dyDescent="0.25">
      <c r="B108" t="s">
        <v>153</v>
      </c>
      <c r="C108" s="11">
        <v>906</v>
      </c>
      <c r="H108" t="str">
        <f t="shared" si="3"/>
        <v>Research &amp; Development Expense &gt; As % of Revenue</v>
      </c>
      <c r="I108" s="17" t="str">
        <f ca="1">IF(ISNA($B108),"",IF($B108="","",IFERROR(_xll.BDP(TICKER,"DEEP_MEASURE_PERIOD_BROKER_VALUE","DEEP_MEASURE_ID_OVERRIDE",$C108,"DEEP_BROKER_ID_OVERRIDE",$F$7,"DEEP_PERIOD_OVERRIDE",I$11)*1,"")))</f>
        <v/>
      </c>
      <c r="J108" s="17" t="str">
        <f ca="1">IF(ISNA($B108),"",IF($B108="","",IFERROR(_xll.BDP(TICKER,"DEEP_MEASURE_PERIOD_BROKER_VALUE","DEEP_MEASURE_ID_OVERRIDE",$C108,"DEEP_BROKER_ID_OVERRIDE",$F$7,"DEEP_PERIOD_OVERRIDE",J$11)*1,"")))</f>
        <v/>
      </c>
      <c r="K108" s="17" t="str">
        <f ca="1">IF(ISNA($B108),"",IF($B108="","",IFERROR(_xll.BDP(TICKER,"DEEP_MEASURE_PERIOD_BROKER_VALUE","DEEP_MEASURE_ID_OVERRIDE",$C108,"DEEP_BROKER_ID_OVERRIDE",$F$7,"DEEP_PERIOD_OVERRIDE",K$11)*1,"")))</f>
        <v/>
      </c>
      <c r="L108" s="17" t="str">
        <f ca="1">IF(ISNA($B108),"",IF($B108="","",IFERROR(_xll.BDP(TICKER,"DEEP_MEASURE_PERIOD_BROKER_VALUE","DEEP_MEASURE_ID_OVERRIDE",$C108,"DEEP_BROKER_ID_OVERRIDE",$F$7,"DEEP_PERIOD_OVERRIDE",L$11)*1,"")))</f>
        <v/>
      </c>
      <c r="M108" s="17" t="str">
        <f ca="1">IF(ISNA($B108),"",IF($B108="","",IFERROR(_xll.BDP(TICKER,"DEEP_MEASURE_PERIOD_BROKER_VALUE","DEEP_MEASURE_ID_OVERRIDE",$C108,"DEEP_BROKER_ID_OVERRIDE",$F$7,"DEEP_PERIOD_OVERRIDE",M$11)*1,"")))</f>
        <v/>
      </c>
      <c r="N108" s="17" t="str">
        <f ca="1">IF(ISNA($B108),"",IF($B108="","",IFERROR(_xll.BDP(TICKER,"DEEP_MEASURE_PERIOD_BROKER_VALUE","DEEP_MEASURE_ID_OVERRIDE",$C108,"DEEP_BROKER_ID_OVERRIDE",$F$7,"DEEP_PERIOD_OVERRIDE",N$11)*1,"")))</f>
        <v/>
      </c>
      <c r="O108" s="17" t="str">
        <f ca="1">IF(ISNA($B108),"",IF($B108="","",IFERROR(_xll.BDP(TICKER,"DEEP_MEASURE_PERIOD_BROKER_VALUE","DEEP_MEASURE_ID_OVERRIDE",$C108,"DEEP_BROKER_ID_OVERRIDE",$F$7,"DEEP_PERIOD_OVERRIDE",O$11)*1,"")))</f>
        <v/>
      </c>
      <c r="P108" s="17" t="str">
        <f ca="1">IF(ISNA($B108),"",IF($B108="","",IFERROR(_xll.BDP(TICKER,"DEEP_MEASURE_PERIOD_BROKER_VALUE","DEEP_MEASURE_ID_OVERRIDE",$C108,"DEEP_BROKER_ID_OVERRIDE",$F$7,"DEEP_PERIOD_OVERRIDE",P$11)*1,"")))</f>
        <v/>
      </c>
      <c r="Q108" s="17" t="str">
        <f ca="1">IF(ISNA($B108),"",IF($B108="","",IFERROR(_xll.BDP(TICKER,"DEEP_MEASURE_PERIOD_BROKER_VALUE","DEEP_MEASURE_ID_OVERRIDE",$C108,"DEEP_BROKER_ID_OVERRIDE",$F$7,"DEEP_PERIOD_OVERRIDE",Q$11)*1,"")))</f>
        <v/>
      </c>
      <c r="R108" s="17" t="str">
        <f ca="1">IF(ISNA($B108),"",IF($B108="","",IFERROR(_xll.BDP(TICKER,"DEEP_MEASURE_PERIOD_BROKER_VALUE","DEEP_MEASURE_ID_OVERRIDE",$C108,"DEEP_BROKER_ID_OVERRIDE",$F$7,"DEEP_PERIOD_OVERRIDE",R$11)*1,"")))</f>
        <v/>
      </c>
      <c r="S108" s="17" t="str">
        <f ca="1">IF(ISNA($B108),"",IF($B108="","",IFERROR(_xll.BDP(TICKER,"DEEP_MEASURE_PERIOD_BROKER_VALUE","DEEP_MEASURE_ID_OVERRIDE",$C108,"DEEP_BROKER_ID_OVERRIDE",$F$7,"DEEP_PERIOD_OVERRIDE",S$11)*1,"")))</f>
        <v/>
      </c>
      <c r="T108" s="17" t="str">
        <f ca="1">IF(ISNA($B108),"",IF($B108="","",IFERROR(_xll.BDP(TICKER,"DEEP_MEASURE_PERIOD_BROKER_VALUE","DEEP_MEASURE_ID_OVERRIDE",$C108,"DEEP_BROKER_ID_OVERRIDE",$F$7,"DEEP_PERIOD_OVERRIDE",T$11)*1,"")))</f>
        <v/>
      </c>
      <c r="U108" s="17" t="str">
        <f ca="1">IF(ISNA($B108),"",IF($B108="","",IFERROR(_xll.BDP(TICKER,"DEEP_MEASURE_PERIOD_BROKER_VALUE","DEEP_MEASURE_ID_OVERRIDE",$C108,"DEEP_BROKER_ID_OVERRIDE",$F$7,"DEEP_PERIOD_OVERRIDE",U$11)*1,"")))</f>
        <v/>
      </c>
      <c r="V108" s="17" t="str">
        <f ca="1">IF(ISNA($B108),"",IF($B108="","",IFERROR(_xll.BDP(TICKER,"DEEP_MEASURE_PERIOD_BROKER_VALUE","DEEP_MEASURE_ID_OVERRIDE",$C108,"DEEP_BROKER_ID_OVERRIDE",$F$7,"DEEP_PERIOD_OVERRIDE",V$11)*1,"")))</f>
        <v/>
      </c>
      <c r="W108" s="17" t="str">
        <f ca="1">IF(ISNA($B108),"",IF($B108="","",IFERROR(_xll.BDP(TICKER,"DEEP_MEASURE_PERIOD_BROKER_VALUE","DEEP_MEASURE_ID_OVERRIDE",$C108,"DEEP_BROKER_ID_OVERRIDE",$F$7,"DEEP_PERIOD_OVERRIDE",W$11)*1,"")))</f>
        <v/>
      </c>
      <c r="X108" s="17" t="str">
        <f ca="1">IF(ISNA($B108),"",IF($B108="","",IFERROR(_xll.BDP(TICKER,"DEEP_MEASURE_PERIOD_BROKER_VALUE","DEEP_MEASURE_ID_OVERRIDE",$C108,"DEEP_BROKER_ID_OVERRIDE",$F$7,"DEEP_PERIOD_OVERRIDE",X$11)*1,"")))</f>
        <v/>
      </c>
      <c r="Y108" s="17" t="str">
        <f ca="1">IF(ISNA($B108),"",IF($B108="","",IFERROR(_xll.BDP(TICKER,"DEEP_MEASURE_PERIOD_BROKER_VALUE","DEEP_MEASURE_ID_OVERRIDE",$C108,"DEEP_BROKER_ID_OVERRIDE",$F$7,"DEEP_PERIOD_OVERRIDE",Y$11)*1,"")))</f>
        <v/>
      </c>
      <c r="Z108" s="17" t="str">
        <f ca="1">IF(ISNA($B108),"",IF($B108="","",IFERROR(_xll.BDP(TICKER,"DEEP_MEASURE_PERIOD_BROKER_VALUE","DEEP_MEASURE_ID_OVERRIDE",$C108,"DEEP_BROKER_ID_OVERRIDE",$F$7,"DEEP_PERIOD_OVERRIDE",Z$11)*1,"")))</f>
        <v/>
      </c>
      <c r="AA108" s="17" t="str">
        <f ca="1">IF(ISNA($B108),"",IF($B108="","",IFERROR(_xll.BDP(TICKER,"DEEP_MEASURE_PERIOD_BROKER_VALUE","DEEP_MEASURE_ID_OVERRIDE",$C108,"DEEP_BROKER_ID_OVERRIDE",$F$7,"DEEP_PERIOD_OVERRIDE",AA$11)*1,"")))</f>
        <v/>
      </c>
      <c r="AB108" s="17" t="str">
        <f ca="1">IF(ISNA($B108),"",IF($B108="","",IFERROR(_xll.BDP(TICKER,"DEEP_MEASURE_PERIOD_BROKER_VALUE","DEEP_MEASURE_ID_OVERRIDE",$C108,"DEEP_BROKER_ID_OVERRIDE",$F$7,"DEEP_PERIOD_OVERRIDE",AB$11)*1,"")))</f>
        <v/>
      </c>
      <c r="AC108" s="17" t="str">
        <f ca="1">IF(ISNA($B108),"",IF($B108="","",IFERROR(_xll.BDP(TICKER,"DEEP_MEASURE_PERIOD_BROKER_VALUE","DEEP_MEASURE_ID_OVERRIDE",$C108,"DEEP_BROKER_ID_OVERRIDE",$F$7,"DEEP_PERIOD_OVERRIDE",AC$11)*1,"")))</f>
        <v/>
      </c>
      <c r="AD108" s="17" t="str">
        <f ca="1">IF(ISNA($B108),"",IF($B108="","",IFERROR(_xll.BDP(TICKER,"DEEP_MEASURE_PERIOD_BROKER_VALUE","DEEP_MEASURE_ID_OVERRIDE",$C108,"DEEP_BROKER_ID_OVERRIDE",$F$7,"DEEP_PERIOD_OVERRIDE",AD$11)*1,"")))</f>
        <v/>
      </c>
      <c r="AE108" s="17" t="str">
        <f ca="1">IF(ISNA($B108),"",IF($B108="","",IFERROR(_xll.BDP(TICKER,"DEEP_MEASURE_PERIOD_BROKER_VALUE","DEEP_MEASURE_ID_OVERRIDE",$C108,"DEEP_BROKER_ID_OVERRIDE",$F$7,"DEEP_PERIOD_OVERRIDE",AE$11)*1,"")))</f>
        <v/>
      </c>
      <c r="AF108" s="17" t="str">
        <f ca="1">IF(ISNA($B108),"",IF($B108="","",IFERROR(_xll.BDP(TICKER,"DEEP_MEASURE_PERIOD_BROKER_VALUE","DEEP_MEASURE_ID_OVERRIDE",$C108,"DEEP_BROKER_ID_OVERRIDE",$F$7,"DEEP_PERIOD_OVERRIDE",AF$11)*1,"")))</f>
        <v/>
      </c>
      <c r="AG108" s="17" t="str">
        <f ca="1">IF(ISNA($B108),"",IF($B108="","",IFERROR(_xll.BDP(TICKER,"DEEP_MEASURE_PERIOD_BROKER_VALUE","DEEP_MEASURE_ID_OVERRIDE",$C108,"DEEP_BROKER_ID_OVERRIDE",$F$7,"DEEP_PERIOD_OVERRIDE",AG$11)*1,"")))</f>
        <v/>
      </c>
      <c r="AH108" s="17" t="str">
        <f ca="1">IF(ISNA($B108),"",IF($B108="","",IFERROR(_xll.BDP(TICKER,"DEEP_MEASURE_PERIOD_BROKER_VALUE","DEEP_MEASURE_ID_OVERRIDE",$C108,"DEEP_BROKER_ID_OVERRIDE",$F$7,"DEEP_PERIOD_OVERRIDE",AH$11)*1,"")))</f>
        <v/>
      </c>
      <c r="AI108" s="17" t="str">
        <f ca="1">IF(ISNA($B108),"",IF($B108="","",IFERROR(_xll.BDP(TICKER,"DEEP_MEASURE_PERIOD_BROKER_VALUE","DEEP_MEASURE_ID_OVERRIDE",$C108,"DEEP_BROKER_ID_OVERRIDE",$F$7,"DEEP_PERIOD_OVERRIDE",AI$11)*1,"")))</f>
        <v/>
      </c>
      <c r="AJ108" s="17" t="str">
        <f ca="1">IF(ISNA($B108),"",IF($B108="","",IFERROR(_xll.BDP(TICKER,"DEEP_MEASURE_PERIOD_BROKER_VALUE","DEEP_MEASURE_ID_OVERRIDE",$C108,"DEEP_BROKER_ID_OVERRIDE",$F$7,"DEEP_PERIOD_OVERRIDE",AJ$11)*1,"")))</f>
        <v/>
      </c>
      <c r="AK108" s="17" t="str">
        <f ca="1">IF(ISNA($B108),"",IF($B108="","",IFERROR(_xll.BDP(TICKER,"DEEP_MEASURE_PERIOD_BROKER_VALUE","DEEP_MEASURE_ID_OVERRIDE",$C108,"DEEP_BROKER_ID_OVERRIDE",$F$7,"DEEP_PERIOD_OVERRIDE",AK$11)*1,"")))</f>
        <v/>
      </c>
      <c r="AL108" s="17" t="str">
        <f ca="1">IF(ISNA($B108),"",IF($B108="","",IFERROR(_xll.BDP(TICKER,"DEEP_MEASURE_PERIOD_BROKER_VALUE","DEEP_MEASURE_ID_OVERRIDE",$C108,"DEEP_BROKER_ID_OVERRIDE",$F$7,"DEEP_PERIOD_OVERRIDE",AL$11)*1,"")))</f>
        <v/>
      </c>
      <c r="AM108" s="17" t="str">
        <f ca="1">IF(ISNA($B108),"",IF($B108="","",IFERROR(_xll.BDP(TICKER,"DEEP_MEASURE_PERIOD_BROKER_VALUE","DEEP_MEASURE_ID_OVERRIDE",$C108,"DEEP_BROKER_ID_OVERRIDE",$F$7,"DEEP_PERIOD_OVERRIDE",AM$11)*1,"")))</f>
        <v/>
      </c>
      <c r="AN108" s="17" t="str">
        <f ca="1">IF(ISNA($B108),"",IF($B108="","",IFERROR(_xll.BDP(TICKER,"DEEP_MEASURE_PERIOD_BROKER_VALUE","DEEP_MEASURE_ID_OVERRIDE",$C108,"DEEP_BROKER_ID_OVERRIDE",$F$7,"DEEP_PERIOD_OVERRIDE",AN$11)*1,"")))</f>
        <v/>
      </c>
      <c r="AO108" s="17" t="str">
        <f ca="1">IF(ISNA($B108),"",IF($B108="","",IFERROR(_xll.BDP(TICKER,"DEEP_MEASURE_PERIOD_BROKER_VALUE","DEEP_MEASURE_ID_OVERRIDE",$C108,"DEEP_BROKER_ID_OVERRIDE",$F$7,"DEEP_PERIOD_OVERRIDE",AO$11)*1,"")))</f>
        <v/>
      </c>
      <c r="AP108" s="17" t="str">
        <f ca="1">IF(ISNA($B108),"",IF($B108="","",IFERROR(_xll.BDP(TICKER,"DEEP_MEASURE_PERIOD_BROKER_VALUE","DEEP_MEASURE_ID_OVERRIDE",$C108,"DEEP_BROKER_ID_OVERRIDE",$F$7,"DEEP_PERIOD_OVERRIDE",AP$11)*1,"")))</f>
        <v/>
      </c>
      <c r="AQ108" s="17" t="str">
        <f ca="1">IF(ISNA($B108),"",IF($B108="","",IFERROR(_xll.BDP(TICKER,"DEEP_MEASURE_PERIOD_BROKER_VALUE","DEEP_MEASURE_ID_OVERRIDE",$C108,"DEEP_BROKER_ID_OVERRIDE",$F$7,"DEEP_PERIOD_OVERRIDE",AQ$11)*1,"")))</f>
        <v/>
      </c>
    </row>
    <row r="109" spans="2:43" x14ac:dyDescent="0.25">
      <c r="B109" t="s">
        <v>154</v>
      </c>
      <c r="C109" s="11">
        <v>1721</v>
      </c>
      <c r="H109" t="str">
        <f t="shared" si="3"/>
        <v>Research &amp; Development Expense &gt; YoY Growth (%)</v>
      </c>
      <c r="I109" s="17" t="str">
        <f ca="1">IF(ISNA($B109),"",IF($B109="","",IFERROR(_xll.BDP(TICKER,"DEEP_MEASURE_PERIOD_BROKER_VALUE","DEEP_MEASURE_ID_OVERRIDE",$C109,"DEEP_BROKER_ID_OVERRIDE",$F$7,"DEEP_PERIOD_OVERRIDE",I$11)*1,"")))</f>
        <v/>
      </c>
      <c r="J109" s="17" t="str">
        <f ca="1">IF(ISNA($B109),"",IF($B109="","",IFERROR(_xll.BDP(TICKER,"DEEP_MEASURE_PERIOD_BROKER_VALUE","DEEP_MEASURE_ID_OVERRIDE",$C109,"DEEP_BROKER_ID_OVERRIDE",$F$7,"DEEP_PERIOD_OVERRIDE",J$11)*1,"")))</f>
        <v/>
      </c>
      <c r="K109" s="17" t="str">
        <f ca="1">IF(ISNA($B109),"",IF($B109="","",IFERROR(_xll.BDP(TICKER,"DEEP_MEASURE_PERIOD_BROKER_VALUE","DEEP_MEASURE_ID_OVERRIDE",$C109,"DEEP_BROKER_ID_OVERRIDE",$F$7,"DEEP_PERIOD_OVERRIDE",K$11)*1,"")))</f>
        <v/>
      </c>
      <c r="L109" s="17" t="str">
        <f ca="1">IF(ISNA($B109),"",IF($B109="","",IFERROR(_xll.BDP(TICKER,"DEEP_MEASURE_PERIOD_BROKER_VALUE","DEEP_MEASURE_ID_OVERRIDE",$C109,"DEEP_BROKER_ID_OVERRIDE",$F$7,"DEEP_PERIOD_OVERRIDE",L$11)*1,"")))</f>
        <v/>
      </c>
      <c r="M109" s="17" t="str">
        <f ca="1">IF(ISNA($B109),"",IF($B109="","",IFERROR(_xll.BDP(TICKER,"DEEP_MEASURE_PERIOD_BROKER_VALUE","DEEP_MEASURE_ID_OVERRIDE",$C109,"DEEP_BROKER_ID_OVERRIDE",$F$7,"DEEP_PERIOD_OVERRIDE",M$11)*1,"")))</f>
        <v/>
      </c>
      <c r="N109" s="17" t="str">
        <f ca="1">IF(ISNA($B109),"",IF($B109="","",IFERROR(_xll.BDP(TICKER,"DEEP_MEASURE_PERIOD_BROKER_VALUE","DEEP_MEASURE_ID_OVERRIDE",$C109,"DEEP_BROKER_ID_OVERRIDE",$F$7,"DEEP_PERIOD_OVERRIDE",N$11)*1,"")))</f>
        <v/>
      </c>
      <c r="O109" s="17" t="str">
        <f ca="1">IF(ISNA($B109),"",IF($B109="","",IFERROR(_xll.BDP(TICKER,"DEEP_MEASURE_PERIOD_BROKER_VALUE","DEEP_MEASURE_ID_OVERRIDE",$C109,"DEEP_BROKER_ID_OVERRIDE",$F$7,"DEEP_PERIOD_OVERRIDE",O$11)*1,"")))</f>
        <v/>
      </c>
      <c r="P109" s="17" t="str">
        <f ca="1">IF(ISNA($B109),"",IF($B109="","",IFERROR(_xll.BDP(TICKER,"DEEP_MEASURE_PERIOD_BROKER_VALUE","DEEP_MEASURE_ID_OVERRIDE",$C109,"DEEP_BROKER_ID_OVERRIDE",$F$7,"DEEP_PERIOD_OVERRIDE",P$11)*1,"")))</f>
        <v/>
      </c>
      <c r="Q109" s="17" t="str">
        <f ca="1">IF(ISNA($B109),"",IF($B109="","",IFERROR(_xll.BDP(TICKER,"DEEP_MEASURE_PERIOD_BROKER_VALUE","DEEP_MEASURE_ID_OVERRIDE",$C109,"DEEP_BROKER_ID_OVERRIDE",$F$7,"DEEP_PERIOD_OVERRIDE",Q$11)*1,"")))</f>
        <v/>
      </c>
      <c r="R109" s="17" t="str">
        <f ca="1">IF(ISNA($B109),"",IF($B109="","",IFERROR(_xll.BDP(TICKER,"DEEP_MEASURE_PERIOD_BROKER_VALUE","DEEP_MEASURE_ID_OVERRIDE",$C109,"DEEP_BROKER_ID_OVERRIDE",$F$7,"DEEP_PERIOD_OVERRIDE",R$11)*1,"")))</f>
        <v/>
      </c>
      <c r="S109" s="17" t="str">
        <f ca="1">IF(ISNA($B109),"",IF($B109="","",IFERROR(_xll.BDP(TICKER,"DEEP_MEASURE_PERIOD_BROKER_VALUE","DEEP_MEASURE_ID_OVERRIDE",$C109,"DEEP_BROKER_ID_OVERRIDE",$F$7,"DEEP_PERIOD_OVERRIDE",S$11)*1,"")))</f>
        <v/>
      </c>
      <c r="T109" s="17" t="str">
        <f ca="1">IF(ISNA($B109),"",IF($B109="","",IFERROR(_xll.BDP(TICKER,"DEEP_MEASURE_PERIOD_BROKER_VALUE","DEEP_MEASURE_ID_OVERRIDE",$C109,"DEEP_BROKER_ID_OVERRIDE",$F$7,"DEEP_PERIOD_OVERRIDE",T$11)*1,"")))</f>
        <v/>
      </c>
      <c r="U109" s="17" t="str">
        <f ca="1">IF(ISNA($B109),"",IF($B109="","",IFERROR(_xll.BDP(TICKER,"DEEP_MEASURE_PERIOD_BROKER_VALUE","DEEP_MEASURE_ID_OVERRIDE",$C109,"DEEP_BROKER_ID_OVERRIDE",$F$7,"DEEP_PERIOD_OVERRIDE",U$11)*1,"")))</f>
        <v/>
      </c>
      <c r="V109" s="17" t="str">
        <f ca="1">IF(ISNA($B109),"",IF($B109="","",IFERROR(_xll.BDP(TICKER,"DEEP_MEASURE_PERIOD_BROKER_VALUE","DEEP_MEASURE_ID_OVERRIDE",$C109,"DEEP_BROKER_ID_OVERRIDE",$F$7,"DEEP_PERIOD_OVERRIDE",V$11)*1,"")))</f>
        <v/>
      </c>
      <c r="W109" s="17" t="str">
        <f ca="1">IF(ISNA($B109),"",IF($B109="","",IFERROR(_xll.BDP(TICKER,"DEEP_MEASURE_PERIOD_BROKER_VALUE","DEEP_MEASURE_ID_OVERRIDE",$C109,"DEEP_BROKER_ID_OVERRIDE",$F$7,"DEEP_PERIOD_OVERRIDE",W$11)*1,"")))</f>
        <v/>
      </c>
      <c r="X109" s="17" t="str">
        <f ca="1">IF(ISNA($B109),"",IF($B109="","",IFERROR(_xll.BDP(TICKER,"DEEP_MEASURE_PERIOD_BROKER_VALUE","DEEP_MEASURE_ID_OVERRIDE",$C109,"DEEP_BROKER_ID_OVERRIDE",$F$7,"DEEP_PERIOD_OVERRIDE",X$11)*1,"")))</f>
        <v/>
      </c>
      <c r="Y109" s="17" t="str">
        <f ca="1">IF(ISNA($B109),"",IF($B109="","",IFERROR(_xll.BDP(TICKER,"DEEP_MEASURE_PERIOD_BROKER_VALUE","DEEP_MEASURE_ID_OVERRIDE",$C109,"DEEP_BROKER_ID_OVERRIDE",$F$7,"DEEP_PERIOD_OVERRIDE",Y$11)*1,"")))</f>
        <v/>
      </c>
      <c r="Z109" s="17" t="str">
        <f ca="1">IF(ISNA($B109),"",IF($B109="","",IFERROR(_xll.BDP(TICKER,"DEEP_MEASURE_PERIOD_BROKER_VALUE","DEEP_MEASURE_ID_OVERRIDE",$C109,"DEEP_BROKER_ID_OVERRIDE",$F$7,"DEEP_PERIOD_OVERRIDE",Z$11)*1,"")))</f>
        <v/>
      </c>
      <c r="AA109" s="17" t="str">
        <f ca="1">IF(ISNA($B109),"",IF($B109="","",IFERROR(_xll.BDP(TICKER,"DEEP_MEASURE_PERIOD_BROKER_VALUE","DEEP_MEASURE_ID_OVERRIDE",$C109,"DEEP_BROKER_ID_OVERRIDE",$F$7,"DEEP_PERIOD_OVERRIDE",AA$11)*1,"")))</f>
        <v/>
      </c>
      <c r="AB109" s="17" t="str">
        <f ca="1">IF(ISNA($B109),"",IF($B109="","",IFERROR(_xll.BDP(TICKER,"DEEP_MEASURE_PERIOD_BROKER_VALUE","DEEP_MEASURE_ID_OVERRIDE",$C109,"DEEP_BROKER_ID_OVERRIDE",$F$7,"DEEP_PERIOD_OVERRIDE",AB$11)*1,"")))</f>
        <v/>
      </c>
      <c r="AC109" s="17" t="str">
        <f ca="1">IF(ISNA($B109),"",IF($B109="","",IFERROR(_xll.BDP(TICKER,"DEEP_MEASURE_PERIOD_BROKER_VALUE","DEEP_MEASURE_ID_OVERRIDE",$C109,"DEEP_BROKER_ID_OVERRIDE",$F$7,"DEEP_PERIOD_OVERRIDE",AC$11)*1,"")))</f>
        <v/>
      </c>
      <c r="AD109" s="17" t="str">
        <f ca="1">IF(ISNA($B109),"",IF($B109="","",IFERROR(_xll.BDP(TICKER,"DEEP_MEASURE_PERIOD_BROKER_VALUE","DEEP_MEASURE_ID_OVERRIDE",$C109,"DEEP_BROKER_ID_OVERRIDE",$F$7,"DEEP_PERIOD_OVERRIDE",AD$11)*1,"")))</f>
        <v/>
      </c>
      <c r="AE109" s="17" t="str">
        <f ca="1">IF(ISNA($B109),"",IF($B109="","",IFERROR(_xll.BDP(TICKER,"DEEP_MEASURE_PERIOD_BROKER_VALUE","DEEP_MEASURE_ID_OVERRIDE",$C109,"DEEP_BROKER_ID_OVERRIDE",$F$7,"DEEP_PERIOD_OVERRIDE",AE$11)*1,"")))</f>
        <v/>
      </c>
      <c r="AF109" s="17" t="str">
        <f ca="1">IF(ISNA($B109),"",IF($B109="","",IFERROR(_xll.BDP(TICKER,"DEEP_MEASURE_PERIOD_BROKER_VALUE","DEEP_MEASURE_ID_OVERRIDE",$C109,"DEEP_BROKER_ID_OVERRIDE",$F$7,"DEEP_PERIOD_OVERRIDE",AF$11)*1,"")))</f>
        <v/>
      </c>
      <c r="AG109" s="17" t="str">
        <f ca="1">IF(ISNA($B109),"",IF($B109="","",IFERROR(_xll.BDP(TICKER,"DEEP_MEASURE_PERIOD_BROKER_VALUE","DEEP_MEASURE_ID_OVERRIDE",$C109,"DEEP_BROKER_ID_OVERRIDE",$F$7,"DEEP_PERIOD_OVERRIDE",AG$11)*1,"")))</f>
        <v/>
      </c>
      <c r="AH109" s="17" t="str">
        <f ca="1">IF(ISNA($B109),"",IF($B109="","",IFERROR(_xll.BDP(TICKER,"DEEP_MEASURE_PERIOD_BROKER_VALUE","DEEP_MEASURE_ID_OVERRIDE",$C109,"DEEP_BROKER_ID_OVERRIDE",$F$7,"DEEP_PERIOD_OVERRIDE",AH$11)*1,"")))</f>
        <v/>
      </c>
      <c r="AI109" s="17" t="str">
        <f ca="1">IF(ISNA($B109),"",IF($B109="","",IFERROR(_xll.BDP(TICKER,"DEEP_MEASURE_PERIOD_BROKER_VALUE","DEEP_MEASURE_ID_OVERRIDE",$C109,"DEEP_BROKER_ID_OVERRIDE",$F$7,"DEEP_PERIOD_OVERRIDE",AI$11)*1,"")))</f>
        <v/>
      </c>
      <c r="AJ109" s="17" t="str">
        <f ca="1">IF(ISNA($B109),"",IF($B109="","",IFERROR(_xll.BDP(TICKER,"DEEP_MEASURE_PERIOD_BROKER_VALUE","DEEP_MEASURE_ID_OVERRIDE",$C109,"DEEP_BROKER_ID_OVERRIDE",$F$7,"DEEP_PERIOD_OVERRIDE",AJ$11)*1,"")))</f>
        <v/>
      </c>
      <c r="AK109" s="17" t="str">
        <f ca="1">IF(ISNA($B109),"",IF($B109="","",IFERROR(_xll.BDP(TICKER,"DEEP_MEASURE_PERIOD_BROKER_VALUE","DEEP_MEASURE_ID_OVERRIDE",$C109,"DEEP_BROKER_ID_OVERRIDE",$F$7,"DEEP_PERIOD_OVERRIDE",AK$11)*1,"")))</f>
        <v/>
      </c>
      <c r="AL109" s="17" t="str">
        <f ca="1">IF(ISNA($B109),"",IF($B109="","",IFERROR(_xll.BDP(TICKER,"DEEP_MEASURE_PERIOD_BROKER_VALUE","DEEP_MEASURE_ID_OVERRIDE",$C109,"DEEP_BROKER_ID_OVERRIDE",$F$7,"DEEP_PERIOD_OVERRIDE",AL$11)*1,"")))</f>
        <v/>
      </c>
      <c r="AM109" s="17" t="str">
        <f ca="1">IF(ISNA($B109),"",IF($B109="","",IFERROR(_xll.BDP(TICKER,"DEEP_MEASURE_PERIOD_BROKER_VALUE","DEEP_MEASURE_ID_OVERRIDE",$C109,"DEEP_BROKER_ID_OVERRIDE",$F$7,"DEEP_PERIOD_OVERRIDE",AM$11)*1,"")))</f>
        <v/>
      </c>
      <c r="AN109" s="17" t="str">
        <f ca="1">IF(ISNA($B109),"",IF($B109="","",IFERROR(_xll.BDP(TICKER,"DEEP_MEASURE_PERIOD_BROKER_VALUE","DEEP_MEASURE_ID_OVERRIDE",$C109,"DEEP_BROKER_ID_OVERRIDE",$F$7,"DEEP_PERIOD_OVERRIDE",AN$11)*1,"")))</f>
        <v/>
      </c>
      <c r="AO109" s="17" t="str">
        <f ca="1">IF(ISNA($B109),"",IF($B109="","",IFERROR(_xll.BDP(TICKER,"DEEP_MEASURE_PERIOD_BROKER_VALUE","DEEP_MEASURE_ID_OVERRIDE",$C109,"DEEP_BROKER_ID_OVERRIDE",$F$7,"DEEP_PERIOD_OVERRIDE",AO$11)*1,"")))</f>
        <v/>
      </c>
      <c r="AP109" s="17" t="str">
        <f ca="1">IF(ISNA($B109),"",IF($B109="","",IFERROR(_xll.BDP(TICKER,"DEEP_MEASURE_PERIOD_BROKER_VALUE","DEEP_MEASURE_ID_OVERRIDE",$C109,"DEEP_BROKER_ID_OVERRIDE",$F$7,"DEEP_PERIOD_OVERRIDE",AP$11)*1,"")))</f>
        <v/>
      </c>
      <c r="AQ109" s="17" t="str">
        <f ca="1">IF(ISNA($B109),"",IF($B109="","",IFERROR(_xll.BDP(TICKER,"DEEP_MEASURE_PERIOD_BROKER_VALUE","DEEP_MEASURE_ID_OVERRIDE",$C109,"DEEP_BROKER_ID_OVERRIDE",$F$7,"DEEP_PERIOD_OVERRIDE",AQ$11)*1,"")))</f>
        <v/>
      </c>
    </row>
    <row r="110" spans="2:43" x14ac:dyDescent="0.25">
      <c r="B110" t="s">
        <v>155</v>
      </c>
      <c r="C110" s="11">
        <v>5013</v>
      </c>
      <c r="H110" t="str">
        <f t="shared" si="3"/>
        <v>Research &amp; Development Expense &gt; Other</v>
      </c>
      <c r="I110" s="17" t="str">
        <f ca="1">IF(ISNA($B110),"",IF($B110="","",IFERROR(_xll.BDP(TICKER,"DEEP_MEASURE_PERIOD_BROKER_VALUE","DEEP_MEASURE_ID_OVERRIDE",$C110,"DEEP_BROKER_ID_OVERRIDE",$F$7,"DEEP_PERIOD_OVERRIDE",I$11)*1,"")))</f>
        <v/>
      </c>
      <c r="J110" s="17" t="str">
        <f ca="1">IF(ISNA($B110),"",IF($B110="","",IFERROR(_xll.BDP(TICKER,"DEEP_MEASURE_PERIOD_BROKER_VALUE","DEEP_MEASURE_ID_OVERRIDE",$C110,"DEEP_BROKER_ID_OVERRIDE",$F$7,"DEEP_PERIOD_OVERRIDE",J$11)*1,"")))</f>
        <v/>
      </c>
      <c r="K110" s="17" t="str">
        <f ca="1">IF(ISNA($B110),"",IF($B110="","",IFERROR(_xll.BDP(TICKER,"DEEP_MEASURE_PERIOD_BROKER_VALUE","DEEP_MEASURE_ID_OVERRIDE",$C110,"DEEP_BROKER_ID_OVERRIDE",$F$7,"DEEP_PERIOD_OVERRIDE",K$11)*1,"")))</f>
        <v/>
      </c>
      <c r="L110" s="17" t="str">
        <f ca="1">IF(ISNA($B110),"",IF($B110="","",IFERROR(_xll.BDP(TICKER,"DEEP_MEASURE_PERIOD_BROKER_VALUE","DEEP_MEASURE_ID_OVERRIDE",$C110,"DEEP_BROKER_ID_OVERRIDE",$F$7,"DEEP_PERIOD_OVERRIDE",L$11)*1,"")))</f>
        <v/>
      </c>
      <c r="M110" s="17" t="str">
        <f ca="1">IF(ISNA($B110),"",IF($B110="","",IFERROR(_xll.BDP(TICKER,"DEEP_MEASURE_PERIOD_BROKER_VALUE","DEEP_MEASURE_ID_OVERRIDE",$C110,"DEEP_BROKER_ID_OVERRIDE",$F$7,"DEEP_PERIOD_OVERRIDE",M$11)*1,"")))</f>
        <v/>
      </c>
      <c r="N110" s="17" t="str">
        <f ca="1">IF(ISNA($B110),"",IF($B110="","",IFERROR(_xll.BDP(TICKER,"DEEP_MEASURE_PERIOD_BROKER_VALUE","DEEP_MEASURE_ID_OVERRIDE",$C110,"DEEP_BROKER_ID_OVERRIDE",$F$7,"DEEP_PERIOD_OVERRIDE",N$11)*1,"")))</f>
        <v/>
      </c>
      <c r="O110" s="17" t="str">
        <f ca="1">IF(ISNA($B110),"",IF($B110="","",IFERROR(_xll.BDP(TICKER,"DEEP_MEASURE_PERIOD_BROKER_VALUE","DEEP_MEASURE_ID_OVERRIDE",$C110,"DEEP_BROKER_ID_OVERRIDE",$F$7,"DEEP_PERIOD_OVERRIDE",O$11)*1,"")))</f>
        <v/>
      </c>
      <c r="P110" s="17" t="str">
        <f ca="1">IF(ISNA($B110),"",IF($B110="","",IFERROR(_xll.BDP(TICKER,"DEEP_MEASURE_PERIOD_BROKER_VALUE","DEEP_MEASURE_ID_OVERRIDE",$C110,"DEEP_BROKER_ID_OVERRIDE",$F$7,"DEEP_PERIOD_OVERRIDE",P$11)*1,"")))</f>
        <v/>
      </c>
      <c r="Q110" s="17" t="str">
        <f ca="1">IF(ISNA($B110),"",IF($B110="","",IFERROR(_xll.BDP(TICKER,"DEEP_MEASURE_PERIOD_BROKER_VALUE","DEEP_MEASURE_ID_OVERRIDE",$C110,"DEEP_BROKER_ID_OVERRIDE",$F$7,"DEEP_PERIOD_OVERRIDE",Q$11)*1,"")))</f>
        <v/>
      </c>
      <c r="R110" s="17" t="str">
        <f ca="1">IF(ISNA($B110),"",IF($B110="","",IFERROR(_xll.BDP(TICKER,"DEEP_MEASURE_PERIOD_BROKER_VALUE","DEEP_MEASURE_ID_OVERRIDE",$C110,"DEEP_BROKER_ID_OVERRIDE",$F$7,"DEEP_PERIOD_OVERRIDE",R$11)*1,"")))</f>
        <v/>
      </c>
      <c r="S110" s="17" t="str">
        <f ca="1">IF(ISNA($B110),"",IF($B110="","",IFERROR(_xll.BDP(TICKER,"DEEP_MEASURE_PERIOD_BROKER_VALUE","DEEP_MEASURE_ID_OVERRIDE",$C110,"DEEP_BROKER_ID_OVERRIDE",$F$7,"DEEP_PERIOD_OVERRIDE",S$11)*1,"")))</f>
        <v/>
      </c>
      <c r="T110" s="17" t="str">
        <f ca="1">IF(ISNA($B110),"",IF($B110="","",IFERROR(_xll.BDP(TICKER,"DEEP_MEASURE_PERIOD_BROKER_VALUE","DEEP_MEASURE_ID_OVERRIDE",$C110,"DEEP_BROKER_ID_OVERRIDE",$F$7,"DEEP_PERIOD_OVERRIDE",T$11)*1,"")))</f>
        <v/>
      </c>
      <c r="U110" s="17" t="str">
        <f ca="1">IF(ISNA($B110),"",IF($B110="","",IFERROR(_xll.BDP(TICKER,"DEEP_MEASURE_PERIOD_BROKER_VALUE","DEEP_MEASURE_ID_OVERRIDE",$C110,"DEEP_BROKER_ID_OVERRIDE",$F$7,"DEEP_PERIOD_OVERRIDE",U$11)*1,"")))</f>
        <v/>
      </c>
      <c r="V110" s="17" t="str">
        <f ca="1">IF(ISNA($B110),"",IF($B110="","",IFERROR(_xll.BDP(TICKER,"DEEP_MEASURE_PERIOD_BROKER_VALUE","DEEP_MEASURE_ID_OVERRIDE",$C110,"DEEP_BROKER_ID_OVERRIDE",$F$7,"DEEP_PERIOD_OVERRIDE",V$11)*1,"")))</f>
        <v/>
      </c>
      <c r="W110" s="17" t="str">
        <f ca="1">IF(ISNA($B110),"",IF($B110="","",IFERROR(_xll.BDP(TICKER,"DEEP_MEASURE_PERIOD_BROKER_VALUE","DEEP_MEASURE_ID_OVERRIDE",$C110,"DEEP_BROKER_ID_OVERRIDE",$F$7,"DEEP_PERIOD_OVERRIDE",W$11)*1,"")))</f>
        <v/>
      </c>
      <c r="X110" s="17" t="str">
        <f ca="1">IF(ISNA($B110),"",IF($B110="","",IFERROR(_xll.BDP(TICKER,"DEEP_MEASURE_PERIOD_BROKER_VALUE","DEEP_MEASURE_ID_OVERRIDE",$C110,"DEEP_BROKER_ID_OVERRIDE",$F$7,"DEEP_PERIOD_OVERRIDE",X$11)*1,"")))</f>
        <v/>
      </c>
      <c r="Y110" s="17" t="str">
        <f ca="1">IF(ISNA($B110),"",IF($B110="","",IFERROR(_xll.BDP(TICKER,"DEEP_MEASURE_PERIOD_BROKER_VALUE","DEEP_MEASURE_ID_OVERRIDE",$C110,"DEEP_BROKER_ID_OVERRIDE",$F$7,"DEEP_PERIOD_OVERRIDE",Y$11)*1,"")))</f>
        <v/>
      </c>
      <c r="Z110" s="17" t="str">
        <f ca="1">IF(ISNA($B110),"",IF($B110="","",IFERROR(_xll.BDP(TICKER,"DEEP_MEASURE_PERIOD_BROKER_VALUE","DEEP_MEASURE_ID_OVERRIDE",$C110,"DEEP_BROKER_ID_OVERRIDE",$F$7,"DEEP_PERIOD_OVERRIDE",Z$11)*1,"")))</f>
        <v/>
      </c>
      <c r="AA110" s="17" t="str">
        <f ca="1">IF(ISNA($B110),"",IF($B110="","",IFERROR(_xll.BDP(TICKER,"DEEP_MEASURE_PERIOD_BROKER_VALUE","DEEP_MEASURE_ID_OVERRIDE",$C110,"DEEP_BROKER_ID_OVERRIDE",$F$7,"DEEP_PERIOD_OVERRIDE",AA$11)*1,"")))</f>
        <v/>
      </c>
      <c r="AB110" s="17" t="str">
        <f ca="1">IF(ISNA($B110),"",IF($B110="","",IFERROR(_xll.BDP(TICKER,"DEEP_MEASURE_PERIOD_BROKER_VALUE","DEEP_MEASURE_ID_OVERRIDE",$C110,"DEEP_BROKER_ID_OVERRIDE",$F$7,"DEEP_PERIOD_OVERRIDE",AB$11)*1,"")))</f>
        <v/>
      </c>
      <c r="AC110" s="17" t="str">
        <f ca="1">IF(ISNA($B110),"",IF($B110="","",IFERROR(_xll.BDP(TICKER,"DEEP_MEASURE_PERIOD_BROKER_VALUE","DEEP_MEASURE_ID_OVERRIDE",$C110,"DEEP_BROKER_ID_OVERRIDE",$F$7,"DEEP_PERIOD_OVERRIDE",AC$11)*1,"")))</f>
        <v/>
      </c>
      <c r="AD110" s="17" t="str">
        <f ca="1">IF(ISNA($B110),"",IF($B110="","",IFERROR(_xll.BDP(TICKER,"DEEP_MEASURE_PERIOD_BROKER_VALUE","DEEP_MEASURE_ID_OVERRIDE",$C110,"DEEP_BROKER_ID_OVERRIDE",$F$7,"DEEP_PERIOD_OVERRIDE",AD$11)*1,"")))</f>
        <v/>
      </c>
      <c r="AE110" s="17" t="str">
        <f ca="1">IF(ISNA($B110),"",IF($B110="","",IFERROR(_xll.BDP(TICKER,"DEEP_MEASURE_PERIOD_BROKER_VALUE","DEEP_MEASURE_ID_OVERRIDE",$C110,"DEEP_BROKER_ID_OVERRIDE",$F$7,"DEEP_PERIOD_OVERRIDE",AE$11)*1,"")))</f>
        <v/>
      </c>
      <c r="AF110" s="17" t="str">
        <f ca="1">IF(ISNA($B110),"",IF($B110="","",IFERROR(_xll.BDP(TICKER,"DEEP_MEASURE_PERIOD_BROKER_VALUE","DEEP_MEASURE_ID_OVERRIDE",$C110,"DEEP_BROKER_ID_OVERRIDE",$F$7,"DEEP_PERIOD_OVERRIDE",AF$11)*1,"")))</f>
        <v/>
      </c>
      <c r="AG110" s="17" t="str">
        <f ca="1">IF(ISNA($B110),"",IF($B110="","",IFERROR(_xll.BDP(TICKER,"DEEP_MEASURE_PERIOD_BROKER_VALUE","DEEP_MEASURE_ID_OVERRIDE",$C110,"DEEP_BROKER_ID_OVERRIDE",$F$7,"DEEP_PERIOD_OVERRIDE",AG$11)*1,"")))</f>
        <v/>
      </c>
      <c r="AH110" s="17" t="str">
        <f ca="1">IF(ISNA($B110),"",IF($B110="","",IFERROR(_xll.BDP(TICKER,"DEEP_MEASURE_PERIOD_BROKER_VALUE","DEEP_MEASURE_ID_OVERRIDE",$C110,"DEEP_BROKER_ID_OVERRIDE",$F$7,"DEEP_PERIOD_OVERRIDE",AH$11)*1,"")))</f>
        <v/>
      </c>
      <c r="AI110" s="17" t="str">
        <f ca="1">IF(ISNA($B110),"",IF($B110="","",IFERROR(_xll.BDP(TICKER,"DEEP_MEASURE_PERIOD_BROKER_VALUE","DEEP_MEASURE_ID_OVERRIDE",$C110,"DEEP_BROKER_ID_OVERRIDE",$F$7,"DEEP_PERIOD_OVERRIDE",AI$11)*1,"")))</f>
        <v/>
      </c>
      <c r="AJ110" s="17" t="str">
        <f ca="1">IF(ISNA($B110),"",IF($B110="","",IFERROR(_xll.BDP(TICKER,"DEEP_MEASURE_PERIOD_BROKER_VALUE","DEEP_MEASURE_ID_OVERRIDE",$C110,"DEEP_BROKER_ID_OVERRIDE",$F$7,"DEEP_PERIOD_OVERRIDE",AJ$11)*1,"")))</f>
        <v/>
      </c>
      <c r="AK110" s="17" t="str">
        <f ca="1">IF(ISNA($B110),"",IF($B110="","",IFERROR(_xll.BDP(TICKER,"DEEP_MEASURE_PERIOD_BROKER_VALUE","DEEP_MEASURE_ID_OVERRIDE",$C110,"DEEP_BROKER_ID_OVERRIDE",$F$7,"DEEP_PERIOD_OVERRIDE",AK$11)*1,"")))</f>
        <v/>
      </c>
      <c r="AL110" s="17" t="str">
        <f ca="1">IF(ISNA($B110),"",IF($B110="","",IFERROR(_xll.BDP(TICKER,"DEEP_MEASURE_PERIOD_BROKER_VALUE","DEEP_MEASURE_ID_OVERRIDE",$C110,"DEEP_BROKER_ID_OVERRIDE",$F$7,"DEEP_PERIOD_OVERRIDE",AL$11)*1,"")))</f>
        <v/>
      </c>
      <c r="AM110" s="17" t="str">
        <f ca="1">IF(ISNA($B110),"",IF($B110="","",IFERROR(_xll.BDP(TICKER,"DEEP_MEASURE_PERIOD_BROKER_VALUE","DEEP_MEASURE_ID_OVERRIDE",$C110,"DEEP_BROKER_ID_OVERRIDE",$F$7,"DEEP_PERIOD_OVERRIDE",AM$11)*1,"")))</f>
        <v/>
      </c>
      <c r="AN110" s="17" t="str">
        <f ca="1">IF(ISNA($B110),"",IF($B110="","",IFERROR(_xll.BDP(TICKER,"DEEP_MEASURE_PERIOD_BROKER_VALUE","DEEP_MEASURE_ID_OVERRIDE",$C110,"DEEP_BROKER_ID_OVERRIDE",$F$7,"DEEP_PERIOD_OVERRIDE",AN$11)*1,"")))</f>
        <v/>
      </c>
      <c r="AO110" s="17" t="str">
        <f ca="1">IF(ISNA($B110),"",IF($B110="","",IFERROR(_xll.BDP(TICKER,"DEEP_MEASURE_PERIOD_BROKER_VALUE","DEEP_MEASURE_ID_OVERRIDE",$C110,"DEEP_BROKER_ID_OVERRIDE",$F$7,"DEEP_PERIOD_OVERRIDE",AO$11)*1,"")))</f>
        <v/>
      </c>
      <c r="AP110" s="17" t="str">
        <f ca="1">IF(ISNA($B110),"",IF($B110="","",IFERROR(_xll.BDP(TICKER,"DEEP_MEASURE_PERIOD_BROKER_VALUE","DEEP_MEASURE_ID_OVERRIDE",$C110,"DEEP_BROKER_ID_OVERRIDE",$F$7,"DEEP_PERIOD_OVERRIDE",AP$11)*1,"")))</f>
        <v/>
      </c>
      <c r="AQ110" s="17" t="str">
        <f ca="1">IF(ISNA($B110),"",IF($B110="","",IFERROR(_xll.BDP(TICKER,"DEEP_MEASURE_PERIOD_BROKER_VALUE","DEEP_MEASURE_ID_OVERRIDE",$C110,"DEEP_BROKER_ID_OVERRIDE",$F$7,"DEEP_PERIOD_OVERRIDE",AQ$11)*1,"")))</f>
        <v/>
      </c>
    </row>
    <row r="111" spans="2:43" x14ac:dyDescent="0.25">
      <c r="B111" t="s">
        <v>156</v>
      </c>
      <c r="C111" s="11">
        <v>324</v>
      </c>
      <c r="H111" t="str">
        <f t="shared" si="3"/>
        <v>Research &amp; Development Expense &gt; Research &amp; Development Expense (ex-SBC)</v>
      </c>
      <c r="I111" s="17" t="str">
        <f ca="1">IF(ISNA($B111),"",IF($B111="","",IFERROR(_xll.BDP(TICKER,"DEEP_MEASURE_PERIOD_BROKER_VALUE","DEEP_MEASURE_ID_OVERRIDE",$C111,"DEEP_BROKER_ID_OVERRIDE",$F$7,"DEEP_PERIOD_OVERRIDE",I$11)*1,"")))</f>
        <v/>
      </c>
      <c r="J111" s="17" t="str">
        <f ca="1">IF(ISNA($B111),"",IF($B111="","",IFERROR(_xll.BDP(TICKER,"DEEP_MEASURE_PERIOD_BROKER_VALUE","DEEP_MEASURE_ID_OVERRIDE",$C111,"DEEP_BROKER_ID_OVERRIDE",$F$7,"DEEP_PERIOD_OVERRIDE",J$11)*1,"")))</f>
        <v/>
      </c>
      <c r="K111" s="17" t="str">
        <f ca="1">IF(ISNA($B111),"",IF($B111="","",IFERROR(_xll.BDP(TICKER,"DEEP_MEASURE_PERIOD_BROKER_VALUE","DEEP_MEASURE_ID_OVERRIDE",$C111,"DEEP_BROKER_ID_OVERRIDE",$F$7,"DEEP_PERIOD_OVERRIDE",K$11)*1,"")))</f>
        <v/>
      </c>
      <c r="L111" s="17" t="str">
        <f ca="1">IF(ISNA($B111),"",IF($B111="","",IFERROR(_xll.BDP(TICKER,"DEEP_MEASURE_PERIOD_BROKER_VALUE","DEEP_MEASURE_ID_OVERRIDE",$C111,"DEEP_BROKER_ID_OVERRIDE",$F$7,"DEEP_PERIOD_OVERRIDE",L$11)*1,"")))</f>
        <v/>
      </c>
      <c r="M111" s="17" t="str">
        <f ca="1">IF(ISNA($B111),"",IF($B111="","",IFERROR(_xll.BDP(TICKER,"DEEP_MEASURE_PERIOD_BROKER_VALUE","DEEP_MEASURE_ID_OVERRIDE",$C111,"DEEP_BROKER_ID_OVERRIDE",$F$7,"DEEP_PERIOD_OVERRIDE",M$11)*1,"")))</f>
        <v/>
      </c>
      <c r="N111" s="17" t="str">
        <f ca="1">IF(ISNA($B111),"",IF($B111="","",IFERROR(_xll.BDP(TICKER,"DEEP_MEASURE_PERIOD_BROKER_VALUE","DEEP_MEASURE_ID_OVERRIDE",$C111,"DEEP_BROKER_ID_OVERRIDE",$F$7,"DEEP_PERIOD_OVERRIDE",N$11)*1,"")))</f>
        <v/>
      </c>
      <c r="O111" s="17" t="str">
        <f ca="1">IF(ISNA($B111),"",IF($B111="","",IFERROR(_xll.BDP(TICKER,"DEEP_MEASURE_PERIOD_BROKER_VALUE","DEEP_MEASURE_ID_OVERRIDE",$C111,"DEEP_BROKER_ID_OVERRIDE",$F$7,"DEEP_PERIOD_OVERRIDE",O$11)*1,"")))</f>
        <v/>
      </c>
      <c r="P111" s="17" t="str">
        <f ca="1">IF(ISNA($B111),"",IF($B111="","",IFERROR(_xll.BDP(TICKER,"DEEP_MEASURE_PERIOD_BROKER_VALUE","DEEP_MEASURE_ID_OVERRIDE",$C111,"DEEP_BROKER_ID_OVERRIDE",$F$7,"DEEP_PERIOD_OVERRIDE",P$11)*1,"")))</f>
        <v/>
      </c>
      <c r="Q111" s="17" t="str">
        <f ca="1">IF(ISNA($B111),"",IF($B111="","",IFERROR(_xll.BDP(TICKER,"DEEP_MEASURE_PERIOD_BROKER_VALUE","DEEP_MEASURE_ID_OVERRIDE",$C111,"DEEP_BROKER_ID_OVERRIDE",$F$7,"DEEP_PERIOD_OVERRIDE",Q$11)*1,"")))</f>
        <v/>
      </c>
      <c r="R111" s="17" t="str">
        <f ca="1">IF(ISNA($B111),"",IF($B111="","",IFERROR(_xll.BDP(TICKER,"DEEP_MEASURE_PERIOD_BROKER_VALUE","DEEP_MEASURE_ID_OVERRIDE",$C111,"DEEP_BROKER_ID_OVERRIDE",$F$7,"DEEP_PERIOD_OVERRIDE",R$11)*1,"")))</f>
        <v/>
      </c>
      <c r="S111" s="17" t="str">
        <f ca="1">IF(ISNA($B111),"",IF($B111="","",IFERROR(_xll.BDP(TICKER,"DEEP_MEASURE_PERIOD_BROKER_VALUE","DEEP_MEASURE_ID_OVERRIDE",$C111,"DEEP_BROKER_ID_OVERRIDE",$F$7,"DEEP_PERIOD_OVERRIDE",S$11)*1,"")))</f>
        <v/>
      </c>
      <c r="T111" s="17" t="str">
        <f ca="1">IF(ISNA($B111),"",IF($B111="","",IFERROR(_xll.BDP(TICKER,"DEEP_MEASURE_PERIOD_BROKER_VALUE","DEEP_MEASURE_ID_OVERRIDE",$C111,"DEEP_BROKER_ID_OVERRIDE",$F$7,"DEEP_PERIOD_OVERRIDE",T$11)*1,"")))</f>
        <v/>
      </c>
      <c r="U111" s="17" t="str">
        <f ca="1">IF(ISNA($B111),"",IF($B111="","",IFERROR(_xll.BDP(TICKER,"DEEP_MEASURE_PERIOD_BROKER_VALUE","DEEP_MEASURE_ID_OVERRIDE",$C111,"DEEP_BROKER_ID_OVERRIDE",$F$7,"DEEP_PERIOD_OVERRIDE",U$11)*1,"")))</f>
        <v/>
      </c>
      <c r="V111" s="17" t="str">
        <f ca="1">IF(ISNA($B111),"",IF($B111="","",IFERROR(_xll.BDP(TICKER,"DEEP_MEASURE_PERIOD_BROKER_VALUE","DEEP_MEASURE_ID_OVERRIDE",$C111,"DEEP_BROKER_ID_OVERRIDE",$F$7,"DEEP_PERIOD_OVERRIDE",V$11)*1,"")))</f>
        <v/>
      </c>
      <c r="W111" s="17" t="str">
        <f ca="1">IF(ISNA($B111),"",IF($B111="","",IFERROR(_xll.BDP(TICKER,"DEEP_MEASURE_PERIOD_BROKER_VALUE","DEEP_MEASURE_ID_OVERRIDE",$C111,"DEEP_BROKER_ID_OVERRIDE",$F$7,"DEEP_PERIOD_OVERRIDE",W$11)*1,"")))</f>
        <v/>
      </c>
      <c r="X111" s="17" t="str">
        <f ca="1">IF(ISNA($B111),"",IF($B111="","",IFERROR(_xll.BDP(TICKER,"DEEP_MEASURE_PERIOD_BROKER_VALUE","DEEP_MEASURE_ID_OVERRIDE",$C111,"DEEP_BROKER_ID_OVERRIDE",$F$7,"DEEP_PERIOD_OVERRIDE",X$11)*1,"")))</f>
        <v/>
      </c>
      <c r="Y111" s="17" t="str">
        <f ca="1">IF(ISNA($B111),"",IF($B111="","",IFERROR(_xll.BDP(TICKER,"DEEP_MEASURE_PERIOD_BROKER_VALUE","DEEP_MEASURE_ID_OVERRIDE",$C111,"DEEP_BROKER_ID_OVERRIDE",$F$7,"DEEP_PERIOD_OVERRIDE",Y$11)*1,"")))</f>
        <v/>
      </c>
      <c r="Z111" s="17" t="str">
        <f ca="1">IF(ISNA($B111),"",IF($B111="","",IFERROR(_xll.BDP(TICKER,"DEEP_MEASURE_PERIOD_BROKER_VALUE","DEEP_MEASURE_ID_OVERRIDE",$C111,"DEEP_BROKER_ID_OVERRIDE",$F$7,"DEEP_PERIOD_OVERRIDE",Z$11)*1,"")))</f>
        <v/>
      </c>
      <c r="AA111" s="17" t="str">
        <f ca="1">IF(ISNA($B111),"",IF($B111="","",IFERROR(_xll.BDP(TICKER,"DEEP_MEASURE_PERIOD_BROKER_VALUE","DEEP_MEASURE_ID_OVERRIDE",$C111,"DEEP_BROKER_ID_OVERRIDE",$F$7,"DEEP_PERIOD_OVERRIDE",AA$11)*1,"")))</f>
        <v/>
      </c>
      <c r="AB111" s="17" t="str">
        <f ca="1">IF(ISNA($B111),"",IF($B111="","",IFERROR(_xll.BDP(TICKER,"DEEP_MEASURE_PERIOD_BROKER_VALUE","DEEP_MEASURE_ID_OVERRIDE",$C111,"DEEP_BROKER_ID_OVERRIDE",$F$7,"DEEP_PERIOD_OVERRIDE",AB$11)*1,"")))</f>
        <v/>
      </c>
      <c r="AC111" s="17" t="str">
        <f ca="1">IF(ISNA($B111),"",IF($B111="","",IFERROR(_xll.BDP(TICKER,"DEEP_MEASURE_PERIOD_BROKER_VALUE","DEEP_MEASURE_ID_OVERRIDE",$C111,"DEEP_BROKER_ID_OVERRIDE",$F$7,"DEEP_PERIOD_OVERRIDE",AC$11)*1,"")))</f>
        <v/>
      </c>
      <c r="AD111" s="17" t="str">
        <f ca="1">IF(ISNA($B111),"",IF($B111="","",IFERROR(_xll.BDP(TICKER,"DEEP_MEASURE_PERIOD_BROKER_VALUE","DEEP_MEASURE_ID_OVERRIDE",$C111,"DEEP_BROKER_ID_OVERRIDE",$F$7,"DEEP_PERIOD_OVERRIDE",AD$11)*1,"")))</f>
        <v/>
      </c>
      <c r="AE111" s="17" t="str">
        <f ca="1">IF(ISNA($B111),"",IF($B111="","",IFERROR(_xll.BDP(TICKER,"DEEP_MEASURE_PERIOD_BROKER_VALUE","DEEP_MEASURE_ID_OVERRIDE",$C111,"DEEP_BROKER_ID_OVERRIDE",$F$7,"DEEP_PERIOD_OVERRIDE",AE$11)*1,"")))</f>
        <v/>
      </c>
      <c r="AF111" s="17" t="str">
        <f ca="1">IF(ISNA($B111),"",IF($B111="","",IFERROR(_xll.BDP(TICKER,"DEEP_MEASURE_PERIOD_BROKER_VALUE","DEEP_MEASURE_ID_OVERRIDE",$C111,"DEEP_BROKER_ID_OVERRIDE",$F$7,"DEEP_PERIOD_OVERRIDE",AF$11)*1,"")))</f>
        <v/>
      </c>
      <c r="AG111" s="17" t="str">
        <f ca="1">IF(ISNA($B111),"",IF($B111="","",IFERROR(_xll.BDP(TICKER,"DEEP_MEASURE_PERIOD_BROKER_VALUE","DEEP_MEASURE_ID_OVERRIDE",$C111,"DEEP_BROKER_ID_OVERRIDE",$F$7,"DEEP_PERIOD_OVERRIDE",AG$11)*1,"")))</f>
        <v/>
      </c>
      <c r="AH111" s="17" t="str">
        <f ca="1">IF(ISNA($B111),"",IF($B111="","",IFERROR(_xll.BDP(TICKER,"DEEP_MEASURE_PERIOD_BROKER_VALUE","DEEP_MEASURE_ID_OVERRIDE",$C111,"DEEP_BROKER_ID_OVERRIDE",$F$7,"DEEP_PERIOD_OVERRIDE",AH$11)*1,"")))</f>
        <v/>
      </c>
      <c r="AI111" s="17" t="str">
        <f ca="1">IF(ISNA($B111),"",IF($B111="","",IFERROR(_xll.BDP(TICKER,"DEEP_MEASURE_PERIOD_BROKER_VALUE","DEEP_MEASURE_ID_OVERRIDE",$C111,"DEEP_BROKER_ID_OVERRIDE",$F$7,"DEEP_PERIOD_OVERRIDE",AI$11)*1,"")))</f>
        <v/>
      </c>
      <c r="AJ111" s="17" t="str">
        <f ca="1">IF(ISNA($B111),"",IF($B111="","",IFERROR(_xll.BDP(TICKER,"DEEP_MEASURE_PERIOD_BROKER_VALUE","DEEP_MEASURE_ID_OVERRIDE",$C111,"DEEP_BROKER_ID_OVERRIDE",$F$7,"DEEP_PERIOD_OVERRIDE",AJ$11)*1,"")))</f>
        <v/>
      </c>
      <c r="AK111" s="17" t="str">
        <f ca="1">IF(ISNA($B111),"",IF($B111="","",IFERROR(_xll.BDP(TICKER,"DEEP_MEASURE_PERIOD_BROKER_VALUE","DEEP_MEASURE_ID_OVERRIDE",$C111,"DEEP_BROKER_ID_OVERRIDE",$F$7,"DEEP_PERIOD_OVERRIDE",AK$11)*1,"")))</f>
        <v/>
      </c>
      <c r="AL111" s="17" t="str">
        <f ca="1">IF(ISNA($B111),"",IF($B111="","",IFERROR(_xll.BDP(TICKER,"DEEP_MEASURE_PERIOD_BROKER_VALUE","DEEP_MEASURE_ID_OVERRIDE",$C111,"DEEP_BROKER_ID_OVERRIDE",$F$7,"DEEP_PERIOD_OVERRIDE",AL$11)*1,"")))</f>
        <v/>
      </c>
      <c r="AM111" s="17" t="str">
        <f ca="1">IF(ISNA($B111),"",IF($B111="","",IFERROR(_xll.BDP(TICKER,"DEEP_MEASURE_PERIOD_BROKER_VALUE","DEEP_MEASURE_ID_OVERRIDE",$C111,"DEEP_BROKER_ID_OVERRIDE",$F$7,"DEEP_PERIOD_OVERRIDE",AM$11)*1,"")))</f>
        <v/>
      </c>
      <c r="AN111" s="17" t="str">
        <f ca="1">IF(ISNA($B111),"",IF($B111="","",IFERROR(_xll.BDP(TICKER,"DEEP_MEASURE_PERIOD_BROKER_VALUE","DEEP_MEASURE_ID_OVERRIDE",$C111,"DEEP_BROKER_ID_OVERRIDE",$F$7,"DEEP_PERIOD_OVERRIDE",AN$11)*1,"")))</f>
        <v/>
      </c>
      <c r="AO111" s="17" t="str">
        <f ca="1">IF(ISNA($B111),"",IF($B111="","",IFERROR(_xll.BDP(TICKER,"DEEP_MEASURE_PERIOD_BROKER_VALUE","DEEP_MEASURE_ID_OVERRIDE",$C111,"DEEP_BROKER_ID_OVERRIDE",$F$7,"DEEP_PERIOD_OVERRIDE",AO$11)*1,"")))</f>
        <v/>
      </c>
      <c r="AP111" s="17" t="str">
        <f ca="1">IF(ISNA($B111),"",IF($B111="","",IFERROR(_xll.BDP(TICKER,"DEEP_MEASURE_PERIOD_BROKER_VALUE","DEEP_MEASURE_ID_OVERRIDE",$C111,"DEEP_BROKER_ID_OVERRIDE",$F$7,"DEEP_PERIOD_OVERRIDE",AP$11)*1,"")))</f>
        <v/>
      </c>
      <c r="AQ111" s="17" t="str">
        <f ca="1">IF(ISNA($B111),"",IF($B111="","",IFERROR(_xll.BDP(TICKER,"DEEP_MEASURE_PERIOD_BROKER_VALUE","DEEP_MEASURE_ID_OVERRIDE",$C111,"DEEP_BROKER_ID_OVERRIDE",$F$7,"DEEP_PERIOD_OVERRIDE",AQ$11)*1,"")))</f>
        <v/>
      </c>
    </row>
    <row r="112" spans="2:43" x14ac:dyDescent="0.25">
      <c r="B112" t="s">
        <v>157</v>
      </c>
      <c r="C112" s="11">
        <v>384</v>
      </c>
      <c r="H112" t="str">
        <f t="shared" si="3"/>
        <v>Research &amp; Development Expense &gt; Research &amp; Development Expense (ex-SBC) &gt; As % of Revenue</v>
      </c>
      <c r="I112" s="17" t="str">
        <f ca="1">IF(ISNA($B112),"",IF($B112="","",IFERROR(_xll.BDP(TICKER,"DEEP_MEASURE_PERIOD_BROKER_VALUE","DEEP_MEASURE_ID_OVERRIDE",$C112,"DEEP_BROKER_ID_OVERRIDE",$F$7,"DEEP_PERIOD_OVERRIDE",I$11)*1,"")))</f>
        <v/>
      </c>
      <c r="J112" s="17" t="str">
        <f ca="1">IF(ISNA($B112),"",IF($B112="","",IFERROR(_xll.BDP(TICKER,"DEEP_MEASURE_PERIOD_BROKER_VALUE","DEEP_MEASURE_ID_OVERRIDE",$C112,"DEEP_BROKER_ID_OVERRIDE",$F$7,"DEEP_PERIOD_OVERRIDE",J$11)*1,"")))</f>
        <v/>
      </c>
      <c r="K112" s="17" t="str">
        <f ca="1">IF(ISNA($B112),"",IF($B112="","",IFERROR(_xll.BDP(TICKER,"DEEP_MEASURE_PERIOD_BROKER_VALUE","DEEP_MEASURE_ID_OVERRIDE",$C112,"DEEP_BROKER_ID_OVERRIDE",$F$7,"DEEP_PERIOD_OVERRIDE",K$11)*1,"")))</f>
        <v/>
      </c>
      <c r="L112" s="17" t="str">
        <f ca="1">IF(ISNA($B112),"",IF($B112="","",IFERROR(_xll.BDP(TICKER,"DEEP_MEASURE_PERIOD_BROKER_VALUE","DEEP_MEASURE_ID_OVERRIDE",$C112,"DEEP_BROKER_ID_OVERRIDE",$F$7,"DEEP_PERIOD_OVERRIDE",L$11)*1,"")))</f>
        <v/>
      </c>
      <c r="M112" s="17" t="str">
        <f ca="1">IF(ISNA($B112),"",IF($B112="","",IFERROR(_xll.BDP(TICKER,"DEEP_MEASURE_PERIOD_BROKER_VALUE","DEEP_MEASURE_ID_OVERRIDE",$C112,"DEEP_BROKER_ID_OVERRIDE",$F$7,"DEEP_PERIOD_OVERRIDE",M$11)*1,"")))</f>
        <v/>
      </c>
      <c r="N112" s="17" t="str">
        <f ca="1">IF(ISNA($B112),"",IF($B112="","",IFERROR(_xll.BDP(TICKER,"DEEP_MEASURE_PERIOD_BROKER_VALUE","DEEP_MEASURE_ID_OVERRIDE",$C112,"DEEP_BROKER_ID_OVERRIDE",$F$7,"DEEP_PERIOD_OVERRIDE",N$11)*1,"")))</f>
        <v/>
      </c>
      <c r="O112" s="17" t="str">
        <f ca="1">IF(ISNA($B112),"",IF($B112="","",IFERROR(_xll.BDP(TICKER,"DEEP_MEASURE_PERIOD_BROKER_VALUE","DEEP_MEASURE_ID_OVERRIDE",$C112,"DEEP_BROKER_ID_OVERRIDE",$F$7,"DEEP_PERIOD_OVERRIDE",O$11)*1,"")))</f>
        <v/>
      </c>
      <c r="P112" s="17" t="str">
        <f ca="1">IF(ISNA($B112),"",IF($B112="","",IFERROR(_xll.BDP(TICKER,"DEEP_MEASURE_PERIOD_BROKER_VALUE","DEEP_MEASURE_ID_OVERRIDE",$C112,"DEEP_BROKER_ID_OVERRIDE",$F$7,"DEEP_PERIOD_OVERRIDE",P$11)*1,"")))</f>
        <v/>
      </c>
      <c r="Q112" s="17" t="str">
        <f ca="1">IF(ISNA($B112),"",IF($B112="","",IFERROR(_xll.BDP(TICKER,"DEEP_MEASURE_PERIOD_BROKER_VALUE","DEEP_MEASURE_ID_OVERRIDE",$C112,"DEEP_BROKER_ID_OVERRIDE",$F$7,"DEEP_PERIOD_OVERRIDE",Q$11)*1,"")))</f>
        <v/>
      </c>
      <c r="R112" s="17" t="str">
        <f ca="1">IF(ISNA($B112),"",IF($B112="","",IFERROR(_xll.BDP(TICKER,"DEEP_MEASURE_PERIOD_BROKER_VALUE","DEEP_MEASURE_ID_OVERRIDE",$C112,"DEEP_BROKER_ID_OVERRIDE",$F$7,"DEEP_PERIOD_OVERRIDE",R$11)*1,"")))</f>
        <v/>
      </c>
      <c r="S112" s="17" t="str">
        <f ca="1">IF(ISNA($B112),"",IF($B112="","",IFERROR(_xll.BDP(TICKER,"DEEP_MEASURE_PERIOD_BROKER_VALUE","DEEP_MEASURE_ID_OVERRIDE",$C112,"DEEP_BROKER_ID_OVERRIDE",$F$7,"DEEP_PERIOD_OVERRIDE",S$11)*1,"")))</f>
        <v/>
      </c>
      <c r="T112" s="17" t="str">
        <f ca="1">IF(ISNA($B112),"",IF($B112="","",IFERROR(_xll.BDP(TICKER,"DEEP_MEASURE_PERIOD_BROKER_VALUE","DEEP_MEASURE_ID_OVERRIDE",$C112,"DEEP_BROKER_ID_OVERRIDE",$F$7,"DEEP_PERIOD_OVERRIDE",T$11)*1,"")))</f>
        <v/>
      </c>
      <c r="U112" s="17" t="str">
        <f ca="1">IF(ISNA($B112),"",IF($B112="","",IFERROR(_xll.BDP(TICKER,"DEEP_MEASURE_PERIOD_BROKER_VALUE","DEEP_MEASURE_ID_OVERRIDE",$C112,"DEEP_BROKER_ID_OVERRIDE",$F$7,"DEEP_PERIOD_OVERRIDE",U$11)*1,"")))</f>
        <v/>
      </c>
      <c r="V112" s="17" t="str">
        <f ca="1">IF(ISNA($B112),"",IF($B112="","",IFERROR(_xll.BDP(TICKER,"DEEP_MEASURE_PERIOD_BROKER_VALUE","DEEP_MEASURE_ID_OVERRIDE",$C112,"DEEP_BROKER_ID_OVERRIDE",$F$7,"DEEP_PERIOD_OVERRIDE",V$11)*1,"")))</f>
        <v/>
      </c>
      <c r="W112" s="17" t="str">
        <f ca="1">IF(ISNA($B112),"",IF($B112="","",IFERROR(_xll.BDP(TICKER,"DEEP_MEASURE_PERIOD_BROKER_VALUE","DEEP_MEASURE_ID_OVERRIDE",$C112,"DEEP_BROKER_ID_OVERRIDE",$F$7,"DEEP_PERIOD_OVERRIDE",W$11)*1,"")))</f>
        <v/>
      </c>
      <c r="X112" s="17" t="str">
        <f ca="1">IF(ISNA($B112),"",IF($B112="","",IFERROR(_xll.BDP(TICKER,"DEEP_MEASURE_PERIOD_BROKER_VALUE","DEEP_MEASURE_ID_OVERRIDE",$C112,"DEEP_BROKER_ID_OVERRIDE",$F$7,"DEEP_PERIOD_OVERRIDE",X$11)*1,"")))</f>
        <v/>
      </c>
      <c r="Y112" s="17" t="str">
        <f ca="1">IF(ISNA($B112),"",IF($B112="","",IFERROR(_xll.BDP(TICKER,"DEEP_MEASURE_PERIOD_BROKER_VALUE","DEEP_MEASURE_ID_OVERRIDE",$C112,"DEEP_BROKER_ID_OVERRIDE",$F$7,"DEEP_PERIOD_OVERRIDE",Y$11)*1,"")))</f>
        <v/>
      </c>
      <c r="Z112" s="17" t="str">
        <f ca="1">IF(ISNA($B112),"",IF($B112="","",IFERROR(_xll.BDP(TICKER,"DEEP_MEASURE_PERIOD_BROKER_VALUE","DEEP_MEASURE_ID_OVERRIDE",$C112,"DEEP_BROKER_ID_OVERRIDE",$F$7,"DEEP_PERIOD_OVERRIDE",Z$11)*1,"")))</f>
        <v/>
      </c>
      <c r="AA112" s="17" t="str">
        <f ca="1">IF(ISNA($B112),"",IF($B112="","",IFERROR(_xll.BDP(TICKER,"DEEP_MEASURE_PERIOD_BROKER_VALUE","DEEP_MEASURE_ID_OVERRIDE",$C112,"DEEP_BROKER_ID_OVERRIDE",$F$7,"DEEP_PERIOD_OVERRIDE",AA$11)*1,"")))</f>
        <v/>
      </c>
      <c r="AB112" s="17" t="str">
        <f ca="1">IF(ISNA($B112),"",IF($B112="","",IFERROR(_xll.BDP(TICKER,"DEEP_MEASURE_PERIOD_BROKER_VALUE","DEEP_MEASURE_ID_OVERRIDE",$C112,"DEEP_BROKER_ID_OVERRIDE",$F$7,"DEEP_PERIOD_OVERRIDE",AB$11)*1,"")))</f>
        <v/>
      </c>
      <c r="AC112" s="17" t="str">
        <f ca="1">IF(ISNA($B112),"",IF($B112="","",IFERROR(_xll.BDP(TICKER,"DEEP_MEASURE_PERIOD_BROKER_VALUE","DEEP_MEASURE_ID_OVERRIDE",$C112,"DEEP_BROKER_ID_OVERRIDE",$F$7,"DEEP_PERIOD_OVERRIDE",AC$11)*1,"")))</f>
        <v/>
      </c>
      <c r="AD112" s="17" t="str">
        <f ca="1">IF(ISNA($B112),"",IF($B112="","",IFERROR(_xll.BDP(TICKER,"DEEP_MEASURE_PERIOD_BROKER_VALUE","DEEP_MEASURE_ID_OVERRIDE",$C112,"DEEP_BROKER_ID_OVERRIDE",$F$7,"DEEP_PERIOD_OVERRIDE",AD$11)*1,"")))</f>
        <v/>
      </c>
      <c r="AE112" s="17" t="str">
        <f ca="1">IF(ISNA($B112),"",IF($B112="","",IFERROR(_xll.BDP(TICKER,"DEEP_MEASURE_PERIOD_BROKER_VALUE","DEEP_MEASURE_ID_OVERRIDE",$C112,"DEEP_BROKER_ID_OVERRIDE",$F$7,"DEEP_PERIOD_OVERRIDE",AE$11)*1,"")))</f>
        <v/>
      </c>
      <c r="AF112" s="17" t="str">
        <f ca="1">IF(ISNA($B112),"",IF($B112="","",IFERROR(_xll.BDP(TICKER,"DEEP_MEASURE_PERIOD_BROKER_VALUE","DEEP_MEASURE_ID_OVERRIDE",$C112,"DEEP_BROKER_ID_OVERRIDE",$F$7,"DEEP_PERIOD_OVERRIDE",AF$11)*1,"")))</f>
        <v/>
      </c>
      <c r="AG112" s="17" t="str">
        <f ca="1">IF(ISNA($B112),"",IF($B112="","",IFERROR(_xll.BDP(TICKER,"DEEP_MEASURE_PERIOD_BROKER_VALUE","DEEP_MEASURE_ID_OVERRIDE",$C112,"DEEP_BROKER_ID_OVERRIDE",$F$7,"DEEP_PERIOD_OVERRIDE",AG$11)*1,"")))</f>
        <v/>
      </c>
      <c r="AH112" s="17" t="str">
        <f ca="1">IF(ISNA($B112),"",IF($B112="","",IFERROR(_xll.BDP(TICKER,"DEEP_MEASURE_PERIOD_BROKER_VALUE","DEEP_MEASURE_ID_OVERRIDE",$C112,"DEEP_BROKER_ID_OVERRIDE",$F$7,"DEEP_PERIOD_OVERRIDE",AH$11)*1,"")))</f>
        <v/>
      </c>
      <c r="AI112" s="17" t="str">
        <f ca="1">IF(ISNA($B112),"",IF($B112="","",IFERROR(_xll.BDP(TICKER,"DEEP_MEASURE_PERIOD_BROKER_VALUE","DEEP_MEASURE_ID_OVERRIDE",$C112,"DEEP_BROKER_ID_OVERRIDE",$F$7,"DEEP_PERIOD_OVERRIDE",AI$11)*1,"")))</f>
        <v/>
      </c>
      <c r="AJ112" s="17" t="str">
        <f ca="1">IF(ISNA($B112),"",IF($B112="","",IFERROR(_xll.BDP(TICKER,"DEEP_MEASURE_PERIOD_BROKER_VALUE","DEEP_MEASURE_ID_OVERRIDE",$C112,"DEEP_BROKER_ID_OVERRIDE",$F$7,"DEEP_PERIOD_OVERRIDE",AJ$11)*1,"")))</f>
        <v/>
      </c>
      <c r="AK112" s="17" t="str">
        <f ca="1">IF(ISNA($B112),"",IF($B112="","",IFERROR(_xll.BDP(TICKER,"DEEP_MEASURE_PERIOD_BROKER_VALUE","DEEP_MEASURE_ID_OVERRIDE",$C112,"DEEP_BROKER_ID_OVERRIDE",$F$7,"DEEP_PERIOD_OVERRIDE",AK$11)*1,"")))</f>
        <v/>
      </c>
      <c r="AL112" s="17" t="str">
        <f ca="1">IF(ISNA($B112),"",IF($B112="","",IFERROR(_xll.BDP(TICKER,"DEEP_MEASURE_PERIOD_BROKER_VALUE","DEEP_MEASURE_ID_OVERRIDE",$C112,"DEEP_BROKER_ID_OVERRIDE",$F$7,"DEEP_PERIOD_OVERRIDE",AL$11)*1,"")))</f>
        <v/>
      </c>
      <c r="AM112" s="17" t="str">
        <f ca="1">IF(ISNA($B112),"",IF($B112="","",IFERROR(_xll.BDP(TICKER,"DEEP_MEASURE_PERIOD_BROKER_VALUE","DEEP_MEASURE_ID_OVERRIDE",$C112,"DEEP_BROKER_ID_OVERRIDE",$F$7,"DEEP_PERIOD_OVERRIDE",AM$11)*1,"")))</f>
        <v/>
      </c>
      <c r="AN112" s="17" t="str">
        <f ca="1">IF(ISNA($B112),"",IF($B112="","",IFERROR(_xll.BDP(TICKER,"DEEP_MEASURE_PERIOD_BROKER_VALUE","DEEP_MEASURE_ID_OVERRIDE",$C112,"DEEP_BROKER_ID_OVERRIDE",$F$7,"DEEP_PERIOD_OVERRIDE",AN$11)*1,"")))</f>
        <v/>
      </c>
      <c r="AO112" s="17" t="str">
        <f ca="1">IF(ISNA($B112),"",IF($B112="","",IFERROR(_xll.BDP(TICKER,"DEEP_MEASURE_PERIOD_BROKER_VALUE","DEEP_MEASURE_ID_OVERRIDE",$C112,"DEEP_BROKER_ID_OVERRIDE",$F$7,"DEEP_PERIOD_OVERRIDE",AO$11)*1,"")))</f>
        <v/>
      </c>
      <c r="AP112" s="17" t="str">
        <f ca="1">IF(ISNA($B112),"",IF($B112="","",IFERROR(_xll.BDP(TICKER,"DEEP_MEASURE_PERIOD_BROKER_VALUE","DEEP_MEASURE_ID_OVERRIDE",$C112,"DEEP_BROKER_ID_OVERRIDE",$F$7,"DEEP_PERIOD_OVERRIDE",AP$11)*1,"")))</f>
        <v/>
      </c>
      <c r="AQ112" s="17" t="str">
        <f ca="1">IF(ISNA($B112),"",IF($B112="","",IFERROR(_xll.BDP(TICKER,"DEEP_MEASURE_PERIOD_BROKER_VALUE","DEEP_MEASURE_ID_OVERRIDE",$C112,"DEEP_BROKER_ID_OVERRIDE",$F$7,"DEEP_PERIOD_OVERRIDE",AQ$11)*1,"")))</f>
        <v/>
      </c>
    </row>
    <row r="113" spans="2:43" x14ac:dyDescent="0.25">
      <c r="B113" t="s">
        <v>158</v>
      </c>
      <c r="C113" s="11">
        <v>342</v>
      </c>
      <c r="H113" t="str">
        <f t="shared" si="3"/>
        <v>Research &amp; Development Expense &gt; Stock Based Compensation (Non-GAAP)</v>
      </c>
      <c r="I113" s="17" t="str">
        <f ca="1">IF(ISNA($B113),"",IF($B113="","",IFERROR(_xll.BDP(TICKER,"DEEP_MEASURE_PERIOD_BROKER_VALUE","DEEP_MEASURE_ID_OVERRIDE",$C113,"DEEP_BROKER_ID_OVERRIDE",$F$7,"DEEP_PERIOD_OVERRIDE",I$11)*1,"")))</f>
        <v/>
      </c>
      <c r="J113" s="17" t="str">
        <f ca="1">IF(ISNA($B113),"",IF($B113="","",IFERROR(_xll.BDP(TICKER,"DEEP_MEASURE_PERIOD_BROKER_VALUE","DEEP_MEASURE_ID_OVERRIDE",$C113,"DEEP_BROKER_ID_OVERRIDE",$F$7,"DEEP_PERIOD_OVERRIDE",J$11)*1,"")))</f>
        <v/>
      </c>
      <c r="K113" s="17" t="str">
        <f ca="1">IF(ISNA($B113),"",IF($B113="","",IFERROR(_xll.BDP(TICKER,"DEEP_MEASURE_PERIOD_BROKER_VALUE","DEEP_MEASURE_ID_OVERRIDE",$C113,"DEEP_BROKER_ID_OVERRIDE",$F$7,"DEEP_PERIOD_OVERRIDE",K$11)*1,"")))</f>
        <v/>
      </c>
      <c r="L113" s="17" t="str">
        <f ca="1">IF(ISNA($B113),"",IF($B113="","",IFERROR(_xll.BDP(TICKER,"DEEP_MEASURE_PERIOD_BROKER_VALUE","DEEP_MEASURE_ID_OVERRIDE",$C113,"DEEP_BROKER_ID_OVERRIDE",$F$7,"DEEP_PERIOD_OVERRIDE",L$11)*1,"")))</f>
        <v/>
      </c>
      <c r="M113" s="17" t="str">
        <f ca="1">IF(ISNA($B113),"",IF($B113="","",IFERROR(_xll.BDP(TICKER,"DEEP_MEASURE_PERIOD_BROKER_VALUE","DEEP_MEASURE_ID_OVERRIDE",$C113,"DEEP_BROKER_ID_OVERRIDE",$F$7,"DEEP_PERIOD_OVERRIDE",M$11)*1,"")))</f>
        <v/>
      </c>
      <c r="N113" s="17" t="str">
        <f ca="1">IF(ISNA($B113),"",IF($B113="","",IFERROR(_xll.BDP(TICKER,"DEEP_MEASURE_PERIOD_BROKER_VALUE","DEEP_MEASURE_ID_OVERRIDE",$C113,"DEEP_BROKER_ID_OVERRIDE",$F$7,"DEEP_PERIOD_OVERRIDE",N$11)*1,"")))</f>
        <v/>
      </c>
      <c r="O113" s="17" t="str">
        <f ca="1">IF(ISNA($B113),"",IF($B113="","",IFERROR(_xll.BDP(TICKER,"DEEP_MEASURE_PERIOD_BROKER_VALUE","DEEP_MEASURE_ID_OVERRIDE",$C113,"DEEP_BROKER_ID_OVERRIDE",$F$7,"DEEP_PERIOD_OVERRIDE",O$11)*1,"")))</f>
        <v/>
      </c>
      <c r="P113" s="17" t="str">
        <f ca="1">IF(ISNA($B113),"",IF($B113="","",IFERROR(_xll.BDP(TICKER,"DEEP_MEASURE_PERIOD_BROKER_VALUE","DEEP_MEASURE_ID_OVERRIDE",$C113,"DEEP_BROKER_ID_OVERRIDE",$F$7,"DEEP_PERIOD_OVERRIDE",P$11)*1,"")))</f>
        <v/>
      </c>
      <c r="Q113" s="17" t="str">
        <f ca="1">IF(ISNA($B113),"",IF($B113="","",IFERROR(_xll.BDP(TICKER,"DEEP_MEASURE_PERIOD_BROKER_VALUE","DEEP_MEASURE_ID_OVERRIDE",$C113,"DEEP_BROKER_ID_OVERRIDE",$F$7,"DEEP_PERIOD_OVERRIDE",Q$11)*1,"")))</f>
        <v/>
      </c>
      <c r="R113" s="17" t="str">
        <f ca="1">IF(ISNA($B113),"",IF($B113="","",IFERROR(_xll.BDP(TICKER,"DEEP_MEASURE_PERIOD_BROKER_VALUE","DEEP_MEASURE_ID_OVERRIDE",$C113,"DEEP_BROKER_ID_OVERRIDE",$F$7,"DEEP_PERIOD_OVERRIDE",R$11)*1,"")))</f>
        <v/>
      </c>
      <c r="S113" s="17" t="str">
        <f ca="1">IF(ISNA($B113),"",IF($B113="","",IFERROR(_xll.BDP(TICKER,"DEEP_MEASURE_PERIOD_BROKER_VALUE","DEEP_MEASURE_ID_OVERRIDE",$C113,"DEEP_BROKER_ID_OVERRIDE",$F$7,"DEEP_PERIOD_OVERRIDE",S$11)*1,"")))</f>
        <v/>
      </c>
      <c r="T113" s="17" t="str">
        <f ca="1">IF(ISNA($B113),"",IF($B113="","",IFERROR(_xll.BDP(TICKER,"DEEP_MEASURE_PERIOD_BROKER_VALUE","DEEP_MEASURE_ID_OVERRIDE",$C113,"DEEP_BROKER_ID_OVERRIDE",$F$7,"DEEP_PERIOD_OVERRIDE",T$11)*1,"")))</f>
        <v/>
      </c>
      <c r="U113" s="17" t="str">
        <f ca="1">IF(ISNA($B113),"",IF($B113="","",IFERROR(_xll.BDP(TICKER,"DEEP_MEASURE_PERIOD_BROKER_VALUE","DEEP_MEASURE_ID_OVERRIDE",$C113,"DEEP_BROKER_ID_OVERRIDE",$F$7,"DEEP_PERIOD_OVERRIDE",U$11)*1,"")))</f>
        <v/>
      </c>
      <c r="V113" s="17" t="str">
        <f ca="1">IF(ISNA($B113),"",IF($B113="","",IFERROR(_xll.BDP(TICKER,"DEEP_MEASURE_PERIOD_BROKER_VALUE","DEEP_MEASURE_ID_OVERRIDE",$C113,"DEEP_BROKER_ID_OVERRIDE",$F$7,"DEEP_PERIOD_OVERRIDE",V$11)*1,"")))</f>
        <v/>
      </c>
      <c r="W113" s="17" t="str">
        <f ca="1">IF(ISNA($B113),"",IF($B113="","",IFERROR(_xll.BDP(TICKER,"DEEP_MEASURE_PERIOD_BROKER_VALUE","DEEP_MEASURE_ID_OVERRIDE",$C113,"DEEP_BROKER_ID_OVERRIDE",$F$7,"DEEP_PERIOD_OVERRIDE",W$11)*1,"")))</f>
        <v/>
      </c>
      <c r="X113" s="17" t="str">
        <f ca="1">IF(ISNA($B113),"",IF($B113="","",IFERROR(_xll.BDP(TICKER,"DEEP_MEASURE_PERIOD_BROKER_VALUE","DEEP_MEASURE_ID_OVERRIDE",$C113,"DEEP_BROKER_ID_OVERRIDE",$F$7,"DEEP_PERIOD_OVERRIDE",X$11)*1,"")))</f>
        <v/>
      </c>
      <c r="Y113" s="17" t="str">
        <f ca="1">IF(ISNA($B113),"",IF($B113="","",IFERROR(_xll.BDP(TICKER,"DEEP_MEASURE_PERIOD_BROKER_VALUE","DEEP_MEASURE_ID_OVERRIDE",$C113,"DEEP_BROKER_ID_OVERRIDE",$F$7,"DEEP_PERIOD_OVERRIDE",Y$11)*1,"")))</f>
        <v/>
      </c>
      <c r="Z113" s="17" t="str">
        <f ca="1">IF(ISNA($B113),"",IF($B113="","",IFERROR(_xll.BDP(TICKER,"DEEP_MEASURE_PERIOD_BROKER_VALUE","DEEP_MEASURE_ID_OVERRIDE",$C113,"DEEP_BROKER_ID_OVERRIDE",$F$7,"DEEP_PERIOD_OVERRIDE",Z$11)*1,"")))</f>
        <v/>
      </c>
      <c r="AA113" s="17" t="str">
        <f ca="1">IF(ISNA($B113),"",IF($B113="","",IFERROR(_xll.BDP(TICKER,"DEEP_MEASURE_PERIOD_BROKER_VALUE","DEEP_MEASURE_ID_OVERRIDE",$C113,"DEEP_BROKER_ID_OVERRIDE",$F$7,"DEEP_PERIOD_OVERRIDE",AA$11)*1,"")))</f>
        <v/>
      </c>
      <c r="AB113" s="17" t="str">
        <f ca="1">IF(ISNA($B113),"",IF($B113="","",IFERROR(_xll.BDP(TICKER,"DEEP_MEASURE_PERIOD_BROKER_VALUE","DEEP_MEASURE_ID_OVERRIDE",$C113,"DEEP_BROKER_ID_OVERRIDE",$F$7,"DEEP_PERIOD_OVERRIDE",AB$11)*1,"")))</f>
        <v/>
      </c>
      <c r="AC113" s="17" t="str">
        <f ca="1">IF(ISNA($B113),"",IF($B113="","",IFERROR(_xll.BDP(TICKER,"DEEP_MEASURE_PERIOD_BROKER_VALUE","DEEP_MEASURE_ID_OVERRIDE",$C113,"DEEP_BROKER_ID_OVERRIDE",$F$7,"DEEP_PERIOD_OVERRIDE",AC$11)*1,"")))</f>
        <v/>
      </c>
      <c r="AD113" s="17" t="str">
        <f ca="1">IF(ISNA($B113),"",IF($B113="","",IFERROR(_xll.BDP(TICKER,"DEEP_MEASURE_PERIOD_BROKER_VALUE","DEEP_MEASURE_ID_OVERRIDE",$C113,"DEEP_BROKER_ID_OVERRIDE",$F$7,"DEEP_PERIOD_OVERRIDE",AD$11)*1,"")))</f>
        <v/>
      </c>
      <c r="AE113" s="17" t="str">
        <f ca="1">IF(ISNA($B113),"",IF($B113="","",IFERROR(_xll.BDP(TICKER,"DEEP_MEASURE_PERIOD_BROKER_VALUE","DEEP_MEASURE_ID_OVERRIDE",$C113,"DEEP_BROKER_ID_OVERRIDE",$F$7,"DEEP_PERIOD_OVERRIDE",AE$11)*1,"")))</f>
        <v/>
      </c>
      <c r="AF113" s="17" t="str">
        <f ca="1">IF(ISNA($B113),"",IF($B113="","",IFERROR(_xll.BDP(TICKER,"DEEP_MEASURE_PERIOD_BROKER_VALUE","DEEP_MEASURE_ID_OVERRIDE",$C113,"DEEP_BROKER_ID_OVERRIDE",$F$7,"DEEP_PERIOD_OVERRIDE",AF$11)*1,"")))</f>
        <v/>
      </c>
      <c r="AG113" s="17" t="str">
        <f ca="1">IF(ISNA($B113),"",IF($B113="","",IFERROR(_xll.BDP(TICKER,"DEEP_MEASURE_PERIOD_BROKER_VALUE","DEEP_MEASURE_ID_OVERRIDE",$C113,"DEEP_BROKER_ID_OVERRIDE",$F$7,"DEEP_PERIOD_OVERRIDE",AG$11)*1,"")))</f>
        <v/>
      </c>
      <c r="AH113" s="17" t="str">
        <f ca="1">IF(ISNA($B113),"",IF($B113="","",IFERROR(_xll.BDP(TICKER,"DEEP_MEASURE_PERIOD_BROKER_VALUE","DEEP_MEASURE_ID_OVERRIDE",$C113,"DEEP_BROKER_ID_OVERRIDE",$F$7,"DEEP_PERIOD_OVERRIDE",AH$11)*1,"")))</f>
        <v/>
      </c>
      <c r="AI113" s="17" t="str">
        <f ca="1">IF(ISNA($B113),"",IF($B113="","",IFERROR(_xll.BDP(TICKER,"DEEP_MEASURE_PERIOD_BROKER_VALUE","DEEP_MEASURE_ID_OVERRIDE",$C113,"DEEP_BROKER_ID_OVERRIDE",$F$7,"DEEP_PERIOD_OVERRIDE",AI$11)*1,"")))</f>
        <v/>
      </c>
      <c r="AJ113" s="17" t="str">
        <f ca="1">IF(ISNA($B113),"",IF($B113="","",IFERROR(_xll.BDP(TICKER,"DEEP_MEASURE_PERIOD_BROKER_VALUE","DEEP_MEASURE_ID_OVERRIDE",$C113,"DEEP_BROKER_ID_OVERRIDE",$F$7,"DEEP_PERIOD_OVERRIDE",AJ$11)*1,"")))</f>
        <v/>
      </c>
      <c r="AK113" s="17" t="str">
        <f ca="1">IF(ISNA($B113),"",IF($B113="","",IFERROR(_xll.BDP(TICKER,"DEEP_MEASURE_PERIOD_BROKER_VALUE","DEEP_MEASURE_ID_OVERRIDE",$C113,"DEEP_BROKER_ID_OVERRIDE",$F$7,"DEEP_PERIOD_OVERRIDE",AK$11)*1,"")))</f>
        <v/>
      </c>
      <c r="AL113" s="17" t="str">
        <f ca="1">IF(ISNA($B113),"",IF($B113="","",IFERROR(_xll.BDP(TICKER,"DEEP_MEASURE_PERIOD_BROKER_VALUE","DEEP_MEASURE_ID_OVERRIDE",$C113,"DEEP_BROKER_ID_OVERRIDE",$F$7,"DEEP_PERIOD_OVERRIDE",AL$11)*1,"")))</f>
        <v/>
      </c>
      <c r="AM113" s="17" t="str">
        <f ca="1">IF(ISNA($B113),"",IF($B113="","",IFERROR(_xll.BDP(TICKER,"DEEP_MEASURE_PERIOD_BROKER_VALUE","DEEP_MEASURE_ID_OVERRIDE",$C113,"DEEP_BROKER_ID_OVERRIDE",$F$7,"DEEP_PERIOD_OVERRIDE",AM$11)*1,"")))</f>
        <v/>
      </c>
      <c r="AN113" s="17" t="str">
        <f ca="1">IF(ISNA($B113),"",IF($B113="","",IFERROR(_xll.BDP(TICKER,"DEEP_MEASURE_PERIOD_BROKER_VALUE","DEEP_MEASURE_ID_OVERRIDE",$C113,"DEEP_BROKER_ID_OVERRIDE",$F$7,"DEEP_PERIOD_OVERRIDE",AN$11)*1,"")))</f>
        <v/>
      </c>
      <c r="AO113" s="17" t="str">
        <f ca="1">IF(ISNA($B113),"",IF($B113="","",IFERROR(_xll.BDP(TICKER,"DEEP_MEASURE_PERIOD_BROKER_VALUE","DEEP_MEASURE_ID_OVERRIDE",$C113,"DEEP_BROKER_ID_OVERRIDE",$F$7,"DEEP_PERIOD_OVERRIDE",AO$11)*1,"")))</f>
        <v/>
      </c>
      <c r="AP113" s="17" t="str">
        <f ca="1">IF(ISNA($B113),"",IF($B113="","",IFERROR(_xll.BDP(TICKER,"DEEP_MEASURE_PERIOD_BROKER_VALUE","DEEP_MEASURE_ID_OVERRIDE",$C113,"DEEP_BROKER_ID_OVERRIDE",$F$7,"DEEP_PERIOD_OVERRIDE",AP$11)*1,"")))</f>
        <v/>
      </c>
      <c r="AQ113" s="17" t="str">
        <f ca="1">IF(ISNA($B113),"",IF($B113="","",IFERROR(_xll.BDP(TICKER,"DEEP_MEASURE_PERIOD_BROKER_VALUE","DEEP_MEASURE_ID_OVERRIDE",$C113,"DEEP_BROKER_ID_OVERRIDE",$F$7,"DEEP_PERIOD_OVERRIDE",AQ$11)*1,"")))</f>
        <v/>
      </c>
    </row>
    <row r="114" spans="2:43" x14ac:dyDescent="0.25">
      <c r="B114" t="s">
        <v>159</v>
      </c>
      <c r="C114" s="11">
        <v>3736</v>
      </c>
      <c r="H114" t="str">
        <f t="shared" si="3"/>
        <v>Direct Costs (excluding-TV)</v>
      </c>
      <c r="I114" s="17" t="str">
        <f ca="1">IF(ISNA($B114),"",IF($B114="","",IFERROR(_xll.BDP(TICKER,"DEEP_MEASURE_PERIOD_BROKER_VALUE","DEEP_MEASURE_ID_OVERRIDE",$C114,"DEEP_BROKER_ID_OVERRIDE",$F$7,"DEEP_PERIOD_OVERRIDE",I$11)*1,"")))</f>
        <v/>
      </c>
      <c r="J114" s="17" t="str">
        <f ca="1">IF(ISNA($B114),"",IF($B114="","",IFERROR(_xll.BDP(TICKER,"DEEP_MEASURE_PERIOD_BROKER_VALUE","DEEP_MEASURE_ID_OVERRIDE",$C114,"DEEP_BROKER_ID_OVERRIDE",$F$7,"DEEP_PERIOD_OVERRIDE",J$11)*1,"")))</f>
        <v/>
      </c>
      <c r="K114" s="17" t="str">
        <f ca="1">IF(ISNA($B114),"",IF($B114="","",IFERROR(_xll.BDP(TICKER,"DEEP_MEASURE_PERIOD_BROKER_VALUE","DEEP_MEASURE_ID_OVERRIDE",$C114,"DEEP_BROKER_ID_OVERRIDE",$F$7,"DEEP_PERIOD_OVERRIDE",K$11)*1,"")))</f>
        <v/>
      </c>
      <c r="L114" s="17" t="str">
        <f ca="1">IF(ISNA($B114),"",IF($B114="","",IFERROR(_xll.BDP(TICKER,"DEEP_MEASURE_PERIOD_BROKER_VALUE","DEEP_MEASURE_ID_OVERRIDE",$C114,"DEEP_BROKER_ID_OVERRIDE",$F$7,"DEEP_PERIOD_OVERRIDE",L$11)*1,"")))</f>
        <v/>
      </c>
      <c r="M114" s="17" t="str">
        <f ca="1">IF(ISNA($B114),"",IF($B114="","",IFERROR(_xll.BDP(TICKER,"DEEP_MEASURE_PERIOD_BROKER_VALUE","DEEP_MEASURE_ID_OVERRIDE",$C114,"DEEP_BROKER_ID_OVERRIDE",$F$7,"DEEP_PERIOD_OVERRIDE",M$11)*1,"")))</f>
        <v/>
      </c>
      <c r="N114" s="17" t="str">
        <f ca="1">IF(ISNA($B114),"",IF($B114="","",IFERROR(_xll.BDP(TICKER,"DEEP_MEASURE_PERIOD_BROKER_VALUE","DEEP_MEASURE_ID_OVERRIDE",$C114,"DEEP_BROKER_ID_OVERRIDE",$F$7,"DEEP_PERIOD_OVERRIDE",N$11)*1,"")))</f>
        <v/>
      </c>
      <c r="O114" s="17" t="str">
        <f ca="1">IF(ISNA($B114),"",IF($B114="","",IFERROR(_xll.BDP(TICKER,"DEEP_MEASURE_PERIOD_BROKER_VALUE","DEEP_MEASURE_ID_OVERRIDE",$C114,"DEEP_BROKER_ID_OVERRIDE",$F$7,"DEEP_PERIOD_OVERRIDE",O$11)*1,"")))</f>
        <v/>
      </c>
      <c r="P114" s="17" t="str">
        <f ca="1">IF(ISNA($B114),"",IF($B114="","",IFERROR(_xll.BDP(TICKER,"DEEP_MEASURE_PERIOD_BROKER_VALUE","DEEP_MEASURE_ID_OVERRIDE",$C114,"DEEP_BROKER_ID_OVERRIDE",$F$7,"DEEP_PERIOD_OVERRIDE",P$11)*1,"")))</f>
        <v/>
      </c>
      <c r="Q114" s="17" t="str">
        <f ca="1">IF(ISNA($B114),"",IF($B114="","",IFERROR(_xll.BDP(TICKER,"DEEP_MEASURE_PERIOD_BROKER_VALUE","DEEP_MEASURE_ID_OVERRIDE",$C114,"DEEP_BROKER_ID_OVERRIDE",$F$7,"DEEP_PERIOD_OVERRIDE",Q$11)*1,"")))</f>
        <v/>
      </c>
      <c r="R114" s="17" t="str">
        <f ca="1">IF(ISNA($B114),"",IF($B114="","",IFERROR(_xll.BDP(TICKER,"DEEP_MEASURE_PERIOD_BROKER_VALUE","DEEP_MEASURE_ID_OVERRIDE",$C114,"DEEP_BROKER_ID_OVERRIDE",$F$7,"DEEP_PERIOD_OVERRIDE",R$11)*1,"")))</f>
        <v/>
      </c>
      <c r="S114" s="17" t="str">
        <f ca="1">IF(ISNA($B114),"",IF($B114="","",IFERROR(_xll.BDP(TICKER,"DEEP_MEASURE_PERIOD_BROKER_VALUE","DEEP_MEASURE_ID_OVERRIDE",$C114,"DEEP_BROKER_ID_OVERRIDE",$F$7,"DEEP_PERIOD_OVERRIDE",S$11)*1,"")))</f>
        <v/>
      </c>
      <c r="T114" s="17" t="str">
        <f ca="1">IF(ISNA($B114),"",IF($B114="","",IFERROR(_xll.BDP(TICKER,"DEEP_MEASURE_PERIOD_BROKER_VALUE","DEEP_MEASURE_ID_OVERRIDE",$C114,"DEEP_BROKER_ID_OVERRIDE",$F$7,"DEEP_PERIOD_OVERRIDE",T$11)*1,"")))</f>
        <v/>
      </c>
      <c r="U114" s="17" t="str">
        <f ca="1">IF(ISNA($B114),"",IF($B114="","",IFERROR(_xll.BDP(TICKER,"DEEP_MEASURE_PERIOD_BROKER_VALUE","DEEP_MEASURE_ID_OVERRIDE",$C114,"DEEP_BROKER_ID_OVERRIDE",$F$7,"DEEP_PERIOD_OVERRIDE",U$11)*1,"")))</f>
        <v/>
      </c>
      <c r="V114" s="17" t="str">
        <f ca="1">IF(ISNA($B114),"",IF($B114="","",IFERROR(_xll.BDP(TICKER,"DEEP_MEASURE_PERIOD_BROKER_VALUE","DEEP_MEASURE_ID_OVERRIDE",$C114,"DEEP_BROKER_ID_OVERRIDE",$F$7,"DEEP_PERIOD_OVERRIDE",V$11)*1,"")))</f>
        <v/>
      </c>
      <c r="W114" s="17" t="str">
        <f ca="1">IF(ISNA($B114),"",IF($B114="","",IFERROR(_xll.BDP(TICKER,"DEEP_MEASURE_PERIOD_BROKER_VALUE","DEEP_MEASURE_ID_OVERRIDE",$C114,"DEEP_BROKER_ID_OVERRIDE",$F$7,"DEEP_PERIOD_OVERRIDE",W$11)*1,"")))</f>
        <v/>
      </c>
      <c r="X114" s="17" t="str">
        <f ca="1">IF(ISNA($B114),"",IF($B114="","",IFERROR(_xll.BDP(TICKER,"DEEP_MEASURE_PERIOD_BROKER_VALUE","DEEP_MEASURE_ID_OVERRIDE",$C114,"DEEP_BROKER_ID_OVERRIDE",$F$7,"DEEP_PERIOD_OVERRIDE",X$11)*1,"")))</f>
        <v/>
      </c>
      <c r="Y114" s="17" t="str">
        <f ca="1">IF(ISNA($B114),"",IF($B114="","",IFERROR(_xll.BDP(TICKER,"DEEP_MEASURE_PERIOD_BROKER_VALUE","DEEP_MEASURE_ID_OVERRIDE",$C114,"DEEP_BROKER_ID_OVERRIDE",$F$7,"DEEP_PERIOD_OVERRIDE",Y$11)*1,"")))</f>
        <v/>
      </c>
      <c r="Z114" s="17" t="str">
        <f ca="1">IF(ISNA($B114),"",IF($B114="","",IFERROR(_xll.BDP(TICKER,"DEEP_MEASURE_PERIOD_BROKER_VALUE","DEEP_MEASURE_ID_OVERRIDE",$C114,"DEEP_BROKER_ID_OVERRIDE",$F$7,"DEEP_PERIOD_OVERRIDE",Z$11)*1,"")))</f>
        <v/>
      </c>
      <c r="AA114" s="17" t="str">
        <f ca="1">IF(ISNA($B114),"",IF($B114="","",IFERROR(_xll.BDP(TICKER,"DEEP_MEASURE_PERIOD_BROKER_VALUE","DEEP_MEASURE_ID_OVERRIDE",$C114,"DEEP_BROKER_ID_OVERRIDE",$F$7,"DEEP_PERIOD_OVERRIDE",AA$11)*1,"")))</f>
        <v/>
      </c>
      <c r="AB114" s="17" t="str">
        <f ca="1">IF(ISNA($B114),"",IF($B114="","",IFERROR(_xll.BDP(TICKER,"DEEP_MEASURE_PERIOD_BROKER_VALUE","DEEP_MEASURE_ID_OVERRIDE",$C114,"DEEP_BROKER_ID_OVERRIDE",$F$7,"DEEP_PERIOD_OVERRIDE",AB$11)*1,"")))</f>
        <v/>
      </c>
      <c r="AC114" s="17" t="str">
        <f ca="1">IF(ISNA($B114),"",IF($B114="","",IFERROR(_xll.BDP(TICKER,"DEEP_MEASURE_PERIOD_BROKER_VALUE","DEEP_MEASURE_ID_OVERRIDE",$C114,"DEEP_BROKER_ID_OVERRIDE",$F$7,"DEEP_PERIOD_OVERRIDE",AC$11)*1,"")))</f>
        <v/>
      </c>
      <c r="AD114" s="17" t="str">
        <f ca="1">IF(ISNA($B114),"",IF($B114="","",IFERROR(_xll.BDP(TICKER,"DEEP_MEASURE_PERIOD_BROKER_VALUE","DEEP_MEASURE_ID_OVERRIDE",$C114,"DEEP_BROKER_ID_OVERRIDE",$F$7,"DEEP_PERIOD_OVERRIDE",AD$11)*1,"")))</f>
        <v/>
      </c>
      <c r="AE114" s="17" t="str">
        <f ca="1">IF(ISNA($B114),"",IF($B114="","",IFERROR(_xll.BDP(TICKER,"DEEP_MEASURE_PERIOD_BROKER_VALUE","DEEP_MEASURE_ID_OVERRIDE",$C114,"DEEP_BROKER_ID_OVERRIDE",$F$7,"DEEP_PERIOD_OVERRIDE",AE$11)*1,"")))</f>
        <v/>
      </c>
      <c r="AF114" s="17" t="str">
        <f ca="1">IF(ISNA($B114),"",IF($B114="","",IFERROR(_xll.BDP(TICKER,"DEEP_MEASURE_PERIOD_BROKER_VALUE","DEEP_MEASURE_ID_OVERRIDE",$C114,"DEEP_BROKER_ID_OVERRIDE",$F$7,"DEEP_PERIOD_OVERRIDE",AF$11)*1,"")))</f>
        <v/>
      </c>
      <c r="AG114" s="17" t="str">
        <f ca="1">IF(ISNA($B114),"",IF($B114="","",IFERROR(_xll.BDP(TICKER,"DEEP_MEASURE_PERIOD_BROKER_VALUE","DEEP_MEASURE_ID_OVERRIDE",$C114,"DEEP_BROKER_ID_OVERRIDE",$F$7,"DEEP_PERIOD_OVERRIDE",AG$11)*1,"")))</f>
        <v/>
      </c>
      <c r="AH114" s="17" t="str">
        <f ca="1">IF(ISNA($B114),"",IF($B114="","",IFERROR(_xll.BDP(TICKER,"DEEP_MEASURE_PERIOD_BROKER_VALUE","DEEP_MEASURE_ID_OVERRIDE",$C114,"DEEP_BROKER_ID_OVERRIDE",$F$7,"DEEP_PERIOD_OVERRIDE",AH$11)*1,"")))</f>
        <v/>
      </c>
      <c r="AI114" s="17" t="str">
        <f ca="1">IF(ISNA($B114),"",IF($B114="","",IFERROR(_xll.BDP(TICKER,"DEEP_MEASURE_PERIOD_BROKER_VALUE","DEEP_MEASURE_ID_OVERRIDE",$C114,"DEEP_BROKER_ID_OVERRIDE",$F$7,"DEEP_PERIOD_OVERRIDE",AI$11)*1,"")))</f>
        <v/>
      </c>
      <c r="AJ114" s="17" t="str">
        <f ca="1">IF(ISNA($B114),"",IF($B114="","",IFERROR(_xll.BDP(TICKER,"DEEP_MEASURE_PERIOD_BROKER_VALUE","DEEP_MEASURE_ID_OVERRIDE",$C114,"DEEP_BROKER_ID_OVERRIDE",$F$7,"DEEP_PERIOD_OVERRIDE",AJ$11)*1,"")))</f>
        <v/>
      </c>
      <c r="AK114" s="17" t="str">
        <f ca="1">IF(ISNA($B114),"",IF($B114="","",IFERROR(_xll.BDP(TICKER,"DEEP_MEASURE_PERIOD_BROKER_VALUE","DEEP_MEASURE_ID_OVERRIDE",$C114,"DEEP_BROKER_ID_OVERRIDE",$F$7,"DEEP_PERIOD_OVERRIDE",AK$11)*1,"")))</f>
        <v/>
      </c>
      <c r="AL114" s="17" t="str">
        <f ca="1">IF(ISNA($B114),"",IF($B114="","",IFERROR(_xll.BDP(TICKER,"DEEP_MEASURE_PERIOD_BROKER_VALUE","DEEP_MEASURE_ID_OVERRIDE",$C114,"DEEP_BROKER_ID_OVERRIDE",$F$7,"DEEP_PERIOD_OVERRIDE",AL$11)*1,"")))</f>
        <v/>
      </c>
      <c r="AM114" s="17" t="str">
        <f ca="1">IF(ISNA($B114),"",IF($B114="","",IFERROR(_xll.BDP(TICKER,"DEEP_MEASURE_PERIOD_BROKER_VALUE","DEEP_MEASURE_ID_OVERRIDE",$C114,"DEEP_BROKER_ID_OVERRIDE",$F$7,"DEEP_PERIOD_OVERRIDE",AM$11)*1,"")))</f>
        <v/>
      </c>
      <c r="AN114" s="17" t="str">
        <f ca="1">IF(ISNA($B114),"",IF($B114="","",IFERROR(_xll.BDP(TICKER,"DEEP_MEASURE_PERIOD_BROKER_VALUE","DEEP_MEASURE_ID_OVERRIDE",$C114,"DEEP_BROKER_ID_OVERRIDE",$F$7,"DEEP_PERIOD_OVERRIDE",AN$11)*1,"")))</f>
        <v/>
      </c>
      <c r="AO114" s="17" t="str">
        <f ca="1">IF(ISNA($B114),"",IF($B114="","",IFERROR(_xll.BDP(TICKER,"DEEP_MEASURE_PERIOD_BROKER_VALUE","DEEP_MEASURE_ID_OVERRIDE",$C114,"DEEP_BROKER_ID_OVERRIDE",$F$7,"DEEP_PERIOD_OVERRIDE",AO$11)*1,"")))</f>
        <v/>
      </c>
      <c r="AP114" s="17" t="str">
        <f ca="1">IF(ISNA($B114),"",IF($B114="","",IFERROR(_xll.BDP(TICKER,"DEEP_MEASURE_PERIOD_BROKER_VALUE","DEEP_MEASURE_ID_OVERRIDE",$C114,"DEEP_BROKER_ID_OVERRIDE",$F$7,"DEEP_PERIOD_OVERRIDE",AP$11)*1,"")))</f>
        <v/>
      </c>
      <c r="AQ114" s="17" t="str">
        <f ca="1">IF(ISNA($B114),"",IF($B114="","",IFERROR(_xll.BDP(TICKER,"DEEP_MEASURE_PERIOD_BROKER_VALUE","DEEP_MEASURE_ID_OVERRIDE",$C114,"DEEP_BROKER_ID_OVERRIDE",$F$7,"DEEP_PERIOD_OVERRIDE",AQ$11)*1,"")))</f>
        <v/>
      </c>
    </row>
    <row r="115" spans="2:43" x14ac:dyDescent="0.25">
      <c r="B115" t="s">
        <v>160</v>
      </c>
      <c r="C115" s="11">
        <v>3744</v>
      </c>
      <c r="H115" t="str">
        <f t="shared" si="3"/>
        <v>TV Brand Advertising</v>
      </c>
      <c r="I115" s="17" t="str">
        <f ca="1">IF(ISNA($B115),"",IF($B115="","",IFERROR(_xll.BDP(TICKER,"DEEP_MEASURE_PERIOD_BROKER_VALUE","DEEP_MEASURE_ID_OVERRIDE",$C115,"DEEP_BROKER_ID_OVERRIDE",$F$7,"DEEP_PERIOD_OVERRIDE",I$11)*1,"")))</f>
        <v/>
      </c>
      <c r="J115" s="17" t="str">
        <f ca="1">IF(ISNA($B115),"",IF($B115="","",IFERROR(_xll.BDP(TICKER,"DEEP_MEASURE_PERIOD_BROKER_VALUE","DEEP_MEASURE_ID_OVERRIDE",$C115,"DEEP_BROKER_ID_OVERRIDE",$F$7,"DEEP_PERIOD_OVERRIDE",J$11)*1,"")))</f>
        <v/>
      </c>
      <c r="K115" s="17" t="str">
        <f ca="1">IF(ISNA($B115),"",IF($B115="","",IFERROR(_xll.BDP(TICKER,"DEEP_MEASURE_PERIOD_BROKER_VALUE","DEEP_MEASURE_ID_OVERRIDE",$C115,"DEEP_BROKER_ID_OVERRIDE",$F$7,"DEEP_PERIOD_OVERRIDE",K$11)*1,"")))</f>
        <v/>
      </c>
      <c r="L115" s="17" t="str">
        <f ca="1">IF(ISNA($B115),"",IF($B115="","",IFERROR(_xll.BDP(TICKER,"DEEP_MEASURE_PERIOD_BROKER_VALUE","DEEP_MEASURE_ID_OVERRIDE",$C115,"DEEP_BROKER_ID_OVERRIDE",$F$7,"DEEP_PERIOD_OVERRIDE",L$11)*1,"")))</f>
        <v/>
      </c>
      <c r="M115" s="17" t="str">
        <f ca="1">IF(ISNA($B115),"",IF($B115="","",IFERROR(_xll.BDP(TICKER,"DEEP_MEASURE_PERIOD_BROKER_VALUE","DEEP_MEASURE_ID_OVERRIDE",$C115,"DEEP_BROKER_ID_OVERRIDE",$F$7,"DEEP_PERIOD_OVERRIDE",M$11)*1,"")))</f>
        <v/>
      </c>
      <c r="N115" s="17" t="str">
        <f ca="1">IF(ISNA($B115),"",IF($B115="","",IFERROR(_xll.BDP(TICKER,"DEEP_MEASURE_PERIOD_BROKER_VALUE","DEEP_MEASURE_ID_OVERRIDE",$C115,"DEEP_BROKER_ID_OVERRIDE",$F$7,"DEEP_PERIOD_OVERRIDE",N$11)*1,"")))</f>
        <v/>
      </c>
      <c r="O115" s="17" t="str">
        <f ca="1">IF(ISNA($B115),"",IF($B115="","",IFERROR(_xll.BDP(TICKER,"DEEP_MEASURE_PERIOD_BROKER_VALUE","DEEP_MEASURE_ID_OVERRIDE",$C115,"DEEP_BROKER_ID_OVERRIDE",$F$7,"DEEP_PERIOD_OVERRIDE",O$11)*1,"")))</f>
        <v/>
      </c>
      <c r="P115" s="17" t="str">
        <f ca="1">IF(ISNA($B115),"",IF($B115="","",IFERROR(_xll.BDP(TICKER,"DEEP_MEASURE_PERIOD_BROKER_VALUE","DEEP_MEASURE_ID_OVERRIDE",$C115,"DEEP_BROKER_ID_OVERRIDE",$F$7,"DEEP_PERIOD_OVERRIDE",P$11)*1,"")))</f>
        <v/>
      </c>
      <c r="Q115" s="17" t="str">
        <f ca="1">IF(ISNA($B115),"",IF($B115="","",IFERROR(_xll.BDP(TICKER,"DEEP_MEASURE_PERIOD_BROKER_VALUE","DEEP_MEASURE_ID_OVERRIDE",$C115,"DEEP_BROKER_ID_OVERRIDE",$F$7,"DEEP_PERIOD_OVERRIDE",Q$11)*1,"")))</f>
        <v/>
      </c>
      <c r="R115" s="17" t="str">
        <f ca="1">IF(ISNA($B115),"",IF($B115="","",IFERROR(_xll.BDP(TICKER,"DEEP_MEASURE_PERIOD_BROKER_VALUE","DEEP_MEASURE_ID_OVERRIDE",$C115,"DEEP_BROKER_ID_OVERRIDE",$F$7,"DEEP_PERIOD_OVERRIDE",R$11)*1,"")))</f>
        <v/>
      </c>
      <c r="S115" s="17" t="str">
        <f ca="1">IF(ISNA($B115),"",IF($B115="","",IFERROR(_xll.BDP(TICKER,"DEEP_MEASURE_PERIOD_BROKER_VALUE","DEEP_MEASURE_ID_OVERRIDE",$C115,"DEEP_BROKER_ID_OVERRIDE",$F$7,"DEEP_PERIOD_OVERRIDE",S$11)*1,"")))</f>
        <v/>
      </c>
      <c r="T115" s="17" t="str">
        <f ca="1">IF(ISNA($B115),"",IF($B115="","",IFERROR(_xll.BDP(TICKER,"DEEP_MEASURE_PERIOD_BROKER_VALUE","DEEP_MEASURE_ID_OVERRIDE",$C115,"DEEP_BROKER_ID_OVERRIDE",$F$7,"DEEP_PERIOD_OVERRIDE",T$11)*1,"")))</f>
        <v/>
      </c>
      <c r="U115" s="17" t="str">
        <f ca="1">IF(ISNA($B115),"",IF($B115="","",IFERROR(_xll.BDP(TICKER,"DEEP_MEASURE_PERIOD_BROKER_VALUE","DEEP_MEASURE_ID_OVERRIDE",$C115,"DEEP_BROKER_ID_OVERRIDE",$F$7,"DEEP_PERIOD_OVERRIDE",U$11)*1,"")))</f>
        <v/>
      </c>
      <c r="V115" s="17" t="str">
        <f ca="1">IF(ISNA($B115),"",IF($B115="","",IFERROR(_xll.BDP(TICKER,"DEEP_MEASURE_PERIOD_BROKER_VALUE","DEEP_MEASURE_ID_OVERRIDE",$C115,"DEEP_BROKER_ID_OVERRIDE",$F$7,"DEEP_PERIOD_OVERRIDE",V$11)*1,"")))</f>
        <v/>
      </c>
      <c r="W115" s="17" t="str">
        <f ca="1">IF(ISNA($B115),"",IF($B115="","",IFERROR(_xll.BDP(TICKER,"DEEP_MEASURE_PERIOD_BROKER_VALUE","DEEP_MEASURE_ID_OVERRIDE",$C115,"DEEP_BROKER_ID_OVERRIDE",$F$7,"DEEP_PERIOD_OVERRIDE",W$11)*1,"")))</f>
        <v/>
      </c>
      <c r="X115" s="17" t="str">
        <f ca="1">IF(ISNA($B115),"",IF($B115="","",IFERROR(_xll.BDP(TICKER,"DEEP_MEASURE_PERIOD_BROKER_VALUE","DEEP_MEASURE_ID_OVERRIDE",$C115,"DEEP_BROKER_ID_OVERRIDE",$F$7,"DEEP_PERIOD_OVERRIDE",X$11)*1,"")))</f>
        <v/>
      </c>
      <c r="Y115" s="17" t="str">
        <f ca="1">IF(ISNA($B115),"",IF($B115="","",IFERROR(_xll.BDP(TICKER,"DEEP_MEASURE_PERIOD_BROKER_VALUE","DEEP_MEASURE_ID_OVERRIDE",$C115,"DEEP_BROKER_ID_OVERRIDE",$F$7,"DEEP_PERIOD_OVERRIDE",Y$11)*1,"")))</f>
        <v/>
      </c>
      <c r="Z115" s="17" t="str">
        <f ca="1">IF(ISNA($B115),"",IF($B115="","",IFERROR(_xll.BDP(TICKER,"DEEP_MEASURE_PERIOD_BROKER_VALUE","DEEP_MEASURE_ID_OVERRIDE",$C115,"DEEP_BROKER_ID_OVERRIDE",$F$7,"DEEP_PERIOD_OVERRIDE",Z$11)*1,"")))</f>
        <v/>
      </c>
      <c r="AA115" s="17" t="str">
        <f ca="1">IF(ISNA($B115),"",IF($B115="","",IFERROR(_xll.BDP(TICKER,"DEEP_MEASURE_PERIOD_BROKER_VALUE","DEEP_MEASURE_ID_OVERRIDE",$C115,"DEEP_BROKER_ID_OVERRIDE",$F$7,"DEEP_PERIOD_OVERRIDE",AA$11)*1,"")))</f>
        <v/>
      </c>
      <c r="AB115" s="17" t="str">
        <f ca="1">IF(ISNA($B115),"",IF($B115="","",IFERROR(_xll.BDP(TICKER,"DEEP_MEASURE_PERIOD_BROKER_VALUE","DEEP_MEASURE_ID_OVERRIDE",$C115,"DEEP_BROKER_ID_OVERRIDE",$F$7,"DEEP_PERIOD_OVERRIDE",AB$11)*1,"")))</f>
        <v/>
      </c>
      <c r="AC115" s="17" t="str">
        <f ca="1">IF(ISNA($B115),"",IF($B115="","",IFERROR(_xll.BDP(TICKER,"DEEP_MEASURE_PERIOD_BROKER_VALUE","DEEP_MEASURE_ID_OVERRIDE",$C115,"DEEP_BROKER_ID_OVERRIDE",$F$7,"DEEP_PERIOD_OVERRIDE",AC$11)*1,"")))</f>
        <v/>
      </c>
      <c r="AD115" s="17" t="str">
        <f ca="1">IF(ISNA($B115),"",IF($B115="","",IFERROR(_xll.BDP(TICKER,"DEEP_MEASURE_PERIOD_BROKER_VALUE","DEEP_MEASURE_ID_OVERRIDE",$C115,"DEEP_BROKER_ID_OVERRIDE",$F$7,"DEEP_PERIOD_OVERRIDE",AD$11)*1,"")))</f>
        <v/>
      </c>
      <c r="AE115" s="17" t="str">
        <f ca="1">IF(ISNA($B115),"",IF($B115="","",IFERROR(_xll.BDP(TICKER,"DEEP_MEASURE_PERIOD_BROKER_VALUE","DEEP_MEASURE_ID_OVERRIDE",$C115,"DEEP_BROKER_ID_OVERRIDE",$F$7,"DEEP_PERIOD_OVERRIDE",AE$11)*1,"")))</f>
        <v/>
      </c>
      <c r="AF115" s="17" t="str">
        <f ca="1">IF(ISNA($B115),"",IF($B115="","",IFERROR(_xll.BDP(TICKER,"DEEP_MEASURE_PERIOD_BROKER_VALUE","DEEP_MEASURE_ID_OVERRIDE",$C115,"DEEP_BROKER_ID_OVERRIDE",$F$7,"DEEP_PERIOD_OVERRIDE",AF$11)*1,"")))</f>
        <v/>
      </c>
      <c r="AG115" s="17" t="str">
        <f ca="1">IF(ISNA($B115),"",IF($B115="","",IFERROR(_xll.BDP(TICKER,"DEEP_MEASURE_PERIOD_BROKER_VALUE","DEEP_MEASURE_ID_OVERRIDE",$C115,"DEEP_BROKER_ID_OVERRIDE",$F$7,"DEEP_PERIOD_OVERRIDE",AG$11)*1,"")))</f>
        <v/>
      </c>
      <c r="AH115" s="17" t="str">
        <f ca="1">IF(ISNA($B115),"",IF($B115="","",IFERROR(_xll.BDP(TICKER,"DEEP_MEASURE_PERIOD_BROKER_VALUE","DEEP_MEASURE_ID_OVERRIDE",$C115,"DEEP_BROKER_ID_OVERRIDE",$F$7,"DEEP_PERIOD_OVERRIDE",AH$11)*1,"")))</f>
        <v/>
      </c>
      <c r="AI115" s="17" t="str">
        <f ca="1">IF(ISNA($B115),"",IF($B115="","",IFERROR(_xll.BDP(TICKER,"DEEP_MEASURE_PERIOD_BROKER_VALUE","DEEP_MEASURE_ID_OVERRIDE",$C115,"DEEP_BROKER_ID_OVERRIDE",$F$7,"DEEP_PERIOD_OVERRIDE",AI$11)*1,"")))</f>
        <v/>
      </c>
      <c r="AJ115" s="17" t="str">
        <f ca="1">IF(ISNA($B115),"",IF($B115="","",IFERROR(_xll.BDP(TICKER,"DEEP_MEASURE_PERIOD_BROKER_VALUE","DEEP_MEASURE_ID_OVERRIDE",$C115,"DEEP_BROKER_ID_OVERRIDE",$F$7,"DEEP_PERIOD_OVERRIDE",AJ$11)*1,"")))</f>
        <v/>
      </c>
      <c r="AK115" s="17" t="str">
        <f ca="1">IF(ISNA($B115),"",IF($B115="","",IFERROR(_xll.BDP(TICKER,"DEEP_MEASURE_PERIOD_BROKER_VALUE","DEEP_MEASURE_ID_OVERRIDE",$C115,"DEEP_BROKER_ID_OVERRIDE",$F$7,"DEEP_PERIOD_OVERRIDE",AK$11)*1,"")))</f>
        <v/>
      </c>
      <c r="AL115" s="17" t="str">
        <f ca="1">IF(ISNA($B115),"",IF($B115="","",IFERROR(_xll.BDP(TICKER,"DEEP_MEASURE_PERIOD_BROKER_VALUE","DEEP_MEASURE_ID_OVERRIDE",$C115,"DEEP_BROKER_ID_OVERRIDE",$F$7,"DEEP_PERIOD_OVERRIDE",AL$11)*1,"")))</f>
        <v/>
      </c>
      <c r="AM115" s="17" t="str">
        <f ca="1">IF(ISNA($B115),"",IF($B115="","",IFERROR(_xll.BDP(TICKER,"DEEP_MEASURE_PERIOD_BROKER_VALUE","DEEP_MEASURE_ID_OVERRIDE",$C115,"DEEP_BROKER_ID_OVERRIDE",$F$7,"DEEP_PERIOD_OVERRIDE",AM$11)*1,"")))</f>
        <v/>
      </c>
      <c r="AN115" s="17" t="str">
        <f ca="1">IF(ISNA($B115),"",IF($B115="","",IFERROR(_xll.BDP(TICKER,"DEEP_MEASURE_PERIOD_BROKER_VALUE","DEEP_MEASURE_ID_OVERRIDE",$C115,"DEEP_BROKER_ID_OVERRIDE",$F$7,"DEEP_PERIOD_OVERRIDE",AN$11)*1,"")))</f>
        <v/>
      </c>
      <c r="AO115" s="17" t="str">
        <f ca="1">IF(ISNA($B115),"",IF($B115="","",IFERROR(_xll.BDP(TICKER,"DEEP_MEASURE_PERIOD_BROKER_VALUE","DEEP_MEASURE_ID_OVERRIDE",$C115,"DEEP_BROKER_ID_OVERRIDE",$F$7,"DEEP_PERIOD_OVERRIDE",AO$11)*1,"")))</f>
        <v/>
      </c>
      <c r="AP115" s="17" t="str">
        <f ca="1">IF(ISNA($B115),"",IF($B115="","",IFERROR(_xll.BDP(TICKER,"DEEP_MEASURE_PERIOD_BROKER_VALUE","DEEP_MEASURE_ID_OVERRIDE",$C115,"DEEP_BROKER_ID_OVERRIDE",$F$7,"DEEP_PERIOD_OVERRIDE",AP$11)*1,"")))</f>
        <v/>
      </c>
      <c r="AQ115" s="17" t="str">
        <f ca="1">IF(ISNA($B115),"",IF($B115="","",IFERROR(_xll.BDP(TICKER,"DEEP_MEASURE_PERIOD_BROKER_VALUE","DEEP_MEASURE_ID_OVERRIDE",$C115,"DEEP_BROKER_ID_OVERRIDE",$F$7,"DEEP_PERIOD_OVERRIDE",AQ$11)*1,"")))</f>
        <v/>
      </c>
    </row>
    <row r="116" spans="2:43" x14ac:dyDescent="0.25">
      <c r="B116" t="s">
        <v>161</v>
      </c>
      <c r="C116" s="11">
        <v>3746</v>
      </c>
      <c r="H116" t="str">
        <f t="shared" si="3"/>
        <v>TV Brand Advertising &gt; As % of Revenue</v>
      </c>
      <c r="I116" s="17" t="str">
        <f ca="1">IF(ISNA($B116),"",IF($B116="","",IFERROR(_xll.BDP(TICKER,"DEEP_MEASURE_PERIOD_BROKER_VALUE","DEEP_MEASURE_ID_OVERRIDE",$C116,"DEEP_BROKER_ID_OVERRIDE",$F$7,"DEEP_PERIOD_OVERRIDE",I$11)*1,"")))</f>
        <v/>
      </c>
      <c r="J116" s="17" t="str">
        <f ca="1">IF(ISNA($B116),"",IF($B116="","",IFERROR(_xll.BDP(TICKER,"DEEP_MEASURE_PERIOD_BROKER_VALUE","DEEP_MEASURE_ID_OVERRIDE",$C116,"DEEP_BROKER_ID_OVERRIDE",$F$7,"DEEP_PERIOD_OVERRIDE",J$11)*1,"")))</f>
        <v/>
      </c>
      <c r="K116" s="17" t="str">
        <f ca="1">IF(ISNA($B116),"",IF($B116="","",IFERROR(_xll.BDP(TICKER,"DEEP_MEASURE_PERIOD_BROKER_VALUE","DEEP_MEASURE_ID_OVERRIDE",$C116,"DEEP_BROKER_ID_OVERRIDE",$F$7,"DEEP_PERIOD_OVERRIDE",K$11)*1,"")))</f>
        <v/>
      </c>
      <c r="L116" s="17" t="str">
        <f ca="1">IF(ISNA($B116),"",IF($B116="","",IFERROR(_xll.BDP(TICKER,"DEEP_MEASURE_PERIOD_BROKER_VALUE","DEEP_MEASURE_ID_OVERRIDE",$C116,"DEEP_BROKER_ID_OVERRIDE",$F$7,"DEEP_PERIOD_OVERRIDE",L$11)*1,"")))</f>
        <v/>
      </c>
      <c r="M116" s="17" t="str">
        <f ca="1">IF(ISNA($B116),"",IF($B116="","",IFERROR(_xll.BDP(TICKER,"DEEP_MEASURE_PERIOD_BROKER_VALUE","DEEP_MEASURE_ID_OVERRIDE",$C116,"DEEP_BROKER_ID_OVERRIDE",$F$7,"DEEP_PERIOD_OVERRIDE",M$11)*1,"")))</f>
        <v/>
      </c>
      <c r="N116" s="17" t="str">
        <f ca="1">IF(ISNA($B116),"",IF($B116="","",IFERROR(_xll.BDP(TICKER,"DEEP_MEASURE_PERIOD_BROKER_VALUE","DEEP_MEASURE_ID_OVERRIDE",$C116,"DEEP_BROKER_ID_OVERRIDE",$F$7,"DEEP_PERIOD_OVERRIDE",N$11)*1,"")))</f>
        <v/>
      </c>
      <c r="O116" s="17" t="str">
        <f ca="1">IF(ISNA($B116),"",IF($B116="","",IFERROR(_xll.BDP(TICKER,"DEEP_MEASURE_PERIOD_BROKER_VALUE","DEEP_MEASURE_ID_OVERRIDE",$C116,"DEEP_BROKER_ID_OVERRIDE",$F$7,"DEEP_PERIOD_OVERRIDE",O$11)*1,"")))</f>
        <v/>
      </c>
      <c r="P116" s="17" t="str">
        <f ca="1">IF(ISNA($B116),"",IF($B116="","",IFERROR(_xll.BDP(TICKER,"DEEP_MEASURE_PERIOD_BROKER_VALUE","DEEP_MEASURE_ID_OVERRIDE",$C116,"DEEP_BROKER_ID_OVERRIDE",$F$7,"DEEP_PERIOD_OVERRIDE",P$11)*1,"")))</f>
        <v/>
      </c>
      <c r="Q116" s="17" t="str">
        <f ca="1">IF(ISNA($B116),"",IF($B116="","",IFERROR(_xll.BDP(TICKER,"DEEP_MEASURE_PERIOD_BROKER_VALUE","DEEP_MEASURE_ID_OVERRIDE",$C116,"DEEP_BROKER_ID_OVERRIDE",$F$7,"DEEP_PERIOD_OVERRIDE",Q$11)*1,"")))</f>
        <v/>
      </c>
      <c r="R116" s="17" t="str">
        <f ca="1">IF(ISNA($B116),"",IF($B116="","",IFERROR(_xll.BDP(TICKER,"DEEP_MEASURE_PERIOD_BROKER_VALUE","DEEP_MEASURE_ID_OVERRIDE",$C116,"DEEP_BROKER_ID_OVERRIDE",$F$7,"DEEP_PERIOD_OVERRIDE",R$11)*1,"")))</f>
        <v/>
      </c>
      <c r="S116" s="17" t="str">
        <f ca="1">IF(ISNA($B116),"",IF($B116="","",IFERROR(_xll.BDP(TICKER,"DEEP_MEASURE_PERIOD_BROKER_VALUE","DEEP_MEASURE_ID_OVERRIDE",$C116,"DEEP_BROKER_ID_OVERRIDE",$F$7,"DEEP_PERIOD_OVERRIDE",S$11)*1,"")))</f>
        <v/>
      </c>
      <c r="T116" s="17" t="str">
        <f ca="1">IF(ISNA($B116),"",IF($B116="","",IFERROR(_xll.BDP(TICKER,"DEEP_MEASURE_PERIOD_BROKER_VALUE","DEEP_MEASURE_ID_OVERRIDE",$C116,"DEEP_BROKER_ID_OVERRIDE",$F$7,"DEEP_PERIOD_OVERRIDE",T$11)*1,"")))</f>
        <v/>
      </c>
      <c r="U116" s="17" t="str">
        <f ca="1">IF(ISNA($B116),"",IF($B116="","",IFERROR(_xll.BDP(TICKER,"DEEP_MEASURE_PERIOD_BROKER_VALUE","DEEP_MEASURE_ID_OVERRIDE",$C116,"DEEP_BROKER_ID_OVERRIDE",$F$7,"DEEP_PERIOD_OVERRIDE",U$11)*1,"")))</f>
        <v/>
      </c>
      <c r="V116" s="17" t="str">
        <f ca="1">IF(ISNA($B116),"",IF($B116="","",IFERROR(_xll.BDP(TICKER,"DEEP_MEASURE_PERIOD_BROKER_VALUE","DEEP_MEASURE_ID_OVERRIDE",$C116,"DEEP_BROKER_ID_OVERRIDE",$F$7,"DEEP_PERIOD_OVERRIDE",V$11)*1,"")))</f>
        <v/>
      </c>
      <c r="W116" s="17" t="str">
        <f ca="1">IF(ISNA($B116),"",IF($B116="","",IFERROR(_xll.BDP(TICKER,"DEEP_MEASURE_PERIOD_BROKER_VALUE","DEEP_MEASURE_ID_OVERRIDE",$C116,"DEEP_BROKER_ID_OVERRIDE",$F$7,"DEEP_PERIOD_OVERRIDE",W$11)*1,"")))</f>
        <v/>
      </c>
      <c r="X116" s="17" t="str">
        <f ca="1">IF(ISNA($B116),"",IF($B116="","",IFERROR(_xll.BDP(TICKER,"DEEP_MEASURE_PERIOD_BROKER_VALUE","DEEP_MEASURE_ID_OVERRIDE",$C116,"DEEP_BROKER_ID_OVERRIDE",$F$7,"DEEP_PERIOD_OVERRIDE",X$11)*1,"")))</f>
        <v/>
      </c>
      <c r="Y116" s="17" t="str">
        <f ca="1">IF(ISNA($B116),"",IF($B116="","",IFERROR(_xll.BDP(TICKER,"DEEP_MEASURE_PERIOD_BROKER_VALUE","DEEP_MEASURE_ID_OVERRIDE",$C116,"DEEP_BROKER_ID_OVERRIDE",$F$7,"DEEP_PERIOD_OVERRIDE",Y$11)*1,"")))</f>
        <v/>
      </c>
      <c r="Z116" s="17" t="str">
        <f ca="1">IF(ISNA($B116),"",IF($B116="","",IFERROR(_xll.BDP(TICKER,"DEEP_MEASURE_PERIOD_BROKER_VALUE","DEEP_MEASURE_ID_OVERRIDE",$C116,"DEEP_BROKER_ID_OVERRIDE",$F$7,"DEEP_PERIOD_OVERRIDE",Z$11)*1,"")))</f>
        <v/>
      </c>
      <c r="AA116" s="17" t="str">
        <f ca="1">IF(ISNA($B116),"",IF($B116="","",IFERROR(_xll.BDP(TICKER,"DEEP_MEASURE_PERIOD_BROKER_VALUE","DEEP_MEASURE_ID_OVERRIDE",$C116,"DEEP_BROKER_ID_OVERRIDE",$F$7,"DEEP_PERIOD_OVERRIDE",AA$11)*1,"")))</f>
        <v/>
      </c>
      <c r="AB116" s="17" t="str">
        <f ca="1">IF(ISNA($B116),"",IF($B116="","",IFERROR(_xll.BDP(TICKER,"DEEP_MEASURE_PERIOD_BROKER_VALUE","DEEP_MEASURE_ID_OVERRIDE",$C116,"DEEP_BROKER_ID_OVERRIDE",$F$7,"DEEP_PERIOD_OVERRIDE",AB$11)*1,"")))</f>
        <v/>
      </c>
      <c r="AC116" s="17" t="str">
        <f ca="1">IF(ISNA($B116),"",IF($B116="","",IFERROR(_xll.BDP(TICKER,"DEEP_MEASURE_PERIOD_BROKER_VALUE","DEEP_MEASURE_ID_OVERRIDE",$C116,"DEEP_BROKER_ID_OVERRIDE",$F$7,"DEEP_PERIOD_OVERRIDE",AC$11)*1,"")))</f>
        <v/>
      </c>
      <c r="AD116" s="17" t="str">
        <f ca="1">IF(ISNA($B116),"",IF($B116="","",IFERROR(_xll.BDP(TICKER,"DEEP_MEASURE_PERIOD_BROKER_VALUE","DEEP_MEASURE_ID_OVERRIDE",$C116,"DEEP_BROKER_ID_OVERRIDE",$F$7,"DEEP_PERIOD_OVERRIDE",AD$11)*1,"")))</f>
        <v/>
      </c>
      <c r="AE116" s="17" t="str">
        <f ca="1">IF(ISNA($B116),"",IF($B116="","",IFERROR(_xll.BDP(TICKER,"DEEP_MEASURE_PERIOD_BROKER_VALUE","DEEP_MEASURE_ID_OVERRIDE",$C116,"DEEP_BROKER_ID_OVERRIDE",$F$7,"DEEP_PERIOD_OVERRIDE",AE$11)*1,"")))</f>
        <v/>
      </c>
      <c r="AF116" s="17" t="str">
        <f ca="1">IF(ISNA($B116),"",IF($B116="","",IFERROR(_xll.BDP(TICKER,"DEEP_MEASURE_PERIOD_BROKER_VALUE","DEEP_MEASURE_ID_OVERRIDE",$C116,"DEEP_BROKER_ID_OVERRIDE",$F$7,"DEEP_PERIOD_OVERRIDE",AF$11)*1,"")))</f>
        <v/>
      </c>
      <c r="AG116" s="17" t="str">
        <f ca="1">IF(ISNA($B116),"",IF($B116="","",IFERROR(_xll.BDP(TICKER,"DEEP_MEASURE_PERIOD_BROKER_VALUE","DEEP_MEASURE_ID_OVERRIDE",$C116,"DEEP_BROKER_ID_OVERRIDE",$F$7,"DEEP_PERIOD_OVERRIDE",AG$11)*1,"")))</f>
        <v/>
      </c>
      <c r="AH116" s="17" t="str">
        <f ca="1">IF(ISNA($B116),"",IF($B116="","",IFERROR(_xll.BDP(TICKER,"DEEP_MEASURE_PERIOD_BROKER_VALUE","DEEP_MEASURE_ID_OVERRIDE",$C116,"DEEP_BROKER_ID_OVERRIDE",$F$7,"DEEP_PERIOD_OVERRIDE",AH$11)*1,"")))</f>
        <v/>
      </c>
      <c r="AI116" s="17" t="str">
        <f ca="1">IF(ISNA($B116),"",IF($B116="","",IFERROR(_xll.BDP(TICKER,"DEEP_MEASURE_PERIOD_BROKER_VALUE","DEEP_MEASURE_ID_OVERRIDE",$C116,"DEEP_BROKER_ID_OVERRIDE",$F$7,"DEEP_PERIOD_OVERRIDE",AI$11)*1,"")))</f>
        <v/>
      </c>
      <c r="AJ116" s="17" t="str">
        <f ca="1">IF(ISNA($B116),"",IF($B116="","",IFERROR(_xll.BDP(TICKER,"DEEP_MEASURE_PERIOD_BROKER_VALUE","DEEP_MEASURE_ID_OVERRIDE",$C116,"DEEP_BROKER_ID_OVERRIDE",$F$7,"DEEP_PERIOD_OVERRIDE",AJ$11)*1,"")))</f>
        <v/>
      </c>
      <c r="AK116" s="17" t="str">
        <f ca="1">IF(ISNA($B116),"",IF($B116="","",IFERROR(_xll.BDP(TICKER,"DEEP_MEASURE_PERIOD_BROKER_VALUE","DEEP_MEASURE_ID_OVERRIDE",$C116,"DEEP_BROKER_ID_OVERRIDE",$F$7,"DEEP_PERIOD_OVERRIDE",AK$11)*1,"")))</f>
        <v/>
      </c>
      <c r="AL116" s="17" t="str">
        <f ca="1">IF(ISNA($B116),"",IF($B116="","",IFERROR(_xll.BDP(TICKER,"DEEP_MEASURE_PERIOD_BROKER_VALUE","DEEP_MEASURE_ID_OVERRIDE",$C116,"DEEP_BROKER_ID_OVERRIDE",$F$7,"DEEP_PERIOD_OVERRIDE",AL$11)*1,"")))</f>
        <v/>
      </c>
      <c r="AM116" s="17" t="str">
        <f ca="1">IF(ISNA($B116),"",IF($B116="","",IFERROR(_xll.BDP(TICKER,"DEEP_MEASURE_PERIOD_BROKER_VALUE","DEEP_MEASURE_ID_OVERRIDE",$C116,"DEEP_BROKER_ID_OVERRIDE",$F$7,"DEEP_PERIOD_OVERRIDE",AM$11)*1,"")))</f>
        <v/>
      </c>
      <c r="AN116" s="17" t="str">
        <f ca="1">IF(ISNA($B116),"",IF($B116="","",IFERROR(_xll.BDP(TICKER,"DEEP_MEASURE_PERIOD_BROKER_VALUE","DEEP_MEASURE_ID_OVERRIDE",$C116,"DEEP_BROKER_ID_OVERRIDE",$F$7,"DEEP_PERIOD_OVERRIDE",AN$11)*1,"")))</f>
        <v/>
      </c>
      <c r="AO116" s="17" t="str">
        <f ca="1">IF(ISNA($B116),"",IF($B116="","",IFERROR(_xll.BDP(TICKER,"DEEP_MEASURE_PERIOD_BROKER_VALUE","DEEP_MEASURE_ID_OVERRIDE",$C116,"DEEP_BROKER_ID_OVERRIDE",$F$7,"DEEP_PERIOD_OVERRIDE",AO$11)*1,"")))</f>
        <v/>
      </c>
      <c r="AP116" s="17" t="str">
        <f ca="1">IF(ISNA($B116),"",IF($B116="","",IFERROR(_xll.BDP(TICKER,"DEEP_MEASURE_PERIOD_BROKER_VALUE","DEEP_MEASURE_ID_OVERRIDE",$C116,"DEEP_BROKER_ID_OVERRIDE",$F$7,"DEEP_PERIOD_OVERRIDE",AP$11)*1,"")))</f>
        <v/>
      </c>
      <c r="AQ116" s="17" t="str">
        <f ca="1">IF(ISNA($B116),"",IF($B116="","",IFERROR(_xll.BDP(TICKER,"DEEP_MEASURE_PERIOD_BROKER_VALUE","DEEP_MEASURE_ID_OVERRIDE",$C116,"DEEP_BROKER_ID_OVERRIDE",$F$7,"DEEP_PERIOD_OVERRIDE",AQ$11)*1,"")))</f>
        <v/>
      </c>
    </row>
    <row r="117" spans="2:43" x14ac:dyDescent="0.25">
      <c r="B117" t="s">
        <v>162</v>
      </c>
      <c r="C117" s="11">
        <v>3675</v>
      </c>
      <c r="H117" t="str">
        <f t="shared" si="3"/>
        <v>Depreciation &amp; Amortization of Intangible Assets</v>
      </c>
      <c r="I117" s="17" t="str">
        <f ca="1">IF(ISNA($B117),"",IF($B117="","",IFERROR(_xll.BDP(TICKER,"DEEP_MEASURE_PERIOD_BROKER_VALUE","DEEP_MEASURE_ID_OVERRIDE",$C117,"DEEP_BROKER_ID_OVERRIDE",$F$7,"DEEP_PERIOD_OVERRIDE",I$11)*1,"")))</f>
        <v/>
      </c>
      <c r="J117" s="17" t="str">
        <f ca="1">IF(ISNA($B117),"",IF($B117="","",IFERROR(_xll.BDP(TICKER,"DEEP_MEASURE_PERIOD_BROKER_VALUE","DEEP_MEASURE_ID_OVERRIDE",$C117,"DEEP_BROKER_ID_OVERRIDE",$F$7,"DEEP_PERIOD_OVERRIDE",J$11)*1,"")))</f>
        <v/>
      </c>
      <c r="K117" s="17" t="str">
        <f ca="1">IF(ISNA($B117),"",IF($B117="","",IFERROR(_xll.BDP(TICKER,"DEEP_MEASURE_PERIOD_BROKER_VALUE","DEEP_MEASURE_ID_OVERRIDE",$C117,"DEEP_BROKER_ID_OVERRIDE",$F$7,"DEEP_PERIOD_OVERRIDE",K$11)*1,"")))</f>
        <v/>
      </c>
      <c r="L117" s="17" t="str">
        <f ca="1">IF(ISNA($B117),"",IF($B117="","",IFERROR(_xll.BDP(TICKER,"DEEP_MEASURE_PERIOD_BROKER_VALUE","DEEP_MEASURE_ID_OVERRIDE",$C117,"DEEP_BROKER_ID_OVERRIDE",$F$7,"DEEP_PERIOD_OVERRIDE",L$11)*1,"")))</f>
        <v/>
      </c>
      <c r="M117" s="17" t="str">
        <f ca="1">IF(ISNA($B117),"",IF($B117="","",IFERROR(_xll.BDP(TICKER,"DEEP_MEASURE_PERIOD_BROKER_VALUE","DEEP_MEASURE_ID_OVERRIDE",$C117,"DEEP_BROKER_ID_OVERRIDE",$F$7,"DEEP_PERIOD_OVERRIDE",M$11)*1,"")))</f>
        <v/>
      </c>
      <c r="N117" s="17" t="str">
        <f ca="1">IF(ISNA($B117),"",IF($B117="","",IFERROR(_xll.BDP(TICKER,"DEEP_MEASURE_PERIOD_BROKER_VALUE","DEEP_MEASURE_ID_OVERRIDE",$C117,"DEEP_BROKER_ID_OVERRIDE",$F$7,"DEEP_PERIOD_OVERRIDE",N$11)*1,"")))</f>
        <v/>
      </c>
      <c r="O117" s="17" t="str">
        <f ca="1">IF(ISNA($B117),"",IF($B117="","",IFERROR(_xll.BDP(TICKER,"DEEP_MEASURE_PERIOD_BROKER_VALUE","DEEP_MEASURE_ID_OVERRIDE",$C117,"DEEP_BROKER_ID_OVERRIDE",$F$7,"DEEP_PERIOD_OVERRIDE",O$11)*1,"")))</f>
        <v/>
      </c>
      <c r="P117" s="17" t="str">
        <f ca="1">IF(ISNA($B117),"",IF($B117="","",IFERROR(_xll.BDP(TICKER,"DEEP_MEASURE_PERIOD_BROKER_VALUE","DEEP_MEASURE_ID_OVERRIDE",$C117,"DEEP_BROKER_ID_OVERRIDE",$F$7,"DEEP_PERIOD_OVERRIDE",P$11)*1,"")))</f>
        <v/>
      </c>
      <c r="Q117" s="17" t="str">
        <f ca="1">IF(ISNA($B117),"",IF($B117="","",IFERROR(_xll.BDP(TICKER,"DEEP_MEASURE_PERIOD_BROKER_VALUE","DEEP_MEASURE_ID_OVERRIDE",$C117,"DEEP_BROKER_ID_OVERRIDE",$F$7,"DEEP_PERIOD_OVERRIDE",Q$11)*1,"")))</f>
        <v/>
      </c>
      <c r="R117" s="17" t="str">
        <f ca="1">IF(ISNA($B117),"",IF($B117="","",IFERROR(_xll.BDP(TICKER,"DEEP_MEASURE_PERIOD_BROKER_VALUE","DEEP_MEASURE_ID_OVERRIDE",$C117,"DEEP_BROKER_ID_OVERRIDE",$F$7,"DEEP_PERIOD_OVERRIDE",R$11)*1,"")))</f>
        <v/>
      </c>
      <c r="S117" s="17" t="str">
        <f ca="1">IF(ISNA($B117),"",IF($B117="","",IFERROR(_xll.BDP(TICKER,"DEEP_MEASURE_PERIOD_BROKER_VALUE","DEEP_MEASURE_ID_OVERRIDE",$C117,"DEEP_BROKER_ID_OVERRIDE",$F$7,"DEEP_PERIOD_OVERRIDE",S$11)*1,"")))</f>
        <v/>
      </c>
      <c r="T117" s="17" t="str">
        <f ca="1">IF(ISNA($B117),"",IF($B117="","",IFERROR(_xll.BDP(TICKER,"DEEP_MEASURE_PERIOD_BROKER_VALUE","DEEP_MEASURE_ID_OVERRIDE",$C117,"DEEP_BROKER_ID_OVERRIDE",$F$7,"DEEP_PERIOD_OVERRIDE",T$11)*1,"")))</f>
        <v/>
      </c>
      <c r="U117" s="17" t="str">
        <f ca="1">IF(ISNA($B117),"",IF($B117="","",IFERROR(_xll.BDP(TICKER,"DEEP_MEASURE_PERIOD_BROKER_VALUE","DEEP_MEASURE_ID_OVERRIDE",$C117,"DEEP_BROKER_ID_OVERRIDE",$F$7,"DEEP_PERIOD_OVERRIDE",U$11)*1,"")))</f>
        <v/>
      </c>
      <c r="V117" s="17" t="str">
        <f ca="1">IF(ISNA($B117),"",IF($B117="","",IFERROR(_xll.BDP(TICKER,"DEEP_MEASURE_PERIOD_BROKER_VALUE","DEEP_MEASURE_ID_OVERRIDE",$C117,"DEEP_BROKER_ID_OVERRIDE",$F$7,"DEEP_PERIOD_OVERRIDE",V$11)*1,"")))</f>
        <v/>
      </c>
      <c r="W117" s="17" t="str">
        <f ca="1">IF(ISNA($B117),"",IF($B117="","",IFERROR(_xll.BDP(TICKER,"DEEP_MEASURE_PERIOD_BROKER_VALUE","DEEP_MEASURE_ID_OVERRIDE",$C117,"DEEP_BROKER_ID_OVERRIDE",$F$7,"DEEP_PERIOD_OVERRIDE",W$11)*1,"")))</f>
        <v/>
      </c>
      <c r="X117" s="17" t="str">
        <f ca="1">IF(ISNA($B117),"",IF($B117="","",IFERROR(_xll.BDP(TICKER,"DEEP_MEASURE_PERIOD_BROKER_VALUE","DEEP_MEASURE_ID_OVERRIDE",$C117,"DEEP_BROKER_ID_OVERRIDE",$F$7,"DEEP_PERIOD_OVERRIDE",X$11)*1,"")))</f>
        <v/>
      </c>
      <c r="Y117" s="17" t="str">
        <f ca="1">IF(ISNA($B117),"",IF($B117="","",IFERROR(_xll.BDP(TICKER,"DEEP_MEASURE_PERIOD_BROKER_VALUE","DEEP_MEASURE_ID_OVERRIDE",$C117,"DEEP_BROKER_ID_OVERRIDE",$F$7,"DEEP_PERIOD_OVERRIDE",Y$11)*1,"")))</f>
        <v/>
      </c>
      <c r="Z117" s="17" t="str">
        <f ca="1">IF(ISNA($B117),"",IF($B117="","",IFERROR(_xll.BDP(TICKER,"DEEP_MEASURE_PERIOD_BROKER_VALUE","DEEP_MEASURE_ID_OVERRIDE",$C117,"DEEP_BROKER_ID_OVERRIDE",$F$7,"DEEP_PERIOD_OVERRIDE",Z$11)*1,"")))</f>
        <v/>
      </c>
      <c r="AA117" s="17" t="str">
        <f ca="1">IF(ISNA($B117),"",IF($B117="","",IFERROR(_xll.BDP(TICKER,"DEEP_MEASURE_PERIOD_BROKER_VALUE","DEEP_MEASURE_ID_OVERRIDE",$C117,"DEEP_BROKER_ID_OVERRIDE",$F$7,"DEEP_PERIOD_OVERRIDE",AA$11)*1,"")))</f>
        <v/>
      </c>
      <c r="AB117" s="17" t="str">
        <f ca="1">IF(ISNA($B117),"",IF($B117="","",IFERROR(_xll.BDP(TICKER,"DEEP_MEASURE_PERIOD_BROKER_VALUE","DEEP_MEASURE_ID_OVERRIDE",$C117,"DEEP_BROKER_ID_OVERRIDE",$F$7,"DEEP_PERIOD_OVERRIDE",AB$11)*1,"")))</f>
        <v/>
      </c>
      <c r="AC117" s="17" t="str">
        <f ca="1">IF(ISNA($B117),"",IF($B117="","",IFERROR(_xll.BDP(TICKER,"DEEP_MEASURE_PERIOD_BROKER_VALUE","DEEP_MEASURE_ID_OVERRIDE",$C117,"DEEP_BROKER_ID_OVERRIDE",$F$7,"DEEP_PERIOD_OVERRIDE",AC$11)*1,"")))</f>
        <v/>
      </c>
      <c r="AD117" s="17" t="str">
        <f ca="1">IF(ISNA($B117),"",IF($B117="","",IFERROR(_xll.BDP(TICKER,"DEEP_MEASURE_PERIOD_BROKER_VALUE","DEEP_MEASURE_ID_OVERRIDE",$C117,"DEEP_BROKER_ID_OVERRIDE",$F$7,"DEEP_PERIOD_OVERRIDE",AD$11)*1,"")))</f>
        <v/>
      </c>
      <c r="AE117" s="17" t="str">
        <f ca="1">IF(ISNA($B117),"",IF($B117="","",IFERROR(_xll.BDP(TICKER,"DEEP_MEASURE_PERIOD_BROKER_VALUE","DEEP_MEASURE_ID_OVERRIDE",$C117,"DEEP_BROKER_ID_OVERRIDE",$F$7,"DEEP_PERIOD_OVERRIDE",AE$11)*1,"")))</f>
        <v/>
      </c>
      <c r="AF117" s="17" t="str">
        <f ca="1">IF(ISNA($B117),"",IF($B117="","",IFERROR(_xll.BDP(TICKER,"DEEP_MEASURE_PERIOD_BROKER_VALUE","DEEP_MEASURE_ID_OVERRIDE",$C117,"DEEP_BROKER_ID_OVERRIDE",$F$7,"DEEP_PERIOD_OVERRIDE",AF$11)*1,"")))</f>
        <v/>
      </c>
      <c r="AG117" s="17" t="str">
        <f ca="1">IF(ISNA($B117),"",IF($B117="","",IFERROR(_xll.BDP(TICKER,"DEEP_MEASURE_PERIOD_BROKER_VALUE","DEEP_MEASURE_ID_OVERRIDE",$C117,"DEEP_BROKER_ID_OVERRIDE",$F$7,"DEEP_PERIOD_OVERRIDE",AG$11)*1,"")))</f>
        <v/>
      </c>
      <c r="AH117" s="17" t="str">
        <f ca="1">IF(ISNA($B117),"",IF($B117="","",IFERROR(_xll.BDP(TICKER,"DEEP_MEASURE_PERIOD_BROKER_VALUE","DEEP_MEASURE_ID_OVERRIDE",$C117,"DEEP_BROKER_ID_OVERRIDE",$F$7,"DEEP_PERIOD_OVERRIDE",AH$11)*1,"")))</f>
        <v/>
      </c>
      <c r="AI117" s="17" t="str">
        <f ca="1">IF(ISNA($B117),"",IF($B117="","",IFERROR(_xll.BDP(TICKER,"DEEP_MEASURE_PERIOD_BROKER_VALUE","DEEP_MEASURE_ID_OVERRIDE",$C117,"DEEP_BROKER_ID_OVERRIDE",$F$7,"DEEP_PERIOD_OVERRIDE",AI$11)*1,"")))</f>
        <v/>
      </c>
      <c r="AJ117" s="17" t="str">
        <f ca="1">IF(ISNA($B117),"",IF($B117="","",IFERROR(_xll.BDP(TICKER,"DEEP_MEASURE_PERIOD_BROKER_VALUE","DEEP_MEASURE_ID_OVERRIDE",$C117,"DEEP_BROKER_ID_OVERRIDE",$F$7,"DEEP_PERIOD_OVERRIDE",AJ$11)*1,"")))</f>
        <v/>
      </c>
      <c r="AK117" s="17" t="str">
        <f ca="1">IF(ISNA($B117),"",IF($B117="","",IFERROR(_xll.BDP(TICKER,"DEEP_MEASURE_PERIOD_BROKER_VALUE","DEEP_MEASURE_ID_OVERRIDE",$C117,"DEEP_BROKER_ID_OVERRIDE",$F$7,"DEEP_PERIOD_OVERRIDE",AK$11)*1,"")))</f>
        <v/>
      </c>
      <c r="AL117" s="17" t="str">
        <f ca="1">IF(ISNA($B117),"",IF($B117="","",IFERROR(_xll.BDP(TICKER,"DEEP_MEASURE_PERIOD_BROKER_VALUE","DEEP_MEASURE_ID_OVERRIDE",$C117,"DEEP_BROKER_ID_OVERRIDE",$F$7,"DEEP_PERIOD_OVERRIDE",AL$11)*1,"")))</f>
        <v/>
      </c>
      <c r="AM117" s="17" t="str">
        <f ca="1">IF(ISNA($B117),"",IF($B117="","",IFERROR(_xll.BDP(TICKER,"DEEP_MEASURE_PERIOD_BROKER_VALUE","DEEP_MEASURE_ID_OVERRIDE",$C117,"DEEP_BROKER_ID_OVERRIDE",$F$7,"DEEP_PERIOD_OVERRIDE",AM$11)*1,"")))</f>
        <v/>
      </c>
      <c r="AN117" s="17" t="str">
        <f ca="1">IF(ISNA($B117),"",IF($B117="","",IFERROR(_xll.BDP(TICKER,"DEEP_MEASURE_PERIOD_BROKER_VALUE","DEEP_MEASURE_ID_OVERRIDE",$C117,"DEEP_BROKER_ID_OVERRIDE",$F$7,"DEEP_PERIOD_OVERRIDE",AN$11)*1,"")))</f>
        <v/>
      </c>
      <c r="AO117" s="17" t="str">
        <f ca="1">IF(ISNA($B117),"",IF($B117="","",IFERROR(_xll.BDP(TICKER,"DEEP_MEASURE_PERIOD_BROKER_VALUE","DEEP_MEASURE_ID_OVERRIDE",$C117,"DEEP_BROKER_ID_OVERRIDE",$F$7,"DEEP_PERIOD_OVERRIDE",AO$11)*1,"")))</f>
        <v/>
      </c>
      <c r="AP117" s="17" t="str">
        <f ca="1">IF(ISNA($B117),"",IF($B117="","",IFERROR(_xll.BDP(TICKER,"DEEP_MEASURE_PERIOD_BROKER_VALUE","DEEP_MEASURE_ID_OVERRIDE",$C117,"DEEP_BROKER_ID_OVERRIDE",$F$7,"DEEP_PERIOD_OVERRIDE",AP$11)*1,"")))</f>
        <v/>
      </c>
      <c r="AQ117" s="17" t="str">
        <f ca="1">IF(ISNA($B117),"",IF($B117="","",IFERROR(_xll.BDP(TICKER,"DEEP_MEASURE_PERIOD_BROKER_VALUE","DEEP_MEASURE_ID_OVERRIDE",$C117,"DEEP_BROKER_ID_OVERRIDE",$F$7,"DEEP_PERIOD_OVERRIDE",AQ$11)*1,"")))</f>
        <v/>
      </c>
    </row>
    <row r="118" spans="2:43" x14ac:dyDescent="0.25">
      <c r="B118" t="s">
        <v>163</v>
      </c>
      <c r="C118" s="11">
        <v>561</v>
      </c>
      <c r="H118" t="str">
        <f t="shared" si="3"/>
        <v>Depreciation &amp; Amortization of Intangible Assets &gt; Depreciation</v>
      </c>
      <c r="I118" s="17" t="str">
        <f ca="1">IF(ISNA($B118),"",IF($B118="","",IFERROR(_xll.BDP(TICKER,"DEEP_MEASURE_PERIOD_BROKER_VALUE","DEEP_MEASURE_ID_OVERRIDE",$C118,"DEEP_BROKER_ID_OVERRIDE",$F$7,"DEEP_PERIOD_OVERRIDE",I$11)*1,"")))</f>
        <v/>
      </c>
      <c r="J118" s="17" t="str">
        <f ca="1">IF(ISNA($B118),"",IF($B118="","",IFERROR(_xll.BDP(TICKER,"DEEP_MEASURE_PERIOD_BROKER_VALUE","DEEP_MEASURE_ID_OVERRIDE",$C118,"DEEP_BROKER_ID_OVERRIDE",$F$7,"DEEP_PERIOD_OVERRIDE",J$11)*1,"")))</f>
        <v/>
      </c>
      <c r="K118" s="17" t="str">
        <f ca="1">IF(ISNA($B118),"",IF($B118="","",IFERROR(_xll.BDP(TICKER,"DEEP_MEASURE_PERIOD_BROKER_VALUE","DEEP_MEASURE_ID_OVERRIDE",$C118,"DEEP_BROKER_ID_OVERRIDE",$F$7,"DEEP_PERIOD_OVERRIDE",K$11)*1,"")))</f>
        <v/>
      </c>
      <c r="L118" s="17" t="str">
        <f ca="1">IF(ISNA($B118),"",IF($B118="","",IFERROR(_xll.BDP(TICKER,"DEEP_MEASURE_PERIOD_BROKER_VALUE","DEEP_MEASURE_ID_OVERRIDE",$C118,"DEEP_BROKER_ID_OVERRIDE",$F$7,"DEEP_PERIOD_OVERRIDE",L$11)*1,"")))</f>
        <v/>
      </c>
      <c r="M118" s="17" t="str">
        <f ca="1">IF(ISNA($B118),"",IF($B118="","",IFERROR(_xll.BDP(TICKER,"DEEP_MEASURE_PERIOD_BROKER_VALUE","DEEP_MEASURE_ID_OVERRIDE",$C118,"DEEP_BROKER_ID_OVERRIDE",$F$7,"DEEP_PERIOD_OVERRIDE",M$11)*1,"")))</f>
        <v/>
      </c>
      <c r="N118" s="17" t="str">
        <f ca="1">IF(ISNA($B118),"",IF($B118="","",IFERROR(_xll.BDP(TICKER,"DEEP_MEASURE_PERIOD_BROKER_VALUE","DEEP_MEASURE_ID_OVERRIDE",$C118,"DEEP_BROKER_ID_OVERRIDE",$F$7,"DEEP_PERIOD_OVERRIDE",N$11)*1,"")))</f>
        <v/>
      </c>
      <c r="O118" s="17" t="str">
        <f ca="1">IF(ISNA($B118),"",IF($B118="","",IFERROR(_xll.BDP(TICKER,"DEEP_MEASURE_PERIOD_BROKER_VALUE","DEEP_MEASURE_ID_OVERRIDE",$C118,"DEEP_BROKER_ID_OVERRIDE",$F$7,"DEEP_PERIOD_OVERRIDE",O$11)*1,"")))</f>
        <v/>
      </c>
      <c r="P118" s="17" t="str">
        <f ca="1">IF(ISNA($B118),"",IF($B118="","",IFERROR(_xll.BDP(TICKER,"DEEP_MEASURE_PERIOD_BROKER_VALUE","DEEP_MEASURE_ID_OVERRIDE",$C118,"DEEP_BROKER_ID_OVERRIDE",$F$7,"DEEP_PERIOD_OVERRIDE",P$11)*1,"")))</f>
        <v/>
      </c>
      <c r="Q118" s="17" t="str">
        <f ca="1">IF(ISNA($B118),"",IF($B118="","",IFERROR(_xll.BDP(TICKER,"DEEP_MEASURE_PERIOD_BROKER_VALUE","DEEP_MEASURE_ID_OVERRIDE",$C118,"DEEP_BROKER_ID_OVERRIDE",$F$7,"DEEP_PERIOD_OVERRIDE",Q$11)*1,"")))</f>
        <v/>
      </c>
      <c r="R118" s="17" t="str">
        <f ca="1">IF(ISNA($B118),"",IF($B118="","",IFERROR(_xll.BDP(TICKER,"DEEP_MEASURE_PERIOD_BROKER_VALUE","DEEP_MEASURE_ID_OVERRIDE",$C118,"DEEP_BROKER_ID_OVERRIDE",$F$7,"DEEP_PERIOD_OVERRIDE",R$11)*1,"")))</f>
        <v/>
      </c>
      <c r="S118" s="17" t="str">
        <f ca="1">IF(ISNA($B118),"",IF($B118="","",IFERROR(_xll.BDP(TICKER,"DEEP_MEASURE_PERIOD_BROKER_VALUE","DEEP_MEASURE_ID_OVERRIDE",$C118,"DEEP_BROKER_ID_OVERRIDE",$F$7,"DEEP_PERIOD_OVERRIDE",S$11)*1,"")))</f>
        <v/>
      </c>
      <c r="T118" s="17" t="str">
        <f ca="1">IF(ISNA($B118),"",IF($B118="","",IFERROR(_xll.BDP(TICKER,"DEEP_MEASURE_PERIOD_BROKER_VALUE","DEEP_MEASURE_ID_OVERRIDE",$C118,"DEEP_BROKER_ID_OVERRIDE",$F$7,"DEEP_PERIOD_OVERRIDE",T$11)*1,"")))</f>
        <v/>
      </c>
      <c r="U118" s="17" t="str">
        <f ca="1">IF(ISNA($B118),"",IF($B118="","",IFERROR(_xll.BDP(TICKER,"DEEP_MEASURE_PERIOD_BROKER_VALUE","DEEP_MEASURE_ID_OVERRIDE",$C118,"DEEP_BROKER_ID_OVERRIDE",$F$7,"DEEP_PERIOD_OVERRIDE",U$11)*1,"")))</f>
        <v/>
      </c>
      <c r="V118" s="17" t="str">
        <f ca="1">IF(ISNA($B118),"",IF($B118="","",IFERROR(_xll.BDP(TICKER,"DEEP_MEASURE_PERIOD_BROKER_VALUE","DEEP_MEASURE_ID_OVERRIDE",$C118,"DEEP_BROKER_ID_OVERRIDE",$F$7,"DEEP_PERIOD_OVERRIDE",V$11)*1,"")))</f>
        <v/>
      </c>
      <c r="W118" s="17" t="str">
        <f ca="1">IF(ISNA($B118),"",IF($B118="","",IFERROR(_xll.BDP(TICKER,"DEEP_MEASURE_PERIOD_BROKER_VALUE","DEEP_MEASURE_ID_OVERRIDE",$C118,"DEEP_BROKER_ID_OVERRIDE",$F$7,"DEEP_PERIOD_OVERRIDE",W$11)*1,"")))</f>
        <v/>
      </c>
      <c r="X118" s="17" t="str">
        <f ca="1">IF(ISNA($B118),"",IF($B118="","",IFERROR(_xll.BDP(TICKER,"DEEP_MEASURE_PERIOD_BROKER_VALUE","DEEP_MEASURE_ID_OVERRIDE",$C118,"DEEP_BROKER_ID_OVERRIDE",$F$7,"DEEP_PERIOD_OVERRIDE",X$11)*1,"")))</f>
        <v/>
      </c>
      <c r="Y118" s="17" t="str">
        <f ca="1">IF(ISNA($B118),"",IF($B118="","",IFERROR(_xll.BDP(TICKER,"DEEP_MEASURE_PERIOD_BROKER_VALUE","DEEP_MEASURE_ID_OVERRIDE",$C118,"DEEP_BROKER_ID_OVERRIDE",$F$7,"DEEP_PERIOD_OVERRIDE",Y$11)*1,"")))</f>
        <v/>
      </c>
      <c r="Z118" s="17" t="str">
        <f ca="1">IF(ISNA($B118),"",IF($B118="","",IFERROR(_xll.BDP(TICKER,"DEEP_MEASURE_PERIOD_BROKER_VALUE","DEEP_MEASURE_ID_OVERRIDE",$C118,"DEEP_BROKER_ID_OVERRIDE",$F$7,"DEEP_PERIOD_OVERRIDE",Z$11)*1,"")))</f>
        <v/>
      </c>
      <c r="AA118" s="17" t="str">
        <f ca="1">IF(ISNA($B118),"",IF($B118="","",IFERROR(_xll.BDP(TICKER,"DEEP_MEASURE_PERIOD_BROKER_VALUE","DEEP_MEASURE_ID_OVERRIDE",$C118,"DEEP_BROKER_ID_OVERRIDE",$F$7,"DEEP_PERIOD_OVERRIDE",AA$11)*1,"")))</f>
        <v/>
      </c>
      <c r="AB118" s="17" t="str">
        <f ca="1">IF(ISNA($B118),"",IF($B118="","",IFERROR(_xll.BDP(TICKER,"DEEP_MEASURE_PERIOD_BROKER_VALUE","DEEP_MEASURE_ID_OVERRIDE",$C118,"DEEP_BROKER_ID_OVERRIDE",$F$7,"DEEP_PERIOD_OVERRIDE",AB$11)*1,"")))</f>
        <v/>
      </c>
      <c r="AC118" s="17" t="str">
        <f ca="1">IF(ISNA($B118),"",IF($B118="","",IFERROR(_xll.BDP(TICKER,"DEEP_MEASURE_PERIOD_BROKER_VALUE","DEEP_MEASURE_ID_OVERRIDE",$C118,"DEEP_BROKER_ID_OVERRIDE",$F$7,"DEEP_PERIOD_OVERRIDE",AC$11)*1,"")))</f>
        <v/>
      </c>
      <c r="AD118" s="17" t="str">
        <f ca="1">IF(ISNA($B118),"",IF($B118="","",IFERROR(_xll.BDP(TICKER,"DEEP_MEASURE_PERIOD_BROKER_VALUE","DEEP_MEASURE_ID_OVERRIDE",$C118,"DEEP_BROKER_ID_OVERRIDE",$F$7,"DEEP_PERIOD_OVERRIDE",AD$11)*1,"")))</f>
        <v/>
      </c>
      <c r="AE118" s="17" t="str">
        <f ca="1">IF(ISNA($B118),"",IF($B118="","",IFERROR(_xll.BDP(TICKER,"DEEP_MEASURE_PERIOD_BROKER_VALUE","DEEP_MEASURE_ID_OVERRIDE",$C118,"DEEP_BROKER_ID_OVERRIDE",$F$7,"DEEP_PERIOD_OVERRIDE",AE$11)*1,"")))</f>
        <v/>
      </c>
      <c r="AF118" s="17" t="str">
        <f ca="1">IF(ISNA($B118),"",IF($B118="","",IFERROR(_xll.BDP(TICKER,"DEEP_MEASURE_PERIOD_BROKER_VALUE","DEEP_MEASURE_ID_OVERRIDE",$C118,"DEEP_BROKER_ID_OVERRIDE",$F$7,"DEEP_PERIOD_OVERRIDE",AF$11)*1,"")))</f>
        <v/>
      </c>
      <c r="AG118" s="17" t="str">
        <f ca="1">IF(ISNA($B118),"",IF($B118="","",IFERROR(_xll.BDP(TICKER,"DEEP_MEASURE_PERIOD_BROKER_VALUE","DEEP_MEASURE_ID_OVERRIDE",$C118,"DEEP_BROKER_ID_OVERRIDE",$F$7,"DEEP_PERIOD_OVERRIDE",AG$11)*1,"")))</f>
        <v/>
      </c>
      <c r="AH118" s="17" t="str">
        <f ca="1">IF(ISNA($B118),"",IF($B118="","",IFERROR(_xll.BDP(TICKER,"DEEP_MEASURE_PERIOD_BROKER_VALUE","DEEP_MEASURE_ID_OVERRIDE",$C118,"DEEP_BROKER_ID_OVERRIDE",$F$7,"DEEP_PERIOD_OVERRIDE",AH$11)*1,"")))</f>
        <v/>
      </c>
      <c r="AI118" s="17" t="str">
        <f ca="1">IF(ISNA($B118),"",IF($B118="","",IFERROR(_xll.BDP(TICKER,"DEEP_MEASURE_PERIOD_BROKER_VALUE","DEEP_MEASURE_ID_OVERRIDE",$C118,"DEEP_BROKER_ID_OVERRIDE",$F$7,"DEEP_PERIOD_OVERRIDE",AI$11)*1,"")))</f>
        <v/>
      </c>
      <c r="AJ118" s="17" t="str">
        <f ca="1">IF(ISNA($B118),"",IF($B118="","",IFERROR(_xll.BDP(TICKER,"DEEP_MEASURE_PERIOD_BROKER_VALUE","DEEP_MEASURE_ID_OVERRIDE",$C118,"DEEP_BROKER_ID_OVERRIDE",$F$7,"DEEP_PERIOD_OVERRIDE",AJ$11)*1,"")))</f>
        <v/>
      </c>
      <c r="AK118" s="17" t="str">
        <f ca="1">IF(ISNA($B118),"",IF($B118="","",IFERROR(_xll.BDP(TICKER,"DEEP_MEASURE_PERIOD_BROKER_VALUE","DEEP_MEASURE_ID_OVERRIDE",$C118,"DEEP_BROKER_ID_OVERRIDE",$F$7,"DEEP_PERIOD_OVERRIDE",AK$11)*1,"")))</f>
        <v/>
      </c>
      <c r="AL118" s="17" t="str">
        <f ca="1">IF(ISNA($B118),"",IF($B118="","",IFERROR(_xll.BDP(TICKER,"DEEP_MEASURE_PERIOD_BROKER_VALUE","DEEP_MEASURE_ID_OVERRIDE",$C118,"DEEP_BROKER_ID_OVERRIDE",$F$7,"DEEP_PERIOD_OVERRIDE",AL$11)*1,"")))</f>
        <v/>
      </c>
      <c r="AM118" s="17" t="str">
        <f ca="1">IF(ISNA($B118),"",IF($B118="","",IFERROR(_xll.BDP(TICKER,"DEEP_MEASURE_PERIOD_BROKER_VALUE","DEEP_MEASURE_ID_OVERRIDE",$C118,"DEEP_BROKER_ID_OVERRIDE",$F$7,"DEEP_PERIOD_OVERRIDE",AM$11)*1,"")))</f>
        <v/>
      </c>
      <c r="AN118" s="17" t="str">
        <f ca="1">IF(ISNA($B118),"",IF($B118="","",IFERROR(_xll.BDP(TICKER,"DEEP_MEASURE_PERIOD_BROKER_VALUE","DEEP_MEASURE_ID_OVERRIDE",$C118,"DEEP_BROKER_ID_OVERRIDE",$F$7,"DEEP_PERIOD_OVERRIDE",AN$11)*1,"")))</f>
        <v/>
      </c>
      <c r="AO118" s="17" t="str">
        <f ca="1">IF(ISNA($B118),"",IF($B118="","",IFERROR(_xll.BDP(TICKER,"DEEP_MEASURE_PERIOD_BROKER_VALUE","DEEP_MEASURE_ID_OVERRIDE",$C118,"DEEP_BROKER_ID_OVERRIDE",$F$7,"DEEP_PERIOD_OVERRIDE",AO$11)*1,"")))</f>
        <v/>
      </c>
      <c r="AP118" s="17" t="str">
        <f ca="1">IF(ISNA($B118),"",IF($B118="","",IFERROR(_xll.BDP(TICKER,"DEEP_MEASURE_PERIOD_BROKER_VALUE","DEEP_MEASURE_ID_OVERRIDE",$C118,"DEEP_BROKER_ID_OVERRIDE",$F$7,"DEEP_PERIOD_OVERRIDE",AP$11)*1,"")))</f>
        <v/>
      </c>
      <c r="AQ118" s="17" t="str">
        <f ca="1">IF(ISNA($B118),"",IF($B118="","",IFERROR(_xll.BDP(TICKER,"DEEP_MEASURE_PERIOD_BROKER_VALUE","DEEP_MEASURE_ID_OVERRIDE",$C118,"DEEP_BROKER_ID_OVERRIDE",$F$7,"DEEP_PERIOD_OVERRIDE",AQ$11)*1,"")))</f>
        <v/>
      </c>
    </row>
    <row r="119" spans="2:43" x14ac:dyDescent="0.25">
      <c r="B119" t="s">
        <v>164</v>
      </c>
      <c r="C119" s="11">
        <v>396</v>
      </c>
      <c r="H119" t="str">
        <f t="shared" si="3"/>
        <v>Depreciation &amp; Amortization of Intangible Assets &gt; Depreciation &gt; As % of Revenue</v>
      </c>
      <c r="I119" s="17" t="str">
        <f ca="1">IF(ISNA($B119),"",IF($B119="","",IFERROR(_xll.BDP(TICKER,"DEEP_MEASURE_PERIOD_BROKER_VALUE","DEEP_MEASURE_ID_OVERRIDE",$C119,"DEEP_BROKER_ID_OVERRIDE",$F$7,"DEEP_PERIOD_OVERRIDE",I$11)*1,"")))</f>
        <v/>
      </c>
      <c r="J119" s="17" t="str">
        <f ca="1">IF(ISNA($B119),"",IF($B119="","",IFERROR(_xll.BDP(TICKER,"DEEP_MEASURE_PERIOD_BROKER_VALUE","DEEP_MEASURE_ID_OVERRIDE",$C119,"DEEP_BROKER_ID_OVERRIDE",$F$7,"DEEP_PERIOD_OVERRIDE",J$11)*1,"")))</f>
        <v/>
      </c>
      <c r="K119" s="17" t="str">
        <f ca="1">IF(ISNA($B119),"",IF($B119="","",IFERROR(_xll.BDP(TICKER,"DEEP_MEASURE_PERIOD_BROKER_VALUE","DEEP_MEASURE_ID_OVERRIDE",$C119,"DEEP_BROKER_ID_OVERRIDE",$F$7,"DEEP_PERIOD_OVERRIDE",K$11)*1,"")))</f>
        <v/>
      </c>
      <c r="L119" s="17" t="str">
        <f ca="1">IF(ISNA($B119),"",IF($B119="","",IFERROR(_xll.BDP(TICKER,"DEEP_MEASURE_PERIOD_BROKER_VALUE","DEEP_MEASURE_ID_OVERRIDE",$C119,"DEEP_BROKER_ID_OVERRIDE",$F$7,"DEEP_PERIOD_OVERRIDE",L$11)*1,"")))</f>
        <v/>
      </c>
      <c r="M119" s="17" t="str">
        <f ca="1">IF(ISNA($B119),"",IF($B119="","",IFERROR(_xll.BDP(TICKER,"DEEP_MEASURE_PERIOD_BROKER_VALUE","DEEP_MEASURE_ID_OVERRIDE",$C119,"DEEP_BROKER_ID_OVERRIDE",$F$7,"DEEP_PERIOD_OVERRIDE",M$11)*1,"")))</f>
        <v/>
      </c>
      <c r="N119" s="17" t="str">
        <f ca="1">IF(ISNA($B119),"",IF($B119="","",IFERROR(_xll.BDP(TICKER,"DEEP_MEASURE_PERIOD_BROKER_VALUE","DEEP_MEASURE_ID_OVERRIDE",$C119,"DEEP_BROKER_ID_OVERRIDE",$F$7,"DEEP_PERIOD_OVERRIDE",N$11)*1,"")))</f>
        <v/>
      </c>
      <c r="O119" s="17" t="str">
        <f ca="1">IF(ISNA($B119),"",IF($B119="","",IFERROR(_xll.BDP(TICKER,"DEEP_MEASURE_PERIOD_BROKER_VALUE","DEEP_MEASURE_ID_OVERRIDE",$C119,"DEEP_BROKER_ID_OVERRIDE",$F$7,"DEEP_PERIOD_OVERRIDE",O$11)*1,"")))</f>
        <v/>
      </c>
      <c r="P119" s="17" t="str">
        <f ca="1">IF(ISNA($B119),"",IF($B119="","",IFERROR(_xll.BDP(TICKER,"DEEP_MEASURE_PERIOD_BROKER_VALUE","DEEP_MEASURE_ID_OVERRIDE",$C119,"DEEP_BROKER_ID_OVERRIDE",$F$7,"DEEP_PERIOD_OVERRIDE",P$11)*1,"")))</f>
        <v/>
      </c>
      <c r="Q119" s="17" t="str">
        <f ca="1">IF(ISNA($B119),"",IF($B119="","",IFERROR(_xll.BDP(TICKER,"DEEP_MEASURE_PERIOD_BROKER_VALUE","DEEP_MEASURE_ID_OVERRIDE",$C119,"DEEP_BROKER_ID_OVERRIDE",$F$7,"DEEP_PERIOD_OVERRIDE",Q$11)*1,"")))</f>
        <v/>
      </c>
      <c r="R119" s="17" t="str">
        <f ca="1">IF(ISNA($B119),"",IF($B119="","",IFERROR(_xll.BDP(TICKER,"DEEP_MEASURE_PERIOD_BROKER_VALUE","DEEP_MEASURE_ID_OVERRIDE",$C119,"DEEP_BROKER_ID_OVERRIDE",$F$7,"DEEP_PERIOD_OVERRIDE",R$11)*1,"")))</f>
        <v/>
      </c>
      <c r="S119" s="17" t="str">
        <f ca="1">IF(ISNA($B119),"",IF($B119="","",IFERROR(_xll.BDP(TICKER,"DEEP_MEASURE_PERIOD_BROKER_VALUE","DEEP_MEASURE_ID_OVERRIDE",$C119,"DEEP_BROKER_ID_OVERRIDE",$F$7,"DEEP_PERIOD_OVERRIDE",S$11)*1,"")))</f>
        <v/>
      </c>
      <c r="T119" s="17" t="str">
        <f ca="1">IF(ISNA($B119),"",IF($B119="","",IFERROR(_xll.BDP(TICKER,"DEEP_MEASURE_PERIOD_BROKER_VALUE","DEEP_MEASURE_ID_OVERRIDE",$C119,"DEEP_BROKER_ID_OVERRIDE",$F$7,"DEEP_PERIOD_OVERRIDE",T$11)*1,"")))</f>
        <v/>
      </c>
      <c r="U119" s="17" t="str">
        <f ca="1">IF(ISNA($B119),"",IF($B119="","",IFERROR(_xll.BDP(TICKER,"DEEP_MEASURE_PERIOD_BROKER_VALUE","DEEP_MEASURE_ID_OVERRIDE",$C119,"DEEP_BROKER_ID_OVERRIDE",$F$7,"DEEP_PERIOD_OVERRIDE",U$11)*1,"")))</f>
        <v/>
      </c>
      <c r="V119" s="17" t="str">
        <f ca="1">IF(ISNA($B119),"",IF($B119="","",IFERROR(_xll.BDP(TICKER,"DEEP_MEASURE_PERIOD_BROKER_VALUE","DEEP_MEASURE_ID_OVERRIDE",$C119,"DEEP_BROKER_ID_OVERRIDE",$F$7,"DEEP_PERIOD_OVERRIDE",V$11)*1,"")))</f>
        <v/>
      </c>
      <c r="W119" s="17" t="str">
        <f ca="1">IF(ISNA($B119),"",IF($B119="","",IFERROR(_xll.BDP(TICKER,"DEEP_MEASURE_PERIOD_BROKER_VALUE","DEEP_MEASURE_ID_OVERRIDE",$C119,"DEEP_BROKER_ID_OVERRIDE",$F$7,"DEEP_PERIOD_OVERRIDE",W$11)*1,"")))</f>
        <v/>
      </c>
      <c r="X119" s="17" t="str">
        <f ca="1">IF(ISNA($B119),"",IF($B119="","",IFERROR(_xll.BDP(TICKER,"DEEP_MEASURE_PERIOD_BROKER_VALUE","DEEP_MEASURE_ID_OVERRIDE",$C119,"DEEP_BROKER_ID_OVERRIDE",$F$7,"DEEP_PERIOD_OVERRIDE",X$11)*1,"")))</f>
        <v/>
      </c>
      <c r="Y119" s="17" t="str">
        <f ca="1">IF(ISNA($B119),"",IF($B119="","",IFERROR(_xll.BDP(TICKER,"DEEP_MEASURE_PERIOD_BROKER_VALUE","DEEP_MEASURE_ID_OVERRIDE",$C119,"DEEP_BROKER_ID_OVERRIDE",$F$7,"DEEP_PERIOD_OVERRIDE",Y$11)*1,"")))</f>
        <v/>
      </c>
      <c r="Z119" s="17" t="str">
        <f ca="1">IF(ISNA($B119),"",IF($B119="","",IFERROR(_xll.BDP(TICKER,"DEEP_MEASURE_PERIOD_BROKER_VALUE","DEEP_MEASURE_ID_OVERRIDE",$C119,"DEEP_BROKER_ID_OVERRIDE",$F$7,"DEEP_PERIOD_OVERRIDE",Z$11)*1,"")))</f>
        <v/>
      </c>
      <c r="AA119" s="17" t="str">
        <f ca="1">IF(ISNA($B119),"",IF($B119="","",IFERROR(_xll.BDP(TICKER,"DEEP_MEASURE_PERIOD_BROKER_VALUE","DEEP_MEASURE_ID_OVERRIDE",$C119,"DEEP_BROKER_ID_OVERRIDE",$F$7,"DEEP_PERIOD_OVERRIDE",AA$11)*1,"")))</f>
        <v/>
      </c>
      <c r="AB119" s="17" t="str">
        <f ca="1">IF(ISNA($B119),"",IF($B119="","",IFERROR(_xll.BDP(TICKER,"DEEP_MEASURE_PERIOD_BROKER_VALUE","DEEP_MEASURE_ID_OVERRIDE",$C119,"DEEP_BROKER_ID_OVERRIDE",$F$7,"DEEP_PERIOD_OVERRIDE",AB$11)*1,"")))</f>
        <v/>
      </c>
      <c r="AC119" s="17" t="str">
        <f ca="1">IF(ISNA($B119),"",IF($B119="","",IFERROR(_xll.BDP(TICKER,"DEEP_MEASURE_PERIOD_BROKER_VALUE","DEEP_MEASURE_ID_OVERRIDE",$C119,"DEEP_BROKER_ID_OVERRIDE",$F$7,"DEEP_PERIOD_OVERRIDE",AC$11)*1,"")))</f>
        <v/>
      </c>
      <c r="AD119" s="17" t="str">
        <f ca="1">IF(ISNA($B119),"",IF($B119="","",IFERROR(_xll.BDP(TICKER,"DEEP_MEASURE_PERIOD_BROKER_VALUE","DEEP_MEASURE_ID_OVERRIDE",$C119,"DEEP_BROKER_ID_OVERRIDE",$F$7,"DEEP_PERIOD_OVERRIDE",AD$11)*1,"")))</f>
        <v/>
      </c>
      <c r="AE119" s="17" t="str">
        <f ca="1">IF(ISNA($B119),"",IF($B119="","",IFERROR(_xll.BDP(TICKER,"DEEP_MEASURE_PERIOD_BROKER_VALUE","DEEP_MEASURE_ID_OVERRIDE",$C119,"DEEP_BROKER_ID_OVERRIDE",$F$7,"DEEP_PERIOD_OVERRIDE",AE$11)*1,"")))</f>
        <v/>
      </c>
      <c r="AF119" s="17" t="str">
        <f ca="1">IF(ISNA($B119),"",IF($B119="","",IFERROR(_xll.BDP(TICKER,"DEEP_MEASURE_PERIOD_BROKER_VALUE","DEEP_MEASURE_ID_OVERRIDE",$C119,"DEEP_BROKER_ID_OVERRIDE",$F$7,"DEEP_PERIOD_OVERRIDE",AF$11)*1,"")))</f>
        <v/>
      </c>
      <c r="AG119" s="17" t="str">
        <f ca="1">IF(ISNA($B119),"",IF($B119="","",IFERROR(_xll.BDP(TICKER,"DEEP_MEASURE_PERIOD_BROKER_VALUE","DEEP_MEASURE_ID_OVERRIDE",$C119,"DEEP_BROKER_ID_OVERRIDE",$F$7,"DEEP_PERIOD_OVERRIDE",AG$11)*1,"")))</f>
        <v/>
      </c>
      <c r="AH119" s="17" t="str">
        <f ca="1">IF(ISNA($B119),"",IF($B119="","",IFERROR(_xll.BDP(TICKER,"DEEP_MEASURE_PERIOD_BROKER_VALUE","DEEP_MEASURE_ID_OVERRIDE",$C119,"DEEP_BROKER_ID_OVERRIDE",$F$7,"DEEP_PERIOD_OVERRIDE",AH$11)*1,"")))</f>
        <v/>
      </c>
      <c r="AI119" s="17" t="str">
        <f ca="1">IF(ISNA($B119),"",IF($B119="","",IFERROR(_xll.BDP(TICKER,"DEEP_MEASURE_PERIOD_BROKER_VALUE","DEEP_MEASURE_ID_OVERRIDE",$C119,"DEEP_BROKER_ID_OVERRIDE",$F$7,"DEEP_PERIOD_OVERRIDE",AI$11)*1,"")))</f>
        <v/>
      </c>
      <c r="AJ119" s="17" t="str">
        <f ca="1">IF(ISNA($B119),"",IF($B119="","",IFERROR(_xll.BDP(TICKER,"DEEP_MEASURE_PERIOD_BROKER_VALUE","DEEP_MEASURE_ID_OVERRIDE",$C119,"DEEP_BROKER_ID_OVERRIDE",$F$7,"DEEP_PERIOD_OVERRIDE",AJ$11)*1,"")))</f>
        <v/>
      </c>
      <c r="AK119" s="17" t="str">
        <f ca="1">IF(ISNA($B119),"",IF($B119="","",IFERROR(_xll.BDP(TICKER,"DEEP_MEASURE_PERIOD_BROKER_VALUE","DEEP_MEASURE_ID_OVERRIDE",$C119,"DEEP_BROKER_ID_OVERRIDE",$F$7,"DEEP_PERIOD_OVERRIDE",AK$11)*1,"")))</f>
        <v/>
      </c>
      <c r="AL119" s="17" t="str">
        <f ca="1">IF(ISNA($B119),"",IF($B119="","",IFERROR(_xll.BDP(TICKER,"DEEP_MEASURE_PERIOD_BROKER_VALUE","DEEP_MEASURE_ID_OVERRIDE",$C119,"DEEP_BROKER_ID_OVERRIDE",$F$7,"DEEP_PERIOD_OVERRIDE",AL$11)*1,"")))</f>
        <v/>
      </c>
      <c r="AM119" s="17" t="str">
        <f ca="1">IF(ISNA($B119),"",IF($B119="","",IFERROR(_xll.BDP(TICKER,"DEEP_MEASURE_PERIOD_BROKER_VALUE","DEEP_MEASURE_ID_OVERRIDE",$C119,"DEEP_BROKER_ID_OVERRIDE",$F$7,"DEEP_PERIOD_OVERRIDE",AM$11)*1,"")))</f>
        <v/>
      </c>
      <c r="AN119" s="17" t="str">
        <f ca="1">IF(ISNA($B119),"",IF($B119="","",IFERROR(_xll.BDP(TICKER,"DEEP_MEASURE_PERIOD_BROKER_VALUE","DEEP_MEASURE_ID_OVERRIDE",$C119,"DEEP_BROKER_ID_OVERRIDE",$F$7,"DEEP_PERIOD_OVERRIDE",AN$11)*1,"")))</f>
        <v/>
      </c>
      <c r="AO119" s="17" t="str">
        <f ca="1">IF(ISNA($B119),"",IF($B119="","",IFERROR(_xll.BDP(TICKER,"DEEP_MEASURE_PERIOD_BROKER_VALUE","DEEP_MEASURE_ID_OVERRIDE",$C119,"DEEP_BROKER_ID_OVERRIDE",$F$7,"DEEP_PERIOD_OVERRIDE",AO$11)*1,"")))</f>
        <v/>
      </c>
      <c r="AP119" s="17" t="str">
        <f ca="1">IF(ISNA($B119),"",IF($B119="","",IFERROR(_xll.BDP(TICKER,"DEEP_MEASURE_PERIOD_BROKER_VALUE","DEEP_MEASURE_ID_OVERRIDE",$C119,"DEEP_BROKER_ID_OVERRIDE",$F$7,"DEEP_PERIOD_OVERRIDE",AP$11)*1,"")))</f>
        <v/>
      </c>
      <c r="AQ119" s="17" t="str">
        <f ca="1">IF(ISNA($B119),"",IF($B119="","",IFERROR(_xll.BDP(TICKER,"DEEP_MEASURE_PERIOD_BROKER_VALUE","DEEP_MEASURE_ID_OVERRIDE",$C119,"DEEP_BROKER_ID_OVERRIDE",$F$7,"DEEP_PERIOD_OVERRIDE",AQ$11)*1,"")))</f>
        <v/>
      </c>
    </row>
    <row r="120" spans="2:43" x14ac:dyDescent="0.25">
      <c r="B120" t="s">
        <v>165</v>
      </c>
      <c r="C120" s="11">
        <v>8359</v>
      </c>
      <c r="H120" t="str">
        <f t="shared" si="3"/>
        <v>Depreciation &amp; Amortization of Intangible Assets &gt; Amortization of Intangible Assets</v>
      </c>
      <c r="I120" s="17" t="str">
        <f ca="1">IF(ISNA($B120),"",IF($B120="","",IFERROR(_xll.BDP(TICKER,"DEEP_MEASURE_PERIOD_BROKER_VALUE","DEEP_MEASURE_ID_OVERRIDE",$C120,"DEEP_BROKER_ID_OVERRIDE",$F$7,"DEEP_PERIOD_OVERRIDE",I$11)*1,"")))</f>
        <v/>
      </c>
      <c r="J120" s="17" t="str">
        <f ca="1">IF(ISNA($B120),"",IF($B120="","",IFERROR(_xll.BDP(TICKER,"DEEP_MEASURE_PERIOD_BROKER_VALUE","DEEP_MEASURE_ID_OVERRIDE",$C120,"DEEP_BROKER_ID_OVERRIDE",$F$7,"DEEP_PERIOD_OVERRIDE",J$11)*1,"")))</f>
        <v/>
      </c>
      <c r="K120" s="17" t="str">
        <f ca="1">IF(ISNA($B120),"",IF($B120="","",IFERROR(_xll.BDP(TICKER,"DEEP_MEASURE_PERIOD_BROKER_VALUE","DEEP_MEASURE_ID_OVERRIDE",$C120,"DEEP_BROKER_ID_OVERRIDE",$F$7,"DEEP_PERIOD_OVERRIDE",K$11)*1,"")))</f>
        <v/>
      </c>
      <c r="L120" s="17" t="str">
        <f ca="1">IF(ISNA($B120),"",IF($B120="","",IFERROR(_xll.BDP(TICKER,"DEEP_MEASURE_PERIOD_BROKER_VALUE","DEEP_MEASURE_ID_OVERRIDE",$C120,"DEEP_BROKER_ID_OVERRIDE",$F$7,"DEEP_PERIOD_OVERRIDE",L$11)*1,"")))</f>
        <v/>
      </c>
      <c r="M120" s="17" t="str">
        <f ca="1">IF(ISNA($B120),"",IF($B120="","",IFERROR(_xll.BDP(TICKER,"DEEP_MEASURE_PERIOD_BROKER_VALUE","DEEP_MEASURE_ID_OVERRIDE",$C120,"DEEP_BROKER_ID_OVERRIDE",$F$7,"DEEP_PERIOD_OVERRIDE",M$11)*1,"")))</f>
        <v/>
      </c>
      <c r="N120" s="17" t="str">
        <f ca="1">IF(ISNA($B120),"",IF($B120="","",IFERROR(_xll.BDP(TICKER,"DEEP_MEASURE_PERIOD_BROKER_VALUE","DEEP_MEASURE_ID_OVERRIDE",$C120,"DEEP_BROKER_ID_OVERRIDE",$F$7,"DEEP_PERIOD_OVERRIDE",N$11)*1,"")))</f>
        <v/>
      </c>
      <c r="O120" s="17" t="str">
        <f ca="1">IF(ISNA($B120),"",IF($B120="","",IFERROR(_xll.BDP(TICKER,"DEEP_MEASURE_PERIOD_BROKER_VALUE","DEEP_MEASURE_ID_OVERRIDE",$C120,"DEEP_BROKER_ID_OVERRIDE",$F$7,"DEEP_PERIOD_OVERRIDE",O$11)*1,"")))</f>
        <v/>
      </c>
      <c r="P120" s="17" t="str">
        <f ca="1">IF(ISNA($B120),"",IF($B120="","",IFERROR(_xll.BDP(TICKER,"DEEP_MEASURE_PERIOD_BROKER_VALUE","DEEP_MEASURE_ID_OVERRIDE",$C120,"DEEP_BROKER_ID_OVERRIDE",$F$7,"DEEP_PERIOD_OVERRIDE",P$11)*1,"")))</f>
        <v/>
      </c>
      <c r="Q120" s="17" t="str">
        <f ca="1">IF(ISNA($B120),"",IF($B120="","",IFERROR(_xll.BDP(TICKER,"DEEP_MEASURE_PERIOD_BROKER_VALUE","DEEP_MEASURE_ID_OVERRIDE",$C120,"DEEP_BROKER_ID_OVERRIDE",$F$7,"DEEP_PERIOD_OVERRIDE",Q$11)*1,"")))</f>
        <v/>
      </c>
      <c r="R120" s="17" t="str">
        <f ca="1">IF(ISNA($B120),"",IF($B120="","",IFERROR(_xll.BDP(TICKER,"DEEP_MEASURE_PERIOD_BROKER_VALUE","DEEP_MEASURE_ID_OVERRIDE",$C120,"DEEP_BROKER_ID_OVERRIDE",$F$7,"DEEP_PERIOD_OVERRIDE",R$11)*1,"")))</f>
        <v/>
      </c>
      <c r="S120" s="17" t="str">
        <f ca="1">IF(ISNA($B120),"",IF($B120="","",IFERROR(_xll.BDP(TICKER,"DEEP_MEASURE_PERIOD_BROKER_VALUE","DEEP_MEASURE_ID_OVERRIDE",$C120,"DEEP_BROKER_ID_OVERRIDE",$F$7,"DEEP_PERIOD_OVERRIDE",S$11)*1,"")))</f>
        <v/>
      </c>
      <c r="T120" s="17" t="str">
        <f ca="1">IF(ISNA($B120),"",IF($B120="","",IFERROR(_xll.BDP(TICKER,"DEEP_MEASURE_PERIOD_BROKER_VALUE","DEEP_MEASURE_ID_OVERRIDE",$C120,"DEEP_BROKER_ID_OVERRIDE",$F$7,"DEEP_PERIOD_OVERRIDE",T$11)*1,"")))</f>
        <v/>
      </c>
      <c r="U120" s="17" t="str">
        <f ca="1">IF(ISNA($B120),"",IF($B120="","",IFERROR(_xll.BDP(TICKER,"DEEP_MEASURE_PERIOD_BROKER_VALUE","DEEP_MEASURE_ID_OVERRIDE",$C120,"DEEP_BROKER_ID_OVERRIDE",$F$7,"DEEP_PERIOD_OVERRIDE",U$11)*1,"")))</f>
        <v/>
      </c>
      <c r="V120" s="17" t="str">
        <f ca="1">IF(ISNA($B120),"",IF($B120="","",IFERROR(_xll.BDP(TICKER,"DEEP_MEASURE_PERIOD_BROKER_VALUE","DEEP_MEASURE_ID_OVERRIDE",$C120,"DEEP_BROKER_ID_OVERRIDE",$F$7,"DEEP_PERIOD_OVERRIDE",V$11)*1,"")))</f>
        <v/>
      </c>
      <c r="W120" s="17" t="str">
        <f ca="1">IF(ISNA($B120),"",IF($B120="","",IFERROR(_xll.BDP(TICKER,"DEEP_MEASURE_PERIOD_BROKER_VALUE","DEEP_MEASURE_ID_OVERRIDE",$C120,"DEEP_BROKER_ID_OVERRIDE",$F$7,"DEEP_PERIOD_OVERRIDE",W$11)*1,"")))</f>
        <v/>
      </c>
      <c r="X120" s="17" t="str">
        <f ca="1">IF(ISNA($B120),"",IF($B120="","",IFERROR(_xll.BDP(TICKER,"DEEP_MEASURE_PERIOD_BROKER_VALUE","DEEP_MEASURE_ID_OVERRIDE",$C120,"DEEP_BROKER_ID_OVERRIDE",$F$7,"DEEP_PERIOD_OVERRIDE",X$11)*1,"")))</f>
        <v/>
      </c>
      <c r="Y120" s="17" t="str">
        <f ca="1">IF(ISNA($B120),"",IF($B120="","",IFERROR(_xll.BDP(TICKER,"DEEP_MEASURE_PERIOD_BROKER_VALUE","DEEP_MEASURE_ID_OVERRIDE",$C120,"DEEP_BROKER_ID_OVERRIDE",$F$7,"DEEP_PERIOD_OVERRIDE",Y$11)*1,"")))</f>
        <v/>
      </c>
      <c r="Z120" s="17" t="str">
        <f ca="1">IF(ISNA($B120),"",IF($B120="","",IFERROR(_xll.BDP(TICKER,"DEEP_MEASURE_PERIOD_BROKER_VALUE","DEEP_MEASURE_ID_OVERRIDE",$C120,"DEEP_BROKER_ID_OVERRIDE",$F$7,"DEEP_PERIOD_OVERRIDE",Z$11)*1,"")))</f>
        <v/>
      </c>
      <c r="AA120" s="17" t="str">
        <f ca="1">IF(ISNA($B120),"",IF($B120="","",IFERROR(_xll.BDP(TICKER,"DEEP_MEASURE_PERIOD_BROKER_VALUE","DEEP_MEASURE_ID_OVERRIDE",$C120,"DEEP_BROKER_ID_OVERRIDE",$F$7,"DEEP_PERIOD_OVERRIDE",AA$11)*1,"")))</f>
        <v/>
      </c>
      <c r="AB120" s="17" t="str">
        <f ca="1">IF(ISNA($B120),"",IF($B120="","",IFERROR(_xll.BDP(TICKER,"DEEP_MEASURE_PERIOD_BROKER_VALUE","DEEP_MEASURE_ID_OVERRIDE",$C120,"DEEP_BROKER_ID_OVERRIDE",$F$7,"DEEP_PERIOD_OVERRIDE",AB$11)*1,"")))</f>
        <v/>
      </c>
      <c r="AC120" s="17" t="str">
        <f ca="1">IF(ISNA($B120),"",IF($B120="","",IFERROR(_xll.BDP(TICKER,"DEEP_MEASURE_PERIOD_BROKER_VALUE","DEEP_MEASURE_ID_OVERRIDE",$C120,"DEEP_BROKER_ID_OVERRIDE",$F$7,"DEEP_PERIOD_OVERRIDE",AC$11)*1,"")))</f>
        <v/>
      </c>
      <c r="AD120" s="17" t="str">
        <f ca="1">IF(ISNA($B120),"",IF($B120="","",IFERROR(_xll.BDP(TICKER,"DEEP_MEASURE_PERIOD_BROKER_VALUE","DEEP_MEASURE_ID_OVERRIDE",$C120,"DEEP_BROKER_ID_OVERRIDE",$F$7,"DEEP_PERIOD_OVERRIDE",AD$11)*1,"")))</f>
        <v/>
      </c>
      <c r="AE120" s="17" t="str">
        <f ca="1">IF(ISNA($B120),"",IF($B120="","",IFERROR(_xll.BDP(TICKER,"DEEP_MEASURE_PERIOD_BROKER_VALUE","DEEP_MEASURE_ID_OVERRIDE",$C120,"DEEP_BROKER_ID_OVERRIDE",$F$7,"DEEP_PERIOD_OVERRIDE",AE$11)*1,"")))</f>
        <v/>
      </c>
      <c r="AF120" s="17" t="str">
        <f ca="1">IF(ISNA($B120),"",IF($B120="","",IFERROR(_xll.BDP(TICKER,"DEEP_MEASURE_PERIOD_BROKER_VALUE","DEEP_MEASURE_ID_OVERRIDE",$C120,"DEEP_BROKER_ID_OVERRIDE",$F$7,"DEEP_PERIOD_OVERRIDE",AF$11)*1,"")))</f>
        <v/>
      </c>
      <c r="AG120" s="17" t="str">
        <f ca="1">IF(ISNA($B120),"",IF($B120="","",IFERROR(_xll.BDP(TICKER,"DEEP_MEASURE_PERIOD_BROKER_VALUE","DEEP_MEASURE_ID_OVERRIDE",$C120,"DEEP_BROKER_ID_OVERRIDE",$F$7,"DEEP_PERIOD_OVERRIDE",AG$11)*1,"")))</f>
        <v/>
      </c>
      <c r="AH120" s="17" t="str">
        <f ca="1">IF(ISNA($B120),"",IF($B120="","",IFERROR(_xll.BDP(TICKER,"DEEP_MEASURE_PERIOD_BROKER_VALUE","DEEP_MEASURE_ID_OVERRIDE",$C120,"DEEP_BROKER_ID_OVERRIDE",$F$7,"DEEP_PERIOD_OVERRIDE",AH$11)*1,"")))</f>
        <v/>
      </c>
      <c r="AI120" s="17" t="str">
        <f ca="1">IF(ISNA($B120),"",IF($B120="","",IFERROR(_xll.BDP(TICKER,"DEEP_MEASURE_PERIOD_BROKER_VALUE","DEEP_MEASURE_ID_OVERRIDE",$C120,"DEEP_BROKER_ID_OVERRIDE",$F$7,"DEEP_PERIOD_OVERRIDE",AI$11)*1,"")))</f>
        <v/>
      </c>
      <c r="AJ120" s="17" t="str">
        <f ca="1">IF(ISNA($B120),"",IF($B120="","",IFERROR(_xll.BDP(TICKER,"DEEP_MEASURE_PERIOD_BROKER_VALUE","DEEP_MEASURE_ID_OVERRIDE",$C120,"DEEP_BROKER_ID_OVERRIDE",$F$7,"DEEP_PERIOD_OVERRIDE",AJ$11)*1,"")))</f>
        <v/>
      </c>
      <c r="AK120" s="17" t="str">
        <f ca="1">IF(ISNA($B120),"",IF($B120="","",IFERROR(_xll.BDP(TICKER,"DEEP_MEASURE_PERIOD_BROKER_VALUE","DEEP_MEASURE_ID_OVERRIDE",$C120,"DEEP_BROKER_ID_OVERRIDE",$F$7,"DEEP_PERIOD_OVERRIDE",AK$11)*1,"")))</f>
        <v/>
      </c>
      <c r="AL120" s="17" t="str">
        <f ca="1">IF(ISNA($B120),"",IF($B120="","",IFERROR(_xll.BDP(TICKER,"DEEP_MEASURE_PERIOD_BROKER_VALUE","DEEP_MEASURE_ID_OVERRIDE",$C120,"DEEP_BROKER_ID_OVERRIDE",$F$7,"DEEP_PERIOD_OVERRIDE",AL$11)*1,"")))</f>
        <v/>
      </c>
      <c r="AM120" s="17" t="str">
        <f ca="1">IF(ISNA($B120),"",IF($B120="","",IFERROR(_xll.BDP(TICKER,"DEEP_MEASURE_PERIOD_BROKER_VALUE","DEEP_MEASURE_ID_OVERRIDE",$C120,"DEEP_BROKER_ID_OVERRIDE",$F$7,"DEEP_PERIOD_OVERRIDE",AM$11)*1,"")))</f>
        <v/>
      </c>
      <c r="AN120" s="17" t="str">
        <f ca="1">IF(ISNA($B120),"",IF($B120="","",IFERROR(_xll.BDP(TICKER,"DEEP_MEASURE_PERIOD_BROKER_VALUE","DEEP_MEASURE_ID_OVERRIDE",$C120,"DEEP_BROKER_ID_OVERRIDE",$F$7,"DEEP_PERIOD_OVERRIDE",AN$11)*1,"")))</f>
        <v/>
      </c>
      <c r="AO120" s="17" t="str">
        <f ca="1">IF(ISNA($B120),"",IF($B120="","",IFERROR(_xll.BDP(TICKER,"DEEP_MEASURE_PERIOD_BROKER_VALUE","DEEP_MEASURE_ID_OVERRIDE",$C120,"DEEP_BROKER_ID_OVERRIDE",$F$7,"DEEP_PERIOD_OVERRIDE",AO$11)*1,"")))</f>
        <v/>
      </c>
      <c r="AP120" s="17" t="str">
        <f ca="1">IF(ISNA($B120),"",IF($B120="","",IFERROR(_xll.BDP(TICKER,"DEEP_MEASURE_PERIOD_BROKER_VALUE","DEEP_MEASURE_ID_OVERRIDE",$C120,"DEEP_BROKER_ID_OVERRIDE",$F$7,"DEEP_PERIOD_OVERRIDE",AP$11)*1,"")))</f>
        <v/>
      </c>
      <c r="AQ120" s="17" t="str">
        <f ca="1">IF(ISNA($B120),"",IF($B120="","",IFERROR(_xll.BDP(TICKER,"DEEP_MEASURE_PERIOD_BROKER_VALUE","DEEP_MEASURE_ID_OVERRIDE",$C120,"DEEP_BROKER_ID_OVERRIDE",$F$7,"DEEP_PERIOD_OVERRIDE",AQ$11)*1,"")))</f>
        <v/>
      </c>
    </row>
    <row r="121" spans="2:43" x14ac:dyDescent="0.25">
      <c r="B121" t="s">
        <v>166</v>
      </c>
      <c r="C121" s="11">
        <v>389</v>
      </c>
      <c r="H121" t="str">
        <f t="shared" si="3"/>
        <v>Depreciation &amp; Amortization of Intangible Assets &gt; Amortization of Intangible Assets &gt; As % of Revenue</v>
      </c>
      <c r="I121" s="17" t="str">
        <f ca="1">IF(ISNA($B121),"",IF($B121="","",IFERROR(_xll.BDP(TICKER,"DEEP_MEASURE_PERIOD_BROKER_VALUE","DEEP_MEASURE_ID_OVERRIDE",$C121,"DEEP_BROKER_ID_OVERRIDE",$F$7,"DEEP_PERIOD_OVERRIDE",I$11)*1,"")))</f>
        <v/>
      </c>
      <c r="J121" s="17" t="str">
        <f ca="1">IF(ISNA($B121),"",IF($B121="","",IFERROR(_xll.BDP(TICKER,"DEEP_MEASURE_PERIOD_BROKER_VALUE","DEEP_MEASURE_ID_OVERRIDE",$C121,"DEEP_BROKER_ID_OVERRIDE",$F$7,"DEEP_PERIOD_OVERRIDE",J$11)*1,"")))</f>
        <v/>
      </c>
      <c r="K121" s="17" t="str">
        <f ca="1">IF(ISNA($B121),"",IF($B121="","",IFERROR(_xll.BDP(TICKER,"DEEP_MEASURE_PERIOD_BROKER_VALUE","DEEP_MEASURE_ID_OVERRIDE",$C121,"DEEP_BROKER_ID_OVERRIDE",$F$7,"DEEP_PERIOD_OVERRIDE",K$11)*1,"")))</f>
        <v/>
      </c>
      <c r="L121" s="17" t="str">
        <f ca="1">IF(ISNA($B121),"",IF($B121="","",IFERROR(_xll.BDP(TICKER,"DEEP_MEASURE_PERIOD_BROKER_VALUE","DEEP_MEASURE_ID_OVERRIDE",$C121,"DEEP_BROKER_ID_OVERRIDE",$F$7,"DEEP_PERIOD_OVERRIDE",L$11)*1,"")))</f>
        <v/>
      </c>
      <c r="M121" s="17" t="str">
        <f ca="1">IF(ISNA($B121),"",IF($B121="","",IFERROR(_xll.BDP(TICKER,"DEEP_MEASURE_PERIOD_BROKER_VALUE","DEEP_MEASURE_ID_OVERRIDE",$C121,"DEEP_BROKER_ID_OVERRIDE",$F$7,"DEEP_PERIOD_OVERRIDE",M$11)*1,"")))</f>
        <v/>
      </c>
      <c r="N121" s="17" t="str">
        <f ca="1">IF(ISNA($B121),"",IF($B121="","",IFERROR(_xll.BDP(TICKER,"DEEP_MEASURE_PERIOD_BROKER_VALUE","DEEP_MEASURE_ID_OVERRIDE",$C121,"DEEP_BROKER_ID_OVERRIDE",$F$7,"DEEP_PERIOD_OVERRIDE",N$11)*1,"")))</f>
        <v/>
      </c>
      <c r="O121" s="17" t="str">
        <f ca="1">IF(ISNA($B121),"",IF($B121="","",IFERROR(_xll.BDP(TICKER,"DEEP_MEASURE_PERIOD_BROKER_VALUE","DEEP_MEASURE_ID_OVERRIDE",$C121,"DEEP_BROKER_ID_OVERRIDE",$F$7,"DEEP_PERIOD_OVERRIDE",O$11)*1,"")))</f>
        <v/>
      </c>
      <c r="P121" s="17" t="str">
        <f ca="1">IF(ISNA($B121),"",IF($B121="","",IFERROR(_xll.BDP(TICKER,"DEEP_MEASURE_PERIOD_BROKER_VALUE","DEEP_MEASURE_ID_OVERRIDE",$C121,"DEEP_BROKER_ID_OVERRIDE",$F$7,"DEEP_PERIOD_OVERRIDE",P$11)*1,"")))</f>
        <v/>
      </c>
      <c r="Q121" s="17" t="str">
        <f ca="1">IF(ISNA($B121),"",IF($B121="","",IFERROR(_xll.BDP(TICKER,"DEEP_MEASURE_PERIOD_BROKER_VALUE","DEEP_MEASURE_ID_OVERRIDE",$C121,"DEEP_BROKER_ID_OVERRIDE",$F$7,"DEEP_PERIOD_OVERRIDE",Q$11)*1,"")))</f>
        <v/>
      </c>
      <c r="R121" s="17" t="str">
        <f ca="1">IF(ISNA($B121),"",IF($B121="","",IFERROR(_xll.BDP(TICKER,"DEEP_MEASURE_PERIOD_BROKER_VALUE","DEEP_MEASURE_ID_OVERRIDE",$C121,"DEEP_BROKER_ID_OVERRIDE",$F$7,"DEEP_PERIOD_OVERRIDE",R$11)*1,"")))</f>
        <v/>
      </c>
      <c r="S121" s="17" t="str">
        <f ca="1">IF(ISNA($B121),"",IF($B121="","",IFERROR(_xll.BDP(TICKER,"DEEP_MEASURE_PERIOD_BROKER_VALUE","DEEP_MEASURE_ID_OVERRIDE",$C121,"DEEP_BROKER_ID_OVERRIDE",$F$7,"DEEP_PERIOD_OVERRIDE",S$11)*1,"")))</f>
        <v/>
      </c>
      <c r="T121" s="17" t="str">
        <f ca="1">IF(ISNA($B121),"",IF($B121="","",IFERROR(_xll.BDP(TICKER,"DEEP_MEASURE_PERIOD_BROKER_VALUE","DEEP_MEASURE_ID_OVERRIDE",$C121,"DEEP_BROKER_ID_OVERRIDE",$F$7,"DEEP_PERIOD_OVERRIDE",T$11)*1,"")))</f>
        <v/>
      </c>
      <c r="U121" s="17" t="str">
        <f ca="1">IF(ISNA($B121),"",IF($B121="","",IFERROR(_xll.BDP(TICKER,"DEEP_MEASURE_PERIOD_BROKER_VALUE","DEEP_MEASURE_ID_OVERRIDE",$C121,"DEEP_BROKER_ID_OVERRIDE",$F$7,"DEEP_PERIOD_OVERRIDE",U$11)*1,"")))</f>
        <v/>
      </c>
      <c r="V121" s="17" t="str">
        <f ca="1">IF(ISNA($B121),"",IF($B121="","",IFERROR(_xll.BDP(TICKER,"DEEP_MEASURE_PERIOD_BROKER_VALUE","DEEP_MEASURE_ID_OVERRIDE",$C121,"DEEP_BROKER_ID_OVERRIDE",$F$7,"DEEP_PERIOD_OVERRIDE",V$11)*1,"")))</f>
        <v/>
      </c>
      <c r="W121" s="17" t="str">
        <f ca="1">IF(ISNA($B121),"",IF($B121="","",IFERROR(_xll.BDP(TICKER,"DEEP_MEASURE_PERIOD_BROKER_VALUE","DEEP_MEASURE_ID_OVERRIDE",$C121,"DEEP_BROKER_ID_OVERRIDE",$F$7,"DEEP_PERIOD_OVERRIDE",W$11)*1,"")))</f>
        <v/>
      </c>
      <c r="X121" s="17" t="str">
        <f ca="1">IF(ISNA($B121),"",IF($B121="","",IFERROR(_xll.BDP(TICKER,"DEEP_MEASURE_PERIOD_BROKER_VALUE","DEEP_MEASURE_ID_OVERRIDE",$C121,"DEEP_BROKER_ID_OVERRIDE",$F$7,"DEEP_PERIOD_OVERRIDE",X$11)*1,"")))</f>
        <v/>
      </c>
      <c r="Y121" s="17" t="str">
        <f ca="1">IF(ISNA($B121),"",IF($B121="","",IFERROR(_xll.BDP(TICKER,"DEEP_MEASURE_PERIOD_BROKER_VALUE","DEEP_MEASURE_ID_OVERRIDE",$C121,"DEEP_BROKER_ID_OVERRIDE",$F$7,"DEEP_PERIOD_OVERRIDE",Y$11)*1,"")))</f>
        <v/>
      </c>
      <c r="Z121" s="17" t="str">
        <f ca="1">IF(ISNA($B121),"",IF($B121="","",IFERROR(_xll.BDP(TICKER,"DEEP_MEASURE_PERIOD_BROKER_VALUE","DEEP_MEASURE_ID_OVERRIDE",$C121,"DEEP_BROKER_ID_OVERRIDE",$F$7,"DEEP_PERIOD_OVERRIDE",Z$11)*1,"")))</f>
        <v/>
      </c>
      <c r="AA121" s="17" t="str">
        <f ca="1">IF(ISNA($B121),"",IF($B121="","",IFERROR(_xll.BDP(TICKER,"DEEP_MEASURE_PERIOD_BROKER_VALUE","DEEP_MEASURE_ID_OVERRIDE",$C121,"DEEP_BROKER_ID_OVERRIDE",$F$7,"DEEP_PERIOD_OVERRIDE",AA$11)*1,"")))</f>
        <v/>
      </c>
      <c r="AB121" s="17" t="str">
        <f ca="1">IF(ISNA($B121),"",IF($B121="","",IFERROR(_xll.BDP(TICKER,"DEEP_MEASURE_PERIOD_BROKER_VALUE","DEEP_MEASURE_ID_OVERRIDE",$C121,"DEEP_BROKER_ID_OVERRIDE",$F$7,"DEEP_PERIOD_OVERRIDE",AB$11)*1,"")))</f>
        <v/>
      </c>
      <c r="AC121" s="17" t="str">
        <f ca="1">IF(ISNA($B121),"",IF($B121="","",IFERROR(_xll.BDP(TICKER,"DEEP_MEASURE_PERIOD_BROKER_VALUE","DEEP_MEASURE_ID_OVERRIDE",$C121,"DEEP_BROKER_ID_OVERRIDE",$F$7,"DEEP_PERIOD_OVERRIDE",AC$11)*1,"")))</f>
        <v/>
      </c>
      <c r="AD121" s="17" t="str">
        <f ca="1">IF(ISNA($B121),"",IF($B121="","",IFERROR(_xll.BDP(TICKER,"DEEP_MEASURE_PERIOD_BROKER_VALUE","DEEP_MEASURE_ID_OVERRIDE",$C121,"DEEP_BROKER_ID_OVERRIDE",$F$7,"DEEP_PERIOD_OVERRIDE",AD$11)*1,"")))</f>
        <v/>
      </c>
      <c r="AE121" s="17" t="str">
        <f ca="1">IF(ISNA($B121),"",IF($B121="","",IFERROR(_xll.BDP(TICKER,"DEEP_MEASURE_PERIOD_BROKER_VALUE","DEEP_MEASURE_ID_OVERRIDE",$C121,"DEEP_BROKER_ID_OVERRIDE",$F$7,"DEEP_PERIOD_OVERRIDE",AE$11)*1,"")))</f>
        <v/>
      </c>
      <c r="AF121" s="17" t="str">
        <f ca="1">IF(ISNA($B121),"",IF($B121="","",IFERROR(_xll.BDP(TICKER,"DEEP_MEASURE_PERIOD_BROKER_VALUE","DEEP_MEASURE_ID_OVERRIDE",$C121,"DEEP_BROKER_ID_OVERRIDE",$F$7,"DEEP_PERIOD_OVERRIDE",AF$11)*1,"")))</f>
        <v/>
      </c>
      <c r="AG121" s="17" t="str">
        <f ca="1">IF(ISNA($B121),"",IF($B121="","",IFERROR(_xll.BDP(TICKER,"DEEP_MEASURE_PERIOD_BROKER_VALUE","DEEP_MEASURE_ID_OVERRIDE",$C121,"DEEP_BROKER_ID_OVERRIDE",$F$7,"DEEP_PERIOD_OVERRIDE",AG$11)*1,"")))</f>
        <v/>
      </c>
      <c r="AH121" s="17" t="str">
        <f ca="1">IF(ISNA($B121),"",IF($B121="","",IFERROR(_xll.BDP(TICKER,"DEEP_MEASURE_PERIOD_BROKER_VALUE","DEEP_MEASURE_ID_OVERRIDE",$C121,"DEEP_BROKER_ID_OVERRIDE",$F$7,"DEEP_PERIOD_OVERRIDE",AH$11)*1,"")))</f>
        <v/>
      </c>
      <c r="AI121" s="17" t="str">
        <f ca="1">IF(ISNA($B121),"",IF($B121="","",IFERROR(_xll.BDP(TICKER,"DEEP_MEASURE_PERIOD_BROKER_VALUE","DEEP_MEASURE_ID_OVERRIDE",$C121,"DEEP_BROKER_ID_OVERRIDE",$F$7,"DEEP_PERIOD_OVERRIDE",AI$11)*1,"")))</f>
        <v/>
      </c>
      <c r="AJ121" s="17" t="str">
        <f ca="1">IF(ISNA($B121),"",IF($B121="","",IFERROR(_xll.BDP(TICKER,"DEEP_MEASURE_PERIOD_BROKER_VALUE","DEEP_MEASURE_ID_OVERRIDE",$C121,"DEEP_BROKER_ID_OVERRIDE",$F$7,"DEEP_PERIOD_OVERRIDE",AJ$11)*1,"")))</f>
        <v/>
      </c>
      <c r="AK121" s="17" t="str">
        <f ca="1">IF(ISNA($B121),"",IF($B121="","",IFERROR(_xll.BDP(TICKER,"DEEP_MEASURE_PERIOD_BROKER_VALUE","DEEP_MEASURE_ID_OVERRIDE",$C121,"DEEP_BROKER_ID_OVERRIDE",$F$7,"DEEP_PERIOD_OVERRIDE",AK$11)*1,"")))</f>
        <v/>
      </c>
      <c r="AL121" s="17" t="str">
        <f ca="1">IF(ISNA($B121),"",IF($B121="","",IFERROR(_xll.BDP(TICKER,"DEEP_MEASURE_PERIOD_BROKER_VALUE","DEEP_MEASURE_ID_OVERRIDE",$C121,"DEEP_BROKER_ID_OVERRIDE",$F$7,"DEEP_PERIOD_OVERRIDE",AL$11)*1,"")))</f>
        <v/>
      </c>
      <c r="AM121" s="17" t="str">
        <f ca="1">IF(ISNA($B121),"",IF($B121="","",IFERROR(_xll.BDP(TICKER,"DEEP_MEASURE_PERIOD_BROKER_VALUE","DEEP_MEASURE_ID_OVERRIDE",$C121,"DEEP_BROKER_ID_OVERRIDE",$F$7,"DEEP_PERIOD_OVERRIDE",AM$11)*1,"")))</f>
        <v/>
      </c>
      <c r="AN121" s="17" t="str">
        <f ca="1">IF(ISNA($B121),"",IF($B121="","",IFERROR(_xll.BDP(TICKER,"DEEP_MEASURE_PERIOD_BROKER_VALUE","DEEP_MEASURE_ID_OVERRIDE",$C121,"DEEP_BROKER_ID_OVERRIDE",$F$7,"DEEP_PERIOD_OVERRIDE",AN$11)*1,"")))</f>
        <v/>
      </c>
      <c r="AO121" s="17" t="str">
        <f ca="1">IF(ISNA($B121),"",IF($B121="","",IFERROR(_xll.BDP(TICKER,"DEEP_MEASURE_PERIOD_BROKER_VALUE","DEEP_MEASURE_ID_OVERRIDE",$C121,"DEEP_BROKER_ID_OVERRIDE",$F$7,"DEEP_PERIOD_OVERRIDE",AO$11)*1,"")))</f>
        <v/>
      </c>
      <c r="AP121" s="17" t="str">
        <f ca="1">IF(ISNA($B121),"",IF($B121="","",IFERROR(_xll.BDP(TICKER,"DEEP_MEASURE_PERIOD_BROKER_VALUE","DEEP_MEASURE_ID_OVERRIDE",$C121,"DEEP_BROKER_ID_OVERRIDE",$F$7,"DEEP_PERIOD_OVERRIDE",AP$11)*1,"")))</f>
        <v/>
      </c>
      <c r="AQ121" s="17" t="str">
        <f ca="1">IF(ISNA($B121),"",IF($B121="","",IFERROR(_xll.BDP(TICKER,"DEEP_MEASURE_PERIOD_BROKER_VALUE","DEEP_MEASURE_ID_OVERRIDE",$C121,"DEEP_BROKER_ID_OVERRIDE",$F$7,"DEEP_PERIOD_OVERRIDE",AQ$11)*1,"")))</f>
        <v/>
      </c>
    </row>
    <row r="122" spans="2:43" x14ac:dyDescent="0.25">
      <c r="B122" t="s">
        <v>16</v>
      </c>
      <c r="C122" s="11">
        <v>613</v>
      </c>
      <c r="H122" t="str">
        <f t="shared" si="3"/>
        <v>Total Operating Expenses</v>
      </c>
      <c r="I122" s="17" t="str">
        <f ca="1">IF(ISNA($B122),"",IF($B122="","",IFERROR(_xll.BDP(TICKER,"DEEP_MEASURE_PERIOD_BROKER_VALUE","DEEP_MEASURE_ID_OVERRIDE",$C122,"DEEP_BROKER_ID_OVERRIDE",$F$7,"DEEP_PERIOD_OVERRIDE",I$11)*1,"")))</f>
        <v/>
      </c>
      <c r="J122" s="17" t="str">
        <f ca="1">IF(ISNA($B122),"",IF($B122="","",IFERROR(_xll.BDP(TICKER,"DEEP_MEASURE_PERIOD_BROKER_VALUE","DEEP_MEASURE_ID_OVERRIDE",$C122,"DEEP_BROKER_ID_OVERRIDE",$F$7,"DEEP_PERIOD_OVERRIDE",J$11)*1,"")))</f>
        <v/>
      </c>
      <c r="K122" s="17" t="str">
        <f ca="1">IF(ISNA($B122),"",IF($B122="","",IFERROR(_xll.BDP(TICKER,"DEEP_MEASURE_PERIOD_BROKER_VALUE","DEEP_MEASURE_ID_OVERRIDE",$C122,"DEEP_BROKER_ID_OVERRIDE",$F$7,"DEEP_PERIOD_OVERRIDE",K$11)*1,"")))</f>
        <v/>
      </c>
      <c r="L122" s="17" t="str">
        <f ca="1">IF(ISNA($B122),"",IF($B122="","",IFERROR(_xll.BDP(TICKER,"DEEP_MEASURE_PERIOD_BROKER_VALUE","DEEP_MEASURE_ID_OVERRIDE",$C122,"DEEP_BROKER_ID_OVERRIDE",$F$7,"DEEP_PERIOD_OVERRIDE",L$11)*1,"")))</f>
        <v/>
      </c>
      <c r="M122" s="17" t="str">
        <f ca="1">IF(ISNA($B122),"",IF($B122="","",IFERROR(_xll.BDP(TICKER,"DEEP_MEASURE_PERIOD_BROKER_VALUE","DEEP_MEASURE_ID_OVERRIDE",$C122,"DEEP_BROKER_ID_OVERRIDE",$F$7,"DEEP_PERIOD_OVERRIDE",M$11)*1,"")))</f>
        <v/>
      </c>
      <c r="N122" s="17" t="str">
        <f ca="1">IF(ISNA($B122),"",IF($B122="","",IFERROR(_xll.BDP(TICKER,"DEEP_MEASURE_PERIOD_BROKER_VALUE","DEEP_MEASURE_ID_OVERRIDE",$C122,"DEEP_BROKER_ID_OVERRIDE",$F$7,"DEEP_PERIOD_OVERRIDE",N$11)*1,"")))</f>
        <v/>
      </c>
      <c r="O122" s="17" t="str">
        <f ca="1">IF(ISNA($B122),"",IF($B122="","",IFERROR(_xll.BDP(TICKER,"DEEP_MEASURE_PERIOD_BROKER_VALUE","DEEP_MEASURE_ID_OVERRIDE",$C122,"DEEP_BROKER_ID_OVERRIDE",$F$7,"DEEP_PERIOD_OVERRIDE",O$11)*1,"")))</f>
        <v/>
      </c>
      <c r="P122" s="17" t="str">
        <f ca="1">IF(ISNA($B122),"",IF($B122="","",IFERROR(_xll.BDP(TICKER,"DEEP_MEASURE_PERIOD_BROKER_VALUE","DEEP_MEASURE_ID_OVERRIDE",$C122,"DEEP_BROKER_ID_OVERRIDE",$F$7,"DEEP_PERIOD_OVERRIDE",P$11)*1,"")))</f>
        <v/>
      </c>
      <c r="Q122" s="17" t="str">
        <f ca="1">IF(ISNA($B122),"",IF($B122="","",IFERROR(_xll.BDP(TICKER,"DEEP_MEASURE_PERIOD_BROKER_VALUE","DEEP_MEASURE_ID_OVERRIDE",$C122,"DEEP_BROKER_ID_OVERRIDE",$F$7,"DEEP_PERIOD_OVERRIDE",Q$11)*1,"")))</f>
        <v/>
      </c>
      <c r="R122" s="17" t="str">
        <f ca="1">IF(ISNA($B122),"",IF($B122="","",IFERROR(_xll.BDP(TICKER,"DEEP_MEASURE_PERIOD_BROKER_VALUE","DEEP_MEASURE_ID_OVERRIDE",$C122,"DEEP_BROKER_ID_OVERRIDE",$F$7,"DEEP_PERIOD_OVERRIDE",R$11)*1,"")))</f>
        <v/>
      </c>
      <c r="S122" s="17" t="str">
        <f ca="1">IF(ISNA($B122),"",IF($B122="","",IFERROR(_xll.BDP(TICKER,"DEEP_MEASURE_PERIOD_BROKER_VALUE","DEEP_MEASURE_ID_OVERRIDE",$C122,"DEEP_BROKER_ID_OVERRIDE",$F$7,"DEEP_PERIOD_OVERRIDE",S$11)*1,"")))</f>
        <v/>
      </c>
      <c r="T122" s="17" t="str">
        <f ca="1">IF(ISNA($B122),"",IF($B122="","",IFERROR(_xll.BDP(TICKER,"DEEP_MEASURE_PERIOD_BROKER_VALUE","DEEP_MEASURE_ID_OVERRIDE",$C122,"DEEP_BROKER_ID_OVERRIDE",$F$7,"DEEP_PERIOD_OVERRIDE",T$11)*1,"")))</f>
        <v/>
      </c>
      <c r="U122" s="17" t="str">
        <f ca="1">IF(ISNA($B122),"",IF($B122="","",IFERROR(_xll.BDP(TICKER,"DEEP_MEASURE_PERIOD_BROKER_VALUE","DEEP_MEASURE_ID_OVERRIDE",$C122,"DEEP_BROKER_ID_OVERRIDE",$F$7,"DEEP_PERIOD_OVERRIDE",U$11)*1,"")))</f>
        <v/>
      </c>
      <c r="V122" s="17" t="str">
        <f ca="1">IF(ISNA($B122),"",IF($B122="","",IFERROR(_xll.BDP(TICKER,"DEEP_MEASURE_PERIOD_BROKER_VALUE","DEEP_MEASURE_ID_OVERRIDE",$C122,"DEEP_BROKER_ID_OVERRIDE",$F$7,"DEEP_PERIOD_OVERRIDE",V$11)*1,"")))</f>
        <v/>
      </c>
      <c r="W122" s="17" t="str">
        <f ca="1">IF(ISNA($B122),"",IF($B122="","",IFERROR(_xll.BDP(TICKER,"DEEP_MEASURE_PERIOD_BROKER_VALUE","DEEP_MEASURE_ID_OVERRIDE",$C122,"DEEP_BROKER_ID_OVERRIDE",$F$7,"DEEP_PERIOD_OVERRIDE",W$11)*1,"")))</f>
        <v/>
      </c>
      <c r="X122" s="17" t="str">
        <f ca="1">IF(ISNA($B122),"",IF($B122="","",IFERROR(_xll.BDP(TICKER,"DEEP_MEASURE_PERIOD_BROKER_VALUE","DEEP_MEASURE_ID_OVERRIDE",$C122,"DEEP_BROKER_ID_OVERRIDE",$F$7,"DEEP_PERIOD_OVERRIDE",X$11)*1,"")))</f>
        <v/>
      </c>
      <c r="Y122" s="17" t="str">
        <f ca="1">IF(ISNA($B122),"",IF($B122="","",IFERROR(_xll.BDP(TICKER,"DEEP_MEASURE_PERIOD_BROKER_VALUE","DEEP_MEASURE_ID_OVERRIDE",$C122,"DEEP_BROKER_ID_OVERRIDE",$F$7,"DEEP_PERIOD_OVERRIDE",Y$11)*1,"")))</f>
        <v/>
      </c>
      <c r="Z122" s="17" t="str">
        <f ca="1">IF(ISNA($B122),"",IF($B122="","",IFERROR(_xll.BDP(TICKER,"DEEP_MEASURE_PERIOD_BROKER_VALUE","DEEP_MEASURE_ID_OVERRIDE",$C122,"DEEP_BROKER_ID_OVERRIDE",$F$7,"DEEP_PERIOD_OVERRIDE",Z$11)*1,"")))</f>
        <v/>
      </c>
      <c r="AA122" s="17" t="str">
        <f ca="1">IF(ISNA($B122),"",IF($B122="","",IFERROR(_xll.BDP(TICKER,"DEEP_MEASURE_PERIOD_BROKER_VALUE","DEEP_MEASURE_ID_OVERRIDE",$C122,"DEEP_BROKER_ID_OVERRIDE",$F$7,"DEEP_PERIOD_OVERRIDE",AA$11)*1,"")))</f>
        <v/>
      </c>
      <c r="AB122" s="17" t="str">
        <f ca="1">IF(ISNA($B122),"",IF($B122="","",IFERROR(_xll.BDP(TICKER,"DEEP_MEASURE_PERIOD_BROKER_VALUE","DEEP_MEASURE_ID_OVERRIDE",$C122,"DEEP_BROKER_ID_OVERRIDE",$F$7,"DEEP_PERIOD_OVERRIDE",AB$11)*1,"")))</f>
        <v/>
      </c>
      <c r="AC122" s="17" t="str">
        <f ca="1">IF(ISNA($B122),"",IF($B122="","",IFERROR(_xll.BDP(TICKER,"DEEP_MEASURE_PERIOD_BROKER_VALUE","DEEP_MEASURE_ID_OVERRIDE",$C122,"DEEP_BROKER_ID_OVERRIDE",$F$7,"DEEP_PERIOD_OVERRIDE",AC$11)*1,"")))</f>
        <v/>
      </c>
      <c r="AD122" s="17" t="str">
        <f ca="1">IF(ISNA($B122),"",IF($B122="","",IFERROR(_xll.BDP(TICKER,"DEEP_MEASURE_PERIOD_BROKER_VALUE","DEEP_MEASURE_ID_OVERRIDE",$C122,"DEEP_BROKER_ID_OVERRIDE",$F$7,"DEEP_PERIOD_OVERRIDE",AD$11)*1,"")))</f>
        <v/>
      </c>
      <c r="AE122" s="17" t="str">
        <f ca="1">IF(ISNA($B122),"",IF($B122="","",IFERROR(_xll.BDP(TICKER,"DEEP_MEASURE_PERIOD_BROKER_VALUE","DEEP_MEASURE_ID_OVERRIDE",$C122,"DEEP_BROKER_ID_OVERRIDE",$F$7,"DEEP_PERIOD_OVERRIDE",AE$11)*1,"")))</f>
        <v/>
      </c>
      <c r="AF122" s="17" t="str">
        <f ca="1">IF(ISNA($B122),"",IF($B122="","",IFERROR(_xll.BDP(TICKER,"DEEP_MEASURE_PERIOD_BROKER_VALUE","DEEP_MEASURE_ID_OVERRIDE",$C122,"DEEP_BROKER_ID_OVERRIDE",$F$7,"DEEP_PERIOD_OVERRIDE",AF$11)*1,"")))</f>
        <v/>
      </c>
      <c r="AG122" s="17" t="str">
        <f ca="1">IF(ISNA($B122),"",IF($B122="","",IFERROR(_xll.BDP(TICKER,"DEEP_MEASURE_PERIOD_BROKER_VALUE","DEEP_MEASURE_ID_OVERRIDE",$C122,"DEEP_BROKER_ID_OVERRIDE",$F$7,"DEEP_PERIOD_OVERRIDE",AG$11)*1,"")))</f>
        <v/>
      </c>
      <c r="AH122" s="17" t="str">
        <f ca="1">IF(ISNA($B122),"",IF($B122="","",IFERROR(_xll.BDP(TICKER,"DEEP_MEASURE_PERIOD_BROKER_VALUE","DEEP_MEASURE_ID_OVERRIDE",$C122,"DEEP_BROKER_ID_OVERRIDE",$F$7,"DEEP_PERIOD_OVERRIDE",AH$11)*1,"")))</f>
        <v/>
      </c>
      <c r="AI122" s="17" t="str">
        <f ca="1">IF(ISNA($B122),"",IF($B122="","",IFERROR(_xll.BDP(TICKER,"DEEP_MEASURE_PERIOD_BROKER_VALUE","DEEP_MEASURE_ID_OVERRIDE",$C122,"DEEP_BROKER_ID_OVERRIDE",$F$7,"DEEP_PERIOD_OVERRIDE",AI$11)*1,"")))</f>
        <v/>
      </c>
      <c r="AJ122" s="17" t="str">
        <f ca="1">IF(ISNA($B122),"",IF($B122="","",IFERROR(_xll.BDP(TICKER,"DEEP_MEASURE_PERIOD_BROKER_VALUE","DEEP_MEASURE_ID_OVERRIDE",$C122,"DEEP_BROKER_ID_OVERRIDE",$F$7,"DEEP_PERIOD_OVERRIDE",AJ$11)*1,"")))</f>
        <v/>
      </c>
      <c r="AK122" s="17" t="str">
        <f ca="1">IF(ISNA($B122),"",IF($B122="","",IFERROR(_xll.BDP(TICKER,"DEEP_MEASURE_PERIOD_BROKER_VALUE","DEEP_MEASURE_ID_OVERRIDE",$C122,"DEEP_BROKER_ID_OVERRIDE",$F$7,"DEEP_PERIOD_OVERRIDE",AK$11)*1,"")))</f>
        <v/>
      </c>
      <c r="AL122" s="17" t="str">
        <f ca="1">IF(ISNA($B122),"",IF($B122="","",IFERROR(_xll.BDP(TICKER,"DEEP_MEASURE_PERIOD_BROKER_VALUE","DEEP_MEASURE_ID_OVERRIDE",$C122,"DEEP_BROKER_ID_OVERRIDE",$F$7,"DEEP_PERIOD_OVERRIDE",AL$11)*1,"")))</f>
        <v/>
      </c>
      <c r="AM122" s="17" t="str">
        <f ca="1">IF(ISNA($B122),"",IF($B122="","",IFERROR(_xll.BDP(TICKER,"DEEP_MEASURE_PERIOD_BROKER_VALUE","DEEP_MEASURE_ID_OVERRIDE",$C122,"DEEP_BROKER_ID_OVERRIDE",$F$7,"DEEP_PERIOD_OVERRIDE",AM$11)*1,"")))</f>
        <v/>
      </c>
      <c r="AN122" s="17" t="str">
        <f ca="1">IF(ISNA($B122),"",IF($B122="","",IFERROR(_xll.BDP(TICKER,"DEEP_MEASURE_PERIOD_BROKER_VALUE","DEEP_MEASURE_ID_OVERRIDE",$C122,"DEEP_BROKER_ID_OVERRIDE",$F$7,"DEEP_PERIOD_OVERRIDE",AN$11)*1,"")))</f>
        <v/>
      </c>
      <c r="AO122" s="17" t="str">
        <f ca="1">IF(ISNA($B122),"",IF($B122="","",IFERROR(_xll.BDP(TICKER,"DEEP_MEASURE_PERIOD_BROKER_VALUE","DEEP_MEASURE_ID_OVERRIDE",$C122,"DEEP_BROKER_ID_OVERRIDE",$F$7,"DEEP_PERIOD_OVERRIDE",AO$11)*1,"")))</f>
        <v/>
      </c>
      <c r="AP122" s="17" t="str">
        <f ca="1">IF(ISNA($B122),"",IF($B122="","",IFERROR(_xll.BDP(TICKER,"DEEP_MEASURE_PERIOD_BROKER_VALUE","DEEP_MEASURE_ID_OVERRIDE",$C122,"DEEP_BROKER_ID_OVERRIDE",$F$7,"DEEP_PERIOD_OVERRIDE",AP$11)*1,"")))</f>
        <v/>
      </c>
      <c r="AQ122" s="17" t="str">
        <f ca="1">IF(ISNA($B122),"",IF($B122="","",IFERROR(_xll.BDP(TICKER,"DEEP_MEASURE_PERIOD_BROKER_VALUE","DEEP_MEASURE_ID_OVERRIDE",$C122,"DEEP_BROKER_ID_OVERRIDE",$F$7,"DEEP_PERIOD_OVERRIDE",AQ$11)*1,"")))</f>
        <v/>
      </c>
    </row>
    <row r="123" spans="2:43" x14ac:dyDescent="0.25">
      <c r="B123" t="s">
        <v>167</v>
      </c>
      <c r="C123" s="11">
        <v>3191</v>
      </c>
      <c r="H123" t="str">
        <f t="shared" si="3"/>
        <v>Total Costs</v>
      </c>
      <c r="I123" s="17" t="str">
        <f ca="1">IF(ISNA($B123),"",IF($B123="","",IFERROR(_xll.BDP(TICKER,"DEEP_MEASURE_PERIOD_BROKER_VALUE","DEEP_MEASURE_ID_OVERRIDE",$C123,"DEEP_BROKER_ID_OVERRIDE",$F$7,"DEEP_PERIOD_OVERRIDE",I$11)*1,"")))</f>
        <v/>
      </c>
      <c r="J123" s="17" t="str">
        <f ca="1">IF(ISNA($B123),"",IF($B123="","",IFERROR(_xll.BDP(TICKER,"DEEP_MEASURE_PERIOD_BROKER_VALUE","DEEP_MEASURE_ID_OVERRIDE",$C123,"DEEP_BROKER_ID_OVERRIDE",$F$7,"DEEP_PERIOD_OVERRIDE",J$11)*1,"")))</f>
        <v/>
      </c>
      <c r="K123" s="17" t="str">
        <f ca="1">IF(ISNA($B123),"",IF($B123="","",IFERROR(_xll.BDP(TICKER,"DEEP_MEASURE_PERIOD_BROKER_VALUE","DEEP_MEASURE_ID_OVERRIDE",$C123,"DEEP_BROKER_ID_OVERRIDE",$F$7,"DEEP_PERIOD_OVERRIDE",K$11)*1,"")))</f>
        <v/>
      </c>
      <c r="L123" s="17" t="str">
        <f ca="1">IF(ISNA($B123),"",IF($B123="","",IFERROR(_xll.BDP(TICKER,"DEEP_MEASURE_PERIOD_BROKER_VALUE","DEEP_MEASURE_ID_OVERRIDE",$C123,"DEEP_BROKER_ID_OVERRIDE",$F$7,"DEEP_PERIOD_OVERRIDE",L$11)*1,"")))</f>
        <v/>
      </c>
      <c r="M123" s="17" t="str">
        <f ca="1">IF(ISNA($B123),"",IF($B123="","",IFERROR(_xll.BDP(TICKER,"DEEP_MEASURE_PERIOD_BROKER_VALUE","DEEP_MEASURE_ID_OVERRIDE",$C123,"DEEP_BROKER_ID_OVERRIDE",$F$7,"DEEP_PERIOD_OVERRIDE",M$11)*1,"")))</f>
        <v/>
      </c>
      <c r="N123" s="17" t="str">
        <f ca="1">IF(ISNA($B123),"",IF($B123="","",IFERROR(_xll.BDP(TICKER,"DEEP_MEASURE_PERIOD_BROKER_VALUE","DEEP_MEASURE_ID_OVERRIDE",$C123,"DEEP_BROKER_ID_OVERRIDE",$F$7,"DEEP_PERIOD_OVERRIDE",N$11)*1,"")))</f>
        <v/>
      </c>
      <c r="O123" s="17" t="str">
        <f ca="1">IF(ISNA($B123),"",IF($B123="","",IFERROR(_xll.BDP(TICKER,"DEEP_MEASURE_PERIOD_BROKER_VALUE","DEEP_MEASURE_ID_OVERRIDE",$C123,"DEEP_BROKER_ID_OVERRIDE",$F$7,"DEEP_PERIOD_OVERRIDE",O$11)*1,"")))</f>
        <v/>
      </c>
      <c r="P123" s="17" t="str">
        <f ca="1">IF(ISNA($B123),"",IF($B123="","",IFERROR(_xll.BDP(TICKER,"DEEP_MEASURE_PERIOD_BROKER_VALUE","DEEP_MEASURE_ID_OVERRIDE",$C123,"DEEP_BROKER_ID_OVERRIDE",$F$7,"DEEP_PERIOD_OVERRIDE",P$11)*1,"")))</f>
        <v/>
      </c>
      <c r="Q123" s="17" t="str">
        <f ca="1">IF(ISNA($B123),"",IF($B123="","",IFERROR(_xll.BDP(TICKER,"DEEP_MEASURE_PERIOD_BROKER_VALUE","DEEP_MEASURE_ID_OVERRIDE",$C123,"DEEP_BROKER_ID_OVERRIDE",$F$7,"DEEP_PERIOD_OVERRIDE",Q$11)*1,"")))</f>
        <v/>
      </c>
      <c r="R123" s="17" t="str">
        <f ca="1">IF(ISNA($B123),"",IF($B123="","",IFERROR(_xll.BDP(TICKER,"DEEP_MEASURE_PERIOD_BROKER_VALUE","DEEP_MEASURE_ID_OVERRIDE",$C123,"DEEP_BROKER_ID_OVERRIDE",$F$7,"DEEP_PERIOD_OVERRIDE",R$11)*1,"")))</f>
        <v/>
      </c>
      <c r="S123" s="17" t="str">
        <f ca="1">IF(ISNA($B123),"",IF($B123="","",IFERROR(_xll.BDP(TICKER,"DEEP_MEASURE_PERIOD_BROKER_VALUE","DEEP_MEASURE_ID_OVERRIDE",$C123,"DEEP_BROKER_ID_OVERRIDE",$F$7,"DEEP_PERIOD_OVERRIDE",S$11)*1,"")))</f>
        <v/>
      </c>
      <c r="T123" s="17" t="str">
        <f ca="1">IF(ISNA($B123),"",IF($B123="","",IFERROR(_xll.BDP(TICKER,"DEEP_MEASURE_PERIOD_BROKER_VALUE","DEEP_MEASURE_ID_OVERRIDE",$C123,"DEEP_BROKER_ID_OVERRIDE",$F$7,"DEEP_PERIOD_OVERRIDE",T$11)*1,"")))</f>
        <v/>
      </c>
      <c r="U123" s="17" t="str">
        <f ca="1">IF(ISNA($B123),"",IF($B123="","",IFERROR(_xll.BDP(TICKER,"DEEP_MEASURE_PERIOD_BROKER_VALUE","DEEP_MEASURE_ID_OVERRIDE",$C123,"DEEP_BROKER_ID_OVERRIDE",$F$7,"DEEP_PERIOD_OVERRIDE",U$11)*1,"")))</f>
        <v/>
      </c>
      <c r="V123" s="17" t="str">
        <f ca="1">IF(ISNA($B123),"",IF($B123="","",IFERROR(_xll.BDP(TICKER,"DEEP_MEASURE_PERIOD_BROKER_VALUE","DEEP_MEASURE_ID_OVERRIDE",$C123,"DEEP_BROKER_ID_OVERRIDE",$F$7,"DEEP_PERIOD_OVERRIDE",V$11)*1,"")))</f>
        <v/>
      </c>
      <c r="W123" s="17" t="str">
        <f ca="1">IF(ISNA($B123),"",IF($B123="","",IFERROR(_xll.BDP(TICKER,"DEEP_MEASURE_PERIOD_BROKER_VALUE","DEEP_MEASURE_ID_OVERRIDE",$C123,"DEEP_BROKER_ID_OVERRIDE",$F$7,"DEEP_PERIOD_OVERRIDE",W$11)*1,"")))</f>
        <v/>
      </c>
      <c r="X123" s="17" t="str">
        <f ca="1">IF(ISNA($B123),"",IF($B123="","",IFERROR(_xll.BDP(TICKER,"DEEP_MEASURE_PERIOD_BROKER_VALUE","DEEP_MEASURE_ID_OVERRIDE",$C123,"DEEP_BROKER_ID_OVERRIDE",$F$7,"DEEP_PERIOD_OVERRIDE",X$11)*1,"")))</f>
        <v/>
      </c>
      <c r="Y123" s="17" t="str">
        <f ca="1">IF(ISNA($B123),"",IF($B123="","",IFERROR(_xll.BDP(TICKER,"DEEP_MEASURE_PERIOD_BROKER_VALUE","DEEP_MEASURE_ID_OVERRIDE",$C123,"DEEP_BROKER_ID_OVERRIDE",$F$7,"DEEP_PERIOD_OVERRIDE",Y$11)*1,"")))</f>
        <v/>
      </c>
      <c r="Z123" s="17" t="str">
        <f ca="1">IF(ISNA($B123),"",IF($B123="","",IFERROR(_xll.BDP(TICKER,"DEEP_MEASURE_PERIOD_BROKER_VALUE","DEEP_MEASURE_ID_OVERRIDE",$C123,"DEEP_BROKER_ID_OVERRIDE",$F$7,"DEEP_PERIOD_OVERRIDE",Z$11)*1,"")))</f>
        <v/>
      </c>
      <c r="AA123" s="17" t="str">
        <f ca="1">IF(ISNA($B123),"",IF($B123="","",IFERROR(_xll.BDP(TICKER,"DEEP_MEASURE_PERIOD_BROKER_VALUE","DEEP_MEASURE_ID_OVERRIDE",$C123,"DEEP_BROKER_ID_OVERRIDE",$F$7,"DEEP_PERIOD_OVERRIDE",AA$11)*1,"")))</f>
        <v/>
      </c>
      <c r="AB123" s="17" t="str">
        <f ca="1">IF(ISNA($B123),"",IF($B123="","",IFERROR(_xll.BDP(TICKER,"DEEP_MEASURE_PERIOD_BROKER_VALUE","DEEP_MEASURE_ID_OVERRIDE",$C123,"DEEP_BROKER_ID_OVERRIDE",$F$7,"DEEP_PERIOD_OVERRIDE",AB$11)*1,"")))</f>
        <v/>
      </c>
      <c r="AC123" s="17" t="str">
        <f ca="1">IF(ISNA($B123),"",IF($B123="","",IFERROR(_xll.BDP(TICKER,"DEEP_MEASURE_PERIOD_BROKER_VALUE","DEEP_MEASURE_ID_OVERRIDE",$C123,"DEEP_BROKER_ID_OVERRIDE",$F$7,"DEEP_PERIOD_OVERRIDE",AC$11)*1,"")))</f>
        <v/>
      </c>
      <c r="AD123" s="17" t="str">
        <f ca="1">IF(ISNA($B123),"",IF($B123="","",IFERROR(_xll.BDP(TICKER,"DEEP_MEASURE_PERIOD_BROKER_VALUE","DEEP_MEASURE_ID_OVERRIDE",$C123,"DEEP_BROKER_ID_OVERRIDE",$F$7,"DEEP_PERIOD_OVERRIDE",AD$11)*1,"")))</f>
        <v/>
      </c>
      <c r="AE123" s="17" t="str">
        <f ca="1">IF(ISNA($B123),"",IF($B123="","",IFERROR(_xll.BDP(TICKER,"DEEP_MEASURE_PERIOD_BROKER_VALUE","DEEP_MEASURE_ID_OVERRIDE",$C123,"DEEP_BROKER_ID_OVERRIDE",$F$7,"DEEP_PERIOD_OVERRIDE",AE$11)*1,"")))</f>
        <v/>
      </c>
      <c r="AF123" s="17" t="str">
        <f ca="1">IF(ISNA($B123),"",IF($B123="","",IFERROR(_xll.BDP(TICKER,"DEEP_MEASURE_PERIOD_BROKER_VALUE","DEEP_MEASURE_ID_OVERRIDE",$C123,"DEEP_BROKER_ID_OVERRIDE",$F$7,"DEEP_PERIOD_OVERRIDE",AF$11)*1,"")))</f>
        <v/>
      </c>
      <c r="AG123" s="17" t="str">
        <f ca="1">IF(ISNA($B123),"",IF($B123="","",IFERROR(_xll.BDP(TICKER,"DEEP_MEASURE_PERIOD_BROKER_VALUE","DEEP_MEASURE_ID_OVERRIDE",$C123,"DEEP_BROKER_ID_OVERRIDE",$F$7,"DEEP_PERIOD_OVERRIDE",AG$11)*1,"")))</f>
        <v/>
      </c>
      <c r="AH123" s="17" t="str">
        <f ca="1">IF(ISNA($B123),"",IF($B123="","",IFERROR(_xll.BDP(TICKER,"DEEP_MEASURE_PERIOD_BROKER_VALUE","DEEP_MEASURE_ID_OVERRIDE",$C123,"DEEP_BROKER_ID_OVERRIDE",$F$7,"DEEP_PERIOD_OVERRIDE",AH$11)*1,"")))</f>
        <v/>
      </c>
      <c r="AI123" s="17" t="str">
        <f ca="1">IF(ISNA($B123),"",IF($B123="","",IFERROR(_xll.BDP(TICKER,"DEEP_MEASURE_PERIOD_BROKER_VALUE","DEEP_MEASURE_ID_OVERRIDE",$C123,"DEEP_BROKER_ID_OVERRIDE",$F$7,"DEEP_PERIOD_OVERRIDE",AI$11)*1,"")))</f>
        <v/>
      </c>
      <c r="AJ123" s="17" t="str">
        <f ca="1">IF(ISNA($B123),"",IF($B123="","",IFERROR(_xll.BDP(TICKER,"DEEP_MEASURE_PERIOD_BROKER_VALUE","DEEP_MEASURE_ID_OVERRIDE",$C123,"DEEP_BROKER_ID_OVERRIDE",$F$7,"DEEP_PERIOD_OVERRIDE",AJ$11)*1,"")))</f>
        <v/>
      </c>
      <c r="AK123" s="17" t="str">
        <f ca="1">IF(ISNA($B123),"",IF($B123="","",IFERROR(_xll.BDP(TICKER,"DEEP_MEASURE_PERIOD_BROKER_VALUE","DEEP_MEASURE_ID_OVERRIDE",$C123,"DEEP_BROKER_ID_OVERRIDE",$F$7,"DEEP_PERIOD_OVERRIDE",AK$11)*1,"")))</f>
        <v/>
      </c>
      <c r="AL123" s="17" t="str">
        <f ca="1">IF(ISNA($B123),"",IF($B123="","",IFERROR(_xll.BDP(TICKER,"DEEP_MEASURE_PERIOD_BROKER_VALUE","DEEP_MEASURE_ID_OVERRIDE",$C123,"DEEP_BROKER_ID_OVERRIDE",$F$7,"DEEP_PERIOD_OVERRIDE",AL$11)*1,"")))</f>
        <v/>
      </c>
      <c r="AM123" s="17" t="str">
        <f ca="1">IF(ISNA($B123),"",IF($B123="","",IFERROR(_xll.BDP(TICKER,"DEEP_MEASURE_PERIOD_BROKER_VALUE","DEEP_MEASURE_ID_OVERRIDE",$C123,"DEEP_BROKER_ID_OVERRIDE",$F$7,"DEEP_PERIOD_OVERRIDE",AM$11)*1,"")))</f>
        <v/>
      </c>
      <c r="AN123" s="17" t="str">
        <f ca="1">IF(ISNA($B123),"",IF($B123="","",IFERROR(_xll.BDP(TICKER,"DEEP_MEASURE_PERIOD_BROKER_VALUE","DEEP_MEASURE_ID_OVERRIDE",$C123,"DEEP_BROKER_ID_OVERRIDE",$F$7,"DEEP_PERIOD_OVERRIDE",AN$11)*1,"")))</f>
        <v/>
      </c>
      <c r="AO123" s="17" t="str">
        <f ca="1">IF(ISNA($B123),"",IF($B123="","",IFERROR(_xll.BDP(TICKER,"DEEP_MEASURE_PERIOD_BROKER_VALUE","DEEP_MEASURE_ID_OVERRIDE",$C123,"DEEP_BROKER_ID_OVERRIDE",$F$7,"DEEP_PERIOD_OVERRIDE",AO$11)*1,"")))</f>
        <v/>
      </c>
      <c r="AP123" s="17" t="str">
        <f ca="1">IF(ISNA($B123),"",IF($B123="","",IFERROR(_xll.BDP(TICKER,"DEEP_MEASURE_PERIOD_BROKER_VALUE","DEEP_MEASURE_ID_OVERRIDE",$C123,"DEEP_BROKER_ID_OVERRIDE",$F$7,"DEEP_PERIOD_OVERRIDE",AP$11)*1,"")))</f>
        <v/>
      </c>
      <c r="AQ123" s="17" t="str">
        <f ca="1">IF(ISNA($B123),"",IF($B123="","",IFERROR(_xll.BDP(TICKER,"DEEP_MEASURE_PERIOD_BROKER_VALUE","DEEP_MEASURE_ID_OVERRIDE",$C123,"DEEP_BROKER_ID_OVERRIDE",$F$7,"DEEP_PERIOD_OVERRIDE",AQ$11)*1,"")))</f>
        <v/>
      </c>
    </row>
    <row r="124" spans="2:43" x14ac:dyDescent="0.25">
      <c r="B124" t="s">
        <v>17</v>
      </c>
      <c r="C124" s="11">
        <v>534</v>
      </c>
      <c r="H124" t="str">
        <f t="shared" si="3"/>
        <v>Operating Income</v>
      </c>
      <c r="I124" s="17" t="str">
        <f ca="1">IF(ISNA($B124),"",IF($B124="","",IFERROR(_xll.BDP(TICKER,"DEEP_MEASURE_PERIOD_BROKER_VALUE","DEEP_MEASURE_ID_OVERRIDE",$C124,"DEEP_BROKER_ID_OVERRIDE",$F$7,"DEEP_PERIOD_OVERRIDE",I$11)*1,"")))</f>
        <v/>
      </c>
      <c r="J124" s="17" t="str">
        <f ca="1">IF(ISNA($B124),"",IF($B124="","",IFERROR(_xll.BDP(TICKER,"DEEP_MEASURE_PERIOD_BROKER_VALUE","DEEP_MEASURE_ID_OVERRIDE",$C124,"DEEP_BROKER_ID_OVERRIDE",$F$7,"DEEP_PERIOD_OVERRIDE",J$11)*1,"")))</f>
        <v/>
      </c>
      <c r="K124" s="17" t="str">
        <f ca="1">IF(ISNA($B124),"",IF($B124="","",IFERROR(_xll.BDP(TICKER,"DEEP_MEASURE_PERIOD_BROKER_VALUE","DEEP_MEASURE_ID_OVERRIDE",$C124,"DEEP_BROKER_ID_OVERRIDE",$F$7,"DEEP_PERIOD_OVERRIDE",K$11)*1,"")))</f>
        <v/>
      </c>
      <c r="L124" s="17" t="str">
        <f ca="1">IF(ISNA($B124),"",IF($B124="","",IFERROR(_xll.BDP(TICKER,"DEEP_MEASURE_PERIOD_BROKER_VALUE","DEEP_MEASURE_ID_OVERRIDE",$C124,"DEEP_BROKER_ID_OVERRIDE",$F$7,"DEEP_PERIOD_OVERRIDE",L$11)*1,"")))</f>
        <v/>
      </c>
      <c r="M124" s="17" t="str">
        <f ca="1">IF(ISNA($B124),"",IF($B124="","",IFERROR(_xll.BDP(TICKER,"DEEP_MEASURE_PERIOD_BROKER_VALUE","DEEP_MEASURE_ID_OVERRIDE",$C124,"DEEP_BROKER_ID_OVERRIDE",$F$7,"DEEP_PERIOD_OVERRIDE",M$11)*1,"")))</f>
        <v/>
      </c>
      <c r="N124" s="17" t="str">
        <f ca="1">IF(ISNA($B124),"",IF($B124="","",IFERROR(_xll.BDP(TICKER,"DEEP_MEASURE_PERIOD_BROKER_VALUE","DEEP_MEASURE_ID_OVERRIDE",$C124,"DEEP_BROKER_ID_OVERRIDE",$F$7,"DEEP_PERIOD_OVERRIDE",N$11)*1,"")))</f>
        <v/>
      </c>
      <c r="O124" s="17" t="str">
        <f ca="1">IF(ISNA($B124),"",IF($B124="","",IFERROR(_xll.BDP(TICKER,"DEEP_MEASURE_PERIOD_BROKER_VALUE","DEEP_MEASURE_ID_OVERRIDE",$C124,"DEEP_BROKER_ID_OVERRIDE",$F$7,"DEEP_PERIOD_OVERRIDE",O$11)*1,"")))</f>
        <v/>
      </c>
      <c r="P124" s="17" t="str">
        <f ca="1">IF(ISNA($B124),"",IF($B124="","",IFERROR(_xll.BDP(TICKER,"DEEP_MEASURE_PERIOD_BROKER_VALUE","DEEP_MEASURE_ID_OVERRIDE",$C124,"DEEP_BROKER_ID_OVERRIDE",$F$7,"DEEP_PERIOD_OVERRIDE",P$11)*1,"")))</f>
        <v/>
      </c>
      <c r="Q124" s="17" t="str">
        <f ca="1">IF(ISNA($B124),"",IF($B124="","",IFERROR(_xll.BDP(TICKER,"DEEP_MEASURE_PERIOD_BROKER_VALUE","DEEP_MEASURE_ID_OVERRIDE",$C124,"DEEP_BROKER_ID_OVERRIDE",$F$7,"DEEP_PERIOD_OVERRIDE",Q$11)*1,"")))</f>
        <v/>
      </c>
      <c r="R124" s="17" t="str">
        <f ca="1">IF(ISNA($B124),"",IF($B124="","",IFERROR(_xll.BDP(TICKER,"DEEP_MEASURE_PERIOD_BROKER_VALUE","DEEP_MEASURE_ID_OVERRIDE",$C124,"DEEP_BROKER_ID_OVERRIDE",$F$7,"DEEP_PERIOD_OVERRIDE",R$11)*1,"")))</f>
        <v/>
      </c>
      <c r="S124" s="17" t="str">
        <f ca="1">IF(ISNA($B124),"",IF($B124="","",IFERROR(_xll.BDP(TICKER,"DEEP_MEASURE_PERIOD_BROKER_VALUE","DEEP_MEASURE_ID_OVERRIDE",$C124,"DEEP_BROKER_ID_OVERRIDE",$F$7,"DEEP_PERIOD_OVERRIDE",S$11)*1,"")))</f>
        <v/>
      </c>
      <c r="T124" s="17" t="str">
        <f ca="1">IF(ISNA($B124),"",IF($B124="","",IFERROR(_xll.BDP(TICKER,"DEEP_MEASURE_PERIOD_BROKER_VALUE","DEEP_MEASURE_ID_OVERRIDE",$C124,"DEEP_BROKER_ID_OVERRIDE",$F$7,"DEEP_PERIOD_OVERRIDE",T$11)*1,"")))</f>
        <v/>
      </c>
      <c r="U124" s="17" t="str">
        <f ca="1">IF(ISNA($B124),"",IF($B124="","",IFERROR(_xll.BDP(TICKER,"DEEP_MEASURE_PERIOD_BROKER_VALUE","DEEP_MEASURE_ID_OVERRIDE",$C124,"DEEP_BROKER_ID_OVERRIDE",$F$7,"DEEP_PERIOD_OVERRIDE",U$11)*1,"")))</f>
        <v/>
      </c>
      <c r="V124" s="17" t="str">
        <f ca="1">IF(ISNA($B124),"",IF($B124="","",IFERROR(_xll.BDP(TICKER,"DEEP_MEASURE_PERIOD_BROKER_VALUE","DEEP_MEASURE_ID_OVERRIDE",$C124,"DEEP_BROKER_ID_OVERRIDE",$F$7,"DEEP_PERIOD_OVERRIDE",V$11)*1,"")))</f>
        <v/>
      </c>
      <c r="W124" s="17" t="str">
        <f ca="1">IF(ISNA($B124),"",IF($B124="","",IFERROR(_xll.BDP(TICKER,"DEEP_MEASURE_PERIOD_BROKER_VALUE","DEEP_MEASURE_ID_OVERRIDE",$C124,"DEEP_BROKER_ID_OVERRIDE",$F$7,"DEEP_PERIOD_OVERRIDE",W$11)*1,"")))</f>
        <v/>
      </c>
      <c r="X124" s="17" t="str">
        <f ca="1">IF(ISNA($B124),"",IF($B124="","",IFERROR(_xll.BDP(TICKER,"DEEP_MEASURE_PERIOD_BROKER_VALUE","DEEP_MEASURE_ID_OVERRIDE",$C124,"DEEP_BROKER_ID_OVERRIDE",$F$7,"DEEP_PERIOD_OVERRIDE",X$11)*1,"")))</f>
        <v/>
      </c>
      <c r="Y124" s="17" t="str">
        <f ca="1">IF(ISNA($B124),"",IF($B124="","",IFERROR(_xll.BDP(TICKER,"DEEP_MEASURE_PERIOD_BROKER_VALUE","DEEP_MEASURE_ID_OVERRIDE",$C124,"DEEP_BROKER_ID_OVERRIDE",$F$7,"DEEP_PERIOD_OVERRIDE",Y$11)*1,"")))</f>
        <v/>
      </c>
      <c r="Z124" s="17" t="str">
        <f ca="1">IF(ISNA($B124),"",IF($B124="","",IFERROR(_xll.BDP(TICKER,"DEEP_MEASURE_PERIOD_BROKER_VALUE","DEEP_MEASURE_ID_OVERRIDE",$C124,"DEEP_BROKER_ID_OVERRIDE",$F$7,"DEEP_PERIOD_OVERRIDE",Z$11)*1,"")))</f>
        <v/>
      </c>
      <c r="AA124" s="17" t="str">
        <f ca="1">IF(ISNA($B124),"",IF($B124="","",IFERROR(_xll.BDP(TICKER,"DEEP_MEASURE_PERIOD_BROKER_VALUE","DEEP_MEASURE_ID_OVERRIDE",$C124,"DEEP_BROKER_ID_OVERRIDE",$F$7,"DEEP_PERIOD_OVERRIDE",AA$11)*1,"")))</f>
        <v/>
      </c>
      <c r="AB124" s="17" t="str">
        <f ca="1">IF(ISNA($B124),"",IF($B124="","",IFERROR(_xll.BDP(TICKER,"DEEP_MEASURE_PERIOD_BROKER_VALUE","DEEP_MEASURE_ID_OVERRIDE",$C124,"DEEP_BROKER_ID_OVERRIDE",$F$7,"DEEP_PERIOD_OVERRIDE",AB$11)*1,"")))</f>
        <v/>
      </c>
      <c r="AC124" s="17" t="str">
        <f ca="1">IF(ISNA($B124),"",IF($B124="","",IFERROR(_xll.BDP(TICKER,"DEEP_MEASURE_PERIOD_BROKER_VALUE","DEEP_MEASURE_ID_OVERRIDE",$C124,"DEEP_BROKER_ID_OVERRIDE",$F$7,"DEEP_PERIOD_OVERRIDE",AC$11)*1,"")))</f>
        <v/>
      </c>
      <c r="AD124" s="17" t="str">
        <f ca="1">IF(ISNA($B124),"",IF($B124="","",IFERROR(_xll.BDP(TICKER,"DEEP_MEASURE_PERIOD_BROKER_VALUE","DEEP_MEASURE_ID_OVERRIDE",$C124,"DEEP_BROKER_ID_OVERRIDE",$F$7,"DEEP_PERIOD_OVERRIDE",AD$11)*1,"")))</f>
        <v/>
      </c>
      <c r="AE124" s="17" t="str">
        <f ca="1">IF(ISNA($B124),"",IF($B124="","",IFERROR(_xll.BDP(TICKER,"DEEP_MEASURE_PERIOD_BROKER_VALUE","DEEP_MEASURE_ID_OVERRIDE",$C124,"DEEP_BROKER_ID_OVERRIDE",$F$7,"DEEP_PERIOD_OVERRIDE",AE$11)*1,"")))</f>
        <v/>
      </c>
      <c r="AF124" s="17" t="str">
        <f ca="1">IF(ISNA($B124),"",IF($B124="","",IFERROR(_xll.BDP(TICKER,"DEEP_MEASURE_PERIOD_BROKER_VALUE","DEEP_MEASURE_ID_OVERRIDE",$C124,"DEEP_BROKER_ID_OVERRIDE",$F$7,"DEEP_PERIOD_OVERRIDE",AF$11)*1,"")))</f>
        <v/>
      </c>
      <c r="AG124" s="17" t="str">
        <f ca="1">IF(ISNA($B124),"",IF($B124="","",IFERROR(_xll.BDP(TICKER,"DEEP_MEASURE_PERIOD_BROKER_VALUE","DEEP_MEASURE_ID_OVERRIDE",$C124,"DEEP_BROKER_ID_OVERRIDE",$F$7,"DEEP_PERIOD_OVERRIDE",AG$11)*1,"")))</f>
        <v/>
      </c>
      <c r="AH124" s="17" t="str">
        <f ca="1">IF(ISNA($B124),"",IF($B124="","",IFERROR(_xll.BDP(TICKER,"DEEP_MEASURE_PERIOD_BROKER_VALUE","DEEP_MEASURE_ID_OVERRIDE",$C124,"DEEP_BROKER_ID_OVERRIDE",$F$7,"DEEP_PERIOD_OVERRIDE",AH$11)*1,"")))</f>
        <v/>
      </c>
      <c r="AI124" s="17" t="str">
        <f ca="1">IF(ISNA($B124),"",IF($B124="","",IFERROR(_xll.BDP(TICKER,"DEEP_MEASURE_PERIOD_BROKER_VALUE","DEEP_MEASURE_ID_OVERRIDE",$C124,"DEEP_BROKER_ID_OVERRIDE",$F$7,"DEEP_PERIOD_OVERRIDE",AI$11)*1,"")))</f>
        <v/>
      </c>
      <c r="AJ124" s="17" t="str">
        <f ca="1">IF(ISNA($B124),"",IF($B124="","",IFERROR(_xll.BDP(TICKER,"DEEP_MEASURE_PERIOD_BROKER_VALUE","DEEP_MEASURE_ID_OVERRIDE",$C124,"DEEP_BROKER_ID_OVERRIDE",$F$7,"DEEP_PERIOD_OVERRIDE",AJ$11)*1,"")))</f>
        <v/>
      </c>
      <c r="AK124" s="17" t="str">
        <f ca="1">IF(ISNA($B124),"",IF($B124="","",IFERROR(_xll.BDP(TICKER,"DEEP_MEASURE_PERIOD_BROKER_VALUE","DEEP_MEASURE_ID_OVERRIDE",$C124,"DEEP_BROKER_ID_OVERRIDE",$F$7,"DEEP_PERIOD_OVERRIDE",AK$11)*1,"")))</f>
        <v/>
      </c>
      <c r="AL124" s="17" t="str">
        <f ca="1">IF(ISNA($B124),"",IF($B124="","",IFERROR(_xll.BDP(TICKER,"DEEP_MEASURE_PERIOD_BROKER_VALUE","DEEP_MEASURE_ID_OVERRIDE",$C124,"DEEP_BROKER_ID_OVERRIDE",$F$7,"DEEP_PERIOD_OVERRIDE",AL$11)*1,"")))</f>
        <v/>
      </c>
      <c r="AM124" s="17" t="str">
        <f ca="1">IF(ISNA($B124),"",IF($B124="","",IFERROR(_xll.BDP(TICKER,"DEEP_MEASURE_PERIOD_BROKER_VALUE","DEEP_MEASURE_ID_OVERRIDE",$C124,"DEEP_BROKER_ID_OVERRIDE",$F$7,"DEEP_PERIOD_OVERRIDE",AM$11)*1,"")))</f>
        <v/>
      </c>
      <c r="AN124" s="17" t="str">
        <f ca="1">IF(ISNA($B124),"",IF($B124="","",IFERROR(_xll.BDP(TICKER,"DEEP_MEASURE_PERIOD_BROKER_VALUE","DEEP_MEASURE_ID_OVERRIDE",$C124,"DEEP_BROKER_ID_OVERRIDE",$F$7,"DEEP_PERIOD_OVERRIDE",AN$11)*1,"")))</f>
        <v/>
      </c>
      <c r="AO124" s="17" t="str">
        <f ca="1">IF(ISNA($B124),"",IF($B124="","",IFERROR(_xll.BDP(TICKER,"DEEP_MEASURE_PERIOD_BROKER_VALUE","DEEP_MEASURE_ID_OVERRIDE",$C124,"DEEP_BROKER_ID_OVERRIDE",$F$7,"DEEP_PERIOD_OVERRIDE",AO$11)*1,"")))</f>
        <v/>
      </c>
      <c r="AP124" s="17" t="str">
        <f ca="1">IF(ISNA($B124),"",IF($B124="","",IFERROR(_xll.BDP(TICKER,"DEEP_MEASURE_PERIOD_BROKER_VALUE","DEEP_MEASURE_ID_OVERRIDE",$C124,"DEEP_BROKER_ID_OVERRIDE",$F$7,"DEEP_PERIOD_OVERRIDE",AP$11)*1,"")))</f>
        <v/>
      </c>
      <c r="AQ124" s="17" t="str">
        <f ca="1">IF(ISNA($B124),"",IF($B124="","",IFERROR(_xll.BDP(TICKER,"DEEP_MEASURE_PERIOD_BROKER_VALUE","DEEP_MEASURE_ID_OVERRIDE",$C124,"DEEP_BROKER_ID_OVERRIDE",$F$7,"DEEP_PERIOD_OVERRIDE",AQ$11)*1,"")))</f>
        <v/>
      </c>
    </row>
    <row r="125" spans="2:43" x14ac:dyDescent="0.25">
      <c r="B125" t="s">
        <v>168</v>
      </c>
      <c r="C125" s="11">
        <v>391</v>
      </c>
      <c r="H125" t="str">
        <f t="shared" si="3"/>
        <v>Operating Income &gt; Operating Margin(%)</v>
      </c>
      <c r="I125" s="17" t="str">
        <f ca="1">IF(ISNA($B125),"",IF($B125="","",IFERROR(_xll.BDP(TICKER,"DEEP_MEASURE_PERIOD_BROKER_VALUE","DEEP_MEASURE_ID_OVERRIDE",$C125,"DEEP_BROKER_ID_OVERRIDE",$F$7,"DEEP_PERIOD_OVERRIDE",I$11)*1,"")))</f>
        <v/>
      </c>
      <c r="J125" s="17" t="str">
        <f ca="1">IF(ISNA($B125),"",IF($B125="","",IFERROR(_xll.BDP(TICKER,"DEEP_MEASURE_PERIOD_BROKER_VALUE","DEEP_MEASURE_ID_OVERRIDE",$C125,"DEEP_BROKER_ID_OVERRIDE",$F$7,"DEEP_PERIOD_OVERRIDE",J$11)*1,"")))</f>
        <v/>
      </c>
      <c r="K125" s="17" t="str">
        <f ca="1">IF(ISNA($B125),"",IF($B125="","",IFERROR(_xll.BDP(TICKER,"DEEP_MEASURE_PERIOD_BROKER_VALUE","DEEP_MEASURE_ID_OVERRIDE",$C125,"DEEP_BROKER_ID_OVERRIDE",$F$7,"DEEP_PERIOD_OVERRIDE",K$11)*1,"")))</f>
        <v/>
      </c>
      <c r="L125" s="17" t="str">
        <f ca="1">IF(ISNA($B125),"",IF($B125="","",IFERROR(_xll.BDP(TICKER,"DEEP_MEASURE_PERIOD_BROKER_VALUE","DEEP_MEASURE_ID_OVERRIDE",$C125,"DEEP_BROKER_ID_OVERRIDE",$F$7,"DEEP_PERIOD_OVERRIDE",L$11)*1,"")))</f>
        <v/>
      </c>
      <c r="M125" s="17" t="str">
        <f ca="1">IF(ISNA($B125),"",IF($B125="","",IFERROR(_xll.BDP(TICKER,"DEEP_MEASURE_PERIOD_BROKER_VALUE","DEEP_MEASURE_ID_OVERRIDE",$C125,"DEEP_BROKER_ID_OVERRIDE",$F$7,"DEEP_PERIOD_OVERRIDE",M$11)*1,"")))</f>
        <v/>
      </c>
      <c r="N125" s="17" t="str">
        <f ca="1">IF(ISNA($B125),"",IF($B125="","",IFERROR(_xll.BDP(TICKER,"DEEP_MEASURE_PERIOD_BROKER_VALUE","DEEP_MEASURE_ID_OVERRIDE",$C125,"DEEP_BROKER_ID_OVERRIDE",$F$7,"DEEP_PERIOD_OVERRIDE",N$11)*1,"")))</f>
        <v/>
      </c>
      <c r="O125" s="17" t="str">
        <f ca="1">IF(ISNA($B125),"",IF($B125="","",IFERROR(_xll.BDP(TICKER,"DEEP_MEASURE_PERIOD_BROKER_VALUE","DEEP_MEASURE_ID_OVERRIDE",$C125,"DEEP_BROKER_ID_OVERRIDE",$F$7,"DEEP_PERIOD_OVERRIDE",O$11)*1,"")))</f>
        <v/>
      </c>
      <c r="P125" s="17" t="str">
        <f ca="1">IF(ISNA($B125),"",IF($B125="","",IFERROR(_xll.BDP(TICKER,"DEEP_MEASURE_PERIOD_BROKER_VALUE","DEEP_MEASURE_ID_OVERRIDE",$C125,"DEEP_BROKER_ID_OVERRIDE",$F$7,"DEEP_PERIOD_OVERRIDE",P$11)*1,"")))</f>
        <v/>
      </c>
      <c r="Q125" s="17" t="str">
        <f ca="1">IF(ISNA($B125),"",IF($B125="","",IFERROR(_xll.BDP(TICKER,"DEEP_MEASURE_PERIOD_BROKER_VALUE","DEEP_MEASURE_ID_OVERRIDE",$C125,"DEEP_BROKER_ID_OVERRIDE",$F$7,"DEEP_PERIOD_OVERRIDE",Q$11)*1,"")))</f>
        <v/>
      </c>
      <c r="R125" s="17" t="str">
        <f ca="1">IF(ISNA($B125),"",IF($B125="","",IFERROR(_xll.BDP(TICKER,"DEEP_MEASURE_PERIOD_BROKER_VALUE","DEEP_MEASURE_ID_OVERRIDE",$C125,"DEEP_BROKER_ID_OVERRIDE",$F$7,"DEEP_PERIOD_OVERRIDE",R$11)*1,"")))</f>
        <v/>
      </c>
      <c r="S125" s="17" t="str">
        <f ca="1">IF(ISNA($B125),"",IF($B125="","",IFERROR(_xll.BDP(TICKER,"DEEP_MEASURE_PERIOD_BROKER_VALUE","DEEP_MEASURE_ID_OVERRIDE",$C125,"DEEP_BROKER_ID_OVERRIDE",$F$7,"DEEP_PERIOD_OVERRIDE",S$11)*1,"")))</f>
        <v/>
      </c>
      <c r="T125" s="17" t="str">
        <f ca="1">IF(ISNA($B125),"",IF($B125="","",IFERROR(_xll.BDP(TICKER,"DEEP_MEASURE_PERIOD_BROKER_VALUE","DEEP_MEASURE_ID_OVERRIDE",$C125,"DEEP_BROKER_ID_OVERRIDE",$F$7,"DEEP_PERIOD_OVERRIDE",T$11)*1,"")))</f>
        <v/>
      </c>
      <c r="U125" s="17" t="str">
        <f ca="1">IF(ISNA($B125),"",IF($B125="","",IFERROR(_xll.BDP(TICKER,"DEEP_MEASURE_PERIOD_BROKER_VALUE","DEEP_MEASURE_ID_OVERRIDE",$C125,"DEEP_BROKER_ID_OVERRIDE",$F$7,"DEEP_PERIOD_OVERRIDE",U$11)*1,"")))</f>
        <v/>
      </c>
      <c r="V125" s="17" t="str">
        <f ca="1">IF(ISNA($B125),"",IF($B125="","",IFERROR(_xll.BDP(TICKER,"DEEP_MEASURE_PERIOD_BROKER_VALUE","DEEP_MEASURE_ID_OVERRIDE",$C125,"DEEP_BROKER_ID_OVERRIDE",$F$7,"DEEP_PERIOD_OVERRIDE",V$11)*1,"")))</f>
        <v/>
      </c>
      <c r="W125" s="17" t="str">
        <f ca="1">IF(ISNA($B125),"",IF($B125="","",IFERROR(_xll.BDP(TICKER,"DEEP_MEASURE_PERIOD_BROKER_VALUE","DEEP_MEASURE_ID_OVERRIDE",$C125,"DEEP_BROKER_ID_OVERRIDE",$F$7,"DEEP_PERIOD_OVERRIDE",W$11)*1,"")))</f>
        <v/>
      </c>
      <c r="X125" s="17" t="str">
        <f ca="1">IF(ISNA($B125),"",IF($B125="","",IFERROR(_xll.BDP(TICKER,"DEEP_MEASURE_PERIOD_BROKER_VALUE","DEEP_MEASURE_ID_OVERRIDE",$C125,"DEEP_BROKER_ID_OVERRIDE",$F$7,"DEEP_PERIOD_OVERRIDE",X$11)*1,"")))</f>
        <v/>
      </c>
      <c r="Y125" s="17" t="str">
        <f ca="1">IF(ISNA($B125),"",IF($B125="","",IFERROR(_xll.BDP(TICKER,"DEEP_MEASURE_PERIOD_BROKER_VALUE","DEEP_MEASURE_ID_OVERRIDE",$C125,"DEEP_BROKER_ID_OVERRIDE",$F$7,"DEEP_PERIOD_OVERRIDE",Y$11)*1,"")))</f>
        <v/>
      </c>
      <c r="Z125" s="17" t="str">
        <f ca="1">IF(ISNA($B125),"",IF($B125="","",IFERROR(_xll.BDP(TICKER,"DEEP_MEASURE_PERIOD_BROKER_VALUE","DEEP_MEASURE_ID_OVERRIDE",$C125,"DEEP_BROKER_ID_OVERRIDE",$F$7,"DEEP_PERIOD_OVERRIDE",Z$11)*1,"")))</f>
        <v/>
      </c>
      <c r="AA125" s="17" t="str">
        <f ca="1">IF(ISNA($B125),"",IF($B125="","",IFERROR(_xll.BDP(TICKER,"DEEP_MEASURE_PERIOD_BROKER_VALUE","DEEP_MEASURE_ID_OVERRIDE",$C125,"DEEP_BROKER_ID_OVERRIDE",$F$7,"DEEP_PERIOD_OVERRIDE",AA$11)*1,"")))</f>
        <v/>
      </c>
      <c r="AB125" s="17" t="str">
        <f ca="1">IF(ISNA($B125),"",IF($B125="","",IFERROR(_xll.BDP(TICKER,"DEEP_MEASURE_PERIOD_BROKER_VALUE","DEEP_MEASURE_ID_OVERRIDE",$C125,"DEEP_BROKER_ID_OVERRIDE",$F$7,"DEEP_PERIOD_OVERRIDE",AB$11)*1,"")))</f>
        <v/>
      </c>
      <c r="AC125" s="17" t="str">
        <f ca="1">IF(ISNA($B125),"",IF($B125="","",IFERROR(_xll.BDP(TICKER,"DEEP_MEASURE_PERIOD_BROKER_VALUE","DEEP_MEASURE_ID_OVERRIDE",$C125,"DEEP_BROKER_ID_OVERRIDE",$F$7,"DEEP_PERIOD_OVERRIDE",AC$11)*1,"")))</f>
        <v/>
      </c>
      <c r="AD125" s="17" t="str">
        <f ca="1">IF(ISNA($B125),"",IF($B125="","",IFERROR(_xll.BDP(TICKER,"DEEP_MEASURE_PERIOD_BROKER_VALUE","DEEP_MEASURE_ID_OVERRIDE",$C125,"DEEP_BROKER_ID_OVERRIDE",$F$7,"DEEP_PERIOD_OVERRIDE",AD$11)*1,"")))</f>
        <v/>
      </c>
      <c r="AE125" s="17" t="str">
        <f ca="1">IF(ISNA($B125),"",IF($B125="","",IFERROR(_xll.BDP(TICKER,"DEEP_MEASURE_PERIOD_BROKER_VALUE","DEEP_MEASURE_ID_OVERRIDE",$C125,"DEEP_BROKER_ID_OVERRIDE",$F$7,"DEEP_PERIOD_OVERRIDE",AE$11)*1,"")))</f>
        <v/>
      </c>
      <c r="AF125" s="17" t="str">
        <f ca="1">IF(ISNA($B125),"",IF($B125="","",IFERROR(_xll.BDP(TICKER,"DEEP_MEASURE_PERIOD_BROKER_VALUE","DEEP_MEASURE_ID_OVERRIDE",$C125,"DEEP_BROKER_ID_OVERRIDE",$F$7,"DEEP_PERIOD_OVERRIDE",AF$11)*1,"")))</f>
        <v/>
      </c>
      <c r="AG125" s="17" t="str">
        <f ca="1">IF(ISNA($B125),"",IF($B125="","",IFERROR(_xll.BDP(TICKER,"DEEP_MEASURE_PERIOD_BROKER_VALUE","DEEP_MEASURE_ID_OVERRIDE",$C125,"DEEP_BROKER_ID_OVERRIDE",$F$7,"DEEP_PERIOD_OVERRIDE",AG$11)*1,"")))</f>
        <v/>
      </c>
      <c r="AH125" s="17" t="str">
        <f ca="1">IF(ISNA($B125),"",IF($B125="","",IFERROR(_xll.BDP(TICKER,"DEEP_MEASURE_PERIOD_BROKER_VALUE","DEEP_MEASURE_ID_OVERRIDE",$C125,"DEEP_BROKER_ID_OVERRIDE",$F$7,"DEEP_PERIOD_OVERRIDE",AH$11)*1,"")))</f>
        <v/>
      </c>
      <c r="AI125" s="17" t="str">
        <f ca="1">IF(ISNA($B125),"",IF($B125="","",IFERROR(_xll.BDP(TICKER,"DEEP_MEASURE_PERIOD_BROKER_VALUE","DEEP_MEASURE_ID_OVERRIDE",$C125,"DEEP_BROKER_ID_OVERRIDE",$F$7,"DEEP_PERIOD_OVERRIDE",AI$11)*1,"")))</f>
        <v/>
      </c>
      <c r="AJ125" s="17" t="str">
        <f ca="1">IF(ISNA($B125),"",IF($B125="","",IFERROR(_xll.BDP(TICKER,"DEEP_MEASURE_PERIOD_BROKER_VALUE","DEEP_MEASURE_ID_OVERRIDE",$C125,"DEEP_BROKER_ID_OVERRIDE",$F$7,"DEEP_PERIOD_OVERRIDE",AJ$11)*1,"")))</f>
        <v/>
      </c>
      <c r="AK125" s="17" t="str">
        <f ca="1">IF(ISNA($B125),"",IF($B125="","",IFERROR(_xll.BDP(TICKER,"DEEP_MEASURE_PERIOD_BROKER_VALUE","DEEP_MEASURE_ID_OVERRIDE",$C125,"DEEP_BROKER_ID_OVERRIDE",$F$7,"DEEP_PERIOD_OVERRIDE",AK$11)*1,"")))</f>
        <v/>
      </c>
      <c r="AL125" s="17" t="str">
        <f ca="1">IF(ISNA($B125),"",IF($B125="","",IFERROR(_xll.BDP(TICKER,"DEEP_MEASURE_PERIOD_BROKER_VALUE","DEEP_MEASURE_ID_OVERRIDE",$C125,"DEEP_BROKER_ID_OVERRIDE",$F$7,"DEEP_PERIOD_OVERRIDE",AL$11)*1,"")))</f>
        <v/>
      </c>
      <c r="AM125" s="17" t="str">
        <f ca="1">IF(ISNA($B125),"",IF($B125="","",IFERROR(_xll.BDP(TICKER,"DEEP_MEASURE_PERIOD_BROKER_VALUE","DEEP_MEASURE_ID_OVERRIDE",$C125,"DEEP_BROKER_ID_OVERRIDE",$F$7,"DEEP_PERIOD_OVERRIDE",AM$11)*1,"")))</f>
        <v/>
      </c>
      <c r="AN125" s="17" t="str">
        <f ca="1">IF(ISNA($B125),"",IF($B125="","",IFERROR(_xll.BDP(TICKER,"DEEP_MEASURE_PERIOD_BROKER_VALUE","DEEP_MEASURE_ID_OVERRIDE",$C125,"DEEP_BROKER_ID_OVERRIDE",$F$7,"DEEP_PERIOD_OVERRIDE",AN$11)*1,"")))</f>
        <v/>
      </c>
      <c r="AO125" s="17" t="str">
        <f ca="1">IF(ISNA($B125),"",IF($B125="","",IFERROR(_xll.BDP(TICKER,"DEEP_MEASURE_PERIOD_BROKER_VALUE","DEEP_MEASURE_ID_OVERRIDE",$C125,"DEEP_BROKER_ID_OVERRIDE",$F$7,"DEEP_PERIOD_OVERRIDE",AO$11)*1,"")))</f>
        <v/>
      </c>
      <c r="AP125" s="17" t="str">
        <f ca="1">IF(ISNA($B125),"",IF($B125="","",IFERROR(_xll.BDP(TICKER,"DEEP_MEASURE_PERIOD_BROKER_VALUE","DEEP_MEASURE_ID_OVERRIDE",$C125,"DEEP_BROKER_ID_OVERRIDE",$F$7,"DEEP_PERIOD_OVERRIDE",AP$11)*1,"")))</f>
        <v/>
      </c>
      <c r="AQ125" s="17" t="str">
        <f ca="1">IF(ISNA($B125),"",IF($B125="","",IFERROR(_xll.BDP(TICKER,"DEEP_MEASURE_PERIOD_BROKER_VALUE","DEEP_MEASURE_ID_OVERRIDE",$C125,"DEEP_BROKER_ID_OVERRIDE",$F$7,"DEEP_PERIOD_OVERRIDE",AQ$11)*1,"")))</f>
        <v/>
      </c>
    </row>
    <row r="126" spans="2:43" x14ac:dyDescent="0.25">
      <c r="B126" t="s">
        <v>169</v>
      </c>
      <c r="C126" s="11">
        <v>346</v>
      </c>
      <c r="H126" t="str">
        <f t="shared" si="3"/>
        <v>Operating Income &gt; YoY Growth (%)</v>
      </c>
      <c r="I126" s="17" t="str">
        <f ca="1">IF(ISNA($B126),"",IF($B126="","",IFERROR(_xll.BDP(TICKER,"DEEP_MEASURE_PERIOD_BROKER_VALUE","DEEP_MEASURE_ID_OVERRIDE",$C126,"DEEP_BROKER_ID_OVERRIDE",$F$7,"DEEP_PERIOD_OVERRIDE",I$11)*1,"")))</f>
        <v/>
      </c>
      <c r="J126" s="17" t="str">
        <f ca="1">IF(ISNA($B126),"",IF($B126="","",IFERROR(_xll.BDP(TICKER,"DEEP_MEASURE_PERIOD_BROKER_VALUE","DEEP_MEASURE_ID_OVERRIDE",$C126,"DEEP_BROKER_ID_OVERRIDE",$F$7,"DEEP_PERIOD_OVERRIDE",J$11)*1,"")))</f>
        <v/>
      </c>
      <c r="K126" s="17" t="str">
        <f ca="1">IF(ISNA($B126),"",IF($B126="","",IFERROR(_xll.BDP(TICKER,"DEEP_MEASURE_PERIOD_BROKER_VALUE","DEEP_MEASURE_ID_OVERRIDE",$C126,"DEEP_BROKER_ID_OVERRIDE",$F$7,"DEEP_PERIOD_OVERRIDE",K$11)*1,"")))</f>
        <v/>
      </c>
      <c r="L126" s="17" t="str">
        <f ca="1">IF(ISNA($B126),"",IF($B126="","",IFERROR(_xll.BDP(TICKER,"DEEP_MEASURE_PERIOD_BROKER_VALUE","DEEP_MEASURE_ID_OVERRIDE",$C126,"DEEP_BROKER_ID_OVERRIDE",$F$7,"DEEP_PERIOD_OVERRIDE",L$11)*1,"")))</f>
        <v/>
      </c>
      <c r="M126" s="17" t="str">
        <f ca="1">IF(ISNA($B126),"",IF($B126="","",IFERROR(_xll.BDP(TICKER,"DEEP_MEASURE_PERIOD_BROKER_VALUE","DEEP_MEASURE_ID_OVERRIDE",$C126,"DEEP_BROKER_ID_OVERRIDE",$F$7,"DEEP_PERIOD_OVERRIDE",M$11)*1,"")))</f>
        <v/>
      </c>
      <c r="N126" s="17" t="str">
        <f ca="1">IF(ISNA($B126),"",IF($B126="","",IFERROR(_xll.BDP(TICKER,"DEEP_MEASURE_PERIOD_BROKER_VALUE","DEEP_MEASURE_ID_OVERRIDE",$C126,"DEEP_BROKER_ID_OVERRIDE",$F$7,"DEEP_PERIOD_OVERRIDE",N$11)*1,"")))</f>
        <v/>
      </c>
      <c r="O126" s="17" t="str">
        <f ca="1">IF(ISNA($B126),"",IF($B126="","",IFERROR(_xll.BDP(TICKER,"DEEP_MEASURE_PERIOD_BROKER_VALUE","DEEP_MEASURE_ID_OVERRIDE",$C126,"DEEP_BROKER_ID_OVERRIDE",$F$7,"DEEP_PERIOD_OVERRIDE",O$11)*1,"")))</f>
        <v/>
      </c>
      <c r="P126" s="17" t="str">
        <f ca="1">IF(ISNA($B126),"",IF($B126="","",IFERROR(_xll.BDP(TICKER,"DEEP_MEASURE_PERIOD_BROKER_VALUE","DEEP_MEASURE_ID_OVERRIDE",$C126,"DEEP_BROKER_ID_OVERRIDE",$F$7,"DEEP_PERIOD_OVERRIDE",P$11)*1,"")))</f>
        <v/>
      </c>
      <c r="Q126" s="17" t="str">
        <f ca="1">IF(ISNA($B126),"",IF($B126="","",IFERROR(_xll.BDP(TICKER,"DEEP_MEASURE_PERIOD_BROKER_VALUE","DEEP_MEASURE_ID_OVERRIDE",$C126,"DEEP_BROKER_ID_OVERRIDE",$F$7,"DEEP_PERIOD_OVERRIDE",Q$11)*1,"")))</f>
        <v/>
      </c>
      <c r="R126" s="17" t="str">
        <f ca="1">IF(ISNA($B126),"",IF($B126="","",IFERROR(_xll.BDP(TICKER,"DEEP_MEASURE_PERIOD_BROKER_VALUE","DEEP_MEASURE_ID_OVERRIDE",$C126,"DEEP_BROKER_ID_OVERRIDE",$F$7,"DEEP_PERIOD_OVERRIDE",R$11)*1,"")))</f>
        <v/>
      </c>
      <c r="S126" s="17" t="str">
        <f ca="1">IF(ISNA($B126),"",IF($B126="","",IFERROR(_xll.BDP(TICKER,"DEEP_MEASURE_PERIOD_BROKER_VALUE","DEEP_MEASURE_ID_OVERRIDE",$C126,"DEEP_BROKER_ID_OVERRIDE",$F$7,"DEEP_PERIOD_OVERRIDE",S$11)*1,"")))</f>
        <v/>
      </c>
      <c r="T126" s="17" t="str">
        <f ca="1">IF(ISNA($B126),"",IF($B126="","",IFERROR(_xll.BDP(TICKER,"DEEP_MEASURE_PERIOD_BROKER_VALUE","DEEP_MEASURE_ID_OVERRIDE",$C126,"DEEP_BROKER_ID_OVERRIDE",$F$7,"DEEP_PERIOD_OVERRIDE",T$11)*1,"")))</f>
        <v/>
      </c>
      <c r="U126" s="17" t="str">
        <f ca="1">IF(ISNA($B126),"",IF($B126="","",IFERROR(_xll.BDP(TICKER,"DEEP_MEASURE_PERIOD_BROKER_VALUE","DEEP_MEASURE_ID_OVERRIDE",$C126,"DEEP_BROKER_ID_OVERRIDE",$F$7,"DEEP_PERIOD_OVERRIDE",U$11)*1,"")))</f>
        <v/>
      </c>
      <c r="V126" s="17" t="str">
        <f ca="1">IF(ISNA($B126),"",IF($B126="","",IFERROR(_xll.BDP(TICKER,"DEEP_MEASURE_PERIOD_BROKER_VALUE","DEEP_MEASURE_ID_OVERRIDE",$C126,"DEEP_BROKER_ID_OVERRIDE",$F$7,"DEEP_PERIOD_OVERRIDE",V$11)*1,"")))</f>
        <v/>
      </c>
      <c r="W126" s="17" t="str">
        <f ca="1">IF(ISNA($B126),"",IF($B126="","",IFERROR(_xll.BDP(TICKER,"DEEP_MEASURE_PERIOD_BROKER_VALUE","DEEP_MEASURE_ID_OVERRIDE",$C126,"DEEP_BROKER_ID_OVERRIDE",$F$7,"DEEP_PERIOD_OVERRIDE",W$11)*1,"")))</f>
        <v/>
      </c>
      <c r="X126" s="17" t="str">
        <f ca="1">IF(ISNA($B126),"",IF($B126="","",IFERROR(_xll.BDP(TICKER,"DEEP_MEASURE_PERIOD_BROKER_VALUE","DEEP_MEASURE_ID_OVERRIDE",$C126,"DEEP_BROKER_ID_OVERRIDE",$F$7,"DEEP_PERIOD_OVERRIDE",X$11)*1,"")))</f>
        <v/>
      </c>
      <c r="Y126" s="17" t="str">
        <f ca="1">IF(ISNA($B126),"",IF($B126="","",IFERROR(_xll.BDP(TICKER,"DEEP_MEASURE_PERIOD_BROKER_VALUE","DEEP_MEASURE_ID_OVERRIDE",$C126,"DEEP_BROKER_ID_OVERRIDE",$F$7,"DEEP_PERIOD_OVERRIDE",Y$11)*1,"")))</f>
        <v/>
      </c>
      <c r="Z126" s="17" t="str">
        <f ca="1">IF(ISNA($B126),"",IF($B126="","",IFERROR(_xll.BDP(TICKER,"DEEP_MEASURE_PERIOD_BROKER_VALUE","DEEP_MEASURE_ID_OVERRIDE",$C126,"DEEP_BROKER_ID_OVERRIDE",$F$7,"DEEP_PERIOD_OVERRIDE",Z$11)*1,"")))</f>
        <v/>
      </c>
      <c r="AA126" s="17" t="str">
        <f ca="1">IF(ISNA($B126),"",IF($B126="","",IFERROR(_xll.BDP(TICKER,"DEEP_MEASURE_PERIOD_BROKER_VALUE","DEEP_MEASURE_ID_OVERRIDE",$C126,"DEEP_BROKER_ID_OVERRIDE",$F$7,"DEEP_PERIOD_OVERRIDE",AA$11)*1,"")))</f>
        <v/>
      </c>
      <c r="AB126" s="17" t="str">
        <f ca="1">IF(ISNA($B126),"",IF($B126="","",IFERROR(_xll.BDP(TICKER,"DEEP_MEASURE_PERIOD_BROKER_VALUE","DEEP_MEASURE_ID_OVERRIDE",$C126,"DEEP_BROKER_ID_OVERRIDE",$F$7,"DEEP_PERIOD_OVERRIDE",AB$11)*1,"")))</f>
        <v/>
      </c>
      <c r="AC126" s="17" t="str">
        <f ca="1">IF(ISNA($B126),"",IF($B126="","",IFERROR(_xll.BDP(TICKER,"DEEP_MEASURE_PERIOD_BROKER_VALUE","DEEP_MEASURE_ID_OVERRIDE",$C126,"DEEP_BROKER_ID_OVERRIDE",$F$7,"DEEP_PERIOD_OVERRIDE",AC$11)*1,"")))</f>
        <v/>
      </c>
      <c r="AD126" s="17" t="str">
        <f ca="1">IF(ISNA($B126),"",IF($B126="","",IFERROR(_xll.BDP(TICKER,"DEEP_MEASURE_PERIOD_BROKER_VALUE","DEEP_MEASURE_ID_OVERRIDE",$C126,"DEEP_BROKER_ID_OVERRIDE",$F$7,"DEEP_PERIOD_OVERRIDE",AD$11)*1,"")))</f>
        <v/>
      </c>
      <c r="AE126" s="17" t="str">
        <f ca="1">IF(ISNA($B126),"",IF($B126="","",IFERROR(_xll.BDP(TICKER,"DEEP_MEASURE_PERIOD_BROKER_VALUE","DEEP_MEASURE_ID_OVERRIDE",$C126,"DEEP_BROKER_ID_OVERRIDE",$F$7,"DEEP_PERIOD_OVERRIDE",AE$11)*1,"")))</f>
        <v/>
      </c>
      <c r="AF126" s="17" t="str">
        <f ca="1">IF(ISNA($B126),"",IF($B126="","",IFERROR(_xll.BDP(TICKER,"DEEP_MEASURE_PERIOD_BROKER_VALUE","DEEP_MEASURE_ID_OVERRIDE",$C126,"DEEP_BROKER_ID_OVERRIDE",$F$7,"DEEP_PERIOD_OVERRIDE",AF$11)*1,"")))</f>
        <v/>
      </c>
      <c r="AG126" s="17" t="str">
        <f ca="1">IF(ISNA($B126),"",IF($B126="","",IFERROR(_xll.BDP(TICKER,"DEEP_MEASURE_PERIOD_BROKER_VALUE","DEEP_MEASURE_ID_OVERRIDE",$C126,"DEEP_BROKER_ID_OVERRIDE",$F$7,"DEEP_PERIOD_OVERRIDE",AG$11)*1,"")))</f>
        <v/>
      </c>
      <c r="AH126" s="17" t="str">
        <f ca="1">IF(ISNA($B126),"",IF($B126="","",IFERROR(_xll.BDP(TICKER,"DEEP_MEASURE_PERIOD_BROKER_VALUE","DEEP_MEASURE_ID_OVERRIDE",$C126,"DEEP_BROKER_ID_OVERRIDE",$F$7,"DEEP_PERIOD_OVERRIDE",AH$11)*1,"")))</f>
        <v/>
      </c>
      <c r="AI126" s="17" t="str">
        <f ca="1">IF(ISNA($B126),"",IF($B126="","",IFERROR(_xll.BDP(TICKER,"DEEP_MEASURE_PERIOD_BROKER_VALUE","DEEP_MEASURE_ID_OVERRIDE",$C126,"DEEP_BROKER_ID_OVERRIDE",$F$7,"DEEP_PERIOD_OVERRIDE",AI$11)*1,"")))</f>
        <v/>
      </c>
      <c r="AJ126" s="17" t="str">
        <f ca="1">IF(ISNA($B126),"",IF($B126="","",IFERROR(_xll.BDP(TICKER,"DEEP_MEASURE_PERIOD_BROKER_VALUE","DEEP_MEASURE_ID_OVERRIDE",$C126,"DEEP_BROKER_ID_OVERRIDE",$F$7,"DEEP_PERIOD_OVERRIDE",AJ$11)*1,"")))</f>
        <v/>
      </c>
      <c r="AK126" s="17" t="str">
        <f ca="1">IF(ISNA($B126),"",IF($B126="","",IFERROR(_xll.BDP(TICKER,"DEEP_MEASURE_PERIOD_BROKER_VALUE","DEEP_MEASURE_ID_OVERRIDE",$C126,"DEEP_BROKER_ID_OVERRIDE",$F$7,"DEEP_PERIOD_OVERRIDE",AK$11)*1,"")))</f>
        <v/>
      </c>
      <c r="AL126" s="17" t="str">
        <f ca="1">IF(ISNA($B126),"",IF($B126="","",IFERROR(_xll.BDP(TICKER,"DEEP_MEASURE_PERIOD_BROKER_VALUE","DEEP_MEASURE_ID_OVERRIDE",$C126,"DEEP_BROKER_ID_OVERRIDE",$F$7,"DEEP_PERIOD_OVERRIDE",AL$11)*1,"")))</f>
        <v/>
      </c>
      <c r="AM126" s="17" t="str">
        <f ca="1">IF(ISNA($B126),"",IF($B126="","",IFERROR(_xll.BDP(TICKER,"DEEP_MEASURE_PERIOD_BROKER_VALUE","DEEP_MEASURE_ID_OVERRIDE",$C126,"DEEP_BROKER_ID_OVERRIDE",$F$7,"DEEP_PERIOD_OVERRIDE",AM$11)*1,"")))</f>
        <v/>
      </c>
      <c r="AN126" s="17" t="str">
        <f ca="1">IF(ISNA($B126),"",IF($B126="","",IFERROR(_xll.BDP(TICKER,"DEEP_MEASURE_PERIOD_BROKER_VALUE","DEEP_MEASURE_ID_OVERRIDE",$C126,"DEEP_BROKER_ID_OVERRIDE",$F$7,"DEEP_PERIOD_OVERRIDE",AN$11)*1,"")))</f>
        <v/>
      </c>
      <c r="AO126" s="17" t="str">
        <f ca="1">IF(ISNA($B126),"",IF($B126="","",IFERROR(_xll.BDP(TICKER,"DEEP_MEASURE_PERIOD_BROKER_VALUE","DEEP_MEASURE_ID_OVERRIDE",$C126,"DEEP_BROKER_ID_OVERRIDE",$F$7,"DEEP_PERIOD_OVERRIDE",AO$11)*1,"")))</f>
        <v/>
      </c>
      <c r="AP126" s="17" t="str">
        <f ca="1">IF(ISNA($B126),"",IF($B126="","",IFERROR(_xll.BDP(TICKER,"DEEP_MEASURE_PERIOD_BROKER_VALUE","DEEP_MEASURE_ID_OVERRIDE",$C126,"DEEP_BROKER_ID_OVERRIDE",$F$7,"DEEP_PERIOD_OVERRIDE",AP$11)*1,"")))</f>
        <v/>
      </c>
      <c r="AQ126" s="17" t="str">
        <f ca="1">IF(ISNA($B126),"",IF($B126="","",IFERROR(_xll.BDP(TICKER,"DEEP_MEASURE_PERIOD_BROKER_VALUE","DEEP_MEASURE_ID_OVERRIDE",$C126,"DEEP_BROKER_ID_OVERRIDE",$F$7,"DEEP_PERIOD_OVERRIDE",AQ$11)*1,"")))</f>
        <v/>
      </c>
    </row>
    <row r="127" spans="2:43" x14ac:dyDescent="0.25">
      <c r="B127" t="s">
        <v>28</v>
      </c>
      <c r="C127" s="11">
        <v>3675</v>
      </c>
      <c r="H127" t="str">
        <f t="shared" si="3"/>
        <v>Depreciation and Amortization</v>
      </c>
      <c r="I127" s="17" t="str">
        <f ca="1">IF(ISNA($B127),"",IF($B127="","",IFERROR(_xll.BDP(TICKER,"DEEP_MEASURE_PERIOD_BROKER_VALUE","DEEP_MEASURE_ID_OVERRIDE",$C127,"DEEP_BROKER_ID_OVERRIDE",$F$7,"DEEP_PERIOD_OVERRIDE",I$11)*1,"")))</f>
        <v/>
      </c>
      <c r="J127" s="17" t="str">
        <f ca="1">IF(ISNA($B127),"",IF($B127="","",IFERROR(_xll.BDP(TICKER,"DEEP_MEASURE_PERIOD_BROKER_VALUE","DEEP_MEASURE_ID_OVERRIDE",$C127,"DEEP_BROKER_ID_OVERRIDE",$F$7,"DEEP_PERIOD_OVERRIDE",J$11)*1,"")))</f>
        <v/>
      </c>
      <c r="K127" s="17" t="str">
        <f ca="1">IF(ISNA($B127),"",IF($B127="","",IFERROR(_xll.BDP(TICKER,"DEEP_MEASURE_PERIOD_BROKER_VALUE","DEEP_MEASURE_ID_OVERRIDE",$C127,"DEEP_BROKER_ID_OVERRIDE",$F$7,"DEEP_PERIOD_OVERRIDE",K$11)*1,"")))</f>
        <v/>
      </c>
      <c r="L127" s="17" t="str">
        <f ca="1">IF(ISNA($B127),"",IF($B127="","",IFERROR(_xll.BDP(TICKER,"DEEP_MEASURE_PERIOD_BROKER_VALUE","DEEP_MEASURE_ID_OVERRIDE",$C127,"DEEP_BROKER_ID_OVERRIDE",$F$7,"DEEP_PERIOD_OVERRIDE",L$11)*1,"")))</f>
        <v/>
      </c>
      <c r="M127" s="17" t="str">
        <f ca="1">IF(ISNA($B127),"",IF($B127="","",IFERROR(_xll.BDP(TICKER,"DEEP_MEASURE_PERIOD_BROKER_VALUE","DEEP_MEASURE_ID_OVERRIDE",$C127,"DEEP_BROKER_ID_OVERRIDE",$F$7,"DEEP_PERIOD_OVERRIDE",M$11)*1,"")))</f>
        <v/>
      </c>
      <c r="N127" s="17" t="str">
        <f ca="1">IF(ISNA($B127),"",IF($B127="","",IFERROR(_xll.BDP(TICKER,"DEEP_MEASURE_PERIOD_BROKER_VALUE","DEEP_MEASURE_ID_OVERRIDE",$C127,"DEEP_BROKER_ID_OVERRIDE",$F$7,"DEEP_PERIOD_OVERRIDE",N$11)*1,"")))</f>
        <v/>
      </c>
      <c r="O127" s="17" t="str">
        <f ca="1">IF(ISNA($B127),"",IF($B127="","",IFERROR(_xll.BDP(TICKER,"DEEP_MEASURE_PERIOD_BROKER_VALUE","DEEP_MEASURE_ID_OVERRIDE",$C127,"DEEP_BROKER_ID_OVERRIDE",$F$7,"DEEP_PERIOD_OVERRIDE",O$11)*1,"")))</f>
        <v/>
      </c>
      <c r="P127" s="17" t="str">
        <f ca="1">IF(ISNA($B127),"",IF($B127="","",IFERROR(_xll.BDP(TICKER,"DEEP_MEASURE_PERIOD_BROKER_VALUE","DEEP_MEASURE_ID_OVERRIDE",$C127,"DEEP_BROKER_ID_OVERRIDE",$F$7,"DEEP_PERIOD_OVERRIDE",P$11)*1,"")))</f>
        <v/>
      </c>
      <c r="Q127" s="17" t="str">
        <f ca="1">IF(ISNA($B127),"",IF($B127="","",IFERROR(_xll.BDP(TICKER,"DEEP_MEASURE_PERIOD_BROKER_VALUE","DEEP_MEASURE_ID_OVERRIDE",$C127,"DEEP_BROKER_ID_OVERRIDE",$F$7,"DEEP_PERIOD_OVERRIDE",Q$11)*1,"")))</f>
        <v/>
      </c>
      <c r="R127" s="17" t="str">
        <f ca="1">IF(ISNA($B127),"",IF($B127="","",IFERROR(_xll.BDP(TICKER,"DEEP_MEASURE_PERIOD_BROKER_VALUE","DEEP_MEASURE_ID_OVERRIDE",$C127,"DEEP_BROKER_ID_OVERRIDE",$F$7,"DEEP_PERIOD_OVERRIDE",R$11)*1,"")))</f>
        <v/>
      </c>
      <c r="S127" s="17" t="str">
        <f ca="1">IF(ISNA($B127),"",IF($B127="","",IFERROR(_xll.BDP(TICKER,"DEEP_MEASURE_PERIOD_BROKER_VALUE","DEEP_MEASURE_ID_OVERRIDE",$C127,"DEEP_BROKER_ID_OVERRIDE",$F$7,"DEEP_PERIOD_OVERRIDE",S$11)*1,"")))</f>
        <v/>
      </c>
      <c r="T127" s="17" t="str">
        <f ca="1">IF(ISNA($B127),"",IF($B127="","",IFERROR(_xll.BDP(TICKER,"DEEP_MEASURE_PERIOD_BROKER_VALUE","DEEP_MEASURE_ID_OVERRIDE",$C127,"DEEP_BROKER_ID_OVERRIDE",$F$7,"DEEP_PERIOD_OVERRIDE",T$11)*1,"")))</f>
        <v/>
      </c>
      <c r="U127" s="17" t="str">
        <f ca="1">IF(ISNA($B127),"",IF($B127="","",IFERROR(_xll.BDP(TICKER,"DEEP_MEASURE_PERIOD_BROKER_VALUE","DEEP_MEASURE_ID_OVERRIDE",$C127,"DEEP_BROKER_ID_OVERRIDE",$F$7,"DEEP_PERIOD_OVERRIDE",U$11)*1,"")))</f>
        <v/>
      </c>
      <c r="V127" s="17" t="str">
        <f ca="1">IF(ISNA($B127),"",IF($B127="","",IFERROR(_xll.BDP(TICKER,"DEEP_MEASURE_PERIOD_BROKER_VALUE","DEEP_MEASURE_ID_OVERRIDE",$C127,"DEEP_BROKER_ID_OVERRIDE",$F$7,"DEEP_PERIOD_OVERRIDE",V$11)*1,"")))</f>
        <v/>
      </c>
      <c r="W127" s="17" t="str">
        <f ca="1">IF(ISNA($B127),"",IF($B127="","",IFERROR(_xll.BDP(TICKER,"DEEP_MEASURE_PERIOD_BROKER_VALUE","DEEP_MEASURE_ID_OVERRIDE",$C127,"DEEP_BROKER_ID_OVERRIDE",$F$7,"DEEP_PERIOD_OVERRIDE",W$11)*1,"")))</f>
        <v/>
      </c>
      <c r="X127" s="17" t="str">
        <f ca="1">IF(ISNA($B127),"",IF($B127="","",IFERROR(_xll.BDP(TICKER,"DEEP_MEASURE_PERIOD_BROKER_VALUE","DEEP_MEASURE_ID_OVERRIDE",$C127,"DEEP_BROKER_ID_OVERRIDE",$F$7,"DEEP_PERIOD_OVERRIDE",X$11)*1,"")))</f>
        <v/>
      </c>
      <c r="Y127" s="17" t="str">
        <f ca="1">IF(ISNA($B127),"",IF($B127="","",IFERROR(_xll.BDP(TICKER,"DEEP_MEASURE_PERIOD_BROKER_VALUE","DEEP_MEASURE_ID_OVERRIDE",$C127,"DEEP_BROKER_ID_OVERRIDE",$F$7,"DEEP_PERIOD_OVERRIDE",Y$11)*1,"")))</f>
        <v/>
      </c>
      <c r="Z127" s="17" t="str">
        <f ca="1">IF(ISNA($B127),"",IF($B127="","",IFERROR(_xll.BDP(TICKER,"DEEP_MEASURE_PERIOD_BROKER_VALUE","DEEP_MEASURE_ID_OVERRIDE",$C127,"DEEP_BROKER_ID_OVERRIDE",$F$7,"DEEP_PERIOD_OVERRIDE",Z$11)*1,"")))</f>
        <v/>
      </c>
      <c r="AA127" s="17" t="str">
        <f ca="1">IF(ISNA($B127),"",IF($B127="","",IFERROR(_xll.BDP(TICKER,"DEEP_MEASURE_PERIOD_BROKER_VALUE","DEEP_MEASURE_ID_OVERRIDE",$C127,"DEEP_BROKER_ID_OVERRIDE",$F$7,"DEEP_PERIOD_OVERRIDE",AA$11)*1,"")))</f>
        <v/>
      </c>
      <c r="AB127" s="17" t="str">
        <f ca="1">IF(ISNA($B127),"",IF($B127="","",IFERROR(_xll.BDP(TICKER,"DEEP_MEASURE_PERIOD_BROKER_VALUE","DEEP_MEASURE_ID_OVERRIDE",$C127,"DEEP_BROKER_ID_OVERRIDE",$F$7,"DEEP_PERIOD_OVERRIDE",AB$11)*1,"")))</f>
        <v/>
      </c>
      <c r="AC127" s="17" t="str">
        <f ca="1">IF(ISNA($B127),"",IF($B127="","",IFERROR(_xll.BDP(TICKER,"DEEP_MEASURE_PERIOD_BROKER_VALUE","DEEP_MEASURE_ID_OVERRIDE",$C127,"DEEP_BROKER_ID_OVERRIDE",$F$7,"DEEP_PERIOD_OVERRIDE",AC$11)*1,"")))</f>
        <v/>
      </c>
      <c r="AD127" s="17" t="str">
        <f ca="1">IF(ISNA($B127),"",IF($B127="","",IFERROR(_xll.BDP(TICKER,"DEEP_MEASURE_PERIOD_BROKER_VALUE","DEEP_MEASURE_ID_OVERRIDE",$C127,"DEEP_BROKER_ID_OVERRIDE",$F$7,"DEEP_PERIOD_OVERRIDE",AD$11)*1,"")))</f>
        <v/>
      </c>
      <c r="AE127" s="17" t="str">
        <f ca="1">IF(ISNA($B127),"",IF($B127="","",IFERROR(_xll.BDP(TICKER,"DEEP_MEASURE_PERIOD_BROKER_VALUE","DEEP_MEASURE_ID_OVERRIDE",$C127,"DEEP_BROKER_ID_OVERRIDE",$F$7,"DEEP_PERIOD_OVERRIDE",AE$11)*1,"")))</f>
        <v/>
      </c>
      <c r="AF127" s="17" t="str">
        <f ca="1">IF(ISNA($B127),"",IF($B127="","",IFERROR(_xll.BDP(TICKER,"DEEP_MEASURE_PERIOD_BROKER_VALUE","DEEP_MEASURE_ID_OVERRIDE",$C127,"DEEP_BROKER_ID_OVERRIDE",$F$7,"DEEP_PERIOD_OVERRIDE",AF$11)*1,"")))</f>
        <v/>
      </c>
      <c r="AG127" s="17" t="str">
        <f ca="1">IF(ISNA($B127),"",IF($B127="","",IFERROR(_xll.BDP(TICKER,"DEEP_MEASURE_PERIOD_BROKER_VALUE","DEEP_MEASURE_ID_OVERRIDE",$C127,"DEEP_BROKER_ID_OVERRIDE",$F$7,"DEEP_PERIOD_OVERRIDE",AG$11)*1,"")))</f>
        <v/>
      </c>
      <c r="AH127" s="17" t="str">
        <f ca="1">IF(ISNA($B127),"",IF($B127="","",IFERROR(_xll.BDP(TICKER,"DEEP_MEASURE_PERIOD_BROKER_VALUE","DEEP_MEASURE_ID_OVERRIDE",$C127,"DEEP_BROKER_ID_OVERRIDE",$F$7,"DEEP_PERIOD_OVERRIDE",AH$11)*1,"")))</f>
        <v/>
      </c>
      <c r="AI127" s="17" t="str">
        <f ca="1">IF(ISNA($B127),"",IF($B127="","",IFERROR(_xll.BDP(TICKER,"DEEP_MEASURE_PERIOD_BROKER_VALUE","DEEP_MEASURE_ID_OVERRIDE",$C127,"DEEP_BROKER_ID_OVERRIDE",$F$7,"DEEP_PERIOD_OVERRIDE",AI$11)*1,"")))</f>
        <v/>
      </c>
      <c r="AJ127" s="17" t="str">
        <f ca="1">IF(ISNA($B127),"",IF($B127="","",IFERROR(_xll.BDP(TICKER,"DEEP_MEASURE_PERIOD_BROKER_VALUE","DEEP_MEASURE_ID_OVERRIDE",$C127,"DEEP_BROKER_ID_OVERRIDE",$F$7,"DEEP_PERIOD_OVERRIDE",AJ$11)*1,"")))</f>
        <v/>
      </c>
      <c r="AK127" s="17" t="str">
        <f ca="1">IF(ISNA($B127),"",IF($B127="","",IFERROR(_xll.BDP(TICKER,"DEEP_MEASURE_PERIOD_BROKER_VALUE","DEEP_MEASURE_ID_OVERRIDE",$C127,"DEEP_BROKER_ID_OVERRIDE",$F$7,"DEEP_PERIOD_OVERRIDE",AK$11)*1,"")))</f>
        <v/>
      </c>
      <c r="AL127" s="17" t="str">
        <f ca="1">IF(ISNA($B127),"",IF($B127="","",IFERROR(_xll.BDP(TICKER,"DEEP_MEASURE_PERIOD_BROKER_VALUE","DEEP_MEASURE_ID_OVERRIDE",$C127,"DEEP_BROKER_ID_OVERRIDE",$F$7,"DEEP_PERIOD_OVERRIDE",AL$11)*1,"")))</f>
        <v/>
      </c>
      <c r="AM127" s="17" t="str">
        <f ca="1">IF(ISNA($B127),"",IF($B127="","",IFERROR(_xll.BDP(TICKER,"DEEP_MEASURE_PERIOD_BROKER_VALUE","DEEP_MEASURE_ID_OVERRIDE",$C127,"DEEP_BROKER_ID_OVERRIDE",$F$7,"DEEP_PERIOD_OVERRIDE",AM$11)*1,"")))</f>
        <v/>
      </c>
      <c r="AN127" s="17" t="str">
        <f ca="1">IF(ISNA($B127),"",IF($B127="","",IFERROR(_xll.BDP(TICKER,"DEEP_MEASURE_PERIOD_BROKER_VALUE","DEEP_MEASURE_ID_OVERRIDE",$C127,"DEEP_BROKER_ID_OVERRIDE",$F$7,"DEEP_PERIOD_OVERRIDE",AN$11)*1,"")))</f>
        <v/>
      </c>
      <c r="AO127" s="17" t="str">
        <f ca="1">IF(ISNA($B127),"",IF($B127="","",IFERROR(_xll.BDP(TICKER,"DEEP_MEASURE_PERIOD_BROKER_VALUE","DEEP_MEASURE_ID_OVERRIDE",$C127,"DEEP_BROKER_ID_OVERRIDE",$F$7,"DEEP_PERIOD_OVERRIDE",AO$11)*1,"")))</f>
        <v/>
      </c>
      <c r="AP127" s="17" t="str">
        <f ca="1">IF(ISNA($B127),"",IF($B127="","",IFERROR(_xll.BDP(TICKER,"DEEP_MEASURE_PERIOD_BROKER_VALUE","DEEP_MEASURE_ID_OVERRIDE",$C127,"DEEP_BROKER_ID_OVERRIDE",$F$7,"DEEP_PERIOD_OVERRIDE",AP$11)*1,"")))</f>
        <v/>
      </c>
      <c r="AQ127" s="17" t="str">
        <f ca="1">IF(ISNA($B127),"",IF($B127="","",IFERROR(_xll.BDP(TICKER,"DEEP_MEASURE_PERIOD_BROKER_VALUE","DEEP_MEASURE_ID_OVERRIDE",$C127,"DEEP_BROKER_ID_OVERRIDE",$F$7,"DEEP_PERIOD_OVERRIDE",AQ$11)*1,"")))</f>
        <v/>
      </c>
    </row>
    <row r="128" spans="2:43" x14ac:dyDescent="0.25">
      <c r="B128" t="s">
        <v>18</v>
      </c>
      <c r="C128" s="11">
        <v>3219</v>
      </c>
      <c r="H128" t="str">
        <f t="shared" si="3"/>
        <v>EBITDA</v>
      </c>
      <c r="I128" s="17" t="str">
        <f ca="1">IF(ISNA($B128),"",IF($B128="","",IFERROR(_xll.BDP(TICKER,"DEEP_MEASURE_PERIOD_BROKER_VALUE","DEEP_MEASURE_ID_OVERRIDE",$C128,"DEEP_BROKER_ID_OVERRIDE",$F$7,"DEEP_PERIOD_OVERRIDE",I$11)*1,"")))</f>
        <v/>
      </c>
      <c r="J128" s="17" t="str">
        <f ca="1">IF(ISNA($B128),"",IF($B128="","",IFERROR(_xll.BDP(TICKER,"DEEP_MEASURE_PERIOD_BROKER_VALUE","DEEP_MEASURE_ID_OVERRIDE",$C128,"DEEP_BROKER_ID_OVERRIDE",$F$7,"DEEP_PERIOD_OVERRIDE",J$11)*1,"")))</f>
        <v/>
      </c>
      <c r="K128" s="17" t="str">
        <f ca="1">IF(ISNA($B128),"",IF($B128="","",IFERROR(_xll.BDP(TICKER,"DEEP_MEASURE_PERIOD_BROKER_VALUE","DEEP_MEASURE_ID_OVERRIDE",$C128,"DEEP_BROKER_ID_OVERRIDE",$F$7,"DEEP_PERIOD_OVERRIDE",K$11)*1,"")))</f>
        <v/>
      </c>
      <c r="L128" s="17" t="str">
        <f ca="1">IF(ISNA($B128),"",IF($B128="","",IFERROR(_xll.BDP(TICKER,"DEEP_MEASURE_PERIOD_BROKER_VALUE","DEEP_MEASURE_ID_OVERRIDE",$C128,"DEEP_BROKER_ID_OVERRIDE",$F$7,"DEEP_PERIOD_OVERRIDE",L$11)*1,"")))</f>
        <v/>
      </c>
      <c r="M128" s="17" t="str">
        <f ca="1">IF(ISNA($B128),"",IF($B128="","",IFERROR(_xll.BDP(TICKER,"DEEP_MEASURE_PERIOD_BROKER_VALUE","DEEP_MEASURE_ID_OVERRIDE",$C128,"DEEP_BROKER_ID_OVERRIDE",$F$7,"DEEP_PERIOD_OVERRIDE",M$11)*1,"")))</f>
        <v/>
      </c>
      <c r="N128" s="17" t="str">
        <f ca="1">IF(ISNA($B128),"",IF($B128="","",IFERROR(_xll.BDP(TICKER,"DEEP_MEASURE_PERIOD_BROKER_VALUE","DEEP_MEASURE_ID_OVERRIDE",$C128,"DEEP_BROKER_ID_OVERRIDE",$F$7,"DEEP_PERIOD_OVERRIDE",N$11)*1,"")))</f>
        <v/>
      </c>
      <c r="O128" s="17" t="str">
        <f ca="1">IF(ISNA($B128),"",IF($B128="","",IFERROR(_xll.BDP(TICKER,"DEEP_MEASURE_PERIOD_BROKER_VALUE","DEEP_MEASURE_ID_OVERRIDE",$C128,"DEEP_BROKER_ID_OVERRIDE",$F$7,"DEEP_PERIOD_OVERRIDE",O$11)*1,"")))</f>
        <v/>
      </c>
      <c r="P128" s="17" t="str">
        <f ca="1">IF(ISNA($B128),"",IF($B128="","",IFERROR(_xll.BDP(TICKER,"DEEP_MEASURE_PERIOD_BROKER_VALUE","DEEP_MEASURE_ID_OVERRIDE",$C128,"DEEP_BROKER_ID_OVERRIDE",$F$7,"DEEP_PERIOD_OVERRIDE",P$11)*1,"")))</f>
        <v/>
      </c>
      <c r="Q128" s="17" t="str">
        <f ca="1">IF(ISNA($B128),"",IF($B128="","",IFERROR(_xll.BDP(TICKER,"DEEP_MEASURE_PERIOD_BROKER_VALUE","DEEP_MEASURE_ID_OVERRIDE",$C128,"DEEP_BROKER_ID_OVERRIDE",$F$7,"DEEP_PERIOD_OVERRIDE",Q$11)*1,"")))</f>
        <v/>
      </c>
      <c r="R128" s="17" t="str">
        <f ca="1">IF(ISNA($B128),"",IF($B128="","",IFERROR(_xll.BDP(TICKER,"DEEP_MEASURE_PERIOD_BROKER_VALUE","DEEP_MEASURE_ID_OVERRIDE",$C128,"DEEP_BROKER_ID_OVERRIDE",$F$7,"DEEP_PERIOD_OVERRIDE",R$11)*1,"")))</f>
        <v/>
      </c>
      <c r="S128" s="17" t="str">
        <f ca="1">IF(ISNA($B128),"",IF($B128="","",IFERROR(_xll.BDP(TICKER,"DEEP_MEASURE_PERIOD_BROKER_VALUE","DEEP_MEASURE_ID_OVERRIDE",$C128,"DEEP_BROKER_ID_OVERRIDE",$F$7,"DEEP_PERIOD_OVERRIDE",S$11)*1,"")))</f>
        <v/>
      </c>
      <c r="T128" s="17" t="str">
        <f ca="1">IF(ISNA($B128),"",IF($B128="","",IFERROR(_xll.BDP(TICKER,"DEEP_MEASURE_PERIOD_BROKER_VALUE","DEEP_MEASURE_ID_OVERRIDE",$C128,"DEEP_BROKER_ID_OVERRIDE",$F$7,"DEEP_PERIOD_OVERRIDE",T$11)*1,"")))</f>
        <v/>
      </c>
      <c r="U128" s="17" t="str">
        <f ca="1">IF(ISNA($B128),"",IF($B128="","",IFERROR(_xll.BDP(TICKER,"DEEP_MEASURE_PERIOD_BROKER_VALUE","DEEP_MEASURE_ID_OVERRIDE",$C128,"DEEP_BROKER_ID_OVERRIDE",$F$7,"DEEP_PERIOD_OVERRIDE",U$11)*1,"")))</f>
        <v/>
      </c>
      <c r="V128" s="17" t="str">
        <f ca="1">IF(ISNA($B128),"",IF($B128="","",IFERROR(_xll.BDP(TICKER,"DEEP_MEASURE_PERIOD_BROKER_VALUE","DEEP_MEASURE_ID_OVERRIDE",$C128,"DEEP_BROKER_ID_OVERRIDE",$F$7,"DEEP_PERIOD_OVERRIDE",V$11)*1,"")))</f>
        <v/>
      </c>
      <c r="W128" s="17" t="str">
        <f ca="1">IF(ISNA($B128),"",IF($B128="","",IFERROR(_xll.BDP(TICKER,"DEEP_MEASURE_PERIOD_BROKER_VALUE","DEEP_MEASURE_ID_OVERRIDE",$C128,"DEEP_BROKER_ID_OVERRIDE",$F$7,"DEEP_PERIOD_OVERRIDE",W$11)*1,"")))</f>
        <v/>
      </c>
      <c r="X128" s="17" t="str">
        <f ca="1">IF(ISNA($B128),"",IF($B128="","",IFERROR(_xll.BDP(TICKER,"DEEP_MEASURE_PERIOD_BROKER_VALUE","DEEP_MEASURE_ID_OVERRIDE",$C128,"DEEP_BROKER_ID_OVERRIDE",$F$7,"DEEP_PERIOD_OVERRIDE",X$11)*1,"")))</f>
        <v/>
      </c>
      <c r="Y128" s="17" t="str">
        <f ca="1">IF(ISNA($B128),"",IF($B128="","",IFERROR(_xll.BDP(TICKER,"DEEP_MEASURE_PERIOD_BROKER_VALUE","DEEP_MEASURE_ID_OVERRIDE",$C128,"DEEP_BROKER_ID_OVERRIDE",$F$7,"DEEP_PERIOD_OVERRIDE",Y$11)*1,"")))</f>
        <v/>
      </c>
      <c r="Z128" s="17" t="str">
        <f ca="1">IF(ISNA($B128),"",IF($B128="","",IFERROR(_xll.BDP(TICKER,"DEEP_MEASURE_PERIOD_BROKER_VALUE","DEEP_MEASURE_ID_OVERRIDE",$C128,"DEEP_BROKER_ID_OVERRIDE",$F$7,"DEEP_PERIOD_OVERRIDE",Z$11)*1,"")))</f>
        <v/>
      </c>
      <c r="AA128" s="17" t="str">
        <f ca="1">IF(ISNA($B128),"",IF($B128="","",IFERROR(_xll.BDP(TICKER,"DEEP_MEASURE_PERIOD_BROKER_VALUE","DEEP_MEASURE_ID_OVERRIDE",$C128,"DEEP_BROKER_ID_OVERRIDE",$F$7,"DEEP_PERIOD_OVERRIDE",AA$11)*1,"")))</f>
        <v/>
      </c>
      <c r="AB128" s="17" t="str">
        <f ca="1">IF(ISNA($B128),"",IF($B128="","",IFERROR(_xll.BDP(TICKER,"DEEP_MEASURE_PERIOD_BROKER_VALUE","DEEP_MEASURE_ID_OVERRIDE",$C128,"DEEP_BROKER_ID_OVERRIDE",$F$7,"DEEP_PERIOD_OVERRIDE",AB$11)*1,"")))</f>
        <v/>
      </c>
      <c r="AC128" s="17" t="str">
        <f ca="1">IF(ISNA($B128),"",IF($B128="","",IFERROR(_xll.BDP(TICKER,"DEEP_MEASURE_PERIOD_BROKER_VALUE","DEEP_MEASURE_ID_OVERRIDE",$C128,"DEEP_BROKER_ID_OVERRIDE",$F$7,"DEEP_PERIOD_OVERRIDE",AC$11)*1,"")))</f>
        <v/>
      </c>
      <c r="AD128" s="17" t="str">
        <f ca="1">IF(ISNA($B128),"",IF($B128="","",IFERROR(_xll.BDP(TICKER,"DEEP_MEASURE_PERIOD_BROKER_VALUE","DEEP_MEASURE_ID_OVERRIDE",$C128,"DEEP_BROKER_ID_OVERRIDE",$F$7,"DEEP_PERIOD_OVERRIDE",AD$11)*1,"")))</f>
        <v/>
      </c>
      <c r="AE128" s="17" t="str">
        <f ca="1">IF(ISNA($B128),"",IF($B128="","",IFERROR(_xll.BDP(TICKER,"DEEP_MEASURE_PERIOD_BROKER_VALUE","DEEP_MEASURE_ID_OVERRIDE",$C128,"DEEP_BROKER_ID_OVERRIDE",$F$7,"DEEP_PERIOD_OVERRIDE",AE$11)*1,"")))</f>
        <v/>
      </c>
      <c r="AF128" s="17" t="str">
        <f ca="1">IF(ISNA($B128),"",IF($B128="","",IFERROR(_xll.BDP(TICKER,"DEEP_MEASURE_PERIOD_BROKER_VALUE","DEEP_MEASURE_ID_OVERRIDE",$C128,"DEEP_BROKER_ID_OVERRIDE",$F$7,"DEEP_PERIOD_OVERRIDE",AF$11)*1,"")))</f>
        <v/>
      </c>
      <c r="AG128" s="17" t="str">
        <f ca="1">IF(ISNA($B128),"",IF($B128="","",IFERROR(_xll.BDP(TICKER,"DEEP_MEASURE_PERIOD_BROKER_VALUE","DEEP_MEASURE_ID_OVERRIDE",$C128,"DEEP_BROKER_ID_OVERRIDE",$F$7,"DEEP_PERIOD_OVERRIDE",AG$11)*1,"")))</f>
        <v/>
      </c>
      <c r="AH128" s="17" t="str">
        <f ca="1">IF(ISNA($B128),"",IF($B128="","",IFERROR(_xll.BDP(TICKER,"DEEP_MEASURE_PERIOD_BROKER_VALUE","DEEP_MEASURE_ID_OVERRIDE",$C128,"DEEP_BROKER_ID_OVERRIDE",$F$7,"DEEP_PERIOD_OVERRIDE",AH$11)*1,"")))</f>
        <v/>
      </c>
      <c r="AI128" s="17" t="str">
        <f ca="1">IF(ISNA($B128),"",IF($B128="","",IFERROR(_xll.BDP(TICKER,"DEEP_MEASURE_PERIOD_BROKER_VALUE","DEEP_MEASURE_ID_OVERRIDE",$C128,"DEEP_BROKER_ID_OVERRIDE",$F$7,"DEEP_PERIOD_OVERRIDE",AI$11)*1,"")))</f>
        <v/>
      </c>
      <c r="AJ128" s="17" t="str">
        <f ca="1">IF(ISNA($B128),"",IF($B128="","",IFERROR(_xll.BDP(TICKER,"DEEP_MEASURE_PERIOD_BROKER_VALUE","DEEP_MEASURE_ID_OVERRIDE",$C128,"DEEP_BROKER_ID_OVERRIDE",$F$7,"DEEP_PERIOD_OVERRIDE",AJ$11)*1,"")))</f>
        <v/>
      </c>
      <c r="AK128" s="17" t="str">
        <f ca="1">IF(ISNA($B128),"",IF($B128="","",IFERROR(_xll.BDP(TICKER,"DEEP_MEASURE_PERIOD_BROKER_VALUE","DEEP_MEASURE_ID_OVERRIDE",$C128,"DEEP_BROKER_ID_OVERRIDE",$F$7,"DEEP_PERIOD_OVERRIDE",AK$11)*1,"")))</f>
        <v/>
      </c>
      <c r="AL128" s="17" t="str">
        <f ca="1">IF(ISNA($B128),"",IF($B128="","",IFERROR(_xll.BDP(TICKER,"DEEP_MEASURE_PERIOD_BROKER_VALUE","DEEP_MEASURE_ID_OVERRIDE",$C128,"DEEP_BROKER_ID_OVERRIDE",$F$7,"DEEP_PERIOD_OVERRIDE",AL$11)*1,"")))</f>
        <v/>
      </c>
      <c r="AM128" s="17" t="str">
        <f ca="1">IF(ISNA($B128),"",IF($B128="","",IFERROR(_xll.BDP(TICKER,"DEEP_MEASURE_PERIOD_BROKER_VALUE","DEEP_MEASURE_ID_OVERRIDE",$C128,"DEEP_BROKER_ID_OVERRIDE",$F$7,"DEEP_PERIOD_OVERRIDE",AM$11)*1,"")))</f>
        <v/>
      </c>
      <c r="AN128" s="17" t="str">
        <f ca="1">IF(ISNA($B128),"",IF($B128="","",IFERROR(_xll.BDP(TICKER,"DEEP_MEASURE_PERIOD_BROKER_VALUE","DEEP_MEASURE_ID_OVERRIDE",$C128,"DEEP_BROKER_ID_OVERRIDE",$F$7,"DEEP_PERIOD_OVERRIDE",AN$11)*1,"")))</f>
        <v/>
      </c>
      <c r="AO128" s="17" t="str">
        <f ca="1">IF(ISNA($B128),"",IF($B128="","",IFERROR(_xll.BDP(TICKER,"DEEP_MEASURE_PERIOD_BROKER_VALUE","DEEP_MEASURE_ID_OVERRIDE",$C128,"DEEP_BROKER_ID_OVERRIDE",$F$7,"DEEP_PERIOD_OVERRIDE",AO$11)*1,"")))</f>
        <v/>
      </c>
      <c r="AP128" s="17" t="str">
        <f ca="1">IF(ISNA($B128),"",IF($B128="","",IFERROR(_xll.BDP(TICKER,"DEEP_MEASURE_PERIOD_BROKER_VALUE","DEEP_MEASURE_ID_OVERRIDE",$C128,"DEEP_BROKER_ID_OVERRIDE",$F$7,"DEEP_PERIOD_OVERRIDE",AP$11)*1,"")))</f>
        <v/>
      </c>
      <c r="AQ128" s="17" t="str">
        <f ca="1">IF(ISNA($B128),"",IF($B128="","",IFERROR(_xll.BDP(TICKER,"DEEP_MEASURE_PERIOD_BROKER_VALUE","DEEP_MEASURE_ID_OVERRIDE",$C128,"DEEP_BROKER_ID_OVERRIDE",$F$7,"DEEP_PERIOD_OVERRIDE",AQ$11)*1,"")))</f>
        <v/>
      </c>
    </row>
    <row r="129" spans="2:43" x14ac:dyDescent="0.25">
      <c r="B129" t="s">
        <v>170</v>
      </c>
      <c r="C129" s="11">
        <v>9988</v>
      </c>
      <c r="H129" t="str">
        <f t="shared" si="3"/>
        <v>EBITDA &gt; YoY Growth (%)</v>
      </c>
      <c r="I129" s="17" t="str">
        <f ca="1">IF(ISNA($B129),"",IF($B129="","",IFERROR(_xll.BDP(TICKER,"DEEP_MEASURE_PERIOD_BROKER_VALUE","DEEP_MEASURE_ID_OVERRIDE",$C129,"DEEP_BROKER_ID_OVERRIDE",$F$7,"DEEP_PERIOD_OVERRIDE",I$11)*1,"")))</f>
        <v/>
      </c>
      <c r="J129" s="17" t="str">
        <f ca="1">IF(ISNA($B129),"",IF($B129="","",IFERROR(_xll.BDP(TICKER,"DEEP_MEASURE_PERIOD_BROKER_VALUE","DEEP_MEASURE_ID_OVERRIDE",$C129,"DEEP_BROKER_ID_OVERRIDE",$F$7,"DEEP_PERIOD_OVERRIDE",J$11)*1,"")))</f>
        <v/>
      </c>
      <c r="K129" s="17" t="str">
        <f ca="1">IF(ISNA($B129),"",IF($B129="","",IFERROR(_xll.BDP(TICKER,"DEEP_MEASURE_PERIOD_BROKER_VALUE","DEEP_MEASURE_ID_OVERRIDE",$C129,"DEEP_BROKER_ID_OVERRIDE",$F$7,"DEEP_PERIOD_OVERRIDE",K$11)*1,"")))</f>
        <v/>
      </c>
      <c r="L129" s="17" t="str">
        <f ca="1">IF(ISNA($B129),"",IF($B129="","",IFERROR(_xll.BDP(TICKER,"DEEP_MEASURE_PERIOD_BROKER_VALUE","DEEP_MEASURE_ID_OVERRIDE",$C129,"DEEP_BROKER_ID_OVERRIDE",$F$7,"DEEP_PERIOD_OVERRIDE",L$11)*1,"")))</f>
        <v/>
      </c>
      <c r="M129" s="17" t="str">
        <f ca="1">IF(ISNA($B129),"",IF($B129="","",IFERROR(_xll.BDP(TICKER,"DEEP_MEASURE_PERIOD_BROKER_VALUE","DEEP_MEASURE_ID_OVERRIDE",$C129,"DEEP_BROKER_ID_OVERRIDE",$F$7,"DEEP_PERIOD_OVERRIDE",M$11)*1,"")))</f>
        <v/>
      </c>
      <c r="N129" s="17" t="str">
        <f ca="1">IF(ISNA($B129),"",IF($B129="","",IFERROR(_xll.BDP(TICKER,"DEEP_MEASURE_PERIOD_BROKER_VALUE","DEEP_MEASURE_ID_OVERRIDE",$C129,"DEEP_BROKER_ID_OVERRIDE",$F$7,"DEEP_PERIOD_OVERRIDE",N$11)*1,"")))</f>
        <v/>
      </c>
      <c r="O129" s="17" t="str">
        <f ca="1">IF(ISNA($B129),"",IF($B129="","",IFERROR(_xll.BDP(TICKER,"DEEP_MEASURE_PERIOD_BROKER_VALUE","DEEP_MEASURE_ID_OVERRIDE",$C129,"DEEP_BROKER_ID_OVERRIDE",$F$7,"DEEP_PERIOD_OVERRIDE",O$11)*1,"")))</f>
        <v/>
      </c>
      <c r="P129" s="17" t="str">
        <f ca="1">IF(ISNA($B129),"",IF($B129="","",IFERROR(_xll.BDP(TICKER,"DEEP_MEASURE_PERIOD_BROKER_VALUE","DEEP_MEASURE_ID_OVERRIDE",$C129,"DEEP_BROKER_ID_OVERRIDE",$F$7,"DEEP_PERIOD_OVERRIDE",P$11)*1,"")))</f>
        <v/>
      </c>
      <c r="Q129" s="17" t="str">
        <f ca="1">IF(ISNA($B129),"",IF($B129="","",IFERROR(_xll.BDP(TICKER,"DEEP_MEASURE_PERIOD_BROKER_VALUE","DEEP_MEASURE_ID_OVERRIDE",$C129,"DEEP_BROKER_ID_OVERRIDE",$F$7,"DEEP_PERIOD_OVERRIDE",Q$11)*1,"")))</f>
        <v/>
      </c>
      <c r="R129" s="17" t="str">
        <f ca="1">IF(ISNA($B129),"",IF($B129="","",IFERROR(_xll.BDP(TICKER,"DEEP_MEASURE_PERIOD_BROKER_VALUE","DEEP_MEASURE_ID_OVERRIDE",$C129,"DEEP_BROKER_ID_OVERRIDE",$F$7,"DEEP_PERIOD_OVERRIDE",R$11)*1,"")))</f>
        <v/>
      </c>
      <c r="S129" s="17" t="str">
        <f ca="1">IF(ISNA($B129),"",IF($B129="","",IFERROR(_xll.BDP(TICKER,"DEEP_MEASURE_PERIOD_BROKER_VALUE","DEEP_MEASURE_ID_OVERRIDE",$C129,"DEEP_BROKER_ID_OVERRIDE",$F$7,"DEEP_PERIOD_OVERRIDE",S$11)*1,"")))</f>
        <v/>
      </c>
      <c r="T129" s="17" t="str">
        <f ca="1">IF(ISNA($B129),"",IF($B129="","",IFERROR(_xll.BDP(TICKER,"DEEP_MEASURE_PERIOD_BROKER_VALUE","DEEP_MEASURE_ID_OVERRIDE",$C129,"DEEP_BROKER_ID_OVERRIDE",$F$7,"DEEP_PERIOD_OVERRIDE",T$11)*1,"")))</f>
        <v/>
      </c>
      <c r="U129" s="17" t="str">
        <f ca="1">IF(ISNA($B129),"",IF($B129="","",IFERROR(_xll.BDP(TICKER,"DEEP_MEASURE_PERIOD_BROKER_VALUE","DEEP_MEASURE_ID_OVERRIDE",$C129,"DEEP_BROKER_ID_OVERRIDE",$F$7,"DEEP_PERIOD_OVERRIDE",U$11)*1,"")))</f>
        <v/>
      </c>
      <c r="V129" s="17" t="str">
        <f ca="1">IF(ISNA($B129),"",IF($B129="","",IFERROR(_xll.BDP(TICKER,"DEEP_MEASURE_PERIOD_BROKER_VALUE","DEEP_MEASURE_ID_OVERRIDE",$C129,"DEEP_BROKER_ID_OVERRIDE",$F$7,"DEEP_PERIOD_OVERRIDE",V$11)*1,"")))</f>
        <v/>
      </c>
      <c r="W129" s="17" t="str">
        <f ca="1">IF(ISNA($B129),"",IF($B129="","",IFERROR(_xll.BDP(TICKER,"DEEP_MEASURE_PERIOD_BROKER_VALUE","DEEP_MEASURE_ID_OVERRIDE",$C129,"DEEP_BROKER_ID_OVERRIDE",$F$7,"DEEP_PERIOD_OVERRIDE",W$11)*1,"")))</f>
        <v/>
      </c>
      <c r="X129" s="17" t="str">
        <f ca="1">IF(ISNA($B129),"",IF($B129="","",IFERROR(_xll.BDP(TICKER,"DEEP_MEASURE_PERIOD_BROKER_VALUE","DEEP_MEASURE_ID_OVERRIDE",$C129,"DEEP_BROKER_ID_OVERRIDE",$F$7,"DEEP_PERIOD_OVERRIDE",X$11)*1,"")))</f>
        <v/>
      </c>
      <c r="Y129" s="17" t="str">
        <f ca="1">IF(ISNA($B129),"",IF($B129="","",IFERROR(_xll.BDP(TICKER,"DEEP_MEASURE_PERIOD_BROKER_VALUE","DEEP_MEASURE_ID_OVERRIDE",$C129,"DEEP_BROKER_ID_OVERRIDE",$F$7,"DEEP_PERIOD_OVERRIDE",Y$11)*1,"")))</f>
        <v/>
      </c>
      <c r="Z129" s="17" t="str">
        <f ca="1">IF(ISNA($B129),"",IF($B129="","",IFERROR(_xll.BDP(TICKER,"DEEP_MEASURE_PERIOD_BROKER_VALUE","DEEP_MEASURE_ID_OVERRIDE",$C129,"DEEP_BROKER_ID_OVERRIDE",$F$7,"DEEP_PERIOD_OVERRIDE",Z$11)*1,"")))</f>
        <v/>
      </c>
      <c r="AA129" s="17" t="str">
        <f ca="1">IF(ISNA($B129),"",IF($B129="","",IFERROR(_xll.BDP(TICKER,"DEEP_MEASURE_PERIOD_BROKER_VALUE","DEEP_MEASURE_ID_OVERRIDE",$C129,"DEEP_BROKER_ID_OVERRIDE",$F$7,"DEEP_PERIOD_OVERRIDE",AA$11)*1,"")))</f>
        <v/>
      </c>
      <c r="AB129" s="17" t="str">
        <f ca="1">IF(ISNA($B129),"",IF($B129="","",IFERROR(_xll.BDP(TICKER,"DEEP_MEASURE_PERIOD_BROKER_VALUE","DEEP_MEASURE_ID_OVERRIDE",$C129,"DEEP_BROKER_ID_OVERRIDE",$F$7,"DEEP_PERIOD_OVERRIDE",AB$11)*1,"")))</f>
        <v/>
      </c>
      <c r="AC129" s="17" t="str">
        <f ca="1">IF(ISNA($B129),"",IF($B129="","",IFERROR(_xll.BDP(TICKER,"DEEP_MEASURE_PERIOD_BROKER_VALUE","DEEP_MEASURE_ID_OVERRIDE",$C129,"DEEP_BROKER_ID_OVERRIDE",$F$7,"DEEP_PERIOD_OVERRIDE",AC$11)*1,"")))</f>
        <v/>
      </c>
      <c r="AD129" s="17" t="str">
        <f ca="1">IF(ISNA($B129),"",IF($B129="","",IFERROR(_xll.BDP(TICKER,"DEEP_MEASURE_PERIOD_BROKER_VALUE","DEEP_MEASURE_ID_OVERRIDE",$C129,"DEEP_BROKER_ID_OVERRIDE",$F$7,"DEEP_PERIOD_OVERRIDE",AD$11)*1,"")))</f>
        <v/>
      </c>
      <c r="AE129" s="17" t="str">
        <f ca="1">IF(ISNA($B129),"",IF($B129="","",IFERROR(_xll.BDP(TICKER,"DEEP_MEASURE_PERIOD_BROKER_VALUE","DEEP_MEASURE_ID_OVERRIDE",$C129,"DEEP_BROKER_ID_OVERRIDE",$F$7,"DEEP_PERIOD_OVERRIDE",AE$11)*1,"")))</f>
        <v/>
      </c>
      <c r="AF129" s="17" t="str">
        <f ca="1">IF(ISNA($B129),"",IF($B129="","",IFERROR(_xll.BDP(TICKER,"DEEP_MEASURE_PERIOD_BROKER_VALUE","DEEP_MEASURE_ID_OVERRIDE",$C129,"DEEP_BROKER_ID_OVERRIDE",$F$7,"DEEP_PERIOD_OVERRIDE",AF$11)*1,"")))</f>
        <v/>
      </c>
      <c r="AG129" s="17" t="str">
        <f ca="1">IF(ISNA($B129),"",IF($B129="","",IFERROR(_xll.BDP(TICKER,"DEEP_MEASURE_PERIOD_BROKER_VALUE","DEEP_MEASURE_ID_OVERRIDE",$C129,"DEEP_BROKER_ID_OVERRIDE",$F$7,"DEEP_PERIOD_OVERRIDE",AG$11)*1,"")))</f>
        <v/>
      </c>
      <c r="AH129" s="17" t="str">
        <f ca="1">IF(ISNA($B129),"",IF($B129="","",IFERROR(_xll.BDP(TICKER,"DEEP_MEASURE_PERIOD_BROKER_VALUE","DEEP_MEASURE_ID_OVERRIDE",$C129,"DEEP_BROKER_ID_OVERRIDE",$F$7,"DEEP_PERIOD_OVERRIDE",AH$11)*1,"")))</f>
        <v/>
      </c>
      <c r="AI129" s="17" t="str">
        <f ca="1">IF(ISNA($B129),"",IF($B129="","",IFERROR(_xll.BDP(TICKER,"DEEP_MEASURE_PERIOD_BROKER_VALUE","DEEP_MEASURE_ID_OVERRIDE",$C129,"DEEP_BROKER_ID_OVERRIDE",$F$7,"DEEP_PERIOD_OVERRIDE",AI$11)*1,"")))</f>
        <v/>
      </c>
      <c r="AJ129" s="17" t="str">
        <f ca="1">IF(ISNA($B129),"",IF($B129="","",IFERROR(_xll.BDP(TICKER,"DEEP_MEASURE_PERIOD_BROKER_VALUE","DEEP_MEASURE_ID_OVERRIDE",$C129,"DEEP_BROKER_ID_OVERRIDE",$F$7,"DEEP_PERIOD_OVERRIDE",AJ$11)*1,"")))</f>
        <v/>
      </c>
      <c r="AK129" s="17" t="str">
        <f ca="1">IF(ISNA($B129),"",IF($B129="","",IFERROR(_xll.BDP(TICKER,"DEEP_MEASURE_PERIOD_BROKER_VALUE","DEEP_MEASURE_ID_OVERRIDE",$C129,"DEEP_BROKER_ID_OVERRIDE",$F$7,"DEEP_PERIOD_OVERRIDE",AK$11)*1,"")))</f>
        <v/>
      </c>
      <c r="AL129" s="17" t="str">
        <f ca="1">IF(ISNA($B129),"",IF($B129="","",IFERROR(_xll.BDP(TICKER,"DEEP_MEASURE_PERIOD_BROKER_VALUE","DEEP_MEASURE_ID_OVERRIDE",$C129,"DEEP_BROKER_ID_OVERRIDE",$F$7,"DEEP_PERIOD_OVERRIDE",AL$11)*1,"")))</f>
        <v/>
      </c>
      <c r="AM129" s="17" t="str">
        <f ca="1">IF(ISNA($B129),"",IF($B129="","",IFERROR(_xll.BDP(TICKER,"DEEP_MEASURE_PERIOD_BROKER_VALUE","DEEP_MEASURE_ID_OVERRIDE",$C129,"DEEP_BROKER_ID_OVERRIDE",$F$7,"DEEP_PERIOD_OVERRIDE",AM$11)*1,"")))</f>
        <v/>
      </c>
      <c r="AN129" s="17" t="str">
        <f ca="1">IF(ISNA($B129),"",IF($B129="","",IFERROR(_xll.BDP(TICKER,"DEEP_MEASURE_PERIOD_BROKER_VALUE","DEEP_MEASURE_ID_OVERRIDE",$C129,"DEEP_BROKER_ID_OVERRIDE",$F$7,"DEEP_PERIOD_OVERRIDE",AN$11)*1,"")))</f>
        <v/>
      </c>
      <c r="AO129" s="17" t="str">
        <f ca="1">IF(ISNA($B129),"",IF($B129="","",IFERROR(_xll.BDP(TICKER,"DEEP_MEASURE_PERIOD_BROKER_VALUE","DEEP_MEASURE_ID_OVERRIDE",$C129,"DEEP_BROKER_ID_OVERRIDE",$F$7,"DEEP_PERIOD_OVERRIDE",AO$11)*1,"")))</f>
        <v/>
      </c>
      <c r="AP129" s="17" t="str">
        <f ca="1">IF(ISNA($B129),"",IF($B129="","",IFERROR(_xll.BDP(TICKER,"DEEP_MEASURE_PERIOD_BROKER_VALUE","DEEP_MEASURE_ID_OVERRIDE",$C129,"DEEP_BROKER_ID_OVERRIDE",$F$7,"DEEP_PERIOD_OVERRIDE",AP$11)*1,"")))</f>
        <v/>
      </c>
      <c r="AQ129" s="17" t="str">
        <f ca="1">IF(ISNA($B129),"",IF($B129="","",IFERROR(_xll.BDP(TICKER,"DEEP_MEASURE_PERIOD_BROKER_VALUE","DEEP_MEASURE_ID_OVERRIDE",$C129,"DEEP_BROKER_ID_OVERRIDE",$F$7,"DEEP_PERIOD_OVERRIDE",AQ$11)*1,"")))</f>
        <v/>
      </c>
    </row>
    <row r="130" spans="2:43" x14ac:dyDescent="0.25">
      <c r="B130" t="s">
        <v>29</v>
      </c>
      <c r="C130" s="11">
        <v>3678</v>
      </c>
      <c r="H130" t="str">
        <f t="shared" si="3"/>
        <v>EBITDA &gt; EBITDA Margin (%)</v>
      </c>
      <c r="I130" s="17" t="str">
        <f ca="1">IF(ISNA($B130),"",IF($B130="","",IFERROR(_xll.BDP(TICKER,"DEEP_MEASURE_PERIOD_BROKER_VALUE","DEEP_MEASURE_ID_OVERRIDE",$C130,"DEEP_BROKER_ID_OVERRIDE",$F$7,"DEEP_PERIOD_OVERRIDE",I$11)*1,"")))</f>
        <v/>
      </c>
      <c r="J130" s="17" t="str">
        <f ca="1">IF(ISNA($B130),"",IF($B130="","",IFERROR(_xll.BDP(TICKER,"DEEP_MEASURE_PERIOD_BROKER_VALUE","DEEP_MEASURE_ID_OVERRIDE",$C130,"DEEP_BROKER_ID_OVERRIDE",$F$7,"DEEP_PERIOD_OVERRIDE",J$11)*1,"")))</f>
        <v/>
      </c>
      <c r="K130" s="17" t="str">
        <f ca="1">IF(ISNA($B130),"",IF($B130="","",IFERROR(_xll.BDP(TICKER,"DEEP_MEASURE_PERIOD_BROKER_VALUE","DEEP_MEASURE_ID_OVERRIDE",$C130,"DEEP_BROKER_ID_OVERRIDE",$F$7,"DEEP_PERIOD_OVERRIDE",K$11)*1,"")))</f>
        <v/>
      </c>
      <c r="L130" s="17" t="str">
        <f ca="1">IF(ISNA($B130),"",IF($B130="","",IFERROR(_xll.BDP(TICKER,"DEEP_MEASURE_PERIOD_BROKER_VALUE","DEEP_MEASURE_ID_OVERRIDE",$C130,"DEEP_BROKER_ID_OVERRIDE",$F$7,"DEEP_PERIOD_OVERRIDE",L$11)*1,"")))</f>
        <v/>
      </c>
      <c r="M130" s="17" t="str">
        <f ca="1">IF(ISNA($B130),"",IF($B130="","",IFERROR(_xll.BDP(TICKER,"DEEP_MEASURE_PERIOD_BROKER_VALUE","DEEP_MEASURE_ID_OVERRIDE",$C130,"DEEP_BROKER_ID_OVERRIDE",$F$7,"DEEP_PERIOD_OVERRIDE",M$11)*1,"")))</f>
        <v/>
      </c>
      <c r="N130" s="17" t="str">
        <f ca="1">IF(ISNA($B130),"",IF($B130="","",IFERROR(_xll.BDP(TICKER,"DEEP_MEASURE_PERIOD_BROKER_VALUE","DEEP_MEASURE_ID_OVERRIDE",$C130,"DEEP_BROKER_ID_OVERRIDE",$F$7,"DEEP_PERIOD_OVERRIDE",N$11)*1,"")))</f>
        <v/>
      </c>
      <c r="O130" s="17" t="str">
        <f ca="1">IF(ISNA($B130),"",IF($B130="","",IFERROR(_xll.BDP(TICKER,"DEEP_MEASURE_PERIOD_BROKER_VALUE","DEEP_MEASURE_ID_OVERRIDE",$C130,"DEEP_BROKER_ID_OVERRIDE",$F$7,"DEEP_PERIOD_OVERRIDE",O$11)*1,"")))</f>
        <v/>
      </c>
      <c r="P130" s="17" t="str">
        <f ca="1">IF(ISNA($B130),"",IF($B130="","",IFERROR(_xll.BDP(TICKER,"DEEP_MEASURE_PERIOD_BROKER_VALUE","DEEP_MEASURE_ID_OVERRIDE",$C130,"DEEP_BROKER_ID_OVERRIDE",$F$7,"DEEP_PERIOD_OVERRIDE",P$11)*1,"")))</f>
        <v/>
      </c>
      <c r="Q130" s="17" t="str">
        <f ca="1">IF(ISNA($B130),"",IF($B130="","",IFERROR(_xll.BDP(TICKER,"DEEP_MEASURE_PERIOD_BROKER_VALUE","DEEP_MEASURE_ID_OVERRIDE",$C130,"DEEP_BROKER_ID_OVERRIDE",$F$7,"DEEP_PERIOD_OVERRIDE",Q$11)*1,"")))</f>
        <v/>
      </c>
      <c r="R130" s="17" t="str">
        <f ca="1">IF(ISNA($B130),"",IF($B130="","",IFERROR(_xll.BDP(TICKER,"DEEP_MEASURE_PERIOD_BROKER_VALUE","DEEP_MEASURE_ID_OVERRIDE",$C130,"DEEP_BROKER_ID_OVERRIDE",$F$7,"DEEP_PERIOD_OVERRIDE",R$11)*1,"")))</f>
        <v/>
      </c>
      <c r="S130" s="17" t="str">
        <f ca="1">IF(ISNA($B130),"",IF($B130="","",IFERROR(_xll.BDP(TICKER,"DEEP_MEASURE_PERIOD_BROKER_VALUE","DEEP_MEASURE_ID_OVERRIDE",$C130,"DEEP_BROKER_ID_OVERRIDE",$F$7,"DEEP_PERIOD_OVERRIDE",S$11)*1,"")))</f>
        <v/>
      </c>
      <c r="T130" s="17" t="str">
        <f ca="1">IF(ISNA($B130),"",IF($B130="","",IFERROR(_xll.BDP(TICKER,"DEEP_MEASURE_PERIOD_BROKER_VALUE","DEEP_MEASURE_ID_OVERRIDE",$C130,"DEEP_BROKER_ID_OVERRIDE",$F$7,"DEEP_PERIOD_OVERRIDE",T$11)*1,"")))</f>
        <v/>
      </c>
      <c r="U130" s="17" t="str">
        <f ca="1">IF(ISNA($B130),"",IF($B130="","",IFERROR(_xll.BDP(TICKER,"DEEP_MEASURE_PERIOD_BROKER_VALUE","DEEP_MEASURE_ID_OVERRIDE",$C130,"DEEP_BROKER_ID_OVERRIDE",$F$7,"DEEP_PERIOD_OVERRIDE",U$11)*1,"")))</f>
        <v/>
      </c>
      <c r="V130" s="17" t="str">
        <f ca="1">IF(ISNA($B130),"",IF($B130="","",IFERROR(_xll.BDP(TICKER,"DEEP_MEASURE_PERIOD_BROKER_VALUE","DEEP_MEASURE_ID_OVERRIDE",$C130,"DEEP_BROKER_ID_OVERRIDE",$F$7,"DEEP_PERIOD_OVERRIDE",V$11)*1,"")))</f>
        <v/>
      </c>
      <c r="W130" s="17" t="str">
        <f ca="1">IF(ISNA($B130),"",IF($B130="","",IFERROR(_xll.BDP(TICKER,"DEEP_MEASURE_PERIOD_BROKER_VALUE","DEEP_MEASURE_ID_OVERRIDE",$C130,"DEEP_BROKER_ID_OVERRIDE",$F$7,"DEEP_PERIOD_OVERRIDE",W$11)*1,"")))</f>
        <v/>
      </c>
      <c r="X130" s="17" t="str">
        <f ca="1">IF(ISNA($B130),"",IF($B130="","",IFERROR(_xll.BDP(TICKER,"DEEP_MEASURE_PERIOD_BROKER_VALUE","DEEP_MEASURE_ID_OVERRIDE",$C130,"DEEP_BROKER_ID_OVERRIDE",$F$7,"DEEP_PERIOD_OVERRIDE",X$11)*1,"")))</f>
        <v/>
      </c>
      <c r="Y130" s="17" t="str">
        <f ca="1">IF(ISNA($B130),"",IF($B130="","",IFERROR(_xll.BDP(TICKER,"DEEP_MEASURE_PERIOD_BROKER_VALUE","DEEP_MEASURE_ID_OVERRIDE",$C130,"DEEP_BROKER_ID_OVERRIDE",$F$7,"DEEP_PERIOD_OVERRIDE",Y$11)*1,"")))</f>
        <v/>
      </c>
      <c r="Z130" s="17" t="str">
        <f ca="1">IF(ISNA($B130),"",IF($B130="","",IFERROR(_xll.BDP(TICKER,"DEEP_MEASURE_PERIOD_BROKER_VALUE","DEEP_MEASURE_ID_OVERRIDE",$C130,"DEEP_BROKER_ID_OVERRIDE",$F$7,"DEEP_PERIOD_OVERRIDE",Z$11)*1,"")))</f>
        <v/>
      </c>
      <c r="AA130" s="17" t="str">
        <f ca="1">IF(ISNA($B130),"",IF($B130="","",IFERROR(_xll.BDP(TICKER,"DEEP_MEASURE_PERIOD_BROKER_VALUE","DEEP_MEASURE_ID_OVERRIDE",$C130,"DEEP_BROKER_ID_OVERRIDE",$F$7,"DEEP_PERIOD_OVERRIDE",AA$11)*1,"")))</f>
        <v/>
      </c>
      <c r="AB130" s="17" t="str">
        <f ca="1">IF(ISNA($B130),"",IF($B130="","",IFERROR(_xll.BDP(TICKER,"DEEP_MEASURE_PERIOD_BROKER_VALUE","DEEP_MEASURE_ID_OVERRIDE",$C130,"DEEP_BROKER_ID_OVERRIDE",$F$7,"DEEP_PERIOD_OVERRIDE",AB$11)*1,"")))</f>
        <v/>
      </c>
      <c r="AC130" s="17" t="str">
        <f ca="1">IF(ISNA($B130),"",IF($B130="","",IFERROR(_xll.BDP(TICKER,"DEEP_MEASURE_PERIOD_BROKER_VALUE","DEEP_MEASURE_ID_OVERRIDE",$C130,"DEEP_BROKER_ID_OVERRIDE",$F$7,"DEEP_PERIOD_OVERRIDE",AC$11)*1,"")))</f>
        <v/>
      </c>
      <c r="AD130" s="17" t="str">
        <f ca="1">IF(ISNA($B130),"",IF($B130="","",IFERROR(_xll.BDP(TICKER,"DEEP_MEASURE_PERIOD_BROKER_VALUE","DEEP_MEASURE_ID_OVERRIDE",$C130,"DEEP_BROKER_ID_OVERRIDE",$F$7,"DEEP_PERIOD_OVERRIDE",AD$11)*1,"")))</f>
        <v/>
      </c>
      <c r="AE130" s="17" t="str">
        <f ca="1">IF(ISNA($B130),"",IF($B130="","",IFERROR(_xll.BDP(TICKER,"DEEP_MEASURE_PERIOD_BROKER_VALUE","DEEP_MEASURE_ID_OVERRIDE",$C130,"DEEP_BROKER_ID_OVERRIDE",$F$7,"DEEP_PERIOD_OVERRIDE",AE$11)*1,"")))</f>
        <v/>
      </c>
      <c r="AF130" s="17" t="str">
        <f ca="1">IF(ISNA($B130),"",IF($B130="","",IFERROR(_xll.BDP(TICKER,"DEEP_MEASURE_PERIOD_BROKER_VALUE","DEEP_MEASURE_ID_OVERRIDE",$C130,"DEEP_BROKER_ID_OVERRIDE",$F$7,"DEEP_PERIOD_OVERRIDE",AF$11)*1,"")))</f>
        <v/>
      </c>
      <c r="AG130" s="17" t="str">
        <f ca="1">IF(ISNA($B130),"",IF($B130="","",IFERROR(_xll.BDP(TICKER,"DEEP_MEASURE_PERIOD_BROKER_VALUE","DEEP_MEASURE_ID_OVERRIDE",$C130,"DEEP_BROKER_ID_OVERRIDE",$F$7,"DEEP_PERIOD_OVERRIDE",AG$11)*1,"")))</f>
        <v/>
      </c>
      <c r="AH130" s="17" t="str">
        <f ca="1">IF(ISNA($B130),"",IF($B130="","",IFERROR(_xll.BDP(TICKER,"DEEP_MEASURE_PERIOD_BROKER_VALUE","DEEP_MEASURE_ID_OVERRIDE",$C130,"DEEP_BROKER_ID_OVERRIDE",$F$7,"DEEP_PERIOD_OVERRIDE",AH$11)*1,"")))</f>
        <v/>
      </c>
      <c r="AI130" s="17" t="str">
        <f ca="1">IF(ISNA($B130),"",IF($B130="","",IFERROR(_xll.BDP(TICKER,"DEEP_MEASURE_PERIOD_BROKER_VALUE","DEEP_MEASURE_ID_OVERRIDE",$C130,"DEEP_BROKER_ID_OVERRIDE",$F$7,"DEEP_PERIOD_OVERRIDE",AI$11)*1,"")))</f>
        <v/>
      </c>
      <c r="AJ130" s="17" t="str">
        <f ca="1">IF(ISNA($B130),"",IF($B130="","",IFERROR(_xll.BDP(TICKER,"DEEP_MEASURE_PERIOD_BROKER_VALUE","DEEP_MEASURE_ID_OVERRIDE",$C130,"DEEP_BROKER_ID_OVERRIDE",$F$7,"DEEP_PERIOD_OVERRIDE",AJ$11)*1,"")))</f>
        <v/>
      </c>
      <c r="AK130" s="17" t="str">
        <f ca="1">IF(ISNA($B130),"",IF($B130="","",IFERROR(_xll.BDP(TICKER,"DEEP_MEASURE_PERIOD_BROKER_VALUE","DEEP_MEASURE_ID_OVERRIDE",$C130,"DEEP_BROKER_ID_OVERRIDE",$F$7,"DEEP_PERIOD_OVERRIDE",AK$11)*1,"")))</f>
        <v/>
      </c>
      <c r="AL130" s="17" t="str">
        <f ca="1">IF(ISNA($B130),"",IF($B130="","",IFERROR(_xll.BDP(TICKER,"DEEP_MEASURE_PERIOD_BROKER_VALUE","DEEP_MEASURE_ID_OVERRIDE",$C130,"DEEP_BROKER_ID_OVERRIDE",$F$7,"DEEP_PERIOD_OVERRIDE",AL$11)*1,"")))</f>
        <v/>
      </c>
      <c r="AM130" s="17" t="str">
        <f ca="1">IF(ISNA($B130),"",IF($B130="","",IFERROR(_xll.BDP(TICKER,"DEEP_MEASURE_PERIOD_BROKER_VALUE","DEEP_MEASURE_ID_OVERRIDE",$C130,"DEEP_BROKER_ID_OVERRIDE",$F$7,"DEEP_PERIOD_OVERRIDE",AM$11)*1,"")))</f>
        <v/>
      </c>
      <c r="AN130" s="17" t="str">
        <f ca="1">IF(ISNA($B130),"",IF($B130="","",IFERROR(_xll.BDP(TICKER,"DEEP_MEASURE_PERIOD_BROKER_VALUE","DEEP_MEASURE_ID_OVERRIDE",$C130,"DEEP_BROKER_ID_OVERRIDE",$F$7,"DEEP_PERIOD_OVERRIDE",AN$11)*1,"")))</f>
        <v/>
      </c>
      <c r="AO130" s="17" t="str">
        <f ca="1">IF(ISNA($B130),"",IF($B130="","",IFERROR(_xll.BDP(TICKER,"DEEP_MEASURE_PERIOD_BROKER_VALUE","DEEP_MEASURE_ID_OVERRIDE",$C130,"DEEP_BROKER_ID_OVERRIDE",$F$7,"DEEP_PERIOD_OVERRIDE",AO$11)*1,"")))</f>
        <v/>
      </c>
      <c r="AP130" s="17" t="str">
        <f ca="1">IF(ISNA($B130),"",IF($B130="","",IFERROR(_xll.BDP(TICKER,"DEEP_MEASURE_PERIOD_BROKER_VALUE","DEEP_MEASURE_ID_OVERRIDE",$C130,"DEEP_BROKER_ID_OVERRIDE",$F$7,"DEEP_PERIOD_OVERRIDE",AP$11)*1,"")))</f>
        <v/>
      </c>
      <c r="AQ130" s="17" t="str">
        <f ca="1">IF(ISNA($B130),"",IF($B130="","",IFERROR(_xll.BDP(TICKER,"DEEP_MEASURE_PERIOD_BROKER_VALUE","DEEP_MEASURE_ID_OVERRIDE",$C130,"DEEP_BROKER_ID_OVERRIDE",$F$7,"DEEP_PERIOD_OVERRIDE",AQ$11)*1,"")))</f>
        <v/>
      </c>
    </row>
    <row r="131" spans="2:43" x14ac:dyDescent="0.25">
      <c r="B131" t="s">
        <v>30</v>
      </c>
      <c r="C131" s="11">
        <v>3656</v>
      </c>
      <c r="H131" t="str">
        <f t="shared" si="3"/>
        <v>Interest Expense, Net</v>
      </c>
      <c r="I131" s="17" t="str">
        <f ca="1">IF(ISNA($B131),"",IF($B131="","",IFERROR(_xll.BDP(TICKER,"DEEP_MEASURE_PERIOD_BROKER_VALUE","DEEP_MEASURE_ID_OVERRIDE",$C131,"DEEP_BROKER_ID_OVERRIDE",$F$7,"DEEP_PERIOD_OVERRIDE",I$11)*1,"")))</f>
        <v/>
      </c>
      <c r="J131" s="17" t="str">
        <f ca="1">IF(ISNA($B131),"",IF($B131="","",IFERROR(_xll.BDP(TICKER,"DEEP_MEASURE_PERIOD_BROKER_VALUE","DEEP_MEASURE_ID_OVERRIDE",$C131,"DEEP_BROKER_ID_OVERRIDE",$F$7,"DEEP_PERIOD_OVERRIDE",J$11)*1,"")))</f>
        <v/>
      </c>
      <c r="K131" s="17" t="str">
        <f ca="1">IF(ISNA($B131),"",IF($B131="","",IFERROR(_xll.BDP(TICKER,"DEEP_MEASURE_PERIOD_BROKER_VALUE","DEEP_MEASURE_ID_OVERRIDE",$C131,"DEEP_BROKER_ID_OVERRIDE",$F$7,"DEEP_PERIOD_OVERRIDE",K$11)*1,"")))</f>
        <v/>
      </c>
      <c r="L131" s="17" t="str">
        <f ca="1">IF(ISNA($B131),"",IF($B131="","",IFERROR(_xll.BDP(TICKER,"DEEP_MEASURE_PERIOD_BROKER_VALUE","DEEP_MEASURE_ID_OVERRIDE",$C131,"DEEP_BROKER_ID_OVERRIDE",$F$7,"DEEP_PERIOD_OVERRIDE",L$11)*1,"")))</f>
        <v/>
      </c>
      <c r="M131" s="17" t="str">
        <f ca="1">IF(ISNA($B131),"",IF($B131="","",IFERROR(_xll.BDP(TICKER,"DEEP_MEASURE_PERIOD_BROKER_VALUE","DEEP_MEASURE_ID_OVERRIDE",$C131,"DEEP_BROKER_ID_OVERRIDE",$F$7,"DEEP_PERIOD_OVERRIDE",M$11)*1,"")))</f>
        <v/>
      </c>
      <c r="N131" s="17" t="str">
        <f ca="1">IF(ISNA($B131),"",IF($B131="","",IFERROR(_xll.BDP(TICKER,"DEEP_MEASURE_PERIOD_BROKER_VALUE","DEEP_MEASURE_ID_OVERRIDE",$C131,"DEEP_BROKER_ID_OVERRIDE",$F$7,"DEEP_PERIOD_OVERRIDE",N$11)*1,"")))</f>
        <v/>
      </c>
      <c r="O131" s="17" t="str">
        <f ca="1">IF(ISNA($B131),"",IF($B131="","",IFERROR(_xll.BDP(TICKER,"DEEP_MEASURE_PERIOD_BROKER_VALUE","DEEP_MEASURE_ID_OVERRIDE",$C131,"DEEP_BROKER_ID_OVERRIDE",$F$7,"DEEP_PERIOD_OVERRIDE",O$11)*1,"")))</f>
        <v/>
      </c>
      <c r="P131" s="17" t="str">
        <f ca="1">IF(ISNA($B131),"",IF($B131="","",IFERROR(_xll.BDP(TICKER,"DEEP_MEASURE_PERIOD_BROKER_VALUE","DEEP_MEASURE_ID_OVERRIDE",$C131,"DEEP_BROKER_ID_OVERRIDE",$F$7,"DEEP_PERIOD_OVERRIDE",P$11)*1,"")))</f>
        <v/>
      </c>
      <c r="Q131" s="17" t="str">
        <f ca="1">IF(ISNA($B131),"",IF($B131="","",IFERROR(_xll.BDP(TICKER,"DEEP_MEASURE_PERIOD_BROKER_VALUE","DEEP_MEASURE_ID_OVERRIDE",$C131,"DEEP_BROKER_ID_OVERRIDE",$F$7,"DEEP_PERIOD_OVERRIDE",Q$11)*1,"")))</f>
        <v/>
      </c>
      <c r="R131" s="17" t="str">
        <f ca="1">IF(ISNA($B131),"",IF($B131="","",IFERROR(_xll.BDP(TICKER,"DEEP_MEASURE_PERIOD_BROKER_VALUE","DEEP_MEASURE_ID_OVERRIDE",$C131,"DEEP_BROKER_ID_OVERRIDE",$F$7,"DEEP_PERIOD_OVERRIDE",R$11)*1,"")))</f>
        <v/>
      </c>
      <c r="S131" s="17" t="str">
        <f ca="1">IF(ISNA($B131),"",IF($B131="","",IFERROR(_xll.BDP(TICKER,"DEEP_MEASURE_PERIOD_BROKER_VALUE","DEEP_MEASURE_ID_OVERRIDE",$C131,"DEEP_BROKER_ID_OVERRIDE",$F$7,"DEEP_PERIOD_OVERRIDE",S$11)*1,"")))</f>
        <v/>
      </c>
      <c r="T131" s="17" t="str">
        <f ca="1">IF(ISNA($B131),"",IF($B131="","",IFERROR(_xll.BDP(TICKER,"DEEP_MEASURE_PERIOD_BROKER_VALUE","DEEP_MEASURE_ID_OVERRIDE",$C131,"DEEP_BROKER_ID_OVERRIDE",$F$7,"DEEP_PERIOD_OVERRIDE",T$11)*1,"")))</f>
        <v/>
      </c>
      <c r="U131" s="17" t="str">
        <f ca="1">IF(ISNA($B131),"",IF($B131="","",IFERROR(_xll.BDP(TICKER,"DEEP_MEASURE_PERIOD_BROKER_VALUE","DEEP_MEASURE_ID_OVERRIDE",$C131,"DEEP_BROKER_ID_OVERRIDE",$F$7,"DEEP_PERIOD_OVERRIDE",U$11)*1,"")))</f>
        <v/>
      </c>
      <c r="V131" s="17" t="str">
        <f ca="1">IF(ISNA($B131),"",IF($B131="","",IFERROR(_xll.BDP(TICKER,"DEEP_MEASURE_PERIOD_BROKER_VALUE","DEEP_MEASURE_ID_OVERRIDE",$C131,"DEEP_BROKER_ID_OVERRIDE",$F$7,"DEEP_PERIOD_OVERRIDE",V$11)*1,"")))</f>
        <v/>
      </c>
      <c r="W131" s="17" t="str">
        <f ca="1">IF(ISNA($B131),"",IF($B131="","",IFERROR(_xll.BDP(TICKER,"DEEP_MEASURE_PERIOD_BROKER_VALUE","DEEP_MEASURE_ID_OVERRIDE",$C131,"DEEP_BROKER_ID_OVERRIDE",$F$7,"DEEP_PERIOD_OVERRIDE",W$11)*1,"")))</f>
        <v/>
      </c>
      <c r="X131" s="17" t="str">
        <f ca="1">IF(ISNA($B131),"",IF($B131="","",IFERROR(_xll.BDP(TICKER,"DEEP_MEASURE_PERIOD_BROKER_VALUE","DEEP_MEASURE_ID_OVERRIDE",$C131,"DEEP_BROKER_ID_OVERRIDE",$F$7,"DEEP_PERIOD_OVERRIDE",X$11)*1,"")))</f>
        <v/>
      </c>
      <c r="Y131" s="17" t="str">
        <f ca="1">IF(ISNA($B131),"",IF($B131="","",IFERROR(_xll.BDP(TICKER,"DEEP_MEASURE_PERIOD_BROKER_VALUE","DEEP_MEASURE_ID_OVERRIDE",$C131,"DEEP_BROKER_ID_OVERRIDE",$F$7,"DEEP_PERIOD_OVERRIDE",Y$11)*1,"")))</f>
        <v/>
      </c>
      <c r="Z131" s="17" t="str">
        <f ca="1">IF(ISNA($B131),"",IF($B131="","",IFERROR(_xll.BDP(TICKER,"DEEP_MEASURE_PERIOD_BROKER_VALUE","DEEP_MEASURE_ID_OVERRIDE",$C131,"DEEP_BROKER_ID_OVERRIDE",$F$7,"DEEP_PERIOD_OVERRIDE",Z$11)*1,"")))</f>
        <v/>
      </c>
      <c r="AA131" s="17" t="str">
        <f ca="1">IF(ISNA($B131),"",IF($B131="","",IFERROR(_xll.BDP(TICKER,"DEEP_MEASURE_PERIOD_BROKER_VALUE","DEEP_MEASURE_ID_OVERRIDE",$C131,"DEEP_BROKER_ID_OVERRIDE",$F$7,"DEEP_PERIOD_OVERRIDE",AA$11)*1,"")))</f>
        <v/>
      </c>
      <c r="AB131" s="17" t="str">
        <f ca="1">IF(ISNA($B131),"",IF($B131="","",IFERROR(_xll.BDP(TICKER,"DEEP_MEASURE_PERIOD_BROKER_VALUE","DEEP_MEASURE_ID_OVERRIDE",$C131,"DEEP_BROKER_ID_OVERRIDE",$F$7,"DEEP_PERIOD_OVERRIDE",AB$11)*1,"")))</f>
        <v/>
      </c>
      <c r="AC131" s="17" t="str">
        <f ca="1">IF(ISNA($B131),"",IF($B131="","",IFERROR(_xll.BDP(TICKER,"DEEP_MEASURE_PERIOD_BROKER_VALUE","DEEP_MEASURE_ID_OVERRIDE",$C131,"DEEP_BROKER_ID_OVERRIDE",$F$7,"DEEP_PERIOD_OVERRIDE",AC$11)*1,"")))</f>
        <v/>
      </c>
      <c r="AD131" s="17" t="str">
        <f ca="1">IF(ISNA($B131),"",IF($B131="","",IFERROR(_xll.BDP(TICKER,"DEEP_MEASURE_PERIOD_BROKER_VALUE","DEEP_MEASURE_ID_OVERRIDE",$C131,"DEEP_BROKER_ID_OVERRIDE",$F$7,"DEEP_PERIOD_OVERRIDE",AD$11)*1,"")))</f>
        <v/>
      </c>
      <c r="AE131" s="17" t="str">
        <f ca="1">IF(ISNA($B131),"",IF($B131="","",IFERROR(_xll.BDP(TICKER,"DEEP_MEASURE_PERIOD_BROKER_VALUE","DEEP_MEASURE_ID_OVERRIDE",$C131,"DEEP_BROKER_ID_OVERRIDE",$F$7,"DEEP_PERIOD_OVERRIDE",AE$11)*1,"")))</f>
        <v/>
      </c>
      <c r="AF131" s="17" t="str">
        <f ca="1">IF(ISNA($B131),"",IF($B131="","",IFERROR(_xll.BDP(TICKER,"DEEP_MEASURE_PERIOD_BROKER_VALUE","DEEP_MEASURE_ID_OVERRIDE",$C131,"DEEP_BROKER_ID_OVERRIDE",$F$7,"DEEP_PERIOD_OVERRIDE",AF$11)*1,"")))</f>
        <v/>
      </c>
      <c r="AG131" s="17" t="str">
        <f ca="1">IF(ISNA($B131),"",IF($B131="","",IFERROR(_xll.BDP(TICKER,"DEEP_MEASURE_PERIOD_BROKER_VALUE","DEEP_MEASURE_ID_OVERRIDE",$C131,"DEEP_BROKER_ID_OVERRIDE",$F$7,"DEEP_PERIOD_OVERRIDE",AG$11)*1,"")))</f>
        <v/>
      </c>
      <c r="AH131" s="17" t="str">
        <f ca="1">IF(ISNA($B131),"",IF($B131="","",IFERROR(_xll.BDP(TICKER,"DEEP_MEASURE_PERIOD_BROKER_VALUE","DEEP_MEASURE_ID_OVERRIDE",$C131,"DEEP_BROKER_ID_OVERRIDE",$F$7,"DEEP_PERIOD_OVERRIDE",AH$11)*1,"")))</f>
        <v/>
      </c>
      <c r="AI131" s="17" t="str">
        <f ca="1">IF(ISNA($B131),"",IF($B131="","",IFERROR(_xll.BDP(TICKER,"DEEP_MEASURE_PERIOD_BROKER_VALUE","DEEP_MEASURE_ID_OVERRIDE",$C131,"DEEP_BROKER_ID_OVERRIDE",$F$7,"DEEP_PERIOD_OVERRIDE",AI$11)*1,"")))</f>
        <v/>
      </c>
      <c r="AJ131" s="17" t="str">
        <f ca="1">IF(ISNA($B131),"",IF($B131="","",IFERROR(_xll.BDP(TICKER,"DEEP_MEASURE_PERIOD_BROKER_VALUE","DEEP_MEASURE_ID_OVERRIDE",$C131,"DEEP_BROKER_ID_OVERRIDE",$F$7,"DEEP_PERIOD_OVERRIDE",AJ$11)*1,"")))</f>
        <v/>
      </c>
      <c r="AK131" s="17" t="str">
        <f ca="1">IF(ISNA($B131),"",IF($B131="","",IFERROR(_xll.BDP(TICKER,"DEEP_MEASURE_PERIOD_BROKER_VALUE","DEEP_MEASURE_ID_OVERRIDE",$C131,"DEEP_BROKER_ID_OVERRIDE",$F$7,"DEEP_PERIOD_OVERRIDE",AK$11)*1,"")))</f>
        <v/>
      </c>
      <c r="AL131" s="17" t="str">
        <f ca="1">IF(ISNA($B131),"",IF($B131="","",IFERROR(_xll.BDP(TICKER,"DEEP_MEASURE_PERIOD_BROKER_VALUE","DEEP_MEASURE_ID_OVERRIDE",$C131,"DEEP_BROKER_ID_OVERRIDE",$F$7,"DEEP_PERIOD_OVERRIDE",AL$11)*1,"")))</f>
        <v/>
      </c>
      <c r="AM131" s="17" t="str">
        <f ca="1">IF(ISNA($B131),"",IF($B131="","",IFERROR(_xll.BDP(TICKER,"DEEP_MEASURE_PERIOD_BROKER_VALUE","DEEP_MEASURE_ID_OVERRIDE",$C131,"DEEP_BROKER_ID_OVERRIDE",$F$7,"DEEP_PERIOD_OVERRIDE",AM$11)*1,"")))</f>
        <v/>
      </c>
      <c r="AN131" s="17" t="str">
        <f ca="1">IF(ISNA($B131),"",IF($B131="","",IFERROR(_xll.BDP(TICKER,"DEEP_MEASURE_PERIOD_BROKER_VALUE","DEEP_MEASURE_ID_OVERRIDE",$C131,"DEEP_BROKER_ID_OVERRIDE",$F$7,"DEEP_PERIOD_OVERRIDE",AN$11)*1,"")))</f>
        <v/>
      </c>
      <c r="AO131" s="17" t="str">
        <f ca="1">IF(ISNA($B131),"",IF($B131="","",IFERROR(_xll.BDP(TICKER,"DEEP_MEASURE_PERIOD_BROKER_VALUE","DEEP_MEASURE_ID_OVERRIDE",$C131,"DEEP_BROKER_ID_OVERRIDE",$F$7,"DEEP_PERIOD_OVERRIDE",AO$11)*1,"")))</f>
        <v/>
      </c>
      <c r="AP131" s="17" t="str">
        <f ca="1">IF(ISNA($B131),"",IF($B131="","",IFERROR(_xll.BDP(TICKER,"DEEP_MEASURE_PERIOD_BROKER_VALUE","DEEP_MEASURE_ID_OVERRIDE",$C131,"DEEP_BROKER_ID_OVERRIDE",$F$7,"DEEP_PERIOD_OVERRIDE",AP$11)*1,"")))</f>
        <v/>
      </c>
      <c r="AQ131" s="17" t="str">
        <f ca="1">IF(ISNA($B131),"",IF($B131="","",IFERROR(_xll.BDP(TICKER,"DEEP_MEASURE_PERIOD_BROKER_VALUE","DEEP_MEASURE_ID_OVERRIDE",$C131,"DEEP_BROKER_ID_OVERRIDE",$F$7,"DEEP_PERIOD_OVERRIDE",AQ$11)*1,"")))</f>
        <v/>
      </c>
    </row>
    <row r="132" spans="2:43" x14ac:dyDescent="0.25">
      <c r="B132" t="s">
        <v>48</v>
      </c>
      <c r="C132" s="11">
        <v>349</v>
      </c>
      <c r="H132" t="str">
        <f t="shared" si="3"/>
        <v>Interest Expense, Net &gt; Interest Expense</v>
      </c>
      <c r="I132" s="17" t="str">
        <f ca="1">IF(ISNA($B132),"",IF($B132="","",IFERROR(_xll.BDP(TICKER,"DEEP_MEASURE_PERIOD_BROKER_VALUE","DEEP_MEASURE_ID_OVERRIDE",$C132,"DEEP_BROKER_ID_OVERRIDE",$F$7,"DEEP_PERIOD_OVERRIDE",I$11)*1,"")))</f>
        <v/>
      </c>
      <c r="J132" s="17" t="str">
        <f ca="1">IF(ISNA($B132),"",IF($B132="","",IFERROR(_xll.BDP(TICKER,"DEEP_MEASURE_PERIOD_BROKER_VALUE","DEEP_MEASURE_ID_OVERRIDE",$C132,"DEEP_BROKER_ID_OVERRIDE",$F$7,"DEEP_PERIOD_OVERRIDE",J$11)*1,"")))</f>
        <v/>
      </c>
      <c r="K132" s="17" t="str">
        <f ca="1">IF(ISNA($B132),"",IF($B132="","",IFERROR(_xll.BDP(TICKER,"DEEP_MEASURE_PERIOD_BROKER_VALUE","DEEP_MEASURE_ID_OVERRIDE",$C132,"DEEP_BROKER_ID_OVERRIDE",$F$7,"DEEP_PERIOD_OVERRIDE",K$11)*1,"")))</f>
        <v/>
      </c>
      <c r="L132" s="17" t="str">
        <f ca="1">IF(ISNA($B132),"",IF($B132="","",IFERROR(_xll.BDP(TICKER,"DEEP_MEASURE_PERIOD_BROKER_VALUE","DEEP_MEASURE_ID_OVERRIDE",$C132,"DEEP_BROKER_ID_OVERRIDE",$F$7,"DEEP_PERIOD_OVERRIDE",L$11)*1,"")))</f>
        <v/>
      </c>
      <c r="M132" s="17" t="str">
        <f ca="1">IF(ISNA($B132),"",IF($B132="","",IFERROR(_xll.BDP(TICKER,"DEEP_MEASURE_PERIOD_BROKER_VALUE","DEEP_MEASURE_ID_OVERRIDE",$C132,"DEEP_BROKER_ID_OVERRIDE",$F$7,"DEEP_PERIOD_OVERRIDE",M$11)*1,"")))</f>
        <v/>
      </c>
      <c r="N132" s="17" t="str">
        <f ca="1">IF(ISNA($B132),"",IF($B132="","",IFERROR(_xll.BDP(TICKER,"DEEP_MEASURE_PERIOD_BROKER_VALUE","DEEP_MEASURE_ID_OVERRIDE",$C132,"DEEP_BROKER_ID_OVERRIDE",$F$7,"DEEP_PERIOD_OVERRIDE",N$11)*1,"")))</f>
        <v/>
      </c>
      <c r="O132" s="17" t="str">
        <f ca="1">IF(ISNA($B132),"",IF($B132="","",IFERROR(_xll.BDP(TICKER,"DEEP_MEASURE_PERIOD_BROKER_VALUE","DEEP_MEASURE_ID_OVERRIDE",$C132,"DEEP_BROKER_ID_OVERRIDE",$F$7,"DEEP_PERIOD_OVERRIDE",O$11)*1,"")))</f>
        <v/>
      </c>
      <c r="P132" s="17" t="str">
        <f ca="1">IF(ISNA($B132),"",IF($B132="","",IFERROR(_xll.BDP(TICKER,"DEEP_MEASURE_PERIOD_BROKER_VALUE","DEEP_MEASURE_ID_OVERRIDE",$C132,"DEEP_BROKER_ID_OVERRIDE",$F$7,"DEEP_PERIOD_OVERRIDE",P$11)*1,"")))</f>
        <v/>
      </c>
      <c r="Q132" s="17" t="str">
        <f ca="1">IF(ISNA($B132),"",IF($B132="","",IFERROR(_xll.BDP(TICKER,"DEEP_MEASURE_PERIOD_BROKER_VALUE","DEEP_MEASURE_ID_OVERRIDE",$C132,"DEEP_BROKER_ID_OVERRIDE",$F$7,"DEEP_PERIOD_OVERRIDE",Q$11)*1,"")))</f>
        <v/>
      </c>
      <c r="R132" s="17" t="str">
        <f ca="1">IF(ISNA($B132),"",IF($B132="","",IFERROR(_xll.BDP(TICKER,"DEEP_MEASURE_PERIOD_BROKER_VALUE","DEEP_MEASURE_ID_OVERRIDE",$C132,"DEEP_BROKER_ID_OVERRIDE",$F$7,"DEEP_PERIOD_OVERRIDE",R$11)*1,"")))</f>
        <v/>
      </c>
      <c r="S132" s="17" t="str">
        <f ca="1">IF(ISNA($B132),"",IF($B132="","",IFERROR(_xll.BDP(TICKER,"DEEP_MEASURE_PERIOD_BROKER_VALUE","DEEP_MEASURE_ID_OVERRIDE",$C132,"DEEP_BROKER_ID_OVERRIDE",$F$7,"DEEP_PERIOD_OVERRIDE",S$11)*1,"")))</f>
        <v/>
      </c>
      <c r="T132" s="17" t="str">
        <f ca="1">IF(ISNA($B132),"",IF($B132="","",IFERROR(_xll.BDP(TICKER,"DEEP_MEASURE_PERIOD_BROKER_VALUE","DEEP_MEASURE_ID_OVERRIDE",$C132,"DEEP_BROKER_ID_OVERRIDE",$F$7,"DEEP_PERIOD_OVERRIDE",T$11)*1,"")))</f>
        <v/>
      </c>
      <c r="U132" s="17" t="str">
        <f ca="1">IF(ISNA($B132),"",IF($B132="","",IFERROR(_xll.BDP(TICKER,"DEEP_MEASURE_PERIOD_BROKER_VALUE","DEEP_MEASURE_ID_OVERRIDE",$C132,"DEEP_BROKER_ID_OVERRIDE",$F$7,"DEEP_PERIOD_OVERRIDE",U$11)*1,"")))</f>
        <v/>
      </c>
      <c r="V132" s="17" t="str">
        <f ca="1">IF(ISNA($B132),"",IF($B132="","",IFERROR(_xll.BDP(TICKER,"DEEP_MEASURE_PERIOD_BROKER_VALUE","DEEP_MEASURE_ID_OVERRIDE",$C132,"DEEP_BROKER_ID_OVERRIDE",$F$7,"DEEP_PERIOD_OVERRIDE",V$11)*1,"")))</f>
        <v/>
      </c>
      <c r="W132" s="17" t="str">
        <f ca="1">IF(ISNA($B132),"",IF($B132="","",IFERROR(_xll.BDP(TICKER,"DEEP_MEASURE_PERIOD_BROKER_VALUE","DEEP_MEASURE_ID_OVERRIDE",$C132,"DEEP_BROKER_ID_OVERRIDE",$F$7,"DEEP_PERIOD_OVERRIDE",W$11)*1,"")))</f>
        <v/>
      </c>
      <c r="X132" s="17" t="str">
        <f ca="1">IF(ISNA($B132),"",IF($B132="","",IFERROR(_xll.BDP(TICKER,"DEEP_MEASURE_PERIOD_BROKER_VALUE","DEEP_MEASURE_ID_OVERRIDE",$C132,"DEEP_BROKER_ID_OVERRIDE",$F$7,"DEEP_PERIOD_OVERRIDE",X$11)*1,"")))</f>
        <v/>
      </c>
      <c r="Y132" s="17" t="str">
        <f ca="1">IF(ISNA($B132),"",IF($B132="","",IFERROR(_xll.BDP(TICKER,"DEEP_MEASURE_PERIOD_BROKER_VALUE","DEEP_MEASURE_ID_OVERRIDE",$C132,"DEEP_BROKER_ID_OVERRIDE",$F$7,"DEEP_PERIOD_OVERRIDE",Y$11)*1,"")))</f>
        <v/>
      </c>
      <c r="Z132" s="17" t="str">
        <f ca="1">IF(ISNA($B132),"",IF($B132="","",IFERROR(_xll.BDP(TICKER,"DEEP_MEASURE_PERIOD_BROKER_VALUE","DEEP_MEASURE_ID_OVERRIDE",$C132,"DEEP_BROKER_ID_OVERRIDE",$F$7,"DEEP_PERIOD_OVERRIDE",Z$11)*1,"")))</f>
        <v/>
      </c>
      <c r="AA132" s="17" t="str">
        <f ca="1">IF(ISNA($B132),"",IF($B132="","",IFERROR(_xll.BDP(TICKER,"DEEP_MEASURE_PERIOD_BROKER_VALUE","DEEP_MEASURE_ID_OVERRIDE",$C132,"DEEP_BROKER_ID_OVERRIDE",$F$7,"DEEP_PERIOD_OVERRIDE",AA$11)*1,"")))</f>
        <v/>
      </c>
      <c r="AB132" s="17" t="str">
        <f ca="1">IF(ISNA($B132),"",IF($B132="","",IFERROR(_xll.BDP(TICKER,"DEEP_MEASURE_PERIOD_BROKER_VALUE","DEEP_MEASURE_ID_OVERRIDE",$C132,"DEEP_BROKER_ID_OVERRIDE",$F$7,"DEEP_PERIOD_OVERRIDE",AB$11)*1,"")))</f>
        <v/>
      </c>
      <c r="AC132" s="17" t="str">
        <f ca="1">IF(ISNA($B132),"",IF($B132="","",IFERROR(_xll.BDP(TICKER,"DEEP_MEASURE_PERIOD_BROKER_VALUE","DEEP_MEASURE_ID_OVERRIDE",$C132,"DEEP_BROKER_ID_OVERRIDE",$F$7,"DEEP_PERIOD_OVERRIDE",AC$11)*1,"")))</f>
        <v/>
      </c>
      <c r="AD132" s="17" t="str">
        <f ca="1">IF(ISNA($B132),"",IF($B132="","",IFERROR(_xll.BDP(TICKER,"DEEP_MEASURE_PERIOD_BROKER_VALUE","DEEP_MEASURE_ID_OVERRIDE",$C132,"DEEP_BROKER_ID_OVERRIDE",$F$7,"DEEP_PERIOD_OVERRIDE",AD$11)*1,"")))</f>
        <v/>
      </c>
      <c r="AE132" s="17" t="str">
        <f ca="1">IF(ISNA($B132),"",IF($B132="","",IFERROR(_xll.BDP(TICKER,"DEEP_MEASURE_PERIOD_BROKER_VALUE","DEEP_MEASURE_ID_OVERRIDE",$C132,"DEEP_BROKER_ID_OVERRIDE",$F$7,"DEEP_PERIOD_OVERRIDE",AE$11)*1,"")))</f>
        <v/>
      </c>
      <c r="AF132" s="17" t="str">
        <f ca="1">IF(ISNA($B132),"",IF($B132="","",IFERROR(_xll.BDP(TICKER,"DEEP_MEASURE_PERIOD_BROKER_VALUE","DEEP_MEASURE_ID_OVERRIDE",$C132,"DEEP_BROKER_ID_OVERRIDE",$F$7,"DEEP_PERIOD_OVERRIDE",AF$11)*1,"")))</f>
        <v/>
      </c>
      <c r="AG132" s="17" t="str">
        <f ca="1">IF(ISNA($B132),"",IF($B132="","",IFERROR(_xll.BDP(TICKER,"DEEP_MEASURE_PERIOD_BROKER_VALUE","DEEP_MEASURE_ID_OVERRIDE",$C132,"DEEP_BROKER_ID_OVERRIDE",$F$7,"DEEP_PERIOD_OVERRIDE",AG$11)*1,"")))</f>
        <v/>
      </c>
      <c r="AH132" s="17" t="str">
        <f ca="1">IF(ISNA($B132),"",IF($B132="","",IFERROR(_xll.BDP(TICKER,"DEEP_MEASURE_PERIOD_BROKER_VALUE","DEEP_MEASURE_ID_OVERRIDE",$C132,"DEEP_BROKER_ID_OVERRIDE",$F$7,"DEEP_PERIOD_OVERRIDE",AH$11)*1,"")))</f>
        <v/>
      </c>
      <c r="AI132" s="17" t="str">
        <f ca="1">IF(ISNA($B132),"",IF($B132="","",IFERROR(_xll.BDP(TICKER,"DEEP_MEASURE_PERIOD_BROKER_VALUE","DEEP_MEASURE_ID_OVERRIDE",$C132,"DEEP_BROKER_ID_OVERRIDE",$F$7,"DEEP_PERIOD_OVERRIDE",AI$11)*1,"")))</f>
        <v/>
      </c>
      <c r="AJ132" s="17" t="str">
        <f ca="1">IF(ISNA($B132),"",IF($B132="","",IFERROR(_xll.BDP(TICKER,"DEEP_MEASURE_PERIOD_BROKER_VALUE","DEEP_MEASURE_ID_OVERRIDE",$C132,"DEEP_BROKER_ID_OVERRIDE",$F$7,"DEEP_PERIOD_OVERRIDE",AJ$11)*1,"")))</f>
        <v/>
      </c>
      <c r="AK132" s="17" t="str">
        <f ca="1">IF(ISNA($B132),"",IF($B132="","",IFERROR(_xll.BDP(TICKER,"DEEP_MEASURE_PERIOD_BROKER_VALUE","DEEP_MEASURE_ID_OVERRIDE",$C132,"DEEP_BROKER_ID_OVERRIDE",$F$7,"DEEP_PERIOD_OVERRIDE",AK$11)*1,"")))</f>
        <v/>
      </c>
      <c r="AL132" s="17" t="str">
        <f ca="1">IF(ISNA($B132),"",IF($B132="","",IFERROR(_xll.BDP(TICKER,"DEEP_MEASURE_PERIOD_BROKER_VALUE","DEEP_MEASURE_ID_OVERRIDE",$C132,"DEEP_BROKER_ID_OVERRIDE",$F$7,"DEEP_PERIOD_OVERRIDE",AL$11)*1,"")))</f>
        <v/>
      </c>
      <c r="AM132" s="17" t="str">
        <f ca="1">IF(ISNA($B132),"",IF($B132="","",IFERROR(_xll.BDP(TICKER,"DEEP_MEASURE_PERIOD_BROKER_VALUE","DEEP_MEASURE_ID_OVERRIDE",$C132,"DEEP_BROKER_ID_OVERRIDE",$F$7,"DEEP_PERIOD_OVERRIDE",AM$11)*1,"")))</f>
        <v/>
      </c>
      <c r="AN132" s="17" t="str">
        <f ca="1">IF(ISNA($B132),"",IF($B132="","",IFERROR(_xll.BDP(TICKER,"DEEP_MEASURE_PERIOD_BROKER_VALUE","DEEP_MEASURE_ID_OVERRIDE",$C132,"DEEP_BROKER_ID_OVERRIDE",$F$7,"DEEP_PERIOD_OVERRIDE",AN$11)*1,"")))</f>
        <v/>
      </c>
      <c r="AO132" s="17" t="str">
        <f ca="1">IF(ISNA($B132),"",IF($B132="","",IFERROR(_xll.BDP(TICKER,"DEEP_MEASURE_PERIOD_BROKER_VALUE","DEEP_MEASURE_ID_OVERRIDE",$C132,"DEEP_BROKER_ID_OVERRIDE",$F$7,"DEEP_PERIOD_OVERRIDE",AO$11)*1,"")))</f>
        <v/>
      </c>
      <c r="AP132" s="17" t="str">
        <f ca="1">IF(ISNA($B132),"",IF($B132="","",IFERROR(_xll.BDP(TICKER,"DEEP_MEASURE_PERIOD_BROKER_VALUE","DEEP_MEASURE_ID_OVERRIDE",$C132,"DEEP_BROKER_ID_OVERRIDE",$F$7,"DEEP_PERIOD_OVERRIDE",AP$11)*1,"")))</f>
        <v/>
      </c>
      <c r="AQ132" s="17" t="str">
        <f ca="1">IF(ISNA($B132),"",IF($B132="","",IFERROR(_xll.BDP(TICKER,"DEEP_MEASURE_PERIOD_BROKER_VALUE","DEEP_MEASURE_ID_OVERRIDE",$C132,"DEEP_BROKER_ID_OVERRIDE",$F$7,"DEEP_PERIOD_OVERRIDE",AQ$11)*1,"")))</f>
        <v/>
      </c>
    </row>
    <row r="133" spans="2:43" x14ac:dyDescent="0.25">
      <c r="B133" t="s">
        <v>31</v>
      </c>
      <c r="C133" s="11">
        <v>536</v>
      </c>
      <c r="H133" t="str">
        <f t="shared" si="3"/>
        <v>Pretax Income</v>
      </c>
      <c r="I133" s="17" t="str">
        <f ca="1">IF(ISNA($B133),"",IF($B133="","",IFERROR(_xll.BDP(TICKER,"DEEP_MEASURE_PERIOD_BROKER_VALUE","DEEP_MEASURE_ID_OVERRIDE",$C133,"DEEP_BROKER_ID_OVERRIDE",$F$7,"DEEP_PERIOD_OVERRIDE",I$11)*1,"")))</f>
        <v/>
      </c>
      <c r="J133" s="17" t="str">
        <f ca="1">IF(ISNA($B133),"",IF($B133="","",IFERROR(_xll.BDP(TICKER,"DEEP_MEASURE_PERIOD_BROKER_VALUE","DEEP_MEASURE_ID_OVERRIDE",$C133,"DEEP_BROKER_ID_OVERRIDE",$F$7,"DEEP_PERIOD_OVERRIDE",J$11)*1,"")))</f>
        <v/>
      </c>
      <c r="K133" s="17" t="str">
        <f ca="1">IF(ISNA($B133),"",IF($B133="","",IFERROR(_xll.BDP(TICKER,"DEEP_MEASURE_PERIOD_BROKER_VALUE","DEEP_MEASURE_ID_OVERRIDE",$C133,"DEEP_BROKER_ID_OVERRIDE",$F$7,"DEEP_PERIOD_OVERRIDE",K$11)*1,"")))</f>
        <v/>
      </c>
      <c r="L133" s="17" t="str">
        <f ca="1">IF(ISNA($B133),"",IF($B133="","",IFERROR(_xll.BDP(TICKER,"DEEP_MEASURE_PERIOD_BROKER_VALUE","DEEP_MEASURE_ID_OVERRIDE",$C133,"DEEP_BROKER_ID_OVERRIDE",$F$7,"DEEP_PERIOD_OVERRIDE",L$11)*1,"")))</f>
        <v/>
      </c>
      <c r="M133" s="17" t="str">
        <f ca="1">IF(ISNA($B133),"",IF($B133="","",IFERROR(_xll.BDP(TICKER,"DEEP_MEASURE_PERIOD_BROKER_VALUE","DEEP_MEASURE_ID_OVERRIDE",$C133,"DEEP_BROKER_ID_OVERRIDE",$F$7,"DEEP_PERIOD_OVERRIDE",M$11)*1,"")))</f>
        <v/>
      </c>
      <c r="N133" s="17" t="str">
        <f ca="1">IF(ISNA($B133),"",IF($B133="","",IFERROR(_xll.BDP(TICKER,"DEEP_MEASURE_PERIOD_BROKER_VALUE","DEEP_MEASURE_ID_OVERRIDE",$C133,"DEEP_BROKER_ID_OVERRIDE",$F$7,"DEEP_PERIOD_OVERRIDE",N$11)*1,"")))</f>
        <v/>
      </c>
      <c r="O133" s="17" t="str">
        <f ca="1">IF(ISNA($B133),"",IF($B133="","",IFERROR(_xll.BDP(TICKER,"DEEP_MEASURE_PERIOD_BROKER_VALUE","DEEP_MEASURE_ID_OVERRIDE",$C133,"DEEP_BROKER_ID_OVERRIDE",$F$7,"DEEP_PERIOD_OVERRIDE",O$11)*1,"")))</f>
        <v/>
      </c>
      <c r="P133" s="17" t="str">
        <f ca="1">IF(ISNA($B133),"",IF($B133="","",IFERROR(_xll.BDP(TICKER,"DEEP_MEASURE_PERIOD_BROKER_VALUE","DEEP_MEASURE_ID_OVERRIDE",$C133,"DEEP_BROKER_ID_OVERRIDE",$F$7,"DEEP_PERIOD_OVERRIDE",P$11)*1,"")))</f>
        <v/>
      </c>
      <c r="Q133" s="17" t="str">
        <f ca="1">IF(ISNA($B133),"",IF($B133="","",IFERROR(_xll.BDP(TICKER,"DEEP_MEASURE_PERIOD_BROKER_VALUE","DEEP_MEASURE_ID_OVERRIDE",$C133,"DEEP_BROKER_ID_OVERRIDE",$F$7,"DEEP_PERIOD_OVERRIDE",Q$11)*1,"")))</f>
        <v/>
      </c>
      <c r="R133" s="17" t="str">
        <f ca="1">IF(ISNA($B133),"",IF($B133="","",IFERROR(_xll.BDP(TICKER,"DEEP_MEASURE_PERIOD_BROKER_VALUE","DEEP_MEASURE_ID_OVERRIDE",$C133,"DEEP_BROKER_ID_OVERRIDE",$F$7,"DEEP_PERIOD_OVERRIDE",R$11)*1,"")))</f>
        <v/>
      </c>
      <c r="S133" s="17" t="str">
        <f ca="1">IF(ISNA($B133),"",IF($B133="","",IFERROR(_xll.BDP(TICKER,"DEEP_MEASURE_PERIOD_BROKER_VALUE","DEEP_MEASURE_ID_OVERRIDE",$C133,"DEEP_BROKER_ID_OVERRIDE",$F$7,"DEEP_PERIOD_OVERRIDE",S$11)*1,"")))</f>
        <v/>
      </c>
      <c r="T133" s="17" t="str">
        <f ca="1">IF(ISNA($B133),"",IF($B133="","",IFERROR(_xll.BDP(TICKER,"DEEP_MEASURE_PERIOD_BROKER_VALUE","DEEP_MEASURE_ID_OVERRIDE",$C133,"DEEP_BROKER_ID_OVERRIDE",$F$7,"DEEP_PERIOD_OVERRIDE",T$11)*1,"")))</f>
        <v/>
      </c>
      <c r="U133" s="17" t="str">
        <f ca="1">IF(ISNA($B133),"",IF($B133="","",IFERROR(_xll.BDP(TICKER,"DEEP_MEASURE_PERIOD_BROKER_VALUE","DEEP_MEASURE_ID_OVERRIDE",$C133,"DEEP_BROKER_ID_OVERRIDE",$F$7,"DEEP_PERIOD_OVERRIDE",U$11)*1,"")))</f>
        <v/>
      </c>
      <c r="V133" s="17" t="str">
        <f ca="1">IF(ISNA($B133),"",IF($B133="","",IFERROR(_xll.BDP(TICKER,"DEEP_MEASURE_PERIOD_BROKER_VALUE","DEEP_MEASURE_ID_OVERRIDE",$C133,"DEEP_BROKER_ID_OVERRIDE",$F$7,"DEEP_PERIOD_OVERRIDE",V$11)*1,"")))</f>
        <v/>
      </c>
      <c r="W133" s="17" t="str">
        <f ca="1">IF(ISNA($B133),"",IF($B133="","",IFERROR(_xll.BDP(TICKER,"DEEP_MEASURE_PERIOD_BROKER_VALUE","DEEP_MEASURE_ID_OVERRIDE",$C133,"DEEP_BROKER_ID_OVERRIDE",$F$7,"DEEP_PERIOD_OVERRIDE",W$11)*1,"")))</f>
        <v/>
      </c>
      <c r="X133" s="17" t="str">
        <f ca="1">IF(ISNA($B133),"",IF($B133="","",IFERROR(_xll.BDP(TICKER,"DEEP_MEASURE_PERIOD_BROKER_VALUE","DEEP_MEASURE_ID_OVERRIDE",$C133,"DEEP_BROKER_ID_OVERRIDE",$F$7,"DEEP_PERIOD_OVERRIDE",X$11)*1,"")))</f>
        <v/>
      </c>
      <c r="Y133" s="17" t="str">
        <f ca="1">IF(ISNA($B133),"",IF($B133="","",IFERROR(_xll.BDP(TICKER,"DEEP_MEASURE_PERIOD_BROKER_VALUE","DEEP_MEASURE_ID_OVERRIDE",$C133,"DEEP_BROKER_ID_OVERRIDE",$F$7,"DEEP_PERIOD_OVERRIDE",Y$11)*1,"")))</f>
        <v/>
      </c>
      <c r="Z133" s="17" t="str">
        <f ca="1">IF(ISNA($B133),"",IF($B133="","",IFERROR(_xll.BDP(TICKER,"DEEP_MEASURE_PERIOD_BROKER_VALUE","DEEP_MEASURE_ID_OVERRIDE",$C133,"DEEP_BROKER_ID_OVERRIDE",$F$7,"DEEP_PERIOD_OVERRIDE",Z$11)*1,"")))</f>
        <v/>
      </c>
      <c r="AA133" s="17" t="str">
        <f ca="1">IF(ISNA($B133),"",IF($B133="","",IFERROR(_xll.BDP(TICKER,"DEEP_MEASURE_PERIOD_BROKER_VALUE","DEEP_MEASURE_ID_OVERRIDE",$C133,"DEEP_BROKER_ID_OVERRIDE",$F$7,"DEEP_PERIOD_OVERRIDE",AA$11)*1,"")))</f>
        <v/>
      </c>
      <c r="AB133" s="17" t="str">
        <f ca="1">IF(ISNA($B133),"",IF($B133="","",IFERROR(_xll.BDP(TICKER,"DEEP_MEASURE_PERIOD_BROKER_VALUE","DEEP_MEASURE_ID_OVERRIDE",$C133,"DEEP_BROKER_ID_OVERRIDE",$F$7,"DEEP_PERIOD_OVERRIDE",AB$11)*1,"")))</f>
        <v/>
      </c>
      <c r="AC133" s="17" t="str">
        <f ca="1">IF(ISNA($B133),"",IF($B133="","",IFERROR(_xll.BDP(TICKER,"DEEP_MEASURE_PERIOD_BROKER_VALUE","DEEP_MEASURE_ID_OVERRIDE",$C133,"DEEP_BROKER_ID_OVERRIDE",$F$7,"DEEP_PERIOD_OVERRIDE",AC$11)*1,"")))</f>
        <v/>
      </c>
      <c r="AD133" s="17" t="str">
        <f ca="1">IF(ISNA($B133),"",IF($B133="","",IFERROR(_xll.BDP(TICKER,"DEEP_MEASURE_PERIOD_BROKER_VALUE","DEEP_MEASURE_ID_OVERRIDE",$C133,"DEEP_BROKER_ID_OVERRIDE",$F$7,"DEEP_PERIOD_OVERRIDE",AD$11)*1,"")))</f>
        <v/>
      </c>
      <c r="AE133" s="17" t="str">
        <f ca="1">IF(ISNA($B133),"",IF($B133="","",IFERROR(_xll.BDP(TICKER,"DEEP_MEASURE_PERIOD_BROKER_VALUE","DEEP_MEASURE_ID_OVERRIDE",$C133,"DEEP_BROKER_ID_OVERRIDE",$F$7,"DEEP_PERIOD_OVERRIDE",AE$11)*1,"")))</f>
        <v/>
      </c>
      <c r="AF133" s="17" t="str">
        <f ca="1">IF(ISNA($B133),"",IF($B133="","",IFERROR(_xll.BDP(TICKER,"DEEP_MEASURE_PERIOD_BROKER_VALUE","DEEP_MEASURE_ID_OVERRIDE",$C133,"DEEP_BROKER_ID_OVERRIDE",$F$7,"DEEP_PERIOD_OVERRIDE",AF$11)*1,"")))</f>
        <v/>
      </c>
      <c r="AG133" s="17" t="str">
        <f ca="1">IF(ISNA($B133),"",IF($B133="","",IFERROR(_xll.BDP(TICKER,"DEEP_MEASURE_PERIOD_BROKER_VALUE","DEEP_MEASURE_ID_OVERRIDE",$C133,"DEEP_BROKER_ID_OVERRIDE",$F$7,"DEEP_PERIOD_OVERRIDE",AG$11)*1,"")))</f>
        <v/>
      </c>
      <c r="AH133" s="17" t="str">
        <f ca="1">IF(ISNA($B133),"",IF($B133="","",IFERROR(_xll.BDP(TICKER,"DEEP_MEASURE_PERIOD_BROKER_VALUE","DEEP_MEASURE_ID_OVERRIDE",$C133,"DEEP_BROKER_ID_OVERRIDE",$F$7,"DEEP_PERIOD_OVERRIDE",AH$11)*1,"")))</f>
        <v/>
      </c>
      <c r="AI133" s="17" t="str">
        <f ca="1">IF(ISNA($B133),"",IF($B133="","",IFERROR(_xll.BDP(TICKER,"DEEP_MEASURE_PERIOD_BROKER_VALUE","DEEP_MEASURE_ID_OVERRIDE",$C133,"DEEP_BROKER_ID_OVERRIDE",$F$7,"DEEP_PERIOD_OVERRIDE",AI$11)*1,"")))</f>
        <v/>
      </c>
      <c r="AJ133" s="17" t="str">
        <f ca="1">IF(ISNA($B133),"",IF($B133="","",IFERROR(_xll.BDP(TICKER,"DEEP_MEASURE_PERIOD_BROKER_VALUE","DEEP_MEASURE_ID_OVERRIDE",$C133,"DEEP_BROKER_ID_OVERRIDE",$F$7,"DEEP_PERIOD_OVERRIDE",AJ$11)*1,"")))</f>
        <v/>
      </c>
      <c r="AK133" s="17" t="str">
        <f ca="1">IF(ISNA($B133),"",IF($B133="","",IFERROR(_xll.BDP(TICKER,"DEEP_MEASURE_PERIOD_BROKER_VALUE","DEEP_MEASURE_ID_OVERRIDE",$C133,"DEEP_BROKER_ID_OVERRIDE",$F$7,"DEEP_PERIOD_OVERRIDE",AK$11)*1,"")))</f>
        <v/>
      </c>
      <c r="AL133" s="17" t="str">
        <f ca="1">IF(ISNA($B133),"",IF($B133="","",IFERROR(_xll.BDP(TICKER,"DEEP_MEASURE_PERIOD_BROKER_VALUE","DEEP_MEASURE_ID_OVERRIDE",$C133,"DEEP_BROKER_ID_OVERRIDE",$F$7,"DEEP_PERIOD_OVERRIDE",AL$11)*1,"")))</f>
        <v/>
      </c>
      <c r="AM133" s="17" t="str">
        <f ca="1">IF(ISNA($B133),"",IF($B133="","",IFERROR(_xll.BDP(TICKER,"DEEP_MEASURE_PERIOD_BROKER_VALUE","DEEP_MEASURE_ID_OVERRIDE",$C133,"DEEP_BROKER_ID_OVERRIDE",$F$7,"DEEP_PERIOD_OVERRIDE",AM$11)*1,"")))</f>
        <v/>
      </c>
      <c r="AN133" s="17" t="str">
        <f ca="1">IF(ISNA($B133),"",IF($B133="","",IFERROR(_xll.BDP(TICKER,"DEEP_MEASURE_PERIOD_BROKER_VALUE","DEEP_MEASURE_ID_OVERRIDE",$C133,"DEEP_BROKER_ID_OVERRIDE",$F$7,"DEEP_PERIOD_OVERRIDE",AN$11)*1,"")))</f>
        <v/>
      </c>
      <c r="AO133" s="17" t="str">
        <f ca="1">IF(ISNA($B133),"",IF($B133="","",IFERROR(_xll.BDP(TICKER,"DEEP_MEASURE_PERIOD_BROKER_VALUE","DEEP_MEASURE_ID_OVERRIDE",$C133,"DEEP_BROKER_ID_OVERRIDE",$F$7,"DEEP_PERIOD_OVERRIDE",AO$11)*1,"")))</f>
        <v/>
      </c>
      <c r="AP133" s="17" t="str">
        <f ca="1">IF(ISNA($B133),"",IF($B133="","",IFERROR(_xll.BDP(TICKER,"DEEP_MEASURE_PERIOD_BROKER_VALUE","DEEP_MEASURE_ID_OVERRIDE",$C133,"DEEP_BROKER_ID_OVERRIDE",$F$7,"DEEP_PERIOD_OVERRIDE",AP$11)*1,"")))</f>
        <v/>
      </c>
      <c r="AQ133" s="17" t="str">
        <f ca="1">IF(ISNA($B133),"",IF($B133="","",IFERROR(_xll.BDP(TICKER,"DEEP_MEASURE_PERIOD_BROKER_VALUE","DEEP_MEASURE_ID_OVERRIDE",$C133,"DEEP_BROKER_ID_OVERRIDE",$F$7,"DEEP_PERIOD_OVERRIDE",AQ$11)*1,"")))</f>
        <v/>
      </c>
    </row>
    <row r="134" spans="2:43" x14ac:dyDescent="0.25">
      <c r="B134" t="s">
        <v>171</v>
      </c>
      <c r="C134" s="11">
        <v>3629</v>
      </c>
      <c r="H134" t="str">
        <f t="shared" si="3"/>
        <v>Pretax Income &gt; Pretax Income Margin (%)</v>
      </c>
      <c r="I134" s="17" t="str">
        <f ca="1">IF(ISNA($B134),"",IF($B134="","",IFERROR(_xll.BDP(TICKER,"DEEP_MEASURE_PERIOD_BROKER_VALUE","DEEP_MEASURE_ID_OVERRIDE",$C134,"DEEP_BROKER_ID_OVERRIDE",$F$7,"DEEP_PERIOD_OVERRIDE",I$11)*1,"")))</f>
        <v/>
      </c>
      <c r="J134" s="17" t="str">
        <f ca="1">IF(ISNA($B134),"",IF($B134="","",IFERROR(_xll.BDP(TICKER,"DEEP_MEASURE_PERIOD_BROKER_VALUE","DEEP_MEASURE_ID_OVERRIDE",$C134,"DEEP_BROKER_ID_OVERRIDE",$F$7,"DEEP_PERIOD_OVERRIDE",J$11)*1,"")))</f>
        <v/>
      </c>
      <c r="K134" s="17" t="str">
        <f ca="1">IF(ISNA($B134),"",IF($B134="","",IFERROR(_xll.BDP(TICKER,"DEEP_MEASURE_PERIOD_BROKER_VALUE","DEEP_MEASURE_ID_OVERRIDE",$C134,"DEEP_BROKER_ID_OVERRIDE",$F$7,"DEEP_PERIOD_OVERRIDE",K$11)*1,"")))</f>
        <v/>
      </c>
      <c r="L134" s="17" t="str">
        <f ca="1">IF(ISNA($B134),"",IF($B134="","",IFERROR(_xll.BDP(TICKER,"DEEP_MEASURE_PERIOD_BROKER_VALUE","DEEP_MEASURE_ID_OVERRIDE",$C134,"DEEP_BROKER_ID_OVERRIDE",$F$7,"DEEP_PERIOD_OVERRIDE",L$11)*1,"")))</f>
        <v/>
      </c>
      <c r="M134" s="17" t="str">
        <f ca="1">IF(ISNA($B134),"",IF($B134="","",IFERROR(_xll.BDP(TICKER,"DEEP_MEASURE_PERIOD_BROKER_VALUE","DEEP_MEASURE_ID_OVERRIDE",$C134,"DEEP_BROKER_ID_OVERRIDE",$F$7,"DEEP_PERIOD_OVERRIDE",M$11)*1,"")))</f>
        <v/>
      </c>
      <c r="N134" s="17" t="str">
        <f ca="1">IF(ISNA($B134),"",IF($B134="","",IFERROR(_xll.BDP(TICKER,"DEEP_MEASURE_PERIOD_BROKER_VALUE","DEEP_MEASURE_ID_OVERRIDE",$C134,"DEEP_BROKER_ID_OVERRIDE",$F$7,"DEEP_PERIOD_OVERRIDE",N$11)*1,"")))</f>
        <v/>
      </c>
      <c r="O134" s="17" t="str">
        <f ca="1">IF(ISNA($B134),"",IF($B134="","",IFERROR(_xll.BDP(TICKER,"DEEP_MEASURE_PERIOD_BROKER_VALUE","DEEP_MEASURE_ID_OVERRIDE",$C134,"DEEP_BROKER_ID_OVERRIDE",$F$7,"DEEP_PERIOD_OVERRIDE",O$11)*1,"")))</f>
        <v/>
      </c>
      <c r="P134" s="17" t="str">
        <f ca="1">IF(ISNA($B134),"",IF($B134="","",IFERROR(_xll.BDP(TICKER,"DEEP_MEASURE_PERIOD_BROKER_VALUE","DEEP_MEASURE_ID_OVERRIDE",$C134,"DEEP_BROKER_ID_OVERRIDE",$F$7,"DEEP_PERIOD_OVERRIDE",P$11)*1,"")))</f>
        <v/>
      </c>
      <c r="Q134" s="17" t="str">
        <f ca="1">IF(ISNA($B134),"",IF($B134="","",IFERROR(_xll.BDP(TICKER,"DEEP_MEASURE_PERIOD_BROKER_VALUE","DEEP_MEASURE_ID_OVERRIDE",$C134,"DEEP_BROKER_ID_OVERRIDE",$F$7,"DEEP_PERIOD_OVERRIDE",Q$11)*1,"")))</f>
        <v/>
      </c>
      <c r="R134" s="17" t="str">
        <f ca="1">IF(ISNA($B134),"",IF($B134="","",IFERROR(_xll.BDP(TICKER,"DEEP_MEASURE_PERIOD_BROKER_VALUE","DEEP_MEASURE_ID_OVERRIDE",$C134,"DEEP_BROKER_ID_OVERRIDE",$F$7,"DEEP_PERIOD_OVERRIDE",R$11)*1,"")))</f>
        <v/>
      </c>
      <c r="S134" s="17" t="str">
        <f ca="1">IF(ISNA($B134),"",IF($B134="","",IFERROR(_xll.BDP(TICKER,"DEEP_MEASURE_PERIOD_BROKER_VALUE","DEEP_MEASURE_ID_OVERRIDE",$C134,"DEEP_BROKER_ID_OVERRIDE",$F$7,"DEEP_PERIOD_OVERRIDE",S$11)*1,"")))</f>
        <v/>
      </c>
      <c r="T134" s="17" t="str">
        <f ca="1">IF(ISNA($B134),"",IF($B134="","",IFERROR(_xll.BDP(TICKER,"DEEP_MEASURE_PERIOD_BROKER_VALUE","DEEP_MEASURE_ID_OVERRIDE",$C134,"DEEP_BROKER_ID_OVERRIDE",$F$7,"DEEP_PERIOD_OVERRIDE",T$11)*1,"")))</f>
        <v/>
      </c>
      <c r="U134" s="17" t="str">
        <f ca="1">IF(ISNA($B134),"",IF($B134="","",IFERROR(_xll.BDP(TICKER,"DEEP_MEASURE_PERIOD_BROKER_VALUE","DEEP_MEASURE_ID_OVERRIDE",$C134,"DEEP_BROKER_ID_OVERRIDE",$F$7,"DEEP_PERIOD_OVERRIDE",U$11)*1,"")))</f>
        <v/>
      </c>
      <c r="V134" s="17" t="str">
        <f ca="1">IF(ISNA($B134),"",IF($B134="","",IFERROR(_xll.BDP(TICKER,"DEEP_MEASURE_PERIOD_BROKER_VALUE","DEEP_MEASURE_ID_OVERRIDE",$C134,"DEEP_BROKER_ID_OVERRIDE",$F$7,"DEEP_PERIOD_OVERRIDE",V$11)*1,"")))</f>
        <v/>
      </c>
      <c r="W134" s="17" t="str">
        <f ca="1">IF(ISNA($B134),"",IF($B134="","",IFERROR(_xll.BDP(TICKER,"DEEP_MEASURE_PERIOD_BROKER_VALUE","DEEP_MEASURE_ID_OVERRIDE",$C134,"DEEP_BROKER_ID_OVERRIDE",$F$7,"DEEP_PERIOD_OVERRIDE",W$11)*1,"")))</f>
        <v/>
      </c>
      <c r="X134" s="17" t="str">
        <f ca="1">IF(ISNA($B134),"",IF($B134="","",IFERROR(_xll.BDP(TICKER,"DEEP_MEASURE_PERIOD_BROKER_VALUE","DEEP_MEASURE_ID_OVERRIDE",$C134,"DEEP_BROKER_ID_OVERRIDE",$F$7,"DEEP_PERIOD_OVERRIDE",X$11)*1,"")))</f>
        <v/>
      </c>
      <c r="Y134" s="17" t="str">
        <f ca="1">IF(ISNA($B134),"",IF($B134="","",IFERROR(_xll.BDP(TICKER,"DEEP_MEASURE_PERIOD_BROKER_VALUE","DEEP_MEASURE_ID_OVERRIDE",$C134,"DEEP_BROKER_ID_OVERRIDE",$F$7,"DEEP_PERIOD_OVERRIDE",Y$11)*1,"")))</f>
        <v/>
      </c>
      <c r="Z134" s="17" t="str">
        <f ca="1">IF(ISNA($B134),"",IF($B134="","",IFERROR(_xll.BDP(TICKER,"DEEP_MEASURE_PERIOD_BROKER_VALUE","DEEP_MEASURE_ID_OVERRIDE",$C134,"DEEP_BROKER_ID_OVERRIDE",$F$7,"DEEP_PERIOD_OVERRIDE",Z$11)*1,"")))</f>
        <v/>
      </c>
      <c r="AA134" s="17" t="str">
        <f ca="1">IF(ISNA($B134),"",IF($B134="","",IFERROR(_xll.BDP(TICKER,"DEEP_MEASURE_PERIOD_BROKER_VALUE","DEEP_MEASURE_ID_OVERRIDE",$C134,"DEEP_BROKER_ID_OVERRIDE",$F$7,"DEEP_PERIOD_OVERRIDE",AA$11)*1,"")))</f>
        <v/>
      </c>
      <c r="AB134" s="17" t="str">
        <f ca="1">IF(ISNA($B134),"",IF($B134="","",IFERROR(_xll.BDP(TICKER,"DEEP_MEASURE_PERIOD_BROKER_VALUE","DEEP_MEASURE_ID_OVERRIDE",$C134,"DEEP_BROKER_ID_OVERRIDE",$F$7,"DEEP_PERIOD_OVERRIDE",AB$11)*1,"")))</f>
        <v/>
      </c>
      <c r="AC134" s="17" t="str">
        <f ca="1">IF(ISNA($B134),"",IF($B134="","",IFERROR(_xll.BDP(TICKER,"DEEP_MEASURE_PERIOD_BROKER_VALUE","DEEP_MEASURE_ID_OVERRIDE",$C134,"DEEP_BROKER_ID_OVERRIDE",$F$7,"DEEP_PERIOD_OVERRIDE",AC$11)*1,"")))</f>
        <v/>
      </c>
      <c r="AD134" s="17" t="str">
        <f ca="1">IF(ISNA($B134),"",IF($B134="","",IFERROR(_xll.BDP(TICKER,"DEEP_MEASURE_PERIOD_BROKER_VALUE","DEEP_MEASURE_ID_OVERRIDE",$C134,"DEEP_BROKER_ID_OVERRIDE",$F$7,"DEEP_PERIOD_OVERRIDE",AD$11)*1,"")))</f>
        <v/>
      </c>
      <c r="AE134" s="17" t="str">
        <f ca="1">IF(ISNA($B134),"",IF($B134="","",IFERROR(_xll.BDP(TICKER,"DEEP_MEASURE_PERIOD_BROKER_VALUE","DEEP_MEASURE_ID_OVERRIDE",$C134,"DEEP_BROKER_ID_OVERRIDE",$F$7,"DEEP_PERIOD_OVERRIDE",AE$11)*1,"")))</f>
        <v/>
      </c>
      <c r="AF134" s="17" t="str">
        <f ca="1">IF(ISNA($B134),"",IF($B134="","",IFERROR(_xll.BDP(TICKER,"DEEP_MEASURE_PERIOD_BROKER_VALUE","DEEP_MEASURE_ID_OVERRIDE",$C134,"DEEP_BROKER_ID_OVERRIDE",$F$7,"DEEP_PERIOD_OVERRIDE",AF$11)*1,"")))</f>
        <v/>
      </c>
      <c r="AG134" s="17" t="str">
        <f ca="1">IF(ISNA($B134),"",IF($B134="","",IFERROR(_xll.BDP(TICKER,"DEEP_MEASURE_PERIOD_BROKER_VALUE","DEEP_MEASURE_ID_OVERRIDE",$C134,"DEEP_BROKER_ID_OVERRIDE",$F$7,"DEEP_PERIOD_OVERRIDE",AG$11)*1,"")))</f>
        <v/>
      </c>
      <c r="AH134" s="17" t="str">
        <f ca="1">IF(ISNA($B134),"",IF($B134="","",IFERROR(_xll.BDP(TICKER,"DEEP_MEASURE_PERIOD_BROKER_VALUE","DEEP_MEASURE_ID_OVERRIDE",$C134,"DEEP_BROKER_ID_OVERRIDE",$F$7,"DEEP_PERIOD_OVERRIDE",AH$11)*1,"")))</f>
        <v/>
      </c>
      <c r="AI134" s="17" t="str">
        <f ca="1">IF(ISNA($B134),"",IF($B134="","",IFERROR(_xll.BDP(TICKER,"DEEP_MEASURE_PERIOD_BROKER_VALUE","DEEP_MEASURE_ID_OVERRIDE",$C134,"DEEP_BROKER_ID_OVERRIDE",$F$7,"DEEP_PERIOD_OVERRIDE",AI$11)*1,"")))</f>
        <v/>
      </c>
      <c r="AJ134" s="17" t="str">
        <f ca="1">IF(ISNA($B134),"",IF($B134="","",IFERROR(_xll.BDP(TICKER,"DEEP_MEASURE_PERIOD_BROKER_VALUE","DEEP_MEASURE_ID_OVERRIDE",$C134,"DEEP_BROKER_ID_OVERRIDE",$F$7,"DEEP_PERIOD_OVERRIDE",AJ$11)*1,"")))</f>
        <v/>
      </c>
      <c r="AK134" s="17" t="str">
        <f ca="1">IF(ISNA($B134),"",IF($B134="","",IFERROR(_xll.BDP(TICKER,"DEEP_MEASURE_PERIOD_BROKER_VALUE","DEEP_MEASURE_ID_OVERRIDE",$C134,"DEEP_BROKER_ID_OVERRIDE",$F$7,"DEEP_PERIOD_OVERRIDE",AK$11)*1,"")))</f>
        <v/>
      </c>
      <c r="AL134" s="17" t="str">
        <f ca="1">IF(ISNA($B134),"",IF($B134="","",IFERROR(_xll.BDP(TICKER,"DEEP_MEASURE_PERIOD_BROKER_VALUE","DEEP_MEASURE_ID_OVERRIDE",$C134,"DEEP_BROKER_ID_OVERRIDE",$F$7,"DEEP_PERIOD_OVERRIDE",AL$11)*1,"")))</f>
        <v/>
      </c>
      <c r="AM134" s="17" t="str">
        <f ca="1">IF(ISNA($B134),"",IF($B134="","",IFERROR(_xll.BDP(TICKER,"DEEP_MEASURE_PERIOD_BROKER_VALUE","DEEP_MEASURE_ID_OVERRIDE",$C134,"DEEP_BROKER_ID_OVERRIDE",$F$7,"DEEP_PERIOD_OVERRIDE",AM$11)*1,"")))</f>
        <v/>
      </c>
      <c r="AN134" s="17" t="str">
        <f ca="1">IF(ISNA($B134),"",IF($B134="","",IFERROR(_xll.BDP(TICKER,"DEEP_MEASURE_PERIOD_BROKER_VALUE","DEEP_MEASURE_ID_OVERRIDE",$C134,"DEEP_BROKER_ID_OVERRIDE",$F$7,"DEEP_PERIOD_OVERRIDE",AN$11)*1,"")))</f>
        <v/>
      </c>
      <c r="AO134" s="17" t="str">
        <f ca="1">IF(ISNA($B134),"",IF($B134="","",IFERROR(_xll.BDP(TICKER,"DEEP_MEASURE_PERIOD_BROKER_VALUE","DEEP_MEASURE_ID_OVERRIDE",$C134,"DEEP_BROKER_ID_OVERRIDE",$F$7,"DEEP_PERIOD_OVERRIDE",AO$11)*1,"")))</f>
        <v/>
      </c>
      <c r="AP134" s="17" t="str">
        <f ca="1">IF(ISNA($B134),"",IF($B134="","",IFERROR(_xll.BDP(TICKER,"DEEP_MEASURE_PERIOD_BROKER_VALUE","DEEP_MEASURE_ID_OVERRIDE",$C134,"DEEP_BROKER_ID_OVERRIDE",$F$7,"DEEP_PERIOD_OVERRIDE",AP$11)*1,"")))</f>
        <v/>
      </c>
      <c r="AQ134" s="17" t="str">
        <f ca="1">IF(ISNA($B134),"",IF($B134="","",IFERROR(_xll.BDP(TICKER,"DEEP_MEASURE_PERIOD_BROKER_VALUE","DEEP_MEASURE_ID_OVERRIDE",$C134,"DEEP_BROKER_ID_OVERRIDE",$F$7,"DEEP_PERIOD_OVERRIDE",AQ$11)*1,"")))</f>
        <v/>
      </c>
    </row>
    <row r="135" spans="2:43" x14ac:dyDescent="0.25">
      <c r="B135" t="s">
        <v>19</v>
      </c>
      <c r="C135" s="11">
        <v>351</v>
      </c>
      <c r="H135" t="str">
        <f t="shared" si="3"/>
        <v>Income Tax Expense</v>
      </c>
      <c r="I135" s="17" t="str">
        <f ca="1">IF(ISNA($B135),"",IF($B135="","",IFERROR(_xll.BDP(TICKER,"DEEP_MEASURE_PERIOD_BROKER_VALUE","DEEP_MEASURE_ID_OVERRIDE",$C135,"DEEP_BROKER_ID_OVERRIDE",$F$7,"DEEP_PERIOD_OVERRIDE",I$11)*1,"")))</f>
        <v/>
      </c>
      <c r="J135" s="17" t="str">
        <f ca="1">IF(ISNA($B135),"",IF($B135="","",IFERROR(_xll.BDP(TICKER,"DEEP_MEASURE_PERIOD_BROKER_VALUE","DEEP_MEASURE_ID_OVERRIDE",$C135,"DEEP_BROKER_ID_OVERRIDE",$F$7,"DEEP_PERIOD_OVERRIDE",J$11)*1,"")))</f>
        <v/>
      </c>
      <c r="K135" s="17" t="str">
        <f ca="1">IF(ISNA($B135),"",IF($B135="","",IFERROR(_xll.BDP(TICKER,"DEEP_MEASURE_PERIOD_BROKER_VALUE","DEEP_MEASURE_ID_OVERRIDE",$C135,"DEEP_BROKER_ID_OVERRIDE",$F$7,"DEEP_PERIOD_OVERRIDE",K$11)*1,"")))</f>
        <v/>
      </c>
      <c r="L135" s="17" t="str">
        <f ca="1">IF(ISNA($B135),"",IF($B135="","",IFERROR(_xll.BDP(TICKER,"DEEP_MEASURE_PERIOD_BROKER_VALUE","DEEP_MEASURE_ID_OVERRIDE",$C135,"DEEP_BROKER_ID_OVERRIDE",$F$7,"DEEP_PERIOD_OVERRIDE",L$11)*1,"")))</f>
        <v/>
      </c>
      <c r="M135" s="17" t="str">
        <f ca="1">IF(ISNA($B135),"",IF($B135="","",IFERROR(_xll.BDP(TICKER,"DEEP_MEASURE_PERIOD_BROKER_VALUE","DEEP_MEASURE_ID_OVERRIDE",$C135,"DEEP_BROKER_ID_OVERRIDE",$F$7,"DEEP_PERIOD_OVERRIDE",M$11)*1,"")))</f>
        <v/>
      </c>
      <c r="N135" s="17" t="str">
        <f ca="1">IF(ISNA($B135),"",IF($B135="","",IFERROR(_xll.BDP(TICKER,"DEEP_MEASURE_PERIOD_BROKER_VALUE","DEEP_MEASURE_ID_OVERRIDE",$C135,"DEEP_BROKER_ID_OVERRIDE",$F$7,"DEEP_PERIOD_OVERRIDE",N$11)*1,"")))</f>
        <v/>
      </c>
      <c r="O135" s="17" t="str">
        <f ca="1">IF(ISNA($B135),"",IF($B135="","",IFERROR(_xll.BDP(TICKER,"DEEP_MEASURE_PERIOD_BROKER_VALUE","DEEP_MEASURE_ID_OVERRIDE",$C135,"DEEP_BROKER_ID_OVERRIDE",$F$7,"DEEP_PERIOD_OVERRIDE",O$11)*1,"")))</f>
        <v/>
      </c>
      <c r="P135" s="17" t="str">
        <f ca="1">IF(ISNA($B135),"",IF($B135="","",IFERROR(_xll.BDP(TICKER,"DEEP_MEASURE_PERIOD_BROKER_VALUE","DEEP_MEASURE_ID_OVERRIDE",$C135,"DEEP_BROKER_ID_OVERRIDE",$F$7,"DEEP_PERIOD_OVERRIDE",P$11)*1,"")))</f>
        <v/>
      </c>
      <c r="Q135" s="17" t="str">
        <f ca="1">IF(ISNA($B135),"",IF($B135="","",IFERROR(_xll.BDP(TICKER,"DEEP_MEASURE_PERIOD_BROKER_VALUE","DEEP_MEASURE_ID_OVERRIDE",$C135,"DEEP_BROKER_ID_OVERRIDE",$F$7,"DEEP_PERIOD_OVERRIDE",Q$11)*1,"")))</f>
        <v/>
      </c>
      <c r="R135" s="17" t="str">
        <f ca="1">IF(ISNA($B135),"",IF($B135="","",IFERROR(_xll.BDP(TICKER,"DEEP_MEASURE_PERIOD_BROKER_VALUE","DEEP_MEASURE_ID_OVERRIDE",$C135,"DEEP_BROKER_ID_OVERRIDE",$F$7,"DEEP_PERIOD_OVERRIDE",R$11)*1,"")))</f>
        <v/>
      </c>
      <c r="S135" s="17" t="str">
        <f ca="1">IF(ISNA($B135),"",IF($B135="","",IFERROR(_xll.BDP(TICKER,"DEEP_MEASURE_PERIOD_BROKER_VALUE","DEEP_MEASURE_ID_OVERRIDE",$C135,"DEEP_BROKER_ID_OVERRIDE",$F$7,"DEEP_PERIOD_OVERRIDE",S$11)*1,"")))</f>
        <v/>
      </c>
      <c r="T135" s="17" t="str">
        <f ca="1">IF(ISNA($B135),"",IF($B135="","",IFERROR(_xll.BDP(TICKER,"DEEP_MEASURE_PERIOD_BROKER_VALUE","DEEP_MEASURE_ID_OVERRIDE",$C135,"DEEP_BROKER_ID_OVERRIDE",$F$7,"DEEP_PERIOD_OVERRIDE",T$11)*1,"")))</f>
        <v/>
      </c>
      <c r="U135" s="17" t="str">
        <f ca="1">IF(ISNA($B135),"",IF($B135="","",IFERROR(_xll.BDP(TICKER,"DEEP_MEASURE_PERIOD_BROKER_VALUE","DEEP_MEASURE_ID_OVERRIDE",$C135,"DEEP_BROKER_ID_OVERRIDE",$F$7,"DEEP_PERIOD_OVERRIDE",U$11)*1,"")))</f>
        <v/>
      </c>
      <c r="V135" s="17" t="str">
        <f ca="1">IF(ISNA($B135),"",IF($B135="","",IFERROR(_xll.BDP(TICKER,"DEEP_MEASURE_PERIOD_BROKER_VALUE","DEEP_MEASURE_ID_OVERRIDE",$C135,"DEEP_BROKER_ID_OVERRIDE",$F$7,"DEEP_PERIOD_OVERRIDE",V$11)*1,"")))</f>
        <v/>
      </c>
      <c r="W135" s="17" t="str">
        <f ca="1">IF(ISNA($B135),"",IF($B135="","",IFERROR(_xll.BDP(TICKER,"DEEP_MEASURE_PERIOD_BROKER_VALUE","DEEP_MEASURE_ID_OVERRIDE",$C135,"DEEP_BROKER_ID_OVERRIDE",$F$7,"DEEP_PERIOD_OVERRIDE",W$11)*1,"")))</f>
        <v/>
      </c>
      <c r="X135" s="17" t="str">
        <f ca="1">IF(ISNA($B135),"",IF($B135="","",IFERROR(_xll.BDP(TICKER,"DEEP_MEASURE_PERIOD_BROKER_VALUE","DEEP_MEASURE_ID_OVERRIDE",$C135,"DEEP_BROKER_ID_OVERRIDE",$F$7,"DEEP_PERIOD_OVERRIDE",X$11)*1,"")))</f>
        <v/>
      </c>
      <c r="Y135" s="17" t="str">
        <f ca="1">IF(ISNA($B135),"",IF($B135="","",IFERROR(_xll.BDP(TICKER,"DEEP_MEASURE_PERIOD_BROKER_VALUE","DEEP_MEASURE_ID_OVERRIDE",$C135,"DEEP_BROKER_ID_OVERRIDE",$F$7,"DEEP_PERIOD_OVERRIDE",Y$11)*1,"")))</f>
        <v/>
      </c>
      <c r="Z135" s="17" t="str">
        <f ca="1">IF(ISNA($B135),"",IF($B135="","",IFERROR(_xll.BDP(TICKER,"DEEP_MEASURE_PERIOD_BROKER_VALUE","DEEP_MEASURE_ID_OVERRIDE",$C135,"DEEP_BROKER_ID_OVERRIDE",$F$7,"DEEP_PERIOD_OVERRIDE",Z$11)*1,"")))</f>
        <v/>
      </c>
      <c r="AA135" s="17" t="str">
        <f ca="1">IF(ISNA($B135),"",IF($B135="","",IFERROR(_xll.BDP(TICKER,"DEEP_MEASURE_PERIOD_BROKER_VALUE","DEEP_MEASURE_ID_OVERRIDE",$C135,"DEEP_BROKER_ID_OVERRIDE",$F$7,"DEEP_PERIOD_OVERRIDE",AA$11)*1,"")))</f>
        <v/>
      </c>
      <c r="AB135" s="17" t="str">
        <f ca="1">IF(ISNA($B135),"",IF($B135="","",IFERROR(_xll.BDP(TICKER,"DEEP_MEASURE_PERIOD_BROKER_VALUE","DEEP_MEASURE_ID_OVERRIDE",$C135,"DEEP_BROKER_ID_OVERRIDE",$F$7,"DEEP_PERIOD_OVERRIDE",AB$11)*1,"")))</f>
        <v/>
      </c>
      <c r="AC135" s="17" t="str">
        <f ca="1">IF(ISNA($B135),"",IF($B135="","",IFERROR(_xll.BDP(TICKER,"DEEP_MEASURE_PERIOD_BROKER_VALUE","DEEP_MEASURE_ID_OVERRIDE",$C135,"DEEP_BROKER_ID_OVERRIDE",$F$7,"DEEP_PERIOD_OVERRIDE",AC$11)*1,"")))</f>
        <v/>
      </c>
      <c r="AD135" s="17" t="str">
        <f ca="1">IF(ISNA($B135),"",IF($B135="","",IFERROR(_xll.BDP(TICKER,"DEEP_MEASURE_PERIOD_BROKER_VALUE","DEEP_MEASURE_ID_OVERRIDE",$C135,"DEEP_BROKER_ID_OVERRIDE",$F$7,"DEEP_PERIOD_OVERRIDE",AD$11)*1,"")))</f>
        <v/>
      </c>
      <c r="AE135" s="17" t="str">
        <f ca="1">IF(ISNA($B135),"",IF($B135="","",IFERROR(_xll.BDP(TICKER,"DEEP_MEASURE_PERIOD_BROKER_VALUE","DEEP_MEASURE_ID_OVERRIDE",$C135,"DEEP_BROKER_ID_OVERRIDE",$F$7,"DEEP_PERIOD_OVERRIDE",AE$11)*1,"")))</f>
        <v/>
      </c>
      <c r="AF135" s="17" t="str">
        <f ca="1">IF(ISNA($B135),"",IF($B135="","",IFERROR(_xll.BDP(TICKER,"DEEP_MEASURE_PERIOD_BROKER_VALUE","DEEP_MEASURE_ID_OVERRIDE",$C135,"DEEP_BROKER_ID_OVERRIDE",$F$7,"DEEP_PERIOD_OVERRIDE",AF$11)*1,"")))</f>
        <v/>
      </c>
      <c r="AG135" s="17" t="str">
        <f ca="1">IF(ISNA($B135),"",IF($B135="","",IFERROR(_xll.BDP(TICKER,"DEEP_MEASURE_PERIOD_BROKER_VALUE","DEEP_MEASURE_ID_OVERRIDE",$C135,"DEEP_BROKER_ID_OVERRIDE",$F$7,"DEEP_PERIOD_OVERRIDE",AG$11)*1,"")))</f>
        <v/>
      </c>
      <c r="AH135" s="17" t="str">
        <f ca="1">IF(ISNA($B135),"",IF($B135="","",IFERROR(_xll.BDP(TICKER,"DEEP_MEASURE_PERIOD_BROKER_VALUE","DEEP_MEASURE_ID_OVERRIDE",$C135,"DEEP_BROKER_ID_OVERRIDE",$F$7,"DEEP_PERIOD_OVERRIDE",AH$11)*1,"")))</f>
        <v/>
      </c>
      <c r="AI135" s="17" t="str">
        <f ca="1">IF(ISNA($B135),"",IF($B135="","",IFERROR(_xll.BDP(TICKER,"DEEP_MEASURE_PERIOD_BROKER_VALUE","DEEP_MEASURE_ID_OVERRIDE",$C135,"DEEP_BROKER_ID_OVERRIDE",$F$7,"DEEP_PERIOD_OVERRIDE",AI$11)*1,"")))</f>
        <v/>
      </c>
      <c r="AJ135" s="17" t="str">
        <f ca="1">IF(ISNA($B135),"",IF($B135="","",IFERROR(_xll.BDP(TICKER,"DEEP_MEASURE_PERIOD_BROKER_VALUE","DEEP_MEASURE_ID_OVERRIDE",$C135,"DEEP_BROKER_ID_OVERRIDE",$F$7,"DEEP_PERIOD_OVERRIDE",AJ$11)*1,"")))</f>
        <v/>
      </c>
      <c r="AK135" s="17" t="str">
        <f ca="1">IF(ISNA($B135),"",IF($B135="","",IFERROR(_xll.BDP(TICKER,"DEEP_MEASURE_PERIOD_BROKER_VALUE","DEEP_MEASURE_ID_OVERRIDE",$C135,"DEEP_BROKER_ID_OVERRIDE",$F$7,"DEEP_PERIOD_OVERRIDE",AK$11)*1,"")))</f>
        <v/>
      </c>
      <c r="AL135" s="17" t="str">
        <f ca="1">IF(ISNA($B135),"",IF($B135="","",IFERROR(_xll.BDP(TICKER,"DEEP_MEASURE_PERIOD_BROKER_VALUE","DEEP_MEASURE_ID_OVERRIDE",$C135,"DEEP_BROKER_ID_OVERRIDE",$F$7,"DEEP_PERIOD_OVERRIDE",AL$11)*1,"")))</f>
        <v/>
      </c>
      <c r="AM135" s="17" t="str">
        <f ca="1">IF(ISNA($B135),"",IF($B135="","",IFERROR(_xll.BDP(TICKER,"DEEP_MEASURE_PERIOD_BROKER_VALUE","DEEP_MEASURE_ID_OVERRIDE",$C135,"DEEP_BROKER_ID_OVERRIDE",$F$7,"DEEP_PERIOD_OVERRIDE",AM$11)*1,"")))</f>
        <v/>
      </c>
      <c r="AN135" s="17" t="str">
        <f ca="1">IF(ISNA($B135),"",IF($B135="","",IFERROR(_xll.BDP(TICKER,"DEEP_MEASURE_PERIOD_BROKER_VALUE","DEEP_MEASURE_ID_OVERRIDE",$C135,"DEEP_BROKER_ID_OVERRIDE",$F$7,"DEEP_PERIOD_OVERRIDE",AN$11)*1,"")))</f>
        <v/>
      </c>
      <c r="AO135" s="17" t="str">
        <f ca="1">IF(ISNA($B135),"",IF($B135="","",IFERROR(_xll.BDP(TICKER,"DEEP_MEASURE_PERIOD_BROKER_VALUE","DEEP_MEASURE_ID_OVERRIDE",$C135,"DEEP_BROKER_ID_OVERRIDE",$F$7,"DEEP_PERIOD_OVERRIDE",AO$11)*1,"")))</f>
        <v/>
      </c>
      <c r="AP135" s="17" t="str">
        <f ca="1">IF(ISNA($B135),"",IF($B135="","",IFERROR(_xll.BDP(TICKER,"DEEP_MEASURE_PERIOD_BROKER_VALUE","DEEP_MEASURE_ID_OVERRIDE",$C135,"DEEP_BROKER_ID_OVERRIDE",$F$7,"DEEP_PERIOD_OVERRIDE",AP$11)*1,"")))</f>
        <v/>
      </c>
      <c r="AQ135" s="17" t="str">
        <f ca="1">IF(ISNA($B135),"",IF($B135="","",IFERROR(_xll.BDP(TICKER,"DEEP_MEASURE_PERIOD_BROKER_VALUE","DEEP_MEASURE_ID_OVERRIDE",$C135,"DEEP_BROKER_ID_OVERRIDE",$F$7,"DEEP_PERIOD_OVERRIDE",AQ$11)*1,"")))</f>
        <v/>
      </c>
    </row>
    <row r="136" spans="2:43" x14ac:dyDescent="0.25">
      <c r="B136" t="s">
        <v>22</v>
      </c>
      <c r="C136" s="11">
        <v>393</v>
      </c>
      <c r="H136" t="str">
        <f t="shared" si="3"/>
        <v>Income Tax Expense &gt; Effective Tax Rate (%)</v>
      </c>
      <c r="I136" s="17" t="str">
        <f ca="1">IF(ISNA($B136),"",IF($B136="","",IFERROR(_xll.BDP(TICKER,"DEEP_MEASURE_PERIOD_BROKER_VALUE","DEEP_MEASURE_ID_OVERRIDE",$C136,"DEEP_BROKER_ID_OVERRIDE",$F$7,"DEEP_PERIOD_OVERRIDE",I$11)*1,"")))</f>
        <v/>
      </c>
      <c r="J136" s="17" t="str">
        <f ca="1">IF(ISNA($B136),"",IF($B136="","",IFERROR(_xll.BDP(TICKER,"DEEP_MEASURE_PERIOD_BROKER_VALUE","DEEP_MEASURE_ID_OVERRIDE",$C136,"DEEP_BROKER_ID_OVERRIDE",$F$7,"DEEP_PERIOD_OVERRIDE",J$11)*1,"")))</f>
        <v/>
      </c>
      <c r="K136" s="17" t="str">
        <f ca="1">IF(ISNA($B136),"",IF($B136="","",IFERROR(_xll.BDP(TICKER,"DEEP_MEASURE_PERIOD_BROKER_VALUE","DEEP_MEASURE_ID_OVERRIDE",$C136,"DEEP_BROKER_ID_OVERRIDE",$F$7,"DEEP_PERIOD_OVERRIDE",K$11)*1,"")))</f>
        <v/>
      </c>
      <c r="L136" s="17" t="str">
        <f ca="1">IF(ISNA($B136),"",IF($B136="","",IFERROR(_xll.BDP(TICKER,"DEEP_MEASURE_PERIOD_BROKER_VALUE","DEEP_MEASURE_ID_OVERRIDE",$C136,"DEEP_BROKER_ID_OVERRIDE",$F$7,"DEEP_PERIOD_OVERRIDE",L$11)*1,"")))</f>
        <v/>
      </c>
      <c r="M136" s="17" t="str">
        <f ca="1">IF(ISNA($B136),"",IF($B136="","",IFERROR(_xll.BDP(TICKER,"DEEP_MEASURE_PERIOD_BROKER_VALUE","DEEP_MEASURE_ID_OVERRIDE",$C136,"DEEP_BROKER_ID_OVERRIDE",$F$7,"DEEP_PERIOD_OVERRIDE",M$11)*1,"")))</f>
        <v/>
      </c>
      <c r="N136" s="17" t="str">
        <f ca="1">IF(ISNA($B136),"",IF($B136="","",IFERROR(_xll.BDP(TICKER,"DEEP_MEASURE_PERIOD_BROKER_VALUE","DEEP_MEASURE_ID_OVERRIDE",$C136,"DEEP_BROKER_ID_OVERRIDE",$F$7,"DEEP_PERIOD_OVERRIDE",N$11)*1,"")))</f>
        <v/>
      </c>
      <c r="O136" s="17" t="str">
        <f ca="1">IF(ISNA($B136),"",IF($B136="","",IFERROR(_xll.BDP(TICKER,"DEEP_MEASURE_PERIOD_BROKER_VALUE","DEEP_MEASURE_ID_OVERRIDE",$C136,"DEEP_BROKER_ID_OVERRIDE",$F$7,"DEEP_PERIOD_OVERRIDE",O$11)*1,"")))</f>
        <v/>
      </c>
      <c r="P136" s="17" t="str">
        <f ca="1">IF(ISNA($B136),"",IF($B136="","",IFERROR(_xll.BDP(TICKER,"DEEP_MEASURE_PERIOD_BROKER_VALUE","DEEP_MEASURE_ID_OVERRIDE",$C136,"DEEP_BROKER_ID_OVERRIDE",$F$7,"DEEP_PERIOD_OVERRIDE",P$11)*1,"")))</f>
        <v/>
      </c>
      <c r="Q136" s="17" t="str">
        <f ca="1">IF(ISNA($B136),"",IF($B136="","",IFERROR(_xll.BDP(TICKER,"DEEP_MEASURE_PERIOD_BROKER_VALUE","DEEP_MEASURE_ID_OVERRIDE",$C136,"DEEP_BROKER_ID_OVERRIDE",$F$7,"DEEP_PERIOD_OVERRIDE",Q$11)*1,"")))</f>
        <v/>
      </c>
      <c r="R136" s="17" t="str">
        <f ca="1">IF(ISNA($B136),"",IF($B136="","",IFERROR(_xll.BDP(TICKER,"DEEP_MEASURE_PERIOD_BROKER_VALUE","DEEP_MEASURE_ID_OVERRIDE",$C136,"DEEP_BROKER_ID_OVERRIDE",$F$7,"DEEP_PERIOD_OVERRIDE",R$11)*1,"")))</f>
        <v/>
      </c>
      <c r="S136" s="17" t="str">
        <f ca="1">IF(ISNA($B136),"",IF($B136="","",IFERROR(_xll.BDP(TICKER,"DEEP_MEASURE_PERIOD_BROKER_VALUE","DEEP_MEASURE_ID_OVERRIDE",$C136,"DEEP_BROKER_ID_OVERRIDE",$F$7,"DEEP_PERIOD_OVERRIDE",S$11)*1,"")))</f>
        <v/>
      </c>
      <c r="T136" s="17" t="str">
        <f ca="1">IF(ISNA($B136),"",IF($B136="","",IFERROR(_xll.BDP(TICKER,"DEEP_MEASURE_PERIOD_BROKER_VALUE","DEEP_MEASURE_ID_OVERRIDE",$C136,"DEEP_BROKER_ID_OVERRIDE",$F$7,"DEEP_PERIOD_OVERRIDE",T$11)*1,"")))</f>
        <v/>
      </c>
      <c r="U136" s="17" t="str">
        <f ca="1">IF(ISNA($B136),"",IF($B136="","",IFERROR(_xll.BDP(TICKER,"DEEP_MEASURE_PERIOD_BROKER_VALUE","DEEP_MEASURE_ID_OVERRIDE",$C136,"DEEP_BROKER_ID_OVERRIDE",$F$7,"DEEP_PERIOD_OVERRIDE",U$11)*1,"")))</f>
        <v/>
      </c>
      <c r="V136" s="17" t="str">
        <f ca="1">IF(ISNA($B136),"",IF($B136="","",IFERROR(_xll.BDP(TICKER,"DEEP_MEASURE_PERIOD_BROKER_VALUE","DEEP_MEASURE_ID_OVERRIDE",$C136,"DEEP_BROKER_ID_OVERRIDE",$F$7,"DEEP_PERIOD_OVERRIDE",V$11)*1,"")))</f>
        <v/>
      </c>
      <c r="W136" s="17" t="str">
        <f ca="1">IF(ISNA($B136),"",IF($B136="","",IFERROR(_xll.BDP(TICKER,"DEEP_MEASURE_PERIOD_BROKER_VALUE","DEEP_MEASURE_ID_OVERRIDE",$C136,"DEEP_BROKER_ID_OVERRIDE",$F$7,"DEEP_PERIOD_OVERRIDE",W$11)*1,"")))</f>
        <v/>
      </c>
      <c r="X136" s="17" t="str">
        <f ca="1">IF(ISNA($B136),"",IF($B136="","",IFERROR(_xll.BDP(TICKER,"DEEP_MEASURE_PERIOD_BROKER_VALUE","DEEP_MEASURE_ID_OVERRIDE",$C136,"DEEP_BROKER_ID_OVERRIDE",$F$7,"DEEP_PERIOD_OVERRIDE",X$11)*1,"")))</f>
        <v/>
      </c>
      <c r="Y136" s="17" t="str">
        <f ca="1">IF(ISNA($B136),"",IF($B136="","",IFERROR(_xll.BDP(TICKER,"DEEP_MEASURE_PERIOD_BROKER_VALUE","DEEP_MEASURE_ID_OVERRIDE",$C136,"DEEP_BROKER_ID_OVERRIDE",$F$7,"DEEP_PERIOD_OVERRIDE",Y$11)*1,"")))</f>
        <v/>
      </c>
      <c r="Z136" s="17" t="str">
        <f ca="1">IF(ISNA($B136),"",IF($B136="","",IFERROR(_xll.BDP(TICKER,"DEEP_MEASURE_PERIOD_BROKER_VALUE","DEEP_MEASURE_ID_OVERRIDE",$C136,"DEEP_BROKER_ID_OVERRIDE",$F$7,"DEEP_PERIOD_OVERRIDE",Z$11)*1,"")))</f>
        <v/>
      </c>
      <c r="AA136" s="17" t="str">
        <f ca="1">IF(ISNA($B136),"",IF($B136="","",IFERROR(_xll.BDP(TICKER,"DEEP_MEASURE_PERIOD_BROKER_VALUE","DEEP_MEASURE_ID_OVERRIDE",$C136,"DEEP_BROKER_ID_OVERRIDE",$F$7,"DEEP_PERIOD_OVERRIDE",AA$11)*1,"")))</f>
        <v/>
      </c>
      <c r="AB136" s="17" t="str">
        <f ca="1">IF(ISNA($B136),"",IF($B136="","",IFERROR(_xll.BDP(TICKER,"DEEP_MEASURE_PERIOD_BROKER_VALUE","DEEP_MEASURE_ID_OVERRIDE",$C136,"DEEP_BROKER_ID_OVERRIDE",$F$7,"DEEP_PERIOD_OVERRIDE",AB$11)*1,"")))</f>
        <v/>
      </c>
      <c r="AC136" s="17" t="str">
        <f ca="1">IF(ISNA($B136),"",IF($B136="","",IFERROR(_xll.BDP(TICKER,"DEEP_MEASURE_PERIOD_BROKER_VALUE","DEEP_MEASURE_ID_OVERRIDE",$C136,"DEEP_BROKER_ID_OVERRIDE",$F$7,"DEEP_PERIOD_OVERRIDE",AC$11)*1,"")))</f>
        <v/>
      </c>
      <c r="AD136" s="17" t="str">
        <f ca="1">IF(ISNA($B136),"",IF($B136="","",IFERROR(_xll.BDP(TICKER,"DEEP_MEASURE_PERIOD_BROKER_VALUE","DEEP_MEASURE_ID_OVERRIDE",$C136,"DEEP_BROKER_ID_OVERRIDE",$F$7,"DEEP_PERIOD_OVERRIDE",AD$11)*1,"")))</f>
        <v/>
      </c>
      <c r="AE136" s="17" t="str">
        <f ca="1">IF(ISNA($B136),"",IF($B136="","",IFERROR(_xll.BDP(TICKER,"DEEP_MEASURE_PERIOD_BROKER_VALUE","DEEP_MEASURE_ID_OVERRIDE",$C136,"DEEP_BROKER_ID_OVERRIDE",$F$7,"DEEP_PERIOD_OVERRIDE",AE$11)*1,"")))</f>
        <v/>
      </c>
      <c r="AF136" s="17" t="str">
        <f ca="1">IF(ISNA($B136),"",IF($B136="","",IFERROR(_xll.BDP(TICKER,"DEEP_MEASURE_PERIOD_BROKER_VALUE","DEEP_MEASURE_ID_OVERRIDE",$C136,"DEEP_BROKER_ID_OVERRIDE",$F$7,"DEEP_PERIOD_OVERRIDE",AF$11)*1,"")))</f>
        <v/>
      </c>
      <c r="AG136" s="17" t="str">
        <f ca="1">IF(ISNA($B136),"",IF($B136="","",IFERROR(_xll.BDP(TICKER,"DEEP_MEASURE_PERIOD_BROKER_VALUE","DEEP_MEASURE_ID_OVERRIDE",$C136,"DEEP_BROKER_ID_OVERRIDE",$F$7,"DEEP_PERIOD_OVERRIDE",AG$11)*1,"")))</f>
        <v/>
      </c>
      <c r="AH136" s="17" t="str">
        <f ca="1">IF(ISNA($B136),"",IF($B136="","",IFERROR(_xll.BDP(TICKER,"DEEP_MEASURE_PERIOD_BROKER_VALUE","DEEP_MEASURE_ID_OVERRIDE",$C136,"DEEP_BROKER_ID_OVERRIDE",$F$7,"DEEP_PERIOD_OVERRIDE",AH$11)*1,"")))</f>
        <v/>
      </c>
      <c r="AI136" s="17" t="str">
        <f ca="1">IF(ISNA($B136),"",IF($B136="","",IFERROR(_xll.BDP(TICKER,"DEEP_MEASURE_PERIOD_BROKER_VALUE","DEEP_MEASURE_ID_OVERRIDE",$C136,"DEEP_BROKER_ID_OVERRIDE",$F$7,"DEEP_PERIOD_OVERRIDE",AI$11)*1,"")))</f>
        <v/>
      </c>
      <c r="AJ136" s="17" t="str">
        <f ca="1">IF(ISNA($B136),"",IF($B136="","",IFERROR(_xll.BDP(TICKER,"DEEP_MEASURE_PERIOD_BROKER_VALUE","DEEP_MEASURE_ID_OVERRIDE",$C136,"DEEP_BROKER_ID_OVERRIDE",$F$7,"DEEP_PERIOD_OVERRIDE",AJ$11)*1,"")))</f>
        <v/>
      </c>
      <c r="AK136" s="17" t="str">
        <f ca="1">IF(ISNA($B136),"",IF($B136="","",IFERROR(_xll.BDP(TICKER,"DEEP_MEASURE_PERIOD_BROKER_VALUE","DEEP_MEASURE_ID_OVERRIDE",$C136,"DEEP_BROKER_ID_OVERRIDE",$F$7,"DEEP_PERIOD_OVERRIDE",AK$11)*1,"")))</f>
        <v/>
      </c>
      <c r="AL136" s="17" t="str">
        <f ca="1">IF(ISNA($B136),"",IF($B136="","",IFERROR(_xll.BDP(TICKER,"DEEP_MEASURE_PERIOD_BROKER_VALUE","DEEP_MEASURE_ID_OVERRIDE",$C136,"DEEP_BROKER_ID_OVERRIDE",$F$7,"DEEP_PERIOD_OVERRIDE",AL$11)*1,"")))</f>
        <v/>
      </c>
      <c r="AM136" s="17" t="str">
        <f ca="1">IF(ISNA($B136),"",IF($B136="","",IFERROR(_xll.BDP(TICKER,"DEEP_MEASURE_PERIOD_BROKER_VALUE","DEEP_MEASURE_ID_OVERRIDE",$C136,"DEEP_BROKER_ID_OVERRIDE",$F$7,"DEEP_PERIOD_OVERRIDE",AM$11)*1,"")))</f>
        <v/>
      </c>
      <c r="AN136" s="17" t="str">
        <f ca="1">IF(ISNA($B136),"",IF($B136="","",IFERROR(_xll.BDP(TICKER,"DEEP_MEASURE_PERIOD_BROKER_VALUE","DEEP_MEASURE_ID_OVERRIDE",$C136,"DEEP_BROKER_ID_OVERRIDE",$F$7,"DEEP_PERIOD_OVERRIDE",AN$11)*1,"")))</f>
        <v/>
      </c>
      <c r="AO136" s="17" t="str">
        <f ca="1">IF(ISNA($B136),"",IF($B136="","",IFERROR(_xll.BDP(TICKER,"DEEP_MEASURE_PERIOD_BROKER_VALUE","DEEP_MEASURE_ID_OVERRIDE",$C136,"DEEP_BROKER_ID_OVERRIDE",$F$7,"DEEP_PERIOD_OVERRIDE",AO$11)*1,"")))</f>
        <v/>
      </c>
      <c r="AP136" s="17" t="str">
        <f ca="1">IF(ISNA($B136),"",IF($B136="","",IFERROR(_xll.BDP(TICKER,"DEEP_MEASURE_PERIOD_BROKER_VALUE","DEEP_MEASURE_ID_OVERRIDE",$C136,"DEEP_BROKER_ID_OVERRIDE",$F$7,"DEEP_PERIOD_OVERRIDE",AP$11)*1,"")))</f>
        <v/>
      </c>
      <c r="AQ136" s="17" t="str">
        <f ca="1">IF(ISNA($B136),"",IF($B136="","",IFERROR(_xll.BDP(TICKER,"DEEP_MEASURE_PERIOD_BROKER_VALUE","DEEP_MEASURE_ID_OVERRIDE",$C136,"DEEP_BROKER_ID_OVERRIDE",$F$7,"DEEP_PERIOD_OVERRIDE",AQ$11)*1,"")))</f>
        <v/>
      </c>
    </row>
    <row r="137" spans="2:43" x14ac:dyDescent="0.25">
      <c r="B137" t="s">
        <v>172</v>
      </c>
      <c r="C137">
        <v>352</v>
      </c>
      <c r="H137" t="str">
        <f t="shared" si="3"/>
        <v>Net Income</v>
      </c>
      <c r="I137" s="17" t="str">
        <f ca="1">IF(ISNA($B137),"",IF($B137="","",IFERROR(_xll.BDP(TICKER,"DEEP_MEASURE_PERIOD_BROKER_VALUE","DEEP_MEASURE_ID_OVERRIDE",$C137,"DEEP_BROKER_ID_OVERRIDE",$F$7,"DEEP_PERIOD_OVERRIDE",I$11)*1,"")))</f>
        <v/>
      </c>
      <c r="J137" s="17" t="str">
        <f ca="1">IF(ISNA($B137),"",IF($B137="","",IFERROR(_xll.BDP(TICKER,"DEEP_MEASURE_PERIOD_BROKER_VALUE","DEEP_MEASURE_ID_OVERRIDE",$C137,"DEEP_BROKER_ID_OVERRIDE",$F$7,"DEEP_PERIOD_OVERRIDE",J$11)*1,"")))</f>
        <v/>
      </c>
      <c r="K137" s="17" t="str">
        <f ca="1">IF(ISNA($B137),"",IF($B137="","",IFERROR(_xll.BDP(TICKER,"DEEP_MEASURE_PERIOD_BROKER_VALUE","DEEP_MEASURE_ID_OVERRIDE",$C137,"DEEP_BROKER_ID_OVERRIDE",$F$7,"DEEP_PERIOD_OVERRIDE",K$11)*1,"")))</f>
        <v/>
      </c>
      <c r="L137" s="17" t="str">
        <f ca="1">IF(ISNA($B137),"",IF($B137="","",IFERROR(_xll.BDP(TICKER,"DEEP_MEASURE_PERIOD_BROKER_VALUE","DEEP_MEASURE_ID_OVERRIDE",$C137,"DEEP_BROKER_ID_OVERRIDE",$F$7,"DEEP_PERIOD_OVERRIDE",L$11)*1,"")))</f>
        <v/>
      </c>
      <c r="M137" s="17" t="str">
        <f ca="1">IF(ISNA($B137),"",IF($B137="","",IFERROR(_xll.BDP(TICKER,"DEEP_MEASURE_PERIOD_BROKER_VALUE","DEEP_MEASURE_ID_OVERRIDE",$C137,"DEEP_BROKER_ID_OVERRIDE",$F$7,"DEEP_PERIOD_OVERRIDE",M$11)*1,"")))</f>
        <v/>
      </c>
      <c r="N137" s="17" t="str">
        <f ca="1">IF(ISNA($B137),"",IF($B137="","",IFERROR(_xll.BDP(TICKER,"DEEP_MEASURE_PERIOD_BROKER_VALUE","DEEP_MEASURE_ID_OVERRIDE",$C137,"DEEP_BROKER_ID_OVERRIDE",$F$7,"DEEP_PERIOD_OVERRIDE",N$11)*1,"")))</f>
        <v/>
      </c>
      <c r="O137" s="17" t="str">
        <f ca="1">IF(ISNA($B137),"",IF($B137="","",IFERROR(_xll.BDP(TICKER,"DEEP_MEASURE_PERIOD_BROKER_VALUE","DEEP_MEASURE_ID_OVERRIDE",$C137,"DEEP_BROKER_ID_OVERRIDE",$F$7,"DEEP_PERIOD_OVERRIDE",O$11)*1,"")))</f>
        <v/>
      </c>
      <c r="P137" s="17" t="str">
        <f ca="1">IF(ISNA($B137),"",IF($B137="","",IFERROR(_xll.BDP(TICKER,"DEEP_MEASURE_PERIOD_BROKER_VALUE","DEEP_MEASURE_ID_OVERRIDE",$C137,"DEEP_BROKER_ID_OVERRIDE",$F$7,"DEEP_PERIOD_OVERRIDE",P$11)*1,"")))</f>
        <v/>
      </c>
      <c r="Q137" s="17" t="str">
        <f ca="1">IF(ISNA($B137),"",IF($B137="","",IFERROR(_xll.BDP(TICKER,"DEEP_MEASURE_PERIOD_BROKER_VALUE","DEEP_MEASURE_ID_OVERRIDE",$C137,"DEEP_BROKER_ID_OVERRIDE",$F$7,"DEEP_PERIOD_OVERRIDE",Q$11)*1,"")))</f>
        <v/>
      </c>
      <c r="R137" s="17" t="str">
        <f ca="1">IF(ISNA($B137),"",IF($B137="","",IFERROR(_xll.BDP(TICKER,"DEEP_MEASURE_PERIOD_BROKER_VALUE","DEEP_MEASURE_ID_OVERRIDE",$C137,"DEEP_BROKER_ID_OVERRIDE",$F$7,"DEEP_PERIOD_OVERRIDE",R$11)*1,"")))</f>
        <v/>
      </c>
      <c r="S137" s="17" t="str">
        <f ca="1">IF(ISNA($B137),"",IF($B137="","",IFERROR(_xll.BDP(TICKER,"DEEP_MEASURE_PERIOD_BROKER_VALUE","DEEP_MEASURE_ID_OVERRIDE",$C137,"DEEP_BROKER_ID_OVERRIDE",$F$7,"DEEP_PERIOD_OVERRIDE",S$11)*1,"")))</f>
        <v/>
      </c>
      <c r="T137" s="17" t="str">
        <f ca="1">IF(ISNA($B137),"",IF($B137="","",IFERROR(_xll.BDP(TICKER,"DEEP_MEASURE_PERIOD_BROKER_VALUE","DEEP_MEASURE_ID_OVERRIDE",$C137,"DEEP_BROKER_ID_OVERRIDE",$F$7,"DEEP_PERIOD_OVERRIDE",T$11)*1,"")))</f>
        <v/>
      </c>
      <c r="U137" s="17" t="str">
        <f ca="1">IF(ISNA($B137),"",IF($B137="","",IFERROR(_xll.BDP(TICKER,"DEEP_MEASURE_PERIOD_BROKER_VALUE","DEEP_MEASURE_ID_OVERRIDE",$C137,"DEEP_BROKER_ID_OVERRIDE",$F$7,"DEEP_PERIOD_OVERRIDE",U$11)*1,"")))</f>
        <v/>
      </c>
      <c r="V137" s="17" t="str">
        <f ca="1">IF(ISNA($B137),"",IF($B137="","",IFERROR(_xll.BDP(TICKER,"DEEP_MEASURE_PERIOD_BROKER_VALUE","DEEP_MEASURE_ID_OVERRIDE",$C137,"DEEP_BROKER_ID_OVERRIDE",$F$7,"DEEP_PERIOD_OVERRIDE",V$11)*1,"")))</f>
        <v/>
      </c>
      <c r="W137" s="17" t="str">
        <f ca="1">IF(ISNA($B137),"",IF($B137="","",IFERROR(_xll.BDP(TICKER,"DEEP_MEASURE_PERIOD_BROKER_VALUE","DEEP_MEASURE_ID_OVERRIDE",$C137,"DEEP_BROKER_ID_OVERRIDE",$F$7,"DEEP_PERIOD_OVERRIDE",W$11)*1,"")))</f>
        <v/>
      </c>
      <c r="X137" s="17" t="str">
        <f ca="1">IF(ISNA($B137),"",IF($B137="","",IFERROR(_xll.BDP(TICKER,"DEEP_MEASURE_PERIOD_BROKER_VALUE","DEEP_MEASURE_ID_OVERRIDE",$C137,"DEEP_BROKER_ID_OVERRIDE",$F$7,"DEEP_PERIOD_OVERRIDE",X$11)*1,"")))</f>
        <v/>
      </c>
      <c r="Y137" s="17" t="str">
        <f ca="1">IF(ISNA($B137),"",IF($B137="","",IFERROR(_xll.BDP(TICKER,"DEEP_MEASURE_PERIOD_BROKER_VALUE","DEEP_MEASURE_ID_OVERRIDE",$C137,"DEEP_BROKER_ID_OVERRIDE",$F$7,"DEEP_PERIOD_OVERRIDE",Y$11)*1,"")))</f>
        <v/>
      </c>
      <c r="Z137" s="17" t="str">
        <f ca="1">IF(ISNA($B137),"",IF($B137="","",IFERROR(_xll.BDP(TICKER,"DEEP_MEASURE_PERIOD_BROKER_VALUE","DEEP_MEASURE_ID_OVERRIDE",$C137,"DEEP_BROKER_ID_OVERRIDE",$F$7,"DEEP_PERIOD_OVERRIDE",Z$11)*1,"")))</f>
        <v/>
      </c>
      <c r="AA137" s="17" t="str">
        <f ca="1">IF(ISNA($B137),"",IF($B137="","",IFERROR(_xll.BDP(TICKER,"DEEP_MEASURE_PERIOD_BROKER_VALUE","DEEP_MEASURE_ID_OVERRIDE",$C137,"DEEP_BROKER_ID_OVERRIDE",$F$7,"DEEP_PERIOD_OVERRIDE",AA$11)*1,"")))</f>
        <v/>
      </c>
      <c r="AB137" s="17" t="str">
        <f ca="1">IF(ISNA($B137),"",IF($B137="","",IFERROR(_xll.BDP(TICKER,"DEEP_MEASURE_PERIOD_BROKER_VALUE","DEEP_MEASURE_ID_OVERRIDE",$C137,"DEEP_BROKER_ID_OVERRIDE",$F$7,"DEEP_PERIOD_OVERRIDE",AB$11)*1,"")))</f>
        <v/>
      </c>
      <c r="AC137" s="17" t="str">
        <f ca="1">IF(ISNA($B137),"",IF($B137="","",IFERROR(_xll.BDP(TICKER,"DEEP_MEASURE_PERIOD_BROKER_VALUE","DEEP_MEASURE_ID_OVERRIDE",$C137,"DEEP_BROKER_ID_OVERRIDE",$F$7,"DEEP_PERIOD_OVERRIDE",AC$11)*1,"")))</f>
        <v/>
      </c>
      <c r="AD137" s="17" t="str">
        <f ca="1">IF(ISNA($B137),"",IF($B137="","",IFERROR(_xll.BDP(TICKER,"DEEP_MEASURE_PERIOD_BROKER_VALUE","DEEP_MEASURE_ID_OVERRIDE",$C137,"DEEP_BROKER_ID_OVERRIDE",$F$7,"DEEP_PERIOD_OVERRIDE",AD$11)*1,"")))</f>
        <v/>
      </c>
      <c r="AE137" s="17" t="str">
        <f ca="1">IF(ISNA($B137),"",IF($B137="","",IFERROR(_xll.BDP(TICKER,"DEEP_MEASURE_PERIOD_BROKER_VALUE","DEEP_MEASURE_ID_OVERRIDE",$C137,"DEEP_BROKER_ID_OVERRIDE",$F$7,"DEEP_PERIOD_OVERRIDE",AE$11)*1,"")))</f>
        <v/>
      </c>
      <c r="AF137" s="17" t="str">
        <f ca="1">IF(ISNA($B137),"",IF($B137="","",IFERROR(_xll.BDP(TICKER,"DEEP_MEASURE_PERIOD_BROKER_VALUE","DEEP_MEASURE_ID_OVERRIDE",$C137,"DEEP_BROKER_ID_OVERRIDE",$F$7,"DEEP_PERIOD_OVERRIDE",AF$11)*1,"")))</f>
        <v/>
      </c>
      <c r="AG137" s="17" t="str">
        <f ca="1">IF(ISNA($B137),"",IF($B137="","",IFERROR(_xll.BDP(TICKER,"DEEP_MEASURE_PERIOD_BROKER_VALUE","DEEP_MEASURE_ID_OVERRIDE",$C137,"DEEP_BROKER_ID_OVERRIDE",$F$7,"DEEP_PERIOD_OVERRIDE",AG$11)*1,"")))</f>
        <v/>
      </c>
      <c r="AH137" s="17" t="str">
        <f ca="1">IF(ISNA($B137),"",IF($B137="","",IFERROR(_xll.BDP(TICKER,"DEEP_MEASURE_PERIOD_BROKER_VALUE","DEEP_MEASURE_ID_OVERRIDE",$C137,"DEEP_BROKER_ID_OVERRIDE",$F$7,"DEEP_PERIOD_OVERRIDE",AH$11)*1,"")))</f>
        <v/>
      </c>
      <c r="AI137" s="17" t="str">
        <f ca="1">IF(ISNA($B137),"",IF($B137="","",IFERROR(_xll.BDP(TICKER,"DEEP_MEASURE_PERIOD_BROKER_VALUE","DEEP_MEASURE_ID_OVERRIDE",$C137,"DEEP_BROKER_ID_OVERRIDE",$F$7,"DEEP_PERIOD_OVERRIDE",AI$11)*1,"")))</f>
        <v/>
      </c>
      <c r="AJ137" s="17" t="str">
        <f ca="1">IF(ISNA($B137),"",IF($B137="","",IFERROR(_xll.BDP(TICKER,"DEEP_MEASURE_PERIOD_BROKER_VALUE","DEEP_MEASURE_ID_OVERRIDE",$C137,"DEEP_BROKER_ID_OVERRIDE",$F$7,"DEEP_PERIOD_OVERRIDE",AJ$11)*1,"")))</f>
        <v/>
      </c>
      <c r="AK137" s="17" t="str">
        <f ca="1">IF(ISNA($B137),"",IF($B137="","",IFERROR(_xll.BDP(TICKER,"DEEP_MEASURE_PERIOD_BROKER_VALUE","DEEP_MEASURE_ID_OVERRIDE",$C137,"DEEP_BROKER_ID_OVERRIDE",$F$7,"DEEP_PERIOD_OVERRIDE",AK$11)*1,"")))</f>
        <v/>
      </c>
      <c r="AL137" s="17" t="str">
        <f ca="1">IF(ISNA($B137),"",IF($B137="","",IFERROR(_xll.BDP(TICKER,"DEEP_MEASURE_PERIOD_BROKER_VALUE","DEEP_MEASURE_ID_OVERRIDE",$C137,"DEEP_BROKER_ID_OVERRIDE",$F$7,"DEEP_PERIOD_OVERRIDE",AL$11)*1,"")))</f>
        <v/>
      </c>
      <c r="AM137" s="17" t="str">
        <f ca="1">IF(ISNA($B137),"",IF($B137="","",IFERROR(_xll.BDP(TICKER,"DEEP_MEASURE_PERIOD_BROKER_VALUE","DEEP_MEASURE_ID_OVERRIDE",$C137,"DEEP_BROKER_ID_OVERRIDE",$F$7,"DEEP_PERIOD_OVERRIDE",AM$11)*1,"")))</f>
        <v/>
      </c>
      <c r="AN137" s="17" t="str">
        <f ca="1">IF(ISNA($B137),"",IF($B137="","",IFERROR(_xll.BDP(TICKER,"DEEP_MEASURE_PERIOD_BROKER_VALUE","DEEP_MEASURE_ID_OVERRIDE",$C137,"DEEP_BROKER_ID_OVERRIDE",$F$7,"DEEP_PERIOD_OVERRIDE",AN$11)*1,"")))</f>
        <v/>
      </c>
      <c r="AO137" s="17" t="str">
        <f ca="1">IF(ISNA($B137),"",IF($B137="","",IFERROR(_xll.BDP(TICKER,"DEEP_MEASURE_PERIOD_BROKER_VALUE","DEEP_MEASURE_ID_OVERRIDE",$C137,"DEEP_BROKER_ID_OVERRIDE",$F$7,"DEEP_PERIOD_OVERRIDE",AO$11)*1,"")))</f>
        <v/>
      </c>
      <c r="AP137" s="17" t="str">
        <f ca="1">IF(ISNA($B137),"",IF($B137="","",IFERROR(_xll.BDP(TICKER,"DEEP_MEASURE_PERIOD_BROKER_VALUE","DEEP_MEASURE_ID_OVERRIDE",$C137,"DEEP_BROKER_ID_OVERRIDE",$F$7,"DEEP_PERIOD_OVERRIDE",AP$11)*1,"")))</f>
        <v/>
      </c>
      <c r="AQ137" s="17" t="str">
        <f ca="1">IF(ISNA($B137),"",IF($B137="","",IFERROR(_xll.BDP(TICKER,"DEEP_MEASURE_PERIOD_BROKER_VALUE","DEEP_MEASURE_ID_OVERRIDE",$C137,"DEEP_BROKER_ID_OVERRIDE",$F$7,"DEEP_PERIOD_OVERRIDE",AQ$11)*1,"")))</f>
        <v/>
      </c>
    </row>
    <row r="138" spans="2:43" x14ac:dyDescent="0.25">
      <c r="B138" t="s">
        <v>173</v>
      </c>
      <c r="C138">
        <v>3630</v>
      </c>
      <c r="H138" t="str">
        <f t="shared" si="3"/>
        <v>Net Income &gt; Net Income Margin (%)</v>
      </c>
      <c r="I138" s="17" t="str">
        <f ca="1">IF(ISNA($B138),"",IF($B138="","",IFERROR(_xll.BDP(TICKER,"DEEP_MEASURE_PERIOD_BROKER_VALUE","DEEP_MEASURE_ID_OVERRIDE",$C138,"DEEP_BROKER_ID_OVERRIDE",$F$7,"DEEP_PERIOD_OVERRIDE",I$11)*1,"")))</f>
        <v/>
      </c>
      <c r="J138" s="17" t="str">
        <f ca="1">IF(ISNA($B138),"",IF($B138="","",IFERROR(_xll.BDP(TICKER,"DEEP_MEASURE_PERIOD_BROKER_VALUE","DEEP_MEASURE_ID_OVERRIDE",$C138,"DEEP_BROKER_ID_OVERRIDE",$F$7,"DEEP_PERIOD_OVERRIDE",J$11)*1,"")))</f>
        <v/>
      </c>
      <c r="K138" s="17" t="str">
        <f ca="1">IF(ISNA($B138),"",IF($B138="","",IFERROR(_xll.BDP(TICKER,"DEEP_MEASURE_PERIOD_BROKER_VALUE","DEEP_MEASURE_ID_OVERRIDE",$C138,"DEEP_BROKER_ID_OVERRIDE",$F$7,"DEEP_PERIOD_OVERRIDE",K$11)*1,"")))</f>
        <v/>
      </c>
      <c r="L138" s="17" t="str">
        <f ca="1">IF(ISNA($B138),"",IF($B138="","",IFERROR(_xll.BDP(TICKER,"DEEP_MEASURE_PERIOD_BROKER_VALUE","DEEP_MEASURE_ID_OVERRIDE",$C138,"DEEP_BROKER_ID_OVERRIDE",$F$7,"DEEP_PERIOD_OVERRIDE",L$11)*1,"")))</f>
        <v/>
      </c>
      <c r="M138" s="17" t="str">
        <f ca="1">IF(ISNA($B138),"",IF($B138="","",IFERROR(_xll.BDP(TICKER,"DEEP_MEASURE_PERIOD_BROKER_VALUE","DEEP_MEASURE_ID_OVERRIDE",$C138,"DEEP_BROKER_ID_OVERRIDE",$F$7,"DEEP_PERIOD_OVERRIDE",M$11)*1,"")))</f>
        <v/>
      </c>
      <c r="N138" s="17" t="str">
        <f ca="1">IF(ISNA($B138),"",IF($B138="","",IFERROR(_xll.BDP(TICKER,"DEEP_MEASURE_PERIOD_BROKER_VALUE","DEEP_MEASURE_ID_OVERRIDE",$C138,"DEEP_BROKER_ID_OVERRIDE",$F$7,"DEEP_PERIOD_OVERRIDE",N$11)*1,"")))</f>
        <v/>
      </c>
      <c r="O138" s="17" t="str">
        <f ca="1">IF(ISNA($B138),"",IF($B138="","",IFERROR(_xll.BDP(TICKER,"DEEP_MEASURE_PERIOD_BROKER_VALUE","DEEP_MEASURE_ID_OVERRIDE",$C138,"DEEP_BROKER_ID_OVERRIDE",$F$7,"DEEP_PERIOD_OVERRIDE",O$11)*1,"")))</f>
        <v/>
      </c>
      <c r="P138" s="17" t="str">
        <f ca="1">IF(ISNA($B138),"",IF($B138="","",IFERROR(_xll.BDP(TICKER,"DEEP_MEASURE_PERIOD_BROKER_VALUE","DEEP_MEASURE_ID_OVERRIDE",$C138,"DEEP_BROKER_ID_OVERRIDE",$F$7,"DEEP_PERIOD_OVERRIDE",P$11)*1,"")))</f>
        <v/>
      </c>
      <c r="Q138" s="17" t="str">
        <f ca="1">IF(ISNA($B138),"",IF($B138="","",IFERROR(_xll.BDP(TICKER,"DEEP_MEASURE_PERIOD_BROKER_VALUE","DEEP_MEASURE_ID_OVERRIDE",$C138,"DEEP_BROKER_ID_OVERRIDE",$F$7,"DEEP_PERIOD_OVERRIDE",Q$11)*1,"")))</f>
        <v/>
      </c>
      <c r="R138" s="17" t="str">
        <f ca="1">IF(ISNA($B138),"",IF($B138="","",IFERROR(_xll.BDP(TICKER,"DEEP_MEASURE_PERIOD_BROKER_VALUE","DEEP_MEASURE_ID_OVERRIDE",$C138,"DEEP_BROKER_ID_OVERRIDE",$F$7,"DEEP_PERIOD_OVERRIDE",R$11)*1,"")))</f>
        <v/>
      </c>
      <c r="S138" s="17" t="str">
        <f ca="1">IF(ISNA($B138),"",IF($B138="","",IFERROR(_xll.BDP(TICKER,"DEEP_MEASURE_PERIOD_BROKER_VALUE","DEEP_MEASURE_ID_OVERRIDE",$C138,"DEEP_BROKER_ID_OVERRIDE",$F$7,"DEEP_PERIOD_OVERRIDE",S$11)*1,"")))</f>
        <v/>
      </c>
      <c r="T138" s="17" t="str">
        <f ca="1">IF(ISNA($B138),"",IF($B138="","",IFERROR(_xll.BDP(TICKER,"DEEP_MEASURE_PERIOD_BROKER_VALUE","DEEP_MEASURE_ID_OVERRIDE",$C138,"DEEP_BROKER_ID_OVERRIDE",$F$7,"DEEP_PERIOD_OVERRIDE",T$11)*1,"")))</f>
        <v/>
      </c>
      <c r="U138" s="17" t="str">
        <f ca="1">IF(ISNA($B138),"",IF($B138="","",IFERROR(_xll.BDP(TICKER,"DEEP_MEASURE_PERIOD_BROKER_VALUE","DEEP_MEASURE_ID_OVERRIDE",$C138,"DEEP_BROKER_ID_OVERRIDE",$F$7,"DEEP_PERIOD_OVERRIDE",U$11)*1,"")))</f>
        <v/>
      </c>
      <c r="V138" s="17" t="str">
        <f ca="1">IF(ISNA($B138),"",IF($B138="","",IFERROR(_xll.BDP(TICKER,"DEEP_MEASURE_PERIOD_BROKER_VALUE","DEEP_MEASURE_ID_OVERRIDE",$C138,"DEEP_BROKER_ID_OVERRIDE",$F$7,"DEEP_PERIOD_OVERRIDE",V$11)*1,"")))</f>
        <v/>
      </c>
      <c r="W138" s="17" t="str">
        <f ca="1">IF(ISNA($B138),"",IF($B138="","",IFERROR(_xll.BDP(TICKER,"DEEP_MEASURE_PERIOD_BROKER_VALUE","DEEP_MEASURE_ID_OVERRIDE",$C138,"DEEP_BROKER_ID_OVERRIDE",$F$7,"DEEP_PERIOD_OVERRIDE",W$11)*1,"")))</f>
        <v/>
      </c>
      <c r="X138" s="17" t="str">
        <f ca="1">IF(ISNA($B138),"",IF($B138="","",IFERROR(_xll.BDP(TICKER,"DEEP_MEASURE_PERIOD_BROKER_VALUE","DEEP_MEASURE_ID_OVERRIDE",$C138,"DEEP_BROKER_ID_OVERRIDE",$F$7,"DEEP_PERIOD_OVERRIDE",X$11)*1,"")))</f>
        <v/>
      </c>
      <c r="Y138" s="17" t="str">
        <f ca="1">IF(ISNA($B138),"",IF($B138="","",IFERROR(_xll.BDP(TICKER,"DEEP_MEASURE_PERIOD_BROKER_VALUE","DEEP_MEASURE_ID_OVERRIDE",$C138,"DEEP_BROKER_ID_OVERRIDE",$F$7,"DEEP_PERIOD_OVERRIDE",Y$11)*1,"")))</f>
        <v/>
      </c>
      <c r="Z138" s="17" t="str">
        <f ca="1">IF(ISNA($B138),"",IF($B138="","",IFERROR(_xll.BDP(TICKER,"DEEP_MEASURE_PERIOD_BROKER_VALUE","DEEP_MEASURE_ID_OVERRIDE",$C138,"DEEP_BROKER_ID_OVERRIDE",$F$7,"DEEP_PERIOD_OVERRIDE",Z$11)*1,"")))</f>
        <v/>
      </c>
      <c r="AA138" s="17" t="str">
        <f ca="1">IF(ISNA($B138),"",IF($B138="","",IFERROR(_xll.BDP(TICKER,"DEEP_MEASURE_PERIOD_BROKER_VALUE","DEEP_MEASURE_ID_OVERRIDE",$C138,"DEEP_BROKER_ID_OVERRIDE",$F$7,"DEEP_PERIOD_OVERRIDE",AA$11)*1,"")))</f>
        <v/>
      </c>
      <c r="AB138" s="17" t="str">
        <f ca="1">IF(ISNA($B138),"",IF($B138="","",IFERROR(_xll.BDP(TICKER,"DEEP_MEASURE_PERIOD_BROKER_VALUE","DEEP_MEASURE_ID_OVERRIDE",$C138,"DEEP_BROKER_ID_OVERRIDE",$F$7,"DEEP_PERIOD_OVERRIDE",AB$11)*1,"")))</f>
        <v/>
      </c>
      <c r="AC138" s="17" t="str">
        <f ca="1">IF(ISNA($B138),"",IF($B138="","",IFERROR(_xll.BDP(TICKER,"DEEP_MEASURE_PERIOD_BROKER_VALUE","DEEP_MEASURE_ID_OVERRIDE",$C138,"DEEP_BROKER_ID_OVERRIDE",$F$7,"DEEP_PERIOD_OVERRIDE",AC$11)*1,"")))</f>
        <v/>
      </c>
      <c r="AD138" s="17" t="str">
        <f ca="1">IF(ISNA($B138),"",IF($B138="","",IFERROR(_xll.BDP(TICKER,"DEEP_MEASURE_PERIOD_BROKER_VALUE","DEEP_MEASURE_ID_OVERRIDE",$C138,"DEEP_BROKER_ID_OVERRIDE",$F$7,"DEEP_PERIOD_OVERRIDE",AD$11)*1,"")))</f>
        <v/>
      </c>
      <c r="AE138" s="17" t="str">
        <f ca="1">IF(ISNA($B138),"",IF($B138="","",IFERROR(_xll.BDP(TICKER,"DEEP_MEASURE_PERIOD_BROKER_VALUE","DEEP_MEASURE_ID_OVERRIDE",$C138,"DEEP_BROKER_ID_OVERRIDE",$F$7,"DEEP_PERIOD_OVERRIDE",AE$11)*1,"")))</f>
        <v/>
      </c>
      <c r="AF138" s="17" t="str">
        <f ca="1">IF(ISNA($B138),"",IF($B138="","",IFERROR(_xll.BDP(TICKER,"DEEP_MEASURE_PERIOD_BROKER_VALUE","DEEP_MEASURE_ID_OVERRIDE",$C138,"DEEP_BROKER_ID_OVERRIDE",$F$7,"DEEP_PERIOD_OVERRIDE",AF$11)*1,"")))</f>
        <v/>
      </c>
      <c r="AG138" s="17" t="str">
        <f ca="1">IF(ISNA($B138),"",IF($B138="","",IFERROR(_xll.BDP(TICKER,"DEEP_MEASURE_PERIOD_BROKER_VALUE","DEEP_MEASURE_ID_OVERRIDE",$C138,"DEEP_BROKER_ID_OVERRIDE",$F$7,"DEEP_PERIOD_OVERRIDE",AG$11)*1,"")))</f>
        <v/>
      </c>
      <c r="AH138" s="17" t="str">
        <f ca="1">IF(ISNA($B138),"",IF($B138="","",IFERROR(_xll.BDP(TICKER,"DEEP_MEASURE_PERIOD_BROKER_VALUE","DEEP_MEASURE_ID_OVERRIDE",$C138,"DEEP_BROKER_ID_OVERRIDE",$F$7,"DEEP_PERIOD_OVERRIDE",AH$11)*1,"")))</f>
        <v/>
      </c>
      <c r="AI138" s="17" t="str">
        <f ca="1">IF(ISNA($B138),"",IF($B138="","",IFERROR(_xll.BDP(TICKER,"DEEP_MEASURE_PERIOD_BROKER_VALUE","DEEP_MEASURE_ID_OVERRIDE",$C138,"DEEP_BROKER_ID_OVERRIDE",$F$7,"DEEP_PERIOD_OVERRIDE",AI$11)*1,"")))</f>
        <v/>
      </c>
      <c r="AJ138" s="17" t="str">
        <f ca="1">IF(ISNA($B138),"",IF($B138="","",IFERROR(_xll.BDP(TICKER,"DEEP_MEASURE_PERIOD_BROKER_VALUE","DEEP_MEASURE_ID_OVERRIDE",$C138,"DEEP_BROKER_ID_OVERRIDE",$F$7,"DEEP_PERIOD_OVERRIDE",AJ$11)*1,"")))</f>
        <v/>
      </c>
      <c r="AK138" s="17" t="str">
        <f ca="1">IF(ISNA($B138),"",IF($B138="","",IFERROR(_xll.BDP(TICKER,"DEEP_MEASURE_PERIOD_BROKER_VALUE","DEEP_MEASURE_ID_OVERRIDE",$C138,"DEEP_BROKER_ID_OVERRIDE",$F$7,"DEEP_PERIOD_OVERRIDE",AK$11)*1,"")))</f>
        <v/>
      </c>
      <c r="AL138" s="17" t="str">
        <f ca="1">IF(ISNA($B138),"",IF($B138="","",IFERROR(_xll.BDP(TICKER,"DEEP_MEASURE_PERIOD_BROKER_VALUE","DEEP_MEASURE_ID_OVERRIDE",$C138,"DEEP_BROKER_ID_OVERRIDE",$F$7,"DEEP_PERIOD_OVERRIDE",AL$11)*1,"")))</f>
        <v/>
      </c>
      <c r="AM138" s="17" t="str">
        <f ca="1">IF(ISNA($B138),"",IF($B138="","",IFERROR(_xll.BDP(TICKER,"DEEP_MEASURE_PERIOD_BROKER_VALUE","DEEP_MEASURE_ID_OVERRIDE",$C138,"DEEP_BROKER_ID_OVERRIDE",$F$7,"DEEP_PERIOD_OVERRIDE",AM$11)*1,"")))</f>
        <v/>
      </c>
      <c r="AN138" s="17" t="str">
        <f ca="1">IF(ISNA($B138),"",IF($B138="","",IFERROR(_xll.BDP(TICKER,"DEEP_MEASURE_PERIOD_BROKER_VALUE","DEEP_MEASURE_ID_OVERRIDE",$C138,"DEEP_BROKER_ID_OVERRIDE",$F$7,"DEEP_PERIOD_OVERRIDE",AN$11)*1,"")))</f>
        <v/>
      </c>
      <c r="AO138" s="17" t="str">
        <f ca="1">IF(ISNA($B138),"",IF($B138="","",IFERROR(_xll.BDP(TICKER,"DEEP_MEASURE_PERIOD_BROKER_VALUE","DEEP_MEASURE_ID_OVERRIDE",$C138,"DEEP_BROKER_ID_OVERRIDE",$F$7,"DEEP_PERIOD_OVERRIDE",AO$11)*1,"")))</f>
        <v/>
      </c>
      <c r="AP138" s="17" t="str">
        <f ca="1">IF(ISNA($B138),"",IF($B138="","",IFERROR(_xll.BDP(TICKER,"DEEP_MEASURE_PERIOD_BROKER_VALUE","DEEP_MEASURE_ID_OVERRIDE",$C138,"DEEP_BROKER_ID_OVERRIDE",$F$7,"DEEP_PERIOD_OVERRIDE",AP$11)*1,"")))</f>
        <v/>
      </c>
      <c r="AQ138" s="17" t="str">
        <f ca="1">IF(ISNA($B138),"",IF($B138="","",IFERROR(_xll.BDP(TICKER,"DEEP_MEASURE_PERIOD_BROKER_VALUE","DEEP_MEASURE_ID_OVERRIDE",$C138,"DEEP_BROKER_ID_OVERRIDE",$F$7,"DEEP_PERIOD_OVERRIDE",AQ$11)*1,"")))</f>
        <v/>
      </c>
    </row>
    <row r="139" spans="2:43" x14ac:dyDescent="0.25">
      <c r="B139" t="s">
        <v>174</v>
      </c>
      <c r="C139">
        <v>5912</v>
      </c>
      <c r="H139" t="str">
        <f t="shared" si="3"/>
        <v>Basic Shares Outstanding</v>
      </c>
      <c r="I139" s="17" t="str">
        <f ca="1">IF(ISNA($B139),"",IF($B139="","",IFERROR(_xll.BDP(TICKER,"DEEP_MEASURE_PERIOD_BROKER_VALUE","DEEP_MEASURE_ID_OVERRIDE",$C139,"DEEP_BROKER_ID_OVERRIDE",$F$7,"DEEP_PERIOD_OVERRIDE",I$11)*1,"")))</f>
        <v/>
      </c>
      <c r="J139" s="17" t="str">
        <f ca="1">IF(ISNA($B139),"",IF($B139="","",IFERROR(_xll.BDP(TICKER,"DEEP_MEASURE_PERIOD_BROKER_VALUE","DEEP_MEASURE_ID_OVERRIDE",$C139,"DEEP_BROKER_ID_OVERRIDE",$F$7,"DEEP_PERIOD_OVERRIDE",J$11)*1,"")))</f>
        <v/>
      </c>
      <c r="K139" s="17" t="str">
        <f ca="1">IF(ISNA($B139),"",IF($B139="","",IFERROR(_xll.BDP(TICKER,"DEEP_MEASURE_PERIOD_BROKER_VALUE","DEEP_MEASURE_ID_OVERRIDE",$C139,"DEEP_BROKER_ID_OVERRIDE",$F$7,"DEEP_PERIOD_OVERRIDE",K$11)*1,"")))</f>
        <v/>
      </c>
      <c r="L139" s="17" t="str">
        <f ca="1">IF(ISNA($B139),"",IF($B139="","",IFERROR(_xll.BDP(TICKER,"DEEP_MEASURE_PERIOD_BROKER_VALUE","DEEP_MEASURE_ID_OVERRIDE",$C139,"DEEP_BROKER_ID_OVERRIDE",$F$7,"DEEP_PERIOD_OVERRIDE",L$11)*1,"")))</f>
        <v/>
      </c>
      <c r="M139" s="17" t="str">
        <f ca="1">IF(ISNA($B139),"",IF($B139="","",IFERROR(_xll.BDP(TICKER,"DEEP_MEASURE_PERIOD_BROKER_VALUE","DEEP_MEASURE_ID_OVERRIDE",$C139,"DEEP_BROKER_ID_OVERRIDE",$F$7,"DEEP_PERIOD_OVERRIDE",M$11)*1,"")))</f>
        <v/>
      </c>
      <c r="N139" s="17" t="str">
        <f ca="1">IF(ISNA($B139),"",IF($B139="","",IFERROR(_xll.BDP(TICKER,"DEEP_MEASURE_PERIOD_BROKER_VALUE","DEEP_MEASURE_ID_OVERRIDE",$C139,"DEEP_BROKER_ID_OVERRIDE",$F$7,"DEEP_PERIOD_OVERRIDE",N$11)*1,"")))</f>
        <v/>
      </c>
      <c r="O139" s="17" t="str">
        <f ca="1">IF(ISNA($B139),"",IF($B139="","",IFERROR(_xll.BDP(TICKER,"DEEP_MEASURE_PERIOD_BROKER_VALUE","DEEP_MEASURE_ID_OVERRIDE",$C139,"DEEP_BROKER_ID_OVERRIDE",$F$7,"DEEP_PERIOD_OVERRIDE",O$11)*1,"")))</f>
        <v/>
      </c>
      <c r="P139" s="17" t="str">
        <f ca="1">IF(ISNA($B139),"",IF($B139="","",IFERROR(_xll.BDP(TICKER,"DEEP_MEASURE_PERIOD_BROKER_VALUE","DEEP_MEASURE_ID_OVERRIDE",$C139,"DEEP_BROKER_ID_OVERRIDE",$F$7,"DEEP_PERIOD_OVERRIDE",P$11)*1,"")))</f>
        <v/>
      </c>
      <c r="Q139" s="17" t="str">
        <f ca="1">IF(ISNA($B139),"",IF($B139="","",IFERROR(_xll.BDP(TICKER,"DEEP_MEASURE_PERIOD_BROKER_VALUE","DEEP_MEASURE_ID_OVERRIDE",$C139,"DEEP_BROKER_ID_OVERRIDE",$F$7,"DEEP_PERIOD_OVERRIDE",Q$11)*1,"")))</f>
        <v/>
      </c>
      <c r="R139" s="17" t="str">
        <f ca="1">IF(ISNA($B139),"",IF($B139="","",IFERROR(_xll.BDP(TICKER,"DEEP_MEASURE_PERIOD_BROKER_VALUE","DEEP_MEASURE_ID_OVERRIDE",$C139,"DEEP_BROKER_ID_OVERRIDE",$F$7,"DEEP_PERIOD_OVERRIDE",R$11)*1,"")))</f>
        <v/>
      </c>
      <c r="S139" s="17" t="str">
        <f ca="1">IF(ISNA($B139),"",IF($B139="","",IFERROR(_xll.BDP(TICKER,"DEEP_MEASURE_PERIOD_BROKER_VALUE","DEEP_MEASURE_ID_OVERRIDE",$C139,"DEEP_BROKER_ID_OVERRIDE",$F$7,"DEEP_PERIOD_OVERRIDE",S$11)*1,"")))</f>
        <v/>
      </c>
      <c r="T139" s="17" t="str">
        <f ca="1">IF(ISNA($B139),"",IF($B139="","",IFERROR(_xll.BDP(TICKER,"DEEP_MEASURE_PERIOD_BROKER_VALUE","DEEP_MEASURE_ID_OVERRIDE",$C139,"DEEP_BROKER_ID_OVERRIDE",$F$7,"DEEP_PERIOD_OVERRIDE",T$11)*1,"")))</f>
        <v/>
      </c>
      <c r="U139" s="17" t="str">
        <f ca="1">IF(ISNA($B139),"",IF($B139="","",IFERROR(_xll.BDP(TICKER,"DEEP_MEASURE_PERIOD_BROKER_VALUE","DEEP_MEASURE_ID_OVERRIDE",$C139,"DEEP_BROKER_ID_OVERRIDE",$F$7,"DEEP_PERIOD_OVERRIDE",U$11)*1,"")))</f>
        <v/>
      </c>
      <c r="V139" s="17" t="str">
        <f ca="1">IF(ISNA($B139),"",IF($B139="","",IFERROR(_xll.BDP(TICKER,"DEEP_MEASURE_PERIOD_BROKER_VALUE","DEEP_MEASURE_ID_OVERRIDE",$C139,"DEEP_BROKER_ID_OVERRIDE",$F$7,"DEEP_PERIOD_OVERRIDE",V$11)*1,"")))</f>
        <v/>
      </c>
      <c r="W139" s="17" t="str">
        <f ca="1">IF(ISNA($B139),"",IF($B139="","",IFERROR(_xll.BDP(TICKER,"DEEP_MEASURE_PERIOD_BROKER_VALUE","DEEP_MEASURE_ID_OVERRIDE",$C139,"DEEP_BROKER_ID_OVERRIDE",$F$7,"DEEP_PERIOD_OVERRIDE",W$11)*1,"")))</f>
        <v/>
      </c>
      <c r="X139" s="17" t="str">
        <f ca="1">IF(ISNA($B139),"",IF($B139="","",IFERROR(_xll.BDP(TICKER,"DEEP_MEASURE_PERIOD_BROKER_VALUE","DEEP_MEASURE_ID_OVERRIDE",$C139,"DEEP_BROKER_ID_OVERRIDE",$F$7,"DEEP_PERIOD_OVERRIDE",X$11)*1,"")))</f>
        <v/>
      </c>
      <c r="Y139" s="17" t="str">
        <f ca="1">IF(ISNA($B139),"",IF($B139="","",IFERROR(_xll.BDP(TICKER,"DEEP_MEASURE_PERIOD_BROKER_VALUE","DEEP_MEASURE_ID_OVERRIDE",$C139,"DEEP_BROKER_ID_OVERRIDE",$F$7,"DEEP_PERIOD_OVERRIDE",Y$11)*1,"")))</f>
        <v/>
      </c>
      <c r="Z139" s="17" t="str">
        <f ca="1">IF(ISNA($B139),"",IF($B139="","",IFERROR(_xll.BDP(TICKER,"DEEP_MEASURE_PERIOD_BROKER_VALUE","DEEP_MEASURE_ID_OVERRIDE",$C139,"DEEP_BROKER_ID_OVERRIDE",$F$7,"DEEP_PERIOD_OVERRIDE",Z$11)*1,"")))</f>
        <v/>
      </c>
      <c r="AA139" s="17" t="str">
        <f ca="1">IF(ISNA($B139),"",IF($B139="","",IFERROR(_xll.BDP(TICKER,"DEEP_MEASURE_PERIOD_BROKER_VALUE","DEEP_MEASURE_ID_OVERRIDE",$C139,"DEEP_BROKER_ID_OVERRIDE",$F$7,"DEEP_PERIOD_OVERRIDE",AA$11)*1,"")))</f>
        <v/>
      </c>
      <c r="AB139" s="17" t="str">
        <f ca="1">IF(ISNA($B139),"",IF($B139="","",IFERROR(_xll.BDP(TICKER,"DEEP_MEASURE_PERIOD_BROKER_VALUE","DEEP_MEASURE_ID_OVERRIDE",$C139,"DEEP_BROKER_ID_OVERRIDE",$F$7,"DEEP_PERIOD_OVERRIDE",AB$11)*1,"")))</f>
        <v/>
      </c>
      <c r="AC139" s="17" t="str">
        <f ca="1">IF(ISNA($B139),"",IF($B139="","",IFERROR(_xll.BDP(TICKER,"DEEP_MEASURE_PERIOD_BROKER_VALUE","DEEP_MEASURE_ID_OVERRIDE",$C139,"DEEP_BROKER_ID_OVERRIDE",$F$7,"DEEP_PERIOD_OVERRIDE",AC$11)*1,"")))</f>
        <v/>
      </c>
      <c r="AD139" s="17" t="str">
        <f ca="1">IF(ISNA($B139),"",IF($B139="","",IFERROR(_xll.BDP(TICKER,"DEEP_MEASURE_PERIOD_BROKER_VALUE","DEEP_MEASURE_ID_OVERRIDE",$C139,"DEEP_BROKER_ID_OVERRIDE",$F$7,"DEEP_PERIOD_OVERRIDE",AD$11)*1,"")))</f>
        <v/>
      </c>
      <c r="AE139" s="17" t="str">
        <f ca="1">IF(ISNA($B139),"",IF($B139="","",IFERROR(_xll.BDP(TICKER,"DEEP_MEASURE_PERIOD_BROKER_VALUE","DEEP_MEASURE_ID_OVERRIDE",$C139,"DEEP_BROKER_ID_OVERRIDE",$F$7,"DEEP_PERIOD_OVERRIDE",AE$11)*1,"")))</f>
        <v/>
      </c>
      <c r="AF139" s="17" t="str">
        <f ca="1">IF(ISNA($B139),"",IF($B139="","",IFERROR(_xll.BDP(TICKER,"DEEP_MEASURE_PERIOD_BROKER_VALUE","DEEP_MEASURE_ID_OVERRIDE",$C139,"DEEP_BROKER_ID_OVERRIDE",$F$7,"DEEP_PERIOD_OVERRIDE",AF$11)*1,"")))</f>
        <v/>
      </c>
      <c r="AG139" s="17" t="str">
        <f ca="1">IF(ISNA($B139),"",IF($B139="","",IFERROR(_xll.BDP(TICKER,"DEEP_MEASURE_PERIOD_BROKER_VALUE","DEEP_MEASURE_ID_OVERRIDE",$C139,"DEEP_BROKER_ID_OVERRIDE",$F$7,"DEEP_PERIOD_OVERRIDE",AG$11)*1,"")))</f>
        <v/>
      </c>
      <c r="AH139" s="17" t="str">
        <f ca="1">IF(ISNA($B139),"",IF($B139="","",IFERROR(_xll.BDP(TICKER,"DEEP_MEASURE_PERIOD_BROKER_VALUE","DEEP_MEASURE_ID_OVERRIDE",$C139,"DEEP_BROKER_ID_OVERRIDE",$F$7,"DEEP_PERIOD_OVERRIDE",AH$11)*1,"")))</f>
        <v/>
      </c>
      <c r="AI139" s="17" t="str">
        <f ca="1">IF(ISNA($B139),"",IF($B139="","",IFERROR(_xll.BDP(TICKER,"DEEP_MEASURE_PERIOD_BROKER_VALUE","DEEP_MEASURE_ID_OVERRIDE",$C139,"DEEP_BROKER_ID_OVERRIDE",$F$7,"DEEP_PERIOD_OVERRIDE",AI$11)*1,"")))</f>
        <v/>
      </c>
      <c r="AJ139" s="17" t="str">
        <f ca="1">IF(ISNA($B139),"",IF($B139="","",IFERROR(_xll.BDP(TICKER,"DEEP_MEASURE_PERIOD_BROKER_VALUE","DEEP_MEASURE_ID_OVERRIDE",$C139,"DEEP_BROKER_ID_OVERRIDE",$F$7,"DEEP_PERIOD_OVERRIDE",AJ$11)*1,"")))</f>
        <v/>
      </c>
      <c r="AK139" s="17" t="str">
        <f ca="1">IF(ISNA($B139),"",IF($B139="","",IFERROR(_xll.BDP(TICKER,"DEEP_MEASURE_PERIOD_BROKER_VALUE","DEEP_MEASURE_ID_OVERRIDE",$C139,"DEEP_BROKER_ID_OVERRIDE",$F$7,"DEEP_PERIOD_OVERRIDE",AK$11)*1,"")))</f>
        <v/>
      </c>
      <c r="AL139" s="17" t="str">
        <f ca="1">IF(ISNA($B139),"",IF($B139="","",IFERROR(_xll.BDP(TICKER,"DEEP_MEASURE_PERIOD_BROKER_VALUE","DEEP_MEASURE_ID_OVERRIDE",$C139,"DEEP_BROKER_ID_OVERRIDE",$F$7,"DEEP_PERIOD_OVERRIDE",AL$11)*1,"")))</f>
        <v/>
      </c>
      <c r="AM139" s="17" t="str">
        <f ca="1">IF(ISNA($B139),"",IF($B139="","",IFERROR(_xll.BDP(TICKER,"DEEP_MEASURE_PERIOD_BROKER_VALUE","DEEP_MEASURE_ID_OVERRIDE",$C139,"DEEP_BROKER_ID_OVERRIDE",$F$7,"DEEP_PERIOD_OVERRIDE",AM$11)*1,"")))</f>
        <v/>
      </c>
      <c r="AN139" s="17" t="str">
        <f ca="1">IF(ISNA($B139),"",IF($B139="","",IFERROR(_xll.BDP(TICKER,"DEEP_MEASURE_PERIOD_BROKER_VALUE","DEEP_MEASURE_ID_OVERRIDE",$C139,"DEEP_BROKER_ID_OVERRIDE",$F$7,"DEEP_PERIOD_OVERRIDE",AN$11)*1,"")))</f>
        <v/>
      </c>
      <c r="AO139" s="17" t="str">
        <f ca="1">IF(ISNA($B139),"",IF($B139="","",IFERROR(_xll.BDP(TICKER,"DEEP_MEASURE_PERIOD_BROKER_VALUE","DEEP_MEASURE_ID_OVERRIDE",$C139,"DEEP_BROKER_ID_OVERRIDE",$F$7,"DEEP_PERIOD_OVERRIDE",AO$11)*1,"")))</f>
        <v/>
      </c>
      <c r="AP139" s="17" t="str">
        <f ca="1">IF(ISNA($B139),"",IF($B139="","",IFERROR(_xll.BDP(TICKER,"DEEP_MEASURE_PERIOD_BROKER_VALUE","DEEP_MEASURE_ID_OVERRIDE",$C139,"DEEP_BROKER_ID_OVERRIDE",$F$7,"DEEP_PERIOD_OVERRIDE",AP$11)*1,"")))</f>
        <v/>
      </c>
      <c r="AQ139" s="17" t="str">
        <f ca="1">IF(ISNA($B139),"",IF($B139="","",IFERROR(_xll.BDP(TICKER,"DEEP_MEASURE_PERIOD_BROKER_VALUE","DEEP_MEASURE_ID_OVERRIDE",$C139,"DEEP_BROKER_ID_OVERRIDE",$F$7,"DEEP_PERIOD_OVERRIDE",AQ$11)*1,"")))</f>
        <v/>
      </c>
    </row>
    <row r="140" spans="2:43" x14ac:dyDescent="0.25">
      <c r="B140" t="s">
        <v>175</v>
      </c>
      <c r="C140">
        <v>1750</v>
      </c>
      <c r="H140" t="str">
        <f t="shared" si="3"/>
        <v>Basic EPS, GAAP</v>
      </c>
      <c r="I140" s="17" t="str">
        <f ca="1">IF(ISNA($B140),"",IF($B140="","",IFERROR(_xll.BDP(TICKER,"DEEP_MEASURE_PERIOD_BROKER_VALUE","DEEP_MEASURE_ID_OVERRIDE",$C140,"DEEP_BROKER_ID_OVERRIDE",$F$7,"DEEP_PERIOD_OVERRIDE",I$11)*1,"")))</f>
        <v/>
      </c>
      <c r="J140" s="17" t="str">
        <f ca="1">IF(ISNA($B140),"",IF($B140="","",IFERROR(_xll.BDP(TICKER,"DEEP_MEASURE_PERIOD_BROKER_VALUE","DEEP_MEASURE_ID_OVERRIDE",$C140,"DEEP_BROKER_ID_OVERRIDE",$F$7,"DEEP_PERIOD_OVERRIDE",J$11)*1,"")))</f>
        <v/>
      </c>
      <c r="K140" s="17" t="str">
        <f ca="1">IF(ISNA($B140),"",IF($B140="","",IFERROR(_xll.BDP(TICKER,"DEEP_MEASURE_PERIOD_BROKER_VALUE","DEEP_MEASURE_ID_OVERRIDE",$C140,"DEEP_BROKER_ID_OVERRIDE",$F$7,"DEEP_PERIOD_OVERRIDE",K$11)*1,"")))</f>
        <v/>
      </c>
      <c r="L140" s="17" t="str">
        <f ca="1">IF(ISNA($B140),"",IF($B140="","",IFERROR(_xll.BDP(TICKER,"DEEP_MEASURE_PERIOD_BROKER_VALUE","DEEP_MEASURE_ID_OVERRIDE",$C140,"DEEP_BROKER_ID_OVERRIDE",$F$7,"DEEP_PERIOD_OVERRIDE",L$11)*1,"")))</f>
        <v/>
      </c>
      <c r="M140" s="17" t="str">
        <f ca="1">IF(ISNA($B140),"",IF($B140="","",IFERROR(_xll.BDP(TICKER,"DEEP_MEASURE_PERIOD_BROKER_VALUE","DEEP_MEASURE_ID_OVERRIDE",$C140,"DEEP_BROKER_ID_OVERRIDE",$F$7,"DEEP_PERIOD_OVERRIDE",M$11)*1,"")))</f>
        <v/>
      </c>
      <c r="N140" s="17" t="str">
        <f ca="1">IF(ISNA($B140),"",IF($B140="","",IFERROR(_xll.BDP(TICKER,"DEEP_MEASURE_PERIOD_BROKER_VALUE","DEEP_MEASURE_ID_OVERRIDE",$C140,"DEEP_BROKER_ID_OVERRIDE",$F$7,"DEEP_PERIOD_OVERRIDE",N$11)*1,"")))</f>
        <v/>
      </c>
      <c r="O140" s="17" t="str">
        <f ca="1">IF(ISNA($B140),"",IF($B140="","",IFERROR(_xll.BDP(TICKER,"DEEP_MEASURE_PERIOD_BROKER_VALUE","DEEP_MEASURE_ID_OVERRIDE",$C140,"DEEP_BROKER_ID_OVERRIDE",$F$7,"DEEP_PERIOD_OVERRIDE",O$11)*1,"")))</f>
        <v/>
      </c>
      <c r="P140" s="17" t="str">
        <f ca="1">IF(ISNA($B140),"",IF($B140="","",IFERROR(_xll.BDP(TICKER,"DEEP_MEASURE_PERIOD_BROKER_VALUE","DEEP_MEASURE_ID_OVERRIDE",$C140,"DEEP_BROKER_ID_OVERRIDE",$F$7,"DEEP_PERIOD_OVERRIDE",P$11)*1,"")))</f>
        <v/>
      </c>
      <c r="Q140" s="17" t="str">
        <f ca="1">IF(ISNA($B140),"",IF($B140="","",IFERROR(_xll.BDP(TICKER,"DEEP_MEASURE_PERIOD_BROKER_VALUE","DEEP_MEASURE_ID_OVERRIDE",$C140,"DEEP_BROKER_ID_OVERRIDE",$F$7,"DEEP_PERIOD_OVERRIDE",Q$11)*1,"")))</f>
        <v/>
      </c>
      <c r="R140" s="17" t="str">
        <f ca="1">IF(ISNA($B140),"",IF($B140="","",IFERROR(_xll.BDP(TICKER,"DEEP_MEASURE_PERIOD_BROKER_VALUE","DEEP_MEASURE_ID_OVERRIDE",$C140,"DEEP_BROKER_ID_OVERRIDE",$F$7,"DEEP_PERIOD_OVERRIDE",R$11)*1,"")))</f>
        <v/>
      </c>
      <c r="S140" s="17" t="str">
        <f ca="1">IF(ISNA($B140),"",IF($B140="","",IFERROR(_xll.BDP(TICKER,"DEEP_MEASURE_PERIOD_BROKER_VALUE","DEEP_MEASURE_ID_OVERRIDE",$C140,"DEEP_BROKER_ID_OVERRIDE",$F$7,"DEEP_PERIOD_OVERRIDE",S$11)*1,"")))</f>
        <v/>
      </c>
      <c r="T140" s="17" t="str">
        <f ca="1">IF(ISNA($B140),"",IF($B140="","",IFERROR(_xll.BDP(TICKER,"DEEP_MEASURE_PERIOD_BROKER_VALUE","DEEP_MEASURE_ID_OVERRIDE",$C140,"DEEP_BROKER_ID_OVERRIDE",$F$7,"DEEP_PERIOD_OVERRIDE",T$11)*1,"")))</f>
        <v/>
      </c>
      <c r="U140" s="17" t="str">
        <f ca="1">IF(ISNA($B140),"",IF($B140="","",IFERROR(_xll.BDP(TICKER,"DEEP_MEASURE_PERIOD_BROKER_VALUE","DEEP_MEASURE_ID_OVERRIDE",$C140,"DEEP_BROKER_ID_OVERRIDE",$F$7,"DEEP_PERIOD_OVERRIDE",U$11)*1,"")))</f>
        <v/>
      </c>
      <c r="V140" s="17" t="str">
        <f ca="1">IF(ISNA($B140),"",IF($B140="","",IFERROR(_xll.BDP(TICKER,"DEEP_MEASURE_PERIOD_BROKER_VALUE","DEEP_MEASURE_ID_OVERRIDE",$C140,"DEEP_BROKER_ID_OVERRIDE",$F$7,"DEEP_PERIOD_OVERRIDE",V$11)*1,"")))</f>
        <v/>
      </c>
      <c r="W140" s="17" t="str">
        <f ca="1">IF(ISNA($B140),"",IF($B140="","",IFERROR(_xll.BDP(TICKER,"DEEP_MEASURE_PERIOD_BROKER_VALUE","DEEP_MEASURE_ID_OVERRIDE",$C140,"DEEP_BROKER_ID_OVERRIDE",$F$7,"DEEP_PERIOD_OVERRIDE",W$11)*1,"")))</f>
        <v/>
      </c>
      <c r="X140" s="17" t="str">
        <f ca="1">IF(ISNA($B140),"",IF($B140="","",IFERROR(_xll.BDP(TICKER,"DEEP_MEASURE_PERIOD_BROKER_VALUE","DEEP_MEASURE_ID_OVERRIDE",$C140,"DEEP_BROKER_ID_OVERRIDE",$F$7,"DEEP_PERIOD_OVERRIDE",X$11)*1,"")))</f>
        <v/>
      </c>
      <c r="Y140" s="17" t="str">
        <f ca="1">IF(ISNA($B140),"",IF($B140="","",IFERROR(_xll.BDP(TICKER,"DEEP_MEASURE_PERIOD_BROKER_VALUE","DEEP_MEASURE_ID_OVERRIDE",$C140,"DEEP_BROKER_ID_OVERRIDE",$F$7,"DEEP_PERIOD_OVERRIDE",Y$11)*1,"")))</f>
        <v/>
      </c>
      <c r="Z140" s="17" t="str">
        <f ca="1">IF(ISNA($B140),"",IF($B140="","",IFERROR(_xll.BDP(TICKER,"DEEP_MEASURE_PERIOD_BROKER_VALUE","DEEP_MEASURE_ID_OVERRIDE",$C140,"DEEP_BROKER_ID_OVERRIDE",$F$7,"DEEP_PERIOD_OVERRIDE",Z$11)*1,"")))</f>
        <v/>
      </c>
      <c r="AA140" s="17" t="str">
        <f ca="1">IF(ISNA($B140),"",IF($B140="","",IFERROR(_xll.BDP(TICKER,"DEEP_MEASURE_PERIOD_BROKER_VALUE","DEEP_MEASURE_ID_OVERRIDE",$C140,"DEEP_BROKER_ID_OVERRIDE",$F$7,"DEEP_PERIOD_OVERRIDE",AA$11)*1,"")))</f>
        <v/>
      </c>
      <c r="AB140" s="17" t="str">
        <f ca="1">IF(ISNA($B140),"",IF($B140="","",IFERROR(_xll.BDP(TICKER,"DEEP_MEASURE_PERIOD_BROKER_VALUE","DEEP_MEASURE_ID_OVERRIDE",$C140,"DEEP_BROKER_ID_OVERRIDE",$F$7,"DEEP_PERIOD_OVERRIDE",AB$11)*1,"")))</f>
        <v/>
      </c>
      <c r="AC140" s="17" t="str">
        <f ca="1">IF(ISNA($B140),"",IF($B140="","",IFERROR(_xll.BDP(TICKER,"DEEP_MEASURE_PERIOD_BROKER_VALUE","DEEP_MEASURE_ID_OVERRIDE",$C140,"DEEP_BROKER_ID_OVERRIDE",$F$7,"DEEP_PERIOD_OVERRIDE",AC$11)*1,"")))</f>
        <v/>
      </c>
      <c r="AD140" s="17" t="str">
        <f ca="1">IF(ISNA($B140),"",IF($B140="","",IFERROR(_xll.BDP(TICKER,"DEEP_MEASURE_PERIOD_BROKER_VALUE","DEEP_MEASURE_ID_OVERRIDE",$C140,"DEEP_BROKER_ID_OVERRIDE",$F$7,"DEEP_PERIOD_OVERRIDE",AD$11)*1,"")))</f>
        <v/>
      </c>
      <c r="AE140" s="17" t="str">
        <f ca="1">IF(ISNA($B140),"",IF($B140="","",IFERROR(_xll.BDP(TICKER,"DEEP_MEASURE_PERIOD_BROKER_VALUE","DEEP_MEASURE_ID_OVERRIDE",$C140,"DEEP_BROKER_ID_OVERRIDE",$F$7,"DEEP_PERIOD_OVERRIDE",AE$11)*1,"")))</f>
        <v/>
      </c>
      <c r="AF140" s="17" t="str">
        <f ca="1">IF(ISNA($B140),"",IF($B140="","",IFERROR(_xll.BDP(TICKER,"DEEP_MEASURE_PERIOD_BROKER_VALUE","DEEP_MEASURE_ID_OVERRIDE",$C140,"DEEP_BROKER_ID_OVERRIDE",$F$7,"DEEP_PERIOD_OVERRIDE",AF$11)*1,"")))</f>
        <v/>
      </c>
      <c r="AG140" s="17" t="str">
        <f ca="1">IF(ISNA($B140),"",IF($B140="","",IFERROR(_xll.BDP(TICKER,"DEEP_MEASURE_PERIOD_BROKER_VALUE","DEEP_MEASURE_ID_OVERRIDE",$C140,"DEEP_BROKER_ID_OVERRIDE",$F$7,"DEEP_PERIOD_OVERRIDE",AG$11)*1,"")))</f>
        <v/>
      </c>
      <c r="AH140" s="17" t="str">
        <f ca="1">IF(ISNA($B140),"",IF($B140="","",IFERROR(_xll.BDP(TICKER,"DEEP_MEASURE_PERIOD_BROKER_VALUE","DEEP_MEASURE_ID_OVERRIDE",$C140,"DEEP_BROKER_ID_OVERRIDE",$F$7,"DEEP_PERIOD_OVERRIDE",AH$11)*1,"")))</f>
        <v/>
      </c>
      <c r="AI140" s="17" t="str">
        <f ca="1">IF(ISNA($B140),"",IF($B140="","",IFERROR(_xll.BDP(TICKER,"DEEP_MEASURE_PERIOD_BROKER_VALUE","DEEP_MEASURE_ID_OVERRIDE",$C140,"DEEP_BROKER_ID_OVERRIDE",$F$7,"DEEP_PERIOD_OVERRIDE",AI$11)*1,"")))</f>
        <v/>
      </c>
      <c r="AJ140" s="17" t="str">
        <f ca="1">IF(ISNA($B140),"",IF($B140="","",IFERROR(_xll.BDP(TICKER,"DEEP_MEASURE_PERIOD_BROKER_VALUE","DEEP_MEASURE_ID_OVERRIDE",$C140,"DEEP_BROKER_ID_OVERRIDE",$F$7,"DEEP_PERIOD_OVERRIDE",AJ$11)*1,"")))</f>
        <v/>
      </c>
      <c r="AK140" s="17" t="str">
        <f ca="1">IF(ISNA($B140),"",IF($B140="","",IFERROR(_xll.BDP(TICKER,"DEEP_MEASURE_PERIOD_BROKER_VALUE","DEEP_MEASURE_ID_OVERRIDE",$C140,"DEEP_BROKER_ID_OVERRIDE",$F$7,"DEEP_PERIOD_OVERRIDE",AK$11)*1,"")))</f>
        <v/>
      </c>
      <c r="AL140" s="17" t="str">
        <f ca="1">IF(ISNA($B140),"",IF($B140="","",IFERROR(_xll.BDP(TICKER,"DEEP_MEASURE_PERIOD_BROKER_VALUE","DEEP_MEASURE_ID_OVERRIDE",$C140,"DEEP_BROKER_ID_OVERRIDE",$F$7,"DEEP_PERIOD_OVERRIDE",AL$11)*1,"")))</f>
        <v/>
      </c>
      <c r="AM140" s="17" t="str">
        <f ca="1">IF(ISNA($B140),"",IF($B140="","",IFERROR(_xll.BDP(TICKER,"DEEP_MEASURE_PERIOD_BROKER_VALUE","DEEP_MEASURE_ID_OVERRIDE",$C140,"DEEP_BROKER_ID_OVERRIDE",$F$7,"DEEP_PERIOD_OVERRIDE",AM$11)*1,"")))</f>
        <v/>
      </c>
      <c r="AN140" s="17" t="str">
        <f ca="1">IF(ISNA($B140),"",IF($B140="","",IFERROR(_xll.BDP(TICKER,"DEEP_MEASURE_PERIOD_BROKER_VALUE","DEEP_MEASURE_ID_OVERRIDE",$C140,"DEEP_BROKER_ID_OVERRIDE",$F$7,"DEEP_PERIOD_OVERRIDE",AN$11)*1,"")))</f>
        <v/>
      </c>
      <c r="AO140" s="17" t="str">
        <f ca="1">IF(ISNA($B140),"",IF($B140="","",IFERROR(_xll.BDP(TICKER,"DEEP_MEASURE_PERIOD_BROKER_VALUE","DEEP_MEASURE_ID_OVERRIDE",$C140,"DEEP_BROKER_ID_OVERRIDE",$F$7,"DEEP_PERIOD_OVERRIDE",AO$11)*1,"")))</f>
        <v/>
      </c>
      <c r="AP140" s="17" t="str">
        <f ca="1">IF(ISNA($B140),"",IF($B140="","",IFERROR(_xll.BDP(TICKER,"DEEP_MEASURE_PERIOD_BROKER_VALUE","DEEP_MEASURE_ID_OVERRIDE",$C140,"DEEP_BROKER_ID_OVERRIDE",$F$7,"DEEP_PERIOD_OVERRIDE",AP$11)*1,"")))</f>
        <v/>
      </c>
      <c r="AQ140" s="17" t="str">
        <f ca="1">IF(ISNA($B140),"",IF($B140="","",IFERROR(_xll.BDP(TICKER,"DEEP_MEASURE_PERIOD_BROKER_VALUE","DEEP_MEASURE_ID_OVERRIDE",$C140,"DEEP_BROKER_ID_OVERRIDE",$F$7,"DEEP_PERIOD_OVERRIDE",AQ$11)*1,"")))</f>
        <v/>
      </c>
    </row>
    <row r="141" spans="2:43" x14ac:dyDescent="0.25">
      <c r="B141" t="s">
        <v>32</v>
      </c>
      <c r="C141">
        <v>360</v>
      </c>
      <c r="H141" t="str">
        <f t="shared" si="3"/>
        <v>Diluted Shares Outstanding</v>
      </c>
      <c r="I141" s="17" t="str">
        <f ca="1">IF(ISNA($B141),"",IF($B141="","",IFERROR(_xll.BDP(TICKER,"DEEP_MEASURE_PERIOD_BROKER_VALUE","DEEP_MEASURE_ID_OVERRIDE",$C141,"DEEP_BROKER_ID_OVERRIDE",$F$7,"DEEP_PERIOD_OVERRIDE",I$11)*1,"")))</f>
        <v/>
      </c>
      <c r="J141" s="17" t="str">
        <f ca="1">IF(ISNA($B141),"",IF($B141="","",IFERROR(_xll.BDP(TICKER,"DEEP_MEASURE_PERIOD_BROKER_VALUE","DEEP_MEASURE_ID_OVERRIDE",$C141,"DEEP_BROKER_ID_OVERRIDE",$F$7,"DEEP_PERIOD_OVERRIDE",J$11)*1,"")))</f>
        <v/>
      </c>
      <c r="K141" s="17" t="str">
        <f ca="1">IF(ISNA($B141),"",IF($B141="","",IFERROR(_xll.BDP(TICKER,"DEEP_MEASURE_PERIOD_BROKER_VALUE","DEEP_MEASURE_ID_OVERRIDE",$C141,"DEEP_BROKER_ID_OVERRIDE",$F$7,"DEEP_PERIOD_OVERRIDE",K$11)*1,"")))</f>
        <v/>
      </c>
      <c r="L141" s="17" t="str">
        <f ca="1">IF(ISNA($B141),"",IF($B141="","",IFERROR(_xll.BDP(TICKER,"DEEP_MEASURE_PERIOD_BROKER_VALUE","DEEP_MEASURE_ID_OVERRIDE",$C141,"DEEP_BROKER_ID_OVERRIDE",$F$7,"DEEP_PERIOD_OVERRIDE",L$11)*1,"")))</f>
        <v/>
      </c>
      <c r="M141" s="17" t="str">
        <f ca="1">IF(ISNA($B141),"",IF($B141="","",IFERROR(_xll.BDP(TICKER,"DEEP_MEASURE_PERIOD_BROKER_VALUE","DEEP_MEASURE_ID_OVERRIDE",$C141,"DEEP_BROKER_ID_OVERRIDE",$F$7,"DEEP_PERIOD_OVERRIDE",M$11)*1,"")))</f>
        <v/>
      </c>
      <c r="N141" s="17" t="str">
        <f ca="1">IF(ISNA($B141),"",IF($B141="","",IFERROR(_xll.BDP(TICKER,"DEEP_MEASURE_PERIOD_BROKER_VALUE","DEEP_MEASURE_ID_OVERRIDE",$C141,"DEEP_BROKER_ID_OVERRIDE",$F$7,"DEEP_PERIOD_OVERRIDE",N$11)*1,"")))</f>
        <v/>
      </c>
      <c r="O141" s="17" t="str">
        <f ca="1">IF(ISNA($B141),"",IF($B141="","",IFERROR(_xll.BDP(TICKER,"DEEP_MEASURE_PERIOD_BROKER_VALUE","DEEP_MEASURE_ID_OVERRIDE",$C141,"DEEP_BROKER_ID_OVERRIDE",$F$7,"DEEP_PERIOD_OVERRIDE",O$11)*1,"")))</f>
        <v/>
      </c>
      <c r="P141" s="17" t="str">
        <f ca="1">IF(ISNA($B141),"",IF($B141="","",IFERROR(_xll.BDP(TICKER,"DEEP_MEASURE_PERIOD_BROKER_VALUE","DEEP_MEASURE_ID_OVERRIDE",$C141,"DEEP_BROKER_ID_OVERRIDE",$F$7,"DEEP_PERIOD_OVERRIDE",P$11)*1,"")))</f>
        <v/>
      </c>
      <c r="Q141" s="17" t="str">
        <f ca="1">IF(ISNA($B141),"",IF($B141="","",IFERROR(_xll.BDP(TICKER,"DEEP_MEASURE_PERIOD_BROKER_VALUE","DEEP_MEASURE_ID_OVERRIDE",$C141,"DEEP_BROKER_ID_OVERRIDE",$F$7,"DEEP_PERIOD_OVERRIDE",Q$11)*1,"")))</f>
        <v/>
      </c>
      <c r="R141" s="17" t="str">
        <f ca="1">IF(ISNA($B141),"",IF($B141="","",IFERROR(_xll.BDP(TICKER,"DEEP_MEASURE_PERIOD_BROKER_VALUE","DEEP_MEASURE_ID_OVERRIDE",$C141,"DEEP_BROKER_ID_OVERRIDE",$F$7,"DEEP_PERIOD_OVERRIDE",R$11)*1,"")))</f>
        <v/>
      </c>
      <c r="S141" s="17" t="str">
        <f ca="1">IF(ISNA($B141),"",IF($B141="","",IFERROR(_xll.BDP(TICKER,"DEEP_MEASURE_PERIOD_BROKER_VALUE","DEEP_MEASURE_ID_OVERRIDE",$C141,"DEEP_BROKER_ID_OVERRIDE",$F$7,"DEEP_PERIOD_OVERRIDE",S$11)*1,"")))</f>
        <v/>
      </c>
      <c r="T141" s="17" t="str">
        <f ca="1">IF(ISNA($B141),"",IF($B141="","",IFERROR(_xll.BDP(TICKER,"DEEP_MEASURE_PERIOD_BROKER_VALUE","DEEP_MEASURE_ID_OVERRIDE",$C141,"DEEP_BROKER_ID_OVERRIDE",$F$7,"DEEP_PERIOD_OVERRIDE",T$11)*1,"")))</f>
        <v/>
      </c>
      <c r="U141" s="17" t="str">
        <f ca="1">IF(ISNA($B141),"",IF($B141="","",IFERROR(_xll.BDP(TICKER,"DEEP_MEASURE_PERIOD_BROKER_VALUE","DEEP_MEASURE_ID_OVERRIDE",$C141,"DEEP_BROKER_ID_OVERRIDE",$F$7,"DEEP_PERIOD_OVERRIDE",U$11)*1,"")))</f>
        <v/>
      </c>
      <c r="V141" s="17" t="str">
        <f ca="1">IF(ISNA($B141),"",IF($B141="","",IFERROR(_xll.BDP(TICKER,"DEEP_MEASURE_PERIOD_BROKER_VALUE","DEEP_MEASURE_ID_OVERRIDE",$C141,"DEEP_BROKER_ID_OVERRIDE",$F$7,"DEEP_PERIOD_OVERRIDE",V$11)*1,"")))</f>
        <v/>
      </c>
      <c r="W141" s="17" t="str">
        <f ca="1">IF(ISNA($B141),"",IF($B141="","",IFERROR(_xll.BDP(TICKER,"DEEP_MEASURE_PERIOD_BROKER_VALUE","DEEP_MEASURE_ID_OVERRIDE",$C141,"DEEP_BROKER_ID_OVERRIDE",$F$7,"DEEP_PERIOD_OVERRIDE",W$11)*1,"")))</f>
        <v/>
      </c>
      <c r="X141" s="17" t="str">
        <f ca="1">IF(ISNA($B141),"",IF($B141="","",IFERROR(_xll.BDP(TICKER,"DEEP_MEASURE_PERIOD_BROKER_VALUE","DEEP_MEASURE_ID_OVERRIDE",$C141,"DEEP_BROKER_ID_OVERRIDE",$F$7,"DEEP_PERIOD_OVERRIDE",X$11)*1,"")))</f>
        <v/>
      </c>
      <c r="Y141" s="17" t="str">
        <f ca="1">IF(ISNA($B141),"",IF($B141="","",IFERROR(_xll.BDP(TICKER,"DEEP_MEASURE_PERIOD_BROKER_VALUE","DEEP_MEASURE_ID_OVERRIDE",$C141,"DEEP_BROKER_ID_OVERRIDE",$F$7,"DEEP_PERIOD_OVERRIDE",Y$11)*1,"")))</f>
        <v/>
      </c>
      <c r="Z141" s="17" t="str">
        <f ca="1">IF(ISNA($B141),"",IF($B141="","",IFERROR(_xll.BDP(TICKER,"DEEP_MEASURE_PERIOD_BROKER_VALUE","DEEP_MEASURE_ID_OVERRIDE",$C141,"DEEP_BROKER_ID_OVERRIDE",$F$7,"DEEP_PERIOD_OVERRIDE",Z$11)*1,"")))</f>
        <v/>
      </c>
      <c r="AA141" s="17" t="str">
        <f ca="1">IF(ISNA($B141),"",IF($B141="","",IFERROR(_xll.BDP(TICKER,"DEEP_MEASURE_PERIOD_BROKER_VALUE","DEEP_MEASURE_ID_OVERRIDE",$C141,"DEEP_BROKER_ID_OVERRIDE",$F$7,"DEEP_PERIOD_OVERRIDE",AA$11)*1,"")))</f>
        <v/>
      </c>
      <c r="AB141" s="17" t="str">
        <f ca="1">IF(ISNA($B141),"",IF($B141="","",IFERROR(_xll.BDP(TICKER,"DEEP_MEASURE_PERIOD_BROKER_VALUE","DEEP_MEASURE_ID_OVERRIDE",$C141,"DEEP_BROKER_ID_OVERRIDE",$F$7,"DEEP_PERIOD_OVERRIDE",AB$11)*1,"")))</f>
        <v/>
      </c>
      <c r="AC141" s="17" t="str">
        <f ca="1">IF(ISNA($B141),"",IF($B141="","",IFERROR(_xll.BDP(TICKER,"DEEP_MEASURE_PERIOD_BROKER_VALUE","DEEP_MEASURE_ID_OVERRIDE",$C141,"DEEP_BROKER_ID_OVERRIDE",$F$7,"DEEP_PERIOD_OVERRIDE",AC$11)*1,"")))</f>
        <v/>
      </c>
      <c r="AD141" s="17" t="str">
        <f ca="1">IF(ISNA($B141),"",IF($B141="","",IFERROR(_xll.BDP(TICKER,"DEEP_MEASURE_PERIOD_BROKER_VALUE","DEEP_MEASURE_ID_OVERRIDE",$C141,"DEEP_BROKER_ID_OVERRIDE",$F$7,"DEEP_PERIOD_OVERRIDE",AD$11)*1,"")))</f>
        <v/>
      </c>
      <c r="AE141" s="17" t="str">
        <f ca="1">IF(ISNA($B141),"",IF($B141="","",IFERROR(_xll.BDP(TICKER,"DEEP_MEASURE_PERIOD_BROKER_VALUE","DEEP_MEASURE_ID_OVERRIDE",$C141,"DEEP_BROKER_ID_OVERRIDE",$F$7,"DEEP_PERIOD_OVERRIDE",AE$11)*1,"")))</f>
        <v/>
      </c>
      <c r="AF141" s="17" t="str">
        <f ca="1">IF(ISNA($B141),"",IF($B141="","",IFERROR(_xll.BDP(TICKER,"DEEP_MEASURE_PERIOD_BROKER_VALUE","DEEP_MEASURE_ID_OVERRIDE",$C141,"DEEP_BROKER_ID_OVERRIDE",$F$7,"DEEP_PERIOD_OVERRIDE",AF$11)*1,"")))</f>
        <v/>
      </c>
      <c r="AG141" s="17" t="str">
        <f ca="1">IF(ISNA($B141),"",IF($B141="","",IFERROR(_xll.BDP(TICKER,"DEEP_MEASURE_PERIOD_BROKER_VALUE","DEEP_MEASURE_ID_OVERRIDE",$C141,"DEEP_BROKER_ID_OVERRIDE",$F$7,"DEEP_PERIOD_OVERRIDE",AG$11)*1,"")))</f>
        <v/>
      </c>
      <c r="AH141" s="17" t="str">
        <f ca="1">IF(ISNA($B141),"",IF($B141="","",IFERROR(_xll.BDP(TICKER,"DEEP_MEASURE_PERIOD_BROKER_VALUE","DEEP_MEASURE_ID_OVERRIDE",$C141,"DEEP_BROKER_ID_OVERRIDE",$F$7,"DEEP_PERIOD_OVERRIDE",AH$11)*1,"")))</f>
        <v/>
      </c>
      <c r="AI141" s="17" t="str">
        <f ca="1">IF(ISNA($B141),"",IF($B141="","",IFERROR(_xll.BDP(TICKER,"DEEP_MEASURE_PERIOD_BROKER_VALUE","DEEP_MEASURE_ID_OVERRIDE",$C141,"DEEP_BROKER_ID_OVERRIDE",$F$7,"DEEP_PERIOD_OVERRIDE",AI$11)*1,"")))</f>
        <v/>
      </c>
      <c r="AJ141" s="17" t="str">
        <f ca="1">IF(ISNA($B141),"",IF($B141="","",IFERROR(_xll.BDP(TICKER,"DEEP_MEASURE_PERIOD_BROKER_VALUE","DEEP_MEASURE_ID_OVERRIDE",$C141,"DEEP_BROKER_ID_OVERRIDE",$F$7,"DEEP_PERIOD_OVERRIDE",AJ$11)*1,"")))</f>
        <v/>
      </c>
      <c r="AK141" s="17" t="str">
        <f ca="1">IF(ISNA($B141),"",IF($B141="","",IFERROR(_xll.BDP(TICKER,"DEEP_MEASURE_PERIOD_BROKER_VALUE","DEEP_MEASURE_ID_OVERRIDE",$C141,"DEEP_BROKER_ID_OVERRIDE",$F$7,"DEEP_PERIOD_OVERRIDE",AK$11)*1,"")))</f>
        <v/>
      </c>
      <c r="AL141" s="17" t="str">
        <f ca="1">IF(ISNA($B141),"",IF($B141="","",IFERROR(_xll.BDP(TICKER,"DEEP_MEASURE_PERIOD_BROKER_VALUE","DEEP_MEASURE_ID_OVERRIDE",$C141,"DEEP_BROKER_ID_OVERRIDE",$F$7,"DEEP_PERIOD_OVERRIDE",AL$11)*1,"")))</f>
        <v/>
      </c>
      <c r="AM141" s="17" t="str">
        <f ca="1">IF(ISNA($B141),"",IF($B141="","",IFERROR(_xll.BDP(TICKER,"DEEP_MEASURE_PERIOD_BROKER_VALUE","DEEP_MEASURE_ID_OVERRIDE",$C141,"DEEP_BROKER_ID_OVERRIDE",$F$7,"DEEP_PERIOD_OVERRIDE",AM$11)*1,"")))</f>
        <v/>
      </c>
      <c r="AN141" s="17" t="str">
        <f ca="1">IF(ISNA($B141),"",IF($B141="","",IFERROR(_xll.BDP(TICKER,"DEEP_MEASURE_PERIOD_BROKER_VALUE","DEEP_MEASURE_ID_OVERRIDE",$C141,"DEEP_BROKER_ID_OVERRIDE",$F$7,"DEEP_PERIOD_OVERRIDE",AN$11)*1,"")))</f>
        <v/>
      </c>
      <c r="AO141" s="17" t="str">
        <f ca="1">IF(ISNA($B141),"",IF($B141="","",IFERROR(_xll.BDP(TICKER,"DEEP_MEASURE_PERIOD_BROKER_VALUE","DEEP_MEASURE_ID_OVERRIDE",$C141,"DEEP_BROKER_ID_OVERRIDE",$F$7,"DEEP_PERIOD_OVERRIDE",AO$11)*1,"")))</f>
        <v/>
      </c>
      <c r="AP141" s="17" t="str">
        <f ca="1">IF(ISNA($B141),"",IF($B141="","",IFERROR(_xll.BDP(TICKER,"DEEP_MEASURE_PERIOD_BROKER_VALUE","DEEP_MEASURE_ID_OVERRIDE",$C141,"DEEP_BROKER_ID_OVERRIDE",$F$7,"DEEP_PERIOD_OVERRIDE",AP$11)*1,"")))</f>
        <v/>
      </c>
      <c r="AQ141" s="17" t="str">
        <f ca="1">IF(ISNA($B141),"",IF($B141="","",IFERROR(_xll.BDP(TICKER,"DEEP_MEASURE_PERIOD_BROKER_VALUE","DEEP_MEASURE_ID_OVERRIDE",$C141,"DEEP_BROKER_ID_OVERRIDE",$F$7,"DEEP_PERIOD_OVERRIDE",AQ$11)*1,"")))</f>
        <v/>
      </c>
    </row>
    <row r="142" spans="2:43" x14ac:dyDescent="0.25">
      <c r="B142" t="s">
        <v>176</v>
      </c>
      <c r="C142">
        <v>362</v>
      </c>
      <c r="H142" t="str">
        <f t="shared" si="3"/>
        <v>Diluted EPS, GAAP</v>
      </c>
      <c r="I142" s="17" t="str">
        <f ca="1">IF(ISNA($B142),"",IF($B142="","",IFERROR(_xll.BDP(TICKER,"DEEP_MEASURE_PERIOD_BROKER_VALUE","DEEP_MEASURE_ID_OVERRIDE",$C142,"DEEP_BROKER_ID_OVERRIDE",$F$7,"DEEP_PERIOD_OVERRIDE",I$11)*1,"")))</f>
        <v/>
      </c>
      <c r="J142" s="17" t="str">
        <f ca="1">IF(ISNA($B142),"",IF($B142="","",IFERROR(_xll.BDP(TICKER,"DEEP_MEASURE_PERIOD_BROKER_VALUE","DEEP_MEASURE_ID_OVERRIDE",$C142,"DEEP_BROKER_ID_OVERRIDE",$F$7,"DEEP_PERIOD_OVERRIDE",J$11)*1,"")))</f>
        <v/>
      </c>
      <c r="K142" s="17" t="str">
        <f ca="1">IF(ISNA($B142),"",IF($B142="","",IFERROR(_xll.BDP(TICKER,"DEEP_MEASURE_PERIOD_BROKER_VALUE","DEEP_MEASURE_ID_OVERRIDE",$C142,"DEEP_BROKER_ID_OVERRIDE",$F$7,"DEEP_PERIOD_OVERRIDE",K$11)*1,"")))</f>
        <v/>
      </c>
      <c r="L142" s="17" t="str">
        <f ca="1">IF(ISNA($B142),"",IF($B142="","",IFERROR(_xll.BDP(TICKER,"DEEP_MEASURE_PERIOD_BROKER_VALUE","DEEP_MEASURE_ID_OVERRIDE",$C142,"DEEP_BROKER_ID_OVERRIDE",$F$7,"DEEP_PERIOD_OVERRIDE",L$11)*1,"")))</f>
        <v/>
      </c>
      <c r="M142" s="17" t="str">
        <f ca="1">IF(ISNA($B142),"",IF($B142="","",IFERROR(_xll.BDP(TICKER,"DEEP_MEASURE_PERIOD_BROKER_VALUE","DEEP_MEASURE_ID_OVERRIDE",$C142,"DEEP_BROKER_ID_OVERRIDE",$F$7,"DEEP_PERIOD_OVERRIDE",M$11)*1,"")))</f>
        <v/>
      </c>
      <c r="N142" s="17" t="str">
        <f ca="1">IF(ISNA($B142),"",IF($B142="","",IFERROR(_xll.BDP(TICKER,"DEEP_MEASURE_PERIOD_BROKER_VALUE","DEEP_MEASURE_ID_OVERRIDE",$C142,"DEEP_BROKER_ID_OVERRIDE",$F$7,"DEEP_PERIOD_OVERRIDE",N$11)*1,"")))</f>
        <v/>
      </c>
      <c r="O142" s="17" t="str">
        <f ca="1">IF(ISNA($B142),"",IF($B142="","",IFERROR(_xll.BDP(TICKER,"DEEP_MEASURE_PERIOD_BROKER_VALUE","DEEP_MEASURE_ID_OVERRIDE",$C142,"DEEP_BROKER_ID_OVERRIDE",$F$7,"DEEP_PERIOD_OVERRIDE",O$11)*1,"")))</f>
        <v/>
      </c>
      <c r="P142" s="17" t="str">
        <f ca="1">IF(ISNA($B142),"",IF($B142="","",IFERROR(_xll.BDP(TICKER,"DEEP_MEASURE_PERIOD_BROKER_VALUE","DEEP_MEASURE_ID_OVERRIDE",$C142,"DEEP_BROKER_ID_OVERRIDE",$F$7,"DEEP_PERIOD_OVERRIDE",P$11)*1,"")))</f>
        <v/>
      </c>
      <c r="Q142" s="17" t="str">
        <f ca="1">IF(ISNA($B142),"",IF($B142="","",IFERROR(_xll.BDP(TICKER,"DEEP_MEASURE_PERIOD_BROKER_VALUE","DEEP_MEASURE_ID_OVERRIDE",$C142,"DEEP_BROKER_ID_OVERRIDE",$F$7,"DEEP_PERIOD_OVERRIDE",Q$11)*1,"")))</f>
        <v/>
      </c>
      <c r="R142" s="17" t="str">
        <f ca="1">IF(ISNA($B142),"",IF($B142="","",IFERROR(_xll.BDP(TICKER,"DEEP_MEASURE_PERIOD_BROKER_VALUE","DEEP_MEASURE_ID_OVERRIDE",$C142,"DEEP_BROKER_ID_OVERRIDE",$F$7,"DEEP_PERIOD_OVERRIDE",R$11)*1,"")))</f>
        <v/>
      </c>
      <c r="S142" s="17" t="str">
        <f ca="1">IF(ISNA($B142),"",IF($B142="","",IFERROR(_xll.BDP(TICKER,"DEEP_MEASURE_PERIOD_BROKER_VALUE","DEEP_MEASURE_ID_OVERRIDE",$C142,"DEEP_BROKER_ID_OVERRIDE",$F$7,"DEEP_PERIOD_OVERRIDE",S$11)*1,"")))</f>
        <v/>
      </c>
      <c r="T142" s="17" t="str">
        <f ca="1">IF(ISNA($B142),"",IF($B142="","",IFERROR(_xll.BDP(TICKER,"DEEP_MEASURE_PERIOD_BROKER_VALUE","DEEP_MEASURE_ID_OVERRIDE",$C142,"DEEP_BROKER_ID_OVERRIDE",$F$7,"DEEP_PERIOD_OVERRIDE",T$11)*1,"")))</f>
        <v/>
      </c>
      <c r="U142" s="17" t="str">
        <f ca="1">IF(ISNA($B142),"",IF($B142="","",IFERROR(_xll.BDP(TICKER,"DEEP_MEASURE_PERIOD_BROKER_VALUE","DEEP_MEASURE_ID_OVERRIDE",$C142,"DEEP_BROKER_ID_OVERRIDE",$F$7,"DEEP_PERIOD_OVERRIDE",U$11)*1,"")))</f>
        <v/>
      </c>
      <c r="V142" s="17" t="str">
        <f ca="1">IF(ISNA($B142),"",IF($B142="","",IFERROR(_xll.BDP(TICKER,"DEEP_MEASURE_PERIOD_BROKER_VALUE","DEEP_MEASURE_ID_OVERRIDE",$C142,"DEEP_BROKER_ID_OVERRIDE",$F$7,"DEEP_PERIOD_OVERRIDE",V$11)*1,"")))</f>
        <v/>
      </c>
      <c r="W142" s="17" t="str">
        <f ca="1">IF(ISNA($B142),"",IF($B142="","",IFERROR(_xll.BDP(TICKER,"DEEP_MEASURE_PERIOD_BROKER_VALUE","DEEP_MEASURE_ID_OVERRIDE",$C142,"DEEP_BROKER_ID_OVERRIDE",$F$7,"DEEP_PERIOD_OVERRIDE",W$11)*1,"")))</f>
        <v/>
      </c>
      <c r="X142" s="17" t="str">
        <f ca="1">IF(ISNA($B142),"",IF($B142="","",IFERROR(_xll.BDP(TICKER,"DEEP_MEASURE_PERIOD_BROKER_VALUE","DEEP_MEASURE_ID_OVERRIDE",$C142,"DEEP_BROKER_ID_OVERRIDE",$F$7,"DEEP_PERIOD_OVERRIDE",X$11)*1,"")))</f>
        <v/>
      </c>
      <c r="Y142" s="17" t="str">
        <f ca="1">IF(ISNA($B142),"",IF($B142="","",IFERROR(_xll.BDP(TICKER,"DEEP_MEASURE_PERIOD_BROKER_VALUE","DEEP_MEASURE_ID_OVERRIDE",$C142,"DEEP_BROKER_ID_OVERRIDE",$F$7,"DEEP_PERIOD_OVERRIDE",Y$11)*1,"")))</f>
        <v/>
      </c>
      <c r="Z142" s="17" t="str">
        <f ca="1">IF(ISNA($B142),"",IF($B142="","",IFERROR(_xll.BDP(TICKER,"DEEP_MEASURE_PERIOD_BROKER_VALUE","DEEP_MEASURE_ID_OVERRIDE",$C142,"DEEP_BROKER_ID_OVERRIDE",$F$7,"DEEP_PERIOD_OVERRIDE",Z$11)*1,"")))</f>
        <v/>
      </c>
      <c r="AA142" s="17" t="str">
        <f ca="1">IF(ISNA($B142),"",IF($B142="","",IFERROR(_xll.BDP(TICKER,"DEEP_MEASURE_PERIOD_BROKER_VALUE","DEEP_MEASURE_ID_OVERRIDE",$C142,"DEEP_BROKER_ID_OVERRIDE",$F$7,"DEEP_PERIOD_OVERRIDE",AA$11)*1,"")))</f>
        <v/>
      </c>
      <c r="AB142" s="17" t="str">
        <f ca="1">IF(ISNA($B142),"",IF($B142="","",IFERROR(_xll.BDP(TICKER,"DEEP_MEASURE_PERIOD_BROKER_VALUE","DEEP_MEASURE_ID_OVERRIDE",$C142,"DEEP_BROKER_ID_OVERRIDE",$F$7,"DEEP_PERIOD_OVERRIDE",AB$11)*1,"")))</f>
        <v/>
      </c>
      <c r="AC142" s="17" t="str">
        <f ca="1">IF(ISNA($B142),"",IF($B142="","",IFERROR(_xll.BDP(TICKER,"DEEP_MEASURE_PERIOD_BROKER_VALUE","DEEP_MEASURE_ID_OVERRIDE",$C142,"DEEP_BROKER_ID_OVERRIDE",$F$7,"DEEP_PERIOD_OVERRIDE",AC$11)*1,"")))</f>
        <v/>
      </c>
      <c r="AD142" s="17" t="str">
        <f ca="1">IF(ISNA($B142),"",IF($B142="","",IFERROR(_xll.BDP(TICKER,"DEEP_MEASURE_PERIOD_BROKER_VALUE","DEEP_MEASURE_ID_OVERRIDE",$C142,"DEEP_BROKER_ID_OVERRIDE",$F$7,"DEEP_PERIOD_OVERRIDE",AD$11)*1,"")))</f>
        <v/>
      </c>
      <c r="AE142" s="17" t="str">
        <f ca="1">IF(ISNA($B142),"",IF($B142="","",IFERROR(_xll.BDP(TICKER,"DEEP_MEASURE_PERIOD_BROKER_VALUE","DEEP_MEASURE_ID_OVERRIDE",$C142,"DEEP_BROKER_ID_OVERRIDE",$F$7,"DEEP_PERIOD_OVERRIDE",AE$11)*1,"")))</f>
        <v/>
      </c>
      <c r="AF142" s="17" t="str">
        <f ca="1">IF(ISNA($B142),"",IF($B142="","",IFERROR(_xll.BDP(TICKER,"DEEP_MEASURE_PERIOD_BROKER_VALUE","DEEP_MEASURE_ID_OVERRIDE",$C142,"DEEP_BROKER_ID_OVERRIDE",$F$7,"DEEP_PERIOD_OVERRIDE",AF$11)*1,"")))</f>
        <v/>
      </c>
      <c r="AG142" s="17" t="str">
        <f ca="1">IF(ISNA($B142),"",IF($B142="","",IFERROR(_xll.BDP(TICKER,"DEEP_MEASURE_PERIOD_BROKER_VALUE","DEEP_MEASURE_ID_OVERRIDE",$C142,"DEEP_BROKER_ID_OVERRIDE",$F$7,"DEEP_PERIOD_OVERRIDE",AG$11)*1,"")))</f>
        <v/>
      </c>
      <c r="AH142" s="17" t="str">
        <f ca="1">IF(ISNA($B142),"",IF($B142="","",IFERROR(_xll.BDP(TICKER,"DEEP_MEASURE_PERIOD_BROKER_VALUE","DEEP_MEASURE_ID_OVERRIDE",$C142,"DEEP_BROKER_ID_OVERRIDE",$F$7,"DEEP_PERIOD_OVERRIDE",AH$11)*1,"")))</f>
        <v/>
      </c>
      <c r="AI142" s="17" t="str">
        <f ca="1">IF(ISNA($B142),"",IF($B142="","",IFERROR(_xll.BDP(TICKER,"DEEP_MEASURE_PERIOD_BROKER_VALUE","DEEP_MEASURE_ID_OVERRIDE",$C142,"DEEP_BROKER_ID_OVERRIDE",$F$7,"DEEP_PERIOD_OVERRIDE",AI$11)*1,"")))</f>
        <v/>
      </c>
      <c r="AJ142" s="17" t="str">
        <f ca="1">IF(ISNA($B142),"",IF($B142="","",IFERROR(_xll.BDP(TICKER,"DEEP_MEASURE_PERIOD_BROKER_VALUE","DEEP_MEASURE_ID_OVERRIDE",$C142,"DEEP_BROKER_ID_OVERRIDE",$F$7,"DEEP_PERIOD_OVERRIDE",AJ$11)*1,"")))</f>
        <v/>
      </c>
      <c r="AK142" s="17" t="str">
        <f ca="1">IF(ISNA($B142),"",IF($B142="","",IFERROR(_xll.BDP(TICKER,"DEEP_MEASURE_PERIOD_BROKER_VALUE","DEEP_MEASURE_ID_OVERRIDE",$C142,"DEEP_BROKER_ID_OVERRIDE",$F$7,"DEEP_PERIOD_OVERRIDE",AK$11)*1,"")))</f>
        <v/>
      </c>
      <c r="AL142" s="17" t="str">
        <f ca="1">IF(ISNA($B142),"",IF($B142="","",IFERROR(_xll.BDP(TICKER,"DEEP_MEASURE_PERIOD_BROKER_VALUE","DEEP_MEASURE_ID_OVERRIDE",$C142,"DEEP_BROKER_ID_OVERRIDE",$F$7,"DEEP_PERIOD_OVERRIDE",AL$11)*1,"")))</f>
        <v/>
      </c>
      <c r="AM142" s="17" t="str">
        <f ca="1">IF(ISNA($B142),"",IF($B142="","",IFERROR(_xll.BDP(TICKER,"DEEP_MEASURE_PERIOD_BROKER_VALUE","DEEP_MEASURE_ID_OVERRIDE",$C142,"DEEP_BROKER_ID_OVERRIDE",$F$7,"DEEP_PERIOD_OVERRIDE",AM$11)*1,"")))</f>
        <v/>
      </c>
      <c r="AN142" s="17" t="str">
        <f ca="1">IF(ISNA($B142),"",IF($B142="","",IFERROR(_xll.BDP(TICKER,"DEEP_MEASURE_PERIOD_BROKER_VALUE","DEEP_MEASURE_ID_OVERRIDE",$C142,"DEEP_BROKER_ID_OVERRIDE",$F$7,"DEEP_PERIOD_OVERRIDE",AN$11)*1,"")))</f>
        <v/>
      </c>
      <c r="AO142" s="17" t="str">
        <f ca="1">IF(ISNA($B142),"",IF($B142="","",IFERROR(_xll.BDP(TICKER,"DEEP_MEASURE_PERIOD_BROKER_VALUE","DEEP_MEASURE_ID_OVERRIDE",$C142,"DEEP_BROKER_ID_OVERRIDE",$F$7,"DEEP_PERIOD_OVERRIDE",AO$11)*1,"")))</f>
        <v/>
      </c>
      <c r="AP142" s="17" t="str">
        <f ca="1">IF(ISNA($B142),"",IF($B142="","",IFERROR(_xll.BDP(TICKER,"DEEP_MEASURE_PERIOD_BROKER_VALUE","DEEP_MEASURE_ID_OVERRIDE",$C142,"DEEP_BROKER_ID_OVERRIDE",$F$7,"DEEP_PERIOD_OVERRIDE",AP$11)*1,"")))</f>
        <v/>
      </c>
      <c r="AQ142" s="17" t="str">
        <f ca="1">IF(ISNA($B142),"",IF($B142="","",IFERROR(_xll.BDP(TICKER,"DEEP_MEASURE_PERIOD_BROKER_VALUE","DEEP_MEASURE_ID_OVERRIDE",$C142,"DEEP_BROKER_ID_OVERRIDE",$F$7,"DEEP_PERIOD_OVERRIDE",AQ$11)*1,"")))</f>
        <v/>
      </c>
    </row>
    <row r="143" spans="2:43" x14ac:dyDescent="0.25">
      <c r="B143" t="s">
        <v>177</v>
      </c>
      <c r="C143">
        <v>5763</v>
      </c>
      <c r="H143" t="str">
        <f t="shared" si="3"/>
        <v>Non-GAAP Metrics &gt; Total Operating Expenses</v>
      </c>
      <c r="I143" s="17" t="str">
        <f ca="1">IF(ISNA($B143),"",IF($B143="","",IFERROR(_xll.BDP(TICKER,"DEEP_MEASURE_PERIOD_BROKER_VALUE","DEEP_MEASURE_ID_OVERRIDE",$C143,"DEEP_BROKER_ID_OVERRIDE",$F$7,"DEEP_PERIOD_OVERRIDE",I$11)*1,"")))</f>
        <v/>
      </c>
      <c r="J143" s="17" t="str">
        <f ca="1">IF(ISNA($B143),"",IF($B143="","",IFERROR(_xll.BDP(TICKER,"DEEP_MEASURE_PERIOD_BROKER_VALUE","DEEP_MEASURE_ID_OVERRIDE",$C143,"DEEP_BROKER_ID_OVERRIDE",$F$7,"DEEP_PERIOD_OVERRIDE",J$11)*1,"")))</f>
        <v/>
      </c>
      <c r="K143" s="17" t="str">
        <f ca="1">IF(ISNA($B143),"",IF($B143="","",IFERROR(_xll.BDP(TICKER,"DEEP_MEASURE_PERIOD_BROKER_VALUE","DEEP_MEASURE_ID_OVERRIDE",$C143,"DEEP_BROKER_ID_OVERRIDE",$F$7,"DEEP_PERIOD_OVERRIDE",K$11)*1,"")))</f>
        <v/>
      </c>
      <c r="L143" s="17" t="str">
        <f ca="1">IF(ISNA($B143),"",IF($B143="","",IFERROR(_xll.BDP(TICKER,"DEEP_MEASURE_PERIOD_BROKER_VALUE","DEEP_MEASURE_ID_OVERRIDE",$C143,"DEEP_BROKER_ID_OVERRIDE",$F$7,"DEEP_PERIOD_OVERRIDE",L$11)*1,"")))</f>
        <v/>
      </c>
      <c r="M143" s="17" t="str">
        <f ca="1">IF(ISNA($B143),"",IF($B143="","",IFERROR(_xll.BDP(TICKER,"DEEP_MEASURE_PERIOD_BROKER_VALUE","DEEP_MEASURE_ID_OVERRIDE",$C143,"DEEP_BROKER_ID_OVERRIDE",$F$7,"DEEP_PERIOD_OVERRIDE",M$11)*1,"")))</f>
        <v/>
      </c>
      <c r="N143" s="17" t="str">
        <f ca="1">IF(ISNA($B143),"",IF($B143="","",IFERROR(_xll.BDP(TICKER,"DEEP_MEASURE_PERIOD_BROKER_VALUE","DEEP_MEASURE_ID_OVERRIDE",$C143,"DEEP_BROKER_ID_OVERRIDE",$F$7,"DEEP_PERIOD_OVERRIDE",N$11)*1,"")))</f>
        <v/>
      </c>
      <c r="O143" s="17" t="str">
        <f ca="1">IF(ISNA($B143),"",IF($B143="","",IFERROR(_xll.BDP(TICKER,"DEEP_MEASURE_PERIOD_BROKER_VALUE","DEEP_MEASURE_ID_OVERRIDE",$C143,"DEEP_BROKER_ID_OVERRIDE",$F$7,"DEEP_PERIOD_OVERRIDE",O$11)*1,"")))</f>
        <v/>
      </c>
      <c r="P143" s="17" t="str">
        <f ca="1">IF(ISNA($B143),"",IF($B143="","",IFERROR(_xll.BDP(TICKER,"DEEP_MEASURE_PERIOD_BROKER_VALUE","DEEP_MEASURE_ID_OVERRIDE",$C143,"DEEP_BROKER_ID_OVERRIDE",$F$7,"DEEP_PERIOD_OVERRIDE",P$11)*1,"")))</f>
        <v/>
      </c>
      <c r="Q143" s="17" t="str">
        <f ca="1">IF(ISNA($B143),"",IF($B143="","",IFERROR(_xll.BDP(TICKER,"DEEP_MEASURE_PERIOD_BROKER_VALUE","DEEP_MEASURE_ID_OVERRIDE",$C143,"DEEP_BROKER_ID_OVERRIDE",$F$7,"DEEP_PERIOD_OVERRIDE",Q$11)*1,"")))</f>
        <v/>
      </c>
      <c r="R143" s="17" t="str">
        <f ca="1">IF(ISNA($B143),"",IF($B143="","",IFERROR(_xll.BDP(TICKER,"DEEP_MEASURE_PERIOD_BROKER_VALUE","DEEP_MEASURE_ID_OVERRIDE",$C143,"DEEP_BROKER_ID_OVERRIDE",$F$7,"DEEP_PERIOD_OVERRIDE",R$11)*1,"")))</f>
        <v/>
      </c>
      <c r="S143" s="17" t="str">
        <f ca="1">IF(ISNA($B143),"",IF($B143="","",IFERROR(_xll.BDP(TICKER,"DEEP_MEASURE_PERIOD_BROKER_VALUE","DEEP_MEASURE_ID_OVERRIDE",$C143,"DEEP_BROKER_ID_OVERRIDE",$F$7,"DEEP_PERIOD_OVERRIDE",S$11)*1,"")))</f>
        <v/>
      </c>
      <c r="T143" s="17" t="str">
        <f ca="1">IF(ISNA($B143),"",IF($B143="","",IFERROR(_xll.BDP(TICKER,"DEEP_MEASURE_PERIOD_BROKER_VALUE","DEEP_MEASURE_ID_OVERRIDE",$C143,"DEEP_BROKER_ID_OVERRIDE",$F$7,"DEEP_PERIOD_OVERRIDE",T$11)*1,"")))</f>
        <v/>
      </c>
      <c r="U143" s="17" t="str">
        <f ca="1">IF(ISNA($B143),"",IF($B143="","",IFERROR(_xll.BDP(TICKER,"DEEP_MEASURE_PERIOD_BROKER_VALUE","DEEP_MEASURE_ID_OVERRIDE",$C143,"DEEP_BROKER_ID_OVERRIDE",$F$7,"DEEP_PERIOD_OVERRIDE",U$11)*1,"")))</f>
        <v/>
      </c>
      <c r="V143" s="17" t="str">
        <f ca="1">IF(ISNA($B143),"",IF($B143="","",IFERROR(_xll.BDP(TICKER,"DEEP_MEASURE_PERIOD_BROKER_VALUE","DEEP_MEASURE_ID_OVERRIDE",$C143,"DEEP_BROKER_ID_OVERRIDE",$F$7,"DEEP_PERIOD_OVERRIDE",V$11)*1,"")))</f>
        <v/>
      </c>
      <c r="W143" s="17" t="str">
        <f ca="1">IF(ISNA($B143),"",IF($B143="","",IFERROR(_xll.BDP(TICKER,"DEEP_MEASURE_PERIOD_BROKER_VALUE","DEEP_MEASURE_ID_OVERRIDE",$C143,"DEEP_BROKER_ID_OVERRIDE",$F$7,"DEEP_PERIOD_OVERRIDE",W$11)*1,"")))</f>
        <v/>
      </c>
      <c r="X143" s="17" t="str">
        <f ca="1">IF(ISNA($B143),"",IF($B143="","",IFERROR(_xll.BDP(TICKER,"DEEP_MEASURE_PERIOD_BROKER_VALUE","DEEP_MEASURE_ID_OVERRIDE",$C143,"DEEP_BROKER_ID_OVERRIDE",$F$7,"DEEP_PERIOD_OVERRIDE",X$11)*1,"")))</f>
        <v/>
      </c>
      <c r="Y143" s="17" t="str">
        <f ca="1">IF(ISNA($B143),"",IF($B143="","",IFERROR(_xll.BDP(TICKER,"DEEP_MEASURE_PERIOD_BROKER_VALUE","DEEP_MEASURE_ID_OVERRIDE",$C143,"DEEP_BROKER_ID_OVERRIDE",$F$7,"DEEP_PERIOD_OVERRIDE",Y$11)*1,"")))</f>
        <v/>
      </c>
      <c r="Z143" s="17" t="str">
        <f ca="1">IF(ISNA($B143),"",IF($B143="","",IFERROR(_xll.BDP(TICKER,"DEEP_MEASURE_PERIOD_BROKER_VALUE","DEEP_MEASURE_ID_OVERRIDE",$C143,"DEEP_BROKER_ID_OVERRIDE",$F$7,"DEEP_PERIOD_OVERRIDE",Z$11)*1,"")))</f>
        <v/>
      </c>
      <c r="AA143" s="17" t="str">
        <f ca="1">IF(ISNA($B143),"",IF($B143="","",IFERROR(_xll.BDP(TICKER,"DEEP_MEASURE_PERIOD_BROKER_VALUE","DEEP_MEASURE_ID_OVERRIDE",$C143,"DEEP_BROKER_ID_OVERRIDE",$F$7,"DEEP_PERIOD_OVERRIDE",AA$11)*1,"")))</f>
        <v/>
      </c>
      <c r="AB143" s="17" t="str">
        <f ca="1">IF(ISNA($B143),"",IF($B143="","",IFERROR(_xll.BDP(TICKER,"DEEP_MEASURE_PERIOD_BROKER_VALUE","DEEP_MEASURE_ID_OVERRIDE",$C143,"DEEP_BROKER_ID_OVERRIDE",$F$7,"DEEP_PERIOD_OVERRIDE",AB$11)*1,"")))</f>
        <v/>
      </c>
      <c r="AC143" s="17" t="str">
        <f ca="1">IF(ISNA($B143),"",IF($B143="","",IFERROR(_xll.BDP(TICKER,"DEEP_MEASURE_PERIOD_BROKER_VALUE","DEEP_MEASURE_ID_OVERRIDE",$C143,"DEEP_BROKER_ID_OVERRIDE",$F$7,"DEEP_PERIOD_OVERRIDE",AC$11)*1,"")))</f>
        <v/>
      </c>
      <c r="AD143" s="17" t="str">
        <f ca="1">IF(ISNA($B143),"",IF($B143="","",IFERROR(_xll.BDP(TICKER,"DEEP_MEASURE_PERIOD_BROKER_VALUE","DEEP_MEASURE_ID_OVERRIDE",$C143,"DEEP_BROKER_ID_OVERRIDE",$F$7,"DEEP_PERIOD_OVERRIDE",AD$11)*1,"")))</f>
        <v/>
      </c>
      <c r="AE143" s="17" t="str">
        <f ca="1">IF(ISNA($B143),"",IF($B143="","",IFERROR(_xll.BDP(TICKER,"DEEP_MEASURE_PERIOD_BROKER_VALUE","DEEP_MEASURE_ID_OVERRIDE",$C143,"DEEP_BROKER_ID_OVERRIDE",$F$7,"DEEP_PERIOD_OVERRIDE",AE$11)*1,"")))</f>
        <v/>
      </c>
      <c r="AF143" s="17" t="str">
        <f ca="1">IF(ISNA($B143),"",IF($B143="","",IFERROR(_xll.BDP(TICKER,"DEEP_MEASURE_PERIOD_BROKER_VALUE","DEEP_MEASURE_ID_OVERRIDE",$C143,"DEEP_BROKER_ID_OVERRIDE",$F$7,"DEEP_PERIOD_OVERRIDE",AF$11)*1,"")))</f>
        <v/>
      </c>
      <c r="AG143" s="17" t="str">
        <f ca="1">IF(ISNA($B143),"",IF($B143="","",IFERROR(_xll.BDP(TICKER,"DEEP_MEASURE_PERIOD_BROKER_VALUE","DEEP_MEASURE_ID_OVERRIDE",$C143,"DEEP_BROKER_ID_OVERRIDE",$F$7,"DEEP_PERIOD_OVERRIDE",AG$11)*1,"")))</f>
        <v/>
      </c>
      <c r="AH143" s="17" t="str">
        <f ca="1">IF(ISNA($B143),"",IF($B143="","",IFERROR(_xll.BDP(TICKER,"DEEP_MEASURE_PERIOD_BROKER_VALUE","DEEP_MEASURE_ID_OVERRIDE",$C143,"DEEP_BROKER_ID_OVERRIDE",$F$7,"DEEP_PERIOD_OVERRIDE",AH$11)*1,"")))</f>
        <v/>
      </c>
      <c r="AI143" s="17" t="str">
        <f ca="1">IF(ISNA($B143),"",IF($B143="","",IFERROR(_xll.BDP(TICKER,"DEEP_MEASURE_PERIOD_BROKER_VALUE","DEEP_MEASURE_ID_OVERRIDE",$C143,"DEEP_BROKER_ID_OVERRIDE",$F$7,"DEEP_PERIOD_OVERRIDE",AI$11)*1,"")))</f>
        <v/>
      </c>
      <c r="AJ143" s="17" t="str">
        <f ca="1">IF(ISNA($B143),"",IF($B143="","",IFERROR(_xll.BDP(TICKER,"DEEP_MEASURE_PERIOD_BROKER_VALUE","DEEP_MEASURE_ID_OVERRIDE",$C143,"DEEP_BROKER_ID_OVERRIDE",$F$7,"DEEP_PERIOD_OVERRIDE",AJ$11)*1,"")))</f>
        <v/>
      </c>
      <c r="AK143" s="17" t="str">
        <f ca="1">IF(ISNA($B143),"",IF($B143="","",IFERROR(_xll.BDP(TICKER,"DEEP_MEASURE_PERIOD_BROKER_VALUE","DEEP_MEASURE_ID_OVERRIDE",$C143,"DEEP_BROKER_ID_OVERRIDE",$F$7,"DEEP_PERIOD_OVERRIDE",AK$11)*1,"")))</f>
        <v/>
      </c>
      <c r="AL143" s="17" t="str">
        <f ca="1">IF(ISNA($B143),"",IF($B143="","",IFERROR(_xll.BDP(TICKER,"DEEP_MEASURE_PERIOD_BROKER_VALUE","DEEP_MEASURE_ID_OVERRIDE",$C143,"DEEP_BROKER_ID_OVERRIDE",$F$7,"DEEP_PERIOD_OVERRIDE",AL$11)*1,"")))</f>
        <v/>
      </c>
      <c r="AM143" s="17" t="str">
        <f ca="1">IF(ISNA($B143),"",IF($B143="","",IFERROR(_xll.BDP(TICKER,"DEEP_MEASURE_PERIOD_BROKER_VALUE","DEEP_MEASURE_ID_OVERRIDE",$C143,"DEEP_BROKER_ID_OVERRIDE",$F$7,"DEEP_PERIOD_OVERRIDE",AM$11)*1,"")))</f>
        <v/>
      </c>
      <c r="AN143" s="17" t="str">
        <f ca="1">IF(ISNA($B143),"",IF($B143="","",IFERROR(_xll.BDP(TICKER,"DEEP_MEASURE_PERIOD_BROKER_VALUE","DEEP_MEASURE_ID_OVERRIDE",$C143,"DEEP_BROKER_ID_OVERRIDE",$F$7,"DEEP_PERIOD_OVERRIDE",AN$11)*1,"")))</f>
        <v/>
      </c>
      <c r="AO143" s="17" t="str">
        <f ca="1">IF(ISNA($B143),"",IF($B143="","",IFERROR(_xll.BDP(TICKER,"DEEP_MEASURE_PERIOD_BROKER_VALUE","DEEP_MEASURE_ID_OVERRIDE",$C143,"DEEP_BROKER_ID_OVERRIDE",$F$7,"DEEP_PERIOD_OVERRIDE",AO$11)*1,"")))</f>
        <v/>
      </c>
      <c r="AP143" s="17" t="str">
        <f ca="1">IF(ISNA($B143),"",IF($B143="","",IFERROR(_xll.BDP(TICKER,"DEEP_MEASURE_PERIOD_BROKER_VALUE","DEEP_MEASURE_ID_OVERRIDE",$C143,"DEEP_BROKER_ID_OVERRIDE",$F$7,"DEEP_PERIOD_OVERRIDE",AP$11)*1,"")))</f>
        <v/>
      </c>
      <c r="AQ143" s="17" t="str">
        <f ca="1">IF(ISNA($B143),"",IF($B143="","",IFERROR(_xll.BDP(TICKER,"DEEP_MEASURE_PERIOD_BROKER_VALUE","DEEP_MEASURE_ID_OVERRIDE",$C143,"DEEP_BROKER_ID_OVERRIDE",$F$7,"DEEP_PERIOD_OVERRIDE",AQ$11)*1,"")))</f>
        <v/>
      </c>
    </row>
    <row r="144" spans="2:43" x14ac:dyDescent="0.25">
      <c r="B144" t="s">
        <v>178</v>
      </c>
      <c r="C144">
        <v>882</v>
      </c>
      <c r="H144" t="str">
        <f t="shared" si="3"/>
        <v>Non-GAAP Metrics &gt; Operating Income</v>
      </c>
      <c r="I144" s="17" t="str">
        <f ca="1">IF(ISNA($B144),"",IF($B144="","",IFERROR(_xll.BDP(TICKER,"DEEP_MEASURE_PERIOD_BROKER_VALUE","DEEP_MEASURE_ID_OVERRIDE",$C144,"DEEP_BROKER_ID_OVERRIDE",$F$7,"DEEP_PERIOD_OVERRIDE",I$11)*1,"")))</f>
        <v/>
      </c>
      <c r="J144" s="17" t="str">
        <f ca="1">IF(ISNA($B144),"",IF($B144="","",IFERROR(_xll.BDP(TICKER,"DEEP_MEASURE_PERIOD_BROKER_VALUE","DEEP_MEASURE_ID_OVERRIDE",$C144,"DEEP_BROKER_ID_OVERRIDE",$F$7,"DEEP_PERIOD_OVERRIDE",J$11)*1,"")))</f>
        <v/>
      </c>
      <c r="K144" s="17" t="str">
        <f ca="1">IF(ISNA($B144),"",IF($B144="","",IFERROR(_xll.BDP(TICKER,"DEEP_MEASURE_PERIOD_BROKER_VALUE","DEEP_MEASURE_ID_OVERRIDE",$C144,"DEEP_BROKER_ID_OVERRIDE",$F$7,"DEEP_PERIOD_OVERRIDE",K$11)*1,"")))</f>
        <v/>
      </c>
      <c r="L144" s="17" t="str">
        <f ca="1">IF(ISNA($B144),"",IF($B144="","",IFERROR(_xll.BDP(TICKER,"DEEP_MEASURE_PERIOD_BROKER_VALUE","DEEP_MEASURE_ID_OVERRIDE",$C144,"DEEP_BROKER_ID_OVERRIDE",$F$7,"DEEP_PERIOD_OVERRIDE",L$11)*1,"")))</f>
        <v/>
      </c>
      <c r="M144" s="17" t="str">
        <f ca="1">IF(ISNA($B144),"",IF($B144="","",IFERROR(_xll.BDP(TICKER,"DEEP_MEASURE_PERIOD_BROKER_VALUE","DEEP_MEASURE_ID_OVERRIDE",$C144,"DEEP_BROKER_ID_OVERRIDE",$F$7,"DEEP_PERIOD_OVERRIDE",M$11)*1,"")))</f>
        <v/>
      </c>
      <c r="N144" s="17" t="str">
        <f ca="1">IF(ISNA($B144),"",IF($B144="","",IFERROR(_xll.BDP(TICKER,"DEEP_MEASURE_PERIOD_BROKER_VALUE","DEEP_MEASURE_ID_OVERRIDE",$C144,"DEEP_BROKER_ID_OVERRIDE",$F$7,"DEEP_PERIOD_OVERRIDE",N$11)*1,"")))</f>
        <v/>
      </c>
      <c r="O144" s="17" t="str">
        <f ca="1">IF(ISNA($B144),"",IF($B144="","",IFERROR(_xll.BDP(TICKER,"DEEP_MEASURE_PERIOD_BROKER_VALUE","DEEP_MEASURE_ID_OVERRIDE",$C144,"DEEP_BROKER_ID_OVERRIDE",$F$7,"DEEP_PERIOD_OVERRIDE",O$11)*1,"")))</f>
        <v/>
      </c>
      <c r="P144" s="17" t="str">
        <f ca="1">IF(ISNA($B144),"",IF($B144="","",IFERROR(_xll.BDP(TICKER,"DEEP_MEASURE_PERIOD_BROKER_VALUE","DEEP_MEASURE_ID_OVERRIDE",$C144,"DEEP_BROKER_ID_OVERRIDE",$F$7,"DEEP_PERIOD_OVERRIDE",P$11)*1,"")))</f>
        <v/>
      </c>
      <c r="Q144" s="17" t="str">
        <f ca="1">IF(ISNA($B144),"",IF($B144="","",IFERROR(_xll.BDP(TICKER,"DEEP_MEASURE_PERIOD_BROKER_VALUE","DEEP_MEASURE_ID_OVERRIDE",$C144,"DEEP_BROKER_ID_OVERRIDE",$F$7,"DEEP_PERIOD_OVERRIDE",Q$11)*1,"")))</f>
        <v/>
      </c>
      <c r="R144" s="17" t="str">
        <f ca="1">IF(ISNA($B144),"",IF($B144="","",IFERROR(_xll.BDP(TICKER,"DEEP_MEASURE_PERIOD_BROKER_VALUE","DEEP_MEASURE_ID_OVERRIDE",$C144,"DEEP_BROKER_ID_OVERRIDE",$F$7,"DEEP_PERIOD_OVERRIDE",R$11)*1,"")))</f>
        <v/>
      </c>
      <c r="S144" s="17" t="str">
        <f ca="1">IF(ISNA($B144),"",IF($B144="","",IFERROR(_xll.BDP(TICKER,"DEEP_MEASURE_PERIOD_BROKER_VALUE","DEEP_MEASURE_ID_OVERRIDE",$C144,"DEEP_BROKER_ID_OVERRIDE",$F$7,"DEEP_PERIOD_OVERRIDE",S$11)*1,"")))</f>
        <v/>
      </c>
      <c r="T144" s="17" t="str">
        <f ca="1">IF(ISNA($B144),"",IF($B144="","",IFERROR(_xll.BDP(TICKER,"DEEP_MEASURE_PERIOD_BROKER_VALUE","DEEP_MEASURE_ID_OVERRIDE",$C144,"DEEP_BROKER_ID_OVERRIDE",$F$7,"DEEP_PERIOD_OVERRIDE",T$11)*1,"")))</f>
        <v/>
      </c>
      <c r="U144" s="17" t="str">
        <f ca="1">IF(ISNA($B144),"",IF($B144="","",IFERROR(_xll.BDP(TICKER,"DEEP_MEASURE_PERIOD_BROKER_VALUE","DEEP_MEASURE_ID_OVERRIDE",$C144,"DEEP_BROKER_ID_OVERRIDE",$F$7,"DEEP_PERIOD_OVERRIDE",U$11)*1,"")))</f>
        <v/>
      </c>
      <c r="V144" s="17" t="str">
        <f ca="1">IF(ISNA($B144),"",IF($B144="","",IFERROR(_xll.BDP(TICKER,"DEEP_MEASURE_PERIOD_BROKER_VALUE","DEEP_MEASURE_ID_OVERRIDE",$C144,"DEEP_BROKER_ID_OVERRIDE",$F$7,"DEEP_PERIOD_OVERRIDE",V$11)*1,"")))</f>
        <v/>
      </c>
      <c r="W144" s="17" t="str">
        <f ca="1">IF(ISNA($B144),"",IF($B144="","",IFERROR(_xll.BDP(TICKER,"DEEP_MEASURE_PERIOD_BROKER_VALUE","DEEP_MEASURE_ID_OVERRIDE",$C144,"DEEP_BROKER_ID_OVERRIDE",$F$7,"DEEP_PERIOD_OVERRIDE",W$11)*1,"")))</f>
        <v/>
      </c>
      <c r="X144" s="17" t="str">
        <f ca="1">IF(ISNA($B144),"",IF($B144="","",IFERROR(_xll.BDP(TICKER,"DEEP_MEASURE_PERIOD_BROKER_VALUE","DEEP_MEASURE_ID_OVERRIDE",$C144,"DEEP_BROKER_ID_OVERRIDE",$F$7,"DEEP_PERIOD_OVERRIDE",X$11)*1,"")))</f>
        <v/>
      </c>
      <c r="Y144" s="17" t="str">
        <f ca="1">IF(ISNA($B144),"",IF($B144="","",IFERROR(_xll.BDP(TICKER,"DEEP_MEASURE_PERIOD_BROKER_VALUE","DEEP_MEASURE_ID_OVERRIDE",$C144,"DEEP_BROKER_ID_OVERRIDE",$F$7,"DEEP_PERIOD_OVERRIDE",Y$11)*1,"")))</f>
        <v/>
      </c>
      <c r="Z144" s="17" t="str">
        <f ca="1">IF(ISNA($B144),"",IF($B144="","",IFERROR(_xll.BDP(TICKER,"DEEP_MEASURE_PERIOD_BROKER_VALUE","DEEP_MEASURE_ID_OVERRIDE",$C144,"DEEP_BROKER_ID_OVERRIDE",$F$7,"DEEP_PERIOD_OVERRIDE",Z$11)*1,"")))</f>
        <v/>
      </c>
      <c r="AA144" s="17" t="str">
        <f ca="1">IF(ISNA($B144),"",IF($B144="","",IFERROR(_xll.BDP(TICKER,"DEEP_MEASURE_PERIOD_BROKER_VALUE","DEEP_MEASURE_ID_OVERRIDE",$C144,"DEEP_BROKER_ID_OVERRIDE",$F$7,"DEEP_PERIOD_OVERRIDE",AA$11)*1,"")))</f>
        <v/>
      </c>
      <c r="AB144" s="17" t="str">
        <f ca="1">IF(ISNA($B144),"",IF($B144="","",IFERROR(_xll.BDP(TICKER,"DEEP_MEASURE_PERIOD_BROKER_VALUE","DEEP_MEASURE_ID_OVERRIDE",$C144,"DEEP_BROKER_ID_OVERRIDE",$F$7,"DEEP_PERIOD_OVERRIDE",AB$11)*1,"")))</f>
        <v/>
      </c>
      <c r="AC144" s="17" t="str">
        <f ca="1">IF(ISNA($B144),"",IF($B144="","",IFERROR(_xll.BDP(TICKER,"DEEP_MEASURE_PERIOD_BROKER_VALUE","DEEP_MEASURE_ID_OVERRIDE",$C144,"DEEP_BROKER_ID_OVERRIDE",$F$7,"DEEP_PERIOD_OVERRIDE",AC$11)*1,"")))</f>
        <v/>
      </c>
      <c r="AD144" s="17" t="str">
        <f ca="1">IF(ISNA($B144),"",IF($B144="","",IFERROR(_xll.BDP(TICKER,"DEEP_MEASURE_PERIOD_BROKER_VALUE","DEEP_MEASURE_ID_OVERRIDE",$C144,"DEEP_BROKER_ID_OVERRIDE",$F$7,"DEEP_PERIOD_OVERRIDE",AD$11)*1,"")))</f>
        <v/>
      </c>
      <c r="AE144" s="17" t="str">
        <f ca="1">IF(ISNA($B144),"",IF($B144="","",IFERROR(_xll.BDP(TICKER,"DEEP_MEASURE_PERIOD_BROKER_VALUE","DEEP_MEASURE_ID_OVERRIDE",$C144,"DEEP_BROKER_ID_OVERRIDE",$F$7,"DEEP_PERIOD_OVERRIDE",AE$11)*1,"")))</f>
        <v/>
      </c>
      <c r="AF144" s="17" t="str">
        <f ca="1">IF(ISNA($B144),"",IF($B144="","",IFERROR(_xll.BDP(TICKER,"DEEP_MEASURE_PERIOD_BROKER_VALUE","DEEP_MEASURE_ID_OVERRIDE",$C144,"DEEP_BROKER_ID_OVERRIDE",$F$7,"DEEP_PERIOD_OVERRIDE",AF$11)*1,"")))</f>
        <v/>
      </c>
      <c r="AG144" s="17" t="str">
        <f ca="1">IF(ISNA($B144),"",IF($B144="","",IFERROR(_xll.BDP(TICKER,"DEEP_MEASURE_PERIOD_BROKER_VALUE","DEEP_MEASURE_ID_OVERRIDE",$C144,"DEEP_BROKER_ID_OVERRIDE",$F$7,"DEEP_PERIOD_OVERRIDE",AG$11)*1,"")))</f>
        <v/>
      </c>
      <c r="AH144" s="17" t="str">
        <f ca="1">IF(ISNA($B144),"",IF($B144="","",IFERROR(_xll.BDP(TICKER,"DEEP_MEASURE_PERIOD_BROKER_VALUE","DEEP_MEASURE_ID_OVERRIDE",$C144,"DEEP_BROKER_ID_OVERRIDE",$F$7,"DEEP_PERIOD_OVERRIDE",AH$11)*1,"")))</f>
        <v/>
      </c>
      <c r="AI144" s="17" t="str">
        <f ca="1">IF(ISNA($B144),"",IF($B144="","",IFERROR(_xll.BDP(TICKER,"DEEP_MEASURE_PERIOD_BROKER_VALUE","DEEP_MEASURE_ID_OVERRIDE",$C144,"DEEP_BROKER_ID_OVERRIDE",$F$7,"DEEP_PERIOD_OVERRIDE",AI$11)*1,"")))</f>
        <v/>
      </c>
      <c r="AJ144" s="17" t="str">
        <f ca="1">IF(ISNA($B144),"",IF($B144="","",IFERROR(_xll.BDP(TICKER,"DEEP_MEASURE_PERIOD_BROKER_VALUE","DEEP_MEASURE_ID_OVERRIDE",$C144,"DEEP_BROKER_ID_OVERRIDE",$F$7,"DEEP_PERIOD_OVERRIDE",AJ$11)*1,"")))</f>
        <v/>
      </c>
      <c r="AK144" s="17" t="str">
        <f ca="1">IF(ISNA($B144),"",IF($B144="","",IFERROR(_xll.BDP(TICKER,"DEEP_MEASURE_PERIOD_BROKER_VALUE","DEEP_MEASURE_ID_OVERRIDE",$C144,"DEEP_BROKER_ID_OVERRIDE",$F$7,"DEEP_PERIOD_OVERRIDE",AK$11)*1,"")))</f>
        <v/>
      </c>
      <c r="AL144" s="17" t="str">
        <f ca="1">IF(ISNA($B144),"",IF($B144="","",IFERROR(_xll.BDP(TICKER,"DEEP_MEASURE_PERIOD_BROKER_VALUE","DEEP_MEASURE_ID_OVERRIDE",$C144,"DEEP_BROKER_ID_OVERRIDE",$F$7,"DEEP_PERIOD_OVERRIDE",AL$11)*1,"")))</f>
        <v/>
      </c>
      <c r="AM144" s="17" t="str">
        <f ca="1">IF(ISNA($B144),"",IF($B144="","",IFERROR(_xll.BDP(TICKER,"DEEP_MEASURE_PERIOD_BROKER_VALUE","DEEP_MEASURE_ID_OVERRIDE",$C144,"DEEP_BROKER_ID_OVERRIDE",$F$7,"DEEP_PERIOD_OVERRIDE",AM$11)*1,"")))</f>
        <v/>
      </c>
      <c r="AN144" s="17" t="str">
        <f ca="1">IF(ISNA($B144),"",IF($B144="","",IFERROR(_xll.BDP(TICKER,"DEEP_MEASURE_PERIOD_BROKER_VALUE","DEEP_MEASURE_ID_OVERRIDE",$C144,"DEEP_BROKER_ID_OVERRIDE",$F$7,"DEEP_PERIOD_OVERRIDE",AN$11)*1,"")))</f>
        <v/>
      </c>
      <c r="AO144" s="17" t="str">
        <f ca="1">IF(ISNA($B144),"",IF($B144="","",IFERROR(_xll.BDP(TICKER,"DEEP_MEASURE_PERIOD_BROKER_VALUE","DEEP_MEASURE_ID_OVERRIDE",$C144,"DEEP_BROKER_ID_OVERRIDE",$F$7,"DEEP_PERIOD_OVERRIDE",AO$11)*1,"")))</f>
        <v/>
      </c>
      <c r="AP144" s="17" t="str">
        <f ca="1">IF(ISNA($B144),"",IF($B144="","",IFERROR(_xll.BDP(TICKER,"DEEP_MEASURE_PERIOD_BROKER_VALUE","DEEP_MEASURE_ID_OVERRIDE",$C144,"DEEP_BROKER_ID_OVERRIDE",$F$7,"DEEP_PERIOD_OVERRIDE",AP$11)*1,"")))</f>
        <v/>
      </c>
      <c r="AQ144" s="17" t="str">
        <f ca="1">IF(ISNA($B144),"",IF($B144="","",IFERROR(_xll.BDP(TICKER,"DEEP_MEASURE_PERIOD_BROKER_VALUE","DEEP_MEASURE_ID_OVERRIDE",$C144,"DEEP_BROKER_ID_OVERRIDE",$F$7,"DEEP_PERIOD_OVERRIDE",AQ$11)*1,"")))</f>
        <v/>
      </c>
    </row>
    <row r="145" spans="2:43" x14ac:dyDescent="0.25">
      <c r="B145" t="s">
        <v>179</v>
      </c>
      <c r="C145">
        <v>288</v>
      </c>
      <c r="H145" t="str">
        <f t="shared" si="3"/>
        <v>Non-GAAP Metrics &gt; Operating Income &gt; Operating Margin (%)</v>
      </c>
      <c r="I145" s="17" t="str">
        <f ca="1">IF(ISNA($B145),"",IF($B145="","",IFERROR(_xll.BDP(TICKER,"DEEP_MEASURE_PERIOD_BROKER_VALUE","DEEP_MEASURE_ID_OVERRIDE",$C145,"DEEP_BROKER_ID_OVERRIDE",$F$7,"DEEP_PERIOD_OVERRIDE",I$11)*1,"")))</f>
        <v/>
      </c>
      <c r="J145" s="17" t="str">
        <f ca="1">IF(ISNA($B145),"",IF($B145="","",IFERROR(_xll.BDP(TICKER,"DEEP_MEASURE_PERIOD_BROKER_VALUE","DEEP_MEASURE_ID_OVERRIDE",$C145,"DEEP_BROKER_ID_OVERRIDE",$F$7,"DEEP_PERIOD_OVERRIDE",J$11)*1,"")))</f>
        <v/>
      </c>
      <c r="K145" s="17" t="str">
        <f ca="1">IF(ISNA($B145),"",IF($B145="","",IFERROR(_xll.BDP(TICKER,"DEEP_MEASURE_PERIOD_BROKER_VALUE","DEEP_MEASURE_ID_OVERRIDE",$C145,"DEEP_BROKER_ID_OVERRIDE",$F$7,"DEEP_PERIOD_OVERRIDE",K$11)*1,"")))</f>
        <v/>
      </c>
      <c r="L145" s="17" t="str">
        <f ca="1">IF(ISNA($B145),"",IF($B145="","",IFERROR(_xll.BDP(TICKER,"DEEP_MEASURE_PERIOD_BROKER_VALUE","DEEP_MEASURE_ID_OVERRIDE",$C145,"DEEP_BROKER_ID_OVERRIDE",$F$7,"DEEP_PERIOD_OVERRIDE",L$11)*1,"")))</f>
        <v/>
      </c>
      <c r="M145" s="17" t="str">
        <f ca="1">IF(ISNA($B145),"",IF($B145="","",IFERROR(_xll.BDP(TICKER,"DEEP_MEASURE_PERIOD_BROKER_VALUE","DEEP_MEASURE_ID_OVERRIDE",$C145,"DEEP_BROKER_ID_OVERRIDE",$F$7,"DEEP_PERIOD_OVERRIDE",M$11)*1,"")))</f>
        <v/>
      </c>
      <c r="N145" s="17" t="str">
        <f ca="1">IF(ISNA($B145),"",IF($B145="","",IFERROR(_xll.BDP(TICKER,"DEEP_MEASURE_PERIOD_BROKER_VALUE","DEEP_MEASURE_ID_OVERRIDE",$C145,"DEEP_BROKER_ID_OVERRIDE",$F$7,"DEEP_PERIOD_OVERRIDE",N$11)*1,"")))</f>
        <v/>
      </c>
      <c r="O145" s="17" t="str">
        <f ca="1">IF(ISNA($B145),"",IF($B145="","",IFERROR(_xll.BDP(TICKER,"DEEP_MEASURE_PERIOD_BROKER_VALUE","DEEP_MEASURE_ID_OVERRIDE",$C145,"DEEP_BROKER_ID_OVERRIDE",$F$7,"DEEP_PERIOD_OVERRIDE",O$11)*1,"")))</f>
        <v/>
      </c>
      <c r="P145" s="17" t="str">
        <f ca="1">IF(ISNA($B145),"",IF($B145="","",IFERROR(_xll.BDP(TICKER,"DEEP_MEASURE_PERIOD_BROKER_VALUE","DEEP_MEASURE_ID_OVERRIDE",$C145,"DEEP_BROKER_ID_OVERRIDE",$F$7,"DEEP_PERIOD_OVERRIDE",P$11)*1,"")))</f>
        <v/>
      </c>
      <c r="Q145" s="17" t="str">
        <f ca="1">IF(ISNA($B145),"",IF($B145="","",IFERROR(_xll.BDP(TICKER,"DEEP_MEASURE_PERIOD_BROKER_VALUE","DEEP_MEASURE_ID_OVERRIDE",$C145,"DEEP_BROKER_ID_OVERRIDE",$F$7,"DEEP_PERIOD_OVERRIDE",Q$11)*1,"")))</f>
        <v/>
      </c>
      <c r="R145" s="17" t="str">
        <f ca="1">IF(ISNA($B145),"",IF($B145="","",IFERROR(_xll.BDP(TICKER,"DEEP_MEASURE_PERIOD_BROKER_VALUE","DEEP_MEASURE_ID_OVERRIDE",$C145,"DEEP_BROKER_ID_OVERRIDE",$F$7,"DEEP_PERIOD_OVERRIDE",R$11)*1,"")))</f>
        <v/>
      </c>
      <c r="S145" s="17" t="str">
        <f ca="1">IF(ISNA($B145),"",IF($B145="","",IFERROR(_xll.BDP(TICKER,"DEEP_MEASURE_PERIOD_BROKER_VALUE","DEEP_MEASURE_ID_OVERRIDE",$C145,"DEEP_BROKER_ID_OVERRIDE",$F$7,"DEEP_PERIOD_OVERRIDE",S$11)*1,"")))</f>
        <v/>
      </c>
      <c r="T145" s="17" t="str">
        <f ca="1">IF(ISNA($B145),"",IF($B145="","",IFERROR(_xll.BDP(TICKER,"DEEP_MEASURE_PERIOD_BROKER_VALUE","DEEP_MEASURE_ID_OVERRIDE",$C145,"DEEP_BROKER_ID_OVERRIDE",$F$7,"DEEP_PERIOD_OVERRIDE",T$11)*1,"")))</f>
        <v/>
      </c>
      <c r="U145" s="17" t="str">
        <f ca="1">IF(ISNA($B145),"",IF($B145="","",IFERROR(_xll.BDP(TICKER,"DEEP_MEASURE_PERIOD_BROKER_VALUE","DEEP_MEASURE_ID_OVERRIDE",$C145,"DEEP_BROKER_ID_OVERRIDE",$F$7,"DEEP_PERIOD_OVERRIDE",U$11)*1,"")))</f>
        <v/>
      </c>
      <c r="V145" s="17" t="str">
        <f ca="1">IF(ISNA($B145),"",IF($B145="","",IFERROR(_xll.BDP(TICKER,"DEEP_MEASURE_PERIOD_BROKER_VALUE","DEEP_MEASURE_ID_OVERRIDE",$C145,"DEEP_BROKER_ID_OVERRIDE",$F$7,"DEEP_PERIOD_OVERRIDE",V$11)*1,"")))</f>
        <v/>
      </c>
      <c r="W145" s="17" t="str">
        <f ca="1">IF(ISNA($B145),"",IF($B145="","",IFERROR(_xll.BDP(TICKER,"DEEP_MEASURE_PERIOD_BROKER_VALUE","DEEP_MEASURE_ID_OVERRIDE",$C145,"DEEP_BROKER_ID_OVERRIDE",$F$7,"DEEP_PERIOD_OVERRIDE",W$11)*1,"")))</f>
        <v/>
      </c>
      <c r="X145" s="17" t="str">
        <f ca="1">IF(ISNA($B145),"",IF($B145="","",IFERROR(_xll.BDP(TICKER,"DEEP_MEASURE_PERIOD_BROKER_VALUE","DEEP_MEASURE_ID_OVERRIDE",$C145,"DEEP_BROKER_ID_OVERRIDE",$F$7,"DEEP_PERIOD_OVERRIDE",X$11)*1,"")))</f>
        <v/>
      </c>
      <c r="Y145" s="17" t="str">
        <f ca="1">IF(ISNA($B145),"",IF($B145="","",IFERROR(_xll.BDP(TICKER,"DEEP_MEASURE_PERIOD_BROKER_VALUE","DEEP_MEASURE_ID_OVERRIDE",$C145,"DEEP_BROKER_ID_OVERRIDE",$F$7,"DEEP_PERIOD_OVERRIDE",Y$11)*1,"")))</f>
        <v/>
      </c>
      <c r="Z145" s="17" t="str">
        <f ca="1">IF(ISNA($B145),"",IF($B145="","",IFERROR(_xll.BDP(TICKER,"DEEP_MEASURE_PERIOD_BROKER_VALUE","DEEP_MEASURE_ID_OVERRIDE",$C145,"DEEP_BROKER_ID_OVERRIDE",$F$7,"DEEP_PERIOD_OVERRIDE",Z$11)*1,"")))</f>
        <v/>
      </c>
      <c r="AA145" s="17" t="str">
        <f ca="1">IF(ISNA($B145),"",IF($B145="","",IFERROR(_xll.BDP(TICKER,"DEEP_MEASURE_PERIOD_BROKER_VALUE","DEEP_MEASURE_ID_OVERRIDE",$C145,"DEEP_BROKER_ID_OVERRIDE",$F$7,"DEEP_PERIOD_OVERRIDE",AA$11)*1,"")))</f>
        <v/>
      </c>
      <c r="AB145" s="17" t="str">
        <f ca="1">IF(ISNA($B145),"",IF($B145="","",IFERROR(_xll.BDP(TICKER,"DEEP_MEASURE_PERIOD_BROKER_VALUE","DEEP_MEASURE_ID_OVERRIDE",$C145,"DEEP_BROKER_ID_OVERRIDE",$F$7,"DEEP_PERIOD_OVERRIDE",AB$11)*1,"")))</f>
        <v/>
      </c>
      <c r="AC145" s="17" t="str">
        <f ca="1">IF(ISNA($B145),"",IF($B145="","",IFERROR(_xll.BDP(TICKER,"DEEP_MEASURE_PERIOD_BROKER_VALUE","DEEP_MEASURE_ID_OVERRIDE",$C145,"DEEP_BROKER_ID_OVERRIDE",$F$7,"DEEP_PERIOD_OVERRIDE",AC$11)*1,"")))</f>
        <v/>
      </c>
      <c r="AD145" s="17" t="str">
        <f ca="1">IF(ISNA($B145),"",IF($B145="","",IFERROR(_xll.BDP(TICKER,"DEEP_MEASURE_PERIOD_BROKER_VALUE","DEEP_MEASURE_ID_OVERRIDE",$C145,"DEEP_BROKER_ID_OVERRIDE",$F$7,"DEEP_PERIOD_OVERRIDE",AD$11)*1,"")))</f>
        <v/>
      </c>
      <c r="AE145" s="17" t="str">
        <f ca="1">IF(ISNA($B145),"",IF($B145="","",IFERROR(_xll.BDP(TICKER,"DEEP_MEASURE_PERIOD_BROKER_VALUE","DEEP_MEASURE_ID_OVERRIDE",$C145,"DEEP_BROKER_ID_OVERRIDE",$F$7,"DEEP_PERIOD_OVERRIDE",AE$11)*1,"")))</f>
        <v/>
      </c>
      <c r="AF145" s="17" t="str">
        <f ca="1">IF(ISNA($B145),"",IF($B145="","",IFERROR(_xll.BDP(TICKER,"DEEP_MEASURE_PERIOD_BROKER_VALUE","DEEP_MEASURE_ID_OVERRIDE",$C145,"DEEP_BROKER_ID_OVERRIDE",$F$7,"DEEP_PERIOD_OVERRIDE",AF$11)*1,"")))</f>
        <v/>
      </c>
      <c r="AG145" s="17" t="str">
        <f ca="1">IF(ISNA($B145),"",IF($B145="","",IFERROR(_xll.BDP(TICKER,"DEEP_MEASURE_PERIOD_BROKER_VALUE","DEEP_MEASURE_ID_OVERRIDE",$C145,"DEEP_BROKER_ID_OVERRIDE",$F$7,"DEEP_PERIOD_OVERRIDE",AG$11)*1,"")))</f>
        <v/>
      </c>
      <c r="AH145" s="17" t="str">
        <f ca="1">IF(ISNA($B145),"",IF($B145="","",IFERROR(_xll.BDP(TICKER,"DEEP_MEASURE_PERIOD_BROKER_VALUE","DEEP_MEASURE_ID_OVERRIDE",$C145,"DEEP_BROKER_ID_OVERRIDE",$F$7,"DEEP_PERIOD_OVERRIDE",AH$11)*1,"")))</f>
        <v/>
      </c>
      <c r="AI145" s="17" t="str">
        <f ca="1">IF(ISNA($B145),"",IF($B145="","",IFERROR(_xll.BDP(TICKER,"DEEP_MEASURE_PERIOD_BROKER_VALUE","DEEP_MEASURE_ID_OVERRIDE",$C145,"DEEP_BROKER_ID_OVERRIDE",$F$7,"DEEP_PERIOD_OVERRIDE",AI$11)*1,"")))</f>
        <v/>
      </c>
      <c r="AJ145" s="17" t="str">
        <f ca="1">IF(ISNA($B145),"",IF($B145="","",IFERROR(_xll.BDP(TICKER,"DEEP_MEASURE_PERIOD_BROKER_VALUE","DEEP_MEASURE_ID_OVERRIDE",$C145,"DEEP_BROKER_ID_OVERRIDE",$F$7,"DEEP_PERIOD_OVERRIDE",AJ$11)*1,"")))</f>
        <v/>
      </c>
      <c r="AK145" s="17" t="str">
        <f ca="1">IF(ISNA($B145),"",IF($B145="","",IFERROR(_xll.BDP(TICKER,"DEEP_MEASURE_PERIOD_BROKER_VALUE","DEEP_MEASURE_ID_OVERRIDE",$C145,"DEEP_BROKER_ID_OVERRIDE",$F$7,"DEEP_PERIOD_OVERRIDE",AK$11)*1,"")))</f>
        <v/>
      </c>
      <c r="AL145" s="17" t="str">
        <f ca="1">IF(ISNA($B145),"",IF($B145="","",IFERROR(_xll.BDP(TICKER,"DEEP_MEASURE_PERIOD_BROKER_VALUE","DEEP_MEASURE_ID_OVERRIDE",$C145,"DEEP_BROKER_ID_OVERRIDE",$F$7,"DEEP_PERIOD_OVERRIDE",AL$11)*1,"")))</f>
        <v/>
      </c>
      <c r="AM145" s="17" t="str">
        <f ca="1">IF(ISNA($B145),"",IF($B145="","",IFERROR(_xll.BDP(TICKER,"DEEP_MEASURE_PERIOD_BROKER_VALUE","DEEP_MEASURE_ID_OVERRIDE",$C145,"DEEP_BROKER_ID_OVERRIDE",$F$7,"DEEP_PERIOD_OVERRIDE",AM$11)*1,"")))</f>
        <v/>
      </c>
      <c r="AN145" s="17" t="str">
        <f ca="1">IF(ISNA($B145),"",IF($B145="","",IFERROR(_xll.BDP(TICKER,"DEEP_MEASURE_PERIOD_BROKER_VALUE","DEEP_MEASURE_ID_OVERRIDE",$C145,"DEEP_BROKER_ID_OVERRIDE",$F$7,"DEEP_PERIOD_OVERRIDE",AN$11)*1,"")))</f>
        <v/>
      </c>
      <c r="AO145" s="17" t="str">
        <f ca="1">IF(ISNA($B145),"",IF($B145="","",IFERROR(_xll.BDP(TICKER,"DEEP_MEASURE_PERIOD_BROKER_VALUE","DEEP_MEASURE_ID_OVERRIDE",$C145,"DEEP_BROKER_ID_OVERRIDE",$F$7,"DEEP_PERIOD_OVERRIDE",AO$11)*1,"")))</f>
        <v/>
      </c>
      <c r="AP145" s="17" t="str">
        <f ca="1">IF(ISNA($B145),"",IF($B145="","",IFERROR(_xll.BDP(TICKER,"DEEP_MEASURE_PERIOD_BROKER_VALUE","DEEP_MEASURE_ID_OVERRIDE",$C145,"DEEP_BROKER_ID_OVERRIDE",$F$7,"DEEP_PERIOD_OVERRIDE",AP$11)*1,"")))</f>
        <v/>
      </c>
      <c r="AQ145" s="17" t="str">
        <f ca="1">IF(ISNA($B145),"",IF($B145="","",IFERROR(_xll.BDP(TICKER,"DEEP_MEASURE_PERIOD_BROKER_VALUE","DEEP_MEASURE_ID_OVERRIDE",$C145,"DEEP_BROKER_ID_OVERRIDE",$F$7,"DEEP_PERIOD_OVERRIDE",AQ$11)*1,"")))</f>
        <v/>
      </c>
    </row>
    <row r="146" spans="2:43" x14ac:dyDescent="0.25">
      <c r="B146" t="s">
        <v>180</v>
      </c>
      <c r="C146">
        <v>562</v>
      </c>
      <c r="H146" t="str">
        <f t="shared" si="3"/>
        <v>Non-GAAP Metrics &gt; EBITDA</v>
      </c>
      <c r="I146" s="17" t="str">
        <f ca="1">IF(ISNA($B146),"",IF($B146="","",IFERROR(_xll.BDP(TICKER,"DEEP_MEASURE_PERIOD_BROKER_VALUE","DEEP_MEASURE_ID_OVERRIDE",$C146,"DEEP_BROKER_ID_OVERRIDE",$F$7,"DEEP_PERIOD_OVERRIDE",I$11)*1,"")))</f>
        <v/>
      </c>
      <c r="J146" s="17" t="str">
        <f ca="1">IF(ISNA($B146),"",IF($B146="","",IFERROR(_xll.BDP(TICKER,"DEEP_MEASURE_PERIOD_BROKER_VALUE","DEEP_MEASURE_ID_OVERRIDE",$C146,"DEEP_BROKER_ID_OVERRIDE",$F$7,"DEEP_PERIOD_OVERRIDE",J$11)*1,"")))</f>
        <v/>
      </c>
      <c r="K146" s="17" t="str">
        <f ca="1">IF(ISNA($B146),"",IF($B146="","",IFERROR(_xll.BDP(TICKER,"DEEP_MEASURE_PERIOD_BROKER_VALUE","DEEP_MEASURE_ID_OVERRIDE",$C146,"DEEP_BROKER_ID_OVERRIDE",$F$7,"DEEP_PERIOD_OVERRIDE",K$11)*1,"")))</f>
        <v/>
      </c>
      <c r="L146" s="17" t="str">
        <f ca="1">IF(ISNA($B146),"",IF($B146="","",IFERROR(_xll.BDP(TICKER,"DEEP_MEASURE_PERIOD_BROKER_VALUE","DEEP_MEASURE_ID_OVERRIDE",$C146,"DEEP_BROKER_ID_OVERRIDE",$F$7,"DEEP_PERIOD_OVERRIDE",L$11)*1,"")))</f>
        <v/>
      </c>
      <c r="M146" s="17" t="str">
        <f ca="1">IF(ISNA($B146),"",IF($B146="","",IFERROR(_xll.BDP(TICKER,"DEEP_MEASURE_PERIOD_BROKER_VALUE","DEEP_MEASURE_ID_OVERRIDE",$C146,"DEEP_BROKER_ID_OVERRIDE",$F$7,"DEEP_PERIOD_OVERRIDE",M$11)*1,"")))</f>
        <v/>
      </c>
      <c r="N146" s="17" t="str">
        <f ca="1">IF(ISNA($B146),"",IF($B146="","",IFERROR(_xll.BDP(TICKER,"DEEP_MEASURE_PERIOD_BROKER_VALUE","DEEP_MEASURE_ID_OVERRIDE",$C146,"DEEP_BROKER_ID_OVERRIDE",$F$7,"DEEP_PERIOD_OVERRIDE",N$11)*1,"")))</f>
        <v/>
      </c>
      <c r="O146" s="17" t="str">
        <f ca="1">IF(ISNA($B146),"",IF($B146="","",IFERROR(_xll.BDP(TICKER,"DEEP_MEASURE_PERIOD_BROKER_VALUE","DEEP_MEASURE_ID_OVERRIDE",$C146,"DEEP_BROKER_ID_OVERRIDE",$F$7,"DEEP_PERIOD_OVERRIDE",O$11)*1,"")))</f>
        <v/>
      </c>
      <c r="P146" s="17" t="str">
        <f ca="1">IF(ISNA($B146),"",IF($B146="","",IFERROR(_xll.BDP(TICKER,"DEEP_MEASURE_PERIOD_BROKER_VALUE","DEEP_MEASURE_ID_OVERRIDE",$C146,"DEEP_BROKER_ID_OVERRIDE",$F$7,"DEEP_PERIOD_OVERRIDE",P$11)*1,"")))</f>
        <v/>
      </c>
      <c r="Q146" s="17" t="str">
        <f ca="1">IF(ISNA($B146),"",IF($B146="","",IFERROR(_xll.BDP(TICKER,"DEEP_MEASURE_PERIOD_BROKER_VALUE","DEEP_MEASURE_ID_OVERRIDE",$C146,"DEEP_BROKER_ID_OVERRIDE",$F$7,"DEEP_PERIOD_OVERRIDE",Q$11)*1,"")))</f>
        <v/>
      </c>
      <c r="R146" s="17" t="str">
        <f ca="1">IF(ISNA($B146),"",IF($B146="","",IFERROR(_xll.BDP(TICKER,"DEEP_MEASURE_PERIOD_BROKER_VALUE","DEEP_MEASURE_ID_OVERRIDE",$C146,"DEEP_BROKER_ID_OVERRIDE",$F$7,"DEEP_PERIOD_OVERRIDE",R$11)*1,"")))</f>
        <v/>
      </c>
      <c r="S146" s="17" t="str">
        <f ca="1">IF(ISNA($B146),"",IF($B146="","",IFERROR(_xll.BDP(TICKER,"DEEP_MEASURE_PERIOD_BROKER_VALUE","DEEP_MEASURE_ID_OVERRIDE",$C146,"DEEP_BROKER_ID_OVERRIDE",$F$7,"DEEP_PERIOD_OVERRIDE",S$11)*1,"")))</f>
        <v/>
      </c>
      <c r="T146" s="17" t="str">
        <f ca="1">IF(ISNA($B146),"",IF($B146="","",IFERROR(_xll.BDP(TICKER,"DEEP_MEASURE_PERIOD_BROKER_VALUE","DEEP_MEASURE_ID_OVERRIDE",$C146,"DEEP_BROKER_ID_OVERRIDE",$F$7,"DEEP_PERIOD_OVERRIDE",T$11)*1,"")))</f>
        <v/>
      </c>
      <c r="U146" s="17" t="str">
        <f ca="1">IF(ISNA($B146),"",IF($B146="","",IFERROR(_xll.BDP(TICKER,"DEEP_MEASURE_PERIOD_BROKER_VALUE","DEEP_MEASURE_ID_OVERRIDE",$C146,"DEEP_BROKER_ID_OVERRIDE",$F$7,"DEEP_PERIOD_OVERRIDE",U$11)*1,"")))</f>
        <v/>
      </c>
      <c r="V146" s="17" t="str">
        <f ca="1">IF(ISNA($B146),"",IF($B146="","",IFERROR(_xll.BDP(TICKER,"DEEP_MEASURE_PERIOD_BROKER_VALUE","DEEP_MEASURE_ID_OVERRIDE",$C146,"DEEP_BROKER_ID_OVERRIDE",$F$7,"DEEP_PERIOD_OVERRIDE",V$11)*1,"")))</f>
        <v/>
      </c>
      <c r="W146" s="17" t="str">
        <f ca="1">IF(ISNA($B146),"",IF($B146="","",IFERROR(_xll.BDP(TICKER,"DEEP_MEASURE_PERIOD_BROKER_VALUE","DEEP_MEASURE_ID_OVERRIDE",$C146,"DEEP_BROKER_ID_OVERRIDE",$F$7,"DEEP_PERIOD_OVERRIDE",W$11)*1,"")))</f>
        <v/>
      </c>
      <c r="X146" s="17" t="str">
        <f ca="1">IF(ISNA($B146),"",IF($B146="","",IFERROR(_xll.BDP(TICKER,"DEEP_MEASURE_PERIOD_BROKER_VALUE","DEEP_MEASURE_ID_OVERRIDE",$C146,"DEEP_BROKER_ID_OVERRIDE",$F$7,"DEEP_PERIOD_OVERRIDE",X$11)*1,"")))</f>
        <v/>
      </c>
      <c r="Y146" s="17" t="str">
        <f ca="1">IF(ISNA($B146),"",IF($B146="","",IFERROR(_xll.BDP(TICKER,"DEEP_MEASURE_PERIOD_BROKER_VALUE","DEEP_MEASURE_ID_OVERRIDE",$C146,"DEEP_BROKER_ID_OVERRIDE",$F$7,"DEEP_PERIOD_OVERRIDE",Y$11)*1,"")))</f>
        <v/>
      </c>
      <c r="Z146" s="17" t="str">
        <f ca="1">IF(ISNA($B146),"",IF($B146="","",IFERROR(_xll.BDP(TICKER,"DEEP_MEASURE_PERIOD_BROKER_VALUE","DEEP_MEASURE_ID_OVERRIDE",$C146,"DEEP_BROKER_ID_OVERRIDE",$F$7,"DEEP_PERIOD_OVERRIDE",Z$11)*1,"")))</f>
        <v/>
      </c>
      <c r="AA146" s="17" t="str">
        <f ca="1">IF(ISNA($B146),"",IF($B146="","",IFERROR(_xll.BDP(TICKER,"DEEP_MEASURE_PERIOD_BROKER_VALUE","DEEP_MEASURE_ID_OVERRIDE",$C146,"DEEP_BROKER_ID_OVERRIDE",$F$7,"DEEP_PERIOD_OVERRIDE",AA$11)*1,"")))</f>
        <v/>
      </c>
      <c r="AB146" s="17" t="str">
        <f ca="1">IF(ISNA($B146),"",IF($B146="","",IFERROR(_xll.BDP(TICKER,"DEEP_MEASURE_PERIOD_BROKER_VALUE","DEEP_MEASURE_ID_OVERRIDE",$C146,"DEEP_BROKER_ID_OVERRIDE",$F$7,"DEEP_PERIOD_OVERRIDE",AB$11)*1,"")))</f>
        <v/>
      </c>
      <c r="AC146" s="17" t="str">
        <f ca="1">IF(ISNA($B146),"",IF($B146="","",IFERROR(_xll.BDP(TICKER,"DEEP_MEASURE_PERIOD_BROKER_VALUE","DEEP_MEASURE_ID_OVERRIDE",$C146,"DEEP_BROKER_ID_OVERRIDE",$F$7,"DEEP_PERIOD_OVERRIDE",AC$11)*1,"")))</f>
        <v/>
      </c>
      <c r="AD146" s="17" t="str">
        <f ca="1">IF(ISNA($B146),"",IF($B146="","",IFERROR(_xll.BDP(TICKER,"DEEP_MEASURE_PERIOD_BROKER_VALUE","DEEP_MEASURE_ID_OVERRIDE",$C146,"DEEP_BROKER_ID_OVERRIDE",$F$7,"DEEP_PERIOD_OVERRIDE",AD$11)*1,"")))</f>
        <v/>
      </c>
      <c r="AE146" s="17" t="str">
        <f ca="1">IF(ISNA($B146),"",IF($B146="","",IFERROR(_xll.BDP(TICKER,"DEEP_MEASURE_PERIOD_BROKER_VALUE","DEEP_MEASURE_ID_OVERRIDE",$C146,"DEEP_BROKER_ID_OVERRIDE",$F$7,"DEEP_PERIOD_OVERRIDE",AE$11)*1,"")))</f>
        <v/>
      </c>
      <c r="AF146" s="17" t="str">
        <f ca="1">IF(ISNA($B146),"",IF($B146="","",IFERROR(_xll.BDP(TICKER,"DEEP_MEASURE_PERIOD_BROKER_VALUE","DEEP_MEASURE_ID_OVERRIDE",$C146,"DEEP_BROKER_ID_OVERRIDE",$F$7,"DEEP_PERIOD_OVERRIDE",AF$11)*1,"")))</f>
        <v/>
      </c>
      <c r="AG146" s="17" t="str">
        <f ca="1">IF(ISNA($B146),"",IF($B146="","",IFERROR(_xll.BDP(TICKER,"DEEP_MEASURE_PERIOD_BROKER_VALUE","DEEP_MEASURE_ID_OVERRIDE",$C146,"DEEP_BROKER_ID_OVERRIDE",$F$7,"DEEP_PERIOD_OVERRIDE",AG$11)*1,"")))</f>
        <v/>
      </c>
      <c r="AH146" s="17" t="str">
        <f ca="1">IF(ISNA($B146),"",IF($B146="","",IFERROR(_xll.BDP(TICKER,"DEEP_MEASURE_PERIOD_BROKER_VALUE","DEEP_MEASURE_ID_OVERRIDE",$C146,"DEEP_BROKER_ID_OVERRIDE",$F$7,"DEEP_PERIOD_OVERRIDE",AH$11)*1,"")))</f>
        <v/>
      </c>
      <c r="AI146" s="17" t="str">
        <f ca="1">IF(ISNA($B146),"",IF($B146="","",IFERROR(_xll.BDP(TICKER,"DEEP_MEASURE_PERIOD_BROKER_VALUE","DEEP_MEASURE_ID_OVERRIDE",$C146,"DEEP_BROKER_ID_OVERRIDE",$F$7,"DEEP_PERIOD_OVERRIDE",AI$11)*1,"")))</f>
        <v/>
      </c>
      <c r="AJ146" s="17" t="str">
        <f ca="1">IF(ISNA($B146),"",IF($B146="","",IFERROR(_xll.BDP(TICKER,"DEEP_MEASURE_PERIOD_BROKER_VALUE","DEEP_MEASURE_ID_OVERRIDE",$C146,"DEEP_BROKER_ID_OVERRIDE",$F$7,"DEEP_PERIOD_OVERRIDE",AJ$11)*1,"")))</f>
        <v/>
      </c>
      <c r="AK146" s="17" t="str">
        <f ca="1">IF(ISNA($B146),"",IF($B146="","",IFERROR(_xll.BDP(TICKER,"DEEP_MEASURE_PERIOD_BROKER_VALUE","DEEP_MEASURE_ID_OVERRIDE",$C146,"DEEP_BROKER_ID_OVERRIDE",$F$7,"DEEP_PERIOD_OVERRIDE",AK$11)*1,"")))</f>
        <v/>
      </c>
      <c r="AL146" s="17" t="str">
        <f ca="1">IF(ISNA($B146),"",IF($B146="","",IFERROR(_xll.BDP(TICKER,"DEEP_MEASURE_PERIOD_BROKER_VALUE","DEEP_MEASURE_ID_OVERRIDE",$C146,"DEEP_BROKER_ID_OVERRIDE",$F$7,"DEEP_PERIOD_OVERRIDE",AL$11)*1,"")))</f>
        <v/>
      </c>
      <c r="AM146" s="17" t="str">
        <f ca="1">IF(ISNA($B146),"",IF($B146="","",IFERROR(_xll.BDP(TICKER,"DEEP_MEASURE_PERIOD_BROKER_VALUE","DEEP_MEASURE_ID_OVERRIDE",$C146,"DEEP_BROKER_ID_OVERRIDE",$F$7,"DEEP_PERIOD_OVERRIDE",AM$11)*1,"")))</f>
        <v/>
      </c>
      <c r="AN146" s="17" t="str">
        <f ca="1">IF(ISNA($B146),"",IF($B146="","",IFERROR(_xll.BDP(TICKER,"DEEP_MEASURE_PERIOD_BROKER_VALUE","DEEP_MEASURE_ID_OVERRIDE",$C146,"DEEP_BROKER_ID_OVERRIDE",$F$7,"DEEP_PERIOD_OVERRIDE",AN$11)*1,"")))</f>
        <v/>
      </c>
      <c r="AO146" s="17" t="str">
        <f ca="1">IF(ISNA($B146),"",IF($B146="","",IFERROR(_xll.BDP(TICKER,"DEEP_MEASURE_PERIOD_BROKER_VALUE","DEEP_MEASURE_ID_OVERRIDE",$C146,"DEEP_BROKER_ID_OVERRIDE",$F$7,"DEEP_PERIOD_OVERRIDE",AO$11)*1,"")))</f>
        <v/>
      </c>
      <c r="AP146" s="17" t="str">
        <f ca="1">IF(ISNA($B146),"",IF($B146="","",IFERROR(_xll.BDP(TICKER,"DEEP_MEASURE_PERIOD_BROKER_VALUE","DEEP_MEASURE_ID_OVERRIDE",$C146,"DEEP_BROKER_ID_OVERRIDE",$F$7,"DEEP_PERIOD_OVERRIDE",AP$11)*1,"")))</f>
        <v/>
      </c>
      <c r="AQ146" s="17" t="str">
        <f ca="1">IF(ISNA($B146),"",IF($B146="","",IFERROR(_xll.BDP(TICKER,"DEEP_MEASURE_PERIOD_BROKER_VALUE","DEEP_MEASURE_ID_OVERRIDE",$C146,"DEEP_BROKER_ID_OVERRIDE",$F$7,"DEEP_PERIOD_OVERRIDE",AQ$11)*1,"")))</f>
        <v/>
      </c>
    </row>
    <row r="147" spans="2:43" x14ac:dyDescent="0.25">
      <c r="B147" t="s">
        <v>181</v>
      </c>
      <c r="C147">
        <v>8448</v>
      </c>
      <c r="H147" t="str">
        <f t="shared" si="3"/>
        <v>Non-GAAP Metrics &gt; EBITDA &gt; YoY Growth (%)</v>
      </c>
      <c r="I147" s="17" t="str">
        <f ca="1">IF(ISNA($B147),"",IF($B147="","",IFERROR(_xll.BDP(TICKER,"DEEP_MEASURE_PERIOD_BROKER_VALUE","DEEP_MEASURE_ID_OVERRIDE",$C147,"DEEP_BROKER_ID_OVERRIDE",$F$7,"DEEP_PERIOD_OVERRIDE",I$11)*1,"")))</f>
        <v/>
      </c>
      <c r="J147" s="17" t="str">
        <f ca="1">IF(ISNA($B147),"",IF($B147="","",IFERROR(_xll.BDP(TICKER,"DEEP_MEASURE_PERIOD_BROKER_VALUE","DEEP_MEASURE_ID_OVERRIDE",$C147,"DEEP_BROKER_ID_OVERRIDE",$F$7,"DEEP_PERIOD_OVERRIDE",J$11)*1,"")))</f>
        <v/>
      </c>
      <c r="K147" s="17" t="str">
        <f ca="1">IF(ISNA($B147),"",IF($B147="","",IFERROR(_xll.BDP(TICKER,"DEEP_MEASURE_PERIOD_BROKER_VALUE","DEEP_MEASURE_ID_OVERRIDE",$C147,"DEEP_BROKER_ID_OVERRIDE",$F$7,"DEEP_PERIOD_OVERRIDE",K$11)*1,"")))</f>
        <v/>
      </c>
      <c r="L147" s="17" t="str">
        <f ca="1">IF(ISNA($B147),"",IF($B147="","",IFERROR(_xll.BDP(TICKER,"DEEP_MEASURE_PERIOD_BROKER_VALUE","DEEP_MEASURE_ID_OVERRIDE",$C147,"DEEP_BROKER_ID_OVERRIDE",$F$7,"DEEP_PERIOD_OVERRIDE",L$11)*1,"")))</f>
        <v/>
      </c>
      <c r="M147" s="17" t="str">
        <f ca="1">IF(ISNA($B147),"",IF($B147="","",IFERROR(_xll.BDP(TICKER,"DEEP_MEASURE_PERIOD_BROKER_VALUE","DEEP_MEASURE_ID_OVERRIDE",$C147,"DEEP_BROKER_ID_OVERRIDE",$F$7,"DEEP_PERIOD_OVERRIDE",M$11)*1,"")))</f>
        <v/>
      </c>
      <c r="N147" s="17" t="str">
        <f ca="1">IF(ISNA($B147),"",IF($B147="","",IFERROR(_xll.BDP(TICKER,"DEEP_MEASURE_PERIOD_BROKER_VALUE","DEEP_MEASURE_ID_OVERRIDE",$C147,"DEEP_BROKER_ID_OVERRIDE",$F$7,"DEEP_PERIOD_OVERRIDE",N$11)*1,"")))</f>
        <v/>
      </c>
      <c r="O147" s="17" t="str">
        <f ca="1">IF(ISNA($B147),"",IF($B147="","",IFERROR(_xll.BDP(TICKER,"DEEP_MEASURE_PERIOD_BROKER_VALUE","DEEP_MEASURE_ID_OVERRIDE",$C147,"DEEP_BROKER_ID_OVERRIDE",$F$7,"DEEP_PERIOD_OVERRIDE",O$11)*1,"")))</f>
        <v/>
      </c>
      <c r="P147" s="17" t="str">
        <f ca="1">IF(ISNA($B147),"",IF($B147="","",IFERROR(_xll.BDP(TICKER,"DEEP_MEASURE_PERIOD_BROKER_VALUE","DEEP_MEASURE_ID_OVERRIDE",$C147,"DEEP_BROKER_ID_OVERRIDE",$F$7,"DEEP_PERIOD_OVERRIDE",P$11)*1,"")))</f>
        <v/>
      </c>
      <c r="Q147" s="17" t="str">
        <f ca="1">IF(ISNA($B147),"",IF($B147="","",IFERROR(_xll.BDP(TICKER,"DEEP_MEASURE_PERIOD_BROKER_VALUE","DEEP_MEASURE_ID_OVERRIDE",$C147,"DEEP_BROKER_ID_OVERRIDE",$F$7,"DEEP_PERIOD_OVERRIDE",Q$11)*1,"")))</f>
        <v/>
      </c>
      <c r="R147" s="17" t="str">
        <f ca="1">IF(ISNA($B147),"",IF($B147="","",IFERROR(_xll.BDP(TICKER,"DEEP_MEASURE_PERIOD_BROKER_VALUE","DEEP_MEASURE_ID_OVERRIDE",$C147,"DEEP_BROKER_ID_OVERRIDE",$F$7,"DEEP_PERIOD_OVERRIDE",R$11)*1,"")))</f>
        <v/>
      </c>
      <c r="S147" s="17" t="str">
        <f ca="1">IF(ISNA($B147),"",IF($B147="","",IFERROR(_xll.BDP(TICKER,"DEEP_MEASURE_PERIOD_BROKER_VALUE","DEEP_MEASURE_ID_OVERRIDE",$C147,"DEEP_BROKER_ID_OVERRIDE",$F$7,"DEEP_PERIOD_OVERRIDE",S$11)*1,"")))</f>
        <v/>
      </c>
      <c r="T147" s="17" t="str">
        <f ca="1">IF(ISNA($B147),"",IF($B147="","",IFERROR(_xll.BDP(TICKER,"DEEP_MEASURE_PERIOD_BROKER_VALUE","DEEP_MEASURE_ID_OVERRIDE",$C147,"DEEP_BROKER_ID_OVERRIDE",$F$7,"DEEP_PERIOD_OVERRIDE",T$11)*1,"")))</f>
        <v/>
      </c>
      <c r="U147" s="17" t="str">
        <f ca="1">IF(ISNA($B147),"",IF($B147="","",IFERROR(_xll.BDP(TICKER,"DEEP_MEASURE_PERIOD_BROKER_VALUE","DEEP_MEASURE_ID_OVERRIDE",$C147,"DEEP_BROKER_ID_OVERRIDE",$F$7,"DEEP_PERIOD_OVERRIDE",U$11)*1,"")))</f>
        <v/>
      </c>
      <c r="V147" s="17" t="str">
        <f ca="1">IF(ISNA($B147),"",IF($B147="","",IFERROR(_xll.BDP(TICKER,"DEEP_MEASURE_PERIOD_BROKER_VALUE","DEEP_MEASURE_ID_OVERRIDE",$C147,"DEEP_BROKER_ID_OVERRIDE",$F$7,"DEEP_PERIOD_OVERRIDE",V$11)*1,"")))</f>
        <v/>
      </c>
      <c r="W147" s="17" t="str">
        <f ca="1">IF(ISNA($B147),"",IF($B147="","",IFERROR(_xll.BDP(TICKER,"DEEP_MEASURE_PERIOD_BROKER_VALUE","DEEP_MEASURE_ID_OVERRIDE",$C147,"DEEP_BROKER_ID_OVERRIDE",$F$7,"DEEP_PERIOD_OVERRIDE",W$11)*1,"")))</f>
        <v/>
      </c>
      <c r="X147" s="17" t="str">
        <f ca="1">IF(ISNA($B147),"",IF($B147="","",IFERROR(_xll.BDP(TICKER,"DEEP_MEASURE_PERIOD_BROKER_VALUE","DEEP_MEASURE_ID_OVERRIDE",$C147,"DEEP_BROKER_ID_OVERRIDE",$F$7,"DEEP_PERIOD_OVERRIDE",X$11)*1,"")))</f>
        <v/>
      </c>
      <c r="Y147" s="17" t="str">
        <f ca="1">IF(ISNA($B147),"",IF($B147="","",IFERROR(_xll.BDP(TICKER,"DEEP_MEASURE_PERIOD_BROKER_VALUE","DEEP_MEASURE_ID_OVERRIDE",$C147,"DEEP_BROKER_ID_OVERRIDE",$F$7,"DEEP_PERIOD_OVERRIDE",Y$11)*1,"")))</f>
        <v/>
      </c>
      <c r="Z147" s="17" t="str">
        <f ca="1">IF(ISNA($B147),"",IF($B147="","",IFERROR(_xll.BDP(TICKER,"DEEP_MEASURE_PERIOD_BROKER_VALUE","DEEP_MEASURE_ID_OVERRIDE",$C147,"DEEP_BROKER_ID_OVERRIDE",$F$7,"DEEP_PERIOD_OVERRIDE",Z$11)*1,"")))</f>
        <v/>
      </c>
      <c r="AA147" s="17" t="str">
        <f ca="1">IF(ISNA($B147),"",IF($B147="","",IFERROR(_xll.BDP(TICKER,"DEEP_MEASURE_PERIOD_BROKER_VALUE","DEEP_MEASURE_ID_OVERRIDE",$C147,"DEEP_BROKER_ID_OVERRIDE",$F$7,"DEEP_PERIOD_OVERRIDE",AA$11)*1,"")))</f>
        <v/>
      </c>
      <c r="AB147" s="17" t="str">
        <f ca="1">IF(ISNA($B147),"",IF($B147="","",IFERROR(_xll.BDP(TICKER,"DEEP_MEASURE_PERIOD_BROKER_VALUE","DEEP_MEASURE_ID_OVERRIDE",$C147,"DEEP_BROKER_ID_OVERRIDE",$F$7,"DEEP_PERIOD_OVERRIDE",AB$11)*1,"")))</f>
        <v/>
      </c>
      <c r="AC147" s="17" t="str">
        <f ca="1">IF(ISNA($B147),"",IF($B147="","",IFERROR(_xll.BDP(TICKER,"DEEP_MEASURE_PERIOD_BROKER_VALUE","DEEP_MEASURE_ID_OVERRIDE",$C147,"DEEP_BROKER_ID_OVERRIDE",$F$7,"DEEP_PERIOD_OVERRIDE",AC$11)*1,"")))</f>
        <v/>
      </c>
      <c r="AD147" s="17" t="str">
        <f ca="1">IF(ISNA($B147),"",IF($B147="","",IFERROR(_xll.BDP(TICKER,"DEEP_MEASURE_PERIOD_BROKER_VALUE","DEEP_MEASURE_ID_OVERRIDE",$C147,"DEEP_BROKER_ID_OVERRIDE",$F$7,"DEEP_PERIOD_OVERRIDE",AD$11)*1,"")))</f>
        <v/>
      </c>
      <c r="AE147" s="17" t="str">
        <f ca="1">IF(ISNA($B147),"",IF($B147="","",IFERROR(_xll.BDP(TICKER,"DEEP_MEASURE_PERIOD_BROKER_VALUE","DEEP_MEASURE_ID_OVERRIDE",$C147,"DEEP_BROKER_ID_OVERRIDE",$F$7,"DEEP_PERIOD_OVERRIDE",AE$11)*1,"")))</f>
        <v/>
      </c>
      <c r="AF147" s="17" t="str">
        <f ca="1">IF(ISNA($B147),"",IF($B147="","",IFERROR(_xll.BDP(TICKER,"DEEP_MEASURE_PERIOD_BROKER_VALUE","DEEP_MEASURE_ID_OVERRIDE",$C147,"DEEP_BROKER_ID_OVERRIDE",$F$7,"DEEP_PERIOD_OVERRIDE",AF$11)*1,"")))</f>
        <v/>
      </c>
      <c r="AG147" s="17" t="str">
        <f ca="1">IF(ISNA($B147),"",IF($B147="","",IFERROR(_xll.BDP(TICKER,"DEEP_MEASURE_PERIOD_BROKER_VALUE","DEEP_MEASURE_ID_OVERRIDE",$C147,"DEEP_BROKER_ID_OVERRIDE",$F$7,"DEEP_PERIOD_OVERRIDE",AG$11)*1,"")))</f>
        <v/>
      </c>
      <c r="AH147" s="17" t="str">
        <f ca="1">IF(ISNA($B147),"",IF($B147="","",IFERROR(_xll.BDP(TICKER,"DEEP_MEASURE_PERIOD_BROKER_VALUE","DEEP_MEASURE_ID_OVERRIDE",$C147,"DEEP_BROKER_ID_OVERRIDE",$F$7,"DEEP_PERIOD_OVERRIDE",AH$11)*1,"")))</f>
        <v/>
      </c>
      <c r="AI147" s="17" t="str">
        <f ca="1">IF(ISNA($B147),"",IF($B147="","",IFERROR(_xll.BDP(TICKER,"DEEP_MEASURE_PERIOD_BROKER_VALUE","DEEP_MEASURE_ID_OVERRIDE",$C147,"DEEP_BROKER_ID_OVERRIDE",$F$7,"DEEP_PERIOD_OVERRIDE",AI$11)*1,"")))</f>
        <v/>
      </c>
      <c r="AJ147" s="17" t="str">
        <f ca="1">IF(ISNA($B147),"",IF($B147="","",IFERROR(_xll.BDP(TICKER,"DEEP_MEASURE_PERIOD_BROKER_VALUE","DEEP_MEASURE_ID_OVERRIDE",$C147,"DEEP_BROKER_ID_OVERRIDE",$F$7,"DEEP_PERIOD_OVERRIDE",AJ$11)*1,"")))</f>
        <v/>
      </c>
      <c r="AK147" s="17" t="str">
        <f ca="1">IF(ISNA($B147),"",IF($B147="","",IFERROR(_xll.BDP(TICKER,"DEEP_MEASURE_PERIOD_BROKER_VALUE","DEEP_MEASURE_ID_OVERRIDE",$C147,"DEEP_BROKER_ID_OVERRIDE",$F$7,"DEEP_PERIOD_OVERRIDE",AK$11)*1,"")))</f>
        <v/>
      </c>
      <c r="AL147" s="17" t="str">
        <f ca="1">IF(ISNA($B147),"",IF($B147="","",IFERROR(_xll.BDP(TICKER,"DEEP_MEASURE_PERIOD_BROKER_VALUE","DEEP_MEASURE_ID_OVERRIDE",$C147,"DEEP_BROKER_ID_OVERRIDE",$F$7,"DEEP_PERIOD_OVERRIDE",AL$11)*1,"")))</f>
        <v/>
      </c>
      <c r="AM147" s="17" t="str">
        <f ca="1">IF(ISNA($B147),"",IF($B147="","",IFERROR(_xll.BDP(TICKER,"DEEP_MEASURE_PERIOD_BROKER_VALUE","DEEP_MEASURE_ID_OVERRIDE",$C147,"DEEP_BROKER_ID_OVERRIDE",$F$7,"DEEP_PERIOD_OVERRIDE",AM$11)*1,"")))</f>
        <v/>
      </c>
      <c r="AN147" s="17" t="str">
        <f ca="1">IF(ISNA($B147),"",IF($B147="","",IFERROR(_xll.BDP(TICKER,"DEEP_MEASURE_PERIOD_BROKER_VALUE","DEEP_MEASURE_ID_OVERRIDE",$C147,"DEEP_BROKER_ID_OVERRIDE",$F$7,"DEEP_PERIOD_OVERRIDE",AN$11)*1,"")))</f>
        <v/>
      </c>
      <c r="AO147" s="17" t="str">
        <f ca="1">IF(ISNA($B147),"",IF($B147="","",IFERROR(_xll.BDP(TICKER,"DEEP_MEASURE_PERIOD_BROKER_VALUE","DEEP_MEASURE_ID_OVERRIDE",$C147,"DEEP_BROKER_ID_OVERRIDE",$F$7,"DEEP_PERIOD_OVERRIDE",AO$11)*1,"")))</f>
        <v/>
      </c>
      <c r="AP147" s="17" t="str">
        <f ca="1">IF(ISNA($B147),"",IF($B147="","",IFERROR(_xll.BDP(TICKER,"DEEP_MEASURE_PERIOD_BROKER_VALUE","DEEP_MEASURE_ID_OVERRIDE",$C147,"DEEP_BROKER_ID_OVERRIDE",$F$7,"DEEP_PERIOD_OVERRIDE",AP$11)*1,"")))</f>
        <v/>
      </c>
      <c r="AQ147" s="17" t="str">
        <f ca="1">IF(ISNA($B147),"",IF($B147="","",IFERROR(_xll.BDP(TICKER,"DEEP_MEASURE_PERIOD_BROKER_VALUE","DEEP_MEASURE_ID_OVERRIDE",$C147,"DEEP_BROKER_ID_OVERRIDE",$F$7,"DEEP_PERIOD_OVERRIDE",AQ$11)*1,"")))</f>
        <v/>
      </c>
    </row>
    <row r="148" spans="2:43" x14ac:dyDescent="0.25">
      <c r="B148" t="s">
        <v>182</v>
      </c>
      <c r="C148">
        <v>400</v>
      </c>
      <c r="H148" t="str">
        <f t="shared" si="3"/>
        <v>Non-GAAP Metrics &gt; EBITDA &gt; EBITDA Margin (%)</v>
      </c>
      <c r="I148" s="17" t="str">
        <f ca="1">IF(ISNA($B148),"",IF($B148="","",IFERROR(_xll.BDP(TICKER,"DEEP_MEASURE_PERIOD_BROKER_VALUE","DEEP_MEASURE_ID_OVERRIDE",$C148,"DEEP_BROKER_ID_OVERRIDE",$F$7,"DEEP_PERIOD_OVERRIDE",I$11)*1,"")))</f>
        <v/>
      </c>
      <c r="J148" s="17" t="str">
        <f ca="1">IF(ISNA($B148),"",IF($B148="","",IFERROR(_xll.BDP(TICKER,"DEEP_MEASURE_PERIOD_BROKER_VALUE","DEEP_MEASURE_ID_OVERRIDE",$C148,"DEEP_BROKER_ID_OVERRIDE",$F$7,"DEEP_PERIOD_OVERRIDE",J$11)*1,"")))</f>
        <v/>
      </c>
      <c r="K148" s="17" t="str">
        <f ca="1">IF(ISNA($B148),"",IF($B148="","",IFERROR(_xll.BDP(TICKER,"DEEP_MEASURE_PERIOD_BROKER_VALUE","DEEP_MEASURE_ID_OVERRIDE",$C148,"DEEP_BROKER_ID_OVERRIDE",$F$7,"DEEP_PERIOD_OVERRIDE",K$11)*1,"")))</f>
        <v/>
      </c>
      <c r="L148" s="17" t="str">
        <f ca="1">IF(ISNA($B148),"",IF($B148="","",IFERROR(_xll.BDP(TICKER,"DEEP_MEASURE_PERIOD_BROKER_VALUE","DEEP_MEASURE_ID_OVERRIDE",$C148,"DEEP_BROKER_ID_OVERRIDE",$F$7,"DEEP_PERIOD_OVERRIDE",L$11)*1,"")))</f>
        <v/>
      </c>
      <c r="M148" s="17" t="str">
        <f ca="1">IF(ISNA($B148),"",IF($B148="","",IFERROR(_xll.BDP(TICKER,"DEEP_MEASURE_PERIOD_BROKER_VALUE","DEEP_MEASURE_ID_OVERRIDE",$C148,"DEEP_BROKER_ID_OVERRIDE",$F$7,"DEEP_PERIOD_OVERRIDE",M$11)*1,"")))</f>
        <v/>
      </c>
      <c r="N148" s="17" t="str">
        <f ca="1">IF(ISNA($B148),"",IF($B148="","",IFERROR(_xll.BDP(TICKER,"DEEP_MEASURE_PERIOD_BROKER_VALUE","DEEP_MEASURE_ID_OVERRIDE",$C148,"DEEP_BROKER_ID_OVERRIDE",$F$7,"DEEP_PERIOD_OVERRIDE",N$11)*1,"")))</f>
        <v/>
      </c>
      <c r="O148" s="17" t="str">
        <f ca="1">IF(ISNA($B148),"",IF($B148="","",IFERROR(_xll.BDP(TICKER,"DEEP_MEASURE_PERIOD_BROKER_VALUE","DEEP_MEASURE_ID_OVERRIDE",$C148,"DEEP_BROKER_ID_OVERRIDE",$F$7,"DEEP_PERIOD_OVERRIDE",O$11)*1,"")))</f>
        <v/>
      </c>
      <c r="P148" s="17" t="str">
        <f ca="1">IF(ISNA($B148),"",IF($B148="","",IFERROR(_xll.BDP(TICKER,"DEEP_MEASURE_PERIOD_BROKER_VALUE","DEEP_MEASURE_ID_OVERRIDE",$C148,"DEEP_BROKER_ID_OVERRIDE",$F$7,"DEEP_PERIOD_OVERRIDE",P$11)*1,"")))</f>
        <v/>
      </c>
      <c r="Q148" s="17" t="str">
        <f ca="1">IF(ISNA($B148),"",IF($B148="","",IFERROR(_xll.BDP(TICKER,"DEEP_MEASURE_PERIOD_BROKER_VALUE","DEEP_MEASURE_ID_OVERRIDE",$C148,"DEEP_BROKER_ID_OVERRIDE",$F$7,"DEEP_PERIOD_OVERRIDE",Q$11)*1,"")))</f>
        <v/>
      </c>
      <c r="R148" s="17" t="str">
        <f ca="1">IF(ISNA($B148),"",IF($B148="","",IFERROR(_xll.BDP(TICKER,"DEEP_MEASURE_PERIOD_BROKER_VALUE","DEEP_MEASURE_ID_OVERRIDE",$C148,"DEEP_BROKER_ID_OVERRIDE",$F$7,"DEEP_PERIOD_OVERRIDE",R$11)*1,"")))</f>
        <v/>
      </c>
      <c r="S148" s="17" t="str">
        <f ca="1">IF(ISNA($B148),"",IF($B148="","",IFERROR(_xll.BDP(TICKER,"DEEP_MEASURE_PERIOD_BROKER_VALUE","DEEP_MEASURE_ID_OVERRIDE",$C148,"DEEP_BROKER_ID_OVERRIDE",$F$7,"DEEP_PERIOD_OVERRIDE",S$11)*1,"")))</f>
        <v/>
      </c>
      <c r="T148" s="17" t="str">
        <f ca="1">IF(ISNA($B148),"",IF($B148="","",IFERROR(_xll.BDP(TICKER,"DEEP_MEASURE_PERIOD_BROKER_VALUE","DEEP_MEASURE_ID_OVERRIDE",$C148,"DEEP_BROKER_ID_OVERRIDE",$F$7,"DEEP_PERIOD_OVERRIDE",T$11)*1,"")))</f>
        <v/>
      </c>
      <c r="U148" s="17" t="str">
        <f ca="1">IF(ISNA($B148),"",IF($B148="","",IFERROR(_xll.BDP(TICKER,"DEEP_MEASURE_PERIOD_BROKER_VALUE","DEEP_MEASURE_ID_OVERRIDE",$C148,"DEEP_BROKER_ID_OVERRIDE",$F$7,"DEEP_PERIOD_OVERRIDE",U$11)*1,"")))</f>
        <v/>
      </c>
      <c r="V148" s="17" t="str">
        <f ca="1">IF(ISNA($B148),"",IF($B148="","",IFERROR(_xll.BDP(TICKER,"DEEP_MEASURE_PERIOD_BROKER_VALUE","DEEP_MEASURE_ID_OVERRIDE",$C148,"DEEP_BROKER_ID_OVERRIDE",$F$7,"DEEP_PERIOD_OVERRIDE",V$11)*1,"")))</f>
        <v/>
      </c>
      <c r="W148" s="17" t="str">
        <f ca="1">IF(ISNA($B148),"",IF($B148="","",IFERROR(_xll.BDP(TICKER,"DEEP_MEASURE_PERIOD_BROKER_VALUE","DEEP_MEASURE_ID_OVERRIDE",$C148,"DEEP_BROKER_ID_OVERRIDE",$F$7,"DEEP_PERIOD_OVERRIDE",W$11)*1,"")))</f>
        <v/>
      </c>
      <c r="X148" s="17" t="str">
        <f ca="1">IF(ISNA($B148),"",IF($B148="","",IFERROR(_xll.BDP(TICKER,"DEEP_MEASURE_PERIOD_BROKER_VALUE","DEEP_MEASURE_ID_OVERRIDE",$C148,"DEEP_BROKER_ID_OVERRIDE",$F$7,"DEEP_PERIOD_OVERRIDE",X$11)*1,"")))</f>
        <v/>
      </c>
      <c r="Y148" s="17" t="str">
        <f ca="1">IF(ISNA($B148),"",IF($B148="","",IFERROR(_xll.BDP(TICKER,"DEEP_MEASURE_PERIOD_BROKER_VALUE","DEEP_MEASURE_ID_OVERRIDE",$C148,"DEEP_BROKER_ID_OVERRIDE",$F$7,"DEEP_PERIOD_OVERRIDE",Y$11)*1,"")))</f>
        <v/>
      </c>
      <c r="Z148" s="17" t="str">
        <f ca="1">IF(ISNA($B148),"",IF($B148="","",IFERROR(_xll.BDP(TICKER,"DEEP_MEASURE_PERIOD_BROKER_VALUE","DEEP_MEASURE_ID_OVERRIDE",$C148,"DEEP_BROKER_ID_OVERRIDE",$F$7,"DEEP_PERIOD_OVERRIDE",Z$11)*1,"")))</f>
        <v/>
      </c>
      <c r="AA148" s="17" t="str">
        <f ca="1">IF(ISNA($B148),"",IF($B148="","",IFERROR(_xll.BDP(TICKER,"DEEP_MEASURE_PERIOD_BROKER_VALUE","DEEP_MEASURE_ID_OVERRIDE",$C148,"DEEP_BROKER_ID_OVERRIDE",$F$7,"DEEP_PERIOD_OVERRIDE",AA$11)*1,"")))</f>
        <v/>
      </c>
      <c r="AB148" s="17" t="str">
        <f ca="1">IF(ISNA($B148),"",IF($B148="","",IFERROR(_xll.BDP(TICKER,"DEEP_MEASURE_PERIOD_BROKER_VALUE","DEEP_MEASURE_ID_OVERRIDE",$C148,"DEEP_BROKER_ID_OVERRIDE",$F$7,"DEEP_PERIOD_OVERRIDE",AB$11)*1,"")))</f>
        <v/>
      </c>
      <c r="AC148" s="17" t="str">
        <f ca="1">IF(ISNA($B148),"",IF($B148="","",IFERROR(_xll.BDP(TICKER,"DEEP_MEASURE_PERIOD_BROKER_VALUE","DEEP_MEASURE_ID_OVERRIDE",$C148,"DEEP_BROKER_ID_OVERRIDE",$F$7,"DEEP_PERIOD_OVERRIDE",AC$11)*1,"")))</f>
        <v/>
      </c>
      <c r="AD148" s="17" t="str">
        <f ca="1">IF(ISNA($B148),"",IF($B148="","",IFERROR(_xll.BDP(TICKER,"DEEP_MEASURE_PERIOD_BROKER_VALUE","DEEP_MEASURE_ID_OVERRIDE",$C148,"DEEP_BROKER_ID_OVERRIDE",$F$7,"DEEP_PERIOD_OVERRIDE",AD$11)*1,"")))</f>
        <v/>
      </c>
      <c r="AE148" s="17" t="str">
        <f ca="1">IF(ISNA($B148),"",IF($B148="","",IFERROR(_xll.BDP(TICKER,"DEEP_MEASURE_PERIOD_BROKER_VALUE","DEEP_MEASURE_ID_OVERRIDE",$C148,"DEEP_BROKER_ID_OVERRIDE",$F$7,"DEEP_PERIOD_OVERRIDE",AE$11)*1,"")))</f>
        <v/>
      </c>
      <c r="AF148" s="17" t="str">
        <f ca="1">IF(ISNA($B148),"",IF($B148="","",IFERROR(_xll.BDP(TICKER,"DEEP_MEASURE_PERIOD_BROKER_VALUE","DEEP_MEASURE_ID_OVERRIDE",$C148,"DEEP_BROKER_ID_OVERRIDE",$F$7,"DEEP_PERIOD_OVERRIDE",AF$11)*1,"")))</f>
        <v/>
      </c>
      <c r="AG148" s="17" t="str">
        <f ca="1">IF(ISNA($B148),"",IF($B148="","",IFERROR(_xll.BDP(TICKER,"DEEP_MEASURE_PERIOD_BROKER_VALUE","DEEP_MEASURE_ID_OVERRIDE",$C148,"DEEP_BROKER_ID_OVERRIDE",$F$7,"DEEP_PERIOD_OVERRIDE",AG$11)*1,"")))</f>
        <v/>
      </c>
      <c r="AH148" s="17" t="str">
        <f ca="1">IF(ISNA($B148),"",IF($B148="","",IFERROR(_xll.BDP(TICKER,"DEEP_MEASURE_PERIOD_BROKER_VALUE","DEEP_MEASURE_ID_OVERRIDE",$C148,"DEEP_BROKER_ID_OVERRIDE",$F$7,"DEEP_PERIOD_OVERRIDE",AH$11)*1,"")))</f>
        <v/>
      </c>
      <c r="AI148" s="17" t="str">
        <f ca="1">IF(ISNA($B148),"",IF($B148="","",IFERROR(_xll.BDP(TICKER,"DEEP_MEASURE_PERIOD_BROKER_VALUE","DEEP_MEASURE_ID_OVERRIDE",$C148,"DEEP_BROKER_ID_OVERRIDE",$F$7,"DEEP_PERIOD_OVERRIDE",AI$11)*1,"")))</f>
        <v/>
      </c>
      <c r="AJ148" s="17" t="str">
        <f ca="1">IF(ISNA($B148),"",IF($B148="","",IFERROR(_xll.BDP(TICKER,"DEEP_MEASURE_PERIOD_BROKER_VALUE","DEEP_MEASURE_ID_OVERRIDE",$C148,"DEEP_BROKER_ID_OVERRIDE",$F$7,"DEEP_PERIOD_OVERRIDE",AJ$11)*1,"")))</f>
        <v/>
      </c>
      <c r="AK148" s="17" t="str">
        <f ca="1">IF(ISNA($B148),"",IF($B148="","",IFERROR(_xll.BDP(TICKER,"DEEP_MEASURE_PERIOD_BROKER_VALUE","DEEP_MEASURE_ID_OVERRIDE",$C148,"DEEP_BROKER_ID_OVERRIDE",$F$7,"DEEP_PERIOD_OVERRIDE",AK$11)*1,"")))</f>
        <v/>
      </c>
      <c r="AL148" s="17" t="str">
        <f ca="1">IF(ISNA($B148),"",IF($B148="","",IFERROR(_xll.BDP(TICKER,"DEEP_MEASURE_PERIOD_BROKER_VALUE","DEEP_MEASURE_ID_OVERRIDE",$C148,"DEEP_BROKER_ID_OVERRIDE",$F$7,"DEEP_PERIOD_OVERRIDE",AL$11)*1,"")))</f>
        <v/>
      </c>
      <c r="AM148" s="17" t="str">
        <f ca="1">IF(ISNA($B148),"",IF($B148="","",IFERROR(_xll.BDP(TICKER,"DEEP_MEASURE_PERIOD_BROKER_VALUE","DEEP_MEASURE_ID_OVERRIDE",$C148,"DEEP_BROKER_ID_OVERRIDE",$F$7,"DEEP_PERIOD_OVERRIDE",AM$11)*1,"")))</f>
        <v/>
      </c>
      <c r="AN148" s="17" t="str">
        <f ca="1">IF(ISNA($B148),"",IF($B148="","",IFERROR(_xll.BDP(TICKER,"DEEP_MEASURE_PERIOD_BROKER_VALUE","DEEP_MEASURE_ID_OVERRIDE",$C148,"DEEP_BROKER_ID_OVERRIDE",$F$7,"DEEP_PERIOD_OVERRIDE",AN$11)*1,"")))</f>
        <v/>
      </c>
      <c r="AO148" s="17" t="str">
        <f ca="1">IF(ISNA($B148),"",IF($B148="","",IFERROR(_xll.BDP(TICKER,"DEEP_MEASURE_PERIOD_BROKER_VALUE","DEEP_MEASURE_ID_OVERRIDE",$C148,"DEEP_BROKER_ID_OVERRIDE",$F$7,"DEEP_PERIOD_OVERRIDE",AO$11)*1,"")))</f>
        <v/>
      </c>
      <c r="AP148" s="17" t="str">
        <f ca="1">IF(ISNA($B148),"",IF($B148="","",IFERROR(_xll.BDP(TICKER,"DEEP_MEASURE_PERIOD_BROKER_VALUE","DEEP_MEASURE_ID_OVERRIDE",$C148,"DEEP_BROKER_ID_OVERRIDE",$F$7,"DEEP_PERIOD_OVERRIDE",AP$11)*1,"")))</f>
        <v/>
      </c>
      <c r="AQ148" s="17" t="str">
        <f ca="1">IF(ISNA($B148),"",IF($B148="","",IFERROR(_xll.BDP(TICKER,"DEEP_MEASURE_PERIOD_BROKER_VALUE","DEEP_MEASURE_ID_OVERRIDE",$C148,"DEEP_BROKER_ID_OVERRIDE",$F$7,"DEEP_PERIOD_OVERRIDE",AQ$11)*1,"")))</f>
        <v/>
      </c>
    </row>
    <row r="149" spans="2:43" x14ac:dyDescent="0.25">
      <c r="B149" t="s">
        <v>183</v>
      </c>
      <c r="C149">
        <v>1758</v>
      </c>
      <c r="H149" t="str">
        <f t="shared" ref="H149:H212" si="4">IF(ISNA($B149),"",IF(ISBLANK($B149),"",$B149))</f>
        <v>Non-GAAP Metrics &gt; EBITDA &gt; Incremental EBITDA Margin (%)</v>
      </c>
      <c r="I149" s="17" t="str">
        <f ca="1">IF(ISNA($B149),"",IF($B149="","",IFERROR(_xll.BDP(TICKER,"DEEP_MEASURE_PERIOD_BROKER_VALUE","DEEP_MEASURE_ID_OVERRIDE",$C149,"DEEP_BROKER_ID_OVERRIDE",$F$7,"DEEP_PERIOD_OVERRIDE",I$11)*1,"")))</f>
        <v/>
      </c>
      <c r="J149" s="17" t="str">
        <f ca="1">IF(ISNA($B149),"",IF($B149="","",IFERROR(_xll.BDP(TICKER,"DEEP_MEASURE_PERIOD_BROKER_VALUE","DEEP_MEASURE_ID_OVERRIDE",$C149,"DEEP_BROKER_ID_OVERRIDE",$F$7,"DEEP_PERIOD_OVERRIDE",J$11)*1,"")))</f>
        <v/>
      </c>
      <c r="K149" s="17" t="str">
        <f ca="1">IF(ISNA($B149),"",IF($B149="","",IFERROR(_xll.BDP(TICKER,"DEEP_MEASURE_PERIOD_BROKER_VALUE","DEEP_MEASURE_ID_OVERRIDE",$C149,"DEEP_BROKER_ID_OVERRIDE",$F$7,"DEEP_PERIOD_OVERRIDE",K$11)*1,"")))</f>
        <v/>
      </c>
      <c r="L149" s="17" t="str">
        <f ca="1">IF(ISNA($B149),"",IF($B149="","",IFERROR(_xll.BDP(TICKER,"DEEP_MEASURE_PERIOD_BROKER_VALUE","DEEP_MEASURE_ID_OVERRIDE",$C149,"DEEP_BROKER_ID_OVERRIDE",$F$7,"DEEP_PERIOD_OVERRIDE",L$11)*1,"")))</f>
        <v/>
      </c>
      <c r="M149" s="17" t="str">
        <f ca="1">IF(ISNA($B149),"",IF($B149="","",IFERROR(_xll.BDP(TICKER,"DEEP_MEASURE_PERIOD_BROKER_VALUE","DEEP_MEASURE_ID_OVERRIDE",$C149,"DEEP_BROKER_ID_OVERRIDE",$F$7,"DEEP_PERIOD_OVERRIDE",M$11)*1,"")))</f>
        <v/>
      </c>
      <c r="N149" s="17" t="str">
        <f ca="1">IF(ISNA($B149),"",IF($B149="","",IFERROR(_xll.BDP(TICKER,"DEEP_MEASURE_PERIOD_BROKER_VALUE","DEEP_MEASURE_ID_OVERRIDE",$C149,"DEEP_BROKER_ID_OVERRIDE",$F$7,"DEEP_PERIOD_OVERRIDE",N$11)*1,"")))</f>
        <v/>
      </c>
      <c r="O149" s="17" t="str">
        <f ca="1">IF(ISNA($B149),"",IF($B149="","",IFERROR(_xll.BDP(TICKER,"DEEP_MEASURE_PERIOD_BROKER_VALUE","DEEP_MEASURE_ID_OVERRIDE",$C149,"DEEP_BROKER_ID_OVERRIDE",$F$7,"DEEP_PERIOD_OVERRIDE",O$11)*1,"")))</f>
        <v/>
      </c>
      <c r="P149" s="17" t="str">
        <f ca="1">IF(ISNA($B149),"",IF($B149="","",IFERROR(_xll.BDP(TICKER,"DEEP_MEASURE_PERIOD_BROKER_VALUE","DEEP_MEASURE_ID_OVERRIDE",$C149,"DEEP_BROKER_ID_OVERRIDE",$F$7,"DEEP_PERIOD_OVERRIDE",P$11)*1,"")))</f>
        <v/>
      </c>
      <c r="Q149" s="17" t="str">
        <f ca="1">IF(ISNA($B149),"",IF($B149="","",IFERROR(_xll.BDP(TICKER,"DEEP_MEASURE_PERIOD_BROKER_VALUE","DEEP_MEASURE_ID_OVERRIDE",$C149,"DEEP_BROKER_ID_OVERRIDE",$F$7,"DEEP_PERIOD_OVERRIDE",Q$11)*1,"")))</f>
        <v/>
      </c>
      <c r="R149" s="17" t="str">
        <f ca="1">IF(ISNA($B149),"",IF($B149="","",IFERROR(_xll.BDP(TICKER,"DEEP_MEASURE_PERIOD_BROKER_VALUE","DEEP_MEASURE_ID_OVERRIDE",$C149,"DEEP_BROKER_ID_OVERRIDE",$F$7,"DEEP_PERIOD_OVERRIDE",R$11)*1,"")))</f>
        <v/>
      </c>
      <c r="S149" s="17" t="str">
        <f ca="1">IF(ISNA($B149),"",IF($B149="","",IFERROR(_xll.BDP(TICKER,"DEEP_MEASURE_PERIOD_BROKER_VALUE","DEEP_MEASURE_ID_OVERRIDE",$C149,"DEEP_BROKER_ID_OVERRIDE",$F$7,"DEEP_PERIOD_OVERRIDE",S$11)*1,"")))</f>
        <v/>
      </c>
      <c r="T149" s="17" t="str">
        <f ca="1">IF(ISNA($B149),"",IF($B149="","",IFERROR(_xll.BDP(TICKER,"DEEP_MEASURE_PERIOD_BROKER_VALUE","DEEP_MEASURE_ID_OVERRIDE",$C149,"DEEP_BROKER_ID_OVERRIDE",$F$7,"DEEP_PERIOD_OVERRIDE",T$11)*1,"")))</f>
        <v/>
      </c>
      <c r="U149" s="17" t="str">
        <f ca="1">IF(ISNA($B149),"",IF($B149="","",IFERROR(_xll.BDP(TICKER,"DEEP_MEASURE_PERIOD_BROKER_VALUE","DEEP_MEASURE_ID_OVERRIDE",$C149,"DEEP_BROKER_ID_OVERRIDE",$F$7,"DEEP_PERIOD_OVERRIDE",U$11)*1,"")))</f>
        <v/>
      </c>
      <c r="V149" s="17" t="str">
        <f ca="1">IF(ISNA($B149),"",IF($B149="","",IFERROR(_xll.BDP(TICKER,"DEEP_MEASURE_PERIOD_BROKER_VALUE","DEEP_MEASURE_ID_OVERRIDE",$C149,"DEEP_BROKER_ID_OVERRIDE",$F$7,"DEEP_PERIOD_OVERRIDE",V$11)*1,"")))</f>
        <v/>
      </c>
      <c r="W149" s="17" t="str">
        <f ca="1">IF(ISNA($B149),"",IF($B149="","",IFERROR(_xll.BDP(TICKER,"DEEP_MEASURE_PERIOD_BROKER_VALUE","DEEP_MEASURE_ID_OVERRIDE",$C149,"DEEP_BROKER_ID_OVERRIDE",$F$7,"DEEP_PERIOD_OVERRIDE",W$11)*1,"")))</f>
        <v/>
      </c>
      <c r="X149" s="17" t="str">
        <f ca="1">IF(ISNA($B149),"",IF($B149="","",IFERROR(_xll.BDP(TICKER,"DEEP_MEASURE_PERIOD_BROKER_VALUE","DEEP_MEASURE_ID_OVERRIDE",$C149,"DEEP_BROKER_ID_OVERRIDE",$F$7,"DEEP_PERIOD_OVERRIDE",X$11)*1,"")))</f>
        <v/>
      </c>
      <c r="Y149" s="17" t="str">
        <f ca="1">IF(ISNA($B149),"",IF($B149="","",IFERROR(_xll.BDP(TICKER,"DEEP_MEASURE_PERIOD_BROKER_VALUE","DEEP_MEASURE_ID_OVERRIDE",$C149,"DEEP_BROKER_ID_OVERRIDE",$F$7,"DEEP_PERIOD_OVERRIDE",Y$11)*1,"")))</f>
        <v/>
      </c>
      <c r="Z149" s="17" t="str">
        <f ca="1">IF(ISNA($B149),"",IF($B149="","",IFERROR(_xll.BDP(TICKER,"DEEP_MEASURE_PERIOD_BROKER_VALUE","DEEP_MEASURE_ID_OVERRIDE",$C149,"DEEP_BROKER_ID_OVERRIDE",$F$7,"DEEP_PERIOD_OVERRIDE",Z$11)*1,"")))</f>
        <v/>
      </c>
      <c r="AA149" s="17" t="str">
        <f ca="1">IF(ISNA($B149),"",IF($B149="","",IFERROR(_xll.BDP(TICKER,"DEEP_MEASURE_PERIOD_BROKER_VALUE","DEEP_MEASURE_ID_OVERRIDE",$C149,"DEEP_BROKER_ID_OVERRIDE",$F$7,"DEEP_PERIOD_OVERRIDE",AA$11)*1,"")))</f>
        <v/>
      </c>
      <c r="AB149" s="17" t="str">
        <f ca="1">IF(ISNA($B149),"",IF($B149="","",IFERROR(_xll.BDP(TICKER,"DEEP_MEASURE_PERIOD_BROKER_VALUE","DEEP_MEASURE_ID_OVERRIDE",$C149,"DEEP_BROKER_ID_OVERRIDE",$F$7,"DEEP_PERIOD_OVERRIDE",AB$11)*1,"")))</f>
        <v/>
      </c>
      <c r="AC149" s="17" t="str">
        <f ca="1">IF(ISNA($B149),"",IF($B149="","",IFERROR(_xll.BDP(TICKER,"DEEP_MEASURE_PERIOD_BROKER_VALUE","DEEP_MEASURE_ID_OVERRIDE",$C149,"DEEP_BROKER_ID_OVERRIDE",$F$7,"DEEP_PERIOD_OVERRIDE",AC$11)*1,"")))</f>
        <v/>
      </c>
      <c r="AD149" s="17" t="str">
        <f ca="1">IF(ISNA($B149),"",IF($B149="","",IFERROR(_xll.BDP(TICKER,"DEEP_MEASURE_PERIOD_BROKER_VALUE","DEEP_MEASURE_ID_OVERRIDE",$C149,"DEEP_BROKER_ID_OVERRIDE",$F$7,"DEEP_PERIOD_OVERRIDE",AD$11)*1,"")))</f>
        <v/>
      </c>
      <c r="AE149" s="17" t="str">
        <f ca="1">IF(ISNA($B149),"",IF($B149="","",IFERROR(_xll.BDP(TICKER,"DEEP_MEASURE_PERIOD_BROKER_VALUE","DEEP_MEASURE_ID_OVERRIDE",$C149,"DEEP_BROKER_ID_OVERRIDE",$F$7,"DEEP_PERIOD_OVERRIDE",AE$11)*1,"")))</f>
        <v/>
      </c>
      <c r="AF149" s="17" t="str">
        <f ca="1">IF(ISNA($B149),"",IF($B149="","",IFERROR(_xll.BDP(TICKER,"DEEP_MEASURE_PERIOD_BROKER_VALUE","DEEP_MEASURE_ID_OVERRIDE",$C149,"DEEP_BROKER_ID_OVERRIDE",$F$7,"DEEP_PERIOD_OVERRIDE",AF$11)*1,"")))</f>
        <v/>
      </c>
      <c r="AG149" s="17" t="str">
        <f ca="1">IF(ISNA($B149),"",IF($B149="","",IFERROR(_xll.BDP(TICKER,"DEEP_MEASURE_PERIOD_BROKER_VALUE","DEEP_MEASURE_ID_OVERRIDE",$C149,"DEEP_BROKER_ID_OVERRIDE",$F$7,"DEEP_PERIOD_OVERRIDE",AG$11)*1,"")))</f>
        <v/>
      </c>
      <c r="AH149" s="17" t="str">
        <f ca="1">IF(ISNA($B149),"",IF($B149="","",IFERROR(_xll.BDP(TICKER,"DEEP_MEASURE_PERIOD_BROKER_VALUE","DEEP_MEASURE_ID_OVERRIDE",$C149,"DEEP_BROKER_ID_OVERRIDE",$F$7,"DEEP_PERIOD_OVERRIDE",AH$11)*1,"")))</f>
        <v/>
      </c>
      <c r="AI149" s="17" t="str">
        <f ca="1">IF(ISNA($B149),"",IF($B149="","",IFERROR(_xll.BDP(TICKER,"DEEP_MEASURE_PERIOD_BROKER_VALUE","DEEP_MEASURE_ID_OVERRIDE",$C149,"DEEP_BROKER_ID_OVERRIDE",$F$7,"DEEP_PERIOD_OVERRIDE",AI$11)*1,"")))</f>
        <v/>
      </c>
      <c r="AJ149" s="17" t="str">
        <f ca="1">IF(ISNA($B149),"",IF($B149="","",IFERROR(_xll.BDP(TICKER,"DEEP_MEASURE_PERIOD_BROKER_VALUE","DEEP_MEASURE_ID_OVERRIDE",$C149,"DEEP_BROKER_ID_OVERRIDE",$F$7,"DEEP_PERIOD_OVERRIDE",AJ$11)*1,"")))</f>
        <v/>
      </c>
      <c r="AK149" s="17" t="str">
        <f ca="1">IF(ISNA($B149),"",IF($B149="","",IFERROR(_xll.BDP(TICKER,"DEEP_MEASURE_PERIOD_BROKER_VALUE","DEEP_MEASURE_ID_OVERRIDE",$C149,"DEEP_BROKER_ID_OVERRIDE",$F$7,"DEEP_PERIOD_OVERRIDE",AK$11)*1,"")))</f>
        <v/>
      </c>
      <c r="AL149" s="17" t="str">
        <f ca="1">IF(ISNA($B149),"",IF($B149="","",IFERROR(_xll.BDP(TICKER,"DEEP_MEASURE_PERIOD_BROKER_VALUE","DEEP_MEASURE_ID_OVERRIDE",$C149,"DEEP_BROKER_ID_OVERRIDE",$F$7,"DEEP_PERIOD_OVERRIDE",AL$11)*1,"")))</f>
        <v/>
      </c>
      <c r="AM149" s="17" t="str">
        <f ca="1">IF(ISNA($B149),"",IF($B149="","",IFERROR(_xll.BDP(TICKER,"DEEP_MEASURE_PERIOD_BROKER_VALUE","DEEP_MEASURE_ID_OVERRIDE",$C149,"DEEP_BROKER_ID_OVERRIDE",$F$7,"DEEP_PERIOD_OVERRIDE",AM$11)*1,"")))</f>
        <v/>
      </c>
      <c r="AN149" s="17" t="str">
        <f ca="1">IF(ISNA($B149),"",IF($B149="","",IFERROR(_xll.BDP(TICKER,"DEEP_MEASURE_PERIOD_BROKER_VALUE","DEEP_MEASURE_ID_OVERRIDE",$C149,"DEEP_BROKER_ID_OVERRIDE",$F$7,"DEEP_PERIOD_OVERRIDE",AN$11)*1,"")))</f>
        <v/>
      </c>
      <c r="AO149" s="17" t="str">
        <f ca="1">IF(ISNA($B149),"",IF($B149="","",IFERROR(_xll.BDP(TICKER,"DEEP_MEASURE_PERIOD_BROKER_VALUE","DEEP_MEASURE_ID_OVERRIDE",$C149,"DEEP_BROKER_ID_OVERRIDE",$F$7,"DEEP_PERIOD_OVERRIDE",AO$11)*1,"")))</f>
        <v/>
      </c>
      <c r="AP149" s="17" t="str">
        <f ca="1">IF(ISNA($B149),"",IF($B149="","",IFERROR(_xll.BDP(TICKER,"DEEP_MEASURE_PERIOD_BROKER_VALUE","DEEP_MEASURE_ID_OVERRIDE",$C149,"DEEP_BROKER_ID_OVERRIDE",$F$7,"DEEP_PERIOD_OVERRIDE",AP$11)*1,"")))</f>
        <v/>
      </c>
      <c r="AQ149" s="17" t="str">
        <f ca="1">IF(ISNA($B149),"",IF($B149="","",IFERROR(_xll.BDP(TICKER,"DEEP_MEASURE_PERIOD_BROKER_VALUE","DEEP_MEASURE_ID_OVERRIDE",$C149,"DEEP_BROKER_ID_OVERRIDE",$F$7,"DEEP_PERIOD_OVERRIDE",AQ$11)*1,"")))</f>
        <v/>
      </c>
    </row>
    <row r="150" spans="2:43" x14ac:dyDescent="0.25">
      <c r="B150" t="s">
        <v>184</v>
      </c>
      <c r="C150">
        <v>344</v>
      </c>
      <c r="H150" t="str">
        <f t="shared" si="4"/>
        <v>Non-GAAP Metrics &gt; Stock Based Compensation</v>
      </c>
      <c r="I150" s="17" t="str">
        <f ca="1">IF(ISNA($B150),"",IF($B150="","",IFERROR(_xll.BDP(TICKER,"DEEP_MEASURE_PERIOD_BROKER_VALUE","DEEP_MEASURE_ID_OVERRIDE",$C150,"DEEP_BROKER_ID_OVERRIDE",$F$7,"DEEP_PERIOD_OVERRIDE",I$11)*1,"")))</f>
        <v/>
      </c>
      <c r="J150" s="17" t="str">
        <f ca="1">IF(ISNA($B150),"",IF($B150="","",IFERROR(_xll.BDP(TICKER,"DEEP_MEASURE_PERIOD_BROKER_VALUE","DEEP_MEASURE_ID_OVERRIDE",$C150,"DEEP_BROKER_ID_OVERRIDE",$F$7,"DEEP_PERIOD_OVERRIDE",J$11)*1,"")))</f>
        <v/>
      </c>
      <c r="K150" s="17" t="str">
        <f ca="1">IF(ISNA($B150),"",IF($B150="","",IFERROR(_xll.BDP(TICKER,"DEEP_MEASURE_PERIOD_BROKER_VALUE","DEEP_MEASURE_ID_OVERRIDE",$C150,"DEEP_BROKER_ID_OVERRIDE",$F$7,"DEEP_PERIOD_OVERRIDE",K$11)*1,"")))</f>
        <v/>
      </c>
      <c r="L150" s="17" t="str">
        <f ca="1">IF(ISNA($B150),"",IF($B150="","",IFERROR(_xll.BDP(TICKER,"DEEP_MEASURE_PERIOD_BROKER_VALUE","DEEP_MEASURE_ID_OVERRIDE",$C150,"DEEP_BROKER_ID_OVERRIDE",$F$7,"DEEP_PERIOD_OVERRIDE",L$11)*1,"")))</f>
        <v/>
      </c>
      <c r="M150" s="17" t="str">
        <f ca="1">IF(ISNA($B150),"",IF($B150="","",IFERROR(_xll.BDP(TICKER,"DEEP_MEASURE_PERIOD_BROKER_VALUE","DEEP_MEASURE_ID_OVERRIDE",$C150,"DEEP_BROKER_ID_OVERRIDE",$F$7,"DEEP_PERIOD_OVERRIDE",M$11)*1,"")))</f>
        <v/>
      </c>
      <c r="N150" s="17" t="str">
        <f ca="1">IF(ISNA($B150),"",IF($B150="","",IFERROR(_xll.BDP(TICKER,"DEEP_MEASURE_PERIOD_BROKER_VALUE","DEEP_MEASURE_ID_OVERRIDE",$C150,"DEEP_BROKER_ID_OVERRIDE",$F$7,"DEEP_PERIOD_OVERRIDE",N$11)*1,"")))</f>
        <v/>
      </c>
      <c r="O150" s="17" t="str">
        <f ca="1">IF(ISNA($B150),"",IF($B150="","",IFERROR(_xll.BDP(TICKER,"DEEP_MEASURE_PERIOD_BROKER_VALUE","DEEP_MEASURE_ID_OVERRIDE",$C150,"DEEP_BROKER_ID_OVERRIDE",$F$7,"DEEP_PERIOD_OVERRIDE",O$11)*1,"")))</f>
        <v/>
      </c>
      <c r="P150" s="17" t="str">
        <f ca="1">IF(ISNA($B150),"",IF($B150="","",IFERROR(_xll.BDP(TICKER,"DEEP_MEASURE_PERIOD_BROKER_VALUE","DEEP_MEASURE_ID_OVERRIDE",$C150,"DEEP_BROKER_ID_OVERRIDE",$F$7,"DEEP_PERIOD_OVERRIDE",P$11)*1,"")))</f>
        <v/>
      </c>
      <c r="Q150" s="17" t="str">
        <f ca="1">IF(ISNA($B150),"",IF($B150="","",IFERROR(_xll.BDP(TICKER,"DEEP_MEASURE_PERIOD_BROKER_VALUE","DEEP_MEASURE_ID_OVERRIDE",$C150,"DEEP_BROKER_ID_OVERRIDE",$F$7,"DEEP_PERIOD_OVERRIDE",Q$11)*1,"")))</f>
        <v/>
      </c>
      <c r="R150" s="17" t="str">
        <f ca="1">IF(ISNA($B150),"",IF($B150="","",IFERROR(_xll.BDP(TICKER,"DEEP_MEASURE_PERIOD_BROKER_VALUE","DEEP_MEASURE_ID_OVERRIDE",$C150,"DEEP_BROKER_ID_OVERRIDE",$F$7,"DEEP_PERIOD_OVERRIDE",R$11)*1,"")))</f>
        <v/>
      </c>
      <c r="S150" s="17" t="str">
        <f ca="1">IF(ISNA($B150),"",IF($B150="","",IFERROR(_xll.BDP(TICKER,"DEEP_MEASURE_PERIOD_BROKER_VALUE","DEEP_MEASURE_ID_OVERRIDE",$C150,"DEEP_BROKER_ID_OVERRIDE",$F$7,"DEEP_PERIOD_OVERRIDE",S$11)*1,"")))</f>
        <v/>
      </c>
      <c r="T150" s="17" t="str">
        <f ca="1">IF(ISNA($B150),"",IF($B150="","",IFERROR(_xll.BDP(TICKER,"DEEP_MEASURE_PERIOD_BROKER_VALUE","DEEP_MEASURE_ID_OVERRIDE",$C150,"DEEP_BROKER_ID_OVERRIDE",$F$7,"DEEP_PERIOD_OVERRIDE",T$11)*1,"")))</f>
        <v/>
      </c>
      <c r="U150" s="17" t="str">
        <f ca="1">IF(ISNA($B150),"",IF($B150="","",IFERROR(_xll.BDP(TICKER,"DEEP_MEASURE_PERIOD_BROKER_VALUE","DEEP_MEASURE_ID_OVERRIDE",$C150,"DEEP_BROKER_ID_OVERRIDE",$F$7,"DEEP_PERIOD_OVERRIDE",U$11)*1,"")))</f>
        <v/>
      </c>
      <c r="V150" s="17" t="str">
        <f ca="1">IF(ISNA($B150),"",IF($B150="","",IFERROR(_xll.BDP(TICKER,"DEEP_MEASURE_PERIOD_BROKER_VALUE","DEEP_MEASURE_ID_OVERRIDE",$C150,"DEEP_BROKER_ID_OVERRIDE",$F$7,"DEEP_PERIOD_OVERRIDE",V$11)*1,"")))</f>
        <v/>
      </c>
      <c r="W150" s="17" t="str">
        <f ca="1">IF(ISNA($B150),"",IF($B150="","",IFERROR(_xll.BDP(TICKER,"DEEP_MEASURE_PERIOD_BROKER_VALUE","DEEP_MEASURE_ID_OVERRIDE",$C150,"DEEP_BROKER_ID_OVERRIDE",$F$7,"DEEP_PERIOD_OVERRIDE",W$11)*1,"")))</f>
        <v/>
      </c>
      <c r="X150" s="17" t="str">
        <f ca="1">IF(ISNA($B150),"",IF($B150="","",IFERROR(_xll.BDP(TICKER,"DEEP_MEASURE_PERIOD_BROKER_VALUE","DEEP_MEASURE_ID_OVERRIDE",$C150,"DEEP_BROKER_ID_OVERRIDE",$F$7,"DEEP_PERIOD_OVERRIDE",X$11)*1,"")))</f>
        <v/>
      </c>
      <c r="Y150" s="17" t="str">
        <f ca="1">IF(ISNA($B150),"",IF($B150="","",IFERROR(_xll.BDP(TICKER,"DEEP_MEASURE_PERIOD_BROKER_VALUE","DEEP_MEASURE_ID_OVERRIDE",$C150,"DEEP_BROKER_ID_OVERRIDE",$F$7,"DEEP_PERIOD_OVERRIDE",Y$11)*1,"")))</f>
        <v/>
      </c>
      <c r="Z150" s="17" t="str">
        <f ca="1">IF(ISNA($B150),"",IF($B150="","",IFERROR(_xll.BDP(TICKER,"DEEP_MEASURE_PERIOD_BROKER_VALUE","DEEP_MEASURE_ID_OVERRIDE",$C150,"DEEP_BROKER_ID_OVERRIDE",$F$7,"DEEP_PERIOD_OVERRIDE",Z$11)*1,"")))</f>
        <v/>
      </c>
      <c r="AA150" s="17" t="str">
        <f ca="1">IF(ISNA($B150),"",IF($B150="","",IFERROR(_xll.BDP(TICKER,"DEEP_MEASURE_PERIOD_BROKER_VALUE","DEEP_MEASURE_ID_OVERRIDE",$C150,"DEEP_BROKER_ID_OVERRIDE",$F$7,"DEEP_PERIOD_OVERRIDE",AA$11)*1,"")))</f>
        <v/>
      </c>
      <c r="AB150" s="17" t="str">
        <f ca="1">IF(ISNA($B150),"",IF($B150="","",IFERROR(_xll.BDP(TICKER,"DEEP_MEASURE_PERIOD_BROKER_VALUE","DEEP_MEASURE_ID_OVERRIDE",$C150,"DEEP_BROKER_ID_OVERRIDE",$F$7,"DEEP_PERIOD_OVERRIDE",AB$11)*1,"")))</f>
        <v/>
      </c>
      <c r="AC150" s="17" t="str">
        <f ca="1">IF(ISNA($B150),"",IF($B150="","",IFERROR(_xll.BDP(TICKER,"DEEP_MEASURE_PERIOD_BROKER_VALUE","DEEP_MEASURE_ID_OVERRIDE",$C150,"DEEP_BROKER_ID_OVERRIDE",$F$7,"DEEP_PERIOD_OVERRIDE",AC$11)*1,"")))</f>
        <v/>
      </c>
      <c r="AD150" s="17" t="str">
        <f ca="1">IF(ISNA($B150),"",IF($B150="","",IFERROR(_xll.BDP(TICKER,"DEEP_MEASURE_PERIOD_BROKER_VALUE","DEEP_MEASURE_ID_OVERRIDE",$C150,"DEEP_BROKER_ID_OVERRIDE",$F$7,"DEEP_PERIOD_OVERRIDE",AD$11)*1,"")))</f>
        <v/>
      </c>
      <c r="AE150" s="17" t="str">
        <f ca="1">IF(ISNA($B150),"",IF($B150="","",IFERROR(_xll.BDP(TICKER,"DEEP_MEASURE_PERIOD_BROKER_VALUE","DEEP_MEASURE_ID_OVERRIDE",$C150,"DEEP_BROKER_ID_OVERRIDE",$F$7,"DEEP_PERIOD_OVERRIDE",AE$11)*1,"")))</f>
        <v/>
      </c>
      <c r="AF150" s="17" t="str">
        <f ca="1">IF(ISNA($B150),"",IF($B150="","",IFERROR(_xll.BDP(TICKER,"DEEP_MEASURE_PERIOD_BROKER_VALUE","DEEP_MEASURE_ID_OVERRIDE",$C150,"DEEP_BROKER_ID_OVERRIDE",$F$7,"DEEP_PERIOD_OVERRIDE",AF$11)*1,"")))</f>
        <v/>
      </c>
      <c r="AG150" s="17" t="str">
        <f ca="1">IF(ISNA($B150),"",IF($B150="","",IFERROR(_xll.BDP(TICKER,"DEEP_MEASURE_PERIOD_BROKER_VALUE","DEEP_MEASURE_ID_OVERRIDE",$C150,"DEEP_BROKER_ID_OVERRIDE",$F$7,"DEEP_PERIOD_OVERRIDE",AG$11)*1,"")))</f>
        <v/>
      </c>
      <c r="AH150" s="17" t="str">
        <f ca="1">IF(ISNA($B150),"",IF($B150="","",IFERROR(_xll.BDP(TICKER,"DEEP_MEASURE_PERIOD_BROKER_VALUE","DEEP_MEASURE_ID_OVERRIDE",$C150,"DEEP_BROKER_ID_OVERRIDE",$F$7,"DEEP_PERIOD_OVERRIDE",AH$11)*1,"")))</f>
        <v/>
      </c>
      <c r="AI150" s="17" t="str">
        <f ca="1">IF(ISNA($B150),"",IF($B150="","",IFERROR(_xll.BDP(TICKER,"DEEP_MEASURE_PERIOD_BROKER_VALUE","DEEP_MEASURE_ID_OVERRIDE",$C150,"DEEP_BROKER_ID_OVERRIDE",$F$7,"DEEP_PERIOD_OVERRIDE",AI$11)*1,"")))</f>
        <v/>
      </c>
      <c r="AJ150" s="17" t="str">
        <f ca="1">IF(ISNA($B150),"",IF($B150="","",IFERROR(_xll.BDP(TICKER,"DEEP_MEASURE_PERIOD_BROKER_VALUE","DEEP_MEASURE_ID_OVERRIDE",$C150,"DEEP_BROKER_ID_OVERRIDE",$F$7,"DEEP_PERIOD_OVERRIDE",AJ$11)*1,"")))</f>
        <v/>
      </c>
      <c r="AK150" s="17" t="str">
        <f ca="1">IF(ISNA($B150),"",IF($B150="","",IFERROR(_xll.BDP(TICKER,"DEEP_MEASURE_PERIOD_BROKER_VALUE","DEEP_MEASURE_ID_OVERRIDE",$C150,"DEEP_BROKER_ID_OVERRIDE",$F$7,"DEEP_PERIOD_OVERRIDE",AK$11)*1,"")))</f>
        <v/>
      </c>
      <c r="AL150" s="17" t="str">
        <f ca="1">IF(ISNA($B150),"",IF($B150="","",IFERROR(_xll.BDP(TICKER,"DEEP_MEASURE_PERIOD_BROKER_VALUE","DEEP_MEASURE_ID_OVERRIDE",$C150,"DEEP_BROKER_ID_OVERRIDE",$F$7,"DEEP_PERIOD_OVERRIDE",AL$11)*1,"")))</f>
        <v/>
      </c>
      <c r="AM150" s="17" t="str">
        <f ca="1">IF(ISNA($B150),"",IF($B150="","",IFERROR(_xll.BDP(TICKER,"DEEP_MEASURE_PERIOD_BROKER_VALUE","DEEP_MEASURE_ID_OVERRIDE",$C150,"DEEP_BROKER_ID_OVERRIDE",$F$7,"DEEP_PERIOD_OVERRIDE",AM$11)*1,"")))</f>
        <v/>
      </c>
      <c r="AN150" s="17" t="str">
        <f ca="1">IF(ISNA($B150),"",IF($B150="","",IFERROR(_xll.BDP(TICKER,"DEEP_MEASURE_PERIOD_BROKER_VALUE","DEEP_MEASURE_ID_OVERRIDE",$C150,"DEEP_BROKER_ID_OVERRIDE",$F$7,"DEEP_PERIOD_OVERRIDE",AN$11)*1,"")))</f>
        <v/>
      </c>
      <c r="AO150" s="17" t="str">
        <f ca="1">IF(ISNA($B150),"",IF($B150="","",IFERROR(_xll.BDP(TICKER,"DEEP_MEASURE_PERIOD_BROKER_VALUE","DEEP_MEASURE_ID_OVERRIDE",$C150,"DEEP_BROKER_ID_OVERRIDE",$F$7,"DEEP_PERIOD_OVERRIDE",AO$11)*1,"")))</f>
        <v/>
      </c>
      <c r="AP150" s="17" t="str">
        <f ca="1">IF(ISNA($B150),"",IF($B150="","",IFERROR(_xll.BDP(TICKER,"DEEP_MEASURE_PERIOD_BROKER_VALUE","DEEP_MEASURE_ID_OVERRIDE",$C150,"DEEP_BROKER_ID_OVERRIDE",$F$7,"DEEP_PERIOD_OVERRIDE",AP$11)*1,"")))</f>
        <v/>
      </c>
      <c r="AQ150" s="17" t="str">
        <f ca="1">IF(ISNA($B150),"",IF($B150="","",IFERROR(_xll.BDP(TICKER,"DEEP_MEASURE_PERIOD_BROKER_VALUE","DEEP_MEASURE_ID_OVERRIDE",$C150,"DEEP_BROKER_ID_OVERRIDE",$F$7,"DEEP_PERIOD_OVERRIDE",AQ$11)*1,"")))</f>
        <v/>
      </c>
    </row>
    <row r="151" spans="2:43" x14ac:dyDescent="0.25">
      <c r="B151" t="s">
        <v>185</v>
      </c>
      <c r="C151">
        <v>2760</v>
      </c>
      <c r="H151" t="str">
        <f t="shared" si="4"/>
        <v>Non-GAAP Metrics &gt; Pre-Tax Income</v>
      </c>
      <c r="I151" s="17" t="str">
        <f ca="1">IF(ISNA($B151),"",IF($B151="","",IFERROR(_xll.BDP(TICKER,"DEEP_MEASURE_PERIOD_BROKER_VALUE","DEEP_MEASURE_ID_OVERRIDE",$C151,"DEEP_BROKER_ID_OVERRIDE",$F$7,"DEEP_PERIOD_OVERRIDE",I$11)*1,"")))</f>
        <v/>
      </c>
      <c r="J151" s="17" t="str">
        <f ca="1">IF(ISNA($B151),"",IF($B151="","",IFERROR(_xll.BDP(TICKER,"DEEP_MEASURE_PERIOD_BROKER_VALUE","DEEP_MEASURE_ID_OVERRIDE",$C151,"DEEP_BROKER_ID_OVERRIDE",$F$7,"DEEP_PERIOD_OVERRIDE",J$11)*1,"")))</f>
        <v/>
      </c>
      <c r="K151" s="17" t="str">
        <f ca="1">IF(ISNA($B151),"",IF($B151="","",IFERROR(_xll.BDP(TICKER,"DEEP_MEASURE_PERIOD_BROKER_VALUE","DEEP_MEASURE_ID_OVERRIDE",$C151,"DEEP_BROKER_ID_OVERRIDE",$F$7,"DEEP_PERIOD_OVERRIDE",K$11)*1,"")))</f>
        <v/>
      </c>
      <c r="L151" s="17" t="str">
        <f ca="1">IF(ISNA($B151),"",IF($B151="","",IFERROR(_xll.BDP(TICKER,"DEEP_MEASURE_PERIOD_BROKER_VALUE","DEEP_MEASURE_ID_OVERRIDE",$C151,"DEEP_BROKER_ID_OVERRIDE",$F$7,"DEEP_PERIOD_OVERRIDE",L$11)*1,"")))</f>
        <v/>
      </c>
      <c r="M151" s="17" t="str">
        <f ca="1">IF(ISNA($B151),"",IF($B151="","",IFERROR(_xll.BDP(TICKER,"DEEP_MEASURE_PERIOD_BROKER_VALUE","DEEP_MEASURE_ID_OVERRIDE",$C151,"DEEP_BROKER_ID_OVERRIDE",$F$7,"DEEP_PERIOD_OVERRIDE",M$11)*1,"")))</f>
        <v/>
      </c>
      <c r="N151" s="17" t="str">
        <f ca="1">IF(ISNA($B151),"",IF($B151="","",IFERROR(_xll.BDP(TICKER,"DEEP_MEASURE_PERIOD_BROKER_VALUE","DEEP_MEASURE_ID_OVERRIDE",$C151,"DEEP_BROKER_ID_OVERRIDE",$F$7,"DEEP_PERIOD_OVERRIDE",N$11)*1,"")))</f>
        <v/>
      </c>
      <c r="O151" s="17" t="str">
        <f ca="1">IF(ISNA($B151),"",IF($B151="","",IFERROR(_xll.BDP(TICKER,"DEEP_MEASURE_PERIOD_BROKER_VALUE","DEEP_MEASURE_ID_OVERRIDE",$C151,"DEEP_BROKER_ID_OVERRIDE",$F$7,"DEEP_PERIOD_OVERRIDE",O$11)*1,"")))</f>
        <v/>
      </c>
      <c r="P151" s="17" t="str">
        <f ca="1">IF(ISNA($B151),"",IF($B151="","",IFERROR(_xll.BDP(TICKER,"DEEP_MEASURE_PERIOD_BROKER_VALUE","DEEP_MEASURE_ID_OVERRIDE",$C151,"DEEP_BROKER_ID_OVERRIDE",$F$7,"DEEP_PERIOD_OVERRIDE",P$11)*1,"")))</f>
        <v/>
      </c>
      <c r="Q151" s="17" t="str">
        <f ca="1">IF(ISNA($B151),"",IF($B151="","",IFERROR(_xll.BDP(TICKER,"DEEP_MEASURE_PERIOD_BROKER_VALUE","DEEP_MEASURE_ID_OVERRIDE",$C151,"DEEP_BROKER_ID_OVERRIDE",$F$7,"DEEP_PERIOD_OVERRIDE",Q$11)*1,"")))</f>
        <v/>
      </c>
      <c r="R151" s="17" t="str">
        <f ca="1">IF(ISNA($B151),"",IF($B151="","",IFERROR(_xll.BDP(TICKER,"DEEP_MEASURE_PERIOD_BROKER_VALUE","DEEP_MEASURE_ID_OVERRIDE",$C151,"DEEP_BROKER_ID_OVERRIDE",$F$7,"DEEP_PERIOD_OVERRIDE",R$11)*1,"")))</f>
        <v/>
      </c>
      <c r="S151" s="17" t="str">
        <f ca="1">IF(ISNA($B151),"",IF($B151="","",IFERROR(_xll.BDP(TICKER,"DEEP_MEASURE_PERIOD_BROKER_VALUE","DEEP_MEASURE_ID_OVERRIDE",$C151,"DEEP_BROKER_ID_OVERRIDE",$F$7,"DEEP_PERIOD_OVERRIDE",S$11)*1,"")))</f>
        <v/>
      </c>
      <c r="T151" s="17" t="str">
        <f ca="1">IF(ISNA($B151),"",IF($B151="","",IFERROR(_xll.BDP(TICKER,"DEEP_MEASURE_PERIOD_BROKER_VALUE","DEEP_MEASURE_ID_OVERRIDE",$C151,"DEEP_BROKER_ID_OVERRIDE",$F$7,"DEEP_PERIOD_OVERRIDE",T$11)*1,"")))</f>
        <v/>
      </c>
      <c r="U151" s="17" t="str">
        <f ca="1">IF(ISNA($B151),"",IF($B151="","",IFERROR(_xll.BDP(TICKER,"DEEP_MEASURE_PERIOD_BROKER_VALUE","DEEP_MEASURE_ID_OVERRIDE",$C151,"DEEP_BROKER_ID_OVERRIDE",$F$7,"DEEP_PERIOD_OVERRIDE",U$11)*1,"")))</f>
        <v/>
      </c>
      <c r="V151" s="17" t="str">
        <f ca="1">IF(ISNA($B151),"",IF($B151="","",IFERROR(_xll.BDP(TICKER,"DEEP_MEASURE_PERIOD_BROKER_VALUE","DEEP_MEASURE_ID_OVERRIDE",$C151,"DEEP_BROKER_ID_OVERRIDE",$F$7,"DEEP_PERIOD_OVERRIDE",V$11)*1,"")))</f>
        <v/>
      </c>
      <c r="W151" s="17" t="str">
        <f ca="1">IF(ISNA($B151),"",IF($B151="","",IFERROR(_xll.BDP(TICKER,"DEEP_MEASURE_PERIOD_BROKER_VALUE","DEEP_MEASURE_ID_OVERRIDE",$C151,"DEEP_BROKER_ID_OVERRIDE",$F$7,"DEEP_PERIOD_OVERRIDE",W$11)*1,"")))</f>
        <v/>
      </c>
      <c r="X151" s="17" t="str">
        <f ca="1">IF(ISNA($B151),"",IF($B151="","",IFERROR(_xll.BDP(TICKER,"DEEP_MEASURE_PERIOD_BROKER_VALUE","DEEP_MEASURE_ID_OVERRIDE",$C151,"DEEP_BROKER_ID_OVERRIDE",$F$7,"DEEP_PERIOD_OVERRIDE",X$11)*1,"")))</f>
        <v/>
      </c>
      <c r="Y151" s="17" t="str">
        <f ca="1">IF(ISNA($B151),"",IF($B151="","",IFERROR(_xll.BDP(TICKER,"DEEP_MEASURE_PERIOD_BROKER_VALUE","DEEP_MEASURE_ID_OVERRIDE",$C151,"DEEP_BROKER_ID_OVERRIDE",$F$7,"DEEP_PERIOD_OVERRIDE",Y$11)*1,"")))</f>
        <v/>
      </c>
      <c r="Z151" s="17" t="str">
        <f ca="1">IF(ISNA($B151),"",IF($B151="","",IFERROR(_xll.BDP(TICKER,"DEEP_MEASURE_PERIOD_BROKER_VALUE","DEEP_MEASURE_ID_OVERRIDE",$C151,"DEEP_BROKER_ID_OVERRIDE",$F$7,"DEEP_PERIOD_OVERRIDE",Z$11)*1,"")))</f>
        <v/>
      </c>
      <c r="AA151" s="17" t="str">
        <f ca="1">IF(ISNA($B151),"",IF($B151="","",IFERROR(_xll.BDP(TICKER,"DEEP_MEASURE_PERIOD_BROKER_VALUE","DEEP_MEASURE_ID_OVERRIDE",$C151,"DEEP_BROKER_ID_OVERRIDE",$F$7,"DEEP_PERIOD_OVERRIDE",AA$11)*1,"")))</f>
        <v/>
      </c>
      <c r="AB151" s="17" t="str">
        <f ca="1">IF(ISNA($B151),"",IF($B151="","",IFERROR(_xll.BDP(TICKER,"DEEP_MEASURE_PERIOD_BROKER_VALUE","DEEP_MEASURE_ID_OVERRIDE",$C151,"DEEP_BROKER_ID_OVERRIDE",$F$7,"DEEP_PERIOD_OVERRIDE",AB$11)*1,"")))</f>
        <v/>
      </c>
      <c r="AC151" s="17" t="str">
        <f ca="1">IF(ISNA($B151),"",IF($B151="","",IFERROR(_xll.BDP(TICKER,"DEEP_MEASURE_PERIOD_BROKER_VALUE","DEEP_MEASURE_ID_OVERRIDE",$C151,"DEEP_BROKER_ID_OVERRIDE",$F$7,"DEEP_PERIOD_OVERRIDE",AC$11)*1,"")))</f>
        <v/>
      </c>
      <c r="AD151" s="17" t="str">
        <f ca="1">IF(ISNA($B151),"",IF($B151="","",IFERROR(_xll.BDP(TICKER,"DEEP_MEASURE_PERIOD_BROKER_VALUE","DEEP_MEASURE_ID_OVERRIDE",$C151,"DEEP_BROKER_ID_OVERRIDE",$F$7,"DEEP_PERIOD_OVERRIDE",AD$11)*1,"")))</f>
        <v/>
      </c>
      <c r="AE151" s="17" t="str">
        <f ca="1">IF(ISNA($B151),"",IF($B151="","",IFERROR(_xll.BDP(TICKER,"DEEP_MEASURE_PERIOD_BROKER_VALUE","DEEP_MEASURE_ID_OVERRIDE",$C151,"DEEP_BROKER_ID_OVERRIDE",$F$7,"DEEP_PERIOD_OVERRIDE",AE$11)*1,"")))</f>
        <v/>
      </c>
      <c r="AF151" s="17" t="str">
        <f ca="1">IF(ISNA($B151),"",IF($B151="","",IFERROR(_xll.BDP(TICKER,"DEEP_MEASURE_PERIOD_BROKER_VALUE","DEEP_MEASURE_ID_OVERRIDE",$C151,"DEEP_BROKER_ID_OVERRIDE",$F$7,"DEEP_PERIOD_OVERRIDE",AF$11)*1,"")))</f>
        <v/>
      </c>
      <c r="AG151" s="17" t="str">
        <f ca="1">IF(ISNA($B151),"",IF($B151="","",IFERROR(_xll.BDP(TICKER,"DEEP_MEASURE_PERIOD_BROKER_VALUE","DEEP_MEASURE_ID_OVERRIDE",$C151,"DEEP_BROKER_ID_OVERRIDE",$F$7,"DEEP_PERIOD_OVERRIDE",AG$11)*1,"")))</f>
        <v/>
      </c>
      <c r="AH151" s="17" t="str">
        <f ca="1">IF(ISNA($B151),"",IF($B151="","",IFERROR(_xll.BDP(TICKER,"DEEP_MEASURE_PERIOD_BROKER_VALUE","DEEP_MEASURE_ID_OVERRIDE",$C151,"DEEP_BROKER_ID_OVERRIDE",$F$7,"DEEP_PERIOD_OVERRIDE",AH$11)*1,"")))</f>
        <v/>
      </c>
      <c r="AI151" s="17" t="str">
        <f ca="1">IF(ISNA($B151),"",IF($B151="","",IFERROR(_xll.BDP(TICKER,"DEEP_MEASURE_PERIOD_BROKER_VALUE","DEEP_MEASURE_ID_OVERRIDE",$C151,"DEEP_BROKER_ID_OVERRIDE",$F$7,"DEEP_PERIOD_OVERRIDE",AI$11)*1,"")))</f>
        <v/>
      </c>
      <c r="AJ151" s="17" t="str">
        <f ca="1">IF(ISNA($B151),"",IF($B151="","",IFERROR(_xll.BDP(TICKER,"DEEP_MEASURE_PERIOD_BROKER_VALUE","DEEP_MEASURE_ID_OVERRIDE",$C151,"DEEP_BROKER_ID_OVERRIDE",$F$7,"DEEP_PERIOD_OVERRIDE",AJ$11)*1,"")))</f>
        <v/>
      </c>
      <c r="AK151" s="17" t="str">
        <f ca="1">IF(ISNA($B151),"",IF($B151="","",IFERROR(_xll.BDP(TICKER,"DEEP_MEASURE_PERIOD_BROKER_VALUE","DEEP_MEASURE_ID_OVERRIDE",$C151,"DEEP_BROKER_ID_OVERRIDE",$F$7,"DEEP_PERIOD_OVERRIDE",AK$11)*1,"")))</f>
        <v/>
      </c>
      <c r="AL151" s="17" t="str">
        <f ca="1">IF(ISNA($B151),"",IF($B151="","",IFERROR(_xll.BDP(TICKER,"DEEP_MEASURE_PERIOD_BROKER_VALUE","DEEP_MEASURE_ID_OVERRIDE",$C151,"DEEP_BROKER_ID_OVERRIDE",$F$7,"DEEP_PERIOD_OVERRIDE",AL$11)*1,"")))</f>
        <v/>
      </c>
      <c r="AM151" s="17" t="str">
        <f ca="1">IF(ISNA($B151),"",IF($B151="","",IFERROR(_xll.BDP(TICKER,"DEEP_MEASURE_PERIOD_BROKER_VALUE","DEEP_MEASURE_ID_OVERRIDE",$C151,"DEEP_BROKER_ID_OVERRIDE",$F$7,"DEEP_PERIOD_OVERRIDE",AM$11)*1,"")))</f>
        <v/>
      </c>
      <c r="AN151" s="17" t="str">
        <f ca="1">IF(ISNA($B151),"",IF($B151="","",IFERROR(_xll.BDP(TICKER,"DEEP_MEASURE_PERIOD_BROKER_VALUE","DEEP_MEASURE_ID_OVERRIDE",$C151,"DEEP_BROKER_ID_OVERRIDE",$F$7,"DEEP_PERIOD_OVERRIDE",AN$11)*1,"")))</f>
        <v/>
      </c>
      <c r="AO151" s="17" t="str">
        <f ca="1">IF(ISNA($B151),"",IF($B151="","",IFERROR(_xll.BDP(TICKER,"DEEP_MEASURE_PERIOD_BROKER_VALUE","DEEP_MEASURE_ID_OVERRIDE",$C151,"DEEP_BROKER_ID_OVERRIDE",$F$7,"DEEP_PERIOD_OVERRIDE",AO$11)*1,"")))</f>
        <v/>
      </c>
      <c r="AP151" s="17" t="str">
        <f ca="1">IF(ISNA($B151),"",IF($B151="","",IFERROR(_xll.BDP(TICKER,"DEEP_MEASURE_PERIOD_BROKER_VALUE","DEEP_MEASURE_ID_OVERRIDE",$C151,"DEEP_BROKER_ID_OVERRIDE",$F$7,"DEEP_PERIOD_OVERRIDE",AP$11)*1,"")))</f>
        <v/>
      </c>
      <c r="AQ151" s="17" t="str">
        <f ca="1">IF(ISNA($B151),"",IF($B151="","",IFERROR(_xll.BDP(TICKER,"DEEP_MEASURE_PERIOD_BROKER_VALUE","DEEP_MEASURE_ID_OVERRIDE",$C151,"DEEP_BROKER_ID_OVERRIDE",$F$7,"DEEP_PERIOD_OVERRIDE",AQ$11)*1,"")))</f>
        <v/>
      </c>
    </row>
    <row r="152" spans="2:43" x14ac:dyDescent="0.25">
      <c r="B152" t="s">
        <v>186</v>
      </c>
      <c r="C152">
        <v>356</v>
      </c>
      <c r="H152" t="str">
        <f t="shared" si="4"/>
        <v>Non-GAAP Metrics &gt; Tax Effect of Non-GAAP Adjustments</v>
      </c>
      <c r="I152" s="17" t="str">
        <f ca="1">IF(ISNA($B152),"",IF($B152="","",IFERROR(_xll.BDP(TICKER,"DEEP_MEASURE_PERIOD_BROKER_VALUE","DEEP_MEASURE_ID_OVERRIDE",$C152,"DEEP_BROKER_ID_OVERRIDE",$F$7,"DEEP_PERIOD_OVERRIDE",I$11)*1,"")))</f>
        <v/>
      </c>
      <c r="J152" s="17" t="str">
        <f ca="1">IF(ISNA($B152),"",IF($B152="","",IFERROR(_xll.BDP(TICKER,"DEEP_MEASURE_PERIOD_BROKER_VALUE","DEEP_MEASURE_ID_OVERRIDE",$C152,"DEEP_BROKER_ID_OVERRIDE",$F$7,"DEEP_PERIOD_OVERRIDE",J$11)*1,"")))</f>
        <v/>
      </c>
      <c r="K152" s="17" t="str">
        <f ca="1">IF(ISNA($B152),"",IF($B152="","",IFERROR(_xll.BDP(TICKER,"DEEP_MEASURE_PERIOD_BROKER_VALUE","DEEP_MEASURE_ID_OVERRIDE",$C152,"DEEP_BROKER_ID_OVERRIDE",$F$7,"DEEP_PERIOD_OVERRIDE",K$11)*1,"")))</f>
        <v/>
      </c>
      <c r="L152" s="17" t="str">
        <f ca="1">IF(ISNA($B152),"",IF($B152="","",IFERROR(_xll.BDP(TICKER,"DEEP_MEASURE_PERIOD_BROKER_VALUE","DEEP_MEASURE_ID_OVERRIDE",$C152,"DEEP_BROKER_ID_OVERRIDE",$F$7,"DEEP_PERIOD_OVERRIDE",L$11)*1,"")))</f>
        <v/>
      </c>
      <c r="M152" s="17" t="str">
        <f ca="1">IF(ISNA($B152),"",IF($B152="","",IFERROR(_xll.BDP(TICKER,"DEEP_MEASURE_PERIOD_BROKER_VALUE","DEEP_MEASURE_ID_OVERRIDE",$C152,"DEEP_BROKER_ID_OVERRIDE",$F$7,"DEEP_PERIOD_OVERRIDE",M$11)*1,"")))</f>
        <v/>
      </c>
      <c r="N152" s="17" t="str">
        <f ca="1">IF(ISNA($B152),"",IF($B152="","",IFERROR(_xll.BDP(TICKER,"DEEP_MEASURE_PERIOD_BROKER_VALUE","DEEP_MEASURE_ID_OVERRIDE",$C152,"DEEP_BROKER_ID_OVERRIDE",$F$7,"DEEP_PERIOD_OVERRIDE",N$11)*1,"")))</f>
        <v/>
      </c>
      <c r="O152" s="17" t="str">
        <f ca="1">IF(ISNA($B152),"",IF($B152="","",IFERROR(_xll.BDP(TICKER,"DEEP_MEASURE_PERIOD_BROKER_VALUE","DEEP_MEASURE_ID_OVERRIDE",$C152,"DEEP_BROKER_ID_OVERRIDE",$F$7,"DEEP_PERIOD_OVERRIDE",O$11)*1,"")))</f>
        <v/>
      </c>
      <c r="P152" s="17" t="str">
        <f ca="1">IF(ISNA($B152),"",IF($B152="","",IFERROR(_xll.BDP(TICKER,"DEEP_MEASURE_PERIOD_BROKER_VALUE","DEEP_MEASURE_ID_OVERRIDE",$C152,"DEEP_BROKER_ID_OVERRIDE",$F$7,"DEEP_PERIOD_OVERRIDE",P$11)*1,"")))</f>
        <v/>
      </c>
      <c r="Q152" s="17" t="str">
        <f ca="1">IF(ISNA($B152),"",IF($B152="","",IFERROR(_xll.BDP(TICKER,"DEEP_MEASURE_PERIOD_BROKER_VALUE","DEEP_MEASURE_ID_OVERRIDE",$C152,"DEEP_BROKER_ID_OVERRIDE",$F$7,"DEEP_PERIOD_OVERRIDE",Q$11)*1,"")))</f>
        <v/>
      </c>
      <c r="R152" s="17" t="str">
        <f ca="1">IF(ISNA($B152),"",IF($B152="","",IFERROR(_xll.BDP(TICKER,"DEEP_MEASURE_PERIOD_BROKER_VALUE","DEEP_MEASURE_ID_OVERRIDE",$C152,"DEEP_BROKER_ID_OVERRIDE",$F$7,"DEEP_PERIOD_OVERRIDE",R$11)*1,"")))</f>
        <v/>
      </c>
      <c r="S152" s="17" t="str">
        <f ca="1">IF(ISNA($B152),"",IF($B152="","",IFERROR(_xll.BDP(TICKER,"DEEP_MEASURE_PERIOD_BROKER_VALUE","DEEP_MEASURE_ID_OVERRIDE",$C152,"DEEP_BROKER_ID_OVERRIDE",$F$7,"DEEP_PERIOD_OVERRIDE",S$11)*1,"")))</f>
        <v/>
      </c>
      <c r="T152" s="17" t="str">
        <f ca="1">IF(ISNA($B152),"",IF($B152="","",IFERROR(_xll.BDP(TICKER,"DEEP_MEASURE_PERIOD_BROKER_VALUE","DEEP_MEASURE_ID_OVERRIDE",$C152,"DEEP_BROKER_ID_OVERRIDE",$F$7,"DEEP_PERIOD_OVERRIDE",T$11)*1,"")))</f>
        <v/>
      </c>
      <c r="U152" s="17" t="str">
        <f ca="1">IF(ISNA($B152),"",IF($B152="","",IFERROR(_xll.BDP(TICKER,"DEEP_MEASURE_PERIOD_BROKER_VALUE","DEEP_MEASURE_ID_OVERRIDE",$C152,"DEEP_BROKER_ID_OVERRIDE",$F$7,"DEEP_PERIOD_OVERRIDE",U$11)*1,"")))</f>
        <v/>
      </c>
      <c r="V152" s="17" t="str">
        <f ca="1">IF(ISNA($B152),"",IF($B152="","",IFERROR(_xll.BDP(TICKER,"DEEP_MEASURE_PERIOD_BROKER_VALUE","DEEP_MEASURE_ID_OVERRIDE",$C152,"DEEP_BROKER_ID_OVERRIDE",$F$7,"DEEP_PERIOD_OVERRIDE",V$11)*1,"")))</f>
        <v/>
      </c>
      <c r="W152" s="17" t="str">
        <f ca="1">IF(ISNA($B152),"",IF($B152="","",IFERROR(_xll.BDP(TICKER,"DEEP_MEASURE_PERIOD_BROKER_VALUE","DEEP_MEASURE_ID_OVERRIDE",$C152,"DEEP_BROKER_ID_OVERRIDE",$F$7,"DEEP_PERIOD_OVERRIDE",W$11)*1,"")))</f>
        <v/>
      </c>
      <c r="X152" s="17" t="str">
        <f ca="1">IF(ISNA($B152),"",IF($B152="","",IFERROR(_xll.BDP(TICKER,"DEEP_MEASURE_PERIOD_BROKER_VALUE","DEEP_MEASURE_ID_OVERRIDE",$C152,"DEEP_BROKER_ID_OVERRIDE",$F$7,"DEEP_PERIOD_OVERRIDE",X$11)*1,"")))</f>
        <v/>
      </c>
      <c r="Y152" s="17" t="str">
        <f ca="1">IF(ISNA($B152),"",IF($B152="","",IFERROR(_xll.BDP(TICKER,"DEEP_MEASURE_PERIOD_BROKER_VALUE","DEEP_MEASURE_ID_OVERRIDE",$C152,"DEEP_BROKER_ID_OVERRIDE",$F$7,"DEEP_PERIOD_OVERRIDE",Y$11)*1,"")))</f>
        <v/>
      </c>
      <c r="Z152" s="17" t="str">
        <f ca="1">IF(ISNA($B152),"",IF($B152="","",IFERROR(_xll.BDP(TICKER,"DEEP_MEASURE_PERIOD_BROKER_VALUE","DEEP_MEASURE_ID_OVERRIDE",$C152,"DEEP_BROKER_ID_OVERRIDE",$F$7,"DEEP_PERIOD_OVERRIDE",Z$11)*1,"")))</f>
        <v/>
      </c>
      <c r="AA152" s="17" t="str">
        <f ca="1">IF(ISNA($B152),"",IF($B152="","",IFERROR(_xll.BDP(TICKER,"DEEP_MEASURE_PERIOD_BROKER_VALUE","DEEP_MEASURE_ID_OVERRIDE",$C152,"DEEP_BROKER_ID_OVERRIDE",$F$7,"DEEP_PERIOD_OVERRIDE",AA$11)*1,"")))</f>
        <v/>
      </c>
      <c r="AB152" s="17" t="str">
        <f ca="1">IF(ISNA($B152),"",IF($B152="","",IFERROR(_xll.BDP(TICKER,"DEEP_MEASURE_PERIOD_BROKER_VALUE","DEEP_MEASURE_ID_OVERRIDE",$C152,"DEEP_BROKER_ID_OVERRIDE",$F$7,"DEEP_PERIOD_OVERRIDE",AB$11)*1,"")))</f>
        <v/>
      </c>
      <c r="AC152" s="17" t="str">
        <f ca="1">IF(ISNA($B152),"",IF($B152="","",IFERROR(_xll.BDP(TICKER,"DEEP_MEASURE_PERIOD_BROKER_VALUE","DEEP_MEASURE_ID_OVERRIDE",$C152,"DEEP_BROKER_ID_OVERRIDE",$F$7,"DEEP_PERIOD_OVERRIDE",AC$11)*1,"")))</f>
        <v/>
      </c>
      <c r="AD152" s="17" t="str">
        <f ca="1">IF(ISNA($B152),"",IF($B152="","",IFERROR(_xll.BDP(TICKER,"DEEP_MEASURE_PERIOD_BROKER_VALUE","DEEP_MEASURE_ID_OVERRIDE",$C152,"DEEP_BROKER_ID_OVERRIDE",$F$7,"DEEP_PERIOD_OVERRIDE",AD$11)*1,"")))</f>
        <v/>
      </c>
      <c r="AE152" s="17" t="str">
        <f ca="1">IF(ISNA($B152),"",IF($B152="","",IFERROR(_xll.BDP(TICKER,"DEEP_MEASURE_PERIOD_BROKER_VALUE","DEEP_MEASURE_ID_OVERRIDE",$C152,"DEEP_BROKER_ID_OVERRIDE",$F$7,"DEEP_PERIOD_OVERRIDE",AE$11)*1,"")))</f>
        <v/>
      </c>
      <c r="AF152" s="17" t="str">
        <f ca="1">IF(ISNA($B152),"",IF($B152="","",IFERROR(_xll.BDP(TICKER,"DEEP_MEASURE_PERIOD_BROKER_VALUE","DEEP_MEASURE_ID_OVERRIDE",$C152,"DEEP_BROKER_ID_OVERRIDE",$F$7,"DEEP_PERIOD_OVERRIDE",AF$11)*1,"")))</f>
        <v/>
      </c>
      <c r="AG152" s="17" t="str">
        <f ca="1">IF(ISNA($B152),"",IF($B152="","",IFERROR(_xll.BDP(TICKER,"DEEP_MEASURE_PERIOD_BROKER_VALUE","DEEP_MEASURE_ID_OVERRIDE",$C152,"DEEP_BROKER_ID_OVERRIDE",$F$7,"DEEP_PERIOD_OVERRIDE",AG$11)*1,"")))</f>
        <v/>
      </c>
      <c r="AH152" s="17" t="str">
        <f ca="1">IF(ISNA($B152),"",IF($B152="","",IFERROR(_xll.BDP(TICKER,"DEEP_MEASURE_PERIOD_BROKER_VALUE","DEEP_MEASURE_ID_OVERRIDE",$C152,"DEEP_BROKER_ID_OVERRIDE",$F$7,"DEEP_PERIOD_OVERRIDE",AH$11)*1,"")))</f>
        <v/>
      </c>
      <c r="AI152" s="17" t="str">
        <f ca="1">IF(ISNA($B152),"",IF($B152="","",IFERROR(_xll.BDP(TICKER,"DEEP_MEASURE_PERIOD_BROKER_VALUE","DEEP_MEASURE_ID_OVERRIDE",$C152,"DEEP_BROKER_ID_OVERRIDE",$F$7,"DEEP_PERIOD_OVERRIDE",AI$11)*1,"")))</f>
        <v/>
      </c>
      <c r="AJ152" s="17" t="str">
        <f ca="1">IF(ISNA($B152),"",IF($B152="","",IFERROR(_xll.BDP(TICKER,"DEEP_MEASURE_PERIOD_BROKER_VALUE","DEEP_MEASURE_ID_OVERRIDE",$C152,"DEEP_BROKER_ID_OVERRIDE",$F$7,"DEEP_PERIOD_OVERRIDE",AJ$11)*1,"")))</f>
        <v/>
      </c>
      <c r="AK152" s="17" t="str">
        <f ca="1">IF(ISNA($B152),"",IF($B152="","",IFERROR(_xll.BDP(TICKER,"DEEP_MEASURE_PERIOD_BROKER_VALUE","DEEP_MEASURE_ID_OVERRIDE",$C152,"DEEP_BROKER_ID_OVERRIDE",$F$7,"DEEP_PERIOD_OVERRIDE",AK$11)*1,"")))</f>
        <v/>
      </c>
      <c r="AL152" s="17" t="str">
        <f ca="1">IF(ISNA($B152),"",IF($B152="","",IFERROR(_xll.BDP(TICKER,"DEEP_MEASURE_PERIOD_BROKER_VALUE","DEEP_MEASURE_ID_OVERRIDE",$C152,"DEEP_BROKER_ID_OVERRIDE",$F$7,"DEEP_PERIOD_OVERRIDE",AL$11)*1,"")))</f>
        <v/>
      </c>
      <c r="AM152" s="17" t="str">
        <f ca="1">IF(ISNA($B152),"",IF($B152="","",IFERROR(_xll.BDP(TICKER,"DEEP_MEASURE_PERIOD_BROKER_VALUE","DEEP_MEASURE_ID_OVERRIDE",$C152,"DEEP_BROKER_ID_OVERRIDE",$F$7,"DEEP_PERIOD_OVERRIDE",AM$11)*1,"")))</f>
        <v/>
      </c>
      <c r="AN152" s="17" t="str">
        <f ca="1">IF(ISNA($B152),"",IF($B152="","",IFERROR(_xll.BDP(TICKER,"DEEP_MEASURE_PERIOD_BROKER_VALUE","DEEP_MEASURE_ID_OVERRIDE",$C152,"DEEP_BROKER_ID_OVERRIDE",$F$7,"DEEP_PERIOD_OVERRIDE",AN$11)*1,"")))</f>
        <v/>
      </c>
      <c r="AO152" s="17" t="str">
        <f ca="1">IF(ISNA($B152),"",IF($B152="","",IFERROR(_xll.BDP(TICKER,"DEEP_MEASURE_PERIOD_BROKER_VALUE","DEEP_MEASURE_ID_OVERRIDE",$C152,"DEEP_BROKER_ID_OVERRIDE",$F$7,"DEEP_PERIOD_OVERRIDE",AO$11)*1,"")))</f>
        <v/>
      </c>
      <c r="AP152" s="17" t="str">
        <f ca="1">IF(ISNA($B152),"",IF($B152="","",IFERROR(_xll.BDP(TICKER,"DEEP_MEASURE_PERIOD_BROKER_VALUE","DEEP_MEASURE_ID_OVERRIDE",$C152,"DEEP_BROKER_ID_OVERRIDE",$F$7,"DEEP_PERIOD_OVERRIDE",AP$11)*1,"")))</f>
        <v/>
      </c>
      <c r="AQ152" s="17" t="str">
        <f ca="1">IF(ISNA($B152),"",IF($B152="","",IFERROR(_xll.BDP(TICKER,"DEEP_MEASURE_PERIOD_BROKER_VALUE","DEEP_MEASURE_ID_OVERRIDE",$C152,"DEEP_BROKER_ID_OVERRIDE",$F$7,"DEEP_PERIOD_OVERRIDE",AQ$11)*1,"")))</f>
        <v/>
      </c>
    </row>
    <row r="153" spans="2:43" x14ac:dyDescent="0.25">
      <c r="B153" t="s">
        <v>187</v>
      </c>
      <c r="C153">
        <v>358</v>
      </c>
      <c r="H153" t="str">
        <f t="shared" si="4"/>
        <v>Non-GAAP Metrics &gt; Net Income</v>
      </c>
      <c r="I153" s="17" t="str">
        <f ca="1">IF(ISNA($B153),"",IF($B153="","",IFERROR(_xll.BDP(TICKER,"DEEP_MEASURE_PERIOD_BROKER_VALUE","DEEP_MEASURE_ID_OVERRIDE",$C153,"DEEP_BROKER_ID_OVERRIDE",$F$7,"DEEP_PERIOD_OVERRIDE",I$11)*1,"")))</f>
        <v/>
      </c>
      <c r="J153" s="17" t="str">
        <f ca="1">IF(ISNA($B153),"",IF($B153="","",IFERROR(_xll.BDP(TICKER,"DEEP_MEASURE_PERIOD_BROKER_VALUE","DEEP_MEASURE_ID_OVERRIDE",$C153,"DEEP_BROKER_ID_OVERRIDE",$F$7,"DEEP_PERIOD_OVERRIDE",J$11)*1,"")))</f>
        <v/>
      </c>
      <c r="K153" s="17" t="str">
        <f ca="1">IF(ISNA($B153),"",IF($B153="","",IFERROR(_xll.BDP(TICKER,"DEEP_MEASURE_PERIOD_BROKER_VALUE","DEEP_MEASURE_ID_OVERRIDE",$C153,"DEEP_BROKER_ID_OVERRIDE",$F$7,"DEEP_PERIOD_OVERRIDE",K$11)*1,"")))</f>
        <v/>
      </c>
      <c r="L153" s="17" t="str">
        <f ca="1">IF(ISNA($B153),"",IF($B153="","",IFERROR(_xll.BDP(TICKER,"DEEP_MEASURE_PERIOD_BROKER_VALUE","DEEP_MEASURE_ID_OVERRIDE",$C153,"DEEP_BROKER_ID_OVERRIDE",$F$7,"DEEP_PERIOD_OVERRIDE",L$11)*1,"")))</f>
        <v/>
      </c>
      <c r="M153" s="17" t="str">
        <f ca="1">IF(ISNA($B153),"",IF($B153="","",IFERROR(_xll.BDP(TICKER,"DEEP_MEASURE_PERIOD_BROKER_VALUE","DEEP_MEASURE_ID_OVERRIDE",$C153,"DEEP_BROKER_ID_OVERRIDE",$F$7,"DEEP_PERIOD_OVERRIDE",M$11)*1,"")))</f>
        <v/>
      </c>
      <c r="N153" s="17" t="str">
        <f ca="1">IF(ISNA($B153),"",IF($B153="","",IFERROR(_xll.BDP(TICKER,"DEEP_MEASURE_PERIOD_BROKER_VALUE","DEEP_MEASURE_ID_OVERRIDE",$C153,"DEEP_BROKER_ID_OVERRIDE",$F$7,"DEEP_PERIOD_OVERRIDE",N$11)*1,"")))</f>
        <v/>
      </c>
      <c r="O153" s="17" t="str">
        <f ca="1">IF(ISNA($B153),"",IF($B153="","",IFERROR(_xll.BDP(TICKER,"DEEP_MEASURE_PERIOD_BROKER_VALUE","DEEP_MEASURE_ID_OVERRIDE",$C153,"DEEP_BROKER_ID_OVERRIDE",$F$7,"DEEP_PERIOD_OVERRIDE",O$11)*1,"")))</f>
        <v/>
      </c>
      <c r="P153" s="17" t="str">
        <f ca="1">IF(ISNA($B153),"",IF($B153="","",IFERROR(_xll.BDP(TICKER,"DEEP_MEASURE_PERIOD_BROKER_VALUE","DEEP_MEASURE_ID_OVERRIDE",$C153,"DEEP_BROKER_ID_OVERRIDE",$F$7,"DEEP_PERIOD_OVERRIDE",P$11)*1,"")))</f>
        <v/>
      </c>
      <c r="Q153" s="17" t="str">
        <f ca="1">IF(ISNA($B153),"",IF($B153="","",IFERROR(_xll.BDP(TICKER,"DEEP_MEASURE_PERIOD_BROKER_VALUE","DEEP_MEASURE_ID_OVERRIDE",$C153,"DEEP_BROKER_ID_OVERRIDE",$F$7,"DEEP_PERIOD_OVERRIDE",Q$11)*1,"")))</f>
        <v/>
      </c>
      <c r="R153" s="17" t="str">
        <f ca="1">IF(ISNA($B153),"",IF($B153="","",IFERROR(_xll.BDP(TICKER,"DEEP_MEASURE_PERIOD_BROKER_VALUE","DEEP_MEASURE_ID_OVERRIDE",$C153,"DEEP_BROKER_ID_OVERRIDE",$F$7,"DEEP_PERIOD_OVERRIDE",R$11)*1,"")))</f>
        <v/>
      </c>
      <c r="S153" s="17" t="str">
        <f ca="1">IF(ISNA($B153),"",IF($B153="","",IFERROR(_xll.BDP(TICKER,"DEEP_MEASURE_PERIOD_BROKER_VALUE","DEEP_MEASURE_ID_OVERRIDE",$C153,"DEEP_BROKER_ID_OVERRIDE",$F$7,"DEEP_PERIOD_OVERRIDE",S$11)*1,"")))</f>
        <v/>
      </c>
      <c r="T153" s="17" t="str">
        <f ca="1">IF(ISNA($B153),"",IF($B153="","",IFERROR(_xll.BDP(TICKER,"DEEP_MEASURE_PERIOD_BROKER_VALUE","DEEP_MEASURE_ID_OVERRIDE",$C153,"DEEP_BROKER_ID_OVERRIDE",$F$7,"DEEP_PERIOD_OVERRIDE",T$11)*1,"")))</f>
        <v/>
      </c>
      <c r="U153" s="17" t="str">
        <f ca="1">IF(ISNA($B153),"",IF($B153="","",IFERROR(_xll.BDP(TICKER,"DEEP_MEASURE_PERIOD_BROKER_VALUE","DEEP_MEASURE_ID_OVERRIDE",$C153,"DEEP_BROKER_ID_OVERRIDE",$F$7,"DEEP_PERIOD_OVERRIDE",U$11)*1,"")))</f>
        <v/>
      </c>
      <c r="V153" s="17" t="str">
        <f ca="1">IF(ISNA($B153),"",IF($B153="","",IFERROR(_xll.BDP(TICKER,"DEEP_MEASURE_PERIOD_BROKER_VALUE","DEEP_MEASURE_ID_OVERRIDE",$C153,"DEEP_BROKER_ID_OVERRIDE",$F$7,"DEEP_PERIOD_OVERRIDE",V$11)*1,"")))</f>
        <v/>
      </c>
      <c r="W153" s="17" t="str">
        <f ca="1">IF(ISNA($B153),"",IF($B153="","",IFERROR(_xll.BDP(TICKER,"DEEP_MEASURE_PERIOD_BROKER_VALUE","DEEP_MEASURE_ID_OVERRIDE",$C153,"DEEP_BROKER_ID_OVERRIDE",$F$7,"DEEP_PERIOD_OVERRIDE",W$11)*1,"")))</f>
        <v/>
      </c>
      <c r="X153" s="17" t="str">
        <f ca="1">IF(ISNA($B153),"",IF($B153="","",IFERROR(_xll.BDP(TICKER,"DEEP_MEASURE_PERIOD_BROKER_VALUE","DEEP_MEASURE_ID_OVERRIDE",$C153,"DEEP_BROKER_ID_OVERRIDE",$F$7,"DEEP_PERIOD_OVERRIDE",X$11)*1,"")))</f>
        <v/>
      </c>
      <c r="Y153" s="17" t="str">
        <f ca="1">IF(ISNA($B153),"",IF($B153="","",IFERROR(_xll.BDP(TICKER,"DEEP_MEASURE_PERIOD_BROKER_VALUE","DEEP_MEASURE_ID_OVERRIDE",$C153,"DEEP_BROKER_ID_OVERRIDE",$F$7,"DEEP_PERIOD_OVERRIDE",Y$11)*1,"")))</f>
        <v/>
      </c>
      <c r="Z153" s="17" t="str">
        <f ca="1">IF(ISNA($B153),"",IF($B153="","",IFERROR(_xll.BDP(TICKER,"DEEP_MEASURE_PERIOD_BROKER_VALUE","DEEP_MEASURE_ID_OVERRIDE",$C153,"DEEP_BROKER_ID_OVERRIDE",$F$7,"DEEP_PERIOD_OVERRIDE",Z$11)*1,"")))</f>
        <v/>
      </c>
      <c r="AA153" s="17" t="str">
        <f ca="1">IF(ISNA($B153),"",IF($B153="","",IFERROR(_xll.BDP(TICKER,"DEEP_MEASURE_PERIOD_BROKER_VALUE","DEEP_MEASURE_ID_OVERRIDE",$C153,"DEEP_BROKER_ID_OVERRIDE",$F$7,"DEEP_PERIOD_OVERRIDE",AA$11)*1,"")))</f>
        <v/>
      </c>
      <c r="AB153" s="17" t="str">
        <f ca="1">IF(ISNA($B153),"",IF($B153="","",IFERROR(_xll.BDP(TICKER,"DEEP_MEASURE_PERIOD_BROKER_VALUE","DEEP_MEASURE_ID_OVERRIDE",$C153,"DEEP_BROKER_ID_OVERRIDE",$F$7,"DEEP_PERIOD_OVERRIDE",AB$11)*1,"")))</f>
        <v/>
      </c>
      <c r="AC153" s="17" t="str">
        <f ca="1">IF(ISNA($B153),"",IF($B153="","",IFERROR(_xll.BDP(TICKER,"DEEP_MEASURE_PERIOD_BROKER_VALUE","DEEP_MEASURE_ID_OVERRIDE",$C153,"DEEP_BROKER_ID_OVERRIDE",$F$7,"DEEP_PERIOD_OVERRIDE",AC$11)*1,"")))</f>
        <v/>
      </c>
      <c r="AD153" s="17" t="str">
        <f ca="1">IF(ISNA($B153),"",IF($B153="","",IFERROR(_xll.BDP(TICKER,"DEEP_MEASURE_PERIOD_BROKER_VALUE","DEEP_MEASURE_ID_OVERRIDE",$C153,"DEEP_BROKER_ID_OVERRIDE",$F$7,"DEEP_PERIOD_OVERRIDE",AD$11)*1,"")))</f>
        <v/>
      </c>
      <c r="AE153" s="17" t="str">
        <f ca="1">IF(ISNA($B153),"",IF($B153="","",IFERROR(_xll.BDP(TICKER,"DEEP_MEASURE_PERIOD_BROKER_VALUE","DEEP_MEASURE_ID_OVERRIDE",$C153,"DEEP_BROKER_ID_OVERRIDE",$F$7,"DEEP_PERIOD_OVERRIDE",AE$11)*1,"")))</f>
        <v/>
      </c>
      <c r="AF153" s="17" t="str">
        <f ca="1">IF(ISNA($B153),"",IF($B153="","",IFERROR(_xll.BDP(TICKER,"DEEP_MEASURE_PERIOD_BROKER_VALUE","DEEP_MEASURE_ID_OVERRIDE",$C153,"DEEP_BROKER_ID_OVERRIDE",$F$7,"DEEP_PERIOD_OVERRIDE",AF$11)*1,"")))</f>
        <v/>
      </c>
      <c r="AG153" s="17" t="str">
        <f ca="1">IF(ISNA($B153),"",IF($B153="","",IFERROR(_xll.BDP(TICKER,"DEEP_MEASURE_PERIOD_BROKER_VALUE","DEEP_MEASURE_ID_OVERRIDE",$C153,"DEEP_BROKER_ID_OVERRIDE",$F$7,"DEEP_PERIOD_OVERRIDE",AG$11)*1,"")))</f>
        <v/>
      </c>
      <c r="AH153" s="17" t="str">
        <f ca="1">IF(ISNA($B153),"",IF($B153="","",IFERROR(_xll.BDP(TICKER,"DEEP_MEASURE_PERIOD_BROKER_VALUE","DEEP_MEASURE_ID_OVERRIDE",$C153,"DEEP_BROKER_ID_OVERRIDE",$F$7,"DEEP_PERIOD_OVERRIDE",AH$11)*1,"")))</f>
        <v/>
      </c>
      <c r="AI153" s="17" t="str">
        <f ca="1">IF(ISNA($B153),"",IF($B153="","",IFERROR(_xll.BDP(TICKER,"DEEP_MEASURE_PERIOD_BROKER_VALUE","DEEP_MEASURE_ID_OVERRIDE",$C153,"DEEP_BROKER_ID_OVERRIDE",$F$7,"DEEP_PERIOD_OVERRIDE",AI$11)*1,"")))</f>
        <v/>
      </c>
      <c r="AJ153" s="17" t="str">
        <f ca="1">IF(ISNA($B153),"",IF($B153="","",IFERROR(_xll.BDP(TICKER,"DEEP_MEASURE_PERIOD_BROKER_VALUE","DEEP_MEASURE_ID_OVERRIDE",$C153,"DEEP_BROKER_ID_OVERRIDE",$F$7,"DEEP_PERIOD_OVERRIDE",AJ$11)*1,"")))</f>
        <v/>
      </c>
      <c r="AK153" s="17" t="str">
        <f ca="1">IF(ISNA($B153),"",IF($B153="","",IFERROR(_xll.BDP(TICKER,"DEEP_MEASURE_PERIOD_BROKER_VALUE","DEEP_MEASURE_ID_OVERRIDE",$C153,"DEEP_BROKER_ID_OVERRIDE",$F$7,"DEEP_PERIOD_OVERRIDE",AK$11)*1,"")))</f>
        <v/>
      </c>
      <c r="AL153" s="17" t="str">
        <f ca="1">IF(ISNA($B153),"",IF($B153="","",IFERROR(_xll.BDP(TICKER,"DEEP_MEASURE_PERIOD_BROKER_VALUE","DEEP_MEASURE_ID_OVERRIDE",$C153,"DEEP_BROKER_ID_OVERRIDE",$F$7,"DEEP_PERIOD_OVERRIDE",AL$11)*1,"")))</f>
        <v/>
      </c>
      <c r="AM153" s="17" t="str">
        <f ca="1">IF(ISNA($B153),"",IF($B153="","",IFERROR(_xll.BDP(TICKER,"DEEP_MEASURE_PERIOD_BROKER_VALUE","DEEP_MEASURE_ID_OVERRIDE",$C153,"DEEP_BROKER_ID_OVERRIDE",$F$7,"DEEP_PERIOD_OVERRIDE",AM$11)*1,"")))</f>
        <v/>
      </c>
      <c r="AN153" s="17" t="str">
        <f ca="1">IF(ISNA($B153),"",IF($B153="","",IFERROR(_xll.BDP(TICKER,"DEEP_MEASURE_PERIOD_BROKER_VALUE","DEEP_MEASURE_ID_OVERRIDE",$C153,"DEEP_BROKER_ID_OVERRIDE",$F$7,"DEEP_PERIOD_OVERRIDE",AN$11)*1,"")))</f>
        <v/>
      </c>
      <c r="AO153" s="17" t="str">
        <f ca="1">IF(ISNA($B153),"",IF($B153="","",IFERROR(_xll.BDP(TICKER,"DEEP_MEASURE_PERIOD_BROKER_VALUE","DEEP_MEASURE_ID_OVERRIDE",$C153,"DEEP_BROKER_ID_OVERRIDE",$F$7,"DEEP_PERIOD_OVERRIDE",AO$11)*1,"")))</f>
        <v/>
      </c>
      <c r="AP153" s="17" t="str">
        <f ca="1">IF(ISNA($B153),"",IF($B153="","",IFERROR(_xll.BDP(TICKER,"DEEP_MEASURE_PERIOD_BROKER_VALUE","DEEP_MEASURE_ID_OVERRIDE",$C153,"DEEP_BROKER_ID_OVERRIDE",$F$7,"DEEP_PERIOD_OVERRIDE",AP$11)*1,"")))</f>
        <v/>
      </c>
      <c r="AQ153" s="17" t="str">
        <f ca="1">IF(ISNA($B153),"",IF($B153="","",IFERROR(_xll.BDP(TICKER,"DEEP_MEASURE_PERIOD_BROKER_VALUE","DEEP_MEASURE_ID_OVERRIDE",$C153,"DEEP_BROKER_ID_OVERRIDE",$F$7,"DEEP_PERIOD_OVERRIDE",AQ$11)*1,"")))</f>
        <v/>
      </c>
    </row>
    <row r="154" spans="2:43" x14ac:dyDescent="0.25">
      <c r="B154" t="s">
        <v>188</v>
      </c>
      <c r="C154">
        <v>2769</v>
      </c>
      <c r="H154" t="str">
        <f t="shared" si="4"/>
        <v>Non-GAAP Metrics &gt; Net Income &gt; Net Income Margin (%)</v>
      </c>
      <c r="I154" s="17" t="str">
        <f ca="1">IF(ISNA($B154),"",IF($B154="","",IFERROR(_xll.BDP(TICKER,"DEEP_MEASURE_PERIOD_BROKER_VALUE","DEEP_MEASURE_ID_OVERRIDE",$C154,"DEEP_BROKER_ID_OVERRIDE",$F$7,"DEEP_PERIOD_OVERRIDE",I$11)*1,"")))</f>
        <v/>
      </c>
      <c r="J154" s="17" t="str">
        <f ca="1">IF(ISNA($B154),"",IF($B154="","",IFERROR(_xll.BDP(TICKER,"DEEP_MEASURE_PERIOD_BROKER_VALUE","DEEP_MEASURE_ID_OVERRIDE",$C154,"DEEP_BROKER_ID_OVERRIDE",$F$7,"DEEP_PERIOD_OVERRIDE",J$11)*1,"")))</f>
        <v/>
      </c>
      <c r="K154" s="17" t="str">
        <f ca="1">IF(ISNA($B154),"",IF($B154="","",IFERROR(_xll.BDP(TICKER,"DEEP_MEASURE_PERIOD_BROKER_VALUE","DEEP_MEASURE_ID_OVERRIDE",$C154,"DEEP_BROKER_ID_OVERRIDE",$F$7,"DEEP_PERIOD_OVERRIDE",K$11)*1,"")))</f>
        <v/>
      </c>
      <c r="L154" s="17" t="str">
        <f ca="1">IF(ISNA($B154),"",IF($B154="","",IFERROR(_xll.BDP(TICKER,"DEEP_MEASURE_PERIOD_BROKER_VALUE","DEEP_MEASURE_ID_OVERRIDE",$C154,"DEEP_BROKER_ID_OVERRIDE",$F$7,"DEEP_PERIOD_OVERRIDE",L$11)*1,"")))</f>
        <v/>
      </c>
      <c r="M154" s="17" t="str">
        <f ca="1">IF(ISNA($B154),"",IF($B154="","",IFERROR(_xll.BDP(TICKER,"DEEP_MEASURE_PERIOD_BROKER_VALUE","DEEP_MEASURE_ID_OVERRIDE",$C154,"DEEP_BROKER_ID_OVERRIDE",$F$7,"DEEP_PERIOD_OVERRIDE",M$11)*1,"")))</f>
        <v/>
      </c>
      <c r="N154" s="17" t="str">
        <f ca="1">IF(ISNA($B154),"",IF($B154="","",IFERROR(_xll.BDP(TICKER,"DEEP_MEASURE_PERIOD_BROKER_VALUE","DEEP_MEASURE_ID_OVERRIDE",$C154,"DEEP_BROKER_ID_OVERRIDE",$F$7,"DEEP_PERIOD_OVERRIDE",N$11)*1,"")))</f>
        <v/>
      </c>
      <c r="O154" s="17" t="str">
        <f ca="1">IF(ISNA($B154),"",IF($B154="","",IFERROR(_xll.BDP(TICKER,"DEEP_MEASURE_PERIOD_BROKER_VALUE","DEEP_MEASURE_ID_OVERRIDE",$C154,"DEEP_BROKER_ID_OVERRIDE",$F$7,"DEEP_PERIOD_OVERRIDE",O$11)*1,"")))</f>
        <v/>
      </c>
      <c r="P154" s="17" t="str">
        <f ca="1">IF(ISNA($B154),"",IF($B154="","",IFERROR(_xll.BDP(TICKER,"DEEP_MEASURE_PERIOD_BROKER_VALUE","DEEP_MEASURE_ID_OVERRIDE",$C154,"DEEP_BROKER_ID_OVERRIDE",$F$7,"DEEP_PERIOD_OVERRIDE",P$11)*1,"")))</f>
        <v/>
      </c>
      <c r="Q154" s="17" t="str">
        <f ca="1">IF(ISNA($B154),"",IF($B154="","",IFERROR(_xll.BDP(TICKER,"DEEP_MEASURE_PERIOD_BROKER_VALUE","DEEP_MEASURE_ID_OVERRIDE",$C154,"DEEP_BROKER_ID_OVERRIDE",$F$7,"DEEP_PERIOD_OVERRIDE",Q$11)*1,"")))</f>
        <v/>
      </c>
      <c r="R154" s="17" t="str">
        <f ca="1">IF(ISNA($B154),"",IF($B154="","",IFERROR(_xll.BDP(TICKER,"DEEP_MEASURE_PERIOD_BROKER_VALUE","DEEP_MEASURE_ID_OVERRIDE",$C154,"DEEP_BROKER_ID_OVERRIDE",$F$7,"DEEP_PERIOD_OVERRIDE",R$11)*1,"")))</f>
        <v/>
      </c>
      <c r="S154" s="17" t="str">
        <f ca="1">IF(ISNA($B154),"",IF($B154="","",IFERROR(_xll.BDP(TICKER,"DEEP_MEASURE_PERIOD_BROKER_VALUE","DEEP_MEASURE_ID_OVERRIDE",$C154,"DEEP_BROKER_ID_OVERRIDE",$F$7,"DEEP_PERIOD_OVERRIDE",S$11)*1,"")))</f>
        <v/>
      </c>
      <c r="T154" s="17" t="str">
        <f ca="1">IF(ISNA($B154),"",IF($B154="","",IFERROR(_xll.BDP(TICKER,"DEEP_MEASURE_PERIOD_BROKER_VALUE","DEEP_MEASURE_ID_OVERRIDE",$C154,"DEEP_BROKER_ID_OVERRIDE",$F$7,"DEEP_PERIOD_OVERRIDE",T$11)*1,"")))</f>
        <v/>
      </c>
      <c r="U154" s="17" t="str">
        <f ca="1">IF(ISNA($B154),"",IF($B154="","",IFERROR(_xll.BDP(TICKER,"DEEP_MEASURE_PERIOD_BROKER_VALUE","DEEP_MEASURE_ID_OVERRIDE",$C154,"DEEP_BROKER_ID_OVERRIDE",$F$7,"DEEP_PERIOD_OVERRIDE",U$11)*1,"")))</f>
        <v/>
      </c>
      <c r="V154" s="17" t="str">
        <f ca="1">IF(ISNA($B154),"",IF($B154="","",IFERROR(_xll.BDP(TICKER,"DEEP_MEASURE_PERIOD_BROKER_VALUE","DEEP_MEASURE_ID_OVERRIDE",$C154,"DEEP_BROKER_ID_OVERRIDE",$F$7,"DEEP_PERIOD_OVERRIDE",V$11)*1,"")))</f>
        <v/>
      </c>
      <c r="W154" s="17" t="str">
        <f ca="1">IF(ISNA($B154),"",IF($B154="","",IFERROR(_xll.BDP(TICKER,"DEEP_MEASURE_PERIOD_BROKER_VALUE","DEEP_MEASURE_ID_OVERRIDE",$C154,"DEEP_BROKER_ID_OVERRIDE",$F$7,"DEEP_PERIOD_OVERRIDE",W$11)*1,"")))</f>
        <v/>
      </c>
      <c r="X154" s="17" t="str">
        <f ca="1">IF(ISNA($B154),"",IF($B154="","",IFERROR(_xll.BDP(TICKER,"DEEP_MEASURE_PERIOD_BROKER_VALUE","DEEP_MEASURE_ID_OVERRIDE",$C154,"DEEP_BROKER_ID_OVERRIDE",$F$7,"DEEP_PERIOD_OVERRIDE",X$11)*1,"")))</f>
        <v/>
      </c>
      <c r="Y154" s="17" t="str">
        <f ca="1">IF(ISNA($B154),"",IF($B154="","",IFERROR(_xll.BDP(TICKER,"DEEP_MEASURE_PERIOD_BROKER_VALUE","DEEP_MEASURE_ID_OVERRIDE",$C154,"DEEP_BROKER_ID_OVERRIDE",$F$7,"DEEP_PERIOD_OVERRIDE",Y$11)*1,"")))</f>
        <v/>
      </c>
      <c r="Z154" s="17" t="str">
        <f ca="1">IF(ISNA($B154),"",IF($B154="","",IFERROR(_xll.BDP(TICKER,"DEEP_MEASURE_PERIOD_BROKER_VALUE","DEEP_MEASURE_ID_OVERRIDE",$C154,"DEEP_BROKER_ID_OVERRIDE",$F$7,"DEEP_PERIOD_OVERRIDE",Z$11)*1,"")))</f>
        <v/>
      </c>
      <c r="AA154" s="17" t="str">
        <f ca="1">IF(ISNA($B154),"",IF($B154="","",IFERROR(_xll.BDP(TICKER,"DEEP_MEASURE_PERIOD_BROKER_VALUE","DEEP_MEASURE_ID_OVERRIDE",$C154,"DEEP_BROKER_ID_OVERRIDE",$F$7,"DEEP_PERIOD_OVERRIDE",AA$11)*1,"")))</f>
        <v/>
      </c>
      <c r="AB154" s="17" t="str">
        <f ca="1">IF(ISNA($B154),"",IF($B154="","",IFERROR(_xll.BDP(TICKER,"DEEP_MEASURE_PERIOD_BROKER_VALUE","DEEP_MEASURE_ID_OVERRIDE",$C154,"DEEP_BROKER_ID_OVERRIDE",$F$7,"DEEP_PERIOD_OVERRIDE",AB$11)*1,"")))</f>
        <v/>
      </c>
      <c r="AC154" s="17" t="str">
        <f ca="1">IF(ISNA($B154),"",IF($B154="","",IFERROR(_xll.BDP(TICKER,"DEEP_MEASURE_PERIOD_BROKER_VALUE","DEEP_MEASURE_ID_OVERRIDE",$C154,"DEEP_BROKER_ID_OVERRIDE",$F$7,"DEEP_PERIOD_OVERRIDE",AC$11)*1,"")))</f>
        <v/>
      </c>
      <c r="AD154" s="17" t="str">
        <f ca="1">IF(ISNA($B154),"",IF($B154="","",IFERROR(_xll.BDP(TICKER,"DEEP_MEASURE_PERIOD_BROKER_VALUE","DEEP_MEASURE_ID_OVERRIDE",$C154,"DEEP_BROKER_ID_OVERRIDE",$F$7,"DEEP_PERIOD_OVERRIDE",AD$11)*1,"")))</f>
        <v/>
      </c>
      <c r="AE154" s="17" t="str">
        <f ca="1">IF(ISNA($B154),"",IF($B154="","",IFERROR(_xll.BDP(TICKER,"DEEP_MEASURE_PERIOD_BROKER_VALUE","DEEP_MEASURE_ID_OVERRIDE",$C154,"DEEP_BROKER_ID_OVERRIDE",$F$7,"DEEP_PERIOD_OVERRIDE",AE$11)*1,"")))</f>
        <v/>
      </c>
      <c r="AF154" s="17" t="str">
        <f ca="1">IF(ISNA($B154),"",IF($B154="","",IFERROR(_xll.BDP(TICKER,"DEEP_MEASURE_PERIOD_BROKER_VALUE","DEEP_MEASURE_ID_OVERRIDE",$C154,"DEEP_BROKER_ID_OVERRIDE",$F$7,"DEEP_PERIOD_OVERRIDE",AF$11)*1,"")))</f>
        <v/>
      </c>
      <c r="AG154" s="17" t="str">
        <f ca="1">IF(ISNA($B154),"",IF($B154="","",IFERROR(_xll.BDP(TICKER,"DEEP_MEASURE_PERIOD_BROKER_VALUE","DEEP_MEASURE_ID_OVERRIDE",$C154,"DEEP_BROKER_ID_OVERRIDE",$F$7,"DEEP_PERIOD_OVERRIDE",AG$11)*1,"")))</f>
        <v/>
      </c>
      <c r="AH154" s="17" t="str">
        <f ca="1">IF(ISNA($B154),"",IF($B154="","",IFERROR(_xll.BDP(TICKER,"DEEP_MEASURE_PERIOD_BROKER_VALUE","DEEP_MEASURE_ID_OVERRIDE",$C154,"DEEP_BROKER_ID_OVERRIDE",$F$7,"DEEP_PERIOD_OVERRIDE",AH$11)*1,"")))</f>
        <v/>
      </c>
      <c r="AI154" s="17" t="str">
        <f ca="1">IF(ISNA($B154),"",IF($B154="","",IFERROR(_xll.BDP(TICKER,"DEEP_MEASURE_PERIOD_BROKER_VALUE","DEEP_MEASURE_ID_OVERRIDE",$C154,"DEEP_BROKER_ID_OVERRIDE",$F$7,"DEEP_PERIOD_OVERRIDE",AI$11)*1,"")))</f>
        <v/>
      </c>
      <c r="AJ154" s="17" t="str">
        <f ca="1">IF(ISNA($B154),"",IF($B154="","",IFERROR(_xll.BDP(TICKER,"DEEP_MEASURE_PERIOD_BROKER_VALUE","DEEP_MEASURE_ID_OVERRIDE",$C154,"DEEP_BROKER_ID_OVERRIDE",$F$7,"DEEP_PERIOD_OVERRIDE",AJ$11)*1,"")))</f>
        <v/>
      </c>
      <c r="AK154" s="17" t="str">
        <f ca="1">IF(ISNA($B154),"",IF($B154="","",IFERROR(_xll.BDP(TICKER,"DEEP_MEASURE_PERIOD_BROKER_VALUE","DEEP_MEASURE_ID_OVERRIDE",$C154,"DEEP_BROKER_ID_OVERRIDE",$F$7,"DEEP_PERIOD_OVERRIDE",AK$11)*1,"")))</f>
        <v/>
      </c>
      <c r="AL154" s="17" t="str">
        <f ca="1">IF(ISNA($B154),"",IF($B154="","",IFERROR(_xll.BDP(TICKER,"DEEP_MEASURE_PERIOD_BROKER_VALUE","DEEP_MEASURE_ID_OVERRIDE",$C154,"DEEP_BROKER_ID_OVERRIDE",$F$7,"DEEP_PERIOD_OVERRIDE",AL$11)*1,"")))</f>
        <v/>
      </c>
      <c r="AM154" s="17" t="str">
        <f ca="1">IF(ISNA($B154),"",IF($B154="","",IFERROR(_xll.BDP(TICKER,"DEEP_MEASURE_PERIOD_BROKER_VALUE","DEEP_MEASURE_ID_OVERRIDE",$C154,"DEEP_BROKER_ID_OVERRIDE",$F$7,"DEEP_PERIOD_OVERRIDE",AM$11)*1,"")))</f>
        <v/>
      </c>
      <c r="AN154" s="17" t="str">
        <f ca="1">IF(ISNA($B154),"",IF($B154="","",IFERROR(_xll.BDP(TICKER,"DEEP_MEASURE_PERIOD_BROKER_VALUE","DEEP_MEASURE_ID_OVERRIDE",$C154,"DEEP_BROKER_ID_OVERRIDE",$F$7,"DEEP_PERIOD_OVERRIDE",AN$11)*1,"")))</f>
        <v/>
      </c>
      <c r="AO154" s="17" t="str">
        <f ca="1">IF(ISNA($B154),"",IF($B154="","",IFERROR(_xll.BDP(TICKER,"DEEP_MEASURE_PERIOD_BROKER_VALUE","DEEP_MEASURE_ID_OVERRIDE",$C154,"DEEP_BROKER_ID_OVERRIDE",$F$7,"DEEP_PERIOD_OVERRIDE",AO$11)*1,"")))</f>
        <v/>
      </c>
      <c r="AP154" s="17" t="str">
        <f ca="1">IF(ISNA($B154),"",IF($B154="","",IFERROR(_xll.BDP(TICKER,"DEEP_MEASURE_PERIOD_BROKER_VALUE","DEEP_MEASURE_ID_OVERRIDE",$C154,"DEEP_BROKER_ID_OVERRIDE",$F$7,"DEEP_PERIOD_OVERRIDE",AP$11)*1,"")))</f>
        <v/>
      </c>
      <c r="AQ154" s="17" t="str">
        <f ca="1">IF(ISNA($B154),"",IF($B154="","",IFERROR(_xll.BDP(TICKER,"DEEP_MEASURE_PERIOD_BROKER_VALUE","DEEP_MEASURE_ID_OVERRIDE",$C154,"DEEP_BROKER_ID_OVERRIDE",$F$7,"DEEP_PERIOD_OVERRIDE",AQ$11)*1,"")))</f>
        <v/>
      </c>
    </row>
    <row r="155" spans="2:43" x14ac:dyDescent="0.25">
      <c r="B155" t="s">
        <v>189</v>
      </c>
      <c r="C155">
        <v>359</v>
      </c>
      <c r="H155" t="str">
        <f t="shared" si="4"/>
        <v>Non-GAAP Metrics &gt; Diluted Shares Outstanding</v>
      </c>
      <c r="I155" s="17" t="str">
        <f ca="1">IF(ISNA($B155),"",IF($B155="","",IFERROR(_xll.BDP(TICKER,"DEEP_MEASURE_PERIOD_BROKER_VALUE","DEEP_MEASURE_ID_OVERRIDE",$C155,"DEEP_BROKER_ID_OVERRIDE",$F$7,"DEEP_PERIOD_OVERRIDE",I$11)*1,"")))</f>
        <v/>
      </c>
      <c r="J155" s="17" t="str">
        <f ca="1">IF(ISNA($B155),"",IF($B155="","",IFERROR(_xll.BDP(TICKER,"DEEP_MEASURE_PERIOD_BROKER_VALUE","DEEP_MEASURE_ID_OVERRIDE",$C155,"DEEP_BROKER_ID_OVERRIDE",$F$7,"DEEP_PERIOD_OVERRIDE",J$11)*1,"")))</f>
        <v/>
      </c>
      <c r="K155" s="17" t="str">
        <f ca="1">IF(ISNA($B155),"",IF($B155="","",IFERROR(_xll.BDP(TICKER,"DEEP_MEASURE_PERIOD_BROKER_VALUE","DEEP_MEASURE_ID_OVERRIDE",$C155,"DEEP_BROKER_ID_OVERRIDE",$F$7,"DEEP_PERIOD_OVERRIDE",K$11)*1,"")))</f>
        <v/>
      </c>
      <c r="L155" s="17" t="str">
        <f ca="1">IF(ISNA($B155),"",IF($B155="","",IFERROR(_xll.BDP(TICKER,"DEEP_MEASURE_PERIOD_BROKER_VALUE","DEEP_MEASURE_ID_OVERRIDE",$C155,"DEEP_BROKER_ID_OVERRIDE",$F$7,"DEEP_PERIOD_OVERRIDE",L$11)*1,"")))</f>
        <v/>
      </c>
      <c r="M155" s="17" t="str">
        <f ca="1">IF(ISNA($B155),"",IF($B155="","",IFERROR(_xll.BDP(TICKER,"DEEP_MEASURE_PERIOD_BROKER_VALUE","DEEP_MEASURE_ID_OVERRIDE",$C155,"DEEP_BROKER_ID_OVERRIDE",$F$7,"DEEP_PERIOD_OVERRIDE",M$11)*1,"")))</f>
        <v/>
      </c>
      <c r="N155" s="17" t="str">
        <f ca="1">IF(ISNA($B155),"",IF($B155="","",IFERROR(_xll.BDP(TICKER,"DEEP_MEASURE_PERIOD_BROKER_VALUE","DEEP_MEASURE_ID_OVERRIDE",$C155,"DEEP_BROKER_ID_OVERRIDE",$F$7,"DEEP_PERIOD_OVERRIDE",N$11)*1,"")))</f>
        <v/>
      </c>
      <c r="O155" s="17" t="str">
        <f ca="1">IF(ISNA($B155),"",IF($B155="","",IFERROR(_xll.BDP(TICKER,"DEEP_MEASURE_PERIOD_BROKER_VALUE","DEEP_MEASURE_ID_OVERRIDE",$C155,"DEEP_BROKER_ID_OVERRIDE",$F$7,"DEEP_PERIOD_OVERRIDE",O$11)*1,"")))</f>
        <v/>
      </c>
      <c r="P155" s="17" t="str">
        <f ca="1">IF(ISNA($B155),"",IF($B155="","",IFERROR(_xll.BDP(TICKER,"DEEP_MEASURE_PERIOD_BROKER_VALUE","DEEP_MEASURE_ID_OVERRIDE",$C155,"DEEP_BROKER_ID_OVERRIDE",$F$7,"DEEP_PERIOD_OVERRIDE",P$11)*1,"")))</f>
        <v/>
      </c>
      <c r="Q155" s="17" t="str">
        <f ca="1">IF(ISNA($B155),"",IF($B155="","",IFERROR(_xll.BDP(TICKER,"DEEP_MEASURE_PERIOD_BROKER_VALUE","DEEP_MEASURE_ID_OVERRIDE",$C155,"DEEP_BROKER_ID_OVERRIDE",$F$7,"DEEP_PERIOD_OVERRIDE",Q$11)*1,"")))</f>
        <v/>
      </c>
      <c r="R155" s="17" t="str">
        <f ca="1">IF(ISNA($B155),"",IF($B155="","",IFERROR(_xll.BDP(TICKER,"DEEP_MEASURE_PERIOD_BROKER_VALUE","DEEP_MEASURE_ID_OVERRIDE",$C155,"DEEP_BROKER_ID_OVERRIDE",$F$7,"DEEP_PERIOD_OVERRIDE",R$11)*1,"")))</f>
        <v/>
      </c>
      <c r="S155" s="17" t="str">
        <f ca="1">IF(ISNA($B155),"",IF($B155="","",IFERROR(_xll.BDP(TICKER,"DEEP_MEASURE_PERIOD_BROKER_VALUE","DEEP_MEASURE_ID_OVERRIDE",$C155,"DEEP_BROKER_ID_OVERRIDE",$F$7,"DEEP_PERIOD_OVERRIDE",S$11)*1,"")))</f>
        <v/>
      </c>
      <c r="T155" s="17" t="str">
        <f ca="1">IF(ISNA($B155),"",IF($B155="","",IFERROR(_xll.BDP(TICKER,"DEEP_MEASURE_PERIOD_BROKER_VALUE","DEEP_MEASURE_ID_OVERRIDE",$C155,"DEEP_BROKER_ID_OVERRIDE",$F$7,"DEEP_PERIOD_OVERRIDE",T$11)*1,"")))</f>
        <v/>
      </c>
      <c r="U155" s="17" t="str">
        <f ca="1">IF(ISNA($B155),"",IF($B155="","",IFERROR(_xll.BDP(TICKER,"DEEP_MEASURE_PERIOD_BROKER_VALUE","DEEP_MEASURE_ID_OVERRIDE",$C155,"DEEP_BROKER_ID_OVERRIDE",$F$7,"DEEP_PERIOD_OVERRIDE",U$11)*1,"")))</f>
        <v/>
      </c>
      <c r="V155" s="17" t="str">
        <f ca="1">IF(ISNA($B155),"",IF($B155="","",IFERROR(_xll.BDP(TICKER,"DEEP_MEASURE_PERIOD_BROKER_VALUE","DEEP_MEASURE_ID_OVERRIDE",$C155,"DEEP_BROKER_ID_OVERRIDE",$F$7,"DEEP_PERIOD_OVERRIDE",V$11)*1,"")))</f>
        <v/>
      </c>
      <c r="W155" s="17" t="str">
        <f ca="1">IF(ISNA($B155),"",IF($B155="","",IFERROR(_xll.BDP(TICKER,"DEEP_MEASURE_PERIOD_BROKER_VALUE","DEEP_MEASURE_ID_OVERRIDE",$C155,"DEEP_BROKER_ID_OVERRIDE",$F$7,"DEEP_PERIOD_OVERRIDE",W$11)*1,"")))</f>
        <v/>
      </c>
      <c r="X155" s="17" t="str">
        <f ca="1">IF(ISNA($B155),"",IF($B155="","",IFERROR(_xll.BDP(TICKER,"DEEP_MEASURE_PERIOD_BROKER_VALUE","DEEP_MEASURE_ID_OVERRIDE",$C155,"DEEP_BROKER_ID_OVERRIDE",$F$7,"DEEP_PERIOD_OVERRIDE",X$11)*1,"")))</f>
        <v/>
      </c>
      <c r="Y155" s="17" t="str">
        <f ca="1">IF(ISNA($B155),"",IF($B155="","",IFERROR(_xll.BDP(TICKER,"DEEP_MEASURE_PERIOD_BROKER_VALUE","DEEP_MEASURE_ID_OVERRIDE",$C155,"DEEP_BROKER_ID_OVERRIDE",$F$7,"DEEP_PERIOD_OVERRIDE",Y$11)*1,"")))</f>
        <v/>
      </c>
      <c r="Z155" s="17" t="str">
        <f ca="1">IF(ISNA($B155),"",IF($B155="","",IFERROR(_xll.BDP(TICKER,"DEEP_MEASURE_PERIOD_BROKER_VALUE","DEEP_MEASURE_ID_OVERRIDE",$C155,"DEEP_BROKER_ID_OVERRIDE",$F$7,"DEEP_PERIOD_OVERRIDE",Z$11)*1,"")))</f>
        <v/>
      </c>
      <c r="AA155" s="17" t="str">
        <f ca="1">IF(ISNA($B155),"",IF($B155="","",IFERROR(_xll.BDP(TICKER,"DEEP_MEASURE_PERIOD_BROKER_VALUE","DEEP_MEASURE_ID_OVERRIDE",$C155,"DEEP_BROKER_ID_OVERRIDE",$F$7,"DEEP_PERIOD_OVERRIDE",AA$11)*1,"")))</f>
        <v/>
      </c>
      <c r="AB155" s="17" t="str">
        <f ca="1">IF(ISNA($B155),"",IF($B155="","",IFERROR(_xll.BDP(TICKER,"DEEP_MEASURE_PERIOD_BROKER_VALUE","DEEP_MEASURE_ID_OVERRIDE",$C155,"DEEP_BROKER_ID_OVERRIDE",$F$7,"DEEP_PERIOD_OVERRIDE",AB$11)*1,"")))</f>
        <v/>
      </c>
      <c r="AC155" s="17" t="str">
        <f ca="1">IF(ISNA($B155),"",IF($B155="","",IFERROR(_xll.BDP(TICKER,"DEEP_MEASURE_PERIOD_BROKER_VALUE","DEEP_MEASURE_ID_OVERRIDE",$C155,"DEEP_BROKER_ID_OVERRIDE",$F$7,"DEEP_PERIOD_OVERRIDE",AC$11)*1,"")))</f>
        <v/>
      </c>
      <c r="AD155" s="17" t="str">
        <f ca="1">IF(ISNA($B155),"",IF($B155="","",IFERROR(_xll.BDP(TICKER,"DEEP_MEASURE_PERIOD_BROKER_VALUE","DEEP_MEASURE_ID_OVERRIDE",$C155,"DEEP_BROKER_ID_OVERRIDE",$F$7,"DEEP_PERIOD_OVERRIDE",AD$11)*1,"")))</f>
        <v/>
      </c>
      <c r="AE155" s="17" t="str">
        <f ca="1">IF(ISNA($B155),"",IF($B155="","",IFERROR(_xll.BDP(TICKER,"DEEP_MEASURE_PERIOD_BROKER_VALUE","DEEP_MEASURE_ID_OVERRIDE",$C155,"DEEP_BROKER_ID_OVERRIDE",$F$7,"DEEP_PERIOD_OVERRIDE",AE$11)*1,"")))</f>
        <v/>
      </c>
      <c r="AF155" s="17" t="str">
        <f ca="1">IF(ISNA($B155),"",IF($B155="","",IFERROR(_xll.BDP(TICKER,"DEEP_MEASURE_PERIOD_BROKER_VALUE","DEEP_MEASURE_ID_OVERRIDE",$C155,"DEEP_BROKER_ID_OVERRIDE",$F$7,"DEEP_PERIOD_OVERRIDE",AF$11)*1,"")))</f>
        <v/>
      </c>
      <c r="AG155" s="17" t="str">
        <f ca="1">IF(ISNA($B155),"",IF($B155="","",IFERROR(_xll.BDP(TICKER,"DEEP_MEASURE_PERIOD_BROKER_VALUE","DEEP_MEASURE_ID_OVERRIDE",$C155,"DEEP_BROKER_ID_OVERRIDE",$F$7,"DEEP_PERIOD_OVERRIDE",AG$11)*1,"")))</f>
        <v/>
      </c>
      <c r="AH155" s="17" t="str">
        <f ca="1">IF(ISNA($B155),"",IF($B155="","",IFERROR(_xll.BDP(TICKER,"DEEP_MEASURE_PERIOD_BROKER_VALUE","DEEP_MEASURE_ID_OVERRIDE",$C155,"DEEP_BROKER_ID_OVERRIDE",$F$7,"DEEP_PERIOD_OVERRIDE",AH$11)*1,"")))</f>
        <v/>
      </c>
      <c r="AI155" s="17" t="str">
        <f ca="1">IF(ISNA($B155),"",IF($B155="","",IFERROR(_xll.BDP(TICKER,"DEEP_MEASURE_PERIOD_BROKER_VALUE","DEEP_MEASURE_ID_OVERRIDE",$C155,"DEEP_BROKER_ID_OVERRIDE",$F$7,"DEEP_PERIOD_OVERRIDE",AI$11)*1,"")))</f>
        <v/>
      </c>
      <c r="AJ155" s="17" t="str">
        <f ca="1">IF(ISNA($B155),"",IF($B155="","",IFERROR(_xll.BDP(TICKER,"DEEP_MEASURE_PERIOD_BROKER_VALUE","DEEP_MEASURE_ID_OVERRIDE",$C155,"DEEP_BROKER_ID_OVERRIDE",$F$7,"DEEP_PERIOD_OVERRIDE",AJ$11)*1,"")))</f>
        <v/>
      </c>
      <c r="AK155" s="17" t="str">
        <f ca="1">IF(ISNA($B155),"",IF($B155="","",IFERROR(_xll.BDP(TICKER,"DEEP_MEASURE_PERIOD_BROKER_VALUE","DEEP_MEASURE_ID_OVERRIDE",$C155,"DEEP_BROKER_ID_OVERRIDE",$F$7,"DEEP_PERIOD_OVERRIDE",AK$11)*1,"")))</f>
        <v/>
      </c>
      <c r="AL155" s="17" t="str">
        <f ca="1">IF(ISNA($B155),"",IF($B155="","",IFERROR(_xll.BDP(TICKER,"DEEP_MEASURE_PERIOD_BROKER_VALUE","DEEP_MEASURE_ID_OVERRIDE",$C155,"DEEP_BROKER_ID_OVERRIDE",$F$7,"DEEP_PERIOD_OVERRIDE",AL$11)*1,"")))</f>
        <v/>
      </c>
      <c r="AM155" s="17" t="str">
        <f ca="1">IF(ISNA($B155),"",IF($B155="","",IFERROR(_xll.BDP(TICKER,"DEEP_MEASURE_PERIOD_BROKER_VALUE","DEEP_MEASURE_ID_OVERRIDE",$C155,"DEEP_BROKER_ID_OVERRIDE",$F$7,"DEEP_PERIOD_OVERRIDE",AM$11)*1,"")))</f>
        <v/>
      </c>
      <c r="AN155" s="17" t="str">
        <f ca="1">IF(ISNA($B155),"",IF($B155="","",IFERROR(_xll.BDP(TICKER,"DEEP_MEASURE_PERIOD_BROKER_VALUE","DEEP_MEASURE_ID_OVERRIDE",$C155,"DEEP_BROKER_ID_OVERRIDE",$F$7,"DEEP_PERIOD_OVERRIDE",AN$11)*1,"")))</f>
        <v/>
      </c>
      <c r="AO155" s="17" t="str">
        <f ca="1">IF(ISNA($B155),"",IF($B155="","",IFERROR(_xll.BDP(TICKER,"DEEP_MEASURE_PERIOD_BROKER_VALUE","DEEP_MEASURE_ID_OVERRIDE",$C155,"DEEP_BROKER_ID_OVERRIDE",$F$7,"DEEP_PERIOD_OVERRIDE",AO$11)*1,"")))</f>
        <v/>
      </c>
      <c r="AP155" s="17" t="str">
        <f ca="1">IF(ISNA($B155),"",IF($B155="","",IFERROR(_xll.BDP(TICKER,"DEEP_MEASURE_PERIOD_BROKER_VALUE","DEEP_MEASURE_ID_OVERRIDE",$C155,"DEEP_BROKER_ID_OVERRIDE",$F$7,"DEEP_PERIOD_OVERRIDE",AP$11)*1,"")))</f>
        <v/>
      </c>
      <c r="AQ155" s="17" t="str">
        <f ca="1">IF(ISNA($B155),"",IF($B155="","",IFERROR(_xll.BDP(TICKER,"DEEP_MEASURE_PERIOD_BROKER_VALUE","DEEP_MEASURE_ID_OVERRIDE",$C155,"DEEP_BROKER_ID_OVERRIDE",$F$7,"DEEP_PERIOD_OVERRIDE",AQ$11)*1,"")))</f>
        <v/>
      </c>
    </row>
    <row r="156" spans="2:43" x14ac:dyDescent="0.25">
      <c r="B156" t="s">
        <v>190</v>
      </c>
      <c r="C156">
        <v>364</v>
      </c>
      <c r="H156" t="str">
        <f t="shared" si="4"/>
        <v>Non-GAAP Metrics &gt; Diluted EPS</v>
      </c>
      <c r="I156" s="17" t="str">
        <f ca="1">IF(ISNA($B156),"",IF($B156="","",IFERROR(_xll.BDP(TICKER,"DEEP_MEASURE_PERIOD_BROKER_VALUE","DEEP_MEASURE_ID_OVERRIDE",$C156,"DEEP_BROKER_ID_OVERRIDE",$F$7,"DEEP_PERIOD_OVERRIDE",I$11)*1,"")))</f>
        <v/>
      </c>
      <c r="J156" s="17" t="str">
        <f ca="1">IF(ISNA($B156),"",IF($B156="","",IFERROR(_xll.BDP(TICKER,"DEEP_MEASURE_PERIOD_BROKER_VALUE","DEEP_MEASURE_ID_OVERRIDE",$C156,"DEEP_BROKER_ID_OVERRIDE",$F$7,"DEEP_PERIOD_OVERRIDE",J$11)*1,"")))</f>
        <v/>
      </c>
      <c r="K156" s="17" t="str">
        <f ca="1">IF(ISNA($B156),"",IF($B156="","",IFERROR(_xll.BDP(TICKER,"DEEP_MEASURE_PERIOD_BROKER_VALUE","DEEP_MEASURE_ID_OVERRIDE",$C156,"DEEP_BROKER_ID_OVERRIDE",$F$7,"DEEP_PERIOD_OVERRIDE",K$11)*1,"")))</f>
        <v/>
      </c>
      <c r="L156" s="17" t="str">
        <f ca="1">IF(ISNA($B156),"",IF($B156="","",IFERROR(_xll.BDP(TICKER,"DEEP_MEASURE_PERIOD_BROKER_VALUE","DEEP_MEASURE_ID_OVERRIDE",$C156,"DEEP_BROKER_ID_OVERRIDE",$F$7,"DEEP_PERIOD_OVERRIDE",L$11)*1,"")))</f>
        <v/>
      </c>
      <c r="M156" s="17" t="str">
        <f ca="1">IF(ISNA($B156),"",IF($B156="","",IFERROR(_xll.BDP(TICKER,"DEEP_MEASURE_PERIOD_BROKER_VALUE","DEEP_MEASURE_ID_OVERRIDE",$C156,"DEEP_BROKER_ID_OVERRIDE",$F$7,"DEEP_PERIOD_OVERRIDE",M$11)*1,"")))</f>
        <v/>
      </c>
      <c r="N156" s="17" t="str">
        <f ca="1">IF(ISNA($B156),"",IF($B156="","",IFERROR(_xll.BDP(TICKER,"DEEP_MEASURE_PERIOD_BROKER_VALUE","DEEP_MEASURE_ID_OVERRIDE",$C156,"DEEP_BROKER_ID_OVERRIDE",$F$7,"DEEP_PERIOD_OVERRIDE",N$11)*1,"")))</f>
        <v/>
      </c>
      <c r="O156" s="17" t="str">
        <f ca="1">IF(ISNA($B156),"",IF($B156="","",IFERROR(_xll.BDP(TICKER,"DEEP_MEASURE_PERIOD_BROKER_VALUE","DEEP_MEASURE_ID_OVERRIDE",$C156,"DEEP_BROKER_ID_OVERRIDE",$F$7,"DEEP_PERIOD_OVERRIDE",O$11)*1,"")))</f>
        <v/>
      </c>
      <c r="P156" s="17" t="str">
        <f ca="1">IF(ISNA($B156),"",IF($B156="","",IFERROR(_xll.BDP(TICKER,"DEEP_MEASURE_PERIOD_BROKER_VALUE","DEEP_MEASURE_ID_OVERRIDE",$C156,"DEEP_BROKER_ID_OVERRIDE",$F$7,"DEEP_PERIOD_OVERRIDE",P$11)*1,"")))</f>
        <v/>
      </c>
      <c r="Q156" s="17" t="str">
        <f ca="1">IF(ISNA($B156),"",IF($B156="","",IFERROR(_xll.BDP(TICKER,"DEEP_MEASURE_PERIOD_BROKER_VALUE","DEEP_MEASURE_ID_OVERRIDE",$C156,"DEEP_BROKER_ID_OVERRIDE",$F$7,"DEEP_PERIOD_OVERRIDE",Q$11)*1,"")))</f>
        <v/>
      </c>
      <c r="R156" s="17" t="str">
        <f ca="1">IF(ISNA($B156),"",IF($B156="","",IFERROR(_xll.BDP(TICKER,"DEEP_MEASURE_PERIOD_BROKER_VALUE","DEEP_MEASURE_ID_OVERRIDE",$C156,"DEEP_BROKER_ID_OVERRIDE",$F$7,"DEEP_PERIOD_OVERRIDE",R$11)*1,"")))</f>
        <v/>
      </c>
      <c r="S156" s="17" t="str">
        <f ca="1">IF(ISNA($B156),"",IF($B156="","",IFERROR(_xll.BDP(TICKER,"DEEP_MEASURE_PERIOD_BROKER_VALUE","DEEP_MEASURE_ID_OVERRIDE",$C156,"DEEP_BROKER_ID_OVERRIDE",$F$7,"DEEP_PERIOD_OVERRIDE",S$11)*1,"")))</f>
        <v/>
      </c>
      <c r="T156" s="17" t="str">
        <f ca="1">IF(ISNA($B156),"",IF($B156="","",IFERROR(_xll.BDP(TICKER,"DEEP_MEASURE_PERIOD_BROKER_VALUE","DEEP_MEASURE_ID_OVERRIDE",$C156,"DEEP_BROKER_ID_OVERRIDE",$F$7,"DEEP_PERIOD_OVERRIDE",T$11)*1,"")))</f>
        <v/>
      </c>
      <c r="U156" s="17" t="str">
        <f ca="1">IF(ISNA($B156),"",IF($B156="","",IFERROR(_xll.BDP(TICKER,"DEEP_MEASURE_PERIOD_BROKER_VALUE","DEEP_MEASURE_ID_OVERRIDE",$C156,"DEEP_BROKER_ID_OVERRIDE",$F$7,"DEEP_PERIOD_OVERRIDE",U$11)*1,"")))</f>
        <v/>
      </c>
      <c r="V156" s="17" t="str">
        <f ca="1">IF(ISNA($B156),"",IF($B156="","",IFERROR(_xll.BDP(TICKER,"DEEP_MEASURE_PERIOD_BROKER_VALUE","DEEP_MEASURE_ID_OVERRIDE",$C156,"DEEP_BROKER_ID_OVERRIDE",$F$7,"DEEP_PERIOD_OVERRIDE",V$11)*1,"")))</f>
        <v/>
      </c>
      <c r="W156" s="17" t="str">
        <f ca="1">IF(ISNA($B156),"",IF($B156="","",IFERROR(_xll.BDP(TICKER,"DEEP_MEASURE_PERIOD_BROKER_VALUE","DEEP_MEASURE_ID_OVERRIDE",$C156,"DEEP_BROKER_ID_OVERRIDE",$F$7,"DEEP_PERIOD_OVERRIDE",W$11)*1,"")))</f>
        <v/>
      </c>
      <c r="X156" s="17" t="str">
        <f ca="1">IF(ISNA($B156),"",IF($B156="","",IFERROR(_xll.BDP(TICKER,"DEEP_MEASURE_PERIOD_BROKER_VALUE","DEEP_MEASURE_ID_OVERRIDE",$C156,"DEEP_BROKER_ID_OVERRIDE",$F$7,"DEEP_PERIOD_OVERRIDE",X$11)*1,"")))</f>
        <v/>
      </c>
      <c r="Y156" s="17" t="str">
        <f ca="1">IF(ISNA($B156),"",IF($B156="","",IFERROR(_xll.BDP(TICKER,"DEEP_MEASURE_PERIOD_BROKER_VALUE","DEEP_MEASURE_ID_OVERRIDE",$C156,"DEEP_BROKER_ID_OVERRIDE",$F$7,"DEEP_PERIOD_OVERRIDE",Y$11)*1,"")))</f>
        <v/>
      </c>
      <c r="Z156" s="17" t="str">
        <f ca="1">IF(ISNA($B156),"",IF($B156="","",IFERROR(_xll.BDP(TICKER,"DEEP_MEASURE_PERIOD_BROKER_VALUE","DEEP_MEASURE_ID_OVERRIDE",$C156,"DEEP_BROKER_ID_OVERRIDE",$F$7,"DEEP_PERIOD_OVERRIDE",Z$11)*1,"")))</f>
        <v/>
      </c>
      <c r="AA156" s="17" t="str">
        <f ca="1">IF(ISNA($B156),"",IF($B156="","",IFERROR(_xll.BDP(TICKER,"DEEP_MEASURE_PERIOD_BROKER_VALUE","DEEP_MEASURE_ID_OVERRIDE",$C156,"DEEP_BROKER_ID_OVERRIDE",$F$7,"DEEP_PERIOD_OVERRIDE",AA$11)*1,"")))</f>
        <v/>
      </c>
      <c r="AB156" s="17" t="str">
        <f ca="1">IF(ISNA($B156),"",IF($B156="","",IFERROR(_xll.BDP(TICKER,"DEEP_MEASURE_PERIOD_BROKER_VALUE","DEEP_MEASURE_ID_OVERRIDE",$C156,"DEEP_BROKER_ID_OVERRIDE",$F$7,"DEEP_PERIOD_OVERRIDE",AB$11)*1,"")))</f>
        <v/>
      </c>
      <c r="AC156" s="17" t="str">
        <f ca="1">IF(ISNA($B156),"",IF($B156="","",IFERROR(_xll.BDP(TICKER,"DEEP_MEASURE_PERIOD_BROKER_VALUE","DEEP_MEASURE_ID_OVERRIDE",$C156,"DEEP_BROKER_ID_OVERRIDE",$F$7,"DEEP_PERIOD_OVERRIDE",AC$11)*1,"")))</f>
        <v/>
      </c>
      <c r="AD156" s="17" t="str">
        <f ca="1">IF(ISNA($B156),"",IF($B156="","",IFERROR(_xll.BDP(TICKER,"DEEP_MEASURE_PERIOD_BROKER_VALUE","DEEP_MEASURE_ID_OVERRIDE",$C156,"DEEP_BROKER_ID_OVERRIDE",$F$7,"DEEP_PERIOD_OVERRIDE",AD$11)*1,"")))</f>
        <v/>
      </c>
      <c r="AE156" s="17" t="str">
        <f ca="1">IF(ISNA($B156),"",IF($B156="","",IFERROR(_xll.BDP(TICKER,"DEEP_MEASURE_PERIOD_BROKER_VALUE","DEEP_MEASURE_ID_OVERRIDE",$C156,"DEEP_BROKER_ID_OVERRIDE",$F$7,"DEEP_PERIOD_OVERRIDE",AE$11)*1,"")))</f>
        <v/>
      </c>
      <c r="AF156" s="17" t="str">
        <f ca="1">IF(ISNA($B156),"",IF($B156="","",IFERROR(_xll.BDP(TICKER,"DEEP_MEASURE_PERIOD_BROKER_VALUE","DEEP_MEASURE_ID_OVERRIDE",$C156,"DEEP_BROKER_ID_OVERRIDE",$F$7,"DEEP_PERIOD_OVERRIDE",AF$11)*1,"")))</f>
        <v/>
      </c>
      <c r="AG156" s="17" t="str">
        <f ca="1">IF(ISNA($B156),"",IF($B156="","",IFERROR(_xll.BDP(TICKER,"DEEP_MEASURE_PERIOD_BROKER_VALUE","DEEP_MEASURE_ID_OVERRIDE",$C156,"DEEP_BROKER_ID_OVERRIDE",$F$7,"DEEP_PERIOD_OVERRIDE",AG$11)*1,"")))</f>
        <v/>
      </c>
      <c r="AH156" s="17" t="str">
        <f ca="1">IF(ISNA($B156),"",IF($B156="","",IFERROR(_xll.BDP(TICKER,"DEEP_MEASURE_PERIOD_BROKER_VALUE","DEEP_MEASURE_ID_OVERRIDE",$C156,"DEEP_BROKER_ID_OVERRIDE",$F$7,"DEEP_PERIOD_OVERRIDE",AH$11)*1,"")))</f>
        <v/>
      </c>
      <c r="AI156" s="17" t="str">
        <f ca="1">IF(ISNA($B156),"",IF($B156="","",IFERROR(_xll.BDP(TICKER,"DEEP_MEASURE_PERIOD_BROKER_VALUE","DEEP_MEASURE_ID_OVERRIDE",$C156,"DEEP_BROKER_ID_OVERRIDE",$F$7,"DEEP_PERIOD_OVERRIDE",AI$11)*1,"")))</f>
        <v/>
      </c>
      <c r="AJ156" s="17" t="str">
        <f ca="1">IF(ISNA($B156),"",IF($B156="","",IFERROR(_xll.BDP(TICKER,"DEEP_MEASURE_PERIOD_BROKER_VALUE","DEEP_MEASURE_ID_OVERRIDE",$C156,"DEEP_BROKER_ID_OVERRIDE",$F$7,"DEEP_PERIOD_OVERRIDE",AJ$11)*1,"")))</f>
        <v/>
      </c>
      <c r="AK156" s="17" t="str">
        <f ca="1">IF(ISNA($B156),"",IF($B156="","",IFERROR(_xll.BDP(TICKER,"DEEP_MEASURE_PERIOD_BROKER_VALUE","DEEP_MEASURE_ID_OVERRIDE",$C156,"DEEP_BROKER_ID_OVERRIDE",$F$7,"DEEP_PERIOD_OVERRIDE",AK$11)*1,"")))</f>
        <v/>
      </c>
      <c r="AL156" s="17" t="str">
        <f ca="1">IF(ISNA($B156),"",IF($B156="","",IFERROR(_xll.BDP(TICKER,"DEEP_MEASURE_PERIOD_BROKER_VALUE","DEEP_MEASURE_ID_OVERRIDE",$C156,"DEEP_BROKER_ID_OVERRIDE",$F$7,"DEEP_PERIOD_OVERRIDE",AL$11)*1,"")))</f>
        <v/>
      </c>
      <c r="AM156" s="17" t="str">
        <f ca="1">IF(ISNA($B156),"",IF($B156="","",IFERROR(_xll.BDP(TICKER,"DEEP_MEASURE_PERIOD_BROKER_VALUE","DEEP_MEASURE_ID_OVERRIDE",$C156,"DEEP_BROKER_ID_OVERRIDE",$F$7,"DEEP_PERIOD_OVERRIDE",AM$11)*1,"")))</f>
        <v/>
      </c>
      <c r="AN156" s="17" t="str">
        <f ca="1">IF(ISNA($B156),"",IF($B156="","",IFERROR(_xll.BDP(TICKER,"DEEP_MEASURE_PERIOD_BROKER_VALUE","DEEP_MEASURE_ID_OVERRIDE",$C156,"DEEP_BROKER_ID_OVERRIDE",$F$7,"DEEP_PERIOD_OVERRIDE",AN$11)*1,"")))</f>
        <v/>
      </c>
      <c r="AO156" s="17" t="str">
        <f ca="1">IF(ISNA($B156),"",IF($B156="","",IFERROR(_xll.BDP(TICKER,"DEEP_MEASURE_PERIOD_BROKER_VALUE","DEEP_MEASURE_ID_OVERRIDE",$C156,"DEEP_BROKER_ID_OVERRIDE",$F$7,"DEEP_PERIOD_OVERRIDE",AO$11)*1,"")))</f>
        <v/>
      </c>
      <c r="AP156" s="17" t="str">
        <f ca="1">IF(ISNA($B156),"",IF($B156="","",IFERROR(_xll.BDP(TICKER,"DEEP_MEASURE_PERIOD_BROKER_VALUE","DEEP_MEASURE_ID_OVERRIDE",$C156,"DEEP_BROKER_ID_OVERRIDE",$F$7,"DEEP_PERIOD_OVERRIDE",AP$11)*1,"")))</f>
        <v/>
      </c>
      <c r="AQ156" s="17" t="str">
        <f ca="1">IF(ISNA($B156),"",IF($B156="","",IFERROR(_xll.BDP(TICKER,"DEEP_MEASURE_PERIOD_BROKER_VALUE","DEEP_MEASURE_ID_OVERRIDE",$C156,"DEEP_BROKER_ID_OVERRIDE",$F$7,"DEEP_PERIOD_OVERRIDE",AQ$11)*1,"")))</f>
        <v/>
      </c>
    </row>
    <row r="157" spans="2:43" x14ac:dyDescent="0.25">
      <c r="B157" t="s">
        <v>23</v>
      </c>
      <c r="C157">
        <v>475</v>
      </c>
      <c r="H157" t="str">
        <f t="shared" si="4"/>
        <v>Assets &gt; Current Assets</v>
      </c>
      <c r="I157" s="17" t="str">
        <f ca="1">IF(ISNA($B157),"",IF($B157="","",IFERROR(_xll.BDP(TICKER,"DEEP_MEASURE_PERIOD_BROKER_VALUE","DEEP_MEASURE_ID_OVERRIDE",$C157,"DEEP_BROKER_ID_OVERRIDE",$F$7,"DEEP_PERIOD_OVERRIDE",I$11)*1,"")))</f>
        <v/>
      </c>
      <c r="J157" s="17" t="str">
        <f ca="1">IF(ISNA($B157),"",IF($B157="","",IFERROR(_xll.BDP(TICKER,"DEEP_MEASURE_PERIOD_BROKER_VALUE","DEEP_MEASURE_ID_OVERRIDE",$C157,"DEEP_BROKER_ID_OVERRIDE",$F$7,"DEEP_PERIOD_OVERRIDE",J$11)*1,"")))</f>
        <v/>
      </c>
      <c r="K157" s="17" t="str">
        <f ca="1">IF(ISNA($B157),"",IF($B157="","",IFERROR(_xll.BDP(TICKER,"DEEP_MEASURE_PERIOD_BROKER_VALUE","DEEP_MEASURE_ID_OVERRIDE",$C157,"DEEP_BROKER_ID_OVERRIDE",$F$7,"DEEP_PERIOD_OVERRIDE",K$11)*1,"")))</f>
        <v/>
      </c>
      <c r="L157" s="17" t="str">
        <f ca="1">IF(ISNA($B157),"",IF($B157="","",IFERROR(_xll.BDP(TICKER,"DEEP_MEASURE_PERIOD_BROKER_VALUE","DEEP_MEASURE_ID_OVERRIDE",$C157,"DEEP_BROKER_ID_OVERRIDE",$F$7,"DEEP_PERIOD_OVERRIDE",L$11)*1,"")))</f>
        <v/>
      </c>
      <c r="M157" s="17" t="str">
        <f ca="1">IF(ISNA($B157),"",IF($B157="","",IFERROR(_xll.BDP(TICKER,"DEEP_MEASURE_PERIOD_BROKER_VALUE","DEEP_MEASURE_ID_OVERRIDE",$C157,"DEEP_BROKER_ID_OVERRIDE",$F$7,"DEEP_PERIOD_OVERRIDE",M$11)*1,"")))</f>
        <v/>
      </c>
      <c r="N157" s="17" t="str">
        <f ca="1">IF(ISNA($B157),"",IF($B157="","",IFERROR(_xll.BDP(TICKER,"DEEP_MEASURE_PERIOD_BROKER_VALUE","DEEP_MEASURE_ID_OVERRIDE",$C157,"DEEP_BROKER_ID_OVERRIDE",$F$7,"DEEP_PERIOD_OVERRIDE",N$11)*1,"")))</f>
        <v/>
      </c>
      <c r="O157" s="17" t="str">
        <f ca="1">IF(ISNA($B157),"",IF($B157="","",IFERROR(_xll.BDP(TICKER,"DEEP_MEASURE_PERIOD_BROKER_VALUE","DEEP_MEASURE_ID_OVERRIDE",$C157,"DEEP_BROKER_ID_OVERRIDE",$F$7,"DEEP_PERIOD_OVERRIDE",O$11)*1,"")))</f>
        <v/>
      </c>
      <c r="P157" s="17" t="str">
        <f ca="1">IF(ISNA($B157),"",IF($B157="","",IFERROR(_xll.BDP(TICKER,"DEEP_MEASURE_PERIOD_BROKER_VALUE","DEEP_MEASURE_ID_OVERRIDE",$C157,"DEEP_BROKER_ID_OVERRIDE",$F$7,"DEEP_PERIOD_OVERRIDE",P$11)*1,"")))</f>
        <v/>
      </c>
      <c r="Q157" s="17" t="str">
        <f ca="1">IF(ISNA($B157),"",IF($B157="","",IFERROR(_xll.BDP(TICKER,"DEEP_MEASURE_PERIOD_BROKER_VALUE","DEEP_MEASURE_ID_OVERRIDE",$C157,"DEEP_BROKER_ID_OVERRIDE",$F$7,"DEEP_PERIOD_OVERRIDE",Q$11)*1,"")))</f>
        <v/>
      </c>
      <c r="R157" s="17" t="str">
        <f ca="1">IF(ISNA($B157),"",IF($B157="","",IFERROR(_xll.BDP(TICKER,"DEEP_MEASURE_PERIOD_BROKER_VALUE","DEEP_MEASURE_ID_OVERRIDE",$C157,"DEEP_BROKER_ID_OVERRIDE",$F$7,"DEEP_PERIOD_OVERRIDE",R$11)*1,"")))</f>
        <v/>
      </c>
      <c r="S157" s="17" t="str">
        <f ca="1">IF(ISNA($B157),"",IF($B157="","",IFERROR(_xll.BDP(TICKER,"DEEP_MEASURE_PERIOD_BROKER_VALUE","DEEP_MEASURE_ID_OVERRIDE",$C157,"DEEP_BROKER_ID_OVERRIDE",$F$7,"DEEP_PERIOD_OVERRIDE",S$11)*1,"")))</f>
        <v/>
      </c>
      <c r="T157" s="17" t="str">
        <f ca="1">IF(ISNA($B157),"",IF($B157="","",IFERROR(_xll.BDP(TICKER,"DEEP_MEASURE_PERIOD_BROKER_VALUE","DEEP_MEASURE_ID_OVERRIDE",$C157,"DEEP_BROKER_ID_OVERRIDE",$F$7,"DEEP_PERIOD_OVERRIDE",T$11)*1,"")))</f>
        <v/>
      </c>
      <c r="U157" s="17" t="str">
        <f ca="1">IF(ISNA($B157),"",IF($B157="","",IFERROR(_xll.BDP(TICKER,"DEEP_MEASURE_PERIOD_BROKER_VALUE","DEEP_MEASURE_ID_OVERRIDE",$C157,"DEEP_BROKER_ID_OVERRIDE",$F$7,"DEEP_PERIOD_OVERRIDE",U$11)*1,"")))</f>
        <v/>
      </c>
      <c r="V157" s="17" t="str">
        <f ca="1">IF(ISNA($B157),"",IF($B157="","",IFERROR(_xll.BDP(TICKER,"DEEP_MEASURE_PERIOD_BROKER_VALUE","DEEP_MEASURE_ID_OVERRIDE",$C157,"DEEP_BROKER_ID_OVERRIDE",$F$7,"DEEP_PERIOD_OVERRIDE",V$11)*1,"")))</f>
        <v/>
      </c>
      <c r="W157" s="17" t="str">
        <f ca="1">IF(ISNA($B157),"",IF($B157="","",IFERROR(_xll.BDP(TICKER,"DEEP_MEASURE_PERIOD_BROKER_VALUE","DEEP_MEASURE_ID_OVERRIDE",$C157,"DEEP_BROKER_ID_OVERRIDE",$F$7,"DEEP_PERIOD_OVERRIDE",W$11)*1,"")))</f>
        <v/>
      </c>
      <c r="X157" s="17" t="str">
        <f ca="1">IF(ISNA($B157),"",IF($B157="","",IFERROR(_xll.BDP(TICKER,"DEEP_MEASURE_PERIOD_BROKER_VALUE","DEEP_MEASURE_ID_OVERRIDE",$C157,"DEEP_BROKER_ID_OVERRIDE",$F$7,"DEEP_PERIOD_OVERRIDE",X$11)*1,"")))</f>
        <v/>
      </c>
      <c r="Y157" s="17" t="str">
        <f ca="1">IF(ISNA($B157),"",IF($B157="","",IFERROR(_xll.BDP(TICKER,"DEEP_MEASURE_PERIOD_BROKER_VALUE","DEEP_MEASURE_ID_OVERRIDE",$C157,"DEEP_BROKER_ID_OVERRIDE",$F$7,"DEEP_PERIOD_OVERRIDE",Y$11)*1,"")))</f>
        <v/>
      </c>
      <c r="Z157" s="17" t="str">
        <f ca="1">IF(ISNA($B157),"",IF($B157="","",IFERROR(_xll.BDP(TICKER,"DEEP_MEASURE_PERIOD_BROKER_VALUE","DEEP_MEASURE_ID_OVERRIDE",$C157,"DEEP_BROKER_ID_OVERRIDE",$F$7,"DEEP_PERIOD_OVERRIDE",Z$11)*1,"")))</f>
        <v/>
      </c>
      <c r="AA157" s="17" t="str">
        <f ca="1">IF(ISNA($B157),"",IF($B157="","",IFERROR(_xll.BDP(TICKER,"DEEP_MEASURE_PERIOD_BROKER_VALUE","DEEP_MEASURE_ID_OVERRIDE",$C157,"DEEP_BROKER_ID_OVERRIDE",$F$7,"DEEP_PERIOD_OVERRIDE",AA$11)*1,"")))</f>
        <v/>
      </c>
      <c r="AB157" s="17" t="str">
        <f ca="1">IF(ISNA($B157),"",IF($B157="","",IFERROR(_xll.BDP(TICKER,"DEEP_MEASURE_PERIOD_BROKER_VALUE","DEEP_MEASURE_ID_OVERRIDE",$C157,"DEEP_BROKER_ID_OVERRIDE",$F$7,"DEEP_PERIOD_OVERRIDE",AB$11)*1,"")))</f>
        <v/>
      </c>
      <c r="AC157" s="17" t="str">
        <f ca="1">IF(ISNA($B157),"",IF($B157="","",IFERROR(_xll.BDP(TICKER,"DEEP_MEASURE_PERIOD_BROKER_VALUE","DEEP_MEASURE_ID_OVERRIDE",$C157,"DEEP_BROKER_ID_OVERRIDE",$F$7,"DEEP_PERIOD_OVERRIDE",AC$11)*1,"")))</f>
        <v/>
      </c>
      <c r="AD157" s="17" t="str">
        <f ca="1">IF(ISNA($B157),"",IF($B157="","",IFERROR(_xll.BDP(TICKER,"DEEP_MEASURE_PERIOD_BROKER_VALUE","DEEP_MEASURE_ID_OVERRIDE",$C157,"DEEP_BROKER_ID_OVERRIDE",$F$7,"DEEP_PERIOD_OVERRIDE",AD$11)*1,"")))</f>
        <v/>
      </c>
      <c r="AE157" s="17" t="str">
        <f ca="1">IF(ISNA($B157),"",IF($B157="","",IFERROR(_xll.BDP(TICKER,"DEEP_MEASURE_PERIOD_BROKER_VALUE","DEEP_MEASURE_ID_OVERRIDE",$C157,"DEEP_BROKER_ID_OVERRIDE",$F$7,"DEEP_PERIOD_OVERRIDE",AE$11)*1,"")))</f>
        <v/>
      </c>
      <c r="AF157" s="17" t="str">
        <f ca="1">IF(ISNA($B157),"",IF($B157="","",IFERROR(_xll.BDP(TICKER,"DEEP_MEASURE_PERIOD_BROKER_VALUE","DEEP_MEASURE_ID_OVERRIDE",$C157,"DEEP_BROKER_ID_OVERRIDE",$F$7,"DEEP_PERIOD_OVERRIDE",AF$11)*1,"")))</f>
        <v/>
      </c>
      <c r="AG157" s="17" t="str">
        <f ca="1">IF(ISNA($B157),"",IF($B157="","",IFERROR(_xll.BDP(TICKER,"DEEP_MEASURE_PERIOD_BROKER_VALUE","DEEP_MEASURE_ID_OVERRIDE",$C157,"DEEP_BROKER_ID_OVERRIDE",$F$7,"DEEP_PERIOD_OVERRIDE",AG$11)*1,"")))</f>
        <v/>
      </c>
      <c r="AH157" s="17" t="str">
        <f ca="1">IF(ISNA($B157),"",IF($B157="","",IFERROR(_xll.BDP(TICKER,"DEEP_MEASURE_PERIOD_BROKER_VALUE","DEEP_MEASURE_ID_OVERRIDE",$C157,"DEEP_BROKER_ID_OVERRIDE",$F$7,"DEEP_PERIOD_OVERRIDE",AH$11)*1,"")))</f>
        <v/>
      </c>
      <c r="AI157" s="17" t="str">
        <f ca="1">IF(ISNA($B157),"",IF($B157="","",IFERROR(_xll.BDP(TICKER,"DEEP_MEASURE_PERIOD_BROKER_VALUE","DEEP_MEASURE_ID_OVERRIDE",$C157,"DEEP_BROKER_ID_OVERRIDE",$F$7,"DEEP_PERIOD_OVERRIDE",AI$11)*1,"")))</f>
        <v/>
      </c>
      <c r="AJ157" s="17" t="str">
        <f ca="1">IF(ISNA($B157),"",IF($B157="","",IFERROR(_xll.BDP(TICKER,"DEEP_MEASURE_PERIOD_BROKER_VALUE","DEEP_MEASURE_ID_OVERRIDE",$C157,"DEEP_BROKER_ID_OVERRIDE",$F$7,"DEEP_PERIOD_OVERRIDE",AJ$11)*1,"")))</f>
        <v/>
      </c>
      <c r="AK157" s="17" t="str">
        <f ca="1">IF(ISNA($B157),"",IF($B157="","",IFERROR(_xll.BDP(TICKER,"DEEP_MEASURE_PERIOD_BROKER_VALUE","DEEP_MEASURE_ID_OVERRIDE",$C157,"DEEP_BROKER_ID_OVERRIDE",$F$7,"DEEP_PERIOD_OVERRIDE",AK$11)*1,"")))</f>
        <v/>
      </c>
      <c r="AL157" s="17" t="str">
        <f ca="1">IF(ISNA($B157),"",IF($B157="","",IFERROR(_xll.BDP(TICKER,"DEEP_MEASURE_PERIOD_BROKER_VALUE","DEEP_MEASURE_ID_OVERRIDE",$C157,"DEEP_BROKER_ID_OVERRIDE",$F$7,"DEEP_PERIOD_OVERRIDE",AL$11)*1,"")))</f>
        <v/>
      </c>
      <c r="AM157" s="17" t="str">
        <f ca="1">IF(ISNA($B157),"",IF($B157="","",IFERROR(_xll.BDP(TICKER,"DEEP_MEASURE_PERIOD_BROKER_VALUE","DEEP_MEASURE_ID_OVERRIDE",$C157,"DEEP_BROKER_ID_OVERRIDE",$F$7,"DEEP_PERIOD_OVERRIDE",AM$11)*1,"")))</f>
        <v/>
      </c>
      <c r="AN157" s="17" t="str">
        <f ca="1">IF(ISNA($B157),"",IF($B157="","",IFERROR(_xll.BDP(TICKER,"DEEP_MEASURE_PERIOD_BROKER_VALUE","DEEP_MEASURE_ID_OVERRIDE",$C157,"DEEP_BROKER_ID_OVERRIDE",$F$7,"DEEP_PERIOD_OVERRIDE",AN$11)*1,"")))</f>
        <v/>
      </c>
      <c r="AO157" s="17" t="str">
        <f ca="1">IF(ISNA($B157),"",IF($B157="","",IFERROR(_xll.BDP(TICKER,"DEEP_MEASURE_PERIOD_BROKER_VALUE","DEEP_MEASURE_ID_OVERRIDE",$C157,"DEEP_BROKER_ID_OVERRIDE",$F$7,"DEEP_PERIOD_OVERRIDE",AO$11)*1,"")))</f>
        <v/>
      </c>
      <c r="AP157" s="17" t="str">
        <f ca="1">IF(ISNA($B157),"",IF($B157="","",IFERROR(_xll.BDP(TICKER,"DEEP_MEASURE_PERIOD_BROKER_VALUE","DEEP_MEASURE_ID_OVERRIDE",$C157,"DEEP_BROKER_ID_OVERRIDE",$F$7,"DEEP_PERIOD_OVERRIDE",AP$11)*1,"")))</f>
        <v/>
      </c>
      <c r="AQ157" s="17" t="str">
        <f ca="1">IF(ISNA($B157),"",IF($B157="","",IFERROR(_xll.BDP(TICKER,"DEEP_MEASURE_PERIOD_BROKER_VALUE","DEEP_MEASURE_ID_OVERRIDE",$C157,"DEEP_BROKER_ID_OVERRIDE",$F$7,"DEEP_PERIOD_OVERRIDE",AQ$11)*1,"")))</f>
        <v/>
      </c>
    </row>
    <row r="158" spans="2:43" x14ac:dyDescent="0.25">
      <c r="B158" t="s">
        <v>24</v>
      </c>
      <c r="C158">
        <v>462</v>
      </c>
      <c r="H158" t="str">
        <f t="shared" si="4"/>
        <v>Assets &gt; Current Assets &gt; Cash and Cash Equivalents</v>
      </c>
      <c r="I158" s="17" t="str">
        <f ca="1">IF(ISNA($B158),"",IF($B158="","",IFERROR(_xll.BDP(TICKER,"DEEP_MEASURE_PERIOD_BROKER_VALUE","DEEP_MEASURE_ID_OVERRIDE",$C158,"DEEP_BROKER_ID_OVERRIDE",$F$7,"DEEP_PERIOD_OVERRIDE",I$11)*1,"")))</f>
        <v/>
      </c>
      <c r="J158" s="17" t="str">
        <f ca="1">IF(ISNA($B158),"",IF($B158="","",IFERROR(_xll.BDP(TICKER,"DEEP_MEASURE_PERIOD_BROKER_VALUE","DEEP_MEASURE_ID_OVERRIDE",$C158,"DEEP_BROKER_ID_OVERRIDE",$F$7,"DEEP_PERIOD_OVERRIDE",J$11)*1,"")))</f>
        <v/>
      </c>
      <c r="K158" s="17" t="str">
        <f ca="1">IF(ISNA($B158),"",IF($B158="","",IFERROR(_xll.BDP(TICKER,"DEEP_MEASURE_PERIOD_BROKER_VALUE","DEEP_MEASURE_ID_OVERRIDE",$C158,"DEEP_BROKER_ID_OVERRIDE",$F$7,"DEEP_PERIOD_OVERRIDE",K$11)*1,"")))</f>
        <v/>
      </c>
      <c r="L158" s="17" t="str">
        <f ca="1">IF(ISNA($B158),"",IF($B158="","",IFERROR(_xll.BDP(TICKER,"DEEP_MEASURE_PERIOD_BROKER_VALUE","DEEP_MEASURE_ID_OVERRIDE",$C158,"DEEP_BROKER_ID_OVERRIDE",$F$7,"DEEP_PERIOD_OVERRIDE",L$11)*1,"")))</f>
        <v/>
      </c>
      <c r="M158" s="17" t="str">
        <f ca="1">IF(ISNA($B158),"",IF($B158="","",IFERROR(_xll.BDP(TICKER,"DEEP_MEASURE_PERIOD_BROKER_VALUE","DEEP_MEASURE_ID_OVERRIDE",$C158,"DEEP_BROKER_ID_OVERRIDE",$F$7,"DEEP_PERIOD_OVERRIDE",M$11)*1,"")))</f>
        <v/>
      </c>
      <c r="N158" s="17" t="str">
        <f ca="1">IF(ISNA($B158),"",IF($B158="","",IFERROR(_xll.BDP(TICKER,"DEEP_MEASURE_PERIOD_BROKER_VALUE","DEEP_MEASURE_ID_OVERRIDE",$C158,"DEEP_BROKER_ID_OVERRIDE",$F$7,"DEEP_PERIOD_OVERRIDE",N$11)*1,"")))</f>
        <v/>
      </c>
      <c r="O158" s="17" t="str">
        <f ca="1">IF(ISNA($B158),"",IF($B158="","",IFERROR(_xll.BDP(TICKER,"DEEP_MEASURE_PERIOD_BROKER_VALUE","DEEP_MEASURE_ID_OVERRIDE",$C158,"DEEP_BROKER_ID_OVERRIDE",$F$7,"DEEP_PERIOD_OVERRIDE",O$11)*1,"")))</f>
        <v/>
      </c>
      <c r="P158" s="17" t="str">
        <f ca="1">IF(ISNA($B158),"",IF($B158="","",IFERROR(_xll.BDP(TICKER,"DEEP_MEASURE_PERIOD_BROKER_VALUE","DEEP_MEASURE_ID_OVERRIDE",$C158,"DEEP_BROKER_ID_OVERRIDE",$F$7,"DEEP_PERIOD_OVERRIDE",P$11)*1,"")))</f>
        <v/>
      </c>
      <c r="Q158" s="17" t="str">
        <f ca="1">IF(ISNA($B158),"",IF($B158="","",IFERROR(_xll.BDP(TICKER,"DEEP_MEASURE_PERIOD_BROKER_VALUE","DEEP_MEASURE_ID_OVERRIDE",$C158,"DEEP_BROKER_ID_OVERRIDE",$F$7,"DEEP_PERIOD_OVERRIDE",Q$11)*1,"")))</f>
        <v/>
      </c>
      <c r="R158" s="17" t="str">
        <f ca="1">IF(ISNA($B158),"",IF($B158="","",IFERROR(_xll.BDP(TICKER,"DEEP_MEASURE_PERIOD_BROKER_VALUE","DEEP_MEASURE_ID_OVERRIDE",$C158,"DEEP_BROKER_ID_OVERRIDE",$F$7,"DEEP_PERIOD_OVERRIDE",R$11)*1,"")))</f>
        <v/>
      </c>
      <c r="S158" s="17" t="str">
        <f ca="1">IF(ISNA($B158),"",IF($B158="","",IFERROR(_xll.BDP(TICKER,"DEEP_MEASURE_PERIOD_BROKER_VALUE","DEEP_MEASURE_ID_OVERRIDE",$C158,"DEEP_BROKER_ID_OVERRIDE",$F$7,"DEEP_PERIOD_OVERRIDE",S$11)*1,"")))</f>
        <v/>
      </c>
      <c r="T158" s="17" t="str">
        <f ca="1">IF(ISNA($B158),"",IF($B158="","",IFERROR(_xll.BDP(TICKER,"DEEP_MEASURE_PERIOD_BROKER_VALUE","DEEP_MEASURE_ID_OVERRIDE",$C158,"DEEP_BROKER_ID_OVERRIDE",$F$7,"DEEP_PERIOD_OVERRIDE",T$11)*1,"")))</f>
        <v/>
      </c>
      <c r="U158" s="17" t="str">
        <f ca="1">IF(ISNA($B158),"",IF($B158="","",IFERROR(_xll.BDP(TICKER,"DEEP_MEASURE_PERIOD_BROKER_VALUE","DEEP_MEASURE_ID_OVERRIDE",$C158,"DEEP_BROKER_ID_OVERRIDE",$F$7,"DEEP_PERIOD_OVERRIDE",U$11)*1,"")))</f>
        <v/>
      </c>
      <c r="V158" s="17" t="str">
        <f ca="1">IF(ISNA($B158),"",IF($B158="","",IFERROR(_xll.BDP(TICKER,"DEEP_MEASURE_PERIOD_BROKER_VALUE","DEEP_MEASURE_ID_OVERRIDE",$C158,"DEEP_BROKER_ID_OVERRIDE",$F$7,"DEEP_PERIOD_OVERRIDE",V$11)*1,"")))</f>
        <v/>
      </c>
      <c r="W158" s="17" t="str">
        <f ca="1">IF(ISNA($B158),"",IF($B158="","",IFERROR(_xll.BDP(TICKER,"DEEP_MEASURE_PERIOD_BROKER_VALUE","DEEP_MEASURE_ID_OVERRIDE",$C158,"DEEP_BROKER_ID_OVERRIDE",$F$7,"DEEP_PERIOD_OVERRIDE",W$11)*1,"")))</f>
        <v/>
      </c>
      <c r="X158" s="17" t="str">
        <f ca="1">IF(ISNA($B158),"",IF($B158="","",IFERROR(_xll.BDP(TICKER,"DEEP_MEASURE_PERIOD_BROKER_VALUE","DEEP_MEASURE_ID_OVERRIDE",$C158,"DEEP_BROKER_ID_OVERRIDE",$F$7,"DEEP_PERIOD_OVERRIDE",X$11)*1,"")))</f>
        <v/>
      </c>
      <c r="Y158" s="17" t="str">
        <f ca="1">IF(ISNA($B158),"",IF($B158="","",IFERROR(_xll.BDP(TICKER,"DEEP_MEASURE_PERIOD_BROKER_VALUE","DEEP_MEASURE_ID_OVERRIDE",$C158,"DEEP_BROKER_ID_OVERRIDE",$F$7,"DEEP_PERIOD_OVERRIDE",Y$11)*1,"")))</f>
        <v/>
      </c>
      <c r="Z158" s="17" t="str">
        <f ca="1">IF(ISNA($B158),"",IF($B158="","",IFERROR(_xll.BDP(TICKER,"DEEP_MEASURE_PERIOD_BROKER_VALUE","DEEP_MEASURE_ID_OVERRIDE",$C158,"DEEP_BROKER_ID_OVERRIDE",$F$7,"DEEP_PERIOD_OVERRIDE",Z$11)*1,"")))</f>
        <v/>
      </c>
      <c r="AA158" s="17" t="str">
        <f ca="1">IF(ISNA($B158),"",IF($B158="","",IFERROR(_xll.BDP(TICKER,"DEEP_MEASURE_PERIOD_BROKER_VALUE","DEEP_MEASURE_ID_OVERRIDE",$C158,"DEEP_BROKER_ID_OVERRIDE",$F$7,"DEEP_PERIOD_OVERRIDE",AA$11)*1,"")))</f>
        <v/>
      </c>
      <c r="AB158" s="17" t="str">
        <f ca="1">IF(ISNA($B158),"",IF($B158="","",IFERROR(_xll.BDP(TICKER,"DEEP_MEASURE_PERIOD_BROKER_VALUE","DEEP_MEASURE_ID_OVERRIDE",$C158,"DEEP_BROKER_ID_OVERRIDE",$F$7,"DEEP_PERIOD_OVERRIDE",AB$11)*1,"")))</f>
        <v/>
      </c>
      <c r="AC158" s="17" t="str">
        <f ca="1">IF(ISNA($B158),"",IF($B158="","",IFERROR(_xll.BDP(TICKER,"DEEP_MEASURE_PERIOD_BROKER_VALUE","DEEP_MEASURE_ID_OVERRIDE",$C158,"DEEP_BROKER_ID_OVERRIDE",$F$7,"DEEP_PERIOD_OVERRIDE",AC$11)*1,"")))</f>
        <v/>
      </c>
      <c r="AD158" s="17" t="str">
        <f ca="1">IF(ISNA($B158),"",IF($B158="","",IFERROR(_xll.BDP(TICKER,"DEEP_MEASURE_PERIOD_BROKER_VALUE","DEEP_MEASURE_ID_OVERRIDE",$C158,"DEEP_BROKER_ID_OVERRIDE",$F$7,"DEEP_PERIOD_OVERRIDE",AD$11)*1,"")))</f>
        <v/>
      </c>
      <c r="AE158" s="17" t="str">
        <f ca="1">IF(ISNA($B158),"",IF($B158="","",IFERROR(_xll.BDP(TICKER,"DEEP_MEASURE_PERIOD_BROKER_VALUE","DEEP_MEASURE_ID_OVERRIDE",$C158,"DEEP_BROKER_ID_OVERRIDE",$F$7,"DEEP_PERIOD_OVERRIDE",AE$11)*1,"")))</f>
        <v/>
      </c>
      <c r="AF158" s="17" t="str">
        <f ca="1">IF(ISNA($B158),"",IF($B158="","",IFERROR(_xll.BDP(TICKER,"DEEP_MEASURE_PERIOD_BROKER_VALUE","DEEP_MEASURE_ID_OVERRIDE",$C158,"DEEP_BROKER_ID_OVERRIDE",$F$7,"DEEP_PERIOD_OVERRIDE",AF$11)*1,"")))</f>
        <v/>
      </c>
      <c r="AG158" s="17" t="str">
        <f ca="1">IF(ISNA($B158),"",IF($B158="","",IFERROR(_xll.BDP(TICKER,"DEEP_MEASURE_PERIOD_BROKER_VALUE","DEEP_MEASURE_ID_OVERRIDE",$C158,"DEEP_BROKER_ID_OVERRIDE",$F$7,"DEEP_PERIOD_OVERRIDE",AG$11)*1,"")))</f>
        <v/>
      </c>
      <c r="AH158" s="17" t="str">
        <f ca="1">IF(ISNA($B158),"",IF($B158="","",IFERROR(_xll.BDP(TICKER,"DEEP_MEASURE_PERIOD_BROKER_VALUE","DEEP_MEASURE_ID_OVERRIDE",$C158,"DEEP_BROKER_ID_OVERRIDE",$F$7,"DEEP_PERIOD_OVERRIDE",AH$11)*1,"")))</f>
        <v/>
      </c>
      <c r="AI158" s="17" t="str">
        <f ca="1">IF(ISNA($B158),"",IF($B158="","",IFERROR(_xll.BDP(TICKER,"DEEP_MEASURE_PERIOD_BROKER_VALUE","DEEP_MEASURE_ID_OVERRIDE",$C158,"DEEP_BROKER_ID_OVERRIDE",$F$7,"DEEP_PERIOD_OVERRIDE",AI$11)*1,"")))</f>
        <v/>
      </c>
      <c r="AJ158" s="17" t="str">
        <f ca="1">IF(ISNA($B158),"",IF($B158="","",IFERROR(_xll.BDP(TICKER,"DEEP_MEASURE_PERIOD_BROKER_VALUE","DEEP_MEASURE_ID_OVERRIDE",$C158,"DEEP_BROKER_ID_OVERRIDE",$F$7,"DEEP_PERIOD_OVERRIDE",AJ$11)*1,"")))</f>
        <v/>
      </c>
      <c r="AK158" s="17" t="str">
        <f ca="1">IF(ISNA($B158),"",IF($B158="","",IFERROR(_xll.BDP(TICKER,"DEEP_MEASURE_PERIOD_BROKER_VALUE","DEEP_MEASURE_ID_OVERRIDE",$C158,"DEEP_BROKER_ID_OVERRIDE",$F$7,"DEEP_PERIOD_OVERRIDE",AK$11)*1,"")))</f>
        <v/>
      </c>
      <c r="AL158" s="17" t="str">
        <f ca="1">IF(ISNA($B158),"",IF($B158="","",IFERROR(_xll.BDP(TICKER,"DEEP_MEASURE_PERIOD_BROKER_VALUE","DEEP_MEASURE_ID_OVERRIDE",$C158,"DEEP_BROKER_ID_OVERRIDE",$F$7,"DEEP_PERIOD_OVERRIDE",AL$11)*1,"")))</f>
        <v/>
      </c>
      <c r="AM158" s="17" t="str">
        <f ca="1">IF(ISNA($B158),"",IF($B158="","",IFERROR(_xll.BDP(TICKER,"DEEP_MEASURE_PERIOD_BROKER_VALUE","DEEP_MEASURE_ID_OVERRIDE",$C158,"DEEP_BROKER_ID_OVERRIDE",$F$7,"DEEP_PERIOD_OVERRIDE",AM$11)*1,"")))</f>
        <v/>
      </c>
      <c r="AN158" s="17" t="str">
        <f ca="1">IF(ISNA($B158),"",IF($B158="","",IFERROR(_xll.BDP(TICKER,"DEEP_MEASURE_PERIOD_BROKER_VALUE","DEEP_MEASURE_ID_OVERRIDE",$C158,"DEEP_BROKER_ID_OVERRIDE",$F$7,"DEEP_PERIOD_OVERRIDE",AN$11)*1,"")))</f>
        <v/>
      </c>
      <c r="AO158" s="17" t="str">
        <f ca="1">IF(ISNA($B158),"",IF($B158="","",IFERROR(_xll.BDP(TICKER,"DEEP_MEASURE_PERIOD_BROKER_VALUE","DEEP_MEASURE_ID_OVERRIDE",$C158,"DEEP_BROKER_ID_OVERRIDE",$F$7,"DEEP_PERIOD_OVERRIDE",AO$11)*1,"")))</f>
        <v/>
      </c>
      <c r="AP158" s="17" t="str">
        <f ca="1">IF(ISNA($B158),"",IF($B158="","",IFERROR(_xll.BDP(TICKER,"DEEP_MEASURE_PERIOD_BROKER_VALUE","DEEP_MEASURE_ID_OVERRIDE",$C158,"DEEP_BROKER_ID_OVERRIDE",$F$7,"DEEP_PERIOD_OVERRIDE",AP$11)*1,"")))</f>
        <v/>
      </c>
      <c r="AQ158" s="17" t="str">
        <f ca="1">IF(ISNA($B158),"",IF($B158="","",IFERROR(_xll.BDP(TICKER,"DEEP_MEASURE_PERIOD_BROKER_VALUE","DEEP_MEASURE_ID_OVERRIDE",$C158,"DEEP_BROKER_ID_OVERRIDE",$F$7,"DEEP_PERIOD_OVERRIDE",AQ$11)*1,"")))</f>
        <v/>
      </c>
    </row>
    <row r="159" spans="2:43" x14ac:dyDescent="0.25">
      <c r="B159" t="s">
        <v>49</v>
      </c>
      <c r="C159">
        <v>471</v>
      </c>
      <c r="H159" t="str">
        <f t="shared" si="4"/>
        <v>Assets &gt; Current Assets &gt; Accounts Receivable</v>
      </c>
      <c r="I159" s="17" t="str">
        <f ca="1">IF(ISNA($B159),"",IF($B159="","",IFERROR(_xll.BDP(TICKER,"DEEP_MEASURE_PERIOD_BROKER_VALUE","DEEP_MEASURE_ID_OVERRIDE",$C159,"DEEP_BROKER_ID_OVERRIDE",$F$7,"DEEP_PERIOD_OVERRIDE",I$11)*1,"")))</f>
        <v/>
      </c>
      <c r="J159" s="17" t="str">
        <f ca="1">IF(ISNA($B159),"",IF($B159="","",IFERROR(_xll.BDP(TICKER,"DEEP_MEASURE_PERIOD_BROKER_VALUE","DEEP_MEASURE_ID_OVERRIDE",$C159,"DEEP_BROKER_ID_OVERRIDE",$F$7,"DEEP_PERIOD_OVERRIDE",J$11)*1,"")))</f>
        <v/>
      </c>
      <c r="K159" s="17" t="str">
        <f ca="1">IF(ISNA($B159),"",IF($B159="","",IFERROR(_xll.BDP(TICKER,"DEEP_MEASURE_PERIOD_BROKER_VALUE","DEEP_MEASURE_ID_OVERRIDE",$C159,"DEEP_BROKER_ID_OVERRIDE",$F$7,"DEEP_PERIOD_OVERRIDE",K$11)*1,"")))</f>
        <v/>
      </c>
      <c r="L159" s="17" t="str">
        <f ca="1">IF(ISNA($B159),"",IF($B159="","",IFERROR(_xll.BDP(TICKER,"DEEP_MEASURE_PERIOD_BROKER_VALUE","DEEP_MEASURE_ID_OVERRIDE",$C159,"DEEP_BROKER_ID_OVERRIDE",$F$7,"DEEP_PERIOD_OVERRIDE",L$11)*1,"")))</f>
        <v/>
      </c>
      <c r="M159" s="17" t="str">
        <f ca="1">IF(ISNA($B159),"",IF($B159="","",IFERROR(_xll.BDP(TICKER,"DEEP_MEASURE_PERIOD_BROKER_VALUE","DEEP_MEASURE_ID_OVERRIDE",$C159,"DEEP_BROKER_ID_OVERRIDE",$F$7,"DEEP_PERIOD_OVERRIDE",M$11)*1,"")))</f>
        <v/>
      </c>
      <c r="N159" s="17" t="str">
        <f ca="1">IF(ISNA($B159),"",IF($B159="","",IFERROR(_xll.BDP(TICKER,"DEEP_MEASURE_PERIOD_BROKER_VALUE","DEEP_MEASURE_ID_OVERRIDE",$C159,"DEEP_BROKER_ID_OVERRIDE",$F$7,"DEEP_PERIOD_OVERRIDE",N$11)*1,"")))</f>
        <v/>
      </c>
      <c r="O159" s="17" t="str">
        <f ca="1">IF(ISNA($B159),"",IF($B159="","",IFERROR(_xll.BDP(TICKER,"DEEP_MEASURE_PERIOD_BROKER_VALUE","DEEP_MEASURE_ID_OVERRIDE",$C159,"DEEP_BROKER_ID_OVERRIDE",$F$7,"DEEP_PERIOD_OVERRIDE",O$11)*1,"")))</f>
        <v/>
      </c>
      <c r="P159" s="17" t="str">
        <f ca="1">IF(ISNA($B159),"",IF($B159="","",IFERROR(_xll.BDP(TICKER,"DEEP_MEASURE_PERIOD_BROKER_VALUE","DEEP_MEASURE_ID_OVERRIDE",$C159,"DEEP_BROKER_ID_OVERRIDE",$F$7,"DEEP_PERIOD_OVERRIDE",P$11)*1,"")))</f>
        <v/>
      </c>
      <c r="Q159" s="17" t="str">
        <f ca="1">IF(ISNA($B159),"",IF($B159="","",IFERROR(_xll.BDP(TICKER,"DEEP_MEASURE_PERIOD_BROKER_VALUE","DEEP_MEASURE_ID_OVERRIDE",$C159,"DEEP_BROKER_ID_OVERRIDE",$F$7,"DEEP_PERIOD_OVERRIDE",Q$11)*1,"")))</f>
        <v/>
      </c>
      <c r="R159" s="17" t="str">
        <f ca="1">IF(ISNA($B159),"",IF($B159="","",IFERROR(_xll.BDP(TICKER,"DEEP_MEASURE_PERIOD_BROKER_VALUE","DEEP_MEASURE_ID_OVERRIDE",$C159,"DEEP_BROKER_ID_OVERRIDE",$F$7,"DEEP_PERIOD_OVERRIDE",R$11)*1,"")))</f>
        <v/>
      </c>
      <c r="S159" s="17" t="str">
        <f ca="1">IF(ISNA($B159),"",IF($B159="","",IFERROR(_xll.BDP(TICKER,"DEEP_MEASURE_PERIOD_BROKER_VALUE","DEEP_MEASURE_ID_OVERRIDE",$C159,"DEEP_BROKER_ID_OVERRIDE",$F$7,"DEEP_PERIOD_OVERRIDE",S$11)*1,"")))</f>
        <v/>
      </c>
      <c r="T159" s="17" t="str">
        <f ca="1">IF(ISNA($B159),"",IF($B159="","",IFERROR(_xll.BDP(TICKER,"DEEP_MEASURE_PERIOD_BROKER_VALUE","DEEP_MEASURE_ID_OVERRIDE",$C159,"DEEP_BROKER_ID_OVERRIDE",$F$7,"DEEP_PERIOD_OVERRIDE",T$11)*1,"")))</f>
        <v/>
      </c>
      <c r="U159" s="17" t="str">
        <f ca="1">IF(ISNA($B159),"",IF($B159="","",IFERROR(_xll.BDP(TICKER,"DEEP_MEASURE_PERIOD_BROKER_VALUE","DEEP_MEASURE_ID_OVERRIDE",$C159,"DEEP_BROKER_ID_OVERRIDE",$F$7,"DEEP_PERIOD_OVERRIDE",U$11)*1,"")))</f>
        <v/>
      </c>
      <c r="V159" s="17" t="str">
        <f ca="1">IF(ISNA($B159),"",IF($B159="","",IFERROR(_xll.BDP(TICKER,"DEEP_MEASURE_PERIOD_BROKER_VALUE","DEEP_MEASURE_ID_OVERRIDE",$C159,"DEEP_BROKER_ID_OVERRIDE",$F$7,"DEEP_PERIOD_OVERRIDE",V$11)*1,"")))</f>
        <v/>
      </c>
      <c r="W159" s="17" t="str">
        <f ca="1">IF(ISNA($B159),"",IF($B159="","",IFERROR(_xll.BDP(TICKER,"DEEP_MEASURE_PERIOD_BROKER_VALUE","DEEP_MEASURE_ID_OVERRIDE",$C159,"DEEP_BROKER_ID_OVERRIDE",$F$7,"DEEP_PERIOD_OVERRIDE",W$11)*1,"")))</f>
        <v/>
      </c>
      <c r="X159" s="17" t="str">
        <f ca="1">IF(ISNA($B159),"",IF($B159="","",IFERROR(_xll.BDP(TICKER,"DEEP_MEASURE_PERIOD_BROKER_VALUE","DEEP_MEASURE_ID_OVERRIDE",$C159,"DEEP_BROKER_ID_OVERRIDE",$F$7,"DEEP_PERIOD_OVERRIDE",X$11)*1,"")))</f>
        <v/>
      </c>
      <c r="Y159" s="17" t="str">
        <f ca="1">IF(ISNA($B159),"",IF($B159="","",IFERROR(_xll.BDP(TICKER,"DEEP_MEASURE_PERIOD_BROKER_VALUE","DEEP_MEASURE_ID_OVERRIDE",$C159,"DEEP_BROKER_ID_OVERRIDE",$F$7,"DEEP_PERIOD_OVERRIDE",Y$11)*1,"")))</f>
        <v/>
      </c>
      <c r="Z159" s="17" t="str">
        <f ca="1">IF(ISNA($B159),"",IF($B159="","",IFERROR(_xll.BDP(TICKER,"DEEP_MEASURE_PERIOD_BROKER_VALUE","DEEP_MEASURE_ID_OVERRIDE",$C159,"DEEP_BROKER_ID_OVERRIDE",$F$7,"DEEP_PERIOD_OVERRIDE",Z$11)*1,"")))</f>
        <v/>
      </c>
      <c r="AA159" s="17" t="str">
        <f ca="1">IF(ISNA($B159),"",IF($B159="","",IFERROR(_xll.BDP(TICKER,"DEEP_MEASURE_PERIOD_BROKER_VALUE","DEEP_MEASURE_ID_OVERRIDE",$C159,"DEEP_BROKER_ID_OVERRIDE",$F$7,"DEEP_PERIOD_OVERRIDE",AA$11)*1,"")))</f>
        <v/>
      </c>
      <c r="AB159" s="17" t="str">
        <f ca="1">IF(ISNA($B159),"",IF($B159="","",IFERROR(_xll.BDP(TICKER,"DEEP_MEASURE_PERIOD_BROKER_VALUE","DEEP_MEASURE_ID_OVERRIDE",$C159,"DEEP_BROKER_ID_OVERRIDE",$F$7,"DEEP_PERIOD_OVERRIDE",AB$11)*1,"")))</f>
        <v/>
      </c>
      <c r="AC159" s="17" t="str">
        <f ca="1">IF(ISNA($B159),"",IF($B159="","",IFERROR(_xll.BDP(TICKER,"DEEP_MEASURE_PERIOD_BROKER_VALUE","DEEP_MEASURE_ID_OVERRIDE",$C159,"DEEP_BROKER_ID_OVERRIDE",$F$7,"DEEP_PERIOD_OVERRIDE",AC$11)*1,"")))</f>
        <v/>
      </c>
      <c r="AD159" s="17" t="str">
        <f ca="1">IF(ISNA($B159),"",IF($B159="","",IFERROR(_xll.BDP(TICKER,"DEEP_MEASURE_PERIOD_BROKER_VALUE","DEEP_MEASURE_ID_OVERRIDE",$C159,"DEEP_BROKER_ID_OVERRIDE",$F$7,"DEEP_PERIOD_OVERRIDE",AD$11)*1,"")))</f>
        <v/>
      </c>
      <c r="AE159" s="17" t="str">
        <f ca="1">IF(ISNA($B159),"",IF($B159="","",IFERROR(_xll.BDP(TICKER,"DEEP_MEASURE_PERIOD_BROKER_VALUE","DEEP_MEASURE_ID_OVERRIDE",$C159,"DEEP_BROKER_ID_OVERRIDE",$F$7,"DEEP_PERIOD_OVERRIDE",AE$11)*1,"")))</f>
        <v/>
      </c>
      <c r="AF159" s="17" t="str">
        <f ca="1">IF(ISNA($B159),"",IF($B159="","",IFERROR(_xll.BDP(TICKER,"DEEP_MEASURE_PERIOD_BROKER_VALUE","DEEP_MEASURE_ID_OVERRIDE",$C159,"DEEP_BROKER_ID_OVERRIDE",$F$7,"DEEP_PERIOD_OVERRIDE",AF$11)*1,"")))</f>
        <v/>
      </c>
      <c r="AG159" s="17" t="str">
        <f ca="1">IF(ISNA($B159),"",IF($B159="","",IFERROR(_xll.BDP(TICKER,"DEEP_MEASURE_PERIOD_BROKER_VALUE","DEEP_MEASURE_ID_OVERRIDE",$C159,"DEEP_BROKER_ID_OVERRIDE",$F$7,"DEEP_PERIOD_OVERRIDE",AG$11)*1,"")))</f>
        <v/>
      </c>
      <c r="AH159" s="17" t="str">
        <f ca="1">IF(ISNA($B159),"",IF($B159="","",IFERROR(_xll.BDP(TICKER,"DEEP_MEASURE_PERIOD_BROKER_VALUE","DEEP_MEASURE_ID_OVERRIDE",$C159,"DEEP_BROKER_ID_OVERRIDE",$F$7,"DEEP_PERIOD_OVERRIDE",AH$11)*1,"")))</f>
        <v/>
      </c>
      <c r="AI159" s="17" t="str">
        <f ca="1">IF(ISNA($B159),"",IF($B159="","",IFERROR(_xll.BDP(TICKER,"DEEP_MEASURE_PERIOD_BROKER_VALUE","DEEP_MEASURE_ID_OVERRIDE",$C159,"DEEP_BROKER_ID_OVERRIDE",$F$7,"DEEP_PERIOD_OVERRIDE",AI$11)*1,"")))</f>
        <v/>
      </c>
      <c r="AJ159" s="17" t="str">
        <f ca="1">IF(ISNA($B159),"",IF($B159="","",IFERROR(_xll.BDP(TICKER,"DEEP_MEASURE_PERIOD_BROKER_VALUE","DEEP_MEASURE_ID_OVERRIDE",$C159,"DEEP_BROKER_ID_OVERRIDE",$F$7,"DEEP_PERIOD_OVERRIDE",AJ$11)*1,"")))</f>
        <v/>
      </c>
      <c r="AK159" s="17" t="str">
        <f ca="1">IF(ISNA($B159),"",IF($B159="","",IFERROR(_xll.BDP(TICKER,"DEEP_MEASURE_PERIOD_BROKER_VALUE","DEEP_MEASURE_ID_OVERRIDE",$C159,"DEEP_BROKER_ID_OVERRIDE",$F$7,"DEEP_PERIOD_OVERRIDE",AK$11)*1,"")))</f>
        <v/>
      </c>
      <c r="AL159" s="17" t="str">
        <f ca="1">IF(ISNA($B159),"",IF($B159="","",IFERROR(_xll.BDP(TICKER,"DEEP_MEASURE_PERIOD_BROKER_VALUE","DEEP_MEASURE_ID_OVERRIDE",$C159,"DEEP_BROKER_ID_OVERRIDE",$F$7,"DEEP_PERIOD_OVERRIDE",AL$11)*1,"")))</f>
        <v/>
      </c>
      <c r="AM159" s="17" t="str">
        <f ca="1">IF(ISNA($B159),"",IF($B159="","",IFERROR(_xll.BDP(TICKER,"DEEP_MEASURE_PERIOD_BROKER_VALUE","DEEP_MEASURE_ID_OVERRIDE",$C159,"DEEP_BROKER_ID_OVERRIDE",$F$7,"DEEP_PERIOD_OVERRIDE",AM$11)*1,"")))</f>
        <v/>
      </c>
      <c r="AN159" s="17" t="str">
        <f ca="1">IF(ISNA($B159),"",IF($B159="","",IFERROR(_xll.BDP(TICKER,"DEEP_MEASURE_PERIOD_BROKER_VALUE","DEEP_MEASURE_ID_OVERRIDE",$C159,"DEEP_BROKER_ID_OVERRIDE",$F$7,"DEEP_PERIOD_OVERRIDE",AN$11)*1,"")))</f>
        <v/>
      </c>
      <c r="AO159" s="17" t="str">
        <f ca="1">IF(ISNA($B159),"",IF($B159="","",IFERROR(_xll.BDP(TICKER,"DEEP_MEASURE_PERIOD_BROKER_VALUE","DEEP_MEASURE_ID_OVERRIDE",$C159,"DEEP_BROKER_ID_OVERRIDE",$F$7,"DEEP_PERIOD_OVERRIDE",AO$11)*1,"")))</f>
        <v/>
      </c>
      <c r="AP159" s="17" t="str">
        <f ca="1">IF(ISNA($B159),"",IF($B159="","",IFERROR(_xll.BDP(TICKER,"DEEP_MEASURE_PERIOD_BROKER_VALUE","DEEP_MEASURE_ID_OVERRIDE",$C159,"DEEP_BROKER_ID_OVERRIDE",$F$7,"DEEP_PERIOD_OVERRIDE",AP$11)*1,"")))</f>
        <v/>
      </c>
      <c r="AQ159" s="17" t="str">
        <f ca="1">IF(ISNA($B159),"",IF($B159="","",IFERROR(_xll.BDP(TICKER,"DEEP_MEASURE_PERIOD_BROKER_VALUE","DEEP_MEASURE_ID_OVERRIDE",$C159,"DEEP_BROKER_ID_OVERRIDE",$F$7,"DEEP_PERIOD_OVERRIDE",AQ$11)*1,"")))</f>
        <v/>
      </c>
    </row>
    <row r="160" spans="2:43" x14ac:dyDescent="0.25">
      <c r="B160" t="s">
        <v>50</v>
      </c>
      <c r="C160">
        <v>469</v>
      </c>
      <c r="H160" t="str">
        <f t="shared" si="4"/>
        <v>Assets &gt; Current Assets &gt; Short-Term Investment</v>
      </c>
      <c r="I160" s="17" t="str">
        <f ca="1">IF(ISNA($B160),"",IF($B160="","",IFERROR(_xll.BDP(TICKER,"DEEP_MEASURE_PERIOD_BROKER_VALUE","DEEP_MEASURE_ID_OVERRIDE",$C160,"DEEP_BROKER_ID_OVERRIDE",$F$7,"DEEP_PERIOD_OVERRIDE",I$11)*1,"")))</f>
        <v/>
      </c>
      <c r="J160" s="17" t="str">
        <f ca="1">IF(ISNA($B160),"",IF($B160="","",IFERROR(_xll.BDP(TICKER,"DEEP_MEASURE_PERIOD_BROKER_VALUE","DEEP_MEASURE_ID_OVERRIDE",$C160,"DEEP_BROKER_ID_OVERRIDE",$F$7,"DEEP_PERIOD_OVERRIDE",J$11)*1,"")))</f>
        <v/>
      </c>
      <c r="K160" s="17" t="str">
        <f ca="1">IF(ISNA($B160),"",IF($B160="","",IFERROR(_xll.BDP(TICKER,"DEEP_MEASURE_PERIOD_BROKER_VALUE","DEEP_MEASURE_ID_OVERRIDE",$C160,"DEEP_BROKER_ID_OVERRIDE",$F$7,"DEEP_PERIOD_OVERRIDE",K$11)*1,"")))</f>
        <v/>
      </c>
      <c r="L160" s="17" t="str">
        <f ca="1">IF(ISNA($B160),"",IF($B160="","",IFERROR(_xll.BDP(TICKER,"DEEP_MEASURE_PERIOD_BROKER_VALUE","DEEP_MEASURE_ID_OVERRIDE",$C160,"DEEP_BROKER_ID_OVERRIDE",$F$7,"DEEP_PERIOD_OVERRIDE",L$11)*1,"")))</f>
        <v/>
      </c>
      <c r="M160" s="17" t="str">
        <f ca="1">IF(ISNA($B160),"",IF($B160="","",IFERROR(_xll.BDP(TICKER,"DEEP_MEASURE_PERIOD_BROKER_VALUE","DEEP_MEASURE_ID_OVERRIDE",$C160,"DEEP_BROKER_ID_OVERRIDE",$F$7,"DEEP_PERIOD_OVERRIDE",M$11)*1,"")))</f>
        <v/>
      </c>
      <c r="N160" s="17" t="str">
        <f ca="1">IF(ISNA($B160),"",IF($B160="","",IFERROR(_xll.BDP(TICKER,"DEEP_MEASURE_PERIOD_BROKER_VALUE","DEEP_MEASURE_ID_OVERRIDE",$C160,"DEEP_BROKER_ID_OVERRIDE",$F$7,"DEEP_PERIOD_OVERRIDE",N$11)*1,"")))</f>
        <v/>
      </c>
      <c r="O160" s="17" t="str">
        <f ca="1">IF(ISNA($B160),"",IF($B160="","",IFERROR(_xll.BDP(TICKER,"DEEP_MEASURE_PERIOD_BROKER_VALUE","DEEP_MEASURE_ID_OVERRIDE",$C160,"DEEP_BROKER_ID_OVERRIDE",$F$7,"DEEP_PERIOD_OVERRIDE",O$11)*1,"")))</f>
        <v/>
      </c>
      <c r="P160" s="17" t="str">
        <f ca="1">IF(ISNA($B160),"",IF($B160="","",IFERROR(_xll.BDP(TICKER,"DEEP_MEASURE_PERIOD_BROKER_VALUE","DEEP_MEASURE_ID_OVERRIDE",$C160,"DEEP_BROKER_ID_OVERRIDE",$F$7,"DEEP_PERIOD_OVERRIDE",P$11)*1,"")))</f>
        <v/>
      </c>
      <c r="Q160" s="17" t="str">
        <f ca="1">IF(ISNA($B160),"",IF($B160="","",IFERROR(_xll.BDP(TICKER,"DEEP_MEASURE_PERIOD_BROKER_VALUE","DEEP_MEASURE_ID_OVERRIDE",$C160,"DEEP_BROKER_ID_OVERRIDE",$F$7,"DEEP_PERIOD_OVERRIDE",Q$11)*1,"")))</f>
        <v/>
      </c>
      <c r="R160" s="17" t="str">
        <f ca="1">IF(ISNA($B160),"",IF($B160="","",IFERROR(_xll.BDP(TICKER,"DEEP_MEASURE_PERIOD_BROKER_VALUE","DEEP_MEASURE_ID_OVERRIDE",$C160,"DEEP_BROKER_ID_OVERRIDE",$F$7,"DEEP_PERIOD_OVERRIDE",R$11)*1,"")))</f>
        <v/>
      </c>
      <c r="S160" s="17" t="str">
        <f ca="1">IF(ISNA($B160),"",IF($B160="","",IFERROR(_xll.BDP(TICKER,"DEEP_MEASURE_PERIOD_BROKER_VALUE","DEEP_MEASURE_ID_OVERRIDE",$C160,"DEEP_BROKER_ID_OVERRIDE",$F$7,"DEEP_PERIOD_OVERRIDE",S$11)*1,"")))</f>
        <v/>
      </c>
      <c r="T160" s="17" t="str">
        <f ca="1">IF(ISNA($B160),"",IF($B160="","",IFERROR(_xll.BDP(TICKER,"DEEP_MEASURE_PERIOD_BROKER_VALUE","DEEP_MEASURE_ID_OVERRIDE",$C160,"DEEP_BROKER_ID_OVERRIDE",$F$7,"DEEP_PERIOD_OVERRIDE",T$11)*1,"")))</f>
        <v/>
      </c>
      <c r="U160" s="17" t="str">
        <f ca="1">IF(ISNA($B160),"",IF($B160="","",IFERROR(_xll.BDP(TICKER,"DEEP_MEASURE_PERIOD_BROKER_VALUE","DEEP_MEASURE_ID_OVERRIDE",$C160,"DEEP_BROKER_ID_OVERRIDE",$F$7,"DEEP_PERIOD_OVERRIDE",U$11)*1,"")))</f>
        <v/>
      </c>
      <c r="V160" s="17" t="str">
        <f ca="1">IF(ISNA($B160),"",IF($B160="","",IFERROR(_xll.BDP(TICKER,"DEEP_MEASURE_PERIOD_BROKER_VALUE","DEEP_MEASURE_ID_OVERRIDE",$C160,"DEEP_BROKER_ID_OVERRIDE",$F$7,"DEEP_PERIOD_OVERRIDE",V$11)*1,"")))</f>
        <v/>
      </c>
      <c r="W160" s="17" t="str">
        <f ca="1">IF(ISNA($B160),"",IF($B160="","",IFERROR(_xll.BDP(TICKER,"DEEP_MEASURE_PERIOD_BROKER_VALUE","DEEP_MEASURE_ID_OVERRIDE",$C160,"DEEP_BROKER_ID_OVERRIDE",$F$7,"DEEP_PERIOD_OVERRIDE",W$11)*1,"")))</f>
        <v/>
      </c>
      <c r="X160" s="17" t="str">
        <f ca="1">IF(ISNA($B160),"",IF($B160="","",IFERROR(_xll.BDP(TICKER,"DEEP_MEASURE_PERIOD_BROKER_VALUE","DEEP_MEASURE_ID_OVERRIDE",$C160,"DEEP_BROKER_ID_OVERRIDE",$F$7,"DEEP_PERIOD_OVERRIDE",X$11)*1,"")))</f>
        <v/>
      </c>
      <c r="Y160" s="17" t="str">
        <f ca="1">IF(ISNA($B160),"",IF($B160="","",IFERROR(_xll.BDP(TICKER,"DEEP_MEASURE_PERIOD_BROKER_VALUE","DEEP_MEASURE_ID_OVERRIDE",$C160,"DEEP_BROKER_ID_OVERRIDE",$F$7,"DEEP_PERIOD_OVERRIDE",Y$11)*1,"")))</f>
        <v/>
      </c>
      <c r="Z160" s="17" t="str">
        <f ca="1">IF(ISNA($B160),"",IF($B160="","",IFERROR(_xll.BDP(TICKER,"DEEP_MEASURE_PERIOD_BROKER_VALUE","DEEP_MEASURE_ID_OVERRIDE",$C160,"DEEP_BROKER_ID_OVERRIDE",$F$7,"DEEP_PERIOD_OVERRIDE",Z$11)*1,"")))</f>
        <v/>
      </c>
      <c r="AA160" s="17" t="str">
        <f ca="1">IF(ISNA($B160),"",IF($B160="","",IFERROR(_xll.BDP(TICKER,"DEEP_MEASURE_PERIOD_BROKER_VALUE","DEEP_MEASURE_ID_OVERRIDE",$C160,"DEEP_BROKER_ID_OVERRIDE",$F$7,"DEEP_PERIOD_OVERRIDE",AA$11)*1,"")))</f>
        <v/>
      </c>
      <c r="AB160" s="17" t="str">
        <f ca="1">IF(ISNA($B160),"",IF($B160="","",IFERROR(_xll.BDP(TICKER,"DEEP_MEASURE_PERIOD_BROKER_VALUE","DEEP_MEASURE_ID_OVERRIDE",$C160,"DEEP_BROKER_ID_OVERRIDE",$F$7,"DEEP_PERIOD_OVERRIDE",AB$11)*1,"")))</f>
        <v/>
      </c>
      <c r="AC160" s="17" t="str">
        <f ca="1">IF(ISNA($B160),"",IF($B160="","",IFERROR(_xll.BDP(TICKER,"DEEP_MEASURE_PERIOD_BROKER_VALUE","DEEP_MEASURE_ID_OVERRIDE",$C160,"DEEP_BROKER_ID_OVERRIDE",$F$7,"DEEP_PERIOD_OVERRIDE",AC$11)*1,"")))</f>
        <v/>
      </c>
      <c r="AD160" s="17" t="str">
        <f ca="1">IF(ISNA($B160),"",IF($B160="","",IFERROR(_xll.BDP(TICKER,"DEEP_MEASURE_PERIOD_BROKER_VALUE","DEEP_MEASURE_ID_OVERRIDE",$C160,"DEEP_BROKER_ID_OVERRIDE",$F$7,"DEEP_PERIOD_OVERRIDE",AD$11)*1,"")))</f>
        <v/>
      </c>
      <c r="AE160" s="17" t="str">
        <f ca="1">IF(ISNA($B160),"",IF($B160="","",IFERROR(_xll.BDP(TICKER,"DEEP_MEASURE_PERIOD_BROKER_VALUE","DEEP_MEASURE_ID_OVERRIDE",$C160,"DEEP_BROKER_ID_OVERRIDE",$F$7,"DEEP_PERIOD_OVERRIDE",AE$11)*1,"")))</f>
        <v/>
      </c>
      <c r="AF160" s="17" t="str">
        <f ca="1">IF(ISNA($B160),"",IF($B160="","",IFERROR(_xll.BDP(TICKER,"DEEP_MEASURE_PERIOD_BROKER_VALUE","DEEP_MEASURE_ID_OVERRIDE",$C160,"DEEP_BROKER_ID_OVERRIDE",$F$7,"DEEP_PERIOD_OVERRIDE",AF$11)*1,"")))</f>
        <v/>
      </c>
      <c r="AG160" s="17" t="str">
        <f ca="1">IF(ISNA($B160),"",IF($B160="","",IFERROR(_xll.BDP(TICKER,"DEEP_MEASURE_PERIOD_BROKER_VALUE","DEEP_MEASURE_ID_OVERRIDE",$C160,"DEEP_BROKER_ID_OVERRIDE",$F$7,"DEEP_PERIOD_OVERRIDE",AG$11)*1,"")))</f>
        <v/>
      </c>
      <c r="AH160" s="17" t="str">
        <f ca="1">IF(ISNA($B160),"",IF($B160="","",IFERROR(_xll.BDP(TICKER,"DEEP_MEASURE_PERIOD_BROKER_VALUE","DEEP_MEASURE_ID_OVERRIDE",$C160,"DEEP_BROKER_ID_OVERRIDE",$F$7,"DEEP_PERIOD_OVERRIDE",AH$11)*1,"")))</f>
        <v/>
      </c>
      <c r="AI160" s="17" t="str">
        <f ca="1">IF(ISNA($B160),"",IF($B160="","",IFERROR(_xll.BDP(TICKER,"DEEP_MEASURE_PERIOD_BROKER_VALUE","DEEP_MEASURE_ID_OVERRIDE",$C160,"DEEP_BROKER_ID_OVERRIDE",$F$7,"DEEP_PERIOD_OVERRIDE",AI$11)*1,"")))</f>
        <v/>
      </c>
      <c r="AJ160" s="17" t="str">
        <f ca="1">IF(ISNA($B160),"",IF($B160="","",IFERROR(_xll.BDP(TICKER,"DEEP_MEASURE_PERIOD_BROKER_VALUE","DEEP_MEASURE_ID_OVERRIDE",$C160,"DEEP_BROKER_ID_OVERRIDE",$F$7,"DEEP_PERIOD_OVERRIDE",AJ$11)*1,"")))</f>
        <v/>
      </c>
      <c r="AK160" s="17" t="str">
        <f ca="1">IF(ISNA($B160),"",IF($B160="","",IFERROR(_xll.BDP(TICKER,"DEEP_MEASURE_PERIOD_BROKER_VALUE","DEEP_MEASURE_ID_OVERRIDE",$C160,"DEEP_BROKER_ID_OVERRIDE",$F$7,"DEEP_PERIOD_OVERRIDE",AK$11)*1,"")))</f>
        <v/>
      </c>
      <c r="AL160" s="17" t="str">
        <f ca="1">IF(ISNA($B160),"",IF($B160="","",IFERROR(_xll.BDP(TICKER,"DEEP_MEASURE_PERIOD_BROKER_VALUE","DEEP_MEASURE_ID_OVERRIDE",$C160,"DEEP_BROKER_ID_OVERRIDE",$F$7,"DEEP_PERIOD_OVERRIDE",AL$11)*1,"")))</f>
        <v/>
      </c>
      <c r="AM160" s="17" t="str">
        <f ca="1">IF(ISNA($B160),"",IF($B160="","",IFERROR(_xll.BDP(TICKER,"DEEP_MEASURE_PERIOD_BROKER_VALUE","DEEP_MEASURE_ID_OVERRIDE",$C160,"DEEP_BROKER_ID_OVERRIDE",$F$7,"DEEP_PERIOD_OVERRIDE",AM$11)*1,"")))</f>
        <v/>
      </c>
      <c r="AN160" s="17" t="str">
        <f ca="1">IF(ISNA($B160),"",IF($B160="","",IFERROR(_xll.BDP(TICKER,"DEEP_MEASURE_PERIOD_BROKER_VALUE","DEEP_MEASURE_ID_OVERRIDE",$C160,"DEEP_BROKER_ID_OVERRIDE",$F$7,"DEEP_PERIOD_OVERRIDE",AN$11)*1,"")))</f>
        <v/>
      </c>
      <c r="AO160" s="17" t="str">
        <f ca="1">IF(ISNA($B160),"",IF($B160="","",IFERROR(_xll.BDP(TICKER,"DEEP_MEASURE_PERIOD_BROKER_VALUE","DEEP_MEASURE_ID_OVERRIDE",$C160,"DEEP_BROKER_ID_OVERRIDE",$F$7,"DEEP_PERIOD_OVERRIDE",AO$11)*1,"")))</f>
        <v/>
      </c>
      <c r="AP160" s="17" t="str">
        <f ca="1">IF(ISNA($B160),"",IF($B160="","",IFERROR(_xll.BDP(TICKER,"DEEP_MEASURE_PERIOD_BROKER_VALUE","DEEP_MEASURE_ID_OVERRIDE",$C160,"DEEP_BROKER_ID_OVERRIDE",$F$7,"DEEP_PERIOD_OVERRIDE",AP$11)*1,"")))</f>
        <v/>
      </c>
      <c r="AQ160" s="17" t="str">
        <f ca="1">IF(ISNA($B160),"",IF($B160="","",IFERROR(_xll.BDP(TICKER,"DEEP_MEASURE_PERIOD_BROKER_VALUE","DEEP_MEASURE_ID_OVERRIDE",$C160,"DEEP_BROKER_ID_OVERRIDE",$F$7,"DEEP_PERIOD_OVERRIDE",AQ$11)*1,"")))</f>
        <v/>
      </c>
    </row>
    <row r="161" spans="2:43" x14ac:dyDescent="0.25">
      <c r="B161" t="s">
        <v>191</v>
      </c>
      <c r="C161">
        <v>474</v>
      </c>
      <c r="H161" t="str">
        <f t="shared" si="4"/>
        <v>Assets &gt; Current Assets &gt; Prepaid Expenses &amp; Other Current Assets</v>
      </c>
      <c r="I161" s="17" t="str">
        <f ca="1">IF(ISNA($B161),"",IF($B161="","",IFERROR(_xll.BDP(TICKER,"DEEP_MEASURE_PERIOD_BROKER_VALUE","DEEP_MEASURE_ID_OVERRIDE",$C161,"DEEP_BROKER_ID_OVERRIDE",$F$7,"DEEP_PERIOD_OVERRIDE",I$11)*1,"")))</f>
        <v/>
      </c>
      <c r="J161" s="17" t="str">
        <f ca="1">IF(ISNA($B161),"",IF($B161="","",IFERROR(_xll.BDP(TICKER,"DEEP_MEASURE_PERIOD_BROKER_VALUE","DEEP_MEASURE_ID_OVERRIDE",$C161,"DEEP_BROKER_ID_OVERRIDE",$F$7,"DEEP_PERIOD_OVERRIDE",J$11)*1,"")))</f>
        <v/>
      </c>
      <c r="K161" s="17" t="str">
        <f ca="1">IF(ISNA($B161),"",IF($B161="","",IFERROR(_xll.BDP(TICKER,"DEEP_MEASURE_PERIOD_BROKER_VALUE","DEEP_MEASURE_ID_OVERRIDE",$C161,"DEEP_BROKER_ID_OVERRIDE",$F$7,"DEEP_PERIOD_OVERRIDE",K$11)*1,"")))</f>
        <v/>
      </c>
      <c r="L161" s="17" t="str">
        <f ca="1">IF(ISNA($B161),"",IF($B161="","",IFERROR(_xll.BDP(TICKER,"DEEP_MEASURE_PERIOD_BROKER_VALUE","DEEP_MEASURE_ID_OVERRIDE",$C161,"DEEP_BROKER_ID_OVERRIDE",$F$7,"DEEP_PERIOD_OVERRIDE",L$11)*1,"")))</f>
        <v/>
      </c>
      <c r="M161" s="17" t="str">
        <f ca="1">IF(ISNA($B161),"",IF($B161="","",IFERROR(_xll.BDP(TICKER,"DEEP_MEASURE_PERIOD_BROKER_VALUE","DEEP_MEASURE_ID_OVERRIDE",$C161,"DEEP_BROKER_ID_OVERRIDE",$F$7,"DEEP_PERIOD_OVERRIDE",M$11)*1,"")))</f>
        <v/>
      </c>
      <c r="N161" s="17" t="str">
        <f ca="1">IF(ISNA($B161),"",IF($B161="","",IFERROR(_xll.BDP(TICKER,"DEEP_MEASURE_PERIOD_BROKER_VALUE","DEEP_MEASURE_ID_OVERRIDE",$C161,"DEEP_BROKER_ID_OVERRIDE",$F$7,"DEEP_PERIOD_OVERRIDE",N$11)*1,"")))</f>
        <v/>
      </c>
      <c r="O161" s="17" t="str">
        <f ca="1">IF(ISNA($B161),"",IF($B161="","",IFERROR(_xll.BDP(TICKER,"DEEP_MEASURE_PERIOD_BROKER_VALUE","DEEP_MEASURE_ID_OVERRIDE",$C161,"DEEP_BROKER_ID_OVERRIDE",$F$7,"DEEP_PERIOD_OVERRIDE",O$11)*1,"")))</f>
        <v/>
      </c>
      <c r="P161" s="17" t="str">
        <f ca="1">IF(ISNA($B161),"",IF($B161="","",IFERROR(_xll.BDP(TICKER,"DEEP_MEASURE_PERIOD_BROKER_VALUE","DEEP_MEASURE_ID_OVERRIDE",$C161,"DEEP_BROKER_ID_OVERRIDE",$F$7,"DEEP_PERIOD_OVERRIDE",P$11)*1,"")))</f>
        <v/>
      </c>
      <c r="Q161" s="17" t="str">
        <f ca="1">IF(ISNA($B161),"",IF($B161="","",IFERROR(_xll.BDP(TICKER,"DEEP_MEASURE_PERIOD_BROKER_VALUE","DEEP_MEASURE_ID_OVERRIDE",$C161,"DEEP_BROKER_ID_OVERRIDE",$F$7,"DEEP_PERIOD_OVERRIDE",Q$11)*1,"")))</f>
        <v/>
      </c>
      <c r="R161" s="17" t="str">
        <f ca="1">IF(ISNA($B161),"",IF($B161="","",IFERROR(_xll.BDP(TICKER,"DEEP_MEASURE_PERIOD_BROKER_VALUE","DEEP_MEASURE_ID_OVERRIDE",$C161,"DEEP_BROKER_ID_OVERRIDE",$F$7,"DEEP_PERIOD_OVERRIDE",R$11)*1,"")))</f>
        <v/>
      </c>
      <c r="S161" s="17" t="str">
        <f ca="1">IF(ISNA($B161),"",IF($B161="","",IFERROR(_xll.BDP(TICKER,"DEEP_MEASURE_PERIOD_BROKER_VALUE","DEEP_MEASURE_ID_OVERRIDE",$C161,"DEEP_BROKER_ID_OVERRIDE",$F$7,"DEEP_PERIOD_OVERRIDE",S$11)*1,"")))</f>
        <v/>
      </c>
      <c r="T161" s="17" t="str">
        <f ca="1">IF(ISNA($B161),"",IF($B161="","",IFERROR(_xll.BDP(TICKER,"DEEP_MEASURE_PERIOD_BROKER_VALUE","DEEP_MEASURE_ID_OVERRIDE",$C161,"DEEP_BROKER_ID_OVERRIDE",$F$7,"DEEP_PERIOD_OVERRIDE",T$11)*1,"")))</f>
        <v/>
      </c>
      <c r="U161" s="17" t="str">
        <f ca="1">IF(ISNA($B161),"",IF($B161="","",IFERROR(_xll.BDP(TICKER,"DEEP_MEASURE_PERIOD_BROKER_VALUE","DEEP_MEASURE_ID_OVERRIDE",$C161,"DEEP_BROKER_ID_OVERRIDE",$F$7,"DEEP_PERIOD_OVERRIDE",U$11)*1,"")))</f>
        <v/>
      </c>
      <c r="V161" s="17" t="str">
        <f ca="1">IF(ISNA($B161),"",IF($B161="","",IFERROR(_xll.BDP(TICKER,"DEEP_MEASURE_PERIOD_BROKER_VALUE","DEEP_MEASURE_ID_OVERRIDE",$C161,"DEEP_BROKER_ID_OVERRIDE",$F$7,"DEEP_PERIOD_OVERRIDE",V$11)*1,"")))</f>
        <v/>
      </c>
      <c r="W161" s="17" t="str">
        <f ca="1">IF(ISNA($B161),"",IF($B161="","",IFERROR(_xll.BDP(TICKER,"DEEP_MEASURE_PERIOD_BROKER_VALUE","DEEP_MEASURE_ID_OVERRIDE",$C161,"DEEP_BROKER_ID_OVERRIDE",$F$7,"DEEP_PERIOD_OVERRIDE",W$11)*1,"")))</f>
        <v/>
      </c>
      <c r="X161" s="17" t="str">
        <f ca="1">IF(ISNA($B161),"",IF($B161="","",IFERROR(_xll.BDP(TICKER,"DEEP_MEASURE_PERIOD_BROKER_VALUE","DEEP_MEASURE_ID_OVERRIDE",$C161,"DEEP_BROKER_ID_OVERRIDE",$F$7,"DEEP_PERIOD_OVERRIDE",X$11)*1,"")))</f>
        <v/>
      </c>
      <c r="Y161" s="17" t="str">
        <f ca="1">IF(ISNA($B161),"",IF($B161="","",IFERROR(_xll.BDP(TICKER,"DEEP_MEASURE_PERIOD_BROKER_VALUE","DEEP_MEASURE_ID_OVERRIDE",$C161,"DEEP_BROKER_ID_OVERRIDE",$F$7,"DEEP_PERIOD_OVERRIDE",Y$11)*1,"")))</f>
        <v/>
      </c>
      <c r="Z161" s="17" t="str">
        <f ca="1">IF(ISNA($B161),"",IF($B161="","",IFERROR(_xll.BDP(TICKER,"DEEP_MEASURE_PERIOD_BROKER_VALUE","DEEP_MEASURE_ID_OVERRIDE",$C161,"DEEP_BROKER_ID_OVERRIDE",$F$7,"DEEP_PERIOD_OVERRIDE",Z$11)*1,"")))</f>
        <v/>
      </c>
      <c r="AA161" s="17" t="str">
        <f ca="1">IF(ISNA($B161),"",IF($B161="","",IFERROR(_xll.BDP(TICKER,"DEEP_MEASURE_PERIOD_BROKER_VALUE","DEEP_MEASURE_ID_OVERRIDE",$C161,"DEEP_BROKER_ID_OVERRIDE",$F$7,"DEEP_PERIOD_OVERRIDE",AA$11)*1,"")))</f>
        <v/>
      </c>
      <c r="AB161" s="17" t="str">
        <f ca="1">IF(ISNA($B161),"",IF($B161="","",IFERROR(_xll.BDP(TICKER,"DEEP_MEASURE_PERIOD_BROKER_VALUE","DEEP_MEASURE_ID_OVERRIDE",$C161,"DEEP_BROKER_ID_OVERRIDE",$F$7,"DEEP_PERIOD_OVERRIDE",AB$11)*1,"")))</f>
        <v/>
      </c>
      <c r="AC161" s="17" t="str">
        <f ca="1">IF(ISNA($B161),"",IF($B161="","",IFERROR(_xll.BDP(TICKER,"DEEP_MEASURE_PERIOD_BROKER_VALUE","DEEP_MEASURE_ID_OVERRIDE",$C161,"DEEP_BROKER_ID_OVERRIDE",$F$7,"DEEP_PERIOD_OVERRIDE",AC$11)*1,"")))</f>
        <v/>
      </c>
      <c r="AD161" s="17" t="str">
        <f ca="1">IF(ISNA($B161),"",IF($B161="","",IFERROR(_xll.BDP(TICKER,"DEEP_MEASURE_PERIOD_BROKER_VALUE","DEEP_MEASURE_ID_OVERRIDE",$C161,"DEEP_BROKER_ID_OVERRIDE",$F$7,"DEEP_PERIOD_OVERRIDE",AD$11)*1,"")))</f>
        <v/>
      </c>
      <c r="AE161" s="17" t="str">
        <f ca="1">IF(ISNA($B161),"",IF($B161="","",IFERROR(_xll.BDP(TICKER,"DEEP_MEASURE_PERIOD_BROKER_VALUE","DEEP_MEASURE_ID_OVERRIDE",$C161,"DEEP_BROKER_ID_OVERRIDE",$F$7,"DEEP_PERIOD_OVERRIDE",AE$11)*1,"")))</f>
        <v/>
      </c>
      <c r="AF161" s="17" t="str">
        <f ca="1">IF(ISNA($B161),"",IF($B161="","",IFERROR(_xll.BDP(TICKER,"DEEP_MEASURE_PERIOD_BROKER_VALUE","DEEP_MEASURE_ID_OVERRIDE",$C161,"DEEP_BROKER_ID_OVERRIDE",$F$7,"DEEP_PERIOD_OVERRIDE",AF$11)*1,"")))</f>
        <v/>
      </c>
      <c r="AG161" s="17" t="str">
        <f ca="1">IF(ISNA($B161),"",IF($B161="","",IFERROR(_xll.BDP(TICKER,"DEEP_MEASURE_PERIOD_BROKER_VALUE","DEEP_MEASURE_ID_OVERRIDE",$C161,"DEEP_BROKER_ID_OVERRIDE",$F$7,"DEEP_PERIOD_OVERRIDE",AG$11)*1,"")))</f>
        <v/>
      </c>
      <c r="AH161" s="17" t="str">
        <f ca="1">IF(ISNA($B161),"",IF($B161="","",IFERROR(_xll.BDP(TICKER,"DEEP_MEASURE_PERIOD_BROKER_VALUE","DEEP_MEASURE_ID_OVERRIDE",$C161,"DEEP_BROKER_ID_OVERRIDE",$F$7,"DEEP_PERIOD_OVERRIDE",AH$11)*1,"")))</f>
        <v/>
      </c>
      <c r="AI161" s="17" t="str">
        <f ca="1">IF(ISNA($B161),"",IF($B161="","",IFERROR(_xll.BDP(TICKER,"DEEP_MEASURE_PERIOD_BROKER_VALUE","DEEP_MEASURE_ID_OVERRIDE",$C161,"DEEP_BROKER_ID_OVERRIDE",$F$7,"DEEP_PERIOD_OVERRIDE",AI$11)*1,"")))</f>
        <v/>
      </c>
      <c r="AJ161" s="17" t="str">
        <f ca="1">IF(ISNA($B161),"",IF($B161="","",IFERROR(_xll.BDP(TICKER,"DEEP_MEASURE_PERIOD_BROKER_VALUE","DEEP_MEASURE_ID_OVERRIDE",$C161,"DEEP_BROKER_ID_OVERRIDE",$F$7,"DEEP_PERIOD_OVERRIDE",AJ$11)*1,"")))</f>
        <v/>
      </c>
      <c r="AK161" s="17" t="str">
        <f ca="1">IF(ISNA($B161),"",IF($B161="","",IFERROR(_xll.BDP(TICKER,"DEEP_MEASURE_PERIOD_BROKER_VALUE","DEEP_MEASURE_ID_OVERRIDE",$C161,"DEEP_BROKER_ID_OVERRIDE",$F$7,"DEEP_PERIOD_OVERRIDE",AK$11)*1,"")))</f>
        <v/>
      </c>
      <c r="AL161" s="17" t="str">
        <f ca="1">IF(ISNA($B161),"",IF($B161="","",IFERROR(_xll.BDP(TICKER,"DEEP_MEASURE_PERIOD_BROKER_VALUE","DEEP_MEASURE_ID_OVERRIDE",$C161,"DEEP_BROKER_ID_OVERRIDE",$F$7,"DEEP_PERIOD_OVERRIDE",AL$11)*1,"")))</f>
        <v/>
      </c>
      <c r="AM161" s="17" t="str">
        <f ca="1">IF(ISNA($B161),"",IF($B161="","",IFERROR(_xll.BDP(TICKER,"DEEP_MEASURE_PERIOD_BROKER_VALUE","DEEP_MEASURE_ID_OVERRIDE",$C161,"DEEP_BROKER_ID_OVERRIDE",$F$7,"DEEP_PERIOD_OVERRIDE",AM$11)*1,"")))</f>
        <v/>
      </c>
      <c r="AN161" s="17" t="str">
        <f ca="1">IF(ISNA($B161),"",IF($B161="","",IFERROR(_xll.BDP(TICKER,"DEEP_MEASURE_PERIOD_BROKER_VALUE","DEEP_MEASURE_ID_OVERRIDE",$C161,"DEEP_BROKER_ID_OVERRIDE",$F$7,"DEEP_PERIOD_OVERRIDE",AN$11)*1,"")))</f>
        <v/>
      </c>
      <c r="AO161" s="17" t="str">
        <f ca="1">IF(ISNA($B161),"",IF($B161="","",IFERROR(_xll.BDP(TICKER,"DEEP_MEASURE_PERIOD_BROKER_VALUE","DEEP_MEASURE_ID_OVERRIDE",$C161,"DEEP_BROKER_ID_OVERRIDE",$F$7,"DEEP_PERIOD_OVERRIDE",AO$11)*1,"")))</f>
        <v/>
      </c>
      <c r="AP161" s="17" t="str">
        <f ca="1">IF(ISNA($B161),"",IF($B161="","",IFERROR(_xll.BDP(TICKER,"DEEP_MEASURE_PERIOD_BROKER_VALUE","DEEP_MEASURE_ID_OVERRIDE",$C161,"DEEP_BROKER_ID_OVERRIDE",$F$7,"DEEP_PERIOD_OVERRIDE",AP$11)*1,"")))</f>
        <v/>
      </c>
      <c r="AQ161" s="17" t="str">
        <f ca="1">IF(ISNA($B161),"",IF($B161="","",IFERROR(_xll.BDP(TICKER,"DEEP_MEASURE_PERIOD_BROKER_VALUE","DEEP_MEASURE_ID_OVERRIDE",$C161,"DEEP_BROKER_ID_OVERRIDE",$F$7,"DEEP_PERIOD_OVERRIDE",AQ$11)*1,"")))</f>
        <v/>
      </c>
    </row>
    <row r="162" spans="2:43" x14ac:dyDescent="0.25">
      <c r="B162" t="s">
        <v>192</v>
      </c>
      <c r="C162">
        <v>501</v>
      </c>
      <c r="H162" t="str">
        <f t="shared" si="4"/>
        <v>Assets &gt; Current Assets &gt; Prepaid Expenses &amp; Other Current Assets &gt; As % of Revenue</v>
      </c>
      <c r="I162" s="17" t="str">
        <f ca="1">IF(ISNA($B162),"",IF($B162="","",IFERROR(_xll.BDP(TICKER,"DEEP_MEASURE_PERIOD_BROKER_VALUE","DEEP_MEASURE_ID_OVERRIDE",$C162,"DEEP_BROKER_ID_OVERRIDE",$F$7,"DEEP_PERIOD_OVERRIDE",I$11)*1,"")))</f>
        <v/>
      </c>
      <c r="J162" s="17" t="str">
        <f ca="1">IF(ISNA($B162),"",IF($B162="","",IFERROR(_xll.BDP(TICKER,"DEEP_MEASURE_PERIOD_BROKER_VALUE","DEEP_MEASURE_ID_OVERRIDE",$C162,"DEEP_BROKER_ID_OVERRIDE",$F$7,"DEEP_PERIOD_OVERRIDE",J$11)*1,"")))</f>
        <v/>
      </c>
      <c r="K162" s="17" t="str">
        <f ca="1">IF(ISNA($B162),"",IF($B162="","",IFERROR(_xll.BDP(TICKER,"DEEP_MEASURE_PERIOD_BROKER_VALUE","DEEP_MEASURE_ID_OVERRIDE",$C162,"DEEP_BROKER_ID_OVERRIDE",$F$7,"DEEP_PERIOD_OVERRIDE",K$11)*1,"")))</f>
        <v/>
      </c>
      <c r="L162" s="17" t="str">
        <f ca="1">IF(ISNA($B162),"",IF($B162="","",IFERROR(_xll.BDP(TICKER,"DEEP_MEASURE_PERIOD_BROKER_VALUE","DEEP_MEASURE_ID_OVERRIDE",$C162,"DEEP_BROKER_ID_OVERRIDE",$F$7,"DEEP_PERIOD_OVERRIDE",L$11)*1,"")))</f>
        <v/>
      </c>
      <c r="M162" s="17" t="str">
        <f ca="1">IF(ISNA($B162),"",IF($B162="","",IFERROR(_xll.BDP(TICKER,"DEEP_MEASURE_PERIOD_BROKER_VALUE","DEEP_MEASURE_ID_OVERRIDE",$C162,"DEEP_BROKER_ID_OVERRIDE",$F$7,"DEEP_PERIOD_OVERRIDE",M$11)*1,"")))</f>
        <v/>
      </c>
      <c r="N162" s="17" t="str">
        <f ca="1">IF(ISNA($B162),"",IF($B162="","",IFERROR(_xll.BDP(TICKER,"DEEP_MEASURE_PERIOD_BROKER_VALUE","DEEP_MEASURE_ID_OVERRIDE",$C162,"DEEP_BROKER_ID_OVERRIDE",$F$7,"DEEP_PERIOD_OVERRIDE",N$11)*1,"")))</f>
        <v/>
      </c>
      <c r="O162" s="17" t="str">
        <f ca="1">IF(ISNA($B162),"",IF($B162="","",IFERROR(_xll.BDP(TICKER,"DEEP_MEASURE_PERIOD_BROKER_VALUE","DEEP_MEASURE_ID_OVERRIDE",$C162,"DEEP_BROKER_ID_OVERRIDE",$F$7,"DEEP_PERIOD_OVERRIDE",O$11)*1,"")))</f>
        <v/>
      </c>
      <c r="P162" s="17" t="str">
        <f ca="1">IF(ISNA($B162),"",IF($B162="","",IFERROR(_xll.BDP(TICKER,"DEEP_MEASURE_PERIOD_BROKER_VALUE","DEEP_MEASURE_ID_OVERRIDE",$C162,"DEEP_BROKER_ID_OVERRIDE",$F$7,"DEEP_PERIOD_OVERRIDE",P$11)*1,"")))</f>
        <v/>
      </c>
      <c r="Q162" s="17" t="str">
        <f ca="1">IF(ISNA($B162),"",IF($B162="","",IFERROR(_xll.BDP(TICKER,"DEEP_MEASURE_PERIOD_BROKER_VALUE","DEEP_MEASURE_ID_OVERRIDE",$C162,"DEEP_BROKER_ID_OVERRIDE",$F$7,"DEEP_PERIOD_OVERRIDE",Q$11)*1,"")))</f>
        <v/>
      </c>
      <c r="R162" s="17" t="str">
        <f ca="1">IF(ISNA($B162),"",IF($B162="","",IFERROR(_xll.BDP(TICKER,"DEEP_MEASURE_PERIOD_BROKER_VALUE","DEEP_MEASURE_ID_OVERRIDE",$C162,"DEEP_BROKER_ID_OVERRIDE",$F$7,"DEEP_PERIOD_OVERRIDE",R$11)*1,"")))</f>
        <v/>
      </c>
      <c r="S162" s="17" t="str">
        <f ca="1">IF(ISNA($B162),"",IF($B162="","",IFERROR(_xll.BDP(TICKER,"DEEP_MEASURE_PERIOD_BROKER_VALUE","DEEP_MEASURE_ID_OVERRIDE",$C162,"DEEP_BROKER_ID_OVERRIDE",$F$7,"DEEP_PERIOD_OVERRIDE",S$11)*1,"")))</f>
        <v/>
      </c>
      <c r="T162" s="17" t="str">
        <f ca="1">IF(ISNA($B162),"",IF($B162="","",IFERROR(_xll.BDP(TICKER,"DEEP_MEASURE_PERIOD_BROKER_VALUE","DEEP_MEASURE_ID_OVERRIDE",$C162,"DEEP_BROKER_ID_OVERRIDE",$F$7,"DEEP_PERIOD_OVERRIDE",T$11)*1,"")))</f>
        <v/>
      </c>
      <c r="U162" s="17" t="str">
        <f ca="1">IF(ISNA($B162),"",IF($B162="","",IFERROR(_xll.BDP(TICKER,"DEEP_MEASURE_PERIOD_BROKER_VALUE","DEEP_MEASURE_ID_OVERRIDE",$C162,"DEEP_BROKER_ID_OVERRIDE",$F$7,"DEEP_PERIOD_OVERRIDE",U$11)*1,"")))</f>
        <v/>
      </c>
      <c r="V162" s="17" t="str">
        <f ca="1">IF(ISNA($B162),"",IF($B162="","",IFERROR(_xll.BDP(TICKER,"DEEP_MEASURE_PERIOD_BROKER_VALUE","DEEP_MEASURE_ID_OVERRIDE",$C162,"DEEP_BROKER_ID_OVERRIDE",$F$7,"DEEP_PERIOD_OVERRIDE",V$11)*1,"")))</f>
        <v/>
      </c>
      <c r="W162" s="17" t="str">
        <f ca="1">IF(ISNA($B162),"",IF($B162="","",IFERROR(_xll.BDP(TICKER,"DEEP_MEASURE_PERIOD_BROKER_VALUE","DEEP_MEASURE_ID_OVERRIDE",$C162,"DEEP_BROKER_ID_OVERRIDE",$F$7,"DEEP_PERIOD_OVERRIDE",W$11)*1,"")))</f>
        <v/>
      </c>
      <c r="X162" s="17" t="str">
        <f ca="1">IF(ISNA($B162),"",IF($B162="","",IFERROR(_xll.BDP(TICKER,"DEEP_MEASURE_PERIOD_BROKER_VALUE","DEEP_MEASURE_ID_OVERRIDE",$C162,"DEEP_BROKER_ID_OVERRIDE",$F$7,"DEEP_PERIOD_OVERRIDE",X$11)*1,"")))</f>
        <v/>
      </c>
      <c r="Y162" s="17" t="str">
        <f ca="1">IF(ISNA($B162),"",IF($B162="","",IFERROR(_xll.BDP(TICKER,"DEEP_MEASURE_PERIOD_BROKER_VALUE","DEEP_MEASURE_ID_OVERRIDE",$C162,"DEEP_BROKER_ID_OVERRIDE",$F$7,"DEEP_PERIOD_OVERRIDE",Y$11)*1,"")))</f>
        <v/>
      </c>
      <c r="Z162" s="17" t="str">
        <f ca="1">IF(ISNA($B162),"",IF($B162="","",IFERROR(_xll.BDP(TICKER,"DEEP_MEASURE_PERIOD_BROKER_VALUE","DEEP_MEASURE_ID_OVERRIDE",$C162,"DEEP_BROKER_ID_OVERRIDE",$F$7,"DEEP_PERIOD_OVERRIDE",Z$11)*1,"")))</f>
        <v/>
      </c>
      <c r="AA162" s="17" t="str">
        <f ca="1">IF(ISNA($B162),"",IF($B162="","",IFERROR(_xll.BDP(TICKER,"DEEP_MEASURE_PERIOD_BROKER_VALUE","DEEP_MEASURE_ID_OVERRIDE",$C162,"DEEP_BROKER_ID_OVERRIDE",$F$7,"DEEP_PERIOD_OVERRIDE",AA$11)*1,"")))</f>
        <v/>
      </c>
      <c r="AB162" s="17" t="str">
        <f ca="1">IF(ISNA($B162),"",IF($B162="","",IFERROR(_xll.BDP(TICKER,"DEEP_MEASURE_PERIOD_BROKER_VALUE","DEEP_MEASURE_ID_OVERRIDE",$C162,"DEEP_BROKER_ID_OVERRIDE",$F$7,"DEEP_PERIOD_OVERRIDE",AB$11)*1,"")))</f>
        <v/>
      </c>
      <c r="AC162" s="17" t="str">
        <f ca="1">IF(ISNA($B162),"",IF($B162="","",IFERROR(_xll.BDP(TICKER,"DEEP_MEASURE_PERIOD_BROKER_VALUE","DEEP_MEASURE_ID_OVERRIDE",$C162,"DEEP_BROKER_ID_OVERRIDE",$F$7,"DEEP_PERIOD_OVERRIDE",AC$11)*1,"")))</f>
        <v/>
      </c>
      <c r="AD162" s="17" t="str">
        <f ca="1">IF(ISNA($B162),"",IF($B162="","",IFERROR(_xll.BDP(TICKER,"DEEP_MEASURE_PERIOD_BROKER_VALUE","DEEP_MEASURE_ID_OVERRIDE",$C162,"DEEP_BROKER_ID_OVERRIDE",$F$7,"DEEP_PERIOD_OVERRIDE",AD$11)*1,"")))</f>
        <v/>
      </c>
      <c r="AE162" s="17" t="str">
        <f ca="1">IF(ISNA($B162),"",IF($B162="","",IFERROR(_xll.BDP(TICKER,"DEEP_MEASURE_PERIOD_BROKER_VALUE","DEEP_MEASURE_ID_OVERRIDE",$C162,"DEEP_BROKER_ID_OVERRIDE",$F$7,"DEEP_PERIOD_OVERRIDE",AE$11)*1,"")))</f>
        <v/>
      </c>
      <c r="AF162" s="17" t="str">
        <f ca="1">IF(ISNA($B162),"",IF($B162="","",IFERROR(_xll.BDP(TICKER,"DEEP_MEASURE_PERIOD_BROKER_VALUE","DEEP_MEASURE_ID_OVERRIDE",$C162,"DEEP_BROKER_ID_OVERRIDE",$F$7,"DEEP_PERIOD_OVERRIDE",AF$11)*1,"")))</f>
        <v/>
      </c>
      <c r="AG162" s="17" t="str">
        <f ca="1">IF(ISNA($B162),"",IF($B162="","",IFERROR(_xll.BDP(TICKER,"DEEP_MEASURE_PERIOD_BROKER_VALUE","DEEP_MEASURE_ID_OVERRIDE",$C162,"DEEP_BROKER_ID_OVERRIDE",$F$7,"DEEP_PERIOD_OVERRIDE",AG$11)*1,"")))</f>
        <v/>
      </c>
      <c r="AH162" s="17" t="str">
        <f ca="1">IF(ISNA($B162),"",IF($B162="","",IFERROR(_xll.BDP(TICKER,"DEEP_MEASURE_PERIOD_BROKER_VALUE","DEEP_MEASURE_ID_OVERRIDE",$C162,"DEEP_BROKER_ID_OVERRIDE",$F$7,"DEEP_PERIOD_OVERRIDE",AH$11)*1,"")))</f>
        <v/>
      </c>
      <c r="AI162" s="17" t="str">
        <f ca="1">IF(ISNA($B162),"",IF($B162="","",IFERROR(_xll.BDP(TICKER,"DEEP_MEASURE_PERIOD_BROKER_VALUE","DEEP_MEASURE_ID_OVERRIDE",$C162,"DEEP_BROKER_ID_OVERRIDE",$F$7,"DEEP_PERIOD_OVERRIDE",AI$11)*1,"")))</f>
        <v/>
      </c>
      <c r="AJ162" s="17" t="str">
        <f ca="1">IF(ISNA($B162),"",IF($B162="","",IFERROR(_xll.BDP(TICKER,"DEEP_MEASURE_PERIOD_BROKER_VALUE","DEEP_MEASURE_ID_OVERRIDE",$C162,"DEEP_BROKER_ID_OVERRIDE",$F$7,"DEEP_PERIOD_OVERRIDE",AJ$11)*1,"")))</f>
        <v/>
      </c>
      <c r="AK162" s="17" t="str">
        <f ca="1">IF(ISNA($B162),"",IF($B162="","",IFERROR(_xll.BDP(TICKER,"DEEP_MEASURE_PERIOD_BROKER_VALUE","DEEP_MEASURE_ID_OVERRIDE",$C162,"DEEP_BROKER_ID_OVERRIDE",$F$7,"DEEP_PERIOD_OVERRIDE",AK$11)*1,"")))</f>
        <v/>
      </c>
      <c r="AL162" s="17" t="str">
        <f ca="1">IF(ISNA($B162),"",IF($B162="","",IFERROR(_xll.BDP(TICKER,"DEEP_MEASURE_PERIOD_BROKER_VALUE","DEEP_MEASURE_ID_OVERRIDE",$C162,"DEEP_BROKER_ID_OVERRIDE",$F$7,"DEEP_PERIOD_OVERRIDE",AL$11)*1,"")))</f>
        <v/>
      </c>
      <c r="AM162" s="17" t="str">
        <f ca="1">IF(ISNA($B162),"",IF($B162="","",IFERROR(_xll.BDP(TICKER,"DEEP_MEASURE_PERIOD_BROKER_VALUE","DEEP_MEASURE_ID_OVERRIDE",$C162,"DEEP_BROKER_ID_OVERRIDE",$F$7,"DEEP_PERIOD_OVERRIDE",AM$11)*1,"")))</f>
        <v/>
      </c>
      <c r="AN162" s="17" t="str">
        <f ca="1">IF(ISNA($B162),"",IF($B162="","",IFERROR(_xll.BDP(TICKER,"DEEP_MEASURE_PERIOD_BROKER_VALUE","DEEP_MEASURE_ID_OVERRIDE",$C162,"DEEP_BROKER_ID_OVERRIDE",$F$7,"DEEP_PERIOD_OVERRIDE",AN$11)*1,"")))</f>
        <v/>
      </c>
      <c r="AO162" s="17" t="str">
        <f ca="1">IF(ISNA($B162),"",IF($B162="","",IFERROR(_xll.BDP(TICKER,"DEEP_MEASURE_PERIOD_BROKER_VALUE","DEEP_MEASURE_ID_OVERRIDE",$C162,"DEEP_BROKER_ID_OVERRIDE",$F$7,"DEEP_PERIOD_OVERRIDE",AO$11)*1,"")))</f>
        <v/>
      </c>
      <c r="AP162" s="17" t="str">
        <f ca="1">IF(ISNA($B162),"",IF($B162="","",IFERROR(_xll.BDP(TICKER,"DEEP_MEASURE_PERIOD_BROKER_VALUE","DEEP_MEASURE_ID_OVERRIDE",$C162,"DEEP_BROKER_ID_OVERRIDE",$F$7,"DEEP_PERIOD_OVERRIDE",AP$11)*1,"")))</f>
        <v/>
      </c>
      <c r="AQ162" s="17" t="str">
        <f ca="1">IF(ISNA($B162),"",IF($B162="","",IFERROR(_xll.BDP(TICKER,"DEEP_MEASURE_PERIOD_BROKER_VALUE","DEEP_MEASURE_ID_OVERRIDE",$C162,"DEEP_BROKER_ID_OVERRIDE",$F$7,"DEEP_PERIOD_OVERRIDE",AQ$11)*1,"")))</f>
        <v/>
      </c>
    </row>
    <row r="163" spans="2:43" x14ac:dyDescent="0.25">
      <c r="B163" t="s">
        <v>193</v>
      </c>
      <c r="C163">
        <v>478</v>
      </c>
      <c r="H163" t="str">
        <f t="shared" si="4"/>
        <v>Assets &gt; Non-Current Assets &gt; Plant, Property &amp; Equipment</v>
      </c>
      <c r="I163" s="17" t="str">
        <f ca="1">IF(ISNA($B163),"",IF($B163="","",IFERROR(_xll.BDP(TICKER,"DEEP_MEASURE_PERIOD_BROKER_VALUE","DEEP_MEASURE_ID_OVERRIDE",$C163,"DEEP_BROKER_ID_OVERRIDE",$F$7,"DEEP_PERIOD_OVERRIDE",I$11)*1,"")))</f>
        <v/>
      </c>
      <c r="J163" s="17" t="str">
        <f ca="1">IF(ISNA($B163),"",IF($B163="","",IFERROR(_xll.BDP(TICKER,"DEEP_MEASURE_PERIOD_BROKER_VALUE","DEEP_MEASURE_ID_OVERRIDE",$C163,"DEEP_BROKER_ID_OVERRIDE",$F$7,"DEEP_PERIOD_OVERRIDE",J$11)*1,"")))</f>
        <v/>
      </c>
      <c r="K163" s="17" t="str">
        <f ca="1">IF(ISNA($B163),"",IF($B163="","",IFERROR(_xll.BDP(TICKER,"DEEP_MEASURE_PERIOD_BROKER_VALUE","DEEP_MEASURE_ID_OVERRIDE",$C163,"DEEP_BROKER_ID_OVERRIDE",$F$7,"DEEP_PERIOD_OVERRIDE",K$11)*1,"")))</f>
        <v/>
      </c>
      <c r="L163" s="17" t="str">
        <f ca="1">IF(ISNA($B163),"",IF($B163="","",IFERROR(_xll.BDP(TICKER,"DEEP_MEASURE_PERIOD_BROKER_VALUE","DEEP_MEASURE_ID_OVERRIDE",$C163,"DEEP_BROKER_ID_OVERRIDE",$F$7,"DEEP_PERIOD_OVERRIDE",L$11)*1,"")))</f>
        <v/>
      </c>
      <c r="M163" s="17" t="str">
        <f ca="1">IF(ISNA($B163),"",IF($B163="","",IFERROR(_xll.BDP(TICKER,"DEEP_MEASURE_PERIOD_BROKER_VALUE","DEEP_MEASURE_ID_OVERRIDE",$C163,"DEEP_BROKER_ID_OVERRIDE",$F$7,"DEEP_PERIOD_OVERRIDE",M$11)*1,"")))</f>
        <v/>
      </c>
      <c r="N163" s="17" t="str">
        <f ca="1">IF(ISNA($B163),"",IF($B163="","",IFERROR(_xll.BDP(TICKER,"DEEP_MEASURE_PERIOD_BROKER_VALUE","DEEP_MEASURE_ID_OVERRIDE",$C163,"DEEP_BROKER_ID_OVERRIDE",$F$7,"DEEP_PERIOD_OVERRIDE",N$11)*1,"")))</f>
        <v/>
      </c>
      <c r="O163" s="17" t="str">
        <f ca="1">IF(ISNA($B163),"",IF($B163="","",IFERROR(_xll.BDP(TICKER,"DEEP_MEASURE_PERIOD_BROKER_VALUE","DEEP_MEASURE_ID_OVERRIDE",$C163,"DEEP_BROKER_ID_OVERRIDE",$F$7,"DEEP_PERIOD_OVERRIDE",O$11)*1,"")))</f>
        <v/>
      </c>
      <c r="P163" s="17" t="str">
        <f ca="1">IF(ISNA($B163),"",IF($B163="","",IFERROR(_xll.BDP(TICKER,"DEEP_MEASURE_PERIOD_BROKER_VALUE","DEEP_MEASURE_ID_OVERRIDE",$C163,"DEEP_BROKER_ID_OVERRIDE",$F$7,"DEEP_PERIOD_OVERRIDE",P$11)*1,"")))</f>
        <v/>
      </c>
      <c r="Q163" s="17" t="str">
        <f ca="1">IF(ISNA($B163),"",IF($B163="","",IFERROR(_xll.BDP(TICKER,"DEEP_MEASURE_PERIOD_BROKER_VALUE","DEEP_MEASURE_ID_OVERRIDE",$C163,"DEEP_BROKER_ID_OVERRIDE",$F$7,"DEEP_PERIOD_OVERRIDE",Q$11)*1,"")))</f>
        <v/>
      </c>
      <c r="R163" s="17" t="str">
        <f ca="1">IF(ISNA($B163),"",IF($B163="","",IFERROR(_xll.BDP(TICKER,"DEEP_MEASURE_PERIOD_BROKER_VALUE","DEEP_MEASURE_ID_OVERRIDE",$C163,"DEEP_BROKER_ID_OVERRIDE",$F$7,"DEEP_PERIOD_OVERRIDE",R$11)*1,"")))</f>
        <v/>
      </c>
      <c r="S163" s="17" t="str">
        <f ca="1">IF(ISNA($B163),"",IF($B163="","",IFERROR(_xll.BDP(TICKER,"DEEP_MEASURE_PERIOD_BROKER_VALUE","DEEP_MEASURE_ID_OVERRIDE",$C163,"DEEP_BROKER_ID_OVERRIDE",$F$7,"DEEP_PERIOD_OVERRIDE",S$11)*1,"")))</f>
        <v/>
      </c>
      <c r="T163" s="17" t="str">
        <f ca="1">IF(ISNA($B163),"",IF($B163="","",IFERROR(_xll.BDP(TICKER,"DEEP_MEASURE_PERIOD_BROKER_VALUE","DEEP_MEASURE_ID_OVERRIDE",$C163,"DEEP_BROKER_ID_OVERRIDE",$F$7,"DEEP_PERIOD_OVERRIDE",T$11)*1,"")))</f>
        <v/>
      </c>
      <c r="U163" s="17" t="str">
        <f ca="1">IF(ISNA($B163),"",IF($B163="","",IFERROR(_xll.BDP(TICKER,"DEEP_MEASURE_PERIOD_BROKER_VALUE","DEEP_MEASURE_ID_OVERRIDE",$C163,"DEEP_BROKER_ID_OVERRIDE",$F$7,"DEEP_PERIOD_OVERRIDE",U$11)*1,"")))</f>
        <v/>
      </c>
      <c r="V163" s="17" t="str">
        <f ca="1">IF(ISNA($B163),"",IF($B163="","",IFERROR(_xll.BDP(TICKER,"DEEP_MEASURE_PERIOD_BROKER_VALUE","DEEP_MEASURE_ID_OVERRIDE",$C163,"DEEP_BROKER_ID_OVERRIDE",$F$7,"DEEP_PERIOD_OVERRIDE",V$11)*1,"")))</f>
        <v/>
      </c>
      <c r="W163" s="17" t="str">
        <f ca="1">IF(ISNA($B163),"",IF($B163="","",IFERROR(_xll.BDP(TICKER,"DEEP_MEASURE_PERIOD_BROKER_VALUE","DEEP_MEASURE_ID_OVERRIDE",$C163,"DEEP_BROKER_ID_OVERRIDE",$F$7,"DEEP_PERIOD_OVERRIDE",W$11)*1,"")))</f>
        <v/>
      </c>
      <c r="X163" s="17" t="str">
        <f ca="1">IF(ISNA($B163),"",IF($B163="","",IFERROR(_xll.BDP(TICKER,"DEEP_MEASURE_PERIOD_BROKER_VALUE","DEEP_MEASURE_ID_OVERRIDE",$C163,"DEEP_BROKER_ID_OVERRIDE",$F$7,"DEEP_PERIOD_OVERRIDE",X$11)*1,"")))</f>
        <v/>
      </c>
      <c r="Y163" s="17" t="str">
        <f ca="1">IF(ISNA($B163),"",IF($B163="","",IFERROR(_xll.BDP(TICKER,"DEEP_MEASURE_PERIOD_BROKER_VALUE","DEEP_MEASURE_ID_OVERRIDE",$C163,"DEEP_BROKER_ID_OVERRIDE",$F$7,"DEEP_PERIOD_OVERRIDE",Y$11)*1,"")))</f>
        <v/>
      </c>
      <c r="Z163" s="17" t="str">
        <f ca="1">IF(ISNA($B163),"",IF($B163="","",IFERROR(_xll.BDP(TICKER,"DEEP_MEASURE_PERIOD_BROKER_VALUE","DEEP_MEASURE_ID_OVERRIDE",$C163,"DEEP_BROKER_ID_OVERRIDE",$F$7,"DEEP_PERIOD_OVERRIDE",Z$11)*1,"")))</f>
        <v/>
      </c>
      <c r="AA163" s="17" t="str">
        <f ca="1">IF(ISNA($B163),"",IF($B163="","",IFERROR(_xll.BDP(TICKER,"DEEP_MEASURE_PERIOD_BROKER_VALUE","DEEP_MEASURE_ID_OVERRIDE",$C163,"DEEP_BROKER_ID_OVERRIDE",$F$7,"DEEP_PERIOD_OVERRIDE",AA$11)*1,"")))</f>
        <v/>
      </c>
      <c r="AB163" s="17" t="str">
        <f ca="1">IF(ISNA($B163),"",IF($B163="","",IFERROR(_xll.BDP(TICKER,"DEEP_MEASURE_PERIOD_BROKER_VALUE","DEEP_MEASURE_ID_OVERRIDE",$C163,"DEEP_BROKER_ID_OVERRIDE",$F$7,"DEEP_PERIOD_OVERRIDE",AB$11)*1,"")))</f>
        <v/>
      </c>
      <c r="AC163" s="17" t="str">
        <f ca="1">IF(ISNA($B163),"",IF($B163="","",IFERROR(_xll.BDP(TICKER,"DEEP_MEASURE_PERIOD_BROKER_VALUE","DEEP_MEASURE_ID_OVERRIDE",$C163,"DEEP_BROKER_ID_OVERRIDE",$F$7,"DEEP_PERIOD_OVERRIDE",AC$11)*1,"")))</f>
        <v/>
      </c>
      <c r="AD163" s="17" t="str">
        <f ca="1">IF(ISNA($B163),"",IF($B163="","",IFERROR(_xll.BDP(TICKER,"DEEP_MEASURE_PERIOD_BROKER_VALUE","DEEP_MEASURE_ID_OVERRIDE",$C163,"DEEP_BROKER_ID_OVERRIDE",$F$7,"DEEP_PERIOD_OVERRIDE",AD$11)*1,"")))</f>
        <v/>
      </c>
      <c r="AE163" s="17" t="str">
        <f ca="1">IF(ISNA($B163),"",IF($B163="","",IFERROR(_xll.BDP(TICKER,"DEEP_MEASURE_PERIOD_BROKER_VALUE","DEEP_MEASURE_ID_OVERRIDE",$C163,"DEEP_BROKER_ID_OVERRIDE",$F$7,"DEEP_PERIOD_OVERRIDE",AE$11)*1,"")))</f>
        <v/>
      </c>
      <c r="AF163" s="17" t="str">
        <f ca="1">IF(ISNA($B163),"",IF($B163="","",IFERROR(_xll.BDP(TICKER,"DEEP_MEASURE_PERIOD_BROKER_VALUE","DEEP_MEASURE_ID_OVERRIDE",$C163,"DEEP_BROKER_ID_OVERRIDE",$F$7,"DEEP_PERIOD_OVERRIDE",AF$11)*1,"")))</f>
        <v/>
      </c>
      <c r="AG163" s="17" t="str">
        <f ca="1">IF(ISNA($B163),"",IF($B163="","",IFERROR(_xll.BDP(TICKER,"DEEP_MEASURE_PERIOD_BROKER_VALUE","DEEP_MEASURE_ID_OVERRIDE",$C163,"DEEP_BROKER_ID_OVERRIDE",$F$7,"DEEP_PERIOD_OVERRIDE",AG$11)*1,"")))</f>
        <v/>
      </c>
      <c r="AH163" s="17" t="str">
        <f ca="1">IF(ISNA($B163),"",IF($B163="","",IFERROR(_xll.BDP(TICKER,"DEEP_MEASURE_PERIOD_BROKER_VALUE","DEEP_MEASURE_ID_OVERRIDE",$C163,"DEEP_BROKER_ID_OVERRIDE",$F$7,"DEEP_PERIOD_OVERRIDE",AH$11)*1,"")))</f>
        <v/>
      </c>
      <c r="AI163" s="17" t="str">
        <f ca="1">IF(ISNA($B163),"",IF($B163="","",IFERROR(_xll.BDP(TICKER,"DEEP_MEASURE_PERIOD_BROKER_VALUE","DEEP_MEASURE_ID_OVERRIDE",$C163,"DEEP_BROKER_ID_OVERRIDE",$F$7,"DEEP_PERIOD_OVERRIDE",AI$11)*1,"")))</f>
        <v/>
      </c>
      <c r="AJ163" s="17" t="str">
        <f ca="1">IF(ISNA($B163),"",IF($B163="","",IFERROR(_xll.BDP(TICKER,"DEEP_MEASURE_PERIOD_BROKER_VALUE","DEEP_MEASURE_ID_OVERRIDE",$C163,"DEEP_BROKER_ID_OVERRIDE",$F$7,"DEEP_PERIOD_OVERRIDE",AJ$11)*1,"")))</f>
        <v/>
      </c>
      <c r="AK163" s="17" t="str">
        <f ca="1">IF(ISNA($B163),"",IF($B163="","",IFERROR(_xll.BDP(TICKER,"DEEP_MEASURE_PERIOD_BROKER_VALUE","DEEP_MEASURE_ID_OVERRIDE",$C163,"DEEP_BROKER_ID_OVERRIDE",$F$7,"DEEP_PERIOD_OVERRIDE",AK$11)*1,"")))</f>
        <v/>
      </c>
      <c r="AL163" s="17" t="str">
        <f ca="1">IF(ISNA($B163),"",IF($B163="","",IFERROR(_xll.BDP(TICKER,"DEEP_MEASURE_PERIOD_BROKER_VALUE","DEEP_MEASURE_ID_OVERRIDE",$C163,"DEEP_BROKER_ID_OVERRIDE",$F$7,"DEEP_PERIOD_OVERRIDE",AL$11)*1,"")))</f>
        <v/>
      </c>
      <c r="AM163" s="17" t="str">
        <f ca="1">IF(ISNA($B163),"",IF($B163="","",IFERROR(_xll.BDP(TICKER,"DEEP_MEASURE_PERIOD_BROKER_VALUE","DEEP_MEASURE_ID_OVERRIDE",$C163,"DEEP_BROKER_ID_OVERRIDE",$F$7,"DEEP_PERIOD_OVERRIDE",AM$11)*1,"")))</f>
        <v/>
      </c>
      <c r="AN163" s="17" t="str">
        <f ca="1">IF(ISNA($B163),"",IF($B163="","",IFERROR(_xll.BDP(TICKER,"DEEP_MEASURE_PERIOD_BROKER_VALUE","DEEP_MEASURE_ID_OVERRIDE",$C163,"DEEP_BROKER_ID_OVERRIDE",$F$7,"DEEP_PERIOD_OVERRIDE",AN$11)*1,"")))</f>
        <v/>
      </c>
      <c r="AO163" s="17" t="str">
        <f ca="1">IF(ISNA($B163),"",IF($B163="","",IFERROR(_xll.BDP(TICKER,"DEEP_MEASURE_PERIOD_BROKER_VALUE","DEEP_MEASURE_ID_OVERRIDE",$C163,"DEEP_BROKER_ID_OVERRIDE",$F$7,"DEEP_PERIOD_OVERRIDE",AO$11)*1,"")))</f>
        <v/>
      </c>
      <c r="AP163" s="17" t="str">
        <f ca="1">IF(ISNA($B163),"",IF($B163="","",IFERROR(_xll.BDP(TICKER,"DEEP_MEASURE_PERIOD_BROKER_VALUE","DEEP_MEASURE_ID_OVERRIDE",$C163,"DEEP_BROKER_ID_OVERRIDE",$F$7,"DEEP_PERIOD_OVERRIDE",AP$11)*1,"")))</f>
        <v/>
      </c>
      <c r="AQ163" s="17" t="str">
        <f ca="1">IF(ISNA($B163),"",IF($B163="","",IFERROR(_xll.BDP(TICKER,"DEEP_MEASURE_PERIOD_BROKER_VALUE","DEEP_MEASURE_ID_OVERRIDE",$C163,"DEEP_BROKER_ID_OVERRIDE",$F$7,"DEEP_PERIOD_OVERRIDE",AQ$11)*1,"")))</f>
        <v/>
      </c>
    </row>
    <row r="164" spans="2:43" x14ac:dyDescent="0.25">
      <c r="B164" t="s">
        <v>194</v>
      </c>
      <c r="C164">
        <v>480</v>
      </c>
      <c r="H164" t="str">
        <f t="shared" si="4"/>
        <v>Assets &gt; Non-Current Assets &gt; Intangible Assets, net</v>
      </c>
      <c r="I164" s="17" t="str">
        <f ca="1">IF(ISNA($B164),"",IF($B164="","",IFERROR(_xll.BDP(TICKER,"DEEP_MEASURE_PERIOD_BROKER_VALUE","DEEP_MEASURE_ID_OVERRIDE",$C164,"DEEP_BROKER_ID_OVERRIDE",$F$7,"DEEP_PERIOD_OVERRIDE",I$11)*1,"")))</f>
        <v/>
      </c>
      <c r="J164" s="17" t="str">
        <f ca="1">IF(ISNA($B164),"",IF($B164="","",IFERROR(_xll.BDP(TICKER,"DEEP_MEASURE_PERIOD_BROKER_VALUE","DEEP_MEASURE_ID_OVERRIDE",$C164,"DEEP_BROKER_ID_OVERRIDE",$F$7,"DEEP_PERIOD_OVERRIDE",J$11)*1,"")))</f>
        <v/>
      </c>
      <c r="K164" s="17" t="str">
        <f ca="1">IF(ISNA($B164),"",IF($B164="","",IFERROR(_xll.BDP(TICKER,"DEEP_MEASURE_PERIOD_BROKER_VALUE","DEEP_MEASURE_ID_OVERRIDE",$C164,"DEEP_BROKER_ID_OVERRIDE",$F$7,"DEEP_PERIOD_OVERRIDE",K$11)*1,"")))</f>
        <v/>
      </c>
      <c r="L164" s="17" t="str">
        <f ca="1">IF(ISNA($B164),"",IF($B164="","",IFERROR(_xll.BDP(TICKER,"DEEP_MEASURE_PERIOD_BROKER_VALUE","DEEP_MEASURE_ID_OVERRIDE",$C164,"DEEP_BROKER_ID_OVERRIDE",$F$7,"DEEP_PERIOD_OVERRIDE",L$11)*1,"")))</f>
        <v/>
      </c>
      <c r="M164" s="17" t="str">
        <f ca="1">IF(ISNA($B164),"",IF($B164="","",IFERROR(_xll.BDP(TICKER,"DEEP_MEASURE_PERIOD_BROKER_VALUE","DEEP_MEASURE_ID_OVERRIDE",$C164,"DEEP_BROKER_ID_OVERRIDE",$F$7,"DEEP_PERIOD_OVERRIDE",M$11)*1,"")))</f>
        <v/>
      </c>
      <c r="N164" s="17" t="str">
        <f ca="1">IF(ISNA($B164),"",IF($B164="","",IFERROR(_xll.BDP(TICKER,"DEEP_MEASURE_PERIOD_BROKER_VALUE","DEEP_MEASURE_ID_OVERRIDE",$C164,"DEEP_BROKER_ID_OVERRIDE",$F$7,"DEEP_PERIOD_OVERRIDE",N$11)*1,"")))</f>
        <v/>
      </c>
      <c r="O164" s="17" t="str">
        <f ca="1">IF(ISNA($B164),"",IF($B164="","",IFERROR(_xll.BDP(TICKER,"DEEP_MEASURE_PERIOD_BROKER_VALUE","DEEP_MEASURE_ID_OVERRIDE",$C164,"DEEP_BROKER_ID_OVERRIDE",$F$7,"DEEP_PERIOD_OVERRIDE",O$11)*1,"")))</f>
        <v/>
      </c>
      <c r="P164" s="17" t="str">
        <f ca="1">IF(ISNA($B164),"",IF($B164="","",IFERROR(_xll.BDP(TICKER,"DEEP_MEASURE_PERIOD_BROKER_VALUE","DEEP_MEASURE_ID_OVERRIDE",$C164,"DEEP_BROKER_ID_OVERRIDE",$F$7,"DEEP_PERIOD_OVERRIDE",P$11)*1,"")))</f>
        <v/>
      </c>
      <c r="Q164" s="17" t="str">
        <f ca="1">IF(ISNA($B164),"",IF($B164="","",IFERROR(_xll.BDP(TICKER,"DEEP_MEASURE_PERIOD_BROKER_VALUE","DEEP_MEASURE_ID_OVERRIDE",$C164,"DEEP_BROKER_ID_OVERRIDE",$F$7,"DEEP_PERIOD_OVERRIDE",Q$11)*1,"")))</f>
        <v/>
      </c>
      <c r="R164" s="17" t="str">
        <f ca="1">IF(ISNA($B164),"",IF($B164="","",IFERROR(_xll.BDP(TICKER,"DEEP_MEASURE_PERIOD_BROKER_VALUE","DEEP_MEASURE_ID_OVERRIDE",$C164,"DEEP_BROKER_ID_OVERRIDE",$F$7,"DEEP_PERIOD_OVERRIDE",R$11)*1,"")))</f>
        <v/>
      </c>
      <c r="S164" s="17" t="str">
        <f ca="1">IF(ISNA($B164),"",IF($B164="","",IFERROR(_xll.BDP(TICKER,"DEEP_MEASURE_PERIOD_BROKER_VALUE","DEEP_MEASURE_ID_OVERRIDE",$C164,"DEEP_BROKER_ID_OVERRIDE",$F$7,"DEEP_PERIOD_OVERRIDE",S$11)*1,"")))</f>
        <v/>
      </c>
      <c r="T164" s="17" t="str">
        <f ca="1">IF(ISNA($B164),"",IF($B164="","",IFERROR(_xll.BDP(TICKER,"DEEP_MEASURE_PERIOD_BROKER_VALUE","DEEP_MEASURE_ID_OVERRIDE",$C164,"DEEP_BROKER_ID_OVERRIDE",$F$7,"DEEP_PERIOD_OVERRIDE",T$11)*1,"")))</f>
        <v/>
      </c>
      <c r="U164" s="17" t="str">
        <f ca="1">IF(ISNA($B164),"",IF($B164="","",IFERROR(_xll.BDP(TICKER,"DEEP_MEASURE_PERIOD_BROKER_VALUE","DEEP_MEASURE_ID_OVERRIDE",$C164,"DEEP_BROKER_ID_OVERRIDE",$F$7,"DEEP_PERIOD_OVERRIDE",U$11)*1,"")))</f>
        <v/>
      </c>
      <c r="V164" s="17" t="str">
        <f ca="1">IF(ISNA($B164),"",IF($B164="","",IFERROR(_xll.BDP(TICKER,"DEEP_MEASURE_PERIOD_BROKER_VALUE","DEEP_MEASURE_ID_OVERRIDE",$C164,"DEEP_BROKER_ID_OVERRIDE",$F$7,"DEEP_PERIOD_OVERRIDE",V$11)*1,"")))</f>
        <v/>
      </c>
      <c r="W164" s="17" t="str">
        <f ca="1">IF(ISNA($B164),"",IF($B164="","",IFERROR(_xll.BDP(TICKER,"DEEP_MEASURE_PERIOD_BROKER_VALUE","DEEP_MEASURE_ID_OVERRIDE",$C164,"DEEP_BROKER_ID_OVERRIDE",$F$7,"DEEP_PERIOD_OVERRIDE",W$11)*1,"")))</f>
        <v/>
      </c>
      <c r="X164" s="17" t="str">
        <f ca="1">IF(ISNA($B164),"",IF($B164="","",IFERROR(_xll.BDP(TICKER,"DEEP_MEASURE_PERIOD_BROKER_VALUE","DEEP_MEASURE_ID_OVERRIDE",$C164,"DEEP_BROKER_ID_OVERRIDE",$F$7,"DEEP_PERIOD_OVERRIDE",X$11)*1,"")))</f>
        <v/>
      </c>
      <c r="Y164" s="17" t="str">
        <f ca="1">IF(ISNA($B164),"",IF($B164="","",IFERROR(_xll.BDP(TICKER,"DEEP_MEASURE_PERIOD_BROKER_VALUE","DEEP_MEASURE_ID_OVERRIDE",$C164,"DEEP_BROKER_ID_OVERRIDE",$F$7,"DEEP_PERIOD_OVERRIDE",Y$11)*1,"")))</f>
        <v/>
      </c>
      <c r="Z164" s="17" t="str">
        <f ca="1">IF(ISNA($B164),"",IF($B164="","",IFERROR(_xll.BDP(TICKER,"DEEP_MEASURE_PERIOD_BROKER_VALUE","DEEP_MEASURE_ID_OVERRIDE",$C164,"DEEP_BROKER_ID_OVERRIDE",$F$7,"DEEP_PERIOD_OVERRIDE",Z$11)*1,"")))</f>
        <v/>
      </c>
      <c r="AA164" s="17" t="str">
        <f ca="1">IF(ISNA($B164),"",IF($B164="","",IFERROR(_xll.BDP(TICKER,"DEEP_MEASURE_PERIOD_BROKER_VALUE","DEEP_MEASURE_ID_OVERRIDE",$C164,"DEEP_BROKER_ID_OVERRIDE",$F$7,"DEEP_PERIOD_OVERRIDE",AA$11)*1,"")))</f>
        <v/>
      </c>
      <c r="AB164" s="17" t="str">
        <f ca="1">IF(ISNA($B164),"",IF($B164="","",IFERROR(_xll.BDP(TICKER,"DEEP_MEASURE_PERIOD_BROKER_VALUE","DEEP_MEASURE_ID_OVERRIDE",$C164,"DEEP_BROKER_ID_OVERRIDE",$F$7,"DEEP_PERIOD_OVERRIDE",AB$11)*1,"")))</f>
        <v/>
      </c>
      <c r="AC164" s="17" t="str">
        <f ca="1">IF(ISNA($B164),"",IF($B164="","",IFERROR(_xll.BDP(TICKER,"DEEP_MEASURE_PERIOD_BROKER_VALUE","DEEP_MEASURE_ID_OVERRIDE",$C164,"DEEP_BROKER_ID_OVERRIDE",$F$7,"DEEP_PERIOD_OVERRIDE",AC$11)*1,"")))</f>
        <v/>
      </c>
      <c r="AD164" s="17" t="str">
        <f ca="1">IF(ISNA($B164),"",IF($B164="","",IFERROR(_xll.BDP(TICKER,"DEEP_MEASURE_PERIOD_BROKER_VALUE","DEEP_MEASURE_ID_OVERRIDE",$C164,"DEEP_BROKER_ID_OVERRIDE",$F$7,"DEEP_PERIOD_OVERRIDE",AD$11)*1,"")))</f>
        <v/>
      </c>
      <c r="AE164" s="17" t="str">
        <f ca="1">IF(ISNA($B164),"",IF($B164="","",IFERROR(_xll.BDP(TICKER,"DEEP_MEASURE_PERIOD_BROKER_VALUE","DEEP_MEASURE_ID_OVERRIDE",$C164,"DEEP_BROKER_ID_OVERRIDE",$F$7,"DEEP_PERIOD_OVERRIDE",AE$11)*1,"")))</f>
        <v/>
      </c>
      <c r="AF164" s="17" t="str">
        <f ca="1">IF(ISNA($B164),"",IF($B164="","",IFERROR(_xll.BDP(TICKER,"DEEP_MEASURE_PERIOD_BROKER_VALUE","DEEP_MEASURE_ID_OVERRIDE",$C164,"DEEP_BROKER_ID_OVERRIDE",$F$7,"DEEP_PERIOD_OVERRIDE",AF$11)*1,"")))</f>
        <v/>
      </c>
      <c r="AG164" s="17" t="str">
        <f ca="1">IF(ISNA($B164),"",IF($B164="","",IFERROR(_xll.BDP(TICKER,"DEEP_MEASURE_PERIOD_BROKER_VALUE","DEEP_MEASURE_ID_OVERRIDE",$C164,"DEEP_BROKER_ID_OVERRIDE",$F$7,"DEEP_PERIOD_OVERRIDE",AG$11)*1,"")))</f>
        <v/>
      </c>
      <c r="AH164" s="17" t="str">
        <f ca="1">IF(ISNA($B164),"",IF($B164="","",IFERROR(_xll.BDP(TICKER,"DEEP_MEASURE_PERIOD_BROKER_VALUE","DEEP_MEASURE_ID_OVERRIDE",$C164,"DEEP_BROKER_ID_OVERRIDE",$F$7,"DEEP_PERIOD_OVERRIDE",AH$11)*1,"")))</f>
        <v/>
      </c>
      <c r="AI164" s="17" t="str">
        <f ca="1">IF(ISNA($B164),"",IF($B164="","",IFERROR(_xll.BDP(TICKER,"DEEP_MEASURE_PERIOD_BROKER_VALUE","DEEP_MEASURE_ID_OVERRIDE",$C164,"DEEP_BROKER_ID_OVERRIDE",$F$7,"DEEP_PERIOD_OVERRIDE",AI$11)*1,"")))</f>
        <v/>
      </c>
      <c r="AJ164" s="17" t="str">
        <f ca="1">IF(ISNA($B164),"",IF($B164="","",IFERROR(_xll.BDP(TICKER,"DEEP_MEASURE_PERIOD_BROKER_VALUE","DEEP_MEASURE_ID_OVERRIDE",$C164,"DEEP_BROKER_ID_OVERRIDE",$F$7,"DEEP_PERIOD_OVERRIDE",AJ$11)*1,"")))</f>
        <v/>
      </c>
      <c r="AK164" s="17" t="str">
        <f ca="1">IF(ISNA($B164),"",IF($B164="","",IFERROR(_xll.BDP(TICKER,"DEEP_MEASURE_PERIOD_BROKER_VALUE","DEEP_MEASURE_ID_OVERRIDE",$C164,"DEEP_BROKER_ID_OVERRIDE",$F$7,"DEEP_PERIOD_OVERRIDE",AK$11)*1,"")))</f>
        <v/>
      </c>
      <c r="AL164" s="17" t="str">
        <f ca="1">IF(ISNA($B164),"",IF($B164="","",IFERROR(_xll.BDP(TICKER,"DEEP_MEASURE_PERIOD_BROKER_VALUE","DEEP_MEASURE_ID_OVERRIDE",$C164,"DEEP_BROKER_ID_OVERRIDE",$F$7,"DEEP_PERIOD_OVERRIDE",AL$11)*1,"")))</f>
        <v/>
      </c>
      <c r="AM164" s="17" t="str">
        <f ca="1">IF(ISNA($B164),"",IF($B164="","",IFERROR(_xll.BDP(TICKER,"DEEP_MEASURE_PERIOD_BROKER_VALUE","DEEP_MEASURE_ID_OVERRIDE",$C164,"DEEP_BROKER_ID_OVERRIDE",$F$7,"DEEP_PERIOD_OVERRIDE",AM$11)*1,"")))</f>
        <v/>
      </c>
      <c r="AN164" s="17" t="str">
        <f ca="1">IF(ISNA($B164),"",IF($B164="","",IFERROR(_xll.BDP(TICKER,"DEEP_MEASURE_PERIOD_BROKER_VALUE","DEEP_MEASURE_ID_OVERRIDE",$C164,"DEEP_BROKER_ID_OVERRIDE",$F$7,"DEEP_PERIOD_OVERRIDE",AN$11)*1,"")))</f>
        <v/>
      </c>
      <c r="AO164" s="17" t="str">
        <f ca="1">IF(ISNA($B164),"",IF($B164="","",IFERROR(_xll.BDP(TICKER,"DEEP_MEASURE_PERIOD_BROKER_VALUE","DEEP_MEASURE_ID_OVERRIDE",$C164,"DEEP_BROKER_ID_OVERRIDE",$F$7,"DEEP_PERIOD_OVERRIDE",AO$11)*1,"")))</f>
        <v/>
      </c>
      <c r="AP164" s="17" t="str">
        <f ca="1">IF(ISNA($B164),"",IF($B164="","",IFERROR(_xll.BDP(TICKER,"DEEP_MEASURE_PERIOD_BROKER_VALUE","DEEP_MEASURE_ID_OVERRIDE",$C164,"DEEP_BROKER_ID_OVERRIDE",$F$7,"DEEP_PERIOD_OVERRIDE",AP$11)*1,"")))</f>
        <v/>
      </c>
      <c r="AQ164" s="17" t="str">
        <f ca="1">IF(ISNA($B164),"",IF($B164="","",IFERROR(_xll.BDP(TICKER,"DEEP_MEASURE_PERIOD_BROKER_VALUE","DEEP_MEASURE_ID_OVERRIDE",$C164,"DEEP_BROKER_ID_OVERRIDE",$F$7,"DEEP_PERIOD_OVERRIDE",AQ$11)*1,"")))</f>
        <v/>
      </c>
    </row>
    <row r="165" spans="2:43" x14ac:dyDescent="0.25">
      <c r="B165" t="s">
        <v>195</v>
      </c>
      <c r="C165">
        <v>481</v>
      </c>
      <c r="H165" t="str">
        <f t="shared" si="4"/>
        <v>Assets &gt; Non-Current Assets &gt; Goodwill</v>
      </c>
      <c r="I165" s="17" t="str">
        <f ca="1">IF(ISNA($B165),"",IF($B165="","",IFERROR(_xll.BDP(TICKER,"DEEP_MEASURE_PERIOD_BROKER_VALUE","DEEP_MEASURE_ID_OVERRIDE",$C165,"DEEP_BROKER_ID_OVERRIDE",$F$7,"DEEP_PERIOD_OVERRIDE",I$11)*1,"")))</f>
        <v/>
      </c>
      <c r="J165" s="17" t="str">
        <f ca="1">IF(ISNA($B165),"",IF($B165="","",IFERROR(_xll.BDP(TICKER,"DEEP_MEASURE_PERIOD_BROKER_VALUE","DEEP_MEASURE_ID_OVERRIDE",$C165,"DEEP_BROKER_ID_OVERRIDE",$F$7,"DEEP_PERIOD_OVERRIDE",J$11)*1,"")))</f>
        <v/>
      </c>
      <c r="K165" s="17" t="str">
        <f ca="1">IF(ISNA($B165),"",IF($B165="","",IFERROR(_xll.BDP(TICKER,"DEEP_MEASURE_PERIOD_BROKER_VALUE","DEEP_MEASURE_ID_OVERRIDE",$C165,"DEEP_BROKER_ID_OVERRIDE",$F$7,"DEEP_PERIOD_OVERRIDE",K$11)*1,"")))</f>
        <v/>
      </c>
      <c r="L165" s="17" t="str">
        <f ca="1">IF(ISNA($B165),"",IF($B165="","",IFERROR(_xll.BDP(TICKER,"DEEP_MEASURE_PERIOD_BROKER_VALUE","DEEP_MEASURE_ID_OVERRIDE",$C165,"DEEP_BROKER_ID_OVERRIDE",$F$7,"DEEP_PERIOD_OVERRIDE",L$11)*1,"")))</f>
        <v/>
      </c>
      <c r="M165" s="17" t="str">
        <f ca="1">IF(ISNA($B165),"",IF($B165="","",IFERROR(_xll.BDP(TICKER,"DEEP_MEASURE_PERIOD_BROKER_VALUE","DEEP_MEASURE_ID_OVERRIDE",$C165,"DEEP_BROKER_ID_OVERRIDE",$F$7,"DEEP_PERIOD_OVERRIDE",M$11)*1,"")))</f>
        <v/>
      </c>
      <c r="N165" s="17" t="str">
        <f ca="1">IF(ISNA($B165),"",IF($B165="","",IFERROR(_xll.BDP(TICKER,"DEEP_MEASURE_PERIOD_BROKER_VALUE","DEEP_MEASURE_ID_OVERRIDE",$C165,"DEEP_BROKER_ID_OVERRIDE",$F$7,"DEEP_PERIOD_OVERRIDE",N$11)*1,"")))</f>
        <v/>
      </c>
      <c r="O165" s="17" t="str">
        <f ca="1">IF(ISNA($B165),"",IF($B165="","",IFERROR(_xll.BDP(TICKER,"DEEP_MEASURE_PERIOD_BROKER_VALUE","DEEP_MEASURE_ID_OVERRIDE",$C165,"DEEP_BROKER_ID_OVERRIDE",$F$7,"DEEP_PERIOD_OVERRIDE",O$11)*1,"")))</f>
        <v/>
      </c>
      <c r="P165" s="17" t="str">
        <f ca="1">IF(ISNA($B165),"",IF($B165="","",IFERROR(_xll.BDP(TICKER,"DEEP_MEASURE_PERIOD_BROKER_VALUE","DEEP_MEASURE_ID_OVERRIDE",$C165,"DEEP_BROKER_ID_OVERRIDE",$F$7,"DEEP_PERIOD_OVERRIDE",P$11)*1,"")))</f>
        <v/>
      </c>
      <c r="Q165" s="17" t="str">
        <f ca="1">IF(ISNA($B165),"",IF($B165="","",IFERROR(_xll.BDP(TICKER,"DEEP_MEASURE_PERIOD_BROKER_VALUE","DEEP_MEASURE_ID_OVERRIDE",$C165,"DEEP_BROKER_ID_OVERRIDE",$F$7,"DEEP_PERIOD_OVERRIDE",Q$11)*1,"")))</f>
        <v/>
      </c>
      <c r="R165" s="17" t="str">
        <f ca="1">IF(ISNA($B165),"",IF($B165="","",IFERROR(_xll.BDP(TICKER,"DEEP_MEASURE_PERIOD_BROKER_VALUE","DEEP_MEASURE_ID_OVERRIDE",$C165,"DEEP_BROKER_ID_OVERRIDE",$F$7,"DEEP_PERIOD_OVERRIDE",R$11)*1,"")))</f>
        <v/>
      </c>
      <c r="S165" s="17" t="str">
        <f ca="1">IF(ISNA($B165),"",IF($B165="","",IFERROR(_xll.BDP(TICKER,"DEEP_MEASURE_PERIOD_BROKER_VALUE","DEEP_MEASURE_ID_OVERRIDE",$C165,"DEEP_BROKER_ID_OVERRIDE",$F$7,"DEEP_PERIOD_OVERRIDE",S$11)*1,"")))</f>
        <v/>
      </c>
      <c r="T165" s="17" t="str">
        <f ca="1">IF(ISNA($B165),"",IF($B165="","",IFERROR(_xll.BDP(TICKER,"DEEP_MEASURE_PERIOD_BROKER_VALUE","DEEP_MEASURE_ID_OVERRIDE",$C165,"DEEP_BROKER_ID_OVERRIDE",$F$7,"DEEP_PERIOD_OVERRIDE",T$11)*1,"")))</f>
        <v/>
      </c>
      <c r="U165" s="17" t="str">
        <f ca="1">IF(ISNA($B165),"",IF($B165="","",IFERROR(_xll.BDP(TICKER,"DEEP_MEASURE_PERIOD_BROKER_VALUE","DEEP_MEASURE_ID_OVERRIDE",$C165,"DEEP_BROKER_ID_OVERRIDE",$F$7,"DEEP_PERIOD_OVERRIDE",U$11)*1,"")))</f>
        <v/>
      </c>
      <c r="V165" s="17" t="str">
        <f ca="1">IF(ISNA($B165),"",IF($B165="","",IFERROR(_xll.BDP(TICKER,"DEEP_MEASURE_PERIOD_BROKER_VALUE","DEEP_MEASURE_ID_OVERRIDE",$C165,"DEEP_BROKER_ID_OVERRIDE",$F$7,"DEEP_PERIOD_OVERRIDE",V$11)*1,"")))</f>
        <v/>
      </c>
      <c r="W165" s="17" t="str">
        <f ca="1">IF(ISNA($B165),"",IF($B165="","",IFERROR(_xll.BDP(TICKER,"DEEP_MEASURE_PERIOD_BROKER_VALUE","DEEP_MEASURE_ID_OVERRIDE",$C165,"DEEP_BROKER_ID_OVERRIDE",$F$7,"DEEP_PERIOD_OVERRIDE",W$11)*1,"")))</f>
        <v/>
      </c>
      <c r="X165" s="17" t="str">
        <f ca="1">IF(ISNA($B165),"",IF($B165="","",IFERROR(_xll.BDP(TICKER,"DEEP_MEASURE_PERIOD_BROKER_VALUE","DEEP_MEASURE_ID_OVERRIDE",$C165,"DEEP_BROKER_ID_OVERRIDE",$F$7,"DEEP_PERIOD_OVERRIDE",X$11)*1,"")))</f>
        <v/>
      </c>
      <c r="Y165" s="17" t="str">
        <f ca="1">IF(ISNA($B165),"",IF($B165="","",IFERROR(_xll.BDP(TICKER,"DEEP_MEASURE_PERIOD_BROKER_VALUE","DEEP_MEASURE_ID_OVERRIDE",$C165,"DEEP_BROKER_ID_OVERRIDE",$F$7,"DEEP_PERIOD_OVERRIDE",Y$11)*1,"")))</f>
        <v/>
      </c>
      <c r="Z165" s="17" t="str">
        <f ca="1">IF(ISNA($B165),"",IF($B165="","",IFERROR(_xll.BDP(TICKER,"DEEP_MEASURE_PERIOD_BROKER_VALUE","DEEP_MEASURE_ID_OVERRIDE",$C165,"DEEP_BROKER_ID_OVERRIDE",$F$7,"DEEP_PERIOD_OVERRIDE",Z$11)*1,"")))</f>
        <v/>
      </c>
      <c r="AA165" s="17" t="str">
        <f ca="1">IF(ISNA($B165),"",IF($B165="","",IFERROR(_xll.BDP(TICKER,"DEEP_MEASURE_PERIOD_BROKER_VALUE","DEEP_MEASURE_ID_OVERRIDE",$C165,"DEEP_BROKER_ID_OVERRIDE",$F$7,"DEEP_PERIOD_OVERRIDE",AA$11)*1,"")))</f>
        <v/>
      </c>
      <c r="AB165" s="17" t="str">
        <f ca="1">IF(ISNA($B165),"",IF($B165="","",IFERROR(_xll.BDP(TICKER,"DEEP_MEASURE_PERIOD_BROKER_VALUE","DEEP_MEASURE_ID_OVERRIDE",$C165,"DEEP_BROKER_ID_OVERRIDE",$F$7,"DEEP_PERIOD_OVERRIDE",AB$11)*1,"")))</f>
        <v/>
      </c>
      <c r="AC165" s="17" t="str">
        <f ca="1">IF(ISNA($B165),"",IF($B165="","",IFERROR(_xll.BDP(TICKER,"DEEP_MEASURE_PERIOD_BROKER_VALUE","DEEP_MEASURE_ID_OVERRIDE",$C165,"DEEP_BROKER_ID_OVERRIDE",$F$7,"DEEP_PERIOD_OVERRIDE",AC$11)*1,"")))</f>
        <v/>
      </c>
      <c r="AD165" s="17" t="str">
        <f ca="1">IF(ISNA($B165),"",IF($B165="","",IFERROR(_xll.BDP(TICKER,"DEEP_MEASURE_PERIOD_BROKER_VALUE","DEEP_MEASURE_ID_OVERRIDE",$C165,"DEEP_BROKER_ID_OVERRIDE",$F$7,"DEEP_PERIOD_OVERRIDE",AD$11)*1,"")))</f>
        <v/>
      </c>
      <c r="AE165" s="17" t="str">
        <f ca="1">IF(ISNA($B165),"",IF($B165="","",IFERROR(_xll.BDP(TICKER,"DEEP_MEASURE_PERIOD_BROKER_VALUE","DEEP_MEASURE_ID_OVERRIDE",$C165,"DEEP_BROKER_ID_OVERRIDE",$F$7,"DEEP_PERIOD_OVERRIDE",AE$11)*1,"")))</f>
        <v/>
      </c>
      <c r="AF165" s="17" t="str">
        <f ca="1">IF(ISNA($B165),"",IF($B165="","",IFERROR(_xll.BDP(TICKER,"DEEP_MEASURE_PERIOD_BROKER_VALUE","DEEP_MEASURE_ID_OVERRIDE",$C165,"DEEP_BROKER_ID_OVERRIDE",$F$7,"DEEP_PERIOD_OVERRIDE",AF$11)*1,"")))</f>
        <v/>
      </c>
      <c r="AG165" s="17" t="str">
        <f ca="1">IF(ISNA($B165),"",IF($B165="","",IFERROR(_xll.BDP(TICKER,"DEEP_MEASURE_PERIOD_BROKER_VALUE","DEEP_MEASURE_ID_OVERRIDE",$C165,"DEEP_BROKER_ID_OVERRIDE",$F$7,"DEEP_PERIOD_OVERRIDE",AG$11)*1,"")))</f>
        <v/>
      </c>
      <c r="AH165" s="17" t="str">
        <f ca="1">IF(ISNA($B165),"",IF($B165="","",IFERROR(_xll.BDP(TICKER,"DEEP_MEASURE_PERIOD_BROKER_VALUE","DEEP_MEASURE_ID_OVERRIDE",$C165,"DEEP_BROKER_ID_OVERRIDE",$F$7,"DEEP_PERIOD_OVERRIDE",AH$11)*1,"")))</f>
        <v/>
      </c>
      <c r="AI165" s="17" t="str">
        <f ca="1">IF(ISNA($B165),"",IF($B165="","",IFERROR(_xll.BDP(TICKER,"DEEP_MEASURE_PERIOD_BROKER_VALUE","DEEP_MEASURE_ID_OVERRIDE",$C165,"DEEP_BROKER_ID_OVERRIDE",$F$7,"DEEP_PERIOD_OVERRIDE",AI$11)*1,"")))</f>
        <v/>
      </c>
      <c r="AJ165" s="17" t="str">
        <f ca="1">IF(ISNA($B165),"",IF($B165="","",IFERROR(_xll.BDP(TICKER,"DEEP_MEASURE_PERIOD_BROKER_VALUE","DEEP_MEASURE_ID_OVERRIDE",$C165,"DEEP_BROKER_ID_OVERRIDE",$F$7,"DEEP_PERIOD_OVERRIDE",AJ$11)*1,"")))</f>
        <v/>
      </c>
      <c r="AK165" s="17" t="str">
        <f ca="1">IF(ISNA($B165),"",IF($B165="","",IFERROR(_xll.BDP(TICKER,"DEEP_MEASURE_PERIOD_BROKER_VALUE","DEEP_MEASURE_ID_OVERRIDE",$C165,"DEEP_BROKER_ID_OVERRIDE",$F$7,"DEEP_PERIOD_OVERRIDE",AK$11)*1,"")))</f>
        <v/>
      </c>
      <c r="AL165" s="17" t="str">
        <f ca="1">IF(ISNA($B165),"",IF($B165="","",IFERROR(_xll.BDP(TICKER,"DEEP_MEASURE_PERIOD_BROKER_VALUE","DEEP_MEASURE_ID_OVERRIDE",$C165,"DEEP_BROKER_ID_OVERRIDE",$F$7,"DEEP_PERIOD_OVERRIDE",AL$11)*1,"")))</f>
        <v/>
      </c>
      <c r="AM165" s="17" t="str">
        <f ca="1">IF(ISNA($B165),"",IF($B165="","",IFERROR(_xll.BDP(TICKER,"DEEP_MEASURE_PERIOD_BROKER_VALUE","DEEP_MEASURE_ID_OVERRIDE",$C165,"DEEP_BROKER_ID_OVERRIDE",$F$7,"DEEP_PERIOD_OVERRIDE",AM$11)*1,"")))</f>
        <v/>
      </c>
      <c r="AN165" s="17" t="str">
        <f ca="1">IF(ISNA($B165),"",IF($B165="","",IFERROR(_xll.BDP(TICKER,"DEEP_MEASURE_PERIOD_BROKER_VALUE","DEEP_MEASURE_ID_OVERRIDE",$C165,"DEEP_BROKER_ID_OVERRIDE",$F$7,"DEEP_PERIOD_OVERRIDE",AN$11)*1,"")))</f>
        <v/>
      </c>
      <c r="AO165" s="17" t="str">
        <f ca="1">IF(ISNA($B165),"",IF($B165="","",IFERROR(_xll.BDP(TICKER,"DEEP_MEASURE_PERIOD_BROKER_VALUE","DEEP_MEASURE_ID_OVERRIDE",$C165,"DEEP_BROKER_ID_OVERRIDE",$F$7,"DEEP_PERIOD_OVERRIDE",AO$11)*1,"")))</f>
        <v/>
      </c>
      <c r="AP165" s="17" t="str">
        <f ca="1">IF(ISNA($B165),"",IF($B165="","",IFERROR(_xll.BDP(TICKER,"DEEP_MEASURE_PERIOD_BROKER_VALUE","DEEP_MEASURE_ID_OVERRIDE",$C165,"DEEP_BROKER_ID_OVERRIDE",$F$7,"DEEP_PERIOD_OVERRIDE",AP$11)*1,"")))</f>
        <v/>
      </c>
      <c r="AQ165" s="17" t="str">
        <f ca="1">IF(ISNA($B165),"",IF($B165="","",IFERROR(_xll.BDP(TICKER,"DEEP_MEASURE_PERIOD_BROKER_VALUE","DEEP_MEASURE_ID_OVERRIDE",$C165,"DEEP_BROKER_ID_OVERRIDE",$F$7,"DEEP_PERIOD_OVERRIDE",AQ$11)*1,"")))</f>
        <v/>
      </c>
    </row>
    <row r="166" spans="2:43" x14ac:dyDescent="0.25">
      <c r="B166" t="s">
        <v>196</v>
      </c>
      <c r="C166">
        <v>477</v>
      </c>
      <c r="H166" t="str">
        <f t="shared" si="4"/>
        <v>Assets &gt; Non-Current Assets &gt; Deferred Income Taxes, net</v>
      </c>
      <c r="I166" s="17" t="str">
        <f ca="1">IF(ISNA($B166),"",IF($B166="","",IFERROR(_xll.BDP(TICKER,"DEEP_MEASURE_PERIOD_BROKER_VALUE","DEEP_MEASURE_ID_OVERRIDE",$C166,"DEEP_BROKER_ID_OVERRIDE",$F$7,"DEEP_PERIOD_OVERRIDE",I$11)*1,"")))</f>
        <v/>
      </c>
      <c r="J166" s="17" t="str">
        <f ca="1">IF(ISNA($B166),"",IF($B166="","",IFERROR(_xll.BDP(TICKER,"DEEP_MEASURE_PERIOD_BROKER_VALUE","DEEP_MEASURE_ID_OVERRIDE",$C166,"DEEP_BROKER_ID_OVERRIDE",$F$7,"DEEP_PERIOD_OVERRIDE",J$11)*1,"")))</f>
        <v/>
      </c>
      <c r="K166" s="17" t="str">
        <f ca="1">IF(ISNA($B166),"",IF($B166="","",IFERROR(_xll.BDP(TICKER,"DEEP_MEASURE_PERIOD_BROKER_VALUE","DEEP_MEASURE_ID_OVERRIDE",$C166,"DEEP_BROKER_ID_OVERRIDE",$F$7,"DEEP_PERIOD_OVERRIDE",K$11)*1,"")))</f>
        <v/>
      </c>
      <c r="L166" s="17" t="str">
        <f ca="1">IF(ISNA($B166),"",IF($B166="","",IFERROR(_xll.BDP(TICKER,"DEEP_MEASURE_PERIOD_BROKER_VALUE","DEEP_MEASURE_ID_OVERRIDE",$C166,"DEEP_BROKER_ID_OVERRIDE",$F$7,"DEEP_PERIOD_OVERRIDE",L$11)*1,"")))</f>
        <v/>
      </c>
      <c r="M166" s="17" t="str">
        <f ca="1">IF(ISNA($B166),"",IF($B166="","",IFERROR(_xll.BDP(TICKER,"DEEP_MEASURE_PERIOD_BROKER_VALUE","DEEP_MEASURE_ID_OVERRIDE",$C166,"DEEP_BROKER_ID_OVERRIDE",$F$7,"DEEP_PERIOD_OVERRIDE",M$11)*1,"")))</f>
        <v/>
      </c>
      <c r="N166" s="17" t="str">
        <f ca="1">IF(ISNA($B166),"",IF($B166="","",IFERROR(_xll.BDP(TICKER,"DEEP_MEASURE_PERIOD_BROKER_VALUE","DEEP_MEASURE_ID_OVERRIDE",$C166,"DEEP_BROKER_ID_OVERRIDE",$F$7,"DEEP_PERIOD_OVERRIDE",N$11)*1,"")))</f>
        <v/>
      </c>
      <c r="O166" s="17" t="str">
        <f ca="1">IF(ISNA($B166),"",IF($B166="","",IFERROR(_xll.BDP(TICKER,"DEEP_MEASURE_PERIOD_BROKER_VALUE","DEEP_MEASURE_ID_OVERRIDE",$C166,"DEEP_BROKER_ID_OVERRIDE",$F$7,"DEEP_PERIOD_OVERRIDE",O$11)*1,"")))</f>
        <v/>
      </c>
      <c r="P166" s="17" t="str">
        <f ca="1">IF(ISNA($B166),"",IF($B166="","",IFERROR(_xll.BDP(TICKER,"DEEP_MEASURE_PERIOD_BROKER_VALUE","DEEP_MEASURE_ID_OVERRIDE",$C166,"DEEP_BROKER_ID_OVERRIDE",$F$7,"DEEP_PERIOD_OVERRIDE",P$11)*1,"")))</f>
        <v/>
      </c>
      <c r="Q166" s="17" t="str">
        <f ca="1">IF(ISNA($B166),"",IF($B166="","",IFERROR(_xll.BDP(TICKER,"DEEP_MEASURE_PERIOD_BROKER_VALUE","DEEP_MEASURE_ID_OVERRIDE",$C166,"DEEP_BROKER_ID_OVERRIDE",$F$7,"DEEP_PERIOD_OVERRIDE",Q$11)*1,"")))</f>
        <v/>
      </c>
      <c r="R166" s="17" t="str">
        <f ca="1">IF(ISNA($B166),"",IF($B166="","",IFERROR(_xll.BDP(TICKER,"DEEP_MEASURE_PERIOD_BROKER_VALUE","DEEP_MEASURE_ID_OVERRIDE",$C166,"DEEP_BROKER_ID_OVERRIDE",$F$7,"DEEP_PERIOD_OVERRIDE",R$11)*1,"")))</f>
        <v/>
      </c>
      <c r="S166" s="17" t="str">
        <f ca="1">IF(ISNA($B166),"",IF($B166="","",IFERROR(_xll.BDP(TICKER,"DEEP_MEASURE_PERIOD_BROKER_VALUE","DEEP_MEASURE_ID_OVERRIDE",$C166,"DEEP_BROKER_ID_OVERRIDE",$F$7,"DEEP_PERIOD_OVERRIDE",S$11)*1,"")))</f>
        <v/>
      </c>
      <c r="T166" s="17" t="str">
        <f ca="1">IF(ISNA($B166),"",IF($B166="","",IFERROR(_xll.BDP(TICKER,"DEEP_MEASURE_PERIOD_BROKER_VALUE","DEEP_MEASURE_ID_OVERRIDE",$C166,"DEEP_BROKER_ID_OVERRIDE",$F$7,"DEEP_PERIOD_OVERRIDE",T$11)*1,"")))</f>
        <v/>
      </c>
      <c r="U166" s="17" t="str">
        <f ca="1">IF(ISNA($B166),"",IF($B166="","",IFERROR(_xll.BDP(TICKER,"DEEP_MEASURE_PERIOD_BROKER_VALUE","DEEP_MEASURE_ID_OVERRIDE",$C166,"DEEP_BROKER_ID_OVERRIDE",$F$7,"DEEP_PERIOD_OVERRIDE",U$11)*1,"")))</f>
        <v/>
      </c>
      <c r="V166" s="17" t="str">
        <f ca="1">IF(ISNA($B166),"",IF($B166="","",IFERROR(_xll.BDP(TICKER,"DEEP_MEASURE_PERIOD_BROKER_VALUE","DEEP_MEASURE_ID_OVERRIDE",$C166,"DEEP_BROKER_ID_OVERRIDE",$F$7,"DEEP_PERIOD_OVERRIDE",V$11)*1,"")))</f>
        <v/>
      </c>
      <c r="W166" s="17" t="str">
        <f ca="1">IF(ISNA($B166),"",IF($B166="","",IFERROR(_xll.BDP(TICKER,"DEEP_MEASURE_PERIOD_BROKER_VALUE","DEEP_MEASURE_ID_OVERRIDE",$C166,"DEEP_BROKER_ID_OVERRIDE",$F$7,"DEEP_PERIOD_OVERRIDE",W$11)*1,"")))</f>
        <v/>
      </c>
      <c r="X166" s="17" t="str">
        <f ca="1">IF(ISNA($B166),"",IF($B166="","",IFERROR(_xll.BDP(TICKER,"DEEP_MEASURE_PERIOD_BROKER_VALUE","DEEP_MEASURE_ID_OVERRIDE",$C166,"DEEP_BROKER_ID_OVERRIDE",$F$7,"DEEP_PERIOD_OVERRIDE",X$11)*1,"")))</f>
        <v/>
      </c>
      <c r="Y166" s="17" t="str">
        <f ca="1">IF(ISNA($B166),"",IF($B166="","",IFERROR(_xll.BDP(TICKER,"DEEP_MEASURE_PERIOD_BROKER_VALUE","DEEP_MEASURE_ID_OVERRIDE",$C166,"DEEP_BROKER_ID_OVERRIDE",$F$7,"DEEP_PERIOD_OVERRIDE",Y$11)*1,"")))</f>
        <v/>
      </c>
      <c r="Z166" s="17" t="str">
        <f ca="1">IF(ISNA($B166),"",IF($B166="","",IFERROR(_xll.BDP(TICKER,"DEEP_MEASURE_PERIOD_BROKER_VALUE","DEEP_MEASURE_ID_OVERRIDE",$C166,"DEEP_BROKER_ID_OVERRIDE",$F$7,"DEEP_PERIOD_OVERRIDE",Z$11)*1,"")))</f>
        <v/>
      </c>
      <c r="AA166" s="17" t="str">
        <f ca="1">IF(ISNA($B166),"",IF($B166="","",IFERROR(_xll.BDP(TICKER,"DEEP_MEASURE_PERIOD_BROKER_VALUE","DEEP_MEASURE_ID_OVERRIDE",$C166,"DEEP_BROKER_ID_OVERRIDE",$F$7,"DEEP_PERIOD_OVERRIDE",AA$11)*1,"")))</f>
        <v/>
      </c>
      <c r="AB166" s="17" t="str">
        <f ca="1">IF(ISNA($B166),"",IF($B166="","",IFERROR(_xll.BDP(TICKER,"DEEP_MEASURE_PERIOD_BROKER_VALUE","DEEP_MEASURE_ID_OVERRIDE",$C166,"DEEP_BROKER_ID_OVERRIDE",$F$7,"DEEP_PERIOD_OVERRIDE",AB$11)*1,"")))</f>
        <v/>
      </c>
      <c r="AC166" s="17" t="str">
        <f ca="1">IF(ISNA($B166),"",IF($B166="","",IFERROR(_xll.BDP(TICKER,"DEEP_MEASURE_PERIOD_BROKER_VALUE","DEEP_MEASURE_ID_OVERRIDE",$C166,"DEEP_BROKER_ID_OVERRIDE",$F$7,"DEEP_PERIOD_OVERRIDE",AC$11)*1,"")))</f>
        <v/>
      </c>
      <c r="AD166" s="17" t="str">
        <f ca="1">IF(ISNA($B166),"",IF($B166="","",IFERROR(_xll.BDP(TICKER,"DEEP_MEASURE_PERIOD_BROKER_VALUE","DEEP_MEASURE_ID_OVERRIDE",$C166,"DEEP_BROKER_ID_OVERRIDE",$F$7,"DEEP_PERIOD_OVERRIDE",AD$11)*1,"")))</f>
        <v/>
      </c>
      <c r="AE166" s="17" t="str">
        <f ca="1">IF(ISNA($B166),"",IF($B166="","",IFERROR(_xll.BDP(TICKER,"DEEP_MEASURE_PERIOD_BROKER_VALUE","DEEP_MEASURE_ID_OVERRIDE",$C166,"DEEP_BROKER_ID_OVERRIDE",$F$7,"DEEP_PERIOD_OVERRIDE",AE$11)*1,"")))</f>
        <v/>
      </c>
      <c r="AF166" s="17" t="str">
        <f ca="1">IF(ISNA($B166),"",IF($B166="","",IFERROR(_xll.BDP(TICKER,"DEEP_MEASURE_PERIOD_BROKER_VALUE","DEEP_MEASURE_ID_OVERRIDE",$C166,"DEEP_BROKER_ID_OVERRIDE",$F$7,"DEEP_PERIOD_OVERRIDE",AF$11)*1,"")))</f>
        <v/>
      </c>
      <c r="AG166" s="17" t="str">
        <f ca="1">IF(ISNA($B166),"",IF($B166="","",IFERROR(_xll.BDP(TICKER,"DEEP_MEASURE_PERIOD_BROKER_VALUE","DEEP_MEASURE_ID_OVERRIDE",$C166,"DEEP_BROKER_ID_OVERRIDE",$F$7,"DEEP_PERIOD_OVERRIDE",AG$11)*1,"")))</f>
        <v/>
      </c>
      <c r="AH166" s="17" t="str">
        <f ca="1">IF(ISNA($B166),"",IF($B166="","",IFERROR(_xll.BDP(TICKER,"DEEP_MEASURE_PERIOD_BROKER_VALUE","DEEP_MEASURE_ID_OVERRIDE",$C166,"DEEP_BROKER_ID_OVERRIDE",$F$7,"DEEP_PERIOD_OVERRIDE",AH$11)*1,"")))</f>
        <v/>
      </c>
      <c r="AI166" s="17" t="str">
        <f ca="1">IF(ISNA($B166),"",IF($B166="","",IFERROR(_xll.BDP(TICKER,"DEEP_MEASURE_PERIOD_BROKER_VALUE","DEEP_MEASURE_ID_OVERRIDE",$C166,"DEEP_BROKER_ID_OVERRIDE",$F$7,"DEEP_PERIOD_OVERRIDE",AI$11)*1,"")))</f>
        <v/>
      </c>
      <c r="AJ166" s="17" t="str">
        <f ca="1">IF(ISNA($B166),"",IF($B166="","",IFERROR(_xll.BDP(TICKER,"DEEP_MEASURE_PERIOD_BROKER_VALUE","DEEP_MEASURE_ID_OVERRIDE",$C166,"DEEP_BROKER_ID_OVERRIDE",$F$7,"DEEP_PERIOD_OVERRIDE",AJ$11)*1,"")))</f>
        <v/>
      </c>
      <c r="AK166" s="17" t="str">
        <f ca="1">IF(ISNA($B166),"",IF($B166="","",IFERROR(_xll.BDP(TICKER,"DEEP_MEASURE_PERIOD_BROKER_VALUE","DEEP_MEASURE_ID_OVERRIDE",$C166,"DEEP_BROKER_ID_OVERRIDE",$F$7,"DEEP_PERIOD_OVERRIDE",AK$11)*1,"")))</f>
        <v/>
      </c>
      <c r="AL166" s="17" t="str">
        <f ca="1">IF(ISNA($B166),"",IF($B166="","",IFERROR(_xll.BDP(TICKER,"DEEP_MEASURE_PERIOD_BROKER_VALUE","DEEP_MEASURE_ID_OVERRIDE",$C166,"DEEP_BROKER_ID_OVERRIDE",$F$7,"DEEP_PERIOD_OVERRIDE",AL$11)*1,"")))</f>
        <v/>
      </c>
      <c r="AM166" s="17" t="str">
        <f ca="1">IF(ISNA($B166),"",IF($B166="","",IFERROR(_xll.BDP(TICKER,"DEEP_MEASURE_PERIOD_BROKER_VALUE","DEEP_MEASURE_ID_OVERRIDE",$C166,"DEEP_BROKER_ID_OVERRIDE",$F$7,"DEEP_PERIOD_OVERRIDE",AM$11)*1,"")))</f>
        <v/>
      </c>
      <c r="AN166" s="17" t="str">
        <f ca="1">IF(ISNA($B166),"",IF($B166="","",IFERROR(_xll.BDP(TICKER,"DEEP_MEASURE_PERIOD_BROKER_VALUE","DEEP_MEASURE_ID_OVERRIDE",$C166,"DEEP_BROKER_ID_OVERRIDE",$F$7,"DEEP_PERIOD_OVERRIDE",AN$11)*1,"")))</f>
        <v/>
      </c>
      <c r="AO166" s="17" t="str">
        <f ca="1">IF(ISNA($B166),"",IF($B166="","",IFERROR(_xll.BDP(TICKER,"DEEP_MEASURE_PERIOD_BROKER_VALUE","DEEP_MEASURE_ID_OVERRIDE",$C166,"DEEP_BROKER_ID_OVERRIDE",$F$7,"DEEP_PERIOD_OVERRIDE",AO$11)*1,"")))</f>
        <v/>
      </c>
      <c r="AP166" s="17" t="str">
        <f ca="1">IF(ISNA($B166),"",IF($B166="","",IFERROR(_xll.BDP(TICKER,"DEEP_MEASURE_PERIOD_BROKER_VALUE","DEEP_MEASURE_ID_OVERRIDE",$C166,"DEEP_BROKER_ID_OVERRIDE",$F$7,"DEEP_PERIOD_OVERRIDE",AP$11)*1,"")))</f>
        <v/>
      </c>
      <c r="AQ166" s="17" t="str">
        <f ca="1">IF(ISNA($B166),"",IF($B166="","",IFERROR(_xll.BDP(TICKER,"DEEP_MEASURE_PERIOD_BROKER_VALUE","DEEP_MEASURE_ID_OVERRIDE",$C166,"DEEP_BROKER_ID_OVERRIDE",$F$7,"DEEP_PERIOD_OVERRIDE",AQ$11)*1,"")))</f>
        <v/>
      </c>
    </row>
    <row r="167" spans="2:43" x14ac:dyDescent="0.25">
      <c r="B167" t="s">
        <v>197</v>
      </c>
      <c r="C167">
        <v>479</v>
      </c>
      <c r="H167" t="str">
        <f t="shared" si="4"/>
        <v>Assets &gt; Non-Current Assets &gt; Other Long-Term Investments</v>
      </c>
      <c r="I167" s="17" t="str">
        <f ca="1">IF(ISNA($B167),"",IF($B167="","",IFERROR(_xll.BDP(TICKER,"DEEP_MEASURE_PERIOD_BROKER_VALUE","DEEP_MEASURE_ID_OVERRIDE",$C167,"DEEP_BROKER_ID_OVERRIDE",$F$7,"DEEP_PERIOD_OVERRIDE",I$11)*1,"")))</f>
        <v/>
      </c>
      <c r="J167" s="17" t="str">
        <f ca="1">IF(ISNA($B167),"",IF($B167="","",IFERROR(_xll.BDP(TICKER,"DEEP_MEASURE_PERIOD_BROKER_VALUE","DEEP_MEASURE_ID_OVERRIDE",$C167,"DEEP_BROKER_ID_OVERRIDE",$F$7,"DEEP_PERIOD_OVERRIDE",J$11)*1,"")))</f>
        <v/>
      </c>
      <c r="K167" s="17" t="str">
        <f ca="1">IF(ISNA($B167),"",IF($B167="","",IFERROR(_xll.BDP(TICKER,"DEEP_MEASURE_PERIOD_BROKER_VALUE","DEEP_MEASURE_ID_OVERRIDE",$C167,"DEEP_BROKER_ID_OVERRIDE",$F$7,"DEEP_PERIOD_OVERRIDE",K$11)*1,"")))</f>
        <v/>
      </c>
      <c r="L167" s="17" t="str">
        <f ca="1">IF(ISNA($B167),"",IF($B167="","",IFERROR(_xll.BDP(TICKER,"DEEP_MEASURE_PERIOD_BROKER_VALUE","DEEP_MEASURE_ID_OVERRIDE",$C167,"DEEP_BROKER_ID_OVERRIDE",$F$7,"DEEP_PERIOD_OVERRIDE",L$11)*1,"")))</f>
        <v/>
      </c>
      <c r="M167" s="17" t="str">
        <f ca="1">IF(ISNA($B167),"",IF($B167="","",IFERROR(_xll.BDP(TICKER,"DEEP_MEASURE_PERIOD_BROKER_VALUE","DEEP_MEASURE_ID_OVERRIDE",$C167,"DEEP_BROKER_ID_OVERRIDE",$F$7,"DEEP_PERIOD_OVERRIDE",M$11)*1,"")))</f>
        <v/>
      </c>
      <c r="N167" s="17" t="str">
        <f ca="1">IF(ISNA($B167),"",IF($B167="","",IFERROR(_xll.BDP(TICKER,"DEEP_MEASURE_PERIOD_BROKER_VALUE","DEEP_MEASURE_ID_OVERRIDE",$C167,"DEEP_BROKER_ID_OVERRIDE",$F$7,"DEEP_PERIOD_OVERRIDE",N$11)*1,"")))</f>
        <v/>
      </c>
      <c r="O167" s="17" t="str">
        <f ca="1">IF(ISNA($B167),"",IF($B167="","",IFERROR(_xll.BDP(TICKER,"DEEP_MEASURE_PERIOD_BROKER_VALUE","DEEP_MEASURE_ID_OVERRIDE",$C167,"DEEP_BROKER_ID_OVERRIDE",$F$7,"DEEP_PERIOD_OVERRIDE",O$11)*1,"")))</f>
        <v/>
      </c>
      <c r="P167" s="17" t="str">
        <f ca="1">IF(ISNA($B167),"",IF($B167="","",IFERROR(_xll.BDP(TICKER,"DEEP_MEASURE_PERIOD_BROKER_VALUE","DEEP_MEASURE_ID_OVERRIDE",$C167,"DEEP_BROKER_ID_OVERRIDE",$F$7,"DEEP_PERIOD_OVERRIDE",P$11)*1,"")))</f>
        <v/>
      </c>
      <c r="Q167" s="17" t="str">
        <f ca="1">IF(ISNA($B167),"",IF($B167="","",IFERROR(_xll.BDP(TICKER,"DEEP_MEASURE_PERIOD_BROKER_VALUE","DEEP_MEASURE_ID_OVERRIDE",$C167,"DEEP_BROKER_ID_OVERRIDE",$F$7,"DEEP_PERIOD_OVERRIDE",Q$11)*1,"")))</f>
        <v/>
      </c>
      <c r="R167" s="17" t="str">
        <f ca="1">IF(ISNA($B167),"",IF($B167="","",IFERROR(_xll.BDP(TICKER,"DEEP_MEASURE_PERIOD_BROKER_VALUE","DEEP_MEASURE_ID_OVERRIDE",$C167,"DEEP_BROKER_ID_OVERRIDE",$F$7,"DEEP_PERIOD_OVERRIDE",R$11)*1,"")))</f>
        <v/>
      </c>
      <c r="S167" s="17" t="str">
        <f ca="1">IF(ISNA($B167),"",IF($B167="","",IFERROR(_xll.BDP(TICKER,"DEEP_MEASURE_PERIOD_BROKER_VALUE","DEEP_MEASURE_ID_OVERRIDE",$C167,"DEEP_BROKER_ID_OVERRIDE",$F$7,"DEEP_PERIOD_OVERRIDE",S$11)*1,"")))</f>
        <v/>
      </c>
      <c r="T167" s="17" t="str">
        <f ca="1">IF(ISNA($B167),"",IF($B167="","",IFERROR(_xll.BDP(TICKER,"DEEP_MEASURE_PERIOD_BROKER_VALUE","DEEP_MEASURE_ID_OVERRIDE",$C167,"DEEP_BROKER_ID_OVERRIDE",$F$7,"DEEP_PERIOD_OVERRIDE",T$11)*1,"")))</f>
        <v/>
      </c>
      <c r="U167" s="17" t="str">
        <f ca="1">IF(ISNA($B167),"",IF($B167="","",IFERROR(_xll.BDP(TICKER,"DEEP_MEASURE_PERIOD_BROKER_VALUE","DEEP_MEASURE_ID_OVERRIDE",$C167,"DEEP_BROKER_ID_OVERRIDE",$F$7,"DEEP_PERIOD_OVERRIDE",U$11)*1,"")))</f>
        <v/>
      </c>
      <c r="V167" s="17" t="str">
        <f ca="1">IF(ISNA($B167),"",IF($B167="","",IFERROR(_xll.BDP(TICKER,"DEEP_MEASURE_PERIOD_BROKER_VALUE","DEEP_MEASURE_ID_OVERRIDE",$C167,"DEEP_BROKER_ID_OVERRIDE",$F$7,"DEEP_PERIOD_OVERRIDE",V$11)*1,"")))</f>
        <v/>
      </c>
      <c r="W167" s="17" t="str">
        <f ca="1">IF(ISNA($B167),"",IF($B167="","",IFERROR(_xll.BDP(TICKER,"DEEP_MEASURE_PERIOD_BROKER_VALUE","DEEP_MEASURE_ID_OVERRIDE",$C167,"DEEP_BROKER_ID_OVERRIDE",$F$7,"DEEP_PERIOD_OVERRIDE",W$11)*1,"")))</f>
        <v/>
      </c>
      <c r="X167" s="17" t="str">
        <f ca="1">IF(ISNA($B167),"",IF($B167="","",IFERROR(_xll.BDP(TICKER,"DEEP_MEASURE_PERIOD_BROKER_VALUE","DEEP_MEASURE_ID_OVERRIDE",$C167,"DEEP_BROKER_ID_OVERRIDE",$F$7,"DEEP_PERIOD_OVERRIDE",X$11)*1,"")))</f>
        <v/>
      </c>
      <c r="Y167" s="17" t="str">
        <f ca="1">IF(ISNA($B167),"",IF($B167="","",IFERROR(_xll.BDP(TICKER,"DEEP_MEASURE_PERIOD_BROKER_VALUE","DEEP_MEASURE_ID_OVERRIDE",$C167,"DEEP_BROKER_ID_OVERRIDE",$F$7,"DEEP_PERIOD_OVERRIDE",Y$11)*1,"")))</f>
        <v/>
      </c>
      <c r="Z167" s="17" t="str">
        <f ca="1">IF(ISNA($B167),"",IF($B167="","",IFERROR(_xll.BDP(TICKER,"DEEP_MEASURE_PERIOD_BROKER_VALUE","DEEP_MEASURE_ID_OVERRIDE",$C167,"DEEP_BROKER_ID_OVERRIDE",$F$7,"DEEP_PERIOD_OVERRIDE",Z$11)*1,"")))</f>
        <v/>
      </c>
      <c r="AA167" s="17" t="str">
        <f ca="1">IF(ISNA($B167),"",IF($B167="","",IFERROR(_xll.BDP(TICKER,"DEEP_MEASURE_PERIOD_BROKER_VALUE","DEEP_MEASURE_ID_OVERRIDE",$C167,"DEEP_BROKER_ID_OVERRIDE",$F$7,"DEEP_PERIOD_OVERRIDE",AA$11)*1,"")))</f>
        <v/>
      </c>
      <c r="AB167" s="17" t="str">
        <f ca="1">IF(ISNA($B167),"",IF($B167="","",IFERROR(_xll.BDP(TICKER,"DEEP_MEASURE_PERIOD_BROKER_VALUE","DEEP_MEASURE_ID_OVERRIDE",$C167,"DEEP_BROKER_ID_OVERRIDE",$F$7,"DEEP_PERIOD_OVERRIDE",AB$11)*1,"")))</f>
        <v/>
      </c>
      <c r="AC167" s="17" t="str">
        <f ca="1">IF(ISNA($B167),"",IF($B167="","",IFERROR(_xll.BDP(TICKER,"DEEP_MEASURE_PERIOD_BROKER_VALUE","DEEP_MEASURE_ID_OVERRIDE",$C167,"DEEP_BROKER_ID_OVERRIDE",$F$7,"DEEP_PERIOD_OVERRIDE",AC$11)*1,"")))</f>
        <v/>
      </c>
      <c r="AD167" s="17" t="str">
        <f ca="1">IF(ISNA($B167),"",IF($B167="","",IFERROR(_xll.BDP(TICKER,"DEEP_MEASURE_PERIOD_BROKER_VALUE","DEEP_MEASURE_ID_OVERRIDE",$C167,"DEEP_BROKER_ID_OVERRIDE",$F$7,"DEEP_PERIOD_OVERRIDE",AD$11)*1,"")))</f>
        <v/>
      </c>
      <c r="AE167" s="17" t="str">
        <f ca="1">IF(ISNA($B167),"",IF($B167="","",IFERROR(_xll.BDP(TICKER,"DEEP_MEASURE_PERIOD_BROKER_VALUE","DEEP_MEASURE_ID_OVERRIDE",$C167,"DEEP_BROKER_ID_OVERRIDE",$F$7,"DEEP_PERIOD_OVERRIDE",AE$11)*1,"")))</f>
        <v/>
      </c>
      <c r="AF167" s="17" t="str">
        <f ca="1">IF(ISNA($B167),"",IF($B167="","",IFERROR(_xll.BDP(TICKER,"DEEP_MEASURE_PERIOD_BROKER_VALUE","DEEP_MEASURE_ID_OVERRIDE",$C167,"DEEP_BROKER_ID_OVERRIDE",$F$7,"DEEP_PERIOD_OVERRIDE",AF$11)*1,"")))</f>
        <v/>
      </c>
      <c r="AG167" s="17" t="str">
        <f ca="1">IF(ISNA($B167),"",IF($B167="","",IFERROR(_xll.BDP(TICKER,"DEEP_MEASURE_PERIOD_BROKER_VALUE","DEEP_MEASURE_ID_OVERRIDE",$C167,"DEEP_BROKER_ID_OVERRIDE",$F$7,"DEEP_PERIOD_OVERRIDE",AG$11)*1,"")))</f>
        <v/>
      </c>
      <c r="AH167" s="17" t="str">
        <f ca="1">IF(ISNA($B167),"",IF($B167="","",IFERROR(_xll.BDP(TICKER,"DEEP_MEASURE_PERIOD_BROKER_VALUE","DEEP_MEASURE_ID_OVERRIDE",$C167,"DEEP_BROKER_ID_OVERRIDE",$F$7,"DEEP_PERIOD_OVERRIDE",AH$11)*1,"")))</f>
        <v/>
      </c>
      <c r="AI167" s="17" t="str">
        <f ca="1">IF(ISNA($B167),"",IF($B167="","",IFERROR(_xll.BDP(TICKER,"DEEP_MEASURE_PERIOD_BROKER_VALUE","DEEP_MEASURE_ID_OVERRIDE",$C167,"DEEP_BROKER_ID_OVERRIDE",$F$7,"DEEP_PERIOD_OVERRIDE",AI$11)*1,"")))</f>
        <v/>
      </c>
      <c r="AJ167" s="17" t="str">
        <f ca="1">IF(ISNA($B167),"",IF($B167="","",IFERROR(_xll.BDP(TICKER,"DEEP_MEASURE_PERIOD_BROKER_VALUE","DEEP_MEASURE_ID_OVERRIDE",$C167,"DEEP_BROKER_ID_OVERRIDE",$F$7,"DEEP_PERIOD_OVERRIDE",AJ$11)*1,"")))</f>
        <v/>
      </c>
      <c r="AK167" s="17" t="str">
        <f ca="1">IF(ISNA($B167),"",IF($B167="","",IFERROR(_xll.BDP(TICKER,"DEEP_MEASURE_PERIOD_BROKER_VALUE","DEEP_MEASURE_ID_OVERRIDE",$C167,"DEEP_BROKER_ID_OVERRIDE",$F$7,"DEEP_PERIOD_OVERRIDE",AK$11)*1,"")))</f>
        <v/>
      </c>
      <c r="AL167" s="17" t="str">
        <f ca="1">IF(ISNA($B167),"",IF($B167="","",IFERROR(_xll.BDP(TICKER,"DEEP_MEASURE_PERIOD_BROKER_VALUE","DEEP_MEASURE_ID_OVERRIDE",$C167,"DEEP_BROKER_ID_OVERRIDE",$F$7,"DEEP_PERIOD_OVERRIDE",AL$11)*1,"")))</f>
        <v/>
      </c>
      <c r="AM167" s="17" t="str">
        <f ca="1">IF(ISNA($B167),"",IF($B167="","",IFERROR(_xll.BDP(TICKER,"DEEP_MEASURE_PERIOD_BROKER_VALUE","DEEP_MEASURE_ID_OVERRIDE",$C167,"DEEP_BROKER_ID_OVERRIDE",$F$7,"DEEP_PERIOD_OVERRIDE",AM$11)*1,"")))</f>
        <v/>
      </c>
      <c r="AN167" s="17" t="str">
        <f ca="1">IF(ISNA($B167),"",IF($B167="","",IFERROR(_xll.BDP(TICKER,"DEEP_MEASURE_PERIOD_BROKER_VALUE","DEEP_MEASURE_ID_OVERRIDE",$C167,"DEEP_BROKER_ID_OVERRIDE",$F$7,"DEEP_PERIOD_OVERRIDE",AN$11)*1,"")))</f>
        <v/>
      </c>
      <c r="AO167" s="17" t="str">
        <f ca="1">IF(ISNA($B167),"",IF($B167="","",IFERROR(_xll.BDP(TICKER,"DEEP_MEASURE_PERIOD_BROKER_VALUE","DEEP_MEASURE_ID_OVERRIDE",$C167,"DEEP_BROKER_ID_OVERRIDE",$F$7,"DEEP_PERIOD_OVERRIDE",AO$11)*1,"")))</f>
        <v/>
      </c>
      <c r="AP167" s="17" t="str">
        <f ca="1">IF(ISNA($B167),"",IF($B167="","",IFERROR(_xll.BDP(TICKER,"DEEP_MEASURE_PERIOD_BROKER_VALUE","DEEP_MEASURE_ID_OVERRIDE",$C167,"DEEP_BROKER_ID_OVERRIDE",$F$7,"DEEP_PERIOD_OVERRIDE",AP$11)*1,"")))</f>
        <v/>
      </c>
      <c r="AQ167" s="17" t="str">
        <f ca="1">IF(ISNA($B167),"",IF($B167="","",IFERROR(_xll.BDP(TICKER,"DEEP_MEASURE_PERIOD_BROKER_VALUE","DEEP_MEASURE_ID_OVERRIDE",$C167,"DEEP_BROKER_ID_OVERRIDE",$F$7,"DEEP_PERIOD_OVERRIDE",AQ$11)*1,"")))</f>
        <v/>
      </c>
    </row>
    <row r="168" spans="2:43" x14ac:dyDescent="0.25">
      <c r="B168" t="s">
        <v>198</v>
      </c>
      <c r="C168">
        <v>757</v>
      </c>
      <c r="H168" t="str">
        <f t="shared" si="4"/>
        <v>Total Assets</v>
      </c>
      <c r="I168" s="17" t="str">
        <f ca="1">IF(ISNA($B168),"",IF($B168="","",IFERROR(_xll.BDP(TICKER,"DEEP_MEASURE_PERIOD_BROKER_VALUE","DEEP_MEASURE_ID_OVERRIDE",$C168,"DEEP_BROKER_ID_OVERRIDE",$F$7,"DEEP_PERIOD_OVERRIDE",I$11)*1,"")))</f>
        <v/>
      </c>
      <c r="J168" s="17" t="str">
        <f ca="1">IF(ISNA($B168),"",IF($B168="","",IFERROR(_xll.BDP(TICKER,"DEEP_MEASURE_PERIOD_BROKER_VALUE","DEEP_MEASURE_ID_OVERRIDE",$C168,"DEEP_BROKER_ID_OVERRIDE",$F$7,"DEEP_PERIOD_OVERRIDE",J$11)*1,"")))</f>
        <v/>
      </c>
      <c r="K168" s="17" t="str">
        <f ca="1">IF(ISNA($B168),"",IF($B168="","",IFERROR(_xll.BDP(TICKER,"DEEP_MEASURE_PERIOD_BROKER_VALUE","DEEP_MEASURE_ID_OVERRIDE",$C168,"DEEP_BROKER_ID_OVERRIDE",$F$7,"DEEP_PERIOD_OVERRIDE",K$11)*1,"")))</f>
        <v/>
      </c>
      <c r="L168" s="17" t="str">
        <f ca="1">IF(ISNA($B168),"",IF($B168="","",IFERROR(_xll.BDP(TICKER,"DEEP_MEASURE_PERIOD_BROKER_VALUE","DEEP_MEASURE_ID_OVERRIDE",$C168,"DEEP_BROKER_ID_OVERRIDE",$F$7,"DEEP_PERIOD_OVERRIDE",L$11)*1,"")))</f>
        <v/>
      </c>
      <c r="M168" s="17" t="str">
        <f ca="1">IF(ISNA($B168),"",IF($B168="","",IFERROR(_xll.BDP(TICKER,"DEEP_MEASURE_PERIOD_BROKER_VALUE","DEEP_MEASURE_ID_OVERRIDE",$C168,"DEEP_BROKER_ID_OVERRIDE",$F$7,"DEEP_PERIOD_OVERRIDE",M$11)*1,"")))</f>
        <v/>
      </c>
      <c r="N168" s="17" t="str">
        <f ca="1">IF(ISNA($B168),"",IF($B168="","",IFERROR(_xll.BDP(TICKER,"DEEP_MEASURE_PERIOD_BROKER_VALUE","DEEP_MEASURE_ID_OVERRIDE",$C168,"DEEP_BROKER_ID_OVERRIDE",$F$7,"DEEP_PERIOD_OVERRIDE",N$11)*1,"")))</f>
        <v/>
      </c>
      <c r="O168" s="17" t="str">
        <f ca="1">IF(ISNA($B168),"",IF($B168="","",IFERROR(_xll.BDP(TICKER,"DEEP_MEASURE_PERIOD_BROKER_VALUE","DEEP_MEASURE_ID_OVERRIDE",$C168,"DEEP_BROKER_ID_OVERRIDE",$F$7,"DEEP_PERIOD_OVERRIDE",O$11)*1,"")))</f>
        <v/>
      </c>
      <c r="P168" s="17" t="str">
        <f ca="1">IF(ISNA($B168),"",IF($B168="","",IFERROR(_xll.BDP(TICKER,"DEEP_MEASURE_PERIOD_BROKER_VALUE","DEEP_MEASURE_ID_OVERRIDE",$C168,"DEEP_BROKER_ID_OVERRIDE",$F$7,"DEEP_PERIOD_OVERRIDE",P$11)*1,"")))</f>
        <v/>
      </c>
      <c r="Q168" s="17" t="str">
        <f ca="1">IF(ISNA($B168),"",IF($B168="","",IFERROR(_xll.BDP(TICKER,"DEEP_MEASURE_PERIOD_BROKER_VALUE","DEEP_MEASURE_ID_OVERRIDE",$C168,"DEEP_BROKER_ID_OVERRIDE",$F$7,"DEEP_PERIOD_OVERRIDE",Q$11)*1,"")))</f>
        <v/>
      </c>
      <c r="R168" s="17" t="str">
        <f ca="1">IF(ISNA($B168),"",IF($B168="","",IFERROR(_xll.BDP(TICKER,"DEEP_MEASURE_PERIOD_BROKER_VALUE","DEEP_MEASURE_ID_OVERRIDE",$C168,"DEEP_BROKER_ID_OVERRIDE",$F$7,"DEEP_PERIOD_OVERRIDE",R$11)*1,"")))</f>
        <v/>
      </c>
      <c r="S168" s="17" t="str">
        <f ca="1">IF(ISNA($B168),"",IF($B168="","",IFERROR(_xll.BDP(TICKER,"DEEP_MEASURE_PERIOD_BROKER_VALUE","DEEP_MEASURE_ID_OVERRIDE",$C168,"DEEP_BROKER_ID_OVERRIDE",$F$7,"DEEP_PERIOD_OVERRIDE",S$11)*1,"")))</f>
        <v/>
      </c>
      <c r="T168" s="17" t="str">
        <f ca="1">IF(ISNA($B168),"",IF($B168="","",IFERROR(_xll.BDP(TICKER,"DEEP_MEASURE_PERIOD_BROKER_VALUE","DEEP_MEASURE_ID_OVERRIDE",$C168,"DEEP_BROKER_ID_OVERRIDE",$F$7,"DEEP_PERIOD_OVERRIDE",T$11)*1,"")))</f>
        <v/>
      </c>
      <c r="U168" s="17" t="str">
        <f ca="1">IF(ISNA($B168),"",IF($B168="","",IFERROR(_xll.BDP(TICKER,"DEEP_MEASURE_PERIOD_BROKER_VALUE","DEEP_MEASURE_ID_OVERRIDE",$C168,"DEEP_BROKER_ID_OVERRIDE",$F$7,"DEEP_PERIOD_OVERRIDE",U$11)*1,"")))</f>
        <v/>
      </c>
      <c r="V168" s="17" t="str">
        <f ca="1">IF(ISNA($B168),"",IF($B168="","",IFERROR(_xll.BDP(TICKER,"DEEP_MEASURE_PERIOD_BROKER_VALUE","DEEP_MEASURE_ID_OVERRIDE",$C168,"DEEP_BROKER_ID_OVERRIDE",$F$7,"DEEP_PERIOD_OVERRIDE",V$11)*1,"")))</f>
        <v/>
      </c>
      <c r="W168" s="17" t="str">
        <f ca="1">IF(ISNA($B168),"",IF($B168="","",IFERROR(_xll.BDP(TICKER,"DEEP_MEASURE_PERIOD_BROKER_VALUE","DEEP_MEASURE_ID_OVERRIDE",$C168,"DEEP_BROKER_ID_OVERRIDE",$F$7,"DEEP_PERIOD_OVERRIDE",W$11)*1,"")))</f>
        <v/>
      </c>
      <c r="X168" s="17" t="str">
        <f ca="1">IF(ISNA($B168),"",IF($B168="","",IFERROR(_xll.BDP(TICKER,"DEEP_MEASURE_PERIOD_BROKER_VALUE","DEEP_MEASURE_ID_OVERRIDE",$C168,"DEEP_BROKER_ID_OVERRIDE",$F$7,"DEEP_PERIOD_OVERRIDE",X$11)*1,"")))</f>
        <v/>
      </c>
      <c r="Y168" s="17" t="str">
        <f ca="1">IF(ISNA($B168),"",IF($B168="","",IFERROR(_xll.BDP(TICKER,"DEEP_MEASURE_PERIOD_BROKER_VALUE","DEEP_MEASURE_ID_OVERRIDE",$C168,"DEEP_BROKER_ID_OVERRIDE",$F$7,"DEEP_PERIOD_OVERRIDE",Y$11)*1,"")))</f>
        <v/>
      </c>
      <c r="Z168" s="17" t="str">
        <f ca="1">IF(ISNA($B168),"",IF($B168="","",IFERROR(_xll.BDP(TICKER,"DEEP_MEASURE_PERIOD_BROKER_VALUE","DEEP_MEASURE_ID_OVERRIDE",$C168,"DEEP_BROKER_ID_OVERRIDE",$F$7,"DEEP_PERIOD_OVERRIDE",Z$11)*1,"")))</f>
        <v/>
      </c>
      <c r="AA168" s="17" t="str">
        <f ca="1">IF(ISNA($B168),"",IF($B168="","",IFERROR(_xll.BDP(TICKER,"DEEP_MEASURE_PERIOD_BROKER_VALUE","DEEP_MEASURE_ID_OVERRIDE",$C168,"DEEP_BROKER_ID_OVERRIDE",$F$7,"DEEP_PERIOD_OVERRIDE",AA$11)*1,"")))</f>
        <v/>
      </c>
      <c r="AB168" s="17" t="str">
        <f ca="1">IF(ISNA($B168),"",IF($B168="","",IFERROR(_xll.BDP(TICKER,"DEEP_MEASURE_PERIOD_BROKER_VALUE","DEEP_MEASURE_ID_OVERRIDE",$C168,"DEEP_BROKER_ID_OVERRIDE",$F$7,"DEEP_PERIOD_OVERRIDE",AB$11)*1,"")))</f>
        <v/>
      </c>
      <c r="AC168" s="17" t="str">
        <f ca="1">IF(ISNA($B168),"",IF($B168="","",IFERROR(_xll.BDP(TICKER,"DEEP_MEASURE_PERIOD_BROKER_VALUE","DEEP_MEASURE_ID_OVERRIDE",$C168,"DEEP_BROKER_ID_OVERRIDE",$F$7,"DEEP_PERIOD_OVERRIDE",AC$11)*1,"")))</f>
        <v/>
      </c>
      <c r="AD168" s="17" t="str">
        <f ca="1">IF(ISNA($B168),"",IF($B168="","",IFERROR(_xll.BDP(TICKER,"DEEP_MEASURE_PERIOD_BROKER_VALUE","DEEP_MEASURE_ID_OVERRIDE",$C168,"DEEP_BROKER_ID_OVERRIDE",$F$7,"DEEP_PERIOD_OVERRIDE",AD$11)*1,"")))</f>
        <v/>
      </c>
      <c r="AE168" s="17" t="str">
        <f ca="1">IF(ISNA($B168),"",IF($B168="","",IFERROR(_xll.BDP(TICKER,"DEEP_MEASURE_PERIOD_BROKER_VALUE","DEEP_MEASURE_ID_OVERRIDE",$C168,"DEEP_BROKER_ID_OVERRIDE",$F$7,"DEEP_PERIOD_OVERRIDE",AE$11)*1,"")))</f>
        <v/>
      </c>
      <c r="AF168" s="17" t="str">
        <f ca="1">IF(ISNA($B168),"",IF($B168="","",IFERROR(_xll.BDP(TICKER,"DEEP_MEASURE_PERIOD_BROKER_VALUE","DEEP_MEASURE_ID_OVERRIDE",$C168,"DEEP_BROKER_ID_OVERRIDE",$F$7,"DEEP_PERIOD_OVERRIDE",AF$11)*1,"")))</f>
        <v/>
      </c>
      <c r="AG168" s="17" t="str">
        <f ca="1">IF(ISNA($B168),"",IF($B168="","",IFERROR(_xll.BDP(TICKER,"DEEP_MEASURE_PERIOD_BROKER_VALUE","DEEP_MEASURE_ID_OVERRIDE",$C168,"DEEP_BROKER_ID_OVERRIDE",$F$7,"DEEP_PERIOD_OVERRIDE",AG$11)*1,"")))</f>
        <v/>
      </c>
      <c r="AH168" s="17" t="str">
        <f ca="1">IF(ISNA($B168),"",IF($B168="","",IFERROR(_xll.BDP(TICKER,"DEEP_MEASURE_PERIOD_BROKER_VALUE","DEEP_MEASURE_ID_OVERRIDE",$C168,"DEEP_BROKER_ID_OVERRIDE",$F$7,"DEEP_PERIOD_OVERRIDE",AH$11)*1,"")))</f>
        <v/>
      </c>
      <c r="AI168" s="17" t="str">
        <f ca="1">IF(ISNA($B168),"",IF($B168="","",IFERROR(_xll.BDP(TICKER,"DEEP_MEASURE_PERIOD_BROKER_VALUE","DEEP_MEASURE_ID_OVERRIDE",$C168,"DEEP_BROKER_ID_OVERRIDE",$F$7,"DEEP_PERIOD_OVERRIDE",AI$11)*1,"")))</f>
        <v/>
      </c>
      <c r="AJ168" s="17" t="str">
        <f ca="1">IF(ISNA($B168),"",IF($B168="","",IFERROR(_xll.BDP(TICKER,"DEEP_MEASURE_PERIOD_BROKER_VALUE","DEEP_MEASURE_ID_OVERRIDE",$C168,"DEEP_BROKER_ID_OVERRIDE",$F$7,"DEEP_PERIOD_OVERRIDE",AJ$11)*1,"")))</f>
        <v/>
      </c>
      <c r="AK168" s="17" t="str">
        <f ca="1">IF(ISNA($B168),"",IF($B168="","",IFERROR(_xll.BDP(TICKER,"DEEP_MEASURE_PERIOD_BROKER_VALUE","DEEP_MEASURE_ID_OVERRIDE",$C168,"DEEP_BROKER_ID_OVERRIDE",$F$7,"DEEP_PERIOD_OVERRIDE",AK$11)*1,"")))</f>
        <v/>
      </c>
      <c r="AL168" s="17" t="str">
        <f ca="1">IF(ISNA($B168),"",IF($B168="","",IFERROR(_xll.BDP(TICKER,"DEEP_MEASURE_PERIOD_BROKER_VALUE","DEEP_MEASURE_ID_OVERRIDE",$C168,"DEEP_BROKER_ID_OVERRIDE",$F$7,"DEEP_PERIOD_OVERRIDE",AL$11)*1,"")))</f>
        <v/>
      </c>
      <c r="AM168" s="17" t="str">
        <f ca="1">IF(ISNA($B168),"",IF($B168="","",IFERROR(_xll.BDP(TICKER,"DEEP_MEASURE_PERIOD_BROKER_VALUE","DEEP_MEASURE_ID_OVERRIDE",$C168,"DEEP_BROKER_ID_OVERRIDE",$F$7,"DEEP_PERIOD_OVERRIDE",AM$11)*1,"")))</f>
        <v/>
      </c>
      <c r="AN168" s="17" t="str">
        <f ca="1">IF(ISNA($B168),"",IF($B168="","",IFERROR(_xll.BDP(TICKER,"DEEP_MEASURE_PERIOD_BROKER_VALUE","DEEP_MEASURE_ID_OVERRIDE",$C168,"DEEP_BROKER_ID_OVERRIDE",$F$7,"DEEP_PERIOD_OVERRIDE",AN$11)*1,"")))</f>
        <v/>
      </c>
      <c r="AO168" s="17" t="str">
        <f ca="1">IF(ISNA($B168),"",IF($B168="","",IFERROR(_xll.BDP(TICKER,"DEEP_MEASURE_PERIOD_BROKER_VALUE","DEEP_MEASURE_ID_OVERRIDE",$C168,"DEEP_BROKER_ID_OVERRIDE",$F$7,"DEEP_PERIOD_OVERRIDE",AO$11)*1,"")))</f>
        <v/>
      </c>
      <c r="AP168" s="17" t="str">
        <f ca="1">IF(ISNA($B168),"",IF($B168="","",IFERROR(_xll.BDP(TICKER,"DEEP_MEASURE_PERIOD_BROKER_VALUE","DEEP_MEASURE_ID_OVERRIDE",$C168,"DEEP_BROKER_ID_OVERRIDE",$F$7,"DEEP_PERIOD_OVERRIDE",AP$11)*1,"")))</f>
        <v/>
      </c>
      <c r="AQ168" s="17" t="str">
        <f ca="1">IF(ISNA($B168),"",IF($B168="","",IFERROR(_xll.BDP(TICKER,"DEEP_MEASURE_PERIOD_BROKER_VALUE","DEEP_MEASURE_ID_OVERRIDE",$C168,"DEEP_BROKER_ID_OVERRIDE",$F$7,"DEEP_PERIOD_OVERRIDE",AQ$11)*1,"")))</f>
        <v/>
      </c>
    </row>
    <row r="169" spans="2:43" x14ac:dyDescent="0.25">
      <c r="B169" t="s">
        <v>51</v>
      </c>
      <c r="C169">
        <v>493</v>
      </c>
      <c r="H169" t="str">
        <f t="shared" si="4"/>
        <v>Liabilities &amp; Shareholders' Equity &gt; Current Liabilities</v>
      </c>
      <c r="I169" s="17" t="str">
        <f ca="1">IF(ISNA($B169),"",IF($B169="","",IFERROR(_xll.BDP(TICKER,"DEEP_MEASURE_PERIOD_BROKER_VALUE","DEEP_MEASURE_ID_OVERRIDE",$C169,"DEEP_BROKER_ID_OVERRIDE",$F$7,"DEEP_PERIOD_OVERRIDE",I$11)*1,"")))</f>
        <v/>
      </c>
      <c r="J169" s="17" t="str">
        <f ca="1">IF(ISNA($B169),"",IF($B169="","",IFERROR(_xll.BDP(TICKER,"DEEP_MEASURE_PERIOD_BROKER_VALUE","DEEP_MEASURE_ID_OVERRIDE",$C169,"DEEP_BROKER_ID_OVERRIDE",$F$7,"DEEP_PERIOD_OVERRIDE",J$11)*1,"")))</f>
        <v/>
      </c>
      <c r="K169" s="17" t="str">
        <f ca="1">IF(ISNA($B169),"",IF($B169="","",IFERROR(_xll.BDP(TICKER,"DEEP_MEASURE_PERIOD_BROKER_VALUE","DEEP_MEASURE_ID_OVERRIDE",$C169,"DEEP_BROKER_ID_OVERRIDE",$F$7,"DEEP_PERIOD_OVERRIDE",K$11)*1,"")))</f>
        <v/>
      </c>
      <c r="L169" s="17" t="str">
        <f ca="1">IF(ISNA($B169),"",IF($B169="","",IFERROR(_xll.BDP(TICKER,"DEEP_MEASURE_PERIOD_BROKER_VALUE","DEEP_MEASURE_ID_OVERRIDE",$C169,"DEEP_BROKER_ID_OVERRIDE",$F$7,"DEEP_PERIOD_OVERRIDE",L$11)*1,"")))</f>
        <v/>
      </c>
      <c r="M169" s="17" t="str">
        <f ca="1">IF(ISNA($B169),"",IF($B169="","",IFERROR(_xll.BDP(TICKER,"DEEP_MEASURE_PERIOD_BROKER_VALUE","DEEP_MEASURE_ID_OVERRIDE",$C169,"DEEP_BROKER_ID_OVERRIDE",$F$7,"DEEP_PERIOD_OVERRIDE",M$11)*1,"")))</f>
        <v/>
      </c>
      <c r="N169" s="17" t="str">
        <f ca="1">IF(ISNA($B169),"",IF($B169="","",IFERROR(_xll.BDP(TICKER,"DEEP_MEASURE_PERIOD_BROKER_VALUE","DEEP_MEASURE_ID_OVERRIDE",$C169,"DEEP_BROKER_ID_OVERRIDE",$F$7,"DEEP_PERIOD_OVERRIDE",N$11)*1,"")))</f>
        <v/>
      </c>
      <c r="O169" s="17" t="str">
        <f ca="1">IF(ISNA($B169),"",IF($B169="","",IFERROR(_xll.BDP(TICKER,"DEEP_MEASURE_PERIOD_BROKER_VALUE","DEEP_MEASURE_ID_OVERRIDE",$C169,"DEEP_BROKER_ID_OVERRIDE",$F$7,"DEEP_PERIOD_OVERRIDE",O$11)*1,"")))</f>
        <v/>
      </c>
      <c r="P169" s="17" t="str">
        <f ca="1">IF(ISNA($B169),"",IF($B169="","",IFERROR(_xll.BDP(TICKER,"DEEP_MEASURE_PERIOD_BROKER_VALUE","DEEP_MEASURE_ID_OVERRIDE",$C169,"DEEP_BROKER_ID_OVERRIDE",$F$7,"DEEP_PERIOD_OVERRIDE",P$11)*1,"")))</f>
        <v/>
      </c>
      <c r="Q169" s="17" t="str">
        <f ca="1">IF(ISNA($B169),"",IF($B169="","",IFERROR(_xll.BDP(TICKER,"DEEP_MEASURE_PERIOD_BROKER_VALUE","DEEP_MEASURE_ID_OVERRIDE",$C169,"DEEP_BROKER_ID_OVERRIDE",$F$7,"DEEP_PERIOD_OVERRIDE",Q$11)*1,"")))</f>
        <v/>
      </c>
      <c r="R169" s="17" t="str">
        <f ca="1">IF(ISNA($B169),"",IF($B169="","",IFERROR(_xll.BDP(TICKER,"DEEP_MEASURE_PERIOD_BROKER_VALUE","DEEP_MEASURE_ID_OVERRIDE",$C169,"DEEP_BROKER_ID_OVERRIDE",$F$7,"DEEP_PERIOD_OVERRIDE",R$11)*1,"")))</f>
        <v/>
      </c>
      <c r="S169" s="17" t="str">
        <f ca="1">IF(ISNA($B169),"",IF($B169="","",IFERROR(_xll.BDP(TICKER,"DEEP_MEASURE_PERIOD_BROKER_VALUE","DEEP_MEASURE_ID_OVERRIDE",$C169,"DEEP_BROKER_ID_OVERRIDE",$F$7,"DEEP_PERIOD_OVERRIDE",S$11)*1,"")))</f>
        <v/>
      </c>
      <c r="T169" s="17" t="str">
        <f ca="1">IF(ISNA($B169),"",IF($B169="","",IFERROR(_xll.BDP(TICKER,"DEEP_MEASURE_PERIOD_BROKER_VALUE","DEEP_MEASURE_ID_OVERRIDE",$C169,"DEEP_BROKER_ID_OVERRIDE",$F$7,"DEEP_PERIOD_OVERRIDE",T$11)*1,"")))</f>
        <v/>
      </c>
      <c r="U169" s="17" t="str">
        <f ca="1">IF(ISNA($B169),"",IF($B169="","",IFERROR(_xll.BDP(TICKER,"DEEP_MEASURE_PERIOD_BROKER_VALUE","DEEP_MEASURE_ID_OVERRIDE",$C169,"DEEP_BROKER_ID_OVERRIDE",$F$7,"DEEP_PERIOD_OVERRIDE",U$11)*1,"")))</f>
        <v/>
      </c>
      <c r="V169" s="17" t="str">
        <f ca="1">IF(ISNA($B169),"",IF($B169="","",IFERROR(_xll.BDP(TICKER,"DEEP_MEASURE_PERIOD_BROKER_VALUE","DEEP_MEASURE_ID_OVERRIDE",$C169,"DEEP_BROKER_ID_OVERRIDE",$F$7,"DEEP_PERIOD_OVERRIDE",V$11)*1,"")))</f>
        <v/>
      </c>
      <c r="W169" s="17" t="str">
        <f ca="1">IF(ISNA($B169),"",IF($B169="","",IFERROR(_xll.BDP(TICKER,"DEEP_MEASURE_PERIOD_BROKER_VALUE","DEEP_MEASURE_ID_OVERRIDE",$C169,"DEEP_BROKER_ID_OVERRIDE",$F$7,"DEEP_PERIOD_OVERRIDE",W$11)*1,"")))</f>
        <v/>
      </c>
      <c r="X169" s="17" t="str">
        <f ca="1">IF(ISNA($B169),"",IF($B169="","",IFERROR(_xll.BDP(TICKER,"DEEP_MEASURE_PERIOD_BROKER_VALUE","DEEP_MEASURE_ID_OVERRIDE",$C169,"DEEP_BROKER_ID_OVERRIDE",$F$7,"DEEP_PERIOD_OVERRIDE",X$11)*1,"")))</f>
        <v/>
      </c>
      <c r="Y169" s="17" t="str">
        <f ca="1">IF(ISNA($B169),"",IF($B169="","",IFERROR(_xll.BDP(TICKER,"DEEP_MEASURE_PERIOD_BROKER_VALUE","DEEP_MEASURE_ID_OVERRIDE",$C169,"DEEP_BROKER_ID_OVERRIDE",$F$7,"DEEP_PERIOD_OVERRIDE",Y$11)*1,"")))</f>
        <v/>
      </c>
      <c r="Z169" s="17" t="str">
        <f ca="1">IF(ISNA($B169),"",IF($B169="","",IFERROR(_xll.BDP(TICKER,"DEEP_MEASURE_PERIOD_BROKER_VALUE","DEEP_MEASURE_ID_OVERRIDE",$C169,"DEEP_BROKER_ID_OVERRIDE",$F$7,"DEEP_PERIOD_OVERRIDE",Z$11)*1,"")))</f>
        <v/>
      </c>
      <c r="AA169" s="17" t="str">
        <f ca="1">IF(ISNA($B169),"",IF($B169="","",IFERROR(_xll.BDP(TICKER,"DEEP_MEASURE_PERIOD_BROKER_VALUE","DEEP_MEASURE_ID_OVERRIDE",$C169,"DEEP_BROKER_ID_OVERRIDE",$F$7,"DEEP_PERIOD_OVERRIDE",AA$11)*1,"")))</f>
        <v/>
      </c>
      <c r="AB169" s="17" t="str">
        <f ca="1">IF(ISNA($B169),"",IF($B169="","",IFERROR(_xll.BDP(TICKER,"DEEP_MEASURE_PERIOD_BROKER_VALUE","DEEP_MEASURE_ID_OVERRIDE",$C169,"DEEP_BROKER_ID_OVERRIDE",$F$7,"DEEP_PERIOD_OVERRIDE",AB$11)*1,"")))</f>
        <v/>
      </c>
      <c r="AC169" s="17" t="str">
        <f ca="1">IF(ISNA($B169),"",IF($B169="","",IFERROR(_xll.BDP(TICKER,"DEEP_MEASURE_PERIOD_BROKER_VALUE","DEEP_MEASURE_ID_OVERRIDE",$C169,"DEEP_BROKER_ID_OVERRIDE",$F$7,"DEEP_PERIOD_OVERRIDE",AC$11)*1,"")))</f>
        <v/>
      </c>
      <c r="AD169" s="17" t="str">
        <f ca="1">IF(ISNA($B169),"",IF($B169="","",IFERROR(_xll.BDP(TICKER,"DEEP_MEASURE_PERIOD_BROKER_VALUE","DEEP_MEASURE_ID_OVERRIDE",$C169,"DEEP_BROKER_ID_OVERRIDE",$F$7,"DEEP_PERIOD_OVERRIDE",AD$11)*1,"")))</f>
        <v/>
      </c>
      <c r="AE169" s="17" t="str">
        <f ca="1">IF(ISNA($B169),"",IF($B169="","",IFERROR(_xll.BDP(TICKER,"DEEP_MEASURE_PERIOD_BROKER_VALUE","DEEP_MEASURE_ID_OVERRIDE",$C169,"DEEP_BROKER_ID_OVERRIDE",$F$7,"DEEP_PERIOD_OVERRIDE",AE$11)*1,"")))</f>
        <v/>
      </c>
      <c r="AF169" s="17" t="str">
        <f ca="1">IF(ISNA($B169),"",IF($B169="","",IFERROR(_xll.BDP(TICKER,"DEEP_MEASURE_PERIOD_BROKER_VALUE","DEEP_MEASURE_ID_OVERRIDE",$C169,"DEEP_BROKER_ID_OVERRIDE",$F$7,"DEEP_PERIOD_OVERRIDE",AF$11)*1,"")))</f>
        <v/>
      </c>
      <c r="AG169" s="17" t="str">
        <f ca="1">IF(ISNA($B169),"",IF($B169="","",IFERROR(_xll.BDP(TICKER,"DEEP_MEASURE_PERIOD_BROKER_VALUE","DEEP_MEASURE_ID_OVERRIDE",$C169,"DEEP_BROKER_ID_OVERRIDE",$F$7,"DEEP_PERIOD_OVERRIDE",AG$11)*1,"")))</f>
        <v/>
      </c>
      <c r="AH169" s="17" t="str">
        <f ca="1">IF(ISNA($B169),"",IF($B169="","",IFERROR(_xll.BDP(TICKER,"DEEP_MEASURE_PERIOD_BROKER_VALUE","DEEP_MEASURE_ID_OVERRIDE",$C169,"DEEP_BROKER_ID_OVERRIDE",$F$7,"DEEP_PERIOD_OVERRIDE",AH$11)*1,"")))</f>
        <v/>
      </c>
      <c r="AI169" s="17" t="str">
        <f ca="1">IF(ISNA($B169),"",IF($B169="","",IFERROR(_xll.BDP(TICKER,"DEEP_MEASURE_PERIOD_BROKER_VALUE","DEEP_MEASURE_ID_OVERRIDE",$C169,"DEEP_BROKER_ID_OVERRIDE",$F$7,"DEEP_PERIOD_OVERRIDE",AI$11)*1,"")))</f>
        <v/>
      </c>
      <c r="AJ169" s="17" t="str">
        <f ca="1">IF(ISNA($B169),"",IF($B169="","",IFERROR(_xll.BDP(TICKER,"DEEP_MEASURE_PERIOD_BROKER_VALUE","DEEP_MEASURE_ID_OVERRIDE",$C169,"DEEP_BROKER_ID_OVERRIDE",$F$7,"DEEP_PERIOD_OVERRIDE",AJ$11)*1,"")))</f>
        <v/>
      </c>
      <c r="AK169" s="17" t="str">
        <f ca="1">IF(ISNA($B169),"",IF($B169="","",IFERROR(_xll.BDP(TICKER,"DEEP_MEASURE_PERIOD_BROKER_VALUE","DEEP_MEASURE_ID_OVERRIDE",$C169,"DEEP_BROKER_ID_OVERRIDE",$F$7,"DEEP_PERIOD_OVERRIDE",AK$11)*1,"")))</f>
        <v/>
      </c>
      <c r="AL169" s="17" t="str">
        <f ca="1">IF(ISNA($B169),"",IF($B169="","",IFERROR(_xll.BDP(TICKER,"DEEP_MEASURE_PERIOD_BROKER_VALUE","DEEP_MEASURE_ID_OVERRIDE",$C169,"DEEP_BROKER_ID_OVERRIDE",$F$7,"DEEP_PERIOD_OVERRIDE",AL$11)*1,"")))</f>
        <v/>
      </c>
      <c r="AM169" s="17" t="str">
        <f ca="1">IF(ISNA($B169),"",IF($B169="","",IFERROR(_xll.BDP(TICKER,"DEEP_MEASURE_PERIOD_BROKER_VALUE","DEEP_MEASURE_ID_OVERRIDE",$C169,"DEEP_BROKER_ID_OVERRIDE",$F$7,"DEEP_PERIOD_OVERRIDE",AM$11)*1,"")))</f>
        <v/>
      </c>
      <c r="AN169" s="17" t="str">
        <f ca="1">IF(ISNA($B169),"",IF($B169="","",IFERROR(_xll.BDP(TICKER,"DEEP_MEASURE_PERIOD_BROKER_VALUE","DEEP_MEASURE_ID_OVERRIDE",$C169,"DEEP_BROKER_ID_OVERRIDE",$F$7,"DEEP_PERIOD_OVERRIDE",AN$11)*1,"")))</f>
        <v/>
      </c>
      <c r="AO169" s="17" t="str">
        <f ca="1">IF(ISNA($B169),"",IF($B169="","",IFERROR(_xll.BDP(TICKER,"DEEP_MEASURE_PERIOD_BROKER_VALUE","DEEP_MEASURE_ID_OVERRIDE",$C169,"DEEP_BROKER_ID_OVERRIDE",$F$7,"DEEP_PERIOD_OVERRIDE",AO$11)*1,"")))</f>
        <v/>
      </c>
      <c r="AP169" s="17" t="str">
        <f ca="1">IF(ISNA($B169),"",IF($B169="","",IFERROR(_xll.BDP(TICKER,"DEEP_MEASURE_PERIOD_BROKER_VALUE","DEEP_MEASURE_ID_OVERRIDE",$C169,"DEEP_BROKER_ID_OVERRIDE",$F$7,"DEEP_PERIOD_OVERRIDE",AP$11)*1,"")))</f>
        <v/>
      </c>
      <c r="AQ169" s="17" t="str">
        <f ca="1">IF(ISNA($B169),"",IF($B169="","",IFERROR(_xll.BDP(TICKER,"DEEP_MEASURE_PERIOD_BROKER_VALUE","DEEP_MEASURE_ID_OVERRIDE",$C169,"DEEP_BROKER_ID_OVERRIDE",$F$7,"DEEP_PERIOD_OVERRIDE",AQ$11)*1,"")))</f>
        <v/>
      </c>
    </row>
    <row r="170" spans="2:43" x14ac:dyDescent="0.25">
      <c r="B170" t="s">
        <v>52</v>
      </c>
      <c r="C170">
        <v>485</v>
      </c>
      <c r="H170" t="str">
        <f t="shared" si="4"/>
        <v>Liabilities &amp; Shareholders' Equity &gt; Current Liabilities &gt; Accounts Payable and Other Accrued Expenses</v>
      </c>
      <c r="I170" s="17" t="str">
        <f ca="1">IF(ISNA($B170),"",IF($B170="","",IFERROR(_xll.BDP(TICKER,"DEEP_MEASURE_PERIOD_BROKER_VALUE","DEEP_MEASURE_ID_OVERRIDE",$C170,"DEEP_BROKER_ID_OVERRIDE",$F$7,"DEEP_PERIOD_OVERRIDE",I$11)*1,"")))</f>
        <v/>
      </c>
      <c r="J170" s="17" t="str">
        <f ca="1">IF(ISNA($B170),"",IF($B170="","",IFERROR(_xll.BDP(TICKER,"DEEP_MEASURE_PERIOD_BROKER_VALUE","DEEP_MEASURE_ID_OVERRIDE",$C170,"DEEP_BROKER_ID_OVERRIDE",$F$7,"DEEP_PERIOD_OVERRIDE",J$11)*1,"")))</f>
        <v/>
      </c>
      <c r="K170" s="17" t="str">
        <f ca="1">IF(ISNA($B170),"",IF($B170="","",IFERROR(_xll.BDP(TICKER,"DEEP_MEASURE_PERIOD_BROKER_VALUE","DEEP_MEASURE_ID_OVERRIDE",$C170,"DEEP_BROKER_ID_OVERRIDE",$F$7,"DEEP_PERIOD_OVERRIDE",K$11)*1,"")))</f>
        <v/>
      </c>
      <c r="L170" s="17" t="str">
        <f ca="1">IF(ISNA($B170),"",IF($B170="","",IFERROR(_xll.BDP(TICKER,"DEEP_MEASURE_PERIOD_BROKER_VALUE","DEEP_MEASURE_ID_OVERRIDE",$C170,"DEEP_BROKER_ID_OVERRIDE",$F$7,"DEEP_PERIOD_OVERRIDE",L$11)*1,"")))</f>
        <v/>
      </c>
      <c r="M170" s="17" t="str">
        <f ca="1">IF(ISNA($B170),"",IF($B170="","",IFERROR(_xll.BDP(TICKER,"DEEP_MEASURE_PERIOD_BROKER_VALUE","DEEP_MEASURE_ID_OVERRIDE",$C170,"DEEP_BROKER_ID_OVERRIDE",$F$7,"DEEP_PERIOD_OVERRIDE",M$11)*1,"")))</f>
        <v/>
      </c>
      <c r="N170" s="17" t="str">
        <f ca="1">IF(ISNA($B170),"",IF($B170="","",IFERROR(_xll.BDP(TICKER,"DEEP_MEASURE_PERIOD_BROKER_VALUE","DEEP_MEASURE_ID_OVERRIDE",$C170,"DEEP_BROKER_ID_OVERRIDE",$F$7,"DEEP_PERIOD_OVERRIDE",N$11)*1,"")))</f>
        <v/>
      </c>
      <c r="O170" s="17" t="str">
        <f ca="1">IF(ISNA($B170),"",IF($B170="","",IFERROR(_xll.BDP(TICKER,"DEEP_MEASURE_PERIOD_BROKER_VALUE","DEEP_MEASURE_ID_OVERRIDE",$C170,"DEEP_BROKER_ID_OVERRIDE",$F$7,"DEEP_PERIOD_OVERRIDE",O$11)*1,"")))</f>
        <v/>
      </c>
      <c r="P170" s="17" t="str">
        <f ca="1">IF(ISNA($B170),"",IF($B170="","",IFERROR(_xll.BDP(TICKER,"DEEP_MEASURE_PERIOD_BROKER_VALUE","DEEP_MEASURE_ID_OVERRIDE",$C170,"DEEP_BROKER_ID_OVERRIDE",$F$7,"DEEP_PERIOD_OVERRIDE",P$11)*1,"")))</f>
        <v/>
      </c>
      <c r="Q170" s="17" t="str">
        <f ca="1">IF(ISNA($B170),"",IF($B170="","",IFERROR(_xll.BDP(TICKER,"DEEP_MEASURE_PERIOD_BROKER_VALUE","DEEP_MEASURE_ID_OVERRIDE",$C170,"DEEP_BROKER_ID_OVERRIDE",$F$7,"DEEP_PERIOD_OVERRIDE",Q$11)*1,"")))</f>
        <v/>
      </c>
      <c r="R170" s="17" t="str">
        <f ca="1">IF(ISNA($B170),"",IF($B170="","",IFERROR(_xll.BDP(TICKER,"DEEP_MEASURE_PERIOD_BROKER_VALUE","DEEP_MEASURE_ID_OVERRIDE",$C170,"DEEP_BROKER_ID_OVERRIDE",$F$7,"DEEP_PERIOD_OVERRIDE",R$11)*1,"")))</f>
        <v/>
      </c>
      <c r="S170" s="17" t="str">
        <f ca="1">IF(ISNA($B170),"",IF($B170="","",IFERROR(_xll.BDP(TICKER,"DEEP_MEASURE_PERIOD_BROKER_VALUE","DEEP_MEASURE_ID_OVERRIDE",$C170,"DEEP_BROKER_ID_OVERRIDE",$F$7,"DEEP_PERIOD_OVERRIDE",S$11)*1,"")))</f>
        <v/>
      </c>
      <c r="T170" s="17" t="str">
        <f ca="1">IF(ISNA($B170),"",IF($B170="","",IFERROR(_xll.BDP(TICKER,"DEEP_MEASURE_PERIOD_BROKER_VALUE","DEEP_MEASURE_ID_OVERRIDE",$C170,"DEEP_BROKER_ID_OVERRIDE",$F$7,"DEEP_PERIOD_OVERRIDE",T$11)*1,"")))</f>
        <v/>
      </c>
      <c r="U170" s="17" t="str">
        <f ca="1">IF(ISNA($B170),"",IF($B170="","",IFERROR(_xll.BDP(TICKER,"DEEP_MEASURE_PERIOD_BROKER_VALUE","DEEP_MEASURE_ID_OVERRIDE",$C170,"DEEP_BROKER_ID_OVERRIDE",$F$7,"DEEP_PERIOD_OVERRIDE",U$11)*1,"")))</f>
        <v/>
      </c>
      <c r="V170" s="17" t="str">
        <f ca="1">IF(ISNA($B170),"",IF($B170="","",IFERROR(_xll.BDP(TICKER,"DEEP_MEASURE_PERIOD_BROKER_VALUE","DEEP_MEASURE_ID_OVERRIDE",$C170,"DEEP_BROKER_ID_OVERRIDE",$F$7,"DEEP_PERIOD_OVERRIDE",V$11)*1,"")))</f>
        <v/>
      </c>
      <c r="W170" s="17" t="str">
        <f ca="1">IF(ISNA($B170),"",IF($B170="","",IFERROR(_xll.BDP(TICKER,"DEEP_MEASURE_PERIOD_BROKER_VALUE","DEEP_MEASURE_ID_OVERRIDE",$C170,"DEEP_BROKER_ID_OVERRIDE",$F$7,"DEEP_PERIOD_OVERRIDE",W$11)*1,"")))</f>
        <v/>
      </c>
      <c r="X170" s="17" t="str">
        <f ca="1">IF(ISNA($B170),"",IF($B170="","",IFERROR(_xll.BDP(TICKER,"DEEP_MEASURE_PERIOD_BROKER_VALUE","DEEP_MEASURE_ID_OVERRIDE",$C170,"DEEP_BROKER_ID_OVERRIDE",$F$7,"DEEP_PERIOD_OVERRIDE",X$11)*1,"")))</f>
        <v/>
      </c>
      <c r="Y170" s="17" t="str">
        <f ca="1">IF(ISNA($B170),"",IF($B170="","",IFERROR(_xll.BDP(TICKER,"DEEP_MEASURE_PERIOD_BROKER_VALUE","DEEP_MEASURE_ID_OVERRIDE",$C170,"DEEP_BROKER_ID_OVERRIDE",$F$7,"DEEP_PERIOD_OVERRIDE",Y$11)*1,"")))</f>
        <v/>
      </c>
      <c r="Z170" s="17" t="str">
        <f ca="1">IF(ISNA($B170),"",IF($B170="","",IFERROR(_xll.BDP(TICKER,"DEEP_MEASURE_PERIOD_BROKER_VALUE","DEEP_MEASURE_ID_OVERRIDE",$C170,"DEEP_BROKER_ID_OVERRIDE",$F$7,"DEEP_PERIOD_OVERRIDE",Z$11)*1,"")))</f>
        <v/>
      </c>
      <c r="AA170" s="17" t="str">
        <f ca="1">IF(ISNA($B170),"",IF($B170="","",IFERROR(_xll.BDP(TICKER,"DEEP_MEASURE_PERIOD_BROKER_VALUE","DEEP_MEASURE_ID_OVERRIDE",$C170,"DEEP_BROKER_ID_OVERRIDE",$F$7,"DEEP_PERIOD_OVERRIDE",AA$11)*1,"")))</f>
        <v/>
      </c>
      <c r="AB170" s="17" t="str">
        <f ca="1">IF(ISNA($B170),"",IF($B170="","",IFERROR(_xll.BDP(TICKER,"DEEP_MEASURE_PERIOD_BROKER_VALUE","DEEP_MEASURE_ID_OVERRIDE",$C170,"DEEP_BROKER_ID_OVERRIDE",$F$7,"DEEP_PERIOD_OVERRIDE",AB$11)*1,"")))</f>
        <v/>
      </c>
      <c r="AC170" s="17" t="str">
        <f ca="1">IF(ISNA($B170),"",IF($B170="","",IFERROR(_xll.BDP(TICKER,"DEEP_MEASURE_PERIOD_BROKER_VALUE","DEEP_MEASURE_ID_OVERRIDE",$C170,"DEEP_BROKER_ID_OVERRIDE",$F$7,"DEEP_PERIOD_OVERRIDE",AC$11)*1,"")))</f>
        <v/>
      </c>
      <c r="AD170" s="17" t="str">
        <f ca="1">IF(ISNA($B170),"",IF($B170="","",IFERROR(_xll.BDP(TICKER,"DEEP_MEASURE_PERIOD_BROKER_VALUE","DEEP_MEASURE_ID_OVERRIDE",$C170,"DEEP_BROKER_ID_OVERRIDE",$F$7,"DEEP_PERIOD_OVERRIDE",AD$11)*1,"")))</f>
        <v/>
      </c>
      <c r="AE170" s="17" t="str">
        <f ca="1">IF(ISNA($B170),"",IF($B170="","",IFERROR(_xll.BDP(TICKER,"DEEP_MEASURE_PERIOD_BROKER_VALUE","DEEP_MEASURE_ID_OVERRIDE",$C170,"DEEP_BROKER_ID_OVERRIDE",$F$7,"DEEP_PERIOD_OVERRIDE",AE$11)*1,"")))</f>
        <v/>
      </c>
      <c r="AF170" s="17" t="str">
        <f ca="1">IF(ISNA($B170),"",IF($B170="","",IFERROR(_xll.BDP(TICKER,"DEEP_MEASURE_PERIOD_BROKER_VALUE","DEEP_MEASURE_ID_OVERRIDE",$C170,"DEEP_BROKER_ID_OVERRIDE",$F$7,"DEEP_PERIOD_OVERRIDE",AF$11)*1,"")))</f>
        <v/>
      </c>
      <c r="AG170" s="17" t="str">
        <f ca="1">IF(ISNA($B170),"",IF($B170="","",IFERROR(_xll.BDP(TICKER,"DEEP_MEASURE_PERIOD_BROKER_VALUE","DEEP_MEASURE_ID_OVERRIDE",$C170,"DEEP_BROKER_ID_OVERRIDE",$F$7,"DEEP_PERIOD_OVERRIDE",AG$11)*1,"")))</f>
        <v/>
      </c>
      <c r="AH170" s="17" t="str">
        <f ca="1">IF(ISNA($B170),"",IF($B170="","",IFERROR(_xll.BDP(TICKER,"DEEP_MEASURE_PERIOD_BROKER_VALUE","DEEP_MEASURE_ID_OVERRIDE",$C170,"DEEP_BROKER_ID_OVERRIDE",$F$7,"DEEP_PERIOD_OVERRIDE",AH$11)*1,"")))</f>
        <v/>
      </c>
      <c r="AI170" s="17" t="str">
        <f ca="1">IF(ISNA($B170),"",IF($B170="","",IFERROR(_xll.BDP(TICKER,"DEEP_MEASURE_PERIOD_BROKER_VALUE","DEEP_MEASURE_ID_OVERRIDE",$C170,"DEEP_BROKER_ID_OVERRIDE",$F$7,"DEEP_PERIOD_OVERRIDE",AI$11)*1,"")))</f>
        <v/>
      </c>
      <c r="AJ170" s="17" t="str">
        <f ca="1">IF(ISNA($B170),"",IF($B170="","",IFERROR(_xll.BDP(TICKER,"DEEP_MEASURE_PERIOD_BROKER_VALUE","DEEP_MEASURE_ID_OVERRIDE",$C170,"DEEP_BROKER_ID_OVERRIDE",$F$7,"DEEP_PERIOD_OVERRIDE",AJ$11)*1,"")))</f>
        <v/>
      </c>
      <c r="AK170" s="17" t="str">
        <f ca="1">IF(ISNA($B170),"",IF($B170="","",IFERROR(_xll.BDP(TICKER,"DEEP_MEASURE_PERIOD_BROKER_VALUE","DEEP_MEASURE_ID_OVERRIDE",$C170,"DEEP_BROKER_ID_OVERRIDE",$F$7,"DEEP_PERIOD_OVERRIDE",AK$11)*1,"")))</f>
        <v/>
      </c>
      <c r="AL170" s="17" t="str">
        <f ca="1">IF(ISNA($B170),"",IF($B170="","",IFERROR(_xll.BDP(TICKER,"DEEP_MEASURE_PERIOD_BROKER_VALUE","DEEP_MEASURE_ID_OVERRIDE",$C170,"DEEP_BROKER_ID_OVERRIDE",$F$7,"DEEP_PERIOD_OVERRIDE",AL$11)*1,"")))</f>
        <v/>
      </c>
      <c r="AM170" s="17" t="str">
        <f ca="1">IF(ISNA($B170),"",IF($B170="","",IFERROR(_xll.BDP(TICKER,"DEEP_MEASURE_PERIOD_BROKER_VALUE","DEEP_MEASURE_ID_OVERRIDE",$C170,"DEEP_BROKER_ID_OVERRIDE",$F$7,"DEEP_PERIOD_OVERRIDE",AM$11)*1,"")))</f>
        <v/>
      </c>
      <c r="AN170" s="17" t="str">
        <f ca="1">IF(ISNA($B170),"",IF($B170="","",IFERROR(_xll.BDP(TICKER,"DEEP_MEASURE_PERIOD_BROKER_VALUE","DEEP_MEASURE_ID_OVERRIDE",$C170,"DEEP_BROKER_ID_OVERRIDE",$F$7,"DEEP_PERIOD_OVERRIDE",AN$11)*1,"")))</f>
        <v/>
      </c>
      <c r="AO170" s="17" t="str">
        <f ca="1">IF(ISNA($B170),"",IF($B170="","",IFERROR(_xll.BDP(TICKER,"DEEP_MEASURE_PERIOD_BROKER_VALUE","DEEP_MEASURE_ID_OVERRIDE",$C170,"DEEP_BROKER_ID_OVERRIDE",$F$7,"DEEP_PERIOD_OVERRIDE",AO$11)*1,"")))</f>
        <v/>
      </c>
      <c r="AP170" s="17" t="str">
        <f ca="1">IF(ISNA($B170),"",IF($B170="","",IFERROR(_xll.BDP(TICKER,"DEEP_MEASURE_PERIOD_BROKER_VALUE","DEEP_MEASURE_ID_OVERRIDE",$C170,"DEEP_BROKER_ID_OVERRIDE",$F$7,"DEEP_PERIOD_OVERRIDE",AP$11)*1,"")))</f>
        <v/>
      </c>
      <c r="AQ170" s="17" t="str">
        <f ca="1">IF(ISNA($B170),"",IF($B170="","",IFERROR(_xll.BDP(TICKER,"DEEP_MEASURE_PERIOD_BROKER_VALUE","DEEP_MEASURE_ID_OVERRIDE",$C170,"DEEP_BROKER_ID_OVERRIDE",$F$7,"DEEP_PERIOD_OVERRIDE",AQ$11)*1,"")))</f>
        <v/>
      </c>
    </row>
    <row r="171" spans="2:43" x14ac:dyDescent="0.25">
      <c r="B171" t="s">
        <v>53</v>
      </c>
      <c r="C171">
        <v>3226</v>
      </c>
      <c r="H171" t="str">
        <f t="shared" si="4"/>
        <v>Liabilities &amp; Shareholders' Equity &gt; Current Liabilities &gt; Deferred Merchant Payable</v>
      </c>
      <c r="I171" s="17" t="str">
        <f ca="1">IF(ISNA($B171),"",IF($B171="","",IFERROR(_xll.BDP(TICKER,"DEEP_MEASURE_PERIOD_BROKER_VALUE","DEEP_MEASURE_ID_OVERRIDE",$C171,"DEEP_BROKER_ID_OVERRIDE",$F$7,"DEEP_PERIOD_OVERRIDE",I$11)*1,"")))</f>
        <v/>
      </c>
      <c r="J171" s="17" t="str">
        <f ca="1">IF(ISNA($B171),"",IF($B171="","",IFERROR(_xll.BDP(TICKER,"DEEP_MEASURE_PERIOD_BROKER_VALUE","DEEP_MEASURE_ID_OVERRIDE",$C171,"DEEP_BROKER_ID_OVERRIDE",$F$7,"DEEP_PERIOD_OVERRIDE",J$11)*1,"")))</f>
        <v/>
      </c>
      <c r="K171" s="17" t="str">
        <f ca="1">IF(ISNA($B171),"",IF($B171="","",IFERROR(_xll.BDP(TICKER,"DEEP_MEASURE_PERIOD_BROKER_VALUE","DEEP_MEASURE_ID_OVERRIDE",$C171,"DEEP_BROKER_ID_OVERRIDE",$F$7,"DEEP_PERIOD_OVERRIDE",K$11)*1,"")))</f>
        <v/>
      </c>
      <c r="L171" s="17" t="str">
        <f ca="1">IF(ISNA($B171),"",IF($B171="","",IFERROR(_xll.BDP(TICKER,"DEEP_MEASURE_PERIOD_BROKER_VALUE","DEEP_MEASURE_ID_OVERRIDE",$C171,"DEEP_BROKER_ID_OVERRIDE",$F$7,"DEEP_PERIOD_OVERRIDE",L$11)*1,"")))</f>
        <v/>
      </c>
      <c r="M171" s="17" t="str">
        <f ca="1">IF(ISNA($B171),"",IF($B171="","",IFERROR(_xll.BDP(TICKER,"DEEP_MEASURE_PERIOD_BROKER_VALUE","DEEP_MEASURE_ID_OVERRIDE",$C171,"DEEP_BROKER_ID_OVERRIDE",$F$7,"DEEP_PERIOD_OVERRIDE",M$11)*1,"")))</f>
        <v/>
      </c>
      <c r="N171" s="17" t="str">
        <f ca="1">IF(ISNA($B171),"",IF($B171="","",IFERROR(_xll.BDP(TICKER,"DEEP_MEASURE_PERIOD_BROKER_VALUE","DEEP_MEASURE_ID_OVERRIDE",$C171,"DEEP_BROKER_ID_OVERRIDE",$F$7,"DEEP_PERIOD_OVERRIDE",N$11)*1,"")))</f>
        <v/>
      </c>
      <c r="O171" s="17" t="str">
        <f ca="1">IF(ISNA($B171),"",IF($B171="","",IFERROR(_xll.BDP(TICKER,"DEEP_MEASURE_PERIOD_BROKER_VALUE","DEEP_MEASURE_ID_OVERRIDE",$C171,"DEEP_BROKER_ID_OVERRIDE",$F$7,"DEEP_PERIOD_OVERRIDE",O$11)*1,"")))</f>
        <v/>
      </c>
      <c r="P171" s="17" t="str">
        <f ca="1">IF(ISNA($B171),"",IF($B171="","",IFERROR(_xll.BDP(TICKER,"DEEP_MEASURE_PERIOD_BROKER_VALUE","DEEP_MEASURE_ID_OVERRIDE",$C171,"DEEP_BROKER_ID_OVERRIDE",$F$7,"DEEP_PERIOD_OVERRIDE",P$11)*1,"")))</f>
        <v/>
      </c>
      <c r="Q171" s="17" t="str">
        <f ca="1">IF(ISNA($B171),"",IF($B171="","",IFERROR(_xll.BDP(TICKER,"DEEP_MEASURE_PERIOD_BROKER_VALUE","DEEP_MEASURE_ID_OVERRIDE",$C171,"DEEP_BROKER_ID_OVERRIDE",$F$7,"DEEP_PERIOD_OVERRIDE",Q$11)*1,"")))</f>
        <v/>
      </c>
      <c r="R171" s="17" t="str">
        <f ca="1">IF(ISNA($B171),"",IF($B171="","",IFERROR(_xll.BDP(TICKER,"DEEP_MEASURE_PERIOD_BROKER_VALUE","DEEP_MEASURE_ID_OVERRIDE",$C171,"DEEP_BROKER_ID_OVERRIDE",$F$7,"DEEP_PERIOD_OVERRIDE",R$11)*1,"")))</f>
        <v/>
      </c>
      <c r="S171" s="17" t="str">
        <f ca="1">IF(ISNA($B171),"",IF($B171="","",IFERROR(_xll.BDP(TICKER,"DEEP_MEASURE_PERIOD_BROKER_VALUE","DEEP_MEASURE_ID_OVERRIDE",$C171,"DEEP_BROKER_ID_OVERRIDE",$F$7,"DEEP_PERIOD_OVERRIDE",S$11)*1,"")))</f>
        <v/>
      </c>
      <c r="T171" s="17" t="str">
        <f ca="1">IF(ISNA($B171),"",IF($B171="","",IFERROR(_xll.BDP(TICKER,"DEEP_MEASURE_PERIOD_BROKER_VALUE","DEEP_MEASURE_ID_OVERRIDE",$C171,"DEEP_BROKER_ID_OVERRIDE",$F$7,"DEEP_PERIOD_OVERRIDE",T$11)*1,"")))</f>
        <v/>
      </c>
      <c r="U171" s="17" t="str">
        <f ca="1">IF(ISNA($B171),"",IF($B171="","",IFERROR(_xll.BDP(TICKER,"DEEP_MEASURE_PERIOD_BROKER_VALUE","DEEP_MEASURE_ID_OVERRIDE",$C171,"DEEP_BROKER_ID_OVERRIDE",$F$7,"DEEP_PERIOD_OVERRIDE",U$11)*1,"")))</f>
        <v/>
      </c>
      <c r="V171" s="17" t="str">
        <f ca="1">IF(ISNA($B171),"",IF($B171="","",IFERROR(_xll.BDP(TICKER,"DEEP_MEASURE_PERIOD_BROKER_VALUE","DEEP_MEASURE_ID_OVERRIDE",$C171,"DEEP_BROKER_ID_OVERRIDE",$F$7,"DEEP_PERIOD_OVERRIDE",V$11)*1,"")))</f>
        <v/>
      </c>
      <c r="W171" s="17" t="str">
        <f ca="1">IF(ISNA($B171),"",IF($B171="","",IFERROR(_xll.BDP(TICKER,"DEEP_MEASURE_PERIOD_BROKER_VALUE","DEEP_MEASURE_ID_OVERRIDE",$C171,"DEEP_BROKER_ID_OVERRIDE",$F$7,"DEEP_PERIOD_OVERRIDE",W$11)*1,"")))</f>
        <v/>
      </c>
      <c r="X171" s="17" t="str">
        <f ca="1">IF(ISNA($B171),"",IF($B171="","",IFERROR(_xll.BDP(TICKER,"DEEP_MEASURE_PERIOD_BROKER_VALUE","DEEP_MEASURE_ID_OVERRIDE",$C171,"DEEP_BROKER_ID_OVERRIDE",$F$7,"DEEP_PERIOD_OVERRIDE",X$11)*1,"")))</f>
        <v/>
      </c>
      <c r="Y171" s="17" t="str">
        <f ca="1">IF(ISNA($B171),"",IF($B171="","",IFERROR(_xll.BDP(TICKER,"DEEP_MEASURE_PERIOD_BROKER_VALUE","DEEP_MEASURE_ID_OVERRIDE",$C171,"DEEP_BROKER_ID_OVERRIDE",$F$7,"DEEP_PERIOD_OVERRIDE",Y$11)*1,"")))</f>
        <v/>
      </c>
      <c r="Z171" s="17" t="str">
        <f ca="1">IF(ISNA($B171),"",IF($B171="","",IFERROR(_xll.BDP(TICKER,"DEEP_MEASURE_PERIOD_BROKER_VALUE","DEEP_MEASURE_ID_OVERRIDE",$C171,"DEEP_BROKER_ID_OVERRIDE",$F$7,"DEEP_PERIOD_OVERRIDE",Z$11)*1,"")))</f>
        <v/>
      </c>
      <c r="AA171" s="17" t="str">
        <f ca="1">IF(ISNA($B171),"",IF($B171="","",IFERROR(_xll.BDP(TICKER,"DEEP_MEASURE_PERIOD_BROKER_VALUE","DEEP_MEASURE_ID_OVERRIDE",$C171,"DEEP_BROKER_ID_OVERRIDE",$F$7,"DEEP_PERIOD_OVERRIDE",AA$11)*1,"")))</f>
        <v/>
      </c>
      <c r="AB171" s="17" t="str">
        <f ca="1">IF(ISNA($B171),"",IF($B171="","",IFERROR(_xll.BDP(TICKER,"DEEP_MEASURE_PERIOD_BROKER_VALUE","DEEP_MEASURE_ID_OVERRIDE",$C171,"DEEP_BROKER_ID_OVERRIDE",$F$7,"DEEP_PERIOD_OVERRIDE",AB$11)*1,"")))</f>
        <v/>
      </c>
      <c r="AC171" s="17" t="str">
        <f ca="1">IF(ISNA($B171),"",IF($B171="","",IFERROR(_xll.BDP(TICKER,"DEEP_MEASURE_PERIOD_BROKER_VALUE","DEEP_MEASURE_ID_OVERRIDE",$C171,"DEEP_BROKER_ID_OVERRIDE",$F$7,"DEEP_PERIOD_OVERRIDE",AC$11)*1,"")))</f>
        <v/>
      </c>
      <c r="AD171" s="17" t="str">
        <f ca="1">IF(ISNA($B171),"",IF($B171="","",IFERROR(_xll.BDP(TICKER,"DEEP_MEASURE_PERIOD_BROKER_VALUE","DEEP_MEASURE_ID_OVERRIDE",$C171,"DEEP_BROKER_ID_OVERRIDE",$F$7,"DEEP_PERIOD_OVERRIDE",AD$11)*1,"")))</f>
        <v/>
      </c>
      <c r="AE171" s="17" t="str">
        <f ca="1">IF(ISNA($B171),"",IF($B171="","",IFERROR(_xll.BDP(TICKER,"DEEP_MEASURE_PERIOD_BROKER_VALUE","DEEP_MEASURE_ID_OVERRIDE",$C171,"DEEP_BROKER_ID_OVERRIDE",$F$7,"DEEP_PERIOD_OVERRIDE",AE$11)*1,"")))</f>
        <v/>
      </c>
      <c r="AF171" s="17" t="str">
        <f ca="1">IF(ISNA($B171),"",IF($B171="","",IFERROR(_xll.BDP(TICKER,"DEEP_MEASURE_PERIOD_BROKER_VALUE","DEEP_MEASURE_ID_OVERRIDE",$C171,"DEEP_BROKER_ID_OVERRIDE",$F$7,"DEEP_PERIOD_OVERRIDE",AF$11)*1,"")))</f>
        <v/>
      </c>
      <c r="AG171" s="17" t="str">
        <f ca="1">IF(ISNA($B171),"",IF($B171="","",IFERROR(_xll.BDP(TICKER,"DEEP_MEASURE_PERIOD_BROKER_VALUE","DEEP_MEASURE_ID_OVERRIDE",$C171,"DEEP_BROKER_ID_OVERRIDE",$F$7,"DEEP_PERIOD_OVERRIDE",AG$11)*1,"")))</f>
        <v/>
      </c>
      <c r="AH171" s="17" t="str">
        <f ca="1">IF(ISNA($B171),"",IF($B171="","",IFERROR(_xll.BDP(TICKER,"DEEP_MEASURE_PERIOD_BROKER_VALUE","DEEP_MEASURE_ID_OVERRIDE",$C171,"DEEP_BROKER_ID_OVERRIDE",$F$7,"DEEP_PERIOD_OVERRIDE",AH$11)*1,"")))</f>
        <v/>
      </c>
      <c r="AI171" s="17" t="str">
        <f ca="1">IF(ISNA($B171),"",IF($B171="","",IFERROR(_xll.BDP(TICKER,"DEEP_MEASURE_PERIOD_BROKER_VALUE","DEEP_MEASURE_ID_OVERRIDE",$C171,"DEEP_BROKER_ID_OVERRIDE",$F$7,"DEEP_PERIOD_OVERRIDE",AI$11)*1,"")))</f>
        <v/>
      </c>
      <c r="AJ171" s="17" t="str">
        <f ca="1">IF(ISNA($B171),"",IF($B171="","",IFERROR(_xll.BDP(TICKER,"DEEP_MEASURE_PERIOD_BROKER_VALUE","DEEP_MEASURE_ID_OVERRIDE",$C171,"DEEP_BROKER_ID_OVERRIDE",$F$7,"DEEP_PERIOD_OVERRIDE",AJ$11)*1,"")))</f>
        <v/>
      </c>
      <c r="AK171" s="17" t="str">
        <f ca="1">IF(ISNA($B171),"",IF($B171="","",IFERROR(_xll.BDP(TICKER,"DEEP_MEASURE_PERIOD_BROKER_VALUE","DEEP_MEASURE_ID_OVERRIDE",$C171,"DEEP_BROKER_ID_OVERRIDE",$F$7,"DEEP_PERIOD_OVERRIDE",AK$11)*1,"")))</f>
        <v/>
      </c>
      <c r="AL171" s="17" t="str">
        <f ca="1">IF(ISNA($B171),"",IF($B171="","",IFERROR(_xll.BDP(TICKER,"DEEP_MEASURE_PERIOD_BROKER_VALUE","DEEP_MEASURE_ID_OVERRIDE",$C171,"DEEP_BROKER_ID_OVERRIDE",$F$7,"DEEP_PERIOD_OVERRIDE",AL$11)*1,"")))</f>
        <v/>
      </c>
      <c r="AM171" s="17" t="str">
        <f ca="1">IF(ISNA($B171),"",IF($B171="","",IFERROR(_xll.BDP(TICKER,"DEEP_MEASURE_PERIOD_BROKER_VALUE","DEEP_MEASURE_ID_OVERRIDE",$C171,"DEEP_BROKER_ID_OVERRIDE",$F$7,"DEEP_PERIOD_OVERRIDE",AM$11)*1,"")))</f>
        <v/>
      </c>
      <c r="AN171" s="17" t="str">
        <f ca="1">IF(ISNA($B171),"",IF($B171="","",IFERROR(_xll.BDP(TICKER,"DEEP_MEASURE_PERIOD_BROKER_VALUE","DEEP_MEASURE_ID_OVERRIDE",$C171,"DEEP_BROKER_ID_OVERRIDE",$F$7,"DEEP_PERIOD_OVERRIDE",AN$11)*1,"")))</f>
        <v/>
      </c>
      <c r="AO171" s="17" t="str">
        <f ca="1">IF(ISNA($B171),"",IF($B171="","",IFERROR(_xll.BDP(TICKER,"DEEP_MEASURE_PERIOD_BROKER_VALUE","DEEP_MEASURE_ID_OVERRIDE",$C171,"DEEP_BROKER_ID_OVERRIDE",$F$7,"DEEP_PERIOD_OVERRIDE",AO$11)*1,"")))</f>
        <v/>
      </c>
      <c r="AP171" s="17" t="str">
        <f ca="1">IF(ISNA($B171),"",IF($B171="","",IFERROR(_xll.BDP(TICKER,"DEEP_MEASURE_PERIOD_BROKER_VALUE","DEEP_MEASURE_ID_OVERRIDE",$C171,"DEEP_BROKER_ID_OVERRIDE",$F$7,"DEEP_PERIOD_OVERRIDE",AP$11)*1,"")))</f>
        <v/>
      </c>
      <c r="AQ171" s="17" t="str">
        <f ca="1">IF(ISNA($B171),"",IF($B171="","",IFERROR(_xll.BDP(TICKER,"DEEP_MEASURE_PERIOD_BROKER_VALUE","DEEP_MEASURE_ID_OVERRIDE",$C171,"DEEP_BROKER_ID_OVERRIDE",$F$7,"DEEP_PERIOD_OVERRIDE",AQ$11)*1,"")))</f>
        <v/>
      </c>
    </row>
    <row r="172" spans="2:43" x14ac:dyDescent="0.25">
      <c r="B172" t="s">
        <v>54</v>
      </c>
      <c r="C172">
        <v>488</v>
      </c>
      <c r="H172" t="str">
        <f t="shared" si="4"/>
        <v>Liabilities &amp; Shareholders' Equity &gt; Current Liabilities &gt; Deferred Revenue</v>
      </c>
      <c r="I172" s="17" t="str">
        <f ca="1">IF(ISNA($B172),"",IF($B172="","",IFERROR(_xll.BDP(TICKER,"DEEP_MEASURE_PERIOD_BROKER_VALUE","DEEP_MEASURE_ID_OVERRIDE",$C172,"DEEP_BROKER_ID_OVERRIDE",$F$7,"DEEP_PERIOD_OVERRIDE",I$11)*1,"")))</f>
        <v/>
      </c>
      <c r="J172" s="17" t="str">
        <f ca="1">IF(ISNA($B172),"",IF($B172="","",IFERROR(_xll.BDP(TICKER,"DEEP_MEASURE_PERIOD_BROKER_VALUE","DEEP_MEASURE_ID_OVERRIDE",$C172,"DEEP_BROKER_ID_OVERRIDE",$F$7,"DEEP_PERIOD_OVERRIDE",J$11)*1,"")))</f>
        <v/>
      </c>
      <c r="K172" s="17" t="str">
        <f ca="1">IF(ISNA($B172),"",IF($B172="","",IFERROR(_xll.BDP(TICKER,"DEEP_MEASURE_PERIOD_BROKER_VALUE","DEEP_MEASURE_ID_OVERRIDE",$C172,"DEEP_BROKER_ID_OVERRIDE",$F$7,"DEEP_PERIOD_OVERRIDE",K$11)*1,"")))</f>
        <v/>
      </c>
      <c r="L172" s="17" t="str">
        <f ca="1">IF(ISNA($B172),"",IF($B172="","",IFERROR(_xll.BDP(TICKER,"DEEP_MEASURE_PERIOD_BROKER_VALUE","DEEP_MEASURE_ID_OVERRIDE",$C172,"DEEP_BROKER_ID_OVERRIDE",$F$7,"DEEP_PERIOD_OVERRIDE",L$11)*1,"")))</f>
        <v/>
      </c>
      <c r="M172" s="17" t="str">
        <f ca="1">IF(ISNA($B172),"",IF($B172="","",IFERROR(_xll.BDP(TICKER,"DEEP_MEASURE_PERIOD_BROKER_VALUE","DEEP_MEASURE_ID_OVERRIDE",$C172,"DEEP_BROKER_ID_OVERRIDE",$F$7,"DEEP_PERIOD_OVERRIDE",M$11)*1,"")))</f>
        <v/>
      </c>
      <c r="N172" s="17" t="str">
        <f ca="1">IF(ISNA($B172),"",IF($B172="","",IFERROR(_xll.BDP(TICKER,"DEEP_MEASURE_PERIOD_BROKER_VALUE","DEEP_MEASURE_ID_OVERRIDE",$C172,"DEEP_BROKER_ID_OVERRIDE",$F$7,"DEEP_PERIOD_OVERRIDE",N$11)*1,"")))</f>
        <v/>
      </c>
      <c r="O172" s="17" t="str">
        <f ca="1">IF(ISNA($B172),"",IF($B172="","",IFERROR(_xll.BDP(TICKER,"DEEP_MEASURE_PERIOD_BROKER_VALUE","DEEP_MEASURE_ID_OVERRIDE",$C172,"DEEP_BROKER_ID_OVERRIDE",$F$7,"DEEP_PERIOD_OVERRIDE",O$11)*1,"")))</f>
        <v/>
      </c>
      <c r="P172" s="17" t="str">
        <f ca="1">IF(ISNA($B172),"",IF($B172="","",IFERROR(_xll.BDP(TICKER,"DEEP_MEASURE_PERIOD_BROKER_VALUE","DEEP_MEASURE_ID_OVERRIDE",$C172,"DEEP_BROKER_ID_OVERRIDE",$F$7,"DEEP_PERIOD_OVERRIDE",P$11)*1,"")))</f>
        <v/>
      </c>
      <c r="Q172" s="17" t="str">
        <f ca="1">IF(ISNA($B172),"",IF($B172="","",IFERROR(_xll.BDP(TICKER,"DEEP_MEASURE_PERIOD_BROKER_VALUE","DEEP_MEASURE_ID_OVERRIDE",$C172,"DEEP_BROKER_ID_OVERRIDE",$F$7,"DEEP_PERIOD_OVERRIDE",Q$11)*1,"")))</f>
        <v/>
      </c>
      <c r="R172" s="17" t="str">
        <f ca="1">IF(ISNA($B172),"",IF($B172="","",IFERROR(_xll.BDP(TICKER,"DEEP_MEASURE_PERIOD_BROKER_VALUE","DEEP_MEASURE_ID_OVERRIDE",$C172,"DEEP_BROKER_ID_OVERRIDE",$F$7,"DEEP_PERIOD_OVERRIDE",R$11)*1,"")))</f>
        <v/>
      </c>
      <c r="S172" s="17" t="str">
        <f ca="1">IF(ISNA($B172),"",IF($B172="","",IFERROR(_xll.BDP(TICKER,"DEEP_MEASURE_PERIOD_BROKER_VALUE","DEEP_MEASURE_ID_OVERRIDE",$C172,"DEEP_BROKER_ID_OVERRIDE",$F$7,"DEEP_PERIOD_OVERRIDE",S$11)*1,"")))</f>
        <v/>
      </c>
      <c r="T172" s="17" t="str">
        <f ca="1">IF(ISNA($B172),"",IF($B172="","",IFERROR(_xll.BDP(TICKER,"DEEP_MEASURE_PERIOD_BROKER_VALUE","DEEP_MEASURE_ID_OVERRIDE",$C172,"DEEP_BROKER_ID_OVERRIDE",$F$7,"DEEP_PERIOD_OVERRIDE",T$11)*1,"")))</f>
        <v/>
      </c>
      <c r="U172" s="17" t="str">
        <f ca="1">IF(ISNA($B172),"",IF($B172="","",IFERROR(_xll.BDP(TICKER,"DEEP_MEASURE_PERIOD_BROKER_VALUE","DEEP_MEASURE_ID_OVERRIDE",$C172,"DEEP_BROKER_ID_OVERRIDE",$F$7,"DEEP_PERIOD_OVERRIDE",U$11)*1,"")))</f>
        <v/>
      </c>
      <c r="V172" s="17" t="str">
        <f ca="1">IF(ISNA($B172),"",IF($B172="","",IFERROR(_xll.BDP(TICKER,"DEEP_MEASURE_PERIOD_BROKER_VALUE","DEEP_MEASURE_ID_OVERRIDE",$C172,"DEEP_BROKER_ID_OVERRIDE",$F$7,"DEEP_PERIOD_OVERRIDE",V$11)*1,"")))</f>
        <v/>
      </c>
      <c r="W172" s="17" t="str">
        <f ca="1">IF(ISNA($B172),"",IF($B172="","",IFERROR(_xll.BDP(TICKER,"DEEP_MEASURE_PERIOD_BROKER_VALUE","DEEP_MEASURE_ID_OVERRIDE",$C172,"DEEP_BROKER_ID_OVERRIDE",$F$7,"DEEP_PERIOD_OVERRIDE",W$11)*1,"")))</f>
        <v/>
      </c>
      <c r="X172" s="17" t="str">
        <f ca="1">IF(ISNA($B172),"",IF($B172="","",IFERROR(_xll.BDP(TICKER,"DEEP_MEASURE_PERIOD_BROKER_VALUE","DEEP_MEASURE_ID_OVERRIDE",$C172,"DEEP_BROKER_ID_OVERRIDE",$F$7,"DEEP_PERIOD_OVERRIDE",X$11)*1,"")))</f>
        <v/>
      </c>
      <c r="Y172" s="17" t="str">
        <f ca="1">IF(ISNA($B172),"",IF($B172="","",IFERROR(_xll.BDP(TICKER,"DEEP_MEASURE_PERIOD_BROKER_VALUE","DEEP_MEASURE_ID_OVERRIDE",$C172,"DEEP_BROKER_ID_OVERRIDE",$F$7,"DEEP_PERIOD_OVERRIDE",Y$11)*1,"")))</f>
        <v/>
      </c>
      <c r="Z172" s="17" t="str">
        <f ca="1">IF(ISNA($B172),"",IF($B172="","",IFERROR(_xll.BDP(TICKER,"DEEP_MEASURE_PERIOD_BROKER_VALUE","DEEP_MEASURE_ID_OVERRIDE",$C172,"DEEP_BROKER_ID_OVERRIDE",$F$7,"DEEP_PERIOD_OVERRIDE",Z$11)*1,"")))</f>
        <v/>
      </c>
      <c r="AA172" s="17" t="str">
        <f ca="1">IF(ISNA($B172),"",IF($B172="","",IFERROR(_xll.BDP(TICKER,"DEEP_MEASURE_PERIOD_BROKER_VALUE","DEEP_MEASURE_ID_OVERRIDE",$C172,"DEEP_BROKER_ID_OVERRIDE",$F$7,"DEEP_PERIOD_OVERRIDE",AA$11)*1,"")))</f>
        <v/>
      </c>
      <c r="AB172" s="17" t="str">
        <f ca="1">IF(ISNA($B172),"",IF($B172="","",IFERROR(_xll.BDP(TICKER,"DEEP_MEASURE_PERIOD_BROKER_VALUE","DEEP_MEASURE_ID_OVERRIDE",$C172,"DEEP_BROKER_ID_OVERRIDE",$F$7,"DEEP_PERIOD_OVERRIDE",AB$11)*1,"")))</f>
        <v/>
      </c>
      <c r="AC172" s="17" t="str">
        <f ca="1">IF(ISNA($B172),"",IF($B172="","",IFERROR(_xll.BDP(TICKER,"DEEP_MEASURE_PERIOD_BROKER_VALUE","DEEP_MEASURE_ID_OVERRIDE",$C172,"DEEP_BROKER_ID_OVERRIDE",$F$7,"DEEP_PERIOD_OVERRIDE",AC$11)*1,"")))</f>
        <v/>
      </c>
      <c r="AD172" s="17" t="str">
        <f ca="1">IF(ISNA($B172),"",IF($B172="","",IFERROR(_xll.BDP(TICKER,"DEEP_MEASURE_PERIOD_BROKER_VALUE","DEEP_MEASURE_ID_OVERRIDE",$C172,"DEEP_BROKER_ID_OVERRIDE",$F$7,"DEEP_PERIOD_OVERRIDE",AD$11)*1,"")))</f>
        <v/>
      </c>
      <c r="AE172" s="17" t="str">
        <f ca="1">IF(ISNA($B172),"",IF($B172="","",IFERROR(_xll.BDP(TICKER,"DEEP_MEASURE_PERIOD_BROKER_VALUE","DEEP_MEASURE_ID_OVERRIDE",$C172,"DEEP_BROKER_ID_OVERRIDE",$F$7,"DEEP_PERIOD_OVERRIDE",AE$11)*1,"")))</f>
        <v/>
      </c>
      <c r="AF172" s="17" t="str">
        <f ca="1">IF(ISNA($B172),"",IF($B172="","",IFERROR(_xll.BDP(TICKER,"DEEP_MEASURE_PERIOD_BROKER_VALUE","DEEP_MEASURE_ID_OVERRIDE",$C172,"DEEP_BROKER_ID_OVERRIDE",$F$7,"DEEP_PERIOD_OVERRIDE",AF$11)*1,"")))</f>
        <v/>
      </c>
      <c r="AG172" s="17" t="str">
        <f ca="1">IF(ISNA($B172),"",IF($B172="","",IFERROR(_xll.BDP(TICKER,"DEEP_MEASURE_PERIOD_BROKER_VALUE","DEEP_MEASURE_ID_OVERRIDE",$C172,"DEEP_BROKER_ID_OVERRIDE",$F$7,"DEEP_PERIOD_OVERRIDE",AG$11)*1,"")))</f>
        <v/>
      </c>
      <c r="AH172" s="17" t="str">
        <f ca="1">IF(ISNA($B172),"",IF($B172="","",IFERROR(_xll.BDP(TICKER,"DEEP_MEASURE_PERIOD_BROKER_VALUE","DEEP_MEASURE_ID_OVERRIDE",$C172,"DEEP_BROKER_ID_OVERRIDE",$F$7,"DEEP_PERIOD_OVERRIDE",AH$11)*1,"")))</f>
        <v/>
      </c>
      <c r="AI172" s="17" t="str">
        <f ca="1">IF(ISNA($B172),"",IF($B172="","",IFERROR(_xll.BDP(TICKER,"DEEP_MEASURE_PERIOD_BROKER_VALUE","DEEP_MEASURE_ID_OVERRIDE",$C172,"DEEP_BROKER_ID_OVERRIDE",$F$7,"DEEP_PERIOD_OVERRIDE",AI$11)*1,"")))</f>
        <v/>
      </c>
      <c r="AJ172" s="17" t="str">
        <f ca="1">IF(ISNA($B172),"",IF($B172="","",IFERROR(_xll.BDP(TICKER,"DEEP_MEASURE_PERIOD_BROKER_VALUE","DEEP_MEASURE_ID_OVERRIDE",$C172,"DEEP_BROKER_ID_OVERRIDE",$F$7,"DEEP_PERIOD_OVERRIDE",AJ$11)*1,"")))</f>
        <v/>
      </c>
      <c r="AK172" s="17" t="str">
        <f ca="1">IF(ISNA($B172),"",IF($B172="","",IFERROR(_xll.BDP(TICKER,"DEEP_MEASURE_PERIOD_BROKER_VALUE","DEEP_MEASURE_ID_OVERRIDE",$C172,"DEEP_BROKER_ID_OVERRIDE",$F$7,"DEEP_PERIOD_OVERRIDE",AK$11)*1,"")))</f>
        <v/>
      </c>
      <c r="AL172" s="17" t="str">
        <f ca="1">IF(ISNA($B172),"",IF($B172="","",IFERROR(_xll.BDP(TICKER,"DEEP_MEASURE_PERIOD_BROKER_VALUE","DEEP_MEASURE_ID_OVERRIDE",$C172,"DEEP_BROKER_ID_OVERRIDE",$F$7,"DEEP_PERIOD_OVERRIDE",AL$11)*1,"")))</f>
        <v/>
      </c>
      <c r="AM172" s="17" t="str">
        <f ca="1">IF(ISNA($B172),"",IF($B172="","",IFERROR(_xll.BDP(TICKER,"DEEP_MEASURE_PERIOD_BROKER_VALUE","DEEP_MEASURE_ID_OVERRIDE",$C172,"DEEP_BROKER_ID_OVERRIDE",$F$7,"DEEP_PERIOD_OVERRIDE",AM$11)*1,"")))</f>
        <v/>
      </c>
      <c r="AN172" s="17" t="str">
        <f ca="1">IF(ISNA($B172),"",IF($B172="","",IFERROR(_xll.BDP(TICKER,"DEEP_MEASURE_PERIOD_BROKER_VALUE","DEEP_MEASURE_ID_OVERRIDE",$C172,"DEEP_BROKER_ID_OVERRIDE",$F$7,"DEEP_PERIOD_OVERRIDE",AN$11)*1,"")))</f>
        <v/>
      </c>
      <c r="AO172" s="17" t="str">
        <f ca="1">IF(ISNA($B172),"",IF($B172="","",IFERROR(_xll.BDP(TICKER,"DEEP_MEASURE_PERIOD_BROKER_VALUE","DEEP_MEASURE_ID_OVERRIDE",$C172,"DEEP_BROKER_ID_OVERRIDE",$F$7,"DEEP_PERIOD_OVERRIDE",AO$11)*1,"")))</f>
        <v/>
      </c>
      <c r="AP172" s="17" t="str">
        <f ca="1">IF(ISNA($B172),"",IF($B172="","",IFERROR(_xll.BDP(TICKER,"DEEP_MEASURE_PERIOD_BROKER_VALUE","DEEP_MEASURE_ID_OVERRIDE",$C172,"DEEP_BROKER_ID_OVERRIDE",$F$7,"DEEP_PERIOD_OVERRIDE",AP$11)*1,"")))</f>
        <v/>
      </c>
      <c r="AQ172" s="17" t="str">
        <f ca="1">IF(ISNA($B172),"",IF($B172="","",IFERROR(_xll.BDP(TICKER,"DEEP_MEASURE_PERIOD_BROKER_VALUE","DEEP_MEASURE_ID_OVERRIDE",$C172,"DEEP_BROKER_ID_OVERRIDE",$F$7,"DEEP_PERIOD_OVERRIDE",AQ$11)*1,"")))</f>
        <v/>
      </c>
    </row>
    <row r="173" spans="2:43" x14ac:dyDescent="0.25">
      <c r="B173" t="s">
        <v>199</v>
      </c>
      <c r="C173">
        <v>505</v>
      </c>
      <c r="H173" t="str">
        <f t="shared" si="4"/>
        <v>Liabilities &amp; Shareholders' Equity &gt; Current Liabilities &gt; Deferred Revenue &gt; As % of Revenue</v>
      </c>
      <c r="I173" s="17" t="str">
        <f ca="1">IF(ISNA($B173),"",IF($B173="","",IFERROR(_xll.BDP(TICKER,"DEEP_MEASURE_PERIOD_BROKER_VALUE","DEEP_MEASURE_ID_OVERRIDE",$C173,"DEEP_BROKER_ID_OVERRIDE",$F$7,"DEEP_PERIOD_OVERRIDE",I$11)*1,"")))</f>
        <v/>
      </c>
      <c r="J173" s="17" t="str">
        <f ca="1">IF(ISNA($B173),"",IF($B173="","",IFERROR(_xll.BDP(TICKER,"DEEP_MEASURE_PERIOD_BROKER_VALUE","DEEP_MEASURE_ID_OVERRIDE",$C173,"DEEP_BROKER_ID_OVERRIDE",$F$7,"DEEP_PERIOD_OVERRIDE",J$11)*1,"")))</f>
        <v/>
      </c>
      <c r="K173" s="17" t="str">
        <f ca="1">IF(ISNA($B173),"",IF($B173="","",IFERROR(_xll.BDP(TICKER,"DEEP_MEASURE_PERIOD_BROKER_VALUE","DEEP_MEASURE_ID_OVERRIDE",$C173,"DEEP_BROKER_ID_OVERRIDE",$F$7,"DEEP_PERIOD_OVERRIDE",K$11)*1,"")))</f>
        <v/>
      </c>
      <c r="L173" s="17" t="str">
        <f ca="1">IF(ISNA($B173),"",IF($B173="","",IFERROR(_xll.BDP(TICKER,"DEEP_MEASURE_PERIOD_BROKER_VALUE","DEEP_MEASURE_ID_OVERRIDE",$C173,"DEEP_BROKER_ID_OVERRIDE",$F$7,"DEEP_PERIOD_OVERRIDE",L$11)*1,"")))</f>
        <v/>
      </c>
      <c r="M173" s="17" t="str">
        <f ca="1">IF(ISNA($B173),"",IF($B173="","",IFERROR(_xll.BDP(TICKER,"DEEP_MEASURE_PERIOD_BROKER_VALUE","DEEP_MEASURE_ID_OVERRIDE",$C173,"DEEP_BROKER_ID_OVERRIDE",$F$7,"DEEP_PERIOD_OVERRIDE",M$11)*1,"")))</f>
        <v/>
      </c>
      <c r="N173" s="17" t="str">
        <f ca="1">IF(ISNA($B173),"",IF($B173="","",IFERROR(_xll.BDP(TICKER,"DEEP_MEASURE_PERIOD_BROKER_VALUE","DEEP_MEASURE_ID_OVERRIDE",$C173,"DEEP_BROKER_ID_OVERRIDE",$F$7,"DEEP_PERIOD_OVERRIDE",N$11)*1,"")))</f>
        <v/>
      </c>
      <c r="O173" s="17" t="str">
        <f ca="1">IF(ISNA($B173),"",IF($B173="","",IFERROR(_xll.BDP(TICKER,"DEEP_MEASURE_PERIOD_BROKER_VALUE","DEEP_MEASURE_ID_OVERRIDE",$C173,"DEEP_BROKER_ID_OVERRIDE",$F$7,"DEEP_PERIOD_OVERRIDE",O$11)*1,"")))</f>
        <v/>
      </c>
      <c r="P173" s="17" t="str">
        <f ca="1">IF(ISNA($B173),"",IF($B173="","",IFERROR(_xll.BDP(TICKER,"DEEP_MEASURE_PERIOD_BROKER_VALUE","DEEP_MEASURE_ID_OVERRIDE",$C173,"DEEP_BROKER_ID_OVERRIDE",$F$7,"DEEP_PERIOD_OVERRIDE",P$11)*1,"")))</f>
        <v/>
      </c>
      <c r="Q173" s="17" t="str">
        <f ca="1">IF(ISNA($B173),"",IF($B173="","",IFERROR(_xll.BDP(TICKER,"DEEP_MEASURE_PERIOD_BROKER_VALUE","DEEP_MEASURE_ID_OVERRIDE",$C173,"DEEP_BROKER_ID_OVERRIDE",$F$7,"DEEP_PERIOD_OVERRIDE",Q$11)*1,"")))</f>
        <v/>
      </c>
      <c r="R173" s="17" t="str">
        <f ca="1">IF(ISNA($B173),"",IF($B173="","",IFERROR(_xll.BDP(TICKER,"DEEP_MEASURE_PERIOD_BROKER_VALUE","DEEP_MEASURE_ID_OVERRIDE",$C173,"DEEP_BROKER_ID_OVERRIDE",$F$7,"DEEP_PERIOD_OVERRIDE",R$11)*1,"")))</f>
        <v/>
      </c>
      <c r="S173" s="17" t="str">
        <f ca="1">IF(ISNA($B173),"",IF($B173="","",IFERROR(_xll.BDP(TICKER,"DEEP_MEASURE_PERIOD_BROKER_VALUE","DEEP_MEASURE_ID_OVERRIDE",$C173,"DEEP_BROKER_ID_OVERRIDE",$F$7,"DEEP_PERIOD_OVERRIDE",S$11)*1,"")))</f>
        <v/>
      </c>
      <c r="T173" s="17" t="str">
        <f ca="1">IF(ISNA($B173),"",IF($B173="","",IFERROR(_xll.BDP(TICKER,"DEEP_MEASURE_PERIOD_BROKER_VALUE","DEEP_MEASURE_ID_OVERRIDE",$C173,"DEEP_BROKER_ID_OVERRIDE",$F$7,"DEEP_PERIOD_OVERRIDE",T$11)*1,"")))</f>
        <v/>
      </c>
      <c r="U173" s="17" t="str">
        <f ca="1">IF(ISNA($B173),"",IF($B173="","",IFERROR(_xll.BDP(TICKER,"DEEP_MEASURE_PERIOD_BROKER_VALUE","DEEP_MEASURE_ID_OVERRIDE",$C173,"DEEP_BROKER_ID_OVERRIDE",$F$7,"DEEP_PERIOD_OVERRIDE",U$11)*1,"")))</f>
        <v/>
      </c>
      <c r="V173" s="17" t="str">
        <f ca="1">IF(ISNA($B173),"",IF($B173="","",IFERROR(_xll.BDP(TICKER,"DEEP_MEASURE_PERIOD_BROKER_VALUE","DEEP_MEASURE_ID_OVERRIDE",$C173,"DEEP_BROKER_ID_OVERRIDE",$F$7,"DEEP_PERIOD_OVERRIDE",V$11)*1,"")))</f>
        <v/>
      </c>
      <c r="W173" s="17" t="str">
        <f ca="1">IF(ISNA($B173),"",IF($B173="","",IFERROR(_xll.BDP(TICKER,"DEEP_MEASURE_PERIOD_BROKER_VALUE","DEEP_MEASURE_ID_OVERRIDE",$C173,"DEEP_BROKER_ID_OVERRIDE",$F$7,"DEEP_PERIOD_OVERRIDE",W$11)*1,"")))</f>
        <v/>
      </c>
      <c r="X173" s="17" t="str">
        <f ca="1">IF(ISNA($B173),"",IF($B173="","",IFERROR(_xll.BDP(TICKER,"DEEP_MEASURE_PERIOD_BROKER_VALUE","DEEP_MEASURE_ID_OVERRIDE",$C173,"DEEP_BROKER_ID_OVERRIDE",$F$7,"DEEP_PERIOD_OVERRIDE",X$11)*1,"")))</f>
        <v/>
      </c>
      <c r="Y173" s="17" t="str">
        <f ca="1">IF(ISNA($B173),"",IF($B173="","",IFERROR(_xll.BDP(TICKER,"DEEP_MEASURE_PERIOD_BROKER_VALUE","DEEP_MEASURE_ID_OVERRIDE",$C173,"DEEP_BROKER_ID_OVERRIDE",$F$7,"DEEP_PERIOD_OVERRIDE",Y$11)*1,"")))</f>
        <v/>
      </c>
      <c r="Z173" s="17" t="str">
        <f ca="1">IF(ISNA($B173),"",IF($B173="","",IFERROR(_xll.BDP(TICKER,"DEEP_MEASURE_PERIOD_BROKER_VALUE","DEEP_MEASURE_ID_OVERRIDE",$C173,"DEEP_BROKER_ID_OVERRIDE",$F$7,"DEEP_PERIOD_OVERRIDE",Z$11)*1,"")))</f>
        <v/>
      </c>
      <c r="AA173" s="17" t="str">
        <f ca="1">IF(ISNA($B173),"",IF($B173="","",IFERROR(_xll.BDP(TICKER,"DEEP_MEASURE_PERIOD_BROKER_VALUE","DEEP_MEASURE_ID_OVERRIDE",$C173,"DEEP_BROKER_ID_OVERRIDE",$F$7,"DEEP_PERIOD_OVERRIDE",AA$11)*1,"")))</f>
        <v/>
      </c>
      <c r="AB173" s="17" t="str">
        <f ca="1">IF(ISNA($B173),"",IF($B173="","",IFERROR(_xll.BDP(TICKER,"DEEP_MEASURE_PERIOD_BROKER_VALUE","DEEP_MEASURE_ID_OVERRIDE",$C173,"DEEP_BROKER_ID_OVERRIDE",$F$7,"DEEP_PERIOD_OVERRIDE",AB$11)*1,"")))</f>
        <v/>
      </c>
      <c r="AC173" s="17" t="str">
        <f ca="1">IF(ISNA($B173),"",IF($B173="","",IFERROR(_xll.BDP(TICKER,"DEEP_MEASURE_PERIOD_BROKER_VALUE","DEEP_MEASURE_ID_OVERRIDE",$C173,"DEEP_BROKER_ID_OVERRIDE",$F$7,"DEEP_PERIOD_OVERRIDE",AC$11)*1,"")))</f>
        <v/>
      </c>
      <c r="AD173" s="17" t="str">
        <f ca="1">IF(ISNA($B173),"",IF($B173="","",IFERROR(_xll.BDP(TICKER,"DEEP_MEASURE_PERIOD_BROKER_VALUE","DEEP_MEASURE_ID_OVERRIDE",$C173,"DEEP_BROKER_ID_OVERRIDE",$F$7,"DEEP_PERIOD_OVERRIDE",AD$11)*1,"")))</f>
        <v/>
      </c>
      <c r="AE173" s="17" t="str">
        <f ca="1">IF(ISNA($B173),"",IF($B173="","",IFERROR(_xll.BDP(TICKER,"DEEP_MEASURE_PERIOD_BROKER_VALUE","DEEP_MEASURE_ID_OVERRIDE",$C173,"DEEP_BROKER_ID_OVERRIDE",$F$7,"DEEP_PERIOD_OVERRIDE",AE$11)*1,"")))</f>
        <v/>
      </c>
      <c r="AF173" s="17" t="str">
        <f ca="1">IF(ISNA($B173),"",IF($B173="","",IFERROR(_xll.BDP(TICKER,"DEEP_MEASURE_PERIOD_BROKER_VALUE","DEEP_MEASURE_ID_OVERRIDE",$C173,"DEEP_BROKER_ID_OVERRIDE",$F$7,"DEEP_PERIOD_OVERRIDE",AF$11)*1,"")))</f>
        <v/>
      </c>
      <c r="AG173" s="17" t="str">
        <f ca="1">IF(ISNA($B173),"",IF($B173="","",IFERROR(_xll.BDP(TICKER,"DEEP_MEASURE_PERIOD_BROKER_VALUE","DEEP_MEASURE_ID_OVERRIDE",$C173,"DEEP_BROKER_ID_OVERRIDE",$F$7,"DEEP_PERIOD_OVERRIDE",AG$11)*1,"")))</f>
        <v/>
      </c>
      <c r="AH173" s="17" t="str">
        <f ca="1">IF(ISNA($B173),"",IF($B173="","",IFERROR(_xll.BDP(TICKER,"DEEP_MEASURE_PERIOD_BROKER_VALUE","DEEP_MEASURE_ID_OVERRIDE",$C173,"DEEP_BROKER_ID_OVERRIDE",$F$7,"DEEP_PERIOD_OVERRIDE",AH$11)*1,"")))</f>
        <v/>
      </c>
      <c r="AI173" s="17" t="str">
        <f ca="1">IF(ISNA($B173),"",IF($B173="","",IFERROR(_xll.BDP(TICKER,"DEEP_MEASURE_PERIOD_BROKER_VALUE","DEEP_MEASURE_ID_OVERRIDE",$C173,"DEEP_BROKER_ID_OVERRIDE",$F$7,"DEEP_PERIOD_OVERRIDE",AI$11)*1,"")))</f>
        <v/>
      </c>
      <c r="AJ173" s="17" t="str">
        <f ca="1">IF(ISNA($B173),"",IF($B173="","",IFERROR(_xll.BDP(TICKER,"DEEP_MEASURE_PERIOD_BROKER_VALUE","DEEP_MEASURE_ID_OVERRIDE",$C173,"DEEP_BROKER_ID_OVERRIDE",$F$7,"DEEP_PERIOD_OVERRIDE",AJ$11)*1,"")))</f>
        <v/>
      </c>
      <c r="AK173" s="17" t="str">
        <f ca="1">IF(ISNA($B173),"",IF($B173="","",IFERROR(_xll.BDP(TICKER,"DEEP_MEASURE_PERIOD_BROKER_VALUE","DEEP_MEASURE_ID_OVERRIDE",$C173,"DEEP_BROKER_ID_OVERRIDE",$F$7,"DEEP_PERIOD_OVERRIDE",AK$11)*1,"")))</f>
        <v/>
      </c>
      <c r="AL173" s="17" t="str">
        <f ca="1">IF(ISNA($B173),"",IF($B173="","",IFERROR(_xll.BDP(TICKER,"DEEP_MEASURE_PERIOD_BROKER_VALUE","DEEP_MEASURE_ID_OVERRIDE",$C173,"DEEP_BROKER_ID_OVERRIDE",$F$7,"DEEP_PERIOD_OVERRIDE",AL$11)*1,"")))</f>
        <v/>
      </c>
      <c r="AM173" s="17" t="str">
        <f ca="1">IF(ISNA($B173),"",IF($B173="","",IFERROR(_xll.BDP(TICKER,"DEEP_MEASURE_PERIOD_BROKER_VALUE","DEEP_MEASURE_ID_OVERRIDE",$C173,"DEEP_BROKER_ID_OVERRIDE",$F$7,"DEEP_PERIOD_OVERRIDE",AM$11)*1,"")))</f>
        <v/>
      </c>
      <c r="AN173" s="17" t="str">
        <f ca="1">IF(ISNA($B173),"",IF($B173="","",IFERROR(_xll.BDP(TICKER,"DEEP_MEASURE_PERIOD_BROKER_VALUE","DEEP_MEASURE_ID_OVERRIDE",$C173,"DEEP_BROKER_ID_OVERRIDE",$F$7,"DEEP_PERIOD_OVERRIDE",AN$11)*1,"")))</f>
        <v/>
      </c>
      <c r="AO173" s="17" t="str">
        <f ca="1">IF(ISNA($B173),"",IF($B173="","",IFERROR(_xll.BDP(TICKER,"DEEP_MEASURE_PERIOD_BROKER_VALUE","DEEP_MEASURE_ID_OVERRIDE",$C173,"DEEP_BROKER_ID_OVERRIDE",$F$7,"DEEP_PERIOD_OVERRIDE",AO$11)*1,"")))</f>
        <v/>
      </c>
      <c r="AP173" s="17" t="str">
        <f ca="1">IF(ISNA($B173),"",IF($B173="","",IFERROR(_xll.BDP(TICKER,"DEEP_MEASURE_PERIOD_BROKER_VALUE","DEEP_MEASURE_ID_OVERRIDE",$C173,"DEEP_BROKER_ID_OVERRIDE",$F$7,"DEEP_PERIOD_OVERRIDE",AP$11)*1,"")))</f>
        <v/>
      </c>
      <c r="AQ173" s="17" t="str">
        <f ca="1">IF(ISNA($B173),"",IF($B173="","",IFERROR(_xll.BDP(TICKER,"DEEP_MEASURE_PERIOD_BROKER_VALUE","DEEP_MEASURE_ID_OVERRIDE",$C173,"DEEP_BROKER_ID_OVERRIDE",$F$7,"DEEP_PERIOD_OVERRIDE",AQ$11)*1,"")))</f>
        <v/>
      </c>
    </row>
    <row r="174" spans="2:43" x14ac:dyDescent="0.25">
      <c r="B174" t="s">
        <v>200</v>
      </c>
      <c r="C174">
        <v>492</v>
      </c>
      <c r="H174" t="str">
        <f t="shared" si="4"/>
        <v>Liabilities &amp; Shareholders' Equity &gt; Current Liabilities &gt; Accured Expense &amp; Other Current Liabilities</v>
      </c>
      <c r="I174" s="17" t="str">
        <f ca="1">IF(ISNA($B174),"",IF($B174="","",IFERROR(_xll.BDP(TICKER,"DEEP_MEASURE_PERIOD_BROKER_VALUE","DEEP_MEASURE_ID_OVERRIDE",$C174,"DEEP_BROKER_ID_OVERRIDE",$F$7,"DEEP_PERIOD_OVERRIDE",I$11)*1,"")))</f>
        <v/>
      </c>
      <c r="J174" s="17" t="str">
        <f ca="1">IF(ISNA($B174),"",IF($B174="","",IFERROR(_xll.BDP(TICKER,"DEEP_MEASURE_PERIOD_BROKER_VALUE","DEEP_MEASURE_ID_OVERRIDE",$C174,"DEEP_BROKER_ID_OVERRIDE",$F$7,"DEEP_PERIOD_OVERRIDE",J$11)*1,"")))</f>
        <v/>
      </c>
      <c r="K174" s="17" t="str">
        <f ca="1">IF(ISNA($B174),"",IF($B174="","",IFERROR(_xll.BDP(TICKER,"DEEP_MEASURE_PERIOD_BROKER_VALUE","DEEP_MEASURE_ID_OVERRIDE",$C174,"DEEP_BROKER_ID_OVERRIDE",$F$7,"DEEP_PERIOD_OVERRIDE",K$11)*1,"")))</f>
        <v/>
      </c>
      <c r="L174" s="17" t="str">
        <f ca="1">IF(ISNA($B174),"",IF($B174="","",IFERROR(_xll.BDP(TICKER,"DEEP_MEASURE_PERIOD_BROKER_VALUE","DEEP_MEASURE_ID_OVERRIDE",$C174,"DEEP_BROKER_ID_OVERRIDE",$F$7,"DEEP_PERIOD_OVERRIDE",L$11)*1,"")))</f>
        <v/>
      </c>
      <c r="M174" s="17" t="str">
        <f ca="1">IF(ISNA($B174),"",IF($B174="","",IFERROR(_xll.BDP(TICKER,"DEEP_MEASURE_PERIOD_BROKER_VALUE","DEEP_MEASURE_ID_OVERRIDE",$C174,"DEEP_BROKER_ID_OVERRIDE",$F$7,"DEEP_PERIOD_OVERRIDE",M$11)*1,"")))</f>
        <v/>
      </c>
      <c r="N174" s="17" t="str">
        <f ca="1">IF(ISNA($B174),"",IF($B174="","",IFERROR(_xll.BDP(TICKER,"DEEP_MEASURE_PERIOD_BROKER_VALUE","DEEP_MEASURE_ID_OVERRIDE",$C174,"DEEP_BROKER_ID_OVERRIDE",$F$7,"DEEP_PERIOD_OVERRIDE",N$11)*1,"")))</f>
        <v/>
      </c>
      <c r="O174" s="17" t="str">
        <f ca="1">IF(ISNA($B174),"",IF($B174="","",IFERROR(_xll.BDP(TICKER,"DEEP_MEASURE_PERIOD_BROKER_VALUE","DEEP_MEASURE_ID_OVERRIDE",$C174,"DEEP_BROKER_ID_OVERRIDE",$F$7,"DEEP_PERIOD_OVERRIDE",O$11)*1,"")))</f>
        <v/>
      </c>
      <c r="P174" s="17" t="str">
        <f ca="1">IF(ISNA($B174),"",IF($B174="","",IFERROR(_xll.BDP(TICKER,"DEEP_MEASURE_PERIOD_BROKER_VALUE","DEEP_MEASURE_ID_OVERRIDE",$C174,"DEEP_BROKER_ID_OVERRIDE",$F$7,"DEEP_PERIOD_OVERRIDE",P$11)*1,"")))</f>
        <v/>
      </c>
      <c r="Q174" s="17" t="str">
        <f ca="1">IF(ISNA($B174),"",IF($B174="","",IFERROR(_xll.BDP(TICKER,"DEEP_MEASURE_PERIOD_BROKER_VALUE","DEEP_MEASURE_ID_OVERRIDE",$C174,"DEEP_BROKER_ID_OVERRIDE",$F$7,"DEEP_PERIOD_OVERRIDE",Q$11)*1,"")))</f>
        <v/>
      </c>
      <c r="R174" s="17" t="str">
        <f ca="1">IF(ISNA($B174),"",IF($B174="","",IFERROR(_xll.BDP(TICKER,"DEEP_MEASURE_PERIOD_BROKER_VALUE","DEEP_MEASURE_ID_OVERRIDE",$C174,"DEEP_BROKER_ID_OVERRIDE",$F$7,"DEEP_PERIOD_OVERRIDE",R$11)*1,"")))</f>
        <v/>
      </c>
      <c r="S174" s="17" t="str">
        <f ca="1">IF(ISNA($B174),"",IF($B174="","",IFERROR(_xll.BDP(TICKER,"DEEP_MEASURE_PERIOD_BROKER_VALUE","DEEP_MEASURE_ID_OVERRIDE",$C174,"DEEP_BROKER_ID_OVERRIDE",$F$7,"DEEP_PERIOD_OVERRIDE",S$11)*1,"")))</f>
        <v/>
      </c>
      <c r="T174" s="17" t="str">
        <f ca="1">IF(ISNA($B174),"",IF($B174="","",IFERROR(_xll.BDP(TICKER,"DEEP_MEASURE_PERIOD_BROKER_VALUE","DEEP_MEASURE_ID_OVERRIDE",$C174,"DEEP_BROKER_ID_OVERRIDE",$F$7,"DEEP_PERIOD_OVERRIDE",T$11)*1,"")))</f>
        <v/>
      </c>
      <c r="U174" s="17" t="str">
        <f ca="1">IF(ISNA($B174),"",IF($B174="","",IFERROR(_xll.BDP(TICKER,"DEEP_MEASURE_PERIOD_BROKER_VALUE","DEEP_MEASURE_ID_OVERRIDE",$C174,"DEEP_BROKER_ID_OVERRIDE",$F$7,"DEEP_PERIOD_OVERRIDE",U$11)*1,"")))</f>
        <v/>
      </c>
      <c r="V174" s="17" t="str">
        <f ca="1">IF(ISNA($B174),"",IF($B174="","",IFERROR(_xll.BDP(TICKER,"DEEP_MEASURE_PERIOD_BROKER_VALUE","DEEP_MEASURE_ID_OVERRIDE",$C174,"DEEP_BROKER_ID_OVERRIDE",$F$7,"DEEP_PERIOD_OVERRIDE",V$11)*1,"")))</f>
        <v/>
      </c>
      <c r="W174" s="17" t="str">
        <f ca="1">IF(ISNA($B174),"",IF($B174="","",IFERROR(_xll.BDP(TICKER,"DEEP_MEASURE_PERIOD_BROKER_VALUE","DEEP_MEASURE_ID_OVERRIDE",$C174,"DEEP_BROKER_ID_OVERRIDE",$F$7,"DEEP_PERIOD_OVERRIDE",W$11)*1,"")))</f>
        <v/>
      </c>
      <c r="X174" s="17" t="str">
        <f ca="1">IF(ISNA($B174),"",IF($B174="","",IFERROR(_xll.BDP(TICKER,"DEEP_MEASURE_PERIOD_BROKER_VALUE","DEEP_MEASURE_ID_OVERRIDE",$C174,"DEEP_BROKER_ID_OVERRIDE",$F$7,"DEEP_PERIOD_OVERRIDE",X$11)*1,"")))</f>
        <v/>
      </c>
      <c r="Y174" s="17" t="str">
        <f ca="1">IF(ISNA($B174),"",IF($B174="","",IFERROR(_xll.BDP(TICKER,"DEEP_MEASURE_PERIOD_BROKER_VALUE","DEEP_MEASURE_ID_OVERRIDE",$C174,"DEEP_BROKER_ID_OVERRIDE",$F$7,"DEEP_PERIOD_OVERRIDE",Y$11)*1,"")))</f>
        <v/>
      </c>
      <c r="Z174" s="17" t="str">
        <f ca="1">IF(ISNA($B174),"",IF($B174="","",IFERROR(_xll.BDP(TICKER,"DEEP_MEASURE_PERIOD_BROKER_VALUE","DEEP_MEASURE_ID_OVERRIDE",$C174,"DEEP_BROKER_ID_OVERRIDE",$F$7,"DEEP_PERIOD_OVERRIDE",Z$11)*1,"")))</f>
        <v/>
      </c>
      <c r="AA174" s="17" t="str">
        <f ca="1">IF(ISNA($B174),"",IF($B174="","",IFERROR(_xll.BDP(TICKER,"DEEP_MEASURE_PERIOD_BROKER_VALUE","DEEP_MEASURE_ID_OVERRIDE",$C174,"DEEP_BROKER_ID_OVERRIDE",$F$7,"DEEP_PERIOD_OVERRIDE",AA$11)*1,"")))</f>
        <v/>
      </c>
      <c r="AB174" s="17" t="str">
        <f ca="1">IF(ISNA($B174),"",IF($B174="","",IFERROR(_xll.BDP(TICKER,"DEEP_MEASURE_PERIOD_BROKER_VALUE","DEEP_MEASURE_ID_OVERRIDE",$C174,"DEEP_BROKER_ID_OVERRIDE",$F$7,"DEEP_PERIOD_OVERRIDE",AB$11)*1,"")))</f>
        <v/>
      </c>
      <c r="AC174" s="17" t="str">
        <f ca="1">IF(ISNA($B174),"",IF($B174="","",IFERROR(_xll.BDP(TICKER,"DEEP_MEASURE_PERIOD_BROKER_VALUE","DEEP_MEASURE_ID_OVERRIDE",$C174,"DEEP_BROKER_ID_OVERRIDE",$F$7,"DEEP_PERIOD_OVERRIDE",AC$11)*1,"")))</f>
        <v/>
      </c>
      <c r="AD174" s="17" t="str">
        <f ca="1">IF(ISNA($B174),"",IF($B174="","",IFERROR(_xll.BDP(TICKER,"DEEP_MEASURE_PERIOD_BROKER_VALUE","DEEP_MEASURE_ID_OVERRIDE",$C174,"DEEP_BROKER_ID_OVERRIDE",$F$7,"DEEP_PERIOD_OVERRIDE",AD$11)*1,"")))</f>
        <v/>
      </c>
      <c r="AE174" s="17" t="str">
        <f ca="1">IF(ISNA($B174),"",IF($B174="","",IFERROR(_xll.BDP(TICKER,"DEEP_MEASURE_PERIOD_BROKER_VALUE","DEEP_MEASURE_ID_OVERRIDE",$C174,"DEEP_BROKER_ID_OVERRIDE",$F$7,"DEEP_PERIOD_OVERRIDE",AE$11)*1,"")))</f>
        <v/>
      </c>
      <c r="AF174" s="17" t="str">
        <f ca="1">IF(ISNA($B174),"",IF($B174="","",IFERROR(_xll.BDP(TICKER,"DEEP_MEASURE_PERIOD_BROKER_VALUE","DEEP_MEASURE_ID_OVERRIDE",$C174,"DEEP_BROKER_ID_OVERRIDE",$F$7,"DEEP_PERIOD_OVERRIDE",AF$11)*1,"")))</f>
        <v/>
      </c>
      <c r="AG174" s="17" t="str">
        <f ca="1">IF(ISNA($B174),"",IF($B174="","",IFERROR(_xll.BDP(TICKER,"DEEP_MEASURE_PERIOD_BROKER_VALUE","DEEP_MEASURE_ID_OVERRIDE",$C174,"DEEP_BROKER_ID_OVERRIDE",$F$7,"DEEP_PERIOD_OVERRIDE",AG$11)*1,"")))</f>
        <v/>
      </c>
      <c r="AH174" s="17" t="str">
        <f ca="1">IF(ISNA($B174),"",IF($B174="","",IFERROR(_xll.BDP(TICKER,"DEEP_MEASURE_PERIOD_BROKER_VALUE","DEEP_MEASURE_ID_OVERRIDE",$C174,"DEEP_BROKER_ID_OVERRIDE",$F$7,"DEEP_PERIOD_OVERRIDE",AH$11)*1,"")))</f>
        <v/>
      </c>
      <c r="AI174" s="17" t="str">
        <f ca="1">IF(ISNA($B174),"",IF($B174="","",IFERROR(_xll.BDP(TICKER,"DEEP_MEASURE_PERIOD_BROKER_VALUE","DEEP_MEASURE_ID_OVERRIDE",$C174,"DEEP_BROKER_ID_OVERRIDE",$F$7,"DEEP_PERIOD_OVERRIDE",AI$11)*1,"")))</f>
        <v/>
      </c>
      <c r="AJ174" s="17" t="str">
        <f ca="1">IF(ISNA($B174),"",IF($B174="","",IFERROR(_xll.BDP(TICKER,"DEEP_MEASURE_PERIOD_BROKER_VALUE","DEEP_MEASURE_ID_OVERRIDE",$C174,"DEEP_BROKER_ID_OVERRIDE",$F$7,"DEEP_PERIOD_OVERRIDE",AJ$11)*1,"")))</f>
        <v/>
      </c>
      <c r="AK174" s="17" t="str">
        <f ca="1">IF(ISNA($B174),"",IF($B174="","",IFERROR(_xll.BDP(TICKER,"DEEP_MEASURE_PERIOD_BROKER_VALUE","DEEP_MEASURE_ID_OVERRIDE",$C174,"DEEP_BROKER_ID_OVERRIDE",$F$7,"DEEP_PERIOD_OVERRIDE",AK$11)*1,"")))</f>
        <v/>
      </c>
      <c r="AL174" s="17" t="str">
        <f ca="1">IF(ISNA($B174),"",IF($B174="","",IFERROR(_xll.BDP(TICKER,"DEEP_MEASURE_PERIOD_BROKER_VALUE","DEEP_MEASURE_ID_OVERRIDE",$C174,"DEEP_BROKER_ID_OVERRIDE",$F$7,"DEEP_PERIOD_OVERRIDE",AL$11)*1,"")))</f>
        <v/>
      </c>
      <c r="AM174" s="17" t="str">
        <f ca="1">IF(ISNA($B174),"",IF($B174="","",IFERROR(_xll.BDP(TICKER,"DEEP_MEASURE_PERIOD_BROKER_VALUE","DEEP_MEASURE_ID_OVERRIDE",$C174,"DEEP_BROKER_ID_OVERRIDE",$F$7,"DEEP_PERIOD_OVERRIDE",AM$11)*1,"")))</f>
        <v/>
      </c>
      <c r="AN174" s="17" t="str">
        <f ca="1">IF(ISNA($B174),"",IF($B174="","",IFERROR(_xll.BDP(TICKER,"DEEP_MEASURE_PERIOD_BROKER_VALUE","DEEP_MEASURE_ID_OVERRIDE",$C174,"DEEP_BROKER_ID_OVERRIDE",$F$7,"DEEP_PERIOD_OVERRIDE",AN$11)*1,"")))</f>
        <v/>
      </c>
      <c r="AO174" s="17" t="str">
        <f ca="1">IF(ISNA($B174),"",IF($B174="","",IFERROR(_xll.BDP(TICKER,"DEEP_MEASURE_PERIOD_BROKER_VALUE","DEEP_MEASURE_ID_OVERRIDE",$C174,"DEEP_BROKER_ID_OVERRIDE",$F$7,"DEEP_PERIOD_OVERRIDE",AO$11)*1,"")))</f>
        <v/>
      </c>
      <c r="AP174" s="17" t="str">
        <f ca="1">IF(ISNA($B174),"",IF($B174="","",IFERROR(_xll.BDP(TICKER,"DEEP_MEASURE_PERIOD_BROKER_VALUE","DEEP_MEASURE_ID_OVERRIDE",$C174,"DEEP_BROKER_ID_OVERRIDE",$F$7,"DEEP_PERIOD_OVERRIDE",AP$11)*1,"")))</f>
        <v/>
      </c>
      <c r="AQ174" s="17" t="str">
        <f ca="1">IF(ISNA($B174),"",IF($B174="","",IFERROR(_xll.BDP(TICKER,"DEEP_MEASURE_PERIOD_BROKER_VALUE","DEEP_MEASURE_ID_OVERRIDE",$C174,"DEEP_BROKER_ID_OVERRIDE",$F$7,"DEEP_PERIOD_OVERRIDE",AQ$11)*1,"")))</f>
        <v/>
      </c>
    </row>
    <row r="175" spans="2:43" x14ac:dyDescent="0.25">
      <c r="B175" t="s">
        <v>201</v>
      </c>
      <c r="C175">
        <v>506</v>
      </c>
      <c r="H175" t="str">
        <f t="shared" si="4"/>
        <v>Liabilities &amp; Shareholders' Equity &gt; Current Liabilities &gt; Accured Expense &amp; Other Current Liabilities &gt; As % of Revenue</v>
      </c>
      <c r="I175" s="17" t="str">
        <f ca="1">IF(ISNA($B175),"",IF($B175="","",IFERROR(_xll.BDP(TICKER,"DEEP_MEASURE_PERIOD_BROKER_VALUE","DEEP_MEASURE_ID_OVERRIDE",$C175,"DEEP_BROKER_ID_OVERRIDE",$F$7,"DEEP_PERIOD_OVERRIDE",I$11)*1,"")))</f>
        <v/>
      </c>
      <c r="J175" s="17" t="str">
        <f ca="1">IF(ISNA($B175),"",IF($B175="","",IFERROR(_xll.BDP(TICKER,"DEEP_MEASURE_PERIOD_BROKER_VALUE","DEEP_MEASURE_ID_OVERRIDE",$C175,"DEEP_BROKER_ID_OVERRIDE",$F$7,"DEEP_PERIOD_OVERRIDE",J$11)*1,"")))</f>
        <v/>
      </c>
      <c r="K175" s="17" t="str">
        <f ca="1">IF(ISNA($B175),"",IF($B175="","",IFERROR(_xll.BDP(TICKER,"DEEP_MEASURE_PERIOD_BROKER_VALUE","DEEP_MEASURE_ID_OVERRIDE",$C175,"DEEP_BROKER_ID_OVERRIDE",$F$7,"DEEP_PERIOD_OVERRIDE",K$11)*1,"")))</f>
        <v/>
      </c>
      <c r="L175" s="17" t="str">
        <f ca="1">IF(ISNA($B175),"",IF($B175="","",IFERROR(_xll.BDP(TICKER,"DEEP_MEASURE_PERIOD_BROKER_VALUE","DEEP_MEASURE_ID_OVERRIDE",$C175,"DEEP_BROKER_ID_OVERRIDE",$F$7,"DEEP_PERIOD_OVERRIDE",L$11)*1,"")))</f>
        <v/>
      </c>
      <c r="M175" s="17" t="str">
        <f ca="1">IF(ISNA($B175),"",IF($B175="","",IFERROR(_xll.BDP(TICKER,"DEEP_MEASURE_PERIOD_BROKER_VALUE","DEEP_MEASURE_ID_OVERRIDE",$C175,"DEEP_BROKER_ID_OVERRIDE",$F$7,"DEEP_PERIOD_OVERRIDE",M$11)*1,"")))</f>
        <v/>
      </c>
      <c r="N175" s="17" t="str">
        <f ca="1">IF(ISNA($B175),"",IF($B175="","",IFERROR(_xll.BDP(TICKER,"DEEP_MEASURE_PERIOD_BROKER_VALUE","DEEP_MEASURE_ID_OVERRIDE",$C175,"DEEP_BROKER_ID_OVERRIDE",$F$7,"DEEP_PERIOD_OVERRIDE",N$11)*1,"")))</f>
        <v/>
      </c>
      <c r="O175" s="17" t="str">
        <f ca="1">IF(ISNA($B175),"",IF($B175="","",IFERROR(_xll.BDP(TICKER,"DEEP_MEASURE_PERIOD_BROKER_VALUE","DEEP_MEASURE_ID_OVERRIDE",$C175,"DEEP_BROKER_ID_OVERRIDE",$F$7,"DEEP_PERIOD_OVERRIDE",O$11)*1,"")))</f>
        <v/>
      </c>
      <c r="P175" s="17" t="str">
        <f ca="1">IF(ISNA($B175),"",IF($B175="","",IFERROR(_xll.BDP(TICKER,"DEEP_MEASURE_PERIOD_BROKER_VALUE","DEEP_MEASURE_ID_OVERRIDE",$C175,"DEEP_BROKER_ID_OVERRIDE",$F$7,"DEEP_PERIOD_OVERRIDE",P$11)*1,"")))</f>
        <v/>
      </c>
      <c r="Q175" s="17" t="str">
        <f ca="1">IF(ISNA($B175),"",IF($B175="","",IFERROR(_xll.BDP(TICKER,"DEEP_MEASURE_PERIOD_BROKER_VALUE","DEEP_MEASURE_ID_OVERRIDE",$C175,"DEEP_BROKER_ID_OVERRIDE",$F$7,"DEEP_PERIOD_OVERRIDE",Q$11)*1,"")))</f>
        <v/>
      </c>
      <c r="R175" s="17" t="str">
        <f ca="1">IF(ISNA($B175),"",IF($B175="","",IFERROR(_xll.BDP(TICKER,"DEEP_MEASURE_PERIOD_BROKER_VALUE","DEEP_MEASURE_ID_OVERRIDE",$C175,"DEEP_BROKER_ID_OVERRIDE",$F$7,"DEEP_PERIOD_OVERRIDE",R$11)*1,"")))</f>
        <v/>
      </c>
      <c r="S175" s="17" t="str">
        <f ca="1">IF(ISNA($B175),"",IF($B175="","",IFERROR(_xll.BDP(TICKER,"DEEP_MEASURE_PERIOD_BROKER_VALUE","DEEP_MEASURE_ID_OVERRIDE",$C175,"DEEP_BROKER_ID_OVERRIDE",$F$7,"DEEP_PERIOD_OVERRIDE",S$11)*1,"")))</f>
        <v/>
      </c>
      <c r="T175" s="17" t="str">
        <f ca="1">IF(ISNA($B175),"",IF($B175="","",IFERROR(_xll.BDP(TICKER,"DEEP_MEASURE_PERIOD_BROKER_VALUE","DEEP_MEASURE_ID_OVERRIDE",$C175,"DEEP_BROKER_ID_OVERRIDE",$F$7,"DEEP_PERIOD_OVERRIDE",T$11)*1,"")))</f>
        <v/>
      </c>
      <c r="U175" s="17" t="str">
        <f ca="1">IF(ISNA($B175),"",IF($B175="","",IFERROR(_xll.BDP(TICKER,"DEEP_MEASURE_PERIOD_BROKER_VALUE","DEEP_MEASURE_ID_OVERRIDE",$C175,"DEEP_BROKER_ID_OVERRIDE",$F$7,"DEEP_PERIOD_OVERRIDE",U$11)*1,"")))</f>
        <v/>
      </c>
      <c r="V175" s="17" t="str">
        <f ca="1">IF(ISNA($B175),"",IF($B175="","",IFERROR(_xll.BDP(TICKER,"DEEP_MEASURE_PERIOD_BROKER_VALUE","DEEP_MEASURE_ID_OVERRIDE",$C175,"DEEP_BROKER_ID_OVERRIDE",$F$7,"DEEP_PERIOD_OVERRIDE",V$11)*1,"")))</f>
        <v/>
      </c>
      <c r="W175" s="17" t="str">
        <f ca="1">IF(ISNA($B175),"",IF($B175="","",IFERROR(_xll.BDP(TICKER,"DEEP_MEASURE_PERIOD_BROKER_VALUE","DEEP_MEASURE_ID_OVERRIDE",$C175,"DEEP_BROKER_ID_OVERRIDE",$F$7,"DEEP_PERIOD_OVERRIDE",W$11)*1,"")))</f>
        <v/>
      </c>
      <c r="X175" s="17" t="str">
        <f ca="1">IF(ISNA($B175),"",IF($B175="","",IFERROR(_xll.BDP(TICKER,"DEEP_MEASURE_PERIOD_BROKER_VALUE","DEEP_MEASURE_ID_OVERRIDE",$C175,"DEEP_BROKER_ID_OVERRIDE",$F$7,"DEEP_PERIOD_OVERRIDE",X$11)*1,"")))</f>
        <v/>
      </c>
      <c r="Y175" s="17" t="str">
        <f ca="1">IF(ISNA($B175),"",IF($B175="","",IFERROR(_xll.BDP(TICKER,"DEEP_MEASURE_PERIOD_BROKER_VALUE","DEEP_MEASURE_ID_OVERRIDE",$C175,"DEEP_BROKER_ID_OVERRIDE",$F$7,"DEEP_PERIOD_OVERRIDE",Y$11)*1,"")))</f>
        <v/>
      </c>
      <c r="Z175" s="17" t="str">
        <f ca="1">IF(ISNA($B175),"",IF($B175="","",IFERROR(_xll.BDP(TICKER,"DEEP_MEASURE_PERIOD_BROKER_VALUE","DEEP_MEASURE_ID_OVERRIDE",$C175,"DEEP_BROKER_ID_OVERRIDE",$F$7,"DEEP_PERIOD_OVERRIDE",Z$11)*1,"")))</f>
        <v/>
      </c>
      <c r="AA175" s="17" t="str">
        <f ca="1">IF(ISNA($B175),"",IF($B175="","",IFERROR(_xll.BDP(TICKER,"DEEP_MEASURE_PERIOD_BROKER_VALUE","DEEP_MEASURE_ID_OVERRIDE",$C175,"DEEP_BROKER_ID_OVERRIDE",$F$7,"DEEP_PERIOD_OVERRIDE",AA$11)*1,"")))</f>
        <v/>
      </c>
      <c r="AB175" s="17" t="str">
        <f ca="1">IF(ISNA($B175),"",IF($B175="","",IFERROR(_xll.BDP(TICKER,"DEEP_MEASURE_PERIOD_BROKER_VALUE","DEEP_MEASURE_ID_OVERRIDE",$C175,"DEEP_BROKER_ID_OVERRIDE",$F$7,"DEEP_PERIOD_OVERRIDE",AB$11)*1,"")))</f>
        <v/>
      </c>
      <c r="AC175" s="17" t="str">
        <f ca="1">IF(ISNA($B175),"",IF($B175="","",IFERROR(_xll.BDP(TICKER,"DEEP_MEASURE_PERIOD_BROKER_VALUE","DEEP_MEASURE_ID_OVERRIDE",$C175,"DEEP_BROKER_ID_OVERRIDE",$F$7,"DEEP_PERIOD_OVERRIDE",AC$11)*1,"")))</f>
        <v/>
      </c>
      <c r="AD175" s="17" t="str">
        <f ca="1">IF(ISNA($B175),"",IF($B175="","",IFERROR(_xll.BDP(TICKER,"DEEP_MEASURE_PERIOD_BROKER_VALUE","DEEP_MEASURE_ID_OVERRIDE",$C175,"DEEP_BROKER_ID_OVERRIDE",$F$7,"DEEP_PERIOD_OVERRIDE",AD$11)*1,"")))</f>
        <v/>
      </c>
      <c r="AE175" s="17" t="str">
        <f ca="1">IF(ISNA($B175),"",IF($B175="","",IFERROR(_xll.BDP(TICKER,"DEEP_MEASURE_PERIOD_BROKER_VALUE","DEEP_MEASURE_ID_OVERRIDE",$C175,"DEEP_BROKER_ID_OVERRIDE",$F$7,"DEEP_PERIOD_OVERRIDE",AE$11)*1,"")))</f>
        <v/>
      </c>
      <c r="AF175" s="17" t="str">
        <f ca="1">IF(ISNA($B175),"",IF($B175="","",IFERROR(_xll.BDP(TICKER,"DEEP_MEASURE_PERIOD_BROKER_VALUE","DEEP_MEASURE_ID_OVERRIDE",$C175,"DEEP_BROKER_ID_OVERRIDE",$F$7,"DEEP_PERIOD_OVERRIDE",AF$11)*1,"")))</f>
        <v/>
      </c>
      <c r="AG175" s="17" t="str">
        <f ca="1">IF(ISNA($B175),"",IF($B175="","",IFERROR(_xll.BDP(TICKER,"DEEP_MEASURE_PERIOD_BROKER_VALUE","DEEP_MEASURE_ID_OVERRIDE",$C175,"DEEP_BROKER_ID_OVERRIDE",$F$7,"DEEP_PERIOD_OVERRIDE",AG$11)*1,"")))</f>
        <v/>
      </c>
      <c r="AH175" s="17" t="str">
        <f ca="1">IF(ISNA($B175),"",IF($B175="","",IFERROR(_xll.BDP(TICKER,"DEEP_MEASURE_PERIOD_BROKER_VALUE","DEEP_MEASURE_ID_OVERRIDE",$C175,"DEEP_BROKER_ID_OVERRIDE",$F$7,"DEEP_PERIOD_OVERRIDE",AH$11)*1,"")))</f>
        <v/>
      </c>
      <c r="AI175" s="17" t="str">
        <f ca="1">IF(ISNA($B175),"",IF($B175="","",IFERROR(_xll.BDP(TICKER,"DEEP_MEASURE_PERIOD_BROKER_VALUE","DEEP_MEASURE_ID_OVERRIDE",$C175,"DEEP_BROKER_ID_OVERRIDE",$F$7,"DEEP_PERIOD_OVERRIDE",AI$11)*1,"")))</f>
        <v/>
      </c>
      <c r="AJ175" s="17" t="str">
        <f ca="1">IF(ISNA($B175),"",IF($B175="","",IFERROR(_xll.BDP(TICKER,"DEEP_MEASURE_PERIOD_BROKER_VALUE","DEEP_MEASURE_ID_OVERRIDE",$C175,"DEEP_BROKER_ID_OVERRIDE",$F$7,"DEEP_PERIOD_OVERRIDE",AJ$11)*1,"")))</f>
        <v/>
      </c>
      <c r="AK175" s="17" t="str">
        <f ca="1">IF(ISNA($B175),"",IF($B175="","",IFERROR(_xll.BDP(TICKER,"DEEP_MEASURE_PERIOD_BROKER_VALUE","DEEP_MEASURE_ID_OVERRIDE",$C175,"DEEP_BROKER_ID_OVERRIDE",$F$7,"DEEP_PERIOD_OVERRIDE",AK$11)*1,"")))</f>
        <v/>
      </c>
      <c r="AL175" s="17" t="str">
        <f ca="1">IF(ISNA($B175),"",IF($B175="","",IFERROR(_xll.BDP(TICKER,"DEEP_MEASURE_PERIOD_BROKER_VALUE","DEEP_MEASURE_ID_OVERRIDE",$C175,"DEEP_BROKER_ID_OVERRIDE",$F$7,"DEEP_PERIOD_OVERRIDE",AL$11)*1,"")))</f>
        <v/>
      </c>
      <c r="AM175" s="17" t="str">
        <f ca="1">IF(ISNA($B175),"",IF($B175="","",IFERROR(_xll.BDP(TICKER,"DEEP_MEASURE_PERIOD_BROKER_VALUE","DEEP_MEASURE_ID_OVERRIDE",$C175,"DEEP_BROKER_ID_OVERRIDE",$F$7,"DEEP_PERIOD_OVERRIDE",AM$11)*1,"")))</f>
        <v/>
      </c>
      <c r="AN175" s="17" t="str">
        <f ca="1">IF(ISNA($B175),"",IF($B175="","",IFERROR(_xll.BDP(TICKER,"DEEP_MEASURE_PERIOD_BROKER_VALUE","DEEP_MEASURE_ID_OVERRIDE",$C175,"DEEP_BROKER_ID_OVERRIDE",$F$7,"DEEP_PERIOD_OVERRIDE",AN$11)*1,"")))</f>
        <v/>
      </c>
      <c r="AO175" s="17" t="str">
        <f ca="1">IF(ISNA($B175),"",IF($B175="","",IFERROR(_xll.BDP(TICKER,"DEEP_MEASURE_PERIOD_BROKER_VALUE","DEEP_MEASURE_ID_OVERRIDE",$C175,"DEEP_BROKER_ID_OVERRIDE",$F$7,"DEEP_PERIOD_OVERRIDE",AO$11)*1,"")))</f>
        <v/>
      </c>
      <c r="AP175" s="17" t="str">
        <f ca="1">IF(ISNA($B175),"",IF($B175="","",IFERROR(_xll.BDP(TICKER,"DEEP_MEASURE_PERIOD_BROKER_VALUE","DEEP_MEASURE_ID_OVERRIDE",$C175,"DEEP_BROKER_ID_OVERRIDE",$F$7,"DEEP_PERIOD_OVERRIDE",AP$11)*1,"")))</f>
        <v/>
      </c>
      <c r="AQ175" s="17" t="str">
        <f ca="1">IF(ISNA($B175),"",IF($B175="","",IFERROR(_xll.BDP(TICKER,"DEEP_MEASURE_PERIOD_BROKER_VALUE","DEEP_MEASURE_ID_OVERRIDE",$C175,"DEEP_BROKER_ID_OVERRIDE",$F$7,"DEEP_PERIOD_OVERRIDE",AQ$11)*1,"")))</f>
        <v/>
      </c>
    </row>
    <row r="176" spans="2:43" x14ac:dyDescent="0.25">
      <c r="B176" t="s">
        <v>202</v>
      </c>
      <c r="C176">
        <v>495</v>
      </c>
      <c r="H176" t="str">
        <f t="shared" si="4"/>
        <v>Liabilities &amp; Shareholders' Equity &gt; Non-Current Liabilities &gt; Deferred income taxes, net</v>
      </c>
      <c r="I176" s="17" t="str">
        <f ca="1">IF(ISNA($B176),"",IF($B176="","",IFERROR(_xll.BDP(TICKER,"DEEP_MEASURE_PERIOD_BROKER_VALUE","DEEP_MEASURE_ID_OVERRIDE",$C176,"DEEP_BROKER_ID_OVERRIDE",$F$7,"DEEP_PERIOD_OVERRIDE",I$11)*1,"")))</f>
        <v/>
      </c>
      <c r="J176" s="17" t="str">
        <f ca="1">IF(ISNA($B176),"",IF($B176="","",IFERROR(_xll.BDP(TICKER,"DEEP_MEASURE_PERIOD_BROKER_VALUE","DEEP_MEASURE_ID_OVERRIDE",$C176,"DEEP_BROKER_ID_OVERRIDE",$F$7,"DEEP_PERIOD_OVERRIDE",J$11)*1,"")))</f>
        <v/>
      </c>
      <c r="K176" s="17" t="str">
        <f ca="1">IF(ISNA($B176),"",IF($B176="","",IFERROR(_xll.BDP(TICKER,"DEEP_MEASURE_PERIOD_BROKER_VALUE","DEEP_MEASURE_ID_OVERRIDE",$C176,"DEEP_BROKER_ID_OVERRIDE",$F$7,"DEEP_PERIOD_OVERRIDE",K$11)*1,"")))</f>
        <v/>
      </c>
      <c r="L176" s="17" t="str">
        <f ca="1">IF(ISNA($B176),"",IF($B176="","",IFERROR(_xll.BDP(TICKER,"DEEP_MEASURE_PERIOD_BROKER_VALUE","DEEP_MEASURE_ID_OVERRIDE",$C176,"DEEP_BROKER_ID_OVERRIDE",$F$7,"DEEP_PERIOD_OVERRIDE",L$11)*1,"")))</f>
        <v/>
      </c>
      <c r="M176" s="17" t="str">
        <f ca="1">IF(ISNA($B176),"",IF($B176="","",IFERROR(_xll.BDP(TICKER,"DEEP_MEASURE_PERIOD_BROKER_VALUE","DEEP_MEASURE_ID_OVERRIDE",$C176,"DEEP_BROKER_ID_OVERRIDE",$F$7,"DEEP_PERIOD_OVERRIDE",M$11)*1,"")))</f>
        <v/>
      </c>
      <c r="N176" s="17" t="str">
        <f ca="1">IF(ISNA($B176),"",IF($B176="","",IFERROR(_xll.BDP(TICKER,"DEEP_MEASURE_PERIOD_BROKER_VALUE","DEEP_MEASURE_ID_OVERRIDE",$C176,"DEEP_BROKER_ID_OVERRIDE",$F$7,"DEEP_PERIOD_OVERRIDE",N$11)*1,"")))</f>
        <v/>
      </c>
      <c r="O176" s="17" t="str">
        <f ca="1">IF(ISNA($B176),"",IF($B176="","",IFERROR(_xll.BDP(TICKER,"DEEP_MEASURE_PERIOD_BROKER_VALUE","DEEP_MEASURE_ID_OVERRIDE",$C176,"DEEP_BROKER_ID_OVERRIDE",$F$7,"DEEP_PERIOD_OVERRIDE",O$11)*1,"")))</f>
        <v/>
      </c>
      <c r="P176" s="17" t="str">
        <f ca="1">IF(ISNA($B176),"",IF($B176="","",IFERROR(_xll.BDP(TICKER,"DEEP_MEASURE_PERIOD_BROKER_VALUE","DEEP_MEASURE_ID_OVERRIDE",$C176,"DEEP_BROKER_ID_OVERRIDE",$F$7,"DEEP_PERIOD_OVERRIDE",P$11)*1,"")))</f>
        <v/>
      </c>
      <c r="Q176" s="17" t="str">
        <f ca="1">IF(ISNA($B176),"",IF($B176="","",IFERROR(_xll.BDP(TICKER,"DEEP_MEASURE_PERIOD_BROKER_VALUE","DEEP_MEASURE_ID_OVERRIDE",$C176,"DEEP_BROKER_ID_OVERRIDE",$F$7,"DEEP_PERIOD_OVERRIDE",Q$11)*1,"")))</f>
        <v/>
      </c>
      <c r="R176" s="17" t="str">
        <f ca="1">IF(ISNA($B176),"",IF($B176="","",IFERROR(_xll.BDP(TICKER,"DEEP_MEASURE_PERIOD_BROKER_VALUE","DEEP_MEASURE_ID_OVERRIDE",$C176,"DEEP_BROKER_ID_OVERRIDE",$F$7,"DEEP_PERIOD_OVERRIDE",R$11)*1,"")))</f>
        <v/>
      </c>
      <c r="S176" s="17" t="str">
        <f ca="1">IF(ISNA($B176),"",IF($B176="","",IFERROR(_xll.BDP(TICKER,"DEEP_MEASURE_PERIOD_BROKER_VALUE","DEEP_MEASURE_ID_OVERRIDE",$C176,"DEEP_BROKER_ID_OVERRIDE",$F$7,"DEEP_PERIOD_OVERRIDE",S$11)*1,"")))</f>
        <v/>
      </c>
      <c r="T176" s="17" t="str">
        <f ca="1">IF(ISNA($B176),"",IF($B176="","",IFERROR(_xll.BDP(TICKER,"DEEP_MEASURE_PERIOD_BROKER_VALUE","DEEP_MEASURE_ID_OVERRIDE",$C176,"DEEP_BROKER_ID_OVERRIDE",$F$7,"DEEP_PERIOD_OVERRIDE",T$11)*1,"")))</f>
        <v/>
      </c>
      <c r="U176" s="17" t="str">
        <f ca="1">IF(ISNA($B176),"",IF($B176="","",IFERROR(_xll.BDP(TICKER,"DEEP_MEASURE_PERIOD_BROKER_VALUE","DEEP_MEASURE_ID_OVERRIDE",$C176,"DEEP_BROKER_ID_OVERRIDE",$F$7,"DEEP_PERIOD_OVERRIDE",U$11)*1,"")))</f>
        <v/>
      </c>
      <c r="V176" s="17" t="str">
        <f ca="1">IF(ISNA($B176),"",IF($B176="","",IFERROR(_xll.BDP(TICKER,"DEEP_MEASURE_PERIOD_BROKER_VALUE","DEEP_MEASURE_ID_OVERRIDE",$C176,"DEEP_BROKER_ID_OVERRIDE",$F$7,"DEEP_PERIOD_OVERRIDE",V$11)*1,"")))</f>
        <v/>
      </c>
      <c r="W176" s="17" t="str">
        <f ca="1">IF(ISNA($B176),"",IF($B176="","",IFERROR(_xll.BDP(TICKER,"DEEP_MEASURE_PERIOD_BROKER_VALUE","DEEP_MEASURE_ID_OVERRIDE",$C176,"DEEP_BROKER_ID_OVERRIDE",$F$7,"DEEP_PERIOD_OVERRIDE",W$11)*1,"")))</f>
        <v/>
      </c>
      <c r="X176" s="17" t="str">
        <f ca="1">IF(ISNA($B176),"",IF($B176="","",IFERROR(_xll.BDP(TICKER,"DEEP_MEASURE_PERIOD_BROKER_VALUE","DEEP_MEASURE_ID_OVERRIDE",$C176,"DEEP_BROKER_ID_OVERRIDE",$F$7,"DEEP_PERIOD_OVERRIDE",X$11)*1,"")))</f>
        <v/>
      </c>
      <c r="Y176" s="17" t="str">
        <f ca="1">IF(ISNA($B176),"",IF($B176="","",IFERROR(_xll.BDP(TICKER,"DEEP_MEASURE_PERIOD_BROKER_VALUE","DEEP_MEASURE_ID_OVERRIDE",$C176,"DEEP_BROKER_ID_OVERRIDE",$F$7,"DEEP_PERIOD_OVERRIDE",Y$11)*1,"")))</f>
        <v/>
      </c>
      <c r="Z176" s="17" t="str">
        <f ca="1">IF(ISNA($B176),"",IF($B176="","",IFERROR(_xll.BDP(TICKER,"DEEP_MEASURE_PERIOD_BROKER_VALUE","DEEP_MEASURE_ID_OVERRIDE",$C176,"DEEP_BROKER_ID_OVERRIDE",$F$7,"DEEP_PERIOD_OVERRIDE",Z$11)*1,"")))</f>
        <v/>
      </c>
      <c r="AA176" s="17" t="str">
        <f ca="1">IF(ISNA($B176),"",IF($B176="","",IFERROR(_xll.BDP(TICKER,"DEEP_MEASURE_PERIOD_BROKER_VALUE","DEEP_MEASURE_ID_OVERRIDE",$C176,"DEEP_BROKER_ID_OVERRIDE",$F$7,"DEEP_PERIOD_OVERRIDE",AA$11)*1,"")))</f>
        <v/>
      </c>
      <c r="AB176" s="17" t="str">
        <f ca="1">IF(ISNA($B176),"",IF($B176="","",IFERROR(_xll.BDP(TICKER,"DEEP_MEASURE_PERIOD_BROKER_VALUE","DEEP_MEASURE_ID_OVERRIDE",$C176,"DEEP_BROKER_ID_OVERRIDE",$F$7,"DEEP_PERIOD_OVERRIDE",AB$11)*1,"")))</f>
        <v/>
      </c>
      <c r="AC176" s="17" t="str">
        <f ca="1">IF(ISNA($B176),"",IF($B176="","",IFERROR(_xll.BDP(TICKER,"DEEP_MEASURE_PERIOD_BROKER_VALUE","DEEP_MEASURE_ID_OVERRIDE",$C176,"DEEP_BROKER_ID_OVERRIDE",$F$7,"DEEP_PERIOD_OVERRIDE",AC$11)*1,"")))</f>
        <v/>
      </c>
      <c r="AD176" s="17" t="str">
        <f ca="1">IF(ISNA($B176),"",IF($B176="","",IFERROR(_xll.BDP(TICKER,"DEEP_MEASURE_PERIOD_BROKER_VALUE","DEEP_MEASURE_ID_OVERRIDE",$C176,"DEEP_BROKER_ID_OVERRIDE",$F$7,"DEEP_PERIOD_OVERRIDE",AD$11)*1,"")))</f>
        <v/>
      </c>
      <c r="AE176" s="17" t="str">
        <f ca="1">IF(ISNA($B176),"",IF($B176="","",IFERROR(_xll.BDP(TICKER,"DEEP_MEASURE_PERIOD_BROKER_VALUE","DEEP_MEASURE_ID_OVERRIDE",$C176,"DEEP_BROKER_ID_OVERRIDE",$F$7,"DEEP_PERIOD_OVERRIDE",AE$11)*1,"")))</f>
        <v/>
      </c>
      <c r="AF176" s="17" t="str">
        <f ca="1">IF(ISNA($B176),"",IF($B176="","",IFERROR(_xll.BDP(TICKER,"DEEP_MEASURE_PERIOD_BROKER_VALUE","DEEP_MEASURE_ID_OVERRIDE",$C176,"DEEP_BROKER_ID_OVERRIDE",$F$7,"DEEP_PERIOD_OVERRIDE",AF$11)*1,"")))</f>
        <v/>
      </c>
      <c r="AG176" s="17" t="str">
        <f ca="1">IF(ISNA($B176),"",IF($B176="","",IFERROR(_xll.BDP(TICKER,"DEEP_MEASURE_PERIOD_BROKER_VALUE","DEEP_MEASURE_ID_OVERRIDE",$C176,"DEEP_BROKER_ID_OVERRIDE",$F$7,"DEEP_PERIOD_OVERRIDE",AG$11)*1,"")))</f>
        <v/>
      </c>
      <c r="AH176" s="17" t="str">
        <f ca="1">IF(ISNA($B176),"",IF($B176="","",IFERROR(_xll.BDP(TICKER,"DEEP_MEASURE_PERIOD_BROKER_VALUE","DEEP_MEASURE_ID_OVERRIDE",$C176,"DEEP_BROKER_ID_OVERRIDE",$F$7,"DEEP_PERIOD_OVERRIDE",AH$11)*1,"")))</f>
        <v/>
      </c>
      <c r="AI176" s="17" t="str">
        <f ca="1">IF(ISNA($B176),"",IF($B176="","",IFERROR(_xll.BDP(TICKER,"DEEP_MEASURE_PERIOD_BROKER_VALUE","DEEP_MEASURE_ID_OVERRIDE",$C176,"DEEP_BROKER_ID_OVERRIDE",$F$7,"DEEP_PERIOD_OVERRIDE",AI$11)*1,"")))</f>
        <v/>
      </c>
      <c r="AJ176" s="17" t="str">
        <f ca="1">IF(ISNA($B176),"",IF($B176="","",IFERROR(_xll.BDP(TICKER,"DEEP_MEASURE_PERIOD_BROKER_VALUE","DEEP_MEASURE_ID_OVERRIDE",$C176,"DEEP_BROKER_ID_OVERRIDE",$F$7,"DEEP_PERIOD_OVERRIDE",AJ$11)*1,"")))</f>
        <v/>
      </c>
      <c r="AK176" s="17" t="str">
        <f ca="1">IF(ISNA($B176),"",IF($B176="","",IFERROR(_xll.BDP(TICKER,"DEEP_MEASURE_PERIOD_BROKER_VALUE","DEEP_MEASURE_ID_OVERRIDE",$C176,"DEEP_BROKER_ID_OVERRIDE",$F$7,"DEEP_PERIOD_OVERRIDE",AK$11)*1,"")))</f>
        <v/>
      </c>
      <c r="AL176" s="17" t="str">
        <f ca="1">IF(ISNA($B176),"",IF($B176="","",IFERROR(_xll.BDP(TICKER,"DEEP_MEASURE_PERIOD_BROKER_VALUE","DEEP_MEASURE_ID_OVERRIDE",$C176,"DEEP_BROKER_ID_OVERRIDE",$F$7,"DEEP_PERIOD_OVERRIDE",AL$11)*1,"")))</f>
        <v/>
      </c>
      <c r="AM176" s="17" t="str">
        <f ca="1">IF(ISNA($B176),"",IF($B176="","",IFERROR(_xll.BDP(TICKER,"DEEP_MEASURE_PERIOD_BROKER_VALUE","DEEP_MEASURE_ID_OVERRIDE",$C176,"DEEP_BROKER_ID_OVERRIDE",$F$7,"DEEP_PERIOD_OVERRIDE",AM$11)*1,"")))</f>
        <v/>
      </c>
      <c r="AN176" s="17" t="str">
        <f ca="1">IF(ISNA($B176),"",IF($B176="","",IFERROR(_xll.BDP(TICKER,"DEEP_MEASURE_PERIOD_BROKER_VALUE","DEEP_MEASURE_ID_OVERRIDE",$C176,"DEEP_BROKER_ID_OVERRIDE",$F$7,"DEEP_PERIOD_OVERRIDE",AN$11)*1,"")))</f>
        <v/>
      </c>
      <c r="AO176" s="17" t="str">
        <f ca="1">IF(ISNA($B176),"",IF($B176="","",IFERROR(_xll.BDP(TICKER,"DEEP_MEASURE_PERIOD_BROKER_VALUE","DEEP_MEASURE_ID_OVERRIDE",$C176,"DEEP_BROKER_ID_OVERRIDE",$F$7,"DEEP_PERIOD_OVERRIDE",AO$11)*1,"")))</f>
        <v/>
      </c>
      <c r="AP176" s="17" t="str">
        <f ca="1">IF(ISNA($B176),"",IF($B176="","",IFERROR(_xll.BDP(TICKER,"DEEP_MEASURE_PERIOD_BROKER_VALUE","DEEP_MEASURE_ID_OVERRIDE",$C176,"DEEP_BROKER_ID_OVERRIDE",$F$7,"DEEP_PERIOD_OVERRIDE",AP$11)*1,"")))</f>
        <v/>
      </c>
      <c r="AQ176" s="17" t="str">
        <f ca="1">IF(ISNA($B176),"",IF($B176="","",IFERROR(_xll.BDP(TICKER,"DEEP_MEASURE_PERIOD_BROKER_VALUE","DEEP_MEASURE_ID_OVERRIDE",$C176,"DEEP_BROKER_ID_OVERRIDE",$F$7,"DEEP_PERIOD_OVERRIDE",AQ$11)*1,"")))</f>
        <v/>
      </c>
    </row>
    <row r="177" spans="2:43" x14ac:dyDescent="0.25">
      <c r="B177" t="s">
        <v>203</v>
      </c>
      <c r="C177">
        <v>496</v>
      </c>
      <c r="H177" t="str">
        <f t="shared" si="4"/>
        <v>Liabilities &amp; Shareholders' Equity &gt; Non-Current Liabilities &gt; Other Long-Term Liabilities</v>
      </c>
      <c r="I177" s="17" t="str">
        <f ca="1">IF(ISNA($B177),"",IF($B177="","",IFERROR(_xll.BDP(TICKER,"DEEP_MEASURE_PERIOD_BROKER_VALUE","DEEP_MEASURE_ID_OVERRIDE",$C177,"DEEP_BROKER_ID_OVERRIDE",$F$7,"DEEP_PERIOD_OVERRIDE",I$11)*1,"")))</f>
        <v/>
      </c>
      <c r="J177" s="17" t="str">
        <f ca="1">IF(ISNA($B177),"",IF($B177="","",IFERROR(_xll.BDP(TICKER,"DEEP_MEASURE_PERIOD_BROKER_VALUE","DEEP_MEASURE_ID_OVERRIDE",$C177,"DEEP_BROKER_ID_OVERRIDE",$F$7,"DEEP_PERIOD_OVERRIDE",J$11)*1,"")))</f>
        <v/>
      </c>
      <c r="K177" s="17" t="str">
        <f ca="1">IF(ISNA($B177),"",IF($B177="","",IFERROR(_xll.BDP(TICKER,"DEEP_MEASURE_PERIOD_BROKER_VALUE","DEEP_MEASURE_ID_OVERRIDE",$C177,"DEEP_BROKER_ID_OVERRIDE",$F$7,"DEEP_PERIOD_OVERRIDE",K$11)*1,"")))</f>
        <v/>
      </c>
      <c r="L177" s="17" t="str">
        <f ca="1">IF(ISNA($B177),"",IF($B177="","",IFERROR(_xll.BDP(TICKER,"DEEP_MEASURE_PERIOD_BROKER_VALUE","DEEP_MEASURE_ID_OVERRIDE",$C177,"DEEP_BROKER_ID_OVERRIDE",$F$7,"DEEP_PERIOD_OVERRIDE",L$11)*1,"")))</f>
        <v/>
      </c>
      <c r="M177" s="17" t="str">
        <f ca="1">IF(ISNA($B177),"",IF($B177="","",IFERROR(_xll.BDP(TICKER,"DEEP_MEASURE_PERIOD_BROKER_VALUE","DEEP_MEASURE_ID_OVERRIDE",$C177,"DEEP_BROKER_ID_OVERRIDE",$F$7,"DEEP_PERIOD_OVERRIDE",M$11)*1,"")))</f>
        <v/>
      </c>
      <c r="N177" s="17" t="str">
        <f ca="1">IF(ISNA($B177),"",IF($B177="","",IFERROR(_xll.BDP(TICKER,"DEEP_MEASURE_PERIOD_BROKER_VALUE","DEEP_MEASURE_ID_OVERRIDE",$C177,"DEEP_BROKER_ID_OVERRIDE",$F$7,"DEEP_PERIOD_OVERRIDE",N$11)*1,"")))</f>
        <v/>
      </c>
      <c r="O177" s="17" t="str">
        <f ca="1">IF(ISNA($B177),"",IF($B177="","",IFERROR(_xll.BDP(TICKER,"DEEP_MEASURE_PERIOD_BROKER_VALUE","DEEP_MEASURE_ID_OVERRIDE",$C177,"DEEP_BROKER_ID_OVERRIDE",$F$7,"DEEP_PERIOD_OVERRIDE",O$11)*1,"")))</f>
        <v/>
      </c>
      <c r="P177" s="17" t="str">
        <f ca="1">IF(ISNA($B177),"",IF($B177="","",IFERROR(_xll.BDP(TICKER,"DEEP_MEASURE_PERIOD_BROKER_VALUE","DEEP_MEASURE_ID_OVERRIDE",$C177,"DEEP_BROKER_ID_OVERRIDE",$F$7,"DEEP_PERIOD_OVERRIDE",P$11)*1,"")))</f>
        <v/>
      </c>
      <c r="Q177" s="17" t="str">
        <f ca="1">IF(ISNA($B177),"",IF($B177="","",IFERROR(_xll.BDP(TICKER,"DEEP_MEASURE_PERIOD_BROKER_VALUE","DEEP_MEASURE_ID_OVERRIDE",$C177,"DEEP_BROKER_ID_OVERRIDE",$F$7,"DEEP_PERIOD_OVERRIDE",Q$11)*1,"")))</f>
        <v/>
      </c>
      <c r="R177" s="17" t="str">
        <f ca="1">IF(ISNA($B177),"",IF($B177="","",IFERROR(_xll.BDP(TICKER,"DEEP_MEASURE_PERIOD_BROKER_VALUE","DEEP_MEASURE_ID_OVERRIDE",$C177,"DEEP_BROKER_ID_OVERRIDE",$F$7,"DEEP_PERIOD_OVERRIDE",R$11)*1,"")))</f>
        <v/>
      </c>
      <c r="S177" s="17" t="str">
        <f ca="1">IF(ISNA($B177),"",IF($B177="","",IFERROR(_xll.BDP(TICKER,"DEEP_MEASURE_PERIOD_BROKER_VALUE","DEEP_MEASURE_ID_OVERRIDE",$C177,"DEEP_BROKER_ID_OVERRIDE",$F$7,"DEEP_PERIOD_OVERRIDE",S$11)*1,"")))</f>
        <v/>
      </c>
      <c r="T177" s="17" t="str">
        <f ca="1">IF(ISNA($B177),"",IF($B177="","",IFERROR(_xll.BDP(TICKER,"DEEP_MEASURE_PERIOD_BROKER_VALUE","DEEP_MEASURE_ID_OVERRIDE",$C177,"DEEP_BROKER_ID_OVERRIDE",$F$7,"DEEP_PERIOD_OVERRIDE",T$11)*1,"")))</f>
        <v/>
      </c>
      <c r="U177" s="17" t="str">
        <f ca="1">IF(ISNA($B177),"",IF($B177="","",IFERROR(_xll.BDP(TICKER,"DEEP_MEASURE_PERIOD_BROKER_VALUE","DEEP_MEASURE_ID_OVERRIDE",$C177,"DEEP_BROKER_ID_OVERRIDE",$F$7,"DEEP_PERIOD_OVERRIDE",U$11)*1,"")))</f>
        <v/>
      </c>
      <c r="V177" s="17" t="str">
        <f ca="1">IF(ISNA($B177),"",IF($B177="","",IFERROR(_xll.BDP(TICKER,"DEEP_MEASURE_PERIOD_BROKER_VALUE","DEEP_MEASURE_ID_OVERRIDE",$C177,"DEEP_BROKER_ID_OVERRIDE",$F$7,"DEEP_PERIOD_OVERRIDE",V$11)*1,"")))</f>
        <v/>
      </c>
      <c r="W177" s="17" t="str">
        <f ca="1">IF(ISNA($B177),"",IF($B177="","",IFERROR(_xll.BDP(TICKER,"DEEP_MEASURE_PERIOD_BROKER_VALUE","DEEP_MEASURE_ID_OVERRIDE",$C177,"DEEP_BROKER_ID_OVERRIDE",$F$7,"DEEP_PERIOD_OVERRIDE",W$11)*1,"")))</f>
        <v/>
      </c>
      <c r="X177" s="17" t="str">
        <f ca="1">IF(ISNA($B177),"",IF($B177="","",IFERROR(_xll.BDP(TICKER,"DEEP_MEASURE_PERIOD_BROKER_VALUE","DEEP_MEASURE_ID_OVERRIDE",$C177,"DEEP_BROKER_ID_OVERRIDE",$F$7,"DEEP_PERIOD_OVERRIDE",X$11)*1,"")))</f>
        <v/>
      </c>
      <c r="Y177" s="17" t="str">
        <f ca="1">IF(ISNA($B177),"",IF($B177="","",IFERROR(_xll.BDP(TICKER,"DEEP_MEASURE_PERIOD_BROKER_VALUE","DEEP_MEASURE_ID_OVERRIDE",$C177,"DEEP_BROKER_ID_OVERRIDE",$F$7,"DEEP_PERIOD_OVERRIDE",Y$11)*1,"")))</f>
        <v/>
      </c>
      <c r="Z177" s="17" t="str">
        <f ca="1">IF(ISNA($B177),"",IF($B177="","",IFERROR(_xll.BDP(TICKER,"DEEP_MEASURE_PERIOD_BROKER_VALUE","DEEP_MEASURE_ID_OVERRIDE",$C177,"DEEP_BROKER_ID_OVERRIDE",$F$7,"DEEP_PERIOD_OVERRIDE",Z$11)*1,"")))</f>
        <v/>
      </c>
      <c r="AA177" s="17" t="str">
        <f ca="1">IF(ISNA($B177),"",IF($B177="","",IFERROR(_xll.BDP(TICKER,"DEEP_MEASURE_PERIOD_BROKER_VALUE","DEEP_MEASURE_ID_OVERRIDE",$C177,"DEEP_BROKER_ID_OVERRIDE",$F$7,"DEEP_PERIOD_OVERRIDE",AA$11)*1,"")))</f>
        <v/>
      </c>
      <c r="AB177" s="17" t="str">
        <f ca="1">IF(ISNA($B177),"",IF($B177="","",IFERROR(_xll.BDP(TICKER,"DEEP_MEASURE_PERIOD_BROKER_VALUE","DEEP_MEASURE_ID_OVERRIDE",$C177,"DEEP_BROKER_ID_OVERRIDE",$F$7,"DEEP_PERIOD_OVERRIDE",AB$11)*1,"")))</f>
        <v/>
      </c>
      <c r="AC177" s="17" t="str">
        <f ca="1">IF(ISNA($B177),"",IF($B177="","",IFERROR(_xll.BDP(TICKER,"DEEP_MEASURE_PERIOD_BROKER_VALUE","DEEP_MEASURE_ID_OVERRIDE",$C177,"DEEP_BROKER_ID_OVERRIDE",$F$7,"DEEP_PERIOD_OVERRIDE",AC$11)*1,"")))</f>
        <v/>
      </c>
      <c r="AD177" s="17" t="str">
        <f ca="1">IF(ISNA($B177),"",IF($B177="","",IFERROR(_xll.BDP(TICKER,"DEEP_MEASURE_PERIOD_BROKER_VALUE","DEEP_MEASURE_ID_OVERRIDE",$C177,"DEEP_BROKER_ID_OVERRIDE",$F$7,"DEEP_PERIOD_OVERRIDE",AD$11)*1,"")))</f>
        <v/>
      </c>
      <c r="AE177" s="17" t="str">
        <f ca="1">IF(ISNA($B177),"",IF($B177="","",IFERROR(_xll.BDP(TICKER,"DEEP_MEASURE_PERIOD_BROKER_VALUE","DEEP_MEASURE_ID_OVERRIDE",$C177,"DEEP_BROKER_ID_OVERRIDE",$F$7,"DEEP_PERIOD_OVERRIDE",AE$11)*1,"")))</f>
        <v/>
      </c>
      <c r="AF177" s="17" t="str">
        <f ca="1">IF(ISNA($B177),"",IF($B177="","",IFERROR(_xll.BDP(TICKER,"DEEP_MEASURE_PERIOD_BROKER_VALUE","DEEP_MEASURE_ID_OVERRIDE",$C177,"DEEP_BROKER_ID_OVERRIDE",$F$7,"DEEP_PERIOD_OVERRIDE",AF$11)*1,"")))</f>
        <v/>
      </c>
      <c r="AG177" s="17" t="str">
        <f ca="1">IF(ISNA($B177),"",IF($B177="","",IFERROR(_xll.BDP(TICKER,"DEEP_MEASURE_PERIOD_BROKER_VALUE","DEEP_MEASURE_ID_OVERRIDE",$C177,"DEEP_BROKER_ID_OVERRIDE",$F$7,"DEEP_PERIOD_OVERRIDE",AG$11)*1,"")))</f>
        <v/>
      </c>
      <c r="AH177" s="17" t="str">
        <f ca="1">IF(ISNA($B177),"",IF($B177="","",IFERROR(_xll.BDP(TICKER,"DEEP_MEASURE_PERIOD_BROKER_VALUE","DEEP_MEASURE_ID_OVERRIDE",$C177,"DEEP_BROKER_ID_OVERRIDE",$F$7,"DEEP_PERIOD_OVERRIDE",AH$11)*1,"")))</f>
        <v/>
      </c>
      <c r="AI177" s="17" t="str">
        <f ca="1">IF(ISNA($B177),"",IF($B177="","",IFERROR(_xll.BDP(TICKER,"DEEP_MEASURE_PERIOD_BROKER_VALUE","DEEP_MEASURE_ID_OVERRIDE",$C177,"DEEP_BROKER_ID_OVERRIDE",$F$7,"DEEP_PERIOD_OVERRIDE",AI$11)*1,"")))</f>
        <v/>
      </c>
      <c r="AJ177" s="17" t="str">
        <f ca="1">IF(ISNA($B177),"",IF($B177="","",IFERROR(_xll.BDP(TICKER,"DEEP_MEASURE_PERIOD_BROKER_VALUE","DEEP_MEASURE_ID_OVERRIDE",$C177,"DEEP_BROKER_ID_OVERRIDE",$F$7,"DEEP_PERIOD_OVERRIDE",AJ$11)*1,"")))</f>
        <v/>
      </c>
      <c r="AK177" s="17" t="str">
        <f ca="1">IF(ISNA($B177),"",IF($B177="","",IFERROR(_xll.BDP(TICKER,"DEEP_MEASURE_PERIOD_BROKER_VALUE","DEEP_MEASURE_ID_OVERRIDE",$C177,"DEEP_BROKER_ID_OVERRIDE",$F$7,"DEEP_PERIOD_OVERRIDE",AK$11)*1,"")))</f>
        <v/>
      </c>
      <c r="AL177" s="17" t="str">
        <f ca="1">IF(ISNA($B177),"",IF($B177="","",IFERROR(_xll.BDP(TICKER,"DEEP_MEASURE_PERIOD_BROKER_VALUE","DEEP_MEASURE_ID_OVERRIDE",$C177,"DEEP_BROKER_ID_OVERRIDE",$F$7,"DEEP_PERIOD_OVERRIDE",AL$11)*1,"")))</f>
        <v/>
      </c>
      <c r="AM177" s="17" t="str">
        <f ca="1">IF(ISNA($B177),"",IF($B177="","",IFERROR(_xll.BDP(TICKER,"DEEP_MEASURE_PERIOD_BROKER_VALUE","DEEP_MEASURE_ID_OVERRIDE",$C177,"DEEP_BROKER_ID_OVERRIDE",$F$7,"DEEP_PERIOD_OVERRIDE",AM$11)*1,"")))</f>
        <v/>
      </c>
      <c r="AN177" s="17" t="str">
        <f ca="1">IF(ISNA($B177),"",IF($B177="","",IFERROR(_xll.BDP(TICKER,"DEEP_MEASURE_PERIOD_BROKER_VALUE","DEEP_MEASURE_ID_OVERRIDE",$C177,"DEEP_BROKER_ID_OVERRIDE",$F$7,"DEEP_PERIOD_OVERRIDE",AN$11)*1,"")))</f>
        <v/>
      </c>
      <c r="AO177" s="17" t="str">
        <f ca="1">IF(ISNA($B177),"",IF($B177="","",IFERROR(_xll.BDP(TICKER,"DEEP_MEASURE_PERIOD_BROKER_VALUE","DEEP_MEASURE_ID_OVERRIDE",$C177,"DEEP_BROKER_ID_OVERRIDE",$F$7,"DEEP_PERIOD_OVERRIDE",AO$11)*1,"")))</f>
        <v/>
      </c>
      <c r="AP177" s="17" t="str">
        <f ca="1">IF(ISNA($B177),"",IF($B177="","",IFERROR(_xll.BDP(TICKER,"DEEP_MEASURE_PERIOD_BROKER_VALUE","DEEP_MEASURE_ID_OVERRIDE",$C177,"DEEP_BROKER_ID_OVERRIDE",$F$7,"DEEP_PERIOD_OVERRIDE",AP$11)*1,"")))</f>
        <v/>
      </c>
      <c r="AQ177" s="17" t="str">
        <f ca="1">IF(ISNA($B177),"",IF($B177="","",IFERROR(_xll.BDP(TICKER,"DEEP_MEASURE_PERIOD_BROKER_VALUE","DEEP_MEASURE_ID_OVERRIDE",$C177,"DEEP_BROKER_ID_OVERRIDE",$F$7,"DEEP_PERIOD_OVERRIDE",AQ$11)*1,"")))</f>
        <v/>
      </c>
    </row>
    <row r="178" spans="2:43" x14ac:dyDescent="0.25">
      <c r="B178" t="s">
        <v>55</v>
      </c>
      <c r="C178">
        <v>7422</v>
      </c>
      <c r="H178" t="str">
        <f t="shared" si="4"/>
        <v>Liabilities &amp; Shareholders' Equity &gt; Total Liabilities</v>
      </c>
      <c r="I178" s="17" t="str">
        <f ca="1">IF(ISNA($B178),"",IF($B178="","",IFERROR(_xll.BDP(TICKER,"DEEP_MEASURE_PERIOD_BROKER_VALUE","DEEP_MEASURE_ID_OVERRIDE",$C178,"DEEP_BROKER_ID_OVERRIDE",$F$7,"DEEP_PERIOD_OVERRIDE",I$11)*1,"")))</f>
        <v/>
      </c>
      <c r="J178" s="17" t="str">
        <f ca="1">IF(ISNA($B178),"",IF($B178="","",IFERROR(_xll.BDP(TICKER,"DEEP_MEASURE_PERIOD_BROKER_VALUE","DEEP_MEASURE_ID_OVERRIDE",$C178,"DEEP_BROKER_ID_OVERRIDE",$F$7,"DEEP_PERIOD_OVERRIDE",J$11)*1,"")))</f>
        <v/>
      </c>
      <c r="K178" s="17" t="str">
        <f ca="1">IF(ISNA($B178),"",IF($B178="","",IFERROR(_xll.BDP(TICKER,"DEEP_MEASURE_PERIOD_BROKER_VALUE","DEEP_MEASURE_ID_OVERRIDE",$C178,"DEEP_BROKER_ID_OVERRIDE",$F$7,"DEEP_PERIOD_OVERRIDE",K$11)*1,"")))</f>
        <v/>
      </c>
      <c r="L178" s="17" t="str">
        <f ca="1">IF(ISNA($B178),"",IF($B178="","",IFERROR(_xll.BDP(TICKER,"DEEP_MEASURE_PERIOD_BROKER_VALUE","DEEP_MEASURE_ID_OVERRIDE",$C178,"DEEP_BROKER_ID_OVERRIDE",$F$7,"DEEP_PERIOD_OVERRIDE",L$11)*1,"")))</f>
        <v/>
      </c>
      <c r="M178" s="17" t="str">
        <f ca="1">IF(ISNA($B178),"",IF($B178="","",IFERROR(_xll.BDP(TICKER,"DEEP_MEASURE_PERIOD_BROKER_VALUE","DEEP_MEASURE_ID_OVERRIDE",$C178,"DEEP_BROKER_ID_OVERRIDE",$F$7,"DEEP_PERIOD_OVERRIDE",M$11)*1,"")))</f>
        <v/>
      </c>
      <c r="N178" s="17" t="str">
        <f ca="1">IF(ISNA($B178),"",IF($B178="","",IFERROR(_xll.BDP(TICKER,"DEEP_MEASURE_PERIOD_BROKER_VALUE","DEEP_MEASURE_ID_OVERRIDE",$C178,"DEEP_BROKER_ID_OVERRIDE",$F$7,"DEEP_PERIOD_OVERRIDE",N$11)*1,"")))</f>
        <v/>
      </c>
      <c r="O178" s="17" t="str">
        <f ca="1">IF(ISNA($B178),"",IF($B178="","",IFERROR(_xll.BDP(TICKER,"DEEP_MEASURE_PERIOD_BROKER_VALUE","DEEP_MEASURE_ID_OVERRIDE",$C178,"DEEP_BROKER_ID_OVERRIDE",$F$7,"DEEP_PERIOD_OVERRIDE",O$11)*1,"")))</f>
        <v/>
      </c>
      <c r="P178" s="17" t="str">
        <f ca="1">IF(ISNA($B178),"",IF($B178="","",IFERROR(_xll.BDP(TICKER,"DEEP_MEASURE_PERIOD_BROKER_VALUE","DEEP_MEASURE_ID_OVERRIDE",$C178,"DEEP_BROKER_ID_OVERRIDE",$F$7,"DEEP_PERIOD_OVERRIDE",P$11)*1,"")))</f>
        <v/>
      </c>
      <c r="Q178" s="17" t="str">
        <f ca="1">IF(ISNA($B178),"",IF($B178="","",IFERROR(_xll.BDP(TICKER,"DEEP_MEASURE_PERIOD_BROKER_VALUE","DEEP_MEASURE_ID_OVERRIDE",$C178,"DEEP_BROKER_ID_OVERRIDE",$F$7,"DEEP_PERIOD_OVERRIDE",Q$11)*1,"")))</f>
        <v/>
      </c>
      <c r="R178" s="17" t="str">
        <f ca="1">IF(ISNA($B178),"",IF($B178="","",IFERROR(_xll.BDP(TICKER,"DEEP_MEASURE_PERIOD_BROKER_VALUE","DEEP_MEASURE_ID_OVERRIDE",$C178,"DEEP_BROKER_ID_OVERRIDE",$F$7,"DEEP_PERIOD_OVERRIDE",R$11)*1,"")))</f>
        <v/>
      </c>
      <c r="S178" s="17" t="str">
        <f ca="1">IF(ISNA($B178),"",IF($B178="","",IFERROR(_xll.BDP(TICKER,"DEEP_MEASURE_PERIOD_BROKER_VALUE","DEEP_MEASURE_ID_OVERRIDE",$C178,"DEEP_BROKER_ID_OVERRIDE",$F$7,"DEEP_PERIOD_OVERRIDE",S$11)*1,"")))</f>
        <v/>
      </c>
      <c r="T178" s="17" t="str">
        <f ca="1">IF(ISNA($B178),"",IF($B178="","",IFERROR(_xll.BDP(TICKER,"DEEP_MEASURE_PERIOD_BROKER_VALUE","DEEP_MEASURE_ID_OVERRIDE",$C178,"DEEP_BROKER_ID_OVERRIDE",$F$7,"DEEP_PERIOD_OVERRIDE",T$11)*1,"")))</f>
        <v/>
      </c>
      <c r="U178" s="17" t="str">
        <f ca="1">IF(ISNA($B178),"",IF($B178="","",IFERROR(_xll.BDP(TICKER,"DEEP_MEASURE_PERIOD_BROKER_VALUE","DEEP_MEASURE_ID_OVERRIDE",$C178,"DEEP_BROKER_ID_OVERRIDE",$F$7,"DEEP_PERIOD_OVERRIDE",U$11)*1,"")))</f>
        <v/>
      </c>
      <c r="V178" s="17" t="str">
        <f ca="1">IF(ISNA($B178),"",IF($B178="","",IFERROR(_xll.BDP(TICKER,"DEEP_MEASURE_PERIOD_BROKER_VALUE","DEEP_MEASURE_ID_OVERRIDE",$C178,"DEEP_BROKER_ID_OVERRIDE",$F$7,"DEEP_PERIOD_OVERRIDE",V$11)*1,"")))</f>
        <v/>
      </c>
      <c r="W178" s="17" t="str">
        <f ca="1">IF(ISNA($B178),"",IF($B178="","",IFERROR(_xll.BDP(TICKER,"DEEP_MEASURE_PERIOD_BROKER_VALUE","DEEP_MEASURE_ID_OVERRIDE",$C178,"DEEP_BROKER_ID_OVERRIDE",$F$7,"DEEP_PERIOD_OVERRIDE",W$11)*1,"")))</f>
        <v/>
      </c>
      <c r="X178" s="17" t="str">
        <f ca="1">IF(ISNA($B178),"",IF($B178="","",IFERROR(_xll.BDP(TICKER,"DEEP_MEASURE_PERIOD_BROKER_VALUE","DEEP_MEASURE_ID_OVERRIDE",$C178,"DEEP_BROKER_ID_OVERRIDE",$F$7,"DEEP_PERIOD_OVERRIDE",X$11)*1,"")))</f>
        <v/>
      </c>
      <c r="Y178" s="17" t="str">
        <f ca="1">IF(ISNA($B178),"",IF($B178="","",IFERROR(_xll.BDP(TICKER,"DEEP_MEASURE_PERIOD_BROKER_VALUE","DEEP_MEASURE_ID_OVERRIDE",$C178,"DEEP_BROKER_ID_OVERRIDE",$F$7,"DEEP_PERIOD_OVERRIDE",Y$11)*1,"")))</f>
        <v/>
      </c>
      <c r="Z178" s="17" t="str">
        <f ca="1">IF(ISNA($B178),"",IF($B178="","",IFERROR(_xll.BDP(TICKER,"DEEP_MEASURE_PERIOD_BROKER_VALUE","DEEP_MEASURE_ID_OVERRIDE",$C178,"DEEP_BROKER_ID_OVERRIDE",$F$7,"DEEP_PERIOD_OVERRIDE",Z$11)*1,"")))</f>
        <v/>
      </c>
      <c r="AA178" s="17" t="str">
        <f ca="1">IF(ISNA($B178),"",IF($B178="","",IFERROR(_xll.BDP(TICKER,"DEEP_MEASURE_PERIOD_BROKER_VALUE","DEEP_MEASURE_ID_OVERRIDE",$C178,"DEEP_BROKER_ID_OVERRIDE",$F$7,"DEEP_PERIOD_OVERRIDE",AA$11)*1,"")))</f>
        <v/>
      </c>
      <c r="AB178" s="17" t="str">
        <f ca="1">IF(ISNA($B178),"",IF($B178="","",IFERROR(_xll.BDP(TICKER,"DEEP_MEASURE_PERIOD_BROKER_VALUE","DEEP_MEASURE_ID_OVERRIDE",$C178,"DEEP_BROKER_ID_OVERRIDE",$F$7,"DEEP_PERIOD_OVERRIDE",AB$11)*1,"")))</f>
        <v/>
      </c>
      <c r="AC178" s="17" t="str">
        <f ca="1">IF(ISNA($B178),"",IF($B178="","",IFERROR(_xll.BDP(TICKER,"DEEP_MEASURE_PERIOD_BROKER_VALUE","DEEP_MEASURE_ID_OVERRIDE",$C178,"DEEP_BROKER_ID_OVERRIDE",$F$7,"DEEP_PERIOD_OVERRIDE",AC$11)*1,"")))</f>
        <v/>
      </c>
      <c r="AD178" s="17" t="str">
        <f ca="1">IF(ISNA($B178),"",IF($B178="","",IFERROR(_xll.BDP(TICKER,"DEEP_MEASURE_PERIOD_BROKER_VALUE","DEEP_MEASURE_ID_OVERRIDE",$C178,"DEEP_BROKER_ID_OVERRIDE",$F$7,"DEEP_PERIOD_OVERRIDE",AD$11)*1,"")))</f>
        <v/>
      </c>
      <c r="AE178" s="17" t="str">
        <f ca="1">IF(ISNA($B178),"",IF($B178="","",IFERROR(_xll.BDP(TICKER,"DEEP_MEASURE_PERIOD_BROKER_VALUE","DEEP_MEASURE_ID_OVERRIDE",$C178,"DEEP_BROKER_ID_OVERRIDE",$F$7,"DEEP_PERIOD_OVERRIDE",AE$11)*1,"")))</f>
        <v/>
      </c>
      <c r="AF178" s="17" t="str">
        <f ca="1">IF(ISNA($B178),"",IF($B178="","",IFERROR(_xll.BDP(TICKER,"DEEP_MEASURE_PERIOD_BROKER_VALUE","DEEP_MEASURE_ID_OVERRIDE",$C178,"DEEP_BROKER_ID_OVERRIDE",$F$7,"DEEP_PERIOD_OVERRIDE",AF$11)*1,"")))</f>
        <v/>
      </c>
      <c r="AG178" s="17" t="str">
        <f ca="1">IF(ISNA($B178),"",IF($B178="","",IFERROR(_xll.BDP(TICKER,"DEEP_MEASURE_PERIOD_BROKER_VALUE","DEEP_MEASURE_ID_OVERRIDE",$C178,"DEEP_BROKER_ID_OVERRIDE",$F$7,"DEEP_PERIOD_OVERRIDE",AG$11)*1,"")))</f>
        <v/>
      </c>
      <c r="AH178" s="17" t="str">
        <f ca="1">IF(ISNA($B178),"",IF($B178="","",IFERROR(_xll.BDP(TICKER,"DEEP_MEASURE_PERIOD_BROKER_VALUE","DEEP_MEASURE_ID_OVERRIDE",$C178,"DEEP_BROKER_ID_OVERRIDE",$F$7,"DEEP_PERIOD_OVERRIDE",AH$11)*1,"")))</f>
        <v/>
      </c>
      <c r="AI178" s="17" t="str">
        <f ca="1">IF(ISNA($B178),"",IF($B178="","",IFERROR(_xll.BDP(TICKER,"DEEP_MEASURE_PERIOD_BROKER_VALUE","DEEP_MEASURE_ID_OVERRIDE",$C178,"DEEP_BROKER_ID_OVERRIDE",$F$7,"DEEP_PERIOD_OVERRIDE",AI$11)*1,"")))</f>
        <v/>
      </c>
      <c r="AJ178" s="17" t="str">
        <f ca="1">IF(ISNA($B178),"",IF($B178="","",IFERROR(_xll.BDP(TICKER,"DEEP_MEASURE_PERIOD_BROKER_VALUE","DEEP_MEASURE_ID_OVERRIDE",$C178,"DEEP_BROKER_ID_OVERRIDE",$F$7,"DEEP_PERIOD_OVERRIDE",AJ$11)*1,"")))</f>
        <v/>
      </c>
      <c r="AK178" s="17" t="str">
        <f ca="1">IF(ISNA($B178),"",IF($B178="","",IFERROR(_xll.BDP(TICKER,"DEEP_MEASURE_PERIOD_BROKER_VALUE","DEEP_MEASURE_ID_OVERRIDE",$C178,"DEEP_BROKER_ID_OVERRIDE",$F$7,"DEEP_PERIOD_OVERRIDE",AK$11)*1,"")))</f>
        <v/>
      </c>
      <c r="AL178" s="17" t="str">
        <f ca="1">IF(ISNA($B178),"",IF($B178="","",IFERROR(_xll.BDP(TICKER,"DEEP_MEASURE_PERIOD_BROKER_VALUE","DEEP_MEASURE_ID_OVERRIDE",$C178,"DEEP_BROKER_ID_OVERRIDE",$F$7,"DEEP_PERIOD_OVERRIDE",AL$11)*1,"")))</f>
        <v/>
      </c>
      <c r="AM178" s="17" t="str">
        <f ca="1">IF(ISNA($B178),"",IF($B178="","",IFERROR(_xll.BDP(TICKER,"DEEP_MEASURE_PERIOD_BROKER_VALUE","DEEP_MEASURE_ID_OVERRIDE",$C178,"DEEP_BROKER_ID_OVERRIDE",$F$7,"DEEP_PERIOD_OVERRIDE",AM$11)*1,"")))</f>
        <v/>
      </c>
      <c r="AN178" s="17" t="str">
        <f ca="1">IF(ISNA($B178),"",IF($B178="","",IFERROR(_xll.BDP(TICKER,"DEEP_MEASURE_PERIOD_BROKER_VALUE","DEEP_MEASURE_ID_OVERRIDE",$C178,"DEEP_BROKER_ID_OVERRIDE",$F$7,"DEEP_PERIOD_OVERRIDE",AN$11)*1,"")))</f>
        <v/>
      </c>
      <c r="AO178" s="17" t="str">
        <f ca="1">IF(ISNA($B178),"",IF($B178="","",IFERROR(_xll.BDP(TICKER,"DEEP_MEASURE_PERIOD_BROKER_VALUE","DEEP_MEASURE_ID_OVERRIDE",$C178,"DEEP_BROKER_ID_OVERRIDE",$F$7,"DEEP_PERIOD_OVERRIDE",AO$11)*1,"")))</f>
        <v/>
      </c>
      <c r="AP178" s="17" t="str">
        <f ca="1">IF(ISNA($B178),"",IF($B178="","",IFERROR(_xll.BDP(TICKER,"DEEP_MEASURE_PERIOD_BROKER_VALUE","DEEP_MEASURE_ID_OVERRIDE",$C178,"DEEP_BROKER_ID_OVERRIDE",$F$7,"DEEP_PERIOD_OVERRIDE",AP$11)*1,"")))</f>
        <v/>
      </c>
      <c r="AQ178" s="17" t="str">
        <f ca="1">IF(ISNA($B178),"",IF($B178="","",IFERROR(_xll.BDP(TICKER,"DEEP_MEASURE_PERIOD_BROKER_VALUE","DEEP_MEASURE_ID_OVERRIDE",$C178,"DEEP_BROKER_ID_OVERRIDE",$F$7,"DEEP_PERIOD_OVERRIDE",AQ$11)*1,"")))</f>
        <v/>
      </c>
    </row>
    <row r="179" spans="2:43" x14ac:dyDescent="0.25">
      <c r="B179" t="s">
        <v>56</v>
      </c>
      <c r="C179">
        <v>956</v>
      </c>
      <c r="H179" t="str">
        <f t="shared" si="4"/>
        <v>Liabilities &amp; Shareholders' Equity &gt; Shareholder's Equity &gt; Additional Paid-in Capital</v>
      </c>
      <c r="I179" s="17" t="str">
        <f ca="1">IF(ISNA($B179),"",IF($B179="","",IFERROR(_xll.BDP(TICKER,"DEEP_MEASURE_PERIOD_BROKER_VALUE","DEEP_MEASURE_ID_OVERRIDE",$C179,"DEEP_BROKER_ID_OVERRIDE",$F$7,"DEEP_PERIOD_OVERRIDE",I$11)*1,"")))</f>
        <v/>
      </c>
      <c r="J179" s="17" t="str">
        <f ca="1">IF(ISNA($B179),"",IF($B179="","",IFERROR(_xll.BDP(TICKER,"DEEP_MEASURE_PERIOD_BROKER_VALUE","DEEP_MEASURE_ID_OVERRIDE",$C179,"DEEP_BROKER_ID_OVERRIDE",$F$7,"DEEP_PERIOD_OVERRIDE",J$11)*1,"")))</f>
        <v/>
      </c>
      <c r="K179" s="17" t="str">
        <f ca="1">IF(ISNA($B179),"",IF($B179="","",IFERROR(_xll.BDP(TICKER,"DEEP_MEASURE_PERIOD_BROKER_VALUE","DEEP_MEASURE_ID_OVERRIDE",$C179,"DEEP_BROKER_ID_OVERRIDE",$F$7,"DEEP_PERIOD_OVERRIDE",K$11)*1,"")))</f>
        <v/>
      </c>
      <c r="L179" s="17" t="str">
        <f ca="1">IF(ISNA($B179),"",IF($B179="","",IFERROR(_xll.BDP(TICKER,"DEEP_MEASURE_PERIOD_BROKER_VALUE","DEEP_MEASURE_ID_OVERRIDE",$C179,"DEEP_BROKER_ID_OVERRIDE",$F$7,"DEEP_PERIOD_OVERRIDE",L$11)*1,"")))</f>
        <v/>
      </c>
      <c r="M179" s="17" t="str">
        <f ca="1">IF(ISNA($B179),"",IF($B179="","",IFERROR(_xll.BDP(TICKER,"DEEP_MEASURE_PERIOD_BROKER_VALUE","DEEP_MEASURE_ID_OVERRIDE",$C179,"DEEP_BROKER_ID_OVERRIDE",$F$7,"DEEP_PERIOD_OVERRIDE",M$11)*1,"")))</f>
        <v/>
      </c>
      <c r="N179" s="17" t="str">
        <f ca="1">IF(ISNA($B179),"",IF($B179="","",IFERROR(_xll.BDP(TICKER,"DEEP_MEASURE_PERIOD_BROKER_VALUE","DEEP_MEASURE_ID_OVERRIDE",$C179,"DEEP_BROKER_ID_OVERRIDE",$F$7,"DEEP_PERIOD_OVERRIDE",N$11)*1,"")))</f>
        <v/>
      </c>
      <c r="O179" s="17" t="str">
        <f ca="1">IF(ISNA($B179),"",IF($B179="","",IFERROR(_xll.BDP(TICKER,"DEEP_MEASURE_PERIOD_BROKER_VALUE","DEEP_MEASURE_ID_OVERRIDE",$C179,"DEEP_BROKER_ID_OVERRIDE",$F$7,"DEEP_PERIOD_OVERRIDE",O$11)*1,"")))</f>
        <v/>
      </c>
      <c r="P179" s="17" t="str">
        <f ca="1">IF(ISNA($B179),"",IF($B179="","",IFERROR(_xll.BDP(TICKER,"DEEP_MEASURE_PERIOD_BROKER_VALUE","DEEP_MEASURE_ID_OVERRIDE",$C179,"DEEP_BROKER_ID_OVERRIDE",$F$7,"DEEP_PERIOD_OVERRIDE",P$11)*1,"")))</f>
        <v/>
      </c>
      <c r="Q179" s="17" t="str">
        <f ca="1">IF(ISNA($B179),"",IF($B179="","",IFERROR(_xll.BDP(TICKER,"DEEP_MEASURE_PERIOD_BROKER_VALUE","DEEP_MEASURE_ID_OVERRIDE",$C179,"DEEP_BROKER_ID_OVERRIDE",$F$7,"DEEP_PERIOD_OVERRIDE",Q$11)*1,"")))</f>
        <v/>
      </c>
      <c r="R179" s="17" t="str">
        <f ca="1">IF(ISNA($B179),"",IF($B179="","",IFERROR(_xll.BDP(TICKER,"DEEP_MEASURE_PERIOD_BROKER_VALUE","DEEP_MEASURE_ID_OVERRIDE",$C179,"DEEP_BROKER_ID_OVERRIDE",$F$7,"DEEP_PERIOD_OVERRIDE",R$11)*1,"")))</f>
        <v/>
      </c>
      <c r="S179" s="17" t="str">
        <f ca="1">IF(ISNA($B179),"",IF($B179="","",IFERROR(_xll.BDP(TICKER,"DEEP_MEASURE_PERIOD_BROKER_VALUE","DEEP_MEASURE_ID_OVERRIDE",$C179,"DEEP_BROKER_ID_OVERRIDE",$F$7,"DEEP_PERIOD_OVERRIDE",S$11)*1,"")))</f>
        <v/>
      </c>
      <c r="T179" s="17" t="str">
        <f ca="1">IF(ISNA($B179),"",IF($B179="","",IFERROR(_xll.BDP(TICKER,"DEEP_MEASURE_PERIOD_BROKER_VALUE","DEEP_MEASURE_ID_OVERRIDE",$C179,"DEEP_BROKER_ID_OVERRIDE",$F$7,"DEEP_PERIOD_OVERRIDE",T$11)*1,"")))</f>
        <v/>
      </c>
      <c r="U179" s="17" t="str">
        <f ca="1">IF(ISNA($B179),"",IF($B179="","",IFERROR(_xll.BDP(TICKER,"DEEP_MEASURE_PERIOD_BROKER_VALUE","DEEP_MEASURE_ID_OVERRIDE",$C179,"DEEP_BROKER_ID_OVERRIDE",$F$7,"DEEP_PERIOD_OVERRIDE",U$11)*1,"")))</f>
        <v/>
      </c>
      <c r="V179" s="17" t="str">
        <f ca="1">IF(ISNA($B179),"",IF($B179="","",IFERROR(_xll.BDP(TICKER,"DEEP_MEASURE_PERIOD_BROKER_VALUE","DEEP_MEASURE_ID_OVERRIDE",$C179,"DEEP_BROKER_ID_OVERRIDE",$F$7,"DEEP_PERIOD_OVERRIDE",V$11)*1,"")))</f>
        <v/>
      </c>
      <c r="W179" s="17" t="str">
        <f ca="1">IF(ISNA($B179),"",IF($B179="","",IFERROR(_xll.BDP(TICKER,"DEEP_MEASURE_PERIOD_BROKER_VALUE","DEEP_MEASURE_ID_OVERRIDE",$C179,"DEEP_BROKER_ID_OVERRIDE",$F$7,"DEEP_PERIOD_OVERRIDE",W$11)*1,"")))</f>
        <v/>
      </c>
      <c r="X179" s="17" t="str">
        <f ca="1">IF(ISNA($B179),"",IF($B179="","",IFERROR(_xll.BDP(TICKER,"DEEP_MEASURE_PERIOD_BROKER_VALUE","DEEP_MEASURE_ID_OVERRIDE",$C179,"DEEP_BROKER_ID_OVERRIDE",$F$7,"DEEP_PERIOD_OVERRIDE",X$11)*1,"")))</f>
        <v/>
      </c>
      <c r="Y179" s="17" t="str">
        <f ca="1">IF(ISNA($B179),"",IF($B179="","",IFERROR(_xll.BDP(TICKER,"DEEP_MEASURE_PERIOD_BROKER_VALUE","DEEP_MEASURE_ID_OVERRIDE",$C179,"DEEP_BROKER_ID_OVERRIDE",$F$7,"DEEP_PERIOD_OVERRIDE",Y$11)*1,"")))</f>
        <v/>
      </c>
      <c r="Z179" s="17" t="str">
        <f ca="1">IF(ISNA($B179),"",IF($B179="","",IFERROR(_xll.BDP(TICKER,"DEEP_MEASURE_PERIOD_BROKER_VALUE","DEEP_MEASURE_ID_OVERRIDE",$C179,"DEEP_BROKER_ID_OVERRIDE",$F$7,"DEEP_PERIOD_OVERRIDE",Z$11)*1,"")))</f>
        <v/>
      </c>
      <c r="AA179" s="17" t="str">
        <f ca="1">IF(ISNA($B179),"",IF($B179="","",IFERROR(_xll.BDP(TICKER,"DEEP_MEASURE_PERIOD_BROKER_VALUE","DEEP_MEASURE_ID_OVERRIDE",$C179,"DEEP_BROKER_ID_OVERRIDE",$F$7,"DEEP_PERIOD_OVERRIDE",AA$11)*1,"")))</f>
        <v/>
      </c>
      <c r="AB179" s="17" t="str">
        <f ca="1">IF(ISNA($B179),"",IF($B179="","",IFERROR(_xll.BDP(TICKER,"DEEP_MEASURE_PERIOD_BROKER_VALUE","DEEP_MEASURE_ID_OVERRIDE",$C179,"DEEP_BROKER_ID_OVERRIDE",$F$7,"DEEP_PERIOD_OVERRIDE",AB$11)*1,"")))</f>
        <v/>
      </c>
      <c r="AC179" s="17" t="str">
        <f ca="1">IF(ISNA($B179),"",IF($B179="","",IFERROR(_xll.BDP(TICKER,"DEEP_MEASURE_PERIOD_BROKER_VALUE","DEEP_MEASURE_ID_OVERRIDE",$C179,"DEEP_BROKER_ID_OVERRIDE",$F$7,"DEEP_PERIOD_OVERRIDE",AC$11)*1,"")))</f>
        <v/>
      </c>
      <c r="AD179" s="17" t="str">
        <f ca="1">IF(ISNA($B179),"",IF($B179="","",IFERROR(_xll.BDP(TICKER,"DEEP_MEASURE_PERIOD_BROKER_VALUE","DEEP_MEASURE_ID_OVERRIDE",$C179,"DEEP_BROKER_ID_OVERRIDE",$F$7,"DEEP_PERIOD_OVERRIDE",AD$11)*1,"")))</f>
        <v/>
      </c>
      <c r="AE179" s="17" t="str">
        <f ca="1">IF(ISNA($B179),"",IF($B179="","",IFERROR(_xll.BDP(TICKER,"DEEP_MEASURE_PERIOD_BROKER_VALUE","DEEP_MEASURE_ID_OVERRIDE",$C179,"DEEP_BROKER_ID_OVERRIDE",$F$7,"DEEP_PERIOD_OVERRIDE",AE$11)*1,"")))</f>
        <v/>
      </c>
      <c r="AF179" s="17" t="str">
        <f ca="1">IF(ISNA($B179),"",IF($B179="","",IFERROR(_xll.BDP(TICKER,"DEEP_MEASURE_PERIOD_BROKER_VALUE","DEEP_MEASURE_ID_OVERRIDE",$C179,"DEEP_BROKER_ID_OVERRIDE",$F$7,"DEEP_PERIOD_OVERRIDE",AF$11)*1,"")))</f>
        <v/>
      </c>
      <c r="AG179" s="17" t="str">
        <f ca="1">IF(ISNA($B179),"",IF($B179="","",IFERROR(_xll.BDP(TICKER,"DEEP_MEASURE_PERIOD_BROKER_VALUE","DEEP_MEASURE_ID_OVERRIDE",$C179,"DEEP_BROKER_ID_OVERRIDE",$F$7,"DEEP_PERIOD_OVERRIDE",AG$11)*1,"")))</f>
        <v/>
      </c>
      <c r="AH179" s="17" t="str">
        <f ca="1">IF(ISNA($B179),"",IF($B179="","",IFERROR(_xll.BDP(TICKER,"DEEP_MEASURE_PERIOD_BROKER_VALUE","DEEP_MEASURE_ID_OVERRIDE",$C179,"DEEP_BROKER_ID_OVERRIDE",$F$7,"DEEP_PERIOD_OVERRIDE",AH$11)*1,"")))</f>
        <v/>
      </c>
      <c r="AI179" s="17" t="str">
        <f ca="1">IF(ISNA($B179),"",IF($B179="","",IFERROR(_xll.BDP(TICKER,"DEEP_MEASURE_PERIOD_BROKER_VALUE","DEEP_MEASURE_ID_OVERRIDE",$C179,"DEEP_BROKER_ID_OVERRIDE",$F$7,"DEEP_PERIOD_OVERRIDE",AI$11)*1,"")))</f>
        <v/>
      </c>
      <c r="AJ179" s="17" t="str">
        <f ca="1">IF(ISNA($B179),"",IF($B179="","",IFERROR(_xll.BDP(TICKER,"DEEP_MEASURE_PERIOD_BROKER_VALUE","DEEP_MEASURE_ID_OVERRIDE",$C179,"DEEP_BROKER_ID_OVERRIDE",$F$7,"DEEP_PERIOD_OVERRIDE",AJ$11)*1,"")))</f>
        <v/>
      </c>
      <c r="AK179" s="17" t="str">
        <f ca="1">IF(ISNA($B179),"",IF($B179="","",IFERROR(_xll.BDP(TICKER,"DEEP_MEASURE_PERIOD_BROKER_VALUE","DEEP_MEASURE_ID_OVERRIDE",$C179,"DEEP_BROKER_ID_OVERRIDE",$F$7,"DEEP_PERIOD_OVERRIDE",AK$11)*1,"")))</f>
        <v/>
      </c>
      <c r="AL179" s="17" t="str">
        <f ca="1">IF(ISNA($B179),"",IF($B179="","",IFERROR(_xll.BDP(TICKER,"DEEP_MEASURE_PERIOD_BROKER_VALUE","DEEP_MEASURE_ID_OVERRIDE",$C179,"DEEP_BROKER_ID_OVERRIDE",$F$7,"DEEP_PERIOD_OVERRIDE",AL$11)*1,"")))</f>
        <v/>
      </c>
      <c r="AM179" s="17" t="str">
        <f ca="1">IF(ISNA($B179),"",IF($B179="","",IFERROR(_xll.BDP(TICKER,"DEEP_MEASURE_PERIOD_BROKER_VALUE","DEEP_MEASURE_ID_OVERRIDE",$C179,"DEEP_BROKER_ID_OVERRIDE",$F$7,"DEEP_PERIOD_OVERRIDE",AM$11)*1,"")))</f>
        <v/>
      </c>
      <c r="AN179" s="17" t="str">
        <f ca="1">IF(ISNA($B179),"",IF($B179="","",IFERROR(_xll.BDP(TICKER,"DEEP_MEASURE_PERIOD_BROKER_VALUE","DEEP_MEASURE_ID_OVERRIDE",$C179,"DEEP_BROKER_ID_OVERRIDE",$F$7,"DEEP_PERIOD_OVERRIDE",AN$11)*1,"")))</f>
        <v/>
      </c>
      <c r="AO179" s="17" t="str">
        <f ca="1">IF(ISNA($B179),"",IF($B179="","",IFERROR(_xll.BDP(TICKER,"DEEP_MEASURE_PERIOD_BROKER_VALUE","DEEP_MEASURE_ID_OVERRIDE",$C179,"DEEP_BROKER_ID_OVERRIDE",$F$7,"DEEP_PERIOD_OVERRIDE",AO$11)*1,"")))</f>
        <v/>
      </c>
      <c r="AP179" s="17" t="str">
        <f ca="1">IF(ISNA($B179),"",IF($B179="","",IFERROR(_xll.BDP(TICKER,"DEEP_MEASURE_PERIOD_BROKER_VALUE","DEEP_MEASURE_ID_OVERRIDE",$C179,"DEEP_BROKER_ID_OVERRIDE",$F$7,"DEEP_PERIOD_OVERRIDE",AP$11)*1,"")))</f>
        <v/>
      </c>
      <c r="AQ179" s="17" t="str">
        <f ca="1">IF(ISNA($B179),"",IF($B179="","",IFERROR(_xll.BDP(TICKER,"DEEP_MEASURE_PERIOD_BROKER_VALUE","DEEP_MEASURE_ID_OVERRIDE",$C179,"DEEP_BROKER_ID_OVERRIDE",$F$7,"DEEP_PERIOD_OVERRIDE",AQ$11)*1,"")))</f>
        <v/>
      </c>
    </row>
    <row r="180" spans="2:43" x14ac:dyDescent="0.25">
      <c r="B180" t="s">
        <v>57</v>
      </c>
      <c r="C180">
        <v>958</v>
      </c>
      <c r="H180" t="str">
        <f t="shared" si="4"/>
        <v>Liabilities &amp; Shareholders' Equity &gt; Shareholder's Equity &gt; Retained Earnings</v>
      </c>
      <c r="I180" s="17" t="str">
        <f ca="1">IF(ISNA($B180),"",IF($B180="","",IFERROR(_xll.BDP(TICKER,"DEEP_MEASURE_PERIOD_BROKER_VALUE","DEEP_MEASURE_ID_OVERRIDE",$C180,"DEEP_BROKER_ID_OVERRIDE",$F$7,"DEEP_PERIOD_OVERRIDE",I$11)*1,"")))</f>
        <v/>
      </c>
      <c r="J180" s="17" t="str">
        <f ca="1">IF(ISNA($B180),"",IF($B180="","",IFERROR(_xll.BDP(TICKER,"DEEP_MEASURE_PERIOD_BROKER_VALUE","DEEP_MEASURE_ID_OVERRIDE",$C180,"DEEP_BROKER_ID_OVERRIDE",$F$7,"DEEP_PERIOD_OVERRIDE",J$11)*1,"")))</f>
        <v/>
      </c>
      <c r="K180" s="17" t="str">
        <f ca="1">IF(ISNA($B180),"",IF($B180="","",IFERROR(_xll.BDP(TICKER,"DEEP_MEASURE_PERIOD_BROKER_VALUE","DEEP_MEASURE_ID_OVERRIDE",$C180,"DEEP_BROKER_ID_OVERRIDE",$F$7,"DEEP_PERIOD_OVERRIDE",K$11)*1,"")))</f>
        <v/>
      </c>
      <c r="L180" s="17" t="str">
        <f ca="1">IF(ISNA($B180),"",IF($B180="","",IFERROR(_xll.BDP(TICKER,"DEEP_MEASURE_PERIOD_BROKER_VALUE","DEEP_MEASURE_ID_OVERRIDE",$C180,"DEEP_BROKER_ID_OVERRIDE",$F$7,"DEEP_PERIOD_OVERRIDE",L$11)*1,"")))</f>
        <v/>
      </c>
      <c r="M180" s="17" t="str">
        <f ca="1">IF(ISNA($B180),"",IF($B180="","",IFERROR(_xll.BDP(TICKER,"DEEP_MEASURE_PERIOD_BROKER_VALUE","DEEP_MEASURE_ID_OVERRIDE",$C180,"DEEP_BROKER_ID_OVERRIDE",$F$7,"DEEP_PERIOD_OVERRIDE",M$11)*1,"")))</f>
        <v/>
      </c>
      <c r="N180" s="17" t="str">
        <f ca="1">IF(ISNA($B180),"",IF($B180="","",IFERROR(_xll.BDP(TICKER,"DEEP_MEASURE_PERIOD_BROKER_VALUE","DEEP_MEASURE_ID_OVERRIDE",$C180,"DEEP_BROKER_ID_OVERRIDE",$F$7,"DEEP_PERIOD_OVERRIDE",N$11)*1,"")))</f>
        <v/>
      </c>
      <c r="O180" s="17" t="str">
        <f ca="1">IF(ISNA($B180),"",IF($B180="","",IFERROR(_xll.BDP(TICKER,"DEEP_MEASURE_PERIOD_BROKER_VALUE","DEEP_MEASURE_ID_OVERRIDE",$C180,"DEEP_BROKER_ID_OVERRIDE",$F$7,"DEEP_PERIOD_OVERRIDE",O$11)*1,"")))</f>
        <v/>
      </c>
      <c r="P180" s="17" t="str">
        <f ca="1">IF(ISNA($B180),"",IF($B180="","",IFERROR(_xll.BDP(TICKER,"DEEP_MEASURE_PERIOD_BROKER_VALUE","DEEP_MEASURE_ID_OVERRIDE",$C180,"DEEP_BROKER_ID_OVERRIDE",$F$7,"DEEP_PERIOD_OVERRIDE",P$11)*1,"")))</f>
        <v/>
      </c>
      <c r="Q180" s="17" t="str">
        <f ca="1">IF(ISNA($B180),"",IF($B180="","",IFERROR(_xll.BDP(TICKER,"DEEP_MEASURE_PERIOD_BROKER_VALUE","DEEP_MEASURE_ID_OVERRIDE",$C180,"DEEP_BROKER_ID_OVERRIDE",$F$7,"DEEP_PERIOD_OVERRIDE",Q$11)*1,"")))</f>
        <v/>
      </c>
      <c r="R180" s="17" t="str">
        <f ca="1">IF(ISNA($B180),"",IF($B180="","",IFERROR(_xll.BDP(TICKER,"DEEP_MEASURE_PERIOD_BROKER_VALUE","DEEP_MEASURE_ID_OVERRIDE",$C180,"DEEP_BROKER_ID_OVERRIDE",$F$7,"DEEP_PERIOD_OVERRIDE",R$11)*1,"")))</f>
        <v/>
      </c>
      <c r="S180" s="17" t="str">
        <f ca="1">IF(ISNA($B180),"",IF($B180="","",IFERROR(_xll.BDP(TICKER,"DEEP_MEASURE_PERIOD_BROKER_VALUE","DEEP_MEASURE_ID_OVERRIDE",$C180,"DEEP_BROKER_ID_OVERRIDE",$F$7,"DEEP_PERIOD_OVERRIDE",S$11)*1,"")))</f>
        <v/>
      </c>
      <c r="T180" s="17" t="str">
        <f ca="1">IF(ISNA($B180),"",IF($B180="","",IFERROR(_xll.BDP(TICKER,"DEEP_MEASURE_PERIOD_BROKER_VALUE","DEEP_MEASURE_ID_OVERRIDE",$C180,"DEEP_BROKER_ID_OVERRIDE",$F$7,"DEEP_PERIOD_OVERRIDE",T$11)*1,"")))</f>
        <v/>
      </c>
      <c r="U180" s="17" t="str">
        <f ca="1">IF(ISNA($B180),"",IF($B180="","",IFERROR(_xll.BDP(TICKER,"DEEP_MEASURE_PERIOD_BROKER_VALUE","DEEP_MEASURE_ID_OVERRIDE",$C180,"DEEP_BROKER_ID_OVERRIDE",$F$7,"DEEP_PERIOD_OVERRIDE",U$11)*1,"")))</f>
        <v/>
      </c>
      <c r="V180" s="17" t="str">
        <f ca="1">IF(ISNA($B180),"",IF($B180="","",IFERROR(_xll.BDP(TICKER,"DEEP_MEASURE_PERIOD_BROKER_VALUE","DEEP_MEASURE_ID_OVERRIDE",$C180,"DEEP_BROKER_ID_OVERRIDE",$F$7,"DEEP_PERIOD_OVERRIDE",V$11)*1,"")))</f>
        <v/>
      </c>
      <c r="W180" s="17" t="str">
        <f ca="1">IF(ISNA($B180),"",IF($B180="","",IFERROR(_xll.BDP(TICKER,"DEEP_MEASURE_PERIOD_BROKER_VALUE","DEEP_MEASURE_ID_OVERRIDE",$C180,"DEEP_BROKER_ID_OVERRIDE",$F$7,"DEEP_PERIOD_OVERRIDE",W$11)*1,"")))</f>
        <v/>
      </c>
      <c r="X180" s="17" t="str">
        <f ca="1">IF(ISNA($B180),"",IF($B180="","",IFERROR(_xll.BDP(TICKER,"DEEP_MEASURE_PERIOD_BROKER_VALUE","DEEP_MEASURE_ID_OVERRIDE",$C180,"DEEP_BROKER_ID_OVERRIDE",$F$7,"DEEP_PERIOD_OVERRIDE",X$11)*1,"")))</f>
        <v/>
      </c>
      <c r="Y180" s="17" t="str">
        <f ca="1">IF(ISNA($B180),"",IF($B180="","",IFERROR(_xll.BDP(TICKER,"DEEP_MEASURE_PERIOD_BROKER_VALUE","DEEP_MEASURE_ID_OVERRIDE",$C180,"DEEP_BROKER_ID_OVERRIDE",$F$7,"DEEP_PERIOD_OVERRIDE",Y$11)*1,"")))</f>
        <v/>
      </c>
      <c r="Z180" s="17" t="str">
        <f ca="1">IF(ISNA($B180),"",IF($B180="","",IFERROR(_xll.BDP(TICKER,"DEEP_MEASURE_PERIOD_BROKER_VALUE","DEEP_MEASURE_ID_OVERRIDE",$C180,"DEEP_BROKER_ID_OVERRIDE",$F$7,"DEEP_PERIOD_OVERRIDE",Z$11)*1,"")))</f>
        <v/>
      </c>
      <c r="AA180" s="17" t="str">
        <f ca="1">IF(ISNA($B180),"",IF($B180="","",IFERROR(_xll.BDP(TICKER,"DEEP_MEASURE_PERIOD_BROKER_VALUE","DEEP_MEASURE_ID_OVERRIDE",$C180,"DEEP_BROKER_ID_OVERRIDE",$F$7,"DEEP_PERIOD_OVERRIDE",AA$11)*1,"")))</f>
        <v/>
      </c>
      <c r="AB180" s="17" t="str">
        <f ca="1">IF(ISNA($B180),"",IF($B180="","",IFERROR(_xll.BDP(TICKER,"DEEP_MEASURE_PERIOD_BROKER_VALUE","DEEP_MEASURE_ID_OVERRIDE",$C180,"DEEP_BROKER_ID_OVERRIDE",$F$7,"DEEP_PERIOD_OVERRIDE",AB$11)*1,"")))</f>
        <v/>
      </c>
      <c r="AC180" s="17" t="str">
        <f ca="1">IF(ISNA($B180),"",IF($B180="","",IFERROR(_xll.BDP(TICKER,"DEEP_MEASURE_PERIOD_BROKER_VALUE","DEEP_MEASURE_ID_OVERRIDE",$C180,"DEEP_BROKER_ID_OVERRIDE",$F$7,"DEEP_PERIOD_OVERRIDE",AC$11)*1,"")))</f>
        <v/>
      </c>
      <c r="AD180" s="17" t="str">
        <f ca="1">IF(ISNA($B180),"",IF($B180="","",IFERROR(_xll.BDP(TICKER,"DEEP_MEASURE_PERIOD_BROKER_VALUE","DEEP_MEASURE_ID_OVERRIDE",$C180,"DEEP_BROKER_ID_OVERRIDE",$F$7,"DEEP_PERIOD_OVERRIDE",AD$11)*1,"")))</f>
        <v/>
      </c>
      <c r="AE180" s="17" t="str">
        <f ca="1">IF(ISNA($B180),"",IF($B180="","",IFERROR(_xll.BDP(TICKER,"DEEP_MEASURE_PERIOD_BROKER_VALUE","DEEP_MEASURE_ID_OVERRIDE",$C180,"DEEP_BROKER_ID_OVERRIDE",$F$7,"DEEP_PERIOD_OVERRIDE",AE$11)*1,"")))</f>
        <v/>
      </c>
      <c r="AF180" s="17" t="str">
        <f ca="1">IF(ISNA($B180),"",IF($B180="","",IFERROR(_xll.BDP(TICKER,"DEEP_MEASURE_PERIOD_BROKER_VALUE","DEEP_MEASURE_ID_OVERRIDE",$C180,"DEEP_BROKER_ID_OVERRIDE",$F$7,"DEEP_PERIOD_OVERRIDE",AF$11)*1,"")))</f>
        <v/>
      </c>
      <c r="AG180" s="17" t="str">
        <f ca="1">IF(ISNA($B180),"",IF($B180="","",IFERROR(_xll.BDP(TICKER,"DEEP_MEASURE_PERIOD_BROKER_VALUE","DEEP_MEASURE_ID_OVERRIDE",$C180,"DEEP_BROKER_ID_OVERRIDE",$F$7,"DEEP_PERIOD_OVERRIDE",AG$11)*1,"")))</f>
        <v/>
      </c>
      <c r="AH180" s="17" t="str">
        <f ca="1">IF(ISNA($B180),"",IF($B180="","",IFERROR(_xll.BDP(TICKER,"DEEP_MEASURE_PERIOD_BROKER_VALUE","DEEP_MEASURE_ID_OVERRIDE",$C180,"DEEP_BROKER_ID_OVERRIDE",$F$7,"DEEP_PERIOD_OVERRIDE",AH$11)*1,"")))</f>
        <v/>
      </c>
      <c r="AI180" s="17" t="str">
        <f ca="1">IF(ISNA($B180),"",IF($B180="","",IFERROR(_xll.BDP(TICKER,"DEEP_MEASURE_PERIOD_BROKER_VALUE","DEEP_MEASURE_ID_OVERRIDE",$C180,"DEEP_BROKER_ID_OVERRIDE",$F$7,"DEEP_PERIOD_OVERRIDE",AI$11)*1,"")))</f>
        <v/>
      </c>
      <c r="AJ180" s="17" t="str">
        <f ca="1">IF(ISNA($B180),"",IF($B180="","",IFERROR(_xll.BDP(TICKER,"DEEP_MEASURE_PERIOD_BROKER_VALUE","DEEP_MEASURE_ID_OVERRIDE",$C180,"DEEP_BROKER_ID_OVERRIDE",$F$7,"DEEP_PERIOD_OVERRIDE",AJ$11)*1,"")))</f>
        <v/>
      </c>
      <c r="AK180" s="17" t="str">
        <f ca="1">IF(ISNA($B180),"",IF($B180="","",IFERROR(_xll.BDP(TICKER,"DEEP_MEASURE_PERIOD_BROKER_VALUE","DEEP_MEASURE_ID_OVERRIDE",$C180,"DEEP_BROKER_ID_OVERRIDE",$F$7,"DEEP_PERIOD_OVERRIDE",AK$11)*1,"")))</f>
        <v/>
      </c>
      <c r="AL180" s="17" t="str">
        <f ca="1">IF(ISNA($B180),"",IF($B180="","",IFERROR(_xll.BDP(TICKER,"DEEP_MEASURE_PERIOD_BROKER_VALUE","DEEP_MEASURE_ID_OVERRIDE",$C180,"DEEP_BROKER_ID_OVERRIDE",$F$7,"DEEP_PERIOD_OVERRIDE",AL$11)*1,"")))</f>
        <v/>
      </c>
      <c r="AM180" s="17" t="str">
        <f ca="1">IF(ISNA($B180),"",IF($B180="","",IFERROR(_xll.BDP(TICKER,"DEEP_MEASURE_PERIOD_BROKER_VALUE","DEEP_MEASURE_ID_OVERRIDE",$C180,"DEEP_BROKER_ID_OVERRIDE",$F$7,"DEEP_PERIOD_OVERRIDE",AM$11)*1,"")))</f>
        <v/>
      </c>
      <c r="AN180" s="17" t="str">
        <f ca="1">IF(ISNA($B180),"",IF($B180="","",IFERROR(_xll.BDP(TICKER,"DEEP_MEASURE_PERIOD_BROKER_VALUE","DEEP_MEASURE_ID_OVERRIDE",$C180,"DEEP_BROKER_ID_OVERRIDE",$F$7,"DEEP_PERIOD_OVERRIDE",AN$11)*1,"")))</f>
        <v/>
      </c>
      <c r="AO180" s="17" t="str">
        <f ca="1">IF(ISNA($B180),"",IF($B180="","",IFERROR(_xll.BDP(TICKER,"DEEP_MEASURE_PERIOD_BROKER_VALUE","DEEP_MEASURE_ID_OVERRIDE",$C180,"DEEP_BROKER_ID_OVERRIDE",$F$7,"DEEP_PERIOD_OVERRIDE",AO$11)*1,"")))</f>
        <v/>
      </c>
      <c r="AP180" s="17" t="str">
        <f ca="1">IF(ISNA($B180),"",IF($B180="","",IFERROR(_xll.BDP(TICKER,"DEEP_MEASURE_PERIOD_BROKER_VALUE","DEEP_MEASURE_ID_OVERRIDE",$C180,"DEEP_BROKER_ID_OVERRIDE",$F$7,"DEEP_PERIOD_OVERRIDE",AP$11)*1,"")))</f>
        <v/>
      </c>
      <c r="AQ180" s="17" t="str">
        <f ca="1">IF(ISNA($B180),"",IF($B180="","",IFERROR(_xll.BDP(TICKER,"DEEP_MEASURE_PERIOD_BROKER_VALUE","DEEP_MEASURE_ID_OVERRIDE",$C180,"DEEP_BROKER_ID_OVERRIDE",$F$7,"DEEP_PERIOD_OVERRIDE",AQ$11)*1,"")))</f>
        <v/>
      </c>
    </row>
    <row r="181" spans="2:43" x14ac:dyDescent="0.25">
      <c r="B181" t="s">
        <v>58</v>
      </c>
      <c r="C181">
        <v>5888</v>
      </c>
      <c r="H181" t="str">
        <f t="shared" si="4"/>
        <v>Liabilities &amp; Shareholders' Equity &gt; Shareholder's Equity &gt; Treasury Stock</v>
      </c>
      <c r="I181" s="17" t="str">
        <f ca="1">IF(ISNA($B181),"",IF($B181="","",IFERROR(_xll.BDP(TICKER,"DEEP_MEASURE_PERIOD_BROKER_VALUE","DEEP_MEASURE_ID_OVERRIDE",$C181,"DEEP_BROKER_ID_OVERRIDE",$F$7,"DEEP_PERIOD_OVERRIDE",I$11)*1,"")))</f>
        <v/>
      </c>
      <c r="J181" s="17" t="str">
        <f ca="1">IF(ISNA($B181),"",IF($B181="","",IFERROR(_xll.BDP(TICKER,"DEEP_MEASURE_PERIOD_BROKER_VALUE","DEEP_MEASURE_ID_OVERRIDE",$C181,"DEEP_BROKER_ID_OVERRIDE",$F$7,"DEEP_PERIOD_OVERRIDE",J$11)*1,"")))</f>
        <v/>
      </c>
      <c r="K181" s="17" t="str">
        <f ca="1">IF(ISNA($B181),"",IF($B181="","",IFERROR(_xll.BDP(TICKER,"DEEP_MEASURE_PERIOD_BROKER_VALUE","DEEP_MEASURE_ID_OVERRIDE",$C181,"DEEP_BROKER_ID_OVERRIDE",$F$7,"DEEP_PERIOD_OVERRIDE",K$11)*1,"")))</f>
        <v/>
      </c>
      <c r="L181" s="17" t="str">
        <f ca="1">IF(ISNA($B181),"",IF($B181="","",IFERROR(_xll.BDP(TICKER,"DEEP_MEASURE_PERIOD_BROKER_VALUE","DEEP_MEASURE_ID_OVERRIDE",$C181,"DEEP_BROKER_ID_OVERRIDE",$F$7,"DEEP_PERIOD_OVERRIDE",L$11)*1,"")))</f>
        <v/>
      </c>
      <c r="M181" s="17" t="str">
        <f ca="1">IF(ISNA($B181),"",IF($B181="","",IFERROR(_xll.BDP(TICKER,"DEEP_MEASURE_PERIOD_BROKER_VALUE","DEEP_MEASURE_ID_OVERRIDE",$C181,"DEEP_BROKER_ID_OVERRIDE",$F$7,"DEEP_PERIOD_OVERRIDE",M$11)*1,"")))</f>
        <v/>
      </c>
      <c r="N181" s="17" t="str">
        <f ca="1">IF(ISNA($B181),"",IF($B181="","",IFERROR(_xll.BDP(TICKER,"DEEP_MEASURE_PERIOD_BROKER_VALUE","DEEP_MEASURE_ID_OVERRIDE",$C181,"DEEP_BROKER_ID_OVERRIDE",$F$7,"DEEP_PERIOD_OVERRIDE",N$11)*1,"")))</f>
        <v/>
      </c>
      <c r="O181" s="17" t="str">
        <f ca="1">IF(ISNA($B181),"",IF($B181="","",IFERROR(_xll.BDP(TICKER,"DEEP_MEASURE_PERIOD_BROKER_VALUE","DEEP_MEASURE_ID_OVERRIDE",$C181,"DEEP_BROKER_ID_OVERRIDE",$F$7,"DEEP_PERIOD_OVERRIDE",O$11)*1,"")))</f>
        <v/>
      </c>
      <c r="P181" s="17" t="str">
        <f ca="1">IF(ISNA($B181),"",IF($B181="","",IFERROR(_xll.BDP(TICKER,"DEEP_MEASURE_PERIOD_BROKER_VALUE","DEEP_MEASURE_ID_OVERRIDE",$C181,"DEEP_BROKER_ID_OVERRIDE",$F$7,"DEEP_PERIOD_OVERRIDE",P$11)*1,"")))</f>
        <v/>
      </c>
      <c r="Q181" s="17" t="str">
        <f ca="1">IF(ISNA($B181),"",IF($B181="","",IFERROR(_xll.BDP(TICKER,"DEEP_MEASURE_PERIOD_BROKER_VALUE","DEEP_MEASURE_ID_OVERRIDE",$C181,"DEEP_BROKER_ID_OVERRIDE",$F$7,"DEEP_PERIOD_OVERRIDE",Q$11)*1,"")))</f>
        <v/>
      </c>
      <c r="R181" s="17" t="str">
        <f ca="1">IF(ISNA($B181),"",IF($B181="","",IFERROR(_xll.BDP(TICKER,"DEEP_MEASURE_PERIOD_BROKER_VALUE","DEEP_MEASURE_ID_OVERRIDE",$C181,"DEEP_BROKER_ID_OVERRIDE",$F$7,"DEEP_PERIOD_OVERRIDE",R$11)*1,"")))</f>
        <v/>
      </c>
      <c r="S181" s="17" t="str">
        <f ca="1">IF(ISNA($B181),"",IF($B181="","",IFERROR(_xll.BDP(TICKER,"DEEP_MEASURE_PERIOD_BROKER_VALUE","DEEP_MEASURE_ID_OVERRIDE",$C181,"DEEP_BROKER_ID_OVERRIDE",$F$7,"DEEP_PERIOD_OVERRIDE",S$11)*1,"")))</f>
        <v/>
      </c>
      <c r="T181" s="17" t="str">
        <f ca="1">IF(ISNA($B181),"",IF($B181="","",IFERROR(_xll.BDP(TICKER,"DEEP_MEASURE_PERIOD_BROKER_VALUE","DEEP_MEASURE_ID_OVERRIDE",$C181,"DEEP_BROKER_ID_OVERRIDE",$F$7,"DEEP_PERIOD_OVERRIDE",T$11)*1,"")))</f>
        <v/>
      </c>
      <c r="U181" s="17" t="str">
        <f ca="1">IF(ISNA($B181),"",IF($B181="","",IFERROR(_xll.BDP(TICKER,"DEEP_MEASURE_PERIOD_BROKER_VALUE","DEEP_MEASURE_ID_OVERRIDE",$C181,"DEEP_BROKER_ID_OVERRIDE",$F$7,"DEEP_PERIOD_OVERRIDE",U$11)*1,"")))</f>
        <v/>
      </c>
      <c r="V181" s="17" t="str">
        <f ca="1">IF(ISNA($B181),"",IF($B181="","",IFERROR(_xll.BDP(TICKER,"DEEP_MEASURE_PERIOD_BROKER_VALUE","DEEP_MEASURE_ID_OVERRIDE",$C181,"DEEP_BROKER_ID_OVERRIDE",$F$7,"DEEP_PERIOD_OVERRIDE",V$11)*1,"")))</f>
        <v/>
      </c>
      <c r="W181" s="17" t="str">
        <f ca="1">IF(ISNA($B181),"",IF($B181="","",IFERROR(_xll.BDP(TICKER,"DEEP_MEASURE_PERIOD_BROKER_VALUE","DEEP_MEASURE_ID_OVERRIDE",$C181,"DEEP_BROKER_ID_OVERRIDE",$F$7,"DEEP_PERIOD_OVERRIDE",W$11)*1,"")))</f>
        <v/>
      </c>
      <c r="X181" s="17" t="str">
        <f ca="1">IF(ISNA($B181),"",IF($B181="","",IFERROR(_xll.BDP(TICKER,"DEEP_MEASURE_PERIOD_BROKER_VALUE","DEEP_MEASURE_ID_OVERRIDE",$C181,"DEEP_BROKER_ID_OVERRIDE",$F$7,"DEEP_PERIOD_OVERRIDE",X$11)*1,"")))</f>
        <v/>
      </c>
      <c r="Y181" s="17" t="str">
        <f ca="1">IF(ISNA($B181),"",IF($B181="","",IFERROR(_xll.BDP(TICKER,"DEEP_MEASURE_PERIOD_BROKER_VALUE","DEEP_MEASURE_ID_OVERRIDE",$C181,"DEEP_BROKER_ID_OVERRIDE",$F$7,"DEEP_PERIOD_OVERRIDE",Y$11)*1,"")))</f>
        <v/>
      </c>
      <c r="Z181" s="17" t="str">
        <f ca="1">IF(ISNA($B181),"",IF($B181="","",IFERROR(_xll.BDP(TICKER,"DEEP_MEASURE_PERIOD_BROKER_VALUE","DEEP_MEASURE_ID_OVERRIDE",$C181,"DEEP_BROKER_ID_OVERRIDE",$F$7,"DEEP_PERIOD_OVERRIDE",Z$11)*1,"")))</f>
        <v/>
      </c>
      <c r="AA181" s="17" t="str">
        <f ca="1">IF(ISNA($B181),"",IF($B181="","",IFERROR(_xll.BDP(TICKER,"DEEP_MEASURE_PERIOD_BROKER_VALUE","DEEP_MEASURE_ID_OVERRIDE",$C181,"DEEP_BROKER_ID_OVERRIDE",$F$7,"DEEP_PERIOD_OVERRIDE",AA$11)*1,"")))</f>
        <v/>
      </c>
      <c r="AB181" s="17" t="str">
        <f ca="1">IF(ISNA($B181),"",IF($B181="","",IFERROR(_xll.BDP(TICKER,"DEEP_MEASURE_PERIOD_BROKER_VALUE","DEEP_MEASURE_ID_OVERRIDE",$C181,"DEEP_BROKER_ID_OVERRIDE",$F$7,"DEEP_PERIOD_OVERRIDE",AB$11)*1,"")))</f>
        <v/>
      </c>
      <c r="AC181" s="17" t="str">
        <f ca="1">IF(ISNA($B181),"",IF($B181="","",IFERROR(_xll.BDP(TICKER,"DEEP_MEASURE_PERIOD_BROKER_VALUE","DEEP_MEASURE_ID_OVERRIDE",$C181,"DEEP_BROKER_ID_OVERRIDE",$F$7,"DEEP_PERIOD_OVERRIDE",AC$11)*1,"")))</f>
        <v/>
      </c>
      <c r="AD181" s="17" t="str">
        <f ca="1">IF(ISNA($B181),"",IF($B181="","",IFERROR(_xll.BDP(TICKER,"DEEP_MEASURE_PERIOD_BROKER_VALUE","DEEP_MEASURE_ID_OVERRIDE",$C181,"DEEP_BROKER_ID_OVERRIDE",$F$7,"DEEP_PERIOD_OVERRIDE",AD$11)*1,"")))</f>
        <v/>
      </c>
      <c r="AE181" s="17" t="str">
        <f ca="1">IF(ISNA($B181),"",IF($B181="","",IFERROR(_xll.BDP(TICKER,"DEEP_MEASURE_PERIOD_BROKER_VALUE","DEEP_MEASURE_ID_OVERRIDE",$C181,"DEEP_BROKER_ID_OVERRIDE",$F$7,"DEEP_PERIOD_OVERRIDE",AE$11)*1,"")))</f>
        <v/>
      </c>
      <c r="AF181" s="17" t="str">
        <f ca="1">IF(ISNA($B181),"",IF($B181="","",IFERROR(_xll.BDP(TICKER,"DEEP_MEASURE_PERIOD_BROKER_VALUE","DEEP_MEASURE_ID_OVERRIDE",$C181,"DEEP_BROKER_ID_OVERRIDE",$F$7,"DEEP_PERIOD_OVERRIDE",AF$11)*1,"")))</f>
        <v/>
      </c>
      <c r="AG181" s="17" t="str">
        <f ca="1">IF(ISNA($B181),"",IF($B181="","",IFERROR(_xll.BDP(TICKER,"DEEP_MEASURE_PERIOD_BROKER_VALUE","DEEP_MEASURE_ID_OVERRIDE",$C181,"DEEP_BROKER_ID_OVERRIDE",$F$7,"DEEP_PERIOD_OVERRIDE",AG$11)*1,"")))</f>
        <v/>
      </c>
      <c r="AH181" s="17" t="str">
        <f ca="1">IF(ISNA($B181),"",IF($B181="","",IFERROR(_xll.BDP(TICKER,"DEEP_MEASURE_PERIOD_BROKER_VALUE","DEEP_MEASURE_ID_OVERRIDE",$C181,"DEEP_BROKER_ID_OVERRIDE",$F$7,"DEEP_PERIOD_OVERRIDE",AH$11)*1,"")))</f>
        <v/>
      </c>
      <c r="AI181" s="17" t="str">
        <f ca="1">IF(ISNA($B181),"",IF($B181="","",IFERROR(_xll.BDP(TICKER,"DEEP_MEASURE_PERIOD_BROKER_VALUE","DEEP_MEASURE_ID_OVERRIDE",$C181,"DEEP_BROKER_ID_OVERRIDE",$F$7,"DEEP_PERIOD_OVERRIDE",AI$11)*1,"")))</f>
        <v/>
      </c>
      <c r="AJ181" s="17" t="str">
        <f ca="1">IF(ISNA($B181),"",IF($B181="","",IFERROR(_xll.BDP(TICKER,"DEEP_MEASURE_PERIOD_BROKER_VALUE","DEEP_MEASURE_ID_OVERRIDE",$C181,"DEEP_BROKER_ID_OVERRIDE",$F$7,"DEEP_PERIOD_OVERRIDE",AJ$11)*1,"")))</f>
        <v/>
      </c>
      <c r="AK181" s="17" t="str">
        <f ca="1">IF(ISNA($B181),"",IF($B181="","",IFERROR(_xll.BDP(TICKER,"DEEP_MEASURE_PERIOD_BROKER_VALUE","DEEP_MEASURE_ID_OVERRIDE",$C181,"DEEP_BROKER_ID_OVERRIDE",$F$7,"DEEP_PERIOD_OVERRIDE",AK$11)*1,"")))</f>
        <v/>
      </c>
      <c r="AL181" s="17" t="str">
        <f ca="1">IF(ISNA($B181),"",IF($B181="","",IFERROR(_xll.BDP(TICKER,"DEEP_MEASURE_PERIOD_BROKER_VALUE","DEEP_MEASURE_ID_OVERRIDE",$C181,"DEEP_BROKER_ID_OVERRIDE",$F$7,"DEEP_PERIOD_OVERRIDE",AL$11)*1,"")))</f>
        <v/>
      </c>
      <c r="AM181" s="17" t="str">
        <f ca="1">IF(ISNA($B181),"",IF($B181="","",IFERROR(_xll.BDP(TICKER,"DEEP_MEASURE_PERIOD_BROKER_VALUE","DEEP_MEASURE_ID_OVERRIDE",$C181,"DEEP_BROKER_ID_OVERRIDE",$F$7,"DEEP_PERIOD_OVERRIDE",AM$11)*1,"")))</f>
        <v/>
      </c>
      <c r="AN181" s="17" t="str">
        <f ca="1">IF(ISNA($B181),"",IF($B181="","",IFERROR(_xll.BDP(TICKER,"DEEP_MEASURE_PERIOD_BROKER_VALUE","DEEP_MEASURE_ID_OVERRIDE",$C181,"DEEP_BROKER_ID_OVERRIDE",$F$7,"DEEP_PERIOD_OVERRIDE",AN$11)*1,"")))</f>
        <v/>
      </c>
      <c r="AO181" s="17" t="str">
        <f ca="1">IF(ISNA($B181),"",IF($B181="","",IFERROR(_xll.BDP(TICKER,"DEEP_MEASURE_PERIOD_BROKER_VALUE","DEEP_MEASURE_ID_OVERRIDE",$C181,"DEEP_BROKER_ID_OVERRIDE",$F$7,"DEEP_PERIOD_OVERRIDE",AO$11)*1,"")))</f>
        <v/>
      </c>
      <c r="AP181" s="17" t="str">
        <f ca="1">IF(ISNA($B181),"",IF($B181="","",IFERROR(_xll.BDP(TICKER,"DEEP_MEASURE_PERIOD_BROKER_VALUE","DEEP_MEASURE_ID_OVERRIDE",$C181,"DEEP_BROKER_ID_OVERRIDE",$F$7,"DEEP_PERIOD_OVERRIDE",AP$11)*1,"")))</f>
        <v/>
      </c>
      <c r="AQ181" s="17" t="str">
        <f ca="1">IF(ISNA($B181),"",IF($B181="","",IFERROR(_xll.BDP(TICKER,"DEEP_MEASURE_PERIOD_BROKER_VALUE","DEEP_MEASURE_ID_OVERRIDE",$C181,"DEEP_BROKER_ID_OVERRIDE",$F$7,"DEEP_PERIOD_OVERRIDE",AQ$11)*1,"")))</f>
        <v/>
      </c>
    </row>
    <row r="182" spans="2:43" x14ac:dyDescent="0.25">
      <c r="B182" t="s">
        <v>59</v>
      </c>
      <c r="C182">
        <v>5932</v>
      </c>
      <c r="H182" t="str">
        <f t="shared" si="4"/>
        <v>Liabilities &amp; Shareholders' Equity &gt; Shareholder's Equity &gt; Other Equity</v>
      </c>
      <c r="I182" s="17" t="str">
        <f ca="1">IF(ISNA($B182),"",IF($B182="","",IFERROR(_xll.BDP(TICKER,"DEEP_MEASURE_PERIOD_BROKER_VALUE","DEEP_MEASURE_ID_OVERRIDE",$C182,"DEEP_BROKER_ID_OVERRIDE",$F$7,"DEEP_PERIOD_OVERRIDE",I$11)*1,"")))</f>
        <v/>
      </c>
      <c r="J182" s="17" t="str">
        <f ca="1">IF(ISNA($B182),"",IF($B182="","",IFERROR(_xll.BDP(TICKER,"DEEP_MEASURE_PERIOD_BROKER_VALUE","DEEP_MEASURE_ID_OVERRIDE",$C182,"DEEP_BROKER_ID_OVERRIDE",$F$7,"DEEP_PERIOD_OVERRIDE",J$11)*1,"")))</f>
        <v/>
      </c>
      <c r="K182" s="17" t="str">
        <f ca="1">IF(ISNA($B182),"",IF($B182="","",IFERROR(_xll.BDP(TICKER,"DEEP_MEASURE_PERIOD_BROKER_VALUE","DEEP_MEASURE_ID_OVERRIDE",$C182,"DEEP_BROKER_ID_OVERRIDE",$F$7,"DEEP_PERIOD_OVERRIDE",K$11)*1,"")))</f>
        <v/>
      </c>
      <c r="L182" s="17" t="str">
        <f ca="1">IF(ISNA($B182),"",IF($B182="","",IFERROR(_xll.BDP(TICKER,"DEEP_MEASURE_PERIOD_BROKER_VALUE","DEEP_MEASURE_ID_OVERRIDE",$C182,"DEEP_BROKER_ID_OVERRIDE",$F$7,"DEEP_PERIOD_OVERRIDE",L$11)*1,"")))</f>
        <v/>
      </c>
      <c r="M182" s="17" t="str">
        <f ca="1">IF(ISNA($B182),"",IF($B182="","",IFERROR(_xll.BDP(TICKER,"DEEP_MEASURE_PERIOD_BROKER_VALUE","DEEP_MEASURE_ID_OVERRIDE",$C182,"DEEP_BROKER_ID_OVERRIDE",$F$7,"DEEP_PERIOD_OVERRIDE",M$11)*1,"")))</f>
        <v/>
      </c>
      <c r="N182" s="17" t="str">
        <f ca="1">IF(ISNA($B182),"",IF($B182="","",IFERROR(_xll.BDP(TICKER,"DEEP_MEASURE_PERIOD_BROKER_VALUE","DEEP_MEASURE_ID_OVERRIDE",$C182,"DEEP_BROKER_ID_OVERRIDE",$F$7,"DEEP_PERIOD_OVERRIDE",N$11)*1,"")))</f>
        <v/>
      </c>
      <c r="O182" s="17" t="str">
        <f ca="1">IF(ISNA($B182),"",IF($B182="","",IFERROR(_xll.BDP(TICKER,"DEEP_MEASURE_PERIOD_BROKER_VALUE","DEEP_MEASURE_ID_OVERRIDE",$C182,"DEEP_BROKER_ID_OVERRIDE",$F$7,"DEEP_PERIOD_OVERRIDE",O$11)*1,"")))</f>
        <v/>
      </c>
      <c r="P182" s="17" t="str">
        <f ca="1">IF(ISNA($B182),"",IF($B182="","",IFERROR(_xll.BDP(TICKER,"DEEP_MEASURE_PERIOD_BROKER_VALUE","DEEP_MEASURE_ID_OVERRIDE",$C182,"DEEP_BROKER_ID_OVERRIDE",$F$7,"DEEP_PERIOD_OVERRIDE",P$11)*1,"")))</f>
        <v/>
      </c>
      <c r="Q182" s="17" t="str">
        <f ca="1">IF(ISNA($B182),"",IF($B182="","",IFERROR(_xll.BDP(TICKER,"DEEP_MEASURE_PERIOD_BROKER_VALUE","DEEP_MEASURE_ID_OVERRIDE",$C182,"DEEP_BROKER_ID_OVERRIDE",$F$7,"DEEP_PERIOD_OVERRIDE",Q$11)*1,"")))</f>
        <v/>
      </c>
      <c r="R182" s="17" t="str">
        <f ca="1">IF(ISNA($B182),"",IF($B182="","",IFERROR(_xll.BDP(TICKER,"DEEP_MEASURE_PERIOD_BROKER_VALUE","DEEP_MEASURE_ID_OVERRIDE",$C182,"DEEP_BROKER_ID_OVERRIDE",$F$7,"DEEP_PERIOD_OVERRIDE",R$11)*1,"")))</f>
        <v/>
      </c>
      <c r="S182" s="17" t="str">
        <f ca="1">IF(ISNA($B182),"",IF($B182="","",IFERROR(_xll.BDP(TICKER,"DEEP_MEASURE_PERIOD_BROKER_VALUE","DEEP_MEASURE_ID_OVERRIDE",$C182,"DEEP_BROKER_ID_OVERRIDE",$F$7,"DEEP_PERIOD_OVERRIDE",S$11)*1,"")))</f>
        <v/>
      </c>
      <c r="T182" s="17" t="str">
        <f ca="1">IF(ISNA($B182),"",IF($B182="","",IFERROR(_xll.BDP(TICKER,"DEEP_MEASURE_PERIOD_BROKER_VALUE","DEEP_MEASURE_ID_OVERRIDE",$C182,"DEEP_BROKER_ID_OVERRIDE",$F$7,"DEEP_PERIOD_OVERRIDE",T$11)*1,"")))</f>
        <v/>
      </c>
      <c r="U182" s="17" t="str">
        <f ca="1">IF(ISNA($B182),"",IF($B182="","",IFERROR(_xll.BDP(TICKER,"DEEP_MEASURE_PERIOD_BROKER_VALUE","DEEP_MEASURE_ID_OVERRIDE",$C182,"DEEP_BROKER_ID_OVERRIDE",$F$7,"DEEP_PERIOD_OVERRIDE",U$11)*1,"")))</f>
        <v/>
      </c>
      <c r="V182" s="17" t="str">
        <f ca="1">IF(ISNA($B182),"",IF($B182="","",IFERROR(_xll.BDP(TICKER,"DEEP_MEASURE_PERIOD_BROKER_VALUE","DEEP_MEASURE_ID_OVERRIDE",$C182,"DEEP_BROKER_ID_OVERRIDE",$F$7,"DEEP_PERIOD_OVERRIDE",V$11)*1,"")))</f>
        <v/>
      </c>
      <c r="W182" s="17" t="str">
        <f ca="1">IF(ISNA($B182),"",IF($B182="","",IFERROR(_xll.BDP(TICKER,"DEEP_MEASURE_PERIOD_BROKER_VALUE","DEEP_MEASURE_ID_OVERRIDE",$C182,"DEEP_BROKER_ID_OVERRIDE",$F$7,"DEEP_PERIOD_OVERRIDE",W$11)*1,"")))</f>
        <v/>
      </c>
      <c r="X182" s="17" t="str">
        <f ca="1">IF(ISNA($B182),"",IF($B182="","",IFERROR(_xll.BDP(TICKER,"DEEP_MEASURE_PERIOD_BROKER_VALUE","DEEP_MEASURE_ID_OVERRIDE",$C182,"DEEP_BROKER_ID_OVERRIDE",$F$7,"DEEP_PERIOD_OVERRIDE",X$11)*1,"")))</f>
        <v/>
      </c>
      <c r="Y182" s="17" t="str">
        <f ca="1">IF(ISNA($B182),"",IF($B182="","",IFERROR(_xll.BDP(TICKER,"DEEP_MEASURE_PERIOD_BROKER_VALUE","DEEP_MEASURE_ID_OVERRIDE",$C182,"DEEP_BROKER_ID_OVERRIDE",$F$7,"DEEP_PERIOD_OVERRIDE",Y$11)*1,"")))</f>
        <v/>
      </c>
      <c r="Z182" s="17" t="str">
        <f ca="1">IF(ISNA($B182),"",IF($B182="","",IFERROR(_xll.BDP(TICKER,"DEEP_MEASURE_PERIOD_BROKER_VALUE","DEEP_MEASURE_ID_OVERRIDE",$C182,"DEEP_BROKER_ID_OVERRIDE",$F$7,"DEEP_PERIOD_OVERRIDE",Z$11)*1,"")))</f>
        <v/>
      </c>
      <c r="AA182" s="17" t="str">
        <f ca="1">IF(ISNA($B182),"",IF($B182="","",IFERROR(_xll.BDP(TICKER,"DEEP_MEASURE_PERIOD_BROKER_VALUE","DEEP_MEASURE_ID_OVERRIDE",$C182,"DEEP_BROKER_ID_OVERRIDE",$F$7,"DEEP_PERIOD_OVERRIDE",AA$11)*1,"")))</f>
        <v/>
      </c>
      <c r="AB182" s="17" t="str">
        <f ca="1">IF(ISNA($B182),"",IF($B182="","",IFERROR(_xll.BDP(TICKER,"DEEP_MEASURE_PERIOD_BROKER_VALUE","DEEP_MEASURE_ID_OVERRIDE",$C182,"DEEP_BROKER_ID_OVERRIDE",$F$7,"DEEP_PERIOD_OVERRIDE",AB$11)*1,"")))</f>
        <v/>
      </c>
      <c r="AC182" s="17" t="str">
        <f ca="1">IF(ISNA($B182),"",IF($B182="","",IFERROR(_xll.BDP(TICKER,"DEEP_MEASURE_PERIOD_BROKER_VALUE","DEEP_MEASURE_ID_OVERRIDE",$C182,"DEEP_BROKER_ID_OVERRIDE",$F$7,"DEEP_PERIOD_OVERRIDE",AC$11)*1,"")))</f>
        <v/>
      </c>
      <c r="AD182" s="17" t="str">
        <f ca="1">IF(ISNA($B182),"",IF($B182="","",IFERROR(_xll.BDP(TICKER,"DEEP_MEASURE_PERIOD_BROKER_VALUE","DEEP_MEASURE_ID_OVERRIDE",$C182,"DEEP_BROKER_ID_OVERRIDE",$F$7,"DEEP_PERIOD_OVERRIDE",AD$11)*1,"")))</f>
        <v/>
      </c>
      <c r="AE182" s="17" t="str">
        <f ca="1">IF(ISNA($B182),"",IF($B182="","",IFERROR(_xll.BDP(TICKER,"DEEP_MEASURE_PERIOD_BROKER_VALUE","DEEP_MEASURE_ID_OVERRIDE",$C182,"DEEP_BROKER_ID_OVERRIDE",$F$7,"DEEP_PERIOD_OVERRIDE",AE$11)*1,"")))</f>
        <v/>
      </c>
      <c r="AF182" s="17" t="str">
        <f ca="1">IF(ISNA($B182),"",IF($B182="","",IFERROR(_xll.BDP(TICKER,"DEEP_MEASURE_PERIOD_BROKER_VALUE","DEEP_MEASURE_ID_OVERRIDE",$C182,"DEEP_BROKER_ID_OVERRIDE",$F$7,"DEEP_PERIOD_OVERRIDE",AF$11)*1,"")))</f>
        <v/>
      </c>
      <c r="AG182" s="17" t="str">
        <f ca="1">IF(ISNA($B182),"",IF($B182="","",IFERROR(_xll.BDP(TICKER,"DEEP_MEASURE_PERIOD_BROKER_VALUE","DEEP_MEASURE_ID_OVERRIDE",$C182,"DEEP_BROKER_ID_OVERRIDE",$F$7,"DEEP_PERIOD_OVERRIDE",AG$11)*1,"")))</f>
        <v/>
      </c>
      <c r="AH182" s="17" t="str">
        <f ca="1">IF(ISNA($B182),"",IF($B182="","",IFERROR(_xll.BDP(TICKER,"DEEP_MEASURE_PERIOD_BROKER_VALUE","DEEP_MEASURE_ID_OVERRIDE",$C182,"DEEP_BROKER_ID_OVERRIDE",$F$7,"DEEP_PERIOD_OVERRIDE",AH$11)*1,"")))</f>
        <v/>
      </c>
      <c r="AI182" s="17" t="str">
        <f ca="1">IF(ISNA($B182),"",IF($B182="","",IFERROR(_xll.BDP(TICKER,"DEEP_MEASURE_PERIOD_BROKER_VALUE","DEEP_MEASURE_ID_OVERRIDE",$C182,"DEEP_BROKER_ID_OVERRIDE",$F$7,"DEEP_PERIOD_OVERRIDE",AI$11)*1,"")))</f>
        <v/>
      </c>
      <c r="AJ182" s="17" t="str">
        <f ca="1">IF(ISNA($B182),"",IF($B182="","",IFERROR(_xll.BDP(TICKER,"DEEP_MEASURE_PERIOD_BROKER_VALUE","DEEP_MEASURE_ID_OVERRIDE",$C182,"DEEP_BROKER_ID_OVERRIDE",$F$7,"DEEP_PERIOD_OVERRIDE",AJ$11)*1,"")))</f>
        <v/>
      </c>
      <c r="AK182" s="17" t="str">
        <f ca="1">IF(ISNA($B182),"",IF($B182="","",IFERROR(_xll.BDP(TICKER,"DEEP_MEASURE_PERIOD_BROKER_VALUE","DEEP_MEASURE_ID_OVERRIDE",$C182,"DEEP_BROKER_ID_OVERRIDE",$F$7,"DEEP_PERIOD_OVERRIDE",AK$11)*1,"")))</f>
        <v/>
      </c>
      <c r="AL182" s="17" t="str">
        <f ca="1">IF(ISNA($B182),"",IF($B182="","",IFERROR(_xll.BDP(TICKER,"DEEP_MEASURE_PERIOD_BROKER_VALUE","DEEP_MEASURE_ID_OVERRIDE",$C182,"DEEP_BROKER_ID_OVERRIDE",$F$7,"DEEP_PERIOD_OVERRIDE",AL$11)*1,"")))</f>
        <v/>
      </c>
      <c r="AM182" s="17" t="str">
        <f ca="1">IF(ISNA($B182),"",IF($B182="","",IFERROR(_xll.BDP(TICKER,"DEEP_MEASURE_PERIOD_BROKER_VALUE","DEEP_MEASURE_ID_OVERRIDE",$C182,"DEEP_BROKER_ID_OVERRIDE",$F$7,"DEEP_PERIOD_OVERRIDE",AM$11)*1,"")))</f>
        <v/>
      </c>
      <c r="AN182" s="17" t="str">
        <f ca="1">IF(ISNA($B182),"",IF($B182="","",IFERROR(_xll.BDP(TICKER,"DEEP_MEASURE_PERIOD_BROKER_VALUE","DEEP_MEASURE_ID_OVERRIDE",$C182,"DEEP_BROKER_ID_OVERRIDE",$F$7,"DEEP_PERIOD_OVERRIDE",AN$11)*1,"")))</f>
        <v/>
      </c>
      <c r="AO182" s="17" t="str">
        <f ca="1">IF(ISNA($B182),"",IF($B182="","",IFERROR(_xll.BDP(TICKER,"DEEP_MEASURE_PERIOD_BROKER_VALUE","DEEP_MEASURE_ID_OVERRIDE",$C182,"DEEP_BROKER_ID_OVERRIDE",$F$7,"DEEP_PERIOD_OVERRIDE",AO$11)*1,"")))</f>
        <v/>
      </c>
      <c r="AP182" s="17" t="str">
        <f ca="1">IF(ISNA($B182),"",IF($B182="","",IFERROR(_xll.BDP(TICKER,"DEEP_MEASURE_PERIOD_BROKER_VALUE","DEEP_MEASURE_ID_OVERRIDE",$C182,"DEEP_BROKER_ID_OVERRIDE",$F$7,"DEEP_PERIOD_OVERRIDE",AP$11)*1,"")))</f>
        <v/>
      </c>
      <c r="AQ182" s="17" t="str">
        <f ca="1">IF(ISNA($B182),"",IF($B182="","",IFERROR(_xll.BDP(TICKER,"DEEP_MEASURE_PERIOD_BROKER_VALUE","DEEP_MEASURE_ID_OVERRIDE",$C182,"DEEP_BROKER_ID_OVERRIDE",$F$7,"DEEP_PERIOD_OVERRIDE",AQ$11)*1,"")))</f>
        <v/>
      </c>
    </row>
    <row r="183" spans="2:43" x14ac:dyDescent="0.25">
      <c r="B183" t="s">
        <v>60</v>
      </c>
      <c r="C183">
        <v>497</v>
      </c>
      <c r="H183" t="str">
        <f t="shared" si="4"/>
        <v>Liabilities &amp; Shareholders' Equity &gt; Total Shareholder Equity</v>
      </c>
      <c r="I183" s="17" t="str">
        <f ca="1">IF(ISNA($B183),"",IF($B183="","",IFERROR(_xll.BDP(TICKER,"DEEP_MEASURE_PERIOD_BROKER_VALUE","DEEP_MEASURE_ID_OVERRIDE",$C183,"DEEP_BROKER_ID_OVERRIDE",$F$7,"DEEP_PERIOD_OVERRIDE",I$11)*1,"")))</f>
        <v/>
      </c>
      <c r="J183" s="17" t="str">
        <f ca="1">IF(ISNA($B183),"",IF($B183="","",IFERROR(_xll.BDP(TICKER,"DEEP_MEASURE_PERIOD_BROKER_VALUE","DEEP_MEASURE_ID_OVERRIDE",$C183,"DEEP_BROKER_ID_OVERRIDE",$F$7,"DEEP_PERIOD_OVERRIDE",J$11)*1,"")))</f>
        <v/>
      </c>
      <c r="K183" s="17" t="str">
        <f ca="1">IF(ISNA($B183),"",IF($B183="","",IFERROR(_xll.BDP(TICKER,"DEEP_MEASURE_PERIOD_BROKER_VALUE","DEEP_MEASURE_ID_OVERRIDE",$C183,"DEEP_BROKER_ID_OVERRIDE",$F$7,"DEEP_PERIOD_OVERRIDE",K$11)*1,"")))</f>
        <v/>
      </c>
      <c r="L183" s="17" t="str">
        <f ca="1">IF(ISNA($B183),"",IF($B183="","",IFERROR(_xll.BDP(TICKER,"DEEP_MEASURE_PERIOD_BROKER_VALUE","DEEP_MEASURE_ID_OVERRIDE",$C183,"DEEP_BROKER_ID_OVERRIDE",$F$7,"DEEP_PERIOD_OVERRIDE",L$11)*1,"")))</f>
        <v/>
      </c>
      <c r="M183" s="17" t="str">
        <f ca="1">IF(ISNA($B183),"",IF($B183="","",IFERROR(_xll.BDP(TICKER,"DEEP_MEASURE_PERIOD_BROKER_VALUE","DEEP_MEASURE_ID_OVERRIDE",$C183,"DEEP_BROKER_ID_OVERRIDE",$F$7,"DEEP_PERIOD_OVERRIDE",M$11)*1,"")))</f>
        <v/>
      </c>
      <c r="N183" s="17" t="str">
        <f ca="1">IF(ISNA($B183),"",IF($B183="","",IFERROR(_xll.BDP(TICKER,"DEEP_MEASURE_PERIOD_BROKER_VALUE","DEEP_MEASURE_ID_OVERRIDE",$C183,"DEEP_BROKER_ID_OVERRIDE",$F$7,"DEEP_PERIOD_OVERRIDE",N$11)*1,"")))</f>
        <v/>
      </c>
      <c r="O183" s="17" t="str">
        <f ca="1">IF(ISNA($B183),"",IF($B183="","",IFERROR(_xll.BDP(TICKER,"DEEP_MEASURE_PERIOD_BROKER_VALUE","DEEP_MEASURE_ID_OVERRIDE",$C183,"DEEP_BROKER_ID_OVERRIDE",$F$7,"DEEP_PERIOD_OVERRIDE",O$11)*1,"")))</f>
        <v/>
      </c>
      <c r="P183" s="17" t="str">
        <f ca="1">IF(ISNA($B183),"",IF($B183="","",IFERROR(_xll.BDP(TICKER,"DEEP_MEASURE_PERIOD_BROKER_VALUE","DEEP_MEASURE_ID_OVERRIDE",$C183,"DEEP_BROKER_ID_OVERRIDE",$F$7,"DEEP_PERIOD_OVERRIDE",P$11)*1,"")))</f>
        <v/>
      </c>
      <c r="Q183" s="17" t="str">
        <f ca="1">IF(ISNA($B183),"",IF($B183="","",IFERROR(_xll.BDP(TICKER,"DEEP_MEASURE_PERIOD_BROKER_VALUE","DEEP_MEASURE_ID_OVERRIDE",$C183,"DEEP_BROKER_ID_OVERRIDE",$F$7,"DEEP_PERIOD_OVERRIDE",Q$11)*1,"")))</f>
        <v/>
      </c>
      <c r="R183" s="17" t="str">
        <f ca="1">IF(ISNA($B183),"",IF($B183="","",IFERROR(_xll.BDP(TICKER,"DEEP_MEASURE_PERIOD_BROKER_VALUE","DEEP_MEASURE_ID_OVERRIDE",$C183,"DEEP_BROKER_ID_OVERRIDE",$F$7,"DEEP_PERIOD_OVERRIDE",R$11)*1,"")))</f>
        <v/>
      </c>
      <c r="S183" s="17" t="str">
        <f ca="1">IF(ISNA($B183),"",IF($B183="","",IFERROR(_xll.BDP(TICKER,"DEEP_MEASURE_PERIOD_BROKER_VALUE","DEEP_MEASURE_ID_OVERRIDE",$C183,"DEEP_BROKER_ID_OVERRIDE",$F$7,"DEEP_PERIOD_OVERRIDE",S$11)*1,"")))</f>
        <v/>
      </c>
      <c r="T183" s="17" t="str">
        <f ca="1">IF(ISNA($B183),"",IF($B183="","",IFERROR(_xll.BDP(TICKER,"DEEP_MEASURE_PERIOD_BROKER_VALUE","DEEP_MEASURE_ID_OVERRIDE",$C183,"DEEP_BROKER_ID_OVERRIDE",$F$7,"DEEP_PERIOD_OVERRIDE",T$11)*1,"")))</f>
        <v/>
      </c>
      <c r="U183" s="17" t="str">
        <f ca="1">IF(ISNA($B183),"",IF($B183="","",IFERROR(_xll.BDP(TICKER,"DEEP_MEASURE_PERIOD_BROKER_VALUE","DEEP_MEASURE_ID_OVERRIDE",$C183,"DEEP_BROKER_ID_OVERRIDE",$F$7,"DEEP_PERIOD_OVERRIDE",U$11)*1,"")))</f>
        <v/>
      </c>
      <c r="V183" s="17" t="str">
        <f ca="1">IF(ISNA($B183),"",IF($B183="","",IFERROR(_xll.BDP(TICKER,"DEEP_MEASURE_PERIOD_BROKER_VALUE","DEEP_MEASURE_ID_OVERRIDE",$C183,"DEEP_BROKER_ID_OVERRIDE",$F$7,"DEEP_PERIOD_OVERRIDE",V$11)*1,"")))</f>
        <v/>
      </c>
      <c r="W183" s="17" t="str">
        <f ca="1">IF(ISNA($B183),"",IF($B183="","",IFERROR(_xll.BDP(TICKER,"DEEP_MEASURE_PERIOD_BROKER_VALUE","DEEP_MEASURE_ID_OVERRIDE",$C183,"DEEP_BROKER_ID_OVERRIDE",$F$7,"DEEP_PERIOD_OVERRIDE",W$11)*1,"")))</f>
        <v/>
      </c>
      <c r="X183" s="17" t="str">
        <f ca="1">IF(ISNA($B183),"",IF($B183="","",IFERROR(_xll.BDP(TICKER,"DEEP_MEASURE_PERIOD_BROKER_VALUE","DEEP_MEASURE_ID_OVERRIDE",$C183,"DEEP_BROKER_ID_OVERRIDE",$F$7,"DEEP_PERIOD_OVERRIDE",X$11)*1,"")))</f>
        <v/>
      </c>
      <c r="Y183" s="17" t="str">
        <f ca="1">IF(ISNA($B183),"",IF($B183="","",IFERROR(_xll.BDP(TICKER,"DEEP_MEASURE_PERIOD_BROKER_VALUE","DEEP_MEASURE_ID_OVERRIDE",$C183,"DEEP_BROKER_ID_OVERRIDE",$F$7,"DEEP_PERIOD_OVERRIDE",Y$11)*1,"")))</f>
        <v/>
      </c>
      <c r="Z183" s="17" t="str">
        <f ca="1">IF(ISNA($B183),"",IF($B183="","",IFERROR(_xll.BDP(TICKER,"DEEP_MEASURE_PERIOD_BROKER_VALUE","DEEP_MEASURE_ID_OVERRIDE",$C183,"DEEP_BROKER_ID_OVERRIDE",$F$7,"DEEP_PERIOD_OVERRIDE",Z$11)*1,"")))</f>
        <v/>
      </c>
      <c r="AA183" s="17" t="str">
        <f ca="1">IF(ISNA($B183),"",IF($B183="","",IFERROR(_xll.BDP(TICKER,"DEEP_MEASURE_PERIOD_BROKER_VALUE","DEEP_MEASURE_ID_OVERRIDE",$C183,"DEEP_BROKER_ID_OVERRIDE",$F$7,"DEEP_PERIOD_OVERRIDE",AA$11)*1,"")))</f>
        <v/>
      </c>
      <c r="AB183" s="17" t="str">
        <f ca="1">IF(ISNA($B183),"",IF($B183="","",IFERROR(_xll.BDP(TICKER,"DEEP_MEASURE_PERIOD_BROKER_VALUE","DEEP_MEASURE_ID_OVERRIDE",$C183,"DEEP_BROKER_ID_OVERRIDE",$F$7,"DEEP_PERIOD_OVERRIDE",AB$11)*1,"")))</f>
        <v/>
      </c>
      <c r="AC183" s="17" t="str">
        <f ca="1">IF(ISNA($B183),"",IF($B183="","",IFERROR(_xll.BDP(TICKER,"DEEP_MEASURE_PERIOD_BROKER_VALUE","DEEP_MEASURE_ID_OVERRIDE",$C183,"DEEP_BROKER_ID_OVERRIDE",$F$7,"DEEP_PERIOD_OVERRIDE",AC$11)*1,"")))</f>
        <v/>
      </c>
      <c r="AD183" s="17" t="str">
        <f ca="1">IF(ISNA($B183),"",IF($B183="","",IFERROR(_xll.BDP(TICKER,"DEEP_MEASURE_PERIOD_BROKER_VALUE","DEEP_MEASURE_ID_OVERRIDE",$C183,"DEEP_BROKER_ID_OVERRIDE",$F$7,"DEEP_PERIOD_OVERRIDE",AD$11)*1,"")))</f>
        <v/>
      </c>
      <c r="AE183" s="17" t="str">
        <f ca="1">IF(ISNA($B183),"",IF($B183="","",IFERROR(_xll.BDP(TICKER,"DEEP_MEASURE_PERIOD_BROKER_VALUE","DEEP_MEASURE_ID_OVERRIDE",$C183,"DEEP_BROKER_ID_OVERRIDE",$F$7,"DEEP_PERIOD_OVERRIDE",AE$11)*1,"")))</f>
        <v/>
      </c>
      <c r="AF183" s="17" t="str">
        <f ca="1">IF(ISNA($B183),"",IF($B183="","",IFERROR(_xll.BDP(TICKER,"DEEP_MEASURE_PERIOD_BROKER_VALUE","DEEP_MEASURE_ID_OVERRIDE",$C183,"DEEP_BROKER_ID_OVERRIDE",$F$7,"DEEP_PERIOD_OVERRIDE",AF$11)*1,"")))</f>
        <v/>
      </c>
      <c r="AG183" s="17" t="str">
        <f ca="1">IF(ISNA($B183),"",IF($B183="","",IFERROR(_xll.BDP(TICKER,"DEEP_MEASURE_PERIOD_BROKER_VALUE","DEEP_MEASURE_ID_OVERRIDE",$C183,"DEEP_BROKER_ID_OVERRIDE",$F$7,"DEEP_PERIOD_OVERRIDE",AG$11)*1,"")))</f>
        <v/>
      </c>
      <c r="AH183" s="17" t="str">
        <f ca="1">IF(ISNA($B183),"",IF($B183="","",IFERROR(_xll.BDP(TICKER,"DEEP_MEASURE_PERIOD_BROKER_VALUE","DEEP_MEASURE_ID_OVERRIDE",$C183,"DEEP_BROKER_ID_OVERRIDE",$F$7,"DEEP_PERIOD_OVERRIDE",AH$11)*1,"")))</f>
        <v/>
      </c>
      <c r="AI183" s="17" t="str">
        <f ca="1">IF(ISNA($B183),"",IF($B183="","",IFERROR(_xll.BDP(TICKER,"DEEP_MEASURE_PERIOD_BROKER_VALUE","DEEP_MEASURE_ID_OVERRIDE",$C183,"DEEP_BROKER_ID_OVERRIDE",$F$7,"DEEP_PERIOD_OVERRIDE",AI$11)*1,"")))</f>
        <v/>
      </c>
      <c r="AJ183" s="17" t="str">
        <f ca="1">IF(ISNA($B183),"",IF($B183="","",IFERROR(_xll.BDP(TICKER,"DEEP_MEASURE_PERIOD_BROKER_VALUE","DEEP_MEASURE_ID_OVERRIDE",$C183,"DEEP_BROKER_ID_OVERRIDE",$F$7,"DEEP_PERIOD_OVERRIDE",AJ$11)*1,"")))</f>
        <v/>
      </c>
      <c r="AK183" s="17" t="str">
        <f ca="1">IF(ISNA($B183),"",IF($B183="","",IFERROR(_xll.BDP(TICKER,"DEEP_MEASURE_PERIOD_BROKER_VALUE","DEEP_MEASURE_ID_OVERRIDE",$C183,"DEEP_BROKER_ID_OVERRIDE",$F$7,"DEEP_PERIOD_OVERRIDE",AK$11)*1,"")))</f>
        <v/>
      </c>
      <c r="AL183" s="17" t="str">
        <f ca="1">IF(ISNA($B183),"",IF($B183="","",IFERROR(_xll.BDP(TICKER,"DEEP_MEASURE_PERIOD_BROKER_VALUE","DEEP_MEASURE_ID_OVERRIDE",$C183,"DEEP_BROKER_ID_OVERRIDE",$F$7,"DEEP_PERIOD_OVERRIDE",AL$11)*1,"")))</f>
        <v/>
      </c>
      <c r="AM183" s="17" t="str">
        <f ca="1">IF(ISNA($B183),"",IF($B183="","",IFERROR(_xll.BDP(TICKER,"DEEP_MEASURE_PERIOD_BROKER_VALUE","DEEP_MEASURE_ID_OVERRIDE",$C183,"DEEP_BROKER_ID_OVERRIDE",$F$7,"DEEP_PERIOD_OVERRIDE",AM$11)*1,"")))</f>
        <v/>
      </c>
      <c r="AN183" s="17" t="str">
        <f ca="1">IF(ISNA($B183),"",IF($B183="","",IFERROR(_xll.BDP(TICKER,"DEEP_MEASURE_PERIOD_BROKER_VALUE","DEEP_MEASURE_ID_OVERRIDE",$C183,"DEEP_BROKER_ID_OVERRIDE",$F$7,"DEEP_PERIOD_OVERRIDE",AN$11)*1,"")))</f>
        <v/>
      </c>
      <c r="AO183" s="17" t="str">
        <f ca="1">IF(ISNA($B183),"",IF($B183="","",IFERROR(_xll.BDP(TICKER,"DEEP_MEASURE_PERIOD_BROKER_VALUE","DEEP_MEASURE_ID_OVERRIDE",$C183,"DEEP_BROKER_ID_OVERRIDE",$F$7,"DEEP_PERIOD_OVERRIDE",AO$11)*1,"")))</f>
        <v/>
      </c>
      <c r="AP183" s="17" t="str">
        <f ca="1">IF(ISNA($B183),"",IF($B183="","",IFERROR(_xll.BDP(TICKER,"DEEP_MEASURE_PERIOD_BROKER_VALUE","DEEP_MEASURE_ID_OVERRIDE",$C183,"DEEP_BROKER_ID_OVERRIDE",$F$7,"DEEP_PERIOD_OVERRIDE",AP$11)*1,"")))</f>
        <v/>
      </c>
      <c r="AQ183" s="17" t="str">
        <f ca="1">IF(ISNA($B183),"",IF($B183="","",IFERROR(_xll.BDP(TICKER,"DEEP_MEASURE_PERIOD_BROKER_VALUE","DEEP_MEASURE_ID_OVERRIDE",$C183,"DEEP_BROKER_ID_OVERRIDE",$F$7,"DEEP_PERIOD_OVERRIDE",AQ$11)*1,"")))</f>
        <v/>
      </c>
    </row>
    <row r="184" spans="2:43" x14ac:dyDescent="0.25">
      <c r="B184" t="s">
        <v>61</v>
      </c>
      <c r="C184">
        <v>10380</v>
      </c>
      <c r="H184" t="str">
        <f t="shared" si="4"/>
        <v>Total Liabilities and Shareholder Equity</v>
      </c>
      <c r="I184" s="17" t="str">
        <f ca="1">IF(ISNA($B184),"",IF($B184="","",IFERROR(_xll.BDP(TICKER,"DEEP_MEASURE_PERIOD_BROKER_VALUE","DEEP_MEASURE_ID_OVERRIDE",$C184,"DEEP_BROKER_ID_OVERRIDE",$F$7,"DEEP_PERIOD_OVERRIDE",I$11)*1,"")))</f>
        <v/>
      </c>
      <c r="J184" s="17" t="str">
        <f ca="1">IF(ISNA($B184),"",IF($B184="","",IFERROR(_xll.BDP(TICKER,"DEEP_MEASURE_PERIOD_BROKER_VALUE","DEEP_MEASURE_ID_OVERRIDE",$C184,"DEEP_BROKER_ID_OVERRIDE",$F$7,"DEEP_PERIOD_OVERRIDE",J$11)*1,"")))</f>
        <v/>
      </c>
      <c r="K184" s="17" t="str">
        <f ca="1">IF(ISNA($B184),"",IF($B184="","",IFERROR(_xll.BDP(TICKER,"DEEP_MEASURE_PERIOD_BROKER_VALUE","DEEP_MEASURE_ID_OVERRIDE",$C184,"DEEP_BROKER_ID_OVERRIDE",$F$7,"DEEP_PERIOD_OVERRIDE",K$11)*1,"")))</f>
        <v/>
      </c>
      <c r="L184" s="17" t="str">
        <f ca="1">IF(ISNA($B184),"",IF($B184="","",IFERROR(_xll.BDP(TICKER,"DEEP_MEASURE_PERIOD_BROKER_VALUE","DEEP_MEASURE_ID_OVERRIDE",$C184,"DEEP_BROKER_ID_OVERRIDE",$F$7,"DEEP_PERIOD_OVERRIDE",L$11)*1,"")))</f>
        <v/>
      </c>
      <c r="M184" s="17" t="str">
        <f ca="1">IF(ISNA($B184),"",IF($B184="","",IFERROR(_xll.BDP(TICKER,"DEEP_MEASURE_PERIOD_BROKER_VALUE","DEEP_MEASURE_ID_OVERRIDE",$C184,"DEEP_BROKER_ID_OVERRIDE",$F$7,"DEEP_PERIOD_OVERRIDE",M$11)*1,"")))</f>
        <v/>
      </c>
      <c r="N184" s="17" t="str">
        <f ca="1">IF(ISNA($B184),"",IF($B184="","",IFERROR(_xll.BDP(TICKER,"DEEP_MEASURE_PERIOD_BROKER_VALUE","DEEP_MEASURE_ID_OVERRIDE",$C184,"DEEP_BROKER_ID_OVERRIDE",$F$7,"DEEP_PERIOD_OVERRIDE",N$11)*1,"")))</f>
        <v/>
      </c>
      <c r="O184" s="17" t="str">
        <f ca="1">IF(ISNA($B184),"",IF($B184="","",IFERROR(_xll.BDP(TICKER,"DEEP_MEASURE_PERIOD_BROKER_VALUE","DEEP_MEASURE_ID_OVERRIDE",$C184,"DEEP_BROKER_ID_OVERRIDE",$F$7,"DEEP_PERIOD_OVERRIDE",O$11)*1,"")))</f>
        <v/>
      </c>
      <c r="P184" s="17" t="str">
        <f ca="1">IF(ISNA($B184),"",IF($B184="","",IFERROR(_xll.BDP(TICKER,"DEEP_MEASURE_PERIOD_BROKER_VALUE","DEEP_MEASURE_ID_OVERRIDE",$C184,"DEEP_BROKER_ID_OVERRIDE",$F$7,"DEEP_PERIOD_OVERRIDE",P$11)*1,"")))</f>
        <v/>
      </c>
      <c r="Q184" s="17" t="str">
        <f ca="1">IF(ISNA($B184),"",IF($B184="","",IFERROR(_xll.BDP(TICKER,"DEEP_MEASURE_PERIOD_BROKER_VALUE","DEEP_MEASURE_ID_OVERRIDE",$C184,"DEEP_BROKER_ID_OVERRIDE",$F$7,"DEEP_PERIOD_OVERRIDE",Q$11)*1,"")))</f>
        <v/>
      </c>
      <c r="R184" s="17" t="str">
        <f ca="1">IF(ISNA($B184),"",IF($B184="","",IFERROR(_xll.BDP(TICKER,"DEEP_MEASURE_PERIOD_BROKER_VALUE","DEEP_MEASURE_ID_OVERRIDE",$C184,"DEEP_BROKER_ID_OVERRIDE",$F$7,"DEEP_PERIOD_OVERRIDE",R$11)*1,"")))</f>
        <v/>
      </c>
      <c r="S184" s="17" t="str">
        <f ca="1">IF(ISNA($B184),"",IF($B184="","",IFERROR(_xll.BDP(TICKER,"DEEP_MEASURE_PERIOD_BROKER_VALUE","DEEP_MEASURE_ID_OVERRIDE",$C184,"DEEP_BROKER_ID_OVERRIDE",$F$7,"DEEP_PERIOD_OVERRIDE",S$11)*1,"")))</f>
        <v/>
      </c>
      <c r="T184" s="17" t="str">
        <f ca="1">IF(ISNA($B184),"",IF($B184="","",IFERROR(_xll.BDP(TICKER,"DEEP_MEASURE_PERIOD_BROKER_VALUE","DEEP_MEASURE_ID_OVERRIDE",$C184,"DEEP_BROKER_ID_OVERRIDE",$F$7,"DEEP_PERIOD_OVERRIDE",T$11)*1,"")))</f>
        <v/>
      </c>
      <c r="U184" s="17" t="str">
        <f ca="1">IF(ISNA($B184),"",IF($B184="","",IFERROR(_xll.BDP(TICKER,"DEEP_MEASURE_PERIOD_BROKER_VALUE","DEEP_MEASURE_ID_OVERRIDE",$C184,"DEEP_BROKER_ID_OVERRIDE",$F$7,"DEEP_PERIOD_OVERRIDE",U$11)*1,"")))</f>
        <v/>
      </c>
      <c r="V184" s="17" t="str">
        <f ca="1">IF(ISNA($B184),"",IF($B184="","",IFERROR(_xll.BDP(TICKER,"DEEP_MEASURE_PERIOD_BROKER_VALUE","DEEP_MEASURE_ID_OVERRIDE",$C184,"DEEP_BROKER_ID_OVERRIDE",$F$7,"DEEP_PERIOD_OVERRIDE",V$11)*1,"")))</f>
        <v/>
      </c>
      <c r="W184" s="17" t="str">
        <f ca="1">IF(ISNA($B184),"",IF($B184="","",IFERROR(_xll.BDP(TICKER,"DEEP_MEASURE_PERIOD_BROKER_VALUE","DEEP_MEASURE_ID_OVERRIDE",$C184,"DEEP_BROKER_ID_OVERRIDE",$F$7,"DEEP_PERIOD_OVERRIDE",W$11)*1,"")))</f>
        <v/>
      </c>
      <c r="X184" s="17" t="str">
        <f ca="1">IF(ISNA($B184),"",IF($B184="","",IFERROR(_xll.BDP(TICKER,"DEEP_MEASURE_PERIOD_BROKER_VALUE","DEEP_MEASURE_ID_OVERRIDE",$C184,"DEEP_BROKER_ID_OVERRIDE",$F$7,"DEEP_PERIOD_OVERRIDE",X$11)*1,"")))</f>
        <v/>
      </c>
      <c r="Y184" s="17" t="str">
        <f ca="1">IF(ISNA($B184),"",IF($B184="","",IFERROR(_xll.BDP(TICKER,"DEEP_MEASURE_PERIOD_BROKER_VALUE","DEEP_MEASURE_ID_OVERRIDE",$C184,"DEEP_BROKER_ID_OVERRIDE",$F$7,"DEEP_PERIOD_OVERRIDE",Y$11)*1,"")))</f>
        <v/>
      </c>
      <c r="Z184" s="17" t="str">
        <f ca="1">IF(ISNA($B184),"",IF($B184="","",IFERROR(_xll.BDP(TICKER,"DEEP_MEASURE_PERIOD_BROKER_VALUE","DEEP_MEASURE_ID_OVERRIDE",$C184,"DEEP_BROKER_ID_OVERRIDE",$F$7,"DEEP_PERIOD_OVERRIDE",Z$11)*1,"")))</f>
        <v/>
      </c>
      <c r="AA184" s="17" t="str">
        <f ca="1">IF(ISNA($B184),"",IF($B184="","",IFERROR(_xll.BDP(TICKER,"DEEP_MEASURE_PERIOD_BROKER_VALUE","DEEP_MEASURE_ID_OVERRIDE",$C184,"DEEP_BROKER_ID_OVERRIDE",$F$7,"DEEP_PERIOD_OVERRIDE",AA$11)*1,"")))</f>
        <v/>
      </c>
      <c r="AB184" s="17" t="str">
        <f ca="1">IF(ISNA($B184),"",IF($B184="","",IFERROR(_xll.BDP(TICKER,"DEEP_MEASURE_PERIOD_BROKER_VALUE","DEEP_MEASURE_ID_OVERRIDE",$C184,"DEEP_BROKER_ID_OVERRIDE",$F$7,"DEEP_PERIOD_OVERRIDE",AB$11)*1,"")))</f>
        <v/>
      </c>
      <c r="AC184" s="17" t="str">
        <f ca="1">IF(ISNA($B184),"",IF($B184="","",IFERROR(_xll.BDP(TICKER,"DEEP_MEASURE_PERIOD_BROKER_VALUE","DEEP_MEASURE_ID_OVERRIDE",$C184,"DEEP_BROKER_ID_OVERRIDE",$F$7,"DEEP_PERIOD_OVERRIDE",AC$11)*1,"")))</f>
        <v/>
      </c>
      <c r="AD184" s="17" t="str">
        <f ca="1">IF(ISNA($B184),"",IF($B184="","",IFERROR(_xll.BDP(TICKER,"DEEP_MEASURE_PERIOD_BROKER_VALUE","DEEP_MEASURE_ID_OVERRIDE",$C184,"DEEP_BROKER_ID_OVERRIDE",$F$7,"DEEP_PERIOD_OVERRIDE",AD$11)*1,"")))</f>
        <v/>
      </c>
      <c r="AE184" s="17" t="str">
        <f ca="1">IF(ISNA($B184),"",IF($B184="","",IFERROR(_xll.BDP(TICKER,"DEEP_MEASURE_PERIOD_BROKER_VALUE","DEEP_MEASURE_ID_OVERRIDE",$C184,"DEEP_BROKER_ID_OVERRIDE",$F$7,"DEEP_PERIOD_OVERRIDE",AE$11)*1,"")))</f>
        <v/>
      </c>
      <c r="AF184" s="17" t="str">
        <f ca="1">IF(ISNA($B184),"",IF($B184="","",IFERROR(_xll.BDP(TICKER,"DEEP_MEASURE_PERIOD_BROKER_VALUE","DEEP_MEASURE_ID_OVERRIDE",$C184,"DEEP_BROKER_ID_OVERRIDE",$F$7,"DEEP_PERIOD_OVERRIDE",AF$11)*1,"")))</f>
        <v/>
      </c>
      <c r="AG184" s="17" t="str">
        <f ca="1">IF(ISNA($B184),"",IF($B184="","",IFERROR(_xll.BDP(TICKER,"DEEP_MEASURE_PERIOD_BROKER_VALUE","DEEP_MEASURE_ID_OVERRIDE",$C184,"DEEP_BROKER_ID_OVERRIDE",$F$7,"DEEP_PERIOD_OVERRIDE",AG$11)*1,"")))</f>
        <v/>
      </c>
      <c r="AH184" s="17" t="str">
        <f ca="1">IF(ISNA($B184),"",IF($B184="","",IFERROR(_xll.BDP(TICKER,"DEEP_MEASURE_PERIOD_BROKER_VALUE","DEEP_MEASURE_ID_OVERRIDE",$C184,"DEEP_BROKER_ID_OVERRIDE",$F$7,"DEEP_PERIOD_OVERRIDE",AH$11)*1,"")))</f>
        <v/>
      </c>
      <c r="AI184" s="17" t="str">
        <f ca="1">IF(ISNA($B184),"",IF($B184="","",IFERROR(_xll.BDP(TICKER,"DEEP_MEASURE_PERIOD_BROKER_VALUE","DEEP_MEASURE_ID_OVERRIDE",$C184,"DEEP_BROKER_ID_OVERRIDE",$F$7,"DEEP_PERIOD_OVERRIDE",AI$11)*1,"")))</f>
        <v/>
      </c>
      <c r="AJ184" s="17" t="str">
        <f ca="1">IF(ISNA($B184),"",IF($B184="","",IFERROR(_xll.BDP(TICKER,"DEEP_MEASURE_PERIOD_BROKER_VALUE","DEEP_MEASURE_ID_OVERRIDE",$C184,"DEEP_BROKER_ID_OVERRIDE",$F$7,"DEEP_PERIOD_OVERRIDE",AJ$11)*1,"")))</f>
        <v/>
      </c>
      <c r="AK184" s="17" t="str">
        <f ca="1">IF(ISNA($B184),"",IF($B184="","",IFERROR(_xll.BDP(TICKER,"DEEP_MEASURE_PERIOD_BROKER_VALUE","DEEP_MEASURE_ID_OVERRIDE",$C184,"DEEP_BROKER_ID_OVERRIDE",$F$7,"DEEP_PERIOD_OVERRIDE",AK$11)*1,"")))</f>
        <v/>
      </c>
      <c r="AL184" s="17" t="str">
        <f ca="1">IF(ISNA($B184),"",IF($B184="","",IFERROR(_xll.BDP(TICKER,"DEEP_MEASURE_PERIOD_BROKER_VALUE","DEEP_MEASURE_ID_OVERRIDE",$C184,"DEEP_BROKER_ID_OVERRIDE",$F$7,"DEEP_PERIOD_OVERRIDE",AL$11)*1,"")))</f>
        <v/>
      </c>
      <c r="AM184" s="17" t="str">
        <f ca="1">IF(ISNA($B184),"",IF($B184="","",IFERROR(_xll.BDP(TICKER,"DEEP_MEASURE_PERIOD_BROKER_VALUE","DEEP_MEASURE_ID_OVERRIDE",$C184,"DEEP_BROKER_ID_OVERRIDE",$F$7,"DEEP_PERIOD_OVERRIDE",AM$11)*1,"")))</f>
        <v/>
      </c>
      <c r="AN184" s="17" t="str">
        <f ca="1">IF(ISNA($B184),"",IF($B184="","",IFERROR(_xll.BDP(TICKER,"DEEP_MEASURE_PERIOD_BROKER_VALUE","DEEP_MEASURE_ID_OVERRIDE",$C184,"DEEP_BROKER_ID_OVERRIDE",$F$7,"DEEP_PERIOD_OVERRIDE",AN$11)*1,"")))</f>
        <v/>
      </c>
      <c r="AO184" s="17" t="str">
        <f ca="1">IF(ISNA($B184),"",IF($B184="","",IFERROR(_xll.BDP(TICKER,"DEEP_MEASURE_PERIOD_BROKER_VALUE","DEEP_MEASURE_ID_OVERRIDE",$C184,"DEEP_BROKER_ID_OVERRIDE",$F$7,"DEEP_PERIOD_OVERRIDE",AO$11)*1,"")))</f>
        <v/>
      </c>
      <c r="AP184" s="17" t="str">
        <f ca="1">IF(ISNA($B184),"",IF($B184="","",IFERROR(_xll.BDP(TICKER,"DEEP_MEASURE_PERIOD_BROKER_VALUE","DEEP_MEASURE_ID_OVERRIDE",$C184,"DEEP_BROKER_ID_OVERRIDE",$F$7,"DEEP_PERIOD_OVERRIDE",AP$11)*1,"")))</f>
        <v/>
      </c>
      <c r="AQ184" s="17" t="str">
        <f ca="1">IF(ISNA($B184),"",IF($B184="","",IFERROR(_xll.BDP(TICKER,"DEEP_MEASURE_PERIOD_BROKER_VALUE","DEEP_MEASURE_ID_OVERRIDE",$C184,"DEEP_BROKER_ID_OVERRIDE",$F$7,"DEEP_PERIOD_OVERRIDE",AQ$11)*1,"")))</f>
        <v/>
      </c>
    </row>
    <row r="185" spans="2:43" x14ac:dyDescent="0.25">
      <c r="B185" t="s">
        <v>62</v>
      </c>
      <c r="C185">
        <v>1599</v>
      </c>
      <c r="H185" t="str">
        <f t="shared" si="4"/>
        <v>Net Debt (Cash)</v>
      </c>
      <c r="I185" s="17" t="str">
        <f ca="1">IF(ISNA($B185),"",IF($B185="","",IFERROR(_xll.BDP(TICKER,"DEEP_MEASURE_PERIOD_BROKER_VALUE","DEEP_MEASURE_ID_OVERRIDE",$C185,"DEEP_BROKER_ID_OVERRIDE",$F$7,"DEEP_PERIOD_OVERRIDE",I$11)*1,"")))</f>
        <v/>
      </c>
      <c r="J185" s="17" t="str">
        <f ca="1">IF(ISNA($B185),"",IF($B185="","",IFERROR(_xll.BDP(TICKER,"DEEP_MEASURE_PERIOD_BROKER_VALUE","DEEP_MEASURE_ID_OVERRIDE",$C185,"DEEP_BROKER_ID_OVERRIDE",$F$7,"DEEP_PERIOD_OVERRIDE",J$11)*1,"")))</f>
        <v/>
      </c>
      <c r="K185" s="17" t="str">
        <f ca="1">IF(ISNA($B185),"",IF($B185="","",IFERROR(_xll.BDP(TICKER,"DEEP_MEASURE_PERIOD_BROKER_VALUE","DEEP_MEASURE_ID_OVERRIDE",$C185,"DEEP_BROKER_ID_OVERRIDE",$F$7,"DEEP_PERIOD_OVERRIDE",K$11)*1,"")))</f>
        <v/>
      </c>
      <c r="L185" s="17" t="str">
        <f ca="1">IF(ISNA($B185),"",IF($B185="","",IFERROR(_xll.BDP(TICKER,"DEEP_MEASURE_PERIOD_BROKER_VALUE","DEEP_MEASURE_ID_OVERRIDE",$C185,"DEEP_BROKER_ID_OVERRIDE",$F$7,"DEEP_PERIOD_OVERRIDE",L$11)*1,"")))</f>
        <v/>
      </c>
      <c r="M185" s="17" t="str">
        <f ca="1">IF(ISNA($B185),"",IF($B185="","",IFERROR(_xll.BDP(TICKER,"DEEP_MEASURE_PERIOD_BROKER_VALUE","DEEP_MEASURE_ID_OVERRIDE",$C185,"DEEP_BROKER_ID_OVERRIDE",$F$7,"DEEP_PERIOD_OVERRIDE",M$11)*1,"")))</f>
        <v/>
      </c>
      <c r="N185" s="17" t="str">
        <f ca="1">IF(ISNA($B185),"",IF($B185="","",IFERROR(_xll.BDP(TICKER,"DEEP_MEASURE_PERIOD_BROKER_VALUE","DEEP_MEASURE_ID_OVERRIDE",$C185,"DEEP_BROKER_ID_OVERRIDE",$F$7,"DEEP_PERIOD_OVERRIDE",N$11)*1,"")))</f>
        <v/>
      </c>
      <c r="O185" s="17" t="str">
        <f ca="1">IF(ISNA($B185),"",IF($B185="","",IFERROR(_xll.BDP(TICKER,"DEEP_MEASURE_PERIOD_BROKER_VALUE","DEEP_MEASURE_ID_OVERRIDE",$C185,"DEEP_BROKER_ID_OVERRIDE",$F$7,"DEEP_PERIOD_OVERRIDE",O$11)*1,"")))</f>
        <v/>
      </c>
      <c r="P185" s="17" t="str">
        <f ca="1">IF(ISNA($B185),"",IF($B185="","",IFERROR(_xll.BDP(TICKER,"DEEP_MEASURE_PERIOD_BROKER_VALUE","DEEP_MEASURE_ID_OVERRIDE",$C185,"DEEP_BROKER_ID_OVERRIDE",$F$7,"DEEP_PERIOD_OVERRIDE",P$11)*1,"")))</f>
        <v/>
      </c>
      <c r="Q185" s="17" t="str">
        <f ca="1">IF(ISNA($B185),"",IF($B185="","",IFERROR(_xll.BDP(TICKER,"DEEP_MEASURE_PERIOD_BROKER_VALUE","DEEP_MEASURE_ID_OVERRIDE",$C185,"DEEP_BROKER_ID_OVERRIDE",$F$7,"DEEP_PERIOD_OVERRIDE",Q$11)*1,"")))</f>
        <v/>
      </c>
      <c r="R185" s="17" t="str">
        <f ca="1">IF(ISNA($B185),"",IF($B185="","",IFERROR(_xll.BDP(TICKER,"DEEP_MEASURE_PERIOD_BROKER_VALUE","DEEP_MEASURE_ID_OVERRIDE",$C185,"DEEP_BROKER_ID_OVERRIDE",$F$7,"DEEP_PERIOD_OVERRIDE",R$11)*1,"")))</f>
        <v/>
      </c>
      <c r="S185" s="17" t="str">
        <f ca="1">IF(ISNA($B185),"",IF($B185="","",IFERROR(_xll.BDP(TICKER,"DEEP_MEASURE_PERIOD_BROKER_VALUE","DEEP_MEASURE_ID_OVERRIDE",$C185,"DEEP_BROKER_ID_OVERRIDE",$F$7,"DEEP_PERIOD_OVERRIDE",S$11)*1,"")))</f>
        <v/>
      </c>
      <c r="T185" s="17" t="str">
        <f ca="1">IF(ISNA($B185),"",IF($B185="","",IFERROR(_xll.BDP(TICKER,"DEEP_MEASURE_PERIOD_BROKER_VALUE","DEEP_MEASURE_ID_OVERRIDE",$C185,"DEEP_BROKER_ID_OVERRIDE",$F$7,"DEEP_PERIOD_OVERRIDE",T$11)*1,"")))</f>
        <v/>
      </c>
      <c r="U185" s="17" t="str">
        <f ca="1">IF(ISNA($B185),"",IF($B185="","",IFERROR(_xll.BDP(TICKER,"DEEP_MEASURE_PERIOD_BROKER_VALUE","DEEP_MEASURE_ID_OVERRIDE",$C185,"DEEP_BROKER_ID_OVERRIDE",$F$7,"DEEP_PERIOD_OVERRIDE",U$11)*1,"")))</f>
        <v/>
      </c>
      <c r="V185" s="17" t="str">
        <f ca="1">IF(ISNA($B185),"",IF($B185="","",IFERROR(_xll.BDP(TICKER,"DEEP_MEASURE_PERIOD_BROKER_VALUE","DEEP_MEASURE_ID_OVERRIDE",$C185,"DEEP_BROKER_ID_OVERRIDE",$F$7,"DEEP_PERIOD_OVERRIDE",V$11)*1,"")))</f>
        <v/>
      </c>
      <c r="W185" s="17" t="str">
        <f ca="1">IF(ISNA($B185),"",IF($B185="","",IFERROR(_xll.BDP(TICKER,"DEEP_MEASURE_PERIOD_BROKER_VALUE","DEEP_MEASURE_ID_OVERRIDE",$C185,"DEEP_BROKER_ID_OVERRIDE",$F$7,"DEEP_PERIOD_OVERRIDE",W$11)*1,"")))</f>
        <v/>
      </c>
      <c r="X185" s="17" t="str">
        <f ca="1">IF(ISNA($B185),"",IF($B185="","",IFERROR(_xll.BDP(TICKER,"DEEP_MEASURE_PERIOD_BROKER_VALUE","DEEP_MEASURE_ID_OVERRIDE",$C185,"DEEP_BROKER_ID_OVERRIDE",$F$7,"DEEP_PERIOD_OVERRIDE",X$11)*1,"")))</f>
        <v/>
      </c>
      <c r="Y185" s="17" t="str">
        <f ca="1">IF(ISNA($B185),"",IF($B185="","",IFERROR(_xll.BDP(TICKER,"DEEP_MEASURE_PERIOD_BROKER_VALUE","DEEP_MEASURE_ID_OVERRIDE",$C185,"DEEP_BROKER_ID_OVERRIDE",$F$7,"DEEP_PERIOD_OVERRIDE",Y$11)*1,"")))</f>
        <v/>
      </c>
      <c r="Z185" s="17" t="str">
        <f ca="1">IF(ISNA($B185),"",IF($B185="","",IFERROR(_xll.BDP(TICKER,"DEEP_MEASURE_PERIOD_BROKER_VALUE","DEEP_MEASURE_ID_OVERRIDE",$C185,"DEEP_BROKER_ID_OVERRIDE",$F$7,"DEEP_PERIOD_OVERRIDE",Z$11)*1,"")))</f>
        <v/>
      </c>
      <c r="AA185" s="17" t="str">
        <f ca="1">IF(ISNA($B185),"",IF($B185="","",IFERROR(_xll.BDP(TICKER,"DEEP_MEASURE_PERIOD_BROKER_VALUE","DEEP_MEASURE_ID_OVERRIDE",$C185,"DEEP_BROKER_ID_OVERRIDE",$F$7,"DEEP_PERIOD_OVERRIDE",AA$11)*1,"")))</f>
        <v/>
      </c>
      <c r="AB185" s="17" t="str">
        <f ca="1">IF(ISNA($B185),"",IF($B185="","",IFERROR(_xll.BDP(TICKER,"DEEP_MEASURE_PERIOD_BROKER_VALUE","DEEP_MEASURE_ID_OVERRIDE",$C185,"DEEP_BROKER_ID_OVERRIDE",$F$7,"DEEP_PERIOD_OVERRIDE",AB$11)*1,"")))</f>
        <v/>
      </c>
      <c r="AC185" s="17" t="str">
        <f ca="1">IF(ISNA($B185),"",IF($B185="","",IFERROR(_xll.BDP(TICKER,"DEEP_MEASURE_PERIOD_BROKER_VALUE","DEEP_MEASURE_ID_OVERRIDE",$C185,"DEEP_BROKER_ID_OVERRIDE",$F$7,"DEEP_PERIOD_OVERRIDE",AC$11)*1,"")))</f>
        <v/>
      </c>
      <c r="AD185" s="17" t="str">
        <f ca="1">IF(ISNA($B185),"",IF($B185="","",IFERROR(_xll.BDP(TICKER,"DEEP_MEASURE_PERIOD_BROKER_VALUE","DEEP_MEASURE_ID_OVERRIDE",$C185,"DEEP_BROKER_ID_OVERRIDE",$F$7,"DEEP_PERIOD_OVERRIDE",AD$11)*1,"")))</f>
        <v/>
      </c>
      <c r="AE185" s="17" t="str">
        <f ca="1">IF(ISNA($B185),"",IF($B185="","",IFERROR(_xll.BDP(TICKER,"DEEP_MEASURE_PERIOD_BROKER_VALUE","DEEP_MEASURE_ID_OVERRIDE",$C185,"DEEP_BROKER_ID_OVERRIDE",$F$7,"DEEP_PERIOD_OVERRIDE",AE$11)*1,"")))</f>
        <v/>
      </c>
      <c r="AF185" s="17" t="str">
        <f ca="1">IF(ISNA($B185),"",IF($B185="","",IFERROR(_xll.BDP(TICKER,"DEEP_MEASURE_PERIOD_BROKER_VALUE","DEEP_MEASURE_ID_OVERRIDE",$C185,"DEEP_BROKER_ID_OVERRIDE",$F$7,"DEEP_PERIOD_OVERRIDE",AF$11)*1,"")))</f>
        <v/>
      </c>
      <c r="AG185" s="17" t="str">
        <f ca="1">IF(ISNA($B185),"",IF($B185="","",IFERROR(_xll.BDP(TICKER,"DEEP_MEASURE_PERIOD_BROKER_VALUE","DEEP_MEASURE_ID_OVERRIDE",$C185,"DEEP_BROKER_ID_OVERRIDE",$F$7,"DEEP_PERIOD_OVERRIDE",AG$11)*1,"")))</f>
        <v/>
      </c>
      <c r="AH185" s="17" t="str">
        <f ca="1">IF(ISNA($B185),"",IF($B185="","",IFERROR(_xll.BDP(TICKER,"DEEP_MEASURE_PERIOD_BROKER_VALUE","DEEP_MEASURE_ID_OVERRIDE",$C185,"DEEP_BROKER_ID_OVERRIDE",$F$7,"DEEP_PERIOD_OVERRIDE",AH$11)*1,"")))</f>
        <v/>
      </c>
      <c r="AI185" s="17" t="str">
        <f ca="1">IF(ISNA($B185),"",IF($B185="","",IFERROR(_xll.BDP(TICKER,"DEEP_MEASURE_PERIOD_BROKER_VALUE","DEEP_MEASURE_ID_OVERRIDE",$C185,"DEEP_BROKER_ID_OVERRIDE",$F$7,"DEEP_PERIOD_OVERRIDE",AI$11)*1,"")))</f>
        <v/>
      </c>
      <c r="AJ185" s="17" t="str">
        <f ca="1">IF(ISNA($B185),"",IF($B185="","",IFERROR(_xll.BDP(TICKER,"DEEP_MEASURE_PERIOD_BROKER_VALUE","DEEP_MEASURE_ID_OVERRIDE",$C185,"DEEP_BROKER_ID_OVERRIDE",$F$7,"DEEP_PERIOD_OVERRIDE",AJ$11)*1,"")))</f>
        <v/>
      </c>
      <c r="AK185" s="17" t="str">
        <f ca="1">IF(ISNA($B185),"",IF($B185="","",IFERROR(_xll.BDP(TICKER,"DEEP_MEASURE_PERIOD_BROKER_VALUE","DEEP_MEASURE_ID_OVERRIDE",$C185,"DEEP_BROKER_ID_OVERRIDE",$F$7,"DEEP_PERIOD_OVERRIDE",AK$11)*1,"")))</f>
        <v/>
      </c>
      <c r="AL185" s="17" t="str">
        <f ca="1">IF(ISNA($B185),"",IF($B185="","",IFERROR(_xll.BDP(TICKER,"DEEP_MEASURE_PERIOD_BROKER_VALUE","DEEP_MEASURE_ID_OVERRIDE",$C185,"DEEP_BROKER_ID_OVERRIDE",$F$7,"DEEP_PERIOD_OVERRIDE",AL$11)*1,"")))</f>
        <v/>
      </c>
      <c r="AM185" s="17" t="str">
        <f ca="1">IF(ISNA($B185),"",IF($B185="","",IFERROR(_xll.BDP(TICKER,"DEEP_MEASURE_PERIOD_BROKER_VALUE","DEEP_MEASURE_ID_OVERRIDE",$C185,"DEEP_BROKER_ID_OVERRIDE",$F$7,"DEEP_PERIOD_OVERRIDE",AM$11)*1,"")))</f>
        <v/>
      </c>
      <c r="AN185" s="17" t="str">
        <f ca="1">IF(ISNA($B185),"",IF($B185="","",IFERROR(_xll.BDP(TICKER,"DEEP_MEASURE_PERIOD_BROKER_VALUE","DEEP_MEASURE_ID_OVERRIDE",$C185,"DEEP_BROKER_ID_OVERRIDE",$F$7,"DEEP_PERIOD_OVERRIDE",AN$11)*1,"")))</f>
        <v/>
      </c>
      <c r="AO185" s="17" t="str">
        <f ca="1">IF(ISNA($B185),"",IF($B185="","",IFERROR(_xll.BDP(TICKER,"DEEP_MEASURE_PERIOD_BROKER_VALUE","DEEP_MEASURE_ID_OVERRIDE",$C185,"DEEP_BROKER_ID_OVERRIDE",$F$7,"DEEP_PERIOD_OVERRIDE",AO$11)*1,"")))</f>
        <v/>
      </c>
      <c r="AP185" s="17" t="str">
        <f ca="1">IF(ISNA($B185),"",IF($B185="","",IFERROR(_xll.BDP(TICKER,"DEEP_MEASURE_PERIOD_BROKER_VALUE","DEEP_MEASURE_ID_OVERRIDE",$C185,"DEEP_BROKER_ID_OVERRIDE",$F$7,"DEEP_PERIOD_OVERRIDE",AP$11)*1,"")))</f>
        <v/>
      </c>
      <c r="AQ185" s="17" t="str">
        <f ca="1">IF(ISNA($B185),"",IF($B185="","",IFERROR(_xll.BDP(TICKER,"DEEP_MEASURE_PERIOD_BROKER_VALUE","DEEP_MEASURE_ID_OVERRIDE",$C185,"DEEP_BROKER_ID_OVERRIDE",$F$7,"DEEP_PERIOD_OVERRIDE",AQ$11)*1,"")))</f>
        <v/>
      </c>
    </row>
    <row r="186" spans="2:43" x14ac:dyDescent="0.25">
      <c r="B186" t="s">
        <v>63</v>
      </c>
      <c r="C186">
        <v>3242</v>
      </c>
      <c r="H186" t="str">
        <f t="shared" si="4"/>
        <v>Total Debt to Capital</v>
      </c>
      <c r="I186" s="17" t="str">
        <f ca="1">IF(ISNA($B186),"",IF($B186="","",IFERROR(_xll.BDP(TICKER,"DEEP_MEASURE_PERIOD_BROKER_VALUE","DEEP_MEASURE_ID_OVERRIDE",$C186,"DEEP_BROKER_ID_OVERRIDE",$F$7,"DEEP_PERIOD_OVERRIDE",I$11)*1,"")))</f>
        <v/>
      </c>
      <c r="J186" s="17" t="str">
        <f ca="1">IF(ISNA($B186),"",IF($B186="","",IFERROR(_xll.BDP(TICKER,"DEEP_MEASURE_PERIOD_BROKER_VALUE","DEEP_MEASURE_ID_OVERRIDE",$C186,"DEEP_BROKER_ID_OVERRIDE",$F$7,"DEEP_PERIOD_OVERRIDE",J$11)*1,"")))</f>
        <v/>
      </c>
      <c r="K186" s="17" t="str">
        <f ca="1">IF(ISNA($B186),"",IF($B186="","",IFERROR(_xll.BDP(TICKER,"DEEP_MEASURE_PERIOD_BROKER_VALUE","DEEP_MEASURE_ID_OVERRIDE",$C186,"DEEP_BROKER_ID_OVERRIDE",$F$7,"DEEP_PERIOD_OVERRIDE",K$11)*1,"")))</f>
        <v/>
      </c>
      <c r="L186" s="17" t="str">
        <f ca="1">IF(ISNA($B186),"",IF($B186="","",IFERROR(_xll.BDP(TICKER,"DEEP_MEASURE_PERIOD_BROKER_VALUE","DEEP_MEASURE_ID_OVERRIDE",$C186,"DEEP_BROKER_ID_OVERRIDE",$F$7,"DEEP_PERIOD_OVERRIDE",L$11)*1,"")))</f>
        <v/>
      </c>
      <c r="M186" s="17" t="str">
        <f ca="1">IF(ISNA($B186),"",IF($B186="","",IFERROR(_xll.BDP(TICKER,"DEEP_MEASURE_PERIOD_BROKER_VALUE","DEEP_MEASURE_ID_OVERRIDE",$C186,"DEEP_BROKER_ID_OVERRIDE",$F$7,"DEEP_PERIOD_OVERRIDE",M$11)*1,"")))</f>
        <v/>
      </c>
      <c r="N186" s="17" t="str">
        <f ca="1">IF(ISNA($B186),"",IF($B186="","",IFERROR(_xll.BDP(TICKER,"DEEP_MEASURE_PERIOD_BROKER_VALUE","DEEP_MEASURE_ID_OVERRIDE",$C186,"DEEP_BROKER_ID_OVERRIDE",$F$7,"DEEP_PERIOD_OVERRIDE",N$11)*1,"")))</f>
        <v/>
      </c>
      <c r="O186" s="17" t="str">
        <f ca="1">IF(ISNA($B186),"",IF($B186="","",IFERROR(_xll.BDP(TICKER,"DEEP_MEASURE_PERIOD_BROKER_VALUE","DEEP_MEASURE_ID_OVERRIDE",$C186,"DEEP_BROKER_ID_OVERRIDE",$F$7,"DEEP_PERIOD_OVERRIDE",O$11)*1,"")))</f>
        <v/>
      </c>
      <c r="P186" s="17" t="str">
        <f ca="1">IF(ISNA($B186),"",IF($B186="","",IFERROR(_xll.BDP(TICKER,"DEEP_MEASURE_PERIOD_BROKER_VALUE","DEEP_MEASURE_ID_OVERRIDE",$C186,"DEEP_BROKER_ID_OVERRIDE",$F$7,"DEEP_PERIOD_OVERRIDE",P$11)*1,"")))</f>
        <v/>
      </c>
      <c r="Q186" s="17" t="str">
        <f ca="1">IF(ISNA($B186),"",IF($B186="","",IFERROR(_xll.BDP(TICKER,"DEEP_MEASURE_PERIOD_BROKER_VALUE","DEEP_MEASURE_ID_OVERRIDE",$C186,"DEEP_BROKER_ID_OVERRIDE",$F$7,"DEEP_PERIOD_OVERRIDE",Q$11)*1,"")))</f>
        <v/>
      </c>
      <c r="R186" s="17" t="str">
        <f ca="1">IF(ISNA($B186),"",IF($B186="","",IFERROR(_xll.BDP(TICKER,"DEEP_MEASURE_PERIOD_BROKER_VALUE","DEEP_MEASURE_ID_OVERRIDE",$C186,"DEEP_BROKER_ID_OVERRIDE",$F$7,"DEEP_PERIOD_OVERRIDE",R$11)*1,"")))</f>
        <v/>
      </c>
      <c r="S186" s="17" t="str">
        <f ca="1">IF(ISNA($B186),"",IF($B186="","",IFERROR(_xll.BDP(TICKER,"DEEP_MEASURE_PERIOD_BROKER_VALUE","DEEP_MEASURE_ID_OVERRIDE",$C186,"DEEP_BROKER_ID_OVERRIDE",$F$7,"DEEP_PERIOD_OVERRIDE",S$11)*1,"")))</f>
        <v/>
      </c>
      <c r="T186" s="17" t="str">
        <f ca="1">IF(ISNA($B186),"",IF($B186="","",IFERROR(_xll.BDP(TICKER,"DEEP_MEASURE_PERIOD_BROKER_VALUE","DEEP_MEASURE_ID_OVERRIDE",$C186,"DEEP_BROKER_ID_OVERRIDE",$F$7,"DEEP_PERIOD_OVERRIDE",T$11)*1,"")))</f>
        <v/>
      </c>
      <c r="U186" s="17" t="str">
        <f ca="1">IF(ISNA($B186),"",IF($B186="","",IFERROR(_xll.BDP(TICKER,"DEEP_MEASURE_PERIOD_BROKER_VALUE","DEEP_MEASURE_ID_OVERRIDE",$C186,"DEEP_BROKER_ID_OVERRIDE",$F$7,"DEEP_PERIOD_OVERRIDE",U$11)*1,"")))</f>
        <v/>
      </c>
      <c r="V186" s="17" t="str">
        <f ca="1">IF(ISNA($B186),"",IF($B186="","",IFERROR(_xll.BDP(TICKER,"DEEP_MEASURE_PERIOD_BROKER_VALUE","DEEP_MEASURE_ID_OVERRIDE",$C186,"DEEP_BROKER_ID_OVERRIDE",$F$7,"DEEP_PERIOD_OVERRIDE",V$11)*1,"")))</f>
        <v/>
      </c>
      <c r="W186" s="17" t="str">
        <f ca="1">IF(ISNA($B186),"",IF($B186="","",IFERROR(_xll.BDP(TICKER,"DEEP_MEASURE_PERIOD_BROKER_VALUE","DEEP_MEASURE_ID_OVERRIDE",$C186,"DEEP_BROKER_ID_OVERRIDE",$F$7,"DEEP_PERIOD_OVERRIDE",W$11)*1,"")))</f>
        <v/>
      </c>
      <c r="X186" s="17" t="str">
        <f ca="1">IF(ISNA($B186),"",IF($B186="","",IFERROR(_xll.BDP(TICKER,"DEEP_MEASURE_PERIOD_BROKER_VALUE","DEEP_MEASURE_ID_OVERRIDE",$C186,"DEEP_BROKER_ID_OVERRIDE",$F$7,"DEEP_PERIOD_OVERRIDE",X$11)*1,"")))</f>
        <v/>
      </c>
      <c r="Y186" s="17" t="str">
        <f ca="1">IF(ISNA($B186),"",IF($B186="","",IFERROR(_xll.BDP(TICKER,"DEEP_MEASURE_PERIOD_BROKER_VALUE","DEEP_MEASURE_ID_OVERRIDE",$C186,"DEEP_BROKER_ID_OVERRIDE",$F$7,"DEEP_PERIOD_OVERRIDE",Y$11)*1,"")))</f>
        <v/>
      </c>
      <c r="Z186" s="17" t="str">
        <f ca="1">IF(ISNA($B186),"",IF($B186="","",IFERROR(_xll.BDP(TICKER,"DEEP_MEASURE_PERIOD_BROKER_VALUE","DEEP_MEASURE_ID_OVERRIDE",$C186,"DEEP_BROKER_ID_OVERRIDE",$F$7,"DEEP_PERIOD_OVERRIDE",Z$11)*1,"")))</f>
        <v/>
      </c>
      <c r="AA186" s="17" t="str">
        <f ca="1">IF(ISNA($B186),"",IF($B186="","",IFERROR(_xll.BDP(TICKER,"DEEP_MEASURE_PERIOD_BROKER_VALUE","DEEP_MEASURE_ID_OVERRIDE",$C186,"DEEP_BROKER_ID_OVERRIDE",$F$7,"DEEP_PERIOD_OVERRIDE",AA$11)*1,"")))</f>
        <v/>
      </c>
      <c r="AB186" s="17" t="str">
        <f ca="1">IF(ISNA($B186),"",IF($B186="","",IFERROR(_xll.BDP(TICKER,"DEEP_MEASURE_PERIOD_BROKER_VALUE","DEEP_MEASURE_ID_OVERRIDE",$C186,"DEEP_BROKER_ID_OVERRIDE",$F$7,"DEEP_PERIOD_OVERRIDE",AB$11)*1,"")))</f>
        <v/>
      </c>
      <c r="AC186" s="17" t="str">
        <f ca="1">IF(ISNA($B186),"",IF($B186="","",IFERROR(_xll.BDP(TICKER,"DEEP_MEASURE_PERIOD_BROKER_VALUE","DEEP_MEASURE_ID_OVERRIDE",$C186,"DEEP_BROKER_ID_OVERRIDE",$F$7,"DEEP_PERIOD_OVERRIDE",AC$11)*1,"")))</f>
        <v/>
      </c>
      <c r="AD186" s="17" t="str">
        <f ca="1">IF(ISNA($B186),"",IF($B186="","",IFERROR(_xll.BDP(TICKER,"DEEP_MEASURE_PERIOD_BROKER_VALUE","DEEP_MEASURE_ID_OVERRIDE",$C186,"DEEP_BROKER_ID_OVERRIDE",$F$7,"DEEP_PERIOD_OVERRIDE",AD$11)*1,"")))</f>
        <v/>
      </c>
      <c r="AE186" s="17" t="str">
        <f ca="1">IF(ISNA($B186),"",IF($B186="","",IFERROR(_xll.BDP(TICKER,"DEEP_MEASURE_PERIOD_BROKER_VALUE","DEEP_MEASURE_ID_OVERRIDE",$C186,"DEEP_BROKER_ID_OVERRIDE",$F$7,"DEEP_PERIOD_OVERRIDE",AE$11)*1,"")))</f>
        <v/>
      </c>
      <c r="AF186" s="17" t="str">
        <f ca="1">IF(ISNA($B186),"",IF($B186="","",IFERROR(_xll.BDP(TICKER,"DEEP_MEASURE_PERIOD_BROKER_VALUE","DEEP_MEASURE_ID_OVERRIDE",$C186,"DEEP_BROKER_ID_OVERRIDE",$F$7,"DEEP_PERIOD_OVERRIDE",AF$11)*1,"")))</f>
        <v/>
      </c>
      <c r="AG186" s="17" t="str">
        <f ca="1">IF(ISNA($B186),"",IF($B186="","",IFERROR(_xll.BDP(TICKER,"DEEP_MEASURE_PERIOD_BROKER_VALUE","DEEP_MEASURE_ID_OVERRIDE",$C186,"DEEP_BROKER_ID_OVERRIDE",$F$7,"DEEP_PERIOD_OVERRIDE",AG$11)*1,"")))</f>
        <v/>
      </c>
      <c r="AH186" s="17" t="str">
        <f ca="1">IF(ISNA($B186),"",IF($B186="","",IFERROR(_xll.BDP(TICKER,"DEEP_MEASURE_PERIOD_BROKER_VALUE","DEEP_MEASURE_ID_OVERRIDE",$C186,"DEEP_BROKER_ID_OVERRIDE",$F$7,"DEEP_PERIOD_OVERRIDE",AH$11)*1,"")))</f>
        <v/>
      </c>
      <c r="AI186" s="17" t="str">
        <f ca="1">IF(ISNA($B186),"",IF($B186="","",IFERROR(_xll.BDP(TICKER,"DEEP_MEASURE_PERIOD_BROKER_VALUE","DEEP_MEASURE_ID_OVERRIDE",$C186,"DEEP_BROKER_ID_OVERRIDE",$F$7,"DEEP_PERIOD_OVERRIDE",AI$11)*1,"")))</f>
        <v/>
      </c>
      <c r="AJ186" s="17" t="str">
        <f ca="1">IF(ISNA($B186),"",IF($B186="","",IFERROR(_xll.BDP(TICKER,"DEEP_MEASURE_PERIOD_BROKER_VALUE","DEEP_MEASURE_ID_OVERRIDE",$C186,"DEEP_BROKER_ID_OVERRIDE",$F$7,"DEEP_PERIOD_OVERRIDE",AJ$11)*1,"")))</f>
        <v/>
      </c>
      <c r="AK186" s="17" t="str">
        <f ca="1">IF(ISNA($B186),"",IF($B186="","",IFERROR(_xll.BDP(TICKER,"DEEP_MEASURE_PERIOD_BROKER_VALUE","DEEP_MEASURE_ID_OVERRIDE",$C186,"DEEP_BROKER_ID_OVERRIDE",$F$7,"DEEP_PERIOD_OVERRIDE",AK$11)*1,"")))</f>
        <v/>
      </c>
      <c r="AL186" s="17" t="str">
        <f ca="1">IF(ISNA($B186),"",IF($B186="","",IFERROR(_xll.BDP(TICKER,"DEEP_MEASURE_PERIOD_BROKER_VALUE","DEEP_MEASURE_ID_OVERRIDE",$C186,"DEEP_BROKER_ID_OVERRIDE",$F$7,"DEEP_PERIOD_OVERRIDE",AL$11)*1,"")))</f>
        <v/>
      </c>
      <c r="AM186" s="17" t="str">
        <f ca="1">IF(ISNA($B186),"",IF($B186="","",IFERROR(_xll.BDP(TICKER,"DEEP_MEASURE_PERIOD_BROKER_VALUE","DEEP_MEASURE_ID_OVERRIDE",$C186,"DEEP_BROKER_ID_OVERRIDE",$F$7,"DEEP_PERIOD_OVERRIDE",AM$11)*1,"")))</f>
        <v/>
      </c>
      <c r="AN186" s="17" t="str">
        <f ca="1">IF(ISNA($B186),"",IF($B186="","",IFERROR(_xll.BDP(TICKER,"DEEP_MEASURE_PERIOD_BROKER_VALUE","DEEP_MEASURE_ID_OVERRIDE",$C186,"DEEP_BROKER_ID_OVERRIDE",$F$7,"DEEP_PERIOD_OVERRIDE",AN$11)*1,"")))</f>
        <v/>
      </c>
      <c r="AO186" s="17" t="str">
        <f ca="1">IF(ISNA($B186),"",IF($B186="","",IFERROR(_xll.BDP(TICKER,"DEEP_MEASURE_PERIOD_BROKER_VALUE","DEEP_MEASURE_ID_OVERRIDE",$C186,"DEEP_BROKER_ID_OVERRIDE",$F$7,"DEEP_PERIOD_OVERRIDE",AO$11)*1,"")))</f>
        <v/>
      </c>
      <c r="AP186" s="17" t="str">
        <f ca="1">IF(ISNA($B186),"",IF($B186="","",IFERROR(_xll.BDP(TICKER,"DEEP_MEASURE_PERIOD_BROKER_VALUE","DEEP_MEASURE_ID_OVERRIDE",$C186,"DEEP_BROKER_ID_OVERRIDE",$F$7,"DEEP_PERIOD_OVERRIDE",AP$11)*1,"")))</f>
        <v/>
      </c>
      <c r="AQ186" s="17" t="str">
        <f ca="1">IF(ISNA($B186),"",IF($B186="","",IFERROR(_xll.BDP(TICKER,"DEEP_MEASURE_PERIOD_BROKER_VALUE","DEEP_MEASURE_ID_OVERRIDE",$C186,"DEEP_BROKER_ID_OVERRIDE",$F$7,"DEEP_PERIOD_OVERRIDE",AQ$11)*1,"")))</f>
        <v/>
      </c>
    </row>
    <row r="187" spans="2:43" x14ac:dyDescent="0.25">
      <c r="B187" t="s">
        <v>64</v>
      </c>
      <c r="C187">
        <v>352</v>
      </c>
      <c r="H187" t="str">
        <f t="shared" si="4"/>
        <v>Cash from Operations Activities &gt; Net Income, GAAP</v>
      </c>
      <c r="I187" s="17" t="str">
        <f ca="1">IF(ISNA($B187),"",IF($B187="","",IFERROR(_xll.BDP(TICKER,"DEEP_MEASURE_PERIOD_BROKER_VALUE","DEEP_MEASURE_ID_OVERRIDE",$C187,"DEEP_BROKER_ID_OVERRIDE",$F$7,"DEEP_PERIOD_OVERRIDE",I$11)*1,"")))</f>
        <v/>
      </c>
      <c r="J187" s="17" t="str">
        <f ca="1">IF(ISNA($B187),"",IF($B187="","",IFERROR(_xll.BDP(TICKER,"DEEP_MEASURE_PERIOD_BROKER_VALUE","DEEP_MEASURE_ID_OVERRIDE",$C187,"DEEP_BROKER_ID_OVERRIDE",$F$7,"DEEP_PERIOD_OVERRIDE",J$11)*1,"")))</f>
        <v/>
      </c>
      <c r="K187" s="17" t="str">
        <f ca="1">IF(ISNA($B187),"",IF($B187="","",IFERROR(_xll.BDP(TICKER,"DEEP_MEASURE_PERIOD_BROKER_VALUE","DEEP_MEASURE_ID_OVERRIDE",$C187,"DEEP_BROKER_ID_OVERRIDE",$F$7,"DEEP_PERIOD_OVERRIDE",K$11)*1,"")))</f>
        <v/>
      </c>
      <c r="L187" s="17" t="str">
        <f ca="1">IF(ISNA($B187),"",IF($B187="","",IFERROR(_xll.BDP(TICKER,"DEEP_MEASURE_PERIOD_BROKER_VALUE","DEEP_MEASURE_ID_OVERRIDE",$C187,"DEEP_BROKER_ID_OVERRIDE",$F$7,"DEEP_PERIOD_OVERRIDE",L$11)*1,"")))</f>
        <v/>
      </c>
      <c r="M187" s="17" t="str">
        <f ca="1">IF(ISNA($B187),"",IF($B187="","",IFERROR(_xll.BDP(TICKER,"DEEP_MEASURE_PERIOD_BROKER_VALUE","DEEP_MEASURE_ID_OVERRIDE",$C187,"DEEP_BROKER_ID_OVERRIDE",$F$7,"DEEP_PERIOD_OVERRIDE",M$11)*1,"")))</f>
        <v/>
      </c>
      <c r="N187" s="17" t="str">
        <f ca="1">IF(ISNA($B187),"",IF($B187="","",IFERROR(_xll.BDP(TICKER,"DEEP_MEASURE_PERIOD_BROKER_VALUE","DEEP_MEASURE_ID_OVERRIDE",$C187,"DEEP_BROKER_ID_OVERRIDE",$F$7,"DEEP_PERIOD_OVERRIDE",N$11)*1,"")))</f>
        <v/>
      </c>
      <c r="O187" s="17" t="str">
        <f ca="1">IF(ISNA($B187),"",IF($B187="","",IFERROR(_xll.BDP(TICKER,"DEEP_MEASURE_PERIOD_BROKER_VALUE","DEEP_MEASURE_ID_OVERRIDE",$C187,"DEEP_BROKER_ID_OVERRIDE",$F$7,"DEEP_PERIOD_OVERRIDE",O$11)*1,"")))</f>
        <v/>
      </c>
      <c r="P187" s="17" t="str">
        <f ca="1">IF(ISNA($B187),"",IF($B187="","",IFERROR(_xll.BDP(TICKER,"DEEP_MEASURE_PERIOD_BROKER_VALUE","DEEP_MEASURE_ID_OVERRIDE",$C187,"DEEP_BROKER_ID_OVERRIDE",$F$7,"DEEP_PERIOD_OVERRIDE",P$11)*1,"")))</f>
        <v/>
      </c>
      <c r="Q187" s="17" t="str">
        <f ca="1">IF(ISNA($B187),"",IF($B187="","",IFERROR(_xll.BDP(TICKER,"DEEP_MEASURE_PERIOD_BROKER_VALUE","DEEP_MEASURE_ID_OVERRIDE",$C187,"DEEP_BROKER_ID_OVERRIDE",$F$7,"DEEP_PERIOD_OVERRIDE",Q$11)*1,"")))</f>
        <v/>
      </c>
      <c r="R187" s="17" t="str">
        <f ca="1">IF(ISNA($B187),"",IF($B187="","",IFERROR(_xll.BDP(TICKER,"DEEP_MEASURE_PERIOD_BROKER_VALUE","DEEP_MEASURE_ID_OVERRIDE",$C187,"DEEP_BROKER_ID_OVERRIDE",$F$7,"DEEP_PERIOD_OVERRIDE",R$11)*1,"")))</f>
        <v/>
      </c>
      <c r="S187" s="17" t="str">
        <f ca="1">IF(ISNA($B187),"",IF($B187="","",IFERROR(_xll.BDP(TICKER,"DEEP_MEASURE_PERIOD_BROKER_VALUE","DEEP_MEASURE_ID_OVERRIDE",$C187,"DEEP_BROKER_ID_OVERRIDE",$F$7,"DEEP_PERIOD_OVERRIDE",S$11)*1,"")))</f>
        <v/>
      </c>
      <c r="T187" s="17" t="str">
        <f ca="1">IF(ISNA($B187),"",IF($B187="","",IFERROR(_xll.BDP(TICKER,"DEEP_MEASURE_PERIOD_BROKER_VALUE","DEEP_MEASURE_ID_OVERRIDE",$C187,"DEEP_BROKER_ID_OVERRIDE",$F$7,"DEEP_PERIOD_OVERRIDE",T$11)*1,"")))</f>
        <v/>
      </c>
      <c r="U187" s="17" t="str">
        <f ca="1">IF(ISNA($B187),"",IF($B187="","",IFERROR(_xll.BDP(TICKER,"DEEP_MEASURE_PERIOD_BROKER_VALUE","DEEP_MEASURE_ID_OVERRIDE",$C187,"DEEP_BROKER_ID_OVERRIDE",$F$7,"DEEP_PERIOD_OVERRIDE",U$11)*1,"")))</f>
        <v/>
      </c>
      <c r="V187" s="17" t="str">
        <f ca="1">IF(ISNA($B187),"",IF($B187="","",IFERROR(_xll.BDP(TICKER,"DEEP_MEASURE_PERIOD_BROKER_VALUE","DEEP_MEASURE_ID_OVERRIDE",$C187,"DEEP_BROKER_ID_OVERRIDE",$F$7,"DEEP_PERIOD_OVERRIDE",V$11)*1,"")))</f>
        <v/>
      </c>
      <c r="W187" s="17" t="str">
        <f ca="1">IF(ISNA($B187),"",IF($B187="","",IFERROR(_xll.BDP(TICKER,"DEEP_MEASURE_PERIOD_BROKER_VALUE","DEEP_MEASURE_ID_OVERRIDE",$C187,"DEEP_BROKER_ID_OVERRIDE",$F$7,"DEEP_PERIOD_OVERRIDE",W$11)*1,"")))</f>
        <v/>
      </c>
      <c r="X187" s="17" t="str">
        <f ca="1">IF(ISNA($B187),"",IF($B187="","",IFERROR(_xll.BDP(TICKER,"DEEP_MEASURE_PERIOD_BROKER_VALUE","DEEP_MEASURE_ID_OVERRIDE",$C187,"DEEP_BROKER_ID_OVERRIDE",$F$7,"DEEP_PERIOD_OVERRIDE",X$11)*1,"")))</f>
        <v/>
      </c>
      <c r="Y187" s="17" t="str">
        <f ca="1">IF(ISNA($B187),"",IF($B187="","",IFERROR(_xll.BDP(TICKER,"DEEP_MEASURE_PERIOD_BROKER_VALUE","DEEP_MEASURE_ID_OVERRIDE",$C187,"DEEP_BROKER_ID_OVERRIDE",$F$7,"DEEP_PERIOD_OVERRIDE",Y$11)*1,"")))</f>
        <v/>
      </c>
      <c r="Z187" s="17" t="str">
        <f ca="1">IF(ISNA($B187),"",IF($B187="","",IFERROR(_xll.BDP(TICKER,"DEEP_MEASURE_PERIOD_BROKER_VALUE","DEEP_MEASURE_ID_OVERRIDE",$C187,"DEEP_BROKER_ID_OVERRIDE",$F$7,"DEEP_PERIOD_OVERRIDE",Z$11)*1,"")))</f>
        <v/>
      </c>
      <c r="AA187" s="17" t="str">
        <f ca="1">IF(ISNA($B187),"",IF($B187="","",IFERROR(_xll.BDP(TICKER,"DEEP_MEASURE_PERIOD_BROKER_VALUE","DEEP_MEASURE_ID_OVERRIDE",$C187,"DEEP_BROKER_ID_OVERRIDE",$F$7,"DEEP_PERIOD_OVERRIDE",AA$11)*1,"")))</f>
        <v/>
      </c>
      <c r="AB187" s="17" t="str">
        <f ca="1">IF(ISNA($B187),"",IF($B187="","",IFERROR(_xll.BDP(TICKER,"DEEP_MEASURE_PERIOD_BROKER_VALUE","DEEP_MEASURE_ID_OVERRIDE",$C187,"DEEP_BROKER_ID_OVERRIDE",$F$7,"DEEP_PERIOD_OVERRIDE",AB$11)*1,"")))</f>
        <v/>
      </c>
      <c r="AC187" s="17" t="str">
        <f ca="1">IF(ISNA($B187),"",IF($B187="","",IFERROR(_xll.BDP(TICKER,"DEEP_MEASURE_PERIOD_BROKER_VALUE","DEEP_MEASURE_ID_OVERRIDE",$C187,"DEEP_BROKER_ID_OVERRIDE",$F$7,"DEEP_PERIOD_OVERRIDE",AC$11)*1,"")))</f>
        <v/>
      </c>
      <c r="AD187" s="17" t="str">
        <f ca="1">IF(ISNA($B187),"",IF($B187="","",IFERROR(_xll.BDP(TICKER,"DEEP_MEASURE_PERIOD_BROKER_VALUE","DEEP_MEASURE_ID_OVERRIDE",$C187,"DEEP_BROKER_ID_OVERRIDE",$F$7,"DEEP_PERIOD_OVERRIDE",AD$11)*1,"")))</f>
        <v/>
      </c>
      <c r="AE187" s="17" t="str">
        <f ca="1">IF(ISNA($B187),"",IF($B187="","",IFERROR(_xll.BDP(TICKER,"DEEP_MEASURE_PERIOD_BROKER_VALUE","DEEP_MEASURE_ID_OVERRIDE",$C187,"DEEP_BROKER_ID_OVERRIDE",$F$7,"DEEP_PERIOD_OVERRIDE",AE$11)*1,"")))</f>
        <v/>
      </c>
      <c r="AF187" s="17" t="str">
        <f ca="1">IF(ISNA($B187),"",IF($B187="","",IFERROR(_xll.BDP(TICKER,"DEEP_MEASURE_PERIOD_BROKER_VALUE","DEEP_MEASURE_ID_OVERRIDE",$C187,"DEEP_BROKER_ID_OVERRIDE",$F$7,"DEEP_PERIOD_OVERRIDE",AF$11)*1,"")))</f>
        <v/>
      </c>
      <c r="AG187" s="17" t="str">
        <f ca="1">IF(ISNA($B187),"",IF($B187="","",IFERROR(_xll.BDP(TICKER,"DEEP_MEASURE_PERIOD_BROKER_VALUE","DEEP_MEASURE_ID_OVERRIDE",$C187,"DEEP_BROKER_ID_OVERRIDE",$F$7,"DEEP_PERIOD_OVERRIDE",AG$11)*1,"")))</f>
        <v/>
      </c>
      <c r="AH187" s="17" t="str">
        <f ca="1">IF(ISNA($B187),"",IF($B187="","",IFERROR(_xll.BDP(TICKER,"DEEP_MEASURE_PERIOD_BROKER_VALUE","DEEP_MEASURE_ID_OVERRIDE",$C187,"DEEP_BROKER_ID_OVERRIDE",$F$7,"DEEP_PERIOD_OVERRIDE",AH$11)*1,"")))</f>
        <v/>
      </c>
      <c r="AI187" s="17" t="str">
        <f ca="1">IF(ISNA($B187),"",IF($B187="","",IFERROR(_xll.BDP(TICKER,"DEEP_MEASURE_PERIOD_BROKER_VALUE","DEEP_MEASURE_ID_OVERRIDE",$C187,"DEEP_BROKER_ID_OVERRIDE",$F$7,"DEEP_PERIOD_OVERRIDE",AI$11)*1,"")))</f>
        <v/>
      </c>
      <c r="AJ187" s="17" t="str">
        <f ca="1">IF(ISNA($B187),"",IF($B187="","",IFERROR(_xll.BDP(TICKER,"DEEP_MEASURE_PERIOD_BROKER_VALUE","DEEP_MEASURE_ID_OVERRIDE",$C187,"DEEP_BROKER_ID_OVERRIDE",$F$7,"DEEP_PERIOD_OVERRIDE",AJ$11)*1,"")))</f>
        <v/>
      </c>
      <c r="AK187" s="17" t="str">
        <f ca="1">IF(ISNA($B187),"",IF($B187="","",IFERROR(_xll.BDP(TICKER,"DEEP_MEASURE_PERIOD_BROKER_VALUE","DEEP_MEASURE_ID_OVERRIDE",$C187,"DEEP_BROKER_ID_OVERRIDE",$F$7,"DEEP_PERIOD_OVERRIDE",AK$11)*1,"")))</f>
        <v/>
      </c>
      <c r="AL187" s="17" t="str">
        <f ca="1">IF(ISNA($B187),"",IF($B187="","",IFERROR(_xll.BDP(TICKER,"DEEP_MEASURE_PERIOD_BROKER_VALUE","DEEP_MEASURE_ID_OVERRIDE",$C187,"DEEP_BROKER_ID_OVERRIDE",$F$7,"DEEP_PERIOD_OVERRIDE",AL$11)*1,"")))</f>
        <v/>
      </c>
      <c r="AM187" s="17" t="str">
        <f ca="1">IF(ISNA($B187),"",IF($B187="","",IFERROR(_xll.BDP(TICKER,"DEEP_MEASURE_PERIOD_BROKER_VALUE","DEEP_MEASURE_ID_OVERRIDE",$C187,"DEEP_BROKER_ID_OVERRIDE",$F$7,"DEEP_PERIOD_OVERRIDE",AM$11)*1,"")))</f>
        <v/>
      </c>
      <c r="AN187" s="17" t="str">
        <f ca="1">IF(ISNA($B187),"",IF($B187="","",IFERROR(_xll.BDP(TICKER,"DEEP_MEASURE_PERIOD_BROKER_VALUE","DEEP_MEASURE_ID_OVERRIDE",$C187,"DEEP_BROKER_ID_OVERRIDE",$F$7,"DEEP_PERIOD_OVERRIDE",AN$11)*1,"")))</f>
        <v/>
      </c>
      <c r="AO187" s="17" t="str">
        <f ca="1">IF(ISNA($B187),"",IF($B187="","",IFERROR(_xll.BDP(TICKER,"DEEP_MEASURE_PERIOD_BROKER_VALUE","DEEP_MEASURE_ID_OVERRIDE",$C187,"DEEP_BROKER_ID_OVERRIDE",$F$7,"DEEP_PERIOD_OVERRIDE",AO$11)*1,"")))</f>
        <v/>
      </c>
      <c r="AP187" s="17" t="str">
        <f ca="1">IF(ISNA($B187),"",IF($B187="","",IFERROR(_xll.BDP(TICKER,"DEEP_MEASURE_PERIOD_BROKER_VALUE","DEEP_MEASURE_ID_OVERRIDE",$C187,"DEEP_BROKER_ID_OVERRIDE",$F$7,"DEEP_PERIOD_OVERRIDE",AP$11)*1,"")))</f>
        <v/>
      </c>
      <c r="AQ187" s="17" t="str">
        <f ca="1">IF(ISNA($B187),"",IF($B187="","",IFERROR(_xll.BDP(TICKER,"DEEP_MEASURE_PERIOD_BROKER_VALUE","DEEP_MEASURE_ID_OVERRIDE",$C187,"DEEP_BROKER_ID_OVERRIDE",$F$7,"DEEP_PERIOD_OVERRIDE",AQ$11)*1,"")))</f>
        <v/>
      </c>
    </row>
    <row r="188" spans="2:43" x14ac:dyDescent="0.25">
      <c r="B188" t="s">
        <v>65</v>
      </c>
      <c r="C188">
        <v>3675</v>
      </c>
      <c r="H188" t="str">
        <f t="shared" si="4"/>
        <v>Cash from Operations Activities &gt; Depreciation and Amortization</v>
      </c>
      <c r="I188" s="17" t="str">
        <f ca="1">IF(ISNA($B188),"",IF($B188="","",IFERROR(_xll.BDP(TICKER,"DEEP_MEASURE_PERIOD_BROKER_VALUE","DEEP_MEASURE_ID_OVERRIDE",$C188,"DEEP_BROKER_ID_OVERRIDE",$F$7,"DEEP_PERIOD_OVERRIDE",I$11)*1,"")))</f>
        <v/>
      </c>
      <c r="J188" s="17" t="str">
        <f ca="1">IF(ISNA($B188),"",IF($B188="","",IFERROR(_xll.BDP(TICKER,"DEEP_MEASURE_PERIOD_BROKER_VALUE","DEEP_MEASURE_ID_OVERRIDE",$C188,"DEEP_BROKER_ID_OVERRIDE",$F$7,"DEEP_PERIOD_OVERRIDE",J$11)*1,"")))</f>
        <v/>
      </c>
      <c r="K188" s="17" t="str">
        <f ca="1">IF(ISNA($B188),"",IF($B188="","",IFERROR(_xll.BDP(TICKER,"DEEP_MEASURE_PERIOD_BROKER_VALUE","DEEP_MEASURE_ID_OVERRIDE",$C188,"DEEP_BROKER_ID_OVERRIDE",$F$7,"DEEP_PERIOD_OVERRIDE",K$11)*1,"")))</f>
        <v/>
      </c>
      <c r="L188" s="17" t="str">
        <f ca="1">IF(ISNA($B188),"",IF($B188="","",IFERROR(_xll.BDP(TICKER,"DEEP_MEASURE_PERIOD_BROKER_VALUE","DEEP_MEASURE_ID_OVERRIDE",$C188,"DEEP_BROKER_ID_OVERRIDE",$F$7,"DEEP_PERIOD_OVERRIDE",L$11)*1,"")))</f>
        <v/>
      </c>
      <c r="M188" s="17" t="str">
        <f ca="1">IF(ISNA($B188),"",IF($B188="","",IFERROR(_xll.BDP(TICKER,"DEEP_MEASURE_PERIOD_BROKER_VALUE","DEEP_MEASURE_ID_OVERRIDE",$C188,"DEEP_BROKER_ID_OVERRIDE",$F$7,"DEEP_PERIOD_OVERRIDE",M$11)*1,"")))</f>
        <v/>
      </c>
      <c r="N188" s="17" t="str">
        <f ca="1">IF(ISNA($B188),"",IF($B188="","",IFERROR(_xll.BDP(TICKER,"DEEP_MEASURE_PERIOD_BROKER_VALUE","DEEP_MEASURE_ID_OVERRIDE",$C188,"DEEP_BROKER_ID_OVERRIDE",$F$7,"DEEP_PERIOD_OVERRIDE",N$11)*1,"")))</f>
        <v/>
      </c>
      <c r="O188" s="17" t="str">
        <f ca="1">IF(ISNA($B188),"",IF($B188="","",IFERROR(_xll.BDP(TICKER,"DEEP_MEASURE_PERIOD_BROKER_VALUE","DEEP_MEASURE_ID_OVERRIDE",$C188,"DEEP_BROKER_ID_OVERRIDE",$F$7,"DEEP_PERIOD_OVERRIDE",O$11)*1,"")))</f>
        <v/>
      </c>
      <c r="P188" s="17" t="str">
        <f ca="1">IF(ISNA($B188),"",IF($B188="","",IFERROR(_xll.BDP(TICKER,"DEEP_MEASURE_PERIOD_BROKER_VALUE","DEEP_MEASURE_ID_OVERRIDE",$C188,"DEEP_BROKER_ID_OVERRIDE",$F$7,"DEEP_PERIOD_OVERRIDE",P$11)*1,"")))</f>
        <v/>
      </c>
      <c r="Q188" s="17" t="str">
        <f ca="1">IF(ISNA($B188),"",IF($B188="","",IFERROR(_xll.BDP(TICKER,"DEEP_MEASURE_PERIOD_BROKER_VALUE","DEEP_MEASURE_ID_OVERRIDE",$C188,"DEEP_BROKER_ID_OVERRIDE",$F$7,"DEEP_PERIOD_OVERRIDE",Q$11)*1,"")))</f>
        <v/>
      </c>
      <c r="R188" s="17" t="str">
        <f ca="1">IF(ISNA($B188),"",IF($B188="","",IFERROR(_xll.BDP(TICKER,"DEEP_MEASURE_PERIOD_BROKER_VALUE","DEEP_MEASURE_ID_OVERRIDE",$C188,"DEEP_BROKER_ID_OVERRIDE",$F$7,"DEEP_PERIOD_OVERRIDE",R$11)*1,"")))</f>
        <v/>
      </c>
      <c r="S188" s="17" t="str">
        <f ca="1">IF(ISNA($B188),"",IF($B188="","",IFERROR(_xll.BDP(TICKER,"DEEP_MEASURE_PERIOD_BROKER_VALUE","DEEP_MEASURE_ID_OVERRIDE",$C188,"DEEP_BROKER_ID_OVERRIDE",$F$7,"DEEP_PERIOD_OVERRIDE",S$11)*1,"")))</f>
        <v/>
      </c>
      <c r="T188" s="17" t="str">
        <f ca="1">IF(ISNA($B188),"",IF($B188="","",IFERROR(_xll.BDP(TICKER,"DEEP_MEASURE_PERIOD_BROKER_VALUE","DEEP_MEASURE_ID_OVERRIDE",$C188,"DEEP_BROKER_ID_OVERRIDE",$F$7,"DEEP_PERIOD_OVERRIDE",T$11)*1,"")))</f>
        <v/>
      </c>
      <c r="U188" s="17" t="str">
        <f ca="1">IF(ISNA($B188),"",IF($B188="","",IFERROR(_xll.BDP(TICKER,"DEEP_MEASURE_PERIOD_BROKER_VALUE","DEEP_MEASURE_ID_OVERRIDE",$C188,"DEEP_BROKER_ID_OVERRIDE",$F$7,"DEEP_PERIOD_OVERRIDE",U$11)*1,"")))</f>
        <v/>
      </c>
      <c r="V188" s="17" t="str">
        <f ca="1">IF(ISNA($B188),"",IF($B188="","",IFERROR(_xll.BDP(TICKER,"DEEP_MEASURE_PERIOD_BROKER_VALUE","DEEP_MEASURE_ID_OVERRIDE",$C188,"DEEP_BROKER_ID_OVERRIDE",$F$7,"DEEP_PERIOD_OVERRIDE",V$11)*1,"")))</f>
        <v/>
      </c>
      <c r="W188" s="17" t="str">
        <f ca="1">IF(ISNA($B188),"",IF($B188="","",IFERROR(_xll.BDP(TICKER,"DEEP_MEASURE_PERIOD_BROKER_VALUE","DEEP_MEASURE_ID_OVERRIDE",$C188,"DEEP_BROKER_ID_OVERRIDE",$F$7,"DEEP_PERIOD_OVERRIDE",W$11)*1,"")))</f>
        <v/>
      </c>
      <c r="X188" s="17" t="str">
        <f ca="1">IF(ISNA($B188),"",IF($B188="","",IFERROR(_xll.BDP(TICKER,"DEEP_MEASURE_PERIOD_BROKER_VALUE","DEEP_MEASURE_ID_OVERRIDE",$C188,"DEEP_BROKER_ID_OVERRIDE",$F$7,"DEEP_PERIOD_OVERRIDE",X$11)*1,"")))</f>
        <v/>
      </c>
      <c r="Y188" s="17" t="str">
        <f ca="1">IF(ISNA($B188),"",IF($B188="","",IFERROR(_xll.BDP(TICKER,"DEEP_MEASURE_PERIOD_BROKER_VALUE","DEEP_MEASURE_ID_OVERRIDE",$C188,"DEEP_BROKER_ID_OVERRIDE",$F$7,"DEEP_PERIOD_OVERRIDE",Y$11)*1,"")))</f>
        <v/>
      </c>
      <c r="Z188" s="17" t="str">
        <f ca="1">IF(ISNA($B188),"",IF($B188="","",IFERROR(_xll.BDP(TICKER,"DEEP_MEASURE_PERIOD_BROKER_VALUE","DEEP_MEASURE_ID_OVERRIDE",$C188,"DEEP_BROKER_ID_OVERRIDE",$F$7,"DEEP_PERIOD_OVERRIDE",Z$11)*1,"")))</f>
        <v/>
      </c>
      <c r="AA188" s="17" t="str">
        <f ca="1">IF(ISNA($B188),"",IF($B188="","",IFERROR(_xll.BDP(TICKER,"DEEP_MEASURE_PERIOD_BROKER_VALUE","DEEP_MEASURE_ID_OVERRIDE",$C188,"DEEP_BROKER_ID_OVERRIDE",$F$7,"DEEP_PERIOD_OVERRIDE",AA$11)*1,"")))</f>
        <v/>
      </c>
      <c r="AB188" s="17" t="str">
        <f ca="1">IF(ISNA($B188),"",IF($B188="","",IFERROR(_xll.BDP(TICKER,"DEEP_MEASURE_PERIOD_BROKER_VALUE","DEEP_MEASURE_ID_OVERRIDE",$C188,"DEEP_BROKER_ID_OVERRIDE",$F$7,"DEEP_PERIOD_OVERRIDE",AB$11)*1,"")))</f>
        <v/>
      </c>
      <c r="AC188" s="17" t="str">
        <f ca="1">IF(ISNA($B188),"",IF($B188="","",IFERROR(_xll.BDP(TICKER,"DEEP_MEASURE_PERIOD_BROKER_VALUE","DEEP_MEASURE_ID_OVERRIDE",$C188,"DEEP_BROKER_ID_OVERRIDE",$F$7,"DEEP_PERIOD_OVERRIDE",AC$11)*1,"")))</f>
        <v/>
      </c>
      <c r="AD188" s="17" t="str">
        <f ca="1">IF(ISNA($B188),"",IF($B188="","",IFERROR(_xll.BDP(TICKER,"DEEP_MEASURE_PERIOD_BROKER_VALUE","DEEP_MEASURE_ID_OVERRIDE",$C188,"DEEP_BROKER_ID_OVERRIDE",$F$7,"DEEP_PERIOD_OVERRIDE",AD$11)*1,"")))</f>
        <v/>
      </c>
      <c r="AE188" s="17" t="str">
        <f ca="1">IF(ISNA($B188),"",IF($B188="","",IFERROR(_xll.BDP(TICKER,"DEEP_MEASURE_PERIOD_BROKER_VALUE","DEEP_MEASURE_ID_OVERRIDE",$C188,"DEEP_BROKER_ID_OVERRIDE",$F$7,"DEEP_PERIOD_OVERRIDE",AE$11)*1,"")))</f>
        <v/>
      </c>
      <c r="AF188" s="17" t="str">
        <f ca="1">IF(ISNA($B188),"",IF($B188="","",IFERROR(_xll.BDP(TICKER,"DEEP_MEASURE_PERIOD_BROKER_VALUE","DEEP_MEASURE_ID_OVERRIDE",$C188,"DEEP_BROKER_ID_OVERRIDE",$F$7,"DEEP_PERIOD_OVERRIDE",AF$11)*1,"")))</f>
        <v/>
      </c>
      <c r="AG188" s="17" t="str">
        <f ca="1">IF(ISNA($B188),"",IF($B188="","",IFERROR(_xll.BDP(TICKER,"DEEP_MEASURE_PERIOD_BROKER_VALUE","DEEP_MEASURE_ID_OVERRIDE",$C188,"DEEP_BROKER_ID_OVERRIDE",$F$7,"DEEP_PERIOD_OVERRIDE",AG$11)*1,"")))</f>
        <v/>
      </c>
      <c r="AH188" s="17" t="str">
        <f ca="1">IF(ISNA($B188),"",IF($B188="","",IFERROR(_xll.BDP(TICKER,"DEEP_MEASURE_PERIOD_BROKER_VALUE","DEEP_MEASURE_ID_OVERRIDE",$C188,"DEEP_BROKER_ID_OVERRIDE",$F$7,"DEEP_PERIOD_OVERRIDE",AH$11)*1,"")))</f>
        <v/>
      </c>
      <c r="AI188" s="17" t="str">
        <f ca="1">IF(ISNA($B188),"",IF($B188="","",IFERROR(_xll.BDP(TICKER,"DEEP_MEASURE_PERIOD_BROKER_VALUE","DEEP_MEASURE_ID_OVERRIDE",$C188,"DEEP_BROKER_ID_OVERRIDE",$F$7,"DEEP_PERIOD_OVERRIDE",AI$11)*1,"")))</f>
        <v/>
      </c>
      <c r="AJ188" s="17" t="str">
        <f ca="1">IF(ISNA($B188),"",IF($B188="","",IFERROR(_xll.BDP(TICKER,"DEEP_MEASURE_PERIOD_BROKER_VALUE","DEEP_MEASURE_ID_OVERRIDE",$C188,"DEEP_BROKER_ID_OVERRIDE",$F$7,"DEEP_PERIOD_OVERRIDE",AJ$11)*1,"")))</f>
        <v/>
      </c>
      <c r="AK188" s="17" t="str">
        <f ca="1">IF(ISNA($B188),"",IF($B188="","",IFERROR(_xll.BDP(TICKER,"DEEP_MEASURE_PERIOD_BROKER_VALUE","DEEP_MEASURE_ID_OVERRIDE",$C188,"DEEP_BROKER_ID_OVERRIDE",$F$7,"DEEP_PERIOD_OVERRIDE",AK$11)*1,"")))</f>
        <v/>
      </c>
      <c r="AL188" s="17" t="str">
        <f ca="1">IF(ISNA($B188),"",IF($B188="","",IFERROR(_xll.BDP(TICKER,"DEEP_MEASURE_PERIOD_BROKER_VALUE","DEEP_MEASURE_ID_OVERRIDE",$C188,"DEEP_BROKER_ID_OVERRIDE",$F$7,"DEEP_PERIOD_OVERRIDE",AL$11)*1,"")))</f>
        <v/>
      </c>
      <c r="AM188" s="17" t="str">
        <f ca="1">IF(ISNA($B188),"",IF($B188="","",IFERROR(_xll.BDP(TICKER,"DEEP_MEASURE_PERIOD_BROKER_VALUE","DEEP_MEASURE_ID_OVERRIDE",$C188,"DEEP_BROKER_ID_OVERRIDE",$F$7,"DEEP_PERIOD_OVERRIDE",AM$11)*1,"")))</f>
        <v/>
      </c>
      <c r="AN188" s="17" t="str">
        <f ca="1">IF(ISNA($B188),"",IF($B188="","",IFERROR(_xll.BDP(TICKER,"DEEP_MEASURE_PERIOD_BROKER_VALUE","DEEP_MEASURE_ID_OVERRIDE",$C188,"DEEP_BROKER_ID_OVERRIDE",$F$7,"DEEP_PERIOD_OVERRIDE",AN$11)*1,"")))</f>
        <v/>
      </c>
      <c r="AO188" s="17" t="str">
        <f ca="1">IF(ISNA($B188),"",IF($B188="","",IFERROR(_xll.BDP(TICKER,"DEEP_MEASURE_PERIOD_BROKER_VALUE","DEEP_MEASURE_ID_OVERRIDE",$C188,"DEEP_BROKER_ID_OVERRIDE",$F$7,"DEEP_PERIOD_OVERRIDE",AO$11)*1,"")))</f>
        <v/>
      </c>
      <c r="AP188" s="17" t="str">
        <f ca="1">IF(ISNA($B188),"",IF($B188="","",IFERROR(_xll.BDP(TICKER,"DEEP_MEASURE_PERIOD_BROKER_VALUE","DEEP_MEASURE_ID_OVERRIDE",$C188,"DEEP_BROKER_ID_OVERRIDE",$F$7,"DEEP_PERIOD_OVERRIDE",AP$11)*1,"")))</f>
        <v/>
      </c>
      <c r="AQ188" s="17" t="str">
        <f ca="1">IF(ISNA($B188),"",IF($B188="","",IFERROR(_xll.BDP(TICKER,"DEEP_MEASURE_PERIOD_BROKER_VALUE","DEEP_MEASURE_ID_OVERRIDE",$C188,"DEEP_BROKER_ID_OVERRIDE",$F$7,"DEEP_PERIOD_OVERRIDE",AQ$11)*1,"")))</f>
        <v/>
      </c>
    </row>
    <row r="189" spans="2:43" x14ac:dyDescent="0.25">
      <c r="B189" t="s">
        <v>66</v>
      </c>
      <c r="C189">
        <v>344</v>
      </c>
      <c r="H189" t="str">
        <f t="shared" si="4"/>
        <v>Cash from Operations Activities &gt; Stock Based Compensation</v>
      </c>
      <c r="I189" s="17" t="str">
        <f ca="1">IF(ISNA($B189),"",IF($B189="","",IFERROR(_xll.BDP(TICKER,"DEEP_MEASURE_PERIOD_BROKER_VALUE","DEEP_MEASURE_ID_OVERRIDE",$C189,"DEEP_BROKER_ID_OVERRIDE",$F$7,"DEEP_PERIOD_OVERRIDE",I$11)*1,"")))</f>
        <v/>
      </c>
      <c r="J189" s="17" t="str">
        <f ca="1">IF(ISNA($B189),"",IF($B189="","",IFERROR(_xll.BDP(TICKER,"DEEP_MEASURE_PERIOD_BROKER_VALUE","DEEP_MEASURE_ID_OVERRIDE",$C189,"DEEP_BROKER_ID_OVERRIDE",$F$7,"DEEP_PERIOD_OVERRIDE",J$11)*1,"")))</f>
        <v/>
      </c>
      <c r="K189" s="17" t="str">
        <f ca="1">IF(ISNA($B189),"",IF($B189="","",IFERROR(_xll.BDP(TICKER,"DEEP_MEASURE_PERIOD_BROKER_VALUE","DEEP_MEASURE_ID_OVERRIDE",$C189,"DEEP_BROKER_ID_OVERRIDE",$F$7,"DEEP_PERIOD_OVERRIDE",K$11)*1,"")))</f>
        <v/>
      </c>
      <c r="L189" s="17" t="str">
        <f ca="1">IF(ISNA($B189),"",IF($B189="","",IFERROR(_xll.BDP(TICKER,"DEEP_MEASURE_PERIOD_BROKER_VALUE","DEEP_MEASURE_ID_OVERRIDE",$C189,"DEEP_BROKER_ID_OVERRIDE",$F$7,"DEEP_PERIOD_OVERRIDE",L$11)*1,"")))</f>
        <v/>
      </c>
      <c r="M189" s="17" t="str">
        <f ca="1">IF(ISNA($B189),"",IF($B189="","",IFERROR(_xll.BDP(TICKER,"DEEP_MEASURE_PERIOD_BROKER_VALUE","DEEP_MEASURE_ID_OVERRIDE",$C189,"DEEP_BROKER_ID_OVERRIDE",$F$7,"DEEP_PERIOD_OVERRIDE",M$11)*1,"")))</f>
        <v/>
      </c>
      <c r="N189" s="17" t="str">
        <f ca="1">IF(ISNA($B189),"",IF($B189="","",IFERROR(_xll.BDP(TICKER,"DEEP_MEASURE_PERIOD_BROKER_VALUE","DEEP_MEASURE_ID_OVERRIDE",$C189,"DEEP_BROKER_ID_OVERRIDE",$F$7,"DEEP_PERIOD_OVERRIDE",N$11)*1,"")))</f>
        <v/>
      </c>
      <c r="O189" s="17" t="str">
        <f ca="1">IF(ISNA($B189),"",IF($B189="","",IFERROR(_xll.BDP(TICKER,"DEEP_MEASURE_PERIOD_BROKER_VALUE","DEEP_MEASURE_ID_OVERRIDE",$C189,"DEEP_BROKER_ID_OVERRIDE",$F$7,"DEEP_PERIOD_OVERRIDE",O$11)*1,"")))</f>
        <v/>
      </c>
      <c r="P189" s="17" t="str">
        <f ca="1">IF(ISNA($B189),"",IF($B189="","",IFERROR(_xll.BDP(TICKER,"DEEP_MEASURE_PERIOD_BROKER_VALUE","DEEP_MEASURE_ID_OVERRIDE",$C189,"DEEP_BROKER_ID_OVERRIDE",$F$7,"DEEP_PERIOD_OVERRIDE",P$11)*1,"")))</f>
        <v/>
      </c>
      <c r="Q189" s="17" t="str">
        <f ca="1">IF(ISNA($B189),"",IF($B189="","",IFERROR(_xll.BDP(TICKER,"DEEP_MEASURE_PERIOD_BROKER_VALUE","DEEP_MEASURE_ID_OVERRIDE",$C189,"DEEP_BROKER_ID_OVERRIDE",$F$7,"DEEP_PERIOD_OVERRIDE",Q$11)*1,"")))</f>
        <v/>
      </c>
      <c r="R189" s="17" t="str">
        <f ca="1">IF(ISNA($B189),"",IF($B189="","",IFERROR(_xll.BDP(TICKER,"DEEP_MEASURE_PERIOD_BROKER_VALUE","DEEP_MEASURE_ID_OVERRIDE",$C189,"DEEP_BROKER_ID_OVERRIDE",$F$7,"DEEP_PERIOD_OVERRIDE",R$11)*1,"")))</f>
        <v/>
      </c>
      <c r="S189" s="17" t="str">
        <f ca="1">IF(ISNA($B189),"",IF($B189="","",IFERROR(_xll.BDP(TICKER,"DEEP_MEASURE_PERIOD_BROKER_VALUE","DEEP_MEASURE_ID_OVERRIDE",$C189,"DEEP_BROKER_ID_OVERRIDE",$F$7,"DEEP_PERIOD_OVERRIDE",S$11)*1,"")))</f>
        <v/>
      </c>
      <c r="T189" s="17" t="str">
        <f ca="1">IF(ISNA($B189),"",IF($B189="","",IFERROR(_xll.BDP(TICKER,"DEEP_MEASURE_PERIOD_BROKER_VALUE","DEEP_MEASURE_ID_OVERRIDE",$C189,"DEEP_BROKER_ID_OVERRIDE",$F$7,"DEEP_PERIOD_OVERRIDE",T$11)*1,"")))</f>
        <v/>
      </c>
      <c r="U189" s="17" t="str">
        <f ca="1">IF(ISNA($B189),"",IF($B189="","",IFERROR(_xll.BDP(TICKER,"DEEP_MEASURE_PERIOD_BROKER_VALUE","DEEP_MEASURE_ID_OVERRIDE",$C189,"DEEP_BROKER_ID_OVERRIDE",$F$7,"DEEP_PERIOD_OVERRIDE",U$11)*1,"")))</f>
        <v/>
      </c>
      <c r="V189" s="17" t="str">
        <f ca="1">IF(ISNA($B189),"",IF($B189="","",IFERROR(_xll.BDP(TICKER,"DEEP_MEASURE_PERIOD_BROKER_VALUE","DEEP_MEASURE_ID_OVERRIDE",$C189,"DEEP_BROKER_ID_OVERRIDE",$F$7,"DEEP_PERIOD_OVERRIDE",V$11)*1,"")))</f>
        <v/>
      </c>
      <c r="W189" s="17" t="str">
        <f ca="1">IF(ISNA($B189),"",IF($B189="","",IFERROR(_xll.BDP(TICKER,"DEEP_MEASURE_PERIOD_BROKER_VALUE","DEEP_MEASURE_ID_OVERRIDE",$C189,"DEEP_BROKER_ID_OVERRIDE",$F$7,"DEEP_PERIOD_OVERRIDE",W$11)*1,"")))</f>
        <v/>
      </c>
      <c r="X189" s="17" t="str">
        <f ca="1">IF(ISNA($B189),"",IF($B189="","",IFERROR(_xll.BDP(TICKER,"DEEP_MEASURE_PERIOD_BROKER_VALUE","DEEP_MEASURE_ID_OVERRIDE",$C189,"DEEP_BROKER_ID_OVERRIDE",$F$7,"DEEP_PERIOD_OVERRIDE",X$11)*1,"")))</f>
        <v/>
      </c>
      <c r="Y189" s="17" t="str">
        <f ca="1">IF(ISNA($B189),"",IF($B189="","",IFERROR(_xll.BDP(TICKER,"DEEP_MEASURE_PERIOD_BROKER_VALUE","DEEP_MEASURE_ID_OVERRIDE",$C189,"DEEP_BROKER_ID_OVERRIDE",$F$7,"DEEP_PERIOD_OVERRIDE",Y$11)*1,"")))</f>
        <v/>
      </c>
      <c r="Z189" s="17" t="str">
        <f ca="1">IF(ISNA($B189),"",IF($B189="","",IFERROR(_xll.BDP(TICKER,"DEEP_MEASURE_PERIOD_BROKER_VALUE","DEEP_MEASURE_ID_OVERRIDE",$C189,"DEEP_BROKER_ID_OVERRIDE",$F$7,"DEEP_PERIOD_OVERRIDE",Z$11)*1,"")))</f>
        <v/>
      </c>
      <c r="AA189" s="17" t="str">
        <f ca="1">IF(ISNA($B189),"",IF($B189="","",IFERROR(_xll.BDP(TICKER,"DEEP_MEASURE_PERIOD_BROKER_VALUE","DEEP_MEASURE_ID_OVERRIDE",$C189,"DEEP_BROKER_ID_OVERRIDE",$F$7,"DEEP_PERIOD_OVERRIDE",AA$11)*1,"")))</f>
        <v/>
      </c>
      <c r="AB189" s="17" t="str">
        <f ca="1">IF(ISNA($B189),"",IF($B189="","",IFERROR(_xll.BDP(TICKER,"DEEP_MEASURE_PERIOD_BROKER_VALUE","DEEP_MEASURE_ID_OVERRIDE",$C189,"DEEP_BROKER_ID_OVERRIDE",$F$7,"DEEP_PERIOD_OVERRIDE",AB$11)*1,"")))</f>
        <v/>
      </c>
      <c r="AC189" s="17" t="str">
        <f ca="1">IF(ISNA($B189),"",IF($B189="","",IFERROR(_xll.BDP(TICKER,"DEEP_MEASURE_PERIOD_BROKER_VALUE","DEEP_MEASURE_ID_OVERRIDE",$C189,"DEEP_BROKER_ID_OVERRIDE",$F$7,"DEEP_PERIOD_OVERRIDE",AC$11)*1,"")))</f>
        <v/>
      </c>
      <c r="AD189" s="17" t="str">
        <f ca="1">IF(ISNA($B189),"",IF($B189="","",IFERROR(_xll.BDP(TICKER,"DEEP_MEASURE_PERIOD_BROKER_VALUE","DEEP_MEASURE_ID_OVERRIDE",$C189,"DEEP_BROKER_ID_OVERRIDE",$F$7,"DEEP_PERIOD_OVERRIDE",AD$11)*1,"")))</f>
        <v/>
      </c>
      <c r="AE189" s="17" t="str">
        <f ca="1">IF(ISNA($B189),"",IF($B189="","",IFERROR(_xll.BDP(TICKER,"DEEP_MEASURE_PERIOD_BROKER_VALUE","DEEP_MEASURE_ID_OVERRIDE",$C189,"DEEP_BROKER_ID_OVERRIDE",$F$7,"DEEP_PERIOD_OVERRIDE",AE$11)*1,"")))</f>
        <v/>
      </c>
      <c r="AF189" s="17" t="str">
        <f ca="1">IF(ISNA($B189),"",IF($B189="","",IFERROR(_xll.BDP(TICKER,"DEEP_MEASURE_PERIOD_BROKER_VALUE","DEEP_MEASURE_ID_OVERRIDE",$C189,"DEEP_BROKER_ID_OVERRIDE",$F$7,"DEEP_PERIOD_OVERRIDE",AF$11)*1,"")))</f>
        <v/>
      </c>
      <c r="AG189" s="17" t="str">
        <f ca="1">IF(ISNA($B189),"",IF($B189="","",IFERROR(_xll.BDP(TICKER,"DEEP_MEASURE_PERIOD_BROKER_VALUE","DEEP_MEASURE_ID_OVERRIDE",$C189,"DEEP_BROKER_ID_OVERRIDE",$F$7,"DEEP_PERIOD_OVERRIDE",AG$11)*1,"")))</f>
        <v/>
      </c>
      <c r="AH189" s="17" t="str">
        <f ca="1">IF(ISNA($B189),"",IF($B189="","",IFERROR(_xll.BDP(TICKER,"DEEP_MEASURE_PERIOD_BROKER_VALUE","DEEP_MEASURE_ID_OVERRIDE",$C189,"DEEP_BROKER_ID_OVERRIDE",$F$7,"DEEP_PERIOD_OVERRIDE",AH$11)*1,"")))</f>
        <v/>
      </c>
      <c r="AI189" s="17" t="str">
        <f ca="1">IF(ISNA($B189),"",IF($B189="","",IFERROR(_xll.BDP(TICKER,"DEEP_MEASURE_PERIOD_BROKER_VALUE","DEEP_MEASURE_ID_OVERRIDE",$C189,"DEEP_BROKER_ID_OVERRIDE",$F$7,"DEEP_PERIOD_OVERRIDE",AI$11)*1,"")))</f>
        <v/>
      </c>
      <c r="AJ189" s="17" t="str">
        <f ca="1">IF(ISNA($B189),"",IF($B189="","",IFERROR(_xll.BDP(TICKER,"DEEP_MEASURE_PERIOD_BROKER_VALUE","DEEP_MEASURE_ID_OVERRIDE",$C189,"DEEP_BROKER_ID_OVERRIDE",$F$7,"DEEP_PERIOD_OVERRIDE",AJ$11)*1,"")))</f>
        <v/>
      </c>
      <c r="AK189" s="17" t="str">
        <f ca="1">IF(ISNA($B189),"",IF($B189="","",IFERROR(_xll.BDP(TICKER,"DEEP_MEASURE_PERIOD_BROKER_VALUE","DEEP_MEASURE_ID_OVERRIDE",$C189,"DEEP_BROKER_ID_OVERRIDE",$F$7,"DEEP_PERIOD_OVERRIDE",AK$11)*1,"")))</f>
        <v/>
      </c>
      <c r="AL189" s="17" t="str">
        <f ca="1">IF(ISNA($B189),"",IF($B189="","",IFERROR(_xll.BDP(TICKER,"DEEP_MEASURE_PERIOD_BROKER_VALUE","DEEP_MEASURE_ID_OVERRIDE",$C189,"DEEP_BROKER_ID_OVERRIDE",$F$7,"DEEP_PERIOD_OVERRIDE",AL$11)*1,"")))</f>
        <v/>
      </c>
      <c r="AM189" s="17" t="str">
        <f ca="1">IF(ISNA($B189),"",IF($B189="","",IFERROR(_xll.BDP(TICKER,"DEEP_MEASURE_PERIOD_BROKER_VALUE","DEEP_MEASURE_ID_OVERRIDE",$C189,"DEEP_BROKER_ID_OVERRIDE",$F$7,"DEEP_PERIOD_OVERRIDE",AM$11)*1,"")))</f>
        <v/>
      </c>
      <c r="AN189" s="17" t="str">
        <f ca="1">IF(ISNA($B189),"",IF($B189="","",IFERROR(_xll.BDP(TICKER,"DEEP_MEASURE_PERIOD_BROKER_VALUE","DEEP_MEASURE_ID_OVERRIDE",$C189,"DEEP_BROKER_ID_OVERRIDE",$F$7,"DEEP_PERIOD_OVERRIDE",AN$11)*1,"")))</f>
        <v/>
      </c>
      <c r="AO189" s="17" t="str">
        <f ca="1">IF(ISNA($B189),"",IF($B189="","",IFERROR(_xll.BDP(TICKER,"DEEP_MEASURE_PERIOD_BROKER_VALUE","DEEP_MEASURE_ID_OVERRIDE",$C189,"DEEP_BROKER_ID_OVERRIDE",$F$7,"DEEP_PERIOD_OVERRIDE",AO$11)*1,"")))</f>
        <v/>
      </c>
      <c r="AP189" s="17" t="str">
        <f ca="1">IF(ISNA($B189),"",IF($B189="","",IFERROR(_xll.BDP(TICKER,"DEEP_MEASURE_PERIOD_BROKER_VALUE","DEEP_MEASURE_ID_OVERRIDE",$C189,"DEEP_BROKER_ID_OVERRIDE",$F$7,"DEEP_PERIOD_OVERRIDE",AP$11)*1,"")))</f>
        <v/>
      </c>
      <c r="AQ189" s="17" t="str">
        <f ca="1">IF(ISNA($B189),"",IF($B189="","",IFERROR(_xll.BDP(TICKER,"DEEP_MEASURE_PERIOD_BROKER_VALUE","DEEP_MEASURE_ID_OVERRIDE",$C189,"DEEP_BROKER_ID_OVERRIDE",$F$7,"DEEP_PERIOD_OVERRIDE",AQ$11)*1,"")))</f>
        <v/>
      </c>
    </row>
    <row r="190" spans="2:43" x14ac:dyDescent="0.25">
      <c r="B190" t="s">
        <v>204</v>
      </c>
      <c r="C190">
        <v>390</v>
      </c>
      <c r="H190" t="str">
        <f t="shared" si="4"/>
        <v>Cash from Operations Activities &gt; Stock Based Compensation &gt; As % of Revenue</v>
      </c>
      <c r="I190" s="17" t="str">
        <f ca="1">IF(ISNA($B190),"",IF($B190="","",IFERROR(_xll.BDP(TICKER,"DEEP_MEASURE_PERIOD_BROKER_VALUE","DEEP_MEASURE_ID_OVERRIDE",$C190,"DEEP_BROKER_ID_OVERRIDE",$F$7,"DEEP_PERIOD_OVERRIDE",I$11)*1,"")))</f>
        <v/>
      </c>
      <c r="J190" s="17" t="str">
        <f ca="1">IF(ISNA($B190),"",IF($B190="","",IFERROR(_xll.BDP(TICKER,"DEEP_MEASURE_PERIOD_BROKER_VALUE","DEEP_MEASURE_ID_OVERRIDE",$C190,"DEEP_BROKER_ID_OVERRIDE",$F$7,"DEEP_PERIOD_OVERRIDE",J$11)*1,"")))</f>
        <v/>
      </c>
      <c r="K190" s="17" t="str">
        <f ca="1">IF(ISNA($B190),"",IF($B190="","",IFERROR(_xll.BDP(TICKER,"DEEP_MEASURE_PERIOD_BROKER_VALUE","DEEP_MEASURE_ID_OVERRIDE",$C190,"DEEP_BROKER_ID_OVERRIDE",$F$7,"DEEP_PERIOD_OVERRIDE",K$11)*1,"")))</f>
        <v/>
      </c>
      <c r="L190" s="17" t="str">
        <f ca="1">IF(ISNA($B190),"",IF($B190="","",IFERROR(_xll.BDP(TICKER,"DEEP_MEASURE_PERIOD_BROKER_VALUE","DEEP_MEASURE_ID_OVERRIDE",$C190,"DEEP_BROKER_ID_OVERRIDE",$F$7,"DEEP_PERIOD_OVERRIDE",L$11)*1,"")))</f>
        <v/>
      </c>
      <c r="M190" s="17" t="str">
        <f ca="1">IF(ISNA($B190),"",IF($B190="","",IFERROR(_xll.BDP(TICKER,"DEEP_MEASURE_PERIOD_BROKER_VALUE","DEEP_MEASURE_ID_OVERRIDE",$C190,"DEEP_BROKER_ID_OVERRIDE",$F$7,"DEEP_PERIOD_OVERRIDE",M$11)*1,"")))</f>
        <v/>
      </c>
      <c r="N190" s="17" t="str">
        <f ca="1">IF(ISNA($B190),"",IF($B190="","",IFERROR(_xll.BDP(TICKER,"DEEP_MEASURE_PERIOD_BROKER_VALUE","DEEP_MEASURE_ID_OVERRIDE",$C190,"DEEP_BROKER_ID_OVERRIDE",$F$7,"DEEP_PERIOD_OVERRIDE",N$11)*1,"")))</f>
        <v/>
      </c>
      <c r="O190" s="17" t="str">
        <f ca="1">IF(ISNA($B190),"",IF($B190="","",IFERROR(_xll.BDP(TICKER,"DEEP_MEASURE_PERIOD_BROKER_VALUE","DEEP_MEASURE_ID_OVERRIDE",$C190,"DEEP_BROKER_ID_OVERRIDE",$F$7,"DEEP_PERIOD_OVERRIDE",O$11)*1,"")))</f>
        <v/>
      </c>
      <c r="P190" s="17" t="str">
        <f ca="1">IF(ISNA($B190),"",IF($B190="","",IFERROR(_xll.BDP(TICKER,"DEEP_MEASURE_PERIOD_BROKER_VALUE","DEEP_MEASURE_ID_OVERRIDE",$C190,"DEEP_BROKER_ID_OVERRIDE",$F$7,"DEEP_PERIOD_OVERRIDE",P$11)*1,"")))</f>
        <v/>
      </c>
      <c r="Q190" s="17" t="str">
        <f ca="1">IF(ISNA($B190),"",IF($B190="","",IFERROR(_xll.BDP(TICKER,"DEEP_MEASURE_PERIOD_BROKER_VALUE","DEEP_MEASURE_ID_OVERRIDE",$C190,"DEEP_BROKER_ID_OVERRIDE",$F$7,"DEEP_PERIOD_OVERRIDE",Q$11)*1,"")))</f>
        <v/>
      </c>
      <c r="R190" s="17" t="str">
        <f ca="1">IF(ISNA($B190),"",IF($B190="","",IFERROR(_xll.BDP(TICKER,"DEEP_MEASURE_PERIOD_BROKER_VALUE","DEEP_MEASURE_ID_OVERRIDE",$C190,"DEEP_BROKER_ID_OVERRIDE",$F$7,"DEEP_PERIOD_OVERRIDE",R$11)*1,"")))</f>
        <v/>
      </c>
      <c r="S190" s="17" t="str">
        <f ca="1">IF(ISNA($B190),"",IF($B190="","",IFERROR(_xll.BDP(TICKER,"DEEP_MEASURE_PERIOD_BROKER_VALUE","DEEP_MEASURE_ID_OVERRIDE",$C190,"DEEP_BROKER_ID_OVERRIDE",$F$7,"DEEP_PERIOD_OVERRIDE",S$11)*1,"")))</f>
        <v/>
      </c>
      <c r="T190" s="17" t="str">
        <f ca="1">IF(ISNA($B190),"",IF($B190="","",IFERROR(_xll.BDP(TICKER,"DEEP_MEASURE_PERIOD_BROKER_VALUE","DEEP_MEASURE_ID_OVERRIDE",$C190,"DEEP_BROKER_ID_OVERRIDE",$F$7,"DEEP_PERIOD_OVERRIDE",T$11)*1,"")))</f>
        <v/>
      </c>
      <c r="U190" s="17" t="str">
        <f ca="1">IF(ISNA($B190),"",IF($B190="","",IFERROR(_xll.BDP(TICKER,"DEEP_MEASURE_PERIOD_BROKER_VALUE","DEEP_MEASURE_ID_OVERRIDE",$C190,"DEEP_BROKER_ID_OVERRIDE",$F$7,"DEEP_PERIOD_OVERRIDE",U$11)*1,"")))</f>
        <v/>
      </c>
      <c r="V190" s="17" t="str">
        <f ca="1">IF(ISNA($B190),"",IF($B190="","",IFERROR(_xll.BDP(TICKER,"DEEP_MEASURE_PERIOD_BROKER_VALUE","DEEP_MEASURE_ID_OVERRIDE",$C190,"DEEP_BROKER_ID_OVERRIDE",$F$7,"DEEP_PERIOD_OVERRIDE",V$11)*1,"")))</f>
        <v/>
      </c>
      <c r="W190" s="17" t="str">
        <f ca="1">IF(ISNA($B190),"",IF($B190="","",IFERROR(_xll.BDP(TICKER,"DEEP_MEASURE_PERIOD_BROKER_VALUE","DEEP_MEASURE_ID_OVERRIDE",$C190,"DEEP_BROKER_ID_OVERRIDE",$F$7,"DEEP_PERIOD_OVERRIDE",W$11)*1,"")))</f>
        <v/>
      </c>
      <c r="X190" s="17" t="str">
        <f ca="1">IF(ISNA($B190),"",IF($B190="","",IFERROR(_xll.BDP(TICKER,"DEEP_MEASURE_PERIOD_BROKER_VALUE","DEEP_MEASURE_ID_OVERRIDE",$C190,"DEEP_BROKER_ID_OVERRIDE",$F$7,"DEEP_PERIOD_OVERRIDE",X$11)*1,"")))</f>
        <v/>
      </c>
      <c r="Y190" s="17" t="str">
        <f ca="1">IF(ISNA($B190),"",IF($B190="","",IFERROR(_xll.BDP(TICKER,"DEEP_MEASURE_PERIOD_BROKER_VALUE","DEEP_MEASURE_ID_OVERRIDE",$C190,"DEEP_BROKER_ID_OVERRIDE",$F$7,"DEEP_PERIOD_OVERRIDE",Y$11)*1,"")))</f>
        <v/>
      </c>
      <c r="Z190" s="17" t="str">
        <f ca="1">IF(ISNA($B190),"",IF($B190="","",IFERROR(_xll.BDP(TICKER,"DEEP_MEASURE_PERIOD_BROKER_VALUE","DEEP_MEASURE_ID_OVERRIDE",$C190,"DEEP_BROKER_ID_OVERRIDE",$F$7,"DEEP_PERIOD_OVERRIDE",Z$11)*1,"")))</f>
        <v/>
      </c>
      <c r="AA190" s="17" t="str">
        <f ca="1">IF(ISNA($B190),"",IF($B190="","",IFERROR(_xll.BDP(TICKER,"DEEP_MEASURE_PERIOD_BROKER_VALUE","DEEP_MEASURE_ID_OVERRIDE",$C190,"DEEP_BROKER_ID_OVERRIDE",$F$7,"DEEP_PERIOD_OVERRIDE",AA$11)*1,"")))</f>
        <v/>
      </c>
      <c r="AB190" s="17" t="str">
        <f ca="1">IF(ISNA($B190),"",IF($B190="","",IFERROR(_xll.BDP(TICKER,"DEEP_MEASURE_PERIOD_BROKER_VALUE","DEEP_MEASURE_ID_OVERRIDE",$C190,"DEEP_BROKER_ID_OVERRIDE",$F$7,"DEEP_PERIOD_OVERRIDE",AB$11)*1,"")))</f>
        <v/>
      </c>
      <c r="AC190" s="17" t="str">
        <f ca="1">IF(ISNA($B190),"",IF($B190="","",IFERROR(_xll.BDP(TICKER,"DEEP_MEASURE_PERIOD_BROKER_VALUE","DEEP_MEASURE_ID_OVERRIDE",$C190,"DEEP_BROKER_ID_OVERRIDE",$F$7,"DEEP_PERIOD_OVERRIDE",AC$11)*1,"")))</f>
        <v/>
      </c>
      <c r="AD190" s="17" t="str">
        <f ca="1">IF(ISNA($B190),"",IF($B190="","",IFERROR(_xll.BDP(TICKER,"DEEP_MEASURE_PERIOD_BROKER_VALUE","DEEP_MEASURE_ID_OVERRIDE",$C190,"DEEP_BROKER_ID_OVERRIDE",$F$7,"DEEP_PERIOD_OVERRIDE",AD$11)*1,"")))</f>
        <v/>
      </c>
      <c r="AE190" s="17" t="str">
        <f ca="1">IF(ISNA($B190),"",IF($B190="","",IFERROR(_xll.BDP(TICKER,"DEEP_MEASURE_PERIOD_BROKER_VALUE","DEEP_MEASURE_ID_OVERRIDE",$C190,"DEEP_BROKER_ID_OVERRIDE",$F$7,"DEEP_PERIOD_OVERRIDE",AE$11)*1,"")))</f>
        <v/>
      </c>
      <c r="AF190" s="17" t="str">
        <f ca="1">IF(ISNA($B190),"",IF($B190="","",IFERROR(_xll.BDP(TICKER,"DEEP_MEASURE_PERIOD_BROKER_VALUE","DEEP_MEASURE_ID_OVERRIDE",$C190,"DEEP_BROKER_ID_OVERRIDE",$F$7,"DEEP_PERIOD_OVERRIDE",AF$11)*1,"")))</f>
        <v/>
      </c>
      <c r="AG190" s="17" t="str">
        <f ca="1">IF(ISNA($B190),"",IF($B190="","",IFERROR(_xll.BDP(TICKER,"DEEP_MEASURE_PERIOD_BROKER_VALUE","DEEP_MEASURE_ID_OVERRIDE",$C190,"DEEP_BROKER_ID_OVERRIDE",$F$7,"DEEP_PERIOD_OVERRIDE",AG$11)*1,"")))</f>
        <v/>
      </c>
      <c r="AH190" s="17" t="str">
        <f ca="1">IF(ISNA($B190),"",IF($B190="","",IFERROR(_xll.BDP(TICKER,"DEEP_MEASURE_PERIOD_BROKER_VALUE","DEEP_MEASURE_ID_OVERRIDE",$C190,"DEEP_BROKER_ID_OVERRIDE",$F$7,"DEEP_PERIOD_OVERRIDE",AH$11)*1,"")))</f>
        <v/>
      </c>
      <c r="AI190" s="17" t="str">
        <f ca="1">IF(ISNA($B190),"",IF($B190="","",IFERROR(_xll.BDP(TICKER,"DEEP_MEASURE_PERIOD_BROKER_VALUE","DEEP_MEASURE_ID_OVERRIDE",$C190,"DEEP_BROKER_ID_OVERRIDE",$F$7,"DEEP_PERIOD_OVERRIDE",AI$11)*1,"")))</f>
        <v/>
      </c>
      <c r="AJ190" s="17" t="str">
        <f ca="1">IF(ISNA($B190),"",IF($B190="","",IFERROR(_xll.BDP(TICKER,"DEEP_MEASURE_PERIOD_BROKER_VALUE","DEEP_MEASURE_ID_OVERRIDE",$C190,"DEEP_BROKER_ID_OVERRIDE",$F$7,"DEEP_PERIOD_OVERRIDE",AJ$11)*1,"")))</f>
        <v/>
      </c>
      <c r="AK190" s="17" t="str">
        <f ca="1">IF(ISNA($B190),"",IF($B190="","",IFERROR(_xll.BDP(TICKER,"DEEP_MEASURE_PERIOD_BROKER_VALUE","DEEP_MEASURE_ID_OVERRIDE",$C190,"DEEP_BROKER_ID_OVERRIDE",$F$7,"DEEP_PERIOD_OVERRIDE",AK$11)*1,"")))</f>
        <v/>
      </c>
      <c r="AL190" s="17" t="str">
        <f ca="1">IF(ISNA($B190),"",IF($B190="","",IFERROR(_xll.BDP(TICKER,"DEEP_MEASURE_PERIOD_BROKER_VALUE","DEEP_MEASURE_ID_OVERRIDE",$C190,"DEEP_BROKER_ID_OVERRIDE",$F$7,"DEEP_PERIOD_OVERRIDE",AL$11)*1,"")))</f>
        <v/>
      </c>
      <c r="AM190" s="17" t="str">
        <f ca="1">IF(ISNA($B190),"",IF($B190="","",IFERROR(_xll.BDP(TICKER,"DEEP_MEASURE_PERIOD_BROKER_VALUE","DEEP_MEASURE_ID_OVERRIDE",$C190,"DEEP_BROKER_ID_OVERRIDE",$F$7,"DEEP_PERIOD_OVERRIDE",AM$11)*1,"")))</f>
        <v/>
      </c>
      <c r="AN190" s="17" t="str">
        <f ca="1">IF(ISNA($B190),"",IF($B190="","",IFERROR(_xll.BDP(TICKER,"DEEP_MEASURE_PERIOD_BROKER_VALUE","DEEP_MEASURE_ID_OVERRIDE",$C190,"DEEP_BROKER_ID_OVERRIDE",$F$7,"DEEP_PERIOD_OVERRIDE",AN$11)*1,"")))</f>
        <v/>
      </c>
      <c r="AO190" s="17" t="str">
        <f ca="1">IF(ISNA($B190),"",IF($B190="","",IFERROR(_xll.BDP(TICKER,"DEEP_MEASURE_PERIOD_BROKER_VALUE","DEEP_MEASURE_ID_OVERRIDE",$C190,"DEEP_BROKER_ID_OVERRIDE",$F$7,"DEEP_PERIOD_OVERRIDE",AO$11)*1,"")))</f>
        <v/>
      </c>
      <c r="AP190" s="17" t="str">
        <f ca="1">IF(ISNA($B190),"",IF($B190="","",IFERROR(_xll.BDP(TICKER,"DEEP_MEASURE_PERIOD_BROKER_VALUE","DEEP_MEASURE_ID_OVERRIDE",$C190,"DEEP_BROKER_ID_OVERRIDE",$F$7,"DEEP_PERIOD_OVERRIDE",AP$11)*1,"")))</f>
        <v/>
      </c>
      <c r="AQ190" s="17" t="str">
        <f ca="1">IF(ISNA($B190),"",IF($B190="","",IFERROR(_xll.BDP(TICKER,"DEEP_MEASURE_PERIOD_BROKER_VALUE","DEEP_MEASURE_ID_OVERRIDE",$C190,"DEEP_BROKER_ID_OVERRIDE",$F$7,"DEEP_PERIOD_OVERRIDE",AQ$11)*1,"")))</f>
        <v/>
      </c>
    </row>
    <row r="191" spans="2:43" x14ac:dyDescent="0.25">
      <c r="B191" t="s">
        <v>205</v>
      </c>
      <c r="C191">
        <v>3635</v>
      </c>
      <c r="H191" t="str">
        <f t="shared" si="4"/>
        <v>Cash from Operations Activities &gt; Stock Based Compensation &gt; YoY Growth (%)</v>
      </c>
      <c r="I191" s="17" t="str">
        <f ca="1">IF(ISNA($B191),"",IF($B191="","",IFERROR(_xll.BDP(TICKER,"DEEP_MEASURE_PERIOD_BROKER_VALUE","DEEP_MEASURE_ID_OVERRIDE",$C191,"DEEP_BROKER_ID_OVERRIDE",$F$7,"DEEP_PERIOD_OVERRIDE",I$11)*1,"")))</f>
        <v/>
      </c>
      <c r="J191" s="17" t="str">
        <f ca="1">IF(ISNA($B191),"",IF($B191="","",IFERROR(_xll.BDP(TICKER,"DEEP_MEASURE_PERIOD_BROKER_VALUE","DEEP_MEASURE_ID_OVERRIDE",$C191,"DEEP_BROKER_ID_OVERRIDE",$F$7,"DEEP_PERIOD_OVERRIDE",J$11)*1,"")))</f>
        <v/>
      </c>
      <c r="K191" s="17" t="str">
        <f ca="1">IF(ISNA($B191),"",IF($B191="","",IFERROR(_xll.BDP(TICKER,"DEEP_MEASURE_PERIOD_BROKER_VALUE","DEEP_MEASURE_ID_OVERRIDE",$C191,"DEEP_BROKER_ID_OVERRIDE",$F$7,"DEEP_PERIOD_OVERRIDE",K$11)*1,"")))</f>
        <v/>
      </c>
      <c r="L191" s="17" t="str">
        <f ca="1">IF(ISNA($B191),"",IF($B191="","",IFERROR(_xll.BDP(TICKER,"DEEP_MEASURE_PERIOD_BROKER_VALUE","DEEP_MEASURE_ID_OVERRIDE",$C191,"DEEP_BROKER_ID_OVERRIDE",$F$7,"DEEP_PERIOD_OVERRIDE",L$11)*1,"")))</f>
        <v/>
      </c>
      <c r="M191" s="17" t="str">
        <f ca="1">IF(ISNA($B191),"",IF($B191="","",IFERROR(_xll.BDP(TICKER,"DEEP_MEASURE_PERIOD_BROKER_VALUE","DEEP_MEASURE_ID_OVERRIDE",$C191,"DEEP_BROKER_ID_OVERRIDE",$F$7,"DEEP_PERIOD_OVERRIDE",M$11)*1,"")))</f>
        <v/>
      </c>
      <c r="N191" s="17" t="str">
        <f ca="1">IF(ISNA($B191),"",IF($B191="","",IFERROR(_xll.BDP(TICKER,"DEEP_MEASURE_PERIOD_BROKER_VALUE","DEEP_MEASURE_ID_OVERRIDE",$C191,"DEEP_BROKER_ID_OVERRIDE",$F$7,"DEEP_PERIOD_OVERRIDE",N$11)*1,"")))</f>
        <v/>
      </c>
      <c r="O191" s="17" t="str">
        <f ca="1">IF(ISNA($B191),"",IF($B191="","",IFERROR(_xll.BDP(TICKER,"DEEP_MEASURE_PERIOD_BROKER_VALUE","DEEP_MEASURE_ID_OVERRIDE",$C191,"DEEP_BROKER_ID_OVERRIDE",$F$7,"DEEP_PERIOD_OVERRIDE",O$11)*1,"")))</f>
        <v/>
      </c>
      <c r="P191" s="17" t="str">
        <f ca="1">IF(ISNA($B191),"",IF($B191="","",IFERROR(_xll.BDP(TICKER,"DEEP_MEASURE_PERIOD_BROKER_VALUE","DEEP_MEASURE_ID_OVERRIDE",$C191,"DEEP_BROKER_ID_OVERRIDE",$F$7,"DEEP_PERIOD_OVERRIDE",P$11)*1,"")))</f>
        <v/>
      </c>
      <c r="Q191" s="17" t="str">
        <f ca="1">IF(ISNA($B191),"",IF($B191="","",IFERROR(_xll.BDP(TICKER,"DEEP_MEASURE_PERIOD_BROKER_VALUE","DEEP_MEASURE_ID_OVERRIDE",$C191,"DEEP_BROKER_ID_OVERRIDE",$F$7,"DEEP_PERIOD_OVERRIDE",Q$11)*1,"")))</f>
        <v/>
      </c>
      <c r="R191" s="17" t="str">
        <f ca="1">IF(ISNA($B191),"",IF($B191="","",IFERROR(_xll.BDP(TICKER,"DEEP_MEASURE_PERIOD_BROKER_VALUE","DEEP_MEASURE_ID_OVERRIDE",$C191,"DEEP_BROKER_ID_OVERRIDE",$F$7,"DEEP_PERIOD_OVERRIDE",R$11)*1,"")))</f>
        <v/>
      </c>
      <c r="S191" s="17" t="str">
        <f ca="1">IF(ISNA($B191),"",IF($B191="","",IFERROR(_xll.BDP(TICKER,"DEEP_MEASURE_PERIOD_BROKER_VALUE","DEEP_MEASURE_ID_OVERRIDE",$C191,"DEEP_BROKER_ID_OVERRIDE",$F$7,"DEEP_PERIOD_OVERRIDE",S$11)*1,"")))</f>
        <v/>
      </c>
      <c r="T191" s="17" t="str">
        <f ca="1">IF(ISNA($B191),"",IF($B191="","",IFERROR(_xll.BDP(TICKER,"DEEP_MEASURE_PERIOD_BROKER_VALUE","DEEP_MEASURE_ID_OVERRIDE",$C191,"DEEP_BROKER_ID_OVERRIDE",$F$7,"DEEP_PERIOD_OVERRIDE",T$11)*1,"")))</f>
        <v/>
      </c>
      <c r="U191" s="17" t="str">
        <f ca="1">IF(ISNA($B191),"",IF($B191="","",IFERROR(_xll.BDP(TICKER,"DEEP_MEASURE_PERIOD_BROKER_VALUE","DEEP_MEASURE_ID_OVERRIDE",$C191,"DEEP_BROKER_ID_OVERRIDE",$F$7,"DEEP_PERIOD_OVERRIDE",U$11)*1,"")))</f>
        <v/>
      </c>
      <c r="V191" s="17" t="str">
        <f ca="1">IF(ISNA($B191),"",IF($B191="","",IFERROR(_xll.BDP(TICKER,"DEEP_MEASURE_PERIOD_BROKER_VALUE","DEEP_MEASURE_ID_OVERRIDE",$C191,"DEEP_BROKER_ID_OVERRIDE",$F$7,"DEEP_PERIOD_OVERRIDE",V$11)*1,"")))</f>
        <v/>
      </c>
      <c r="W191" s="17" t="str">
        <f ca="1">IF(ISNA($B191),"",IF($B191="","",IFERROR(_xll.BDP(TICKER,"DEEP_MEASURE_PERIOD_BROKER_VALUE","DEEP_MEASURE_ID_OVERRIDE",$C191,"DEEP_BROKER_ID_OVERRIDE",$F$7,"DEEP_PERIOD_OVERRIDE",W$11)*1,"")))</f>
        <v/>
      </c>
      <c r="X191" s="17" t="str">
        <f ca="1">IF(ISNA($B191),"",IF($B191="","",IFERROR(_xll.BDP(TICKER,"DEEP_MEASURE_PERIOD_BROKER_VALUE","DEEP_MEASURE_ID_OVERRIDE",$C191,"DEEP_BROKER_ID_OVERRIDE",$F$7,"DEEP_PERIOD_OVERRIDE",X$11)*1,"")))</f>
        <v/>
      </c>
      <c r="Y191" s="17" t="str">
        <f ca="1">IF(ISNA($B191),"",IF($B191="","",IFERROR(_xll.BDP(TICKER,"DEEP_MEASURE_PERIOD_BROKER_VALUE","DEEP_MEASURE_ID_OVERRIDE",$C191,"DEEP_BROKER_ID_OVERRIDE",$F$7,"DEEP_PERIOD_OVERRIDE",Y$11)*1,"")))</f>
        <v/>
      </c>
      <c r="Z191" s="17" t="str">
        <f ca="1">IF(ISNA($B191),"",IF($B191="","",IFERROR(_xll.BDP(TICKER,"DEEP_MEASURE_PERIOD_BROKER_VALUE","DEEP_MEASURE_ID_OVERRIDE",$C191,"DEEP_BROKER_ID_OVERRIDE",$F$7,"DEEP_PERIOD_OVERRIDE",Z$11)*1,"")))</f>
        <v/>
      </c>
      <c r="AA191" s="17" t="str">
        <f ca="1">IF(ISNA($B191),"",IF($B191="","",IFERROR(_xll.BDP(TICKER,"DEEP_MEASURE_PERIOD_BROKER_VALUE","DEEP_MEASURE_ID_OVERRIDE",$C191,"DEEP_BROKER_ID_OVERRIDE",$F$7,"DEEP_PERIOD_OVERRIDE",AA$11)*1,"")))</f>
        <v/>
      </c>
      <c r="AB191" s="17" t="str">
        <f ca="1">IF(ISNA($B191),"",IF($B191="","",IFERROR(_xll.BDP(TICKER,"DEEP_MEASURE_PERIOD_BROKER_VALUE","DEEP_MEASURE_ID_OVERRIDE",$C191,"DEEP_BROKER_ID_OVERRIDE",$F$7,"DEEP_PERIOD_OVERRIDE",AB$11)*1,"")))</f>
        <v/>
      </c>
      <c r="AC191" s="17" t="str">
        <f ca="1">IF(ISNA($B191),"",IF($B191="","",IFERROR(_xll.BDP(TICKER,"DEEP_MEASURE_PERIOD_BROKER_VALUE","DEEP_MEASURE_ID_OVERRIDE",$C191,"DEEP_BROKER_ID_OVERRIDE",$F$7,"DEEP_PERIOD_OVERRIDE",AC$11)*1,"")))</f>
        <v/>
      </c>
      <c r="AD191" s="17" t="str">
        <f ca="1">IF(ISNA($B191),"",IF($B191="","",IFERROR(_xll.BDP(TICKER,"DEEP_MEASURE_PERIOD_BROKER_VALUE","DEEP_MEASURE_ID_OVERRIDE",$C191,"DEEP_BROKER_ID_OVERRIDE",$F$7,"DEEP_PERIOD_OVERRIDE",AD$11)*1,"")))</f>
        <v/>
      </c>
      <c r="AE191" s="17" t="str">
        <f ca="1">IF(ISNA($B191),"",IF($B191="","",IFERROR(_xll.BDP(TICKER,"DEEP_MEASURE_PERIOD_BROKER_VALUE","DEEP_MEASURE_ID_OVERRIDE",$C191,"DEEP_BROKER_ID_OVERRIDE",$F$7,"DEEP_PERIOD_OVERRIDE",AE$11)*1,"")))</f>
        <v/>
      </c>
      <c r="AF191" s="17" t="str">
        <f ca="1">IF(ISNA($B191),"",IF($B191="","",IFERROR(_xll.BDP(TICKER,"DEEP_MEASURE_PERIOD_BROKER_VALUE","DEEP_MEASURE_ID_OVERRIDE",$C191,"DEEP_BROKER_ID_OVERRIDE",$F$7,"DEEP_PERIOD_OVERRIDE",AF$11)*1,"")))</f>
        <v/>
      </c>
      <c r="AG191" s="17" t="str">
        <f ca="1">IF(ISNA($B191),"",IF($B191="","",IFERROR(_xll.BDP(TICKER,"DEEP_MEASURE_PERIOD_BROKER_VALUE","DEEP_MEASURE_ID_OVERRIDE",$C191,"DEEP_BROKER_ID_OVERRIDE",$F$7,"DEEP_PERIOD_OVERRIDE",AG$11)*1,"")))</f>
        <v/>
      </c>
      <c r="AH191" s="17" t="str">
        <f ca="1">IF(ISNA($B191),"",IF($B191="","",IFERROR(_xll.BDP(TICKER,"DEEP_MEASURE_PERIOD_BROKER_VALUE","DEEP_MEASURE_ID_OVERRIDE",$C191,"DEEP_BROKER_ID_OVERRIDE",$F$7,"DEEP_PERIOD_OVERRIDE",AH$11)*1,"")))</f>
        <v/>
      </c>
      <c r="AI191" s="17" t="str">
        <f ca="1">IF(ISNA($B191),"",IF($B191="","",IFERROR(_xll.BDP(TICKER,"DEEP_MEASURE_PERIOD_BROKER_VALUE","DEEP_MEASURE_ID_OVERRIDE",$C191,"DEEP_BROKER_ID_OVERRIDE",$F$7,"DEEP_PERIOD_OVERRIDE",AI$11)*1,"")))</f>
        <v/>
      </c>
      <c r="AJ191" s="17" t="str">
        <f ca="1">IF(ISNA($B191),"",IF($B191="","",IFERROR(_xll.BDP(TICKER,"DEEP_MEASURE_PERIOD_BROKER_VALUE","DEEP_MEASURE_ID_OVERRIDE",$C191,"DEEP_BROKER_ID_OVERRIDE",$F$7,"DEEP_PERIOD_OVERRIDE",AJ$11)*1,"")))</f>
        <v/>
      </c>
      <c r="AK191" s="17" t="str">
        <f ca="1">IF(ISNA($B191),"",IF($B191="","",IFERROR(_xll.BDP(TICKER,"DEEP_MEASURE_PERIOD_BROKER_VALUE","DEEP_MEASURE_ID_OVERRIDE",$C191,"DEEP_BROKER_ID_OVERRIDE",$F$7,"DEEP_PERIOD_OVERRIDE",AK$11)*1,"")))</f>
        <v/>
      </c>
      <c r="AL191" s="17" t="str">
        <f ca="1">IF(ISNA($B191),"",IF($B191="","",IFERROR(_xll.BDP(TICKER,"DEEP_MEASURE_PERIOD_BROKER_VALUE","DEEP_MEASURE_ID_OVERRIDE",$C191,"DEEP_BROKER_ID_OVERRIDE",$F$7,"DEEP_PERIOD_OVERRIDE",AL$11)*1,"")))</f>
        <v/>
      </c>
      <c r="AM191" s="17" t="str">
        <f ca="1">IF(ISNA($B191),"",IF($B191="","",IFERROR(_xll.BDP(TICKER,"DEEP_MEASURE_PERIOD_BROKER_VALUE","DEEP_MEASURE_ID_OVERRIDE",$C191,"DEEP_BROKER_ID_OVERRIDE",$F$7,"DEEP_PERIOD_OVERRIDE",AM$11)*1,"")))</f>
        <v/>
      </c>
      <c r="AN191" s="17" t="str">
        <f ca="1">IF(ISNA($B191),"",IF($B191="","",IFERROR(_xll.BDP(TICKER,"DEEP_MEASURE_PERIOD_BROKER_VALUE","DEEP_MEASURE_ID_OVERRIDE",$C191,"DEEP_BROKER_ID_OVERRIDE",$F$7,"DEEP_PERIOD_OVERRIDE",AN$11)*1,"")))</f>
        <v/>
      </c>
      <c r="AO191" s="17" t="str">
        <f ca="1">IF(ISNA($B191),"",IF($B191="","",IFERROR(_xll.BDP(TICKER,"DEEP_MEASURE_PERIOD_BROKER_VALUE","DEEP_MEASURE_ID_OVERRIDE",$C191,"DEEP_BROKER_ID_OVERRIDE",$F$7,"DEEP_PERIOD_OVERRIDE",AO$11)*1,"")))</f>
        <v/>
      </c>
      <c r="AP191" s="17" t="str">
        <f ca="1">IF(ISNA($B191),"",IF($B191="","",IFERROR(_xll.BDP(TICKER,"DEEP_MEASURE_PERIOD_BROKER_VALUE","DEEP_MEASURE_ID_OVERRIDE",$C191,"DEEP_BROKER_ID_OVERRIDE",$F$7,"DEEP_PERIOD_OVERRIDE",AP$11)*1,"")))</f>
        <v/>
      </c>
      <c r="AQ191" s="17" t="str">
        <f ca="1">IF(ISNA($B191),"",IF($B191="","",IFERROR(_xll.BDP(TICKER,"DEEP_MEASURE_PERIOD_BROKER_VALUE","DEEP_MEASURE_ID_OVERRIDE",$C191,"DEEP_BROKER_ID_OVERRIDE",$F$7,"DEEP_PERIOD_OVERRIDE",AQ$11)*1,"")))</f>
        <v/>
      </c>
    </row>
    <row r="192" spans="2:43" x14ac:dyDescent="0.25">
      <c r="B192" t="s">
        <v>67</v>
      </c>
      <c r="C192">
        <v>8253</v>
      </c>
      <c r="H192" t="str">
        <f t="shared" si="4"/>
        <v>Cash from Operations Activities &gt; Deferred Income Taxes</v>
      </c>
      <c r="I192" s="17" t="str">
        <f ca="1">IF(ISNA($B192),"",IF($B192="","",IFERROR(_xll.BDP(TICKER,"DEEP_MEASURE_PERIOD_BROKER_VALUE","DEEP_MEASURE_ID_OVERRIDE",$C192,"DEEP_BROKER_ID_OVERRIDE",$F$7,"DEEP_PERIOD_OVERRIDE",I$11)*1,"")))</f>
        <v/>
      </c>
      <c r="J192" s="17" t="str">
        <f ca="1">IF(ISNA($B192),"",IF($B192="","",IFERROR(_xll.BDP(TICKER,"DEEP_MEASURE_PERIOD_BROKER_VALUE","DEEP_MEASURE_ID_OVERRIDE",$C192,"DEEP_BROKER_ID_OVERRIDE",$F$7,"DEEP_PERIOD_OVERRIDE",J$11)*1,"")))</f>
        <v/>
      </c>
      <c r="K192" s="17" t="str">
        <f ca="1">IF(ISNA($B192),"",IF($B192="","",IFERROR(_xll.BDP(TICKER,"DEEP_MEASURE_PERIOD_BROKER_VALUE","DEEP_MEASURE_ID_OVERRIDE",$C192,"DEEP_BROKER_ID_OVERRIDE",$F$7,"DEEP_PERIOD_OVERRIDE",K$11)*1,"")))</f>
        <v/>
      </c>
      <c r="L192" s="17" t="str">
        <f ca="1">IF(ISNA($B192),"",IF($B192="","",IFERROR(_xll.BDP(TICKER,"DEEP_MEASURE_PERIOD_BROKER_VALUE","DEEP_MEASURE_ID_OVERRIDE",$C192,"DEEP_BROKER_ID_OVERRIDE",$F$7,"DEEP_PERIOD_OVERRIDE",L$11)*1,"")))</f>
        <v/>
      </c>
      <c r="M192" s="17" t="str">
        <f ca="1">IF(ISNA($B192),"",IF($B192="","",IFERROR(_xll.BDP(TICKER,"DEEP_MEASURE_PERIOD_BROKER_VALUE","DEEP_MEASURE_ID_OVERRIDE",$C192,"DEEP_BROKER_ID_OVERRIDE",$F$7,"DEEP_PERIOD_OVERRIDE",M$11)*1,"")))</f>
        <v/>
      </c>
      <c r="N192" s="17" t="str">
        <f ca="1">IF(ISNA($B192),"",IF($B192="","",IFERROR(_xll.BDP(TICKER,"DEEP_MEASURE_PERIOD_BROKER_VALUE","DEEP_MEASURE_ID_OVERRIDE",$C192,"DEEP_BROKER_ID_OVERRIDE",$F$7,"DEEP_PERIOD_OVERRIDE",N$11)*1,"")))</f>
        <v/>
      </c>
      <c r="O192" s="17" t="str">
        <f ca="1">IF(ISNA($B192),"",IF($B192="","",IFERROR(_xll.BDP(TICKER,"DEEP_MEASURE_PERIOD_BROKER_VALUE","DEEP_MEASURE_ID_OVERRIDE",$C192,"DEEP_BROKER_ID_OVERRIDE",$F$7,"DEEP_PERIOD_OVERRIDE",O$11)*1,"")))</f>
        <v/>
      </c>
      <c r="P192" s="17" t="str">
        <f ca="1">IF(ISNA($B192),"",IF($B192="","",IFERROR(_xll.BDP(TICKER,"DEEP_MEASURE_PERIOD_BROKER_VALUE","DEEP_MEASURE_ID_OVERRIDE",$C192,"DEEP_BROKER_ID_OVERRIDE",$F$7,"DEEP_PERIOD_OVERRIDE",P$11)*1,"")))</f>
        <v/>
      </c>
      <c r="Q192" s="17" t="str">
        <f ca="1">IF(ISNA($B192),"",IF($B192="","",IFERROR(_xll.BDP(TICKER,"DEEP_MEASURE_PERIOD_BROKER_VALUE","DEEP_MEASURE_ID_OVERRIDE",$C192,"DEEP_BROKER_ID_OVERRIDE",$F$7,"DEEP_PERIOD_OVERRIDE",Q$11)*1,"")))</f>
        <v/>
      </c>
      <c r="R192" s="17" t="str">
        <f ca="1">IF(ISNA($B192),"",IF($B192="","",IFERROR(_xll.BDP(TICKER,"DEEP_MEASURE_PERIOD_BROKER_VALUE","DEEP_MEASURE_ID_OVERRIDE",$C192,"DEEP_BROKER_ID_OVERRIDE",$F$7,"DEEP_PERIOD_OVERRIDE",R$11)*1,"")))</f>
        <v/>
      </c>
      <c r="S192" s="17" t="str">
        <f ca="1">IF(ISNA($B192),"",IF($B192="","",IFERROR(_xll.BDP(TICKER,"DEEP_MEASURE_PERIOD_BROKER_VALUE","DEEP_MEASURE_ID_OVERRIDE",$C192,"DEEP_BROKER_ID_OVERRIDE",$F$7,"DEEP_PERIOD_OVERRIDE",S$11)*1,"")))</f>
        <v/>
      </c>
      <c r="T192" s="17" t="str">
        <f ca="1">IF(ISNA($B192),"",IF($B192="","",IFERROR(_xll.BDP(TICKER,"DEEP_MEASURE_PERIOD_BROKER_VALUE","DEEP_MEASURE_ID_OVERRIDE",$C192,"DEEP_BROKER_ID_OVERRIDE",$F$7,"DEEP_PERIOD_OVERRIDE",T$11)*1,"")))</f>
        <v/>
      </c>
      <c r="U192" s="17" t="str">
        <f ca="1">IF(ISNA($B192),"",IF($B192="","",IFERROR(_xll.BDP(TICKER,"DEEP_MEASURE_PERIOD_BROKER_VALUE","DEEP_MEASURE_ID_OVERRIDE",$C192,"DEEP_BROKER_ID_OVERRIDE",$F$7,"DEEP_PERIOD_OVERRIDE",U$11)*1,"")))</f>
        <v/>
      </c>
      <c r="V192" s="17" t="str">
        <f ca="1">IF(ISNA($B192),"",IF($B192="","",IFERROR(_xll.BDP(TICKER,"DEEP_MEASURE_PERIOD_BROKER_VALUE","DEEP_MEASURE_ID_OVERRIDE",$C192,"DEEP_BROKER_ID_OVERRIDE",$F$7,"DEEP_PERIOD_OVERRIDE",V$11)*1,"")))</f>
        <v/>
      </c>
      <c r="W192" s="17" t="str">
        <f ca="1">IF(ISNA($B192),"",IF($B192="","",IFERROR(_xll.BDP(TICKER,"DEEP_MEASURE_PERIOD_BROKER_VALUE","DEEP_MEASURE_ID_OVERRIDE",$C192,"DEEP_BROKER_ID_OVERRIDE",$F$7,"DEEP_PERIOD_OVERRIDE",W$11)*1,"")))</f>
        <v/>
      </c>
      <c r="X192" s="17" t="str">
        <f ca="1">IF(ISNA($B192),"",IF($B192="","",IFERROR(_xll.BDP(TICKER,"DEEP_MEASURE_PERIOD_BROKER_VALUE","DEEP_MEASURE_ID_OVERRIDE",$C192,"DEEP_BROKER_ID_OVERRIDE",$F$7,"DEEP_PERIOD_OVERRIDE",X$11)*1,"")))</f>
        <v/>
      </c>
      <c r="Y192" s="17" t="str">
        <f ca="1">IF(ISNA($B192),"",IF($B192="","",IFERROR(_xll.BDP(TICKER,"DEEP_MEASURE_PERIOD_BROKER_VALUE","DEEP_MEASURE_ID_OVERRIDE",$C192,"DEEP_BROKER_ID_OVERRIDE",$F$7,"DEEP_PERIOD_OVERRIDE",Y$11)*1,"")))</f>
        <v/>
      </c>
      <c r="Z192" s="17" t="str">
        <f ca="1">IF(ISNA($B192),"",IF($B192="","",IFERROR(_xll.BDP(TICKER,"DEEP_MEASURE_PERIOD_BROKER_VALUE","DEEP_MEASURE_ID_OVERRIDE",$C192,"DEEP_BROKER_ID_OVERRIDE",$F$7,"DEEP_PERIOD_OVERRIDE",Z$11)*1,"")))</f>
        <v/>
      </c>
      <c r="AA192" s="17" t="str">
        <f ca="1">IF(ISNA($B192),"",IF($B192="","",IFERROR(_xll.BDP(TICKER,"DEEP_MEASURE_PERIOD_BROKER_VALUE","DEEP_MEASURE_ID_OVERRIDE",$C192,"DEEP_BROKER_ID_OVERRIDE",$F$7,"DEEP_PERIOD_OVERRIDE",AA$11)*1,"")))</f>
        <v/>
      </c>
      <c r="AB192" s="17" t="str">
        <f ca="1">IF(ISNA($B192),"",IF($B192="","",IFERROR(_xll.BDP(TICKER,"DEEP_MEASURE_PERIOD_BROKER_VALUE","DEEP_MEASURE_ID_OVERRIDE",$C192,"DEEP_BROKER_ID_OVERRIDE",$F$7,"DEEP_PERIOD_OVERRIDE",AB$11)*1,"")))</f>
        <v/>
      </c>
      <c r="AC192" s="17" t="str">
        <f ca="1">IF(ISNA($B192),"",IF($B192="","",IFERROR(_xll.BDP(TICKER,"DEEP_MEASURE_PERIOD_BROKER_VALUE","DEEP_MEASURE_ID_OVERRIDE",$C192,"DEEP_BROKER_ID_OVERRIDE",$F$7,"DEEP_PERIOD_OVERRIDE",AC$11)*1,"")))</f>
        <v/>
      </c>
      <c r="AD192" s="17" t="str">
        <f ca="1">IF(ISNA($B192),"",IF($B192="","",IFERROR(_xll.BDP(TICKER,"DEEP_MEASURE_PERIOD_BROKER_VALUE","DEEP_MEASURE_ID_OVERRIDE",$C192,"DEEP_BROKER_ID_OVERRIDE",$F$7,"DEEP_PERIOD_OVERRIDE",AD$11)*1,"")))</f>
        <v/>
      </c>
      <c r="AE192" s="17" t="str">
        <f ca="1">IF(ISNA($B192),"",IF($B192="","",IFERROR(_xll.BDP(TICKER,"DEEP_MEASURE_PERIOD_BROKER_VALUE","DEEP_MEASURE_ID_OVERRIDE",$C192,"DEEP_BROKER_ID_OVERRIDE",$F$7,"DEEP_PERIOD_OVERRIDE",AE$11)*1,"")))</f>
        <v/>
      </c>
      <c r="AF192" s="17" t="str">
        <f ca="1">IF(ISNA($B192),"",IF($B192="","",IFERROR(_xll.BDP(TICKER,"DEEP_MEASURE_PERIOD_BROKER_VALUE","DEEP_MEASURE_ID_OVERRIDE",$C192,"DEEP_BROKER_ID_OVERRIDE",$F$7,"DEEP_PERIOD_OVERRIDE",AF$11)*1,"")))</f>
        <v/>
      </c>
      <c r="AG192" s="17" t="str">
        <f ca="1">IF(ISNA($B192),"",IF($B192="","",IFERROR(_xll.BDP(TICKER,"DEEP_MEASURE_PERIOD_BROKER_VALUE","DEEP_MEASURE_ID_OVERRIDE",$C192,"DEEP_BROKER_ID_OVERRIDE",$F$7,"DEEP_PERIOD_OVERRIDE",AG$11)*1,"")))</f>
        <v/>
      </c>
      <c r="AH192" s="17" t="str">
        <f ca="1">IF(ISNA($B192),"",IF($B192="","",IFERROR(_xll.BDP(TICKER,"DEEP_MEASURE_PERIOD_BROKER_VALUE","DEEP_MEASURE_ID_OVERRIDE",$C192,"DEEP_BROKER_ID_OVERRIDE",$F$7,"DEEP_PERIOD_OVERRIDE",AH$11)*1,"")))</f>
        <v/>
      </c>
      <c r="AI192" s="17" t="str">
        <f ca="1">IF(ISNA($B192),"",IF($B192="","",IFERROR(_xll.BDP(TICKER,"DEEP_MEASURE_PERIOD_BROKER_VALUE","DEEP_MEASURE_ID_OVERRIDE",$C192,"DEEP_BROKER_ID_OVERRIDE",$F$7,"DEEP_PERIOD_OVERRIDE",AI$11)*1,"")))</f>
        <v/>
      </c>
      <c r="AJ192" s="17" t="str">
        <f ca="1">IF(ISNA($B192),"",IF($B192="","",IFERROR(_xll.BDP(TICKER,"DEEP_MEASURE_PERIOD_BROKER_VALUE","DEEP_MEASURE_ID_OVERRIDE",$C192,"DEEP_BROKER_ID_OVERRIDE",$F$7,"DEEP_PERIOD_OVERRIDE",AJ$11)*1,"")))</f>
        <v/>
      </c>
      <c r="AK192" s="17" t="str">
        <f ca="1">IF(ISNA($B192),"",IF($B192="","",IFERROR(_xll.BDP(TICKER,"DEEP_MEASURE_PERIOD_BROKER_VALUE","DEEP_MEASURE_ID_OVERRIDE",$C192,"DEEP_BROKER_ID_OVERRIDE",$F$7,"DEEP_PERIOD_OVERRIDE",AK$11)*1,"")))</f>
        <v/>
      </c>
      <c r="AL192" s="17" t="str">
        <f ca="1">IF(ISNA($B192),"",IF($B192="","",IFERROR(_xll.BDP(TICKER,"DEEP_MEASURE_PERIOD_BROKER_VALUE","DEEP_MEASURE_ID_OVERRIDE",$C192,"DEEP_BROKER_ID_OVERRIDE",$F$7,"DEEP_PERIOD_OVERRIDE",AL$11)*1,"")))</f>
        <v/>
      </c>
      <c r="AM192" s="17" t="str">
        <f ca="1">IF(ISNA($B192),"",IF($B192="","",IFERROR(_xll.BDP(TICKER,"DEEP_MEASURE_PERIOD_BROKER_VALUE","DEEP_MEASURE_ID_OVERRIDE",$C192,"DEEP_BROKER_ID_OVERRIDE",$F$7,"DEEP_PERIOD_OVERRIDE",AM$11)*1,"")))</f>
        <v/>
      </c>
      <c r="AN192" s="17" t="str">
        <f ca="1">IF(ISNA($B192),"",IF($B192="","",IFERROR(_xll.BDP(TICKER,"DEEP_MEASURE_PERIOD_BROKER_VALUE","DEEP_MEASURE_ID_OVERRIDE",$C192,"DEEP_BROKER_ID_OVERRIDE",$F$7,"DEEP_PERIOD_OVERRIDE",AN$11)*1,"")))</f>
        <v/>
      </c>
      <c r="AO192" s="17" t="str">
        <f ca="1">IF(ISNA($B192),"",IF($B192="","",IFERROR(_xll.BDP(TICKER,"DEEP_MEASURE_PERIOD_BROKER_VALUE","DEEP_MEASURE_ID_OVERRIDE",$C192,"DEEP_BROKER_ID_OVERRIDE",$F$7,"DEEP_PERIOD_OVERRIDE",AO$11)*1,"")))</f>
        <v/>
      </c>
      <c r="AP192" s="17" t="str">
        <f ca="1">IF(ISNA($B192),"",IF($B192="","",IFERROR(_xll.BDP(TICKER,"DEEP_MEASURE_PERIOD_BROKER_VALUE","DEEP_MEASURE_ID_OVERRIDE",$C192,"DEEP_BROKER_ID_OVERRIDE",$F$7,"DEEP_PERIOD_OVERRIDE",AP$11)*1,"")))</f>
        <v/>
      </c>
      <c r="AQ192" s="17" t="str">
        <f ca="1">IF(ISNA($B192),"",IF($B192="","",IFERROR(_xll.BDP(TICKER,"DEEP_MEASURE_PERIOD_BROKER_VALUE","DEEP_MEASURE_ID_OVERRIDE",$C192,"DEEP_BROKER_ID_OVERRIDE",$F$7,"DEEP_PERIOD_OVERRIDE",AQ$11)*1,"")))</f>
        <v/>
      </c>
    </row>
    <row r="193" spans="2:43" x14ac:dyDescent="0.25">
      <c r="B193" t="s">
        <v>68</v>
      </c>
      <c r="C193">
        <v>3250</v>
      </c>
      <c r="H193" t="str">
        <f t="shared" si="4"/>
        <v>Cash from Operations Activities &gt; Other Non-Cash Adjustments</v>
      </c>
      <c r="I193" s="17" t="str">
        <f ca="1">IF(ISNA($B193),"",IF($B193="","",IFERROR(_xll.BDP(TICKER,"DEEP_MEASURE_PERIOD_BROKER_VALUE","DEEP_MEASURE_ID_OVERRIDE",$C193,"DEEP_BROKER_ID_OVERRIDE",$F$7,"DEEP_PERIOD_OVERRIDE",I$11)*1,"")))</f>
        <v/>
      </c>
      <c r="J193" s="17" t="str">
        <f ca="1">IF(ISNA($B193),"",IF($B193="","",IFERROR(_xll.BDP(TICKER,"DEEP_MEASURE_PERIOD_BROKER_VALUE","DEEP_MEASURE_ID_OVERRIDE",$C193,"DEEP_BROKER_ID_OVERRIDE",$F$7,"DEEP_PERIOD_OVERRIDE",J$11)*1,"")))</f>
        <v/>
      </c>
      <c r="K193" s="17" t="str">
        <f ca="1">IF(ISNA($B193),"",IF($B193="","",IFERROR(_xll.BDP(TICKER,"DEEP_MEASURE_PERIOD_BROKER_VALUE","DEEP_MEASURE_ID_OVERRIDE",$C193,"DEEP_BROKER_ID_OVERRIDE",$F$7,"DEEP_PERIOD_OVERRIDE",K$11)*1,"")))</f>
        <v/>
      </c>
      <c r="L193" s="17" t="str">
        <f ca="1">IF(ISNA($B193),"",IF($B193="","",IFERROR(_xll.BDP(TICKER,"DEEP_MEASURE_PERIOD_BROKER_VALUE","DEEP_MEASURE_ID_OVERRIDE",$C193,"DEEP_BROKER_ID_OVERRIDE",$F$7,"DEEP_PERIOD_OVERRIDE",L$11)*1,"")))</f>
        <v/>
      </c>
      <c r="M193" s="17" t="str">
        <f ca="1">IF(ISNA($B193),"",IF($B193="","",IFERROR(_xll.BDP(TICKER,"DEEP_MEASURE_PERIOD_BROKER_VALUE","DEEP_MEASURE_ID_OVERRIDE",$C193,"DEEP_BROKER_ID_OVERRIDE",$F$7,"DEEP_PERIOD_OVERRIDE",M$11)*1,"")))</f>
        <v/>
      </c>
      <c r="N193" s="17" t="str">
        <f ca="1">IF(ISNA($B193),"",IF($B193="","",IFERROR(_xll.BDP(TICKER,"DEEP_MEASURE_PERIOD_BROKER_VALUE","DEEP_MEASURE_ID_OVERRIDE",$C193,"DEEP_BROKER_ID_OVERRIDE",$F$7,"DEEP_PERIOD_OVERRIDE",N$11)*1,"")))</f>
        <v/>
      </c>
      <c r="O193" s="17" t="str">
        <f ca="1">IF(ISNA($B193),"",IF($B193="","",IFERROR(_xll.BDP(TICKER,"DEEP_MEASURE_PERIOD_BROKER_VALUE","DEEP_MEASURE_ID_OVERRIDE",$C193,"DEEP_BROKER_ID_OVERRIDE",$F$7,"DEEP_PERIOD_OVERRIDE",O$11)*1,"")))</f>
        <v/>
      </c>
      <c r="P193" s="17" t="str">
        <f ca="1">IF(ISNA($B193),"",IF($B193="","",IFERROR(_xll.BDP(TICKER,"DEEP_MEASURE_PERIOD_BROKER_VALUE","DEEP_MEASURE_ID_OVERRIDE",$C193,"DEEP_BROKER_ID_OVERRIDE",$F$7,"DEEP_PERIOD_OVERRIDE",P$11)*1,"")))</f>
        <v/>
      </c>
      <c r="Q193" s="17" t="str">
        <f ca="1">IF(ISNA($B193),"",IF($B193="","",IFERROR(_xll.BDP(TICKER,"DEEP_MEASURE_PERIOD_BROKER_VALUE","DEEP_MEASURE_ID_OVERRIDE",$C193,"DEEP_BROKER_ID_OVERRIDE",$F$7,"DEEP_PERIOD_OVERRIDE",Q$11)*1,"")))</f>
        <v/>
      </c>
      <c r="R193" s="17" t="str">
        <f ca="1">IF(ISNA($B193),"",IF($B193="","",IFERROR(_xll.BDP(TICKER,"DEEP_MEASURE_PERIOD_BROKER_VALUE","DEEP_MEASURE_ID_OVERRIDE",$C193,"DEEP_BROKER_ID_OVERRIDE",$F$7,"DEEP_PERIOD_OVERRIDE",R$11)*1,"")))</f>
        <v/>
      </c>
      <c r="S193" s="17" t="str">
        <f ca="1">IF(ISNA($B193),"",IF($B193="","",IFERROR(_xll.BDP(TICKER,"DEEP_MEASURE_PERIOD_BROKER_VALUE","DEEP_MEASURE_ID_OVERRIDE",$C193,"DEEP_BROKER_ID_OVERRIDE",$F$7,"DEEP_PERIOD_OVERRIDE",S$11)*1,"")))</f>
        <v/>
      </c>
      <c r="T193" s="17" t="str">
        <f ca="1">IF(ISNA($B193),"",IF($B193="","",IFERROR(_xll.BDP(TICKER,"DEEP_MEASURE_PERIOD_BROKER_VALUE","DEEP_MEASURE_ID_OVERRIDE",$C193,"DEEP_BROKER_ID_OVERRIDE",$F$7,"DEEP_PERIOD_OVERRIDE",T$11)*1,"")))</f>
        <v/>
      </c>
      <c r="U193" s="17" t="str">
        <f ca="1">IF(ISNA($B193),"",IF($B193="","",IFERROR(_xll.BDP(TICKER,"DEEP_MEASURE_PERIOD_BROKER_VALUE","DEEP_MEASURE_ID_OVERRIDE",$C193,"DEEP_BROKER_ID_OVERRIDE",$F$7,"DEEP_PERIOD_OVERRIDE",U$11)*1,"")))</f>
        <v/>
      </c>
      <c r="V193" s="17" t="str">
        <f ca="1">IF(ISNA($B193),"",IF($B193="","",IFERROR(_xll.BDP(TICKER,"DEEP_MEASURE_PERIOD_BROKER_VALUE","DEEP_MEASURE_ID_OVERRIDE",$C193,"DEEP_BROKER_ID_OVERRIDE",$F$7,"DEEP_PERIOD_OVERRIDE",V$11)*1,"")))</f>
        <v/>
      </c>
      <c r="W193" s="17" t="str">
        <f ca="1">IF(ISNA($B193),"",IF($B193="","",IFERROR(_xll.BDP(TICKER,"DEEP_MEASURE_PERIOD_BROKER_VALUE","DEEP_MEASURE_ID_OVERRIDE",$C193,"DEEP_BROKER_ID_OVERRIDE",$F$7,"DEEP_PERIOD_OVERRIDE",W$11)*1,"")))</f>
        <v/>
      </c>
      <c r="X193" s="17" t="str">
        <f ca="1">IF(ISNA($B193),"",IF($B193="","",IFERROR(_xll.BDP(TICKER,"DEEP_MEASURE_PERIOD_BROKER_VALUE","DEEP_MEASURE_ID_OVERRIDE",$C193,"DEEP_BROKER_ID_OVERRIDE",$F$7,"DEEP_PERIOD_OVERRIDE",X$11)*1,"")))</f>
        <v/>
      </c>
      <c r="Y193" s="17" t="str">
        <f ca="1">IF(ISNA($B193),"",IF($B193="","",IFERROR(_xll.BDP(TICKER,"DEEP_MEASURE_PERIOD_BROKER_VALUE","DEEP_MEASURE_ID_OVERRIDE",$C193,"DEEP_BROKER_ID_OVERRIDE",$F$7,"DEEP_PERIOD_OVERRIDE",Y$11)*1,"")))</f>
        <v/>
      </c>
      <c r="Z193" s="17" t="str">
        <f ca="1">IF(ISNA($B193),"",IF($B193="","",IFERROR(_xll.BDP(TICKER,"DEEP_MEASURE_PERIOD_BROKER_VALUE","DEEP_MEASURE_ID_OVERRIDE",$C193,"DEEP_BROKER_ID_OVERRIDE",$F$7,"DEEP_PERIOD_OVERRIDE",Z$11)*1,"")))</f>
        <v/>
      </c>
      <c r="AA193" s="17" t="str">
        <f ca="1">IF(ISNA($B193),"",IF($B193="","",IFERROR(_xll.BDP(TICKER,"DEEP_MEASURE_PERIOD_BROKER_VALUE","DEEP_MEASURE_ID_OVERRIDE",$C193,"DEEP_BROKER_ID_OVERRIDE",$F$7,"DEEP_PERIOD_OVERRIDE",AA$11)*1,"")))</f>
        <v/>
      </c>
      <c r="AB193" s="17" t="str">
        <f ca="1">IF(ISNA($B193),"",IF($B193="","",IFERROR(_xll.BDP(TICKER,"DEEP_MEASURE_PERIOD_BROKER_VALUE","DEEP_MEASURE_ID_OVERRIDE",$C193,"DEEP_BROKER_ID_OVERRIDE",$F$7,"DEEP_PERIOD_OVERRIDE",AB$11)*1,"")))</f>
        <v/>
      </c>
      <c r="AC193" s="17" t="str">
        <f ca="1">IF(ISNA($B193),"",IF($B193="","",IFERROR(_xll.BDP(TICKER,"DEEP_MEASURE_PERIOD_BROKER_VALUE","DEEP_MEASURE_ID_OVERRIDE",$C193,"DEEP_BROKER_ID_OVERRIDE",$F$7,"DEEP_PERIOD_OVERRIDE",AC$11)*1,"")))</f>
        <v/>
      </c>
      <c r="AD193" s="17" t="str">
        <f ca="1">IF(ISNA($B193),"",IF($B193="","",IFERROR(_xll.BDP(TICKER,"DEEP_MEASURE_PERIOD_BROKER_VALUE","DEEP_MEASURE_ID_OVERRIDE",$C193,"DEEP_BROKER_ID_OVERRIDE",$F$7,"DEEP_PERIOD_OVERRIDE",AD$11)*1,"")))</f>
        <v/>
      </c>
      <c r="AE193" s="17" t="str">
        <f ca="1">IF(ISNA($B193),"",IF($B193="","",IFERROR(_xll.BDP(TICKER,"DEEP_MEASURE_PERIOD_BROKER_VALUE","DEEP_MEASURE_ID_OVERRIDE",$C193,"DEEP_BROKER_ID_OVERRIDE",$F$7,"DEEP_PERIOD_OVERRIDE",AE$11)*1,"")))</f>
        <v/>
      </c>
      <c r="AF193" s="17" t="str">
        <f ca="1">IF(ISNA($B193),"",IF($B193="","",IFERROR(_xll.BDP(TICKER,"DEEP_MEASURE_PERIOD_BROKER_VALUE","DEEP_MEASURE_ID_OVERRIDE",$C193,"DEEP_BROKER_ID_OVERRIDE",$F$7,"DEEP_PERIOD_OVERRIDE",AF$11)*1,"")))</f>
        <v/>
      </c>
      <c r="AG193" s="17" t="str">
        <f ca="1">IF(ISNA($B193),"",IF($B193="","",IFERROR(_xll.BDP(TICKER,"DEEP_MEASURE_PERIOD_BROKER_VALUE","DEEP_MEASURE_ID_OVERRIDE",$C193,"DEEP_BROKER_ID_OVERRIDE",$F$7,"DEEP_PERIOD_OVERRIDE",AG$11)*1,"")))</f>
        <v/>
      </c>
      <c r="AH193" s="17" t="str">
        <f ca="1">IF(ISNA($B193),"",IF($B193="","",IFERROR(_xll.BDP(TICKER,"DEEP_MEASURE_PERIOD_BROKER_VALUE","DEEP_MEASURE_ID_OVERRIDE",$C193,"DEEP_BROKER_ID_OVERRIDE",$F$7,"DEEP_PERIOD_OVERRIDE",AH$11)*1,"")))</f>
        <v/>
      </c>
      <c r="AI193" s="17" t="str">
        <f ca="1">IF(ISNA($B193),"",IF($B193="","",IFERROR(_xll.BDP(TICKER,"DEEP_MEASURE_PERIOD_BROKER_VALUE","DEEP_MEASURE_ID_OVERRIDE",$C193,"DEEP_BROKER_ID_OVERRIDE",$F$7,"DEEP_PERIOD_OVERRIDE",AI$11)*1,"")))</f>
        <v/>
      </c>
      <c r="AJ193" s="17" t="str">
        <f ca="1">IF(ISNA($B193),"",IF($B193="","",IFERROR(_xll.BDP(TICKER,"DEEP_MEASURE_PERIOD_BROKER_VALUE","DEEP_MEASURE_ID_OVERRIDE",$C193,"DEEP_BROKER_ID_OVERRIDE",$F$7,"DEEP_PERIOD_OVERRIDE",AJ$11)*1,"")))</f>
        <v/>
      </c>
      <c r="AK193" s="17" t="str">
        <f ca="1">IF(ISNA($B193),"",IF($B193="","",IFERROR(_xll.BDP(TICKER,"DEEP_MEASURE_PERIOD_BROKER_VALUE","DEEP_MEASURE_ID_OVERRIDE",$C193,"DEEP_BROKER_ID_OVERRIDE",$F$7,"DEEP_PERIOD_OVERRIDE",AK$11)*1,"")))</f>
        <v/>
      </c>
      <c r="AL193" s="17" t="str">
        <f ca="1">IF(ISNA($B193),"",IF($B193="","",IFERROR(_xll.BDP(TICKER,"DEEP_MEASURE_PERIOD_BROKER_VALUE","DEEP_MEASURE_ID_OVERRIDE",$C193,"DEEP_BROKER_ID_OVERRIDE",$F$7,"DEEP_PERIOD_OVERRIDE",AL$11)*1,"")))</f>
        <v/>
      </c>
      <c r="AM193" s="17" t="str">
        <f ca="1">IF(ISNA($B193),"",IF($B193="","",IFERROR(_xll.BDP(TICKER,"DEEP_MEASURE_PERIOD_BROKER_VALUE","DEEP_MEASURE_ID_OVERRIDE",$C193,"DEEP_BROKER_ID_OVERRIDE",$F$7,"DEEP_PERIOD_OVERRIDE",AM$11)*1,"")))</f>
        <v/>
      </c>
      <c r="AN193" s="17" t="str">
        <f ca="1">IF(ISNA($B193),"",IF($B193="","",IFERROR(_xll.BDP(TICKER,"DEEP_MEASURE_PERIOD_BROKER_VALUE","DEEP_MEASURE_ID_OVERRIDE",$C193,"DEEP_BROKER_ID_OVERRIDE",$F$7,"DEEP_PERIOD_OVERRIDE",AN$11)*1,"")))</f>
        <v/>
      </c>
      <c r="AO193" s="17" t="str">
        <f ca="1">IF(ISNA($B193),"",IF($B193="","",IFERROR(_xll.BDP(TICKER,"DEEP_MEASURE_PERIOD_BROKER_VALUE","DEEP_MEASURE_ID_OVERRIDE",$C193,"DEEP_BROKER_ID_OVERRIDE",$F$7,"DEEP_PERIOD_OVERRIDE",AO$11)*1,"")))</f>
        <v/>
      </c>
      <c r="AP193" s="17" t="str">
        <f ca="1">IF(ISNA($B193),"",IF($B193="","",IFERROR(_xll.BDP(TICKER,"DEEP_MEASURE_PERIOD_BROKER_VALUE","DEEP_MEASURE_ID_OVERRIDE",$C193,"DEEP_BROKER_ID_OVERRIDE",$F$7,"DEEP_PERIOD_OVERRIDE",AP$11)*1,"")))</f>
        <v/>
      </c>
      <c r="AQ193" s="17" t="str">
        <f ca="1">IF(ISNA($B193),"",IF($B193="","",IFERROR(_xll.BDP(TICKER,"DEEP_MEASURE_PERIOD_BROKER_VALUE","DEEP_MEASURE_ID_OVERRIDE",$C193,"DEEP_BROKER_ID_OVERRIDE",$F$7,"DEEP_PERIOD_OVERRIDE",AQ$11)*1,"")))</f>
        <v/>
      </c>
    </row>
    <row r="194" spans="2:43" x14ac:dyDescent="0.25">
      <c r="B194" t="s">
        <v>206</v>
      </c>
      <c r="C194">
        <v>11271</v>
      </c>
      <c r="H194" t="str">
        <f t="shared" si="4"/>
        <v>Cash from Operations Activities &gt; Changes in Working Capital</v>
      </c>
      <c r="I194" s="17" t="str">
        <f ca="1">IF(ISNA($B194),"",IF($B194="","",IFERROR(_xll.BDP(TICKER,"DEEP_MEASURE_PERIOD_BROKER_VALUE","DEEP_MEASURE_ID_OVERRIDE",$C194,"DEEP_BROKER_ID_OVERRIDE",$F$7,"DEEP_PERIOD_OVERRIDE",I$11)*1,"")))</f>
        <v/>
      </c>
      <c r="J194" s="17" t="str">
        <f ca="1">IF(ISNA($B194),"",IF($B194="","",IFERROR(_xll.BDP(TICKER,"DEEP_MEASURE_PERIOD_BROKER_VALUE","DEEP_MEASURE_ID_OVERRIDE",$C194,"DEEP_BROKER_ID_OVERRIDE",$F$7,"DEEP_PERIOD_OVERRIDE",J$11)*1,"")))</f>
        <v/>
      </c>
      <c r="K194" s="17" t="str">
        <f ca="1">IF(ISNA($B194),"",IF($B194="","",IFERROR(_xll.BDP(TICKER,"DEEP_MEASURE_PERIOD_BROKER_VALUE","DEEP_MEASURE_ID_OVERRIDE",$C194,"DEEP_BROKER_ID_OVERRIDE",$F$7,"DEEP_PERIOD_OVERRIDE",K$11)*1,"")))</f>
        <v/>
      </c>
      <c r="L194" s="17" t="str">
        <f ca="1">IF(ISNA($B194),"",IF($B194="","",IFERROR(_xll.BDP(TICKER,"DEEP_MEASURE_PERIOD_BROKER_VALUE","DEEP_MEASURE_ID_OVERRIDE",$C194,"DEEP_BROKER_ID_OVERRIDE",$F$7,"DEEP_PERIOD_OVERRIDE",L$11)*1,"")))</f>
        <v/>
      </c>
      <c r="M194" s="17" t="str">
        <f ca="1">IF(ISNA($B194),"",IF($B194="","",IFERROR(_xll.BDP(TICKER,"DEEP_MEASURE_PERIOD_BROKER_VALUE","DEEP_MEASURE_ID_OVERRIDE",$C194,"DEEP_BROKER_ID_OVERRIDE",$F$7,"DEEP_PERIOD_OVERRIDE",M$11)*1,"")))</f>
        <v/>
      </c>
      <c r="N194" s="17" t="str">
        <f ca="1">IF(ISNA($B194),"",IF($B194="","",IFERROR(_xll.BDP(TICKER,"DEEP_MEASURE_PERIOD_BROKER_VALUE","DEEP_MEASURE_ID_OVERRIDE",$C194,"DEEP_BROKER_ID_OVERRIDE",$F$7,"DEEP_PERIOD_OVERRIDE",N$11)*1,"")))</f>
        <v/>
      </c>
      <c r="O194" s="17" t="str">
        <f ca="1">IF(ISNA($B194),"",IF($B194="","",IFERROR(_xll.BDP(TICKER,"DEEP_MEASURE_PERIOD_BROKER_VALUE","DEEP_MEASURE_ID_OVERRIDE",$C194,"DEEP_BROKER_ID_OVERRIDE",$F$7,"DEEP_PERIOD_OVERRIDE",O$11)*1,"")))</f>
        <v/>
      </c>
      <c r="P194" s="17" t="str">
        <f ca="1">IF(ISNA($B194),"",IF($B194="","",IFERROR(_xll.BDP(TICKER,"DEEP_MEASURE_PERIOD_BROKER_VALUE","DEEP_MEASURE_ID_OVERRIDE",$C194,"DEEP_BROKER_ID_OVERRIDE",$F$7,"DEEP_PERIOD_OVERRIDE",P$11)*1,"")))</f>
        <v/>
      </c>
      <c r="Q194" s="17" t="str">
        <f ca="1">IF(ISNA($B194),"",IF($B194="","",IFERROR(_xll.BDP(TICKER,"DEEP_MEASURE_PERIOD_BROKER_VALUE","DEEP_MEASURE_ID_OVERRIDE",$C194,"DEEP_BROKER_ID_OVERRIDE",$F$7,"DEEP_PERIOD_OVERRIDE",Q$11)*1,"")))</f>
        <v/>
      </c>
      <c r="R194" s="17" t="str">
        <f ca="1">IF(ISNA($B194),"",IF($B194="","",IFERROR(_xll.BDP(TICKER,"DEEP_MEASURE_PERIOD_BROKER_VALUE","DEEP_MEASURE_ID_OVERRIDE",$C194,"DEEP_BROKER_ID_OVERRIDE",$F$7,"DEEP_PERIOD_OVERRIDE",R$11)*1,"")))</f>
        <v/>
      </c>
      <c r="S194" s="17" t="str">
        <f ca="1">IF(ISNA($B194),"",IF($B194="","",IFERROR(_xll.BDP(TICKER,"DEEP_MEASURE_PERIOD_BROKER_VALUE","DEEP_MEASURE_ID_OVERRIDE",$C194,"DEEP_BROKER_ID_OVERRIDE",$F$7,"DEEP_PERIOD_OVERRIDE",S$11)*1,"")))</f>
        <v/>
      </c>
      <c r="T194" s="17" t="str">
        <f ca="1">IF(ISNA($B194),"",IF($B194="","",IFERROR(_xll.BDP(TICKER,"DEEP_MEASURE_PERIOD_BROKER_VALUE","DEEP_MEASURE_ID_OVERRIDE",$C194,"DEEP_BROKER_ID_OVERRIDE",$F$7,"DEEP_PERIOD_OVERRIDE",T$11)*1,"")))</f>
        <v/>
      </c>
      <c r="U194" s="17" t="str">
        <f ca="1">IF(ISNA($B194),"",IF($B194="","",IFERROR(_xll.BDP(TICKER,"DEEP_MEASURE_PERIOD_BROKER_VALUE","DEEP_MEASURE_ID_OVERRIDE",$C194,"DEEP_BROKER_ID_OVERRIDE",$F$7,"DEEP_PERIOD_OVERRIDE",U$11)*1,"")))</f>
        <v/>
      </c>
      <c r="V194" s="17" t="str">
        <f ca="1">IF(ISNA($B194),"",IF($B194="","",IFERROR(_xll.BDP(TICKER,"DEEP_MEASURE_PERIOD_BROKER_VALUE","DEEP_MEASURE_ID_OVERRIDE",$C194,"DEEP_BROKER_ID_OVERRIDE",$F$7,"DEEP_PERIOD_OVERRIDE",V$11)*1,"")))</f>
        <v/>
      </c>
      <c r="W194" s="17" t="str">
        <f ca="1">IF(ISNA($B194),"",IF($B194="","",IFERROR(_xll.BDP(TICKER,"DEEP_MEASURE_PERIOD_BROKER_VALUE","DEEP_MEASURE_ID_OVERRIDE",$C194,"DEEP_BROKER_ID_OVERRIDE",$F$7,"DEEP_PERIOD_OVERRIDE",W$11)*1,"")))</f>
        <v/>
      </c>
      <c r="X194" s="17" t="str">
        <f ca="1">IF(ISNA($B194),"",IF($B194="","",IFERROR(_xll.BDP(TICKER,"DEEP_MEASURE_PERIOD_BROKER_VALUE","DEEP_MEASURE_ID_OVERRIDE",$C194,"DEEP_BROKER_ID_OVERRIDE",$F$7,"DEEP_PERIOD_OVERRIDE",X$11)*1,"")))</f>
        <v/>
      </c>
      <c r="Y194" s="17" t="str">
        <f ca="1">IF(ISNA($B194),"",IF($B194="","",IFERROR(_xll.BDP(TICKER,"DEEP_MEASURE_PERIOD_BROKER_VALUE","DEEP_MEASURE_ID_OVERRIDE",$C194,"DEEP_BROKER_ID_OVERRIDE",$F$7,"DEEP_PERIOD_OVERRIDE",Y$11)*1,"")))</f>
        <v/>
      </c>
      <c r="Z194" s="17" t="str">
        <f ca="1">IF(ISNA($B194),"",IF($B194="","",IFERROR(_xll.BDP(TICKER,"DEEP_MEASURE_PERIOD_BROKER_VALUE","DEEP_MEASURE_ID_OVERRIDE",$C194,"DEEP_BROKER_ID_OVERRIDE",$F$7,"DEEP_PERIOD_OVERRIDE",Z$11)*1,"")))</f>
        <v/>
      </c>
      <c r="AA194" s="17" t="str">
        <f ca="1">IF(ISNA($B194),"",IF($B194="","",IFERROR(_xll.BDP(TICKER,"DEEP_MEASURE_PERIOD_BROKER_VALUE","DEEP_MEASURE_ID_OVERRIDE",$C194,"DEEP_BROKER_ID_OVERRIDE",$F$7,"DEEP_PERIOD_OVERRIDE",AA$11)*1,"")))</f>
        <v/>
      </c>
      <c r="AB194" s="17" t="str">
        <f ca="1">IF(ISNA($B194),"",IF($B194="","",IFERROR(_xll.BDP(TICKER,"DEEP_MEASURE_PERIOD_BROKER_VALUE","DEEP_MEASURE_ID_OVERRIDE",$C194,"DEEP_BROKER_ID_OVERRIDE",$F$7,"DEEP_PERIOD_OVERRIDE",AB$11)*1,"")))</f>
        <v/>
      </c>
      <c r="AC194" s="17" t="str">
        <f ca="1">IF(ISNA($B194),"",IF($B194="","",IFERROR(_xll.BDP(TICKER,"DEEP_MEASURE_PERIOD_BROKER_VALUE","DEEP_MEASURE_ID_OVERRIDE",$C194,"DEEP_BROKER_ID_OVERRIDE",$F$7,"DEEP_PERIOD_OVERRIDE",AC$11)*1,"")))</f>
        <v/>
      </c>
      <c r="AD194" s="17" t="str">
        <f ca="1">IF(ISNA($B194),"",IF($B194="","",IFERROR(_xll.BDP(TICKER,"DEEP_MEASURE_PERIOD_BROKER_VALUE","DEEP_MEASURE_ID_OVERRIDE",$C194,"DEEP_BROKER_ID_OVERRIDE",$F$7,"DEEP_PERIOD_OVERRIDE",AD$11)*1,"")))</f>
        <v/>
      </c>
      <c r="AE194" s="17" t="str">
        <f ca="1">IF(ISNA($B194),"",IF($B194="","",IFERROR(_xll.BDP(TICKER,"DEEP_MEASURE_PERIOD_BROKER_VALUE","DEEP_MEASURE_ID_OVERRIDE",$C194,"DEEP_BROKER_ID_OVERRIDE",$F$7,"DEEP_PERIOD_OVERRIDE",AE$11)*1,"")))</f>
        <v/>
      </c>
      <c r="AF194" s="17" t="str">
        <f ca="1">IF(ISNA($B194),"",IF($B194="","",IFERROR(_xll.BDP(TICKER,"DEEP_MEASURE_PERIOD_BROKER_VALUE","DEEP_MEASURE_ID_OVERRIDE",$C194,"DEEP_BROKER_ID_OVERRIDE",$F$7,"DEEP_PERIOD_OVERRIDE",AF$11)*1,"")))</f>
        <v/>
      </c>
      <c r="AG194" s="17" t="str">
        <f ca="1">IF(ISNA($B194),"",IF($B194="","",IFERROR(_xll.BDP(TICKER,"DEEP_MEASURE_PERIOD_BROKER_VALUE","DEEP_MEASURE_ID_OVERRIDE",$C194,"DEEP_BROKER_ID_OVERRIDE",$F$7,"DEEP_PERIOD_OVERRIDE",AG$11)*1,"")))</f>
        <v/>
      </c>
      <c r="AH194" s="17" t="str">
        <f ca="1">IF(ISNA($B194),"",IF($B194="","",IFERROR(_xll.BDP(TICKER,"DEEP_MEASURE_PERIOD_BROKER_VALUE","DEEP_MEASURE_ID_OVERRIDE",$C194,"DEEP_BROKER_ID_OVERRIDE",$F$7,"DEEP_PERIOD_OVERRIDE",AH$11)*1,"")))</f>
        <v/>
      </c>
      <c r="AI194" s="17" t="str">
        <f ca="1">IF(ISNA($B194),"",IF($B194="","",IFERROR(_xll.BDP(TICKER,"DEEP_MEASURE_PERIOD_BROKER_VALUE","DEEP_MEASURE_ID_OVERRIDE",$C194,"DEEP_BROKER_ID_OVERRIDE",$F$7,"DEEP_PERIOD_OVERRIDE",AI$11)*1,"")))</f>
        <v/>
      </c>
      <c r="AJ194" s="17" t="str">
        <f ca="1">IF(ISNA($B194),"",IF($B194="","",IFERROR(_xll.BDP(TICKER,"DEEP_MEASURE_PERIOD_BROKER_VALUE","DEEP_MEASURE_ID_OVERRIDE",$C194,"DEEP_BROKER_ID_OVERRIDE",$F$7,"DEEP_PERIOD_OVERRIDE",AJ$11)*1,"")))</f>
        <v/>
      </c>
      <c r="AK194" s="17" t="str">
        <f ca="1">IF(ISNA($B194),"",IF($B194="","",IFERROR(_xll.BDP(TICKER,"DEEP_MEASURE_PERIOD_BROKER_VALUE","DEEP_MEASURE_ID_OVERRIDE",$C194,"DEEP_BROKER_ID_OVERRIDE",$F$7,"DEEP_PERIOD_OVERRIDE",AK$11)*1,"")))</f>
        <v/>
      </c>
      <c r="AL194" s="17" t="str">
        <f ca="1">IF(ISNA($B194),"",IF($B194="","",IFERROR(_xll.BDP(TICKER,"DEEP_MEASURE_PERIOD_BROKER_VALUE","DEEP_MEASURE_ID_OVERRIDE",$C194,"DEEP_BROKER_ID_OVERRIDE",$F$7,"DEEP_PERIOD_OVERRIDE",AL$11)*1,"")))</f>
        <v/>
      </c>
      <c r="AM194" s="17" t="str">
        <f ca="1">IF(ISNA($B194),"",IF($B194="","",IFERROR(_xll.BDP(TICKER,"DEEP_MEASURE_PERIOD_BROKER_VALUE","DEEP_MEASURE_ID_OVERRIDE",$C194,"DEEP_BROKER_ID_OVERRIDE",$F$7,"DEEP_PERIOD_OVERRIDE",AM$11)*1,"")))</f>
        <v/>
      </c>
      <c r="AN194" s="17" t="str">
        <f ca="1">IF(ISNA($B194),"",IF($B194="","",IFERROR(_xll.BDP(TICKER,"DEEP_MEASURE_PERIOD_BROKER_VALUE","DEEP_MEASURE_ID_OVERRIDE",$C194,"DEEP_BROKER_ID_OVERRIDE",$F$7,"DEEP_PERIOD_OVERRIDE",AN$11)*1,"")))</f>
        <v/>
      </c>
      <c r="AO194" s="17" t="str">
        <f ca="1">IF(ISNA($B194),"",IF($B194="","",IFERROR(_xll.BDP(TICKER,"DEEP_MEASURE_PERIOD_BROKER_VALUE","DEEP_MEASURE_ID_OVERRIDE",$C194,"DEEP_BROKER_ID_OVERRIDE",$F$7,"DEEP_PERIOD_OVERRIDE",AO$11)*1,"")))</f>
        <v/>
      </c>
      <c r="AP194" s="17" t="str">
        <f ca="1">IF(ISNA($B194),"",IF($B194="","",IFERROR(_xll.BDP(TICKER,"DEEP_MEASURE_PERIOD_BROKER_VALUE","DEEP_MEASURE_ID_OVERRIDE",$C194,"DEEP_BROKER_ID_OVERRIDE",$F$7,"DEEP_PERIOD_OVERRIDE",AP$11)*1,"")))</f>
        <v/>
      </c>
      <c r="AQ194" s="17" t="str">
        <f ca="1">IF(ISNA($B194),"",IF($B194="","",IFERROR(_xll.BDP(TICKER,"DEEP_MEASURE_PERIOD_BROKER_VALUE","DEEP_MEASURE_ID_OVERRIDE",$C194,"DEEP_BROKER_ID_OVERRIDE",$F$7,"DEEP_PERIOD_OVERRIDE",AQ$11)*1,"")))</f>
        <v/>
      </c>
    </row>
    <row r="195" spans="2:43" x14ac:dyDescent="0.25">
      <c r="B195" t="s">
        <v>207</v>
      </c>
      <c r="C195">
        <v>1858</v>
      </c>
      <c r="H195" t="str">
        <f t="shared" si="4"/>
        <v>Cash from Operations Activities &gt; Changes in Working Capital &gt; Accounts Receivable</v>
      </c>
      <c r="I195" s="17" t="str">
        <f ca="1">IF(ISNA($B195),"",IF($B195="","",IFERROR(_xll.BDP(TICKER,"DEEP_MEASURE_PERIOD_BROKER_VALUE","DEEP_MEASURE_ID_OVERRIDE",$C195,"DEEP_BROKER_ID_OVERRIDE",$F$7,"DEEP_PERIOD_OVERRIDE",I$11)*1,"")))</f>
        <v/>
      </c>
      <c r="J195" s="17" t="str">
        <f ca="1">IF(ISNA($B195),"",IF($B195="","",IFERROR(_xll.BDP(TICKER,"DEEP_MEASURE_PERIOD_BROKER_VALUE","DEEP_MEASURE_ID_OVERRIDE",$C195,"DEEP_BROKER_ID_OVERRIDE",$F$7,"DEEP_PERIOD_OVERRIDE",J$11)*1,"")))</f>
        <v/>
      </c>
      <c r="K195" s="17" t="str">
        <f ca="1">IF(ISNA($B195),"",IF($B195="","",IFERROR(_xll.BDP(TICKER,"DEEP_MEASURE_PERIOD_BROKER_VALUE","DEEP_MEASURE_ID_OVERRIDE",$C195,"DEEP_BROKER_ID_OVERRIDE",$F$7,"DEEP_PERIOD_OVERRIDE",K$11)*1,"")))</f>
        <v/>
      </c>
      <c r="L195" s="17" t="str">
        <f ca="1">IF(ISNA($B195),"",IF($B195="","",IFERROR(_xll.BDP(TICKER,"DEEP_MEASURE_PERIOD_BROKER_VALUE","DEEP_MEASURE_ID_OVERRIDE",$C195,"DEEP_BROKER_ID_OVERRIDE",$F$7,"DEEP_PERIOD_OVERRIDE",L$11)*1,"")))</f>
        <v/>
      </c>
      <c r="M195" s="17" t="str">
        <f ca="1">IF(ISNA($B195),"",IF($B195="","",IFERROR(_xll.BDP(TICKER,"DEEP_MEASURE_PERIOD_BROKER_VALUE","DEEP_MEASURE_ID_OVERRIDE",$C195,"DEEP_BROKER_ID_OVERRIDE",$F$7,"DEEP_PERIOD_OVERRIDE",M$11)*1,"")))</f>
        <v/>
      </c>
      <c r="N195" s="17" t="str">
        <f ca="1">IF(ISNA($B195),"",IF($B195="","",IFERROR(_xll.BDP(TICKER,"DEEP_MEASURE_PERIOD_BROKER_VALUE","DEEP_MEASURE_ID_OVERRIDE",$C195,"DEEP_BROKER_ID_OVERRIDE",$F$7,"DEEP_PERIOD_OVERRIDE",N$11)*1,"")))</f>
        <v/>
      </c>
      <c r="O195" s="17" t="str">
        <f ca="1">IF(ISNA($B195),"",IF($B195="","",IFERROR(_xll.BDP(TICKER,"DEEP_MEASURE_PERIOD_BROKER_VALUE","DEEP_MEASURE_ID_OVERRIDE",$C195,"DEEP_BROKER_ID_OVERRIDE",$F$7,"DEEP_PERIOD_OVERRIDE",O$11)*1,"")))</f>
        <v/>
      </c>
      <c r="P195" s="17" t="str">
        <f ca="1">IF(ISNA($B195),"",IF($B195="","",IFERROR(_xll.BDP(TICKER,"DEEP_MEASURE_PERIOD_BROKER_VALUE","DEEP_MEASURE_ID_OVERRIDE",$C195,"DEEP_BROKER_ID_OVERRIDE",$F$7,"DEEP_PERIOD_OVERRIDE",P$11)*1,"")))</f>
        <v/>
      </c>
      <c r="Q195" s="17" t="str">
        <f ca="1">IF(ISNA($B195),"",IF($B195="","",IFERROR(_xll.BDP(TICKER,"DEEP_MEASURE_PERIOD_BROKER_VALUE","DEEP_MEASURE_ID_OVERRIDE",$C195,"DEEP_BROKER_ID_OVERRIDE",$F$7,"DEEP_PERIOD_OVERRIDE",Q$11)*1,"")))</f>
        <v/>
      </c>
      <c r="R195" s="17" t="str">
        <f ca="1">IF(ISNA($B195),"",IF($B195="","",IFERROR(_xll.BDP(TICKER,"DEEP_MEASURE_PERIOD_BROKER_VALUE","DEEP_MEASURE_ID_OVERRIDE",$C195,"DEEP_BROKER_ID_OVERRIDE",$F$7,"DEEP_PERIOD_OVERRIDE",R$11)*1,"")))</f>
        <v/>
      </c>
      <c r="S195" s="17" t="str">
        <f ca="1">IF(ISNA($B195),"",IF($B195="","",IFERROR(_xll.BDP(TICKER,"DEEP_MEASURE_PERIOD_BROKER_VALUE","DEEP_MEASURE_ID_OVERRIDE",$C195,"DEEP_BROKER_ID_OVERRIDE",$F$7,"DEEP_PERIOD_OVERRIDE",S$11)*1,"")))</f>
        <v/>
      </c>
      <c r="T195" s="17" t="str">
        <f ca="1">IF(ISNA($B195),"",IF($B195="","",IFERROR(_xll.BDP(TICKER,"DEEP_MEASURE_PERIOD_BROKER_VALUE","DEEP_MEASURE_ID_OVERRIDE",$C195,"DEEP_BROKER_ID_OVERRIDE",$F$7,"DEEP_PERIOD_OVERRIDE",T$11)*1,"")))</f>
        <v/>
      </c>
      <c r="U195" s="17" t="str">
        <f ca="1">IF(ISNA($B195),"",IF($B195="","",IFERROR(_xll.BDP(TICKER,"DEEP_MEASURE_PERIOD_BROKER_VALUE","DEEP_MEASURE_ID_OVERRIDE",$C195,"DEEP_BROKER_ID_OVERRIDE",$F$7,"DEEP_PERIOD_OVERRIDE",U$11)*1,"")))</f>
        <v/>
      </c>
      <c r="V195" s="17" t="str">
        <f ca="1">IF(ISNA($B195),"",IF($B195="","",IFERROR(_xll.BDP(TICKER,"DEEP_MEASURE_PERIOD_BROKER_VALUE","DEEP_MEASURE_ID_OVERRIDE",$C195,"DEEP_BROKER_ID_OVERRIDE",$F$7,"DEEP_PERIOD_OVERRIDE",V$11)*1,"")))</f>
        <v/>
      </c>
      <c r="W195" s="17" t="str">
        <f ca="1">IF(ISNA($B195),"",IF($B195="","",IFERROR(_xll.BDP(TICKER,"DEEP_MEASURE_PERIOD_BROKER_VALUE","DEEP_MEASURE_ID_OVERRIDE",$C195,"DEEP_BROKER_ID_OVERRIDE",$F$7,"DEEP_PERIOD_OVERRIDE",W$11)*1,"")))</f>
        <v/>
      </c>
      <c r="X195" s="17" t="str">
        <f ca="1">IF(ISNA($B195),"",IF($B195="","",IFERROR(_xll.BDP(TICKER,"DEEP_MEASURE_PERIOD_BROKER_VALUE","DEEP_MEASURE_ID_OVERRIDE",$C195,"DEEP_BROKER_ID_OVERRIDE",$F$7,"DEEP_PERIOD_OVERRIDE",X$11)*1,"")))</f>
        <v/>
      </c>
      <c r="Y195" s="17" t="str">
        <f ca="1">IF(ISNA($B195),"",IF($B195="","",IFERROR(_xll.BDP(TICKER,"DEEP_MEASURE_PERIOD_BROKER_VALUE","DEEP_MEASURE_ID_OVERRIDE",$C195,"DEEP_BROKER_ID_OVERRIDE",$F$7,"DEEP_PERIOD_OVERRIDE",Y$11)*1,"")))</f>
        <v/>
      </c>
      <c r="Z195" s="17" t="str">
        <f ca="1">IF(ISNA($B195),"",IF($B195="","",IFERROR(_xll.BDP(TICKER,"DEEP_MEASURE_PERIOD_BROKER_VALUE","DEEP_MEASURE_ID_OVERRIDE",$C195,"DEEP_BROKER_ID_OVERRIDE",$F$7,"DEEP_PERIOD_OVERRIDE",Z$11)*1,"")))</f>
        <v/>
      </c>
      <c r="AA195" s="17" t="str">
        <f ca="1">IF(ISNA($B195),"",IF($B195="","",IFERROR(_xll.BDP(TICKER,"DEEP_MEASURE_PERIOD_BROKER_VALUE","DEEP_MEASURE_ID_OVERRIDE",$C195,"DEEP_BROKER_ID_OVERRIDE",$F$7,"DEEP_PERIOD_OVERRIDE",AA$11)*1,"")))</f>
        <v/>
      </c>
      <c r="AB195" s="17" t="str">
        <f ca="1">IF(ISNA($B195),"",IF($B195="","",IFERROR(_xll.BDP(TICKER,"DEEP_MEASURE_PERIOD_BROKER_VALUE","DEEP_MEASURE_ID_OVERRIDE",$C195,"DEEP_BROKER_ID_OVERRIDE",$F$7,"DEEP_PERIOD_OVERRIDE",AB$11)*1,"")))</f>
        <v/>
      </c>
      <c r="AC195" s="17" t="str">
        <f ca="1">IF(ISNA($B195),"",IF($B195="","",IFERROR(_xll.BDP(TICKER,"DEEP_MEASURE_PERIOD_BROKER_VALUE","DEEP_MEASURE_ID_OVERRIDE",$C195,"DEEP_BROKER_ID_OVERRIDE",$F$7,"DEEP_PERIOD_OVERRIDE",AC$11)*1,"")))</f>
        <v/>
      </c>
      <c r="AD195" s="17" t="str">
        <f ca="1">IF(ISNA($B195),"",IF($B195="","",IFERROR(_xll.BDP(TICKER,"DEEP_MEASURE_PERIOD_BROKER_VALUE","DEEP_MEASURE_ID_OVERRIDE",$C195,"DEEP_BROKER_ID_OVERRIDE",$F$7,"DEEP_PERIOD_OVERRIDE",AD$11)*1,"")))</f>
        <v/>
      </c>
      <c r="AE195" s="17" t="str">
        <f ca="1">IF(ISNA($B195),"",IF($B195="","",IFERROR(_xll.BDP(TICKER,"DEEP_MEASURE_PERIOD_BROKER_VALUE","DEEP_MEASURE_ID_OVERRIDE",$C195,"DEEP_BROKER_ID_OVERRIDE",$F$7,"DEEP_PERIOD_OVERRIDE",AE$11)*1,"")))</f>
        <v/>
      </c>
      <c r="AF195" s="17" t="str">
        <f ca="1">IF(ISNA($B195),"",IF($B195="","",IFERROR(_xll.BDP(TICKER,"DEEP_MEASURE_PERIOD_BROKER_VALUE","DEEP_MEASURE_ID_OVERRIDE",$C195,"DEEP_BROKER_ID_OVERRIDE",$F$7,"DEEP_PERIOD_OVERRIDE",AF$11)*1,"")))</f>
        <v/>
      </c>
      <c r="AG195" s="17" t="str">
        <f ca="1">IF(ISNA($B195),"",IF($B195="","",IFERROR(_xll.BDP(TICKER,"DEEP_MEASURE_PERIOD_BROKER_VALUE","DEEP_MEASURE_ID_OVERRIDE",$C195,"DEEP_BROKER_ID_OVERRIDE",$F$7,"DEEP_PERIOD_OVERRIDE",AG$11)*1,"")))</f>
        <v/>
      </c>
      <c r="AH195" s="17" t="str">
        <f ca="1">IF(ISNA($B195),"",IF($B195="","",IFERROR(_xll.BDP(TICKER,"DEEP_MEASURE_PERIOD_BROKER_VALUE","DEEP_MEASURE_ID_OVERRIDE",$C195,"DEEP_BROKER_ID_OVERRIDE",$F$7,"DEEP_PERIOD_OVERRIDE",AH$11)*1,"")))</f>
        <v/>
      </c>
      <c r="AI195" s="17" t="str">
        <f ca="1">IF(ISNA($B195),"",IF($B195="","",IFERROR(_xll.BDP(TICKER,"DEEP_MEASURE_PERIOD_BROKER_VALUE","DEEP_MEASURE_ID_OVERRIDE",$C195,"DEEP_BROKER_ID_OVERRIDE",$F$7,"DEEP_PERIOD_OVERRIDE",AI$11)*1,"")))</f>
        <v/>
      </c>
      <c r="AJ195" s="17" t="str">
        <f ca="1">IF(ISNA($B195),"",IF($B195="","",IFERROR(_xll.BDP(TICKER,"DEEP_MEASURE_PERIOD_BROKER_VALUE","DEEP_MEASURE_ID_OVERRIDE",$C195,"DEEP_BROKER_ID_OVERRIDE",$F$7,"DEEP_PERIOD_OVERRIDE",AJ$11)*1,"")))</f>
        <v/>
      </c>
      <c r="AK195" s="17" t="str">
        <f ca="1">IF(ISNA($B195),"",IF($B195="","",IFERROR(_xll.BDP(TICKER,"DEEP_MEASURE_PERIOD_BROKER_VALUE","DEEP_MEASURE_ID_OVERRIDE",$C195,"DEEP_BROKER_ID_OVERRIDE",$F$7,"DEEP_PERIOD_OVERRIDE",AK$11)*1,"")))</f>
        <v/>
      </c>
      <c r="AL195" s="17" t="str">
        <f ca="1">IF(ISNA($B195),"",IF($B195="","",IFERROR(_xll.BDP(TICKER,"DEEP_MEASURE_PERIOD_BROKER_VALUE","DEEP_MEASURE_ID_OVERRIDE",$C195,"DEEP_BROKER_ID_OVERRIDE",$F$7,"DEEP_PERIOD_OVERRIDE",AL$11)*1,"")))</f>
        <v/>
      </c>
      <c r="AM195" s="17" t="str">
        <f ca="1">IF(ISNA($B195),"",IF($B195="","",IFERROR(_xll.BDP(TICKER,"DEEP_MEASURE_PERIOD_BROKER_VALUE","DEEP_MEASURE_ID_OVERRIDE",$C195,"DEEP_BROKER_ID_OVERRIDE",$F$7,"DEEP_PERIOD_OVERRIDE",AM$11)*1,"")))</f>
        <v/>
      </c>
      <c r="AN195" s="17" t="str">
        <f ca="1">IF(ISNA($B195),"",IF($B195="","",IFERROR(_xll.BDP(TICKER,"DEEP_MEASURE_PERIOD_BROKER_VALUE","DEEP_MEASURE_ID_OVERRIDE",$C195,"DEEP_BROKER_ID_OVERRIDE",$F$7,"DEEP_PERIOD_OVERRIDE",AN$11)*1,"")))</f>
        <v/>
      </c>
      <c r="AO195" s="17" t="str">
        <f ca="1">IF(ISNA($B195),"",IF($B195="","",IFERROR(_xll.BDP(TICKER,"DEEP_MEASURE_PERIOD_BROKER_VALUE","DEEP_MEASURE_ID_OVERRIDE",$C195,"DEEP_BROKER_ID_OVERRIDE",$F$7,"DEEP_PERIOD_OVERRIDE",AO$11)*1,"")))</f>
        <v/>
      </c>
      <c r="AP195" s="17" t="str">
        <f ca="1">IF(ISNA($B195),"",IF($B195="","",IFERROR(_xll.BDP(TICKER,"DEEP_MEASURE_PERIOD_BROKER_VALUE","DEEP_MEASURE_ID_OVERRIDE",$C195,"DEEP_BROKER_ID_OVERRIDE",$F$7,"DEEP_PERIOD_OVERRIDE",AP$11)*1,"")))</f>
        <v/>
      </c>
      <c r="AQ195" s="17" t="str">
        <f ca="1">IF(ISNA($B195),"",IF($B195="","",IFERROR(_xll.BDP(TICKER,"DEEP_MEASURE_PERIOD_BROKER_VALUE","DEEP_MEASURE_ID_OVERRIDE",$C195,"DEEP_BROKER_ID_OVERRIDE",$F$7,"DEEP_PERIOD_OVERRIDE",AQ$11)*1,"")))</f>
        <v/>
      </c>
    </row>
    <row r="196" spans="2:43" x14ac:dyDescent="0.25">
      <c r="B196" t="s">
        <v>208</v>
      </c>
      <c r="C196">
        <v>3255</v>
      </c>
      <c r="H196" t="str">
        <f t="shared" si="4"/>
        <v>Cash from Operations Activities &gt; Changes in Working Capital &gt; Accrued Expenses &amp; other Current Liabilities</v>
      </c>
      <c r="I196" s="17" t="str">
        <f ca="1">IF(ISNA($B196),"",IF($B196="","",IFERROR(_xll.BDP(TICKER,"DEEP_MEASURE_PERIOD_BROKER_VALUE","DEEP_MEASURE_ID_OVERRIDE",$C196,"DEEP_BROKER_ID_OVERRIDE",$F$7,"DEEP_PERIOD_OVERRIDE",I$11)*1,"")))</f>
        <v/>
      </c>
      <c r="J196" s="17" t="str">
        <f ca="1">IF(ISNA($B196),"",IF($B196="","",IFERROR(_xll.BDP(TICKER,"DEEP_MEASURE_PERIOD_BROKER_VALUE","DEEP_MEASURE_ID_OVERRIDE",$C196,"DEEP_BROKER_ID_OVERRIDE",$F$7,"DEEP_PERIOD_OVERRIDE",J$11)*1,"")))</f>
        <v/>
      </c>
      <c r="K196" s="17" t="str">
        <f ca="1">IF(ISNA($B196),"",IF($B196="","",IFERROR(_xll.BDP(TICKER,"DEEP_MEASURE_PERIOD_BROKER_VALUE","DEEP_MEASURE_ID_OVERRIDE",$C196,"DEEP_BROKER_ID_OVERRIDE",$F$7,"DEEP_PERIOD_OVERRIDE",K$11)*1,"")))</f>
        <v/>
      </c>
      <c r="L196" s="17" t="str">
        <f ca="1">IF(ISNA($B196),"",IF($B196="","",IFERROR(_xll.BDP(TICKER,"DEEP_MEASURE_PERIOD_BROKER_VALUE","DEEP_MEASURE_ID_OVERRIDE",$C196,"DEEP_BROKER_ID_OVERRIDE",$F$7,"DEEP_PERIOD_OVERRIDE",L$11)*1,"")))</f>
        <v/>
      </c>
      <c r="M196" s="17" t="str">
        <f ca="1">IF(ISNA($B196),"",IF($B196="","",IFERROR(_xll.BDP(TICKER,"DEEP_MEASURE_PERIOD_BROKER_VALUE","DEEP_MEASURE_ID_OVERRIDE",$C196,"DEEP_BROKER_ID_OVERRIDE",$F$7,"DEEP_PERIOD_OVERRIDE",M$11)*1,"")))</f>
        <v/>
      </c>
      <c r="N196" s="17" t="str">
        <f ca="1">IF(ISNA($B196),"",IF($B196="","",IFERROR(_xll.BDP(TICKER,"DEEP_MEASURE_PERIOD_BROKER_VALUE","DEEP_MEASURE_ID_OVERRIDE",$C196,"DEEP_BROKER_ID_OVERRIDE",$F$7,"DEEP_PERIOD_OVERRIDE",N$11)*1,"")))</f>
        <v/>
      </c>
      <c r="O196" s="17" t="str">
        <f ca="1">IF(ISNA($B196),"",IF($B196="","",IFERROR(_xll.BDP(TICKER,"DEEP_MEASURE_PERIOD_BROKER_VALUE","DEEP_MEASURE_ID_OVERRIDE",$C196,"DEEP_BROKER_ID_OVERRIDE",$F$7,"DEEP_PERIOD_OVERRIDE",O$11)*1,"")))</f>
        <v/>
      </c>
      <c r="P196" s="17" t="str">
        <f ca="1">IF(ISNA($B196),"",IF($B196="","",IFERROR(_xll.BDP(TICKER,"DEEP_MEASURE_PERIOD_BROKER_VALUE","DEEP_MEASURE_ID_OVERRIDE",$C196,"DEEP_BROKER_ID_OVERRIDE",$F$7,"DEEP_PERIOD_OVERRIDE",P$11)*1,"")))</f>
        <v/>
      </c>
      <c r="Q196" s="17" t="str">
        <f ca="1">IF(ISNA($B196),"",IF($B196="","",IFERROR(_xll.BDP(TICKER,"DEEP_MEASURE_PERIOD_BROKER_VALUE","DEEP_MEASURE_ID_OVERRIDE",$C196,"DEEP_BROKER_ID_OVERRIDE",$F$7,"DEEP_PERIOD_OVERRIDE",Q$11)*1,"")))</f>
        <v/>
      </c>
      <c r="R196" s="17" t="str">
        <f ca="1">IF(ISNA($B196),"",IF($B196="","",IFERROR(_xll.BDP(TICKER,"DEEP_MEASURE_PERIOD_BROKER_VALUE","DEEP_MEASURE_ID_OVERRIDE",$C196,"DEEP_BROKER_ID_OVERRIDE",$F$7,"DEEP_PERIOD_OVERRIDE",R$11)*1,"")))</f>
        <v/>
      </c>
      <c r="S196" s="17" t="str">
        <f ca="1">IF(ISNA($B196),"",IF($B196="","",IFERROR(_xll.BDP(TICKER,"DEEP_MEASURE_PERIOD_BROKER_VALUE","DEEP_MEASURE_ID_OVERRIDE",$C196,"DEEP_BROKER_ID_OVERRIDE",$F$7,"DEEP_PERIOD_OVERRIDE",S$11)*1,"")))</f>
        <v/>
      </c>
      <c r="T196" s="17" t="str">
        <f ca="1">IF(ISNA($B196),"",IF($B196="","",IFERROR(_xll.BDP(TICKER,"DEEP_MEASURE_PERIOD_BROKER_VALUE","DEEP_MEASURE_ID_OVERRIDE",$C196,"DEEP_BROKER_ID_OVERRIDE",$F$7,"DEEP_PERIOD_OVERRIDE",T$11)*1,"")))</f>
        <v/>
      </c>
      <c r="U196" s="17" t="str">
        <f ca="1">IF(ISNA($B196),"",IF($B196="","",IFERROR(_xll.BDP(TICKER,"DEEP_MEASURE_PERIOD_BROKER_VALUE","DEEP_MEASURE_ID_OVERRIDE",$C196,"DEEP_BROKER_ID_OVERRIDE",$F$7,"DEEP_PERIOD_OVERRIDE",U$11)*1,"")))</f>
        <v/>
      </c>
      <c r="V196" s="17" t="str">
        <f ca="1">IF(ISNA($B196),"",IF($B196="","",IFERROR(_xll.BDP(TICKER,"DEEP_MEASURE_PERIOD_BROKER_VALUE","DEEP_MEASURE_ID_OVERRIDE",$C196,"DEEP_BROKER_ID_OVERRIDE",$F$7,"DEEP_PERIOD_OVERRIDE",V$11)*1,"")))</f>
        <v/>
      </c>
      <c r="W196" s="17" t="str">
        <f ca="1">IF(ISNA($B196),"",IF($B196="","",IFERROR(_xll.BDP(TICKER,"DEEP_MEASURE_PERIOD_BROKER_VALUE","DEEP_MEASURE_ID_OVERRIDE",$C196,"DEEP_BROKER_ID_OVERRIDE",$F$7,"DEEP_PERIOD_OVERRIDE",W$11)*1,"")))</f>
        <v/>
      </c>
      <c r="X196" s="17" t="str">
        <f ca="1">IF(ISNA($B196),"",IF($B196="","",IFERROR(_xll.BDP(TICKER,"DEEP_MEASURE_PERIOD_BROKER_VALUE","DEEP_MEASURE_ID_OVERRIDE",$C196,"DEEP_BROKER_ID_OVERRIDE",$F$7,"DEEP_PERIOD_OVERRIDE",X$11)*1,"")))</f>
        <v/>
      </c>
      <c r="Y196" s="17" t="str">
        <f ca="1">IF(ISNA($B196),"",IF($B196="","",IFERROR(_xll.BDP(TICKER,"DEEP_MEASURE_PERIOD_BROKER_VALUE","DEEP_MEASURE_ID_OVERRIDE",$C196,"DEEP_BROKER_ID_OVERRIDE",$F$7,"DEEP_PERIOD_OVERRIDE",Y$11)*1,"")))</f>
        <v/>
      </c>
      <c r="Z196" s="17" t="str">
        <f ca="1">IF(ISNA($B196),"",IF($B196="","",IFERROR(_xll.BDP(TICKER,"DEEP_MEASURE_PERIOD_BROKER_VALUE","DEEP_MEASURE_ID_OVERRIDE",$C196,"DEEP_BROKER_ID_OVERRIDE",$F$7,"DEEP_PERIOD_OVERRIDE",Z$11)*1,"")))</f>
        <v/>
      </c>
      <c r="AA196" s="17" t="str">
        <f ca="1">IF(ISNA($B196),"",IF($B196="","",IFERROR(_xll.BDP(TICKER,"DEEP_MEASURE_PERIOD_BROKER_VALUE","DEEP_MEASURE_ID_OVERRIDE",$C196,"DEEP_BROKER_ID_OVERRIDE",$F$7,"DEEP_PERIOD_OVERRIDE",AA$11)*1,"")))</f>
        <v/>
      </c>
      <c r="AB196" s="17" t="str">
        <f ca="1">IF(ISNA($B196),"",IF($B196="","",IFERROR(_xll.BDP(TICKER,"DEEP_MEASURE_PERIOD_BROKER_VALUE","DEEP_MEASURE_ID_OVERRIDE",$C196,"DEEP_BROKER_ID_OVERRIDE",$F$7,"DEEP_PERIOD_OVERRIDE",AB$11)*1,"")))</f>
        <v/>
      </c>
      <c r="AC196" s="17" t="str">
        <f ca="1">IF(ISNA($B196),"",IF($B196="","",IFERROR(_xll.BDP(TICKER,"DEEP_MEASURE_PERIOD_BROKER_VALUE","DEEP_MEASURE_ID_OVERRIDE",$C196,"DEEP_BROKER_ID_OVERRIDE",$F$7,"DEEP_PERIOD_OVERRIDE",AC$11)*1,"")))</f>
        <v/>
      </c>
      <c r="AD196" s="17" t="str">
        <f ca="1">IF(ISNA($B196),"",IF($B196="","",IFERROR(_xll.BDP(TICKER,"DEEP_MEASURE_PERIOD_BROKER_VALUE","DEEP_MEASURE_ID_OVERRIDE",$C196,"DEEP_BROKER_ID_OVERRIDE",$F$7,"DEEP_PERIOD_OVERRIDE",AD$11)*1,"")))</f>
        <v/>
      </c>
      <c r="AE196" s="17" t="str">
        <f ca="1">IF(ISNA($B196),"",IF($B196="","",IFERROR(_xll.BDP(TICKER,"DEEP_MEASURE_PERIOD_BROKER_VALUE","DEEP_MEASURE_ID_OVERRIDE",$C196,"DEEP_BROKER_ID_OVERRIDE",$F$7,"DEEP_PERIOD_OVERRIDE",AE$11)*1,"")))</f>
        <v/>
      </c>
      <c r="AF196" s="17" t="str">
        <f ca="1">IF(ISNA($B196),"",IF($B196="","",IFERROR(_xll.BDP(TICKER,"DEEP_MEASURE_PERIOD_BROKER_VALUE","DEEP_MEASURE_ID_OVERRIDE",$C196,"DEEP_BROKER_ID_OVERRIDE",$F$7,"DEEP_PERIOD_OVERRIDE",AF$11)*1,"")))</f>
        <v/>
      </c>
      <c r="AG196" s="17" t="str">
        <f ca="1">IF(ISNA($B196),"",IF($B196="","",IFERROR(_xll.BDP(TICKER,"DEEP_MEASURE_PERIOD_BROKER_VALUE","DEEP_MEASURE_ID_OVERRIDE",$C196,"DEEP_BROKER_ID_OVERRIDE",$F$7,"DEEP_PERIOD_OVERRIDE",AG$11)*1,"")))</f>
        <v/>
      </c>
      <c r="AH196" s="17" t="str">
        <f ca="1">IF(ISNA($B196),"",IF($B196="","",IFERROR(_xll.BDP(TICKER,"DEEP_MEASURE_PERIOD_BROKER_VALUE","DEEP_MEASURE_ID_OVERRIDE",$C196,"DEEP_BROKER_ID_OVERRIDE",$F$7,"DEEP_PERIOD_OVERRIDE",AH$11)*1,"")))</f>
        <v/>
      </c>
      <c r="AI196" s="17" t="str">
        <f ca="1">IF(ISNA($B196),"",IF($B196="","",IFERROR(_xll.BDP(TICKER,"DEEP_MEASURE_PERIOD_BROKER_VALUE","DEEP_MEASURE_ID_OVERRIDE",$C196,"DEEP_BROKER_ID_OVERRIDE",$F$7,"DEEP_PERIOD_OVERRIDE",AI$11)*1,"")))</f>
        <v/>
      </c>
      <c r="AJ196" s="17" t="str">
        <f ca="1">IF(ISNA($B196),"",IF($B196="","",IFERROR(_xll.BDP(TICKER,"DEEP_MEASURE_PERIOD_BROKER_VALUE","DEEP_MEASURE_ID_OVERRIDE",$C196,"DEEP_BROKER_ID_OVERRIDE",$F$7,"DEEP_PERIOD_OVERRIDE",AJ$11)*1,"")))</f>
        <v/>
      </c>
      <c r="AK196" s="17" t="str">
        <f ca="1">IF(ISNA($B196),"",IF($B196="","",IFERROR(_xll.BDP(TICKER,"DEEP_MEASURE_PERIOD_BROKER_VALUE","DEEP_MEASURE_ID_OVERRIDE",$C196,"DEEP_BROKER_ID_OVERRIDE",$F$7,"DEEP_PERIOD_OVERRIDE",AK$11)*1,"")))</f>
        <v/>
      </c>
      <c r="AL196" s="17" t="str">
        <f ca="1">IF(ISNA($B196),"",IF($B196="","",IFERROR(_xll.BDP(TICKER,"DEEP_MEASURE_PERIOD_BROKER_VALUE","DEEP_MEASURE_ID_OVERRIDE",$C196,"DEEP_BROKER_ID_OVERRIDE",$F$7,"DEEP_PERIOD_OVERRIDE",AL$11)*1,"")))</f>
        <v/>
      </c>
      <c r="AM196" s="17" t="str">
        <f ca="1">IF(ISNA($B196),"",IF($B196="","",IFERROR(_xll.BDP(TICKER,"DEEP_MEASURE_PERIOD_BROKER_VALUE","DEEP_MEASURE_ID_OVERRIDE",$C196,"DEEP_BROKER_ID_OVERRIDE",$F$7,"DEEP_PERIOD_OVERRIDE",AM$11)*1,"")))</f>
        <v/>
      </c>
      <c r="AN196" s="17" t="str">
        <f ca="1">IF(ISNA($B196),"",IF($B196="","",IFERROR(_xll.BDP(TICKER,"DEEP_MEASURE_PERIOD_BROKER_VALUE","DEEP_MEASURE_ID_OVERRIDE",$C196,"DEEP_BROKER_ID_OVERRIDE",$F$7,"DEEP_PERIOD_OVERRIDE",AN$11)*1,"")))</f>
        <v/>
      </c>
      <c r="AO196" s="17" t="str">
        <f ca="1">IF(ISNA($B196),"",IF($B196="","",IFERROR(_xll.BDP(TICKER,"DEEP_MEASURE_PERIOD_BROKER_VALUE","DEEP_MEASURE_ID_OVERRIDE",$C196,"DEEP_BROKER_ID_OVERRIDE",$F$7,"DEEP_PERIOD_OVERRIDE",AO$11)*1,"")))</f>
        <v/>
      </c>
      <c r="AP196" s="17" t="str">
        <f ca="1">IF(ISNA($B196),"",IF($B196="","",IFERROR(_xll.BDP(TICKER,"DEEP_MEASURE_PERIOD_BROKER_VALUE","DEEP_MEASURE_ID_OVERRIDE",$C196,"DEEP_BROKER_ID_OVERRIDE",$F$7,"DEEP_PERIOD_OVERRIDE",AP$11)*1,"")))</f>
        <v/>
      </c>
      <c r="AQ196" s="17" t="str">
        <f ca="1">IF(ISNA($B196),"",IF($B196="","",IFERROR(_xll.BDP(TICKER,"DEEP_MEASURE_PERIOD_BROKER_VALUE","DEEP_MEASURE_ID_OVERRIDE",$C196,"DEEP_BROKER_ID_OVERRIDE",$F$7,"DEEP_PERIOD_OVERRIDE",AQ$11)*1,"")))</f>
        <v/>
      </c>
    </row>
    <row r="197" spans="2:43" x14ac:dyDescent="0.25">
      <c r="B197" t="s">
        <v>209</v>
      </c>
      <c r="C197">
        <v>419</v>
      </c>
      <c r="H197" t="str">
        <f t="shared" si="4"/>
        <v>Cash Flow from Operating</v>
      </c>
      <c r="I197" s="17" t="str">
        <f ca="1">IF(ISNA($B197),"",IF($B197="","",IFERROR(_xll.BDP(TICKER,"DEEP_MEASURE_PERIOD_BROKER_VALUE","DEEP_MEASURE_ID_OVERRIDE",$C197,"DEEP_BROKER_ID_OVERRIDE",$F$7,"DEEP_PERIOD_OVERRIDE",I$11)*1,"")))</f>
        <v/>
      </c>
      <c r="J197" s="17" t="str">
        <f ca="1">IF(ISNA($B197),"",IF($B197="","",IFERROR(_xll.BDP(TICKER,"DEEP_MEASURE_PERIOD_BROKER_VALUE","DEEP_MEASURE_ID_OVERRIDE",$C197,"DEEP_BROKER_ID_OVERRIDE",$F$7,"DEEP_PERIOD_OVERRIDE",J$11)*1,"")))</f>
        <v/>
      </c>
      <c r="K197" s="17" t="str">
        <f ca="1">IF(ISNA($B197),"",IF($B197="","",IFERROR(_xll.BDP(TICKER,"DEEP_MEASURE_PERIOD_BROKER_VALUE","DEEP_MEASURE_ID_OVERRIDE",$C197,"DEEP_BROKER_ID_OVERRIDE",$F$7,"DEEP_PERIOD_OVERRIDE",K$11)*1,"")))</f>
        <v/>
      </c>
      <c r="L197" s="17" t="str">
        <f ca="1">IF(ISNA($B197),"",IF($B197="","",IFERROR(_xll.BDP(TICKER,"DEEP_MEASURE_PERIOD_BROKER_VALUE","DEEP_MEASURE_ID_OVERRIDE",$C197,"DEEP_BROKER_ID_OVERRIDE",$F$7,"DEEP_PERIOD_OVERRIDE",L$11)*1,"")))</f>
        <v/>
      </c>
      <c r="M197" s="17" t="str">
        <f ca="1">IF(ISNA($B197),"",IF($B197="","",IFERROR(_xll.BDP(TICKER,"DEEP_MEASURE_PERIOD_BROKER_VALUE","DEEP_MEASURE_ID_OVERRIDE",$C197,"DEEP_BROKER_ID_OVERRIDE",$F$7,"DEEP_PERIOD_OVERRIDE",M$11)*1,"")))</f>
        <v/>
      </c>
      <c r="N197" s="17" t="str">
        <f ca="1">IF(ISNA($B197),"",IF($B197="","",IFERROR(_xll.BDP(TICKER,"DEEP_MEASURE_PERIOD_BROKER_VALUE","DEEP_MEASURE_ID_OVERRIDE",$C197,"DEEP_BROKER_ID_OVERRIDE",$F$7,"DEEP_PERIOD_OVERRIDE",N$11)*1,"")))</f>
        <v/>
      </c>
      <c r="O197" s="17" t="str">
        <f ca="1">IF(ISNA($B197),"",IF($B197="","",IFERROR(_xll.BDP(TICKER,"DEEP_MEASURE_PERIOD_BROKER_VALUE","DEEP_MEASURE_ID_OVERRIDE",$C197,"DEEP_BROKER_ID_OVERRIDE",$F$7,"DEEP_PERIOD_OVERRIDE",O$11)*1,"")))</f>
        <v/>
      </c>
      <c r="P197" s="17" t="str">
        <f ca="1">IF(ISNA($B197),"",IF($B197="","",IFERROR(_xll.BDP(TICKER,"DEEP_MEASURE_PERIOD_BROKER_VALUE","DEEP_MEASURE_ID_OVERRIDE",$C197,"DEEP_BROKER_ID_OVERRIDE",$F$7,"DEEP_PERIOD_OVERRIDE",P$11)*1,"")))</f>
        <v/>
      </c>
      <c r="Q197" s="17" t="str">
        <f ca="1">IF(ISNA($B197),"",IF($B197="","",IFERROR(_xll.BDP(TICKER,"DEEP_MEASURE_PERIOD_BROKER_VALUE","DEEP_MEASURE_ID_OVERRIDE",$C197,"DEEP_BROKER_ID_OVERRIDE",$F$7,"DEEP_PERIOD_OVERRIDE",Q$11)*1,"")))</f>
        <v/>
      </c>
      <c r="R197" s="17" t="str">
        <f ca="1">IF(ISNA($B197),"",IF($B197="","",IFERROR(_xll.BDP(TICKER,"DEEP_MEASURE_PERIOD_BROKER_VALUE","DEEP_MEASURE_ID_OVERRIDE",$C197,"DEEP_BROKER_ID_OVERRIDE",$F$7,"DEEP_PERIOD_OVERRIDE",R$11)*1,"")))</f>
        <v/>
      </c>
      <c r="S197" s="17" t="str">
        <f ca="1">IF(ISNA($B197),"",IF($B197="","",IFERROR(_xll.BDP(TICKER,"DEEP_MEASURE_PERIOD_BROKER_VALUE","DEEP_MEASURE_ID_OVERRIDE",$C197,"DEEP_BROKER_ID_OVERRIDE",$F$7,"DEEP_PERIOD_OVERRIDE",S$11)*1,"")))</f>
        <v/>
      </c>
      <c r="T197" s="17" t="str">
        <f ca="1">IF(ISNA($B197),"",IF($B197="","",IFERROR(_xll.BDP(TICKER,"DEEP_MEASURE_PERIOD_BROKER_VALUE","DEEP_MEASURE_ID_OVERRIDE",$C197,"DEEP_BROKER_ID_OVERRIDE",$F$7,"DEEP_PERIOD_OVERRIDE",T$11)*1,"")))</f>
        <v/>
      </c>
      <c r="U197" s="17" t="str">
        <f ca="1">IF(ISNA($B197),"",IF($B197="","",IFERROR(_xll.BDP(TICKER,"DEEP_MEASURE_PERIOD_BROKER_VALUE","DEEP_MEASURE_ID_OVERRIDE",$C197,"DEEP_BROKER_ID_OVERRIDE",$F$7,"DEEP_PERIOD_OVERRIDE",U$11)*1,"")))</f>
        <v/>
      </c>
      <c r="V197" s="17" t="str">
        <f ca="1">IF(ISNA($B197),"",IF($B197="","",IFERROR(_xll.BDP(TICKER,"DEEP_MEASURE_PERIOD_BROKER_VALUE","DEEP_MEASURE_ID_OVERRIDE",$C197,"DEEP_BROKER_ID_OVERRIDE",$F$7,"DEEP_PERIOD_OVERRIDE",V$11)*1,"")))</f>
        <v/>
      </c>
      <c r="W197" s="17" t="str">
        <f ca="1">IF(ISNA($B197),"",IF($B197="","",IFERROR(_xll.BDP(TICKER,"DEEP_MEASURE_PERIOD_BROKER_VALUE","DEEP_MEASURE_ID_OVERRIDE",$C197,"DEEP_BROKER_ID_OVERRIDE",$F$7,"DEEP_PERIOD_OVERRIDE",W$11)*1,"")))</f>
        <v/>
      </c>
      <c r="X197" s="17" t="str">
        <f ca="1">IF(ISNA($B197),"",IF($B197="","",IFERROR(_xll.BDP(TICKER,"DEEP_MEASURE_PERIOD_BROKER_VALUE","DEEP_MEASURE_ID_OVERRIDE",$C197,"DEEP_BROKER_ID_OVERRIDE",$F$7,"DEEP_PERIOD_OVERRIDE",X$11)*1,"")))</f>
        <v/>
      </c>
      <c r="Y197" s="17" t="str">
        <f ca="1">IF(ISNA($B197),"",IF($B197="","",IFERROR(_xll.BDP(TICKER,"DEEP_MEASURE_PERIOD_BROKER_VALUE","DEEP_MEASURE_ID_OVERRIDE",$C197,"DEEP_BROKER_ID_OVERRIDE",$F$7,"DEEP_PERIOD_OVERRIDE",Y$11)*1,"")))</f>
        <v/>
      </c>
      <c r="Z197" s="17" t="str">
        <f ca="1">IF(ISNA($B197),"",IF($B197="","",IFERROR(_xll.BDP(TICKER,"DEEP_MEASURE_PERIOD_BROKER_VALUE","DEEP_MEASURE_ID_OVERRIDE",$C197,"DEEP_BROKER_ID_OVERRIDE",$F$7,"DEEP_PERIOD_OVERRIDE",Z$11)*1,"")))</f>
        <v/>
      </c>
      <c r="AA197" s="17" t="str">
        <f ca="1">IF(ISNA($B197),"",IF($B197="","",IFERROR(_xll.BDP(TICKER,"DEEP_MEASURE_PERIOD_BROKER_VALUE","DEEP_MEASURE_ID_OVERRIDE",$C197,"DEEP_BROKER_ID_OVERRIDE",$F$7,"DEEP_PERIOD_OVERRIDE",AA$11)*1,"")))</f>
        <v/>
      </c>
      <c r="AB197" s="17" t="str">
        <f ca="1">IF(ISNA($B197),"",IF($B197="","",IFERROR(_xll.BDP(TICKER,"DEEP_MEASURE_PERIOD_BROKER_VALUE","DEEP_MEASURE_ID_OVERRIDE",$C197,"DEEP_BROKER_ID_OVERRIDE",$F$7,"DEEP_PERIOD_OVERRIDE",AB$11)*1,"")))</f>
        <v/>
      </c>
      <c r="AC197" s="17" t="str">
        <f ca="1">IF(ISNA($B197),"",IF($B197="","",IFERROR(_xll.BDP(TICKER,"DEEP_MEASURE_PERIOD_BROKER_VALUE","DEEP_MEASURE_ID_OVERRIDE",$C197,"DEEP_BROKER_ID_OVERRIDE",$F$7,"DEEP_PERIOD_OVERRIDE",AC$11)*1,"")))</f>
        <v/>
      </c>
      <c r="AD197" s="17" t="str">
        <f ca="1">IF(ISNA($B197),"",IF($B197="","",IFERROR(_xll.BDP(TICKER,"DEEP_MEASURE_PERIOD_BROKER_VALUE","DEEP_MEASURE_ID_OVERRIDE",$C197,"DEEP_BROKER_ID_OVERRIDE",$F$7,"DEEP_PERIOD_OVERRIDE",AD$11)*1,"")))</f>
        <v/>
      </c>
      <c r="AE197" s="17" t="str">
        <f ca="1">IF(ISNA($B197),"",IF($B197="","",IFERROR(_xll.BDP(TICKER,"DEEP_MEASURE_PERIOD_BROKER_VALUE","DEEP_MEASURE_ID_OVERRIDE",$C197,"DEEP_BROKER_ID_OVERRIDE",$F$7,"DEEP_PERIOD_OVERRIDE",AE$11)*1,"")))</f>
        <v/>
      </c>
      <c r="AF197" s="17" t="str">
        <f ca="1">IF(ISNA($B197),"",IF($B197="","",IFERROR(_xll.BDP(TICKER,"DEEP_MEASURE_PERIOD_BROKER_VALUE","DEEP_MEASURE_ID_OVERRIDE",$C197,"DEEP_BROKER_ID_OVERRIDE",$F$7,"DEEP_PERIOD_OVERRIDE",AF$11)*1,"")))</f>
        <v/>
      </c>
      <c r="AG197" s="17" t="str">
        <f ca="1">IF(ISNA($B197),"",IF($B197="","",IFERROR(_xll.BDP(TICKER,"DEEP_MEASURE_PERIOD_BROKER_VALUE","DEEP_MEASURE_ID_OVERRIDE",$C197,"DEEP_BROKER_ID_OVERRIDE",$F$7,"DEEP_PERIOD_OVERRIDE",AG$11)*1,"")))</f>
        <v/>
      </c>
      <c r="AH197" s="17" t="str">
        <f ca="1">IF(ISNA($B197),"",IF($B197="","",IFERROR(_xll.BDP(TICKER,"DEEP_MEASURE_PERIOD_BROKER_VALUE","DEEP_MEASURE_ID_OVERRIDE",$C197,"DEEP_BROKER_ID_OVERRIDE",$F$7,"DEEP_PERIOD_OVERRIDE",AH$11)*1,"")))</f>
        <v/>
      </c>
      <c r="AI197" s="17" t="str">
        <f ca="1">IF(ISNA($B197),"",IF($B197="","",IFERROR(_xll.BDP(TICKER,"DEEP_MEASURE_PERIOD_BROKER_VALUE","DEEP_MEASURE_ID_OVERRIDE",$C197,"DEEP_BROKER_ID_OVERRIDE",$F$7,"DEEP_PERIOD_OVERRIDE",AI$11)*1,"")))</f>
        <v/>
      </c>
      <c r="AJ197" s="17" t="str">
        <f ca="1">IF(ISNA($B197),"",IF($B197="","",IFERROR(_xll.BDP(TICKER,"DEEP_MEASURE_PERIOD_BROKER_VALUE","DEEP_MEASURE_ID_OVERRIDE",$C197,"DEEP_BROKER_ID_OVERRIDE",$F$7,"DEEP_PERIOD_OVERRIDE",AJ$11)*1,"")))</f>
        <v/>
      </c>
      <c r="AK197" s="17" t="str">
        <f ca="1">IF(ISNA($B197),"",IF($B197="","",IFERROR(_xll.BDP(TICKER,"DEEP_MEASURE_PERIOD_BROKER_VALUE","DEEP_MEASURE_ID_OVERRIDE",$C197,"DEEP_BROKER_ID_OVERRIDE",$F$7,"DEEP_PERIOD_OVERRIDE",AK$11)*1,"")))</f>
        <v/>
      </c>
      <c r="AL197" s="17" t="str">
        <f ca="1">IF(ISNA($B197),"",IF($B197="","",IFERROR(_xll.BDP(TICKER,"DEEP_MEASURE_PERIOD_BROKER_VALUE","DEEP_MEASURE_ID_OVERRIDE",$C197,"DEEP_BROKER_ID_OVERRIDE",$F$7,"DEEP_PERIOD_OVERRIDE",AL$11)*1,"")))</f>
        <v/>
      </c>
      <c r="AM197" s="17" t="str">
        <f ca="1">IF(ISNA($B197),"",IF($B197="","",IFERROR(_xll.BDP(TICKER,"DEEP_MEASURE_PERIOD_BROKER_VALUE","DEEP_MEASURE_ID_OVERRIDE",$C197,"DEEP_BROKER_ID_OVERRIDE",$F$7,"DEEP_PERIOD_OVERRIDE",AM$11)*1,"")))</f>
        <v/>
      </c>
      <c r="AN197" s="17" t="str">
        <f ca="1">IF(ISNA($B197),"",IF($B197="","",IFERROR(_xll.BDP(TICKER,"DEEP_MEASURE_PERIOD_BROKER_VALUE","DEEP_MEASURE_ID_OVERRIDE",$C197,"DEEP_BROKER_ID_OVERRIDE",$F$7,"DEEP_PERIOD_OVERRIDE",AN$11)*1,"")))</f>
        <v/>
      </c>
      <c r="AO197" s="17" t="str">
        <f ca="1">IF(ISNA($B197),"",IF($B197="","",IFERROR(_xll.BDP(TICKER,"DEEP_MEASURE_PERIOD_BROKER_VALUE","DEEP_MEASURE_ID_OVERRIDE",$C197,"DEEP_BROKER_ID_OVERRIDE",$F$7,"DEEP_PERIOD_OVERRIDE",AO$11)*1,"")))</f>
        <v/>
      </c>
      <c r="AP197" s="17" t="str">
        <f ca="1">IF(ISNA($B197),"",IF($B197="","",IFERROR(_xll.BDP(TICKER,"DEEP_MEASURE_PERIOD_BROKER_VALUE","DEEP_MEASURE_ID_OVERRIDE",$C197,"DEEP_BROKER_ID_OVERRIDE",$F$7,"DEEP_PERIOD_OVERRIDE",AP$11)*1,"")))</f>
        <v/>
      </c>
      <c r="AQ197" s="17" t="str">
        <f ca="1">IF(ISNA($B197),"",IF($B197="","",IFERROR(_xll.BDP(TICKER,"DEEP_MEASURE_PERIOD_BROKER_VALUE","DEEP_MEASURE_ID_OVERRIDE",$C197,"DEEP_BROKER_ID_OVERRIDE",$F$7,"DEEP_PERIOD_OVERRIDE",AQ$11)*1,"")))</f>
        <v/>
      </c>
    </row>
    <row r="198" spans="2:43" x14ac:dyDescent="0.25">
      <c r="B198" t="s">
        <v>25</v>
      </c>
      <c r="C198">
        <v>426</v>
      </c>
      <c r="H198" t="str">
        <f t="shared" si="4"/>
        <v>Cash from Investing Activities &gt; Capital Expenditures</v>
      </c>
      <c r="I198" s="17" t="str">
        <f ca="1">IF(ISNA($B198),"",IF($B198="","",IFERROR(_xll.BDP(TICKER,"DEEP_MEASURE_PERIOD_BROKER_VALUE","DEEP_MEASURE_ID_OVERRIDE",$C198,"DEEP_BROKER_ID_OVERRIDE",$F$7,"DEEP_PERIOD_OVERRIDE",I$11)*1,"")))</f>
        <v/>
      </c>
      <c r="J198" s="17" t="str">
        <f ca="1">IF(ISNA($B198),"",IF($B198="","",IFERROR(_xll.BDP(TICKER,"DEEP_MEASURE_PERIOD_BROKER_VALUE","DEEP_MEASURE_ID_OVERRIDE",$C198,"DEEP_BROKER_ID_OVERRIDE",$F$7,"DEEP_PERIOD_OVERRIDE",J$11)*1,"")))</f>
        <v/>
      </c>
      <c r="K198" s="17" t="str">
        <f ca="1">IF(ISNA($B198),"",IF($B198="","",IFERROR(_xll.BDP(TICKER,"DEEP_MEASURE_PERIOD_BROKER_VALUE","DEEP_MEASURE_ID_OVERRIDE",$C198,"DEEP_BROKER_ID_OVERRIDE",$F$7,"DEEP_PERIOD_OVERRIDE",K$11)*1,"")))</f>
        <v/>
      </c>
      <c r="L198" s="17" t="str">
        <f ca="1">IF(ISNA($B198),"",IF($B198="","",IFERROR(_xll.BDP(TICKER,"DEEP_MEASURE_PERIOD_BROKER_VALUE","DEEP_MEASURE_ID_OVERRIDE",$C198,"DEEP_BROKER_ID_OVERRIDE",$F$7,"DEEP_PERIOD_OVERRIDE",L$11)*1,"")))</f>
        <v/>
      </c>
      <c r="M198" s="17" t="str">
        <f ca="1">IF(ISNA($B198),"",IF($B198="","",IFERROR(_xll.BDP(TICKER,"DEEP_MEASURE_PERIOD_BROKER_VALUE","DEEP_MEASURE_ID_OVERRIDE",$C198,"DEEP_BROKER_ID_OVERRIDE",$F$7,"DEEP_PERIOD_OVERRIDE",M$11)*1,"")))</f>
        <v/>
      </c>
      <c r="N198" s="17" t="str">
        <f ca="1">IF(ISNA($B198),"",IF($B198="","",IFERROR(_xll.BDP(TICKER,"DEEP_MEASURE_PERIOD_BROKER_VALUE","DEEP_MEASURE_ID_OVERRIDE",$C198,"DEEP_BROKER_ID_OVERRIDE",$F$7,"DEEP_PERIOD_OVERRIDE",N$11)*1,"")))</f>
        <v/>
      </c>
      <c r="O198" s="17" t="str">
        <f ca="1">IF(ISNA($B198),"",IF($B198="","",IFERROR(_xll.BDP(TICKER,"DEEP_MEASURE_PERIOD_BROKER_VALUE","DEEP_MEASURE_ID_OVERRIDE",$C198,"DEEP_BROKER_ID_OVERRIDE",$F$7,"DEEP_PERIOD_OVERRIDE",O$11)*1,"")))</f>
        <v/>
      </c>
      <c r="P198" s="17" t="str">
        <f ca="1">IF(ISNA($B198),"",IF($B198="","",IFERROR(_xll.BDP(TICKER,"DEEP_MEASURE_PERIOD_BROKER_VALUE","DEEP_MEASURE_ID_OVERRIDE",$C198,"DEEP_BROKER_ID_OVERRIDE",$F$7,"DEEP_PERIOD_OVERRIDE",P$11)*1,"")))</f>
        <v/>
      </c>
      <c r="Q198" s="17" t="str">
        <f ca="1">IF(ISNA($B198),"",IF($B198="","",IFERROR(_xll.BDP(TICKER,"DEEP_MEASURE_PERIOD_BROKER_VALUE","DEEP_MEASURE_ID_OVERRIDE",$C198,"DEEP_BROKER_ID_OVERRIDE",$F$7,"DEEP_PERIOD_OVERRIDE",Q$11)*1,"")))</f>
        <v/>
      </c>
      <c r="R198" s="17" t="str">
        <f ca="1">IF(ISNA($B198),"",IF($B198="","",IFERROR(_xll.BDP(TICKER,"DEEP_MEASURE_PERIOD_BROKER_VALUE","DEEP_MEASURE_ID_OVERRIDE",$C198,"DEEP_BROKER_ID_OVERRIDE",$F$7,"DEEP_PERIOD_OVERRIDE",R$11)*1,"")))</f>
        <v/>
      </c>
      <c r="S198" s="17" t="str">
        <f ca="1">IF(ISNA($B198),"",IF($B198="","",IFERROR(_xll.BDP(TICKER,"DEEP_MEASURE_PERIOD_BROKER_VALUE","DEEP_MEASURE_ID_OVERRIDE",$C198,"DEEP_BROKER_ID_OVERRIDE",$F$7,"DEEP_PERIOD_OVERRIDE",S$11)*1,"")))</f>
        <v/>
      </c>
      <c r="T198" s="17" t="str">
        <f ca="1">IF(ISNA($B198),"",IF($B198="","",IFERROR(_xll.BDP(TICKER,"DEEP_MEASURE_PERIOD_BROKER_VALUE","DEEP_MEASURE_ID_OVERRIDE",$C198,"DEEP_BROKER_ID_OVERRIDE",$F$7,"DEEP_PERIOD_OVERRIDE",T$11)*1,"")))</f>
        <v/>
      </c>
      <c r="U198" s="17" t="str">
        <f ca="1">IF(ISNA($B198),"",IF($B198="","",IFERROR(_xll.BDP(TICKER,"DEEP_MEASURE_PERIOD_BROKER_VALUE","DEEP_MEASURE_ID_OVERRIDE",$C198,"DEEP_BROKER_ID_OVERRIDE",$F$7,"DEEP_PERIOD_OVERRIDE",U$11)*1,"")))</f>
        <v/>
      </c>
      <c r="V198" s="17" t="str">
        <f ca="1">IF(ISNA($B198),"",IF($B198="","",IFERROR(_xll.BDP(TICKER,"DEEP_MEASURE_PERIOD_BROKER_VALUE","DEEP_MEASURE_ID_OVERRIDE",$C198,"DEEP_BROKER_ID_OVERRIDE",$F$7,"DEEP_PERIOD_OVERRIDE",V$11)*1,"")))</f>
        <v/>
      </c>
      <c r="W198" s="17" t="str">
        <f ca="1">IF(ISNA($B198),"",IF($B198="","",IFERROR(_xll.BDP(TICKER,"DEEP_MEASURE_PERIOD_BROKER_VALUE","DEEP_MEASURE_ID_OVERRIDE",$C198,"DEEP_BROKER_ID_OVERRIDE",$F$7,"DEEP_PERIOD_OVERRIDE",W$11)*1,"")))</f>
        <v/>
      </c>
      <c r="X198" s="17" t="str">
        <f ca="1">IF(ISNA($B198),"",IF($B198="","",IFERROR(_xll.BDP(TICKER,"DEEP_MEASURE_PERIOD_BROKER_VALUE","DEEP_MEASURE_ID_OVERRIDE",$C198,"DEEP_BROKER_ID_OVERRIDE",$F$7,"DEEP_PERIOD_OVERRIDE",X$11)*1,"")))</f>
        <v/>
      </c>
      <c r="Y198" s="17" t="str">
        <f ca="1">IF(ISNA($B198),"",IF($B198="","",IFERROR(_xll.BDP(TICKER,"DEEP_MEASURE_PERIOD_BROKER_VALUE","DEEP_MEASURE_ID_OVERRIDE",$C198,"DEEP_BROKER_ID_OVERRIDE",$F$7,"DEEP_PERIOD_OVERRIDE",Y$11)*1,"")))</f>
        <v/>
      </c>
      <c r="Z198" s="17" t="str">
        <f ca="1">IF(ISNA($B198),"",IF($B198="","",IFERROR(_xll.BDP(TICKER,"DEEP_MEASURE_PERIOD_BROKER_VALUE","DEEP_MEASURE_ID_OVERRIDE",$C198,"DEEP_BROKER_ID_OVERRIDE",$F$7,"DEEP_PERIOD_OVERRIDE",Z$11)*1,"")))</f>
        <v/>
      </c>
      <c r="AA198" s="17" t="str">
        <f ca="1">IF(ISNA($B198),"",IF($B198="","",IFERROR(_xll.BDP(TICKER,"DEEP_MEASURE_PERIOD_BROKER_VALUE","DEEP_MEASURE_ID_OVERRIDE",$C198,"DEEP_BROKER_ID_OVERRIDE",$F$7,"DEEP_PERIOD_OVERRIDE",AA$11)*1,"")))</f>
        <v/>
      </c>
      <c r="AB198" s="17" t="str">
        <f ca="1">IF(ISNA($B198),"",IF($B198="","",IFERROR(_xll.BDP(TICKER,"DEEP_MEASURE_PERIOD_BROKER_VALUE","DEEP_MEASURE_ID_OVERRIDE",$C198,"DEEP_BROKER_ID_OVERRIDE",$F$7,"DEEP_PERIOD_OVERRIDE",AB$11)*1,"")))</f>
        <v/>
      </c>
      <c r="AC198" s="17" t="str">
        <f ca="1">IF(ISNA($B198),"",IF($B198="","",IFERROR(_xll.BDP(TICKER,"DEEP_MEASURE_PERIOD_BROKER_VALUE","DEEP_MEASURE_ID_OVERRIDE",$C198,"DEEP_BROKER_ID_OVERRIDE",$F$7,"DEEP_PERIOD_OVERRIDE",AC$11)*1,"")))</f>
        <v/>
      </c>
      <c r="AD198" s="17" t="str">
        <f ca="1">IF(ISNA($B198),"",IF($B198="","",IFERROR(_xll.BDP(TICKER,"DEEP_MEASURE_PERIOD_BROKER_VALUE","DEEP_MEASURE_ID_OVERRIDE",$C198,"DEEP_BROKER_ID_OVERRIDE",$F$7,"DEEP_PERIOD_OVERRIDE",AD$11)*1,"")))</f>
        <v/>
      </c>
      <c r="AE198" s="17" t="str">
        <f ca="1">IF(ISNA($B198),"",IF($B198="","",IFERROR(_xll.BDP(TICKER,"DEEP_MEASURE_PERIOD_BROKER_VALUE","DEEP_MEASURE_ID_OVERRIDE",$C198,"DEEP_BROKER_ID_OVERRIDE",$F$7,"DEEP_PERIOD_OVERRIDE",AE$11)*1,"")))</f>
        <v/>
      </c>
      <c r="AF198" s="17" t="str">
        <f ca="1">IF(ISNA($B198),"",IF($B198="","",IFERROR(_xll.BDP(TICKER,"DEEP_MEASURE_PERIOD_BROKER_VALUE","DEEP_MEASURE_ID_OVERRIDE",$C198,"DEEP_BROKER_ID_OVERRIDE",$F$7,"DEEP_PERIOD_OVERRIDE",AF$11)*1,"")))</f>
        <v/>
      </c>
      <c r="AG198" s="17" t="str">
        <f ca="1">IF(ISNA($B198),"",IF($B198="","",IFERROR(_xll.BDP(TICKER,"DEEP_MEASURE_PERIOD_BROKER_VALUE","DEEP_MEASURE_ID_OVERRIDE",$C198,"DEEP_BROKER_ID_OVERRIDE",$F$7,"DEEP_PERIOD_OVERRIDE",AG$11)*1,"")))</f>
        <v/>
      </c>
      <c r="AH198" s="17" t="str">
        <f ca="1">IF(ISNA($B198),"",IF($B198="","",IFERROR(_xll.BDP(TICKER,"DEEP_MEASURE_PERIOD_BROKER_VALUE","DEEP_MEASURE_ID_OVERRIDE",$C198,"DEEP_BROKER_ID_OVERRIDE",$F$7,"DEEP_PERIOD_OVERRIDE",AH$11)*1,"")))</f>
        <v/>
      </c>
      <c r="AI198" s="17" t="str">
        <f ca="1">IF(ISNA($B198),"",IF($B198="","",IFERROR(_xll.BDP(TICKER,"DEEP_MEASURE_PERIOD_BROKER_VALUE","DEEP_MEASURE_ID_OVERRIDE",$C198,"DEEP_BROKER_ID_OVERRIDE",$F$7,"DEEP_PERIOD_OVERRIDE",AI$11)*1,"")))</f>
        <v/>
      </c>
      <c r="AJ198" s="17" t="str">
        <f ca="1">IF(ISNA($B198),"",IF($B198="","",IFERROR(_xll.BDP(TICKER,"DEEP_MEASURE_PERIOD_BROKER_VALUE","DEEP_MEASURE_ID_OVERRIDE",$C198,"DEEP_BROKER_ID_OVERRIDE",$F$7,"DEEP_PERIOD_OVERRIDE",AJ$11)*1,"")))</f>
        <v/>
      </c>
      <c r="AK198" s="17" t="str">
        <f ca="1">IF(ISNA($B198),"",IF($B198="","",IFERROR(_xll.BDP(TICKER,"DEEP_MEASURE_PERIOD_BROKER_VALUE","DEEP_MEASURE_ID_OVERRIDE",$C198,"DEEP_BROKER_ID_OVERRIDE",$F$7,"DEEP_PERIOD_OVERRIDE",AK$11)*1,"")))</f>
        <v/>
      </c>
      <c r="AL198" s="17" t="str">
        <f ca="1">IF(ISNA($B198),"",IF($B198="","",IFERROR(_xll.BDP(TICKER,"DEEP_MEASURE_PERIOD_BROKER_VALUE","DEEP_MEASURE_ID_OVERRIDE",$C198,"DEEP_BROKER_ID_OVERRIDE",$F$7,"DEEP_PERIOD_OVERRIDE",AL$11)*1,"")))</f>
        <v/>
      </c>
      <c r="AM198" s="17" t="str">
        <f ca="1">IF(ISNA($B198),"",IF($B198="","",IFERROR(_xll.BDP(TICKER,"DEEP_MEASURE_PERIOD_BROKER_VALUE","DEEP_MEASURE_ID_OVERRIDE",$C198,"DEEP_BROKER_ID_OVERRIDE",$F$7,"DEEP_PERIOD_OVERRIDE",AM$11)*1,"")))</f>
        <v/>
      </c>
      <c r="AN198" s="17" t="str">
        <f ca="1">IF(ISNA($B198),"",IF($B198="","",IFERROR(_xll.BDP(TICKER,"DEEP_MEASURE_PERIOD_BROKER_VALUE","DEEP_MEASURE_ID_OVERRIDE",$C198,"DEEP_BROKER_ID_OVERRIDE",$F$7,"DEEP_PERIOD_OVERRIDE",AN$11)*1,"")))</f>
        <v/>
      </c>
      <c r="AO198" s="17" t="str">
        <f ca="1">IF(ISNA($B198),"",IF($B198="","",IFERROR(_xll.BDP(TICKER,"DEEP_MEASURE_PERIOD_BROKER_VALUE","DEEP_MEASURE_ID_OVERRIDE",$C198,"DEEP_BROKER_ID_OVERRIDE",$F$7,"DEEP_PERIOD_OVERRIDE",AO$11)*1,"")))</f>
        <v/>
      </c>
      <c r="AP198" s="17" t="str">
        <f ca="1">IF(ISNA($B198),"",IF($B198="","",IFERROR(_xll.BDP(TICKER,"DEEP_MEASURE_PERIOD_BROKER_VALUE","DEEP_MEASURE_ID_OVERRIDE",$C198,"DEEP_BROKER_ID_OVERRIDE",$F$7,"DEEP_PERIOD_OVERRIDE",AP$11)*1,"")))</f>
        <v/>
      </c>
      <c r="AQ198" s="17" t="str">
        <f ca="1">IF(ISNA($B198),"",IF($B198="","",IFERROR(_xll.BDP(TICKER,"DEEP_MEASURE_PERIOD_BROKER_VALUE","DEEP_MEASURE_ID_OVERRIDE",$C198,"DEEP_BROKER_ID_OVERRIDE",$F$7,"DEEP_PERIOD_OVERRIDE",AQ$11)*1,"")))</f>
        <v/>
      </c>
    </row>
    <row r="199" spans="2:43" x14ac:dyDescent="0.25">
      <c r="B199" t="s">
        <v>210</v>
      </c>
      <c r="C199">
        <v>4976</v>
      </c>
      <c r="H199" t="str">
        <f t="shared" si="4"/>
        <v>Cash from Investing Activities &gt; Capital Expenditures &gt; As % of Revenue</v>
      </c>
      <c r="I199" s="17" t="str">
        <f ca="1">IF(ISNA($B199),"",IF($B199="","",IFERROR(_xll.BDP(TICKER,"DEEP_MEASURE_PERIOD_BROKER_VALUE","DEEP_MEASURE_ID_OVERRIDE",$C199,"DEEP_BROKER_ID_OVERRIDE",$F$7,"DEEP_PERIOD_OVERRIDE",I$11)*1,"")))</f>
        <v/>
      </c>
      <c r="J199" s="17" t="str">
        <f ca="1">IF(ISNA($B199),"",IF($B199="","",IFERROR(_xll.BDP(TICKER,"DEEP_MEASURE_PERIOD_BROKER_VALUE","DEEP_MEASURE_ID_OVERRIDE",$C199,"DEEP_BROKER_ID_OVERRIDE",$F$7,"DEEP_PERIOD_OVERRIDE",J$11)*1,"")))</f>
        <v/>
      </c>
      <c r="K199" s="17" t="str">
        <f ca="1">IF(ISNA($B199),"",IF($B199="","",IFERROR(_xll.BDP(TICKER,"DEEP_MEASURE_PERIOD_BROKER_VALUE","DEEP_MEASURE_ID_OVERRIDE",$C199,"DEEP_BROKER_ID_OVERRIDE",$F$7,"DEEP_PERIOD_OVERRIDE",K$11)*1,"")))</f>
        <v/>
      </c>
      <c r="L199" s="17" t="str">
        <f ca="1">IF(ISNA($B199),"",IF($B199="","",IFERROR(_xll.BDP(TICKER,"DEEP_MEASURE_PERIOD_BROKER_VALUE","DEEP_MEASURE_ID_OVERRIDE",$C199,"DEEP_BROKER_ID_OVERRIDE",$F$7,"DEEP_PERIOD_OVERRIDE",L$11)*1,"")))</f>
        <v/>
      </c>
      <c r="M199" s="17" t="str">
        <f ca="1">IF(ISNA($B199),"",IF($B199="","",IFERROR(_xll.BDP(TICKER,"DEEP_MEASURE_PERIOD_BROKER_VALUE","DEEP_MEASURE_ID_OVERRIDE",$C199,"DEEP_BROKER_ID_OVERRIDE",$F$7,"DEEP_PERIOD_OVERRIDE",M$11)*1,"")))</f>
        <v/>
      </c>
      <c r="N199" s="17" t="str">
        <f ca="1">IF(ISNA($B199),"",IF($B199="","",IFERROR(_xll.BDP(TICKER,"DEEP_MEASURE_PERIOD_BROKER_VALUE","DEEP_MEASURE_ID_OVERRIDE",$C199,"DEEP_BROKER_ID_OVERRIDE",$F$7,"DEEP_PERIOD_OVERRIDE",N$11)*1,"")))</f>
        <v/>
      </c>
      <c r="O199" s="17" t="str">
        <f ca="1">IF(ISNA($B199),"",IF($B199="","",IFERROR(_xll.BDP(TICKER,"DEEP_MEASURE_PERIOD_BROKER_VALUE","DEEP_MEASURE_ID_OVERRIDE",$C199,"DEEP_BROKER_ID_OVERRIDE",$F$7,"DEEP_PERIOD_OVERRIDE",O$11)*1,"")))</f>
        <v/>
      </c>
      <c r="P199" s="17" t="str">
        <f ca="1">IF(ISNA($B199),"",IF($B199="","",IFERROR(_xll.BDP(TICKER,"DEEP_MEASURE_PERIOD_BROKER_VALUE","DEEP_MEASURE_ID_OVERRIDE",$C199,"DEEP_BROKER_ID_OVERRIDE",$F$7,"DEEP_PERIOD_OVERRIDE",P$11)*1,"")))</f>
        <v/>
      </c>
      <c r="Q199" s="17" t="str">
        <f ca="1">IF(ISNA($B199),"",IF($B199="","",IFERROR(_xll.BDP(TICKER,"DEEP_MEASURE_PERIOD_BROKER_VALUE","DEEP_MEASURE_ID_OVERRIDE",$C199,"DEEP_BROKER_ID_OVERRIDE",$F$7,"DEEP_PERIOD_OVERRIDE",Q$11)*1,"")))</f>
        <v/>
      </c>
      <c r="R199" s="17" t="str">
        <f ca="1">IF(ISNA($B199),"",IF($B199="","",IFERROR(_xll.BDP(TICKER,"DEEP_MEASURE_PERIOD_BROKER_VALUE","DEEP_MEASURE_ID_OVERRIDE",$C199,"DEEP_BROKER_ID_OVERRIDE",$F$7,"DEEP_PERIOD_OVERRIDE",R$11)*1,"")))</f>
        <v/>
      </c>
      <c r="S199" s="17" t="str">
        <f ca="1">IF(ISNA($B199),"",IF($B199="","",IFERROR(_xll.BDP(TICKER,"DEEP_MEASURE_PERIOD_BROKER_VALUE","DEEP_MEASURE_ID_OVERRIDE",$C199,"DEEP_BROKER_ID_OVERRIDE",$F$7,"DEEP_PERIOD_OVERRIDE",S$11)*1,"")))</f>
        <v/>
      </c>
      <c r="T199" s="17" t="str">
        <f ca="1">IF(ISNA($B199),"",IF($B199="","",IFERROR(_xll.BDP(TICKER,"DEEP_MEASURE_PERIOD_BROKER_VALUE","DEEP_MEASURE_ID_OVERRIDE",$C199,"DEEP_BROKER_ID_OVERRIDE",$F$7,"DEEP_PERIOD_OVERRIDE",T$11)*1,"")))</f>
        <v/>
      </c>
      <c r="U199" s="17" t="str">
        <f ca="1">IF(ISNA($B199),"",IF($B199="","",IFERROR(_xll.BDP(TICKER,"DEEP_MEASURE_PERIOD_BROKER_VALUE","DEEP_MEASURE_ID_OVERRIDE",$C199,"DEEP_BROKER_ID_OVERRIDE",$F$7,"DEEP_PERIOD_OVERRIDE",U$11)*1,"")))</f>
        <v/>
      </c>
      <c r="V199" s="17" t="str">
        <f ca="1">IF(ISNA($B199),"",IF($B199="","",IFERROR(_xll.BDP(TICKER,"DEEP_MEASURE_PERIOD_BROKER_VALUE","DEEP_MEASURE_ID_OVERRIDE",$C199,"DEEP_BROKER_ID_OVERRIDE",$F$7,"DEEP_PERIOD_OVERRIDE",V$11)*1,"")))</f>
        <v/>
      </c>
      <c r="W199" s="17" t="str">
        <f ca="1">IF(ISNA($B199),"",IF($B199="","",IFERROR(_xll.BDP(TICKER,"DEEP_MEASURE_PERIOD_BROKER_VALUE","DEEP_MEASURE_ID_OVERRIDE",$C199,"DEEP_BROKER_ID_OVERRIDE",$F$7,"DEEP_PERIOD_OVERRIDE",W$11)*1,"")))</f>
        <v/>
      </c>
      <c r="X199" s="17" t="str">
        <f ca="1">IF(ISNA($B199),"",IF($B199="","",IFERROR(_xll.BDP(TICKER,"DEEP_MEASURE_PERIOD_BROKER_VALUE","DEEP_MEASURE_ID_OVERRIDE",$C199,"DEEP_BROKER_ID_OVERRIDE",$F$7,"DEEP_PERIOD_OVERRIDE",X$11)*1,"")))</f>
        <v/>
      </c>
      <c r="Y199" s="17" t="str">
        <f ca="1">IF(ISNA($B199),"",IF($B199="","",IFERROR(_xll.BDP(TICKER,"DEEP_MEASURE_PERIOD_BROKER_VALUE","DEEP_MEASURE_ID_OVERRIDE",$C199,"DEEP_BROKER_ID_OVERRIDE",$F$7,"DEEP_PERIOD_OVERRIDE",Y$11)*1,"")))</f>
        <v/>
      </c>
      <c r="Z199" s="17" t="str">
        <f ca="1">IF(ISNA($B199),"",IF($B199="","",IFERROR(_xll.BDP(TICKER,"DEEP_MEASURE_PERIOD_BROKER_VALUE","DEEP_MEASURE_ID_OVERRIDE",$C199,"DEEP_BROKER_ID_OVERRIDE",$F$7,"DEEP_PERIOD_OVERRIDE",Z$11)*1,"")))</f>
        <v/>
      </c>
      <c r="AA199" s="17" t="str">
        <f ca="1">IF(ISNA($B199),"",IF($B199="","",IFERROR(_xll.BDP(TICKER,"DEEP_MEASURE_PERIOD_BROKER_VALUE","DEEP_MEASURE_ID_OVERRIDE",$C199,"DEEP_BROKER_ID_OVERRIDE",$F$7,"DEEP_PERIOD_OVERRIDE",AA$11)*1,"")))</f>
        <v/>
      </c>
      <c r="AB199" s="17" t="str">
        <f ca="1">IF(ISNA($B199),"",IF($B199="","",IFERROR(_xll.BDP(TICKER,"DEEP_MEASURE_PERIOD_BROKER_VALUE","DEEP_MEASURE_ID_OVERRIDE",$C199,"DEEP_BROKER_ID_OVERRIDE",$F$7,"DEEP_PERIOD_OVERRIDE",AB$11)*1,"")))</f>
        <v/>
      </c>
      <c r="AC199" s="17" t="str">
        <f ca="1">IF(ISNA($B199),"",IF($B199="","",IFERROR(_xll.BDP(TICKER,"DEEP_MEASURE_PERIOD_BROKER_VALUE","DEEP_MEASURE_ID_OVERRIDE",$C199,"DEEP_BROKER_ID_OVERRIDE",$F$7,"DEEP_PERIOD_OVERRIDE",AC$11)*1,"")))</f>
        <v/>
      </c>
      <c r="AD199" s="17" t="str">
        <f ca="1">IF(ISNA($B199),"",IF($B199="","",IFERROR(_xll.BDP(TICKER,"DEEP_MEASURE_PERIOD_BROKER_VALUE","DEEP_MEASURE_ID_OVERRIDE",$C199,"DEEP_BROKER_ID_OVERRIDE",$F$7,"DEEP_PERIOD_OVERRIDE",AD$11)*1,"")))</f>
        <v/>
      </c>
      <c r="AE199" s="17" t="str">
        <f ca="1">IF(ISNA($B199),"",IF($B199="","",IFERROR(_xll.BDP(TICKER,"DEEP_MEASURE_PERIOD_BROKER_VALUE","DEEP_MEASURE_ID_OVERRIDE",$C199,"DEEP_BROKER_ID_OVERRIDE",$F$7,"DEEP_PERIOD_OVERRIDE",AE$11)*1,"")))</f>
        <v/>
      </c>
      <c r="AF199" s="17" t="str">
        <f ca="1">IF(ISNA($B199),"",IF($B199="","",IFERROR(_xll.BDP(TICKER,"DEEP_MEASURE_PERIOD_BROKER_VALUE","DEEP_MEASURE_ID_OVERRIDE",$C199,"DEEP_BROKER_ID_OVERRIDE",$F$7,"DEEP_PERIOD_OVERRIDE",AF$11)*1,"")))</f>
        <v/>
      </c>
      <c r="AG199" s="17" t="str">
        <f ca="1">IF(ISNA($B199),"",IF($B199="","",IFERROR(_xll.BDP(TICKER,"DEEP_MEASURE_PERIOD_BROKER_VALUE","DEEP_MEASURE_ID_OVERRIDE",$C199,"DEEP_BROKER_ID_OVERRIDE",$F$7,"DEEP_PERIOD_OVERRIDE",AG$11)*1,"")))</f>
        <v/>
      </c>
      <c r="AH199" s="17" t="str">
        <f ca="1">IF(ISNA($B199),"",IF($B199="","",IFERROR(_xll.BDP(TICKER,"DEEP_MEASURE_PERIOD_BROKER_VALUE","DEEP_MEASURE_ID_OVERRIDE",$C199,"DEEP_BROKER_ID_OVERRIDE",$F$7,"DEEP_PERIOD_OVERRIDE",AH$11)*1,"")))</f>
        <v/>
      </c>
      <c r="AI199" s="17" t="str">
        <f ca="1">IF(ISNA($B199),"",IF($B199="","",IFERROR(_xll.BDP(TICKER,"DEEP_MEASURE_PERIOD_BROKER_VALUE","DEEP_MEASURE_ID_OVERRIDE",$C199,"DEEP_BROKER_ID_OVERRIDE",$F$7,"DEEP_PERIOD_OVERRIDE",AI$11)*1,"")))</f>
        <v/>
      </c>
      <c r="AJ199" s="17" t="str">
        <f ca="1">IF(ISNA($B199),"",IF($B199="","",IFERROR(_xll.BDP(TICKER,"DEEP_MEASURE_PERIOD_BROKER_VALUE","DEEP_MEASURE_ID_OVERRIDE",$C199,"DEEP_BROKER_ID_OVERRIDE",$F$7,"DEEP_PERIOD_OVERRIDE",AJ$11)*1,"")))</f>
        <v/>
      </c>
      <c r="AK199" s="17" t="str">
        <f ca="1">IF(ISNA($B199),"",IF($B199="","",IFERROR(_xll.BDP(TICKER,"DEEP_MEASURE_PERIOD_BROKER_VALUE","DEEP_MEASURE_ID_OVERRIDE",$C199,"DEEP_BROKER_ID_OVERRIDE",$F$7,"DEEP_PERIOD_OVERRIDE",AK$11)*1,"")))</f>
        <v/>
      </c>
      <c r="AL199" s="17" t="str">
        <f ca="1">IF(ISNA($B199),"",IF($B199="","",IFERROR(_xll.BDP(TICKER,"DEEP_MEASURE_PERIOD_BROKER_VALUE","DEEP_MEASURE_ID_OVERRIDE",$C199,"DEEP_BROKER_ID_OVERRIDE",$F$7,"DEEP_PERIOD_OVERRIDE",AL$11)*1,"")))</f>
        <v/>
      </c>
      <c r="AM199" s="17" t="str">
        <f ca="1">IF(ISNA($B199),"",IF($B199="","",IFERROR(_xll.BDP(TICKER,"DEEP_MEASURE_PERIOD_BROKER_VALUE","DEEP_MEASURE_ID_OVERRIDE",$C199,"DEEP_BROKER_ID_OVERRIDE",$F$7,"DEEP_PERIOD_OVERRIDE",AM$11)*1,"")))</f>
        <v/>
      </c>
      <c r="AN199" s="17" t="str">
        <f ca="1">IF(ISNA($B199),"",IF($B199="","",IFERROR(_xll.BDP(TICKER,"DEEP_MEASURE_PERIOD_BROKER_VALUE","DEEP_MEASURE_ID_OVERRIDE",$C199,"DEEP_BROKER_ID_OVERRIDE",$F$7,"DEEP_PERIOD_OVERRIDE",AN$11)*1,"")))</f>
        <v/>
      </c>
      <c r="AO199" s="17" t="str">
        <f ca="1">IF(ISNA($B199),"",IF($B199="","",IFERROR(_xll.BDP(TICKER,"DEEP_MEASURE_PERIOD_BROKER_VALUE","DEEP_MEASURE_ID_OVERRIDE",$C199,"DEEP_BROKER_ID_OVERRIDE",$F$7,"DEEP_PERIOD_OVERRIDE",AO$11)*1,"")))</f>
        <v/>
      </c>
      <c r="AP199" s="17" t="str">
        <f ca="1">IF(ISNA($B199),"",IF($B199="","",IFERROR(_xll.BDP(TICKER,"DEEP_MEASURE_PERIOD_BROKER_VALUE","DEEP_MEASURE_ID_OVERRIDE",$C199,"DEEP_BROKER_ID_OVERRIDE",$F$7,"DEEP_PERIOD_OVERRIDE",AP$11)*1,"")))</f>
        <v/>
      </c>
      <c r="AQ199" s="17" t="str">
        <f ca="1">IF(ISNA($B199),"",IF($B199="","",IFERROR(_xll.BDP(TICKER,"DEEP_MEASURE_PERIOD_BROKER_VALUE","DEEP_MEASURE_ID_OVERRIDE",$C199,"DEEP_BROKER_ID_OVERRIDE",$F$7,"DEEP_PERIOD_OVERRIDE",AQ$11)*1,"")))</f>
        <v/>
      </c>
    </row>
    <row r="200" spans="2:43" x14ac:dyDescent="0.25">
      <c r="B200" t="s">
        <v>69</v>
      </c>
      <c r="C200">
        <v>785</v>
      </c>
      <c r="H200" t="str">
        <f t="shared" si="4"/>
        <v>Cash from Investing Activities &gt; Purchases of marketable securities</v>
      </c>
      <c r="I200" s="17" t="str">
        <f ca="1">IF(ISNA($B200),"",IF($B200="","",IFERROR(_xll.BDP(TICKER,"DEEP_MEASURE_PERIOD_BROKER_VALUE","DEEP_MEASURE_ID_OVERRIDE",$C200,"DEEP_BROKER_ID_OVERRIDE",$F$7,"DEEP_PERIOD_OVERRIDE",I$11)*1,"")))</f>
        <v/>
      </c>
      <c r="J200" s="17" t="str">
        <f ca="1">IF(ISNA($B200),"",IF($B200="","",IFERROR(_xll.BDP(TICKER,"DEEP_MEASURE_PERIOD_BROKER_VALUE","DEEP_MEASURE_ID_OVERRIDE",$C200,"DEEP_BROKER_ID_OVERRIDE",$F$7,"DEEP_PERIOD_OVERRIDE",J$11)*1,"")))</f>
        <v/>
      </c>
      <c r="K200" s="17" t="str">
        <f ca="1">IF(ISNA($B200),"",IF($B200="","",IFERROR(_xll.BDP(TICKER,"DEEP_MEASURE_PERIOD_BROKER_VALUE","DEEP_MEASURE_ID_OVERRIDE",$C200,"DEEP_BROKER_ID_OVERRIDE",$F$7,"DEEP_PERIOD_OVERRIDE",K$11)*1,"")))</f>
        <v/>
      </c>
      <c r="L200" s="17" t="str">
        <f ca="1">IF(ISNA($B200),"",IF($B200="","",IFERROR(_xll.BDP(TICKER,"DEEP_MEASURE_PERIOD_BROKER_VALUE","DEEP_MEASURE_ID_OVERRIDE",$C200,"DEEP_BROKER_ID_OVERRIDE",$F$7,"DEEP_PERIOD_OVERRIDE",L$11)*1,"")))</f>
        <v/>
      </c>
      <c r="M200" s="17" t="str">
        <f ca="1">IF(ISNA($B200),"",IF($B200="","",IFERROR(_xll.BDP(TICKER,"DEEP_MEASURE_PERIOD_BROKER_VALUE","DEEP_MEASURE_ID_OVERRIDE",$C200,"DEEP_BROKER_ID_OVERRIDE",$F$7,"DEEP_PERIOD_OVERRIDE",M$11)*1,"")))</f>
        <v/>
      </c>
      <c r="N200" s="17" t="str">
        <f ca="1">IF(ISNA($B200),"",IF($B200="","",IFERROR(_xll.BDP(TICKER,"DEEP_MEASURE_PERIOD_BROKER_VALUE","DEEP_MEASURE_ID_OVERRIDE",$C200,"DEEP_BROKER_ID_OVERRIDE",$F$7,"DEEP_PERIOD_OVERRIDE",N$11)*1,"")))</f>
        <v/>
      </c>
      <c r="O200" s="17" t="str">
        <f ca="1">IF(ISNA($B200),"",IF($B200="","",IFERROR(_xll.BDP(TICKER,"DEEP_MEASURE_PERIOD_BROKER_VALUE","DEEP_MEASURE_ID_OVERRIDE",$C200,"DEEP_BROKER_ID_OVERRIDE",$F$7,"DEEP_PERIOD_OVERRIDE",O$11)*1,"")))</f>
        <v/>
      </c>
      <c r="P200" s="17" t="str">
        <f ca="1">IF(ISNA($B200),"",IF($B200="","",IFERROR(_xll.BDP(TICKER,"DEEP_MEASURE_PERIOD_BROKER_VALUE","DEEP_MEASURE_ID_OVERRIDE",$C200,"DEEP_BROKER_ID_OVERRIDE",$F$7,"DEEP_PERIOD_OVERRIDE",P$11)*1,"")))</f>
        <v/>
      </c>
      <c r="Q200" s="17" t="str">
        <f ca="1">IF(ISNA($B200),"",IF($B200="","",IFERROR(_xll.BDP(TICKER,"DEEP_MEASURE_PERIOD_BROKER_VALUE","DEEP_MEASURE_ID_OVERRIDE",$C200,"DEEP_BROKER_ID_OVERRIDE",$F$7,"DEEP_PERIOD_OVERRIDE",Q$11)*1,"")))</f>
        <v/>
      </c>
      <c r="R200" s="17" t="str">
        <f ca="1">IF(ISNA($B200),"",IF($B200="","",IFERROR(_xll.BDP(TICKER,"DEEP_MEASURE_PERIOD_BROKER_VALUE","DEEP_MEASURE_ID_OVERRIDE",$C200,"DEEP_BROKER_ID_OVERRIDE",$F$7,"DEEP_PERIOD_OVERRIDE",R$11)*1,"")))</f>
        <v/>
      </c>
      <c r="S200" s="17" t="str">
        <f ca="1">IF(ISNA($B200),"",IF($B200="","",IFERROR(_xll.BDP(TICKER,"DEEP_MEASURE_PERIOD_BROKER_VALUE","DEEP_MEASURE_ID_OVERRIDE",$C200,"DEEP_BROKER_ID_OVERRIDE",$F$7,"DEEP_PERIOD_OVERRIDE",S$11)*1,"")))</f>
        <v/>
      </c>
      <c r="T200" s="17" t="str">
        <f ca="1">IF(ISNA($B200),"",IF($B200="","",IFERROR(_xll.BDP(TICKER,"DEEP_MEASURE_PERIOD_BROKER_VALUE","DEEP_MEASURE_ID_OVERRIDE",$C200,"DEEP_BROKER_ID_OVERRIDE",$F$7,"DEEP_PERIOD_OVERRIDE",T$11)*1,"")))</f>
        <v/>
      </c>
      <c r="U200" s="17" t="str">
        <f ca="1">IF(ISNA($B200),"",IF($B200="","",IFERROR(_xll.BDP(TICKER,"DEEP_MEASURE_PERIOD_BROKER_VALUE","DEEP_MEASURE_ID_OVERRIDE",$C200,"DEEP_BROKER_ID_OVERRIDE",$F$7,"DEEP_PERIOD_OVERRIDE",U$11)*1,"")))</f>
        <v/>
      </c>
      <c r="V200" s="17" t="str">
        <f ca="1">IF(ISNA($B200),"",IF($B200="","",IFERROR(_xll.BDP(TICKER,"DEEP_MEASURE_PERIOD_BROKER_VALUE","DEEP_MEASURE_ID_OVERRIDE",$C200,"DEEP_BROKER_ID_OVERRIDE",$F$7,"DEEP_PERIOD_OVERRIDE",V$11)*1,"")))</f>
        <v/>
      </c>
      <c r="W200" s="17" t="str">
        <f ca="1">IF(ISNA($B200),"",IF($B200="","",IFERROR(_xll.BDP(TICKER,"DEEP_MEASURE_PERIOD_BROKER_VALUE","DEEP_MEASURE_ID_OVERRIDE",$C200,"DEEP_BROKER_ID_OVERRIDE",$F$7,"DEEP_PERIOD_OVERRIDE",W$11)*1,"")))</f>
        <v/>
      </c>
      <c r="X200" s="17" t="str">
        <f ca="1">IF(ISNA($B200),"",IF($B200="","",IFERROR(_xll.BDP(TICKER,"DEEP_MEASURE_PERIOD_BROKER_VALUE","DEEP_MEASURE_ID_OVERRIDE",$C200,"DEEP_BROKER_ID_OVERRIDE",$F$7,"DEEP_PERIOD_OVERRIDE",X$11)*1,"")))</f>
        <v/>
      </c>
      <c r="Y200" s="17" t="str">
        <f ca="1">IF(ISNA($B200),"",IF($B200="","",IFERROR(_xll.BDP(TICKER,"DEEP_MEASURE_PERIOD_BROKER_VALUE","DEEP_MEASURE_ID_OVERRIDE",$C200,"DEEP_BROKER_ID_OVERRIDE",$F$7,"DEEP_PERIOD_OVERRIDE",Y$11)*1,"")))</f>
        <v/>
      </c>
      <c r="Z200" s="17" t="str">
        <f ca="1">IF(ISNA($B200),"",IF($B200="","",IFERROR(_xll.BDP(TICKER,"DEEP_MEASURE_PERIOD_BROKER_VALUE","DEEP_MEASURE_ID_OVERRIDE",$C200,"DEEP_BROKER_ID_OVERRIDE",$F$7,"DEEP_PERIOD_OVERRIDE",Z$11)*1,"")))</f>
        <v/>
      </c>
      <c r="AA200" s="17" t="str">
        <f ca="1">IF(ISNA($B200),"",IF($B200="","",IFERROR(_xll.BDP(TICKER,"DEEP_MEASURE_PERIOD_BROKER_VALUE","DEEP_MEASURE_ID_OVERRIDE",$C200,"DEEP_BROKER_ID_OVERRIDE",$F$7,"DEEP_PERIOD_OVERRIDE",AA$11)*1,"")))</f>
        <v/>
      </c>
      <c r="AB200" s="17" t="str">
        <f ca="1">IF(ISNA($B200),"",IF($B200="","",IFERROR(_xll.BDP(TICKER,"DEEP_MEASURE_PERIOD_BROKER_VALUE","DEEP_MEASURE_ID_OVERRIDE",$C200,"DEEP_BROKER_ID_OVERRIDE",$F$7,"DEEP_PERIOD_OVERRIDE",AB$11)*1,"")))</f>
        <v/>
      </c>
      <c r="AC200" s="17" t="str">
        <f ca="1">IF(ISNA($B200),"",IF($B200="","",IFERROR(_xll.BDP(TICKER,"DEEP_MEASURE_PERIOD_BROKER_VALUE","DEEP_MEASURE_ID_OVERRIDE",$C200,"DEEP_BROKER_ID_OVERRIDE",$F$7,"DEEP_PERIOD_OVERRIDE",AC$11)*1,"")))</f>
        <v/>
      </c>
      <c r="AD200" s="17" t="str">
        <f ca="1">IF(ISNA($B200),"",IF($B200="","",IFERROR(_xll.BDP(TICKER,"DEEP_MEASURE_PERIOD_BROKER_VALUE","DEEP_MEASURE_ID_OVERRIDE",$C200,"DEEP_BROKER_ID_OVERRIDE",$F$7,"DEEP_PERIOD_OVERRIDE",AD$11)*1,"")))</f>
        <v/>
      </c>
      <c r="AE200" s="17" t="str">
        <f ca="1">IF(ISNA($B200),"",IF($B200="","",IFERROR(_xll.BDP(TICKER,"DEEP_MEASURE_PERIOD_BROKER_VALUE","DEEP_MEASURE_ID_OVERRIDE",$C200,"DEEP_BROKER_ID_OVERRIDE",$F$7,"DEEP_PERIOD_OVERRIDE",AE$11)*1,"")))</f>
        <v/>
      </c>
      <c r="AF200" s="17" t="str">
        <f ca="1">IF(ISNA($B200),"",IF($B200="","",IFERROR(_xll.BDP(TICKER,"DEEP_MEASURE_PERIOD_BROKER_VALUE","DEEP_MEASURE_ID_OVERRIDE",$C200,"DEEP_BROKER_ID_OVERRIDE",$F$7,"DEEP_PERIOD_OVERRIDE",AF$11)*1,"")))</f>
        <v/>
      </c>
      <c r="AG200" s="17" t="str">
        <f ca="1">IF(ISNA($B200),"",IF($B200="","",IFERROR(_xll.BDP(TICKER,"DEEP_MEASURE_PERIOD_BROKER_VALUE","DEEP_MEASURE_ID_OVERRIDE",$C200,"DEEP_BROKER_ID_OVERRIDE",$F$7,"DEEP_PERIOD_OVERRIDE",AG$11)*1,"")))</f>
        <v/>
      </c>
      <c r="AH200" s="17" t="str">
        <f ca="1">IF(ISNA($B200),"",IF($B200="","",IFERROR(_xll.BDP(TICKER,"DEEP_MEASURE_PERIOD_BROKER_VALUE","DEEP_MEASURE_ID_OVERRIDE",$C200,"DEEP_BROKER_ID_OVERRIDE",$F$7,"DEEP_PERIOD_OVERRIDE",AH$11)*1,"")))</f>
        <v/>
      </c>
      <c r="AI200" s="17" t="str">
        <f ca="1">IF(ISNA($B200),"",IF($B200="","",IFERROR(_xll.BDP(TICKER,"DEEP_MEASURE_PERIOD_BROKER_VALUE","DEEP_MEASURE_ID_OVERRIDE",$C200,"DEEP_BROKER_ID_OVERRIDE",$F$7,"DEEP_PERIOD_OVERRIDE",AI$11)*1,"")))</f>
        <v/>
      </c>
      <c r="AJ200" s="17" t="str">
        <f ca="1">IF(ISNA($B200),"",IF($B200="","",IFERROR(_xll.BDP(TICKER,"DEEP_MEASURE_PERIOD_BROKER_VALUE","DEEP_MEASURE_ID_OVERRIDE",$C200,"DEEP_BROKER_ID_OVERRIDE",$F$7,"DEEP_PERIOD_OVERRIDE",AJ$11)*1,"")))</f>
        <v/>
      </c>
      <c r="AK200" s="17" t="str">
        <f ca="1">IF(ISNA($B200),"",IF($B200="","",IFERROR(_xll.BDP(TICKER,"DEEP_MEASURE_PERIOD_BROKER_VALUE","DEEP_MEASURE_ID_OVERRIDE",$C200,"DEEP_BROKER_ID_OVERRIDE",$F$7,"DEEP_PERIOD_OVERRIDE",AK$11)*1,"")))</f>
        <v/>
      </c>
      <c r="AL200" s="17" t="str">
        <f ca="1">IF(ISNA($B200),"",IF($B200="","",IFERROR(_xll.BDP(TICKER,"DEEP_MEASURE_PERIOD_BROKER_VALUE","DEEP_MEASURE_ID_OVERRIDE",$C200,"DEEP_BROKER_ID_OVERRIDE",$F$7,"DEEP_PERIOD_OVERRIDE",AL$11)*1,"")))</f>
        <v/>
      </c>
      <c r="AM200" s="17" t="str">
        <f ca="1">IF(ISNA($B200),"",IF($B200="","",IFERROR(_xll.BDP(TICKER,"DEEP_MEASURE_PERIOD_BROKER_VALUE","DEEP_MEASURE_ID_OVERRIDE",$C200,"DEEP_BROKER_ID_OVERRIDE",$F$7,"DEEP_PERIOD_OVERRIDE",AM$11)*1,"")))</f>
        <v/>
      </c>
      <c r="AN200" s="17" t="str">
        <f ca="1">IF(ISNA($B200),"",IF($B200="","",IFERROR(_xll.BDP(TICKER,"DEEP_MEASURE_PERIOD_BROKER_VALUE","DEEP_MEASURE_ID_OVERRIDE",$C200,"DEEP_BROKER_ID_OVERRIDE",$F$7,"DEEP_PERIOD_OVERRIDE",AN$11)*1,"")))</f>
        <v/>
      </c>
      <c r="AO200" s="17" t="str">
        <f ca="1">IF(ISNA($B200),"",IF($B200="","",IFERROR(_xll.BDP(TICKER,"DEEP_MEASURE_PERIOD_BROKER_VALUE","DEEP_MEASURE_ID_OVERRIDE",$C200,"DEEP_BROKER_ID_OVERRIDE",$F$7,"DEEP_PERIOD_OVERRIDE",AO$11)*1,"")))</f>
        <v/>
      </c>
      <c r="AP200" s="17" t="str">
        <f ca="1">IF(ISNA($B200),"",IF($B200="","",IFERROR(_xll.BDP(TICKER,"DEEP_MEASURE_PERIOD_BROKER_VALUE","DEEP_MEASURE_ID_OVERRIDE",$C200,"DEEP_BROKER_ID_OVERRIDE",$F$7,"DEEP_PERIOD_OVERRIDE",AP$11)*1,"")))</f>
        <v/>
      </c>
      <c r="AQ200" s="17" t="str">
        <f ca="1">IF(ISNA($B200),"",IF($B200="","",IFERROR(_xll.BDP(TICKER,"DEEP_MEASURE_PERIOD_BROKER_VALUE","DEEP_MEASURE_ID_OVERRIDE",$C200,"DEEP_BROKER_ID_OVERRIDE",$F$7,"DEEP_PERIOD_OVERRIDE",AQ$11)*1,"")))</f>
        <v/>
      </c>
    </row>
    <row r="201" spans="2:43" x14ac:dyDescent="0.25">
      <c r="B201" t="s">
        <v>70</v>
      </c>
      <c r="C201">
        <v>1435</v>
      </c>
      <c r="H201" t="str">
        <f t="shared" si="4"/>
        <v>Cash from Investing Activities &gt; Maturities of marketable securities</v>
      </c>
      <c r="I201" s="17" t="str">
        <f ca="1">IF(ISNA($B201),"",IF($B201="","",IFERROR(_xll.BDP(TICKER,"DEEP_MEASURE_PERIOD_BROKER_VALUE","DEEP_MEASURE_ID_OVERRIDE",$C201,"DEEP_BROKER_ID_OVERRIDE",$F$7,"DEEP_PERIOD_OVERRIDE",I$11)*1,"")))</f>
        <v/>
      </c>
      <c r="J201" s="17" t="str">
        <f ca="1">IF(ISNA($B201),"",IF($B201="","",IFERROR(_xll.BDP(TICKER,"DEEP_MEASURE_PERIOD_BROKER_VALUE","DEEP_MEASURE_ID_OVERRIDE",$C201,"DEEP_BROKER_ID_OVERRIDE",$F$7,"DEEP_PERIOD_OVERRIDE",J$11)*1,"")))</f>
        <v/>
      </c>
      <c r="K201" s="17" t="str">
        <f ca="1">IF(ISNA($B201),"",IF($B201="","",IFERROR(_xll.BDP(TICKER,"DEEP_MEASURE_PERIOD_BROKER_VALUE","DEEP_MEASURE_ID_OVERRIDE",$C201,"DEEP_BROKER_ID_OVERRIDE",$F$7,"DEEP_PERIOD_OVERRIDE",K$11)*1,"")))</f>
        <v/>
      </c>
      <c r="L201" s="17" t="str">
        <f ca="1">IF(ISNA($B201),"",IF($B201="","",IFERROR(_xll.BDP(TICKER,"DEEP_MEASURE_PERIOD_BROKER_VALUE","DEEP_MEASURE_ID_OVERRIDE",$C201,"DEEP_BROKER_ID_OVERRIDE",$F$7,"DEEP_PERIOD_OVERRIDE",L$11)*1,"")))</f>
        <v/>
      </c>
      <c r="M201" s="17" t="str">
        <f ca="1">IF(ISNA($B201),"",IF($B201="","",IFERROR(_xll.BDP(TICKER,"DEEP_MEASURE_PERIOD_BROKER_VALUE","DEEP_MEASURE_ID_OVERRIDE",$C201,"DEEP_BROKER_ID_OVERRIDE",$F$7,"DEEP_PERIOD_OVERRIDE",M$11)*1,"")))</f>
        <v/>
      </c>
      <c r="N201" s="17" t="str">
        <f ca="1">IF(ISNA($B201),"",IF($B201="","",IFERROR(_xll.BDP(TICKER,"DEEP_MEASURE_PERIOD_BROKER_VALUE","DEEP_MEASURE_ID_OVERRIDE",$C201,"DEEP_BROKER_ID_OVERRIDE",$F$7,"DEEP_PERIOD_OVERRIDE",N$11)*1,"")))</f>
        <v/>
      </c>
      <c r="O201" s="17" t="str">
        <f ca="1">IF(ISNA($B201),"",IF($B201="","",IFERROR(_xll.BDP(TICKER,"DEEP_MEASURE_PERIOD_BROKER_VALUE","DEEP_MEASURE_ID_OVERRIDE",$C201,"DEEP_BROKER_ID_OVERRIDE",$F$7,"DEEP_PERIOD_OVERRIDE",O$11)*1,"")))</f>
        <v/>
      </c>
      <c r="P201" s="17" t="str">
        <f ca="1">IF(ISNA($B201),"",IF($B201="","",IFERROR(_xll.BDP(TICKER,"DEEP_MEASURE_PERIOD_BROKER_VALUE","DEEP_MEASURE_ID_OVERRIDE",$C201,"DEEP_BROKER_ID_OVERRIDE",$F$7,"DEEP_PERIOD_OVERRIDE",P$11)*1,"")))</f>
        <v/>
      </c>
      <c r="Q201" s="17" t="str">
        <f ca="1">IF(ISNA($B201),"",IF($B201="","",IFERROR(_xll.BDP(TICKER,"DEEP_MEASURE_PERIOD_BROKER_VALUE","DEEP_MEASURE_ID_OVERRIDE",$C201,"DEEP_BROKER_ID_OVERRIDE",$F$7,"DEEP_PERIOD_OVERRIDE",Q$11)*1,"")))</f>
        <v/>
      </c>
      <c r="R201" s="17" t="str">
        <f ca="1">IF(ISNA($B201),"",IF($B201="","",IFERROR(_xll.BDP(TICKER,"DEEP_MEASURE_PERIOD_BROKER_VALUE","DEEP_MEASURE_ID_OVERRIDE",$C201,"DEEP_BROKER_ID_OVERRIDE",$F$7,"DEEP_PERIOD_OVERRIDE",R$11)*1,"")))</f>
        <v/>
      </c>
      <c r="S201" s="17" t="str">
        <f ca="1">IF(ISNA($B201),"",IF($B201="","",IFERROR(_xll.BDP(TICKER,"DEEP_MEASURE_PERIOD_BROKER_VALUE","DEEP_MEASURE_ID_OVERRIDE",$C201,"DEEP_BROKER_ID_OVERRIDE",$F$7,"DEEP_PERIOD_OVERRIDE",S$11)*1,"")))</f>
        <v/>
      </c>
      <c r="T201" s="17" t="str">
        <f ca="1">IF(ISNA($B201),"",IF($B201="","",IFERROR(_xll.BDP(TICKER,"DEEP_MEASURE_PERIOD_BROKER_VALUE","DEEP_MEASURE_ID_OVERRIDE",$C201,"DEEP_BROKER_ID_OVERRIDE",$F$7,"DEEP_PERIOD_OVERRIDE",T$11)*1,"")))</f>
        <v/>
      </c>
      <c r="U201" s="17" t="str">
        <f ca="1">IF(ISNA($B201),"",IF($B201="","",IFERROR(_xll.BDP(TICKER,"DEEP_MEASURE_PERIOD_BROKER_VALUE","DEEP_MEASURE_ID_OVERRIDE",$C201,"DEEP_BROKER_ID_OVERRIDE",$F$7,"DEEP_PERIOD_OVERRIDE",U$11)*1,"")))</f>
        <v/>
      </c>
      <c r="V201" s="17" t="str">
        <f ca="1">IF(ISNA($B201),"",IF($B201="","",IFERROR(_xll.BDP(TICKER,"DEEP_MEASURE_PERIOD_BROKER_VALUE","DEEP_MEASURE_ID_OVERRIDE",$C201,"DEEP_BROKER_ID_OVERRIDE",$F$7,"DEEP_PERIOD_OVERRIDE",V$11)*1,"")))</f>
        <v/>
      </c>
      <c r="W201" s="17" t="str">
        <f ca="1">IF(ISNA($B201),"",IF($B201="","",IFERROR(_xll.BDP(TICKER,"DEEP_MEASURE_PERIOD_BROKER_VALUE","DEEP_MEASURE_ID_OVERRIDE",$C201,"DEEP_BROKER_ID_OVERRIDE",$F$7,"DEEP_PERIOD_OVERRIDE",W$11)*1,"")))</f>
        <v/>
      </c>
      <c r="X201" s="17" t="str">
        <f ca="1">IF(ISNA($B201),"",IF($B201="","",IFERROR(_xll.BDP(TICKER,"DEEP_MEASURE_PERIOD_BROKER_VALUE","DEEP_MEASURE_ID_OVERRIDE",$C201,"DEEP_BROKER_ID_OVERRIDE",$F$7,"DEEP_PERIOD_OVERRIDE",X$11)*1,"")))</f>
        <v/>
      </c>
      <c r="Y201" s="17" t="str">
        <f ca="1">IF(ISNA($B201),"",IF($B201="","",IFERROR(_xll.BDP(TICKER,"DEEP_MEASURE_PERIOD_BROKER_VALUE","DEEP_MEASURE_ID_OVERRIDE",$C201,"DEEP_BROKER_ID_OVERRIDE",$F$7,"DEEP_PERIOD_OVERRIDE",Y$11)*1,"")))</f>
        <v/>
      </c>
      <c r="Z201" s="17" t="str">
        <f ca="1">IF(ISNA($B201),"",IF($B201="","",IFERROR(_xll.BDP(TICKER,"DEEP_MEASURE_PERIOD_BROKER_VALUE","DEEP_MEASURE_ID_OVERRIDE",$C201,"DEEP_BROKER_ID_OVERRIDE",$F$7,"DEEP_PERIOD_OVERRIDE",Z$11)*1,"")))</f>
        <v/>
      </c>
      <c r="AA201" s="17" t="str">
        <f ca="1">IF(ISNA($B201),"",IF($B201="","",IFERROR(_xll.BDP(TICKER,"DEEP_MEASURE_PERIOD_BROKER_VALUE","DEEP_MEASURE_ID_OVERRIDE",$C201,"DEEP_BROKER_ID_OVERRIDE",$F$7,"DEEP_PERIOD_OVERRIDE",AA$11)*1,"")))</f>
        <v/>
      </c>
      <c r="AB201" s="17" t="str">
        <f ca="1">IF(ISNA($B201),"",IF($B201="","",IFERROR(_xll.BDP(TICKER,"DEEP_MEASURE_PERIOD_BROKER_VALUE","DEEP_MEASURE_ID_OVERRIDE",$C201,"DEEP_BROKER_ID_OVERRIDE",$F$7,"DEEP_PERIOD_OVERRIDE",AB$11)*1,"")))</f>
        <v/>
      </c>
      <c r="AC201" s="17" t="str">
        <f ca="1">IF(ISNA($B201),"",IF($B201="","",IFERROR(_xll.BDP(TICKER,"DEEP_MEASURE_PERIOD_BROKER_VALUE","DEEP_MEASURE_ID_OVERRIDE",$C201,"DEEP_BROKER_ID_OVERRIDE",$F$7,"DEEP_PERIOD_OVERRIDE",AC$11)*1,"")))</f>
        <v/>
      </c>
      <c r="AD201" s="17" t="str">
        <f ca="1">IF(ISNA($B201),"",IF($B201="","",IFERROR(_xll.BDP(TICKER,"DEEP_MEASURE_PERIOD_BROKER_VALUE","DEEP_MEASURE_ID_OVERRIDE",$C201,"DEEP_BROKER_ID_OVERRIDE",$F$7,"DEEP_PERIOD_OVERRIDE",AD$11)*1,"")))</f>
        <v/>
      </c>
      <c r="AE201" s="17" t="str">
        <f ca="1">IF(ISNA($B201),"",IF($B201="","",IFERROR(_xll.BDP(TICKER,"DEEP_MEASURE_PERIOD_BROKER_VALUE","DEEP_MEASURE_ID_OVERRIDE",$C201,"DEEP_BROKER_ID_OVERRIDE",$F$7,"DEEP_PERIOD_OVERRIDE",AE$11)*1,"")))</f>
        <v/>
      </c>
      <c r="AF201" s="17" t="str">
        <f ca="1">IF(ISNA($B201),"",IF($B201="","",IFERROR(_xll.BDP(TICKER,"DEEP_MEASURE_PERIOD_BROKER_VALUE","DEEP_MEASURE_ID_OVERRIDE",$C201,"DEEP_BROKER_ID_OVERRIDE",$F$7,"DEEP_PERIOD_OVERRIDE",AF$11)*1,"")))</f>
        <v/>
      </c>
      <c r="AG201" s="17" t="str">
        <f ca="1">IF(ISNA($B201),"",IF($B201="","",IFERROR(_xll.BDP(TICKER,"DEEP_MEASURE_PERIOD_BROKER_VALUE","DEEP_MEASURE_ID_OVERRIDE",$C201,"DEEP_BROKER_ID_OVERRIDE",$F$7,"DEEP_PERIOD_OVERRIDE",AG$11)*1,"")))</f>
        <v/>
      </c>
      <c r="AH201" s="17" t="str">
        <f ca="1">IF(ISNA($B201),"",IF($B201="","",IFERROR(_xll.BDP(TICKER,"DEEP_MEASURE_PERIOD_BROKER_VALUE","DEEP_MEASURE_ID_OVERRIDE",$C201,"DEEP_BROKER_ID_OVERRIDE",$F$7,"DEEP_PERIOD_OVERRIDE",AH$11)*1,"")))</f>
        <v/>
      </c>
      <c r="AI201" s="17" t="str">
        <f ca="1">IF(ISNA($B201),"",IF($B201="","",IFERROR(_xll.BDP(TICKER,"DEEP_MEASURE_PERIOD_BROKER_VALUE","DEEP_MEASURE_ID_OVERRIDE",$C201,"DEEP_BROKER_ID_OVERRIDE",$F$7,"DEEP_PERIOD_OVERRIDE",AI$11)*1,"")))</f>
        <v/>
      </c>
      <c r="AJ201" s="17" t="str">
        <f ca="1">IF(ISNA($B201),"",IF($B201="","",IFERROR(_xll.BDP(TICKER,"DEEP_MEASURE_PERIOD_BROKER_VALUE","DEEP_MEASURE_ID_OVERRIDE",$C201,"DEEP_BROKER_ID_OVERRIDE",$F$7,"DEEP_PERIOD_OVERRIDE",AJ$11)*1,"")))</f>
        <v/>
      </c>
      <c r="AK201" s="17" t="str">
        <f ca="1">IF(ISNA($B201),"",IF($B201="","",IFERROR(_xll.BDP(TICKER,"DEEP_MEASURE_PERIOD_BROKER_VALUE","DEEP_MEASURE_ID_OVERRIDE",$C201,"DEEP_BROKER_ID_OVERRIDE",$F$7,"DEEP_PERIOD_OVERRIDE",AK$11)*1,"")))</f>
        <v/>
      </c>
      <c r="AL201" s="17" t="str">
        <f ca="1">IF(ISNA($B201),"",IF($B201="","",IFERROR(_xll.BDP(TICKER,"DEEP_MEASURE_PERIOD_BROKER_VALUE","DEEP_MEASURE_ID_OVERRIDE",$C201,"DEEP_BROKER_ID_OVERRIDE",$F$7,"DEEP_PERIOD_OVERRIDE",AL$11)*1,"")))</f>
        <v/>
      </c>
      <c r="AM201" s="17" t="str">
        <f ca="1">IF(ISNA($B201),"",IF($B201="","",IFERROR(_xll.BDP(TICKER,"DEEP_MEASURE_PERIOD_BROKER_VALUE","DEEP_MEASURE_ID_OVERRIDE",$C201,"DEEP_BROKER_ID_OVERRIDE",$F$7,"DEEP_PERIOD_OVERRIDE",AM$11)*1,"")))</f>
        <v/>
      </c>
      <c r="AN201" s="17" t="str">
        <f ca="1">IF(ISNA($B201),"",IF($B201="","",IFERROR(_xll.BDP(TICKER,"DEEP_MEASURE_PERIOD_BROKER_VALUE","DEEP_MEASURE_ID_OVERRIDE",$C201,"DEEP_BROKER_ID_OVERRIDE",$F$7,"DEEP_PERIOD_OVERRIDE",AN$11)*1,"")))</f>
        <v/>
      </c>
      <c r="AO201" s="17" t="str">
        <f ca="1">IF(ISNA($B201),"",IF($B201="","",IFERROR(_xll.BDP(TICKER,"DEEP_MEASURE_PERIOD_BROKER_VALUE","DEEP_MEASURE_ID_OVERRIDE",$C201,"DEEP_BROKER_ID_OVERRIDE",$F$7,"DEEP_PERIOD_OVERRIDE",AO$11)*1,"")))</f>
        <v/>
      </c>
      <c r="AP201" s="17" t="str">
        <f ca="1">IF(ISNA($B201),"",IF($B201="","",IFERROR(_xll.BDP(TICKER,"DEEP_MEASURE_PERIOD_BROKER_VALUE","DEEP_MEASURE_ID_OVERRIDE",$C201,"DEEP_BROKER_ID_OVERRIDE",$F$7,"DEEP_PERIOD_OVERRIDE",AP$11)*1,"")))</f>
        <v/>
      </c>
      <c r="AQ201" s="17" t="str">
        <f ca="1">IF(ISNA($B201),"",IF($B201="","",IFERROR(_xll.BDP(TICKER,"DEEP_MEASURE_PERIOD_BROKER_VALUE","DEEP_MEASURE_ID_OVERRIDE",$C201,"DEEP_BROKER_ID_OVERRIDE",$F$7,"DEEP_PERIOD_OVERRIDE",AQ$11)*1,"")))</f>
        <v/>
      </c>
    </row>
    <row r="202" spans="2:43" x14ac:dyDescent="0.25">
      <c r="B202" t="s">
        <v>211</v>
      </c>
      <c r="C202">
        <v>3262</v>
      </c>
      <c r="H202" t="str">
        <f t="shared" si="4"/>
        <v>Cash Flow from Investing</v>
      </c>
      <c r="I202" s="17" t="str">
        <f ca="1">IF(ISNA($B202),"",IF($B202="","",IFERROR(_xll.BDP(TICKER,"DEEP_MEASURE_PERIOD_BROKER_VALUE","DEEP_MEASURE_ID_OVERRIDE",$C202,"DEEP_BROKER_ID_OVERRIDE",$F$7,"DEEP_PERIOD_OVERRIDE",I$11)*1,"")))</f>
        <v/>
      </c>
      <c r="J202" s="17" t="str">
        <f ca="1">IF(ISNA($B202),"",IF($B202="","",IFERROR(_xll.BDP(TICKER,"DEEP_MEASURE_PERIOD_BROKER_VALUE","DEEP_MEASURE_ID_OVERRIDE",$C202,"DEEP_BROKER_ID_OVERRIDE",$F$7,"DEEP_PERIOD_OVERRIDE",J$11)*1,"")))</f>
        <v/>
      </c>
      <c r="K202" s="17" t="str">
        <f ca="1">IF(ISNA($B202),"",IF($B202="","",IFERROR(_xll.BDP(TICKER,"DEEP_MEASURE_PERIOD_BROKER_VALUE","DEEP_MEASURE_ID_OVERRIDE",$C202,"DEEP_BROKER_ID_OVERRIDE",$F$7,"DEEP_PERIOD_OVERRIDE",K$11)*1,"")))</f>
        <v/>
      </c>
      <c r="L202" s="17" t="str">
        <f ca="1">IF(ISNA($B202),"",IF($B202="","",IFERROR(_xll.BDP(TICKER,"DEEP_MEASURE_PERIOD_BROKER_VALUE","DEEP_MEASURE_ID_OVERRIDE",$C202,"DEEP_BROKER_ID_OVERRIDE",$F$7,"DEEP_PERIOD_OVERRIDE",L$11)*1,"")))</f>
        <v/>
      </c>
      <c r="M202" s="17" t="str">
        <f ca="1">IF(ISNA($B202),"",IF($B202="","",IFERROR(_xll.BDP(TICKER,"DEEP_MEASURE_PERIOD_BROKER_VALUE","DEEP_MEASURE_ID_OVERRIDE",$C202,"DEEP_BROKER_ID_OVERRIDE",$F$7,"DEEP_PERIOD_OVERRIDE",M$11)*1,"")))</f>
        <v/>
      </c>
      <c r="N202" s="17" t="str">
        <f ca="1">IF(ISNA($B202),"",IF($B202="","",IFERROR(_xll.BDP(TICKER,"DEEP_MEASURE_PERIOD_BROKER_VALUE","DEEP_MEASURE_ID_OVERRIDE",$C202,"DEEP_BROKER_ID_OVERRIDE",$F$7,"DEEP_PERIOD_OVERRIDE",N$11)*1,"")))</f>
        <v/>
      </c>
      <c r="O202" s="17" t="str">
        <f ca="1">IF(ISNA($B202),"",IF($B202="","",IFERROR(_xll.BDP(TICKER,"DEEP_MEASURE_PERIOD_BROKER_VALUE","DEEP_MEASURE_ID_OVERRIDE",$C202,"DEEP_BROKER_ID_OVERRIDE",$F$7,"DEEP_PERIOD_OVERRIDE",O$11)*1,"")))</f>
        <v/>
      </c>
      <c r="P202" s="17" t="str">
        <f ca="1">IF(ISNA($B202),"",IF($B202="","",IFERROR(_xll.BDP(TICKER,"DEEP_MEASURE_PERIOD_BROKER_VALUE","DEEP_MEASURE_ID_OVERRIDE",$C202,"DEEP_BROKER_ID_OVERRIDE",$F$7,"DEEP_PERIOD_OVERRIDE",P$11)*1,"")))</f>
        <v/>
      </c>
      <c r="Q202" s="17" t="str">
        <f ca="1">IF(ISNA($B202),"",IF($B202="","",IFERROR(_xll.BDP(TICKER,"DEEP_MEASURE_PERIOD_BROKER_VALUE","DEEP_MEASURE_ID_OVERRIDE",$C202,"DEEP_BROKER_ID_OVERRIDE",$F$7,"DEEP_PERIOD_OVERRIDE",Q$11)*1,"")))</f>
        <v/>
      </c>
      <c r="R202" s="17" t="str">
        <f ca="1">IF(ISNA($B202),"",IF($B202="","",IFERROR(_xll.BDP(TICKER,"DEEP_MEASURE_PERIOD_BROKER_VALUE","DEEP_MEASURE_ID_OVERRIDE",$C202,"DEEP_BROKER_ID_OVERRIDE",$F$7,"DEEP_PERIOD_OVERRIDE",R$11)*1,"")))</f>
        <v/>
      </c>
      <c r="S202" s="17" t="str">
        <f ca="1">IF(ISNA($B202),"",IF($B202="","",IFERROR(_xll.BDP(TICKER,"DEEP_MEASURE_PERIOD_BROKER_VALUE","DEEP_MEASURE_ID_OVERRIDE",$C202,"DEEP_BROKER_ID_OVERRIDE",$F$7,"DEEP_PERIOD_OVERRIDE",S$11)*1,"")))</f>
        <v/>
      </c>
      <c r="T202" s="17" t="str">
        <f ca="1">IF(ISNA($B202),"",IF($B202="","",IFERROR(_xll.BDP(TICKER,"DEEP_MEASURE_PERIOD_BROKER_VALUE","DEEP_MEASURE_ID_OVERRIDE",$C202,"DEEP_BROKER_ID_OVERRIDE",$F$7,"DEEP_PERIOD_OVERRIDE",T$11)*1,"")))</f>
        <v/>
      </c>
      <c r="U202" s="17" t="str">
        <f ca="1">IF(ISNA($B202),"",IF($B202="","",IFERROR(_xll.BDP(TICKER,"DEEP_MEASURE_PERIOD_BROKER_VALUE","DEEP_MEASURE_ID_OVERRIDE",$C202,"DEEP_BROKER_ID_OVERRIDE",$F$7,"DEEP_PERIOD_OVERRIDE",U$11)*1,"")))</f>
        <v/>
      </c>
      <c r="V202" s="17" t="str">
        <f ca="1">IF(ISNA($B202),"",IF($B202="","",IFERROR(_xll.BDP(TICKER,"DEEP_MEASURE_PERIOD_BROKER_VALUE","DEEP_MEASURE_ID_OVERRIDE",$C202,"DEEP_BROKER_ID_OVERRIDE",$F$7,"DEEP_PERIOD_OVERRIDE",V$11)*1,"")))</f>
        <v/>
      </c>
      <c r="W202" s="17" t="str">
        <f ca="1">IF(ISNA($B202),"",IF($B202="","",IFERROR(_xll.BDP(TICKER,"DEEP_MEASURE_PERIOD_BROKER_VALUE","DEEP_MEASURE_ID_OVERRIDE",$C202,"DEEP_BROKER_ID_OVERRIDE",$F$7,"DEEP_PERIOD_OVERRIDE",W$11)*1,"")))</f>
        <v/>
      </c>
      <c r="X202" s="17" t="str">
        <f ca="1">IF(ISNA($B202),"",IF($B202="","",IFERROR(_xll.BDP(TICKER,"DEEP_MEASURE_PERIOD_BROKER_VALUE","DEEP_MEASURE_ID_OVERRIDE",$C202,"DEEP_BROKER_ID_OVERRIDE",$F$7,"DEEP_PERIOD_OVERRIDE",X$11)*1,"")))</f>
        <v/>
      </c>
      <c r="Y202" s="17" t="str">
        <f ca="1">IF(ISNA($B202),"",IF($B202="","",IFERROR(_xll.BDP(TICKER,"DEEP_MEASURE_PERIOD_BROKER_VALUE","DEEP_MEASURE_ID_OVERRIDE",$C202,"DEEP_BROKER_ID_OVERRIDE",$F$7,"DEEP_PERIOD_OVERRIDE",Y$11)*1,"")))</f>
        <v/>
      </c>
      <c r="Z202" s="17" t="str">
        <f ca="1">IF(ISNA($B202),"",IF($B202="","",IFERROR(_xll.BDP(TICKER,"DEEP_MEASURE_PERIOD_BROKER_VALUE","DEEP_MEASURE_ID_OVERRIDE",$C202,"DEEP_BROKER_ID_OVERRIDE",$F$7,"DEEP_PERIOD_OVERRIDE",Z$11)*1,"")))</f>
        <v/>
      </c>
      <c r="AA202" s="17" t="str">
        <f ca="1">IF(ISNA($B202),"",IF($B202="","",IFERROR(_xll.BDP(TICKER,"DEEP_MEASURE_PERIOD_BROKER_VALUE","DEEP_MEASURE_ID_OVERRIDE",$C202,"DEEP_BROKER_ID_OVERRIDE",$F$7,"DEEP_PERIOD_OVERRIDE",AA$11)*1,"")))</f>
        <v/>
      </c>
      <c r="AB202" s="17" t="str">
        <f ca="1">IF(ISNA($B202),"",IF($B202="","",IFERROR(_xll.BDP(TICKER,"DEEP_MEASURE_PERIOD_BROKER_VALUE","DEEP_MEASURE_ID_OVERRIDE",$C202,"DEEP_BROKER_ID_OVERRIDE",$F$7,"DEEP_PERIOD_OVERRIDE",AB$11)*1,"")))</f>
        <v/>
      </c>
      <c r="AC202" s="17" t="str">
        <f ca="1">IF(ISNA($B202),"",IF($B202="","",IFERROR(_xll.BDP(TICKER,"DEEP_MEASURE_PERIOD_BROKER_VALUE","DEEP_MEASURE_ID_OVERRIDE",$C202,"DEEP_BROKER_ID_OVERRIDE",$F$7,"DEEP_PERIOD_OVERRIDE",AC$11)*1,"")))</f>
        <v/>
      </c>
      <c r="AD202" s="17" t="str">
        <f ca="1">IF(ISNA($B202),"",IF($B202="","",IFERROR(_xll.BDP(TICKER,"DEEP_MEASURE_PERIOD_BROKER_VALUE","DEEP_MEASURE_ID_OVERRIDE",$C202,"DEEP_BROKER_ID_OVERRIDE",$F$7,"DEEP_PERIOD_OVERRIDE",AD$11)*1,"")))</f>
        <v/>
      </c>
      <c r="AE202" s="17" t="str">
        <f ca="1">IF(ISNA($B202),"",IF($B202="","",IFERROR(_xll.BDP(TICKER,"DEEP_MEASURE_PERIOD_BROKER_VALUE","DEEP_MEASURE_ID_OVERRIDE",$C202,"DEEP_BROKER_ID_OVERRIDE",$F$7,"DEEP_PERIOD_OVERRIDE",AE$11)*1,"")))</f>
        <v/>
      </c>
      <c r="AF202" s="17" t="str">
        <f ca="1">IF(ISNA($B202),"",IF($B202="","",IFERROR(_xll.BDP(TICKER,"DEEP_MEASURE_PERIOD_BROKER_VALUE","DEEP_MEASURE_ID_OVERRIDE",$C202,"DEEP_BROKER_ID_OVERRIDE",$F$7,"DEEP_PERIOD_OVERRIDE",AF$11)*1,"")))</f>
        <v/>
      </c>
      <c r="AG202" s="17" t="str">
        <f ca="1">IF(ISNA($B202),"",IF($B202="","",IFERROR(_xll.BDP(TICKER,"DEEP_MEASURE_PERIOD_BROKER_VALUE","DEEP_MEASURE_ID_OVERRIDE",$C202,"DEEP_BROKER_ID_OVERRIDE",$F$7,"DEEP_PERIOD_OVERRIDE",AG$11)*1,"")))</f>
        <v/>
      </c>
      <c r="AH202" s="17" t="str">
        <f ca="1">IF(ISNA($B202),"",IF($B202="","",IFERROR(_xll.BDP(TICKER,"DEEP_MEASURE_PERIOD_BROKER_VALUE","DEEP_MEASURE_ID_OVERRIDE",$C202,"DEEP_BROKER_ID_OVERRIDE",$F$7,"DEEP_PERIOD_OVERRIDE",AH$11)*1,"")))</f>
        <v/>
      </c>
      <c r="AI202" s="17" t="str">
        <f ca="1">IF(ISNA($B202),"",IF($B202="","",IFERROR(_xll.BDP(TICKER,"DEEP_MEASURE_PERIOD_BROKER_VALUE","DEEP_MEASURE_ID_OVERRIDE",$C202,"DEEP_BROKER_ID_OVERRIDE",$F$7,"DEEP_PERIOD_OVERRIDE",AI$11)*1,"")))</f>
        <v/>
      </c>
      <c r="AJ202" s="17" t="str">
        <f ca="1">IF(ISNA($B202),"",IF($B202="","",IFERROR(_xll.BDP(TICKER,"DEEP_MEASURE_PERIOD_BROKER_VALUE","DEEP_MEASURE_ID_OVERRIDE",$C202,"DEEP_BROKER_ID_OVERRIDE",$F$7,"DEEP_PERIOD_OVERRIDE",AJ$11)*1,"")))</f>
        <v/>
      </c>
      <c r="AK202" s="17" t="str">
        <f ca="1">IF(ISNA($B202),"",IF($B202="","",IFERROR(_xll.BDP(TICKER,"DEEP_MEASURE_PERIOD_BROKER_VALUE","DEEP_MEASURE_ID_OVERRIDE",$C202,"DEEP_BROKER_ID_OVERRIDE",$F$7,"DEEP_PERIOD_OVERRIDE",AK$11)*1,"")))</f>
        <v/>
      </c>
      <c r="AL202" s="17" t="str">
        <f ca="1">IF(ISNA($B202),"",IF($B202="","",IFERROR(_xll.BDP(TICKER,"DEEP_MEASURE_PERIOD_BROKER_VALUE","DEEP_MEASURE_ID_OVERRIDE",$C202,"DEEP_BROKER_ID_OVERRIDE",$F$7,"DEEP_PERIOD_OVERRIDE",AL$11)*1,"")))</f>
        <v/>
      </c>
      <c r="AM202" s="17" t="str">
        <f ca="1">IF(ISNA($B202),"",IF($B202="","",IFERROR(_xll.BDP(TICKER,"DEEP_MEASURE_PERIOD_BROKER_VALUE","DEEP_MEASURE_ID_OVERRIDE",$C202,"DEEP_BROKER_ID_OVERRIDE",$F$7,"DEEP_PERIOD_OVERRIDE",AM$11)*1,"")))</f>
        <v/>
      </c>
      <c r="AN202" s="17" t="str">
        <f ca="1">IF(ISNA($B202),"",IF($B202="","",IFERROR(_xll.BDP(TICKER,"DEEP_MEASURE_PERIOD_BROKER_VALUE","DEEP_MEASURE_ID_OVERRIDE",$C202,"DEEP_BROKER_ID_OVERRIDE",$F$7,"DEEP_PERIOD_OVERRIDE",AN$11)*1,"")))</f>
        <v/>
      </c>
      <c r="AO202" s="17" t="str">
        <f ca="1">IF(ISNA($B202),"",IF($B202="","",IFERROR(_xll.BDP(TICKER,"DEEP_MEASURE_PERIOD_BROKER_VALUE","DEEP_MEASURE_ID_OVERRIDE",$C202,"DEEP_BROKER_ID_OVERRIDE",$F$7,"DEEP_PERIOD_OVERRIDE",AO$11)*1,"")))</f>
        <v/>
      </c>
      <c r="AP202" s="17" t="str">
        <f ca="1">IF(ISNA($B202),"",IF($B202="","",IFERROR(_xll.BDP(TICKER,"DEEP_MEASURE_PERIOD_BROKER_VALUE","DEEP_MEASURE_ID_OVERRIDE",$C202,"DEEP_BROKER_ID_OVERRIDE",$F$7,"DEEP_PERIOD_OVERRIDE",AP$11)*1,"")))</f>
        <v/>
      </c>
      <c r="AQ202" s="17" t="str">
        <f ca="1">IF(ISNA($B202),"",IF($B202="","",IFERROR(_xll.BDP(TICKER,"DEEP_MEASURE_PERIOD_BROKER_VALUE","DEEP_MEASURE_ID_OVERRIDE",$C202,"DEEP_BROKER_ID_OVERRIDE",$F$7,"DEEP_PERIOD_OVERRIDE",AQ$11)*1,"")))</f>
        <v/>
      </c>
    </row>
    <row r="203" spans="2:43" x14ac:dyDescent="0.25">
      <c r="B203" t="s">
        <v>71</v>
      </c>
      <c r="C203">
        <v>10334</v>
      </c>
      <c r="H203" t="str">
        <f t="shared" si="4"/>
        <v>Cash from Financing Activities &gt; Cash from (Repayment) Issuance of Debt</v>
      </c>
      <c r="I203" s="17" t="str">
        <f ca="1">IF(ISNA($B203),"",IF($B203="","",IFERROR(_xll.BDP(TICKER,"DEEP_MEASURE_PERIOD_BROKER_VALUE","DEEP_MEASURE_ID_OVERRIDE",$C203,"DEEP_BROKER_ID_OVERRIDE",$F$7,"DEEP_PERIOD_OVERRIDE",I$11)*1,"")))</f>
        <v/>
      </c>
      <c r="J203" s="17" t="str">
        <f ca="1">IF(ISNA($B203),"",IF($B203="","",IFERROR(_xll.BDP(TICKER,"DEEP_MEASURE_PERIOD_BROKER_VALUE","DEEP_MEASURE_ID_OVERRIDE",$C203,"DEEP_BROKER_ID_OVERRIDE",$F$7,"DEEP_PERIOD_OVERRIDE",J$11)*1,"")))</f>
        <v/>
      </c>
      <c r="K203" s="17" t="str">
        <f ca="1">IF(ISNA($B203),"",IF($B203="","",IFERROR(_xll.BDP(TICKER,"DEEP_MEASURE_PERIOD_BROKER_VALUE","DEEP_MEASURE_ID_OVERRIDE",$C203,"DEEP_BROKER_ID_OVERRIDE",$F$7,"DEEP_PERIOD_OVERRIDE",K$11)*1,"")))</f>
        <v/>
      </c>
      <c r="L203" s="17" t="str">
        <f ca="1">IF(ISNA($B203),"",IF($B203="","",IFERROR(_xll.BDP(TICKER,"DEEP_MEASURE_PERIOD_BROKER_VALUE","DEEP_MEASURE_ID_OVERRIDE",$C203,"DEEP_BROKER_ID_OVERRIDE",$F$7,"DEEP_PERIOD_OVERRIDE",L$11)*1,"")))</f>
        <v/>
      </c>
      <c r="M203" s="17" t="str">
        <f ca="1">IF(ISNA($B203),"",IF($B203="","",IFERROR(_xll.BDP(TICKER,"DEEP_MEASURE_PERIOD_BROKER_VALUE","DEEP_MEASURE_ID_OVERRIDE",$C203,"DEEP_BROKER_ID_OVERRIDE",$F$7,"DEEP_PERIOD_OVERRIDE",M$11)*1,"")))</f>
        <v/>
      </c>
      <c r="N203" s="17" t="str">
        <f ca="1">IF(ISNA($B203),"",IF($B203="","",IFERROR(_xll.BDP(TICKER,"DEEP_MEASURE_PERIOD_BROKER_VALUE","DEEP_MEASURE_ID_OVERRIDE",$C203,"DEEP_BROKER_ID_OVERRIDE",$F$7,"DEEP_PERIOD_OVERRIDE",N$11)*1,"")))</f>
        <v/>
      </c>
      <c r="O203" s="17" t="str">
        <f ca="1">IF(ISNA($B203),"",IF($B203="","",IFERROR(_xll.BDP(TICKER,"DEEP_MEASURE_PERIOD_BROKER_VALUE","DEEP_MEASURE_ID_OVERRIDE",$C203,"DEEP_BROKER_ID_OVERRIDE",$F$7,"DEEP_PERIOD_OVERRIDE",O$11)*1,"")))</f>
        <v/>
      </c>
      <c r="P203" s="17" t="str">
        <f ca="1">IF(ISNA($B203),"",IF($B203="","",IFERROR(_xll.BDP(TICKER,"DEEP_MEASURE_PERIOD_BROKER_VALUE","DEEP_MEASURE_ID_OVERRIDE",$C203,"DEEP_BROKER_ID_OVERRIDE",$F$7,"DEEP_PERIOD_OVERRIDE",P$11)*1,"")))</f>
        <v/>
      </c>
      <c r="Q203" s="17" t="str">
        <f ca="1">IF(ISNA($B203),"",IF($B203="","",IFERROR(_xll.BDP(TICKER,"DEEP_MEASURE_PERIOD_BROKER_VALUE","DEEP_MEASURE_ID_OVERRIDE",$C203,"DEEP_BROKER_ID_OVERRIDE",$F$7,"DEEP_PERIOD_OVERRIDE",Q$11)*1,"")))</f>
        <v/>
      </c>
      <c r="R203" s="17" t="str">
        <f ca="1">IF(ISNA($B203),"",IF($B203="","",IFERROR(_xll.BDP(TICKER,"DEEP_MEASURE_PERIOD_BROKER_VALUE","DEEP_MEASURE_ID_OVERRIDE",$C203,"DEEP_BROKER_ID_OVERRIDE",$F$7,"DEEP_PERIOD_OVERRIDE",R$11)*1,"")))</f>
        <v/>
      </c>
      <c r="S203" s="17" t="str">
        <f ca="1">IF(ISNA($B203),"",IF($B203="","",IFERROR(_xll.BDP(TICKER,"DEEP_MEASURE_PERIOD_BROKER_VALUE","DEEP_MEASURE_ID_OVERRIDE",$C203,"DEEP_BROKER_ID_OVERRIDE",$F$7,"DEEP_PERIOD_OVERRIDE",S$11)*1,"")))</f>
        <v/>
      </c>
      <c r="T203" s="17" t="str">
        <f ca="1">IF(ISNA($B203),"",IF($B203="","",IFERROR(_xll.BDP(TICKER,"DEEP_MEASURE_PERIOD_BROKER_VALUE","DEEP_MEASURE_ID_OVERRIDE",$C203,"DEEP_BROKER_ID_OVERRIDE",$F$7,"DEEP_PERIOD_OVERRIDE",T$11)*1,"")))</f>
        <v/>
      </c>
      <c r="U203" s="17" t="str">
        <f ca="1">IF(ISNA($B203),"",IF($B203="","",IFERROR(_xll.BDP(TICKER,"DEEP_MEASURE_PERIOD_BROKER_VALUE","DEEP_MEASURE_ID_OVERRIDE",$C203,"DEEP_BROKER_ID_OVERRIDE",$F$7,"DEEP_PERIOD_OVERRIDE",U$11)*1,"")))</f>
        <v/>
      </c>
      <c r="V203" s="17" t="str">
        <f ca="1">IF(ISNA($B203),"",IF($B203="","",IFERROR(_xll.BDP(TICKER,"DEEP_MEASURE_PERIOD_BROKER_VALUE","DEEP_MEASURE_ID_OVERRIDE",$C203,"DEEP_BROKER_ID_OVERRIDE",$F$7,"DEEP_PERIOD_OVERRIDE",V$11)*1,"")))</f>
        <v/>
      </c>
      <c r="W203" s="17" t="str">
        <f ca="1">IF(ISNA($B203),"",IF($B203="","",IFERROR(_xll.BDP(TICKER,"DEEP_MEASURE_PERIOD_BROKER_VALUE","DEEP_MEASURE_ID_OVERRIDE",$C203,"DEEP_BROKER_ID_OVERRIDE",$F$7,"DEEP_PERIOD_OVERRIDE",W$11)*1,"")))</f>
        <v/>
      </c>
      <c r="X203" s="17" t="str">
        <f ca="1">IF(ISNA($B203),"",IF($B203="","",IFERROR(_xll.BDP(TICKER,"DEEP_MEASURE_PERIOD_BROKER_VALUE","DEEP_MEASURE_ID_OVERRIDE",$C203,"DEEP_BROKER_ID_OVERRIDE",$F$7,"DEEP_PERIOD_OVERRIDE",X$11)*1,"")))</f>
        <v/>
      </c>
      <c r="Y203" s="17" t="str">
        <f ca="1">IF(ISNA($B203),"",IF($B203="","",IFERROR(_xll.BDP(TICKER,"DEEP_MEASURE_PERIOD_BROKER_VALUE","DEEP_MEASURE_ID_OVERRIDE",$C203,"DEEP_BROKER_ID_OVERRIDE",$F$7,"DEEP_PERIOD_OVERRIDE",Y$11)*1,"")))</f>
        <v/>
      </c>
      <c r="Z203" s="17" t="str">
        <f ca="1">IF(ISNA($B203),"",IF($B203="","",IFERROR(_xll.BDP(TICKER,"DEEP_MEASURE_PERIOD_BROKER_VALUE","DEEP_MEASURE_ID_OVERRIDE",$C203,"DEEP_BROKER_ID_OVERRIDE",$F$7,"DEEP_PERIOD_OVERRIDE",Z$11)*1,"")))</f>
        <v/>
      </c>
      <c r="AA203" s="17" t="str">
        <f ca="1">IF(ISNA($B203),"",IF($B203="","",IFERROR(_xll.BDP(TICKER,"DEEP_MEASURE_PERIOD_BROKER_VALUE","DEEP_MEASURE_ID_OVERRIDE",$C203,"DEEP_BROKER_ID_OVERRIDE",$F$7,"DEEP_PERIOD_OVERRIDE",AA$11)*1,"")))</f>
        <v/>
      </c>
      <c r="AB203" s="17" t="str">
        <f ca="1">IF(ISNA($B203),"",IF($B203="","",IFERROR(_xll.BDP(TICKER,"DEEP_MEASURE_PERIOD_BROKER_VALUE","DEEP_MEASURE_ID_OVERRIDE",$C203,"DEEP_BROKER_ID_OVERRIDE",$F$7,"DEEP_PERIOD_OVERRIDE",AB$11)*1,"")))</f>
        <v/>
      </c>
      <c r="AC203" s="17" t="str">
        <f ca="1">IF(ISNA($B203),"",IF($B203="","",IFERROR(_xll.BDP(TICKER,"DEEP_MEASURE_PERIOD_BROKER_VALUE","DEEP_MEASURE_ID_OVERRIDE",$C203,"DEEP_BROKER_ID_OVERRIDE",$F$7,"DEEP_PERIOD_OVERRIDE",AC$11)*1,"")))</f>
        <v/>
      </c>
      <c r="AD203" s="17" t="str">
        <f ca="1">IF(ISNA($B203),"",IF($B203="","",IFERROR(_xll.BDP(TICKER,"DEEP_MEASURE_PERIOD_BROKER_VALUE","DEEP_MEASURE_ID_OVERRIDE",$C203,"DEEP_BROKER_ID_OVERRIDE",$F$7,"DEEP_PERIOD_OVERRIDE",AD$11)*1,"")))</f>
        <v/>
      </c>
      <c r="AE203" s="17" t="str">
        <f ca="1">IF(ISNA($B203),"",IF($B203="","",IFERROR(_xll.BDP(TICKER,"DEEP_MEASURE_PERIOD_BROKER_VALUE","DEEP_MEASURE_ID_OVERRIDE",$C203,"DEEP_BROKER_ID_OVERRIDE",$F$7,"DEEP_PERIOD_OVERRIDE",AE$11)*1,"")))</f>
        <v/>
      </c>
      <c r="AF203" s="17" t="str">
        <f ca="1">IF(ISNA($B203),"",IF($B203="","",IFERROR(_xll.BDP(TICKER,"DEEP_MEASURE_PERIOD_BROKER_VALUE","DEEP_MEASURE_ID_OVERRIDE",$C203,"DEEP_BROKER_ID_OVERRIDE",$F$7,"DEEP_PERIOD_OVERRIDE",AF$11)*1,"")))</f>
        <v/>
      </c>
      <c r="AG203" s="17" t="str">
        <f ca="1">IF(ISNA($B203),"",IF($B203="","",IFERROR(_xll.BDP(TICKER,"DEEP_MEASURE_PERIOD_BROKER_VALUE","DEEP_MEASURE_ID_OVERRIDE",$C203,"DEEP_BROKER_ID_OVERRIDE",$F$7,"DEEP_PERIOD_OVERRIDE",AG$11)*1,"")))</f>
        <v/>
      </c>
      <c r="AH203" s="17" t="str">
        <f ca="1">IF(ISNA($B203),"",IF($B203="","",IFERROR(_xll.BDP(TICKER,"DEEP_MEASURE_PERIOD_BROKER_VALUE","DEEP_MEASURE_ID_OVERRIDE",$C203,"DEEP_BROKER_ID_OVERRIDE",$F$7,"DEEP_PERIOD_OVERRIDE",AH$11)*1,"")))</f>
        <v/>
      </c>
      <c r="AI203" s="17" t="str">
        <f ca="1">IF(ISNA($B203),"",IF($B203="","",IFERROR(_xll.BDP(TICKER,"DEEP_MEASURE_PERIOD_BROKER_VALUE","DEEP_MEASURE_ID_OVERRIDE",$C203,"DEEP_BROKER_ID_OVERRIDE",$F$7,"DEEP_PERIOD_OVERRIDE",AI$11)*1,"")))</f>
        <v/>
      </c>
      <c r="AJ203" s="17" t="str">
        <f ca="1">IF(ISNA($B203),"",IF($B203="","",IFERROR(_xll.BDP(TICKER,"DEEP_MEASURE_PERIOD_BROKER_VALUE","DEEP_MEASURE_ID_OVERRIDE",$C203,"DEEP_BROKER_ID_OVERRIDE",$F$7,"DEEP_PERIOD_OVERRIDE",AJ$11)*1,"")))</f>
        <v/>
      </c>
      <c r="AK203" s="17" t="str">
        <f ca="1">IF(ISNA($B203),"",IF($B203="","",IFERROR(_xll.BDP(TICKER,"DEEP_MEASURE_PERIOD_BROKER_VALUE","DEEP_MEASURE_ID_OVERRIDE",$C203,"DEEP_BROKER_ID_OVERRIDE",$F$7,"DEEP_PERIOD_OVERRIDE",AK$11)*1,"")))</f>
        <v/>
      </c>
      <c r="AL203" s="17" t="str">
        <f ca="1">IF(ISNA($B203),"",IF($B203="","",IFERROR(_xll.BDP(TICKER,"DEEP_MEASURE_PERIOD_BROKER_VALUE","DEEP_MEASURE_ID_OVERRIDE",$C203,"DEEP_BROKER_ID_OVERRIDE",$F$7,"DEEP_PERIOD_OVERRIDE",AL$11)*1,"")))</f>
        <v/>
      </c>
      <c r="AM203" s="17" t="str">
        <f ca="1">IF(ISNA($B203),"",IF($B203="","",IFERROR(_xll.BDP(TICKER,"DEEP_MEASURE_PERIOD_BROKER_VALUE","DEEP_MEASURE_ID_OVERRIDE",$C203,"DEEP_BROKER_ID_OVERRIDE",$F$7,"DEEP_PERIOD_OVERRIDE",AM$11)*1,"")))</f>
        <v/>
      </c>
      <c r="AN203" s="17" t="str">
        <f ca="1">IF(ISNA($B203),"",IF($B203="","",IFERROR(_xll.BDP(TICKER,"DEEP_MEASURE_PERIOD_BROKER_VALUE","DEEP_MEASURE_ID_OVERRIDE",$C203,"DEEP_BROKER_ID_OVERRIDE",$F$7,"DEEP_PERIOD_OVERRIDE",AN$11)*1,"")))</f>
        <v/>
      </c>
      <c r="AO203" s="17" t="str">
        <f ca="1">IF(ISNA($B203),"",IF($B203="","",IFERROR(_xll.BDP(TICKER,"DEEP_MEASURE_PERIOD_BROKER_VALUE","DEEP_MEASURE_ID_OVERRIDE",$C203,"DEEP_BROKER_ID_OVERRIDE",$F$7,"DEEP_PERIOD_OVERRIDE",AO$11)*1,"")))</f>
        <v/>
      </c>
      <c r="AP203" s="17" t="str">
        <f ca="1">IF(ISNA($B203),"",IF($B203="","",IFERROR(_xll.BDP(TICKER,"DEEP_MEASURE_PERIOD_BROKER_VALUE","DEEP_MEASURE_ID_OVERRIDE",$C203,"DEEP_BROKER_ID_OVERRIDE",$F$7,"DEEP_PERIOD_OVERRIDE",AP$11)*1,"")))</f>
        <v/>
      </c>
      <c r="AQ203" s="17" t="str">
        <f ca="1">IF(ISNA($B203),"",IF($B203="","",IFERROR(_xll.BDP(TICKER,"DEEP_MEASURE_PERIOD_BROKER_VALUE","DEEP_MEASURE_ID_OVERRIDE",$C203,"DEEP_BROKER_ID_OVERRIDE",$F$7,"DEEP_PERIOD_OVERRIDE",AQ$11)*1,"")))</f>
        <v/>
      </c>
    </row>
    <row r="204" spans="2:43" x14ac:dyDescent="0.25">
      <c r="B204" t="s">
        <v>72</v>
      </c>
      <c r="C204">
        <v>8272</v>
      </c>
      <c r="H204" t="str">
        <f t="shared" si="4"/>
        <v>Cash from Financing Activities &gt; Cash from Issuance (Repurchase) of Equity</v>
      </c>
      <c r="I204" s="17" t="str">
        <f ca="1">IF(ISNA($B204),"",IF($B204="","",IFERROR(_xll.BDP(TICKER,"DEEP_MEASURE_PERIOD_BROKER_VALUE","DEEP_MEASURE_ID_OVERRIDE",$C204,"DEEP_BROKER_ID_OVERRIDE",$F$7,"DEEP_PERIOD_OVERRIDE",I$11)*1,"")))</f>
        <v/>
      </c>
      <c r="J204" s="17" t="str">
        <f ca="1">IF(ISNA($B204),"",IF($B204="","",IFERROR(_xll.BDP(TICKER,"DEEP_MEASURE_PERIOD_BROKER_VALUE","DEEP_MEASURE_ID_OVERRIDE",$C204,"DEEP_BROKER_ID_OVERRIDE",$F$7,"DEEP_PERIOD_OVERRIDE",J$11)*1,"")))</f>
        <v/>
      </c>
      <c r="K204" s="17" t="str">
        <f ca="1">IF(ISNA($B204),"",IF($B204="","",IFERROR(_xll.BDP(TICKER,"DEEP_MEASURE_PERIOD_BROKER_VALUE","DEEP_MEASURE_ID_OVERRIDE",$C204,"DEEP_BROKER_ID_OVERRIDE",$F$7,"DEEP_PERIOD_OVERRIDE",K$11)*1,"")))</f>
        <v/>
      </c>
      <c r="L204" s="17" t="str">
        <f ca="1">IF(ISNA($B204),"",IF($B204="","",IFERROR(_xll.BDP(TICKER,"DEEP_MEASURE_PERIOD_BROKER_VALUE","DEEP_MEASURE_ID_OVERRIDE",$C204,"DEEP_BROKER_ID_OVERRIDE",$F$7,"DEEP_PERIOD_OVERRIDE",L$11)*1,"")))</f>
        <v/>
      </c>
      <c r="M204" s="17" t="str">
        <f ca="1">IF(ISNA($B204),"",IF($B204="","",IFERROR(_xll.BDP(TICKER,"DEEP_MEASURE_PERIOD_BROKER_VALUE","DEEP_MEASURE_ID_OVERRIDE",$C204,"DEEP_BROKER_ID_OVERRIDE",$F$7,"DEEP_PERIOD_OVERRIDE",M$11)*1,"")))</f>
        <v/>
      </c>
      <c r="N204" s="17" t="str">
        <f ca="1">IF(ISNA($B204),"",IF($B204="","",IFERROR(_xll.BDP(TICKER,"DEEP_MEASURE_PERIOD_BROKER_VALUE","DEEP_MEASURE_ID_OVERRIDE",$C204,"DEEP_BROKER_ID_OVERRIDE",$F$7,"DEEP_PERIOD_OVERRIDE",N$11)*1,"")))</f>
        <v/>
      </c>
      <c r="O204" s="17" t="str">
        <f ca="1">IF(ISNA($B204),"",IF($B204="","",IFERROR(_xll.BDP(TICKER,"DEEP_MEASURE_PERIOD_BROKER_VALUE","DEEP_MEASURE_ID_OVERRIDE",$C204,"DEEP_BROKER_ID_OVERRIDE",$F$7,"DEEP_PERIOD_OVERRIDE",O$11)*1,"")))</f>
        <v/>
      </c>
      <c r="P204" s="17" t="str">
        <f ca="1">IF(ISNA($B204),"",IF($B204="","",IFERROR(_xll.BDP(TICKER,"DEEP_MEASURE_PERIOD_BROKER_VALUE","DEEP_MEASURE_ID_OVERRIDE",$C204,"DEEP_BROKER_ID_OVERRIDE",$F$7,"DEEP_PERIOD_OVERRIDE",P$11)*1,"")))</f>
        <v/>
      </c>
      <c r="Q204" s="17" t="str">
        <f ca="1">IF(ISNA($B204),"",IF($B204="","",IFERROR(_xll.BDP(TICKER,"DEEP_MEASURE_PERIOD_BROKER_VALUE","DEEP_MEASURE_ID_OVERRIDE",$C204,"DEEP_BROKER_ID_OVERRIDE",$F$7,"DEEP_PERIOD_OVERRIDE",Q$11)*1,"")))</f>
        <v/>
      </c>
      <c r="R204" s="17" t="str">
        <f ca="1">IF(ISNA($B204),"",IF($B204="","",IFERROR(_xll.BDP(TICKER,"DEEP_MEASURE_PERIOD_BROKER_VALUE","DEEP_MEASURE_ID_OVERRIDE",$C204,"DEEP_BROKER_ID_OVERRIDE",$F$7,"DEEP_PERIOD_OVERRIDE",R$11)*1,"")))</f>
        <v/>
      </c>
      <c r="S204" s="17" t="str">
        <f ca="1">IF(ISNA($B204),"",IF($B204="","",IFERROR(_xll.BDP(TICKER,"DEEP_MEASURE_PERIOD_BROKER_VALUE","DEEP_MEASURE_ID_OVERRIDE",$C204,"DEEP_BROKER_ID_OVERRIDE",$F$7,"DEEP_PERIOD_OVERRIDE",S$11)*1,"")))</f>
        <v/>
      </c>
      <c r="T204" s="17" t="str">
        <f ca="1">IF(ISNA($B204),"",IF($B204="","",IFERROR(_xll.BDP(TICKER,"DEEP_MEASURE_PERIOD_BROKER_VALUE","DEEP_MEASURE_ID_OVERRIDE",$C204,"DEEP_BROKER_ID_OVERRIDE",$F$7,"DEEP_PERIOD_OVERRIDE",T$11)*1,"")))</f>
        <v/>
      </c>
      <c r="U204" s="17" t="str">
        <f ca="1">IF(ISNA($B204),"",IF($B204="","",IFERROR(_xll.BDP(TICKER,"DEEP_MEASURE_PERIOD_BROKER_VALUE","DEEP_MEASURE_ID_OVERRIDE",$C204,"DEEP_BROKER_ID_OVERRIDE",$F$7,"DEEP_PERIOD_OVERRIDE",U$11)*1,"")))</f>
        <v/>
      </c>
      <c r="V204" s="17" t="str">
        <f ca="1">IF(ISNA($B204),"",IF($B204="","",IFERROR(_xll.BDP(TICKER,"DEEP_MEASURE_PERIOD_BROKER_VALUE","DEEP_MEASURE_ID_OVERRIDE",$C204,"DEEP_BROKER_ID_OVERRIDE",$F$7,"DEEP_PERIOD_OVERRIDE",V$11)*1,"")))</f>
        <v/>
      </c>
      <c r="W204" s="17" t="str">
        <f ca="1">IF(ISNA($B204),"",IF($B204="","",IFERROR(_xll.BDP(TICKER,"DEEP_MEASURE_PERIOD_BROKER_VALUE","DEEP_MEASURE_ID_OVERRIDE",$C204,"DEEP_BROKER_ID_OVERRIDE",$F$7,"DEEP_PERIOD_OVERRIDE",W$11)*1,"")))</f>
        <v/>
      </c>
      <c r="X204" s="17" t="str">
        <f ca="1">IF(ISNA($B204),"",IF($B204="","",IFERROR(_xll.BDP(TICKER,"DEEP_MEASURE_PERIOD_BROKER_VALUE","DEEP_MEASURE_ID_OVERRIDE",$C204,"DEEP_BROKER_ID_OVERRIDE",$F$7,"DEEP_PERIOD_OVERRIDE",X$11)*1,"")))</f>
        <v/>
      </c>
      <c r="Y204" s="17" t="str">
        <f ca="1">IF(ISNA($B204),"",IF($B204="","",IFERROR(_xll.BDP(TICKER,"DEEP_MEASURE_PERIOD_BROKER_VALUE","DEEP_MEASURE_ID_OVERRIDE",$C204,"DEEP_BROKER_ID_OVERRIDE",$F$7,"DEEP_PERIOD_OVERRIDE",Y$11)*1,"")))</f>
        <v/>
      </c>
      <c r="Z204" s="17" t="str">
        <f ca="1">IF(ISNA($B204),"",IF($B204="","",IFERROR(_xll.BDP(TICKER,"DEEP_MEASURE_PERIOD_BROKER_VALUE","DEEP_MEASURE_ID_OVERRIDE",$C204,"DEEP_BROKER_ID_OVERRIDE",$F$7,"DEEP_PERIOD_OVERRIDE",Z$11)*1,"")))</f>
        <v/>
      </c>
      <c r="AA204" s="17" t="str">
        <f ca="1">IF(ISNA($B204),"",IF($B204="","",IFERROR(_xll.BDP(TICKER,"DEEP_MEASURE_PERIOD_BROKER_VALUE","DEEP_MEASURE_ID_OVERRIDE",$C204,"DEEP_BROKER_ID_OVERRIDE",$F$7,"DEEP_PERIOD_OVERRIDE",AA$11)*1,"")))</f>
        <v/>
      </c>
      <c r="AB204" s="17" t="str">
        <f ca="1">IF(ISNA($B204),"",IF($B204="","",IFERROR(_xll.BDP(TICKER,"DEEP_MEASURE_PERIOD_BROKER_VALUE","DEEP_MEASURE_ID_OVERRIDE",$C204,"DEEP_BROKER_ID_OVERRIDE",$F$7,"DEEP_PERIOD_OVERRIDE",AB$11)*1,"")))</f>
        <v/>
      </c>
      <c r="AC204" s="17" t="str">
        <f ca="1">IF(ISNA($B204),"",IF($B204="","",IFERROR(_xll.BDP(TICKER,"DEEP_MEASURE_PERIOD_BROKER_VALUE","DEEP_MEASURE_ID_OVERRIDE",$C204,"DEEP_BROKER_ID_OVERRIDE",$F$7,"DEEP_PERIOD_OVERRIDE",AC$11)*1,"")))</f>
        <v/>
      </c>
      <c r="AD204" s="17" t="str">
        <f ca="1">IF(ISNA($B204),"",IF($B204="","",IFERROR(_xll.BDP(TICKER,"DEEP_MEASURE_PERIOD_BROKER_VALUE","DEEP_MEASURE_ID_OVERRIDE",$C204,"DEEP_BROKER_ID_OVERRIDE",$F$7,"DEEP_PERIOD_OVERRIDE",AD$11)*1,"")))</f>
        <v/>
      </c>
      <c r="AE204" s="17" t="str">
        <f ca="1">IF(ISNA($B204),"",IF($B204="","",IFERROR(_xll.BDP(TICKER,"DEEP_MEASURE_PERIOD_BROKER_VALUE","DEEP_MEASURE_ID_OVERRIDE",$C204,"DEEP_BROKER_ID_OVERRIDE",$F$7,"DEEP_PERIOD_OVERRIDE",AE$11)*1,"")))</f>
        <v/>
      </c>
      <c r="AF204" s="17" t="str">
        <f ca="1">IF(ISNA($B204),"",IF($B204="","",IFERROR(_xll.BDP(TICKER,"DEEP_MEASURE_PERIOD_BROKER_VALUE","DEEP_MEASURE_ID_OVERRIDE",$C204,"DEEP_BROKER_ID_OVERRIDE",$F$7,"DEEP_PERIOD_OVERRIDE",AF$11)*1,"")))</f>
        <v/>
      </c>
      <c r="AG204" s="17" t="str">
        <f ca="1">IF(ISNA($B204),"",IF($B204="","",IFERROR(_xll.BDP(TICKER,"DEEP_MEASURE_PERIOD_BROKER_VALUE","DEEP_MEASURE_ID_OVERRIDE",$C204,"DEEP_BROKER_ID_OVERRIDE",$F$7,"DEEP_PERIOD_OVERRIDE",AG$11)*1,"")))</f>
        <v/>
      </c>
      <c r="AH204" s="17" t="str">
        <f ca="1">IF(ISNA($B204),"",IF($B204="","",IFERROR(_xll.BDP(TICKER,"DEEP_MEASURE_PERIOD_BROKER_VALUE","DEEP_MEASURE_ID_OVERRIDE",$C204,"DEEP_BROKER_ID_OVERRIDE",$F$7,"DEEP_PERIOD_OVERRIDE",AH$11)*1,"")))</f>
        <v/>
      </c>
      <c r="AI204" s="17" t="str">
        <f ca="1">IF(ISNA($B204),"",IF($B204="","",IFERROR(_xll.BDP(TICKER,"DEEP_MEASURE_PERIOD_BROKER_VALUE","DEEP_MEASURE_ID_OVERRIDE",$C204,"DEEP_BROKER_ID_OVERRIDE",$F$7,"DEEP_PERIOD_OVERRIDE",AI$11)*1,"")))</f>
        <v/>
      </c>
      <c r="AJ204" s="17" t="str">
        <f ca="1">IF(ISNA($B204),"",IF($B204="","",IFERROR(_xll.BDP(TICKER,"DEEP_MEASURE_PERIOD_BROKER_VALUE","DEEP_MEASURE_ID_OVERRIDE",$C204,"DEEP_BROKER_ID_OVERRIDE",$F$7,"DEEP_PERIOD_OVERRIDE",AJ$11)*1,"")))</f>
        <v/>
      </c>
      <c r="AK204" s="17" t="str">
        <f ca="1">IF(ISNA($B204),"",IF($B204="","",IFERROR(_xll.BDP(TICKER,"DEEP_MEASURE_PERIOD_BROKER_VALUE","DEEP_MEASURE_ID_OVERRIDE",$C204,"DEEP_BROKER_ID_OVERRIDE",$F$7,"DEEP_PERIOD_OVERRIDE",AK$11)*1,"")))</f>
        <v/>
      </c>
      <c r="AL204" s="17" t="str">
        <f ca="1">IF(ISNA($B204),"",IF($B204="","",IFERROR(_xll.BDP(TICKER,"DEEP_MEASURE_PERIOD_BROKER_VALUE","DEEP_MEASURE_ID_OVERRIDE",$C204,"DEEP_BROKER_ID_OVERRIDE",$F$7,"DEEP_PERIOD_OVERRIDE",AL$11)*1,"")))</f>
        <v/>
      </c>
      <c r="AM204" s="17" t="str">
        <f ca="1">IF(ISNA($B204),"",IF($B204="","",IFERROR(_xll.BDP(TICKER,"DEEP_MEASURE_PERIOD_BROKER_VALUE","DEEP_MEASURE_ID_OVERRIDE",$C204,"DEEP_BROKER_ID_OVERRIDE",$F$7,"DEEP_PERIOD_OVERRIDE",AM$11)*1,"")))</f>
        <v/>
      </c>
      <c r="AN204" s="17" t="str">
        <f ca="1">IF(ISNA($B204),"",IF($B204="","",IFERROR(_xll.BDP(TICKER,"DEEP_MEASURE_PERIOD_BROKER_VALUE","DEEP_MEASURE_ID_OVERRIDE",$C204,"DEEP_BROKER_ID_OVERRIDE",$F$7,"DEEP_PERIOD_OVERRIDE",AN$11)*1,"")))</f>
        <v/>
      </c>
      <c r="AO204" s="17" t="str">
        <f ca="1">IF(ISNA($B204),"",IF($B204="","",IFERROR(_xll.BDP(TICKER,"DEEP_MEASURE_PERIOD_BROKER_VALUE","DEEP_MEASURE_ID_OVERRIDE",$C204,"DEEP_BROKER_ID_OVERRIDE",$F$7,"DEEP_PERIOD_OVERRIDE",AO$11)*1,"")))</f>
        <v/>
      </c>
      <c r="AP204" s="17" t="str">
        <f ca="1">IF(ISNA($B204),"",IF($B204="","",IFERROR(_xll.BDP(TICKER,"DEEP_MEASURE_PERIOD_BROKER_VALUE","DEEP_MEASURE_ID_OVERRIDE",$C204,"DEEP_BROKER_ID_OVERRIDE",$F$7,"DEEP_PERIOD_OVERRIDE",AP$11)*1,"")))</f>
        <v/>
      </c>
      <c r="AQ204" s="17" t="str">
        <f ca="1">IF(ISNA($B204),"",IF($B204="","",IFERROR(_xll.BDP(TICKER,"DEEP_MEASURE_PERIOD_BROKER_VALUE","DEEP_MEASURE_ID_OVERRIDE",$C204,"DEEP_BROKER_ID_OVERRIDE",$F$7,"DEEP_PERIOD_OVERRIDE",AQ$11)*1,"")))</f>
        <v/>
      </c>
    </row>
    <row r="205" spans="2:43" x14ac:dyDescent="0.25">
      <c r="B205" t="s">
        <v>73</v>
      </c>
      <c r="C205">
        <v>989</v>
      </c>
      <c r="H205" t="str">
        <f t="shared" si="4"/>
        <v>Cash from Financing Activities &gt; Cash Flows from Other Financing Activity</v>
      </c>
      <c r="I205" s="17" t="str">
        <f ca="1">IF(ISNA($B205),"",IF($B205="","",IFERROR(_xll.BDP(TICKER,"DEEP_MEASURE_PERIOD_BROKER_VALUE","DEEP_MEASURE_ID_OVERRIDE",$C205,"DEEP_BROKER_ID_OVERRIDE",$F$7,"DEEP_PERIOD_OVERRIDE",I$11)*1,"")))</f>
        <v/>
      </c>
      <c r="J205" s="17" t="str">
        <f ca="1">IF(ISNA($B205),"",IF($B205="","",IFERROR(_xll.BDP(TICKER,"DEEP_MEASURE_PERIOD_BROKER_VALUE","DEEP_MEASURE_ID_OVERRIDE",$C205,"DEEP_BROKER_ID_OVERRIDE",$F$7,"DEEP_PERIOD_OVERRIDE",J$11)*1,"")))</f>
        <v/>
      </c>
      <c r="K205" s="17" t="str">
        <f ca="1">IF(ISNA($B205),"",IF($B205="","",IFERROR(_xll.BDP(TICKER,"DEEP_MEASURE_PERIOD_BROKER_VALUE","DEEP_MEASURE_ID_OVERRIDE",$C205,"DEEP_BROKER_ID_OVERRIDE",$F$7,"DEEP_PERIOD_OVERRIDE",K$11)*1,"")))</f>
        <v/>
      </c>
      <c r="L205" s="17" t="str">
        <f ca="1">IF(ISNA($B205),"",IF($B205="","",IFERROR(_xll.BDP(TICKER,"DEEP_MEASURE_PERIOD_BROKER_VALUE","DEEP_MEASURE_ID_OVERRIDE",$C205,"DEEP_BROKER_ID_OVERRIDE",$F$7,"DEEP_PERIOD_OVERRIDE",L$11)*1,"")))</f>
        <v/>
      </c>
      <c r="M205" s="17" t="str">
        <f ca="1">IF(ISNA($B205),"",IF($B205="","",IFERROR(_xll.BDP(TICKER,"DEEP_MEASURE_PERIOD_BROKER_VALUE","DEEP_MEASURE_ID_OVERRIDE",$C205,"DEEP_BROKER_ID_OVERRIDE",$F$7,"DEEP_PERIOD_OVERRIDE",M$11)*1,"")))</f>
        <v/>
      </c>
      <c r="N205" s="17" t="str">
        <f ca="1">IF(ISNA($B205),"",IF($B205="","",IFERROR(_xll.BDP(TICKER,"DEEP_MEASURE_PERIOD_BROKER_VALUE","DEEP_MEASURE_ID_OVERRIDE",$C205,"DEEP_BROKER_ID_OVERRIDE",$F$7,"DEEP_PERIOD_OVERRIDE",N$11)*1,"")))</f>
        <v/>
      </c>
      <c r="O205" s="17" t="str">
        <f ca="1">IF(ISNA($B205),"",IF($B205="","",IFERROR(_xll.BDP(TICKER,"DEEP_MEASURE_PERIOD_BROKER_VALUE","DEEP_MEASURE_ID_OVERRIDE",$C205,"DEEP_BROKER_ID_OVERRIDE",$F$7,"DEEP_PERIOD_OVERRIDE",O$11)*1,"")))</f>
        <v/>
      </c>
      <c r="P205" s="17" t="str">
        <f ca="1">IF(ISNA($B205),"",IF($B205="","",IFERROR(_xll.BDP(TICKER,"DEEP_MEASURE_PERIOD_BROKER_VALUE","DEEP_MEASURE_ID_OVERRIDE",$C205,"DEEP_BROKER_ID_OVERRIDE",$F$7,"DEEP_PERIOD_OVERRIDE",P$11)*1,"")))</f>
        <v/>
      </c>
      <c r="Q205" s="17" t="str">
        <f ca="1">IF(ISNA($B205),"",IF($B205="","",IFERROR(_xll.BDP(TICKER,"DEEP_MEASURE_PERIOD_BROKER_VALUE","DEEP_MEASURE_ID_OVERRIDE",$C205,"DEEP_BROKER_ID_OVERRIDE",$F$7,"DEEP_PERIOD_OVERRIDE",Q$11)*1,"")))</f>
        <v/>
      </c>
      <c r="R205" s="17" t="str">
        <f ca="1">IF(ISNA($B205),"",IF($B205="","",IFERROR(_xll.BDP(TICKER,"DEEP_MEASURE_PERIOD_BROKER_VALUE","DEEP_MEASURE_ID_OVERRIDE",$C205,"DEEP_BROKER_ID_OVERRIDE",$F$7,"DEEP_PERIOD_OVERRIDE",R$11)*1,"")))</f>
        <v/>
      </c>
      <c r="S205" s="17" t="str">
        <f ca="1">IF(ISNA($B205),"",IF($B205="","",IFERROR(_xll.BDP(TICKER,"DEEP_MEASURE_PERIOD_BROKER_VALUE","DEEP_MEASURE_ID_OVERRIDE",$C205,"DEEP_BROKER_ID_OVERRIDE",$F$7,"DEEP_PERIOD_OVERRIDE",S$11)*1,"")))</f>
        <v/>
      </c>
      <c r="T205" s="17" t="str">
        <f ca="1">IF(ISNA($B205),"",IF($B205="","",IFERROR(_xll.BDP(TICKER,"DEEP_MEASURE_PERIOD_BROKER_VALUE","DEEP_MEASURE_ID_OVERRIDE",$C205,"DEEP_BROKER_ID_OVERRIDE",$F$7,"DEEP_PERIOD_OVERRIDE",T$11)*1,"")))</f>
        <v/>
      </c>
      <c r="U205" s="17" t="str">
        <f ca="1">IF(ISNA($B205),"",IF($B205="","",IFERROR(_xll.BDP(TICKER,"DEEP_MEASURE_PERIOD_BROKER_VALUE","DEEP_MEASURE_ID_OVERRIDE",$C205,"DEEP_BROKER_ID_OVERRIDE",$F$7,"DEEP_PERIOD_OVERRIDE",U$11)*1,"")))</f>
        <v/>
      </c>
      <c r="V205" s="17" t="str">
        <f ca="1">IF(ISNA($B205),"",IF($B205="","",IFERROR(_xll.BDP(TICKER,"DEEP_MEASURE_PERIOD_BROKER_VALUE","DEEP_MEASURE_ID_OVERRIDE",$C205,"DEEP_BROKER_ID_OVERRIDE",$F$7,"DEEP_PERIOD_OVERRIDE",V$11)*1,"")))</f>
        <v/>
      </c>
      <c r="W205" s="17" t="str">
        <f ca="1">IF(ISNA($B205),"",IF($B205="","",IFERROR(_xll.BDP(TICKER,"DEEP_MEASURE_PERIOD_BROKER_VALUE","DEEP_MEASURE_ID_OVERRIDE",$C205,"DEEP_BROKER_ID_OVERRIDE",$F$7,"DEEP_PERIOD_OVERRIDE",W$11)*1,"")))</f>
        <v/>
      </c>
      <c r="X205" s="17" t="str">
        <f ca="1">IF(ISNA($B205),"",IF($B205="","",IFERROR(_xll.BDP(TICKER,"DEEP_MEASURE_PERIOD_BROKER_VALUE","DEEP_MEASURE_ID_OVERRIDE",$C205,"DEEP_BROKER_ID_OVERRIDE",$F$7,"DEEP_PERIOD_OVERRIDE",X$11)*1,"")))</f>
        <v/>
      </c>
      <c r="Y205" s="17" t="str">
        <f ca="1">IF(ISNA($B205),"",IF($B205="","",IFERROR(_xll.BDP(TICKER,"DEEP_MEASURE_PERIOD_BROKER_VALUE","DEEP_MEASURE_ID_OVERRIDE",$C205,"DEEP_BROKER_ID_OVERRIDE",$F$7,"DEEP_PERIOD_OVERRIDE",Y$11)*1,"")))</f>
        <v/>
      </c>
      <c r="Z205" s="17" t="str">
        <f ca="1">IF(ISNA($B205),"",IF($B205="","",IFERROR(_xll.BDP(TICKER,"DEEP_MEASURE_PERIOD_BROKER_VALUE","DEEP_MEASURE_ID_OVERRIDE",$C205,"DEEP_BROKER_ID_OVERRIDE",$F$7,"DEEP_PERIOD_OVERRIDE",Z$11)*1,"")))</f>
        <v/>
      </c>
      <c r="AA205" s="17" t="str">
        <f ca="1">IF(ISNA($B205),"",IF($B205="","",IFERROR(_xll.BDP(TICKER,"DEEP_MEASURE_PERIOD_BROKER_VALUE","DEEP_MEASURE_ID_OVERRIDE",$C205,"DEEP_BROKER_ID_OVERRIDE",$F$7,"DEEP_PERIOD_OVERRIDE",AA$11)*1,"")))</f>
        <v/>
      </c>
      <c r="AB205" s="17" t="str">
        <f ca="1">IF(ISNA($B205),"",IF($B205="","",IFERROR(_xll.BDP(TICKER,"DEEP_MEASURE_PERIOD_BROKER_VALUE","DEEP_MEASURE_ID_OVERRIDE",$C205,"DEEP_BROKER_ID_OVERRIDE",$F$7,"DEEP_PERIOD_OVERRIDE",AB$11)*1,"")))</f>
        <v/>
      </c>
      <c r="AC205" s="17" t="str">
        <f ca="1">IF(ISNA($B205),"",IF($B205="","",IFERROR(_xll.BDP(TICKER,"DEEP_MEASURE_PERIOD_BROKER_VALUE","DEEP_MEASURE_ID_OVERRIDE",$C205,"DEEP_BROKER_ID_OVERRIDE",$F$7,"DEEP_PERIOD_OVERRIDE",AC$11)*1,"")))</f>
        <v/>
      </c>
      <c r="AD205" s="17" t="str">
        <f ca="1">IF(ISNA($B205),"",IF($B205="","",IFERROR(_xll.BDP(TICKER,"DEEP_MEASURE_PERIOD_BROKER_VALUE","DEEP_MEASURE_ID_OVERRIDE",$C205,"DEEP_BROKER_ID_OVERRIDE",$F$7,"DEEP_PERIOD_OVERRIDE",AD$11)*1,"")))</f>
        <v/>
      </c>
      <c r="AE205" s="17" t="str">
        <f ca="1">IF(ISNA($B205),"",IF($B205="","",IFERROR(_xll.BDP(TICKER,"DEEP_MEASURE_PERIOD_BROKER_VALUE","DEEP_MEASURE_ID_OVERRIDE",$C205,"DEEP_BROKER_ID_OVERRIDE",$F$7,"DEEP_PERIOD_OVERRIDE",AE$11)*1,"")))</f>
        <v/>
      </c>
      <c r="AF205" s="17" t="str">
        <f ca="1">IF(ISNA($B205),"",IF($B205="","",IFERROR(_xll.BDP(TICKER,"DEEP_MEASURE_PERIOD_BROKER_VALUE","DEEP_MEASURE_ID_OVERRIDE",$C205,"DEEP_BROKER_ID_OVERRIDE",$F$7,"DEEP_PERIOD_OVERRIDE",AF$11)*1,"")))</f>
        <v/>
      </c>
      <c r="AG205" s="17" t="str">
        <f ca="1">IF(ISNA($B205),"",IF($B205="","",IFERROR(_xll.BDP(TICKER,"DEEP_MEASURE_PERIOD_BROKER_VALUE","DEEP_MEASURE_ID_OVERRIDE",$C205,"DEEP_BROKER_ID_OVERRIDE",$F$7,"DEEP_PERIOD_OVERRIDE",AG$11)*1,"")))</f>
        <v/>
      </c>
      <c r="AH205" s="17" t="str">
        <f ca="1">IF(ISNA($B205),"",IF($B205="","",IFERROR(_xll.BDP(TICKER,"DEEP_MEASURE_PERIOD_BROKER_VALUE","DEEP_MEASURE_ID_OVERRIDE",$C205,"DEEP_BROKER_ID_OVERRIDE",$F$7,"DEEP_PERIOD_OVERRIDE",AH$11)*1,"")))</f>
        <v/>
      </c>
      <c r="AI205" s="17" t="str">
        <f ca="1">IF(ISNA($B205),"",IF($B205="","",IFERROR(_xll.BDP(TICKER,"DEEP_MEASURE_PERIOD_BROKER_VALUE","DEEP_MEASURE_ID_OVERRIDE",$C205,"DEEP_BROKER_ID_OVERRIDE",$F$7,"DEEP_PERIOD_OVERRIDE",AI$11)*1,"")))</f>
        <v/>
      </c>
      <c r="AJ205" s="17" t="str">
        <f ca="1">IF(ISNA($B205),"",IF($B205="","",IFERROR(_xll.BDP(TICKER,"DEEP_MEASURE_PERIOD_BROKER_VALUE","DEEP_MEASURE_ID_OVERRIDE",$C205,"DEEP_BROKER_ID_OVERRIDE",$F$7,"DEEP_PERIOD_OVERRIDE",AJ$11)*1,"")))</f>
        <v/>
      </c>
      <c r="AK205" s="17" t="str">
        <f ca="1">IF(ISNA($B205),"",IF($B205="","",IFERROR(_xll.BDP(TICKER,"DEEP_MEASURE_PERIOD_BROKER_VALUE","DEEP_MEASURE_ID_OVERRIDE",$C205,"DEEP_BROKER_ID_OVERRIDE",$F$7,"DEEP_PERIOD_OVERRIDE",AK$11)*1,"")))</f>
        <v/>
      </c>
      <c r="AL205" s="17" t="str">
        <f ca="1">IF(ISNA($B205),"",IF($B205="","",IFERROR(_xll.BDP(TICKER,"DEEP_MEASURE_PERIOD_BROKER_VALUE","DEEP_MEASURE_ID_OVERRIDE",$C205,"DEEP_BROKER_ID_OVERRIDE",$F$7,"DEEP_PERIOD_OVERRIDE",AL$11)*1,"")))</f>
        <v/>
      </c>
      <c r="AM205" s="17" t="str">
        <f ca="1">IF(ISNA($B205),"",IF($B205="","",IFERROR(_xll.BDP(TICKER,"DEEP_MEASURE_PERIOD_BROKER_VALUE","DEEP_MEASURE_ID_OVERRIDE",$C205,"DEEP_BROKER_ID_OVERRIDE",$F$7,"DEEP_PERIOD_OVERRIDE",AM$11)*1,"")))</f>
        <v/>
      </c>
      <c r="AN205" s="17" t="str">
        <f ca="1">IF(ISNA($B205),"",IF($B205="","",IFERROR(_xll.BDP(TICKER,"DEEP_MEASURE_PERIOD_BROKER_VALUE","DEEP_MEASURE_ID_OVERRIDE",$C205,"DEEP_BROKER_ID_OVERRIDE",$F$7,"DEEP_PERIOD_OVERRIDE",AN$11)*1,"")))</f>
        <v/>
      </c>
      <c r="AO205" s="17" t="str">
        <f ca="1">IF(ISNA($B205),"",IF($B205="","",IFERROR(_xll.BDP(TICKER,"DEEP_MEASURE_PERIOD_BROKER_VALUE","DEEP_MEASURE_ID_OVERRIDE",$C205,"DEEP_BROKER_ID_OVERRIDE",$F$7,"DEEP_PERIOD_OVERRIDE",AO$11)*1,"")))</f>
        <v/>
      </c>
      <c r="AP205" s="17" t="str">
        <f ca="1">IF(ISNA($B205),"",IF($B205="","",IFERROR(_xll.BDP(TICKER,"DEEP_MEASURE_PERIOD_BROKER_VALUE","DEEP_MEASURE_ID_OVERRIDE",$C205,"DEEP_BROKER_ID_OVERRIDE",$F$7,"DEEP_PERIOD_OVERRIDE",AP$11)*1,"")))</f>
        <v/>
      </c>
      <c r="AQ205" s="17" t="str">
        <f ca="1">IF(ISNA($B205),"",IF($B205="","",IFERROR(_xll.BDP(TICKER,"DEEP_MEASURE_PERIOD_BROKER_VALUE","DEEP_MEASURE_ID_OVERRIDE",$C205,"DEEP_BROKER_ID_OVERRIDE",$F$7,"DEEP_PERIOD_OVERRIDE",AQ$11)*1,"")))</f>
        <v/>
      </c>
    </row>
    <row r="206" spans="2:43" x14ac:dyDescent="0.25">
      <c r="B206" t="s">
        <v>212</v>
      </c>
      <c r="C206">
        <v>988</v>
      </c>
      <c r="H206" t="str">
        <f t="shared" si="4"/>
        <v>Cash from Financing Activities &gt; Proceeds from Exercise of Stock Options</v>
      </c>
      <c r="I206" s="17" t="str">
        <f ca="1">IF(ISNA($B206),"",IF($B206="","",IFERROR(_xll.BDP(TICKER,"DEEP_MEASURE_PERIOD_BROKER_VALUE","DEEP_MEASURE_ID_OVERRIDE",$C206,"DEEP_BROKER_ID_OVERRIDE",$F$7,"DEEP_PERIOD_OVERRIDE",I$11)*1,"")))</f>
        <v/>
      </c>
      <c r="J206" s="17" t="str">
        <f ca="1">IF(ISNA($B206),"",IF($B206="","",IFERROR(_xll.BDP(TICKER,"DEEP_MEASURE_PERIOD_BROKER_VALUE","DEEP_MEASURE_ID_OVERRIDE",$C206,"DEEP_BROKER_ID_OVERRIDE",$F$7,"DEEP_PERIOD_OVERRIDE",J$11)*1,"")))</f>
        <v/>
      </c>
      <c r="K206" s="17" t="str">
        <f ca="1">IF(ISNA($B206),"",IF($B206="","",IFERROR(_xll.BDP(TICKER,"DEEP_MEASURE_PERIOD_BROKER_VALUE","DEEP_MEASURE_ID_OVERRIDE",$C206,"DEEP_BROKER_ID_OVERRIDE",$F$7,"DEEP_PERIOD_OVERRIDE",K$11)*1,"")))</f>
        <v/>
      </c>
      <c r="L206" s="17" t="str">
        <f ca="1">IF(ISNA($B206),"",IF($B206="","",IFERROR(_xll.BDP(TICKER,"DEEP_MEASURE_PERIOD_BROKER_VALUE","DEEP_MEASURE_ID_OVERRIDE",$C206,"DEEP_BROKER_ID_OVERRIDE",$F$7,"DEEP_PERIOD_OVERRIDE",L$11)*1,"")))</f>
        <v/>
      </c>
      <c r="M206" s="17" t="str">
        <f ca="1">IF(ISNA($B206),"",IF($B206="","",IFERROR(_xll.BDP(TICKER,"DEEP_MEASURE_PERIOD_BROKER_VALUE","DEEP_MEASURE_ID_OVERRIDE",$C206,"DEEP_BROKER_ID_OVERRIDE",$F$7,"DEEP_PERIOD_OVERRIDE",M$11)*1,"")))</f>
        <v/>
      </c>
      <c r="N206" s="17" t="str">
        <f ca="1">IF(ISNA($B206),"",IF($B206="","",IFERROR(_xll.BDP(TICKER,"DEEP_MEASURE_PERIOD_BROKER_VALUE","DEEP_MEASURE_ID_OVERRIDE",$C206,"DEEP_BROKER_ID_OVERRIDE",$F$7,"DEEP_PERIOD_OVERRIDE",N$11)*1,"")))</f>
        <v/>
      </c>
      <c r="O206" s="17" t="str">
        <f ca="1">IF(ISNA($B206),"",IF($B206="","",IFERROR(_xll.BDP(TICKER,"DEEP_MEASURE_PERIOD_BROKER_VALUE","DEEP_MEASURE_ID_OVERRIDE",$C206,"DEEP_BROKER_ID_OVERRIDE",$F$7,"DEEP_PERIOD_OVERRIDE",O$11)*1,"")))</f>
        <v/>
      </c>
      <c r="P206" s="17" t="str">
        <f ca="1">IF(ISNA($B206),"",IF($B206="","",IFERROR(_xll.BDP(TICKER,"DEEP_MEASURE_PERIOD_BROKER_VALUE","DEEP_MEASURE_ID_OVERRIDE",$C206,"DEEP_BROKER_ID_OVERRIDE",$F$7,"DEEP_PERIOD_OVERRIDE",P$11)*1,"")))</f>
        <v/>
      </c>
      <c r="Q206" s="17" t="str">
        <f ca="1">IF(ISNA($B206),"",IF($B206="","",IFERROR(_xll.BDP(TICKER,"DEEP_MEASURE_PERIOD_BROKER_VALUE","DEEP_MEASURE_ID_OVERRIDE",$C206,"DEEP_BROKER_ID_OVERRIDE",$F$7,"DEEP_PERIOD_OVERRIDE",Q$11)*1,"")))</f>
        <v/>
      </c>
      <c r="R206" s="17" t="str">
        <f ca="1">IF(ISNA($B206),"",IF($B206="","",IFERROR(_xll.BDP(TICKER,"DEEP_MEASURE_PERIOD_BROKER_VALUE","DEEP_MEASURE_ID_OVERRIDE",$C206,"DEEP_BROKER_ID_OVERRIDE",$F$7,"DEEP_PERIOD_OVERRIDE",R$11)*1,"")))</f>
        <v/>
      </c>
      <c r="S206" s="17" t="str">
        <f ca="1">IF(ISNA($B206),"",IF($B206="","",IFERROR(_xll.BDP(TICKER,"DEEP_MEASURE_PERIOD_BROKER_VALUE","DEEP_MEASURE_ID_OVERRIDE",$C206,"DEEP_BROKER_ID_OVERRIDE",$F$7,"DEEP_PERIOD_OVERRIDE",S$11)*1,"")))</f>
        <v/>
      </c>
      <c r="T206" s="17" t="str">
        <f ca="1">IF(ISNA($B206),"",IF($B206="","",IFERROR(_xll.BDP(TICKER,"DEEP_MEASURE_PERIOD_BROKER_VALUE","DEEP_MEASURE_ID_OVERRIDE",$C206,"DEEP_BROKER_ID_OVERRIDE",$F$7,"DEEP_PERIOD_OVERRIDE",T$11)*1,"")))</f>
        <v/>
      </c>
      <c r="U206" s="17" t="str">
        <f ca="1">IF(ISNA($B206),"",IF($B206="","",IFERROR(_xll.BDP(TICKER,"DEEP_MEASURE_PERIOD_BROKER_VALUE","DEEP_MEASURE_ID_OVERRIDE",$C206,"DEEP_BROKER_ID_OVERRIDE",$F$7,"DEEP_PERIOD_OVERRIDE",U$11)*1,"")))</f>
        <v/>
      </c>
      <c r="V206" s="17" t="str">
        <f ca="1">IF(ISNA($B206),"",IF($B206="","",IFERROR(_xll.BDP(TICKER,"DEEP_MEASURE_PERIOD_BROKER_VALUE","DEEP_MEASURE_ID_OVERRIDE",$C206,"DEEP_BROKER_ID_OVERRIDE",$F$7,"DEEP_PERIOD_OVERRIDE",V$11)*1,"")))</f>
        <v/>
      </c>
      <c r="W206" s="17" t="str">
        <f ca="1">IF(ISNA($B206),"",IF($B206="","",IFERROR(_xll.BDP(TICKER,"DEEP_MEASURE_PERIOD_BROKER_VALUE","DEEP_MEASURE_ID_OVERRIDE",$C206,"DEEP_BROKER_ID_OVERRIDE",$F$7,"DEEP_PERIOD_OVERRIDE",W$11)*1,"")))</f>
        <v/>
      </c>
      <c r="X206" s="17" t="str">
        <f ca="1">IF(ISNA($B206),"",IF($B206="","",IFERROR(_xll.BDP(TICKER,"DEEP_MEASURE_PERIOD_BROKER_VALUE","DEEP_MEASURE_ID_OVERRIDE",$C206,"DEEP_BROKER_ID_OVERRIDE",$F$7,"DEEP_PERIOD_OVERRIDE",X$11)*1,"")))</f>
        <v/>
      </c>
      <c r="Y206" s="17" t="str">
        <f ca="1">IF(ISNA($B206),"",IF($B206="","",IFERROR(_xll.BDP(TICKER,"DEEP_MEASURE_PERIOD_BROKER_VALUE","DEEP_MEASURE_ID_OVERRIDE",$C206,"DEEP_BROKER_ID_OVERRIDE",$F$7,"DEEP_PERIOD_OVERRIDE",Y$11)*1,"")))</f>
        <v/>
      </c>
      <c r="Z206" s="17" t="str">
        <f ca="1">IF(ISNA($B206),"",IF($B206="","",IFERROR(_xll.BDP(TICKER,"DEEP_MEASURE_PERIOD_BROKER_VALUE","DEEP_MEASURE_ID_OVERRIDE",$C206,"DEEP_BROKER_ID_OVERRIDE",$F$7,"DEEP_PERIOD_OVERRIDE",Z$11)*1,"")))</f>
        <v/>
      </c>
      <c r="AA206" s="17" t="str">
        <f ca="1">IF(ISNA($B206),"",IF($B206="","",IFERROR(_xll.BDP(TICKER,"DEEP_MEASURE_PERIOD_BROKER_VALUE","DEEP_MEASURE_ID_OVERRIDE",$C206,"DEEP_BROKER_ID_OVERRIDE",$F$7,"DEEP_PERIOD_OVERRIDE",AA$11)*1,"")))</f>
        <v/>
      </c>
      <c r="AB206" s="17" t="str">
        <f ca="1">IF(ISNA($B206),"",IF($B206="","",IFERROR(_xll.BDP(TICKER,"DEEP_MEASURE_PERIOD_BROKER_VALUE","DEEP_MEASURE_ID_OVERRIDE",$C206,"DEEP_BROKER_ID_OVERRIDE",$F$7,"DEEP_PERIOD_OVERRIDE",AB$11)*1,"")))</f>
        <v/>
      </c>
      <c r="AC206" s="17" t="str">
        <f ca="1">IF(ISNA($B206),"",IF($B206="","",IFERROR(_xll.BDP(TICKER,"DEEP_MEASURE_PERIOD_BROKER_VALUE","DEEP_MEASURE_ID_OVERRIDE",$C206,"DEEP_BROKER_ID_OVERRIDE",$F$7,"DEEP_PERIOD_OVERRIDE",AC$11)*1,"")))</f>
        <v/>
      </c>
      <c r="AD206" s="17" t="str">
        <f ca="1">IF(ISNA($B206),"",IF($B206="","",IFERROR(_xll.BDP(TICKER,"DEEP_MEASURE_PERIOD_BROKER_VALUE","DEEP_MEASURE_ID_OVERRIDE",$C206,"DEEP_BROKER_ID_OVERRIDE",$F$7,"DEEP_PERIOD_OVERRIDE",AD$11)*1,"")))</f>
        <v/>
      </c>
      <c r="AE206" s="17" t="str">
        <f ca="1">IF(ISNA($B206),"",IF($B206="","",IFERROR(_xll.BDP(TICKER,"DEEP_MEASURE_PERIOD_BROKER_VALUE","DEEP_MEASURE_ID_OVERRIDE",$C206,"DEEP_BROKER_ID_OVERRIDE",$F$7,"DEEP_PERIOD_OVERRIDE",AE$11)*1,"")))</f>
        <v/>
      </c>
      <c r="AF206" s="17" t="str">
        <f ca="1">IF(ISNA($B206),"",IF($B206="","",IFERROR(_xll.BDP(TICKER,"DEEP_MEASURE_PERIOD_BROKER_VALUE","DEEP_MEASURE_ID_OVERRIDE",$C206,"DEEP_BROKER_ID_OVERRIDE",$F$7,"DEEP_PERIOD_OVERRIDE",AF$11)*1,"")))</f>
        <v/>
      </c>
      <c r="AG206" s="17" t="str">
        <f ca="1">IF(ISNA($B206),"",IF($B206="","",IFERROR(_xll.BDP(TICKER,"DEEP_MEASURE_PERIOD_BROKER_VALUE","DEEP_MEASURE_ID_OVERRIDE",$C206,"DEEP_BROKER_ID_OVERRIDE",$F$7,"DEEP_PERIOD_OVERRIDE",AG$11)*1,"")))</f>
        <v/>
      </c>
      <c r="AH206" s="17" t="str">
        <f ca="1">IF(ISNA($B206),"",IF($B206="","",IFERROR(_xll.BDP(TICKER,"DEEP_MEASURE_PERIOD_BROKER_VALUE","DEEP_MEASURE_ID_OVERRIDE",$C206,"DEEP_BROKER_ID_OVERRIDE",$F$7,"DEEP_PERIOD_OVERRIDE",AH$11)*1,"")))</f>
        <v/>
      </c>
      <c r="AI206" s="17" t="str">
        <f ca="1">IF(ISNA($B206),"",IF($B206="","",IFERROR(_xll.BDP(TICKER,"DEEP_MEASURE_PERIOD_BROKER_VALUE","DEEP_MEASURE_ID_OVERRIDE",$C206,"DEEP_BROKER_ID_OVERRIDE",$F$7,"DEEP_PERIOD_OVERRIDE",AI$11)*1,"")))</f>
        <v/>
      </c>
      <c r="AJ206" s="17" t="str">
        <f ca="1">IF(ISNA($B206),"",IF($B206="","",IFERROR(_xll.BDP(TICKER,"DEEP_MEASURE_PERIOD_BROKER_VALUE","DEEP_MEASURE_ID_OVERRIDE",$C206,"DEEP_BROKER_ID_OVERRIDE",$F$7,"DEEP_PERIOD_OVERRIDE",AJ$11)*1,"")))</f>
        <v/>
      </c>
      <c r="AK206" s="17" t="str">
        <f ca="1">IF(ISNA($B206),"",IF($B206="","",IFERROR(_xll.BDP(TICKER,"DEEP_MEASURE_PERIOD_BROKER_VALUE","DEEP_MEASURE_ID_OVERRIDE",$C206,"DEEP_BROKER_ID_OVERRIDE",$F$7,"DEEP_PERIOD_OVERRIDE",AK$11)*1,"")))</f>
        <v/>
      </c>
      <c r="AL206" s="17" t="str">
        <f ca="1">IF(ISNA($B206),"",IF($B206="","",IFERROR(_xll.BDP(TICKER,"DEEP_MEASURE_PERIOD_BROKER_VALUE","DEEP_MEASURE_ID_OVERRIDE",$C206,"DEEP_BROKER_ID_OVERRIDE",$F$7,"DEEP_PERIOD_OVERRIDE",AL$11)*1,"")))</f>
        <v/>
      </c>
      <c r="AM206" s="17" t="str">
        <f ca="1">IF(ISNA($B206),"",IF($B206="","",IFERROR(_xll.BDP(TICKER,"DEEP_MEASURE_PERIOD_BROKER_VALUE","DEEP_MEASURE_ID_OVERRIDE",$C206,"DEEP_BROKER_ID_OVERRIDE",$F$7,"DEEP_PERIOD_OVERRIDE",AM$11)*1,"")))</f>
        <v/>
      </c>
      <c r="AN206" s="17" t="str">
        <f ca="1">IF(ISNA($B206),"",IF($B206="","",IFERROR(_xll.BDP(TICKER,"DEEP_MEASURE_PERIOD_BROKER_VALUE","DEEP_MEASURE_ID_OVERRIDE",$C206,"DEEP_BROKER_ID_OVERRIDE",$F$7,"DEEP_PERIOD_OVERRIDE",AN$11)*1,"")))</f>
        <v/>
      </c>
      <c r="AO206" s="17" t="str">
        <f ca="1">IF(ISNA($B206),"",IF($B206="","",IFERROR(_xll.BDP(TICKER,"DEEP_MEASURE_PERIOD_BROKER_VALUE","DEEP_MEASURE_ID_OVERRIDE",$C206,"DEEP_BROKER_ID_OVERRIDE",$F$7,"DEEP_PERIOD_OVERRIDE",AO$11)*1,"")))</f>
        <v/>
      </c>
      <c r="AP206" s="17" t="str">
        <f ca="1">IF(ISNA($B206),"",IF($B206="","",IFERROR(_xll.BDP(TICKER,"DEEP_MEASURE_PERIOD_BROKER_VALUE","DEEP_MEASURE_ID_OVERRIDE",$C206,"DEEP_BROKER_ID_OVERRIDE",$F$7,"DEEP_PERIOD_OVERRIDE",AP$11)*1,"")))</f>
        <v/>
      </c>
      <c r="AQ206" s="17" t="str">
        <f ca="1">IF(ISNA($B206),"",IF($B206="","",IFERROR(_xll.BDP(TICKER,"DEEP_MEASURE_PERIOD_BROKER_VALUE","DEEP_MEASURE_ID_OVERRIDE",$C206,"DEEP_BROKER_ID_OVERRIDE",$F$7,"DEEP_PERIOD_OVERRIDE",AQ$11)*1,"")))</f>
        <v/>
      </c>
    </row>
    <row r="207" spans="2:43" x14ac:dyDescent="0.25">
      <c r="B207" t="s">
        <v>213</v>
      </c>
      <c r="C207">
        <v>5681</v>
      </c>
      <c r="H207" t="str">
        <f t="shared" si="4"/>
        <v>Cash from Financing Activities &gt; Purchases of Marketable Securities</v>
      </c>
      <c r="I207" s="17" t="str">
        <f ca="1">IF(ISNA($B207),"",IF($B207="","",IFERROR(_xll.BDP(TICKER,"DEEP_MEASURE_PERIOD_BROKER_VALUE","DEEP_MEASURE_ID_OVERRIDE",$C207,"DEEP_BROKER_ID_OVERRIDE",$F$7,"DEEP_PERIOD_OVERRIDE",I$11)*1,"")))</f>
        <v/>
      </c>
      <c r="J207" s="17" t="str">
        <f ca="1">IF(ISNA($B207),"",IF($B207="","",IFERROR(_xll.BDP(TICKER,"DEEP_MEASURE_PERIOD_BROKER_VALUE","DEEP_MEASURE_ID_OVERRIDE",$C207,"DEEP_BROKER_ID_OVERRIDE",$F$7,"DEEP_PERIOD_OVERRIDE",J$11)*1,"")))</f>
        <v/>
      </c>
      <c r="K207" s="17" t="str">
        <f ca="1">IF(ISNA($B207),"",IF($B207="","",IFERROR(_xll.BDP(TICKER,"DEEP_MEASURE_PERIOD_BROKER_VALUE","DEEP_MEASURE_ID_OVERRIDE",$C207,"DEEP_BROKER_ID_OVERRIDE",$F$7,"DEEP_PERIOD_OVERRIDE",K$11)*1,"")))</f>
        <v/>
      </c>
      <c r="L207" s="17" t="str">
        <f ca="1">IF(ISNA($B207),"",IF($B207="","",IFERROR(_xll.BDP(TICKER,"DEEP_MEASURE_PERIOD_BROKER_VALUE","DEEP_MEASURE_ID_OVERRIDE",$C207,"DEEP_BROKER_ID_OVERRIDE",$F$7,"DEEP_PERIOD_OVERRIDE",L$11)*1,"")))</f>
        <v/>
      </c>
      <c r="M207" s="17" t="str">
        <f ca="1">IF(ISNA($B207),"",IF($B207="","",IFERROR(_xll.BDP(TICKER,"DEEP_MEASURE_PERIOD_BROKER_VALUE","DEEP_MEASURE_ID_OVERRIDE",$C207,"DEEP_BROKER_ID_OVERRIDE",$F$7,"DEEP_PERIOD_OVERRIDE",M$11)*1,"")))</f>
        <v/>
      </c>
      <c r="N207" s="17" t="str">
        <f ca="1">IF(ISNA($B207),"",IF($B207="","",IFERROR(_xll.BDP(TICKER,"DEEP_MEASURE_PERIOD_BROKER_VALUE","DEEP_MEASURE_ID_OVERRIDE",$C207,"DEEP_BROKER_ID_OVERRIDE",$F$7,"DEEP_PERIOD_OVERRIDE",N$11)*1,"")))</f>
        <v/>
      </c>
      <c r="O207" s="17" t="str">
        <f ca="1">IF(ISNA($B207),"",IF($B207="","",IFERROR(_xll.BDP(TICKER,"DEEP_MEASURE_PERIOD_BROKER_VALUE","DEEP_MEASURE_ID_OVERRIDE",$C207,"DEEP_BROKER_ID_OVERRIDE",$F$7,"DEEP_PERIOD_OVERRIDE",O$11)*1,"")))</f>
        <v/>
      </c>
      <c r="P207" s="17" t="str">
        <f ca="1">IF(ISNA($B207),"",IF($B207="","",IFERROR(_xll.BDP(TICKER,"DEEP_MEASURE_PERIOD_BROKER_VALUE","DEEP_MEASURE_ID_OVERRIDE",$C207,"DEEP_BROKER_ID_OVERRIDE",$F$7,"DEEP_PERIOD_OVERRIDE",P$11)*1,"")))</f>
        <v/>
      </c>
      <c r="Q207" s="17" t="str">
        <f ca="1">IF(ISNA($B207),"",IF($B207="","",IFERROR(_xll.BDP(TICKER,"DEEP_MEASURE_PERIOD_BROKER_VALUE","DEEP_MEASURE_ID_OVERRIDE",$C207,"DEEP_BROKER_ID_OVERRIDE",$F$7,"DEEP_PERIOD_OVERRIDE",Q$11)*1,"")))</f>
        <v/>
      </c>
      <c r="R207" s="17" t="str">
        <f ca="1">IF(ISNA($B207),"",IF($B207="","",IFERROR(_xll.BDP(TICKER,"DEEP_MEASURE_PERIOD_BROKER_VALUE","DEEP_MEASURE_ID_OVERRIDE",$C207,"DEEP_BROKER_ID_OVERRIDE",$F$7,"DEEP_PERIOD_OVERRIDE",R$11)*1,"")))</f>
        <v/>
      </c>
      <c r="S207" s="17" t="str">
        <f ca="1">IF(ISNA($B207),"",IF($B207="","",IFERROR(_xll.BDP(TICKER,"DEEP_MEASURE_PERIOD_BROKER_VALUE","DEEP_MEASURE_ID_OVERRIDE",$C207,"DEEP_BROKER_ID_OVERRIDE",$F$7,"DEEP_PERIOD_OVERRIDE",S$11)*1,"")))</f>
        <v/>
      </c>
      <c r="T207" s="17" t="str">
        <f ca="1">IF(ISNA($B207),"",IF($B207="","",IFERROR(_xll.BDP(TICKER,"DEEP_MEASURE_PERIOD_BROKER_VALUE","DEEP_MEASURE_ID_OVERRIDE",$C207,"DEEP_BROKER_ID_OVERRIDE",$F$7,"DEEP_PERIOD_OVERRIDE",T$11)*1,"")))</f>
        <v/>
      </c>
      <c r="U207" s="17" t="str">
        <f ca="1">IF(ISNA($B207),"",IF($B207="","",IFERROR(_xll.BDP(TICKER,"DEEP_MEASURE_PERIOD_BROKER_VALUE","DEEP_MEASURE_ID_OVERRIDE",$C207,"DEEP_BROKER_ID_OVERRIDE",$F$7,"DEEP_PERIOD_OVERRIDE",U$11)*1,"")))</f>
        <v/>
      </c>
      <c r="V207" s="17" t="str">
        <f ca="1">IF(ISNA($B207),"",IF($B207="","",IFERROR(_xll.BDP(TICKER,"DEEP_MEASURE_PERIOD_BROKER_VALUE","DEEP_MEASURE_ID_OVERRIDE",$C207,"DEEP_BROKER_ID_OVERRIDE",$F$7,"DEEP_PERIOD_OVERRIDE",V$11)*1,"")))</f>
        <v/>
      </c>
      <c r="W207" s="17" t="str">
        <f ca="1">IF(ISNA($B207),"",IF($B207="","",IFERROR(_xll.BDP(TICKER,"DEEP_MEASURE_PERIOD_BROKER_VALUE","DEEP_MEASURE_ID_OVERRIDE",$C207,"DEEP_BROKER_ID_OVERRIDE",$F$7,"DEEP_PERIOD_OVERRIDE",W$11)*1,"")))</f>
        <v/>
      </c>
      <c r="X207" s="17" t="str">
        <f ca="1">IF(ISNA($B207),"",IF($B207="","",IFERROR(_xll.BDP(TICKER,"DEEP_MEASURE_PERIOD_BROKER_VALUE","DEEP_MEASURE_ID_OVERRIDE",$C207,"DEEP_BROKER_ID_OVERRIDE",$F$7,"DEEP_PERIOD_OVERRIDE",X$11)*1,"")))</f>
        <v/>
      </c>
      <c r="Y207" s="17" t="str">
        <f ca="1">IF(ISNA($B207),"",IF($B207="","",IFERROR(_xll.BDP(TICKER,"DEEP_MEASURE_PERIOD_BROKER_VALUE","DEEP_MEASURE_ID_OVERRIDE",$C207,"DEEP_BROKER_ID_OVERRIDE",$F$7,"DEEP_PERIOD_OVERRIDE",Y$11)*1,"")))</f>
        <v/>
      </c>
      <c r="Z207" s="17" t="str">
        <f ca="1">IF(ISNA($B207),"",IF($B207="","",IFERROR(_xll.BDP(TICKER,"DEEP_MEASURE_PERIOD_BROKER_VALUE","DEEP_MEASURE_ID_OVERRIDE",$C207,"DEEP_BROKER_ID_OVERRIDE",$F$7,"DEEP_PERIOD_OVERRIDE",Z$11)*1,"")))</f>
        <v/>
      </c>
      <c r="AA207" s="17" t="str">
        <f ca="1">IF(ISNA($B207),"",IF($B207="","",IFERROR(_xll.BDP(TICKER,"DEEP_MEASURE_PERIOD_BROKER_VALUE","DEEP_MEASURE_ID_OVERRIDE",$C207,"DEEP_BROKER_ID_OVERRIDE",$F$7,"DEEP_PERIOD_OVERRIDE",AA$11)*1,"")))</f>
        <v/>
      </c>
      <c r="AB207" s="17" t="str">
        <f ca="1">IF(ISNA($B207),"",IF($B207="","",IFERROR(_xll.BDP(TICKER,"DEEP_MEASURE_PERIOD_BROKER_VALUE","DEEP_MEASURE_ID_OVERRIDE",$C207,"DEEP_BROKER_ID_OVERRIDE",$F$7,"DEEP_PERIOD_OVERRIDE",AB$11)*1,"")))</f>
        <v/>
      </c>
      <c r="AC207" s="17" t="str">
        <f ca="1">IF(ISNA($B207),"",IF($B207="","",IFERROR(_xll.BDP(TICKER,"DEEP_MEASURE_PERIOD_BROKER_VALUE","DEEP_MEASURE_ID_OVERRIDE",$C207,"DEEP_BROKER_ID_OVERRIDE",$F$7,"DEEP_PERIOD_OVERRIDE",AC$11)*1,"")))</f>
        <v/>
      </c>
      <c r="AD207" s="17" t="str">
        <f ca="1">IF(ISNA($B207),"",IF($B207="","",IFERROR(_xll.BDP(TICKER,"DEEP_MEASURE_PERIOD_BROKER_VALUE","DEEP_MEASURE_ID_OVERRIDE",$C207,"DEEP_BROKER_ID_OVERRIDE",$F$7,"DEEP_PERIOD_OVERRIDE",AD$11)*1,"")))</f>
        <v/>
      </c>
      <c r="AE207" s="17" t="str">
        <f ca="1">IF(ISNA($B207),"",IF($B207="","",IFERROR(_xll.BDP(TICKER,"DEEP_MEASURE_PERIOD_BROKER_VALUE","DEEP_MEASURE_ID_OVERRIDE",$C207,"DEEP_BROKER_ID_OVERRIDE",$F$7,"DEEP_PERIOD_OVERRIDE",AE$11)*1,"")))</f>
        <v/>
      </c>
      <c r="AF207" s="17" t="str">
        <f ca="1">IF(ISNA($B207),"",IF($B207="","",IFERROR(_xll.BDP(TICKER,"DEEP_MEASURE_PERIOD_BROKER_VALUE","DEEP_MEASURE_ID_OVERRIDE",$C207,"DEEP_BROKER_ID_OVERRIDE",$F$7,"DEEP_PERIOD_OVERRIDE",AF$11)*1,"")))</f>
        <v/>
      </c>
      <c r="AG207" s="17" t="str">
        <f ca="1">IF(ISNA($B207),"",IF($B207="","",IFERROR(_xll.BDP(TICKER,"DEEP_MEASURE_PERIOD_BROKER_VALUE","DEEP_MEASURE_ID_OVERRIDE",$C207,"DEEP_BROKER_ID_OVERRIDE",$F$7,"DEEP_PERIOD_OVERRIDE",AG$11)*1,"")))</f>
        <v/>
      </c>
      <c r="AH207" s="17" t="str">
        <f ca="1">IF(ISNA($B207),"",IF($B207="","",IFERROR(_xll.BDP(TICKER,"DEEP_MEASURE_PERIOD_BROKER_VALUE","DEEP_MEASURE_ID_OVERRIDE",$C207,"DEEP_BROKER_ID_OVERRIDE",$F$7,"DEEP_PERIOD_OVERRIDE",AH$11)*1,"")))</f>
        <v/>
      </c>
      <c r="AI207" s="17" t="str">
        <f ca="1">IF(ISNA($B207),"",IF($B207="","",IFERROR(_xll.BDP(TICKER,"DEEP_MEASURE_PERIOD_BROKER_VALUE","DEEP_MEASURE_ID_OVERRIDE",$C207,"DEEP_BROKER_ID_OVERRIDE",$F$7,"DEEP_PERIOD_OVERRIDE",AI$11)*1,"")))</f>
        <v/>
      </c>
      <c r="AJ207" s="17" t="str">
        <f ca="1">IF(ISNA($B207),"",IF($B207="","",IFERROR(_xll.BDP(TICKER,"DEEP_MEASURE_PERIOD_BROKER_VALUE","DEEP_MEASURE_ID_OVERRIDE",$C207,"DEEP_BROKER_ID_OVERRIDE",$F$7,"DEEP_PERIOD_OVERRIDE",AJ$11)*1,"")))</f>
        <v/>
      </c>
      <c r="AK207" s="17" t="str">
        <f ca="1">IF(ISNA($B207),"",IF($B207="","",IFERROR(_xll.BDP(TICKER,"DEEP_MEASURE_PERIOD_BROKER_VALUE","DEEP_MEASURE_ID_OVERRIDE",$C207,"DEEP_BROKER_ID_OVERRIDE",$F$7,"DEEP_PERIOD_OVERRIDE",AK$11)*1,"")))</f>
        <v/>
      </c>
      <c r="AL207" s="17" t="str">
        <f ca="1">IF(ISNA($B207),"",IF($B207="","",IFERROR(_xll.BDP(TICKER,"DEEP_MEASURE_PERIOD_BROKER_VALUE","DEEP_MEASURE_ID_OVERRIDE",$C207,"DEEP_BROKER_ID_OVERRIDE",$F$7,"DEEP_PERIOD_OVERRIDE",AL$11)*1,"")))</f>
        <v/>
      </c>
      <c r="AM207" s="17" t="str">
        <f ca="1">IF(ISNA($B207),"",IF($B207="","",IFERROR(_xll.BDP(TICKER,"DEEP_MEASURE_PERIOD_BROKER_VALUE","DEEP_MEASURE_ID_OVERRIDE",$C207,"DEEP_BROKER_ID_OVERRIDE",$F$7,"DEEP_PERIOD_OVERRIDE",AM$11)*1,"")))</f>
        <v/>
      </c>
      <c r="AN207" s="17" t="str">
        <f ca="1">IF(ISNA($B207),"",IF($B207="","",IFERROR(_xll.BDP(TICKER,"DEEP_MEASURE_PERIOD_BROKER_VALUE","DEEP_MEASURE_ID_OVERRIDE",$C207,"DEEP_BROKER_ID_OVERRIDE",$F$7,"DEEP_PERIOD_OVERRIDE",AN$11)*1,"")))</f>
        <v/>
      </c>
      <c r="AO207" s="17" t="str">
        <f ca="1">IF(ISNA($B207),"",IF($B207="","",IFERROR(_xll.BDP(TICKER,"DEEP_MEASURE_PERIOD_BROKER_VALUE","DEEP_MEASURE_ID_OVERRIDE",$C207,"DEEP_BROKER_ID_OVERRIDE",$F$7,"DEEP_PERIOD_OVERRIDE",AO$11)*1,"")))</f>
        <v/>
      </c>
      <c r="AP207" s="17" t="str">
        <f ca="1">IF(ISNA($B207),"",IF($B207="","",IFERROR(_xll.BDP(TICKER,"DEEP_MEASURE_PERIOD_BROKER_VALUE","DEEP_MEASURE_ID_OVERRIDE",$C207,"DEEP_BROKER_ID_OVERRIDE",$F$7,"DEEP_PERIOD_OVERRIDE",AP$11)*1,"")))</f>
        <v/>
      </c>
      <c r="AQ207" s="17" t="str">
        <f ca="1">IF(ISNA($B207),"",IF($B207="","",IFERROR(_xll.BDP(TICKER,"DEEP_MEASURE_PERIOD_BROKER_VALUE","DEEP_MEASURE_ID_OVERRIDE",$C207,"DEEP_BROKER_ID_OVERRIDE",$F$7,"DEEP_PERIOD_OVERRIDE",AQ$11)*1,"")))</f>
        <v/>
      </c>
    </row>
    <row r="208" spans="2:43" x14ac:dyDescent="0.25">
      <c r="B208" t="s">
        <v>214</v>
      </c>
      <c r="C208">
        <v>407</v>
      </c>
      <c r="H208" t="str">
        <f t="shared" si="4"/>
        <v>Cash from Financing Activities &gt; Payment of Withholding Taxes on Net Share Settlements of Equity Awards</v>
      </c>
      <c r="I208" s="17" t="str">
        <f ca="1">IF(ISNA($B208),"",IF($B208="","",IFERROR(_xll.BDP(TICKER,"DEEP_MEASURE_PERIOD_BROKER_VALUE","DEEP_MEASURE_ID_OVERRIDE",$C208,"DEEP_BROKER_ID_OVERRIDE",$F$7,"DEEP_PERIOD_OVERRIDE",I$11)*1,"")))</f>
        <v/>
      </c>
      <c r="J208" s="17" t="str">
        <f ca="1">IF(ISNA($B208),"",IF($B208="","",IFERROR(_xll.BDP(TICKER,"DEEP_MEASURE_PERIOD_BROKER_VALUE","DEEP_MEASURE_ID_OVERRIDE",$C208,"DEEP_BROKER_ID_OVERRIDE",$F$7,"DEEP_PERIOD_OVERRIDE",J$11)*1,"")))</f>
        <v/>
      </c>
      <c r="K208" s="17" t="str">
        <f ca="1">IF(ISNA($B208),"",IF($B208="","",IFERROR(_xll.BDP(TICKER,"DEEP_MEASURE_PERIOD_BROKER_VALUE","DEEP_MEASURE_ID_OVERRIDE",$C208,"DEEP_BROKER_ID_OVERRIDE",$F$7,"DEEP_PERIOD_OVERRIDE",K$11)*1,"")))</f>
        <v/>
      </c>
      <c r="L208" s="17" t="str">
        <f ca="1">IF(ISNA($B208),"",IF($B208="","",IFERROR(_xll.BDP(TICKER,"DEEP_MEASURE_PERIOD_BROKER_VALUE","DEEP_MEASURE_ID_OVERRIDE",$C208,"DEEP_BROKER_ID_OVERRIDE",$F$7,"DEEP_PERIOD_OVERRIDE",L$11)*1,"")))</f>
        <v/>
      </c>
      <c r="M208" s="17" t="str">
        <f ca="1">IF(ISNA($B208),"",IF($B208="","",IFERROR(_xll.BDP(TICKER,"DEEP_MEASURE_PERIOD_BROKER_VALUE","DEEP_MEASURE_ID_OVERRIDE",$C208,"DEEP_BROKER_ID_OVERRIDE",$F$7,"DEEP_PERIOD_OVERRIDE",M$11)*1,"")))</f>
        <v/>
      </c>
      <c r="N208" s="17" t="str">
        <f ca="1">IF(ISNA($B208),"",IF($B208="","",IFERROR(_xll.BDP(TICKER,"DEEP_MEASURE_PERIOD_BROKER_VALUE","DEEP_MEASURE_ID_OVERRIDE",$C208,"DEEP_BROKER_ID_OVERRIDE",$F$7,"DEEP_PERIOD_OVERRIDE",N$11)*1,"")))</f>
        <v/>
      </c>
      <c r="O208" s="17" t="str">
        <f ca="1">IF(ISNA($B208),"",IF($B208="","",IFERROR(_xll.BDP(TICKER,"DEEP_MEASURE_PERIOD_BROKER_VALUE","DEEP_MEASURE_ID_OVERRIDE",$C208,"DEEP_BROKER_ID_OVERRIDE",$F$7,"DEEP_PERIOD_OVERRIDE",O$11)*1,"")))</f>
        <v/>
      </c>
      <c r="P208" s="17" t="str">
        <f ca="1">IF(ISNA($B208),"",IF($B208="","",IFERROR(_xll.BDP(TICKER,"DEEP_MEASURE_PERIOD_BROKER_VALUE","DEEP_MEASURE_ID_OVERRIDE",$C208,"DEEP_BROKER_ID_OVERRIDE",$F$7,"DEEP_PERIOD_OVERRIDE",P$11)*1,"")))</f>
        <v/>
      </c>
      <c r="Q208" s="17" t="str">
        <f ca="1">IF(ISNA($B208),"",IF($B208="","",IFERROR(_xll.BDP(TICKER,"DEEP_MEASURE_PERIOD_BROKER_VALUE","DEEP_MEASURE_ID_OVERRIDE",$C208,"DEEP_BROKER_ID_OVERRIDE",$F$7,"DEEP_PERIOD_OVERRIDE",Q$11)*1,"")))</f>
        <v/>
      </c>
      <c r="R208" s="17" t="str">
        <f ca="1">IF(ISNA($B208),"",IF($B208="","",IFERROR(_xll.BDP(TICKER,"DEEP_MEASURE_PERIOD_BROKER_VALUE","DEEP_MEASURE_ID_OVERRIDE",$C208,"DEEP_BROKER_ID_OVERRIDE",$F$7,"DEEP_PERIOD_OVERRIDE",R$11)*1,"")))</f>
        <v/>
      </c>
      <c r="S208" s="17" t="str">
        <f ca="1">IF(ISNA($B208),"",IF($B208="","",IFERROR(_xll.BDP(TICKER,"DEEP_MEASURE_PERIOD_BROKER_VALUE","DEEP_MEASURE_ID_OVERRIDE",$C208,"DEEP_BROKER_ID_OVERRIDE",$F$7,"DEEP_PERIOD_OVERRIDE",S$11)*1,"")))</f>
        <v/>
      </c>
      <c r="T208" s="17" t="str">
        <f ca="1">IF(ISNA($B208),"",IF($B208="","",IFERROR(_xll.BDP(TICKER,"DEEP_MEASURE_PERIOD_BROKER_VALUE","DEEP_MEASURE_ID_OVERRIDE",$C208,"DEEP_BROKER_ID_OVERRIDE",$F$7,"DEEP_PERIOD_OVERRIDE",T$11)*1,"")))</f>
        <v/>
      </c>
      <c r="U208" s="17" t="str">
        <f ca="1">IF(ISNA($B208),"",IF($B208="","",IFERROR(_xll.BDP(TICKER,"DEEP_MEASURE_PERIOD_BROKER_VALUE","DEEP_MEASURE_ID_OVERRIDE",$C208,"DEEP_BROKER_ID_OVERRIDE",$F$7,"DEEP_PERIOD_OVERRIDE",U$11)*1,"")))</f>
        <v/>
      </c>
      <c r="V208" s="17" t="str">
        <f ca="1">IF(ISNA($B208),"",IF($B208="","",IFERROR(_xll.BDP(TICKER,"DEEP_MEASURE_PERIOD_BROKER_VALUE","DEEP_MEASURE_ID_OVERRIDE",$C208,"DEEP_BROKER_ID_OVERRIDE",$F$7,"DEEP_PERIOD_OVERRIDE",V$11)*1,"")))</f>
        <v/>
      </c>
      <c r="W208" s="17" t="str">
        <f ca="1">IF(ISNA($B208),"",IF($B208="","",IFERROR(_xll.BDP(TICKER,"DEEP_MEASURE_PERIOD_BROKER_VALUE","DEEP_MEASURE_ID_OVERRIDE",$C208,"DEEP_BROKER_ID_OVERRIDE",$F$7,"DEEP_PERIOD_OVERRIDE",W$11)*1,"")))</f>
        <v/>
      </c>
      <c r="X208" s="17" t="str">
        <f ca="1">IF(ISNA($B208),"",IF($B208="","",IFERROR(_xll.BDP(TICKER,"DEEP_MEASURE_PERIOD_BROKER_VALUE","DEEP_MEASURE_ID_OVERRIDE",$C208,"DEEP_BROKER_ID_OVERRIDE",$F$7,"DEEP_PERIOD_OVERRIDE",X$11)*1,"")))</f>
        <v/>
      </c>
      <c r="Y208" s="17" t="str">
        <f ca="1">IF(ISNA($B208),"",IF($B208="","",IFERROR(_xll.BDP(TICKER,"DEEP_MEASURE_PERIOD_BROKER_VALUE","DEEP_MEASURE_ID_OVERRIDE",$C208,"DEEP_BROKER_ID_OVERRIDE",$F$7,"DEEP_PERIOD_OVERRIDE",Y$11)*1,"")))</f>
        <v/>
      </c>
      <c r="Z208" s="17" t="str">
        <f ca="1">IF(ISNA($B208),"",IF($B208="","",IFERROR(_xll.BDP(TICKER,"DEEP_MEASURE_PERIOD_BROKER_VALUE","DEEP_MEASURE_ID_OVERRIDE",$C208,"DEEP_BROKER_ID_OVERRIDE",$F$7,"DEEP_PERIOD_OVERRIDE",Z$11)*1,"")))</f>
        <v/>
      </c>
      <c r="AA208" s="17" t="str">
        <f ca="1">IF(ISNA($B208),"",IF($B208="","",IFERROR(_xll.BDP(TICKER,"DEEP_MEASURE_PERIOD_BROKER_VALUE","DEEP_MEASURE_ID_OVERRIDE",$C208,"DEEP_BROKER_ID_OVERRIDE",$F$7,"DEEP_PERIOD_OVERRIDE",AA$11)*1,"")))</f>
        <v/>
      </c>
      <c r="AB208" s="17" t="str">
        <f ca="1">IF(ISNA($B208),"",IF($B208="","",IFERROR(_xll.BDP(TICKER,"DEEP_MEASURE_PERIOD_BROKER_VALUE","DEEP_MEASURE_ID_OVERRIDE",$C208,"DEEP_BROKER_ID_OVERRIDE",$F$7,"DEEP_PERIOD_OVERRIDE",AB$11)*1,"")))</f>
        <v/>
      </c>
      <c r="AC208" s="17" t="str">
        <f ca="1">IF(ISNA($B208),"",IF($B208="","",IFERROR(_xll.BDP(TICKER,"DEEP_MEASURE_PERIOD_BROKER_VALUE","DEEP_MEASURE_ID_OVERRIDE",$C208,"DEEP_BROKER_ID_OVERRIDE",$F$7,"DEEP_PERIOD_OVERRIDE",AC$11)*1,"")))</f>
        <v/>
      </c>
      <c r="AD208" s="17" t="str">
        <f ca="1">IF(ISNA($B208),"",IF($B208="","",IFERROR(_xll.BDP(TICKER,"DEEP_MEASURE_PERIOD_BROKER_VALUE","DEEP_MEASURE_ID_OVERRIDE",$C208,"DEEP_BROKER_ID_OVERRIDE",$F$7,"DEEP_PERIOD_OVERRIDE",AD$11)*1,"")))</f>
        <v/>
      </c>
      <c r="AE208" s="17" t="str">
        <f ca="1">IF(ISNA($B208),"",IF($B208="","",IFERROR(_xll.BDP(TICKER,"DEEP_MEASURE_PERIOD_BROKER_VALUE","DEEP_MEASURE_ID_OVERRIDE",$C208,"DEEP_BROKER_ID_OVERRIDE",$F$7,"DEEP_PERIOD_OVERRIDE",AE$11)*1,"")))</f>
        <v/>
      </c>
      <c r="AF208" s="17" t="str">
        <f ca="1">IF(ISNA($B208),"",IF($B208="","",IFERROR(_xll.BDP(TICKER,"DEEP_MEASURE_PERIOD_BROKER_VALUE","DEEP_MEASURE_ID_OVERRIDE",$C208,"DEEP_BROKER_ID_OVERRIDE",$F$7,"DEEP_PERIOD_OVERRIDE",AF$11)*1,"")))</f>
        <v/>
      </c>
      <c r="AG208" s="17" t="str">
        <f ca="1">IF(ISNA($B208),"",IF($B208="","",IFERROR(_xll.BDP(TICKER,"DEEP_MEASURE_PERIOD_BROKER_VALUE","DEEP_MEASURE_ID_OVERRIDE",$C208,"DEEP_BROKER_ID_OVERRIDE",$F$7,"DEEP_PERIOD_OVERRIDE",AG$11)*1,"")))</f>
        <v/>
      </c>
      <c r="AH208" s="17" t="str">
        <f ca="1">IF(ISNA($B208),"",IF($B208="","",IFERROR(_xll.BDP(TICKER,"DEEP_MEASURE_PERIOD_BROKER_VALUE","DEEP_MEASURE_ID_OVERRIDE",$C208,"DEEP_BROKER_ID_OVERRIDE",$F$7,"DEEP_PERIOD_OVERRIDE",AH$11)*1,"")))</f>
        <v/>
      </c>
      <c r="AI208" s="17" t="str">
        <f ca="1">IF(ISNA($B208),"",IF($B208="","",IFERROR(_xll.BDP(TICKER,"DEEP_MEASURE_PERIOD_BROKER_VALUE","DEEP_MEASURE_ID_OVERRIDE",$C208,"DEEP_BROKER_ID_OVERRIDE",$F$7,"DEEP_PERIOD_OVERRIDE",AI$11)*1,"")))</f>
        <v/>
      </c>
      <c r="AJ208" s="17" t="str">
        <f ca="1">IF(ISNA($B208),"",IF($B208="","",IFERROR(_xll.BDP(TICKER,"DEEP_MEASURE_PERIOD_BROKER_VALUE","DEEP_MEASURE_ID_OVERRIDE",$C208,"DEEP_BROKER_ID_OVERRIDE",$F$7,"DEEP_PERIOD_OVERRIDE",AJ$11)*1,"")))</f>
        <v/>
      </c>
      <c r="AK208" s="17" t="str">
        <f ca="1">IF(ISNA($B208),"",IF($B208="","",IFERROR(_xll.BDP(TICKER,"DEEP_MEASURE_PERIOD_BROKER_VALUE","DEEP_MEASURE_ID_OVERRIDE",$C208,"DEEP_BROKER_ID_OVERRIDE",$F$7,"DEEP_PERIOD_OVERRIDE",AK$11)*1,"")))</f>
        <v/>
      </c>
      <c r="AL208" s="17" t="str">
        <f ca="1">IF(ISNA($B208),"",IF($B208="","",IFERROR(_xll.BDP(TICKER,"DEEP_MEASURE_PERIOD_BROKER_VALUE","DEEP_MEASURE_ID_OVERRIDE",$C208,"DEEP_BROKER_ID_OVERRIDE",$F$7,"DEEP_PERIOD_OVERRIDE",AL$11)*1,"")))</f>
        <v/>
      </c>
      <c r="AM208" s="17" t="str">
        <f ca="1">IF(ISNA($B208),"",IF($B208="","",IFERROR(_xll.BDP(TICKER,"DEEP_MEASURE_PERIOD_BROKER_VALUE","DEEP_MEASURE_ID_OVERRIDE",$C208,"DEEP_BROKER_ID_OVERRIDE",$F$7,"DEEP_PERIOD_OVERRIDE",AM$11)*1,"")))</f>
        <v/>
      </c>
      <c r="AN208" s="17" t="str">
        <f ca="1">IF(ISNA($B208),"",IF($B208="","",IFERROR(_xll.BDP(TICKER,"DEEP_MEASURE_PERIOD_BROKER_VALUE","DEEP_MEASURE_ID_OVERRIDE",$C208,"DEEP_BROKER_ID_OVERRIDE",$F$7,"DEEP_PERIOD_OVERRIDE",AN$11)*1,"")))</f>
        <v/>
      </c>
      <c r="AO208" s="17" t="str">
        <f ca="1">IF(ISNA($B208),"",IF($B208="","",IFERROR(_xll.BDP(TICKER,"DEEP_MEASURE_PERIOD_BROKER_VALUE","DEEP_MEASURE_ID_OVERRIDE",$C208,"DEEP_BROKER_ID_OVERRIDE",$F$7,"DEEP_PERIOD_OVERRIDE",AO$11)*1,"")))</f>
        <v/>
      </c>
      <c r="AP208" s="17" t="str">
        <f ca="1">IF(ISNA($B208),"",IF($B208="","",IFERROR(_xll.BDP(TICKER,"DEEP_MEASURE_PERIOD_BROKER_VALUE","DEEP_MEASURE_ID_OVERRIDE",$C208,"DEEP_BROKER_ID_OVERRIDE",$F$7,"DEEP_PERIOD_OVERRIDE",AP$11)*1,"")))</f>
        <v/>
      </c>
      <c r="AQ208" s="17" t="str">
        <f ca="1">IF(ISNA($B208),"",IF($B208="","",IFERROR(_xll.BDP(TICKER,"DEEP_MEASURE_PERIOD_BROKER_VALUE","DEEP_MEASURE_ID_OVERRIDE",$C208,"DEEP_BROKER_ID_OVERRIDE",$F$7,"DEEP_PERIOD_OVERRIDE",AQ$11)*1,"")))</f>
        <v/>
      </c>
    </row>
    <row r="209" spans="2:43" x14ac:dyDescent="0.25">
      <c r="B209" t="s">
        <v>26</v>
      </c>
      <c r="C209">
        <v>494</v>
      </c>
      <c r="H209" t="str">
        <f t="shared" si="4"/>
        <v>Cash Flow from Financing</v>
      </c>
      <c r="I209" s="17" t="str">
        <f ca="1">IF(ISNA($B209),"",IF($B209="","",IFERROR(_xll.BDP(TICKER,"DEEP_MEASURE_PERIOD_BROKER_VALUE","DEEP_MEASURE_ID_OVERRIDE",$C209,"DEEP_BROKER_ID_OVERRIDE",$F$7,"DEEP_PERIOD_OVERRIDE",I$11)*1,"")))</f>
        <v/>
      </c>
      <c r="J209" s="17" t="str">
        <f ca="1">IF(ISNA($B209),"",IF($B209="","",IFERROR(_xll.BDP(TICKER,"DEEP_MEASURE_PERIOD_BROKER_VALUE","DEEP_MEASURE_ID_OVERRIDE",$C209,"DEEP_BROKER_ID_OVERRIDE",$F$7,"DEEP_PERIOD_OVERRIDE",J$11)*1,"")))</f>
        <v/>
      </c>
      <c r="K209" s="17" t="str">
        <f ca="1">IF(ISNA($B209),"",IF($B209="","",IFERROR(_xll.BDP(TICKER,"DEEP_MEASURE_PERIOD_BROKER_VALUE","DEEP_MEASURE_ID_OVERRIDE",$C209,"DEEP_BROKER_ID_OVERRIDE",$F$7,"DEEP_PERIOD_OVERRIDE",K$11)*1,"")))</f>
        <v/>
      </c>
      <c r="L209" s="17" t="str">
        <f ca="1">IF(ISNA($B209),"",IF($B209="","",IFERROR(_xll.BDP(TICKER,"DEEP_MEASURE_PERIOD_BROKER_VALUE","DEEP_MEASURE_ID_OVERRIDE",$C209,"DEEP_BROKER_ID_OVERRIDE",$F$7,"DEEP_PERIOD_OVERRIDE",L$11)*1,"")))</f>
        <v/>
      </c>
      <c r="M209" s="17" t="str">
        <f ca="1">IF(ISNA($B209),"",IF($B209="","",IFERROR(_xll.BDP(TICKER,"DEEP_MEASURE_PERIOD_BROKER_VALUE","DEEP_MEASURE_ID_OVERRIDE",$C209,"DEEP_BROKER_ID_OVERRIDE",$F$7,"DEEP_PERIOD_OVERRIDE",M$11)*1,"")))</f>
        <v/>
      </c>
      <c r="N209" s="17" t="str">
        <f ca="1">IF(ISNA($B209),"",IF($B209="","",IFERROR(_xll.BDP(TICKER,"DEEP_MEASURE_PERIOD_BROKER_VALUE","DEEP_MEASURE_ID_OVERRIDE",$C209,"DEEP_BROKER_ID_OVERRIDE",$F$7,"DEEP_PERIOD_OVERRIDE",N$11)*1,"")))</f>
        <v/>
      </c>
      <c r="O209" s="17" t="str">
        <f ca="1">IF(ISNA($B209),"",IF($B209="","",IFERROR(_xll.BDP(TICKER,"DEEP_MEASURE_PERIOD_BROKER_VALUE","DEEP_MEASURE_ID_OVERRIDE",$C209,"DEEP_BROKER_ID_OVERRIDE",$F$7,"DEEP_PERIOD_OVERRIDE",O$11)*1,"")))</f>
        <v/>
      </c>
      <c r="P209" s="17" t="str">
        <f ca="1">IF(ISNA($B209),"",IF($B209="","",IFERROR(_xll.BDP(TICKER,"DEEP_MEASURE_PERIOD_BROKER_VALUE","DEEP_MEASURE_ID_OVERRIDE",$C209,"DEEP_BROKER_ID_OVERRIDE",$F$7,"DEEP_PERIOD_OVERRIDE",P$11)*1,"")))</f>
        <v/>
      </c>
      <c r="Q209" s="17" t="str">
        <f ca="1">IF(ISNA($B209),"",IF($B209="","",IFERROR(_xll.BDP(TICKER,"DEEP_MEASURE_PERIOD_BROKER_VALUE","DEEP_MEASURE_ID_OVERRIDE",$C209,"DEEP_BROKER_ID_OVERRIDE",$F$7,"DEEP_PERIOD_OVERRIDE",Q$11)*1,"")))</f>
        <v/>
      </c>
      <c r="R209" s="17" t="str">
        <f ca="1">IF(ISNA($B209),"",IF($B209="","",IFERROR(_xll.BDP(TICKER,"DEEP_MEASURE_PERIOD_BROKER_VALUE","DEEP_MEASURE_ID_OVERRIDE",$C209,"DEEP_BROKER_ID_OVERRIDE",$F$7,"DEEP_PERIOD_OVERRIDE",R$11)*1,"")))</f>
        <v/>
      </c>
      <c r="S209" s="17" t="str">
        <f ca="1">IF(ISNA($B209),"",IF($B209="","",IFERROR(_xll.BDP(TICKER,"DEEP_MEASURE_PERIOD_BROKER_VALUE","DEEP_MEASURE_ID_OVERRIDE",$C209,"DEEP_BROKER_ID_OVERRIDE",$F$7,"DEEP_PERIOD_OVERRIDE",S$11)*1,"")))</f>
        <v/>
      </c>
      <c r="T209" s="17" t="str">
        <f ca="1">IF(ISNA($B209),"",IF($B209="","",IFERROR(_xll.BDP(TICKER,"DEEP_MEASURE_PERIOD_BROKER_VALUE","DEEP_MEASURE_ID_OVERRIDE",$C209,"DEEP_BROKER_ID_OVERRIDE",$F$7,"DEEP_PERIOD_OVERRIDE",T$11)*1,"")))</f>
        <v/>
      </c>
      <c r="U209" s="17" t="str">
        <f ca="1">IF(ISNA($B209),"",IF($B209="","",IFERROR(_xll.BDP(TICKER,"DEEP_MEASURE_PERIOD_BROKER_VALUE","DEEP_MEASURE_ID_OVERRIDE",$C209,"DEEP_BROKER_ID_OVERRIDE",$F$7,"DEEP_PERIOD_OVERRIDE",U$11)*1,"")))</f>
        <v/>
      </c>
      <c r="V209" s="17" t="str">
        <f ca="1">IF(ISNA($B209),"",IF($B209="","",IFERROR(_xll.BDP(TICKER,"DEEP_MEASURE_PERIOD_BROKER_VALUE","DEEP_MEASURE_ID_OVERRIDE",$C209,"DEEP_BROKER_ID_OVERRIDE",$F$7,"DEEP_PERIOD_OVERRIDE",V$11)*1,"")))</f>
        <v/>
      </c>
      <c r="W209" s="17" t="str">
        <f ca="1">IF(ISNA($B209),"",IF($B209="","",IFERROR(_xll.BDP(TICKER,"DEEP_MEASURE_PERIOD_BROKER_VALUE","DEEP_MEASURE_ID_OVERRIDE",$C209,"DEEP_BROKER_ID_OVERRIDE",$F$7,"DEEP_PERIOD_OVERRIDE",W$11)*1,"")))</f>
        <v/>
      </c>
      <c r="X209" s="17" t="str">
        <f ca="1">IF(ISNA($B209),"",IF($B209="","",IFERROR(_xll.BDP(TICKER,"DEEP_MEASURE_PERIOD_BROKER_VALUE","DEEP_MEASURE_ID_OVERRIDE",$C209,"DEEP_BROKER_ID_OVERRIDE",$F$7,"DEEP_PERIOD_OVERRIDE",X$11)*1,"")))</f>
        <v/>
      </c>
      <c r="Y209" s="17" t="str">
        <f ca="1">IF(ISNA($B209),"",IF($B209="","",IFERROR(_xll.BDP(TICKER,"DEEP_MEASURE_PERIOD_BROKER_VALUE","DEEP_MEASURE_ID_OVERRIDE",$C209,"DEEP_BROKER_ID_OVERRIDE",$F$7,"DEEP_PERIOD_OVERRIDE",Y$11)*1,"")))</f>
        <v/>
      </c>
      <c r="Z209" s="17" t="str">
        <f ca="1">IF(ISNA($B209),"",IF($B209="","",IFERROR(_xll.BDP(TICKER,"DEEP_MEASURE_PERIOD_BROKER_VALUE","DEEP_MEASURE_ID_OVERRIDE",$C209,"DEEP_BROKER_ID_OVERRIDE",$F$7,"DEEP_PERIOD_OVERRIDE",Z$11)*1,"")))</f>
        <v/>
      </c>
      <c r="AA209" s="17" t="str">
        <f ca="1">IF(ISNA($B209),"",IF($B209="","",IFERROR(_xll.BDP(TICKER,"DEEP_MEASURE_PERIOD_BROKER_VALUE","DEEP_MEASURE_ID_OVERRIDE",$C209,"DEEP_BROKER_ID_OVERRIDE",$F$7,"DEEP_PERIOD_OVERRIDE",AA$11)*1,"")))</f>
        <v/>
      </c>
      <c r="AB209" s="17" t="str">
        <f ca="1">IF(ISNA($B209),"",IF($B209="","",IFERROR(_xll.BDP(TICKER,"DEEP_MEASURE_PERIOD_BROKER_VALUE","DEEP_MEASURE_ID_OVERRIDE",$C209,"DEEP_BROKER_ID_OVERRIDE",$F$7,"DEEP_PERIOD_OVERRIDE",AB$11)*1,"")))</f>
        <v/>
      </c>
      <c r="AC209" s="17" t="str">
        <f ca="1">IF(ISNA($B209),"",IF($B209="","",IFERROR(_xll.BDP(TICKER,"DEEP_MEASURE_PERIOD_BROKER_VALUE","DEEP_MEASURE_ID_OVERRIDE",$C209,"DEEP_BROKER_ID_OVERRIDE",$F$7,"DEEP_PERIOD_OVERRIDE",AC$11)*1,"")))</f>
        <v/>
      </c>
      <c r="AD209" s="17" t="str">
        <f ca="1">IF(ISNA($B209),"",IF($B209="","",IFERROR(_xll.BDP(TICKER,"DEEP_MEASURE_PERIOD_BROKER_VALUE","DEEP_MEASURE_ID_OVERRIDE",$C209,"DEEP_BROKER_ID_OVERRIDE",$F$7,"DEEP_PERIOD_OVERRIDE",AD$11)*1,"")))</f>
        <v/>
      </c>
      <c r="AE209" s="17" t="str">
        <f ca="1">IF(ISNA($B209),"",IF($B209="","",IFERROR(_xll.BDP(TICKER,"DEEP_MEASURE_PERIOD_BROKER_VALUE","DEEP_MEASURE_ID_OVERRIDE",$C209,"DEEP_BROKER_ID_OVERRIDE",$F$7,"DEEP_PERIOD_OVERRIDE",AE$11)*1,"")))</f>
        <v/>
      </c>
      <c r="AF209" s="17" t="str">
        <f ca="1">IF(ISNA($B209),"",IF($B209="","",IFERROR(_xll.BDP(TICKER,"DEEP_MEASURE_PERIOD_BROKER_VALUE","DEEP_MEASURE_ID_OVERRIDE",$C209,"DEEP_BROKER_ID_OVERRIDE",$F$7,"DEEP_PERIOD_OVERRIDE",AF$11)*1,"")))</f>
        <v/>
      </c>
      <c r="AG209" s="17" t="str">
        <f ca="1">IF(ISNA($B209),"",IF($B209="","",IFERROR(_xll.BDP(TICKER,"DEEP_MEASURE_PERIOD_BROKER_VALUE","DEEP_MEASURE_ID_OVERRIDE",$C209,"DEEP_BROKER_ID_OVERRIDE",$F$7,"DEEP_PERIOD_OVERRIDE",AG$11)*1,"")))</f>
        <v/>
      </c>
      <c r="AH209" s="17" t="str">
        <f ca="1">IF(ISNA($B209),"",IF($B209="","",IFERROR(_xll.BDP(TICKER,"DEEP_MEASURE_PERIOD_BROKER_VALUE","DEEP_MEASURE_ID_OVERRIDE",$C209,"DEEP_BROKER_ID_OVERRIDE",$F$7,"DEEP_PERIOD_OVERRIDE",AH$11)*1,"")))</f>
        <v/>
      </c>
      <c r="AI209" s="17" t="str">
        <f ca="1">IF(ISNA($B209),"",IF($B209="","",IFERROR(_xll.BDP(TICKER,"DEEP_MEASURE_PERIOD_BROKER_VALUE","DEEP_MEASURE_ID_OVERRIDE",$C209,"DEEP_BROKER_ID_OVERRIDE",$F$7,"DEEP_PERIOD_OVERRIDE",AI$11)*1,"")))</f>
        <v/>
      </c>
      <c r="AJ209" s="17" t="str">
        <f ca="1">IF(ISNA($B209),"",IF($B209="","",IFERROR(_xll.BDP(TICKER,"DEEP_MEASURE_PERIOD_BROKER_VALUE","DEEP_MEASURE_ID_OVERRIDE",$C209,"DEEP_BROKER_ID_OVERRIDE",$F$7,"DEEP_PERIOD_OVERRIDE",AJ$11)*1,"")))</f>
        <v/>
      </c>
      <c r="AK209" s="17" t="str">
        <f ca="1">IF(ISNA($B209),"",IF($B209="","",IFERROR(_xll.BDP(TICKER,"DEEP_MEASURE_PERIOD_BROKER_VALUE","DEEP_MEASURE_ID_OVERRIDE",$C209,"DEEP_BROKER_ID_OVERRIDE",$F$7,"DEEP_PERIOD_OVERRIDE",AK$11)*1,"")))</f>
        <v/>
      </c>
      <c r="AL209" s="17" t="str">
        <f ca="1">IF(ISNA($B209),"",IF($B209="","",IFERROR(_xll.BDP(TICKER,"DEEP_MEASURE_PERIOD_BROKER_VALUE","DEEP_MEASURE_ID_OVERRIDE",$C209,"DEEP_BROKER_ID_OVERRIDE",$F$7,"DEEP_PERIOD_OVERRIDE",AL$11)*1,"")))</f>
        <v/>
      </c>
      <c r="AM209" s="17" t="str">
        <f ca="1">IF(ISNA($B209),"",IF($B209="","",IFERROR(_xll.BDP(TICKER,"DEEP_MEASURE_PERIOD_BROKER_VALUE","DEEP_MEASURE_ID_OVERRIDE",$C209,"DEEP_BROKER_ID_OVERRIDE",$F$7,"DEEP_PERIOD_OVERRIDE",AM$11)*1,"")))</f>
        <v/>
      </c>
      <c r="AN209" s="17" t="str">
        <f ca="1">IF(ISNA($B209),"",IF($B209="","",IFERROR(_xll.BDP(TICKER,"DEEP_MEASURE_PERIOD_BROKER_VALUE","DEEP_MEASURE_ID_OVERRIDE",$C209,"DEEP_BROKER_ID_OVERRIDE",$F$7,"DEEP_PERIOD_OVERRIDE",AN$11)*1,"")))</f>
        <v/>
      </c>
      <c r="AO209" s="17" t="str">
        <f ca="1">IF(ISNA($B209),"",IF($B209="","",IFERROR(_xll.BDP(TICKER,"DEEP_MEASURE_PERIOD_BROKER_VALUE","DEEP_MEASURE_ID_OVERRIDE",$C209,"DEEP_BROKER_ID_OVERRIDE",$F$7,"DEEP_PERIOD_OVERRIDE",AO$11)*1,"")))</f>
        <v/>
      </c>
      <c r="AP209" s="17" t="str">
        <f ca="1">IF(ISNA($B209),"",IF($B209="","",IFERROR(_xll.BDP(TICKER,"DEEP_MEASURE_PERIOD_BROKER_VALUE","DEEP_MEASURE_ID_OVERRIDE",$C209,"DEEP_BROKER_ID_OVERRIDE",$F$7,"DEEP_PERIOD_OVERRIDE",AP$11)*1,"")))</f>
        <v/>
      </c>
      <c r="AQ209" s="17" t="str">
        <f ca="1">IF(ISNA($B209),"",IF($B209="","",IFERROR(_xll.BDP(TICKER,"DEEP_MEASURE_PERIOD_BROKER_VALUE","DEEP_MEASURE_ID_OVERRIDE",$C209,"DEEP_BROKER_ID_OVERRIDE",$F$7,"DEEP_PERIOD_OVERRIDE",AQ$11)*1,"")))</f>
        <v/>
      </c>
    </row>
    <row r="210" spans="2:43" x14ac:dyDescent="0.25">
      <c r="B210" t="s">
        <v>33</v>
      </c>
      <c r="C210">
        <v>990</v>
      </c>
      <c r="H210" t="str">
        <f t="shared" si="4"/>
        <v>Net Change in Cash</v>
      </c>
      <c r="I210" s="17" t="str">
        <f ca="1">IF(ISNA($B210),"",IF($B210="","",IFERROR(_xll.BDP(TICKER,"DEEP_MEASURE_PERIOD_BROKER_VALUE","DEEP_MEASURE_ID_OVERRIDE",$C210,"DEEP_BROKER_ID_OVERRIDE",$F$7,"DEEP_PERIOD_OVERRIDE",I$11)*1,"")))</f>
        <v/>
      </c>
      <c r="J210" s="17" t="str">
        <f ca="1">IF(ISNA($B210),"",IF($B210="","",IFERROR(_xll.BDP(TICKER,"DEEP_MEASURE_PERIOD_BROKER_VALUE","DEEP_MEASURE_ID_OVERRIDE",$C210,"DEEP_BROKER_ID_OVERRIDE",$F$7,"DEEP_PERIOD_OVERRIDE",J$11)*1,"")))</f>
        <v/>
      </c>
      <c r="K210" s="17" t="str">
        <f ca="1">IF(ISNA($B210),"",IF($B210="","",IFERROR(_xll.BDP(TICKER,"DEEP_MEASURE_PERIOD_BROKER_VALUE","DEEP_MEASURE_ID_OVERRIDE",$C210,"DEEP_BROKER_ID_OVERRIDE",$F$7,"DEEP_PERIOD_OVERRIDE",K$11)*1,"")))</f>
        <v/>
      </c>
      <c r="L210" s="17" t="str">
        <f ca="1">IF(ISNA($B210),"",IF($B210="","",IFERROR(_xll.BDP(TICKER,"DEEP_MEASURE_PERIOD_BROKER_VALUE","DEEP_MEASURE_ID_OVERRIDE",$C210,"DEEP_BROKER_ID_OVERRIDE",$F$7,"DEEP_PERIOD_OVERRIDE",L$11)*1,"")))</f>
        <v/>
      </c>
      <c r="M210" s="17" t="str">
        <f ca="1">IF(ISNA($B210),"",IF($B210="","",IFERROR(_xll.BDP(TICKER,"DEEP_MEASURE_PERIOD_BROKER_VALUE","DEEP_MEASURE_ID_OVERRIDE",$C210,"DEEP_BROKER_ID_OVERRIDE",$F$7,"DEEP_PERIOD_OVERRIDE",M$11)*1,"")))</f>
        <v/>
      </c>
      <c r="N210" s="17" t="str">
        <f ca="1">IF(ISNA($B210),"",IF($B210="","",IFERROR(_xll.BDP(TICKER,"DEEP_MEASURE_PERIOD_BROKER_VALUE","DEEP_MEASURE_ID_OVERRIDE",$C210,"DEEP_BROKER_ID_OVERRIDE",$F$7,"DEEP_PERIOD_OVERRIDE",N$11)*1,"")))</f>
        <v/>
      </c>
      <c r="O210" s="17" t="str">
        <f ca="1">IF(ISNA($B210),"",IF($B210="","",IFERROR(_xll.BDP(TICKER,"DEEP_MEASURE_PERIOD_BROKER_VALUE","DEEP_MEASURE_ID_OVERRIDE",$C210,"DEEP_BROKER_ID_OVERRIDE",$F$7,"DEEP_PERIOD_OVERRIDE",O$11)*1,"")))</f>
        <v/>
      </c>
      <c r="P210" s="17" t="str">
        <f ca="1">IF(ISNA($B210),"",IF($B210="","",IFERROR(_xll.BDP(TICKER,"DEEP_MEASURE_PERIOD_BROKER_VALUE","DEEP_MEASURE_ID_OVERRIDE",$C210,"DEEP_BROKER_ID_OVERRIDE",$F$7,"DEEP_PERIOD_OVERRIDE",P$11)*1,"")))</f>
        <v/>
      </c>
      <c r="Q210" s="17" t="str">
        <f ca="1">IF(ISNA($B210),"",IF($B210="","",IFERROR(_xll.BDP(TICKER,"DEEP_MEASURE_PERIOD_BROKER_VALUE","DEEP_MEASURE_ID_OVERRIDE",$C210,"DEEP_BROKER_ID_OVERRIDE",$F$7,"DEEP_PERIOD_OVERRIDE",Q$11)*1,"")))</f>
        <v/>
      </c>
      <c r="R210" s="17" t="str">
        <f ca="1">IF(ISNA($B210),"",IF($B210="","",IFERROR(_xll.BDP(TICKER,"DEEP_MEASURE_PERIOD_BROKER_VALUE","DEEP_MEASURE_ID_OVERRIDE",$C210,"DEEP_BROKER_ID_OVERRIDE",$F$7,"DEEP_PERIOD_OVERRIDE",R$11)*1,"")))</f>
        <v/>
      </c>
      <c r="S210" s="17" t="str">
        <f ca="1">IF(ISNA($B210),"",IF($B210="","",IFERROR(_xll.BDP(TICKER,"DEEP_MEASURE_PERIOD_BROKER_VALUE","DEEP_MEASURE_ID_OVERRIDE",$C210,"DEEP_BROKER_ID_OVERRIDE",$F$7,"DEEP_PERIOD_OVERRIDE",S$11)*1,"")))</f>
        <v/>
      </c>
      <c r="T210" s="17" t="str">
        <f ca="1">IF(ISNA($B210),"",IF($B210="","",IFERROR(_xll.BDP(TICKER,"DEEP_MEASURE_PERIOD_BROKER_VALUE","DEEP_MEASURE_ID_OVERRIDE",$C210,"DEEP_BROKER_ID_OVERRIDE",$F$7,"DEEP_PERIOD_OVERRIDE",T$11)*1,"")))</f>
        <v/>
      </c>
      <c r="U210" s="17" t="str">
        <f ca="1">IF(ISNA($B210),"",IF($B210="","",IFERROR(_xll.BDP(TICKER,"DEEP_MEASURE_PERIOD_BROKER_VALUE","DEEP_MEASURE_ID_OVERRIDE",$C210,"DEEP_BROKER_ID_OVERRIDE",$F$7,"DEEP_PERIOD_OVERRIDE",U$11)*1,"")))</f>
        <v/>
      </c>
      <c r="V210" s="17" t="str">
        <f ca="1">IF(ISNA($B210),"",IF($B210="","",IFERROR(_xll.BDP(TICKER,"DEEP_MEASURE_PERIOD_BROKER_VALUE","DEEP_MEASURE_ID_OVERRIDE",$C210,"DEEP_BROKER_ID_OVERRIDE",$F$7,"DEEP_PERIOD_OVERRIDE",V$11)*1,"")))</f>
        <v/>
      </c>
      <c r="W210" s="17" t="str">
        <f ca="1">IF(ISNA($B210),"",IF($B210="","",IFERROR(_xll.BDP(TICKER,"DEEP_MEASURE_PERIOD_BROKER_VALUE","DEEP_MEASURE_ID_OVERRIDE",$C210,"DEEP_BROKER_ID_OVERRIDE",$F$7,"DEEP_PERIOD_OVERRIDE",W$11)*1,"")))</f>
        <v/>
      </c>
      <c r="X210" s="17" t="str">
        <f ca="1">IF(ISNA($B210),"",IF($B210="","",IFERROR(_xll.BDP(TICKER,"DEEP_MEASURE_PERIOD_BROKER_VALUE","DEEP_MEASURE_ID_OVERRIDE",$C210,"DEEP_BROKER_ID_OVERRIDE",$F$7,"DEEP_PERIOD_OVERRIDE",X$11)*1,"")))</f>
        <v/>
      </c>
      <c r="Y210" s="17" t="str">
        <f ca="1">IF(ISNA($B210),"",IF($B210="","",IFERROR(_xll.BDP(TICKER,"DEEP_MEASURE_PERIOD_BROKER_VALUE","DEEP_MEASURE_ID_OVERRIDE",$C210,"DEEP_BROKER_ID_OVERRIDE",$F$7,"DEEP_PERIOD_OVERRIDE",Y$11)*1,"")))</f>
        <v/>
      </c>
      <c r="Z210" s="17" t="str">
        <f ca="1">IF(ISNA($B210),"",IF($B210="","",IFERROR(_xll.BDP(TICKER,"DEEP_MEASURE_PERIOD_BROKER_VALUE","DEEP_MEASURE_ID_OVERRIDE",$C210,"DEEP_BROKER_ID_OVERRIDE",$F$7,"DEEP_PERIOD_OVERRIDE",Z$11)*1,"")))</f>
        <v/>
      </c>
      <c r="AA210" s="17" t="str">
        <f ca="1">IF(ISNA($B210),"",IF($B210="","",IFERROR(_xll.BDP(TICKER,"DEEP_MEASURE_PERIOD_BROKER_VALUE","DEEP_MEASURE_ID_OVERRIDE",$C210,"DEEP_BROKER_ID_OVERRIDE",$F$7,"DEEP_PERIOD_OVERRIDE",AA$11)*1,"")))</f>
        <v/>
      </c>
      <c r="AB210" s="17" t="str">
        <f ca="1">IF(ISNA($B210),"",IF($B210="","",IFERROR(_xll.BDP(TICKER,"DEEP_MEASURE_PERIOD_BROKER_VALUE","DEEP_MEASURE_ID_OVERRIDE",$C210,"DEEP_BROKER_ID_OVERRIDE",$F$7,"DEEP_PERIOD_OVERRIDE",AB$11)*1,"")))</f>
        <v/>
      </c>
      <c r="AC210" s="17" t="str">
        <f ca="1">IF(ISNA($B210),"",IF($B210="","",IFERROR(_xll.BDP(TICKER,"DEEP_MEASURE_PERIOD_BROKER_VALUE","DEEP_MEASURE_ID_OVERRIDE",$C210,"DEEP_BROKER_ID_OVERRIDE",$F$7,"DEEP_PERIOD_OVERRIDE",AC$11)*1,"")))</f>
        <v/>
      </c>
      <c r="AD210" s="17" t="str">
        <f ca="1">IF(ISNA($B210),"",IF($B210="","",IFERROR(_xll.BDP(TICKER,"DEEP_MEASURE_PERIOD_BROKER_VALUE","DEEP_MEASURE_ID_OVERRIDE",$C210,"DEEP_BROKER_ID_OVERRIDE",$F$7,"DEEP_PERIOD_OVERRIDE",AD$11)*1,"")))</f>
        <v/>
      </c>
      <c r="AE210" s="17" t="str">
        <f ca="1">IF(ISNA($B210),"",IF($B210="","",IFERROR(_xll.BDP(TICKER,"DEEP_MEASURE_PERIOD_BROKER_VALUE","DEEP_MEASURE_ID_OVERRIDE",$C210,"DEEP_BROKER_ID_OVERRIDE",$F$7,"DEEP_PERIOD_OVERRIDE",AE$11)*1,"")))</f>
        <v/>
      </c>
      <c r="AF210" s="17" t="str">
        <f ca="1">IF(ISNA($B210),"",IF($B210="","",IFERROR(_xll.BDP(TICKER,"DEEP_MEASURE_PERIOD_BROKER_VALUE","DEEP_MEASURE_ID_OVERRIDE",$C210,"DEEP_BROKER_ID_OVERRIDE",$F$7,"DEEP_PERIOD_OVERRIDE",AF$11)*1,"")))</f>
        <v/>
      </c>
      <c r="AG210" s="17" t="str">
        <f ca="1">IF(ISNA($B210),"",IF($B210="","",IFERROR(_xll.BDP(TICKER,"DEEP_MEASURE_PERIOD_BROKER_VALUE","DEEP_MEASURE_ID_OVERRIDE",$C210,"DEEP_BROKER_ID_OVERRIDE",$F$7,"DEEP_PERIOD_OVERRIDE",AG$11)*1,"")))</f>
        <v/>
      </c>
      <c r="AH210" s="17" t="str">
        <f ca="1">IF(ISNA($B210),"",IF($B210="","",IFERROR(_xll.BDP(TICKER,"DEEP_MEASURE_PERIOD_BROKER_VALUE","DEEP_MEASURE_ID_OVERRIDE",$C210,"DEEP_BROKER_ID_OVERRIDE",$F$7,"DEEP_PERIOD_OVERRIDE",AH$11)*1,"")))</f>
        <v/>
      </c>
      <c r="AI210" s="17" t="str">
        <f ca="1">IF(ISNA($B210),"",IF($B210="","",IFERROR(_xll.BDP(TICKER,"DEEP_MEASURE_PERIOD_BROKER_VALUE","DEEP_MEASURE_ID_OVERRIDE",$C210,"DEEP_BROKER_ID_OVERRIDE",$F$7,"DEEP_PERIOD_OVERRIDE",AI$11)*1,"")))</f>
        <v/>
      </c>
      <c r="AJ210" s="17" t="str">
        <f ca="1">IF(ISNA($B210),"",IF($B210="","",IFERROR(_xll.BDP(TICKER,"DEEP_MEASURE_PERIOD_BROKER_VALUE","DEEP_MEASURE_ID_OVERRIDE",$C210,"DEEP_BROKER_ID_OVERRIDE",$F$7,"DEEP_PERIOD_OVERRIDE",AJ$11)*1,"")))</f>
        <v/>
      </c>
      <c r="AK210" s="17" t="str">
        <f ca="1">IF(ISNA($B210),"",IF($B210="","",IFERROR(_xll.BDP(TICKER,"DEEP_MEASURE_PERIOD_BROKER_VALUE","DEEP_MEASURE_ID_OVERRIDE",$C210,"DEEP_BROKER_ID_OVERRIDE",$F$7,"DEEP_PERIOD_OVERRIDE",AK$11)*1,"")))</f>
        <v/>
      </c>
      <c r="AL210" s="17" t="str">
        <f ca="1">IF(ISNA($B210),"",IF($B210="","",IFERROR(_xll.BDP(TICKER,"DEEP_MEASURE_PERIOD_BROKER_VALUE","DEEP_MEASURE_ID_OVERRIDE",$C210,"DEEP_BROKER_ID_OVERRIDE",$F$7,"DEEP_PERIOD_OVERRIDE",AL$11)*1,"")))</f>
        <v/>
      </c>
      <c r="AM210" s="17" t="str">
        <f ca="1">IF(ISNA($B210),"",IF($B210="","",IFERROR(_xll.BDP(TICKER,"DEEP_MEASURE_PERIOD_BROKER_VALUE","DEEP_MEASURE_ID_OVERRIDE",$C210,"DEEP_BROKER_ID_OVERRIDE",$F$7,"DEEP_PERIOD_OVERRIDE",AM$11)*1,"")))</f>
        <v/>
      </c>
      <c r="AN210" s="17" t="str">
        <f ca="1">IF(ISNA($B210),"",IF($B210="","",IFERROR(_xll.BDP(TICKER,"DEEP_MEASURE_PERIOD_BROKER_VALUE","DEEP_MEASURE_ID_OVERRIDE",$C210,"DEEP_BROKER_ID_OVERRIDE",$F$7,"DEEP_PERIOD_OVERRIDE",AN$11)*1,"")))</f>
        <v/>
      </c>
      <c r="AO210" s="17" t="str">
        <f ca="1">IF(ISNA($B210),"",IF($B210="","",IFERROR(_xll.BDP(TICKER,"DEEP_MEASURE_PERIOD_BROKER_VALUE","DEEP_MEASURE_ID_OVERRIDE",$C210,"DEEP_BROKER_ID_OVERRIDE",$F$7,"DEEP_PERIOD_OVERRIDE",AO$11)*1,"")))</f>
        <v/>
      </c>
      <c r="AP210" s="17" t="str">
        <f ca="1">IF(ISNA($B210),"",IF($B210="","",IFERROR(_xll.BDP(TICKER,"DEEP_MEASURE_PERIOD_BROKER_VALUE","DEEP_MEASURE_ID_OVERRIDE",$C210,"DEEP_BROKER_ID_OVERRIDE",$F$7,"DEEP_PERIOD_OVERRIDE",AP$11)*1,"")))</f>
        <v/>
      </c>
      <c r="AQ210" s="17" t="str">
        <f ca="1">IF(ISNA($B210),"",IF($B210="","",IFERROR(_xll.BDP(TICKER,"DEEP_MEASURE_PERIOD_BROKER_VALUE","DEEP_MEASURE_ID_OVERRIDE",$C210,"DEEP_BROKER_ID_OVERRIDE",$F$7,"DEEP_PERIOD_OVERRIDE",AQ$11)*1,"")))</f>
        <v/>
      </c>
    </row>
    <row r="211" spans="2:43" x14ac:dyDescent="0.25">
      <c r="B211" t="s">
        <v>215</v>
      </c>
      <c r="C211">
        <v>462</v>
      </c>
      <c r="H211" t="str">
        <f t="shared" si="4"/>
        <v>Net Change in Cash &gt; Cash &amp; Cash Equivalents (End of Period)</v>
      </c>
      <c r="I211" s="17" t="str">
        <f ca="1">IF(ISNA($B211),"",IF($B211="","",IFERROR(_xll.BDP(TICKER,"DEEP_MEASURE_PERIOD_BROKER_VALUE","DEEP_MEASURE_ID_OVERRIDE",$C211,"DEEP_BROKER_ID_OVERRIDE",$F$7,"DEEP_PERIOD_OVERRIDE",I$11)*1,"")))</f>
        <v/>
      </c>
      <c r="J211" s="17" t="str">
        <f ca="1">IF(ISNA($B211),"",IF($B211="","",IFERROR(_xll.BDP(TICKER,"DEEP_MEASURE_PERIOD_BROKER_VALUE","DEEP_MEASURE_ID_OVERRIDE",$C211,"DEEP_BROKER_ID_OVERRIDE",$F$7,"DEEP_PERIOD_OVERRIDE",J$11)*1,"")))</f>
        <v/>
      </c>
      <c r="K211" s="17" t="str">
        <f ca="1">IF(ISNA($B211),"",IF($B211="","",IFERROR(_xll.BDP(TICKER,"DEEP_MEASURE_PERIOD_BROKER_VALUE","DEEP_MEASURE_ID_OVERRIDE",$C211,"DEEP_BROKER_ID_OVERRIDE",$F$7,"DEEP_PERIOD_OVERRIDE",K$11)*1,"")))</f>
        <v/>
      </c>
      <c r="L211" s="17" t="str">
        <f ca="1">IF(ISNA($B211),"",IF($B211="","",IFERROR(_xll.BDP(TICKER,"DEEP_MEASURE_PERIOD_BROKER_VALUE","DEEP_MEASURE_ID_OVERRIDE",$C211,"DEEP_BROKER_ID_OVERRIDE",$F$7,"DEEP_PERIOD_OVERRIDE",L$11)*1,"")))</f>
        <v/>
      </c>
      <c r="M211" s="17" t="str">
        <f ca="1">IF(ISNA($B211),"",IF($B211="","",IFERROR(_xll.BDP(TICKER,"DEEP_MEASURE_PERIOD_BROKER_VALUE","DEEP_MEASURE_ID_OVERRIDE",$C211,"DEEP_BROKER_ID_OVERRIDE",$F$7,"DEEP_PERIOD_OVERRIDE",M$11)*1,"")))</f>
        <v/>
      </c>
      <c r="N211" s="17" t="str">
        <f ca="1">IF(ISNA($B211),"",IF($B211="","",IFERROR(_xll.BDP(TICKER,"DEEP_MEASURE_PERIOD_BROKER_VALUE","DEEP_MEASURE_ID_OVERRIDE",$C211,"DEEP_BROKER_ID_OVERRIDE",$F$7,"DEEP_PERIOD_OVERRIDE",N$11)*1,"")))</f>
        <v/>
      </c>
      <c r="O211" s="17" t="str">
        <f ca="1">IF(ISNA($B211),"",IF($B211="","",IFERROR(_xll.BDP(TICKER,"DEEP_MEASURE_PERIOD_BROKER_VALUE","DEEP_MEASURE_ID_OVERRIDE",$C211,"DEEP_BROKER_ID_OVERRIDE",$F$7,"DEEP_PERIOD_OVERRIDE",O$11)*1,"")))</f>
        <v/>
      </c>
      <c r="P211" s="17" t="str">
        <f ca="1">IF(ISNA($B211),"",IF($B211="","",IFERROR(_xll.BDP(TICKER,"DEEP_MEASURE_PERIOD_BROKER_VALUE","DEEP_MEASURE_ID_OVERRIDE",$C211,"DEEP_BROKER_ID_OVERRIDE",$F$7,"DEEP_PERIOD_OVERRIDE",P$11)*1,"")))</f>
        <v/>
      </c>
      <c r="Q211" s="17" t="str">
        <f ca="1">IF(ISNA($B211),"",IF($B211="","",IFERROR(_xll.BDP(TICKER,"DEEP_MEASURE_PERIOD_BROKER_VALUE","DEEP_MEASURE_ID_OVERRIDE",$C211,"DEEP_BROKER_ID_OVERRIDE",$F$7,"DEEP_PERIOD_OVERRIDE",Q$11)*1,"")))</f>
        <v/>
      </c>
      <c r="R211" s="17" t="str">
        <f ca="1">IF(ISNA($B211),"",IF($B211="","",IFERROR(_xll.BDP(TICKER,"DEEP_MEASURE_PERIOD_BROKER_VALUE","DEEP_MEASURE_ID_OVERRIDE",$C211,"DEEP_BROKER_ID_OVERRIDE",$F$7,"DEEP_PERIOD_OVERRIDE",R$11)*1,"")))</f>
        <v/>
      </c>
      <c r="S211" s="17" t="str">
        <f ca="1">IF(ISNA($B211),"",IF($B211="","",IFERROR(_xll.BDP(TICKER,"DEEP_MEASURE_PERIOD_BROKER_VALUE","DEEP_MEASURE_ID_OVERRIDE",$C211,"DEEP_BROKER_ID_OVERRIDE",$F$7,"DEEP_PERIOD_OVERRIDE",S$11)*1,"")))</f>
        <v/>
      </c>
      <c r="T211" s="17" t="str">
        <f ca="1">IF(ISNA($B211),"",IF($B211="","",IFERROR(_xll.BDP(TICKER,"DEEP_MEASURE_PERIOD_BROKER_VALUE","DEEP_MEASURE_ID_OVERRIDE",$C211,"DEEP_BROKER_ID_OVERRIDE",$F$7,"DEEP_PERIOD_OVERRIDE",T$11)*1,"")))</f>
        <v/>
      </c>
      <c r="U211" s="17" t="str">
        <f ca="1">IF(ISNA($B211),"",IF($B211="","",IFERROR(_xll.BDP(TICKER,"DEEP_MEASURE_PERIOD_BROKER_VALUE","DEEP_MEASURE_ID_OVERRIDE",$C211,"DEEP_BROKER_ID_OVERRIDE",$F$7,"DEEP_PERIOD_OVERRIDE",U$11)*1,"")))</f>
        <v/>
      </c>
      <c r="V211" s="17" t="str">
        <f ca="1">IF(ISNA($B211),"",IF($B211="","",IFERROR(_xll.BDP(TICKER,"DEEP_MEASURE_PERIOD_BROKER_VALUE","DEEP_MEASURE_ID_OVERRIDE",$C211,"DEEP_BROKER_ID_OVERRIDE",$F$7,"DEEP_PERIOD_OVERRIDE",V$11)*1,"")))</f>
        <v/>
      </c>
      <c r="W211" s="17" t="str">
        <f ca="1">IF(ISNA($B211),"",IF($B211="","",IFERROR(_xll.BDP(TICKER,"DEEP_MEASURE_PERIOD_BROKER_VALUE","DEEP_MEASURE_ID_OVERRIDE",$C211,"DEEP_BROKER_ID_OVERRIDE",$F$7,"DEEP_PERIOD_OVERRIDE",W$11)*1,"")))</f>
        <v/>
      </c>
      <c r="X211" s="17" t="str">
        <f ca="1">IF(ISNA($B211),"",IF($B211="","",IFERROR(_xll.BDP(TICKER,"DEEP_MEASURE_PERIOD_BROKER_VALUE","DEEP_MEASURE_ID_OVERRIDE",$C211,"DEEP_BROKER_ID_OVERRIDE",$F$7,"DEEP_PERIOD_OVERRIDE",X$11)*1,"")))</f>
        <v/>
      </c>
      <c r="Y211" s="17" t="str">
        <f ca="1">IF(ISNA($B211),"",IF($B211="","",IFERROR(_xll.BDP(TICKER,"DEEP_MEASURE_PERIOD_BROKER_VALUE","DEEP_MEASURE_ID_OVERRIDE",$C211,"DEEP_BROKER_ID_OVERRIDE",$F$7,"DEEP_PERIOD_OVERRIDE",Y$11)*1,"")))</f>
        <v/>
      </c>
      <c r="Z211" s="17" t="str">
        <f ca="1">IF(ISNA($B211),"",IF($B211="","",IFERROR(_xll.BDP(TICKER,"DEEP_MEASURE_PERIOD_BROKER_VALUE","DEEP_MEASURE_ID_OVERRIDE",$C211,"DEEP_BROKER_ID_OVERRIDE",$F$7,"DEEP_PERIOD_OVERRIDE",Z$11)*1,"")))</f>
        <v/>
      </c>
      <c r="AA211" s="17" t="str">
        <f ca="1">IF(ISNA($B211),"",IF($B211="","",IFERROR(_xll.BDP(TICKER,"DEEP_MEASURE_PERIOD_BROKER_VALUE","DEEP_MEASURE_ID_OVERRIDE",$C211,"DEEP_BROKER_ID_OVERRIDE",$F$7,"DEEP_PERIOD_OVERRIDE",AA$11)*1,"")))</f>
        <v/>
      </c>
      <c r="AB211" s="17" t="str">
        <f ca="1">IF(ISNA($B211),"",IF($B211="","",IFERROR(_xll.BDP(TICKER,"DEEP_MEASURE_PERIOD_BROKER_VALUE","DEEP_MEASURE_ID_OVERRIDE",$C211,"DEEP_BROKER_ID_OVERRIDE",$F$7,"DEEP_PERIOD_OVERRIDE",AB$11)*1,"")))</f>
        <v/>
      </c>
      <c r="AC211" s="17" t="str">
        <f ca="1">IF(ISNA($B211),"",IF($B211="","",IFERROR(_xll.BDP(TICKER,"DEEP_MEASURE_PERIOD_BROKER_VALUE","DEEP_MEASURE_ID_OVERRIDE",$C211,"DEEP_BROKER_ID_OVERRIDE",$F$7,"DEEP_PERIOD_OVERRIDE",AC$11)*1,"")))</f>
        <v/>
      </c>
      <c r="AD211" s="17" t="str">
        <f ca="1">IF(ISNA($B211),"",IF($B211="","",IFERROR(_xll.BDP(TICKER,"DEEP_MEASURE_PERIOD_BROKER_VALUE","DEEP_MEASURE_ID_OVERRIDE",$C211,"DEEP_BROKER_ID_OVERRIDE",$F$7,"DEEP_PERIOD_OVERRIDE",AD$11)*1,"")))</f>
        <v/>
      </c>
      <c r="AE211" s="17" t="str">
        <f ca="1">IF(ISNA($B211),"",IF($B211="","",IFERROR(_xll.BDP(TICKER,"DEEP_MEASURE_PERIOD_BROKER_VALUE","DEEP_MEASURE_ID_OVERRIDE",$C211,"DEEP_BROKER_ID_OVERRIDE",$F$7,"DEEP_PERIOD_OVERRIDE",AE$11)*1,"")))</f>
        <v/>
      </c>
      <c r="AF211" s="17" t="str">
        <f ca="1">IF(ISNA($B211),"",IF($B211="","",IFERROR(_xll.BDP(TICKER,"DEEP_MEASURE_PERIOD_BROKER_VALUE","DEEP_MEASURE_ID_OVERRIDE",$C211,"DEEP_BROKER_ID_OVERRIDE",$F$7,"DEEP_PERIOD_OVERRIDE",AF$11)*1,"")))</f>
        <v/>
      </c>
      <c r="AG211" s="17" t="str">
        <f ca="1">IF(ISNA($B211),"",IF($B211="","",IFERROR(_xll.BDP(TICKER,"DEEP_MEASURE_PERIOD_BROKER_VALUE","DEEP_MEASURE_ID_OVERRIDE",$C211,"DEEP_BROKER_ID_OVERRIDE",$F$7,"DEEP_PERIOD_OVERRIDE",AG$11)*1,"")))</f>
        <v/>
      </c>
      <c r="AH211" s="17" t="str">
        <f ca="1">IF(ISNA($B211),"",IF($B211="","",IFERROR(_xll.BDP(TICKER,"DEEP_MEASURE_PERIOD_BROKER_VALUE","DEEP_MEASURE_ID_OVERRIDE",$C211,"DEEP_BROKER_ID_OVERRIDE",$F$7,"DEEP_PERIOD_OVERRIDE",AH$11)*1,"")))</f>
        <v/>
      </c>
      <c r="AI211" s="17" t="str">
        <f ca="1">IF(ISNA($B211),"",IF($B211="","",IFERROR(_xll.BDP(TICKER,"DEEP_MEASURE_PERIOD_BROKER_VALUE","DEEP_MEASURE_ID_OVERRIDE",$C211,"DEEP_BROKER_ID_OVERRIDE",$F$7,"DEEP_PERIOD_OVERRIDE",AI$11)*1,"")))</f>
        <v/>
      </c>
      <c r="AJ211" s="17" t="str">
        <f ca="1">IF(ISNA($B211),"",IF($B211="","",IFERROR(_xll.BDP(TICKER,"DEEP_MEASURE_PERIOD_BROKER_VALUE","DEEP_MEASURE_ID_OVERRIDE",$C211,"DEEP_BROKER_ID_OVERRIDE",$F$7,"DEEP_PERIOD_OVERRIDE",AJ$11)*1,"")))</f>
        <v/>
      </c>
      <c r="AK211" s="17" t="str">
        <f ca="1">IF(ISNA($B211),"",IF($B211="","",IFERROR(_xll.BDP(TICKER,"DEEP_MEASURE_PERIOD_BROKER_VALUE","DEEP_MEASURE_ID_OVERRIDE",$C211,"DEEP_BROKER_ID_OVERRIDE",$F$7,"DEEP_PERIOD_OVERRIDE",AK$11)*1,"")))</f>
        <v/>
      </c>
      <c r="AL211" s="17" t="str">
        <f ca="1">IF(ISNA($B211),"",IF($B211="","",IFERROR(_xll.BDP(TICKER,"DEEP_MEASURE_PERIOD_BROKER_VALUE","DEEP_MEASURE_ID_OVERRIDE",$C211,"DEEP_BROKER_ID_OVERRIDE",$F$7,"DEEP_PERIOD_OVERRIDE",AL$11)*1,"")))</f>
        <v/>
      </c>
      <c r="AM211" s="17" t="str">
        <f ca="1">IF(ISNA($B211),"",IF($B211="","",IFERROR(_xll.BDP(TICKER,"DEEP_MEASURE_PERIOD_BROKER_VALUE","DEEP_MEASURE_ID_OVERRIDE",$C211,"DEEP_BROKER_ID_OVERRIDE",$F$7,"DEEP_PERIOD_OVERRIDE",AM$11)*1,"")))</f>
        <v/>
      </c>
      <c r="AN211" s="17" t="str">
        <f ca="1">IF(ISNA($B211),"",IF($B211="","",IFERROR(_xll.BDP(TICKER,"DEEP_MEASURE_PERIOD_BROKER_VALUE","DEEP_MEASURE_ID_OVERRIDE",$C211,"DEEP_BROKER_ID_OVERRIDE",$F$7,"DEEP_PERIOD_OVERRIDE",AN$11)*1,"")))</f>
        <v/>
      </c>
      <c r="AO211" s="17" t="str">
        <f ca="1">IF(ISNA($B211),"",IF($B211="","",IFERROR(_xll.BDP(TICKER,"DEEP_MEASURE_PERIOD_BROKER_VALUE","DEEP_MEASURE_ID_OVERRIDE",$C211,"DEEP_BROKER_ID_OVERRIDE",$F$7,"DEEP_PERIOD_OVERRIDE",AO$11)*1,"")))</f>
        <v/>
      </c>
      <c r="AP211" s="17" t="str">
        <f ca="1">IF(ISNA($B211),"",IF($B211="","",IFERROR(_xll.BDP(TICKER,"DEEP_MEASURE_PERIOD_BROKER_VALUE","DEEP_MEASURE_ID_OVERRIDE",$C211,"DEEP_BROKER_ID_OVERRIDE",$F$7,"DEEP_PERIOD_OVERRIDE",AP$11)*1,"")))</f>
        <v/>
      </c>
      <c r="AQ211" s="17" t="str">
        <f ca="1">IF(ISNA($B211),"",IF($B211="","",IFERROR(_xll.BDP(TICKER,"DEEP_MEASURE_PERIOD_BROKER_VALUE","DEEP_MEASURE_ID_OVERRIDE",$C211,"DEEP_BROKER_ID_OVERRIDE",$F$7,"DEEP_PERIOD_OVERRIDE",AQ$11)*1,"")))</f>
        <v/>
      </c>
    </row>
    <row r="212" spans="2:43" x14ac:dyDescent="0.25">
      <c r="B212" t="s">
        <v>216</v>
      </c>
      <c r="C212">
        <v>3271</v>
      </c>
      <c r="H212" t="str">
        <f t="shared" si="4"/>
        <v>Net Change in Cash &gt; Cash &amp; Cash Equivalents (Beg of Period)</v>
      </c>
      <c r="I212" s="17" t="str">
        <f ca="1">IF(ISNA($B212),"",IF($B212="","",IFERROR(_xll.BDP(TICKER,"DEEP_MEASURE_PERIOD_BROKER_VALUE","DEEP_MEASURE_ID_OVERRIDE",$C212,"DEEP_BROKER_ID_OVERRIDE",$F$7,"DEEP_PERIOD_OVERRIDE",I$11)*1,"")))</f>
        <v/>
      </c>
      <c r="J212" s="17" t="str">
        <f ca="1">IF(ISNA($B212),"",IF($B212="","",IFERROR(_xll.BDP(TICKER,"DEEP_MEASURE_PERIOD_BROKER_VALUE","DEEP_MEASURE_ID_OVERRIDE",$C212,"DEEP_BROKER_ID_OVERRIDE",$F$7,"DEEP_PERIOD_OVERRIDE",J$11)*1,"")))</f>
        <v/>
      </c>
      <c r="K212" s="17" t="str">
        <f ca="1">IF(ISNA($B212),"",IF($B212="","",IFERROR(_xll.BDP(TICKER,"DEEP_MEASURE_PERIOD_BROKER_VALUE","DEEP_MEASURE_ID_OVERRIDE",$C212,"DEEP_BROKER_ID_OVERRIDE",$F$7,"DEEP_PERIOD_OVERRIDE",K$11)*1,"")))</f>
        <v/>
      </c>
      <c r="L212" s="17" t="str">
        <f ca="1">IF(ISNA($B212),"",IF($B212="","",IFERROR(_xll.BDP(TICKER,"DEEP_MEASURE_PERIOD_BROKER_VALUE","DEEP_MEASURE_ID_OVERRIDE",$C212,"DEEP_BROKER_ID_OVERRIDE",$F$7,"DEEP_PERIOD_OVERRIDE",L$11)*1,"")))</f>
        <v/>
      </c>
      <c r="M212" s="17" t="str">
        <f ca="1">IF(ISNA($B212),"",IF($B212="","",IFERROR(_xll.BDP(TICKER,"DEEP_MEASURE_PERIOD_BROKER_VALUE","DEEP_MEASURE_ID_OVERRIDE",$C212,"DEEP_BROKER_ID_OVERRIDE",$F$7,"DEEP_PERIOD_OVERRIDE",M$11)*1,"")))</f>
        <v/>
      </c>
      <c r="N212" s="17" t="str">
        <f ca="1">IF(ISNA($B212),"",IF($B212="","",IFERROR(_xll.BDP(TICKER,"DEEP_MEASURE_PERIOD_BROKER_VALUE","DEEP_MEASURE_ID_OVERRIDE",$C212,"DEEP_BROKER_ID_OVERRIDE",$F$7,"DEEP_PERIOD_OVERRIDE",N$11)*1,"")))</f>
        <v/>
      </c>
      <c r="O212" s="17" t="str">
        <f ca="1">IF(ISNA($B212),"",IF($B212="","",IFERROR(_xll.BDP(TICKER,"DEEP_MEASURE_PERIOD_BROKER_VALUE","DEEP_MEASURE_ID_OVERRIDE",$C212,"DEEP_BROKER_ID_OVERRIDE",$F$7,"DEEP_PERIOD_OVERRIDE",O$11)*1,"")))</f>
        <v/>
      </c>
      <c r="P212" s="17" t="str">
        <f ca="1">IF(ISNA($B212),"",IF($B212="","",IFERROR(_xll.BDP(TICKER,"DEEP_MEASURE_PERIOD_BROKER_VALUE","DEEP_MEASURE_ID_OVERRIDE",$C212,"DEEP_BROKER_ID_OVERRIDE",$F$7,"DEEP_PERIOD_OVERRIDE",P$11)*1,"")))</f>
        <v/>
      </c>
      <c r="Q212" s="17" t="str">
        <f ca="1">IF(ISNA($B212),"",IF($B212="","",IFERROR(_xll.BDP(TICKER,"DEEP_MEASURE_PERIOD_BROKER_VALUE","DEEP_MEASURE_ID_OVERRIDE",$C212,"DEEP_BROKER_ID_OVERRIDE",$F$7,"DEEP_PERIOD_OVERRIDE",Q$11)*1,"")))</f>
        <v/>
      </c>
      <c r="R212" s="17" t="str">
        <f ca="1">IF(ISNA($B212),"",IF($B212="","",IFERROR(_xll.BDP(TICKER,"DEEP_MEASURE_PERIOD_BROKER_VALUE","DEEP_MEASURE_ID_OVERRIDE",$C212,"DEEP_BROKER_ID_OVERRIDE",$F$7,"DEEP_PERIOD_OVERRIDE",R$11)*1,"")))</f>
        <v/>
      </c>
      <c r="S212" s="17" t="str">
        <f ca="1">IF(ISNA($B212),"",IF($B212="","",IFERROR(_xll.BDP(TICKER,"DEEP_MEASURE_PERIOD_BROKER_VALUE","DEEP_MEASURE_ID_OVERRIDE",$C212,"DEEP_BROKER_ID_OVERRIDE",$F$7,"DEEP_PERIOD_OVERRIDE",S$11)*1,"")))</f>
        <v/>
      </c>
      <c r="T212" s="17" t="str">
        <f ca="1">IF(ISNA($B212),"",IF($B212="","",IFERROR(_xll.BDP(TICKER,"DEEP_MEASURE_PERIOD_BROKER_VALUE","DEEP_MEASURE_ID_OVERRIDE",$C212,"DEEP_BROKER_ID_OVERRIDE",$F$7,"DEEP_PERIOD_OVERRIDE",T$11)*1,"")))</f>
        <v/>
      </c>
      <c r="U212" s="17" t="str">
        <f ca="1">IF(ISNA($B212),"",IF($B212="","",IFERROR(_xll.BDP(TICKER,"DEEP_MEASURE_PERIOD_BROKER_VALUE","DEEP_MEASURE_ID_OVERRIDE",$C212,"DEEP_BROKER_ID_OVERRIDE",$F$7,"DEEP_PERIOD_OVERRIDE",U$11)*1,"")))</f>
        <v/>
      </c>
      <c r="V212" s="17" t="str">
        <f ca="1">IF(ISNA($B212),"",IF($B212="","",IFERROR(_xll.BDP(TICKER,"DEEP_MEASURE_PERIOD_BROKER_VALUE","DEEP_MEASURE_ID_OVERRIDE",$C212,"DEEP_BROKER_ID_OVERRIDE",$F$7,"DEEP_PERIOD_OVERRIDE",V$11)*1,"")))</f>
        <v/>
      </c>
      <c r="W212" s="17" t="str">
        <f ca="1">IF(ISNA($B212),"",IF($B212="","",IFERROR(_xll.BDP(TICKER,"DEEP_MEASURE_PERIOD_BROKER_VALUE","DEEP_MEASURE_ID_OVERRIDE",$C212,"DEEP_BROKER_ID_OVERRIDE",$F$7,"DEEP_PERIOD_OVERRIDE",W$11)*1,"")))</f>
        <v/>
      </c>
      <c r="X212" s="17" t="str">
        <f ca="1">IF(ISNA($B212),"",IF($B212="","",IFERROR(_xll.BDP(TICKER,"DEEP_MEASURE_PERIOD_BROKER_VALUE","DEEP_MEASURE_ID_OVERRIDE",$C212,"DEEP_BROKER_ID_OVERRIDE",$F$7,"DEEP_PERIOD_OVERRIDE",X$11)*1,"")))</f>
        <v/>
      </c>
      <c r="Y212" s="17" t="str">
        <f ca="1">IF(ISNA($B212),"",IF($B212="","",IFERROR(_xll.BDP(TICKER,"DEEP_MEASURE_PERIOD_BROKER_VALUE","DEEP_MEASURE_ID_OVERRIDE",$C212,"DEEP_BROKER_ID_OVERRIDE",$F$7,"DEEP_PERIOD_OVERRIDE",Y$11)*1,"")))</f>
        <v/>
      </c>
      <c r="Z212" s="17" t="str">
        <f ca="1">IF(ISNA($B212),"",IF($B212="","",IFERROR(_xll.BDP(TICKER,"DEEP_MEASURE_PERIOD_BROKER_VALUE","DEEP_MEASURE_ID_OVERRIDE",$C212,"DEEP_BROKER_ID_OVERRIDE",$F$7,"DEEP_PERIOD_OVERRIDE",Z$11)*1,"")))</f>
        <v/>
      </c>
      <c r="AA212" s="17" t="str">
        <f ca="1">IF(ISNA($B212),"",IF($B212="","",IFERROR(_xll.BDP(TICKER,"DEEP_MEASURE_PERIOD_BROKER_VALUE","DEEP_MEASURE_ID_OVERRIDE",$C212,"DEEP_BROKER_ID_OVERRIDE",$F$7,"DEEP_PERIOD_OVERRIDE",AA$11)*1,"")))</f>
        <v/>
      </c>
      <c r="AB212" s="17" t="str">
        <f ca="1">IF(ISNA($B212),"",IF($B212="","",IFERROR(_xll.BDP(TICKER,"DEEP_MEASURE_PERIOD_BROKER_VALUE","DEEP_MEASURE_ID_OVERRIDE",$C212,"DEEP_BROKER_ID_OVERRIDE",$F$7,"DEEP_PERIOD_OVERRIDE",AB$11)*1,"")))</f>
        <v/>
      </c>
      <c r="AC212" s="17" t="str">
        <f ca="1">IF(ISNA($B212),"",IF($B212="","",IFERROR(_xll.BDP(TICKER,"DEEP_MEASURE_PERIOD_BROKER_VALUE","DEEP_MEASURE_ID_OVERRIDE",$C212,"DEEP_BROKER_ID_OVERRIDE",$F$7,"DEEP_PERIOD_OVERRIDE",AC$11)*1,"")))</f>
        <v/>
      </c>
      <c r="AD212" s="17" t="str">
        <f ca="1">IF(ISNA($B212),"",IF($B212="","",IFERROR(_xll.BDP(TICKER,"DEEP_MEASURE_PERIOD_BROKER_VALUE","DEEP_MEASURE_ID_OVERRIDE",$C212,"DEEP_BROKER_ID_OVERRIDE",$F$7,"DEEP_PERIOD_OVERRIDE",AD$11)*1,"")))</f>
        <v/>
      </c>
      <c r="AE212" s="17" t="str">
        <f ca="1">IF(ISNA($B212),"",IF($B212="","",IFERROR(_xll.BDP(TICKER,"DEEP_MEASURE_PERIOD_BROKER_VALUE","DEEP_MEASURE_ID_OVERRIDE",$C212,"DEEP_BROKER_ID_OVERRIDE",$F$7,"DEEP_PERIOD_OVERRIDE",AE$11)*1,"")))</f>
        <v/>
      </c>
      <c r="AF212" s="17" t="str">
        <f ca="1">IF(ISNA($B212),"",IF($B212="","",IFERROR(_xll.BDP(TICKER,"DEEP_MEASURE_PERIOD_BROKER_VALUE","DEEP_MEASURE_ID_OVERRIDE",$C212,"DEEP_BROKER_ID_OVERRIDE",$F$7,"DEEP_PERIOD_OVERRIDE",AF$11)*1,"")))</f>
        <v/>
      </c>
      <c r="AG212" s="17" t="str">
        <f ca="1">IF(ISNA($B212),"",IF($B212="","",IFERROR(_xll.BDP(TICKER,"DEEP_MEASURE_PERIOD_BROKER_VALUE","DEEP_MEASURE_ID_OVERRIDE",$C212,"DEEP_BROKER_ID_OVERRIDE",$F$7,"DEEP_PERIOD_OVERRIDE",AG$11)*1,"")))</f>
        <v/>
      </c>
      <c r="AH212" s="17" t="str">
        <f ca="1">IF(ISNA($B212),"",IF($B212="","",IFERROR(_xll.BDP(TICKER,"DEEP_MEASURE_PERIOD_BROKER_VALUE","DEEP_MEASURE_ID_OVERRIDE",$C212,"DEEP_BROKER_ID_OVERRIDE",$F$7,"DEEP_PERIOD_OVERRIDE",AH$11)*1,"")))</f>
        <v/>
      </c>
      <c r="AI212" s="17" t="str">
        <f ca="1">IF(ISNA($B212),"",IF($B212="","",IFERROR(_xll.BDP(TICKER,"DEEP_MEASURE_PERIOD_BROKER_VALUE","DEEP_MEASURE_ID_OVERRIDE",$C212,"DEEP_BROKER_ID_OVERRIDE",$F$7,"DEEP_PERIOD_OVERRIDE",AI$11)*1,"")))</f>
        <v/>
      </c>
      <c r="AJ212" s="17" t="str">
        <f ca="1">IF(ISNA($B212),"",IF($B212="","",IFERROR(_xll.BDP(TICKER,"DEEP_MEASURE_PERIOD_BROKER_VALUE","DEEP_MEASURE_ID_OVERRIDE",$C212,"DEEP_BROKER_ID_OVERRIDE",$F$7,"DEEP_PERIOD_OVERRIDE",AJ$11)*1,"")))</f>
        <v/>
      </c>
      <c r="AK212" s="17" t="str">
        <f ca="1">IF(ISNA($B212),"",IF($B212="","",IFERROR(_xll.BDP(TICKER,"DEEP_MEASURE_PERIOD_BROKER_VALUE","DEEP_MEASURE_ID_OVERRIDE",$C212,"DEEP_BROKER_ID_OVERRIDE",$F$7,"DEEP_PERIOD_OVERRIDE",AK$11)*1,"")))</f>
        <v/>
      </c>
      <c r="AL212" s="17" t="str">
        <f ca="1">IF(ISNA($B212),"",IF($B212="","",IFERROR(_xll.BDP(TICKER,"DEEP_MEASURE_PERIOD_BROKER_VALUE","DEEP_MEASURE_ID_OVERRIDE",$C212,"DEEP_BROKER_ID_OVERRIDE",$F$7,"DEEP_PERIOD_OVERRIDE",AL$11)*1,"")))</f>
        <v/>
      </c>
      <c r="AM212" s="17" t="str">
        <f ca="1">IF(ISNA($B212),"",IF($B212="","",IFERROR(_xll.BDP(TICKER,"DEEP_MEASURE_PERIOD_BROKER_VALUE","DEEP_MEASURE_ID_OVERRIDE",$C212,"DEEP_BROKER_ID_OVERRIDE",$F$7,"DEEP_PERIOD_OVERRIDE",AM$11)*1,"")))</f>
        <v/>
      </c>
      <c r="AN212" s="17" t="str">
        <f ca="1">IF(ISNA($B212),"",IF($B212="","",IFERROR(_xll.BDP(TICKER,"DEEP_MEASURE_PERIOD_BROKER_VALUE","DEEP_MEASURE_ID_OVERRIDE",$C212,"DEEP_BROKER_ID_OVERRIDE",$F$7,"DEEP_PERIOD_OVERRIDE",AN$11)*1,"")))</f>
        <v/>
      </c>
      <c r="AO212" s="17" t="str">
        <f ca="1">IF(ISNA($B212),"",IF($B212="","",IFERROR(_xll.BDP(TICKER,"DEEP_MEASURE_PERIOD_BROKER_VALUE","DEEP_MEASURE_ID_OVERRIDE",$C212,"DEEP_BROKER_ID_OVERRIDE",$F$7,"DEEP_PERIOD_OVERRIDE",AO$11)*1,"")))</f>
        <v/>
      </c>
      <c r="AP212" s="17" t="str">
        <f ca="1">IF(ISNA($B212),"",IF($B212="","",IFERROR(_xll.BDP(TICKER,"DEEP_MEASURE_PERIOD_BROKER_VALUE","DEEP_MEASURE_ID_OVERRIDE",$C212,"DEEP_BROKER_ID_OVERRIDE",$F$7,"DEEP_PERIOD_OVERRIDE",AP$11)*1,"")))</f>
        <v/>
      </c>
      <c r="AQ212" s="17" t="str">
        <f ca="1">IF(ISNA($B212),"",IF($B212="","",IFERROR(_xll.BDP(TICKER,"DEEP_MEASURE_PERIOD_BROKER_VALUE","DEEP_MEASURE_ID_OVERRIDE",$C212,"DEEP_BROKER_ID_OVERRIDE",$F$7,"DEEP_PERIOD_OVERRIDE",AQ$11)*1,"")))</f>
        <v/>
      </c>
    </row>
    <row r="213" spans="2:43" x14ac:dyDescent="0.25">
      <c r="B213" t="s">
        <v>74</v>
      </c>
      <c r="C213">
        <v>444</v>
      </c>
      <c r="H213" t="str">
        <f t="shared" ref="H213:H276" si="5">IF(ISNA($B213),"",IF(ISBLANK($B213),"",$B213))</f>
        <v>Net Effect of Foreign Exchange Rates on Cash</v>
      </c>
      <c r="I213" s="17" t="str">
        <f ca="1">IF(ISNA($B213),"",IF($B213="","",IFERROR(_xll.BDP(TICKER,"DEEP_MEASURE_PERIOD_BROKER_VALUE","DEEP_MEASURE_ID_OVERRIDE",$C213,"DEEP_BROKER_ID_OVERRIDE",$F$7,"DEEP_PERIOD_OVERRIDE",I$11)*1,"")))</f>
        <v/>
      </c>
      <c r="J213" s="17" t="str">
        <f ca="1">IF(ISNA($B213),"",IF($B213="","",IFERROR(_xll.BDP(TICKER,"DEEP_MEASURE_PERIOD_BROKER_VALUE","DEEP_MEASURE_ID_OVERRIDE",$C213,"DEEP_BROKER_ID_OVERRIDE",$F$7,"DEEP_PERIOD_OVERRIDE",J$11)*1,"")))</f>
        <v/>
      </c>
      <c r="K213" s="17" t="str">
        <f ca="1">IF(ISNA($B213),"",IF($B213="","",IFERROR(_xll.BDP(TICKER,"DEEP_MEASURE_PERIOD_BROKER_VALUE","DEEP_MEASURE_ID_OVERRIDE",$C213,"DEEP_BROKER_ID_OVERRIDE",$F$7,"DEEP_PERIOD_OVERRIDE",K$11)*1,"")))</f>
        <v/>
      </c>
      <c r="L213" s="17" t="str">
        <f ca="1">IF(ISNA($B213),"",IF($B213="","",IFERROR(_xll.BDP(TICKER,"DEEP_MEASURE_PERIOD_BROKER_VALUE","DEEP_MEASURE_ID_OVERRIDE",$C213,"DEEP_BROKER_ID_OVERRIDE",$F$7,"DEEP_PERIOD_OVERRIDE",L$11)*1,"")))</f>
        <v/>
      </c>
      <c r="M213" s="17" t="str">
        <f ca="1">IF(ISNA($B213),"",IF($B213="","",IFERROR(_xll.BDP(TICKER,"DEEP_MEASURE_PERIOD_BROKER_VALUE","DEEP_MEASURE_ID_OVERRIDE",$C213,"DEEP_BROKER_ID_OVERRIDE",$F$7,"DEEP_PERIOD_OVERRIDE",M$11)*1,"")))</f>
        <v/>
      </c>
      <c r="N213" s="17" t="str">
        <f ca="1">IF(ISNA($B213),"",IF($B213="","",IFERROR(_xll.BDP(TICKER,"DEEP_MEASURE_PERIOD_BROKER_VALUE","DEEP_MEASURE_ID_OVERRIDE",$C213,"DEEP_BROKER_ID_OVERRIDE",$F$7,"DEEP_PERIOD_OVERRIDE",N$11)*1,"")))</f>
        <v/>
      </c>
      <c r="O213" s="17" t="str">
        <f ca="1">IF(ISNA($B213),"",IF($B213="","",IFERROR(_xll.BDP(TICKER,"DEEP_MEASURE_PERIOD_BROKER_VALUE","DEEP_MEASURE_ID_OVERRIDE",$C213,"DEEP_BROKER_ID_OVERRIDE",$F$7,"DEEP_PERIOD_OVERRIDE",O$11)*1,"")))</f>
        <v/>
      </c>
      <c r="P213" s="17" t="str">
        <f ca="1">IF(ISNA($B213),"",IF($B213="","",IFERROR(_xll.BDP(TICKER,"DEEP_MEASURE_PERIOD_BROKER_VALUE","DEEP_MEASURE_ID_OVERRIDE",$C213,"DEEP_BROKER_ID_OVERRIDE",$F$7,"DEEP_PERIOD_OVERRIDE",P$11)*1,"")))</f>
        <v/>
      </c>
      <c r="Q213" s="17" t="str">
        <f ca="1">IF(ISNA($B213),"",IF($B213="","",IFERROR(_xll.BDP(TICKER,"DEEP_MEASURE_PERIOD_BROKER_VALUE","DEEP_MEASURE_ID_OVERRIDE",$C213,"DEEP_BROKER_ID_OVERRIDE",$F$7,"DEEP_PERIOD_OVERRIDE",Q$11)*1,"")))</f>
        <v/>
      </c>
      <c r="R213" s="17" t="str">
        <f ca="1">IF(ISNA($B213),"",IF($B213="","",IFERROR(_xll.BDP(TICKER,"DEEP_MEASURE_PERIOD_BROKER_VALUE","DEEP_MEASURE_ID_OVERRIDE",$C213,"DEEP_BROKER_ID_OVERRIDE",$F$7,"DEEP_PERIOD_OVERRIDE",R$11)*1,"")))</f>
        <v/>
      </c>
      <c r="S213" s="17" t="str">
        <f ca="1">IF(ISNA($B213),"",IF($B213="","",IFERROR(_xll.BDP(TICKER,"DEEP_MEASURE_PERIOD_BROKER_VALUE","DEEP_MEASURE_ID_OVERRIDE",$C213,"DEEP_BROKER_ID_OVERRIDE",$F$7,"DEEP_PERIOD_OVERRIDE",S$11)*1,"")))</f>
        <v/>
      </c>
      <c r="T213" s="17" t="str">
        <f ca="1">IF(ISNA($B213),"",IF($B213="","",IFERROR(_xll.BDP(TICKER,"DEEP_MEASURE_PERIOD_BROKER_VALUE","DEEP_MEASURE_ID_OVERRIDE",$C213,"DEEP_BROKER_ID_OVERRIDE",$F$7,"DEEP_PERIOD_OVERRIDE",T$11)*1,"")))</f>
        <v/>
      </c>
      <c r="U213" s="17" t="str">
        <f ca="1">IF(ISNA($B213),"",IF($B213="","",IFERROR(_xll.BDP(TICKER,"DEEP_MEASURE_PERIOD_BROKER_VALUE","DEEP_MEASURE_ID_OVERRIDE",$C213,"DEEP_BROKER_ID_OVERRIDE",$F$7,"DEEP_PERIOD_OVERRIDE",U$11)*1,"")))</f>
        <v/>
      </c>
      <c r="V213" s="17" t="str">
        <f ca="1">IF(ISNA($B213),"",IF($B213="","",IFERROR(_xll.BDP(TICKER,"DEEP_MEASURE_PERIOD_BROKER_VALUE","DEEP_MEASURE_ID_OVERRIDE",$C213,"DEEP_BROKER_ID_OVERRIDE",$F$7,"DEEP_PERIOD_OVERRIDE",V$11)*1,"")))</f>
        <v/>
      </c>
      <c r="W213" s="17" t="str">
        <f ca="1">IF(ISNA($B213),"",IF($B213="","",IFERROR(_xll.BDP(TICKER,"DEEP_MEASURE_PERIOD_BROKER_VALUE","DEEP_MEASURE_ID_OVERRIDE",$C213,"DEEP_BROKER_ID_OVERRIDE",$F$7,"DEEP_PERIOD_OVERRIDE",W$11)*1,"")))</f>
        <v/>
      </c>
      <c r="X213" s="17" t="str">
        <f ca="1">IF(ISNA($B213),"",IF($B213="","",IFERROR(_xll.BDP(TICKER,"DEEP_MEASURE_PERIOD_BROKER_VALUE","DEEP_MEASURE_ID_OVERRIDE",$C213,"DEEP_BROKER_ID_OVERRIDE",$F$7,"DEEP_PERIOD_OVERRIDE",X$11)*1,"")))</f>
        <v/>
      </c>
      <c r="Y213" s="17" t="str">
        <f ca="1">IF(ISNA($B213),"",IF($B213="","",IFERROR(_xll.BDP(TICKER,"DEEP_MEASURE_PERIOD_BROKER_VALUE","DEEP_MEASURE_ID_OVERRIDE",$C213,"DEEP_BROKER_ID_OVERRIDE",$F$7,"DEEP_PERIOD_OVERRIDE",Y$11)*1,"")))</f>
        <v/>
      </c>
      <c r="Z213" s="17" t="str">
        <f ca="1">IF(ISNA($B213),"",IF($B213="","",IFERROR(_xll.BDP(TICKER,"DEEP_MEASURE_PERIOD_BROKER_VALUE","DEEP_MEASURE_ID_OVERRIDE",$C213,"DEEP_BROKER_ID_OVERRIDE",$F$7,"DEEP_PERIOD_OVERRIDE",Z$11)*1,"")))</f>
        <v/>
      </c>
      <c r="AA213" s="17" t="str">
        <f ca="1">IF(ISNA($B213),"",IF($B213="","",IFERROR(_xll.BDP(TICKER,"DEEP_MEASURE_PERIOD_BROKER_VALUE","DEEP_MEASURE_ID_OVERRIDE",$C213,"DEEP_BROKER_ID_OVERRIDE",$F$7,"DEEP_PERIOD_OVERRIDE",AA$11)*1,"")))</f>
        <v/>
      </c>
      <c r="AB213" s="17" t="str">
        <f ca="1">IF(ISNA($B213),"",IF($B213="","",IFERROR(_xll.BDP(TICKER,"DEEP_MEASURE_PERIOD_BROKER_VALUE","DEEP_MEASURE_ID_OVERRIDE",$C213,"DEEP_BROKER_ID_OVERRIDE",$F$7,"DEEP_PERIOD_OVERRIDE",AB$11)*1,"")))</f>
        <v/>
      </c>
      <c r="AC213" s="17" t="str">
        <f ca="1">IF(ISNA($B213),"",IF($B213="","",IFERROR(_xll.BDP(TICKER,"DEEP_MEASURE_PERIOD_BROKER_VALUE","DEEP_MEASURE_ID_OVERRIDE",$C213,"DEEP_BROKER_ID_OVERRIDE",$F$7,"DEEP_PERIOD_OVERRIDE",AC$11)*1,"")))</f>
        <v/>
      </c>
      <c r="AD213" s="17" t="str">
        <f ca="1">IF(ISNA($B213),"",IF($B213="","",IFERROR(_xll.BDP(TICKER,"DEEP_MEASURE_PERIOD_BROKER_VALUE","DEEP_MEASURE_ID_OVERRIDE",$C213,"DEEP_BROKER_ID_OVERRIDE",$F$7,"DEEP_PERIOD_OVERRIDE",AD$11)*1,"")))</f>
        <v/>
      </c>
      <c r="AE213" s="17" t="str">
        <f ca="1">IF(ISNA($B213),"",IF($B213="","",IFERROR(_xll.BDP(TICKER,"DEEP_MEASURE_PERIOD_BROKER_VALUE","DEEP_MEASURE_ID_OVERRIDE",$C213,"DEEP_BROKER_ID_OVERRIDE",$F$7,"DEEP_PERIOD_OVERRIDE",AE$11)*1,"")))</f>
        <v/>
      </c>
      <c r="AF213" s="17" t="str">
        <f ca="1">IF(ISNA($B213),"",IF($B213="","",IFERROR(_xll.BDP(TICKER,"DEEP_MEASURE_PERIOD_BROKER_VALUE","DEEP_MEASURE_ID_OVERRIDE",$C213,"DEEP_BROKER_ID_OVERRIDE",$F$7,"DEEP_PERIOD_OVERRIDE",AF$11)*1,"")))</f>
        <v/>
      </c>
      <c r="AG213" s="17" t="str">
        <f ca="1">IF(ISNA($B213),"",IF($B213="","",IFERROR(_xll.BDP(TICKER,"DEEP_MEASURE_PERIOD_BROKER_VALUE","DEEP_MEASURE_ID_OVERRIDE",$C213,"DEEP_BROKER_ID_OVERRIDE",$F$7,"DEEP_PERIOD_OVERRIDE",AG$11)*1,"")))</f>
        <v/>
      </c>
      <c r="AH213" s="17" t="str">
        <f ca="1">IF(ISNA($B213),"",IF($B213="","",IFERROR(_xll.BDP(TICKER,"DEEP_MEASURE_PERIOD_BROKER_VALUE","DEEP_MEASURE_ID_OVERRIDE",$C213,"DEEP_BROKER_ID_OVERRIDE",$F$7,"DEEP_PERIOD_OVERRIDE",AH$11)*1,"")))</f>
        <v/>
      </c>
      <c r="AI213" s="17" t="str">
        <f ca="1">IF(ISNA($B213),"",IF($B213="","",IFERROR(_xll.BDP(TICKER,"DEEP_MEASURE_PERIOD_BROKER_VALUE","DEEP_MEASURE_ID_OVERRIDE",$C213,"DEEP_BROKER_ID_OVERRIDE",$F$7,"DEEP_PERIOD_OVERRIDE",AI$11)*1,"")))</f>
        <v/>
      </c>
      <c r="AJ213" s="17" t="str">
        <f ca="1">IF(ISNA($B213),"",IF($B213="","",IFERROR(_xll.BDP(TICKER,"DEEP_MEASURE_PERIOD_BROKER_VALUE","DEEP_MEASURE_ID_OVERRIDE",$C213,"DEEP_BROKER_ID_OVERRIDE",$F$7,"DEEP_PERIOD_OVERRIDE",AJ$11)*1,"")))</f>
        <v/>
      </c>
      <c r="AK213" s="17" t="str">
        <f ca="1">IF(ISNA($B213),"",IF($B213="","",IFERROR(_xll.BDP(TICKER,"DEEP_MEASURE_PERIOD_BROKER_VALUE","DEEP_MEASURE_ID_OVERRIDE",$C213,"DEEP_BROKER_ID_OVERRIDE",$F$7,"DEEP_PERIOD_OVERRIDE",AK$11)*1,"")))</f>
        <v/>
      </c>
      <c r="AL213" s="17" t="str">
        <f ca="1">IF(ISNA($B213),"",IF($B213="","",IFERROR(_xll.BDP(TICKER,"DEEP_MEASURE_PERIOD_BROKER_VALUE","DEEP_MEASURE_ID_OVERRIDE",$C213,"DEEP_BROKER_ID_OVERRIDE",$F$7,"DEEP_PERIOD_OVERRIDE",AL$11)*1,"")))</f>
        <v/>
      </c>
      <c r="AM213" s="17" t="str">
        <f ca="1">IF(ISNA($B213),"",IF($B213="","",IFERROR(_xll.BDP(TICKER,"DEEP_MEASURE_PERIOD_BROKER_VALUE","DEEP_MEASURE_ID_OVERRIDE",$C213,"DEEP_BROKER_ID_OVERRIDE",$F$7,"DEEP_PERIOD_OVERRIDE",AM$11)*1,"")))</f>
        <v/>
      </c>
      <c r="AN213" s="17" t="str">
        <f ca="1">IF(ISNA($B213),"",IF($B213="","",IFERROR(_xll.BDP(TICKER,"DEEP_MEASURE_PERIOD_BROKER_VALUE","DEEP_MEASURE_ID_OVERRIDE",$C213,"DEEP_BROKER_ID_OVERRIDE",$F$7,"DEEP_PERIOD_OVERRIDE",AN$11)*1,"")))</f>
        <v/>
      </c>
      <c r="AO213" s="17" t="str">
        <f ca="1">IF(ISNA($B213),"",IF($B213="","",IFERROR(_xll.BDP(TICKER,"DEEP_MEASURE_PERIOD_BROKER_VALUE","DEEP_MEASURE_ID_OVERRIDE",$C213,"DEEP_BROKER_ID_OVERRIDE",$F$7,"DEEP_PERIOD_OVERRIDE",AO$11)*1,"")))</f>
        <v/>
      </c>
      <c r="AP213" s="17" t="str">
        <f ca="1">IF(ISNA($B213),"",IF($B213="","",IFERROR(_xll.BDP(TICKER,"DEEP_MEASURE_PERIOD_BROKER_VALUE","DEEP_MEASURE_ID_OVERRIDE",$C213,"DEEP_BROKER_ID_OVERRIDE",$F$7,"DEEP_PERIOD_OVERRIDE",AP$11)*1,"")))</f>
        <v/>
      </c>
      <c r="AQ213" s="17" t="str">
        <f ca="1">IF(ISNA($B213),"",IF($B213="","",IFERROR(_xll.BDP(TICKER,"DEEP_MEASURE_PERIOD_BROKER_VALUE","DEEP_MEASURE_ID_OVERRIDE",$C213,"DEEP_BROKER_ID_OVERRIDE",$F$7,"DEEP_PERIOD_OVERRIDE",AQ$11)*1,"")))</f>
        <v/>
      </c>
    </row>
    <row r="214" spans="2:43" x14ac:dyDescent="0.25">
      <c r="B214" t="s">
        <v>34</v>
      </c>
      <c r="C214">
        <v>451</v>
      </c>
      <c r="H214" t="str">
        <f t="shared" si="5"/>
        <v>Free Cash Flow</v>
      </c>
      <c r="I214" s="17" t="str">
        <f ca="1">IF(ISNA($B214),"",IF($B214="","",IFERROR(_xll.BDP(TICKER,"DEEP_MEASURE_PERIOD_BROKER_VALUE","DEEP_MEASURE_ID_OVERRIDE",$C214,"DEEP_BROKER_ID_OVERRIDE",$F$7,"DEEP_PERIOD_OVERRIDE",I$11)*1,"")))</f>
        <v/>
      </c>
      <c r="J214" s="17" t="str">
        <f ca="1">IF(ISNA($B214),"",IF($B214="","",IFERROR(_xll.BDP(TICKER,"DEEP_MEASURE_PERIOD_BROKER_VALUE","DEEP_MEASURE_ID_OVERRIDE",$C214,"DEEP_BROKER_ID_OVERRIDE",$F$7,"DEEP_PERIOD_OVERRIDE",J$11)*1,"")))</f>
        <v/>
      </c>
      <c r="K214" s="17" t="str">
        <f ca="1">IF(ISNA($B214),"",IF($B214="","",IFERROR(_xll.BDP(TICKER,"DEEP_MEASURE_PERIOD_BROKER_VALUE","DEEP_MEASURE_ID_OVERRIDE",$C214,"DEEP_BROKER_ID_OVERRIDE",$F$7,"DEEP_PERIOD_OVERRIDE",K$11)*1,"")))</f>
        <v/>
      </c>
      <c r="L214" s="17" t="str">
        <f ca="1">IF(ISNA($B214),"",IF($B214="","",IFERROR(_xll.BDP(TICKER,"DEEP_MEASURE_PERIOD_BROKER_VALUE","DEEP_MEASURE_ID_OVERRIDE",$C214,"DEEP_BROKER_ID_OVERRIDE",$F$7,"DEEP_PERIOD_OVERRIDE",L$11)*1,"")))</f>
        <v/>
      </c>
      <c r="M214" s="17" t="str">
        <f ca="1">IF(ISNA($B214),"",IF($B214="","",IFERROR(_xll.BDP(TICKER,"DEEP_MEASURE_PERIOD_BROKER_VALUE","DEEP_MEASURE_ID_OVERRIDE",$C214,"DEEP_BROKER_ID_OVERRIDE",$F$7,"DEEP_PERIOD_OVERRIDE",M$11)*1,"")))</f>
        <v/>
      </c>
      <c r="N214" s="17" t="str">
        <f ca="1">IF(ISNA($B214),"",IF($B214="","",IFERROR(_xll.BDP(TICKER,"DEEP_MEASURE_PERIOD_BROKER_VALUE","DEEP_MEASURE_ID_OVERRIDE",$C214,"DEEP_BROKER_ID_OVERRIDE",$F$7,"DEEP_PERIOD_OVERRIDE",N$11)*1,"")))</f>
        <v/>
      </c>
      <c r="O214" s="17" t="str">
        <f ca="1">IF(ISNA($B214),"",IF($B214="","",IFERROR(_xll.BDP(TICKER,"DEEP_MEASURE_PERIOD_BROKER_VALUE","DEEP_MEASURE_ID_OVERRIDE",$C214,"DEEP_BROKER_ID_OVERRIDE",$F$7,"DEEP_PERIOD_OVERRIDE",O$11)*1,"")))</f>
        <v/>
      </c>
      <c r="P214" s="17" t="str">
        <f ca="1">IF(ISNA($B214),"",IF($B214="","",IFERROR(_xll.BDP(TICKER,"DEEP_MEASURE_PERIOD_BROKER_VALUE","DEEP_MEASURE_ID_OVERRIDE",$C214,"DEEP_BROKER_ID_OVERRIDE",$F$7,"DEEP_PERIOD_OVERRIDE",P$11)*1,"")))</f>
        <v/>
      </c>
      <c r="Q214" s="17" t="str">
        <f ca="1">IF(ISNA($B214),"",IF($B214="","",IFERROR(_xll.BDP(TICKER,"DEEP_MEASURE_PERIOD_BROKER_VALUE","DEEP_MEASURE_ID_OVERRIDE",$C214,"DEEP_BROKER_ID_OVERRIDE",$F$7,"DEEP_PERIOD_OVERRIDE",Q$11)*1,"")))</f>
        <v/>
      </c>
      <c r="R214" s="17" t="str">
        <f ca="1">IF(ISNA($B214),"",IF($B214="","",IFERROR(_xll.BDP(TICKER,"DEEP_MEASURE_PERIOD_BROKER_VALUE","DEEP_MEASURE_ID_OVERRIDE",$C214,"DEEP_BROKER_ID_OVERRIDE",$F$7,"DEEP_PERIOD_OVERRIDE",R$11)*1,"")))</f>
        <v/>
      </c>
      <c r="S214" s="17" t="str">
        <f ca="1">IF(ISNA($B214),"",IF($B214="","",IFERROR(_xll.BDP(TICKER,"DEEP_MEASURE_PERIOD_BROKER_VALUE","DEEP_MEASURE_ID_OVERRIDE",$C214,"DEEP_BROKER_ID_OVERRIDE",$F$7,"DEEP_PERIOD_OVERRIDE",S$11)*1,"")))</f>
        <v/>
      </c>
      <c r="T214" s="17" t="str">
        <f ca="1">IF(ISNA($B214),"",IF($B214="","",IFERROR(_xll.BDP(TICKER,"DEEP_MEASURE_PERIOD_BROKER_VALUE","DEEP_MEASURE_ID_OVERRIDE",$C214,"DEEP_BROKER_ID_OVERRIDE",$F$7,"DEEP_PERIOD_OVERRIDE",T$11)*1,"")))</f>
        <v/>
      </c>
      <c r="U214" s="17" t="str">
        <f ca="1">IF(ISNA($B214),"",IF($B214="","",IFERROR(_xll.BDP(TICKER,"DEEP_MEASURE_PERIOD_BROKER_VALUE","DEEP_MEASURE_ID_OVERRIDE",$C214,"DEEP_BROKER_ID_OVERRIDE",$F$7,"DEEP_PERIOD_OVERRIDE",U$11)*1,"")))</f>
        <v/>
      </c>
      <c r="V214" s="17" t="str">
        <f ca="1">IF(ISNA($B214),"",IF($B214="","",IFERROR(_xll.BDP(TICKER,"DEEP_MEASURE_PERIOD_BROKER_VALUE","DEEP_MEASURE_ID_OVERRIDE",$C214,"DEEP_BROKER_ID_OVERRIDE",$F$7,"DEEP_PERIOD_OVERRIDE",V$11)*1,"")))</f>
        <v/>
      </c>
      <c r="W214" s="17" t="str">
        <f ca="1">IF(ISNA($B214),"",IF($B214="","",IFERROR(_xll.BDP(TICKER,"DEEP_MEASURE_PERIOD_BROKER_VALUE","DEEP_MEASURE_ID_OVERRIDE",$C214,"DEEP_BROKER_ID_OVERRIDE",$F$7,"DEEP_PERIOD_OVERRIDE",W$11)*1,"")))</f>
        <v/>
      </c>
      <c r="X214" s="17" t="str">
        <f ca="1">IF(ISNA($B214),"",IF($B214="","",IFERROR(_xll.BDP(TICKER,"DEEP_MEASURE_PERIOD_BROKER_VALUE","DEEP_MEASURE_ID_OVERRIDE",$C214,"DEEP_BROKER_ID_OVERRIDE",$F$7,"DEEP_PERIOD_OVERRIDE",X$11)*1,"")))</f>
        <v/>
      </c>
      <c r="Y214" s="17" t="str">
        <f ca="1">IF(ISNA($B214),"",IF($B214="","",IFERROR(_xll.BDP(TICKER,"DEEP_MEASURE_PERIOD_BROKER_VALUE","DEEP_MEASURE_ID_OVERRIDE",$C214,"DEEP_BROKER_ID_OVERRIDE",$F$7,"DEEP_PERIOD_OVERRIDE",Y$11)*1,"")))</f>
        <v/>
      </c>
      <c r="Z214" s="17" t="str">
        <f ca="1">IF(ISNA($B214),"",IF($B214="","",IFERROR(_xll.BDP(TICKER,"DEEP_MEASURE_PERIOD_BROKER_VALUE","DEEP_MEASURE_ID_OVERRIDE",$C214,"DEEP_BROKER_ID_OVERRIDE",$F$7,"DEEP_PERIOD_OVERRIDE",Z$11)*1,"")))</f>
        <v/>
      </c>
      <c r="AA214" s="17" t="str">
        <f ca="1">IF(ISNA($B214),"",IF($B214="","",IFERROR(_xll.BDP(TICKER,"DEEP_MEASURE_PERIOD_BROKER_VALUE","DEEP_MEASURE_ID_OVERRIDE",$C214,"DEEP_BROKER_ID_OVERRIDE",$F$7,"DEEP_PERIOD_OVERRIDE",AA$11)*1,"")))</f>
        <v/>
      </c>
      <c r="AB214" s="17" t="str">
        <f ca="1">IF(ISNA($B214),"",IF($B214="","",IFERROR(_xll.BDP(TICKER,"DEEP_MEASURE_PERIOD_BROKER_VALUE","DEEP_MEASURE_ID_OVERRIDE",$C214,"DEEP_BROKER_ID_OVERRIDE",$F$7,"DEEP_PERIOD_OVERRIDE",AB$11)*1,"")))</f>
        <v/>
      </c>
      <c r="AC214" s="17" t="str">
        <f ca="1">IF(ISNA($B214),"",IF($B214="","",IFERROR(_xll.BDP(TICKER,"DEEP_MEASURE_PERIOD_BROKER_VALUE","DEEP_MEASURE_ID_OVERRIDE",$C214,"DEEP_BROKER_ID_OVERRIDE",$F$7,"DEEP_PERIOD_OVERRIDE",AC$11)*1,"")))</f>
        <v/>
      </c>
      <c r="AD214" s="17" t="str">
        <f ca="1">IF(ISNA($B214),"",IF($B214="","",IFERROR(_xll.BDP(TICKER,"DEEP_MEASURE_PERIOD_BROKER_VALUE","DEEP_MEASURE_ID_OVERRIDE",$C214,"DEEP_BROKER_ID_OVERRIDE",$F$7,"DEEP_PERIOD_OVERRIDE",AD$11)*1,"")))</f>
        <v/>
      </c>
      <c r="AE214" s="17" t="str">
        <f ca="1">IF(ISNA($B214),"",IF($B214="","",IFERROR(_xll.BDP(TICKER,"DEEP_MEASURE_PERIOD_BROKER_VALUE","DEEP_MEASURE_ID_OVERRIDE",$C214,"DEEP_BROKER_ID_OVERRIDE",$F$7,"DEEP_PERIOD_OVERRIDE",AE$11)*1,"")))</f>
        <v/>
      </c>
      <c r="AF214" s="17" t="str">
        <f ca="1">IF(ISNA($B214),"",IF($B214="","",IFERROR(_xll.BDP(TICKER,"DEEP_MEASURE_PERIOD_BROKER_VALUE","DEEP_MEASURE_ID_OVERRIDE",$C214,"DEEP_BROKER_ID_OVERRIDE",$F$7,"DEEP_PERIOD_OVERRIDE",AF$11)*1,"")))</f>
        <v/>
      </c>
      <c r="AG214" s="17" t="str">
        <f ca="1">IF(ISNA($B214),"",IF($B214="","",IFERROR(_xll.BDP(TICKER,"DEEP_MEASURE_PERIOD_BROKER_VALUE","DEEP_MEASURE_ID_OVERRIDE",$C214,"DEEP_BROKER_ID_OVERRIDE",$F$7,"DEEP_PERIOD_OVERRIDE",AG$11)*1,"")))</f>
        <v/>
      </c>
      <c r="AH214" s="17" t="str">
        <f ca="1">IF(ISNA($B214),"",IF($B214="","",IFERROR(_xll.BDP(TICKER,"DEEP_MEASURE_PERIOD_BROKER_VALUE","DEEP_MEASURE_ID_OVERRIDE",$C214,"DEEP_BROKER_ID_OVERRIDE",$F$7,"DEEP_PERIOD_OVERRIDE",AH$11)*1,"")))</f>
        <v/>
      </c>
      <c r="AI214" s="17" t="str">
        <f ca="1">IF(ISNA($B214),"",IF($B214="","",IFERROR(_xll.BDP(TICKER,"DEEP_MEASURE_PERIOD_BROKER_VALUE","DEEP_MEASURE_ID_OVERRIDE",$C214,"DEEP_BROKER_ID_OVERRIDE",$F$7,"DEEP_PERIOD_OVERRIDE",AI$11)*1,"")))</f>
        <v/>
      </c>
      <c r="AJ214" s="17" t="str">
        <f ca="1">IF(ISNA($B214),"",IF($B214="","",IFERROR(_xll.BDP(TICKER,"DEEP_MEASURE_PERIOD_BROKER_VALUE","DEEP_MEASURE_ID_OVERRIDE",$C214,"DEEP_BROKER_ID_OVERRIDE",$F$7,"DEEP_PERIOD_OVERRIDE",AJ$11)*1,"")))</f>
        <v/>
      </c>
      <c r="AK214" s="17" t="str">
        <f ca="1">IF(ISNA($B214),"",IF($B214="","",IFERROR(_xll.BDP(TICKER,"DEEP_MEASURE_PERIOD_BROKER_VALUE","DEEP_MEASURE_ID_OVERRIDE",$C214,"DEEP_BROKER_ID_OVERRIDE",$F$7,"DEEP_PERIOD_OVERRIDE",AK$11)*1,"")))</f>
        <v/>
      </c>
      <c r="AL214" s="17" t="str">
        <f ca="1">IF(ISNA($B214),"",IF($B214="","",IFERROR(_xll.BDP(TICKER,"DEEP_MEASURE_PERIOD_BROKER_VALUE","DEEP_MEASURE_ID_OVERRIDE",$C214,"DEEP_BROKER_ID_OVERRIDE",$F$7,"DEEP_PERIOD_OVERRIDE",AL$11)*1,"")))</f>
        <v/>
      </c>
      <c r="AM214" s="17" t="str">
        <f ca="1">IF(ISNA($B214),"",IF($B214="","",IFERROR(_xll.BDP(TICKER,"DEEP_MEASURE_PERIOD_BROKER_VALUE","DEEP_MEASURE_ID_OVERRIDE",$C214,"DEEP_BROKER_ID_OVERRIDE",$F$7,"DEEP_PERIOD_OVERRIDE",AM$11)*1,"")))</f>
        <v/>
      </c>
      <c r="AN214" s="17" t="str">
        <f ca="1">IF(ISNA($B214),"",IF($B214="","",IFERROR(_xll.BDP(TICKER,"DEEP_MEASURE_PERIOD_BROKER_VALUE","DEEP_MEASURE_ID_OVERRIDE",$C214,"DEEP_BROKER_ID_OVERRIDE",$F$7,"DEEP_PERIOD_OVERRIDE",AN$11)*1,"")))</f>
        <v/>
      </c>
      <c r="AO214" s="17" t="str">
        <f ca="1">IF(ISNA($B214),"",IF($B214="","",IFERROR(_xll.BDP(TICKER,"DEEP_MEASURE_PERIOD_BROKER_VALUE","DEEP_MEASURE_ID_OVERRIDE",$C214,"DEEP_BROKER_ID_OVERRIDE",$F$7,"DEEP_PERIOD_OVERRIDE",AO$11)*1,"")))</f>
        <v/>
      </c>
      <c r="AP214" s="17" t="str">
        <f ca="1">IF(ISNA($B214),"",IF($B214="","",IFERROR(_xll.BDP(TICKER,"DEEP_MEASURE_PERIOD_BROKER_VALUE","DEEP_MEASURE_ID_OVERRIDE",$C214,"DEEP_BROKER_ID_OVERRIDE",$F$7,"DEEP_PERIOD_OVERRIDE",AP$11)*1,"")))</f>
        <v/>
      </c>
      <c r="AQ214" s="17" t="str">
        <f ca="1">IF(ISNA($B214),"",IF($B214="","",IFERROR(_xll.BDP(TICKER,"DEEP_MEASURE_PERIOD_BROKER_VALUE","DEEP_MEASURE_ID_OVERRIDE",$C214,"DEEP_BROKER_ID_OVERRIDE",$F$7,"DEEP_PERIOD_OVERRIDE",AQ$11)*1,"")))</f>
        <v/>
      </c>
    </row>
    <row r="215" spans="2:43" x14ac:dyDescent="0.25">
      <c r="B215" t="s">
        <v>217</v>
      </c>
      <c r="C215">
        <v>1974</v>
      </c>
      <c r="H215" t="str">
        <f t="shared" si="5"/>
        <v>Free Cash Flow &gt; YoY Growth (%)</v>
      </c>
      <c r="I215" s="17" t="str">
        <f ca="1">IF(ISNA($B215),"",IF($B215="","",IFERROR(_xll.BDP(TICKER,"DEEP_MEASURE_PERIOD_BROKER_VALUE","DEEP_MEASURE_ID_OVERRIDE",$C215,"DEEP_BROKER_ID_OVERRIDE",$F$7,"DEEP_PERIOD_OVERRIDE",I$11)*1,"")))</f>
        <v/>
      </c>
      <c r="J215" s="17" t="str">
        <f ca="1">IF(ISNA($B215),"",IF($B215="","",IFERROR(_xll.BDP(TICKER,"DEEP_MEASURE_PERIOD_BROKER_VALUE","DEEP_MEASURE_ID_OVERRIDE",$C215,"DEEP_BROKER_ID_OVERRIDE",$F$7,"DEEP_PERIOD_OVERRIDE",J$11)*1,"")))</f>
        <v/>
      </c>
      <c r="K215" s="17" t="str">
        <f ca="1">IF(ISNA($B215),"",IF($B215="","",IFERROR(_xll.BDP(TICKER,"DEEP_MEASURE_PERIOD_BROKER_VALUE","DEEP_MEASURE_ID_OVERRIDE",$C215,"DEEP_BROKER_ID_OVERRIDE",$F$7,"DEEP_PERIOD_OVERRIDE",K$11)*1,"")))</f>
        <v/>
      </c>
      <c r="L215" s="17" t="str">
        <f ca="1">IF(ISNA($B215),"",IF($B215="","",IFERROR(_xll.BDP(TICKER,"DEEP_MEASURE_PERIOD_BROKER_VALUE","DEEP_MEASURE_ID_OVERRIDE",$C215,"DEEP_BROKER_ID_OVERRIDE",$F$7,"DEEP_PERIOD_OVERRIDE",L$11)*1,"")))</f>
        <v/>
      </c>
      <c r="M215" s="17" t="str">
        <f ca="1">IF(ISNA($B215),"",IF($B215="","",IFERROR(_xll.BDP(TICKER,"DEEP_MEASURE_PERIOD_BROKER_VALUE","DEEP_MEASURE_ID_OVERRIDE",$C215,"DEEP_BROKER_ID_OVERRIDE",$F$7,"DEEP_PERIOD_OVERRIDE",M$11)*1,"")))</f>
        <v/>
      </c>
      <c r="N215" s="17" t="str">
        <f ca="1">IF(ISNA($B215),"",IF($B215="","",IFERROR(_xll.BDP(TICKER,"DEEP_MEASURE_PERIOD_BROKER_VALUE","DEEP_MEASURE_ID_OVERRIDE",$C215,"DEEP_BROKER_ID_OVERRIDE",$F$7,"DEEP_PERIOD_OVERRIDE",N$11)*1,"")))</f>
        <v/>
      </c>
      <c r="O215" s="17" t="str">
        <f ca="1">IF(ISNA($B215),"",IF($B215="","",IFERROR(_xll.BDP(TICKER,"DEEP_MEASURE_PERIOD_BROKER_VALUE","DEEP_MEASURE_ID_OVERRIDE",$C215,"DEEP_BROKER_ID_OVERRIDE",$F$7,"DEEP_PERIOD_OVERRIDE",O$11)*1,"")))</f>
        <v/>
      </c>
      <c r="P215" s="17" t="str">
        <f ca="1">IF(ISNA($B215),"",IF($B215="","",IFERROR(_xll.BDP(TICKER,"DEEP_MEASURE_PERIOD_BROKER_VALUE","DEEP_MEASURE_ID_OVERRIDE",$C215,"DEEP_BROKER_ID_OVERRIDE",$F$7,"DEEP_PERIOD_OVERRIDE",P$11)*1,"")))</f>
        <v/>
      </c>
      <c r="Q215" s="17" t="str">
        <f ca="1">IF(ISNA($B215),"",IF($B215="","",IFERROR(_xll.BDP(TICKER,"DEEP_MEASURE_PERIOD_BROKER_VALUE","DEEP_MEASURE_ID_OVERRIDE",$C215,"DEEP_BROKER_ID_OVERRIDE",$F$7,"DEEP_PERIOD_OVERRIDE",Q$11)*1,"")))</f>
        <v/>
      </c>
      <c r="R215" s="17" t="str">
        <f ca="1">IF(ISNA($B215),"",IF($B215="","",IFERROR(_xll.BDP(TICKER,"DEEP_MEASURE_PERIOD_BROKER_VALUE","DEEP_MEASURE_ID_OVERRIDE",$C215,"DEEP_BROKER_ID_OVERRIDE",$F$7,"DEEP_PERIOD_OVERRIDE",R$11)*1,"")))</f>
        <v/>
      </c>
      <c r="S215" s="17" t="str">
        <f ca="1">IF(ISNA($B215),"",IF($B215="","",IFERROR(_xll.BDP(TICKER,"DEEP_MEASURE_PERIOD_BROKER_VALUE","DEEP_MEASURE_ID_OVERRIDE",$C215,"DEEP_BROKER_ID_OVERRIDE",$F$7,"DEEP_PERIOD_OVERRIDE",S$11)*1,"")))</f>
        <v/>
      </c>
      <c r="T215" s="17" t="str">
        <f ca="1">IF(ISNA($B215),"",IF($B215="","",IFERROR(_xll.BDP(TICKER,"DEEP_MEASURE_PERIOD_BROKER_VALUE","DEEP_MEASURE_ID_OVERRIDE",$C215,"DEEP_BROKER_ID_OVERRIDE",$F$7,"DEEP_PERIOD_OVERRIDE",T$11)*1,"")))</f>
        <v/>
      </c>
      <c r="U215" s="17" t="str">
        <f ca="1">IF(ISNA($B215),"",IF($B215="","",IFERROR(_xll.BDP(TICKER,"DEEP_MEASURE_PERIOD_BROKER_VALUE","DEEP_MEASURE_ID_OVERRIDE",$C215,"DEEP_BROKER_ID_OVERRIDE",$F$7,"DEEP_PERIOD_OVERRIDE",U$11)*1,"")))</f>
        <v/>
      </c>
      <c r="V215" s="17" t="str">
        <f ca="1">IF(ISNA($B215),"",IF($B215="","",IFERROR(_xll.BDP(TICKER,"DEEP_MEASURE_PERIOD_BROKER_VALUE","DEEP_MEASURE_ID_OVERRIDE",$C215,"DEEP_BROKER_ID_OVERRIDE",$F$7,"DEEP_PERIOD_OVERRIDE",V$11)*1,"")))</f>
        <v/>
      </c>
      <c r="W215" s="17" t="str">
        <f ca="1">IF(ISNA($B215),"",IF($B215="","",IFERROR(_xll.BDP(TICKER,"DEEP_MEASURE_PERIOD_BROKER_VALUE","DEEP_MEASURE_ID_OVERRIDE",$C215,"DEEP_BROKER_ID_OVERRIDE",$F$7,"DEEP_PERIOD_OVERRIDE",W$11)*1,"")))</f>
        <v/>
      </c>
      <c r="X215" s="17" t="str">
        <f ca="1">IF(ISNA($B215),"",IF($B215="","",IFERROR(_xll.BDP(TICKER,"DEEP_MEASURE_PERIOD_BROKER_VALUE","DEEP_MEASURE_ID_OVERRIDE",$C215,"DEEP_BROKER_ID_OVERRIDE",$F$7,"DEEP_PERIOD_OVERRIDE",X$11)*1,"")))</f>
        <v/>
      </c>
      <c r="Y215" s="17" t="str">
        <f ca="1">IF(ISNA($B215),"",IF($B215="","",IFERROR(_xll.BDP(TICKER,"DEEP_MEASURE_PERIOD_BROKER_VALUE","DEEP_MEASURE_ID_OVERRIDE",$C215,"DEEP_BROKER_ID_OVERRIDE",$F$7,"DEEP_PERIOD_OVERRIDE",Y$11)*1,"")))</f>
        <v/>
      </c>
      <c r="Z215" s="17" t="str">
        <f ca="1">IF(ISNA($B215),"",IF($B215="","",IFERROR(_xll.BDP(TICKER,"DEEP_MEASURE_PERIOD_BROKER_VALUE","DEEP_MEASURE_ID_OVERRIDE",$C215,"DEEP_BROKER_ID_OVERRIDE",$F$7,"DEEP_PERIOD_OVERRIDE",Z$11)*1,"")))</f>
        <v/>
      </c>
      <c r="AA215" s="17" t="str">
        <f ca="1">IF(ISNA($B215),"",IF($B215="","",IFERROR(_xll.BDP(TICKER,"DEEP_MEASURE_PERIOD_BROKER_VALUE","DEEP_MEASURE_ID_OVERRIDE",$C215,"DEEP_BROKER_ID_OVERRIDE",$F$7,"DEEP_PERIOD_OVERRIDE",AA$11)*1,"")))</f>
        <v/>
      </c>
      <c r="AB215" s="17" t="str">
        <f ca="1">IF(ISNA($B215),"",IF($B215="","",IFERROR(_xll.BDP(TICKER,"DEEP_MEASURE_PERIOD_BROKER_VALUE","DEEP_MEASURE_ID_OVERRIDE",$C215,"DEEP_BROKER_ID_OVERRIDE",$F$7,"DEEP_PERIOD_OVERRIDE",AB$11)*1,"")))</f>
        <v/>
      </c>
      <c r="AC215" s="17" t="str">
        <f ca="1">IF(ISNA($B215),"",IF($B215="","",IFERROR(_xll.BDP(TICKER,"DEEP_MEASURE_PERIOD_BROKER_VALUE","DEEP_MEASURE_ID_OVERRIDE",$C215,"DEEP_BROKER_ID_OVERRIDE",$F$7,"DEEP_PERIOD_OVERRIDE",AC$11)*1,"")))</f>
        <v/>
      </c>
      <c r="AD215" s="17" t="str">
        <f ca="1">IF(ISNA($B215),"",IF($B215="","",IFERROR(_xll.BDP(TICKER,"DEEP_MEASURE_PERIOD_BROKER_VALUE","DEEP_MEASURE_ID_OVERRIDE",$C215,"DEEP_BROKER_ID_OVERRIDE",$F$7,"DEEP_PERIOD_OVERRIDE",AD$11)*1,"")))</f>
        <v/>
      </c>
      <c r="AE215" s="17" t="str">
        <f ca="1">IF(ISNA($B215),"",IF($B215="","",IFERROR(_xll.BDP(TICKER,"DEEP_MEASURE_PERIOD_BROKER_VALUE","DEEP_MEASURE_ID_OVERRIDE",$C215,"DEEP_BROKER_ID_OVERRIDE",$F$7,"DEEP_PERIOD_OVERRIDE",AE$11)*1,"")))</f>
        <v/>
      </c>
      <c r="AF215" s="17" t="str">
        <f ca="1">IF(ISNA($B215),"",IF($B215="","",IFERROR(_xll.BDP(TICKER,"DEEP_MEASURE_PERIOD_BROKER_VALUE","DEEP_MEASURE_ID_OVERRIDE",$C215,"DEEP_BROKER_ID_OVERRIDE",$F$7,"DEEP_PERIOD_OVERRIDE",AF$11)*1,"")))</f>
        <v/>
      </c>
      <c r="AG215" s="17" t="str">
        <f ca="1">IF(ISNA($B215),"",IF($B215="","",IFERROR(_xll.BDP(TICKER,"DEEP_MEASURE_PERIOD_BROKER_VALUE","DEEP_MEASURE_ID_OVERRIDE",$C215,"DEEP_BROKER_ID_OVERRIDE",$F$7,"DEEP_PERIOD_OVERRIDE",AG$11)*1,"")))</f>
        <v/>
      </c>
      <c r="AH215" s="17" t="str">
        <f ca="1">IF(ISNA($B215),"",IF($B215="","",IFERROR(_xll.BDP(TICKER,"DEEP_MEASURE_PERIOD_BROKER_VALUE","DEEP_MEASURE_ID_OVERRIDE",$C215,"DEEP_BROKER_ID_OVERRIDE",$F$7,"DEEP_PERIOD_OVERRIDE",AH$11)*1,"")))</f>
        <v/>
      </c>
      <c r="AI215" s="17" t="str">
        <f ca="1">IF(ISNA($B215),"",IF($B215="","",IFERROR(_xll.BDP(TICKER,"DEEP_MEASURE_PERIOD_BROKER_VALUE","DEEP_MEASURE_ID_OVERRIDE",$C215,"DEEP_BROKER_ID_OVERRIDE",$F$7,"DEEP_PERIOD_OVERRIDE",AI$11)*1,"")))</f>
        <v/>
      </c>
      <c r="AJ215" s="17" t="str">
        <f ca="1">IF(ISNA($B215),"",IF($B215="","",IFERROR(_xll.BDP(TICKER,"DEEP_MEASURE_PERIOD_BROKER_VALUE","DEEP_MEASURE_ID_OVERRIDE",$C215,"DEEP_BROKER_ID_OVERRIDE",$F$7,"DEEP_PERIOD_OVERRIDE",AJ$11)*1,"")))</f>
        <v/>
      </c>
      <c r="AK215" s="17" t="str">
        <f ca="1">IF(ISNA($B215),"",IF($B215="","",IFERROR(_xll.BDP(TICKER,"DEEP_MEASURE_PERIOD_BROKER_VALUE","DEEP_MEASURE_ID_OVERRIDE",$C215,"DEEP_BROKER_ID_OVERRIDE",$F$7,"DEEP_PERIOD_OVERRIDE",AK$11)*1,"")))</f>
        <v/>
      </c>
      <c r="AL215" s="17" t="str">
        <f ca="1">IF(ISNA($B215),"",IF($B215="","",IFERROR(_xll.BDP(TICKER,"DEEP_MEASURE_PERIOD_BROKER_VALUE","DEEP_MEASURE_ID_OVERRIDE",$C215,"DEEP_BROKER_ID_OVERRIDE",$F$7,"DEEP_PERIOD_OVERRIDE",AL$11)*1,"")))</f>
        <v/>
      </c>
      <c r="AM215" s="17" t="str">
        <f ca="1">IF(ISNA($B215),"",IF($B215="","",IFERROR(_xll.BDP(TICKER,"DEEP_MEASURE_PERIOD_BROKER_VALUE","DEEP_MEASURE_ID_OVERRIDE",$C215,"DEEP_BROKER_ID_OVERRIDE",$F$7,"DEEP_PERIOD_OVERRIDE",AM$11)*1,"")))</f>
        <v/>
      </c>
      <c r="AN215" s="17" t="str">
        <f ca="1">IF(ISNA($B215),"",IF($B215="","",IFERROR(_xll.BDP(TICKER,"DEEP_MEASURE_PERIOD_BROKER_VALUE","DEEP_MEASURE_ID_OVERRIDE",$C215,"DEEP_BROKER_ID_OVERRIDE",$F$7,"DEEP_PERIOD_OVERRIDE",AN$11)*1,"")))</f>
        <v/>
      </c>
      <c r="AO215" s="17" t="str">
        <f ca="1">IF(ISNA($B215),"",IF($B215="","",IFERROR(_xll.BDP(TICKER,"DEEP_MEASURE_PERIOD_BROKER_VALUE","DEEP_MEASURE_ID_OVERRIDE",$C215,"DEEP_BROKER_ID_OVERRIDE",$F$7,"DEEP_PERIOD_OVERRIDE",AO$11)*1,"")))</f>
        <v/>
      </c>
      <c r="AP215" s="17" t="str">
        <f ca="1">IF(ISNA($B215),"",IF($B215="","",IFERROR(_xll.BDP(TICKER,"DEEP_MEASURE_PERIOD_BROKER_VALUE","DEEP_MEASURE_ID_OVERRIDE",$C215,"DEEP_BROKER_ID_OVERRIDE",$F$7,"DEEP_PERIOD_OVERRIDE",AP$11)*1,"")))</f>
        <v/>
      </c>
      <c r="AQ215" s="17" t="str">
        <f ca="1">IF(ISNA($B215),"",IF($B215="","",IFERROR(_xll.BDP(TICKER,"DEEP_MEASURE_PERIOD_BROKER_VALUE","DEEP_MEASURE_ID_OVERRIDE",$C215,"DEEP_BROKER_ID_OVERRIDE",$F$7,"DEEP_PERIOD_OVERRIDE",AQ$11)*1,"")))</f>
        <v/>
      </c>
    </row>
    <row r="216" spans="2:43" x14ac:dyDescent="0.25">
      <c r="B216" t="s">
        <v>75</v>
      </c>
      <c r="C216">
        <v>455</v>
      </c>
      <c r="H216" t="str">
        <f t="shared" si="5"/>
        <v>Free Cash Flow Per Basic Share</v>
      </c>
      <c r="I216" s="17" t="str">
        <f ca="1">IF(ISNA($B216),"",IF($B216="","",IFERROR(_xll.BDP(TICKER,"DEEP_MEASURE_PERIOD_BROKER_VALUE","DEEP_MEASURE_ID_OVERRIDE",$C216,"DEEP_BROKER_ID_OVERRIDE",$F$7,"DEEP_PERIOD_OVERRIDE",I$11)*1,"")))</f>
        <v/>
      </c>
      <c r="J216" s="17" t="str">
        <f ca="1">IF(ISNA($B216),"",IF($B216="","",IFERROR(_xll.BDP(TICKER,"DEEP_MEASURE_PERIOD_BROKER_VALUE","DEEP_MEASURE_ID_OVERRIDE",$C216,"DEEP_BROKER_ID_OVERRIDE",$F$7,"DEEP_PERIOD_OVERRIDE",J$11)*1,"")))</f>
        <v/>
      </c>
      <c r="K216" s="17" t="str">
        <f ca="1">IF(ISNA($B216),"",IF($B216="","",IFERROR(_xll.BDP(TICKER,"DEEP_MEASURE_PERIOD_BROKER_VALUE","DEEP_MEASURE_ID_OVERRIDE",$C216,"DEEP_BROKER_ID_OVERRIDE",$F$7,"DEEP_PERIOD_OVERRIDE",K$11)*1,"")))</f>
        <v/>
      </c>
      <c r="L216" s="17" t="str">
        <f ca="1">IF(ISNA($B216),"",IF($B216="","",IFERROR(_xll.BDP(TICKER,"DEEP_MEASURE_PERIOD_BROKER_VALUE","DEEP_MEASURE_ID_OVERRIDE",$C216,"DEEP_BROKER_ID_OVERRIDE",$F$7,"DEEP_PERIOD_OVERRIDE",L$11)*1,"")))</f>
        <v/>
      </c>
      <c r="M216" s="17" t="str">
        <f ca="1">IF(ISNA($B216),"",IF($B216="","",IFERROR(_xll.BDP(TICKER,"DEEP_MEASURE_PERIOD_BROKER_VALUE","DEEP_MEASURE_ID_OVERRIDE",$C216,"DEEP_BROKER_ID_OVERRIDE",$F$7,"DEEP_PERIOD_OVERRIDE",M$11)*1,"")))</f>
        <v/>
      </c>
      <c r="N216" s="17" t="str">
        <f ca="1">IF(ISNA($B216),"",IF($B216="","",IFERROR(_xll.BDP(TICKER,"DEEP_MEASURE_PERIOD_BROKER_VALUE","DEEP_MEASURE_ID_OVERRIDE",$C216,"DEEP_BROKER_ID_OVERRIDE",$F$7,"DEEP_PERIOD_OVERRIDE",N$11)*1,"")))</f>
        <v/>
      </c>
      <c r="O216" s="17" t="str">
        <f ca="1">IF(ISNA($B216),"",IF($B216="","",IFERROR(_xll.BDP(TICKER,"DEEP_MEASURE_PERIOD_BROKER_VALUE","DEEP_MEASURE_ID_OVERRIDE",$C216,"DEEP_BROKER_ID_OVERRIDE",$F$7,"DEEP_PERIOD_OVERRIDE",O$11)*1,"")))</f>
        <v/>
      </c>
      <c r="P216" s="17" t="str">
        <f ca="1">IF(ISNA($B216),"",IF($B216="","",IFERROR(_xll.BDP(TICKER,"DEEP_MEASURE_PERIOD_BROKER_VALUE","DEEP_MEASURE_ID_OVERRIDE",$C216,"DEEP_BROKER_ID_OVERRIDE",$F$7,"DEEP_PERIOD_OVERRIDE",P$11)*1,"")))</f>
        <v/>
      </c>
      <c r="Q216" s="17" t="str">
        <f ca="1">IF(ISNA($B216),"",IF($B216="","",IFERROR(_xll.BDP(TICKER,"DEEP_MEASURE_PERIOD_BROKER_VALUE","DEEP_MEASURE_ID_OVERRIDE",$C216,"DEEP_BROKER_ID_OVERRIDE",$F$7,"DEEP_PERIOD_OVERRIDE",Q$11)*1,"")))</f>
        <v/>
      </c>
      <c r="R216" s="17" t="str">
        <f ca="1">IF(ISNA($B216),"",IF($B216="","",IFERROR(_xll.BDP(TICKER,"DEEP_MEASURE_PERIOD_BROKER_VALUE","DEEP_MEASURE_ID_OVERRIDE",$C216,"DEEP_BROKER_ID_OVERRIDE",$F$7,"DEEP_PERIOD_OVERRIDE",R$11)*1,"")))</f>
        <v/>
      </c>
      <c r="S216" s="17" t="str">
        <f ca="1">IF(ISNA($B216),"",IF($B216="","",IFERROR(_xll.BDP(TICKER,"DEEP_MEASURE_PERIOD_BROKER_VALUE","DEEP_MEASURE_ID_OVERRIDE",$C216,"DEEP_BROKER_ID_OVERRIDE",$F$7,"DEEP_PERIOD_OVERRIDE",S$11)*1,"")))</f>
        <v/>
      </c>
      <c r="T216" s="17" t="str">
        <f ca="1">IF(ISNA($B216),"",IF($B216="","",IFERROR(_xll.BDP(TICKER,"DEEP_MEASURE_PERIOD_BROKER_VALUE","DEEP_MEASURE_ID_OVERRIDE",$C216,"DEEP_BROKER_ID_OVERRIDE",$F$7,"DEEP_PERIOD_OVERRIDE",T$11)*1,"")))</f>
        <v/>
      </c>
      <c r="U216" s="17" t="str">
        <f ca="1">IF(ISNA($B216),"",IF($B216="","",IFERROR(_xll.BDP(TICKER,"DEEP_MEASURE_PERIOD_BROKER_VALUE","DEEP_MEASURE_ID_OVERRIDE",$C216,"DEEP_BROKER_ID_OVERRIDE",$F$7,"DEEP_PERIOD_OVERRIDE",U$11)*1,"")))</f>
        <v/>
      </c>
      <c r="V216" s="17" t="str">
        <f ca="1">IF(ISNA($B216),"",IF($B216="","",IFERROR(_xll.BDP(TICKER,"DEEP_MEASURE_PERIOD_BROKER_VALUE","DEEP_MEASURE_ID_OVERRIDE",$C216,"DEEP_BROKER_ID_OVERRIDE",$F$7,"DEEP_PERIOD_OVERRIDE",V$11)*1,"")))</f>
        <v/>
      </c>
      <c r="W216" s="17" t="str">
        <f ca="1">IF(ISNA($B216),"",IF($B216="","",IFERROR(_xll.BDP(TICKER,"DEEP_MEASURE_PERIOD_BROKER_VALUE","DEEP_MEASURE_ID_OVERRIDE",$C216,"DEEP_BROKER_ID_OVERRIDE",$F$7,"DEEP_PERIOD_OVERRIDE",W$11)*1,"")))</f>
        <v/>
      </c>
      <c r="X216" s="17" t="str">
        <f ca="1">IF(ISNA($B216),"",IF($B216="","",IFERROR(_xll.BDP(TICKER,"DEEP_MEASURE_PERIOD_BROKER_VALUE","DEEP_MEASURE_ID_OVERRIDE",$C216,"DEEP_BROKER_ID_OVERRIDE",$F$7,"DEEP_PERIOD_OVERRIDE",X$11)*1,"")))</f>
        <v/>
      </c>
      <c r="Y216" s="17" t="str">
        <f ca="1">IF(ISNA($B216),"",IF($B216="","",IFERROR(_xll.BDP(TICKER,"DEEP_MEASURE_PERIOD_BROKER_VALUE","DEEP_MEASURE_ID_OVERRIDE",$C216,"DEEP_BROKER_ID_OVERRIDE",$F$7,"DEEP_PERIOD_OVERRIDE",Y$11)*1,"")))</f>
        <v/>
      </c>
      <c r="Z216" s="17" t="str">
        <f ca="1">IF(ISNA($B216),"",IF($B216="","",IFERROR(_xll.BDP(TICKER,"DEEP_MEASURE_PERIOD_BROKER_VALUE","DEEP_MEASURE_ID_OVERRIDE",$C216,"DEEP_BROKER_ID_OVERRIDE",$F$7,"DEEP_PERIOD_OVERRIDE",Z$11)*1,"")))</f>
        <v/>
      </c>
      <c r="AA216" s="17" t="str">
        <f ca="1">IF(ISNA($B216),"",IF($B216="","",IFERROR(_xll.BDP(TICKER,"DEEP_MEASURE_PERIOD_BROKER_VALUE","DEEP_MEASURE_ID_OVERRIDE",$C216,"DEEP_BROKER_ID_OVERRIDE",$F$7,"DEEP_PERIOD_OVERRIDE",AA$11)*1,"")))</f>
        <v/>
      </c>
      <c r="AB216" s="17" t="str">
        <f ca="1">IF(ISNA($B216),"",IF($B216="","",IFERROR(_xll.BDP(TICKER,"DEEP_MEASURE_PERIOD_BROKER_VALUE","DEEP_MEASURE_ID_OVERRIDE",$C216,"DEEP_BROKER_ID_OVERRIDE",$F$7,"DEEP_PERIOD_OVERRIDE",AB$11)*1,"")))</f>
        <v/>
      </c>
      <c r="AC216" s="17" t="str">
        <f ca="1">IF(ISNA($B216),"",IF($B216="","",IFERROR(_xll.BDP(TICKER,"DEEP_MEASURE_PERIOD_BROKER_VALUE","DEEP_MEASURE_ID_OVERRIDE",$C216,"DEEP_BROKER_ID_OVERRIDE",$F$7,"DEEP_PERIOD_OVERRIDE",AC$11)*1,"")))</f>
        <v/>
      </c>
      <c r="AD216" s="17" t="str">
        <f ca="1">IF(ISNA($B216),"",IF($B216="","",IFERROR(_xll.BDP(TICKER,"DEEP_MEASURE_PERIOD_BROKER_VALUE","DEEP_MEASURE_ID_OVERRIDE",$C216,"DEEP_BROKER_ID_OVERRIDE",$F$7,"DEEP_PERIOD_OVERRIDE",AD$11)*1,"")))</f>
        <v/>
      </c>
      <c r="AE216" s="17" t="str">
        <f ca="1">IF(ISNA($B216),"",IF($B216="","",IFERROR(_xll.BDP(TICKER,"DEEP_MEASURE_PERIOD_BROKER_VALUE","DEEP_MEASURE_ID_OVERRIDE",$C216,"DEEP_BROKER_ID_OVERRIDE",$F$7,"DEEP_PERIOD_OVERRIDE",AE$11)*1,"")))</f>
        <v/>
      </c>
      <c r="AF216" s="17" t="str">
        <f ca="1">IF(ISNA($B216),"",IF($B216="","",IFERROR(_xll.BDP(TICKER,"DEEP_MEASURE_PERIOD_BROKER_VALUE","DEEP_MEASURE_ID_OVERRIDE",$C216,"DEEP_BROKER_ID_OVERRIDE",$F$7,"DEEP_PERIOD_OVERRIDE",AF$11)*1,"")))</f>
        <v/>
      </c>
      <c r="AG216" s="17" t="str">
        <f ca="1">IF(ISNA($B216),"",IF($B216="","",IFERROR(_xll.BDP(TICKER,"DEEP_MEASURE_PERIOD_BROKER_VALUE","DEEP_MEASURE_ID_OVERRIDE",$C216,"DEEP_BROKER_ID_OVERRIDE",$F$7,"DEEP_PERIOD_OVERRIDE",AG$11)*1,"")))</f>
        <v/>
      </c>
      <c r="AH216" s="17" t="str">
        <f ca="1">IF(ISNA($B216),"",IF($B216="","",IFERROR(_xll.BDP(TICKER,"DEEP_MEASURE_PERIOD_BROKER_VALUE","DEEP_MEASURE_ID_OVERRIDE",$C216,"DEEP_BROKER_ID_OVERRIDE",$F$7,"DEEP_PERIOD_OVERRIDE",AH$11)*1,"")))</f>
        <v/>
      </c>
      <c r="AI216" s="17" t="str">
        <f ca="1">IF(ISNA($B216),"",IF($B216="","",IFERROR(_xll.BDP(TICKER,"DEEP_MEASURE_PERIOD_BROKER_VALUE","DEEP_MEASURE_ID_OVERRIDE",$C216,"DEEP_BROKER_ID_OVERRIDE",$F$7,"DEEP_PERIOD_OVERRIDE",AI$11)*1,"")))</f>
        <v/>
      </c>
      <c r="AJ216" s="17" t="str">
        <f ca="1">IF(ISNA($B216),"",IF($B216="","",IFERROR(_xll.BDP(TICKER,"DEEP_MEASURE_PERIOD_BROKER_VALUE","DEEP_MEASURE_ID_OVERRIDE",$C216,"DEEP_BROKER_ID_OVERRIDE",$F$7,"DEEP_PERIOD_OVERRIDE",AJ$11)*1,"")))</f>
        <v/>
      </c>
      <c r="AK216" s="17" t="str">
        <f ca="1">IF(ISNA($B216),"",IF($B216="","",IFERROR(_xll.BDP(TICKER,"DEEP_MEASURE_PERIOD_BROKER_VALUE","DEEP_MEASURE_ID_OVERRIDE",$C216,"DEEP_BROKER_ID_OVERRIDE",$F$7,"DEEP_PERIOD_OVERRIDE",AK$11)*1,"")))</f>
        <v/>
      </c>
      <c r="AL216" s="17" t="str">
        <f ca="1">IF(ISNA($B216),"",IF($B216="","",IFERROR(_xll.BDP(TICKER,"DEEP_MEASURE_PERIOD_BROKER_VALUE","DEEP_MEASURE_ID_OVERRIDE",$C216,"DEEP_BROKER_ID_OVERRIDE",$F$7,"DEEP_PERIOD_OVERRIDE",AL$11)*1,"")))</f>
        <v/>
      </c>
      <c r="AM216" s="17" t="str">
        <f ca="1">IF(ISNA($B216),"",IF($B216="","",IFERROR(_xll.BDP(TICKER,"DEEP_MEASURE_PERIOD_BROKER_VALUE","DEEP_MEASURE_ID_OVERRIDE",$C216,"DEEP_BROKER_ID_OVERRIDE",$F$7,"DEEP_PERIOD_OVERRIDE",AM$11)*1,"")))</f>
        <v/>
      </c>
      <c r="AN216" s="17" t="str">
        <f ca="1">IF(ISNA($B216),"",IF($B216="","",IFERROR(_xll.BDP(TICKER,"DEEP_MEASURE_PERIOD_BROKER_VALUE","DEEP_MEASURE_ID_OVERRIDE",$C216,"DEEP_BROKER_ID_OVERRIDE",$F$7,"DEEP_PERIOD_OVERRIDE",AN$11)*1,"")))</f>
        <v/>
      </c>
      <c r="AO216" s="17" t="str">
        <f ca="1">IF(ISNA($B216),"",IF($B216="","",IFERROR(_xll.BDP(TICKER,"DEEP_MEASURE_PERIOD_BROKER_VALUE","DEEP_MEASURE_ID_OVERRIDE",$C216,"DEEP_BROKER_ID_OVERRIDE",$F$7,"DEEP_PERIOD_OVERRIDE",AO$11)*1,"")))</f>
        <v/>
      </c>
      <c r="AP216" s="17" t="str">
        <f ca="1">IF(ISNA($B216),"",IF($B216="","",IFERROR(_xll.BDP(TICKER,"DEEP_MEASURE_PERIOD_BROKER_VALUE","DEEP_MEASURE_ID_OVERRIDE",$C216,"DEEP_BROKER_ID_OVERRIDE",$F$7,"DEEP_PERIOD_OVERRIDE",AP$11)*1,"")))</f>
        <v/>
      </c>
      <c r="AQ216" s="17" t="str">
        <f ca="1">IF(ISNA($B216),"",IF($B216="","",IFERROR(_xll.BDP(TICKER,"DEEP_MEASURE_PERIOD_BROKER_VALUE","DEEP_MEASURE_ID_OVERRIDE",$C216,"DEEP_BROKER_ID_OVERRIDE",$F$7,"DEEP_PERIOD_OVERRIDE",AQ$11)*1,"")))</f>
        <v/>
      </c>
    </row>
    <row r="217" spans="2:43" x14ac:dyDescent="0.25">
      <c r="B217" t="s">
        <v>76</v>
      </c>
      <c r="C217">
        <v>5890</v>
      </c>
      <c r="H217" t="str">
        <f t="shared" si="5"/>
        <v>Free Cash Flow to Firm</v>
      </c>
      <c r="I217" s="17" t="str">
        <f ca="1">IF(ISNA($B217),"",IF($B217="","",IFERROR(_xll.BDP(TICKER,"DEEP_MEASURE_PERIOD_BROKER_VALUE","DEEP_MEASURE_ID_OVERRIDE",$C217,"DEEP_BROKER_ID_OVERRIDE",$F$7,"DEEP_PERIOD_OVERRIDE",I$11)*1,"")))</f>
        <v/>
      </c>
      <c r="J217" s="17" t="str">
        <f ca="1">IF(ISNA($B217),"",IF($B217="","",IFERROR(_xll.BDP(TICKER,"DEEP_MEASURE_PERIOD_BROKER_VALUE","DEEP_MEASURE_ID_OVERRIDE",$C217,"DEEP_BROKER_ID_OVERRIDE",$F$7,"DEEP_PERIOD_OVERRIDE",J$11)*1,"")))</f>
        <v/>
      </c>
      <c r="K217" s="17" t="str">
        <f ca="1">IF(ISNA($B217),"",IF($B217="","",IFERROR(_xll.BDP(TICKER,"DEEP_MEASURE_PERIOD_BROKER_VALUE","DEEP_MEASURE_ID_OVERRIDE",$C217,"DEEP_BROKER_ID_OVERRIDE",$F$7,"DEEP_PERIOD_OVERRIDE",K$11)*1,"")))</f>
        <v/>
      </c>
      <c r="L217" s="17" t="str">
        <f ca="1">IF(ISNA($B217),"",IF($B217="","",IFERROR(_xll.BDP(TICKER,"DEEP_MEASURE_PERIOD_BROKER_VALUE","DEEP_MEASURE_ID_OVERRIDE",$C217,"DEEP_BROKER_ID_OVERRIDE",$F$7,"DEEP_PERIOD_OVERRIDE",L$11)*1,"")))</f>
        <v/>
      </c>
      <c r="M217" s="17" t="str">
        <f ca="1">IF(ISNA($B217),"",IF($B217="","",IFERROR(_xll.BDP(TICKER,"DEEP_MEASURE_PERIOD_BROKER_VALUE","DEEP_MEASURE_ID_OVERRIDE",$C217,"DEEP_BROKER_ID_OVERRIDE",$F$7,"DEEP_PERIOD_OVERRIDE",M$11)*1,"")))</f>
        <v/>
      </c>
      <c r="N217" s="17" t="str">
        <f ca="1">IF(ISNA($B217),"",IF($B217="","",IFERROR(_xll.BDP(TICKER,"DEEP_MEASURE_PERIOD_BROKER_VALUE","DEEP_MEASURE_ID_OVERRIDE",$C217,"DEEP_BROKER_ID_OVERRIDE",$F$7,"DEEP_PERIOD_OVERRIDE",N$11)*1,"")))</f>
        <v/>
      </c>
      <c r="O217" s="17" t="str">
        <f ca="1">IF(ISNA($B217),"",IF($B217="","",IFERROR(_xll.BDP(TICKER,"DEEP_MEASURE_PERIOD_BROKER_VALUE","DEEP_MEASURE_ID_OVERRIDE",$C217,"DEEP_BROKER_ID_OVERRIDE",$F$7,"DEEP_PERIOD_OVERRIDE",O$11)*1,"")))</f>
        <v/>
      </c>
      <c r="P217" s="17" t="str">
        <f ca="1">IF(ISNA($B217),"",IF($B217="","",IFERROR(_xll.BDP(TICKER,"DEEP_MEASURE_PERIOD_BROKER_VALUE","DEEP_MEASURE_ID_OVERRIDE",$C217,"DEEP_BROKER_ID_OVERRIDE",$F$7,"DEEP_PERIOD_OVERRIDE",P$11)*1,"")))</f>
        <v/>
      </c>
      <c r="Q217" s="17" t="str">
        <f ca="1">IF(ISNA($B217),"",IF($B217="","",IFERROR(_xll.BDP(TICKER,"DEEP_MEASURE_PERIOD_BROKER_VALUE","DEEP_MEASURE_ID_OVERRIDE",$C217,"DEEP_BROKER_ID_OVERRIDE",$F$7,"DEEP_PERIOD_OVERRIDE",Q$11)*1,"")))</f>
        <v/>
      </c>
      <c r="R217" s="17" t="str">
        <f ca="1">IF(ISNA($B217),"",IF($B217="","",IFERROR(_xll.BDP(TICKER,"DEEP_MEASURE_PERIOD_BROKER_VALUE","DEEP_MEASURE_ID_OVERRIDE",$C217,"DEEP_BROKER_ID_OVERRIDE",$F$7,"DEEP_PERIOD_OVERRIDE",R$11)*1,"")))</f>
        <v/>
      </c>
      <c r="S217" s="17" t="str">
        <f ca="1">IF(ISNA($B217),"",IF($B217="","",IFERROR(_xll.BDP(TICKER,"DEEP_MEASURE_PERIOD_BROKER_VALUE","DEEP_MEASURE_ID_OVERRIDE",$C217,"DEEP_BROKER_ID_OVERRIDE",$F$7,"DEEP_PERIOD_OVERRIDE",S$11)*1,"")))</f>
        <v/>
      </c>
      <c r="T217" s="17" t="str">
        <f ca="1">IF(ISNA($B217),"",IF($B217="","",IFERROR(_xll.BDP(TICKER,"DEEP_MEASURE_PERIOD_BROKER_VALUE","DEEP_MEASURE_ID_OVERRIDE",$C217,"DEEP_BROKER_ID_OVERRIDE",$F$7,"DEEP_PERIOD_OVERRIDE",T$11)*1,"")))</f>
        <v/>
      </c>
      <c r="U217" s="17" t="str">
        <f ca="1">IF(ISNA($B217),"",IF($B217="","",IFERROR(_xll.BDP(TICKER,"DEEP_MEASURE_PERIOD_BROKER_VALUE","DEEP_MEASURE_ID_OVERRIDE",$C217,"DEEP_BROKER_ID_OVERRIDE",$F$7,"DEEP_PERIOD_OVERRIDE",U$11)*1,"")))</f>
        <v/>
      </c>
      <c r="V217" s="17" t="str">
        <f ca="1">IF(ISNA($B217),"",IF($B217="","",IFERROR(_xll.BDP(TICKER,"DEEP_MEASURE_PERIOD_BROKER_VALUE","DEEP_MEASURE_ID_OVERRIDE",$C217,"DEEP_BROKER_ID_OVERRIDE",$F$7,"DEEP_PERIOD_OVERRIDE",V$11)*1,"")))</f>
        <v/>
      </c>
      <c r="W217" s="17" t="str">
        <f ca="1">IF(ISNA($B217),"",IF($B217="","",IFERROR(_xll.BDP(TICKER,"DEEP_MEASURE_PERIOD_BROKER_VALUE","DEEP_MEASURE_ID_OVERRIDE",$C217,"DEEP_BROKER_ID_OVERRIDE",$F$7,"DEEP_PERIOD_OVERRIDE",W$11)*1,"")))</f>
        <v/>
      </c>
      <c r="X217" s="17" t="str">
        <f ca="1">IF(ISNA($B217),"",IF($B217="","",IFERROR(_xll.BDP(TICKER,"DEEP_MEASURE_PERIOD_BROKER_VALUE","DEEP_MEASURE_ID_OVERRIDE",$C217,"DEEP_BROKER_ID_OVERRIDE",$F$7,"DEEP_PERIOD_OVERRIDE",X$11)*1,"")))</f>
        <v/>
      </c>
      <c r="Y217" s="17" t="str">
        <f ca="1">IF(ISNA($B217),"",IF($B217="","",IFERROR(_xll.BDP(TICKER,"DEEP_MEASURE_PERIOD_BROKER_VALUE","DEEP_MEASURE_ID_OVERRIDE",$C217,"DEEP_BROKER_ID_OVERRIDE",$F$7,"DEEP_PERIOD_OVERRIDE",Y$11)*1,"")))</f>
        <v/>
      </c>
      <c r="Z217" s="17" t="str">
        <f ca="1">IF(ISNA($B217),"",IF($B217="","",IFERROR(_xll.BDP(TICKER,"DEEP_MEASURE_PERIOD_BROKER_VALUE","DEEP_MEASURE_ID_OVERRIDE",$C217,"DEEP_BROKER_ID_OVERRIDE",$F$7,"DEEP_PERIOD_OVERRIDE",Z$11)*1,"")))</f>
        <v/>
      </c>
      <c r="AA217" s="17" t="str">
        <f ca="1">IF(ISNA($B217),"",IF($B217="","",IFERROR(_xll.BDP(TICKER,"DEEP_MEASURE_PERIOD_BROKER_VALUE","DEEP_MEASURE_ID_OVERRIDE",$C217,"DEEP_BROKER_ID_OVERRIDE",$F$7,"DEEP_PERIOD_OVERRIDE",AA$11)*1,"")))</f>
        <v/>
      </c>
      <c r="AB217" s="17" t="str">
        <f ca="1">IF(ISNA($B217),"",IF($B217="","",IFERROR(_xll.BDP(TICKER,"DEEP_MEASURE_PERIOD_BROKER_VALUE","DEEP_MEASURE_ID_OVERRIDE",$C217,"DEEP_BROKER_ID_OVERRIDE",$F$7,"DEEP_PERIOD_OVERRIDE",AB$11)*1,"")))</f>
        <v/>
      </c>
      <c r="AC217" s="17" t="str">
        <f ca="1">IF(ISNA($B217),"",IF($B217="","",IFERROR(_xll.BDP(TICKER,"DEEP_MEASURE_PERIOD_BROKER_VALUE","DEEP_MEASURE_ID_OVERRIDE",$C217,"DEEP_BROKER_ID_OVERRIDE",$F$7,"DEEP_PERIOD_OVERRIDE",AC$11)*1,"")))</f>
        <v/>
      </c>
      <c r="AD217" s="17" t="str">
        <f ca="1">IF(ISNA($B217),"",IF($B217="","",IFERROR(_xll.BDP(TICKER,"DEEP_MEASURE_PERIOD_BROKER_VALUE","DEEP_MEASURE_ID_OVERRIDE",$C217,"DEEP_BROKER_ID_OVERRIDE",$F$7,"DEEP_PERIOD_OVERRIDE",AD$11)*1,"")))</f>
        <v/>
      </c>
      <c r="AE217" s="17" t="str">
        <f ca="1">IF(ISNA($B217),"",IF($B217="","",IFERROR(_xll.BDP(TICKER,"DEEP_MEASURE_PERIOD_BROKER_VALUE","DEEP_MEASURE_ID_OVERRIDE",$C217,"DEEP_BROKER_ID_OVERRIDE",$F$7,"DEEP_PERIOD_OVERRIDE",AE$11)*1,"")))</f>
        <v/>
      </c>
      <c r="AF217" s="17" t="str">
        <f ca="1">IF(ISNA($B217),"",IF($B217="","",IFERROR(_xll.BDP(TICKER,"DEEP_MEASURE_PERIOD_BROKER_VALUE","DEEP_MEASURE_ID_OVERRIDE",$C217,"DEEP_BROKER_ID_OVERRIDE",$F$7,"DEEP_PERIOD_OVERRIDE",AF$11)*1,"")))</f>
        <v/>
      </c>
      <c r="AG217" s="17" t="str">
        <f ca="1">IF(ISNA($B217),"",IF($B217="","",IFERROR(_xll.BDP(TICKER,"DEEP_MEASURE_PERIOD_BROKER_VALUE","DEEP_MEASURE_ID_OVERRIDE",$C217,"DEEP_BROKER_ID_OVERRIDE",$F$7,"DEEP_PERIOD_OVERRIDE",AG$11)*1,"")))</f>
        <v/>
      </c>
      <c r="AH217" s="17" t="str">
        <f ca="1">IF(ISNA($B217),"",IF($B217="","",IFERROR(_xll.BDP(TICKER,"DEEP_MEASURE_PERIOD_BROKER_VALUE","DEEP_MEASURE_ID_OVERRIDE",$C217,"DEEP_BROKER_ID_OVERRIDE",$F$7,"DEEP_PERIOD_OVERRIDE",AH$11)*1,"")))</f>
        <v/>
      </c>
      <c r="AI217" s="17" t="str">
        <f ca="1">IF(ISNA($B217),"",IF($B217="","",IFERROR(_xll.BDP(TICKER,"DEEP_MEASURE_PERIOD_BROKER_VALUE","DEEP_MEASURE_ID_OVERRIDE",$C217,"DEEP_BROKER_ID_OVERRIDE",$F$7,"DEEP_PERIOD_OVERRIDE",AI$11)*1,"")))</f>
        <v/>
      </c>
      <c r="AJ217" s="17" t="str">
        <f ca="1">IF(ISNA($B217),"",IF($B217="","",IFERROR(_xll.BDP(TICKER,"DEEP_MEASURE_PERIOD_BROKER_VALUE","DEEP_MEASURE_ID_OVERRIDE",$C217,"DEEP_BROKER_ID_OVERRIDE",$F$7,"DEEP_PERIOD_OVERRIDE",AJ$11)*1,"")))</f>
        <v/>
      </c>
      <c r="AK217" s="17" t="str">
        <f ca="1">IF(ISNA($B217),"",IF($B217="","",IFERROR(_xll.BDP(TICKER,"DEEP_MEASURE_PERIOD_BROKER_VALUE","DEEP_MEASURE_ID_OVERRIDE",$C217,"DEEP_BROKER_ID_OVERRIDE",$F$7,"DEEP_PERIOD_OVERRIDE",AK$11)*1,"")))</f>
        <v/>
      </c>
      <c r="AL217" s="17" t="str">
        <f ca="1">IF(ISNA($B217),"",IF($B217="","",IFERROR(_xll.BDP(TICKER,"DEEP_MEASURE_PERIOD_BROKER_VALUE","DEEP_MEASURE_ID_OVERRIDE",$C217,"DEEP_BROKER_ID_OVERRIDE",$F$7,"DEEP_PERIOD_OVERRIDE",AL$11)*1,"")))</f>
        <v/>
      </c>
      <c r="AM217" s="17" t="str">
        <f ca="1">IF(ISNA($B217),"",IF($B217="","",IFERROR(_xll.BDP(TICKER,"DEEP_MEASURE_PERIOD_BROKER_VALUE","DEEP_MEASURE_ID_OVERRIDE",$C217,"DEEP_BROKER_ID_OVERRIDE",$F$7,"DEEP_PERIOD_OVERRIDE",AM$11)*1,"")))</f>
        <v/>
      </c>
      <c r="AN217" s="17" t="str">
        <f ca="1">IF(ISNA($B217),"",IF($B217="","",IFERROR(_xll.BDP(TICKER,"DEEP_MEASURE_PERIOD_BROKER_VALUE","DEEP_MEASURE_ID_OVERRIDE",$C217,"DEEP_BROKER_ID_OVERRIDE",$F$7,"DEEP_PERIOD_OVERRIDE",AN$11)*1,"")))</f>
        <v/>
      </c>
      <c r="AO217" s="17" t="str">
        <f ca="1">IF(ISNA($B217),"",IF($B217="","",IFERROR(_xll.BDP(TICKER,"DEEP_MEASURE_PERIOD_BROKER_VALUE","DEEP_MEASURE_ID_OVERRIDE",$C217,"DEEP_BROKER_ID_OVERRIDE",$F$7,"DEEP_PERIOD_OVERRIDE",AO$11)*1,"")))</f>
        <v/>
      </c>
      <c r="AP217" s="17" t="str">
        <f ca="1">IF(ISNA($B217),"",IF($B217="","",IFERROR(_xll.BDP(TICKER,"DEEP_MEASURE_PERIOD_BROKER_VALUE","DEEP_MEASURE_ID_OVERRIDE",$C217,"DEEP_BROKER_ID_OVERRIDE",$F$7,"DEEP_PERIOD_OVERRIDE",AP$11)*1,"")))</f>
        <v/>
      </c>
      <c r="AQ217" s="17" t="str">
        <f ca="1">IF(ISNA($B217),"",IF($B217="","",IFERROR(_xll.BDP(TICKER,"DEEP_MEASURE_PERIOD_BROKER_VALUE","DEEP_MEASURE_ID_OVERRIDE",$C217,"DEEP_BROKER_ID_OVERRIDE",$F$7,"DEEP_PERIOD_OVERRIDE",AQ$11)*1,"")))</f>
        <v/>
      </c>
    </row>
    <row r="218" spans="2:43" x14ac:dyDescent="0.25">
      <c r="H218" t="str">
        <f t="shared" si="5"/>
        <v/>
      </c>
      <c r="I218" s="17" t="str">
        <f>IF(ISNA($B218),"",IF($B218="","",IFERROR(_xll.BDP(TICKER,"DEEP_MEASURE_PERIOD_BROKER_VALUE","DEEP_MEASURE_ID_OVERRIDE",$C218,"DEEP_BROKER_ID_OVERRIDE",$F$7,"DEEP_PERIOD_OVERRIDE",I$11)*1,"")))</f>
        <v/>
      </c>
      <c r="J218" s="17" t="str">
        <f>IF(ISNA($B218),"",IF($B218="","",IFERROR(_xll.BDP(TICKER,"DEEP_MEASURE_PERIOD_BROKER_VALUE","DEEP_MEASURE_ID_OVERRIDE",$C218,"DEEP_BROKER_ID_OVERRIDE",$F$7,"DEEP_PERIOD_OVERRIDE",J$11)*1,"")))</f>
        <v/>
      </c>
      <c r="K218" s="17" t="str">
        <f>IF(ISNA($B218),"",IF($B218="","",IFERROR(_xll.BDP(TICKER,"DEEP_MEASURE_PERIOD_BROKER_VALUE","DEEP_MEASURE_ID_OVERRIDE",$C218,"DEEP_BROKER_ID_OVERRIDE",$F$7,"DEEP_PERIOD_OVERRIDE",K$11)*1,"")))</f>
        <v/>
      </c>
      <c r="L218" s="17" t="str">
        <f>IF(ISNA($B218),"",IF($B218="","",IFERROR(_xll.BDP(TICKER,"DEEP_MEASURE_PERIOD_BROKER_VALUE","DEEP_MEASURE_ID_OVERRIDE",$C218,"DEEP_BROKER_ID_OVERRIDE",$F$7,"DEEP_PERIOD_OVERRIDE",L$11)*1,"")))</f>
        <v/>
      </c>
      <c r="M218" s="17" t="str">
        <f>IF(ISNA($B218),"",IF($B218="","",IFERROR(_xll.BDP(TICKER,"DEEP_MEASURE_PERIOD_BROKER_VALUE","DEEP_MEASURE_ID_OVERRIDE",$C218,"DEEP_BROKER_ID_OVERRIDE",$F$7,"DEEP_PERIOD_OVERRIDE",M$11)*1,"")))</f>
        <v/>
      </c>
      <c r="N218" s="17" t="str">
        <f>IF(ISNA($B218),"",IF($B218="","",IFERROR(_xll.BDP(TICKER,"DEEP_MEASURE_PERIOD_BROKER_VALUE","DEEP_MEASURE_ID_OVERRIDE",$C218,"DEEP_BROKER_ID_OVERRIDE",$F$7,"DEEP_PERIOD_OVERRIDE",N$11)*1,"")))</f>
        <v/>
      </c>
      <c r="O218" s="17" t="str">
        <f>IF(ISNA($B218),"",IF($B218="","",IFERROR(_xll.BDP(TICKER,"DEEP_MEASURE_PERIOD_BROKER_VALUE","DEEP_MEASURE_ID_OVERRIDE",$C218,"DEEP_BROKER_ID_OVERRIDE",$F$7,"DEEP_PERIOD_OVERRIDE",O$11)*1,"")))</f>
        <v/>
      </c>
      <c r="P218" s="17" t="str">
        <f>IF(ISNA($B218),"",IF($B218="","",IFERROR(_xll.BDP(TICKER,"DEEP_MEASURE_PERIOD_BROKER_VALUE","DEEP_MEASURE_ID_OVERRIDE",$C218,"DEEP_BROKER_ID_OVERRIDE",$F$7,"DEEP_PERIOD_OVERRIDE",P$11)*1,"")))</f>
        <v/>
      </c>
      <c r="Q218" s="17" t="str">
        <f>IF(ISNA($B218),"",IF($B218="","",IFERROR(_xll.BDP(TICKER,"DEEP_MEASURE_PERIOD_BROKER_VALUE","DEEP_MEASURE_ID_OVERRIDE",$C218,"DEEP_BROKER_ID_OVERRIDE",$F$7,"DEEP_PERIOD_OVERRIDE",Q$11)*1,"")))</f>
        <v/>
      </c>
      <c r="R218" s="17" t="str">
        <f>IF(ISNA($B218),"",IF($B218="","",IFERROR(_xll.BDP(TICKER,"DEEP_MEASURE_PERIOD_BROKER_VALUE","DEEP_MEASURE_ID_OVERRIDE",$C218,"DEEP_BROKER_ID_OVERRIDE",$F$7,"DEEP_PERIOD_OVERRIDE",R$11)*1,"")))</f>
        <v/>
      </c>
      <c r="S218" s="17" t="str">
        <f>IF(ISNA($B218),"",IF($B218="","",IFERROR(_xll.BDP(TICKER,"DEEP_MEASURE_PERIOD_BROKER_VALUE","DEEP_MEASURE_ID_OVERRIDE",$C218,"DEEP_BROKER_ID_OVERRIDE",$F$7,"DEEP_PERIOD_OVERRIDE",S$11)*1,"")))</f>
        <v/>
      </c>
      <c r="T218" s="17" t="str">
        <f>IF(ISNA($B218),"",IF($B218="","",IFERROR(_xll.BDP(TICKER,"DEEP_MEASURE_PERIOD_BROKER_VALUE","DEEP_MEASURE_ID_OVERRIDE",$C218,"DEEP_BROKER_ID_OVERRIDE",$F$7,"DEEP_PERIOD_OVERRIDE",T$11)*1,"")))</f>
        <v/>
      </c>
      <c r="U218" s="17" t="str">
        <f>IF(ISNA($B218),"",IF($B218="","",IFERROR(_xll.BDP(TICKER,"DEEP_MEASURE_PERIOD_BROKER_VALUE","DEEP_MEASURE_ID_OVERRIDE",$C218,"DEEP_BROKER_ID_OVERRIDE",$F$7,"DEEP_PERIOD_OVERRIDE",U$11)*1,"")))</f>
        <v/>
      </c>
      <c r="V218" s="17" t="str">
        <f>IF(ISNA($B218),"",IF($B218="","",IFERROR(_xll.BDP(TICKER,"DEEP_MEASURE_PERIOD_BROKER_VALUE","DEEP_MEASURE_ID_OVERRIDE",$C218,"DEEP_BROKER_ID_OVERRIDE",$F$7,"DEEP_PERIOD_OVERRIDE",V$11)*1,"")))</f>
        <v/>
      </c>
      <c r="W218" s="17" t="str">
        <f>IF(ISNA($B218),"",IF($B218="","",IFERROR(_xll.BDP(TICKER,"DEEP_MEASURE_PERIOD_BROKER_VALUE","DEEP_MEASURE_ID_OVERRIDE",$C218,"DEEP_BROKER_ID_OVERRIDE",$F$7,"DEEP_PERIOD_OVERRIDE",W$11)*1,"")))</f>
        <v/>
      </c>
      <c r="X218" s="17" t="str">
        <f>IF(ISNA($B218),"",IF($B218="","",IFERROR(_xll.BDP(TICKER,"DEEP_MEASURE_PERIOD_BROKER_VALUE","DEEP_MEASURE_ID_OVERRIDE",$C218,"DEEP_BROKER_ID_OVERRIDE",$F$7,"DEEP_PERIOD_OVERRIDE",X$11)*1,"")))</f>
        <v/>
      </c>
      <c r="Y218" s="17" t="str">
        <f>IF(ISNA($B218),"",IF($B218="","",IFERROR(_xll.BDP(TICKER,"DEEP_MEASURE_PERIOD_BROKER_VALUE","DEEP_MEASURE_ID_OVERRIDE",$C218,"DEEP_BROKER_ID_OVERRIDE",$F$7,"DEEP_PERIOD_OVERRIDE",Y$11)*1,"")))</f>
        <v/>
      </c>
      <c r="Z218" s="17" t="str">
        <f>IF(ISNA($B218),"",IF($B218="","",IFERROR(_xll.BDP(TICKER,"DEEP_MEASURE_PERIOD_BROKER_VALUE","DEEP_MEASURE_ID_OVERRIDE",$C218,"DEEP_BROKER_ID_OVERRIDE",$F$7,"DEEP_PERIOD_OVERRIDE",Z$11)*1,"")))</f>
        <v/>
      </c>
      <c r="AA218" s="17" t="str">
        <f>IF(ISNA($B218),"",IF($B218="","",IFERROR(_xll.BDP(TICKER,"DEEP_MEASURE_PERIOD_BROKER_VALUE","DEEP_MEASURE_ID_OVERRIDE",$C218,"DEEP_BROKER_ID_OVERRIDE",$F$7,"DEEP_PERIOD_OVERRIDE",AA$11)*1,"")))</f>
        <v/>
      </c>
      <c r="AB218" s="17" t="str">
        <f>IF(ISNA($B218),"",IF($B218="","",IFERROR(_xll.BDP(TICKER,"DEEP_MEASURE_PERIOD_BROKER_VALUE","DEEP_MEASURE_ID_OVERRIDE",$C218,"DEEP_BROKER_ID_OVERRIDE",$F$7,"DEEP_PERIOD_OVERRIDE",AB$11)*1,"")))</f>
        <v/>
      </c>
      <c r="AC218" s="17" t="str">
        <f>IF(ISNA($B218),"",IF($B218="","",IFERROR(_xll.BDP(TICKER,"DEEP_MEASURE_PERIOD_BROKER_VALUE","DEEP_MEASURE_ID_OVERRIDE",$C218,"DEEP_BROKER_ID_OVERRIDE",$F$7,"DEEP_PERIOD_OVERRIDE",AC$11)*1,"")))</f>
        <v/>
      </c>
      <c r="AD218" s="17" t="str">
        <f>IF(ISNA($B218),"",IF($B218="","",IFERROR(_xll.BDP(TICKER,"DEEP_MEASURE_PERIOD_BROKER_VALUE","DEEP_MEASURE_ID_OVERRIDE",$C218,"DEEP_BROKER_ID_OVERRIDE",$F$7,"DEEP_PERIOD_OVERRIDE",AD$11)*1,"")))</f>
        <v/>
      </c>
      <c r="AE218" s="17" t="str">
        <f>IF(ISNA($B218),"",IF($B218="","",IFERROR(_xll.BDP(TICKER,"DEEP_MEASURE_PERIOD_BROKER_VALUE","DEEP_MEASURE_ID_OVERRIDE",$C218,"DEEP_BROKER_ID_OVERRIDE",$F$7,"DEEP_PERIOD_OVERRIDE",AE$11)*1,"")))</f>
        <v/>
      </c>
      <c r="AF218" s="17" t="str">
        <f>IF(ISNA($B218),"",IF($B218="","",IFERROR(_xll.BDP(TICKER,"DEEP_MEASURE_PERIOD_BROKER_VALUE","DEEP_MEASURE_ID_OVERRIDE",$C218,"DEEP_BROKER_ID_OVERRIDE",$F$7,"DEEP_PERIOD_OVERRIDE",AF$11)*1,"")))</f>
        <v/>
      </c>
      <c r="AG218" s="17" t="str">
        <f>IF(ISNA($B218),"",IF($B218="","",IFERROR(_xll.BDP(TICKER,"DEEP_MEASURE_PERIOD_BROKER_VALUE","DEEP_MEASURE_ID_OVERRIDE",$C218,"DEEP_BROKER_ID_OVERRIDE",$F$7,"DEEP_PERIOD_OVERRIDE",AG$11)*1,"")))</f>
        <v/>
      </c>
      <c r="AH218" s="17" t="str">
        <f>IF(ISNA($B218),"",IF($B218="","",IFERROR(_xll.BDP(TICKER,"DEEP_MEASURE_PERIOD_BROKER_VALUE","DEEP_MEASURE_ID_OVERRIDE",$C218,"DEEP_BROKER_ID_OVERRIDE",$F$7,"DEEP_PERIOD_OVERRIDE",AH$11)*1,"")))</f>
        <v/>
      </c>
      <c r="AI218" s="17" t="str">
        <f>IF(ISNA($B218),"",IF($B218="","",IFERROR(_xll.BDP(TICKER,"DEEP_MEASURE_PERIOD_BROKER_VALUE","DEEP_MEASURE_ID_OVERRIDE",$C218,"DEEP_BROKER_ID_OVERRIDE",$F$7,"DEEP_PERIOD_OVERRIDE",AI$11)*1,"")))</f>
        <v/>
      </c>
      <c r="AJ218" s="17" t="str">
        <f>IF(ISNA($B218),"",IF($B218="","",IFERROR(_xll.BDP(TICKER,"DEEP_MEASURE_PERIOD_BROKER_VALUE","DEEP_MEASURE_ID_OVERRIDE",$C218,"DEEP_BROKER_ID_OVERRIDE",$F$7,"DEEP_PERIOD_OVERRIDE",AJ$11)*1,"")))</f>
        <v/>
      </c>
      <c r="AK218" s="17" t="str">
        <f>IF(ISNA($B218),"",IF($B218="","",IFERROR(_xll.BDP(TICKER,"DEEP_MEASURE_PERIOD_BROKER_VALUE","DEEP_MEASURE_ID_OVERRIDE",$C218,"DEEP_BROKER_ID_OVERRIDE",$F$7,"DEEP_PERIOD_OVERRIDE",AK$11)*1,"")))</f>
        <v/>
      </c>
      <c r="AL218" s="17" t="str">
        <f>IF(ISNA($B218),"",IF($B218="","",IFERROR(_xll.BDP(TICKER,"DEEP_MEASURE_PERIOD_BROKER_VALUE","DEEP_MEASURE_ID_OVERRIDE",$C218,"DEEP_BROKER_ID_OVERRIDE",$F$7,"DEEP_PERIOD_OVERRIDE",AL$11)*1,"")))</f>
        <v/>
      </c>
      <c r="AM218" s="17" t="str">
        <f>IF(ISNA($B218),"",IF($B218="","",IFERROR(_xll.BDP(TICKER,"DEEP_MEASURE_PERIOD_BROKER_VALUE","DEEP_MEASURE_ID_OVERRIDE",$C218,"DEEP_BROKER_ID_OVERRIDE",$F$7,"DEEP_PERIOD_OVERRIDE",AM$11)*1,"")))</f>
        <v/>
      </c>
      <c r="AN218" s="17" t="str">
        <f>IF(ISNA($B218),"",IF($B218="","",IFERROR(_xll.BDP(TICKER,"DEEP_MEASURE_PERIOD_BROKER_VALUE","DEEP_MEASURE_ID_OVERRIDE",$C218,"DEEP_BROKER_ID_OVERRIDE",$F$7,"DEEP_PERIOD_OVERRIDE",AN$11)*1,"")))</f>
        <v/>
      </c>
      <c r="AO218" s="17" t="str">
        <f>IF(ISNA($B218),"",IF($B218="","",IFERROR(_xll.BDP(TICKER,"DEEP_MEASURE_PERIOD_BROKER_VALUE","DEEP_MEASURE_ID_OVERRIDE",$C218,"DEEP_BROKER_ID_OVERRIDE",$F$7,"DEEP_PERIOD_OVERRIDE",AO$11)*1,"")))</f>
        <v/>
      </c>
      <c r="AP218" s="17" t="str">
        <f>IF(ISNA($B218),"",IF($B218="","",IFERROR(_xll.BDP(TICKER,"DEEP_MEASURE_PERIOD_BROKER_VALUE","DEEP_MEASURE_ID_OVERRIDE",$C218,"DEEP_BROKER_ID_OVERRIDE",$F$7,"DEEP_PERIOD_OVERRIDE",AP$11)*1,"")))</f>
        <v/>
      </c>
      <c r="AQ218" s="17" t="str">
        <f>IF(ISNA($B218),"",IF($B218="","",IFERROR(_xll.BDP(TICKER,"DEEP_MEASURE_PERIOD_BROKER_VALUE","DEEP_MEASURE_ID_OVERRIDE",$C218,"DEEP_BROKER_ID_OVERRIDE",$F$7,"DEEP_PERIOD_OVERRIDE",AQ$11)*1,"")))</f>
        <v/>
      </c>
    </row>
    <row r="219" spans="2:43" x14ac:dyDescent="0.25">
      <c r="H219" t="str">
        <f t="shared" si="5"/>
        <v/>
      </c>
      <c r="I219" s="17" t="str">
        <f>IF(ISNA($B219),"",IF($B219="","",IFERROR(_xll.BDP(TICKER,"DEEP_MEASURE_PERIOD_BROKER_VALUE","DEEP_MEASURE_ID_OVERRIDE",$C219,"DEEP_BROKER_ID_OVERRIDE",$F$7,"DEEP_PERIOD_OVERRIDE",I$11)*1,"")))</f>
        <v/>
      </c>
      <c r="J219" s="17" t="str">
        <f>IF(ISNA($B219),"",IF($B219="","",IFERROR(_xll.BDP(TICKER,"DEEP_MEASURE_PERIOD_BROKER_VALUE","DEEP_MEASURE_ID_OVERRIDE",$C219,"DEEP_BROKER_ID_OVERRIDE",$F$7,"DEEP_PERIOD_OVERRIDE",J$11)*1,"")))</f>
        <v/>
      </c>
      <c r="K219" s="17" t="str">
        <f>IF(ISNA($B219),"",IF($B219="","",IFERROR(_xll.BDP(TICKER,"DEEP_MEASURE_PERIOD_BROKER_VALUE","DEEP_MEASURE_ID_OVERRIDE",$C219,"DEEP_BROKER_ID_OVERRIDE",$F$7,"DEEP_PERIOD_OVERRIDE",K$11)*1,"")))</f>
        <v/>
      </c>
      <c r="L219" s="17" t="str">
        <f>IF(ISNA($B219),"",IF($B219="","",IFERROR(_xll.BDP(TICKER,"DEEP_MEASURE_PERIOD_BROKER_VALUE","DEEP_MEASURE_ID_OVERRIDE",$C219,"DEEP_BROKER_ID_OVERRIDE",$F$7,"DEEP_PERIOD_OVERRIDE",L$11)*1,"")))</f>
        <v/>
      </c>
      <c r="M219" s="17" t="str">
        <f>IF(ISNA($B219),"",IF($B219="","",IFERROR(_xll.BDP(TICKER,"DEEP_MEASURE_PERIOD_BROKER_VALUE","DEEP_MEASURE_ID_OVERRIDE",$C219,"DEEP_BROKER_ID_OVERRIDE",$F$7,"DEEP_PERIOD_OVERRIDE",M$11)*1,"")))</f>
        <v/>
      </c>
      <c r="N219" s="17" t="str">
        <f>IF(ISNA($B219),"",IF($B219="","",IFERROR(_xll.BDP(TICKER,"DEEP_MEASURE_PERIOD_BROKER_VALUE","DEEP_MEASURE_ID_OVERRIDE",$C219,"DEEP_BROKER_ID_OVERRIDE",$F$7,"DEEP_PERIOD_OVERRIDE",N$11)*1,"")))</f>
        <v/>
      </c>
      <c r="O219" s="17" t="str">
        <f>IF(ISNA($B219),"",IF($B219="","",IFERROR(_xll.BDP(TICKER,"DEEP_MEASURE_PERIOD_BROKER_VALUE","DEEP_MEASURE_ID_OVERRIDE",$C219,"DEEP_BROKER_ID_OVERRIDE",$F$7,"DEEP_PERIOD_OVERRIDE",O$11)*1,"")))</f>
        <v/>
      </c>
      <c r="P219" s="17" t="str">
        <f>IF(ISNA($B219),"",IF($B219="","",IFERROR(_xll.BDP(TICKER,"DEEP_MEASURE_PERIOD_BROKER_VALUE","DEEP_MEASURE_ID_OVERRIDE",$C219,"DEEP_BROKER_ID_OVERRIDE",$F$7,"DEEP_PERIOD_OVERRIDE",P$11)*1,"")))</f>
        <v/>
      </c>
      <c r="Q219" s="17" t="str">
        <f>IF(ISNA($B219),"",IF($B219="","",IFERROR(_xll.BDP(TICKER,"DEEP_MEASURE_PERIOD_BROKER_VALUE","DEEP_MEASURE_ID_OVERRIDE",$C219,"DEEP_BROKER_ID_OVERRIDE",$F$7,"DEEP_PERIOD_OVERRIDE",Q$11)*1,"")))</f>
        <v/>
      </c>
      <c r="R219" s="17" t="str">
        <f>IF(ISNA($B219),"",IF($B219="","",IFERROR(_xll.BDP(TICKER,"DEEP_MEASURE_PERIOD_BROKER_VALUE","DEEP_MEASURE_ID_OVERRIDE",$C219,"DEEP_BROKER_ID_OVERRIDE",$F$7,"DEEP_PERIOD_OVERRIDE",R$11)*1,"")))</f>
        <v/>
      </c>
      <c r="S219" s="17" t="str">
        <f>IF(ISNA($B219),"",IF($B219="","",IFERROR(_xll.BDP(TICKER,"DEEP_MEASURE_PERIOD_BROKER_VALUE","DEEP_MEASURE_ID_OVERRIDE",$C219,"DEEP_BROKER_ID_OVERRIDE",$F$7,"DEEP_PERIOD_OVERRIDE",S$11)*1,"")))</f>
        <v/>
      </c>
      <c r="T219" s="17" t="str">
        <f>IF(ISNA($B219),"",IF($B219="","",IFERROR(_xll.BDP(TICKER,"DEEP_MEASURE_PERIOD_BROKER_VALUE","DEEP_MEASURE_ID_OVERRIDE",$C219,"DEEP_BROKER_ID_OVERRIDE",$F$7,"DEEP_PERIOD_OVERRIDE",T$11)*1,"")))</f>
        <v/>
      </c>
      <c r="U219" s="17" t="str">
        <f>IF(ISNA($B219),"",IF($B219="","",IFERROR(_xll.BDP(TICKER,"DEEP_MEASURE_PERIOD_BROKER_VALUE","DEEP_MEASURE_ID_OVERRIDE",$C219,"DEEP_BROKER_ID_OVERRIDE",$F$7,"DEEP_PERIOD_OVERRIDE",U$11)*1,"")))</f>
        <v/>
      </c>
      <c r="V219" s="17" t="str">
        <f>IF(ISNA($B219),"",IF($B219="","",IFERROR(_xll.BDP(TICKER,"DEEP_MEASURE_PERIOD_BROKER_VALUE","DEEP_MEASURE_ID_OVERRIDE",$C219,"DEEP_BROKER_ID_OVERRIDE",$F$7,"DEEP_PERIOD_OVERRIDE",V$11)*1,"")))</f>
        <v/>
      </c>
      <c r="W219" s="17" t="str">
        <f>IF(ISNA($B219),"",IF($B219="","",IFERROR(_xll.BDP(TICKER,"DEEP_MEASURE_PERIOD_BROKER_VALUE","DEEP_MEASURE_ID_OVERRIDE",$C219,"DEEP_BROKER_ID_OVERRIDE",$F$7,"DEEP_PERIOD_OVERRIDE",W$11)*1,"")))</f>
        <v/>
      </c>
      <c r="X219" s="17" t="str">
        <f>IF(ISNA($B219),"",IF($B219="","",IFERROR(_xll.BDP(TICKER,"DEEP_MEASURE_PERIOD_BROKER_VALUE","DEEP_MEASURE_ID_OVERRIDE",$C219,"DEEP_BROKER_ID_OVERRIDE",$F$7,"DEEP_PERIOD_OVERRIDE",X$11)*1,"")))</f>
        <v/>
      </c>
      <c r="Y219" s="17" t="str">
        <f>IF(ISNA($B219),"",IF($B219="","",IFERROR(_xll.BDP(TICKER,"DEEP_MEASURE_PERIOD_BROKER_VALUE","DEEP_MEASURE_ID_OVERRIDE",$C219,"DEEP_BROKER_ID_OVERRIDE",$F$7,"DEEP_PERIOD_OVERRIDE",Y$11)*1,"")))</f>
        <v/>
      </c>
      <c r="Z219" s="17" t="str">
        <f>IF(ISNA($B219),"",IF($B219="","",IFERROR(_xll.BDP(TICKER,"DEEP_MEASURE_PERIOD_BROKER_VALUE","DEEP_MEASURE_ID_OVERRIDE",$C219,"DEEP_BROKER_ID_OVERRIDE",$F$7,"DEEP_PERIOD_OVERRIDE",Z$11)*1,"")))</f>
        <v/>
      </c>
      <c r="AA219" s="17" t="str">
        <f>IF(ISNA($B219),"",IF($B219="","",IFERROR(_xll.BDP(TICKER,"DEEP_MEASURE_PERIOD_BROKER_VALUE","DEEP_MEASURE_ID_OVERRIDE",$C219,"DEEP_BROKER_ID_OVERRIDE",$F$7,"DEEP_PERIOD_OVERRIDE",AA$11)*1,"")))</f>
        <v/>
      </c>
      <c r="AB219" s="17" t="str">
        <f>IF(ISNA($B219),"",IF($B219="","",IFERROR(_xll.BDP(TICKER,"DEEP_MEASURE_PERIOD_BROKER_VALUE","DEEP_MEASURE_ID_OVERRIDE",$C219,"DEEP_BROKER_ID_OVERRIDE",$F$7,"DEEP_PERIOD_OVERRIDE",AB$11)*1,"")))</f>
        <v/>
      </c>
      <c r="AC219" s="17" t="str">
        <f>IF(ISNA($B219),"",IF($B219="","",IFERROR(_xll.BDP(TICKER,"DEEP_MEASURE_PERIOD_BROKER_VALUE","DEEP_MEASURE_ID_OVERRIDE",$C219,"DEEP_BROKER_ID_OVERRIDE",$F$7,"DEEP_PERIOD_OVERRIDE",AC$11)*1,"")))</f>
        <v/>
      </c>
      <c r="AD219" s="17" t="str">
        <f>IF(ISNA($B219),"",IF($B219="","",IFERROR(_xll.BDP(TICKER,"DEEP_MEASURE_PERIOD_BROKER_VALUE","DEEP_MEASURE_ID_OVERRIDE",$C219,"DEEP_BROKER_ID_OVERRIDE",$F$7,"DEEP_PERIOD_OVERRIDE",AD$11)*1,"")))</f>
        <v/>
      </c>
      <c r="AE219" s="17" t="str">
        <f>IF(ISNA($B219),"",IF($B219="","",IFERROR(_xll.BDP(TICKER,"DEEP_MEASURE_PERIOD_BROKER_VALUE","DEEP_MEASURE_ID_OVERRIDE",$C219,"DEEP_BROKER_ID_OVERRIDE",$F$7,"DEEP_PERIOD_OVERRIDE",AE$11)*1,"")))</f>
        <v/>
      </c>
      <c r="AF219" s="17" t="str">
        <f>IF(ISNA($B219),"",IF($B219="","",IFERROR(_xll.BDP(TICKER,"DEEP_MEASURE_PERIOD_BROKER_VALUE","DEEP_MEASURE_ID_OVERRIDE",$C219,"DEEP_BROKER_ID_OVERRIDE",$F$7,"DEEP_PERIOD_OVERRIDE",AF$11)*1,"")))</f>
        <v/>
      </c>
      <c r="AG219" s="17" t="str">
        <f>IF(ISNA($B219),"",IF($B219="","",IFERROR(_xll.BDP(TICKER,"DEEP_MEASURE_PERIOD_BROKER_VALUE","DEEP_MEASURE_ID_OVERRIDE",$C219,"DEEP_BROKER_ID_OVERRIDE",$F$7,"DEEP_PERIOD_OVERRIDE",AG$11)*1,"")))</f>
        <v/>
      </c>
      <c r="AH219" s="17" t="str">
        <f>IF(ISNA($B219),"",IF($B219="","",IFERROR(_xll.BDP(TICKER,"DEEP_MEASURE_PERIOD_BROKER_VALUE","DEEP_MEASURE_ID_OVERRIDE",$C219,"DEEP_BROKER_ID_OVERRIDE",$F$7,"DEEP_PERIOD_OVERRIDE",AH$11)*1,"")))</f>
        <v/>
      </c>
      <c r="AI219" s="17" t="str">
        <f>IF(ISNA($B219),"",IF($B219="","",IFERROR(_xll.BDP(TICKER,"DEEP_MEASURE_PERIOD_BROKER_VALUE","DEEP_MEASURE_ID_OVERRIDE",$C219,"DEEP_BROKER_ID_OVERRIDE",$F$7,"DEEP_PERIOD_OVERRIDE",AI$11)*1,"")))</f>
        <v/>
      </c>
      <c r="AJ219" s="17" t="str">
        <f>IF(ISNA($B219),"",IF($B219="","",IFERROR(_xll.BDP(TICKER,"DEEP_MEASURE_PERIOD_BROKER_VALUE","DEEP_MEASURE_ID_OVERRIDE",$C219,"DEEP_BROKER_ID_OVERRIDE",$F$7,"DEEP_PERIOD_OVERRIDE",AJ$11)*1,"")))</f>
        <v/>
      </c>
      <c r="AK219" s="17" t="str">
        <f>IF(ISNA($B219),"",IF($B219="","",IFERROR(_xll.BDP(TICKER,"DEEP_MEASURE_PERIOD_BROKER_VALUE","DEEP_MEASURE_ID_OVERRIDE",$C219,"DEEP_BROKER_ID_OVERRIDE",$F$7,"DEEP_PERIOD_OVERRIDE",AK$11)*1,"")))</f>
        <v/>
      </c>
      <c r="AL219" s="17" t="str">
        <f>IF(ISNA($B219),"",IF($B219="","",IFERROR(_xll.BDP(TICKER,"DEEP_MEASURE_PERIOD_BROKER_VALUE","DEEP_MEASURE_ID_OVERRIDE",$C219,"DEEP_BROKER_ID_OVERRIDE",$F$7,"DEEP_PERIOD_OVERRIDE",AL$11)*1,"")))</f>
        <v/>
      </c>
      <c r="AM219" s="17" t="str">
        <f>IF(ISNA($B219),"",IF($B219="","",IFERROR(_xll.BDP(TICKER,"DEEP_MEASURE_PERIOD_BROKER_VALUE","DEEP_MEASURE_ID_OVERRIDE",$C219,"DEEP_BROKER_ID_OVERRIDE",$F$7,"DEEP_PERIOD_OVERRIDE",AM$11)*1,"")))</f>
        <v/>
      </c>
      <c r="AN219" s="17" t="str">
        <f>IF(ISNA($B219),"",IF($B219="","",IFERROR(_xll.BDP(TICKER,"DEEP_MEASURE_PERIOD_BROKER_VALUE","DEEP_MEASURE_ID_OVERRIDE",$C219,"DEEP_BROKER_ID_OVERRIDE",$F$7,"DEEP_PERIOD_OVERRIDE",AN$11)*1,"")))</f>
        <v/>
      </c>
      <c r="AO219" s="17" t="str">
        <f>IF(ISNA($B219),"",IF($B219="","",IFERROR(_xll.BDP(TICKER,"DEEP_MEASURE_PERIOD_BROKER_VALUE","DEEP_MEASURE_ID_OVERRIDE",$C219,"DEEP_BROKER_ID_OVERRIDE",$F$7,"DEEP_PERIOD_OVERRIDE",AO$11)*1,"")))</f>
        <v/>
      </c>
      <c r="AP219" s="17" t="str">
        <f>IF(ISNA($B219),"",IF($B219="","",IFERROR(_xll.BDP(TICKER,"DEEP_MEASURE_PERIOD_BROKER_VALUE","DEEP_MEASURE_ID_OVERRIDE",$C219,"DEEP_BROKER_ID_OVERRIDE",$F$7,"DEEP_PERIOD_OVERRIDE",AP$11)*1,"")))</f>
        <v/>
      </c>
      <c r="AQ219" s="17" t="str">
        <f>IF(ISNA($B219),"",IF($B219="","",IFERROR(_xll.BDP(TICKER,"DEEP_MEASURE_PERIOD_BROKER_VALUE","DEEP_MEASURE_ID_OVERRIDE",$C219,"DEEP_BROKER_ID_OVERRIDE",$F$7,"DEEP_PERIOD_OVERRIDE",AQ$11)*1,"")))</f>
        <v/>
      </c>
    </row>
    <row r="220" spans="2:43" x14ac:dyDescent="0.25">
      <c r="H220" t="str">
        <f t="shared" si="5"/>
        <v/>
      </c>
      <c r="I220" s="17" t="str">
        <f>IF(ISNA($B220),"",IF($B220="","",IFERROR(_xll.BDP(TICKER,"DEEP_MEASURE_PERIOD_BROKER_VALUE","DEEP_MEASURE_ID_OVERRIDE",$C220,"DEEP_BROKER_ID_OVERRIDE",$F$7,"DEEP_PERIOD_OVERRIDE",I$11)*1,"")))</f>
        <v/>
      </c>
      <c r="J220" s="17" t="str">
        <f>IF(ISNA($B220),"",IF($B220="","",IFERROR(_xll.BDP(TICKER,"DEEP_MEASURE_PERIOD_BROKER_VALUE","DEEP_MEASURE_ID_OVERRIDE",$C220,"DEEP_BROKER_ID_OVERRIDE",$F$7,"DEEP_PERIOD_OVERRIDE",J$11)*1,"")))</f>
        <v/>
      </c>
      <c r="K220" s="17" t="str">
        <f>IF(ISNA($B220),"",IF($B220="","",IFERROR(_xll.BDP(TICKER,"DEEP_MEASURE_PERIOD_BROKER_VALUE","DEEP_MEASURE_ID_OVERRIDE",$C220,"DEEP_BROKER_ID_OVERRIDE",$F$7,"DEEP_PERIOD_OVERRIDE",K$11)*1,"")))</f>
        <v/>
      </c>
      <c r="L220" s="17" t="str">
        <f>IF(ISNA($B220),"",IF($B220="","",IFERROR(_xll.BDP(TICKER,"DEEP_MEASURE_PERIOD_BROKER_VALUE","DEEP_MEASURE_ID_OVERRIDE",$C220,"DEEP_BROKER_ID_OVERRIDE",$F$7,"DEEP_PERIOD_OVERRIDE",L$11)*1,"")))</f>
        <v/>
      </c>
      <c r="M220" s="17" t="str">
        <f>IF(ISNA($B220),"",IF($B220="","",IFERROR(_xll.BDP(TICKER,"DEEP_MEASURE_PERIOD_BROKER_VALUE","DEEP_MEASURE_ID_OVERRIDE",$C220,"DEEP_BROKER_ID_OVERRIDE",$F$7,"DEEP_PERIOD_OVERRIDE",M$11)*1,"")))</f>
        <v/>
      </c>
      <c r="N220" s="17" t="str">
        <f>IF(ISNA($B220),"",IF($B220="","",IFERROR(_xll.BDP(TICKER,"DEEP_MEASURE_PERIOD_BROKER_VALUE","DEEP_MEASURE_ID_OVERRIDE",$C220,"DEEP_BROKER_ID_OVERRIDE",$F$7,"DEEP_PERIOD_OVERRIDE",N$11)*1,"")))</f>
        <v/>
      </c>
      <c r="O220" s="17" t="str">
        <f>IF(ISNA($B220),"",IF($B220="","",IFERROR(_xll.BDP(TICKER,"DEEP_MEASURE_PERIOD_BROKER_VALUE","DEEP_MEASURE_ID_OVERRIDE",$C220,"DEEP_BROKER_ID_OVERRIDE",$F$7,"DEEP_PERIOD_OVERRIDE",O$11)*1,"")))</f>
        <v/>
      </c>
      <c r="P220" s="17" t="str">
        <f>IF(ISNA($B220),"",IF($B220="","",IFERROR(_xll.BDP(TICKER,"DEEP_MEASURE_PERIOD_BROKER_VALUE","DEEP_MEASURE_ID_OVERRIDE",$C220,"DEEP_BROKER_ID_OVERRIDE",$F$7,"DEEP_PERIOD_OVERRIDE",P$11)*1,"")))</f>
        <v/>
      </c>
      <c r="Q220" s="17" t="str">
        <f>IF(ISNA($B220),"",IF($B220="","",IFERROR(_xll.BDP(TICKER,"DEEP_MEASURE_PERIOD_BROKER_VALUE","DEEP_MEASURE_ID_OVERRIDE",$C220,"DEEP_BROKER_ID_OVERRIDE",$F$7,"DEEP_PERIOD_OVERRIDE",Q$11)*1,"")))</f>
        <v/>
      </c>
      <c r="R220" s="17" t="str">
        <f>IF(ISNA($B220),"",IF($B220="","",IFERROR(_xll.BDP(TICKER,"DEEP_MEASURE_PERIOD_BROKER_VALUE","DEEP_MEASURE_ID_OVERRIDE",$C220,"DEEP_BROKER_ID_OVERRIDE",$F$7,"DEEP_PERIOD_OVERRIDE",R$11)*1,"")))</f>
        <v/>
      </c>
      <c r="S220" s="17" t="str">
        <f>IF(ISNA($B220),"",IF($B220="","",IFERROR(_xll.BDP(TICKER,"DEEP_MEASURE_PERIOD_BROKER_VALUE","DEEP_MEASURE_ID_OVERRIDE",$C220,"DEEP_BROKER_ID_OVERRIDE",$F$7,"DEEP_PERIOD_OVERRIDE",S$11)*1,"")))</f>
        <v/>
      </c>
      <c r="T220" s="17" t="str">
        <f>IF(ISNA($B220),"",IF($B220="","",IFERROR(_xll.BDP(TICKER,"DEEP_MEASURE_PERIOD_BROKER_VALUE","DEEP_MEASURE_ID_OVERRIDE",$C220,"DEEP_BROKER_ID_OVERRIDE",$F$7,"DEEP_PERIOD_OVERRIDE",T$11)*1,"")))</f>
        <v/>
      </c>
      <c r="U220" s="17" t="str">
        <f>IF(ISNA($B220),"",IF($B220="","",IFERROR(_xll.BDP(TICKER,"DEEP_MEASURE_PERIOD_BROKER_VALUE","DEEP_MEASURE_ID_OVERRIDE",$C220,"DEEP_BROKER_ID_OVERRIDE",$F$7,"DEEP_PERIOD_OVERRIDE",U$11)*1,"")))</f>
        <v/>
      </c>
      <c r="V220" s="17" t="str">
        <f>IF(ISNA($B220),"",IF($B220="","",IFERROR(_xll.BDP(TICKER,"DEEP_MEASURE_PERIOD_BROKER_VALUE","DEEP_MEASURE_ID_OVERRIDE",$C220,"DEEP_BROKER_ID_OVERRIDE",$F$7,"DEEP_PERIOD_OVERRIDE",V$11)*1,"")))</f>
        <v/>
      </c>
      <c r="W220" s="17" t="str">
        <f>IF(ISNA($B220),"",IF($B220="","",IFERROR(_xll.BDP(TICKER,"DEEP_MEASURE_PERIOD_BROKER_VALUE","DEEP_MEASURE_ID_OVERRIDE",$C220,"DEEP_BROKER_ID_OVERRIDE",$F$7,"DEEP_PERIOD_OVERRIDE",W$11)*1,"")))</f>
        <v/>
      </c>
      <c r="X220" s="17" t="str">
        <f>IF(ISNA($B220),"",IF($B220="","",IFERROR(_xll.BDP(TICKER,"DEEP_MEASURE_PERIOD_BROKER_VALUE","DEEP_MEASURE_ID_OVERRIDE",$C220,"DEEP_BROKER_ID_OVERRIDE",$F$7,"DEEP_PERIOD_OVERRIDE",X$11)*1,"")))</f>
        <v/>
      </c>
      <c r="Y220" s="17" t="str">
        <f>IF(ISNA($B220),"",IF($B220="","",IFERROR(_xll.BDP(TICKER,"DEEP_MEASURE_PERIOD_BROKER_VALUE","DEEP_MEASURE_ID_OVERRIDE",$C220,"DEEP_BROKER_ID_OVERRIDE",$F$7,"DEEP_PERIOD_OVERRIDE",Y$11)*1,"")))</f>
        <v/>
      </c>
      <c r="Z220" s="17" t="str">
        <f>IF(ISNA($B220),"",IF($B220="","",IFERROR(_xll.BDP(TICKER,"DEEP_MEASURE_PERIOD_BROKER_VALUE","DEEP_MEASURE_ID_OVERRIDE",$C220,"DEEP_BROKER_ID_OVERRIDE",$F$7,"DEEP_PERIOD_OVERRIDE",Z$11)*1,"")))</f>
        <v/>
      </c>
      <c r="AA220" s="17" t="str">
        <f>IF(ISNA($B220),"",IF($B220="","",IFERROR(_xll.BDP(TICKER,"DEEP_MEASURE_PERIOD_BROKER_VALUE","DEEP_MEASURE_ID_OVERRIDE",$C220,"DEEP_BROKER_ID_OVERRIDE",$F$7,"DEEP_PERIOD_OVERRIDE",AA$11)*1,"")))</f>
        <v/>
      </c>
      <c r="AB220" s="17" t="str">
        <f>IF(ISNA($B220),"",IF($B220="","",IFERROR(_xll.BDP(TICKER,"DEEP_MEASURE_PERIOD_BROKER_VALUE","DEEP_MEASURE_ID_OVERRIDE",$C220,"DEEP_BROKER_ID_OVERRIDE",$F$7,"DEEP_PERIOD_OVERRIDE",AB$11)*1,"")))</f>
        <v/>
      </c>
      <c r="AC220" s="17" t="str">
        <f>IF(ISNA($B220),"",IF($B220="","",IFERROR(_xll.BDP(TICKER,"DEEP_MEASURE_PERIOD_BROKER_VALUE","DEEP_MEASURE_ID_OVERRIDE",$C220,"DEEP_BROKER_ID_OVERRIDE",$F$7,"DEEP_PERIOD_OVERRIDE",AC$11)*1,"")))</f>
        <v/>
      </c>
      <c r="AD220" s="17" t="str">
        <f>IF(ISNA($B220),"",IF($B220="","",IFERROR(_xll.BDP(TICKER,"DEEP_MEASURE_PERIOD_BROKER_VALUE","DEEP_MEASURE_ID_OVERRIDE",$C220,"DEEP_BROKER_ID_OVERRIDE",$F$7,"DEEP_PERIOD_OVERRIDE",AD$11)*1,"")))</f>
        <v/>
      </c>
      <c r="AE220" s="17" t="str">
        <f>IF(ISNA($B220),"",IF($B220="","",IFERROR(_xll.BDP(TICKER,"DEEP_MEASURE_PERIOD_BROKER_VALUE","DEEP_MEASURE_ID_OVERRIDE",$C220,"DEEP_BROKER_ID_OVERRIDE",$F$7,"DEEP_PERIOD_OVERRIDE",AE$11)*1,"")))</f>
        <v/>
      </c>
      <c r="AF220" s="17" t="str">
        <f>IF(ISNA($B220),"",IF($B220="","",IFERROR(_xll.BDP(TICKER,"DEEP_MEASURE_PERIOD_BROKER_VALUE","DEEP_MEASURE_ID_OVERRIDE",$C220,"DEEP_BROKER_ID_OVERRIDE",$F$7,"DEEP_PERIOD_OVERRIDE",AF$11)*1,"")))</f>
        <v/>
      </c>
      <c r="AG220" s="17" t="str">
        <f>IF(ISNA($B220),"",IF($B220="","",IFERROR(_xll.BDP(TICKER,"DEEP_MEASURE_PERIOD_BROKER_VALUE","DEEP_MEASURE_ID_OVERRIDE",$C220,"DEEP_BROKER_ID_OVERRIDE",$F$7,"DEEP_PERIOD_OVERRIDE",AG$11)*1,"")))</f>
        <v/>
      </c>
      <c r="AH220" s="17" t="str">
        <f>IF(ISNA($B220),"",IF($B220="","",IFERROR(_xll.BDP(TICKER,"DEEP_MEASURE_PERIOD_BROKER_VALUE","DEEP_MEASURE_ID_OVERRIDE",$C220,"DEEP_BROKER_ID_OVERRIDE",$F$7,"DEEP_PERIOD_OVERRIDE",AH$11)*1,"")))</f>
        <v/>
      </c>
      <c r="AI220" s="17" t="str">
        <f>IF(ISNA($B220),"",IF($B220="","",IFERROR(_xll.BDP(TICKER,"DEEP_MEASURE_PERIOD_BROKER_VALUE","DEEP_MEASURE_ID_OVERRIDE",$C220,"DEEP_BROKER_ID_OVERRIDE",$F$7,"DEEP_PERIOD_OVERRIDE",AI$11)*1,"")))</f>
        <v/>
      </c>
      <c r="AJ220" s="17" t="str">
        <f>IF(ISNA($B220),"",IF($B220="","",IFERROR(_xll.BDP(TICKER,"DEEP_MEASURE_PERIOD_BROKER_VALUE","DEEP_MEASURE_ID_OVERRIDE",$C220,"DEEP_BROKER_ID_OVERRIDE",$F$7,"DEEP_PERIOD_OVERRIDE",AJ$11)*1,"")))</f>
        <v/>
      </c>
      <c r="AK220" s="17" t="str">
        <f>IF(ISNA($B220),"",IF($B220="","",IFERROR(_xll.BDP(TICKER,"DEEP_MEASURE_PERIOD_BROKER_VALUE","DEEP_MEASURE_ID_OVERRIDE",$C220,"DEEP_BROKER_ID_OVERRIDE",$F$7,"DEEP_PERIOD_OVERRIDE",AK$11)*1,"")))</f>
        <v/>
      </c>
      <c r="AL220" s="17" t="str">
        <f>IF(ISNA($B220),"",IF($B220="","",IFERROR(_xll.BDP(TICKER,"DEEP_MEASURE_PERIOD_BROKER_VALUE","DEEP_MEASURE_ID_OVERRIDE",$C220,"DEEP_BROKER_ID_OVERRIDE",$F$7,"DEEP_PERIOD_OVERRIDE",AL$11)*1,"")))</f>
        <v/>
      </c>
      <c r="AM220" s="17" t="str">
        <f>IF(ISNA($B220),"",IF($B220="","",IFERROR(_xll.BDP(TICKER,"DEEP_MEASURE_PERIOD_BROKER_VALUE","DEEP_MEASURE_ID_OVERRIDE",$C220,"DEEP_BROKER_ID_OVERRIDE",$F$7,"DEEP_PERIOD_OVERRIDE",AM$11)*1,"")))</f>
        <v/>
      </c>
      <c r="AN220" s="17" t="str">
        <f>IF(ISNA($B220),"",IF($B220="","",IFERROR(_xll.BDP(TICKER,"DEEP_MEASURE_PERIOD_BROKER_VALUE","DEEP_MEASURE_ID_OVERRIDE",$C220,"DEEP_BROKER_ID_OVERRIDE",$F$7,"DEEP_PERIOD_OVERRIDE",AN$11)*1,"")))</f>
        <v/>
      </c>
      <c r="AO220" s="17" t="str">
        <f>IF(ISNA($B220),"",IF($B220="","",IFERROR(_xll.BDP(TICKER,"DEEP_MEASURE_PERIOD_BROKER_VALUE","DEEP_MEASURE_ID_OVERRIDE",$C220,"DEEP_BROKER_ID_OVERRIDE",$F$7,"DEEP_PERIOD_OVERRIDE",AO$11)*1,"")))</f>
        <v/>
      </c>
      <c r="AP220" s="17" t="str">
        <f>IF(ISNA($B220),"",IF($B220="","",IFERROR(_xll.BDP(TICKER,"DEEP_MEASURE_PERIOD_BROKER_VALUE","DEEP_MEASURE_ID_OVERRIDE",$C220,"DEEP_BROKER_ID_OVERRIDE",$F$7,"DEEP_PERIOD_OVERRIDE",AP$11)*1,"")))</f>
        <v/>
      </c>
      <c r="AQ220" s="17" t="str">
        <f>IF(ISNA($B220),"",IF($B220="","",IFERROR(_xll.BDP(TICKER,"DEEP_MEASURE_PERIOD_BROKER_VALUE","DEEP_MEASURE_ID_OVERRIDE",$C220,"DEEP_BROKER_ID_OVERRIDE",$F$7,"DEEP_PERIOD_OVERRIDE",AQ$11)*1,"")))</f>
        <v/>
      </c>
    </row>
    <row r="221" spans="2:43" x14ac:dyDescent="0.25">
      <c r="H221" t="str">
        <f t="shared" si="5"/>
        <v/>
      </c>
      <c r="I221" s="17" t="str">
        <f>IF(ISNA($B221),"",IF($B221="","",IFERROR(_xll.BDP(TICKER,"DEEP_MEASURE_PERIOD_BROKER_VALUE","DEEP_MEASURE_ID_OVERRIDE",$C221,"DEEP_BROKER_ID_OVERRIDE",$F$7,"DEEP_PERIOD_OVERRIDE",I$11)*1,"")))</f>
        <v/>
      </c>
      <c r="J221" s="17" t="str">
        <f>IF(ISNA($B221),"",IF($B221="","",IFERROR(_xll.BDP(TICKER,"DEEP_MEASURE_PERIOD_BROKER_VALUE","DEEP_MEASURE_ID_OVERRIDE",$C221,"DEEP_BROKER_ID_OVERRIDE",$F$7,"DEEP_PERIOD_OVERRIDE",J$11)*1,"")))</f>
        <v/>
      </c>
      <c r="K221" s="17" t="str">
        <f>IF(ISNA($B221),"",IF($B221="","",IFERROR(_xll.BDP(TICKER,"DEEP_MEASURE_PERIOD_BROKER_VALUE","DEEP_MEASURE_ID_OVERRIDE",$C221,"DEEP_BROKER_ID_OVERRIDE",$F$7,"DEEP_PERIOD_OVERRIDE",K$11)*1,"")))</f>
        <v/>
      </c>
      <c r="L221" s="17" t="str">
        <f>IF(ISNA($B221),"",IF($B221="","",IFERROR(_xll.BDP(TICKER,"DEEP_MEASURE_PERIOD_BROKER_VALUE","DEEP_MEASURE_ID_OVERRIDE",$C221,"DEEP_BROKER_ID_OVERRIDE",$F$7,"DEEP_PERIOD_OVERRIDE",L$11)*1,"")))</f>
        <v/>
      </c>
      <c r="M221" s="17" t="str">
        <f>IF(ISNA($B221),"",IF($B221="","",IFERROR(_xll.BDP(TICKER,"DEEP_MEASURE_PERIOD_BROKER_VALUE","DEEP_MEASURE_ID_OVERRIDE",$C221,"DEEP_BROKER_ID_OVERRIDE",$F$7,"DEEP_PERIOD_OVERRIDE",M$11)*1,"")))</f>
        <v/>
      </c>
      <c r="N221" s="17" t="str">
        <f>IF(ISNA($B221),"",IF($B221="","",IFERROR(_xll.BDP(TICKER,"DEEP_MEASURE_PERIOD_BROKER_VALUE","DEEP_MEASURE_ID_OVERRIDE",$C221,"DEEP_BROKER_ID_OVERRIDE",$F$7,"DEEP_PERIOD_OVERRIDE",N$11)*1,"")))</f>
        <v/>
      </c>
      <c r="O221" s="17" t="str">
        <f>IF(ISNA($B221),"",IF($B221="","",IFERROR(_xll.BDP(TICKER,"DEEP_MEASURE_PERIOD_BROKER_VALUE","DEEP_MEASURE_ID_OVERRIDE",$C221,"DEEP_BROKER_ID_OVERRIDE",$F$7,"DEEP_PERIOD_OVERRIDE",O$11)*1,"")))</f>
        <v/>
      </c>
      <c r="P221" s="17" t="str">
        <f>IF(ISNA($B221),"",IF($B221="","",IFERROR(_xll.BDP(TICKER,"DEEP_MEASURE_PERIOD_BROKER_VALUE","DEEP_MEASURE_ID_OVERRIDE",$C221,"DEEP_BROKER_ID_OVERRIDE",$F$7,"DEEP_PERIOD_OVERRIDE",P$11)*1,"")))</f>
        <v/>
      </c>
      <c r="Q221" s="17" t="str">
        <f>IF(ISNA($B221),"",IF($B221="","",IFERROR(_xll.BDP(TICKER,"DEEP_MEASURE_PERIOD_BROKER_VALUE","DEEP_MEASURE_ID_OVERRIDE",$C221,"DEEP_BROKER_ID_OVERRIDE",$F$7,"DEEP_PERIOD_OVERRIDE",Q$11)*1,"")))</f>
        <v/>
      </c>
      <c r="R221" s="17" t="str">
        <f>IF(ISNA($B221),"",IF($B221="","",IFERROR(_xll.BDP(TICKER,"DEEP_MEASURE_PERIOD_BROKER_VALUE","DEEP_MEASURE_ID_OVERRIDE",$C221,"DEEP_BROKER_ID_OVERRIDE",$F$7,"DEEP_PERIOD_OVERRIDE",R$11)*1,"")))</f>
        <v/>
      </c>
      <c r="S221" s="17" t="str">
        <f>IF(ISNA($B221),"",IF($B221="","",IFERROR(_xll.BDP(TICKER,"DEEP_MEASURE_PERIOD_BROKER_VALUE","DEEP_MEASURE_ID_OVERRIDE",$C221,"DEEP_BROKER_ID_OVERRIDE",$F$7,"DEEP_PERIOD_OVERRIDE",S$11)*1,"")))</f>
        <v/>
      </c>
      <c r="T221" s="17" t="str">
        <f>IF(ISNA($B221),"",IF($B221="","",IFERROR(_xll.BDP(TICKER,"DEEP_MEASURE_PERIOD_BROKER_VALUE","DEEP_MEASURE_ID_OVERRIDE",$C221,"DEEP_BROKER_ID_OVERRIDE",$F$7,"DEEP_PERIOD_OVERRIDE",T$11)*1,"")))</f>
        <v/>
      </c>
      <c r="U221" s="17" t="str">
        <f>IF(ISNA($B221),"",IF($B221="","",IFERROR(_xll.BDP(TICKER,"DEEP_MEASURE_PERIOD_BROKER_VALUE","DEEP_MEASURE_ID_OVERRIDE",$C221,"DEEP_BROKER_ID_OVERRIDE",$F$7,"DEEP_PERIOD_OVERRIDE",U$11)*1,"")))</f>
        <v/>
      </c>
      <c r="V221" s="17" t="str">
        <f>IF(ISNA($B221),"",IF($B221="","",IFERROR(_xll.BDP(TICKER,"DEEP_MEASURE_PERIOD_BROKER_VALUE","DEEP_MEASURE_ID_OVERRIDE",$C221,"DEEP_BROKER_ID_OVERRIDE",$F$7,"DEEP_PERIOD_OVERRIDE",V$11)*1,"")))</f>
        <v/>
      </c>
      <c r="W221" s="17" t="str">
        <f>IF(ISNA($B221),"",IF($B221="","",IFERROR(_xll.BDP(TICKER,"DEEP_MEASURE_PERIOD_BROKER_VALUE","DEEP_MEASURE_ID_OVERRIDE",$C221,"DEEP_BROKER_ID_OVERRIDE",$F$7,"DEEP_PERIOD_OVERRIDE",W$11)*1,"")))</f>
        <v/>
      </c>
      <c r="X221" s="17" t="str">
        <f>IF(ISNA($B221),"",IF($B221="","",IFERROR(_xll.BDP(TICKER,"DEEP_MEASURE_PERIOD_BROKER_VALUE","DEEP_MEASURE_ID_OVERRIDE",$C221,"DEEP_BROKER_ID_OVERRIDE",$F$7,"DEEP_PERIOD_OVERRIDE",X$11)*1,"")))</f>
        <v/>
      </c>
      <c r="Y221" s="17" t="str">
        <f>IF(ISNA($B221),"",IF($B221="","",IFERROR(_xll.BDP(TICKER,"DEEP_MEASURE_PERIOD_BROKER_VALUE","DEEP_MEASURE_ID_OVERRIDE",$C221,"DEEP_BROKER_ID_OVERRIDE",$F$7,"DEEP_PERIOD_OVERRIDE",Y$11)*1,"")))</f>
        <v/>
      </c>
      <c r="Z221" s="17" t="str">
        <f>IF(ISNA($B221),"",IF($B221="","",IFERROR(_xll.BDP(TICKER,"DEEP_MEASURE_PERIOD_BROKER_VALUE","DEEP_MEASURE_ID_OVERRIDE",$C221,"DEEP_BROKER_ID_OVERRIDE",$F$7,"DEEP_PERIOD_OVERRIDE",Z$11)*1,"")))</f>
        <v/>
      </c>
      <c r="AA221" s="17" t="str">
        <f>IF(ISNA($B221),"",IF($B221="","",IFERROR(_xll.BDP(TICKER,"DEEP_MEASURE_PERIOD_BROKER_VALUE","DEEP_MEASURE_ID_OVERRIDE",$C221,"DEEP_BROKER_ID_OVERRIDE",$F$7,"DEEP_PERIOD_OVERRIDE",AA$11)*1,"")))</f>
        <v/>
      </c>
      <c r="AB221" s="17" t="str">
        <f>IF(ISNA($B221),"",IF($B221="","",IFERROR(_xll.BDP(TICKER,"DEEP_MEASURE_PERIOD_BROKER_VALUE","DEEP_MEASURE_ID_OVERRIDE",$C221,"DEEP_BROKER_ID_OVERRIDE",$F$7,"DEEP_PERIOD_OVERRIDE",AB$11)*1,"")))</f>
        <v/>
      </c>
      <c r="AC221" s="17" t="str">
        <f>IF(ISNA($B221),"",IF($B221="","",IFERROR(_xll.BDP(TICKER,"DEEP_MEASURE_PERIOD_BROKER_VALUE","DEEP_MEASURE_ID_OVERRIDE",$C221,"DEEP_BROKER_ID_OVERRIDE",$F$7,"DEEP_PERIOD_OVERRIDE",AC$11)*1,"")))</f>
        <v/>
      </c>
      <c r="AD221" s="17" t="str">
        <f>IF(ISNA($B221),"",IF($B221="","",IFERROR(_xll.BDP(TICKER,"DEEP_MEASURE_PERIOD_BROKER_VALUE","DEEP_MEASURE_ID_OVERRIDE",$C221,"DEEP_BROKER_ID_OVERRIDE",$F$7,"DEEP_PERIOD_OVERRIDE",AD$11)*1,"")))</f>
        <v/>
      </c>
      <c r="AE221" s="17" t="str">
        <f>IF(ISNA($B221),"",IF($B221="","",IFERROR(_xll.BDP(TICKER,"DEEP_MEASURE_PERIOD_BROKER_VALUE","DEEP_MEASURE_ID_OVERRIDE",$C221,"DEEP_BROKER_ID_OVERRIDE",$F$7,"DEEP_PERIOD_OVERRIDE",AE$11)*1,"")))</f>
        <v/>
      </c>
      <c r="AF221" s="17" t="str">
        <f>IF(ISNA($B221),"",IF($B221="","",IFERROR(_xll.BDP(TICKER,"DEEP_MEASURE_PERIOD_BROKER_VALUE","DEEP_MEASURE_ID_OVERRIDE",$C221,"DEEP_BROKER_ID_OVERRIDE",$F$7,"DEEP_PERIOD_OVERRIDE",AF$11)*1,"")))</f>
        <v/>
      </c>
      <c r="AG221" s="17" t="str">
        <f>IF(ISNA($B221),"",IF($B221="","",IFERROR(_xll.BDP(TICKER,"DEEP_MEASURE_PERIOD_BROKER_VALUE","DEEP_MEASURE_ID_OVERRIDE",$C221,"DEEP_BROKER_ID_OVERRIDE",$F$7,"DEEP_PERIOD_OVERRIDE",AG$11)*1,"")))</f>
        <v/>
      </c>
      <c r="AH221" s="17" t="str">
        <f>IF(ISNA($B221),"",IF($B221="","",IFERROR(_xll.BDP(TICKER,"DEEP_MEASURE_PERIOD_BROKER_VALUE","DEEP_MEASURE_ID_OVERRIDE",$C221,"DEEP_BROKER_ID_OVERRIDE",$F$7,"DEEP_PERIOD_OVERRIDE",AH$11)*1,"")))</f>
        <v/>
      </c>
      <c r="AI221" s="17" t="str">
        <f>IF(ISNA($B221),"",IF($B221="","",IFERROR(_xll.BDP(TICKER,"DEEP_MEASURE_PERIOD_BROKER_VALUE","DEEP_MEASURE_ID_OVERRIDE",$C221,"DEEP_BROKER_ID_OVERRIDE",$F$7,"DEEP_PERIOD_OVERRIDE",AI$11)*1,"")))</f>
        <v/>
      </c>
      <c r="AJ221" s="17" t="str">
        <f>IF(ISNA($B221),"",IF($B221="","",IFERROR(_xll.BDP(TICKER,"DEEP_MEASURE_PERIOD_BROKER_VALUE","DEEP_MEASURE_ID_OVERRIDE",$C221,"DEEP_BROKER_ID_OVERRIDE",$F$7,"DEEP_PERIOD_OVERRIDE",AJ$11)*1,"")))</f>
        <v/>
      </c>
      <c r="AK221" s="17" t="str">
        <f>IF(ISNA($B221),"",IF($B221="","",IFERROR(_xll.BDP(TICKER,"DEEP_MEASURE_PERIOD_BROKER_VALUE","DEEP_MEASURE_ID_OVERRIDE",$C221,"DEEP_BROKER_ID_OVERRIDE",$F$7,"DEEP_PERIOD_OVERRIDE",AK$11)*1,"")))</f>
        <v/>
      </c>
      <c r="AL221" s="17" t="str">
        <f>IF(ISNA($B221),"",IF($B221="","",IFERROR(_xll.BDP(TICKER,"DEEP_MEASURE_PERIOD_BROKER_VALUE","DEEP_MEASURE_ID_OVERRIDE",$C221,"DEEP_BROKER_ID_OVERRIDE",$F$7,"DEEP_PERIOD_OVERRIDE",AL$11)*1,"")))</f>
        <v/>
      </c>
      <c r="AM221" s="17" t="str">
        <f>IF(ISNA($B221),"",IF($B221="","",IFERROR(_xll.BDP(TICKER,"DEEP_MEASURE_PERIOD_BROKER_VALUE","DEEP_MEASURE_ID_OVERRIDE",$C221,"DEEP_BROKER_ID_OVERRIDE",$F$7,"DEEP_PERIOD_OVERRIDE",AM$11)*1,"")))</f>
        <v/>
      </c>
      <c r="AN221" s="17" t="str">
        <f>IF(ISNA($B221),"",IF($B221="","",IFERROR(_xll.BDP(TICKER,"DEEP_MEASURE_PERIOD_BROKER_VALUE","DEEP_MEASURE_ID_OVERRIDE",$C221,"DEEP_BROKER_ID_OVERRIDE",$F$7,"DEEP_PERIOD_OVERRIDE",AN$11)*1,"")))</f>
        <v/>
      </c>
      <c r="AO221" s="17" t="str">
        <f>IF(ISNA($B221),"",IF($B221="","",IFERROR(_xll.BDP(TICKER,"DEEP_MEASURE_PERIOD_BROKER_VALUE","DEEP_MEASURE_ID_OVERRIDE",$C221,"DEEP_BROKER_ID_OVERRIDE",$F$7,"DEEP_PERIOD_OVERRIDE",AO$11)*1,"")))</f>
        <v/>
      </c>
      <c r="AP221" s="17" t="str">
        <f>IF(ISNA($B221),"",IF($B221="","",IFERROR(_xll.BDP(TICKER,"DEEP_MEASURE_PERIOD_BROKER_VALUE","DEEP_MEASURE_ID_OVERRIDE",$C221,"DEEP_BROKER_ID_OVERRIDE",$F$7,"DEEP_PERIOD_OVERRIDE",AP$11)*1,"")))</f>
        <v/>
      </c>
      <c r="AQ221" s="17" t="str">
        <f>IF(ISNA($B221),"",IF($B221="","",IFERROR(_xll.BDP(TICKER,"DEEP_MEASURE_PERIOD_BROKER_VALUE","DEEP_MEASURE_ID_OVERRIDE",$C221,"DEEP_BROKER_ID_OVERRIDE",$F$7,"DEEP_PERIOD_OVERRIDE",AQ$11)*1,"")))</f>
        <v/>
      </c>
    </row>
    <row r="222" spans="2:43" x14ac:dyDescent="0.25">
      <c r="H222" t="str">
        <f t="shared" si="5"/>
        <v/>
      </c>
      <c r="I222" s="17" t="str">
        <f>IF(ISNA($B222),"",IF($B222="","",IFERROR(_xll.BDP(TICKER,"DEEP_MEASURE_PERIOD_BROKER_VALUE","DEEP_MEASURE_ID_OVERRIDE",$C222,"DEEP_BROKER_ID_OVERRIDE",$F$7,"DEEP_PERIOD_OVERRIDE",I$11)*1,"")))</f>
        <v/>
      </c>
      <c r="J222" s="17" t="str">
        <f>IF(ISNA($B222),"",IF($B222="","",IFERROR(_xll.BDP(TICKER,"DEEP_MEASURE_PERIOD_BROKER_VALUE","DEEP_MEASURE_ID_OVERRIDE",$C222,"DEEP_BROKER_ID_OVERRIDE",$F$7,"DEEP_PERIOD_OVERRIDE",J$11)*1,"")))</f>
        <v/>
      </c>
      <c r="K222" s="17" t="str">
        <f>IF(ISNA($B222),"",IF($B222="","",IFERROR(_xll.BDP(TICKER,"DEEP_MEASURE_PERIOD_BROKER_VALUE","DEEP_MEASURE_ID_OVERRIDE",$C222,"DEEP_BROKER_ID_OVERRIDE",$F$7,"DEEP_PERIOD_OVERRIDE",K$11)*1,"")))</f>
        <v/>
      </c>
      <c r="L222" s="17" t="str">
        <f>IF(ISNA($B222),"",IF($B222="","",IFERROR(_xll.BDP(TICKER,"DEEP_MEASURE_PERIOD_BROKER_VALUE","DEEP_MEASURE_ID_OVERRIDE",$C222,"DEEP_BROKER_ID_OVERRIDE",$F$7,"DEEP_PERIOD_OVERRIDE",L$11)*1,"")))</f>
        <v/>
      </c>
      <c r="M222" s="17" t="str">
        <f>IF(ISNA($B222),"",IF($B222="","",IFERROR(_xll.BDP(TICKER,"DEEP_MEASURE_PERIOD_BROKER_VALUE","DEEP_MEASURE_ID_OVERRIDE",$C222,"DEEP_BROKER_ID_OVERRIDE",$F$7,"DEEP_PERIOD_OVERRIDE",M$11)*1,"")))</f>
        <v/>
      </c>
      <c r="N222" s="17" t="str">
        <f>IF(ISNA($B222),"",IF($B222="","",IFERROR(_xll.BDP(TICKER,"DEEP_MEASURE_PERIOD_BROKER_VALUE","DEEP_MEASURE_ID_OVERRIDE",$C222,"DEEP_BROKER_ID_OVERRIDE",$F$7,"DEEP_PERIOD_OVERRIDE",N$11)*1,"")))</f>
        <v/>
      </c>
      <c r="O222" s="17" t="str">
        <f>IF(ISNA($B222),"",IF($B222="","",IFERROR(_xll.BDP(TICKER,"DEEP_MEASURE_PERIOD_BROKER_VALUE","DEEP_MEASURE_ID_OVERRIDE",$C222,"DEEP_BROKER_ID_OVERRIDE",$F$7,"DEEP_PERIOD_OVERRIDE",O$11)*1,"")))</f>
        <v/>
      </c>
      <c r="P222" s="17" t="str">
        <f>IF(ISNA($B222),"",IF($B222="","",IFERROR(_xll.BDP(TICKER,"DEEP_MEASURE_PERIOD_BROKER_VALUE","DEEP_MEASURE_ID_OVERRIDE",$C222,"DEEP_BROKER_ID_OVERRIDE",$F$7,"DEEP_PERIOD_OVERRIDE",P$11)*1,"")))</f>
        <v/>
      </c>
      <c r="Q222" s="17" t="str">
        <f>IF(ISNA($B222),"",IF($B222="","",IFERROR(_xll.BDP(TICKER,"DEEP_MEASURE_PERIOD_BROKER_VALUE","DEEP_MEASURE_ID_OVERRIDE",$C222,"DEEP_BROKER_ID_OVERRIDE",$F$7,"DEEP_PERIOD_OVERRIDE",Q$11)*1,"")))</f>
        <v/>
      </c>
      <c r="R222" s="17" t="str">
        <f>IF(ISNA($B222),"",IF($B222="","",IFERROR(_xll.BDP(TICKER,"DEEP_MEASURE_PERIOD_BROKER_VALUE","DEEP_MEASURE_ID_OVERRIDE",$C222,"DEEP_BROKER_ID_OVERRIDE",$F$7,"DEEP_PERIOD_OVERRIDE",R$11)*1,"")))</f>
        <v/>
      </c>
      <c r="S222" s="17" t="str">
        <f>IF(ISNA($B222),"",IF($B222="","",IFERROR(_xll.BDP(TICKER,"DEEP_MEASURE_PERIOD_BROKER_VALUE","DEEP_MEASURE_ID_OVERRIDE",$C222,"DEEP_BROKER_ID_OVERRIDE",$F$7,"DEEP_PERIOD_OVERRIDE",S$11)*1,"")))</f>
        <v/>
      </c>
      <c r="T222" s="17" t="str">
        <f>IF(ISNA($B222),"",IF($B222="","",IFERROR(_xll.BDP(TICKER,"DEEP_MEASURE_PERIOD_BROKER_VALUE","DEEP_MEASURE_ID_OVERRIDE",$C222,"DEEP_BROKER_ID_OVERRIDE",$F$7,"DEEP_PERIOD_OVERRIDE",T$11)*1,"")))</f>
        <v/>
      </c>
      <c r="U222" s="17" t="str">
        <f>IF(ISNA($B222),"",IF($B222="","",IFERROR(_xll.BDP(TICKER,"DEEP_MEASURE_PERIOD_BROKER_VALUE","DEEP_MEASURE_ID_OVERRIDE",$C222,"DEEP_BROKER_ID_OVERRIDE",$F$7,"DEEP_PERIOD_OVERRIDE",U$11)*1,"")))</f>
        <v/>
      </c>
      <c r="V222" s="17" t="str">
        <f>IF(ISNA($B222),"",IF($B222="","",IFERROR(_xll.BDP(TICKER,"DEEP_MEASURE_PERIOD_BROKER_VALUE","DEEP_MEASURE_ID_OVERRIDE",$C222,"DEEP_BROKER_ID_OVERRIDE",$F$7,"DEEP_PERIOD_OVERRIDE",V$11)*1,"")))</f>
        <v/>
      </c>
      <c r="W222" s="17" t="str">
        <f>IF(ISNA($B222),"",IF($B222="","",IFERROR(_xll.BDP(TICKER,"DEEP_MEASURE_PERIOD_BROKER_VALUE","DEEP_MEASURE_ID_OVERRIDE",$C222,"DEEP_BROKER_ID_OVERRIDE",$F$7,"DEEP_PERIOD_OVERRIDE",W$11)*1,"")))</f>
        <v/>
      </c>
      <c r="X222" s="17" t="str">
        <f>IF(ISNA($B222),"",IF($B222="","",IFERROR(_xll.BDP(TICKER,"DEEP_MEASURE_PERIOD_BROKER_VALUE","DEEP_MEASURE_ID_OVERRIDE",$C222,"DEEP_BROKER_ID_OVERRIDE",$F$7,"DEEP_PERIOD_OVERRIDE",X$11)*1,"")))</f>
        <v/>
      </c>
      <c r="Y222" s="17" t="str">
        <f>IF(ISNA($B222),"",IF($B222="","",IFERROR(_xll.BDP(TICKER,"DEEP_MEASURE_PERIOD_BROKER_VALUE","DEEP_MEASURE_ID_OVERRIDE",$C222,"DEEP_BROKER_ID_OVERRIDE",$F$7,"DEEP_PERIOD_OVERRIDE",Y$11)*1,"")))</f>
        <v/>
      </c>
      <c r="Z222" s="17" t="str">
        <f>IF(ISNA($B222),"",IF($B222="","",IFERROR(_xll.BDP(TICKER,"DEEP_MEASURE_PERIOD_BROKER_VALUE","DEEP_MEASURE_ID_OVERRIDE",$C222,"DEEP_BROKER_ID_OVERRIDE",$F$7,"DEEP_PERIOD_OVERRIDE",Z$11)*1,"")))</f>
        <v/>
      </c>
      <c r="AA222" s="17" t="str">
        <f>IF(ISNA($B222),"",IF($B222="","",IFERROR(_xll.BDP(TICKER,"DEEP_MEASURE_PERIOD_BROKER_VALUE","DEEP_MEASURE_ID_OVERRIDE",$C222,"DEEP_BROKER_ID_OVERRIDE",$F$7,"DEEP_PERIOD_OVERRIDE",AA$11)*1,"")))</f>
        <v/>
      </c>
      <c r="AB222" s="17" t="str">
        <f>IF(ISNA($B222),"",IF($B222="","",IFERROR(_xll.BDP(TICKER,"DEEP_MEASURE_PERIOD_BROKER_VALUE","DEEP_MEASURE_ID_OVERRIDE",$C222,"DEEP_BROKER_ID_OVERRIDE",$F$7,"DEEP_PERIOD_OVERRIDE",AB$11)*1,"")))</f>
        <v/>
      </c>
      <c r="AC222" s="17" t="str">
        <f>IF(ISNA($B222),"",IF($B222="","",IFERROR(_xll.BDP(TICKER,"DEEP_MEASURE_PERIOD_BROKER_VALUE","DEEP_MEASURE_ID_OVERRIDE",$C222,"DEEP_BROKER_ID_OVERRIDE",$F$7,"DEEP_PERIOD_OVERRIDE",AC$11)*1,"")))</f>
        <v/>
      </c>
      <c r="AD222" s="17" t="str">
        <f>IF(ISNA($B222),"",IF($B222="","",IFERROR(_xll.BDP(TICKER,"DEEP_MEASURE_PERIOD_BROKER_VALUE","DEEP_MEASURE_ID_OVERRIDE",$C222,"DEEP_BROKER_ID_OVERRIDE",$F$7,"DEEP_PERIOD_OVERRIDE",AD$11)*1,"")))</f>
        <v/>
      </c>
      <c r="AE222" s="17" t="str">
        <f>IF(ISNA($B222),"",IF($B222="","",IFERROR(_xll.BDP(TICKER,"DEEP_MEASURE_PERIOD_BROKER_VALUE","DEEP_MEASURE_ID_OVERRIDE",$C222,"DEEP_BROKER_ID_OVERRIDE",$F$7,"DEEP_PERIOD_OVERRIDE",AE$11)*1,"")))</f>
        <v/>
      </c>
      <c r="AF222" s="17" t="str">
        <f>IF(ISNA($B222),"",IF($B222="","",IFERROR(_xll.BDP(TICKER,"DEEP_MEASURE_PERIOD_BROKER_VALUE","DEEP_MEASURE_ID_OVERRIDE",$C222,"DEEP_BROKER_ID_OVERRIDE",$F$7,"DEEP_PERIOD_OVERRIDE",AF$11)*1,"")))</f>
        <v/>
      </c>
      <c r="AG222" s="17" t="str">
        <f>IF(ISNA($B222),"",IF($B222="","",IFERROR(_xll.BDP(TICKER,"DEEP_MEASURE_PERIOD_BROKER_VALUE","DEEP_MEASURE_ID_OVERRIDE",$C222,"DEEP_BROKER_ID_OVERRIDE",$F$7,"DEEP_PERIOD_OVERRIDE",AG$11)*1,"")))</f>
        <v/>
      </c>
      <c r="AH222" s="17" t="str">
        <f>IF(ISNA($B222),"",IF($B222="","",IFERROR(_xll.BDP(TICKER,"DEEP_MEASURE_PERIOD_BROKER_VALUE","DEEP_MEASURE_ID_OVERRIDE",$C222,"DEEP_BROKER_ID_OVERRIDE",$F$7,"DEEP_PERIOD_OVERRIDE",AH$11)*1,"")))</f>
        <v/>
      </c>
      <c r="AI222" s="17" t="str">
        <f>IF(ISNA($B222),"",IF($B222="","",IFERROR(_xll.BDP(TICKER,"DEEP_MEASURE_PERIOD_BROKER_VALUE","DEEP_MEASURE_ID_OVERRIDE",$C222,"DEEP_BROKER_ID_OVERRIDE",$F$7,"DEEP_PERIOD_OVERRIDE",AI$11)*1,"")))</f>
        <v/>
      </c>
      <c r="AJ222" s="17" t="str">
        <f>IF(ISNA($B222),"",IF($B222="","",IFERROR(_xll.BDP(TICKER,"DEEP_MEASURE_PERIOD_BROKER_VALUE","DEEP_MEASURE_ID_OVERRIDE",$C222,"DEEP_BROKER_ID_OVERRIDE",$F$7,"DEEP_PERIOD_OVERRIDE",AJ$11)*1,"")))</f>
        <v/>
      </c>
      <c r="AK222" s="17" t="str">
        <f>IF(ISNA($B222),"",IF($B222="","",IFERROR(_xll.BDP(TICKER,"DEEP_MEASURE_PERIOD_BROKER_VALUE","DEEP_MEASURE_ID_OVERRIDE",$C222,"DEEP_BROKER_ID_OVERRIDE",$F$7,"DEEP_PERIOD_OVERRIDE",AK$11)*1,"")))</f>
        <v/>
      </c>
      <c r="AL222" s="17" t="str">
        <f>IF(ISNA($B222),"",IF($B222="","",IFERROR(_xll.BDP(TICKER,"DEEP_MEASURE_PERIOD_BROKER_VALUE","DEEP_MEASURE_ID_OVERRIDE",$C222,"DEEP_BROKER_ID_OVERRIDE",$F$7,"DEEP_PERIOD_OVERRIDE",AL$11)*1,"")))</f>
        <v/>
      </c>
      <c r="AM222" s="17" t="str">
        <f>IF(ISNA($B222),"",IF($B222="","",IFERROR(_xll.BDP(TICKER,"DEEP_MEASURE_PERIOD_BROKER_VALUE","DEEP_MEASURE_ID_OVERRIDE",$C222,"DEEP_BROKER_ID_OVERRIDE",$F$7,"DEEP_PERIOD_OVERRIDE",AM$11)*1,"")))</f>
        <v/>
      </c>
      <c r="AN222" s="17" t="str">
        <f>IF(ISNA($B222),"",IF($B222="","",IFERROR(_xll.BDP(TICKER,"DEEP_MEASURE_PERIOD_BROKER_VALUE","DEEP_MEASURE_ID_OVERRIDE",$C222,"DEEP_BROKER_ID_OVERRIDE",$F$7,"DEEP_PERIOD_OVERRIDE",AN$11)*1,"")))</f>
        <v/>
      </c>
      <c r="AO222" s="17" t="str">
        <f>IF(ISNA($B222),"",IF($B222="","",IFERROR(_xll.BDP(TICKER,"DEEP_MEASURE_PERIOD_BROKER_VALUE","DEEP_MEASURE_ID_OVERRIDE",$C222,"DEEP_BROKER_ID_OVERRIDE",$F$7,"DEEP_PERIOD_OVERRIDE",AO$11)*1,"")))</f>
        <v/>
      </c>
      <c r="AP222" s="17" t="str">
        <f>IF(ISNA($B222),"",IF($B222="","",IFERROR(_xll.BDP(TICKER,"DEEP_MEASURE_PERIOD_BROKER_VALUE","DEEP_MEASURE_ID_OVERRIDE",$C222,"DEEP_BROKER_ID_OVERRIDE",$F$7,"DEEP_PERIOD_OVERRIDE",AP$11)*1,"")))</f>
        <v/>
      </c>
      <c r="AQ222" s="17" t="str">
        <f>IF(ISNA($B222),"",IF($B222="","",IFERROR(_xll.BDP(TICKER,"DEEP_MEASURE_PERIOD_BROKER_VALUE","DEEP_MEASURE_ID_OVERRIDE",$C222,"DEEP_BROKER_ID_OVERRIDE",$F$7,"DEEP_PERIOD_OVERRIDE",AQ$11)*1,"")))</f>
        <v/>
      </c>
    </row>
    <row r="223" spans="2:43" x14ac:dyDescent="0.25">
      <c r="H223" t="str">
        <f t="shared" si="5"/>
        <v/>
      </c>
      <c r="I223" s="17" t="str">
        <f>IF(ISNA($B223),"",IF($B223="","",IFERROR(_xll.BDP(TICKER,"DEEP_MEASURE_PERIOD_BROKER_VALUE","DEEP_MEASURE_ID_OVERRIDE",$C223,"DEEP_BROKER_ID_OVERRIDE",$F$7,"DEEP_PERIOD_OVERRIDE",I$11)*1,"")))</f>
        <v/>
      </c>
      <c r="J223" s="17" t="str">
        <f>IF(ISNA($B223),"",IF($B223="","",IFERROR(_xll.BDP(TICKER,"DEEP_MEASURE_PERIOD_BROKER_VALUE","DEEP_MEASURE_ID_OVERRIDE",$C223,"DEEP_BROKER_ID_OVERRIDE",$F$7,"DEEP_PERIOD_OVERRIDE",J$11)*1,"")))</f>
        <v/>
      </c>
      <c r="K223" s="17" t="str">
        <f>IF(ISNA($B223),"",IF($B223="","",IFERROR(_xll.BDP(TICKER,"DEEP_MEASURE_PERIOD_BROKER_VALUE","DEEP_MEASURE_ID_OVERRIDE",$C223,"DEEP_BROKER_ID_OVERRIDE",$F$7,"DEEP_PERIOD_OVERRIDE",K$11)*1,"")))</f>
        <v/>
      </c>
      <c r="L223" s="17" t="str">
        <f>IF(ISNA($B223),"",IF($B223="","",IFERROR(_xll.BDP(TICKER,"DEEP_MEASURE_PERIOD_BROKER_VALUE","DEEP_MEASURE_ID_OVERRIDE",$C223,"DEEP_BROKER_ID_OVERRIDE",$F$7,"DEEP_PERIOD_OVERRIDE",L$11)*1,"")))</f>
        <v/>
      </c>
      <c r="M223" s="17" t="str">
        <f>IF(ISNA($B223),"",IF($B223="","",IFERROR(_xll.BDP(TICKER,"DEEP_MEASURE_PERIOD_BROKER_VALUE","DEEP_MEASURE_ID_OVERRIDE",$C223,"DEEP_BROKER_ID_OVERRIDE",$F$7,"DEEP_PERIOD_OVERRIDE",M$11)*1,"")))</f>
        <v/>
      </c>
      <c r="N223" s="17" t="str">
        <f>IF(ISNA($B223),"",IF($B223="","",IFERROR(_xll.BDP(TICKER,"DEEP_MEASURE_PERIOD_BROKER_VALUE","DEEP_MEASURE_ID_OVERRIDE",$C223,"DEEP_BROKER_ID_OVERRIDE",$F$7,"DEEP_PERIOD_OVERRIDE",N$11)*1,"")))</f>
        <v/>
      </c>
      <c r="O223" s="17" t="str">
        <f>IF(ISNA($B223),"",IF($B223="","",IFERROR(_xll.BDP(TICKER,"DEEP_MEASURE_PERIOD_BROKER_VALUE","DEEP_MEASURE_ID_OVERRIDE",$C223,"DEEP_BROKER_ID_OVERRIDE",$F$7,"DEEP_PERIOD_OVERRIDE",O$11)*1,"")))</f>
        <v/>
      </c>
      <c r="P223" s="17" t="str">
        <f>IF(ISNA($B223),"",IF($B223="","",IFERROR(_xll.BDP(TICKER,"DEEP_MEASURE_PERIOD_BROKER_VALUE","DEEP_MEASURE_ID_OVERRIDE",$C223,"DEEP_BROKER_ID_OVERRIDE",$F$7,"DEEP_PERIOD_OVERRIDE",P$11)*1,"")))</f>
        <v/>
      </c>
      <c r="Q223" s="17" t="str">
        <f>IF(ISNA($B223),"",IF($B223="","",IFERROR(_xll.BDP(TICKER,"DEEP_MEASURE_PERIOD_BROKER_VALUE","DEEP_MEASURE_ID_OVERRIDE",$C223,"DEEP_BROKER_ID_OVERRIDE",$F$7,"DEEP_PERIOD_OVERRIDE",Q$11)*1,"")))</f>
        <v/>
      </c>
      <c r="R223" s="17" t="str">
        <f>IF(ISNA($B223),"",IF($B223="","",IFERROR(_xll.BDP(TICKER,"DEEP_MEASURE_PERIOD_BROKER_VALUE","DEEP_MEASURE_ID_OVERRIDE",$C223,"DEEP_BROKER_ID_OVERRIDE",$F$7,"DEEP_PERIOD_OVERRIDE",R$11)*1,"")))</f>
        <v/>
      </c>
      <c r="S223" s="17" t="str">
        <f>IF(ISNA($B223),"",IF($B223="","",IFERROR(_xll.BDP(TICKER,"DEEP_MEASURE_PERIOD_BROKER_VALUE","DEEP_MEASURE_ID_OVERRIDE",$C223,"DEEP_BROKER_ID_OVERRIDE",$F$7,"DEEP_PERIOD_OVERRIDE",S$11)*1,"")))</f>
        <v/>
      </c>
      <c r="T223" s="17" t="str">
        <f>IF(ISNA($B223),"",IF($B223="","",IFERROR(_xll.BDP(TICKER,"DEEP_MEASURE_PERIOD_BROKER_VALUE","DEEP_MEASURE_ID_OVERRIDE",$C223,"DEEP_BROKER_ID_OVERRIDE",$F$7,"DEEP_PERIOD_OVERRIDE",T$11)*1,"")))</f>
        <v/>
      </c>
      <c r="U223" s="17" t="str">
        <f>IF(ISNA($B223),"",IF($B223="","",IFERROR(_xll.BDP(TICKER,"DEEP_MEASURE_PERIOD_BROKER_VALUE","DEEP_MEASURE_ID_OVERRIDE",$C223,"DEEP_BROKER_ID_OVERRIDE",$F$7,"DEEP_PERIOD_OVERRIDE",U$11)*1,"")))</f>
        <v/>
      </c>
      <c r="V223" s="17" t="str">
        <f>IF(ISNA($B223),"",IF($B223="","",IFERROR(_xll.BDP(TICKER,"DEEP_MEASURE_PERIOD_BROKER_VALUE","DEEP_MEASURE_ID_OVERRIDE",$C223,"DEEP_BROKER_ID_OVERRIDE",$F$7,"DEEP_PERIOD_OVERRIDE",V$11)*1,"")))</f>
        <v/>
      </c>
      <c r="W223" s="17" t="str">
        <f>IF(ISNA($B223),"",IF($B223="","",IFERROR(_xll.BDP(TICKER,"DEEP_MEASURE_PERIOD_BROKER_VALUE","DEEP_MEASURE_ID_OVERRIDE",$C223,"DEEP_BROKER_ID_OVERRIDE",$F$7,"DEEP_PERIOD_OVERRIDE",W$11)*1,"")))</f>
        <v/>
      </c>
      <c r="X223" s="17" t="str">
        <f>IF(ISNA($B223),"",IF($B223="","",IFERROR(_xll.BDP(TICKER,"DEEP_MEASURE_PERIOD_BROKER_VALUE","DEEP_MEASURE_ID_OVERRIDE",$C223,"DEEP_BROKER_ID_OVERRIDE",$F$7,"DEEP_PERIOD_OVERRIDE",X$11)*1,"")))</f>
        <v/>
      </c>
      <c r="Y223" s="17" t="str">
        <f>IF(ISNA($B223),"",IF($B223="","",IFERROR(_xll.BDP(TICKER,"DEEP_MEASURE_PERIOD_BROKER_VALUE","DEEP_MEASURE_ID_OVERRIDE",$C223,"DEEP_BROKER_ID_OVERRIDE",$F$7,"DEEP_PERIOD_OVERRIDE",Y$11)*1,"")))</f>
        <v/>
      </c>
      <c r="Z223" s="17" t="str">
        <f>IF(ISNA($B223),"",IF($B223="","",IFERROR(_xll.BDP(TICKER,"DEEP_MEASURE_PERIOD_BROKER_VALUE","DEEP_MEASURE_ID_OVERRIDE",$C223,"DEEP_BROKER_ID_OVERRIDE",$F$7,"DEEP_PERIOD_OVERRIDE",Z$11)*1,"")))</f>
        <v/>
      </c>
      <c r="AA223" s="17" t="str">
        <f>IF(ISNA($B223),"",IF($B223="","",IFERROR(_xll.BDP(TICKER,"DEEP_MEASURE_PERIOD_BROKER_VALUE","DEEP_MEASURE_ID_OVERRIDE",$C223,"DEEP_BROKER_ID_OVERRIDE",$F$7,"DEEP_PERIOD_OVERRIDE",AA$11)*1,"")))</f>
        <v/>
      </c>
      <c r="AB223" s="17" t="str">
        <f>IF(ISNA($B223),"",IF($B223="","",IFERROR(_xll.BDP(TICKER,"DEEP_MEASURE_PERIOD_BROKER_VALUE","DEEP_MEASURE_ID_OVERRIDE",$C223,"DEEP_BROKER_ID_OVERRIDE",$F$7,"DEEP_PERIOD_OVERRIDE",AB$11)*1,"")))</f>
        <v/>
      </c>
      <c r="AC223" s="17" t="str">
        <f>IF(ISNA($B223),"",IF($B223="","",IFERROR(_xll.BDP(TICKER,"DEEP_MEASURE_PERIOD_BROKER_VALUE","DEEP_MEASURE_ID_OVERRIDE",$C223,"DEEP_BROKER_ID_OVERRIDE",$F$7,"DEEP_PERIOD_OVERRIDE",AC$11)*1,"")))</f>
        <v/>
      </c>
      <c r="AD223" s="17" t="str">
        <f>IF(ISNA($B223),"",IF($B223="","",IFERROR(_xll.BDP(TICKER,"DEEP_MEASURE_PERIOD_BROKER_VALUE","DEEP_MEASURE_ID_OVERRIDE",$C223,"DEEP_BROKER_ID_OVERRIDE",$F$7,"DEEP_PERIOD_OVERRIDE",AD$11)*1,"")))</f>
        <v/>
      </c>
      <c r="AE223" s="17" t="str">
        <f>IF(ISNA($B223),"",IF($B223="","",IFERROR(_xll.BDP(TICKER,"DEEP_MEASURE_PERIOD_BROKER_VALUE","DEEP_MEASURE_ID_OVERRIDE",$C223,"DEEP_BROKER_ID_OVERRIDE",$F$7,"DEEP_PERIOD_OVERRIDE",AE$11)*1,"")))</f>
        <v/>
      </c>
      <c r="AF223" s="17" t="str">
        <f>IF(ISNA($B223),"",IF($B223="","",IFERROR(_xll.BDP(TICKER,"DEEP_MEASURE_PERIOD_BROKER_VALUE","DEEP_MEASURE_ID_OVERRIDE",$C223,"DEEP_BROKER_ID_OVERRIDE",$F$7,"DEEP_PERIOD_OVERRIDE",AF$11)*1,"")))</f>
        <v/>
      </c>
      <c r="AG223" s="17" t="str">
        <f>IF(ISNA($B223),"",IF($B223="","",IFERROR(_xll.BDP(TICKER,"DEEP_MEASURE_PERIOD_BROKER_VALUE","DEEP_MEASURE_ID_OVERRIDE",$C223,"DEEP_BROKER_ID_OVERRIDE",$F$7,"DEEP_PERIOD_OVERRIDE",AG$11)*1,"")))</f>
        <v/>
      </c>
      <c r="AH223" s="17" t="str">
        <f>IF(ISNA($B223),"",IF($B223="","",IFERROR(_xll.BDP(TICKER,"DEEP_MEASURE_PERIOD_BROKER_VALUE","DEEP_MEASURE_ID_OVERRIDE",$C223,"DEEP_BROKER_ID_OVERRIDE",$F$7,"DEEP_PERIOD_OVERRIDE",AH$11)*1,"")))</f>
        <v/>
      </c>
      <c r="AI223" s="17" t="str">
        <f>IF(ISNA($B223),"",IF($B223="","",IFERROR(_xll.BDP(TICKER,"DEEP_MEASURE_PERIOD_BROKER_VALUE","DEEP_MEASURE_ID_OVERRIDE",$C223,"DEEP_BROKER_ID_OVERRIDE",$F$7,"DEEP_PERIOD_OVERRIDE",AI$11)*1,"")))</f>
        <v/>
      </c>
      <c r="AJ223" s="17" t="str">
        <f>IF(ISNA($B223),"",IF($B223="","",IFERROR(_xll.BDP(TICKER,"DEEP_MEASURE_PERIOD_BROKER_VALUE","DEEP_MEASURE_ID_OVERRIDE",$C223,"DEEP_BROKER_ID_OVERRIDE",$F$7,"DEEP_PERIOD_OVERRIDE",AJ$11)*1,"")))</f>
        <v/>
      </c>
      <c r="AK223" s="17" t="str">
        <f>IF(ISNA($B223),"",IF($B223="","",IFERROR(_xll.BDP(TICKER,"DEEP_MEASURE_PERIOD_BROKER_VALUE","DEEP_MEASURE_ID_OVERRIDE",$C223,"DEEP_BROKER_ID_OVERRIDE",$F$7,"DEEP_PERIOD_OVERRIDE",AK$11)*1,"")))</f>
        <v/>
      </c>
      <c r="AL223" s="17" t="str">
        <f>IF(ISNA($B223),"",IF($B223="","",IFERROR(_xll.BDP(TICKER,"DEEP_MEASURE_PERIOD_BROKER_VALUE","DEEP_MEASURE_ID_OVERRIDE",$C223,"DEEP_BROKER_ID_OVERRIDE",$F$7,"DEEP_PERIOD_OVERRIDE",AL$11)*1,"")))</f>
        <v/>
      </c>
      <c r="AM223" s="17" t="str">
        <f>IF(ISNA($B223),"",IF($B223="","",IFERROR(_xll.BDP(TICKER,"DEEP_MEASURE_PERIOD_BROKER_VALUE","DEEP_MEASURE_ID_OVERRIDE",$C223,"DEEP_BROKER_ID_OVERRIDE",$F$7,"DEEP_PERIOD_OVERRIDE",AM$11)*1,"")))</f>
        <v/>
      </c>
      <c r="AN223" s="17" t="str">
        <f>IF(ISNA($B223),"",IF($B223="","",IFERROR(_xll.BDP(TICKER,"DEEP_MEASURE_PERIOD_BROKER_VALUE","DEEP_MEASURE_ID_OVERRIDE",$C223,"DEEP_BROKER_ID_OVERRIDE",$F$7,"DEEP_PERIOD_OVERRIDE",AN$11)*1,"")))</f>
        <v/>
      </c>
      <c r="AO223" s="17" t="str">
        <f>IF(ISNA($B223),"",IF($B223="","",IFERROR(_xll.BDP(TICKER,"DEEP_MEASURE_PERIOD_BROKER_VALUE","DEEP_MEASURE_ID_OVERRIDE",$C223,"DEEP_BROKER_ID_OVERRIDE",$F$7,"DEEP_PERIOD_OVERRIDE",AO$11)*1,"")))</f>
        <v/>
      </c>
      <c r="AP223" s="17" t="str">
        <f>IF(ISNA($B223),"",IF($B223="","",IFERROR(_xll.BDP(TICKER,"DEEP_MEASURE_PERIOD_BROKER_VALUE","DEEP_MEASURE_ID_OVERRIDE",$C223,"DEEP_BROKER_ID_OVERRIDE",$F$7,"DEEP_PERIOD_OVERRIDE",AP$11)*1,"")))</f>
        <v/>
      </c>
      <c r="AQ223" s="17" t="str">
        <f>IF(ISNA($B223),"",IF($B223="","",IFERROR(_xll.BDP(TICKER,"DEEP_MEASURE_PERIOD_BROKER_VALUE","DEEP_MEASURE_ID_OVERRIDE",$C223,"DEEP_BROKER_ID_OVERRIDE",$F$7,"DEEP_PERIOD_OVERRIDE",AQ$11)*1,"")))</f>
        <v/>
      </c>
    </row>
    <row r="224" spans="2:43" x14ac:dyDescent="0.25">
      <c r="H224" t="str">
        <f t="shared" si="5"/>
        <v/>
      </c>
      <c r="I224" s="17" t="str">
        <f>IF(ISNA($B224),"",IF($B224="","",IFERROR(_xll.BDP(TICKER,"DEEP_MEASURE_PERIOD_BROKER_VALUE","DEEP_MEASURE_ID_OVERRIDE",$C224,"DEEP_BROKER_ID_OVERRIDE",$F$7,"DEEP_PERIOD_OVERRIDE",I$11)*1,"")))</f>
        <v/>
      </c>
      <c r="J224" s="17" t="str">
        <f>IF(ISNA($B224),"",IF($B224="","",IFERROR(_xll.BDP(TICKER,"DEEP_MEASURE_PERIOD_BROKER_VALUE","DEEP_MEASURE_ID_OVERRIDE",$C224,"DEEP_BROKER_ID_OVERRIDE",$F$7,"DEEP_PERIOD_OVERRIDE",J$11)*1,"")))</f>
        <v/>
      </c>
      <c r="K224" s="17" t="str">
        <f>IF(ISNA($B224),"",IF($B224="","",IFERROR(_xll.BDP(TICKER,"DEEP_MEASURE_PERIOD_BROKER_VALUE","DEEP_MEASURE_ID_OVERRIDE",$C224,"DEEP_BROKER_ID_OVERRIDE",$F$7,"DEEP_PERIOD_OVERRIDE",K$11)*1,"")))</f>
        <v/>
      </c>
      <c r="L224" s="17" t="str">
        <f>IF(ISNA($B224),"",IF($B224="","",IFERROR(_xll.BDP(TICKER,"DEEP_MEASURE_PERIOD_BROKER_VALUE","DEEP_MEASURE_ID_OVERRIDE",$C224,"DEEP_BROKER_ID_OVERRIDE",$F$7,"DEEP_PERIOD_OVERRIDE",L$11)*1,"")))</f>
        <v/>
      </c>
      <c r="M224" s="17" t="str">
        <f>IF(ISNA($B224),"",IF($B224="","",IFERROR(_xll.BDP(TICKER,"DEEP_MEASURE_PERIOD_BROKER_VALUE","DEEP_MEASURE_ID_OVERRIDE",$C224,"DEEP_BROKER_ID_OVERRIDE",$F$7,"DEEP_PERIOD_OVERRIDE",M$11)*1,"")))</f>
        <v/>
      </c>
      <c r="N224" s="17" t="str">
        <f>IF(ISNA($B224),"",IF($B224="","",IFERROR(_xll.BDP(TICKER,"DEEP_MEASURE_PERIOD_BROKER_VALUE","DEEP_MEASURE_ID_OVERRIDE",$C224,"DEEP_BROKER_ID_OVERRIDE",$F$7,"DEEP_PERIOD_OVERRIDE",N$11)*1,"")))</f>
        <v/>
      </c>
      <c r="O224" s="17" t="str">
        <f>IF(ISNA($B224),"",IF($B224="","",IFERROR(_xll.BDP(TICKER,"DEEP_MEASURE_PERIOD_BROKER_VALUE","DEEP_MEASURE_ID_OVERRIDE",$C224,"DEEP_BROKER_ID_OVERRIDE",$F$7,"DEEP_PERIOD_OVERRIDE",O$11)*1,"")))</f>
        <v/>
      </c>
      <c r="P224" s="17" t="str">
        <f>IF(ISNA($B224),"",IF($B224="","",IFERROR(_xll.BDP(TICKER,"DEEP_MEASURE_PERIOD_BROKER_VALUE","DEEP_MEASURE_ID_OVERRIDE",$C224,"DEEP_BROKER_ID_OVERRIDE",$F$7,"DEEP_PERIOD_OVERRIDE",P$11)*1,"")))</f>
        <v/>
      </c>
      <c r="Q224" s="17" t="str">
        <f>IF(ISNA($B224),"",IF($B224="","",IFERROR(_xll.BDP(TICKER,"DEEP_MEASURE_PERIOD_BROKER_VALUE","DEEP_MEASURE_ID_OVERRIDE",$C224,"DEEP_BROKER_ID_OVERRIDE",$F$7,"DEEP_PERIOD_OVERRIDE",Q$11)*1,"")))</f>
        <v/>
      </c>
      <c r="R224" s="17" t="str">
        <f>IF(ISNA($B224),"",IF($B224="","",IFERROR(_xll.BDP(TICKER,"DEEP_MEASURE_PERIOD_BROKER_VALUE","DEEP_MEASURE_ID_OVERRIDE",$C224,"DEEP_BROKER_ID_OVERRIDE",$F$7,"DEEP_PERIOD_OVERRIDE",R$11)*1,"")))</f>
        <v/>
      </c>
      <c r="S224" s="17" t="str">
        <f>IF(ISNA($B224),"",IF($B224="","",IFERROR(_xll.BDP(TICKER,"DEEP_MEASURE_PERIOD_BROKER_VALUE","DEEP_MEASURE_ID_OVERRIDE",$C224,"DEEP_BROKER_ID_OVERRIDE",$F$7,"DEEP_PERIOD_OVERRIDE",S$11)*1,"")))</f>
        <v/>
      </c>
      <c r="T224" s="17" t="str">
        <f>IF(ISNA($B224),"",IF($B224="","",IFERROR(_xll.BDP(TICKER,"DEEP_MEASURE_PERIOD_BROKER_VALUE","DEEP_MEASURE_ID_OVERRIDE",$C224,"DEEP_BROKER_ID_OVERRIDE",$F$7,"DEEP_PERIOD_OVERRIDE",T$11)*1,"")))</f>
        <v/>
      </c>
      <c r="U224" s="17" t="str">
        <f>IF(ISNA($B224),"",IF($B224="","",IFERROR(_xll.BDP(TICKER,"DEEP_MEASURE_PERIOD_BROKER_VALUE","DEEP_MEASURE_ID_OVERRIDE",$C224,"DEEP_BROKER_ID_OVERRIDE",$F$7,"DEEP_PERIOD_OVERRIDE",U$11)*1,"")))</f>
        <v/>
      </c>
      <c r="V224" s="17" t="str">
        <f>IF(ISNA($B224),"",IF($B224="","",IFERROR(_xll.BDP(TICKER,"DEEP_MEASURE_PERIOD_BROKER_VALUE","DEEP_MEASURE_ID_OVERRIDE",$C224,"DEEP_BROKER_ID_OVERRIDE",$F$7,"DEEP_PERIOD_OVERRIDE",V$11)*1,"")))</f>
        <v/>
      </c>
      <c r="W224" s="17" t="str">
        <f>IF(ISNA($B224),"",IF($B224="","",IFERROR(_xll.BDP(TICKER,"DEEP_MEASURE_PERIOD_BROKER_VALUE","DEEP_MEASURE_ID_OVERRIDE",$C224,"DEEP_BROKER_ID_OVERRIDE",$F$7,"DEEP_PERIOD_OVERRIDE",W$11)*1,"")))</f>
        <v/>
      </c>
      <c r="X224" s="17" t="str">
        <f>IF(ISNA($B224),"",IF($B224="","",IFERROR(_xll.BDP(TICKER,"DEEP_MEASURE_PERIOD_BROKER_VALUE","DEEP_MEASURE_ID_OVERRIDE",$C224,"DEEP_BROKER_ID_OVERRIDE",$F$7,"DEEP_PERIOD_OVERRIDE",X$11)*1,"")))</f>
        <v/>
      </c>
      <c r="Y224" s="17" t="str">
        <f>IF(ISNA($B224),"",IF($B224="","",IFERROR(_xll.BDP(TICKER,"DEEP_MEASURE_PERIOD_BROKER_VALUE","DEEP_MEASURE_ID_OVERRIDE",$C224,"DEEP_BROKER_ID_OVERRIDE",$F$7,"DEEP_PERIOD_OVERRIDE",Y$11)*1,"")))</f>
        <v/>
      </c>
      <c r="Z224" s="17" t="str">
        <f>IF(ISNA($B224),"",IF($B224="","",IFERROR(_xll.BDP(TICKER,"DEEP_MEASURE_PERIOD_BROKER_VALUE","DEEP_MEASURE_ID_OVERRIDE",$C224,"DEEP_BROKER_ID_OVERRIDE",$F$7,"DEEP_PERIOD_OVERRIDE",Z$11)*1,"")))</f>
        <v/>
      </c>
      <c r="AA224" s="17" t="str">
        <f>IF(ISNA($B224),"",IF($B224="","",IFERROR(_xll.BDP(TICKER,"DEEP_MEASURE_PERIOD_BROKER_VALUE","DEEP_MEASURE_ID_OVERRIDE",$C224,"DEEP_BROKER_ID_OVERRIDE",$F$7,"DEEP_PERIOD_OVERRIDE",AA$11)*1,"")))</f>
        <v/>
      </c>
      <c r="AB224" s="17" t="str">
        <f>IF(ISNA($B224),"",IF($B224="","",IFERROR(_xll.BDP(TICKER,"DEEP_MEASURE_PERIOD_BROKER_VALUE","DEEP_MEASURE_ID_OVERRIDE",$C224,"DEEP_BROKER_ID_OVERRIDE",$F$7,"DEEP_PERIOD_OVERRIDE",AB$11)*1,"")))</f>
        <v/>
      </c>
      <c r="AC224" s="17" t="str">
        <f>IF(ISNA($B224),"",IF($B224="","",IFERROR(_xll.BDP(TICKER,"DEEP_MEASURE_PERIOD_BROKER_VALUE","DEEP_MEASURE_ID_OVERRIDE",$C224,"DEEP_BROKER_ID_OVERRIDE",$F$7,"DEEP_PERIOD_OVERRIDE",AC$11)*1,"")))</f>
        <v/>
      </c>
      <c r="AD224" s="17" t="str">
        <f>IF(ISNA($B224),"",IF($B224="","",IFERROR(_xll.BDP(TICKER,"DEEP_MEASURE_PERIOD_BROKER_VALUE","DEEP_MEASURE_ID_OVERRIDE",$C224,"DEEP_BROKER_ID_OVERRIDE",$F$7,"DEEP_PERIOD_OVERRIDE",AD$11)*1,"")))</f>
        <v/>
      </c>
      <c r="AE224" s="17" t="str">
        <f>IF(ISNA($B224),"",IF($B224="","",IFERROR(_xll.BDP(TICKER,"DEEP_MEASURE_PERIOD_BROKER_VALUE","DEEP_MEASURE_ID_OVERRIDE",$C224,"DEEP_BROKER_ID_OVERRIDE",$F$7,"DEEP_PERIOD_OVERRIDE",AE$11)*1,"")))</f>
        <v/>
      </c>
      <c r="AF224" s="17" t="str">
        <f>IF(ISNA($B224),"",IF($B224="","",IFERROR(_xll.BDP(TICKER,"DEEP_MEASURE_PERIOD_BROKER_VALUE","DEEP_MEASURE_ID_OVERRIDE",$C224,"DEEP_BROKER_ID_OVERRIDE",$F$7,"DEEP_PERIOD_OVERRIDE",AF$11)*1,"")))</f>
        <v/>
      </c>
      <c r="AG224" s="17" t="str">
        <f>IF(ISNA($B224),"",IF($B224="","",IFERROR(_xll.BDP(TICKER,"DEEP_MEASURE_PERIOD_BROKER_VALUE","DEEP_MEASURE_ID_OVERRIDE",$C224,"DEEP_BROKER_ID_OVERRIDE",$F$7,"DEEP_PERIOD_OVERRIDE",AG$11)*1,"")))</f>
        <v/>
      </c>
      <c r="AH224" s="17" t="str">
        <f>IF(ISNA($B224),"",IF($B224="","",IFERROR(_xll.BDP(TICKER,"DEEP_MEASURE_PERIOD_BROKER_VALUE","DEEP_MEASURE_ID_OVERRIDE",$C224,"DEEP_BROKER_ID_OVERRIDE",$F$7,"DEEP_PERIOD_OVERRIDE",AH$11)*1,"")))</f>
        <v/>
      </c>
      <c r="AI224" s="17" t="str">
        <f>IF(ISNA($B224),"",IF($B224="","",IFERROR(_xll.BDP(TICKER,"DEEP_MEASURE_PERIOD_BROKER_VALUE","DEEP_MEASURE_ID_OVERRIDE",$C224,"DEEP_BROKER_ID_OVERRIDE",$F$7,"DEEP_PERIOD_OVERRIDE",AI$11)*1,"")))</f>
        <v/>
      </c>
      <c r="AJ224" s="17" t="str">
        <f>IF(ISNA($B224),"",IF($B224="","",IFERROR(_xll.BDP(TICKER,"DEEP_MEASURE_PERIOD_BROKER_VALUE","DEEP_MEASURE_ID_OVERRIDE",$C224,"DEEP_BROKER_ID_OVERRIDE",$F$7,"DEEP_PERIOD_OVERRIDE",AJ$11)*1,"")))</f>
        <v/>
      </c>
      <c r="AK224" s="17" t="str">
        <f>IF(ISNA($B224),"",IF($B224="","",IFERROR(_xll.BDP(TICKER,"DEEP_MEASURE_PERIOD_BROKER_VALUE","DEEP_MEASURE_ID_OVERRIDE",$C224,"DEEP_BROKER_ID_OVERRIDE",$F$7,"DEEP_PERIOD_OVERRIDE",AK$11)*1,"")))</f>
        <v/>
      </c>
      <c r="AL224" s="17" t="str">
        <f>IF(ISNA($B224),"",IF($B224="","",IFERROR(_xll.BDP(TICKER,"DEEP_MEASURE_PERIOD_BROKER_VALUE","DEEP_MEASURE_ID_OVERRIDE",$C224,"DEEP_BROKER_ID_OVERRIDE",$F$7,"DEEP_PERIOD_OVERRIDE",AL$11)*1,"")))</f>
        <v/>
      </c>
      <c r="AM224" s="17" t="str">
        <f>IF(ISNA($B224),"",IF($B224="","",IFERROR(_xll.BDP(TICKER,"DEEP_MEASURE_PERIOD_BROKER_VALUE","DEEP_MEASURE_ID_OVERRIDE",$C224,"DEEP_BROKER_ID_OVERRIDE",$F$7,"DEEP_PERIOD_OVERRIDE",AM$11)*1,"")))</f>
        <v/>
      </c>
      <c r="AN224" s="17" t="str">
        <f>IF(ISNA($B224),"",IF($B224="","",IFERROR(_xll.BDP(TICKER,"DEEP_MEASURE_PERIOD_BROKER_VALUE","DEEP_MEASURE_ID_OVERRIDE",$C224,"DEEP_BROKER_ID_OVERRIDE",$F$7,"DEEP_PERIOD_OVERRIDE",AN$11)*1,"")))</f>
        <v/>
      </c>
      <c r="AO224" s="17" t="str">
        <f>IF(ISNA($B224),"",IF($B224="","",IFERROR(_xll.BDP(TICKER,"DEEP_MEASURE_PERIOD_BROKER_VALUE","DEEP_MEASURE_ID_OVERRIDE",$C224,"DEEP_BROKER_ID_OVERRIDE",$F$7,"DEEP_PERIOD_OVERRIDE",AO$11)*1,"")))</f>
        <v/>
      </c>
      <c r="AP224" s="17" t="str">
        <f>IF(ISNA($B224),"",IF($B224="","",IFERROR(_xll.BDP(TICKER,"DEEP_MEASURE_PERIOD_BROKER_VALUE","DEEP_MEASURE_ID_OVERRIDE",$C224,"DEEP_BROKER_ID_OVERRIDE",$F$7,"DEEP_PERIOD_OVERRIDE",AP$11)*1,"")))</f>
        <v/>
      </c>
      <c r="AQ224" s="17" t="str">
        <f>IF(ISNA($B224),"",IF($B224="","",IFERROR(_xll.BDP(TICKER,"DEEP_MEASURE_PERIOD_BROKER_VALUE","DEEP_MEASURE_ID_OVERRIDE",$C224,"DEEP_BROKER_ID_OVERRIDE",$F$7,"DEEP_PERIOD_OVERRIDE",AQ$11)*1,"")))</f>
        <v/>
      </c>
    </row>
    <row r="225" spans="8:43" x14ac:dyDescent="0.25">
      <c r="H225" t="str">
        <f t="shared" si="5"/>
        <v/>
      </c>
      <c r="I225" s="17" t="str">
        <f>IF(ISNA($B225),"",IF($B225="","",IFERROR(_xll.BDP(TICKER,"DEEP_MEASURE_PERIOD_BROKER_VALUE","DEEP_MEASURE_ID_OVERRIDE",$C225,"DEEP_BROKER_ID_OVERRIDE",$F$7,"DEEP_PERIOD_OVERRIDE",I$11)*1,"")))</f>
        <v/>
      </c>
      <c r="J225" s="17" t="str">
        <f>IF(ISNA($B225),"",IF($B225="","",IFERROR(_xll.BDP(TICKER,"DEEP_MEASURE_PERIOD_BROKER_VALUE","DEEP_MEASURE_ID_OVERRIDE",$C225,"DEEP_BROKER_ID_OVERRIDE",$F$7,"DEEP_PERIOD_OVERRIDE",J$11)*1,"")))</f>
        <v/>
      </c>
      <c r="K225" s="17" t="str">
        <f>IF(ISNA($B225),"",IF($B225="","",IFERROR(_xll.BDP(TICKER,"DEEP_MEASURE_PERIOD_BROKER_VALUE","DEEP_MEASURE_ID_OVERRIDE",$C225,"DEEP_BROKER_ID_OVERRIDE",$F$7,"DEEP_PERIOD_OVERRIDE",K$11)*1,"")))</f>
        <v/>
      </c>
      <c r="L225" s="17" t="str">
        <f>IF(ISNA($B225),"",IF($B225="","",IFERROR(_xll.BDP(TICKER,"DEEP_MEASURE_PERIOD_BROKER_VALUE","DEEP_MEASURE_ID_OVERRIDE",$C225,"DEEP_BROKER_ID_OVERRIDE",$F$7,"DEEP_PERIOD_OVERRIDE",L$11)*1,"")))</f>
        <v/>
      </c>
      <c r="M225" s="17" t="str">
        <f>IF(ISNA($B225),"",IF($B225="","",IFERROR(_xll.BDP(TICKER,"DEEP_MEASURE_PERIOD_BROKER_VALUE","DEEP_MEASURE_ID_OVERRIDE",$C225,"DEEP_BROKER_ID_OVERRIDE",$F$7,"DEEP_PERIOD_OVERRIDE",M$11)*1,"")))</f>
        <v/>
      </c>
      <c r="N225" s="17" t="str">
        <f>IF(ISNA($B225),"",IF($B225="","",IFERROR(_xll.BDP(TICKER,"DEEP_MEASURE_PERIOD_BROKER_VALUE","DEEP_MEASURE_ID_OVERRIDE",$C225,"DEEP_BROKER_ID_OVERRIDE",$F$7,"DEEP_PERIOD_OVERRIDE",N$11)*1,"")))</f>
        <v/>
      </c>
      <c r="O225" s="17" t="str">
        <f>IF(ISNA($B225),"",IF($B225="","",IFERROR(_xll.BDP(TICKER,"DEEP_MEASURE_PERIOD_BROKER_VALUE","DEEP_MEASURE_ID_OVERRIDE",$C225,"DEEP_BROKER_ID_OVERRIDE",$F$7,"DEEP_PERIOD_OVERRIDE",O$11)*1,"")))</f>
        <v/>
      </c>
      <c r="P225" s="17" t="str">
        <f>IF(ISNA($B225),"",IF($B225="","",IFERROR(_xll.BDP(TICKER,"DEEP_MEASURE_PERIOD_BROKER_VALUE","DEEP_MEASURE_ID_OVERRIDE",$C225,"DEEP_BROKER_ID_OVERRIDE",$F$7,"DEEP_PERIOD_OVERRIDE",P$11)*1,"")))</f>
        <v/>
      </c>
      <c r="Q225" s="17" t="str">
        <f>IF(ISNA($B225),"",IF($B225="","",IFERROR(_xll.BDP(TICKER,"DEEP_MEASURE_PERIOD_BROKER_VALUE","DEEP_MEASURE_ID_OVERRIDE",$C225,"DEEP_BROKER_ID_OVERRIDE",$F$7,"DEEP_PERIOD_OVERRIDE",Q$11)*1,"")))</f>
        <v/>
      </c>
      <c r="R225" s="17" t="str">
        <f>IF(ISNA($B225),"",IF($B225="","",IFERROR(_xll.BDP(TICKER,"DEEP_MEASURE_PERIOD_BROKER_VALUE","DEEP_MEASURE_ID_OVERRIDE",$C225,"DEEP_BROKER_ID_OVERRIDE",$F$7,"DEEP_PERIOD_OVERRIDE",R$11)*1,"")))</f>
        <v/>
      </c>
      <c r="S225" s="17" t="str">
        <f>IF(ISNA($B225),"",IF($B225="","",IFERROR(_xll.BDP(TICKER,"DEEP_MEASURE_PERIOD_BROKER_VALUE","DEEP_MEASURE_ID_OVERRIDE",$C225,"DEEP_BROKER_ID_OVERRIDE",$F$7,"DEEP_PERIOD_OVERRIDE",S$11)*1,"")))</f>
        <v/>
      </c>
      <c r="T225" s="17" t="str">
        <f>IF(ISNA($B225),"",IF($B225="","",IFERROR(_xll.BDP(TICKER,"DEEP_MEASURE_PERIOD_BROKER_VALUE","DEEP_MEASURE_ID_OVERRIDE",$C225,"DEEP_BROKER_ID_OVERRIDE",$F$7,"DEEP_PERIOD_OVERRIDE",T$11)*1,"")))</f>
        <v/>
      </c>
      <c r="U225" s="17" t="str">
        <f>IF(ISNA($B225),"",IF($B225="","",IFERROR(_xll.BDP(TICKER,"DEEP_MEASURE_PERIOD_BROKER_VALUE","DEEP_MEASURE_ID_OVERRIDE",$C225,"DEEP_BROKER_ID_OVERRIDE",$F$7,"DEEP_PERIOD_OVERRIDE",U$11)*1,"")))</f>
        <v/>
      </c>
      <c r="V225" s="17" t="str">
        <f>IF(ISNA($B225),"",IF($B225="","",IFERROR(_xll.BDP(TICKER,"DEEP_MEASURE_PERIOD_BROKER_VALUE","DEEP_MEASURE_ID_OVERRIDE",$C225,"DEEP_BROKER_ID_OVERRIDE",$F$7,"DEEP_PERIOD_OVERRIDE",V$11)*1,"")))</f>
        <v/>
      </c>
      <c r="W225" s="17" t="str">
        <f>IF(ISNA($B225),"",IF($B225="","",IFERROR(_xll.BDP(TICKER,"DEEP_MEASURE_PERIOD_BROKER_VALUE","DEEP_MEASURE_ID_OVERRIDE",$C225,"DEEP_BROKER_ID_OVERRIDE",$F$7,"DEEP_PERIOD_OVERRIDE",W$11)*1,"")))</f>
        <v/>
      </c>
      <c r="X225" s="17" t="str">
        <f>IF(ISNA($B225),"",IF($B225="","",IFERROR(_xll.BDP(TICKER,"DEEP_MEASURE_PERIOD_BROKER_VALUE","DEEP_MEASURE_ID_OVERRIDE",$C225,"DEEP_BROKER_ID_OVERRIDE",$F$7,"DEEP_PERIOD_OVERRIDE",X$11)*1,"")))</f>
        <v/>
      </c>
      <c r="Y225" s="17" t="str">
        <f>IF(ISNA($B225),"",IF($B225="","",IFERROR(_xll.BDP(TICKER,"DEEP_MEASURE_PERIOD_BROKER_VALUE","DEEP_MEASURE_ID_OVERRIDE",$C225,"DEEP_BROKER_ID_OVERRIDE",$F$7,"DEEP_PERIOD_OVERRIDE",Y$11)*1,"")))</f>
        <v/>
      </c>
      <c r="Z225" s="17" t="str">
        <f>IF(ISNA($B225),"",IF($B225="","",IFERROR(_xll.BDP(TICKER,"DEEP_MEASURE_PERIOD_BROKER_VALUE","DEEP_MEASURE_ID_OVERRIDE",$C225,"DEEP_BROKER_ID_OVERRIDE",$F$7,"DEEP_PERIOD_OVERRIDE",Z$11)*1,"")))</f>
        <v/>
      </c>
      <c r="AA225" s="17" t="str">
        <f>IF(ISNA($B225),"",IF($B225="","",IFERROR(_xll.BDP(TICKER,"DEEP_MEASURE_PERIOD_BROKER_VALUE","DEEP_MEASURE_ID_OVERRIDE",$C225,"DEEP_BROKER_ID_OVERRIDE",$F$7,"DEEP_PERIOD_OVERRIDE",AA$11)*1,"")))</f>
        <v/>
      </c>
      <c r="AB225" s="17" t="str">
        <f>IF(ISNA($B225),"",IF($B225="","",IFERROR(_xll.BDP(TICKER,"DEEP_MEASURE_PERIOD_BROKER_VALUE","DEEP_MEASURE_ID_OVERRIDE",$C225,"DEEP_BROKER_ID_OVERRIDE",$F$7,"DEEP_PERIOD_OVERRIDE",AB$11)*1,"")))</f>
        <v/>
      </c>
      <c r="AC225" s="17" t="str">
        <f>IF(ISNA($B225),"",IF($B225="","",IFERROR(_xll.BDP(TICKER,"DEEP_MEASURE_PERIOD_BROKER_VALUE","DEEP_MEASURE_ID_OVERRIDE",$C225,"DEEP_BROKER_ID_OVERRIDE",$F$7,"DEEP_PERIOD_OVERRIDE",AC$11)*1,"")))</f>
        <v/>
      </c>
      <c r="AD225" s="17" t="str">
        <f>IF(ISNA($B225),"",IF($B225="","",IFERROR(_xll.BDP(TICKER,"DEEP_MEASURE_PERIOD_BROKER_VALUE","DEEP_MEASURE_ID_OVERRIDE",$C225,"DEEP_BROKER_ID_OVERRIDE",$F$7,"DEEP_PERIOD_OVERRIDE",AD$11)*1,"")))</f>
        <v/>
      </c>
      <c r="AE225" s="17" t="str">
        <f>IF(ISNA($B225),"",IF($B225="","",IFERROR(_xll.BDP(TICKER,"DEEP_MEASURE_PERIOD_BROKER_VALUE","DEEP_MEASURE_ID_OVERRIDE",$C225,"DEEP_BROKER_ID_OVERRIDE",$F$7,"DEEP_PERIOD_OVERRIDE",AE$11)*1,"")))</f>
        <v/>
      </c>
      <c r="AF225" s="17" t="str">
        <f>IF(ISNA($B225),"",IF($B225="","",IFERROR(_xll.BDP(TICKER,"DEEP_MEASURE_PERIOD_BROKER_VALUE","DEEP_MEASURE_ID_OVERRIDE",$C225,"DEEP_BROKER_ID_OVERRIDE",$F$7,"DEEP_PERIOD_OVERRIDE",AF$11)*1,"")))</f>
        <v/>
      </c>
      <c r="AG225" s="17" t="str">
        <f>IF(ISNA($B225),"",IF($B225="","",IFERROR(_xll.BDP(TICKER,"DEEP_MEASURE_PERIOD_BROKER_VALUE","DEEP_MEASURE_ID_OVERRIDE",$C225,"DEEP_BROKER_ID_OVERRIDE",$F$7,"DEEP_PERIOD_OVERRIDE",AG$11)*1,"")))</f>
        <v/>
      </c>
      <c r="AH225" s="17" t="str">
        <f>IF(ISNA($B225),"",IF($B225="","",IFERROR(_xll.BDP(TICKER,"DEEP_MEASURE_PERIOD_BROKER_VALUE","DEEP_MEASURE_ID_OVERRIDE",$C225,"DEEP_BROKER_ID_OVERRIDE",$F$7,"DEEP_PERIOD_OVERRIDE",AH$11)*1,"")))</f>
        <v/>
      </c>
      <c r="AI225" s="17" t="str">
        <f>IF(ISNA($B225),"",IF($B225="","",IFERROR(_xll.BDP(TICKER,"DEEP_MEASURE_PERIOD_BROKER_VALUE","DEEP_MEASURE_ID_OVERRIDE",$C225,"DEEP_BROKER_ID_OVERRIDE",$F$7,"DEEP_PERIOD_OVERRIDE",AI$11)*1,"")))</f>
        <v/>
      </c>
      <c r="AJ225" s="17" t="str">
        <f>IF(ISNA($B225),"",IF($B225="","",IFERROR(_xll.BDP(TICKER,"DEEP_MEASURE_PERIOD_BROKER_VALUE","DEEP_MEASURE_ID_OVERRIDE",$C225,"DEEP_BROKER_ID_OVERRIDE",$F$7,"DEEP_PERIOD_OVERRIDE",AJ$11)*1,"")))</f>
        <v/>
      </c>
      <c r="AK225" s="17" t="str">
        <f>IF(ISNA($B225),"",IF($B225="","",IFERROR(_xll.BDP(TICKER,"DEEP_MEASURE_PERIOD_BROKER_VALUE","DEEP_MEASURE_ID_OVERRIDE",$C225,"DEEP_BROKER_ID_OVERRIDE",$F$7,"DEEP_PERIOD_OVERRIDE",AK$11)*1,"")))</f>
        <v/>
      </c>
      <c r="AL225" s="17" t="str">
        <f>IF(ISNA($B225),"",IF($B225="","",IFERROR(_xll.BDP(TICKER,"DEEP_MEASURE_PERIOD_BROKER_VALUE","DEEP_MEASURE_ID_OVERRIDE",$C225,"DEEP_BROKER_ID_OVERRIDE",$F$7,"DEEP_PERIOD_OVERRIDE",AL$11)*1,"")))</f>
        <v/>
      </c>
      <c r="AM225" s="17" t="str">
        <f>IF(ISNA($B225),"",IF($B225="","",IFERROR(_xll.BDP(TICKER,"DEEP_MEASURE_PERIOD_BROKER_VALUE","DEEP_MEASURE_ID_OVERRIDE",$C225,"DEEP_BROKER_ID_OVERRIDE",$F$7,"DEEP_PERIOD_OVERRIDE",AM$11)*1,"")))</f>
        <v/>
      </c>
      <c r="AN225" s="17" t="str">
        <f>IF(ISNA($B225),"",IF($B225="","",IFERROR(_xll.BDP(TICKER,"DEEP_MEASURE_PERIOD_BROKER_VALUE","DEEP_MEASURE_ID_OVERRIDE",$C225,"DEEP_BROKER_ID_OVERRIDE",$F$7,"DEEP_PERIOD_OVERRIDE",AN$11)*1,"")))</f>
        <v/>
      </c>
      <c r="AO225" s="17" t="str">
        <f>IF(ISNA($B225),"",IF($B225="","",IFERROR(_xll.BDP(TICKER,"DEEP_MEASURE_PERIOD_BROKER_VALUE","DEEP_MEASURE_ID_OVERRIDE",$C225,"DEEP_BROKER_ID_OVERRIDE",$F$7,"DEEP_PERIOD_OVERRIDE",AO$11)*1,"")))</f>
        <v/>
      </c>
      <c r="AP225" s="17" t="str">
        <f>IF(ISNA($B225),"",IF($B225="","",IFERROR(_xll.BDP(TICKER,"DEEP_MEASURE_PERIOD_BROKER_VALUE","DEEP_MEASURE_ID_OVERRIDE",$C225,"DEEP_BROKER_ID_OVERRIDE",$F$7,"DEEP_PERIOD_OVERRIDE",AP$11)*1,"")))</f>
        <v/>
      </c>
      <c r="AQ225" s="17" t="str">
        <f>IF(ISNA($B225),"",IF($B225="","",IFERROR(_xll.BDP(TICKER,"DEEP_MEASURE_PERIOD_BROKER_VALUE","DEEP_MEASURE_ID_OVERRIDE",$C225,"DEEP_BROKER_ID_OVERRIDE",$F$7,"DEEP_PERIOD_OVERRIDE",AQ$11)*1,"")))</f>
        <v/>
      </c>
    </row>
    <row r="226" spans="8:43" x14ac:dyDescent="0.25">
      <c r="H226" t="str">
        <f t="shared" si="5"/>
        <v/>
      </c>
      <c r="I226" s="17" t="str">
        <f>IF(ISNA($B226),"",IF($B226="","",IFERROR(_xll.BDP(TICKER,"DEEP_MEASURE_PERIOD_BROKER_VALUE","DEEP_MEASURE_ID_OVERRIDE",$C226,"DEEP_BROKER_ID_OVERRIDE",$F$7,"DEEP_PERIOD_OVERRIDE",I$11)*1,"")))</f>
        <v/>
      </c>
      <c r="J226" s="17" t="str">
        <f>IF(ISNA($B226),"",IF($B226="","",IFERROR(_xll.BDP(TICKER,"DEEP_MEASURE_PERIOD_BROKER_VALUE","DEEP_MEASURE_ID_OVERRIDE",$C226,"DEEP_BROKER_ID_OVERRIDE",$F$7,"DEEP_PERIOD_OVERRIDE",J$11)*1,"")))</f>
        <v/>
      </c>
      <c r="K226" s="17" t="str">
        <f>IF(ISNA($B226),"",IF($B226="","",IFERROR(_xll.BDP(TICKER,"DEEP_MEASURE_PERIOD_BROKER_VALUE","DEEP_MEASURE_ID_OVERRIDE",$C226,"DEEP_BROKER_ID_OVERRIDE",$F$7,"DEEP_PERIOD_OVERRIDE",K$11)*1,"")))</f>
        <v/>
      </c>
      <c r="L226" s="17" t="str">
        <f>IF(ISNA($B226),"",IF($B226="","",IFERROR(_xll.BDP(TICKER,"DEEP_MEASURE_PERIOD_BROKER_VALUE","DEEP_MEASURE_ID_OVERRIDE",$C226,"DEEP_BROKER_ID_OVERRIDE",$F$7,"DEEP_PERIOD_OVERRIDE",L$11)*1,"")))</f>
        <v/>
      </c>
      <c r="M226" s="17" t="str">
        <f>IF(ISNA($B226),"",IF($B226="","",IFERROR(_xll.BDP(TICKER,"DEEP_MEASURE_PERIOD_BROKER_VALUE","DEEP_MEASURE_ID_OVERRIDE",$C226,"DEEP_BROKER_ID_OVERRIDE",$F$7,"DEEP_PERIOD_OVERRIDE",M$11)*1,"")))</f>
        <v/>
      </c>
      <c r="N226" s="17" t="str">
        <f>IF(ISNA($B226),"",IF($B226="","",IFERROR(_xll.BDP(TICKER,"DEEP_MEASURE_PERIOD_BROKER_VALUE","DEEP_MEASURE_ID_OVERRIDE",$C226,"DEEP_BROKER_ID_OVERRIDE",$F$7,"DEEP_PERIOD_OVERRIDE",N$11)*1,"")))</f>
        <v/>
      </c>
      <c r="O226" s="17" t="str">
        <f>IF(ISNA($B226),"",IF($B226="","",IFERROR(_xll.BDP(TICKER,"DEEP_MEASURE_PERIOD_BROKER_VALUE","DEEP_MEASURE_ID_OVERRIDE",$C226,"DEEP_BROKER_ID_OVERRIDE",$F$7,"DEEP_PERIOD_OVERRIDE",O$11)*1,"")))</f>
        <v/>
      </c>
      <c r="P226" s="17" t="str">
        <f>IF(ISNA($B226),"",IF($B226="","",IFERROR(_xll.BDP(TICKER,"DEEP_MEASURE_PERIOD_BROKER_VALUE","DEEP_MEASURE_ID_OVERRIDE",$C226,"DEEP_BROKER_ID_OVERRIDE",$F$7,"DEEP_PERIOD_OVERRIDE",P$11)*1,"")))</f>
        <v/>
      </c>
      <c r="Q226" s="17" t="str">
        <f>IF(ISNA($B226),"",IF($B226="","",IFERROR(_xll.BDP(TICKER,"DEEP_MEASURE_PERIOD_BROKER_VALUE","DEEP_MEASURE_ID_OVERRIDE",$C226,"DEEP_BROKER_ID_OVERRIDE",$F$7,"DEEP_PERIOD_OVERRIDE",Q$11)*1,"")))</f>
        <v/>
      </c>
      <c r="R226" s="17" t="str">
        <f>IF(ISNA($B226),"",IF($B226="","",IFERROR(_xll.BDP(TICKER,"DEEP_MEASURE_PERIOD_BROKER_VALUE","DEEP_MEASURE_ID_OVERRIDE",$C226,"DEEP_BROKER_ID_OVERRIDE",$F$7,"DEEP_PERIOD_OVERRIDE",R$11)*1,"")))</f>
        <v/>
      </c>
      <c r="S226" s="17" t="str">
        <f>IF(ISNA($B226),"",IF($B226="","",IFERROR(_xll.BDP(TICKER,"DEEP_MEASURE_PERIOD_BROKER_VALUE","DEEP_MEASURE_ID_OVERRIDE",$C226,"DEEP_BROKER_ID_OVERRIDE",$F$7,"DEEP_PERIOD_OVERRIDE",S$11)*1,"")))</f>
        <v/>
      </c>
      <c r="T226" s="17" t="str">
        <f>IF(ISNA($B226),"",IF($B226="","",IFERROR(_xll.BDP(TICKER,"DEEP_MEASURE_PERIOD_BROKER_VALUE","DEEP_MEASURE_ID_OVERRIDE",$C226,"DEEP_BROKER_ID_OVERRIDE",$F$7,"DEEP_PERIOD_OVERRIDE",T$11)*1,"")))</f>
        <v/>
      </c>
      <c r="U226" s="17" t="str">
        <f>IF(ISNA($B226),"",IF($B226="","",IFERROR(_xll.BDP(TICKER,"DEEP_MEASURE_PERIOD_BROKER_VALUE","DEEP_MEASURE_ID_OVERRIDE",$C226,"DEEP_BROKER_ID_OVERRIDE",$F$7,"DEEP_PERIOD_OVERRIDE",U$11)*1,"")))</f>
        <v/>
      </c>
      <c r="V226" s="17" t="str">
        <f>IF(ISNA($B226),"",IF($B226="","",IFERROR(_xll.BDP(TICKER,"DEEP_MEASURE_PERIOD_BROKER_VALUE","DEEP_MEASURE_ID_OVERRIDE",$C226,"DEEP_BROKER_ID_OVERRIDE",$F$7,"DEEP_PERIOD_OVERRIDE",V$11)*1,"")))</f>
        <v/>
      </c>
      <c r="W226" s="17" t="str">
        <f>IF(ISNA($B226),"",IF($B226="","",IFERROR(_xll.BDP(TICKER,"DEEP_MEASURE_PERIOD_BROKER_VALUE","DEEP_MEASURE_ID_OVERRIDE",$C226,"DEEP_BROKER_ID_OVERRIDE",$F$7,"DEEP_PERIOD_OVERRIDE",W$11)*1,"")))</f>
        <v/>
      </c>
      <c r="X226" s="17" t="str">
        <f>IF(ISNA($B226),"",IF($B226="","",IFERROR(_xll.BDP(TICKER,"DEEP_MEASURE_PERIOD_BROKER_VALUE","DEEP_MEASURE_ID_OVERRIDE",$C226,"DEEP_BROKER_ID_OVERRIDE",$F$7,"DEEP_PERIOD_OVERRIDE",X$11)*1,"")))</f>
        <v/>
      </c>
      <c r="Y226" s="17" t="str">
        <f>IF(ISNA($B226),"",IF($B226="","",IFERROR(_xll.BDP(TICKER,"DEEP_MEASURE_PERIOD_BROKER_VALUE","DEEP_MEASURE_ID_OVERRIDE",$C226,"DEEP_BROKER_ID_OVERRIDE",$F$7,"DEEP_PERIOD_OVERRIDE",Y$11)*1,"")))</f>
        <v/>
      </c>
      <c r="Z226" s="17" t="str">
        <f>IF(ISNA($B226),"",IF($B226="","",IFERROR(_xll.BDP(TICKER,"DEEP_MEASURE_PERIOD_BROKER_VALUE","DEEP_MEASURE_ID_OVERRIDE",$C226,"DEEP_BROKER_ID_OVERRIDE",$F$7,"DEEP_PERIOD_OVERRIDE",Z$11)*1,"")))</f>
        <v/>
      </c>
      <c r="AA226" s="17" t="str">
        <f>IF(ISNA($B226),"",IF($B226="","",IFERROR(_xll.BDP(TICKER,"DEEP_MEASURE_PERIOD_BROKER_VALUE","DEEP_MEASURE_ID_OVERRIDE",$C226,"DEEP_BROKER_ID_OVERRIDE",$F$7,"DEEP_PERIOD_OVERRIDE",AA$11)*1,"")))</f>
        <v/>
      </c>
      <c r="AB226" s="17" t="str">
        <f>IF(ISNA($B226),"",IF($B226="","",IFERROR(_xll.BDP(TICKER,"DEEP_MEASURE_PERIOD_BROKER_VALUE","DEEP_MEASURE_ID_OVERRIDE",$C226,"DEEP_BROKER_ID_OVERRIDE",$F$7,"DEEP_PERIOD_OVERRIDE",AB$11)*1,"")))</f>
        <v/>
      </c>
      <c r="AC226" s="17" t="str">
        <f>IF(ISNA($B226),"",IF($B226="","",IFERROR(_xll.BDP(TICKER,"DEEP_MEASURE_PERIOD_BROKER_VALUE","DEEP_MEASURE_ID_OVERRIDE",$C226,"DEEP_BROKER_ID_OVERRIDE",$F$7,"DEEP_PERIOD_OVERRIDE",AC$11)*1,"")))</f>
        <v/>
      </c>
      <c r="AD226" s="17" t="str">
        <f>IF(ISNA($B226),"",IF($B226="","",IFERROR(_xll.BDP(TICKER,"DEEP_MEASURE_PERIOD_BROKER_VALUE","DEEP_MEASURE_ID_OVERRIDE",$C226,"DEEP_BROKER_ID_OVERRIDE",$F$7,"DEEP_PERIOD_OVERRIDE",AD$11)*1,"")))</f>
        <v/>
      </c>
      <c r="AE226" s="17" t="str">
        <f>IF(ISNA($B226),"",IF($B226="","",IFERROR(_xll.BDP(TICKER,"DEEP_MEASURE_PERIOD_BROKER_VALUE","DEEP_MEASURE_ID_OVERRIDE",$C226,"DEEP_BROKER_ID_OVERRIDE",$F$7,"DEEP_PERIOD_OVERRIDE",AE$11)*1,"")))</f>
        <v/>
      </c>
      <c r="AF226" s="17" t="str">
        <f>IF(ISNA($B226),"",IF($B226="","",IFERROR(_xll.BDP(TICKER,"DEEP_MEASURE_PERIOD_BROKER_VALUE","DEEP_MEASURE_ID_OVERRIDE",$C226,"DEEP_BROKER_ID_OVERRIDE",$F$7,"DEEP_PERIOD_OVERRIDE",AF$11)*1,"")))</f>
        <v/>
      </c>
      <c r="AG226" s="17" t="str">
        <f>IF(ISNA($B226),"",IF($B226="","",IFERROR(_xll.BDP(TICKER,"DEEP_MEASURE_PERIOD_BROKER_VALUE","DEEP_MEASURE_ID_OVERRIDE",$C226,"DEEP_BROKER_ID_OVERRIDE",$F$7,"DEEP_PERIOD_OVERRIDE",AG$11)*1,"")))</f>
        <v/>
      </c>
      <c r="AH226" s="17" t="str">
        <f>IF(ISNA($B226),"",IF($B226="","",IFERROR(_xll.BDP(TICKER,"DEEP_MEASURE_PERIOD_BROKER_VALUE","DEEP_MEASURE_ID_OVERRIDE",$C226,"DEEP_BROKER_ID_OVERRIDE",$F$7,"DEEP_PERIOD_OVERRIDE",AH$11)*1,"")))</f>
        <v/>
      </c>
      <c r="AI226" s="17" t="str">
        <f>IF(ISNA($B226),"",IF($B226="","",IFERROR(_xll.BDP(TICKER,"DEEP_MEASURE_PERIOD_BROKER_VALUE","DEEP_MEASURE_ID_OVERRIDE",$C226,"DEEP_BROKER_ID_OVERRIDE",$F$7,"DEEP_PERIOD_OVERRIDE",AI$11)*1,"")))</f>
        <v/>
      </c>
      <c r="AJ226" s="17" t="str">
        <f>IF(ISNA($B226),"",IF($B226="","",IFERROR(_xll.BDP(TICKER,"DEEP_MEASURE_PERIOD_BROKER_VALUE","DEEP_MEASURE_ID_OVERRIDE",$C226,"DEEP_BROKER_ID_OVERRIDE",$F$7,"DEEP_PERIOD_OVERRIDE",AJ$11)*1,"")))</f>
        <v/>
      </c>
      <c r="AK226" s="17" t="str">
        <f>IF(ISNA($B226),"",IF($B226="","",IFERROR(_xll.BDP(TICKER,"DEEP_MEASURE_PERIOD_BROKER_VALUE","DEEP_MEASURE_ID_OVERRIDE",$C226,"DEEP_BROKER_ID_OVERRIDE",$F$7,"DEEP_PERIOD_OVERRIDE",AK$11)*1,"")))</f>
        <v/>
      </c>
      <c r="AL226" s="17" t="str">
        <f>IF(ISNA($B226),"",IF($B226="","",IFERROR(_xll.BDP(TICKER,"DEEP_MEASURE_PERIOD_BROKER_VALUE","DEEP_MEASURE_ID_OVERRIDE",$C226,"DEEP_BROKER_ID_OVERRIDE",$F$7,"DEEP_PERIOD_OVERRIDE",AL$11)*1,"")))</f>
        <v/>
      </c>
      <c r="AM226" s="17" t="str">
        <f>IF(ISNA($B226),"",IF($B226="","",IFERROR(_xll.BDP(TICKER,"DEEP_MEASURE_PERIOD_BROKER_VALUE","DEEP_MEASURE_ID_OVERRIDE",$C226,"DEEP_BROKER_ID_OVERRIDE",$F$7,"DEEP_PERIOD_OVERRIDE",AM$11)*1,"")))</f>
        <v/>
      </c>
      <c r="AN226" s="17" t="str">
        <f>IF(ISNA($B226),"",IF($B226="","",IFERROR(_xll.BDP(TICKER,"DEEP_MEASURE_PERIOD_BROKER_VALUE","DEEP_MEASURE_ID_OVERRIDE",$C226,"DEEP_BROKER_ID_OVERRIDE",$F$7,"DEEP_PERIOD_OVERRIDE",AN$11)*1,"")))</f>
        <v/>
      </c>
      <c r="AO226" s="17" t="str">
        <f>IF(ISNA($B226),"",IF($B226="","",IFERROR(_xll.BDP(TICKER,"DEEP_MEASURE_PERIOD_BROKER_VALUE","DEEP_MEASURE_ID_OVERRIDE",$C226,"DEEP_BROKER_ID_OVERRIDE",$F$7,"DEEP_PERIOD_OVERRIDE",AO$11)*1,"")))</f>
        <v/>
      </c>
      <c r="AP226" s="17" t="str">
        <f>IF(ISNA($B226),"",IF($B226="","",IFERROR(_xll.BDP(TICKER,"DEEP_MEASURE_PERIOD_BROKER_VALUE","DEEP_MEASURE_ID_OVERRIDE",$C226,"DEEP_BROKER_ID_OVERRIDE",$F$7,"DEEP_PERIOD_OVERRIDE",AP$11)*1,"")))</f>
        <v/>
      </c>
      <c r="AQ226" s="17" t="str">
        <f>IF(ISNA($B226),"",IF($B226="","",IFERROR(_xll.BDP(TICKER,"DEEP_MEASURE_PERIOD_BROKER_VALUE","DEEP_MEASURE_ID_OVERRIDE",$C226,"DEEP_BROKER_ID_OVERRIDE",$F$7,"DEEP_PERIOD_OVERRIDE",AQ$11)*1,"")))</f>
        <v/>
      </c>
    </row>
    <row r="227" spans="8:43" x14ac:dyDescent="0.25">
      <c r="H227" t="str">
        <f t="shared" si="5"/>
        <v/>
      </c>
      <c r="I227" s="17" t="str">
        <f>IF(ISNA($B227),"",IF($B227="","",IFERROR(_xll.BDP(TICKER,"DEEP_MEASURE_PERIOD_BROKER_VALUE","DEEP_MEASURE_ID_OVERRIDE",$C227,"DEEP_BROKER_ID_OVERRIDE",$F$7,"DEEP_PERIOD_OVERRIDE",I$11)*1,"")))</f>
        <v/>
      </c>
      <c r="J227" s="17" t="str">
        <f>IF(ISNA($B227),"",IF($B227="","",IFERROR(_xll.BDP(TICKER,"DEEP_MEASURE_PERIOD_BROKER_VALUE","DEEP_MEASURE_ID_OVERRIDE",$C227,"DEEP_BROKER_ID_OVERRIDE",$F$7,"DEEP_PERIOD_OVERRIDE",J$11)*1,"")))</f>
        <v/>
      </c>
      <c r="K227" s="17" t="str">
        <f>IF(ISNA($B227),"",IF($B227="","",IFERROR(_xll.BDP(TICKER,"DEEP_MEASURE_PERIOD_BROKER_VALUE","DEEP_MEASURE_ID_OVERRIDE",$C227,"DEEP_BROKER_ID_OVERRIDE",$F$7,"DEEP_PERIOD_OVERRIDE",K$11)*1,"")))</f>
        <v/>
      </c>
      <c r="L227" s="17" t="str">
        <f>IF(ISNA($B227),"",IF($B227="","",IFERROR(_xll.BDP(TICKER,"DEEP_MEASURE_PERIOD_BROKER_VALUE","DEEP_MEASURE_ID_OVERRIDE",$C227,"DEEP_BROKER_ID_OVERRIDE",$F$7,"DEEP_PERIOD_OVERRIDE",L$11)*1,"")))</f>
        <v/>
      </c>
      <c r="M227" s="17" t="str">
        <f>IF(ISNA($B227),"",IF($B227="","",IFERROR(_xll.BDP(TICKER,"DEEP_MEASURE_PERIOD_BROKER_VALUE","DEEP_MEASURE_ID_OVERRIDE",$C227,"DEEP_BROKER_ID_OVERRIDE",$F$7,"DEEP_PERIOD_OVERRIDE",M$11)*1,"")))</f>
        <v/>
      </c>
      <c r="N227" s="17" t="str">
        <f>IF(ISNA($B227),"",IF($B227="","",IFERROR(_xll.BDP(TICKER,"DEEP_MEASURE_PERIOD_BROKER_VALUE","DEEP_MEASURE_ID_OVERRIDE",$C227,"DEEP_BROKER_ID_OVERRIDE",$F$7,"DEEP_PERIOD_OVERRIDE",N$11)*1,"")))</f>
        <v/>
      </c>
      <c r="O227" s="17" t="str">
        <f>IF(ISNA($B227),"",IF($B227="","",IFERROR(_xll.BDP(TICKER,"DEEP_MEASURE_PERIOD_BROKER_VALUE","DEEP_MEASURE_ID_OVERRIDE",$C227,"DEEP_BROKER_ID_OVERRIDE",$F$7,"DEEP_PERIOD_OVERRIDE",O$11)*1,"")))</f>
        <v/>
      </c>
      <c r="P227" s="17" t="str">
        <f>IF(ISNA($B227),"",IF($B227="","",IFERROR(_xll.BDP(TICKER,"DEEP_MEASURE_PERIOD_BROKER_VALUE","DEEP_MEASURE_ID_OVERRIDE",$C227,"DEEP_BROKER_ID_OVERRIDE",$F$7,"DEEP_PERIOD_OVERRIDE",P$11)*1,"")))</f>
        <v/>
      </c>
      <c r="Q227" s="17" t="str">
        <f>IF(ISNA($B227),"",IF($B227="","",IFERROR(_xll.BDP(TICKER,"DEEP_MEASURE_PERIOD_BROKER_VALUE","DEEP_MEASURE_ID_OVERRIDE",$C227,"DEEP_BROKER_ID_OVERRIDE",$F$7,"DEEP_PERIOD_OVERRIDE",Q$11)*1,"")))</f>
        <v/>
      </c>
      <c r="R227" s="17" t="str">
        <f>IF(ISNA($B227),"",IF($B227="","",IFERROR(_xll.BDP(TICKER,"DEEP_MEASURE_PERIOD_BROKER_VALUE","DEEP_MEASURE_ID_OVERRIDE",$C227,"DEEP_BROKER_ID_OVERRIDE",$F$7,"DEEP_PERIOD_OVERRIDE",R$11)*1,"")))</f>
        <v/>
      </c>
      <c r="S227" s="17" t="str">
        <f>IF(ISNA($B227),"",IF($B227="","",IFERROR(_xll.BDP(TICKER,"DEEP_MEASURE_PERIOD_BROKER_VALUE","DEEP_MEASURE_ID_OVERRIDE",$C227,"DEEP_BROKER_ID_OVERRIDE",$F$7,"DEEP_PERIOD_OVERRIDE",S$11)*1,"")))</f>
        <v/>
      </c>
      <c r="T227" s="17" t="str">
        <f>IF(ISNA($B227),"",IF($B227="","",IFERROR(_xll.BDP(TICKER,"DEEP_MEASURE_PERIOD_BROKER_VALUE","DEEP_MEASURE_ID_OVERRIDE",$C227,"DEEP_BROKER_ID_OVERRIDE",$F$7,"DEEP_PERIOD_OVERRIDE",T$11)*1,"")))</f>
        <v/>
      </c>
      <c r="U227" s="17" t="str">
        <f>IF(ISNA($B227),"",IF($B227="","",IFERROR(_xll.BDP(TICKER,"DEEP_MEASURE_PERIOD_BROKER_VALUE","DEEP_MEASURE_ID_OVERRIDE",$C227,"DEEP_BROKER_ID_OVERRIDE",$F$7,"DEEP_PERIOD_OVERRIDE",U$11)*1,"")))</f>
        <v/>
      </c>
      <c r="V227" s="17" t="str">
        <f>IF(ISNA($B227),"",IF($B227="","",IFERROR(_xll.BDP(TICKER,"DEEP_MEASURE_PERIOD_BROKER_VALUE","DEEP_MEASURE_ID_OVERRIDE",$C227,"DEEP_BROKER_ID_OVERRIDE",$F$7,"DEEP_PERIOD_OVERRIDE",V$11)*1,"")))</f>
        <v/>
      </c>
      <c r="W227" s="17" t="str">
        <f>IF(ISNA($B227),"",IF($B227="","",IFERROR(_xll.BDP(TICKER,"DEEP_MEASURE_PERIOD_BROKER_VALUE","DEEP_MEASURE_ID_OVERRIDE",$C227,"DEEP_BROKER_ID_OVERRIDE",$F$7,"DEEP_PERIOD_OVERRIDE",W$11)*1,"")))</f>
        <v/>
      </c>
      <c r="X227" s="17" t="str">
        <f>IF(ISNA($B227),"",IF($B227="","",IFERROR(_xll.BDP(TICKER,"DEEP_MEASURE_PERIOD_BROKER_VALUE","DEEP_MEASURE_ID_OVERRIDE",$C227,"DEEP_BROKER_ID_OVERRIDE",$F$7,"DEEP_PERIOD_OVERRIDE",X$11)*1,"")))</f>
        <v/>
      </c>
      <c r="Y227" s="17" t="str">
        <f>IF(ISNA($B227),"",IF($B227="","",IFERROR(_xll.BDP(TICKER,"DEEP_MEASURE_PERIOD_BROKER_VALUE","DEEP_MEASURE_ID_OVERRIDE",$C227,"DEEP_BROKER_ID_OVERRIDE",$F$7,"DEEP_PERIOD_OVERRIDE",Y$11)*1,"")))</f>
        <v/>
      </c>
      <c r="Z227" s="17" t="str">
        <f>IF(ISNA($B227),"",IF($B227="","",IFERROR(_xll.BDP(TICKER,"DEEP_MEASURE_PERIOD_BROKER_VALUE","DEEP_MEASURE_ID_OVERRIDE",$C227,"DEEP_BROKER_ID_OVERRIDE",$F$7,"DEEP_PERIOD_OVERRIDE",Z$11)*1,"")))</f>
        <v/>
      </c>
      <c r="AA227" s="17" t="str">
        <f>IF(ISNA($B227),"",IF($B227="","",IFERROR(_xll.BDP(TICKER,"DEEP_MEASURE_PERIOD_BROKER_VALUE","DEEP_MEASURE_ID_OVERRIDE",$C227,"DEEP_BROKER_ID_OVERRIDE",$F$7,"DEEP_PERIOD_OVERRIDE",AA$11)*1,"")))</f>
        <v/>
      </c>
      <c r="AB227" s="17" t="str">
        <f>IF(ISNA($B227),"",IF($B227="","",IFERROR(_xll.BDP(TICKER,"DEEP_MEASURE_PERIOD_BROKER_VALUE","DEEP_MEASURE_ID_OVERRIDE",$C227,"DEEP_BROKER_ID_OVERRIDE",$F$7,"DEEP_PERIOD_OVERRIDE",AB$11)*1,"")))</f>
        <v/>
      </c>
      <c r="AC227" s="17" t="str">
        <f>IF(ISNA($B227),"",IF($B227="","",IFERROR(_xll.BDP(TICKER,"DEEP_MEASURE_PERIOD_BROKER_VALUE","DEEP_MEASURE_ID_OVERRIDE",$C227,"DEEP_BROKER_ID_OVERRIDE",$F$7,"DEEP_PERIOD_OVERRIDE",AC$11)*1,"")))</f>
        <v/>
      </c>
      <c r="AD227" s="17" t="str">
        <f>IF(ISNA($B227),"",IF($B227="","",IFERROR(_xll.BDP(TICKER,"DEEP_MEASURE_PERIOD_BROKER_VALUE","DEEP_MEASURE_ID_OVERRIDE",$C227,"DEEP_BROKER_ID_OVERRIDE",$F$7,"DEEP_PERIOD_OVERRIDE",AD$11)*1,"")))</f>
        <v/>
      </c>
      <c r="AE227" s="17" t="str">
        <f>IF(ISNA($B227),"",IF($B227="","",IFERROR(_xll.BDP(TICKER,"DEEP_MEASURE_PERIOD_BROKER_VALUE","DEEP_MEASURE_ID_OVERRIDE",$C227,"DEEP_BROKER_ID_OVERRIDE",$F$7,"DEEP_PERIOD_OVERRIDE",AE$11)*1,"")))</f>
        <v/>
      </c>
      <c r="AF227" s="17" t="str">
        <f>IF(ISNA($B227),"",IF($B227="","",IFERROR(_xll.BDP(TICKER,"DEEP_MEASURE_PERIOD_BROKER_VALUE","DEEP_MEASURE_ID_OVERRIDE",$C227,"DEEP_BROKER_ID_OVERRIDE",$F$7,"DEEP_PERIOD_OVERRIDE",AF$11)*1,"")))</f>
        <v/>
      </c>
      <c r="AG227" s="17" t="str">
        <f>IF(ISNA($B227),"",IF($B227="","",IFERROR(_xll.BDP(TICKER,"DEEP_MEASURE_PERIOD_BROKER_VALUE","DEEP_MEASURE_ID_OVERRIDE",$C227,"DEEP_BROKER_ID_OVERRIDE",$F$7,"DEEP_PERIOD_OVERRIDE",AG$11)*1,"")))</f>
        <v/>
      </c>
      <c r="AH227" s="17" t="str">
        <f>IF(ISNA($B227),"",IF($B227="","",IFERROR(_xll.BDP(TICKER,"DEEP_MEASURE_PERIOD_BROKER_VALUE","DEEP_MEASURE_ID_OVERRIDE",$C227,"DEEP_BROKER_ID_OVERRIDE",$F$7,"DEEP_PERIOD_OVERRIDE",AH$11)*1,"")))</f>
        <v/>
      </c>
      <c r="AI227" s="17" t="str">
        <f>IF(ISNA($B227),"",IF($B227="","",IFERROR(_xll.BDP(TICKER,"DEEP_MEASURE_PERIOD_BROKER_VALUE","DEEP_MEASURE_ID_OVERRIDE",$C227,"DEEP_BROKER_ID_OVERRIDE",$F$7,"DEEP_PERIOD_OVERRIDE",AI$11)*1,"")))</f>
        <v/>
      </c>
      <c r="AJ227" s="17" t="str">
        <f>IF(ISNA($B227),"",IF($B227="","",IFERROR(_xll.BDP(TICKER,"DEEP_MEASURE_PERIOD_BROKER_VALUE","DEEP_MEASURE_ID_OVERRIDE",$C227,"DEEP_BROKER_ID_OVERRIDE",$F$7,"DEEP_PERIOD_OVERRIDE",AJ$11)*1,"")))</f>
        <v/>
      </c>
      <c r="AK227" s="17" t="str">
        <f>IF(ISNA($B227),"",IF($B227="","",IFERROR(_xll.BDP(TICKER,"DEEP_MEASURE_PERIOD_BROKER_VALUE","DEEP_MEASURE_ID_OVERRIDE",$C227,"DEEP_BROKER_ID_OVERRIDE",$F$7,"DEEP_PERIOD_OVERRIDE",AK$11)*1,"")))</f>
        <v/>
      </c>
      <c r="AL227" s="17" t="str">
        <f>IF(ISNA($B227),"",IF($B227="","",IFERROR(_xll.BDP(TICKER,"DEEP_MEASURE_PERIOD_BROKER_VALUE","DEEP_MEASURE_ID_OVERRIDE",$C227,"DEEP_BROKER_ID_OVERRIDE",$F$7,"DEEP_PERIOD_OVERRIDE",AL$11)*1,"")))</f>
        <v/>
      </c>
      <c r="AM227" s="17" t="str">
        <f>IF(ISNA($B227),"",IF($B227="","",IFERROR(_xll.BDP(TICKER,"DEEP_MEASURE_PERIOD_BROKER_VALUE","DEEP_MEASURE_ID_OVERRIDE",$C227,"DEEP_BROKER_ID_OVERRIDE",$F$7,"DEEP_PERIOD_OVERRIDE",AM$11)*1,"")))</f>
        <v/>
      </c>
      <c r="AN227" s="17" t="str">
        <f>IF(ISNA($B227),"",IF($B227="","",IFERROR(_xll.BDP(TICKER,"DEEP_MEASURE_PERIOD_BROKER_VALUE","DEEP_MEASURE_ID_OVERRIDE",$C227,"DEEP_BROKER_ID_OVERRIDE",$F$7,"DEEP_PERIOD_OVERRIDE",AN$11)*1,"")))</f>
        <v/>
      </c>
      <c r="AO227" s="17" t="str">
        <f>IF(ISNA($B227),"",IF($B227="","",IFERROR(_xll.BDP(TICKER,"DEEP_MEASURE_PERIOD_BROKER_VALUE","DEEP_MEASURE_ID_OVERRIDE",$C227,"DEEP_BROKER_ID_OVERRIDE",$F$7,"DEEP_PERIOD_OVERRIDE",AO$11)*1,"")))</f>
        <v/>
      </c>
      <c r="AP227" s="17" t="str">
        <f>IF(ISNA($B227),"",IF($B227="","",IFERROR(_xll.BDP(TICKER,"DEEP_MEASURE_PERIOD_BROKER_VALUE","DEEP_MEASURE_ID_OVERRIDE",$C227,"DEEP_BROKER_ID_OVERRIDE",$F$7,"DEEP_PERIOD_OVERRIDE",AP$11)*1,"")))</f>
        <v/>
      </c>
      <c r="AQ227" s="17" t="str">
        <f>IF(ISNA($B227),"",IF($B227="","",IFERROR(_xll.BDP(TICKER,"DEEP_MEASURE_PERIOD_BROKER_VALUE","DEEP_MEASURE_ID_OVERRIDE",$C227,"DEEP_BROKER_ID_OVERRIDE",$F$7,"DEEP_PERIOD_OVERRIDE",AQ$11)*1,"")))</f>
        <v/>
      </c>
    </row>
    <row r="228" spans="8:43" x14ac:dyDescent="0.25">
      <c r="H228" t="str">
        <f t="shared" si="5"/>
        <v/>
      </c>
      <c r="I228" s="17" t="str">
        <f>IF(ISNA($B228),"",IF($B228="","",IFERROR(_xll.BDP(TICKER,"DEEP_MEASURE_PERIOD_BROKER_VALUE","DEEP_MEASURE_ID_OVERRIDE",$C228,"DEEP_BROKER_ID_OVERRIDE",$F$7,"DEEP_PERIOD_OVERRIDE",I$11)*1,"")))</f>
        <v/>
      </c>
      <c r="J228" s="17" t="str">
        <f>IF(ISNA($B228),"",IF($B228="","",IFERROR(_xll.BDP(TICKER,"DEEP_MEASURE_PERIOD_BROKER_VALUE","DEEP_MEASURE_ID_OVERRIDE",$C228,"DEEP_BROKER_ID_OVERRIDE",$F$7,"DEEP_PERIOD_OVERRIDE",J$11)*1,"")))</f>
        <v/>
      </c>
      <c r="K228" s="17" t="str">
        <f>IF(ISNA($B228),"",IF($B228="","",IFERROR(_xll.BDP(TICKER,"DEEP_MEASURE_PERIOD_BROKER_VALUE","DEEP_MEASURE_ID_OVERRIDE",$C228,"DEEP_BROKER_ID_OVERRIDE",$F$7,"DEEP_PERIOD_OVERRIDE",K$11)*1,"")))</f>
        <v/>
      </c>
      <c r="L228" s="17" t="str">
        <f>IF(ISNA($B228),"",IF($B228="","",IFERROR(_xll.BDP(TICKER,"DEEP_MEASURE_PERIOD_BROKER_VALUE","DEEP_MEASURE_ID_OVERRIDE",$C228,"DEEP_BROKER_ID_OVERRIDE",$F$7,"DEEP_PERIOD_OVERRIDE",L$11)*1,"")))</f>
        <v/>
      </c>
      <c r="M228" s="17" t="str">
        <f>IF(ISNA($B228),"",IF($B228="","",IFERROR(_xll.BDP(TICKER,"DEEP_MEASURE_PERIOD_BROKER_VALUE","DEEP_MEASURE_ID_OVERRIDE",$C228,"DEEP_BROKER_ID_OVERRIDE",$F$7,"DEEP_PERIOD_OVERRIDE",M$11)*1,"")))</f>
        <v/>
      </c>
      <c r="N228" s="17" t="str">
        <f>IF(ISNA($B228),"",IF($B228="","",IFERROR(_xll.BDP(TICKER,"DEEP_MEASURE_PERIOD_BROKER_VALUE","DEEP_MEASURE_ID_OVERRIDE",$C228,"DEEP_BROKER_ID_OVERRIDE",$F$7,"DEEP_PERIOD_OVERRIDE",N$11)*1,"")))</f>
        <v/>
      </c>
      <c r="O228" s="17" t="str">
        <f>IF(ISNA($B228),"",IF($B228="","",IFERROR(_xll.BDP(TICKER,"DEEP_MEASURE_PERIOD_BROKER_VALUE","DEEP_MEASURE_ID_OVERRIDE",$C228,"DEEP_BROKER_ID_OVERRIDE",$F$7,"DEEP_PERIOD_OVERRIDE",O$11)*1,"")))</f>
        <v/>
      </c>
      <c r="P228" s="17" t="str">
        <f>IF(ISNA($B228),"",IF($B228="","",IFERROR(_xll.BDP(TICKER,"DEEP_MEASURE_PERIOD_BROKER_VALUE","DEEP_MEASURE_ID_OVERRIDE",$C228,"DEEP_BROKER_ID_OVERRIDE",$F$7,"DEEP_PERIOD_OVERRIDE",P$11)*1,"")))</f>
        <v/>
      </c>
      <c r="Q228" s="17" t="str">
        <f>IF(ISNA($B228),"",IF($B228="","",IFERROR(_xll.BDP(TICKER,"DEEP_MEASURE_PERIOD_BROKER_VALUE","DEEP_MEASURE_ID_OVERRIDE",$C228,"DEEP_BROKER_ID_OVERRIDE",$F$7,"DEEP_PERIOD_OVERRIDE",Q$11)*1,"")))</f>
        <v/>
      </c>
      <c r="R228" s="17" t="str">
        <f>IF(ISNA($B228),"",IF($B228="","",IFERROR(_xll.BDP(TICKER,"DEEP_MEASURE_PERIOD_BROKER_VALUE","DEEP_MEASURE_ID_OVERRIDE",$C228,"DEEP_BROKER_ID_OVERRIDE",$F$7,"DEEP_PERIOD_OVERRIDE",R$11)*1,"")))</f>
        <v/>
      </c>
      <c r="S228" s="17" t="str">
        <f>IF(ISNA($B228),"",IF($B228="","",IFERROR(_xll.BDP(TICKER,"DEEP_MEASURE_PERIOD_BROKER_VALUE","DEEP_MEASURE_ID_OVERRIDE",$C228,"DEEP_BROKER_ID_OVERRIDE",$F$7,"DEEP_PERIOD_OVERRIDE",S$11)*1,"")))</f>
        <v/>
      </c>
      <c r="T228" s="17" t="str">
        <f>IF(ISNA($B228),"",IF($B228="","",IFERROR(_xll.BDP(TICKER,"DEEP_MEASURE_PERIOD_BROKER_VALUE","DEEP_MEASURE_ID_OVERRIDE",$C228,"DEEP_BROKER_ID_OVERRIDE",$F$7,"DEEP_PERIOD_OVERRIDE",T$11)*1,"")))</f>
        <v/>
      </c>
      <c r="U228" s="17" t="str">
        <f>IF(ISNA($B228),"",IF($B228="","",IFERROR(_xll.BDP(TICKER,"DEEP_MEASURE_PERIOD_BROKER_VALUE","DEEP_MEASURE_ID_OVERRIDE",$C228,"DEEP_BROKER_ID_OVERRIDE",$F$7,"DEEP_PERIOD_OVERRIDE",U$11)*1,"")))</f>
        <v/>
      </c>
      <c r="V228" s="17" t="str">
        <f>IF(ISNA($B228),"",IF($B228="","",IFERROR(_xll.BDP(TICKER,"DEEP_MEASURE_PERIOD_BROKER_VALUE","DEEP_MEASURE_ID_OVERRIDE",$C228,"DEEP_BROKER_ID_OVERRIDE",$F$7,"DEEP_PERIOD_OVERRIDE",V$11)*1,"")))</f>
        <v/>
      </c>
      <c r="W228" s="17" t="str">
        <f>IF(ISNA($B228),"",IF($B228="","",IFERROR(_xll.BDP(TICKER,"DEEP_MEASURE_PERIOD_BROKER_VALUE","DEEP_MEASURE_ID_OVERRIDE",$C228,"DEEP_BROKER_ID_OVERRIDE",$F$7,"DEEP_PERIOD_OVERRIDE",W$11)*1,"")))</f>
        <v/>
      </c>
      <c r="X228" s="17" t="str">
        <f>IF(ISNA($B228),"",IF($B228="","",IFERROR(_xll.BDP(TICKER,"DEEP_MEASURE_PERIOD_BROKER_VALUE","DEEP_MEASURE_ID_OVERRIDE",$C228,"DEEP_BROKER_ID_OVERRIDE",$F$7,"DEEP_PERIOD_OVERRIDE",X$11)*1,"")))</f>
        <v/>
      </c>
      <c r="Y228" s="17" t="str">
        <f>IF(ISNA($B228),"",IF($B228="","",IFERROR(_xll.BDP(TICKER,"DEEP_MEASURE_PERIOD_BROKER_VALUE","DEEP_MEASURE_ID_OVERRIDE",$C228,"DEEP_BROKER_ID_OVERRIDE",$F$7,"DEEP_PERIOD_OVERRIDE",Y$11)*1,"")))</f>
        <v/>
      </c>
      <c r="Z228" s="17" t="str">
        <f>IF(ISNA($B228),"",IF($B228="","",IFERROR(_xll.BDP(TICKER,"DEEP_MEASURE_PERIOD_BROKER_VALUE","DEEP_MEASURE_ID_OVERRIDE",$C228,"DEEP_BROKER_ID_OVERRIDE",$F$7,"DEEP_PERIOD_OVERRIDE",Z$11)*1,"")))</f>
        <v/>
      </c>
      <c r="AA228" s="17" t="str">
        <f>IF(ISNA($B228),"",IF($B228="","",IFERROR(_xll.BDP(TICKER,"DEEP_MEASURE_PERIOD_BROKER_VALUE","DEEP_MEASURE_ID_OVERRIDE",$C228,"DEEP_BROKER_ID_OVERRIDE",$F$7,"DEEP_PERIOD_OVERRIDE",AA$11)*1,"")))</f>
        <v/>
      </c>
      <c r="AB228" s="17" t="str">
        <f>IF(ISNA($B228),"",IF($B228="","",IFERROR(_xll.BDP(TICKER,"DEEP_MEASURE_PERIOD_BROKER_VALUE","DEEP_MEASURE_ID_OVERRIDE",$C228,"DEEP_BROKER_ID_OVERRIDE",$F$7,"DEEP_PERIOD_OVERRIDE",AB$11)*1,"")))</f>
        <v/>
      </c>
      <c r="AC228" s="17" t="str">
        <f>IF(ISNA($B228),"",IF($B228="","",IFERROR(_xll.BDP(TICKER,"DEEP_MEASURE_PERIOD_BROKER_VALUE","DEEP_MEASURE_ID_OVERRIDE",$C228,"DEEP_BROKER_ID_OVERRIDE",$F$7,"DEEP_PERIOD_OVERRIDE",AC$11)*1,"")))</f>
        <v/>
      </c>
      <c r="AD228" s="17" t="str">
        <f>IF(ISNA($B228),"",IF($B228="","",IFERROR(_xll.BDP(TICKER,"DEEP_MEASURE_PERIOD_BROKER_VALUE","DEEP_MEASURE_ID_OVERRIDE",$C228,"DEEP_BROKER_ID_OVERRIDE",$F$7,"DEEP_PERIOD_OVERRIDE",AD$11)*1,"")))</f>
        <v/>
      </c>
      <c r="AE228" s="17" t="str">
        <f>IF(ISNA($B228),"",IF($B228="","",IFERROR(_xll.BDP(TICKER,"DEEP_MEASURE_PERIOD_BROKER_VALUE","DEEP_MEASURE_ID_OVERRIDE",$C228,"DEEP_BROKER_ID_OVERRIDE",$F$7,"DEEP_PERIOD_OVERRIDE",AE$11)*1,"")))</f>
        <v/>
      </c>
      <c r="AF228" s="17" t="str">
        <f>IF(ISNA($B228),"",IF($B228="","",IFERROR(_xll.BDP(TICKER,"DEEP_MEASURE_PERIOD_BROKER_VALUE","DEEP_MEASURE_ID_OVERRIDE",$C228,"DEEP_BROKER_ID_OVERRIDE",$F$7,"DEEP_PERIOD_OVERRIDE",AF$11)*1,"")))</f>
        <v/>
      </c>
      <c r="AG228" s="17" t="str">
        <f>IF(ISNA($B228),"",IF($B228="","",IFERROR(_xll.BDP(TICKER,"DEEP_MEASURE_PERIOD_BROKER_VALUE","DEEP_MEASURE_ID_OVERRIDE",$C228,"DEEP_BROKER_ID_OVERRIDE",$F$7,"DEEP_PERIOD_OVERRIDE",AG$11)*1,"")))</f>
        <v/>
      </c>
      <c r="AH228" s="17" t="str">
        <f>IF(ISNA($B228),"",IF($B228="","",IFERROR(_xll.BDP(TICKER,"DEEP_MEASURE_PERIOD_BROKER_VALUE","DEEP_MEASURE_ID_OVERRIDE",$C228,"DEEP_BROKER_ID_OVERRIDE",$F$7,"DEEP_PERIOD_OVERRIDE",AH$11)*1,"")))</f>
        <v/>
      </c>
      <c r="AI228" s="17" t="str">
        <f>IF(ISNA($B228),"",IF($B228="","",IFERROR(_xll.BDP(TICKER,"DEEP_MEASURE_PERIOD_BROKER_VALUE","DEEP_MEASURE_ID_OVERRIDE",$C228,"DEEP_BROKER_ID_OVERRIDE",$F$7,"DEEP_PERIOD_OVERRIDE",AI$11)*1,"")))</f>
        <v/>
      </c>
      <c r="AJ228" s="17" t="str">
        <f>IF(ISNA($B228),"",IF($B228="","",IFERROR(_xll.BDP(TICKER,"DEEP_MEASURE_PERIOD_BROKER_VALUE","DEEP_MEASURE_ID_OVERRIDE",$C228,"DEEP_BROKER_ID_OVERRIDE",$F$7,"DEEP_PERIOD_OVERRIDE",AJ$11)*1,"")))</f>
        <v/>
      </c>
      <c r="AK228" s="17" t="str">
        <f>IF(ISNA($B228),"",IF($B228="","",IFERROR(_xll.BDP(TICKER,"DEEP_MEASURE_PERIOD_BROKER_VALUE","DEEP_MEASURE_ID_OVERRIDE",$C228,"DEEP_BROKER_ID_OVERRIDE",$F$7,"DEEP_PERIOD_OVERRIDE",AK$11)*1,"")))</f>
        <v/>
      </c>
      <c r="AL228" s="17" t="str">
        <f>IF(ISNA($B228),"",IF($B228="","",IFERROR(_xll.BDP(TICKER,"DEEP_MEASURE_PERIOD_BROKER_VALUE","DEEP_MEASURE_ID_OVERRIDE",$C228,"DEEP_BROKER_ID_OVERRIDE",$F$7,"DEEP_PERIOD_OVERRIDE",AL$11)*1,"")))</f>
        <v/>
      </c>
      <c r="AM228" s="17" t="str">
        <f>IF(ISNA($B228),"",IF($B228="","",IFERROR(_xll.BDP(TICKER,"DEEP_MEASURE_PERIOD_BROKER_VALUE","DEEP_MEASURE_ID_OVERRIDE",$C228,"DEEP_BROKER_ID_OVERRIDE",$F$7,"DEEP_PERIOD_OVERRIDE",AM$11)*1,"")))</f>
        <v/>
      </c>
      <c r="AN228" s="17" t="str">
        <f>IF(ISNA($B228),"",IF($B228="","",IFERROR(_xll.BDP(TICKER,"DEEP_MEASURE_PERIOD_BROKER_VALUE","DEEP_MEASURE_ID_OVERRIDE",$C228,"DEEP_BROKER_ID_OVERRIDE",$F$7,"DEEP_PERIOD_OVERRIDE",AN$11)*1,"")))</f>
        <v/>
      </c>
      <c r="AO228" s="17" t="str">
        <f>IF(ISNA($B228),"",IF($B228="","",IFERROR(_xll.BDP(TICKER,"DEEP_MEASURE_PERIOD_BROKER_VALUE","DEEP_MEASURE_ID_OVERRIDE",$C228,"DEEP_BROKER_ID_OVERRIDE",$F$7,"DEEP_PERIOD_OVERRIDE",AO$11)*1,"")))</f>
        <v/>
      </c>
      <c r="AP228" s="17" t="str">
        <f>IF(ISNA($B228),"",IF($B228="","",IFERROR(_xll.BDP(TICKER,"DEEP_MEASURE_PERIOD_BROKER_VALUE","DEEP_MEASURE_ID_OVERRIDE",$C228,"DEEP_BROKER_ID_OVERRIDE",$F$7,"DEEP_PERIOD_OVERRIDE",AP$11)*1,"")))</f>
        <v/>
      </c>
      <c r="AQ228" s="17" t="str">
        <f>IF(ISNA($B228),"",IF($B228="","",IFERROR(_xll.BDP(TICKER,"DEEP_MEASURE_PERIOD_BROKER_VALUE","DEEP_MEASURE_ID_OVERRIDE",$C228,"DEEP_BROKER_ID_OVERRIDE",$F$7,"DEEP_PERIOD_OVERRIDE",AQ$11)*1,"")))</f>
        <v/>
      </c>
    </row>
    <row r="229" spans="8:43" x14ac:dyDescent="0.25">
      <c r="H229" t="str">
        <f t="shared" si="5"/>
        <v/>
      </c>
      <c r="I229" s="17" t="str">
        <f>IF(ISNA($B229),"",IF($B229="","",IFERROR(_xll.BDP(TICKER,"DEEP_MEASURE_PERIOD_BROKER_VALUE","DEEP_MEASURE_ID_OVERRIDE",$C229,"DEEP_BROKER_ID_OVERRIDE",$F$7,"DEEP_PERIOD_OVERRIDE",I$11)*1,"")))</f>
        <v/>
      </c>
      <c r="J229" s="17" t="str">
        <f>IF(ISNA($B229),"",IF($B229="","",IFERROR(_xll.BDP(TICKER,"DEEP_MEASURE_PERIOD_BROKER_VALUE","DEEP_MEASURE_ID_OVERRIDE",$C229,"DEEP_BROKER_ID_OVERRIDE",$F$7,"DEEP_PERIOD_OVERRIDE",J$11)*1,"")))</f>
        <v/>
      </c>
      <c r="K229" s="17" t="str">
        <f>IF(ISNA($B229),"",IF($B229="","",IFERROR(_xll.BDP(TICKER,"DEEP_MEASURE_PERIOD_BROKER_VALUE","DEEP_MEASURE_ID_OVERRIDE",$C229,"DEEP_BROKER_ID_OVERRIDE",$F$7,"DEEP_PERIOD_OVERRIDE",K$11)*1,"")))</f>
        <v/>
      </c>
      <c r="L229" s="17" t="str">
        <f>IF(ISNA($B229),"",IF($B229="","",IFERROR(_xll.BDP(TICKER,"DEEP_MEASURE_PERIOD_BROKER_VALUE","DEEP_MEASURE_ID_OVERRIDE",$C229,"DEEP_BROKER_ID_OVERRIDE",$F$7,"DEEP_PERIOD_OVERRIDE",L$11)*1,"")))</f>
        <v/>
      </c>
      <c r="M229" s="17" t="str">
        <f>IF(ISNA($B229),"",IF($B229="","",IFERROR(_xll.BDP(TICKER,"DEEP_MEASURE_PERIOD_BROKER_VALUE","DEEP_MEASURE_ID_OVERRIDE",$C229,"DEEP_BROKER_ID_OVERRIDE",$F$7,"DEEP_PERIOD_OVERRIDE",M$11)*1,"")))</f>
        <v/>
      </c>
      <c r="N229" s="17" t="str">
        <f>IF(ISNA($B229),"",IF($B229="","",IFERROR(_xll.BDP(TICKER,"DEEP_MEASURE_PERIOD_BROKER_VALUE","DEEP_MEASURE_ID_OVERRIDE",$C229,"DEEP_BROKER_ID_OVERRIDE",$F$7,"DEEP_PERIOD_OVERRIDE",N$11)*1,"")))</f>
        <v/>
      </c>
      <c r="O229" s="17" t="str">
        <f>IF(ISNA($B229),"",IF($B229="","",IFERROR(_xll.BDP(TICKER,"DEEP_MEASURE_PERIOD_BROKER_VALUE","DEEP_MEASURE_ID_OVERRIDE",$C229,"DEEP_BROKER_ID_OVERRIDE",$F$7,"DEEP_PERIOD_OVERRIDE",O$11)*1,"")))</f>
        <v/>
      </c>
      <c r="P229" s="17" t="str">
        <f>IF(ISNA($B229),"",IF($B229="","",IFERROR(_xll.BDP(TICKER,"DEEP_MEASURE_PERIOD_BROKER_VALUE","DEEP_MEASURE_ID_OVERRIDE",$C229,"DEEP_BROKER_ID_OVERRIDE",$F$7,"DEEP_PERIOD_OVERRIDE",P$11)*1,"")))</f>
        <v/>
      </c>
      <c r="Q229" s="17" t="str">
        <f>IF(ISNA($B229),"",IF($B229="","",IFERROR(_xll.BDP(TICKER,"DEEP_MEASURE_PERIOD_BROKER_VALUE","DEEP_MEASURE_ID_OVERRIDE",$C229,"DEEP_BROKER_ID_OVERRIDE",$F$7,"DEEP_PERIOD_OVERRIDE",Q$11)*1,"")))</f>
        <v/>
      </c>
      <c r="R229" s="17" t="str">
        <f>IF(ISNA($B229),"",IF($B229="","",IFERROR(_xll.BDP(TICKER,"DEEP_MEASURE_PERIOD_BROKER_VALUE","DEEP_MEASURE_ID_OVERRIDE",$C229,"DEEP_BROKER_ID_OVERRIDE",$F$7,"DEEP_PERIOD_OVERRIDE",R$11)*1,"")))</f>
        <v/>
      </c>
      <c r="S229" s="17" t="str">
        <f>IF(ISNA($B229),"",IF($B229="","",IFERROR(_xll.BDP(TICKER,"DEEP_MEASURE_PERIOD_BROKER_VALUE","DEEP_MEASURE_ID_OVERRIDE",$C229,"DEEP_BROKER_ID_OVERRIDE",$F$7,"DEEP_PERIOD_OVERRIDE",S$11)*1,"")))</f>
        <v/>
      </c>
      <c r="T229" s="17" t="str">
        <f>IF(ISNA($B229),"",IF($B229="","",IFERROR(_xll.BDP(TICKER,"DEEP_MEASURE_PERIOD_BROKER_VALUE","DEEP_MEASURE_ID_OVERRIDE",$C229,"DEEP_BROKER_ID_OVERRIDE",$F$7,"DEEP_PERIOD_OVERRIDE",T$11)*1,"")))</f>
        <v/>
      </c>
      <c r="U229" s="17" t="str">
        <f>IF(ISNA($B229),"",IF($B229="","",IFERROR(_xll.BDP(TICKER,"DEEP_MEASURE_PERIOD_BROKER_VALUE","DEEP_MEASURE_ID_OVERRIDE",$C229,"DEEP_BROKER_ID_OVERRIDE",$F$7,"DEEP_PERIOD_OVERRIDE",U$11)*1,"")))</f>
        <v/>
      </c>
      <c r="V229" s="17" t="str">
        <f>IF(ISNA($B229),"",IF($B229="","",IFERROR(_xll.BDP(TICKER,"DEEP_MEASURE_PERIOD_BROKER_VALUE","DEEP_MEASURE_ID_OVERRIDE",$C229,"DEEP_BROKER_ID_OVERRIDE",$F$7,"DEEP_PERIOD_OVERRIDE",V$11)*1,"")))</f>
        <v/>
      </c>
      <c r="W229" s="17" t="str">
        <f>IF(ISNA($B229),"",IF($B229="","",IFERROR(_xll.BDP(TICKER,"DEEP_MEASURE_PERIOD_BROKER_VALUE","DEEP_MEASURE_ID_OVERRIDE",$C229,"DEEP_BROKER_ID_OVERRIDE",$F$7,"DEEP_PERIOD_OVERRIDE",W$11)*1,"")))</f>
        <v/>
      </c>
      <c r="X229" s="17" t="str">
        <f>IF(ISNA($B229),"",IF($B229="","",IFERROR(_xll.BDP(TICKER,"DEEP_MEASURE_PERIOD_BROKER_VALUE","DEEP_MEASURE_ID_OVERRIDE",$C229,"DEEP_BROKER_ID_OVERRIDE",$F$7,"DEEP_PERIOD_OVERRIDE",X$11)*1,"")))</f>
        <v/>
      </c>
      <c r="Y229" s="17" t="str">
        <f>IF(ISNA($B229),"",IF($B229="","",IFERROR(_xll.BDP(TICKER,"DEEP_MEASURE_PERIOD_BROKER_VALUE","DEEP_MEASURE_ID_OVERRIDE",$C229,"DEEP_BROKER_ID_OVERRIDE",$F$7,"DEEP_PERIOD_OVERRIDE",Y$11)*1,"")))</f>
        <v/>
      </c>
      <c r="Z229" s="17" t="str">
        <f>IF(ISNA($B229),"",IF($B229="","",IFERROR(_xll.BDP(TICKER,"DEEP_MEASURE_PERIOD_BROKER_VALUE","DEEP_MEASURE_ID_OVERRIDE",$C229,"DEEP_BROKER_ID_OVERRIDE",$F$7,"DEEP_PERIOD_OVERRIDE",Z$11)*1,"")))</f>
        <v/>
      </c>
      <c r="AA229" s="17" t="str">
        <f>IF(ISNA($B229),"",IF($B229="","",IFERROR(_xll.BDP(TICKER,"DEEP_MEASURE_PERIOD_BROKER_VALUE","DEEP_MEASURE_ID_OVERRIDE",$C229,"DEEP_BROKER_ID_OVERRIDE",$F$7,"DEEP_PERIOD_OVERRIDE",AA$11)*1,"")))</f>
        <v/>
      </c>
      <c r="AB229" s="17" t="str">
        <f>IF(ISNA($B229),"",IF($B229="","",IFERROR(_xll.BDP(TICKER,"DEEP_MEASURE_PERIOD_BROKER_VALUE","DEEP_MEASURE_ID_OVERRIDE",$C229,"DEEP_BROKER_ID_OVERRIDE",$F$7,"DEEP_PERIOD_OVERRIDE",AB$11)*1,"")))</f>
        <v/>
      </c>
      <c r="AC229" s="17" t="str">
        <f>IF(ISNA($B229),"",IF($B229="","",IFERROR(_xll.BDP(TICKER,"DEEP_MEASURE_PERIOD_BROKER_VALUE","DEEP_MEASURE_ID_OVERRIDE",$C229,"DEEP_BROKER_ID_OVERRIDE",$F$7,"DEEP_PERIOD_OVERRIDE",AC$11)*1,"")))</f>
        <v/>
      </c>
      <c r="AD229" s="17" t="str">
        <f>IF(ISNA($B229),"",IF($B229="","",IFERROR(_xll.BDP(TICKER,"DEEP_MEASURE_PERIOD_BROKER_VALUE","DEEP_MEASURE_ID_OVERRIDE",$C229,"DEEP_BROKER_ID_OVERRIDE",$F$7,"DEEP_PERIOD_OVERRIDE",AD$11)*1,"")))</f>
        <v/>
      </c>
      <c r="AE229" s="17" t="str">
        <f>IF(ISNA($B229),"",IF($B229="","",IFERROR(_xll.BDP(TICKER,"DEEP_MEASURE_PERIOD_BROKER_VALUE","DEEP_MEASURE_ID_OVERRIDE",$C229,"DEEP_BROKER_ID_OVERRIDE",$F$7,"DEEP_PERIOD_OVERRIDE",AE$11)*1,"")))</f>
        <v/>
      </c>
      <c r="AF229" s="17" t="str">
        <f>IF(ISNA($B229),"",IF($B229="","",IFERROR(_xll.BDP(TICKER,"DEEP_MEASURE_PERIOD_BROKER_VALUE","DEEP_MEASURE_ID_OVERRIDE",$C229,"DEEP_BROKER_ID_OVERRIDE",$F$7,"DEEP_PERIOD_OVERRIDE",AF$11)*1,"")))</f>
        <v/>
      </c>
      <c r="AG229" s="17" t="str">
        <f>IF(ISNA($B229),"",IF($B229="","",IFERROR(_xll.BDP(TICKER,"DEEP_MEASURE_PERIOD_BROKER_VALUE","DEEP_MEASURE_ID_OVERRIDE",$C229,"DEEP_BROKER_ID_OVERRIDE",$F$7,"DEEP_PERIOD_OVERRIDE",AG$11)*1,"")))</f>
        <v/>
      </c>
      <c r="AH229" s="17" t="str">
        <f>IF(ISNA($B229),"",IF($B229="","",IFERROR(_xll.BDP(TICKER,"DEEP_MEASURE_PERIOD_BROKER_VALUE","DEEP_MEASURE_ID_OVERRIDE",$C229,"DEEP_BROKER_ID_OVERRIDE",$F$7,"DEEP_PERIOD_OVERRIDE",AH$11)*1,"")))</f>
        <v/>
      </c>
      <c r="AI229" s="17" t="str">
        <f>IF(ISNA($B229),"",IF($B229="","",IFERROR(_xll.BDP(TICKER,"DEEP_MEASURE_PERIOD_BROKER_VALUE","DEEP_MEASURE_ID_OVERRIDE",$C229,"DEEP_BROKER_ID_OVERRIDE",$F$7,"DEEP_PERIOD_OVERRIDE",AI$11)*1,"")))</f>
        <v/>
      </c>
      <c r="AJ229" s="17" t="str">
        <f>IF(ISNA($B229),"",IF($B229="","",IFERROR(_xll.BDP(TICKER,"DEEP_MEASURE_PERIOD_BROKER_VALUE","DEEP_MEASURE_ID_OVERRIDE",$C229,"DEEP_BROKER_ID_OVERRIDE",$F$7,"DEEP_PERIOD_OVERRIDE",AJ$11)*1,"")))</f>
        <v/>
      </c>
      <c r="AK229" s="17" t="str">
        <f>IF(ISNA($B229),"",IF($B229="","",IFERROR(_xll.BDP(TICKER,"DEEP_MEASURE_PERIOD_BROKER_VALUE","DEEP_MEASURE_ID_OVERRIDE",$C229,"DEEP_BROKER_ID_OVERRIDE",$F$7,"DEEP_PERIOD_OVERRIDE",AK$11)*1,"")))</f>
        <v/>
      </c>
      <c r="AL229" s="17" t="str">
        <f>IF(ISNA($B229),"",IF($B229="","",IFERROR(_xll.BDP(TICKER,"DEEP_MEASURE_PERIOD_BROKER_VALUE","DEEP_MEASURE_ID_OVERRIDE",$C229,"DEEP_BROKER_ID_OVERRIDE",$F$7,"DEEP_PERIOD_OVERRIDE",AL$11)*1,"")))</f>
        <v/>
      </c>
      <c r="AM229" s="17" t="str">
        <f>IF(ISNA($B229),"",IF($B229="","",IFERROR(_xll.BDP(TICKER,"DEEP_MEASURE_PERIOD_BROKER_VALUE","DEEP_MEASURE_ID_OVERRIDE",$C229,"DEEP_BROKER_ID_OVERRIDE",$F$7,"DEEP_PERIOD_OVERRIDE",AM$11)*1,"")))</f>
        <v/>
      </c>
      <c r="AN229" s="17" t="str">
        <f>IF(ISNA($B229),"",IF($B229="","",IFERROR(_xll.BDP(TICKER,"DEEP_MEASURE_PERIOD_BROKER_VALUE","DEEP_MEASURE_ID_OVERRIDE",$C229,"DEEP_BROKER_ID_OVERRIDE",$F$7,"DEEP_PERIOD_OVERRIDE",AN$11)*1,"")))</f>
        <v/>
      </c>
      <c r="AO229" s="17" t="str">
        <f>IF(ISNA($B229),"",IF($B229="","",IFERROR(_xll.BDP(TICKER,"DEEP_MEASURE_PERIOD_BROKER_VALUE","DEEP_MEASURE_ID_OVERRIDE",$C229,"DEEP_BROKER_ID_OVERRIDE",$F$7,"DEEP_PERIOD_OVERRIDE",AO$11)*1,"")))</f>
        <v/>
      </c>
      <c r="AP229" s="17" t="str">
        <f>IF(ISNA($B229),"",IF($B229="","",IFERROR(_xll.BDP(TICKER,"DEEP_MEASURE_PERIOD_BROKER_VALUE","DEEP_MEASURE_ID_OVERRIDE",$C229,"DEEP_BROKER_ID_OVERRIDE",$F$7,"DEEP_PERIOD_OVERRIDE",AP$11)*1,"")))</f>
        <v/>
      </c>
      <c r="AQ229" s="17" t="str">
        <f>IF(ISNA($B229),"",IF($B229="","",IFERROR(_xll.BDP(TICKER,"DEEP_MEASURE_PERIOD_BROKER_VALUE","DEEP_MEASURE_ID_OVERRIDE",$C229,"DEEP_BROKER_ID_OVERRIDE",$F$7,"DEEP_PERIOD_OVERRIDE",AQ$11)*1,"")))</f>
        <v/>
      </c>
    </row>
    <row r="230" spans="8:43" x14ac:dyDescent="0.25">
      <c r="H230" t="str">
        <f t="shared" si="5"/>
        <v/>
      </c>
      <c r="I230" s="17" t="str">
        <f>IF(ISNA($B230),"",IF($B230="","",IFERROR(_xll.BDP(TICKER,"DEEP_MEASURE_PERIOD_BROKER_VALUE","DEEP_MEASURE_ID_OVERRIDE",$C230,"DEEP_BROKER_ID_OVERRIDE",$F$7,"DEEP_PERIOD_OVERRIDE",I$11)*1,"")))</f>
        <v/>
      </c>
      <c r="J230" s="17" t="str">
        <f>IF(ISNA($B230),"",IF($B230="","",IFERROR(_xll.BDP(TICKER,"DEEP_MEASURE_PERIOD_BROKER_VALUE","DEEP_MEASURE_ID_OVERRIDE",$C230,"DEEP_BROKER_ID_OVERRIDE",$F$7,"DEEP_PERIOD_OVERRIDE",J$11)*1,"")))</f>
        <v/>
      </c>
      <c r="K230" s="17" t="str">
        <f>IF(ISNA($B230),"",IF($B230="","",IFERROR(_xll.BDP(TICKER,"DEEP_MEASURE_PERIOD_BROKER_VALUE","DEEP_MEASURE_ID_OVERRIDE",$C230,"DEEP_BROKER_ID_OVERRIDE",$F$7,"DEEP_PERIOD_OVERRIDE",K$11)*1,"")))</f>
        <v/>
      </c>
      <c r="L230" s="17" t="str">
        <f>IF(ISNA($B230),"",IF($B230="","",IFERROR(_xll.BDP(TICKER,"DEEP_MEASURE_PERIOD_BROKER_VALUE","DEEP_MEASURE_ID_OVERRIDE",$C230,"DEEP_BROKER_ID_OVERRIDE",$F$7,"DEEP_PERIOD_OVERRIDE",L$11)*1,"")))</f>
        <v/>
      </c>
      <c r="M230" s="17" t="str">
        <f>IF(ISNA($B230),"",IF($B230="","",IFERROR(_xll.BDP(TICKER,"DEEP_MEASURE_PERIOD_BROKER_VALUE","DEEP_MEASURE_ID_OVERRIDE",$C230,"DEEP_BROKER_ID_OVERRIDE",$F$7,"DEEP_PERIOD_OVERRIDE",M$11)*1,"")))</f>
        <v/>
      </c>
      <c r="N230" s="17" t="str">
        <f>IF(ISNA($B230),"",IF($B230="","",IFERROR(_xll.BDP(TICKER,"DEEP_MEASURE_PERIOD_BROKER_VALUE","DEEP_MEASURE_ID_OVERRIDE",$C230,"DEEP_BROKER_ID_OVERRIDE",$F$7,"DEEP_PERIOD_OVERRIDE",N$11)*1,"")))</f>
        <v/>
      </c>
      <c r="O230" s="17" t="str">
        <f>IF(ISNA($B230),"",IF($B230="","",IFERROR(_xll.BDP(TICKER,"DEEP_MEASURE_PERIOD_BROKER_VALUE","DEEP_MEASURE_ID_OVERRIDE",$C230,"DEEP_BROKER_ID_OVERRIDE",$F$7,"DEEP_PERIOD_OVERRIDE",O$11)*1,"")))</f>
        <v/>
      </c>
      <c r="P230" s="17" t="str">
        <f>IF(ISNA($B230),"",IF($B230="","",IFERROR(_xll.BDP(TICKER,"DEEP_MEASURE_PERIOD_BROKER_VALUE","DEEP_MEASURE_ID_OVERRIDE",$C230,"DEEP_BROKER_ID_OVERRIDE",$F$7,"DEEP_PERIOD_OVERRIDE",P$11)*1,"")))</f>
        <v/>
      </c>
      <c r="Q230" s="17" t="str">
        <f>IF(ISNA($B230),"",IF($B230="","",IFERROR(_xll.BDP(TICKER,"DEEP_MEASURE_PERIOD_BROKER_VALUE","DEEP_MEASURE_ID_OVERRIDE",$C230,"DEEP_BROKER_ID_OVERRIDE",$F$7,"DEEP_PERIOD_OVERRIDE",Q$11)*1,"")))</f>
        <v/>
      </c>
      <c r="R230" s="17" t="str">
        <f>IF(ISNA($B230),"",IF($B230="","",IFERROR(_xll.BDP(TICKER,"DEEP_MEASURE_PERIOD_BROKER_VALUE","DEEP_MEASURE_ID_OVERRIDE",$C230,"DEEP_BROKER_ID_OVERRIDE",$F$7,"DEEP_PERIOD_OVERRIDE",R$11)*1,"")))</f>
        <v/>
      </c>
      <c r="S230" s="17" t="str">
        <f>IF(ISNA($B230),"",IF($B230="","",IFERROR(_xll.BDP(TICKER,"DEEP_MEASURE_PERIOD_BROKER_VALUE","DEEP_MEASURE_ID_OVERRIDE",$C230,"DEEP_BROKER_ID_OVERRIDE",$F$7,"DEEP_PERIOD_OVERRIDE",S$11)*1,"")))</f>
        <v/>
      </c>
      <c r="T230" s="17" t="str">
        <f>IF(ISNA($B230),"",IF($B230="","",IFERROR(_xll.BDP(TICKER,"DEEP_MEASURE_PERIOD_BROKER_VALUE","DEEP_MEASURE_ID_OVERRIDE",$C230,"DEEP_BROKER_ID_OVERRIDE",$F$7,"DEEP_PERIOD_OVERRIDE",T$11)*1,"")))</f>
        <v/>
      </c>
      <c r="U230" s="17" t="str">
        <f>IF(ISNA($B230),"",IF($B230="","",IFERROR(_xll.BDP(TICKER,"DEEP_MEASURE_PERIOD_BROKER_VALUE","DEEP_MEASURE_ID_OVERRIDE",$C230,"DEEP_BROKER_ID_OVERRIDE",$F$7,"DEEP_PERIOD_OVERRIDE",U$11)*1,"")))</f>
        <v/>
      </c>
      <c r="V230" s="17" t="str">
        <f>IF(ISNA($B230),"",IF($B230="","",IFERROR(_xll.BDP(TICKER,"DEEP_MEASURE_PERIOD_BROKER_VALUE","DEEP_MEASURE_ID_OVERRIDE",$C230,"DEEP_BROKER_ID_OVERRIDE",$F$7,"DEEP_PERIOD_OVERRIDE",V$11)*1,"")))</f>
        <v/>
      </c>
      <c r="W230" s="17" t="str">
        <f>IF(ISNA($B230),"",IF($B230="","",IFERROR(_xll.BDP(TICKER,"DEEP_MEASURE_PERIOD_BROKER_VALUE","DEEP_MEASURE_ID_OVERRIDE",$C230,"DEEP_BROKER_ID_OVERRIDE",$F$7,"DEEP_PERIOD_OVERRIDE",W$11)*1,"")))</f>
        <v/>
      </c>
      <c r="X230" s="17" t="str">
        <f>IF(ISNA($B230),"",IF($B230="","",IFERROR(_xll.BDP(TICKER,"DEEP_MEASURE_PERIOD_BROKER_VALUE","DEEP_MEASURE_ID_OVERRIDE",$C230,"DEEP_BROKER_ID_OVERRIDE",$F$7,"DEEP_PERIOD_OVERRIDE",X$11)*1,"")))</f>
        <v/>
      </c>
      <c r="Y230" s="17" t="str">
        <f>IF(ISNA($B230),"",IF($B230="","",IFERROR(_xll.BDP(TICKER,"DEEP_MEASURE_PERIOD_BROKER_VALUE","DEEP_MEASURE_ID_OVERRIDE",$C230,"DEEP_BROKER_ID_OVERRIDE",$F$7,"DEEP_PERIOD_OVERRIDE",Y$11)*1,"")))</f>
        <v/>
      </c>
      <c r="Z230" s="17" t="str">
        <f>IF(ISNA($B230),"",IF($B230="","",IFERROR(_xll.BDP(TICKER,"DEEP_MEASURE_PERIOD_BROKER_VALUE","DEEP_MEASURE_ID_OVERRIDE",$C230,"DEEP_BROKER_ID_OVERRIDE",$F$7,"DEEP_PERIOD_OVERRIDE",Z$11)*1,"")))</f>
        <v/>
      </c>
      <c r="AA230" s="17" t="str">
        <f>IF(ISNA($B230),"",IF($B230="","",IFERROR(_xll.BDP(TICKER,"DEEP_MEASURE_PERIOD_BROKER_VALUE","DEEP_MEASURE_ID_OVERRIDE",$C230,"DEEP_BROKER_ID_OVERRIDE",$F$7,"DEEP_PERIOD_OVERRIDE",AA$11)*1,"")))</f>
        <v/>
      </c>
      <c r="AB230" s="17" t="str">
        <f>IF(ISNA($B230),"",IF($B230="","",IFERROR(_xll.BDP(TICKER,"DEEP_MEASURE_PERIOD_BROKER_VALUE","DEEP_MEASURE_ID_OVERRIDE",$C230,"DEEP_BROKER_ID_OVERRIDE",$F$7,"DEEP_PERIOD_OVERRIDE",AB$11)*1,"")))</f>
        <v/>
      </c>
      <c r="AC230" s="17" t="str">
        <f>IF(ISNA($B230),"",IF($B230="","",IFERROR(_xll.BDP(TICKER,"DEEP_MEASURE_PERIOD_BROKER_VALUE","DEEP_MEASURE_ID_OVERRIDE",$C230,"DEEP_BROKER_ID_OVERRIDE",$F$7,"DEEP_PERIOD_OVERRIDE",AC$11)*1,"")))</f>
        <v/>
      </c>
      <c r="AD230" s="17" t="str">
        <f>IF(ISNA($B230),"",IF($B230="","",IFERROR(_xll.BDP(TICKER,"DEEP_MEASURE_PERIOD_BROKER_VALUE","DEEP_MEASURE_ID_OVERRIDE",$C230,"DEEP_BROKER_ID_OVERRIDE",$F$7,"DEEP_PERIOD_OVERRIDE",AD$11)*1,"")))</f>
        <v/>
      </c>
      <c r="AE230" s="17" t="str">
        <f>IF(ISNA($B230),"",IF($B230="","",IFERROR(_xll.BDP(TICKER,"DEEP_MEASURE_PERIOD_BROKER_VALUE","DEEP_MEASURE_ID_OVERRIDE",$C230,"DEEP_BROKER_ID_OVERRIDE",$F$7,"DEEP_PERIOD_OVERRIDE",AE$11)*1,"")))</f>
        <v/>
      </c>
      <c r="AF230" s="17" t="str">
        <f>IF(ISNA($B230),"",IF($B230="","",IFERROR(_xll.BDP(TICKER,"DEEP_MEASURE_PERIOD_BROKER_VALUE","DEEP_MEASURE_ID_OVERRIDE",$C230,"DEEP_BROKER_ID_OVERRIDE",$F$7,"DEEP_PERIOD_OVERRIDE",AF$11)*1,"")))</f>
        <v/>
      </c>
      <c r="AG230" s="17" t="str">
        <f>IF(ISNA($B230),"",IF($B230="","",IFERROR(_xll.BDP(TICKER,"DEEP_MEASURE_PERIOD_BROKER_VALUE","DEEP_MEASURE_ID_OVERRIDE",$C230,"DEEP_BROKER_ID_OVERRIDE",$F$7,"DEEP_PERIOD_OVERRIDE",AG$11)*1,"")))</f>
        <v/>
      </c>
      <c r="AH230" s="17" t="str">
        <f>IF(ISNA($B230),"",IF($B230="","",IFERROR(_xll.BDP(TICKER,"DEEP_MEASURE_PERIOD_BROKER_VALUE","DEEP_MEASURE_ID_OVERRIDE",$C230,"DEEP_BROKER_ID_OVERRIDE",$F$7,"DEEP_PERIOD_OVERRIDE",AH$11)*1,"")))</f>
        <v/>
      </c>
      <c r="AI230" s="17" t="str">
        <f>IF(ISNA($B230),"",IF($B230="","",IFERROR(_xll.BDP(TICKER,"DEEP_MEASURE_PERIOD_BROKER_VALUE","DEEP_MEASURE_ID_OVERRIDE",$C230,"DEEP_BROKER_ID_OVERRIDE",$F$7,"DEEP_PERIOD_OVERRIDE",AI$11)*1,"")))</f>
        <v/>
      </c>
      <c r="AJ230" s="17" t="str">
        <f>IF(ISNA($B230),"",IF($B230="","",IFERROR(_xll.BDP(TICKER,"DEEP_MEASURE_PERIOD_BROKER_VALUE","DEEP_MEASURE_ID_OVERRIDE",$C230,"DEEP_BROKER_ID_OVERRIDE",$F$7,"DEEP_PERIOD_OVERRIDE",AJ$11)*1,"")))</f>
        <v/>
      </c>
      <c r="AK230" s="17" t="str">
        <f>IF(ISNA($B230),"",IF($B230="","",IFERROR(_xll.BDP(TICKER,"DEEP_MEASURE_PERIOD_BROKER_VALUE","DEEP_MEASURE_ID_OVERRIDE",$C230,"DEEP_BROKER_ID_OVERRIDE",$F$7,"DEEP_PERIOD_OVERRIDE",AK$11)*1,"")))</f>
        <v/>
      </c>
      <c r="AL230" s="17" t="str">
        <f>IF(ISNA($B230),"",IF($B230="","",IFERROR(_xll.BDP(TICKER,"DEEP_MEASURE_PERIOD_BROKER_VALUE","DEEP_MEASURE_ID_OVERRIDE",$C230,"DEEP_BROKER_ID_OVERRIDE",$F$7,"DEEP_PERIOD_OVERRIDE",AL$11)*1,"")))</f>
        <v/>
      </c>
      <c r="AM230" s="17" t="str">
        <f>IF(ISNA($B230),"",IF($B230="","",IFERROR(_xll.BDP(TICKER,"DEEP_MEASURE_PERIOD_BROKER_VALUE","DEEP_MEASURE_ID_OVERRIDE",$C230,"DEEP_BROKER_ID_OVERRIDE",$F$7,"DEEP_PERIOD_OVERRIDE",AM$11)*1,"")))</f>
        <v/>
      </c>
      <c r="AN230" s="17" t="str">
        <f>IF(ISNA($B230),"",IF($B230="","",IFERROR(_xll.BDP(TICKER,"DEEP_MEASURE_PERIOD_BROKER_VALUE","DEEP_MEASURE_ID_OVERRIDE",$C230,"DEEP_BROKER_ID_OVERRIDE",$F$7,"DEEP_PERIOD_OVERRIDE",AN$11)*1,"")))</f>
        <v/>
      </c>
      <c r="AO230" s="17" t="str">
        <f>IF(ISNA($B230),"",IF($B230="","",IFERROR(_xll.BDP(TICKER,"DEEP_MEASURE_PERIOD_BROKER_VALUE","DEEP_MEASURE_ID_OVERRIDE",$C230,"DEEP_BROKER_ID_OVERRIDE",$F$7,"DEEP_PERIOD_OVERRIDE",AO$11)*1,"")))</f>
        <v/>
      </c>
      <c r="AP230" s="17" t="str">
        <f>IF(ISNA($B230),"",IF($B230="","",IFERROR(_xll.BDP(TICKER,"DEEP_MEASURE_PERIOD_BROKER_VALUE","DEEP_MEASURE_ID_OVERRIDE",$C230,"DEEP_BROKER_ID_OVERRIDE",$F$7,"DEEP_PERIOD_OVERRIDE",AP$11)*1,"")))</f>
        <v/>
      </c>
      <c r="AQ230" s="17" t="str">
        <f>IF(ISNA($B230),"",IF($B230="","",IFERROR(_xll.BDP(TICKER,"DEEP_MEASURE_PERIOD_BROKER_VALUE","DEEP_MEASURE_ID_OVERRIDE",$C230,"DEEP_BROKER_ID_OVERRIDE",$F$7,"DEEP_PERIOD_OVERRIDE",AQ$11)*1,"")))</f>
        <v/>
      </c>
    </row>
    <row r="231" spans="8:43" x14ac:dyDescent="0.25">
      <c r="H231" t="str">
        <f t="shared" si="5"/>
        <v/>
      </c>
      <c r="I231" s="17" t="str">
        <f>IF(ISNA($B231),"",IF($B231="","",IFERROR(_xll.BDP(TICKER,"DEEP_MEASURE_PERIOD_BROKER_VALUE","DEEP_MEASURE_ID_OVERRIDE",$C231,"DEEP_BROKER_ID_OVERRIDE",$F$7,"DEEP_PERIOD_OVERRIDE",I$11)*1,"")))</f>
        <v/>
      </c>
      <c r="J231" s="17" t="str">
        <f>IF(ISNA($B231),"",IF($B231="","",IFERROR(_xll.BDP(TICKER,"DEEP_MEASURE_PERIOD_BROKER_VALUE","DEEP_MEASURE_ID_OVERRIDE",$C231,"DEEP_BROKER_ID_OVERRIDE",$F$7,"DEEP_PERIOD_OVERRIDE",J$11)*1,"")))</f>
        <v/>
      </c>
      <c r="K231" s="17" t="str">
        <f>IF(ISNA($B231),"",IF($B231="","",IFERROR(_xll.BDP(TICKER,"DEEP_MEASURE_PERIOD_BROKER_VALUE","DEEP_MEASURE_ID_OVERRIDE",$C231,"DEEP_BROKER_ID_OVERRIDE",$F$7,"DEEP_PERIOD_OVERRIDE",K$11)*1,"")))</f>
        <v/>
      </c>
      <c r="L231" s="17" t="str">
        <f>IF(ISNA($B231),"",IF($B231="","",IFERROR(_xll.BDP(TICKER,"DEEP_MEASURE_PERIOD_BROKER_VALUE","DEEP_MEASURE_ID_OVERRIDE",$C231,"DEEP_BROKER_ID_OVERRIDE",$F$7,"DEEP_PERIOD_OVERRIDE",L$11)*1,"")))</f>
        <v/>
      </c>
      <c r="M231" s="17" t="str">
        <f>IF(ISNA($B231),"",IF($B231="","",IFERROR(_xll.BDP(TICKER,"DEEP_MEASURE_PERIOD_BROKER_VALUE","DEEP_MEASURE_ID_OVERRIDE",$C231,"DEEP_BROKER_ID_OVERRIDE",$F$7,"DEEP_PERIOD_OVERRIDE",M$11)*1,"")))</f>
        <v/>
      </c>
      <c r="N231" s="17" t="str">
        <f>IF(ISNA($B231),"",IF($B231="","",IFERROR(_xll.BDP(TICKER,"DEEP_MEASURE_PERIOD_BROKER_VALUE","DEEP_MEASURE_ID_OVERRIDE",$C231,"DEEP_BROKER_ID_OVERRIDE",$F$7,"DEEP_PERIOD_OVERRIDE",N$11)*1,"")))</f>
        <v/>
      </c>
      <c r="O231" s="17" t="str">
        <f>IF(ISNA($B231),"",IF($B231="","",IFERROR(_xll.BDP(TICKER,"DEEP_MEASURE_PERIOD_BROKER_VALUE","DEEP_MEASURE_ID_OVERRIDE",$C231,"DEEP_BROKER_ID_OVERRIDE",$F$7,"DEEP_PERIOD_OVERRIDE",O$11)*1,"")))</f>
        <v/>
      </c>
      <c r="P231" s="17" t="str">
        <f>IF(ISNA($B231),"",IF($B231="","",IFERROR(_xll.BDP(TICKER,"DEEP_MEASURE_PERIOD_BROKER_VALUE","DEEP_MEASURE_ID_OVERRIDE",$C231,"DEEP_BROKER_ID_OVERRIDE",$F$7,"DEEP_PERIOD_OVERRIDE",P$11)*1,"")))</f>
        <v/>
      </c>
      <c r="Q231" s="17" t="str">
        <f>IF(ISNA($B231),"",IF($B231="","",IFERROR(_xll.BDP(TICKER,"DEEP_MEASURE_PERIOD_BROKER_VALUE","DEEP_MEASURE_ID_OVERRIDE",$C231,"DEEP_BROKER_ID_OVERRIDE",$F$7,"DEEP_PERIOD_OVERRIDE",Q$11)*1,"")))</f>
        <v/>
      </c>
      <c r="R231" s="17" t="str">
        <f>IF(ISNA($B231),"",IF($B231="","",IFERROR(_xll.BDP(TICKER,"DEEP_MEASURE_PERIOD_BROKER_VALUE","DEEP_MEASURE_ID_OVERRIDE",$C231,"DEEP_BROKER_ID_OVERRIDE",$F$7,"DEEP_PERIOD_OVERRIDE",R$11)*1,"")))</f>
        <v/>
      </c>
      <c r="S231" s="17" t="str">
        <f>IF(ISNA($B231),"",IF($B231="","",IFERROR(_xll.BDP(TICKER,"DEEP_MEASURE_PERIOD_BROKER_VALUE","DEEP_MEASURE_ID_OVERRIDE",$C231,"DEEP_BROKER_ID_OVERRIDE",$F$7,"DEEP_PERIOD_OVERRIDE",S$11)*1,"")))</f>
        <v/>
      </c>
      <c r="T231" s="17" t="str">
        <f>IF(ISNA($B231),"",IF($B231="","",IFERROR(_xll.BDP(TICKER,"DEEP_MEASURE_PERIOD_BROKER_VALUE","DEEP_MEASURE_ID_OVERRIDE",$C231,"DEEP_BROKER_ID_OVERRIDE",$F$7,"DEEP_PERIOD_OVERRIDE",T$11)*1,"")))</f>
        <v/>
      </c>
      <c r="U231" s="17" t="str">
        <f>IF(ISNA($B231),"",IF($B231="","",IFERROR(_xll.BDP(TICKER,"DEEP_MEASURE_PERIOD_BROKER_VALUE","DEEP_MEASURE_ID_OVERRIDE",$C231,"DEEP_BROKER_ID_OVERRIDE",$F$7,"DEEP_PERIOD_OVERRIDE",U$11)*1,"")))</f>
        <v/>
      </c>
      <c r="V231" s="17" t="str">
        <f>IF(ISNA($B231),"",IF($B231="","",IFERROR(_xll.BDP(TICKER,"DEEP_MEASURE_PERIOD_BROKER_VALUE","DEEP_MEASURE_ID_OVERRIDE",$C231,"DEEP_BROKER_ID_OVERRIDE",$F$7,"DEEP_PERIOD_OVERRIDE",V$11)*1,"")))</f>
        <v/>
      </c>
      <c r="W231" s="17" t="str">
        <f>IF(ISNA($B231),"",IF($B231="","",IFERROR(_xll.BDP(TICKER,"DEEP_MEASURE_PERIOD_BROKER_VALUE","DEEP_MEASURE_ID_OVERRIDE",$C231,"DEEP_BROKER_ID_OVERRIDE",$F$7,"DEEP_PERIOD_OVERRIDE",W$11)*1,"")))</f>
        <v/>
      </c>
      <c r="X231" s="17" t="str">
        <f>IF(ISNA($B231),"",IF($B231="","",IFERROR(_xll.BDP(TICKER,"DEEP_MEASURE_PERIOD_BROKER_VALUE","DEEP_MEASURE_ID_OVERRIDE",$C231,"DEEP_BROKER_ID_OVERRIDE",$F$7,"DEEP_PERIOD_OVERRIDE",X$11)*1,"")))</f>
        <v/>
      </c>
      <c r="Y231" s="17" t="str">
        <f>IF(ISNA($B231),"",IF($B231="","",IFERROR(_xll.BDP(TICKER,"DEEP_MEASURE_PERIOD_BROKER_VALUE","DEEP_MEASURE_ID_OVERRIDE",$C231,"DEEP_BROKER_ID_OVERRIDE",$F$7,"DEEP_PERIOD_OVERRIDE",Y$11)*1,"")))</f>
        <v/>
      </c>
      <c r="Z231" s="17" t="str">
        <f>IF(ISNA($B231),"",IF($B231="","",IFERROR(_xll.BDP(TICKER,"DEEP_MEASURE_PERIOD_BROKER_VALUE","DEEP_MEASURE_ID_OVERRIDE",$C231,"DEEP_BROKER_ID_OVERRIDE",$F$7,"DEEP_PERIOD_OVERRIDE",Z$11)*1,"")))</f>
        <v/>
      </c>
      <c r="AA231" s="17" t="str">
        <f>IF(ISNA($B231),"",IF($B231="","",IFERROR(_xll.BDP(TICKER,"DEEP_MEASURE_PERIOD_BROKER_VALUE","DEEP_MEASURE_ID_OVERRIDE",$C231,"DEEP_BROKER_ID_OVERRIDE",$F$7,"DEEP_PERIOD_OVERRIDE",AA$11)*1,"")))</f>
        <v/>
      </c>
      <c r="AB231" s="17" t="str">
        <f>IF(ISNA($B231),"",IF($B231="","",IFERROR(_xll.BDP(TICKER,"DEEP_MEASURE_PERIOD_BROKER_VALUE","DEEP_MEASURE_ID_OVERRIDE",$C231,"DEEP_BROKER_ID_OVERRIDE",$F$7,"DEEP_PERIOD_OVERRIDE",AB$11)*1,"")))</f>
        <v/>
      </c>
      <c r="AC231" s="17" t="str">
        <f>IF(ISNA($B231),"",IF($B231="","",IFERROR(_xll.BDP(TICKER,"DEEP_MEASURE_PERIOD_BROKER_VALUE","DEEP_MEASURE_ID_OVERRIDE",$C231,"DEEP_BROKER_ID_OVERRIDE",$F$7,"DEEP_PERIOD_OVERRIDE",AC$11)*1,"")))</f>
        <v/>
      </c>
      <c r="AD231" s="17" t="str">
        <f>IF(ISNA($B231),"",IF($B231="","",IFERROR(_xll.BDP(TICKER,"DEEP_MEASURE_PERIOD_BROKER_VALUE","DEEP_MEASURE_ID_OVERRIDE",$C231,"DEEP_BROKER_ID_OVERRIDE",$F$7,"DEEP_PERIOD_OVERRIDE",AD$11)*1,"")))</f>
        <v/>
      </c>
      <c r="AE231" s="17" t="str">
        <f>IF(ISNA($B231),"",IF($B231="","",IFERROR(_xll.BDP(TICKER,"DEEP_MEASURE_PERIOD_BROKER_VALUE","DEEP_MEASURE_ID_OVERRIDE",$C231,"DEEP_BROKER_ID_OVERRIDE",$F$7,"DEEP_PERIOD_OVERRIDE",AE$11)*1,"")))</f>
        <v/>
      </c>
      <c r="AF231" s="17" t="str">
        <f>IF(ISNA($B231),"",IF($B231="","",IFERROR(_xll.BDP(TICKER,"DEEP_MEASURE_PERIOD_BROKER_VALUE","DEEP_MEASURE_ID_OVERRIDE",$C231,"DEEP_BROKER_ID_OVERRIDE",$F$7,"DEEP_PERIOD_OVERRIDE",AF$11)*1,"")))</f>
        <v/>
      </c>
      <c r="AG231" s="17" t="str">
        <f>IF(ISNA($B231),"",IF($B231="","",IFERROR(_xll.BDP(TICKER,"DEEP_MEASURE_PERIOD_BROKER_VALUE","DEEP_MEASURE_ID_OVERRIDE",$C231,"DEEP_BROKER_ID_OVERRIDE",$F$7,"DEEP_PERIOD_OVERRIDE",AG$11)*1,"")))</f>
        <v/>
      </c>
      <c r="AH231" s="17" t="str">
        <f>IF(ISNA($B231),"",IF($B231="","",IFERROR(_xll.BDP(TICKER,"DEEP_MEASURE_PERIOD_BROKER_VALUE","DEEP_MEASURE_ID_OVERRIDE",$C231,"DEEP_BROKER_ID_OVERRIDE",$F$7,"DEEP_PERIOD_OVERRIDE",AH$11)*1,"")))</f>
        <v/>
      </c>
      <c r="AI231" s="17" t="str">
        <f>IF(ISNA($B231),"",IF($B231="","",IFERROR(_xll.BDP(TICKER,"DEEP_MEASURE_PERIOD_BROKER_VALUE","DEEP_MEASURE_ID_OVERRIDE",$C231,"DEEP_BROKER_ID_OVERRIDE",$F$7,"DEEP_PERIOD_OVERRIDE",AI$11)*1,"")))</f>
        <v/>
      </c>
      <c r="AJ231" s="17" t="str">
        <f>IF(ISNA($B231),"",IF($B231="","",IFERROR(_xll.BDP(TICKER,"DEEP_MEASURE_PERIOD_BROKER_VALUE","DEEP_MEASURE_ID_OVERRIDE",$C231,"DEEP_BROKER_ID_OVERRIDE",$F$7,"DEEP_PERIOD_OVERRIDE",AJ$11)*1,"")))</f>
        <v/>
      </c>
      <c r="AK231" s="17" t="str">
        <f>IF(ISNA($B231),"",IF($B231="","",IFERROR(_xll.BDP(TICKER,"DEEP_MEASURE_PERIOD_BROKER_VALUE","DEEP_MEASURE_ID_OVERRIDE",$C231,"DEEP_BROKER_ID_OVERRIDE",$F$7,"DEEP_PERIOD_OVERRIDE",AK$11)*1,"")))</f>
        <v/>
      </c>
      <c r="AL231" s="17" t="str">
        <f>IF(ISNA($B231),"",IF($B231="","",IFERROR(_xll.BDP(TICKER,"DEEP_MEASURE_PERIOD_BROKER_VALUE","DEEP_MEASURE_ID_OVERRIDE",$C231,"DEEP_BROKER_ID_OVERRIDE",$F$7,"DEEP_PERIOD_OVERRIDE",AL$11)*1,"")))</f>
        <v/>
      </c>
      <c r="AM231" s="17" t="str">
        <f>IF(ISNA($B231),"",IF($B231="","",IFERROR(_xll.BDP(TICKER,"DEEP_MEASURE_PERIOD_BROKER_VALUE","DEEP_MEASURE_ID_OVERRIDE",$C231,"DEEP_BROKER_ID_OVERRIDE",$F$7,"DEEP_PERIOD_OVERRIDE",AM$11)*1,"")))</f>
        <v/>
      </c>
      <c r="AN231" s="17" t="str">
        <f>IF(ISNA($B231),"",IF($B231="","",IFERROR(_xll.BDP(TICKER,"DEEP_MEASURE_PERIOD_BROKER_VALUE","DEEP_MEASURE_ID_OVERRIDE",$C231,"DEEP_BROKER_ID_OVERRIDE",$F$7,"DEEP_PERIOD_OVERRIDE",AN$11)*1,"")))</f>
        <v/>
      </c>
      <c r="AO231" s="17" t="str">
        <f>IF(ISNA($B231),"",IF($B231="","",IFERROR(_xll.BDP(TICKER,"DEEP_MEASURE_PERIOD_BROKER_VALUE","DEEP_MEASURE_ID_OVERRIDE",$C231,"DEEP_BROKER_ID_OVERRIDE",$F$7,"DEEP_PERIOD_OVERRIDE",AO$11)*1,"")))</f>
        <v/>
      </c>
      <c r="AP231" s="17" t="str">
        <f>IF(ISNA($B231),"",IF($B231="","",IFERROR(_xll.BDP(TICKER,"DEEP_MEASURE_PERIOD_BROKER_VALUE","DEEP_MEASURE_ID_OVERRIDE",$C231,"DEEP_BROKER_ID_OVERRIDE",$F$7,"DEEP_PERIOD_OVERRIDE",AP$11)*1,"")))</f>
        <v/>
      </c>
      <c r="AQ231" s="17" t="str">
        <f>IF(ISNA($B231),"",IF($B231="","",IFERROR(_xll.BDP(TICKER,"DEEP_MEASURE_PERIOD_BROKER_VALUE","DEEP_MEASURE_ID_OVERRIDE",$C231,"DEEP_BROKER_ID_OVERRIDE",$F$7,"DEEP_PERIOD_OVERRIDE",AQ$11)*1,"")))</f>
        <v/>
      </c>
    </row>
    <row r="232" spans="8:43" x14ac:dyDescent="0.25">
      <c r="H232" t="str">
        <f t="shared" si="5"/>
        <v/>
      </c>
      <c r="I232" s="17" t="str">
        <f>IF(ISNA($B232),"",IF($B232="","",IFERROR(_xll.BDP(TICKER,"DEEP_MEASURE_PERIOD_BROKER_VALUE","DEEP_MEASURE_ID_OVERRIDE",$C232,"DEEP_BROKER_ID_OVERRIDE",$F$7,"DEEP_PERIOD_OVERRIDE",I$11)*1,"")))</f>
        <v/>
      </c>
      <c r="J232" s="17" t="str">
        <f>IF(ISNA($B232),"",IF($B232="","",IFERROR(_xll.BDP(TICKER,"DEEP_MEASURE_PERIOD_BROKER_VALUE","DEEP_MEASURE_ID_OVERRIDE",$C232,"DEEP_BROKER_ID_OVERRIDE",$F$7,"DEEP_PERIOD_OVERRIDE",J$11)*1,"")))</f>
        <v/>
      </c>
      <c r="K232" s="17" t="str">
        <f>IF(ISNA($B232),"",IF($B232="","",IFERROR(_xll.BDP(TICKER,"DEEP_MEASURE_PERIOD_BROKER_VALUE","DEEP_MEASURE_ID_OVERRIDE",$C232,"DEEP_BROKER_ID_OVERRIDE",$F$7,"DEEP_PERIOD_OVERRIDE",K$11)*1,"")))</f>
        <v/>
      </c>
      <c r="L232" s="17" t="str">
        <f>IF(ISNA($B232),"",IF($B232="","",IFERROR(_xll.BDP(TICKER,"DEEP_MEASURE_PERIOD_BROKER_VALUE","DEEP_MEASURE_ID_OVERRIDE",$C232,"DEEP_BROKER_ID_OVERRIDE",$F$7,"DEEP_PERIOD_OVERRIDE",L$11)*1,"")))</f>
        <v/>
      </c>
      <c r="M232" s="17" t="str">
        <f>IF(ISNA($B232),"",IF($B232="","",IFERROR(_xll.BDP(TICKER,"DEEP_MEASURE_PERIOD_BROKER_VALUE","DEEP_MEASURE_ID_OVERRIDE",$C232,"DEEP_BROKER_ID_OVERRIDE",$F$7,"DEEP_PERIOD_OVERRIDE",M$11)*1,"")))</f>
        <v/>
      </c>
      <c r="N232" s="17" t="str">
        <f>IF(ISNA($B232),"",IF($B232="","",IFERROR(_xll.BDP(TICKER,"DEEP_MEASURE_PERIOD_BROKER_VALUE","DEEP_MEASURE_ID_OVERRIDE",$C232,"DEEP_BROKER_ID_OVERRIDE",$F$7,"DEEP_PERIOD_OVERRIDE",N$11)*1,"")))</f>
        <v/>
      </c>
      <c r="O232" s="17" t="str">
        <f>IF(ISNA($B232),"",IF($B232="","",IFERROR(_xll.BDP(TICKER,"DEEP_MEASURE_PERIOD_BROKER_VALUE","DEEP_MEASURE_ID_OVERRIDE",$C232,"DEEP_BROKER_ID_OVERRIDE",$F$7,"DEEP_PERIOD_OVERRIDE",O$11)*1,"")))</f>
        <v/>
      </c>
      <c r="P232" s="17" t="str">
        <f>IF(ISNA($B232),"",IF($B232="","",IFERROR(_xll.BDP(TICKER,"DEEP_MEASURE_PERIOD_BROKER_VALUE","DEEP_MEASURE_ID_OVERRIDE",$C232,"DEEP_BROKER_ID_OVERRIDE",$F$7,"DEEP_PERIOD_OVERRIDE",P$11)*1,"")))</f>
        <v/>
      </c>
      <c r="Q232" s="17" t="str">
        <f>IF(ISNA($B232),"",IF($B232="","",IFERROR(_xll.BDP(TICKER,"DEEP_MEASURE_PERIOD_BROKER_VALUE","DEEP_MEASURE_ID_OVERRIDE",$C232,"DEEP_BROKER_ID_OVERRIDE",$F$7,"DEEP_PERIOD_OVERRIDE",Q$11)*1,"")))</f>
        <v/>
      </c>
      <c r="R232" s="17" t="str">
        <f>IF(ISNA($B232),"",IF($B232="","",IFERROR(_xll.BDP(TICKER,"DEEP_MEASURE_PERIOD_BROKER_VALUE","DEEP_MEASURE_ID_OVERRIDE",$C232,"DEEP_BROKER_ID_OVERRIDE",$F$7,"DEEP_PERIOD_OVERRIDE",R$11)*1,"")))</f>
        <v/>
      </c>
      <c r="S232" s="17" t="str">
        <f>IF(ISNA($B232),"",IF($B232="","",IFERROR(_xll.BDP(TICKER,"DEEP_MEASURE_PERIOD_BROKER_VALUE","DEEP_MEASURE_ID_OVERRIDE",$C232,"DEEP_BROKER_ID_OVERRIDE",$F$7,"DEEP_PERIOD_OVERRIDE",S$11)*1,"")))</f>
        <v/>
      </c>
      <c r="T232" s="17" t="str">
        <f>IF(ISNA($B232),"",IF($B232="","",IFERROR(_xll.BDP(TICKER,"DEEP_MEASURE_PERIOD_BROKER_VALUE","DEEP_MEASURE_ID_OVERRIDE",$C232,"DEEP_BROKER_ID_OVERRIDE",$F$7,"DEEP_PERIOD_OVERRIDE",T$11)*1,"")))</f>
        <v/>
      </c>
      <c r="U232" s="17" t="str">
        <f>IF(ISNA($B232),"",IF($B232="","",IFERROR(_xll.BDP(TICKER,"DEEP_MEASURE_PERIOD_BROKER_VALUE","DEEP_MEASURE_ID_OVERRIDE",$C232,"DEEP_BROKER_ID_OVERRIDE",$F$7,"DEEP_PERIOD_OVERRIDE",U$11)*1,"")))</f>
        <v/>
      </c>
      <c r="V232" s="17" t="str">
        <f>IF(ISNA($B232),"",IF($B232="","",IFERROR(_xll.BDP(TICKER,"DEEP_MEASURE_PERIOD_BROKER_VALUE","DEEP_MEASURE_ID_OVERRIDE",$C232,"DEEP_BROKER_ID_OVERRIDE",$F$7,"DEEP_PERIOD_OVERRIDE",V$11)*1,"")))</f>
        <v/>
      </c>
      <c r="W232" s="17" t="str">
        <f>IF(ISNA($B232),"",IF($B232="","",IFERROR(_xll.BDP(TICKER,"DEEP_MEASURE_PERIOD_BROKER_VALUE","DEEP_MEASURE_ID_OVERRIDE",$C232,"DEEP_BROKER_ID_OVERRIDE",$F$7,"DEEP_PERIOD_OVERRIDE",W$11)*1,"")))</f>
        <v/>
      </c>
      <c r="X232" s="17" t="str">
        <f>IF(ISNA($B232),"",IF($B232="","",IFERROR(_xll.BDP(TICKER,"DEEP_MEASURE_PERIOD_BROKER_VALUE","DEEP_MEASURE_ID_OVERRIDE",$C232,"DEEP_BROKER_ID_OVERRIDE",$F$7,"DEEP_PERIOD_OVERRIDE",X$11)*1,"")))</f>
        <v/>
      </c>
      <c r="Y232" s="17" t="str">
        <f>IF(ISNA($B232),"",IF($B232="","",IFERROR(_xll.BDP(TICKER,"DEEP_MEASURE_PERIOD_BROKER_VALUE","DEEP_MEASURE_ID_OVERRIDE",$C232,"DEEP_BROKER_ID_OVERRIDE",$F$7,"DEEP_PERIOD_OVERRIDE",Y$11)*1,"")))</f>
        <v/>
      </c>
      <c r="Z232" s="17" t="str">
        <f>IF(ISNA($B232),"",IF($B232="","",IFERROR(_xll.BDP(TICKER,"DEEP_MEASURE_PERIOD_BROKER_VALUE","DEEP_MEASURE_ID_OVERRIDE",$C232,"DEEP_BROKER_ID_OVERRIDE",$F$7,"DEEP_PERIOD_OVERRIDE",Z$11)*1,"")))</f>
        <v/>
      </c>
      <c r="AA232" s="17" t="str">
        <f>IF(ISNA($B232),"",IF($B232="","",IFERROR(_xll.BDP(TICKER,"DEEP_MEASURE_PERIOD_BROKER_VALUE","DEEP_MEASURE_ID_OVERRIDE",$C232,"DEEP_BROKER_ID_OVERRIDE",$F$7,"DEEP_PERIOD_OVERRIDE",AA$11)*1,"")))</f>
        <v/>
      </c>
      <c r="AB232" s="17" t="str">
        <f>IF(ISNA($B232),"",IF($B232="","",IFERROR(_xll.BDP(TICKER,"DEEP_MEASURE_PERIOD_BROKER_VALUE","DEEP_MEASURE_ID_OVERRIDE",$C232,"DEEP_BROKER_ID_OVERRIDE",$F$7,"DEEP_PERIOD_OVERRIDE",AB$11)*1,"")))</f>
        <v/>
      </c>
      <c r="AC232" s="17" t="str">
        <f>IF(ISNA($B232),"",IF($B232="","",IFERROR(_xll.BDP(TICKER,"DEEP_MEASURE_PERIOD_BROKER_VALUE","DEEP_MEASURE_ID_OVERRIDE",$C232,"DEEP_BROKER_ID_OVERRIDE",$F$7,"DEEP_PERIOD_OVERRIDE",AC$11)*1,"")))</f>
        <v/>
      </c>
      <c r="AD232" s="17" t="str">
        <f>IF(ISNA($B232),"",IF($B232="","",IFERROR(_xll.BDP(TICKER,"DEEP_MEASURE_PERIOD_BROKER_VALUE","DEEP_MEASURE_ID_OVERRIDE",$C232,"DEEP_BROKER_ID_OVERRIDE",$F$7,"DEEP_PERIOD_OVERRIDE",AD$11)*1,"")))</f>
        <v/>
      </c>
      <c r="AE232" s="17" t="str">
        <f>IF(ISNA($B232),"",IF($B232="","",IFERROR(_xll.BDP(TICKER,"DEEP_MEASURE_PERIOD_BROKER_VALUE","DEEP_MEASURE_ID_OVERRIDE",$C232,"DEEP_BROKER_ID_OVERRIDE",$F$7,"DEEP_PERIOD_OVERRIDE",AE$11)*1,"")))</f>
        <v/>
      </c>
      <c r="AF232" s="17" t="str">
        <f>IF(ISNA($B232),"",IF($B232="","",IFERROR(_xll.BDP(TICKER,"DEEP_MEASURE_PERIOD_BROKER_VALUE","DEEP_MEASURE_ID_OVERRIDE",$C232,"DEEP_BROKER_ID_OVERRIDE",$F$7,"DEEP_PERIOD_OVERRIDE",AF$11)*1,"")))</f>
        <v/>
      </c>
      <c r="AG232" s="17" t="str">
        <f>IF(ISNA($B232),"",IF($B232="","",IFERROR(_xll.BDP(TICKER,"DEEP_MEASURE_PERIOD_BROKER_VALUE","DEEP_MEASURE_ID_OVERRIDE",$C232,"DEEP_BROKER_ID_OVERRIDE",$F$7,"DEEP_PERIOD_OVERRIDE",AG$11)*1,"")))</f>
        <v/>
      </c>
      <c r="AH232" s="17" t="str">
        <f>IF(ISNA($B232),"",IF($B232="","",IFERROR(_xll.BDP(TICKER,"DEEP_MEASURE_PERIOD_BROKER_VALUE","DEEP_MEASURE_ID_OVERRIDE",$C232,"DEEP_BROKER_ID_OVERRIDE",$F$7,"DEEP_PERIOD_OVERRIDE",AH$11)*1,"")))</f>
        <v/>
      </c>
      <c r="AI232" s="17" t="str">
        <f>IF(ISNA($B232),"",IF($B232="","",IFERROR(_xll.BDP(TICKER,"DEEP_MEASURE_PERIOD_BROKER_VALUE","DEEP_MEASURE_ID_OVERRIDE",$C232,"DEEP_BROKER_ID_OVERRIDE",$F$7,"DEEP_PERIOD_OVERRIDE",AI$11)*1,"")))</f>
        <v/>
      </c>
      <c r="AJ232" s="17" t="str">
        <f>IF(ISNA($B232),"",IF($B232="","",IFERROR(_xll.BDP(TICKER,"DEEP_MEASURE_PERIOD_BROKER_VALUE","DEEP_MEASURE_ID_OVERRIDE",$C232,"DEEP_BROKER_ID_OVERRIDE",$F$7,"DEEP_PERIOD_OVERRIDE",AJ$11)*1,"")))</f>
        <v/>
      </c>
      <c r="AK232" s="17" t="str">
        <f>IF(ISNA($B232),"",IF($B232="","",IFERROR(_xll.BDP(TICKER,"DEEP_MEASURE_PERIOD_BROKER_VALUE","DEEP_MEASURE_ID_OVERRIDE",$C232,"DEEP_BROKER_ID_OVERRIDE",$F$7,"DEEP_PERIOD_OVERRIDE",AK$11)*1,"")))</f>
        <v/>
      </c>
      <c r="AL232" s="17" t="str">
        <f>IF(ISNA($B232),"",IF($B232="","",IFERROR(_xll.BDP(TICKER,"DEEP_MEASURE_PERIOD_BROKER_VALUE","DEEP_MEASURE_ID_OVERRIDE",$C232,"DEEP_BROKER_ID_OVERRIDE",$F$7,"DEEP_PERIOD_OVERRIDE",AL$11)*1,"")))</f>
        <v/>
      </c>
      <c r="AM232" s="17" t="str">
        <f>IF(ISNA($B232),"",IF($B232="","",IFERROR(_xll.BDP(TICKER,"DEEP_MEASURE_PERIOD_BROKER_VALUE","DEEP_MEASURE_ID_OVERRIDE",$C232,"DEEP_BROKER_ID_OVERRIDE",$F$7,"DEEP_PERIOD_OVERRIDE",AM$11)*1,"")))</f>
        <v/>
      </c>
      <c r="AN232" s="17" t="str">
        <f>IF(ISNA($B232),"",IF($B232="","",IFERROR(_xll.BDP(TICKER,"DEEP_MEASURE_PERIOD_BROKER_VALUE","DEEP_MEASURE_ID_OVERRIDE",$C232,"DEEP_BROKER_ID_OVERRIDE",$F$7,"DEEP_PERIOD_OVERRIDE",AN$11)*1,"")))</f>
        <v/>
      </c>
      <c r="AO232" s="17" t="str">
        <f>IF(ISNA($B232),"",IF($B232="","",IFERROR(_xll.BDP(TICKER,"DEEP_MEASURE_PERIOD_BROKER_VALUE","DEEP_MEASURE_ID_OVERRIDE",$C232,"DEEP_BROKER_ID_OVERRIDE",$F$7,"DEEP_PERIOD_OVERRIDE",AO$11)*1,"")))</f>
        <v/>
      </c>
      <c r="AP232" s="17" t="str">
        <f>IF(ISNA($B232),"",IF($B232="","",IFERROR(_xll.BDP(TICKER,"DEEP_MEASURE_PERIOD_BROKER_VALUE","DEEP_MEASURE_ID_OVERRIDE",$C232,"DEEP_BROKER_ID_OVERRIDE",$F$7,"DEEP_PERIOD_OVERRIDE",AP$11)*1,"")))</f>
        <v/>
      </c>
      <c r="AQ232" s="17" t="str">
        <f>IF(ISNA($B232),"",IF($B232="","",IFERROR(_xll.BDP(TICKER,"DEEP_MEASURE_PERIOD_BROKER_VALUE","DEEP_MEASURE_ID_OVERRIDE",$C232,"DEEP_BROKER_ID_OVERRIDE",$F$7,"DEEP_PERIOD_OVERRIDE",AQ$11)*1,"")))</f>
        <v/>
      </c>
    </row>
    <row r="233" spans="8:43" x14ac:dyDescent="0.25">
      <c r="H233" t="str">
        <f t="shared" si="5"/>
        <v/>
      </c>
      <c r="I233" s="17" t="str">
        <f>IF(ISNA($B233),"",IF($B233="","",IFERROR(_xll.BDP(TICKER,"DEEP_MEASURE_PERIOD_BROKER_VALUE","DEEP_MEASURE_ID_OVERRIDE",$C233,"DEEP_BROKER_ID_OVERRIDE",$F$7,"DEEP_PERIOD_OVERRIDE",I$11)*1,"")))</f>
        <v/>
      </c>
      <c r="J233" s="17" t="str">
        <f>IF(ISNA($B233),"",IF($B233="","",IFERROR(_xll.BDP(TICKER,"DEEP_MEASURE_PERIOD_BROKER_VALUE","DEEP_MEASURE_ID_OVERRIDE",$C233,"DEEP_BROKER_ID_OVERRIDE",$F$7,"DEEP_PERIOD_OVERRIDE",J$11)*1,"")))</f>
        <v/>
      </c>
      <c r="K233" s="17" t="str">
        <f>IF(ISNA($B233),"",IF($B233="","",IFERROR(_xll.BDP(TICKER,"DEEP_MEASURE_PERIOD_BROKER_VALUE","DEEP_MEASURE_ID_OVERRIDE",$C233,"DEEP_BROKER_ID_OVERRIDE",$F$7,"DEEP_PERIOD_OVERRIDE",K$11)*1,"")))</f>
        <v/>
      </c>
      <c r="L233" s="17" t="str">
        <f>IF(ISNA($B233),"",IF($B233="","",IFERROR(_xll.BDP(TICKER,"DEEP_MEASURE_PERIOD_BROKER_VALUE","DEEP_MEASURE_ID_OVERRIDE",$C233,"DEEP_BROKER_ID_OVERRIDE",$F$7,"DEEP_PERIOD_OVERRIDE",L$11)*1,"")))</f>
        <v/>
      </c>
      <c r="M233" s="17" t="str">
        <f>IF(ISNA($B233),"",IF($B233="","",IFERROR(_xll.BDP(TICKER,"DEEP_MEASURE_PERIOD_BROKER_VALUE","DEEP_MEASURE_ID_OVERRIDE",$C233,"DEEP_BROKER_ID_OVERRIDE",$F$7,"DEEP_PERIOD_OVERRIDE",M$11)*1,"")))</f>
        <v/>
      </c>
      <c r="N233" s="17" t="str">
        <f>IF(ISNA($B233),"",IF($B233="","",IFERROR(_xll.BDP(TICKER,"DEEP_MEASURE_PERIOD_BROKER_VALUE","DEEP_MEASURE_ID_OVERRIDE",$C233,"DEEP_BROKER_ID_OVERRIDE",$F$7,"DEEP_PERIOD_OVERRIDE",N$11)*1,"")))</f>
        <v/>
      </c>
      <c r="O233" s="17" t="str">
        <f>IF(ISNA($B233),"",IF($B233="","",IFERROR(_xll.BDP(TICKER,"DEEP_MEASURE_PERIOD_BROKER_VALUE","DEEP_MEASURE_ID_OVERRIDE",$C233,"DEEP_BROKER_ID_OVERRIDE",$F$7,"DEEP_PERIOD_OVERRIDE",O$11)*1,"")))</f>
        <v/>
      </c>
      <c r="P233" s="17" t="str">
        <f>IF(ISNA($B233),"",IF($B233="","",IFERROR(_xll.BDP(TICKER,"DEEP_MEASURE_PERIOD_BROKER_VALUE","DEEP_MEASURE_ID_OVERRIDE",$C233,"DEEP_BROKER_ID_OVERRIDE",$F$7,"DEEP_PERIOD_OVERRIDE",P$11)*1,"")))</f>
        <v/>
      </c>
      <c r="Q233" s="17" t="str">
        <f>IF(ISNA($B233),"",IF($B233="","",IFERROR(_xll.BDP(TICKER,"DEEP_MEASURE_PERIOD_BROKER_VALUE","DEEP_MEASURE_ID_OVERRIDE",$C233,"DEEP_BROKER_ID_OVERRIDE",$F$7,"DEEP_PERIOD_OVERRIDE",Q$11)*1,"")))</f>
        <v/>
      </c>
      <c r="R233" s="17" t="str">
        <f>IF(ISNA($B233),"",IF($B233="","",IFERROR(_xll.BDP(TICKER,"DEEP_MEASURE_PERIOD_BROKER_VALUE","DEEP_MEASURE_ID_OVERRIDE",$C233,"DEEP_BROKER_ID_OVERRIDE",$F$7,"DEEP_PERIOD_OVERRIDE",R$11)*1,"")))</f>
        <v/>
      </c>
      <c r="S233" s="17" t="str">
        <f>IF(ISNA($B233),"",IF($B233="","",IFERROR(_xll.BDP(TICKER,"DEEP_MEASURE_PERIOD_BROKER_VALUE","DEEP_MEASURE_ID_OVERRIDE",$C233,"DEEP_BROKER_ID_OVERRIDE",$F$7,"DEEP_PERIOD_OVERRIDE",S$11)*1,"")))</f>
        <v/>
      </c>
      <c r="T233" s="17" t="str">
        <f>IF(ISNA($B233),"",IF($B233="","",IFERROR(_xll.BDP(TICKER,"DEEP_MEASURE_PERIOD_BROKER_VALUE","DEEP_MEASURE_ID_OVERRIDE",$C233,"DEEP_BROKER_ID_OVERRIDE",$F$7,"DEEP_PERIOD_OVERRIDE",T$11)*1,"")))</f>
        <v/>
      </c>
      <c r="U233" s="17" t="str">
        <f>IF(ISNA($B233),"",IF($B233="","",IFERROR(_xll.BDP(TICKER,"DEEP_MEASURE_PERIOD_BROKER_VALUE","DEEP_MEASURE_ID_OVERRIDE",$C233,"DEEP_BROKER_ID_OVERRIDE",$F$7,"DEEP_PERIOD_OVERRIDE",U$11)*1,"")))</f>
        <v/>
      </c>
      <c r="V233" s="17" t="str">
        <f>IF(ISNA($B233),"",IF($B233="","",IFERROR(_xll.BDP(TICKER,"DEEP_MEASURE_PERIOD_BROKER_VALUE","DEEP_MEASURE_ID_OVERRIDE",$C233,"DEEP_BROKER_ID_OVERRIDE",$F$7,"DEEP_PERIOD_OVERRIDE",V$11)*1,"")))</f>
        <v/>
      </c>
      <c r="W233" s="17" t="str">
        <f>IF(ISNA($B233),"",IF($B233="","",IFERROR(_xll.BDP(TICKER,"DEEP_MEASURE_PERIOD_BROKER_VALUE","DEEP_MEASURE_ID_OVERRIDE",$C233,"DEEP_BROKER_ID_OVERRIDE",$F$7,"DEEP_PERIOD_OVERRIDE",W$11)*1,"")))</f>
        <v/>
      </c>
      <c r="X233" s="17" t="str">
        <f>IF(ISNA($B233),"",IF($B233="","",IFERROR(_xll.BDP(TICKER,"DEEP_MEASURE_PERIOD_BROKER_VALUE","DEEP_MEASURE_ID_OVERRIDE",$C233,"DEEP_BROKER_ID_OVERRIDE",$F$7,"DEEP_PERIOD_OVERRIDE",X$11)*1,"")))</f>
        <v/>
      </c>
      <c r="Y233" s="17" t="str">
        <f>IF(ISNA($B233),"",IF($B233="","",IFERROR(_xll.BDP(TICKER,"DEEP_MEASURE_PERIOD_BROKER_VALUE","DEEP_MEASURE_ID_OVERRIDE",$C233,"DEEP_BROKER_ID_OVERRIDE",$F$7,"DEEP_PERIOD_OVERRIDE",Y$11)*1,"")))</f>
        <v/>
      </c>
      <c r="Z233" s="17" t="str">
        <f>IF(ISNA($B233),"",IF($B233="","",IFERROR(_xll.BDP(TICKER,"DEEP_MEASURE_PERIOD_BROKER_VALUE","DEEP_MEASURE_ID_OVERRIDE",$C233,"DEEP_BROKER_ID_OVERRIDE",$F$7,"DEEP_PERIOD_OVERRIDE",Z$11)*1,"")))</f>
        <v/>
      </c>
      <c r="AA233" s="17" t="str">
        <f>IF(ISNA($B233),"",IF($B233="","",IFERROR(_xll.BDP(TICKER,"DEEP_MEASURE_PERIOD_BROKER_VALUE","DEEP_MEASURE_ID_OVERRIDE",$C233,"DEEP_BROKER_ID_OVERRIDE",$F$7,"DEEP_PERIOD_OVERRIDE",AA$11)*1,"")))</f>
        <v/>
      </c>
      <c r="AB233" s="17" t="str">
        <f>IF(ISNA($B233),"",IF($B233="","",IFERROR(_xll.BDP(TICKER,"DEEP_MEASURE_PERIOD_BROKER_VALUE","DEEP_MEASURE_ID_OVERRIDE",$C233,"DEEP_BROKER_ID_OVERRIDE",$F$7,"DEEP_PERIOD_OVERRIDE",AB$11)*1,"")))</f>
        <v/>
      </c>
      <c r="AC233" s="17" t="str">
        <f>IF(ISNA($B233),"",IF($B233="","",IFERROR(_xll.BDP(TICKER,"DEEP_MEASURE_PERIOD_BROKER_VALUE","DEEP_MEASURE_ID_OVERRIDE",$C233,"DEEP_BROKER_ID_OVERRIDE",$F$7,"DEEP_PERIOD_OVERRIDE",AC$11)*1,"")))</f>
        <v/>
      </c>
      <c r="AD233" s="17" t="str">
        <f>IF(ISNA($B233),"",IF($B233="","",IFERROR(_xll.BDP(TICKER,"DEEP_MEASURE_PERIOD_BROKER_VALUE","DEEP_MEASURE_ID_OVERRIDE",$C233,"DEEP_BROKER_ID_OVERRIDE",$F$7,"DEEP_PERIOD_OVERRIDE",AD$11)*1,"")))</f>
        <v/>
      </c>
      <c r="AE233" s="17" t="str">
        <f>IF(ISNA($B233),"",IF($B233="","",IFERROR(_xll.BDP(TICKER,"DEEP_MEASURE_PERIOD_BROKER_VALUE","DEEP_MEASURE_ID_OVERRIDE",$C233,"DEEP_BROKER_ID_OVERRIDE",$F$7,"DEEP_PERIOD_OVERRIDE",AE$11)*1,"")))</f>
        <v/>
      </c>
      <c r="AF233" s="17" t="str">
        <f>IF(ISNA($B233),"",IF($B233="","",IFERROR(_xll.BDP(TICKER,"DEEP_MEASURE_PERIOD_BROKER_VALUE","DEEP_MEASURE_ID_OVERRIDE",$C233,"DEEP_BROKER_ID_OVERRIDE",$F$7,"DEEP_PERIOD_OVERRIDE",AF$11)*1,"")))</f>
        <v/>
      </c>
      <c r="AG233" s="17" t="str">
        <f>IF(ISNA($B233),"",IF($B233="","",IFERROR(_xll.BDP(TICKER,"DEEP_MEASURE_PERIOD_BROKER_VALUE","DEEP_MEASURE_ID_OVERRIDE",$C233,"DEEP_BROKER_ID_OVERRIDE",$F$7,"DEEP_PERIOD_OVERRIDE",AG$11)*1,"")))</f>
        <v/>
      </c>
      <c r="AH233" s="17" t="str">
        <f>IF(ISNA($B233),"",IF($B233="","",IFERROR(_xll.BDP(TICKER,"DEEP_MEASURE_PERIOD_BROKER_VALUE","DEEP_MEASURE_ID_OVERRIDE",$C233,"DEEP_BROKER_ID_OVERRIDE",$F$7,"DEEP_PERIOD_OVERRIDE",AH$11)*1,"")))</f>
        <v/>
      </c>
      <c r="AI233" s="17" t="str">
        <f>IF(ISNA($B233),"",IF($B233="","",IFERROR(_xll.BDP(TICKER,"DEEP_MEASURE_PERIOD_BROKER_VALUE","DEEP_MEASURE_ID_OVERRIDE",$C233,"DEEP_BROKER_ID_OVERRIDE",$F$7,"DEEP_PERIOD_OVERRIDE",AI$11)*1,"")))</f>
        <v/>
      </c>
      <c r="AJ233" s="17" t="str">
        <f>IF(ISNA($B233),"",IF($B233="","",IFERROR(_xll.BDP(TICKER,"DEEP_MEASURE_PERIOD_BROKER_VALUE","DEEP_MEASURE_ID_OVERRIDE",$C233,"DEEP_BROKER_ID_OVERRIDE",$F$7,"DEEP_PERIOD_OVERRIDE",AJ$11)*1,"")))</f>
        <v/>
      </c>
      <c r="AK233" s="17" t="str">
        <f>IF(ISNA($B233),"",IF($B233="","",IFERROR(_xll.BDP(TICKER,"DEEP_MEASURE_PERIOD_BROKER_VALUE","DEEP_MEASURE_ID_OVERRIDE",$C233,"DEEP_BROKER_ID_OVERRIDE",$F$7,"DEEP_PERIOD_OVERRIDE",AK$11)*1,"")))</f>
        <v/>
      </c>
      <c r="AL233" s="17" t="str">
        <f>IF(ISNA($B233),"",IF($B233="","",IFERROR(_xll.BDP(TICKER,"DEEP_MEASURE_PERIOD_BROKER_VALUE","DEEP_MEASURE_ID_OVERRIDE",$C233,"DEEP_BROKER_ID_OVERRIDE",$F$7,"DEEP_PERIOD_OVERRIDE",AL$11)*1,"")))</f>
        <v/>
      </c>
      <c r="AM233" s="17" t="str">
        <f>IF(ISNA($B233),"",IF($B233="","",IFERROR(_xll.BDP(TICKER,"DEEP_MEASURE_PERIOD_BROKER_VALUE","DEEP_MEASURE_ID_OVERRIDE",$C233,"DEEP_BROKER_ID_OVERRIDE",$F$7,"DEEP_PERIOD_OVERRIDE",AM$11)*1,"")))</f>
        <v/>
      </c>
      <c r="AN233" s="17" t="str">
        <f>IF(ISNA($B233),"",IF($B233="","",IFERROR(_xll.BDP(TICKER,"DEEP_MEASURE_PERIOD_BROKER_VALUE","DEEP_MEASURE_ID_OVERRIDE",$C233,"DEEP_BROKER_ID_OVERRIDE",$F$7,"DEEP_PERIOD_OVERRIDE",AN$11)*1,"")))</f>
        <v/>
      </c>
      <c r="AO233" s="17" t="str">
        <f>IF(ISNA($B233),"",IF($B233="","",IFERROR(_xll.BDP(TICKER,"DEEP_MEASURE_PERIOD_BROKER_VALUE","DEEP_MEASURE_ID_OVERRIDE",$C233,"DEEP_BROKER_ID_OVERRIDE",$F$7,"DEEP_PERIOD_OVERRIDE",AO$11)*1,"")))</f>
        <v/>
      </c>
      <c r="AP233" s="17" t="str">
        <f>IF(ISNA($B233),"",IF($B233="","",IFERROR(_xll.BDP(TICKER,"DEEP_MEASURE_PERIOD_BROKER_VALUE","DEEP_MEASURE_ID_OVERRIDE",$C233,"DEEP_BROKER_ID_OVERRIDE",$F$7,"DEEP_PERIOD_OVERRIDE",AP$11)*1,"")))</f>
        <v/>
      </c>
      <c r="AQ233" s="17" t="str">
        <f>IF(ISNA($B233),"",IF($B233="","",IFERROR(_xll.BDP(TICKER,"DEEP_MEASURE_PERIOD_BROKER_VALUE","DEEP_MEASURE_ID_OVERRIDE",$C233,"DEEP_BROKER_ID_OVERRIDE",$F$7,"DEEP_PERIOD_OVERRIDE",AQ$11)*1,"")))</f>
        <v/>
      </c>
    </row>
    <row r="234" spans="8:43" x14ac:dyDescent="0.25">
      <c r="H234" t="str">
        <f t="shared" si="5"/>
        <v/>
      </c>
      <c r="I234" s="17" t="str">
        <f>IF(ISNA($B234),"",IF($B234="","",IFERROR(_xll.BDP(TICKER,"DEEP_MEASURE_PERIOD_BROKER_VALUE","DEEP_MEASURE_ID_OVERRIDE",$C234,"DEEP_BROKER_ID_OVERRIDE",$F$7,"DEEP_PERIOD_OVERRIDE",I$11)*1,"")))</f>
        <v/>
      </c>
      <c r="J234" s="17" t="str">
        <f>IF(ISNA($B234),"",IF($B234="","",IFERROR(_xll.BDP(TICKER,"DEEP_MEASURE_PERIOD_BROKER_VALUE","DEEP_MEASURE_ID_OVERRIDE",$C234,"DEEP_BROKER_ID_OVERRIDE",$F$7,"DEEP_PERIOD_OVERRIDE",J$11)*1,"")))</f>
        <v/>
      </c>
      <c r="K234" s="17" t="str">
        <f>IF(ISNA($B234),"",IF($B234="","",IFERROR(_xll.BDP(TICKER,"DEEP_MEASURE_PERIOD_BROKER_VALUE","DEEP_MEASURE_ID_OVERRIDE",$C234,"DEEP_BROKER_ID_OVERRIDE",$F$7,"DEEP_PERIOD_OVERRIDE",K$11)*1,"")))</f>
        <v/>
      </c>
      <c r="L234" s="17" t="str">
        <f>IF(ISNA($B234),"",IF($B234="","",IFERROR(_xll.BDP(TICKER,"DEEP_MEASURE_PERIOD_BROKER_VALUE","DEEP_MEASURE_ID_OVERRIDE",$C234,"DEEP_BROKER_ID_OVERRIDE",$F$7,"DEEP_PERIOD_OVERRIDE",L$11)*1,"")))</f>
        <v/>
      </c>
      <c r="M234" s="17" t="str">
        <f>IF(ISNA($B234),"",IF($B234="","",IFERROR(_xll.BDP(TICKER,"DEEP_MEASURE_PERIOD_BROKER_VALUE","DEEP_MEASURE_ID_OVERRIDE",$C234,"DEEP_BROKER_ID_OVERRIDE",$F$7,"DEEP_PERIOD_OVERRIDE",M$11)*1,"")))</f>
        <v/>
      </c>
      <c r="N234" s="17" t="str">
        <f>IF(ISNA($B234),"",IF($B234="","",IFERROR(_xll.BDP(TICKER,"DEEP_MEASURE_PERIOD_BROKER_VALUE","DEEP_MEASURE_ID_OVERRIDE",$C234,"DEEP_BROKER_ID_OVERRIDE",$F$7,"DEEP_PERIOD_OVERRIDE",N$11)*1,"")))</f>
        <v/>
      </c>
      <c r="O234" s="17" t="str">
        <f>IF(ISNA($B234),"",IF($B234="","",IFERROR(_xll.BDP(TICKER,"DEEP_MEASURE_PERIOD_BROKER_VALUE","DEEP_MEASURE_ID_OVERRIDE",$C234,"DEEP_BROKER_ID_OVERRIDE",$F$7,"DEEP_PERIOD_OVERRIDE",O$11)*1,"")))</f>
        <v/>
      </c>
      <c r="P234" s="17" t="str">
        <f>IF(ISNA($B234),"",IF($B234="","",IFERROR(_xll.BDP(TICKER,"DEEP_MEASURE_PERIOD_BROKER_VALUE","DEEP_MEASURE_ID_OVERRIDE",$C234,"DEEP_BROKER_ID_OVERRIDE",$F$7,"DEEP_PERIOD_OVERRIDE",P$11)*1,"")))</f>
        <v/>
      </c>
      <c r="Q234" s="17" t="str">
        <f>IF(ISNA($B234),"",IF($B234="","",IFERROR(_xll.BDP(TICKER,"DEEP_MEASURE_PERIOD_BROKER_VALUE","DEEP_MEASURE_ID_OVERRIDE",$C234,"DEEP_BROKER_ID_OVERRIDE",$F$7,"DEEP_PERIOD_OVERRIDE",Q$11)*1,"")))</f>
        <v/>
      </c>
      <c r="R234" s="17" t="str">
        <f>IF(ISNA($B234),"",IF($B234="","",IFERROR(_xll.BDP(TICKER,"DEEP_MEASURE_PERIOD_BROKER_VALUE","DEEP_MEASURE_ID_OVERRIDE",$C234,"DEEP_BROKER_ID_OVERRIDE",$F$7,"DEEP_PERIOD_OVERRIDE",R$11)*1,"")))</f>
        <v/>
      </c>
      <c r="S234" s="17" t="str">
        <f>IF(ISNA($B234),"",IF($B234="","",IFERROR(_xll.BDP(TICKER,"DEEP_MEASURE_PERIOD_BROKER_VALUE","DEEP_MEASURE_ID_OVERRIDE",$C234,"DEEP_BROKER_ID_OVERRIDE",$F$7,"DEEP_PERIOD_OVERRIDE",S$11)*1,"")))</f>
        <v/>
      </c>
      <c r="T234" s="17" t="str">
        <f>IF(ISNA($B234),"",IF($B234="","",IFERROR(_xll.BDP(TICKER,"DEEP_MEASURE_PERIOD_BROKER_VALUE","DEEP_MEASURE_ID_OVERRIDE",$C234,"DEEP_BROKER_ID_OVERRIDE",$F$7,"DEEP_PERIOD_OVERRIDE",T$11)*1,"")))</f>
        <v/>
      </c>
      <c r="U234" s="17" t="str">
        <f>IF(ISNA($B234),"",IF($B234="","",IFERROR(_xll.BDP(TICKER,"DEEP_MEASURE_PERIOD_BROKER_VALUE","DEEP_MEASURE_ID_OVERRIDE",$C234,"DEEP_BROKER_ID_OVERRIDE",$F$7,"DEEP_PERIOD_OVERRIDE",U$11)*1,"")))</f>
        <v/>
      </c>
      <c r="V234" s="17" t="str">
        <f>IF(ISNA($B234),"",IF($B234="","",IFERROR(_xll.BDP(TICKER,"DEEP_MEASURE_PERIOD_BROKER_VALUE","DEEP_MEASURE_ID_OVERRIDE",$C234,"DEEP_BROKER_ID_OVERRIDE",$F$7,"DEEP_PERIOD_OVERRIDE",V$11)*1,"")))</f>
        <v/>
      </c>
      <c r="W234" s="17" t="str">
        <f>IF(ISNA($B234),"",IF($B234="","",IFERROR(_xll.BDP(TICKER,"DEEP_MEASURE_PERIOD_BROKER_VALUE","DEEP_MEASURE_ID_OVERRIDE",$C234,"DEEP_BROKER_ID_OVERRIDE",$F$7,"DEEP_PERIOD_OVERRIDE",W$11)*1,"")))</f>
        <v/>
      </c>
      <c r="X234" s="17" t="str">
        <f>IF(ISNA($B234),"",IF($B234="","",IFERROR(_xll.BDP(TICKER,"DEEP_MEASURE_PERIOD_BROKER_VALUE","DEEP_MEASURE_ID_OVERRIDE",$C234,"DEEP_BROKER_ID_OVERRIDE",$F$7,"DEEP_PERIOD_OVERRIDE",X$11)*1,"")))</f>
        <v/>
      </c>
      <c r="Y234" s="17" t="str">
        <f>IF(ISNA($B234),"",IF($B234="","",IFERROR(_xll.BDP(TICKER,"DEEP_MEASURE_PERIOD_BROKER_VALUE","DEEP_MEASURE_ID_OVERRIDE",$C234,"DEEP_BROKER_ID_OVERRIDE",$F$7,"DEEP_PERIOD_OVERRIDE",Y$11)*1,"")))</f>
        <v/>
      </c>
      <c r="Z234" s="17" t="str">
        <f>IF(ISNA($B234),"",IF($B234="","",IFERROR(_xll.BDP(TICKER,"DEEP_MEASURE_PERIOD_BROKER_VALUE","DEEP_MEASURE_ID_OVERRIDE",$C234,"DEEP_BROKER_ID_OVERRIDE",$F$7,"DEEP_PERIOD_OVERRIDE",Z$11)*1,"")))</f>
        <v/>
      </c>
      <c r="AA234" s="17" t="str">
        <f>IF(ISNA($B234),"",IF($B234="","",IFERROR(_xll.BDP(TICKER,"DEEP_MEASURE_PERIOD_BROKER_VALUE","DEEP_MEASURE_ID_OVERRIDE",$C234,"DEEP_BROKER_ID_OVERRIDE",$F$7,"DEEP_PERIOD_OVERRIDE",AA$11)*1,"")))</f>
        <v/>
      </c>
      <c r="AB234" s="17" t="str">
        <f>IF(ISNA($B234),"",IF($B234="","",IFERROR(_xll.BDP(TICKER,"DEEP_MEASURE_PERIOD_BROKER_VALUE","DEEP_MEASURE_ID_OVERRIDE",$C234,"DEEP_BROKER_ID_OVERRIDE",$F$7,"DEEP_PERIOD_OVERRIDE",AB$11)*1,"")))</f>
        <v/>
      </c>
      <c r="AC234" s="17" t="str">
        <f>IF(ISNA($B234),"",IF($B234="","",IFERROR(_xll.BDP(TICKER,"DEEP_MEASURE_PERIOD_BROKER_VALUE","DEEP_MEASURE_ID_OVERRIDE",$C234,"DEEP_BROKER_ID_OVERRIDE",$F$7,"DEEP_PERIOD_OVERRIDE",AC$11)*1,"")))</f>
        <v/>
      </c>
      <c r="AD234" s="17" t="str">
        <f>IF(ISNA($B234),"",IF($B234="","",IFERROR(_xll.BDP(TICKER,"DEEP_MEASURE_PERIOD_BROKER_VALUE","DEEP_MEASURE_ID_OVERRIDE",$C234,"DEEP_BROKER_ID_OVERRIDE",$F$7,"DEEP_PERIOD_OVERRIDE",AD$11)*1,"")))</f>
        <v/>
      </c>
      <c r="AE234" s="17" t="str">
        <f>IF(ISNA($B234),"",IF($B234="","",IFERROR(_xll.BDP(TICKER,"DEEP_MEASURE_PERIOD_BROKER_VALUE","DEEP_MEASURE_ID_OVERRIDE",$C234,"DEEP_BROKER_ID_OVERRIDE",$F$7,"DEEP_PERIOD_OVERRIDE",AE$11)*1,"")))</f>
        <v/>
      </c>
      <c r="AF234" s="17" t="str">
        <f>IF(ISNA($B234),"",IF($B234="","",IFERROR(_xll.BDP(TICKER,"DEEP_MEASURE_PERIOD_BROKER_VALUE","DEEP_MEASURE_ID_OVERRIDE",$C234,"DEEP_BROKER_ID_OVERRIDE",$F$7,"DEEP_PERIOD_OVERRIDE",AF$11)*1,"")))</f>
        <v/>
      </c>
      <c r="AG234" s="17" t="str">
        <f>IF(ISNA($B234),"",IF($B234="","",IFERROR(_xll.BDP(TICKER,"DEEP_MEASURE_PERIOD_BROKER_VALUE","DEEP_MEASURE_ID_OVERRIDE",$C234,"DEEP_BROKER_ID_OVERRIDE",$F$7,"DEEP_PERIOD_OVERRIDE",AG$11)*1,"")))</f>
        <v/>
      </c>
      <c r="AH234" s="17" t="str">
        <f>IF(ISNA($B234),"",IF($B234="","",IFERROR(_xll.BDP(TICKER,"DEEP_MEASURE_PERIOD_BROKER_VALUE","DEEP_MEASURE_ID_OVERRIDE",$C234,"DEEP_BROKER_ID_OVERRIDE",$F$7,"DEEP_PERIOD_OVERRIDE",AH$11)*1,"")))</f>
        <v/>
      </c>
      <c r="AI234" s="17" t="str">
        <f>IF(ISNA($B234),"",IF($B234="","",IFERROR(_xll.BDP(TICKER,"DEEP_MEASURE_PERIOD_BROKER_VALUE","DEEP_MEASURE_ID_OVERRIDE",$C234,"DEEP_BROKER_ID_OVERRIDE",$F$7,"DEEP_PERIOD_OVERRIDE",AI$11)*1,"")))</f>
        <v/>
      </c>
      <c r="AJ234" s="17" t="str">
        <f>IF(ISNA($B234),"",IF($B234="","",IFERROR(_xll.BDP(TICKER,"DEEP_MEASURE_PERIOD_BROKER_VALUE","DEEP_MEASURE_ID_OVERRIDE",$C234,"DEEP_BROKER_ID_OVERRIDE",$F$7,"DEEP_PERIOD_OVERRIDE",AJ$11)*1,"")))</f>
        <v/>
      </c>
      <c r="AK234" s="17" t="str">
        <f>IF(ISNA($B234),"",IF($B234="","",IFERROR(_xll.BDP(TICKER,"DEEP_MEASURE_PERIOD_BROKER_VALUE","DEEP_MEASURE_ID_OVERRIDE",$C234,"DEEP_BROKER_ID_OVERRIDE",$F$7,"DEEP_PERIOD_OVERRIDE",AK$11)*1,"")))</f>
        <v/>
      </c>
      <c r="AL234" s="17" t="str">
        <f>IF(ISNA($B234),"",IF($B234="","",IFERROR(_xll.BDP(TICKER,"DEEP_MEASURE_PERIOD_BROKER_VALUE","DEEP_MEASURE_ID_OVERRIDE",$C234,"DEEP_BROKER_ID_OVERRIDE",$F$7,"DEEP_PERIOD_OVERRIDE",AL$11)*1,"")))</f>
        <v/>
      </c>
      <c r="AM234" s="17" t="str">
        <f>IF(ISNA($B234),"",IF($B234="","",IFERROR(_xll.BDP(TICKER,"DEEP_MEASURE_PERIOD_BROKER_VALUE","DEEP_MEASURE_ID_OVERRIDE",$C234,"DEEP_BROKER_ID_OVERRIDE",$F$7,"DEEP_PERIOD_OVERRIDE",AM$11)*1,"")))</f>
        <v/>
      </c>
      <c r="AN234" s="17" t="str">
        <f>IF(ISNA($B234),"",IF($B234="","",IFERROR(_xll.BDP(TICKER,"DEEP_MEASURE_PERIOD_BROKER_VALUE","DEEP_MEASURE_ID_OVERRIDE",$C234,"DEEP_BROKER_ID_OVERRIDE",$F$7,"DEEP_PERIOD_OVERRIDE",AN$11)*1,"")))</f>
        <v/>
      </c>
      <c r="AO234" s="17" t="str">
        <f>IF(ISNA($B234),"",IF($B234="","",IFERROR(_xll.BDP(TICKER,"DEEP_MEASURE_PERIOD_BROKER_VALUE","DEEP_MEASURE_ID_OVERRIDE",$C234,"DEEP_BROKER_ID_OVERRIDE",$F$7,"DEEP_PERIOD_OVERRIDE",AO$11)*1,"")))</f>
        <v/>
      </c>
      <c r="AP234" s="17" t="str">
        <f>IF(ISNA($B234),"",IF($B234="","",IFERROR(_xll.BDP(TICKER,"DEEP_MEASURE_PERIOD_BROKER_VALUE","DEEP_MEASURE_ID_OVERRIDE",$C234,"DEEP_BROKER_ID_OVERRIDE",$F$7,"DEEP_PERIOD_OVERRIDE",AP$11)*1,"")))</f>
        <v/>
      </c>
      <c r="AQ234" s="17" t="str">
        <f>IF(ISNA($B234),"",IF($B234="","",IFERROR(_xll.BDP(TICKER,"DEEP_MEASURE_PERIOD_BROKER_VALUE","DEEP_MEASURE_ID_OVERRIDE",$C234,"DEEP_BROKER_ID_OVERRIDE",$F$7,"DEEP_PERIOD_OVERRIDE",AQ$11)*1,"")))</f>
        <v/>
      </c>
    </row>
    <row r="235" spans="8:43" x14ac:dyDescent="0.25">
      <c r="H235" t="str">
        <f t="shared" si="5"/>
        <v/>
      </c>
      <c r="I235" s="17" t="str">
        <f>IF(ISNA($B235),"",IF($B235="","",IFERROR(_xll.BDP(TICKER,"DEEP_MEASURE_PERIOD_BROKER_VALUE","DEEP_MEASURE_ID_OVERRIDE",$C235,"DEEP_BROKER_ID_OVERRIDE",$F$7,"DEEP_PERIOD_OVERRIDE",I$11)*1,"")))</f>
        <v/>
      </c>
      <c r="J235" s="17" t="str">
        <f>IF(ISNA($B235),"",IF($B235="","",IFERROR(_xll.BDP(TICKER,"DEEP_MEASURE_PERIOD_BROKER_VALUE","DEEP_MEASURE_ID_OVERRIDE",$C235,"DEEP_BROKER_ID_OVERRIDE",$F$7,"DEEP_PERIOD_OVERRIDE",J$11)*1,"")))</f>
        <v/>
      </c>
      <c r="K235" s="17" t="str">
        <f>IF(ISNA($B235),"",IF($B235="","",IFERROR(_xll.BDP(TICKER,"DEEP_MEASURE_PERIOD_BROKER_VALUE","DEEP_MEASURE_ID_OVERRIDE",$C235,"DEEP_BROKER_ID_OVERRIDE",$F$7,"DEEP_PERIOD_OVERRIDE",K$11)*1,"")))</f>
        <v/>
      </c>
      <c r="L235" s="17" t="str">
        <f>IF(ISNA($B235),"",IF($B235="","",IFERROR(_xll.BDP(TICKER,"DEEP_MEASURE_PERIOD_BROKER_VALUE","DEEP_MEASURE_ID_OVERRIDE",$C235,"DEEP_BROKER_ID_OVERRIDE",$F$7,"DEEP_PERIOD_OVERRIDE",L$11)*1,"")))</f>
        <v/>
      </c>
      <c r="M235" s="17" t="str">
        <f>IF(ISNA($B235),"",IF($B235="","",IFERROR(_xll.BDP(TICKER,"DEEP_MEASURE_PERIOD_BROKER_VALUE","DEEP_MEASURE_ID_OVERRIDE",$C235,"DEEP_BROKER_ID_OVERRIDE",$F$7,"DEEP_PERIOD_OVERRIDE",M$11)*1,"")))</f>
        <v/>
      </c>
      <c r="N235" s="17" t="str">
        <f>IF(ISNA($B235),"",IF($B235="","",IFERROR(_xll.BDP(TICKER,"DEEP_MEASURE_PERIOD_BROKER_VALUE","DEEP_MEASURE_ID_OVERRIDE",$C235,"DEEP_BROKER_ID_OVERRIDE",$F$7,"DEEP_PERIOD_OVERRIDE",N$11)*1,"")))</f>
        <v/>
      </c>
      <c r="O235" s="17" t="str">
        <f>IF(ISNA($B235),"",IF($B235="","",IFERROR(_xll.BDP(TICKER,"DEEP_MEASURE_PERIOD_BROKER_VALUE","DEEP_MEASURE_ID_OVERRIDE",$C235,"DEEP_BROKER_ID_OVERRIDE",$F$7,"DEEP_PERIOD_OVERRIDE",O$11)*1,"")))</f>
        <v/>
      </c>
      <c r="P235" s="17" t="str">
        <f>IF(ISNA($B235),"",IF($B235="","",IFERROR(_xll.BDP(TICKER,"DEEP_MEASURE_PERIOD_BROKER_VALUE","DEEP_MEASURE_ID_OVERRIDE",$C235,"DEEP_BROKER_ID_OVERRIDE",$F$7,"DEEP_PERIOD_OVERRIDE",P$11)*1,"")))</f>
        <v/>
      </c>
      <c r="Q235" s="17" t="str">
        <f>IF(ISNA($B235),"",IF($B235="","",IFERROR(_xll.BDP(TICKER,"DEEP_MEASURE_PERIOD_BROKER_VALUE","DEEP_MEASURE_ID_OVERRIDE",$C235,"DEEP_BROKER_ID_OVERRIDE",$F$7,"DEEP_PERIOD_OVERRIDE",Q$11)*1,"")))</f>
        <v/>
      </c>
      <c r="R235" s="17" t="str">
        <f>IF(ISNA($B235),"",IF($B235="","",IFERROR(_xll.BDP(TICKER,"DEEP_MEASURE_PERIOD_BROKER_VALUE","DEEP_MEASURE_ID_OVERRIDE",$C235,"DEEP_BROKER_ID_OVERRIDE",$F$7,"DEEP_PERIOD_OVERRIDE",R$11)*1,"")))</f>
        <v/>
      </c>
      <c r="S235" s="17" t="str">
        <f>IF(ISNA($B235),"",IF($B235="","",IFERROR(_xll.BDP(TICKER,"DEEP_MEASURE_PERIOD_BROKER_VALUE","DEEP_MEASURE_ID_OVERRIDE",$C235,"DEEP_BROKER_ID_OVERRIDE",$F$7,"DEEP_PERIOD_OVERRIDE",S$11)*1,"")))</f>
        <v/>
      </c>
      <c r="T235" s="17" t="str">
        <f>IF(ISNA($B235),"",IF($B235="","",IFERROR(_xll.BDP(TICKER,"DEEP_MEASURE_PERIOD_BROKER_VALUE","DEEP_MEASURE_ID_OVERRIDE",$C235,"DEEP_BROKER_ID_OVERRIDE",$F$7,"DEEP_PERIOD_OVERRIDE",T$11)*1,"")))</f>
        <v/>
      </c>
      <c r="U235" s="17" t="str">
        <f>IF(ISNA($B235),"",IF($B235="","",IFERROR(_xll.BDP(TICKER,"DEEP_MEASURE_PERIOD_BROKER_VALUE","DEEP_MEASURE_ID_OVERRIDE",$C235,"DEEP_BROKER_ID_OVERRIDE",$F$7,"DEEP_PERIOD_OVERRIDE",U$11)*1,"")))</f>
        <v/>
      </c>
      <c r="V235" s="17" t="str">
        <f>IF(ISNA($B235),"",IF($B235="","",IFERROR(_xll.BDP(TICKER,"DEEP_MEASURE_PERIOD_BROKER_VALUE","DEEP_MEASURE_ID_OVERRIDE",$C235,"DEEP_BROKER_ID_OVERRIDE",$F$7,"DEEP_PERIOD_OVERRIDE",V$11)*1,"")))</f>
        <v/>
      </c>
      <c r="W235" s="17" t="str">
        <f>IF(ISNA($B235),"",IF($B235="","",IFERROR(_xll.BDP(TICKER,"DEEP_MEASURE_PERIOD_BROKER_VALUE","DEEP_MEASURE_ID_OVERRIDE",$C235,"DEEP_BROKER_ID_OVERRIDE",$F$7,"DEEP_PERIOD_OVERRIDE",W$11)*1,"")))</f>
        <v/>
      </c>
      <c r="X235" s="17" t="str">
        <f>IF(ISNA($B235),"",IF($B235="","",IFERROR(_xll.BDP(TICKER,"DEEP_MEASURE_PERIOD_BROKER_VALUE","DEEP_MEASURE_ID_OVERRIDE",$C235,"DEEP_BROKER_ID_OVERRIDE",$F$7,"DEEP_PERIOD_OVERRIDE",X$11)*1,"")))</f>
        <v/>
      </c>
      <c r="Y235" s="17" t="str">
        <f>IF(ISNA($B235),"",IF($B235="","",IFERROR(_xll.BDP(TICKER,"DEEP_MEASURE_PERIOD_BROKER_VALUE","DEEP_MEASURE_ID_OVERRIDE",$C235,"DEEP_BROKER_ID_OVERRIDE",$F$7,"DEEP_PERIOD_OVERRIDE",Y$11)*1,"")))</f>
        <v/>
      </c>
      <c r="Z235" s="17" t="str">
        <f>IF(ISNA($B235),"",IF($B235="","",IFERROR(_xll.BDP(TICKER,"DEEP_MEASURE_PERIOD_BROKER_VALUE","DEEP_MEASURE_ID_OVERRIDE",$C235,"DEEP_BROKER_ID_OVERRIDE",$F$7,"DEEP_PERIOD_OVERRIDE",Z$11)*1,"")))</f>
        <v/>
      </c>
      <c r="AA235" s="17" t="str">
        <f>IF(ISNA($B235),"",IF($B235="","",IFERROR(_xll.BDP(TICKER,"DEEP_MEASURE_PERIOD_BROKER_VALUE","DEEP_MEASURE_ID_OVERRIDE",$C235,"DEEP_BROKER_ID_OVERRIDE",$F$7,"DEEP_PERIOD_OVERRIDE",AA$11)*1,"")))</f>
        <v/>
      </c>
      <c r="AB235" s="17" t="str">
        <f>IF(ISNA($B235),"",IF($B235="","",IFERROR(_xll.BDP(TICKER,"DEEP_MEASURE_PERIOD_BROKER_VALUE","DEEP_MEASURE_ID_OVERRIDE",$C235,"DEEP_BROKER_ID_OVERRIDE",$F$7,"DEEP_PERIOD_OVERRIDE",AB$11)*1,"")))</f>
        <v/>
      </c>
      <c r="AC235" s="17" t="str">
        <f>IF(ISNA($B235),"",IF($B235="","",IFERROR(_xll.BDP(TICKER,"DEEP_MEASURE_PERIOD_BROKER_VALUE","DEEP_MEASURE_ID_OVERRIDE",$C235,"DEEP_BROKER_ID_OVERRIDE",$F$7,"DEEP_PERIOD_OVERRIDE",AC$11)*1,"")))</f>
        <v/>
      </c>
      <c r="AD235" s="17" t="str">
        <f>IF(ISNA($B235),"",IF($B235="","",IFERROR(_xll.BDP(TICKER,"DEEP_MEASURE_PERIOD_BROKER_VALUE","DEEP_MEASURE_ID_OVERRIDE",$C235,"DEEP_BROKER_ID_OVERRIDE",$F$7,"DEEP_PERIOD_OVERRIDE",AD$11)*1,"")))</f>
        <v/>
      </c>
      <c r="AE235" s="17" t="str">
        <f>IF(ISNA($B235),"",IF($B235="","",IFERROR(_xll.BDP(TICKER,"DEEP_MEASURE_PERIOD_BROKER_VALUE","DEEP_MEASURE_ID_OVERRIDE",$C235,"DEEP_BROKER_ID_OVERRIDE",$F$7,"DEEP_PERIOD_OVERRIDE",AE$11)*1,"")))</f>
        <v/>
      </c>
      <c r="AF235" s="17" t="str">
        <f>IF(ISNA($B235),"",IF($B235="","",IFERROR(_xll.BDP(TICKER,"DEEP_MEASURE_PERIOD_BROKER_VALUE","DEEP_MEASURE_ID_OVERRIDE",$C235,"DEEP_BROKER_ID_OVERRIDE",$F$7,"DEEP_PERIOD_OVERRIDE",AF$11)*1,"")))</f>
        <v/>
      </c>
      <c r="AG235" s="17" t="str">
        <f>IF(ISNA($B235),"",IF($B235="","",IFERROR(_xll.BDP(TICKER,"DEEP_MEASURE_PERIOD_BROKER_VALUE","DEEP_MEASURE_ID_OVERRIDE",$C235,"DEEP_BROKER_ID_OVERRIDE",$F$7,"DEEP_PERIOD_OVERRIDE",AG$11)*1,"")))</f>
        <v/>
      </c>
      <c r="AH235" s="17" t="str">
        <f>IF(ISNA($B235),"",IF($B235="","",IFERROR(_xll.BDP(TICKER,"DEEP_MEASURE_PERIOD_BROKER_VALUE","DEEP_MEASURE_ID_OVERRIDE",$C235,"DEEP_BROKER_ID_OVERRIDE",$F$7,"DEEP_PERIOD_OVERRIDE",AH$11)*1,"")))</f>
        <v/>
      </c>
      <c r="AI235" s="17" t="str">
        <f>IF(ISNA($B235),"",IF($B235="","",IFERROR(_xll.BDP(TICKER,"DEEP_MEASURE_PERIOD_BROKER_VALUE","DEEP_MEASURE_ID_OVERRIDE",$C235,"DEEP_BROKER_ID_OVERRIDE",$F$7,"DEEP_PERIOD_OVERRIDE",AI$11)*1,"")))</f>
        <v/>
      </c>
      <c r="AJ235" s="17" t="str">
        <f>IF(ISNA($B235),"",IF($B235="","",IFERROR(_xll.BDP(TICKER,"DEEP_MEASURE_PERIOD_BROKER_VALUE","DEEP_MEASURE_ID_OVERRIDE",$C235,"DEEP_BROKER_ID_OVERRIDE",$F$7,"DEEP_PERIOD_OVERRIDE",AJ$11)*1,"")))</f>
        <v/>
      </c>
      <c r="AK235" s="17" t="str">
        <f>IF(ISNA($B235),"",IF($B235="","",IFERROR(_xll.BDP(TICKER,"DEEP_MEASURE_PERIOD_BROKER_VALUE","DEEP_MEASURE_ID_OVERRIDE",$C235,"DEEP_BROKER_ID_OVERRIDE",$F$7,"DEEP_PERIOD_OVERRIDE",AK$11)*1,"")))</f>
        <v/>
      </c>
      <c r="AL235" s="17" t="str">
        <f>IF(ISNA($B235),"",IF($B235="","",IFERROR(_xll.BDP(TICKER,"DEEP_MEASURE_PERIOD_BROKER_VALUE","DEEP_MEASURE_ID_OVERRIDE",$C235,"DEEP_BROKER_ID_OVERRIDE",$F$7,"DEEP_PERIOD_OVERRIDE",AL$11)*1,"")))</f>
        <v/>
      </c>
      <c r="AM235" s="17" t="str">
        <f>IF(ISNA($B235),"",IF($B235="","",IFERROR(_xll.BDP(TICKER,"DEEP_MEASURE_PERIOD_BROKER_VALUE","DEEP_MEASURE_ID_OVERRIDE",$C235,"DEEP_BROKER_ID_OVERRIDE",$F$7,"DEEP_PERIOD_OVERRIDE",AM$11)*1,"")))</f>
        <v/>
      </c>
      <c r="AN235" s="17" t="str">
        <f>IF(ISNA($B235),"",IF($B235="","",IFERROR(_xll.BDP(TICKER,"DEEP_MEASURE_PERIOD_BROKER_VALUE","DEEP_MEASURE_ID_OVERRIDE",$C235,"DEEP_BROKER_ID_OVERRIDE",$F$7,"DEEP_PERIOD_OVERRIDE",AN$11)*1,"")))</f>
        <v/>
      </c>
      <c r="AO235" s="17" t="str">
        <f>IF(ISNA($B235),"",IF($B235="","",IFERROR(_xll.BDP(TICKER,"DEEP_MEASURE_PERIOD_BROKER_VALUE","DEEP_MEASURE_ID_OVERRIDE",$C235,"DEEP_BROKER_ID_OVERRIDE",$F$7,"DEEP_PERIOD_OVERRIDE",AO$11)*1,"")))</f>
        <v/>
      </c>
      <c r="AP235" s="17" t="str">
        <f>IF(ISNA($B235),"",IF($B235="","",IFERROR(_xll.BDP(TICKER,"DEEP_MEASURE_PERIOD_BROKER_VALUE","DEEP_MEASURE_ID_OVERRIDE",$C235,"DEEP_BROKER_ID_OVERRIDE",$F$7,"DEEP_PERIOD_OVERRIDE",AP$11)*1,"")))</f>
        <v/>
      </c>
      <c r="AQ235" s="17" t="str">
        <f>IF(ISNA($B235),"",IF($B235="","",IFERROR(_xll.BDP(TICKER,"DEEP_MEASURE_PERIOD_BROKER_VALUE","DEEP_MEASURE_ID_OVERRIDE",$C235,"DEEP_BROKER_ID_OVERRIDE",$F$7,"DEEP_PERIOD_OVERRIDE",AQ$11)*1,"")))</f>
        <v/>
      </c>
    </row>
    <row r="236" spans="8:43" x14ac:dyDescent="0.25">
      <c r="H236" t="str">
        <f t="shared" si="5"/>
        <v/>
      </c>
      <c r="I236" s="17" t="str">
        <f>IF(ISNA($B236),"",IF($B236="","",IFERROR(_xll.BDP(TICKER,"DEEP_MEASURE_PERIOD_BROKER_VALUE","DEEP_MEASURE_ID_OVERRIDE",$C236,"DEEP_BROKER_ID_OVERRIDE",$F$7,"DEEP_PERIOD_OVERRIDE",I$11)*1,"")))</f>
        <v/>
      </c>
      <c r="J236" s="17" t="str">
        <f>IF(ISNA($B236),"",IF($B236="","",IFERROR(_xll.BDP(TICKER,"DEEP_MEASURE_PERIOD_BROKER_VALUE","DEEP_MEASURE_ID_OVERRIDE",$C236,"DEEP_BROKER_ID_OVERRIDE",$F$7,"DEEP_PERIOD_OVERRIDE",J$11)*1,"")))</f>
        <v/>
      </c>
      <c r="K236" s="17" t="str">
        <f>IF(ISNA($B236),"",IF($B236="","",IFERROR(_xll.BDP(TICKER,"DEEP_MEASURE_PERIOD_BROKER_VALUE","DEEP_MEASURE_ID_OVERRIDE",$C236,"DEEP_BROKER_ID_OVERRIDE",$F$7,"DEEP_PERIOD_OVERRIDE",K$11)*1,"")))</f>
        <v/>
      </c>
      <c r="L236" s="17" t="str">
        <f>IF(ISNA($B236),"",IF($B236="","",IFERROR(_xll.BDP(TICKER,"DEEP_MEASURE_PERIOD_BROKER_VALUE","DEEP_MEASURE_ID_OVERRIDE",$C236,"DEEP_BROKER_ID_OVERRIDE",$F$7,"DEEP_PERIOD_OVERRIDE",L$11)*1,"")))</f>
        <v/>
      </c>
      <c r="M236" s="17" t="str">
        <f>IF(ISNA($B236),"",IF($B236="","",IFERROR(_xll.BDP(TICKER,"DEEP_MEASURE_PERIOD_BROKER_VALUE","DEEP_MEASURE_ID_OVERRIDE",$C236,"DEEP_BROKER_ID_OVERRIDE",$F$7,"DEEP_PERIOD_OVERRIDE",M$11)*1,"")))</f>
        <v/>
      </c>
      <c r="N236" s="17" t="str">
        <f>IF(ISNA($B236),"",IF($B236="","",IFERROR(_xll.BDP(TICKER,"DEEP_MEASURE_PERIOD_BROKER_VALUE","DEEP_MEASURE_ID_OVERRIDE",$C236,"DEEP_BROKER_ID_OVERRIDE",$F$7,"DEEP_PERIOD_OVERRIDE",N$11)*1,"")))</f>
        <v/>
      </c>
      <c r="O236" s="17" t="str">
        <f>IF(ISNA($B236),"",IF($B236="","",IFERROR(_xll.BDP(TICKER,"DEEP_MEASURE_PERIOD_BROKER_VALUE","DEEP_MEASURE_ID_OVERRIDE",$C236,"DEEP_BROKER_ID_OVERRIDE",$F$7,"DEEP_PERIOD_OVERRIDE",O$11)*1,"")))</f>
        <v/>
      </c>
      <c r="P236" s="17" t="str">
        <f>IF(ISNA($B236),"",IF($B236="","",IFERROR(_xll.BDP(TICKER,"DEEP_MEASURE_PERIOD_BROKER_VALUE","DEEP_MEASURE_ID_OVERRIDE",$C236,"DEEP_BROKER_ID_OVERRIDE",$F$7,"DEEP_PERIOD_OVERRIDE",P$11)*1,"")))</f>
        <v/>
      </c>
      <c r="Q236" s="17" t="str">
        <f>IF(ISNA($B236),"",IF($B236="","",IFERROR(_xll.BDP(TICKER,"DEEP_MEASURE_PERIOD_BROKER_VALUE","DEEP_MEASURE_ID_OVERRIDE",$C236,"DEEP_BROKER_ID_OVERRIDE",$F$7,"DEEP_PERIOD_OVERRIDE",Q$11)*1,"")))</f>
        <v/>
      </c>
      <c r="R236" s="17" t="str">
        <f>IF(ISNA($B236),"",IF($B236="","",IFERROR(_xll.BDP(TICKER,"DEEP_MEASURE_PERIOD_BROKER_VALUE","DEEP_MEASURE_ID_OVERRIDE",$C236,"DEEP_BROKER_ID_OVERRIDE",$F$7,"DEEP_PERIOD_OVERRIDE",R$11)*1,"")))</f>
        <v/>
      </c>
      <c r="S236" s="17" t="str">
        <f>IF(ISNA($B236),"",IF($B236="","",IFERROR(_xll.BDP(TICKER,"DEEP_MEASURE_PERIOD_BROKER_VALUE","DEEP_MEASURE_ID_OVERRIDE",$C236,"DEEP_BROKER_ID_OVERRIDE",$F$7,"DEEP_PERIOD_OVERRIDE",S$11)*1,"")))</f>
        <v/>
      </c>
      <c r="T236" s="17" t="str">
        <f>IF(ISNA($B236),"",IF($B236="","",IFERROR(_xll.BDP(TICKER,"DEEP_MEASURE_PERIOD_BROKER_VALUE","DEEP_MEASURE_ID_OVERRIDE",$C236,"DEEP_BROKER_ID_OVERRIDE",$F$7,"DEEP_PERIOD_OVERRIDE",T$11)*1,"")))</f>
        <v/>
      </c>
      <c r="U236" s="17" t="str">
        <f>IF(ISNA($B236),"",IF($B236="","",IFERROR(_xll.BDP(TICKER,"DEEP_MEASURE_PERIOD_BROKER_VALUE","DEEP_MEASURE_ID_OVERRIDE",$C236,"DEEP_BROKER_ID_OVERRIDE",$F$7,"DEEP_PERIOD_OVERRIDE",U$11)*1,"")))</f>
        <v/>
      </c>
      <c r="V236" s="17" t="str">
        <f>IF(ISNA($B236),"",IF($B236="","",IFERROR(_xll.BDP(TICKER,"DEEP_MEASURE_PERIOD_BROKER_VALUE","DEEP_MEASURE_ID_OVERRIDE",$C236,"DEEP_BROKER_ID_OVERRIDE",$F$7,"DEEP_PERIOD_OVERRIDE",V$11)*1,"")))</f>
        <v/>
      </c>
      <c r="W236" s="17" t="str">
        <f>IF(ISNA($B236),"",IF($B236="","",IFERROR(_xll.BDP(TICKER,"DEEP_MEASURE_PERIOD_BROKER_VALUE","DEEP_MEASURE_ID_OVERRIDE",$C236,"DEEP_BROKER_ID_OVERRIDE",$F$7,"DEEP_PERIOD_OVERRIDE",W$11)*1,"")))</f>
        <v/>
      </c>
      <c r="X236" s="17" t="str">
        <f>IF(ISNA($B236),"",IF($B236="","",IFERROR(_xll.BDP(TICKER,"DEEP_MEASURE_PERIOD_BROKER_VALUE","DEEP_MEASURE_ID_OVERRIDE",$C236,"DEEP_BROKER_ID_OVERRIDE",$F$7,"DEEP_PERIOD_OVERRIDE",X$11)*1,"")))</f>
        <v/>
      </c>
      <c r="Y236" s="17" t="str">
        <f>IF(ISNA($B236),"",IF($B236="","",IFERROR(_xll.BDP(TICKER,"DEEP_MEASURE_PERIOD_BROKER_VALUE","DEEP_MEASURE_ID_OVERRIDE",$C236,"DEEP_BROKER_ID_OVERRIDE",$F$7,"DEEP_PERIOD_OVERRIDE",Y$11)*1,"")))</f>
        <v/>
      </c>
      <c r="Z236" s="17" t="str">
        <f>IF(ISNA($B236),"",IF($B236="","",IFERROR(_xll.BDP(TICKER,"DEEP_MEASURE_PERIOD_BROKER_VALUE","DEEP_MEASURE_ID_OVERRIDE",$C236,"DEEP_BROKER_ID_OVERRIDE",$F$7,"DEEP_PERIOD_OVERRIDE",Z$11)*1,"")))</f>
        <v/>
      </c>
      <c r="AA236" s="17" t="str">
        <f>IF(ISNA($B236),"",IF($B236="","",IFERROR(_xll.BDP(TICKER,"DEEP_MEASURE_PERIOD_BROKER_VALUE","DEEP_MEASURE_ID_OVERRIDE",$C236,"DEEP_BROKER_ID_OVERRIDE",$F$7,"DEEP_PERIOD_OVERRIDE",AA$11)*1,"")))</f>
        <v/>
      </c>
      <c r="AB236" s="17" t="str">
        <f>IF(ISNA($B236),"",IF($B236="","",IFERROR(_xll.BDP(TICKER,"DEEP_MEASURE_PERIOD_BROKER_VALUE","DEEP_MEASURE_ID_OVERRIDE",$C236,"DEEP_BROKER_ID_OVERRIDE",$F$7,"DEEP_PERIOD_OVERRIDE",AB$11)*1,"")))</f>
        <v/>
      </c>
      <c r="AC236" s="17" t="str">
        <f>IF(ISNA($B236),"",IF($B236="","",IFERROR(_xll.BDP(TICKER,"DEEP_MEASURE_PERIOD_BROKER_VALUE","DEEP_MEASURE_ID_OVERRIDE",$C236,"DEEP_BROKER_ID_OVERRIDE",$F$7,"DEEP_PERIOD_OVERRIDE",AC$11)*1,"")))</f>
        <v/>
      </c>
      <c r="AD236" s="17" t="str">
        <f>IF(ISNA($B236),"",IF($B236="","",IFERROR(_xll.BDP(TICKER,"DEEP_MEASURE_PERIOD_BROKER_VALUE","DEEP_MEASURE_ID_OVERRIDE",$C236,"DEEP_BROKER_ID_OVERRIDE",$F$7,"DEEP_PERIOD_OVERRIDE",AD$11)*1,"")))</f>
        <v/>
      </c>
      <c r="AE236" s="17" t="str">
        <f>IF(ISNA($B236),"",IF($B236="","",IFERROR(_xll.BDP(TICKER,"DEEP_MEASURE_PERIOD_BROKER_VALUE","DEEP_MEASURE_ID_OVERRIDE",$C236,"DEEP_BROKER_ID_OVERRIDE",$F$7,"DEEP_PERIOD_OVERRIDE",AE$11)*1,"")))</f>
        <v/>
      </c>
      <c r="AF236" s="17" t="str">
        <f>IF(ISNA($B236),"",IF($B236="","",IFERROR(_xll.BDP(TICKER,"DEEP_MEASURE_PERIOD_BROKER_VALUE","DEEP_MEASURE_ID_OVERRIDE",$C236,"DEEP_BROKER_ID_OVERRIDE",$F$7,"DEEP_PERIOD_OVERRIDE",AF$11)*1,"")))</f>
        <v/>
      </c>
      <c r="AG236" s="17" t="str">
        <f>IF(ISNA($B236),"",IF($B236="","",IFERROR(_xll.BDP(TICKER,"DEEP_MEASURE_PERIOD_BROKER_VALUE","DEEP_MEASURE_ID_OVERRIDE",$C236,"DEEP_BROKER_ID_OVERRIDE",$F$7,"DEEP_PERIOD_OVERRIDE",AG$11)*1,"")))</f>
        <v/>
      </c>
      <c r="AH236" s="17" t="str">
        <f>IF(ISNA($B236),"",IF($B236="","",IFERROR(_xll.BDP(TICKER,"DEEP_MEASURE_PERIOD_BROKER_VALUE","DEEP_MEASURE_ID_OVERRIDE",$C236,"DEEP_BROKER_ID_OVERRIDE",$F$7,"DEEP_PERIOD_OVERRIDE",AH$11)*1,"")))</f>
        <v/>
      </c>
      <c r="AI236" s="17" t="str">
        <f>IF(ISNA($B236),"",IF($B236="","",IFERROR(_xll.BDP(TICKER,"DEEP_MEASURE_PERIOD_BROKER_VALUE","DEEP_MEASURE_ID_OVERRIDE",$C236,"DEEP_BROKER_ID_OVERRIDE",$F$7,"DEEP_PERIOD_OVERRIDE",AI$11)*1,"")))</f>
        <v/>
      </c>
      <c r="AJ236" s="17" t="str">
        <f>IF(ISNA($B236),"",IF($B236="","",IFERROR(_xll.BDP(TICKER,"DEEP_MEASURE_PERIOD_BROKER_VALUE","DEEP_MEASURE_ID_OVERRIDE",$C236,"DEEP_BROKER_ID_OVERRIDE",$F$7,"DEEP_PERIOD_OVERRIDE",AJ$11)*1,"")))</f>
        <v/>
      </c>
      <c r="AK236" s="17" t="str">
        <f>IF(ISNA($B236),"",IF($B236="","",IFERROR(_xll.BDP(TICKER,"DEEP_MEASURE_PERIOD_BROKER_VALUE","DEEP_MEASURE_ID_OVERRIDE",$C236,"DEEP_BROKER_ID_OVERRIDE",$F$7,"DEEP_PERIOD_OVERRIDE",AK$11)*1,"")))</f>
        <v/>
      </c>
      <c r="AL236" s="17" t="str">
        <f>IF(ISNA($B236),"",IF($B236="","",IFERROR(_xll.BDP(TICKER,"DEEP_MEASURE_PERIOD_BROKER_VALUE","DEEP_MEASURE_ID_OVERRIDE",$C236,"DEEP_BROKER_ID_OVERRIDE",$F$7,"DEEP_PERIOD_OVERRIDE",AL$11)*1,"")))</f>
        <v/>
      </c>
      <c r="AM236" s="17" t="str">
        <f>IF(ISNA($B236),"",IF($B236="","",IFERROR(_xll.BDP(TICKER,"DEEP_MEASURE_PERIOD_BROKER_VALUE","DEEP_MEASURE_ID_OVERRIDE",$C236,"DEEP_BROKER_ID_OVERRIDE",$F$7,"DEEP_PERIOD_OVERRIDE",AM$11)*1,"")))</f>
        <v/>
      </c>
      <c r="AN236" s="17" t="str">
        <f>IF(ISNA($B236),"",IF($B236="","",IFERROR(_xll.BDP(TICKER,"DEEP_MEASURE_PERIOD_BROKER_VALUE","DEEP_MEASURE_ID_OVERRIDE",$C236,"DEEP_BROKER_ID_OVERRIDE",$F$7,"DEEP_PERIOD_OVERRIDE",AN$11)*1,"")))</f>
        <v/>
      </c>
      <c r="AO236" s="17" t="str">
        <f>IF(ISNA($B236),"",IF($B236="","",IFERROR(_xll.BDP(TICKER,"DEEP_MEASURE_PERIOD_BROKER_VALUE","DEEP_MEASURE_ID_OVERRIDE",$C236,"DEEP_BROKER_ID_OVERRIDE",$F$7,"DEEP_PERIOD_OVERRIDE",AO$11)*1,"")))</f>
        <v/>
      </c>
      <c r="AP236" s="17" t="str">
        <f>IF(ISNA($B236),"",IF($B236="","",IFERROR(_xll.BDP(TICKER,"DEEP_MEASURE_PERIOD_BROKER_VALUE","DEEP_MEASURE_ID_OVERRIDE",$C236,"DEEP_BROKER_ID_OVERRIDE",$F$7,"DEEP_PERIOD_OVERRIDE",AP$11)*1,"")))</f>
        <v/>
      </c>
      <c r="AQ236" s="17" t="str">
        <f>IF(ISNA($B236),"",IF($B236="","",IFERROR(_xll.BDP(TICKER,"DEEP_MEASURE_PERIOD_BROKER_VALUE","DEEP_MEASURE_ID_OVERRIDE",$C236,"DEEP_BROKER_ID_OVERRIDE",$F$7,"DEEP_PERIOD_OVERRIDE",AQ$11)*1,"")))</f>
        <v/>
      </c>
    </row>
    <row r="237" spans="8:43" x14ac:dyDescent="0.25">
      <c r="H237" t="str">
        <f t="shared" si="5"/>
        <v/>
      </c>
      <c r="I237" s="17" t="str">
        <f>IF(ISNA($B237),"",IF($B237="","",IFERROR(_xll.BDP(TICKER,"DEEP_MEASURE_PERIOD_BROKER_VALUE","DEEP_MEASURE_ID_OVERRIDE",$C237,"DEEP_BROKER_ID_OVERRIDE",$F$7,"DEEP_PERIOD_OVERRIDE",I$11)*1,"")))</f>
        <v/>
      </c>
      <c r="J237" s="17" t="str">
        <f>IF(ISNA($B237),"",IF($B237="","",IFERROR(_xll.BDP(TICKER,"DEEP_MEASURE_PERIOD_BROKER_VALUE","DEEP_MEASURE_ID_OVERRIDE",$C237,"DEEP_BROKER_ID_OVERRIDE",$F$7,"DEEP_PERIOD_OVERRIDE",J$11)*1,"")))</f>
        <v/>
      </c>
      <c r="K237" s="17" t="str">
        <f>IF(ISNA($B237),"",IF($B237="","",IFERROR(_xll.BDP(TICKER,"DEEP_MEASURE_PERIOD_BROKER_VALUE","DEEP_MEASURE_ID_OVERRIDE",$C237,"DEEP_BROKER_ID_OVERRIDE",$F$7,"DEEP_PERIOD_OVERRIDE",K$11)*1,"")))</f>
        <v/>
      </c>
      <c r="L237" s="17" t="str">
        <f>IF(ISNA($B237),"",IF($B237="","",IFERROR(_xll.BDP(TICKER,"DEEP_MEASURE_PERIOD_BROKER_VALUE","DEEP_MEASURE_ID_OVERRIDE",$C237,"DEEP_BROKER_ID_OVERRIDE",$F$7,"DEEP_PERIOD_OVERRIDE",L$11)*1,"")))</f>
        <v/>
      </c>
      <c r="M237" s="17" t="str">
        <f>IF(ISNA($B237),"",IF($B237="","",IFERROR(_xll.BDP(TICKER,"DEEP_MEASURE_PERIOD_BROKER_VALUE","DEEP_MEASURE_ID_OVERRIDE",$C237,"DEEP_BROKER_ID_OVERRIDE",$F$7,"DEEP_PERIOD_OVERRIDE",M$11)*1,"")))</f>
        <v/>
      </c>
      <c r="N237" s="17" t="str">
        <f>IF(ISNA($B237),"",IF($B237="","",IFERROR(_xll.BDP(TICKER,"DEEP_MEASURE_PERIOD_BROKER_VALUE","DEEP_MEASURE_ID_OVERRIDE",$C237,"DEEP_BROKER_ID_OVERRIDE",$F$7,"DEEP_PERIOD_OVERRIDE",N$11)*1,"")))</f>
        <v/>
      </c>
      <c r="O237" s="17" t="str">
        <f>IF(ISNA($B237),"",IF($B237="","",IFERROR(_xll.BDP(TICKER,"DEEP_MEASURE_PERIOD_BROKER_VALUE","DEEP_MEASURE_ID_OVERRIDE",$C237,"DEEP_BROKER_ID_OVERRIDE",$F$7,"DEEP_PERIOD_OVERRIDE",O$11)*1,"")))</f>
        <v/>
      </c>
      <c r="P237" s="17" t="str">
        <f>IF(ISNA($B237),"",IF($B237="","",IFERROR(_xll.BDP(TICKER,"DEEP_MEASURE_PERIOD_BROKER_VALUE","DEEP_MEASURE_ID_OVERRIDE",$C237,"DEEP_BROKER_ID_OVERRIDE",$F$7,"DEEP_PERIOD_OVERRIDE",P$11)*1,"")))</f>
        <v/>
      </c>
      <c r="Q237" s="17" t="str">
        <f>IF(ISNA($B237),"",IF($B237="","",IFERROR(_xll.BDP(TICKER,"DEEP_MEASURE_PERIOD_BROKER_VALUE","DEEP_MEASURE_ID_OVERRIDE",$C237,"DEEP_BROKER_ID_OVERRIDE",$F$7,"DEEP_PERIOD_OVERRIDE",Q$11)*1,"")))</f>
        <v/>
      </c>
      <c r="R237" s="17" t="str">
        <f>IF(ISNA($B237),"",IF($B237="","",IFERROR(_xll.BDP(TICKER,"DEEP_MEASURE_PERIOD_BROKER_VALUE","DEEP_MEASURE_ID_OVERRIDE",$C237,"DEEP_BROKER_ID_OVERRIDE",$F$7,"DEEP_PERIOD_OVERRIDE",R$11)*1,"")))</f>
        <v/>
      </c>
      <c r="S237" s="17" t="str">
        <f>IF(ISNA($B237),"",IF($B237="","",IFERROR(_xll.BDP(TICKER,"DEEP_MEASURE_PERIOD_BROKER_VALUE","DEEP_MEASURE_ID_OVERRIDE",$C237,"DEEP_BROKER_ID_OVERRIDE",$F$7,"DEEP_PERIOD_OVERRIDE",S$11)*1,"")))</f>
        <v/>
      </c>
      <c r="T237" s="17" t="str">
        <f>IF(ISNA($B237),"",IF($B237="","",IFERROR(_xll.BDP(TICKER,"DEEP_MEASURE_PERIOD_BROKER_VALUE","DEEP_MEASURE_ID_OVERRIDE",$C237,"DEEP_BROKER_ID_OVERRIDE",$F$7,"DEEP_PERIOD_OVERRIDE",T$11)*1,"")))</f>
        <v/>
      </c>
      <c r="U237" s="17" t="str">
        <f>IF(ISNA($B237),"",IF($B237="","",IFERROR(_xll.BDP(TICKER,"DEEP_MEASURE_PERIOD_BROKER_VALUE","DEEP_MEASURE_ID_OVERRIDE",$C237,"DEEP_BROKER_ID_OVERRIDE",$F$7,"DEEP_PERIOD_OVERRIDE",U$11)*1,"")))</f>
        <v/>
      </c>
      <c r="V237" s="17" t="str">
        <f>IF(ISNA($B237),"",IF($B237="","",IFERROR(_xll.BDP(TICKER,"DEEP_MEASURE_PERIOD_BROKER_VALUE","DEEP_MEASURE_ID_OVERRIDE",$C237,"DEEP_BROKER_ID_OVERRIDE",$F$7,"DEEP_PERIOD_OVERRIDE",V$11)*1,"")))</f>
        <v/>
      </c>
      <c r="W237" s="17" t="str">
        <f>IF(ISNA($B237),"",IF($B237="","",IFERROR(_xll.BDP(TICKER,"DEEP_MEASURE_PERIOD_BROKER_VALUE","DEEP_MEASURE_ID_OVERRIDE",$C237,"DEEP_BROKER_ID_OVERRIDE",$F$7,"DEEP_PERIOD_OVERRIDE",W$11)*1,"")))</f>
        <v/>
      </c>
      <c r="X237" s="17" t="str">
        <f>IF(ISNA($B237),"",IF($B237="","",IFERROR(_xll.BDP(TICKER,"DEEP_MEASURE_PERIOD_BROKER_VALUE","DEEP_MEASURE_ID_OVERRIDE",$C237,"DEEP_BROKER_ID_OVERRIDE",$F$7,"DEEP_PERIOD_OVERRIDE",X$11)*1,"")))</f>
        <v/>
      </c>
      <c r="Y237" s="17" t="str">
        <f>IF(ISNA($B237),"",IF($B237="","",IFERROR(_xll.BDP(TICKER,"DEEP_MEASURE_PERIOD_BROKER_VALUE","DEEP_MEASURE_ID_OVERRIDE",$C237,"DEEP_BROKER_ID_OVERRIDE",$F$7,"DEEP_PERIOD_OVERRIDE",Y$11)*1,"")))</f>
        <v/>
      </c>
      <c r="Z237" s="17" t="str">
        <f>IF(ISNA($B237),"",IF($B237="","",IFERROR(_xll.BDP(TICKER,"DEEP_MEASURE_PERIOD_BROKER_VALUE","DEEP_MEASURE_ID_OVERRIDE",$C237,"DEEP_BROKER_ID_OVERRIDE",$F$7,"DEEP_PERIOD_OVERRIDE",Z$11)*1,"")))</f>
        <v/>
      </c>
      <c r="AA237" s="17" t="str">
        <f>IF(ISNA($B237),"",IF($B237="","",IFERROR(_xll.BDP(TICKER,"DEEP_MEASURE_PERIOD_BROKER_VALUE","DEEP_MEASURE_ID_OVERRIDE",$C237,"DEEP_BROKER_ID_OVERRIDE",$F$7,"DEEP_PERIOD_OVERRIDE",AA$11)*1,"")))</f>
        <v/>
      </c>
      <c r="AB237" s="17" t="str">
        <f>IF(ISNA($B237),"",IF($B237="","",IFERROR(_xll.BDP(TICKER,"DEEP_MEASURE_PERIOD_BROKER_VALUE","DEEP_MEASURE_ID_OVERRIDE",$C237,"DEEP_BROKER_ID_OVERRIDE",$F$7,"DEEP_PERIOD_OVERRIDE",AB$11)*1,"")))</f>
        <v/>
      </c>
      <c r="AC237" s="17" t="str">
        <f>IF(ISNA($B237),"",IF($B237="","",IFERROR(_xll.BDP(TICKER,"DEEP_MEASURE_PERIOD_BROKER_VALUE","DEEP_MEASURE_ID_OVERRIDE",$C237,"DEEP_BROKER_ID_OVERRIDE",$F$7,"DEEP_PERIOD_OVERRIDE",AC$11)*1,"")))</f>
        <v/>
      </c>
      <c r="AD237" s="17" t="str">
        <f>IF(ISNA($B237),"",IF($B237="","",IFERROR(_xll.BDP(TICKER,"DEEP_MEASURE_PERIOD_BROKER_VALUE","DEEP_MEASURE_ID_OVERRIDE",$C237,"DEEP_BROKER_ID_OVERRIDE",$F$7,"DEEP_PERIOD_OVERRIDE",AD$11)*1,"")))</f>
        <v/>
      </c>
      <c r="AE237" s="17" t="str">
        <f>IF(ISNA($B237),"",IF($B237="","",IFERROR(_xll.BDP(TICKER,"DEEP_MEASURE_PERIOD_BROKER_VALUE","DEEP_MEASURE_ID_OVERRIDE",$C237,"DEEP_BROKER_ID_OVERRIDE",$F$7,"DEEP_PERIOD_OVERRIDE",AE$11)*1,"")))</f>
        <v/>
      </c>
      <c r="AF237" s="17" t="str">
        <f>IF(ISNA($B237),"",IF($B237="","",IFERROR(_xll.BDP(TICKER,"DEEP_MEASURE_PERIOD_BROKER_VALUE","DEEP_MEASURE_ID_OVERRIDE",$C237,"DEEP_BROKER_ID_OVERRIDE",$F$7,"DEEP_PERIOD_OVERRIDE",AF$11)*1,"")))</f>
        <v/>
      </c>
      <c r="AG237" s="17" t="str">
        <f>IF(ISNA($B237),"",IF($B237="","",IFERROR(_xll.BDP(TICKER,"DEEP_MEASURE_PERIOD_BROKER_VALUE","DEEP_MEASURE_ID_OVERRIDE",$C237,"DEEP_BROKER_ID_OVERRIDE",$F$7,"DEEP_PERIOD_OVERRIDE",AG$11)*1,"")))</f>
        <v/>
      </c>
      <c r="AH237" s="17" t="str">
        <f>IF(ISNA($B237),"",IF($B237="","",IFERROR(_xll.BDP(TICKER,"DEEP_MEASURE_PERIOD_BROKER_VALUE","DEEP_MEASURE_ID_OVERRIDE",$C237,"DEEP_BROKER_ID_OVERRIDE",$F$7,"DEEP_PERIOD_OVERRIDE",AH$11)*1,"")))</f>
        <v/>
      </c>
      <c r="AI237" s="17" t="str">
        <f>IF(ISNA($B237),"",IF($B237="","",IFERROR(_xll.BDP(TICKER,"DEEP_MEASURE_PERIOD_BROKER_VALUE","DEEP_MEASURE_ID_OVERRIDE",$C237,"DEEP_BROKER_ID_OVERRIDE",$F$7,"DEEP_PERIOD_OVERRIDE",AI$11)*1,"")))</f>
        <v/>
      </c>
      <c r="AJ237" s="17" t="str">
        <f>IF(ISNA($B237),"",IF($B237="","",IFERROR(_xll.BDP(TICKER,"DEEP_MEASURE_PERIOD_BROKER_VALUE","DEEP_MEASURE_ID_OVERRIDE",$C237,"DEEP_BROKER_ID_OVERRIDE",$F$7,"DEEP_PERIOD_OVERRIDE",AJ$11)*1,"")))</f>
        <v/>
      </c>
      <c r="AK237" s="17" t="str">
        <f>IF(ISNA($B237),"",IF($B237="","",IFERROR(_xll.BDP(TICKER,"DEEP_MEASURE_PERIOD_BROKER_VALUE","DEEP_MEASURE_ID_OVERRIDE",$C237,"DEEP_BROKER_ID_OVERRIDE",$F$7,"DEEP_PERIOD_OVERRIDE",AK$11)*1,"")))</f>
        <v/>
      </c>
      <c r="AL237" s="17" t="str">
        <f>IF(ISNA($B237),"",IF($B237="","",IFERROR(_xll.BDP(TICKER,"DEEP_MEASURE_PERIOD_BROKER_VALUE","DEEP_MEASURE_ID_OVERRIDE",$C237,"DEEP_BROKER_ID_OVERRIDE",$F$7,"DEEP_PERIOD_OVERRIDE",AL$11)*1,"")))</f>
        <v/>
      </c>
      <c r="AM237" s="17" t="str">
        <f>IF(ISNA($B237),"",IF($B237="","",IFERROR(_xll.BDP(TICKER,"DEEP_MEASURE_PERIOD_BROKER_VALUE","DEEP_MEASURE_ID_OVERRIDE",$C237,"DEEP_BROKER_ID_OVERRIDE",$F$7,"DEEP_PERIOD_OVERRIDE",AM$11)*1,"")))</f>
        <v/>
      </c>
      <c r="AN237" s="17" t="str">
        <f>IF(ISNA($B237),"",IF($B237="","",IFERROR(_xll.BDP(TICKER,"DEEP_MEASURE_PERIOD_BROKER_VALUE","DEEP_MEASURE_ID_OVERRIDE",$C237,"DEEP_BROKER_ID_OVERRIDE",$F$7,"DEEP_PERIOD_OVERRIDE",AN$11)*1,"")))</f>
        <v/>
      </c>
      <c r="AO237" s="17" t="str">
        <f>IF(ISNA($B237),"",IF($B237="","",IFERROR(_xll.BDP(TICKER,"DEEP_MEASURE_PERIOD_BROKER_VALUE","DEEP_MEASURE_ID_OVERRIDE",$C237,"DEEP_BROKER_ID_OVERRIDE",$F$7,"DEEP_PERIOD_OVERRIDE",AO$11)*1,"")))</f>
        <v/>
      </c>
      <c r="AP237" s="17" t="str">
        <f>IF(ISNA($B237),"",IF($B237="","",IFERROR(_xll.BDP(TICKER,"DEEP_MEASURE_PERIOD_BROKER_VALUE","DEEP_MEASURE_ID_OVERRIDE",$C237,"DEEP_BROKER_ID_OVERRIDE",$F$7,"DEEP_PERIOD_OVERRIDE",AP$11)*1,"")))</f>
        <v/>
      </c>
      <c r="AQ237" s="17" t="str">
        <f>IF(ISNA($B237),"",IF($B237="","",IFERROR(_xll.BDP(TICKER,"DEEP_MEASURE_PERIOD_BROKER_VALUE","DEEP_MEASURE_ID_OVERRIDE",$C237,"DEEP_BROKER_ID_OVERRIDE",$F$7,"DEEP_PERIOD_OVERRIDE",AQ$11)*1,"")))</f>
        <v/>
      </c>
    </row>
    <row r="238" spans="8:43" x14ac:dyDescent="0.25">
      <c r="H238" t="str">
        <f t="shared" si="5"/>
        <v/>
      </c>
      <c r="I238" s="17" t="str">
        <f>IF(ISNA($B238),"",IF($B238="","",IFERROR(_xll.BDP(TICKER,"DEEP_MEASURE_PERIOD_BROKER_VALUE","DEEP_MEASURE_ID_OVERRIDE",$C238,"DEEP_BROKER_ID_OVERRIDE",$F$7,"DEEP_PERIOD_OVERRIDE",I$11)*1,"")))</f>
        <v/>
      </c>
      <c r="J238" s="17" t="str">
        <f>IF(ISNA($B238),"",IF($B238="","",IFERROR(_xll.BDP(TICKER,"DEEP_MEASURE_PERIOD_BROKER_VALUE","DEEP_MEASURE_ID_OVERRIDE",$C238,"DEEP_BROKER_ID_OVERRIDE",$F$7,"DEEP_PERIOD_OVERRIDE",J$11)*1,"")))</f>
        <v/>
      </c>
      <c r="K238" s="17" t="str">
        <f>IF(ISNA($B238),"",IF($B238="","",IFERROR(_xll.BDP(TICKER,"DEEP_MEASURE_PERIOD_BROKER_VALUE","DEEP_MEASURE_ID_OVERRIDE",$C238,"DEEP_BROKER_ID_OVERRIDE",$F$7,"DEEP_PERIOD_OVERRIDE",K$11)*1,"")))</f>
        <v/>
      </c>
      <c r="L238" s="17" t="str">
        <f>IF(ISNA($B238),"",IF($B238="","",IFERROR(_xll.BDP(TICKER,"DEEP_MEASURE_PERIOD_BROKER_VALUE","DEEP_MEASURE_ID_OVERRIDE",$C238,"DEEP_BROKER_ID_OVERRIDE",$F$7,"DEEP_PERIOD_OVERRIDE",L$11)*1,"")))</f>
        <v/>
      </c>
      <c r="M238" s="17" t="str">
        <f>IF(ISNA($B238),"",IF($B238="","",IFERROR(_xll.BDP(TICKER,"DEEP_MEASURE_PERIOD_BROKER_VALUE","DEEP_MEASURE_ID_OVERRIDE",$C238,"DEEP_BROKER_ID_OVERRIDE",$F$7,"DEEP_PERIOD_OVERRIDE",M$11)*1,"")))</f>
        <v/>
      </c>
      <c r="N238" s="17" t="str">
        <f>IF(ISNA($B238),"",IF($B238="","",IFERROR(_xll.BDP(TICKER,"DEEP_MEASURE_PERIOD_BROKER_VALUE","DEEP_MEASURE_ID_OVERRIDE",$C238,"DEEP_BROKER_ID_OVERRIDE",$F$7,"DEEP_PERIOD_OVERRIDE",N$11)*1,"")))</f>
        <v/>
      </c>
      <c r="O238" s="17" t="str">
        <f>IF(ISNA($B238),"",IF($B238="","",IFERROR(_xll.BDP(TICKER,"DEEP_MEASURE_PERIOD_BROKER_VALUE","DEEP_MEASURE_ID_OVERRIDE",$C238,"DEEP_BROKER_ID_OVERRIDE",$F$7,"DEEP_PERIOD_OVERRIDE",O$11)*1,"")))</f>
        <v/>
      </c>
      <c r="P238" s="17" t="str">
        <f>IF(ISNA($B238),"",IF($B238="","",IFERROR(_xll.BDP(TICKER,"DEEP_MEASURE_PERIOD_BROKER_VALUE","DEEP_MEASURE_ID_OVERRIDE",$C238,"DEEP_BROKER_ID_OVERRIDE",$F$7,"DEEP_PERIOD_OVERRIDE",P$11)*1,"")))</f>
        <v/>
      </c>
      <c r="Q238" s="17" t="str">
        <f>IF(ISNA($B238),"",IF($B238="","",IFERROR(_xll.BDP(TICKER,"DEEP_MEASURE_PERIOD_BROKER_VALUE","DEEP_MEASURE_ID_OVERRIDE",$C238,"DEEP_BROKER_ID_OVERRIDE",$F$7,"DEEP_PERIOD_OVERRIDE",Q$11)*1,"")))</f>
        <v/>
      </c>
      <c r="R238" s="17" t="str">
        <f>IF(ISNA($B238),"",IF($B238="","",IFERROR(_xll.BDP(TICKER,"DEEP_MEASURE_PERIOD_BROKER_VALUE","DEEP_MEASURE_ID_OVERRIDE",$C238,"DEEP_BROKER_ID_OVERRIDE",$F$7,"DEEP_PERIOD_OVERRIDE",R$11)*1,"")))</f>
        <v/>
      </c>
      <c r="S238" s="17" t="str">
        <f>IF(ISNA($B238),"",IF($B238="","",IFERROR(_xll.BDP(TICKER,"DEEP_MEASURE_PERIOD_BROKER_VALUE","DEEP_MEASURE_ID_OVERRIDE",$C238,"DEEP_BROKER_ID_OVERRIDE",$F$7,"DEEP_PERIOD_OVERRIDE",S$11)*1,"")))</f>
        <v/>
      </c>
      <c r="T238" s="17" t="str">
        <f>IF(ISNA($B238),"",IF($B238="","",IFERROR(_xll.BDP(TICKER,"DEEP_MEASURE_PERIOD_BROKER_VALUE","DEEP_MEASURE_ID_OVERRIDE",$C238,"DEEP_BROKER_ID_OVERRIDE",$F$7,"DEEP_PERIOD_OVERRIDE",T$11)*1,"")))</f>
        <v/>
      </c>
      <c r="U238" s="17" t="str">
        <f>IF(ISNA($B238),"",IF($B238="","",IFERROR(_xll.BDP(TICKER,"DEEP_MEASURE_PERIOD_BROKER_VALUE","DEEP_MEASURE_ID_OVERRIDE",$C238,"DEEP_BROKER_ID_OVERRIDE",$F$7,"DEEP_PERIOD_OVERRIDE",U$11)*1,"")))</f>
        <v/>
      </c>
      <c r="V238" s="17" t="str">
        <f>IF(ISNA($B238),"",IF($B238="","",IFERROR(_xll.BDP(TICKER,"DEEP_MEASURE_PERIOD_BROKER_VALUE","DEEP_MEASURE_ID_OVERRIDE",$C238,"DEEP_BROKER_ID_OVERRIDE",$F$7,"DEEP_PERIOD_OVERRIDE",V$11)*1,"")))</f>
        <v/>
      </c>
      <c r="W238" s="17" t="str">
        <f>IF(ISNA($B238),"",IF($B238="","",IFERROR(_xll.BDP(TICKER,"DEEP_MEASURE_PERIOD_BROKER_VALUE","DEEP_MEASURE_ID_OVERRIDE",$C238,"DEEP_BROKER_ID_OVERRIDE",$F$7,"DEEP_PERIOD_OVERRIDE",W$11)*1,"")))</f>
        <v/>
      </c>
      <c r="X238" s="17" t="str">
        <f>IF(ISNA($B238),"",IF($B238="","",IFERROR(_xll.BDP(TICKER,"DEEP_MEASURE_PERIOD_BROKER_VALUE","DEEP_MEASURE_ID_OVERRIDE",$C238,"DEEP_BROKER_ID_OVERRIDE",$F$7,"DEEP_PERIOD_OVERRIDE",X$11)*1,"")))</f>
        <v/>
      </c>
      <c r="Y238" s="17" t="str">
        <f>IF(ISNA($B238),"",IF($B238="","",IFERROR(_xll.BDP(TICKER,"DEEP_MEASURE_PERIOD_BROKER_VALUE","DEEP_MEASURE_ID_OVERRIDE",$C238,"DEEP_BROKER_ID_OVERRIDE",$F$7,"DEEP_PERIOD_OVERRIDE",Y$11)*1,"")))</f>
        <v/>
      </c>
      <c r="Z238" s="17" t="str">
        <f>IF(ISNA($B238),"",IF($B238="","",IFERROR(_xll.BDP(TICKER,"DEEP_MEASURE_PERIOD_BROKER_VALUE","DEEP_MEASURE_ID_OVERRIDE",$C238,"DEEP_BROKER_ID_OVERRIDE",$F$7,"DEEP_PERIOD_OVERRIDE",Z$11)*1,"")))</f>
        <v/>
      </c>
      <c r="AA238" s="17" t="str">
        <f>IF(ISNA($B238),"",IF($B238="","",IFERROR(_xll.BDP(TICKER,"DEEP_MEASURE_PERIOD_BROKER_VALUE","DEEP_MEASURE_ID_OVERRIDE",$C238,"DEEP_BROKER_ID_OVERRIDE",$F$7,"DEEP_PERIOD_OVERRIDE",AA$11)*1,"")))</f>
        <v/>
      </c>
      <c r="AB238" s="17" t="str">
        <f>IF(ISNA($B238),"",IF($B238="","",IFERROR(_xll.BDP(TICKER,"DEEP_MEASURE_PERIOD_BROKER_VALUE","DEEP_MEASURE_ID_OVERRIDE",$C238,"DEEP_BROKER_ID_OVERRIDE",$F$7,"DEEP_PERIOD_OVERRIDE",AB$11)*1,"")))</f>
        <v/>
      </c>
      <c r="AC238" s="17" t="str">
        <f>IF(ISNA($B238),"",IF($B238="","",IFERROR(_xll.BDP(TICKER,"DEEP_MEASURE_PERIOD_BROKER_VALUE","DEEP_MEASURE_ID_OVERRIDE",$C238,"DEEP_BROKER_ID_OVERRIDE",$F$7,"DEEP_PERIOD_OVERRIDE",AC$11)*1,"")))</f>
        <v/>
      </c>
      <c r="AD238" s="17" t="str">
        <f>IF(ISNA($B238),"",IF($B238="","",IFERROR(_xll.BDP(TICKER,"DEEP_MEASURE_PERIOD_BROKER_VALUE","DEEP_MEASURE_ID_OVERRIDE",$C238,"DEEP_BROKER_ID_OVERRIDE",$F$7,"DEEP_PERIOD_OVERRIDE",AD$11)*1,"")))</f>
        <v/>
      </c>
      <c r="AE238" s="17" t="str">
        <f>IF(ISNA($B238),"",IF($B238="","",IFERROR(_xll.BDP(TICKER,"DEEP_MEASURE_PERIOD_BROKER_VALUE","DEEP_MEASURE_ID_OVERRIDE",$C238,"DEEP_BROKER_ID_OVERRIDE",$F$7,"DEEP_PERIOD_OVERRIDE",AE$11)*1,"")))</f>
        <v/>
      </c>
      <c r="AF238" s="17" t="str">
        <f>IF(ISNA($B238),"",IF($B238="","",IFERROR(_xll.BDP(TICKER,"DEEP_MEASURE_PERIOD_BROKER_VALUE","DEEP_MEASURE_ID_OVERRIDE",$C238,"DEEP_BROKER_ID_OVERRIDE",$F$7,"DEEP_PERIOD_OVERRIDE",AF$11)*1,"")))</f>
        <v/>
      </c>
      <c r="AG238" s="17" t="str">
        <f>IF(ISNA($B238),"",IF($B238="","",IFERROR(_xll.BDP(TICKER,"DEEP_MEASURE_PERIOD_BROKER_VALUE","DEEP_MEASURE_ID_OVERRIDE",$C238,"DEEP_BROKER_ID_OVERRIDE",$F$7,"DEEP_PERIOD_OVERRIDE",AG$11)*1,"")))</f>
        <v/>
      </c>
      <c r="AH238" s="17" t="str">
        <f>IF(ISNA($B238),"",IF($B238="","",IFERROR(_xll.BDP(TICKER,"DEEP_MEASURE_PERIOD_BROKER_VALUE","DEEP_MEASURE_ID_OVERRIDE",$C238,"DEEP_BROKER_ID_OVERRIDE",$F$7,"DEEP_PERIOD_OVERRIDE",AH$11)*1,"")))</f>
        <v/>
      </c>
      <c r="AI238" s="17" t="str">
        <f>IF(ISNA($B238),"",IF($B238="","",IFERROR(_xll.BDP(TICKER,"DEEP_MEASURE_PERIOD_BROKER_VALUE","DEEP_MEASURE_ID_OVERRIDE",$C238,"DEEP_BROKER_ID_OVERRIDE",$F$7,"DEEP_PERIOD_OVERRIDE",AI$11)*1,"")))</f>
        <v/>
      </c>
      <c r="AJ238" s="17" t="str">
        <f>IF(ISNA($B238),"",IF($B238="","",IFERROR(_xll.BDP(TICKER,"DEEP_MEASURE_PERIOD_BROKER_VALUE","DEEP_MEASURE_ID_OVERRIDE",$C238,"DEEP_BROKER_ID_OVERRIDE",$F$7,"DEEP_PERIOD_OVERRIDE",AJ$11)*1,"")))</f>
        <v/>
      </c>
      <c r="AK238" s="17" t="str">
        <f>IF(ISNA($B238),"",IF($B238="","",IFERROR(_xll.BDP(TICKER,"DEEP_MEASURE_PERIOD_BROKER_VALUE","DEEP_MEASURE_ID_OVERRIDE",$C238,"DEEP_BROKER_ID_OVERRIDE",$F$7,"DEEP_PERIOD_OVERRIDE",AK$11)*1,"")))</f>
        <v/>
      </c>
      <c r="AL238" s="17" t="str">
        <f>IF(ISNA($B238),"",IF($B238="","",IFERROR(_xll.BDP(TICKER,"DEEP_MEASURE_PERIOD_BROKER_VALUE","DEEP_MEASURE_ID_OVERRIDE",$C238,"DEEP_BROKER_ID_OVERRIDE",$F$7,"DEEP_PERIOD_OVERRIDE",AL$11)*1,"")))</f>
        <v/>
      </c>
      <c r="AM238" s="17" t="str">
        <f>IF(ISNA($B238),"",IF($B238="","",IFERROR(_xll.BDP(TICKER,"DEEP_MEASURE_PERIOD_BROKER_VALUE","DEEP_MEASURE_ID_OVERRIDE",$C238,"DEEP_BROKER_ID_OVERRIDE",$F$7,"DEEP_PERIOD_OVERRIDE",AM$11)*1,"")))</f>
        <v/>
      </c>
      <c r="AN238" s="17" t="str">
        <f>IF(ISNA($B238),"",IF($B238="","",IFERROR(_xll.BDP(TICKER,"DEEP_MEASURE_PERIOD_BROKER_VALUE","DEEP_MEASURE_ID_OVERRIDE",$C238,"DEEP_BROKER_ID_OVERRIDE",$F$7,"DEEP_PERIOD_OVERRIDE",AN$11)*1,"")))</f>
        <v/>
      </c>
      <c r="AO238" s="17" t="str">
        <f>IF(ISNA($B238),"",IF($B238="","",IFERROR(_xll.BDP(TICKER,"DEEP_MEASURE_PERIOD_BROKER_VALUE","DEEP_MEASURE_ID_OVERRIDE",$C238,"DEEP_BROKER_ID_OVERRIDE",$F$7,"DEEP_PERIOD_OVERRIDE",AO$11)*1,"")))</f>
        <v/>
      </c>
      <c r="AP238" s="17" t="str">
        <f>IF(ISNA($B238),"",IF($B238="","",IFERROR(_xll.BDP(TICKER,"DEEP_MEASURE_PERIOD_BROKER_VALUE","DEEP_MEASURE_ID_OVERRIDE",$C238,"DEEP_BROKER_ID_OVERRIDE",$F$7,"DEEP_PERIOD_OVERRIDE",AP$11)*1,"")))</f>
        <v/>
      </c>
      <c r="AQ238" s="17" t="str">
        <f>IF(ISNA($B238),"",IF($B238="","",IFERROR(_xll.BDP(TICKER,"DEEP_MEASURE_PERIOD_BROKER_VALUE","DEEP_MEASURE_ID_OVERRIDE",$C238,"DEEP_BROKER_ID_OVERRIDE",$F$7,"DEEP_PERIOD_OVERRIDE",AQ$11)*1,"")))</f>
        <v/>
      </c>
    </row>
    <row r="239" spans="8:43" x14ac:dyDescent="0.25">
      <c r="H239" t="str">
        <f t="shared" si="5"/>
        <v/>
      </c>
      <c r="I239" s="17" t="str">
        <f>IF(ISNA($B239),"",IF($B239="","",IFERROR(_xll.BDP(TICKER,"DEEP_MEASURE_PERIOD_BROKER_VALUE","DEEP_MEASURE_ID_OVERRIDE",$C239,"DEEP_BROKER_ID_OVERRIDE",$F$7,"DEEP_PERIOD_OVERRIDE",I$11)*1,"")))</f>
        <v/>
      </c>
      <c r="J239" s="17" t="str">
        <f>IF(ISNA($B239),"",IF($B239="","",IFERROR(_xll.BDP(TICKER,"DEEP_MEASURE_PERIOD_BROKER_VALUE","DEEP_MEASURE_ID_OVERRIDE",$C239,"DEEP_BROKER_ID_OVERRIDE",$F$7,"DEEP_PERIOD_OVERRIDE",J$11)*1,"")))</f>
        <v/>
      </c>
      <c r="K239" s="17" t="str">
        <f>IF(ISNA($B239),"",IF($B239="","",IFERROR(_xll.BDP(TICKER,"DEEP_MEASURE_PERIOD_BROKER_VALUE","DEEP_MEASURE_ID_OVERRIDE",$C239,"DEEP_BROKER_ID_OVERRIDE",$F$7,"DEEP_PERIOD_OVERRIDE",K$11)*1,"")))</f>
        <v/>
      </c>
      <c r="L239" s="17" t="str">
        <f>IF(ISNA($B239),"",IF($B239="","",IFERROR(_xll.BDP(TICKER,"DEEP_MEASURE_PERIOD_BROKER_VALUE","DEEP_MEASURE_ID_OVERRIDE",$C239,"DEEP_BROKER_ID_OVERRIDE",$F$7,"DEEP_PERIOD_OVERRIDE",L$11)*1,"")))</f>
        <v/>
      </c>
      <c r="M239" s="17" t="str">
        <f>IF(ISNA($B239),"",IF($B239="","",IFERROR(_xll.BDP(TICKER,"DEEP_MEASURE_PERIOD_BROKER_VALUE","DEEP_MEASURE_ID_OVERRIDE",$C239,"DEEP_BROKER_ID_OVERRIDE",$F$7,"DEEP_PERIOD_OVERRIDE",M$11)*1,"")))</f>
        <v/>
      </c>
      <c r="N239" s="17" t="str">
        <f>IF(ISNA($B239),"",IF($B239="","",IFERROR(_xll.BDP(TICKER,"DEEP_MEASURE_PERIOD_BROKER_VALUE","DEEP_MEASURE_ID_OVERRIDE",$C239,"DEEP_BROKER_ID_OVERRIDE",$F$7,"DEEP_PERIOD_OVERRIDE",N$11)*1,"")))</f>
        <v/>
      </c>
      <c r="O239" s="17" t="str">
        <f>IF(ISNA($B239),"",IF($B239="","",IFERROR(_xll.BDP(TICKER,"DEEP_MEASURE_PERIOD_BROKER_VALUE","DEEP_MEASURE_ID_OVERRIDE",$C239,"DEEP_BROKER_ID_OVERRIDE",$F$7,"DEEP_PERIOD_OVERRIDE",O$11)*1,"")))</f>
        <v/>
      </c>
      <c r="P239" s="17" t="str">
        <f>IF(ISNA($B239),"",IF($B239="","",IFERROR(_xll.BDP(TICKER,"DEEP_MEASURE_PERIOD_BROKER_VALUE","DEEP_MEASURE_ID_OVERRIDE",$C239,"DEEP_BROKER_ID_OVERRIDE",$F$7,"DEEP_PERIOD_OVERRIDE",P$11)*1,"")))</f>
        <v/>
      </c>
      <c r="Q239" s="17" t="str">
        <f>IF(ISNA($B239),"",IF($B239="","",IFERROR(_xll.BDP(TICKER,"DEEP_MEASURE_PERIOD_BROKER_VALUE","DEEP_MEASURE_ID_OVERRIDE",$C239,"DEEP_BROKER_ID_OVERRIDE",$F$7,"DEEP_PERIOD_OVERRIDE",Q$11)*1,"")))</f>
        <v/>
      </c>
      <c r="R239" s="17" t="str">
        <f>IF(ISNA($B239),"",IF($B239="","",IFERROR(_xll.BDP(TICKER,"DEEP_MEASURE_PERIOD_BROKER_VALUE","DEEP_MEASURE_ID_OVERRIDE",$C239,"DEEP_BROKER_ID_OVERRIDE",$F$7,"DEEP_PERIOD_OVERRIDE",R$11)*1,"")))</f>
        <v/>
      </c>
      <c r="S239" s="17" t="str">
        <f>IF(ISNA($B239),"",IF($B239="","",IFERROR(_xll.BDP(TICKER,"DEEP_MEASURE_PERIOD_BROKER_VALUE","DEEP_MEASURE_ID_OVERRIDE",$C239,"DEEP_BROKER_ID_OVERRIDE",$F$7,"DEEP_PERIOD_OVERRIDE",S$11)*1,"")))</f>
        <v/>
      </c>
      <c r="T239" s="17" t="str">
        <f>IF(ISNA($B239),"",IF($B239="","",IFERROR(_xll.BDP(TICKER,"DEEP_MEASURE_PERIOD_BROKER_VALUE","DEEP_MEASURE_ID_OVERRIDE",$C239,"DEEP_BROKER_ID_OVERRIDE",$F$7,"DEEP_PERIOD_OVERRIDE",T$11)*1,"")))</f>
        <v/>
      </c>
      <c r="U239" s="17" t="str">
        <f>IF(ISNA($B239),"",IF($B239="","",IFERROR(_xll.BDP(TICKER,"DEEP_MEASURE_PERIOD_BROKER_VALUE","DEEP_MEASURE_ID_OVERRIDE",$C239,"DEEP_BROKER_ID_OVERRIDE",$F$7,"DEEP_PERIOD_OVERRIDE",U$11)*1,"")))</f>
        <v/>
      </c>
      <c r="V239" s="17" t="str">
        <f>IF(ISNA($B239),"",IF($B239="","",IFERROR(_xll.BDP(TICKER,"DEEP_MEASURE_PERIOD_BROKER_VALUE","DEEP_MEASURE_ID_OVERRIDE",$C239,"DEEP_BROKER_ID_OVERRIDE",$F$7,"DEEP_PERIOD_OVERRIDE",V$11)*1,"")))</f>
        <v/>
      </c>
      <c r="W239" s="17" t="str">
        <f>IF(ISNA($B239),"",IF($B239="","",IFERROR(_xll.BDP(TICKER,"DEEP_MEASURE_PERIOD_BROKER_VALUE","DEEP_MEASURE_ID_OVERRIDE",$C239,"DEEP_BROKER_ID_OVERRIDE",$F$7,"DEEP_PERIOD_OVERRIDE",W$11)*1,"")))</f>
        <v/>
      </c>
      <c r="X239" s="17" t="str">
        <f>IF(ISNA($B239),"",IF($B239="","",IFERROR(_xll.BDP(TICKER,"DEEP_MEASURE_PERIOD_BROKER_VALUE","DEEP_MEASURE_ID_OVERRIDE",$C239,"DEEP_BROKER_ID_OVERRIDE",$F$7,"DEEP_PERIOD_OVERRIDE",X$11)*1,"")))</f>
        <v/>
      </c>
      <c r="Y239" s="17" t="str">
        <f>IF(ISNA($B239),"",IF($B239="","",IFERROR(_xll.BDP(TICKER,"DEEP_MEASURE_PERIOD_BROKER_VALUE","DEEP_MEASURE_ID_OVERRIDE",$C239,"DEEP_BROKER_ID_OVERRIDE",$F$7,"DEEP_PERIOD_OVERRIDE",Y$11)*1,"")))</f>
        <v/>
      </c>
      <c r="Z239" s="17" t="str">
        <f>IF(ISNA($B239),"",IF($B239="","",IFERROR(_xll.BDP(TICKER,"DEEP_MEASURE_PERIOD_BROKER_VALUE","DEEP_MEASURE_ID_OVERRIDE",$C239,"DEEP_BROKER_ID_OVERRIDE",$F$7,"DEEP_PERIOD_OVERRIDE",Z$11)*1,"")))</f>
        <v/>
      </c>
      <c r="AA239" s="17" t="str">
        <f>IF(ISNA($B239),"",IF($B239="","",IFERROR(_xll.BDP(TICKER,"DEEP_MEASURE_PERIOD_BROKER_VALUE","DEEP_MEASURE_ID_OVERRIDE",$C239,"DEEP_BROKER_ID_OVERRIDE",$F$7,"DEEP_PERIOD_OVERRIDE",AA$11)*1,"")))</f>
        <v/>
      </c>
      <c r="AB239" s="17" t="str">
        <f>IF(ISNA($B239),"",IF($B239="","",IFERROR(_xll.BDP(TICKER,"DEEP_MEASURE_PERIOD_BROKER_VALUE","DEEP_MEASURE_ID_OVERRIDE",$C239,"DEEP_BROKER_ID_OVERRIDE",$F$7,"DEEP_PERIOD_OVERRIDE",AB$11)*1,"")))</f>
        <v/>
      </c>
      <c r="AC239" s="17" t="str">
        <f>IF(ISNA($B239),"",IF($B239="","",IFERROR(_xll.BDP(TICKER,"DEEP_MEASURE_PERIOD_BROKER_VALUE","DEEP_MEASURE_ID_OVERRIDE",$C239,"DEEP_BROKER_ID_OVERRIDE",$F$7,"DEEP_PERIOD_OVERRIDE",AC$11)*1,"")))</f>
        <v/>
      </c>
      <c r="AD239" s="17" t="str">
        <f>IF(ISNA($B239),"",IF($B239="","",IFERROR(_xll.BDP(TICKER,"DEEP_MEASURE_PERIOD_BROKER_VALUE","DEEP_MEASURE_ID_OVERRIDE",$C239,"DEEP_BROKER_ID_OVERRIDE",$F$7,"DEEP_PERIOD_OVERRIDE",AD$11)*1,"")))</f>
        <v/>
      </c>
      <c r="AE239" s="17" t="str">
        <f>IF(ISNA($B239),"",IF($B239="","",IFERROR(_xll.BDP(TICKER,"DEEP_MEASURE_PERIOD_BROKER_VALUE","DEEP_MEASURE_ID_OVERRIDE",$C239,"DEEP_BROKER_ID_OVERRIDE",$F$7,"DEEP_PERIOD_OVERRIDE",AE$11)*1,"")))</f>
        <v/>
      </c>
      <c r="AF239" s="17" t="str">
        <f>IF(ISNA($B239),"",IF($B239="","",IFERROR(_xll.BDP(TICKER,"DEEP_MEASURE_PERIOD_BROKER_VALUE","DEEP_MEASURE_ID_OVERRIDE",$C239,"DEEP_BROKER_ID_OVERRIDE",$F$7,"DEEP_PERIOD_OVERRIDE",AF$11)*1,"")))</f>
        <v/>
      </c>
      <c r="AG239" s="17" t="str">
        <f>IF(ISNA($B239),"",IF($B239="","",IFERROR(_xll.BDP(TICKER,"DEEP_MEASURE_PERIOD_BROKER_VALUE","DEEP_MEASURE_ID_OVERRIDE",$C239,"DEEP_BROKER_ID_OVERRIDE",$F$7,"DEEP_PERIOD_OVERRIDE",AG$11)*1,"")))</f>
        <v/>
      </c>
      <c r="AH239" s="17" t="str">
        <f>IF(ISNA($B239),"",IF($B239="","",IFERROR(_xll.BDP(TICKER,"DEEP_MEASURE_PERIOD_BROKER_VALUE","DEEP_MEASURE_ID_OVERRIDE",$C239,"DEEP_BROKER_ID_OVERRIDE",$F$7,"DEEP_PERIOD_OVERRIDE",AH$11)*1,"")))</f>
        <v/>
      </c>
      <c r="AI239" s="17" t="str">
        <f>IF(ISNA($B239),"",IF($B239="","",IFERROR(_xll.BDP(TICKER,"DEEP_MEASURE_PERIOD_BROKER_VALUE","DEEP_MEASURE_ID_OVERRIDE",$C239,"DEEP_BROKER_ID_OVERRIDE",$F$7,"DEEP_PERIOD_OVERRIDE",AI$11)*1,"")))</f>
        <v/>
      </c>
      <c r="AJ239" s="17" t="str">
        <f>IF(ISNA($B239),"",IF($B239="","",IFERROR(_xll.BDP(TICKER,"DEEP_MEASURE_PERIOD_BROKER_VALUE","DEEP_MEASURE_ID_OVERRIDE",$C239,"DEEP_BROKER_ID_OVERRIDE",$F$7,"DEEP_PERIOD_OVERRIDE",AJ$11)*1,"")))</f>
        <v/>
      </c>
      <c r="AK239" s="17" t="str">
        <f>IF(ISNA($B239),"",IF($B239="","",IFERROR(_xll.BDP(TICKER,"DEEP_MEASURE_PERIOD_BROKER_VALUE","DEEP_MEASURE_ID_OVERRIDE",$C239,"DEEP_BROKER_ID_OVERRIDE",$F$7,"DEEP_PERIOD_OVERRIDE",AK$11)*1,"")))</f>
        <v/>
      </c>
      <c r="AL239" s="17" t="str">
        <f>IF(ISNA($B239),"",IF($B239="","",IFERROR(_xll.BDP(TICKER,"DEEP_MEASURE_PERIOD_BROKER_VALUE","DEEP_MEASURE_ID_OVERRIDE",$C239,"DEEP_BROKER_ID_OVERRIDE",$F$7,"DEEP_PERIOD_OVERRIDE",AL$11)*1,"")))</f>
        <v/>
      </c>
      <c r="AM239" s="17" t="str">
        <f>IF(ISNA($B239),"",IF($B239="","",IFERROR(_xll.BDP(TICKER,"DEEP_MEASURE_PERIOD_BROKER_VALUE","DEEP_MEASURE_ID_OVERRIDE",$C239,"DEEP_BROKER_ID_OVERRIDE",$F$7,"DEEP_PERIOD_OVERRIDE",AM$11)*1,"")))</f>
        <v/>
      </c>
      <c r="AN239" s="17" t="str">
        <f>IF(ISNA($B239),"",IF($B239="","",IFERROR(_xll.BDP(TICKER,"DEEP_MEASURE_PERIOD_BROKER_VALUE","DEEP_MEASURE_ID_OVERRIDE",$C239,"DEEP_BROKER_ID_OVERRIDE",$F$7,"DEEP_PERIOD_OVERRIDE",AN$11)*1,"")))</f>
        <v/>
      </c>
      <c r="AO239" s="17" t="str">
        <f>IF(ISNA($B239),"",IF($B239="","",IFERROR(_xll.BDP(TICKER,"DEEP_MEASURE_PERIOD_BROKER_VALUE","DEEP_MEASURE_ID_OVERRIDE",$C239,"DEEP_BROKER_ID_OVERRIDE",$F$7,"DEEP_PERIOD_OVERRIDE",AO$11)*1,"")))</f>
        <v/>
      </c>
      <c r="AP239" s="17" t="str">
        <f>IF(ISNA($B239),"",IF($B239="","",IFERROR(_xll.BDP(TICKER,"DEEP_MEASURE_PERIOD_BROKER_VALUE","DEEP_MEASURE_ID_OVERRIDE",$C239,"DEEP_BROKER_ID_OVERRIDE",$F$7,"DEEP_PERIOD_OVERRIDE",AP$11)*1,"")))</f>
        <v/>
      </c>
      <c r="AQ239" s="17" t="str">
        <f>IF(ISNA($B239),"",IF($B239="","",IFERROR(_xll.BDP(TICKER,"DEEP_MEASURE_PERIOD_BROKER_VALUE","DEEP_MEASURE_ID_OVERRIDE",$C239,"DEEP_BROKER_ID_OVERRIDE",$F$7,"DEEP_PERIOD_OVERRIDE",AQ$11)*1,"")))</f>
        <v/>
      </c>
    </row>
    <row r="240" spans="8:43" x14ac:dyDescent="0.25">
      <c r="H240" t="str">
        <f t="shared" si="5"/>
        <v/>
      </c>
      <c r="I240" s="17" t="str">
        <f>IF(ISNA($B240),"",IF($B240="","",IFERROR(_xll.BDP(TICKER,"DEEP_MEASURE_PERIOD_BROKER_VALUE","DEEP_MEASURE_ID_OVERRIDE",$C240,"DEEP_BROKER_ID_OVERRIDE",$F$7,"DEEP_PERIOD_OVERRIDE",I$11)*1,"")))</f>
        <v/>
      </c>
      <c r="J240" s="17" t="str">
        <f>IF(ISNA($B240),"",IF($B240="","",IFERROR(_xll.BDP(TICKER,"DEEP_MEASURE_PERIOD_BROKER_VALUE","DEEP_MEASURE_ID_OVERRIDE",$C240,"DEEP_BROKER_ID_OVERRIDE",$F$7,"DEEP_PERIOD_OVERRIDE",J$11)*1,"")))</f>
        <v/>
      </c>
      <c r="K240" s="17" t="str">
        <f>IF(ISNA($B240),"",IF($B240="","",IFERROR(_xll.BDP(TICKER,"DEEP_MEASURE_PERIOD_BROKER_VALUE","DEEP_MEASURE_ID_OVERRIDE",$C240,"DEEP_BROKER_ID_OVERRIDE",$F$7,"DEEP_PERIOD_OVERRIDE",K$11)*1,"")))</f>
        <v/>
      </c>
      <c r="L240" s="17" t="str">
        <f>IF(ISNA($B240),"",IF($B240="","",IFERROR(_xll.BDP(TICKER,"DEEP_MEASURE_PERIOD_BROKER_VALUE","DEEP_MEASURE_ID_OVERRIDE",$C240,"DEEP_BROKER_ID_OVERRIDE",$F$7,"DEEP_PERIOD_OVERRIDE",L$11)*1,"")))</f>
        <v/>
      </c>
      <c r="M240" s="17" t="str">
        <f>IF(ISNA($B240),"",IF($B240="","",IFERROR(_xll.BDP(TICKER,"DEEP_MEASURE_PERIOD_BROKER_VALUE","DEEP_MEASURE_ID_OVERRIDE",$C240,"DEEP_BROKER_ID_OVERRIDE",$F$7,"DEEP_PERIOD_OVERRIDE",M$11)*1,"")))</f>
        <v/>
      </c>
      <c r="N240" s="17" t="str">
        <f>IF(ISNA($B240),"",IF($B240="","",IFERROR(_xll.BDP(TICKER,"DEEP_MEASURE_PERIOD_BROKER_VALUE","DEEP_MEASURE_ID_OVERRIDE",$C240,"DEEP_BROKER_ID_OVERRIDE",$F$7,"DEEP_PERIOD_OVERRIDE",N$11)*1,"")))</f>
        <v/>
      </c>
      <c r="O240" s="17" t="str">
        <f>IF(ISNA($B240),"",IF($B240="","",IFERROR(_xll.BDP(TICKER,"DEEP_MEASURE_PERIOD_BROKER_VALUE","DEEP_MEASURE_ID_OVERRIDE",$C240,"DEEP_BROKER_ID_OVERRIDE",$F$7,"DEEP_PERIOD_OVERRIDE",O$11)*1,"")))</f>
        <v/>
      </c>
      <c r="P240" s="17" t="str">
        <f>IF(ISNA($B240),"",IF($B240="","",IFERROR(_xll.BDP(TICKER,"DEEP_MEASURE_PERIOD_BROKER_VALUE","DEEP_MEASURE_ID_OVERRIDE",$C240,"DEEP_BROKER_ID_OVERRIDE",$F$7,"DEEP_PERIOD_OVERRIDE",P$11)*1,"")))</f>
        <v/>
      </c>
      <c r="Q240" s="17" t="str">
        <f>IF(ISNA($B240),"",IF($B240="","",IFERROR(_xll.BDP(TICKER,"DEEP_MEASURE_PERIOD_BROKER_VALUE","DEEP_MEASURE_ID_OVERRIDE",$C240,"DEEP_BROKER_ID_OVERRIDE",$F$7,"DEEP_PERIOD_OVERRIDE",Q$11)*1,"")))</f>
        <v/>
      </c>
      <c r="R240" s="17" t="str">
        <f>IF(ISNA($B240),"",IF($B240="","",IFERROR(_xll.BDP(TICKER,"DEEP_MEASURE_PERIOD_BROKER_VALUE","DEEP_MEASURE_ID_OVERRIDE",$C240,"DEEP_BROKER_ID_OVERRIDE",$F$7,"DEEP_PERIOD_OVERRIDE",R$11)*1,"")))</f>
        <v/>
      </c>
      <c r="S240" s="17" t="str">
        <f>IF(ISNA($B240),"",IF($B240="","",IFERROR(_xll.BDP(TICKER,"DEEP_MEASURE_PERIOD_BROKER_VALUE","DEEP_MEASURE_ID_OVERRIDE",$C240,"DEEP_BROKER_ID_OVERRIDE",$F$7,"DEEP_PERIOD_OVERRIDE",S$11)*1,"")))</f>
        <v/>
      </c>
      <c r="T240" s="17" t="str">
        <f>IF(ISNA($B240),"",IF($B240="","",IFERROR(_xll.BDP(TICKER,"DEEP_MEASURE_PERIOD_BROKER_VALUE","DEEP_MEASURE_ID_OVERRIDE",$C240,"DEEP_BROKER_ID_OVERRIDE",$F$7,"DEEP_PERIOD_OVERRIDE",T$11)*1,"")))</f>
        <v/>
      </c>
      <c r="U240" s="17" t="str">
        <f>IF(ISNA($B240),"",IF($B240="","",IFERROR(_xll.BDP(TICKER,"DEEP_MEASURE_PERIOD_BROKER_VALUE","DEEP_MEASURE_ID_OVERRIDE",$C240,"DEEP_BROKER_ID_OVERRIDE",$F$7,"DEEP_PERIOD_OVERRIDE",U$11)*1,"")))</f>
        <v/>
      </c>
      <c r="V240" s="17" t="str">
        <f>IF(ISNA($B240),"",IF($B240="","",IFERROR(_xll.BDP(TICKER,"DEEP_MEASURE_PERIOD_BROKER_VALUE","DEEP_MEASURE_ID_OVERRIDE",$C240,"DEEP_BROKER_ID_OVERRIDE",$F$7,"DEEP_PERIOD_OVERRIDE",V$11)*1,"")))</f>
        <v/>
      </c>
      <c r="W240" s="17" t="str">
        <f>IF(ISNA($B240),"",IF($B240="","",IFERROR(_xll.BDP(TICKER,"DEEP_MEASURE_PERIOD_BROKER_VALUE","DEEP_MEASURE_ID_OVERRIDE",$C240,"DEEP_BROKER_ID_OVERRIDE",$F$7,"DEEP_PERIOD_OVERRIDE",W$11)*1,"")))</f>
        <v/>
      </c>
      <c r="X240" s="17" t="str">
        <f>IF(ISNA($B240),"",IF($B240="","",IFERROR(_xll.BDP(TICKER,"DEEP_MEASURE_PERIOD_BROKER_VALUE","DEEP_MEASURE_ID_OVERRIDE",$C240,"DEEP_BROKER_ID_OVERRIDE",$F$7,"DEEP_PERIOD_OVERRIDE",X$11)*1,"")))</f>
        <v/>
      </c>
      <c r="Y240" s="17" t="str">
        <f>IF(ISNA($B240),"",IF($B240="","",IFERROR(_xll.BDP(TICKER,"DEEP_MEASURE_PERIOD_BROKER_VALUE","DEEP_MEASURE_ID_OVERRIDE",$C240,"DEEP_BROKER_ID_OVERRIDE",$F$7,"DEEP_PERIOD_OVERRIDE",Y$11)*1,"")))</f>
        <v/>
      </c>
      <c r="Z240" s="17" t="str">
        <f>IF(ISNA($B240),"",IF($B240="","",IFERROR(_xll.BDP(TICKER,"DEEP_MEASURE_PERIOD_BROKER_VALUE","DEEP_MEASURE_ID_OVERRIDE",$C240,"DEEP_BROKER_ID_OVERRIDE",$F$7,"DEEP_PERIOD_OVERRIDE",Z$11)*1,"")))</f>
        <v/>
      </c>
      <c r="AA240" s="17" t="str">
        <f>IF(ISNA($B240),"",IF($B240="","",IFERROR(_xll.BDP(TICKER,"DEEP_MEASURE_PERIOD_BROKER_VALUE","DEEP_MEASURE_ID_OVERRIDE",$C240,"DEEP_BROKER_ID_OVERRIDE",$F$7,"DEEP_PERIOD_OVERRIDE",AA$11)*1,"")))</f>
        <v/>
      </c>
      <c r="AB240" s="17" t="str">
        <f>IF(ISNA($B240),"",IF($B240="","",IFERROR(_xll.BDP(TICKER,"DEEP_MEASURE_PERIOD_BROKER_VALUE","DEEP_MEASURE_ID_OVERRIDE",$C240,"DEEP_BROKER_ID_OVERRIDE",$F$7,"DEEP_PERIOD_OVERRIDE",AB$11)*1,"")))</f>
        <v/>
      </c>
      <c r="AC240" s="17" t="str">
        <f>IF(ISNA($B240),"",IF($B240="","",IFERROR(_xll.BDP(TICKER,"DEEP_MEASURE_PERIOD_BROKER_VALUE","DEEP_MEASURE_ID_OVERRIDE",$C240,"DEEP_BROKER_ID_OVERRIDE",$F$7,"DEEP_PERIOD_OVERRIDE",AC$11)*1,"")))</f>
        <v/>
      </c>
      <c r="AD240" s="17" t="str">
        <f>IF(ISNA($B240),"",IF($B240="","",IFERROR(_xll.BDP(TICKER,"DEEP_MEASURE_PERIOD_BROKER_VALUE","DEEP_MEASURE_ID_OVERRIDE",$C240,"DEEP_BROKER_ID_OVERRIDE",$F$7,"DEEP_PERIOD_OVERRIDE",AD$11)*1,"")))</f>
        <v/>
      </c>
      <c r="AE240" s="17" t="str">
        <f>IF(ISNA($B240),"",IF($B240="","",IFERROR(_xll.BDP(TICKER,"DEEP_MEASURE_PERIOD_BROKER_VALUE","DEEP_MEASURE_ID_OVERRIDE",$C240,"DEEP_BROKER_ID_OVERRIDE",$F$7,"DEEP_PERIOD_OVERRIDE",AE$11)*1,"")))</f>
        <v/>
      </c>
      <c r="AF240" s="17" t="str">
        <f>IF(ISNA($B240),"",IF($B240="","",IFERROR(_xll.BDP(TICKER,"DEEP_MEASURE_PERIOD_BROKER_VALUE","DEEP_MEASURE_ID_OVERRIDE",$C240,"DEEP_BROKER_ID_OVERRIDE",$F$7,"DEEP_PERIOD_OVERRIDE",AF$11)*1,"")))</f>
        <v/>
      </c>
      <c r="AG240" s="17" t="str">
        <f>IF(ISNA($B240),"",IF($B240="","",IFERROR(_xll.BDP(TICKER,"DEEP_MEASURE_PERIOD_BROKER_VALUE","DEEP_MEASURE_ID_OVERRIDE",$C240,"DEEP_BROKER_ID_OVERRIDE",$F$7,"DEEP_PERIOD_OVERRIDE",AG$11)*1,"")))</f>
        <v/>
      </c>
      <c r="AH240" s="17" t="str">
        <f>IF(ISNA($B240),"",IF($B240="","",IFERROR(_xll.BDP(TICKER,"DEEP_MEASURE_PERIOD_BROKER_VALUE","DEEP_MEASURE_ID_OVERRIDE",$C240,"DEEP_BROKER_ID_OVERRIDE",$F$7,"DEEP_PERIOD_OVERRIDE",AH$11)*1,"")))</f>
        <v/>
      </c>
      <c r="AI240" s="17" t="str">
        <f>IF(ISNA($B240),"",IF($B240="","",IFERROR(_xll.BDP(TICKER,"DEEP_MEASURE_PERIOD_BROKER_VALUE","DEEP_MEASURE_ID_OVERRIDE",$C240,"DEEP_BROKER_ID_OVERRIDE",$F$7,"DEEP_PERIOD_OVERRIDE",AI$11)*1,"")))</f>
        <v/>
      </c>
      <c r="AJ240" s="17" t="str">
        <f>IF(ISNA($B240),"",IF($B240="","",IFERROR(_xll.BDP(TICKER,"DEEP_MEASURE_PERIOD_BROKER_VALUE","DEEP_MEASURE_ID_OVERRIDE",$C240,"DEEP_BROKER_ID_OVERRIDE",$F$7,"DEEP_PERIOD_OVERRIDE",AJ$11)*1,"")))</f>
        <v/>
      </c>
      <c r="AK240" s="17" t="str">
        <f>IF(ISNA($B240),"",IF($B240="","",IFERROR(_xll.BDP(TICKER,"DEEP_MEASURE_PERIOD_BROKER_VALUE","DEEP_MEASURE_ID_OVERRIDE",$C240,"DEEP_BROKER_ID_OVERRIDE",$F$7,"DEEP_PERIOD_OVERRIDE",AK$11)*1,"")))</f>
        <v/>
      </c>
      <c r="AL240" s="17" t="str">
        <f>IF(ISNA($B240),"",IF($B240="","",IFERROR(_xll.BDP(TICKER,"DEEP_MEASURE_PERIOD_BROKER_VALUE","DEEP_MEASURE_ID_OVERRIDE",$C240,"DEEP_BROKER_ID_OVERRIDE",$F$7,"DEEP_PERIOD_OVERRIDE",AL$11)*1,"")))</f>
        <v/>
      </c>
      <c r="AM240" s="17" t="str">
        <f>IF(ISNA($B240),"",IF($B240="","",IFERROR(_xll.BDP(TICKER,"DEEP_MEASURE_PERIOD_BROKER_VALUE","DEEP_MEASURE_ID_OVERRIDE",$C240,"DEEP_BROKER_ID_OVERRIDE",$F$7,"DEEP_PERIOD_OVERRIDE",AM$11)*1,"")))</f>
        <v/>
      </c>
      <c r="AN240" s="17" t="str">
        <f>IF(ISNA($B240),"",IF($B240="","",IFERROR(_xll.BDP(TICKER,"DEEP_MEASURE_PERIOD_BROKER_VALUE","DEEP_MEASURE_ID_OVERRIDE",$C240,"DEEP_BROKER_ID_OVERRIDE",$F$7,"DEEP_PERIOD_OVERRIDE",AN$11)*1,"")))</f>
        <v/>
      </c>
      <c r="AO240" s="17" t="str">
        <f>IF(ISNA($B240),"",IF($B240="","",IFERROR(_xll.BDP(TICKER,"DEEP_MEASURE_PERIOD_BROKER_VALUE","DEEP_MEASURE_ID_OVERRIDE",$C240,"DEEP_BROKER_ID_OVERRIDE",$F$7,"DEEP_PERIOD_OVERRIDE",AO$11)*1,"")))</f>
        <v/>
      </c>
      <c r="AP240" s="17" t="str">
        <f>IF(ISNA($B240),"",IF($B240="","",IFERROR(_xll.BDP(TICKER,"DEEP_MEASURE_PERIOD_BROKER_VALUE","DEEP_MEASURE_ID_OVERRIDE",$C240,"DEEP_BROKER_ID_OVERRIDE",$F$7,"DEEP_PERIOD_OVERRIDE",AP$11)*1,"")))</f>
        <v/>
      </c>
      <c r="AQ240" s="17" t="str">
        <f>IF(ISNA($B240),"",IF($B240="","",IFERROR(_xll.BDP(TICKER,"DEEP_MEASURE_PERIOD_BROKER_VALUE","DEEP_MEASURE_ID_OVERRIDE",$C240,"DEEP_BROKER_ID_OVERRIDE",$F$7,"DEEP_PERIOD_OVERRIDE",AQ$11)*1,"")))</f>
        <v/>
      </c>
    </row>
    <row r="241" spans="8:43" x14ac:dyDescent="0.25">
      <c r="H241" t="str">
        <f t="shared" si="5"/>
        <v/>
      </c>
      <c r="I241" s="17" t="str">
        <f>IF(ISNA($B241),"",IF($B241="","",IFERROR(_xll.BDP(TICKER,"DEEP_MEASURE_PERIOD_BROKER_VALUE","DEEP_MEASURE_ID_OVERRIDE",$C241,"DEEP_BROKER_ID_OVERRIDE",$F$7,"DEEP_PERIOD_OVERRIDE",I$11)*1,"")))</f>
        <v/>
      </c>
      <c r="J241" s="17" t="str">
        <f>IF(ISNA($B241),"",IF($B241="","",IFERROR(_xll.BDP(TICKER,"DEEP_MEASURE_PERIOD_BROKER_VALUE","DEEP_MEASURE_ID_OVERRIDE",$C241,"DEEP_BROKER_ID_OVERRIDE",$F$7,"DEEP_PERIOD_OVERRIDE",J$11)*1,"")))</f>
        <v/>
      </c>
      <c r="K241" s="17" t="str">
        <f>IF(ISNA($B241),"",IF($B241="","",IFERROR(_xll.BDP(TICKER,"DEEP_MEASURE_PERIOD_BROKER_VALUE","DEEP_MEASURE_ID_OVERRIDE",$C241,"DEEP_BROKER_ID_OVERRIDE",$F$7,"DEEP_PERIOD_OVERRIDE",K$11)*1,"")))</f>
        <v/>
      </c>
      <c r="L241" s="17" t="str">
        <f>IF(ISNA($B241),"",IF($B241="","",IFERROR(_xll.BDP(TICKER,"DEEP_MEASURE_PERIOD_BROKER_VALUE","DEEP_MEASURE_ID_OVERRIDE",$C241,"DEEP_BROKER_ID_OVERRIDE",$F$7,"DEEP_PERIOD_OVERRIDE",L$11)*1,"")))</f>
        <v/>
      </c>
      <c r="M241" s="17" t="str">
        <f>IF(ISNA($B241),"",IF($B241="","",IFERROR(_xll.BDP(TICKER,"DEEP_MEASURE_PERIOD_BROKER_VALUE","DEEP_MEASURE_ID_OVERRIDE",$C241,"DEEP_BROKER_ID_OVERRIDE",$F$7,"DEEP_PERIOD_OVERRIDE",M$11)*1,"")))</f>
        <v/>
      </c>
      <c r="N241" s="17" t="str">
        <f>IF(ISNA($B241),"",IF($B241="","",IFERROR(_xll.BDP(TICKER,"DEEP_MEASURE_PERIOD_BROKER_VALUE","DEEP_MEASURE_ID_OVERRIDE",$C241,"DEEP_BROKER_ID_OVERRIDE",$F$7,"DEEP_PERIOD_OVERRIDE",N$11)*1,"")))</f>
        <v/>
      </c>
      <c r="O241" s="17" t="str">
        <f>IF(ISNA($B241),"",IF($B241="","",IFERROR(_xll.BDP(TICKER,"DEEP_MEASURE_PERIOD_BROKER_VALUE","DEEP_MEASURE_ID_OVERRIDE",$C241,"DEEP_BROKER_ID_OVERRIDE",$F$7,"DEEP_PERIOD_OVERRIDE",O$11)*1,"")))</f>
        <v/>
      </c>
      <c r="P241" s="17" t="str">
        <f>IF(ISNA($B241),"",IF($B241="","",IFERROR(_xll.BDP(TICKER,"DEEP_MEASURE_PERIOD_BROKER_VALUE","DEEP_MEASURE_ID_OVERRIDE",$C241,"DEEP_BROKER_ID_OVERRIDE",$F$7,"DEEP_PERIOD_OVERRIDE",P$11)*1,"")))</f>
        <v/>
      </c>
      <c r="Q241" s="17" t="str">
        <f>IF(ISNA($B241),"",IF($B241="","",IFERROR(_xll.BDP(TICKER,"DEEP_MEASURE_PERIOD_BROKER_VALUE","DEEP_MEASURE_ID_OVERRIDE",$C241,"DEEP_BROKER_ID_OVERRIDE",$F$7,"DEEP_PERIOD_OVERRIDE",Q$11)*1,"")))</f>
        <v/>
      </c>
      <c r="R241" s="17" t="str">
        <f>IF(ISNA($B241),"",IF($B241="","",IFERROR(_xll.BDP(TICKER,"DEEP_MEASURE_PERIOD_BROKER_VALUE","DEEP_MEASURE_ID_OVERRIDE",$C241,"DEEP_BROKER_ID_OVERRIDE",$F$7,"DEEP_PERIOD_OVERRIDE",R$11)*1,"")))</f>
        <v/>
      </c>
      <c r="S241" s="17" t="str">
        <f>IF(ISNA($B241),"",IF($B241="","",IFERROR(_xll.BDP(TICKER,"DEEP_MEASURE_PERIOD_BROKER_VALUE","DEEP_MEASURE_ID_OVERRIDE",$C241,"DEEP_BROKER_ID_OVERRIDE",$F$7,"DEEP_PERIOD_OVERRIDE",S$11)*1,"")))</f>
        <v/>
      </c>
      <c r="T241" s="17" t="str">
        <f>IF(ISNA($B241),"",IF($B241="","",IFERROR(_xll.BDP(TICKER,"DEEP_MEASURE_PERIOD_BROKER_VALUE","DEEP_MEASURE_ID_OVERRIDE",$C241,"DEEP_BROKER_ID_OVERRIDE",$F$7,"DEEP_PERIOD_OVERRIDE",T$11)*1,"")))</f>
        <v/>
      </c>
      <c r="U241" s="17" t="str">
        <f>IF(ISNA($B241),"",IF($B241="","",IFERROR(_xll.BDP(TICKER,"DEEP_MEASURE_PERIOD_BROKER_VALUE","DEEP_MEASURE_ID_OVERRIDE",$C241,"DEEP_BROKER_ID_OVERRIDE",$F$7,"DEEP_PERIOD_OVERRIDE",U$11)*1,"")))</f>
        <v/>
      </c>
      <c r="V241" s="17" t="str">
        <f>IF(ISNA($B241),"",IF($B241="","",IFERROR(_xll.BDP(TICKER,"DEEP_MEASURE_PERIOD_BROKER_VALUE","DEEP_MEASURE_ID_OVERRIDE",$C241,"DEEP_BROKER_ID_OVERRIDE",$F$7,"DEEP_PERIOD_OVERRIDE",V$11)*1,"")))</f>
        <v/>
      </c>
      <c r="W241" s="17" t="str">
        <f>IF(ISNA($B241),"",IF($B241="","",IFERROR(_xll.BDP(TICKER,"DEEP_MEASURE_PERIOD_BROKER_VALUE","DEEP_MEASURE_ID_OVERRIDE",$C241,"DEEP_BROKER_ID_OVERRIDE",$F$7,"DEEP_PERIOD_OVERRIDE",W$11)*1,"")))</f>
        <v/>
      </c>
      <c r="X241" s="17" t="str">
        <f>IF(ISNA($B241),"",IF($B241="","",IFERROR(_xll.BDP(TICKER,"DEEP_MEASURE_PERIOD_BROKER_VALUE","DEEP_MEASURE_ID_OVERRIDE",$C241,"DEEP_BROKER_ID_OVERRIDE",$F$7,"DEEP_PERIOD_OVERRIDE",X$11)*1,"")))</f>
        <v/>
      </c>
      <c r="Y241" s="17" t="str">
        <f>IF(ISNA($B241),"",IF($B241="","",IFERROR(_xll.BDP(TICKER,"DEEP_MEASURE_PERIOD_BROKER_VALUE","DEEP_MEASURE_ID_OVERRIDE",$C241,"DEEP_BROKER_ID_OVERRIDE",$F$7,"DEEP_PERIOD_OVERRIDE",Y$11)*1,"")))</f>
        <v/>
      </c>
      <c r="Z241" s="17" t="str">
        <f>IF(ISNA($B241),"",IF($B241="","",IFERROR(_xll.BDP(TICKER,"DEEP_MEASURE_PERIOD_BROKER_VALUE","DEEP_MEASURE_ID_OVERRIDE",$C241,"DEEP_BROKER_ID_OVERRIDE",$F$7,"DEEP_PERIOD_OVERRIDE",Z$11)*1,"")))</f>
        <v/>
      </c>
      <c r="AA241" s="17" t="str">
        <f>IF(ISNA($B241),"",IF($B241="","",IFERROR(_xll.BDP(TICKER,"DEEP_MEASURE_PERIOD_BROKER_VALUE","DEEP_MEASURE_ID_OVERRIDE",$C241,"DEEP_BROKER_ID_OVERRIDE",$F$7,"DEEP_PERIOD_OVERRIDE",AA$11)*1,"")))</f>
        <v/>
      </c>
      <c r="AB241" s="17" t="str">
        <f>IF(ISNA($B241),"",IF($B241="","",IFERROR(_xll.BDP(TICKER,"DEEP_MEASURE_PERIOD_BROKER_VALUE","DEEP_MEASURE_ID_OVERRIDE",$C241,"DEEP_BROKER_ID_OVERRIDE",$F$7,"DEEP_PERIOD_OVERRIDE",AB$11)*1,"")))</f>
        <v/>
      </c>
      <c r="AC241" s="17" t="str">
        <f>IF(ISNA($B241),"",IF($B241="","",IFERROR(_xll.BDP(TICKER,"DEEP_MEASURE_PERIOD_BROKER_VALUE","DEEP_MEASURE_ID_OVERRIDE",$C241,"DEEP_BROKER_ID_OVERRIDE",$F$7,"DEEP_PERIOD_OVERRIDE",AC$11)*1,"")))</f>
        <v/>
      </c>
      <c r="AD241" s="17" t="str">
        <f>IF(ISNA($B241),"",IF($B241="","",IFERROR(_xll.BDP(TICKER,"DEEP_MEASURE_PERIOD_BROKER_VALUE","DEEP_MEASURE_ID_OVERRIDE",$C241,"DEEP_BROKER_ID_OVERRIDE",$F$7,"DEEP_PERIOD_OVERRIDE",AD$11)*1,"")))</f>
        <v/>
      </c>
      <c r="AE241" s="17" t="str">
        <f>IF(ISNA($B241),"",IF($B241="","",IFERROR(_xll.BDP(TICKER,"DEEP_MEASURE_PERIOD_BROKER_VALUE","DEEP_MEASURE_ID_OVERRIDE",$C241,"DEEP_BROKER_ID_OVERRIDE",$F$7,"DEEP_PERIOD_OVERRIDE",AE$11)*1,"")))</f>
        <v/>
      </c>
      <c r="AF241" s="17" t="str">
        <f>IF(ISNA($B241),"",IF($B241="","",IFERROR(_xll.BDP(TICKER,"DEEP_MEASURE_PERIOD_BROKER_VALUE","DEEP_MEASURE_ID_OVERRIDE",$C241,"DEEP_BROKER_ID_OVERRIDE",$F$7,"DEEP_PERIOD_OVERRIDE",AF$11)*1,"")))</f>
        <v/>
      </c>
      <c r="AG241" s="17" t="str">
        <f>IF(ISNA($B241),"",IF($B241="","",IFERROR(_xll.BDP(TICKER,"DEEP_MEASURE_PERIOD_BROKER_VALUE","DEEP_MEASURE_ID_OVERRIDE",$C241,"DEEP_BROKER_ID_OVERRIDE",$F$7,"DEEP_PERIOD_OVERRIDE",AG$11)*1,"")))</f>
        <v/>
      </c>
      <c r="AH241" s="17" t="str">
        <f>IF(ISNA($B241),"",IF($B241="","",IFERROR(_xll.BDP(TICKER,"DEEP_MEASURE_PERIOD_BROKER_VALUE","DEEP_MEASURE_ID_OVERRIDE",$C241,"DEEP_BROKER_ID_OVERRIDE",$F$7,"DEEP_PERIOD_OVERRIDE",AH$11)*1,"")))</f>
        <v/>
      </c>
      <c r="AI241" s="17" t="str">
        <f>IF(ISNA($B241),"",IF($B241="","",IFERROR(_xll.BDP(TICKER,"DEEP_MEASURE_PERIOD_BROKER_VALUE","DEEP_MEASURE_ID_OVERRIDE",$C241,"DEEP_BROKER_ID_OVERRIDE",$F$7,"DEEP_PERIOD_OVERRIDE",AI$11)*1,"")))</f>
        <v/>
      </c>
      <c r="AJ241" s="17" t="str">
        <f>IF(ISNA($B241),"",IF($B241="","",IFERROR(_xll.BDP(TICKER,"DEEP_MEASURE_PERIOD_BROKER_VALUE","DEEP_MEASURE_ID_OVERRIDE",$C241,"DEEP_BROKER_ID_OVERRIDE",$F$7,"DEEP_PERIOD_OVERRIDE",AJ$11)*1,"")))</f>
        <v/>
      </c>
      <c r="AK241" s="17" t="str">
        <f>IF(ISNA($B241),"",IF($B241="","",IFERROR(_xll.BDP(TICKER,"DEEP_MEASURE_PERIOD_BROKER_VALUE","DEEP_MEASURE_ID_OVERRIDE",$C241,"DEEP_BROKER_ID_OVERRIDE",$F$7,"DEEP_PERIOD_OVERRIDE",AK$11)*1,"")))</f>
        <v/>
      </c>
      <c r="AL241" s="17" t="str">
        <f>IF(ISNA($B241),"",IF($B241="","",IFERROR(_xll.BDP(TICKER,"DEEP_MEASURE_PERIOD_BROKER_VALUE","DEEP_MEASURE_ID_OVERRIDE",$C241,"DEEP_BROKER_ID_OVERRIDE",$F$7,"DEEP_PERIOD_OVERRIDE",AL$11)*1,"")))</f>
        <v/>
      </c>
      <c r="AM241" s="17" t="str">
        <f>IF(ISNA($B241),"",IF($B241="","",IFERROR(_xll.BDP(TICKER,"DEEP_MEASURE_PERIOD_BROKER_VALUE","DEEP_MEASURE_ID_OVERRIDE",$C241,"DEEP_BROKER_ID_OVERRIDE",$F$7,"DEEP_PERIOD_OVERRIDE",AM$11)*1,"")))</f>
        <v/>
      </c>
      <c r="AN241" s="17" t="str">
        <f>IF(ISNA($B241),"",IF($B241="","",IFERROR(_xll.BDP(TICKER,"DEEP_MEASURE_PERIOD_BROKER_VALUE","DEEP_MEASURE_ID_OVERRIDE",$C241,"DEEP_BROKER_ID_OVERRIDE",$F$7,"DEEP_PERIOD_OVERRIDE",AN$11)*1,"")))</f>
        <v/>
      </c>
      <c r="AO241" s="17" t="str">
        <f>IF(ISNA($B241),"",IF($B241="","",IFERROR(_xll.BDP(TICKER,"DEEP_MEASURE_PERIOD_BROKER_VALUE","DEEP_MEASURE_ID_OVERRIDE",$C241,"DEEP_BROKER_ID_OVERRIDE",$F$7,"DEEP_PERIOD_OVERRIDE",AO$11)*1,"")))</f>
        <v/>
      </c>
      <c r="AP241" s="17" t="str">
        <f>IF(ISNA($B241),"",IF($B241="","",IFERROR(_xll.BDP(TICKER,"DEEP_MEASURE_PERIOD_BROKER_VALUE","DEEP_MEASURE_ID_OVERRIDE",$C241,"DEEP_BROKER_ID_OVERRIDE",$F$7,"DEEP_PERIOD_OVERRIDE",AP$11)*1,"")))</f>
        <v/>
      </c>
      <c r="AQ241" s="17" t="str">
        <f>IF(ISNA($B241),"",IF($B241="","",IFERROR(_xll.BDP(TICKER,"DEEP_MEASURE_PERIOD_BROKER_VALUE","DEEP_MEASURE_ID_OVERRIDE",$C241,"DEEP_BROKER_ID_OVERRIDE",$F$7,"DEEP_PERIOD_OVERRIDE",AQ$11)*1,"")))</f>
        <v/>
      </c>
    </row>
    <row r="242" spans="8:43" x14ac:dyDescent="0.25">
      <c r="H242" t="str">
        <f t="shared" si="5"/>
        <v/>
      </c>
      <c r="I242" s="17" t="str">
        <f>IF(ISNA($B242),"",IF($B242="","",IFERROR(_xll.BDP(TICKER,"DEEP_MEASURE_PERIOD_BROKER_VALUE","DEEP_MEASURE_ID_OVERRIDE",$C242,"DEEP_BROKER_ID_OVERRIDE",$F$7,"DEEP_PERIOD_OVERRIDE",I$11)*1,"")))</f>
        <v/>
      </c>
      <c r="J242" s="17" t="str">
        <f>IF(ISNA($B242),"",IF($B242="","",IFERROR(_xll.BDP(TICKER,"DEEP_MEASURE_PERIOD_BROKER_VALUE","DEEP_MEASURE_ID_OVERRIDE",$C242,"DEEP_BROKER_ID_OVERRIDE",$F$7,"DEEP_PERIOD_OVERRIDE",J$11)*1,"")))</f>
        <v/>
      </c>
      <c r="K242" s="17" t="str">
        <f>IF(ISNA($B242),"",IF($B242="","",IFERROR(_xll.BDP(TICKER,"DEEP_MEASURE_PERIOD_BROKER_VALUE","DEEP_MEASURE_ID_OVERRIDE",$C242,"DEEP_BROKER_ID_OVERRIDE",$F$7,"DEEP_PERIOD_OVERRIDE",K$11)*1,"")))</f>
        <v/>
      </c>
      <c r="L242" s="17" t="str">
        <f>IF(ISNA($B242),"",IF($B242="","",IFERROR(_xll.BDP(TICKER,"DEEP_MEASURE_PERIOD_BROKER_VALUE","DEEP_MEASURE_ID_OVERRIDE",$C242,"DEEP_BROKER_ID_OVERRIDE",$F$7,"DEEP_PERIOD_OVERRIDE",L$11)*1,"")))</f>
        <v/>
      </c>
      <c r="M242" s="17" t="str">
        <f>IF(ISNA($B242),"",IF($B242="","",IFERROR(_xll.BDP(TICKER,"DEEP_MEASURE_PERIOD_BROKER_VALUE","DEEP_MEASURE_ID_OVERRIDE",$C242,"DEEP_BROKER_ID_OVERRIDE",$F$7,"DEEP_PERIOD_OVERRIDE",M$11)*1,"")))</f>
        <v/>
      </c>
      <c r="N242" s="17" t="str">
        <f>IF(ISNA($B242),"",IF($B242="","",IFERROR(_xll.BDP(TICKER,"DEEP_MEASURE_PERIOD_BROKER_VALUE","DEEP_MEASURE_ID_OVERRIDE",$C242,"DEEP_BROKER_ID_OVERRIDE",$F$7,"DEEP_PERIOD_OVERRIDE",N$11)*1,"")))</f>
        <v/>
      </c>
      <c r="O242" s="17" t="str">
        <f>IF(ISNA($B242),"",IF($B242="","",IFERROR(_xll.BDP(TICKER,"DEEP_MEASURE_PERIOD_BROKER_VALUE","DEEP_MEASURE_ID_OVERRIDE",$C242,"DEEP_BROKER_ID_OVERRIDE",$F$7,"DEEP_PERIOD_OVERRIDE",O$11)*1,"")))</f>
        <v/>
      </c>
      <c r="P242" s="17" t="str">
        <f>IF(ISNA($B242),"",IF($B242="","",IFERROR(_xll.BDP(TICKER,"DEEP_MEASURE_PERIOD_BROKER_VALUE","DEEP_MEASURE_ID_OVERRIDE",$C242,"DEEP_BROKER_ID_OVERRIDE",$F$7,"DEEP_PERIOD_OVERRIDE",P$11)*1,"")))</f>
        <v/>
      </c>
      <c r="Q242" s="17" t="str">
        <f>IF(ISNA($B242),"",IF($B242="","",IFERROR(_xll.BDP(TICKER,"DEEP_MEASURE_PERIOD_BROKER_VALUE","DEEP_MEASURE_ID_OVERRIDE",$C242,"DEEP_BROKER_ID_OVERRIDE",$F$7,"DEEP_PERIOD_OVERRIDE",Q$11)*1,"")))</f>
        <v/>
      </c>
      <c r="R242" s="17" t="str">
        <f>IF(ISNA($B242),"",IF($B242="","",IFERROR(_xll.BDP(TICKER,"DEEP_MEASURE_PERIOD_BROKER_VALUE","DEEP_MEASURE_ID_OVERRIDE",$C242,"DEEP_BROKER_ID_OVERRIDE",$F$7,"DEEP_PERIOD_OVERRIDE",R$11)*1,"")))</f>
        <v/>
      </c>
      <c r="S242" s="17" t="str">
        <f>IF(ISNA($B242),"",IF($B242="","",IFERROR(_xll.BDP(TICKER,"DEEP_MEASURE_PERIOD_BROKER_VALUE","DEEP_MEASURE_ID_OVERRIDE",$C242,"DEEP_BROKER_ID_OVERRIDE",$F$7,"DEEP_PERIOD_OVERRIDE",S$11)*1,"")))</f>
        <v/>
      </c>
      <c r="T242" s="17" t="str">
        <f>IF(ISNA($B242),"",IF($B242="","",IFERROR(_xll.BDP(TICKER,"DEEP_MEASURE_PERIOD_BROKER_VALUE","DEEP_MEASURE_ID_OVERRIDE",$C242,"DEEP_BROKER_ID_OVERRIDE",$F$7,"DEEP_PERIOD_OVERRIDE",T$11)*1,"")))</f>
        <v/>
      </c>
      <c r="U242" s="17" t="str">
        <f>IF(ISNA($B242),"",IF($B242="","",IFERROR(_xll.BDP(TICKER,"DEEP_MEASURE_PERIOD_BROKER_VALUE","DEEP_MEASURE_ID_OVERRIDE",$C242,"DEEP_BROKER_ID_OVERRIDE",$F$7,"DEEP_PERIOD_OVERRIDE",U$11)*1,"")))</f>
        <v/>
      </c>
      <c r="V242" s="17" t="str">
        <f>IF(ISNA($B242),"",IF($B242="","",IFERROR(_xll.BDP(TICKER,"DEEP_MEASURE_PERIOD_BROKER_VALUE","DEEP_MEASURE_ID_OVERRIDE",$C242,"DEEP_BROKER_ID_OVERRIDE",$F$7,"DEEP_PERIOD_OVERRIDE",V$11)*1,"")))</f>
        <v/>
      </c>
      <c r="W242" s="17" t="str">
        <f>IF(ISNA($B242),"",IF($B242="","",IFERROR(_xll.BDP(TICKER,"DEEP_MEASURE_PERIOD_BROKER_VALUE","DEEP_MEASURE_ID_OVERRIDE",$C242,"DEEP_BROKER_ID_OVERRIDE",$F$7,"DEEP_PERIOD_OVERRIDE",W$11)*1,"")))</f>
        <v/>
      </c>
      <c r="X242" s="17" t="str">
        <f>IF(ISNA($B242),"",IF($B242="","",IFERROR(_xll.BDP(TICKER,"DEEP_MEASURE_PERIOD_BROKER_VALUE","DEEP_MEASURE_ID_OVERRIDE",$C242,"DEEP_BROKER_ID_OVERRIDE",$F$7,"DEEP_PERIOD_OVERRIDE",X$11)*1,"")))</f>
        <v/>
      </c>
      <c r="Y242" s="17" t="str">
        <f>IF(ISNA($B242),"",IF($B242="","",IFERROR(_xll.BDP(TICKER,"DEEP_MEASURE_PERIOD_BROKER_VALUE","DEEP_MEASURE_ID_OVERRIDE",$C242,"DEEP_BROKER_ID_OVERRIDE",$F$7,"DEEP_PERIOD_OVERRIDE",Y$11)*1,"")))</f>
        <v/>
      </c>
      <c r="Z242" s="17" t="str">
        <f>IF(ISNA($B242),"",IF($B242="","",IFERROR(_xll.BDP(TICKER,"DEEP_MEASURE_PERIOD_BROKER_VALUE","DEEP_MEASURE_ID_OVERRIDE",$C242,"DEEP_BROKER_ID_OVERRIDE",$F$7,"DEEP_PERIOD_OVERRIDE",Z$11)*1,"")))</f>
        <v/>
      </c>
      <c r="AA242" s="17" t="str">
        <f>IF(ISNA($B242),"",IF($B242="","",IFERROR(_xll.BDP(TICKER,"DEEP_MEASURE_PERIOD_BROKER_VALUE","DEEP_MEASURE_ID_OVERRIDE",$C242,"DEEP_BROKER_ID_OVERRIDE",$F$7,"DEEP_PERIOD_OVERRIDE",AA$11)*1,"")))</f>
        <v/>
      </c>
      <c r="AB242" s="17" t="str">
        <f>IF(ISNA($B242),"",IF($B242="","",IFERROR(_xll.BDP(TICKER,"DEEP_MEASURE_PERIOD_BROKER_VALUE","DEEP_MEASURE_ID_OVERRIDE",$C242,"DEEP_BROKER_ID_OVERRIDE",$F$7,"DEEP_PERIOD_OVERRIDE",AB$11)*1,"")))</f>
        <v/>
      </c>
      <c r="AC242" s="17" t="str">
        <f>IF(ISNA($B242),"",IF($B242="","",IFERROR(_xll.BDP(TICKER,"DEEP_MEASURE_PERIOD_BROKER_VALUE","DEEP_MEASURE_ID_OVERRIDE",$C242,"DEEP_BROKER_ID_OVERRIDE",$F$7,"DEEP_PERIOD_OVERRIDE",AC$11)*1,"")))</f>
        <v/>
      </c>
      <c r="AD242" s="17" t="str">
        <f>IF(ISNA($B242),"",IF($B242="","",IFERROR(_xll.BDP(TICKER,"DEEP_MEASURE_PERIOD_BROKER_VALUE","DEEP_MEASURE_ID_OVERRIDE",$C242,"DEEP_BROKER_ID_OVERRIDE",$F$7,"DEEP_PERIOD_OVERRIDE",AD$11)*1,"")))</f>
        <v/>
      </c>
      <c r="AE242" s="17" t="str">
        <f>IF(ISNA($B242),"",IF($B242="","",IFERROR(_xll.BDP(TICKER,"DEEP_MEASURE_PERIOD_BROKER_VALUE","DEEP_MEASURE_ID_OVERRIDE",$C242,"DEEP_BROKER_ID_OVERRIDE",$F$7,"DEEP_PERIOD_OVERRIDE",AE$11)*1,"")))</f>
        <v/>
      </c>
      <c r="AF242" s="17" t="str">
        <f>IF(ISNA($B242),"",IF($B242="","",IFERROR(_xll.BDP(TICKER,"DEEP_MEASURE_PERIOD_BROKER_VALUE","DEEP_MEASURE_ID_OVERRIDE",$C242,"DEEP_BROKER_ID_OVERRIDE",$F$7,"DEEP_PERIOD_OVERRIDE",AF$11)*1,"")))</f>
        <v/>
      </c>
      <c r="AG242" s="17" t="str">
        <f>IF(ISNA($B242),"",IF($B242="","",IFERROR(_xll.BDP(TICKER,"DEEP_MEASURE_PERIOD_BROKER_VALUE","DEEP_MEASURE_ID_OVERRIDE",$C242,"DEEP_BROKER_ID_OVERRIDE",$F$7,"DEEP_PERIOD_OVERRIDE",AG$11)*1,"")))</f>
        <v/>
      </c>
      <c r="AH242" s="17" t="str">
        <f>IF(ISNA($B242),"",IF($B242="","",IFERROR(_xll.BDP(TICKER,"DEEP_MEASURE_PERIOD_BROKER_VALUE","DEEP_MEASURE_ID_OVERRIDE",$C242,"DEEP_BROKER_ID_OVERRIDE",$F$7,"DEEP_PERIOD_OVERRIDE",AH$11)*1,"")))</f>
        <v/>
      </c>
      <c r="AI242" s="17" t="str">
        <f>IF(ISNA($B242),"",IF($B242="","",IFERROR(_xll.BDP(TICKER,"DEEP_MEASURE_PERIOD_BROKER_VALUE","DEEP_MEASURE_ID_OVERRIDE",$C242,"DEEP_BROKER_ID_OVERRIDE",$F$7,"DEEP_PERIOD_OVERRIDE",AI$11)*1,"")))</f>
        <v/>
      </c>
      <c r="AJ242" s="17" t="str">
        <f>IF(ISNA($B242),"",IF($B242="","",IFERROR(_xll.BDP(TICKER,"DEEP_MEASURE_PERIOD_BROKER_VALUE","DEEP_MEASURE_ID_OVERRIDE",$C242,"DEEP_BROKER_ID_OVERRIDE",$F$7,"DEEP_PERIOD_OVERRIDE",AJ$11)*1,"")))</f>
        <v/>
      </c>
      <c r="AK242" s="17" t="str">
        <f>IF(ISNA($B242),"",IF($B242="","",IFERROR(_xll.BDP(TICKER,"DEEP_MEASURE_PERIOD_BROKER_VALUE","DEEP_MEASURE_ID_OVERRIDE",$C242,"DEEP_BROKER_ID_OVERRIDE",$F$7,"DEEP_PERIOD_OVERRIDE",AK$11)*1,"")))</f>
        <v/>
      </c>
      <c r="AL242" s="17" t="str">
        <f>IF(ISNA($B242),"",IF($B242="","",IFERROR(_xll.BDP(TICKER,"DEEP_MEASURE_PERIOD_BROKER_VALUE","DEEP_MEASURE_ID_OVERRIDE",$C242,"DEEP_BROKER_ID_OVERRIDE",$F$7,"DEEP_PERIOD_OVERRIDE",AL$11)*1,"")))</f>
        <v/>
      </c>
      <c r="AM242" s="17" t="str">
        <f>IF(ISNA($B242),"",IF($B242="","",IFERROR(_xll.BDP(TICKER,"DEEP_MEASURE_PERIOD_BROKER_VALUE","DEEP_MEASURE_ID_OVERRIDE",$C242,"DEEP_BROKER_ID_OVERRIDE",$F$7,"DEEP_PERIOD_OVERRIDE",AM$11)*1,"")))</f>
        <v/>
      </c>
      <c r="AN242" s="17" t="str">
        <f>IF(ISNA($B242),"",IF($B242="","",IFERROR(_xll.BDP(TICKER,"DEEP_MEASURE_PERIOD_BROKER_VALUE","DEEP_MEASURE_ID_OVERRIDE",$C242,"DEEP_BROKER_ID_OVERRIDE",$F$7,"DEEP_PERIOD_OVERRIDE",AN$11)*1,"")))</f>
        <v/>
      </c>
      <c r="AO242" s="17" t="str">
        <f>IF(ISNA($B242),"",IF($B242="","",IFERROR(_xll.BDP(TICKER,"DEEP_MEASURE_PERIOD_BROKER_VALUE","DEEP_MEASURE_ID_OVERRIDE",$C242,"DEEP_BROKER_ID_OVERRIDE",$F$7,"DEEP_PERIOD_OVERRIDE",AO$11)*1,"")))</f>
        <v/>
      </c>
      <c r="AP242" s="17" t="str">
        <f>IF(ISNA($B242),"",IF($B242="","",IFERROR(_xll.BDP(TICKER,"DEEP_MEASURE_PERIOD_BROKER_VALUE","DEEP_MEASURE_ID_OVERRIDE",$C242,"DEEP_BROKER_ID_OVERRIDE",$F$7,"DEEP_PERIOD_OVERRIDE",AP$11)*1,"")))</f>
        <v/>
      </c>
      <c r="AQ242" s="17" t="str">
        <f>IF(ISNA($B242),"",IF($B242="","",IFERROR(_xll.BDP(TICKER,"DEEP_MEASURE_PERIOD_BROKER_VALUE","DEEP_MEASURE_ID_OVERRIDE",$C242,"DEEP_BROKER_ID_OVERRIDE",$F$7,"DEEP_PERIOD_OVERRIDE",AQ$11)*1,"")))</f>
        <v/>
      </c>
    </row>
    <row r="243" spans="8:43" x14ac:dyDescent="0.25">
      <c r="H243" t="str">
        <f t="shared" si="5"/>
        <v/>
      </c>
      <c r="I243" s="17" t="str">
        <f>IF(ISNA($B243),"",IF($B243="","",IFERROR(_xll.BDP(TICKER,"DEEP_MEASURE_PERIOD_BROKER_VALUE","DEEP_MEASURE_ID_OVERRIDE",$C243,"DEEP_BROKER_ID_OVERRIDE",$F$7,"DEEP_PERIOD_OVERRIDE",I$11)*1,"")))</f>
        <v/>
      </c>
      <c r="J243" s="17" t="str">
        <f>IF(ISNA($B243),"",IF($B243="","",IFERROR(_xll.BDP(TICKER,"DEEP_MEASURE_PERIOD_BROKER_VALUE","DEEP_MEASURE_ID_OVERRIDE",$C243,"DEEP_BROKER_ID_OVERRIDE",$F$7,"DEEP_PERIOD_OVERRIDE",J$11)*1,"")))</f>
        <v/>
      </c>
      <c r="K243" s="17" t="str">
        <f>IF(ISNA($B243),"",IF($B243="","",IFERROR(_xll.BDP(TICKER,"DEEP_MEASURE_PERIOD_BROKER_VALUE","DEEP_MEASURE_ID_OVERRIDE",$C243,"DEEP_BROKER_ID_OVERRIDE",$F$7,"DEEP_PERIOD_OVERRIDE",K$11)*1,"")))</f>
        <v/>
      </c>
      <c r="L243" s="17" t="str">
        <f>IF(ISNA($B243),"",IF($B243="","",IFERROR(_xll.BDP(TICKER,"DEEP_MEASURE_PERIOD_BROKER_VALUE","DEEP_MEASURE_ID_OVERRIDE",$C243,"DEEP_BROKER_ID_OVERRIDE",$F$7,"DEEP_PERIOD_OVERRIDE",L$11)*1,"")))</f>
        <v/>
      </c>
      <c r="M243" s="17" t="str">
        <f>IF(ISNA($B243),"",IF($B243="","",IFERROR(_xll.BDP(TICKER,"DEEP_MEASURE_PERIOD_BROKER_VALUE","DEEP_MEASURE_ID_OVERRIDE",$C243,"DEEP_BROKER_ID_OVERRIDE",$F$7,"DEEP_PERIOD_OVERRIDE",M$11)*1,"")))</f>
        <v/>
      </c>
      <c r="N243" s="17" t="str">
        <f>IF(ISNA($B243),"",IF($B243="","",IFERROR(_xll.BDP(TICKER,"DEEP_MEASURE_PERIOD_BROKER_VALUE","DEEP_MEASURE_ID_OVERRIDE",$C243,"DEEP_BROKER_ID_OVERRIDE",$F$7,"DEEP_PERIOD_OVERRIDE",N$11)*1,"")))</f>
        <v/>
      </c>
      <c r="O243" s="17" t="str">
        <f>IF(ISNA($B243),"",IF($B243="","",IFERROR(_xll.BDP(TICKER,"DEEP_MEASURE_PERIOD_BROKER_VALUE","DEEP_MEASURE_ID_OVERRIDE",$C243,"DEEP_BROKER_ID_OVERRIDE",$F$7,"DEEP_PERIOD_OVERRIDE",O$11)*1,"")))</f>
        <v/>
      </c>
      <c r="P243" s="17" t="str">
        <f>IF(ISNA($B243),"",IF($B243="","",IFERROR(_xll.BDP(TICKER,"DEEP_MEASURE_PERIOD_BROKER_VALUE","DEEP_MEASURE_ID_OVERRIDE",$C243,"DEEP_BROKER_ID_OVERRIDE",$F$7,"DEEP_PERIOD_OVERRIDE",P$11)*1,"")))</f>
        <v/>
      </c>
      <c r="Q243" s="17" t="str">
        <f>IF(ISNA($B243),"",IF($B243="","",IFERROR(_xll.BDP(TICKER,"DEEP_MEASURE_PERIOD_BROKER_VALUE","DEEP_MEASURE_ID_OVERRIDE",$C243,"DEEP_BROKER_ID_OVERRIDE",$F$7,"DEEP_PERIOD_OVERRIDE",Q$11)*1,"")))</f>
        <v/>
      </c>
      <c r="R243" s="17" t="str">
        <f>IF(ISNA($B243),"",IF($B243="","",IFERROR(_xll.BDP(TICKER,"DEEP_MEASURE_PERIOD_BROKER_VALUE","DEEP_MEASURE_ID_OVERRIDE",$C243,"DEEP_BROKER_ID_OVERRIDE",$F$7,"DEEP_PERIOD_OVERRIDE",R$11)*1,"")))</f>
        <v/>
      </c>
      <c r="S243" s="17" t="str">
        <f>IF(ISNA($B243),"",IF($B243="","",IFERROR(_xll.BDP(TICKER,"DEEP_MEASURE_PERIOD_BROKER_VALUE","DEEP_MEASURE_ID_OVERRIDE",$C243,"DEEP_BROKER_ID_OVERRIDE",$F$7,"DEEP_PERIOD_OVERRIDE",S$11)*1,"")))</f>
        <v/>
      </c>
      <c r="T243" s="17" t="str">
        <f>IF(ISNA($B243),"",IF($B243="","",IFERROR(_xll.BDP(TICKER,"DEEP_MEASURE_PERIOD_BROKER_VALUE","DEEP_MEASURE_ID_OVERRIDE",$C243,"DEEP_BROKER_ID_OVERRIDE",$F$7,"DEEP_PERIOD_OVERRIDE",T$11)*1,"")))</f>
        <v/>
      </c>
      <c r="U243" s="17" t="str">
        <f>IF(ISNA($B243),"",IF($B243="","",IFERROR(_xll.BDP(TICKER,"DEEP_MEASURE_PERIOD_BROKER_VALUE","DEEP_MEASURE_ID_OVERRIDE",$C243,"DEEP_BROKER_ID_OVERRIDE",$F$7,"DEEP_PERIOD_OVERRIDE",U$11)*1,"")))</f>
        <v/>
      </c>
      <c r="V243" s="17" t="str">
        <f>IF(ISNA($B243),"",IF($B243="","",IFERROR(_xll.BDP(TICKER,"DEEP_MEASURE_PERIOD_BROKER_VALUE","DEEP_MEASURE_ID_OVERRIDE",$C243,"DEEP_BROKER_ID_OVERRIDE",$F$7,"DEEP_PERIOD_OVERRIDE",V$11)*1,"")))</f>
        <v/>
      </c>
      <c r="W243" s="17" t="str">
        <f>IF(ISNA($B243),"",IF($B243="","",IFERROR(_xll.BDP(TICKER,"DEEP_MEASURE_PERIOD_BROKER_VALUE","DEEP_MEASURE_ID_OVERRIDE",$C243,"DEEP_BROKER_ID_OVERRIDE",$F$7,"DEEP_PERIOD_OVERRIDE",W$11)*1,"")))</f>
        <v/>
      </c>
      <c r="X243" s="17" t="str">
        <f>IF(ISNA($B243),"",IF($B243="","",IFERROR(_xll.BDP(TICKER,"DEEP_MEASURE_PERIOD_BROKER_VALUE","DEEP_MEASURE_ID_OVERRIDE",$C243,"DEEP_BROKER_ID_OVERRIDE",$F$7,"DEEP_PERIOD_OVERRIDE",X$11)*1,"")))</f>
        <v/>
      </c>
      <c r="Y243" s="17" t="str">
        <f>IF(ISNA($B243),"",IF($B243="","",IFERROR(_xll.BDP(TICKER,"DEEP_MEASURE_PERIOD_BROKER_VALUE","DEEP_MEASURE_ID_OVERRIDE",$C243,"DEEP_BROKER_ID_OVERRIDE",$F$7,"DEEP_PERIOD_OVERRIDE",Y$11)*1,"")))</f>
        <v/>
      </c>
      <c r="Z243" s="17" t="str">
        <f>IF(ISNA($B243),"",IF($B243="","",IFERROR(_xll.BDP(TICKER,"DEEP_MEASURE_PERIOD_BROKER_VALUE","DEEP_MEASURE_ID_OVERRIDE",$C243,"DEEP_BROKER_ID_OVERRIDE",$F$7,"DEEP_PERIOD_OVERRIDE",Z$11)*1,"")))</f>
        <v/>
      </c>
      <c r="AA243" s="17" t="str">
        <f>IF(ISNA($B243),"",IF($B243="","",IFERROR(_xll.BDP(TICKER,"DEEP_MEASURE_PERIOD_BROKER_VALUE","DEEP_MEASURE_ID_OVERRIDE",$C243,"DEEP_BROKER_ID_OVERRIDE",$F$7,"DEEP_PERIOD_OVERRIDE",AA$11)*1,"")))</f>
        <v/>
      </c>
      <c r="AB243" s="17" t="str">
        <f>IF(ISNA($B243),"",IF($B243="","",IFERROR(_xll.BDP(TICKER,"DEEP_MEASURE_PERIOD_BROKER_VALUE","DEEP_MEASURE_ID_OVERRIDE",$C243,"DEEP_BROKER_ID_OVERRIDE",$F$7,"DEEP_PERIOD_OVERRIDE",AB$11)*1,"")))</f>
        <v/>
      </c>
      <c r="AC243" s="17" t="str">
        <f>IF(ISNA($B243),"",IF($B243="","",IFERROR(_xll.BDP(TICKER,"DEEP_MEASURE_PERIOD_BROKER_VALUE","DEEP_MEASURE_ID_OVERRIDE",$C243,"DEEP_BROKER_ID_OVERRIDE",$F$7,"DEEP_PERIOD_OVERRIDE",AC$11)*1,"")))</f>
        <v/>
      </c>
      <c r="AD243" s="17" t="str">
        <f>IF(ISNA($B243),"",IF($B243="","",IFERROR(_xll.BDP(TICKER,"DEEP_MEASURE_PERIOD_BROKER_VALUE","DEEP_MEASURE_ID_OVERRIDE",$C243,"DEEP_BROKER_ID_OVERRIDE",$F$7,"DEEP_PERIOD_OVERRIDE",AD$11)*1,"")))</f>
        <v/>
      </c>
      <c r="AE243" s="17" t="str">
        <f>IF(ISNA($B243),"",IF($B243="","",IFERROR(_xll.BDP(TICKER,"DEEP_MEASURE_PERIOD_BROKER_VALUE","DEEP_MEASURE_ID_OVERRIDE",$C243,"DEEP_BROKER_ID_OVERRIDE",$F$7,"DEEP_PERIOD_OVERRIDE",AE$11)*1,"")))</f>
        <v/>
      </c>
      <c r="AF243" s="17" t="str">
        <f>IF(ISNA($B243),"",IF($B243="","",IFERROR(_xll.BDP(TICKER,"DEEP_MEASURE_PERIOD_BROKER_VALUE","DEEP_MEASURE_ID_OVERRIDE",$C243,"DEEP_BROKER_ID_OVERRIDE",$F$7,"DEEP_PERIOD_OVERRIDE",AF$11)*1,"")))</f>
        <v/>
      </c>
      <c r="AG243" s="17" t="str">
        <f>IF(ISNA($B243),"",IF($B243="","",IFERROR(_xll.BDP(TICKER,"DEEP_MEASURE_PERIOD_BROKER_VALUE","DEEP_MEASURE_ID_OVERRIDE",$C243,"DEEP_BROKER_ID_OVERRIDE",$F$7,"DEEP_PERIOD_OVERRIDE",AG$11)*1,"")))</f>
        <v/>
      </c>
      <c r="AH243" s="17" t="str">
        <f>IF(ISNA($B243),"",IF($B243="","",IFERROR(_xll.BDP(TICKER,"DEEP_MEASURE_PERIOD_BROKER_VALUE","DEEP_MEASURE_ID_OVERRIDE",$C243,"DEEP_BROKER_ID_OVERRIDE",$F$7,"DEEP_PERIOD_OVERRIDE",AH$11)*1,"")))</f>
        <v/>
      </c>
      <c r="AI243" s="17" t="str">
        <f>IF(ISNA($B243),"",IF($B243="","",IFERROR(_xll.BDP(TICKER,"DEEP_MEASURE_PERIOD_BROKER_VALUE","DEEP_MEASURE_ID_OVERRIDE",$C243,"DEEP_BROKER_ID_OVERRIDE",$F$7,"DEEP_PERIOD_OVERRIDE",AI$11)*1,"")))</f>
        <v/>
      </c>
      <c r="AJ243" s="17" t="str">
        <f>IF(ISNA($B243),"",IF($B243="","",IFERROR(_xll.BDP(TICKER,"DEEP_MEASURE_PERIOD_BROKER_VALUE","DEEP_MEASURE_ID_OVERRIDE",$C243,"DEEP_BROKER_ID_OVERRIDE",$F$7,"DEEP_PERIOD_OVERRIDE",AJ$11)*1,"")))</f>
        <v/>
      </c>
      <c r="AK243" s="17" t="str">
        <f>IF(ISNA($B243),"",IF($B243="","",IFERROR(_xll.BDP(TICKER,"DEEP_MEASURE_PERIOD_BROKER_VALUE","DEEP_MEASURE_ID_OVERRIDE",$C243,"DEEP_BROKER_ID_OVERRIDE",$F$7,"DEEP_PERIOD_OVERRIDE",AK$11)*1,"")))</f>
        <v/>
      </c>
      <c r="AL243" s="17" t="str">
        <f>IF(ISNA($B243),"",IF($B243="","",IFERROR(_xll.BDP(TICKER,"DEEP_MEASURE_PERIOD_BROKER_VALUE","DEEP_MEASURE_ID_OVERRIDE",$C243,"DEEP_BROKER_ID_OVERRIDE",$F$7,"DEEP_PERIOD_OVERRIDE",AL$11)*1,"")))</f>
        <v/>
      </c>
      <c r="AM243" s="17" t="str">
        <f>IF(ISNA($B243),"",IF($B243="","",IFERROR(_xll.BDP(TICKER,"DEEP_MEASURE_PERIOD_BROKER_VALUE","DEEP_MEASURE_ID_OVERRIDE",$C243,"DEEP_BROKER_ID_OVERRIDE",$F$7,"DEEP_PERIOD_OVERRIDE",AM$11)*1,"")))</f>
        <v/>
      </c>
      <c r="AN243" s="17" t="str">
        <f>IF(ISNA($B243),"",IF($B243="","",IFERROR(_xll.BDP(TICKER,"DEEP_MEASURE_PERIOD_BROKER_VALUE","DEEP_MEASURE_ID_OVERRIDE",$C243,"DEEP_BROKER_ID_OVERRIDE",$F$7,"DEEP_PERIOD_OVERRIDE",AN$11)*1,"")))</f>
        <v/>
      </c>
      <c r="AO243" s="17" t="str">
        <f>IF(ISNA($B243),"",IF($B243="","",IFERROR(_xll.BDP(TICKER,"DEEP_MEASURE_PERIOD_BROKER_VALUE","DEEP_MEASURE_ID_OVERRIDE",$C243,"DEEP_BROKER_ID_OVERRIDE",$F$7,"DEEP_PERIOD_OVERRIDE",AO$11)*1,"")))</f>
        <v/>
      </c>
      <c r="AP243" s="17" t="str">
        <f>IF(ISNA($B243),"",IF($B243="","",IFERROR(_xll.BDP(TICKER,"DEEP_MEASURE_PERIOD_BROKER_VALUE","DEEP_MEASURE_ID_OVERRIDE",$C243,"DEEP_BROKER_ID_OVERRIDE",$F$7,"DEEP_PERIOD_OVERRIDE",AP$11)*1,"")))</f>
        <v/>
      </c>
      <c r="AQ243" s="17" t="str">
        <f>IF(ISNA($B243),"",IF($B243="","",IFERROR(_xll.BDP(TICKER,"DEEP_MEASURE_PERIOD_BROKER_VALUE","DEEP_MEASURE_ID_OVERRIDE",$C243,"DEEP_BROKER_ID_OVERRIDE",$F$7,"DEEP_PERIOD_OVERRIDE",AQ$11)*1,"")))</f>
        <v/>
      </c>
    </row>
    <row r="244" spans="8:43" x14ac:dyDescent="0.25">
      <c r="H244" t="str">
        <f t="shared" si="5"/>
        <v/>
      </c>
      <c r="I244" s="17" t="str">
        <f>IF(ISNA($B244),"",IF($B244="","",IFERROR(_xll.BDP(TICKER,"DEEP_MEASURE_PERIOD_BROKER_VALUE","DEEP_MEASURE_ID_OVERRIDE",$C244,"DEEP_BROKER_ID_OVERRIDE",$F$7,"DEEP_PERIOD_OVERRIDE",I$11)*1,"")))</f>
        <v/>
      </c>
      <c r="J244" s="17" t="str">
        <f>IF(ISNA($B244),"",IF($B244="","",IFERROR(_xll.BDP(TICKER,"DEEP_MEASURE_PERIOD_BROKER_VALUE","DEEP_MEASURE_ID_OVERRIDE",$C244,"DEEP_BROKER_ID_OVERRIDE",$F$7,"DEEP_PERIOD_OVERRIDE",J$11)*1,"")))</f>
        <v/>
      </c>
      <c r="K244" s="17" t="str">
        <f>IF(ISNA($B244),"",IF($B244="","",IFERROR(_xll.BDP(TICKER,"DEEP_MEASURE_PERIOD_BROKER_VALUE","DEEP_MEASURE_ID_OVERRIDE",$C244,"DEEP_BROKER_ID_OVERRIDE",$F$7,"DEEP_PERIOD_OVERRIDE",K$11)*1,"")))</f>
        <v/>
      </c>
      <c r="L244" s="17" t="str">
        <f>IF(ISNA($B244),"",IF($B244="","",IFERROR(_xll.BDP(TICKER,"DEEP_MEASURE_PERIOD_BROKER_VALUE","DEEP_MEASURE_ID_OVERRIDE",$C244,"DEEP_BROKER_ID_OVERRIDE",$F$7,"DEEP_PERIOD_OVERRIDE",L$11)*1,"")))</f>
        <v/>
      </c>
      <c r="M244" s="17" t="str">
        <f>IF(ISNA($B244),"",IF($B244="","",IFERROR(_xll.BDP(TICKER,"DEEP_MEASURE_PERIOD_BROKER_VALUE","DEEP_MEASURE_ID_OVERRIDE",$C244,"DEEP_BROKER_ID_OVERRIDE",$F$7,"DEEP_PERIOD_OVERRIDE",M$11)*1,"")))</f>
        <v/>
      </c>
      <c r="N244" s="17" t="str">
        <f>IF(ISNA($B244),"",IF($B244="","",IFERROR(_xll.BDP(TICKER,"DEEP_MEASURE_PERIOD_BROKER_VALUE","DEEP_MEASURE_ID_OVERRIDE",$C244,"DEEP_BROKER_ID_OVERRIDE",$F$7,"DEEP_PERIOD_OVERRIDE",N$11)*1,"")))</f>
        <v/>
      </c>
      <c r="O244" s="17" t="str">
        <f>IF(ISNA($B244),"",IF($B244="","",IFERROR(_xll.BDP(TICKER,"DEEP_MEASURE_PERIOD_BROKER_VALUE","DEEP_MEASURE_ID_OVERRIDE",$C244,"DEEP_BROKER_ID_OVERRIDE",$F$7,"DEEP_PERIOD_OVERRIDE",O$11)*1,"")))</f>
        <v/>
      </c>
      <c r="P244" s="17" t="str">
        <f>IF(ISNA($B244),"",IF($B244="","",IFERROR(_xll.BDP(TICKER,"DEEP_MEASURE_PERIOD_BROKER_VALUE","DEEP_MEASURE_ID_OVERRIDE",$C244,"DEEP_BROKER_ID_OVERRIDE",$F$7,"DEEP_PERIOD_OVERRIDE",P$11)*1,"")))</f>
        <v/>
      </c>
      <c r="Q244" s="17" t="str">
        <f>IF(ISNA($B244),"",IF($B244="","",IFERROR(_xll.BDP(TICKER,"DEEP_MEASURE_PERIOD_BROKER_VALUE","DEEP_MEASURE_ID_OVERRIDE",$C244,"DEEP_BROKER_ID_OVERRIDE",$F$7,"DEEP_PERIOD_OVERRIDE",Q$11)*1,"")))</f>
        <v/>
      </c>
      <c r="R244" s="17" t="str">
        <f>IF(ISNA($B244),"",IF($B244="","",IFERROR(_xll.BDP(TICKER,"DEEP_MEASURE_PERIOD_BROKER_VALUE","DEEP_MEASURE_ID_OVERRIDE",$C244,"DEEP_BROKER_ID_OVERRIDE",$F$7,"DEEP_PERIOD_OVERRIDE",R$11)*1,"")))</f>
        <v/>
      </c>
      <c r="S244" s="17" t="str">
        <f>IF(ISNA($B244),"",IF($B244="","",IFERROR(_xll.BDP(TICKER,"DEEP_MEASURE_PERIOD_BROKER_VALUE","DEEP_MEASURE_ID_OVERRIDE",$C244,"DEEP_BROKER_ID_OVERRIDE",$F$7,"DEEP_PERIOD_OVERRIDE",S$11)*1,"")))</f>
        <v/>
      </c>
      <c r="T244" s="17" t="str">
        <f>IF(ISNA($B244),"",IF($B244="","",IFERROR(_xll.BDP(TICKER,"DEEP_MEASURE_PERIOD_BROKER_VALUE","DEEP_MEASURE_ID_OVERRIDE",$C244,"DEEP_BROKER_ID_OVERRIDE",$F$7,"DEEP_PERIOD_OVERRIDE",T$11)*1,"")))</f>
        <v/>
      </c>
      <c r="U244" s="17" t="str">
        <f>IF(ISNA($B244),"",IF($B244="","",IFERROR(_xll.BDP(TICKER,"DEEP_MEASURE_PERIOD_BROKER_VALUE","DEEP_MEASURE_ID_OVERRIDE",$C244,"DEEP_BROKER_ID_OVERRIDE",$F$7,"DEEP_PERIOD_OVERRIDE",U$11)*1,"")))</f>
        <v/>
      </c>
      <c r="V244" s="17" t="str">
        <f>IF(ISNA($B244),"",IF($B244="","",IFERROR(_xll.BDP(TICKER,"DEEP_MEASURE_PERIOD_BROKER_VALUE","DEEP_MEASURE_ID_OVERRIDE",$C244,"DEEP_BROKER_ID_OVERRIDE",$F$7,"DEEP_PERIOD_OVERRIDE",V$11)*1,"")))</f>
        <v/>
      </c>
      <c r="W244" s="17" t="str">
        <f>IF(ISNA($B244),"",IF($B244="","",IFERROR(_xll.BDP(TICKER,"DEEP_MEASURE_PERIOD_BROKER_VALUE","DEEP_MEASURE_ID_OVERRIDE",$C244,"DEEP_BROKER_ID_OVERRIDE",$F$7,"DEEP_PERIOD_OVERRIDE",W$11)*1,"")))</f>
        <v/>
      </c>
      <c r="X244" s="17" t="str">
        <f>IF(ISNA($B244),"",IF($B244="","",IFERROR(_xll.BDP(TICKER,"DEEP_MEASURE_PERIOD_BROKER_VALUE","DEEP_MEASURE_ID_OVERRIDE",$C244,"DEEP_BROKER_ID_OVERRIDE",$F$7,"DEEP_PERIOD_OVERRIDE",X$11)*1,"")))</f>
        <v/>
      </c>
      <c r="Y244" s="17" t="str">
        <f>IF(ISNA($B244),"",IF($B244="","",IFERROR(_xll.BDP(TICKER,"DEEP_MEASURE_PERIOD_BROKER_VALUE","DEEP_MEASURE_ID_OVERRIDE",$C244,"DEEP_BROKER_ID_OVERRIDE",$F$7,"DEEP_PERIOD_OVERRIDE",Y$11)*1,"")))</f>
        <v/>
      </c>
      <c r="Z244" s="17" t="str">
        <f>IF(ISNA($B244),"",IF($B244="","",IFERROR(_xll.BDP(TICKER,"DEEP_MEASURE_PERIOD_BROKER_VALUE","DEEP_MEASURE_ID_OVERRIDE",$C244,"DEEP_BROKER_ID_OVERRIDE",$F$7,"DEEP_PERIOD_OVERRIDE",Z$11)*1,"")))</f>
        <v/>
      </c>
      <c r="AA244" s="17" t="str">
        <f>IF(ISNA($B244),"",IF($B244="","",IFERROR(_xll.BDP(TICKER,"DEEP_MEASURE_PERIOD_BROKER_VALUE","DEEP_MEASURE_ID_OVERRIDE",$C244,"DEEP_BROKER_ID_OVERRIDE",$F$7,"DEEP_PERIOD_OVERRIDE",AA$11)*1,"")))</f>
        <v/>
      </c>
      <c r="AB244" s="17" t="str">
        <f>IF(ISNA($B244),"",IF($B244="","",IFERROR(_xll.BDP(TICKER,"DEEP_MEASURE_PERIOD_BROKER_VALUE","DEEP_MEASURE_ID_OVERRIDE",$C244,"DEEP_BROKER_ID_OVERRIDE",$F$7,"DEEP_PERIOD_OVERRIDE",AB$11)*1,"")))</f>
        <v/>
      </c>
      <c r="AC244" s="17" t="str">
        <f>IF(ISNA($B244),"",IF($B244="","",IFERROR(_xll.BDP(TICKER,"DEEP_MEASURE_PERIOD_BROKER_VALUE","DEEP_MEASURE_ID_OVERRIDE",$C244,"DEEP_BROKER_ID_OVERRIDE",$F$7,"DEEP_PERIOD_OVERRIDE",AC$11)*1,"")))</f>
        <v/>
      </c>
      <c r="AD244" s="17" t="str">
        <f>IF(ISNA($B244),"",IF($B244="","",IFERROR(_xll.BDP(TICKER,"DEEP_MEASURE_PERIOD_BROKER_VALUE","DEEP_MEASURE_ID_OVERRIDE",$C244,"DEEP_BROKER_ID_OVERRIDE",$F$7,"DEEP_PERIOD_OVERRIDE",AD$11)*1,"")))</f>
        <v/>
      </c>
      <c r="AE244" s="17" t="str">
        <f>IF(ISNA($B244),"",IF($B244="","",IFERROR(_xll.BDP(TICKER,"DEEP_MEASURE_PERIOD_BROKER_VALUE","DEEP_MEASURE_ID_OVERRIDE",$C244,"DEEP_BROKER_ID_OVERRIDE",$F$7,"DEEP_PERIOD_OVERRIDE",AE$11)*1,"")))</f>
        <v/>
      </c>
      <c r="AF244" s="17" t="str">
        <f>IF(ISNA($B244),"",IF($B244="","",IFERROR(_xll.BDP(TICKER,"DEEP_MEASURE_PERIOD_BROKER_VALUE","DEEP_MEASURE_ID_OVERRIDE",$C244,"DEEP_BROKER_ID_OVERRIDE",$F$7,"DEEP_PERIOD_OVERRIDE",AF$11)*1,"")))</f>
        <v/>
      </c>
      <c r="AG244" s="17" t="str">
        <f>IF(ISNA($B244),"",IF($B244="","",IFERROR(_xll.BDP(TICKER,"DEEP_MEASURE_PERIOD_BROKER_VALUE","DEEP_MEASURE_ID_OVERRIDE",$C244,"DEEP_BROKER_ID_OVERRIDE",$F$7,"DEEP_PERIOD_OVERRIDE",AG$11)*1,"")))</f>
        <v/>
      </c>
      <c r="AH244" s="17" t="str">
        <f>IF(ISNA($B244),"",IF($B244="","",IFERROR(_xll.BDP(TICKER,"DEEP_MEASURE_PERIOD_BROKER_VALUE","DEEP_MEASURE_ID_OVERRIDE",$C244,"DEEP_BROKER_ID_OVERRIDE",$F$7,"DEEP_PERIOD_OVERRIDE",AH$11)*1,"")))</f>
        <v/>
      </c>
      <c r="AI244" s="17" t="str">
        <f>IF(ISNA($B244),"",IF($B244="","",IFERROR(_xll.BDP(TICKER,"DEEP_MEASURE_PERIOD_BROKER_VALUE","DEEP_MEASURE_ID_OVERRIDE",$C244,"DEEP_BROKER_ID_OVERRIDE",$F$7,"DEEP_PERIOD_OVERRIDE",AI$11)*1,"")))</f>
        <v/>
      </c>
      <c r="AJ244" s="17" t="str">
        <f>IF(ISNA($B244),"",IF($B244="","",IFERROR(_xll.BDP(TICKER,"DEEP_MEASURE_PERIOD_BROKER_VALUE","DEEP_MEASURE_ID_OVERRIDE",$C244,"DEEP_BROKER_ID_OVERRIDE",$F$7,"DEEP_PERIOD_OVERRIDE",AJ$11)*1,"")))</f>
        <v/>
      </c>
      <c r="AK244" s="17" t="str">
        <f>IF(ISNA($B244),"",IF($B244="","",IFERROR(_xll.BDP(TICKER,"DEEP_MEASURE_PERIOD_BROKER_VALUE","DEEP_MEASURE_ID_OVERRIDE",$C244,"DEEP_BROKER_ID_OVERRIDE",$F$7,"DEEP_PERIOD_OVERRIDE",AK$11)*1,"")))</f>
        <v/>
      </c>
      <c r="AL244" s="17" t="str">
        <f>IF(ISNA($B244),"",IF($B244="","",IFERROR(_xll.BDP(TICKER,"DEEP_MEASURE_PERIOD_BROKER_VALUE","DEEP_MEASURE_ID_OVERRIDE",$C244,"DEEP_BROKER_ID_OVERRIDE",$F$7,"DEEP_PERIOD_OVERRIDE",AL$11)*1,"")))</f>
        <v/>
      </c>
      <c r="AM244" s="17" t="str">
        <f>IF(ISNA($B244),"",IF($B244="","",IFERROR(_xll.BDP(TICKER,"DEEP_MEASURE_PERIOD_BROKER_VALUE","DEEP_MEASURE_ID_OVERRIDE",$C244,"DEEP_BROKER_ID_OVERRIDE",$F$7,"DEEP_PERIOD_OVERRIDE",AM$11)*1,"")))</f>
        <v/>
      </c>
      <c r="AN244" s="17" t="str">
        <f>IF(ISNA($B244),"",IF($B244="","",IFERROR(_xll.BDP(TICKER,"DEEP_MEASURE_PERIOD_BROKER_VALUE","DEEP_MEASURE_ID_OVERRIDE",$C244,"DEEP_BROKER_ID_OVERRIDE",$F$7,"DEEP_PERIOD_OVERRIDE",AN$11)*1,"")))</f>
        <v/>
      </c>
      <c r="AO244" s="17" t="str">
        <f>IF(ISNA($B244),"",IF($B244="","",IFERROR(_xll.BDP(TICKER,"DEEP_MEASURE_PERIOD_BROKER_VALUE","DEEP_MEASURE_ID_OVERRIDE",$C244,"DEEP_BROKER_ID_OVERRIDE",$F$7,"DEEP_PERIOD_OVERRIDE",AO$11)*1,"")))</f>
        <v/>
      </c>
      <c r="AP244" s="17" t="str">
        <f>IF(ISNA($B244),"",IF($B244="","",IFERROR(_xll.BDP(TICKER,"DEEP_MEASURE_PERIOD_BROKER_VALUE","DEEP_MEASURE_ID_OVERRIDE",$C244,"DEEP_BROKER_ID_OVERRIDE",$F$7,"DEEP_PERIOD_OVERRIDE",AP$11)*1,"")))</f>
        <v/>
      </c>
      <c r="AQ244" s="17" t="str">
        <f>IF(ISNA($B244),"",IF($B244="","",IFERROR(_xll.BDP(TICKER,"DEEP_MEASURE_PERIOD_BROKER_VALUE","DEEP_MEASURE_ID_OVERRIDE",$C244,"DEEP_BROKER_ID_OVERRIDE",$F$7,"DEEP_PERIOD_OVERRIDE",AQ$11)*1,"")))</f>
        <v/>
      </c>
    </row>
    <row r="245" spans="8:43" x14ac:dyDescent="0.25">
      <c r="H245" t="str">
        <f t="shared" si="5"/>
        <v/>
      </c>
      <c r="I245" s="17" t="str">
        <f>IF(ISNA($B245),"",IF($B245="","",IFERROR(_xll.BDP(TICKER,"DEEP_MEASURE_PERIOD_BROKER_VALUE","DEEP_MEASURE_ID_OVERRIDE",$C245,"DEEP_BROKER_ID_OVERRIDE",$F$7,"DEEP_PERIOD_OVERRIDE",I$11)*1,"")))</f>
        <v/>
      </c>
      <c r="J245" s="17" t="str">
        <f>IF(ISNA($B245),"",IF($B245="","",IFERROR(_xll.BDP(TICKER,"DEEP_MEASURE_PERIOD_BROKER_VALUE","DEEP_MEASURE_ID_OVERRIDE",$C245,"DEEP_BROKER_ID_OVERRIDE",$F$7,"DEEP_PERIOD_OVERRIDE",J$11)*1,"")))</f>
        <v/>
      </c>
      <c r="K245" s="17" t="str">
        <f>IF(ISNA($B245),"",IF($B245="","",IFERROR(_xll.BDP(TICKER,"DEEP_MEASURE_PERIOD_BROKER_VALUE","DEEP_MEASURE_ID_OVERRIDE",$C245,"DEEP_BROKER_ID_OVERRIDE",$F$7,"DEEP_PERIOD_OVERRIDE",K$11)*1,"")))</f>
        <v/>
      </c>
      <c r="L245" s="17" t="str">
        <f>IF(ISNA($B245),"",IF($B245="","",IFERROR(_xll.BDP(TICKER,"DEEP_MEASURE_PERIOD_BROKER_VALUE","DEEP_MEASURE_ID_OVERRIDE",$C245,"DEEP_BROKER_ID_OVERRIDE",$F$7,"DEEP_PERIOD_OVERRIDE",L$11)*1,"")))</f>
        <v/>
      </c>
      <c r="M245" s="17" t="str">
        <f>IF(ISNA($B245),"",IF($B245="","",IFERROR(_xll.BDP(TICKER,"DEEP_MEASURE_PERIOD_BROKER_VALUE","DEEP_MEASURE_ID_OVERRIDE",$C245,"DEEP_BROKER_ID_OVERRIDE",$F$7,"DEEP_PERIOD_OVERRIDE",M$11)*1,"")))</f>
        <v/>
      </c>
      <c r="N245" s="17" t="str">
        <f>IF(ISNA($B245),"",IF($B245="","",IFERROR(_xll.BDP(TICKER,"DEEP_MEASURE_PERIOD_BROKER_VALUE","DEEP_MEASURE_ID_OVERRIDE",$C245,"DEEP_BROKER_ID_OVERRIDE",$F$7,"DEEP_PERIOD_OVERRIDE",N$11)*1,"")))</f>
        <v/>
      </c>
      <c r="O245" s="17" t="str">
        <f>IF(ISNA($B245),"",IF($B245="","",IFERROR(_xll.BDP(TICKER,"DEEP_MEASURE_PERIOD_BROKER_VALUE","DEEP_MEASURE_ID_OVERRIDE",$C245,"DEEP_BROKER_ID_OVERRIDE",$F$7,"DEEP_PERIOD_OVERRIDE",O$11)*1,"")))</f>
        <v/>
      </c>
      <c r="P245" s="17" t="str">
        <f>IF(ISNA($B245),"",IF($B245="","",IFERROR(_xll.BDP(TICKER,"DEEP_MEASURE_PERIOD_BROKER_VALUE","DEEP_MEASURE_ID_OVERRIDE",$C245,"DEEP_BROKER_ID_OVERRIDE",$F$7,"DEEP_PERIOD_OVERRIDE",P$11)*1,"")))</f>
        <v/>
      </c>
      <c r="Q245" s="17" t="str">
        <f>IF(ISNA($B245),"",IF($B245="","",IFERROR(_xll.BDP(TICKER,"DEEP_MEASURE_PERIOD_BROKER_VALUE","DEEP_MEASURE_ID_OVERRIDE",$C245,"DEEP_BROKER_ID_OVERRIDE",$F$7,"DEEP_PERIOD_OVERRIDE",Q$11)*1,"")))</f>
        <v/>
      </c>
      <c r="R245" s="17" t="str">
        <f>IF(ISNA($B245),"",IF($B245="","",IFERROR(_xll.BDP(TICKER,"DEEP_MEASURE_PERIOD_BROKER_VALUE","DEEP_MEASURE_ID_OVERRIDE",$C245,"DEEP_BROKER_ID_OVERRIDE",$F$7,"DEEP_PERIOD_OVERRIDE",R$11)*1,"")))</f>
        <v/>
      </c>
      <c r="S245" s="17" t="str">
        <f>IF(ISNA($B245),"",IF($B245="","",IFERROR(_xll.BDP(TICKER,"DEEP_MEASURE_PERIOD_BROKER_VALUE","DEEP_MEASURE_ID_OVERRIDE",$C245,"DEEP_BROKER_ID_OVERRIDE",$F$7,"DEEP_PERIOD_OVERRIDE",S$11)*1,"")))</f>
        <v/>
      </c>
      <c r="T245" s="17" t="str">
        <f>IF(ISNA($B245),"",IF($B245="","",IFERROR(_xll.BDP(TICKER,"DEEP_MEASURE_PERIOD_BROKER_VALUE","DEEP_MEASURE_ID_OVERRIDE",$C245,"DEEP_BROKER_ID_OVERRIDE",$F$7,"DEEP_PERIOD_OVERRIDE",T$11)*1,"")))</f>
        <v/>
      </c>
      <c r="U245" s="17" t="str">
        <f>IF(ISNA($B245),"",IF($B245="","",IFERROR(_xll.BDP(TICKER,"DEEP_MEASURE_PERIOD_BROKER_VALUE","DEEP_MEASURE_ID_OVERRIDE",$C245,"DEEP_BROKER_ID_OVERRIDE",$F$7,"DEEP_PERIOD_OVERRIDE",U$11)*1,"")))</f>
        <v/>
      </c>
      <c r="V245" s="17" t="str">
        <f>IF(ISNA($B245),"",IF($B245="","",IFERROR(_xll.BDP(TICKER,"DEEP_MEASURE_PERIOD_BROKER_VALUE","DEEP_MEASURE_ID_OVERRIDE",$C245,"DEEP_BROKER_ID_OVERRIDE",$F$7,"DEEP_PERIOD_OVERRIDE",V$11)*1,"")))</f>
        <v/>
      </c>
      <c r="W245" s="17" t="str">
        <f>IF(ISNA($B245),"",IF($B245="","",IFERROR(_xll.BDP(TICKER,"DEEP_MEASURE_PERIOD_BROKER_VALUE","DEEP_MEASURE_ID_OVERRIDE",$C245,"DEEP_BROKER_ID_OVERRIDE",$F$7,"DEEP_PERIOD_OVERRIDE",W$11)*1,"")))</f>
        <v/>
      </c>
      <c r="X245" s="17" t="str">
        <f>IF(ISNA($B245),"",IF($B245="","",IFERROR(_xll.BDP(TICKER,"DEEP_MEASURE_PERIOD_BROKER_VALUE","DEEP_MEASURE_ID_OVERRIDE",$C245,"DEEP_BROKER_ID_OVERRIDE",$F$7,"DEEP_PERIOD_OVERRIDE",X$11)*1,"")))</f>
        <v/>
      </c>
      <c r="Y245" s="17" t="str">
        <f>IF(ISNA($B245),"",IF($B245="","",IFERROR(_xll.BDP(TICKER,"DEEP_MEASURE_PERIOD_BROKER_VALUE","DEEP_MEASURE_ID_OVERRIDE",$C245,"DEEP_BROKER_ID_OVERRIDE",$F$7,"DEEP_PERIOD_OVERRIDE",Y$11)*1,"")))</f>
        <v/>
      </c>
      <c r="Z245" s="17" t="str">
        <f>IF(ISNA($B245),"",IF($B245="","",IFERROR(_xll.BDP(TICKER,"DEEP_MEASURE_PERIOD_BROKER_VALUE","DEEP_MEASURE_ID_OVERRIDE",$C245,"DEEP_BROKER_ID_OVERRIDE",$F$7,"DEEP_PERIOD_OVERRIDE",Z$11)*1,"")))</f>
        <v/>
      </c>
      <c r="AA245" s="17" t="str">
        <f>IF(ISNA($B245),"",IF($B245="","",IFERROR(_xll.BDP(TICKER,"DEEP_MEASURE_PERIOD_BROKER_VALUE","DEEP_MEASURE_ID_OVERRIDE",$C245,"DEEP_BROKER_ID_OVERRIDE",$F$7,"DEEP_PERIOD_OVERRIDE",AA$11)*1,"")))</f>
        <v/>
      </c>
      <c r="AB245" s="17" t="str">
        <f>IF(ISNA($B245),"",IF($B245="","",IFERROR(_xll.BDP(TICKER,"DEEP_MEASURE_PERIOD_BROKER_VALUE","DEEP_MEASURE_ID_OVERRIDE",$C245,"DEEP_BROKER_ID_OVERRIDE",$F$7,"DEEP_PERIOD_OVERRIDE",AB$11)*1,"")))</f>
        <v/>
      </c>
      <c r="AC245" s="17" t="str">
        <f>IF(ISNA($B245),"",IF($B245="","",IFERROR(_xll.BDP(TICKER,"DEEP_MEASURE_PERIOD_BROKER_VALUE","DEEP_MEASURE_ID_OVERRIDE",$C245,"DEEP_BROKER_ID_OVERRIDE",$F$7,"DEEP_PERIOD_OVERRIDE",AC$11)*1,"")))</f>
        <v/>
      </c>
      <c r="AD245" s="17" t="str">
        <f>IF(ISNA($B245),"",IF($B245="","",IFERROR(_xll.BDP(TICKER,"DEEP_MEASURE_PERIOD_BROKER_VALUE","DEEP_MEASURE_ID_OVERRIDE",$C245,"DEEP_BROKER_ID_OVERRIDE",$F$7,"DEEP_PERIOD_OVERRIDE",AD$11)*1,"")))</f>
        <v/>
      </c>
      <c r="AE245" s="17" t="str">
        <f>IF(ISNA($B245),"",IF($B245="","",IFERROR(_xll.BDP(TICKER,"DEEP_MEASURE_PERIOD_BROKER_VALUE","DEEP_MEASURE_ID_OVERRIDE",$C245,"DEEP_BROKER_ID_OVERRIDE",$F$7,"DEEP_PERIOD_OVERRIDE",AE$11)*1,"")))</f>
        <v/>
      </c>
      <c r="AF245" s="17" t="str">
        <f>IF(ISNA($B245),"",IF($B245="","",IFERROR(_xll.BDP(TICKER,"DEEP_MEASURE_PERIOD_BROKER_VALUE","DEEP_MEASURE_ID_OVERRIDE",$C245,"DEEP_BROKER_ID_OVERRIDE",$F$7,"DEEP_PERIOD_OVERRIDE",AF$11)*1,"")))</f>
        <v/>
      </c>
      <c r="AG245" s="17" t="str">
        <f>IF(ISNA($B245),"",IF($B245="","",IFERROR(_xll.BDP(TICKER,"DEEP_MEASURE_PERIOD_BROKER_VALUE","DEEP_MEASURE_ID_OVERRIDE",$C245,"DEEP_BROKER_ID_OVERRIDE",$F$7,"DEEP_PERIOD_OVERRIDE",AG$11)*1,"")))</f>
        <v/>
      </c>
      <c r="AH245" s="17" t="str">
        <f>IF(ISNA($B245),"",IF($B245="","",IFERROR(_xll.BDP(TICKER,"DEEP_MEASURE_PERIOD_BROKER_VALUE","DEEP_MEASURE_ID_OVERRIDE",$C245,"DEEP_BROKER_ID_OVERRIDE",$F$7,"DEEP_PERIOD_OVERRIDE",AH$11)*1,"")))</f>
        <v/>
      </c>
      <c r="AI245" s="17" t="str">
        <f>IF(ISNA($B245),"",IF($B245="","",IFERROR(_xll.BDP(TICKER,"DEEP_MEASURE_PERIOD_BROKER_VALUE","DEEP_MEASURE_ID_OVERRIDE",$C245,"DEEP_BROKER_ID_OVERRIDE",$F$7,"DEEP_PERIOD_OVERRIDE",AI$11)*1,"")))</f>
        <v/>
      </c>
      <c r="AJ245" s="17" t="str">
        <f>IF(ISNA($B245),"",IF($B245="","",IFERROR(_xll.BDP(TICKER,"DEEP_MEASURE_PERIOD_BROKER_VALUE","DEEP_MEASURE_ID_OVERRIDE",$C245,"DEEP_BROKER_ID_OVERRIDE",$F$7,"DEEP_PERIOD_OVERRIDE",AJ$11)*1,"")))</f>
        <v/>
      </c>
      <c r="AK245" s="17" t="str">
        <f>IF(ISNA($B245),"",IF($B245="","",IFERROR(_xll.BDP(TICKER,"DEEP_MEASURE_PERIOD_BROKER_VALUE","DEEP_MEASURE_ID_OVERRIDE",$C245,"DEEP_BROKER_ID_OVERRIDE",$F$7,"DEEP_PERIOD_OVERRIDE",AK$11)*1,"")))</f>
        <v/>
      </c>
      <c r="AL245" s="17" t="str">
        <f>IF(ISNA($B245),"",IF($B245="","",IFERROR(_xll.BDP(TICKER,"DEEP_MEASURE_PERIOD_BROKER_VALUE","DEEP_MEASURE_ID_OVERRIDE",$C245,"DEEP_BROKER_ID_OVERRIDE",$F$7,"DEEP_PERIOD_OVERRIDE",AL$11)*1,"")))</f>
        <v/>
      </c>
      <c r="AM245" s="17" t="str">
        <f>IF(ISNA($B245),"",IF($B245="","",IFERROR(_xll.BDP(TICKER,"DEEP_MEASURE_PERIOD_BROKER_VALUE","DEEP_MEASURE_ID_OVERRIDE",$C245,"DEEP_BROKER_ID_OVERRIDE",$F$7,"DEEP_PERIOD_OVERRIDE",AM$11)*1,"")))</f>
        <v/>
      </c>
      <c r="AN245" s="17" t="str">
        <f>IF(ISNA($B245),"",IF($B245="","",IFERROR(_xll.BDP(TICKER,"DEEP_MEASURE_PERIOD_BROKER_VALUE","DEEP_MEASURE_ID_OVERRIDE",$C245,"DEEP_BROKER_ID_OVERRIDE",$F$7,"DEEP_PERIOD_OVERRIDE",AN$11)*1,"")))</f>
        <v/>
      </c>
      <c r="AO245" s="17" t="str">
        <f>IF(ISNA($B245),"",IF($B245="","",IFERROR(_xll.BDP(TICKER,"DEEP_MEASURE_PERIOD_BROKER_VALUE","DEEP_MEASURE_ID_OVERRIDE",$C245,"DEEP_BROKER_ID_OVERRIDE",$F$7,"DEEP_PERIOD_OVERRIDE",AO$11)*1,"")))</f>
        <v/>
      </c>
      <c r="AP245" s="17" t="str">
        <f>IF(ISNA($B245),"",IF($B245="","",IFERROR(_xll.BDP(TICKER,"DEEP_MEASURE_PERIOD_BROKER_VALUE","DEEP_MEASURE_ID_OVERRIDE",$C245,"DEEP_BROKER_ID_OVERRIDE",$F$7,"DEEP_PERIOD_OVERRIDE",AP$11)*1,"")))</f>
        <v/>
      </c>
      <c r="AQ245" s="17" t="str">
        <f>IF(ISNA($B245),"",IF($B245="","",IFERROR(_xll.BDP(TICKER,"DEEP_MEASURE_PERIOD_BROKER_VALUE","DEEP_MEASURE_ID_OVERRIDE",$C245,"DEEP_BROKER_ID_OVERRIDE",$F$7,"DEEP_PERIOD_OVERRIDE",AQ$11)*1,"")))</f>
        <v/>
      </c>
    </row>
    <row r="246" spans="8:43" x14ac:dyDescent="0.25">
      <c r="H246" t="str">
        <f t="shared" si="5"/>
        <v/>
      </c>
      <c r="I246" s="17" t="str">
        <f>IF(ISNA($B246),"",IF($B246="","",IFERROR(_xll.BDP(TICKER,"DEEP_MEASURE_PERIOD_BROKER_VALUE","DEEP_MEASURE_ID_OVERRIDE",$C246,"DEEP_BROKER_ID_OVERRIDE",$F$7,"DEEP_PERIOD_OVERRIDE",I$11)*1,"")))</f>
        <v/>
      </c>
      <c r="J246" s="17" t="str">
        <f>IF(ISNA($B246),"",IF($B246="","",IFERROR(_xll.BDP(TICKER,"DEEP_MEASURE_PERIOD_BROKER_VALUE","DEEP_MEASURE_ID_OVERRIDE",$C246,"DEEP_BROKER_ID_OVERRIDE",$F$7,"DEEP_PERIOD_OVERRIDE",J$11)*1,"")))</f>
        <v/>
      </c>
      <c r="K246" s="17" t="str">
        <f>IF(ISNA($B246),"",IF($B246="","",IFERROR(_xll.BDP(TICKER,"DEEP_MEASURE_PERIOD_BROKER_VALUE","DEEP_MEASURE_ID_OVERRIDE",$C246,"DEEP_BROKER_ID_OVERRIDE",$F$7,"DEEP_PERIOD_OVERRIDE",K$11)*1,"")))</f>
        <v/>
      </c>
      <c r="L246" s="17" t="str">
        <f>IF(ISNA($B246),"",IF($B246="","",IFERROR(_xll.BDP(TICKER,"DEEP_MEASURE_PERIOD_BROKER_VALUE","DEEP_MEASURE_ID_OVERRIDE",$C246,"DEEP_BROKER_ID_OVERRIDE",$F$7,"DEEP_PERIOD_OVERRIDE",L$11)*1,"")))</f>
        <v/>
      </c>
      <c r="M246" s="17" t="str">
        <f>IF(ISNA($B246),"",IF($B246="","",IFERROR(_xll.BDP(TICKER,"DEEP_MEASURE_PERIOD_BROKER_VALUE","DEEP_MEASURE_ID_OVERRIDE",$C246,"DEEP_BROKER_ID_OVERRIDE",$F$7,"DEEP_PERIOD_OVERRIDE",M$11)*1,"")))</f>
        <v/>
      </c>
      <c r="N246" s="17" t="str">
        <f>IF(ISNA($B246),"",IF($B246="","",IFERROR(_xll.BDP(TICKER,"DEEP_MEASURE_PERIOD_BROKER_VALUE","DEEP_MEASURE_ID_OVERRIDE",$C246,"DEEP_BROKER_ID_OVERRIDE",$F$7,"DEEP_PERIOD_OVERRIDE",N$11)*1,"")))</f>
        <v/>
      </c>
      <c r="O246" s="17" t="str">
        <f>IF(ISNA($B246),"",IF($B246="","",IFERROR(_xll.BDP(TICKER,"DEEP_MEASURE_PERIOD_BROKER_VALUE","DEEP_MEASURE_ID_OVERRIDE",$C246,"DEEP_BROKER_ID_OVERRIDE",$F$7,"DEEP_PERIOD_OVERRIDE",O$11)*1,"")))</f>
        <v/>
      </c>
      <c r="P246" s="17" t="str">
        <f>IF(ISNA($B246),"",IF($B246="","",IFERROR(_xll.BDP(TICKER,"DEEP_MEASURE_PERIOD_BROKER_VALUE","DEEP_MEASURE_ID_OVERRIDE",$C246,"DEEP_BROKER_ID_OVERRIDE",$F$7,"DEEP_PERIOD_OVERRIDE",P$11)*1,"")))</f>
        <v/>
      </c>
      <c r="Q246" s="17" t="str">
        <f>IF(ISNA($B246),"",IF($B246="","",IFERROR(_xll.BDP(TICKER,"DEEP_MEASURE_PERIOD_BROKER_VALUE","DEEP_MEASURE_ID_OVERRIDE",$C246,"DEEP_BROKER_ID_OVERRIDE",$F$7,"DEEP_PERIOD_OVERRIDE",Q$11)*1,"")))</f>
        <v/>
      </c>
      <c r="R246" s="17" t="str">
        <f>IF(ISNA($B246),"",IF($B246="","",IFERROR(_xll.BDP(TICKER,"DEEP_MEASURE_PERIOD_BROKER_VALUE","DEEP_MEASURE_ID_OVERRIDE",$C246,"DEEP_BROKER_ID_OVERRIDE",$F$7,"DEEP_PERIOD_OVERRIDE",R$11)*1,"")))</f>
        <v/>
      </c>
      <c r="S246" s="17" t="str">
        <f>IF(ISNA($B246),"",IF($B246="","",IFERROR(_xll.BDP(TICKER,"DEEP_MEASURE_PERIOD_BROKER_VALUE","DEEP_MEASURE_ID_OVERRIDE",$C246,"DEEP_BROKER_ID_OVERRIDE",$F$7,"DEEP_PERIOD_OVERRIDE",S$11)*1,"")))</f>
        <v/>
      </c>
      <c r="T246" s="17" t="str">
        <f>IF(ISNA($B246),"",IF($B246="","",IFERROR(_xll.BDP(TICKER,"DEEP_MEASURE_PERIOD_BROKER_VALUE","DEEP_MEASURE_ID_OVERRIDE",$C246,"DEEP_BROKER_ID_OVERRIDE",$F$7,"DEEP_PERIOD_OVERRIDE",T$11)*1,"")))</f>
        <v/>
      </c>
      <c r="U246" s="17" t="str">
        <f>IF(ISNA($B246),"",IF($B246="","",IFERROR(_xll.BDP(TICKER,"DEEP_MEASURE_PERIOD_BROKER_VALUE","DEEP_MEASURE_ID_OVERRIDE",$C246,"DEEP_BROKER_ID_OVERRIDE",$F$7,"DEEP_PERIOD_OVERRIDE",U$11)*1,"")))</f>
        <v/>
      </c>
      <c r="V246" s="17" t="str">
        <f>IF(ISNA($B246),"",IF($B246="","",IFERROR(_xll.BDP(TICKER,"DEEP_MEASURE_PERIOD_BROKER_VALUE","DEEP_MEASURE_ID_OVERRIDE",$C246,"DEEP_BROKER_ID_OVERRIDE",$F$7,"DEEP_PERIOD_OVERRIDE",V$11)*1,"")))</f>
        <v/>
      </c>
      <c r="W246" s="17" t="str">
        <f>IF(ISNA($B246),"",IF($B246="","",IFERROR(_xll.BDP(TICKER,"DEEP_MEASURE_PERIOD_BROKER_VALUE","DEEP_MEASURE_ID_OVERRIDE",$C246,"DEEP_BROKER_ID_OVERRIDE",$F$7,"DEEP_PERIOD_OVERRIDE",W$11)*1,"")))</f>
        <v/>
      </c>
      <c r="X246" s="17" t="str">
        <f>IF(ISNA($B246),"",IF($B246="","",IFERROR(_xll.BDP(TICKER,"DEEP_MEASURE_PERIOD_BROKER_VALUE","DEEP_MEASURE_ID_OVERRIDE",$C246,"DEEP_BROKER_ID_OVERRIDE",$F$7,"DEEP_PERIOD_OVERRIDE",X$11)*1,"")))</f>
        <v/>
      </c>
      <c r="Y246" s="17" t="str">
        <f>IF(ISNA($B246),"",IF($B246="","",IFERROR(_xll.BDP(TICKER,"DEEP_MEASURE_PERIOD_BROKER_VALUE","DEEP_MEASURE_ID_OVERRIDE",$C246,"DEEP_BROKER_ID_OVERRIDE",$F$7,"DEEP_PERIOD_OVERRIDE",Y$11)*1,"")))</f>
        <v/>
      </c>
      <c r="Z246" s="17" t="str">
        <f>IF(ISNA($B246),"",IF($B246="","",IFERROR(_xll.BDP(TICKER,"DEEP_MEASURE_PERIOD_BROKER_VALUE","DEEP_MEASURE_ID_OVERRIDE",$C246,"DEEP_BROKER_ID_OVERRIDE",$F$7,"DEEP_PERIOD_OVERRIDE",Z$11)*1,"")))</f>
        <v/>
      </c>
      <c r="AA246" s="17" t="str">
        <f>IF(ISNA($B246),"",IF($B246="","",IFERROR(_xll.BDP(TICKER,"DEEP_MEASURE_PERIOD_BROKER_VALUE","DEEP_MEASURE_ID_OVERRIDE",$C246,"DEEP_BROKER_ID_OVERRIDE",$F$7,"DEEP_PERIOD_OVERRIDE",AA$11)*1,"")))</f>
        <v/>
      </c>
      <c r="AB246" s="17" t="str">
        <f>IF(ISNA($B246),"",IF($B246="","",IFERROR(_xll.BDP(TICKER,"DEEP_MEASURE_PERIOD_BROKER_VALUE","DEEP_MEASURE_ID_OVERRIDE",$C246,"DEEP_BROKER_ID_OVERRIDE",$F$7,"DEEP_PERIOD_OVERRIDE",AB$11)*1,"")))</f>
        <v/>
      </c>
      <c r="AC246" s="17" t="str">
        <f>IF(ISNA($B246),"",IF($B246="","",IFERROR(_xll.BDP(TICKER,"DEEP_MEASURE_PERIOD_BROKER_VALUE","DEEP_MEASURE_ID_OVERRIDE",$C246,"DEEP_BROKER_ID_OVERRIDE",$F$7,"DEEP_PERIOD_OVERRIDE",AC$11)*1,"")))</f>
        <v/>
      </c>
      <c r="AD246" s="17" t="str">
        <f>IF(ISNA($B246),"",IF($B246="","",IFERROR(_xll.BDP(TICKER,"DEEP_MEASURE_PERIOD_BROKER_VALUE","DEEP_MEASURE_ID_OVERRIDE",$C246,"DEEP_BROKER_ID_OVERRIDE",$F$7,"DEEP_PERIOD_OVERRIDE",AD$11)*1,"")))</f>
        <v/>
      </c>
      <c r="AE246" s="17" t="str">
        <f>IF(ISNA($B246),"",IF($B246="","",IFERROR(_xll.BDP(TICKER,"DEEP_MEASURE_PERIOD_BROKER_VALUE","DEEP_MEASURE_ID_OVERRIDE",$C246,"DEEP_BROKER_ID_OVERRIDE",$F$7,"DEEP_PERIOD_OVERRIDE",AE$11)*1,"")))</f>
        <v/>
      </c>
      <c r="AF246" s="17" t="str">
        <f>IF(ISNA($B246),"",IF($B246="","",IFERROR(_xll.BDP(TICKER,"DEEP_MEASURE_PERIOD_BROKER_VALUE","DEEP_MEASURE_ID_OVERRIDE",$C246,"DEEP_BROKER_ID_OVERRIDE",$F$7,"DEEP_PERIOD_OVERRIDE",AF$11)*1,"")))</f>
        <v/>
      </c>
      <c r="AG246" s="17" t="str">
        <f>IF(ISNA($B246),"",IF($B246="","",IFERROR(_xll.BDP(TICKER,"DEEP_MEASURE_PERIOD_BROKER_VALUE","DEEP_MEASURE_ID_OVERRIDE",$C246,"DEEP_BROKER_ID_OVERRIDE",$F$7,"DEEP_PERIOD_OVERRIDE",AG$11)*1,"")))</f>
        <v/>
      </c>
      <c r="AH246" s="17" t="str">
        <f>IF(ISNA($B246),"",IF($B246="","",IFERROR(_xll.BDP(TICKER,"DEEP_MEASURE_PERIOD_BROKER_VALUE","DEEP_MEASURE_ID_OVERRIDE",$C246,"DEEP_BROKER_ID_OVERRIDE",$F$7,"DEEP_PERIOD_OVERRIDE",AH$11)*1,"")))</f>
        <v/>
      </c>
      <c r="AI246" s="17" t="str">
        <f>IF(ISNA($B246),"",IF($B246="","",IFERROR(_xll.BDP(TICKER,"DEEP_MEASURE_PERIOD_BROKER_VALUE","DEEP_MEASURE_ID_OVERRIDE",$C246,"DEEP_BROKER_ID_OVERRIDE",$F$7,"DEEP_PERIOD_OVERRIDE",AI$11)*1,"")))</f>
        <v/>
      </c>
      <c r="AJ246" s="17" t="str">
        <f>IF(ISNA($B246),"",IF($B246="","",IFERROR(_xll.BDP(TICKER,"DEEP_MEASURE_PERIOD_BROKER_VALUE","DEEP_MEASURE_ID_OVERRIDE",$C246,"DEEP_BROKER_ID_OVERRIDE",$F$7,"DEEP_PERIOD_OVERRIDE",AJ$11)*1,"")))</f>
        <v/>
      </c>
      <c r="AK246" s="17" t="str">
        <f>IF(ISNA($B246),"",IF($B246="","",IFERROR(_xll.BDP(TICKER,"DEEP_MEASURE_PERIOD_BROKER_VALUE","DEEP_MEASURE_ID_OVERRIDE",$C246,"DEEP_BROKER_ID_OVERRIDE",$F$7,"DEEP_PERIOD_OVERRIDE",AK$11)*1,"")))</f>
        <v/>
      </c>
      <c r="AL246" s="17" t="str">
        <f>IF(ISNA($B246),"",IF($B246="","",IFERROR(_xll.BDP(TICKER,"DEEP_MEASURE_PERIOD_BROKER_VALUE","DEEP_MEASURE_ID_OVERRIDE",$C246,"DEEP_BROKER_ID_OVERRIDE",$F$7,"DEEP_PERIOD_OVERRIDE",AL$11)*1,"")))</f>
        <v/>
      </c>
      <c r="AM246" s="17" t="str">
        <f>IF(ISNA($B246),"",IF($B246="","",IFERROR(_xll.BDP(TICKER,"DEEP_MEASURE_PERIOD_BROKER_VALUE","DEEP_MEASURE_ID_OVERRIDE",$C246,"DEEP_BROKER_ID_OVERRIDE",$F$7,"DEEP_PERIOD_OVERRIDE",AM$11)*1,"")))</f>
        <v/>
      </c>
      <c r="AN246" s="17" t="str">
        <f>IF(ISNA($B246),"",IF($B246="","",IFERROR(_xll.BDP(TICKER,"DEEP_MEASURE_PERIOD_BROKER_VALUE","DEEP_MEASURE_ID_OVERRIDE",$C246,"DEEP_BROKER_ID_OVERRIDE",$F$7,"DEEP_PERIOD_OVERRIDE",AN$11)*1,"")))</f>
        <v/>
      </c>
      <c r="AO246" s="17" t="str">
        <f>IF(ISNA($B246),"",IF($B246="","",IFERROR(_xll.BDP(TICKER,"DEEP_MEASURE_PERIOD_BROKER_VALUE","DEEP_MEASURE_ID_OVERRIDE",$C246,"DEEP_BROKER_ID_OVERRIDE",$F$7,"DEEP_PERIOD_OVERRIDE",AO$11)*1,"")))</f>
        <v/>
      </c>
      <c r="AP246" s="17" t="str">
        <f>IF(ISNA($B246),"",IF($B246="","",IFERROR(_xll.BDP(TICKER,"DEEP_MEASURE_PERIOD_BROKER_VALUE","DEEP_MEASURE_ID_OVERRIDE",$C246,"DEEP_BROKER_ID_OVERRIDE",$F$7,"DEEP_PERIOD_OVERRIDE",AP$11)*1,"")))</f>
        <v/>
      </c>
      <c r="AQ246" s="17" t="str">
        <f>IF(ISNA($B246),"",IF($B246="","",IFERROR(_xll.BDP(TICKER,"DEEP_MEASURE_PERIOD_BROKER_VALUE","DEEP_MEASURE_ID_OVERRIDE",$C246,"DEEP_BROKER_ID_OVERRIDE",$F$7,"DEEP_PERIOD_OVERRIDE",AQ$11)*1,"")))</f>
        <v/>
      </c>
    </row>
    <row r="247" spans="8:43" x14ac:dyDescent="0.25">
      <c r="H247" t="str">
        <f t="shared" si="5"/>
        <v/>
      </c>
      <c r="I247" s="17" t="str">
        <f>IF(ISNA($B247),"",IF($B247="","",IFERROR(_xll.BDP(TICKER,"DEEP_MEASURE_PERIOD_BROKER_VALUE","DEEP_MEASURE_ID_OVERRIDE",$C247,"DEEP_BROKER_ID_OVERRIDE",$F$7,"DEEP_PERIOD_OVERRIDE",I$11)*1,"")))</f>
        <v/>
      </c>
      <c r="J247" s="17" t="str">
        <f>IF(ISNA($B247),"",IF($B247="","",IFERROR(_xll.BDP(TICKER,"DEEP_MEASURE_PERIOD_BROKER_VALUE","DEEP_MEASURE_ID_OVERRIDE",$C247,"DEEP_BROKER_ID_OVERRIDE",$F$7,"DEEP_PERIOD_OVERRIDE",J$11)*1,"")))</f>
        <v/>
      </c>
      <c r="K247" s="17" t="str">
        <f>IF(ISNA($B247),"",IF($B247="","",IFERROR(_xll.BDP(TICKER,"DEEP_MEASURE_PERIOD_BROKER_VALUE","DEEP_MEASURE_ID_OVERRIDE",$C247,"DEEP_BROKER_ID_OVERRIDE",$F$7,"DEEP_PERIOD_OVERRIDE",K$11)*1,"")))</f>
        <v/>
      </c>
      <c r="L247" s="17" t="str">
        <f>IF(ISNA($B247),"",IF($B247="","",IFERROR(_xll.BDP(TICKER,"DEEP_MEASURE_PERIOD_BROKER_VALUE","DEEP_MEASURE_ID_OVERRIDE",$C247,"DEEP_BROKER_ID_OVERRIDE",$F$7,"DEEP_PERIOD_OVERRIDE",L$11)*1,"")))</f>
        <v/>
      </c>
      <c r="M247" s="17" t="str">
        <f>IF(ISNA($B247),"",IF($B247="","",IFERROR(_xll.BDP(TICKER,"DEEP_MEASURE_PERIOD_BROKER_VALUE","DEEP_MEASURE_ID_OVERRIDE",$C247,"DEEP_BROKER_ID_OVERRIDE",$F$7,"DEEP_PERIOD_OVERRIDE",M$11)*1,"")))</f>
        <v/>
      </c>
      <c r="N247" s="17" t="str">
        <f>IF(ISNA($B247),"",IF($B247="","",IFERROR(_xll.BDP(TICKER,"DEEP_MEASURE_PERIOD_BROKER_VALUE","DEEP_MEASURE_ID_OVERRIDE",$C247,"DEEP_BROKER_ID_OVERRIDE",$F$7,"DEEP_PERIOD_OVERRIDE",N$11)*1,"")))</f>
        <v/>
      </c>
      <c r="O247" s="17" t="str">
        <f>IF(ISNA($B247),"",IF($B247="","",IFERROR(_xll.BDP(TICKER,"DEEP_MEASURE_PERIOD_BROKER_VALUE","DEEP_MEASURE_ID_OVERRIDE",$C247,"DEEP_BROKER_ID_OVERRIDE",$F$7,"DEEP_PERIOD_OVERRIDE",O$11)*1,"")))</f>
        <v/>
      </c>
      <c r="P247" s="17" t="str">
        <f>IF(ISNA($B247),"",IF($B247="","",IFERROR(_xll.BDP(TICKER,"DEEP_MEASURE_PERIOD_BROKER_VALUE","DEEP_MEASURE_ID_OVERRIDE",$C247,"DEEP_BROKER_ID_OVERRIDE",$F$7,"DEEP_PERIOD_OVERRIDE",P$11)*1,"")))</f>
        <v/>
      </c>
      <c r="Q247" s="17" t="str">
        <f>IF(ISNA($B247),"",IF($B247="","",IFERROR(_xll.BDP(TICKER,"DEEP_MEASURE_PERIOD_BROKER_VALUE","DEEP_MEASURE_ID_OVERRIDE",$C247,"DEEP_BROKER_ID_OVERRIDE",$F$7,"DEEP_PERIOD_OVERRIDE",Q$11)*1,"")))</f>
        <v/>
      </c>
      <c r="R247" s="17" t="str">
        <f>IF(ISNA($B247),"",IF($B247="","",IFERROR(_xll.BDP(TICKER,"DEEP_MEASURE_PERIOD_BROKER_VALUE","DEEP_MEASURE_ID_OVERRIDE",$C247,"DEEP_BROKER_ID_OVERRIDE",$F$7,"DEEP_PERIOD_OVERRIDE",R$11)*1,"")))</f>
        <v/>
      </c>
      <c r="S247" s="17" t="str">
        <f>IF(ISNA($B247),"",IF($B247="","",IFERROR(_xll.BDP(TICKER,"DEEP_MEASURE_PERIOD_BROKER_VALUE","DEEP_MEASURE_ID_OVERRIDE",$C247,"DEEP_BROKER_ID_OVERRIDE",$F$7,"DEEP_PERIOD_OVERRIDE",S$11)*1,"")))</f>
        <v/>
      </c>
      <c r="T247" s="17" t="str">
        <f>IF(ISNA($B247),"",IF($B247="","",IFERROR(_xll.BDP(TICKER,"DEEP_MEASURE_PERIOD_BROKER_VALUE","DEEP_MEASURE_ID_OVERRIDE",$C247,"DEEP_BROKER_ID_OVERRIDE",$F$7,"DEEP_PERIOD_OVERRIDE",T$11)*1,"")))</f>
        <v/>
      </c>
      <c r="U247" s="17" t="str">
        <f>IF(ISNA($B247),"",IF($B247="","",IFERROR(_xll.BDP(TICKER,"DEEP_MEASURE_PERIOD_BROKER_VALUE","DEEP_MEASURE_ID_OVERRIDE",$C247,"DEEP_BROKER_ID_OVERRIDE",$F$7,"DEEP_PERIOD_OVERRIDE",U$11)*1,"")))</f>
        <v/>
      </c>
      <c r="V247" s="17" t="str">
        <f>IF(ISNA($B247),"",IF($B247="","",IFERROR(_xll.BDP(TICKER,"DEEP_MEASURE_PERIOD_BROKER_VALUE","DEEP_MEASURE_ID_OVERRIDE",$C247,"DEEP_BROKER_ID_OVERRIDE",$F$7,"DEEP_PERIOD_OVERRIDE",V$11)*1,"")))</f>
        <v/>
      </c>
      <c r="W247" s="17" t="str">
        <f>IF(ISNA($B247),"",IF($B247="","",IFERROR(_xll.BDP(TICKER,"DEEP_MEASURE_PERIOD_BROKER_VALUE","DEEP_MEASURE_ID_OVERRIDE",$C247,"DEEP_BROKER_ID_OVERRIDE",$F$7,"DEEP_PERIOD_OVERRIDE",W$11)*1,"")))</f>
        <v/>
      </c>
      <c r="X247" s="17" t="str">
        <f>IF(ISNA($B247),"",IF($B247="","",IFERROR(_xll.BDP(TICKER,"DEEP_MEASURE_PERIOD_BROKER_VALUE","DEEP_MEASURE_ID_OVERRIDE",$C247,"DEEP_BROKER_ID_OVERRIDE",$F$7,"DEEP_PERIOD_OVERRIDE",X$11)*1,"")))</f>
        <v/>
      </c>
      <c r="Y247" s="17" t="str">
        <f>IF(ISNA($B247),"",IF($B247="","",IFERROR(_xll.BDP(TICKER,"DEEP_MEASURE_PERIOD_BROKER_VALUE","DEEP_MEASURE_ID_OVERRIDE",$C247,"DEEP_BROKER_ID_OVERRIDE",$F$7,"DEEP_PERIOD_OVERRIDE",Y$11)*1,"")))</f>
        <v/>
      </c>
      <c r="Z247" s="17" t="str">
        <f>IF(ISNA($B247),"",IF($B247="","",IFERROR(_xll.BDP(TICKER,"DEEP_MEASURE_PERIOD_BROKER_VALUE","DEEP_MEASURE_ID_OVERRIDE",$C247,"DEEP_BROKER_ID_OVERRIDE",$F$7,"DEEP_PERIOD_OVERRIDE",Z$11)*1,"")))</f>
        <v/>
      </c>
      <c r="AA247" s="17" t="str">
        <f>IF(ISNA($B247),"",IF($B247="","",IFERROR(_xll.BDP(TICKER,"DEEP_MEASURE_PERIOD_BROKER_VALUE","DEEP_MEASURE_ID_OVERRIDE",$C247,"DEEP_BROKER_ID_OVERRIDE",$F$7,"DEEP_PERIOD_OVERRIDE",AA$11)*1,"")))</f>
        <v/>
      </c>
      <c r="AB247" s="17" t="str">
        <f>IF(ISNA($B247),"",IF($B247="","",IFERROR(_xll.BDP(TICKER,"DEEP_MEASURE_PERIOD_BROKER_VALUE","DEEP_MEASURE_ID_OVERRIDE",$C247,"DEEP_BROKER_ID_OVERRIDE",$F$7,"DEEP_PERIOD_OVERRIDE",AB$11)*1,"")))</f>
        <v/>
      </c>
      <c r="AC247" s="17" t="str">
        <f>IF(ISNA($B247),"",IF($B247="","",IFERROR(_xll.BDP(TICKER,"DEEP_MEASURE_PERIOD_BROKER_VALUE","DEEP_MEASURE_ID_OVERRIDE",$C247,"DEEP_BROKER_ID_OVERRIDE",$F$7,"DEEP_PERIOD_OVERRIDE",AC$11)*1,"")))</f>
        <v/>
      </c>
      <c r="AD247" s="17" t="str">
        <f>IF(ISNA($B247),"",IF($B247="","",IFERROR(_xll.BDP(TICKER,"DEEP_MEASURE_PERIOD_BROKER_VALUE","DEEP_MEASURE_ID_OVERRIDE",$C247,"DEEP_BROKER_ID_OVERRIDE",$F$7,"DEEP_PERIOD_OVERRIDE",AD$11)*1,"")))</f>
        <v/>
      </c>
      <c r="AE247" s="17" t="str">
        <f>IF(ISNA($B247),"",IF($B247="","",IFERROR(_xll.BDP(TICKER,"DEEP_MEASURE_PERIOD_BROKER_VALUE","DEEP_MEASURE_ID_OVERRIDE",$C247,"DEEP_BROKER_ID_OVERRIDE",$F$7,"DEEP_PERIOD_OVERRIDE",AE$11)*1,"")))</f>
        <v/>
      </c>
      <c r="AF247" s="17" t="str">
        <f>IF(ISNA($B247),"",IF($B247="","",IFERROR(_xll.BDP(TICKER,"DEEP_MEASURE_PERIOD_BROKER_VALUE","DEEP_MEASURE_ID_OVERRIDE",$C247,"DEEP_BROKER_ID_OVERRIDE",$F$7,"DEEP_PERIOD_OVERRIDE",AF$11)*1,"")))</f>
        <v/>
      </c>
      <c r="AG247" s="17" t="str">
        <f>IF(ISNA($B247),"",IF($B247="","",IFERROR(_xll.BDP(TICKER,"DEEP_MEASURE_PERIOD_BROKER_VALUE","DEEP_MEASURE_ID_OVERRIDE",$C247,"DEEP_BROKER_ID_OVERRIDE",$F$7,"DEEP_PERIOD_OVERRIDE",AG$11)*1,"")))</f>
        <v/>
      </c>
      <c r="AH247" s="17" t="str">
        <f>IF(ISNA($B247),"",IF($B247="","",IFERROR(_xll.BDP(TICKER,"DEEP_MEASURE_PERIOD_BROKER_VALUE","DEEP_MEASURE_ID_OVERRIDE",$C247,"DEEP_BROKER_ID_OVERRIDE",$F$7,"DEEP_PERIOD_OVERRIDE",AH$11)*1,"")))</f>
        <v/>
      </c>
      <c r="AI247" s="17" t="str">
        <f>IF(ISNA($B247),"",IF($B247="","",IFERROR(_xll.BDP(TICKER,"DEEP_MEASURE_PERIOD_BROKER_VALUE","DEEP_MEASURE_ID_OVERRIDE",$C247,"DEEP_BROKER_ID_OVERRIDE",$F$7,"DEEP_PERIOD_OVERRIDE",AI$11)*1,"")))</f>
        <v/>
      </c>
      <c r="AJ247" s="17" t="str">
        <f>IF(ISNA($B247),"",IF($B247="","",IFERROR(_xll.BDP(TICKER,"DEEP_MEASURE_PERIOD_BROKER_VALUE","DEEP_MEASURE_ID_OVERRIDE",$C247,"DEEP_BROKER_ID_OVERRIDE",$F$7,"DEEP_PERIOD_OVERRIDE",AJ$11)*1,"")))</f>
        <v/>
      </c>
      <c r="AK247" s="17" t="str">
        <f>IF(ISNA($B247),"",IF($B247="","",IFERROR(_xll.BDP(TICKER,"DEEP_MEASURE_PERIOD_BROKER_VALUE","DEEP_MEASURE_ID_OVERRIDE",$C247,"DEEP_BROKER_ID_OVERRIDE",$F$7,"DEEP_PERIOD_OVERRIDE",AK$11)*1,"")))</f>
        <v/>
      </c>
      <c r="AL247" s="17" t="str">
        <f>IF(ISNA($B247),"",IF($B247="","",IFERROR(_xll.BDP(TICKER,"DEEP_MEASURE_PERIOD_BROKER_VALUE","DEEP_MEASURE_ID_OVERRIDE",$C247,"DEEP_BROKER_ID_OVERRIDE",$F$7,"DEEP_PERIOD_OVERRIDE",AL$11)*1,"")))</f>
        <v/>
      </c>
      <c r="AM247" s="17" t="str">
        <f>IF(ISNA($B247),"",IF($B247="","",IFERROR(_xll.BDP(TICKER,"DEEP_MEASURE_PERIOD_BROKER_VALUE","DEEP_MEASURE_ID_OVERRIDE",$C247,"DEEP_BROKER_ID_OVERRIDE",$F$7,"DEEP_PERIOD_OVERRIDE",AM$11)*1,"")))</f>
        <v/>
      </c>
      <c r="AN247" s="17" t="str">
        <f>IF(ISNA($B247),"",IF($B247="","",IFERROR(_xll.BDP(TICKER,"DEEP_MEASURE_PERIOD_BROKER_VALUE","DEEP_MEASURE_ID_OVERRIDE",$C247,"DEEP_BROKER_ID_OVERRIDE",$F$7,"DEEP_PERIOD_OVERRIDE",AN$11)*1,"")))</f>
        <v/>
      </c>
      <c r="AO247" s="17" t="str">
        <f>IF(ISNA($B247),"",IF($B247="","",IFERROR(_xll.BDP(TICKER,"DEEP_MEASURE_PERIOD_BROKER_VALUE","DEEP_MEASURE_ID_OVERRIDE",$C247,"DEEP_BROKER_ID_OVERRIDE",$F$7,"DEEP_PERIOD_OVERRIDE",AO$11)*1,"")))</f>
        <v/>
      </c>
      <c r="AP247" s="17" t="str">
        <f>IF(ISNA($B247),"",IF($B247="","",IFERROR(_xll.BDP(TICKER,"DEEP_MEASURE_PERIOD_BROKER_VALUE","DEEP_MEASURE_ID_OVERRIDE",$C247,"DEEP_BROKER_ID_OVERRIDE",$F$7,"DEEP_PERIOD_OVERRIDE",AP$11)*1,"")))</f>
        <v/>
      </c>
      <c r="AQ247" s="17" t="str">
        <f>IF(ISNA($B247),"",IF($B247="","",IFERROR(_xll.BDP(TICKER,"DEEP_MEASURE_PERIOD_BROKER_VALUE","DEEP_MEASURE_ID_OVERRIDE",$C247,"DEEP_BROKER_ID_OVERRIDE",$F$7,"DEEP_PERIOD_OVERRIDE",AQ$11)*1,"")))</f>
        <v/>
      </c>
    </row>
    <row r="248" spans="8:43" x14ac:dyDescent="0.25">
      <c r="H248" t="str">
        <f t="shared" si="5"/>
        <v/>
      </c>
      <c r="I248" s="17" t="str">
        <f>IF(ISNA($B248),"",IF($B248="","",IFERROR(_xll.BDP(TICKER,"DEEP_MEASURE_PERIOD_BROKER_VALUE","DEEP_MEASURE_ID_OVERRIDE",$C248,"DEEP_BROKER_ID_OVERRIDE",$F$7,"DEEP_PERIOD_OVERRIDE",I$11)*1,"")))</f>
        <v/>
      </c>
      <c r="J248" s="17" t="str">
        <f>IF(ISNA($B248),"",IF($B248="","",IFERROR(_xll.BDP(TICKER,"DEEP_MEASURE_PERIOD_BROKER_VALUE","DEEP_MEASURE_ID_OVERRIDE",$C248,"DEEP_BROKER_ID_OVERRIDE",$F$7,"DEEP_PERIOD_OVERRIDE",J$11)*1,"")))</f>
        <v/>
      </c>
      <c r="K248" s="17" t="str">
        <f>IF(ISNA($B248),"",IF($B248="","",IFERROR(_xll.BDP(TICKER,"DEEP_MEASURE_PERIOD_BROKER_VALUE","DEEP_MEASURE_ID_OVERRIDE",$C248,"DEEP_BROKER_ID_OVERRIDE",$F$7,"DEEP_PERIOD_OVERRIDE",K$11)*1,"")))</f>
        <v/>
      </c>
      <c r="L248" s="17" t="str">
        <f>IF(ISNA($B248),"",IF($B248="","",IFERROR(_xll.BDP(TICKER,"DEEP_MEASURE_PERIOD_BROKER_VALUE","DEEP_MEASURE_ID_OVERRIDE",$C248,"DEEP_BROKER_ID_OVERRIDE",$F$7,"DEEP_PERIOD_OVERRIDE",L$11)*1,"")))</f>
        <v/>
      </c>
      <c r="M248" s="17" t="str">
        <f>IF(ISNA($B248),"",IF($B248="","",IFERROR(_xll.BDP(TICKER,"DEEP_MEASURE_PERIOD_BROKER_VALUE","DEEP_MEASURE_ID_OVERRIDE",$C248,"DEEP_BROKER_ID_OVERRIDE",$F$7,"DEEP_PERIOD_OVERRIDE",M$11)*1,"")))</f>
        <v/>
      </c>
      <c r="N248" s="17" t="str">
        <f>IF(ISNA($B248),"",IF($B248="","",IFERROR(_xll.BDP(TICKER,"DEEP_MEASURE_PERIOD_BROKER_VALUE","DEEP_MEASURE_ID_OVERRIDE",$C248,"DEEP_BROKER_ID_OVERRIDE",$F$7,"DEEP_PERIOD_OVERRIDE",N$11)*1,"")))</f>
        <v/>
      </c>
      <c r="O248" s="17" t="str">
        <f>IF(ISNA($B248),"",IF($B248="","",IFERROR(_xll.BDP(TICKER,"DEEP_MEASURE_PERIOD_BROKER_VALUE","DEEP_MEASURE_ID_OVERRIDE",$C248,"DEEP_BROKER_ID_OVERRIDE",$F$7,"DEEP_PERIOD_OVERRIDE",O$11)*1,"")))</f>
        <v/>
      </c>
      <c r="P248" s="17" t="str">
        <f>IF(ISNA($B248),"",IF($B248="","",IFERROR(_xll.BDP(TICKER,"DEEP_MEASURE_PERIOD_BROKER_VALUE","DEEP_MEASURE_ID_OVERRIDE",$C248,"DEEP_BROKER_ID_OVERRIDE",$F$7,"DEEP_PERIOD_OVERRIDE",P$11)*1,"")))</f>
        <v/>
      </c>
      <c r="Q248" s="17" t="str">
        <f>IF(ISNA($B248),"",IF($B248="","",IFERROR(_xll.BDP(TICKER,"DEEP_MEASURE_PERIOD_BROKER_VALUE","DEEP_MEASURE_ID_OVERRIDE",$C248,"DEEP_BROKER_ID_OVERRIDE",$F$7,"DEEP_PERIOD_OVERRIDE",Q$11)*1,"")))</f>
        <v/>
      </c>
      <c r="R248" s="17" t="str">
        <f>IF(ISNA($B248),"",IF($B248="","",IFERROR(_xll.BDP(TICKER,"DEEP_MEASURE_PERIOD_BROKER_VALUE","DEEP_MEASURE_ID_OVERRIDE",$C248,"DEEP_BROKER_ID_OVERRIDE",$F$7,"DEEP_PERIOD_OVERRIDE",R$11)*1,"")))</f>
        <v/>
      </c>
      <c r="S248" s="17" t="str">
        <f>IF(ISNA($B248),"",IF($B248="","",IFERROR(_xll.BDP(TICKER,"DEEP_MEASURE_PERIOD_BROKER_VALUE","DEEP_MEASURE_ID_OVERRIDE",$C248,"DEEP_BROKER_ID_OVERRIDE",$F$7,"DEEP_PERIOD_OVERRIDE",S$11)*1,"")))</f>
        <v/>
      </c>
      <c r="T248" s="17" t="str">
        <f>IF(ISNA($B248),"",IF($B248="","",IFERROR(_xll.BDP(TICKER,"DEEP_MEASURE_PERIOD_BROKER_VALUE","DEEP_MEASURE_ID_OVERRIDE",$C248,"DEEP_BROKER_ID_OVERRIDE",$F$7,"DEEP_PERIOD_OVERRIDE",T$11)*1,"")))</f>
        <v/>
      </c>
      <c r="U248" s="17" t="str">
        <f>IF(ISNA($B248),"",IF($B248="","",IFERROR(_xll.BDP(TICKER,"DEEP_MEASURE_PERIOD_BROKER_VALUE","DEEP_MEASURE_ID_OVERRIDE",$C248,"DEEP_BROKER_ID_OVERRIDE",$F$7,"DEEP_PERIOD_OVERRIDE",U$11)*1,"")))</f>
        <v/>
      </c>
      <c r="V248" s="17" t="str">
        <f>IF(ISNA($B248),"",IF($B248="","",IFERROR(_xll.BDP(TICKER,"DEEP_MEASURE_PERIOD_BROKER_VALUE","DEEP_MEASURE_ID_OVERRIDE",$C248,"DEEP_BROKER_ID_OVERRIDE",$F$7,"DEEP_PERIOD_OVERRIDE",V$11)*1,"")))</f>
        <v/>
      </c>
      <c r="W248" s="17" t="str">
        <f>IF(ISNA($B248),"",IF($B248="","",IFERROR(_xll.BDP(TICKER,"DEEP_MEASURE_PERIOD_BROKER_VALUE","DEEP_MEASURE_ID_OVERRIDE",$C248,"DEEP_BROKER_ID_OVERRIDE",$F$7,"DEEP_PERIOD_OVERRIDE",W$11)*1,"")))</f>
        <v/>
      </c>
      <c r="X248" s="17" t="str">
        <f>IF(ISNA($B248),"",IF($B248="","",IFERROR(_xll.BDP(TICKER,"DEEP_MEASURE_PERIOD_BROKER_VALUE","DEEP_MEASURE_ID_OVERRIDE",$C248,"DEEP_BROKER_ID_OVERRIDE",$F$7,"DEEP_PERIOD_OVERRIDE",X$11)*1,"")))</f>
        <v/>
      </c>
      <c r="Y248" s="17" t="str">
        <f>IF(ISNA($B248),"",IF($B248="","",IFERROR(_xll.BDP(TICKER,"DEEP_MEASURE_PERIOD_BROKER_VALUE","DEEP_MEASURE_ID_OVERRIDE",$C248,"DEEP_BROKER_ID_OVERRIDE",$F$7,"DEEP_PERIOD_OVERRIDE",Y$11)*1,"")))</f>
        <v/>
      </c>
      <c r="Z248" s="17" t="str">
        <f>IF(ISNA($B248),"",IF($B248="","",IFERROR(_xll.BDP(TICKER,"DEEP_MEASURE_PERIOD_BROKER_VALUE","DEEP_MEASURE_ID_OVERRIDE",$C248,"DEEP_BROKER_ID_OVERRIDE",$F$7,"DEEP_PERIOD_OVERRIDE",Z$11)*1,"")))</f>
        <v/>
      </c>
      <c r="AA248" s="17" t="str">
        <f>IF(ISNA($B248),"",IF($B248="","",IFERROR(_xll.BDP(TICKER,"DEEP_MEASURE_PERIOD_BROKER_VALUE","DEEP_MEASURE_ID_OVERRIDE",$C248,"DEEP_BROKER_ID_OVERRIDE",$F$7,"DEEP_PERIOD_OVERRIDE",AA$11)*1,"")))</f>
        <v/>
      </c>
      <c r="AB248" s="17" t="str">
        <f>IF(ISNA($B248),"",IF($B248="","",IFERROR(_xll.BDP(TICKER,"DEEP_MEASURE_PERIOD_BROKER_VALUE","DEEP_MEASURE_ID_OVERRIDE",$C248,"DEEP_BROKER_ID_OVERRIDE",$F$7,"DEEP_PERIOD_OVERRIDE",AB$11)*1,"")))</f>
        <v/>
      </c>
      <c r="AC248" s="17" t="str">
        <f>IF(ISNA($B248),"",IF($B248="","",IFERROR(_xll.BDP(TICKER,"DEEP_MEASURE_PERIOD_BROKER_VALUE","DEEP_MEASURE_ID_OVERRIDE",$C248,"DEEP_BROKER_ID_OVERRIDE",$F$7,"DEEP_PERIOD_OVERRIDE",AC$11)*1,"")))</f>
        <v/>
      </c>
      <c r="AD248" s="17" t="str">
        <f>IF(ISNA($B248),"",IF($B248="","",IFERROR(_xll.BDP(TICKER,"DEEP_MEASURE_PERIOD_BROKER_VALUE","DEEP_MEASURE_ID_OVERRIDE",$C248,"DEEP_BROKER_ID_OVERRIDE",$F$7,"DEEP_PERIOD_OVERRIDE",AD$11)*1,"")))</f>
        <v/>
      </c>
      <c r="AE248" s="17" t="str">
        <f>IF(ISNA($B248),"",IF($B248="","",IFERROR(_xll.BDP(TICKER,"DEEP_MEASURE_PERIOD_BROKER_VALUE","DEEP_MEASURE_ID_OVERRIDE",$C248,"DEEP_BROKER_ID_OVERRIDE",$F$7,"DEEP_PERIOD_OVERRIDE",AE$11)*1,"")))</f>
        <v/>
      </c>
      <c r="AF248" s="17" t="str">
        <f>IF(ISNA($B248),"",IF($B248="","",IFERROR(_xll.BDP(TICKER,"DEEP_MEASURE_PERIOD_BROKER_VALUE","DEEP_MEASURE_ID_OVERRIDE",$C248,"DEEP_BROKER_ID_OVERRIDE",$F$7,"DEEP_PERIOD_OVERRIDE",AF$11)*1,"")))</f>
        <v/>
      </c>
      <c r="AG248" s="17" t="str">
        <f>IF(ISNA($B248),"",IF($B248="","",IFERROR(_xll.BDP(TICKER,"DEEP_MEASURE_PERIOD_BROKER_VALUE","DEEP_MEASURE_ID_OVERRIDE",$C248,"DEEP_BROKER_ID_OVERRIDE",$F$7,"DEEP_PERIOD_OVERRIDE",AG$11)*1,"")))</f>
        <v/>
      </c>
      <c r="AH248" s="17" t="str">
        <f>IF(ISNA($B248),"",IF($B248="","",IFERROR(_xll.BDP(TICKER,"DEEP_MEASURE_PERIOD_BROKER_VALUE","DEEP_MEASURE_ID_OVERRIDE",$C248,"DEEP_BROKER_ID_OVERRIDE",$F$7,"DEEP_PERIOD_OVERRIDE",AH$11)*1,"")))</f>
        <v/>
      </c>
      <c r="AI248" s="17" t="str">
        <f>IF(ISNA($B248),"",IF($B248="","",IFERROR(_xll.BDP(TICKER,"DEEP_MEASURE_PERIOD_BROKER_VALUE","DEEP_MEASURE_ID_OVERRIDE",$C248,"DEEP_BROKER_ID_OVERRIDE",$F$7,"DEEP_PERIOD_OVERRIDE",AI$11)*1,"")))</f>
        <v/>
      </c>
      <c r="AJ248" s="17" t="str">
        <f>IF(ISNA($B248),"",IF($B248="","",IFERROR(_xll.BDP(TICKER,"DEEP_MEASURE_PERIOD_BROKER_VALUE","DEEP_MEASURE_ID_OVERRIDE",$C248,"DEEP_BROKER_ID_OVERRIDE",$F$7,"DEEP_PERIOD_OVERRIDE",AJ$11)*1,"")))</f>
        <v/>
      </c>
      <c r="AK248" s="17" t="str">
        <f>IF(ISNA($B248),"",IF($B248="","",IFERROR(_xll.BDP(TICKER,"DEEP_MEASURE_PERIOD_BROKER_VALUE","DEEP_MEASURE_ID_OVERRIDE",$C248,"DEEP_BROKER_ID_OVERRIDE",$F$7,"DEEP_PERIOD_OVERRIDE",AK$11)*1,"")))</f>
        <v/>
      </c>
      <c r="AL248" s="17" t="str">
        <f>IF(ISNA($B248),"",IF($B248="","",IFERROR(_xll.BDP(TICKER,"DEEP_MEASURE_PERIOD_BROKER_VALUE","DEEP_MEASURE_ID_OVERRIDE",$C248,"DEEP_BROKER_ID_OVERRIDE",$F$7,"DEEP_PERIOD_OVERRIDE",AL$11)*1,"")))</f>
        <v/>
      </c>
      <c r="AM248" s="17" t="str">
        <f>IF(ISNA($B248),"",IF($B248="","",IFERROR(_xll.BDP(TICKER,"DEEP_MEASURE_PERIOD_BROKER_VALUE","DEEP_MEASURE_ID_OVERRIDE",$C248,"DEEP_BROKER_ID_OVERRIDE",$F$7,"DEEP_PERIOD_OVERRIDE",AM$11)*1,"")))</f>
        <v/>
      </c>
      <c r="AN248" s="17" t="str">
        <f>IF(ISNA($B248),"",IF($B248="","",IFERROR(_xll.BDP(TICKER,"DEEP_MEASURE_PERIOD_BROKER_VALUE","DEEP_MEASURE_ID_OVERRIDE",$C248,"DEEP_BROKER_ID_OVERRIDE",$F$7,"DEEP_PERIOD_OVERRIDE",AN$11)*1,"")))</f>
        <v/>
      </c>
      <c r="AO248" s="17" t="str">
        <f>IF(ISNA($B248),"",IF($B248="","",IFERROR(_xll.BDP(TICKER,"DEEP_MEASURE_PERIOD_BROKER_VALUE","DEEP_MEASURE_ID_OVERRIDE",$C248,"DEEP_BROKER_ID_OVERRIDE",$F$7,"DEEP_PERIOD_OVERRIDE",AO$11)*1,"")))</f>
        <v/>
      </c>
      <c r="AP248" s="17" t="str">
        <f>IF(ISNA($B248),"",IF($B248="","",IFERROR(_xll.BDP(TICKER,"DEEP_MEASURE_PERIOD_BROKER_VALUE","DEEP_MEASURE_ID_OVERRIDE",$C248,"DEEP_BROKER_ID_OVERRIDE",$F$7,"DEEP_PERIOD_OVERRIDE",AP$11)*1,"")))</f>
        <v/>
      </c>
      <c r="AQ248" s="17" t="str">
        <f>IF(ISNA($B248),"",IF($B248="","",IFERROR(_xll.BDP(TICKER,"DEEP_MEASURE_PERIOD_BROKER_VALUE","DEEP_MEASURE_ID_OVERRIDE",$C248,"DEEP_BROKER_ID_OVERRIDE",$F$7,"DEEP_PERIOD_OVERRIDE",AQ$11)*1,"")))</f>
        <v/>
      </c>
    </row>
    <row r="249" spans="8:43" x14ac:dyDescent="0.25">
      <c r="H249" t="str">
        <f t="shared" si="5"/>
        <v/>
      </c>
      <c r="I249" s="17" t="str">
        <f>IF(ISNA($B249),"",IF($B249="","",IFERROR(_xll.BDP(TICKER,"DEEP_MEASURE_PERIOD_BROKER_VALUE","DEEP_MEASURE_ID_OVERRIDE",$C249,"DEEP_BROKER_ID_OVERRIDE",$F$7,"DEEP_PERIOD_OVERRIDE",I$11)*1,"")))</f>
        <v/>
      </c>
      <c r="J249" s="17" t="str">
        <f>IF(ISNA($B249),"",IF($B249="","",IFERROR(_xll.BDP(TICKER,"DEEP_MEASURE_PERIOD_BROKER_VALUE","DEEP_MEASURE_ID_OVERRIDE",$C249,"DEEP_BROKER_ID_OVERRIDE",$F$7,"DEEP_PERIOD_OVERRIDE",J$11)*1,"")))</f>
        <v/>
      </c>
      <c r="K249" s="17" t="str">
        <f>IF(ISNA($B249),"",IF($B249="","",IFERROR(_xll.BDP(TICKER,"DEEP_MEASURE_PERIOD_BROKER_VALUE","DEEP_MEASURE_ID_OVERRIDE",$C249,"DEEP_BROKER_ID_OVERRIDE",$F$7,"DEEP_PERIOD_OVERRIDE",K$11)*1,"")))</f>
        <v/>
      </c>
      <c r="L249" s="17" t="str">
        <f>IF(ISNA($B249),"",IF($B249="","",IFERROR(_xll.BDP(TICKER,"DEEP_MEASURE_PERIOD_BROKER_VALUE","DEEP_MEASURE_ID_OVERRIDE",$C249,"DEEP_BROKER_ID_OVERRIDE",$F$7,"DEEP_PERIOD_OVERRIDE",L$11)*1,"")))</f>
        <v/>
      </c>
      <c r="M249" s="17" t="str">
        <f>IF(ISNA($B249),"",IF($B249="","",IFERROR(_xll.BDP(TICKER,"DEEP_MEASURE_PERIOD_BROKER_VALUE","DEEP_MEASURE_ID_OVERRIDE",$C249,"DEEP_BROKER_ID_OVERRIDE",$F$7,"DEEP_PERIOD_OVERRIDE",M$11)*1,"")))</f>
        <v/>
      </c>
      <c r="N249" s="17" t="str">
        <f>IF(ISNA($B249),"",IF($B249="","",IFERROR(_xll.BDP(TICKER,"DEEP_MEASURE_PERIOD_BROKER_VALUE","DEEP_MEASURE_ID_OVERRIDE",$C249,"DEEP_BROKER_ID_OVERRIDE",$F$7,"DEEP_PERIOD_OVERRIDE",N$11)*1,"")))</f>
        <v/>
      </c>
      <c r="O249" s="17" t="str">
        <f>IF(ISNA($B249),"",IF($B249="","",IFERROR(_xll.BDP(TICKER,"DEEP_MEASURE_PERIOD_BROKER_VALUE","DEEP_MEASURE_ID_OVERRIDE",$C249,"DEEP_BROKER_ID_OVERRIDE",$F$7,"DEEP_PERIOD_OVERRIDE",O$11)*1,"")))</f>
        <v/>
      </c>
      <c r="P249" s="17" t="str">
        <f>IF(ISNA($B249),"",IF($B249="","",IFERROR(_xll.BDP(TICKER,"DEEP_MEASURE_PERIOD_BROKER_VALUE","DEEP_MEASURE_ID_OVERRIDE",$C249,"DEEP_BROKER_ID_OVERRIDE",$F$7,"DEEP_PERIOD_OVERRIDE",P$11)*1,"")))</f>
        <v/>
      </c>
      <c r="Q249" s="17" t="str">
        <f>IF(ISNA($B249),"",IF($B249="","",IFERROR(_xll.BDP(TICKER,"DEEP_MEASURE_PERIOD_BROKER_VALUE","DEEP_MEASURE_ID_OVERRIDE",$C249,"DEEP_BROKER_ID_OVERRIDE",$F$7,"DEEP_PERIOD_OVERRIDE",Q$11)*1,"")))</f>
        <v/>
      </c>
      <c r="R249" s="17" t="str">
        <f>IF(ISNA($B249),"",IF($B249="","",IFERROR(_xll.BDP(TICKER,"DEEP_MEASURE_PERIOD_BROKER_VALUE","DEEP_MEASURE_ID_OVERRIDE",$C249,"DEEP_BROKER_ID_OVERRIDE",$F$7,"DEEP_PERIOD_OVERRIDE",R$11)*1,"")))</f>
        <v/>
      </c>
      <c r="S249" s="17" t="str">
        <f>IF(ISNA($B249),"",IF($B249="","",IFERROR(_xll.BDP(TICKER,"DEEP_MEASURE_PERIOD_BROKER_VALUE","DEEP_MEASURE_ID_OVERRIDE",$C249,"DEEP_BROKER_ID_OVERRIDE",$F$7,"DEEP_PERIOD_OVERRIDE",S$11)*1,"")))</f>
        <v/>
      </c>
      <c r="T249" s="17" t="str">
        <f>IF(ISNA($B249),"",IF($B249="","",IFERROR(_xll.BDP(TICKER,"DEEP_MEASURE_PERIOD_BROKER_VALUE","DEEP_MEASURE_ID_OVERRIDE",$C249,"DEEP_BROKER_ID_OVERRIDE",$F$7,"DEEP_PERIOD_OVERRIDE",T$11)*1,"")))</f>
        <v/>
      </c>
      <c r="U249" s="17" t="str">
        <f>IF(ISNA($B249),"",IF($B249="","",IFERROR(_xll.BDP(TICKER,"DEEP_MEASURE_PERIOD_BROKER_VALUE","DEEP_MEASURE_ID_OVERRIDE",$C249,"DEEP_BROKER_ID_OVERRIDE",$F$7,"DEEP_PERIOD_OVERRIDE",U$11)*1,"")))</f>
        <v/>
      </c>
      <c r="V249" s="17" t="str">
        <f>IF(ISNA($B249),"",IF($B249="","",IFERROR(_xll.BDP(TICKER,"DEEP_MEASURE_PERIOD_BROKER_VALUE","DEEP_MEASURE_ID_OVERRIDE",$C249,"DEEP_BROKER_ID_OVERRIDE",$F$7,"DEEP_PERIOD_OVERRIDE",V$11)*1,"")))</f>
        <v/>
      </c>
      <c r="W249" s="17" t="str">
        <f>IF(ISNA($B249),"",IF($B249="","",IFERROR(_xll.BDP(TICKER,"DEEP_MEASURE_PERIOD_BROKER_VALUE","DEEP_MEASURE_ID_OVERRIDE",$C249,"DEEP_BROKER_ID_OVERRIDE",$F$7,"DEEP_PERIOD_OVERRIDE",W$11)*1,"")))</f>
        <v/>
      </c>
      <c r="X249" s="17" t="str">
        <f>IF(ISNA($B249),"",IF($B249="","",IFERROR(_xll.BDP(TICKER,"DEEP_MEASURE_PERIOD_BROKER_VALUE","DEEP_MEASURE_ID_OVERRIDE",$C249,"DEEP_BROKER_ID_OVERRIDE",$F$7,"DEEP_PERIOD_OVERRIDE",X$11)*1,"")))</f>
        <v/>
      </c>
      <c r="Y249" s="17" t="str">
        <f>IF(ISNA($B249),"",IF($B249="","",IFERROR(_xll.BDP(TICKER,"DEEP_MEASURE_PERIOD_BROKER_VALUE","DEEP_MEASURE_ID_OVERRIDE",$C249,"DEEP_BROKER_ID_OVERRIDE",$F$7,"DEEP_PERIOD_OVERRIDE",Y$11)*1,"")))</f>
        <v/>
      </c>
      <c r="Z249" s="17" t="str">
        <f>IF(ISNA($B249),"",IF($B249="","",IFERROR(_xll.BDP(TICKER,"DEEP_MEASURE_PERIOD_BROKER_VALUE","DEEP_MEASURE_ID_OVERRIDE",$C249,"DEEP_BROKER_ID_OVERRIDE",$F$7,"DEEP_PERIOD_OVERRIDE",Z$11)*1,"")))</f>
        <v/>
      </c>
      <c r="AA249" s="17" t="str">
        <f>IF(ISNA($B249),"",IF($B249="","",IFERROR(_xll.BDP(TICKER,"DEEP_MEASURE_PERIOD_BROKER_VALUE","DEEP_MEASURE_ID_OVERRIDE",$C249,"DEEP_BROKER_ID_OVERRIDE",$F$7,"DEEP_PERIOD_OVERRIDE",AA$11)*1,"")))</f>
        <v/>
      </c>
      <c r="AB249" s="17" t="str">
        <f>IF(ISNA($B249),"",IF($B249="","",IFERROR(_xll.BDP(TICKER,"DEEP_MEASURE_PERIOD_BROKER_VALUE","DEEP_MEASURE_ID_OVERRIDE",$C249,"DEEP_BROKER_ID_OVERRIDE",$F$7,"DEEP_PERIOD_OVERRIDE",AB$11)*1,"")))</f>
        <v/>
      </c>
      <c r="AC249" s="17" t="str">
        <f>IF(ISNA($B249),"",IF($B249="","",IFERROR(_xll.BDP(TICKER,"DEEP_MEASURE_PERIOD_BROKER_VALUE","DEEP_MEASURE_ID_OVERRIDE",$C249,"DEEP_BROKER_ID_OVERRIDE",$F$7,"DEEP_PERIOD_OVERRIDE",AC$11)*1,"")))</f>
        <v/>
      </c>
      <c r="AD249" s="17" t="str">
        <f>IF(ISNA($B249),"",IF($B249="","",IFERROR(_xll.BDP(TICKER,"DEEP_MEASURE_PERIOD_BROKER_VALUE","DEEP_MEASURE_ID_OVERRIDE",$C249,"DEEP_BROKER_ID_OVERRIDE",$F$7,"DEEP_PERIOD_OVERRIDE",AD$11)*1,"")))</f>
        <v/>
      </c>
      <c r="AE249" s="17" t="str">
        <f>IF(ISNA($B249),"",IF($B249="","",IFERROR(_xll.BDP(TICKER,"DEEP_MEASURE_PERIOD_BROKER_VALUE","DEEP_MEASURE_ID_OVERRIDE",$C249,"DEEP_BROKER_ID_OVERRIDE",$F$7,"DEEP_PERIOD_OVERRIDE",AE$11)*1,"")))</f>
        <v/>
      </c>
      <c r="AF249" s="17" t="str">
        <f>IF(ISNA($B249),"",IF($B249="","",IFERROR(_xll.BDP(TICKER,"DEEP_MEASURE_PERIOD_BROKER_VALUE","DEEP_MEASURE_ID_OVERRIDE",$C249,"DEEP_BROKER_ID_OVERRIDE",$F$7,"DEEP_PERIOD_OVERRIDE",AF$11)*1,"")))</f>
        <v/>
      </c>
      <c r="AG249" s="17" t="str">
        <f>IF(ISNA($B249),"",IF($B249="","",IFERROR(_xll.BDP(TICKER,"DEEP_MEASURE_PERIOD_BROKER_VALUE","DEEP_MEASURE_ID_OVERRIDE",$C249,"DEEP_BROKER_ID_OVERRIDE",$F$7,"DEEP_PERIOD_OVERRIDE",AG$11)*1,"")))</f>
        <v/>
      </c>
      <c r="AH249" s="17" t="str">
        <f>IF(ISNA($B249),"",IF($B249="","",IFERROR(_xll.BDP(TICKER,"DEEP_MEASURE_PERIOD_BROKER_VALUE","DEEP_MEASURE_ID_OVERRIDE",$C249,"DEEP_BROKER_ID_OVERRIDE",$F$7,"DEEP_PERIOD_OVERRIDE",AH$11)*1,"")))</f>
        <v/>
      </c>
      <c r="AI249" s="17" t="str">
        <f>IF(ISNA($B249),"",IF($B249="","",IFERROR(_xll.BDP(TICKER,"DEEP_MEASURE_PERIOD_BROKER_VALUE","DEEP_MEASURE_ID_OVERRIDE",$C249,"DEEP_BROKER_ID_OVERRIDE",$F$7,"DEEP_PERIOD_OVERRIDE",AI$11)*1,"")))</f>
        <v/>
      </c>
      <c r="AJ249" s="17" t="str">
        <f>IF(ISNA($B249),"",IF($B249="","",IFERROR(_xll.BDP(TICKER,"DEEP_MEASURE_PERIOD_BROKER_VALUE","DEEP_MEASURE_ID_OVERRIDE",$C249,"DEEP_BROKER_ID_OVERRIDE",$F$7,"DEEP_PERIOD_OVERRIDE",AJ$11)*1,"")))</f>
        <v/>
      </c>
      <c r="AK249" s="17" t="str">
        <f>IF(ISNA($B249),"",IF($B249="","",IFERROR(_xll.BDP(TICKER,"DEEP_MEASURE_PERIOD_BROKER_VALUE","DEEP_MEASURE_ID_OVERRIDE",$C249,"DEEP_BROKER_ID_OVERRIDE",$F$7,"DEEP_PERIOD_OVERRIDE",AK$11)*1,"")))</f>
        <v/>
      </c>
      <c r="AL249" s="17" t="str">
        <f>IF(ISNA($B249),"",IF($B249="","",IFERROR(_xll.BDP(TICKER,"DEEP_MEASURE_PERIOD_BROKER_VALUE","DEEP_MEASURE_ID_OVERRIDE",$C249,"DEEP_BROKER_ID_OVERRIDE",$F$7,"DEEP_PERIOD_OVERRIDE",AL$11)*1,"")))</f>
        <v/>
      </c>
      <c r="AM249" s="17" t="str">
        <f>IF(ISNA($B249),"",IF($B249="","",IFERROR(_xll.BDP(TICKER,"DEEP_MEASURE_PERIOD_BROKER_VALUE","DEEP_MEASURE_ID_OVERRIDE",$C249,"DEEP_BROKER_ID_OVERRIDE",$F$7,"DEEP_PERIOD_OVERRIDE",AM$11)*1,"")))</f>
        <v/>
      </c>
      <c r="AN249" s="17" t="str">
        <f>IF(ISNA($B249),"",IF($B249="","",IFERROR(_xll.BDP(TICKER,"DEEP_MEASURE_PERIOD_BROKER_VALUE","DEEP_MEASURE_ID_OVERRIDE",$C249,"DEEP_BROKER_ID_OVERRIDE",$F$7,"DEEP_PERIOD_OVERRIDE",AN$11)*1,"")))</f>
        <v/>
      </c>
      <c r="AO249" s="17" t="str">
        <f>IF(ISNA($B249),"",IF($B249="","",IFERROR(_xll.BDP(TICKER,"DEEP_MEASURE_PERIOD_BROKER_VALUE","DEEP_MEASURE_ID_OVERRIDE",$C249,"DEEP_BROKER_ID_OVERRIDE",$F$7,"DEEP_PERIOD_OVERRIDE",AO$11)*1,"")))</f>
        <v/>
      </c>
      <c r="AP249" s="17" t="str">
        <f>IF(ISNA($B249),"",IF($B249="","",IFERROR(_xll.BDP(TICKER,"DEEP_MEASURE_PERIOD_BROKER_VALUE","DEEP_MEASURE_ID_OVERRIDE",$C249,"DEEP_BROKER_ID_OVERRIDE",$F$7,"DEEP_PERIOD_OVERRIDE",AP$11)*1,"")))</f>
        <v/>
      </c>
      <c r="AQ249" s="17" t="str">
        <f>IF(ISNA($B249),"",IF($B249="","",IFERROR(_xll.BDP(TICKER,"DEEP_MEASURE_PERIOD_BROKER_VALUE","DEEP_MEASURE_ID_OVERRIDE",$C249,"DEEP_BROKER_ID_OVERRIDE",$F$7,"DEEP_PERIOD_OVERRIDE",AQ$11)*1,"")))</f>
        <v/>
      </c>
    </row>
    <row r="250" spans="8:43" x14ac:dyDescent="0.25">
      <c r="H250" t="str">
        <f t="shared" si="5"/>
        <v/>
      </c>
      <c r="I250" s="17" t="str">
        <f>IF(ISNA($B250),"",IF($B250="","",IFERROR(_xll.BDP(TICKER,"DEEP_MEASURE_PERIOD_BROKER_VALUE","DEEP_MEASURE_ID_OVERRIDE",$C250,"DEEP_BROKER_ID_OVERRIDE",$F$7,"DEEP_PERIOD_OVERRIDE",I$11)*1,"")))</f>
        <v/>
      </c>
      <c r="J250" s="17" t="str">
        <f>IF(ISNA($B250),"",IF($B250="","",IFERROR(_xll.BDP(TICKER,"DEEP_MEASURE_PERIOD_BROKER_VALUE","DEEP_MEASURE_ID_OVERRIDE",$C250,"DEEP_BROKER_ID_OVERRIDE",$F$7,"DEEP_PERIOD_OVERRIDE",J$11)*1,"")))</f>
        <v/>
      </c>
      <c r="K250" s="17" t="str">
        <f>IF(ISNA($B250),"",IF($B250="","",IFERROR(_xll.BDP(TICKER,"DEEP_MEASURE_PERIOD_BROKER_VALUE","DEEP_MEASURE_ID_OVERRIDE",$C250,"DEEP_BROKER_ID_OVERRIDE",$F$7,"DEEP_PERIOD_OVERRIDE",K$11)*1,"")))</f>
        <v/>
      </c>
      <c r="L250" s="17" t="str">
        <f>IF(ISNA($B250),"",IF($B250="","",IFERROR(_xll.BDP(TICKER,"DEEP_MEASURE_PERIOD_BROKER_VALUE","DEEP_MEASURE_ID_OVERRIDE",$C250,"DEEP_BROKER_ID_OVERRIDE",$F$7,"DEEP_PERIOD_OVERRIDE",L$11)*1,"")))</f>
        <v/>
      </c>
      <c r="M250" s="17" t="str">
        <f>IF(ISNA($B250),"",IF($B250="","",IFERROR(_xll.BDP(TICKER,"DEEP_MEASURE_PERIOD_BROKER_VALUE","DEEP_MEASURE_ID_OVERRIDE",$C250,"DEEP_BROKER_ID_OVERRIDE",$F$7,"DEEP_PERIOD_OVERRIDE",M$11)*1,"")))</f>
        <v/>
      </c>
      <c r="N250" s="17" t="str">
        <f>IF(ISNA($B250),"",IF($B250="","",IFERROR(_xll.BDP(TICKER,"DEEP_MEASURE_PERIOD_BROKER_VALUE","DEEP_MEASURE_ID_OVERRIDE",$C250,"DEEP_BROKER_ID_OVERRIDE",$F$7,"DEEP_PERIOD_OVERRIDE",N$11)*1,"")))</f>
        <v/>
      </c>
      <c r="O250" s="17" t="str">
        <f>IF(ISNA($B250),"",IF($B250="","",IFERROR(_xll.BDP(TICKER,"DEEP_MEASURE_PERIOD_BROKER_VALUE","DEEP_MEASURE_ID_OVERRIDE",$C250,"DEEP_BROKER_ID_OVERRIDE",$F$7,"DEEP_PERIOD_OVERRIDE",O$11)*1,"")))</f>
        <v/>
      </c>
      <c r="P250" s="17" t="str">
        <f>IF(ISNA($B250),"",IF($B250="","",IFERROR(_xll.BDP(TICKER,"DEEP_MEASURE_PERIOD_BROKER_VALUE","DEEP_MEASURE_ID_OVERRIDE",$C250,"DEEP_BROKER_ID_OVERRIDE",$F$7,"DEEP_PERIOD_OVERRIDE",P$11)*1,"")))</f>
        <v/>
      </c>
      <c r="Q250" s="17" t="str">
        <f>IF(ISNA($B250),"",IF($B250="","",IFERROR(_xll.BDP(TICKER,"DEEP_MEASURE_PERIOD_BROKER_VALUE","DEEP_MEASURE_ID_OVERRIDE",$C250,"DEEP_BROKER_ID_OVERRIDE",$F$7,"DEEP_PERIOD_OVERRIDE",Q$11)*1,"")))</f>
        <v/>
      </c>
      <c r="R250" s="17" t="str">
        <f>IF(ISNA($B250),"",IF($B250="","",IFERROR(_xll.BDP(TICKER,"DEEP_MEASURE_PERIOD_BROKER_VALUE","DEEP_MEASURE_ID_OVERRIDE",$C250,"DEEP_BROKER_ID_OVERRIDE",$F$7,"DEEP_PERIOD_OVERRIDE",R$11)*1,"")))</f>
        <v/>
      </c>
      <c r="S250" s="17" t="str">
        <f>IF(ISNA($B250),"",IF($B250="","",IFERROR(_xll.BDP(TICKER,"DEEP_MEASURE_PERIOD_BROKER_VALUE","DEEP_MEASURE_ID_OVERRIDE",$C250,"DEEP_BROKER_ID_OVERRIDE",$F$7,"DEEP_PERIOD_OVERRIDE",S$11)*1,"")))</f>
        <v/>
      </c>
      <c r="T250" s="17" t="str">
        <f>IF(ISNA($B250),"",IF($B250="","",IFERROR(_xll.BDP(TICKER,"DEEP_MEASURE_PERIOD_BROKER_VALUE","DEEP_MEASURE_ID_OVERRIDE",$C250,"DEEP_BROKER_ID_OVERRIDE",$F$7,"DEEP_PERIOD_OVERRIDE",T$11)*1,"")))</f>
        <v/>
      </c>
      <c r="U250" s="17" t="str">
        <f>IF(ISNA($B250),"",IF($B250="","",IFERROR(_xll.BDP(TICKER,"DEEP_MEASURE_PERIOD_BROKER_VALUE","DEEP_MEASURE_ID_OVERRIDE",$C250,"DEEP_BROKER_ID_OVERRIDE",$F$7,"DEEP_PERIOD_OVERRIDE",U$11)*1,"")))</f>
        <v/>
      </c>
      <c r="V250" s="17" t="str">
        <f>IF(ISNA($B250),"",IF($B250="","",IFERROR(_xll.BDP(TICKER,"DEEP_MEASURE_PERIOD_BROKER_VALUE","DEEP_MEASURE_ID_OVERRIDE",$C250,"DEEP_BROKER_ID_OVERRIDE",$F$7,"DEEP_PERIOD_OVERRIDE",V$11)*1,"")))</f>
        <v/>
      </c>
      <c r="W250" s="17" t="str">
        <f>IF(ISNA($B250),"",IF($B250="","",IFERROR(_xll.BDP(TICKER,"DEEP_MEASURE_PERIOD_BROKER_VALUE","DEEP_MEASURE_ID_OVERRIDE",$C250,"DEEP_BROKER_ID_OVERRIDE",$F$7,"DEEP_PERIOD_OVERRIDE",W$11)*1,"")))</f>
        <v/>
      </c>
      <c r="X250" s="17" t="str">
        <f>IF(ISNA($B250),"",IF($B250="","",IFERROR(_xll.BDP(TICKER,"DEEP_MEASURE_PERIOD_BROKER_VALUE","DEEP_MEASURE_ID_OVERRIDE",$C250,"DEEP_BROKER_ID_OVERRIDE",$F$7,"DEEP_PERIOD_OVERRIDE",X$11)*1,"")))</f>
        <v/>
      </c>
      <c r="Y250" s="17" t="str">
        <f>IF(ISNA($B250),"",IF($B250="","",IFERROR(_xll.BDP(TICKER,"DEEP_MEASURE_PERIOD_BROKER_VALUE","DEEP_MEASURE_ID_OVERRIDE",$C250,"DEEP_BROKER_ID_OVERRIDE",$F$7,"DEEP_PERIOD_OVERRIDE",Y$11)*1,"")))</f>
        <v/>
      </c>
      <c r="Z250" s="17" t="str">
        <f>IF(ISNA($B250),"",IF($B250="","",IFERROR(_xll.BDP(TICKER,"DEEP_MEASURE_PERIOD_BROKER_VALUE","DEEP_MEASURE_ID_OVERRIDE",$C250,"DEEP_BROKER_ID_OVERRIDE",$F$7,"DEEP_PERIOD_OVERRIDE",Z$11)*1,"")))</f>
        <v/>
      </c>
      <c r="AA250" s="17" t="str">
        <f>IF(ISNA($B250),"",IF($B250="","",IFERROR(_xll.BDP(TICKER,"DEEP_MEASURE_PERIOD_BROKER_VALUE","DEEP_MEASURE_ID_OVERRIDE",$C250,"DEEP_BROKER_ID_OVERRIDE",$F$7,"DEEP_PERIOD_OVERRIDE",AA$11)*1,"")))</f>
        <v/>
      </c>
      <c r="AB250" s="17" t="str">
        <f>IF(ISNA($B250),"",IF($B250="","",IFERROR(_xll.BDP(TICKER,"DEEP_MEASURE_PERIOD_BROKER_VALUE","DEEP_MEASURE_ID_OVERRIDE",$C250,"DEEP_BROKER_ID_OVERRIDE",$F$7,"DEEP_PERIOD_OVERRIDE",AB$11)*1,"")))</f>
        <v/>
      </c>
      <c r="AC250" s="17" t="str">
        <f>IF(ISNA($B250),"",IF($B250="","",IFERROR(_xll.BDP(TICKER,"DEEP_MEASURE_PERIOD_BROKER_VALUE","DEEP_MEASURE_ID_OVERRIDE",$C250,"DEEP_BROKER_ID_OVERRIDE",$F$7,"DEEP_PERIOD_OVERRIDE",AC$11)*1,"")))</f>
        <v/>
      </c>
      <c r="AD250" s="17" t="str">
        <f>IF(ISNA($B250),"",IF($B250="","",IFERROR(_xll.BDP(TICKER,"DEEP_MEASURE_PERIOD_BROKER_VALUE","DEEP_MEASURE_ID_OVERRIDE",$C250,"DEEP_BROKER_ID_OVERRIDE",$F$7,"DEEP_PERIOD_OVERRIDE",AD$11)*1,"")))</f>
        <v/>
      </c>
      <c r="AE250" s="17" t="str">
        <f>IF(ISNA($B250),"",IF($B250="","",IFERROR(_xll.BDP(TICKER,"DEEP_MEASURE_PERIOD_BROKER_VALUE","DEEP_MEASURE_ID_OVERRIDE",$C250,"DEEP_BROKER_ID_OVERRIDE",$F$7,"DEEP_PERIOD_OVERRIDE",AE$11)*1,"")))</f>
        <v/>
      </c>
      <c r="AF250" s="17" t="str">
        <f>IF(ISNA($B250),"",IF($B250="","",IFERROR(_xll.BDP(TICKER,"DEEP_MEASURE_PERIOD_BROKER_VALUE","DEEP_MEASURE_ID_OVERRIDE",$C250,"DEEP_BROKER_ID_OVERRIDE",$F$7,"DEEP_PERIOD_OVERRIDE",AF$11)*1,"")))</f>
        <v/>
      </c>
      <c r="AG250" s="17" t="str">
        <f>IF(ISNA($B250),"",IF($B250="","",IFERROR(_xll.BDP(TICKER,"DEEP_MEASURE_PERIOD_BROKER_VALUE","DEEP_MEASURE_ID_OVERRIDE",$C250,"DEEP_BROKER_ID_OVERRIDE",$F$7,"DEEP_PERIOD_OVERRIDE",AG$11)*1,"")))</f>
        <v/>
      </c>
      <c r="AH250" s="17" t="str">
        <f>IF(ISNA($B250),"",IF($B250="","",IFERROR(_xll.BDP(TICKER,"DEEP_MEASURE_PERIOD_BROKER_VALUE","DEEP_MEASURE_ID_OVERRIDE",$C250,"DEEP_BROKER_ID_OVERRIDE",$F$7,"DEEP_PERIOD_OVERRIDE",AH$11)*1,"")))</f>
        <v/>
      </c>
      <c r="AI250" s="17" t="str">
        <f>IF(ISNA($B250),"",IF($B250="","",IFERROR(_xll.BDP(TICKER,"DEEP_MEASURE_PERIOD_BROKER_VALUE","DEEP_MEASURE_ID_OVERRIDE",$C250,"DEEP_BROKER_ID_OVERRIDE",$F$7,"DEEP_PERIOD_OVERRIDE",AI$11)*1,"")))</f>
        <v/>
      </c>
      <c r="AJ250" s="17" t="str">
        <f>IF(ISNA($B250),"",IF($B250="","",IFERROR(_xll.BDP(TICKER,"DEEP_MEASURE_PERIOD_BROKER_VALUE","DEEP_MEASURE_ID_OVERRIDE",$C250,"DEEP_BROKER_ID_OVERRIDE",$F$7,"DEEP_PERIOD_OVERRIDE",AJ$11)*1,"")))</f>
        <v/>
      </c>
      <c r="AK250" s="17" t="str">
        <f>IF(ISNA($B250),"",IF($B250="","",IFERROR(_xll.BDP(TICKER,"DEEP_MEASURE_PERIOD_BROKER_VALUE","DEEP_MEASURE_ID_OVERRIDE",$C250,"DEEP_BROKER_ID_OVERRIDE",$F$7,"DEEP_PERIOD_OVERRIDE",AK$11)*1,"")))</f>
        <v/>
      </c>
      <c r="AL250" s="17" t="str">
        <f>IF(ISNA($B250),"",IF($B250="","",IFERROR(_xll.BDP(TICKER,"DEEP_MEASURE_PERIOD_BROKER_VALUE","DEEP_MEASURE_ID_OVERRIDE",$C250,"DEEP_BROKER_ID_OVERRIDE",$F$7,"DEEP_PERIOD_OVERRIDE",AL$11)*1,"")))</f>
        <v/>
      </c>
      <c r="AM250" s="17" t="str">
        <f>IF(ISNA($B250),"",IF($B250="","",IFERROR(_xll.BDP(TICKER,"DEEP_MEASURE_PERIOD_BROKER_VALUE","DEEP_MEASURE_ID_OVERRIDE",$C250,"DEEP_BROKER_ID_OVERRIDE",$F$7,"DEEP_PERIOD_OVERRIDE",AM$11)*1,"")))</f>
        <v/>
      </c>
      <c r="AN250" s="17" t="str">
        <f>IF(ISNA($B250),"",IF($B250="","",IFERROR(_xll.BDP(TICKER,"DEEP_MEASURE_PERIOD_BROKER_VALUE","DEEP_MEASURE_ID_OVERRIDE",$C250,"DEEP_BROKER_ID_OVERRIDE",$F$7,"DEEP_PERIOD_OVERRIDE",AN$11)*1,"")))</f>
        <v/>
      </c>
      <c r="AO250" s="17" t="str">
        <f>IF(ISNA($B250),"",IF($B250="","",IFERROR(_xll.BDP(TICKER,"DEEP_MEASURE_PERIOD_BROKER_VALUE","DEEP_MEASURE_ID_OVERRIDE",$C250,"DEEP_BROKER_ID_OVERRIDE",$F$7,"DEEP_PERIOD_OVERRIDE",AO$11)*1,"")))</f>
        <v/>
      </c>
      <c r="AP250" s="17" t="str">
        <f>IF(ISNA($B250),"",IF($B250="","",IFERROR(_xll.BDP(TICKER,"DEEP_MEASURE_PERIOD_BROKER_VALUE","DEEP_MEASURE_ID_OVERRIDE",$C250,"DEEP_BROKER_ID_OVERRIDE",$F$7,"DEEP_PERIOD_OVERRIDE",AP$11)*1,"")))</f>
        <v/>
      </c>
      <c r="AQ250" s="17" t="str">
        <f>IF(ISNA($B250),"",IF($B250="","",IFERROR(_xll.BDP(TICKER,"DEEP_MEASURE_PERIOD_BROKER_VALUE","DEEP_MEASURE_ID_OVERRIDE",$C250,"DEEP_BROKER_ID_OVERRIDE",$F$7,"DEEP_PERIOD_OVERRIDE",AQ$11)*1,"")))</f>
        <v/>
      </c>
    </row>
    <row r="251" spans="8:43" x14ac:dyDescent="0.25">
      <c r="H251" t="str">
        <f t="shared" si="5"/>
        <v/>
      </c>
      <c r="I251" s="17" t="str">
        <f>IF(ISNA($B251),"",IF($B251="","",IFERROR(_xll.BDP(TICKER,"DEEP_MEASURE_PERIOD_BROKER_VALUE","DEEP_MEASURE_ID_OVERRIDE",$C251,"DEEP_BROKER_ID_OVERRIDE",$F$7,"DEEP_PERIOD_OVERRIDE",I$11)*1,"")))</f>
        <v/>
      </c>
      <c r="J251" s="17" t="str">
        <f>IF(ISNA($B251),"",IF($B251="","",IFERROR(_xll.BDP(TICKER,"DEEP_MEASURE_PERIOD_BROKER_VALUE","DEEP_MEASURE_ID_OVERRIDE",$C251,"DEEP_BROKER_ID_OVERRIDE",$F$7,"DEEP_PERIOD_OVERRIDE",J$11)*1,"")))</f>
        <v/>
      </c>
      <c r="K251" s="17" t="str">
        <f>IF(ISNA($B251),"",IF($B251="","",IFERROR(_xll.BDP(TICKER,"DEEP_MEASURE_PERIOD_BROKER_VALUE","DEEP_MEASURE_ID_OVERRIDE",$C251,"DEEP_BROKER_ID_OVERRIDE",$F$7,"DEEP_PERIOD_OVERRIDE",K$11)*1,"")))</f>
        <v/>
      </c>
      <c r="L251" s="17" t="str">
        <f>IF(ISNA($B251),"",IF($B251="","",IFERROR(_xll.BDP(TICKER,"DEEP_MEASURE_PERIOD_BROKER_VALUE","DEEP_MEASURE_ID_OVERRIDE",$C251,"DEEP_BROKER_ID_OVERRIDE",$F$7,"DEEP_PERIOD_OVERRIDE",L$11)*1,"")))</f>
        <v/>
      </c>
      <c r="M251" s="17" t="str">
        <f>IF(ISNA($B251),"",IF($B251="","",IFERROR(_xll.BDP(TICKER,"DEEP_MEASURE_PERIOD_BROKER_VALUE","DEEP_MEASURE_ID_OVERRIDE",$C251,"DEEP_BROKER_ID_OVERRIDE",$F$7,"DEEP_PERIOD_OVERRIDE",M$11)*1,"")))</f>
        <v/>
      </c>
      <c r="N251" s="17" t="str">
        <f>IF(ISNA($B251),"",IF($B251="","",IFERROR(_xll.BDP(TICKER,"DEEP_MEASURE_PERIOD_BROKER_VALUE","DEEP_MEASURE_ID_OVERRIDE",$C251,"DEEP_BROKER_ID_OVERRIDE",$F$7,"DEEP_PERIOD_OVERRIDE",N$11)*1,"")))</f>
        <v/>
      </c>
      <c r="O251" s="17" t="str">
        <f>IF(ISNA($B251),"",IF($B251="","",IFERROR(_xll.BDP(TICKER,"DEEP_MEASURE_PERIOD_BROKER_VALUE","DEEP_MEASURE_ID_OVERRIDE",$C251,"DEEP_BROKER_ID_OVERRIDE",$F$7,"DEEP_PERIOD_OVERRIDE",O$11)*1,"")))</f>
        <v/>
      </c>
      <c r="P251" s="17" t="str">
        <f>IF(ISNA($B251),"",IF($B251="","",IFERROR(_xll.BDP(TICKER,"DEEP_MEASURE_PERIOD_BROKER_VALUE","DEEP_MEASURE_ID_OVERRIDE",$C251,"DEEP_BROKER_ID_OVERRIDE",$F$7,"DEEP_PERIOD_OVERRIDE",P$11)*1,"")))</f>
        <v/>
      </c>
      <c r="Q251" s="17" t="str">
        <f>IF(ISNA($B251),"",IF($B251="","",IFERROR(_xll.BDP(TICKER,"DEEP_MEASURE_PERIOD_BROKER_VALUE","DEEP_MEASURE_ID_OVERRIDE",$C251,"DEEP_BROKER_ID_OVERRIDE",$F$7,"DEEP_PERIOD_OVERRIDE",Q$11)*1,"")))</f>
        <v/>
      </c>
      <c r="R251" s="17" t="str">
        <f>IF(ISNA($B251),"",IF($B251="","",IFERROR(_xll.BDP(TICKER,"DEEP_MEASURE_PERIOD_BROKER_VALUE","DEEP_MEASURE_ID_OVERRIDE",$C251,"DEEP_BROKER_ID_OVERRIDE",$F$7,"DEEP_PERIOD_OVERRIDE",R$11)*1,"")))</f>
        <v/>
      </c>
      <c r="S251" s="17" t="str">
        <f>IF(ISNA($B251),"",IF($B251="","",IFERROR(_xll.BDP(TICKER,"DEEP_MEASURE_PERIOD_BROKER_VALUE","DEEP_MEASURE_ID_OVERRIDE",$C251,"DEEP_BROKER_ID_OVERRIDE",$F$7,"DEEP_PERIOD_OVERRIDE",S$11)*1,"")))</f>
        <v/>
      </c>
      <c r="T251" s="17" t="str">
        <f>IF(ISNA($B251),"",IF($B251="","",IFERROR(_xll.BDP(TICKER,"DEEP_MEASURE_PERIOD_BROKER_VALUE","DEEP_MEASURE_ID_OVERRIDE",$C251,"DEEP_BROKER_ID_OVERRIDE",$F$7,"DEEP_PERIOD_OVERRIDE",T$11)*1,"")))</f>
        <v/>
      </c>
      <c r="U251" s="17" t="str">
        <f>IF(ISNA($B251),"",IF($B251="","",IFERROR(_xll.BDP(TICKER,"DEEP_MEASURE_PERIOD_BROKER_VALUE","DEEP_MEASURE_ID_OVERRIDE",$C251,"DEEP_BROKER_ID_OVERRIDE",$F$7,"DEEP_PERIOD_OVERRIDE",U$11)*1,"")))</f>
        <v/>
      </c>
      <c r="V251" s="17" t="str">
        <f>IF(ISNA($B251),"",IF($B251="","",IFERROR(_xll.BDP(TICKER,"DEEP_MEASURE_PERIOD_BROKER_VALUE","DEEP_MEASURE_ID_OVERRIDE",$C251,"DEEP_BROKER_ID_OVERRIDE",$F$7,"DEEP_PERIOD_OVERRIDE",V$11)*1,"")))</f>
        <v/>
      </c>
      <c r="W251" s="17" t="str">
        <f>IF(ISNA($B251),"",IF($B251="","",IFERROR(_xll.BDP(TICKER,"DEEP_MEASURE_PERIOD_BROKER_VALUE","DEEP_MEASURE_ID_OVERRIDE",$C251,"DEEP_BROKER_ID_OVERRIDE",$F$7,"DEEP_PERIOD_OVERRIDE",W$11)*1,"")))</f>
        <v/>
      </c>
      <c r="X251" s="17" t="str">
        <f>IF(ISNA($B251),"",IF($B251="","",IFERROR(_xll.BDP(TICKER,"DEEP_MEASURE_PERIOD_BROKER_VALUE","DEEP_MEASURE_ID_OVERRIDE",$C251,"DEEP_BROKER_ID_OVERRIDE",$F$7,"DEEP_PERIOD_OVERRIDE",X$11)*1,"")))</f>
        <v/>
      </c>
      <c r="Y251" s="17" t="str">
        <f>IF(ISNA($B251),"",IF($B251="","",IFERROR(_xll.BDP(TICKER,"DEEP_MEASURE_PERIOD_BROKER_VALUE","DEEP_MEASURE_ID_OVERRIDE",$C251,"DEEP_BROKER_ID_OVERRIDE",$F$7,"DEEP_PERIOD_OVERRIDE",Y$11)*1,"")))</f>
        <v/>
      </c>
      <c r="Z251" s="17" t="str">
        <f>IF(ISNA($B251),"",IF($B251="","",IFERROR(_xll.BDP(TICKER,"DEEP_MEASURE_PERIOD_BROKER_VALUE","DEEP_MEASURE_ID_OVERRIDE",$C251,"DEEP_BROKER_ID_OVERRIDE",$F$7,"DEEP_PERIOD_OVERRIDE",Z$11)*1,"")))</f>
        <v/>
      </c>
      <c r="AA251" s="17" t="str">
        <f>IF(ISNA($B251),"",IF($B251="","",IFERROR(_xll.BDP(TICKER,"DEEP_MEASURE_PERIOD_BROKER_VALUE","DEEP_MEASURE_ID_OVERRIDE",$C251,"DEEP_BROKER_ID_OVERRIDE",$F$7,"DEEP_PERIOD_OVERRIDE",AA$11)*1,"")))</f>
        <v/>
      </c>
      <c r="AB251" s="17" t="str">
        <f>IF(ISNA($B251),"",IF($B251="","",IFERROR(_xll.BDP(TICKER,"DEEP_MEASURE_PERIOD_BROKER_VALUE","DEEP_MEASURE_ID_OVERRIDE",$C251,"DEEP_BROKER_ID_OVERRIDE",$F$7,"DEEP_PERIOD_OVERRIDE",AB$11)*1,"")))</f>
        <v/>
      </c>
      <c r="AC251" s="17" t="str">
        <f>IF(ISNA($B251),"",IF($B251="","",IFERROR(_xll.BDP(TICKER,"DEEP_MEASURE_PERIOD_BROKER_VALUE","DEEP_MEASURE_ID_OVERRIDE",$C251,"DEEP_BROKER_ID_OVERRIDE",$F$7,"DEEP_PERIOD_OVERRIDE",AC$11)*1,"")))</f>
        <v/>
      </c>
      <c r="AD251" s="17" t="str">
        <f>IF(ISNA($B251),"",IF($B251="","",IFERROR(_xll.BDP(TICKER,"DEEP_MEASURE_PERIOD_BROKER_VALUE","DEEP_MEASURE_ID_OVERRIDE",$C251,"DEEP_BROKER_ID_OVERRIDE",$F$7,"DEEP_PERIOD_OVERRIDE",AD$11)*1,"")))</f>
        <v/>
      </c>
      <c r="AE251" s="17" t="str">
        <f>IF(ISNA($B251),"",IF($B251="","",IFERROR(_xll.BDP(TICKER,"DEEP_MEASURE_PERIOD_BROKER_VALUE","DEEP_MEASURE_ID_OVERRIDE",$C251,"DEEP_BROKER_ID_OVERRIDE",$F$7,"DEEP_PERIOD_OVERRIDE",AE$11)*1,"")))</f>
        <v/>
      </c>
      <c r="AF251" s="17" t="str">
        <f>IF(ISNA($B251),"",IF($B251="","",IFERROR(_xll.BDP(TICKER,"DEEP_MEASURE_PERIOD_BROKER_VALUE","DEEP_MEASURE_ID_OVERRIDE",$C251,"DEEP_BROKER_ID_OVERRIDE",$F$7,"DEEP_PERIOD_OVERRIDE",AF$11)*1,"")))</f>
        <v/>
      </c>
      <c r="AG251" s="17" t="str">
        <f>IF(ISNA($B251),"",IF($B251="","",IFERROR(_xll.BDP(TICKER,"DEEP_MEASURE_PERIOD_BROKER_VALUE","DEEP_MEASURE_ID_OVERRIDE",$C251,"DEEP_BROKER_ID_OVERRIDE",$F$7,"DEEP_PERIOD_OVERRIDE",AG$11)*1,"")))</f>
        <v/>
      </c>
      <c r="AH251" s="17" t="str">
        <f>IF(ISNA($B251),"",IF($B251="","",IFERROR(_xll.BDP(TICKER,"DEEP_MEASURE_PERIOD_BROKER_VALUE","DEEP_MEASURE_ID_OVERRIDE",$C251,"DEEP_BROKER_ID_OVERRIDE",$F$7,"DEEP_PERIOD_OVERRIDE",AH$11)*1,"")))</f>
        <v/>
      </c>
      <c r="AI251" s="17" t="str">
        <f>IF(ISNA($B251),"",IF($B251="","",IFERROR(_xll.BDP(TICKER,"DEEP_MEASURE_PERIOD_BROKER_VALUE","DEEP_MEASURE_ID_OVERRIDE",$C251,"DEEP_BROKER_ID_OVERRIDE",$F$7,"DEEP_PERIOD_OVERRIDE",AI$11)*1,"")))</f>
        <v/>
      </c>
      <c r="AJ251" s="17" t="str">
        <f>IF(ISNA($B251),"",IF($B251="","",IFERROR(_xll.BDP(TICKER,"DEEP_MEASURE_PERIOD_BROKER_VALUE","DEEP_MEASURE_ID_OVERRIDE",$C251,"DEEP_BROKER_ID_OVERRIDE",$F$7,"DEEP_PERIOD_OVERRIDE",AJ$11)*1,"")))</f>
        <v/>
      </c>
      <c r="AK251" s="17" t="str">
        <f>IF(ISNA($B251),"",IF($B251="","",IFERROR(_xll.BDP(TICKER,"DEEP_MEASURE_PERIOD_BROKER_VALUE","DEEP_MEASURE_ID_OVERRIDE",$C251,"DEEP_BROKER_ID_OVERRIDE",$F$7,"DEEP_PERIOD_OVERRIDE",AK$11)*1,"")))</f>
        <v/>
      </c>
      <c r="AL251" s="17" t="str">
        <f>IF(ISNA($B251),"",IF($B251="","",IFERROR(_xll.BDP(TICKER,"DEEP_MEASURE_PERIOD_BROKER_VALUE","DEEP_MEASURE_ID_OVERRIDE",$C251,"DEEP_BROKER_ID_OVERRIDE",$F$7,"DEEP_PERIOD_OVERRIDE",AL$11)*1,"")))</f>
        <v/>
      </c>
      <c r="AM251" s="17" t="str">
        <f>IF(ISNA($B251),"",IF($B251="","",IFERROR(_xll.BDP(TICKER,"DEEP_MEASURE_PERIOD_BROKER_VALUE","DEEP_MEASURE_ID_OVERRIDE",$C251,"DEEP_BROKER_ID_OVERRIDE",$F$7,"DEEP_PERIOD_OVERRIDE",AM$11)*1,"")))</f>
        <v/>
      </c>
      <c r="AN251" s="17" t="str">
        <f>IF(ISNA($B251),"",IF($B251="","",IFERROR(_xll.BDP(TICKER,"DEEP_MEASURE_PERIOD_BROKER_VALUE","DEEP_MEASURE_ID_OVERRIDE",$C251,"DEEP_BROKER_ID_OVERRIDE",$F$7,"DEEP_PERIOD_OVERRIDE",AN$11)*1,"")))</f>
        <v/>
      </c>
      <c r="AO251" s="17" t="str">
        <f>IF(ISNA($B251),"",IF($B251="","",IFERROR(_xll.BDP(TICKER,"DEEP_MEASURE_PERIOD_BROKER_VALUE","DEEP_MEASURE_ID_OVERRIDE",$C251,"DEEP_BROKER_ID_OVERRIDE",$F$7,"DEEP_PERIOD_OVERRIDE",AO$11)*1,"")))</f>
        <v/>
      </c>
      <c r="AP251" s="17" t="str">
        <f>IF(ISNA($B251),"",IF($B251="","",IFERROR(_xll.BDP(TICKER,"DEEP_MEASURE_PERIOD_BROKER_VALUE","DEEP_MEASURE_ID_OVERRIDE",$C251,"DEEP_BROKER_ID_OVERRIDE",$F$7,"DEEP_PERIOD_OVERRIDE",AP$11)*1,"")))</f>
        <v/>
      </c>
      <c r="AQ251" s="17" t="str">
        <f>IF(ISNA($B251),"",IF($B251="","",IFERROR(_xll.BDP(TICKER,"DEEP_MEASURE_PERIOD_BROKER_VALUE","DEEP_MEASURE_ID_OVERRIDE",$C251,"DEEP_BROKER_ID_OVERRIDE",$F$7,"DEEP_PERIOD_OVERRIDE",AQ$11)*1,"")))</f>
        <v/>
      </c>
    </row>
    <row r="252" spans="8:43" x14ac:dyDescent="0.25">
      <c r="H252" t="str">
        <f t="shared" si="5"/>
        <v/>
      </c>
      <c r="I252" s="17" t="str">
        <f>IF(ISNA($B252),"",IF($B252="","",IFERROR(_xll.BDP(TICKER,"DEEP_MEASURE_PERIOD_BROKER_VALUE","DEEP_MEASURE_ID_OVERRIDE",$C252,"DEEP_BROKER_ID_OVERRIDE",$F$7,"DEEP_PERIOD_OVERRIDE",I$11)*1,"")))</f>
        <v/>
      </c>
      <c r="J252" s="17" t="str">
        <f>IF(ISNA($B252),"",IF($B252="","",IFERROR(_xll.BDP(TICKER,"DEEP_MEASURE_PERIOD_BROKER_VALUE","DEEP_MEASURE_ID_OVERRIDE",$C252,"DEEP_BROKER_ID_OVERRIDE",$F$7,"DEEP_PERIOD_OVERRIDE",J$11)*1,"")))</f>
        <v/>
      </c>
      <c r="K252" s="17" t="str">
        <f>IF(ISNA($B252),"",IF($B252="","",IFERROR(_xll.BDP(TICKER,"DEEP_MEASURE_PERIOD_BROKER_VALUE","DEEP_MEASURE_ID_OVERRIDE",$C252,"DEEP_BROKER_ID_OVERRIDE",$F$7,"DEEP_PERIOD_OVERRIDE",K$11)*1,"")))</f>
        <v/>
      </c>
      <c r="L252" s="17" t="str">
        <f>IF(ISNA($B252),"",IF($B252="","",IFERROR(_xll.BDP(TICKER,"DEEP_MEASURE_PERIOD_BROKER_VALUE","DEEP_MEASURE_ID_OVERRIDE",$C252,"DEEP_BROKER_ID_OVERRIDE",$F$7,"DEEP_PERIOD_OVERRIDE",L$11)*1,"")))</f>
        <v/>
      </c>
      <c r="M252" s="17" t="str">
        <f>IF(ISNA($B252),"",IF($B252="","",IFERROR(_xll.BDP(TICKER,"DEEP_MEASURE_PERIOD_BROKER_VALUE","DEEP_MEASURE_ID_OVERRIDE",$C252,"DEEP_BROKER_ID_OVERRIDE",$F$7,"DEEP_PERIOD_OVERRIDE",M$11)*1,"")))</f>
        <v/>
      </c>
      <c r="N252" s="17" t="str">
        <f>IF(ISNA($B252),"",IF($B252="","",IFERROR(_xll.BDP(TICKER,"DEEP_MEASURE_PERIOD_BROKER_VALUE","DEEP_MEASURE_ID_OVERRIDE",$C252,"DEEP_BROKER_ID_OVERRIDE",$F$7,"DEEP_PERIOD_OVERRIDE",N$11)*1,"")))</f>
        <v/>
      </c>
      <c r="O252" s="17" t="str">
        <f>IF(ISNA($B252),"",IF($B252="","",IFERROR(_xll.BDP(TICKER,"DEEP_MEASURE_PERIOD_BROKER_VALUE","DEEP_MEASURE_ID_OVERRIDE",$C252,"DEEP_BROKER_ID_OVERRIDE",$F$7,"DEEP_PERIOD_OVERRIDE",O$11)*1,"")))</f>
        <v/>
      </c>
      <c r="P252" s="17" t="str">
        <f>IF(ISNA($B252),"",IF($B252="","",IFERROR(_xll.BDP(TICKER,"DEEP_MEASURE_PERIOD_BROKER_VALUE","DEEP_MEASURE_ID_OVERRIDE",$C252,"DEEP_BROKER_ID_OVERRIDE",$F$7,"DEEP_PERIOD_OVERRIDE",P$11)*1,"")))</f>
        <v/>
      </c>
      <c r="Q252" s="17" t="str">
        <f>IF(ISNA($B252),"",IF($B252="","",IFERROR(_xll.BDP(TICKER,"DEEP_MEASURE_PERIOD_BROKER_VALUE","DEEP_MEASURE_ID_OVERRIDE",$C252,"DEEP_BROKER_ID_OVERRIDE",$F$7,"DEEP_PERIOD_OVERRIDE",Q$11)*1,"")))</f>
        <v/>
      </c>
      <c r="R252" s="17" t="str">
        <f>IF(ISNA($B252),"",IF($B252="","",IFERROR(_xll.BDP(TICKER,"DEEP_MEASURE_PERIOD_BROKER_VALUE","DEEP_MEASURE_ID_OVERRIDE",$C252,"DEEP_BROKER_ID_OVERRIDE",$F$7,"DEEP_PERIOD_OVERRIDE",R$11)*1,"")))</f>
        <v/>
      </c>
      <c r="S252" s="17" t="str">
        <f>IF(ISNA($B252),"",IF($B252="","",IFERROR(_xll.BDP(TICKER,"DEEP_MEASURE_PERIOD_BROKER_VALUE","DEEP_MEASURE_ID_OVERRIDE",$C252,"DEEP_BROKER_ID_OVERRIDE",$F$7,"DEEP_PERIOD_OVERRIDE",S$11)*1,"")))</f>
        <v/>
      </c>
      <c r="T252" s="17" t="str">
        <f>IF(ISNA($B252),"",IF($B252="","",IFERROR(_xll.BDP(TICKER,"DEEP_MEASURE_PERIOD_BROKER_VALUE","DEEP_MEASURE_ID_OVERRIDE",$C252,"DEEP_BROKER_ID_OVERRIDE",$F$7,"DEEP_PERIOD_OVERRIDE",T$11)*1,"")))</f>
        <v/>
      </c>
      <c r="U252" s="17" t="str">
        <f>IF(ISNA($B252),"",IF($B252="","",IFERROR(_xll.BDP(TICKER,"DEEP_MEASURE_PERIOD_BROKER_VALUE","DEEP_MEASURE_ID_OVERRIDE",$C252,"DEEP_BROKER_ID_OVERRIDE",$F$7,"DEEP_PERIOD_OVERRIDE",U$11)*1,"")))</f>
        <v/>
      </c>
      <c r="V252" s="17" t="str">
        <f>IF(ISNA($B252),"",IF($B252="","",IFERROR(_xll.BDP(TICKER,"DEEP_MEASURE_PERIOD_BROKER_VALUE","DEEP_MEASURE_ID_OVERRIDE",$C252,"DEEP_BROKER_ID_OVERRIDE",$F$7,"DEEP_PERIOD_OVERRIDE",V$11)*1,"")))</f>
        <v/>
      </c>
      <c r="W252" s="17" t="str">
        <f>IF(ISNA($B252),"",IF($B252="","",IFERROR(_xll.BDP(TICKER,"DEEP_MEASURE_PERIOD_BROKER_VALUE","DEEP_MEASURE_ID_OVERRIDE",$C252,"DEEP_BROKER_ID_OVERRIDE",$F$7,"DEEP_PERIOD_OVERRIDE",W$11)*1,"")))</f>
        <v/>
      </c>
      <c r="X252" s="17" t="str">
        <f>IF(ISNA($B252),"",IF($B252="","",IFERROR(_xll.BDP(TICKER,"DEEP_MEASURE_PERIOD_BROKER_VALUE","DEEP_MEASURE_ID_OVERRIDE",$C252,"DEEP_BROKER_ID_OVERRIDE",$F$7,"DEEP_PERIOD_OVERRIDE",X$11)*1,"")))</f>
        <v/>
      </c>
      <c r="Y252" s="17" t="str">
        <f>IF(ISNA($B252),"",IF($B252="","",IFERROR(_xll.BDP(TICKER,"DEEP_MEASURE_PERIOD_BROKER_VALUE","DEEP_MEASURE_ID_OVERRIDE",$C252,"DEEP_BROKER_ID_OVERRIDE",$F$7,"DEEP_PERIOD_OVERRIDE",Y$11)*1,"")))</f>
        <v/>
      </c>
      <c r="Z252" s="17" t="str">
        <f>IF(ISNA($B252),"",IF($B252="","",IFERROR(_xll.BDP(TICKER,"DEEP_MEASURE_PERIOD_BROKER_VALUE","DEEP_MEASURE_ID_OVERRIDE",$C252,"DEEP_BROKER_ID_OVERRIDE",$F$7,"DEEP_PERIOD_OVERRIDE",Z$11)*1,"")))</f>
        <v/>
      </c>
      <c r="AA252" s="17" t="str">
        <f>IF(ISNA($B252),"",IF($B252="","",IFERROR(_xll.BDP(TICKER,"DEEP_MEASURE_PERIOD_BROKER_VALUE","DEEP_MEASURE_ID_OVERRIDE",$C252,"DEEP_BROKER_ID_OVERRIDE",$F$7,"DEEP_PERIOD_OVERRIDE",AA$11)*1,"")))</f>
        <v/>
      </c>
      <c r="AB252" s="17" t="str">
        <f>IF(ISNA($B252),"",IF($B252="","",IFERROR(_xll.BDP(TICKER,"DEEP_MEASURE_PERIOD_BROKER_VALUE","DEEP_MEASURE_ID_OVERRIDE",$C252,"DEEP_BROKER_ID_OVERRIDE",$F$7,"DEEP_PERIOD_OVERRIDE",AB$11)*1,"")))</f>
        <v/>
      </c>
      <c r="AC252" s="17" t="str">
        <f>IF(ISNA($B252),"",IF($B252="","",IFERROR(_xll.BDP(TICKER,"DEEP_MEASURE_PERIOD_BROKER_VALUE","DEEP_MEASURE_ID_OVERRIDE",$C252,"DEEP_BROKER_ID_OVERRIDE",$F$7,"DEEP_PERIOD_OVERRIDE",AC$11)*1,"")))</f>
        <v/>
      </c>
      <c r="AD252" s="17" t="str">
        <f>IF(ISNA($B252),"",IF($B252="","",IFERROR(_xll.BDP(TICKER,"DEEP_MEASURE_PERIOD_BROKER_VALUE","DEEP_MEASURE_ID_OVERRIDE",$C252,"DEEP_BROKER_ID_OVERRIDE",$F$7,"DEEP_PERIOD_OVERRIDE",AD$11)*1,"")))</f>
        <v/>
      </c>
      <c r="AE252" s="17" t="str">
        <f>IF(ISNA($B252),"",IF($B252="","",IFERROR(_xll.BDP(TICKER,"DEEP_MEASURE_PERIOD_BROKER_VALUE","DEEP_MEASURE_ID_OVERRIDE",$C252,"DEEP_BROKER_ID_OVERRIDE",$F$7,"DEEP_PERIOD_OVERRIDE",AE$11)*1,"")))</f>
        <v/>
      </c>
      <c r="AF252" s="17" t="str">
        <f>IF(ISNA($B252),"",IF($B252="","",IFERROR(_xll.BDP(TICKER,"DEEP_MEASURE_PERIOD_BROKER_VALUE","DEEP_MEASURE_ID_OVERRIDE",$C252,"DEEP_BROKER_ID_OVERRIDE",$F$7,"DEEP_PERIOD_OVERRIDE",AF$11)*1,"")))</f>
        <v/>
      </c>
      <c r="AG252" s="17" t="str">
        <f>IF(ISNA($B252),"",IF($B252="","",IFERROR(_xll.BDP(TICKER,"DEEP_MEASURE_PERIOD_BROKER_VALUE","DEEP_MEASURE_ID_OVERRIDE",$C252,"DEEP_BROKER_ID_OVERRIDE",$F$7,"DEEP_PERIOD_OVERRIDE",AG$11)*1,"")))</f>
        <v/>
      </c>
      <c r="AH252" s="17" t="str">
        <f>IF(ISNA($B252),"",IF($B252="","",IFERROR(_xll.BDP(TICKER,"DEEP_MEASURE_PERIOD_BROKER_VALUE","DEEP_MEASURE_ID_OVERRIDE",$C252,"DEEP_BROKER_ID_OVERRIDE",$F$7,"DEEP_PERIOD_OVERRIDE",AH$11)*1,"")))</f>
        <v/>
      </c>
      <c r="AI252" s="17" t="str">
        <f>IF(ISNA($B252),"",IF($B252="","",IFERROR(_xll.BDP(TICKER,"DEEP_MEASURE_PERIOD_BROKER_VALUE","DEEP_MEASURE_ID_OVERRIDE",$C252,"DEEP_BROKER_ID_OVERRIDE",$F$7,"DEEP_PERIOD_OVERRIDE",AI$11)*1,"")))</f>
        <v/>
      </c>
      <c r="AJ252" s="17" t="str">
        <f>IF(ISNA($B252),"",IF($B252="","",IFERROR(_xll.BDP(TICKER,"DEEP_MEASURE_PERIOD_BROKER_VALUE","DEEP_MEASURE_ID_OVERRIDE",$C252,"DEEP_BROKER_ID_OVERRIDE",$F$7,"DEEP_PERIOD_OVERRIDE",AJ$11)*1,"")))</f>
        <v/>
      </c>
      <c r="AK252" s="17" t="str">
        <f>IF(ISNA($B252),"",IF($B252="","",IFERROR(_xll.BDP(TICKER,"DEEP_MEASURE_PERIOD_BROKER_VALUE","DEEP_MEASURE_ID_OVERRIDE",$C252,"DEEP_BROKER_ID_OVERRIDE",$F$7,"DEEP_PERIOD_OVERRIDE",AK$11)*1,"")))</f>
        <v/>
      </c>
      <c r="AL252" s="17" t="str">
        <f>IF(ISNA($B252),"",IF($B252="","",IFERROR(_xll.BDP(TICKER,"DEEP_MEASURE_PERIOD_BROKER_VALUE","DEEP_MEASURE_ID_OVERRIDE",$C252,"DEEP_BROKER_ID_OVERRIDE",$F$7,"DEEP_PERIOD_OVERRIDE",AL$11)*1,"")))</f>
        <v/>
      </c>
      <c r="AM252" s="17" t="str">
        <f>IF(ISNA($B252),"",IF($B252="","",IFERROR(_xll.BDP(TICKER,"DEEP_MEASURE_PERIOD_BROKER_VALUE","DEEP_MEASURE_ID_OVERRIDE",$C252,"DEEP_BROKER_ID_OVERRIDE",$F$7,"DEEP_PERIOD_OVERRIDE",AM$11)*1,"")))</f>
        <v/>
      </c>
      <c r="AN252" s="17" t="str">
        <f>IF(ISNA($B252),"",IF($B252="","",IFERROR(_xll.BDP(TICKER,"DEEP_MEASURE_PERIOD_BROKER_VALUE","DEEP_MEASURE_ID_OVERRIDE",$C252,"DEEP_BROKER_ID_OVERRIDE",$F$7,"DEEP_PERIOD_OVERRIDE",AN$11)*1,"")))</f>
        <v/>
      </c>
      <c r="AO252" s="17" t="str">
        <f>IF(ISNA($B252),"",IF($B252="","",IFERROR(_xll.BDP(TICKER,"DEEP_MEASURE_PERIOD_BROKER_VALUE","DEEP_MEASURE_ID_OVERRIDE",$C252,"DEEP_BROKER_ID_OVERRIDE",$F$7,"DEEP_PERIOD_OVERRIDE",AO$11)*1,"")))</f>
        <v/>
      </c>
      <c r="AP252" s="17" t="str">
        <f>IF(ISNA($B252),"",IF($B252="","",IFERROR(_xll.BDP(TICKER,"DEEP_MEASURE_PERIOD_BROKER_VALUE","DEEP_MEASURE_ID_OVERRIDE",$C252,"DEEP_BROKER_ID_OVERRIDE",$F$7,"DEEP_PERIOD_OVERRIDE",AP$11)*1,"")))</f>
        <v/>
      </c>
      <c r="AQ252" s="17" t="str">
        <f>IF(ISNA($B252),"",IF($B252="","",IFERROR(_xll.BDP(TICKER,"DEEP_MEASURE_PERIOD_BROKER_VALUE","DEEP_MEASURE_ID_OVERRIDE",$C252,"DEEP_BROKER_ID_OVERRIDE",$F$7,"DEEP_PERIOD_OVERRIDE",AQ$11)*1,"")))</f>
        <v/>
      </c>
    </row>
    <row r="253" spans="8:43" x14ac:dyDescent="0.25">
      <c r="H253" t="str">
        <f t="shared" si="5"/>
        <v/>
      </c>
      <c r="I253" s="17" t="str">
        <f>IF(ISNA($B253),"",IF($B253="","",IFERROR(_xll.BDP(TICKER,"DEEP_MEASURE_PERIOD_BROKER_VALUE","DEEP_MEASURE_ID_OVERRIDE",$C253,"DEEP_BROKER_ID_OVERRIDE",$F$7,"DEEP_PERIOD_OVERRIDE",I$11)*1,"")))</f>
        <v/>
      </c>
      <c r="J253" s="17" t="str">
        <f>IF(ISNA($B253),"",IF($B253="","",IFERROR(_xll.BDP(TICKER,"DEEP_MEASURE_PERIOD_BROKER_VALUE","DEEP_MEASURE_ID_OVERRIDE",$C253,"DEEP_BROKER_ID_OVERRIDE",$F$7,"DEEP_PERIOD_OVERRIDE",J$11)*1,"")))</f>
        <v/>
      </c>
      <c r="K253" s="17" t="str">
        <f>IF(ISNA($B253),"",IF($B253="","",IFERROR(_xll.BDP(TICKER,"DEEP_MEASURE_PERIOD_BROKER_VALUE","DEEP_MEASURE_ID_OVERRIDE",$C253,"DEEP_BROKER_ID_OVERRIDE",$F$7,"DEEP_PERIOD_OVERRIDE",K$11)*1,"")))</f>
        <v/>
      </c>
      <c r="L253" s="17" t="str">
        <f>IF(ISNA($B253),"",IF($B253="","",IFERROR(_xll.BDP(TICKER,"DEEP_MEASURE_PERIOD_BROKER_VALUE","DEEP_MEASURE_ID_OVERRIDE",$C253,"DEEP_BROKER_ID_OVERRIDE",$F$7,"DEEP_PERIOD_OVERRIDE",L$11)*1,"")))</f>
        <v/>
      </c>
      <c r="M253" s="17" t="str">
        <f>IF(ISNA($B253),"",IF($B253="","",IFERROR(_xll.BDP(TICKER,"DEEP_MEASURE_PERIOD_BROKER_VALUE","DEEP_MEASURE_ID_OVERRIDE",$C253,"DEEP_BROKER_ID_OVERRIDE",$F$7,"DEEP_PERIOD_OVERRIDE",M$11)*1,"")))</f>
        <v/>
      </c>
      <c r="N253" s="17" t="str">
        <f>IF(ISNA($B253),"",IF($B253="","",IFERROR(_xll.BDP(TICKER,"DEEP_MEASURE_PERIOD_BROKER_VALUE","DEEP_MEASURE_ID_OVERRIDE",$C253,"DEEP_BROKER_ID_OVERRIDE",$F$7,"DEEP_PERIOD_OVERRIDE",N$11)*1,"")))</f>
        <v/>
      </c>
      <c r="O253" s="17" t="str">
        <f>IF(ISNA($B253),"",IF($B253="","",IFERROR(_xll.BDP(TICKER,"DEEP_MEASURE_PERIOD_BROKER_VALUE","DEEP_MEASURE_ID_OVERRIDE",$C253,"DEEP_BROKER_ID_OVERRIDE",$F$7,"DEEP_PERIOD_OVERRIDE",O$11)*1,"")))</f>
        <v/>
      </c>
      <c r="P253" s="17" t="str">
        <f>IF(ISNA($B253),"",IF($B253="","",IFERROR(_xll.BDP(TICKER,"DEEP_MEASURE_PERIOD_BROKER_VALUE","DEEP_MEASURE_ID_OVERRIDE",$C253,"DEEP_BROKER_ID_OVERRIDE",$F$7,"DEEP_PERIOD_OVERRIDE",P$11)*1,"")))</f>
        <v/>
      </c>
      <c r="Q253" s="17" t="str">
        <f>IF(ISNA($B253),"",IF($B253="","",IFERROR(_xll.BDP(TICKER,"DEEP_MEASURE_PERIOD_BROKER_VALUE","DEEP_MEASURE_ID_OVERRIDE",$C253,"DEEP_BROKER_ID_OVERRIDE",$F$7,"DEEP_PERIOD_OVERRIDE",Q$11)*1,"")))</f>
        <v/>
      </c>
      <c r="R253" s="17" t="str">
        <f>IF(ISNA($B253),"",IF($B253="","",IFERROR(_xll.BDP(TICKER,"DEEP_MEASURE_PERIOD_BROKER_VALUE","DEEP_MEASURE_ID_OVERRIDE",$C253,"DEEP_BROKER_ID_OVERRIDE",$F$7,"DEEP_PERIOD_OVERRIDE",R$11)*1,"")))</f>
        <v/>
      </c>
      <c r="S253" s="17" t="str">
        <f>IF(ISNA($B253),"",IF($B253="","",IFERROR(_xll.BDP(TICKER,"DEEP_MEASURE_PERIOD_BROKER_VALUE","DEEP_MEASURE_ID_OVERRIDE",$C253,"DEEP_BROKER_ID_OVERRIDE",$F$7,"DEEP_PERIOD_OVERRIDE",S$11)*1,"")))</f>
        <v/>
      </c>
      <c r="T253" s="17" t="str">
        <f>IF(ISNA($B253),"",IF($B253="","",IFERROR(_xll.BDP(TICKER,"DEEP_MEASURE_PERIOD_BROKER_VALUE","DEEP_MEASURE_ID_OVERRIDE",$C253,"DEEP_BROKER_ID_OVERRIDE",$F$7,"DEEP_PERIOD_OVERRIDE",T$11)*1,"")))</f>
        <v/>
      </c>
      <c r="U253" s="17" t="str">
        <f>IF(ISNA($B253),"",IF($B253="","",IFERROR(_xll.BDP(TICKER,"DEEP_MEASURE_PERIOD_BROKER_VALUE","DEEP_MEASURE_ID_OVERRIDE",$C253,"DEEP_BROKER_ID_OVERRIDE",$F$7,"DEEP_PERIOD_OVERRIDE",U$11)*1,"")))</f>
        <v/>
      </c>
      <c r="V253" s="17" t="str">
        <f>IF(ISNA($B253),"",IF($B253="","",IFERROR(_xll.BDP(TICKER,"DEEP_MEASURE_PERIOD_BROKER_VALUE","DEEP_MEASURE_ID_OVERRIDE",$C253,"DEEP_BROKER_ID_OVERRIDE",$F$7,"DEEP_PERIOD_OVERRIDE",V$11)*1,"")))</f>
        <v/>
      </c>
      <c r="W253" s="17" t="str">
        <f>IF(ISNA($B253),"",IF($B253="","",IFERROR(_xll.BDP(TICKER,"DEEP_MEASURE_PERIOD_BROKER_VALUE","DEEP_MEASURE_ID_OVERRIDE",$C253,"DEEP_BROKER_ID_OVERRIDE",$F$7,"DEEP_PERIOD_OVERRIDE",W$11)*1,"")))</f>
        <v/>
      </c>
      <c r="X253" s="17" t="str">
        <f>IF(ISNA($B253),"",IF($B253="","",IFERROR(_xll.BDP(TICKER,"DEEP_MEASURE_PERIOD_BROKER_VALUE","DEEP_MEASURE_ID_OVERRIDE",$C253,"DEEP_BROKER_ID_OVERRIDE",$F$7,"DEEP_PERIOD_OVERRIDE",X$11)*1,"")))</f>
        <v/>
      </c>
      <c r="Y253" s="17" t="str">
        <f>IF(ISNA($B253),"",IF($B253="","",IFERROR(_xll.BDP(TICKER,"DEEP_MEASURE_PERIOD_BROKER_VALUE","DEEP_MEASURE_ID_OVERRIDE",$C253,"DEEP_BROKER_ID_OVERRIDE",$F$7,"DEEP_PERIOD_OVERRIDE",Y$11)*1,"")))</f>
        <v/>
      </c>
      <c r="Z253" s="17" t="str">
        <f>IF(ISNA($B253),"",IF($B253="","",IFERROR(_xll.BDP(TICKER,"DEEP_MEASURE_PERIOD_BROKER_VALUE","DEEP_MEASURE_ID_OVERRIDE",$C253,"DEEP_BROKER_ID_OVERRIDE",$F$7,"DEEP_PERIOD_OVERRIDE",Z$11)*1,"")))</f>
        <v/>
      </c>
      <c r="AA253" s="17" t="str">
        <f>IF(ISNA($B253),"",IF($B253="","",IFERROR(_xll.BDP(TICKER,"DEEP_MEASURE_PERIOD_BROKER_VALUE","DEEP_MEASURE_ID_OVERRIDE",$C253,"DEEP_BROKER_ID_OVERRIDE",$F$7,"DEEP_PERIOD_OVERRIDE",AA$11)*1,"")))</f>
        <v/>
      </c>
      <c r="AB253" s="17" t="str">
        <f>IF(ISNA($B253),"",IF($B253="","",IFERROR(_xll.BDP(TICKER,"DEEP_MEASURE_PERIOD_BROKER_VALUE","DEEP_MEASURE_ID_OVERRIDE",$C253,"DEEP_BROKER_ID_OVERRIDE",$F$7,"DEEP_PERIOD_OVERRIDE",AB$11)*1,"")))</f>
        <v/>
      </c>
      <c r="AC253" s="17" t="str">
        <f>IF(ISNA($B253),"",IF($B253="","",IFERROR(_xll.BDP(TICKER,"DEEP_MEASURE_PERIOD_BROKER_VALUE","DEEP_MEASURE_ID_OVERRIDE",$C253,"DEEP_BROKER_ID_OVERRIDE",$F$7,"DEEP_PERIOD_OVERRIDE",AC$11)*1,"")))</f>
        <v/>
      </c>
      <c r="AD253" s="17" t="str">
        <f>IF(ISNA($B253),"",IF($B253="","",IFERROR(_xll.BDP(TICKER,"DEEP_MEASURE_PERIOD_BROKER_VALUE","DEEP_MEASURE_ID_OVERRIDE",$C253,"DEEP_BROKER_ID_OVERRIDE",$F$7,"DEEP_PERIOD_OVERRIDE",AD$11)*1,"")))</f>
        <v/>
      </c>
      <c r="AE253" s="17" t="str">
        <f>IF(ISNA($B253),"",IF($B253="","",IFERROR(_xll.BDP(TICKER,"DEEP_MEASURE_PERIOD_BROKER_VALUE","DEEP_MEASURE_ID_OVERRIDE",$C253,"DEEP_BROKER_ID_OVERRIDE",$F$7,"DEEP_PERIOD_OVERRIDE",AE$11)*1,"")))</f>
        <v/>
      </c>
      <c r="AF253" s="17" t="str">
        <f>IF(ISNA($B253),"",IF($B253="","",IFERROR(_xll.BDP(TICKER,"DEEP_MEASURE_PERIOD_BROKER_VALUE","DEEP_MEASURE_ID_OVERRIDE",$C253,"DEEP_BROKER_ID_OVERRIDE",$F$7,"DEEP_PERIOD_OVERRIDE",AF$11)*1,"")))</f>
        <v/>
      </c>
      <c r="AG253" s="17" t="str">
        <f>IF(ISNA($B253),"",IF($B253="","",IFERROR(_xll.BDP(TICKER,"DEEP_MEASURE_PERIOD_BROKER_VALUE","DEEP_MEASURE_ID_OVERRIDE",$C253,"DEEP_BROKER_ID_OVERRIDE",$F$7,"DEEP_PERIOD_OVERRIDE",AG$11)*1,"")))</f>
        <v/>
      </c>
      <c r="AH253" s="17" t="str">
        <f>IF(ISNA($B253),"",IF($B253="","",IFERROR(_xll.BDP(TICKER,"DEEP_MEASURE_PERIOD_BROKER_VALUE","DEEP_MEASURE_ID_OVERRIDE",$C253,"DEEP_BROKER_ID_OVERRIDE",$F$7,"DEEP_PERIOD_OVERRIDE",AH$11)*1,"")))</f>
        <v/>
      </c>
      <c r="AI253" s="17" t="str">
        <f>IF(ISNA($B253),"",IF($B253="","",IFERROR(_xll.BDP(TICKER,"DEEP_MEASURE_PERIOD_BROKER_VALUE","DEEP_MEASURE_ID_OVERRIDE",$C253,"DEEP_BROKER_ID_OVERRIDE",$F$7,"DEEP_PERIOD_OVERRIDE",AI$11)*1,"")))</f>
        <v/>
      </c>
      <c r="AJ253" s="17" t="str">
        <f>IF(ISNA($B253),"",IF($B253="","",IFERROR(_xll.BDP(TICKER,"DEEP_MEASURE_PERIOD_BROKER_VALUE","DEEP_MEASURE_ID_OVERRIDE",$C253,"DEEP_BROKER_ID_OVERRIDE",$F$7,"DEEP_PERIOD_OVERRIDE",AJ$11)*1,"")))</f>
        <v/>
      </c>
      <c r="AK253" s="17" t="str">
        <f>IF(ISNA($B253),"",IF($B253="","",IFERROR(_xll.BDP(TICKER,"DEEP_MEASURE_PERIOD_BROKER_VALUE","DEEP_MEASURE_ID_OVERRIDE",$C253,"DEEP_BROKER_ID_OVERRIDE",$F$7,"DEEP_PERIOD_OVERRIDE",AK$11)*1,"")))</f>
        <v/>
      </c>
      <c r="AL253" s="17" t="str">
        <f>IF(ISNA($B253),"",IF($B253="","",IFERROR(_xll.BDP(TICKER,"DEEP_MEASURE_PERIOD_BROKER_VALUE","DEEP_MEASURE_ID_OVERRIDE",$C253,"DEEP_BROKER_ID_OVERRIDE",$F$7,"DEEP_PERIOD_OVERRIDE",AL$11)*1,"")))</f>
        <v/>
      </c>
      <c r="AM253" s="17" t="str">
        <f>IF(ISNA($B253),"",IF($B253="","",IFERROR(_xll.BDP(TICKER,"DEEP_MEASURE_PERIOD_BROKER_VALUE","DEEP_MEASURE_ID_OVERRIDE",$C253,"DEEP_BROKER_ID_OVERRIDE",$F$7,"DEEP_PERIOD_OVERRIDE",AM$11)*1,"")))</f>
        <v/>
      </c>
      <c r="AN253" s="17" t="str">
        <f>IF(ISNA($B253),"",IF($B253="","",IFERROR(_xll.BDP(TICKER,"DEEP_MEASURE_PERIOD_BROKER_VALUE","DEEP_MEASURE_ID_OVERRIDE",$C253,"DEEP_BROKER_ID_OVERRIDE",$F$7,"DEEP_PERIOD_OVERRIDE",AN$11)*1,"")))</f>
        <v/>
      </c>
      <c r="AO253" s="17" t="str">
        <f>IF(ISNA($B253),"",IF($B253="","",IFERROR(_xll.BDP(TICKER,"DEEP_MEASURE_PERIOD_BROKER_VALUE","DEEP_MEASURE_ID_OVERRIDE",$C253,"DEEP_BROKER_ID_OVERRIDE",$F$7,"DEEP_PERIOD_OVERRIDE",AO$11)*1,"")))</f>
        <v/>
      </c>
      <c r="AP253" s="17" t="str">
        <f>IF(ISNA($B253),"",IF($B253="","",IFERROR(_xll.BDP(TICKER,"DEEP_MEASURE_PERIOD_BROKER_VALUE","DEEP_MEASURE_ID_OVERRIDE",$C253,"DEEP_BROKER_ID_OVERRIDE",$F$7,"DEEP_PERIOD_OVERRIDE",AP$11)*1,"")))</f>
        <v/>
      </c>
      <c r="AQ253" s="17" t="str">
        <f>IF(ISNA($B253),"",IF($B253="","",IFERROR(_xll.BDP(TICKER,"DEEP_MEASURE_PERIOD_BROKER_VALUE","DEEP_MEASURE_ID_OVERRIDE",$C253,"DEEP_BROKER_ID_OVERRIDE",$F$7,"DEEP_PERIOD_OVERRIDE",AQ$11)*1,"")))</f>
        <v/>
      </c>
    </row>
    <row r="254" spans="8:43" x14ac:dyDescent="0.25">
      <c r="H254" t="str">
        <f t="shared" si="5"/>
        <v/>
      </c>
      <c r="I254" s="17" t="str">
        <f>IF(ISNA($B254),"",IF($B254="","",IFERROR(_xll.BDP(TICKER,"DEEP_MEASURE_PERIOD_BROKER_VALUE","DEEP_MEASURE_ID_OVERRIDE",$C254,"DEEP_BROKER_ID_OVERRIDE",$F$7,"DEEP_PERIOD_OVERRIDE",I$11)*1,"")))</f>
        <v/>
      </c>
      <c r="J254" s="17" t="str">
        <f>IF(ISNA($B254),"",IF($B254="","",IFERROR(_xll.BDP(TICKER,"DEEP_MEASURE_PERIOD_BROKER_VALUE","DEEP_MEASURE_ID_OVERRIDE",$C254,"DEEP_BROKER_ID_OVERRIDE",$F$7,"DEEP_PERIOD_OVERRIDE",J$11)*1,"")))</f>
        <v/>
      </c>
      <c r="K254" s="17" t="str">
        <f>IF(ISNA($B254),"",IF($B254="","",IFERROR(_xll.BDP(TICKER,"DEEP_MEASURE_PERIOD_BROKER_VALUE","DEEP_MEASURE_ID_OVERRIDE",$C254,"DEEP_BROKER_ID_OVERRIDE",$F$7,"DEEP_PERIOD_OVERRIDE",K$11)*1,"")))</f>
        <v/>
      </c>
      <c r="L254" s="17" t="str">
        <f>IF(ISNA($B254),"",IF($B254="","",IFERROR(_xll.BDP(TICKER,"DEEP_MEASURE_PERIOD_BROKER_VALUE","DEEP_MEASURE_ID_OVERRIDE",$C254,"DEEP_BROKER_ID_OVERRIDE",$F$7,"DEEP_PERIOD_OVERRIDE",L$11)*1,"")))</f>
        <v/>
      </c>
      <c r="M254" s="17" t="str">
        <f>IF(ISNA($B254),"",IF($B254="","",IFERROR(_xll.BDP(TICKER,"DEEP_MEASURE_PERIOD_BROKER_VALUE","DEEP_MEASURE_ID_OVERRIDE",$C254,"DEEP_BROKER_ID_OVERRIDE",$F$7,"DEEP_PERIOD_OVERRIDE",M$11)*1,"")))</f>
        <v/>
      </c>
      <c r="N254" s="17" t="str">
        <f>IF(ISNA($B254),"",IF($B254="","",IFERROR(_xll.BDP(TICKER,"DEEP_MEASURE_PERIOD_BROKER_VALUE","DEEP_MEASURE_ID_OVERRIDE",$C254,"DEEP_BROKER_ID_OVERRIDE",$F$7,"DEEP_PERIOD_OVERRIDE",N$11)*1,"")))</f>
        <v/>
      </c>
      <c r="O254" s="17" t="str">
        <f>IF(ISNA($B254),"",IF($B254="","",IFERROR(_xll.BDP(TICKER,"DEEP_MEASURE_PERIOD_BROKER_VALUE","DEEP_MEASURE_ID_OVERRIDE",$C254,"DEEP_BROKER_ID_OVERRIDE",$F$7,"DEEP_PERIOD_OVERRIDE",O$11)*1,"")))</f>
        <v/>
      </c>
      <c r="P254" s="17" t="str">
        <f>IF(ISNA($B254),"",IF($B254="","",IFERROR(_xll.BDP(TICKER,"DEEP_MEASURE_PERIOD_BROKER_VALUE","DEEP_MEASURE_ID_OVERRIDE",$C254,"DEEP_BROKER_ID_OVERRIDE",$F$7,"DEEP_PERIOD_OVERRIDE",P$11)*1,"")))</f>
        <v/>
      </c>
      <c r="Q254" s="17" t="str">
        <f>IF(ISNA($B254),"",IF($B254="","",IFERROR(_xll.BDP(TICKER,"DEEP_MEASURE_PERIOD_BROKER_VALUE","DEEP_MEASURE_ID_OVERRIDE",$C254,"DEEP_BROKER_ID_OVERRIDE",$F$7,"DEEP_PERIOD_OVERRIDE",Q$11)*1,"")))</f>
        <v/>
      </c>
      <c r="R254" s="17" t="str">
        <f>IF(ISNA($B254),"",IF($B254="","",IFERROR(_xll.BDP(TICKER,"DEEP_MEASURE_PERIOD_BROKER_VALUE","DEEP_MEASURE_ID_OVERRIDE",$C254,"DEEP_BROKER_ID_OVERRIDE",$F$7,"DEEP_PERIOD_OVERRIDE",R$11)*1,"")))</f>
        <v/>
      </c>
      <c r="S254" s="17" t="str">
        <f>IF(ISNA($B254),"",IF($B254="","",IFERROR(_xll.BDP(TICKER,"DEEP_MEASURE_PERIOD_BROKER_VALUE","DEEP_MEASURE_ID_OVERRIDE",$C254,"DEEP_BROKER_ID_OVERRIDE",$F$7,"DEEP_PERIOD_OVERRIDE",S$11)*1,"")))</f>
        <v/>
      </c>
      <c r="T254" s="17" t="str">
        <f>IF(ISNA($B254),"",IF($B254="","",IFERROR(_xll.BDP(TICKER,"DEEP_MEASURE_PERIOD_BROKER_VALUE","DEEP_MEASURE_ID_OVERRIDE",$C254,"DEEP_BROKER_ID_OVERRIDE",$F$7,"DEEP_PERIOD_OVERRIDE",T$11)*1,"")))</f>
        <v/>
      </c>
      <c r="U254" s="17" t="str">
        <f>IF(ISNA($B254),"",IF($B254="","",IFERROR(_xll.BDP(TICKER,"DEEP_MEASURE_PERIOD_BROKER_VALUE","DEEP_MEASURE_ID_OVERRIDE",$C254,"DEEP_BROKER_ID_OVERRIDE",$F$7,"DEEP_PERIOD_OVERRIDE",U$11)*1,"")))</f>
        <v/>
      </c>
      <c r="V254" s="17" t="str">
        <f>IF(ISNA($B254),"",IF($B254="","",IFERROR(_xll.BDP(TICKER,"DEEP_MEASURE_PERIOD_BROKER_VALUE","DEEP_MEASURE_ID_OVERRIDE",$C254,"DEEP_BROKER_ID_OVERRIDE",$F$7,"DEEP_PERIOD_OVERRIDE",V$11)*1,"")))</f>
        <v/>
      </c>
      <c r="W254" s="17" t="str">
        <f>IF(ISNA($B254),"",IF($B254="","",IFERROR(_xll.BDP(TICKER,"DEEP_MEASURE_PERIOD_BROKER_VALUE","DEEP_MEASURE_ID_OVERRIDE",$C254,"DEEP_BROKER_ID_OVERRIDE",$F$7,"DEEP_PERIOD_OVERRIDE",W$11)*1,"")))</f>
        <v/>
      </c>
      <c r="X254" s="17" t="str">
        <f>IF(ISNA($B254),"",IF($B254="","",IFERROR(_xll.BDP(TICKER,"DEEP_MEASURE_PERIOD_BROKER_VALUE","DEEP_MEASURE_ID_OVERRIDE",$C254,"DEEP_BROKER_ID_OVERRIDE",$F$7,"DEEP_PERIOD_OVERRIDE",X$11)*1,"")))</f>
        <v/>
      </c>
      <c r="Y254" s="17" t="str">
        <f>IF(ISNA($B254),"",IF($B254="","",IFERROR(_xll.BDP(TICKER,"DEEP_MEASURE_PERIOD_BROKER_VALUE","DEEP_MEASURE_ID_OVERRIDE",$C254,"DEEP_BROKER_ID_OVERRIDE",$F$7,"DEEP_PERIOD_OVERRIDE",Y$11)*1,"")))</f>
        <v/>
      </c>
      <c r="Z254" s="17" t="str">
        <f>IF(ISNA($B254),"",IF($B254="","",IFERROR(_xll.BDP(TICKER,"DEEP_MEASURE_PERIOD_BROKER_VALUE","DEEP_MEASURE_ID_OVERRIDE",$C254,"DEEP_BROKER_ID_OVERRIDE",$F$7,"DEEP_PERIOD_OVERRIDE",Z$11)*1,"")))</f>
        <v/>
      </c>
      <c r="AA254" s="17" t="str">
        <f>IF(ISNA($B254),"",IF($B254="","",IFERROR(_xll.BDP(TICKER,"DEEP_MEASURE_PERIOD_BROKER_VALUE","DEEP_MEASURE_ID_OVERRIDE",$C254,"DEEP_BROKER_ID_OVERRIDE",$F$7,"DEEP_PERIOD_OVERRIDE",AA$11)*1,"")))</f>
        <v/>
      </c>
      <c r="AB254" s="17" t="str">
        <f>IF(ISNA($B254),"",IF($B254="","",IFERROR(_xll.BDP(TICKER,"DEEP_MEASURE_PERIOD_BROKER_VALUE","DEEP_MEASURE_ID_OVERRIDE",$C254,"DEEP_BROKER_ID_OVERRIDE",$F$7,"DEEP_PERIOD_OVERRIDE",AB$11)*1,"")))</f>
        <v/>
      </c>
      <c r="AC254" s="17" t="str">
        <f>IF(ISNA($B254),"",IF($B254="","",IFERROR(_xll.BDP(TICKER,"DEEP_MEASURE_PERIOD_BROKER_VALUE","DEEP_MEASURE_ID_OVERRIDE",$C254,"DEEP_BROKER_ID_OVERRIDE",$F$7,"DEEP_PERIOD_OVERRIDE",AC$11)*1,"")))</f>
        <v/>
      </c>
      <c r="AD254" s="17" t="str">
        <f>IF(ISNA($B254),"",IF($B254="","",IFERROR(_xll.BDP(TICKER,"DEEP_MEASURE_PERIOD_BROKER_VALUE","DEEP_MEASURE_ID_OVERRIDE",$C254,"DEEP_BROKER_ID_OVERRIDE",$F$7,"DEEP_PERIOD_OVERRIDE",AD$11)*1,"")))</f>
        <v/>
      </c>
      <c r="AE254" s="17" t="str">
        <f>IF(ISNA($B254),"",IF($B254="","",IFERROR(_xll.BDP(TICKER,"DEEP_MEASURE_PERIOD_BROKER_VALUE","DEEP_MEASURE_ID_OVERRIDE",$C254,"DEEP_BROKER_ID_OVERRIDE",$F$7,"DEEP_PERIOD_OVERRIDE",AE$11)*1,"")))</f>
        <v/>
      </c>
      <c r="AF254" s="17" t="str">
        <f>IF(ISNA($B254),"",IF($B254="","",IFERROR(_xll.BDP(TICKER,"DEEP_MEASURE_PERIOD_BROKER_VALUE","DEEP_MEASURE_ID_OVERRIDE",$C254,"DEEP_BROKER_ID_OVERRIDE",$F$7,"DEEP_PERIOD_OVERRIDE",AF$11)*1,"")))</f>
        <v/>
      </c>
      <c r="AG254" s="17" t="str">
        <f>IF(ISNA($B254),"",IF($B254="","",IFERROR(_xll.BDP(TICKER,"DEEP_MEASURE_PERIOD_BROKER_VALUE","DEEP_MEASURE_ID_OVERRIDE",$C254,"DEEP_BROKER_ID_OVERRIDE",$F$7,"DEEP_PERIOD_OVERRIDE",AG$11)*1,"")))</f>
        <v/>
      </c>
      <c r="AH254" s="17" t="str">
        <f>IF(ISNA($B254),"",IF($B254="","",IFERROR(_xll.BDP(TICKER,"DEEP_MEASURE_PERIOD_BROKER_VALUE","DEEP_MEASURE_ID_OVERRIDE",$C254,"DEEP_BROKER_ID_OVERRIDE",$F$7,"DEEP_PERIOD_OVERRIDE",AH$11)*1,"")))</f>
        <v/>
      </c>
      <c r="AI254" s="17" t="str">
        <f>IF(ISNA($B254),"",IF($B254="","",IFERROR(_xll.BDP(TICKER,"DEEP_MEASURE_PERIOD_BROKER_VALUE","DEEP_MEASURE_ID_OVERRIDE",$C254,"DEEP_BROKER_ID_OVERRIDE",$F$7,"DEEP_PERIOD_OVERRIDE",AI$11)*1,"")))</f>
        <v/>
      </c>
      <c r="AJ254" s="17" t="str">
        <f>IF(ISNA($B254),"",IF($B254="","",IFERROR(_xll.BDP(TICKER,"DEEP_MEASURE_PERIOD_BROKER_VALUE","DEEP_MEASURE_ID_OVERRIDE",$C254,"DEEP_BROKER_ID_OVERRIDE",$F$7,"DEEP_PERIOD_OVERRIDE",AJ$11)*1,"")))</f>
        <v/>
      </c>
      <c r="AK254" s="17" t="str">
        <f>IF(ISNA($B254),"",IF($B254="","",IFERROR(_xll.BDP(TICKER,"DEEP_MEASURE_PERIOD_BROKER_VALUE","DEEP_MEASURE_ID_OVERRIDE",$C254,"DEEP_BROKER_ID_OVERRIDE",$F$7,"DEEP_PERIOD_OVERRIDE",AK$11)*1,"")))</f>
        <v/>
      </c>
      <c r="AL254" s="17" t="str">
        <f>IF(ISNA($B254),"",IF($B254="","",IFERROR(_xll.BDP(TICKER,"DEEP_MEASURE_PERIOD_BROKER_VALUE","DEEP_MEASURE_ID_OVERRIDE",$C254,"DEEP_BROKER_ID_OVERRIDE",$F$7,"DEEP_PERIOD_OVERRIDE",AL$11)*1,"")))</f>
        <v/>
      </c>
      <c r="AM254" s="17" t="str">
        <f>IF(ISNA($B254),"",IF($B254="","",IFERROR(_xll.BDP(TICKER,"DEEP_MEASURE_PERIOD_BROKER_VALUE","DEEP_MEASURE_ID_OVERRIDE",$C254,"DEEP_BROKER_ID_OVERRIDE",$F$7,"DEEP_PERIOD_OVERRIDE",AM$11)*1,"")))</f>
        <v/>
      </c>
      <c r="AN254" s="17" t="str">
        <f>IF(ISNA($B254),"",IF($B254="","",IFERROR(_xll.BDP(TICKER,"DEEP_MEASURE_PERIOD_BROKER_VALUE","DEEP_MEASURE_ID_OVERRIDE",$C254,"DEEP_BROKER_ID_OVERRIDE",$F$7,"DEEP_PERIOD_OVERRIDE",AN$11)*1,"")))</f>
        <v/>
      </c>
      <c r="AO254" s="17" t="str">
        <f>IF(ISNA($B254),"",IF($B254="","",IFERROR(_xll.BDP(TICKER,"DEEP_MEASURE_PERIOD_BROKER_VALUE","DEEP_MEASURE_ID_OVERRIDE",$C254,"DEEP_BROKER_ID_OVERRIDE",$F$7,"DEEP_PERIOD_OVERRIDE",AO$11)*1,"")))</f>
        <v/>
      </c>
      <c r="AP254" s="17" t="str">
        <f>IF(ISNA($B254),"",IF($B254="","",IFERROR(_xll.BDP(TICKER,"DEEP_MEASURE_PERIOD_BROKER_VALUE","DEEP_MEASURE_ID_OVERRIDE",$C254,"DEEP_BROKER_ID_OVERRIDE",$F$7,"DEEP_PERIOD_OVERRIDE",AP$11)*1,"")))</f>
        <v/>
      </c>
      <c r="AQ254" s="17" t="str">
        <f>IF(ISNA($B254),"",IF($B254="","",IFERROR(_xll.BDP(TICKER,"DEEP_MEASURE_PERIOD_BROKER_VALUE","DEEP_MEASURE_ID_OVERRIDE",$C254,"DEEP_BROKER_ID_OVERRIDE",$F$7,"DEEP_PERIOD_OVERRIDE",AQ$11)*1,"")))</f>
        <v/>
      </c>
    </row>
    <row r="255" spans="8:43" x14ac:dyDescent="0.25">
      <c r="H255" t="str">
        <f t="shared" si="5"/>
        <v/>
      </c>
      <c r="I255" s="17" t="str">
        <f>IF(ISNA($B255),"",IF($B255="","",IFERROR(_xll.BDP(TICKER,"DEEP_MEASURE_PERIOD_BROKER_VALUE","DEEP_MEASURE_ID_OVERRIDE",$C255,"DEEP_BROKER_ID_OVERRIDE",$F$7,"DEEP_PERIOD_OVERRIDE",I$11)*1,"")))</f>
        <v/>
      </c>
      <c r="J255" s="17" t="str">
        <f>IF(ISNA($B255),"",IF($B255="","",IFERROR(_xll.BDP(TICKER,"DEEP_MEASURE_PERIOD_BROKER_VALUE","DEEP_MEASURE_ID_OVERRIDE",$C255,"DEEP_BROKER_ID_OVERRIDE",$F$7,"DEEP_PERIOD_OVERRIDE",J$11)*1,"")))</f>
        <v/>
      </c>
      <c r="K255" s="17" t="str">
        <f>IF(ISNA($B255),"",IF($B255="","",IFERROR(_xll.BDP(TICKER,"DEEP_MEASURE_PERIOD_BROKER_VALUE","DEEP_MEASURE_ID_OVERRIDE",$C255,"DEEP_BROKER_ID_OVERRIDE",$F$7,"DEEP_PERIOD_OVERRIDE",K$11)*1,"")))</f>
        <v/>
      </c>
      <c r="L255" s="17" t="str">
        <f>IF(ISNA($B255),"",IF($B255="","",IFERROR(_xll.BDP(TICKER,"DEEP_MEASURE_PERIOD_BROKER_VALUE","DEEP_MEASURE_ID_OVERRIDE",$C255,"DEEP_BROKER_ID_OVERRIDE",$F$7,"DEEP_PERIOD_OVERRIDE",L$11)*1,"")))</f>
        <v/>
      </c>
      <c r="M255" s="17" t="str">
        <f>IF(ISNA($B255),"",IF($B255="","",IFERROR(_xll.BDP(TICKER,"DEEP_MEASURE_PERIOD_BROKER_VALUE","DEEP_MEASURE_ID_OVERRIDE",$C255,"DEEP_BROKER_ID_OVERRIDE",$F$7,"DEEP_PERIOD_OVERRIDE",M$11)*1,"")))</f>
        <v/>
      </c>
      <c r="N255" s="17" t="str">
        <f>IF(ISNA($B255),"",IF($B255="","",IFERROR(_xll.BDP(TICKER,"DEEP_MEASURE_PERIOD_BROKER_VALUE","DEEP_MEASURE_ID_OVERRIDE",$C255,"DEEP_BROKER_ID_OVERRIDE",$F$7,"DEEP_PERIOD_OVERRIDE",N$11)*1,"")))</f>
        <v/>
      </c>
      <c r="O255" s="17" t="str">
        <f>IF(ISNA($B255),"",IF($B255="","",IFERROR(_xll.BDP(TICKER,"DEEP_MEASURE_PERIOD_BROKER_VALUE","DEEP_MEASURE_ID_OVERRIDE",$C255,"DEEP_BROKER_ID_OVERRIDE",$F$7,"DEEP_PERIOD_OVERRIDE",O$11)*1,"")))</f>
        <v/>
      </c>
      <c r="P255" s="17" t="str">
        <f>IF(ISNA($B255),"",IF($B255="","",IFERROR(_xll.BDP(TICKER,"DEEP_MEASURE_PERIOD_BROKER_VALUE","DEEP_MEASURE_ID_OVERRIDE",$C255,"DEEP_BROKER_ID_OVERRIDE",$F$7,"DEEP_PERIOD_OVERRIDE",P$11)*1,"")))</f>
        <v/>
      </c>
      <c r="Q255" s="17" t="str">
        <f>IF(ISNA($B255),"",IF($B255="","",IFERROR(_xll.BDP(TICKER,"DEEP_MEASURE_PERIOD_BROKER_VALUE","DEEP_MEASURE_ID_OVERRIDE",$C255,"DEEP_BROKER_ID_OVERRIDE",$F$7,"DEEP_PERIOD_OVERRIDE",Q$11)*1,"")))</f>
        <v/>
      </c>
      <c r="R255" s="17" t="str">
        <f>IF(ISNA($B255),"",IF($B255="","",IFERROR(_xll.BDP(TICKER,"DEEP_MEASURE_PERIOD_BROKER_VALUE","DEEP_MEASURE_ID_OVERRIDE",$C255,"DEEP_BROKER_ID_OVERRIDE",$F$7,"DEEP_PERIOD_OVERRIDE",R$11)*1,"")))</f>
        <v/>
      </c>
      <c r="S255" s="17" t="str">
        <f>IF(ISNA($B255),"",IF($B255="","",IFERROR(_xll.BDP(TICKER,"DEEP_MEASURE_PERIOD_BROKER_VALUE","DEEP_MEASURE_ID_OVERRIDE",$C255,"DEEP_BROKER_ID_OVERRIDE",$F$7,"DEEP_PERIOD_OVERRIDE",S$11)*1,"")))</f>
        <v/>
      </c>
      <c r="T255" s="17" t="str">
        <f>IF(ISNA($B255),"",IF($B255="","",IFERROR(_xll.BDP(TICKER,"DEEP_MEASURE_PERIOD_BROKER_VALUE","DEEP_MEASURE_ID_OVERRIDE",$C255,"DEEP_BROKER_ID_OVERRIDE",$F$7,"DEEP_PERIOD_OVERRIDE",T$11)*1,"")))</f>
        <v/>
      </c>
      <c r="U255" s="17" t="str">
        <f>IF(ISNA($B255),"",IF($B255="","",IFERROR(_xll.BDP(TICKER,"DEEP_MEASURE_PERIOD_BROKER_VALUE","DEEP_MEASURE_ID_OVERRIDE",$C255,"DEEP_BROKER_ID_OVERRIDE",$F$7,"DEEP_PERIOD_OVERRIDE",U$11)*1,"")))</f>
        <v/>
      </c>
      <c r="V255" s="17" t="str">
        <f>IF(ISNA($B255),"",IF($B255="","",IFERROR(_xll.BDP(TICKER,"DEEP_MEASURE_PERIOD_BROKER_VALUE","DEEP_MEASURE_ID_OVERRIDE",$C255,"DEEP_BROKER_ID_OVERRIDE",$F$7,"DEEP_PERIOD_OVERRIDE",V$11)*1,"")))</f>
        <v/>
      </c>
      <c r="W255" s="17" t="str">
        <f>IF(ISNA($B255),"",IF($B255="","",IFERROR(_xll.BDP(TICKER,"DEEP_MEASURE_PERIOD_BROKER_VALUE","DEEP_MEASURE_ID_OVERRIDE",$C255,"DEEP_BROKER_ID_OVERRIDE",$F$7,"DEEP_PERIOD_OVERRIDE",W$11)*1,"")))</f>
        <v/>
      </c>
      <c r="X255" s="17" t="str">
        <f>IF(ISNA($B255),"",IF($B255="","",IFERROR(_xll.BDP(TICKER,"DEEP_MEASURE_PERIOD_BROKER_VALUE","DEEP_MEASURE_ID_OVERRIDE",$C255,"DEEP_BROKER_ID_OVERRIDE",$F$7,"DEEP_PERIOD_OVERRIDE",X$11)*1,"")))</f>
        <v/>
      </c>
      <c r="Y255" s="17" t="str">
        <f>IF(ISNA($B255),"",IF($B255="","",IFERROR(_xll.BDP(TICKER,"DEEP_MEASURE_PERIOD_BROKER_VALUE","DEEP_MEASURE_ID_OVERRIDE",$C255,"DEEP_BROKER_ID_OVERRIDE",$F$7,"DEEP_PERIOD_OVERRIDE",Y$11)*1,"")))</f>
        <v/>
      </c>
      <c r="Z255" s="17" t="str">
        <f>IF(ISNA($B255),"",IF($B255="","",IFERROR(_xll.BDP(TICKER,"DEEP_MEASURE_PERIOD_BROKER_VALUE","DEEP_MEASURE_ID_OVERRIDE",$C255,"DEEP_BROKER_ID_OVERRIDE",$F$7,"DEEP_PERIOD_OVERRIDE",Z$11)*1,"")))</f>
        <v/>
      </c>
      <c r="AA255" s="17" t="str">
        <f>IF(ISNA($B255),"",IF($B255="","",IFERROR(_xll.BDP(TICKER,"DEEP_MEASURE_PERIOD_BROKER_VALUE","DEEP_MEASURE_ID_OVERRIDE",$C255,"DEEP_BROKER_ID_OVERRIDE",$F$7,"DEEP_PERIOD_OVERRIDE",AA$11)*1,"")))</f>
        <v/>
      </c>
      <c r="AB255" s="17" t="str">
        <f>IF(ISNA($B255),"",IF($B255="","",IFERROR(_xll.BDP(TICKER,"DEEP_MEASURE_PERIOD_BROKER_VALUE","DEEP_MEASURE_ID_OVERRIDE",$C255,"DEEP_BROKER_ID_OVERRIDE",$F$7,"DEEP_PERIOD_OVERRIDE",AB$11)*1,"")))</f>
        <v/>
      </c>
      <c r="AC255" s="17" t="str">
        <f>IF(ISNA($B255),"",IF($B255="","",IFERROR(_xll.BDP(TICKER,"DEEP_MEASURE_PERIOD_BROKER_VALUE","DEEP_MEASURE_ID_OVERRIDE",$C255,"DEEP_BROKER_ID_OVERRIDE",$F$7,"DEEP_PERIOD_OVERRIDE",AC$11)*1,"")))</f>
        <v/>
      </c>
      <c r="AD255" s="17" t="str">
        <f>IF(ISNA($B255),"",IF($B255="","",IFERROR(_xll.BDP(TICKER,"DEEP_MEASURE_PERIOD_BROKER_VALUE","DEEP_MEASURE_ID_OVERRIDE",$C255,"DEEP_BROKER_ID_OVERRIDE",$F$7,"DEEP_PERIOD_OVERRIDE",AD$11)*1,"")))</f>
        <v/>
      </c>
      <c r="AE255" s="17" t="str">
        <f>IF(ISNA($B255),"",IF($B255="","",IFERROR(_xll.BDP(TICKER,"DEEP_MEASURE_PERIOD_BROKER_VALUE","DEEP_MEASURE_ID_OVERRIDE",$C255,"DEEP_BROKER_ID_OVERRIDE",$F$7,"DEEP_PERIOD_OVERRIDE",AE$11)*1,"")))</f>
        <v/>
      </c>
      <c r="AF255" s="17" t="str">
        <f>IF(ISNA($B255),"",IF($B255="","",IFERROR(_xll.BDP(TICKER,"DEEP_MEASURE_PERIOD_BROKER_VALUE","DEEP_MEASURE_ID_OVERRIDE",$C255,"DEEP_BROKER_ID_OVERRIDE",$F$7,"DEEP_PERIOD_OVERRIDE",AF$11)*1,"")))</f>
        <v/>
      </c>
      <c r="AG255" s="17" t="str">
        <f>IF(ISNA($B255),"",IF($B255="","",IFERROR(_xll.BDP(TICKER,"DEEP_MEASURE_PERIOD_BROKER_VALUE","DEEP_MEASURE_ID_OVERRIDE",$C255,"DEEP_BROKER_ID_OVERRIDE",$F$7,"DEEP_PERIOD_OVERRIDE",AG$11)*1,"")))</f>
        <v/>
      </c>
      <c r="AH255" s="17" t="str">
        <f>IF(ISNA($B255),"",IF($B255="","",IFERROR(_xll.BDP(TICKER,"DEEP_MEASURE_PERIOD_BROKER_VALUE","DEEP_MEASURE_ID_OVERRIDE",$C255,"DEEP_BROKER_ID_OVERRIDE",$F$7,"DEEP_PERIOD_OVERRIDE",AH$11)*1,"")))</f>
        <v/>
      </c>
      <c r="AI255" s="17" t="str">
        <f>IF(ISNA($B255),"",IF($B255="","",IFERROR(_xll.BDP(TICKER,"DEEP_MEASURE_PERIOD_BROKER_VALUE","DEEP_MEASURE_ID_OVERRIDE",$C255,"DEEP_BROKER_ID_OVERRIDE",$F$7,"DEEP_PERIOD_OVERRIDE",AI$11)*1,"")))</f>
        <v/>
      </c>
      <c r="AJ255" s="17" t="str">
        <f>IF(ISNA($B255),"",IF($B255="","",IFERROR(_xll.BDP(TICKER,"DEEP_MEASURE_PERIOD_BROKER_VALUE","DEEP_MEASURE_ID_OVERRIDE",$C255,"DEEP_BROKER_ID_OVERRIDE",$F$7,"DEEP_PERIOD_OVERRIDE",AJ$11)*1,"")))</f>
        <v/>
      </c>
      <c r="AK255" s="17" t="str">
        <f>IF(ISNA($B255),"",IF($B255="","",IFERROR(_xll.BDP(TICKER,"DEEP_MEASURE_PERIOD_BROKER_VALUE","DEEP_MEASURE_ID_OVERRIDE",$C255,"DEEP_BROKER_ID_OVERRIDE",$F$7,"DEEP_PERIOD_OVERRIDE",AK$11)*1,"")))</f>
        <v/>
      </c>
      <c r="AL255" s="17" t="str">
        <f>IF(ISNA($B255),"",IF($B255="","",IFERROR(_xll.BDP(TICKER,"DEEP_MEASURE_PERIOD_BROKER_VALUE","DEEP_MEASURE_ID_OVERRIDE",$C255,"DEEP_BROKER_ID_OVERRIDE",$F$7,"DEEP_PERIOD_OVERRIDE",AL$11)*1,"")))</f>
        <v/>
      </c>
      <c r="AM255" s="17" t="str">
        <f>IF(ISNA($B255),"",IF($B255="","",IFERROR(_xll.BDP(TICKER,"DEEP_MEASURE_PERIOD_BROKER_VALUE","DEEP_MEASURE_ID_OVERRIDE",$C255,"DEEP_BROKER_ID_OVERRIDE",$F$7,"DEEP_PERIOD_OVERRIDE",AM$11)*1,"")))</f>
        <v/>
      </c>
      <c r="AN255" s="17" t="str">
        <f>IF(ISNA($B255),"",IF($B255="","",IFERROR(_xll.BDP(TICKER,"DEEP_MEASURE_PERIOD_BROKER_VALUE","DEEP_MEASURE_ID_OVERRIDE",$C255,"DEEP_BROKER_ID_OVERRIDE",$F$7,"DEEP_PERIOD_OVERRIDE",AN$11)*1,"")))</f>
        <v/>
      </c>
      <c r="AO255" s="17" t="str">
        <f>IF(ISNA($B255),"",IF($B255="","",IFERROR(_xll.BDP(TICKER,"DEEP_MEASURE_PERIOD_BROKER_VALUE","DEEP_MEASURE_ID_OVERRIDE",$C255,"DEEP_BROKER_ID_OVERRIDE",$F$7,"DEEP_PERIOD_OVERRIDE",AO$11)*1,"")))</f>
        <v/>
      </c>
      <c r="AP255" s="17" t="str">
        <f>IF(ISNA($B255),"",IF($B255="","",IFERROR(_xll.BDP(TICKER,"DEEP_MEASURE_PERIOD_BROKER_VALUE","DEEP_MEASURE_ID_OVERRIDE",$C255,"DEEP_BROKER_ID_OVERRIDE",$F$7,"DEEP_PERIOD_OVERRIDE",AP$11)*1,"")))</f>
        <v/>
      </c>
      <c r="AQ255" s="17" t="str">
        <f>IF(ISNA($B255),"",IF($B255="","",IFERROR(_xll.BDP(TICKER,"DEEP_MEASURE_PERIOD_BROKER_VALUE","DEEP_MEASURE_ID_OVERRIDE",$C255,"DEEP_BROKER_ID_OVERRIDE",$F$7,"DEEP_PERIOD_OVERRIDE",AQ$11)*1,"")))</f>
        <v/>
      </c>
    </row>
    <row r="256" spans="8:43" x14ac:dyDescent="0.25">
      <c r="H256" t="str">
        <f t="shared" si="5"/>
        <v/>
      </c>
      <c r="I256" s="17" t="str">
        <f>IF(ISNA($B256),"",IF($B256="","",IFERROR(_xll.BDP(TICKER,"DEEP_MEASURE_PERIOD_BROKER_VALUE","DEEP_MEASURE_ID_OVERRIDE",$C256,"DEEP_BROKER_ID_OVERRIDE",$F$7,"DEEP_PERIOD_OVERRIDE",I$11)*1,"")))</f>
        <v/>
      </c>
      <c r="J256" s="17" t="str">
        <f>IF(ISNA($B256),"",IF($B256="","",IFERROR(_xll.BDP(TICKER,"DEEP_MEASURE_PERIOD_BROKER_VALUE","DEEP_MEASURE_ID_OVERRIDE",$C256,"DEEP_BROKER_ID_OVERRIDE",$F$7,"DEEP_PERIOD_OVERRIDE",J$11)*1,"")))</f>
        <v/>
      </c>
      <c r="K256" s="17" t="str">
        <f>IF(ISNA($B256),"",IF($B256="","",IFERROR(_xll.BDP(TICKER,"DEEP_MEASURE_PERIOD_BROKER_VALUE","DEEP_MEASURE_ID_OVERRIDE",$C256,"DEEP_BROKER_ID_OVERRIDE",$F$7,"DEEP_PERIOD_OVERRIDE",K$11)*1,"")))</f>
        <v/>
      </c>
      <c r="L256" s="17" t="str">
        <f>IF(ISNA($B256),"",IF($B256="","",IFERROR(_xll.BDP(TICKER,"DEEP_MEASURE_PERIOD_BROKER_VALUE","DEEP_MEASURE_ID_OVERRIDE",$C256,"DEEP_BROKER_ID_OVERRIDE",$F$7,"DEEP_PERIOD_OVERRIDE",L$11)*1,"")))</f>
        <v/>
      </c>
      <c r="M256" s="17" t="str">
        <f>IF(ISNA($B256),"",IF($B256="","",IFERROR(_xll.BDP(TICKER,"DEEP_MEASURE_PERIOD_BROKER_VALUE","DEEP_MEASURE_ID_OVERRIDE",$C256,"DEEP_BROKER_ID_OVERRIDE",$F$7,"DEEP_PERIOD_OVERRIDE",M$11)*1,"")))</f>
        <v/>
      </c>
      <c r="N256" s="17" t="str">
        <f>IF(ISNA($B256),"",IF($B256="","",IFERROR(_xll.BDP(TICKER,"DEEP_MEASURE_PERIOD_BROKER_VALUE","DEEP_MEASURE_ID_OVERRIDE",$C256,"DEEP_BROKER_ID_OVERRIDE",$F$7,"DEEP_PERIOD_OVERRIDE",N$11)*1,"")))</f>
        <v/>
      </c>
      <c r="O256" s="17" t="str">
        <f>IF(ISNA($B256),"",IF($B256="","",IFERROR(_xll.BDP(TICKER,"DEEP_MEASURE_PERIOD_BROKER_VALUE","DEEP_MEASURE_ID_OVERRIDE",$C256,"DEEP_BROKER_ID_OVERRIDE",$F$7,"DEEP_PERIOD_OVERRIDE",O$11)*1,"")))</f>
        <v/>
      </c>
      <c r="P256" s="17" t="str">
        <f>IF(ISNA($B256),"",IF($B256="","",IFERROR(_xll.BDP(TICKER,"DEEP_MEASURE_PERIOD_BROKER_VALUE","DEEP_MEASURE_ID_OVERRIDE",$C256,"DEEP_BROKER_ID_OVERRIDE",$F$7,"DEEP_PERIOD_OVERRIDE",P$11)*1,"")))</f>
        <v/>
      </c>
      <c r="Q256" s="17" t="str">
        <f>IF(ISNA($B256),"",IF($B256="","",IFERROR(_xll.BDP(TICKER,"DEEP_MEASURE_PERIOD_BROKER_VALUE","DEEP_MEASURE_ID_OVERRIDE",$C256,"DEEP_BROKER_ID_OVERRIDE",$F$7,"DEEP_PERIOD_OVERRIDE",Q$11)*1,"")))</f>
        <v/>
      </c>
      <c r="R256" s="17" t="str">
        <f>IF(ISNA($B256),"",IF($B256="","",IFERROR(_xll.BDP(TICKER,"DEEP_MEASURE_PERIOD_BROKER_VALUE","DEEP_MEASURE_ID_OVERRIDE",$C256,"DEEP_BROKER_ID_OVERRIDE",$F$7,"DEEP_PERIOD_OVERRIDE",R$11)*1,"")))</f>
        <v/>
      </c>
      <c r="S256" s="17" t="str">
        <f>IF(ISNA($B256),"",IF($B256="","",IFERROR(_xll.BDP(TICKER,"DEEP_MEASURE_PERIOD_BROKER_VALUE","DEEP_MEASURE_ID_OVERRIDE",$C256,"DEEP_BROKER_ID_OVERRIDE",$F$7,"DEEP_PERIOD_OVERRIDE",S$11)*1,"")))</f>
        <v/>
      </c>
      <c r="T256" s="17" t="str">
        <f>IF(ISNA($B256),"",IF($B256="","",IFERROR(_xll.BDP(TICKER,"DEEP_MEASURE_PERIOD_BROKER_VALUE","DEEP_MEASURE_ID_OVERRIDE",$C256,"DEEP_BROKER_ID_OVERRIDE",$F$7,"DEEP_PERIOD_OVERRIDE",T$11)*1,"")))</f>
        <v/>
      </c>
      <c r="U256" s="17" t="str">
        <f>IF(ISNA($B256),"",IF($B256="","",IFERROR(_xll.BDP(TICKER,"DEEP_MEASURE_PERIOD_BROKER_VALUE","DEEP_MEASURE_ID_OVERRIDE",$C256,"DEEP_BROKER_ID_OVERRIDE",$F$7,"DEEP_PERIOD_OVERRIDE",U$11)*1,"")))</f>
        <v/>
      </c>
      <c r="V256" s="17" t="str">
        <f>IF(ISNA($B256),"",IF($B256="","",IFERROR(_xll.BDP(TICKER,"DEEP_MEASURE_PERIOD_BROKER_VALUE","DEEP_MEASURE_ID_OVERRIDE",$C256,"DEEP_BROKER_ID_OVERRIDE",$F$7,"DEEP_PERIOD_OVERRIDE",V$11)*1,"")))</f>
        <v/>
      </c>
      <c r="W256" s="17" t="str">
        <f>IF(ISNA($B256),"",IF($B256="","",IFERROR(_xll.BDP(TICKER,"DEEP_MEASURE_PERIOD_BROKER_VALUE","DEEP_MEASURE_ID_OVERRIDE",$C256,"DEEP_BROKER_ID_OVERRIDE",$F$7,"DEEP_PERIOD_OVERRIDE",W$11)*1,"")))</f>
        <v/>
      </c>
      <c r="X256" s="17" t="str">
        <f>IF(ISNA($B256),"",IF($B256="","",IFERROR(_xll.BDP(TICKER,"DEEP_MEASURE_PERIOD_BROKER_VALUE","DEEP_MEASURE_ID_OVERRIDE",$C256,"DEEP_BROKER_ID_OVERRIDE",$F$7,"DEEP_PERIOD_OVERRIDE",X$11)*1,"")))</f>
        <v/>
      </c>
      <c r="Y256" s="17" t="str">
        <f>IF(ISNA($B256),"",IF($B256="","",IFERROR(_xll.BDP(TICKER,"DEEP_MEASURE_PERIOD_BROKER_VALUE","DEEP_MEASURE_ID_OVERRIDE",$C256,"DEEP_BROKER_ID_OVERRIDE",$F$7,"DEEP_PERIOD_OVERRIDE",Y$11)*1,"")))</f>
        <v/>
      </c>
      <c r="Z256" s="17" t="str">
        <f>IF(ISNA($B256),"",IF($B256="","",IFERROR(_xll.BDP(TICKER,"DEEP_MEASURE_PERIOD_BROKER_VALUE","DEEP_MEASURE_ID_OVERRIDE",$C256,"DEEP_BROKER_ID_OVERRIDE",$F$7,"DEEP_PERIOD_OVERRIDE",Z$11)*1,"")))</f>
        <v/>
      </c>
      <c r="AA256" s="17" t="str">
        <f>IF(ISNA($B256),"",IF($B256="","",IFERROR(_xll.BDP(TICKER,"DEEP_MEASURE_PERIOD_BROKER_VALUE","DEEP_MEASURE_ID_OVERRIDE",$C256,"DEEP_BROKER_ID_OVERRIDE",$F$7,"DEEP_PERIOD_OVERRIDE",AA$11)*1,"")))</f>
        <v/>
      </c>
      <c r="AB256" s="17" t="str">
        <f>IF(ISNA($B256),"",IF($B256="","",IFERROR(_xll.BDP(TICKER,"DEEP_MEASURE_PERIOD_BROKER_VALUE","DEEP_MEASURE_ID_OVERRIDE",$C256,"DEEP_BROKER_ID_OVERRIDE",$F$7,"DEEP_PERIOD_OVERRIDE",AB$11)*1,"")))</f>
        <v/>
      </c>
      <c r="AC256" s="17" t="str">
        <f>IF(ISNA($B256),"",IF($B256="","",IFERROR(_xll.BDP(TICKER,"DEEP_MEASURE_PERIOD_BROKER_VALUE","DEEP_MEASURE_ID_OVERRIDE",$C256,"DEEP_BROKER_ID_OVERRIDE",$F$7,"DEEP_PERIOD_OVERRIDE",AC$11)*1,"")))</f>
        <v/>
      </c>
      <c r="AD256" s="17" t="str">
        <f>IF(ISNA($B256),"",IF($B256="","",IFERROR(_xll.BDP(TICKER,"DEEP_MEASURE_PERIOD_BROKER_VALUE","DEEP_MEASURE_ID_OVERRIDE",$C256,"DEEP_BROKER_ID_OVERRIDE",$F$7,"DEEP_PERIOD_OVERRIDE",AD$11)*1,"")))</f>
        <v/>
      </c>
      <c r="AE256" s="17" t="str">
        <f>IF(ISNA($B256),"",IF($B256="","",IFERROR(_xll.BDP(TICKER,"DEEP_MEASURE_PERIOD_BROKER_VALUE","DEEP_MEASURE_ID_OVERRIDE",$C256,"DEEP_BROKER_ID_OVERRIDE",$F$7,"DEEP_PERIOD_OVERRIDE",AE$11)*1,"")))</f>
        <v/>
      </c>
      <c r="AF256" s="17" t="str">
        <f>IF(ISNA($B256),"",IF($B256="","",IFERROR(_xll.BDP(TICKER,"DEEP_MEASURE_PERIOD_BROKER_VALUE","DEEP_MEASURE_ID_OVERRIDE",$C256,"DEEP_BROKER_ID_OVERRIDE",$F$7,"DEEP_PERIOD_OVERRIDE",AF$11)*1,"")))</f>
        <v/>
      </c>
      <c r="AG256" s="17" t="str">
        <f>IF(ISNA($B256),"",IF($B256="","",IFERROR(_xll.BDP(TICKER,"DEEP_MEASURE_PERIOD_BROKER_VALUE","DEEP_MEASURE_ID_OVERRIDE",$C256,"DEEP_BROKER_ID_OVERRIDE",$F$7,"DEEP_PERIOD_OVERRIDE",AG$11)*1,"")))</f>
        <v/>
      </c>
      <c r="AH256" s="17" t="str">
        <f>IF(ISNA($B256),"",IF($B256="","",IFERROR(_xll.BDP(TICKER,"DEEP_MEASURE_PERIOD_BROKER_VALUE","DEEP_MEASURE_ID_OVERRIDE",$C256,"DEEP_BROKER_ID_OVERRIDE",$F$7,"DEEP_PERIOD_OVERRIDE",AH$11)*1,"")))</f>
        <v/>
      </c>
      <c r="AI256" s="17" t="str">
        <f>IF(ISNA($B256),"",IF($B256="","",IFERROR(_xll.BDP(TICKER,"DEEP_MEASURE_PERIOD_BROKER_VALUE","DEEP_MEASURE_ID_OVERRIDE",$C256,"DEEP_BROKER_ID_OVERRIDE",$F$7,"DEEP_PERIOD_OVERRIDE",AI$11)*1,"")))</f>
        <v/>
      </c>
      <c r="AJ256" s="17" t="str">
        <f>IF(ISNA($B256),"",IF($B256="","",IFERROR(_xll.BDP(TICKER,"DEEP_MEASURE_PERIOD_BROKER_VALUE","DEEP_MEASURE_ID_OVERRIDE",$C256,"DEEP_BROKER_ID_OVERRIDE",$F$7,"DEEP_PERIOD_OVERRIDE",AJ$11)*1,"")))</f>
        <v/>
      </c>
      <c r="AK256" s="17" t="str">
        <f>IF(ISNA($B256),"",IF($B256="","",IFERROR(_xll.BDP(TICKER,"DEEP_MEASURE_PERIOD_BROKER_VALUE","DEEP_MEASURE_ID_OVERRIDE",$C256,"DEEP_BROKER_ID_OVERRIDE",$F$7,"DEEP_PERIOD_OVERRIDE",AK$11)*1,"")))</f>
        <v/>
      </c>
      <c r="AL256" s="17" t="str">
        <f>IF(ISNA($B256),"",IF($B256="","",IFERROR(_xll.BDP(TICKER,"DEEP_MEASURE_PERIOD_BROKER_VALUE","DEEP_MEASURE_ID_OVERRIDE",$C256,"DEEP_BROKER_ID_OVERRIDE",$F$7,"DEEP_PERIOD_OVERRIDE",AL$11)*1,"")))</f>
        <v/>
      </c>
      <c r="AM256" s="17" t="str">
        <f>IF(ISNA($B256),"",IF($B256="","",IFERROR(_xll.BDP(TICKER,"DEEP_MEASURE_PERIOD_BROKER_VALUE","DEEP_MEASURE_ID_OVERRIDE",$C256,"DEEP_BROKER_ID_OVERRIDE",$F$7,"DEEP_PERIOD_OVERRIDE",AM$11)*1,"")))</f>
        <v/>
      </c>
      <c r="AN256" s="17" t="str">
        <f>IF(ISNA($B256),"",IF($B256="","",IFERROR(_xll.BDP(TICKER,"DEEP_MEASURE_PERIOD_BROKER_VALUE","DEEP_MEASURE_ID_OVERRIDE",$C256,"DEEP_BROKER_ID_OVERRIDE",$F$7,"DEEP_PERIOD_OVERRIDE",AN$11)*1,"")))</f>
        <v/>
      </c>
      <c r="AO256" s="17" t="str">
        <f>IF(ISNA($B256),"",IF($B256="","",IFERROR(_xll.BDP(TICKER,"DEEP_MEASURE_PERIOD_BROKER_VALUE","DEEP_MEASURE_ID_OVERRIDE",$C256,"DEEP_BROKER_ID_OVERRIDE",$F$7,"DEEP_PERIOD_OVERRIDE",AO$11)*1,"")))</f>
        <v/>
      </c>
      <c r="AP256" s="17" t="str">
        <f>IF(ISNA($B256),"",IF($B256="","",IFERROR(_xll.BDP(TICKER,"DEEP_MEASURE_PERIOD_BROKER_VALUE","DEEP_MEASURE_ID_OVERRIDE",$C256,"DEEP_BROKER_ID_OVERRIDE",$F$7,"DEEP_PERIOD_OVERRIDE",AP$11)*1,"")))</f>
        <v/>
      </c>
      <c r="AQ256" s="17" t="str">
        <f>IF(ISNA($B256),"",IF($B256="","",IFERROR(_xll.BDP(TICKER,"DEEP_MEASURE_PERIOD_BROKER_VALUE","DEEP_MEASURE_ID_OVERRIDE",$C256,"DEEP_BROKER_ID_OVERRIDE",$F$7,"DEEP_PERIOD_OVERRIDE",AQ$11)*1,"")))</f>
        <v/>
      </c>
    </row>
    <row r="257" spans="8:43" x14ac:dyDescent="0.25">
      <c r="H257" t="str">
        <f t="shared" si="5"/>
        <v/>
      </c>
      <c r="I257" s="17" t="str">
        <f>IF(ISNA($B257),"",IF($B257="","",IFERROR(_xll.BDP(TICKER,"DEEP_MEASURE_PERIOD_BROKER_VALUE","DEEP_MEASURE_ID_OVERRIDE",$C257,"DEEP_BROKER_ID_OVERRIDE",$F$7,"DEEP_PERIOD_OVERRIDE",I$11)*1,"")))</f>
        <v/>
      </c>
      <c r="J257" s="17" t="str">
        <f>IF(ISNA($B257),"",IF($B257="","",IFERROR(_xll.BDP(TICKER,"DEEP_MEASURE_PERIOD_BROKER_VALUE","DEEP_MEASURE_ID_OVERRIDE",$C257,"DEEP_BROKER_ID_OVERRIDE",$F$7,"DEEP_PERIOD_OVERRIDE",J$11)*1,"")))</f>
        <v/>
      </c>
      <c r="K257" s="17" t="str">
        <f>IF(ISNA($B257),"",IF($B257="","",IFERROR(_xll.BDP(TICKER,"DEEP_MEASURE_PERIOD_BROKER_VALUE","DEEP_MEASURE_ID_OVERRIDE",$C257,"DEEP_BROKER_ID_OVERRIDE",$F$7,"DEEP_PERIOD_OVERRIDE",K$11)*1,"")))</f>
        <v/>
      </c>
      <c r="L257" s="17" t="str">
        <f>IF(ISNA($B257),"",IF($B257="","",IFERROR(_xll.BDP(TICKER,"DEEP_MEASURE_PERIOD_BROKER_VALUE","DEEP_MEASURE_ID_OVERRIDE",$C257,"DEEP_BROKER_ID_OVERRIDE",$F$7,"DEEP_PERIOD_OVERRIDE",L$11)*1,"")))</f>
        <v/>
      </c>
      <c r="M257" s="17" t="str">
        <f>IF(ISNA($B257),"",IF($B257="","",IFERROR(_xll.BDP(TICKER,"DEEP_MEASURE_PERIOD_BROKER_VALUE","DEEP_MEASURE_ID_OVERRIDE",$C257,"DEEP_BROKER_ID_OVERRIDE",$F$7,"DEEP_PERIOD_OVERRIDE",M$11)*1,"")))</f>
        <v/>
      </c>
      <c r="N257" s="17" t="str">
        <f>IF(ISNA($B257),"",IF($B257="","",IFERROR(_xll.BDP(TICKER,"DEEP_MEASURE_PERIOD_BROKER_VALUE","DEEP_MEASURE_ID_OVERRIDE",$C257,"DEEP_BROKER_ID_OVERRIDE",$F$7,"DEEP_PERIOD_OVERRIDE",N$11)*1,"")))</f>
        <v/>
      </c>
      <c r="O257" s="17" t="str">
        <f>IF(ISNA($B257),"",IF($B257="","",IFERROR(_xll.BDP(TICKER,"DEEP_MEASURE_PERIOD_BROKER_VALUE","DEEP_MEASURE_ID_OVERRIDE",$C257,"DEEP_BROKER_ID_OVERRIDE",$F$7,"DEEP_PERIOD_OVERRIDE",O$11)*1,"")))</f>
        <v/>
      </c>
      <c r="P257" s="17" t="str">
        <f>IF(ISNA($B257),"",IF($B257="","",IFERROR(_xll.BDP(TICKER,"DEEP_MEASURE_PERIOD_BROKER_VALUE","DEEP_MEASURE_ID_OVERRIDE",$C257,"DEEP_BROKER_ID_OVERRIDE",$F$7,"DEEP_PERIOD_OVERRIDE",P$11)*1,"")))</f>
        <v/>
      </c>
      <c r="Q257" s="17" t="str">
        <f>IF(ISNA($B257),"",IF($B257="","",IFERROR(_xll.BDP(TICKER,"DEEP_MEASURE_PERIOD_BROKER_VALUE","DEEP_MEASURE_ID_OVERRIDE",$C257,"DEEP_BROKER_ID_OVERRIDE",$F$7,"DEEP_PERIOD_OVERRIDE",Q$11)*1,"")))</f>
        <v/>
      </c>
      <c r="R257" s="17" t="str">
        <f>IF(ISNA($B257),"",IF($B257="","",IFERROR(_xll.BDP(TICKER,"DEEP_MEASURE_PERIOD_BROKER_VALUE","DEEP_MEASURE_ID_OVERRIDE",$C257,"DEEP_BROKER_ID_OVERRIDE",$F$7,"DEEP_PERIOD_OVERRIDE",R$11)*1,"")))</f>
        <v/>
      </c>
      <c r="S257" s="17" t="str">
        <f>IF(ISNA($B257),"",IF($B257="","",IFERROR(_xll.BDP(TICKER,"DEEP_MEASURE_PERIOD_BROKER_VALUE","DEEP_MEASURE_ID_OVERRIDE",$C257,"DEEP_BROKER_ID_OVERRIDE",$F$7,"DEEP_PERIOD_OVERRIDE",S$11)*1,"")))</f>
        <v/>
      </c>
      <c r="T257" s="17" t="str">
        <f>IF(ISNA($B257),"",IF($B257="","",IFERROR(_xll.BDP(TICKER,"DEEP_MEASURE_PERIOD_BROKER_VALUE","DEEP_MEASURE_ID_OVERRIDE",$C257,"DEEP_BROKER_ID_OVERRIDE",$F$7,"DEEP_PERIOD_OVERRIDE",T$11)*1,"")))</f>
        <v/>
      </c>
      <c r="U257" s="17" t="str">
        <f>IF(ISNA($B257),"",IF($B257="","",IFERROR(_xll.BDP(TICKER,"DEEP_MEASURE_PERIOD_BROKER_VALUE","DEEP_MEASURE_ID_OVERRIDE",$C257,"DEEP_BROKER_ID_OVERRIDE",$F$7,"DEEP_PERIOD_OVERRIDE",U$11)*1,"")))</f>
        <v/>
      </c>
      <c r="V257" s="17" t="str">
        <f>IF(ISNA($B257),"",IF($B257="","",IFERROR(_xll.BDP(TICKER,"DEEP_MEASURE_PERIOD_BROKER_VALUE","DEEP_MEASURE_ID_OVERRIDE",$C257,"DEEP_BROKER_ID_OVERRIDE",$F$7,"DEEP_PERIOD_OVERRIDE",V$11)*1,"")))</f>
        <v/>
      </c>
      <c r="W257" s="17" t="str">
        <f>IF(ISNA($B257),"",IF($B257="","",IFERROR(_xll.BDP(TICKER,"DEEP_MEASURE_PERIOD_BROKER_VALUE","DEEP_MEASURE_ID_OVERRIDE",$C257,"DEEP_BROKER_ID_OVERRIDE",$F$7,"DEEP_PERIOD_OVERRIDE",W$11)*1,"")))</f>
        <v/>
      </c>
      <c r="X257" s="17" t="str">
        <f>IF(ISNA($B257),"",IF($B257="","",IFERROR(_xll.BDP(TICKER,"DEEP_MEASURE_PERIOD_BROKER_VALUE","DEEP_MEASURE_ID_OVERRIDE",$C257,"DEEP_BROKER_ID_OVERRIDE",$F$7,"DEEP_PERIOD_OVERRIDE",X$11)*1,"")))</f>
        <v/>
      </c>
      <c r="Y257" s="17" t="str">
        <f>IF(ISNA($B257),"",IF($B257="","",IFERROR(_xll.BDP(TICKER,"DEEP_MEASURE_PERIOD_BROKER_VALUE","DEEP_MEASURE_ID_OVERRIDE",$C257,"DEEP_BROKER_ID_OVERRIDE",$F$7,"DEEP_PERIOD_OVERRIDE",Y$11)*1,"")))</f>
        <v/>
      </c>
      <c r="Z257" s="17" t="str">
        <f>IF(ISNA($B257),"",IF($B257="","",IFERROR(_xll.BDP(TICKER,"DEEP_MEASURE_PERIOD_BROKER_VALUE","DEEP_MEASURE_ID_OVERRIDE",$C257,"DEEP_BROKER_ID_OVERRIDE",$F$7,"DEEP_PERIOD_OVERRIDE",Z$11)*1,"")))</f>
        <v/>
      </c>
      <c r="AA257" s="17" t="str">
        <f>IF(ISNA($B257),"",IF($B257="","",IFERROR(_xll.BDP(TICKER,"DEEP_MEASURE_PERIOD_BROKER_VALUE","DEEP_MEASURE_ID_OVERRIDE",$C257,"DEEP_BROKER_ID_OVERRIDE",$F$7,"DEEP_PERIOD_OVERRIDE",AA$11)*1,"")))</f>
        <v/>
      </c>
      <c r="AB257" s="17" t="str">
        <f>IF(ISNA($B257),"",IF($B257="","",IFERROR(_xll.BDP(TICKER,"DEEP_MEASURE_PERIOD_BROKER_VALUE","DEEP_MEASURE_ID_OVERRIDE",$C257,"DEEP_BROKER_ID_OVERRIDE",$F$7,"DEEP_PERIOD_OVERRIDE",AB$11)*1,"")))</f>
        <v/>
      </c>
      <c r="AC257" s="17" t="str">
        <f>IF(ISNA($B257),"",IF($B257="","",IFERROR(_xll.BDP(TICKER,"DEEP_MEASURE_PERIOD_BROKER_VALUE","DEEP_MEASURE_ID_OVERRIDE",$C257,"DEEP_BROKER_ID_OVERRIDE",$F$7,"DEEP_PERIOD_OVERRIDE",AC$11)*1,"")))</f>
        <v/>
      </c>
      <c r="AD257" s="17" t="str">
        <f>IF(ISNA($B257),"",IF($B257="","",IFERROR(_xll.BDP(TICKER,"DEEP_MEASURE_PERIOD_BROKER_VALUE","DEEP_MEASURE_ID_OVERRIDE",$C257,"DEEP_BROKER_ID_OVERRIDE",$F$7,"DEEP_PERIOD_OVERRIDE",AD$11)*1,"")))</f>
        <v/>
      </c>
      <c r="AE257" s="17" t="str">
        <f>IF(ISNA($B257),"",IF($B257="","",IFERROR(_xll.BDP(TICKER,"DEEP_MEASURE_PERIOD_BROKER_VALUE","DEEP_MEASURE_ID_OVERRIDE",$C257,"DEEP_BROKER_ID_OVERRIDE",$F$7,"DEEP_PERIOD_OVERRIDE",AE$11)*1,"")))</f>
        <v/>
      </c>
      <c r="AF257" s="17" t="str">
        <f>IF(ISNA($B257),"",IF($B257="","",IFERROR(_xll.BDP(TICKER,"DEEP_MEASURE_PERIOD_BROKER_VALUE","DEEP_MEASURE_ID_OVERRIDE",$C257,"DEEP_BROKER_ID_OVERRIDE",$F$7,"DEEP_PERIOD_OVERRIDE",AF$11)*1,"")))</f>
        <v/>
      </c>
      <c r="AG257" s="17" t="str">
        <f>IF(ISNA($B257),"",IF($B257="","",IFERROR(_xll.BDP(TICKER,"DEEP_MEASURE_PERIOD_BROKER_VALUE","DEEP_MEASURE_ID_OVERRIDE",$C257,"DEEP_BROKER_ID_OVERRIDE",$F$7,"DEEP_PERIOD_OVERRIDE",AG$11)*1,"")))</f>
        <v/>
      </c>
      <c r="AH257" s="17" t="str">
        <f>IF(ISNA($B257),"",IF($B257="","",IFERROR(_xll.BDP(TICKER,"DEEP_MEASURE_PERIOD_BROKER_VALUE","DEEP_MEASURE_ID_OVERRIDE",$C257,"DEEP_BROKER_ID_OVERRIDE",$F$7,"DEEP_PERIOD_OVERRIDE",AH$11)*1,"")))</f>
        <v/>
      </c>
      <c r="AI257" s="17" t="str">
        <f>IF(ISNA($B257),"",IF($B257="","",IFERROR(_xll.BDP(TICKER,"DEEP_MEASURE_PERIOD_BROKER_VALUE","DEEP_MEASURE_ID_OVERRIDE",$C257,"DEEP_BROKER_ID_OVERRIDE",$F$7,"DEEP_PERIOD_OVERRIDE",AI$11)*1,"")))</f>
        <v/>
      </c>
      <c r="AJ257" s="17" t="str">
        <f>IF(ISNA($B257),"",IF($B257="","",IFERROR(_xll.BDP(TICKER,"DEEP_MEASURE_PERIOD_BROKER_VALUE","DEEP_MEASURE_ID_OVERRIDE",$C257,"DEEP_BROKER_ID_OVERRIDE",$F$7,"DEEP_PERIOD_OVERRIDE",AJ$11)*1,"")))</f>
        <v/>
      </c>
      <c r="AK257" s="17" t="str">
        <f>IF(ISNA($B257),"",IF($B257="","",IFERROR(_xll.BDP(TICKER,"DEEP_MEASURE_PERIOD_BROKER_VALUE","DEEP_MEASURE_ID_OVERRIDE",$C257,"DEEP_BROKER_ID_OVERRIDE",$F$7,"DEEP_PERIOD_OVERRIDE",AK$11)*1,"")))</f>
        <v/>
      </c>
      <c r="AL257" s="17" t="str">
        <f>IF(ISNA($B257),"",IF($B257="","",IFERROR(_xll.BDP(TICKER,"DEEP_MEASURE_PERIOD_BROKER_VALUE","DEEP_MEASURE_ID_OVERRIDE",$C257,"DEEP_BROKER_ID_OVERRIDE",$F$7,"DEEP_PERIOD_OVERRIDE",AL$11)*1,"")))</f>
        <v/>
      </c>
      <c r="AM257" s="17" t="str">
        <f>IF(ISNA($B257),"",IF($B257="","",IFERROR(_xll.BDP(TICKER,"DEEP_MEASURE_PERIOD_BROKER_VALUE","DEEP_MEASURE_ID_OVERRIDE",$C257,"DEEP_BROKER_ID_OVERRIDE",$F$7,"DEEP_PERIOD_OVERRIDE",AM$11)*1,"")))</f>
        <v/>
      </c>
      <c r="AN257" s="17" t="str">
        <f>IF(ISNA($B257),"",IF($B257="","",IFERROR(_xll.BDP(TICKER,"DEEP_MEASURE_PERIOD_BROKER_VALUE","DEEP_MEASURE_ID_OVERRIDE",$C257,"DEEP_BROKER_ID_OVERRIDE",$F$7,"DEEP_PERIOD_OVERRIDE",AN$11)*1,"")))</f>
        <v/>
      </c>
      <c r="AO257" s="17" t="str">
        <f>IF(ISNA($B257),"",IF($B257="","",IFERROR(_xll.BDP(TICKER,"DEEP_MEASURE_PERIOD_BROKER_VALUE","DEEP_MEASURE_ID_OVERRIDE",$C257,"DEEP_BROKER_ID_OVERRIDE",$F$7,"DEEP_PERIOD_OVERRIDE",AO$11)*1,"")))</f>
        <v/>
      </c>
      <c r="AP257" s="17" t="str">
        <f>IF(ISNA($B257),"",IF($B257="","",IFERROR(_xll.BDP(TICKER,"DEEP_MEASURE_PERIOD_BROKER_VALUE","DEEP_MEASURE_ID_OVERRIDE",$C257,"DEEP_BROKER_ID_OVERRIDE",$F$7,"DEEP_PERIOD_OVERRIDE",AP$11)*1,"")))</f>
        <v/>
      </c>
      <c r="AQ257" s="17" t="str">
        <f>IF(ISNA($B257),"",IF($B257="","",IFERROR(_xll.BDP(TICKER,"DEEP_MEASURE_PERIOD_BROKER_VALUE","DEEP_MEASURE_ID_OVERRIDE",$C257,"DEEP_BROKER_ID_OVERRIDE",$F$7,"DEEP_PERIOD_OVERRIDE",AQ$11)*1,"")))</f>
        <v/>
      </c>
    </row>
    <row r="258" spans="8:43" x14ac:dyDescent="0.25">
      <c r="H258" t="str">
        <f t="shared" si="5"/>
        <v/>
      </c>
      <c r="I258" s="17" t="str">
        <f>IF(ISNA($B258),"",IF($B258="","",IFERROR(_xll.BDP(TICKER,"DEEP_MEASURE_PERIOD_BROKER_VALUE","DEEP_MEASURE_ID_OVERRIDE",$C258,"DEEP_BROKER_ID_OVERRIDE",$F$7,"DEEP_PERIOD_OVERRIDE",I$11)*1,"")))</f>
        <v/>
      </c>
      <c r="J258" s="17" t="str">
        <f>IF(ISNA($B258),"",IF($B258="","",IFERROR(_xll.BDP(TICKER,"DEEP_MEASURE_PERIOD_BROKER_VALUE","DEEP_MEASURE_ID_OVERRIDE",$C258,"DEEP_BROKER_ID_OVERRIDE",$F$7,"DEEP_PERIOD_OVERRIDE",J$11)*1,"")))</f>
        <v/>
      </c>
      <c r="K258" s="17" t="str">
        <f>IF(ISNA($B258),"",IF($B258="","",IFERROR(_xll.BDP(TICKER,"DEEP_MEASURE_PERIOD_BROKER_VALUE","DEEP_MEASURE_ID_OVERRIDE",$C258,"DEEP_BROKER_ID_OVERRIDE",$F$7,"DEEP_PERIOD_OVERRIDE",K$11)*1,"")))</f>
        <v/>
      </c>
      <c r="L258" s="17" t="str">
        <f>IF(ISNA($B258),"",IF($B258="","",IFERROR(_xll.BDP(TICKER,"DEEP_MEASURE_PERIOD_BROKER_VALUE","DEEP_MEASURE_ID_OVERRIDE",$C258,"DEEP_BROKER_ID_OVERRIDE",$F$7,"DEEP_PERIOD_OVERRIDE",L$11)*1,"")))</f>
        <v/>
      </c>
      <c r="M258" s="17" t="str">
        <f>IF(ISNA($B258),"",IF($B258="","",IFERROR(_xll.BDP(TICKER,"DEEP_MEASURE_PERIOD_BROKER_VALUE","DEEP_MEASURE_ID_OVERRIDE",$C258,"DEEP_BROKER_ID_OVERRIDE",$F$7,"DEEP_PERIOD_OVERRIDE",M$11)*1,"")))</f>
        <v/>
      </c>
      <c r="N258" s="17" t="str">
        <f>IF(ISNA($B258),"",IF($B258="","",IFERROR(_xll.BDP(TICKER,"DEEP_MEASURE_PERIOD_BROKER_VALUE","DEEP_MEASURE_ID_OVERRIDE",$C258,"DEEP_BROKER_ID_OVERRIDE",$F$7,"DEEP_PERIOD_OVERRIDE",N$11)*1,"")))</f>
        <v/>
      </c>
      <c r="O258" s="17" t="str">
        <f>IF(ISNA($B258),"",IF($B258="","",IFERROR(_xll.BDP(TICKER,"DEEP_MEASURE_PERIOD_BROKER_VALUE","DEEP_MEASURE_ID_OVERRIDE",$C258,"DEEP_BROKER_ID_OVERRIDE",$F$7,"DEEP_PERIOD_OVERRIDE",O$11)*1,"")))</f>
        <v/>
      </c>
      <c r="P258" s="17" t="str">
        <f>IF(ISNA($B258),"",IF($B258="","",IFERROR(_xll.BDP(TICKER,"DEEP_MEASURE_PERIOD_BROKER_VALUE","DEEP_MEASURE_ID_OVERRIDE",$C258,"DEEP_BROKER_ID_OVERRIDE",$F$7,"DEEP_PERIOD_OVERRIDE",P$11)*1,"")))</f>
        <v/>
      </c>
      <c r="Q258" s="17" t="str">
        <f>IF(ISNA($B258),"",IF($B258="","",IFERROR(_xll.BDP(TICKER,"DEEP_MEASURE_PERIOD_BROKER_VALUE","DEEP_MEASURE_ID_OVERRIDE",$C258,"DEEP_BROKER_ID_OVERRIDE",$F$7,"DEEP_PERIOD_OVERRIDE",Q$11)*1,"")))</f>
        <v/>
      </c>
      <c r="R258" s="17" t="str">
        <f>IF(ISNA($B258),"",IF($B258="","",IFERROR(_xll.BDP(TICKER,"DEEP_MEASURE_PERIOD_BROKER_VALUE","DEEP_MEASURE_ID_OVERRIDE",$C258,"DEEP_BROKER_ID_OVERRIDE",$F$7,"DEEP_PERIOD_OVERRIDE",R$11)*1,"")))</f>
        <v/>
      </c>
      <c r="S258" s="17" t="str">
        <f>IF(ISNA($B258),"",IF($B258="","",IFERROR(_xll.BDP(TICKER,"DEEP_MEASURE_PERIOD_BROKER_VALUE","DEEP_MEASURE_ID_OVERRIDE",$C258,"DEEP_BROKER_ID_OVERRIDE",$F$7,"DEEP_PERIOD_OVERRIDE",S$11)*1,"")))</f>
        <v/>
      </c>
      <c r="T258" s="17" t="str">
        <f>IF(ISNA($B258),"",IF($B258="","",IFERROR(_xll.BDP(TICKER,"DEEP_MEASURE_PERIOD_BROKER_VALUE","DEEP_MEASURE_ID_OVERRIDE",$C258,"DEEP_BROKER_ID_OVERRIDE",$F$7,"DEEP_PERIOD_OVERRIDE",T$11)*1,"")))</f>
        <v/>
      </c>
      <c r="U258" s="17" t="str">
        <f>IF(ISNA($B258),"",IF($B258="","",IFERROR(_xll.BDP(TICKER,"DEEP_MEASURE_PERIOD_BROKER_VALUE","DEEP_MEASURE_ID_OVERRIDE",$C258,"DEEP_BROKER_ID_OVERRIDE",$F$7,"DEEP_PERIOD_OVERRIDE",U$11)*1,"")))</f>
        <v/>
      </c>
      <c r="V258" s="17" t="str">
        <f>IF(ISNA($B258),"",IF($B258="","",IFERROR(_xll.BDP(TICKER,"DEEP_MEASURE_PERIOD_BROKER_VALUE","DEEP_MEASURE_ID_OVERRIDE",$C258,"DEEP_BROKER_ID_OVERRIDE",$F$7,"DEEP_PERIOD_OVERRIDE",V$11)*1,"")))</f>
        <v/>
      </c>
      <c r="W258" s="17" t="str">
        <f>IF(ISNA($B258),"",IF($B258="","",IFERROR(_xll.BDP(TICKER,"DEEP_MEASURE_PERIOD_BROKER_VALUE","DEEP_MEASURE_ID_OVERRIDE",$C258,"DEEP_BROKER_ID_OVERRIDE",$F$7,"DEEP_PERIOD_OVERRIDE",W$11)*1,"")))</f>
        <v/>
      </c>
      <c r="X258" s="17" t="str">
        <f>IF(ISNA($B258),"",IF($B258="","",IFERROR(_xll.BDP(TICKER,"DEEP_MEASURE_PERIOD_BROKER_VALUE","DEEP_MEASURE_ID_OVERRIDE",$C258,"DEEP_BROKER_ID_OVERRIDE",$F$7,"DEEP_PERIOD_OVERRIDE",X$11)*1,"")))</f>
        <v/>
      </c>
      <c r="Y258" s="17" t="str">
        <f>IF(ISNA($B258),"",IF($B258="","",IFERROR(_xll.BDP(TICKER,"DEEP_MEASURE_PERIOD_BROKER_VALUE","DEEP_MEASURE_ID_OVERRIDE",$C258,"DEEP_BROKER_ID_OVERRIDE",$F$7,"DEEP_PERIOD_OVERRIDE",Y$11)*1,"")))</f>
        <v/>
      </c>
      <c r="Z258" s="17" t="str">
        <f>IF(ISNA($B258),"",IF($B258="","",IFERROR(_xll.BDP(TICKER,"DEEP_MEASURE_PERIOD_BROKER_VALUE","DEEP_MEASURE_ID_OVERRIDE",$C258,"DEEP_BROKER_ID_OVERRIDE",$F$7,"DEEP_PERIOD_OVERRIDE",Z$11)*1,"")))</f>
        <v/>
      </c>
      <c r="AA258" s="17" t="str">
        <f>IF(ISNA($B258),"",IF($B258="","",IFERROR(_xll.BDP(TICKER,"DEEP_MEASURE_PERIOD_BROKER_VALUE","DEEP_MEASURE_ID_OVERRIDE",$C258,"DEEP_BROKER_ID_OVERRIDE",$F$7,"DEEP_PERIOD_OVERRIDE",AA$11)*1,"")))</f>
        <v/>
      </c>
      <c r="AB258" s="17" t="str">
        <f>IF(ISNA($B258),"",IF($B258="","",IFERROR(_xll.BDP(TICKER,"DEEP_MEASURE_PERIOD_BROKER_VALUE","DEEP_MEASURE_ID_OVERRIDE",$C258,"DEEP_BROKER_ID_OVERRIDE",$F$7,"DEEP_PERIOD_OVERRIDE",AB$11)*1,"")))</f>
        <v/>
      </c>
      <c r="AC258" s="17" t="str">
        <f>IF(ISNA($B258),"",IF($B258="","",IFERROR(_xll.BDP(TICKER,"DEEP_MEASURE_PERIOD_BROKER_VALUE","DEEP_MEASURE_ID_OVERRIDE",$C258,"DEEP_BROKER_ID_OVERRIDE",$F$7,"DEEP_PERIOD_OVERRIDE",AC$11)*1,"")))</f>
        <v/>
      </c>
      <c r="AD258" s="17" t="str">
        <f>IF(ISNA($B258),"",IF($B258="","",IFERROR(_xll.BDP(TICKER,"DEEP_MEASURE_PERIOD_BROKER_VALUE","DEEP_MEASURE_ID_OVERRIDE",$C258,"DEEP_BROKER_ID_OVERRIDE",$F$7,"DEEP_PERIOD_OVERRIDE",AD$11)*1,"")))</f>
        <v/>
      </c>
      <c r="AE258" s="17" t="str">
        <f>IF(ISNA($B258),"",IF($B258="","",IFERROR(_xll.BDP(TICKER,"DEEP_MEASURE_PERIOD_BROKER_VALUE","DEEP_MEASURE_ID_OVERRIDE",$C258,"DEEP_BROKER_ID_OVERRIDE",$F$7,"DEEP_PERIOD_OVERRIDE",AE$11)*1,"")))</f>
        <v/>
      </c>
      <c r="AF258" s="17" t="str">
        <f>IF(ISNA($B258),"",IF($B258="","",IFERROR(_xll.BDP(TICKER,"DEEP_MEASURE_PERIOD_BROKER_VALUE","DEEP_MEASURE_ID_OVERRIDE",$C258,"DEEP_BROKER_ID_OVERRIDE",$F$7,"DEEP_PERIOD_OVERRIDE",AF$11)*1,"")))</f>
        <v/>
      </c>
      <c r="AG258" s="17" t="str">
        <f>IF(ISNA($B258),"",IF($B258="","",IFERROR(_xll.BDP(TICKER,"DEEP_MEASURE_PERIOD_BROKER_VALUE","DEEP_MEASURE_ID_OVERRIDE",$C258,"DEEP_BROKER_ID_OVERRIDE",$F$7,"DEEP_PERIOD_OVERRIDE",AG$11)*1,"")))</f>
        <v/>
      </c>
      <c r="AH258" s="17" t="str">
        <f>IF(ISNA($B258),"",IF($B258="","",IFERROR(_xll.BDP(TICKER,"DEEP_MEASURE_PERIOD_BROKER_VALUE","DEEP_MEASURE_ID_OVERRIDE",$C258,"DEEP_BROKER_ID_OVERRIDE",$F$7,"DEEP_PERIOD_OVERRIDE",AH$11)*1,"")))</f>
        <v/>
      </c>
      <c r="AI258" s="17" t="str">
        <f>IF(ISNA($B258),"",IF($B258="","",IFERROR(_xll.BDP(TICKER,"DEEP_MEASURE_PERIOD_BROKER_VALUE","DEEP_MEASURE_ID_OVERRIDE",$C258,"DEEP_BROKER_ID_OVERRIDE",$F$7,"DEEP_PERIOD_OVERRIDE",AI$11)*1,"")))</f>
        <v/>
      </c>
      <c r="AJ258" s="17" t="str">
        <f>IF(ISNA($B258),"",IF($B258="","",IFERROR(_xll.BDP(TICKER,"DEEP_MEASURE_PERIOD_BROKER_VALUE","DEEP_MEASURE_ID_OVERRIDE",$C258,"DEEP_BROKER_ID_OVERRIDE",$F$7,"DEEP_PERIOD_OVERRIDE",AJ$11)*1,"")))</f>
        <v/>
      </c>
      <c r="AK258" s="17" t="str">
        <f>IF(ISNA($B258),"",IF($B258="","",IFERROR(_xll.BDP(TICKER,"DEEP_MEASURE_PERIOD_BROKER_VALUE","DEEP_MEASURE_ID_OVERRIDE",$C258,"DEEP_BROKER_ID_OVERRIDE",$F$7,"DEEP_PERIOD_OVERRIDE",AK$11)*1,"")))</f>
        <v/>
      </c>
      <c r="AL258" s="17" t="str">
        <f>IF(ISNA($B258),"",IF($B258="","",IFERROR(_xll.BDP(TICKER,"DEEP_MEASURE_PERIOD_BROKER_VALUE","DEEP_MEASURE_ID_OVERRIDE",$C258,"DEEP_BROKER_ID_OVERRIDE",$F$7,"DEEP_PERIOD_OVERRIDE",AL$11)*1,"")))</f>
        <v/>
      </c>
      <c r="AM258" s="17" t="str">
        <f>IF(ISNA($B258),"",IF($B258="","",IFERROR(_xll.BDP(TICKER,"DEEP_MEASURE_PERIOD_BROKER_VALUE","DEEP_MEASURE_ID_OVERRIDE",$C258,"DEEP_BROKER_ID_OVERRIDE",$F$7,"DEEP_PERIOD_OVERRIDE",AM$11)*1,"")))</f>
        <v/>
      </c>
      <c r="AN258" s="17" t="str">
        <f>IF(ISNA($B258),"",IF($B258="","",IFERROR(_xll.BDP(TICKER,"DEEP_MEASURE_PERIOD_BROKER_VALUE","DEEP_MEASURE_ID_OVERRIDE",$C258,"DEEP_BROKER_ID_OVERRIDE",$F$7,"DEEP_PERIOD_OVERRIDE",AN$11)*1,"")))</f>
        <v/>
      </c>
      <c r="AO258" s="17" t="str">
        <f>IF(ISNA($B258),"",IF($B258="","",IFERROR(_xll.BDP(TICKER,"DEEP_MEASURE_PERIOD_BROKER_VALUE","DEEP_MEASURE_ID_OVERRIDE",$C258,"DEEP_BROKER_ID_OVERRIDE",$F$7,"DEEP_PERIOD_OVERRIDE",AO$11)*1,"")))</f>
        <v/>
      </c>
      <c r="AP258" s="17" t="str">
        <f>IF(ISNA($B258),"",IF($B258="","",IFERROR(_xll.BDP(TICKER,"DEEP_MEASURE_PERIOD_BROKER_VALUE","DEEP_MEASURE_ID_OVERRIDE",$C258,"DEEP_BROKER_ID_OVERRIDE",$F$7,"DEEP_PERIOD_OVERRIDE",AP$11)*1,"")))</f>
        <v/>
      </c>
      <c r="AQ258" s="17" t="str">
        <f>IF(ISNA($B258),"",IF($B258="","",IFERROR(_xll.BDP(TICKER,"DEEP_MEASURE_PERIOD_BROKER_VALUE","DEEP_MEASURE_ID_OVERRIDE",$C258,"DEEP_BROKER_ID_OVERRIDE",$F$7,"DEEP_PERIOD_OVERRIDE",AQ$11)*1,"")))</f>
        <v/>
      </c>
    </row>
    <row r="259" spans="8:43" x14ac:dyDescent="0.25">
      <c r="H259" t="str">
        <f t="shared" si="5"/>
        <v/>
      </c>
      <c r="I259" s="17" t="str">
        <f>IF(ISNA($B259),"",IF($B259="","",IFERROR(_xll.BDP(TICKER,"DEEP_MEASURE_PERIOD_BROKER_VALUE","DEEP_MEASURE_ID_OVERRIDE",$C259,"DEEP_BROKER_ID_OVERRIDE",$F$7,"DEEP_PERIOD_OVERRIDE",I$11)*1,"")))</f>
        <v/>
      </c>
      <c r="J259" s="17" t="str">
        <f>IF(ISNA($B259),"",IF($B259="","",IFERROR(_xll.BDP(TICKER,"DEEP_MEASURE_PERIOD_BROKER_VALUE","DEEP_MEASURE_ID_OVERRIDE",$C259,"DEEP_BROKER_ID_OVERRIDE",$F$7,"DEEP_PERIOD_OVERRIDE",J$11)*1,"")))</f>
        <v/>
      </c>
      <c r="K259" s="17" t="str">
        <f>IF(ISNA($B259),"",IF($B259="","",IFERROR(_xll.BDP(TICKER,"DEEP_MEASURE_PERIOD_BROKER_VALUE","DEEP_MEASURE_ID_OVERRIDE",$C259,"DEEP_BROKER_ID_OVERRIDE",$F$7,"DEEP_PERIOD_OVERRIDE",K$11)*1,"")))</f>
        <v/>
      </c>
      <c r="L259" s="17" t="str">
        <f>IF(ISNA($B259),"",IF($B259="","",IFERROR(_xll.BDP(TICKER,"DEEP_MEASURE_PERIOD_BROKER_VALUE","DEEP_MEASURE_ID_OVERRIDE",$C259,"DEEP_BROKER_ID_OVERRIDE",$F$7,"DEEP_PERIOD_OVERRIDE",L$11)*1,"")))</f>
        <v/>
      </c>
      <c r="M259" s="17" t="str">
        <f>IF(ISNA($B259),"",IF($B259="","",IFERROR(_xll.BDP(TICKER,"DEEP_MEASURE_PERIOD_BROKER_VALUE","DEEP_MEASURE_ID_OVERRIDE",$C259,"DEEP_BROKER_ID_OVERRIDE",$F$7,"DEEP_PERIOD_OVERRIDE",M$11)*1,"")))</f>
        <v/>
      </c>
      <c r="N259" s="17" t="str">
        <f>IF(ISNA($B259),"",IF($B259="","",IFERROR(_xll.BDP(TICKER,"DEEP_MEASURE_PERIOD_BROKER_VALUE","DEEP_MEASURE_ID_OVERRIDE",$C259,"DEEP_BROKER_ID_OVERRIDE",$F$7,"DEEP_PERIOD_OVERRIDE",N$11)*1,"")))</f>
        <v/>
      </c>
      <c r="O259" s="17" t="str">
        <f>IF(ISNA($B259),"",IF($B259="","",IFERROR(_xll.BDP(TICKER,"DEEP_MEASURE_PERIOD_BROKER_VALUE","DEEP_MEASURE_ID_OVERRIDE",$C259,"DEEP_BROKER_ID_OVERRIDE",$F$7,"DEEP_PERIOD_OVERRIDE",O$11)*1,"")))</f>
        <v/>
      </c>
      <c r="P259" s="17" t="str">
        <f>IF(ISNA($B259),"",IF($B259="","",IFERROR(_xll.BDP(TICKER,"DEEP_MEASURE_PERIOD_BROKER_VALUE","DEEP_MEASURE_ID_OVERRIDE",$C259,"DEEP_BROKER_ID_OVERRIDE",$F$7,"DEEP_PERIOD_OVERRIDE",P$11)*1,"")))</f>
        <v/>
      </c>
      <c r="Q259" s="17" t="str">
        <f>IF(ISNA($B259),"",IF($B259="","",IFERROR(_xll.BDP(TICKER,"DEEP_MEASURE_PERIOD_BROKER_VALUE","DEEP_MEASURE_ID_OVERRIDE",$C259,"DEEP_BROKER_ID_OVERRIDE",$F$7,"DEEP_PERIOD_OVERRIDE",Q$11)*1,"")))</f>
        <v/>
      </c>
      <c r="R259" s="17" t="str">
        <f>IF(ISNA($B259),"",IF($B259="","",IFERROR(_xll.BDP(TICKER,"DEEP_MEASURE_PERIOD_BROKER_VALUE","DEEP_MEASURE_ID_OVERRIDE",$C259,"DEEP_BROKER_ID_OVERRIDE",$F$7,"DEEP_PERIOD_OVERRIDE",R$11)*1,"")))</f>
        <v/>
      </c>
      <c r="S259" s="17" t="str">
        <f>IF(ISNA($B259),"",IF($B259="","",IFERROR(_xll.BDP(TICKER,"DEEP_MEASURE_PERIOD_BROKER_VALUE","DEEP_MEASURE_ID_OVERRIDE",$C259,"DEEP_BROKER_ID_OVERRIDE",$F$7,"DEEP_PERIOD_OVERRIDE",S$11)*1,"")))</f>
        <v/>
      </c>
      <c r="T259" s="17" t="str">
        <f>IF(ISNA($B259),"",IF($B259="","",IFERROR(_xll.BDP(TICKER,"DEEP_MEASURE_PERIOD_BROKER_VALUE","DEEP_MEASURE_ID_OVERRIDE",$C259,"DEEP_BROKER_ID_OVERRIDE",$F$7,"DEEP_PERIOD_OVERRIDE",T$11)*1,"")))</f>
        <v/>
      </c>
      <c r="U259" s="17" t="str">
        <f>IF(ISNA($B259),"",IF($B259="","",IFERROR(_xll.BDP(TICKER,"DEEP_MEASURE_PERIOD_BROKER_VALUE","DEEP_MEASURE_ID_OVERRIDE",$C259,"DEEP_BROKER_ID_OVERRIDE",$F$7,"DEEP_PERIOD_OVERRIDE",U$11)*1,"")))</f>
        <v/>
      </c>
      <c r="V259" s="17" t="str">
        <f>IF(ISNA($B259),"",IF($B259="","",IFERROR(_xll.BDP(TICKER,"DEEP_MEASURE_PERIOD_BROKER_VALUE","DEEP_MEASURE_ID_OVERRIDE",$C259,"DEEP_BROKER_ID_OVERRIDE",$F$7,"DEEP_PERIOD_OVERRIDE",V$11)*1,"")))</f>
        <v/>
      </c>
      <c r="W259" s="17" t="str">
        <f>IF(ISNA($B259),"",IF($B259="","",IFERROR(_xll.BDP(TICKER,"DEEP_MEASURE_PERIOD_BROKER_VALUE","DEEP_MEASURE_ID_OVERRIDE",$C259,"DEEP_BROKER_ID_OVERRIDE",$F$7,"DEEP_PERIOD_OVERRIDE",W$11)*1,"")))</f>
        <v/>
      </c>
      <c r="X259" s="17" t="str">
        <f>IF(ISNA($B259),"",IF($B259="","",IFERROR(_xll.BDP(TICKER,"DEEP_MEASURE_PERIOD_BROKER_VALUE","DEEP_MEASURE_ID_OVERRIDE",$C259,"DEEP_BROKER_ID_OVERRIDE",$F$7,"DEEP_PERIOD_OVERRIDE",X$11)*1,"")))</f>
        <v/>
      </c>
      <c r="Y259" s="17" t="str">
        <f>IF(ISNA($B259),"",IF($B259="","",IFERROR(_xll.BDP(TICKER,"DEEP_MEASURE_PERIOD_BROKER_VALUE","DEEP_MEASURE_ID_OVERRIDE",$C259,"DEEP_BROKER_ID_OVERRIDE",$F$7,"DEEP_PERIOD_OVERRIDE",Y$11)*1,"")))</f>
        <v/>
      </c>
      <c r="Z259" s="17" t="str">
        <f>IF(ISNA($B259),"",IF($B259="","",IFERROR(_xll.BDP(TICKER,"DEEP_MEASURE_PERIOD_BROKER_VALUE","DEEP_MEASURE_ID_OVERRIDE",$C259,"DEEP_BROKER_ID_OVERRIDE",$F$7,"DEEP_PERIOD_OVERRIDE",Z$11)*1,"")))</f>
        <v/>
      </c>
      <c r="AA259" s="17" t="str">
        <f>IF(ISNA($B259),"",IF($B259="","",IFERROR(_xll.BDP(TICKER,"DEEP_MEASURE_PERIOD_BROKER_VALUE","DEEP_MEASURE_ID_OVERRIDE",$C259,"DEEP_BROKER_ID_OVERRIDE",$F$7,"DEEP_PERIOD_OVERRIDE",AA$11)*1,"")))</f>
        <v/>
      </c>
      <c r="AB259" s="17" t="str">
        <f>IF(ISNA($B259),"",IF($B259="","",IFERROR(_xll.BDP(TICKER,"DEEP_MEASURE_PERIOD_BROKER_VALUE","DEEP_MEASURE_ID_OVERRIDE",$C259,"DEEP_BROKER_ID_OVERRIDE",$F$7,"DEEP_PERIOD_OVERRIDE",AB$11)*1,"")))</f>
        <v/>
      </c>
      <c r="AC259" s="17" t="str">
        <f>IF(ISNA($B259),"",IF($B259="","",IFERROR(_xll.BDP(TICKER,"DEEP_MEASURE_PERIOD_BROKER_VALUE","DEEP_MEASURE_ID_OVERRIDE",$C259,"DEEP_BROKER_ID_OVERRIDE",$F$7,"DEEP_PERIOD_OVERRIDE",AC$11)*1,"")))</f>
        <v/>
      </c>
      <c r="AD259" s="17" t="str">
        <f>IF(ISNA($B259),"",IF($B259="","",IFERROR(_xll.BDP(TICKER,"DEEP_MEASURE_PERIOD_BROKER_VALUE","DEEP_MEASURE_ID_OVERRIDE",$C259,"DEEP_BROKER_ID_OVERRIDE",$F$7,"DEEP_PERIOD_OVERRIDE",AD$11)*1,"")))</f>
        <v/>
      </c>
      <c r="AE259" s="17" t="str">
        <f>IF(ISNA($B259),"",IF($B259="","",IFERROR(_xll.BDP(TICKER,"DEEP_MEASURE_PERIOD_BROKER_VALUE","DEEP_MEASURE_ID_OVERRIDE",$C259,"DEEP_BROKER_ID_OVERRIDE",$F$7,"DEEP_PERIOD_OVERRIDE",AE$11)*1,"")))</f>
        <v/>
      </c>
      <c r="AF259" s="17" t="str">
        <f>IF(ISNA($B259),"",IF($B259="","",IFERROR(_xll.BDP(TICKER,"DEEP_MEASURE_PERIOD_BROKER_VALUE","DEEP_MEASURE_ID_OVERRIDE",$C259,"DEEP_BROKER_ID_OVERRIDE",$F$7,"DEEP_PERIOD_OVERRIDE",AF$11)*1,"")))</f>
        <v/>
      </c>
      <c r="AG259" s="17" t="str">
        <f>IF(ISNA($B259),"",IF($B259="","",IFERROR(_xll.BDP(TICKER,"DEEP_MEASURE_PERIOD_BROKER_VALUE","DEEP_MEASURE_ID_OVERRIDE",$C259,"DEEP_BROKER_ID_OVERRIDE",$F$7,"DEEP_PERIOD_OVERRIDE",AG$11)*1,"")))</f>
        <v/>
      </c>
      <c r="AH259" s="17" t="str">
        <f>IF(ISNA($B259),"",IF($B259="","",IFERROR(_xll.BDP(TICKER,"DEEP_MEASURE_PERIOD_BROKER_VALUE","DEEP_MEASURE_ID_OVERRIDE",$C259,"DEEP_BROKER_ID_OVERRIDE",$F$7,"DEEP_PERIOD_OVERRIDE",AH$11)*1,"")))</f>
        <v/>
      </c>
      <c r="AI259" s="17" t="str">
        <f>IF(ISNA($B259),"",IF($B259="","",IFERROR(_xll.BDP(TICKER,"DEEP_MEASURE_PERIOD_BROKER_VALUE","DEEP_MEASURE_ID_OVERRIDE",$C259,"DEEP_BROKER_ID_OVERRIDE",$F$7,"DEEP_PERIOD_OVERRIDE",AI$11)*1,"")))</f>
        <v/>
      </c>
      <c r="AJ259" s="17" t="str">
        <f>IF(ISNA($B259),"",IF($B259="","",IFERROR(_xll.BDP(TICKER,"DEEP_MEASURE_PERIOD_BROKER_VALUE","DEEP_MEASURE_ID_OVERRIDE",$C259,"DEEP_BROKER_ID_OVERRIDE",$F$7,"DEEP_PERIOD_OVERRIDE",AJ$11)*1,"")))</f>
        <v/>
      </c>
      <c r="AK259" s="17" t="str">
        <f>IF(ISNA($B259),"",IF($B259="","",IFERROR(_xll.BDP(TICKER,"DEEP_MEASURE_PERIOD_BROKER_VALUE","DEEP_MEASURE_ID_OVERRIDE",$C259,"DEEP_BROKER_ID_OVERRIDE",$F$7,"DEEP_PERIOD_OVERRIDE",AK$11)*1,"")))</f>
        <v/>
      </c>
      <c r="AL259" s="17" t="str">
        <f>IF(ISNA($B259),"",IF($B259="","",IFERROR(_xll.BDP(TICKER,"DEEP_MEASURE_PERIOD_BROKER_VALUE","DEEP_MEASURE_ID_OVERRIDE",$C259,"DEEP_BROKER_ID_OVERRIDE",$F$7,"DEEP_PERIOD_OVERRIDE",AL$11)*1,"")))</f>
        <v/>
      </c>
      <c r="AM259" s="17" t="str">
        <f>IF(ISNA($B259),"",IF($B259="","",IFERROR(_xll.BDP(TICKER,"DEEP_MEASURE_PERIOD_BROKER_VALUE","DEEP_MEASURE_ID_OVERRIDE",$C259,"DEEP_BROKER_ID_OVERRIDE",$F$7,"DEEP_PERIOD_OVERRIDE",AM$11)*1,"")))</f>
        <v/>
      </c>
      <c r="AN259" s="17" t="str">
        <f>IF(ISNA($B259),"",IF($B259="","",IFERROR(_xll.BDP(TICKER,"DEEP_MEASURE_PERIOD_BROKER_VALUE","DEEP_MEASURE_ID_OVERRIDE",$C259,"DEEP_BROKER_ID_OVERRIDE",$F$7,"DEEP_PERIOD_OVERRIDE",AN$11)*1,"")))</f>
        <v/>
      </c>
      <c r="AO259" s="17" t="str">
        <f>IF(ISNA($B259),"",IF($B259="","",IFERROR(_xll.BDP(TICKER,"DEEP_MEASURE_PERIOD_BROKER_VALUE","DEEP_MEASURE_ID_OVERRIDE",$C259,"DEEP_BROKER_ID_OVERRIDE",$F$7,"DEEP_PERIOD_OVERRIDE",AO$11)*1,"")))</f>
        <v/>
      </c>
      <c r="AP259" s="17" t="str">
        <f>IF(ISNA($B259),"",IF($B259="","",IFERROR(_xll.BDP(TICKER,"DEEP_MEASURE_PERIOD_BROKER_VALUE","DEEP_MEASURE_ID_OVERRIDE",$C259,"DEEP_BROKER_ID_OVERRIDE",$F$7,"DEEP_PERIOD_OVERRIDE",AP$11)*1,"")))</f>
        <v/>
      </c>
      <c r="AQ259" s="17" t="str">
        <f>IF(ISNA($B259),"",IF($B259="","",IFERROR(_xll.BDP(TICKER,"DEEP_MEASURE_PERIOD_BROKER_VALUE","DEEP_MEASURE_ID_OVERRIDE",$C259,"DEEP_BROKER_ID_OVERRIDE",$F$7,"DEEP_PERIOD_OVERRIDE",AQ$11)*1,"")))</f>
        <v/>
      </c>
    </row>
    <row r="260" spans="8:43" x14ac:dyDescent="0.25">
      <c r="H260" t="str">
        <f t="shared" si="5"/>
        <v/>
      </c>
      <c r="I260" s="17" t="str">
        <f>IF(ISNA($B260),"",IF($B260="","",IFERROR(_xll.BDP(TICKER,"DEEP_MEASURE_PERIOD_BROKER_VALUE","DEEP_MEASURE_ID_OVERRIDE",$C260,"DEEP_BROKER_ID_OVERRIDE",$F$7,"DEEP_PERIOD_OVERRIDE",I$11)*1,"")))</f>
        <v/>
      </c>
      <c r="J260" s="17" t="str">
        <f>IF(ISNA($B260),"",IF($B260="","",IFERROR(_xll.BDP(TICKER,"DEEP_MEASURE_PERIOD_BROKER_VALUE","DEEP_MEASURE_ID_OVERRIDE",$C260,"DEEP_BROKER_ID_OVERRIDE",$F$7,"DEEP_PERIOD_OVERRIDE",J$11)*1,"")))</f>
        <v/>
      </c>
      <c r="K260" s="17" t="str">
        <f>IF(ISNA($B260),"",IF($B260="","",IFERROR(_xll.BDP(TICKER,"DEEP_MEASURE_PERIOD_BROKER_VALUE","DEEP_MEASURE_ID_OVERRIDE",$C260,"DEEP_BROKER_ID_OVERRIDE",$F$7,"DEEP_PERIOD_OVERRIDE",K$11)*1,"")))</f>
        <v/>
      </c>
      <c r="L260" s="17" t="str">
        <f>IF(ISNA($B260),"",IF($B260="","",IFERROR(_xll.BDP(TICKER,"DEEP_MEASURE_PERIOD_BROKER_VALUE","DEEP_MEASURE_ID_OVERRIDE",$C260,"DEEP_BROKER_ID_OVERRIDE",$F$7,"DEEP_PERIOD_OVERRIDE",L$11)*1,"")))</f>
        <v/>
      </c>
      <c r="M260" s="17" t="str">
        <f>IF(ISNA($B260),"",IF($B260="","",IFERROR(_xll.BDP(TICKER,"DEEP_MEASURE_PERIOD_BROKER_VALUE","DEEP_MEASURE_ID_OVERRIDE",$C260,"DEEP_BROKER_ID_OVERRIDE",$F$7,"DEEP_PERIOD_OVERRIDE",M$11)*1,"")))</f>
        <v/>
      </c>
      <c r="N260" s="17" t="str">
        <f>IF(ISNA($B260),"",IF($B260="","",IFERROR(_xll.BDP(TICKER,"DEEP_MEASURE_PERIOD_BROKER_VALUE","DEEP_MEASURE_ID_OVERRIDE",$C260,"DEEP_BROKER_ID_OVERRIDE",$F$7,"DEEP_PERIOD_OVERRIDE",N$11)*1,"")))</f>
        <v/>
      </c>
      <c r="O260" s="17" t="str">
        <f>IF(ISNA($B260),"",IF($B260="","",IFERROR(_xll.BDP(TICKER,"DEEP_MEASURE_PERIOD_BROKER_VALUE","DEEP_MEASURE_ID_OVERRIDE",$C260,"DEEP_BROKER_ID_OVERRIDE",$F$7,"DEEP_PERIOD_OVERRIDE",O$11)*1,"")))</f>
        <v/>
      </c>
      <c r="P260" s="17" t="str">
        <f>IF(ISNA($B260),"",IF($B260="","",IFERROR(_xll.BDP(TICKER,"DEEP_MEASURE_PERIOD_BROKER_VALUE","DEEP_MEASURE_ID_OVERRIDE",$C260,"DEEP_BROKER_ID_OVERRIDE",$F$7,"DEEP_PERIOD_OVERRIDE",P$11)*1,"")))</f>
        <v/>
      </c>
      <c r="Q260" s="17" t="str">
        <f>IF(ISNA($B260),"",IF($B260="","",IFERROR(_xll.BDP(TICKER,"DEEP_MEASURE_PERIOD_BROKER_VALUE","DEEP_MEASURE_ID_OVERRIDE",$C260,"DEEP_BROKER_ID_OVERRIDE",$F$7,"DEEP_PERIOD_OVERRIDE",Q$11)*1,"")))</f>
        <v/>
      </c>
      <c r="R260" s="17" t="str">
        <f>IF(ISNA($B260),"",IF($B260="","",IFERROR(_xll.BDP(TICKER,"DEEP_MEASURE_PERIOD_BROKER_VALUE","DEEP_MEASURE_ID_OVERRIDE",$C260,"DEEP_BROKER_ID_OVERRIDE",$F$7,"DEEP_PERIOD_OVERRIDE",R$11)*1,"")))</f>
        <v/>
      </c>
      <c r="S260" s="17" t="str">
        <f>IF(ISNA($B260),"",IF($B260="","",IFERROR(_xll.BDP(TICKER,"DEEP_MEASURE_PERIOD_BROKER_VALUE","DEEP_MEASURE_ID_OVERRIDE",$C260,"DEEP_BROKER_ID_OVERRIDE",$F$7,"DEEP_PERIOD_OVERRIDE",S$11)*1,"")))</f>
        <v/>
      </c>
      <c r="T260" s="17" t="str">
        <f>IF(ISNA($B260),"",IF($B260="","",IFERROR(_xll.BDP(TICKER,"DEEP_MEASURE_PERIOD_BROKER_VALUE","DEEP_MEASURE_ID_OVERRIDE",$C260,"DEEP_BROKER_ID_OVERRIDE",$F$7,"DEEP_PERIOD_OVERRIDE",T$11)*1,"")))</f>
        <v/>
      </c>
      <c r="U260" s="17" t="str">
        <f>IF(ISNA($B260),"",IF($B260="","",IFERROR(_xll.BDP(TICKER,"DEEP_MEASURE_PERIOD_BROKER_VALUE","DEEP_MEASURE_ID_OVERRIDE",$C260,"DEEP_BROKER_ID_OVERRIDE",$F$7,"DEEP_PERIOD_OVERRIDE",U$11)*1,"")))</f>
        <v/>
      </c>
      <c r="V260" s="17" t="str">
        <f>IF(ISNA($B260),"",IF($B260="","",IFERROR(_xll.BDP(TICKER,"DEEP_MEASURE_PERIOD_BROKER_VALUE","DEEP_MEASURE_ID_OVERRIDE",$C260,"DEEP_BROKER_ID_OVERRIDE",$F$7,"DEEP_PERIOD_OVERRIDE",V$11)*1,"")))</f>
        <v/>
      </c>
      <c r="W260" s="17" t="str">
        <f>IF(ISNA($B260),"",IF($B260="","",IFERROR(_xll.BDP(TICKER,"DEEP_MEASURE_PERIOD_BROKER_VALUE","DEEP_MEASURE_ID_OVERRIDE",$C260,"DEEP_BROKER_ID_OVERRIDE",$F$7,"DEEP_PERIOD_OVERRIDE",W$11)*1,"")))</f>
        <v/>
      </c>
      <c r="X260" s="17" t="str">
        <f>IF(ISNA($B260),"",IF($B260="","",IFERROR(_xll.BDP(TICKER,"DEEP_MEASURE_PERIOD_BROKER_VALUE","DEEP_MEASURE_ID_OVERRIDE",$C260,"DEEP_BROKER_ID_OVERRIDE",$F$7,"DEEP_PERIOD_OVERRIDE",X$11)*1,"")))</f>
        <v/>
      </c>
      <c r="Y260" s="17" t="str">
        <f>IF(ISNA($B260),"",IF($B260="","",IFERROR(_xll.BDP(TICKER,"DEEP_MEASURE_PERIOD_BROKER_VALUE","DEEP_MEASURE_ID_OVERRIDE",$C260,"DEEP_BROKER_ID_OVERRIDE",$F$7,"DEEP_PERIOD_OVERRIDE",Y$11)*1,"")))</f>
        <v/>
      </c>
      <c r="Z260" s="17" t="str">
        <f>IF(ISNA($B260),"",IF($B260="","",IFERROR(_xll.BDP(TICKER,"DEEP_MEASURE_PERIOD_BROKER_VALUE","DEEP_MEASURE_ID_OVERRIDE",$C260,"DEEP_BROKER_ID_OVERRIDE",$F$7,"DEEP_PERIOD_OVERRIDE",Z$11)*1,"")))</f>
        <v/>
      </c>
      <c r="AA260" s="17" t="str">
        <f>IF(ISNA($B260),"",IF($B260="","",IFERROR(_xll.BDP(TICKER,"DEEP_MEASURE_PERIOD_BROKER_VALUE","DEEP_MEASURE_ID_OVERRIDE",$C260,"DEEP_BROKER_ID_OVERRIDE",$F$7,"DEEP_PERIOD_OVERRIDE",AA$11)*1,"")))</f>
        <v/>
      </c>
      <c r="AB260" s="17" t="str">
        <f>IF(ISNA($B260),"",IF($B260="","",IFERROR(_xll.BDP(TICKER,"DEEP_MEASURE_PERIOD_BROKER_VALUE","DEEP_MEASURE_ID_OVERRIDE",$C260,"DEEP_BROKER_ID_OVERRIDE",$F$7,"DEEP_PERIOD_OVERRIDE",AB$11)*1,"")))</f>
        <v/>
      </c>
      <c r="AC260" s="17" t="str">
        <f>IF(ISNA($B260),"",IF($B260="","",IFERROR(_xll.BDP(TICKER,"DEEP_MEASURE_PERIOD_BROKER_VALUE","DEEP_MEASURE_ID_OVERRIDE",$C260,"DEEP_BROKER_ID_OVERRIDE",$F$7,"DEEP_PERIOD_OVERRIDE",AC$11)*1,"")))</f>
        <v/>
      </c>
      <c r="AD260" s="17" t="str">
        <f>IF(ISNA($B260),"",IF($B260="","",IFERROR(_xll.BDP(TICKER,"DEEP_MEASURE_PERIOD_BROKER_VALUE","DEEP_MEASURE_ID_OVERRIDE",$C260,"DEEP_BROKER_ID_OVERRIDE",$F$7,"DEEP_PERIOD_OVERRIDE",AD$11)*1,"")))</f>
        <v/>
      </c>
      <c r="AE260" s="17" t="str">
        <f>IF(ISNA($B260),"",IF($B260="","",IFERROR(_xll.BDP(TICKER,"DEEP_MEASURE_PERIOD_BROKER_VALUE","DEEP_MEASURE_ID_OVERRIDE",$C260,"DEEP_BROKER_ID_OVERRIDE",$F$7,"DEEP_PERIOD_OVERRIDE",AE$11)*1,"")))</f>
        <v/>
      </c>
      <c r="AF260" s="17" t="str">
        <f>IF(ISNA($B260),"",IF($B260="","",IFERROR(_xll.BDP(TICKER,"DEEP_MEASURE_PERIOD_BROKER_VALUE","DEEP_MEASURE_ID_OVERRIDE",$C260,"DEEP_BROKER_ID_OVERRIDE",$F$7,"DEEP_PERIOD_OVERRIDE",AF$11)*1,"")))</f>
        <v/>
      </c>
      <c r="AG260" s="17" t="str">
        <f>IF(ISNA($B260),"",IF($B260="","",IFERROR(_xll.BDP(TICKER,"DEEP_MEASURE_PERIOD_BROKER_VALUE","DEEP_MEASURE_ID_OVERRIDE",$C260,"DEEP_BROKER_ID_OVERRIDE",$F$7,"DEEP_PERIOD_OVERRIDE",AG$11)*1,"")))</f>
        <v/>
      </c>
      <c r="AH260" s="17" t="str">
        <f>IF(ISNA($B260),"",IF($B260="","",IFERROR(_xll.BDP(TICKER,"DEEP_MEASURE_PERIOD_BROKER_VALUE","DEEP_MEASURE_ID_OVERRIDE",$C260,"DEEP_BROKER_ID_OVERRIDE",$F$7,"DEEP_PERIOD_OVERRIDE",AH$11)*1,"")))</f>
        <v/>
      </c>
      <c r="AI260" s="17" t="str">
        <f>IF(ISNA($B260),"",IF($B260="","",IFERROR(_xll.BDP(TICKER,"DEEP_MEASURE_PERIOD_BROKER_VALUE","DEEP_MEASURE_ID_OVERRIDE",$C260,"DEEP_BROKER_ID_OVERRIDE",$F$7,"DEEP_PERIOD_OVERRIDE",AI$11)*1,"")))</f>
        <v/>
      </c>
      <c r="AJ260" s="17" t="str">
        <f>IF(ISNA($B260),"",IF($B260="","",IFERROR(_xll.BDP(TICKER,"DEEP_MEASURE_PERIOD_BROKER_VALUE","DEEP_MEASURE_ID_OVERRIDE",$C260,"DEEP_BROKER_ID_OVERRIDE",$F$7,"DEEP_PERIOD_OVERRIDE",AJ$11)*1,"")))</f>
        <v/>
      </c>
      <c r="AK260" s="17" t="str">
        <f>IF(ISNA($B260),"",IF($B260="","",IFERROR(_xll.BDP(TICKER,"DEEP_MEASURE_PERIOD_BROKER_VALUE","DEEP_MEASURE_ID_OVERRIDE",$C260,"DEEP_BROKER_ID_OVERRIDE",$F$7,"DEEP_PERIOD_OVERRIDE",AK$11)*1,"")))</f>
        <v/>
      </c>
      <c r="AL260" s="17" t="str">
        <f>IF(ISNA($B260),"",IF($B260="","",IFERROR(_xll.BDP(TICKER,"DEEP_MEASURE_PERIOD_BROKER_VALUE","DEEP_MEASURE_ID_OVERRIDE",$C260,"DEEP_BROKER_ID_OVERRIDE",$F$7,"DEEP_PERIOD_OVERRIDE",AL$11)*1,"")))</f>
        <v/>
      </c>
      <c r="AM260" s="17" t="str">
        <f>IF(ISNA($B260),"",IF($B260="","",IFERROR(_xll.BDP(TICKER,"DEEP_MEASURE_PERIOD_BROKER_VALUE","DEEP_MEASURE_ID_OVERRIDE",$C260,"DEEP_BROKER_ID_OVERRIDE",$F$7,"DEEP_PERIOD_OVERRIDE",AM$11)*1,"")))</f>
        <v/>
      </c>
      <c r="AN260" s="17" t="str">
        <f>IF(ISNA($B260),"",IF($B260="","",IFERROR(_xll.BDP(TICKER,"DEEP_MEASURE_PERIOD_BROKER_VALUE","DEEP_MEASURE_ID_OVERRIDE",$C260,"DEEP_BROKER_ID_OVERRIDE",$F$7,"DEEP_PERIOD_OVERRIDE",AN$11)*1,"")))</f>
        <v/>
      </c>
      <c r="AO260" s="17" t="str">
        <f>IF(ISNA($B260),"",IF($B260="","",IFERROR(_xll.BDP(TICKER,"DEEP_MEASURE_PERIOD_BROKER_VALUE","DEEP_MEASURE_ID_OVERRIDE",$C260,"DEEP_BROKER_ID_OVERRIDE",$F$7,"DEEP_PERIOD_OVERRIDE",AO$11)*1,"")))</f>
        <v/>
      </c>
      <c r="AP260" s="17" t="str">
        <f>IF(ISNA($B260),"",IF($B260="","",IFERROR(_xll.BDP(TICKER,"DEEP_MEASURE_PERIOD_BROKER_VALUE","DEEP_MEASURE_ID_OVERRIDE",$C260,"DEEP_BROKER_ID_OVERRIDE",$F$7,"DEEP_PERIOD_OVERRIDE",AP$11)*1,"")))</f>
        <v/>
      </c>
      <c r="AQ260" s="17" t="str">
        <f>IF(ISNA($B260),"",IF($B260="","",IFERROR(_xll.BDP(TICKER,"DEEP_MEASURE_PERIOD_BROKER_VALUE","DEEP_MEASURE_ID_OVERRIDE",$C260,"DEEP_BROKER_ID_OVERRIDE",$F$7,"DEEP_PERIOD_OVERRIDE",AQ$11)*1,"")))</f>
        <v/>
      </c>
    </row>
    <row r="261" spans="8:43" x14ac:dyDescent="0.25">
      <c r="H261" t="str">
        <f t="shared" si="5"/>
        <v/>
      </c>
      <c r="I261" s="17" t="str">
        <f>IF(ISNA($B261),"",IF($B261="","",IFERROR(_xll.BDP(TICKER,"DEEP_MEASURE_PERIOD_BROKER_VALUE","DEEP_MEASURE_ID_OVERRIDE",$C261,"DEEP_BROKER_ID_OVERRIDE",$F$7,"DEEP_PERIOD_OVERRIDE",I$11)*1,"")))</f>
        <v/>
      </c>
      <c r="J261" s="17" t="str">
        <f>IF(ISNA($B261),"",IF($B261="","",IFERROR(_xll.BDP(TICKER,"DEEP_MEASURE_PERIOD_BROKER_VALUE","DEEP_MEASURE_ID_OVERRIDE",$C261,"DEEP_BROKER_ID_OVERRIDE",$F$7,"DEEP_PERIOD_OVERRIDE",J$11)*1,"")))</f>
        <v/>
      </c>
      <c r="K261" s="17" t="str">
        <f>IF(ISNA($B261),"",IF($B261="","",IFERROR(_xll.BDP(TICKER,"DEEP_MEASURE_PERIOD_BROKER_VALUE","DEEP_MEASURE_ID_OVERRIDE",$C261,"DEEP_BROKER_ID_OVERRIDE",$F$7,"DEEP_PERIOD_OVERRIDE",K$11)*1,"")))</f>
        <v/>
      </c>
      <c r="L261" s="17" t="str">
        <f>IF(ISNA($B261),"",IF($B261="","",IFERROR(_xll.BDP(TICKER,"DEEP_MEASURE_PERIOD_BROKER_VALUE","DEEP_MEASURE_ID_OVERRIDE",$C261,"DEEP_BROKER_ID_OVERRIDE",$F$7,"DEEP_PERIOD_OVERRIDE",L$11)*1,"")))</f>
        <v/>
      </c>
      <c r="M261" s="17" t="str">
        <f>IF(ISNA($B261),"",IF($B261="","",IFERROR(_xll.BDP(TICKER,"DEEP_MEASURE_PERIOD_BROKER_VALUE","DEEP_MEASURE_ID_OVERRIDE",$C261,"DEEP_BROKER_ID_OVERRIDE",$F$7,"DEEP_PERIOD_OVERRIDE",M$11)*1,"")))</f>
        <v/>
      </c>
      <c r="N261" s="17" t="str">
        <f>IF(ISNA($B261),"",IF($B261="","",IFERROR(_xll.BDP(TICKER,"DEEP_MEASURE_PERIOD_BROKER_VALUE","DEEP_MEASURE_ID_OVERRIDE",$C261,"DEEP_BROKER_ID_OVERRIDE",$F$7,"DEEP_PERIOD_OVERRIDE",N$11)*1,"")))</f>
        <v/>
      </c>
      <c r="O261" s="17" t="str">
        <f>IF(ISNA($B261),"",IF($B261="","",IFERROR(_xll.BDP(TICKER,"DEEP_MEASURE_PERIOD_BROKER_VALUE","DEEP_MEASURE_ID_OVERRIDE",$C261,"DEEP_BROKER_ID_OVERRIDE",$F$7,"DEEP_PERIOD_OVERRIDE",O$11)*1,"")))</f>
        <v/>
      </c>
      <c r="P261" s="17" t="str">
        <f>IF(ISNA($B261),"",IF($B261="","",IFERROR(_xll.BDP(TICKER,"DEEP_MEASURE_PERIOD_BROKER_VALUE","DEEP_MEASURE_ID_OVERRIDE",$C261,"DEEP_BROKER_ID_OVERRIDE",$F$7,"DEEP_PERIOD_OVERRIDE",P$11)*1,"")))</f>
        <v/>
      </c>
      <c r="Q261" s="17" t="str">
        <f>IF(ISNA($B261),"",IF($B261="","",IFERROR(_xll.BDP(TICKER,"DEEP_MEASURE_PERIOD_BROKER_VALUE","DEEP_MEASURE_ID_OVERRIDE",$C261,"DEEP_BROKER_ID_OVERRIDE",$F$7,"DEEP_PERIOD_OVERRIDE",Q$11)*1,"")))</f>
        <v/>
      </c>
      <c r="R261" s="17" t="str">
        <f>IF(ISNA($B261),"",IF($B261="","",IFERROR(_xll.BDP(TICKER,"DEEP_MEASURE_PERIOD_BROKER_VALUE","DEEP_MEASURE_ID_OVERRIDE",$C261,"DEEP_BROKER_ID_OVERRIDE",$F$7,"DEEP_PERIOD_OVERRIDE",R$11)*1,"")))</f>
        <v/>
      </c>
      <c r="S261" s="17" t="str">
        <f>IF(ISNA($B261),"",IF($B261="","",IFERROR(_xll.BDP(TICKER,"DEEP_MEASURE_PERIOD_BROKER_VALUE","DEEP_MEASURE_ID_OVERRIDE",$C261,"DEEP_BROKER_ID_OVERRIDE",$F$7,"DEEP_PERIOD_OVERRIDE",S$11)*1,"")))</f>
        <v/>
      </c>
      <c r="T261" s="17" t="str">
        <f>IF(ISNA($B261),"",IF($B261="","",IFERROR(_xll.BDP(TICKER,"DEEP_MEASURE_PERIOD_BROKER_VALUE","DEEP_MEASURE_ID_OVERRIDE",$C261,"DEEP_BROKER_ID_OVERRIDE",$F$7,"DEEP_PERIOD_OVERRIDE",T$11)*1,"")))</f>
        <v/>
      </c>
      <c r="U261" s="17" t="str">
        <f>IF(ISNA($B261),"",IF($B261="","",IFERROR(_xll.BDP(TICKER,"DEEP_MEASURE_PERIOD_BROKER_VALUE","DEEP_MEASURE_ID_OVERRIDE",$C261,"DEEP_BROKER_ID_OVERRIDE",$F$7,"DEEP_PERIOD_OVERRIDE",U$11)*1,"")))</f>
        <v/>
      </c>
      <c r="V261" s="17" t="str">
        <f>IF(ISNA($B261),"",IF($B261="","",IFERROR(_xll.BDP(TICKER,"DEEP_MEASURE_PERIOD_BROKER_VALUE","DEEP_MEASURE_ID_OVERRIDE",$C261,"DEEP_BROKER_ID_OVERRIDE",$F$7,"DEEP_PERIOD_OVERRIDE",V$11)*1,"")))</f>
        <v/>
      </c>
      <c r="W261" s="17" t="str">
        <f>IF(ISNA($B261),"",IF($B261="","",IFERROR(_xll.BDP(TICKER,"DEEP_MEASURE_PERIOD_BROKER_VALUE","DEEP_MEASURE_ID_OVERRIDE",$C261,"DEEP_BROKER_ID_OVERRIDE",$F$7,"DEEP_PERIOD_OVERRIDE",W$11)*1,"")))</f>
        <v/>
      </c>
      <c r="X261" s="17" t="str">
        <f>IF(ISNA($B261),"",IF($B261="","",IFERROR(_xll.BDP(TICKER,"DEEP_MEASURE_PERIOD_BROKER_VALUE","DEEP_MEASURE_ID_OVERRIDE",$C261,"DEEP_BROKER_ID_OVERRIDE",$F$7,"DEEP_PERIOD_OVERRIDE",X$11)*1,"")))</f>
        <v/>
      </c>
      <c r="Y261" s="17" t="str">
        <f>IF(ISNA($B261),"",IF($B261="","",IFERROR(_xll.BDP(TICKER,"DEEP_MEASURE_PERIOD_BROKER_VALUE","DEEP_MEASURE_ID_OVERRIDE",$C261,"DEEP_BROKER_ID_OVERRIDE",$F$7,"DEEP_PERIOD_OVERRIDE",Y$11)*1,"")))</f>
        <v/>
      </c>
      <c r="Z261" s="17" t="str">
        <f>IF(ISNA($B261),"",IF($B261="","",IFERROR(_xll.BDP(TICKER,"DEEP_MEASURE_PERIOD_BROKER_VALUE","DEEP_MEASURE_ID_OVERRIDE",$C261,"DEEP_BROKER_ID_OVERRIDE",$F$7,"DEEP_PERIOD_OVERRIDE",Z$11)*1,"")))</f>
        <v/>
      </c>
      <c r="AA261" s="17" t="str">
        <f>IF(ISNA($B261),"",IF($B261="","",IFERROR(_xll.BDP(TICKER,"DEEP_MEASURE_PERIOD_BROKER_VALUE","DEEP_MEASURE_ID_OVERRIDE",$C261,"DEEP_BROKER_ID_OVERRIDE",$F$7,"DEEP_PERIOD_OVERRIDE",AA$11)*1,"")))</f>
        <v/>
      </c>
      <c r="AB261" s="17" t="str">
        <f>IF(ISNA($B261),"",IF($B261="","",IFERROR(_xll.BDP(TICKER,"DEEP_MEASURE_PERIOD_BROKER_VALUE","DEEP_MEASURE_ID_OVERRIDE",$C261,"DEEP_BROKER_ID_OVERRIDE",$F$7,"DEEP_PERIOD_OVERRIDE",AB$11)*1,"")))</f>
        <v/>
      </c>
      <c r="AC261" s="17" t="str">
        <f>IF(ISNA($B261),"",IF($B261="","",IFERROR(_xll.BDP(TICKER,"DEEP_MEASURE_PERIOD_BROKER_VALUE","DEEP_MEASURE_ID_OVERRIDE",$C261,"DEEP_BROKER_ID_OVERRIDE",$F$7,"DEEP_PERIOD_OVERRIDE",AC$11)*1,"")))</f>
        <v/>
      </c>
      <c r="AD261" s="17" t="str">
        <f>IF(ISNA($B261),"",IF($B261="","",IFERROR(_xll.BDP(TICKER,"DEEP_MEASURE_PERIOD_BROKER_VALUE","DEEP_MEASURE_ID_OVERRIDE",$C261,"DEEP_BROKER_ID_OVERRIDE",$F$7,"DEEP_PERIOD_OVERRIDE",AD$11)*1,"")))</f>
        <v/>
      </c>
      <c r="AE261" s="17" t="str">
        <f>IF(ISNA($B261),"",IF($B261="","",IFERROR(_xll.BDP(TICKER,"DEEP_MEASURE_PERIOD_BROKER_VALUE","DEEP_MEASURE_ID_OVERRIDE",$C261,"DEEP_BROKER_ID_OVERRIDE",$F$7,"DEEP_PERIOD_OVERRIDE",AE$11)*1,"")))</f>
        <v/>
      </c>
      <c r="AF261" s="17" t="str">
        <f>IF(ISNA($B261),"",IF($B261="","",IFERROR(_xll.BDP(TICKER,"DEEP_MEASURE_PERIOD_BROKER_VALUE","DEEP_MEASURE_ID_OVERRIDE",$C261,"DEEP_BROKER_ID_OVERRIDE",$F$7,"DEEP_PERIOD_OVERRIDE",AF$11)*1,"")))</f>
        <v/>
      </c>
      <c r="AG261" s="17" t="str">
        <f>IF(ISNA($B261),"",IF($B261="","",IFERROR(_xll.BDP(TICKER,"DEEP_MEASURE_PERIOD_BROKER_VALUE","DEEP_MEASURE_ID_OVERRIDE",$C261,"DEEP_BROKER_ID_OVERRIDE",$F$7,"DEEP_PERIOD_OVERRIDE",AG$11)*1,"")))</f>
        <v/>
      </c>
      <c r="AH261" s="17" t="str">
        <f>IF(ISNA($B261),"",IF($B261="","",IFERROR(_xll.BDP(TICKER,"DEEP_MEASURE_PERIOD_BROKER_VALUE","DEEP_MEASURE_ID_OVERRIDE",$C261,"DEEP_BROKER_ID_OVERRIDE",$F$7,"DEEP_PERIOD_OVERRIDE",AH$11)*1,"")))</f>
        <v/>
      </c>
      <c r="AI261" s="17" t="str">
        <f>IF(ISNA($B261),"",IF($B261="","",IFERROR(_xll.BDP(TICKER,"DEEP_MEASURE_PERIOD_BROKER_VALUE","DEEP_MEASURE_ID_OVERRIDE",$C261,"DEEP_BROKER_ID_OVERRIDE",$F$7,"DEEP_PERIOD_OVERRIDE",AI$11)*1,"")))</f>
        <v/>
      </c>
      <c r="AJ261" s="17" t="str">
        <f>IF(ISNA($B261),"",IF($B261="","",IFERROR(_xll.BDP(TICKER,"DEEP_MEASURE_PERIOD_BROKER_VALUE","DEEP_MEASURE_ID_OVERRIDE",$C261,"DEEP_BROKER_ID_OVERRIDE",$F$7,"DEEP_PERIOD_OVERRIDE",AJ$11)*1,"")))</f>
        <v/>
      </c>
      <c r="AK261" s="17" t="str">
        <f>IF(ISNA($B261),"",IF($B261="","",IFERROR(_xll.BDP(TICKER,"DEEP_MEASURE_PERIOD_BROKER_VALUE","DEEP_MEASURE_ID_OVERRIDE",$C261,"DEEP_BROKER_ID_OVERRIDE",$F$7,"DEEP_PERIOD_OVERRIDE",AK$11)*1,"")))</f>
        <v/>
      </c>
      <c r="AL261" s="17" t="str">
        <f>IF(ISNA($B261),"",IF($B261="","",IFERROR(_xll.BDP(TICKER,"DEEP_MEASURE_PERIOD_BROKER_VALUE","DEEP_MEASURE_ID_OVERRIDE",$C261,"DEEP_BROKER_ID_OVERRIDE",$F$7,"DEEP_PERIOD_OVERRIDE",AL$11)*1,"")))</f>
        <v/>
      </c>
      <c r="AM261" s="17" t="str">
        <f>IF(ISNA($B261),"",IF($B261="","",IFERROR(_xll.BDP(TICKER,"DEEP_MEASURE_PERIOD_BROKER_VALUE","DEEP_MEASURE_ID_OVERRIDE",$C261,"DEEP_BROKER_ID_OVERRIDE",$F$7,"DEEP_PERIOD_OVERRIDE",AM$11)*1,"")))</f>
        <v/>
      </c>
      <c r="AN261" s="17" t="str">
        <f>IF(ISNA($B261),"",IF($B261="","",IFERROR(_xll.BDP(TICKER,"DEEP_MEASURE_PERIOD_BROKER_VALUE","DEEP_MEASURE_ID_OVERRIDE",$C261,"DEEP_BROKER_ID_OVERRIDE",$F$7,"DEEP_PERIOD_OVERRIDE",AN$11)*1,"")))</f>
        <v/>
      </c>
      <c r="AO261" s="17" t="str">
        <f>IF(ISNA($B261),"",IF($B261="","",IFERROR(_xll.BDP(TICKER,"DEEP_MEASURE_PERIOD_BROKER_VALUE","DEEP_MEASURE_ID_OVERRIDE",$C261,"DEEP_BROKER_ID_OVERRIDE",$F$7,"DEEP_PERIOD_OVERRIDE",AO$11)*1,"")))</f>
        <v/>
      </c>
      <c r="AP261" s="17" t="str">
        <f>IF(ISNA($B261),"",IF($B261="","",IFERROR(_xll.BDP(TICKER,"DEEP_MEASURE_PERIOD_BROKER_VALUE","DEEP_MEASURE_ID_OVERRIDE",$C261,"DEEP_BROKER_ID_OVERRIDE",$F$7,"DEEP_PERIOD_OVERRIDE",AP$11)*1,"")))</f>
        <v/>
      </c>
      <c r="AQ261" s="17" t="str">
        <f>IF(ISNA($B261),"",IF($B261="","",IFERROR(_xll.BDP(TICKER,"DEEP_MEASURE_PERIOD_BROKER_VALUE","DEEP_MEASURE_ID_OVERRIDE",$C261,"DEEP_BROKER_ID_OVERRIDE",$F$7,"DEEP_PERIOD_OVERRIDE",AQ$11)*1,"")))</f>
        <v/>
      </c>
    </row>
    <row r="262" spans="8:43" x14ac:dyDescent="0.25">
      <c r="H262" t="str">
        <f t="shared" si="5"/>
        <v/>
      </c>
      <c r="I262" s="17" t="str">
        <f>IF(ISNA($B262),"",IF($B262="","",IFERROR(_xll.BDP(TICKER,"DEEP_MEASURE_PERIOD_BROKER_VALUE","DEEP_MEASURE_ID_OVERRIDE",$C262,"DEEP_BROKER_ID_OVERRIDE",$F$7,"DEEP_PERIOD_OVERRIDE",I$11)*1,"")))</f>
        <v/>
      </c>
      <c r="J262" s="17" t="str">
        <f>IF(ISNA($B262),"",IF($B262="","",IFERROR(_xll.BDP(TICKER,"DEEP_MEASURE_PERIOD_BROKER_VALUE","DEEP_MEASURE_ID_OVERRIDE",$C262,"DEEP_BROKER_ID_OVERRIDE",$F$7,"DEEP_PERIOD_OVERRIDE",J$11)*1,"")))</f>
        <v/>
      </c>
      <c r="K262" s="17" t="str">
        <f>IF(ISNA($B262),"",IF($B262="","",IFERROR(_xll.BDP(TICKER,"DEEP_MEASURE_PERIOD_BROKER_VALUE","DEEP_MEASURE_ID_OVERRIDE",$C262,"DEEP_BROKER_ID_OVERRIDE",$F$7,"DEEP_PERIOD_OVERRIDE",K$11)*1,"")))</f>
        <v/>
      </c>
      <c r="L262" s="17" t="str">
        <f>IF(ISNA($B262),"",IF($B262="","",IFERROR(_xll.BDP(TICKER,"DEEP_MEASURE_PERIOD_BROKER_VALUE","DEEP_MEASURE_ID_OVERRIDE",$C262,"DEEP_BROKER_ID_OVERRIDE",$F$7,"DEEP_PERIOD_OVERRIDE",L$11)*1,"")))</f>
        <v/>
      </c>
      <c r="M262" s="17" t="str">
        <f>IF(ISNA($B262),"",IF($B262="","",IFERROR(_xll.BDP(TICKER,"DEEP_MEASURE_PERIOD_BROKER_VALUE","DEEP_MEASURE_ID_OVERRIDE",$C262,"DEEP_BROKER_ID_OVERRIDE",$F$7,"DEEP_PERIOD_OVERRIDE",M$11)*1,"")))</f>
        <v/>
      </c>
      <c r="N262" s="17" t="str">
        <f>IF(ISNA($B262),"",IF($B262="","",IFERROR(_xll.BDP(TICKER,"DEEP_MEASURE_PERIOD_BROKER_VALUE","DEEP_MEASURE_ID_OVERRIDE",$C262,"DEEP_BROKER_ID_OVERRIDE",$F$7,"DEEP_PERIOD_OVERRIDE",N$11)*1,"")))</f>
        <v/>
      </c>
      <c r="O262" s="17" t="str">
        <f>IF(ISNA($B262),"",IF($B262="","",IFERROR(_xll.BDP(TICKER,"DEEP_MEASURE_PERIOD_BROKER_VALUE","DEEP_MEASURE_ID_OVERRIDE",$C262,"DEEP_BROKER_ID_OVERRIDE",$F$7,"DEEP_PERIOD_OVERRIDE",O$11)*1,"")))</f>
        <v/>
      </c>
      <c r="P262" s="17" t="str">
        <f>IF(ISNA($B262),"",IF($B262="","",IFERROR(_xll.BDP(TICKER,"DEEP_MEASURE_PERIOD_BROKER_VALUE","DEEP_MEASURE_ID_OVERRIDE",$C262,"DEEP_BROKER_ID_OVERRIDE",$F$7,"DEEP_PERIOD_OVERRIDE",P$11)*1,"")))</f>
        <v/>
      </c>
      <c r="Q262" s="17" t="str">
        <f>IF(ISNA($B262),"",IF($B262="","",IFERROR(_xll.BDP(TICKER,"DEEP_MEASURE_PERIOD_BROKER_VALUE","DEEP_MEASURE_ID_OVERRIDE",$C262,"DEEP_BROKER_ID_OVERRIDE",$F$7,"DEEP_PERIOD_OVERRIDE",Q$11)*1,"")))</f>
        <v/>
      </c>
      <c r="R262" s="17" t="str">
        <f>IF(ISNA($B262),"",IF($B262="","",IFERROR(_xll.BDP(TICKER,"DEEP_MEASURE_PERIOD_BROKER_VALUE","DEEP_MEASURE_ID_OVERRIDE",$C262,"DEEP_BROKER_ID_OVERRIDE",$F$7,"DEEP_PERIOD_OVERRIDE",R$11)*1,"")))</f>
        <v/>
      </c>
      <c r="S262" s="17" t="str">
        <f>IF(ISNA($B262),"",IF($B262="","",IFERROR(_xll.BDP(TICKER,"DEEP_MEASURE_PERIOD_BROKER_VALUE","DEEP_MEASURE_ID_OVERRIDE",$C262,"DEEP_BROKER_ID_OVERRIDE",$F$7,"DEEP_PERIOD_OVERRIDE",S$11)*1,"")))</f>
        <v/>
      </c>
      <c r="T262" s="17" t="str">
        <f>IF(ISNA($B262),"",IF($B262="","",IFERROR(_xll.BDP(TICKER,"DEEP_MEASURE_PERIOD_BROKER_VALUE","DEEP_MEASURE_ID_OVERRIDE",$C262,"DEEP_BROKER_ID_OVERRIDE",$F$7,"DEEP_PERIOD_OVERRIDE",T$11)*1,"")))</f>
        <v/>
      </c>
      <c r="U262" s="17" t="str">
        <f>IF(ISNA($B262),"",IF($B262="","",IFERROR(_xll.BDP(TICKER,"DEEP_MEASURE_PERIOD_BROKER_VALUE","DEEP_MEASURE_ID_OVERRIDE",$C262,"DEEP_BROKER_ID_OVERRIDE",$F$7,"DEEP_PERIOD_OVERRIDE",U$11)*1,"")))</f>
        <v/>
      </c>
      <c r="V262" s="17" t="str">
        <f>IF(ISNA($B262),"",IF($B262="","",IFERROR(_xll.BDP(TICKER,"DEEP_MEASURE_PERIOD_BROKER_VALUE","DEEP_MEASURE_ID_OVERRIDE",$C262,"DEEP_BROKER_ID_OVERRIDE",$F$7,"DEEP_PERIOD_OVERRIDE",V$11)*1,"")))</f>
        <v/>
      </c>
      <c r="W262" s="17" t="str">
        <f>IF(ISNA($B262),"",IF($B262="","",IFERROR(_xll.BDP(TICKER,"DEEP_MEASURE_PERIOD_BROKER_VALUE","DEEP_MEASURE_ID_OVERRIDE",$C262,"DEEP_BROKER_ID_OVERRIDE",$F$7,"DEEP_PERIOD_OVERRIDE",W$11)*1,"")))</f>
        <v/>
      </c>
      <c r="X262" s="17" t="str">
        <f>IF(ISNA($B262),"",IF($B262="","",IFERROR(_xll.BDP(TICKER,"DEEP_MEASURE_PERIOD_BROKER_VALUE","DEEP_MEASURE_ID_OVERRIDE",$C262,"DEEP_BROKER_ID_OVERRIDE",$F$7,"DEEP_PERIOD_OVERRIDE",X$11)*1,"")))</f>
        <v/>
      </c>
      <c r="Y262" s="17" t="str">
        <f>IF(ISNA($B262),"",IF($B262="","",IFERROR(_xll.BDP(TICKER,"DEEP_MEASURE_PERIOD_BROKER_VALUE","DEEP_MEASURE_ID_OVERRIDE",$C262,"DEEP_BROKER_ID_OVERRIDE",$F$7,"DEEP_PERIOD_OVERRIDE",Y$11)*1,"")))</f>
        <v/>
      </c>
      <c r="Z262" s="17" t="str">
        <f>IF(ISNA($B262),"",IF($B262="","",IFERROR(_xll.BDP(TICKER,"DEEP_MEASURE_PERIOD_BROKER_VALUE","DEEP_MEASURE_ID_OVERRIDE",$C262,"DEEP_BROKER_ID_OVERRIDE",$F$7,"DEEP_PERIOD_OVERRIDE",Z$11)*1,"")))</f>
        <v/>
      </c>
      <c r="AA262" s="17" t="str">
        <f>IF(ISNA($B262),"",IF($B262="","",IFERROR(_xll.BDP(TICKER,"DEEP_MEASURE_PERIOD_BROKER_VALUE","DEEP_MEASURE_ID_OVERRIDE",$C262,"DEEP_BROKER_ID_OVERRIDE",$F$7,"DEEP_PERIOD_OVERRIDE",AA$11)*1,"")))</f>
        <v/>
      </c>
      <c r="AB262" s="17" t="str">
        <f>IF(ISNA($B262),"",IF($B262="","",IFERROR(_xll.BDP(TICKER,"DEEP_MEASURE_PERIOD_BROKER_VALUE","DEEP_MEASURE_ID_OVERRIDE",$C262,"DEEP_BROKER_ID_OVERRIDE",$F$7,"DEEP_PERIOD_OVERRIDE",AB$11)*1,"")))</f>
        <v/>
      </c>
      <c r="AC262" s="17" t="str">
        <f>IF(ISNA($B262),"",IF($B262="","",IFERROR(_xll.BDP(TICKER,"DEEP_MEASURE_PERIOD_BROKER_VALUE","DEEP_MEASURE_ID_OVERRIDE",$C262,"DEEP_BROKER_ID_OVERRIDE",$F$7,"DEEP_PERIOD_OVERRIDE",AC$11)*1,"")))</f>
        <v/>
      </c>
      <c r="AD262" s="17" t="str">
        <f>IF(ISNA($B262),"",IF($B262="","",IFERROR(_xll.BDP(TICKER,"DEEP_MEASURE_PERIOD_BROKER_VALUE","DEEP_MEASURE_ID_OVERRIDE",$C262,"DEEP_BROKER_ID_OVERRIDE",$F$7,"DEEP_PERIOD_OVERRIDE",AD$11)*1,"")))</f>
        <v/>
      </c>
      <c r="AE262" s="17" t="str">
        <f>IF(ISNA($B262),"",IF($B262="","",IFERROR(_xll.BDP(TICKER,"DEEP_MEASURE_PERIOD_BROKER_VALUE","DEEP_MEASURE_ID_OVERRIDE",$C262,"DEEP_BROKER_ID_OVERRIDE",$F$7,"DEEP_PERIOD_OVERRIDE",AE$11)*1,"")))</f>
        <v/>
      </c>
      <c r="AF262" s="17" t="str">
        <f>IF(ISNA($B262),"",IF($B262="","",IFERROR(_xll.BDP(TICKER,"DEEP_MEASURE_PERIOD_BROKER_VALUE","DEEP_MEASURE_ID_OVERRIDE",$C262,"DEEP_BROKER_ID_OVERRIDE",$F$7,"DEEP_PERIOD_OVERRIDE",AF$11)*1,"")))</f>
        <v/>
      </c>
      <c r="AG262" s="17" t="str">
        <f>IF(ISNA($B262),"",IF($B262="","",IFERROR(_xll.BDP(TICKER,"DEEP_MEASURE_PERIOD_BROKER_VALUE","DEEP_MEASURE_ID_OVERRIDE",$C262,"DEEP_BROKER_ID_OVERRIDE",$F$7,"DEEP_PERIOD_OVERRIDE",AG$11)*1,"")))</f>
        <v/>
      </c>
      <c r="AH262" s="17" t="str">
        <f>IF(ISNA($B262),"",IF($B262="","",IFERROR(_xll.BDP(TICKER,"DEEP_MEASURE_PERIOD_BROKER_VALUE","DEEP_MEASURE_ID_OVERRIDE",$C262,"DEEP_BROKER_ID_OVERRIDE",$F$7,"DEEP_PERIOD_OVERRIDE",AH$11)*1,"")))</f>
        <v/>
      </c>
      <c r="AI262" s="17" t="str">
        <f>IF(ISNA($B262),"",IF($B262="","",IFERROR(_xll.BDP(TICKER,"DEEP_MEASURE_PERIOD_BROKER_VALUE","DEEP_MEASURE_ID_OVERRIDE",$C262,"DEEP_BROKER_ID_OVERRIDE",$F$7,"DEEP_PERIOD_OVERRIDE",AI$11)*1,"")))</f>
        <v/>
      </c>
      <c r="AJ262" s="17" t="str">
        <f>IF(ISNA($B262),"",IF($B262="","",IFERROR(_xll.BDP(TICKER,"DEEP_MEASURE_PERIOD_BROKER_VALUE","DEEP_MEASURE_ID_OVERRIDE",$C262,"DEEP_BROKER_ID_OVERRIDE",$F$7,"DEEP_PERIOD_OVERRIDE",AJ$11)*1,"")))</f>
        <v/>
      </c>
      <c r="AK262" s="17" t="str">
        <f>IF(ISNA($B262),"",IF($B262="","",IFERROR(_xll.BDP(TICKER,"DEEP_MEASURE_PERIOD_BROKER_VALUE","DEEP_MEASURE_ID_OVERRIDE",$C262,"DEEP_BROKER_ID_OVERRIDE",$F$7,"DEEP_PERIOD_OVERRIDE",AK$11)*1,"")))</f>
        <v/>
      </c>
      <c r="AL262" s="17" t="str">
        <f>IF(ISNA($B262),"",IF($B262="","",IFERROR(_xll.BDP(TICKER,"DEEP_MEASURE_PERIOD_BROKER_VALUE","DEEP_MEASURE_ID_OVERRIDE",$C262,"DEEP_BROKER_ID_OVERRIDE",$F$7,"DEEP_PERIOD_OVERRIDE",AL$11)*1,"")))</f>
        <v/>
      </c>
      <c r="AM262" s="17" t="str">
        <f>IF(ISNA($B262),"",IF($B262="","",IFERROR(_xll.BDP(TICKER,"DEEP_MEASURE_PERIOD_BROKER_VALUE","DEEP_MEASURE_ID_OVERRIDE",$C262,"DEEP_BROKER_ID_OVERRIDE",$F$7,"DEEP_PERIOD_OVERRIDE",AM$11)*1,"")))</f>
        <v/>
      </c>
      <c r="AN262" s="17" t="str">
        <f>IF(ISNA($B262),"",IF($B262="","",IFERROR(_xll.BDP(TICKER,"DEEP_MEASURE_PERIOD_BROKER_VALUE","DEEP_MEASURE_ID_OVERRIDE",$C262,"DEEP_BROKER_ID_OVERRIDE",$F$7,"DEEP_PERIOD_OVERRIDE",AN$11)*1,"")))</f>
        <v/>
      </c>
      <c r="AO262" s="17" t="str">
        <f>IF(ISNA($B262),"",IF($B262="","",IFERROR(_xll.BDP(TICKER,"DEEP_MEASURE_PERIOD_BROKER_VALUE","DEEP_MEASURE_ID_OVERRIDE",$C262,"DEEP_BROKER_ID_OVERRIDE",$F$7,"DEEP_PERIOD_OVERRIDE",AO$11)*1,"")))</f>
        <v/>
      </c>
      <c r="AP262" s="17" t="str">
        <f>IF(ISNA($B262),"",IF($B262="","",IFERROR(_xll.BDP(TICKER,"DEEP_MEASURE_PERIOD_BROKER_VALUE","DEEP_MEASURE_ID_OVERRIDE",$C262,"DEEP_BROKER_ID_OVERRIDE",$F$7,"DEEP_PERIOD_OVERRIDE",AP$11)*1,"")))</f>
        <v/>
      </c>
      <c r="AQ262" s="17" t="str">
        <f>IF(ISNA($B262),"",IF($B262="","",IFERROR(_xll.BDP(TICKER,"DEEP_MEASURE_PERIOD_BROKER_VALUE","DEEP_MEASURE_ID_OVERRIDE",$C262,"DEEP_BROKER_ID_OVERRIDE",$F$7,"DEEP_PERIOD_OVERRIDE",AQ$11)*1,"")))</f>
        <v/>
      </c>
    </row>
    <row r="263" spans="8:43" x14ac:dyDescent="0.25">
      <c r="H263" t="str">
        <f t="shared" si="5"/>
        <v/>
      </c>
      <c r="I263" s="17" t="str">
        <f>IF(ISNA($B263),"",IF($B263="","",IFERROR(_xll.BDP(TICKER,"DEEP_MEASURE_PERIOD_BROKER_VALUE","DEEP_MEASURE_ID_OVERRIDE",$C263,"DEEP_BROKER_ID_OVERRIDE",$F$7,"DEEP_PERIOD_OVERRIDE",I$11)*1,"")))</f>
        <v/>
      </c>
      <c r="J263" s="17" t="str">
        <f>IF(ISNA($B263),"",IF($B263="","",IFERROR(_xll.BDP(TICKER,"DEEP_MEASURE_PERIOD_BROKER_VALUE","DEEP_MEASURE_ID_OVERRIDE",$C263,"DEEP_BROKER_ID_OVERRIDE",$F$7,"DEEP_PERIOD_OVERRIDE",J$11)*1,"")))</f>
        <v/>
      </c>
      <c r="K263" s="17" t="str">
        <f>IF(ISNA($B263),"",IF($B263="","",IFERROR(_xll.BDP(TICKER,"DEEP_MEASURE_PERIOD_BROKER_VALUE","DEEP_MEASURE_ID_OVERRIDE",$C263,"DEEP_BROKER_ID_OVERRIDE",$F$7,"DEEP_PERIOD_OVERRIDE",K$11)*1,"")))</f>
        <v/>
      </c>
      <c r="L263" s="17" t="str">
        <f>IF(ISNA($B263),"",IF($B263="","",IFERROR(_xll.BDP(TICKER,"DEEP_MEASURE_PERIOD_BROKER_VALUE","DEEP_MEASURE_ID_OVERRIDE",$C263,"DEEP_BROKER_ID_OVERRIDE",$F$7,"DEEP_PERIOD_OVERRIDE",L$11)*1,"")))</f>
        <v/>
      </c>
      <c r="M263" s="17" t="str">
        <f>IF(ISNA($B263),"",IF($B263="","",IFERROR(_xll.BDP(TICKER,"DEEP_MEASURE_PERIOD_BROKER_VALUE","DEEP_MEASURE_ID_OVERRIDE",$C263,"DEEP_BROKER_ID_OVERRIDE",$F$7,"DEEP_PERIOD_OVERRIDE",M$11)*1,"")))</f>
        <v/>
      </c>
      <c r="N263" s="17" t="str">
        <f>IF(ISNA($B263),"",IF($B263="","",IFERROR(_xll.BDP(TICKER,"DEEP_MEASURE_PERIOD_BROKER_VALUE","DEEP_MEASURE_ID_OVERRIDE",$C263,"DEEP_BROKER_ID_OVERRIDE",$F$7,"DEEP_PERIOD_OVERRIDE",N$11)*1,"")))</f>
        <v/>
      </c>
      <c r="O263" s="17" t="str">
        <f>IF(ISNA($B263),"",IF($B263="","",IFERROR(_xll.BDP(TICKER,"DEEP_MEASURE_PERIOD_BROKER_VALUE","DEEP_MEASURE_ID_OVERRIDE",$C263,"DEEP_BROKER_ID_OVERRIDE",$F$7,"DEEP_PERIOD_OVERRIDE",O$11)*1,"")))</f>
        <v/>
      </c>
      <c r="P263" s="17" t="str">
        <f>IF(ISNA($B263),"",IF($B263="","",IFERROR(_xll.BDP(TICKER,"DEEP_MEASURE_PERIOD_BROKER_VALUE","DEEP_MEASURE_ID_OVERRIDE",$C263,"DEEP_BROKER_ID_OVERRIDE",$F$7,"DEEP_PERIOD_OVERRIDE",P$11)*1,"")))</f>
        <v/>
      </c>
      <c r="Q263" s="17" t="str">
        <f>IF(ISNA($B263),"",IF($B263="","",IFERROR(_xll.BDP(TICKER,"DEEP_MEASURE_PERIOD_BROKER_VALUE","DEEP_MEASURE_ID_OVERRIDE",$C263,"DEEP_BROKER_ID_OVERRIDE",$F$7,"DEEP_PERIOD_OVERRIDE",Q$11)*1,"")))</f>
        <v/>
      </c>
      <c r="R263" s="17" t="str">
        <f>IF(ISNA($B263),"",IF($B263="","",IFERROR(_xll.BDP(TICKER,"DEEP_MEASURE_PERIOD_BROKER_VALUE","DEEP_MEASURE_ID_OVERRIDE",$C263,"DEEP_BROKER_ID_OVERRIDE",$F$7,"DEEP_PERIOD_OVERRIDE",R$11)*1,"")))</f>
        <v/>
      </c>
      <c r="S263" s="17" t="str">
        <f>IF(ISNA($B263),"",IF($B263="","",IFERROR(_xll.BDP(TICKER,"DEEP_MEASURE_PERIOD_BROKER_VALUE","DEEP_MEASURE_ID_OVERRIDE",$C263,"DEEP_BROKER_ID_OVERRIDE",$F$7,"DEEP_PERIOD_OVERRIDE",S$11)*1,"")))</f>
        <v/>
      </c>
      <c r="T263" s="17" t="str">
        <f>IF(ISNA($B263),"",IF($B263="","",IFERROR(_xll.BDP(TICKER,"DEEP_MEASURE_PERIOD_BROKER_VALUE","DEEP_MEASURE_ID_OVERRIDE",$C263,"DEEP_BROKER_ID_OVERRIDE",$F$7,"DEEP_PERIOD_OVERRIDE",T$11)*1,"")))</f>
        <v/>
      </c>
      <c r="U263" s="17" t="str">
        <f>IF(ISNA($B263),"",IF($B263="","",IFERROR(_xll.BDP(TICKER,"DEEP_MEASURE_PERIOD_BROKER_VALUE","DEEP_MEASURE_ID_OVERRIDE",$C263,"DEEP_BROKER_ID_OVERRIDE",$F$7,"DEEP_PERIOD_OVERRIDE",U$11)*1,"")))</f>
        <v/>
      </c>
      <c r="V263" s="17" t="str">
        <f>IF(ISNA($B263),"",IF($B263="","",IFERROR(_xll.BDP(TICKER,"DEEP_MEASURE_PERIOD_BROKER_VALUE","DEEP_MEASURE_ID_OVERRIDE",$C263,"DEEP_BROKER_ID_OVERRIDE",$F$7,"DEEP_PERIOD_OVERRIDE",V$11)*1,"")))</f>
        <v/>
      </c>
      <c r="W263" s="17" t="str">
        <f>IF(ISNA($B263),"",IF($B263="","",IFERROR(_xll.BDP(TICKER,"DEEP_MEASURE_PERIOD_BROKER_VALUE","DEEP_MEASURE_ID_OVERRIDE",$C263,"DEEP_BROKER_ID_OVERRIDE",$F$7,"DEEP_PERIOD_OVERRIDE",W$11)*1,"")))</f>
        <v/>
      </c>
      <c r="X263" s="17" t="str">
        <f>IF(ISNA($B263),"",IF($B263="","",IFERROR(_xll.BDP(TICKER,"DEEP_MEASURE_PERIOD_BROKER_VALUE","DEEP_MEASURE_ID_OVERRIDE",$C263,"DEEP_BROKER_ID_OVERRIDE",$F$7,"DEEP_PERIOD_OVERRIDE",X$11)*1,"")))</f>
        <v/>
      </c>
      <c r="Y263" s="17" t="str">
        <f>IF(ISNA($B263),"",IF($B263="","",IFERROR(_xll.BDP(TICKER,"DEEP_MEASURE_PERIOD_BROKER_VALUE","DEEP_MEASURE_ID_OVERRIDE",$C263,"DEEP_BROKER_ID_OVERRIDE",$F$7,"DEEP_PERIOD_OVERRIDE",Y$11)*1,"")))</f>
        <v/>
      </c>
      <c r="Z263" s="17" t="str">
        <f>IF(ISNA($B263),"",IF($B263="","",IFERROR(_xll.BDP(TICKER,"DEEP_MEASURE_PERIOD_BROKER_VALUE","DEEP_MEASURE_ID_OVERRIDE",$C263,"DEEP_BROKER_ID_OVERRIDE",$F$7,"DEEP_PERIOD_OVERRIDE",Z$11)*1,"")))</f>
        <v/>
      </c>
      <c r="AA263" s="17" t="str">
        <f>IF(ISNA($B263),"",IF($B263="","",IFERROR(_xll.BDP(TICKER,"DEEP_MEASURE_PERIOD_BROKER_VALUE","DEEP_MEASURE_ID_OVERRIDE",$C263,"DEEP_BROKER_ID_OVERRIDE",$F$7,"DEEP_PERIOD_OVERRIDE",AA$11)*1,"")))</f>
        <v/>
      </c>
      <c r="AB263" s="17" t="str">
        <f>IF(ISNA($B263),"",IF($B263="","",IFERROR(_xll.BDP(TICKER,"DEEP_MEASURE_PERIOD_BROKER_VALUE","DEEP_MEASURE_ID_OVERRIDE",$C263,"DEEP_BROKER_ID_OVERRIDE",$F$7,"DEEP_PERIOD_OVERRIDE",AB$11)*1,"")))</f>
        <v/>
      </c>
      <c r="AC263" s="17" t="str">
        <f>IF(ISNA($B263),"",IF($B263="","",IFERROR(_xll.BDP(TICKER,"DEEP_MEASURE_PERIOD_BROKER_VALUE","DEEP_MEASURE_ID_OVERRIDE",$C263,"DEEP_BROKER_ID_OVERRIDE",$F$7,"DEEP_PERIOD_OVERRIDE",AC$11)*1,"")))</f>
        <v/>
      </c>
      <c r="AD263" s="17" t="str">
        <f>IF(ISNA($B263),"",IF($B263="","",IFERROR(_xll.BDP(TICKER,"DEEP_MEASURE_PERIOD_BROKER_VALUE","DEEP_MEASURE_ID_OVERRIDE",$C263,"DEEP_BROKER_ID_OVERRIDE",$F$7,"DEEP_PERIOD_OVERRIDE",AD$11)*1,"")))</f>
        <v/>
      </c>
      <c r="AE263" s="17" t="str">
        <f>IF(ISNA($B263),"",IF($B263="","",IFERROR(_xll.BDP(TICKER,"DEEP_MEASURE_PERIOD_BROKER_VALUE","DEEP_MEASURE_ID_OVERRIDE",$C263,"DEEP_BROKER_ID_OVERRIDE",$F$7,"DEEP_PERIOD_OVERRIDE",AE$11)*1,"")))</f>
        <v/>
      </c>
      <c r="AF263" s="17" t="str">
        <f>IF(ISNA($B263),"",IF($B263="","",IFERROR(_xll.BDP(TICKER,"DEEP_MEASURE_PERIOD_BROKER_VALUE","DEEP_MEASURE_ID_OVERRIDE",$C263,"DEEP_BROKER_ID_OVERRIDE",$F$7,"DEEP_PERIOD_OVERRIDE",AF$11)*1,"")))</f>
        <v/>
      </c>
      <c r="AG263" s="17" t="str">
        <f>IF(ISNA($B263),"",IF($B263="","",IFERROR(_xll.BDP(TICKER,"DEEP_MEASURE_PERIOD_BROKER_VALUE","DEEP_MEASURE_ID_OVERRIDE",$C263,"DEEP_BROKER_ID_OVERRIDE",$F$7,"DEEP_PERIOD_OVERRIDE",AG$11)*1,"")))</f>
        <v/>
      </c>
      <c r="AH263" s="17" t="str">
        <f>IF(ISNA($B263),"",IF($B263="","",IFERROR(_xll.BDP(TICKER,"DEEP_MEASURE_PERIOD_BROKER_VALUE","DEEP_MEASURE_ID_OVERRIDE",$C263,"DEEP_BROKER_ID_OVERRIDE",$F$7,"DEEP_PERIOD_OVERRIDE",AH$11)*1,"")))</f>
        <v/>
      </c>
      <c r="AI263" s="17" t="str">
        <f>IF(ISNA($B263),"",IF($B263="","",IFERROR(_xll.BDP(TICKER,"DEEP_MEASURE_PERIOD_BROKER_VALUE","DEEP_MEASURE_ID_OVERRIDE",$C263,"DEEP_BROKER_ID_OVERRIDE",$F$7,"DEEP_PERIOD_OVERRIDE",AI$11)*1,"")))</f>
        <v/>
      </c>
      <c r="AJ263" s="17" t="str">
        <f>IF(ISNA($B263),"",IF($B263="","",IFERROR(_xll.BDP(TICKER,"DEEP_MEASURE_PERIOD_BROKER_VALUE","DEEP_MEASURE_ID_OVERRIDE",$C263,"DEEP_BROKER_ID_OVERRIDE",$F$7,"DEEP_PERIOD_OVERRIDE",AJ$11)*1,"")))</f>
        <v/>
      </c>
      <c r="AK263" s="17" t="str">
        <f>IF(ISNA($B263),"",IF($B263="","",IFERROR(_xll.BDP(TICKER,"DEEP_MEASURE_PERIOD_BROKER_VALUE","DEEP_MEASURE_ID_OVERRIDE",$C263,"DEEP_BROKER_ID_OVERRIDE",$F$7,"DEEP_PERIOD_OVERRIDE",AK$11)*1,"")))</f>
        <v/>
      </c>
      <c r="AL263" s="17" t="str">
        <f>IF(ISNA($B263),"",IF($B263="","",IFERROR(_xll.BDP(TICKER,"DEEP_MEASURE_PERIOD_BROKER_VALUE","DEEP_MEASURE_ID_OVERRIDE",$C263,"DEEP_BROKER_ID_OVERRIDE",$F$7,"DEEP_PERIOD_OVERRIDE",AL$11)*1,"")))</f>
        <v/>
      </c>
      <c r="AM263" s="17" t="str">
        <f>IF(ISNA($B263),"",IF($B263="","",IFERROR(_xll.BDP(TICKER,"DEEP_MEASURE_PERIOD_BROKER_VALUE","DEEP_MEASURE_ID_OVERRIDE",$C263,"DEEP_BROKER_ID_OVERRIDE",$F$7,"DEEP_PERIOD_OVERRIDE",AM$11)*1,"")))</f>
        <v/>
      </c>
      <c r="AN263" s="17" t="str">
        <f>IF(ISNA($B263),"",IF($B263="","",IFERROR(_xll.BDP(TICKER,"DEEP_MEASURE_PERIOD_BROKER_VALUE","DEEP_MEASURE_ID_OVERRIDE",$C263,"DEEP_BROKER_ID_OVERRIDE",$F$7,"DEEP_PERIOD_OVERRIDE",AN$11)*1,"")))</f>
        <v/>
      </c>
      <c r="AO263" s="17" t="str">
        <f>IF(ISNA($B263),"",IF($B263="","",IFERROR(_xll.BDP(TICKER,"DEEP_MEASURE_PERIOD_BROKER_VALUE","DEEP_MEASURE_ID_OVERRIDE",$C263,"DEEP_BROKER_ID_OVERRIDE",$F$7,"DEEP_PERIOD_OVERRIDE",AO$11)*1,"")))</f>
        <v/>
      </c>
      <c r="AP263" s="17" t="str">
        <f>IF(ISNA($B263),"",IF($B263="","",IFERROR(_xll.BDP(TICKER,"DEEP_MEASURE_PERIOD_BROKER_VALUE","DEEP_MEASURE_ID_OVERRIDE",$C263,"DEEP_BROKER_ID_OVERRIDE",$F$7,"DEEP_PERIOD_OVERRIDE",AP$11)*1,"")))</f>
        <v/>
      </c>
      <c r="AQ263" s="17" t="str">
        <f>IF(ISNA($B263),"",IF($B263="","",IFERROR(_xll.BDP(TICKER,"DEEP_MEASURE_PERIOD_BROKER_VALUE","DEEP_MEASURE_ID_OVERRIDE",$C263,"DEEP_BROKER_ID_OVERRIDE",$F$7,"DEEP_PERIOD_OVERRIDE",AQ$11)*1,"")))</f>
        <v/>
      </c>
    </row>
    <row r="264" spans="8:43" x14ac:dyDescent="0.25">
      <c r="H264" t="str">
        <f t="shared" si="5"/>
        <v/>
      </c>
      <c r="I264" s="17" t="str">
        <f>IF(ISNA($B264),"",IF($B264="","",IFERROR(_xll.BDP(TICKER,"DEEP_MEASURE_PERIOD_BROKER_VALUE","DEEP_MEASURE_ID_OVERRIDE",$C264,"DEEP_BROKER_ID_OVERRIDE",$F$7,"DEEP_PERIOD_OVERRIDE",I$11)*1,"")))</f>
        <v/>
      </c>
      <c r="J264" s="17" t="str">
        <f>IF(ISNA($B264),"",IF($B264="","",IFERROR(_xll.BDP(TICKER,"DEEP_MEASURE_PERIOD_BROKER_VALUE","DEEP_MEASURE_ID_OVERRIDE",$C264,"DEEP_BROKER_ID_OVERRIDE",$F$7,"DEEP_PERIOD_OVERRIDE",J$11)*1,"")))</f>
        <v/>
      </c>
      <c r="K264" s="17" t="str">
        <f>IF(ISNA($B264),"",IF($B264="","",IFERROR(_xll.BDP(TICKER,"DEEP_MEASURE_PERIOD_BROKER_VALUE","DEEP_MEASURE_ID_OVERRIDE",$C264,"DEEP_BROKER_ID_OVERRIDE",$F$7,"DEEP_PERIOD_OVERRIDE",K$11)*1,"")))</f>
        <v/>
      </c>
      <c r="L264" s="17" t="str">
        <f>IF(ISNA($B264),"",IF($B264="","",IFERROR(_xll.BDP(TICKER,"DEEP_MEASURE_PERIOD_BROKER_VALUE","DEEP_MEASURE_ID_OVERRIDE",$C264,"DEEP_BROKER_ID_OVERRIDE",$F$7,"DEEP_PERIOD_OVERRIDE",L$11)*1,"")))</f>
        <v/>
      </c>
      <c r="M264" s="17" t="str">
        <f>IF(ISNA($B264),"",IF($B264="","",IFERROR(_xll.BDP(TICKER,"DEEP_MEASURE_PERIOD_BROKER_VALUE","DEEP_MEASURE_ID_OVERRIDE",$C264,"DEEP_BROKER_ID_OVERRIDE",$F$7,"DEEP_PERIOD_OVERRIDE",M$11)*1,"")))</f>
        <v/>
      </c>
      <c r="N264" s="17" t="str">
        <f>IF(ISNA($B264),"",IF($B264="","",IFERROR(_xll.BDP(TICKER,"DEEP_MEASURE_PERIOD_BROKER_VALUE","DEEP_MEASURE_ID_OVERRIDE",$C264,"DEEP_BROKER_ID_OVERRIDE",$F$7,"DEEP_PERIOD_OVERRIDE",N$11)*1,"")))</f>
        <v/>
      </c>
      <c r="O264" s="17" t="str">
        <f>IF(ISNA($B264),"",IF($B264="","",IFERROR(_xll.BDP(TICKER,"DEEP_MEASURE_PERIOD_BROKER_VALUE","DEEP_MEASURE_ID_OVERRIDE",$C264,"DEEP_BROKER_ID_OVERRIDE",$F$7,"DEEP_PERIOD_OVERRIDE",O$11)*1,"")))</f>
        <v/>
      </c>
      <c r="P264" s="17" t="str">
        <f>IF(ISNA($B264),"",IF($B264="","",IFERROR(_xll.BDP(TICKER,"DEEP_MEASURE_PERIOD_BROKER_VALUE","DEEP_MEASURE_ID_OVERRIDE",$C264,"DEEP_BROKER_ID_OVERRIDE",$F$7,"DEEP_PERIOD_OVERRIDE",P$11)*1,"")))</f>
        <v/>
      </c>
      <c r="Q264" s="17" t="str">
        <f>IF(ISNA($B264),"",IF($B264="","",IFERROR(_xll.BDP(TICKER,"DEEP_MEASURE_PERIOD_BROKER_VALUE","DEEP_MEASURE_ID_OVERRIDE",$C264,"DEEP_BROKER_ID_OVERRIDE",$F$7,"DEEP_PERIOD_OVERRIDE",Q$11)*1,"")))</f>
        <v/>
      </c>
      <c r="R264" s="17" t="str">
        <f>IF(ISNA($B264),"",IF($B264="","",IFERROR(_xll.BDP(TICKER,"DEEP_MEASURE_PERIOD_BROKER_VALUE","DEEP_MEASURE_ID_OVERRIDE",$C264,"DEEP_BROKER_ID_OVERRIDE",$F$7,"DEEP_PERIOD_OVERRIDE",R$11)*1,"")))</f>
        <v/>
      </c>
      <c r="S264" s="17" t="str">
        <f>IF(ISNA($B264),"",IF($B264="","",IFERROR(_xll.BDP(TICKER,"DEEP_MEASURE_PERIOD_BROKER_VALUE","DEEP_MEASURE_ID_OVERRIDE",$C264,"DEEP_BROKER_ID_OVERRIDE",$F$7,"DEEP_PERIOD_OVERRIDE",S$11)*1,"")))</f>
        <v/>
      </c>
      <c r="T264" s="17" t="str">
        <f>IF(ISNA($B264),"",IF($B264="","",IFERROR(_xll.BDP(TICKER,"DEEP_MEASURE_PERIOD_BROKER_VALUE","DEEP_MEASURE_ID_OVERRIDE",$C264,"DEEP_BROKER_ID_OVERRIDE",$F$7,"DEEP_PERIOD_OVERRIDE",T$11)*1,"")))</f>
        <v/>
      </c>
      <c r="U264" s="17" t="str">
        <f>IF(ISNA($B264),"",IF($B264="","",IFERROR(_xll.BDP(TICKER,"DEEP_MEASURE_PERIOD_BROKER_VALUE","DEEP_MEASURE_ID_OVERRIDE",$C264,"DEEP_BROKER_ID_OVERRIDE",$F$7,"DEEP_PERIOD_OVERRIDE",U$11)*1,"")))</f>
        <v/>
      </c>
      <c r="V264" s="17" t="str">
        <f>IF(ISNA($B264),"",IF($B264="","",IFERROR(_xll.BDP(TICKER,"DEEP_MEASURE_PERIOD_BROKER_VALUE","DEEP_MEASURE_ID_OVERRIDE",$C264,"DEEP_BROKER_ID_OVERRIDE",$F$7,"DEEP_PERIOD_OVERRIDE",V$11)*1,"")))</f>
        <v/>
      </c>
      <c r="W264" s="17" t="str">
        <f>IF(ISNA($B264),"",IF($B264="","",IFERROR(_xll.BDP(TICKER,"DEEP_MEASURE_PERIOD_BROKER_VALUE","DEEP_MEASURE_ID_OVERRIDE",$C264,"DEEP_BROKER_ID_OVERRIDE",$F$7,"DEEP_PERIOD_OVERRIDE",W$11)*1,"")))</f>
        <v/>
      </c>
      <c r="X264" s="17" t="str">
        <f>IF(ISNA($B264),"",IF($B264="","",IFERROR(_xll.BDP(TICKER,"DEEP_MEASURE_PERIOD_BROKER_VALUE","DEEP_MEASURE_ID_OVERRIDE",$C264,"DEEP_BROKER_ID_OVERRIDE",$F$7,"DEEP_PERIOD_OVERRIDE",X$11)*1,"")))</f>
        <v/>
      </c>
      <c r="Y264" s="17" t="str">
        <f>IF(ISNA($B264),"",IF($B264="","",IFERROR(_xll.BDP(TICKER,"DEEP_MEASURE_PERIOD_BROKER_VALUE","DEEP_MEASURE_ID_OVERRIDE",$C264,"DEEP_BROKER_ID_OVERRIDE",$F$7,"DEEP_PERIOD_OVERRIDE",Y$11)*1,"")))</f>
        <v/>
      </c>
      <c r="Z264" s="17" t="str">
        <f>IF(ISNA($B264),"",IF($B264="","",IFERROR(_xll.BDP(TICKER,"DEEP_MEASURE_PERIOD_BROKER_VALUE","DEEP_MEASURE_ID_OVERRIDE",$C264,"DEEP_BROKER_ID_OVERRIDE",$F$7,"DEEP_PERIOD_OVERRIDE",Z$11)*1,"")))</f>
        <v/>
      </c>
      <c r="AA264" s="17" t="str">
        <f>IF(ISNA($B264),"",IF($B264="","",IFERROR(_xll.BDP(TICKER,"DEEP_MEASURE_PERIOD_BROKER_VALUE","DEEP_MEASURE_ID_OVERRIDE",$C264,"DEEP_BROKER_ID_OVERRIDE",$F$7,"DEEP_PERIOD_OVERRIDE",AA$11)*1,"")))</f>
        <v/>
      </c>
      <c r="AB264" s="17" t="str">
        <f>IF(ISNA($B264),"",IF($B264="","",IFERROR(_xll.BDP(TICKER,"DEEP_MEASURE_PERIOD_BROKER_VALUE","DEEP_MEASURE_ID_OVERRIDE",$C264,"DEEP_BROKER_ID_OVERRIDE",$F$7,"DEEP_PERIOD_OVERRIDE",AB$11)*1,"")))</f>
        <v/>
      </c>
      <c r="AC264" s="17" t="str">
        <f>IF(ISNA($B264),"",IF($B264="","",IFERROR(_xll.BDP(TICKER,"DEEP_MEASURE_PERIOD_BROKER_VALUE","DEEP_MEASURE_ID_OVERRIDE",$C264,"DEEP_BROKER_ID_OVERRIDE",$F$7,"DEEP_PERIOD_OVERRIDE",AC$11)*1,"")))</f>
        <v/>
      </c>
      <c r="AD264" s="17" t="str">
        <f>IF(ISNA($B264),"",IF($B264="","",IFERROR(_xll.BDP(TICKER,"DEEP_MEASURE_PERIOD_BROKER_VALUE","DEEP_MEASURE_ID_OVERRIDE",$C264,"DEEP_BROKER_ID_OVERRIDE",$F$7,"DEEP_PERIOD_OVERRIDE",AD$11)*1,"")))</f>
        <v/>
      </c>
      <c r="AE264" s="17" t="str">
        <f>IF(ISNA($B264),"",IF($B264="","",IFERROR(_xll.BDP(TICKER,"DEEP_MEASURE_PERIOD_BROKER_VALUE","DEEP_MEASURE_ID_OVERRIDE",$C264,"DEEP_BROKER_ID_OVERRIDE",$F$7,"DEEP_PERIOD_OVERRIDE",AE$11)*1,"")))</f>
        <v/>
      </c>
      <c r="AF264" s="17" t="str">
        <f>IF(ISNA($B264),"",IF($B264="","",IFERROR(_xll.BDP(TICKER,"DEEP_MEASURE_PERIOD_BROKER_VALUE","DEEP_MEASURE_ID_OVERRIDE",$C264,"DEEP_BROKER_ID_OVERRIDE",$F$7,"DEEP_PERIOD_OVERRIDE",AF$11)*1,"")))</f>
        <v/>
      </c>
      <c r="AG264" s="17" t="str">
        <f>IF(ISNA($B264),"",IF($B264="","",IFERROR(_xll.BDP(TICKER,"DEEP_MEASURE_PERIOD_BROKER_VALUE","DEEP_MEASURE_ID_OVERRIDE",$C264,"DEEP_BROKER_ID_OVERRIDE",$F$7,"DEEP_PERIOD_OVERRIDE",AG$11)*1,"")))</f>
        <v/>
      </c>
      <c r="AH264" s="17" t="str">
        <f>IF(ISNA($B264),"",IF($B264="","",IFERROR(_xll.BDP(TICKER,"DEEP_MEASURE_PERIOD_BROKER_VALUE","DEEP_MEASURE_ID_OVERRIDE",$C264,"DEEP_BROKER_ID_OVERRIDE",$F$7,"DEEP_PERIOD_OVERRIDE",AH$11)*1,"")))</f>
        <v/>
      </c>
      <c r="AI264" s="17" t="str">
        <f>IF(ISNA($B264),"",IF($B264="","",IFERROR(_xll.BDP(TICKER,"DEEP_MEASURE_PERIOD_BROKER_VALUE","DEEP_MEASURE_ID_OVERRIDE",$C264,"DEEP_BROKER_ID_OVERRIDE",$F$7,"DEEP_PERIOD_OVERRIDE",AI$11)*1,"")))</f>
        <v/>
      </c>
      <c r="AJ264" s="17" t="str">
        <f>IF(ISNA($B264),"",IF($B264="","",IFERROR(_xll.BDP(TICKER,"DEEP_MEASURE_PERIOD_BROKER_VALUE","DEEP_MEASURE_ID_OVERRIDE",$C264,"DEEP_BROKER_ID_OVERRIDE",$F$7,"DEEP_PERIOD_OVERRIDE",AJ$11)*1,"")))</f>
        <v/>
      </c>
      <c r="AK264" s="17" t="str">
        <f>IF(ISNA($B264),"",IF($B264="","",IFERROR(_xll.BDP(TICKER,"DEEP_MEASURE_PERIOD_BROKER_VALUE","DEEP_MEASURE_ID_OVERRIDE",$C264,"DEEP_BROKER_ID_OVERRIDE",$F$7,"DEEP_PERIOD_OVERRIDE",AK$11)*1,"")))</f>
        <v/>
      </c>
      <c r="AL264" s="17" t="str">
        <f>IF(ISNA($B264),"",IF($B264="","",IFERROR(_xll.BDP(TICKER,"DEEP_MEASURE_PERIOD_BROKER_VALUE","DEEP_MEASURE_ID_OVERRIDE",$C264,"DEEP_BROKER_ID_OVERRIDE",$F$7,"DEEP_PERIOD_OVERRIDE",AL$11)*1,"")))</f>
        <v/>
      </c>
      <c r="AM264" s="17" t="str">
        <f>IF(ISNA($B264),"",IF($B264="","",IFERROR(_xll.BDP(TICKER,"DEEP_MEASURE_PERIOD_BROKER_VALUE","DEEP_MEASURE_ID_OVERRIDE",$C264,"DEEP_BROKER_ID_OVERRIDE",$F$7,"DEEP_PERIOD_OVERRIDE",AM$11)*1,"")))</f>
        <v/>
      </c>
      <c r="AN264" s="17" t="str">
        <f>IF(ISNA($B264),"",IF($B264="","",IFERROR(_xll.BDP(TICKER,"DEEP_MEASURE_PERIOD_BROKER_VALUE","DEEP_MEASURE_ID_OVERRIDE",$C264,"DEEP_BROKER_ID_OVERRIDE",$F$7,"DEEP_PERIOD_OVERRIDE",AN$11)*1,"")))</f>
        <v/>
      </c>
      <c r="AO264" s="17" t="str">
        <f>IF(ISNA($B264),"",IF($B264="","",IFERROR(_xll.BDP(TICKER,"DEEP_MEASURE_PERIOD_BROKER_VALUE","DEEP_MEASURE_ID_OVERRIDE",$C264,"DEEP_BROKER_ID_OVERRIDE",$F$7,"DEEP_PERIOD_OVERRIDE",AO$11)*1,"")))</f>
        <v/>
      </c>
      <c r="AP264" s="17" t="str">
        <f>IF(ISNA($B264),"",IF($B264="","",IFERROR(_xll.BDP(TICKER,"DEEP_MEASURE_PERIOD_BROKER_VALUE","DEEP_MEASURE_ID_OVERRIDE",$C264,"DEEP_BROKER_ID_OVERRIDE",$F$7,"DEEP_PERIOD_OVERRIDE",AP$11)*1,"")))</f>
        <v/>
      </c>
      <c r="AQ264" s="17" t="str">
        <f>IF(ISNA($B264),"",IF($B264="","",IFERROR(_xll.BDP(TICKER,"DEEP_MEASURE_PERIOD_BROKER_VALUE","DEEP_MEASURE_ID_OVERRIDE",$C264,"DEEP_BROKER_ID_OVERRIDE",$F$7,"DEEP_PERIOD_OVERRIDE",AQ$11)*1,"")))</f>
        <v/>
      </c>
    </row>
    <row r="265" spans="8:43" x14ac:dyDescent="0.25">
      <c r="H265" t="str">
        <f t="shared" si="5"/>
        <v/>
      </c>
      <c r="I265" s="17" t="str">
        <f>IF(ISNA($B265),"",IF($B265="","",IFERROR(_xll.BDP(TICKER,"DEEP_MEASURE_PERIOD_BROKER_VALUE","DEEP_MEASURE_ID_OVERRIDE",$C265,"DEEP_BROKER_ID_OVERRIDE",$F$7,"DEEP_PERIOD_OVERRIDE",I$11)*1,"")))</f>
        <v/>
      </c>
      <c r="J265" s="17" t="str">
        <f>IF(ISNA($B265),"",IF($B265="","",IFERROR(_xll.BDP(TICKER,"DEEP_MEASURE_PERIOD_BROKER_VALUE","DEEP_MEASURE_ID_OVERRIDE",$C265,"DEEP_BROKER_ID_OVERRIDE",$F$7,"DEEP_PERIOD_OVERRIDE",J$11)*1,"")))</f>
        <v/>
      </c>
      <c r="K265" s="17" t="str">
        <f>IF(ISNA($B265),"",IF($B265="","",IFERROR(_xll.BDP(TICKER,"DEEP_MEASURE_PERIOD_BROKER_VALUE","DEEP_MEASURE_ID_OVERRIDE",$C265,"DEEP_BROKER_ID_OVERRIDE",$F$7,"DEEP_PERIOD_OVERRIDE",K$11)*1,"")))</f>
        <v/>
      </c>
      <c r="L265" s="17" t="str">
        <f>IF(ISNA($B265),"",IF($B265="","",IFERROR(_xll.BDP(TICKER,"DEEP_MEASURE_PERIOD_BROKER_VALUE","DEEP_MEASURE_ID_OVERRIDE",$C265,"DEEP_BROKER_ID_OVERRIDE",$F$7,"DEEP_PERIOD_OVERRIDE",L$11)*1,"")))</f>
        <v/>
      </c>
      <c r="M265" s="17" t="str">
        <f>IF(ISNA($B265),"",IF($B265="","",IFERROR(_xll.BDP(TICKER,"DEEP_MEASURE_PERIOD_BROKER_VALUE","DEEP_MEASURE_ID_OVERRIDE",$C265,"DEEP_BROKER_ID_OVERRIDE",$F$7,"DEEP_PERIOD_OVERRIDE",M$11)*1,"")))</f>
        <v/>
      </c>
      <c r="N265" s="17" t="str">
        <f>IF(ISNA($B265),"",IF($B265="","",IFERROR(_xll.BDP(TICKER,"DEEP_MEASURE_PERIOD_BROKER_VALUE","DEEP_MEASURE_ID_OVERRIDE",$C265,"DEEP_BROKER_ID_OVERRIDE",$F$7,"DEEP_PERIOD_OVERRIDE",N$11)*1,"")))</f>
        <v/>
      </c>
      <c r="O265" s="17" t="str">
        <f>IF(ISNA($B265),"",IF($B265="","",IFERROR(_xll.BDP(TICKER,"DEEP_MEASURE_PERIOD_BROKER_VALUE","DEEP_MEASURE_ID_OVERRIDE",$C265,"DEEP_BROKER_ID_OVERRIDE",$F$7,"DEEP_PERIOD_OVERRIDE",O$11)*1,"")))</f>
        <v/>
      </c>
      <c r="P265" s="17" t="str">
        <f>IF(ISNA($B265),"",IF($B265="","",IFERROR(_xll.BDP(TICKER,"DEEP_MEASURE_PERIOD_BROKER_VALUE","DEEP_MEASURE_ID_OVERRIDE",$C265,"DEEP_BROKER_ID_OVERRIDE",$F$7,"DEEP_PERIOD_OVERRIDE",P$11)*1,"")))</f>
        <v/>
      </c>
      <c r="Q265" s="17" t="str">
        <f>IF(ISNA($B265),"",IF($B265="","",IFERROR(_xll.BDP(TICKER,"DEEP_MEASURE_PERIOD_BROKER_VALUE","DEEP_MEASURE_ID_OVERRIDE",$C265,"DEEP_BROKER_ID_OVERRIDE",$F$7,"DEEP_PERIOD_OVERRIDE",Q$11)*1,"")))</f>
        <v/>
      </c>
      <c r="R265" s="17" t="str">
        <f>IF(ISNA($B265),"",IF($B265="","",IFERROR(_xll.BDP(TICKER,"DEEP_MEASURE_PERIOD_BROKER_VALUE","DEEP_MEASURE_ID_OVERRIDE",$C265,"DEEP_BROKER_ID_OVERRIDE",$F$7,"DEEP_PERIOD_OVERRIDE",R$11)*1,"")))</f>
        <v/>
      </c>
      <c r="S265" s="17" t="str">
        <f>IF(ISNA($B265),"",IF($B265="","",IFERROR(_xll.BDP(TICKER,"DEEP_MEASURE_PERIOD_BROKER_VALUE","DEEP_MEASURE_ID_OVERRIDE",$C265,"DEEP_BROKER_ID_OVERRIDE",$F$7,"DEEP_PERIOD_OVERRIDE",S$11)*1,"")))</f>
        <v/>
      </c>
      <c r="T265" s="17" t="str">
        <f>IF(ISNA($B265),"",IF($B265="","",IFERROR(_xll.BDP(TICKER,"DEEP_MEASURE_PERIOD_BROKER_VALUE","DEEP_MEASURE_ID_OVERRIDE",$C265,"DEEP_BROKER_ID_OVERRIDE",$F$7,"DEEP_PERIOD_OVERRIDE",T$11)*1,"")))</f>
        <v/>
      </c>
      <c r="U265" s="17" t="str">
        <f>IF(ISNA($B265),"",IF($B265="","",IFERROR(_xll.BDP(TICKER,"DEEP_MEASURE_PERIOD_BROKER_VALUE","DEEP_MEASURE_ID_OVERRIDE",$C265,"DEEP_BROKER_ID_OVERRIDE",$F$7,"DEEP_PERIOD_OVERRIDE",U$11)*1,"")))</f>
        <v/>
      </c>
      <c r="V265" s="17" t="str">
        <f>IF(ISNA($B265),"",IF($B265="","",IFERROR(_xll.BDP(TICKER,"DEEP_MEASURE_PERIOD_BROKER_VALUE","DEEP_MEASURE_ID_OVERRIDE",$C265,"DEEP_BROKER_ID_OVERRIDE",$F$7,"DEEP_PERIOD_OVERRIDE",V$11)*1,"")))</f>
        <v/>
      </c>
      <c r="W265" s="17" t="str">
        <f>IF(ISNA($B265),"",IF($B265="","",IFERROR(_xll.BDP(TICKER,"DEEP_MEASURE_PERIOD_BROKER_VALUE","DEEP_MEASURE_ID_OVERRIDE",$C265,"DEEP_BROKER_ID_OVERRIDE",$F$7,"DEEP_PERIOD_OVERRIDE",W$11)*1,"")))</f>
        <v/>
      </c>
      <c r="X265" s="17" t="str">
        <f>IF(ISNA($B265),"",IF($B265="","",IFERROR(_xll.BDP(TICKER,"DEEP_MEASURE_PERIOD_BROKER_VALUE","DEEP_MEASURE_ID_OVERRIDE",$C265,"DEEP_BROKER_ID_OVERRIDE",$F$7,"DEEP_PERIOD_OVERRIDE",X$11)*1,"")))</f>
        <v/>
      </c>
      <c r="Y265" s="17" t="str">
        <f>IF(ISNA($B265),"",IF($B265="","",IFERROR(_xll.BDP(TICKER,"DEEP_MEASURE_PERIOD_BROKER_VALUE","DEEP_MEASURE_ID_OVERRIDE",$C265,"DEEP_BROKER_ID_OVERRIDE",$F$7,"DEEP_PERIOD_OVERRIDE",Y$11)*1,"")))</f>
        <v/>
      </c>
      <c r="Z265" s="17" t="str">
        <f>IF(ISNA($B265),"",IF($B265="","",IFERROR(_xll.BDP(TICKER,"DEEP_MEASURE_PERIOD_BROKER_VALUE","DEEP_MEASURE_ID_OVERRIDE",$C265,"DEEP_BROKER_ID_OVERRIDE",$F$7,"DEEP_PERIOD_OVERRIDE",Z$11)*1,"")))</f>
        <v/>
      </c>
      <c r="AA265" s="17" t="str">
        <f>IF(ISNA($B265),"",IF($B265="","",IFERROR(_xll.BDP(TICKER,"DEEP_MEASURE_PERIOD_BROKER_VALUE","DEEP_MEASURE_ID_OVERRIDE",$C265,"DEEP_BROKER_ID_OVERRIDE",$F$7,"DEEP_PERIOD_OVERRIDE",AA$11)*1,"")))</f>
        <v/>
      </c>
      <c r="AB265" s="17" t="str">
        <f>IF(ISNA($B265),"",IF($B265="","",IFERROR(_xll.BDP(TICKER,"DEEP_MEASURE_PERIOD_BROKER_VALUE","DEEP_MEASURE_ID_OVERRIDE",$C265,"DEEP_BROKER_ID_OVERRIDE",$F$7,"DEEP_PERIOD_OVERRIDE",AB$11)*1,"")))</f>
        <v/>
      </c>
      <c r="AC265" s="17" t="str">
        <f>IF(ISNA($B265),"",IF($B265="","",IFERROR(_xll.BDP(TICKER,"DEEP_MEASURE_PERIOD_BROKER_VALUE","DEEP_MEASURE_ID_OVERRIDE",$C265,"DEEP_BROKER_ID_OVERRIDE",$F$7,"DEEP_PERIOD_OVERRIDE",AC$11)*1,"")))</f>
        <v/>
      </c>
      <c r="AD265" s="17" t="str">
        <f>IF(ISNA($B265),"",IF($B265="","",IFERROR(_xll.BDP(TICKER,"DEEP_MEASURE_PERIOD_BROKER_VALUE","DEEP_MEASURE_ID_OVERRIDE",$C265,"DEEP_BROKER_ID_OVERRIDE",$F$7,"DEEP_PERIOD_OVERRIDE",AD$11)*1,"")))</f>
        <v/>
      </c>
      <c r="AE265" s="17" t="str">
        <f>IF(ISNA($B265),"",IF($B265="","",IFERROR(_xll.BDP(TICKER,"DEEP_MEASURE_PERIOD_BROKER_VALUE","DEEP_MEASURE_ID_OVERRIDE",$C265,"DEEP_BROKER_ID_OVERRIDE",$F$7,"DEEP_PERIOD_OVERRIDE",AE$11)*1,"")))</f>
        <v/>
      </c>
      <c r="AF265" s="17" t="str">
        <f>IF(ISNA($B265),"",IF($B265="","",IFERROR(_xll.BDP(TICKER,"DEEP_MEASURE_PERIOD_BROKER_VALUE","DEEP_MEASURE_ID_OVERRIDE",$C265,"DEEP_BROKER_ID_OVERRIDE",$F$7,"DEEP_PERIOD_OVERRIDE",AF$11)*1,"")))</f>
        <v/>
      </c>
      <c r="AG265" s="17" t="str">
        <f>IF(ISNA($B265),"",IF($B265="","",IFERROR(_xll.BDP(TICKER,"DEEP_MEASURE_PERIOD_BROKER_VALUE","DEEP_MEASURE_ID_OVERRIDE",$C265,"DEEP_BROKER_ID_OVERRIDE",$F$7,"DEEP_PERIOD_OVERRIDE",AG$11)*1,"")))</f>
        <v/>
      </c>
      <c r="AH265" s="17" t="str">
        <f>IF(ISNA($B265),"",IF($B265="","",IFERROR(_xll.BDP(TICKER,"DEEP_MEASURE_PERIOD_BROKER_VALUE","DEEP_MEASURE_ID_OVERRIDE",$C265,"DEEP_BROKER_ID_OVERRIDE",$F$7,"DEEP_PERIOD_OVERRIDE",AH$11)*1,"")))</f>
        <v/>
      </c>
      <c r="AI265" s="17" t="str">
        <f>IF(ISNA($B265),"",IF($B265="","",IFERROR(_xll.BDP(TICKER,"DEEP_MEASURE_PERIOD_BROKER_VALUE","DEEP_MEASURE_ID_OVERRIDE",$C265,"DEEP_BROKER_ID_OVERRIDE",$F$7,"DEEP_PERIOD_OVERRIDE",AI$11)*1,"")))</f>
        <v/>
      </c>
      <c r="AJ265" s="17" t="str">
        <f>IF(ISNA($B265),"",IF($B265="","",IFERROR(_xll.BDP(TICKER,"DEEP_MEASURE_PERIOD_BROKER_VALUE","DEEP_MEASURE_ID_OVERRIDE",$C265,"DEEP_BROKER_ID_OVERRIDE",$F$7,"DEEP_PERIOD_OVERRIDE",AJ$11)*1,"")))</f>
        <v/>
      </c>
      <c r="AK265" s="17" t="str">
        <f>IF(ISNA($B265),"",IF($B265="","",IFERROR(_xll.BDP(TICKER,"DEEP_MEASURE_PERIOD_BROKER_VALUE","DEEP_MEASURE_ID_OVERRIDE",$C265,"DEEP_BROKER_ID_OVERRIDE",$F$7,"DEEP_PERIOD_OVERRIDE",AK$11)*1,"")))</f>
        <v/>
      </c>
      <c r="AL265" s="17" t="str">
        <f>IF(ISNA($B265),"",IF($B265="","",IFERROR(_xll.BDP(TICKER,"DEEP_MEASURE_PERIOD_BROKER_VALUE","DEEP_MEASURE_ID_OVERRIDE",$C265,"DEEP_BROKER_ID_OVERRIDE",$F$7,"DEEP_PERIOD_OVERRIDE",AL$11)*1,"")))</f>
        <v/>
      </c>
      <c r="AM265" s="17" t="str">
        <f>IF(ISNA($B265),"",IF($B265="","",IFERROR(_xll.BDP(TICKER,"DEEP_MEASURE_PERIOD_BROKER_VALUE","DEEP_MEASURE_ID_OVERRIDE",$C265,"DEEP_BROKER_ID_OVERRIDE",$F$7,"DEEP_PERIOD_OVERRIDE",AM$11)*1,"")))</f>
        <v/>
      </c>
      <c r="AN265" s="17" t="str">
        <f>IF(ISNA($B265),"",IF($B265="","",IFERROR(_xll.BDP(TICKER,"DEEP_MEASURE_PERIOD_BROKER_VALUE","DEEP_MEASURE_ID_OVERRIDE",$C265,"DEEP_BROKER_ID_OVERRIDE",$F$7,"DEEP_PERIOD_OVERRIDE",AN$11)*1,"")))</f>
        <v/>
      </c>
      <c r="AO265" s="17" t="str">
        <f>IF(ISNA($B265),"",IF($B265="","",IFERROR(_xll.BDP(TICKER,"DEEP_MEASURE_PERIOD_BROKER_VALUE","DEEP_MEASURE_ID_OVERRIDE",$C265,"DEEP_BROKER_ID_OVERRIDE",$F$7,"DEEP_PERIOD_OVERRIDE",AO$11)*1,"")))</f>
        <v/>
      </c>
      <c r="AP265" s="17" t="str">
        <f>IF(ISNA($B265),"",IF($B265="","",IFERROR(_xll.BDP(TICKER,"DEEP_MEASURE_PERIOD_BROKER_VALUE","DEEP_MEASURE_ID_OVERRIDE",$C265,"DEEP_BROKER_ID_OVERRIDE",$F$7,"DEEP_PERIOD_OVERRIDE",AP$11)*1,"")))</f>
        <v/>
      </c>
      <c r="AQ265" s="17" t="str">
        <f>IF(ISNA($B265),"",IF($B265="","",IFERROR(_xll.BDP(TICKER,"DEEP_MEASURE_PERIOD_BROKER_VALUE","DEEP_MEASURE_ID_OVERRIDE",$C265,"DEEP_BROKER_ID_OVERRIDE",$F$7,"DEEP_PERIOD_OVERRIDE",AQ$11)*1,"")))</f>
        <v/>
      </c>
    </row>
    <row r="266" spans="8:43" x14ac:dyDescent="0.25">
      <c r="H266" t="str">
        <f t="shared" si="5"/>
        <v/>
      </c>
      <c r="I266" s="17" t="str">
        <f>IF(ISNA($B266),"",IF($B266="","",IFERROR(_xll.BDP(TICKER,"DEEP_MEASURE_PERIOD_BROKER_VALUE","DEEP_MEASURE_ID_OVERRIDE",$C266,"DEEP_BROKER_ID_OVERRIDE",$F$7,"DEEP_PERIOD_OVERRIDE",I$11)*1,"")))</f>
        <v/>
      </c>
      <c r="J266" s="17" t="str">
        <f>IF(ISNA($B266),"",IF($B266="","",IFERROR(_xll.BDP(TICKER,"DEEP_MEASURE_PERIOD_BROKER_VALUE","DEEP_MEASURE_ID_OVERRIDE",$C266,"DEEP_BROKER_ID_OVERRIDE",$F$7,"DEEP_PERIOD_OVERRIDE",J$11)*1,"")))</f>
        <v/>
      </c>
      <c r="K266" s="17" t="str">
        <f>IF(ISNA($B266),"",IF($B266="","",IFERROR(_xll.BDP(TICKER,"DEEP_MEASURE_PERIOD_BROKER_VALUE","DEEP_MEASURE_ID_OVERRIDE",$C266,"DEEP_BROKER_ID_OVERRIDE",$F$7,"DEEP_PERIOD_OVERRIDE",K$11)*1,"")))</f>
        <v/>
      </c>
      <c r="L266" s="17" t="str">
        <f>IF(ISNA($B266),"",IF($B266="","",IFERROR(_xll.BDP(TICKER,"DEEP_MEASURE_PERIOD_BROKER_VALUE","DEEP_MEASURE_ID_OVERRIDE",$C266,"DEEP_BROKER_ID_OVERRIDE",$F$7,"DEEP_PERIOD_OVERRIDE",L$11)*1,"")))</f>
        <v/>
      </c>
      <c r="M266" s="17" t="str">
        <f>IF(ISNA($B266),"",IF($B266="","",IFERROR(_xll.BDP(TICKER,"DEEP_MEASURE_PERIOD_BROKER_VALUE","DEEP_MEASURE_ID_OVERRIDE",$C266,"DEEP_BROKER_ID_OVERRIDE",$F$7,"DEEP_PERIOD_OVERRIDE",M$11)*1,"")))</f>
        <v/>
      </c>
      <c r="N266" s="17" t="str">
        <f>IF(ISNA($B266),"",IF($B266="","",IFERROR(_xll.BDP(TICKER,"DEEP_MEASURE_PERIOD_BROKER_VALUE","DEEP_MEASURE_ID_OVERRIDE",$C266,"DEEP_BROKER_ID_OVERRIDE",$F$7,"DEEP_PERIOD_OVERRIDE",N$11)*1,"")))</f>
        <v/>
      </c>
      <c r="O266" s="17" t="str">
        <f>IF(ISNA($B266),"",IF($B266="","",IFERROR(_xll.BDP(TICKER,"DEEP_MEASURE_PERIOD_BROKER_VALUE","DEEP_MEASURE_ID_OVERRIDE",$C266,"DEEP_BROKER_ID_OVERRIDE",$F$7,"DEEP_PERIOD_OVERRIDE",O$11)*1,"")))</f>
        <v/>
      </c>
      <c r="P266" s="17" t="str">
        <f>IF(ISNA($B266),"",IF($B266="","",IFERROR(_xll.BDP(TICKER,"DEEP_MEASURE_PERIOD_BROKER_VALUE","DEEP_MEASURE_ID_OVERRIDE",$C266,"DEEP_BROKER_ID_OVERRIDE",$F$7,"DEEP_PERIOD_OVERRIDE",P$11)*1,"")))</f>
        <v/>
      </c>
      <c r="Q266" s="17" t="str">
        <f>IF(ISNA($B266),"",IF($B266="","",IFERROR(_xll.BDP(TICKER,"DEEP_MEASURE_PERIOD_BROKER_VALUE","DEEP_MEASURE_ID_OVERRIDE",$C266,"DEEP_BROKER_ID_OVERRIDE",$F$7,"DEEP_PERIOD_OVERRIDE",Q$11)*1,"")))</f>
        <v/>
      </c>
      <c r="R266" s="17" t="str">
        <f>IF(ISNA($B266),"",IF($B266="","",IFERROR(_xll.BDP(TICKER,"DEEP_MEASURE_PERIOD_BROKER_VALUE","DEEP_MEASURE_ID_OVERRIDE",$C266,"DEEP_BROKER_ID_OVERRIDE",$F$7,"DEEP_PERIOD_OVERRIDE",R$11)*1,"")))</f>
        <v/>
      </c>
      <c r="S266" s="17" t="str">
        <f>IF(ISNA($B266),"",IF($B266="","",IFERROR(_xll.BDP(TICKER,"DEEP_MEASURE_PERIOD_BROKER_VALUE","DEEP_MEASURE_ID_OVERRIDE",$C266,"DEEP_BROKER_ID_OVERRIDE",$F$7,"DEEP_PERIOD_OVERRIDE",S$11)*1,"")))</f>
        <v/>
      </c>
      <c r="T266" s="17" t="str">
        <f>IF(ISNA($B266),"",IF($B266="","",IFERROR(_xll.BDP(TICKER,"DEEP_MEASURE_PERIOD_BROKER_VALUE","DEEP_MEASURE_ID_OVERRIDE",$C266,"DEEP_BROKER_ID_OVERRIDE",$F$7,"DEEP_PERIOD_OVERRIDE",T$11)*1,"")))</f>
        <v/>
      </c>
      <c r="U266" s="17" t="str">
        <f>IF(ISNA($B266),"",IF($B266="","",IFERROR(_xll.BDP(TICKER,"DEEP_MEASURE_PERIOD_BROKER_VALUE","DEEP_MEASURE_ID_OVERRIDE",$C266,"DEEP_BROKER_ID_OVERRIDE",$F$7,"DEEP_PERIOD_OVERRIDE",U$11)*1,"")))</f>
        <v/>
      </c>
      <c r="V266" s="17" t="str">
        <f>IF(ISNA($B266),"",IF($B266="","",IFERROR(_xll.BDP(TICKER,"DEEP_MEASURE_PERIOD_BROKER_VALUE","DEEP_MEASURE_ID_OVERRIDE",$C266,"DEEP_BROKER_ID_OVERRIDE",$F$7,"DEEP_PERIOD_OVERRIDE",V$11)*1,"")))</f>
        <v/>
      </c>
      <c r="W266" s="17" t="str">
        <f>IF(ISNA($B266),"",IF($B266="","",IFERROR(_xll.BDP(TICKER,"DEEP_MEASURE_PERIOD_BROKER_VALUE","DEEP_MEASURE_ID_OVERRIDE",$C266,"DEEP_BROKER_ID_OVERRIDE",$F$7,"DEEP_PERIOD_OVERRIDE",W$11)*1,"")))</f>
        <v/>
      </c>
      <c r="X266" s="17" t="str">
        <f>IF(ISNA($B266),"",IF($B266="","",IFERROR(_xll.BDP(TICKER,"DEEP_MEASURE_PERIOD_BROKER_VALUE","DEEP_MEASURE_ID_OVERRIDE",$C266,"DEEP_BROKER_ID_OVERRIDE",$F$7,"DEEP_PERIOD_OVERRIDE",X$11)*1,"")))</f>
        <v/>
      </c>
      <c r="Y266" s="17" t="str">
        <f>IF(ISNA($B266),"",IF($B266="","",IFERROR(_xll.BDP(TICKER,"DEEP_MEASURE_PERIOD_BROKER_VALUE","DEEP_MEASURE_ID_OVERRIDE",$C266,"DEEP_BROKER_ID_OVERRIDE",$F$7,"DEEP_PERIOD_OVERRIDE",Y$11)*1,"")))</f>
        <v/>
      </c>
      <c r="Z266" s="17" t="str">
        <f>IF(ISNA($B266),"",IF($B266="","",IFERROR(_xll.BDP(TICKER,"DEEP_MEASURE_PERIOD_BROKER_VALUE","DEEP_MEASURE_ID_OVERRIDE",$C266,"DEEP_BROKER_ID_OVERRIDE",$F$7,"DEEP_PERIOD_OVERRIDE",Z$11)*1,"")))</f>
        <v/>
      </c>
      <c r="AA266" s="17" t="str">
        <f>IF(ISNA($B266),"",IF($B266="","",IFERROR(_xll.BDP(TICKER,"DEEP_MEASURE_PERIOD_BROKER_VALUE","DEEP_MEASURE_ID_OVERRIDE",$C266,"DEEP_BROKER_ID_OVERRIDE",$F$7,"DEEP_PERIOD_OVERRIDE",AA$11)*1,"")))</f>
        <v/>
      </c>
      <c r="AB266" s="17" t="str">
        <f>IF(ISNA($B266),"",IF($B266="","",IFERROR(_xll.BDP(TICKER,"DEEP_MEASURE_PERIOD_BROKER_VALUE","DEEP_MEASURE_ID_OVERRIDE",$C266,"DEEP_BROKER_ID_OVERRIDE",$F$7,"DEEP_PERIOD_OVERRIDE",AB$11)*1,"")))</f>
        <v/>
      </c>
      <c r="AC266" s="17" t="str">
        <f>IF(ISNA($B266),"",IF($B266="","",IFERROR(_xll.BDP(TICKER,"DEEP_MEASURE_PERIOD_BROKER_VALUE","DEEP_MEASURE_ID_OVERRIDE",$C266,"DEEP_BROKER_ID_OVERRIDE",$F$7,"DEEP_PERIOD_OVERRIDE",AC$11)*1,"")))</f>
        <v/>
      </c>
      <c r="AD266" s="17" t="str">
        <f>IF(ISNA($B266),"",IF($B266="","",IFERROR(_xll.BDP(TICKER,"DEEP_MEASURE_PERIOD_BROKER_VALUE","DEEP_MEASURE_ID_OVERRIDE",$C266,"DEEP_BROKER_ID_OVERRIDE",$F$7,"DEEP_PERIOD_OVERRIDE",AD$11)*1,"")))</f>
        <v/>
      </c>
      <c r="AE266" s="17" t="str">
        <f>IF(ISNA($B266),"",IF($B266="","",IFERROR(_xll.BDP(TICKER,"DEEP_MEASURE_PERIOD_BROKER_VALUE","DEEP_MEASURE_ID_OVERRIDE",$C266,"DEEP_BROKER_ID_OVERRIDE",$F$7,"DEEP_PERIOD_OVERRIDE",AE$11)*1,"")))</f>
        <v/>
      </c>
      <c r="AF266" s="17" t="str">
        <f>IF(ISNA($B266),"",IF($B266="","",IFERROR(_xll.BDP(TICKER,"DEEP_MEASURE_PERIOD_BROKER_VALUE","DEEP_MEASURE_ID_OVERRIDE",$C266,"DEEP_BROKER_ID_OVERRIDE",$F$7,"DEEP_PERIOD_OVERRIDE",AF$11)*1,"")))</f>
        <v/>
      </c>
      <c r="AG266" s="17" t="str">
        <f>IF(ISNA($B266),"",IF($B266="","",IFERROR(_xll.BDP(TICKER,"DEEP_MEASURE_PERIOD_BROKER_VALUE","DEEP_MEASURE_ID_OVERRIDE",$C266,"DEEP_BROKER_ID_OVERRIDE",$F$7,"DEEP_PERIOD_OVERRIDE",AG$11)*1,"")))</f>
        <v/>
      </c>
      <c r="AH266" s="17" t="str">
        <f>IF(ISNA($B266),"",IF($B266="","",IFERROR(_xll.BDP(TICKER,"DEEP_MEASURE_PERIOD_BROKER_VALUE","DEEP_MEASURE_ID_OVERRIDE",$C266,"DEEP_BROKER_ID_OVERRIDE",$F$7,"DEEP_PERIOD_OVERRIDE",AH$11)*1,"")))</f>
        <v/>
      </c>
      <c r="AI266" s="17" t="str">
        <f>IF(ISNA($B266),"",IF($B266="","",IFERROR(_xll.BDP(TICKER,"DEEP_MEASURE_PERIOD_BROKER_VALUE","DEEP_MEASURE_ID_OVERRIDE",$C266,"DEEP_BROKER_ID_OVERRIDE",$F$7,"DEEP_PERIOD_OVERRIDE",AI$11)*1,"")))</f>
        <v/>
      </c>
      <c r="AJ266" s="17" t="str">
        <f>IF(ISNA($B266),"",IF($B266="","",IFERROR(_xll.BDP(TICKER,"DEEP_MEASURE_PERIOD_BROKER_VALUE","DEEP_MEASURE_ID_OVERRIDE",$C266,"DEEP_BROKER_ID_OVERRIDE",$F$7,"DEEP_PERIOD_OVERRIDE",AJ$11)*1,"")))</f>
        <v/>
      </c>
      <c r="AK266" s="17" t="str">
        <f>IF(ISNA($B266),"",IF($B266="","",IFERROR(_xll.BDP(TICKER,"DEEP_MEASURE_PERIOD_BROKER_VALUE","DEEP_MEASURE_ID_OVERRIDE",$C266,"DEEP_BROKER_ID_OVERRIDE",$F$7,"DEEP_PERIOD_OVERRIDE",AK$11)*1,"")))</f>
        <v/>
      </c>
      <c r="AL266" s="17" t="str">
        <f>IF(ISNA($B266),"",IF($B266="","",IFERROR(_xll.BDP(TICKER,"DEEP_MEASURE_PERIOD_BROKER_VALUE","DEEP_MEASURE_ID_OVERRIDE",$C266,"DEEP_BROKER_ID_OVERRIDE",$F$7,"DEEP_PERIOD_OVERRIDE",AL$11)*1,"")))</f>
        <v/>
      </c>
      <c r="AM266" s="17" t="str">
        <f>IF(ISNA($B266),"",IF($B266="","",IFERROR(_xll.BDP(TICKER,"DEEP_MEASURE_PERIOD_BROKER_VALUE","DEEP_MEASURE_ID_OVERRIDE",$C266,"DEEP_BROKER_ID_OVERRIDE",$F$7,"DEEP_PERIOD_OVERRIDE",AM$11)*1,"")))</f>
        <v/>
      </c>
      <c r="AN266" s="17" t="str">
        <f>IF(ISNA($B266),"",IF($B266="","",IFERROR(_xll.BDP(TICKER,"DEEP_MEASURE_PERIOD_BROKER_VALUE","DEEP_MEASURE_ID_OVERRIDE",$C266,"DEEP_BROKER_ID_OVERRIDE",$F$7,"DEEP_PERIOD_OVERRIDE",AN$11)*1,"")))</f>
        <v/>
      </c>
      <c r="AO266" s="17" t="str">
        <f>IF(ISNA($B266),"",IF($B266="","",IFERROR(_xll.BDP(TICKER,"DEEP_MEASURE_PERIOD_BROKER_VALUE","DEEP_MEASURE_ID_OVERRIDE",$C266,"DEEP_BROKER_ID_OVERRIDE",$F$7,"DEEP_PERIOD_OVERRIDE",AO$11)*1,"")))</f>
        <v/>
      </c>
      <c r="AP266" s="17" t="str">
        <f>IF(ISNA($B266),"",IF($B266="","",IFERROR(_xll.BDP(TICKER,"DEEP_MEASURE_PERIOD_BROKER_VALUE","DEEP_MEASURE_ID_OVERRIDE",$C266,"DEEP_BROKER_ID_OVERRIDE",$F$7,"DEEP_PERIOD_OVERRIDE",AP$11)*1,"")))</f>
        <v/>
      </c>
      <c r="AQ266" s="17" t="str">
        <f>IF(ISNA($B266),"",IF($B266="","",IFERROR(_xll.BDP(TICKER,"DEEP_MEASURE_PERIOD_BROKER_VALUE","DEEP_MEASURE_ID_OVERRIDE",$C266,"DEEP_BROKER_ID_OVERRIDE",$F$7,"DEEP_PERIOD_OVERRIDE",AQ$11)*1,"")))</f>
        <v/>
      </c>
    </row>
    <row r="267" spans="8:43" x14ac:dyDescent="0.25">
      <c r="H267" t="str">
        <f t="shared" si="5"/>
        <v/>
      </c>
      <c r="I267" s="17" t="str">
        <f>IF(ISNA($B267),"",IF($B267="","",IFERROR(_xll.BDP(TICKER,"DEEP_MEASURE_PERIOD_BROKER_VALUE","DEEP_MEASURE_ID_OVERRIDE",$C267,"DEEP_BROKER_ID_OVERRIDE",$F$7,"DEEP_PERIOD_OVERRIDE",I$11)*1,"")))</f>
        <v/>
      </c>
      <c r="J267" s="17" t="str">
        <f>IF(ISNA($B267),"",IF($B267="","",IFERROR(_xll.BDP(TICKER,"DEEP_MEASURE_PERIOD_BROKER_VALUE","DEEP_MEASURE_ID_OVERRIDE",$C267,"DEEP_BROKER_ID_OVERRIDE",$F$7,"DEEP_PERIOD_OVERRIDE",J$11)*1,"")))</f>
        <v/>
      </c>
      <c r="K267" s="17" t="str">
        <f>IF(ISNA($B267),"",IF($B267="","",IFERROR(_xll.BDP(TICKER,"DEEP_MEASURE_PERIOD_BROKER_VALUE","DEEP_MEASURE_ID_OVERRIDE",$C267,"DEEP_BROKER_ID_OVERRIDE",$F$7,"DEEP_PERIOD_OVERRIDE",K$11)*1,"")))</f>
        <v/>
      </c>
      <c r="L267" s="17" t="str">
        <f>IF(ISNA($B267),"",IF($B267="","",IFERROR(_xll.BDP(TICKER,"DEEP_MEASURE_PERIOD_BROKER_VALUE","DEEP_MEASURE_ID_OVERRIDE",$C267,"DEEP_BROKER_ID_OVERRIDE",$F$7,"DEEP_PERIOD_OVERRIDE",L$11)*1,"")))</f>
        <v/>
      </c>
      <c r="M267" s="17" t="str">
        <f>IF(ISNA($B267),"",IF($B267="","",IFERROR(_xll.BDP(TICKER,"DEEP_MEASURE_PERIOD_BROKER_VALUE","DEEP_MEASURE_ID_OVERRIDE",$C267,"DEEP_BROKER_ID_OVERRIDE",$F$7,"DEEP_PERIOD_OVERRIDE",M$11)*1,"")))</f>
        <v/>
      </c>
      <c r="N267" s="17" t="str">
        <f>IF(ISNA($B267),"",IF($B267="","",IFERROR(_xll.BDP(TICKER,"DEEP_MEASURE_PERIOD_BROKER_VALUE","DEEP_MEASURE_ID_OVERRIDE",$C267,"DEEP_BROKER_ID_OVERRIDE",$F$7,"DEEP_PERIOD_OVERRIDE",N$11)*1,"")))</f>
        <v/>
      </c>
      <c r="O267" s="17" t="str">
        <f>IF(ISNA($B267),"",IF($B267="","",IFERROR(_xll.BDP(TICKER,"DEEP_MEASURE_PERIOD_BROKER_VALUE","DEEP_MEASURE_ID_OVERRIDE",$C267,"DEEP_BROKER_ID_OVERRIDE",$F$7,"DEEP_PERIOD_OVERRIDE",O$11)*1,"")))</f>
        <v/>
      </c>
      <c r="P267" s="17" t="str">
        <f>IF(ISNA($B267),"",IF($B267="","",IFERROR(_xll.BDP(TICKER,"DEEP_MEASURE_PERIOD_BROKER_VALUE","DEEP_MEASURE_ID_OVERRIDE",$C267,"DEEP_BROKER_ID_OVERRIDE",$F$7,"DEEP_PERIOD_OVERRIDE",P$11)*1,"")))</f>
        <v/>
      </c>
      <c r="Q267" s="17" t="str">
        <f>IF(ISNA($B267),"",IF($B267="","",IFERROR(_xll.BDP(TICKER,"DEEP_MEASURE_PERIOD_BROKER_VALUE","DEEP_MEASURE_ID_OVERRIDE",$C267,"DEEP_BROKER_ID_OVERRIDE",$F$7,"DEEP_PERIOD_OVERRIDE",Q$11)*1,"")))</f>
        <v/>
      </c>
      <c r="R267" s="17" t="str">
        <f>IF(ISNA($B267),"",IF($B267="","",IFERROR(_xll.BDP(TICKER,"DEEP_MEASURE_PERIOD_BROKER_VALUE","DEEP_MEASURE_ID_OVERRIDE",$C267,"DEEP_BROKER_ID_OVERRIDE",$F$7,"DEEP_PERIOD_OVERRIDE",R$11)*1,"")))</f>
        <v/>
      </c>
      <c r="S267" s="17" t="str">
        <f>IF(ISNA($B267),"",IF($B267="","",IFERROR(_xll.BDP(TICKER,"DEEP_MEASURE_PERIOD_BROKER_VALUE","DEEP_MEASURE_ID_OVERRIDE",$C267,"DEEP_BROKER_ID_OVERRIDE",$F$7,"DEEP_PERIOD_OVERRIDE",S$11)*1,"")))</f>
        <v/>
      </c>
      <c r="T267" s="17" t="str">
        <f>IF(ISNA($B267),"",IF($B267="","",IFERROR(_xll.BDP(TICKER,"DEEP_MEASURE_PERIOD_BROKER_VALUE","DEEP_MEASURE_ID_OVERRIDE",$C267,"DEEP_BROKER_ID_OVERRIDE",$F$7,"DEEP_PERIOD_OVERRIDE",T$11)*1,"")))</f>
        <v/>
      </c>
      <c r="U267" s="17" t="str">
        <f>IF(ISNA($B267),"",IF($B267="","",IFERROR(_xll.BDP(TICKER,"DEEP_MEASURE_PERIOD_BROKER_VALUE","DEEP_MEASURE_ID_OVERRIDE",$C267,"DEEP_BROKER_ID_OVERRIDE",$F$7,"DEEP_PERIOD_OVERRIDE",U$11)*1,"")))</f>
        <v/>
      </c>
      <c r="V267" s="17" t="str">
        <f>IF(ISNA($B267),"",IF($B267="","",IFERROR(_xll.BDP(TICKER,"DEEP_MEASURE_PERIOD_BROKER_VALUE","DEEP_MEASURE_ID_OVERRIDE",$C267,"DEEP_BROKER_ID_OVERRIDE",$F$7,"DEEP_PERIOD_OVERRIDE",V$11)*1,"")))</f>
        <v/>
      </c>
      <c r="W267" s="17" t="str">
        <f>IF(ISNA($B267),"",IF($B267="","",IFERROR(_xll.BDP(TICKER,"DEEP_MEASURE_PERIOD_BROKER_VALUE","DEEP_MEASURE_ID_OVERRIDE",$C267,"DEEP_BROKER_ID_OVERRIDE",$F$7,"DEEP_PERIOD_OVERRIDE",W$11)*1,"")))</f>
        <v/>
      </c>
      <c r="X267" s="17" t="str">
        <f>IF(ISNA($B267),"",IF($B267="","",IFERROR(_xll.BDP(TICKER,"DEEP_MEASURE_PERIOD_BROKER_VALUE","DEEP_MEASURE_ID_OVERRIDE",$C267,"DEEP_BROKER_ID_OVERRIDE",$F$7,"DEEP_PERIOD_OVERRIDE",X$11)*1,"")))</f>
        <v/>
      </c>
      <c r="Y267" s="17" t="str">
        <f>IF(ISNA($B267),"",IF($B267="","",IFERROR(_xll.BDP(TICKER,"DEEP_MEASURE_PERIOD_BROKER_VALUE","DEEP_MEASURE_ID_OVERRIDE",$C267,"DEEP_BROKER_ID_OVERRIDE",$F$7,"DEEP_PERIOD_OVERRIDE",Y$11)*1,"")))</f>
        <v/>
      </c>
      <c r="Z267" s="17" t="str">
        <f>IF(ISNA($B267),"",IF($B267="","",IFERROR(_xll.BDP(TICKER,"DEEP_MEASURE_PERIOD_BROKER_VALUE","DEEP_MEASURE_ID_OVERRIDE",$C267,"DEEP_BROKER_ID_OVERRIDE",$F$7,"DEEP_PERIOD_OVERRIDE",Z$11)*1,"")))</f>
        <v/>
      </c>
      <c r="AA267" s="17" t="str">
        <f>IF(ISNA($B267),"",IF($B267="","",IFERROR(_xll.BDP(TICKER,"DEEP_MEASURE_PERIOD_BROKER_VALUE","DEEP_MEASURE_ID_OVERRIDE",$C267,"DEEP_BROKER_ID_OVERRIDE",$F$7,"DEEP_PERIOD_OVERRIDE",AA$11)*1,"")))</f>
        <v/>
      </c>
      <c r="AB267" s="17" t="str">
        <f>IF(ISNA($B267),"",IF($B267="","",IFERROR(_xll.BDP(TICKER,"DEEP_MEASURE_PERIOD_BROKER_VALUE","DEEP_MEASURE_ID_OVERRIDE",$C267,"DEEP_BROKER_ID_OVERRIDE",$F$7,"DEEP_PERIOD_OVERRIDE",AB$11)*1,"")))</f>
        <v/>
      </c>
      <c r="AC267" s="17" t="str">
        <f>IF(ISNA($B267),"",IF($B267="","",IFERROR(_xll.BDP(TICKER,"DEEP_MEASURE_PERIOD_BROKER_VALUE","DEEP_MEASURE_ID_OVERRIDE",$C267,"DEEP_BROKER_ID_OVERRIDE",$F$7,"DEEP_PERIOD_OVERRIDE",AC$11)*1,"")))</f>
        <v/>
      </c>
      <c r="AD267" s="17" t="str">
        <f>IF(ISNA($B267),"",IF($B267="","",IFERROR(_xll.BDP(TICKER,"DEEP_MEASURE_PERIOD_BROKER_VALUE","DEEP_MEASURE_ID_OVERRIDE",$C267,"DEEP_BROKER_ID_OVERRIDE",$F$7,"DEEP_PERIOD_OVERRIDE",AD$11)*1,"")))</f>
        <v/>
      </c>
      <c r="AE267" s="17" t="str">
        <f>IF(ISNA($B267),"",IF($B267="","",IFERROR(_xll.BDP(TICKER,"DEEP_MEASURE_PERIOD_BROKER_VALUE","DEEP_MEASURE_ID_OVERRIDE",$C267,"DEEP_BROKER_ID_OVERRIDE",$F$7,"DEEP_PERIOD_OVERRIDE",AE$11)*1,"")))</f>
        <v/>
      </c>
      <c r="AF267" s="17" t="str">
        <f>IF(ISNA($B267),"",IF($B267="","",IFERROR(_xll.BDP(TICKER,"DEEP_MEASURE_PERIOD_BROKER_VALUE","DEEP_MEASURE_ID_OVERRIDE",$C267,"DEEP_BROKER_ID_OVERRIDE",$F$7,"DEEP_PERIOD_OVERRIDE",AF$11)*1,"")))</f>
        <v/>
      </c>
      <c r="AG267" s="17" t="str">
        <f>IF(ISNA($B267),"",IF($B267="","",IFERROR(_xll.BDP(TICKER,"DEEP_MEASURE_PERIOD_BROKER_VALUE","DEEP_MEASURE_ID_OVERRIDE",$C267,"DEEP_BROKER_ID_OVERRIDE",$F$7,"DEEP_PERIOD_OVERRIDE",AG$11)*1,"")))</f>
        <v/>
      </c>
      <c r="AH267" s="17" t="str">
        <f>IF(ISNA($B267),"",IF($B267="","",IFERROR(_xll.BDP(TICKER,"DEEP_MEASURE_PERIOD_BROKER_VALUE","DEEP_MEASURE_ID_OVERRIDE",$C267,"DEEP_BROKER_ID_OVERRIDE",$F$7,"DEEP_PERIOD_OVERRIDE",AH$11)*1,"")))</f>
        <v/>
      </c>
      <c r="AI267" s="17" t="str">
        <f>IF(ISNA($B267),"",IF($B267="","",IFERROR(_xll.BDP(TICKER,"DEEP_MEASURE_PERIOD_BROKER_VALUE","DEEP_MEASURE_ID_OVERRIDE",$C267,"DEEP_BROKER_ID_OVERRIDE",$F$7,"DEEP_PERIOD_OVERRIDE",AI$11)*1,"")))</f>
        <v/>
      </c>
      <c r="AJ267" s="17" t="str">
        <f>IF(ISNA($B267),"",IF($B267="","",IFERROR(_xll.BDP(TICKER,"DEEP_MEASURE_PERIOD_BROKER_VALUE","DEEP_MEASURE_ID_OVERRIDE",$C267,"DEEP_BROKER_ID_OVERRIDE",$F$7,"DEEP_PERIOD_OVERRIDE",AJ$11)*1,"")))</f>
        <v/>
      </c>
      <c r="AK267" s="17" t="str">
        <f>IF(ISNA($B267),"",IF($B267="","",IFERROR(_xll.BDP(TICKER,"DEEP_MEASURE_PERIOD_BROKER_VALUE","DEEP_MEASURE_ID_OVERRIDE",$C267,"DEEP_BROKER_ID_OVERRIDE",$F$7,"DEEP_PERIOD_OVERRIDE",AK$11)*1,"")))</f>
        <v/>
      </c>
      <c r="AL267" s="17" t="str">
        <f>IF(ISNA($B267),"",IF($B267="","",IFERROR(_xll.BDP(TICKER,"DEEP_MEASURE_PERIOD_BROKER_VALUE","DEEP_MEASURE_ID_OVERRIDE",$C267,"DEEP_BROKER_ID_OVERRIDE",$F$7,"DEEP_PERIOD_OVERRIDE",AL$11)*1,"")))</f>
        <v/>
      </c>
      <c r="AM267" s="17" t="str">
        <f>IF(ISNA($B267),"",IF($B267="","",IFERROR(_xll.BDP(TICKER,"DEEP_MEASURE_PERIOD_BROKER_VALUE","DEEP_MEASURE_ID_OVERRIDE",$C267,"DEEP_BROKER_ID_OVERRIDE",$F$7,"DEEP_PERIOD_OVERRIDE",AM$11)*1,"")))</f>
        <v/>
      </c>
      <c r="AN267" s="17" t="str">
        <f>IF(ISNA($B267),"",IF($B267="","",IFERROR(_xll.BDP(TICKER,"DEEP_MEASURE_PERIOD_BROKER_VALUE","DEEP_MEASURE_ID_OVERRIDE",$C267,"DEEP_BROKER_ID_OVERRIDE",$F$7,"DEEP_PERIOD_OVERRIDE",AN$11)*1,"")))</f>
        <v/>
      </c>
      <c r="AO267" s="17" t="str">
        <f>IF(ISNA($B267),"",IF($B267="","",IFERROR(_xll.BDP(TICKER,"DEEP_MEASURE_PERIOD_BROKER_VALUE","DEEP_MEASURE_ID_OVERRIDE",$C267,"DEEP_BROKER_ID_OVERRIDE",$F$7,"DEEP_PERIOD_OVERRIDE",AO$11)*1,"")))</f>
        <v/>
      </c>
      <c r="AP267" s="17" t="str">
        <f>IF(ISNA($B267),"",IF($B267="","",IFERROR(_xll.BDP(TICKER,"DEEP_MEASURE_PERIOD_BROKER_VALUE","DEEP_MEASURE_ID_OVERRIDE",$C267,"DEEP_BROKER_ID_OVERRIDE",$F$7,"DEEP_PERIOD_OVERRIDE",AP$11)*1,"")))</f>
        <v/>
      </c>
      <c r="AQ267" s="17" t="str">
        <f>IF(ISNA($B267),"",IF($B267="","",IFERROR(_xll.BDP(TICKER,"DEEP_MEASURE_PERIOD_BROKER_VALUE","DEEP_MEASURE_ID_OVERRIDE",$C267,"DEEP_BROKER_ID_OVERRIDE",$F$7,"DEEP_PERIOD_OVERRIDE",AQ$11)*1,"")))</f>
        <v/>
      </c>
    </row>
    <row r="268" spans="8:43" x14ac:dyDescent="0.25">
      <c r="H268" t="str">
        <f t="shared" si="5"/>
        <v/>
      </c>
      <c r="I268" s="17" t="str">
        <f>IF(ISNA($B268),"",IF($B268="","",IFERROR(_xll.BDP(TICKER,"DEEP_MEASURE_PERIOD_BROKER_VALUE","DEEP_MEASURE_ID_OVERRIDE",$C268,"DEEP_BROKER_ID_OVERRIDE",$F$7,"DEEP_PERIOD_OVERRIDE",I$11)*1,"")))</f>
        <v/>
      </c>
      <c r="J268" s="17" t="str">
        <f>IF(ISNA($B268),"",IF($B268="","",IFERROR(_xll.BDP(TICKER,"DEEP_MEASURE_PERIOD_BROKER_VALUE","DEEP_MEASURE_ID_OVERRIDE",$C268,"DEEP_BROKER_ID_OVERRIDE",$F$7,"DEEP_PERIOD_OVERRIDE",J$11)*1,"")))</f>
        <v/>
      </c>
      <c r="K268" s="17" t="str">
        <f>IF(ISNA($B268),"",IF($B268="","",IFERROR(_xll.BDP(TICKER,"DEEP_MEASURE_PERIOD_BROKER_VALUE","DEEP_MEASURE_ID_OVERRIDE",$C268,"DEEP_BROKER_ID_OVERRIDE",$F$7,"DEEP_PERIOD_OVERRIDE",K$11)*1,"")))</f>
        <v/>
      </c>
      <c r="L268" s="17" t="str">
        <f>IF(ISNA($B268),"",IF($B268="","",IFERROR(_xll.BDP(TICKER,"DEEP_MEASURE_PERIOD_BROKER_VALUE","DEEP_MEASURE_ID_OVERRIDE",$C268,"DEEP_BROKER_ID_OVERRIDE",$F$7,"DEEP_PERIOD_OVERRIDE",L$11)*1,"")))</f>
        <v/>
      </c>
      <c r="M268" s="17" t="str">
        <f>IF(ISNA($B268),"",IF($B268="","",IFERROR(_xll.BDP(TICKER,"DEEP_MEASURE_PERIOD_BROKER_VALUE","DEEP_MEASURE_ID_OVERRIDE",$C268,"DEEP_BROKER_ID_OVERRIDE",$F$7,"DEEP_PERIOD_OVERRIDE",M$11)*1,"")))</f>
        <v/>
      </c>
      <c r="N268" s="17" t="str">
        <f>IF(ISNA($B268),"",IF($B268="","",IFERROR(_xll.BDP(TICKER,"DEEP_MEASURE_PERIOD_BROKER_VALUE","DEEP_MEASURE_ID_OVERRIDE",$C268,"DEEP_BROKER_ID_OVERRIDE",$F$7,"DEEP_PERIOD_OVERRIDE",N$11)*1,"")))</f>
        <v/>
      </c>
      <c r="O268" s="17" t="str">
        <f>IF(ISNA($B268),"",IF($B268="","",IFERROR(_xll.BDP(TICKER,"DEEP_MEASURE_PERIOD_BROKER_VALUE","DEEP_MEASURE_ID_OVERRIDE",$C268,"DEEP_BROKER_ID_OVERRIDE",$F$7,"DEEP_PERIOD_OVERRIDE",O$11)*1,"")))</f>
        <v/>
      </c>
      <c r="P268" s="17" t="str">
        <f>IF(ISNA($B268),"",IF($B268="","",IFERROR(_xll.BDP(TICKER,"DEEP_MEASURE_PERIOD_BROKER_VALUE","DEEP_MEASURE_ID_OVERRIDE",$C268,"DEEP_BROKER_ID_OVERRIDE",$F$7,"DEEP_PERIOD_OVERRIDE",P$11)*1,"")))</f>
        <v/>
      </c>
      <c r="Q268" s="17" t="str">
        <f>IF(ISNA($B268),"",IF($B268="","",IFERROR(_xll.BDP(TICKER,"DEEP_MEASURE_PERIOD_BROKER_VALUE","DEEP_MEASURE_ID_OVERRIDE",$C268,"DEEP_BROKER_ID_OVERRIDE",$F$7,"DEEP_PERIOD_OVERRIDE",Q$11)*1,"")))</f>
        <v/>
      </c>
      <c r="R268" s="17" t="str">
        <f>IF(ISNA($B268),"",IF($B268="","",IFERROR(_xll.BDP(TICKER,"DEEP_MEASURE_PERIOD_BROKER_VALUE","DEEP_MEASURE_ID_OVERRIDE",$C268,"DEEP_BROKER_ID_OVERRIDE",$F$7,"DEEP_PERIOD_OVERRIDE",R$11)*1,"")))</f>
        <v/>
      </c>
      <c r="S268" s="17" t="str">
        <f>IF(ISNA($B268),"",IF($B268="","",IFERROR(_xll.BDP(TICKER,"DEEP_MEASURE_PERIOD_BROKER_VALUE","DEEP_MEASURE_ID_OVERRIDE",$C268,"DEEP_BROKER_ID_OVERRIDE",$F$7,"DEEP_PERIOD_OVERRIDE",S$11)*1,"")))</f>
        <v/>
      </c>
      <c r="T268" s="17" t="str">
        <f>IF(ISNA($B268),"",IF($B268="","",IFERROR(_xll.BDP(TICKER,"DEEP_MEASURE_PERIOD_BROKER_VALUE","DEEP_MEASURE_ID_OVERRIDE",$C268,"DEEP_BROKER_ID_OVERRIDE",$F$7,"DEEP_PERIOD_OVERRIDE",T$11)*1,"")))</f>
        <v/>
      </c>
      <c r="U268" s="17" t="str">
        <f>IF(ISNA($B268),"",IF($B268="","",IFERROR(_xll.BDP(TICKER,"DEEP_MEASURE_PERIOD_BROKER_VALUE","DEEP_MEASURE_ID_OVERRIDE",$C268,"DEEP_BROKER_ID_OVERRIDE",$F$7,"DEEP_PERIOD_OVERRIDE",U$11)*1,"")))</f>
        <v/>
      </c>
      <c r="V268" s="17" t="str">
        <f>IF(ISNA($B268),"",IF($B268="","",IFERROR(_xll.BDP(TICKER,"DEEP_MEASURE_PERIOD_BROKER_VALUE","DEEP_MEASURE_ID_OVERRIDE",$C268,"DEEP_BROKER_ID_OVERRIDE",$F$7,"DEEP_PERIOD_OVERRIDE",V$11)*1,"")))</f>
        <v/>
      </c>
      <c r="W268" s="17" t="str">
        <f>IF(ISNA($B268),"",IF($B268="","",IFERROR(_xll.BDP(TICKER,"DEEP_MEASURE_PERIOD_BROKER_VALUE","DEEP_MEASURE_ID_OVERRIDE",$C268,"DEEP_BROKER_ID_OVERRIDE",$F$7,"DEEP_PERIOD_OVERRIDE",W$11)*1,"")))</f>
        <v/>
      </c>
      <c r="X268" s="17" t="str">
        <f>IF(ISNA($B268),"",IF($B268="","",IFERROR(_xll.BDP(TICKER,"DEEP_MEASURE_PERIOD_BROKER_VALUE","DEEP_MEASURE_ID_OVERRIDE",$C268,"DEEP_BROKER_ID_OVERRIDE",$F$7,"DEEP_PERIOD_OVERRIDE",X$11)*1,"")))</f>
        <v/>
      </c>
      <c r="Y268" s="17" t="str">
        <f>IF(ISNA($B268),"",IF($B268="","",IFERROR(_xll.BDP(TICKER,"DEEP_MEASURE_PERIOD_BROKER_VALUE","DEEP_MEASURE_ID_OVERRIDE",$C268,"DEEP_BROKER_ID_OVERRIDE",$F$7,"DEEP_PERIOD_OVERRIDE",Y$11)*1,"")))</f>
        <v/>
      </c>
      <c r="Z268" s="17" t="str">
        <f>IF(ISNA($B268),"",IF($B268="","",IFERROR(_xll.BDP(TICKER,"DEEP_MEASURE_PERIOD_BROKER_VALUE","DEEP_MEASURE_ID_OVERRIDE",$C268,"DEEP_BROKER_ID_OVERRIDE",$F$7,"DEEP_PERIOD_OVERRIDE",Z$11)*1,"")))</f>
        <v/>
      </c>
      <c r="AA268" s="17" t="str">
        <f>IF(ISNA($B268),"",IF($B268="","",IFERROR(_xll.BDP(TICKER,"DEEP_MEASURE_PERIOD_BROKER_VALUE","DEEP_MEASURE_ID_OVERRIDE",$C268,"DEEP_BROKER_ID_OVERRIDE",$F$7,"DEEP_PERIOD_OVERRIDE",AA$11)*1,"")))</f>
        <v/>
      </c>
      <c r="AB268" s="17" t="str">
        <f>IF(ISNA($B268),"",IF($B268="","",IFERROR(_xll.BDP(TICKER,"DEEP_MEASURE_PERIOD_BROKER_VALUE","DEEP_MEASURE_ID_OVERRIDE",$C268,"DEEP_BROKER_ID_OVERRIDE",$F$7,"DEEP_PERIOD_OVERRIDE",AB$11)*1,"")))</f>
        <v/>
      </c>
      <c r="AC268" s="17" t="str">
        <f>IF(ISNA($B268),"",IF($B268="","",IFERROR(_xll.BDP(TICKER,"DEEP_MEASURE_PERIOD_BROKER_VALUE","DEEP_MEASURE_ID_OVERRIDE",$C268,"DEEP_BROKER_ID_OVERRIDE",$F$7,"DEEP_PERIOD_OVERRIDE",AC$11)*1,"")))</f>
        <v/>
      </c>
      <c r="AD268" s="17" t="str">
        <f>IF(ISNA($B268),"",IF($B268="","",IFERROR(_xll.BDP(TICKER,"DEEP_MEASURE_PERIOD_BROKER_VALUE","DEEP_MEASURE_ID_OVERRIDE",$C268,"DEEP_BROKER_ID_OVERRIDE",$F$7,"DEEP_PERIOD_OVERRIDE",AD$11)*1,"")))</f>
        <v/>
      </c>
      <c r="AE268" s="17" t="str">
        <f>IF(ISNA($B268),"",IF($B268="","",IFERROR(_xll.BDP(TICKER,"DEEP_MEASURE_PERIOD_BROKER_VALUE","DEEP_MEASURE_ID_OVERRIDE",$C268,"DEEP_BROKER_ID_OVERRIDE",$F$7,"DEEP_PERIOD_OVERRIDE",AE$11)*1,"")))</f>
        <v/>
      </c>
      <c r="AF268" s="17" t="str">
        <f>IF(ISNA($B268),"",IF($B268="","",IFERROR(_xll.BDP(TICKER,"DEEP_MEASURE_PERIOD_BROKER_VALUE","DEEP_MEASURE_ID_OVERRIDE",$C268,"DEEP_BROKER_ID_OVERRIDE",$F$7,"DEEP_PERIOD_OVERRIDE",AF$11)*1,"")))</f>
        <v/>
      </c>
      <c r="AG268" s="17" t="str">
        <f>IF(ISNA($B268),"",IF($B268="","",IFERROR(_xll.BDP(TICKER,"DEEP_MEASURE_PERIOD_BROKER_VALUE","DEEP_MEASURE_ID_OVERRIDE",$C268,"DEEP_BROKER_ID_OVERRIDE",$F$7,"DEEP_PERIOD_OVERRIDE",AG$11)*1,"")))</f>
        <v/>
      </c>
      <c r="AH268" s="17" t="str">
        <f>IF(ISNA($B268),"",IF($B268="","",IFERROR(_xll.BDP(TICKER,"DEEP_MEASURE_PERIOD_BROKER_VALUE","DEEP_MEASURE_ID_OVERRIDE",$C268,"DEEP_BROKER_ID_OVERRIDE",$F$7,"DEEP_PERIOD_OVERRIDE",AH$11)*1,"")))</f>
        <v/>
      </c>
      <c r="AI268" s="17" t="str">
        <f>IF(ISNA($B268),"",IF($B268="","",IFERROR(_xll.BDP(TICKER,"DEEP_MEASURE_PERIOD_BROKER_VALUE","DEEP_MEASURE_ID_OVERRIDE",$C268,"DEEP_BROKER_ID_OVERRIDE",$F$7,"DEEP_PERIOD_OVERRIDE",AI$11)*1,"")))</f>
        <v/>
      </c>
      <c r="AJ268" s="17" t="str">
        <f>IF(ISNA($B268),"",IF($B268="","",IFERROR(_xll.BDP(TICKER,"DEEP_MEASURE_PERIOD_BROKER_VALUE","DEEP_MEASURE_ID_OVERRIDE",$C268,"DEEP_BROKER_ID_OVERRIDE",$F$7,"DEEP_PERIOD_OVERRIDE",AJ$11)*1,"")))</f>
        <v/>
      </c>
      <c r="AK268" s="17" t="str">
        <f>IF(ISNA($B268),"",IF($B268="","",IFERROR(_xll.BDP(TICKER,"DEEP_MEASURE_PERIOD_BROKER_VALUE","DEEP_MEASURE_ID_OVERRIDE",$C268,"DEEP_BROKER_ID_OVERRIDE",$F$7,"DEEP_PERIOD_OVERRIDE",AK$11)*1,"")))</f>
        <v/>
      </c>
      <c r="AL268" s="17" t="str">
        <f>IF(ISNA($B268),"",IF($B268="","",IFERROR(_xll.BDP(TICKER,"DEEP_MEASURE_PERIOD_BROKER_VALUE","DEEP_MEASURE_ID_OVERRIDE",$C268,"DEEP_BROKER_ID_OVERRIDE",$F$7,"DEEP_PERIOD_OVERRIDE",AL$11)*1,"")))</f>
        <v/>
      </c>
      <c r="AM268" s="17" t="str">
        <f>IF(ISNA($B268),"",IF($B268="","",IFERROR(_xll.BDP(TICKER,"DEEP_MEASURE_PERIOD_BROKER_VALUE","DEEP_MEASURE_ID_OVERRIDE",$C268,"DEEP_BROKER_ID_OVERRIDE",$F$7,"DEEP_PERIOD_OVERRIDE",AM$11)*1,"")))</f>
        <v/>
      </c>
      <c r="AN268" s="17" t="str">
        <f>IF(ISNA($B268),"",IF($B268="","",IFERROR(_xll.BDP(TICKER,"DEEP_MEASURE_PERIOD_BROKER_VALUE","DEEP_MEASURE_ID_OVERRIDE",$C268,"DEEP_BROKER_ID_OVERRIDE",$F$7,"DEEP_PERIOD_OVERRIDE",AN$11)*1,"")))</f>
        <v/>
      </c>
      <c r="AO268" s="17" t="str">
        <f>IF(ISNA($B268),"",IF($B268="","",IFERROR(_xll.BDP(TICKER,"DEEP_MEASURE_PERIOD_BROKER_VALUE","DEEP_MEASURE_ID_OVERRIDE",$C268,"DEEP_BROKER_ID_OVERRIDE",$F$7,"DEEP_PERIOD_OVERRIDE",AO$11)*1,"")))</f>
        <v/>
      </c>
      <c r="AP268" s="17" t="str">
        <f>IF(ISNA($B268),"",IF($B268="","",IFERROR(_xll.BDP(TICKER,"DEEP_MEASURE_PERIOD_BROKER_VALUE","DEEP_MEASURE_ID_OVERRIDE",$C268,"DEEP_BROKER_ID_OVERRIDE",$F$7,"DEEP_PERIOD_OVERRIDE",AP$11)*1,"")))</f>
        <v/>
      </c>
      <c r="AQ268" s="17" t="str">
        <f>IF(ISNA($B268),"",IF($B268="","",IFERROR(_xll.BDP(TICKER,"DEEP_MEASURE_PERIOD_BROKER_VALUE","DEEP_MEASURE_ID_OVERRIDE",$C268,"DEEP_BROKER_ID_OVERRIDE",$F$7,"DEEP_PERIOD_OVERRIDE",AQ$11)*1,"")))</f>
        <v/>
      </c>
    </row>
    <row r="269" spans="8:43" x14ac:dyDescent="0.25">
      <c r="H269" t="str">
        <f t="shared" si="5"/>
        <v/>
      </c>
      <c r="I269" s="17" t="str">
        <f>IF(ISNA($B269),"",IF($B269="","",IFERROR(_xll.BDP(TICKER,"DEEP_MEASURE_PERIOD_BROKER_VALUE","DEEP_MEASURE_ID_OVERRIDE",$C269,"DEEP_BROKER_ID_OVERRIDE",$F$7,"DEEP_PERIOD_OVERRIDE",I$11)*1,"")))</f>
        <v/>
      </c>
      <c r="J269" s="17" t="str">
        <f>IF(ISNA($B269),"",IF($B269="","",IFERROR(_xll.BDP(TICKER,"DEEP_MEASURE_PERIOD_BROKER_VALUE","DEEP_MEASURE_ID_OVERRIDE",$C269,"DEEP_BROKER_ID_OVERRIDE",$F$7,"DEEP_PERIOD_OVERRIDE",J$11)*1,"")))</f>
        <v/>
      </c>
      <c r="K269" s="17" t="str">
        <f>IF(ISNA($B269),"",IF($B269="","",IFERROR(_xll.BDP(TICKER,"DEEP_MEASURE_PERIOD_BROKER_VALUE","DEEP_MEASURE_ID_OVERRIDE",$C269,"DEEP_BROKER_ID_OVERRIDE",$F$7,"DEEP_PERIOD_OVERRIDE",K$11)*1,"")))</f>
        <v/>
      </c>
      <c r="L269" s="17" t="str">
        <f>IF(ISNA($B269),"",IF($B269="","",IFERROR(_xll.BDP(TICKER,"DEEP_MEASURE_PERIOD_BROKER_VALUE","DEEP_MEASURE_ID_OVERRIDE",$C269,"DEEP_BROKER_ID_OVERRIDE",$F$7,"DEEP_PERIOD_OVERRIDE",L$11)*1,"")))</f>
        <v/>
      </c>
      <c r="M269" s="17" t="str">
        <f>IF(ISNA($B269),"",IF($B269="","",IFERROR(_xll.BDP(TICKER,"DEEP_MEASURE_PERIOD_BROKER_VALUE","DEEP_MEASURE_ID_OVERRIDE",$C269,"DEEP_BROKER_ID_OVERRIDE",$F$7,"DEEP_PERIOD_OVERRIDE",M$11)*1,"")))</f>
        <v/>
      </c>
      <c r="N269" s="17" t="str">
        <f>IF(ISNA($B269),"",IF($B269="","",IFERROR(_xll.BDP(TICKER,"DEEP_MEASURE_PERIOD_BROKER_VALUE","DEEP_MEASURE_ID_OVERRIDE",$C269,"DEEP_BROKER_ID_OVERRIDE",$F$7,"DEEP_PERIOD_OVERRIDE",N$11)*1,"")))</f>
        <v/>
      </c>
      <c r="O269" s="17" t="str">
        <f>IF(ISNA($B269),"",IF($B269="","",IFERROR(_xll.BDP(TICKER,"DEEP_MEASURE_PERIOD_BROKER_VALUE","DEEP_MEASURE_ID_OVERRIDE",$C269,"DEEP_BROKER_ID_OVERRIDE",$F$7,"DEEP_PERIOD_OVERRIDE",O$11)*1,"")))</f>
        <v/>
      </c>
      <c r="P269" s="17" t="str">
        <f>IF(ISNA($B269),"",IF($B269="","",IFERROR(_xll.BDP(TICKER,"DEEP_MEASURE_PERIOD_BROKER_VALUE","DEEP_MEASURE_ID_OVERRIDE",$C269,"DEEP_BROKER_ID_OVERRIDE",$F$7,"DEEP_PERIOD_OVERRIDE",P$11)*1,"")))</f>
        <v/>
      </c>
      <c r="Q269" s="17" t="str">
        <f>IF(ISNA($B269),"",IF($B269="","",IFERROR(_xll.BDP(TICKER,"DEEP_MEASURE_PERIOD_BROKER_VALUE","DEEP_MEASURE_ID_OVERRIDE",$C269,"DEEP_BROKER_ID_OVERRIDE",$F$7,"DEEP_PERIOD_OVERRIDE",Q$11)*1,"")))</f>
        <v/>
      </c>
      <c r="R269" s="17" t="str">
        <f>IF(ISNA($B269),"",IF($B269="","",IFERROR(_xll.BDP(TICKER,"DEEP_MEASURE_PERIOD_BROKER_VALUE","DEEP_MEASURE_ID_OVERRIDE",$C269,"DEEP_BROKER_ID_OVERRIDE",$F$7,"DEEP_PERIOD_OVERRIDE",R$11)*1,"")))</f>
        <v/>
      </c>
      <c r="S269" s="17" t="str">
        <f>IF(ISNA($B269),"",IF($B269="","",IFERROR(_xll.BDP(TICKER,"DEEP_MEASURE_PERIOD_BROKER_VALUE","DEEP_MEASURE_ID_OVERRIDE",$C269,"DEEP_BROKER_ID_OVERRIDE",$F$7,"DEEP_PERIOD_OVERRIDE",S$11)*1,"")))</f>
        <v/>
      </c>
      <c r="T269" s="17" t="str">
        <f>IF(ISNA($B269),"",IF($B269="","",IFERROR(_xll.BDP(TICKER,"DEEP_MEASURE_PERIOD_BROKER_VALUE","DEEP_MEASURE_ID_OVERRIDE",$C269,"DEEP_BROKER_ID_OVERRIDE",$F$7,"DEEP_PERIOD_OVERRIDE",T$11)*1,"")))</f>
        <v/>
      </c>
      <c r="U269" s="17" t="str">
        <f>IF(ISNA($B269),"",IF($B269="","",IFERROR(_xll.BDP(TICKER,"DEEP_MEASURE_PERIOD_BROKER_VALUE","DEEP_MEASURE_ID_OVERRIDE",$C269,"DEEP_BROKER_ID_OVERRIDE",$F$7,"DEEP_PERIOD_OVERRIDE",U$11)*1,"")))</f>
        <v/>
      </c>
      <c r="V269" s="17" t="str">
        <f>IF(ISNA($B269),"",IF($B269="","",IFERROR(_xll.BDP(TICKER,"DEEP_MEASURE_PERIOD_BROKER_VALUE","DEEP_MEASURE_ID_OVERRIDE",$C269,"DEEP_BROKER_ID_OVERRIDE",$F$7,"DEEP_PERIOD_OVERRIDE",V$11)*1,"")))</f>
        <v/>
      </c>
      <c r="W269" s="17" t="str">
        <f>IF(ISNA($B269),"",IF($B269="","",IFERROR(_xll.BDP(TICKER,"DEEP_MEASURE_PERIOD_BROKER_VALUE","DEEP_MEASURE_ID_OVERRIDE",$C269,"DEEP_BROKER_ID_OVERRIDE",$F$7,"DEEP_PERIOD_OVERRIDE",W$11)*1,"")))</f>
        <v/>
      </c>
      <c r="X269" s="17" t="str">
        <f>IF(ISNA($B269),"",IF($B269="","",IFERROR(_xll.BDP(TICKER,"DEEP_MEASURE_PERIOD_BROKER_VALUE","DEEP_MEASURE_ID_OVERRIDE",$C269,"DEEP_BROKER_ID_OVERRIDE",$F$7,"DEEP_PERIOD_OVERRIDE",X$11)*1,"")))</f>
        <v/>
      </c>
      <c r="Y269" s="17" t="str">
        <f>IF(ISNA($B269),"",IF($B269="","",IFERROR(_xll.BDP(TICKER,"DEEP_MEASURE_PERIOD_BROKER_VALUE","DEEP_MEASURE_ID_OVERRIDE",$C269,"DEEP_BROKER_ID_OVERRIDE",$F$7,"DEEP_PERIOD_OVERRIDE",Y$11)*1,"")))</f>
        <v/>
      </c>
      <c r="Z269" s="17" t="str">
        <f>IF(ISNA($B269),"",IF($B269="","",IFERROR(_xll.BDP(TICKER,"DEEP_MEASURE_PERIOD_BROKER_VALUE","DEEP_MEASURE_ID_OVERRIDE",$C269,"DEEP_BROKER_ID_OVERRIDE",$F$7,"DEEP_PERIOD_OVERRIDE",Z$11)*1,"")))</f>
        <v/>
      </c>
      <c r="AA269" s="17" t="str">
        <f>IF(ISNA($B269),"",IF($B269="","",IFERROR(_xll.BDP(TICKER,"DEEP_MEASURE_PERIOD_BROKER_VALUE","DEEP_MEASURE_ID_OVERRIDE",$C269,"DEEP_BROKER_ID_OVERRIDE",$F$7,"DEEP_PERIOD_OVERRIDE",AA$11)*1,"")))</f>
        <v/>
      </c>
      <c r="AB269" s="17" t="str">
        <f>IF(ISNA($B269),"",IF($B269="","",IFERROR(_xll.BDP(TICKER,"DEEP_MEASURE_PERIOD_BROKER_VALUE","DEEP_MEASURE_ID_OVERRIDE",$C269,"DEEP_BROKER_ID_OVERRIDE",$F$7,"DEEP_PERIOD_OVERRIDE",AB$11)*1,"")))</f>
        <v/>
      </c>
      <c r="AC269" s="17" t="str">
        <f>IF(ISNA($B269),"",IF($B269="","",IFERROR(_xll.BDP(TICKER,"DEEP_MEASURE_PERIOD_BROKER_VALUE","DEEP_MEASURE_ID_OVERRIDE",$C269,"DEEP_BROKER_ID_OVERRIDE",$F$7,"DEEP_PERIOD_OVERRIDE",AC$11)*1,"")))</f>
        <v/>
      </c>
      <c r="AD269" s="17" t="str">
        <f>IF(ISNA($B269),"",IF($B269="","",IFERROR(_xll.BDP(TICKER,"DEEP_MEASURE_PERIOD_BROKER_VALUE","DEEP_MEASURE_ID_OVERRIDE",$C269,"DEEP_BROKER_ID_OVERRIDE",$F$7,"DEEP_PERIOD_OVERRIDE",AD$11)*1,"")))</f>
        <v/>
      </c>
      <c r="AE269" s="17" t="str">
        <f>IF(ISNA($B269),"",IF($B269="","",IFERROR(_xll.BDP(TICKER,"DEEP_MEASURE_PERIOD_BROKER_VALUE","DEEP_MEASURE_ID_OVERRIDE",$C269,"DEEP_BROKER_ID_OVERRIDE",$F$7,"DEEP_PERIOD_OVERRIDE",AE$11)*1,"")))</f>
        <v/>
      </c>
      <c r="AF269" s="17" t="str">
        <f>IF(ISNA($B269),"",IF($B269="","",IFERROR(_xll.BDP(TICKER,"DEEP_MEASURE_PERIOD_BROKER_VALUE","DEEP_MEASURE_ID_OVERRIDE",$C269,"DEEP_BROKER_ID_OVERRIDE",$F$7,"DEEP_PERIOD_OVERRIDE",AF$11)*1,"")))</f>
        <v/>
      </c>
      <c r="AG269" s="17" t="str">
        <f>IF(ISNA($B269),"",IF($B269="","",IFERROR(_xll.BDP(TICKER,"DEEP_MEASURE_PERIOD_BROKER_VALUE","DEEP_MEASURE_ID_OVERRIDE",$C269,"DEEP_BROKER_ID_OVERRIDE",$F$7,"DEEP_PERIOD_OVERRIDE",AG$11)*1,"")))</f>
        <v/>
      </c>
      <c r="AH269" s="17" t="str">
        <f>IF(ISNA($B269),"",IF($B269="","",IFERROR(_xll.BDP(TICKER,"DEEP_MEASURE_PERIOD_BROKER_VALUE","DEEP_MEASURE_ID_OVERRIDE",$C269,"DEEP_BROKER_ID_OVERRIDE",$F$7,"DEEP_PERIOD_OVERRIDE",AH$11)*1,"")))</f>
        <v/>
      </c>
      <c r="AI269" s="17" t="str">
        <f>IF(ISNA($B269),"",IF($B269="","",IFERROR(_xll.BDP(TICKER,"DEEP_MEASURE_PERIOD_BROKER_VALUE","DEEP_MEASURE_ID_OVERRIDE",$C269,"DEEP_BROKER_ID_OVERRIDE",$F$7,"DEEP_PERIOD_OVERRIDE",AI$11)*1,"")))</f>
        <v/>
      </c>
      <c r="AJ269" s="17" t="str">
        <f>IF(ISNA($B269),"",IF($B269="","",IFERROR(_xll.BDP(TICKER,"DEEP_MEASURE_PERIOD_BROKER_VALUE","DEEP_MEASURE_ID_OVERRIDE",$C269,"DEEP_BROKER_ID_OVERRIDE",$F$7,"DEEP_PERIOD_OVERRIDE",AJ$11)*1,"")))</f>
        <v/>
      </c>
      <c r="AK269" s="17" t="str">
        <f>IF(ISNA($B269),"",IF($B269="","",IFERROR(_xll.BDP(TICKER,"DEEP_MEASURE_PERIOD_BROKER_VALUE","DEEP_MEASURE_ID_OVERRIDE",$C269,"DEEP_BROKER_ID_OVERRIDE",$F$7,"DEEP_PERIOD_OVERRIDE",AK$11)*1,"")))</f>
        <v/>
      </c>
      <c r="AL269" s="17" t="str">
        <f>IF(ISNA($B269),"",IF($B269="","",IFERROR(_xll.BDP(TICKER,"DEEP_MEASURE_PERIOD_BROKER_VALUE","DEEP_MEASURE_ID_OVERRIDE",$C269,"DEEP_BROKER_ID_OVERRIDE",$F$7,"DEEP_PERIOD_OVERRIDE",AL$11)*1,"")))</f>
        <v/>
      </c>
      <c r="AM269" s="17" t="str">
        <f>IF(ISNA($B269),"",IF($B269="","",IFERROR(_xll.BDP(TICKER,"DEEP_MEASURE_PERIOD_BROKER_VALUE","DEEP_MEASURE_ID_OVERRIDE",$C269,"DEEP_BROKER_ID_OVERRIDE",$F$7,"DEEP_PERIOD_OVERRIDE",AM$11)*1,"")))</f>
        <v/>
      </c>
      <c r="AN269" s="17" t="str">
        <f>IF(ISNA($B269),"",IF($B269="","",IFERROR(_xll.BDP(TICKER,"DEEP_MEASURE_PERIOD_BROKER_VALUE","DEEP_MEASURE_ID_OVERRIDE",$C269,"DEEP_BROKER_ID_OVERRIDE",$F$7,"DEEP_PERIOD_OVERRIDE",AN$11)*1,"")))</f>
        <v/>
      </c>
      <c r="AO269" s="17" t="str">
        <f>IF(ISNA($B269),"",IF($B269="","",IFERROR(_xll.BDP(TICKER,"DEEP_MEASURE_PERIOD_BROKER_VALUE","DEEP_MEASURE_ID_OVERRIDE",$C269,"DEEP_BROKER_ID_OVERRIDE",$F$7,"DEEP_PERIOD_OVERRIDE",AO$11)*1,"")))</f>
        <v/>
      </c>
      <c r="AP269" s="17" t="str">
        <f>IF(ISNA($B269),"",IF($B269="","",IFERROR(_xll.BDP(TICKER,"DEEP_MEASURE_PERIOD_BROKER_VALUE","DEEP_MEASURE_ID_OVERRIDE",$C269,"DEEP_BROKER_ID_OVERRIDE",$F$7,"DEEP_PERIOD_OVERRIDE",AP$11)*1,"")))</f>
        <v/>
      </c>
      <c r="AQ269" s="17" t="str">
        <f>IF(ISNA($B269),"",IF($B269="","",IFERROR(_xll.BDP(TICKER,"DEEP_MEASURE_PERIOD_BROKER_VALUE","DEEP_MEASURE_ID_OVERRIDE",$C269,"DEEP_BROKER_ID_OVERRIDE",$F$7,"DEEP_PERIOD_OVERRIDE",AQ$11)*1,"")))</f>
        <v/>
      </c>
    </row>
    <row r="270" spans="8:43" x14ac:dyDescent="0.25">
      <c r="H270" t="str">
        <f t="shared" si="5"/>
        <v/>
      </c>
      <c r="I270" s="17" t="str">
        <f>IF(ISNA($B270),"",IF($B270="","",IFERROR(_xll.BDP(TICKER,"DEEP_MEASURE_PERIOD_BROKER_VALUE","DEEP_MEASURE_ID_OVERRIDE",$C270,"DEEP_BROKER_ID_OVERRIDE",$F$7,"DEEP_PERIOD_OVERRIDE",I$11)*1,"")))</f>
        <v/>
      </c>
      <c r="J270" s="17" t="str">
        <f>IF(ISNA($B270),"",IF($B270="","",IFERROR(_xll.BDP(TICKER,"DEEP_MEASURE_PERIOD_BROKER_VALUE","DEEP_MEASURE_ID_OVERRIDE",$C270,"DEEP_BROKER_ID_OVERRIDE",$F$7,"DEEP_PERIOD_OVERRIDE",J$11)*1,"")))</f>
        <v/>
      </c>
      <c r="K270" s="17" t="str">
        <f>IF(ISNA($B270),"",IF($B270="","",IFERROR(_xll.BDP(TICKER,"DEEP_MEASURE_PERIOD_BROKER_VALUE","DEEP_MEASURE_ID_OVERRIDE",$C270,"DEEP_BROKER_ID_OVERRIDE",$F$7,"DEEP_PERIOD_OVERRIDE",K$11)*1,"")))</f>
        <v/>
      </c>
      <c r="L270" s="17" t="str">
        <f>IF(ISNA($B270),"",IF($B270="","",IFERROR(_xll.BDP(TICKER,"DEEP_MEASURE_PERIOD_BROKER_VALUE","DEEP_MEASURE_ID_OVERRIDE",$C270,"DEEP_BROKER_ID_OVERRIDE",$F$7,"DEEP_PERIOD_OVERRIDE",L$11)*1,"")))</f>
        <v/>
      </c>
      <c r="M270" s="17" t="str">
        <f>IF(ISNA($B270),"",IF($B270="","",IFERROR(_xll.BDP(TICKER,"DEEP_MEASURE_PERIOD_BROKER_VALUE","DEEP_MEASURE_ID_OVERRIDE",$C270,"DEEP_BROKER_ID_OVERRIDE",$F$7,"DEEP_PERIOD_OVERRIDE",M$11)*1,"")))</f>
        <v/>
      </c>
      <c r="N270" s="17" t="str">
        <f>IF(ISNA($B270),"",IF($B270="","",IFERROR(_xll.BDP(TICKER,"DEEP_MEASURE_PERIOD_BROKER_VALUE","DEEP_MEASURE_ID_OVERRIDE",$C270,"DEEP_BROKER_ID_OVERRIDE",$F$7,"DEEP_PERIOD_OVERRIDE",N$11)*1,"")))</f>
        <v/>
      </c>
      <c r="O270" s="17" t="str">
        <f>IF(ISNA($B270),"",IF($B270="","",IFERROR(_xll.BDP(TICKER,"DEEP_MEASURE_PERIOD_BROKER_VALUE","DEEP_MEASURE_ID_OVERRIDE",$C270,"DEEP_BROKER_ID_OVERRIDE",$F$7,"DEEP_PERIOD_OVERRIDE",O$11)*1,"")))</f>
        <v/>
      </c>
      <c r="P270" s="17" t="str">
        <f>IF(ISNA($B270),"",IF($B270="","",IFERROR(_xll.BDP(TICKER,"DEEP_MEASURE_PERIOD_BROKER_VALUE","DEEP_MEASURE_ID_OVERRIDE",$C270,"DEEP_BROKER_ID_OVERRIDE",$F$7,"DEEP_PERIOD_OVERRIDE",P$11)*1,"")))</f>
        <v/>
      </c>
      <c r="Q270" s="17" t="str">
        <f>IF(ISNA($B270),"",IF($B270="","",IFERROR(_xll.BDP(TICKER,"DEEP_MEASURE_PERIOD_BROKER_VALUE","DEEP_MEASURE_ID_OVERRIDE",$C270,"DEEP_BROKER_ID_OVERRIDE",$F$7,"DEEP_PERIOD_OVERRIDE",Q$11)*1,"")))</f>
        <v/>
      </c>
      <c r="R270" s="17" t="str">
        <f>IF(ISNA($B270),"",IF($B270="","",IFERROR(_xll.BDP(TICKER,"DEEP_MEASURE_PERIOD_BROKER_VALUE","DEEP_MEASURE_ID_OVERRIDE",$C270,"DEEP_BROKER_ID_OVERRIDE",$F$7,"DEEP_PERIOD_OVERRIDE",R$11)*1,"")))</f>
        <v/>
      </c>
      <c r="S270" s="17" t="str">
        <f>IF(ISNA($B270),"",IF($B270="","",IFERROR(_xll.BDP(TICKER,"DEEP_MEASURE_PERIOD_BROKER_VALUE","DEEP_MEASURE_ID_OVERRIDE",$C270,"DEEP_BROKER_ID_OVERRIDE",$F$7,"DEEP_PERIOD_OVERRIDE",S$11)*1,"")))</f>
        <v/>
      </c>
      <c r="T270" s="17" t="str">
        <f>IF(ISNA($B270),"",IF($B270="","",IFERROR(_xll.BDP(TICKER,"DEEP_MEASURE_PERIOD_BROKER_VALUE","DEEP_MEASURE_ID_OVERRIDE",$C270,"DEEP_BROKER_ID_OVERRIDE",$F$7,"DEEP_PERIOD_OVERRIDE",T$11)*1,"")))</f>
        <v/>
      </c>
      <c r="U270" s="17" t="str">
        <f>IF(ISNA($B270),"",IF($B270="","",IFERROR(_xll.BDP(TICKER,"DEEP_MEASURE_PERIOD_BROKER_VALUE","DEEP_MEASURE_ID_OVERRIDE",$C270,"DEEP_BROKER_ID_OVERRIDE",$F$7,"DEEP_PERIOD_OVERRIDE",U$11)*1,"")))</f>
        <v/>
      </c>
      <c r="V270" s="17" t="str">
        <f>IF(ISNA($B270),"",IF($B270="","",IFERROR(_xll.BDP(TICKER,"DEEP_MEASURE_PERIOD_BROKER_VALUE","DEEP_MEASURE_ID_OVERRIDE",$C270,"DEEP_BROKER_ID_OVERRIDE",$F$7,"DEEP_PERIOD_OVERRIDE",V$11)*1,"")))</f>
        <v/>
      </c>
      <c r="W270" s="17" t="str">
        <f>IF(ISNA($B270),"",IF($B270="","",IFERROR(_xll.BDP(TICKER,"DEEP_MEASURE_PERIOD_BROKER_VALUE","DEEP_MEASURE_ID_OVERRIDE",$C270,"DEEP_BROKER_ID_OVERRIDE",$F$7,"DEEP_PERIOD_OVERRIDE",W$11)*1,"")))</f>
        <v/>
      </c>
      <c r="X270" s="17" t="str">
        <f>IF(ISNA($B270),"",IF($B270="","",IFERROR(_xll.BDP(TICKER,"DEEP_MEASURE_PERIOD_BROKER_VALUE","DEEP_MEASURE_ID_OVERRIDE",$C270,"DEEP_BROKER_ID_OVERRIDE",$F$7,"DEEP_PERIOD_OVERRIDE",X$11)*1,"")))</f>
        <v/>
      </c>
      <c r="Y270" s="17" t="str">
        <f>IF(ISNA($B270),"",IF($B270="","",IFERROR(_xll.BDP(TICKER,"DEEP_MEASURE_PERIOD_BROKER_VALUE","DEEP_MEASURE_ID_OVERRIDE",$C270,"DEEP_BROKER_ID_OVERRIDE",$F$7,"DEEP_PERIOD_OVERRIDE",Y$11)*1,"")))</f>
        <v/>
      </c>
      <c r="Z270" s="17" t="str">
        <f>IF(ISNA($B270),"",IF($B270="","",IFERROR(_xll.BDP(TICKER,"DEEP_MEASURE_PERIOD_BROKER_VALUE","DEEP_MEASURE_ID_OVERRIDE",$C270,"DEEP_BROKER_ID_OVERRIDE",$F$7,"DEEP_PERIOD_OVERRIDE",Z$11)*1,"")))</f>
        <v/>
      </c>
      <c r="AA270" s="17" t="str">
        <f>IF(ISNA($B270),"",IF($B270="","",IFERROR(_xll.BDP(TICKER,"DEEP_MEASURE_PERIOD_BROKER_VALUE","DEEP_MEASURE_ID_OVERRIDE",$C270,"DEEP_BROKER_ID_OVERRIDE",$F$7,"DEEP_PERIOD_OVERRIDE",AA$11)*1,"")))</f>
        <v/>
      </c>
      <c r="AB270" s="17" t="str">
        <f>IF(ISNA($B270),"",IF($B270="","",IFERROR(_xll.BDP(TICKER,"DEEP_MEASURE_PERIOD_BROKER_VALUE","DEEP_MEASURE_ID_OVERRIDE",$C270,"DEEP_BROKER_ID_OVERRIDE",$F$7,"DEEP_PERIOD_OVERRIDE",AB$11)*1,"")))</f>
        <v/>
      </c>
      <c r="AC270" s="17" t="str">
        <f>IF(ISNA($B270),"",IF($B270="","",IFERROR(_xll.BDP(TICKER,"DEEP_MEASURE_PERIOD_BROKER_VALUE","DEEP_MEASURE_ID_OVERRIDE",$C270,"DEEP_BROKER_ID_OVERRIDE",$F$7,"DEEP_PERIOD_OVERRIDE",AC$11)*1,"")))</f>
        <v/>
      </c>
      <c r="AD270" s="17" t="str">
        <f>IF(ISNA($B270),"",IF($B270="","",IFERROR(_xll.BDP(TICKER,"DEEP_MEASURE_PERIOD_BROKER_VALUE","DEEP_MEASURE_ID_OVERRIDE",$C270,"DEEP_BROKER_ID_OVERRIDE",$F$7,"DEEP_PERIOD_OVERRIDE",AD$11)*1,"")))</f>
        <v/>
      </c>
      <c r="AE270" s="17" t="str">
        <f>IF(ISNA($B270),"",IF($B270="","",IFERROR(_xll.BDP(TICKER,"DEEP_MEASURE_PERIOD_BROKER_VALUE","DEEP_MEASURE_ID_OVERRIDE",$C270,"DEEP_BROKER_ID_OVERRIDE",$F$7,"DEEP_PERIOD_OVERRIDE",AE$11)*1,"")))</f>
        <v/>
      </c>
      <c r="AF270" s="17" t="str">
        <f>IF(ISNA($B270),"",IF($B270="","",IFERROR(_xll.BDP(TICKER,"DEEP_MEASURE_PERIOD_BROKER_VALUE","DEEP_MEASURE_ID_OVERRIDE",$C270,"DEEP_BROKER_ID_OVERRIDE",$F$7,"DEEP_PERIOD_OVERRIDE",AF$11)*1,"")))</f>
        <v/>
      </c>
      <c r="AG270" s="17" t="str">
        <f>IF(ISNA($B270),"",IF($B270="","",IFERROR(_xll.BDP(TICKER,"DEEP_MEASURE_PERIOD_BROKER_VALUE","DEEP_MEASURE_ID_OVERRIDE",$C270,"DEEP_BROKER_ID_OVERRIDE",$F$7,"DEEP_PERIOD_OVERRIDE",AG$11)*1,"")))</f>
        <v/>
      </c>
      <c r="AH270" s="17" t="str">
        <f>IF(ISNA($B270),"",IF($B270="","",IFERROR(_xll.BDP(TICKER,"DEEP_MEASURE_PERIOD_BROKER_VALUE","DEEP_MEASURE_ID_OVERRIDE",$C270,"DEEP_BROKER_ID_OVERRIDE",$F$7,"DEEP_PERIOD_OVERRIDE",AH$11)*1,"")))</f>
        <v/>
      </c>
      <c r="AI270" s="17" t="str">
        <f>IF(ISNA($B270),"",IF($B270="","",IFERROR(_xll.BDP(TICKER,"DEEP_MEASURE_PERIOD_BROKER_VALUE","DEEP_MEASURE_ID_OVERRIDE",$C270,"DEEP_BROKER_ID_OVERRIDE",$F$7,"DEEP_PERIOD_OVERRIDE",AI$11)*1,"")))</f>
        <v/>
      </c>
      <c r="AJ270" s="17" t="str">
        <f>IF(ISNA($B270),"",IF($B270="","",IFERROR(_xll.BDP(TICKER,"DEEP_MEASURE_PERIOD_BROKER_VALUE","DEEP_MEASURE_ID_OVERRIDE",$C270,"DEEP_BROKER_ID_OVERRIDE",$F$7,"DEEP_PERIOD_OVERRIDE",AJ$11)*1,"")))</f>
        <v/>
      </c>
      <c r="AK270" s="17" t="str">
        <f>IF(ISNA($B270),"",IF($B270="","",IFERROR(_xll.BDP(TICKER,"DEEP_MEASURE_PERIOD_BROKER_VALUE","DEEP_MEASURE_ID_OVERRIDE",$C270,"DEEP_BROKER_ID_OVERRIDE",$F$7,"DEEP_PERIOD_OVERRIDE",AK$11)*1,"")))</f>
        <v/>
      </c>
      <c r="AL270" s="17" t="str">
        <f>IF(ISNA($B270),"",IF($B270="","",IFERROR(_xll.BDP(TICKER,"DEEP_MEASURE_PERIOD_BROKER_VALUE","DEEP_MEASURE_ID_OVERRIDE",$C270,"DEEP_BROKER_ID_OVERRIDE",$F$7,"DEEP_PERIOD_OVERRIDE",AL$11)*1,"")))</f>
        <v/>
      </c>
      <c r="AM270" s="17" t="str">
        <f>IF(ISNA($B270),"",IF($B270="","",IFERROR(_xll.BDP(TICKER,"DEEP_MEASURE_PERIOD_BROKER_VALUE","DEEP_MEASURE_ID_OVERRIDE",$C270,"DEEP_BROKER_ID_OVERRIDE",$F$7,"DEEP_PERIOD_OVERRIDE",AM$11)*1,"")))</f>
        <v/>
      </c>
      <c r="AN270" s="17" t="str">
        <f>IF(ISNA($B270),"",IF($B270="","",IFERROR(_xll.BDP(TICKER,"DEEP_MEASURE_PERIOD_BROKER_VALUE","DEEP_MEASURE_ID_OVERRIDE",$C270,"DEEP_BROKER_ID_OVERRIDE",$F$7,"DEEP_PERIOD_OVERRIDE",AN$11)*1,"")))</f>
        <v/>
      </c>
      <c r="AO270" s="17" t="str">
        <f>IF(ISNA($B270),"",IF($B270="","",IFERROR(_xll.BDP(TICKER,"DEEP_MEASURE_PERIOD_BROKER_VALUE","DEEP_MEASURE_ID_OVERRIDE",$C270,"DEEP_BROKER_ID_OVERRIDE",$F$7,"DEEP_PERIOD_OVERRIDE",AO$11)*1,"")))</f>
        <v/>
      </c>
      <c r="AP270" s="17" t="str">
        <f>IF(ISNA($B270),"",IF($B270="","",IFERROR(_xll.BDP(TICKER,"DEEP_MEASURE_PERIOD_BROKER_VALUE","DEEP_MEASURE_ID_OVERRIDE",$C270,"DEEP_BROKER_ID_OVERRIDE",$F$7,"DEEP_PERIOD_OVERRIDE",AP$11)*1,"")))</f>
        <v/>
      </c>
      <c r="AQ270" s="17" t="str">
        <f>IF(ISNA($B270),"",IF($B270="","",IFERROR(_xll.BDP(TICKER,"DEEP_MEASURE_PERIOD_BROKER_VALUE","DEEP_MEASURE_ID_OVERRIDE",$C270,"DEEP_BROKER_ID_OVERRIDE",$F$7,"DEEP_PERIOD_OVERRIDE",AQ$11)*1,"")))</f>
        <v/>
      </c>
    </row>
    <row r="271" spans="8:43" x14ac:dyDescent="0.25">
      <c r="H271" t="str">
        <f t="shared" si="5"/>
        <v/>
      </c>
      <c r="I271" s="17" t="str">
        <f>IF(ISNA($B271),"",IF($B271="","",IFERROR(_xll.BDP(TICKER,"DEEP_MEASURE_PERIOD_BROKER_VALUE","DEEP_MEASURE_ID_OVERRIDE",$C271,"DEEP_BROKER_ID_OVERRIDE",$F$7,"DEEP_PERIOD_OVERRIDE",I$11)*1,"")))</f>
        <v/>
      </c>
      <c r="J271" s="17" t="str">
        <f>IF(ISNA($B271),"",IF($B271="","",IFERROR(_xll.BDP(TICKER,"DEEP_MEASURE_PERIOD_BROKER_VALUE","DEEP_MEASURE_ID_OVERRIDE",$C271,"DEEP_BROKER_ID_OVERRIDE",$F$7,"DEEP_PERIOD_OVERRIDE",J$11)*1,"")))</f>
        <v/>
      </c>
      <c r="K271" s="17" t="str">
        <f>IF(ISNA($B271),"",IF($B271="","",IFERROR(_xll.BDP(TICKER,"DEEP_MEASURE_PERIOD_BROKER_VALUE","DEEP_MEASURE_ID_OVERRIDE",$C271,"DEEP_BROKER_ID_OVERRIDE",$F$7,"DEEP_PERIOD_OVERRIDE",K$11)*1,"")))</f>
        <v/>
      </c>
      <c r="L271" s="17" t="str">
        <f>IF(ISNA($B271),"",IF($B271="","",IFERROR(_xll.BDP(TICKER,"DEEP_MEASURE_PERIOD_BROKER_VALUE","DEEP_MEASURE_ID_OVERRIDE",$C271,"DEEP_BROKER_ID_OVERRIDE",$F$7,"DEEP_PERIOD_OVERRIDE",L$11)*1,"")))</f>
        <v/>
      </c>
      <c r="M271" s="17" t="str">
        <f>IF(ISNA($B271),"",IF($B271="","",IFERROR(_xll.BDP(TICKER,"DEEP_MEASURE_PERIOD_BROKER_VALUE","DEEP_MEASURE_ID_OVERRIDE",$C271,"DEEP_BROKER_ID_OVERRIDE",$F$7,"DEEP_PERIOD_OVERRIDE",M$11)*1,"")))</f>
        <v/>
      </c>
      <c r="N271" s="17" t="str">
        <f>IF(ISNA($B271),"",IF($B271="","",IFERROR(_xll.BDP(TICKER,"DEEP_MEASURE_PERIOD_BROKER_VALUE","DEEP_MEASURE_ID_OVERRIDE",$C271,"DEEP_BROKER_ID_OVERRIDE",$F$7,"DEEP_PERIOD_OVERRIDE",N$11)*1,"")))</f>
        <v/>
      </c>
      <c r="O271" s="17" t="str">
        <f>IF(ISNA($B271),"",IF($B271="","",IFERROR(_xll.BDP(TICKER,"DEEP_MEASURE_PERIOD_BROKER_VALUE","DEEP_MEASURE_ID_OVERRIDE",$C271,"DEEP_BROKER_ID_OVERRIDE",$F$7,"DEEP_PERIOD_OVERRIDE",O$11)*1,"")))</f>
        <v/>
      </c>
      <c r="P271" s="17" t="str">
        <f>IF(ISNA($B271),"",IF($B271="","",IFERROR(_xll.BDP(TICKER,"DEEP_MEASURE_PERIOD_BROKER_VALUE","DEEP_MEASURE_ID_OVERRIDE",$C271,"DEEP_BROKER_ID_OVERRIDE",$F$7,"DEEP_PERIOD_OVERRIDE",P$11)*1,"")))</f>
        <v/>
      </c>
      <c r="Q271" s="17" t="str">
        <f>IF(ISNA($B271),"",IF($B271="","",IFERROR(_xll.BDP(TICKER,"DEEP_MEASURE_PERIOD_BROKER_VALUE","DEEP_MEASURE_ID_OVERRIDE",$C271,"DEEP_BROKER_ID_OVERRIDE",$F$7,"DEEP_PERIOD_OVERRIDE",Q$11)*1,"")))</f>
        <v/>
      </c>
      <c r="R271" s="17" t="str">
        <f>IF(ISNA($B271),"",IF($B271="","",IFERROR(_xll.BDP(TICKER,"DEEP_MEASURE_PERIOD_BROKER_VALUE","DEEP_MEASURE_ID_OVERRIDE",$C271,"DEEP_BROKER_ID_OVERRIDE",$F$7,"DEEP_PERIOD_OVERRIDE",R$11)*1,"")))</f>
        <v/>
      </c>
      <c r="S271" s="17" t="str">
        <f>IF(ISNA($B271),"",IF($B271="","",IFERROR(_xll.BDP(TICKER,"DEEP_MEASURE_PERIOD_BROKER_VALUE","DEEP_MEASURE_ID_OVERRIDE",$C271,"DEEP_BROKER_ID_OVERRIDE",$F$7,"DEEP_PERIOD_OVERRIDE",S$11)*1,"")))</f>
        <v/>
      </c>
      <c r="T271" s="17" t="str">
        <f>IF(ISNA($B271),"",IF($B271="","",IFERROR(_xll.BDP(TICKER,"DEEP_MEASURE_PERIOD_BROKER_VALUE","DEEP_MEASURE_ID_OVERRIDE",$C271,"DEEP_BROKER_ID_OVERRIDE",$F$7,"DEEP_PERIOD_OVERRIDE",T$11)*1,"")))</f>
        <v/>
      </c>
      <c r="U271" s="17" t="str">
        <f>IF(ISNA($B271),"",IF($B271="","",IFERROR(_xll.BDP(TICKER,"DEEP_MEASURE_PERIOD_BROKER_VALUE","DEEP_MEASURE_ID_OVERRIDE",$C271,"DEEP_BROKER_ID_OVERRIDE",$F$7,"DEEP_PERIOD_OVERRIDE",U$11)*1,"")))</f>
        <v/>
      </c>
      <c r="V271" s="17" t="str">
        <f>IF(ISNA($B271),"",IF($B271="","",IFERROR(_xll.BDP(TICKER,"DEEP_MEASURE_PERIOD_BROKER_VALUE","DEEP_MEASURE_ID_OVERRIDE",$C271,"DEEP_BROKER_ID_OVERRIDE",$F$7,"DEEP_PERIOD_OVERRIDE",V$11)*1,"")))</f>
        <v/>
      </c>
      <c r="W271" s="17" t="str">
        <f>IF(ISNA($B271),"",IF($B271="","",IFERROR(_xll.BDP(TICKER,"DEEP_MEASURE_PERIOD_BROKER_VALUE","DEEP_MEASURE_ID_OVERRIDE",$C271,"DEEP_BROKER_ID_OVERRIDE",$F$7,"DEEP_PERIOD_OVERRIDE",W$11)*1,"")))</f>
        <v/>
      </c>
      <c r="X271" s="17" t="str">
        <f>IF(ISNA($B271),"",IF($B271="","",IFERROR(_xll.BDP(TICKER,"DEEP_MEASURE_PERIOD_BROKER_VALUE","DEEP_MEASURE_ID_OVERRIDE",$C271,"DEEP_BROKER_ID_OVERRIDE",$F$7,"DEEP_PERIOD_OVERRIDE",X$11)*1,"")))</f>
        <v/>
      </c>
      <c r="Y271" s="17" t="str">
        <f>IF(ISNA($B271),"",IF($B271="","",IFERROR(_xll.BDP(TICKER,"DEEP_MEASURE_PERIOD_BROKER_VALUE","DEEP_MEASURE_ID_OVERRIDE",$C271,"DEEP_BROKER_ID_OVERRIDE",$F$7,"DEEP_PERIOD_OVERRIDE",Y$11)*1,"")))</f>
        <v/>
      </c>
      <c r="Z271" s="17" t="str">
        <f>IF(ISNA($B271),"",IF($B271="","",IFERROR(_xll.BDP(TICKER,"DEEP_MEASURE_PERIOD_BROKER_VALUE","DEEP_MEASURE_ID_OVERRIDE",$C271,"DEEP_BROKER_ID_OVERRIDE",$F$7,"DEEP_PERIOD_OVERRIDE",Z$11)*1,"")))</f>
        <v/>
      </c>
      <c r="AA271" s="17" t="str">
        <f>IF(ISNA($B271),"",IF($B271="","",IFERROR(_xll.BDP(TICKER,"DEEP_MEASURE_PERIOD_BROKER_VALUE","DEEP_MEASURE_ID_OVERRIDE",$C271,"DEEP_BROKER_ID_OVERRIDE",$F$7,"DEEP_PERIOD_OVERRIDE",AA$11)*1,"")))</f>
        <v/>
      </c>
      <c r="AB271" s="17" t="str">
        <f>IF(ISNA($B271),"",IF($B271="","",IFERROR(_xll.BDP(TICKER,"DEEP_MEASURE_PERIOD_BROKER_VALUE","DEEP_MEASURE_ID_OVERRIDE",$C271,"DEEP_BROKER_ID_OVERRIDE",$F$7,"DEEP_PERIOD_OVERRIDE",AB$11)*1,"")))</f>
        <v/>
      </c>
      <c r="AC271" s="17" t="str">
        <f>IF(ISNA($B271),"",IF($B271="","",IFERROR(_xll.BDP(TICKER,"DEEP_MEASURE_PERIOD_BROKER_VALUE","DEEP_MEASURE_ID_OVERRIDE",$C271,"DEEP_BROKER_ID_OVERRIDE",$F$7,"DEEP_PERIOD_OVERRIDE",AC$11)*1,"")))</f>
        <v/>
      </c>
      <c r="AD271" s="17" t="str">
        <f>IF(ISNA($B271),"",IF($B271="","",IFERROR(_xll.BDP(TICKER,"DEEP_MEASURE_PERIOD_BROKER_VALUE","DEEP_MEASURE_ID_OVERRIDE",$C271,"DEEP_BROKER_ID_OVERRIDE",$F$7,"DEEP_PERIOD_OVERRIDE",AD$11)*1,"")))</f>
        <v/>
      </c>
      <c r="AE271" s="17" t="str">
        <f>IF(ISNA($B271),"",IF($B271="","",IFERROR(_xll.BDP(TICKER,"DEEP_MEASURE_PERIOD_BROKER_VALUE","DEEP_MEASURE_ID_OVERRIDE",$C271,"DEEP_BROKER_ID_OVERRIDE",$F$7,"DEEP_PERIOD_OVERRIDE",AE$11)*1,"")))</f>
        <v/>
      </c>
      <c r="AF271" s="17" t="str">
        <f>IF(ISNA($B271),"",IF($B271="","",IFERROR(_xll.BDP(TICKER,"DEEP_MEASURE_PERIOD_BROKER_VALUE","DEEP_MEASURE_ID_OVERRIDE",$C271,"DEEP_BROKER_ID_OVERRIDE",$F$7,"DEEP_PERIOD_OVERRIDE",AF$11)*1,"")))</f>
        <v/>
      </c>
      <c r="AG271" s="17" t="str">
        <f>IF(ISNA($B271),"",IF($B271="","",IFERROR(_xll.BDP(TICKER,"DEEP_MEASURE_PERIOD_BROKER_VALUE","DEEP_MEASURE_ID_OVERRIDE",$C271,"DEEP_BROKER_ID_OVERRIDE",$F$7,"DEEP_PERIOD_OVERRIDE",AG$11)*1,"")))</f>
        <v/>
      </c>
      <c r="AH271" s="17" t="str">
        <f>IF(ISNA($B271),"",IF($B271="","",IFERROR(_xll.BDP(TICKER,"DEEP_MEASURE_PERIOD_BROKER_VALUE","DEEP_MEASURE_ID_OVERRIDE",$C271,"DEEP_BROKER_ID_OVERRIDE",$F$7,"DEEP_PERIOD_OVERRIDE",AH$11)*1,"")))</f>
        <v/>
      </c>
      <c r="AI271" s="17" t="str">
        <f>IF(ISNA($B271),"",IF($B271="","",IFERROR(_xll.BDP(TICKER,"DEEP_MEASURE_PERIOD_BROKER_VALUE","DEEP_MEASURE_ID_OVERRIDE",$C271,"DEEP_BROKER_ID_OVERRIDE",$F$7,"DEEP_PERIOD_OVERRIDE",AI$11)*1,"")))</f>
        <v/>
      </c>
      <c r="AJ271" s="17" t="str">
        <f>IF(ISNA($B271),"",IF($B271="","",IFERROR(_xll.BDP(TICKER,"DEEP_MEASURE_PERIOD_BROKER_VALUE","DEEP_MEASURE_ID_OVERRIDE",$C271,"DEEP_BROKER_ID_OVERRIDE",$F$7,"DEEP_PERIOD_OVERRIDE",AJ$11)*1,"")))</f>
        <v/>
      </c>
      <c r="AK271" s="17" t="str">
        <f>IF(ISNA($B271),"",IF($B271="","",IFERROR(_xll.BDP(TICKER,"DEEP_MEASURE_PERIOD_BROKER_VALUE","DEEP_MEASURE_ID_OVERRIDE",$C271,"DEEP_BROKER_ID_OVERRIDE",$F$7,"DEEP_PERIOD_OVERRIDE",AK$11)*1,"")))</f>
        <v/>
      </c>
      <c r="AL271" s="17" t="str">
        <f>IF(ISNA($B271),"",IF($B271="","",IFERROR(_xll.BDP(TICKER,"DEEP_MEASURE_PERIOD_BROKER_VALUE","DEEP_MEASURE_ID_OVERRIDE",$C271,"DEEP_BROKER_ID_OVERRIDE",$F$7,"DEEP_PERIOD_OVERRIDE",AL$11)*1,"")))</f>
        <v/>
      </c>
      <c r="AM271" s="17" t="str">
        <f>IF(ISNA($B271),"",IF($B271="","",IFERROR(_xll.BDP(TICKER,"DEEP_MEASURE_PERIOD_BROKER_VALUE","DEEP_MEASURE_ID_OVERRIDE",$C271,"DEEP_BROKER_ID_OVERRIDE",$F$7,"DEEP_PERIOD_OVERRIDE",AM$11)*1,"")))</f>
        <v/>
      </c>
      <c r="AN271" s="17" t="str">
        <f>IF(ISNA($B271),"",IF($B271="","",IFERROR(_xll.BDP(TICKER,"DEEP_MEASURE_PERIOD_BROKER_VALUE","DEEP_MEASURE_ID_OVERRIDE",$C271,"DEEP_BROKER_ID_OVERRIDE",$F$7,"DEEP_PERIOD_OVERRIDE",AN$11)*1,"")))</f>
        <v/>
      </c>
      <c r="AO271" s="17" t="str">
        <f>IF(ISNA($B271),"",IF($B271="","",IFERROR(_xll.BDP(TICKER,"DEEP_MEASURE_PERIOD_BROKER_VALUE","DEEP_MEASURE_ID_OVERRIDE",$C271,"DEEP_BROKER_ID_OVERRIDE",$F$7,"DEEP_PERIOD_OVERRIDE",AO$11)*1,"")))</f>
        <v/>
      </c>
      <c r="AP271" s="17" t="str">
        <f>IF(ISNA($B271),"",IF($B271="","",IFERROR(_xll.BDP(TICKER,"DEEP_MEASURE_PERIOD_BROKER_VALUE","DEEP_MEASURE_ID_OVERRIDE",$C271,"DEEP_BROKER_ID_OVERRIDE",$F$7,"DEEP_PERIOD_OVERRIDE",AP$11)*1,"")))</f>
        <v/>
      </c>
      <c r="AQ271" s="17" t="str">
        <f>IF(ISNA($B271),"",IF($B271="","",IFERROR(_xll.BDP(TICKER,"DEEP_MEASURE_PERIOD_BROKER_VALUE","DEEP_MEASURE_ID_OVERRIDE",$C271,"DEEP_BROKER_ID_OVERRIDE",$F$7,"DEEP_PERIOD_OVERRIDE",AQ$11)*1,"")))</f>
        <v/>
      </c>
    </row>
    <row r="272" spans="8:43" x14ac:dyDescent="0.25">
      <c r="H272" t="str">
        <f t="shared" si="5"/>
        <v/>
      </c>
      <c r="I272" s="17" t="str">
        <f>IF(ISNA($B272),"",IF($B272="","",IFERROR(_xll.BDP(TICKER,"DEEP_MEASURE_PERIOD_BROKER_VALUE","DEEP_MEASURE_ID_OVERRIDE",$C272,"DEEP_BROKER_ID_OVERRIDE",$F$7,"DEEP_PERIOD_OVERRIDE",I$11)*1,"")))</f>
        <v/>
      </c>
      <c r="J272" s="17" t="str">
        <f>IF(ISNA($B272),"",IF($B272="","",IFERROR(_xll.BDP(TICKER,"DEEP_MEASURE_PERIOD_BROKER_VALUE","DEEP_MEASURE_ID_OVERRIDE",$C272,"DEEP_BROKER_ID_OVERRIDE",$F$7,"DEEP_PERIOD_OVERRIDE",J$11)*1,"")))</f>
        <v/>
      </c>
      <c r="K272" s="17" t="str">
        <f>IF(ISNA($B272),"",IF($B272="","",IFERROR(_xll.BDP(TICKER,"DEEP_MEASURE_PERIOD_BROKER_VALUE","DEEP_MEASURE_ID_OVERRIDE",$C272,"DEEP_BROKER_ID_OVERRIDE",$F$7,"DEEP_PERIOD_OVERRIDE",K$11)*1,"")))</f>
        <v/>
      </c>
      <c r="L272" s="17" t="str">
        <f>IF(ISNA($B272),"",IF($B272="","",IFERROR(_xll.BDP(TICKER,"DEEP_MEASURE_PERIOD_BROKER_VALUE","DEEP_MEASURE_ID_OVERRIDE",$C272,"DEEP_BROKER_ID_OVERRIDE",$F$7,"DEEP_PERIOD_OVERRIDE",L$11)*1,"")))</f>
        <v/>
      </c>
      <c r="M272" s="17" t="str">
        <f>IF(ISNA($B272),"",IF($B272="","",IFERROR(_xll.BDP(TICKER,"DEEP_MEASURE_PERIOD_BROKER_VALUE","DEEP_MEASURE_ID_OVERRIDE",$C272,"DEEP_BROKER_ID_OVERRIDE",$F$7,"DEEP_PERIOD_OVERRIDE",M$11)*1,"")))</f>
        <v/>
      </c>
      <c r="N272" s="17" t="str">
        <f>IF(ISNA($B272),"",IF($B272="","",IFERROR(_xll.BDP(TICKER,"DEEP_MEASURE_PERIOD_BROKER_VALUE","DEEP_MEASURE_ID_OVERRIDE",$C272,"DEEP_BROKER_ID_OVERRIDE",$F$7,"DEEP_PERIOD_OVERRIDE",N$11)*1,"")))</f>
        <v/>
      </c>
      <c r="O272" s="17" t="str">
        <f>IF(ISNA($B272),"",IF($B272="","",IFERROR(_xll.BDP(TICKER,"DEEP_MEASURE_PERIOD_BROKER_VALUE","DEEP_MEASURE_ID_OVERRIDE",$C272,"DEEP_BROKER_ID_OVERRIDE",$F$7,"DEEP_PERIOD_OVERRIDE",O$11)*1,"")))</f>
        <v/>
      </c>
      <c r="P272" s="17" t="str">
        <f>IF(ISNA($B272),"",IF($B272="","",IFERROR(_xll.BDP(TICKER,"DEEP_MEASURE_PERIOD_BROKER_VALUE","DEEP_MEASURE_ID_OVERRIDE",$C272,"DEEP_BROKER_ID_OVERRIDE",$F$7,"DEEP_PERIOD_OVERRIDE",P$11)*1,"")))</f>
        <v/>
      </c>
      <c r="Q272" s="17" t="str">
        <f>IF(ISNA($B272),"",IF($B272="","",IFERROR(_xll.BDP(TICKER,"DEEP_MEASURE_PERIOD_BROKER_VALUE","DEEP_MEASURE_ID_OVERRIDE",$C272,"DEEP_BROKER_ID_OVERRIDE",$F$7,"DEEP_PERIOD_OVERRIDE",Q$11)*1,"")))</f>
        <v/>
      </c>
      <c r="R272" s="17" t="str">
        <f>IF(ISNA($B272),"",IF($B272="","",IFERROR(_xll.BDP(TICKER,"DEEP_MEASURE_PERIOD_BROKER_VALUE","DEEP_MEASURE_ID_OVERRIDE",$C272,"DEEP_BROKER_ID_OVERRIDE",$F$7,"DEEP_PERIOD_OVERRIDE",R$11)*1,"")))</f>
        <v/>
      </c>
      <c r="S272" s="17" t="str">
        <f>IF(ISNA($B272),"",IF($B272="","",IFERROR(_xll.BDP(TICKER,"DEEP_MEASURE_PERIOD_BROKER_VALUE","DEEP_MEASURE_ID_OVERRIDE",$C272,"DEEP_BROKER_ID_OVERRIDE",$F$7,"DEEP_PERIOD_OVERRIDE",S$11)*1,"")))</f>
        <v/>
      </c>
      <c r="T272" s="17" t="str">
        <f>IF(ISNA($B272),"",IF($B272="","",IFERROR(_xll.BDP(TICKER,"DEEP_MEASURE_PERIOD_BROKER_VALUE","DEEP_MEASURE_ID_OVERRIDE",$C272,"DEEP_BROKER_ID_OVERRIDE",$F$7,"DEEP_PERIOD_OVERRIDE",T$11)*1,"")))</f>
        <v/>
      </c>
      <c r="U272" s="17" t="str">
        <f>IF(ISNA($B272),"",IF($B272="","",IFERROR(_xll.BDP(TICKER,"DEEP_MEASURE_PERIOD_BROKER_VALUE","DEEP_MEASURE_ID_OVERRIDE",$C272,"DEEP_BROKER_ID_OVERRIDE",$F$7,"DEEP_PERIOD_OVERRIDE",U$11)*1,"")))</f>
        <v/>
      </c>
      <c r="V272" s="17" t="str">
        <f>IF(ISNA($B272),"",IF($B272="","",IFERROR(_xll.BDP(TICKER,"DEEP_MEASURE_PERIOD_BROKER_VALUE","DEEP_MEASURE_ID_OVERRIDE",$C272,"DEEP_BROKER_ID_OVERRIDE",$F$7,"DEEP_PERIOD_OVERRIDE",V$11)*1,"")))</f>
        <v/>
      </c>
      <c r="W272" s="17" t="str">
        <f>IF(ISNA($B272),"",IF($B272="","",IFERROR(_xll.BDP(TICKER,"DEEP_MEASURE_PERIOD_BROKER_VALUE","DEEP_MEASURE_ID_OVERRIDE",$C272,"DEEP_BROKER_ID_OVERRIDE",$F$7,"DEEP_PERIOD_OVERRIDE",W$11)*1,"")))</f>
        <v/>
      </c>
      <c r="X272" s="17" t="str">
        <f>IF(ISNA($B272),"",IF($B272="","",IFERROR(_xll.BDP(TICKER,"DEEP_MEASURE_PERIOD_BROKER_VALUE","DEEP_MEASURE_ID_OVERRIDE",$C272,"DEEP_BROKER_ID_OVERRIDE",$F$7,"DEEP_PERIOD_OVERRIDE",X$11)*1,"")))</f>
        <v/>
      </c>
      <c r="Y272" s="17" t="str">
        <f>IF(ISNA($B272),"",IF($B272="","",IFERROR(_xll.BDP(TICKER,"DEEP_MEASURE_PERIOD_BROKER_VALUE","DEEP_MEASURE_ID_OVERRIDE",$C272,"DEEP_BROKER_ID_OVERRIDE",$F$7,"DEEP_PERIOD_OVERRIDE",Y$11)*1,"")))</f>
        <v/>
      </c>
      <c r="Z272" s="17" t="str">
        <f>IF(ISNA($B272),"",IF($B272="","",IFERROR(_xll.BDP(TICKER,"DEEP_MEASURE_PERIOD_BROKER_VALUE","DEEP_MEASURE_ID_OVERRIDE",$C272,"DEEP_BROKER_ID_OVERRIDE",$F$7,"DEEP_PERIOD_OVERRIDE",Z$11)*1,"")))</f>
        <v/>
      </c>
      <c r="AA272" s="17" t="str">
        <f>IF(ISNA($B272),"",IF($B272="","",IFERROR(_xll.BDP(TICKER,"DEEP_MEASURE_PERIOD_BROKER_VALUE","DEEP_MEASURE_ID_OVERRIDE",$C272,"DEEP_BROKER_ID_OVERRIDE",$F$7,"DEEP_PERIOD_OVERRIDE",AA$11)*1,"")))</f>
        <v/>
      </c>
      <c r="AB272" s="17" t="str">
        <f>IF(ISNA($B272),"",IF($B272="","",IFERROR(_xll.BDP(TICKER,"DEEP_MEASURE_PERIOD_BROKER_VALUE","DEEP_MEASURE_ID_OVERRIDE",$C272,"DEEP_BROKER_ID_OVERRIDE",$F$7,"DEEP_PERIOD_OVERRIDE",AB$11)*1,"")))</f>
        <v/>
      </c>
      <c r="AC272" s="17" t="str">
        <f>IF(ISNA($B272),"",IF($B272="","",IFERROR(_xll.BDP(TICKER,"DEEP_MEASURE_PERIOD_BROKER_VALUE","DEEP_MEASURE_ID_OVERRIDE",$C272,"DEEP_BROKER_ID_OVERRIDE",$F$7,"DEEP_PERIOD_OVERRIDE",AC$11)*1,"")))</f>
        <v/>
      </c>
      <c r="AD272" s="17" t="str">
        <f>IF(ISNA($B272),"",IF($B272="","",IFERROR(_xll.BDP(TICKER,"DEEP_MEASURE_PERIOD_BROKER_VALUE","DEEP_MEASURE_ID_OVERRIDE",$C272,"DEEP_BROKER_ID_OVERRIDE",$F$7,"DEEP_PERIOD_OVERRIDE",AD$11)*1,"")))</f>
        <v/>
      </c>
      <c r="AE272" s="17" t="str">
        <f>IF(ISNA($B272),"",IF($B272="","",IFERROR(_xll.BDP(TICKER,"DEEP_MEASURE_PERIOD_BROKER_VALUE","DEEP_MEASURE_ID_OVERRIDE",$C272,"DEEP_BROKER_ID_OVERRIDE",$F$7,"DEEP_PERIOD_OVERRIDE",AE$11)*1,"")))</f>
        <v/>
      </c>
      <c r="AF272" s="17" t="str">
        <f>IF(ISNA($B272),"",IF($B272="","",IFERROR(_xll.BDP(TICKER,"DEEP_MEASURE_PERIOD_BROKER_VALUE","DEEP_MEASURE_ID_OVERRIDE",$C272,"DEEP_BROKER_ID_OVERRIDE",$F$7,"DEEP_PERIOD_OVERRIDE",AF$11)*1,"")))</f>
        <v/>
      </c>
      <c r="AG272" s="17" t="str">
        <f>IF(ISNA($B272),"",IF($B272="","",IFERROR(_xll.BDP(TICKER,"DEEP_MEASURE_PERIOD_BROKER_VALUE","DEEP_MEASURE_ID_OVERRIDE",$C272,"DEEP_BROKER_ID_OVERRIDE",$F$7,"DEEP_PERIOD_OVERRIDE",AG$11)*1,"")))</f>
        <v/>
      </c>
      <c r="AH272" s="17" t="str">
        <f>IF(ISNA($B272),"",IF($B272="","",IFERROR(_xll.BDP(TICKER,"DEEP_MEASURE_PERIOD_BROKER_VALUE","DEEP_MEASURE_ID_OVERRIDE",$C272,"DEEP_BROKER_ID_OVERRIDE",$F$7,"DEEP_PERIOD_OVERRIDE",AH$11)*1,"")))</f>
        <v/>
      </c>
      <c r="AI272" s="17" t="str">
        <f>IF(ISNA($B272),"",IF($B272="","",IFERROR(_xll.BDP(TICKER,"DEEP_MEASURE_PERIOD_BROKER_VALUE","DEEP_MEASURE_ID_OVERRIDE",$C272,"DEEP_BROKER_ID_OVERRIDE",$F$7,"DEEP_PERIOD_OVERRIDE",AI$11)*1,"")))</f>
        <v/>
      </c>
      <c r="AJ272" s="17" t="str">
        <f>IF(ISNA($B272),"",IF($B272="","",IFERROR(_xll.BDP(TICKER,"DEEP_MEASURE_PERIOD_BROKER_VALUE","DEEP_MEASURE_ID_OVERRIDE",$C272,"DEEP_BROKER_ID_OVERRIDE",$F$7,"DEEP_PERIOD_OVERRIDE",AJ$11)*1,"")))</f>
        <v/>
      </c>
      <c r="AK272" s="17" t="str">
        <f>IF(ISNA($B272),"",IF($B272="","",IFERROR(_xll.BDP(TICKER,"DEEP_MEASURE_PERIOD_BROKER_VALUE","DEEP_MEASURE_ID_OVERRIDE",$C272,"DEEP_BROKER_ID_OVERRIDE",$F$7,"DEEP_PERIOD_OVERRIDE",AK$11)*1,"")))</f>
        <v/>
      </c>
      <c r="AL272" s="17" t="str">
        <f>IF(ISNA($B272),"",IF($B272="","",IFERROR(_xll.BDP(TICKER,"DEEP_MEASURE_PERIOD_BROKER_VALUE","DEEP_MEASURE_ID_OVERRIDE",$C272,"DEEP_BROKER_ID_OVERRIDE",$F$7,"DEEP_PERIOD_OVERRIDE",AL$11)*1,"")))</f>
        <v/>
      </c>
      <c r="AM272" s="17" t="str">
        <f>IF(ISNA($B272),"",IF($B272="","",IFERROR(_xll.BDP(TICKER,"DEEP_MEASURE_PERIOD_BROKER_VALUE","DEEP_MEASURE_ID_OVERRIDE",$C272,"DEEP_BROKER_ID_OVERRIDE",$F$7,"DEEP_PERIOD_OVERRIDE",AM$11)*1,"")))</f>
        <v/>
      </c>
      <c r="AN272" s="17" t="str">
        <f>IF(ISNA($B272),"",IF($B272="","",IFERROR(_xll.BDP(TICKER,"DEEP_MEASURE_PERIOD_BROKER_VALUE","DEEP_MEASURE_ID_OVERRIDE",$C272,"DEEP_BROKER_ID_OVERRIDE",$F$7,"DEEP_PERIOD_OVERRIDE",AN$11)*1,"")))</f>
        <v/>
      </c>
      <c r="AO272" s="17" t="str">
        <f>IF(ISNA($B272),"",IF($B272="","",IFERROR(_xll.BDP(TICKER,"DEEP_MEASURE_PERIOD_BROKER_VALUE","DEEP_MEASURE_ID_OVERRIDE",$C272,"DEEP_BROKER_ID_OVERRIDE",$F$7,"DEEP_PERIOD_OVERRIDE",AO$11)*1,"")))</f>
        <v/>
      </c>
      <c r="AP272" s="17" t="str">
        <f>IF(ISNA($B272),"",IF($B272="","",IFERROR(_xll.BDP(TICKER,"DEEP_MEASURE_PERIOD_BROKER_VALUE","DEEP_MEASURE_ID_OVERRIDE",$C272,"DEEP_BROKER_ID_OVERRIDE",$F$7,"DEEP_PERIOD_OVERRIDE",AP$11)*1,"")))</f>
        <v/>
      </c>
      <c r="AQ272" s="17" t="str">
        <f>IF(ISNA($B272),"",IF($B272="","",IFERROR(_xll.BDP(TICKER,"DEEP_MEASURE_PERIOD_BROKER_VALUE","DEEP_MEASURE_ID_OVERRIDE",$C272,"DEEP_BROKER_ID_OVERRIDE",$F$7,"DEEP_PERIOD_OVERRIDE",AQ$11)*1,"")))</f>
        <v/>
      </c>
    </row>
    <row r="273" spans="8:43" x14ac:dyDescent="0.25">
      <c r="H273" t="str">
        <f t="shared" si="5"/>
        <v/>
      </c>
      <c r="I273" s="17" t="str">
        <f>IF(ISNA($B273),"",IF($B273="","",IFERROR(_xll.BDP(TICKER,"DEEP_MEASURE_PERIOD_BROKER_VALUE","DEEP_MEASURE_ID_OVERRIDE",$C273,"DEEP_BROKER_ID_OVERRIDE",$F$7,"DEEP_PERIOD_OVERRIDE",I$11)*1,"")))</f>
        <v/>
      </c>
      <c r="J273" s="17" t="str">
        <f>IF(ISNA($B273),"",IF($B273="","",IFERROR(_xll.BDP(TICKER,"DEEP_MEASURE_PERIOD_BROKER_VALUE","DEEP_MEASURE_ID_OVERRIDE",$C273,"DEEP_BROKER_ID_OVERRIDE",$F$7,"DEEP_PERIOD_OVERRIDE",J$11)*1,"")))</f>
        <v/>
      </c>
      <c r="K273" s="17" t="str">
        <f>IF(ISNA($B273),"",IF($B273="","",IFERROR(_xll.BDP(TICKER,"DEEP_MEASURE_PERIOD_BROKER_VALUE","DEEP_MEASURE_ID_OVERRIDE",$C273,"DEEP_BROKER_ID_OVERRIDE",$F$7,"DEEP_PERIOD_OVERRIDE",K$11)*1,"")))</f>
        <v/>
      </c>
      <c r="L273" s="17" t="str">
        <f>IF(ISNA($B273),"",IF($B273="","",IFERROR(_xll.BDP(TICKER,"DEEP_MEASURE_PERIOD_BROKER_VALUE","DEEP_MEASURE_ID_OVERRIDE",$C273,"DEEP_BROKER_ID_OVERRIDE",$F$7,"DEEP_PERIOD_OVERRIDE",L$11)*1,"")))</f>
        <v/>
      </c>
      <c r="M273" s="17" t="str">
        <f>IF(ISNA($B273),"",IF($B273="","",IFERROR(_xll.BDP(TICKER,"DEEP_MEASURE_PERIOD_BROKER_VALUE","DEEP_MEASURE_ID_OVERRIDE",$C273,"DEEP_BROKER_ID_OVERRIDE",$F$7,"DEEP_PERIOD_OVERRIDE",M$11)*1,"")))</f>
        <v/>
      </c>
      <c r="N273" s="17" t="str">
        <f>IF(ISNA($B273),"",IF($B273="","",IFERROR(_xll.BDP(TICKER,"DEEP_MEASURE_PERIOD_BROKER_VALUE","DEEP_MEASURE_ID_OVERRIDE",$C273,"DEEP_BROKER_ID_OVERRIDE",$F$7,"DEEP_PERIOD_OVERRIDE",N$11)*1,"")))</f>
        <v/>
      </c>
      <c r="O273" s="17" t="str">
        <f>IF(ISNA($B273),"",IF($B273="","",IFERROR(_xll.BDP(TICKER,"DEEP_MEASURE_PERIOD_BROKER_VALUE","DEEP_MEASURE_ID_OVERRIDE",$C273,"DEEP_BROKER_ID_OVERRIDE",$F$7,"DEEP_PERIOD_OVERRIDE",O$11)*1,"")))</f>
        <v/>
      </c>
      <c r="P273" s="17" t="str">
        <f>IF(ISNA($B273),"",IF($B273="","",IFERROR(_xll.BDP(TICKER,"DEEP_MEASURE_PERIOD_BROKER_VALUE","DEEP_MEASURE_ID_OVERRIDE",$C273,"DEEP_BROKER_ID_OVERRIDE",$F$7,"DEEP_PERIOD_OVERRIDE",P$11)*1,"")))</f>
        <v/>
      </c>
      <c r="Q273" s="17" t="str">
        <f>IF(ISNA($B273),"",IF($B273="","",IFERROR(_xll.BDP(TICKER,"DEEP_MEASURE_PERIOD_BROKER_VALUE","DEEP_MEASURE_ID_OVERRIDE",$C273,"DEEP_BROKER_ID_OVERRIDE",$F$7,"DEEP_PERIOD_OVERRIDE",Q$11)*1,"")))</f>
        <v/>
      </c>
      <c r="R273" s="17" t="str">
        <f>IF(ISNA($B273),"",IF($B273="","",IFERROR(_xll.BDP(TICKER,"DEEP_MEASURE_PERIOD_BROKER_VALUE","DEEP_MEASURE_ID_OVERRIDE",$C273,"DEEP_BROKER_ID_OVERRIDE",$F$7,"DEEP_PERIOD_OVERRIDE",R$11)*1,"")))</f>
        <v/>
      </c>
      <c r="S273" s="17" t="str">
        <f>IF(ISNA($B273),"",IF($B273="","",IFERROR(_xll.BDP(TICKER,"DEEP_MEASURE_PERIOD_BROKER_VALUE","DEEP_MEASURE_ID_OVERRIDE",$C273,"DEEP_BROKER_ID_OVERRIDE",$F$7,"DEEP_PERIOD_OVERRIDE",S$11)*1,"")))</f>
        <v/>
      </c>
      <c r="T273" s="17" t="str">
        <f>IF(ISNA($B273),"",IF($B273="","",IFERROR(_xll.BDP(TICKER,"DEEP_MEASURE_PERIOD_BROKER_VALUE","DEEP_MEASURE_ID_OVERRIDE",$C273,"DEEP_BROKER_ID_OVERRIDE",$F$7,"DEEP_PERIOD_OVERRIDE",T$11)*1,"")))</f>
        <v/>
      </c>
      <c r="U273" s="17" t="str">
        <f>IF(ISNA($B273),"",IF($B273="","",IFERROR(_xll.BDP(TICKER,"DEEP_MEASURE_PERIOD_BROKER_VALUE","DEEP_MEASURE_ID_OVERRIDE",$C273,"DEEP_BROKER_ID_OVERRIDE",$F$7,"DEEP_PERIOD_OVERRIDE",U$11)*1,"")))</f>
        <v/>
      </c>
      <c r="V273" s="17" t="str">
        <f>IF(ISNA($B273),"",IF($B273="","",IFERROR(_xll.BDP(TICKER,"DEEP_MEASURE_PERIOD_BROKER_VALUE","DEEP_MEASURE_ID_OVERRIDE",$C273,"DEEP_BROKER_ID_OVERRIDE",$F$7,"DEEP_PERIOD_OVERRIDE",V$11)*1,"")))</f>
        <v/>
      </c>
      <c r="W273" s="17" t="str">
        <f>IF(ISNA($B273),"",IF($B273="","",IFERROR(_xll.BDP(TICKER,"DEEP_MEASURE_PERIOD_BROKER_VALUE","DEEP_MEASURE_ID_OVERRIDE",$C273,"DEEP_BROKER_ID_OVERRIDE",$F$7,"DEEP_PERIOD_OVERRIDE",W$11)*1,"")))</f>
        <v/>
      </c>
      <c r="X273" s="17" t="str">
        <f>IF(ISNA($B273),"",IF($B273="","",IFERROR(_xll.BDP(TICKER,"DEEP_MEASURE_PERIOD_BROKER_VALUE","DEEP_MEASURE_ID_OVERRIDE",$C273,"DEEP_BROKER_ID_OVERRIDE",$F$7,"DEEP_PERIOD_OVERRIDE",X$11)*1,"")))</f>
        <v/>
      </c>
      <c r="Y273" s="17" t="str">
        <f>IF(ISNA($B273),"",IF($B273="","",IFERROR(_xll.BDP(TICKER,"DEEP_MEASURE_PERIOD_BROKER_VALUE","DEEP_MEASURE_ID_OVERRIDE",$C273,"DEEP_BROKER_ID_OVERRIDE",$F$7,"DEEP_PERIOD_OVERRIDE",Y$11)*1,"")))</f>
        <v/>
      </c>
      <c r="Z273" s="17" t="str">
        <f>IF(ISNA($B273),"",IF($B273="","",IFERROR(_xll.BDP(TICKER,"DEEP_MEASURE_PERIOD_BROKER_VALUE","DEEP_MEASURE_ID_OVERRIDE",$C273,"DEEP_BROKER_ID_OVERRIDE",$F$7,"DEEP_PERIOD_OVERRIDE",Z$11)*1,"")))</f>
        <v/>
      </c>
      <c r="AA273" s="17" t="str">
        <f>IF(ISNA($B273),"",IF($B273="","",IFERROR(_xll.BDP(TICKER,"DEEP_MEASURE_PERIOD_BROKER_VALUE","DEEP_MEASURE_ID_OVERRIDE",$C273,"DEEP_BROKER_ID_OVERRIDE",$F$7,"DEEP_PERIOD_OVERRIDE",AA$11)*1,"")))</f>
        <v/>
      </c>
      <c r="AB273" s="17" t="str">
        <f>IF(ISNA($B273),"",IF($B273="","",IFERROR(_xll.BDP(TICKER,"DEEP_MEASURE_PERIOD_BROKER_VALUE","DEEP_MEASURE_ID_OVERRIDE",$C273,"DEEP_BROKER_ID_OVERRIDE",$F$7,"DEEP_PERIOD_OVERRIDE",AB$11)*1,"")))</f>
        <v/>
      </c>
      <c r="AC273" s="17" t="str">
        <f>IF(ISNA($B273),"",IF($B273="","",IFERROR(_xll.BDP(TICKER,"DEEP_MEASURE_PERIOD_BROKER_VALUE","DEEP_MEASURE_ID_OVERRIDE",$C273,"DEEP_BROKER_ID_OVERRIDE",$F$7,"DEEP_PERIOD_OVERRIDE",AC$11)*1,"")))</f>
        <v/>
      </c>
      <c r="AD273" s="17" t="str">
        <f>IF(ISNA($B273),"",IF($B273="","",IFERROR(_xll.BDP(TICKER,"DEEP_MEASURE_PERIOD_BROKER_VALUE","DEEP_MEASURE_ID_OVERRIDE",$C273,"DEEP_BROKER_ID_OVERRIDE",$F$7,"DEEP_PERIOD_OVERRIDE",AD$11)*1,"")))</f>
        <v/>
      </c>
      <c r="AE273" s="17" t="str">
        <f>IF(ISNA($B273),"",IF($B273="","",IFERROR(_xll.BDP(TICKER,"DEEP_MEASURE_PERIOD_BROKER_VALUE","DEEP_MEASURE_ID_OVERRIDE",$C273,"DEEP_BROKER_ID_OVERRIDE",$F$7,"DEEP_PERIOD_OVERRIDE",AE$11)*1,"")))</f>
        <v/>
      </c>
      <c r="AF273" s="17" t="str">
        <f>IF(ISNA($B273),"",IF($B273="","",IFERROR(_xll.BDP(TICKER,"DEEP_MEASURE_PERIOD_BROKER_VALUE","DEEP_MEASURE_ID_OVERRIDE",$C273,"DEEP_BROKER_ID_OVERRIDE",$F$7,"DEEP_PERIOD_OVERRIDE",AF$11)*1,"")))</f>
        <v/>
      </c>
      <c r="AG273" s="17" t="str">
        <f>IF(ISNA($B273),"",IF($B273="","",IFERROR(_xll.BDP(TICKER,"DEEP_MEASURE_PERIOD_BROKER_VALUE","DEEP_MEASURE_ID_OVERRIDE",$C273,"DEEP_BROKER_ID_OVERRIDE",$F$7,"DEEP_PERIOD_OVERRIDE",AG$11)*1,"")))</f>
        <v/>
      </c>
      <c r="AH273" s="17" t="str">
        <f>IF(ISNA($B273),"",IF($B273="","",IFERROR(_xll.BDP(TICKER,"DEEP_MEASURE_PERIOD_BROKER_VALUE","DEEP_MEASURE_ID_OVERRIDE",$C273,"DEEP_BROKER_ID_OVERRIDE",$F$7,"DEEP_PERIOD_OVERRIDE",AH$11)*1,"")))</f>
        <v/>
      </c>
      <c r="AI273" s="17" t="str">
        <f>IF(ISNA($B273),"",IF($B273="","",IFERROR(_xll.BDP(TICKER,"DEEP_MEASURE_PERIOD_BROKER_VALUE","DEEP_MEASURE_ID_OVERRIDE",$C273,"DEEP_BROKER_ID_OVERRIDE",$F$7,"DEEP_PERIOD_OVERRIDE",AI$11)*1,"")))</f>
        <v/>
      </c>
      <c r="AJ273" s="17" t="str">
        <f>IF(ISNA($B273),"",IF($B273="","",IFERROR(_xll.BDP(TICKER,"DEEP_MEASURE_PERIOD_BROKER_VALUE","DEEP_MEASURE_ID_OVERRIDE",$C273,"DEEP_BROKER_ID_OVERRIDE",$F$7,"DEEP_PERIOD_OVERRIDE",AJ$11)*1,"")))</f>
        <v/>
      </c>
      <c r="AK273" s="17" t="str">
        <f>IF(ISNA($B273),"",IF($B273="","",IFERROR(_xll.BDP(TICKER,"DEEP_MEASURE_PERIOD_BROKER_VALUE","DEEP_MEASURE_ID_OVERRIDE",$C273,"DEEP_BROKER_ID_OVERRIDE",$F$7,"DEEP_PERIOD_OVERRIDE",AK$11)*1,"")))</f>
        <v/>
      </c>
      <c r="AL273" s="17" t="str">
        <f>IF(ISNA($B273),"",IF($B273="","",IFERROR(_xll.BDP(TICKER,"DEEP_MEASURE_PERIOD_BROKER_VALUE","DEEP_MEASURE_ID_OVERRIDE",$C273,"DEEP_BROKER_ID_OVERRIDE",$F$7,"DEEP_PERIOD_OVERRIDE",AL$11)*1,"")))</f>
        <v/>
      </c>
      <c r="AM273" s="17" t="str">
        <f>IF(ISNA($B273),"",IF($B273="","",IFERROR(_xll.BDP(TICKER,"DEEP_MEASURE_PERIOD_BROKER_VALUE","DEEP_MEASURE_ID_OVERRIDE",$C273,"DEEP_BROKER_ID_OVERRIDE",$F$7,"DEEP_PERIOD_OVERRIDE",AM$11)*1,"")))</f>
        <v/>
      </c>
      <c r="AN273" s="17" t="str">
        <f>IF(ISNA($B273),"",IF($B273="","",IFERROR(_xll.BDP(TICKER,"DEEP_MEASURE_PERIOD_BROKER_VALUE","DEEP_MEASURE_ID_OVERRIDE",$C273,"DEEP_BROKER_ID_OVERRIDE",$F$7,"DEEP_PERIOD_OVERRIDE",AN$11)*1,"")))</f>
        <v/>
      </c>
      <c r="AO273" s="17" t="str">
        <f>IF(ISNA($B273),"",IF($B273="","",IFERROR(_xll.BDP(TICKER,"DEEP_MEASURE_PERIOD_BROKER_VALUE","DEEP_MEASURE_ID_OVERRIDE",$C273,"DEEP_BROKER_ID_OVERRIDE",$F$7,"DEEP_PERIOD_OVERRIDE",AO$11)*1,"")))</f>
        <v/>
      </c>
      <c r="AP273" s="17" t="str">
        <f>IF(ISNA($B273),"",IF($B273="","",IFERROR(_xll.BDP(TICKER,"DEEP_MEASURE_PERIOD_BROKER_VALUE","DEEP_MEASURE_ID_OVERRIDE",$C273,"DEEP_BROKER_ID_OVERRIDE",$F$7,"DEEP_PERIOD_OVERRIDE",AP$11)*1,"")))</f>
        <v/>
      </c>
      <c r="AQ273" s="17" t="str">
        <f>IF(ISNA($B273),"",IF($B273="","",IFERROR(_xll.BDP(TICKER,"DEEP_MEASURE_PERIOD_BROKER_VALUE","DEEP_MEASURE_ID_OVERRIDE",$C273,"DEEP_BROKER_ID_OVERRIDE",$F$7,"DEEP_PERIOD_OVERRIDE",AQ$11)*1,"")))</f>
        <v/>
      </c>
    </row>
    <row r="274" spans="8:43" x14ac:dyDescent="0.25">
      <c r="H274" t="str">
        <f t="shared" si="5"/>
        <v/>
      </c>
      <c r="I274" s="17" t="str">
        <f>IF(ISNA($B274),"",IF($B274="","",IFERROR(_xll.BDP(TICKER,"DEEP_MEASURE_PERIOD_BROKER_VALUE","DEEP_MEASURE_ID_OVERRIDE",$C274,"DEEP_BROKER_ID_OVERRIDE",$F$7,"DEEP_PERIOD_OVERRIDE",I$11)*1,"")))</f>
        <v/>
      </c>
      <c r="J274" s="17" t="str">
        <f>IF(ISNA($B274),"",IF($B274="","",IFERROR(_xll.BDP(TICKER,"DEEP_MEASURE_PERIOD_BROKER_VALUE","DEEP_MEASURE_ID_OVERRIDE",$C274,"DEEP_BROKER_ID_OVERRIDE",$F$7,"DEEP_PERIOD_OVERRIDE",J$11)*1,"")))</f>
        <v/>
      </c>
      <c r="K274" s="17" t="str">
        <f>IF(ISNA($B274),"",IF($B274="","",IFERROR(_xll.BDP(TICKER,"DEEP_MEASURE_PERIOD_BROKER_VALUE","DEEP_MEASURE_ID_OVERRIDE",$C274,"DEEP_BROKER_ID_OVERRIDE",$F$7,"DEEP_PERIOD_OVERRIDE",K$11)*1,"")))</f>
        <v/>
      </c>
      <c r="L274" s="17" t="str">
        <f>IF(ISNA($B274),"",IF($B274="","",IFERROR(_xll.BDP(TICKER,"DEEP_MEASURE_PERIOD_BROKER_VALUE","DEEP_MEASURE_ID_OVERRIDE",$C274,"DEEP_BROKER_ID_OVERRIDE",$F$7,"DEEP_PERIOD_OVERRIDE",L$11)*1,"")))</f>
        <v/>
      </c>
      <c r="M274" s="17" t="str">
        <f>IF(ISNA($B274),"",IF($B274="","",IFERROR(_xll.BDP(TICKER,"DEEP_MEASURE_PERIOD_BROKER_VALUE","DEEP_MEASURE_ID_OVERRIDE",$C274,"DEEP_BROKER_ID_OVERRIDE",$F$7,"DEEP_PERIOD_OVERRIDE",M$11)*1,"")))</f>
        <v/>
      </c>
      <c r="N274" s="17" t="str">
        <f>IF(ISNA($B274),"",IF($B274="","",IFERROR(_xll.BDP(TICKER,"DEEP_MEASURE_PERIOD_BROKER_VALUE","DEEP_MEASURE_ID_OVERRIDE",$C274,"DEEP_BROKER_ID_OVERRIDE",$F$7,"DEEP_PERIOD_OVERRIDE",N$11)*1,"")))</f>
        <v/>
      </c>
      <c r="O274" s="17" t="str">
        <f>IF(ISNA($B274),"",IF($B274="","",IFERROR(_xll.BDP(TICKER,"DEEP_MEASURE_PERIOD_BROKER_VALUE","DEEP_MEASURE_ID_OVERRIDE",$C274,"DEEP_BROKER_ID_OVERRIDE",$F$7,"DEEP_PERIOD_OVERRIDE",O$11)*1,"")))</f>
        <v/>
      </c>
      <c r="P274" s="17" t="str">
        <f>IF(ISNA($B274),"",IF($B274="","",IFERROR(_xll.BDP(TICKER,"DEEP_MEASURE_PERIOD_BROKER_VALUE","DEEP_MEASURE_ID_OVERRIDE",$C274,"DEEP_BROKER_ID_OVERRIDE",$F$7,"DEEP_PERIOD_OVERRIDE",P$11)*1,"")))</f>
        <v/>
      </c>
      <c r="Q274" s="17" t="str">
        <f>IF(ISNA($B274),"",IF($B274="","",IFERROR(_xll.BDP(TICKER,"DEEP_MEASURE_PERIOD_BROKER_VALUE","DEEP_MEASURE_ID_OVERRIDE",$C274,"DEEP_BROKER_ID_OVERRIDE",$F$7,"DEEP_PERIOD_OVERRIDE",Q$11)*1,"")))</f>
        <v/>
      </c>
      <c r="R274" s="17" t="str">
        <f>IF(ISNA($B274),"",IF($B274="","",IFERROR(_xll.BDP(TICKER,"DEEP_MEASURE_PERIOD_BROKER_VALUE","DEEP_MEASURE_ID_OVERRIDE",$C274,"DEEP_BROKER_ID_OVERRIDE",$F$7,"DEEP_PERIOD_OVERRIDE",R$11)*1,"")))</f>
        <v/>
      </c>
      <c r="S274" s="17" t="str">
        <f>IF(ISNA($B274),"",IF($B274="","",IFERROR(_xll.BDP(TICKER,"DEEP_MEASURE_PERIOD_BROKER_VALUE","DEEP_MEASURE_ID_OVERRIDE",$C274,"DEEP_BROKER_ID_OVERRIDE",$F$7,"DEEP_PERIOD_OVERRIDE",S$11)*1,"")))</f>
        <v/>
      </c>
      <c r="T274" s="17" t="str">
        <f>IF(ISNA($B274),"",IF($B274="","",IFERROR(_xll.BDP(TICKER,"DEEP_MEASURE_PERIOD_BROKER_VALUE","DEEP_MEASURE_ID_OVERRIDE",$C274,"DEEP_BROKER_ID_OVERRIDE",$F$7,"DEEP_PERIOD_OVERRIDE",T$11)*1,"")))</f>
        <v/>
      </c>
      <c r="U274" s="17" t="str">
        <f>IF(ISNA($B274),"",IF($B274="","",IFERROR(_xll.BDP(TICKER,"DEEP_MEASURE_PERIOD_BROKER_VALUE","DEEP_MEASURE_ID_OVERRIDE",$C274,"DEEP_BROKER_ID_OVERRIDE",$F$7,"DEEP_PERIOD_OVERRIDE",U$11)*1,"")))</f>
        <v/>
      </c>
      <c r="V274" s="17" t="str">
        <f>IF(ISNA($B274),"",IF($B274="","",IFERROR(_xll.BDP(TICKER,"DEEP_MEASURE_PERIOD_BROKER_VALUE","DEEP_MEASURE_ID_OVERRIDE",$C274,"DEEP_BROKER_ID_OVERRIDE",$F$7,"DEEP_PERIOD_OVERRIDE",V$11)*1,"")))</f>
        <v/>
      </c>
      <c r="W274" s="17" t="str">
        <f>IF(ISNA($B274),"",IF($B274="","",IFERROR(_xll.BDP(TICKER,"DEEP_MEASURE_PERIOD_BROKER_VALUE","DEEP_MEASURE_ID_OVERRIDE",$C274,"DEEP_BROKER_ID_OVERRIDE",$F$7,"DEEP_PERIOD_OVERRIDE",W$11)*1,"")))</f>
        <v/>
      </c>
      <c r="X274" s="17" t="str">
        <f>IF(ISNA($B274),"",IF($B274="","",IFERROR(_xll.BDP(TICKER,"DEEP_MEASURE_PERIOD_BROKER_VALUE","DEEP_MEASURE_ID_OVERRIDE",$C274,"DEEP_BROKER_ID_OVERRIDE",$F$7,"DEEP_PERIOD_OVERRIDE",X$11)*1,"")))</f>
        <v/>
      </c>
      <c r="Y274" s="17" t="str">
        <f>IF(ISNA($B274),"",IF($B274="","",IFERROR(_xll.BDP(TICKER,"DEEP_MEASURE_PERIOD_BROKER_VALUE","DEEP_MEASURE_ID_OVERRIDE",$C274,"DEEP_BROKER_ID_OVERRIDE",$F$7,"DEEP_PERIOD_OVERRIDE",Y$11)*1,"")))</f>
        <v/>
      </c>
      <c r="Z274" s="17" t="str">
        <f>IF(ISNA($B274),"",IF($B274="","",IFERROR(_xll.BDP(TICKER,"DEEP_MEASURE_PERIOD_BROKER_VALUE","DEEP_MEASURE_ID_OVERRIDE",$C274,"DEEP_BROKER_ID_OVERRIDE",$F$7,"DEEP_PERIOD_OVERRIDE",Z$11)*1,"")))</f>
        <v/>
      </c>
      <c r="AA274" s="17" t="str">
        <f>IF(ISNA($B274),"",IF($B274="","",IFERROR(_xll.BDP(TICKER,"DEEP_MEASURE_PERIOD_BROKER_VALUE","DEEP_MEASURE_ID_OVERRIDE",$C274,"DEEP_BROKER_ID_OVERRIDE",$F$7,"DEEP_PERIOD_OVERRIDE",AA$11)*1,"")))</f>
        <v/>
      </c>
      <c r="AB274" s="17" t="str">
        <f>IF(ISNA($B274),"",IF($B274="","",IFERROR(_xll.BDP(TICKER,"DEEP_MEASURE_PERIOD_BROKER_VALUE","DEEP_MEASURE_ID_OVERRIDE",$C274,"DEEP_BROKER_ID_OVERRIDE",$F$7,"DEEP_PERIOD_OVERRIDE",AB$11)*1,"")))</f>
        <v/>
      </c>
      <c r="AC274" s="17" t="str">
        <f>IF(ISNA($B274),"",IF($B274="","",IFERROR(_xll.BDP(TICKER,"DEEP_MEASURE_PERIOD_BROKER_VALUE","DEEP_MEASURE_ID_OVERRIDE",$C274,"DEEP_BROKER_ID_OVERRIDE",$F$7,"DEEP_PERIOD_OVERRIDE",AC$11)*1,"")))</f>
        <v/>
      </c>
      <c r="AD274" s="17" t="str">
        <f>IF(ISNA($B274),"",IF($B274="","",IFERROR(_xll.BDP(TICKER,"DEEP_MEASURE_PERIOD_BROKER_VALUE","DEEP_MEASURE_ID_OVERRIDE",$C274,"DEEP_BROKER_ID_OVERRIDE",$F$7,"DEEP_PERIOD_OVERRIDE",AD$11)*1,"")))</f>
        <v/>
      </c>
      <c r="AE274" s="17" t="str">
        <f>IF(ISNA($B274),"",IF($B274="","",IFERROR(_xll.BDP(TICKER,"DEEP_MEASURE_PERIOD_BROKER_VALUE","DEEP_MEASURE_ID_OVERRIDE",$C274,"DEEP_BROKER_ID_OVERRIDE",$F$7,"DEEP_PERIOD_OVERRIDE",AE$11)*1,"")))</f>
        <v/>
      </c>
      <c r="AF274" s="17" t="str">
        <f>IF(ISNA($B274),"",IF($B274="","",IFERROR(_xll.BDP(TICKER,"DEEP_MEASURE_PERIOD_BROKER_VALUE","DEEP_MEASURE_ID_OVERRIDE",$C274,"DEEP_BROKER_ID_OVERRIDE",$F$7,"DEEP_PERIOD_OVERRIDE",AF$11)*1,"")))</f>
        <v/>
      </c>
      <c r="AG274" s="17" t="str">
        <f>IF(ISNA($B274),"",IF($B274="","",IFERROR(_xll.BDP(TICKER,"DEEP_MEASURE_PERIOD_BROKER_VALUE","DEEP_MEASURE_ID_OVERRIDE",$C274,"DEEP_BROKER_ID_OVERRIDE",$F$7,"DEEP_PERIOD_OVERRIDE",AG$11)*1,"")))</f>
        <v/>
      </c>
      <c r="AH274" s="17" t="str">
        <f>IF(ISNA($B274),"",IF($B274="","",IFERROR(_xll.BDP(TICKER,"DEEP_MEASURE_PERIOD_BROKER_VALUE","DEEP_MEASURE_ID_OVERRIDE",$C274,"DEEP_BROKER_ID_OVERRIDE",$F$7,"DEEP_PERIOD_OVERRIDE",AH$11)*1,"")))</f>
        <v/>
      </c>
      <c r="AI274" s="17" t="str">
        <f>IF(ISNA($B274),"",IF($B274="","",IFERROR(_xll.BDP(TICKER,"DEEP_MEASURE_PERIOD_BROKER_VALUE","DEEP_MEASURE_ID_OVERRIDE",$C274,"DEEP_BROKER_ID_OVERRIDE",$F$7,"DEEP_PERIOD_OVERRIDE",AI$11)*1,"")))</f>
        <v/>
      </c>
      <c r="AJ274" s="17" t="str">
        <f>IF(ISNA($B274),"",IF($B274="","",IFERROR(_xll.BDP(TICKER,"DEEP_MEASURE_PERIOD_BROKER_VALUE","DEEP_MEASURE_ID_OVERRIDE",$C274,"DEEP_BROKER_ID_OVERRIDE",$F$7,"DEEP_PERIOD_OVERRIDE",AJ$11)*1,"")))</f>
        <v/>
      </c>
      <c r="AK274" s="17" t="str">
        <f>IF(ISNA($B274),"",IF($B274="","",IFERROR(_xll.BDP(TICKER,"DEEP_MEASURE_PERIOD_BROKER_VALUE","DEEP_MEASURE_ID_OVERRIDE",$C274,"DEEP_BROKER_ID_OVERRIDE",$F$7,"DEEP_PERIOD_OVERRIDE",AK$11)*1,"")))</f>
        <v/>
      </c>
      <c r="AL274" s="17" t="str">
        <f>IF(ISNA($B274),"",IF($B274="","",IFERROR(_xll.BDP(TICKER,"DEEP_MEASURE_PERIOD_BROKER_VALUE","DEEP_MEASURE_ID_OVERRIDE",$C274,"DEEP_BROKER_ID_OVERRIDE",$F$7,"DEEP_PERIOD_OVERRIDE",AL$11)*1,"")))</f>
        <v/>
      </c>
      <c r="AM274" s="17" t="str">
        <f>IF(ISNA($B274),"",IF($B274="","",IFERROR(_xll.BDP(TICKER,"DEEP_MEASURE_PERIOD_BROKER_VALUE","DEEP_MEASURE_ID_OVERRIDE",$C274,"DEEP_BROKER_ID_OVERRIDE",$F$7,"DEEP_PERIOD_OVERRIDE",AM$11)*1,"")))</f>
        <v/>
      </c>
      <c r="AN274" s="17" t="str">
        <f>IF(ISNA($B274),"",IF($B274="","",IFERROR(_xll.BDP(TICKER,"DEEP_MEASURE_PERIOD_BROKER_VALUE","DEEP_MEASURE_ID_OVERRIDE",$C274,"DEEP_BROKER_ID_OVERRIDE",$F$7,"DEEP_PERIOD_OVERRIDE",AN$11)*1,"")))</f>
        <v/>
      </c>
      <c r="AO274" s="17" t="str">
        <f>IF(ISNA($B274),"",IF($B274="","",IFERROR(_xll.BDP(TICKER,"DEEP_MEASURE_PERIOD_BROKER_VALUE","DEEP_MEASURE_ID_OVERRIDE",$C274,"DEEP_BROKER_ID_OVERRIDE",$F$7,"DEEP_PERIOD_OVERRIDE",AO$11)*1,"")))</f>
        <v/>
      </c>
      <c r="AP274" s="17" t="str">
        <f>IF(ISNA($B274),"",IF($B274="","",IFERROR(_xll.BDP(TICKER,"DEEP_MEASURE_PERIOD_BROKER_VALUE","DEEP_MEASURE_ID_OVERRIDE",$C274,"DEEP_BROKER_ID_OVERRIDE",$F$7,"DEEP_PERIOD_OVERRIDE",AP$11)*1,"")))</f>
        <v/>
      </c>
      <c r="AQ274" s="17" t="str">
        <f>IF(ISNA($B274),"",IF($B274="","",IFERROR(_xll.BDP(TICKER,"DEEP_MEASURE_PERIOD_BROKER_VALUE","DEEP_MEASURE_ID_OVERRIDE",$C274,"DEEP_BROKER_ID_OVERRIDE",$F$7,"DEEP_PERIOD_OVERRIDE",AQ$11)*1,"")))</f>
        <v/>
      </c>
    </row>
    <row r="275" spans="8:43" x14ac:dyDescent="0.25">
      <c r="H275" t="str">
        <f t="shared" si="5"/>
        <v/>
      </c>
      <c r="I275" s="17" t="str">
        <f>IF(ISNA($B275),"",IF($B275="","",IFERROR(_xll.BDP(TICKER,"DEEP_MEASURE_PERIOD_BROKER_VALUE","DEEP_MEASURE_ID_OVERRIDE",$C275,"DEEP_BROKER_ID_OVERRIDE",$F$7,"DEEP_PERIOD_OVERRIDE",I$11)*1,"")))</f>
        <v/>
      </c>
      <c r="J275" s="17" t="str">
        <f>IF(ISNA($B275),"",IF($B275="","",IFERROR(_xll.BDP(TICKER,"DEEP_MEASURE_PERIOD_BROKER_VALUE","DEEP_MEASURE_ID_OVERRIDE",$C275,"DEEP_BROKER_ID_OVERRIDE",$F$7,"DEEP_PERIOD_OVERRIDE",J$11)*1,"")))</f>
        <v/>
      </c>
      <c r="K275" s="17" t="str">
        <f>IF(ISNA($B275),"",IF($B275="","",IFERROR(_xll.BDP(TICKER,"DEEP_MEASURE_PERIOD_BROKER_VALUE","DEEP_MEASURE_ID_OVERRIDE",$C275,"DEEP_BROKER_ID_OVERRIDE",$F$7,"DEEP_PERIOD_OVERRIDE",K$11)*1,"")))</f>
        <v/>
      </c>
      <c r="L275" s="17" t="str">
        <f>IF(ISNA($B275),"",IF($B275="","",IFERROR(_xll.BDP(TICKER,"DEEP_MEASURE_PERIOD_BROKER_VALUE","DEEP_MEASURE_ID_OVERRIDE",$C275,"DEEP_BROKER_ID_OVERRIDE",$F$7,"DEEP_PERIOD_OVERRIDE",L$11)*1,"")))</f>
        <v/>
      </c>
      <c r="M275" s="17" t="str">
        <f>IF(ISNA($B275),"",IF($B275="","",IFERROR(_xll.BDP(TICKER,"DEEP_MEASURE_PERIOD_BROKER_VALUE","DEEP_MEASURE_ID_OVERRIDE",$C275,"DEEP_BROKER_ID_OVERRIDE",$F$7,"DEEP_PERIOD_OVERRIDE",M$11)*1,"")))</f>
        <v/>
      </c>
      <c r="N275" s="17" t="str">
        <f>IF(ISNA($B275),"",IF($B275="","",IFERROR(_xll.BDP(TICKER,"DEEP_MEASURE_PERIOD_BROKER_VALUE","DEEP_MEASURE_ID_OVERRIDE",$C275,"DEEP_BROKER_ID_OVERRIDE",$F$7,"DEEP_PERIOD_OVERRIDE",N$11)*1,"")))</f>
        <v/>
      </c>
      <c r="O275" s="17" t="str">
        <f>IF(ISNA($B275),"",IF($B275="","",IFERROR(_xll.BDP(TICKER,"DEEP_MEASURE_PERIOD_BROKER_VALUE","DEEP_MEASURE_ID_OVERRIDE",$C275,"DEEP_BROKER_ID_OVERRIDE",$F$7,"DEEP_PERIOD_OVERRIDE",O$11)*1,"")))</f>
        <v/>
      </c>
      <c r="P275" s="17" t="str">
        <f>IF(ISNA($B275),"",IF($B275="","",IFERROR(_xll.BDP(TICKER,"DEEP_MEASURE_PERIOD_BROKER_VALUE","DEEP_MEASURE_ID_OVERRIDE",$C275,"DEEP_BROKER_ID_OVERRIDE",$F$7,"DEEP_PERIOD_OVERRIDE",P$11)*1,"")))</f>
        <v/>
      </c>
      <c r="Q275" s="17" t="str">
        <f>IF(ISNA($B275),"",IF($B275="","",IFERROR(_xll.BDP(TICKER,"DEEP_MEASURE_PERIOD_BROKER_VALUE","DEEP_MEASURE_ID_OVERRIDE",$C275,"DEEP_BROKER_ID_OVERRIDE",$F$7,"DEEP_PERIOD_OVERRIDE",Q$11)*1,"")))</f>
        <v/>
      </c>
      <c r="R275" s="17" t="str">
        <f>IF(ISNA($B275),"",IF($B275="","",IFERROR(_xll.BDP(TICKER,"DEEP_MEASURE_PERIOD_BROKER_VALUE","DEEP_MEASURE_ID_OVERRIDE",$C275,"DEEP_BROKER_ID_OVERRIDE",$F$7,"DEEP_PERIOD_OVERRIDE",R$11)*1,"")))</f>
        <v/>
      </c>
      <c r="S275" s="17" t="str">
        <f>IF(ISNA($B275),"",IF($B275="","",IFERROR(_xll.BDP(TICKER,"DEEP_MEASURE_PERIOD_BROKER_VALUE","DEEP_MEASURE_ID_OVERRIDE",$C275,"DEEP_BROKER_ID_OVERRIDE",$F$7,"DEEP_PERIOD_OVERRIDE",S$11)*1,"")))</f>
        <v/>
      </c>
      <c r="T275" s="17" t="str">
        <f>IF(ISNA($B275),"",IF($B275="","",IFERROR(_xll.BDP(TICKER,"DEEP_MEASURE_PERIOD_BROKER_VALUE","DEEP_MEASURE_ID_OVERRIDE",$C275,"DEEP_BROKER_ID_OVERRIDE",$F$7,"DEEP_PERIOD_OVERRIDE",T$11)*1,"")))</f>
        <v/>
      </c>
      <c r="U275" s="17" t="str">
        <f>IF(ISNA($B275),"",IF($B275="","",IFERROR(_xll.BDP(TICKER,"DEEP_MEASURE_PERIOD_BROKER_VALUE","DEEP_MEASURE_ID_OVERRIDE",$C275,"DEEP_BROKER_ID_OVERRIDE",$F$7,"DEEP_PERIOD_OVERRIDE",U$11)*1,"")))</f>
        <v/>
      </c>
      <c r="V275" s="17" t="str">
        <f>IF(ISNA($B275),"",IF($B275="","",IFERROR(_xll.BDP(TICKER,"DEEP_MEASURE_PERIOD_BROKER_VALUE","DEEP_MEASURE_ID_OVERRIDE",$C275,"DEEP_BROKER_ID_OVERRIDE",$F$7,"DEEP_PERIOD_OVERRIDE",V$11)*1,"")))</f>
        <v/>
      </c>
      <c r="W275" s="17" t="str">
        <f>IF(ISNA($B275),"",IF($B275="","",IFERROR(_xll.BDP(TICKER,"DEEP_MEASURE_PERIOD_BROKER_VALUE","DEEP_MEASURE_ID_OVERRIDE",$C275,"DEEP_BROKER_ID_OVERRIDE",$F$7,"DEEP_PERIOD_OVERRIDE",W$11)*1,"")))</f>
        <v/>
      </c>
      <c r="X275" s="17" t="str">
        <f>IF(ISNA($B275),"",IF($B275="","",IFERROR(_xll.BDP(TICKER,"DEEP_MEASURE_PERIOD_BROKER_VALUE","DEEP_MEASURE_ID_OVERRIDE",$C275,"DEEP_BROKER_ID_OVERRIDE",$F$7,"DEEP_PERIOD_OVERRIDE",X$11)*1,"")))</f>
        <v/>
      </c>
      <c r="Y275" s="17" t="str">
        <f>IF(ISNA($B275),"",IF($B275="","",IFERROR(_xll.BDP(TICKER,"DEEP_MEASURE_PERIOD_BROKER_VALUE","DEEP_MEASURE_ID_OVERRIDE",$C275,"DEEP_BROKER_ID_OVERRIDE",$F$7,"DEEP_PERIOD_OVERRIDE",Y$11)*1,"")))</f>
        <v/>
      </c>
      <c r="Z275" s="17" t="str">
        <f>IF(ISNA($B275),"",IF($B275="","",IFERROR(_xll.BDP(TICKER,"DEEP_MEASURE_PERIOD_BROKER_VALUE","DEEP_MEASURE_ID_OVERRIDE",$C275,"DEEP_BROKER_ID_OVERRIDE",$F$7,"DEEP_PERIOD_OVERRIDE",Z$11)*1,"")))</f>
        <v/>
      </c>
      <c r="AA275" s="17" t="str">
        <f>IF(ISNA($B275),"",IF($B275="","",IFERROR(_xll.BDP(TICKER,"DEEP_MEASURE_PERIOD_BROKER_VALUE","DEEP_MEASURE_ID_OVERRIDE",$C275,"DEEP_BROKER_ID_OVERRIDE",$F$7,"DEEP_PERIOD_OVERRIDE",AA$11)*1,"")))</f>
        <v/>
      </c>
      <c r="AB275" s="17" t="str">
        <f>IF(ISNA($B275),"",IF($B275="","",IFERROR(_xll.BDP(TICKER,"DEEP_MEASURE_PERIOD_BROKER_VALUE","DEEP_MEASURE_ID_OVERRIDE",$C275,"DEEP_BROKER_ID_OVERRIDE",$F$7,"DEEP_PERIOD_OVERRIDE",AB$11)*1,"")))</f>
        <v/>
      </c>
      <c r="AC275" s="17" t="str">
        <f>IF(ISNA($B275),"",IF($B275="","",IFERROR(_xll.BDP(TICKER,"DEEP_MEASURE_PERIOD_BROKER_VALUE","DEEP_MEASURE_ID_OVERRIDE",$C275,"DEEP_BROKER_ID_OVERRIDE",$F$7,"DEEP_PERIOD_OVERRIDE",AC$11)*1,"")))</f>
        <v/>
      </c>
      <c r="AD275" s="17" t="str">
        <f>IF(ISNA($B275),"",IF($B275="","",IFERROR(_xll.BDP(TICKER,"DEEP_MEASURE_PERIOD_BROKER_VALUE","DEEP_MEASURE_ID_OVERRIDE",$C275,"DEEP_BROKER_ID_OVERRIDE",$F$7,"DEEP_PERIOD_OVERRIDE",AD$11)*1,"")))</f>
        <v/>
      </c>
      <c r="AE275" s="17" t="str">
        <f>IF(ISNA($B275),"",IF($B275="","",IFERROR(_xll.BDP(TICKER,"DEEP_MEASURE_PERIOD_BROKER_VALUE","DEEP_MEASURE_ID_OVERRIDE",$C275,"DEEP_BROKER_ID_OVERRIDE",$F$7,"DEEP_PERIOD_OVERRIDE",AE$11)*1,"")))</f>
        <v/>
      </c>
      <c r="AF275" s="17" t="str">
        <f>IF(ISNA($B275),"",IF($B275="","",IFERROR(_xll.BDP(TICKER,"DEEP_MEASURE_PERIOD_BROKER_VALUE","DEEP_MEASURE_ID_OVERRIDE",$C275,"DEEP_BROKER_ID_OVERRIDE",$F$7,"DEEP_PERIOD_OVERRIDE",AF$11)*1,"")))</f>
        <v/>
      </c>
      <c r="AG275" s="17" t="str">
        <f>IF(ISNA($B275),"",IF($B275="","",IFERROR(_xll.BDP(TICKER,"DEEP_MEASURE_PERIOD_BROKER_VALUE","DEEP_MEASURE_ID_OVERRIDE",$C275,"DEEP_BROKER_ID_OVERRIDE",$F$7,"DEEP_PERIOD_OVERRIDE",AG$11)*1,"")))</f>
        <v/>
      </c>
      <c r="AH275" s="17" t="str">
        <f>IF(ISNA($B275),"",IF($B275="","",IFERROR(_xll.BDP(TICKER,"DEEP_MEASURE_PERIOD_BROKER_VALUE","DEEP_MEASURE_ID_OVERRIDE",$C275,"DEEP_BROKER_ID_OVERRIDE",$F$7,"DEEP_PERIOD_OVERRIDE",AH$11)*1,"")))</f>
        <v/>
      </c>
      <c r="AI275" s="17" t="str">
        <f>IF(ISNA($B275),"",IF($B275="","",IFERROR(_xll.BDP(TICKER,"DEEP_MEASURE_PERIOD_BROKER_VALUE","DEEP_MEASURE_ID_OVERRIDE",$C275,"DEEP_BROKER_ID_OVERRIDE",$F$7,"DEEP_PERIOD_OVERRIDE",AI$11)*1,"")))</f>
        <v/>
      </c>
      <c r="AJ275" s="17" t="str">
        <f>IF(ISNA($B275),"",IF($B275="","",IFERROR(_xll.BDP(TICKER,"DEEP_MEASURE_PERIOD_BROKER_VALUE","DEEP_MEASURE_ID_OVERRIDE",$C275,"DEEP_BROKER_ID_OVERRIDE",$F$7,"DEEP_PERIOD_OVERRIDE",AJ$11)*1,"")))</f>
        <v/>
      </c>
      <c r="AK275" s="17" t="str">
        <f>IF(ISNA($B275),"",IF($B275="","",IFERROR(_xll.BDP(TICKER,"DEEP_MEASURE_PERIOD_BROKER_VALUE","DEEP_MEASURE_ID_OVERRIDE",$C275,"DEEP_BROKER_ID_OVERRIDE",$F$7,"DEEP_PERIOD_OVERRIDE",AK$11)*1,"")))</f>
        <v/>
      </c>
      <c r="AL275" s="17" t="str">
        <f>IF(ISNA($B275),"",IF($B275="","",IFERROR(_xll.BDP(TICKER,"DEEP_MEASURE_PERIOD_BROKER_VALUE","DEEP_MEASURE_ID_OVERRIDE",$C275,"DEEP_BROKER_ID_OVERRIDE",$F$7,"DEEP_PERIOD_OVERRIDE",AL$11)*1,"")))</f>
        <v/>
      </c>
      <c r="AM275" s="17" t="str">
        <f>IF(ISNA($B275),"",IF($B275="","",IFERROR(_xll.BDP(TICKER,"DEEP_MEASURE_PERIOD_BROKER_VALUE","DEEP_MEASURE_ID_OVERRIDE",$C275,"DEEP_BROKER_ID_OVERRIDE",$F$7,"DEEP_PERIOD_OVERRIDE",AM$11)*1,"")))</f>
        <v/>
      </c>
      <c r="AN275" s="17" t="str">
        <f>IF(ISNA($B275),"",IF($B275="","",IFERROR(_xll.BDP(TICKER,"DEEP_MEASURE_PERIOD_BROKER_VALUE","DEEP_MEASURE_ID_OVERRIDE",$C275,"DEEP_BROKER_ID_OVERRIDE",$F$7,"DEEP_PERIOD_OVERRIDE",AN$11)*1,"")))</f>
        <v/>
      </c>
      <c r="AO275" s="17" t="str">
        <f>IF(ISNA($B275),"",IF($B275="","",IFERROR(_xll.BDP(TICKER,"DEEP_MEASURE_PERIOD_BROKER_VALUE","DEEP_MEASURE_ID_OVERRIDE",$C275,"DEEP_BROKER_ID_OVERRIDE",$F$7,"DEEP_PERIOD_OVERRIDE",AO$11)*1,"")))</f>
        <v/>
      </c>
      <c r="AP275" s="17" t="str">
        <f>IF(ISNA($B275),"",IF($B275="","",IFERROR(_xll.BDP(TICKER,"DEEP_MEASURE_PERIOD_BROKER_VALUE","DEEP_MEASURE_ID_OVERRIDE",$C275,"DEEP_BROKER_ID_OVERRIDE",$F$7,"DEEP_PERIOD_OVERRIDE",AP$11)*1,"")))</f>
        <v/>
      </c>
      <c r="AQ275" s="17" t="str">
        <f>IF(ISNA($B275),"",IF($B275="","",IFERROR(_xll.BDP(TICKER,"DEEP_MEASURE_PERIOD_BROKER_VALUE","DEEP_MEASURE_ID_OVERRIDE",$C275,"DEEP_BROKER_ID_OVERRIDE",$F$7,"DEEP_PERIOD_OVERRIDE",AQ$11)*1,"")))</f>
        <v/>
      </c>
    </row>
    <row r="276" spans="8:43" x14ac:dyDescent="0.25">
      <c r="H276" t="str">
        <f t="shared" si="5"/>
        <v/>
      </c>
      <c r="I276" s="17" t="str">
        <f>IF(ISNA($B276),"",IF($B276="","",IFERROR(_xll.BDP(TICKER,"DEEP_MEASURE_PERIOD_BROKER_VALUE","DEEP_MEASURE_ID_OVERRIDE",$C276,"DEEP_BROKER_ID_OVERRIDE",$F$7,"DEEP_PERIOD_OVERRIDE",I$11)*1,"")))</f>
        <v/>
      </c>
      <c r="J276" s="17" t="str">
        <f>IF(ISNA($B276),"",IF($B276="","",IFERROR(_xll.BDP(TICKER,"DEEP_MEASURE_PERIOD_BROKER_VALUE","DEEP_MEASURE_ID_OVERRIDE",$C276,"DEEP_BROKER_ID_OVERRIDE",$F$7,"DEEP_PERIOD_OVERRIDE",J$11)*1,"")))</f>
        <v/>
      </c>
      <c r="K276" s="17" t="str">
        <f>IF(ISNA($B276),"",IF($B276="","",IFERROR(_xll.BDP(TICKER,"DEEP_MEASURE_PERIOD_BROKER_VALUE","DEEP_MEASURE_ID_OVERRIDE",$C276,"DEEP_BROKER_ID_OVERRIDE",$F$7,"DEEP_PERIOD_OVERRIDE",K$11)*1,"")))</f>
        <v/>
      </c>
      <c r="L276" s="17" t="str">
        <f>IF(ISNA($B276),"",IF($B276="","",IFERROR(_xll.BDP(TICKER,"DEEP_MEASURE_PERIOD_BROKER_VALUE","DEEP_MEASURE_ID_OVERRIDE",$C276,"DEEP_BROKER_ID_OVERRIDE",$F$7,"DEEP_PERIOD_OVERRIDE",L$11)*1,"")))</f>
        <v/>
      </c>
      <c r="M276" s="17" t="str">
        <f>IF(ISNA($B276),"",IF($B276="","",IFERROR(_xll.BDP(TICKER,"DEEP_MEASURE_PERIOD_BROKER_VALUE","DEEP_MEASURE_ID_OVERRIDE",$C276,"DEEP_BROKER_ID_OVERRIDE",$F$7,"DEEP_PERIOD_OVERRIDE",M$11)*1,"")))</f>
        <v/>
      </c>
      <c r="N276" s="17" t="str">
        <f>IF(ISNA($B276),"",IF($B276="","",IFERROR(_xll.BDP(TICKER,"DEEP_MEASURE_PERIOD_BROKER_VALUE","DEEP_MEASURE_ID_OVERRIDE",$C276,"DEEP_BROKER_ID_OVERRIDE",$F$7,"DEEP_PERIOD_OVERRIDE",N$11)*1,"")))</f>
        <v/>
      </c>
      <c r="O276" s="17" t="str">
        <f>IF(ISNA($B276),"",IF($B276="","",IFERROR(_xll.BDP(TICKER,"DEEP_MEASURE_PERIOD_BROKER_VALUE","DEEP_MEASURE_ID_OVERRIDE",$C276,"DEEP_BROKER_ID_OVERRIDE",$F$7,"DEEP_PERIOD_OVERRIDE",O$11)*1,"")))</f>
        <v/>
      </c>
      <c r="P276" s="17" t="str">
        <f>IF(ISNA($B276),"",IF($B276="","",IFERROR(_xll.BDP(TICKER,"DEEP_MEASURE_PERIOD_BROKER_VALUE","DEEP_MEASURE_ID_OVERRIDE",$C276,"DEEP_BROKER_ID_OVERRIDE",$F$7,"DEEP_PERIOD_OVERRIDE",P$11)*1,"")))</f>
        <v/>
      </c>
      <c r="Q276" s="17" t="str">
        <f>IF(ISNA($B276),"",IF($B276="","",IFERROR(_xll.BDP(TICKER,"DEEP_MEASURE_PERIOD_BROKER_VALUE","DEEP_MEASURE_ID_OVERRIDE",$C276,"DEEP_BROKER_ID_OVERRIDE",$F$7,"DEEP_PERIOD_OVERRIDE",Q$11)*1,"")))</f>
        <v/>
      </c>
      <c r="R276" s="17" t="str">
        <f>IF(ISNA($B276),"",IF($B276="","",IFERROR(_xll.BDP(TICKER,"DEEP_MEASURE_PERIOD_BROKER_VALUE","DEEP_MEASURE_ID_OVERRIDE",$C276,"DEEP_BROKER_ID_OVERRIDE",$F$7,"DEEP_PERIOD_OVERRIDE",R$11)*1,"")))</f>
        <v/>
      </c>
      <c r="S276" s="17" t="str">
        <f>IF(ISNA($B276),"",IF($B276="","",IFERROR(_xll.BDP(TICKER,"DEEP_MEASURE_PERIOD_BROKER_VALUE","DEEP_MEASURE_ID_OVERRIDE",$C276,"DEEP_BROKER_ID_OVERRIDE",$F$7,"DEEP_PERIOD_OVERRIDE",S$11)*1,"")))</f>
        <v/>
      </c>
      <c r="T276" s="17" t="str">
        <f>IF(ISNA($B276),"",IF($B276="","",IFERROR(_xll.BDP(TICKER,"DEEP_MEASURE_PERIOD_BROKER_VALUE","DEEP_MEASURE_ID_OVERRIDE",$C276,"DEEP_BROKER_ID_OVERRIDE",$F$7,"DEEP_PERIOD_OVERRIDE",T$11)*1,"")))</f>
        <v/>
      </c>
      <c r="U276" s="17" t="str">
        <f>IF(ISNA($B276),"",IF($B276="","",IFERROR(_xll.BDP(TICKER,"DEEP_MEASURE_PERIOD_BROKER_VALUE","DEEP_MEASURE_ID_OVERRIDE",$C276,"DEEP_BROKER_ID_OVERRIDE",$F$7,"DEEP_PERIOD_OVERRIDE",U$11)*1,"")))</f>
        <v/>
      </c>
      <c r="V276" s="17" t="str">
        <f>IF(ISNA($B276),"",IF($B276="","",IFERROR(_xll.BDP(TICKER,"DEEP_MEASURE_PERIOD_BROKER_VALUE","DEEP_MEASURE_ID_OVERRIDE",$C276,"DEEP_BROKER_ID_OVERRIDE",$F$7,"DEEP_PERIOD_OVERRIDE",V$11)*1,"")))</f>
        <v/>
      </c>
      <c r="W276" s="17" t="str">
        <f>IF(ISNA($B276),"",IF($B276="","",IFERROR(_xll.BDP(TICKER,"DEEP_MEASURE_PERIOD_BROKER_VALUE","DEEP_MEASURE_ID_OVERRIDE",$C276,"DEEP_BROKER_ID_OVERRIDE",$F$7,"DEEP_PERIOD_OVERRIDE",W$11)*1,"")))</f>
        <v/>
      </c>
      <c r="X276" s="17" t="str">
        <f>IF(ISNA($B276),"",IF($B276="","",IFERROR(_xll.BDP(TICKER,"DEEP_MEASURE_PERIOD_BROKER_VALUE","DEEP_MEASURE_ID_OVERRIDE",$C276,"DEEP_BROKER_ID_OVERRIDE",$F$7,"DEEP_PERIOD_OVERRIDE",X$11)*1,"")))</f>
        <v/>
      </c>
      <c r="Y276" s="17" t="str">
        <f>IF(ISNA($B276),"",IF($B276="","",IFERROR(_xll.BDP(TICKER,"DEEP_MEASURE_PERIOD_BROKER_VALUE","DEEP_MEASURE_ID_OVERRIDE",$C276,"DEEP_BROKER_ID_OVERRIDE",$F$7,"DEEP_PERIOD_OVERRIDE",Y$11)*1,"")))</f>
        <v/>
      </c>
      <c r="Z276" s="17" t="str">
        <f>IF(ISNA($B276),"",IF($B276="","",IFERROR(_xll.BDP(TICKER,"DEEP_MEASURE_PERIOD_BROKER_VALUE","DEEP_MEASURE_ID_OVERRIDE",$C276,"DEEP_BROKER_ID_OVERRIDE",$F$7,"DEEP_PERIOD_OVERRIDE",Z$11)*1,"")))</f>
        <v/>
      </c>
      <c r="AA276" s="17" t="str">
        <f>IF(ISNA($B276),"",IF($B276="","",IFERROR(_xll.BDP(TICKER,"DEEP_MEASURE_PERIOD_BROKER_VALUE","DEEP_MEASURE_ID_OVERRIDE",$C276,"DEEP_BROKER_ID_OVERRIDE",$F$7,"DEEP_PERIOD_OVERRIDE",AA$11)*1,"")))</f>
        <v/>
      </c>
      <c r="AB276" s="17" t="str">
        <f>IF(ISNA($B276),"",IF($B276="","",IFERROR(_xll.BDP(TICKER,"DEEP_MEASURE_PERIOD_BROKER_VALUE","DEEP_MEASURE_ID_OVERRIDE",$C276,"DEEP_BROKER_ID_OVERRIDE",$F$7,"DEEP_PERIOD_OVERRIDE",AB$11)*1,"")))</f>
        <v/>
      </c>
      <c r="AC276" s="17" t="str">
        <f>IF(ISNA($B276),"",IF($B276="","",IFERROR(_xll.BDP(TICKER,"DEEP_MEASURE_PERIOD_BROKER_VALUE","DEEP_MEASURE_ID_OVERRIDE",$C276,"DEEP_BROKER_ID_OVERRIDE",$F$7,"DEEP_PERIOD_OVERRIDE",AC$11)*1,"")))</f>
        <v/>
      </c>
      <c r="AD276" s="17" t="str">
        <f>IF(ISNA($B276),"",IF($B276="","",IFERROR(_xll.BDP(TICKER,"DEEP_MEASURE_PERIOD_BROKER_VALUE","DEEP_MEASURE_ID_OVERRIDE",$C276,"DEEP_BROKER_ID_OVERRIDE",$F$7,"DEEP_PERIOD_OVERRIDE",AD$11)*1,"")))</f>
        <v/>
      </c>
      <c r="AE276" s="17" t="str">
        <f>IF(ISNA($B276),"",IF($B276="","",IFERROR(_xll.BDP(TICKER,"DEEP_MEASURE_PERIOD_BROKER_VALUE","DEEP_MEASURE_ID_OVERRIDE",$C276,"DEEP_BROKER_ID_OVERRIDE",$F$7,"DEEP_PERIOD_OVERRIDE",AE$11)*1,"")))</f>
        <v/>
      </c>
      <c r="AF276" s="17" t="str">
        <f>IF(ISNA($B276),"",IF($B276="","",IFERROR(_xll.BDP(TICKER,"DEEP_MEASURE_PERIOD_BROKER_VALUE","DEEP_MEASURE_ID_OVERRIDE",$C276,"DEEP_BROKER_ID_OVERRIDE",$F$7,"DEEP_PERIOD_OVERRIDE",AF$11)*1,"")))</f>
        <v/>
      </c>
      <c r="AG276" s="17" t="str">
        <f>IF(ISNA($B276),"",IF($B276="","",IFERROR(_xll.BDP(TICKER,"DEEP_MEASURE_PERIOD_BROKER_VALUE","DEEP_MEASURE_ID_OVERRIDE",$C276,"DEEP_BROKER_ID_OVERRIDE",$F$7,"DEEP_PERIOD_OVERRIDE",AG$11)*1,"")))</f>
        <v/>
      </c>
      <c r="AH276" s="17" t="str">
        <f>IF(ISNA($B276),"",IF($B276="","",IFERROR(_xll.BDP(TICKER,"DEEP_MEASURE_PERIOD_BROKER_VALUE","DEEP_MEASURE_ID_OVERRIDE",$C276,"DEEP_BROKER_ID_OVERRIDE",$F$7,"DEEP_PERIOD_OVERRIDE",AH$11)*1,"")))</f>
        <v/>
      </c>
      <c r="AI276" s="17" t="str">
        <f>IF(ISNA($B276),"",IF($B276="","",IFERROR(_xll.BDP(TICKER,"DEEP_MEASURE_PERIOD_BROKER_VALUE","DEEP_MEASURE_ID_OVERRIDE",$C276,"DEEP_BROKER_ID_OVERRIDE",$F$7,"DEEP_PERIOD_OVERRIDE",AI$11)*1,"")))</f>
        <v/>
      </c>
      <c r="AJ276" s="17" t="str">
        <f>IF(ISNA($B276),"",IF($B276="","",IFERROR(_xll.BDP(TICKER,"DEEP_MEASURE_PERIOD_BROKER_VALUE","DEEP_MEASURE_ID_OVERRIDE",$C276,"DEEP_BROKER_ID_OVERRIDE",$F$7,"DEEP_PERIOD_OVERRIDE",AJ$11)*1,"")))</f>
        <v/>
      </c>
      <c r="AK276" s="17" t="str">
        <f>IF(ISNA($B276),"",IF($B276="","",IFERROR(_xll.BDP(TICKER,"DEEP_MEASURE_PERIOD_BROKER_VALUE","DEEP_MEASURE_ID_OVERRIDE",$C276,"DEEP_BROKER_ID_OVERRIDE",$F$7,"DEEP_PERIOD_OVERRIDE",AK$11)*1,"")))</f>
        <v/>
      </c>
      <c r="AL276" s="17" t="str">
        <f>IF(ISNA($B276),"",IF($B276="","",IFERROR(_xll.BDP(TICKER,"DEEP_MEASURE_PERIOD_BROKER_VALUE","DEEP_MEASURE_ID_OVERRIDE",$C276,"DEEP_BROKER_ID_OVERRIDE",$F$7,"DEEP_PERIOD_OVERRIDE",AL$11)*1,"")))</f>
        <v/>
      </c>
      <c r="AM276" s="17" t="str">
        <f>IF(ISNA($B276),"",IF($B276="","",IFERROR(_xll.BDP(TICKER,"DEEP_MEASURE_PERIOD_BROKER_VALUE","DEEP_MEASURE_ID_OVERRIDE",$C276,"DEEP_BROKER_ID_OVERRIDE",$F$7,"DEEP_PERIOD_OVERRIDE",AM$11)*1,"")))</f>
        <v/>
      </c>
      <c r="AN276" s="17" t="str">
        <f>IF(ISNA($B276),"",IF($B276="","",IFERROR(_xll.BDP(TICKER,"DEEP_MEASURE_PERIOD_BROKER_VALUE","DEEP_MEASURE_ID_OVERRIDE",$C276,"DEEP_BROKER_ID_OVERRIDE",$F$7,"DEEP_PERIOD_OVERRIDE",AN$11)*1,"")))</f>
        <v/>
      </c>
      <c r="AO276" s="17" t="str">
        <f>IF(ISNA($B276),"",IF($B276="","",IFERROR(_xll.BDP(TICKER,"DEEP_MEASURE_PERIOD_BROKER_VALUE","DEEP_MEASURE_ID_OVERRIDE",$C276,"DEEP_BROKER_ID_OVERRIDE",$F$7,"DEEP_PERIOD_OVERRIDE",AO$11)*1,"")))</f>
        <v/>
      </c>
      <c r="AP276" s="17" t="str">
        <f>IF(ISNA($B276),"",IF($B276="","",IFERROR(_xll.BDP(TICKER,"DEEP_MEASURE_PERIOD_BROKER_VALUE","DEEP_MEASURE_ID_OVERRIDE",$C276,"DEEP_BROKER_ID_OVERRIDE",$F$7,"DEEP_PERIOD_OVERRIDE",AP$11)*1,"")))</f>
        <v/>
      </c>
      <c r="AQ276" s="17" t="str">
        <f>IF(ISNA($B276),"",IF($B276="","",IFERROR(_xll.BDP(TICKER,"DEEP_MEASURE_PERIOD_BROKER_VALUE","DEEP_MEASURE_ID_OVERRIDE",$C276,"DEEP_BROKER_ID_OVERRIDE",$F$7,"DEEP_PERIOD_OVERRIDE",AQ$11)*1,"")))</f>
        <v/>
      </c>
    </row>
    <row r="277" spans="8:43" x14ac:dyDescent="0.25">
      <c r="H277" t="str">
        <f t="shared" ref="H277:H299" si="6">IF(ISNA($B277),"",IF(ISBLANK($B277),"",$B277))</f>
        <v/>
      </c>
      <c r="I277" s="17" t="str">
        <f>IF(ISNA($B277),"",IF($B277="","",IFERROR(_xll.BDP(TICKER,"DEEP_MEASURE_PERIOD_BROKER_VALUE","DEEP_MEASURE_ID_OVERRIDE",$C277,"DEEP_BROKER_ID_OVERRIDE",$F$7,"DEEP_PERIOD_OVERRIDE",I$11)*1,"")))</f>
        <v/>
      </c>
      <c r="J277" s="17" t="str">
        <f>IF(ISNA($B277),"",IF($B277="","",IFERROR(_xll.BDP(TICKER,"DEEP_MEASURE_PERIOD_BROKER_VALUE","DEEP_MEASURE_ID_OVERRIDE",$C277,"DEEP_BROKER_ID_OVERRIDE",$F$7,"DEEP_PERIOD_OVERRIDE",J$11)*1,"")))</f>
        <v/>
      </c>
      <c r="K277" s="17" t="str">
        <f>IF(ISNA($B277),"",IF($B277="","",IFERROR(_xll.BDP(TICKER,"DEEP_MEASURE_PERIOD_BROKER_VALUE","DEEP_MEASURE_ID_OVERRIDE",$C277,"DEEP_BROKER_ID_OVERRIDE",$F$7,"DEEP_PERIOD_OVERRIDE",K$11)*1,"")))</f>
        <v/>
      </c>
      <c r="L277" s="17" t="str">
        <f>IF(ISNA($B277),"",IF($B277="","",IFERROR(_xll.BDP(TICKER,"DEEP_MEASURE_PERIOD_BROKER_VALUE","DEEP_MEASURE_ID_OVERRIDE",$C277,"DEEP_BROKER_ID_OVERRIDE",$F$7,"DEEP_PERIOD_OVERRIDE",L$11)*1,"")))</f>
        <v/>
      </c>
      <c r="M277" s="17" t="str">
        <f>IF(ISNA($B277),"",IF($B277="","",IFERROR(_xll.BDP(TICKER,"DEEP_MEASURE_PERIOD_BROKER_VALUE","DEEP_MEASURE_ID_OVERRIDE",$C277,"DEEP_BROKER_ID_OVERRIDE",$F$7,"DEEP_PERIOD_OVERRIDE",M$11)*1,"")))</f>
        <v/>
      </c>
      <c r="N277" s="17" t="str">
        <f>IF(ISNA($B277),"",IF($B277="","",IFERROR(_xll.BDP(TICKER,"DEEP_MEASURE_PERIOD_BROKER_VALUE","DEEP_MEASURE_ID_OVERRIDE",$C277,"DEEP_BROKER_ID_OVERRIDE",$F$7,"DEEP_PERIOD_OVERRIDE",N$11)*1,"")))</f>
        <v/>
      </c>
      <c r="O277" s="17" t="str">
        <f>IF(ISNA($B277),"",IF($B277="","",IFERROR(_xll.BDP(TICKER,"DEEP_MEASURE_PERIOD_BROKER_VALUE","DEEP_MEASURE_ID_OVERRIDE",$C277,"DEEP_BROKER_ID_OVERRIDE",$F$7,"DEEP_PERIOD_OVERRIDE",O$11)*1,"")))</f>
        <v/>
      </c>
      <c r="P277" s="17" t="str">
        <f>IF(ISNA($B277),"",IF($B277="","",IFERROR(_xll.BDP(TICKER,"DEEP_MEASURE_PERIOD_BROKER_VALUE","DEEP_MEASURE_ID_OVERRIDE",$C277,"DEEP_BROKER_ID_OVERRIDE",$F$7,"DEEP_PERIOD_OVERRIDE",P$11)*1,"")))</f>
        <v/>
      </c>
      <c r="Q277" s="17" t="str">
        <f>IF(ISNA($B277),"",IF($B277="","",IFERROR(_xll.BDP(TICKER,"DEEP_MEASURE_PERIOD_BROKER_VALUE","DEEP_MEASURE_ID_OVERRIDE",$C277,"DEEP_BROKER_ID_OVERRIDE",$F$7,"DEEP_PERIOD_OVERRIDE",Q$11)*1,"")))</f>
        <v/>
      </c>
      <c r="R277" s="17" t="str">
        <f>IF(ISNA($B277),"",IF($B277="","",IFERROR(_xll.BDP(TICKER,"DEEP_MEASURE_PERIOD_BROKER_VALUE","DEEP_MEASURE_ID_OVERRIDE",$C277,"DEEP_BROKER_ID_OVERRIDE",$F$7,"DEEP_PERIOD_OVERRIDE",R$11)*1,"")))</f>
        <v/>
      </c>
      <c r="S277" s="17" t="str">
        <f>IF(ISNA($B277),"",IF($B277="","",IFERROR(_xll.BDP(TICKER,"DEEP_MEASURE_PERIOD_BROKER_VALUE","DEEP_MEASURE_ID_OVERRIDE",$C277,"DEEP_BROKER_ID_OVERRIDE",$F$7,"DEEP_PERIOD_OVERRIDE",S$11)*1,"")))</f>
        <v/>
      </c>
      <c r="T277" s="17" t="str">
        <f>IF(ISNA($B277),"",IF($B277="","",IFERROR(_xll.BDP(TICKER,"DEEP_MEASURE_PERIOD_BROKER_VALUE","DEEP_MEASURE_ID_OVERRIDE",$C277,"DEEP_BROKER_ID_OVERRIDE",$F$7,"DEEP_PERIOD_OVERRIDE",T$11)*1,"")))</f>
        <v/>
      </c>
      <c r="U277" s="17" t="str">
        <f>IF(ISNA($B277),"",IF($B277="","",IFERROR(_xll.BDP(TICKER,"DEEP_MEASURE_PERIOD_BROKER_VALUE","DEEP_MEASURE_ID_OVERRIDE",$C277,"DEEP_BROKER_ID_OVERRIDE",$F$7,"DEEP_PERIOD_OVERRIDE",U$11)*1,"")))</f>
        <v/>
      </c>
      <c r="V277" s="17" t="str">
        <f>IF(ISNA($B277),"",IF($B277="","",IFERROR(_xll.BDP(TICKER,"DEEP_MEASURE_PERIOD_BROKER_VALUE","DEEP_MEASURE_ID_OVERRIDE",$C277,"DEEP_BROKER_ID_OVERRIDE",$F$7,"DEEP_PERIOD_OVERRIDE",V$11)*1,"")))</f>
        <v/>
      </c>
      <c r="W277" s="17" t="str">
        <f>IF(ISNA($B277),"",IF($B277="","",IFERROR(_xll.BDP(TICKER,"DEEP_MEASURE_PERIOD_BROKER_VALUE","DEEP_MEASURE_ID_OVERRIDE",$C277,"DEEP_BROKER_ID_OVERRIDE",$F$7,"DEEP_PERIOD_OVERRIDE",W$11)*1,"")))</f>
        <v/>
      </c>
      <c r="X277" s="17" t="str">
        <f>IF(ISNA($B277),"",IF($B277="","",IFERROR(_xll.BDP(TICKER,"DEEP_MEASURE_PERIOD_BROKER_VALUE","DEEP_MEASURE_ID_OVERRIDE",$C277,"DEEP_BROKER_ID_OVERRIDE",$F$7,"DEEP_PERIOD_OVERRIDE",X$11)*1,"")))</f>
        <v/>
      </c>
      <c r="Y277" s="17" t="str">
        <f>IF(ISNA($B277),"",IF($B277="","",IFERROR(_xll.BDP(TICKER,"DEEP_MEASURE_PERIOD_BROKER_VALUE","DEEP_MEASURE_ID_OVERRIDE",$C277,"DEEP_BROKER_ID_OVERRIDE",$F$7,"DEEP_PERIOD_OVERRIDE",Y$11)*1,"")))</f>
        <v/>
      </c>
      <c r="Z277" s="17" t="str">
        <f>IF(ISNA($B277),"",IF($B277="","",IFERROR(_xll.BDP(TICKER,"DEEP_MEASURE_PERIOD_BROKER_VALUE","DEEP_MEASURE_ID_OVERRIDE",$C277,"DEEP_BROKER_ID_OVERRIDE",$F$7,"DEEP_PERIOD_OVERRIDE",Z$11)*1,"")))</f>
        <v/>
      </c>
      <c r="AA277" s="17" t="str">
        <f>IF(ISNA($B277),"",IF($B277="","",IFERROR(_xll.BDP(TICKER,"DEEP_MEASURE_PERIOD_BROKER_VALUE","DEEP_MEASURE_ID_OVERRIDE",$C277,"DEEP_BROKER_ID_OVERRIDE",$F$7,"DEEP_PERIOD_OVERRIDE",AA$11)*1,"")))</f>
        <v/>
      </c>
      <c r="AB277" s="17" t="str">
        <f>IF(ISNA($B277),"",IF($B277="","",IFERROR(_xll.BDP(TICKER,"DEEP_MEASURE_PERIOD_BROKER_VALUE","DEEP_MEASURE_ID_OVERRIDE",$C277,"DEEP_BROKER_ID_OVERRIDE",$F$7,"DEEP_PERIOD_OVERRIDE",AB$11)*1,"")))</f>
        <v/>
      </c>
      <c r="AC277" s="17" t="str">
        <f>IF(ISNA($B277),"",IF($B277="","",IFERROR(_xll.BDP(TICKER,"DEEP_MEASURE_PERIOD_BROKER_VALUE","DEEP_MEASURE_ID_OVERRIDE",$C277,"DEEP_BROKER_ID_OVERRIDE",$F$7,"DEEP_PERIOD_OVERRIDE",AC$11)*1,"")))</f>
        <v/>
      </c>
      <c r="AD277" s="17" t="str">
        <f>IF(ISNA($B277),"",IF($B277="","",IFERROR(_xll.BDP(TICKER,"DEEP_MEASURE_PERIOD_BROKER_VALUE","DEEP_MEASURE_ID_OVERRIDE",$C277,"DEEP_BROKER_ID_OVERRIDE",$F$7,"DEEP_PERIOD_OVERRIDE",AD$11)*1,"")))</f>
        <v/>
      </c>
      <c r="AE277" s="17" t="str">
        <f>IF(ISNA($B277),"",IF($B277="","",IFERROR(_xll.BDP(TICKER,"DEEP_MEASURE_PERIOD_BROKER_VALUE","DEEP_MEASURE_ID_OVERRIDE",$C277,"DEEP_BROKER_ID_OVERRIDE",$F$7,"DEEP_PERIOD_OVERRIDE",AE$11)*1,"")))</f>
        <v/>
      </c>
      <c r="AF277" s="17" t="str">
        <f>IF(ISNA($B277),"",IF($B277="","",IFERROR(_xll.BDP(TICKER,"DEEP_MEASURE_PERIOD_BROKER_VALUE","DEEP_MEASURE_ID_OVERRIDE",$C277,"DEEP_BROKER_ID_OVERRIDE",$F$7,"DEEP_PERIOD_OVERRIDE",AF$11)*1,"")))</f>
        <v/>
      </c>
      <c r="AG277" s="17" t="str">
        <f>IF(ISNA($B277),"",IF($B277="","",IFERROR(_xll.BDP(TICKER,"DEEP_MEASURE_PERIOD_BROKER_VALUE","DEEP_MEASURE_ID_OVERRIDE",$C277,"DEEP_BROKER_ID_OVERRIDE",$F$7,"DEEP_PERIOD_OVERRIDE",AG$11)*1,"")))</f>
        <v/>
      </c>
      <c r="AH277" s="17" t="str">
        <f>IF(ISNA($B277),"",IF($B277="","",IFERROR(_xll.BDP(TICKER,"DEEP_MEASURE_PERIOD_BROKER_VALUE","DEEP_MEASURE_ID_OVERRIDE",$C277,"DEEP_BROKER_ID_OVERRIDE",$F$7,"DEEP_PERIOD_OVERRIDE",AH$11)*1,"")))</f>
        <v/>
      </c>
      <c r="AI277" s="17" t="str">
        <f>IF(ISNA($B277),"",IF($B277="","",IFERROR(_xll.BDP(TICKER,"DEEP_MEASURE_PERIOD_BROKER_VALUE","DEEP_MEASURE_ID_OVERRIDE",$C277,"DEEP_BROKER_ID_OVERRIDE",$F$7,"DEEP_PERIOD_OVERRIDE",AI$11)*1,"")))</f>
        <v/>
      </c>
      <c r="AJ277" s="17" t="str">
        <f>IF(ISNA($B277),"",IF($B277="","",IFERROR(_xll.BDP(TICKER,"DEEP_MEASURE_PERIOD_BROKER_VALUE","DEEP_MEASURE_ID_OVERRIDE",$C277,"DEEP_BROKER_ID_OVERRIDE",$F$7,"DEEP_PERIOD_OVERRIDE",AJ$11)*1,"")))</f>
        <v/>
      </c>
      <c r="AK277" s="17" t="str">
        <f>IF(ISNA($B277),"",IF($B277="","",IFERROR(_xll.BDP(TICKER,"DEEP_MEASURE_PERIOD_BROKER_VALUE","DEEP_MEASURE_ID_OVERRIDE",$C277,"DEEP_BROKER_ID_OVERRIDE",$F$7,"DEEP_PERIOD_OVERRIDE",AK$11)*1,"")))</f>
        <v/>
      </c>
      <c r="AL277" s="17" t="str">
        <f>IF(ISNA($B277),"",IF($B277="","",IFERROR(_xll.BDP(TICKER,"DEEP_MEASURE_PERIOD_BROKER_VALUE","DEEP_MEASURE_ID_OVERRIDE",$C277,"DEEP_BROKER_ID_OVERRIDE",$F$7,"DEEP_PERIOD_OVERRIDE",AL$11)*1,"")))</f>
        <v/>
      </c>
      <c r="AM277" s="17" t="str">
        <f>IF(ISNA($B277),"",IF($B277="","",IFERROR(_xll.BDP(TICKER,"DEEP_MEASURE_PERIOD_BROKER_VALUE","DEEP_MEASURE_ID_OVERRIDE",$C277,"DEEP_BROKER_ID_OVERRIDE",$F$7,"DEEP_PERIOD_OVERRIDE",AM$11)*1,"")))</f>
        <v/>
      </c>
      <c r="AN277" s="17" t="str">
        <f>IF(ISNA($B277),"",IF($B277="","",IFERROR(_xll.BDP(TICKER,"DEEP_MEASURE_PERIOD_BROKER_VALUE","DEEP_MEASURE_ID_OVERRIDE",$C277,"DEEP_BROKER_ID_OVERRIDE",$F$7,"DEEP_PERIOD_OVERRIDE",AN$11)*1,"")))</f>
        <v/>
      </c>
      <c r="AO277" s="17" t="str">
        <f>IF(ISNA($B277),"",IF($B277="","",IFERROR(_xll.BDP(TICKER,"DEEP_MEASURE_PERIOD_BROKER_VALUE","DEEP_MEASURE_ID_OVERRIDE",$C277,"DEEP_BROKER_ID_OVERRIDE",$F$7,"DEEP_PERIOD_OVERRIDE",AO$11)*1,"")))</f>
        <v/>
      </c>
      <c r="AP277" s="17" t="str">
        <f>IF(ISNA($B277),"",IF($B277="","",IFERROR(_xll.BDP(TICKER,"DEEP_MEASURE_PERIOD_BROKER_VALUE","DEEP_MEASURE_ID_OVERRIDE",$C277,"DEEP_BROKER_ID_OVERRIDE",$F$7,"DEEP_PERIOD_OVERRIDE",AP$11)*1,"")))</f>
        <v/>
      </c>
      <c r="AQ277" s="17" t="str">
        <f>IF(ISNA($B277),"",IF($B277="","",IFERROR(_xll.BDP(TICKER,"DEEP_MEASURE_PERIOD_BROKER_VALUE","DEEP_MEASURE_ID_OVERRIDE",$C277,"DEEP_BROKER_ID_OVERRIDE",$F$7,"DEEP_PERIOD_OVERRIDE",AQ$11)*1,"")))</f>
        <v/>
      </c>
    </row>
    <row r="278" spans="8:43" x14ac:dyDescent="0.25">
      <c r="H278" t="str">
        <f t="shared" si="6"/>
        <v/>
      </c>
      <c r="I278" s="17" t="str">
        <f>IF(ISNA($B278),"",IF($B278="","",IFERROR(_xll.BDP(TICKER,"DEEP_MEASURE_PERIOD_BROKER_VALUE","DEEP_MEASURE_ID_OVERRIDE",$C278,"DEEP_BROKER_ID_OVERRIDE",$F$7,"DEEP_PERIOD_OVERRIDE",I$11)*1,"")))</f>
        <v/>
      </c>
      <c r="J278" s="17" t="str">
        <f>IF(ISNA($B278),"",IF($B278="","",IFERROR(_xll.BDP(TICKER,"DEEP_MEASURE_PERIOD_BROKER_VALUE","DEEP_MEASURE_ID_OVERRIDE",$C278,"DEEP_BROKER_ID_OVERRIDE",$F$7,"DEEP_PERIOD_OVERRIDE",J$11)*1,"")))</f>
        <v/>
      </c>
      <c r="K278" s="17" t="str">
        <f>IF(ISNA($B278),"",IF($B278="","",IFERROR(_xll.BDP(TICKER,"DEEP_MEASURE_PERIOD_BROKER_VALUE","DEEP_MEASURE_ID_OVERRIDE",$C278,"DEEP_BROKER_ID_OVERRIDE",$F$7,"DEEP_PERIOD_OVERRIDE",K$11)*1,"")))</f>
        <v/>
      </c>
      <c r="L278" s="17" t="str">
        <f>IF(ISNA($B278),"",IF($B278="","",IFERROR(_xll.BDP(TICKER,"DEEP_MEASURE_PERIOD_BROKER_VALUE","DEEP_MEASURE_ID_OVERRIDE",$C278,"DEEP_BROKER_ID_OVERRIDE",$F$7,"DEEP_PERIOD_OVERRIDE",L$11)*1,"")))</f>
        <v/>
      </c>
      <c r="M278" s="17" t="str">
        <f>IF(ISNA($B278),"",IF($B278="","",IFERROR(_xll.BDP(TICKER,"DEEP_MEASURE_PERIOD_BROKER_VALUE","DEEP_MEASURE_ID_OVERRIDE",$C278,"DEEP_BROKER_ID_OVERRIDE",$F$7,"DEEP_PERIOD_OVERRIDE",M$11)*1,"")))</f>
        <v/>
      </c>
      <c r="N278" s="17" t="str">
        <f>IF(ISNA($B278),"",IF($B278="","",IFERROR(_xll.BDP(TICKER,"DEEP_MEASURE_PERIOD_BROKER_VALUE","DEEP_MEASURE_ID_OVERRIDE",$C278,"DEEP_BROKER_ID_OVERRIDE",$F$7,"DEEP_PERIOD_OVERRIDE",N$11)*1,"")))</f>
        <v/>
      </c>
      <c r="O278" s="17" t="str">
        <f>IF(ISNA($B278),"",IF($B278="","",IFERROR(_xll.BDP(TICKER,"DEEP_MEASURE_PERIOD_BROKER_VALUE","DEEP_MEASURE_ID_OVERRIDE",$C278,"DEEP_BROKER_ID_OVERRIDE",$F$7,"DEEP_PERIOD_OVERRIDE",O$11)*1,"")))</f>
        <v/>
      </c>
      <c r="P278" s="17" t="str">
        <f>IF(ISNA($B278),"",IF($B278="","",IFERROR(_xll.BDP(TICKER,"DEEP_MEASURE_PERIOD_BROKER_VALUE","DEEP_MEASURE_ID_OVERRIDE",$C278,"DEEP_BROKER_ID_OVERRIDE",$F$7,"DEEP_PERIOD_OVERRIDE",P$11)*1,"")))</f>
        <v/>
      </c>
      <c r="Q278" s="17" t="str">
        <f>IF(ISNA($B278),"",IF($B278="","",IFERROR(_xll.BDP(TICKER,"DEEP_MEASURE_PERIOD_BROKER_VALUE","DEEP_MEASURE_ID_OVERRIDE",$C278,"DEEP_BROKER_ID_OVERRIDE",$F$7,"DEEP_PERIOD_OVERRIDE",Q$11)*1,"")))</f>
        <v/>
      </c>
      <c r="R278" s="17" t="str">
        <f>IF(ISNA($B278),"",IF($B278="","",IFERROR(_xll.BDP(TICKER,"DEEP_MEASURE_PERIOD_BROKER_VALUE","DEEP_MEASURE_ID_OVERRIDE",$C278,"DEEP_BROKER_ID_OVERRIDE",$F$7,"DEEP_PERIOD_OVERRIDE",R$11)*1,"")))</f>
        <v/>
      </c>
      <c r="S278" s="17" t="str">
        <f>IF(ISNA($B278),"",IF($B278="","",IFERROR(_xll.BDP(TICKER,"DEEP_MEASURE_PERIOD_BROKER_VALUE","DEEP_MEASURE_ID_OVERRIDE",$C278,"DEEP_BROKER_ID_OVERRIDE",$F$7,"DEEP_PERIOD_OVERRIDE",S$11)*1,"")))</f>
        <v/>
      </c>
      <c r="T278" s="17" t="str">
        <f>IF(ISNA($B278),"",IF($B278="","",IFERROR(_xll.BDP(TICKER,"DEEP_MEASURE_PERIOD_BROKER_VALUE","DEEP_MEASURE_ID_OVERRIDE",$C278,"DEEP_BROKER_ID_OVERRIDE",$F$7,"DEEP_PERIOD_OVERRIDE",T$11)*1,"")))</f>
        <v/>
      </c>
      <c r="U278" s="17" t="str">
        <f>IF(ISNA($B278),"",IF($B278="","",IFERROR(_xll.BDP(TICKER,"DEEP_MEASURE_PERIOD_BROKER_VALUE","DEEP_MEASURE_ID_OVERRIDE",$C278,"DEEP_BROKER_ID_OVERRIDE",$F$7,"DEEP_PERIOD_OVERRIDE",U$11)*1,"")))</f>
        <v/>
      </c>
      <c r="V278" s="17" t="str">
        <f>IF(ISNA($B278),"",IF($B278="","",IFERROR(_xll.BDP(TICKER,"DEEP_MEASURE_PERIOD_BROKER_VALUE","DEEP_MEASURE_ID_OVERRIDE",$C278,"DEEP_BROKER_ID_OVERRIDE",$F$7,"DEEP_PERIOD_OVERRIDE",V$11)*1,"")))</f>
        <v/>
      </c>
      <c r="W278" s="17" t="str">
        <f>IF(ISNA($B278),"",IF($B278="","",IFERROR(_xll.BDP(TICKER,"DEEP_MEASURE_PERIOD_BROKER_VALUE","DEEP_MEASURE_ID_OVERRIDE",$C278,"DEEP_BROKER_ID_OVERRIDE",$F$7,"DEEP_PERIOD_OVERRIDE",W$11)*1,"")))</f>
        <v/>
      </c>
      <c r="X278" s="17" t="str">
        <f>IF(ISNA($B278),"",IF($B278="","",IFERROR(_xll.BDP(TICKER,"DEEP_MEASURE_PERIOD_BROKER_VALUE","DEEP_MEASURE_ID_OVERRIDE",$C278,"DEEP_BROKER_ID_OVERRIDE",$F$7,"DEEP_PERIOD_OVERRIDE",X$11)*1,"")))</f>
        <v/>
      </c>
      <c r="Y278" s="17" t="str">
        <f>IF(ISNA($B278),"",IF($B278="","",IFERROR(_xll.BDP(TICKER,"DEEP_MEASURE_PERIOD_BROKER_VALUE","DEEP_MEASURE_ID_OVERRIDE",$C278,"DEEP_BROKER_ID_OVERRIDE",$F$7,"DEEP_PERIOD_OVERRIDE",Y$11)*1,"")))</f>
        <v/>
      </c>
      <c r="Z278" s="17" t="str">
        <f>IF(ISNA($B278),"",IF($B278="","",IFERROR(_xll.BDP(TICKER,"DEEP_MEASURE_PERIOD_BROKER_VALUE","DEEP_MEASURE_ID_OVERRIDE",$C278,"DEEP_BROKER_ID_OVERRIDE",$F$7,"DEEP_PERIOD_OVERRIDE",Z$11)*1,"")))</f>
        <v/>
      </c>
      <c r="AA278" s="17" t="str">
        <f>IF(ISNA($B278),"",IF($B278="","",IFERROR(_xll.BDP(TICKER,"DEEP_MEASURE_PERIOD_BROKER_VALUE","DEEP_MEASURE_ID_OVERRIDE",$C278,"DEEP_BROKER_ID_OVERRIDE",$F$7,"DEEP_PERIOD_OVERRIDE",AA$11)*1,"")))</f>
        <v/>
      </c>
      <c r="AB278" s="17" t="str">
        <f>IF(ISNA($B278),"",IF($B278="","",IFERROR(_xll.BDP(TICKER,"DEEP_MEASURE_PERIOD_BROKER_VALUE","DEEP_MEASURE_ID_OVERRIDE",$C278,"DEEP_BROKER_ID_OVERRIDE",$F$7,"DEEP_PERIOD_OVERRIDE",AB$11)*1,"")))</f>
        <v/>
      </c>
      <c r="AC278" s="17" t="str">
        <f>IF(ISNA($B278),"",IF($B278="","",IFERROR(_xll.BDP(TICKER,"DEEP_MEASURE_PERIOD_BROKER_VALUE","DEEP_MEASURE_ID_OVERRIDE",$C278,"DEEP_BROKER_ID_OVERRIDE",$F$7,"DEEP_PERIOD_OVERRIDE",AC$11)*1,"")))</f>
        <v/>
      </c>
      <c r="AD278" s="17" t="str">
        <f>IF(ISNA($B278),"",IF($B278="","",IFERROR(_xll.BDP(TICKER,"DEEP_MEASURE_PERIOD_BROKER_VALUE","DEEP_MEASURE_ID_OVERRIDE",$C278,"DEEP_BROKER_ID_OVERRIDE",$F$7,"DEEP_PERIOD_OVERRIDE",AD$11)*1,"")))</f>
        <v/>
      </c>
      <c r="AE278" s="17" t="str">
        <f>IF(ISNA($B278),"",IF($B278="","",IFERROR(_xll.BDP(TICKER,"DEEP_MEASURE_PERIOD_BROKER_VALUE","DEEP_MEASURE_ID_OVERRIDE",$C278,"DEEP_BROKER_ID_OVERRIDE",$F$7,"DEEP_PERIOD_OVERRIDE",AE$11)*1,"")))</f>
        <v/>
      </c>
      <c r="AF278" s="17" t="str">
        <f>IF(ISNA($B278),"",IF($B278="","",IFERROR(_xll.BDP(TICKER,"DEEP_MEASURE_PERIOD_BROKER_VALUE","DEEP_MEASURE_ID_OVERRIDE",$C278,"DEEP_BROKER_ID_OVERRIDE",$F$7,"DEEP_PERIOD_OVERRIDE",AF$11)*1,"")))</f>
        <v/>
      </c>
      <c r="AG278" s="17" t="str">
        <f>IF(ISNA($B278),"",IF($B278="","",IFERROR(_xll.BDP(TICKER,"DEEP_MEASURE_PERIOD_BROKER_VALUE","DEEP_MEASURE_ID_OVERRIDE",$C278,"DEEP_BROKER_ID_OVERRIDE",$F$7,"DEEP_PERIOD_OVERRIDE",AG$11)*1,"")))</f>
        <v/>
      </c>
      <c r="AH278" s="17" t="str">
        <f>IF(ISNA($B278),"",IF($B278="","",IFERROR(_xll.BDP(TICKER,"DEEP_MEASURE_PERIOD_BROKER_VALUE","DEEP_MEASURE_ID_OVERRIDE",$C278,"DEEP_BROKER_ID_OVERRIDE",$F$7,"DEEP_PERIOD_OVERRIDE",AH$11)*1,"")))</f>
        <v/>
      </c>
      <c r="AI278" s="17" t="str">
        <f>IF(ISNA($B278),"",IF($B278="","",IFERROR(_xll.BDP(TICKER,"DEEP_MEASURE_PERIOD_BROKER_VALUE","DEEP_MEASURE_ID_OVERRIDE",$C278,"DEEP_BROKER_ID_OVERRIDE",$F$7,"DEEP_PERIOD_OVERRIDE",AI$11)*1,"")))</f>
        <v/>
      </c>
      <c r="AJ278" s="17" t="str">
        <f>IF(ISNA($B278),"",IF($B278="","",IFERROR(_xll.BDP(TICKER,"DEEP_MEASURE_PERIOD_BROKER_VALUE","DEEP_MEASURE_ID_OVERRIDE",$C278,"DEEP_BROKER_ID_OVERRIDE",$F$7,"DEEP_PERIOD_OVERRIDE",AJ$11)*1,"")))</f>
        <v/>
      </c>
      <c r="AK278" s="17" t="str">
        <f>IF(ISNA($B278),"",IF($B278="","",IFERROR(_xll.BDP(TICKER,"DEEP_MEASURE_PERIOD_BROKER_VALUE","DEEP_MEASURE_ID_OVERRIDE",$C278,"DEEP_BROKER_ID_OVERRIDE",$F$7,"DEEP_PERIOD_OVERRIDE",AK$11)*1,"")))</f>
        <v/>
      </c>
      <c r="AL278" s="17" t="str">
        <f>IF(ISNA($B278),"",IF($B278="","",IFERROR(_xll.BDP(TICKER,"DEEP_MEASURE_PERIOD_BROKER_VALUE","DEEP_MEASURE_ID_OVERRIDE",$C278,"DEEP_BROKER_ID_OVERRIDE",$F$7,"DEEP_PERIOD_OVERRIDE",AL$11)*1,"")))</f>
        <v/>
      </c>
      <c r="AM278" s="17" t="str">
        <f>IF(ISNA($B278),"",IF($B278="","",IFERROR(_xll.BDP(TICKER,"DEEP_MEASURE_PERIOD_BROKER_VALUE","DEEP_MEASURE_ID_OVERRIDE",$C278,"DEEP_BROKER_ID_OVERRIDE",$F$7,"DEEP_PERIOD_OVERRIDE",AM$11)*1,"")))</f>
        <v/>
      </c>
      <c r="AN278" s="17" t="str">
        <f>IF(ISNA($B278),"",IF($B278="","",IFERROR(_xll.BDP(TICKER,"DEEP_MEASURE_PERIOD_BROKER_VALUE","DEEP_MEASURE_ID_OVERRIDE",$C278,"DEEP_BROKER_ID_OVERRIDE",$F$7,"DEEP_PERIOD_OVERRIDE",AN$11)*1,"")))</f>
        <v/>
      </c>
      <c r="AO278" s="17" t="str">
        <f>IF(ISNA($B278),"",IF($B278="","",IFERROR(_xll.BDP(TICKER,"DEEP_MEASURE_PERIOD_BROKER_VALUE","DEEP_MEASURE_ID_OVERRIDE",$C278,"DEEP_BROKER_ID_OVERRIDE",$F$7,"DEEP_PERIOD_OVERRIDE",AO$11)*1,"")))</f>
        <v/>
      </c>
      <c r="AP278" s="17" t="str">
        <f>IF(ISNA($B278),"",IF($B278="","",IFERROR(_xll.BDP(TICKER,"DEEP_MEASURE_PERIOD_BROKER_VALUE","DEEP_MEASURE_ID_OVERRIDE",$C278,"DEEP_BROKER_ID_OVERRIDE",$F$7,"DEEP_PERIOD_OVERRIDE",AP$11)*1,"")))</f>
        <v/>
      </c>
      <c r="AQ278" s="17" t="str">
        <f>IF(ISNA($B278),"",IF($B278="","",IFERROR(_xll.BDP(TICKER,"DEEP_MEASURE_PERIOD_BROKER_VALUE","DEEP_MEASURE_ID_OVERRIDE",$C278,"DEEP_BROKER_ID_OVERRIDE",$F$7,"DEEP_PERIOD_OVERRIDE",AQ$11)*1,"")))</f>
        <v/>
      </c>
    </row>
    <row r="279" spans="8:43" x14ac:dyDescent="0.25">
      <c r="H279" t="str">
        <f t="shared" si="6"/>
        <v/>
      </c>
      <c r="I279" s="17" t="str">
        <f>IF(ISNA($B279),"",IF($B279="","",IFERROR(_xll.BDP(TICKER,"DEEP_MEASURE_PERIOD_BROKER_VALUE","DEEP_MEASURE_ID_OVERRIDE",$C279,"DEEP_BROKER_ID_OVERRIDE",$F$7,"DEEP_PERIOD_OVERRIDE",I$11)*1,"")))</f>
        <v/>
      </c>
      <c r="J279" s="17" t="str">
        <f>IF(ISNA($B279),"",IF($B279="","",IFERROR(_xll.BDP(TICKER,"DEEP_MEASURE_PERIOD_BROKER_VALUE","DEEP_MEASURE_ID_OVERRIDE",$C279,"DEEP_BROKER_ID_OVERRIDE",$F$7,"DEEP_PERIOD_OVERRIDE",J$11)*1,"")))</f>
        <v/>
      </c>
      <c r="K279" s="17" t="str">
        <f>IF(ISNA($B279),"",IF($B279="","",IFERROR(_xll.BDP(TICKER,"DEEP_MEASURE_PERIOD_BROKER_VALUE","DEEP_MEASURE_ID_OVERRIDE",$C279,"DEEP_BROKER_ID_OVERRIDE",$F$7,"DEEP_PERIOD_OVERRIDE",K$11)*1,"")))</f>
        <v/>
      </c>
      <c r="L279" s="17" t="str">
        <f>IF(ISNA($B279),"",IF($B279="","",IFERROR(_xll.BDP(TICKER,"DEEP_MEASURE_PERIOD_BROKER_VALUE","DEEP_MEASURE_ID_OVERRIDE",$C279,"DEEP_BROKER_ID_OVERRIDE",$F$7,"DEEP_PERIOD_OVERRIDE",L$11)*1,"")))</f>
        <v/>
      </c>
      <c r="M279" s="17" t="str">
        <f>IF(ISNA($B279),"",IF($B279="","",IFERROR(_xll.BDP(TICKER,"DEEP_MEASURE_PERIOD_BROKER_VALUE","DEEP_MEASURE_ID_OVERRIDE",$C279,"DEEP_BROKER_ID_OVERRIDE",$F$7,"DEEP_PERIOD_OVERRIDE",M$11)*1,"")))</f>
        <v/>
      </c>
      <c r="N279" s="17" t="str">
        <f>IF(ISNA($B279),"",IF($B279="","",IFERROR(_xll.BDP(TICKER,"DEEP_MEASURE_PERIOD_BROKER_VALUE","DEEP_MEASURE_ID_OVERRIDE",$C279,"DEEP_BROKER_ID_OVERRIDE",$F$7,"DEEP_PERIOD_OVERRIDE",N$11)*1,"")))</f>
        <v/>
      </c>
      <c r="O279" s="17" t="str">
        <f>IF(ISNA($B279),"",IF($B279="","",IFERROR(_xll.BDP(TICKER,"DEEP_MEASURE_PERIOD_BROKER_VALUE","DEEP_MEASURE_ID_OVERRIDE",$C279,"DEEP_BROKER_ID_OVERRIDE",$F$7,"DEEP_PERIOD_OVERRIDE",O$11)*1,"")))</f>
        <v/>
      </c>
      <c r="P279" s="17" t="str">
        <f>IF(ISNA($B279),"",IF($B279="","",IFERROR(_xll.BDP(TICKER,"DEEP_MEASURE_PERIOD_BROKER_VALUE","DEEP_MEASURE_ID_OVERRIDE",$C279,"DEEP_BROKER_ID_OVERRIDE",$F$7,"DEEP_PERIOD_OVERRIDE",P$11)*1,"")))</f>
        <v/>
      </c>
      <c r="Q279" s="17" t="str">
        <f>IF(ISNA($B279),"",IF($B279="","",IFERROR(_xll.BDP(TICKER,"DEEP_MEASURE_PERIOD_BROKER_VALUE","DEEP_MEASURE_ID_OVERRIDE",$C279,"DEEP_BROKER_ID_OVERRIDE",$F$7,"DEEP_PERIOD_OVERRIDE",Q$11)*1,"")))</f>
        <v/>
      </c>
      <c r="R279" s="17" t="str">
        <f>IF(ISNA($B279),"",IF($B279="","",IFERROR(_xll.BDP(TICKER,"DEEP_MEASURE_PERIOD_BROKER_VALUE","DEEP_MEASURE_ID_OVERRIDE",$C279,"DEEP_BROKER_ID_OVERRIDE",$F$7,"DEEP_PERIOD_OVERRIDE",R$11)*1,"")))</f>
        <v/>
      </c>
      <c r="S279" s="17" t="str">
        <f>IF(ISNA($B279),"",IF($B279="","",IFERROR(_xll.BDP(TICKER,"DEEP_MEASURE_PERIOD_BROKER_VALUE","DEEP_MEASURE_ID_OVERRIDE",$C279,"DEEP_BROKER_ID_OVERRIDE",$F$7,"DEEP_PERIOD_OVERRIDE",S$11)*1,"")))</f>
        <v/>
      </c>
      <c r="T279" s="17" t="str">
        <f>IF(ISNA($B279),"",IF($B279="","",IFERROR(_xll.BDP(TICKER,"DEEP_MEASURE_PERIOD_BROKER_VALUE","DEEP_MEASURE_ID_OVERRIDE",$C279,"DEEP_BROKER_ID_OVERRIDE",$F$7,"DEEP_PERIOD_OVERRIDE",T$11)*1,"")))</f>
        <v/>
      </c>
      <c r="U279" s="17" t="str">
        <f>IF(ISNA($B279),"",IF($B279="","",IFERROR(_xll.BDP(TICKER,"DEEP_MEASURE_PERIOD_BROKER_VALUE","DEEP_MEASURE_ID_OVERRIDE",$C279,"DEEP_BROKER_ID_OVERRIDE",$F$7,"DEEP_PERIOD_OVERRIDE",U$11)*1,"")))</f>
        <v/>
      </c>
      <c r="V279" s="17" t="str">
        <f>IF(ISNA($B279),"",IF($B279="","",IFERROR(_xll.BDP(TICKER,"DEEP_MEASURE_PERIOD_BROKER_VALUE","DEEP_MEASURE_ID_OVERRIDE",$C279,"DEEP_BROKER_ID_OVERRIDE",$F$7,"DEEP_PERIOD_OVERRIDE",V$11)*1,"")))</f>
        <v/>
      </c>
      <c r="W279" s="17" t="str">
        <f>IF(ISNA($B279),"",IF($B279="","",IFERROR(_xll.BDP(TICKER,"DEEP_MEASURE_PERIOD_BROKER_VALUE","DEEP_MEASURE_ID_OVERRIDE",$C279,"DEEP_BROKER_ID_OVERRIDE",$F$7,"DEEP_PERIOD_OVERRIDE",W$11)*1,"")))</f>
        <v/>
      </c>
      <c r="X279" s="17" t="str">
        <f>IF(ISNA($B279),"",IF($B279="","",IFERROR(_xll.BDP(TICKER,"DEEP_MEASURE_PERIOD_BROKER_VALUE","DEEP_MEASURE_ID_OVERRIDE",$C279,"DEEP_BROKER_ID_OVERRIDE",$F$7,"DEEP_PERIOD_OVERRIDE",X$11)*1,"")))</f>
        <v/>
      </c>
      <c r="Y279" s="17" t="str">
        <f>IF(ISNA($B279),"",IF($B279="","",IFERROR(_xll.BDP(TICKER,"DEEP_MEASURE_PERIOD_BROKER_VALUE","DEEP_MEASURE_ID_OVERRIDE",$C279,"DEEP_BROKER_ID_OVERRIDE",$F$7,"DEEP_PERIOD_OVERRIDE",Y$11)*1,"")))</f>
        <v/>
      </c>
      <c r="Z279" s="17" t="str">
        <f>IF(ISNA($B279),"",IF($B279="","",IFERROR(_xll.BDP(TICKER,"DEEP_MEASURE_PERIOD_BROKER_VALUE","DEEP_MEASURE_ID_OVERRIDE",$C279,"DEEP_BROKER_ID_OVERRIDE",$F$7,"DEEP_PERIOD_OVERRIDE",Z$11)*1,"")))</f>
        <v/>
      </c>
      <c r="AA279" s="17" t="str">
        <f>IF(ISNA($B279),"",IF($B279="","",IFERROR(_xll.BDP(TICKER,"DEEP_MEASURE_PERIOD_BROKER_VALUE","DEEP_MEASURE_ID_OVERRIDE",$C279,"DEEP_BROKER_ID_OVERRIDE",$F$7,"DEEP_PERIOD_OVERRIDE",AA$11)*1,"")))</f>
        <v/>
      </c>
      <c r="AB279" s="17" t="str">
        <f>IF(ISNA($B279),"",IF($B279="","",IFERROR(_xll.BDP(TICKER,"DEEP_MEASURE_PERIOD_BROKER_VALUE","DEEP_MEASURE_ID_OVERRIDE",$C279,"DEEP_BROKER_ID_OVERRIDE",$F$7,"DEEP_PERIOD_OVERRIDE",AB$11)*1,"")))</f>
        <v/>
      </c>
      <c r="AC279" s="17" t="str">
        <f>IF(ISNA($B279),"",IF($B279="","",IFERROR(_xll.BDP(TICKER,"DEEP_MEASURE_PERIOD_BROKER_VALUE","DEEP_MEASURE_ID_OVERRIDE",$C279,"DEEP_BROKER_ID_OVERRIDE",$F$7,"DEEP_PERIOD_OVERRIDE",AC$11)*1,"")))</f>
        <v/>
      </c>
      <c r="AD279" s="17" t="str">
        <f>IF(ISNA($B279),"",IF($B279="","",IFERROR(_xll.BDP(TICKER,"DEEP_MEASURE_PERIOD_BROKER_VALUE","DEEP_MEASURE_ID_OVERRIDE",$C279,"DEEP_BROKER_ID_OVERRIDE",$F$7,"DEEP_PERIOD_OVERRIDE",AD$11)*1,"")))</f>
        <v/>
      </c>
      <c r="AE279" s="17" t="str">
        <f>IF(ISNA($B279),"",IF($B279="","",IFERROR(_xll.BDP(TICKER,"DEEP_MEASURE_PERIOD_BROKER_VALUE","DEEP_MEASURE_ID_OVERRIDE",$C279,"DEEP_BROKER_ID_OVERRIDE",$F$7,"DEEP_PERIOD_OVERRIDE",AE$11)*1,"")))</f>
        <v/>
      </c>
      <c r="AF279" s="17" t="str">
        <f>IF(ISNA($B279),"",IF($B279="","",IFERROR(_xll.BDP(TICKER,"DEEP_MEASURE_PERIOD_BROKER_VALUE","DEEP_MEASURE_ID_OVERRIDE",$C279,"DEEP_BROKER_ID_OVERRIDE",$F$7,"DEEP_PERIOD_OVERRIDE",AF$11)*1,"")))</f>
        <v/>
      </c>
      <c r="AG279" s="17" t="str">
        <f>IF(ISNA($B279),"",IF($B279="","",IFERROR(_xll.BDP(TICKER,"DEEP_MEASURE_PERIOD_BROKER_VALUE","DEEP_MEASURE_ID_OVERRIDE",$C279,"DEEP_BROKER_ID_OVERRIDE",$F$7,"DEEP_PERIOD_OVERRIDE",AG$11)*1,"")))</f>
        <v/>
      </c>
      <c r="AH279" s="17" t="str">
        <f>IF(ISNA($B279),"",IF($B279="","",IFERROR(_xll.BDP(TICKER,"DEEP_MEASURE_PERIOD_BROKER_VALUE","DEEP_MEASURE_ID_OVERRIDE",$C279,"DEEP_BROKER_ID_OVERRIDE",$F$7,"DEEP_PERIOD_OVERRIDE",AH$11)*1,"")))</f>
        <v/>
      </c>
      <c r="AI279" s="17" t="str">
        <f>IF(ISNA($B279),"",IF($B279="","",IFERROR(_xll.BDP(TICKER,"DEEP_MEASURE_PERIOD_BROKER_VALUE","DEEP_MEASURE_ID_OVERRIDE",$C279,"DEEP_BROKER_ID_OVERRIDE",$F$7,"DEEP_PERIOD_OVERRIDE",AI$11)*1,"")))</f>
        <v/>
      </c>
      <c r="AJ279" s="17" t="str">
        <f>IF(ISNA($B279),"",IF($B279="","",IFERROR(_xll.BDP(TICKER,"DEEP_MEASURE_PERIOD_BROKER_VALUE","DEEP_MEASURE_ID_OVERRIDE",$C279,"DEEP_BROKER_ID_OVERRIDE",$F$7,"DEEP_PERIOD_OVERRIDE",AJ$11)*1,"")))</f>
        <v/>
      </c>
      <c r="AK279" s="17" t="str">
        <f>IF(ISNA($B279),"",IF($B279="","",IFERROR(_xll.BDP(TICKER,"DEEP_MEASURE_PERIOD_BROKER_VALUE","DEEP_MEASURE_ID_OVERRIDE",$C279,"DEEP_BROKER_ID_OVERRIDE",$F$7,"DEEP_PERIOD_OVERRIDE",AK$11)*1,"")))</f>
        <v/>
      </c>
      <c r="AL279" s="17" t="str">
        <f>IF(ISNA($B279),"",IF($B279="","",IFERROR(_xll.BDP(TICKER,"DEEP_MEASURE_PERIOD_BROKER_VALUE","DEEP_MEASURE_ID_OVERRIDE",$C279,"DEEP_BROKER_ID_OVERRIDE",$F$7,"DEEP_PERIOD_OVERRIDE",AL$11)*1,"")))</f>
        <v/>
      </c>
      <c r="AM279" s="17" t="str">
        <f>IF(ISNA($B279),"",IF($B279="","",IFERROR(_xll.BDP(TICKER,"DEEP_MEASURE_PERIOD_BROKER_VALUE","DEEP_MEASURE_ID_OVERRIDE",$C279,"DEEP_BROKER_ID_OVERRIDE",$F$7,"DEEP_PERIOD_OVERRIDE",AM$11)*1,"")))</f>
        <v/>
      </c>
      <c r="AN279" s="17" t="str">
        <f>IF(ISNA($B279),"",IF($B279="","",IFERROR(_xll.BDP(TICKER,"DEEP_MEASURE_PERIOD_BROKER_VALUE","DEEP_MEASURE_ID_OVERRIDE",$C279,"DEEP_BROKER_ID_OVERRIDE",$F$7,"DEEP_PERIOD_OVERRIDE",AN$11)*1,"")))</f>
        <v/>
      </c>
      <c r="AO279" s="17" t="str">
        <f>IF(ISNA($B279),"",IF($B279="","",IFERROR(_xll.BDP(TICKER,"DEEP_MEASURE_PERIOD_BROKER_VALUE","DEEP_MEASURE_ID_OVERRIDE",$C279,"DEEP_BROKER_ID_OVERRIDE",$F$7,"DEEP_PERIOD_OVERRIDE",AO$11)*1,"")))</f>
        <v/>
      </c>
      <c r="AP279" s="17" t="str">
        <f>IF(ISNA($B279),"",IF($B279="","",IFERROR(_xll.BDP(TICKER,"DEEP_MEASURE_PERIOD_BROKER_VALUE","DEEP_MEASURE_ID_OVERRIDE",$C279,"DEEP_BROKER_ID_OVERRIDE",$F$7,"DEEP_PERIOD_OVERRIDE",AP$11)*1,"")))</f>
        <v/>
      </c>
      <c r="AQ279" s="17" t="str">
        <f>IF(ISNA($B279),"",IF($B279="","",IFERROR(_xll.BDP(TICKER,"DEEP_MEASURE_PERIOD_BROKER_VALUE","DEEP_MEASURE_ID_OVERRIDE",$C279,"DEEP_BROKER_ID_OVERRIDE",$F$7,"DEEP_PERIOD_OVERRIDE",AQ$11)*1,"")))</f>
        <v/>
      </c>
    </row>
    <row r="280" spans="8:43" x14ac:dyDescent="0.25">
      <c r="H280" t="str">
        <f t="shared" si="6"/>
        <v/>
      </c>
      <c r="I280" s="17" t="str">
        <f>IF(ISNA($B280),"",IF($B280="","",IFERROR(_xll.BDP(TICKER,"DEEP_MEASURE_PERIOD_BROKER_VALUE","DEEP_MEASURE_ID_OVERRIDE",$C280,"DEEP_BROKER_ID_OVERRIDE",$F$7,"DEEP_PERIOD_OVERRIDE",I$11)*1,"")))</f>
        <v/>
      </c>
      <c r="J280" s="17" t="str">
        <f>IF(ISNA($B280),"",IF($B280="","",IFERROR(_xll.BDP(TICKER,"DEEP_MEASURE_PERIOD_BROKER_VALUE","DEEP_MEASURE_ID_OVERRIDE",$C280,"DEEP_BROKER_ID_OVERRIDE",$F$7,"DEEP_PERIOD_OVERRIDE",J$11)*1,"")))</f>
        <v/>
      </c>
      <c r="K280" s="17" t="str">
        <f>IF(ISNA($B280),"",IF($B280="","",IFERROR(_xll.BDP(TICKER,"DEEP_MEASURE_PERIOD_BROKER_VALUE","DEEP_MEASURE_ID_OVERRIDE",$C280,"DEEP_BROKER_ID_OVERRIDE",$F$7,"DEEP_PERIOD_OVERRIDE",K$11)*1,"")))</f>
        <v/>
      </c>
      <c r="L280" s="17" t="str">
        <f>IF(ISNA($B280),"",IF($B280="","",IFERROR(_xll.BDP(TICKER,"DEEP_MEASURE_PERIOD_BROKER_VALUE","DEEP_MEASURE_ID_OVERRIDE",$C280,"DEEP_BROKER_ID_OVERRIDE",$F$7,"DEEP_PERIOD_OVERRIDE",L$11)*1,"")))</f>
        <v/>
      </c>
      <c r="M280" s="17" t="str">
        <f>IF(ISNA($B280),"",IF($B280="","",IFERROR(_xll.BDP(TICKER,"DEEP_MEASURE_PERIOD_BROKER_VALUE","DEEP_MEASURE_ID_OVERRIDE",$C280,"DEEP_BROKER_ID_OVERRIDE",$F$7,"DEEP_PERIOD_OVERRIDE",M$11)*1,"")))</f>
        <v/>
      </c>
      <c r="N280" s="17" t="str">
        <f>IF(ISNA($B280),"",IF($B280="","",IFERROR(_xll.BDP(TICKER,"DEEP_MEASURE_PERIOD_BROKER_VALUE","DEEP_MEASURE_ID_OVERRIDE",$C280,"DEEP_BROKER_ID_OVERRIDE",$F$7,"DEEP_PERIOD_OVERRIDE",N$11)*1,"")))</f>
        <v/>
      </c>
      <c r="O280" s="17" t="str">
        <f>IF(ISNA($B280),"",IF($B280="","",IFERROR(_xll.BDP(TICKER,"DEEP_MEASURE_PERIOD_BROKER_VALUE","DEEP_MEASURE_ID_OVERRIDE",$C280,"DEEP_BROKER_ID_OVERRIDE",$F$7,"DEEP_PERIOD_OVERRIDE",O$11)*1,"")))</f>
        <v/>
      </c>
      <c r="P280" s="17" t="str">
        <f>IF(ISNA($B280),"",IF($B280="","",IFERROR(_xll.BDP(TICKER,"DEEP_MEASURE_PERIOD_BROKER_VALUE","DEEP_MEASURE_ID_OVERRIDE",$C280,"DEEP_BROKER_ID_OVERRIDE",$F$7,"DEEP_PERIOD_OVERRIDE",P$11)*1,"")))</f>
        <v/>
      </c>
      <c r="Q280" s="17" t="str">
        <f>IF(ISNA($B280),"",IF($B280="","",IFERROR(_xll.BDP(TICKER,"DEEP_MEASURE_PERIOD_BROKER_VALUE","DEEP_MEASURE_ID_OVERRIDE",$C280,"DEEP_BROKER_ID_OVERRIDE",$F$7,"DEEP_PERIOD_OVERRIDE",Q$11)*1,"")))</f>
        <v/>
      </c>
      <c r="R280" s="17" t="str">
        <f>IF(ISNA($B280),"",IF($B280="","",IFERROR(_xll.BDP(TICKER,"DEEP_MEASURE_PERIOD_BROKER_VALUE","DEEP_MEASURE_ID_OVERRIDE",$C280,"DEEP_BROKER_ID_OVERRIDE",$F$7,"DEEP_PERIOD_OVERRIDE",R$11)*1,"")))</f>
        <v/>
      </c>
      <c r="S280" s="17" t="str">
        <f>IF(ISNA($B280),"",IF($B280="","",IFERROR(_xll.BDP(TICKER,"DEEP_MEASURE_PERIOD_BROKER_VALUE","DEEP_MEASURE_ID_OVERRIDE",$C280,"DEEP_BROKER_ID_OVERRIDE",$F$7,"DEEP_PERIOD_OVERRIDE",S$11)*1,"")))</f>
        <v/>
      </c>
      <c r="T280" s="17" t="str">
        <f>IF(ISNA($B280),"",IF($B280="","",IFERROR(_xll.BDP(TICKER,"DEEP_MEASURE_PERIOD_BROKER_VALUE","DEEP_MEASURE_ID_OVERRIDE",$C280,"DEEP_BROKER_ID_OVERRIDE",$F$7,"DEEP_PERIOD_OVERRIDE",T$11)*1,"")))</f>
        <v/>
      </c>
      <c r="U280" s="17" t="str">
        <f>IF(ISNA($B280),"",IF($B280="","",IFERROR(_xll.BDP(TICKER,"DEEP_MEASURE_PERIOD_BROKER_VALUE","DEEP_MEASURE_ID_OVERRIDE",$C280,"DEEP_BROKER_ID_OVERRIDE",$F$7,"DEEP_PERIOD_OVERRIDE",U$11)*1,"")))</f>
        <v/>
      </c>
      <c r="V280" s="17" t="str">
        <f>IF(ISNA($B280),"",IF($B280="","",IFERROR(_xll.BDP(TICKER,"DEEP_MEASURE_PERIOD_BROKER_VALUE","DEEP_MEASURE_ID_OVERRIDE",$C280,"DEEP_BROKER_ID_OVERRIDE",$F$7,"DEEP_PERIOD_OVERRIDE",V$11)*1,"")))</f>
        <v/>
      </c>
      <c r="W280" s="17" t="str">
        <f>IF(ISNA($B280),"",IF($B280="","",IFERROR(_xll.BDP(TICKER,"DEEP_MEASURE_PERIOD_BROKER_VALUE","DEEP_MEASURE_ID_OVERRIDE",$C280,"DEEP_BROKER_ID_OVERRIDE",$F$7,"DEEP_PERIOD_OVERRIDE",W$11)*1,"")))</f>
        <v/>
      </c>
      <c r="X280" s="17" t="str">
        <f>IF(ISNA($B280),"",IF($B280="","",IFERROR(_xll.BDP(TICKER,"DEEP_MEASURE_PERIOD_BROKER_VALUE","DEEP_MEASURE_ID_OVERRIDE",$C280,"DEEP_BROKER_ID_OVERRIDE",$F$7,"DEEP_PERIOD_OVERRIDE",X$11)*1,"")))</f>
        <v/>
      </c>
      <c r="Y280" s="17" t="str">
        <f>IF(ISNA($B280),"",IF($B280="","",IFERROR(_xll.BDP(TICKER,"DEEP_MEASURE_PERIOD_BROKER_VALUE","DEEP_MEASURE_ID_OVERRIDE",$C280,"DEEP_BROKER_ID_OVERRIDE",$F$7,"DEEP_PERIOD_OVERRIDE",Y$11)*1,"")))</f>
        <v/>
      </c>
      <c r="Z280" s="17" t="str">
        <f>IF(ISNA($B280),"",IF($B280="","",IFERROR(_xll.BDP(TICKER,"DEEP_MEASURE_PERIOD_BROKER_VALUE","DEEP_MEASURE_ID_OVERRIDE",$C280,"DEEP_BROKER_ID_OVERRIDE",$F$7,"DEEP_PERIOD_OVERRIDE",Z$11)*1,"")))</f>
        <v/>
      </c>
      <c r="AA280" s="17" t="str">
        <f>IF(ISNA($B280),"",IF($B280="","",IFERROR(_xll.BDP(TICKER,"DEEP_MEASURE_PERIOD_BROKER_VALUE","DEEP_MEASURE_ID_OVERRIDE",$C280,"DEEP_BROKER_ID_OVERRIDE",$F$7,"DEEP_PERIOD_OVERRIDE",AA$11)*1,"")))</f>
        <v/>
      </c>
      <c r="AB280" s="17" t="str">
        <f>IF(ISNA($B280),"",IF($B280="","",IFERROR(_xll.BDP(TICKER,"DEEP_MEASURE_PERIOD_BROKER_VALUE","DEEP_MEASURE_ID_OVERRIDE",$C280,"DEEP_BROKER_ID_OVERRIDE",$F$7,"DEEP_PERIOD_OVERRIDE",AB$11)*1,"")))</f>
        <v/>
      </c>
      <c r="AC280" s="17" t="str">
        <f>IF(ISNA($B280),"",IF($B280="","",IFERROR(_xll.BDP(TICKER,"DEEP_MEASURE_PERIOD_BROKER_VALUE","DEEP_MEASURE_ID_OVERRIDE",$C280,"DEEP_BROKER_ID_OVERRIDE",$F$7,"DEEP_PERIOD_OVERRIDE",AC$11)*1,"")))</f>
        <v/>
      </c>
      <c r="AD280" s="17" t="str">
        <f>IF(ISNA($B280),"",IF($B280="","",IFERROR(_xll.BDP(TICKER,"DEEP_MEASURE_PERIOD_BROKER_VALUE","DEEP_MEASURE_ID_OVERRIDE",$C280,"DEEP_BROKER_ID_OVERRIDE",$F$7,"DEEP_PERIOD_OVERRIDE",AD$11)*1,"")))</f>
        <v/>
      </c>
      <c r="AE280" s="17" t="str">
        <f>IF(ISNA($B280),"",IF($B280="","",IFERROR(_xll.BDP(TICKER,"DEEP_MEASURE_PERIOD_BROKER_VALUE","DEEP_MEASURE_ID_OVERRIDE",$C280,"DEEP_BROKER_ID_OVERRIDE",$F$7,"DEEP_PERIOD_OVERRIDE",AE$11)*1,"")))</f>
        <v/>
      </c>
      <c r="AF280" s="17" t="str">
        <f>IF(ISNA($B280),"",IF($B280="","",IFERROR(_xll.BDP(TICKER,"DEEP_MEASURE_PERIOD_BROKER_VALUE","DEEP_MEASURE_ID_OVERRIDE",$C280,"DEEP_BROKER_ID_OVERRIDE",$F$7,"DEEP_PERIOD_OVERRIDE",AF$11)*1,"")))</f>
        <v/>
      </c>
      <c r="AG280" s="17" t="str">
        <f>IF(ISNA($B280),"",IF($B280="","",IFERROR(_xll.BDP(TICKER,"DEEP_MEASURE_PERIOD_BROKER_VALUE","DEEP_MEASURE_ID_OVERRIDE",$C280,"DEEP_BROKER_ID_OVERRIDE",$F$7,"DEEP_PERIOD_OVERRIDE",AG$11)*1,"")))</f>
        <v/>
      </c>
      <c r="AH280" s="17" t="str">
        <f>IF(ISNA($B280),"",IF($B280="","",IFERROR(_xll.BDP(TICKER,"DEEP_MEASURE_PERIOD_BROKER_VALUE","DEEP_MEASURE_ID_OVERRIDE",$C280,"DEEP_BROKER_ID_OVERRIDE",$F$7,"DEEP_PERIOD_OVERRIDE",AH$11)*1,"")))</f>
        <v/>
      </c>
      <c r="AI280" s="17" t="str">
        <f>IF(ISNA($B280),"",IF($B280="","",IFERROR(_xll.BDP(TICKER,"DEEP_MEASURE_PERIOD_BROKER_VALUE","DEEP_MEASURE_ID_OVERRIDE",$C280,"DEEP_BROKER_ID_OVERRIDE",$F$7,"DEEP_PERIOD_OVERRIDE",AI$11)*1,"")))</f>
        <v/>
      </c>
      <c r="AJ280" s="17" t="str">
        <f>IF(ISNA($B280),"",IF($B280="","",IFERROR(_xll.BDP(TICKER,"DEEP_MEASURE_PERIOD_BROKER_VALUE","DEEP_MEASURE_ID_OVERRIDE",$C280,"DEEP_BROKER_ID_OVERRIDE",$F$7,"DEEP_PERIOD_OVERRIDE",AJ$11)*1,"")))</f>
        <v/>
      </c>
      <c r="AK280" s="17" t="str">
        <f>IF(ISNA($B280),"",IF($B280="","",IFERROR(_xll.BDP(TICKER,"DEEP_MEASURE_PERIOD_BROKER_VALUE","DEEP_MEASURE_ID_OVERRIDE",$C280,"DEEP_BROKER_ID_OVERRIDE",$F$7,"DEEP_PERIOD_OVERRIDE",AK$11)*1,"")))</f>
        <v/>
      </c>
      <c r="AL280" s="17" t="str">
        <f>IF(ISNA($B280),"",IF($B280="","",IFERROR(_xll.BDP(TICKER,"DEEP_MEASURE_PERIOD_BROKER_VALUE","DEEP_MEASURE_ID_OVERRIDE",$C280,"DEEP_BROKER_ID_OVERRIDE",$F$7,"DEEP_PERIOD_OVERRIDE",AL$11)*1,"")))</f>
        <v/>
      </c>
      <c r="AM280" s="17" t="str">
        <f>IF(ISNA($B280),"",IF($B280="","",IFERROR(_xll.BDP(TICKER,"DEEP_MEASURE_PERIOD_BROKER_VALUE","DEEP_MEASURE_ID_OVERRIDE",$C280,"DEEP_BROKER_ID_OVERRIDE",$F$7,"DEEP_PERIOD_OVERRIDE",AM$11)*1,"")))</f>
        <v/>
      </c>
      <c r="AN280" s="17" t="str">
        <f>IF(ISNA($B280),"",IF($B280="","",IFERROR(_xll.BDP(TICKER,"DEEP_MEASURE_PERIOD_BROKER_VALUE","DEEP_MEASURE_ID_OVERRIDE",$C280,"DEEP_BROKER_ID_OVERRIDE",$F$7,"DEEP_PERIOD_OVERRIDE",AN$11)*1,"")))</f>
        <v/>
      </c>
      <c r="AO280" s="17" t="str">
        <f>IF(ISNA($B280),"",IF($B280="","",IFERROR(_xll.BDP(TICKER,"DEEP_MEASURE_PERIOD_BROKER_VALUE","DEEP_MEASURE_ID_OVERRIDE",$C280,"DEEP_BROKER_ID_OVERRIDE",$F$7,"DEEP_PERIOD_OVERRIDE",AO$11)*1,"")))</f>
        <v/>
      </c>
      <c r="AP280" s="17" t="str">
        <f>IF(ISNA($B280),"",IF($B280="","",IFERROR(_xll.BDP(TICKER,"DEEP_MEASURE_PERIOD_BROKER_VALUE","DEEP_MEASURE_ID_OVERRIDE",$C280,"DEEP_BROKER_ID_OVERRIDE",$F$7,"DEEP_PERIOD_OVERRIDE",AP$11)*1,"")))</f>
        <v/>
      </c>
      <c r="AQ280" s="17" t="str">
        <f>IF(ISNA($B280),"",IF($B280="","",IFERROR(_xll.BDP(TICKER,"DEEP_MEASURE_PERIOD_BROKER_VALUE","DEEP_MEASURE_ID_OVERRIDE",$C280,"DEEP_BROKER_ID_OVERRIDE",$F$7,"DEEP_PERIOD_OVERRIDE",AQ$11)*1,"")))</f>
        <v/>
      </c>
    </row>
    <row r="281" spans="8:43" x14ac:dyDescent="0.25">
      <c r="H281" t="str">
        <f t="shared" si="6"/>
        <v/>
      </c>
      <c r="I281" s="17" t="str">
        <f>IF(ISNA($B281),"",IF($B281="","",IFERROR(_xll.BDP(TICKER,"DEEP_MEASURE_PERIOD_BROKER_VALUE","DEEP_MEASURE_ID_OVERRIDE",$C281,"DEEP_BROKER_ID_OVERRIDE",$F$7,"DEEP_PERIOD_OVERRIDE",I$11)*1,"")))</f>
        <v/>
      </c>
      <c r="J281" s="17" t="str">
        <f>IF(ISNA($B281),"",IF($B281="","",IFERROR(_xll.BDP(TICKER,"DEEP_MEASURE_PERIOD_BROKER_VALUE","DEEP_MEASURE_ID_OVERRIDE",$C281,"DEEP_BROKER_ID_OVERRIDE",$F$7,"DEEP_PERIOD_OVERRIDE",J$11)*1,"")))</f>
        <v/>
      </c>
      <c r="K281" s="17" t="str">
        <f>IF(ISNA($B281),"",IF($B281="","",IFERROR(_xll.BDP(TICKER,"DEEP_MEASURE_PERIOD_BROKER_VALUE","DEEP_MEASURE_ID_OVERRIDE",$C281,"DEEP_BROKER_ID_OVERRIDE",$F$7,"DEEP_PERIOD_OVERRIDE",K$11)*1,"")))</f>
        <v/>
      </c>
      <c r="L281" s="17" t="str">
        <f>IF(ISNA($B281),"",IF($B281="","",IFERROR(_xll.BDP(TICKER,"DEEP_MEASURE_PERIOD_BROKER_VALUE","DEEP_MEASURE_ID_OVERRIDE",$C281,"DEEP_BROKER_ID_OVERRIDE",$F$7,"DEEP_PERIOD_OVERRIDE",L$11)*1,"")))</f>
        <v/>
      </c>
      <c r="M281" s="17" t="str">
        <f>IF(ISNA($B281),"",IF($B281="","",IFERROR(_xll.BDP(TICKER,"DEEP_MEASURE_PERIOD_BROKER_VALUE","DEEP_MEASURE_ID_OVERRIDE",$C281,"DEEP_BROKER_ID_OVERRIDE",$F$7,"DEEP_PERIOD_OVERRIDE",M$11)*1,"")))</f>
        <v/>
      </c>
      <c r="N281" s="17" t="str">
        <f>IF(ISNA($B281),"",IF($B281="","",IFERROR(_xll.BDP(TICKER,"DEEP_MEASURE_PERIOD_BROKER_VALUE","DEEP_MEASURE_ID_OVERRIDE",$C281,"DEEP_BROKER_ID_OVERRIDE",$F$7,"DEEP_PERIOD_OVERRIDE",N$11)*1,"")))</f>
        <v/>
      </c>
      <c r="O281" s="17" t="str">
        <f>IF(ISNA($B281),"",IF($B281="","",IFERROR(_xll.BDP(TICKER,"DEEP_MEASURE_PERIOD_BROKER_VALUE","DEEP_MEASURE_ID_OVERRIDE",$C281,"DEEP_BROKER_ID_OVERRIDE",$F$7,"DEEP_PERIOD_OVERRIDE",O$11)*1,"")))</f>
        <v/>
      </c>
      <c r="P281" s="17" t="str">
        <f>IF(ISNA($B281),"",IF($B281="","",IFERROR(_xll.BDP(TICKER,"DEEP_MEASURE_PERIOD_BROKER_VALUE","DEEP_MEASURE_ID_OVERRIDE",$C281,"DEEP_BROKER_ID_OVERRIDE",$F$7,"DEEP_PERIOD_OVERRIDE",P$11)*1,"")))</f>
        <v/>
      </c>
      <c r="Q281" s="17" t="str">
        <f>IF(ISNA($B281),"",IF($B281="","",IFERROR(_xll.BDP(TICKER,"DEEP_MEASURE_PERIOD_BROKER_VALUE","DEEP_MEASURE_ID_OVERRIDE",$C281,"DEEP_BROKER_ID_OVERRIDE",$F$7,"DEEP_PERIOD_OVERRIDE",Q$11)*1,"")))</f>
        <v/>
      </c>
      <c r="R281" s="17" t="str">
        <f>IF(ISNA($B281),"",IF($B281="","",IFERROR(_xll.BDP(TICKER,"DEEP_MEASURE_PERIOD_BROKER_VALUE","DEEP_MEASURE_ID_OVERRIDE",$C281,"DEEP_BROKER_ID_OVERRIDE",$F$7,"DEEP_PERIOD_OVERRIDE",R$11)*1,"")))</f>
        <v/>
      </c>
      <c r="S281" s="17" t="str">
        <f>IF(ISNA($B281),"",IF($B281="","",IFERROR(_xll.BDP(TICKER,"DEEP_MEASURE_PERIOD_BROKER_VALUE","DEEP_MEASURE_ID_OVERRIDE",$C281,"DEEP_BROKER_ID_OVERRIDE",$F$7,"DEEP_PERIOD_OVERRIDE",S$11)*1,"")))</f>
        <v/>
      </c>
      <c r="T281" s="17" t="str">
        <f>IF(ISNA($B281),"",IF($B281="","",IFERROR(_xll.BDP(TICKER,"DEEP_MEASURE_PERIOD_BROKER_VALUE","DEEP_MEASURE_ID_OVERRIDE",$C281,"DEEP_BROKER_ID_OVERRIDE",$F$7,"DEEP_PERIOD_OVERRIDE",T$11)*1,"")))</f>
        <v/>
      </c>
      <c r="U281" s="17" t="str">
        <f>IF(ISNA($B281),"",IF($B281="","",IFERROR(_xll.BDP(TICKER,"DEEP_MEASURE_PERIOD_BROKER_VALUE","DEEP_MEASURE_ID_OVERRIDE",$C281,"DEEP_BROKER_ID_OVERRIDE",$F$7,"DEEP_PERIOD_OVERRIDE",U$11)*1,"")))</f>
        <v/>
      </c>
      <c r="V281" s="17" t="str">
        <f>IF(ISNA($B281),"",IF($B281="","",IFERROR(_xll.BDP(TICKER,"DEEP_MEASURE_PERIOD_BROKER_VALUE","DEEP_MEASURE_ID_OVERRIDE",$C281,"DEEP_BROKER_ID_OVERRIDE",$F$7,"DEEP_PERIOD_OVERRIDE",V$11)*1,"")))</f>
        <v/>
      </c>
      <c r="W281" s="17" t="str">
        <f>IF(ISNA($B281),"",IF($B281="","",IFERROR(_xll.BDP(TICKER,"DEEP_MEASURE_PERIOD_BROKER_VALUE","DEEP_MEASURE_ID_OVERRIDE",$C281,"DEEP_BROKER_ID_OVERRIDE",$F$7,"DEEP_PERIOD_OVERRIDE",W$11)*1,"")))</f>
        <v/>
      </c>
      <c r="X281" s="17" t="str">
        <f>IF(ISNA($B281),"",IF($B281="","",IFERROR(_xll.BDP(TICKER,"DEEP_MEASURE_PERIOD_BROKER_VALUE","DEEP_MEASURE_ID_OVERRIDE",$C281,"DEEP_BROKER_ID_OVERRIDE",$F$7,"DEEP_PERIOD_OVERRIDE",X$11)*1,"")))</f>
        <v/>
      </c>
      <c r="Y281" s="17" t="str">
        <f>IF(ISNA($B281),"",IF($B281="","",IFERROR(_xll.BDP(TICKER,"DEEP_MEASURE_PERIOD_BROKER_VALUE","DEEP_MEASURE_ID_OVERRIDE",$C281,"DEEP_BROKER_ID_OVERRIDE",$F$7,"DEEP_PERIOD_OVERRIDE",Y$11)*1,"")))</f>
        <v/>
      </c>
      <c r="Z281" s="17" t="str">
        <f>IF(ISNA($B281),"",IF($B281="","",IFERROR(_xll.BDP(TICKER,"DEEP_MEASURE_PERIOD_BROKER_VALUE","DEEP_MEASURE_ID_OVERRIDE",$C281,"DEEP_BROKER_ID_OVERRIDE",$F$7,"DEEP_PERIOD_OVERRIDE",Z$11)*1,"")))</f>
        <v/>
      </c>
      <c r="AA281" s="17" t="str">
        <f>IF(ISNA($B281),"",IF($B281="","",IFERROR(_xll.BDP(TICKER,"DEEP_MEASURE_PERIOD_BROKER_VALUE","DEEP_MEASURE_ID_OVERRIDE",$C281,"DEEP_BROKER_ID_OVERRIDE",$F$7,"DEEP_PERIOD_OVERRIDE",AA$11)*1,"")))</f>
        <v/>
      </c>
      <c r="AB281" s="17" t="str">
        <f>IF(ISNA($B281),"",IF($B281="","",IFERROR(_xll.BDP(TICKER,"DEEP_MEASURE_PERIOD_BROKER_VALUE","DEEP_MEASURE_ID_OVERRIDE",$C281,"DEEP_BROKER_ID_OVERRIDE",$F$7,"DEEP_PERIOD_OVERRIDE",AB$11)*1,"")))</f>
        <v/>
      </c>
      <c r="AC281" s="17" t="str">
        <f>IF(ISNA($B281),"",IF($B281="","",IFERROR(_xll.BDP(TICKER,"DEEP_MEASURE_PERIOD_BROKER_VALUE","DEEP_MEASURE_ID_OVERRIDE",$C281,"DEEP_BROKER_ID_OVERRIDE",$F$7,"DEEP_PERIOD_OVERRIDE",AC$11)*1,"")))</f>
        <v/>
      </c>
      <c r="AD281" s="17" t="str">
        <f>IF(ISNA($B281),"",IF($B281="","",IFERROR(_xll.BDP(TICKER,"DEEP_MEASURE_PERIOD_BROKER_VALUE","DEEP_MEASURE_ID_OVERRIDE",$C281,"DEEP_BROKER_ID_OVERRIDE",$F$7,"DEEP_PERIOD_OVERRIDE",AD$11)*1,"")))</f>
        <v/>
      </c>
      <c r="AE281" s="17" t="str">
        <f>IF(ISNA($B281),"",IF($B281="","",IFERROR(_xll.BDP(TICKER,"DEEP_MEASURE_PERIOD_BROKER_VALUE","DEEP_MEASURE_ID_OVERRIDE",$C281,"DEEP_BROKER_ID_OVERRIDE",$F$7,"DEEP_PERIOD_OVERRIDE",AE$11)*1,"")))</f>
        <v/>
      </c>
      <c r="AF281" s="17" t="str">
        <f>IF(ISNA($B281),"",IF($B281="","",IFERROR(_xll.BDP(TICKER,"DEEP_MEASURE_PERIOD_BROKER_VALUE","DEEP_MEASURE_ID_OVERRIDE",$C281,"DEEP_BROKER_ID_OVERRIDE",$F$7,"DEEP_PERIOD_OVERRIDE",AF$11)*1,"")))</f>
        <v/>
      </c>
      <c r="AG281" s="17" t="str">
        <f>IF(ISNA($B281),"",IF($B281="","",IFERROR(_xll.BDP(TICKER,"DEEP_MEASURE_PERIOD_BROKER_VALUE","DEEP_MEASURE_ID_OVERRIDE",$C281,"DEEP_BROKER_ID_OVERRIDE",$F$7,"DEEP_PERIOD_OVERRIDE",AG$11)*1,"")))</f>
        <v/>
      </c>
      <c r="AH281" s="17" t="str">
        <f>IF(ISNA($B281),"",IF($B281="","",IFERROR(_xll.BDP(TICKER,"DEEP_MEASURE_PERIOD_BROKER_VALUE","DEEP_MEASURE_ID_OVERRIDE",$C281,"DEEP_BROKER_ID_OVERRIDE",$F$7,"DEEP_PERIOD_OVERRIDE",AH$11)*1,"")))</f>
        <v/>
      </c>
      <c r="AI281" s="17" t="str">
        <f>IF(ISNA($B281),"",IF($B281="","",IFERROR(_xll.BDP(TICKER,"DEEP_MEASURE_PERIOD_BROKER_VALUE","DEEP_MEASURE_ID_OVERRIDE",$C281,"DEEP_BROKER_ID_OVERRIDE",$F$7,"DEEP_PERIOD_OVERRIDE",AI$11)*1,"")))</f>
        <v/>
      </c>
      <c r="AJ281" s="17" t="str">
        <f>IF(ISNA($B281),"",IF($B281="","",IFERROR(_xll.BDP(TICKER,"DEEP_MEASURE_PERIOD_BROKER_VALUE","DEEP_MEASURE_ID_OVERRIDE",$C281,"DEEP_BROKER_ID_OVERRIDE",$F$7,"DEEP_PERIOD_OVERRIDE",AJ$11)*1,"")))</f>
        <v/>
      </c>
      <c r="AK281" s="17" t="str">
        <f>IF(ISNA($B281),"",IF($B281="","",IFERROR(_xll.BDP(TICKER,"DEEP_MEASURE_PERIOD_BROKER_VALUE","DEEP_MEASURE_ID_OVERRIDE",$C281,"DEEP_BROKER_ID_OVERRIDE",$F$7,"DEEP_PERIOD_OVERRIDE",AK$11)*1,"")))</f>
        <v/>
      </c>
      <c r="AL281" s="17" t="str">
        <f>IF(ISNA($B281),"",IF($B281="","",IFERROR(_xll.BDP(TICKER,"DEEP_MEASURE_PERIOD_BROKER_VALUE","DEEP_MEASURE_ID_OVERRIDE",$C281,"DEEP_BROKER_ID_OVERRIDE",$F$7,"DEEP_PERIOD_OVERRIDE",AL$11)*1,"")))</f>
        <v/>
      </c>
      <c r="AM281" s="17" t="str">
        <f>IF(ISNA($B281),"",IF($B281="","",IFERROR(_xll.BDP(TICKER,"DEEP_MEASURE_PERIOD_BROKER_VALUE","DEEP_MEASURE_ID_OVERRIDE",$C281,"DEEP_BROKER_ID_OVERRIDE",$F$7,"DEEP_PERIOD_OVERRIDE",AM$11)*1,"")))</f>
        <v/>
      </c>
      <c r="AN281" s="17" t="str">
        <f>IF(ISNA($B281),"",IF($B281="","",IFERROR(_xll.BDP(TICKER,"DEEP_MEASURE_PERIOD_BROKER_VALUE","DEEP_MEASURE_ID_OVERRIDE",$C281,"DEEP_BROKER_ID_OVERRIDE",$F$7,"DEEP_PERIOD_OVERRIDE",AN$11)*1,"")))</f>
        <v/>
      </c>
      <c r="AO281" s="17" t="str">
        <f>IF(ISNA($B281),"",IF($B281="","",IFERROR(_xll.BDP(TICKER,"DEEP_MEASURE_PERIOD_BROKER_VALUE","DEEP_MEASURE_ID_OVERRIDE",$C281,"DEEP_BROKER_ID_OVERRIDE",$F$7,"DEEP_PERIOD_OVERRIDE",AO$11)*1,"")))</f>
        <v/>
      </c>
      <c r="AP281" s="17" t="str">
        <f>IF(ISNA($B281),"",IF($B281="","",IFERROR(_xll.BDP(TICKER,"DEEP_MEASURE_PERIOD_BROKER_VALUE","DEEP_MEASURE_ID_OVERRIDE",$C281,"DEEP_BROKER_ID_OVERRIDE",$F$7,"DEEP_PERIOD_OVERRIDE",AP$11)*1,"")))</f>
        <v/>
      </c>
      <c r="AQ281" s="17" t="str">
        <f>IF(ISNA($B281),"",IF($B281="","",IFERROR(_xll.BDP(TICKER,"DEEP_MEASURE_PERIOD_BROKER_VALUE","DEEP_MEASURE_ID_OVERRIDE",$C281,"DEEP_BROKER_ID_OVERRIDE",$F$7,"DEEP_PERIOD_OVERRIDE",AQ$11)*1,"")))</f>
        <v/>
      </c>
    </row>
    <row r="282" spans="8:43" x14ac:dyDescent="0.25">
      <c r="H282" t="str">
        <f t="shared" si="6"/>
        <v/>
      </c>
      <c r="I282" s="17" t="str">
        <f>IF(ISNA($B282),"",IF($B282="","",IFERROR(_xll.BDP(TICKER,"DEEP_MEASURE_PERIOD_BROKER_VALUE","DEEP_MEASURE_ID_OVERRIDE",$C282,"DEEP_BROKER_ID_OVERRIDE",$F$7,"DEEP_PERIOD_OVERRIDE",I$11)*1,"")))</f>
        <v/>
      </c>
      <c r="J282" s="17" t="str">
        <f>IF(ISNA($B282),"",IF($B282="","",IFERROR(_xll.BDP(TICKER,"DEEP_MEASURE_PERIOD_BROKER_VALUE","DEEP_MEASURE_ID_OVERRIDE",$C282,"DEEP_BROKER_ID_OVERRIDE",$F$7,"DEEP_PERIOD_OVERRIDE",J$11)*1,"")))</f>
        <v/>
      </c>
      <c r="K282" s="17" t="str">
        <f>IF(ISNA($B282),"",IF($B282="","",IFERROR(_xll.BDP(TICKER,"DEEP_MEASURE_PERIOD_BROKER_VALUE","DEEP_MEASURE_ID_OVERRIDE",$C282,"DEEP_BROKER_ID_OVERRIDE",$F$7,"DEEP_PERIOD_OVERRIDE",K$11)*1,"")))</f>
        <v/>
      </c>
      <c r="L282" s="17" t="str">
        <f>IF(ISNA($B282),"",IF($B282="","",IFERROR(_xll.BDP(TICKER,"DEEP_MEASURE_PERIOD_BROKER_VALUE","DEEP_MEASURE_ID_OVERRIDE",$C282,"DEEP_BROKER_ID_OVERRIDE",$F$7,"DEEP_PERIOD_OVERRIDE",L$11)*1,"")))</f>
        <v/>
      </c>
      <c r="M282" s="17" t="str">
        <f>IF(ISNA($B282),"",IF($B282="","",IFERROR(_xll.BDP(TICKER,"DEEP_MEASURE_PERIOD_BROKER_VALUE","DEEP_MEASURE_ID_OVERRIDE",$C282,"DEEP_BROKER_ID_OVERRIDE",$F$7,"DEEP_PERIOD_OVERRIDE",M$11)*1,"")))</f>
        <v/>
      </c>
      <c r="N282" s="17" t="str">
        <f>IF(ISNA($B282),"",IF($B282="","",IFERROR(_xll.BDP(TICKER,"DEEP_MEASURE_PERIOD_BROKER_VALUE","DEEP_MEASURE_ID_OVERRIDE",$C282,"DEEP_BROKER_ID_OVERRIDE",$F$7,"DEEP_PERIOD_OVERRIDE",N$11)*1,"")))</f>
        <v/>
      </c>
      <c r="O282" s="17" t="str">
        <f>IF(ISNA($B282),"",IF($B282="","",IFERROR(_xll.BDP(TICKER,"DEEP_MEASURE_PERIOD_BROKER_VALUE","DEEP_MEASURE_ID_OVERRIDE",$C282,"DEEP_BROKER_ID_OVERRIDE",$F$7,"DEEP_PERIOD_OVERRIDE",O$11)*1,"")))</f>
        <v/>
      </c>
      <c r="P282" s="17" t="str">
        <f>IF(ISNA($B282),"",IF($B282="","",IFERROR(_xll.BDP(TICKER,"DEEP_MEASURE_PERIOD_BROKER_VALUE","DEEP_MEASURE_ID_OVERRIDE",$C282,"DEEP_BROKER_ID_OVERRIDE",$F$7,"DEEP_PERIOD_OVERRIDE",P$11)*1,"")))</f>
        <v/>
      </c>
      <c r="Q282" s="17" t="str">
        <f>IF(ISNA($B282),"",IF($B282="","",IFERROR(_xll.BDP(TICKER,"DEEP_MEASURE_PERIOD_BROKER_VALUE","DEEP_MEASURE_ID_OVERRIDE",$C282,"DEEP_BROKER_ID_OVERRIDE",$F$7,"DEEP_PERIOD_OVERRIDE",Q$11)*1,"")))</f>
        <v/>
      </c>
      <c r="R282" s="17" t="str">
        <f>IF(ISNA($B282),"",IF($B282="","",IFERROR(_xll.BDP(TICKER,"DEEP_MEASURE_PERIOD_BROKER_VALUE","DEEP_MEASURE_ID_OVERRIDE",$C282,"DEEP_BROKER_ID_OVERRIDE",$F$7,"DEEP_PERIOD_OVERRIDE",R$11)*1,"")))</f>
        <v/>
      </c>
      <c r="S282" s="17" t="str">
        <f>IF(ISNA($B282),"",IF($B282="","",IFERROR(_xll.BDP(TICKER,"DEEP_MEASURE_PERIOD_BROKER_VALUE","DEEP_MEASURE_ID_OVERRIDE",$C282,"DEEP_BROKER_ID_OVERRIDE",$F$7,"DEEP_PERIOD_OVERRIDE",S$11)*1,"")))</f>
        <v/>
      </c>
      <c r="T282" s="17" t="str">
        <f>IF(ISNA($B282),"",IF($B282="","",IFERROR(_xll.BDP(TICKER,"DEEP_MEASURE_PERIOD_BROKER_VALUE","DEEP_MEASURE_ID_OVERRIDE",$C282,"DEEP_BROKER_ID_OVERRIDE",$F$7,"DEEP_PERIOD_OVERRIDE",T$11)*1,"")))</f>
        <v/>
      </c>
      <c r="U282" s="17" t="str">
        <f>IF(ISNA($B282),"",IF($B282="","",IFERROR(_xll.BDP(TICKER,"DEEP_MEASURE_PERIOD_BROKER_VALUE","DEEP_MEASURE_ID_OVERRIDE",$C282,"DEEP_BROKER_ID_OVERRIDE",$F$7,"DEEP_PERIOD_OVERRIDE",U$11)*1,"")))</f>
        <v/>
      </c>
      <c r="V282" s="17" t="str">
        <f>IF(ISNA($B282),"",IF($B282="","",IFERROR(_xll.BDP(TICKER,"DEEP_MEASURE_PERIOD_BROKER_VALUE","DEEP_MEASURE_ID_OVERRIDE",$C282,"DEEP_BROKER_ID_OVERRIDE",$F$7,"DEEP_PERIOD_OVERRIDE",V$11)*1,"")))</f>
        <v/>
      </c>
      <c r="W282" s="17" t="str">
        <f>IF(ISNA($B282),"",IF($B282="","",IFERROR(_xll.BDP(TICKER,"DEEP_MEASURE_PERIOD_BROKER_VALUE","DEEP_MEASURE_ID_OVERRIDE",$C282,"DEEP_BROKER_ID_OVERRIDE",$F$7,"DEEP_PERIOD_OVERRIDE",W$11)*1,"")))</f>
        <v/>
      </c>
      <c r="X282" s="17" t="str">
        <f>IF(ISNA($B282),"",IF($B282="","",IFERROR(_xll.BDP(TICKER,"DEEP_MEASURE_PERIOD_BROKER_VALUE","DEEP_MEASURE_ID_OVERRIDE",$C282,"DEEP_BROKER_ID_OVERRIDE",$F$7,"DEEP_PERIOD_OVERRIDE",X$11)*1,"")))</f>
        <v/>
      </c>
      <c r="Y282" s="17" t="str">
        <f>IF(ISNA($B282),"",IF($B282="","",IFERROR(_xll.BDP(TICKER,"DEEP_MEASURE_PERIOD_BROKER_VALUE","DEEP_MEASURE_ID_OVERRIDE",$C282,"DEEP_BROKER_ID_OVERRIDE",$F$7,"DEEP_PERIOD_OVERRIDE",Y$11)*1,"")))</f>
        <v/>
      </c>
      <c r="Z282" s="17" t="str">
        <f>IF(ISNA($B282),"",IF($B282="","",IFERROR(_xll.BDP(TICKER,"DEEP_MEASURE_PERIOD_BROKER_VALUE","DEEP_MEASURE_ID_OVERRIDE",$C282,"DEEP_BROKER_ID_OVERRIDE",$F$7,"DEEP_PERIOD_OVERRIDE",Z$11)*1,"")))</f>
        <v/>
      </c>
      <c r="AA282" s="17" t="str">
        <f>IF(ISNA($B282),"",IF($B282="","",IFERROR(_xll.BDP(TICKER,"DEEP_MEASURE_PERIOD_BROKER_VALUE","DEEP_MEASURE_ID_OVERRIDE",$C282,"DEEP_BROKER_ID_OVERRIDE",$F$7,"DEEP_PERIOD_OVERRIDE",AA$11)*1,"")))</f>
        <v/>
      </c>
      <c r="AB282" s="17" t="str">
        <f>IF(ISNA($B282),"",IF($B282="","",IFERROR(_xll.BDP(TICKER,"DEEP_MEASURE_PERIOD_BROKER_VALUE","DEEP_MEASURE_ID_OVERRIDE",$C282,"DEEP_BROKER_ID_OVERRIDE",$F$7,"DEEP_PERIOD_OVERRIDE",AB$11)*1,"")))</f>
        <v/>
      </c>
      <c r="AC282" s="17" t="str">
        <f>IF(ISNA($B282),"",IF($B282="","",IFERROR(_xll.BDP(TICKER,"DEEP_MEASURE_PERIOD_BROKER_VALUE","DEEP_MEASURE_ID_OVERRIDE",$C282,"DEEP_BROKER_ID_OVERRIDE",$F$7,"DEEP_PERIOD_OVERRIDE",AC$11)*1,"")))</f>
        <v/>
      </c>
      <c r="AD282" s="17" t="str">
        <f>IF(ISNA($B282),"",IF($B282="","",IFERROR(_xll.BDP(TICKER,"DEEP_MEASURE_PERIOD_BROKER_VALUE","DEEP_MEASURE_ID_OVERRIDE",$C282,"DEEP_BROKER_ID_OVERRIDE",$F$7,"DEEP_PERIOD_OVERRIDE",AD$11)*1,"")))</f>
        <v/>
      </c>
      <c r="AE282" s="17" t="str">
        <f>IF(ISNA($B282),"",IF($B282="","",IFERROR(_xll.BDP(TICKER,"DEEP_MEASURE_PERIOD_BROKER_VALUE","DEEP_MEASURE_ID_OVERRIDE",$C282,"DEEP_BROKER_ID_OVERRIDE",$F$7,"DEEP_PERIOD_OVERRIDE",AE$11)*1,"")))</f>
        <v/>
      </c>
      <c r="AF282" s="17" t="str">
        <f>IF(ISNA($B282),"",IF($B282="","",IFERROR(_xll.BDP(TICKER,"DEEP_MEASURE_PERIOD_BROKER_VALUE","DEEP_MEASURE_ID_OVERRIDE",$C282,"DEEP_BROKER_ID_OVERRIDE",$F$7,"DEEP_PERIOD_OVERRIDE",AF$11)*1,"")))</f>
        <v/>
      </c>
      <c r="AG282" s="17" t="str">
        <f>IF(ISNA($B282),"",IF($B282="","",IFERROR(_xll.BDP(TICKER,"DEEP_MEASURE_PERIOD_BROKER_VALUE","DEEP_MEASURE_ID_OVERRIDE",$C282,"DEEP_BROKER_ID_OVERRIDE",$F$7,"DEEP_PERIOD_OVERRIDE",AG$11)*1,"")))</f>
        <v/>
      </c>
      <c r="AH282" s="17" t="str">
        <f>IF(ISNA($B282),"",IF($B282="","",IFERROR(_xll.BDP(TICKER,"DEEP_MEASURE_PERIOD_BROKER_VALUE","DEEP_MEASURE_ID_OVERRIDE",$C282,"DEEP_BROKER_ID_OVERRIDE",$F$7,"DEEP_PERIOD_OVERRIDE",AH$11)*1,"")))</f>
        <v/>
      </c>
      <c r="AI282" s="17" t="str">
        <f>IF(ISNA($B282),"",IF($B282="","",IFERROR(_xll.BDP(TICKER,"DEEP_MEASURE_PERIOD_BROKER_VALUE","DEEP_MEASURE_ID_OVERRIDE",$C282,"DEEP_BROKER_ID_OVERRIDE",$F$7,"DEEP_PERIOD_OVERRIDE",AI$11)*1,"")))</f>
        <v/>
      </c>
      <c r="AJ282" s="17" t="str">
        <f>IF(ISNA($B282),"",IF($B282="","",IFERROR(_xll.BDP(TICKER,"DEEP_MEASURE_PERIOD_BROKER_VALUE","DEEP_MEASURE_ID_OVERRIDE",$C282,"DEEP_BROKER_ID_OVERRIDE",$F$7,"DEEP_PERIOD_OVERRIDE",AJ$11)*1,"")))</f>
        <v/>
      </c>
      <c r="AK282" s="17" t="str">
        <f>IF(ISNA($B282),"",IF($B282="","",IFERROR(_xll.BDP(TICKER,"DEEP_MEASURE_PERIOD_BROKER_VALUE","DEEP_MEASURE_ID_OVERRIDE",$C282,"DEEP_BROKER_ID_OVERRIDE",$F$7,"DEEP_PERIOD_OVERRIDE",AK$11)*1,"")))</f>
        <v/>
      </c>
      <c r="AL282" s="17" t="str">
        <f>IF(ISNA($B282),"",IF($B282="","",IFERROR(_xll.BDP(TICKER,"DEEP_MEASURE_PERIOD_BROKER_VALUE","DEEP_MEASURE_ID_OVERRIDE",$C282,"DEEP_BROKER_ID_OVERRIDE",$F$7,"DEEP_PERIOD_OVERRIDE",AL$11)*1,"")))</f>
        <v/>
      </c>
      <c r="AM282" s="17" t="str">
        <f>IF(ISNA($B282),"",IF($B282="","",IFERROR(_xll.BDP(TICKER,"DEEP_MEASURE_PERIOD_BROKER_VALUE","DEEP_MEASURE_ID_OVERRIDE",$C282,"DEEP_BROKER_ID_OVERRIDE",$F$7,"DEEP_PERIOD_OVERRIDE",AM$11)*1,"")))</f>
        <v/>
      </c>
      <c r="AN282" s="17" t="str">
        <f>IF(ISNA($B282),"",IF($B282="","",IFERROR(_xll.BDP(TICKER,"DEEP_MEASURE_PERIOD_BROKER_VALUE","DEEP_MEASURE_ID_OVERRIDE",$C282,"DEEP_BROKER_ID_OVERRIDE",$F$7,"DEEP_PERIOD_OVERRIDE",AN$11)*1,"")))</f>
        <v/>
      </c>
      <c r="AO282" s="17" t="str">
        <f>IF(ISNA($B282),"",IF($B282="","",IFERROR(_xll.BDP(TICKER,"DEEP_MEASURE_PERIOD_BROKER_VALUE","DEEP_MEASURE_ID_OVERRIDE",$C282,"DEEP_BROKER_ID_OVERRIDE",$F$7,"DEEP_PERIOD_OVERRIDE",AO$11)*1,"")))</f>
        <v/>
      </c>
      <c r="AP282" s="17" t="str">
        <f>IF(ISNA($B282),"",IF($B282="","",IFERROR(_xll.BDP(TICKER,"DEEP_MEASURE_PERIOD_BROKER_VALUE","DEEP_MEASURE_ID_OVERRIDE",$C282,"DEEP_BROKER_ID_OVERRIDE",$F$7,"DEEP_PERIOD_OVERRIDE",AP$11)*1,"")))</f>
        <v/>
      </c>
      <c r="AQ282" s="17" t="str">
        <f>IF(ISNA($B282),"",IF($B282="","",IFERROR(_xll.BDP(TICKER,"DEEP_MEASURE_PERIOD_BROKER_VALUE","DEEP_MEASURE_ID_OVERRIDE",$C282,"DEEP_BROKER_ID_OVERRIDE",$F$7,"DEEP_PERIOD_OVERRIDE",AQ$11)*1,"")))</f>
        <v/>
      </c>
    </row>
    <row r="283" spans="8:43" x14ac:dyDescent="0.25">
      <c r="H283" t="str">
        <f t="shared" si="6"/>
        <v/>
      </c>
      <c r="I283" s="17" t="str">
        <f>IF(ISNA($B283),"",IF($B283="","",IFERROR(_xll.BDP(TICKER,"DEEP_MEASURE_PERIOD_BROKER_VALUE","DEEP_MEASURE_ID_OVERRIDE",$C283,"DEEP_BROKER_ID_OVERRIDE",$F$7,"DEEP_PERIOD_OVERRIDE",I$11)*1,"")))</f>
        <v/>
      </c>
      <c r="J283" s="17" t="str">
        <f>IF(ISNA($B283),"",IF($B283="","",IFERROR(_xll.BDP(TICKER,"DEEP_MEASURE_PERIOD_BROKER_VALUE","DEEP_MEASURE_ID_OVERRIDE",$C283,"DEEP_BROKER_ID_OVERRIDE",$F$7,"DEEP_PERIOD_OVERRIDE",J$11)*1,"")))</f>
        <v/>
      </c>
      <c r="K283" s="17" t="str">
        <f>IF(ISNA($B283),"",IF($B283="","",IFERROR(_xll.BDP(TICKER,"DEEP_MEASURE_PERIOD_BROKER_VALUE","DEEP_MEASURE_ID_OVERRIDE",$C283,"DEEP_BROKER_ID_OVERRIDE",$F$7,"DEEP_PERIOD_OVERRIDE",K$11)*1,"")))</f>
        <v/>
      </c>
      <c r="L283" s="17" t="str">
        <f>IF(ISNA($B283),"",IF($B283="","",IFERROR(_xll.BDP(TICKER,"DEEP_MEASURE_PERIOD_BROKER_VALUE","DEEP_MEASURE_ID_OVERRIDE",$C283,"DEEP_BROKER_ID_OVERRIDE",$F$7,"DEEP_PERIOD_OVERRIDE",L$11)*1,"")))</f>
        <v/>
      </c>
      <c r="M283" s="17" t="str">
        <f>IF(ISNA($B283),"",IF($B283="","",IFERROR(_xll.BDP(TICKER,"DEEP_MEASURE_PERIOD_BROKER_VALUE","DEEP_MEASURE_ID_OVERRIDE",$C283,"DEEP_BROKER_ID_OVERRIDE",$F$7,"DEEP_PERIOD_OVERRIDE",M$11)*1,"")))</f>
        <v/>
      </c>
      <c r="N283" s="17" t="str">
        <f>IF(ISNA($B283),"",IF($B283="","",IFERROR(_xll.BDP(TICKER,"DEEP_MEASURE_PERIOD_BROKER_VALUE","DEEP_MEASURE_ID_OVERRIDE",$C283,"DEEP_BROKER_ID_OVERRIDE",$F$7,"DEEP_PERIOD_OVERRIDE",N$11)*1,"")))</f>
        <v/>
      </c>
      <c r="O283" s="17" t="str">
        <f>IF(ISNA($B283),"",IF($B283="","",IFERROR(_xll.BDP(TICKER,"DEEP_MEASURE_PERIOD_BROKER_VALUE","DEEP_MEASURE_ID_OVERRIDE",$C283,"DEEP_BROKER_ID_OVERRIDE",$F$7,"DEEP_PERIOD_OVERRIDE",O$11)*1,"")))</f>
        <v/>
      </c>
      <c r="P283" s="17" t="str">
        <f>IF(ISNA($B283),"",IF($B283="","",IFERROR(_xll.BDP(TICKER,"DEEP_MEASURE_PERIOD_BROKER_VALUE","DEEP_MEASURE_ID_OVERRIDE",$C283,"DEEP_BROKER_ID_OVERRIDE",$F$7,"DEEP_PERIOD_OVERRIDE",P$11)*1,"")))</f>
        <v/>
      </c>
      <c r="Q283" s="17" t="str">
        <f>IF(ISNA($B283),"",IF($B283="","",IFERROR(_xll.BDP(TICKER,"DEEP_MEASURE_PERIOD_BROKER_VALUE","DEEP_MEASURE_ID_OVERRIDE",$C283,"DEEP_BROKER_ID_OVERRIDE",$F$7,"DEEP_PERIOD_OVERRIDE",Q$11)*1,"")))</f>
        <v/>
      </c>
      <c r="R283" s="17" t="str">
        <f>IF(ISNA($B283),"",IF($B283="","",IFERROR(_xll.BDP(TICKER,"DEEP_MEASURE_PERIOD_BROKER_VALUE","DEEP_MEASURE_ID_OVERRIDE",$C283,"DEEP_BROKER_ID_OVERRIDE",$F$7,"DEEP_PERIOD_OVERRIDE",R$11)*1,"")))</f>
        <v/>
      </c>
      <c r="S283" s="17" t="str">
        <f>IF(ISNA($B283),"",IF($B283="","",IFERROR(_xll.BDP(TICKER,"DEEP_MEASURE_PERIOD_BROKER_VALUE","DEEP_MEASURE_ID_OVERRIDE",$C283,"DEEP_BROKER_ID_OVERRIDE",$F$7,"DEEP_PERIOD_OVERRIDE",S$11)*1,"")))</f>
        <v/>
      </c>
      <c r="T283" s="17" t="str">
        <f>IF(ISNA($B283),"",IF($B283="","",IFERROR(_xll.BDP(TICKER,"DEEP_MEASURE_PERIOD_BROKER_VALUE","DEEP_MEASURE_ID_OVERRIDE",$C283,"DEEP_BROKER_ID_OVERRIDE",$F$7,"DEEP_PERIOD_OVERRIDE",T$11)*1,"")))</f>
        <v/>
      </c>
      <c r="U283" s="17" t="str">
        <f>IF(ISNA($B283),"",IF($B283="","",IFERROR(_xll.BDP(TICKER,"DEEP_MEASURE_PERIOD_BROKER_VALUE","DEEP_MEASURE_ID_OVERRIDE",$C283,"DEEP_BROKER_ID_OVERRIDE",$F$7,"DEEP_PERIOD_OVERRIDE",U$11)*1,"")))</f>
        <v/>
      </c>
      <c r="V283" s="17" t="str">
        <f>IF(ISNA($B283),"",IF($B283="","",IFERROR(_xll.BDP(TICKER,"DEEP_MEASURE_PERIOD_BROKER_VALUE","DEEP_MEASURE_ID_OVERRIDE",$C283,"DEEP_BROKER_ID_OVERRIDE",$F$7,"DEEP_PERIOD_OVERRIDE",V$11)*1,"")))</f>
        <v/>
      </c>
      <c r="W283" s="17" t="str">
        <f>IF(ISNA($B283),"",IF($B283="","",IFERROR(_xll.BDP(TICKER,"DEEP_MEASURE_PERIOD_BROKER_VALUE","DEEP_MEASURE_ID_OVERRIDE",$C283,"DEEP_BROKER_ID_OVERRIDE",$F$7,"DEEP_PERIOD_OVERRIDE",W$11)*1,"")))</f>
        <v/>
      </c>
      <c r="X283" s="17" t="str">
        <f>IF(ISNA($B283),"",IF($B283="","",IFERROR(_xll.BDP(TICKER,"DEEP_MEASURE_PERIOD_BROKER_VALUE","DEEP_MEASURE_ID_OVERRIDE",$C283,"DEEP_BROKER_ID_OVERRIDE",$F$7,"DEEP_PERIOD_OVERRIDE",X$11)*1,"")))</f>
        <v/>
      </c>
      <c r="Y283" s="17" t="str">
        <f>IF(ISNA($B283),"",IF($B283="","",IFERROR(_xll.BDP(TICKER,"DEEP_MEASURE_PERIOD_BROKER_VALUE","DEEP_MEASURE_ID_OVERRIDE",$C283,"DEEP_BROKER_ID_OVERRIDE",$F$7,"DEEP_PERIOD_OVERRIDE",Y$11)*1,"")))</f>
        <v/>
      </c>
      <c r="Z283" s="17" t="str">
        <f>IF(ISNA($B283),"",IF($B283="","",IFERROR(_xll.BDP(TICKER,"DEEP_MEASURE_PERIOD_BROKER_VALUE","DEEP_MEASURE_ID_OVERRIDE",$C283,"DEEP_BROKER_ID_OVERRIDE",$F$7,"DEEP_PERIOD_OVERRIDE",Z$11)*1,"")))</f>
        <v/>
      </c>
      <c r="AA283" s="17" t="str">
        <f>IF(ISNA($B283),"",IF($B283="","",IFERROR(_xll.BDP(TICKER,"DEEP_MEASURE_PERIOD_BROKER_VALUE","DEEP_MEASURE_ID_OVERRIDE",$C283,"DEEP_BROKER_ID_OVERRIDE",$F$7,"DEEP_PERIOD_OVERRIDE",AA$11)*1,"")))</f>
        <v/>
      </c>
      <c r="AB283" s="17" t="str">
        <f>IF(ISNA($B283),"",IF($B283="","",IFERROR(_xll.BDP(TICKER,"DEEP_MEASURE_PERIOD_BROKER_VALUE","DEEP_MEASURE_ID_OVERRIDE",$C283,"DEEP_BROKER_ID_OVERRIDE",$F$7,"DEEP_PERIOD_OVERRIDE",AB$11)*1,"")))</f>
        <v/>
      </c>
      <c r="AC283" s="17" t="str">
        <f>IF(ISNA($B283),"",IF($B283="","",IFERROR(_xll.BDP(TICKER,"DEEP_MEASURE_PERIOD_BROKER_VALUE","DEEP_MEASURE_ID_OVERRIDE",$C283,"DEEP_BROKER_ID_OVERRIDE",$F$7,"DEEP_PERIOD_OVERRIDE",AC$11)*1,"")))</f>
        <v/>
      </c>
      <c r="AD283" s="17" t="str">
        <f>IF(ISNA($B283),"",IF($B283="","",IFERROR(_xll.BDP(TICKER,"DEEP_MEASURE_PERIOD_BROKER_VALUE","DEEP_MEASURE_ID_OVERRIDE",$C283,"DEEP_BROKER_ID_OVERRIDE",$F$7,"DEEP_PERIOD_OVERRIDE",AD$11)*1,"")))</f>
        <v/>
      </c>
      <c r="AE283" s="17" t="str">
        <f>IF(ISNA($B283),"",IF($B283="","",IFERROR(_xll.BDP(TICKER,"DEEP_MEASURE_PERIOD_BROKER_VALUE","DEEP_MEASURE_ID_OVERRIDE",$C283,"DEEP_BROKER_ID_OVERRIDE",$F$7,"DEEP_PERIOD_OVERRIDE",AE$11)*1,"")))</f>
        <v/>
      </c>
      <c r="AF283" s="17" t="str">
        <f>IF(ISNA($B283),"",IF($B283="","",IFERROR(_xll.BDP(TICKER,"DEEP_MEASURE_PERIOD_BROKER_VALUE","DEEP_MEASURE_ID_OVERRIDE",$C283,"DEEP_BROKER_ID_OVERRIDE",$F$7,"DEEP_PERIOD_OVERRIDE",AF$11)*1,"")))</f>
        <v/>
      </c>
      <c r="AG283" s="17" t="str">
        <f>IF(ISNA($B283),"",IF($B283="","",IFERROR(_xll.BDP(TICKER,"DEEP_MEASURE_PERIOD_BROKER_VALUE","DEEP_MEASURE_ID_OVERRIDE",$C283,"DEEP_BROKER_ID_OVERRIDE",$F$7,"DEEP_PERIOD_OVERRIDE",AG$11)*1,"")))</f>
        <v/>
      </c>
      <c r="AH283" s="17" t="str">
        <f>IF(ISNA($B283),"",IF($B283="","",IFERROR(_xll.BDP(TICKER,"DEEP_MEASURE_PERIOD_BROKER_VALUE","DEEP_MEASURE_ID_OVERRIDE",$C283,"DEEP_BROKER_ID_OVERRIDE",$F$7,"DEEP_PERIOD_OVERRIDE",AH$11)*1,"")))</f>
        <v/>
      </c>
      <c r="AI283" s="17" t="str">
        <f>IF(ISNA($B283),"",IF($B283="","",IFERROR(_xll.BDP(TICKER,"DEEP_MEASURE_PERIOD_BROKER_VALUE","DEEP_MEASURE_ID_OVERRIDE",$C283,"DEEP_BROKER_ID_OVERRIDE",$F$7,"DEEP_PERIOD_OVERRIDE",AI$11)*1,"")))</f>
        <v/>
      </c>
      <c r="AJ283" s="17" t="str">
        <f>IF(ISNA($B283),"",IF($B283="","",IFERROR(_xll.BDP(TICKER,"DEEP_MEASURE_PERIOD_BROKER_VALUE","DEEP_MEASURE_ID_OVERRIDE",$C283,"DEEP_BROKER_ID_OVERRIDE",$F$7,"DEEP_PERIOD_OVERRIDE",AJ$11)*1,"")))</f>
        <v/>
      </c>
      <c r="AK283" s="17" t="str">
        <f>IF(ISNA($B283),"",IF($B283="","",IFERROR(_xll.BDP(TICKER,"DEEP_MEASURE_PERIOD_BROKER_VALUE","DEEP_MEASURE_ID_OVERRIDE",$C283,"DEEP_BROKER_ID_OVERRIDE",$F$7,"DEEP_PERIOD_OVERRIDE",AK$11)*1,"")))</f>
        <v/>
      </c>
      <c r="AL283" s="17" t="str">
        <f>IF(ISNA($B283),"",IF($B283="","",IFERROR(_xll.BDP(TICKER,"DEEP_MEASURE_PERIOD_BROKER_VALUE","DEEP_MEASURE_ID_OVERRIDE",$C283,"DEEP_BROKER_ID_OVERRIDE",$F$7,"DEEP_PERIOD_OVERRIDE",AL$11)*1,"")))</f>
        <v/>
      </c>
      <c r="AM283" s="17" t="str">
        <f>IF(ISNA($B283),"",IF($B283="","",IFERROR(_xll.BDP(TICKER,"DEEP_MEASURE_PERIOD_BROKER_VALUE","DEEP_MEASURE_ID_OVERRIDE",$C283,"DEEP_BROKER_ID_OVERRIDE",$F$7,"DEEP_PERIOD_OVERRIDE",AM$11)*1,"")))</f>
        <v/>
      </c>
      <c r="AN283" s="17" t="str">
        <f>IF(ISNA($B283),"",IF($B283="","",IFERROR(_xll.BDP(TICKER,"DEEP_MEASURE_PERIOD_BROKER_VALUE","DEEP_MEASURE_ID_OVERRIDE",$C283,"DEEP_BROKER_ID_OVERRIDE",$F$7,"DEEP_PERIOD_OVERRIDE",AN$11)*1,"")))</f>
        <v/>
      </c>
      <c r="AO283" s="17" t="str">
        <f>IF(ISNA($B283),"",IF($B283="","",IFERROR(_xll.BDP(TICKER,"DEEP_MEASURE_PERIOD_BROKER_VALUE","DEEP_MEASURE_ID_OVERRIDE",$C283,"DEEP_BROKER_ID_OVERRIDE",$F$7,"DEEP_PERIOD_OVERRIDE",AO$11)*1,"")))</f>
        <v/>
      </c>
      <c r="AP283" s="17" t="str">
        <f>IF(ISNA($B283),"",IF($B283="","",IFERROR(_xll.BDP(TICKER,"DEEP_MEASURE_PERIOD_BROKER_VALUE","DEEP_MEASURE_ID_OVERRIDE",$C283,"DEEP_BROKER_ID_OVERRIDE",$F$7,"DEEP_PERIOD_OVERRIDE",AP$11)*1,"")))</f>
        <v/>
      </c>
      <c r="AQ283" s="17" t="str">
        <f>IF(ISNA($B283),"",IF($B283="","",IFERROR(_xll.BDP(TICKER,"DEEP_MEASURE_PERIOD_BROKER_VALUE","DEEP_MEASURE_ID_OVERRIDE",$C283,"DEEP_BROKER_ID_OVERRIDE",$F$7,"DEEP_PERIOD_OVERRIDE",AQ$11)*1,"")))</f>
        <v/>
      </c>
    </row>
    <row r="284" spans="8:43" x14ac:dyDescent="0.25">
      <c r="H284" t="str">
        <f t="shared" si="6"/>
        <v/>
      </c>
      <c r="I284" s="17" t="str">
        <f>IF(ISNA($B284),"",IF($B284="","",IFERROR(_xll.BDP(TICKER,"DEEP_MEASURE_PERIOD_BROKER_VALUE","DEEP_MEASURE_ID_OVERRIDE",$C284,"DEEP_BROKER_ID_OVERRIDE",$F$7,"DEEP_PERIOD_OVERRIDE",I$11)*1,"")))</f>
        <v/>
      </c>
      <c r="J284" s="17" t="str">
        <f>IF(ISNA($B284),"",IF($B284="","",IFERROR(_xll.BDP(TICKER,"DEEP_MEASURE_PERIOD_BROKER_VALUE","DEEP_MEASURE_ID_OVERRIDE",$C284,"DEEP_BROKER_ID_OVERRIDE",$F$7,"DEEP_PERIOD_OVERRIDE",J$11)*1,"")))</f>
        <v/>
      </c>
      <c r="K284" s="17" t="str">
        <f>IF(ISNA($B284),"",IF($B284="","",IFERROR(_xll.BDP(TICKER,"DEEP_MEASURE_PERIOD_BROKER_VALUE","DEEP_MEASURE_ID_OVERRIDE",$C284,"DEEP_BROKER_ID_OVERRIDE",$F$7,"DEEP_PERIOD_OVERRIDE",K$11)*1,"")))</f>
        <v/>
      </c>
      <c r="L284" s="17" t="str">
        <f>IF(ISNA($B284),"",IF($B284="","",IFERROR(_xll.BDP(TICKER,"DEEP_MEASURE_PERIOD_BROKER_VALUE","DEEP_MEASURE_ID_OVERRIDE",$C284,"DEEP_BROKER_ID_OVERRIDE",$F$7,"DEEP_PERIOD_OVERRIDE",L$11)*1,"")))</f>
        <v/>
      </c>
      <c r="M284" s="17" t="str">
        <f>IF(ISNA($B284),"",IF($B284="","",IFERROR(_xll.BDP(TICKER,"DEEP_MEASURE_PERIOD_BROKER_VALUE","DEEP_MEASURE_ID_OVERRIDE",$C284,"DEEP_BROKER_ID_OVERRIDE",$F$7,"DEEP_PERIOD_OVERRIDE",M$11)*1,"")))</f>
        <v/>
      </c>
      <c r="N284" s="17" t="str">
        <f>IF(ISNA($B284),"",IF($B284="","",IFERROR(_xll.BDP(TICKER,"DEEP_MEASURE_PERIOD_BROKER_VALUE","DEEP_MEASURE_ID_OVERRIDE",$C284,"DEEP_BROKER_ID_OVERRIDE",$F$7,"DEEP_PERIOD_OVERRIDE",N$11)*1,"")))</f>
        <v/>
      </c>
      <c r="O284" s="17" t="str">
        <f>IF(ISNA($B284),"",IF($B284="","",IFERROR(_xll.BDP(TICKER,"DEEP_MEASURE_PERIOD_BROKER_VALUE","DEEP_MEASURE_ID_OVERRIDE",$C284,"DEEP_BROKER_ID_OVERRIDE",$F$7,"DEEP_PERIOD_OVERRIDE",O$11)*1,"")))</f>
        <v/>
      </c>
      <c r="P284" s="17" t="str">
        <f>IF(ISNA($B284),"",IF($B284="","",IFERROR(_xll.BDP(TICKER,"DEEP_MEASURE_PERIOD_BROKER_VALUE","DEEP_MEASURE_ID_OVERRIDE",$C284,"DEEP_BROKER_ID_OVERRIDE",$F$7,"DEEP_PERIOD_OVERRIDE",P$11)*1,"")))</f>
        <v/>
      </c>
      <c r="Q284" s="17" t="str">
        <f>IF(ISNA($B284),"",IF($B284="","",IFERROR(_xll.BDP(TICKER,"DEEP_MEASURE_PERIOD_BROKER_VALUE","DEEP_MEASURE_ID_OVERRIDE",$C284,"DEEP_BROKER_ID_OVERRIDE",$F$7,"DEEP_PERIOD_OVERRIDE",Q$11)*1,"")))</f>
        <v/>
      </c>
      <c r="R284" s="17" t="str">
        <f>IF(ISNA($B284),"",IF($B284="","",IFERROR(_xll.BDP(TICKER,"DEEP_MEASURE_PERIOD_BROKER_VALUE","DEEP_MEASURE_ID_OVERRIDE",$C284,"DEEP_BROKER_ID_OVERRIDE",$F$7,"DEEP_PERIOD_OVERRIDE",R$11)*1,"")))</f>
        <v/>
      </c>
      <c r="S284" s="17" t="str">
        <f>IF(ISNA($B284),"",IF($B284="","",IFERROR(_xll.BDP(TICKER,"DEEP_MEASURE_PERIOD_BROKER_VALUE","DEEP_MEASURE_ID_OVERRIDE",$C284,"DEEP_BROKER_ID_OVERRIDE",$F$7,"DEEP_PERIOD_OVERRIDE",S$11)*1,"")))</f>
        <v/>
      </c>
      <c r="T284" s="17" t="str">
        <f>IF(ISNA($B284),"",IF($B284="","",IFERROR(_xll.BDP(TICKER,"DEEP_MEASURE_PERIOD_BROKER_VALUE","DEEP_MEASURE_ID_OVERRIDE",$C284,"DEEP_BROKER_ID_OVERRIDE",$F$7,"DEEP_PERIOD_OVERRIDE",T$11)*1,"")))</f>
        <v/>
      </c>
      <c r="U284" s="17" t="str">
        <f>IF(ISNA($B284),"",IF($B284="","",IFERROR(_xll.BDP(TICKER,"DEEP_MEASURE_PERIOD_BROKER_VALUE","DEEP_MEASURE_ID_OVERRIDE",$C284,"DEEP_BROKER_ID_OVERRIDE",$F$7,"DEEP_PERIOD_OVERRIDE",U$11)*1,"")))</f>
        <v/>
      </c>
      <c r="V284" s="17" t="str">
        <f>IF(ISNA($B284),"",IF($B284="","",IFERROR(_xll.BDP(TICKER,"DEEP_MEASURE_PERIOD_BROKER_VALUE","DEEP_MEASURE_ID_OVERRIDE",$C284,"DEEP_BROKER_ID_OVERRIDE",$F$7,"DEEP_PERIOD_OVERRIDE",V$11)*1,"")))</f>
        <v/>
      </c>
      <c r="W284" s="17" t="str">
        <f>IF(ISNA($B284),"",IF($B284="","",IFERROR(_xll.BDP(TICKER,"DEEP_MEASURE_PERIOD_BROKER_VALUE","DEEP_MEASURE_ID_OVERRIDE",$C284,"DEEP_BROKER_ID_OVERRIDE",$F$7,"DEEP_PERIOD_OVERRIDE",W$11)*1,"")))</f>
        <v/>
      </c>
      <c r="X284" s="17" t="str">
        <f>IF(ISNA($B284),"",IF($B284="","",IFERROR(_xll.BDP(TICKER,"DEEP_MEASURE_PERIOD_BROKER_VALUE","DEEP_MEASURE_ID_OVERRIDE",$C284,"DEEP_BROKER_ID_OVERRIDE",$F$7,"DEEP_PERIOD_OVERRIDE",X$11)*1,"")))</f>
        <v/>
      </c>
      <c r="Y284" s="17" t="str">
        <f>IF(ISNA($B284),"",IF($B284="","",IFERROR(_xll.BDP(TICKER,"DEEP_MEASURE_PERIOD_BROKER_VALUE","DEEP_MEASURE_ID_OVERRIDE",$C284,"DEEP_BROKER_ID_OVERRIDE",$F$7,"DEEP_PERIOD_OVERRIDE",Y$11)*1,"")))</f>
        <v/>
      </c>
      <c r="Z284" s="17" t="str">
        <f>IF(ISNA($B284),"",IF($B284="","",IFERROR(_xll.BDP(TICKER,"DEEP_MEASURE_PERIOD_BROKER_VALUE","DEEP_MEASURE_ID_OVERRIDE",$C284,"DEEP_BROKER_ID_OVERRIDE",$F$7,"DEEP_PERIOD_OVERRIDE",Z$11)*1,"")))</f>
        <v/>
      </c>
      <c r="AA284" s="17" t="str">
        <f>IF(ISNA($B284),"",IF($B284="","",IFERROR(_xll.BDP(TICKER,"DEEP_MEASURE_PERIOD_BROKER_VALUE","DEEP_MEASURE_ID_OVERRIDE",$C284,"DEEP_BROKER_ID_OVERRIDE",$F$7,"DEEP_PERIOD_OVERRIDE",AA$11)*1,"")))</f>
        <v/>
      </c>
      <c r="AB284" s="17" t="str">
        <f>IF(ISNA($B284),"",IF($B284="","",IFERROR(_xll.BDP(TICKER,"DEEP_MEASURE_PERIOD_BROKER_VALUE","DEEP_MEASURE_ID_OVERRIDE",$C284,"DEEP_BROKER_ID_OVERRIDE",$F$7,"DEEP_PERIOD_OVERRIDE",AB$11)*1,"")))</f>
        <v/>
      </c>
      <c r="AC284" s="17" t="str">
        <f>IF(ISNA($B284),"",IF($B284="","",IFERROR(_xll.BDP(TICKER,"DEEP_MEASURE_PERIOD_BROKER_VALUE","DEEP_MEASURE_ID_OVERRIDE",$C284,"DEEP_BROKER_ID_OVERRIDE",$F$7,"DEEP_PERIOD_OVERRIDE",AC$11)*1,"")))</f>
        <v/>
      </c>
      <c r="AD284" s="17" t="str">
        <f>IF(ISNA($B284),"",IF($B284="","",IFERROR(_xll.BDP(TICKER,"DEEP_MEASURE_PERIOD_BROKER_VALUE","DEEP_MEASURE_ID_OVERRIDE",$C284,"DEEP_BROKER_ID_OVERRIDE",$F$7,"DEEP_PERIOD_OVERRIDE",AD$11)*1,"")))</f>
        <v/>
      </c>
      <c r="AE284" s="17" t="str">
        <f>IF(ISNA($B284),"",IF($B284="","",IFERROR(_xll.BDP(TICKER,"DEEP_MEASURE_PERIOD_BROKER_VALUE","DEEP_MEASURE_ID_OVERRIDE",$C284,"DEEP_BROKER_ID_OVERRIDE",$F$7,"DEEP_PERIOD_OVERRIDE",AE$11)*1,"")))</f>
        <v/>
      </c>
      <c r="AF284" s="17" t="str">
        <f>IF(ISNA($B284),"",IF($B284="","",IFERROR(_xll.BDP(TICKER,"DEEP_MEASURE_PERIOD_BROKER_VALUE","DEEP_MEASURE_ID_OVERRIDE",$C284,"DEEP_BROKER_ID_OVERRIDE",$F$7,"DEEP_PERIOD_OVERRIDE",AF$11)*1,"")))</f>
        <v/>
      </c>
      <c r="AG284" s="17" t="str">
        <f>IF(ISNA($B284),"",IF($B284="","",IFERROR(_xll.BDP(TICKER,"DEEP_MEASURE_PERIOD_BROKER_VALUE","DEEP_MEASURE_ID_OVERRIDE",$C284,"DEEP_BROKER_ID_OVERRIDE",$F$7,"DEEP_PERIOD_OVERRIDE",AG$11)*1,"")))</f>
        <v/>
      </c>
      <c r="AH284" s="17" t="str">
        <f>IF(ISNA($B284),"",IF($B284="","",IFERROR(_xll.BDP(TICKER,"DEEP_MEASURE_PERIOD_BROKER_VALUE","DEEP_MEASURE_ID_OVERRIDE",$C284,"DEEP_BROKER_ID_OVERRIDE",$F$7,"DEEP_PERIOD_OVERRIDE",AH$11)*1,"")))</f>
        <v/>
      </c>
      <c r="AI284" s="17" t="str">
        <f>IF(ISNA($B284),"",IF($B284="","",IFERROR(_xll.BDP(TICKER,"DEEP_MEASURE_PERIOD_BROKER_VALUE","DEEP_MEASURE_ID_OVERRIDE",$C284,"DEEP_BROKER_ID_OVERRIDE",$F$7,"DEEP_PERIOD_OVERRIDE",AI$11)*1,"")))</f>
        <v/>
      </c>
      <c r="AJ284" s="17" t="str">
        <f>IF(ISNA($B284),"",IF($B284="","",IFERROR(_xll.BDP(TICKER,"DEEP_MEASURE_PERIOD_BROKER_VALUE","DEEP_MEASURE_ID_OVERRIDE",$C284,"DEEP_BROKER_ID_OVERRIDE",$F$7,"DEEP_PERIOD_OVERRIDE",AJ$11)*1,"")))</f>
        <v/>
      </c>
      <c r="AK284" s="17" t="str">
        <f>IF(ISNA($B284),"",IF($B284="","",IFERROR(_xll.BDP(TICKER,"DEEP_MEASURE_PERIOD_BROKER_VALUE","DEEP_MEASURE_ID_OVERRIDE",$C284,"DEEP_BROKER_ID_OVERRIDE",$F$7,"DEEP_PERIOD_OVERRIDE",AK$11)*1,"")))</f>
        <v/>
      </c>
      <c r="AL284" s="17" t="str">
        <f>IF(ISNA($B284),"",IF($B284="","",IFERROR(_xll.BDP(TICKER,"DEEP_MEASURE_PERIOD_BROKER_VALUE","DEEP_MEASURE_ID_OVERRIDE",$C284,"DEEP_BROKER_ID_OVERRIDE",$F$7,"DEEP_PERIOD_OVERRIDE",AL$11)*1,"")))</f>
        <v/>
      </c>
      <c r="AM284" s="17" t="str">
        <f>IF(ISNA($B284),"",IF($B284="","",IFERROR(_xll.BDP(TICKER,"DEEP_MEASURE_PERIOD_BROKER_VALUE","DEEP_MEASURE_ID_OVERRIDE",$C284,"DEEP_BROKER_ID_OVERRIDE",$F$7,"DEEP_PERIOD_OVERRIDE",AM$11)*1,"")))</f>
        <v/>
      </c>
      <c r="AN284" s="17" t="str">
        <f>IF(ISNA($B284),"",IF($B284="","",IFERROR(_xll.BDP(TICKER,"DEEP_MEASURE_PERIOD_BROKER_VALUE","DEEP_MEASURE_ID_OVERRIDE",$C284,"DEEP_BROKER_ID_OVERRIDE",$F$7,"DEEP_PERIOD_OVERRIDE",AN$11)*1,"")))</f>
        <v/>
      </c>
      <c r="AO284" s="17" t="str">
        <f>IF(ISNA($B284),"",IF($B284="","",IFERROR(_xll.BDP(TICKER,"DEEP_MEASURE_PERIOD_BROKER_VALUE","DEEP_MEASURE_ID_OVERRIDE",$C284,"DEEP_BROKER_ID_OVERRIDE",$F$7,"DEEP_PERIOD_OVERRIDE",AO$11)*1,"")))</f>
        <v/>
      </c>
      <c r="AP284" s="17" t="str">
        <f>IF(ISNA($B284),"",IF($B284="","",IFERROR(_xll.BDP(TICKER,"DEEP_MEASURE_PERIOD_BROKER_VALUE","DEEP_MEASURE_ID_OVERRIDE",$C284,"DEEP_BROKER_ID_OVERRIDE",$F$7,"DEEP_PERIOD_OVERRIDE",AP$11)*1,"")))</f>
        <v/>
      </c>
      <c r="AQ284" s="17" t="str">
        <f>IF(ISNA($B284),"",IF($B284="","",IFERROR(_xll.BDP(TICKER,"DEEP_MEASURE_PERIOD_BROKER_VALUE","DEEP_MEASURE_ID_OVERRIDE",$C284,"DEEP_BROKER_ID_OVERRIDE",$F$7,"DEEP_PERIOD_OVERRIDE",AQ$11)*1,"")))</f>
        <v/>
      </c>
    </row>
    <row r="285" spans="8:43" x14ac:dyDescent="0.25">
      <c r="H285" t="str">
        <f t="shared" si="6"/>
        <v/>
      </c>
      <c r="I285" s="17" t="str">
        <f>IF(ISNA($B285),"",IF($B285="","",IFERROR(_xll.BDP(TICKER,"DEEP_MEASURE_PERIOD_BROKER_VALUE","DEEP_MEASURE_ID_OVERRIDE",$C285,"DEEP_BROKER_ID_OVERRIDE",$F$7,"DEEP_PERIOD_OVERRIDE",I$11)*1,"")))</f>
        <v/>
      </c>
      <c r="J285" s="17" t="str">
        <f>IF(ISNA($B285),"",IF($B285="","",IFERROR(_xll.BDP(TICKER,"DEEP_MEASURE_PERIOD_BROKER_VALUE","DEEP_MEASURE_ID_OVERRIDE",$C285,"DEEP_BROKER_ID_OVERRIDE",$F$7,"DEEP_PERIOD_OVERRIDE",J$11)*1,"")))</f>
        <v/>
      </c>
      <c r="K285" s="17" t="str">
        <f>IF(ISNA($B285),"",IF($B285="","",IFERROR(_xll.BDP(TICKER,"DEEP_MEASURE_PERIOD_BROKER_VALUE","DEEP_MEASURE_ID_OVERRIDE",$C285,"DEEP_BROKER_ID_OVERRIDE",$F$7,"DEEP_PERIOD_OVERRIDE",K$11)*1,"")))</f>
        <v/>
      </c>
      <c r="L285" s="17" t="str">
        <f>IF(ISNA($B285),"",IF($B285="","",IFERROR(_xll.BDP(TICKER,"DEEP_MEASURE_PERIOD_BROKER_VALUE","DEEP_MEASURE_ID_OVERRIDE",$C285,"DEEP_BROKER_ID_OVERRIDE",$F$7,"DEEP_PERIOD_OVERRIDE",L$11)*1,"")))</f>
        <v/>
      </c>
      <c r="M285" s="17" t="str">
        <f>IF(ISNA($B285),"",IF($B285="","",IFERROR(_xll.BDP(TICKER,"DEEP_MEASURE_PERIOD_BROKER_VALUE","DEEP_MEASURE_ID_OVERRIDE",$C285,"DEEP_BROKER_ID_OVERRIDE",$F$7,"DEEP_PERIOD_OVERRIDE",M$11)*1,"")))</f>
        <v/>
      </c>
      <c r="N285" s="17" t="str">
        <f>IF(ISNA($B285),"",IF($B285="","",IFERROR(_xll.BDP(TICKER,"DEEP_MEASURE_PERIOD_BROKER_VALUE","DEEP_MEASURE_ID_OVERRIDE",$C285,"DEEP_BROKER_ID_OVERRIDE",$F$7,"DEEP_PERIOD_OVERRIDE",N$11)*1,"")))</f>
        <v/>
      </c>
      <c r="O285" s="17" t="str">
        <f>IF(ISNA($B285),"",IF($B285="","",IFERROR(_xll.BDP(TICKER,"DEEP_MEASURE_PERIOD_BROKER_VALUE","DEEP_MEASURE_ID_OVERRIDE",$C285,"DEEP_BROKER_ID_OVERRIDE",$F$7,"DEEP_PERIOD_OVERRIDE",O$11)*1,"")))</f>
        <v/>
      </c>
      <c r="P285" s="17" t="str">
        <f>IF(ISNA($B285),"",IF($B285="","",IFERROR(_xll.BDP(TICKER,"DEEP_MEASURE_PERIOD_BROKER_VALUE","DEEP_MEASURE_ID_OVERRIDE",$C285,"DEEP_BROKER_ID_OVERRIDE",$F$7,"DEEP_PERIOD_OVERRIDE",P$11)*1,"")))</f>
        <v/>
      </c>
      <c r="Q285" s="17" t="str">
        <f>IF(ISNA($B285),"",IF($B285="","",IFERROR(_xll.BDP(TICKER,"DEEP_MEASURE_PERIOD_BROKER_VALUE","DEEP_MEASURE_ID_OVERRIDE",$C285,"DEEP_BROKER_ID_OVERRIDE",$F$7,"DEEP_PERIOD_OVERRIDE",Q$11)*1,"")))</f>
        <v/>
      </c>
      <c r="R285" s="17" t="str">
        <f>IF(ISNA($B285),"",IF($B285="","",IFERROR(_xll.BDP(TICKER,"DEEP_MEASURE_PERIOD_BROKER_VALUE","DEEP_MEASURE_ID_OVERRIDE",$C285,"DEEP_BROKER_ID_OVERRIDE",$F$7,"DEEP_PERIOD_OVERRIDE",R$11)*1,"")))</f>
        <v/>
      </c>
      <c r="S285" s="17" t="str">
        <f>IF(ISNA($B285),"",IF($B285="","",IFERROR(_xll.BDP(TICKER,"DEEP_MEASURE_PERIOD_BROKER_VALUE","DEEP_MEASURE_ID_OVERRIDE",$C285,"DEEP_BROKER_ID_OVERRIDE",$F$7,"DEEP_PERIOD_OVERRIDE",S$11)*1,"")))</f>
        <v/>
      </c>
      <c r="T285" s="17" t="str">
        <f>IF(ISNA($B285),"",IF($B285="","",IFERROR(_xll.BDP(TICKER,"DEEP_MEASURE_PERIOD_BROKER_VALUE","DEEP_MEASURE_ID_OVERRIDE",$C285,"DEEP_BROKER_ID_OVERRIDE",$F$7,"DEEP_PERIOD_OVERRIDE",T$11)*1,"")))</f>
        <v/>
      </c>
      <c r="U285" s="17" t="str">
        <f>IF(ISNA($B285),"",IF($B285="","",IFERROR(_xll.BDP(TICKER,"DEEP_MEASURE_PERIOD_BROKER_VALUE","DEEP_MEASURE_ID_OVERRIDE",$C285,"DEEP_BROKER_ID_OVERRIDE",$F$7,"DEEP_PERIOD_OVERRIDE",U$11)*1,"")))</f>
        <v/>
      </c>
      <c r="V285" s="17" t="str">
        <f>IF(ISNA($B285),"",IF($B285="","",IFERROR(_xll.BDP(TICKER,"DEEP_MEASURE_PERIOD_BROKER_VALUE","DEEP_MEASURE_ID_OVERRIDE",$C285,"DEEP_BROKER_ID_OVERRIDE",$F$7,"DEEP_PERIOD_OVERRIDE",V$11)*1,"")))</f>
        <v/>
      </c>
      <c r="W285" s="17" t="str">
        <f>IF(ISNA($B285),"",IF($B285="","",IFERROR(_xll.BDP(TICKER,"DEEP_MEASURE_PERIOD_BROKER_VALUE","DEEP_MEASURE_ID_OVERRIDE",$C285,"DEEP_BROKER_ID_OVERRIDE",$F$7,"DEEP_PERIOD_OVERRIDE",W$11)*1,"")))</f>
        <v/>
      </c>
      <c r="X285" s="17" t="str">
        <f>IF(ISNA($B285),"",IF($B285="","",IFERROR(_xll.BDP(TICKER,"DEEP_MEASURE_PERIOD_BROKER_VALUE","DEEP_MEASURE_ID_OVERRIDE",$C285,"DEEP_BROKER_ID_OVERRIDE",$F$7,"DEEP_PERIOD_OVERRIDE",X$11)*1,"")))</f>
        <v/>
      </c>
      <c r="Y285" s="17" t="str">
        <f>IF(ISNA($B285),"",IF($B285="","",IFERROR(_xll.BDP(TICKER,"DEEP_MEASURE_PERIOD_BROKER_VALUE","DEEP_MEASURE_ID_OVERRIDE",$C285,"DEEP_BROKER_ID_OVERRIDE",$F$7,"DEEP_PERIOD_OVERRIDE",Y$11)*1,"")))</f>
        <v/>
      </c>
      <c r="Z285" s="17" t="str">
        <f>IF(ISNA($B285),"",IF($B285="","",IFERROR(_xll.BDP(TICKER,"DEEP_MEASURE_PERIOD_BROKER_VALUE","DEEP_MEASURE_ID_OVERRIDE",$C285,"DEEP_BROKER_ID_OVERRIDE",$F$7,"DEEP_PERIOD_OVERRIDE",Z$11)*1,"")))</f>
        <v/>
      </c>
      <c r="AA285" s="17" t="str">
        <f>IF(ISNA($B285),"",IF($B285="","",IFERROR(_xll.BDP(TICKER,"DEEP_MEASURE_PERIOD_BROKER_VALUE","DEEP_MEASURE_ID_OVERRIDE",$C285,"DEEP_BROKER_ID_OVERRIDE",$F$7,"DEEP_PERIOD_OVERRIDE",AA$11)*1,"")))</f>
        <v/>
      </c>
      <c r="AB285" s="17" t="str">
        <f>IF(ISNA($B285),"",IF($B285="","",IFERROR(_xll.BDP(TICKER,"DEEP_MEASURE_PERIOD_BROKER_VALUE","DEEP_MEASURE_ID_OVERRIDE",$C285,"DEEP_BROKER_ID_OVERRIDE",$F$7,"DEEP_PERIOD_OVERRIDE",AB$11)*1,"")))</f>
        <v/>
      </c>
      <c r="AC285" s="17" t="str">
        <f>IF(ISNA($B285),"",IF($B285="","",IFERROR(_xll.BDP(TICKER,"DEEP_MEASURE_PERIOD_BROKER_VALUE","DEEP_MEASURE_ID_OVERRIDE",$C285,"DEEP_BROKER_ID_OVERRIDE",$F$7,"DEEP_PERIOD_OVERRIDE",AC$11)*1,"")))</f>
        <v/>
      </c>
      <c r="AD285" s="17" t="str">
        <f>IF(ISNA($B285),"",IF($B285="","",IFERROR(_xll.BDP(TICKER,"DEEP_MEASURE_PERIOD_BROKER_VALUE","DEEP_MEASURE_ID_OVERRIDE",$C285,"DEEP_BROKER_ID_OVERRIDE",$F$7,"DEEP_PERIOD_OVERRIDE",AD$11)*1,"")))</f>
        <v/>
      </c>
      <c r="AE285" s="17" t="str">
        <f>IF(ISNA($B285),"",IF($B285="","",IFERROR(_xll.BDP(TICKER,"DEEP_MEASURE_PERIOD_BROKER_VALUE","DEEP_MEASURE_ID_OVERRIDE",$C285,"DEEP_BROKER_ID_OVERRIDE",$F$7,"DEEP_PERIOD_OVERRIDE",AE$11)*1,"")))</f>
        <v/>
      </c>
      <c r="AF285" s="17" t="str">
        <f>IF(ISNA($B285),"",IF($B285="","",IFERROR(_xll.BDP(TICKER,"DEEP_MEASURE_PERIOD_BROKER_VALUE","DEEP_MEASURE_ID_OVERRIDE",$C285,"DEEP_BROKER_ID_OVERRIDE",$F$7,"DEEP_PERIOD_OVERRIDE",AF$11)*1,"")))</f>
        <v/>
      </c>
      <c r="AG285" s="17" t="str">
        <f>IF(ISNA($B285),"",IF($B285="","",IFERROR(_xll.BDP(TICKER,"DEEP_MEASURE_PERIOD_BROKER_VALUE","DEEP_MEASURE_ID_OVERRIDE",$C285,"DEEP_BROKER_ID_OVERRIDE",$F$7,"DEEP_PERIOD_OVERRIDE",AG$11)*1,"")))</f>
        <v/>
      </c>
      <c r="AH285" s="17" t="str">
        <f>IF(ISNA($B285),"",IF($B285="","",IFERROR(_xll.BDP(TICKER,"DEEP_MEASURE_PERIOD_BROKER_VALUE","DEEP_MEASURE_ID_OVERRIDE",$C285,"DEEP_BROKER_ID_OVERRIDE",$F$7,"DEEP_PERIOD_OVERRIDE",AH$11)*1,"")))</f>
        <v/>
      </c>
      <c r="AI285" s="17" t="str">
        <f>IF(ISNA($B285),"",IF($B285="","",IFERROR(_xll.BDP(TICKER,"DEEP_MEASURE_PERIOD_BROKER_VALUE","DEEP_MEASURE_ID_OVERRIDE",$C285,"DEEP_BROKER_ID_OVERRIDE",$F$7,"DEEP_PERIOD_OVERRIDE",AI$11)*1,"")))</f>
        <v/>
      </c>
      <c r="AJ285" s="17" t="str">
        <f>IF(ISNA($B285),"",IF($B285="","",IFERROR(_xll.BDP(TICKER,"DEEP_MEASURE_PERIOD_BROKER_VALUE","DEEP_MEASURE_ID_OVERRIDE",$C285,"DEEP_BROKER_ID_OVERRIDE",$F$7,"DEEP_PERIOD_OVERRIDE",AJ$11)*1,"")))</f>
        <v/>
      </c>
      <c r="AK285" s="17" t="str">
        <f>IF(ISNA($B285),"",IF($B285="","",IFERROR(_xll.BDP(TICKER,"DEEP_MEASURE_PERIOD_BROKER_VALUE","DEEP_MEASURE_ID_OVERRIDE",$C285,"DEEP_BROKER_ID_OVERRIDE",$F$7,"DEEP_PERIOD_OVERRIDE",AK$11)*1,"")))</f>
        <v/>
      </c>
      <c r="AL285" s="17" t="str">
        <f>IF(ISNA($B285),"",IF($B285="","",IFERROR(_xll.BDP(TICKER,"DEEP_MEASURE_PERIOD_BROKER_VALUE","DEEP_MEASURE_ID_OVERRIDE",$C285,"DEEP_BROKER_ID_OVERRIDE",$F$7,"DEEP_PERIOD_OVERRIDE",AL$11)*1,"")))</f>
        <v/>
      </c>
      <c r="AM285" s="17" t="str">
        <f>IF(ISNA($B285),"",IF($B285="","",IFERROR(_xll.BDP(TICKER,"DEEP_MEASURE_PERIOD_BROKER_VALUE","DEEP_MEASURE_ID_OVERRIDE",$C285,"DEEP_BROKER_ID_OVERRIDE",$F$7,"DEEP_PERIOD_OVERRIDE",AM$11)*1,"")))</f>
        <v/>
      </c>
      <c r="AN285" s="17" t="str">
        <f>IF(ISNA($B285),"",IF($B285="","",IFERROR(_xll.BDP(TICKER,"DEEP_MEASURE_PERIOD_BROKER_VALUE","DEEP_MEASURE_ID_OVERRIDE",$C285,"DEEP_BROKER_ID_OVERRIDE",$F$7,"DEEP_PERIOD_OVERRIDE",AN$11)*1,"")))</f>
        <v/>
      </c>
      <c r="AO285" s="17" t="str">
        <f>IF(ISNA($B285),"",IF($B285="","",IFERROR(_xll.BDP(TICKER,"DEEP_MEASURE_PERIOD_BROKER_VALUE","DEEP_MEASURE_ID_OVERRIDE",$C285,"DEEP_BROKER_ID_OVERRIDE",$F$7,"DEEP_PERIOD_OVERRIDE",AO$11)*1,"")))</f>
        <v/>
      </c>
      <c r="AP285" s="17" t="str">
        <f>IF(ISNA($B285),"",IF($B285="","",IFERROR(_xll.BDP(TICKER,"DEEP_MEASURE_PERIOD_BROKER_VALUE","DEEP_MEASURE_ID_OVERRIDE",$C285,"DEEP_BROKER_ID_OVERRIDE",$F$7,"DEEP_PERIOD_OVERRIDE",AP$11)*1,"")))</f>
        <v/>
      </c>
      <c r="AQ285" s="17" t="str">
        <f>IF(ISNA($B285),"",IF($B285="","",IFERROR(_xll.BDP(TICKER,"DEEP_MEASURE_PERIOD_BROKER_VALUE","DEEP_MEASURE_ID_OVERRIDE",$C285,"DEEP_BROKER_ID_OVERRIDE",$F$7,"DEEP_PERIOD_OVERRIDE",AQ$11)*1,"")))</f>
        <v/>
      </c>
    </row>
    <row r="286" spans="8:43" x14ac:dyDescent="0.25">
      <c r="H286" t="str">
        <f t="shared" si="6"/>
        <v/>
      </c>
      <c r="I286" s="17" t="str">
        <f>IF(ISNA($B286),"",IF($B286="","",IFERROR(_xll.BDP(TICKER,"DEEP_MEASURE_PERIOD_BROKER_VALUE","DEEP_MEASURE_ID_OVERRIDE",$C286,"DEEP_BROKER_ID_OVERRIDE",$F$7,"DEEP_PERIOD_OVERRIDE",I$11)*1,"")))</f>
        <v/>
      </c>
      <c r="J286" s="17" t="str">
        <f>IF(ISNA($B286),"",IF($B286="","",IFERROR(_xll.BDP(TICKER,"DEEP_MEASURE_PERIOD_BROKER_VALUE","DEEP_MEASURE_ID_OVERRIDE",$C286,"DEEP_BROKER_ID_OVERRIDE",$F$7,"DEEP_PERIOD_OVERRIDE",J$11)*1,"")))</f>
        <v/>
      </c>
      <c r="K286" s="17" t="str">
        <f>IF(ISNA($B286),"",IF($B286="","",IFERROR(_xll.BDP(TICKER,"DEEP_MEASURE_PERIOD_BROKER_VALUE","DEEP_MEASURE_ID_OVERRIDE",$C286,"DEEP_BROKER_ID_OVERRIDE",$F$7,"DEEP_PERIOD_OVERRIDE",K$11)*1,"")))</f>
        <v/>
      </c>
      <c r="L286" s="17" t="str">
        <f>IF(ISNA($B286),"",IF($B286="","",IFERROR(_xll.BDP(TICKER,"DEEP_MEASURE_PERIOD_BROKER_VALUE","DEEP_MEASURE_ID_OVERRIDE",$C286,"DEEP_BROKER_ID_OVERRIDE",$F$7,"DEEP_PERIOD_OVERRIDE",L$11)*1,"")))</f>
        <v/>
      </c>
      <c r="M286" s="17" t="str">
        <f>IF(ISNA($B286),"",IF($B286="","",IFERROR(_xll.BDP(TICKER,"DEEP_MEASURE_PERIOD_BROKER_VALUE","DEEP_MEASURE_ID_OVERRIDE",$C286,"DEEP_BROKER_ID_OVERRIDE",$F$7,"DEEP_PERIOD_OVERRIDE",M$11)*1,"")))</f>
        <v/>
      </c>
      <c r="N286" s="17" t="str">
        <f>IF(ISNA($B286),"",IF($B286="","",IFERROR(_xll.BDP(TICKER,"DEEP_MEASURE_PERIOD_BROKER_VALUE","DEEP_MEASURE_ID_OVERRIDE",$C286,"DEEP_BROKER_ID_OVERRIDE",$F$7,"DEEP_PERIOD_OVERRIDE",N$11)*1,"")))</f>
        <v/>
      </c>
      <c r="O286" s="17" t="str">
        <f>IF(ISNA($B286),"",IF($B286="","",IFERROR(_xll.BDP(TICKER,"DEEP_MEASURE_PERIOD_BROKER_VALUE","DEEP_MEASURE_ID_OVERRIDE",$C286,"DEEP_BROKER_ID_OVERRIDE",$F$7,"DEEP_PERIOD_OVERRIDE",O$11)*1,"")))</f>
        <v/>
      </c>
      <c r="P286" s="17" t="str">
        <f>IF(ISNA($B286),"",IF($B286="","",IFERROR(_xll.BDP(TICKER,"DEEP_MEASURE_PERIOD_BROKER_VALUE","DEEP_MEASURE_ID_OVERRIDE",$C286,"DEEP_BROKER_ID_OVERRIDE",$F$7,"DEEP_PERIOD_OVERRIDE",P$11)*1,"")))</f>
        <v/>
      </c>
      <c r="Q286" s="17" t="str">
        <f>IF(ISNA($B286),"",IF($B286="","",IFERROR(_xll.BDP(TICKER,"DEEP_MEASURE_PERIOD_BROKER_VALUE","DEEP_MEASURE_ID_OVERRIDE",$C286,"DEEP_BROKER_ID_OVERRIDE",$F$7,"DEEP_PERIOD_OVERRIDE",Q$11)*1,"")))</f>
        <v/>
      </c>
      <c r="R286" s="17" t="str">
        <f>IF(ISNA($B286),"",IF($B286="","",IFERROR(_xll.BDP(TICKER,"DEEP_MEASURE_PERIOD_BROKER_VALUE","DEEP_MEASURE_ID_OVERRIDE",$C286,"DEEP_BROKER_ID_OVERRIDE",$F$7,"DEEP_PERIOD_OVERRIDE",R$11)*1,"")))</f>
        <v/>
      </c>
      <c r="S286" s="17" t="str">
        <f>IF(ISNA($B286),"",IF($B286="","",IFERROR(_xll.BDP(TICKER,"DEEP_MEASURE_PERIOD_BROKER_VALUE","DEEP_MEASURE_ID_OVERRIDE",$C286,"DEEP_BROKER_ID_OVERRIDE",$F$7,"DEEP_PERIOD_OVERRIDE",S$11)*1,"")))</f>
        <v/>
      </c>
      <c r="T286" s="17" t="str">
        <f>IF(ISNA($B286),"",IF($B286="","",IFERROR(_xll.BDP(TICKER,"DEEP_MEASURE_PERIOD_BROKER_VALUE","DEEP_MEASURE_ID_OVERRIDE",$C286,"DEEP_BROKER_ID_OVERRIDE",$F$7,"DEEP_PERIOD_OVERRIDE",T$11)*1,"")))</f>
        <v/>
      </c>
      <c r="U286" s="17" t="str">
        <f>IF(ISNA($B286),"",IF($B286="","",IFERROR(_xll.BDP(TICKER,"DEEP_MEASURE_PERIOD_BROKER_VALUE","DEEP_MEASURE_ID_OVERRIDE",$C286,"DEEP_BROKER_ID_OVERRIDE",$F$7,"DEEP_PERIOD_OVERRIDE",U$11)*1,"")))</f>
        <v/>
      </c>
      <c r="V286" s="17" t="str">
        <f>IF(ISNA($B286),"",IF($B286="","",IFERROR(_xll.BDP(TICKER,"DEEP_MEASURE_PERIOD_BROKER_VALUE","DEEP_MEASURE_ID_OVERRIDE",$C286,"DEEP_BROKER_ID_OVERRIDE",$F$7,"DEEP_PERIOD_OVERRIDE",V$11)*1,"")))</f>
        <v/>
      </c>
      <c r="W286" s="17" t="str">
        <f>IF(ISNA($B286),"",IF($B286="","",IFERROR(_xll.BDP(TICKER,"DEEP_MEASURE_PERIOD_BROKER_VALUE","DEEP_MEASURE_ID_OVERRIDE",$C286,"DEEP_BROKER_ID_OVERRIDE",$F$7,"DEEP_PERIOD_OVERRIDE",W$11)*1,"")))</f>
        <v/>
      </c>
      <c r="X286" s="17" t="str">
        <f>IF(ISNA($B286),"",IF($B286="","",IFERROR(_xll.BDP(TICKER,"DEEP_MEASURE_PERIOD_BROKER_VALUE","DEEP_MEASURE_ID_OVERRIDE",$C286,"DEEP_BROKER_ID_OVERRIDE",$F$7,"DEEP_PERIOD_OVERRIDE",X$11)*1,"")))</f>
        <v/>
      </c>
      <c r="Y286" s="17" t="str">
        <f>IF(ISNA($B286),"",IF($B286="","",IFERROR(_xll.BDP(TICKER,"DEEP_MEASURE_PERIOD_BROKER_VALUE","DEEP_MEASURE_ID_OVERRIDE",$C286,"DEEP_BROKER_ID_OVERRIDE",$F$7,"DEEP_PERIOD_OVERRIDE",Y$11)*1,"")))</f>
        <v/>
      </c>
      <c r="Z286" s="17" t="str">
        <f>IF(ISNA($B286),"",IF($B286="","",IFERROR(_xll.BDP(TICKER,"DEEP_MEASURE_PERIOD_BROKER_VALUE","DEEP_MEASURE_ID_OVERRIDE",$C286,"DEEP_BROKER_ID_OVERRIDE",$F$7,"DEEP_PERIOD_OVERRIDE",Z$11)*1,"")))</f>
        <v/>
      </c>
      <c r="AA286" s="17" t="str">
        <f>IF(ISNA($B286),"",IF($B286="","",IFERROR(_xll.BDP(TICKER,"DEEP_MEASURE_PERIOD_BROKER_VALUE","DEEP_MEASURE_ID_OVERRIDE",$C286,"DEEP_BROKER_ID_OVERRIDE",$F$7,"DEEP_PERIOD_OVERRIDE",AA$11)*1,"")))</f>
        <v/>
      </c>
      <c r="AB286" s="17" t="str">
        <f>IF(ISNA($B286),"",IF($B286="","",IFERROR(_xll.BDP(TICKER,"DEEP_MEASURE_PERIOD_BROKER_VALUE","DEEP_MEASURE_ID_OVERRIDE",$C286,"DEEP_BROKER_ID_OVERRIDE",$F$7,"DEEP_PERIOD_OVERRIDE",AB$11)*1,"")))</f>
        <v/>
      </c>
      <c r="AC286" s="17" t="str">
        <f>IF(ISNA($B286),"",IF($B286="","",IFERROR(_xll.BDP(TICKER,"DEEP_MEASURE_PERIOD_BROKER_VALUE","DEEP_MEASURE_ID_OVERRIDE",$C286,"DEEP_BROKER_ID_OVERRIDE",$F$7,"DEEP_PERIOD_OVERRIDE",AC$11)*1,"")))</f>
        <v/>
      </c>
      <c r="AD286" s="17" t="str">
        <f>IF(ISNA($B286),"",IF($B286="","",IFERROR(_xll.BDP(TICKER,"DEEP_MEASURE_PERIOD_BROKER_VALUE","DEEP_MEASURE_ID_OVERRIDE",$C286,"DEEP_BROKER_ID_OVERRIDE",$F$7,"DEEP_PERIOD_OVERRIDE",AD$11)*1,"")))</f>
        <v/>
      </c>
      <c r="AE286" s="17" t="str">
        <f>IF(ISNA($B286),"",IF($B286="","",IFERROR(_xll.BDP(TICKER,"DEEP_MEASURE_PERIOD_BROKER_VALUE","DEEP_MEASURE_ID_OVERRIDE",$C286,"DEEP_BROKER_ID_OVERRIDE",$F$7,"DEEP_PERIOD_OVERRIDE",AE$11)*1,"")))</f>
        <v/>
      </c>
      <c r="AF286" s="17" t="str">
        <f>IF(ISNA($B286),"",IF($B286="","",IFERROR(_xll.BDP(TICKER,"DEEP_MEASURE_PERIOD_BROKER_VALUE","DEEP_MEASURE_ID_OVERRIDE",$C286,"DEEP_BROKER_ID_OVERRIDE",$F$7,"DEEP_PERIOD_OVERRIDE",AF$11)*1,"")))</f>
        <v/>
      </c>
      <c r="AG286" s="17" t="str">
        <f>IF(ISNA($B286),"",IF($B286="","",IFERROR(_xll.BDP(TICKER,"DEEP_MEASURE_PERIOD_BROKER_VALUE","DEEP_MEASURE_ID_OVERRIDE",$C286,"DEEP_BROKER_ID_OVERRIDE",$F$7,"DEEP_PERIOD_OVERRIDE",AG$11)*1,"")))</f>
        <v/>
      </c>
      <c r="AH286" s="17" t="str">
        <f>IF(ISNA($B286),"",IF($B286="","",IFERROR(_xll.BDP(TICKER,"DEEP_MEASURE_PERIOD_BROKER_VALUE","DEEP_MEASURE_ID_OVERRIDE",$C286,"DEEP_BROKER_ID_OVERRIDE",$F$7,"DEEP_PERIOD_OVERRIDE",AH$11)*1,"")))</f>
        <v/>
      </c>
      <c r="AI286" s="17" t="str">
        <f>IF(ISNA($B286),"",IF($B286="","",IFERROR(_xll.BDP(TICKER,"DEEP_MEASURE_PERIOD_BROKER_VALUE","DEEP_MEASURE_ID_OVERRIDE",$C286,"DEEP_BROKER_ID_OVERRIDE",$F$7,"DEEP_PERIOD_OVERRIDE",AI$11)*1,"")))</f>
        <v/>
      </c>
      <c r="AJ286" s="17" t="str">
        <f>IF(ISNA($B286),"",IF($B286="","",IFERROR(_xll.BDP(TICKER,"DEEP_MEASURE_PERIOD_BROKER_VALUE","DEEP_MEASURE_ID_OVERRIDE",$C286,"DEEP_BROKER_ID_OVERRIDE",$F$7,"DEEP_PERIOD_OVERRIDE",AJ$11)*1,"")))</f>
        <v/>
      </c>
      <c r="AK286" s="17" t="str">
        <f>IF(ISNA($B286),"",IF($B286="","",IFERROR(_xll.BDP(TICKER,"DEEP_MEASURE_PERIOD_BROKER_VALUE","DEEP_MEASURE_ID_OVERRIDE",$C286,"DEEP_BROKER_ID_OVERRIDE",$F$7,"DEEP_PERIOD_OVERRIDE",AK$11)*1,"")))</f>
        <v/>
      </c>
      <c r="AL286" s="17" t="str">
        <f>IF(ISNA($B286),"",IF($B286="","",IFERROR(_xll.BDP(TICKER,"DEEP_MEASURE_PERIOD_BROKER_VALUE","DEEP_MEASURE_ID_OVERRIDE",$C286,"DEEP_BROKER_ID_OVERRIDE",$F$7,"DEEP_PERIOD_OVERRIDE",AL$11)*1,"")))</f>
        <v/>
      </c>
      <c r="AM286" s="17" t="str">
        <f>IF(ISNA($B286),"",IF($B286="","",IFERROR(_xll.BDP(TICKER,"DEEP_MEASURE_PERIOD_BROKER_VALUE","DEEP_MEASURE_ID_OVERRIDE",$C286,"DEEP_BROKER_ID_OVERRIDE",$F$7,"DEEP_PERIOD_OVERRIDE",AM$11)*1,"")))</f>
        <v/>
      </c>
      <c r="AN286" s="17" t="str">
        <f>IF(ISNA($B286),"",IF($B286="","",IFERROR(_xll.BDP(TICKER,"DEEP_MEASURE_PERIOD_BROKER_VALUE","DEEP_MEASURE_ID_OVERRIDE",$C286,"DEEP_BROKER_ID_OVERRIDE",$F$7,"DEEP_PERIOD_OVERRIDE",AN$11)*1,"")))</f>
        <v/>
      </c>
      <c r="AO286" s="17" t="str">
        <f>IF(ISNA($B286),"",IF($B286="","",IFERROR(_xll.BDP(TICKER,"DEEP_MEASURE_PERIOD_BROKER_VALUE","DEEP_MEASURE_ID_OVERRIDE",$C286,"DEEP_BROKER_ID_OVERRIDE",$F$7,"DEEP_PERIOD_OVERRIDE",AO$11)*1,"")))</f>
        <v/>
      </c>
      <c r="AP286" s="17" t="str">
        <f>IF(ISNA($B286),"",IF($B286="","",IFERROR(_xll.BDP(TICKER,"DEEP_MEASURE_PERIOD_BROKER_VALUE","DEEP_MEASURE_ID_OVERRIDE",$C286,"DEEP_BROKER_ID_OVERRIDE",$F$7,"DEEP_PERIOD_OVERRIDE",AP$11)*1,"")))</f>
        <v/>
      </c>
      <c r="AQ286" s="17" t="str">
        <f>IF(ISNA($B286),"",IF($B286="","",IFERROR(_xll.BDP(TICKER,"DEEP_MEASURE_PERIOD_BROKER_VALUE","DEEP_MEASURE_ID_OVERRIDE",$C286,"DEEP_BROKER_ID_OVERRIDE",$F$7,"DEEP_PERIOD_OVERRIDE",AQ$11)*1,"")))</f>
        <v/>
      </c>
    </row>
    <row r="287" spans="8:43" x14ac:dyDescent="0.25">
      <c r="H287" t="str">
        <f t="shared" si="6"/>
        <v/>
      </c>
      <c r="I287" s="17" t="str">
        <f>IF(ISNA($B287),"",IF($B287="","",IFERROR(_xll.BDP(TICKER,"DEEP_MEASURE_PERIOD_BROKER_VALUE","DEEP_MEASURE_ID_OVERRIDE",$C287,"DEEP_BROKER_ID_OVERRIDE",$F$7,"DEEP_PERIOD_OVERRIDE",I$11)*1,"")))</f>
        <v/>
      </c>
      <c r="J287" s="17" t="str">
        <f>IF(ISNA($B287),"",IF($B287="","",IFERROR(_xll.BDP(TICKER,"DEEP_MEASURE_PERIOD_BROKER_VALUE","DEEP_MEASURE_ID_OVERRIDE",$C287,"DEEP_BROKER_ID_OVERRIDE",$F$7,"DEEP_PERIOD_OVERRIDE",J$11)*1,"")))</f>
        <v/>
      </c>
      <c r="K287" s="17" t="str">
        <f>IF(ISNA($B287),"",IF($B287="","",IFERROR(_xll.BDP(TICKER,"DEEP_MEASURE_PERIOD_BROKER_VALUE","DEEP_MEASURE_ID_OVERRIDE",$C287,"DEEP_BROKER_ID_OVERRIDE",$F$7,"DEEP_PERIOD_OVERRIDE",K$11)*1,"")))</f>
        <v/>
      </c>
      <c r="L287" s="17" t="str">
        <f>IF(ISNA($B287),"",IF($B287="","",IFERROR(_xll.BDP(TICKER,"DEEP_MEASURE_PERIOD_BROKER_VALUE","DEEP_MEASURE_ID_OVERRIDE",$C287,"DEEP_BROKER_ID_OVERRIDE",$F$7,"DEEP_PERIOD_OVERRIDE",L$11)*1,"")))</f>
        <v/>
      </c>
      <c r="M287" s="17" t="str">
        <f>IF(ISNA($B287),"",IF($B287="","",IFERROR(_xll.BDP(TICKER,"DEEP_MEASURE_PERIOD_BROKER_VALUE","DEEP_MEASURE_ID_OVERRIDE",$C287,"DEEP_BROKER_ID_OVERRIDE",$F$7,"DEEP_PERIOD_OVERRIDE",M$11)*1,"")))</f>
        <v/>
      </c>
      <c r="N287" s="17" t="str">
        <f>IF(ISNA($B287),"",IF($B287="","",IFERROR(_xll.BDP(TICKER,"DEEP_MEASURE_PERIOD_BROKER_VALUE","DEEP_MEASURE_ID_OVERRIDE",$C287,"DEEP_BROKER_ID_OVERRIDE",$F$7,"DEEP_PERIOD_OVERRIDE",N$11)*1,"")))</f>
        <v/>
      </c>
      <c r="O287" s="17" t="str">
        <f>IF(ISNA($B287),"",IF($B287="","",IFERROR(_xll.BDP(TICKER,"DEEP_MEASURE_PERIOD_BROKER_VALUE","DEEP_MEASURE_ID_OVERRIDE",$C287,"DEEP_BROKER_ID_OVERRIDE",$F$7,"DEEP_PERIOD_OVERRIDE",O$11)*1,"")))</f>
        <v/>
      </c>
      <c r="P287" s="17" t="str">
        <f>IF(ISNA($B287),"",IF($B287="","",IFERROR(_xll.BDP(TICKER,"DEEP_MEASURE_PERIOD_BROKER_VALUE","DEEP_MEASURE_ID_OVERRIDE",$C287,"DEEP_BROKER_ID_OVERRIDE",$F$7,"DEEP_PERIOD_OVERRIDE",P$11)*1,"")))</f>
        <v/>
      </c>
      <c r="Q287" s="17" t="str">
        <f>IF(ISNA($B287),"",IF($B287="","",IFERROR(_xll.BDP(TICKER,"DEEP_MEASURE_PERIOD_BROKER_VALUE","DEEP_MEASURE_ID_OVERRIDE",$C287,"DEEP_BROKER_ID_OVERRIDE",$F$7,"DEEP_PERIOD_OVERRIDE",Q$11)*1,"")))</f>
        <v/>
      </c>
      <c r="R287" s="17" t="str">
        <f>IF(ISNA($B287),"",IF($B287="","",IFERROR(_xll.BDP(TICKER,"DEEP_MEASURE_PERIOD_BROKER_VALUE","DEEP_MEASURE_ID_OVERRIDE",$C287,"DEEP_BROKER_ID_OVERRIDE",$F$7,"DEEP_PERIOD_OVERRIDE",R$11)*1,"")))</f>
        <v/>
      </c>
      <c r="S287" s="17" t="str">
        <f>IF(ISNA($B287),"",IF($B287="","",IFERROR(_xll.BDP(TICKER,"DEEP_MEASURE_PERIOD_BROKER_VALUE","DEEP_MEASURE_ID_OVERRIDE",$C287,"DEEP_BROKER_ID_OVERRIDE",$F$7,"DEEP_PERIOD_OVERRIDE",S$11)*1,"")))</f>
        <v/>
      </c>
      <c r="T287" s="17" t="str">
        <f>IF(ISNA($B287),"",IF($B287="","",IFERROR(_xll.BDP(TICKER,"DEEP_MEASURE_PERIOD_BROKER_VALUE","DEEP_MEASURE_ID_OVERRIDE",$C287,"DEEP_BROKER_ID_OVERRIDE",$F$7,"DEEP_PERIOD_OVERRIDE",T$11)*1,"")))</f>
        <v/>
      </c>
      <c r="U287" s="17" t="str">
        <f>IF(ISNA($B287),"",IF($B287="","",IFERROR(_xll.BDP(TICKER,"DEEP_MEASURE_PERIOD_BROKER_VALUE","DEEP_MEASURE_ID_OVERRIDE",$C287,"DEEP_BROKER_ID_OVERRIDE",$F$7,"DEEP_PERIOD_OVERRIDE",U$11)*1,"")))</f>
        <v/>
      </c>
      <c r="V287" s="17" t="str">
        <f>IF(ISNA($B287),"",IF($B287="","",IFERROR(_xll.BDP(TICKER,"DEEP_MEASURE_PERIOD_BROKER_VALUE","DEEP_MEASURE_ID_OVERRIDE",$C287,"DEEP_BROKER_ID_OVERRIDE",$F$7,"DEEP_PERIOD_OVERRIDE",V$11)*1,"")))</f>
        <v/>
      </c>
      <c r="W287" s="17" t="str">
        <f>IF(ISNA($B287),"",IF($B287="","",IFERROR(_xll.BDP(TICKER,"DEEP_MEASURE_PERIOD_BROKER_VALUE","DEEP_MEASURE_ID_OVERRIDE",$C287,"DEEP_BROKER_ID_OVERRIDE",$F$7,"DEEP_PERIOD_OVERRIDE",W$11)*1,"")))</f>
        <v/>
      </c>
      <c r="X287" s="17" t="str">
        <f>IF(ISNA($B287),"",IF($B287="","",IFERROR(_xll.BDP(TICKER,"DEEP_MEASURE_PERIOD_BROKER_VALUE","DEEP_MEASURE_ID_OVERRIDE",$C287,"DEEP_BROKER_ID_OVERRIDE",$F$7,"DEEP_PERIOD_OVERRIDE",X$11)*1,"")))</f>
        <v/>
      </c>
      <c r="Y287" s="17" t="str">
        <f>IF(ISNA($B287),"",IF($B287="","",IFERROR(_xll.BDP(TICKER,"DEEP_MEASURE_PERIOD_BROKER_VALUE","DEEP_MEASURE_ID_OVERRIDE",$C287,"DEEP_BROKER_ID_OVERRIDE",$F$7,"DEEP_PERIOD_OVERRIDE",Y$11)*1,"")))</f>
        <v/>
      </c>
      <c r="Z287" s="17" t="str">
        <f>IF(ISNA($B287),"",IF($B287="","",IFERROR(_xll.BDP(TICKER,"DEEP_MEASURE_PERIOD_BROKER_VALUE","DEEP_MEASURE_ID_OVERRIDE",$C287,"DEEP_BROKER_ID_OVERRIDE",$F$7,"DEEP_PERIOD_OVERRIDE",Z$11)*1,"")))</f>
        <v/>
      </c>
      <c r="AA287" s="17" t="str">
        <f>IF(ISNA($B287),"",IF($B287="","",IFERROR(_xll.BDP(TICKER,"DEEP_MEASURE_PERIOD_BROKER_VALUE","DEEP_MEASURE_ID_OVERRIDE",$C287,"DEEP_BROKER_ID_OVERRIDE",$F$7,"DEEP_PERIOD_OVERRIDE",AA$11)*1,"")))</f>
        <v/>
      </c>
      <c r="AB287" s="17" t="str">
        <f>IF(ISNA($B287),"",IF($B287="","",IFERROR(_xll.BDP(TICKER,"DEEP_MEASURE_PERIOD_BROKER_VALUE","DEEP_MEASURE_ID_OVERRIDE",$C287,"DEEP_BROKER_ID_OVERRIDE",$F$7,"DEEP_PERIOD_OVERRIDE",AB$11)*1,"")))</f>
        <v/>
      </c>
      <c r="AC287" s="17" t="str">
        <f>IF(ISNA($B287),"",IF($B287="","",IFERROR(_xll.BDP(TICKER,"DEEP_MEASURE_PERIOD_BROKER_VALUE","DEEP_MEASURE_ID_OVERRIDE",$C287,"DEEP_BROKER_ID_OVERRIDE",$F$7,"DEEP_PERIOD_OVERRIDE",AC$11)*1,"")))</f>
        <v/>
      </c>
      <c r="AD287" s="17" t="str">
        <f>IF(ISNA($B287),"",IF($B287="","",IFERROR(_xll.BDP(TICKER,"DEEP_MEASURE_PERIOD_BROKER_VALUE","DEEP_MEASURE_ID_OVERRIDE",$C287,"DEEP_BROKER_ID_OVERRIDE",$F$7,"DEEP_PERIOD_OVERRIDE",AD$11)*1,"")))</f>
        <v/>
      </c>
      <c r="AE287" s="17" t="str">
        <f>IF(ISNA($B287),"",IF($B287="","",IFERROR(_xll.BDP(TICKER,"DEEP_MEASURE_PERIOD_BROKER_VALUE","DEEP_MEASURE_ID_OVERRIDE",$C287,"DEEP_BROKER_ID_OVERRIDE",$F$7,"DEEP_PERIOD_OVERRIDE",AE$11)*1,"")))</f>
        <v/>
      </c>
      <c r="AF287" s="17" t="str">
        <f>IF(ISNA($B287),"",IF($B287="","",IFERROR(_xll.BDP(TICKER,"DEEP_MEASURE_PERIOD_BROKER_VALUE","DEEP_MEASURE_ID_OVERRIDE",$C287,"DEEP_BROKER_ID_OVERRIDE",$F$7,"DEEP_PERIOD_OVERRIDE",AF$11)*1,"")))</f>
        <v/>
      </c>
      <c r="AG287" s="17" t="str">
        <f>IF(ISNA($B287),"",IF($B287="","",IFERROR(_xll.BDP(TICKER,"DEEP_MEASURE_PERIOD_BROKER_VALUE","DEEP_MEASURE_ID_OVERRIDE",$C287,"DEEP_BROKER_ID_OVERRIDE",$F$7,"DEEP_PERIOD_OVERRIDE",AG$11)*1,"")))</f>
        <v/>
      </c>
      <c r="AH287" s="17" t="str">
        <f>IF(ISNA($B287),"",IF($B287="","",IFERROR(_xll.BDP(TICKER,"DEEP_MEASURE_PERIOD_BROKER_VALUE","DEEP_MEASURE_ID_OVERRIDE",$C287,"DEEP_BROKER_ID_OVERRIDE",$F$7,"DEEP_PERIOD_OVERRIDE",AH$11)*1,"")))</f>
        <v/>
      </c>
      <c r="AI287" s="17" t="str">
        <f>IF(ISNA($B287),"",IF($B287="","",IFERROR(_xll.BDP(TICKER,"DEEP_MEASURE_PERIOD_BROKER_VALUE","DEEP_MEASURE_ID_OVERRIDE",$C287,"DEEP_BROKER_ID_OVERRIDE",$F$7,"DEEP_PERIOD_OVERRIDE",AI$11)*1,"")))</f>
        <v/>
      </c>
      <c r="AJ287" s="17" t="str">
        <f>IF(ISNA($B287),"",IF($B287="","",IFERROR(_xll.BDP(TICKER,"DEEP_MEASURE_PERIOD_BROKER_VALUE","DEEP_MEASURE_ID_OVERRIDE",$C287,"DEEP_BROKER_ID_OVERRIDE",$F$7,"DEEP_PERIOD_OVERRIDE",AJ$11)*1,"")))</f>
        <v/>
      </c>
      <c r="AK287" s="17" t="str">
        <f>IF(ISNA($B287),"",IF($B287="","",IFERROR(_xll.BDP(TICKER,"DEEP_MEASURE_PERIOD_BROKER_VALUE","DEEP_MEASURE_ID_OVERRIDE",$C287,"DEEP_BROKER_ID_OVERRIDE",$F$7,"DEEP_PERIOD_OVERRIDE",AK$11)*1,"")))</f>
        <v/>
      </c>
      <c r="AL287" s="17" t="str">
        <f>IF(ISNA($B287),"",IF($B287="","",IFERROR(_xll.BDP(TICKER,"DEEP_MEASURE_PERIOD_BROKER_VALUE","DEEP_MEASURE_ID_OVERRIDE",$C287,"DEEP_BROKER_ID_OVERRIDE",$F$7,"DEEP_PERIOD_OVERRIDE",AL$11)*1,"")))</f>
        <v/>
      </c>
      <c r="AM287" s="17" t="str">
        <f>IF(ISNA($B287),"",IF($B287="","",IFERROR(_xll.BDP(TICKER,"DEEP_MEASURE_PERIOD_BROKER_VALUE","DEEP_MEASURE_ID_OVERRIDE",$C287,"DEEP_BROKER_ID_OVERRIDE",$F$7,"DEEP_PERIOD_OVERRIDE",AM$11)*1,"")))</f>
        <v/>
      </c>
      <c r="AN287" s="17" t="str">
        <f>IF(ISNA($B287),"",IF($B287="","",IFERROR(_xll.BDP(TICKER,"DEEP_MEASURE_PERIOD_BROKER_VALUE","DEEP_MEASURE_ID_OVERRIDE",$C287,"DEEP_BROKER_ID_OVERRIDE",$F$7,"DEEP_PERIOD_OVERRIDE",AN$11)*1,"")))</f>
        <v/>
      </c>
      <c r="AO287" s="17" t="str">
        <f>IF(ISNA($B287),"",IF($B287="","",IFERROR(_xll.BDP(TICKER,"DEEP_MEASURE_PERIOD_BROKER_VALUE","DEEP_MEASURE_ID_OVERRIDE",$C287,"DEEP_BROKER_ID_OVERRIDE",$F$7,"DEEP_PERIOD_OVERRIDE",AO$11)*1,"")))</f>
        <v/>
      </c>
      <c r="AP287" s="17" t="str">
        <f>IF(ISNA($B287),"",IF($B287="","",IFERROR(_xll.BDP(TICKER,"DEEP_MEASURE_PERIOD_BROKER_VALUE","DEEP_MEASURE_ID_OVERRIDE",$C287,"DEEP_BROKER_ID_OVERRIDE",$F$7,"DEEP_PERIOD_OVERRIDE",AP$11)*1,"")))</f>
        <v/>
      </c>
      <c r="AQ287" s="17" t="str">
        <f>IF(ISNA($B287),"",IF($B287="","",IFERROR(_xll.BDP(TICKER,"DEEP_MEASURE_PERIOD_BROKER_VALUE","DEEP_MEASURE_ID_OVERRIDE",$C287,"DEEP_BROKER_ID_OVERRIDE",$F$7,"DEEP_PERIOD_OVERRIDE",AQ$11)*1,"")))</f>
        <v/>
      </c>
    </row>
    <row r="288" spans="8:43" x14ac:dyDescent="0.25">
      <c r="H288" t="str">
        <f t="shared" si="6"/>
        <v/>
      </c>
      <c r="I288" s="17" t="str">
        <f>IF(ISNA($B288),"",IF($B288="","",IFERROR(_xll.BDP(TICKER,"DEEP_MEASURE_PERIOD_BROKER_VALUE","DEEP_MEASURE_ID_OVERRIDE",$C288,"DEEP_BROKER_ID_OVERRIDE",$F$7,"DEEP_PERIOD_OVERRIDE",I$11)*1,"")))</f>
        <v/>
      </c>
      <c r="J288" s="17" t="str">
        <f>IF(ISNA($B288),"",IF($B288="","",IFERROR(_xll.BDP(TICKER,"DEEP_MEASURE_PERIOD_BROKER_VALUE","DEEP_MEASURE_ID_OVERRIDE",$C288,"DEEP_BROKER_ID_OVERRIDE",$F$7,"DEEP_PERIOD_OVERRIDE",J$11)*1,"")))</f>
        <v/>
      </c>
      <c r="K288" s="17" t="str">
        <f>IF(ISNA($B288),"",IF($B288="","",IFERROR(_xll.BDP(TICKER,"DEEP_MEASURE_PERIOD_BROKER_VALUE","DEEP_MEASURE_ID_OVERRIDE",$C288,"DEEP_BROKER_ID_OVERRIDE",$F$7,"DEEP_PERIOD_OVERRIDE",K$11)*1,"")))</f>
        <v/>
      </c>
      <c r="L288" s="17" t="str">
        <f>IF(ISNA($B288),"",IF($B288="","",IFERROR(_xll.BDP(TICKER,"DEEP_MEASURE_PERIOD_BROKER_VALUE","DEEP_MEASURE_ID_OVERRIDE",$C288,"DEEP_BROKER_ID_OVERRIDE",$F$7,"DEEP_PERIOD_OVERRIDE",L$11)*1,"")))</f>
        <v/>
      </c>
      <c r="M288" s="17" t="str">
        <f>IF(ISNA($B288),"",IF($B288="","",IFERROR(_xll.BDP(TICKER,"DEEP_MEASURE_PERIOD_BROKER_VALUE","DEEP_MEASURE_ID_OVERRIDE",$C288,"DEEP_BROKER_ID_OVERRIDE",$F$7,"DEEP_PERIOD_OVERRIDE",M$11)*1,"")))</f>
        <v/>
      </c>
      <c r="N288" s="17" t="str">
        <f>IF(ISNA($B288),"",IF($B288="","",IFERROR(_xll.BDP(TICKER,"DEEP_MEASURE_PERIOD_BROKER_VALUE","DEEP_MEASURE_ID_OVERRIDE",$C288,"DEEP_BROKER_ID_OVERRIDE",$F$7,"DEEP_PERIOD_OVERRIDE",N$11)*1,"")))</f>
        <v/>
      </c>
      <c r="O288" s="17" t="str">
        <f>IF(ISNA($B288),"",IF($B288="","",IFERROR(_xll.BDP(TICKER,"DEEP_MEASURE_PERIOD_BROKER_VALUE","DEEP_MEASURE_ID_OVERRIDE",$C288,"DEEP_BROKER_ID_OVERRIDE",$F$7,"DEEP_PERIOD_OVERRIDE",O$11)*1,"")))</f>
        <v/>
      </c>
      <c r="P288" s="17" t="str">
        <f>IF(ISNA($B288),"",IF($B288="","",IFERROR(_xll.BDP(TICKER,"DEEP_MEASURE_PERIOD_BROKER_VALUE","DEEP_MEASURE_ID_OVERRIDE",$C288,"DEEP_BROKER_ID_OVERRIDE",$F$7,"DEEP_PERIOD_OVERRIDE",P$11)*1,"")))</f>
        <v/>
      </c>
      <c r="Q288" s="17" t="str">
        <f>IF(ISNA($B288),"",IF($B288="","",IFERROR(_xll.BDP(TICKER,"DEEP_MEASURE_PERIOD_BROKER_VALUE","DEEP_MEASURE_ID_OVERRIDE",$C288,"DEEP_BROKER_ID_OVERRIDE",$F$7,"DEEP_PERIOD_OVERRIDE",Q$11)*1,"")))</f>
        <v/>
      </c>
      <c r="R288" s="17" t="str">
        <f>IF(ISNA($B288),"",IF($B288="","",IFERROR(_xll.BDP(TICKER,"DEEP_MEASURE_PERIOD_BROKER_VALUE","DEEP_MEASURE_ID_OVERRIDE",$C288,"DEEP_BROKER_ID_OVERRIDE",$F$7,"DEEP_PERIOD_OVERRIDE",R$11)*1,"")))</f>
        <v/>
      </c>
      <c r="S288" s="17" t="str">
        <f>IF(ISNA($B288),"",IF($B288="","",IFERROR(_xll.BDP(TICKER,"DEEP_MEASURE_PERIOD_BROKER_VALUE","DEEP_MEASURE_ID_OVERRIDE",$C288,"DEEP_BROKER_ID_OVERRIDE",$F$7,"DEEP_PERIOD_OVERRIDE",S$11)*1,"")))</f>
        <v/>
      </c>
      <c r="T288" s="17" t="str">
        <f>IF(ISNA($B288),"",IF($B288="","",IFERROR(_xll.BDP(TICKER,"DEEP_MEASURE_PERIOD_BROKER_VALUE","DEEP_MEASURE_ID_OVERRIDE",$C288,"DEEP_BROKER_ID_OVERRIDE",$F$7,"DEEP_PERIOD_OVERRIDE",T$11)*1,"")))</f>
        <v/>
      </c>
      <c r="U288" s="17" t="str">
        <f>IF(ISNA($B288),"",IF($B288="","",IFERROR(_xll.BDP(TICKER,"DEEP_MEASURE_PERIOD_BROKER_VALUE","DEEP_MEASURE_ID_OVERRIDE",$C288,"DEEP_BROKER_ID_OVERRIDE",$F$7,"DEEP_PERIOD_OVERRIDE",U$11)*1,"")))</f>
        <v/>
      </c>
      <c r="V288" s="17" t="str">
        <f>IF(ISNA($B288),"",IF($B288="","",IFERROR(_xll.BDP(TICKER,"DEEP_MEASURE_PERIOD_BROKER_VALUE","DEEP_MEASURE_ID_OVERRIDE",$C288,"DEEP_BROKER_ID_OVERRIDE",$F$7,"DEEP_PERIOD_OVERRIDE",V$11)*1,"")))</f>
        <v/>
      </c>
      <c r="W288" s="17" t="str">
        <f>IF(ISNA($B288),"",IF($B288="","",IFERROR(_xll.BDP(TICKER,"DEEP_MEASURE_PERIOD_BROKER_VALUE","DEEP_MEASURE_ID_OVERRIDE",$C288,"DEEP_BROKER_ID_OVERRIDE",$F$7,"DEEP_PERIOD_OVERRIDE",W$11)*1,"")))</f>
        <v/>
      </c>
      <c r="X288" s="17" t="str">
        <f>IF(ISNA($B288),"",IF($B288="","",IFERROR(_xll.BDP(TICKER,"DEEP_MEASURE_PERIOD_BROKER_VALUE","DEEP_MEASURE_ID_OVERRIDE",$C288,"DEEP_BROKER_ID_OVERRIDE",$F$7,"DEEP_PERIOD_OVERRIDE",X$11)*1,"")))</f>
        <v/>
      </c>
      <c r="Y288" s="17" t="str">
        <f>IF(ISNA($B288),"",IF($B288="","",IFERROR(_xll.BDP(TICKER,"DEEP_MEASURE_PERIOD_BROKER_VALUE","DEEP_MEASURE_ID_OVERRIDE",$C288,"DEEP_BROKER_ID_OVERRIDE",$F$7,"DEEP_PERIOD_OVERRIDE",Y$11)*1,"")))</f>
        <v/>
      </c>
      <c r="Z288" s="17" t="str">
        <f>IF(ISNA($B288),"",IF($B288="","",IFERROR(_xll.BDP(TICKER,"DEEP_MEASURE_PERIOD_BROKER_VALUE","DEEP_MEASURE_ID_OVERRIDE",$C288,"DEEP_BROKER_ID_OVERRIDE",$F$7,"DEEP_PERIOD_OVERRIDE",Z$11)*1,"")))</f>
        <v/>
      </c>
      <c r="AA288" s="17" t="str">
        <f>IF(ISNA($B288),"",IF($B288="","",IFERROR(_xll.BDP(TICKER,"DEEP_MEASURE_PERIOD_BROKER_VALUE","DEEP_MEASURE_ID_OVERRIDE",$C288,"DEEP_BROKER_ID_OVERRIDE",$F$7,"DEEP_PERIOD_OVERRIDE",AA$11)*1,"")))</f>
        <v/>
      </c>
      <c r="AB288" s="17" t="str">
        <f>IF(ISNA($B288),"",IF($B288="","",IFERROR(_xll.BDP(TICKER,"DEEP_MEASURE_PERIOD_BROKER_VALUE","DEEP_MEASURE_ID_OVERRIDE",$C288,"DEEP_BROKER_ID_OVERRIDE",$F$7,"DEEP_PERIOD_OVERRIDE",AB$11)*1,"")))</f>
        <v/>
      </c>
      <c r="AC288" s="17" t="str">
        <f>IF(ISNA($B288),"",IF($B288="","",IFERROR(_xll.BDP(TICKER,"DEEP_MEASURE_PERIOD_BROKER_VALUE","DEEP_MEASURE_ID_OVERRIDE",$C288,"DEEP_BROKER_ID_OVERRIDE",$F$7,"DEEP_PERIOD_OVERRIDE",AC$11)*1,"")))</f>
        <v/>
      </c>
      <c r="AD288" s="17" t="str">
        <f>IF(ISNA($B288),"",IF($B288="","",IFERROR(_xll.BDP(TICKER,"DEEP_MEASURE_PERIOD_BROKER_VALUE","DEEP_MEASURE_ID_OVERRIDE",$C288,"DEEP_BROKER_ID_OVERRIDE",$F$7,"DEEP_PERIOD_OVERRIDE",AD$11)*1,"")))</f>
        <v/>
      </c>
      <c r="AE288" s="17" t="str">
        <f>IF(ISNA($B288),"",IF($B288="","",IFERROR(_xll.BDP(TICKER,"DEEP_MEASURE_PERIOD_BROKER_VALUE","DEEP_MEASURE_ID_OVERRIDE",$C288,"DEEP_BROKER_ID_OVERRIDE",$F$7,"DEEP_PERIOD_OVERRIDE",AE$11)*1,"")))</f>
        <v/>
      </c>
      <c r="AF288" s="17" t="str">
        <f>IF(ISNA($B288),"",IF($B288="","",IFERROR(_xll.BDP(TICKER,"DEEP_MEASURE_PERIOD_BROKER_VALUE","DEEP_MEASURE_ID_OVERRIDE",$C288,"DEEP_BROKER_ID_OVERRIDE",$F$7,"DEEP_PERIOD_OVERRIDE",AF$11)*1,"")))</f>
        <v/>
      </c>
      <c r="AG288" s="17" t="str">
        <f>IF(ISNA($B288),"",IF($B288="","",IFERROR(_xll.BDP(TICKER,"DEEP_MEASURE_PERIOD_BROKER_VALUE","DEEP_MEASURE_ID_OVERRIDE",$C288,"DEEP_BROKER_ID_OVERRIDE",$F$7,"DEEP_PERIOD_OVERRIDE",AG$11)*1,"")))</f>
        <v/>
      </c>
      <c r="AH288" s="17" t="str">
        <f>IF(ISNA($B288),"",IF($B288="","",IFERROR(_xll.BDP(TICKER,"DEEP_MEASURE_PERIOD_BROKER_VALUE","DEEP_MEASURE_ID_OVERRIDE",$C288,"DEEP_BROKER_ID_OVERRIDE",$F$7,"DEEP_PERIOD_OVERRIDE",AH$11)*1,"")))</f>
        <v/>
      </c>
      <c r="AI288" s="17" t="str">
        <f>IF(ISNA($B288),"",IF($B288="","",IFERROR(_xll.BDP(TICKER,"DEEP_MEASURE_PERIOD_BROKER_VALUE","DEEP_MEASURE_ID_OVERRIDE",$C288,"DEEP_BROKER_ID_OVERRIDE",$F$7,"DEEP_PERIOD_OVERRIDE",AI$11)*1,"")))</f>
        <v/>
      </c>
      <c r="AJ288" s="17" t="str">
        <f>IF(ISNA($B288),"",IF($B288="","",IFERROR(_xll.BDP(TICKER,"DEEP_MEASURE_PERIOD_BROKER_VALUE","DEEP_MEASURE_ID_OVERRIDE",$C288,"DEEP_BROKER_ID_OVERRIDE",$F$7,"DEEP_PERIOD_OVERRIDE",AJ$11)*1,"")))</f>
        <v/>
      </c>
      <c r="AK288" s="17" t="str">
        <f>IF(ISNA($B288),"",IF($B288="","",IFERROR(_xll.BDP(TICKER,"DEEP_MEASURE_PERIOD_BROKER_VALUE","DEEP_MEASURE_ID_OVERRIDE",$C288,"DEEP_BROKER_ID_OVERRIDE",$F$7,"DEEP_PERIOD_OVERRIDE",AK$11)*1,"")))</f>
        <v/>
      </c>
      <c r="AL288" s="17" t="str">
        <f>IF(ISNA($B288),"",IF($B288="","",IFERROR(_xll.BDP(TICKER,"DEEP_MEASURE_PERIOD_BROKER_VALUE","DEEP_MEASURE_ID_OVERRIDE",$C288,"DEEP_BROKER_ID_OVERRIDE",$F$7,"DEEP_PERIOD_OVERRIDE",AL$11)*1,"")))</f>
        <v/>
      </c>
      <c r="AM288" s="17" t="str">
        <f>IF(ISNA($B288),"",IF($B288="","",IFERROR(_xll.BDP(TICKER,"DEEP_MEASURE_PERIOD_BROKER_VALUE","DEEP_MEASURE_ID_OVERRIDE",$C288,"DEEP_BROKER_ID_OVERRIDE",$F$7,"DEEP_PERIOD_OVERRIDE",AM$11)*1,"")))</f>
        <v/>
      </c>
      <c r="AN288" s="17" t="str">
        <f>IF(ISNA($B288),"",IF($B288="","",IFERROR(_xll.BDP(TICKER,"DEEP_MEASURE_PERIOD_BROKER_VALUE","DEEP_MEASURE_ID_OVERRIDE",$C288,"DEEP_BROKER_ID_OVERRIDE",$F$7,"DEEP_PERIOD_OVERRIDE",AN$11)*1,"")))</f>
        <v/>
      </c>
      <c r="AO288" s="17" t="str">
        <f>IF(ISNA($B288),"",IF($B288="","",IFERROR(_xll.BDP(TICKER,"DEEP_MEASURE_PERIOD_BROKER_VALUE","DEEP_MEASURE_ID_OVERRIDE",$C288,"DEEP_BROKER_ID_OVERRIDE",$F$7,"DEEP_PERIOD_OVERRIDE",AO$11)*1,"")))</f>
        <v/>
      </c>
      <c r="AP288" s="17" t="str">
        <f>IF(ISNA($B288),"",IF($B288="","",IFERROR(_xll.BDP(TICKER,"DEEP_MEASURE_PERIOD_BROKER_VALUE","DEEP_MEASURE_ID_OVERRIDE",$C288,"DEEP_BROKER_ID_OVERRIDE",$F$7,"DEEP_PERIOD_OVERRIDE",AP$11)*1,"")))</f>
        <v/>
      </c>
      <c r="AQ288" s="17" t="str">
        <f>IF(ISNA($B288),"",IF($B288="","",IFERROR(_xll.BDP(TICKER,"DEEP_MEASURE_PERIOD_BROKER_VALUE","DEEP_MEASURE_ID_OVERRIDE",$C288,"DEEP_BROKER_ID_OVERRIDE",$F$7,"DEEP_PERIOD_OVERRIDE",AQ$11)*1,"")))</f>
        <v/>
      </c>
    </row>
    <row r="289" spans="8:43" x14ac:dyDescent="0.25">
      <c r="H289" t="str">
        <f t="shared" si="6"/>
        <v/>
      </c>
      <c r="I289" s="17" t="str">
        <f>IF(ISNA($B289),"",IF($B289="","",IFERROR(_xll.BDP(TICKER,"DEEP_MEASURE_PERIOD_BROKER_VALUE","DEEP_MEASURE_ID_OVERRIDE",$C289,"DEEP_BROKER_ID_OVERRIDE",$F$7,"DEEP_PERIOD_OVERRIDE",I$11)*1,"")))</f>
        <v/>
      </c>
      <c r="J289" s="17" t="str">
        <f>IF(ISNA($B289),"",IF($B289="","",IFERROR(_xll.BDP(TICKER,"DEEP_MEASURE_PERIOD_BROKER_VALUE","DEEP_MEASURE_ID_OVERRIDE",$C289,"DEEP_BROKER_ID_OVERRIDE",$F$7,"DEEP_PERIOD_OVERRIDE",J$11)*1,"")))</f>
        <v/>
      </c>
      <c r="K289" s="17" t="str">
        <f>IF(ISNA($B289),"",IF($B289="","",IFERROR(_xll.BDP(TICKER,"DEEP_MEASURE_PERIOD_BROKER_VALUE","DEEP_MEASURE_ID_OVERRIDE",$C289,"DEEP_BROKER_ID_OVERRIDE",$F$7,"DEEP_PERIOD_OVERRIDE",K$11)*1,"")))</f>
        <v/>
      </c>
      <c r="L289" s="17" t="str">
        <f>IF(ISNA($B289),"",IF($B289="","",IFERROR(_xll.BDP(TICKER,"DEEP_MEASURE_PERIOD_BROKER_VALUE","DEEP_MEASURE_ID_OVERRIDE",$C289,"DEEP_BROKER_ID_OVERRIDE",$F$7,"DEEP_PERIOD_OVERRIDE",L$11)*1,"")))</f>
        <v/>
      </c>
      <c r="M289" s="17" t="str">
        <f>IF(ISNA($B289),"",IF($B289="","",IFERROR(_xll.BDP(TICKER,"DEEP_MEASURE_PERIOD_BROKER_VALUE","DEEP_MEASURE_ID_OVERRIDE",$C289,"DEEP_BROKER_ID_OVERRIDE",$F$7,"DEEP_PERIOD_OVERRIDE",M$11)*1,"")))</f>
        <v/>
      </c>
      <c r="N289" s="17" t="str">
        <f>IF(ISNA($B289),"",IF($B289="","",IFERROR(_xll.BDP(TICKER,"DEEP_MEASURE_PERIOD_BROKER_VALUE","DEEP_MEASURE_ID_OVERRIDE",$C289,"DEEP_BROKER_ID_OVERRIDE",$F$7,"DEEP_PERIOD_OVERRIDE",N$11)*1,"")))</f>
        <v/>
      </c>
      <c r="O289" s="17" t="str">
        <f>IF(ISNA($B289),"",IF($B289="","",IFERROR(_xll.BDP(TICKER,"DEEP_MEASURE_PERIOD_BROKER_VALUE","DEEP_MEASURE_ID_OVERRIDE",$C289,"DEEP_BROKER_ID_OVERRIDE",$F$7,"DEEP_PERIOD_OVERRIDE",O$11)*1,"")))</f>
        <v/>
      </c>
      <c r="P289" s="17" t="str">
        <f>IF(ISNA($B289),"",IF($B289="","",IFERROR(_xll.BDP(TICKER,"DEEP_MEASURE_PERIOD_BROKER_VALUE","DEEP_MEASURE_ID_OVERRIDE",$C289,"DEEP_BROKER_ID_OVERRIDE",$F$7,"DEEP_PERIOD_OVERRIDE",P$11)*1,"")))</f>
        <v/>
      </c>
      <c r="Q289" s="17" t="str">
        <f>IF(ISNA($B289),"",IF($B289="","",IFERROR(_xll.BDP(TICKER,"DEEP_MEASURE_PERIOD_BROKER_VALUE","DEEP_MEASURE_ID_OVERRIDE",$C289,"DEEP_BROKER_ID_OVERRIDE",$F$7,"DEEP_PERIOD_OVERRIDE",Q$11)*1,"")))</f>
        <v/>
      </c>
      <c r="R289" s="17" t="str">
        <f>IF(ISNA($B289),"",IF($B289="","",IFERROR(_xll.BDP(TICKER,"DEEP_MEASURE_PERIOD_BROKER_VALUE","DEEP_MEASURE_ID_OVERRIDE",$C289,"DEEP_BROKER_ID_OVERRIDE",$F$7,"DEEP_PERIOD_OVERRIDE",R$11)*1,"")))</f>
        <v/>
      </c>
      <c r="S289" s="17" t="str">
        <f>IF(ISNA($B289),"",IF($B289="","",IFERROR(_xll.BDP(TICKER,"DEEP_MEASURE_PERIOD_BROKER_VALUE","DEEP_MEASURE_ID_OVERRIDE",$C289,"DEEP_BROKER_ID_OVERRIDE",$F$7,"DEEP_PERIOD_OVERRIDE",S$11)*1,"")))</f>
        <v/>
      </c>
      <c r="T289" s="17" t="str">
        <f>IF(ISNA($B289),"",IF($B289="","",IFERROR(_xll.BDP(TICKER,"DEEP_MEASURE_PERIOD_BROKER_VALUE","DEEP_MEASURE_ID_OVERRIDE",$C289,"DEEP_BROKER_ID_OVERRIDE",$F$7,"DEEP_PERIOD_OVERRIDE",T$11)*1,"")))</f>
        <v/>
      </c>
      <c r="U289" s="17" t="str">
        <f>IF(ISNA($B289),"",IF($B289="","",IFERROR(_xll.BDP(TICKER,"DEEP_MEASURE_PERIOD_BROKER_VALUE","DEEP_MEASURE_ID_OVERRIDE",$C289,"DEEP_BROKER_ID_OVERRIDE",$F$7,"DEEP_PERIOD_OVERRIDE",U$11)*1,"")))</f>
        <v/>
      </c>
      <c r="V289" s="17" t="str">
        <f>IF(ISNA($B289),"",IF($B289="","",IFERROR(_xll.BDP(TICKER,"DEEP_MEASURE_PERIOD_BROKER_VALUE","DEEP_MEASURE_ID_OVERRIDE",$C289,"DEEP_BROKER_ID_OVERRIDE",$F$7,"DEEP_PERIOD_OVERRIDE",V$11)*1,"")))</f>
        <v/>
      </c>
      <c r="W289" s="17" t="str">
        <f>IF(ISNA($B289),"",IF($B289="","",IFERROR(_xll.BDP(TICKER,"DEEP_MEASURE_PERIOD_BROKER_VALUE","DEEP_MEASURE_ID_OVERRIDE",$C289,"DEEP_BROKER_ID_OVERRIDE",$F$7,"DEEP_PERIOD_OVERRIDE",W$11)*1,"")))</f>
        <v/>
      </c>
      <c r="X289" s="17" t="str">
        <f>IF(ISNA($B289),"",IF($B289="","",IFERROR(_xll.BDP(TICKER,"DEEP_MEASURE_PERIOD_BROKER_VALUE","DEEP_MEASURE_ID_OVERRIDE",$C289,"DEEP_BROKER_ID_OVERRIDE",$F$7,"DEEP_PERIOD_OVERRIDE",X$11)*1,"")))</f>
        <v/>
      </c>
      <c r="Y289" s="17" t="str">
        <f>IF(ISNA($B289),"",IF($B289="","",IFERROR(_xll.BDP(TICKER,"DEEP_MEASURE_PERIOD_BROKER_VALUE","DEEP_MEASURE_ID_OVERRIDE",$C289,"DEEP_BROKER_ID_OVERRIDE",$F$7,"DEEP_PERIOD_OVERRIDE",Y$11)*1,"")))</f>
        <v/>
      </c>
      <c r="Z289" s="17" t="str">
        <f>IF(ISNA($B289),"",IF($B289="","",IFERROR(_xll.BDP(TICKER,"DEEP_MEASURE_PERIOD_BROKER_VALUE","DEEP_MEASURE_ID_OVERRIDE",$C289,"DEEP_BROKER_ID_OVERRIDE",$F$7,"DEEP_PERIOD_OVERRIDE",Z$11)*1,"")))</f>
        <v/>
      </c>
      <c r="AA289" s="17" t="str">
        <f>IF(ISNA($B289),"",IF($B289="","",IFERROR(_xll.BDP(TICKER,"DEEP_MEASURE_PERIOD_BROKER_VALUE","DEEP_MEASURE_ID_OVERRIDE",$C289,"DEEP_BROKER_ID_OVERRIDE",$F$7,"DEEP_PERIOD_OVERRIDE",AA$11)*1,"")))</f>
        <v/>
      </c>
      <c r="AB289" s="17" t="str">
        <f>IF(ISNA($B289),"",IF($B289="","",IFERROR(_xll.BDP(TICKER,"DEEP_MEASURE_PERIOD_BROKER_VALUE","DEEP_MEASURE_ID_OVERRIDE",$C289,"DEEP_BROKER_ID_OVERRIDE",$F$7,"DEEP_PERIOD_OVERRIDE",AB$11)*1,"")))</f>
        <v/>
      </c>
      <c r="AC289" s="17" t="str">
        <f>IF(ISNA($B289),"",IF($B289="","",IFERROR(_xll.BDP(TICKER,"DEEP_MEASURE_PERIOD_BROKER_VALUE","DEEP_MEASURE_ID_OVERRIDE",$C289,"DEEP_BROKER_ID_OVERRIDE",$F$7,"DEEP_PERIOD_OVERRIDE",AC$11)*1,"")))</f>
        <v/>
      </c>
      <c r="AD289" s="17" t="str">
        <f>IF(ISNA($B289),"",IF($B289="","",IFERROR(_xll.BDP(TICKER,"DEEP_MEASURE_PERIOD_BROKER_VALUE","DEEP_MEASURE_ID_OVERRIDE",$C289,"DEEP_BROKER_ID_OVERRIDE",$F$7,"DEEP_PERIOD_OVERRIDE",AD$11)*1,"")))</f>
        <v/>
      </c>
      <c r="AE289" s="17" t="str">
        <f>IF(ISNA($B289),"",IF($B289="","",IFERROR(_xll.BDP(TICKER,"DEEP_MEASURE_PERIOD_BROKER_VALUE","DEEP_MEASURE_ID_OVERRIDE",$C289,"DEEP_BROKER_ID_OVERRIDE",$F$7,"DEEP_PERIOD_OVERRIDE",AE$11)*1,"")))</f>
        <v/>
      </c>
      <c r="AF289" s="17" t="str">
        <f>IF(ISNA($B289),"",IF($B289="","",IFERROR(_xll.BDP(TICKER,"DEEP_MEASURE_PERIOD_BROKER_VALUE","DEEP_MEASURE_ID_OVERRIDE",$C289,"DEEP_BROKER_ID_OVERRIDE",$F$7,"DEEP_PERIOD_OVERRIDE",AF$11)*1,"")))</f>
        <v/>
      </c>
      <c r="AG289" s="17" t="str">
        <f>IF(ISNA($B289),"",IF($B289="","",IFERROR(_xll.BDP(TICKER,"DEEP_MEASURE_PERIOD_BROKER_VALUE","DEEP_MEASURE_ID_OVERRIDE",$C289,"DEEP_BROKER_ID_OVERRIDE",$F$7,"DEEP_PERIOD_OVERRIDE",AG$11)*1,"")))</f>
        <v/>
      </c>
      <c r="AH289" s="17" t="str">
        <f>IF(ISNA($B289),"",IF($B289="","",IFERROR(_xll.BDP(TICKER,"DEEP_MEASURE_PERIOD_BROKER_VALUE","DEEP_MEASURE_ID_OVERRIDE",$C289,"DEEP_BROKER_ID_OVERRIDE",$F$7,"DEEP_PERIOD_OVERRIDE",AH$11)*1,"")))</f>
        <v/>
      </c>
      <c r="AI289" s="17" t="str">
        <f>IF(ISNA($B289),"",IF($B289="","",IFERROR(_xll.BDP(TICKER,"DEEP_MEASURE_PERIOD_BROKER_VALUE","DEEP_MEASURE_ID_OVERRIDE",$C289,"DEEP_BROKER_ID_OVERRIDE",$F$7,"DEEP_PERIOD_OVERRIDE",AI$11)*1,"")))</f>
        <v/>
      </c>
      <c r="AJ289" s="17" t="str">
        <f>IF(ISNA($B289),"",IF($B289="","",IFERROR(_xll.BDP(TICKER,"DEEP_MEASURE_PERIOD_BROKER_VALUE","DEEP_MEASURE_ID_OVERRIDE",$C289,"DEEP_BROKER_ID_OVERRIDE",$F$7,"DEEP_PERIOD_OVERRIDE",AJ$11)*1,"")))</f>
        <v/>
      </c>
      <c r="AK289" s="17" t="str">
        <f>IF(ISNA($B289),"",IF($B289="","",IFERROR(_xll.BDP(TICKER,"DEEP_MEASURE_PERIOD_BROKER_VALUE","DEEP_MEASURE_ID_OVERRIDE",$C289,"DEEP_BROKER_ID_OVERRIDE",$F$7,"DEEP_PERIOD_OVERRIDE",AK$11)*1,"")))</f>
        <v/>
      </c>
      <c r="AL289" s="17" t="str">
        <f>IF(ISNA($B289),"",IF($B289="","",IFERROR(_xll.BDP(TICKER,"DEEP_MEASURE_PERIOD_BROKER_VALUE","DEEP_MEASURE_ID_OVERRIDE",$C289,"DEEP_BROKER_ID_OVERRIDE",$F$7,"DEEP_PERIOD_OVERRIDE",AL$11)*1,"")))</f>
        <v/>
      </c>
      <c r="AM289" s="17" t="str">
        <f>IF(ISNA($B289),"",IF($B289="","",IFERROR(_xll.BDP(TICKER,"DEEP_MEASURE_PERIOD_BROKER_VALUE","DEEP_MEASURE_ID_OVERRIDE",$C289,"DEEP_BROKER_ID_OVERRIDE",$F$7,"DEEP_PERIOD_OVERRIDE",AM$11)*1,"")))</f>
        <v/>
      </c>
      <c r="AN289" s="17" t="str">
        <f>IF(ISNA($B289),"",IF($B289="","",IFERROR(_xll.BDP(TICKER,"DEEP_MEASURE_PERIOD_BROKER_VALUE","DEEP_MEASURE_ID_OVERRIDE",$C289,"DEEP_BROKER_ID_OVERRIDE",$F$7,"DEEP_PERIOD_OVERRIDE",AN$11)*1,"")))</f>
        <v/>
      </c>
      <c r="AO289" s="17" t="str">
        <f>IF(ISNA($B289),"",IF($B289="","",IFERROR(_xll.BDP(TICKER,"DEEP_MEASURE_PERIOD_BROKER_VALUE","DEEP_MEASURE_ID_OVERRIDE",$C289,"DEEP_BROKER_ID_OVERRIDE",$F$7,"DEEP_PERIOD_OVERRIDE",AO$11)*1,"")))</f>
        <v/>
      </c>
      <c r="AP289" s="17" t="str">
        <f>IF(ISNA($B289),"",IF($B289="","",IFERROR(_xll.BDP(TICKER,"DEEP_MEASURE_PERIOD_BROKER_VALUE","DEEP_MEASURE_ID_OVERRIDE",$C289,"DEEP_BROKER_ID_OVERRIDE",$F$7,"DEEP_PERIOD_OVERRIDE",AP$11)*1,"")))</f>
        <v/>
      </c>
      <c r="AQ289" s="17" t="str">
        <f>IF(ISNA($B289),"",IF($B289="","",IFERROR(_xll.BDP(TICKER,"DEEP_MEASURE_PERIOD_BROKER_VALUE","DEEP_MEASURE_ID_OVERRIDE",$C289,"DEEP_BROKER_ID_OVERRIDE",$F$7,"DEEP_PERIOD_OVERRIDE",AQ$11)*1,"")))</f>
        <v/>
      </c>
    </row>
    <row r="290" spans="8:43" x14ac:dyDescent="0.25">
      <c r="H290" t="str">
        <f t="shared" si="6"/>
        <v/>
      </c>
      <c r="I290" s="17" t="str">
        <f>IF(ISNA($B290),"",IF($B290="","",IFERROR(_xll.BDP(TICKER,"DEEP_MEASURE_PERIOD_BROKER_VALUE","DEEP_MEASURE_ID_OVERRIDE",$C290,"DEEP_BROKER_ID_OVERRIDE",$F$7,"DEEP_PERIOD_OVERRIDE",I$11)*1,"")))</f>
        <v/>
      </c>
      <c r="J290" s="17" t="str">
        <f>IF(ISNA($B290),"",IF($B290="","",IFERROR(_xll.BDP(TICKER,"DEEP_MEASURE_PERIOD_BROKER_VALUE","DEEP_MEASURE_ID_OVERRIDE",$C290,"DEEP_BROKER_ID_OVERRIDE",$F$7,"DEEP_PERIOD_OVERRIDE",J$11)*1,"")))</f>
        <v/>
      </c>
      <c r="K290" s="17" t="str">
        <f>IF(ISNA($B290),"",IF($B290="","",IFERROR(_xll.BDP(TICKER,"DEEP_MEASURE_PERIOD_BROKER_VALUE","DEEP_MEASURE_ID_OVERRIDE",$C290,"DEEP_BROKER_ID_OVERRIDE",$F$7,"DEEP_PERIOD_OVERRIDE",K$11)*1,"")))</f>
        <v/>
      </c>
      <c r="L290" s="17" t="str">
        <f>IF(ISNA($B290),"",IF($B290="","",IFERROR(_xll.BDP(TICKER,"DEEP_MEASURE_PERIOD_BROKER_VALUE","DEEP_MEASURE_ID_OVERRIDE",$C290,"DEEP_BROKER_ID_OVERRIDE",$F$7,"DEEP_PERIOD_OVERRIDE",L$11)*1,"")))</f>
        <v/>
      </c>
      <c r="M290" s="17" t="str">
        <f>IF(ISNA($B290),"",IF($B290="","",IFERROR(_xll.BDP(TICKER,"DEEP_MEASURE_PERIOD_BROKER_VALUE","DEEP_MEASURE_ID_OVERRIDE",$C290,"DEEP_BROKER_ID_OVERRIDE",$F$7,"DEEP_PERIOD_OVERRIDE",M$11)*1,"")))</f>
        <v/>
      </c>
      <c r="N290" s="17" t="str">
        <f>IF(ISNA($B290),"",IF($B290="","",IFERROR(_xll.BDP(TICKER,"DEEP_MEASURE_PERIOD_BROKER_VALUE","DEEP_MEASURE_ID_OVERRIDE",$C290,"DEEP_BROKER_ID_OVERRIDE",$F$7,"DEEP_PERIOD_OVERRIDE",N$11)*1,"")))</f>
        <v/>
      </c>
      <c r="O290" s="17" t="str">
        <f>IF(ISNA($B290),"",IF($B290="","",IFERROR(_xll.BDP(TICKER,"DEEP_MEASURE_PERIOD_BROKER_VALUE","DEEP_MEASURE_ID_OVERRIDE",$C290,"DEEP_BROKER_ID_OVERRIDE",$F$7,"DEEP_PERIOD_OVERRIDE",O$11)*1,"")))</f>
        <v/>
      </c>
      <c r="P290" s="17" t="str">
        <f>IF(ISNA($B290),"",IF($B290="","",IFERROR(_xll.BDP(TICKER,"DEEP_MEASURE_PERIOD_BROKER_VALUE","DEEP_MEASURE_ID_OVERRIDE",$C290,"DEEP_BROKER_ID_OVERRIDE",$F$7,"DEEP_PERIOD_OVERRIDE",P$11)*1,"")))</f>
        <v/>
      </c>
      <c r="Q290" s="17" t="str">
        <f>IF(ISNA($B290),"",IF($B290="","",IFERROR(_xll.BDP(TICKER,"DEEP_MEASURE_PERIOD_BROKER_VALUE","DEEP_MEASURE_ID_OVERRIDE",$C290,"DEEP_BROKER_ID_OVERRIDE",$F$7,"DEEP_PERIOD_OVERRIDE",Q$11)*1,"")))</f>
        <v/>
      </c>
      <c r="R290" s="17" t="str">
        <f>IF(ISNA($B290),"",IF($B290="","",IFERROR(_xll.BDP(TICKER,"DEEP_MEASURE_PERIOD_BROKER_VALUE","DEEP_MEASURE_ID_OVERRIDE",$C290,"DEEP_BROKER_ID_OVERRIDE",$F$7,"DEEP_PERIOD_OVERRIDE",R$11)*1,"")))</f>
        <v/>
      </c>
      <c r="S290" s="17" t="str">
        <f>IF(ISNA($B290),"",IF($B290="","",IFERROR(_xll.BDP(TICKER,"DEEP_MEASURE_PERIOD_BROKER_VALUE","DEEP_MEASURE_ID_OVERRIDE",$C290,"DEEP_BROKER_ID_OVERRIDE",$F$7,"DEEP_PERIOD_OVERRIDE",S$11)*1,"")))</f>
        <v/>
      </c>
      <c r="T290" s="17" t="str">
        <f>IF(ISNA($B290),"",IF($B290="","",IFERROR(_xll.BDP(TICKER,"DEEP_MEASURE_PERIOD_BROKER_VALUE","DEEP_MEASURE_ID_OVERRIDE",$C290,"DEEP_BROKER_ID_OVERRIDE",$F$7,"DEEP_PERIOD_OVERRIDE",T$11)*1,"")))</f>
        <v/>
      </c>
      <c r="U290" s="17" t="str">
        <f>IF(ISNA($B290),"",IF($B290="","",IFERROR(_xll.BDP(TICKER,"DEEP_MEASURE_PERIOD_BROKER_VALUE","DEEP_MEASURE_ID_OVERRIDE",$C290,"DEEP_BROKER_ID_OVERRIDE",$F$7,"DEEP_PERIOD_OVERRIDE",U$11)*1,"")))</f>
        <v/>
      </c>
      <c r="V290" s="17" t="str">
        <f>IF(ISNA($B290),"",IF($B290="","",IFERROR(_xll.BDP(TICKER,"DEEP_MEASURE_PERIOD_BROKER_VALUE","DEEP_MEASURE_ID_OVERRIDE",$C290,"DEEP_BROKER_ID_OVERRIDE",$F$7,"DEEP_PERIOD_OVERRIDE",V$11)*1,"")))</f>
        <v/>
      </c>
      <c r="W290" s="17" t="str">
        <f>IF(ISNA($B290),"",IF($B290="","",IFERROR(_xll.BDP(TICKER,"DEEP_MEASURE_PERIOD_BROKER_VALUE","DEEP_MEASURE_ID_OVERRIDE",$C290,"DEEP_BROKER_ID_OVERRIDE",$F$7,"DEEP_PERIOD_OVERRIDE",W$11)*1,"")))</f>
        <v/>
      </c>
      <c r="X290" s="17" t="str">
        <f>IF(ISNA($B290),"",IF($B290="","",IFERROR(_xll.BDP(TICKER,"DEEP_MEASURE_PERIOD_BROKER_VALUE","DEEP_MEASURE_ID_OVERRIDE",$C290,"DEEP_BROKER_ID_OVERRIDE",$F$7,"DEEP_PERIOD_OVERRIDE",X$11)*1,"")))</f>
        <v/>
      </c>
      <c r="Y290" s="17" t="str">
        <f>IF(ISNA($B290),"",IF($B290="","",IFERROR(_xll.BDP(TICKER,"DEEP_MEASURE_PERIOD_BROKER_VALUE","DEEP_MEASURE_ID_OVERRIDE",$C290,"DEEP_BROKER_ID_OVERRIDE",$F$7,"DEEP_PERIOD_OVERRIDE",Y$11)*1,"")))</f>
        <v/>
      </c>
      <c r="Z290" s="17" t="str">
        <f>IF(ISNA($B290),"",IF($B290="","",IFERROR(_xll.BDP(TICKER,"DEEP_MEASURE_PERIOD_BROKER_VALUE","DEEP_MEASURE_ID_OVERRIDE",$C290,"DEEP_BROKER_ID_OVERRIDE",$F$7,"DEEP_PERIOD_OVERRIDE",Z$11)*1,"")))</f>
        <v/>
      </c>
      <c r="AA290" s="17" t="str">
        <f>IF(ISNA($B290),"",IF($B290="","",IFERROR(_xll.BDP(TICKER,"DEEP_MEASURE_PERIOD_BROKER_VALUE","DEEP_MEASURE_ID_OVERRIDE",$C290,"DEEP_BROKER_ID_OVERRIDE",$F$7,"DEEP_PERIOD_OVERRIDE",AA$11)*1,"")))</f>
        <v/>
      </c>
      <c r="AB290" s="17" t="str">
        <f>IF(ISNA($B290),"",IF($B290="","",IFERROR(_xll.BDP(TICKER,"DEEP_MEASURE_PERIOD_BROKER_VALUE","DEEP_MEASURE_ID_OVERRIDE",$C290,"DEEP_BROKER_ID_OVERRIDE",$F$7,"DEEP_PERIOD_OVERRIDE",AB$11)*1,"")))</f>
        <v/>
      </c>
      <c r="AC290" s="17" t="str">
        <f>IF(ISNA($B290),"",IF($B290="","",IFERROR(_xll.BDP(TICKER,"DEEP_MEASURE_PERIOD_BROKER_VALUE","DEEP_MEASURE_ID_OVERRIDE",$C290,"DEEP_BROKER_ID_OVERRIDE",$F$7,"DEEP_PERIOD_OVERRIDE",AC$11)*1,"")))</f>
        <v/>
      </c>
      <c r="AD290" s="17" t="str">
        <f>IF(ISNA($B290),"",IF($B290="","",IFERROR(_xll.BDP(TICKER,"DEEP_MEASURE_PERIOD_BROKER_VALUE","DEEP_MEASURE_ID_OVERRIDE",$C290,"DEEP_BROKER_ID_OVERRIDE",$F$7,"DEEP_PERIOD_OVERRIDE",AD$11)*1,"")))</f>
        <v/>
      </c>
      <c r="AE290" s="17" t="str">
        <f>IF(ISNA($B290),"",IF($B290="","",IFERROR(_xll.BDP(TICKER,"DEEP_MEASURE_PERIOD_BROKER_VALUE","DEEP_MEASURE_ID_OVERRIDE",$C290,"DEEP_BROKER_ID_OVERRIDE",$F$7,"DEEP_PERIOD_OVERRIDE",AE$11)*1,"")))</f>
        <v/>
      </c>
      <c r="AF290" s="17" t="str">
        <f>IF(ISNA($B290),"",IF($B290="","",IFERROR(_xll.BDP(TICKER,"DEEP_MEASURE_PERIOD_BROKER_VALUE","DEEP_MEASURE_ID_OVERRIDE",$C290,"DEEP_BROKER_ID_OVERRIDE",$F$7,"DEEP_PERIOD_OVERRIDE",AF$11)*1,"")))</f>
        <v/>
      </c>
      <c r="AG290" s="17" t="str">
        <f>IF(ISNA($B290),"",IF($B290="","",IFERROR(_xll.BDP(TICKER,"DEEP_MEASURE_PERIOD_BROKER_VALUE","DEEP_MEASURE_ID_OVERRIDE",$C290,"DEEP_BROKER_ID_OVERRIDE",$F$7,"DEEP_PERIOD_OVERRIDE",AG$11)*1,"")))</f>
        <v/>
      </c>
      <c r="AH290" s="17" t="str">
        <f>IF(ISNA($B290),"",IF($B290="","",IFERROR(_xll.BDP(TICKER,"DEEP_MEASURE_PERIOD_BROKER_VALUE","DEEP_MEASURE_ID_OVERRIDE",$C290,"DEEP_BROKER_ID_OVERRIDE",$F$7,"DEEP_PERIOD_OVERRIDE",AH$11)*1,"")))</f>
        <v/>
      </c>
      <c r="AI290" s="17" t="str">
        <f>IF(ISNA($B290),"",IF($B290="","",IFERROR(_xll.BDP(TICKER,"DEEP_MEASURE_PERIOD_BROKER_VALUE","DEEP_MEASURE_ID_OVERRIDE",$C290,"DEEP_BROKER_ID_OVERRIDE",$F$7,"DEEP_PERIOD_OVERRIDE",AI$11)*1,"")))</f>
        <v/>
      </c>
      <c r="AJ290" s="17" t="str">
        <f>IF(ISNA($B290),"",IF($B290="","",IFERROR(_xll.BDP(TICKER,"DEEP_MEASURE_PERIOD_BROKER_VALUE","DEEP_MEASURE_ID_OVERRIDE",$C290,"DEEP_BROKER_ID_OVERRIDE",$F$7,"DEEP_PERIOD_OVERRIDE",AJ$11)*1,"")))</f>
        <v/>
      </c>
      <c r="AK290" s="17" t="str">
        <f>IF(ISNA($B290),"",IF($B290="","",IFERROR(_xll.BDP(TICKER,"DEEP_MEASURE_PERIOD_BROKER_VALUE","DEEP_MEASURE_ID_OVERRIDE",$C290,"DEEP_BROKER_ID_OVERRIDE",$F$7,"DEEP_PERIOD_OVERRIDE",AK$11)*1,"")))</f>
        <v/>
      </c>
      <c r="AL290" s="17" t="str">
        <f>IF(ISNA($B290),"",IF($B290="","",IFERROR(_xll.BDP(TICKER,"DEEP_MEASURE_PERIOD_BROKER_VALUE","DEEP_MEASURE_ID_OVERRIDE",$C290,"DEEP_BROKER_ID_OVERRIDE",$F$7,"DEEP_PERIOD_OVERRIDE",AL$11)*1,"")))</f>
        <v/>
      </c>
      <c r="AM290" s="17" t="str">
        <f>IF(ISNA($B290),"",IF($B290="","",IFERROR(_xll.BDP(TICKER,"DEEP_MEASURE_PERIOD_BROKER_VALUE","DEEP_MEASURE_ID_OVERRIDE",$C290,"DEEP_BROKER_ID_OVERRIDE",$F$7,"DEEP_PERIOD_OVERRIDE",AM$11)*1,"")))</f>
        <v/>
      </c>
      <c r="AN290" s="17" t="str">
        <f>IF(ISNA($B290),"",IF($B290="","",IFERROR(_xll.BDP(TICKER,"DEEP_MEASURE_PERIOD_BROKER_VALUE","DEEP_MEASURE_ID_OVERRIDE",$C290,"DEEP_BROKER_ID_OVERRIDE",$F$7,"DEEP_PERIOD_OVERRIDE",AN$11)*1,"")))</f>
        <v/>
      </c>
      <c r="AO290" s="17" t="str">
        <f>IF(ISNA($B290),"",IF($B290="","",IFERROR(_xll.BDP(TICKER,"DEEP_MEASURE_PERIOD_BROKER_VALUE","DEEP_MEASURE_ID_OVERRIDE",$C290,"DEEP_BROKER_ID_OVERRIDE",$F$7,"DEEP_PERIOD_OVERRIDE",AO$11)*1,"")))</f>
        <v/>
      </c>
      <c r="AP290" s="17" t="str">
        <f>IF(ISNA($B290),"",IF($B290="","",IFERROR(_xll.BDP(TICKER,"DEEP_MEASURE_PERIOD_BROKER_VALUE","DEEP_MEASURE_ID_OVERRIDE",$C290,"DEEP_BROKER_ID_OVERRIDE",$F$7,"DEEP_PERIOD_OVERRIDE",AP$11)*1,"")))</f>
        <v/>
      </c>
      <c r="AQ290" s="17" t="str">
        <f>IF(ISNA($B290),"",IF($B290="","",IFERROR(_xll.BDP(TICKER,"DEEP_MEASURE_PERIOD_BROKER_VALUE","DEEP_MEASURE_ID_OVERRIDE",$C290,"DEEP_BROKER_ID_OVERRIDE",$F$7,"DEEP_PERIOD_OVERRIDE",AQ$11)*1,"")))</f>
        <v/>
      </c>
    </row>
    <row r="291" spans="8:43" x14ac:dyDescent="0.25">
      <c r="H291" t="str">
        <f t="shared" si="6"/>
        <v/>
      </c>
      <c r="I291" s="17" t="str">
        <f>IF(ISNA($B291),"",IF($B291="","",IFERROR(_xll.BDP(TICKER,"DEEP_MEASURE_PERIOD_BROKER_VALUE","DEEP_MEASURE_ID_OVERRIDE",$C291,"DEEP_BROKER_ID_OVERRIDE",$F$7,"DEEP_PERIOD_OVERRIDE",I$11)*1,"")))</f>
        <v/>
      </c>
      <c r="J291" s="17" t="str">
        <f>IF(ISNA($B291),"",IF($B291="","",IFERROR(_xll.BDP(TICKER,"DEEP_MEASURE_PERIOD_BROKER_VALUE","DEEP_MEASURE_ID_OVERRIDE",$C291,"DEEP_BROKER_ID_OVERRIDE",$F$7,"DEEP_PERIOD_OVERRIDE",J$11)*1,"")))</f>
        <v/>
      </c>
      <c r="K291" s="17" t="str">
        <f>IF(ISNA($B291),"",IF($B291="","",IFERROR(_xll.BDP(TICKER,"DEEP_MEASURE_PERIOD_BROKER_VALUE","DEEP_MEASURE_ID_OVERRIDE",$C291,"DEEP_BROKER_ID_OVERRIDE",$F$7,"DEEP_PERIOD_OVERRIDE",K$11)*1,"")))</f>
        <v/>
      </c>
      <c r="L291" s="17" t="str">
        <f>IF(ISNA($B291),"",IF($B291="","",IFERROR(_xll.BDP(TICKER,"DEEP_MEASURE_PERIOD_BROKER_VALUE","DEEP_MEASURE_ID_OVERRIDE",$C291,"DEEP_BROKER_ID_OVERRIDE",$F$7,"DEEP_PERIOD_OVERRIDE",L$11)*1,"")))</f>
        <v/>
      </c>
      <c r="M291" s="17" t="str">
        <f>IF(ISNA($B291),"",IF($B291="","",IFERROR(_xll.BDP(TICKER,"DEEP_MEASURE_PERIOD_BROKER_VALUE","DEEP_MEASURE_ID_OVERRIDE",$C291,"DEEP_BROKER_ID_OVERRIDE",$F$7,"DEEP_PERIOD_OVERRIDE",M$11)*1,"")))</f>
        <v/>
      </c>
      <c r="N291" s="17" t="str">
        <f>IF(ISNA($B291),"",IF($B291="","",IFERROR(_xll.BDP(TICKER,"DEEP_MEASURE_PERIOD_BROKER_VALUE","DEEP_MEASURE_ID_OVERRIDE",$C291,"DEEP_BROKER_ID_OVERRIDE",$F$7,"DEEP_PERIOD_OVERRIDE",N$11)*1,"")))</f>
        <v/>
      </c>
      <c r="O291" s="17" t="str">
        <f>IF(ISNA($B291),"",IF($B291="","",IFERROR(_xll.BDP(TICKER,"DEEP_MEASURE_PERIOD_BROKER_VALUE","DEEP_MEASURE_ID_OVERRIDE",$C291,"DEEP_BROKER_ID_OVERRIDE",$F$7,"DEEP_PERIOD_OVERRIDE",O$11)*1,"")))</f>
        <v/>
      </c>
      <c r="P291" s="17" t="str">
        <f>IF(ISNA($B291),"",IF($B291="","",IFERROR(_xll.BDP(TICKER,"DEEP_MEASURE_PERIOD_BROKER_VALUE","DEEP_MEASURE_ID_OVERRIDE",$C291,"DEEP_BROKER_ID_OVERRIDE",$F$7,"DEEP_PERIOD_OVERRIDE",P$11)*1,"")))</f>
        <v/>
      </c>
      <c r="Q291" s="17" t="str">
        <f>IF(ISNA($B291),"",IF($B291="","",IFERROR(_xll.BDP(TICKER,"DEEP_MEASURE_PERIOD_BROKER_VALUE","DEEP_MEASURE_ID_OVERRIDE",$C291,"DEEP_BROKER_ID_OVERRIDE",$F$7,"DEEP_PERIOD_OVERRIDE",Q$11)*1,"")))</f>
        <v/>
      </c>
      <c r="R291" s="17" t="str">
        <f>IF(ISNA($B291),"",IF($B291="","",IFERROR(_xll.BDP(TICKER,"DEEP_MEASURE_PERIOD_BROKER_VALUE","DEEP_MEASURE_ID_OVERRIDE",$C291,"DEEP_BROKER_ID_OVERRIDE",$F$7,"DEEP_PERIOD_OVERRIDE",R$11)*1,"")))</f>
        <v/>
      </c>
      <c r="S291" s="17" t="str">
        <f>IF(ISNA($B291),"",IF($B291="","",IFERROR(_xll.BDP(TICKER,"DEEP_MEASURE_PERIOD_BROKER_VALUE","DEEP_MEASURE_ID_OVERRIDE",$C291,"DEEP_BROKER_ID_OVERRIDE",$F$7,"DEEP_PERIOD_OVERRIDE",S$11)*1,"")))</f>
        <v/>
      </c>
      <c r="T291" s="17" t="str">
        <f>IF(ISNA($B291),"",IF($B291="","",IFERROR(_xll.BDP(TICKER,"DEEP_MEASURE_PERIOD_BROKER_VALUE","DEEP_MEASURE_ID_OVERRIDE",$C291,"DEEP_BROKER_ID_OVERRIDE",$F$7,"DEEP_PERIOD_OVERRIDE",T$11)*1,"")))</f>
        <v/>
      </c>
      <c r="U291" s="17" t="str">
        <f>IF(ISNA($B291),"",IF($B291="","",IFERROR(_xll.BDP(TICKER,"DEEP_MEASURE_PERIOD_BROKER_VALUE","DEEP_MEASURE_ID_OVERRIDE",$C291,"DEEP_BROKER_ID_OVERRIDE",$F$7,"DEEP_PERIOD_OVERRIDE",U$11)*1,"")))</f>
        <v/>
      </c>
      <c r="V291" s="17" t="str">
        <f>IF(ISNA($B291),"",IF($B291="","",IFERROR(_xll.BDP(TICKER,"DEEP_MEASURE_PERIOD_BROKER_VALUE","DEEP_MEASURE_ID_OVERRIDE",$C291,"DEEP_BROKER_ID_OVERRIDE",$F$7,"DEEP_PERIOD_OVERRIDE",V$11)*1,"")))</f>
        <v/>
      </c>
      <c r="W291" s="17" t="str">
        <f>IF(ISNA($B291),"",IF($B291="","",IFERROR(_xll.BDP(TICKER,"DEEP_MEASURE_PERIOD_BROKER_VALUE","DEEP_MEASURE_ID_OVERRIDE",$C291,"DEEP_BROKER_ID_OVERRIDE",$F$7,"DEEP_PERIOD_OVERRIDE",W$11)*1,"")))</f>
        <v/>
      </c>
      <c r="X291" s="17" t="str">
        <f>IF(ISNA($B291),"",IF($B291="","",IFERROR(_xll.BDP(TICKER,"DEEP_MEASURE_PERIOD_BROKER_VALUE","DEEP_MEASURE_ID_OVERRIDE",$C291,"DEEP_BROKER_ID_OVERRIDE",$F$7,"DEEP_PERIOD_OVERRIDE",X$11)*1,"")))</f>
        <v/>
      </c>
      <c r="Y291" s="17" t="str">
        <f>IF(ISNA($B291),"",IF($B291="","",IFERROR(_xll.BDP(TICKER,"DEEP_MEASURE_PERIOD_BROKER_VALUE","DEEP_MEASURE_ID_OVERRIDE",$C291,"DEEP_BROKER_ID_OVERRIDE",$F$7,"DEEP_PERIOD_OVERRIDE",Y$11)*1,"")))</f>
        <v/>
      </c>
      <c r="Z291" s="17" t="str">
        <f>IF(ISNA($B291),"",IF($B291="","",IFERROR(_xll.BDP(TICKER,"DEEP_MEASURE_PERIOD_BROKER_VALUE","DEEP_MEASURE_ID_OVERRIDE",$C291,"DEEP_BROKER_ID_OVERRIDE",$F$7,"DEEP_PERIOD_OVERRIDE",Z$11)*1,"")))</f>
        <v/>
      </c>
      <c r="AA291" s="17" t="str">
        <f>IF(ISNA($B291),"",IF($B291="","",IFERROR(_xll.BDP(TICKER,"DEEP_MEASURE_PERIOD_BROKER_VALUE","DEEP_MEASURE_ID_OVERRIDE",$C291,"DEEP_BROKER_ID_OVERRIDE",$F$7,"DEEP_PERIOD_OVERRIDE",AA$11)*1,"")))</f>
        <v/>
      </c>
      <c r="AB291" s="17" t="str">
        <f>IF(ISNA($B291),"",IF($B291="","",IFERROR(_xll.BDP(TICKER,"DEEP_MEASURE_PERIOD_BROKER_VALUE","DEEP_MEASURE_ID_OVERRIDE",$C291,"DEEP_BROKER_ID_OVERRIDE",$F$7,"DEEP_PERIOD_OVERRIDE",AB$11)*1,"")))</f>
        <v/>
      </c>
      <c r="AC291" s="17" t="str">
        <f>IF(ISNA($B291),"",IF($B291="","",IFERROR(_xll.BDP(TICKER,"DEEP_MEASURE_PERIOD_BROKER_VALUE","DEEP_MEASURE_ID_OVERRIDE",$C291,"DEEP_BROKER_ID_OVERRIDE",$F$7,"DEEP_PERIOD_OVERRIDE",AC$11)*1,"")))</f>
        <v/>
      </c>
      <c r="AD291" s="17" t="str">
        <f>IF(ISNA($B291),"",IF($B291="","",IFERROR(_xll.BDP(TICKER,"DEEP_MEASURE_PERIOD_BROKER_VALUE","DEEP_MEASURE_ID_OVERRIDE",$C291,"DEEP_BROKER_ID_OVERRIDE",$F$7,"DEEP_PERIOD_OVERRIDE",AD$11)*1,"")))</f>
        <v/>
      </c>
      <c r="AE291" s="17" t="str">
        <f>IF(ISNA($B291),"",IF($B291="","",IFERROR(_xll.BDP(TICKER,"DEEP_MEASURE_PERIOD_BROKER_VALUE","DEEP_MEASURE_ID_OVERRIDE",$C291,"DEEP_BROKER_ID_OVERRIDE",$F$7,"DEEP_PERIOD_OVERRIDE",AE$11)*1,"")))</f>
        <v/>
      </c>
      <c r="AF291" s="17" t="str">
        <f>IF(ISNA($B291),"",IF($B291="","",IFERROR(_xll.BDP(TICKER,"DEEP_MEASURE_PERIOD_BROKER_VALUE","DEEP_MEASURE_ID_OVERRIDE",$C291,"DEEP_BROKER_ID_OVERRIDE",$F$7,"DEEP_PERIOD_OVERRIDE",AF$11)*1,"")))</f>
        <v/>
      </c>
      <c r="AG291" s="17" t="str">
        <f>IF(ISNA($B291),"",IF($B291="","",IFERROR(_xll.BDP(TICKER,"DEEP_MEASURE_PERIOD_BROKER_VALUE","DEEP_MEASURE_ID_OVERRIDE",$C291,"DEEP_BROKER_ID_OVERRIDE",$F$7,"DEEP_PERIOD_OVERRIDE",AG$11)*1,"")))</f>
        <v/>
      </c>
      <c r="AH291" s="17" t="str">
        <f>IF(ISNA($B291),"",IF($B291="","",IFERROR(_xll.BDP(TICKER,"DEEP_MEASURE_PERIOD_BROKER_VALUE","DEEP_MEASURE_ID_OVERRIDE",$C291,"DEEP_BROKER_ID_OVERRIDE",$F$7,"DEEP_PERIOD_OVERRIDE",AH$11)*1,"")))</f>
        <v/>
      </c>
      <c r="AI291" s="17" t="str">
        <f>IF(ISNA($B291),"",IF($B291="","",IFERROR(_xll.BDP(TICKER,"DEEP_MEASURE_PERIOD_BROKER_VALUE","DEEP_MEASURE_ID_OVERRIDE",$C291,"DEEP_BROKER_ID_OVERRIDE",$F$7,"DEEP_PERIOD_OVERRIDE",AI$11)*1,"")))</f>
        <v/>
      </c>
      <c r="AJ291" s="17" t="str">
        <f>IF(ISNA($B291),"",IF($B291="","",IFERROR(_xll.BDP(TICKER,"DEEP_MEASURE_PERIOD_BROKER_VALUE","DEEP_MEASURE_ID_OVERRIDE",$C291,"DEEP_BROKER_ID_OVERRIDE",$F$7,"DEEP_PERIOD_OVERRIDE",AJ$11)*1,"")))</f>
        <v/>
      </c>
      <c r="AK291" s="17" t="str">
        <f>IF(ISNA($B291),"",IF($B291="","",IFERROR(_xll.BDP(TICKER,"DEEP_MEASURE_PERIOD_BROKER_VALUE","DEEP_MEASURE_ID_OVERRIDE",$C291,"DEEP_BROKER_ID_OVERRIDE",$F$7,"DEEP_PERIOD_OVERRIDE",AK$11)*1,"")))</f>
        <v/>
      </c>
      <c r="AL291" s="17" t="str">
        <f>IF(ISNA($B291),"",IF($B291="","",IFERROR(_xll.BDP(TICKER,"DEEP_MEASURE_PERIOD_BROKER_VALUE","DEEP_MEASURE_ID_OVERRIDE",$C291,"DEEP_BROKER_ID_OVERRIDE",$F$7,"DEEP_PERIOD_OVERRIDE",AL$11)*1,"")))</f>
        <v/>
      </c>
      <c r="AM291" s="17" t="str">
        <f>IF(ISNA($B291),"",IF($B291="","",IFERROR(_xll.BDP(TICKER,"DEEP_MEASURE_PERIOD_BROKER_VALUE","DEEP_MEASURE_ID_OVERRIDE",$C291,"DEEP_BROKER_ID_OVERRIDE",$F$7,"DEEP_PERIOD_OVERRIDE",AM$11)*1,"")))</f>
        <v/>
      </c>
      <c r="AN291" s="17" t="str">
        <f>IF(ISNA($B291),"",IF($B291="","",IFERROR(_xll.BDP(TICKER,"DEEP_MEASURE_PERIOD_BROKER_VALUE","DEEP_MEASURE_ID_OVERRIDE",$C291,"DEEP_BROKER_ID_OVERRIDE",$F$7,"DEEP_PERIOD_OVERRIDE",AN$11)*1,"")))</f>
        <v/>
      </c>
      <c r="AO291" s="17" t="str">
        <f>IF(ISNA($B291),"",IF($B291="","",IFERROR(_xll.BDP(TICKER,"DEEP_MEASURE_PERIOD_BROKER_VALUE","DEEP_MEASURE_ID_OVERRIDE",$C291,"DEEP_BROKER_ID_OVERRIDE",$F$7,"DEEP_PERIOD_OVERRIDE",AO$11)*1,"")))</f>
        <v/>
      </c>
      <c r="AP291" s="17" t="str">
        <f>IF(ISNA($B291),"",IF($B291="","",IFERROR(_xll.BDP(TICKER,"DEEP_MEASURE_PERIOD_BROKER_VALUE","DEEP_MEASURE_ID_OVERRIDE",$C291,"DEEP_BROKER_ID_OVERRIDE",$F$7,"DEEP_PERIOD_OVERRIDE",AP$11)*1,"")))</f>
        <v/>
      </c>
      <c r="AQ291" s="17" t="str">
        <f>IF(ISNA($B291),"",IF($B291="","",IFERROR(_xll.BDP(TICKER,"DEEP_MEASURE_PERIOD_BROKER_VALUE","DEEP_MEASURE_ID_OVERRIDE",$C291,"DEEP_BROKER_ID_OVERRIDE",$F$7,"DEEP_PERIOD_OVERRIDE",AQ$11)*1,"")))</f>
        <v/>
      </c>
    </row>
    <row r="292" spans="8:43" x14ac:dyDescent="0.25">
      <c r="H292" t="str">
        <f t="shared" si="6"/>
        <v/>
      </c>
      <c r="I292" s="17" t="str">
        <f>IF(ISNA($B292),"",IF($B292="","",IFERROR(_xll.BDP(TICKER,"DEEP_MEASURE_PERIOD_BROKER_VALUE","DEEP_MEASURE_ID_OVERRIDE",$C292,"DEEP_BROKER_ID_OVERRIDE",$F$7,"DEEP_PERIOD_OVERRIDE",I$11)*1,"")))</f>
        <v/>
      </c>
      <c r="J292" s="17" t="str">
        <f>IF(ISNA($B292),"",IF($B292="","",IFERROR(_xll.BDP(TICKER,"DEEP_MEASURE_PERIOD_BROKER_VALUE","DEEP_MEASURE_ID_OVERRIDE",$C292,"DEEP_BROKER_ID_OVERRIDE",$F$7,"DEEP_PERIOD_OVERRIDE",J$11)*1,"")))</f>
        <v/>
      </c>
      <c r="K292" s="17" t="str">
        <f>IF(ISNA($B292),"",IF($B292="","",IFERROR(_xll.BDP(TICKER,"DEEP_MEASURE_PERIOD_BROKER_VALUE","DEEP_MEASURE_ID_OVERRIDE",$C292,"DEEP_BROKER_ID_OVERRIDE",$F$7,"DEEP_PERIOD_OVERRIDE",K$11)*1,"")))</f>
        <v/>
      </c>
      <c r="L292" s="17" t="str">
        <f>IF(ISNA($B292),"",IF($B292="","",IFERROR(_xll.BDP(TICKER,"DEEP_MEASURE_PERIOD_BROKER_VALUE","DEEP_MEASURE_ID_OVERRIDE",$C292,"DEEP_BROKER_ID_OVERRIDE",$F$7,"DEEP_PERIOD_OVERRIDE",L$11)*1,"")))</f>
        <v/>
      </c>
      <c r="M292" s="17" t="str">
        <f>IF(ISNA($B292),"",IF($B292="","",IFERROR(_xll.BDP(TICKER,"DEEP_MEASURE_PERIOD_BROKER_VALUE","DEEP_MEASURE_ID_OVERRIDE",$C292,"DEEP_BROKER_ID_OVERRIDE",$F$7,"DEEP_PERIOD_OVERRIDE",M$11)*1,"")))</f>
        <v/>
      </c>
      <c r="N292" s="17" t="str">
        <f>IF(ISNA($B292),"",IF($B292="","",IFERROR(_xll.BDP(TICKER,"DEEP_MEASURE_PERIOD_BROKER_VALUE","DEEP_MEASURE_ID_OVERRIDE",$C292,"DEEP_BROKER_ID_OVERRIDE",$F$7,"DEEP_PERIOD_OVERRIDE",N$11)*1,"")))</f>
        <v/>
      </c>
      <c r="O292" s="17" t="str">
        <f>IF(ISNA($B292),"",IF($B292="","",IFERROR(_xll.BDP(TICKER,"DEEP_MEASURE_PERIOD_BROKER_VALUE","DEEP_MEASURE_ID_OVERRIDE",$C292,"DEEP_BROKER_ID_OVERRIDE",$F$7,"DEEP_PERIOD_OVERRIDE",O$11)*1,"")))</f>
        <v/>
      </c>
      <c r="P292" s="17" t="str">
        <f>IF(ISNA($B292),"",IF($B292="","",IFERROR(_xll.BDP(TICKER,"DEEP_MEASURE_PERIOD_BROKER_VALUE","DEEP_MEASURE_ID_OVERRIDE",$C292,"DEEP_BROKER_ID_OVERRIDE",$F$7,"DEEP_PERIOD_OVERRIDE",P$11)*1,"")))</f>
        <v/>
      </c>
      <c r="Q292" s="17" t="str">
        <f>IF(ISNA($B292),"",IF($B292="","",IFERROR(_xll.BDP(TICKER,"DEEP_MEASURE_PERIOD_BROKER_VALUE","DEEP_MEASURE_ID_OVERRIDE",$C292,"DEEP_BROKER_ID_OVERRIDE",$F$7,"DEEP_PERIOD_OVERRIDE",Q$11)*1,"")))</f>
        <v/>
      </c>
      <c r="R292" s="17" t="str">
        <f>IF(ISNA($B292),"",IF($B292="","",IFERROR(_xll.BDP(TICKER,"DEEP_MEASURE_PERIOD_BROKER_VALUE","DEEP_MEASURE_ID_OVERRIDE",$C292,"DEEP_BROKER_ID_OVERRIDE",$F$7,"DEEP_PERIOD_OVERRIDE",R$11)*1,"")))</f>
        <v/>
      </c>
      <c r="S292" s="17" t="str">
        <f>IF(ISNA($B292),"",IF($B292="","",IFERROR(_xll.BDP(TICKER,"DEEP_MEASURE_PERIOD_BROKER_VALUE","DEEP_MEASURE_ID_OVERRIDE",$C292,"DEEP_BROKER_ID_OVERRIDE",$F$7,"DEEP_PERIOD_OVERRIDE",S$11)*1,"")))</f>
        <v/>
      </c>
      <c r="T292" s="17" t="str">
        <f>IF(ISNA($B292),"",IF($B292="","",IFERROR(_xll.BDP(TICKER,"DEEP_MEASURE_PERIOD_BROKER_VALUE","DEEP_MEASURE_ID_OVERRIDE",$C292,"DEEP_BROKER_ID_OVERRIDE",$F$7,"DEEP_PERIOD_OVERRIDE",T$11)*1,"")))</f>
        <v/>
      </c>
      <c r="U292" s="17" t="str">
        <f>IF(ISNA($B292),"",IF($B292="","",IFERROR(_xll.BDP(TICKER,"DEEP_MEASURE_PERIOD_BROKER_VALUE","DEEP_MEASURE_ID_OVERRIDE",$C292,"DEEP_BROKER_ID_OVERRIDE",$F$7,"DEEP_PERIOD_OVERRIDE",U$11)*1,"")))</f>
        <v/>
      </c>
      <c r="V292" s="17" t="str">
        <f>IF(ISNA($B292),"",IF($B292="","",IFERROR(_xll.BDP(TICKER,"DEEP_MEASURE_PERIOD_BROKER_VALUE","DEEP_MEASURE_ID_OVERRIDE",$C292,"DEEP_BROKER_ID_OVERRIDE",$F$7,"DEEP_PERIOD_OVERRIDE",V$11)*1,"")))</f>
        <v/>
      </c>
      <c r="W292" s="17" t="str">
        <f>IF(ISNA($B292),"",IF($B292="","",IFERROR(_xll.BDP(TICKER,"DEEP_MEASURE_PERIOD_BROKER_VALUE","DEEP_MEASURE_ID_OVERRIDE",$C292,"DEEP_BROKER_ID_OVERRIDE",$F$7,"DEEP_PERIOD_OVERRIDE",W$11)*1,"")))</f>
        <v/>
      </c>
      <c r="X292" s="17" t="str">
        <f>IF(ISNA($B292),"",IF($B292="","",IFERROR(_xll.BDP(TICKER,"DEEP_MEASURE_PERIOD_BROKER_VALUE","DEEP_MEASURE_ID_OVERRIDE",$C292,"DEEP_BROKER_ID_OVERRIDE",$F$7,"DEEP_PERIOD_OVERRIDE",X$11)*1,"")))</f>
        <v/>
      </c>
      <c r="Y292" s="17" t="str">
        <f>IF(ISNA($B292),"",IF($B292="","",IFERROR(_xll.BDP(TICKER,"DEEP_MEASURE_PERIOD_BROKER_VALUE","DEEP_MEASURE_ID_OVERRIDE",$C292,"DEEP_BROKER_ID_OVERRIDE",$F$7,"DEEP_PERIOD_OVERRIDE",Y$11)*1,"")))</f>
        <v/>
      </c>
      <c r="Z292" s="17" t="str">
        <f>IF(ISNA($B292),"",IF($B292="","",IFERROR(_xll.BDP(TICKER,"DEEP_MEASURE_PERIOD_BROKER_VALUE","DEEP_MEASURE_ID_OVERRIDE",$C292,"DEEP_BROKER_ID_OVERRIDE",$F$7,"DEEP_PERIOD_OVERRIDE",Z$11)*1,"")))</f>
        <v/>
      </c>
      <c r="AA292" s="17" t="str">
        <f>IF(ISNA($B292),"",IF($B292="","",IFERROR(_xll.BDP(TICKER,"DEEP_MEASURE_PERIOD_BROKER_VALUE","DEEP_MEASURE_ID_OVERRIDE",$C292,"DEEP_BROKER_ID_OVERRIDE",$F$7,"DEEP_PERIOD_OVERRIDE",AA$11)*1,"")))</f>
        <v/>
      </c>
      <c r="AB292" s="17" t="str">
        <f>IF(ISNA($B292),"",IF($B292="","",IFERROR(_xll.BDP(TICKER,"DEEP_MEASURE_PERIOD_BROKER_VALUE","DEEP_MEASURE_ID_OVERRIDE",$C292,"DEEP_BROKER_ID_OVERRIDE",$F$7,"DEEP_PERIOD_OVERRIDE",AB$11)*1,"")))</f>
        <v/>
      </c>
      <c r="AC292" s="17" t="str">
        <f>IF(ISNA($B292),"",IF($B292="","",IFERROR(_xll.BDP(TICKER,"DEEP_MEASURE_PERIOD_BROKER_VALUE","DEEP_MEASURE_ID_OVERRIDE",$C292,"DEEP_BROKER_ID_OVERRIDE",$F$7,"DEEP_PERIOD_OVERRIDE",AC$11)*1,"")))</f>
        <v/>
      </c>
      <c r="AD292" s="17" t="str">
        <f>IF(ISNA($B292),"",IF($B292="","",IFERROR(_xll.BDP(TICKER,"DEEP_MEASURE_PERIOD_BROKER_VALUE","DEEP_MEASURE_ID_OVERRIDE",$C292,"DEEP_BROKER_ID_OVERRIDE",$F$7,"DEEP_PERIOD_OVERRIDE",AD$11)*1,"")))</f>
        <v/>
      </c>
      <c r="AE292" s="17" t="str">
        <f>IF(ISNA($B292),"",IF($B292="","",IFERROR(_xll.BDP(TICKER,"DEEP_MEASURE_PERIOD_BROKER_VALUE","DEEP_MEASURE_ID_OVERRIDE",$C292,"DEEP_BROKER_ID_OVERRIDE",$F$7,"DEEP_PERIOD_OVERRIDE",AE$11)*1,"")))</f>
        <v/>
      </c>
      <c r="AF292" s="17" t="str">
        <f>IF(ISNA($B292),"",IF($B292="","",IFERROR(_xll.BDP(TICKER,"DEEP_MEASURE_PERIOD_BROKER_VALUE","DEEP_MEASURE_ID_OVERRIDE",$C292,"DEEP_BROKER_ID_OVERRIDE",$F$7,"DEEP_PERIOD_OVERRIDE",AF$11)*1,"")))</f>
        <v/>
      </c>
      <c r="AG292" s="17" t="str">
        <f>IF(ISNA($B292),"",IF($B292="","",IFERROR(_xll.BDP(TICKER,"DEEP_MEASURE_PERIOD_BROKER_VALUE","DEEP_MEASURE_ID_OVERRIDE",$C292,"DEEP_BROKER_ID_OVERRIDE",$F$7,"DEEP_PERIOD_OVERRIDE",AG$11)*1,"")))</f>
        <v/>
      </c>
      <c r="AH292" s="17" t="str">
        <f>IF(ISNA($B292),"",IF($B292="","",IFERROR(_xll.BDP(TICKER,"DEEP_MEASURE_PERIOD_BROKER_VALUE","DEEP_MEASURE_ID_OVERRIDE",$C292,"DEEP_BROKER_ID_OVERRIDE",$F$7,"DEEP_PERIOD_OVERRIDE",AH$11)*1,"")))</f>
        <v/>
      </c>
      <c r="AI292" s="17" t="str">
        <f>IF(ISNA($B292),"",IF($B292="","",IFERROR(_xll.BDP(TICKER,"DEEP_MEASURE_PERIOD_BROKER_VALUE","DEEP_MEASURE_ID_OVERRIDE",$C292,"DEEP_BROKER_ID_OVERRIDE",$F$7,"DEEP_PERIOD_OVERRIDE",AI$11)*1,"")))</f>
        <v/>
      </c>
      <c r="AJ292" s="17" t="str">
        <f>IF(ISNA($B292),"",IF($B292="","",IFERROR(_xll.BDP(TICKER,"DEEP_MEASURE_PERIOD_BROKER_VALUE","DEEP_MEASURE_ID_OVERRIDE",$C292,"DEEP_BROKER_ID_OVERRIDE",$F$7,"DEEP_PERIOD_OVERRIDE",AJ$11)*1,"")))</f>
        <v/>
      </c>
      <c r="AK292" s="17" t="str">
        <f>IF(ISNA($B292),"",IF($B292="","",IFERROR(_xll.BDP(TICKER,"DEEP_MEASURE_PERIOD_BROKER_VALUE","DEEP_MEASURE_ID_OVERRIDE",$C292,"DEEP_BROKER_ID_OVERRIDE",$F$7,"DEEP_PERIOD_OVERRIDE",AK$11)*1,"")))</f>
        <v/>
      </c>
      <c r="AL292" s="17" t="str">
        <f>IF(ISNA($B292),"",IF($B292="","",IFERROR(_xll.BDP(TICKER,"DEEP_MEASURE_PERIOD_BROKER_VALUE","DEEP_MEASURE_ID_OVERRIDE",$C292,"DEEP_BROKER_ID_OVERRIDE",$F$7,"DEEP_PERIOD_OVERRIDE",AL$11)*1,"")))</f>
        <v/>
      </c>
      <c r="AM292" s="17" t="str">
        <f>IF(ISNA($B292),"",IF($B292="","",IFERROR(_xll.BDP(TICKER,"DEEP_MEASURE_PERIOD_BROKER_VALUE","DEEP_MEASURE_ID_OVERRIDE",$C292,"DEEP_BROKER_ID_OVERRIDE",$F$7,"DEEP_PERIOD_OVERRIDE",AM$11)*1,"")))</f>
        <v/>
      </c>
      <c r="AN292" s="17" t="str">
        <f>IF(ISNA($B292),"",IF($B292="","",IFERROR(_xll.BDP(TICKER,"DEEP_MEASURE_PERIOD_BROKER_VALUE","DEEP_MEASURE_ID_OVERRIDE",$C292,"DEEP_BROKER_ID_OVERRIDE",$F$7,"DEEP_PERIOD_OVERRIDE",AN$11)*1,"")))</f>
        <v/>
      </c>
      <c r="AO292" s="17" t="str">
        <f>IF(ISNA($B292),"",IF($B292="","",IFERROR(_xll.BDP(TICKER,"DEEP_MEASURE_PERIOD_BROKER_VALUE","DEEP_MEASURE_ID_OVERRIDE",$C292,"DEEP_BROKER_ID_OVERRIDE",$F$7,"DEEP_PERIOD_OVERRIDE",AO$11)*1,"")))</f>
        <v/>
      </c>
      <c r="AP292" s="17" t="str">
        <f>IF(ISNA($B292),"",IF($B292="","",IFERROR(_xll.BDP(TICKER,"DEEP_MEASURE_PERIOD_BROKER_VALUE","DEEP_MEASURE_ID_OVERRIDE",$C292,"DEEP_BROKER_ID_OVERRIDE",$F$7,"DEEP_PERIOD_OVERRIDE",AP$11)*1,"")))</f>
        <v/>
      </c>
      <c r="AQ292" s="17" t="str">
        <f>IF(ISNA($B292),"",IF($B292="","",IFERROR(_xll.BDP(TICKER,"DEEP_MEASURE_PERIOD_BROKER_VALUE","DEEP_MEASURE_ID_OVERRIDE",$C292,"DEEP_BROKER_ID_OVERRIDE",$F$7,"DEEP_PERIOD_OVERRIDE",AQ$11)*1,"")))</f>
        <v/>
      </c>
    </row>
    <row r="293" spans="8:43" x14ac:dyDescent="0.25">
      <c r="H293" t="str">
        <f t="shared" si="6"/>
        <v/>
      </c>
      <c r="I293" s="17" t="str">
        <f>IF(ISNA($B293),"",IF($B293="","",IFERROR(_xll.BDP(TICKER,"DEEP_MEASURE_PERIOD_BROKER_VALUE","DEEP_MEASURE_ID_OVERRIDE",$C293,"DEEP_BROKER_ID_OVERRIDE",$F$7,"DEEP_PERIOD_OVERRIDE",I$11)*1,"")))</f>
        <v/>
      </c>
      <c r="J293" s="17" t="str">
        <f>IF(ISNA($B293),"",IF($B293="","",IFERROR(_xll.BDP(TICKER,"DEEP_MEASURE_PERIOD_BROKER_VALUE","DEEP_MEASURE_ID_OVERRIDE",$C293,"DEEP_BROKER_ID_OVERRIDE",$F$7,"DEEP_PERIOD_OVERRIDE",J$11)*1,"")))</f>
        <v/>
      </c>
      <c r="K293" s="17" t="str">
        <f>IF(ISNA($B293),"",IF($B293="","",IFERROR(_xll.BDP(TICKER,"DEEP_MEASURE_PERIOD_BROKER_VALUE","DEEP_MEASURE_ID_OVERRIDE",$C293,"DEEP_BROKER_ID_OVERRIDE",$F$7,"DEEP_PERIOD_OVERRIDE",K$11)*1,"")))</f>
        <v/>
      </c>
      <c r="L293" s="17" t="str">
        <f>IF(ISNA($B293),"",IF($B293="","",IFERROR(_xll.BDP(TICKER,"DEEP_MEASURE_PERIOD_BROKER_VALUE","DEEP_MEASURE_ID_OVERRIDE",$C293,"DEEP_BROKER_ID_OVERRIDE",$F$7,"DEEP_PERIOD_OVERRIDE",L$11)*1,"")))</f>
        <v/>
      </c>
      <c r="M293" s="17" t="str">
        <f>IF(ISNA($B293),"",IF($B293="","",IFERROR(_xll.BDP(TICKER,"DEEP_MEASURE_PERIOD_BROKER_VALUE","DEEP_MEASURE_ID_OVERRIDE",$C293,"DEEP_BROKER_ID_OVERRIDE",$F$7,"DEEP_PERIOD_OVERRIDE",M$11)*1,"")))</f>
        <v/>
      </c>
      <c r="N293" s="17" t="str">
        <f>IF(ISNA($B293),"",IF($B293="","",IFERROR(_xll.BDP(TICKER,"DEEP_MEASURE_PERIOD_BROKER_VALUE","DEEP_MEASURE_ID_OVERRIDE",$C293,"DEEP_BROKER_ID_OVERRIDE",$F$7,"DEEP_PERIOD_OVERRIDE",N$11)*1,"")))</f>
        <v/>
      </c>
      <c r="O293" s="17" t="str">
        <f>IF(ISNA($B293),"",IF($B293="","",IFERROR(_xll.BDP(TICKER,"DEEP_MEASURE_PERIOD_BROKER_VALUE","DEEP_MEASURE_ID_OVERRIDE",$C293,"DEEP_BROKER_ID_OVERRIDE",$F$7,"DEEP_PERIOD_OVERRIDE",O$11)*1,"")))</f>
        <v/>
      </c>
      <c r="P293" s="17" t="str">
        <f>IF(ISNA($B293),"",IF($B293="","",IFERROR(_xll.BDP(TICKER,"DEEP_MEASURE_PERIOD_BROKER_VALUE","DEEP_MEASURE_ID_OVERRIDE",$C293,"DEEP_BROKER_ID_OVERRIDE",$F$7,"DEEP_PERIOD_OVERRIDE",P$11)*1,"")))</f>
        <v/>
      </c>
      <c r="Q293" s="17" t="str">
        <f>IF(ISNA($B293),"",IF($B293="","",IFERROR(_xll.BDP(TICKER,"DEEP_MEASURE_PERIOD_BROKER_VALUE","DEEP_MEASURE_ID_OVERRIDE",$C293,"DEEP_BROKER_ID_OVERRIDE",$F$7,"DEEP_PERIOD_OVERRIDE",Q$11)*1,"")))</f>
        <v/>
      </c>
      <c r="R293" s="17" t="str">
        <f>IF(ISNA($B293),"",IF($B293="","",IFERROR(_xll.BDP(TICKER,"DEEP_MEASURE_PERIOD_BROKER_VALUE","DEEP_MEASURE_ID_OVERRIDE",$C293,"DEEP_BROKER_ID_OVERRIDE",$F$7,"DEEP_PERIOD_OVERRIDE",R$11)*1,"")))</f>
        <v/>
      </c>
      <c r="S293" s="17" t="str">
        <f>IF(ISNA($B293),"",IF($B293="","",IFERROR(_xll.BDP(TICKER,"DEEP_MEASURE_PERIOD_BROKER_VALUE","DEEP_MEASURE_ID_OVERRIDE",$C293,"DEEP_BROKER_ID_OVERRIDE",$F$7,"DEEP_PERIOD_OVERRIDE",S$11)*1,"")))</f>
        <v/>
      </c>
      <c r="T293" s="17" t="str">
        <f>IF(ISNA($B293),"",IF($B293="","",IFERROR(_xll.BDP(TICKER,"DEEP_MEASURE_PERIOD_BROKER_VALUE","DEEP_MEASURE_ID_OVERRIDE",$C293,"DEEP_BROKER_ID_OVERRIDE",$F$7,"DEEP_PERIOD_OVERRIDE",T$11)*1,"")))</f>
        <v/>
      </c>
      <c r="U293" s="17" t="str">
        <f>IF(ISNA($B293),"",IF($B293="","",IFERROR(_xll.BDP(TICKER,"DEEP_MEASURE_PERIOD_BROKER_VALUE","DEEP_MEASURE_ID_OVERRIDE",$C293,"DEEP_BROKER_ID_OVERRIDE",$F$7,"DEEP_PERIOD_OVERRIDE",U$11)*1,"")))</f>
        <v/>
      </c>
      <c r="V293" s="17" t="str">
        <f>IF(ISNA($B293),"",IF($B293="","",IFERROR(_xll.BDP(TICKER,"DEEP_MEASURE_PERIOD_BROKER_VALUE","DEEP_MEASURE_ID_OVERRIDE",$C293,"DEEP_BROKER_ID_OVERRIDE",$F$7,"DEEP_PERIOD_OVERRIDE",V$11)*1,"")))</f>
        <v/>
      </c>
      <c r="W293" s="17" t="str">
        <f>IF(ISNA($B293),"",IF($B293="","",IFERROR(_xll.BDP(TICKER,"DEEP_MEASURE_PERIOD_BROKER_VALUE","DEEP_MEASURE_ID_OVERRIDE",$C293,"DEEP_BROKER_ID_OVERRIDE",$F$7,"DEEP_PERIOD_OVERRIDE",W$11)*1,"")))</f>
        <v/>
      </c>
      <c r="X293" s="17" t="str">
        <f>IF(ISNA($B293),"",IF($B293="","",IFERROR(_xll.BDP(TICKER,"DEEP_MEASURE_PERIOD_BROKER_VALUE","DEEP_MEASURE_ID_OVERRIDE",$C293,"DEEP_BROKER_ID_OVERRIDE",$F$7,"DEEP_PERIOD_OVERRIDE",X$11)*1,"")))</f>
        <v/>
      </c>
      <c r="Y293" s="17" t="str">
        <f>IF(ISNA($B293),"",IF($B293="","",IFERROR(_xll.BDP(TICKER,"DEEP_MEASURE_PERIOD_BROKER_VALUE","DEEP_MEASURE_ID_OVERRIDE",$C293,"DEEP_BROKER_ID_OVERRIDE",$F$7,"DEEP_PERIOD_OVERRIDE",Y$11)*1,"")))</f>
        <v/>
      </c>
      <c r="Z293" s="17" t="str">
        <f>IF(ISNA($B293),"",IF($B293="","",IFERROR(_xll.BDP(TICKER,"DEEP_MEASURE_PERIOD_BROKER_VALUE","DEEP_MEASURE_ID_OVERRIDE",$C293,"DEEP_BROKER_ID_OVERRIDE",$F$7,"DEEP_PERIOD_OVERRIDE",Z$11)*1,"")))</f>
        <v/>
      </c>
      <c r="AA293" s="17" t="str">
        <f>IF(ISNA($B293),"",IF($B293="","",IFERROR(_xll.BDP(TICKER,"DEEP_MEASURE_PERIOD_BROKER_VALUE","DEEP_MEASURE_ID_OVERRIDE",$C293,"DEEP_BROKER_ID_OVERRIDE",$F$7,"DEEP_PERIOD_OVERRIDE",AA$11)*1,"")))</f>
        <v/>
      </c>
      <c r="AB293" s="17" t="str">
        <f>IF(ISNA($B293),"",IF($B293="","",IFERROR(_xll.BDP(TICKER,"DEEP_MEASURE_PERIOD_BROKER_VALUE","DEEP_MEASURE_ID_OVERRIDE",$C293,"DEEP_BROKER_ID_OVERRIDE",$F$7,"DEEP_PERIOD_OVERRIDE",AB$11)*1,"")))</f>
        <v/>
      </c>
      <c r="AC293" s="17" t="str">
        <f>IF(ISNA($B293),"",IF($B293="","",IFERROR(_xll.BDP(TICKER,"DEEP_MEASURE_PERIOD_BROKER_VALUE","DEEP_MEASURE_ID_OVERRIDE",$C293,"DEEP_BROKER_ID_OVERRIDE",$F$7,"DEEP_PERIOD_OVERRIDE",AC$11)*1,"")))</f>
        <v/>
      </c>
      <c r="AD293" s="17" t="str">
        <f>IF(ISNA($B293),"",IF($B293="","",IFERROR(_xll.BDP(TICKER,"DEEP_MEASURE_PERIOD_BROKER_VALUE","DEEP_MEASURE_ID_OVERRIDE",$C293,"DEEP_BROKER_ID_OVERRIDE",$F$7,"DEEP_PERIOD_OVERRIDE",AD$11)*1,"")))</f>
        <v/>
      </c>
      <c r="AE293" s="17" t="str">
        <f>IF(ISNA($B293),"",IF($B293="","",IFERROR(_xll.BDP(TICKER,"DEEP_MEASURE_PERIOD_BROKER_VALUE","DEEP_MEASURE_ID_OVERRIDE",$C293,"DEEP_BROKER_ID_OVERRIDE",$F$7,"DEEP_PERIOD_OVERRIDE",AE$11)*1,"")))</f>
        <v/>
      </c>
      <c r="AF293" s="17" t="str">
        <f>IF(ISNA($B293),"",IF($B293="","",IFERROR(_xll.BDP(TICKER,"DEEP_MEASURE_PERIOD_BROKER_VALUE","DEEP_MEASURE_ID_OVERRIDE",$C293,"DEEP_BROKER_ID_OVERRIDE",$F$7,"DEEP_PERIOD_OVERRIDE",AF$11)*1,"")))</f>
        <v/>
      </c>
      <c r="AG293" s="17" t="str">
        <f>IF(ISNA($B293),"",IF($B293="","",IFERROR(_xll.BDP(TICKER,"DEEP_MEASURE_PERIOD_BROKER_VALUE","DEEP_MEASURE_ID_OVERRIDE",$C293,"DEEP_BROKER_ID_OVERRIDE",$F$7,"DEEP_PERIOD_OVERRIDE",AG$11)*1,"")))</f>
        <v/>
      </c>
      <c r="AH293" s="17" t="str">
        <f>IF(ISNA($B293),"",IF($B293="","",IFERROR(_xll.BDP(TICKER,"DEEP_MEASURE_PERIOD_BROKER_VALUE","DEEP_MEASURE_ID_OVERRIDE",$C293,"DEEP_BROKER_ID_OVERRIDE",$F$7,"DEEP_PERIOD_OVERRIDE",AH$11)*1,"")))</f>
        <v/>
      </c>
      <c r="AI293" s="17" t="str">
        <f>IF(ISNA($B293),"",IF($B293="","",IFERROR(_xll.BDP(TICKER,"DEEP_MEASURE_PERIOD_BROKER_VALUE","DEEP_MEASURE_ID_OVERRIDE",$C293,"DEEP_BROKER_ID_OVERRIDE",$F$7,"DEEP_PERIOD_OVERRIDE",AI$11)*1,"")))</f>
        <v/>
      </c>
      <c r="AJ293" s="17" t="str">
        <f>IF(ISNA($B293),"",IF($B293="","",IFERROR(_xll.BDP(TICKER,"DEEP_MEASURE_PERIOD_BROKER_VALUE","DEEP_MEASURE_ID_OVERRIDE",$C293,"DEEP_BROKER_ID_OVERRIDE",$F$7,"DEEP_PERIOD_OVERRIDE",AJ$11)*1,"")))</f>
        <v/>
      </c>
      <c r="AK293" s="17" t="str">
        <f>IF(ISNA($B293),"",IF($B293="","",IFERROR(_xll.BDP(TICKER,"DEEP_MEASURE_PERIOD_BROKER_VALUE","DEEP_MEASURE_ID_OVERRIDE",$C293,"DEEP_BROKER_ID_OVERRIDE",$F$7,"DEEP_PERIOD_OVERRIDE",AK$11)*1,"")))</f>
        <v/>
      </c>
      <c r="AL293" s="17" t="str">
        <f>IF(ISNA($B293),"",IF($B293="","",IFERROR(_xll.BDP(TICKER,"DEEP_MEASURE_PERIOD_BROKER_VALUE","DEEP_MEASURE_ID_OVERRIDE",$C293,"DEEP_BROKER_ID_OVERRIDE",$F$7,"DEEP_PERIOD_OVERRIDE",AL$11)*1,"")))</f>
        <v/>
      </c>
      <c r="AM293" s="17" t="str">
        <f>IF(ISNA($B293),"",IF($B293="","",IFERROR(_xll.BDP(TICKER,"DEEP_MEASURE_PERIOD_BROKER_VALUE","DEEP_MEASURE_ID_OVERRIDE",$C293,"DEEP_BROKER_ID_OVERRIDE",$F$7,"DEEP_PERIOD_OVERRIDE",AM$11)*1,"")))</f>
        <v/>
      </c>
      <c r="AN293" s="17" t="str">
        <f>IF(ISNA($B293),"",IF($B293="","",IFERROR(_xll.BDP(TICKER,"DEEP_MEASURE_PERIOD_BROKER_VALUE","DEEP_MEASURE_ID_OVERRIDE",$C293,"DEEP_BROKER_ID_OVERRIDE",$F$7,"DEEP_PERIOD_OVERRIDE",AN$11)*1,"")))</f>
        <v/>
      </c>
      <c r="AO293" s="17" t="str">
        <f>IF(ISNA($B293),"",IF($B293="","",IFERROR(_xll.BDP(TICKER,"DEEP_MEASURE_PERIOD_BROKER_VALUE","DEEP_MEASURE_ID_OVERRIDE",$C293,"DEEP_BROKER_ID_OVERRIDE",$F$7,"DEEP_PERIOD_OVERRIDE",AO$11)*1,"")))</f>
        <v/>
      </c>
      <c r="AP293" s="17" t="str">
        <f>IF(ISNA($B293),"",IF($B293="","",IFERROR(_xll.BDP(TICKER,"DEEP_MEASURE_PERIOD_BROKER_VALUE","DEEP_MEASURE_ID_OVERRIDE",$C293,"DEEP_BROKER_ID_OVERRIDE",$F$7,"DEEP_PERIOD_OVERRIDE",AP$11)*1,"")))</f>
        <v/>
      </c>
      <c r="AQ293" s="17" t="str">
        <f>IF(ISNA($B293),"",IF($B293="","",IFERROR(_xll.BDP(TICKER,"DEEP_MEASURE_PERIOD_BROKER_VALUE","DEEP_MEASURE_ID_OVERRIDE",$C293,"DEEP_BROKER_ID_OVERRIDE",$F$7,"DEEP_PERIOD_OVERRIDE",AQ$11)*1,"")))</f>
        <v/>
      </c>
    </row>
    <row r="294" spans="8:43" x14ac:dyDescent="0.25">
      <c r="H294" t="str">
        <f t="shared" si="6"/>
        <v/>
      </c>
      <c r="I294" s="17" t="str">
        <f>IF(ISNA($B294),"",IF($B294="","",IFERROR(_xll.BDP(TICKER,"DEEP_MEASURE_PERIOD_BROKER_VALUE","DEEP_MEASURE_ID_OVERRIDE",$C294,"DEEP_BROKER_ID_OVERRIDE",$F$7,"DEEP_PERIOD_OVERRIDE",I$11)*1,"")))</f>
        <v/>
      </c>
      <c r="J294" s="17" t="str">
        <f>IF(ISNA($B294),"",IF($B294="","",IFERROR(_xll.BDP(TICKER,"DEEP_MEASURE_PERIOD_BROKER_VALUE","DEEP_MEASURE_ID_OVERRIDE",$C294,"DEEP_BROKER_ID_OVERRIDE",$F$7,"DEEP_PERIOD_OVERRIDE",J$11)*1,"")))</f>
        <v/>
      </c>
      <c r="K294" s="17" t="str">
        <f>IF(ISNA($B294),"",IF($B294="","",IFERROR(_xll.BDP(TICKER,"DEEP_MEASURE_PERIOD_BROKER_VALUE","DEEP_MEASURE_ID_OVERRIDE",$C294,"DEEP_BROKER_ID_OVERRIDE",$F$7,"DEEP_PERIOD_OVERRIDE",K$11)*1,"")))</f>
        <v/>
      </c>
      <c r="L294" s="17" t="str">
        <f>IF(ISNA($B294),"",IF($B294="","",IFERROR(_xll.BDP(TICKER,"DEEP_MEASURE_PERIOD_BROKER_VALUE","DEEP_MEASURE_ID_OVERRIDE",$C294,"DEEP_BROKER_ID_OVERRIDE",$F$7,"DEEP_PERIOD_OVERRIDE",L$11)*1,"")))</f>
        <v/>
      </c>
      <c r="M294" s="17" t="str">
        <f>IF(ISNA($B294),"",IF($B294="","",IFERROR(_xll.BDP(TICKER,"DEEP_MEASURE_PERIOD_BROKER_VALUE","DEEP_MEASURE_ID_OVERRIDE",$C294,"DEEP_BROKER_ID_OVERRIDE",$F$7,"DEEP_PERIOD_OVERRIDE",M$11)*1,"")))</f>
        <v/>
      </c>
      <c r="N294" s="17" t="str">
        <f>IF(ISNA($B294),"",IF($B294="","",IFERROR(_xll.BDP(TICKER,"DEEP_MEASURE_PERIOD_BROKER_VALUE","DEEP_MEASURE_ID_OVERRIDE",$C294,"DEEP_BROKER_ID_OVERRIDE",$F$7,"DEEP_PERIOD_OVERRIDE",N$11)*1,"")))</f>
        <v/>
      </c>
      <c r="O294" s="17" t="str">
        <f>IF(ISNA($B294),"",IF($B294="","",IFERROR(_xll.BDP(TICKER,"DEEP_MEASURE_PERIOD_BROKER_VALUE","DEEP_MEASURE_ID_OVERRIDE",$C294,"DEEP_BROKER_ID_OVERRIDE",$F$7,"DEEP_PERIOD_OVERRIDE",O$11)*1,"")))</f>
        <v/>
      </c>
      <c r="P294" s="17" t="str">
        <f>IF(ISNA($B294),"",IF($B294="","",IFERROR(_xll.BDP(TICKER,"DEEP_MEASURE_PERIOD_BROKER_VALUE","DEEP_MEASURE_ID_OVERRIDE",$C294,"DEEP_BROKER_ID_OVERRIDE",$F$7,"DEEP_PERIOD_OVERRIDE",P$11)*1,"")))</f>
        <v/>
      </c>
      <c r="Q294" s="17" t="str">
        <f>IF(ISNA($B294),"",IF($B294="","",IFERROR(_xll.BDP(TICKER,"DEEP_MEASURE_PERIOD_BROKER_VALUE","DEEP_MEASURE_ID_OVERRIDE",$C294,"DEEP_BROKER_ID_OVERRIDE",$F$7,"DEEP_PERIOD_OVERRIDE",Q$11)*1,"")))</f>
        <v/>
      </c>
      <c r="R294" s="17" t="str">
        <f>IF(ISNA($B294),"",IF($B294="","",IFERROR(_xll.BDP(TICKER,"DEEP_MEASURE_PERIOD_BROKER_VALUE","DEEP_MEASURE_ID_OVERRIDE",$C294,"DEEP_BROKER_ID_OVERRIDE",$F$7,"DEEP_PERIOD_OVERRIDE",R$11)*1,"")))</f>
        <v/>
      </c>
      <c r="S294" s="17" t="str">
        <f>IF(ISNA($B294),"",IF($B294="","",IFERROR(_xll.BDP(TICKER,"DEEP_MEASURE_PERIOD_BROKER_VALUE","DEEP_MEASURE_ID_OVERRIDE",$C294,"DEEP_BROKER_ID_OVERRIDE",$F$7,"DEEP_PERIOD_OVERRIDE",S$11)*1,"")))</f>
        <v/>
      </c>
      <c r="T294" s="17" t="str">
        <f>IF(ISNA($B294),"",IF($B294="","",IFERROR(_xll.BDP(TICKER,"DEEP_MEASURE_PERIOD_BROKER_VALUE","DEEP_MEASURE_ID_OVERRIDE",$C294,"DEEP_BROKER_ID_OVERRIDE",$F$7,"DEEP_PERIOD_OVERRIDE",T$11)*1,"")))</f>
        <v/>
      </c>
      <c r="U294" s="17" t="str">
        <f>IF(ISNA($B294),"",IF($B294="","",IFERROR(_xll.BDP(TICKER,"DEEP_MEASURE_PERIOD_BROKER_VALUE","DEEP_MEASURE_ID_OVERRIDE",$C294,"DEEP_BROKER_ID_OVERRIDE",$F$7,"DEEP_PERIOD_OVERRIDE",U$11)*1,"")))</f>
        <v/>
      </c>
      <c r="V294" s="17" t="str">
        <f>IF(ISNA($B294),"",IF($B294="","",IFERROR(_xll.BDP(TICKER,"DEEP_MEASURE_PERIOD_BROKER_VALUE","DEEP_MEASURE_ID_OVERRIDE",$C294,"DEEP_BROKER_ID_OVERRIDE",$F$7,"DEEP_PERIOD_OVERRIDE",V$11)*1,"")))</f>
        <v/>
      </c>
      <c r="W294" s="17" t="str">
        <f>IF(ISNA($B294),"",IF($B294="","",IFERROR(_xll.BDP(TICKER,"DEEP_MEASURE_PERIOD_BROKER_VALUE","DEEP_MEASURE_ID_OVERRIDE",$C294,"DEEP_BROKER_ID_OVERRIDE",$F$7,"DEEP_PERIOD_OVERRIDE",W$11)*1,"")))</f>
        <v/>
      </c>
      <c r="X294" s="17" t="str">
        <f>IF(ISNA($B294),"",IF($B294="","",IFERROR(_xll.BDP(TICKER,"DEEP_MEASURE_PERIOD_BROKER_VALUE","DEEP_MEASURE_ID_OVERRIDE",$C294,"DEEP_BROKER_ID_OVERRIDE",$F$7,"DEEP_PERIOD_OVERRIDE",X$11)*1,"")))</f>
        <v/>
      </c>
      <c r="Y294" s="17" t="str">
        <f>IF(ISNA($B294),"",IF($B294="","",IFERROR(_xll.BDP(TICKER,"DEEP_MEASURE_PERIOD_BROKER_VALUE","DEEP_MEASURE_ID_OVERRIDE",$C294,"DEEP_BROKER_ID_OVERRIDE",$F$7,"DEEP_PERIOD_OVERRIDE",Y$11)*1,"")))</f>
        <v/>
      </c>
      <c r="Z294" s="17" t="str">
        <f>IF(ISNA($B294),"",IF($B294="","",IFERROR(_xll.BDP(TICKER,"DEEP_MEASURE_PERIOD_BROKER_VALUE","DEEP_MEASURE_ID_OVERRIDE",$C294,"DEEP_BROKER_ID_OVERRIDE",$F$7,"DEEP_PERIOD_OVERRIDE",Z$11)*1,"")))</f>
        <v/>
      </c>
      <c r="AA294" s="17" t="str">
        <f>IF(ISNA($B294),"",IF($B294="","",IFERROR(_xll.BDP(TICKER,"DEEP_MEASURE_PERIOD_BROKER_VALUE","DEEP_MEASURE_ID_OVERRIDE",$C294,"DEEP_BROKER_ID_OVERRIDE",$F$7,"DEEP_PERIOD_OVERRIDE",AA$11)*1,"")))</f>
        <v/>
      </c>
      <c r="AB294" s="17" t="str">
        <f>IF(ISNA($B294),"",IF($B294="","",IFERROR(_xll.BDP(TICKER,"DEEP_MEASURE_PERIOD_BROKER_VALUE","DEEP_MEASURE_ID_OVERRIDE",$C294,"DEEP_BROKER_ID_OVERRIDE",$F$7,"DEEP_PERIOD_OVERRIDE",AB$11)*1,"")))</f>
        <v/>
      </c>
      <c r="AC294" s="17" t="str">
        <f>IF(ISNA($B294),"",IF($B294="","",IFERROR(_xll.BDP(TICKER,"DEEP_MEASURE_PERIOD_BROKER_VALUE","DEEP_MEASURE_ID_OVERRIDE",$C294,"DEEP_BROKER_ID_OVERRIDE",$F$7,"DEEP_PERIOD_OVERRIDE",AC$11)*1,"")))</f>
        <v/>
      </c>
      <c r="AD294" s="17" t="str">
        <f>IF(ISNA($B294),"",IF($B294="","",IFERROR(_xll.BDP(TICKER,"DEEP_MEASURE_PERIOD_BROKER_VALUE","DEEP_MEASURE_ID_OVERRIDE",$C294,"DEEP_BROKER_ID_OVERRIDE",$F$7,"DEEP_PERIOD_OVERRIDE",AD$11)*1,"")))</f>
        <v/>
      </c>
      <c r="AE294" s="17" t="str">
        <f>IF(ISNA($B294),"",IF($B294="","",IFERROR(_xll.BDP(TICKER,"DEEP_MEASURE_PERIOD_BROKER_VALUE","DEEP_MEASURE_ID_OVERRIDE",$C294,"DEEP_BROKER_ID_OVERRIDE",$F$7,"DEEP_PERIOD_OVERRIDE",AE$11)*1,"")))</f>
        <v/>
      </c>
      <c r="AF294" s="17" t="str">
        <f>IF(ISNA($B294),"",IF($B294="","",IFERROR(_xll.BDP(TICKER,"DEEP_MEASURE_PERIOD_BROKER_VALUE","DEEP_MEASURE_ID_OVERRIDE",$C294,"DEEP_BROKER_ID_OVERRIDE",$F$7,"DEEP_PERIOD_OVERRIDE",AF$11)*1,"")))</f>
        <v/>
      </c>
      <c r="AG294" s="17" t="str">
        <f>IF(ISNA($B294),"",IF($B294="","",IFERROR(_xll.BDP(TICKER,"DEEP_MEASURE_PERIOD_BROKER_VALUE","DEEP_MEASURE_ID_OVERRIDE",$C294,"DEEP_BROKER_ID_OVERRIDE",$F$7,"DEEP_PERIOD_OVERRIDE",AG$11)*1,"")))</f>
        <v/>
      </c>
      <c r="AH294" s="17" t="str">
        <f>IF(ISNA($B294),"",IF($B294="","",IFERROR(_xll.BDP(TICKER,"DEEP_MEASURE_PERIOD_BROKER_VALUE","DEEP_MEASURE_ID_OVERRIDE",$C294,"DEEP_BROKER_ID_OVERRIDE",$F$7,"DEEP_PERIOD_OVERRIDE",AH$11)*1,"")))</f>
        <v/>
      </c>
      <c r="AI294" s="17" t="str">
        <f>IF(ISNA($B294),"",IF($B294="","",IFERROR(_xll.BDP(TICKER,"DEEP_MEASURE_PERIOD_BROKER_VALUE","DEEP_MEASURE_ID_OVERRIDE",$C294,"DEEP_BROKER_ID_OVERRIDE",$F$7,"DEEP_PERIOD_OVERRIDE",AI$11)*1,"")))</f>
        <v/>
      </c>
      <c r="AJ294" s="17" t="str">
        <f>IF(ISNA($B294),"",IF($B294="","",IFERROR(_xll.BDP(TICKER,"DEEP_MEASURE_PERIOD_BROKER_VALUE","DEEP_MEASURE_ID_OVERRIDE",$C294,"DEEP_BROKER_ID_OVERRIDE",$F$7,"DEEP_PERIOD_OVERRIDE",AJ$11)*1,"")))</f>
        <v/>
      </c>
      <c r="AK294" s="17" t="str">
        <f>IF(ISNA($B294),"",IF($B294="","",IFERROR(_xll.BDP(TICKER,"DEEP_MEASURE_PERIOD_BROKER_VALUE","DEEP_MEASURE_ID_OVERRIDE",$C294,"DEEP_BROKER_ID_OVERRIDE",$F$7,"DEEP_PERIOD_OVERRIDE",AK$11)*1,"")))</f>
        <v/>
      </c>
      <c r="AL294" s="17" t="str">
        <f>IF(ISNA($B294),"",IF($B294="","",IFERROR(_xll.BDP(TICKER,"DEEP_MEASURE_PERIOD_BROKER_VALUE","DEEP_MEASURE_ID_OVERRIDE",$C294,"DEEP_BROKER_ID_OVERRIDE",$F$7,"DEEP_PERIOD_OVERRIDE",AL$11)*1,"")))</f>
        <v/>
      </c>
      <c r="AM294" s="17" t="str">
        <f>IF(ISNA($B294),"",IF($B294="","",IFERROR(_xll.BDP(TICKER,"DEEP_MEASURE_PERIOD_BROKER_VALUE","DEEP_MEASURE_ID_OVERRIDE",$C294,"DEEP_BROKER_ID_OVERRIDE",$F$7,"DEEP_PERIOD_OVERRIDE",AM$11)*1,"")))</f>
        <v/>
      </c>
      <c r="AN294" s="17" t="str">
        <f>IF(ISNA($B294),"",IF($B294="","",IFERROR(_xll.BDP(TICKER,"DEEP_MEASURE_PERIOD_BROKER_VALUE","DEEP_MEASURE_ID_OVERRIDE",$C294,"DEEP_BROKER_ID_OVERRIDE",$F$7,"DEEP_PERIOD_OVERRIDE",AN$11)*1,"")))</f>
        <v/>
      </c>
      <c r="AO294" s="17" t="str">
        <f>IF(ISNA($B294),"",IF($B294="","",IFERROR(_xll.BDP(TICKER,"DEEP_MEASURE_PERIOD_BROKER_VALUE","DEEP_MEASURE_ID_OVERRIDE",$C294,"DEEP_BROKER_ID_OVERRIDE",$F$7,"DEEP_PERIOD_OVERRIDE",AO$11)*1,"")))</f>
        <v/>
      </c>
      <c r="AP294" s="17" t="str">
        <f>IF(ISNA($B294),"",IF($B294="","",IFERROR(_xll.BDP(TICKER,"DEEP_MEASURE_PERIOD_BROKER_VALUE","DEEP_MEASURE_ID_OVERRIDE",$C294,"DEEP_BROKER_ID_OVERRIDE",$F$7,"DEEP_PERIOD_OVERRIDE",AP$11)*1,"")))</f>
        <v/>
      </c>
      <c r="AQ294" s="17" t="str">
        <f>IF(ISNA($B294),"",IF($B294="","",IFERROR(_xll.BDP(TICKER,"DEEP_MEASURE_PERIOD_BROKER_VALUE","DEEP_MEASURE_ID_OVERRIDE",$C294,"DEEP_BROKER_ID_OVERRIDE",$F$7,"DEEP_PERIOD_OVERRIDE",AQ$11)*1,"")))</f>
        <v/>
      </c>
    </row>
    <row r="295" spans="8:43" x14ac:dyDescent="0.25">
      <c r="H295" t="str">
        <f t="shared" si="6"/>
        <v/>
      </c>
      <c r="I295" s="17" t="str">
        <f>IF(ISNA($B295),"",IF($B295="","",IFERROR(_xll.BDP(TICKER,"DEEP_MEASURE_PERIOD_BROKER_VALUE","DEEP_MEASURE_ID_OVERRIDE",$C295,"DEEP_BROKER_ID_OVERRIDE",$F$7,"DEEP_PERIOD_OVERRIDE",I$11)*1,"")))</f>
        <v/>
      </c>
      <c r="J295" s="17" t="str">
        <f>IF(ISNA($B295),"",IF($B295="","",IFERROR(_xll.BDP(TICKER,"DEEP_MEASURE_PERIOD_BROKER_VALUE","DEEP_MEASURE_ID_OVERRIDE",$C295,"DEEP_BROKER_ID_OVERRIDE",$F$7,"DEEP_PERIOD_OVERRIDE",J$11)*1,"")))</f>
        <v/>
      </c>
      <c r="K295" s="17" t="str">
        <f>IF(ISNA($B295),"",IF($B295="","",IFERROR(_xll.BDP(TICKER,"DEEP_MEASURE_PERIOD_BROKER_VALUE","DEEP_MEASURE_ID_OVERRIDE",$C295,"DEEP_BROKER_ID_OVERRIDE",$F$7,"DEEP_PERIOD_OVERRIDE",K$11)*1,"")))</f>
        <v/>
      </c>
      <c r="L295" s="17" t="str">
        <f>IF(ISNA($B295),"",IF($B295="","",IFERROR(_xll.BDP(TICKER,"DEEP_MEASURE_PERIOD_BROKER_VALUE","DEEP_MEASURE_ID_OVERRIDE",$C295,"DEEP_BROKER_ID_OVERRIDE",$F$7,"DEEP_PERIOD_OVERRIDE",L$11)*1,"")))</f>
        <v/>
      </c>
      <c r="M295" s="17" t="str">
        <f>IF(ISNA($B295),"",IF($B295="","",IFERROR(_xll.BDP(TICKER,"DEEP_MEASURE_PERIOD_BROKER_VALUE","DEEP_MEASURE_ID_OVERRIDE",$C295,"DEEP_BROKER_ID_OVERRIDE",$F$7,"DEEP_PERIOD_OVERRIDE",M$11)*1,"")))</f>
        <v/>
      </c>
      <c r="N295" s="17" t="str">
        <f>IF(ISNA($B295),"",IF($B295="","",IFERROR(_xll.BDP(TICKER,"DEEP_MEASURE_PERIOD_BROKER_VALUE","DEEP_MEASURE_ID_OVERRIDE",$C295,"DEEP_BROKER_ID_OVERRIDE",$F$7,"DEEP_PERIOD_OVERRIDE",N$11)*1,"")))</f>
        <v/>
      </c>
      <c r="O295" s="17" t="str">
        <f>IF(ISNA($B295),"",IF($B295="","",IFERROR(_xll.BDP(TICKER,"DEEP_MEASURE_PERIOD_BROKER_VALUE","DEEP_MEASURE_ID_OVERRIDE",$C295,"DEEP_BROKER_ID_OVERRIDE",$F$7,"DEEP_PERIOD_OVERRIDE",O$11)*1,"")))</f>
        <v/>
      </c>
      <c r="P295" s="17" t="str">
        <f>IF(ISNA($B295),"",IF($B295="","",IFERROR(_xll.BDP(TICKER,"DEEP_MEASURE_PERIOD_BROKER_VALUE","DEEP_MEASURE_ID_OVERRIDE",$C295,"DEEP_BROKER_ID_OVERRIDE",$F$7,"DEEP_PERIOD_OVERRIDE",P$11)*1,"")))</f>
        <v/>
      </c>
      <c r="Q295" s="17" t="str">
        <f>IF(ISNA($B295),"",IF($B295="","",IFERROR(_xll.BDP(TICKER,"DEEP_MEASURE_PERIOD_BROKER_VALUE","DEEP_MEASURE_ID_OVERRIDE",$C295,"DEEP_BROKER_ID_OVERRIDE",$F$7,"DEEP_PERIOD_OVERRIDE",Q$11)*1,"")))</f>
        <v/>
      </c>
      <c r="R295" s="17" t="str">
        <f>IF(ISNA($B295),"",IF($B295="","",IFERROR(_xll.BDP(TICKER,"DEEP_MEASURE_PERIOD_BROKER_VALUE","DEEP_MEASURE_ID_OVERRIDE",$C295,"DEEP_BROKER_ID_OVERRIDE",$F$7,"DEEP_PERIOD_OVERRIDE",R$11)*1,"")))</f>
        <v/>
      </c>
      <c r="S295" s="17" t="str">
        <f>IF(ISNA($B295),"",IF($B295="","",IFERROR(_xll.BDP(TICKER,"DEEP_MEASURE_PERIOD_BROKER_VALUE","DEEP_MEASURE_ID_OVERRIDE",$C295,"DEEP_BROKER_ID_OVERRIDE",$F$7,"DEEP_PERIOD_OVERRIDE",S$11)*1,"")))</f>
        <v/>
      </c>
      <c r="T295" s="17" t="str">
        <f>IF(ISNA($B295),"",IF($B295="","",IFERROR(_xll.BDP(TICKER,"DEEP_MEASURE_PERIOD_BROKER_VALUE","DEEP_MEASURE_ID_OVERRIDE",$C295,"DEEP_BROKER_ID_OVERRIDE",$F$7,"DEEP_PERIOD_OVERRIDE",T$11)*1,"")))</f>
        <v/>
      </c>
      <c r="U295" s="17" t="str">
        <f>IF(ISNA($B295),"",IF($B295="","",IFERROR(_xll.BDP(TICKER,"DEEP_MEASURE_PERIOD_BROKER_VALUE","DEEP_MEASURE_ID_OVERRIDE",$C295,"DEEP_BROKER_ID_OVERRIDE",$F$7,"DEEP_PERIOD_OVERRIDE",U$11)*1,"")))</f>
        <v/>
      </c>
      <c r="V295" s="17" t="str">
        <f>IF(ISNA($B295),"",IF($B295="","",IFERROR(_xll.BDP(TICKER,"DEEP_MEASURE_PERIOD_BROKER_VALUE","DEEP_MEASURE_ID_OVERRIDE",$C295,"DEEP_BROKER_ID_OVERRIDE",$F$7,"DEEP_PERIOD_OVERRIDE",V$11)*1,"")))</f>
        <v/>
      </c>
      <c r="W295" s="17" t="str">
        <f>IF(ISNA($B295),"",IF($B295="","",IFERROR(_xll.BDP(TICKER,"DEEP_MEASURE_PERIOD_BROKER_VALUE","DEEP_MEASURE_ID_OVERRIDE",$C295,"DEEP_BROKER_ID_OVERRIDE",$F$7,"DEEP_PERIOD_OVERRIDE",W$11)*1,"")))</f>
        <v/>
      </c>
      <c r="X295" s="17" t="str">
        <f>IF(ISNA($B295),"",IF($B295="","",IFERROR(_xll.BDP(TICKER,"DEEP_MEASURE_PERIOD_BROKER_VALUE","DEEP_MEASURE_ID_OVERRIDE",$C295,"DEEP_BROKER_ID_OVERRIDE",$F$7,"DEEP_PERIOD_OVERRIDE",X$11)*1,"")))</f>
        <v/>
      </c>
      <c r="Y295" s="17" t="str">
        <f>IF(ISNA($B295),"",IF($B295="","",IFERROR(_xll.BDP(TICKER,"DEEP_MEASURE_PERIOD_BROKER_VALUE","DEEP_MEASURE_ID_OVERRIDE",$C295,"DEEP_BROKER_ID_OVERRIDE",$F$7,"DEEP_PERIOD_OVERRIDE",Y$11)*1,"")))</f>
        <v/>
      </c>
      <c r="Z295" s="17" t="str">
        <f>IF(ISNA($B295),"",IF($B295="","",IFERROR(_xll.BDP(TICKER,"DEEP_MEASURE_PERIOD_BROKER_VALUE","DEEP_MEASURE_ID_OVERRIDE",$C295,"DEEP_BROKER_ID_OVERRIDE",$F$7,"DEEP_PERIOD_OVERRIDE",Z$11)*1,"")))</f>
        <v/>
      </c>
      <c r="AA295" s="17" t="str">
        <f>IF(ISNA($B295),"",IF($B295="","",IFERROR(_xll.BDP(TICKER,"DEEP_MEASURE_PERIOD_BROKER_VALUE","DEEP_MEASURE_ID_OVERRIDE",$C295,"DEEP_BROKER_ID_OVERRIDE",$F$7,"DEEP_PERIOD_OVERRIDE",AA$11)*1,"")))</f>
        <v/>
      </c>
      <c r="AB295" s="17" t="str">
        <f>IF(ISNA($B295),"",IF($B295="","",IFERROR(_xll.BDP(TICKER,"DEEP_MEASURE_PERIOD_BROKER_VALUE","DEEP_MEASURE_ID_OVERRIDE",$C295,"DEEP_BROKER_ID_OVERRIDE",$F$7,"DEEP_PERIOD_OVERRIDE",AB$11)*1,"")))</f>
        <v/>
      </c>
      <c r="AC295" s="17" t="str">
        <f>IF(ISNA($B295),"",IF($B295="","",IFERROR(_xll.BDP(TICKER,"DEEP_MEASURE_PERIOD_BROKER_VALUE","DEEP_MEASURE_ID_OVERRIDE",$C295,"DEEP_BROKER_ID_OVERRIDE",$F$7,"DEEP_PERIOD_OVERRIDE",AC$11)*1,"")))</f>
        <v/>
      </c>
      <c r="AD295" s="17" t="str">
        <f>IF(ISNA($B295),"",IF($B295="","",IFERROR(_xll.BDP(TICKER,"DEEP_MEASURE_PERIOD_BROKER_VALUE","DEEP_MEASURE_ID_OVERRIDE",$C295,"DEEP_BROKER_ID_OVERRIDE",$F$7,"DEEP_PERIOD_OVERRIDE",AD$11)*1,"")))</f>
        <v/>
      </c>
      <c r="AE295" s="17" t="str">
        <f>IF(ISNA($B295),"",IF($B295="","",IFERROR(_xll.BDP(TICKER,"DEEP_MEASURE_PERIOD_BROKER_VALUE","DEEP_MEASURE_ID_OVERRIDE",$C295,"DEEP_BROKER_ID_OVERRIDE",$F$7,"DEEP_PERIOD_OVERRIDE",AE$11)*1,"")))</f>
        <v/>
      </c>
      <c r="AF295" s="17" t="str">
        <f>IF(ISNA($B295),"",IF($B295="","",IFERROR(_xll.BDP(TICKER,"DEEP_MEASURE_PERIOD_BROKER_VALUE","DEEP_MEASURE_ID_OVERRIDE",$C295,"DEEP_BROKER_ID_OVERRIDE",$F$7,"DEEP_PERIOD_OVERRIDE",AF$11)*1,"")))</f>
        <v/>
      </c>
      <c r="AG295" s="17" t="str">
        <f>IF(ISNA($B295),"",IF($B295="","",IFERROR(_xll.BDP(TICKER,"DEEP_MEASURE_PERIOD_BROKER_VALUE","DEEP_MEASURE_ID_OVERRIDE",$C295,"DEEP_BROKER_ID_OVERRIDE",$F$7,"DEEP_PERIOD_OVERRIDE",AG$11)*1,"")))</f>
        <v/>
      </c>
      <c r="AH295" s="17" t="str">
        <f>IF(ISNA($B295),"",IF($B295="","",IFERROR(_xll.BDP(TICKER,"DEEP_MEASURE_PERIOD_BROKER_VALUE","DEEP_MEASURE_ID_OVERRIDE",$C295,"DEEP_BROKER_ID_OVERRIDE",$F$7,"DEEP_PERIOD_OVERRIDE",AH$11)*1,"")))</f>
        <v/>
      </c>
      <c r="AI295" s="17" t="str">
        <f>IF(ISNA($B295),"",IF($B295="","",IFERROR(_xll.BDP(TICKER,"DEEP_MEASURE_PERIOD_BROKER_VALUE","DEEP_MEASURE_ID_OVERRIDE",$C295,"DEEP_BROKER_ID_OVERRIDE",$F$7,"DEEP_PERIOD_OVERRIDE",AI$11)*1,"")))</f>
        <v/>
      </c>
      <c r="AJ295" s="17" t="str">
        <f>IF(ISNA($B295),"",IF($B295="","",IFERROR(_xll.BDP(TICKER,"DEEP_MEASURE_PERIOD_BROKER_VALUE","DEEP_MEASURE_ID_OVERRIDE",$C295,"DEEP_BROKER_ID_OVERRIDE",$F$7,"DEEP_PERIOD_OVERRIDE",AJ$11)*1,"")))</f>
        <v/>
      </c>
      <c r="AK295" s="17" t="str">
        <f>IF(ISNA($B295),"",IF($B295="","",IFERROR(_xll.BDP(TICKER,"DEEP_MEASURE_PERIOD_BROKER_VALUE","DEEP_MEASURE_ID_OVERRIDE",$C295,"DEEP_BROKER_ID_OVERRIDE",$F$7,"DEEP_PERIOD_OVERRIDE",AK$11)*1,"")))</f>
        <v/>
      </c>
      <c r="AL295" s="17" t="str">
        <f>IF(ISNA($B295),"",IF($B295="","",IFERROR(_xll.BDP(TICKER,"DEEP_MEASURE_PERIOD_BROKER_VALUE","DEEP_MEASURE_ID_OVERRIDE",$C295,"DEEP_BROKER_ID_OVERRIDE",$F$7,"DEEP_PERIOD_OVERRIDE",AL$11)*1,"")))</f>
        <v/>
      </c>
      <c r="AM295" s="17" t="str">
        <f>IF(ISNA($B295),"",IF($B295="","",IFERROR(_xll.BDP(TICKER,"DEEP_MEASURE_PERIOD_BROKER_VALUE","DEEP_MEASURE_ID_OVERRIDE",$C295,"DEEP_BROKER_ID_OVERRIDE",$F$7,"DEEP_PERIOD_OVERRIDE",AM$11)*1,"")))</f>
        <v/>
      </c>
      <c r="AN295" s="17" t="str">
        <f>IF(ISNA($B295),"",IF($B295="","",IFERROR(_xll.BDP(TICKER,"DEEP_MEASURE_PERIOD_BROKER_VALUE","DEEP_MEASURE_ID_OVERRIDE",$C295,"DEEP_BROKER_ID_OVERRIDE",$F$7,"DEEP_PERIOD_OVERRIDE",AN$11)*1,"")))</f>
        <v/>
      </c>
      <c r="AO295" s="17" t="str">
        <f>IF(ISNA($B295),"",IF($B295="","",IFERROR(_xll.BDP(TICKER,"DEEP_MEASURE_PERIOD_BROKER_VALUE","DEEP_MEASURE_ID_OVERRIDE",$C295,"DEEP_BROKER_ID_OVERRIDE",$F$7,"DEEP_PERIOD_OVERRIDE",AO$11)*1,"")))</f>
        <v/>
      </c>
      <c r="AP295" s="17" t="str">
        <f>IF(ISNA($B295),"",IF($B295="","",IFERROR(_xll.BDP(TICKER,"DEEP_MEASURE_PERIOD_BROKER_VALUE","DEEP_MEASURE_ID_OVERRIDE",$C295,"DEEP_BROKER_ID_OVERRIDE",$F$7,"DEEP_PERIOD_OVERRIDE",AP$11)*1,"")))</f>
        <v/>
      </c>
      <c r="AQ295" s="17" t="str">
        <f>IF(ISNA($B295),"",IF($B295="","",IFERROR(_xll.BDP(TICKER,"DEEP_MEASURE_PERIOD_BROKER_VALUE","DEEP_MEASURE_ID_OVERRIDE",$C295,"DEEP_BROKER_ID_OVERRIDE",$F$7,"DEEP_PERIOD_OVERRIDE",AQ$11)*1,"")))</f>
        <v/>
      </c>
    </row>
    <row r="296" spans="8:43" x14ac:dyDescent="0.25">
      <c r="H296" t="str">
        <f t="shared" si="6"/>
        <v/>
      </c>
      <c r="I296" s="17" t="str">
        <f>IF(ISNA($B296),"",IF($B296="","",IFERROR(_xll.BDP(TICKER,"DEEP_MEASURE_PERIOD_BROKER_VALUE","DEEP_MEASURE_ID_OVERRIDE",$C296,"DEEP_BROKER_ID_OVERRIDE",$F$7,"DEEP_PERIOD_OVERRIDE",I$11)*1,"")))</f>
        <v/>
      </c>
      <c r="J296" s="17" t="str">
        <f>IF(ISNA($B296),"",IF($B296="","",IFERROR(_xll.BDP(TICKER,"DEEP_MEASURE_PERIOD_BROKER_VALUE","DEEP_MEASURE_ID_OVERRIDE",$C296,"DEEP_BROKER_ID_OVERRIDE",$F$7,"DEEP_PERIOD_OVERRIDE",J$11)*1,"")))</f>
        <v/>
      </c>
      <c r="K296" s="17" t="str">
        <f>IF(ISNA($B296),"",IF($B296="","",IFERROR(_xll.BDP(TICKER,"DEEP_MEASURE_PERIOD_BROKER_VALUE","DEEP_MEASURE_ID_OVERRIDE",$C296,"DEEP_BROKER_ID_OVERRIDE",$F$7,"DEEP_PERIOD_OVERRIDE",K$11)*1,"")))</f>
        <v/>
      </c>
      <c r="L296" s="17" t="str">
        <f>IF(ISNA($B296),"",IF($B296="","",IFERROR(_xll.BDP(TICKER,"DEEP_MEASURE_PERIOD_BROKER_VALUE","DEEP_MEASURE_ID_OVERRIDE",$C296,"DEEP_BROKER_ID_OVERRIDE",$F$7,"DEEP_PERIOD_OVERRIDE",L$11)*1,"")))</f>
        <v/>
      </c>
      <c r="M296" s="17" t="str">
        <f>IF(ISNA($B296),"",IF($B296="","",IFERROR(_xll.BDP(TICKER,"DEEP_MEASURE_PERIOD_BROKER_VALUE","DEEP_MEASURE_ID_OVERRIDE",$C296,"DEEP_BROKER_ID_OVERRIDE",$F$7,"DEEP_PERIOD_OVERRIDE",M$11)*1,"")))</f>
        <v/>
      </c>
      <c r="N296" s="17" t="str">
        <f>IF(ISNA($B296),"",IF($B296="","",IFERROR(_xll.BDP(TICKER,"DEEP_MEASURE_PERIOD_BROKER_VALUE","DEEP_MEASURE_ID_OVERRIDE",$C296,"DEEP_BROKER_ID_OVERRIDE",$F$7,"DEEP_PERIOD_OVERRIDE",N$11)*1,"")))</f>
        <v/>
      </c>
      <c r="O296" s="17" t="str">
        <f>IF(ISNA($B296),"",IF($B296="","",IFERROR(_xll.BDP(TICKER,"DEEP_MEASURE_PERIOD_BROKER_VALUE","DEEP_MEASURE_ID_OVERRIDE",$C296,"DEEP_BROKER_ID_OVERRIDE",$F$7,"DEEP_PERIOD_OVERRIDE",O$11)*1,"")))</f>
        <v/>
      </c>
      <c r="P296" s="17" t="str">
        <f>IF(ISNA($B296),"",IF($B296="","",IFERROR(_xll.BDP(TICKER,"DEEP_MEASURE_PERIOD_BROKER_VALUE","DEEP_MEASURE_ID_OVERRIDE",$C296,"DEEP_BROKER_ID_OVERRIDE",$F$7,"DEEP_PERIOD_OVERRIDE",P$11)*1,"")))</f>
        <v/>
      </c>
      <c r="Q296" s="17" t="str">
        <f>IF(ISNA($B296),"",IF($B296="","",IFERROR(_xll.BDP(TICKER,"DEEP_MEASURE_PERIOD_BROKER_VALUE","DEEP_MEASURE_ID_OVERRIDE",$C296,"DEEP_BROKER_ID_OVERRIDE",$F$7,"DEEP_PERIOD_OVERRIDE",Q$11)*1,"")))</f>
        <v/>
      </c>
      <c r="R296" s="17" t="str">
        <f>IF(ISNA($B296),"",IF($B296="","",IFERROR(_xll.BDP(TICKER,"DEEP_MEASURE_PERIOD_BROKER_VALUE","DEEP_MEASURE_ID_OVERRIDE",$C296,"DEEP_BROKER_ID_OVERRIDE",$F$7,"DEEP_PERIOD_OVERRIDE",R$11)*1,"")))</f>
        <v/>
      </c>
      <c r="S296" s="17" t="str">
        <f>IF(ISNA($B296),"",IF($B296="","",IFERROR(_xll.BDP(TICKER,"DEEP_MEASURE_PERIOD_BROKER_VALUE","DEEP_MEASURE_ID_OVERRIDE",$C296,"DEEP_BROKER_ID_OVERRIDE",$F$7,"DEEP_PERIOD_OVERRIDE",S$11)*1,"")))</f>
        <v/>
      </c>
      <c r="T296" s="17" t="str">
        <f>IF(ISNA($B296),"",IF($B296="","",IFERROR(_xll.BDP(TICKER,"DEEP_MEASURE_PERIOD_BROKER_VALUE","DEEP_MEASURE_ID_OVERRIDE",$C296,"DEEP_BROKER_ID_OVERRIDE",$F$7,"DEEP_PERIOD_OVERRIDE",T$11)*1,"")))</f>
        <v/>
      </c>
      <c r="U296" s="17" t="str">
        <f>IF(ISNA($B296),"",IF($B296="","",IFERROR(_xll.BDP(TICKER,"DEEP_MEASURE_PERIOD_BROKER_VALUE","DEEP_MEASURE_ID_OVERRIDE",$C296,"DEEP_BROKER_ID_OVERRIDE",$F$7,"DEEP_PERIOD_OVERRIDE",U$11)*1,"")))</f>
        <v/>
      </c>
      <c r="V296" s="17" t="str">
        <f>IF(ISNA($B296),"",IF($B296="","",IFERROR(_xll.BDP(TICKER,"DEEP_MEASURE_PERIOD_BROKER_VALUE","DEEP_MEASURE_ID_OVERRIDE",$C296,"DEEP_BROKER_ID_OVERRIDE",$F$7,"DEEP_PERIOD_OVERRIDE",V$11)*1,"")))</f>
        <v/>
      </c>
      <c r="W296" s="17" t="str">
        <f>IF(ISNA($B296),"",IF($B296="","",IFERROR(_xll.BDP(TICKER,"DEEP_MEASURE_PERIOD_BROKER_VALUE","DEEP_MEASURE_ID_OVERRIDE",$C296,"DEEP_BROKER_ID_OVERRIDE",$F$7,"DEEP_PERIOD_OVERRIDE",W$11)*1,"")))</f>
        <v/>
      </c>
      <c r="X296" s="17" t="str">
        <f>IF(ISNA($B296),"",IF($B296="","",IFERROR(_xll.BDP(TICKER,"DEEP_MEASURE_PERIOD_BROKER_VALUE","DEEP_MEASURE_ID_OVERRIDE",$C296,"DEEP_BROKER_ID_OVERRIDE",$F$7,"DEEP_PERIOD_OVERRIDE",X$11)*1,"")))</f>
        <v/>
      </c>
      <c r="Y296" s="17" t="str">
        <f>IF(ISNA($B296),"",IF($B296="","",IFERROR(_xll.BDP(TICKER,"DEEP_MEASURE_PERIOD_BROKER_VALUE","DEEP_MEASURE_ID_OVERRIDE",$C296,"DEEP_BROKER_ID_OVERRIDE",$F$7,"DEEP_PERIOD_OVERRIDE",Y$11)*1,"")))</f>
        <v/>
      </c>
      <c r="Z296" s="17" t="str">
        <f>IF(ISNA($B296),"",IF($B296="","",IFERROR(_xll.BDP(TICKER,"DEEP_MEASURE_PERIOD_BROKER_VALUE","DEEP_MEASURE_ID_OVERRIDE",$C296,"DEEP_BROKER_ID_OVERRIDE",$F$7,"DEEP_PERIOD_OVERRIDE",Z$11)*1,"")))</f>
        <v/>
      </c>
      <c r="AA296" s="17" t="str">
        <f>IF(ISNA($B296),"",IF($B296="","",IFERROR(_xll.BDP(TICKER,"DEEP_MEASURE_PERIOD_BROKER_VALUE","DEEP_MEASURE_ID_OVERRIDE",$C296,"DEEP_BROKER_ID_OVERRIDE",$F$7,"DEEP_PERIOD_OVERRIDE",AA$11)*1,"")))</f>
        <v/>
      </c>
      <c r="AB296" s="17" t="str">
        <f>IF(ISNA($B296),"",IF($B296="","",IFERROR(_xll.BDP(TICKER,"DEEP_MEASURE_PERIOD_BROKER_VALUE","DEEP_MEASURE_ID_OVERRIDE",$C296,"DEEP_BROKER_ID_OVERRIDE",$F$7,"DEEP_PERIOD_OVERRIDE",AB$11)*1,"")))</f>
        <v/>
      </c>
      <c r="AC296" s="17" t="str">
        <f>IF(ISNA($B296),"",IF($B296="","",IFERROR(_xll.BDP(TICKER,"DEEP_MEASURE_PERIOD_BROKER_VALUE","DEEP_MEASURE_ID_OVERRIDE",$C296,"DEEP_BROKER_ID_OVERRIDE",$F$7,"DEEP_PERIOD_OVERRIDE",AC$11)*1,"")))</f>
        <v/>
      </c>
      <c r="AD296" s="17" t="str">
        <f>IF(ISNA($B296),"",IF($B296="","",IFERROR(_xll.BDP(TICKER,"DEEP_MEASURE_PERIOD_BROKER_VALUE","DEEP_MEASURE_ID_OVERRIDE",$C296,"DEEP_BROKER_ID_OVERRIDE",$F$7,"DEEP_PERIOD_OVERRIDE",AD$11)*1,"")))</f>
        <v/>
      </c>
      <c r="AE296" s="17" t="str">
        <f>IF(ISNA($B296),"",IF($B296="","",IFERROR(_xll.BDP(TICKER,"DEEP_MEASURE_PERIOD_BROKER_VALUE","DEEP_MEASURE_ID_OVERRIDE",$C296,"DEEP_BROKER_ID_OVERRIDE",$F$7,"DEEP_PERIOD_OVERRIDE",AE$11)*1,"")))</f>
        <v/>
      </c>
      <c r="AF296" s="17" t="str">
        <f>IF(ISNA($B296),"",IF($B296="","",IFERROR(_xll.BDP(TICKER,"DEEP_MEASURE_PERIOD_BROKER_VALUE","DEEP_MEASURE_ID_OVERRIDE",$C296,"DEEP_BROKER_ID_OVERRIDE",$F$7,"DEEP_PERIOD_OVERRIDE",AF$11)*1,"")))</f>
        <v/>
      </c>
      <c r="AG296" s="17" t="str">
        <f>IF(ISNA($B296),"",IF($B296="","",IFERROR(_xll.BDP(TICKER,"DEEP_MEASURE_PERIOD_BROKER_VALUE","DEEP_MEASURE_ID_OVERRIDE",$C296,"DEEP_BROKER_ID_OVERRIDE",$F$7,"DEEP_PERIOD_OVERRIDE",AG$11)*1,"")))</f>
        <v/>
      </c>
      <c r="AH296" s="17" t="str">
        <f>IF(ISNA($B296),"",IF($B296="","",IFERROR(_xll.BDP(TICKER,"DEEP_MEASURE_PERIOD_BROKER_VALUE","DEEP_MEASURE_ID_OVERRIDE",$C296,"DEEP_BROKER_ID_OVERRIDE",$F$7,"DEEP_PERIOD_OVERRIDE",AH$11)*1,"")))</f>
        <v/>
      </c>
      <c r="AI296" s="17" t="str">
        <f>IF(ISNA($B296),"",IF($B296="","",IFERROR(_xll.BDP(TICKER,"DEEP_MEASURE_PERIOD_BROKER_VALUE","DEEP_MEASURE_ID_OVERRIDE",$C296,"DEEP_BROKER_ID_OVERRIDE",$F$7,"DEEP_PERIOD_OVERRIDE",AI$11)*1,"")))</f>
        <v/>
      </c>
      <c r="AJ296" s="17" t="str">
        <f>IF(ISNA($B296),"",IF($B296="","",IFERROR(_xll.BDP(TICKER,"DEEP_MEASURE_PERIOD_BROKER_VALUE","DEEP_MEASURE_ID_OVERRIDE",$C296,"DEEP_BROKER_ID_OVERRIDE",$F$7,"DEEP_PERIOD_OVERRIDE",AJ$11)*1,"")))</f>
        <v/>
      </c>
      <c r="AK296" s="17" t="str">
        <f>IF(ISNA($B296),"",IF($B296="","",IFERROR(_xll.BDP(TICKER,"DEEP_MEASURE_PERIOD_BROKER_VALUE","DEEP_MEASURE_ID_OVERRIDE",$C296,"DEEP_BROKER_ID_OVERRIDE",$F$7,"DEEP_PERIOD_OVERRIDE",AK$11)*1,"")))</f>
        <v/>
      </c>
      <c r="AL296" s="17" t="str">
        <f>IF(ISNA($B296),"",IF($B296="","",IFERROR(_xll.BDP(TICKER,"DEEP_MEASURE_PERIOD_BROKER_VALUE","DEEP_MEASURE_ID_OVERRIDE",$C296,"DEEP_BROKER_ID_OVERRIDE",$F$7,"DEEP_PERIOD_OVERRIDE",AL$11)*1,"")))</f>
        <v/>
      </c>
      <c r="AM296" s="17" t="str">
        <f>IF(ISNA($B296),"",IF($B296="","",IFERROR(_xll.BDP(TICKER,"DEEP_MEASURE_PERIOD_BROKER_VALUE","DEEP_MEASURE_ID_OVERRIDE",$C296,"DEEP_BROKER_ID_OVERRIDE",$F$7,"DEEP_PERIOD_OVERRIDE",AM$11)*1,"")))</f>
        <v/>
      </c>
      <c r="AN296" s="17" t="str">
        <f>IF(ISNA($B296),"",IF($B296="","",IFERROR(_xll.BDP(TICKER,"DEEP_MEASURE_PERIOD_BROKER_VALUE","DEEP_MEASURE_ID_OVERRIDE",$C296,"DEEP_BROKER_ID_OVERRIDE",$F$7,"DEEP_PERIOD_OVERRIDE",AN$11)*1,"")))</f>
        <v/>
      </c>
      <c r="AO296" s="17" t="str">
        <f>IF(ISNA($B296),"",IF($B296="","",IFERROR(_xll.BDP(TICKER,"DEEP_MEASURE_PERIOD_BROKER_VALUE","DEEP_MEASURE_ID_OVERRIDE",$C296,"DEEP_BROKER_ID_OVERRIDE",$F$7,"DEEP_PERIOD_OVERRIDE",AO$11)*1,"")))</f>
        <v/>
      </c>
      <c r="AP296" s="17" t="str">
        <f>IF(ISNA($B296),"",IF($B296="","",IFERROR(_xll.BDP(TICKER,"DEEP_MEASURE_PERIOD_BROKER_VALUE","DEEP_MEASURE_ID_OVERRIDE",$C296,"DEEP_BROKER_ID_OVERRIDE",$F$7,"DEEP_PERIOD_OVERRIDE",AP$11)*1,"")))</f>
        <v/>
      </c>
      <c r="AQ296" s="17" t="str">
        <f>IF(ISNA($B296),"",IF($B296="","",IFERROR(_xll.BDP(TICKER,"DEEP_MEASURE_PERIOD_BROKER_VALUE","DEEP_MEASURE_ID_OVERRIDE",$C296,"DEEP_BROKER_ID_OVERRIDE",$F$7,"DEEP_PERIOD_OVERRIDE",AQ$11)*1,"")))</f>
        <v/>
      </c>
    </row>
    <row r="297" spans="8:43" x14ac:dyDescent="0.25">
      <c r="H297" t="str">
        <f t="shared" si="6"/>
        <v/>
      </c>
      <c r="I297" s="17" t="str">
        <f>IF(ISNA($B297),"",IF($B297="","",IFERROR(_xll.BDP(TICKER,"DEEP_MEASURE_PERIOD_BROKER_VALUE","DEEP_MEASURE_ID_OVERRIDE",$C297,"DEEP_BROKER_ID_OVERRIDE",$F$7,"DEEP_PERIOD_OVERRIDE",I$11)*1,"")))</f>
        <v/>
      </c>
      <c r="J297" s="17" t="str">
        <f>IF(ISNA($B297),"",IF($B297="","",IFERROR(_xll.BDP(TICKER,"DEEP_MEASURE_PERIOD_BROKER_VALUE","DEEP_MEASURE_ID_OVERRIDE",$C297,"DEEP_BROKER_ID_OVERRIDE",$F$7,"DEEP_PERIOD_OVERRIDE",J$11)*1,"")))</f>
        <v/>
      </c>
      <c r="K297" s="17" t="str">
        <f>IF(ISNA($B297),"",IF($B297="","",IFERROR(_xll.BDP(TICKER,"DEEP_MEASURE_PERIOD_BROKER_VALUE","DEEP_MEASURE_ID_OVERRIDE",$C297,"DEEP_BROKER_ID_OVERRIDE",$F$7,"DEEP_PERIOD_OVERRIDE",K$11)*1,"")))</f>
        <v/>
      </c>
      <c r="L297" s="17" t="str">
        <f>IF(ISNA($B297),"",IF($B297="","",IFERROR(_xll.BDP(TICKER,"DEEP_MEASURE_PERIOD_BROKER_VALUE","DEEP_MEASURE_ID_OVERRIDE",$C297,"DEEP_BROKER_ID_OVERRIDE",$F$7,"DEEP_PERIOD_OVERRIDE",L$11)*1,"")))</f>
        <v/>
      </c>
      <c r="M297" s="17" t="str">
        <f>IF(ISNA($B297),"",IF($B297="","",IFERROR(_xll.BDP(TICKER,"DEEP_MEASURE_PERIOD_BROKER_VALUE","DEEP_MEASURE_ID_OVERRIDE",$C297,"DEEP_BROKER_ID_OVERRIDE",$F$7,"DEEP_PERIOD_OVERRIDE",M$11)*1,"")))</f>
        <v/>
      </c>
      <c r="N297" s="17" t="str">
        <f>IF(ISNA($B297),"",IF($B297="","",IFERROR(_xll.BDP(TICKER,"DEEP_MEASURE_PERIOD_BROKER_VALUE","DEEP_MEASURE_ID_OVERRIDE",$C297,"DEEP_BROKER_ID_OVERRIDE",$F$7,"DEEP_PERIOD_OVERRIDE",N$11)*1,"")))</f>
        <v/>
      </c>
      <c r="O297" s="17" t="str">
        <f>IF(ISNA($B297),"",IF($B297="","",IFERROR(_xll.BDP(TICKER,"DEEP_MEASURE_PERIOD_BROKER_VALUE","DEEP_MEASURE_ID_OVERRIDE",$C297,"DEEP_BROKER_ID_OVERRIDE",$F$7,"DEEP_PERIOD_OVERRIDE",O$11)*1,"")))</f>
        <v/>
      </c>
      <c r="P297" s="17" t="str">
        <f>IF(ISNA($B297),"",IF($B297="","",IFERROR(_xll.BDP(TICKER,"DEEP_MEASURE_PERIOD_BROKER_VALUE","DEEP_MEASURE_ID_OVERRIDE",$C297,"DEEP_BROKER_ID_OVERRIDE",$F$7,"DEEP_PERIOD_OVERRIDE",P$11)*1,"")))</f>
        <v/>
      </c>
      <c r="Q297" s="17" t="str">
        <f>IF(ISNA($B297),"",IF($B297="","",IFERROR(_xll.BDP(TICKER,"DEEP_MEASURE_PERIOD_BROKER_VALUE","DEEP_MEASURE_ID_OVERRIDE",$C297,"DEEP_BROKER_ID_OVERRIDE",$F$7,"DEEP_PERIOD_OVERRIDE",Q$11)*1,"")))</f>
        <v/>
      </c>
      <c r="R297" s="17" t="str">
        <f>IF(ISNA($B297),"",IF($B297="","",IFERROR(_xll.BDP(TICKER,"DEEP_MEASURE_PERIOD_BROKER_VALUE","DEEP_MEASURE_ID_OVERRIDE",$C297,"DEEP_BROKER_ID_OVERRIDE",$F$7,"DEEP_PERIOD_OVERRIDE",R$11)*1,"")))</f>
        <v/>
      </c>
      <c r="S297" s="17" t="str">
        <f>IF(ISNA($B297),"",IF($B297="","",IFERROR(_xll.BDP(TICKER,"DEEP_MEASURE_PERIOD_BROKER_VALUE","DEEP_MEASURE_ID_OVERRIDE",$C297,"DEEP_BROKER_ID_OVERRIDE",$F$7,"DEEP_PERIOD_OVERRIDE",S$11)*1,"")))</f>
        <v/>
      </c>
      <c r="T297" s="17" t="str">
        <f>IF(ISNA($B297),"",IF($B297="","",IFERROR(_xll.BDP(TICKER,"DEEP_MEASURE_PERIOD_BROKER_VALUE","DEEP_MEASURE_ID_OVERRIDE",$C297,"DEEP_BROKER_ID_OVERRIDE",$F$7,"DEEP_PERIOD_OVERRIDE",T$11)*1,"")))</f>
        <v/>
      </c>
      <c r="U297" s="17" t="str">
        <f>IF(ISNA($B297),"",IF($B297="","",IFERROR(_xll.BDP(TICKER,"DEEP_MEASURE_PERIOD_BROKER_VALUE","DEEP_MEASURE_ID_OVERRIDE",$C297,"DEEP_BROKER_ID_OVERRIDE",$F$7,"DEEP_PERIOD_OVERRIDE",U$11)*1,"")))</f>
        <v/>
      </c>
      <c r="V297" s="17" t="str">
        <f>IF(ISNA($B297),"",IF($B297="","",IFERROR(_xll.BDP(TICKER,"DEEP_MEASURE_PERIOD_BROKER_VALUE","DEEP_MEASURE_ID_OVERRIDE",$C297,"DEEP_BROKER_ID_OVERRIDE",$F$7,"DEEP_PERIOD_OVERRIDE",V$11)*1,"")))</f>
        <v/>
      </c>
      <c r="W297" s="17" t="str">
        <f>IF(ISNA($B297),"",IF($B297="","",IFERROR(_xll.BDP(TICKER,"DEEP_MEASURE_PERIOD_BROKER_VALUE","DEEP_MEASURE_ID_OVERRIDE",$C297,"DEEP_BROKER_ID_OVERRIDE",$F$7,"DEEP_PERIOD_OVERRIDE",W$11)*1,"")))</f>
        <v/>
      </c>
      <c r="X297" s="17" t="str">
        <f>IF(ISNA($B297),"",IF($B297="","",IFERROR(_xll.BDP(TICKER,"DEEP_MEASURE_PERIOD_BROKER_VALUE","DEEP_MEASURE_ID_OVERRIDE",$C297,"DEEP_BROKER_ID_OVERRIDE",$F$7,"DEEP_PERIOD_OVERRIDE",X$11)*1,"")))</f>
        <v/>
      </c>
      <c r="Y297" s="17" t="str">
        <f>IF(ISNA($B297),"",IF($B297="","",IFERROR(_xll.BDP(TICKER,"DEEP_MEASURE_PERIOD_BROKER_VALUE","DEEP_MEASURE_ID_OVERRIDE",$C297,"DEEP_BROKER_ID_OVERRIDE",$F$7,"DEEP_PERIOD_OVERRIDE",Y$11)*1,"")))</f>
        <v/>
      </c>
      <c r="Z297" s="17" t="str">
        <f>IF(ISNA($B297),"",IF($B297="","",IFERROR(_xll.BDP(TICKER,"DEEP_MEASURE_PERIOD_BROKER_VALUE","DEEP_MEASURE_ID_OVERRIDE",$C297,"DEEP_BROKER_ID_OVERRIDE",$F$7,"DEEP_PERIOD_OVERRIDE",Z$11)*1,"")))</f>
        <v/>
      </c>
      <c r="AA297" s="17" t="str">
        <f>IF(ISNA($B297),"",IF($B297="","",IFERROR(_xll.BDP(TICKER,"DEEP_MEASURE_PERIOD_BROKER_VALUE","DEEP_MEASURE_ID_OVERRIDE",$C297,"DEEP_BROKER_ID_OVERRIDE",$F$7,"DEEP_PERIOD_OVERRIDE",AA$11)*1,"")))</f>
        <v/>
      </c>
      <c r="AB297" s="17" t="str">
        <f>IF(ISNA($B297),"",IF($B297="","",IFERROR(_xll.BDP(TICKER,"DEEP_MEASURE_PERIOD_BROKER_VALUE","DEEP_MEASURE_ID_OVERRIDE",$C297,"DEEP_BROKER_ID_OVERRIDE",$F$7,"DEEP_PERIOD_OVERRIDE",AB$11)*1,"")))</f>
        <v/>
      </c>
      <c r="AC297" s="17" t="str">
        <f>IF(ISNA($B297),"",IF($B297="","",IFERROR(_xll.BDP(TICKER,"DEEP_MEASURE_PERIOD_BROKER_VALUE","DEEP_MEASURE_ID_OVERRIDE",$C297,"DEEP_BROKER_ID_OVERRIDE",$F$7,"DEEP_PERIOD_OVERRIDE",AC$11)*1,"")))</f>
        <v/>
      </c>
      <c r="AD297" s="17" t="str">
        <f>IF(ISNA($B297),"",IF($B297="","",IFERROR(_xll.BDP(TICKER,"DEEP_MEASURE_PERIOD_BROKER_VALUE","DEEP_MEASURE_ID_OVERRIDE",$C297,"DEEP_BROKER_ID_OVERRIDE",$F$7,"DEEP_PERIOD_OVERRIDE",AD$11)*1,"")))</f>
        <v/>
      </c>
      <c r="AE297" s="17" t="str">
        <f>IF(ISNA($B297),"",IF($B297="","",IFERROR(_xll.BDP(TICKER,"DEEP_MEASURE_PERIOD_BROKER_VALUE","DEEP_MEASURE_ID_OVERRIDE",$C297,"DEEP_BROKER_ID_OVERRIDE",$F$7,"DEEP_PERIOD_OVERRIDE",AE$11)*1,"")))</f>
        <v/>
      </c>
      <c r="AF297" s="17" t="str">
        <f>IF(ISNA($B297),"",IF($B297="","",IFERROR(_xll.BDP(TICKER,"DEEP_MEASURE_PERIOD_BROKER_VALUE","DEEP_MEASURE_ID_OVERRIDE",$C297,"DEEP_BROKER_ID_OVERRIDE",$F$7,"DEEP_PERIOD_OVERRIDE",AF$11)*1,"")))</f>
        <v/>
      </c>
      <c r="AG297" s="17" t="str">
        <f>IF(ISNA($B297),"",IF($B297="","",IFERROR(_xll.BDP(TICKER,"DEEP_MEASURE_PERIOD_BROKER_VALUE","DEEP_MEASURE_ID_OVERRIDE",$C297,"DEEP_BROKER_ID_OVERRIDE",$F$7,"DEEP_PERIOD_OVERRIDE",AG$11)*1,"")))</f>
        <v/>
      </c>
      <c r="AH297" s="17" t="str">
        <f>IF(ISNA($B297),"",IF($B297="","",IFERROR(_xll.BDP(TICKER,"DEEP_MEASURE_PERIOD_BROKER_VALUE","DEEP_MEASURE_ID_OVERRIDE",$C297,"DEEP_BROKER_ID_OVERRIDE",$F$7,"DEEP_PERIOD_OVERRIDE",AH$11)*1,"")))</f>
        <v/>
      </c>
      <c r="AI297" s="17" t="str">
        <f>IF(ISNA($B297),"",IF($B297="","",IFERROR(_xll.BDP(TICKER,"DEEP_MEASURE_PERIOD_BROKER_VALUE","DEEP_MEASURE_ID_OVERRIDE",$C297,"DEEP_BROKER_ID_OVERRIDE",$F$7,"DEEP_PERIOD_OVERRIDE",AI$11)*1,"")))</f>
        <v/>
      </c>
      <c r="AJ297" s="17" t="str">
        <f>IF(ISNA($B297),"",IF($B297="","",IFERROR(_xll.BDP(TICKER,"DEEP_MEASURE_PERIOD_BROKER_VALUE","DEEP_MEASURE_ID_OVERRIDE",$C297,"DEEP_BROKER_ID_OVERRIDE",$F$7,"DEEP_PERIOD_OVERRIDE",AJ$11)*1,"")))</f>
        <v/>
      </c>
      <c r="AK297" s="17" t="str">
        <f>IF(ISNA($B297),"",IF($B297="","",IFERROR(_xll.BDP(TICKER,"DEEP_MEASURE_PERIOD_BROKER_VALUE","DEEP_MEASURE_ID_OVERRIDE",$C297,"DEEP_BROKER_ID_OVERRIDE",$F$7,"DEEP_PERIOD_OVERRIDE",AK$11)*1,"")))</f>
        <v/>
      </c>
      <c r="AL297" s="17" t="str">
        <f>IF(ISNA($B297),"",IF($B297="","",IFERROR(_xll.BDP(TICKER,"DEEP_MEASURE_PERIOD_BROKER_VALUE","DEEP_MEASURE_ID_OVERRIDE",$C297,"DEEP_BROKER_ID_OVERRIDE",$F$7,"DEEP_PERIOD_OVERRIDE",AL$11)*1,"")))</f>
        <v/>
      </c>
      <c r="AM297" s="17" t="str">
        <f>IF(ISNA($B297),"",IF($B297="","",IFERROR(_xll.BDP(TICKER,"DEEP_MEASURE_PERIOD_BROKER_VALUE","DEEP_MEASURE_ID_OVERRIDE",$C297,"DEEP_BROKER_ID_OVERRIDE",$F$7,"DEEP_PERIOD_OVERRIDE",AM$11)*1,"")))</f>
        <v/>
      </c>
      <c r="AN297" s="17" t="str">
        <f>IF(ISNA($B297),"",IF($B297="","",IFERROR(_xll.BDP(TICKER,"DEEP_MEASURE_PERIOD_BROKER_VALUE","DEEP_MEASURE_ID_OVERRIDE",$C297,"DEEP_BROKER_ID_OVERRIDE",$F$7,"DEEP_PERIOD_OVERRIDE",AN$11)*1,"")))</f>
        <v/>
      </c>
      <c r="AO297" s="17" t="str">
        <f>IF(ISNA($B297),"",IF($B297="","",IFERROR(_xll.BDP(TICKER,"DEEP_MEASURE_PERIOD_BROKER_VALUE","DEEP_MEASURE_ID_OVERRIDE",$C297,"DEEP_BROKER_ID_OVERRIDE",$F$7,"DEEP_PERIOD_OVERRIDE",AO$11)*1,"")))</f>
        <v/>
      </c>
      <c r="AP297" s="17" t="str">
        <f>IF(ISNA($B297),"",IF($B297="","",IFERROR(_xll.BDP(TICKER,"DEEP_MEASURE_PERIOD_BROKER_VALUE","DEEP_MEASURE_ID_OVERRIDE",$C297,"DEEP_BROKER_ID_OVERRIDE",$F$7,"DEEP_PERIOD_OVERRIDE",AP$11)*1,"")))</f>
        <v/>
      </c>
      <c r="AQ297" s="17" t="str">
        <f>IF(ISNA($B297),"",IF($B297="","",IFERROR(_xll.BDP(TICKER,"DEEP_MEASURE_PERIOD_BROKER_VALUE","DEEP_MEASURE_ID_OVERRIDE",$C297,"DEEP_BROKER_ID_OVERRIDE",$F$7,"DEEP_PERIOD_OVERRIDE",AQ$11)*1,"")))</f>
        <v/>
      </c>
    </row>
    <row r="298" spans="8:43" x14ac:dyDescent="0.25">
      <c r="H298" t="str">
        <f t="shared" si="6"/>
        <v/>
      </c>
      <c r="I298" s="17" t="str">
        <f>IF(ISNA($B298),"",IF($B298="","",IFERROR(_xll.BDP(TICKER,"DEEP_MEASURE_PERIOD_BROKER_VALUE","DEEP_MEASURE_ID_OVERRIDE",$C298,"DEEP_BROKER_ID_OVERRIDE",$F$7,"DEEP_PERIOD_OVERRIDE",I$11)*1,"")))</f>
        <v/>
      </c>
      <c r="J298" s="17" t="str">
        <f>IF(ISNA($B298),"",IF($B298="","",IFERROR(_xll.BDP(TICKER,"DEEP_MEASURE_PERIOD_BROKER_VALUE","DEEP_MEASURE_ID_OVERRIDE",$C298,"DEEP_BROKER_ID_OVERRIDE",$F$7,"DEEP_PERIOD_OVERRIDE",J$11)*1,"")))</f>
        <v/>
      </c>
      <c r="K298" s="17" t="str">
        <f>IF(ISNA($B298),"",IF($B298="","",IFERROR(_xll.BDP(TICKER,"DEEP_MEASURE_PERIOD_BROKER_VALUE","DEEP_MEASURE_ID_OVERRIDE",$C298,"DEEP_BROKER_ID_OVERRIDE",$F$7,"DEEP_PERIOD_OVERRIDE",K$11)*1,"")))</f>
        <v/>
      </c>
      <c r="L298" s="17" t="str">
        <f>IF(ISNA($B298),"",IF($B298="","",IFERROR(_xll.BDP(TICKER,"DEEP_MEASURE_PERIOD_BROKER_VALUE","DEEP_MEASURE_ID_OVERRIDE",$C298,"DEEP_BROKER_ID_OVERRIDE",$F$7,"DEEP_PERIOD_OVERRIDE",L$11)*1,"")))</f>
        <v/>
      </c>
      <c r="M298" s="17" t="str">
        <f>IF(ISNA($B298),"",IF($B298="","",IFERROR(_xll.BDP(TICKER,"DEEP_MEASURE_PERIOD_BROKER_VALUE","DEEP_MEASURE_ID_OVERRIDE",$C298,"DEEP_BROKER_ID_OVERRIDE",$F$7,"DEEP_PERIOD_OVERRIDE",M$11)*1,"")))</f>
        <v/>
      </c>
      <c r="N298" s="17" t="str">
        <f>IF(ISNA($B298),"",IF($B298="","",IFERROR(_xll.BDP(TICKER,"DEEP_MEASURE_PERIOD_BROKER_VALUE","DEEP_MEASURE_ID_OVERRIDE",$C298,"DEEP_BROKER_ID_OVERRIDE",$F$7,"DEEP_PERIOD_OVERRIDE",N$11)*1,"")))</f>
        <v/>
      </c>
      <c r="O298" s="17" t="str">
        <f>IF(ISNA($B298),"",IF($B298="","",IFERROR(_xll.BDP(TICKER,"DEEP_MEASURE_PERIOD_BROKER_VALUE","DEEP_MEASURE_ID_OVERRIDE",$C298,"DEEP_BROKER_ID_OVERRIDE",$F$7,"DEEP_PERIOD_OVERRIDE",O$11)*1,"")))</f>
        <v/>
      </c>
      <c r="P298" s="17" t="str">
        <f>IF(ISNA($B298),"",IF($B298="","",IFERROR(_xll.BDP(TICKER,"DEEP_MEASURE_PERIOD_BROKER_VALUE","DEEP_MEASURE_ID_OVERRIDE",$C298,"DEEP_BROKER_ID_OVERRIDE",$F$7,"DEEP_PERIOD_OVERRIDE",P$11)*1,"")))</f>
        <v/>
      </c>
      <c r="Q298" s="17" t="str">
        <f>IF(ISNA($B298),"",IF($B298="","",IFERROR(_xll.BDP(TICKER,"DEEP_MEASURE_PERIOD_BROKER_VALUE","DEEP_MEASURE_ID_OVERRIDE",$C298,"DEEP_BROKER_ID_OVERRIDE",$F$7,"DEEP_PERIOD_OVERRIDE",Q$11)*1,"")))</f>
        <v/>
      </c>
      <c r="R298" s="17" t="str">
        <f>IF(ISNA($B298),"",IF($B298="","",IFERROR(_xll.BDP(TICKER,"DEEP_MEASURE_PERIOD_BROKER_VALUE","DEEP_MEASURE_ID_OVERRIDE",$C298,"DEEP_BROKER_ID_OVERRIDE",$F$7,"DEEP_PERIOD_OVERRIDE",R$11)*1,"")))</f>
        <v/>
      </c>
      <c r="S298" s="17" t="str">
        <f>IF(ISNA($B298),"",IF($B298="","",IFERROR(_xll.BDP(TICKER,"DEEP_MEASURE_PERIOD_BROKER_VALUE","DEEP_MEASURE_ID_OVERRIDE",$C298,"DEEP_BROKER_ID_OVERRIDE",$F$7,"DEEP_PERIOD_OVERRIDE",S$11)*1,"")))</f>
        <v/>
      </c>
      <c r="T298" s="17" t="str">
        <f>IF(ISNA($B298),"",IF($B298="","",IFERROR(_xll.BDP(TICKER,"DEEP_MEASURE_PERIOD_BROKER_VALUE","DEEP_MEASURE_ID_OVERRIDE",$C298,"DEEP_BROKER_ID_OVERRIDE",$F$7,"DEEP_PERIOD_OVERRIDE",T$11)*1,"")))</f>
        <v/>
      </c>
      <c r="U298" s="17" t="str">
        <f>IF(ISNA($B298),"",IF($B298="","",IFERROR(_xll.BDP(TICKER,"DEEP_MEASURE_PERIOD_BROKER_VALUE","DEEP_MEASURE_ID_OVERRIDE",$C298,"DEEP_BROKER_ID_OVERRIDE",$F$7,"DEEP_PERIOD_OVERRIDE",U$11)*1,"")))</f>
        <v/>
      </c>
      <c r="V298" s="17" t="str">
        <f>IF(ISNA($B298),"",IF($B298="","",IFERROR(_xll.BDP(TICKER,"DEEP_MEASURE_PERIOD_BROKER_VALUE","DEEP_MEASURE_ID_OVERRIDE",$C298,"DEEP_BROKER_ID_OVERRIDE",$F$7,"DEEP_PERIOD_OVERRIDE",V$11)*1,"")))</f>
        <v/>
      </c>
      <c r="W298" s="17" t="str">
        <f>IF(ISNA($B298),"",IF($B298="","",IFERROR(_xll.BDP(TICKER,"DEEP_MEASURE_PERIOD_BROKER_VALUE","DEEP_MEASURE_ID_OVERRIDE",$C298,"DEEP_BROKER_ID_OVERRIDE",$F$7,"DEEP_PERIOD_OVERRIDE",W$11)*1,"")))</f>
        <v/>
      </c>
      <c r="X298" s="17" t="str">
        <f>IF(ISNA($B298),"",IF($B298="","",IFERROR(_xll.BDP(TICKER,"DEEP_MEASURE_PERIOD_BROKER_VALUE","DEEP_MEASURE_ID_OVERRIDE",$C298,"DEEP_BROKER_ID_OVERRIDE",$F$7,"DEEP_PERIOD_OVERRIDE",X$11)*1,"")))</f>
        <v/>
      </c>
      <c r="Y298" s="17" t="str">
        <f>IF(ISNA($B298),"",IF($B298="","",IFERROR(_xll.BDP(TICKER,"DEEP_MEASURE_PERIOD_BROKER_VALUE","DEEP_MEASURE_ID_OVERRIDE",$C298,"DEEP_BROKER_ID_OVERRIDE",$F$7,"DEEP_PERIOD_OVERRIDE",Y$11)*1,"")))</f>
        <v/>
      </c>
      <c r="Z298" s="17" t="str">
        <f>IF(ISNA($B298),"",IF($B298="","",IFERROR(_xll.BDP(TICKER,"DEEP_MEASURE_PERIOD_BROKER_VALUE","DEEP_MEASURE_ID_OVERRIDE",$C298,"DEEP_BROKER_ID_OVERRIDE",$F$7,"DEEP_PERIOD_OVERRIDE",Z$11)*1,"")))</f>
        <v/>
      </c>
      <c r="AA298" s="17" t="str">
        <f>IF(ISNA($B298),"",IF($B298="","",IFERROR(_xll.BDP(TICKER,"DEEP_MEASURE_PERIOD_BROKER_VALUE","DEEP_MEASURE_ID_OVERRIDE",$C298,"DEEP_BROKER_ID_OVERRIDE",$F$7,"DEEP_PERIOD_OVERRIDE",AA$11)*1,"")))</f>
        <v/>
      </c>
      <c r="AB298" s="17" t="str">
        <f>IF(ISNA($B298),"",IF($B298="","",IFERROR(_xll.BDP(TICKER,"DEEP_MEASURE_PERIOD_BROKER_VALUE","DEEP_MEASURE_ID_OVERRIDE",$C298,"DEEP_BROKER_ID_OVERRIDE",$F$7,"DEEP_PERIOD_OVERRIDE",AB$11)*1,"")))</f>
        <v/>
      </c>
      <c r="AC298" s="17" t="str">
        <f>IF(ISNA($B298),"",IF($B298="","",IFERROR(_xll.BDP(TICKER,"DEEP_MEASURE_PERIOD_BROKER_VALUE","DEEP_MEASURE_ID_OVERRIDE",$C298,"DEEP_BROKER_ID_OVERRIDE",$F$7,"DEEP_PERIOD_OVERRIDE",AC$11)*1,"")))</f>
        <v/>
      </c>
      <c r="AD298" s="17" t="str">
        <f>IF(ISNA($B298),"",IF($B298="","",IFERROR(_xll.BDP(TICKER,"DEEP_MEASURE_PERIOD_BROKER_VALUE","DEEP_MEASURE_ID_OVERRIDE",$C298,"DEEP_BROKER_ID_OVERRIDE",$F$7,"DEEP_PERIOD_OVERRIDE",AD$11)*1,"")))</f>
        <v/>
      </c>
      <c r="AE298" s="17" t="str">
        <f>IF(ISNA($B298),"",IF($B298="","",IFERROR(_xll.BDP(TICKER,"DEEP_MEASURE_PERIOD_BROKER_VALUE","DEEP_MEASURE_ID_OVERRIDE",$C298,"DEEP_BROKER_ID_OVERRIDE",$F$7,"DEEP_PERIOD_OVERRIDE",AE$11)*1,"")))</f>
        <v/>
      </c>
      <c r="AF298" s="17" t="str">
        <f>IF(ISNA($B298),"",IF($B298="","",IFERROR(_xll.BDP(TICKER,"DEEP_MEASURE_PERIOD_BROKER_VALUE","DEEP_MEASURE_ID_OVERRIDE",$C298,"DEEP_BROKER_ID_OVERRIDE",$F$7,"DEEP_PERIOD_OVERRIDE",AF$11)*1,"")))</f>
        <v/>
      </c>
      <c r="AG298" s="17" t="str">
        <f>IF(ISNA($B298),"",IF($B298="","",IFERROR(_xll.BDP(TICKER,"DEEP_MEASURE_PERIOD_BROKER_VALUE","DEEP_MEASURE_ID_OVERRIDE",$C298,"DEEP_BROKER_ID_OVERRIDE",$F$7,"DEEP_PERIOD_OVERRIDE",AG$11)*1,"")))</f>
        <v/>
      </c>
      <c r="AH298" s="17" t="str">
        <f>IF(ISNA($B298),"",IF($B298="","",IFERROR(_xll.BDP(TICKER,"DEEP_MEASURE_PERIOD_BROKER_VALUE","DEEP_MEASURE_ID_OVERRIDE",$C298,"DEEP_BROKER_ID_OVERRIDE",$F$7,"DEEP_PERIOD_OVERRIDE",AH$11)*1,"")))</f>
        <v/>
      </c>
      <c r="AI298" s="17" t="str">
        <f>IF(ISNA($B298),"",IF($B298="","",IFERROR(_xll.BDP(TICKER,"DEEP_MEASURE_PERIOD_BROKER_VALUE","DEEP_MEASURE_ID_OVERRIDE",$C298,"DEEP_BROKER_ID_OVERRIDE",$F$7,"DEEP_PERIOD_OVERRIDE",AI$11)*1,"")))</f>
        <v/>
      </c>
      <c r="AJ298" s="17" t="str">
        <f>IF(ISNA($B298),"",IF($B298="","",IFERROR(_xll.BDP(TICKER,"DEEP_MEASURE_PERIOD_BROKER_VALUE","DEEP_MEASURE_ID_OVERRIDE",$C298,"DEEP_BROKER_ID_OVERRIDE",$F$7,"DEEP_PERIOD_OVERRIDE",AJ$11)*1,"")))</f>
        <v/>
      </c>
      <c r="AK298" s="17" t="str">
        <f>IF(ISNA($B298),"",IF($B298="","",IFERROR(_xll.BDP(TICKER,"DEEP_MEASURE_PERIOD_BROKER_VALUE","DEEP_MEASURE_ID_OVERRIDE",$C298,"DEEP_BROKER_ID_OVERRIDE",$F$7,"DEEP_PERIOD_OVERRIDE",AK$11)*1,"")))</f>
        <v/>
      </c>
      <c r="AL298" s="17" t="str">
        <f>IF(ISNA($B298),"",IF($B298="","",IFERROR(_xll.BDP(TICKER,"DEEP_MEASURE_PERIOD_BROKER_VALUE","DEEP_MEASURE_ID_OVERRIDE",$C298,"DEEP_BROKER_ID_OVERRIDE",$F$7,"DEEP_PERIOD_OVERRIDE",AL$11)*1,"")))</f>
        <v/>
      </c>
      <c r="AM298" s="17" t="str">
        <f>IF(ISNA($B298),"",IF($B298="","",IFERROR(_xll.BDP(TICKER,"DEEP_MEASURE_PERIOD_BROKER_VALUE","DEEP_MEASURE_ID_OVERRIDE",$C298,"DEEP_BROKER_ID_OVERRIDE",$F$7,"DEEP_PERIOD_OVERRIDE",AM$11)*1,"")))</f>
        <v/>
      </c>
      <c r="AN298" s="17" t="str">
        <f>IF(ISNA($B298),"",IF($B298="","",IFERROR(_xll.BDP(TICKER,"DEEP_MEASURE_PERIOD_BROKER_VALUE","DEEP_MEASURE_ID_OVERRIDE",$C298,"DEEP_BROKER_ID_OVERRIDE",$F$7,"DEEP_PERIOD_OVERRIDE",AN$11)*1,"")))</f>
        <v/>
      </c>
      <c r="AO298" s="17" t="str">
        <f>IF(ISNA($B298),"",IF($B298="","",IFERROR(_xll.BDP(TICKER,"DEEP_MEASURE_PERIOD_BROKER_VALUE","DEEP_MEASURE_ID_OVERRIDE",$C298,"DEEP_BROKER_ID_OVERRIDE",$F$7,"DEEP_PERIOD_OVERRIDE",AO$11)*1,"")))</f>
        <v/>
      </c>
      <c r="AP298" s="17" t="str">
        <f>IF(ISNA($B298),"",IF($B298="","",IFERROR(_xll.BDP(TICKER,"DEEP_MEASURE_PERIOD_BROKER_VALUE","DEEP_MEASURE_ID_OVERRIDE",$C298,"DEEP_BROKER_ID_OVERRIDE",$F$7,"DEEP_PERIOD_OVERRIDE",AP$11)*1,"")))</f>
        <v/>
      </c>
      <c r="AQ298" s="17" t="str">
        <f>IF(ISNA($B298),"",IF($B298="","",IFERROR(_xll.BDP(TICKER,"DEEP_MEASURE_PERIOD_BROKER_VALUE","DEEP_MEASURE_ID_OVERRIDE",$C298,"DEEP_BROKER_ID_OVERRIDE",$F$7,"DEEP_PERIOD_OVERRIDE",AQ$11)*1,"")))</f>
        <v/>
      </c>
    </row>
    <row r="299" spans="8:43" x14ac:dyDescent="0.25">
      <c r="H299" t="str">
        <f t="shared" si="6"/>
        <v/>
      </c>
      <c r="I299" s="17" t="str">
        <f>IF(ISNA($B299),"",IF($B299="","",IFERROR(_xll.BDP(TICKER,"DEEP_MEASURE_PERIOD_BROKER_VALUE","DEEP_MEASURE_ID_OVERRIDE",$C299,"DEEP_BROKER_ID_OVERRIDE",$F$7,"DEEP_PERIOD_OVERRIDE",I$11)*1,"")))</f>
        <v/>
      </c>
      <c r="J299" s="17" t="str">
        <f>IF(ISNA($B299),"",IF($B299="","",IFERROR(_xll.BDP(TICKER,"DEEP_MEASURE_PERIOD_BROKER_VALUE","DEEP_MEASURE_ID_OVERRIDE",$C299,"DEEP_BROKER_ID_OVERRIDE",$F$7,"DEEP_PERIOD_OVERRIDE",J$11)*1,"")))</f>
        <v/>
      </c>
      <c r="K299" s="17" t="str">
        <f>IF(ISNA($B299),"",IF($B299="","",IFERROR(_xll.BDP(TICKER,"DEEP_MEASURE_PERIOD_BROKER_VALUE","DEEP_MEASURE_ID_OVERRIDE",$C299,"DEEP_BROKER_ID_OVERRIDE",$F$7,"DEEP_PERIOD_OVERRIDE",K$11)*1,"")))</f>
        <v/>
      </c>
      <c r="L299" s="17" t="str">
        <f>IF(ISNA($B299),"",IF($B299="","",IFERROR(_xll.BDP(TICKER,"DEEP_MEASURE_PERIOD_BROKER_VALUE","DEEP_MEASURE_ID_OVERRIDE",$C299,"DEEP_BROKER_ID_OVERRIDE",$F$7,"DEEP_PERIOD_OVERRIDE",L$11)*1,"")))</f>
        <v/>
      </c>
      <c r="M299" s="17" t="str">
        <f>IF(ISNA($B299),"",IF($B299="","",IFERROR(_xll.BDP(TICKER,"DEEP_MEASURE_PERIOD_BROKER_VALUE","DEEP_MEASURE_ID_OVERRIDE",$C299,"DEEP_BROKER_ID_OVERRIDE",$F$7,"DEEP_PERIOD_OVERRIDE",M$11)*1,"")))</f>
        <v/>
      </c>
      <c r="N299" s="17" t="str">
        <f>IF(ISNA($B299),"",IF($B299="","",IFERROR(_xll.BDP(TICKER,"DEEP_MEASURE_PERIOD_BROKER_VALUE","DEEP_MEASURE_ID_OVERRIDE",$C299,"DEEP_BROKER_ID_OVERRIDE",$F$7,"DEEP_PERIOD_OVERRIDE",N$11)*1,"")))</f>
        <v/>
      </c>
      <c r="O299" s="17" t="str">
        <f>IF(ISNA($B299),"",IF($B299="","",IFERROR(_xll.BDP(TICKER,"DEEP_MEASURE_PERIOD_BROKER_VALUE","DEEP_MEASURE_ID_OVERRIDE",$C299,"DEEP_BROKER_ID_OVERRIDE",$F$7,"DEEP_PERIOD_OVERRIDE",O$11)*1,"")))</f>
        <v/>
      </c>
      <c r="P299" s="17" t="str">
        <f>IF(ISNA($B299),"",IF($B299="","",IFERROR(_xll.BDP(TICKER,"DEEP_MEASURE_PERIOD_BROKER_VALUE","DEEP_MEASURE_ID_OVERRIDE",$C299,"DEEP_BROKER_ID_OVERRIDE",$F$7,"DEEP_PERIOD_OVERRIDE",P$11)*1,"")))</f>
        <v/>
      </c>
      <c r="Q299" s="17" t="str">
        <f>IF(ISNA($B299),"",IF($B299="","",IFERROR(_xll.BDP(TICKER,"DEEP_MEASURE_PERIOD_BROKER_VALUE","DEEP_MEASURE_ID_OVERRIDE",$C299,"DEEP_BROKER_ID_OVERRIDE",$F$7,"DEEP_PERIOD_OVERRIDE",Q$11)*1,"")))</f>
        <v/>
      </c>
      <c r="R299" s="17" t="str">
        <f>IF(ISNA($B299),"",IF($B299="","",IFERROR(_xll.BDP(TICKER,"DEEP_MEASURE_PERIOD_BROKER_VALUE","DEEP_MEASURE_ID_OVERRIDE",$C299,"DEEP_BROKER_ID_OVERRIDE",$F$7,"DEEP_PERIOD_OVERRIDE",R$11)*1,"")))</f>
        <v/>
      </c>
      <c r="S299" s="17" t="str">
        <f>IF(ISNA($B299),"",IF($B299="","",IFERROR(_xll.BDP(TICKER,"DEEP_MEASURE_PERIOD_BROKER_VALUE","DEEP_MEASURE_ID_OVERRIDE",$C299,"DEEP_BROKER_ID_OVERRIDE",$F$7,"DEEP_PERIOD_OVERRIDE",S$11)*1,"")))</f>
        <v/>
      </c>
      <c r="T299" s="17" t="str">
        <f>IF(ISNA($B299),"",IF($B299="","",IFERROR(_xll.BDP(TICKER,"DEEP_MEASURE_PERIOD_BROKER_VALUE","DEEP_MEASURE_ID_OVERRIDE",$C299,"DEEP_BROKER_ID_OVERRIDE",$F$7,"DEEP_PERIOD_OVERRIDE",T$11)*1,"")))</f>
        <v/>
      </c>
      <c r="U299" s="17" t="str">
        <f>IF(ISNA($B299),"",IF($B299="","",IFERROR(_xll.BDP(TICKER,"DEEP_MEASURE_PERIOD_BROKER_VALUE","DEEP_MEASURE_ID_OVERRIDE",$C299,"DEEP_BROKER_ID_OVERRIDE",$F$7,"DEEP_PERIOD_OVERRIDE",U$11)*1,"")))</f>
        <v/>
      </c>
      <c r="V299" s="17" t="str">
        <f>IF(ISNA($B299),"",IF($B299="","",IFERROR(_xll.BDP(TICKER,"DEEP_MEASURE_PERIOD_BROKER_VALUE","DEEP_MEASURE_ID_OVERRIDE",$C299,"DEEP_BROKER_ID_OVERRIDE",$F$7,"DEEP_PERIOD_OVERRIDE",V$11)*1,"")))</f>
        <v/>
      </c>
      <c r="W299" s="17" t="str">
        <f>IF(ISNA($B299),"",IF($B299="","",IFERROR(_xll.BDP(TICKER,"DEEP_MEASURE_PERIOD_BROKER_VALUE","DEEP_MEASURE_ID_OVERRIDE",$C299,"DEEP_BROKER_ID_OVERRIDE",$F$7,"DEEP_PERIOD_OVERRIDE",W$11)*1,"")))</f>
        <v/>
      </c>
      <c r="X299" s="17" t="str">
        <f>IF(ISNA($B299),"",IF($B299="","",IFERROR(_xll.BDP(TICKER,"DEEP_MEASURE_PERIOD_BROKER_VALUE","DEEP_MEASURE_ID_OVERRIDE",$C299,"DEEP_BROKER_ID_OVERRIDE",$F$7,"DEEP_PERIOD_OVERRIDE",X$11)*1,"")))</f>
        <v/>
      </c>
      <c r="Y299" s="17" t="str">
        <f>IF(ISNA($B299),"",IF($B299="","",IFERROR(_xll.BDP(TICKER,"DEEP_MEASURE_PERIOD_BROKER_VALUE","DEEP_MEASURE_ID_OVERRIDE",$C299,"DEEP_BROKER_ID_OVERRIDE",$F$7,"DEEP_PERIOD_OVERRIDE",Y$11)*1,"")))</f>
        <v/>
      </c>
      <c r="Z299" s="17" t="str">
        <f>IF(ISNA($B299),"",IF($B299="","",IFERROR(_xll.BDP(TICKER,"DEEP_MEASURE_PERIOD_BROKER_VALUE","DEEP_MEASURE_ID_OVERRIDE",$C299,"DEEP_BROKER_ID_OVERRIDE",$F$7,"DEEP_PERIOD_OVERRIDE",Z$11)*1,"")))</f>
        <v/>
      </c>
      <c r="AA299" s="17" t="str">
        <f>IF(ISNA($B299),"",IF($B299="","",IFERROR(_xll.BDP(TICKER,"DEEP_MEASURE_PERIOD_BROKER_VALUE","DEEP_MEASURE_ID_OVERRIDE",$C299,"DEEP_BROKER_ID_OVERRIDE",$F$7,"DEEP_PERIOD_OVERRIDE",AA$11)*1,"")))</f>
        <v/>
      </c>
      <c r="AB299" s="17" t="str">
        <f>IF(ISNA($B299),"",IF($B299="","",IFERROR(_xll.BDP(TICKER,"DEEP_MEASURE_PERIOD_BROKER_VALUE","DEEP_MEASURE_ID_OVERRIDE",$C299,"DEEP_BROKER_ID_OVERRIDE",$F$7,"DEEP_PERIOD_OVERRIDE",AB$11)*1,"")))</f>
        <v/>
      </c>
      <c r="AC299" s="17" t="str">
        <f>IF(ISNA($B299),"",IF($B299="","",IFERROR(_xll.BDP(TICKER,"DEEP_MEASURE_PERIOD_BROKER_VALUE","DEEP_MEASURE_ID_OVERRIDE",$C299,"DEEP_BROKER_ID_OVERRIDE",$F$7,"DEEP_PERIOD_OVERRIDE",AC$11)*1,"")))</f>
        <v/>
      </c>
      <c r="AD299" s="17" t="str">
        <f>IF(ISNA($B299),"",IF($B299="","",IFERROR(_xll.BDP(TICKER,"DEEP_MEASURE_PERIOD_BROKER_VALUE","DEEP_MEASURE_ID_OVERRIDE",$C299,"DEEP_BROKER_ID_OVERRIDE",$F$7,"DEEP_PERIOD_OVERRIDE",AD$11)*1,"")))</f>
        <v/>
      </c>
      <c r="AE299" s="17" t="str">
        <f>IF(ISNA($B299),"",IF($B299="","",IFERROR(_xll.BDP(TICKER,"DEEP_MEASURE_PERIOD_BROKER_VALUE","DEEP_MEASURE_ID_OVERRIDE",$C299,"DEEP_BROKER_ID_OVERRIDE",$F$7,"DEEP_PERIOD_OVERRIDE",AE$11)*1,"")))</f>
        <v/>
      </c>
      <c r="AF299" s="17" t="str">
        <f>IF(ISNA($B299),"",IF($B299="","",IFERROR(_xll.BDP(TICKER,"DEEP_MEASURE_PERIOD_BROKER_VALUE","DEEP_MEASURE_ID_OVERRIDE",$C299,"DEEP_BROKER_ID_OVERRIDE",$F$7,"DEEP_PERIOD_OVERRIDE",AF$11)*1,"")))</f>
        <v/>
      </c>
      <c r="AG299" s="17" t="str">
        <f>IF(ISNA($B299),"",IF($B299="","",IFERROR(_xll.BDP(TICKER,"DEEP_MEASURE_PERIOD_BROKER_VALUE","DEEP_MEASURE_ID_OVERRIDE",$C299,"DEEP_BROKER_ID_OVERRIDE",$F$7,"DEEP_PERIOD_OVERRIDE",AG$11)*1,"")))</f>
        <v/>
      </c>
      <c r="AH299" s="17" t="str">
        <f>IF(ISNA($B299),"",IF($B299="","",IFERROR(_xll.BDP(TICKER,"DEEP_MEASURE_PERIOD_BROKER_VALUE","DEEP_MEASURE_ID_OVERRIDE",$C299,"DEEP_BROKER_ID_OVERRIDE",$F$7,"DEEP_PERIOD_OVERRIDE",AH$11)*1,"")))</f>
        <v/>
      </c>
      <c r="AI299" s="17" t="str">
        <f>IF(ISNA($B299),"",IF($B299="","",IFERROR(_xll.BDP(TICKER,"DEEP_MEASURE_PERIOD_BROKER_VALUE","DEEP_MEASURE_ID_OVERRIDE",$C299,"DEEP_BROKER_ID_OVERRIDE",$F$7,"DEEP_PERIOD_OVERRIDE",AI$11)*1,"")))</f>
        <v/>
      </c>
      <c r="AJ299" s="17" t="str">
        <f>IF(ISNA($B299),"",IF($B299="","",IFERROR(_xll.BDP(TICKER,"DEEP_MEASURE_PERIOD_BROKER_VALUE","DEEP_MEASURE_ID_OVERRIDE",$C299,"DEEP_BROKER_ID_OVERRIDE",$F$7,"DEEP_PERIOD_OVERRIDE",AJ$11)*1,"")))</f>
        <v/>
      </c>
      <c r="AK299" s="17" t="str">
        <f>IF(ISNA($B299),"",IF($B299="","",IFERROR(_xll.BDP(TICKER,"DEEP_MEASURE_PERIOD_BROKER_VALUE","DEEP_MEASURE_ID_OVERRIDE",$C299,"DEEP_BROKER_ID_OVERRIDE",$F$7,"DEEP_PERIOD_OVERRIDE",AK$11)*1,"")))</f>
        <v/>
      </c>
      <c r="AL299" s="17" t="str">
        <f>IF(ISNA($B299),"",IF($B299="","",IFERROR(_xll.BDP(TICKER,"DEEP_MEASURE_PERIOD_BROKER_VALUE","DEEP_MEASURE_ID_OVERRIDE",$C299,"DEEP_BROKER_ID_OVERRIDE",$F$7,"DEEP_PERIOD_OVERRIDE",AL$11)*1,"")))</f>
        <v/>
      </c>
      <c r="AM299" s="17" t="str">
        <f>IF(ISNA($B299),"",IF($B299="","",IFERROR(_xll.BDP(TICKER,"DEEP_MEASURE_PERIOD_BROKER_VALUE","DEEP_MEASURE_ID_OVERRIDE",$C299,"DEEP_BROKER_ID_OVERRIDE",$F$7,"DEEP_PERIOD_OVERRIDE",AM$11)*1,"")))</f>
        <v/>
      </c>
      <c r="AN299" s="17" t="str">
        <f>IF(ISNA($B299),"",IF($B299="","",IFERROR(_xll.BDP(TICKER,"DEEP_MEASURE_PERIOD_BROKER_VALUE","DEEP_MEASURE_ID_OVERRIDE",$C299,"DEEP_BROKER_ID_OVERRIDE",$F$7,"DEEP_PERIOD_OVERRIDE",AN$11)*1,"")))</f>
        <v/>
      </c>
      <c r="AO299" s="17" t="str">
        <f>IF(ISNA($B299),"",IF($B299="","",IFERROR(_xll.BDP(TICKER,"DEEP_MEASURE_PERIOD_BROKER_VALUE","DEEP_MEASURE_ID_OVERRIDE",$C299,"DEEP_BROKER_ID_OVERRIDE",$F$7,"DEEP_PERIOD_OVERRIDE",AO$11)*1,"")))</f>
        <v/>
      </c>
      <c r="AP299" s="17" t="str">
        <f>IF(ISNA($B299),"",IF($B299="","",IFERROR(_xll.BDP(TICKER,"DEEP_MEASURE_PERIOD_BROKER_VALUE","DEEP_MEASURE_ID_OVERRIDE",$C299,"DEEP_BROKER_ID_OVERRIDE",$F$7,"DEEP_PERIOD_OVERRIDE",AP$11)*1,"")))</f>
        <v/>
      </c>
      <c r="AQ299" s="17" t="str">
        <f>IF(ISNA($B299),"",IF($B299="","",IFERROR(_xll.BDP(TICKER,"DEEP_MEASURE_PERIOD_BROKER_VALUE","DEEP_MEASURE_ID_OVERRIDE",$C299,"DEEP_BROKER_ID_OVERRIDE",$F$7,"DEEP_PERIOD_OVERRIDE",AQ$11)*1,"")))</f>
        <v/>
      </c>
    </row>
  </sheetData>
  <conditionalFormatting sqref="H17">
    <cfRule type="expression" dxfId="3" priority="2">
      <formula>IF($K$17=TRUE,1,0)</formula>
    </cfRule>
  </conditionalFormatting>
  <dataValidations count="1">
    <dataValidation type="list" allowBlank="1" showInputMessage="1" showErrorMessage="1" sqref="H19">
      <formula1>INDEX(BB_DEEP_BROKER_NAME,,1)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7320BF4-CF11-49E5-AA22-24E462A880C2}">
            <xm:f>IF('Deep Estimates - Period'!#REF!=TRUE,1,0)</xm:f>
            <x14:dxf>
              <font>
                <b/>
                <i val="0"/>
                <color rgb="FFFF0000"/>
              </font>
            </x14:dxf>
          </x14:cfRule>
          <xm:sqref>H14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eepEst1">
    <outlinePr summaryBelow="0"/>
  </sheetPr>
  <dimension ref="A1:CF300"/>
  <sheetViews>
    <sheetView showGridLines="0" workbookViewId="0">
      <pane xSplit="8" ySplit="24" topLeftCell="I25" activePane="bottomRight" state="frozen"/>
      <selection activeCell="M27" sqref="M27"/>
      <selection pane="topRight" activeCell="M27" sqref="M27"/>
      <selection pane="bottomLeft" activeCell="M27" sqref="M27"/>
      <selection pane="bottomRight" activeCell="H14" sqref="H14"/>
    </sheetView>
  </sheetViews>
  <sheetFormatPr defaultRowHeight="15" x14ac:dyDescent="0.25"/>
  <cols>
    <col min="1" max="1" width="16.28515625" hidden="1" customWidth="1" collapsed="1"/>
    <col min="2" max="6" width="0" hidden="1" customWidth="1"/>
    <col min="7" max="7" width="2.85546875" customWidth="1"/>
    <col min="8" max="8" width="73.7109375" customWidth="1"/>
    <col min="9" max="9" width="15.140625" customWidth="1"/>
    <col min="10" max="26" width="15.42578125" customWidth="1"/>
  </cols>
  <sheetData>
    <row r="1" spans="8:84" s="1" customFormat="1" ht="5.0999999999999996" customHeight="1" x14ac:dyDescent="0.25">
      <c r="CF1" s="2"/>
    </row>
    <row r="2" spans="8:84" s="1" customFormat="1" x14ac:dyDescent="0.25">
      <c r="CF2" s="2"/>
    </row>
    <row r="3" spans="8:84" s="1" customFormat="1" x14ac:dyDescent="0.25">
      <c r="CF3" s="2"/>
    </row>
    <row r="4" spans="8:84" s="1" customFormat="1" x14ac:dyDescent="0.25">
      <c r="CF4" s="2"/>
    </row>
    <row r="5" spans="8:84" s="1" customFormat="1" ht="5.25" customHeight="1" x14ac:dyDescent="0.25">
      <c r="CF5" s="2"/>
    </row>
    <row r="6" spans="8:84" s="1" customFormat="1" ht="15" hidden="1" customHeight="1" x14ac:dyDescent="0.25">
      <c r="CF6" s="2"/>
    </row>
    <row r="7" spans="8:84" s="1" customFormat="1" ht="15" hidden="1" customHeight="1" x14ac:dyDescent="0.25">
      <c r="CF7" s="2"/>
    </row>
    <row r="8" spans="8:84" s="1" customFormat="1" ht="15" hidden="1" customHeight="1" x14ac:dyDescent="0.25">
      <c r="CF8" s="2"/>
    </row>
    <row r="9" spans="8:84" s="1" customFormat="1" ht="15" hidden="1" customHeight="1" x14ac:dyDescent="0.25">
      <c r="CF9" s="2"/>
    </row>
    <row r="10" spans="8:84" s="1" customFormat="1" ht="15" hidden="1" customHeight="1" x14ac:dyDescent="0.25">
      <c r="CF10" s="2"/>
    </row>
    <row r="11" spans="8:84" s="1" customFormat="1" ht="15" hidden="1" customHeight="1" x14ac:dyDescent="0.25">
      <c r="CF11" s="2"/>
    </row>
    <row r="12" spans="8:84" s="1" customFormat="1" ht="15" hidden="1" customHeight="1" x14ac:dyDescent="0.25">
      <c r="CF12" s="2"/>
    </row>
    <row r="13" spans="8:84" s="1" customFormat="1" ht="21.75" customHeight="1" x14ac:dyDescent="0.3">
      <c r="H13" s="5" t="s">
        <v>7</v>
      </c>
      <c r="CF13" s="2"/>
    </row>
    <row r="14" spans="8:84" s="1" customFormat="1" ht="21.75" customHeight="1" x14ac:dyDescent="0.25">
      <c r="H14" s="19" t="s">
        <v>80</v>
      </c>
      <c r="CF14" s="2"/>
    </row>
    <row r="15" spans="8:84" s="1" customFormat="1" ht="21.75" customHeight="1" x14ac:dyDescent="0.25">
      <c r="CF15" s="2"/>
    </row>
    <row r="16" spans="8:84" ht="18.75" x14ac:dyDescent="0.3">
      <c r="H16" s="5" t="e">
        <f>_xll.BDP(TICKER,"security_name")&amp;" ("&amp;_xll.BDP(TICKER,"TICKER")&amp;")"</f>
        <v>#REF!</v>
      </c>
      <c r="K16" s="18"/>
    </row>
    <row r="17" spans="2:78" hidden="1" x14ac:dyDescent="0.25"/>
    <row r="18" spans="2:78" hidden="1" x14ac:dyDescent="0.25">
      <c r="K18" s="4" t="e">
        <f t="shared" ref="K18:AR18" si="0">K19&amp;" "&amp;K20</f>
        <v>#REF!</v>
      </c>
      <c r="L18" s="4" t="e">
        <f t="shared" si="0"/>
        <v>#REF!</v>
      </c>
      <c r="M18" s="4" t="e">
        <f t="shared" si="0"/>
        <v>#REF!</v>
      </c>
      <c r="N18" s="4" t="e">
        <f t="shared" si="0"/>
        <v>#REF!</v>
      </c>
      <c r="O18" s="4" t="e">
        <f t="shared" si="0"/>
        <v>#REF!</v>
      </c>
      <c r="P18" s="4" t="e">
        <f t="shared" si="0"/>
        <v>#REF!</v>
      </c>
      <c r="Q18" s="4" t="e">
        <f t="shared" si="0"/>
        <v>#REF!</v>
      </c>
      <c r="R18" s="4" t="e">
        <f t="shared" si="0"/>
        <v>#REF!</v>
      </c>
      <c r="S18" s="4" t="e">
        <f t="shared" si="0"/>
        <v>#REF!</v>
      </c>
      <c r="T18" s="4" t="e">
        <f t="shared" si="0"/>
        <v>#REF!</v>
      </c>
      <c r="U18" s="4" t="e">
        <f t="shared" si="0"/>
        <v>#REF!</v>
      </c>
      <c r="V18" s="4" t="e">
        <f t="shared" si="0"/>
        <v>#REF!</v>
      </c>
      <c r="W18" s="4" t="e">
        <f t="shared" si="0"/>
        <v>#REF!</v>
      </c>
      <c r="X18" s="4" t="e">
        <f t="shared" si="0"/>
        <v>#REF!</v>
      </c>
      <c r="Y18" s="4" t="e">
        <f t="shared" si="0"/>
        <v>#REF!</v>
      </c>
      <c r="Z18" s="4" t="e">
        <f t="shared" si="0"/>
        <v>#REF!</v>
      </c>
      <c r="AA18" s="4" t="e">
        <f t="shared" si="0"/>
        <v>#REF!</v>
      </c>
      <c r="AB18" s="4" t="e">
        <f t="shared" si="0"/>
        <v>#REF!</v>
      </c>
      <c r="AC18" s="4" t="e">
        <f t="shared" si="0"/>
        <v>#REF!</v>
      </c>
      <c r="AD18" s="4" t="e">
        <f t="shared" si="0"/>
        <v>#REF!</v>
      </c>
      <c r="AE18" s="4" t="e">
        <f t="shared" si="0"/>
        <v>#REF!</v>
      </c>
      <c r="AF18" s="4" t="e">
        <f t="shared" si="0"/>
        <v>#REF!</v>
      </c>
      <c r="AG18" s="4" t="e">
        <f t="shared" si="0"/>
        <v>#REF!</v>
      </c>
      <c r="AH18" s="4" t="e">
        <f t="shared" si="0"/>
        <v>#REF!</v>
      </c>
      <c r="AI18" s="4" t="e">
        <f t="shared" si="0"/>
        <v>#REF!</v>
      </c>
      <c r="AJ18" s="4" t="e">
        <f t="shared" si="0"/>
        <v>#REF!</v>
      </c>
      <c r="AK18" s="4" t="e">
        <f t="shared" si="0"/>
        <v>#REF!</v>
      </c>
      <c r="AL18" s="4" t="e">
        <f t="shared" si="0"/>
        <v>#REF!</v>
      </c>
      <c r="AM18" s="4" t="e">
        <f t="shared" si="0"/>
        <v>#REF!</v>
      </c>
      <c r="AN18" s="4" t="e">
        <f t="shared" si="0"/>
        <v>#REF!</v>
      </c>
      <c r="AO18" s="4" t="e">
        <f t="shared" si="0"/>
        <v>#REF!</v>
      </c>
      <c r="AP18" s="4" t="e">
        <f t="shared" si="0"/>
        <v>#REF!</v>
      </c>
      <c r="AQ18" s="4" t="e">
        <f t="shared" si="0"/>
        <v>#REF!</v>
      </c>
      <c r="AR18" s="4" t="e">
        <f t="shared" si="0"/>
        <v>#REF!</v>
      </c>
    </row>
    <row r="19" spans="2:78" hidden="1" x14ac:dyDescent="0.25">
      <c r="B19" s="3"/>
      <c r="H19" t="e">
        <f>HLOOKUP($H$23,$K$18:$AR$21,4,0)</f>
        <v>#N/A</v>
      </c>
      <c r="K19" s="4" t="e">
        <f>'Deep Estimates - Source'!I9</f>
        <v>#REF!</v>
      </c>
      <c r="L19" s="4" t="e">
        <f>'Deep Estimates - Source'!J9</f>
        <v>#REF!</v>
      </c>
      <c r="M19" s="4" t="e">
        <f>'Deep Estimates - Source'!K9</f>
        <v>#REF!</v>
      </c>
      <c r="N19" s="4" t="e">
        <f>'Deep Estimates - Source'!L9</f>
        <v>#REF!</v>
      </c>
      <c r="O19" s="4" t="e">
        <f>'Deep Estimates - Source'!M9</f>
        <v>#REF!</v>
      </c>
      <c r="P19" s="4" t="e">
        <f>'Deep Estimates - Source'!N9</f>
        <v>#REF!</v>
      </c>
      <c r="Q19" s="4" t="e">
        <f>'Deep Estimates - Source'!O9</f>
        <v>#REF!</v>
      </c>
      <c r="R19" s="4" t="e">
        <f>'Deep Estimates - Source'!P9</f>
        <v>#REF!</v>
      </c>
      <c r="S19" s="4" t="e">
        <f>'Deep Estimates - Source'!Q9</f>
        <v>#REF!</v>
      </c>
      <c r="T19" s="4" t="e">
        <f>'Deep Estimates - Source'!R9</f>
        <v>#REF!</v>
      </c>
      <c r="U19" s="4" t="e">
        <f>'Deep Estimates - Source'!S9</f>
        <v>#REF!</v>
      </c>
      <c r="V19" s="4" t="e">
        <f>'Deep Estimates - Source'!T9</f>
        <v>#REF!</v>
      </c>
      <c r="W19" s="4" t="e">
        <f>'Deep Estimates - Source'!U9</f>
        <v>#REF!</v>
      </c>
      <c r="X19" s="4" t="e">
        <f>'Deep Estimates - Source'!V9</f>
        <v>#REF!</v>
      </c>
      <c r="Y19" s="4" t="e">
        <f>'Deep Estimates - Source'!W9</f>
        <v>#REF!</v>
      </c>
      <c r="Z19" s="4" t="e">
        <f>'Deep Estimates - Source'!X9</f>
        <v>#REF!</v>
      </c>
      <c r="AA19" s="4" t="e">
        <f>'Deep Estimates - Source'!Y9</f>
        <v>#REF!</v>
      </c>
      <c r="AB19" s="4" t="e">
        <f>'Deep Estimates - Source'!Z9</f>
        <v>#REF!</v>
      </c>
      <c r="AC19" s="4" t="e">
        <f>'Deep Estimates - Source'!AA9</f>
        <v>#REF!</v>
      </c>
      <c r="AD19" s="4" t="e">
        <f>'Deep Estimates - Source'!AB9</f>
        <v>#REF!</v>
      </c>
      <c r="AE19" s="4" t="e">
        <f>'Deep Estimates - Source'!AC9</f>
        <v>#REF!</v>
      </c>
      <c r="AF19" s="4" t="e">
        <f>'Deep Estimates - Source'!AD9</f>
        <v>#REF!</v>
      </c>
      <c r="AG19" s="4" t="e">
        <f>'Deep Estimates - Source'!AE9</f>
        <v>#REF!</v>
      </c>
      <c r="AH19" s="4" t="e">
        <f>'Deep Estimates - Source'!AF9</f>
        <v>#REF!</v>
      </c>
      <c r="AI19" s="4" t="e">
        <f>'Deep Estimates - Source'!AG9</f>
        <v>#REF!</v>
      </c>
      <c r="AJ19" s="4" t="e">
        <f>'Deep Estimates - Source'!AH9</f>
        <v>#REF!</v>
      </c>
      <c r="AK19" s="4" t="e">
        <f>'Deep Estimates - Source'!AI9</f>
        <v>#REF!</v>
      </c>
      <c r="AL19" s="4" t="e">
        <f>'Deep Estimates - Source'!AJ9</f>
        <v>#REF!</v>
      </c>
      <c r="AM19" s="4" t="e">
        <f>'Deep Estimates - Source'!AK9</f>
        <v>#REF!</v>
      </c>
      <c r="AN19" s="4" t="e">
        <f>'Deep Estimates - Source'!AL9</f>
        <v>#REF!</v>
      </c>
      <c r="AO19" s="4" t="e">
        <f>'Deep Estimates - Source'!AM9</f>
        <v>#REF!</v>
      </c>
      <c r="AP19" s="4" t="e">
        <f>'Deep Estimates - Source'!AN9</f>
        <v>#REF!</v>
      </c>
      <c r="AQ19" s="4" t="e">
        <f>'Deep Estimates - Source'!AO9</f>
        <v>#REF!</v>
      </c>
      <c r="AR19" s="4" t="e">
        <f>'Deep Estimates - Source'!AP9</f>
        <v>#REF!</v>
      </c>
    </row>
    <row r="20" spans="2:78" hidden="1" x14ac:dyDescent="0.25">
      <c r="K20" s="4" t="str">
        <f>'Deep Estimates - Source'!I10</f>
        <v>Q1</v>
      </c>
      <c r="L20" s="4" t="str">
        <f>'Deep Estimates - Source'!J10</f>
        <v>Q2</v>
      </c>
      <c r="M20" s="4" t="str">
        <f>'Deep Estimates - Source'!K10</f>
        <v>Q3</v>
      </c>
      <c r="N20" s="4" t="str">
        <f>'Deep Estimates - Source'!L10</f>
        <v>Q4</v>
      </c>
      <c r="O20" s="4" t="str">
        <f>'Deep Estimates - Source'!M10</f>
        <v>Y</v>
      </c>
      <c r="P20" s="4" t="str">
        <f>'Deep Estimates - Source'!N10</f>
        <v>Q1</v>
      </c>
      <c r="Q20" s="4" t="str">
        <f>'Deep Estimates - Source'!O10</f>
        <v>Q2</v>
      </c>
      <c r="R20" s="4" t="str">
        <f>'Deep Estimates - Source'!P10</f>
        <v>Q3</v>
      </c>
      <c r="S20" s="4" t="str">
        <f>'Deep Estimates - Source'!Q10</f>
        <v>Q4</v>
      </c>
      <c r="T20" s="4" t="str">
        <f>'Deep Estimates - Source'!R10</f>
        <v>Y</v>
      </c>
      <c r="U20" s="4" t="str">
        <f>'Deep Estimates - Source'!S10</f>
        <v>Q1</v>
      </c>
      <c r="V20" s="4" t="str">
        <f>'Deep Estimates - Source'!T10</f>
        <v>Q2</v>
      </c>
      <c r="W20" s="4" t="str">
        <f>'Deep Estimates - Source'!U10</f>
        <v>Q3</v>
      </c>
      <c r="X20" s="4" t="str">
        <f>'Deep Estimates - Source'!V10</f>
        <v>Q4</v>
      </c>
      <c r="Y20" s="4" t="str">
        <f>'Deep Estimates - Source'!W10</f>
        <v>Y</v>
      </c>
      <c r="Z20" s="4" t="str">
        <f>'Deep Estimates - Source'!X10</f>
        <v>Q1</v>
      </c>
      <c r="AA20" s="4" t="str">
        <f>'Deep Estimates - Source'!Y10</f>
        <v>Q2</v>
      </c>
      <c r="AB20" s="4" t="str">
        <f>'Deep Estimates - Source'!Z10</f>
        <v>Q3</v>
      </c>
      <c r="AC20" s="4" t="str">
        <f>'Deep Estimates - Source'!AA10</f>
        <v>Q4</v>
      </c>
      <c r="AD20" s="4" t="str">
        <f>'Deep Estimates - Source'!AB10</f>
        <v>Y</v>
      </c>
      <c r="AE20" s="4" t="str">
        <f>'Deep Estimates - Source'!AC10</f>
        <v>Q1</v>
      </c>
      <c r="AF20" s="4" t="str">
        <f>'Deep Estimates - Source'!AD10</f>
        <v>Q2</v>
      </c>
      <c r="AG20" s="4" t="str">
        <f>'Deep Estimates - Source'!AE10</f>
        <v>Q3</v>
      </c>
      <c r="AH20" s="4" t="str">
        <f>'Deep Estimates - Source'!AF10</f>
        <v>Q4</v>
      </c>
      <c r="AI20" s="4" t="str">
        <f>'Deep Estimates - Source'!AG10</f>
        <v>Y</v>
      </c>
      <c r="AJ20" s="4" t="str">
        <f>'Deep Estimates - Source'!AH10</f>
        <v>Q1</v>
      </c>
      <c r="AK20" s="4" t="str">
        <f>'Deep Estimates - Source'!AI10</f>
        <v>Q2</v>
      </c>
      <c r="AL20" s="4" t="str">
        <f>'Deep Estimates - Source'!AJ10</f>
        <v>Q3</v>
      </c>
      <c r="AM20" s="4" t="str">
        <f>'Deep Estimates - Source'!AK10</f>
        <v>Q4</v>
      </c>
      <c r="AN20" s="4" t="str">
        <f>'Deep Estimates - Source'!AL10</f>
        <v>Y</v>
      </c>
      <c r="AO20" s="4" t="str">
        <f>'Deep Estimates - Source'!AM10</f>
        <v>Q1</v>
      </c>
      <c r="AP20" s="4" t="str">
        <f>'Deep Estimates - Source'!AN10</f>
        <v>Q2</v>
      </c>
      <c r="AQ20" s="4" t="str">
        <f>'Deep Estimates - Source'!AO10</f>
        <v>Q3</v>
      </c>
      <c r="AR20" s="4" t="str">
        <f>'Deep Estimates - Source'!AP10</f>
        <v>Q4</v>
      </c>
    </row>
    <row r="21" spans="2:78" hidden="1" x14ac:dyDescent="0.25">
      <c r="K21" s="4" t="e">
        <f>'Deep Estimates - Source'!I11</f>
        <v>#REF!</v>
      </c>
      <c r="L21" s="4" t="e">
        <f>'Deep Estimates - Source'!J11</f>
        <v>#REF!</v>
      </c>
      <c r="M21" s="4" t="e">
        <f>'Deep Estimates - Source'!K11</f>
        <v>#REF!</v>
      </c>
      <c r="N21" s="4" t="e">
        <f>'Deep Estimates - Source'!L11</f>
        <v>#REF!</v>
      </c>
      <c r="O21" s="4" t="e">
        <f>'Deep Estimates - Source'!M11</f>
        <v>#REF!</v>
      </c>
      <c r="P21" s="4" t="e">
        <f>'Deep Estimates - Source'!N11</f>
        <v>#REF!</v>
      </c>
      <c r="Q21" s="4" t="e">
        <f>'Deep Estimates - Source'!O11</f>
        <v>#REF!</v>
      </c>
      <c r="R21" s="4" t="e">
        <f>'Deep Estimates - Source'!P11</f>
        <v>#REF!</v>
      </c>
      <c r="S21" s="4" t="e">
        <f>'Deep Estimates - Source'!Q11</f>
        <v>#REF!</v>
      </c>
      <c r="T21" s="4" t="e">
        <f>'Deep Estimates - Source'!R11</f>
        <v>#REF!</v>
      </c>
      <c r="U21" s="4" t="e">
        <f>'Deep Estimates - Source'!S11</f>
        <v>#REF!</v>
      </c>
      <c r="V21" s="4" t="e">
        <f>'Deep Estimates - Source'!T11</f>
        <v>#REF!</v>
      </c>
      <c r="W21" s="4" t="e">
        <f>'Deep Estimates - Source'!U11</f>
        <v>#REF!</v>
      </c>
      <c r="X21" s="4" t="e">
        <f>'Deep Estimates - Source'!V11</f>
        <v>#REF!</v>
      </c>
      <c r="Y21" s="4" t="e">
        <f>'Deep Estimates - Source'!W11</f>
        <v>#REF!</v>
      </c>
      <c r="Z21" s="4" t="e">
        <f>'Deep Estimates - Source'!X11</f>
        <v>#REF!</v>
      </c>
      <c r="AA21" s="4" t="e">
        <f>'Deep Estimates - Source'!Y11</f>
        <v>#REF!</v>
      </c>
      <c r="AB21" s="4" t="e">
        <f>'Deep Estimates - Source'!Z11</f>
        <v>#REF!</v>
      </c>
      <c r="AC21" s="4" t="e">
        <f>'Deep Estimates - Source'!AA11</f>
        <v>#REF!</v>
      </c>
      <c r="AD21" s="4" t="e">
        <f>'Deep Estimates - Source'!AB11</f>
        <v>#REF!</v>
      </c>
      <c r="AE21" s="4" t="e">
        <f>'Deep Estimates - Source'!AC11</f>
        <v>#REF!</v>
      </c>
      <c r="AF21" s="4" t="e">
        <f>'Deep Estimates - Source'!AD11</f>
        <v>#REF!</v>
      </c>
      <c r="AG21" s="4" t="e">
        <f>'Deep Estimates - Source'!AE11</f>
        <v>#REF!</v>
      </c>
      <c r="AH21" s="4" t="e">
        <f>'Deep Estimates - Source'!AF11</f>
        <v>#REF!</v>
      </c>
      <c r="AI21" s="4" t="e">
        <f>'Deep Estimates - Source'!AG11</f>
        <v>#REF!</v>
      </c>
      <c r="AJ21" s="4" t="e">
        <f>'Deep Estimates - Source'!AH11</f>
        <v>#REF!</v>
      </c>
      <c r="AK21" s="4" t="e">
        <f>'Deep Estimates - Source'!AI11</f>
        <v>#REF!</v>
      </c>
      <c r="AL21" s="4" t="e">
        <f>'Deep Estimates - Source'!AJ11</f>
        <v>#REF!</v>
      </c>
      <c r="AM21" s="4" t="e">
        <f>'Deep Estimates - Source'!AK11</f>
        <v>#REF!</v>
      </c>
      <c r="AN21" s="4" t="e">
        <f>'Deep Estimates - Source'!AL11</f>
        <v>#REF!</v>
      </c>
      <c r="AO21" s="4" t="e">
        <f>'Deep Estimates - Source'!AM11</f>
        <v>#REF!</v>
      </c>
      <c r="AP21" s="4" t="e">
        <f>'Deep Estimates - Source'!AN11</f>
        <v>#REF!</v>
      </c>
      <c r="AQ21" s="4" t="e">
        <f>'Deep Estimates - Source'!AO11</f>
        <v>#REF!</v>
      </c>
      <c r="AR21" s="4" t="e">
        <f>'Deep Estimates - Source'!AP11</f>
        <v>#REF!</v>
      </c>
    </row>
    <row r="22" spans="2:78" hidden="1" x14ac:dyDescent="0.25"/>
    <row r="23" spans="2:78" ht="39" x14ac:dyDescent="0.25">
      <c r="H23" s="19" t="s">
        <v>27</v>
      </c>
      <c r="I23" s="20" t="s">
        <v>218</v>
      </c>
      <c r="J23" s="20" t="e">
        <f>_xll.BDS(TICKER,"DEEP_ENABLED_BROKER_NAME_AND_ID","direction=h","headers=f","cols=14;rows=2")</f>
        <v>#REF!</v>
      </c>
      <c r="K23" s="20" t="s">
        <v>35</v>
      </c>
      <c r="L23" s="21" t="s">
        <v>77</v>
      </c>
      <c r="M23" s="21" t="s">
        <v>9</v>
      </c>
      <c r="N23" s="21" t="s">
        <v>3</v>
      </c>
      <c r="O23" s="21" t="s">
        <v>4</v>
      </c>
      <c r="P23" s="21" t="s">
        <v>21</v>
      </c>
      <c r="Q23" s="21" t="s">
        <v>78</v>
      </c>
      <c r="R23" s="21" t="s">
        <v>2</v>
      </c>
      <c r="S23" s="21" t="s">
        <v>36</v>
      </c>
      <c r="T23" s="21" t="s">
        <v>10</v>
      </c>
      <c r="U23" s="21" t="s">
        <v>79</v>
      </c>
      <c r="V23" s="21" t="s">
        <v>5</v>
      </c>
      <c r="W23" s="21" t="s">
        <v>6</v>
      </c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</row>
    <row r="24" spans="2:78" ht="21.75" hidden="1" customHeight="1" x14ac:dyDescent="0.25">
      <c r="B24" t="e">
        <f>_xll.BDS(TICKER,"DEEP_MEASURE_NAME_AND_ID","Headers","Y","cols=2;rows=199")</f>
        <v>#REF!</v>
      </c>
      <c r="C24" t="s">
        <v>11</v>
      </c>
      <c r="I24">
        <v>108444</v>
      </c>
      <c r="J24">
        <v>115691</v>
      </c>
      <c r="K24">
        <v>171619</v>
      </c>
      <c r="L24">
        <v>171627</v>
      </c>
      <c r="M24">
        <v>171649</v>
      </c>
      <c r="N24">
        <v>171715</v>
      </c>
      <c r="O24">
        <v>171878</v>
      </c>
      <c r="P24">
        <v>233480</v>
      </c>
      <c r="Q24">
        <v>368603</v>
      </c>
      <c r="R24">
        <v>819288</v>
      </c>
      <c r="S24">
        <v>976855</v>
      </c>
      <c r="T24">
        <v>7417951</v>
      </c>
      <c r="U24">
        <v>8096755</v>
      </c>
      <c r="V24">
        <v>8530840</v>
      </c>
      <c r="W24">
        <v>14089599</v>
      </c>
    </row>
    <row r="25" spans="2:78" x14ac:dyDescent="0.25">
      <c r="B25" t="s">
        <v>37</v>
      </c>
      <c r="C25" s="11">
        <v>565</v>
      </c>
      <c r="H25" t="str">
        <f>IF(ISNA($B25),"",IF(ISBLANK($B25),"",$B25))</f>
        <v>Average Monthly Unique Visitors</v>
      </c>
      <c r="I25" t="str">
        <f>IF(OR(I$23="",ISNA($B25)),"",IF(ISBLANK($B25),"",IFERROR(_xll.BDP(TICKER,"DEEP_MEASURE_PERIOD_BROKER_VALUE","DEEP_MEASURE_ID_OVERRIDE",$C25,"DEEP_PERIOD_OVERRIDE",$H$19)*1,"")))</f>
        <v/>
      </c>
      <c r="J25" t="e">
        <f>IF(OR(J$23="",ISNA($B25)),"",IF(ISBLANK($B25),"",IFERROR(_xll.BDP(TICKER,"DEEP_MEASURE_PERIOD_BROKER_VALUE","DEEP_MEASURE_ID_OVERRIDE",$C25,"DEEP_BROKER_ID_OVERRIDE",J$24,"DEEP_PERIOD_OVERRIDE",$H$19)*1,"")))</f>
        <v>#REF!</v>
      </c>
      <c r="K25" s="17" t="str">
        <f>IF(OR(K$23="",ISNA($B25)),"",IF(ISBLANK($B25),"",IFERROR(_xll.BDP(TICKER,"DEEP_MEASURE_PERIOD_BROKER_VALUE","DEEP_MEASURE_ID_OVERRIDE",$C25,"DEEP_BROKER_ID_OVERRIDE",K$24,"DEEP_PERIOD_OVERRIDE",$H$19)*1,"")))</f>
        <v/>
      </c>
      <c r="L25" s="17" t="str">
        <f>IF(OR(L$23="",ISNA($B25)),"",IF(ISBLANK($B25),"",IFERROR(_xll.BDP(TICKER,"DEEP_MEASURE_PERIOD_BROKER_VALUE","DEEP_MEASURE_ID_OVERRIDE",$C25,"DEEP_BROKER_ID_OVERRIDE",L$24,"DEEP_PERIOD_OVERRIDE",$H$19)*1,"")))</f>
        <v/>
      </c>
      <c r="M25" s="17" t="str">
        <f>IF(OR(M$23="",ISNA($B25)),"",IF(ISBLANK($B25),"",IFERROR(_xll.BDP(TICKER,"DEEP_MEASURE_PERIOD_BROKER_VALUE","DEEP_MEASURE_ID_OVERRIDE",$C25,"DEEP_BROKER_ID_OVERRIDE",M$24,"DEEP_PERIOD_OVERRIDE",$H$19)*1,"")))</f>
        <v/>
      </c>
      <c r="N25" s="17" t="str">
        <f>IF(OR(N$23="",ISNA($B25)),"",IF(ISBLANK($B25),"",IFERROR(_xll.BDP(TICKER,"DEEP_MEASURE_PERIOD_BROKER_VALUE","DEEP_MEASURE_ID_OVERRIDE",$C25,"DEEP_BROKER_ID_OVERRIDE",N$24,"DEEP_PERIOD_OVERRIDE",$H$19)*1,"")))</f>
        <v/>
      </c>
      <c r="O25" s="17" t="str">
        <f>IF(OR(O$23="",ISNA($B25)),"",IF(ISBLANK($B25),"",IFERROR(_xll.BDP(TICKER,"DEEP_MEASURE_PERIOD_BROKER_VALUE","DEEP_MEASURE_ID_OVERRIDE",$C25,"DEEP_BROKER_ID_OVERRIDE",O$24,"DEEP_PERIOD_OVERRIDE",$H$19)*1,"")))</f>
        <v/>
      </c>
      <c r="P25" s="17" t="str">
        <f>IF(OR(P$23="",ISNA($B25)),"",IF(ISBLANK($B25),"",IFERROR(_xll.BDP(TICKER,"DEEP_MEASURE_PERIOD_BROKER_VALUE","DEEP_MEASURE_ID_OVERRIDE",$C25,"DEEP_BROKER_ID_OVERRIDE",P$24,"DEEP_PERIOD_OVERRIDE",$H$19)*1,"")))</f>
        <v/>
      </c>
      <c r="Q25" s="17" t="str">
        <f>IF(OR(Q$23="",ISNA($B25)),"",IF(ISBLANK($B25),"",IFERROR(_xll.BDP(TICKER,"DEEP_MEASURE_PERIOD_BROKER_VALUE","DEEP_MEASURE_ID_OVERRIDE",$C25,"DEEP_BROKER_ID_OVERRIDE",Q$24,"DEEP_PERIOD_OVERRIDE",$H$19)*1,"")))</f>
        <v/>
      </c>
      <c r="R25" s="17" t="str">
        <f>IF(OR(R$23="",ISNA($B25)),"",IF(ISBLANK($B25),"",IFERROR(_xll.BDP(TICKER,"DEEP_MEASURE_PERIOD_BROKER_VALUE","DEEP_MEASURE_ID_OVERRIDE",$C25,"DEEP_BROKER_ID_OVERRIDE",R$24,"DEEP_PERIOD_OVERRIDE",$H$19)*1,"")))</f>
        <v/>
      </c>
      <c r="S25" s="17" t="str">
        <f>IF(OR(S$23="",ISNA($B25)),"",IF(ISBLANK($B25),"",IFERROR(_xll.BDP(TICKER,"DEEP_MEASURE_PERIOD_BROKER_VALUE","DEEP_MEASURE_ID_OVERRIDE",$C25,"DEEP_BROKER_ID_OVERRIDE",S$24,"DEEP_PERIOD_OVERRIDE",$H$19)*1,"")))</f>
        <v/>
      </c>
      <c r="T25" s="17" t="str">
        <f>IF(OR(T$23="",ISNA($B25)),"",IF(ISBLANK($B25),"",IFERROR(_xll.BDP(TICKER,"DEEP_MEASURE_PERIOD_BROKER_VALUE","DEEP_MEASURE_ID_OVERRIDE",$C25,"DEEP_BROKER_ID_OVERRIDE",T$24,"DEEP_PERIOD_OVERRIDE",$H$19)*1,"")))</f>
        <v/>
      </c>
      <c r="U25" s="17" t="str">
        <f>IF(OR(U$23="",ISNA($B25)),"",IF(ISBLANK($B25),"",IFERROR(_xll.BDP(TICKER,"DEEP_MEASURE_PERIOD_BROKER_VALUE","DEEP_MEASURE_ID_OVERRIDE",$C25,"DEEP_BROKER_ID_OVERRIDE",U$24,"DEEP_PERIOD_OVERRIDE",$H$19)*1,"")))</f>
        <v/>
      </c>
      <c r="V25" s="17" t="str">
        <f>IF(OR(V$23="",ISNA($B25)),"",IF(ISBLANK($B25),"",IFERROR(_xll.BDP(TICKER,"DEEP_MEASURE_PERIOD_BROKER_VALUE","DEEP_MEASURE_ID_OVERRIDE",$C25,"DEEP_BROKER_ID_OVERRIDE",V$24,"DEEP_PERIOD_OVERRIDE",$H$19)*1,"")))</f>
        <v/>
      </c>
      <c r="W25" s="17" t="str">
        <f>IF(OR(W$23="",ISNA($B25)),"",IF(ISBLANK($B25),"",IFERROR(_xll.BDP(TICKER,"DEEP_MEASURE_PERIOD_BROKER_VALUE","DEEP_MEASURE_ID_OVERRIDE",$C25,"DEEP_BROKER_ID_OVERRIDE",W$24,"DEEP_PERIOD_OVERRIDE",$H$19)*1,"")))</f>
        <v/>
      </c>
      <c r="X25" s="17" t="str">
        <f>IF(OR(X$23="",ISNA($B25)),"",IF(ISBLANK($B25),"",IFERROR(_xll.BDP(TICKER,"DEEP_MEASURE_PERIOD_BROKER_VALUE","DEEP_MEASURE_ID_OVERRIDE",$C25,"DEEP_BROKER_ID_OVERRIDE",X$24,"DEEP_PERIOD_OVERRIDE",$H$19)*1,"")))</f>
        <v/>
      </c>
      <c r="Y25" s="17" t="str">
        <f>IF(OR(Y$23="",ISNA($B25)),"",IF(ISBLANK($B25),"",IFERROR(_xll.BDP(TICKER,"DEEP_MEASURE_PERIOD_BROKER_VALUE","DEEP_MEASURE_ID_OVERRIDE",$C25,"DEEP_BROKER_ID_OVERRIDE",Y$24,"DEEP_PERIOD_OVERRIDE",$H$19)*1,"")))</f>
        <v/>
      </c>
      <c r="Z25" s="17" t="str">
        <f>IF(OR(Z$23="",ISNA($B25)),"",IF(ISBLANK($B25),"",IFERROR(_xll.BDP(TICKER,"DEEP_MEASURE_PERIOD_BROKER_VALUE","DEEP_MEASURE_ID_OVERRIDE",$C25,"DEEP_BROKER_ID_OVERRIDE",Z$24,"DEEP_PERIOD_OVERRIDE",$H$19)*1,"")))</f>
        <v/>
      </c>
      <c r="AA25" s="17" t="str">
        <f>IF(OR(AA$23="",ISNA($B25)),"",IF(ISBLANK($B25),"",IFERROR(_xll.BDP(TICKER,"DEEP_MEASURE_PERIOD_BROKER_VALUE","DEEP_MEASURE_ID_OVERRIDE",$C25,"DEEP_BROKER_ID_OVERRIDE",AA$24,"DEEP_PERIOD_OVERRIDE",$H$19)*1,"")))</f>
        <v/>
      </c>
      <c r="AB25" s="17" t="str">
        <f>IF(OR(AB$23="",ISNA($B25)),"",IF(ISBLANK($B25),"",IFERROR(_xll.BDP(TICKER,"DEEP_MEASURE_PERIOD_BROKER_VALUE","DEEP_MEASURE_ID_OVERRIDE",$C25,"DEEP_BROKER_ID_OVERRIDE",AB$24,"DEEP_PERIOD_OVERRIDE",$H$19)*1,"")))</f>
        <v/>
      </c>
      <c r="AC25" s="17" t="str">
        <f>IF(OR(AC$23="",ISNA($B25)),"",IF(ISBLANK($B25),"",IFERROR(_xll.BDP(TICKER,"DEEP_MEASURE_PERIOD_BROKER_VALUE","DEEP_MEASURE_ID_OVERRIDE",$C25,"DEEP_BROKER_ID_OVERRIDE",AC$24,"DEEP_PERIOD_OVERRIDE",$H$19)*1,"")))</f>
        <v/>
      </c>
      <c r="AD25" s="17" t="str">
        <f>IF(OR(AD$23="",ISNA($B25)),"",IF(ISBLANK($B25),"",IFERROR(_xll.BDP(TICKER,"DEEP_MEASURE_PERIOD_BROKER_VALUE","DEEP_MEASURE_ID_OVERRIDE",$C25,"DEEP_BROKER_ID_OVERRIDE",AD$24,"DEEP_PERIOD_OVERRIDE",$H$19)*1,"")))</f>
        <v/>
      </c>
      <c r="AE25" s="17" t="str">
        <f>IF(OR(AE$23="",ISNA($B25)),"",IF(ISBLANK($B25),"",IFERROR(_xll.BDP(TICKER,"DEEP_MEASURE_PERIOD_BROKER_VALUE","DEEP_MEASURE_ID_OVERRIDE",$C25,"DEEP_BROKER_ID_OVERRIDE",AE$24,"DEEP_PERIOD_OVERRIDE",$H$19)*1,"")))</f>
        <v/>
      </c>
      <c r="AF25" s="17" t="str">
        <f>IF(OR(AF$23="",ISNA($B25)),"",IF(ISBLANK($B25),"",IFERROR(_xll.BDP(TICKER,"DEEP_MEASURE_PERIOD_BROKER_VALUE","DEEP_MEASURE_ID_OVERRIDE",$C25,"DEEP_BROKER_ID_OVERRIDE",AF$24,"DEEP_PERIOD_OVERRIDE",$H$19)*1,"")))</f>
        <v/>
      </c>
      <c r="AG25" s="17" t="str">
        <f>IF(OR(AG$23="",ISNA($B25)),"",IF(ISBLANK($B25),"",IFERROR(_xll.BDP(TICKER,"DEEP_MEASURE_PERIOD_BROKER_VALUE","DEEP_MEASURE_ID_OVERRIDE",$C25,"DEEP_BROKER_ID_OVERRIDE",AG$24,"DEEP_PERIOD_OVERRIDE",$H$19)*1,"")))</f>
        <v/>
      </c>
      <c r="AH25" s="17" t="str">
        <f>IF(OR(AH$23="",ISNA($B25)),"",IF(ISBLANK($B25),"",IFERROR(_xll.BDP(TICKER,"DEEP_MEASURE_PERIOD_BROKER_VALUE","DEEP_MEASURE_ID_OVERRIDE",$C25,"DEEP_BROKER_ID_OVERRIDE",AH$24,"DEEP_PERIOD_OVERRIDE",$H$19)*1,"")))</f>
        <v/>
      </c>
      <c r="AI25" s="17" t="str">
        <f>IF(OR(AI$23="",ISNA($B25)),"",IF(ISBLANK($B25),"",IFERROR(_xll.BDP(TICKER,"DEEP_MEASURE_PERIOD_BROKER_VALUE","DEEP_MEASURE_ID_OVERRIDE",$C25,"DEEP_BROKER_ID_OVERRIDE",AI$24,"DEEP_PERIOD_OVERRIDE",$H$19)*1,"")))</f>
        <v/>
      </c>
      <c r="AJ25" s="17" t="str">
        <f>IF(OR(AJ$23="",ISNA($B25)),"",IF(ISBLANK($B25),"",IFERROR(_xll.BDP(TICKER,"DEEP_MEASURE_PERIOD_BROKER_VALUE","DEEP_MEASURE_ID_OVERRIDE",$C25,"DEEP_BROKER_ID_OVERRIDE",AJ$24,"DEEP_PERIOD_OVERRIDE",$H$19)*1,"")))</f>
        <v/>
      </c>
      <c r="AK25" s="17" t="str">
        <f>IF(OR(AK$23="",ISNA($B25)),"",IF(ISBLANK($B25),"",IFERROR(_xll.BDP(TICKER,"DEEP_MEASURE_PERIOD_BROKER_VALUE","DEEP_MEASURE_ID_OVERRIDE",$C25,"DEEP_BROKER_ID_OVERRIDE",AK$24,"DEEP_PERIOD_OVERRIDE",$H$19)*1,"")))</f>
        <v/>
      </c>
      <c r="AL25" s="17" t="str">
        <f>IF(OR(AL$23="",ISNA($B25)),"",IF(ISBLANK($B25),"",IFERROR(_xll.BDP(TICKER,"DEEP_MEASURE_PERIOD_BROKER_VALUE","DEEP_MEASURE_ID_OVERRIDE",$C25,"DEEP_BROKER_ID_OVERRIDE",AL$24,"DEEP_PERIOD_OVERRIDE",$H$19)*1,"")))</f>
        <v/>
      </c>
      <c r="AM25" s="17" t="str">
        <f>IF(OR(AM$23="",ISNA($B25)),"",IF(ISBLANK($B25),"",IFERROR(_xll.BDP(TICKER,"DEEP_MEASURE_PERIOD_BROKER_VALUE","DEEP_MEASURE_ID_OVERRIDE",$C25,"DEEP_BROKER_ID_OVERRIDE",AM$24,"DEEP_PERIOD_OVERRIDE",$H$19)*1,"")))</f>
        <v/>
      </c>
      <c r="AN25" s="17" t="str">
        <f>IF(OR(AN$23="",ISNA($B25)),"",IF(ISBLANK($B25),"",IFERROR(_xll.BDP(TICKER,"DEEP_MEASURE_PERIOD_BROKER_VALUE","DEEP_MEASURE_ID_OVERRIDE",$C25,"DEEP_BROKER_ID_OVERRIDE",AN$24,"DEEP_PERIOD_OVERRIDE",$H$19)*1,"")))</f>
        <v/>
      </c>
      <c r="AO25" s="17" t="str">
        <f>IF(OR(AO$23="",ISNA($B25)),"",IF(ISBLANK($B25),"",IFERROR(_xll.BDP(TICKER,"DEEP_MEASURE_PERIOD_BROKER_VALUE","DEEP_MEASURE_ID_OVERRIDE",$C25,"DEEP_BROKER_ID_OVERRIDE",AO$24,"DEEP_PERIOD_OVERRIDE",$H$19)*1,"")))</f>
        <v/>
      </c>
      <c r="AP25" s="17" t="str">
        <f>IF(OR(AP$23="",ISNA($B25)),"",IF(ISBLANK($B25),"",IFERROR(_xll.BDP(TICKER,"DEEP_MEASURE_PERIOD_BROKER_VALUE","DEEP_MEASURE_ID_OVERRIDE",$C25,"DEEP_BROKER_ID_OVERRIDE",AP$24,"DEEP_PERIOD_OVERRIDE",$H$19)*1,"")))</f>
        <v/>
      </c>
      <c r="AQ25" s="17" t="str">
        <f>IF(OR(AQ$23="",ISNA($B25)),"",IF(ISBLANK($B25),"",IFERROR(_xll.BDP(TICKER,"DEEP_MEASURE_PERIOD_BROKER_VALUE","DEEP_MEASURE_ID_OVERRIDE",$C25,"DEEP_BROKER_ID_OVERRIDE",AQ$24,"DEEP_PERIOD_OVERRIDE",$H$19)*1,"")))</f>
        <v/>
      </c>
      <c r="AR25" s="17" t="str">
        <f>IF(OR(AR$23="",ISNA($B25)),"",IF(ISBLANK($B25),"",IFERROR(_xll.BDP(TICKER,"DEEP_MEASURE_PERIOD_BROKER_VALUE","DEEP_MEASURE_ID_OVERRIDE",$C25,"DEEP_BROKER_ID_OVERRIDE",AR$24,"DEEP_PERIOD_OVERRIDE",$H$19)*1,"")))</f>
        <v/>
      </c>
      <c r="AS25" s="17" t="str">
        <f>IF(OR(AS$23="",ISNA($B25)),"",IF(ISBLANK($B25),"",IFERROR(_xll.BDP(TICKER,"DEEP_MEASURE_PERIOD_BROKER_VALUE","DEEP_MEASURE_ID_OVERRIDE",$C25,"DEEP_BROKER_ID_OVERRIDE",AS$24,"DEEP_PERIOD_OVERRIDE",$H$19)*1,"")))</f>
        <v/>
      </c>
      <c r="AT25" s="17" t="str">
        <f>IF(OR(AT$23="",ISNA($B25)),"",IF(ISBLANK($B25),"",IFERROR(_xll.BDP(TICKER,"DEEP_MEASURE_PERIOD_BROKER_VALUE","DEEP_MEASURE_ID_OVERRIDE",$C25,"DEEP_BROKER_ID_OVERRIDE",AT$24,"DEEP_PERIOD_OVERRIDE",$H$19)*1,"")))</f>
        <v/>
      </c>
      <c r="AU25" s="17" t="str">
        <f>IF(OR(AU$23="",ISNA($B25)),"",IF(ISBLANK($B25),"",IFERROR(_xll.BDP(TICKER,"DEEP_MEASURE_PERIOD_BROKER_VALUE","DEEP_MEASURE_ID_OVERRIDE",$C25,"DEEP_BROKER_ID_OVERRIDE",AU$24,"DEEP_PERIOD_OVERRIDE",$H$19)*1,"")))</f>
        <v/>
      </c>
      <c r="AV25" s="17" t="str">
        <f>IF(OR(AV$23="",ISNA($B25)),"",IF(ISBLANK($B25),"",IFERROR(_xll.BDP(TICKER,"DEEP_MEASURE_PERIOD_BROKER_VALUE","DEEP_MEASURE_ID_OVERRIDE",$C25,"DEEP_BROKER_ID_OVERRIDE",AV$24,"DEEP_PERIOD_OVERRIDE",$H$19)*1,"")))</f>
        <v/>
      </c>
      <c r="AW25" s="17" t="str">
        <f>IF(OR(AW$23="",ISNA($B25)),"",IF(ISBLANK($B25),"",IFERROR(_xll.BDP(TICKER,"DEEP_MEASURE_PERIOD_BROKER_VALUE","DEEP_MEASURE_ID_OVERRIDE",$C25,"DEEP_BROKER_ID_OVERRIDE",AW$24,"DEEP_PERIOD_OVERRIDE",$H$19)*1,"")))</f>
        <v/>
      </c>
      <c r="AX25" s="17" t="str">
        <f>IF(OR(AX$23="",ISNA($B25)),"",IF(ISBLANK($B25),"",IFERROR(_xll.BDP(TICKER,"DEEP_MEASURE_PERIOD_BROKER_VALUE","DEEP_MEASURE_ID_OVERRIDE",$C25,"DEEP_BROKER_ID_OVERRIDE",AX$24,"DEEP_PERIOD_OVERRIDE",$H$19)*1,"")))</f>
        <v/>
      </c>
      <c r="AY25" s="17" t="str">
        <f>IF(OR(AY$23="",ISNA($B25)),"",IF(ISBLANK($B25),"",IFERROR(_xll.BDP(TICKER,"DEEP_MEASURE_PERIOD_BROKER_VALUE","DEEP_MEASURE_ID_OVERRIDE",$C25,"DEEP_BROKER_ID_OVERRIDE",AY$24,"DEEP_PERIOD_OVERRIDE",$H$19)*1,"")))</f>
        <v/>
      </c>
      <c r="AZ25" s="17" t="str">
        <f>IF(OR(AZ$23="",ISNA($B25)),"",IF(ISBLANK($B25),"",IFERROR(_xll.BDP(TICKER,"DEEP_MEASURE_PERIOD_BROKER_VALUE","DEEP_MEASURE_ID_OVERRIDE",$C25,"DEEP_BROKER_ID_OVERRIDE",AZ$24,"DEEP_PERIOD_OVERRIDE",$H$19)*1,"")))</f>
        <v/>
      </c>
      <c r="BA25" s="17" t="str">
        <f>IF(OR(BA$23="",ISNA($B25)),"",IF(ISBLANK($B25),"",IFERROR(_xll.BDP(TICKER,"DEEP_MEASURE_PERIOD_BROKER_VALUE","DEEP_MEASURE_ID_OVERRIDE",$C25,"DEEP_BROKER_ID_OVERRIDE",BA$24,"DEEP_PERIOD_OVERRIDE",$H$19)*1,"")))</f>
        <v/>
      </c>
      <c r="BB25" s="17" t="str">
        <f>IF(OR(BB$23="",ISNA($B25)),"",IF(ISBLANK($B25),"",IFERROR(_xll.BDP(TICKER,"DEEP_MEASURE_PERIOD_BROKER_VALUE","DEEP_MEASURE_ID_OVERRIDE",$C25,"DEEP_BROKER_ID_OVERRIDE",BB$24,"DEEP_PERIOD_OVERRIDE",$H$19)*1,"")))</f>
        <v/>
      </c>
      <c r="BC25" s="17" t="str">
        <f>IF(OR(BC$23="",ISNA($B25)),"",IF(ISBLANK($B25),"",IFERROR(_xll.BDP(TICKER,"DEEP_MEASURE_PERIOD_BROKER_VALUE","DEEP_MEASURE_ID_OVERRIDE",$C25,"DEEP_BROKER_ID_OVERRIDE",BC$24,"DEEP_PERIOD_OVERRIDE",$H$19)*1,"")))</f>
        <v/>
      </c>
      <c r="BD25" s="17" t="str">
        <f>IF(OR(BD$23="",ISNA($B25)),"",IF(ISBLANK($B25),"",IFERROR(_xll.BDP(TICKER,"DEEP_MEASURE_PERIOD_BROKER_VALUE","DEEP_MEASURE_ID_OVERRIDE",$C25,"DEEP_BROKER_ID_OVERRIDE",BD$24,"DEEP_PERIOD_OVERRIDE",$H$19)*1,"")))</f>
        <v/>
      </c>
      <c r="BE25" s="17" t="str">
        <f>IF(OR(BE$23="",ISNA($B25)),"",IF(ISBLANK($B25),"",IFERROR(_xll.BDP(TICKER,"DEEP_MEASURE_PERIOD_BROKER_VALUE","DEEP_MEASURE_ID_OVERRIDE",$C25,"DEEP_BROKER_ID_OVERRIDE",BE$24,"DEEP_PERIOD_OVERRIDE",$H$19)*1,"")))</f>
        <v/>
      </c>
      <c r="BF25" s="17" t="str">
        <f>IF(OR(BF$23="",ISNA($B25)),"",IF(ISBLANK($B25),"",IFERROR(_xll.BDP(TICKER,"DEEP_MEASURE_PERIOD_BROKER_VALUE","DEEP_MEASURE_ID_OVERRIDE",$C25,"DEEP_BROKER_ID_OVERRIDE",BF$24,"DEEP_PERIOD_OVERRIDE",$H$19)*1,"")))</f>
        <v/>
      </c>
      <c r="BG25" s="17" t="str">
        <f>IF(OR(BG$23="",ISNA($B25)),"",IF(ISBLANK($B25),"",IFERROR(_xll.BDP(TICKER,"DEEP_MEASURE_PERIOD_BROKER_VALUE","DEEP_MEASURE_ID_OVERRIDE",$C25,"DEEP_BROKER_ID_OVERRIDE",BG$24,"DEEP_PERIOD_OVERRIDE",$H$19)*1,"")))</f>
        <v/>
      </c>
      <c r="BH25" s="17" t="str">
        <f>IF(OR(BH$23="",ISNA($B25)),"",IF(ISBLANK($B25),"",IFERROR(_xll.BDP(TICKER,"DEEP_MEASURE_PERIOD_BROKER_VALUE","DEEP_MEASURE_ID_OVERRIDE",$C25,"DEEP_BROKER_ID_OVERRIDE",BH$24,"DEEP_PERIOD_OVERRIDE",$H$19)*1,"")))</f>
        <v/>
      </c>
      <c r="BI25" s="17" t="str">
        <f>IF(OR(BI$23="",ISNA($B25)),"",IF(ISBLANK($B25),"",IFERROR(_xll.BDP(TICKER,"DEEP_MEASURE_PERIOD_BROKER_VALUE","DEEP_MEASURE_ID_OVERRIDE",$C25,"DEEP_BROKER_ID_OVERRIDE",BI$24,"DEEP_PERIOD_OVERRIDE",$H$19)*1,"")))</f>
        <v/>
      </c>
      <c r="BJ25" s="17" t="str">
        <f>IF(OR(BJ$23="",ISNA($B25)),"",IF(ISBLANK($B25),"",IFERROR(_xll.BDP(TICKER,"DEEP_MEASURE_PERIOD_BROKER_VALUE","DEEP_MEASURE_ID_OVERRIDE",$C25,"DEEP_BROKER_ID_OVERRIDE",BJ$24,"DEEP_PERIOD_OVERRIDE",$H$19)*1,"")))</f>
        <v/>
      </c>
      <c r="BK25" s="17" t="str">
        <f>IF(OR(BK$23="",ISNA($B25)),"",IF(ISBLANK($B25),"",IFERROR(_xll.BDP(TICKER,"DEEP_MEASURE_PERIOD_BROKER_VALUE","DEEP_MEASURE_ID_OVERRIDE",$C25,"DEEP_BROKER_ID_OVERRIDE",BK$24,"DEEP_PERIOD_OVERRIDE",$H$19)*1,"")))</f>
        <v/>
      </c>
      <c r="BL25" s="17" t="str">
        <f>IF(OR(BL$23="",ISNA($B25)),"",IF(ISBLANK($B25),"",IFERROR(_xll.BDP(TICKER,"DEEP_MEASURE_PERIOD_BROKER_VALUE","DEEP_MEASURE_ID_OVERRIDE",$C25,"DEEP_BROKER_ID_OVERRIDE",BL$24,"DEEP_PERIOD_OVERRIDE",$H$19)*1,"")))</f>
        <v/>
      </c>
      <c r="BM25" s="17" t="str">
        <f>IF(OR(BM$23="",ISNA($B25)),"",IF(ISBLANK($B25),"",IFERROR(_xll.BDP(TICKER,"DEEP_MEASURE_PERIOD_BROKER_VALUE","DEEP_MEASURE_ID_OVERRIDE",$C25,"DEEP_BROKER_ID_OVERRIDE",BM$24,"DEEP_PERIOD_OVERRIDE",$H$19)*1,"")))</f>
        <v/>
      </c>
      <c r="BN25" s="17" t="str">
        <f>IF(OR(BN$23="",ISNA($B25)),"",IF(ISBLANK($B25),"",IFERROR(_xll.BDP(TICKER,"DEEP_MEASURE_PERIOD_BROKER_VALUE","DEEP_MEASURE_ID_OVERRIDE",$C25,"DEEP_BROKER_ID_OVERRIDE",BN$24,"DEEP_PERIOD_OVERRIDE",$H$19)*1,"")))</f>
        <v/>
      </c>
      <c r="BO25" s="17" t="str">
        <f>IF(OR(BO$23="",ISNA($B25)),"",IF(ISBLANK($B25),"",IFERROR(_xll.BDP(TICKER,"DEEP_MEASURE_PERIOD_BROKER_VALUE","DEEP_MEASURE_ID_OVERRIDE",$C25,"DEEP_BROKER_ID_OVERRIDE",BO$24,"DEEP_PERIOD_OVERRIDE",$H$19)*1,"")))</f>
        <v/>
      </c>
      <c r="BP25" s="17" t="str">
        <f>IF(OR(BP$23="",ISNA($B25)),"",IF(ISBLANK($B25),"",IFERROR(_xll.BDP(TICKER,"DEEP_MEASURE_PERIOD_BROKER_VALUE","DEEP_MEASURE_ID_OVERRIDE",$C25,"DEEP_BROKER_ID_OVERRIDE",BP$24,"DEEP_PERIOD_OVERRIDE",$H$19)*1,"")))</f>
        <v/>
      </c>
      <c r="BQ25" s="17" t="str">
        <f>IF(OR(BQ$23="",ISNA($B25)),"",IF(ISBLANK($B25),"",IFERROR(_xll.BDP(TICKER,"DEEP_MEASURE_PERIOD_BROKER_VALUE","DEEP_MEASURE_ID_OVERRIDE",$C25,"DEEP_BROKER_ID_OVERRIDE",BQ$24,"DEEP_PERIOD_OVERRIDE",$H$19)*1,"")))</f>
        <v/>
      </c>
      <c r="BR25" s="17" t="str">
        <f>IF(OR(BR$23="",ISNA($B25)),"",IF(ISBLANK($B25),"",IFERROR(_xll.BDP(TICKER,"DEEP_MEASURE_PERIOD_BROKER_VALUE","DEEP_MEASURE_ID_OVERRIDE",$C25,"DEEP_BROKER_ID_OVERRIDE",BR$24,"DEEP_PERIOD_OVERRIDE",$H$19)*1,"")))</f>
        <v/>
      </c>
      <c r="BS25" s="17" t="str">
        <f>IF(OR(BS$23="",ISNA($B25)),"",IF(ISBLANK($B25),"",IFERROR(_xll.BDP(TICKER,"DEEP_MEASURE_PERIOD_BROKER_VALUE","DEEP_MEASURE_ID_OVERRIDE",$C25,"DEEP_BROKER_ID_OVERRIDE",BS$24,"DEEP_PERIOD_OVERRIDE",$H$19)*1,"")))</f>
        <v/>
      </c>
      <c r="BT25" s="17" t="str">
        <f>IF(OR(BT$23="",ISNA($B25)),"",IF(ISBLANK($B25),"",IFERROR(_xll.BDP(TICKER,"DEEP_MEASURE_PERIOD_BROKER_VALUE","DEEP_MEASURE_ID_OVERRIDE",$C25,"DEEP_BROKER_ID_OVERRIDE",BT$24,"DEEP_PERIOD_OVERRIDE",$H$19)*1,"")))</f>
        <v/>
      </c>
      <c r="BU25" s="17" t="str">
        <f>IF(OR(BU$23="",ISNA($B25)),"",IF(ISBLANK($B25),"",IFERROR(_xll.BDP(TICKER,"DEEP_MEASURE_PERIOD_BROKER_VALUE","DEEP_MEASURE_ID_OVERRIDE",$C25,"DEEP_BROKER_ID_OVERRIDE",BU$24,"DEEP_PERIOD_OVERRIDE",$H$19)*1,"")))</f>
        <v/>
      </c>
      <c r="BV25" s="17" t="str">
        <f>IF(OR(BV$23="",ISNA($B25)),"",IF(ISBLANK($B25),"",IFERROR(_xll.BDP(TICKER,"DEEP_MEASURE_PERIOD_BROKER_VALUE","DEEP_MEASURE_ID_OVERRIDE",$C25,"DEEP_BROKER_ID_OVERRIDE",BV$24,"DEEP_PERIOD_OVERRIDE",$H$19)*1,"")))</f>
        <v/>
      </c>
      <c r="BW25" s="17" t="str">
        <f>IF(OR(BW$23="",ISNA($B25)),"",IF(ISBLANK($B25),"",IFERROR(_xll.BDP(TICKER,"DEEP_MEASURE_PERIOD_BROKER_VALUE","DEEP_MEASURE_ID_OVERRIDE",$C25,"DEEP_BROKER_ID_OVERRIDE",BW$24,"DEEP_PERIOD_OVERRIDE",$H$19)*1,"")))</f>
        <v/>
      </c>
      <c r="BX25" s="17" t="str">
        <f>IF(OR(BX$23="",ISNA($B25)),"",IF(ISBLANK($B25),"",IFERROR(_xll.BDP(TICKER,"DEEP_MEASURE_PERIOD_BROKER_VALUE","DEEP_MEASURE_ID_OVERRIDE",$C25,"DEEP_BROKER_ID_OVERRIDE",BX$24,"DEEP_PERIOD_OVERRIDE",$H$19)*1,"")))</f>
        <v/>
      </c>
      <c r="BY25" s="17" t="str">
        <f>IF(OR(BY$23="",ISNA($B25)),"",IF(ISBLANK($B25),"",IFERROR(_xll.BDP(TICKER,"DEEP_MEASURE_PERIOD_BROKER_VALUE","DEEP_MEASURE_ID_OVERRIDE",$C25,"DEEP_BROKER_ID_OVERRIDE",BY$24,"DEEP_PERIOD_OVERRIDE",$H$19)*1,"")))</f>
        <v/>
      </c>
      <c r="BZ25" s="17" t="str">
        <f>IF(OR(BZ$23="",ISNA($B25)),"",IF(ISBLANK($B25),"",IFERROR(_xll.BDP(TICKER,"DEEP_MEASURE_PERIOD_BROKER_VALUE","DEEP_MEASURE_ID_OVERRIDE",$C25,"DEEP_BROKER_ID_OVERRIDE",BZ$24,"DEEP_PERIOD_OVERRIDE",$H$19)*1,"")))</f>
        <v/>
      </c>
    </row>
    <row r="26" spans="2:78" x14ac:dyDescent="0.25">
      <c r="B26" t="s">
        <v>81</v>
      </c>
      <c r="C26" s="11">
        <v>1685</v>
      </c>
      <c r="H26" t="str">
        <f t="shared" ref="H26:H89" si="1">IF(ISNA($B26),"",IF(ISBLANK($B26),"",$B26))</f>
        <v>Average Monthly Unique Visitors &gt; YoY Growth (%)</v>
      </c>
      <c r="I26" t="str">
        <f>IF(OR(I$23="",ISNA($B26)),"",IF(ISBLANK($B26),"",IFERROR(_xll.BDP(TICKER,"DEEP_MEASURE_PERIOD_BROKER_VALUE","DEEP_MEASURE_ID_OVERRIDE",$C26,"DEEP_PERIOD_OVERRIDE",$H$19)*1,"")))</f>
        <v/>
      </c>
      <c r="J26" t="e">
        <f>IF(OR(J$23="",ISNA($B26)),"",IF(ISBLANK($B26),"",IFERROR(_xll.BDP(TICKER,"DEEP_MEASURE_PERIOD_BROKER_VALUE","DEEP_MEASURE_ID_OVERRIDE",$C26,"DEEP_BROKER_ID_OVERRIDE",J$24,"DEEP_PERIOD_OVERRIDE",$H$19)*1,"")))</f>
        <v>#REF!</v>
      </c>
      <c r="K26" s="17" t="str">
        <f>IF(OR(K$23="",ISNA($B26)),"",IF(ISBLANK($B26),"",IFERROR(_xll.BDP(TICKER,"DEEP_MEASURE_PERIOD_BROKER_VALUE","DEEP_MEASURE_ID_OVERRIDE",$C26,"DEEP_BROKER_ID_OVERRIDE",K$24,"DEEP_PERIOD_OVERRIDE",$H$19)*1,"")))</f>
        <v/>
      </c>
      <c r="L26" s="17" t="str">
        <f>IF(OR(L$23="",ISNA($B26)),"",IF(ISBLANK($B26),"",IFERROR(_xll.BDP(TICKER,"DEEP_MEASURE_PERIOD_BROKER_VALUE","DEEP_MEASURE_ID_OVERRIDE",$C26,"DEEP_BROKER_ID_OVERRIDE",L$24,"DEEP_PERIOD_OVERRIDE",$H$19)*1,"")))</f>
        <v/>
      </c>
      <c r="M26" s="17" t="str">
        <f>IF(OR(M$23="",ISNA($B26)),"",IF(ISBLANK($B26),"",IFERROR(_xll.BDP(TICKER,"DEEP_MEASURE_PERIOD_BROKER_VALUE","DEEP_MEASURE_ID_OVERRIDE",$C26,"DEEP_BROKER_ID_OVERRIDE",M$24,"DEEP_PERIOD_OVERRIDE",$H$19)*1,"")))</f>
        <v/>
      </c>
      <c r="N26" s="17" t="str">
        <f>IF(OR(N$23="",ISNA($B26)),"",IF(ISBLANK($B26),"",IFERROR(_xll.BDP(TICKER,"DEEP_MEASURE_PERIOD_BROKER_VALUE","DEEP_MEASURE_ID_OVERRIDE",$C26,"DEEP_BROKER_ID_OVERRIDE",N$24,"DEEP_PERIOD_OVERRIDE",$H$19)*1,"")))</f>
        <v/>
      </c>
      <c r="O26" s="17" t="str">
        <f>IF(OR(O$23="",ISNA($B26)),"",IF(ISBLANK($B26),"",IFERROR(_xll.BDP(TICKER,"DEEP_MEASURE_PERIOD_BROKER_VALUE","DEEP_MEASURE_ID_OVERRIDE",$C26,"DEEP_BROKER_ID_OVERRIDE",O$24,"DEEP_PERIOD_OVERRIDE",$H$19)*1,"")))</f>
        <v/>
      </c>
      <c r="P26" s="17" t="str">
        <f>IF(OR(P$23="",ISNA($B26)),"",IF(ISBLANK($B26),"",IFERROR(_xll.BDP(TICKER,"DEEP_MEASURE_PERIOD_BROKER_VALUE","DEEP_MEASURE_ID_OVERRIDE",$C26,"DEEP_BROKER_ID_OVERRIDE",P$24,"DEEP_PERIOD_OVERRIDE",$H$19)*1,"")))</f>
        <v/>
      </c>
      <c r="Q26" s="17" t="str">
        <f>IF(OR(Q$23="",ISNA($B26)),"",IF(ISBLANK($B26),"",IFERROR(_xll.BDP(TICKER,"DEEP_MEASURE_PERIOD_BROKER_VALUE","DEEP_MEASURE_ID_OVERRIDE",$C26,"DEEP_BROKER_ID_OVERRIDE",Q$24,"DEEP_PERIOD_OVERRIDE",$H$19)*1,"")))</f>
        <v/>
      </c>
      <c r="R26" s="17" t="str">
        <f>IF(OR(R$23="",ISNA($B26)),"",IF(ISBLANK($B26),"",IFERROR(_xll.BDP(TICKER,"DEEP_MEASURE_PERIOD_BROKER_VALUE","DEEP_MEASURE_ID_OVERRIDE",$C26,"DEEP_BROKER_ID_OVERRIDE",R$24,"DEEP_PERIOD_OVERRIDE",$H$19)*1,"")))</f>
        <v/>
      </c>
      <c r="S26" s="17" t="str">
        <f>IF(OR(S$23="",ISNA($B26)),"",IF(ISBLANK($B26),"",IFERROR(_xll.BDP(TICKER,"DEEP_MEASURE_PERIOD_BROKER_VALUE","DEEP_MEASURE_ID_OVERRIDE",$C26,"DEEP_BROKER_ID_OVERRIDE",S$24,"DEEP_PERIOD_OVERRIDE",$H$19)*1,"")))</f>
        <v/>
      </c>
      <c r="T26" s="17" t="str">
        <f>IF(OR(T$23="",ISNA($B26)),"",IF(ISBLANK($B26),"",IFERROR(_xll.BDP(TICKER,"DEEP_MEASURE_PERIOD_BROKER_VALUE","DEEP_MEASURE_ID_OVERRIDE",$C26,"DEEP_BROKER_ID_OVERRIDE",T$24,"DEEP_PERIOD_OVERRIDE",$H$19)*1,"")))</f>
        <v/>
      </c>
      <c r="U26" s="17" t="str">
        <f>IF(OR(U$23="",ISNA($B26)),"",IF(ISBLANK($B26),"",IFERROR(_xll.BDP(TICKER,"DEEP_MEASURE_PERIOD_BROKER_VALUE","DEEP_MEASURE_ID_OVERRIDE",$C26,"DEEP_BROKER_ID_OVERRIDE",U$24,"DEEP_PERIOD_OVERRIDE",$H$19)*1,"")))</f>
        <v/>
      </c>
      <c r="V26" s="17" t="str">
        <f>IF(OR(V$23="",ISNA($B26)),"",IF(ISBLANK($B26),"",IFERROR(_xll.BDP(TICKER,"DEEP_MEASURE_PERIOD_BROKER_VALUE","DEEP_MEASURE_ID_OVERRIDE",$C26,"DEEP_BROKER_ID_OVERRIDE",V$24,"DEEP_PERIOD_OVERRIDE",$H$19)*1,"")))</f>
        <v/>
      </c>
      <c r="W26" s="17" t="str">
        <f>IF(OR(W$23="",ISNA($B26)),"",IF(ISBLANK($B26),"",IFERROR(_xll.BDP(TICKER,"DEEP_MEASURE_PERIOD_BROKER_VALUE","DEEP_MEASURE_ID_OVERRIDE",$C26,"DEEP_BROKER_ID_OVERRIDE",W$24,"DEEP_PERIOD_OVERRIDE",$H$19)*1,"")))</f>
        <v/>
      </c>
      <c r="X26" s="17" t="str">
        <f>IF(OR(X$23="",ISNA($B26)),"",IF(ISBLANK($B26),"",IFERROR(_xll.BDP(TICKER,"DEEP_MEASURE_PERIOD_BROKER_VALUE","DEEP_MEASURE_ID_OVERRIDE",$C26,"DEEP_BROKER_ID_OVERRIDE",X$24,"DEEP_PERIOD_OVERRIDE",$H$19)*1,"")))</f>
        <v/>
      </c>
      <c r="Y26" s="17" t="str">
        <f>IF(OR(Y$23="",ISNA($B26)),"",IF(ISBLANK($B26),"",IFERROR(_xll.BDP(TICKER,"DEEP_MEASURE_PERIOD_BROKER_VALUE","DEEP_MEASURE_ID_OVERRIDE",$C26,"DEEP_BROKER_ID_OVERRIDE",Y$24,"DEEP_PERIOD_OVERRIDE",$H$19)*1,"")))</f>
        <v/>
      </c>
      <c r="Z26" s="17" t="str">
        <f>IF(OR(Z$23="",ISNA($B26)),"",IF(ISBLANK($B26),"",IFERROR(_xll.BDP(TICKER,"DEEP_MEASURE_PERIOD_BROKER_VALUE","DEEP_MEASURE_ID_OVERRIDE",$C26,"DEEP_BROKER_ID_OVERRIDE",Z$24,"DEEP_PERIOD_OVERRIDE",$H$19)*1,"")))</f>
        <v/>
      </c>
      <c r="AA26" s="17" t="str">
        <f>IF(OR(AA$23="",ISNA($B26)),"",IF(ISBLANK($B26),"",IFERROR(_xll.BDP(TICKER,"DEEP_MEASURE_PERIOD_BROKER_VALUE","DEEP_MEASURE_ID_OVERRIDE",$C26,"DEEP_BROKER_ID_OVERRIDE",AA$24,"DEEP_PERIOD_OVERRIDE",$H$19)*1,"")))</f>
        <v/>
      </c>
      <c r="AB26" s="17" t="str">
        <f>IF(OR(AB$23="",ISNA($B26)),"",IF(ISBLANK($B26),"",IFERROR(_xll.BDP(TICKER,"DEEP_MEASURE_PERIOD_BROKER_VALUE","DEEP_MEASURE_ID_OVERRIDE",$C26,"DEEP_BROKER_ID_OVERRIDE",AB$24,"DEEP_PERIOD_OVERRIDE",$H$19)*1,"")))</f>
        <v/>
      </c>
      <c r="AC26" s="17" t="str">
        <f>IF(OR(AC$23="",ISNA($B26)),"",IF(ISBLANK($B26),"",IFERROR(_xll.BDP(TICKER,"DEEP_MEASURE_PERIOD_BROKER_VALUE","DEEP_MEASURE_ID_OVERRIDE",$C26,"DEEP_BROKER_ID_OVERRIDE",AC$24,"DEEP_PERIOD_OVERRIDE",$H$19)*1,"")))</f>
        <v/>
      </c>
      <c r="AD26" s="17" t="str">
        <f>IF(OR(AD$23="",ISNA($B26)),"",IF(ISBLANK($B26),"",IFERROR(_xll.BDP(TICKER,"DEEP_MEASURE_PERIOD_BROKER_VALUE","DEEP_MEASURE_ID_OVERRIDE",$C26,"DEEP_BROKER_ID_OVERRIDE",AD$24,"DEEP_PERIOD_OVERRIDE",$H$19)*1,"")))</f>
        <v/>
      </c>
      <c r="AE26" s="17" t="str">
        <f>IF(OR(AE$23="",ISNA($B26)),"",IF(ISBLANK($B26),"",IFERROR(_xll.BDP(TICKER,"DEEP_MEASURE_PERIOD_BROKER_VALUE","DEEP_MEASURE_ID_OVERRIDE",$C26,"DEEP_BROKER_ID_OVERRIDE",AE$24,"DEEP_PERIOD_OVERRIDE",$H$19)*1,"")))</f>
        <v/>
      </c>
      <c r="AF26" s="17" t="str">
        <f>IF(OR(AF$23="",ISNA($B26)),"",IF(ISBLANK($B26),"",IFERROR(_xll.BDP(TICKER,"DEEP_MEASURE_PERIOD_BROKER_VALUE","DEEP_MEASURE_ID_OVERRIDE",$C26,"DEEP_BROKER_ID_OVERRIDE",AF$24,"DEEP_PERIOD_OVERRIDE",$H$19)*1,"")))</f>
        <v/>
      </c>
      <c r="AG26" s="17" t="str">
        <f>IF(OR(AG$23="",ISNA($B26)),"",IF(ISBLANK($B26),"",IFERROR(_xll.BDP(TICKER,"DEEP_MEASURE_PERIOD_BROKER_VALUE","DEEP_MEASURE_ID_OVERRIDE",$C26,"DEEP_BROKER_ID_OVERRIDE",AG$24,"DEEP_PERIOD_OVERRIDE",$H$19)*1,"")))</f>
        <v/>
      </c>
      <c r="AH26" s="17" t="str">
        <f>IF(OR(AH$23="",ISNA($B26)),"",IF(ISBLANK($B26),"",IFERROR(_xll.BDP(TICKER,"DEEP_MEASURE_PERIOD_BROKER_VALUE","DEEP_MEASURE_ID_OVERRIDE",$C26,"DEEP_BROKER_ID_OVERRIDE",AH$24,"DEEP_PERIOD_OVERRIDE",$H$19)*1,"")))</f>
        <v/>
      </c>
      <c r="AI26" s="17" t="str">
        <f>IF(OR(AI$23="",ISNA($B26)),"",IF(ISBLANK($B26),"",IFERROR(_xll.BDP(TICKER,"DEEP_MEASURE_PERIOD_BROKER_VALUE","DEEP_MEASURE_ID_OVERRIDE",$C26,"DEEP_BROKER_ID_OVERRIDE",AI$24,"DEEP_PERIOD_OVERRIDE",$H$19)*1,"")))</f>
        <v/>
      </c>
      <c r="AJ26" s="17" t="str">
        <f>IF(OR(AJ$23="",ISNA($B26)),"",IF(ISBLANK($B26),"",IFERROR(_xll.BDP(TICKER,"DEEP_MEASURE_PERIOD_BROKER_VALUE","DEEP_MEASURE_ID_OVERRIDE",$C26,"DEEP_BROKER_ID_OVERRIDE",AJ$24,"DEEP_PERIOD_OVERRIDE",$H$19)*1,"")))</f>
        <v/>
      </c>
      <c r="AK26" s="17" t="str">
        <f>IF(OR(AK$23="",ISNA($B26)),"",IF(ISBLANK($B26),"",IFERROR(_xll.BDP(TICKER,"DEEP_MEASURE_PERIOD_BROKER_VALUE","DEEP_MEASURE_ID_OVERRIDE",$C26,"DEEP_BROKER_ID_OVERRIDE",AK$24,"DEEP_PERIOD_OVERRIDE",$H$19)*1,"")))</f>
        <v/>
      </c>
      <c r="AL26" s="17" t="str">
        <f>IF(OR(AL$23="",ISNA($B26)),"",IF(ISBLANK($B26),"",IFERROR(_xll.BDP(TICKER,"DEEP_MEASURE_PERIOD_BROKER_VALUE","DEEP_MEASURE_ID_OVERRIDE",$C26,"DEEP_BROKER_ID_OVERRIDE",AL$24,"DEEP_PERIOD_OVERRIDE",$H$19)*1,"")))</f>
        <v/>
      </c>
      <c r="AM26" s="17" t="str">
        <f>IF(OR(AM$23="",ISNA($B26)),"",IF(ISBLANK($B26),"",IFERROR(_xll.BDP(TICKER,"DEEP_MEASURE_PERIOD_BROKER_VALUE","DEEP_MEASURE_ID_OVERRIDE",$C26,"DEEP_BROKER_ID_OVERRIDE",AM$24,"DEEP_PERIOD_OVERRIDE",$H$19)*1,"")))</f>
        <v/>
      </c>
      <c r="AN26" s="17" t="str">
        <f>IF(OR(AN$23="",ISNA($B26)),"",IF(ISBLANK($B26),"",IFERROR(_xll.BDP(TICKER,"DEEP_MEASURE_PERIOD_BROKER_VALUE","DEEP_MEASURE_ID_OVERRIDE",$C26,"DEEP_BROKER_ID_OVERRIDE",AN$24,"DEEP_PERIOD_OVERRIDE",$H$19)*1,"")))</f>
        <v/>
      </c>
      <c r="AO26" s="17" t="str">
        <f>IF(OR(AO$23="",ISNA($B26)),"",IF(ISBLANK($B26),"",IFERROR(_xll.BDP(TICKER,"DEEP_MEASURE_PERIOD_BROKER_VALUE","DEEP_MEASURE_ID_OVERRIDE",$C26,"DEEP_BROKER_ID_OVERRIDE",AO$24,"DEEP_PERIOD_OVERRIDE",$H$19)*1,"")))</f>
        <v/>
      </c>
      <c r="AP26" s="17" t="str">
        <f>IF(OR(AP$23="",ISNA($B26)),"",IF(ISBLANK($B26),"",IFERROR(_xll.BDP(TICKER,"DEEP_MEASURE_PERIOD_BROKER_VALUE","DEEP_MEASURE_ID_OVERRIDE",$C26,"DEEP_BROKER_ID_OVERRIDE",AP$24,"DEEP_PERIOD_OVERRIDE",$H$19)*1,"")))</f>
        <v/>
      </c>
      <c r="AQ26" s="17" t="str">
        <f>IF(OR(AQ$23="",ISNA($B26)),"",IF(ISBLANK($B26),"",IFERROR(_xll.BDP(TICKER,"DEEP_MEASURE_PERIOD_BROKER_VALUE","DEEP_MEASURE_ID_OVERRIDE",$C26,"DEEP_BROKER_ID_OVERRIDE",AQ$24,"DEEP_PERIOD_OVERRIDE",$H$19)*1,"")))</f>
        <v/>
      </c>
      <c r="AR26" s="17" t="str">
        <f>IF(OR(AR$23="",ISNA($B26)),"",IF(ISBLANK($B26),"",IFERROR(_xll.BDP(TICKER,"DEEP_MEASURE_PERIOD_BROKER_VALUE","DEEP_MEASURE_ID_OVERRIDE",$C26,"DEEP_BROKER_ID_OVERRIDE",AR$24,"DEEP_PERIOD_OVERRIDE",$H$19)*1,"")))</f>
        <v/>
      </c>
      <c r="AS26" s="17" t="str">
        <f>IF(OR(AS$23="",ISNA($B26)),"",IF(ISBLANK($B26),"",IFERROR(_xll.BDP(TICKER,"DEEP_MEASURE_PERIOD_BROKER_VALUE","DEEP_MEASURE_ID_OVERRIDE",$C26,"DEEP_BROKER_ID_OVERRIDE",AS$24,"DEEP_PERIOD_OVERRIDE",$H$19)*1,"")))</f>
        <v/>
      </c>
      <c r="AT26" s="17" t="str">
        <f>IF(OR(AT$23="",ISNA($B26)),"",IF(ISBLANK($B26),"",IFERROR(_xll.BDP(TICKER,"DEEP_MEASURE_PERIOD_BROKER_VALUE","DEEP_MEASURE_ID_OVERRIDE",$C26,"DEEP_BROKER_ID_OVERRIDE",AT$24,"DEEP_PERIOD_OVERRIDE",$H$19)*1,"")))</f>
        <v/>
      </c>
      <c r="AU26" s="17" t="str">
        <f>IF(OR(AU$23="",ISNA($B26)),"",IF(ISBLANK($B26),"",IFERROR(_xll.BDP(TICKER,"DEEP_MEASURE_PERIOD_BROKER_VALUE","DEEP_MEASURE_ID_OVERRIDE",$C26,"DEEP_BROKER_ID_OVERRIDE",AU$24,"DEEP_PERIOD_OVERRIDE",$H$19)*1,"")))</f>
        <v/>
      </c>
      <c r="AV26" s="17" t="str">
        <f>IF(OR(AV$23="",ISNA($B26)),"",IF(ISBLANK($B26),"",IFERROR(_xll.BDP(TICKER,"DEEP_MEASURE_PERIOD_BROKER_VALUE","DEEP_MEASURE_ID_OVERRIDE",$C26,"DEEP_BROKER_ID_OVERRIDE",AV$24,"DEEP_PERIOD_OVERRIDE",$H$19)*1,"")))</f>
        <v/>
      </c>
      <c r="AW26" s="17" t="str">
        <f>IF(OR(AW$23="",ISNA($B26)),"",IF(ISBLANK($B26),"",IFERROR(_xll.BDP(TICKER,"DEEP_MEASURE_PERIOD_BROKER_VALUE","DEEP_MEASURE_ID_OVERRIDE",$C26,"DEEP_BROKER_ID_OVERRIDE",AW$24,"DEEP_PERIOD_OVERRIDE",$H$19)*1,"")))</f>
        <v/>
      </c>
      <c r="AX26" s="17" t="str">
        <f>IF(OR(AX$23="",ISNA($B26)),"",IF(ISBLANK($B26),"",IFERROR(_xll.BDP(TICKER,"DEEP_MEASURE_PERIOD_BROKER_VALUE","DEEP_MEASURE_ID_OVERRIDE",$C26,"DEEP_BROKER_ID_OVERRIDE",AX$24,"DEEP_PERIOD_OVERRIDE",$H$19)*1,"")))</f>
        <v/>
      </c>
      <c r="AY26" s="17" t="str">
        <f>IF(OR(AY$23="",ISNA($B26)),"",IF(ISBLANK($B26),"",IFERROR(_xll.BDP(TICKER,"DEEP_MEASURE_PERIOD_BROKER_VALUE","DEEP_MEASURE_ID_OVERRIDE",$C26,"DEEP_BROKER_ID_OVERRIDE",AY$24,"DEEP_PERIOD_OVERRIDE",$H$19)*1,"")))</f>
        <v/>
      </c>
      <c r="AZ26" s="17" t="str">
        <f>IF(OR(AZ$23="",ISNA($B26)),"",IF(ISBLANK($B26),"",IFERROR(_xll.BDP(TICKER,"DEEP_MEASURE_PERIOD_BROKER_VALUE","DEEP_MEASURE_ID_OVERRIDE",$C26,"DEEP_BROKER_ID_OVERRIDE",AZ$24,"DEEP_PERIOD_OVERRIDE",$H$19)*1,"")))</f>
        <v/>
      </c>
      <c r="BA26" s="17" t="str">
        <f>IF(OR(BA$23="",ISNA($B26)),"",IF(ISBLANK($B26),"",IFERROR(_xll.BDP(TICKER,"DEEP_MEASURE_PERIOD_BROKER_VALUE","DEEP_MEASURE_ID_OVERRIDE",$C26,"DEEP_BROKER_ID_OVERRIDE",BA$24,"DEEP_PERIOD_OVERRIDE",$H$19)*1,"")))</f>
        <v/>
      </c>
      <c r="BB26" s="17" t="str">
        <f>IF(OR(BB$23="",ISNA($B26)),"",IF(ISBLANK($B26),"",IFERROR(_xll.BDP(TICKER,"DEEP_MEASURE_PERIOD_BROKER_VALUE","DEEP_MEASURE_ID_OVERRIDE",$C26,"DEEP_BROKER_ID_OVERRIDE",BB$24,"DEEP_PERIOD_OVERRIDE",$H$19)*1,"")))</f>
        <v/>
      </c>
      <c r="BC26" s="17" t="str">
        <f>IF(OR(BC$23="",ISNA($B26)),"",IF(ISBLANK($B26),"",IFERROR(_xll.BDP(TICKER,"DEEP_MEASURE_PERIOD_BROKER_VALUE","DEEP_MEASURE_ID_OVERRIDE",$C26,"DEEP_BROKER_ID_OVERRIDE",BC$24,"DEEP_PERIOD_OVERRIDE",$H$19)*1,"")))</f>
        <v/>
      </c>
      <c r="BD26" s="17" t="str">
        <f>IF(OR(BD$23="",ISNA($B26)),"",IF(ISBLANK($B26),"",IFERROR(_xll.BDP(TICKER,"DEEP_MEASURE_PERIOD_BROKER_VALUE","DEEP_MEASURE_ID_OVERRIDE",$C26,"DEEP_BROKER_ID_OVERRIDE",BD$24,"DEEP_PERIOD_OVERRIDE",$H$19)*1,"")))</f>
        <v/>
      </c>
      <c r="BE26" s="17" t="str">
        <f>IF(OR(BE$23="",ISNA($B26)),"",IF(ISBLANK($B26),"",IFERROR(_xll.BDP(TICKER,"DEEP_MEASURE_PERIOD_BROKER_VALUE","DEEP_MEASURE_ID_OVERRIDE",$C26,"DEEP_BROKER_ID_OVERRIDE",BE$24,"DEEP_PERIOD_OVERRIDE",$H$19)*1,"")))</f>
        <v/>
      </c>
      <c r="BF26" s="17" t="str">
        <f>IF(OR(BF$23="",ISNA($B26)),"",IF(ISBLANK($B26),"",IFERROR(_xll.BDP(TICKER,"DEEP_MEASURE_PERIOD_BROKER_VALUE","DEEP_MEASURE_ID_OVERRIDE",$C26,"DEEP_BROKER_ID_OVERRIDE",BF$24,"DEEP_PERIOD_OVERRIDE",$H$19)*1,"")))</f>
        <v/>
      </c>
      <c r="BG26" s="17" t="str">
        <f>IF(OR(BG$23="",ISNA($B26)),"",IF(ISBLANK($B26),"",IFERROR(_xll.BDP(TICKER,"DEEP_MEASURE_PERIOD_BROKER_VALUE","DEEP_MEASURE_ID_OVERRIDE",$C26,"DEEP_BROKER_ID_OVERRIDE",BG$24,"DEEP_PERIOD_OVERRIDE",$H$19)*1,"")))</f>
        <v/>
      </c>
      <c r="BH26" s="17" t="str">
        <f>IF(OR(BH$23="",ISNA($B26)),"",IF(ISBLANK($B26),"",IFERROR(_xll.BDP(TICKER,"DEEP_MEASURE_PERIOD_BROKER_VALUE","DEEP_MEASURE_ID_OVERRIDE",$C26,"DEEP_BROKER_ID_OVERRIDE",BH$24,"DEEP_PERIOD_OVERRIDE",$H$19)*1,"")))</f>
        <v/>
      </c>
      <c r="BI26" s="17" t="str">
        <f>IF(OR(BI$23="",ISNA($B26)),"",IF(ISBLANK($B26),"",IFERROR(_xll.BDP(TICKER,"DEEP_MEASURE_PERIOD_BROKER_VALUE","DEEP_MEASURE_ID_OVERRIDE",$C26,"DEEP_BROKER_ID_OVERRIDE",BI$24,"DEEP_PERIOD_OVERRIDE",$H$19)*1,"")))</f>
        <v/>
      </c>
      <c r="BJ26" s="17" t="str">
        <f>IF(OR(BJ$23="",ISNA($B26)),"",IF(ISBLANK($B26),"",IFERROR(_xll.BDP(TICKER,"DEEP_MEASURE_PERIOD_BROKER_VALUE","DEEP_MEASURE_ID_OVERRIDE",$C26,"DEEP_BROKER_ID_OVERRIDE",BJ$24,"DEEP_PERIOD_OVERRIDE",$H$19)*1,"")))</f>
        <v/>
      </c>
      <c r="BK26" s="17" t="str">
        <f>IF(OR(BK$23="",ISNA($B26)),"",IF(ISBLANK($B26),"",IFERROR(_xll.BDP(TICKER,"DEEP_MEASURE_PERIOD_BROKER_VALUE","DEEP_MEASURE_ID_OVERRIDE",$C26,"DEEP_BROKER_ID_OVERRIDE",BK$24,"DEEP_PERIOD_OVERRIDE",$H$19)*1,"")))</f>
        <v/>
      </c>
      <c r="BL26" s="17" t="str">
        <f>IF(OR(BL$23="",ISNA($B26)),"",IF(ISBLANK($B26),"",IFERROR(_xll.BDP(TICKER,"DEEP_MEASURE_PERIOD_BROKER_VALUE","DEEP_MEASURE_ID_OVERRIDE",$C26,"DEEP_BROKER_ID_OVERRIDE",BL$24,"DEEP_PERIOD_OVERRIDE",$H$19)*1,"")))</f>
        <v/>
      </c>
      <c r="BM26" s="17" t="str">
        <f>IF(OR(BM$23="",ISNA($B26)),"",IF(ISBLANK($B26),"",IFERROR(_xll.BDP(TICKER,"DEEP_MEASURE_PERIOD_BROKER_VALUE","DEEP_MEASURE_ID_OVERRIDE",$C26,"DEEP_BROKER_ID_OVERRIDE",BM$24,"DEEP_PERIOD_OVERRIDE",$H$19)*1,"")))</f>
        <v/>
      </c>
      <c r="BN26" s="17" t="str">
        <f>IF(OR(BN$23="",ISNA($B26)),"",IF(ISBLANK($B26),"",IFERROR(_xll.BDP(TICKER,"DEEP_MEASURE_PERIOD_BROKER_VALUE","DEEP_MEASURE_ID_OVERRIDE",$C26,"DEEP_BROKER_ID_OVERRIDE",BN$24,"DEEP_PERIOD_OVERRIDE",$H$19)*1,"")))</f>
        <v/>
      </c>
      <c r="BO26" s="17" t="str">
        <f>IF(OR(BO$23="",ISNA($B26)),"",IF(ISBLANK($B26),"",IFERROR(_xll.BDP(TICKER,"DEEP_MEASURE_PERIOD_BROKER_VALUE","DEEP_MEASURE_ID_OVERRIDE",$C26,"DEEP_BROKER_ID_OVERRIDE",BO$24,"DEEP_PERIOD_OVERRIDE",$H$19)*1,"")))</f>
        <v/>
      </c>
      <c r="BP26" s="17" t="str">
        <f>IF(OR(BP$23="",ISNA($B26)),"",IF(ISBLANK($B26),"",IFERROR(_xll.BDP(TICKER,"DEEP_MEASURE_PERIOD_BROKER_VALUE","DEEP_MEASURE_ID_OVERRIDE",$C26,"DEEP_BROKER_ID_OVERRIDE",BP$24,"DEEP_PERIOD_OVERRIDE",$H$19)*1,"")))</f>
        <v/>
      </c>
      <c r="BQ26" s="17" t="str">
        <f>IF(OR(BQ$23="",ISNA($B26)),"",IF(ISBLANK($B26),"",IFERROR(_xll.BDP(TICKER,"DEEP_MEASURE_PERIOD_BROKER_VALUE","DEEP_MEASURE_ID_OVERRIDE",$C26,"DEEP_BROKER_ID_OVERRIDE",BQ$24,"DEEP_PERIOD_OVERRIDE",$H$19)*1,"")))</f>
        <v/>
      </c>
      <c r="BR26" s="17" t="str">
        <f>IF(OR(BR$23="",ISNA($B26)),"",IF(ISBLANK($B26),"",IFERROR(_xll.BDP(TICKER,"DEEP_MEASURE_PERIOD_BROKER_VALUE","DEEP_MEASURE_ID_OVERRIDE",$C26,"DEEP_BROKER_ID_OVERRIDE",BR$24,"DEEP_PERIOD_OVERRIDE",$H$19)*1,"")))</f>
        <v/>
      </c>
      <c r="BS26" s="17" t="str">
        <f>IF(OR(BS$23="",ISNA($B26)),"",IF(ISBLANK($B26),"",IFERROR(_xll.BDP(TICKER,"DEEP_MEASURE_PERIOD_BROKER_VALUE","DEEP_MEASURE_ID_OVERRIDE",$C26,"DEEP_BROKER_ID_OVERRIDE",BS$24,"DEEP_PERIOD_OVERRIDE",$H$19)*1,"")))</f>
        <v/>
      </c>
      <c r="BT26" s="17" t="str">
        <f>IF(OR(BT$23="",ISNA($B26)),"",IF(ISBLANK($B26),"",IFERROR(_xll.BDP(TICKER,"DEEP_MEASURE_PERIOD_BROKER_VALUE","DEEP_MEASURE_ID_OVERRIDE",$C26,"DEEP_BROKER_ID_OVERRIDE",BT$24,"DEEP_PERIOD_OVERRIDE",$H$19)*1,"")))</f>
        <v/>
      </c>
      <c r="BU26" s="17" t="str">
        <f>IF(OR(BU$23="",ISNA($B26)),"",IF(ISBLANK($B26),"",IFERROR(_xll.BDP(TICKER,"DEEP_MEASURE_PERIOD_BROKER_VALUE","DEEP_MEASURE_ID_OVERRIDE",$C26,"DEEP_BROKER_ID_OVERRIDE",BU$24,"DEEP_PERIOD_OVERRIDE",$H$19)*1,"")))</f>
        <v/>
      </c>
      <c r="BV26" s="17" t="str">
        <f>IF(OR(BV$23="",ISNA($B26)),"",IF(ISBLANK($B26),"",IFERROR(_xll.BDP(TICKER,"DEEP_MEASURE_PERIOD_BROKER_VALUE","DEEP_MEASURE_ID_OVERRIDE",$C26,"DEEP_BROKER_ID_OVERRIDE",BV$24,"DEEP_PERIOD_OVERRIDE",$H$19)*1,"")))</f>
        <v/>
      </c>
      <c r="BW26" s="17" t="str">
        <f>IF(OR(BW$23="",ISNA($B26)),"",IF(ISBLANK($B26),"",IFERROR(_xll.BDP(TICKER,"DEEP_MEASURE_PERIOD_BROKER_VALUE","DEEP_MEASURE_ID_OVERRIDE",$C26,"DEEP_BROKER_ID_OVERRIDE",BW$24,"DEEP_PERIOD_OVERRIDE",$H$19)*1,"")))</f>
        <v/>
      </c>
      <c r="BX26" s="17" t="str">
        <f>IF(OR(BX$23="",ISNA($B26)),"",IF(ISBLANK($B26),"",IFERROR(_xll.BDP(TICKER,"DEEP_MEASURE_PERIOD_BROKER_VALUE","DEEP_MEASURE_ID_OVERRIDE",$C26,"DEEP_BROKER_ID_OVERRIDE",BX$24,"DEEP_PERIOD_OVERRIDE",$H$19)*1,"")))</f>
        <v/>
      </c>
      <c r="BY26" s="17" t="str">
        <f>IF(OR(BY$23="",ISNA($B26)),"",IF(ISBLANK($B26),"",IFERROR(_xll.BDP(TICKER,"DEEP_MEASURE_PERIOD_BROKER_VALUE","DEEP_MEASURE_ID_OVERRIDE",$C26,"DEEP_BROKER_ID_OVERRIDE",BY$24,"DEEP_PERIOD_OVERRIDE",$H$19)*1,"")))</f>
        <v/>
      </c>
      <c r="BZ26" s="17" t="str">
        <f>IF(OR(BZ$23="",ISNA($B26)),"",IF(ISBLANK($B26),"",IFERROR(_xll.BDP(TICKER,"DEEP_MEASURE_PERIOD_BROKER_VALUE","DEEP_MEASURE_ID_OVERRIDE",$C26,"DEEP_BROKER_ID_OVERRIDE",BZ$24,"DEEP_PERIOD_OVERRIDE",$H$19)*1,"")))</f>
        <v/>
      </c>
    </row>
    <row r="27" spans="2:78" x14ac:dyDescent="0.25">
      <c r="B27" t="s">
        <v>38</v>
      </c>
      <c r="C27" s="11">
        <v>1623</v>
      </c>
      <c r="H27" t="str">
        <f t="shared" si="1"/>
        <v>Average Monthly Unique Hotel Shoppers</v>
      </c>
      <c r="I27" t="str">
        <f>IF(OR(I$23="",ISNA($B27)),"",IF(ISBLANK($B27),"",IFERROR(_xll.BDP(TICKER,"DEEP_MEASURE_PERIOD_BROKER_VALUE","DEEP_MEASURE_ID_OVERRIDE",$C27,"DEEP_PERIOD_OVERRIDE",$H$19)*1,"")))</f>
        <v/>
      </c>
      <c r="J27" t="e">
        <f>IF(OR(J$23="",ISNA($B27)),"",IF(ISBLANK($B27),"",IFERROR(_xll.BDP(TICKER,"DEEP_MEASURE_PERIOD_BROKER_VALUE","DEEP_MEASURE_ID_OVERRIDE",$C27,"DEEP_BROKER_ID_OVERRIDE",J$24,"DEEP_PERIOD_OVERRIDE",$H$19)*1,"")))</f>
        <v>#REF!</v>
      </c>
      <c r="K27" s="17" t="str">
        <f>IF(OR(K$23="",ISNA($B27)),"",IF(ISBLANK($B27),"",IFERROR(_xll.BDP(TICKER,"DEEP_MEASURE_PERIOD_BROKER_VALUE","DEEP_MEASURE_ID_OVERRIDE",$C27,"DEEP_BROKER_ID_OVERRIDE",K$24,"DEEP_PERIOD_OVERRIDE",$H$19)*1,"")))</f>
        <v/>
      </c>
      <c r="L27" s="17" t="str">
        <f>IF(OR(L$23="",ISNA($B27)),"",IF(ISBLANK($B27),"",IFERROR(_xll.BDP(TICKER,"DEEP_MEASURE_PERIOD_BROKER_VALUE","DEEP_MEASURE_ID_OVERRIDE",$C27,"DEEP_BROKER_ID_OVERRIDE",L$24,"DEEP_PERIOD_OVERRIDE",$H$19)*1,"")))</f>
        <v/>
      </c>
      <c r="M27" s="17" t="str">
        <f>IF(OR(M$23="",ISNA($B27)),"",IF(ISBLANK($B27),"",IFERROR(_xll.BDP(TICKER,"DEEP_MEASURE_PERIOD_BROKER_VALUE","DEEP_MEASURE_ID_OVERRIDE",$C27,"DEEP_BROKER_ID_OVERRIDE",M$24,"DEEP_PERIOD_OVERRIDE",$H$19)*1,"")))</f>
        <v/>
      </c>
      <c r="N27" s="17" t="str">
        <f>IF(OR(N$23="",ISNA($B27)),"",IF(ISBLANK($B27),"",IFERROR(_xll.BDP(TICKER,"DEEP_MEASURE_PERIOD_BROKER_VALUE","DEEP_MEASURE_ID_OVERRIDE",$C27,"DEEP_BROKER_ID_OVERRIDE",N$24,"DEEP_PERIOD_OVERRIDE",$H$19)*1,"")))</f>
        <v/>
      </c>
      <c r="O27" s="17" t="str">
        <f>IF(OR(O$23="",ISNA($B27)),"",IF(ISBLANK($B27),"",IFERROR(_xll.BDP(TICKER,"DEEP_MEASURE_PERIOD_BROKER_VALUE","DEEP_MEASURE_ID_OVERRIDE",$C27,"DEEP_BROKER_ID_OVERRIDE",O$24,"DEEP_PERIOD_OVERRIDE",$H$19)*1,"")))</f>
        <v/>
      </c>
      <c r="P27" s="17" t="str">
        <f>IF(OR(P$23="",ISNA($B27)),"",IF(ISBLANK($B27),"",IFERROR(_xll.BDP(TICKER,"DEEP_MEASURE_PERIOD_BROKER_VALUE","DEEP_MEASURE_ID_OVERRIDE",$C27,"DEEP_BROKER_ID_OVERRIDE",P$24,"DEEP_PERIOD_OVERRIDE",$H$19)*1,"")))</f>
        <v/>
      </c>
      <c r="Q27" s="17" t="str">
        <f>IF(OR(Q$23="",ISNA($B27)),"",IF(ISBLANK($B27),"",IFERROR(_xll.BDP(TICKER,"DEEP_MEASURE_PERIOD_BROKER_VALUE","DEEP_MEASURE_ID_OVERRIDE",$C27,"DEEP_BROKER_ID_OVERRIDE",Q$24,"DEEP_PERIOD_OVERRIDE",$H$19)*1,"")))</f>
        <v/>
      </c>
      <c r="R27" s="17" t="str">
        <f>IF(OR(R$23="",ISNA($B27)),"",IF(ISBLANK($B27),"",IFERROR(_xll.BDP(TICKER,"DEEP_MEASURE_PERIOD_BROKER_VALUE","DEEP_MEASURE_ID_OVERRIDE",$C27,"DEEP_BROKER_ID_OVERRIDE",R$24,"DEEP_PERIOD_OVERRIDE",$H$19)*1,"")))</f>
        <v/>
      </c>
      <c r="S27" s="17" t="str">
        <f>IF(OR(S$23="",ISNA($B27)),"",IF(ISBLANK($B27),"",IFERROR(_xll.BDP(TICKER,"DEEP_MEASURE_PERIOD_BROKER_VALUE","DEEP_MEASURE_ID_OVERRIDE",$C27,"DEEP_BROKER_ID_OVERRIDE",S$24,"DEEP_PERIOD_OVERRIDE",$H$19)*1,"")))</f>
        <v/>
      </c>
      <c r="T27" s="17" t="str">
        <f>IF(OR(T$23="",ISNA($B27)),"",IF(ISBLANK($B27),"",IFERROR(_xll.BDP(TICKER,"DEEP_MEASURE_PERIOD_BROKER_VALUE","DEEP_MEASURE_ID_OVERRIDE",$C27,"DEEP_BROKER_ID_OVERRIDE",T$24,"DEEP_PERIOD_OVERRIDE",$H$19)*1,"")))</f>
        <v/>
      </c>
      <c r="U27" s="17" t="str">
        <f>IF(OR(U$23="",ISNA($B27)),"",IF(ISBLANK($B27),"",IFERROR(_xll.BDP(TICKER,"DEEP_MEASURE_PERIOD_BROKER_VALUE","DEEP_MEASURE_ID_OVERRIDE",$C27,"DEEP_BROKER_ID_OVERRIDE",U$24,"DEEP_PERIOD_OVERRIDE",$H$19)*1,"")))</f>
        <v/>
      </c>
      <c r="V27" s="17" t="str">
        <f>IF(OR(V$23="",ISNA($B27)),"",IF(ISBLANK($B27),"",IFERROR(_xll.BDP(TICKER,"DEEP_MEASURE_PERIOD_BROKER_VALUE","DEEP_MEASURE_ID_OVERRIDE",$C27,"DEEP_BROKER_ID_OVERRIDE",V$24,"DEEP_PERIOD_OVERRIDE",$H$19)*1,"")))</f>
        <v/>
      </c>
      <c r="W27" s="17" t="str">
        <f>IF(OR(W$23="",ISNA($B27)),"",IF(ISBLANK($B27),"",IFERROR(_xll.BDP(TICKER,"DEEP_MEASURE_PERIOD_BROKER_VALUE","DEEP_MEASURE_ID_OVERRIDE",$C27,"DEEP_BROKER_ID_OVERRIDE",W$24,"DEEP_PERIOD_OVERRIDE",$H$19)*1,"")))</f>
        <v/>
      </c>
      <c r="X27" s="17" t="str">
        <f>IF(OR(X$23="",ISNA($B27)),"",IF(ISBLANK($B27),"",IFERROR(_xll.BDP(TICKER,"DEEP_MEASURE_PERIOD_BROKER_VALUE","DEEP_MEASURE_ID_OVERRIDE",$C27,"DEEP_BROKER_ID_OVERRIDE",X$24,"DEEP_PERIOD_OVERRIDE",$H$19)*1,"")))</f>
        <v/>
      </c>
      <c r="Y27" s="17" t="str">
        <f>IF(OR(Y$23="",ISNA($B27)),"",IF(ISBLANK($B27),"",IFERROR(_xll.BDP(TICKER,"DEEP_MEASURE_PERIOD_BROKER_VALUE","DEEP_MEASURE_ID_OVERRIDE",$C27,"DEEP_BROKER_ID_OVERRIDE",Y$24,"DEEP_PERIOD_OVERRIDE",$H$19)*1,"")))</f>
        <v/>
      </c>
      <c r="Z27" s="17" t="str">
        <f>IF(OR(Z$23="",ISNA($B27)),"",IF(ISBLANK($B27),"",IFERROR(_xll.BDP(TICKER,"DEEP_MEASURE_PERIOD_BROKER_VALUE","DEEP_MEASURE_ID_OVERRIDE",$C27,"DEEP_BROKER_ID_OVERRIDE",Z$24,"DEEP_PERIOD_OVERRIDE",$H$19)*1,"")))</f>
        <v/>
      </c>
      <c r="AA27" s="17" t="str">
        <f>IF(OR(AA$23="",ISNA($B27)),"",IF(ISBLANK($B27),"",IFERROR(_xll.BDP(TICKER,"DEEP_MEASURE_PERIOD_BROKER_VALUE","DEEP_MEASURE_ID_OVERRIDE",$C27,"DEEP_BROKER_ID_OVERRIDE",AA$24,"DEEP_PERIOD_OVERRIDE",$H$19)*1,"")))</f>
        <v/>
      </c>
      <c r="AB27" s="17" t="str">
        <f>IF(OR(AB$23="",ISNA($B27)),"",IF(ISBLANK($B27),"",IFERROR(_xll.BDP(TICKER,"DEEP_MEASURE_PERIOD_BROKER_VALUE","DEEP_MEASURE_ID_OVERRIDE",$C27,"DEEP_BROKER_ID_OVERRIDE",AB$24,"DEEP_PERIOD_OVERRIDE",$H$19)*1,"")))</f>
        <v/>
      </c>
      <c r="AC27" s="17" t="str">
        <f>IF(OR(AC$23="",ISNA($B27)),"",IF(ISBLANK($B27),"",IFERROR(_xll.BDP(TICKER,"DEEP_MEASURE_PERIOD_BROKER_VALUE","DEEP_MEASURE_ID_OVERRIDE",$C27,"DEEP_BROKER_ID_OVERRIDE",AC$24,"DEEP_PERIOD_OVERRIDE",$H$19)*1,"")))</f>
        <v/>
      </c>
      <c r="AD27" s="17" t="str">
        <f>IF(OR(AD$23="",ISNA($B27)),"",IF(ISBLANK($B27),"",IFERROR(_xll.BDP(TICKER,"DEEP_MEASURE_PERIOD_BROKER_VALUE","DEEP_MEASURE_ID_OVERRIDE",$C27,"DEEP_BROKER_ID_OVERRIDE",AD$24,"DEEP_PERIOD_OVERRIDE",$H$19)*1,"")))</f>
        <v/>
      </c>
      <c r="AE27" s="17" t="str">
        <f>IF(OR(AE$23="",ISNA($B27)),"",IF(ISBLANK($B27),"",IFERROR(_xll.BDP(TICKER,"DEEP_MEASURE_PERIOD_BROKER_VALUE","DEEP_MEASURE_ID_OVERRIDE",$C27,"DEEP_BROKER_ID_OVERRIDE",AE$24,"DEEP_PERIOD_OVERRIDE",$H$19)*1,"")))</f>
        <v/>
      </c>
      <c r="AF27" s="17" t="str">
        <f>IF(OR(AF$23="",ISNA($B27)),"",IF(ISBLANK($B27),"",IFERROR(_xll.BDP(TICKER,"DEEP_MEASURE_PERIOD_BROKER_VALUE","DEEP_MEASURE_ID_OVERRIDE",$C27,"DEEP_BROKER_ID_OVERRIDE",AF$24,"DEEP_PERIOD_OVERRIDE",$H$19)*1,"")))</f>
        <v/>
      </c>
      <c r="AG27" s="17" t="str">
        <f>IF(OR(AG$23="",ISNA($B27)),"",IF(ISBLANK($B27),"",IFERROR(_xll.BDP(TICKER,"DEEP_MEASURE_PERIOD_BROKER_VALUE","DEEP_MEASURE_ID_OVERRIDE",$C27,"DEEP_BROKER_ID_OVERRIDE",AG$24,"DEEP_PERIOD_OVERRIDE",$H$19)*1,"")))</f>
        <v/>
      </c>
      <c r="AH27" s="17" t="str">
        <f>IF(OR(AH$23="",ISNA($B27)),"",IF(ISBLANK($B27),"",IFERROR(_xll.BDP(TICKER,"DEEP_MEASURE_PERIOD_BROKER_VALUE","DEEP_MEASURE_ID_OVERRIDE",$C27,"DEEP_BROKER_ID_OVERRIDE",AH$24,"DEEP_PERIOD_OVERRIDE",$H$19)*1,"")))</f>
        <v/>
      </c>
      <c r="AI27" s="17" t="str">
        <f>IF(OR(AI$23="",ISNA($B27)),"",IF(ISBLANK($B27),"",IFERROR(_xll.BDP(TICKER,"DEEP_MEASURE_PERIOD_BROKER_VALUE","DEEP_MEASURE_ID_OVERRIDE",$C27,"DEEP_BROKER_ID_OVERRIDE",AI$24,"DEEP_PERIOD_OVERRIDE",$H$19)*1,"")))</f>
        <v/>
      </c>
      <c r="AJ27" s="17" t="str">
        <f>IF(OR(AJ$23="",ISNA($B27)),"",IF(ISBLANK($B27),"",IFERROR(_xll.BDP(TICKER,"DEEP_MEASURE_PERIOD_BROKER_VALUE","DEEP_MEASURE_ID_OVERRIDE",$C27,"DEEP_BROKER_ID_OVERRIDE",AJ$24,"DEEP_PERIOD_OVERRIDE",$H$19)*1,"")))</f>
        <v/>
      </c>
      <c r="AK27" s="17" t="str">
        <f>IF(OR(AK$23="",ISNA($B27)),"",IF(ISBLANK($B27),"",IFERROR(_xll.BDP(TICKER,"DEEP_MEASURE_PERIOD_BROKER_VALUE","DEEP_MEASURE_ID_OVERRIDE",$C27,"DEEP_BROKER_ID_OVERRIDE",AK$24,"DEEP_PERIOD_OVERRIDE",$H$19)*1,"")))</f>
        <v/>
      </c>
      <c r="AL27" s="17" t="str">
        <f>IF(OR(AL$23="",ISNA($B27)),"",IF(ISBLANK($B27),"",IFERROR(_xll.BDP(TICKER,"DEEP_MEASURE_PERIOD_BROKER_VALUE","DEEP_MEASURE_ID_OVERRIDE",$C27,"DEEP_BROKER_ID_OVERRIDE",AL$24,"DEEP_PERIOD_OVERRIDE",$H$19)*1,"")))</f>
        <v/>
      </c>
      <c r="AM27" s="17" t="str">
        <f>IF(OR(AM$23="",ISNA($B27)),"",IF(ISBLANK($B27),"",IFERROR(_xll.BDP(TICKER,"DEEP_MEASURE_PERIOD_BROKER_VALUE","DEEP_MEASURE_ID_OVERRIDE",$C27,"DEEP_BROKER_ID_OVERRIDE",AM$24,"DEEP_PERIOD_OVERRIDE",$H$19)*1,"")))</f>
        <v/>
      </c>
      <c r="AN27" s="17" t="str">
        <f>IF(OR(AN$23="",ISNA($B27)),"",IF(ISBLANK($B27),"",IFERROR(_xll.BDP(TICKER,"DEEP_MEASURE_PERIOD_BROKER_VALUE","DEEP_MEASURE_ID_OVERRIDE",$C27,"DEEP_BROKER_ID_OVERRIDE",AN$24,"DEEP_PERIOD_OVERRIDE",$H$19)*1,"")))</f>
        <v/>
      </c>
      <c r="AO27" s="17" t="str">
        <f>IF(OR(AO$23="",ISNA($B27)),"",IF(ISBLANK($B27),"",IFERROR(_xll.BDP(TICKER,"DEEP_MEASURE_PERIOD_BROKER_VALUE","DEEP_MEASURE_ID_OVERRIDE",$C27,"DEEP_BROKER_ID_OVERRIDE",AO$24,"DEEP_PERIOD_OVERRIDE",$H$19)*1,"")))</f>
        <v/>
      </c>
      <c r="AP27" s="17" t="str">
        <f>IF(OR(AP$23="",ISNA($B27)),"",IF(ISBLANK($B27),"",IFERROR(_xll.BDP(TICKER,"DEEP_MEASURE_PERIOD_BROKER_VALUE","DEEP_MEASURE_ID_OVERRIDE",$C27,"DEEP_BROKER_ID_OVERRIDE",AP$24,"DEEP_PERIOD_OVERRIDE",$H$19)*1,"")))</f>
        <v/>
      </c>
      <c r="AQ27" s="17" t="str">
        <f>IF(OR(AQ$23="",ISNA($B27)),"",IF(ISBLANK($B27),"",IFERROR(_xll.BDP(TICKER,"DEEP_MEASURE_PERIOD_BROKER_VALUE","DEEP_MEASURE_ID_OVERRIDE",$C27,"DEEP_BROKER_ID_OVERRIDE",AQ$24,"DEEP_PERIOD_OVERRIDE",$H$19)*1,"")))</f>
        <v/>
      </c>
      <c r="AR27" s="17" t="str">
        <f>IF(OR(AR$23="",ISNA($B27)),"",IF(ISBLANK($B27),"",IFERROR(_xll.BDP(TICKER,"DEEP_MEASURE_PERIOD_BROKER_VALUE","DEEP_MEASURE_ID_OVERRIDE",$C27,"DEEP_BROKER_ID_OVERRIDE",AR$24,"DEEP_PERIOD_OVERRIDE",$H$19)*1,"")))</f>
        <v/>
      </c>
      <c r="AS27" s="17" t="str">
        <f>IF(OR(AS$23="",ISNA($B27)),"",IF(ISBLANK($B27),"",IFERROR(_xll.BDP(TICKER,"DEEP_MEASURE_PERIOD_BROKER_VALUE","DEEP_MEASURE_ID_OVERRIDE",$C27,"DEEP_BROKER_ID_OVERRIDE",AS$24,"DEEP_PERIOD_OVERRIDE",$H$19)*1,"")))</f>
        <v/>
      </c>
      <c r="AT27" s="17" t="str">
        <f>IF(OR(AT$23="",ISNA($B27)),"",IF(ISBLANK($B27),"",IFERROR(_xll.BDP(TICKER,"DEEP_MEASURE_PERIOD_BROKER_VALUE","DEEP_MEASURE_ID_OVERRIDE",$C27,"DEEP_BROKER_ID_OVERRIDE",AT$24,"DEEP_PERIOD_OVERRIDE",$H$19)*1,"")))</f>
        <v/>
      </c>
      <c r="AU27" s="17" t="str">
        <f>IF(OR(AU$23="",ISNA($B27)),"",IF(ISBLANK($B27),"",IFERROR(_xll.BDP(TICKER,"DEEP_MEASURE_PERIOD_BROKER_VALUE","DEEP_MEASURE_ID_OVERRIDE",$C27,"DEEP_BROKER_ID_OVERRIDE",AU$24,"DEEP_PERIOD_OVERRIDE",$H$19)*1,"")))</f>
        <v/>
      </c>
      <c r="AV27" s="17" t="str">
        <f>IF(OR(AV$23="",ISNA($B27)),"",IF(ISBLANK($B27),"",IFERROR(_xll.BDP(TICKER,"DEEP_MEASURE_PERIOD_BROKER_VALUE","DEEP_MEASURE_ID_OVERRIDE",$C27,"DEEP_BROKER_ID_OVERRIDE",AV$24,"DEEP_PERIOD_OVERRIDE",$H$19)*1,"")))</f>
        <v/>
      </c>
      <c r="AW27" s="17" t="str">
        <f>IF(OR(AW$23="",ISNA($B27)),"",IF(ISBLANK($B27),"",IFERROR(_xll.BDP(TICKER,"DEEP_MEASURE_PERIOD_BROKER_VALUE","DEEP_MEASURE_ID_OVERRIDE",$C27,"DEEP_BROKER_ID_OVERRIDE",AW$24,"DEEP_PERIOD_OVERRIDE",$H$19)*1,"")))</f>
        <v/>
      </c>
      <c r="AX27" s="17" t="str">
        <f>IF(OR(AX$23="",ISNA($B27)),"",IF(ISBLANK($B27),"",IFERROR(_xll.BDP(TICKER,"DEEP_MEASURE_PERIOD_BROKER_VALUE","DEEP_MEASURE_ID_OVERRIDE",$C27,"DEEP_BROKER_ID_OVERRIDE",AX$24,"DEEP_PERIOD_OVERRIDE",$H$19)*1,"")))</f>
        <v/>
      </c>
      <c r="AY27" s="17" t="str">
        <f>IF(OR(AY$23="",ISNA($B27)),"",IF(ISBLANK($B27),"",IFERROR(_xll.BDP(TICKER,"DEEP_MEASURE_PERIOD_BROKER_VALUE","DEEP_MEASURE_ID_OVERRIDE",$C27,"DEEP_BROKER_ID_OVERRIDE",AY$24,"DEEP_PERIOD_OVERRIDE",$H$19)*1,"")))</f>
        <v/>
      </c>
      <c r="AZ27" s="17" t="str">
        <f>IF(OR(AZ$23="",ISNA($B27)),"",IF(ISBLANK($B27),"",IFERROR(_xll.BDP(TICKER,"DEEP_MEASURE_PERIOD_BROKER_VALUE","DEEP_MEASURE_ID_OVERRIDE",$C27,"DEEP_BROKER_ID_OVERRIDE",AZ$24,"DEEP_PERIOD_OVERRIDE",$H$19)*1,"")))</f>
        <v/>
      </c>
      <c r="BA27" s="17" t="str">
        <f>IF(OR(BA$23="",ISNA($B27)),"",IF(ISBLANK($B27),"",IFERROR(_xll.BDP(TICKER,"DEEP_MEASURE_PERIOD_BROKER_VALUE","DEEP_MEASURE_ID_OVERRIDE",$C27,"DEEP_BROKER_ID_OVERRIDE",BA$24,"DEEP_PERIOD_OVERRIDE",$H$19)*1,"")))</f>
        <v/>
      </c>
      <c r="BB27" s="17" t="str">
        <f>IF(OR(BB$23="",ISNA($B27)),"",IF(ISBLANK($B27),"",IFERROR(_xll.BDP(TICKER,"DEEP_MEASURE_PERIOD_BROKER_VALUE","DEEP_MEASURE_ID_OVERRIDE",$C27,"DEEP_BROKER_ID_OVERRIDE",BB$24,"DEEP_PERIOD_OVERRIDE",$H$19)*1,"")))</f>
        <v/>
      </c>
      <c r="BC27" s="17" t="str">
        <f>IF(OR(BC$23="",ISNA($B27)),"",IF(ISBLANK($B27),"",IFERROR(_xll.BDP(TICKER,"DEEP_MEASURE_PERIOD_BROKER_VALUE","DEEP_MEASURE_ID_OVERRIDE",$C27,"DEEP_BROKER_ID_OVERRIDE",BC$24,"DEEP_PERIOD_OVERRIDE",$H$19)*1,"")))</f>
        <v/>
      </c>
      <c r="BD27" s="17" t="str">
        <f>IF(OR(BD$23="",ISNA($B27)),"",IF(ISBLANK($B27),"",IFERROR(_xll.BDP(TICKER,"DEEP_MEASURE_PERIOD_BROKER_VALUE","DEEP_MEASURE_ID_OVERRIDE",$C27,"DEEP_BROKER_ID_OVERRIDE",BD$24,"DEEP_PERIOD_OVERRIDE",$H$19)*1,"")))</f>
        <v/>
      </c>
      <c r="BE27" s="17" t="str">
        <f>IF(OR(BE$23="",ISNA($B27)),"",IF(ISBLANK($B27),"",IFERROR(_xll.BDP(TICKER,"DEEP_MEASURE_PERIOD_BROKER_VALUE","DEEP_MEASURE_ID_OVERRIDE",$C27,"DEEP_BROKER_ID_OVERRIDE",BE$24,"DEEP_PERIOD_OVERRIDE",$H$19)*1,"")))</f>
        <v/>
      </c>
      <c r="BF27" s="17" t="str">
        <f>IF(OR(BF$23="",ISNA($B27)),"",IF(ISBLANK($B27),"",IFERROR(_xll.BDP(TICKER,"DEEP_MEASURE_PERIOD_BROKER_VALUE","DEEP_MEASURE_ID_OVERRIDE",$C27,"DEEP_BROKER_ID_OVERRIDE",BF$24,"DEEP_PERIOD_OVERRIDE",$H$19)*1,"")))</f>
        <v/>
      </c>
      <c r="BG27" s="17" t="str">
        <f>IF(OR(BG$23="",ISNA($B27)),"",IF(ISBLANK($B27),"",IFERROR(_xll.BDP(TICKER,"DEEP_MEASURE_PERIOD_BROKER_VALUE","DEEP_MEASURE_ID_OVERRIDE",$C27,"DEEP_BROKER_ID_OVERRIDE",BG$24,"DEEP_PERIOD_OVERRIDE",$H$19)*1,"")))</f>
        <v/>
      </c>
      <c r="BH27" s="17" t="str">
        <f>IF(OR(BH$23="",ISNA($B27)),"",IF(ISBLANK($B27),"",IFERROR(_xll.BDP(TICKER,"DEEP_MEASURE_PERIOD_BROKER_VALUE","DEEP_MEASURE_ID_OVERRIDE",$C27,"DEEP_BROKER_ID_OVERRIDE",BH$24,"DEEP_PERIOD_OVERRIDE",$H$19)*1,"")))</f>
        <v/>
      </c>
      <c r="BI27" s="17" t="str">
        <f>IF(OR(BI$23="",ISNA($B27)),"",IF(ISBLANK($B27),"",IFERROR(_xll.BDP(TICKER,"DEEP_MEASURE_PERIOD_BROKER_VALUE","DEEP_MEASURE_ID_OVERRIDE",$C27,"DEEP_BROKER_ID_OVERRIDE",BI$24,"DEEP_PERIOD_OVERRIDE",$H$19)*1,"")))</f>
        <v/>
      </c>
      <c r="BJ27" s="17" t="str">
        <f>IF(OR(BJ$23="",ISNA($B27)),"",IF(ISBLANK($B27),"",IFERROR(_xll.BDP(TICKER,"DEEP_MEASURE_PERIOD_BROKER_VALUE","DEEP_MEASURE_ID_OVERRIDE",$C27,"DEEP_BROKER_ID_OVERRIDE",BJ$24,"DEEP_PERIOD_OVERRIDE",$H$19)*1,"")))</f>
        <v/>
      </c>
      <c r="BK27" s="17" t="str">
        <f>IF(OR(BK$23="",ISNA($B27)),"",IF(ISBLANK($B27),"",IFERROR(_xll.BDP(TICKER,"DEEP_MEASURE_PERIOD_BROKER_VALUE","DEEP_MEASURE_ID_OVERRIDE",$C27,"DEEP_BROKER_ID_OVERRIDE",BK$24,"DEEP_PERIOD_OVERRIDE",$H$19)*1,"")))</f>
        <v/>
      </c>
      <c r="BL27" s="17" t="str">
        <f>IF(OR(BL$23="",ISNA($B27)),"",IF(ISBLANK($B27),"",IFERROR(_xll.BDP(TICKER,"DEEP_MEASURE_PERIOD_BROKER_VALUE","DEEP_MEASURE_ID_OVERRIDE",$C27,"DEEP_BROKER_ID_OVERRIDE",BL$24,"DEEP_PERIOD_OVERRIDE",$H$19)*1,"")))</f>
        <v/>
      </c>
      <c r="BM27" s="17" t="str">
        <f>IF(OR(BM$23="",ISNA($B27)),"",IF(ISBLANK($B27),"",IFERROR(_xll.BDP(TICKER,"DEEP_MEASURE_PERIOD_BROKER_VALUE","DEEP_MEASURE_ID_OVERRIDE",$C27,"DEEP_BROKER_ID_OVERRIDE",BM$24,"DEEP_PERIOD_OVERRIDE",$H$19)*1,"")))</f>
        <v/>
      </c>
      <c r="BN27" s="17" t="str">
        <f>IF(OR(BN$23="",ISNA($B27)),"",IF(ISBLANK($B27),"",IFERROR(_xll.BDP(TICKER,"DEEP_MEASURE_PERIOD_BROKER_VALUE","DEEP_MEASURE_ID_OVERRIDE",$C27,"DEEP_BROKER_ID_OVERRIDE",BN$24,"DEEP_PERIOD_OVERRIDE",$H$19)*1,"")))</f>
        <v/>
      </c>
      <c r="BO27" s="17" t="str">
        <f>IF(OR(BO$23="",ISNA($B27)),"",IF(ISBLANK($B27),"",IFERROR(_xll.BDP(TICKER,"DEEP_MEASURE_PERIOD_BROKER_VALUE","DEEP_MEASURE_ID_OVERRIDE",$C27,"DEEP_BROKER_ID_OVERRIDE",BO$24,"DEEP_PERIOD_OVERRIDE",$H$19)*1,"")))</f>
        <v/>
      </c>
      <c r="BP27" s="17" t="str">
        <f>IF(OR(BP$23="",ISNA($B27)),"",IF(ISBLANK($B27),"",IFERROR(_xll.BDP(TICKER,"DEEP_MEASURE_PERIOD_BROKER_VALUE","DEEP_MEASURE_ID_OVERRIDE",$C27,"DEEP_BROKER_ID_OVERRIDE",BP$24,"DEEP_PERIOD_OVERRIDE",$H$19)*1,"")))</f>
        <v/>
      </c>
      <c r="BQ27" s="17" t="str">
        <f>IF(OR(BQ$23="",ISNA($B27)),"",IF(ISBLANK($B27),"",IFERROR(_xll.BDP(TICKER,"DEEP_MEASURE_PERIOD_BROKER_VALUE","DEEP_MEASURE_ID_OVERRIDE",$C27,"DEEP_BROKER_ID_OVERRIDE",BQ$24,"DEEP_PERIOD_OVERRIDE",$H$19)*1,"")))</f>
        <v/>
      </c>
      <c r="BR27" s="17" t="str">
        <f>IF(OR(BR$23="",ISNA($B27)),"",IF(ISBLANK($B27),"",IFERROR(_xll.BDP(TICKER,"DEEP_MEASURE_PERIOD_BROKER_VALUE","DEEP_MEASURE_ID_OVERRIDE",$C27,"DEEP_BROKER_ID_OVERRIDE",BR$24,"DEEP_PERIOD_OVERRIDE",$H$19)*1,"")))</f>
        <v/>
      </c>
      <c r="BS27" s="17" t="str">
        <f>IF(OR(BS$23="",ISNA($B27)),"",IF(ISBLANK($B27),"",IFERROR(_xll.BDP(TICKER,"DEEP_MEASURE_PERIOD_BROKER_VALUE","DEEP_MEASURE_ID_OVERRIDE",$C27,"DEEP_BROKER_ID_OVERRIDE",BS$24,"DEEP_PERIOD_OVERRIDE",$H$19)*1,"")))</f>
        <v/>
      </c>
      <c r="BT27" s="17" t="str">
        <f>IF(OR(BT$23="",ISNA($B27)),"",IF(ISBLANK($B27),"",IFERROR(_xll.BDP(TICKER,"DEEP_MEASURE_PERIOD_BROKER_VALUE","DEEP_MEASURE_ID_OVERRIDE",$C27,"DEEP_BROKER_ID_OVERRIDE",BT$24,"DEEP_PERIOD_OVERRIDE",$H$19)*1,"")))</f>
        <v/>
      </c>
      <c r="BU27" s="17" t="str">
        <f>IF(OR(BU$23="",ISNA($B27)),"",IF(ISBLANK($B27),"",IFERROR(_xll.BDP(TICKER,"DEEP_MEASURE_PERIOD_BROKER_VALUE","DEEP_MEASURE_ID_OVERRIDE",$C27,"DEEP_BROKER_ID_OVERRIDE",BU$24,"DEEP_PERIOD_OVERRIDE",$H$19)*1,"")))</f>
        <v/>
      </c>
      <c r="BV27" s="17" t="str">
        <f>IF(OR(BV$23="",ISNA($B27)),"",IF(ISBLANK($B27),"",IFERROR(_xll.BDP(TICKER,"DEEP_MEASURE_PERIOD_BROKER_VALUE","DEEP_MEASURE_ID_OVERRIDE",$C27,"DEEP_BROKER_ID_OVERRIDE",BV$24,"DEEP_PERIOD_OVERRIDE",$H$19)*1,"")))</f>
        <v/>
      </c>
      <c r="BW27" s="17" t="str">
        <f>IF(OR(BW$23="",ISNA($B27)),"",IF(ISBLANK($B27),"",IFERROR(_xll.BDP(TICKER,"DEEP_MEASURE_PERIOD_BROKER_VALUE","DEEP_MEASURE_ID_OVERRIDE",$C27,"DEEP_BROKER_ID_OVERRIDE",BW$24,"DEEP_PERIOD_OVERRIDE",$H$19)*1,"")))</f>
        <v/>
      </c>
      <c r="BX27" s="17" t="str">
        <f>IF(OR(BX$23="",ISNA($B27)),"",IF(ISBLANK($B27),"",IFERROR(_xll.BDP(TICKER,"DEEP_MEASURE_PERIOD_BROKER_VALUE","DEEP_MEASURE_ID_OVERRIDE",$C27,"DEEP_BROKER_ID_OVERRIDE",BX$24,"DEEP_PERIOD_OVERRIDE",$H$19)*1,"")))</f>
        <v/>
      </c>
      <c r="BY27" s="17" t="str">
        <f>IF(OR(BY$23="",ISNA($B27)),"",IF(ISBLANK($B27),"",IFERROR(_xll.BDP(TICKER,"DEEP_MEASURE_PERIOD_BROKER_VALUE","DEEP_MEASURE_ID_OVERRIDE",$C27,"DEEP_BROKER_ID_OVERRIDE",BY$24,"DEEP_PERIOD_OVERRIDE",$H$19)*1,"")))</f>
        <v/>
      </c>
      <c r="BZ27" s="17" t="str">
        <f>IF(OR(BZ$23="",ISNA($B27)),"",IF(ISBLANK($B27),"",IFERROR(_xll.BDP(TICKER,"DEEP_MEASURE_PERIOD_BROKER_VALUE","DEEP_MEASURE_ID_OVERRIDE",$C27,"DEEP_BROKER_ID_OVERRIDE",BZ$24,"DEEP_PERIOD_OVERRIDE",$H$19)*1,"")))</f>
        <v/>
      </c>
    </row>
    <row r="28" spans="2:78" x14ac:dyDescent="0.25">
      <c r="B28" t="s">
        <v>82</v>
      </c>
      <c r="C28" s="11">
        <v>11890</v>
      </c>
      <c r="H28" t="str">
        <f t="shared" si="1"/>
        <v>Average Quarterly Unique Hotel Shoppers</v>
      </c>
      <c r="I28" t="str">
        <f>IF(OR(I$23="",ISNA($B28)),"",IF(ISBLANK($B28),"",IFERROR(_xll.BDP(TICKER,"DEEP_MEASURE_PERIOD_BROKER_VALUE","DEEP_MEASURE_ID_OVERRIDE",$C28,"DEEP_PERIOD_OVERRIDE",$H$19)*1,"")))</f>
        <v/>
      </c>
      <c r="J28" t="e">
        <f>IF(OR(J$23="",ISNA($B28)),"",IF(ISBLANK($B28),"",IFERROR(_xll.BDP(TICKER,"DEEP_MEASURE_PERIOD_BROKER_VALUE","DEEP_MEASURE_ID_OVERRIDE",$C28,"DEEP_BROKER_ID_OVERRIDE",J$24,"DEEP_PERIOD_OVERRIDE",$H$19)*1,"")))</f>
        <v>#REF!</v>
      </c>
      <c r="K28" s="17" t="str">
        <f>IF(OR(K$23="",ISNA($B28)),"",IF(ISBLANK($B28),"",IFERROR(_xll.BDP(TICKER,"DEEP_MEASURE_PERIOD_BROKER_VALUE","DEEP_MEASURE_ID_OVERRIDE",$C28,"DEEP_BROKER_ID_OVERRIDE",K$24,"DEEP_PERIOD_OVERRIDE",$H$19)*1,"")))</f>
        <v/>
      </c>
      <c r="L28" s="17" t="str">
        <f>IF(OR(L$23="",ISNA($B28)),"",IF(ISBLANK($B28),"",IFERROR(_xll.BDP(TICKER,"DEEP_MEASURE_PERIOD_BROKER_VALUE","DEEP_MEASURE_ID_OVERRIDE",$C28,"DEEP_BROKER_ID_OVERRIDE",L$24,"DEEP_PERIOD_OVERRIDE",$H$19)*1,"")))</f>
        <v/>
      </c>
      <c r="M28" s="17" t="str">
        <f>IF(OR(M$23="",ISNA($B28)),"",IF(ISBLANK($B28),"",IFERROR(_xll.BDP(TICKER,"DEEP_MEASURE_PERIOD_BROKER_VALUE","DEEP_MEASURE_ID_OVERRIDE",$C28,"DEEP_BROKER_ID_OVERRIDE",M$24,"DEEP_PERIOD_OVERRIDE",$H$19)*1,"")))</f>
        <v/>
      </c>
      <c r="N28" s="17" t="str">
        <f>IF(OR(N$23="",ISNA($B28)),"",IF(ISBLANK($B28),"",IFERROR(_xll.BDP(TICKER,"DEEP_MEASURE_PERIOD_BROKER_VALUE","DEEP_MEASURE_ID_OVERRIDE",$C28,"DEEP_BROKER_ID_OVERRIDE",N$24,"DEEP_PERIOD_OVERRIDE",$H$19)*1,"")))</f>
        <v/>
      </c>
      <c r="O28" s="17" t="str">
        <f>IF(OR(O$23="",ISNA($B28)),"",IF(ISBLANK($B28),"",IFERROR(_xll.BDP(TICKER,"DEEP_MEASURE_PERIOD_BROKER_VALUE","DEEP_MEASURE_ID_OVERRIDE",$C28,"DEEP_BROKER_ID_OVERRIDE",O$24,"DEEP_PERIOD_OVERRIDE",$H$19)*1,"")))</f>
        <v/>
      </c>
      <c r="P28" s="17" t="str">
        <f>IF(OR(P$23="",ISNA($B28)),"",IF(ISBLANK($B28),"",IFERROR(_xll.BDP(TICKER,"DEEP_MEASURE_PERIOD_BROKER_VALUE","DEEP_MEASURE_ID_OVERRIDE",$C28,"DEEP_BROKER_ID_OVERRIDE",P$24,"DEEP_PERIOD_OVERRIDE",$H$19)*1,"")))</f>
        <v/>
      </c>
      <c r="Q28" s="17" t="str">
        <f>IF(OR(Q$23="",ISNA($B28)),"",IF(ISBLANK($B28),"",IFERROR(_xll.BDP(TICKER,"DEEP_MEASURE_PERIOD_BROKER_VALUE","DEEP_MEASURE_ID_OVERRIDE",$C28,"DEEP_BROKER_ID_OVERRIDE",Q$24,"DEEP_PERIOD_OVERRIDE",$H$19)*1,"")))</f>
        <v/>
      </c>
      <c r="R28" s="17" t="str">
        <f>IF(OR(R$23="",ISNA($B28)),"",IF(ISBLANK($B28),"",IFERROR(_xll.BDP(TICKER,"DEEP_MEASURE_PERIOD_BROKER_VALUE","DEEP_MEASURE_ID_OVERRIDE",$C28,"DEEP_BROKER_ID_OVERRIDE",R$24,"DEEP_PERIOD_OVERRIDE",$H$19)*1,"")))</f>
        <v/>
      </c>
      <c r="S28" s="17" t="str">
        <f>IF(OR(S$23="",ISNA($B28)),"",IF(ISBLANK($B28),"",IFERROR(_xll.BDP(TICKER,"DEEP_MEASURE_PERIOD_BROKER_VALUE","DEEP_MEASURE_ID_OVERRIDE",$C28,"DEEP_BROKER_ID_OVERRIDE",S$24,"DEEP_PERIOD_OVERRIDE",$H$19)*1,"")))</f>
        <v/>
      </c>
      <c r="T28" s="17" t="str">
        <f>IF(OR(T$23="",ISNA($B28)),"",IF(ISBLANK($B28),"",IFERROR(_xll.BDP(TICKER,"DEEP_MEASURE_PERIOD_BROKER_VALUE","DEEP_MEASURE_ID_OVERRIDE",$C28,"DEEP_BROKER_ID_OVERRIDE",T$24,"DEEP_PERIOD_OVERRIDE",$H$19)*1,"")))</f>
        <v/>
      </c>
      <c r="U28" s="17" t="str">
        <f>IF(OR(U$23="",ISNA($B28)),"",IF(ISBLANK($B28),"",IFERROR(_xll.BDP(TICKER,"DEEP_MEASURE_PERIOD_BROKER_VALUE","DEEP_MEASURE_ID_OVERRIDE",$C28,"DEEP_BROKER_ID_OVERRIDE",U$24,"DEEP_PERIOD_OVERRIDE",$H$19)*1,"")))</f>
        <v/>
      </c>
      <c r="V28" s="17" t="str">
        <f>IF(OR(V$23="",ISNA($B28)),"",IF(ISBLANK($B28),"",IFERROR(_xll.BDP(TICKER,"DEEP_MEASURE_PERIOD_BROKER_VALUE","DEEP_MEASURE_ID_OVERRIDE",$C28,"DEEP_BROKER_ID_OVERRIDE",V$24,"DEEP_PERIOD_OVERRIDE",$H$19)*1,"")))</f>
        <v/>
      </c>
      <c r="W28" s="17" t="str">
        <f>IF(OR(W$23="",ISNA($B28)),"",IF(ISBLANK($B28),"",IFERROR(_xll.BDP(TICKER,"DEEP_MEASURE_PERIOD_BROKER_VALUE","DEEP_MEASURE_ID_OVERRIDE",$C28,"DEEP_BROKER_ID_OVERRIDE",W$24,"DEEP_PERIOD_OVERRIDE",$H$19)*1,"")))</f>
        <v/>
      </c>
      <c r="X28" s="17" t="str">
        <f>IF(OR(X$23="",ISNA($B28)),"",IF(ISBLANK($B28),"",IFERROR(_xll.BDP(TICKER,"DEEP_MEASURE_PERIOD_BROKER_VALUE","DEEP_MEASURE_ID_OVERRIDE",$C28,"DEEP_BROKER_ID_OVERRIDE",X$24,"DEEP_PERIOD_OVERRIDE",$H$19)*1,"")))</f>
        <v/>
      </c>
      <c r="Y28" s="17" t="str">
        <f>IF(OR(Y$23="",ISNA($B28)),"",IF(ISBLANK($B28),"",IFERROR(_xll.BDP(TICKER,"DEEP_MEASURE_PERIOD_BROKER_VALUE","DEEP_MEASURE_ID_OVERRIDE",$C28,"DEEP_BROKER_ID_OVERRIDE",Y$24,"DEEP_PERIOD_OVERRIDE",$H$19)*1,"")))</f>
        <v/>
      </c>
      <c r="Z28" s="17" t="str">
        <f>IF(OR(Z$23="",ISNA($B28)),"",IF(ISBLANK($B28),"",IFERROR(_xll.BDP(TICKER,"DEEP_MEASURE_PERIOD_BROKER_VALUE","DEEP_MEASURE_ID_OVERRIDE",$C28,"DEEP_BROKER_ID_OVERRIDE",Z$24,"DEEP_PERIOD_OVERRIDE",$H$19)*1,"")))</f>
        <v/>
      </c>
      <c r="AA28" s="17" t="str">
        <f>IF(OR(AA$23="",ISNA($B28)),"",IF(ISBLANK($B28),"",IFERROR(_xll.BDP(TICKER,"DEEP_MEASURE_PERIOD_BROKER_VALUE","DEEP_MEASURE_ID_OVERRIDE",$C28,"DEEP_BROKER_ID_OVERRIDE",AA$24,"DEEP_PERIOD_OVERRIDE",$H$19)*1,"")))</f>
        <v/>
      </c>
      <c r="AB28" s="17" t="str">
        <f>IF(OR(AB$23="",ISNA($B28)),"",IF(ISBLANK($B28),"",IFERROR(_xll.BDP(TICKER,"DEEP_MEASURE_PERIOD_BROKER_VALUE","DEEP_MEASURE_ID_OVERRIDE",$C28,"DEEP_BROKER_ID_OVERRIDE",AB$24,"DEEP_PERIOD_OVERRIDE",$H$19)*1,"")))</f>
        <v/>
      </c>
      <c r="AC28" s="17" t="str">
        <f>IF(OR(AC$23="",ISNA($B28)),"",IF(ISBLANK($B28),"",IFERROR(_xll.BDP(TICKER,"DEEP_MEASURE_PERIOD_BROKER_VALUE","DEEP_MEASURE_ID_OVERRIDE",$C28,"DEEP_BROKER_ID_OVERRIDE",AC$24,"DEEP_PERIOD_OVERRIDE",$H$19)*1,"")))</f>
        <v/>
      </c>
      <c r="AD28" s="17" t="str">
        <f>IF(OR(AD$23="",ISNA($B28)),"",IF(ISBLANK($B28),"",IFERROR(_xll.BDP(TICKER,"DEEP_MEASURE_PERIOD_BROKER_VALUE","DEEP_MEASURE_ID_OVERRIDE",$C28,"DEEP_BROKER_ID_OVERRIDE",AD$24,"DEEP_PERIOD_OVERRIDE",$H$19)*1,"")))</f>
        <v/>
      </c>
      <c r="AE28" s="17" t="str">
        <f>IF(OR(AE$23="",ISNA($B28)),"",IF(ISBLANK($B28),"",IFERROR(_xll.BDP(TICKER,"DEEP_MEASURE_PERIOD_BROKER_VALUE","DEEP_MEASURE_ID_OVERRIDE",$C28,"DEEP_BROKER_ID_OVERRIDE",AE$24,"DEEP_PERIOD_OVERRIDE",$H$19)*1,"")))</f>
        <v/>
      </c>
      <c r="AF28" s="17" t="str">
        <f>IF(OR(AF$23="",ISNA($B28)),"",IF(ISBLANK($B28),"",IFERROR(_xll.BDP(TICKER,"DEEP_MEASURE_PERIOD_BROKER_VALUE","DEEP_MEASURE_ID_OVERRIDE",$C28,"DEEP_BROKER_ID_OVERRIDE",AF$24,"DEEP_PERIOD_OVERRIDE",$H$19)*1,"")))</f>
        <v/>
      </c>
      <c r="AG28" s="17" t="str">
        <f>IF(OR(AG$23="",ISNA($B28)),"",IF(ISBLANK($B28),"",IFERROR(_xll.BDP(TICKER,"DEEP_MEASURE_PERIOD_BROKER_VALUE","DEEP_MEASURE_ID_OVERRIDE",$C28,"DEEP_BROKER_ID_OVERRIDE",AG$24,"DEEP_PERIOD_OVERRIDE",$H$19)*1,"")))</f>
        <v/>
      </c>
      <c r="AH28" s="17" t="str">
        <f>IF(OR(AH$23="",ISNA($B28)),"",IF(ISBLANK($B28),"",IFERROR(_xll.BDP(TICKER,"DEEP_MEASURE_PERIOD_BROKER_VALUE","DEEP_MEASURE_ID_OVERRIDE",$C28,"DEEP_BROKER_ID_OVERRIDE",AH$24,"DEEP_PERIOD_OVERRIDE",$H$19)*1,"")))</f>
        <v/>
      </c>
      <c r="AI28" s="17" t="str">
        <f>IF(OR(AI$23="",ISNA($B28)),"",IF(ISBLANK($B28),"",IFERROR(_xll.BDP(TICKER,"DEEP_MEASURE_PERIOD_BROKER_VALUE","DEEP_MEASURE_ID_OVERRIDE",$C28,"DEEP_BROKER_ID_OVERRIDE",AI$24,"DEEP_PERIOD_OVERRIDE",$H$19)*1,"")))</f>
        <v/>
      </c>
      <c r="AJ28" s="17" t="str">
        <f>IF(OR(AJ$23="",ISNA($B28)),"",IF(ISBLANK($B28),"",IFERROR(_xll.BDP(TICKER,"DEEP_MEASURE_PERIOD_BROKER_VALUE","DEEP_MEASURE_ID_OVERRIDE",$C28,"DEEP_BROKER_ID_OVERRIDE",AJ$24,"DEEP_PERIOD_OVERRIDE",$H$19)*1,"")))</f>
        <v/>
      </c>
      <c r="AK28" s="17" t="str">
        <f>IF(OR(AK$23="",ISNA($B28)),"",IF(ISBLANK($B28),"",IFERROR(_xll.BDP(TICKER,"DEEP_MEASURE_PERIOD_BROKER_VALUE","DEEP_MEASURE_ID_OVERRIDE",$C28,"DEEP_BROKER_ID_OVERRIDE",AK$24,"DEEP_PERIOD_OVERRIDE",$H$19)*1,"")))</f>
        <v/>
      </c>
      <c r="AL28" s="17" t="str">
        <f>IF(OR(AL$23="",ISNA($B28)),"",IF(ISBLANK($B28),"",IFERROR(_xll.BDP(TICKER,"DEEP_MEASURE_PERIOD_BROKER_VALUE","DEEP_MEASURE_ID_OVERRIDE",$C28,"DEEP_BROKER_ID_OVERRIDE",AL$24,"DEEP_PERIOD_OVERRIDE",$H$19)*1,"")))</f>
        <v/>
      </c>
      <c r="AM28" s="17" t="str">
        <f>IF(OR(AM$23="",ISNA($B28)),"",IF(ISBLANK($B28),"",IFERROR(_xll.BDP(TICKER,"DEEP_MEASURE_PERIOD_BROKER_VALUE","DEEP_MEASURE_ID_OVERRIDE",$C28,"DEEP_BROKER_ID_OVERRIDE",AM$24,"DEEP_PERIOD_OVERRIDE",$H$19)*1,"")))</f>
        <v/>
      </c>
      <c r="AN28" s="17" t="str">
        <f>IF(OR(AN$23="",ISNA($B28)),"",IF(ISBLANK($B28),"",IFERROR(_xll.BDP(TICKER,"DEEP_MEASURE_PERIOD_BROKER_VALUE","DEEP_MEASURE_ID_OVERRIDE",$C28,"DEEP_BROKER_ID_OVERRIDE",AN$24,"DEEP_PERIOD_OVERRIDE",$H$19)*1,"")))</f>
        <v/>
      </c>
      <c r="AO28" s="17" t="str">
        <f>IF(OR(AO$23="",ISNA($B28)),"",IF(ISBLANK($B28),"",IFERROR(_xll.BDP(TICKER,"DEEP_MEASURE_PERIOD_BROKER_VALUE","DEEP_MEASURE_ID_OVERRIDE",$C28,"DEEP_BROKER_ID_OVERRIDE",AO$24,"DEEP_PERIOD_OVERRIDE",$H$19)*1,"")))</f>
        <v/>
      </c>
      <c r="AP28" s="17" t="str">
        <f>IF(OR(AP$23="",ISNA($B28)),"",IF(ISBLANK($B28),"",IFERROR(_xll.BDP(TICKER,"DEEP_MEASURE_PERIOD_BROKER_VALUE","DEEP_MEASURE_ID_OVERRIDE",$C28,"DEEP_BROKER_ID_OVERRIDE",AP$24,"DEEP_PERIOD_OVERRIDE",$H$19)*1,"")))</f>
        <v/>
      </c>
      <c r="AQ28" s="17" t="str">
        <f>IF(OR(AQ$23="",ISNA($B28)),"",IF(ISBLANK($B28),"",IFERROR(_xll.BDP(TICKER,"DEEP_MEASURE_PERIOD_BROKER_VALUE","DEEP_MEASURE_ID_OVERRIDE",$C28,"DEEP_BROKER_ID_OVERRIDE",AQ$24,"DEEP_PERIOD_OVERRIDE",$H$19)*1,"")))</f>
        <v/>
      </c>
      <c r="AR28" s="17" t="str">
        <f>IF(OR(AR$23="",ISNA($B28)),"",IF(ISBLANK($B28),"",IFERROR(_xll.BDP(TICKER,"DEEP_MEASURE_PERIOD_BROKER_VALUE","DEEP_MEASURE_ID_OVERRIDE",$C28,"DEEP_BROKER_ID_OVERRIDE",AR$24,"DEEP_PERIOD_OVERRIDE",$H$19)*1,"")))</f>
        <v/>
      </c>
      <c r="AS28" s="17" t="str">
        <f>IF(OR(AS$23="",ISNA($B28)),"",IF(ISBLANK($B28),"",IFERROR(_xll.BDP(TICKER,"DEEP_MEASURE_PERIOD_BROKER_VALUE","DEEP_MEASURE_ID_OVERRIDE",$C28,"DEEP_BROKER_ID_OVERRIDE",AS$24,"DEEP_PERIOD_OVERRIDE",$H$19)*1,"")))</f>
        <v/>
      </c>
      <c r="AT28" s="17" t="str">
        <f>IF(OR(AT$23="",ISNA($B28)),"",IF(ISBLANK($B28),"",IFERROR(_xll.BDP(TICKER,"DEEP_MEASURE_PERIOD_BROKER_VALUE","DEEP_MEASURE_ID_OVERRIDE",$C28,"DEEP_BROKER_ID_OVERRIDE",AT$24,"DEEP_PERIOD_OVERRIDE",$H$19)*1,"")))</f>
        <v/>
      </c>
      <c r="AU28" s="17" t="str">
        <f>IF(OR(AU$23="",ISNA($B28)),"",IF(ISBLANK($B28),"",IFERROR(_xll.BDP(TICKER,"DEEP_MEASURE_PERIOD_BROKER_VALUE","DEEP_MEASURE_ID_OVERRIDE",$C28,"DEEP_BROKER_ID_OVERRIDE",AU$24,"DEEP_PERIOD_OVERRIDE",$H$19)*1,"")))</f>
        <v/>
      </c>
      <c r="AV28" s="17" t="str">
        <f>IF(OR(AV$23="",ISNA($B28)),"",IF(ISBLANK($B28),"",IFERROR(_xll.BDP(TICKER,"DEEP_MEASURE_PERIOD_BROKER_VALUE","DEEP_MEASURE_ID_OVERRIDE",$C28,"DEEP_BROKER_ID_OVERRIDE",AV$24,"DEEP_PERIOD_OVERRIDE",$H$19)*1,"")))</f>
        <v/>
      </c>
      <c r="AW28" s="17" t="str">
        <f>IF(OR(AW$23="",ISNA($B28)),"",IF(ISBLANK($B28),"",IFERROR(_xll.BDP(TICKER,"DEEP_MEASURE_PERIOD_BROKER_VALUE","DEEP_MEASURE_ID_OVERRIDE",$C28,"DEEP_BROKER_ID_OVERRIDE",AW$24,"DEEP_PERIOD_OVERRIDE",$H$19)*1,"")))</f>
        <v/>
      </c>
      <c r="AX28" s="17" t="str">
        <f>IF(OR(AX$23="",ISNA($B28)),"",IF(ISBLANK($B28),"",IFERROR(_xll.BDP(TICKER,"DEEP_MEASURE_PERIOD_BROKER_VALUE","DEEP_MEASURE_ID_OVERRIDE",$C28,"DEEP_BROKER_ID_OVERRIDE",AX$24,"DEEP_PERIOD_OVERRIDE",$H$19)*1,"")))</f>
        <v/>
      </c>
      <c r="AY28" s="17" t="str">
        <f>IF(OR(AY$23="",ISNA($B28)),"",IF(ISBLANK($B28),"",IFERROR(_xll.BDP(TICKER,"DEEP_MEASURE_PERIOD_BROKER_VALUE","DEEP_MEASURE_ID_OVERRIDE",$C28,"DEEP_BROKER_ID_OVERRIDE",AY$24,"DEEP_PERIOD_OVERRIDE",$H$19)*1,"")))</f>
        <v/>
      </c>
      <c r="AZ28" s="17" t="str">
        <f>IF(OR(AZ$23="",ISNA($B28)),"",IF(ISBLANK($B28),"",IFERROR(_xll.BDP(TICKER,"DEEP_MEASURE_PERIOD_BROKER_VALUE","DEEP_MEASURE_ID_OVERRIDE",$C28,"DEEP_BROKER_ID_OVERRIDE",AZ$24,"DEEP_PERIOD_OVERRIDE",$H$19)*1,"")))</f>
        <v/>
      </c>
      <c r="BA28" s="17" t="str">
        <f>IF(OR(BA$23="",ISNA($B28)),"",IF(ISBLANK($B28),"",IFERROR(_xll.BDP(TICKER,"DEEP_MEASURE_PERIOD_BROKER_VALUE","DEEP_MEASURE_ID_OVERRIDE",$C28,"DEEP_BROKER_ID_OVERRIDE",BA$24,"DEEP_PERIOD_OVERRIDE",$H$19)*1,"")))</f>
        <v/>
      </c>
      <c r="BB28" s="17" t="str">
        <f>IF(OR(BB$23="",ISNA($B28)),"",IF(ISBLANK($B28),"",IFERROR(_xll.BDP(TICKER,"DEEP_MEASURE_PERIOD_BROKER_VALUE","DEEP_MEASURE_ID_OVERRIDE",$C28,"DEEP_BROKER_ID_OVERRIDE",BB$24,"DEEP_PERIOD_OVERRIDE",$H$19)*1,"")))</f>
        <v/>
      </c>
      <c r="BC28" s="17" t="str">
        <f>IF(OR(BC$23="",ISNA($B28)),"",IF(ISBLANK($B28),"",IFERROR(_xll.BDP(TICKER,"DEEP_MEASURE_PERIOD_BROKER_VALUE","DEEP_MEASURE_ID_OVERRIDE",$C28,"DEEP_BROKER_ID_OVERRIDE",BC$24,"DEEP_PERIOD_OVERRIDE",$H$19)*1,"")))</f>
        <v/>
      </c>
      <c r="BD28" s="17" t="str">
        <f>IF(OR(BD$23="",ISNA($B28)),"",IF(ISBLANK($B28),"",IFERROR(_xll.BDP(TICKER,"DEEP_MEASURE_PERIOD_BROKER_VALUE","DEEP_MEASURE_ID_OVERRIDE",$C28,"DEEP_BROKER_ID_OVERRIDE",BD$24,"DEEP_PERIOD_OVERRIDE",$H$19)*1,"")))</f>
        <v/>
      </c>
      <c r="BE28" s="17" t="str">
        <f>IF(OR(BE$23="",ISNA($B28)),"",IF(ISBLANK($B28),"",IFERROR(_xll.BDP(TICKER,"DEEP_MEASURE_PERIOD_BROKER_VALUE","DEEP_MEASURE_ID_OVERRIDE",$C28,"DEEP_BROKER_ID_OVERRIDE",BE$24,"DEEP_PERIOD_OVERRIDE",$H$19)*1,"")))</f>
        <v/>
      </c>
      <c r="BF28" s="17" t="str">
        <f>IF(OR(BF$23="",ISNA($B28)),"",IF(ISBLANK($B28),"",IFERROR(_xll.BDP(TICKER,"DEEP_MEASURE_PERIOD_BROKER_VALUE","DEEP_MEASURE_ID_OVERRIDE",$C28,"DEEP_BROKER_ID_OVERRIDE",BF$24,"DEEP_PERIOD_OVERRIDE",$H$19)*1,"")))</f>
        <v/>
      </c>
      <c r="BG28" s="17" t="str">
        <f>IF(OR(BG$23="",ISNA($B28)),"",IF(ISBLANK($B28),"",IFERROR(_xll.BDP(TICKER,"DEEP_MEASURE_PERIOD_BROKER_VALUE","DEEP_MEASURE_ID_OVERRIDE",$C28,"DEEP_BROKER_ID_OVERRIDE",BG$24,"DEEP_PERIOD_OVERRIDE",$H$19)*1,"")))</f>
        <v/>
      </c>
      <c r="BH28" s="17" t="str">
        <f>IF(OR(BH$23="",ISNA($B28)),"",IF(ISBLANK($B28),"",IFERROR(_xll.BDP(TICKER,"DEEP_MEASURE_PERIOD_BROKER_VALUE","DEEP_MEASURE_ID_OVERRIDE",$C28,"DEEP_BROKER_ID_OVERRIDE",BH$24,"DEEP_PERIOD_OVERRIDE",$H$19)*1,"")))</f>
        <v/>
      </c>
      <c r="BI28" s="17" t="str">
        <f>IF(OR(BI$23="",ISNA($B28)),"",IF(ISBLANK($B28),"",IFERROR(_xll.BDP(TICKER,"DEEP_MEASURE_PERIOD_BROKER_VALUE","DEEP_MEASURE_ID_OVERRIDE",$C28,"DEEP_BROKER_ID_OVERRIDE",BI$24,"DEEP_PERIOD_OVERRIDE",$H$19)*1,"")))</f>
        <v/>
      </c>
      <c r="BJ28" s="17" t="str">
        <f>IF(OR(BJ$23="",ISNA($B28)),"",IF(ISBLANK($B28),"",IFERROR(_xll.BDP(TICKER,"DEEP_MEASURE_PERIOD_BROKER_VALUE","DEEP_MEASURE_ID_OVERRIDE",$C28,"DEEP_BROKER_ID_OVERRIDE",BJ$24,"DEEP_PERIOD_OVERRIDE",$H$19)*1,"")))</f>
        <v/>
      </c>
      <c r="BK28" s="17" t="str">
        <f>IF(OR(BK$23="",ISNA($B28)),"",IF(ISBLANK($B28),"",IFERROR(_xll.BDP(TICKER,"DEEP_MEASURE_PERIOD_BROKER_VALUE","DEEP_MEASURE_ID_OVERRIDE",$C28,"DEEP_BROKER_ID_OVERRIDE",BK$24,"DEEP_PERIOD_OVERRIDE",$H$19)*1,"")))</f>
        <v/>
      </c>
      <c r="BL28" s="17" t="str">
        <f>IF(OR(BL$23="",ISNA($B28)),"",IF(ISBLANK($B28),"",IFERROR(_xll.BDP(TICKER,"DEEP_MEASURE_PERIOD_BROKER_VALUE","DEEP_MEASURE_ID_OVERRIDE",$C28,"DEEP_BROKER_ID_OVERRIDE",BL$24,"DEEP_PERIOD_OVERRIDE",$H$19)*1,"")))</f>
        <v/>
      </c>
      <c r="BM28" s="17" t="str">
        <f>IF(OR(BM$23="",ISNA($B28)),"",IF(ISBLANK($B28),"",IFERROR(_xll.BDP(TICKER,"DEEP_MEASURE_PERIOD_BROKER_VALUE","DEEP_MEASURE_ID_OVERRIDE",$C28,"DEEP_BROKER_ID_OVERRIDE",BM$24,"DEEP_PERIOD_OVERRIDE",$H$19)*1,"")))</f>
        <v/>
      </c>
      <c r="BN28" s="17" t="str">
        <f>IF(OR(BN$23="",ISNA($B28)),"",IF(ISBLANK($B28),"",IFERROR(_xll.BDP(TICKER,"DEEP_MEASURE_PERIOD_BROKER_VALUE","DEEP_MEASURE_ID_OVERRIDE",$C28,"DEEP_BROKER_ID_OVERRIDE",BN$24,"DEEP_PERIOD_OVERRIDE",$H$19)*1,"")))</f>
        <v/>
      </c>
      <c r="BO28" s="17" t="str">
        <f>IF(OR(BO$23="",ISNA($B28)),"",IF(ISBLANK($B28),"",IFERROR(_xll.BDP(TICKER,"DEEP_MEASURE_PERIOD_BROKER_VALUE","DEEP_MEASURE_ID_OVERRIDE",$C28,"DEEP_BROKER_ID_OVERRIDE",BO$24,"DEEP_PERIOD_OVERRIDE",$H$19)*1,"")))</f>
        <v/>
      </c>
      <c r="BP28" s="17" t="str">
        <f>IF(OR(BP$23="",ISNA($B28)),"",IF(ISBLANK($B28),"",IFERROR(_xll.BDP(TICKER,"DEEP_MEASURE_PERIOD_BROKER_VALUE","DEEP_MEASURE_ID_OVERRIDE",$C28,"DEEP_BROKER_ID_OVERRIDE",BP$24,"DEEP_PERIOD_OVERRIDE",$H$19)*1,"")))</f>
        <v/>
      </c>
      <c r="BQ28" s="17" t="str">
        <f>IF(OR(BQ$23="",ISNA($B28)),"",IF(ISBLANK($B28),"",IFERROR(_xll.BDP(TICKER,"DEEP_MEASURE_PERIOD_BROKER_VALUE","DEEP_MEASURE_ID_OVERRIDE",$C28,"DEEP_BROKER_ID_OVERRIDE",BQ$24,"DEEP_PERIOD_OVERRIDE",$H$19)*1,"")))</f>
        <v/>
      </c>
      <c r="BR28" s="17" t="str">
        <f>IF(OR(BR$23="",ISNA($B28)),"",IF(ISBLANK($B28),"",IFERROR(_xll.BDP(TICKER,"DEEP_MEASURE_PERIOD_BROKER_VALUE","DEEP_MEASURE_ID_OVERRIDE",$C28,"DEEP_BROKER_ID_OVERRIDE",BR$24,"DEEP_PERIOD_OVERRIDE",$H$19)*1,"")))</f>
        <v/>
      </c>
      <c r="BS28" s="17" t="str">
        <f>IF(OR(BS$23="",ISNA($B28)),"",IF(ISBLANK($B28),"",IFERROR(_xll.BDP(TICKER,"DEEP_MEASURE_PERIOD_BROKER_VALUE","DEEP_MEASURE_ID_OVERRIDE",$C28,"DEEP_BROKER_ID_OVERRIDE",BS$24,"DEEP_PERIOD_OVERRIDE",$H$19)*1,"")))</f>
        <v/>
      </c>
      <c r="BT28" s="17" t="str">
        <f>IF(OR(BT$23="",ISNA($B28)),"",IF(ISBLANK($B28),"",IFERROR(_xll.BDP(TICKER,"DEEP_MEASURE_PERIOD_BROKER_VALUE","DEEP_MEASURE_ID_OVERRIDE",$C28,"DEEP_BROKER_ID_OVERRIDE",BT$24,"DEEP_PERIOD_OVERRIDE",$H$19)*1,"")))</f>
        <v/>
      </c>
      <c r="BU28" s="17" t="str">
        <f>IF(OR(BU$23="",ISNA($B28)),"",IF(ISBLANK($B28),"",IFERROR(_xll.BDP(TICKER,"DEEP_MEASURE_PERIOD_BROKER_VALUE","DEEP_MEASURE_ID_OVERRIDE",$C28,"DEEP_BROKER_ID_OVERRIDE",BU$24,"DEEP_PERIOD_OVERRIDE",$H$19)*1,"")))</f>
        <v/>
      </c>
      <c r="BV28" s="17" t="str">
        <f>IF(OR(BV$23="",ISNA($B28)),"",IF(ISBLANK($B28),"",IFERROR(_xll.BDP(TICKER,"DEEP_MEASURE_PERIOD_BROKER_VALUE","DEEP_MEASURE_ID_OVERRIDE",$C28,"DEEP_BROKER_ID_OVERRIDE",BV$24,"DEEP_PERIOD_OVERRIDE",$H$19)*1,"")))</f>
        <v/>
      </c>
      <c r="BW28" s="17" t="str">
        <f>IF(OR(BW$23="",ISNA($B28)),"",IF(ISBLANK($B28),"",IFERROR(_xll.BDP(TICKER,"DEEP_MEASURE_PERIOD_BROKER_VALUE","DEEP_MEASURE_ID_OVERRIDE",$C28,"DEEP_BROKER_ID_OVERRIDE",BW$24,"DEEP_PERIOD_OVERRIDE",$H$19)*1,"")))</f>
        <v/>
      </c>
      <c r="BX28" s="17" t="str">
        <f>IF(OR(BX$23="",ISNA($B28)),"",IF(ISBLANK($B28),"",IFERROR(_xll.BDP(TICKER,"DEEP_MEASURE_PERIOD_BROKER_VALUE","DEEP_MEASURE_ID_OVERRIDE",$C28,"DEEP_BROKER_ID_OVERRIDE",BX$24,"DEEP_PERIOD_OVERRIDE",$H$19)*1,"")))</f>
        <v/>
      </c>
      <c r="BY28" s="17" t="str">
        <f>IF(OR(BY$23="",ISNA($B28)),"",IF(ISBLANK($B28),"",IFERROR(_xll.BDP(TICKER,"DEEP_MEASURE_PERIOD_BROKER_VALUE","DEEP_MEASURE_ID_OVERRIDE",$C28,"DEEP_BROKER_ID_OVERRIDE",BY$24,"DEEP_PERIOD_OVERRIDE",$H$19)*1,"")))</f>
        <v/>
      </c>
      <c r="BZ28" s="17" t="str">
        <f>IF(OR(BZ$23="",ISNA($B28)),"",IF(ISBLANK($B28),"",IFERROR(_xll.BDP(TICKER,"DEEP_MEASURE_PERIOD_BROKER_VALUE","DEEP_MEASURE_ID_OVERRIDE",$C28,"DEEP_BROKER_ID_OVERRIDE",BZ$24,"DEEP_PERIOD_OVERRIDE",$H$19)*1,"")))</f>
        <v/>
      </c>
    </row>
    <row r="29" spans="2:78" x14ac:dyDescent="0.25">
      <c r="B29" t="s">
        <v>83</v>
      </c>
      <c r="C29" s="11">
        <v>1921</v>
      </c>
      <c r="H29" t="str">
        <f t="shared" si="1"/>
        <v>Average Quarterly Unique Hotel Shoppers &gt; YoY Growth (%)</v>
      </c>
      <c r="I29" t="str">
        <f>IF(OR(I$23="",ISNA($B29)),"",IF(ISBLANK($B29),"",IFERROR(_xll.BDP(TICKER,"DEEP_MEASURE_PERIOD_BROKER_VALUE","DEEP_MEASURE_ID_OVERRIDE",$C29,"DEEP_PERIOD_OVERRIDE",$H$19)*1,"")))</f>
        <v/>
      </c>
      <c r="J29" t="e">
        <f>IF(OR(J$23="",ISNA($B29)),"",IF(ISBLANK($B29),"",IFERROR(_xll.BDP(TICKER,"DEEP_MEASURE_PERIOD_BROKER_VALUE","DEEP_MEASURE_ID_OVERRIDE",$C29,"DEEP_BROKER_ID_OVERRIDE",J$24,"DEEP_PERIOD_OVERRIDE",$H$19)*1,"")))</f>
        <v>#REF!</v>
      </c>
      <c r="K29" s="17" t="str">
        <f>IF(OR(K$23="",ISNA($B29)),"",IF(ISBLANK($B29),"",IFERROR(_xll.BDP(TICKER,"DEEP_MEASURE_PERIOD_BROKER_VALUE","DEEP_MEASURE_ID_OVERRIDE",$C29,"DEEP_BROKER_ID_OVERRIDE",K$24,"DEEP_PERIOD_OVERRIDE",$H$19)*1,"")))</f>
        <v/>
      </c>
      <c r="L29" s="17" t="str">
        <f>IF(OR(L$23="",ISNA($B29)),"",IF(ISBLANK($B29),"",IFERROR(_xll.BDP(TICKER,"DEEP_MEASURE_PERIOD_BROKER_VALUE","DEEP_MEASURE_ID_OVERRIDE",$C29,"DEEP_BROKER_ID_OVERRIDE",L$24,"DEEP_PERIOD_OVERRIDE",$H$19)*1,"")))</f>
        <v/>
      </c>
      <c r="M29" s="17" t="str">
        <f>IF(OR(M$23="",ISNA($B29)),"",IF(ISBLANK($B29),"",IFERROR(_xll.BDP(TICKER,"DEEP_MEASURE_PERIOD_BROKER_VALUE","DEEP_MEASURE_ID_OVERRIDE",$C29,"DEEP_BROKER_ID_OVERRIDE",M$24,"DEEP_PERIOD_OVERRIDE",$H$19)*1,"")))</f>
        <v/>
      </c>
      <c r="N29" s="17" t="str">
        <f>IF(OR(N$23="",ISNA($B29)),"",IF(ISBLANK($B29),"",IFERROR(_xll.BDP(TICKER,"DEEP_MEASURE_PERIOD_BROKER_VALUE","DEEP_MEASURE_ID_OVERRIDE",$C29,"DEEP_BROKER_ID_OVERRIDE",N$24,"DEEP_PERIOD_OVERRIDE",$H$19)*1,"")))</f>
        <v/>
      </c>
      <c r="O29" s="17" t="str">
        <f>IF(OR(O$23="",ISNA($B29)),"",IF(ISBLANK($B29),"",IFERROR(_xll.BDP(TICKER,"DEEP_MEASURE_PERIOD_BROKER_VALUE","DEEP_MEASURE_ID_OVERRIDE",$C29,"DEEP_BROKER_ID_OVERRIDE",O$24,"DEEP_PERIOD_OVERRIDE",$H$19)*1,"")))</f>
        <v/>
      </c>
      <c r="P29" s="17" t="str">
        <f>IF(OR(P$23="",ISNA($B29)),"",IF(ISBLANK($B29),"",IFERROR(_xll.BDP(TICKER,"DEEP_MEASURE_PERIOD_BROKER_VALUE","DEEP_MEASURE_ID_OVERRIDE",$C29,"DEEP_BROKER_ID_OVERRIDE",P$24,"DEEP_PERIOD_OVERRIDE",$H$19)*1,"")))</f>
        <v/>
      </c>
      <c r="Q29" s="17" t="str">
        <f>IF(OR(Q$23="",ISNA($B29)),"",IF(ISBLANK($B29),"",IFERROR(_xll.BDP(TICKER,"DEEP_MEASURE_PERIOD_BROKER_VALUE","DEEP_MEASURE_ID_OVERRIDE",$C29,"DEEP_BROKER_ID_OVERRIDE",Q$24,"DEEP_PERIOD_OVERRIDE",$H$19)*1,"")))</f>
        <v/>
      </c>
      <c r="R29" s="17" t="str">
        <f>IF(OR(R$23="",ISNA($B29)),"",IF(ISBLANK($B29),"",IFERROR(_xll.BDP(TICKER,"DEEP_MEASURE_PERIOD_BROKER_VALUE","DEEP_MEASURE_ID_OVERRIDE",$C29,"DEEP_BROKER_ID_OVERRIDE",R$24,"DEEP_PERIOD_OVERRIDE",$H$19)*1,"")))</f>
        <v/>
      </c>
      <c r="S29" s="17" t="str">
        <f>IF(OR(S$23="",ISNA($B29)),"",IF(ISBLANK($B29),"",IFERROR(_xll.BDP(TICKER,"DEEP_MEASURE_PERIOD_BROKER_VALUE","DEEP_MEASURE_ID_OVERRIDE",$C29,"DEEP_BROKER_ID_OVERRIDE",S$24,"DEEP_PERIOD_OVERRIDE",$H$19)*1,"")))</f>
        <v/>
      </c>
      <c r="T29" s="17" t="str">
        <f>IF(OR(T$23="",ISNA($B29)),"",IF(ISBLANK($B29),"",IFERROR(_xll.BDP(TICKER,"DEEP_MEASURE_PERIOD_BROKER_VALUE","DEEP_MEASURE_ID_OVERRIDE",$C29,"DEEP_BROKER_ID_OVERRIDE",T$24,"DEEP_PERIOD_OVERRIDE",$H$19)*1,"")))</f>
        <v/>
      </c>
      <c r="U29" s="17" t="str">
        <f>IF(OR(U$23="",ISNA($B29)),"",IF(ISBLANK($B29),"",IFERROR(_xll.BDP(TICKER,"DEEP_MEASURE_PERIOD_BROKER_VALUE","DEEP_MEASURE_ID_OVERRIDE",$C29,"DEEP_BROKER_ID_OVERRIDE",U$24,"DEEP_PERIOD_OVERRIDE",$H$19)*1,"")))</f>
        <v/>
      </c>
      <c r="V29" s="17" t="str">
        <f>IF(OR(V$23="",ISNA($B29)),"",IF(ISBLANK($B29),"",IFERROR(_xll.BDP(TICKER,"DEEP_MEASURE_PERIOD_BROKER_VALUE","DEEP_MEASURE_ID_OVERRIDE",$C29,"DEEP_BROKER_ID_OVERRIDE",V$24,"DEEP_PERIOD_OVERRIDE",$H$19)*1,"")))</f>
        <v/>
      </c>
      <c r="W29" s="17" t="str">
        <f>IF(OR(W$23="",ISNA($B29)),"",IF(ISBLANK($B29),"",IFERROR(_xll.BDP(TICKER,"DEEP_MEASURE_PERIOD_BROKER_VALUE","DEEP_MEASURE_ID_OVERRIDE",$C29,"DEEP_BROKER_ID_OVERRIDE",W$24,"DEEP_PERIOD_OVERRIDE",$H$19)*1,"")))</f>
        <v/>
      </c>
      <c r="X29" s="17" t="str">
        <f>IF(OR(X$23="",ISNA($B29)),"",IF(ISBLANK($B29),"",IFERROR(_xll.BDP(TICKER,"DEEP_MEASURE_PERIOD_BROKER_VALUE","DEEP_MEASURE_ID_OVERRIDE",$C29,"DEEP_BROKER_ID_OVERRIDE",X$24,"DEEP_PERIOD_OVERRIDE",$H$19)*1,"")))</f>
        <v/>
      </c>
      <c r="Y29" s="17" t="str">
        <f>IF(OR(Y$23="",ISNA($B29)),"",IF(ISBLANK($B29),"",IFERROR(_xll.BDP(TICKER,"DEEP_MEASURE_PERIOD_BROKER_VALUE","DEEP_MEASURE_ID_OVERRIDE",$C29,"DEEP_BROKER_ID_OVERRIDE",Y$24,"DEEP_PERIOD_OVERRIDE",$H$19)*1,"")))</f>
        <v/>
      </c>
      <c r="Z29" s="17" t="str">
        <f>IF(OR(Z$23="",ISNA($B29)),"",IF(ISBLANK($B29),"",IFERROR(_xll.BDP(TICKER,"DEEP_MEASURE_PERIOD_BROKER_VALUE","DEEP_MEASURE_ID_OVERRIDE",$C29,"DEEP_BROKER_ID_OVERRIDE",Z$24,"DEEP_PERIOD_OVERRIDE",$H$19)*1,"")))</f>
        <v/>
      </c>
      <c r="AA29" s="17" t="str">
        <f>IF(OR(AA$23="",ISNA($B29)),"",IF(ISBLANK($B29),"",IFERROR(_xll.BDP(TICKER,"DEEP_MEASURE_PERIOD_BROKER_VALUE","DEEP_MEASURE_ID_OVERRIDE",$C29,"DEEP_BROKER_ID_OVERRIDE",AA$24,"DEEP_PERIOD_OVERRIDE",$H$19)*1,"")))</f>
        <v/>
      </c>
      <c r="AB29" s="17" t="str">
        <f>IF(OR(AB$23="",ISNA($B29)),"",IF(ISBLANK($B29),"",IFERROR(_xll.BDP(TICKER,"DEEP_MEASURE_PERIOD_BROKER_VALUE","DEEP_MEASURE_ID_OVERRIDE",$C29,"DEEP_BROKER_ID_OVERRIDE",AB$24,"DEEP_PERIOD_OVERRIDE",$H$19)*1,"")))</f>
        <v/>
      </c>
      <c r="AC29" s="17" t="str">
        <f>IF(OR(AC$23="",ISNA($B29)),"",IF(ISBLANK($B29),"",IFERROR(_xll.BDP(TICKER,"DEEP_MEASURE_PERIOD_BROKER_VALUE","DEEP_MEASURE_ID_OVERRIDE",$C29,"DEEP_BROKER_ID_OVERRIDE",AC$24,"DEEP_PERIOD_OVERRIDE",$H$19)*1,"")))</f>
        <v/>
      </c>
      <c r="AD29" s="17" t="str">
        <f>IF(OR(AD$23="",ISNA($B29)),"",IF(ISBLANK($B29),"",IFERROR(_xll.BDP(TICKER,"DEEP_MEASURE_PERIOD_BROKER_VALUE","DEEP_MEASURE_ID_OVERRIDE",$C29,"DEEP_BROKER_ID_OVERRIDE",AD$24,"DEEP_PERIOD_OVERRIDE",$H$19)*1,"")))</f>
        <v/>
      </c>
      <c r="AE29" s="17" t="str">
        <f>IF(OR(AE$23="",ISNA($B29)),"",IF(ISBLANK($B29),"",IFERROR(_xll.BDP(TICKER,"DEEP_MEASURE_PERIOD_BROKER_VALUE","DEEP_MEASURE_ID_OVERRIDE",$C29,"DEEP_BROKER_ID_OVERRIDE",AE$24,"DEEP_PERIOD_OVERRIDE",$H$19)*1,"")))</f>
        <v/>
      </c>
      <c r="AF29" s="17" t="str">
        <f>IF(OR(AF$23="",ISNA($B29)),"",IF(ISBLANK($B29),"",IFERROR(_xll.BDP(TICKER,"DEEP_MEASURE_PERIOD_BROKER_VALUE","DEEP_MEASURE_ID_OVERRIDE",$C29,"DEEP_BROKER_ID_OVERRIDE",AF$24,"DEEP_PERIOD_OVERRIDE",$H$19)*1,"")))</f>
        <v/>
      </c>
      <c r="AG29" s="17" t="str">
        <f>IF(OR(AG$23="",ISNA($B29)),"",IF(ISBLANK($B29),"",IFERROR(_xll.BDP(TICKER,"DEEP_MEASURE_PERIOD_BROKER_VALUE","DEEP_MEASURE_ID_OVERRIDE",$C29,"DEEP_BROKER_ID_OVERRIDE",AG$24,"DEEP_PERIOD_OVERRIDE",$H$19)*1,"")))</f>
        <v/>
      </c>
      <c r="AH29" s="17" t="str">
        <f>IF(OR(AH$23="",ISNA($B29)),"",IF(ISBLANK($B29),"",IFERROR(_xll.BDP(TICKER,"DEEP_MEASURE_PERIOD_BROKER_VALUE","DEEP_MEASURE_ID_OVERRIDE",$C29,"DEEP_BROKER_ID_OVERRIDE",AH$24,"DEEP_PERIOD_OVERRIDE",$H$19)*1,"")))</f>
        <v/>
      </c>
      <c r="AI29" s="17" t="str">
        <f>IF(OR(AI$23="",ISNA($B29)),"",IF(ISBLANK($B29),"",IFERROR(_xll.BDP(TICKER,"DEEP_MEASURE_PERIOD_BROKER_VALUE","DEEP_MEASURE_ID_OVERRIDE",$C29,"DEEP_BROKER_ID_OVERRIDE",AI$24,"DEEP_PERIOD_OVERRIDE",$H$19)*1,"")))</f>
        <v/>
      </c>
      <c r="AJ29" s="17" t="str">
        <f>IF(OR(AJ$23="",ISNA($B29)),"",IF(ISBLANK($B29),"",IFERROR(_xll.BDP(TICKER,"DEEP_MEASURE_PERIOD_BROKER_VALUE","DEEP_MEASURE_ID_OVERRIDE",$C29,"DEEP_BROKER_ID_OVERRIDE",AJ$24,"DEEP_PERIOD_OVERRIDE",$H$19)*1,"")))</f>
        <v/>
      </c>
      <c r="AK29" s="17" t="str">
        <f>IF(OR(AK$23="",ISNA($B29)),"",IF(ISBLANK($B29),"",IFERROR(_xll.BDP(TICKER,"DEEP_MEASURE_PERIOD_BROKER_VALUE","DEEP_MEASURE_ID_OVERRIDE",$C29,"DEEP_BROKER_ID_OVERRIDE",AK$24,"DEEP_PERIOD_OVERRIDE",$H$19)*1,"")))</f>
        <v/>
      </c>
      <c r="AL29" s="17" t="str">
        <f>IF(OR(AL$23="",ISNA($B29)),"",IF(ISBLANK($B29),"",IFERROR(_xll.BDP(TICKER,"DEEP_MEASURE_PERIOD_BROKER_VALUE","DEEP_MEASURE_ID_OVERRIDE",$C29,"DEEP_BROKER_ID_OVERRIDE",AL$24,"DEEP_PERIOD_OVERRIDE",$H$19)*1,"")))</f>
        <v/>
      </c>
      <c r="AM29" s="17" t="str">
        <f>IF(OR(AM$23="",ISNA($B29)),"",IF(ISBLANK($B29),"",IFERROR(_xll.BDP(TICKER,"DEEP_MEASURE_PERIOD_BROKER_VALUE","DEEP_MEASURE_ID_OVERRIDE",$C29,"DEEP_BROKER_ID_OVERRIDE",AM$24,"DEEP_PERIOD_OVERRIDE",$H$19)*1,"")))</f>
        <v/>
      </c>
      <c r="AN29" s="17" t="str">
        <f>IF(OR(AN$23="",ISNA($B29)),"",IF(ISBLANK($B29),"",IFERROR(_xll.BDP(TICKER,"DEEP_MEASURE_PERIOD_BROKER_VALUE","DEEP_MEASURE_ID_OVERRIDE",$C29,"DEEP_BROKER_ID_OVERRIDE",AN$24,"DEEP_PERIOD_OVERRIDE",$H$19)*1,"")))</f>
        <v/>
      </c>
      <c r="AO29" s="17" t="str">
        <f>IF(OR(AO$23="",ISNA($B29)),"",IF(ISBLANK($B29),"",IFERROR(_xll.BDP(TICKER,"DEEP_MEASURE_PERIOD_BROKER_VALUE","DEEP_MEASURE_ID_OVERRIDE",$C29,"DEEP_BROKER_ID_OVERRIDE",AO$24,"DEEP_PERIOD_OVERRIDE",$H$19)*1,"")))</f>
        <v/>
      </c>
      <c r="AP29" s="17" t="str">
        <f>IF(OR(AP$23="",ISNA($B29)),"",IF(ISBLANK($B29),"",IFERROR(_xll.BDP(TICKER,"DEEP_MEASURE_PERIOD_BROKER_VALUE","DEEP_MEASURE_ID_OVERRIDE",$C29,"DEEP_BROKER_ID_OVERRIDE",AP$24,"DEEP_PERIOD_OVERRIDE",$H$19)*1,"")))</f>
        <v/>
      </c>
      <c r="AQ29" s="17" t="str">
        <f>IF(OR(AQ$23="",ISNA($B29)),"",IF(ISBLANK($B29),"",IFERROR(_xll.BDP(TICKER,"DEEP_MEASURE_PERIOD_BROKER_VALUE","DEEP_MEASURE_ID_OVERRIDE",$C29,"DEEP_BROKER_ID_OVERRIDE",AQ$24,"DEEP_PERIOD_OVERRIDE",$H$19)*1,"")))</f>
        <v/>
      </c>
      <c r="AR29" s="17" t="str">
        <f>IF(OR(AR$23="",ISNA($B29)),"",IF(ISBLANK($B29),"",IFERROR(_xll.BDP(TICKER,"DEEP_MEASURE_PERIOD_BROKER_VALUE","DEEP_MEASURE_ID_OVERRIDE",$C29,"DEEP_BROKER_ID_OVERRIDE",AR$24,"DEEP_PERIOD_OVERRIDE",$H$19)*1,"")))</f>
        <v/>
      </c>
      <c r="AS29" s="17" t="str">
        <f>IF(OR(AS$23="",ISNA($B29)),"",IF(ISBLANK($B29),"",IFERROR(_xll.BDP(TICKER,"DEEP_MEASURE_PERIOD_BROKER_VALUE","DEEP_MEASURE_ID_OVERRIDE",$C29,"DEEP_BROKER_ID_OVERRIDE",AS$24,"DEEP_PERIOD_OVERRIDE",$H$19)*1,"")))</f>
        <v/>
      </c>
      <c r="AT29" s="17" t="str">
        <f>IF(OR(AT$23="",ISNA($B29)),"",IF(ISBLANK($B29),"",IFERROR(_xll.BDP(TICKER,"DEEP_MEASURE_PERIOD_BROKER_VALUE","DEEP_MEASURE_ID_OVERRIDE",$C29,"DEEP_BROKER_ID_OVERRIDE",AT$24,"DEEP_PERIOD_OVERRIDE",$H$19)*1,"")))</f>
        <v/>
      </c>
      <c r="AU29" s="17" t="str">
        <f>IF(OR(AU$23="",ISNA($B29)),"",IF(ISBLANK($B29),"",IFERROR(_xll.BDP(TICKER,"DEEP_MEASURE_PERIOD_BROKER_VALUE","DEEP_MEASURE_ID_OVERRIDE",$C29,"DEEP_BROKER_ID_OVERRIDE",AU$24,"DEEP_PERIOD_OVERRIDE",$H$19)*1,"")))</f>
        <v/>
      </c>
      <c r="AV29" s="17" t="str">
        <f>IF(OR(AV$23="",ISNA($B29)),"",IF(ISBLANK($B29),"",IFERROR(_xll.BDP(TICKER,"DEEP_MEASURE_PERIOD_BROKER_VALUE","DEEP_MEASURE_ID_OVERRIDE",$C29,"DEEP_BROKER_ID_OVERRIDE",AV$24,"DEEP_PERIOD_OVERRIDE",$H$19)*1,"")))</f>
        <v/>
      </c>
      <c r="AW29" s="17" t="str">
        <f>IF(OR(AW$23="",ISNA($B29)),"",IF(ISBLANK($B29),"",IFERROR(_xll.BDP(TICKER,"DEEP_MEASURE_PERIOD_BROKER_VALUE","DEEP_MEASURE_ID_OVERRIDE",$C29,"DEEP_BROKER_ID_OVERRIDE",AW$24,"DEEP_PERIOD_OVERRIDE",$H$19)*1,"")))</f>
        <v/>
      </c>
      <c r="AX29" s="17" t="str">
        <f>IF(OR(AX$23="",ISNA($B29)),"",IF(ISBLANK($B29),"",IFERROR(_xll.BDP(TICKER,"DEEP_MEASURE_PERIOD_BROKER_VALUE","DEEP_MEASURE_ID_OVERRIDE",$C29,"DEEP_BROKER_ID_OVERRIDE",AX$24,"DEEP_PERIOD_OVERRIDE",$H$19)*1,"")))</f>
        <v/>
      </c>
      <c r="AY29" s="17" t="str">
        <f>IF(OR(AY$23="",ISNA($B29)),"",IF(ISBLANK($B29),"",IFERROR(_xll.BDP(TICKER,"DEEP_MEASURE_PERIOD_BROKER_VALUE","DEEP_MEASURE_ID_OVERRIDE",$C29,"DEEP_BROKER_ID_OVERRIDE",AY$24,"DEEP_PERIOD_OVERRIDE",$H$19)*1,"")))</f>
        <v/>
      </c>
      <c r="AZ29" s="17" t="str">
        <f>IF(OR(AZ$23="",ISNA($B29)),"",IF(ISBLANK($B29),"",IFERROR(_xll.BDP(TICKER,"DEEP_MEASURE_PERIOD_BROKER_VALUE","DEEP_MEASURE_ID_OVERRIDE",$C29,"DEEP_BROKER_ID_OVERRIDE",AZ$24,"DEEP_PERIOD_OVERRIDE",$H$19)*1,"")))</f>
        <v/>
      </c>
      <c r="BA29" s="17" t="str">
        <f>IF(OR(BA$23="",ISNA($B29)),"",IF(ISBLANK($B29),"",IFERROR(_xll.BDP(TICKER,"DEEP_MEASURE_PERIOD_BROKER_VALUE","DEEP_MEASURE_ID_OVERRIDE",$C29,"DEEP_BROKER_ID_OVERRIDE",BA$24,"DEEP_PERIOD_OVERRIDE",$H$19)*1,"")))</f>
        <v/>
      </c>
      <c r="BB29" s="17" t="str">
        <f>IF(OR(BB$23="",ISNA($B29)),"",IF(ISBLANK($B29),"",IFERROR(_xll.BDP(TICKER,"DEEP_MEASURE_PERIOD_BROKER_VALUE","DEEP_MEASURE_ID_OVERRIDE",$C29,"DEEP_BROKER_ID_OVERRIDE",BB$24,"DEEP_PERIOD_OVERRIDE",$H$19)*1,"")))</f>
        <v/>
      </c>
      <c r="BC29" s="17" t="str">
        <f>IF(OR(BC$23="",ISNA($B29)),"",IF(ISBLANK($B29),"",IFERROR(_xll.BDP(TICKER,"DEEP_MEASURE_PERIOD_BROKER_VALUE","DEEP_MEASURE_ID_OVERRIDE",$C29,"DEEP_BROKER_ID_OVERRIDE",BC$24,"DEEP_PERIOD_OVERRIDE",$H$19)*1,"")))</f>
        <v/>
      </c>
      <c r="BD29" s="17" t="str">
        <f>IF(OR(BD$23="",ISNA($B29)),"",IF(ISBLANK($B29),"",IFERROR(_xll.BDP(TICKER,"DEEP_MEASURE_PERIOD_BROKER_VALUE","DEEP_MEASURE_ID_OVERRIDE",$C29,"DEEP_BROKER_ID_OVERRIDE",BD$24,"DEEP_PERIOD_OVERRIDE",$H$19)*1,"")))</f>
        <v/>
      </c>
      <c r="BE29" s="17" t="str">
        <f>IF(OR(BE$23="",ISNA($B29)),"",IF(ISBLANK($B29),"",IFERROR(_xll.BDP(TICKER,"DEEP_MEASURE_PERIOD_BROKER_VALUE","DEEP_MEASURE_ID_OVERRIDE",$C29,"DEEP_BROKER_ID_OVERRIDE",BE$24,"DEEP_PERIOD_OVERRIDE",$H$19)*1,"")))</f>
        <v/>
      </c>
      <c r="BF29" s="17" t="str">
        <f>IF(OR(BF$23="",ISNA($B29)),"",IF(ISBLANK($B29),"",IFERROR(_xll.BDP(TICKER,"DEEP_MEASURE_PERIOD_BROKER_VALUE","DEEP_MEASURE_ID_OVERRIDE",$C29,"DEEP_BROKER_ID_OVERRIDE",BF$24,"DEEP_PERIOD_OVERRIDE",$H$19)*1,"")))</f>
        <v/>
      </c>
      <c r="BG29" s="17" t="str">
        <f>IF(OR(BG$23="",ISNA($B29)),"",IF(ISBLANK($B29),"",IFERROR(_xll.BDP(TICKER,"DEEP_MEASURE_PERIOD_BROKER_VALUE","DEEP_MEASURE_ID_OVERRIDE",$C29,"DEEP_BROKER_ID_OVERRIDE",BG$24,"DEEP_PERIOD_OVERRIDE",$H$19)*1,"")))</f>
        <v/>
      </c>
      <c r="BH29" s="17" t="str">
        <f>IF(OR(BH$23="",ISNA($B29)),"",IF(ISBLANK($B29),"",IFERROR(_xll.BDP(TICKER,"DEEP_MEASURE_PERIOD_BROKER_VALUE","DEEP_MEASURE_ID_OVERRIDE",$C29,"DEEP_BROKER_ID_OVERRIDE",BH$24,"DEEP_PERIOD_OVERRIDE",$H$19)*1,"")))</f>
        <v/>
      </c>
      <c r="BI29" s="17" t="str">
        <f>IF(OR(BI$23="",ISNA($B29)),"",IF(ISBLANK($B29),"",IFERROR(_xll.BDP(TICKER,"DEEP_MEASURE_PERIOD_BROKER_VALUE","DEEP_MEASURE_ID_OVERRIDE",$C29,"DEEP_BROKER_ID_OVERRIDE",BI$24,"DEEP_PERIOD_OVERRIDE",$H$19)*1,"")))</f>
        <v/>
      </c>
      <c r="BJ29" s="17" t="str">
        <f>IF(OR(BJ$23="",ISNA($B29)),"",IF(ISBLANK($B29),"",IFERROR(_xll.BDP(TICKER,"DEEP_MEASURE_PERIOD_BROKER_VALUE","DEEP_MEASURE_ID_OVERRIDE",$C29,"DEEP_BROKER_ID_OVERRIDE",BJ$24,"DEEP_PERIOD_OVERRIDE",$H$19)*1,"")))</f>
        <v/>
      </c>
      <c r="BK29" s="17" t="str">
        <f>IF(OR(BK$23="",ISNA($B29)),"",IF(ISBLANK($B29),"",IFERROR(_xll.BDP(TICKER,"DEEP_MEASURE_PERIOD_BROKER_VALUE","DEEP_MEASURE_ID_OVERRIDE",$C29,"DEEP_BROKER_ID_OVERRIDE",BK$24,"DEEP_PERIOD_OVERRIDE",$H$19)*1,"")))</f>
        <v/>
      </c>
      <c r="BL29" s="17" t="str">
        <f>IF(OR(BL$23="",ISNA($B29)),"",IF(ISBLANK($B29),"",IFERROR(_xll.BDP(TICKER,"DEEP_MEASURE_PERIOD_BROKER_VALUE","DEEP_MEASURE_ID_OVERRIDE",$C29,"DEEP_BROKER_ID_OVERRIDE",BL$24,"DEEP_PERIOD_OVERRIDE",$H$19)*1,"")))</f>
        <v/>
      </c>
      <c r="BM29" s="17" t="str">
        <f>IF(OR(BM$23="",ISNA($B29)),"",IF(ISBLANK($B29),"",IFERROR(_xll.BDP(TICKER,"DEEP_MEASURE_PERIOD_BROKER_VALUE","DEEP_MEASURE_ID_OVERRIDE",$C29,"DEEP_BROKER_ID_OVERRIDE",BM$24,"DEEP_PERIOD_OVERRIDE",$H$19)*1,"")))</f>
        <v/>
      </c>
      <c r="BN29" s="17" t="str">
        <f>IF(OR(BN$23="",ISNA($B29)),"",IF(ISBLANK($B29),"",IFERROR(_xll.BDP(TICKER,"DEEP_MEASURE_PERIOD_BROKER_VALUE","DEEP_MEASURE_ID_OVERRIDE",$C29,"DEEP_BROKER_ID_OVERRIDE",BN$24,"DEEP_PERIOD_OVERRIDE",$H$19)*1,"")))</f>
        <v/>
      </c>
      <c r="BO29" s="17" t="str">
        <f>IF(OR(BO$23="",ISNA($B29)),"",IF(ISBLANK($B29),"",IFERROR(_xll.BDP(TICKER,"DEEP_MEASURE_PERIOD_BROKER_VALUE","DEEP_MEASURE_ID_OVERRIDE",$C29,"DEEP_BROKER_ID_OVERRIDE",BO$24,"DEEP_PERIOD_OVERRIDE",$H$19)*1,"")))</f>
        <v/>
      </c>
      <c r="BP29" s="17" t="str">
        <f>IF(OR(BP$23="",ISNA($B29)),"",IF(ISBLANK($B29),"",IFERROR(_xll.BDP(TICKER,"DEEP_MEASURE_PERIOD_BROKER_VALUE","DEEP_MEASURE_ID_OVERRIDE",$C29,"DEEP_BROKER_ID_OVERRIDE",BP$24,"DEEP_PERIOD_OVERRIDE",$H$19)*1,"")))</f>
        <v/>
      </c>
      <c r="BQ29" s="17" t="str">
        <f>IF(OR(BQ$23="",ISNA($B29)),"",IF(ISBLANK($B29),"",IFERROR(_xll.BDP(TICKER,"DEEP_MEASURE_PERIOD_BROKER_VALUE","DEEP_MEASURE_ID_OVERRIDE",$C29,"DEEP_BROKER_ID_OVERRIDE",BQ$24,"DEEP_PERIOD_OVERRIDE",$H$19)*1,"")))</f>
        <v/>
      </c>
      <c r="BR29" s="17" t="str">
        <f>IF(OR(BR$23="",ISNA($B29)),"",IF(ISBLANK($B29),"",IFERROR(_xll.BDP(TICKER,"DEEP_MEASURE_PERIOD_BROKER_VALUE","DEEP_MEASURE_ID_OVERRIDE",$C29,"DEEP_BROKER_ID_OVERRIDE",BR$24,"DEEP_PERIOD_OVERRIDE",$H$19)*1,"")))</f>
        <v/>
      </c>
      <c r="BS29" s="17" t="str">
        <f>IF(OR(BS$23="",ISNA($B29)),"",IF(ISBLANK($B29),"",IFERROR(_xll.BDP(TICKER,"DEEP_MEASURE_PERIOD_BROKER_VALUE","DEEP_MEASURE_ID_OVERRIDE",$C29,"DEEP_BROKER_ID_OVERRIDE",BS$24,"DEEP_PERIOD_OVERRIDE",$H$19)*1,"")))</f>
        <v/>
      </c>
      <c r="BT29" s="17" t="str">
        <f>IF(OR(BT$23="",ISNA($B29)),"",IF(ISBLANK($B29),"",IFERROR(_xll.BDP(TICKER,"DEEP_MEASURE_PERIOD_BROKER_VALUE","DEEP_MEASURE_ID_OVERRIDE",$C29,"DEEP_BROKER_ID_OVERRIDE",BT$24,"DEEP_PERIOD_OVERRIDE",$H$19)*1,"")))</f>
        <v/>
      </c>
      <c r="BU29" s="17" t="str">
        <f>IF(OR(BU$23="",ISNA($B29)),"",IF(ISBLANK($B29),"",IFERROR(_xll.BDP(TICKER,"DEEP_MEASURE_PERIOD_BROKER_VALUE","DEEP_MEASURE_ID_OVERRIDE",$C29,"DEEP_BROKER_ID_OVERRIDE",BU$24,"DEEP_PERIOD_OVERRIDE",$H$19)*1,"")))</f>
        <v/>
      </c>
      <c r="BV29" s="17" t="str">
        <f>IF(OR(BV$23="",ISNA($B29)),"",IF(ISBLANK($B29),"",IFERROR(_xll.BDP(TICKER,"DEEP_MEASURE_PERIOD_BROKER_VALUE","DEEP_MEASURE_ID_OVERRIDE",$C29,"DEEP_BROKER_ID_OVERRIDE",BV$24,"DEEP_PERIOD_OVERRIDE",$H$19)*1,"")))</f>
        <v/>
      </c>
      <c r="BW29" s="17" t="str">
        <f>IF(OR(BW$23="",ISNA($B29)),"",IF(ISBLANK($B29),"",IFERROR(_xll.BDP(TICKER,"DEEP_MEASURE_PERIOD_BROKER_VALUE","DEEP_MEASURE_ID_OVERRIDE",$C29,"DEEP_BROKER_ID_OVERRIDE",BW$24,"DEEP_PERIOD_OVERRIDE",$H$19)*1,"")))</f>
        <v/>
      </c>
      <c r="BX29" s="17" t="str">
        <f>IF(OR(BX$23="",ISNA($B29)),"",IF(ISBLANK($B29),"",IFERROR(_xll.BDP(TICKER,"DEEP_MEASURE_PERIOD_BROKER_VALUE","DEEP_MEASURE_ID_OVERRIDE",$C29,"DEEP_BROKER_ID_OVERRIDE",BX$24,"DEEP_PERIOD_OVERRIDE",$H$19)*1,"")))</f>
        <v/>
      </c>
      <c r="BY29" s="17" t="str">
        <f>IF(OR(BY$23="",ISNA($B29)),"",IF(ISBLANK($B29),"",IFERROR(_xll.BDP(TICKER,"DEEP_MEASURE_PERIOD_BROKER_VALUE","DEEP_MEASURE_ID_OVERRIDE",$C29,"DEEP_BROKER_ID_OVERRIDE",BY$24,"DEEP_PERIOD_OVERRIDE",$H$19)*1,"")))</f>
        <v/>
      </c>
      <c r="BZ29" s="17" t="str">
        <f>IF(OR(BZ$23="",ISNA($B29)),"",IF(ISBLANK($B29),"",IFERROR(_xll.BDP(TICKER,"DEEP_MEASURE_PERIOD_BROKER_VALUE","DEEP_MEASURE_ID_OVERRIDE",$C29,"DEEP_BROKER_ID_OVERRIDE",BZ$24,"DEEP_PERIOD_OVERRIDE",$H$19)*1,"")))</f>
        <v/>
      </c>
    </row>
    <row r="30" spans="2:78" x14ac:dyDescent="0.25">
      <c r="B30" t="s">
        <v>39</v>
      </c>
      <c r="C30" s="11">
        <v>1702</v>
      </c>
      <c r="H30" t="str">
        <f t="shared" si="1"/>
        <v>Total2) 33/64Average2) 33/64Unique2) 33/64Monthly2) 33/64Hotel Shoppers for the Period</v>
      </c>
      <c r="I30" t="str">
        <f>IF(OR(I$23="",ISNA($B30)),"",IF(ISBLANK($B30),"",IFERROR(_xll.BDP(TICKER,"DEEP_MEASURE_PERIOD_BROKER_VALUE","DEEP_MEASURE_ID_OVERRIDE",$C30,"DEEP_PERIOD_OVERRIDE",$H$19)*1,"")))</f>
        <v/>
      </c>
      <c r="J30" t="e">
        <f>IF(OR(J$23="",ISNA($B30)),"",IF(ISBLANK($B30),"",IFERROR(_xll.BDP(TICKER,"DEEP_MEASURE_PERIOD_BROKER_VALUE","DEEP_MEASURE_ID_OVERRIDE",$C30,"DEEP_BROKER_ID_OVERRIDE",J$24,"DEEP_PERIOD_OVERRIDE",$H$19)*1,"")))</f>
        <v>#REF!</v>
      </c>
      <c r="K30" s="17" t="str">
        <f>IF(OR(K$23="",ISNA($B30)),"",IF(ISBLANK($B30),"",IFERROR(_xll.BDP(TICKER,"DEEP_MEASURE_PERIOD_BROKER_VALUE","DEEP_MEASURE_ID_OVERRIDE",$C30,"DEEP_BROKER_ID_OVERRIDE",K$24,"DEEP_PERIOD_OVERRIDE",$H$19)*1,"")))</f>
        <v/>
      </c>
      <c r="L30" s="17" t="str">
        <f>IF(OR(L$23="",ISNA($B30)),"",IF(ISBLANK($B30),"",IFERROR(_xll.BDP(TICKER,"DEEP_MEASURE_PERIOD_BROKER_VALUE","DEEP_MEASURE_ID_OVERRIDE",$C30,"DEEP_BROKER_ID_OVERRIDE",L$24,"DEEP_PERIOD_OVERRIDE",$H$19)*1,"")))</f>
        <v/>
      </c>
      <c r="M30" s="17" t="str">
        <f>IF(OR(M$23="",ISNA($B30)),"",IF(ISBLANK($B30),"",IFERROR(_xll.BDP(TICKER,"DEEP_MEASURE_PERIOD_BROKER_VALUE","DEEP_MEASURE_ID_OVERRIDE",$C30,"DEEP_BROKER_ID_OVERRIDE",M$24,"DEEP_PERIOD_OVERRIDE",$H$19)*1,"")))</f>
        <v/>
      </c>
      <c r="N30" s="17" t="str">
        <f>IF(OR(N$23="",ISNA($B30)),"",IF(ISBLANK($B30),"",IFERROR(_xll.BDP(TICKER,"DEEP_MEASURE_PERIOD_BROKER_VALUE","DEEP_MEASURE_ID_OVERRIDE",$C30,"DEEP_BROKER_ID_OVERRIDE",N$24,"DEEP_PERIOD_OVERRIDE",$H$19)*1,"")))</f>
        <v/>
      </c>
      <c r="O30" s="17" t="str">
        <f>IF(OR(O$23="",ISNA($B30)),"",IF(ISBLANK($B30),"",IFERROR(_xll.BDP(TICKER,"DEEP_MEASURE_PERIOD_BROKER_VALUE","DEEP_MEASURE_ID_OVERRIDE",$C30,"DEEP_BROKER_ID_OVERRIDE",O$24,"DEEP_PERIOD_OVERRIDE",$H$19)*1,"")))</f>
        <v/>
      </c>
      <c r="P30" s="17" t="str">
        <f>IF(OR(P$23="",ISNA($B30)),"",IF(ISBLANK($B30),"",IFERROR(_xll.BDP(TICKER,"DEEP_MEASURE_PERIOD_BROKER_VALUE","DEEP_MEASURE_ID_OVERRIDE",$C30,"DEEP_BROKER_ID_OVERRIDE",P$24,"DEEP_PERIOD_OVERRIDE",$H$19)*1,"")))</f>
        <v/>
      </c>
      <c r="Q30" s="17" t="str">
        <f>IF(OR(Q$23="",ISNA($B30)),"",IF(ISBLANK($B30),"",IFERROR(_xll.BDP(TICKER,"DEEP_MEASURE_PERIOD_BROKER_VALUE","DEEP_MEASURE_ID_OVERRIDE",$C30,"DEEP_BROKER_ID_OVERRIDE",Q$24,"DEEP_PERIOD_OVERRIDE",$H$19)*1,"")))</f>
        <v/>
      </c>
      <c r="R30" s="17" t="str">
        <f>IF(OR(R$23="",ISNA($B30)),"",IF(ISBLANK($B30),"",IFERROR(_xll.BDP(TICKER,"DEEP_MEASURE_PERIOD_BROKER_VALUE","DEEP_MEASURE_ID_OVERRIDE",$C30,"DEEP_BROKER_ID_OVERRIDE",R$24,"DEEP_PERIOD_OVERRIDE",$H$19)*1,"")))</f>
        <v/>
      </c>
      <c r="S30" s="17" t="str">
        <f>IF(OR(S$23="",ISNA($B30)),"",IF(ISBLANK($B30),"",IFERROR(_xll.BDP(TICKER,"DEEP_MEASURE_PERIOD_BROKER_VALUE","DEEP_MEASURE_ID_OVERRIDE",$C30,"DEEP_BROKER_ID_OVERRIDE",S$24,"DEEP_PERIOD_OVERRIDE",$H$19)*1,"")))</f>
        <v/>
      </c>
      <c r="T30" s="17" t="str">
        <f>IF(OR(T$23="",ISNA($B30)),"",IF(ISBLANK($B30),"",IFERROR(_xll.BDP(TICKER,"DEEP_MEASURE_PERIOD_BROKER_VALUE","DEEP_MEASURE_ID_OVERRIDE",$C30,"DEEP_BROKER_ID_OVERRIDE",T$24,"DEEP_PERIOD_OVERRIDE",$H$19)*1,"")))</f>
        <v/>
      </c>
      <c r="U30" s="17" t="str">
        <f>IF(OR(U$23="",ISNA($B30)),"",IF(ISBLANK($B30),"",IFERROR(_xll.BDP(TICKER,"DEEP_MEASURE_PERIOD_BROKER_VALUE","DEEP_MEASURE_ID_OVERRIDE",$C30,"DEEP_BROKER_ID_OVERRIDE",U$24,"DEEP_PERIOD_OVERRIDE",$H$19)*1,"")))</f>
        <v/>
      </c>
      <c r="V30" s="17" t="str">
        <f>IF(OR(V$23="",ISNA($B30)),"",IF(ISBLANK($B30),"",IFERROR(_xll.BDP(TICKER,"DEEP_MEASURE_PERIOD_BROKER_VALUE","DEEP_MEASURE_ID_OVERRIDE",$C30,"DEEP_BROKER_ID_OVERRIDE",V$24,"DEEP_PERIOD_OVERRIDE",$H$19)*1,"")))</f>
        <v/>
      </c>
      <c r="W30" s="17" t="str">
        <f>IF(OR(W$23="",ISNA($B30)),"",IF(ISBLANK($B30),"",IFERROR(_xll.BDP(TICKER,"DEEP_MEASURE_PERIOD_BROKER_VALUE","DEEP_MEASURE_ID_OVERRIDE",$C30,"DEEP_BROKER_ID_OVERRIDE",W$24,"DEEP_PERIOD_OVERRIDE",$H$19)*1,"")))</f>
        <v/>
      </c>
      <c r="X30" s="17" t="str">
        <f>IF(OR(X$23="",ISNA($B30)),"",IF(ISBLANK($B30),"",IFERROR(_xll.BDP(TICKER,"DEEP_MEASURE_PERIOD_BROKER_VALUE","DEEP_MEASURE_ID_OVERRIDE",$C30,"DEEP_BROKER_ID_OVERRIDE",X$24,"DEEP_PERIOD_OVERRIDE",$H$19)*1,"")))</f>
        <v/>
      </c>
      <c r="Y30" s="17" t="str">
        <f>IF(OR(Y$23="",ISNA($B30)),"",IF(ISBLANK($B30),"",IFERROR(_xll.BDP(TICKER,"DEEP_MEASURE_PERIOD_BROKER_VALUE","DEEP_MEASURE_ID_OVERRIDE",$C30,"DEEP_BROKER_ID_OVERRIDE",Y$24,"DEEP_PERIOD_OVERRIDE",$H$19)*1,"")))</f>
        <v/>
      </c>
      <c r="Z30" s="17" t="str">
        <f>IF(OR(Z$23="",ISNA($B30)),"",IF(ISBLANK($B30),"",IFERROR(_xll.BDP(TICKER,"DEEP_MEASURE_PERIOD_BROKER_VALUE","DEEP_MEASURE_ID_OVERRIDE",$C30,"DEEP_BROKER_ID_OVERRIDE",Z$24,"DEEP_PERIOD_OVERRIDE",$H$19)*1,"")))</f>
        <v/>
      </c>
      <c r="AA30" s="17" t="str">
        <f>IF(OR(AA$23="",ISNA($B30)),"",IF(ISBLANK($B30),"",IFERROR(_xll.BDP(TICKER,"DEEP_MEASURE_PERIOD_BROKER_VALUE","DEEP_MEASURE_ID_OVERRIDE",$C30,"DEEP_BROKER_ID_OVERRIDE",AA$24,"DEEP_PERIOD_OVERRIDE",$H$19)*1,"")))</f>
        <v/>
      </c>
      <c r="AB30" s="17" t="str">
        <f>IF(OR(AB$23="",ISNA($B30)),"",IF(ISBLANK($B30),"",IFERROR(_xll.BDP(TICKER,"DEEP_MEASURE_PERIOD_BROKER_VALUE","DEEP_MEASURE_ID_OVERRIDE",$C30,"DEEP_BROKER_ID_OVERRIDE",AB$24,"DEEP_PERIOD_OVERRIDE",$H$19)*1,"")))</f>
        <v/>
      </c>
      <c r="AC30" s="17" t="str">
        <f>IF(OR(AC$23="",ISNA($B30)),"",IF(ISBLANK($B30),"",IFERROR(_xll.BDP(TICKER,"DEEP_MEASURE_PERIOD_BROKER_VALUE","DEEP_MEASURE_ID_OVERRIDE",$C30,"DEEP_BROKER_ID_OVERRIDE",AC$24,"DEEP_PERIOD_OVERRIDE",$H$19)*1,"")))</f>
        <v/>
      </c>
      <c r="AD30" s="17" t="str">
        <f>IF(OR(AD$23="",ISNA($B30)),"",IF(ISBLANK($B30),"",IFERROR(_xll.BDP(TICKER,"DEEP_MEASURE_PERIOD_BROKER_VALUE","DEEP_MEASURE_ID_OVERRIDE",$C30,"DEEP_BROKER_ID_OVERRIDE",AD$24,"DEEP_PERIOD_OVERRIDE",$H$19)*1,"")))</f>
        <v/>
      </c>
      <c r="AE30" s="17" t="str">
        <f>IF(OR(AE$23="",ISNA($B30)),"",IF(ISBLANK($B30),"",IFERROR(_xll.BDP(TICKER,"DEEP_MEASURE_PERIOD_BROKER_VALUE","DEEP_MEASURE_ID_OVERRIDE",$C30,"DEEP_BROKER_ID_OVERRIDE",AE$24,"DEEP_PERIOD_OVERRIDE",$H$19)*1,"")))</f>
        <v/>
      </c>
      <c r="AF30" s="17" t="str">
        <f>IF(OR(AF$23="",ISNA($B30)),"",IF(ISBLANK($B30),"",IFERROR(_xll.BDP(TICKER,"DEEP_MEASURE_PERIOD_BROKER_VALUE","DEEP_MEASURE_ID_OVERRIDE",$C30,"DEEP_BROKER_ID_OVERRIDE",AF$24,"DEEP_PERIOD_OVERRIDE",$H$19)*1,"")))</f>
        <v/>
      </c>
      <c r="AG30" s="17" t="str">
        <f>IF(OR(AG$23="",ISNA($B30)),"",IF(ISBLANK($B30),"",IFERROR(_xll.BDP(TICKER,"DEEP_MEASURE_PERIOD_BROKER_VALUE","DEEP_MEASURE_ID_OVERRIDE",$C30,"DEEP_BROKER_ID_OVERRIDE",AG$24,"DEEP_PERIOD_OVERRIDE",$H$19)*1,"")))</f>
        <v/>
      </c>
      <c r="AH30" s="17" t="str">
        <f>IF(OR(AH$23="",ISNA($B30)),"",IF(ISBLANK($B30),"",IFERROR(_xll.BDP(TICKER,"DEEP_MEASURE_PERIOD_BROKER_VALUE","DEEP_MEASURE_ID_OVERRIDE",$C30,"DEEP_BROKER_ID_OVERRIDE",AH$24,"DEEP_PERIOD_OVERRIDE",$H$19)*1,"")))</f>
        <v/>
      </c>
      <c r="AI30" s="17" t="str">
        <f>IF(OR(AI$23="",ISNA($B30)),"",IF(ISBLANK($B30),"",IFERROR(_xll.BDP(TICKER,"DEEP_MEASURE_PERIOD_BROKER_VALUE","DEEP_MEASURE_ID_OVERRIDE",$C30,"DEEP_BROKER_ID_OVERRIDE",AI$24,"DEEP_PERIOD_OVERRIDE",$H$19)*1,"")))</f>
        <v/>
      </c>
      <c r="AJ30" s="17" t="str">
        <f>IF(OR(AJ$23="",ISNA($B30)),"",IF(ISBLANK($B30),"",IFERROR(_xll.BDP(TICKER,"DEEP_MEASURE_PERIOD_BROKER_VALUE","DEEP_MEASURE_ID_OVERRIDE",$C30,"DEEP_BROKER_ID_OVERRIDE",AJ$24,"DEEP_PERIOD_OVERRIDE",$H$19)*1,"")))</f>
        <v/>
      </c>
      <c r="AK30" s="17" t="str">
        <f>IF(OR(AK$23="",ISNA($B30)),"",IF(ISBLANK($B30),"",IFERROR(_xll.BDP(TICKER,"DEEP_MEASURE_PERIOD_BROKER_VALUE","DEEP_MEASURE_ID_OVERRIDE",$C30,"DEEP_BROKER_ID_OVERRIDE",AK$24,"DEEP_PERIOD_OVERRIDE",$H$19)*1,"")))</f>
        <v/>
      </c>
      <c r="AL30" s="17" t="str">
        <f>IF(OR(AL$23="",ISNA($B30)),"",IF(ISBLANK($B30),"",IFERROR(_xll.BDP(TICKER,"DEEP_MEASURE_PERIOD_BROKER_VALUE","DEEP_MEASURE_ID_OVERRIDE",$C30,"DEEP_BROKER_ID_OVERRIDE",AL$24,"DEEP_PERIOD_OVERRIDE",$H$19)*1,"")))</f>
        <v/>
      </c>
      <c r="AM30" s="17" t="str">
        <f>IF(OR(AM$23="",ISNA($B30)),"",IF(ISBLANK($B30),"",IFERROR(_xll.BDP(TICKER,"DEEP_MEASURE_PERIOD_BROKER_VALUE","DEEP_MEASURE_ID_OVERRIDE",$C30,"DEEP_BROKER_ID_OVERRIDE",AM$24,"DEEP_PERIOD_OVERRIDE",$H$19)*1,"")))</f>
        <v/>
      </c>
      <c r="AN30" s="17" t="str">
        <f>IF(OR(AN$23="",ISNA($B30)),"",IF(ISBLANK($B30),"",IFERROR(_xll.BDP(TICKER,"DEEP_MEASURE_PERIOD_BROKER_VALUE","DEEP_MEASURE_ID_OVERRIDE",$C30,"DEEP_BROKER_ID_OVERRIDE",AN$24,"DEEP_PERIOD_OVERRIDE",$H$19)*1,"")))</f>
        <v/>
      </c>
      <c r="AO30" s="17" t="str">
        <f>IF(OR(AO$23="",ISNA($B30)),"",IF(ISBLANK($B30),"",IFERROR(_xll.BDP(TICKER,"DEEP_MEASURE_PERIOD_BROKER_VALUE","DEEP_MEASURE_ID_OVERRIDE",$C30,"DEEP_BROKER_ID_OVERRIDE",AO$24,"DEEP_PERIOD_OVERRIDE",$H$19)*1,"")))</f>
        <v/>
      </c>
      <c r="AP30" s="17" t="str">
        <f>IF(OR(AP$23="",ISNA($B30)),"",IF(ISBLANK($B30),"",IFERROR(_xll.BDP(TICKER,"DEEP_MEASURE_PERIOD_BROKER_VALUE","DEEP_MEASURE_ID_OVERRIDE",$C30,"DEEP_BROKER_ID_OVERRIDE",AP$24,"DEEP_PERIOD_OVERRIDE",$H$19)*1,"")))</f>
        <v/>
      </c>
      <c r="AQ30" s="17" t="str">
        <f>IF(OR(AQ$23="",ISNA($B30)),"",IF(ISBLANK($B30),"",IFERROR(_xll.BDP(TICKER,"DEEP_MEASURE_PERIOD_BROKER_VALUE","DEEP_MEASURE_ID_OVERRIDE",$C30,"DEEP_BROKER_ID_OVERRIDE",AQ$24,"DEEP_PERIOD_OVERRIDE",$H$19)*1,"")))</f>
        <v/>
      </c>
      <c r="AR30" s="17" t="str">
        <f>IF(OR(AR$23="",ISNA($B30)),"",IF(ISBLANK($B30),"",IFERROR(_xll.BDP(TICKER,"DEEP_MEASURE_PERIOD_BROKER_VALUE","DEEP_MEASURE_ID_OVERRIDE",$C30,"DEEP_BROKER_ID_OVERRIDE",AR$24,"DEEP_PERIOD_OVERRIDE",$H$19)*1,"")))</f>
        <v/>
      </c>
      <c r="AS30" s="17" t="str">
        <f>IF(OR(AS$23="",ISNA($B30)),"",IF(ISBLANK($B30),"",IFERROR(_xll.BDP(TICKER,"DEEP_MEASURE_PERIOD_BROKER_VALUE","DEEP_MEASURE_ID_OVERRIDE",$C30,"DEEP_BROKER_ID_OVERRIDE",AS$24,"DEEP_PERIOD_OVERRIDE",$H$19)*1,"")))</f>
        <v/>
      </c>
      <c r="AT30" s="17" t="str">
        <f>IF(OR(AT$23="",ISNA($B30)),"",IF(ISBLANK($B30),"",IFERROR(_xll.BDP(TICKER,"DEEP_MEASURE_PERIOD_BROKER_VALUE","DEEP_MEASURE_ID_OVERRIDE",$C30,"DEEP_BROKER_ID_OVERRIDE",AT$24,"DEEP_PERIOD_OVERRIDE",$H$19)*1,"")))</f>
        <v/>
      </c>
      <c r="AU30" s="17" t="str">
        <f>IF(OR(AU$23="",ISNA($B30)),"",IF(ISBLANK($B30),"",IFERROR(_xll.BDP(TICKER,"DEEP_MEASURE_PERIOD_BROKER_VALUE","DEEP_MEASURE_ID_OVERRIDE",$C30,"DEEP_BROKER_ID_OVERRIDE",AU$24,"DEEP_PERIOD_OVERRIDE",$H$19)*1,"")))</f>
        <v/>
      </c>
      <c r="AV30" s="17" t="str">
        <f>IF(OR(AV$23="",ISNA($B30)),"",IF(ISBLANK($B30),"",IFERROR(_xll.BDP(TICKER,"DEEP_MEASURE_PERIOD_BROKER_VALUE","DEEP_MEASURE_ID_OVERRIDE",$C30,"DEEP_BROKER_ID_OVERRIDE",AV$24,"DEEP_PERIOD_OVERRIDE",$H$19)*1,"")))</f>
        <v/>
      </c>
      <c r="AW30" s="17" t="str">
        <f>IF(OR(AW$23="",ISNA($B30)),"",IF(ISBLANK($B30),"",IFERROR(_xll.BDP(TICKER,"DEEP_MEASURE_PERIOD_BROKER_VALUE","DEEP_MEASURE_ID_OVERRIDE",$C30,"DEEP_BROKER_ID_OVERRIDE",AW$24,"DEEP_PERIOD_OVERRIDE",$H$19)*1,"")))</f>
        <v/>
      </c>
      <c r="AX30" s="17" t="str">
        <f>IF(OR(AX$23="",ISNA($B30)),"",IF(ISBLANK($B30),"",IFERROR(_xll.BDP(TICKER,"DEEP_MEASURE_PERIOD_BROKER_VALUE","DEEP_MEASURE_ID_OVERRIDE",$C30,"DEEP_BROKER_ID_OVERRIDE",AX$24,"DEEP_PERIOD_OVERRIDE",$H$19)*1,"")))</f>
        <v/>
      </c>
      <c r="AY30" s="17" t="str">
        <f>IF(OR(AY$23="",ISNA($B30)),"",IF(ISBLANK($B30),"",IFERROR(_xll.BDP(TICKER,"DEEP_MEASURE_PERIOD_BROKER_VALUE","DEEP_MEASURE_ID_OVERRIDE",$C30,"DEEP_BROKER_ID_OVERRIDE",AY$24,"DEEP_PERIOD_OVERRIDE",$H$19)*1,"")))</f>
        <v/>
      </c>
      <c r="AZ30" s="17" t="str">
        <f>IF(OR(AZ$23="",ISNA($B30)),"",IF(ISBLANK($B30),"",IFERROR(_xll.BDP(TICKER,"DEEP_MEASURE_PERIOD_BROKER_VALUE","DEEP_MEASURE_ID_OVERRIDE",$C30,"DEEP_BROKER_ID_OVERRIDE",AZ$24,"DEEP_PERIOD_OVERRIDE",$H$19)*1,"")))</f>
        <v/>
      </c>
      <c r="BA30" s="17" t="str">
        <f>IF(OR(BA$23="",ISNA($B30)),"",IF(ISBLANK($B30),"",IFERROR(_xll.BDP(TICKER,"DEEP_MEASURE_PERIOD_BROKER_VALUE","DEEP_MEASURE_ID_OVERRIDE",$C30,"DEEP_BROKER_ID_OVERRIDE",BA$24,"DEEP_PERIOD_OVERRIDE",$H$19)*1,"")))</f>
        <v/>
      </c>
      <c r="BB30" s="17" t="str">
        <f>IF(OR(BB$23="",ISNA($B30)),"",IF(ISBLANK($B30),"",IFERROR(_xll.BDP(TICKER,"DEEP_MEASURE_PERIOD_BROKER_VALUE","DEEP_MEASURE_ID_OVERRIDE",$C30,"DEEP_BROKER_ID_OVERRIDE",BB$24,"DEEP_PERIOD_OVERRIDE",$H$19)*1,"")))</f>
        <v/>
      </c>
      <c r="BC30" s="17" t="str">
        <f>IF(OR(BC$23="",ISNA($B30)),"",IF(ISBLANK($B30),"",IFERROR(_xll.BDP(TICKER,"DEEP_MEASURE_PERIOD_BROKER_VALUE","DEEP_MEASURE_ID_OVERRIDE",$C30,"DEEP_BROKER_ID_OVERRIDE",BC$24,"DEEP_PERIOD_OVERRIDE",$H$19)*1,"")))</f>
        <v/>
      </c>
      <c r="BD30" s="17" t="str">
        <f>IF(OR(BD$23="",ISNA($B30)),"",IF(ISBLANK($B30),"",IFERROR(_xll.BDP(TICKER,"DEEP_MEASURE_PERIOD_BROKER_VALUE","DEEP_MEASURE_ID_OVERRIDE",$C30,"DEEP_BROKER_ID_OVERRIDE",BD$24,"DEEP_PERIOD_OVERRIDE",$H$19)*1,"")))</f>
        <v/>
      </c>
      <c r="BE30" s="17" t="str">
        <f>IF(OR(BE$23="",ISNA($B30)),"",IF(ISBLANK($B30),"",IFERROR(_xll.BDP(TICKER,"DEEP_MEASURE_PERIOD_BROKER_VALUE","DEEP_MEASURE_ID_OVERRIDE",$C30,"DEEP_BROKER_ID_OVERRIDE",BE$24,"DEEP_PERIOD_OVERRIDE",$H$19)*1,"")))</f>
        <v/>
      </c>
      <c r="BF30" s="17" t="str">
        <f>IF(OR(BF$23="",ISNA($B30)),"",IF(ISBLANK($B30),"",IFERROR(_xll.BDP(TICKER,"DEEP_MEASURE_PERIOD_BROKER_VALUE","DEEP_MEASURE_ID_OVERRIDE",$C30,"DEEP_BROKER_ID_OVERRIDE",BF$24,"DEEP_PERIOD_OVERRIDE",$H$19)*1,"")))</f>
        <v/>
      </c>
      <c r="BG30" s="17" t="str">
        <f>IF(OR(BG$23="",ISNA($B30)),"",IF(ISBLANK($B30),"",IFERROR(_xll.BDP(TICKER,"DEEP_MEASURE_PERIOD_BROKER_VALUE","DEEP_MEASURE_ID_OVERRIDE",$C30,"DEEP_BROKER_ID_OVERRIDE",BG$24,"DEEP_PERIOD_OVERRIDE",$H$19)*1,"")))</f>
        <v/>
      </c>
      <c r="BH30" s="17" t="str">
        <f>IF(OR(BH$23="",ISNA($B30)),"",IF(ISBLANK($B30),"",IFERROR(_xll.BDP(TICKER,"DEEP_MEASURE_PERIOD_BROKER_VALUE","DEEP_MEASURE_ID_OVERRIDE",$C30,"DEEP_BROKER_ID_OVERRIDE",BH$24,"DEEP_PERIOD_OVERRIDE",$H$19)*1,"")))</f>
        <v/>
      </c>
      <c r="BI30" s="17" t="str">
        <f>IF(OR(BI$23="",ISNA($B30)),"",IF(ISBLANK($B30),"",IFERROR(_xll.BDP(TICKER,"DEEP_MEASURE_PERIOD_BROKER_VALUE","DEEP_MEASURE_ID_OVERRIDE",$C30,"DEEP_BROKER_ID_OVERRIDE",BI$24,"DEEP_PERIOD_OVERRIDE",$H$19)*1,"")))</f>
        <v/>
      </c>
      <c r="BJ30" s="17" t="str">
        <f>IF(OR(BJ$23="",ISNA($B30)),"",IF(ISBLANK($B30),"",IFERROR(_xll.BDP(TICKER,"DEEP_MEASURE_PERIOD_BROKER_VALUE","DEEP_MEASURE_ID_OVERRIDE",$C30,"DEEP_BROKER_ID_OVERRIDE",BJ$24,"DEEP_PERIOD_OVERRIDE",$H$19)*1,"")))</f>
        <v/>
      </c>
      <c r="BK30" s="17" t="str">
        <f>IF(OR(BK$23="",ISNA($B30)),"",IF(ISBLANK($B30),"",IFERROR(_xll.BDP(TICKER,"DEEP_MEASURE_PERIOD_BROKER_VALUE","DEEP_MEASURE_ID_OVERRIDE",$C30,"DEEP_BROKER_ID_OVERRIDE",BK$24,"DEEP_PERIOD_OVERRIDE",$H$19)*1,"")))</f>
        <v/>
      </c>
      <c r="BL30" s="17" t="str">
        <f>IF(OR(BL$23="",ISNA($B30)),"",IF(ISBLANK($B30),"",IFERROR(_xll.BDP(TICKER,"DEEP_MEASURE_PERIOD_BROKER_VALUE","DEEP_MEASURE_ID_OVERRIDE",$C30,"DEEP_BROKER_ID_OVERRIDE",BL$24,"DEEP_PERIOD_OVERRIDE",$H$19)*1,"")))</f>
        <v/>
      </c>
      <c r="BM30" s="17" t="str">
        <f>IF(OR(BM$23="",ISNA($B30)),"",IF(ISBLANK($B30),"",IFERROR(_xll.BDP(TICKER,"DEEP_MEASURE_PERIOD_BROKER_VALUE","DEEP_MEASURE_ID_OVERRIDE",$C30,"DEEP_BROKER_ID_OVERRIDE",BM$24,"DEEP_PERIOD_OVERRIDE",$H$19)*1,"")))</f>
        <v/>
      </c>
      <c r="BN30" s="17" t="str">
        <f>IF(OR(BN$23="",ISNA($B30)),"",IF(ISBLANK($B30),"",IFERROR(_xll.BDP(TICKER,"DEEP_MEASURE_PERIOD_BROKER_VALUE","DEEP_MEASURE_ID_OVERRIDE",$C30,"DEEP_BROKER_ID_OVERRIDE",BN$24,"DEEP_PERIOD_OVERRIDE",$H$19)*1,"")))</f>
        <v/>
      </c>
      <c r="BO30" s="17" t="str">
        <f>IF(OR(BO$23="",ISNA($B30)),"",IF(ISBLANK($B30),"",IFERROR(_xll.BDP(TICKER,"DEEP_MEASURE_PERIOD_BROKER_VALUE","DEEP_MEASURE_ID_OVERRIDE",$C30,"DEEP_BROKER_ID_OVERRIDE",BO$24,"DEEP_PERIOD_OVERRIDE",$H$19)*1,"")))</f>
        <v/>
      </c>
      <c r="BP30" s="17" t="str">
        <f>IF(OR(BP$23="",ISNA($B30)),"",IF(ISBLANK($B30),"",IFERROR(_xll.BDP(TICKER,"DEEP_MEASURE_PERIOD_BROKER_VALUE","DEEP_MEASURE_ID_OVERRIDE",$C30,"DEEP_BROKER_ID_OVERRIDE",BP$24,"DEEP_PERIOD_OVERRIDE",$H$19)*1,"")))</f>
        <v/>
      </c>
      <c r="BQ30" s="17" t="str">
        <f>IF(OR(BQ$23="",ISNA($B30)),"",IF(ISBLANK($B30),"",IFERROR(_xll.BDP(TICKER,"DEEP_MEASURE_PERIOD_BROKER_VALUE","DEEP_MEASURE_ID_OVERRIDE",$C30,"DEEP_BROKER_ID_OVERRIDE",BQ$24,"DEEP_PERIOD_OVERRIDE",$H$19)*1,"")))</f>
        <v/>
      </c>
      <c r="BR30" s="17" t="str">
        <f>IF(OR(BR$23="",ISNA($B30)),"",IF(ISBLANK($B30),"",IFERROR(_xll.BDP(TICKER,"DEEP_MEASURE_PERIOD_BROKER_VALUE","DEEP_MEASURE_ID_OVERRIDE",$C30,"DEEP_BROKER_ID_OVERRIDE",BR$24,"DEEP_PERIOD_OVERRIDE",$H$19)*1,"")))</f>
        <v/>
      </c>
      <c r="BS30" s="17" t="str">
        <f>IF(OR(BS$23="",ISNA($B30)),"",IF(ISBLANK($B30),"",IFERROR(_xll.BDP(TICKER,"DEEP_MEASURE_PERIOD_BROKER_VALUE","DEEP_MEASURE_ID_OVERRIDE",$C30,"DEEP_BROKER_ID_OVERRIDE",BS$24,"DEEP_PERIOD_OVERRIDE",$H$19)*1,"")))</f>
        <v/>
      </c>
      <c r="BT30" s="17" t="str">
        <f>IF(OR(BT$23="",ISNA($B30)),"",IF(ISBLANK($B30),"",IFERROR(_xll.BDP(TICKER,"DEEP_MEASURE_PERIOD_BROKER_VALUE","DEEP_MEASURE_ID_OVERRIDE",$C30,"DEEP_BROKER_ID_OVERRIDE",BT$24,"DEEP_PERIOD_OVERRIDE",$H$19)*1,"")))</f>
        <v/>
      </c>
      <c r="BU30" s="17" t="str">
        <f>IF(OR(BU$23="",ISNA($B30)),"",IF(ISBLANK($B30),"",IFERROR(_xll.BDP(TICKER,"DEEP_MEASURE_PERIOD_BROKER_VALUE","DEEP_MEASURE_ID_OVERRIDE",$C30,"DEEP_BROKER_ID_OVERRIDE",BU$24,"DEEP_PERIOD_OVERRIDE",$H$19)*1,"")))</f>
        <v/>
      </c>
      <c r="BV30" s="17" t="str">
        <f>IF(OR(BV$23="",ISNA($B30)),"",IF(ISBLANK($B30),"",IFERROR(_xll.BDP(TICKER,"DEEP_MEASURE_PERIOD_BROKER_VALUE","DEEP_MEASURE_ID_OVERRIDE",$C30,"DEEP_BROKER_ID_OVERRIDE",BV$24,"DEEP_PERIOD_OVERRIDE",$H$19)*1,"")))</f>
        <v/>
      </c>
      <c r="BW30" s="17" t="str">
        <f>IF(OR(BW$23="",ISNA($B30)),"",IF(ISBLANK($B30),"",IFERROR(_xll.BDP(TICKER,"DEEP_MEASURE_PERIOD_BROKER_VALUE","DEEP_MEASURE_ID_OVERRIDE",$C30,"DEEP_BROKER_ID_OVERRIDE",BW$24,"DEEP_PERIOD_OVERRIDE",$H$19)*1,"")))</f>
        <v/>
      </c>
      <c r="BX30" s="17" t="str">
        <f>IF(OR(BX$23="",ISNA($B30)),"",IF(ISBLANK($B30),"",IFERROR(_xll.BDP(TICKER,"DEEP_MEASURE_PERIOD_BROKER_VALUE","DEEP_MEASURE_ID_OVERRIDE",$C30,"DEEP_BROKER_ID_OVERRIDE",BX$24,"DEEP_PERIOD_OVERRIDE",$H$19)*1,"")))</f>
        <v/>
      </c>
      <c r="BY30" s="17" t="str">
        <f>IF(OR(BY$23="",ISNA($B30)),"",IF(ISBLANK($B30),"",IFERROR(_xll.BDP(TICKER,"DEEP_MEASURE_PERIOD_BROKER_VALUE","DEEP_MEASURE_ID_OVERRIDE",$C30,"DEEP_BROKER_ID_OVERRIDE",BY$24,"DEEP_PERIOD_OVERRIDE",$H$19)*1,"")))</f>
        <v/>
      </c>
      <c r="BZ30" s="17" t="str">
        <f>IF(OR(BZ$23="",ISNA($B30)),"",IF(ISBLANK($B30),"",IFERROR(_xll.BDP(TICKER,"DEEP_MEASURE_PERIOD_BROKER_VALUE","DEEP_MEASURE_ID_OVERRIDE",$C30,"DEEP_BROKER_ID_OVERRIDE",BZ$24,"DEEP_PERIOD_OVERRIDE",$H$19)*1,"")))</f>
        <v/>
      </c>
    </row>
    <row r="31" spans="2:78" x14ac:dyDescent="0.25">
      <c r="B31" t="s">
        <v>40</v>
      </c>
      <c r="C31" s="11">
        <v>2785</v>
      </c>
      <c r="H31" t="str">
        <f t="shared" si="1"/>
        <v>Revenue per Hotel Shopper</v>
      </c>
      <c r="I31" t="str">
        <f>IF(OR(I$23="",ISNA($B31)),"",IF(ISBLANK($B31),"",IFERROR(_xll.BDP(TICKER,"DEEP_MEASURE_PERIOD_BROKER_VALUE","DEEP_MEASURE_ID_OVERRIDE",$C31,"DEEP_PERIOD_OVERRIDE",$H$19)*1,"")))</f>
        <v/>
      </c>
      <c r="J31" t="e">
        <f>IF(OR(J$23="",ISNA($B31)),"",IF(ISBLANK($B31),"",IFERROR(_xll.BDP(TICKER,"DEEP_MEASURE_PERIOD_BROKER_VALUE","DEEP_MEASURE_ID_OVERRIDE",$C31,"DEEP_BROKER_ID_OVERRIDE",J$24,"DEEP_PERIOD_OVERRIDE",$H$19)*1,"")))</f>
        <v>#REF!</v>
      </c>
      <c r="K31" s="17" t="str">
        <f>IF(OR(K$23="",ISNA($B31)),"",IF(ISBLANK($B31),"",IFERROR(_xll.BDP(TICKER,"DEEP_MEASURE_PERIOD_BROKER_VALUE","DEEP_MEASURE_ID_OVERRIDE",$C31,"DEEP_BROKER_ID_OVERRIDE",K$24,"DEEP_PERIOD_OVERRIDE",$H$19)*1,"")))</f>
        <v/>
      </c>
      <c r="L31" s="17" t="str">
        <f>IF(OR(L$23="",ISNA($B31)),"",IF(ISBLANK($B31),"",IFERROR(_xll.BDP(TICKER,"DEEP_MEASURE_PERIOD_BROKER_VALUE","DEEP_MEASURE_ID_OVERRIDE",$C31,"DEEP_BROKER_ID_OVERRIDE",L$24,"DEEP_PERIOD_OVERRIDE",$H$19)*1,"")))</f>
        <v/>
      </c>
      <c r="M31" s="17" t="str">
        <f>IF(OR(M$23="",ISNA($B31)),"",IF(ISBLANK($B31),"",IFERROR(_xll.BDP(TICKER,"DEEP_MEASURE_PERIOD_BROKER_VALUE","DEEP_MEASURE_ID_OVERRIDE",$C31,"DEEP_BROKER_ID_OVERRIDE",M$24,"DEEP_PERIOD_OVERRIDE",$H$19)*1,"")))</f>
        <v/>
      </c>
      <c r="N31" s="17" t="str">
        <f>IF(OR(N$23="",ISNA($B31)),"",IF(ISBLANK($B31),"",IFERROR(_xll.BDP(TICKER,"DEEP_MEASURE_PERIOD_BROKER_VALUE","DEEP_MEASURE_ID_OVERRIDE",$C31,"DEEP_BROKER_ID_OVERRIDE",N$24,"DEEP_PERIOD_OVERRIDE",$H$19)*1,"")))</f>
        <v/>
      </c>
      <c r="O31" s="17" t="str">
        <f>IF(OR(O$23="",ISNA($B31)),"",IF(ISBLANK($B31),"",IFERROR(_xll.BDP(TICKER,"DEEP_MEASURE_PERIOD_BROKER_VALUE","DEEP_MEASURE_ID_OVERRIDE",$C31,"DEEP_BROKER_ID_OVERRIDE",O$24,"DEEP_PERIOD_OVERRIDE",$H$19)*1,"")))</f>
        <v/>
      </c>
      <c r="P31" s="17" t="str">
        <f>IF(OR(P$23="",ISNA($B31)),"",IF(ISBLANK($B31),"",IFERROR(_xll.BDP(TICKER,"DEEP_MEASURE_PERIOD_BROKER_VALUE","DEEP_MEASURE_ID_OVERRIDE",$C31,"DEEP_BROKER_ID_OVERRIDE",P$24,"DEEP_PERIOD_OVERRIDE",$H$19)*1,"")))</f>
        <v/>
      </c>
      <c r="Q31" s="17" t="str">
        <f>IF(OR(Q$23="",ISNA($B31)),"",IF(ISBLANK($B31),"",IFERROR(_xll.BDP(TICKER,"DEEP_MEASURE_PERIOD_BROKER_VALUE","DEEP_MEASURE_ID_OVERRIDE",$C31,"DEEP_BROKER_ID_OVERRIDE",Q$24,"DEEP_PERIOD_OVERRIDE",$H$19)*1,"")))</f>
        <v/>
      </c>
      <c r="R31" s="17" t="str">
        <f>IF(OR(R$23="",ISNA($B31)),"",IF(ISBLANK($B31),"",IFERROR(_xll.BDP(TICKER,"DEEP_MEASURE_PERIOD_BROKER_VALUE","DEEP_MEASURE_ID_OVERRIDE",$C31,"DEEP_BROKER_ID_OVERRIDE",R$24,"DEEP_PERIOD_OVERRIDE",$H$19)*1,"")))</f>
        <v/>
      </c>
      <c r="S31" s="17" t="str">
        <f>IF(OR(S$23="",ISNA($B31)),"",IF(ISBLANK($B31),"",IFERROR(_xll.BDP(TICKER,"DEEP_MEASURE_PERIOD_BROKER_VALUE","DEEP_MEASURE_ID_OVERRIDE",$C31,"DEEP_BROKER_ID_OVERRIDE",S$24,"DEEP_PERIOD_OVERRIDE",$H$19)*1,"")))</f>
        <v/>
      </c>
      <c r="T31" s="17" t="str">
        <f>IF(OR(T$23="",ISNA($B31)),"",IF(ISBLANK($B31),"",IFERROR(_xll.BDP(TICKER,"DEEP_MEASURE_PERIOD_BROKER_VALUE","DEEP_MEASURE_ID_OVERRIDE",$C31,"DEEP_BROKER_ID_OVERRIDE",T$24,"DEEP_PERIOD_OVERRIDE",$H$19)*1,"")))</f>
        <v/>
      </c>
      <c r="U31" s="17" t="str">
        <f>IF(OR(U$23="",ISNA($B31)),"",IF(ISBLANK($B31),"",IFERROR(_xll.BDP(TICKER,"DEEP_MEASURE_PERIOD_BROKER_VALUE","DEEP_MEASURE_ID_OVERRIDE",$C31,"DEEP_BROKER_ID_OVERRIDE",U$24,"DEEP_PERIOD_OVERRIDE",$H$19)*1,"")))</f>
        <v/>
      </c>
      <c r="V31" s="17" t="str">
        <f>IF(OR(V$23="",ISNA($B31)),"",IF(ISBLANK($B31),"",IFERROR(_xll.BDP(TICKER,"DEEP_MEASURE_PERIOD_BROKER_VALUE","DEEP_MEASURE_ID_OVERRIDE",$C31,"DEEP_BROKER_ID_OVERRIDE",V$24,"DEEP_PERIOD_OVERRIDE",$H$19)*1,"")))</f>
        <v/>
      </c>
      <c r="W31" s="17" t="str">
        <f>IF(OR(W$23="",ISNA($B31)),"",IF(ISBLANK($B31),"",IFERROR(_xll.BDP(TICKER,"DEEP_MEASURE_PERIOD_BROKER_VALUE","DEEP_MEASURE_ID_OVERRIDE",$C31,"DEEP_BROKER_ID_OVERRIDE",W$24,"DEEP_PERIOD_OVERRIDE",$H$19)*1,"")))</f>
        <v/>
      </c>
      <c r="X31" s="17" t="str">
        <f>IF(OR(X$23="",ISNA($B31)),"",IF(ISBLANK($B31),"",IFERROR(_xll.BDP(TICKER,"DEEP_MEASURE_PERIOD_BROKER_VALUE","DEEP_MEASURE_ID_OVERRIDE",$C31,"DEEP_BROKER_ID_OVERRIDE",X$24,"DEEP_PERIOD_OVERRIDE",$H$19)*1,"")))</f>
        <v/>
      </c>
      <c r="Y31" s="17" t="str">
        <f>IF(OR(Y$23="",ISNA($B31)),"",IF(ISBLANK($B31),"",IFERROR(_xll.BDP(TICKER,"DEEP_MEASURE_PERIOD_BROKER_VALUE","DEEP_MEASURE_ID_OVERRIDE",$C31,"DEEP_BROKER_ID_OVERRIDE",Y$24,"DEEP_PERIOD_OVERRIDE",$H$19)*1,"")))</f>
        <v/>
      </c>
      <c r="Z31" s="17" t="str">
        <f>IF(OR(Z$23="",ISNA($B31)),"",IF(ISBLANK($B31),"",IFERROR(_xll.BDP(TICKER,"DEEP_MEASURE_PERIOD_BROKER_VALUE","DEEP_MEASURE_ID_OVERRIDE",$C31,"DEEP_BROKER_ID_OVERRIDE",Z$24,"DEEP_PERIOD_OVERRIDE",$H$19)*1,"")))</f>
        <v/>
      </c>
      <c r="AA31" s="17" t="str">
        <f>IF(OR(AA$23="",ISNA($B31)),"",IF(ISBLANK($B31),"",IFERROR(_xll.BDP(TICKER,"DEEP_MEASURE_PERIOD_BROKER_VALUE","DEEP_MEASURE_ID_OVERRIDE",$C31,"DEEP_BROKER_ID_OVERRIDE",AA$24,"DEEP_PERIOD_OVERRIDE",$H$19)*1,"")))</f>
        <v/>
      </c>
      <c r="AB31" s="17" t="str">
        <f>IF(OR(AB$23="",ISNA($B31)),"",IF(ISBLANK($B31),"",IFERROR(_xll.BDP(TICKER,"DEEP_MEASURE_PERIOD_BROKER_VALUE","DEEP_MEASURE_ID_OVERRIDE",$C31,"DEEP_BROKER_ID_OVERRIDE",AB$24,"DEEP_PERIOD_OVERRIDE",$H$19)*1,"")))</f>
        <v/>
      </c>
      <c r="AC31" s="17" t="str">
        <f>IF(OR(AC$23="",ISNA($B31)),"",IF(ISBLANK($B31),"",IFERROR(_xll.BDP(TICKER,"DEEP_MEASURE_PERIOD_BROKER_VALUE","DEEP_MEASURE_ID_OVERRIDE",$C31,"DEEP_BROKER_ID_OVERRIDE",AC$24,"DEEP_PERIOD_OVERRIDE",$H$19)*1,"")))</f>
        <v/>
      </c>
      <c r="AD31" s="17" t="str">
        <f>IF(OR(AD$23="",ISNA($B31)),"",IF(ISBLANK($B31),"",IFERROR(_xll.BDP(TICKER,"DEEP_MEASURE_PERIOD_BROKER_VALUE","DEEP_MEASURE_ID_OVERRIDE",$C31,"DEEP_BROKER_ID_OVERRIDE",AD$24,"DEEP_PERIOD_OVERRIDE",$H$19)*1,"")))</f>
        <v/>
      </c>
      <c r="AE31" s="17" t="str">
        <f>IF(OR(AE$23="",ISNA($B31)),"",IF(ISBLANK($B31),"",IFERROR(_xll.BDP(TICKER,"DEEP_MEASURE_PERIOD_BROKER_VALUE","DEEP_MEASURE_ID_OVERRIDE",$C31,"DEEP_BROKER_ID_OVERRIDE",AE$24,"DEEP_PERIOD_OVERRIDE",$H$19)*1,"")))</f>
        <v/>
      </c>
      <c r="AF31" s="17" t="str">
        <f>IF(OR(AF$23="",ISNA($B31)),"",IF(ISBLANK($B31),"",IFERROR(_xll.BDP(TICKER,"DEEP_MEASURE_PERIOD_BROKER_VALUE","DEEP_MEASURE_ID_OVERRIDE",$C31,"DEEP_BROKER_ID_OVERRIDE",AF$24,"DEEP_PERIOD_OVERRIDE",$H$19)*1,"")))</f>
        <v/>
      </c>
      <c r="AG31" s="17" t="str">
        <f>IF(OR(AG$23="",ISNA($B31)),"",IF(ISBLANK($B31),"",IFERROR(_xll.BDP(TICKER,"DEEP_MEASURE_PERIOD_BROKER_VALUE","DEEP_MEASURE_ID_OVERRIDE",$C31,"DEEP_BROKER_ID_OVERRIDE",AG$24,"DEEP_PERIOD_OVERRIDE",$H$19)*1,"")))</f>
        <v/>
      </c>
      <c r="AH31" s="17" t="str">
        <f>IF(OR(AH$23="",ISNA($B31)),"",IF(ISBLANK($B31),"",IFERROR(_xll.BDP(TICKER,"DEEP_MEASURE_PERIOD_BROKER_VALUE","DEEP_MEASURE_ID_OVERRIDE",$C31,"DEEP_BROKER_ID_OVERRIDE",AH$24,"DEEP_PERIOD_OVERRIDE",$H$19)*1,"")))</f>
        <v/>
      </c>
      <c r="AI31" s="17" t="str">
        <f>IF(OR(AI$23="",ISNA($B31)),"",IF(ISBLANK($B31),"",IFERROR(_xll.BDP(TICKER,"DEEP_MEASURE_PERIOD_BROKER_VALUE","DEEP_MEASURE_ID_OVERRIDE",$C31,"DEEP_BROKER_ID_OVERRIDE",AI$24,"DEEP_PERIOD_OVERRIDE",$H$19)*1,"")))</f>
        <v/>
      </c>
      <c r="AJ31" s="17" t="str">
        <f>IF(OR(AJ$23="",ISNA($B31)),"",IF(ISBLANK($B31),"",IFERROR(_xll.BDP(TICKER,"DEEP_MEASURE_PERIOD_BROKER_VALUE","DEEP_MEASURE_ID_OVERRIDE",$C31,"DEEP_BROKER_ID_OVERRIDE",AJ$24,"DEEP_PERIOD_OVERRIDE",$H$19)*1,"")))</f>
        <v/>
      </c>
      <c r="AK31" s="17" t="str">
        <f>IF(OR(AK$23="",ISNA($B31)),"",IF(ISBLANK($B31),"",IFERROR(_xll.BDP(TICKER,"DEEP_MEASURE_PERIOD_BROKER_VALUE","DEEP_MEASURE_ID_OVERRIDE",$C31,"DEEP_BROKER_ID_OVERRIDE",AK$24,"DEEP_PERIOD_OVERRIDE",$H$19)*1,"")))</f>
        <v/>
      </c>
      <c r="AL31" s="17" t="str">
        <f>IF(OR(AL$23="",ISNA($B31)),"",IF(ISBLANK($B31),"",IFERROR(_xll.BDP(TICKER,"DEEP_MEASURE_PERIOD_BROKER_VALUE","DEEP_MEASURE_ID_OVERRIDE",$C31,"DEEP_BROKER_ID_OVERRIDE",AL$24,"DEEP_PERIOD_OVERRIDE",$H$19)*1,"")))</f>
        <v/>
      </c>
      <c r="AM31" s="17" t="str">
        <f>IF(OR(AM$23="",ISNA($B31)),"",IF(ISBLANK($B31),"",IFERROR(_xll.BDP(TICKER,"DEEP_MEASURE_PERIOD_BROKER_VALUE","DEEP_MEASURE_ID_OVERRIDE",$C31,"DEEP_BROKER_ID_OVERRIDE",AM$24,"DEEP_PERIOD_OVERRIDE",$H$19)*1,"")))</f>
        <v/>
      </c>
      <c r="AN31" s="17" t="str">
        <f>IF(OR(AN$23="",ISNA($B31)),"",IF(ISBLANK($B31),"",IFERROR(_xll.BDP(TICKER,"DEEP_MEASURE_PERIOD_BROKER_VALUE","DEEP_MEASURE_ID_OVERRIDE",$C31,"DEEP_BROKER_ID_OVERRIDE",AN$24,"DEEP_PERIOD_OVERRIDE",$H$19)*1,"")))</f>
        <v/>
      </c>
      <c r="AO31" s="17" t="str">
        <f>IF(OR(AO$23="",ISNA($B31)),"",IF(ISBLANK($B31),"",IFERROR(_xll.BDP(TICKER,"DEEP_MEASURE_PERIOD_BROKER_VALUE","DEEP_MEASURE_ID_OVERRIDE",$C31,"DEEP_BROKER_ID_OVERRIDE",AO$24,"DEEP_PERIOD_OVERRIDE",$H$19)*1,"")))</f>
        <v/>
      </c>
      <c r="AP31" s="17" t="str">
        <f>IF(OR(AP$23="",ISNA($B31)),"",IF(ISBLANK($B31),"",IFERROR(_xll.BDP(TICKER,"DEEP_MEASURE_PERIOD_BROKER_VALUE","DEEP_MEASURE_ID_OVERRIDE",$C31,"DEEP_BROKER_ID_OVERRIDE",AP$24,"DEEP_PERIOD_OVERRIDE",$H$19)*1,"")))</f>
        <v/>
      </c>
      <c r="AQ31" s="17" t="str">
        <f>IF(OR(AQ$23="",ISNA($B31)),"",IF(ISBLANK($B31),"",IFERROR(_xll.BDP(TICKER,"DEEP_MEASURE_PERIOD_BROKER_VALUE","DEEP_MEASURE_ID_OVERRIDE",$C31,"DEEP_BROKER_ID_OVERRIDE",AQ$24,"DEEP_PERIOD_OVERRIDE",$H$19)*1,"")))</f>
        <v/>
      </c>
      <c r="AR31" s="17" t="str">
        <f>IF(OR(AR$23="",ISNA($B31)),"",IF(ISBLANK($B31),"",IFERROR(_xll.BDP(TICKER,"DEEP_MEASURE_PERIOD_BROKER_VALUE","DEEP_MEASURE_ID_OVERRIDE",$C31,"DEEP_BROKER_ID_OVERRIDE",AR$24,"DEEP_PERIOD_OVERRIDE",$H$19)*1,"")))</f>
        <v/>
      </c>
      <c r="AS31" s="17" t="str">
        <f>IF(OR(AS$23="",ISNA($B31)),"",IF(ISBLANK($B31),"",IFERROR(_xll.BDP(TICKER,"DEEP_MEASURE_PERIOD_BROKER_VALUE","DEEP_MEASURE_ID_OVERRIDE",$C31,"DEEP_BROKER_ID_OVERRIDE",AS$24,"DEEP_PERIOD_OVERRIDE",$H$19)*1,"")))</f>
        <v/>
      </c>
      <c r="AT31" s="17" t="str">
        <f>IF(OR(AT$23="",ISNA($B31)),"",IF(ISBLANK($B31),"",IFERROR(_xll.BDP(TICKER,"DEEP_MEASURE_PERIOD_BROKER_VALUE","DEEP_MEASURE_ID_OVERRIDE",$C31,"DEEP_BROKER_ID_OVERRIDE",AT$24,"DEEP_PERIOD_OVERRIDE",$H$19)*1,"")))</f>
        <v/>
      </c>
      <c r="AU31" s="17" t="str">
        <f>IF(OR(AU$23="",ISNA($B31)),"",IF(ISBLANK($B31),"",IFERROR(_xll.BDP(TICKER,"DEEP_MEASURE_PERIOD_BROKER_VALUE","DEEP_MEASURE_ID_OVERRIDE",$C31,"DEEP_BROKER_ID_OVERRIDE",AU$24,"DEEP_PERIOD_OVERRIDE",$H$19)*1,"")))</f>
        <v/>
      </c>
      <c r="AV31" s="17" t="str">
        <f>IF(OR(AV$23="",ISNA($B31)),"",IF(ISBLANK($B31),"",IFERROR(_xll.BDP(TICKER,"DEEP_MEASURE_PERIOD_BROKER_VALUE","DEEP_MEASURE_ID_OVERRIDE",$C31,"DEEP_BROKER_ID_OVERRIDE",AV$24,"DEEP_PERIOD_OVERRIDE",$H$19)*1,"")))</f>
        <v/>
      </c>
      <c r="AW31" s="17" t="str">
        <f>IF(OR(AW$23="",ISNA($B31)),"",IF(ISBLANK($B31),"",IFERROR(_xll.BDP(TICKER,"DEEP_MEASURE_PERIOD_BROKER_VALUE","DEEP_MEASURE_ID_OVERRIDE",$C31,"DEEP_BROKER_ID_OVERRIDE",AW$24,"DEEP_PERIOD_OVERRIDE",$H$19)*1,"")))</f>
        <v/>
      </c>
      <c r="AX31" s="17" t="str">
        <f>IF(OR(AX$23="",ISNA($B31)),"",IF(ISBLANK($B31),"",IFERROR(_xll.BDP(TICKER,"DEEP_MEASURE_PERIOD_BROKER_VALUE","DEEP_MEASURE_ID_OVERRIDE",$C31,"DEEP_BROKER_ID_OVERRIDE",AX$24,"DEEP_PERIOD_OVERRIDE",$H$19)*1,"")))</f>
        <v/>
      </c>
      <c r="AY31" s="17" t="str">
        <f>IF(OR(AY$23="",ISNA($B31)),"",IF(ISBLANK($B31),"",IFERROR(_xll.BDP(TICKER,"DEEP_MEASURE_PERIOD_BROKER_VALUE","DEEP_MEASURE_ID_OVERRIDE",$C31,"DEEP_BROKER_ID_OVERRIDE",AY$24,"DEEP_PERIOD_OVERRIDE",$H$19)*1,"")))</f>
        <v/>
      </c>
      <c r="AZ31" s="17" t="str">
        <f>IF(OR(AZ$23="",ISNA($B31)),"",IF(ISBLANK($B31),"",IFERROR(_xll.BDP(TICKER,"DEEP_MEASURE_PERIOD_BROKER_VALUE","DEEP_MEASURE_ID_OVERRIDE",$C31,"DEEP_BROKER_ID_OVERRIDE",AZ$24,"DEEP_PERIOD_OVERRIDE",$H$19)*1,"")))</f>
        <v/>
      </c>
      <c r="BA31" s="17" t="str">
        <f>IF(OR(BA$23="",ISNA($B31)),"",IF(ISBLANK($B31),"",IFERROR(_xll.BDP(TICKER,"DEEP_MEASURE_PERIOD_BROKER_VALUE","DEEP_MEASURE_ID_OVERRIDE",$C31,"DEEP_BROKER_ID_OVERRIDE",BA$24,"DEEP_PERIOD_OVERRIDE",$H$19)*1,"")))</f>
        <v/>
      </c>
      <c r="BB31" s="17" t="str">
        <f>IF(OR(BB$23="",ISNA($B31)),"",IF(ISBLANK($B31),"",IFERROR(_xll.BDP(TICKER,"DEEP_MEASURE_PERIOD_BROKER_VALUE","DEEP_MEASURE_ID_OVERRIDE",$C31,"DEEP_BROKER_ID_OVERRIDE",BB$24,"DEEP_PERIOD_OVERRIDE",$H$19)*1,"")))</f>
        <v/>
      </c>
      <c r="BC31" s="17" t="str">
        <f>IF(OR(BC$23="",ISNA($B31)),"",IF(ISBLANK($B31),"",IFERROR(_xll.BDP(TICKER,"DEEP_MEASURE_PERIOD_BROKER_VALUE","DEEP_MEASURE_ID_OVERRIDE",$C31,"DEEP_BROKER_ID_OVERRIDE",BC$24,"DEEP_PERIOD_OVERRIDE",$H$19)*1,"")))</f>
        <v/>
      </c>
      <c r="BD31" s="17" t="str">
        <f>IF(OR(BD$23="",ISNA($B31)),"",IF(ISBLANK($B31),"",IFERROR(_xll.BDP(TICKER,"DEEP_MEASURE_PERIOD_BROKER_VALUE","DEEP_MEASURE_ID_OVERRIDE",$C31,"DEEP_BROKER_ID_OVERRIDE",BD$24,"DEEP_PERIOD_OVERRIDE",$H$19)*1,"")))</f>
        <v/>
      </c>
      <c r="BE31" s="17" t="str">
        <f>IF(OR(BE$23="",ISNA($B31)),"",IF(ISBLANK($B31),"",IFERROR(_xll.BDP(TICKER,"DEEP_MEASURE_PERIOD_BROKER_VALUE","DEEP_MEASURE_ID_OVERRIDE",$C31,"DEEP_BROKER_ID_OVERRIDE",BE$24,"DEEP_PERIOD_OVERRIDE",$H$19)*1,"")))</f>
        <v/>
      </c>
      <c r="BF31" s="17" t="str">
        <f>IF(OR(BF$23="",ISNA($B31)),"",IF(ISBLANK($B31),"",IFERROR(_xll.BDP(TICKER,"DEEP_MEASURE_PERIOD_BROKER_VALUE","DEEP_MEASURE_ID_OVERRIDE",$C31,"DEEP_BROKER_ID_OVERRIDE",BF$24,"DEEP_PERIOD_OVERRIDE",$H$19)*1,"")))</f>
        <v/>
      </c>
      <c r="BG31" s="17" t="str">
        <f>IF(OR(BG$23="",ISNA($B31)),"",IF(ISBLANK($B31),"",IFERROR(_xll.BDP(TICKER,"DEEP_MEASURE_PERIOD_BROKER_VALUE","DEEP_MEASURE_ID_OVERRIDE",$C31,"DEEP_BROKER_ID_OVERRIDE",BG$24,"DEEP_PERIOD_OVERRIDE",$H$19)*1,"")))</f>
        <v/>
      </c>
      <c r="BH31" s="17" t="str">
        <f>IF(OR(BH$23="",ISNA($B31)),"",IF(ISBLANK($B31),"",IFERROR(_xll.BDP(TICKER,"DEEP_MEASURE_PERIOD_BROKER_VALUE","DEEP_MEASURE_ID_OVERRIDE",$C31,"DEEP_BROKER_ID_OVERRIDE",BH$24,"DEEP_PERIOD_OVERRIDE",$H$19)*1,"")))</f>
        <v/>
      </c>
      <c r="BI31" s="17" t="str">
        <f>IF(OR(BI$23="",ISNA($B31)),"",IF(ISBLANK($B31),"",IFERROR(_xll.BDP(TICKER,"DEEP_MEASURE_PERIOD_BROKER_VALUE","DEEP_MEASURE_ID_OVERRIDE",$C31,"DEEP_BROKER_ID_OVERRIDE",BI$24,"DEEP_PERIOD_OVERRIDE",$H$19)*1,"")))</f>
        <v/>
      </c>
      <c r="BJ31" s="17" t="str">
        <f>IF(OR(BJ$23="",ISNA($B31)),"",IF(ISBLANK($B31),"",IFERROR(_xll.BDP(TICKER,"DEEP_MEASURE_PERIOD_BROKER_VALUE","DEEP_MEASURE_ID_OVERRIDE",$C31,"DEEP_BROKER_ID_OVERRIDE",BJ$24,"DEEP_PERIOD_OVERRIDE",$H$19)*1,"")))</f>
        <v/>
      </c>
      <c r="BK31" s="17" t="str">
        <f>IF(OR(BK$23="",ISNA($B31)),"",IF(ISBLANK($B31),"",IFERROR(_xll.BDP(TICKER,"DEEP_MEASURE_PERIOD_BROKER_VALUE","DEEP_MEASURE_ID_OVERRIDE",$C31,"DEEP_BROKER_ID_OVERRIDE",BK$24,"DEEP_PERIOD_OVERRIDE",$H$19)*1,"")))</f>
        <v/>
      </c>
      <c r="BL31" s="17" t="str">
        <f>IF(OR(BL$23="",ISNA($B31)),"",IF(ISBLANK($B31),"",IFERROR(_xll.BDP(TICKER,"DEEP_MEASURE_PERIOD_BROKER_VALUE","DEEP_MEASURE_ID_OVERRIDE",$C31,"DEEP_BROKER_ID_OVERRIDE",BL$24,"DEEP_PERIOD_OVERRIDE",$H$19)*1,"")))</f>
        <v/>
      </c>
      <c r="BM31" s="17" t="str">
        <f>IF(OR(BM$23="",ISNA($B31)),"",IF(ISBLANK($B31),"",IFERROR(_xll.BDP(TICKER,"DEEP_MEASURE_PERIOD_BROKER_VALUE","DEEP_MEASURE_ID_OVERRIDE",$C31,"DEEP_BROKER_ID_OVERRIDE",BM$24,"DEEP_PERIOD_OVERRIDE",$H$19)*1,"")))</f>
        <v/>
      </c>
      <c r="BN31" s="17" t="str">
        <f>IF(OR(BN$23="",ISNA($B31)),"",IF(ISBLANK($B31),"",IFERROR(_xll.BDP(TICKER,"DEEP_MEASURE_PERIOD_BROKER_VALUE","DEEP_MEASURE_ID_OVERRIDE",$C31,"DEEP_BROKER_ID_OVERRIDE",BN$24,"DEEP_PERIOD_OVERRIDE",$H$19)*1,"")))</f>
        <v/>
      </c>
      <c r="BO31" s="17" t="str">
        <f>IF(OR(BO$23="",ISNA($B31)),"",IF(ISBLANK($B31),"",IFERROR(_xll.BDP(TICKER,"DEEP_MEASURE_PERIOD_BROKER_VALUE","DEEP_MEASURE_ID_OVERRIDE",$C31,"DEEP_BROKER_ID_OVERRIDE",BO$24,"DEEP_PERIOD_OVERRIDE",$H$19)*1,"")))</f>
        <v/>
      </c>
      <c r="BP31" s="17" t="str">
        <f>IF(OR(BP$23="",ISNA($B31)),"",IF(ISBLANK($B31),"",IFERROR(_xll.BDP(TICKER,"DEEP_MEASURE_PERIOD_BROKER_VALUE","DEEP_MEASURE_ID_OVERRIDE",$C31,"DEEP_BROKER_ID_OVERRIDE",BP$24,"DEEP_PERIOD_OVERRIDE",$H$19)*1,"")))</f>
        <v/>
      </c>
      <c r="BQ31" s="17" t="str">
        <f>IF(OR(BQ$23="",ISNA($B31)),"",IF(ISBLANK($B31),"",IFERROR(_xll.BDP(TICKER,"DEEP_MEASURE_PERIOD_BROKER_VALUE","DEEP_MEASURE_ID_OVERRIDE",$C31,"DEEP_BROKER_ID_OVERRIDE",BQ$24,"DEEP_PERIOD_OVERRIDE",$H$19)*1,"")))</f>
        <v/>
      </c>
      <c r="BR31" s="17" t="str">
        <f>IF(OR(BR$23="",ISNA($B31)),"",IF(ISBLANK($B31),"",IFERROR(_xll.BDP(TICKER,"DEEP_MEASURE_PERIOD_BROKER_VALUE","DEEP_MEASURE_ID_OVERRIDE",$C31,"DEEP_BROKER_ID_OVERRIDE",BR$24,"DEEP_PERIOD_OVERRIDE",$H$19)*1,"")))</f>
        <v/>
      </c>
      <c r="BS31" s="17" t="str">
        <f>IF(OR(BS$23="",ISNA($B31)),"",IF(ISBLANK($B31),"",IFERROR(_xll.BDP(TICKER,"DEEP_MEASURE_PERIOD_BROKER_VALUE","DEEP_MEASURE_ID_OVERRIDE",$C31,"DEEP_BROKER_ID_OVERRIDE",BS$24,"DEEP_PERIOD_OVERRIDE",$H$19)*1,"")))</f>
        <v/>
      </c>
      <c r="BT31" s="17" t="str">
        <f>IF(OR(BT$23="",ISNA($B31)),"",IF(ISBLANK($B31),"",IFERROR(_xll.BDP(TICKER,"DEEP_MEASURE_PERIOD_BROKER_VALUE","DEEP_MEASURE_ID_OVERRIDE",$C31,"DEEP_BROKER_ID_OVERRIDE",BT$24,"DEEP_PERIOD_OVERRIDE",$H$19)*1,"")))</f>
        <v/>
      </c>
      <c r="BU31" s="17" t="str">
        <f>IF(OR(BU$23="",ISNA($B31)),"",IF(ISBLANK($B31),"",IFERROR(_xll.BDP(TICKER,"DEEP_MEASURE_PERIOD_BROKER_VALUE","DEEP_MEASURE_ID_OVERRIDE",$C31,"DEEP_BROKER_ID_OVERRIDE",BU$24,"DEEP_PERIOD_OVERRIDE",$H$19)*1,"")))</f>
        <v/>
      </c>
      <c r="BV31" s="17" t="str">
        <f>IF(OR(BV$23="",ISNA($B31)),"",IF(ISBLANK($B31),"",IFERROR(_xll.BDP(TICKER,"DEEP_MEASURE_PERIOD_BROKER_VALUE","DEEP_MEASURE_ID_OVERRIDE",$C31,"DEEP_BROKER_ID_OVERRIDE",BV$24,"DEEP_PERIOD_OVERRIDE",$H$19)*1,"")))</f>
        <v/>
      </c>
      <c r="BW31" s="17" t="str">
        <f>IF(OR(BW$23="",ISNA($B31)),"",IF(ISBLANK($B31),"",IFERROR(_xll.BDP(TICKER,"DEEP_MEASURE_PERIOD_BROKER_VALUE","DEEP_MEASURE_ID_OVERRIDE",$C31,"DEEP_BROKER_ID_OVERRIDE",BW$24,"DEEP_PERIOD_OVERRIDE",$H$19)*1,"")))</f>
        <v/>
      </c>
      <c r="BX31" s="17" t="str">
        <f>IF(OR(BX$23="",ISNA($B31)),"",IF(ISBLANK($B31),"",IFERROR(_xll.BDP(TICKER,"DEEP_MEASURE_PERIOD_BROKER_VALUE","DEEP_MEASURE_ID_OVERRIDE",$C31,"DEEP_BROKER_ID_OVERRIDE",BX$24,"DEEP_PERIOD_OVERRIDE",$H$19)*1,"")))</f>
        <v/>
      </c>
      <c r="BY31" s="17" t="str">
        <f>IF(OR(BY$23="",ISNA($B31)),"",IF(ISBLANK($B31),"",IFERROR(_xll.BDP(TICKER,"DEEP_MEASURE_PERIOD_BROKER_VALUE","DEEP_MEASURE_ID_OVERRIDE",$C31,"DEEP_BROKER_ID_OVERRIDE",BY$24,"DEEP_PERIOD_OVERRIDE",$H$19)*1,"")))</f>
        <v/>
      </c>
      <c r="BZ31" s="17" t="str">
        <f>IF(OR(BZ$23="",ISNA($B31)),"",IF(ISBLANK($B31),"",IFERROR(_xll.BDP(TICKER,"DEEP_MEASURE_PERIOD_BROKER_VALUE","DEEP_MEASURE_ID_OVERRIDE",$C31,"DEEP_BROKER_ID_OVERRIDE",BZ$24,"DEEP_PERIOD_OVERRIDE",$H$19)*1,"")))</f>
        <v/>
      </c>
    </row>
    <row r="32" spans="2:78" x14ac:dyDescent="0.25">
      <c r="B32" t="s">
        <v>84</v>
      </c>
      <c r="C32" s="11">
        <v>2792</v>
      </c>
      <c r="H32" t="str">
        <f t="shared" si="1"/>
        <v>Revenue per Hotel Shopper &gt; YoY Growth (%)</v>
      </c>
      <c r="I32" t="str">
        <f>IF(OR(I$23="",ISNA($B32)),"",IF(ISBLANK($B32),"",IFERROR(_xll.BDP(TICKER,"DEEP_MEASURE_PERIOD_BROKER_VALUE","DEEP_MEASURE_ID_OVERRIDE",$C32,"DEEP_PERIOD_OVERRIDE",$H$19)*1,"")))</f>
        <v/>
      </c>
      <c r="J32" t="e">
        <f>IF(OR(J$23="",ISNA($B32)),"",IF(ISBLANK($B32),"",IFERROR(_xll.BDP(TICKER,"DEEP_MEASURE_PERIOD_BROKER_VALUE","DEEP_MEASURE_ID_OVERRIDE",$C32,"DEEP_BROKER_ID_OVERRIDE",J$24,"DEEP_PERIOD_OVERRIDE",$H$19)*1,"")))</f>
        <v>#REF!</v>
      </c>
      <c r="K32" s="17" t="str">
        <f>IF(OR(K$23="",ISNA($B32)),"",IF(ISBLANK($B32),"",IFERROR(_xll.BDP(TICKER,"DEEP_MEASURE_PERIOD_BROKER_VALUE","DEEP_MEASURE_ID_OVERRIDE",$C32,"DEEP_BROKER_ID_OVERRIDE",K$24,"DEEP_PERIOD_OVERRIDE",$H$19)*1,"")))</f>
        <v/>
      </c>
      <c r="L32" s="17" t="str">
        <f>IF(OR(L$23="",ISNA($B32)),"",IF(ISBLANK($B32),"",IFERROR(_xll.BDP(TICKER,"DEEP_MEASURE_PERIOD_BROKER_VALUE","DEEP_MEASURE_ID_OVERRIDE",$C32,"DEEP_BROKER_ID_OVERRIDE",L$24,"DEEP_PERIOD_OVERRIDE",$H$19)*1,"")))</f>
        <v/>
      </c>
      <c r="M32" s="17" t="str">
        <f>IF(OR(M$23="",ISNA($B32)),"",IF(ISBLANK($B32),"",IFERROR(_xll.BDP(TICKER,"DEEP_MEASURE_PERIOD_BROKER_VALUE","DEEP_MEASURE_ID_OVERRIDE",$C32,"DEEP_BROKER_ID_OVERRIDE",M$24,"DEEP_PERIOD_OVERRIDE",$H$19)*1,"")))</f>
        <v/>
      </c>
      <c r="N32" s="17" t="str">
        <f>IF(OR(N$23="",ISNA($B32)),"",IF(ISBLANK($B32),"",IFERROR(_xll.BDP(TICKER,"DEEP_MEASURE_PERIOD_BROKER_VALUE","DEEP_MEASURE_ID_OVERRIDE",$C32,"DEEP_BROKER_ID_OVERRIDE",N$24,"DEEP_PERIOD_OVERRIDE",$H$19)*1,"")))</f>
        <v/>
      </c>
      <c r="O32" s="17" t="str">
        <f>IF(OR(O$23="",ISNA($B32)),"",IF(ISBLANK($B32),"",IFERROR(_xll.BDP(TICKER,"DEEP_MEASURE_PERIOD_BROKER_VALUE","DEEP_MEASURE_ID_OVERRIDE",$C32,"DEEP_BROKER_ID_OVERRIDE",O$24,"DEEP_PERIOD_OVERRIDE",$H$19)*1,"")))</f>
        <v/>
      </c>
      <c r="P32" s="17" t="str">
        <f>IF(OR(P$23="",ISNA($B32)),"",IF(ISBLANK($B32),"",IFERROR(_xll.BDP(TICKER,"DEEP_MEASURE_PERIOD_BROKER_VALUE","DEEP_MEASURE_ID_OVERRIDE",$C32,"DEEP_BROKER_ID_OVERRIDE",P$24,"DEEP_PERIOD_OVERRIDE",$H$19)*1,"")))</f>
        <v/>
      </c>
      <c r="Q32" s="17" t="str">
        <f>IF(OR(Q$23="",ISNA($B32)),"",IF(ISBLANK($B32),"",IFERROR(_xll.BDP(TICKER,"DEEP_MEASURE_PERIOD_BROKER_VALUE","DEEP_MEASURE_ID_OVERRIDE",$C32,"DEEP_BROKER_ID_OVERRIDE",Q$24,"DEEP_PERIOD_OVERRIDE",$H$19)*1,"")))</f>
        <v/>
      </c>
      <c r="R32" s="17" t="str">
        <f>IF(OR(R$23="",ISNA($B32)),"",IF(ISBLANK($B32),"",IFERROR(_xll.BDP(TICKER,"DEEP_MEASURE_PERIOD_BROKER_VALUE","DEEP_MEASURE_ID_OVERRIDE",$C32,"DEEP_BROKER_ID_OVERRIDE",R$24,"DEEP_PERIOD_OVERRIDE",$H$19)*1,"")))</f>
        <v/>
      </c>
      <c r="S32" s="17" t="str">
        <f>IF(OR(S$23="",ISNA($B32)),"",IF(ISBLANK($B32),"",IFERROR(_xll.BDP(TICKER,"DEEP_MEASURE_PERIOD_BROKER_VALUE","DEEP_MEASURE_ID_OVERRIDE",$C32,"DEEP_BROKER_ID_OVERRIDE",S$24,"DEEP_PERIOD_OVERRIDE",$H$19)*1,"")))</f>
        <v/>
      </c>
      <c r="T32" s="17" t="str">
        <f>IF(OR(T$23="",ISNA($B32)),"",IF(ISBLANK($B32),"",IFERROR(_xll.BDP(TICKER,"DEEP_MEASURE_PERIOD_BROKER_VALUE","DEEP_MEASURE_ID_OVERRIDE",$C32,"DEEP_BROKER_ID_OVERRIDE",T$24,"DEEP_PERIOD_OVERRIDE",$H$19)*1,"")))</f>
        <v/>
      </c>
      <c r="U32" s="17" t="str">
        <f>IF(OR(U$23="",ISNA($B32)),"",IF(ISBLANK($B32),"",IFERROR(_xll.BDP(TICKER,"DEEP_MEASURE_PERIOD_BROKER_VALUE","DEEP_MEASURE_ID_OVERRIDE",$C32,"DEEP_BROKER_ID_OVERRIDE",U$24,"DEEP_PERIOD_OVERRIDE",$H$19)*1,"")))</f>
        <v/>
      </c>
      <c r="V32" s="17" t="str">
        <f>IF(OR(V$23="",ISNA($B32)),"",IF(ISBLANK($B32),"",IFERROR(_xll.BDP(TICKER,"DEEP_MEASURE_PERIOD_BROKER_VALUE","DEEP_MEASURE_ID_OVERRIDE",$C32,"DEEP_BROKER_ID_OVERRIDE",V$24,"DEEP_PERIOD_OVERRIDE",$H$19)*1,"")))</f>
        <v/>
      </c>
      <c r="W32" s="17" t="str">
        <f>IF(OR(W$23="",ISNA($B32)),"",IF(ISBLANK($B32),"",IFERROR(_xll.BDP(TICKER,"DEEP_MEASURE_PERIOD_BROKER_VALUE","DEEP_MEASURE_ID_OVERRIDE",$C32,"DEEP_BROKER_ID_OVERRIDE",W$24,"DEEP_PERIOD_OVERRIDE",$H$19)*1,"")))</f>
        <v/>
      </c>
      <c r="X32" s="17" t="str">
        <f>IF(OR(X$23="",ISNA($B32)),"",IF(ISBLANK($B32),"",IFERROR(_xll.BDP(TICKER,"DEEP_MEASURE_PERIOD_BROKER_VALUE","DEEP_MEASURE_ID_OVERRIDE",$C32,"DEEP_BROKER_ID_OVERRIDE",X$24,"DEEP_PERIOD_OVERRIDE",$H$19)*1,"")))</f>
        <v/>
      </c>
      <c r="Y32" s="17" t="str">
        <f>IF(OR(Y$23="",ISNA($B32)),"",IF(ISBLANK($B32),"",IFERROR(_xll.BDP(TICKER,"DEEP_MEASURE_PERIOD_BROKER_VALUE","DEEP_MEASURE_ID_OVERRIDE",$C32,"DEEP_BROKER_ID_OVERRIDE",Y$24,"DEEP_PERIOD_OVERRIDE",$H$19)*1,"")))</f>
        <v/>
      </c>
      <c r="Z32" s="17" t="str">
        <f>IF(OR(Z$23="",ISNA($B32)),"",IF(ISBLANK($B32),"",IFERROR(_xll.BDP(TICKER,"DEEP_MEASURE_PERIOD_BROKER_VALUE","DEEP_MEASURE_ID_OVERRIDE",$C32,"DEEP_BROKER_ID_OVERRIDE",Z$24,"DEEP_PERIOD_OVERRIDE",$H$19)*1,"")))</f>
        <v/>
      </c>
      <c r="AA32" s="17" t="str">
        <f>IF(OR(AA$23="",ISNA($B32)),"",IF(ISBLANK($B32),"",IFERROR(_xll.BDP(TICKER,"DEEP_MEASURE_PERIOD_BROKER_VALUE","DEEP_MEASURE_ID_OVERRIDE",$C32,"DEEP_BROKER_ID_OVERRIDE",AA$24,"DEEP_PERIOD_OVERRIDE",$H$19)*1,"")))</f>
        <v/>
      </c>
      <c r="AB32" s="17" t="str">
        <f>IF(OR(AB$23="",ISNA($B32)),"",IF(ISBLANK($B32),"",IFERROR(_xll.BDP(TICKER,"DEEP_MEASURE_PERIOD_BROKER_VALUE","DEEP_MEASURE_ID_OVERRIDE",$C32,"DEEP_BROKER_ID_OVERRIDE",AB$24,"DEEP_PERIOD_OVERRIDE",$H$19)*1,"")))</f>
        <v/>
      </c>
      <c r="AC32" s="17" t="str">
        <f>IF(OR(AC$23="",ISNA($B32)),"",IF(ISBLANK($B32),"",IFERROR(_xll.BDP(TICKER,"DEEP_MEASURE_PERIOD_BROKER_VALUE","DEEP_MEASURE_ID_OVERRIDE",$C32,"DEEP_BROKER_ID_OVERRIDE",AC$24,"DEEP_PERIOD_OVERRIDE",$H$19)*1,"")))</f>
        <v/>
      </c>
      <c r="AD32" s="17" t="str">
        <f>IF(OR(AD$23="",ISNA($B32)),"",IF(ISBLANK($B32),"",IFERROR(_xll.BDP(TICKER,"DEEP_MEASURE_PERIOD_BROKER_VALUE","DEEP_MEASURE_ID_OVERRIDE",$C32,"DEEP_BROKER_ID_OVERRIDE",AD$24,"DEEP_PERIOD_OVERRIDE",$H$19)*1,"")))</f>
        <v/>
      </c>
      <c r="AE32" s="17" t="str">
        <f>IF(OR(AE$23="",ISNA($B32)),"",IF(ISBLANK($B32),"",IFERROR(_xll.BDP(TICKER,"DEEP_MEASURE_PERIOD_BROKER_VALUE","DEEP_MEASURE_ID_OVERRIDE",$C32,"DEEP_BROKER_ID_OVERRIDE",AE$24,"DEEP_PERIOD_OVERRIDE",$H$19)*1,"")))</f>
        <v/>
      </c>
      <c r="AF32" s="17" t="str">
        <f>IF(OR(AF$23="",ISNA($B32)),"",IF(ISBLANK($B32),"",IFERROR(_xll.BDP(TICKER,"DEEP_MEASURE_PERIOD_BROKER_VALUE","DEEP_MEASURE_ID_OVERRIDE",$C32,"DEEP_BROKER_ID_OVERRIDE",AF$24,"DEEP_PERIOD_OVERRIDE",$H$19)*1,"")))</f>
        <v/>
      </c>
      <c r="AG32" s="17" t="str">
        <f>IF(OR(AG$23="",ISNA($B32)),"",IF(ISBLANK($B32),"",IFERROR(_xll.BDP(TICKER,"DEEP_MEASURE_PERIOD_BROKER_VALUE","DEEP_MEASURE_ID_OVERRIDE",$C32,"DEEP_BROKER_ID_OVERRIDE",AG$24,"DEEP_PERIOD_OVERRIDE",$H$19)*1,"")))</f>
        <v/>
      </c>
      <c r="AH32" s="17" t="str">
        <f>IF(OR(AH$23="",ISNA($B32)),"",IF(ISBLANK($B32),"",IFERROR(_xll.BDP(TICKER,"DEEP_MEASURE_PERIOD_BROKER_VALUE","DEEP_MEASURE_ID_OVERRIDE",$C32,"DEEP_BROKER_ID_OVERRIDE",AH$24,"DEEP_PERIOD_OVERRIDE",$H$19)*1,"")))</f>
        <v/>
      </c>
      <c r="AI32" s="17" t="str">
        <f>IF(OR(AI$23="",ISNA($B32)),"",IF(ISBLANK($B32),"",IFERROR(_xll.BDP(TICKER,"DEEP_MEASURE_PERIOD_BROKER_VALUE","DEEP_MEASURE_ID_OVERRIDE",$C32,"DEEP_BROKER_ID_OVERRIDE",AI$24,"DEEP_PERIOD_OVERRIDE",$H$19)*1,"")))</f>
        <v/>
      </c>
      <c r="AJ32" s="17" t="str">
        <f>IF(OR(AJ$23="",ISNA($B32)),"",IF(ISBLANK($B32),"",IFERROR(_xll.BDP(TICKER,"DEEP_MEASURE_PERIOD_BROKER_VALUE","DEEP_MEASURE_ID_OVERRIDE",$C32,"DEEP_BROKER_ID_OVERRIDE",AJ$24,"DEEP_PERIOD_OVERRIDE",$H$19)*1,"")))</f>
        <v/>
      </c>
      <c r="AK32" s="17" t="str">
        <f>IF(OR(AK$23="",ISNA($B32)),"",IF(ISBLANK($B32),"",IFERROR(_xll.BDP(TICKER,"DEEP_MEASURE_PERIOD_BROKER_VALUE","DEEP_MEASURE_ID_OVERRIDE",$C32,"DEEP_BROKER_ID_OVERRIDE",AK$24,"DEEP_PERIOD_OVERRIDE",$H$19)*1,"")))</f>
        <v/>
      </c>
      <c r="AL32" s="17" t="str">
        <f>IF(OR(AL$23="",ISNA($B32)),"",IF(ISBLANK($B32),"",IFERROR(_xll.BDP(TICKER,"DEEP_MEASURE_PERIOD_BROKER_VALUE","DEEP_MEASURE_ID_OVERRIDE",$C32,"DEEP_BROKER_ID_OVERRIDE",AL$24,"DEEP_PERIOD_OVERRIDE",$H$19)*1,"")))</f>
        <v/>
      </c>
      <c r="AM32" s="17" t="str">
        <f>IF(OR(AM$23="",ISNA($B32)),"",IF(ISBLANK($B32),"",IFERROR(_xll.BDP(TICKER,"DEEP_MEASURE_PERIOD_BROKER_VALUE","DEEP_MEASURE_ID_OVERRIDE",$C32,"DEEP_BROKER_ID_OVERRIDE",AM$24,"DEEP_PERIOD_OVERRIDE",$H$19)*1,"")))</f>
        <v/>
      </c>
      <c r="AN32" s="17" t="str">
        <f>IF(OR(AN$23="",ISNA($B32)),"",IF(ISBLANK($B32),"",IFERROR(_xll.BDP(TICKER,"DEEP_MEASURE_PERIOD_BROKER_VALUE","DEEP_MEASURE_ID_OVERRIDE",$C32,"DEEP_BROKER_ID_OVERRIDE",AN$24,"DEEP_PERIOD_OVERRIDE",$H$19)*1,"")))</f>
        <v/>
      </c>
      <c r="AO32" s="17" t="str">
        <f>IF(OR(AO$23="",ISNA($B32)),"",IF(ISBLANK($B32),"",IFERROR(_xll.BDP(TICKER,"DEEP_MEASURE_PERIOD_BROKER_VALUE","DEEP_MEASURE_ID_OVERRIDE",$C32,"DEEP_BROKER_ID_OVERRIDE",AO$24,"DEEP_PERIOD_OVERRIDE",$H$19)*1,"")))</f>
        <v/>
      </c>
      <c r="AP32" s="17" t="str">
        <f>IF(OR(AP$23="",ISNA($B32)),"",IF(ISBLANK($B32),"",IFERROR(_xll.BDP(TICKER,"DEEP_MEASURE_PERIOD_BROKER_VALUE","DEEP_MEASURE_ID_OVERRIDE",$C32,"DEEP_BROKER_ID_OVERRIDE",AP$24,"DEEP_PERIOD_OVERRIDE",$H$19)*1,"")))</f>
        <v/>
      </c>
      <c r="AQ32" s="17" t="str">
        <f>IF(OR(AQ$23="",ISNA($B32)),"",IF(ISBLANK($B32),"",IFERROR(_xll.BDP(TICKER,"DEEP_MEASURE_PERIOD_BROKER_VALUE","DEEP_MEASURE_ID_OVERRIDE",$C32,"DEEP_BROKER_ID_OVERRIDE",AQ$24,"DEEP_PERIOD_OVERRIDE",$H$19)*1,"")))</f>
        <v/>
      </c>
      <c r="AR32" s="17" t="str">
        <f>IF(OR(AR$23="",ISNA($B32)),"",IF(ISBLANK($B32),"",IFERROR(_xll.BDP(TICKER,"DEEP_MEASURE_PERIOD_BROKER_VALUE","DEEP_MEASURE_ID_OVERRIDE",$C32,"DEEP_BROKER_ID_OVERRIDE",AR$24,"DEEP_PERIOD_OVERRIDE",$H$19)*1,"")))</f>
        <v/>
      </c>
      <c r="AS32" s="17" t="str">
        <f>IF(OR(AS$23="",ISNA($B32)),"",IF(ISBLANK($B32),"",IFERROR(_xll.BDP(TICKER,"DEEP_MEASURE_PERIOD_BROKER_VALUE","DEEP_MEASURE_ID_OVERRIDE",$C32,"DEEP_BROKER_ID_OVERRIDE",AS$24,"DEEP_PERIOD_OVERRIDE",$H$19)*1,"")))</f>
        <v/>
      </c>
      <c r="AT32" s="17" t="str">
        <f>IF(OR(AT$23="",ISNA($B32)),"",IF(ISBLANK($B32),"",IFERROR(_xll.BDP(TICKER,"DEEP_MEASURE_PERIOD_BROKER_VALUE","DEEP_MEASURE_ID_OVERRIDE",$C32,"DEEP_BROKER_ID_OVERRIDE",AT$24,"DEEP_PERIOD_OVERRIDE",$H$19)*1,"")))</f>
        <v/>
      </c>
      <c r="AU32" s="17" t="str">
        <f>IF(OR(AU$23="",ISNA($B32)),"",IF(ISBLANK($B32),"",IFERROR(_xll.BDP(TICKER,"DEEP_MEASURE_PERIOD_BROKER_VALUE","DEEP_MEASURE_ID_OVERRIDE",$C32,"DEEP_BROKER_ID_OVERRIDE",AU$24,"DEEP_PERIOD_OVERRIDE",$H$19)*1,"")))</f>
        <v/>
      </c>
      <c r="AV32" s="17" t="str">
        <f>IF(OR(AV$23="",ISNA($B32)),"",IF(ISBLANK($B32),"",IFERROR(_xll.BDP(TICKER,"DEEP_MEASURE_PERIOD_BROKER_VALUE","DEEP_MEASURE_ID_OVERRIDE",$C32,"DEEP_BROKER_ID_OVERRIDE",AV$24,"DEEP_PERIOD_OVERRIDE",$H$19)*1,"")))</f>
        <v/>
      </c>
      <c r="AW32" s="17" t="str">
        <f>IF(OR(AW$23="",ISNA($B32)),"",IF(ISBLANK($B32),"",IFERROR(_xll.BDP(TICKER,"DEEP_MEASURE_PERIOD_BROKER_VALUE","DEEP_MEASURE_ID_OVERRIDE",$C32,"DEEP_BROKER_ID_OVERRIDE",AW$24,"DEEP_PERIOD_OVERRIDE",$H$19)*1,"")))</f>
        <v/>
      </c>
      <c r="AX32" s="17" t="str">
        <f>IF(OR(AX$23="",ISNA($B32)),"",IF(ISBLANK($B32),"",IFERROR(_xll.BDP(TICKER,"DEEP_MEASURE_PERIOD_BROKER_VALUE","DEEP_MEASURE_ID_OVERRIDE",$C32,"DEEP_BROKER_ID_OVERRIDE",AX$24,"DEEP_PERIOD_OVERRIDE",$H$19)*1,"")))</f>
        <v/>
      </c>
      <c r="AY32" s="17" t="str">
        <f>IF(OR(AY$23="",ISNA($B32)),"",IF(ISBLANK($B32),"",IFERROR(_xll.BDP(TICKER,"DEEP_MEASURE_PERIOD_BROKER_VALUE","DEEP_MEASURE_ID_OVERRIDE",$C32,"DEEP_BROKER_ID_OVERRIDE",AY$24,"DEEP_PERIOD_OVERRIDE",$H$19)*1,"")))</f>
        <v/>
      </c>
      <c r="AZ32" s="17" t="str">
        <f>IF(OR(AZ$23="",ISNA($B32)),"",IF(ISBLANK($B32),"",IFERROR(_xll.BDP(TICKER,"DEEP_MEASURE_PERIOD_BROKER_VALUE","DEEP_MEASURE_ID_OVERRIDE",$C32,"DEEP_BROKER_ID_OVERRIDE",AZ$24,"DEEP_PERIOD_OVERRIDE",$H$19)*1,"")))</f>
        <v/>
      </c>
      <c r="BA32" s="17" t="str">
        <f>IF(OR(BA$23="",ISNA($B32)),"",IF(ISBLANK($B32),"",IFERROR(_xll.BDP(TICKER,"DEEP_MEASURE_PERIOD_BROKER_VALUE","DEEP_MEASURE_ID_OVERRIDE",$C32,"DEEP_BROKER_ID_OVERRIDE",BA$24,"DEEP_PERIOD_OVERRIDE",$H$19)*1,"")))</f>
        <v/>
      </c>
      <c r="BB32" s="17" t="str">
        <f>IF(OR(BB$23="",ISNA($B32)),"",IF(ISBLANK($B32),"",IFERROR(_xll.BDP(TICKER,"DEEP_MEASURE_PERIOD_BROKER_VALUE","DEEP_MEASURE_ID_OVERRIDE",$C32,"DEEP_BROKER_ID_OVERRIDE",BB$24,"DEEP_PERIOD_OVERRIDE",$H$19)*1,"")))</f>
        <v/>
      </c>
      <c r="BC32" s="17" t="str">
        <f>IF(OR(BC$23="",ISNA($B32)),"",IF(ISBLANK($B32),"",IFERROR(_xll.BDP(TICKER,"DEEP_MEASURE_PERIOD_BROKER_VALUE","DEEP_MEASURE_ID_OVERRIDE",$C32,"DEEP_BROKER_ID_OVERRIDE",BC$24,"DEEP_PERIOD_OVERRIDE",$H$19)*1,"")))</f>
        <v/>
      </c>
      <c r="BD32" s="17" t="str">
        <f>IF(OR(BD$23="",ISNA($B32)),"",IF(ISBLANK($B32),"",IFERROR(_xll.BDP(TICKER,"DEEP_MEASURE_PERIOD_BROKER_VALUE","DEEP_MEASURE_ID_OVERRIDE",$C32,"DEEP_BROKER_ID_OVERRIDE",BD$24,"DEEP_PERIOD_OVERRIDE",$H$19)*1,"")))</f>
        <v/>
      </c>
      <c r="BE32" s="17" t="str">
        <f>IF(OR(BE$23="",ISNA($B32)),"",IF(ISBLANK($B32),"",IFERROR(_xll.BDP(TICKER,"DEEP_MEASURE_PERIOD_BROKER_VALUE","DEEP_MEASURE_ID_OVERRIDE",$C32,"DEEP_BROKER_ID_OVERRIDE",BE$24,"DEEP_PERIOD_OVERRIDE",$H$19)*1,"")))</f>
        <v/>
      </c>
      <c r="BF32" s="17" t="str">
        <f>IF(OR(BF$23="",ISNA($B32)),"",IF(ISBLANK($B32),"",IFERROR(_xll.BDP(TICKER,"DEEP_MEASURE_PERIOD_BROKER_VALUE","DEEP_MEASURE_ID_OVERRIDE",$C32,"DEEP_BROKER_ID_OVERRIDE",BF$24,"DEEP_PERIOD_OVERRIDE",$H$19)*1,"")))</f>
        <v/>
      </c>
      <c r="BG32" s="17" t="str">
        <f>IF(OR(BG$23="",ISNA($B32)),"",IF(ISBLANK($B32),"",IFERROR(_xll.BDP(TICKER,"DEEP_MEASURE_PERIOD_BROKER_VALUE","DEEP_MEASURE_ID_OVERRIDE",$C32,"DEEP_BROKER_ID_OVERRIDE",BG$24,"DEEP_PERIOD_OVERRIDE",$H$19)*1,"")))</f>
        <v/>
      </c>
      <c r="BH32" s="17" t="str">
        <f>IF(OR(BH$23="",ISNA($B32)),"",IF(ISBLANK($B32),"",IFERROR(_xll.BDP(TICKER,"DEEP_MEASURE_PERIOD_BROKER_VALUE","DEEP_MEASURE_ID_OVERRIDE",$C32,"DEEP_BROKER_ID_OVERRIDE",BH$24,"DEEP_PERIOD_OVERRIDE",$H$19)*1,"")))</f>
        <v/>
      </c>
      <c r="BI32" s="17" t="str">
        <f>IF(OR(BI$23="",ISNA($B32)),"",IF(ISBLANK($B32),"",IFERROR(_xll.BDP(TICKER,"DEEP_MEASURE_PERIOD_BROKER_VALUE","DEEP_MEASURE_ID_OVERRIDE",$C32,"DEEP_BROKER_ID_OVERRIDE",BI$24,"DEEP_PERIOD_OVERRIDE",$H$19)*1,"")))</f>
        <v/>
      </c>
      <c r="BJ32" s="17" t="str">
        <f>IF(OR(BJ$23="",ISNA($B32)),"",IF(ISBLANK($B32),"",IFERROR(_xll.BDP(TICKER,"DEEP_MEASURE_PERIOD_BROKER_VALUE","DEEP_MEASURE_ID_OVERRIDE",$C32,"DEEP_BROKER_ID_OVERRIDE",BJ$24,"DEEP_PERIOD_OVERRIDE",$H$19)*1,"")))</f>
        <v/>
      </c>
      <c r="BK32" s="17" t="str">
        <f>IF(OR(BK$23="",ISNA($B32)),"",IF(ISBLANK($B32),"",IFERROR(_xll.BDP(TICKER,"DEEP_MEASURE_PERIOD_BROKER_VALUE","DEEP_MEASURE_ID_OVERRIDE",$C32,"DEEP_BROKER_ID_OVERRIDE",BK$24,"DEEP_PERIOD_OVERRIDE",$H$19)*1,"")))</f>
        <v/>
      </c>
      <c r="BL32" s="17" t="str">
        <f>IF(OR(BL$23="",ISNA($B32)),"",IF(ISBLANK($B32),"",IFERROR(_xll.BDP(TICKER,"DEEP_MEASURE_PERIOD_BROKER_VALUE","DEEP_MEASURE_ID_OVERRIDE",$C32,"DEEP_BROKER_ID_OVERRIDE",BL$24,"DEEP_PERIOD_OVERRIDE",$H$19)*1,"")))</f>
        <v/>
      </c>
      <c r="BM32" s="17" t="str">
        <f>IF(OR(BM$23="",ISNA($B32)),"",IF(ISBLANK($B32),"",IFERROR(_xll.BDP(TICKER,"DEEP_MEASURE_PERIOD_BROKER_VALUE","DEEP_MEASURE_ID_OVERRIDE",$C32,"DEEP_BROKER_ID_OVERRIDE",BM$24,"DEEP_PERIOD_OVERRIDE",$H$19)*1,"")))</f>
        <v/>
      </c>
      <c r="BN32" s="17" t="str">
        <f>IF(OR(BN$23="",ISNA($B32)),"",IF(ISBLANK($B32),"",IFERROR(_xll.BDP(TICKER,"DEEP_MEASURE_PERIOD_BROKER_VALUE","DEEP_MEASURE_ID_OVERRIDE",$C32,"DEEP_BROKER_ID_OVERRIDE",BN$24,"DEEP_PERIOD_OVERRIDE",$H$19)*1,"")))</f>
        <v/>
      </c>
      <c r="BO32" s="17" t="str">
        <f>IF(OR(BO$23="",ISNA($B32)),"",IF(ISBLANK($B32),"",IFERROR(_xll.BDP(TICKER,"DEEP_MEASURE_PERIOD_BROKER_VALUE","DEEP_MEASURE_ID_OVERRIDE",$C32,"DEEP_BROKER_ID_OVERRIDE",BO$24,"DEEP_PERIOD_OVERRIDE",$H$19)*1,"")))</f>
        <v/>
      </c>
      <c r="BP32" s="17" t="str">
        <f>IF(OR(BP$23="",ISNA($B32)),"",IF(ISBLANK($B32),"",IFERROR(_xll.BDP(TICKER,"DEEP_MEASURE_PERIOD_BROKER_VALUE","DEEP_MEASURE_ID_OVERRIDE",$C32,"DEEP_BROKER_ID_OVERRIDE",BP$24,"DEEP_PERIOD_OVERRIDE",$H$19)*1,"")))</f>
        <v/>
      </c>
      <c r="BQ32" s="17" t="str">
        <f>IF(OR(BQ$23="",ISNA($B32)),"",IF(ISBLANK($B32),"",IFERROR(_xll.BDP(TICKER,"DEEP_MEASURE_PERIOD_BROKER_VALUE","DEEP_MEASURE_ID_OVERRIDE",$C32,"DEEP_BROKER_ID_OVERRIDE",BQ$24,"DEEP_PERIOD_OVERRIDE",$H$19)*1,"")))</f>
        <v/>
      </c>
      <c r="BR32" s="17" t="str">
        <f>IF(OR(BR$23="",ISNA($B32)),"",IF(ISBLANK($B32),"",IFERROR(_xll.BDP(TICKER,"DEEP_MEASURE_PERIOD_BROKER_VALUE","DEEP_MEASURE_ID_OVERRIDE",$C32,"DEEP_BROKER_ID_OVERRIDE",BR$24,"DEEP_PERIOD_OVERRIDE",$H$19)*1,"")))</f>
        <v/>
      </c>
      <c r="BS32" s="17" t="str">
        <f>IF(OR(BS$23="",ISNA($B32)),"",IF(ISBLANK($B32),"",IFERROR(_xll.BDP(TICKER,"DEEP_MEASURE_PERIOD_BROKER_VALUE","DEEP_MEASURE_ID_OVERRIDE",$C32,"DEEP_BROKER_ID_OVERRIDE",BS$24,"DEEP_PERIOD_OVERRIDE",$H$19)*1,"")))</f>
        <v/>
      </c>
      <c r="BT32" s="17" t="str">
        <f>IF(OR(BT$23="",ISNA($B32)),"",IF(ISBLANK($B32),"",IFERROR(_xll.BDP(TICKER,"DEEP_MEASURE_PERIOD_BROKER_VALUE","DEEP_MEASURE_ID_OVERRIDE",$C32,"DEEP_BROKER_ID_OVERRIDE",BT$24,"DEEP_PERIOD_OVERRIDE",$H$19)*1,"")))</f>
        <v/>
      </c>
      <c r="BU32" s="17" t="str">
        <f>IF(OR(BU$23="",ISNA($B32)),"",IF(ISBLANK($B32),"",IFERROR(_xll.BDP(TICKER,"DEEP_MEASURE_PERIOD_BROKER_VALUE","DEEP_MEASURE_ID_OVERRIDE",$C32,"DEEP_BROKER_ID_OVERRIDE",BU$24,"DEEP_PERIOD_OVERRIDE",$H$19)*1,"")))</f>
        <v/>
      </c>
      <c r="BV32" s="17" t="str">
        <f>IF(OR(BV$23="",ISNA($B32)),"",IF(ISBLANK($B32),"",IFERROR(_xll.BDP(TICKER,"DEEP_MEASURE_PERIOD_BROKER_VALUE","DEEP_MEASURE_ID_OVERRIDE",$C32,"DEEP_BROKER_ID_OVERRIDE",BV$24,"DEEP_PERIOD_OVERRIDE",$H$19)*1,"")))</f>
        <v/>
      </c>
      <c r="BW32" s="17" t="str">
        <f>IF(OR(BW$23="",ISNA($B32)),"",IF(ISBLANK($B32),"",IFERROR(_xll.BDP(TICKER,"DEEP_MEASURE_PERIOD_BROKER_VALUE","DEEP_MEASURE_ID_OVERRIDE",$C32,"DEEP_BROKER_ID_OVERRIDE",BW$24,"DEEP_PERIOD_OVERRIDE",$H$19)*1,"")))</f>
        <v/>
      </c>
      <c r="BX32" s="17" t="str">
        <f>IF(OR(BX$23="",ISNA($B32)),"",IF(ISBLANK($B32),"",IFERROR(_xll.BDP(TICKER,"DEEP_MEASURE_PERIOD_BROKER_VALUE","DEEP_MEASURE_ID_OVERRIDE",$C32,"DEEP_BROKER_ID_OVERRIDE",BX$24,"DEEP_PERIOD_OVERRIDE",$H$19)*1,"")))</f>
        <v/>
      </c>
      <c r="BY32" s="17" t="str">
        <f>IF(OR(BY$23="",ISNA($B32)),"",IF(ISBLANK($B32),"",IFERROR(_xll.BDP(TICKER,"DEEP_MEASURE_PERIOD_BROKER_VALUE","DEEP_MEASURE_ID_OVERRIDE",$C32,"DEEP_BROKER_ID_OVERRIDE",BY$24,"DEEP_PERIOD_OVERRIDE",$H$19)*1,"")))</f>
        <v/>
      </c>
      <c r="BZ32" s="17" t="str">
        <f>IF(OR(BZ$23="",ISNA($B32)),"",IF(ISBLANK($B32),"",IFERROR(_xll.BDP(TICKER,"DEEP_MEASURE_PERIOD_BROKER_VALUE","DEEP_MEASURE_ID_OVERRIDE",$C32,"DEEP_BROKER_ID_OVERRIDE",BZ$24,"DEEP_PERIOD_OVERRIDE",$H$19)*1,"")))</f>
        <v/>
      </c>
    </row>
    <row r="33" spans="2:78" x14ac:dyDescent="0.25">
      <c r="B33" t="s">
        <v>85</v>
      </c>
      <c r="C33" s="11">
        <v>4903</v>
      </c>
      <c r="H33" t="str">
        <f t="shared" si="1"/>
        <v>Days in Accounts Receivables</v>
      </c>
      <c r="I33" t="str">
        <f>IF(OR(I$23="",ISNA($B33)),"",IF(ISBLANK($B33),"",IFERROR(_xll.BDP(TICKER,"DEEP_MEASURE_PERIOD_BROKER_VALUE","DEEP_MEASURE_ID_OVERRIDE",$C33,"DEEP_PERIOD_OVERRIDE",$H$19)*1,"")))</f>
        <v/>
      </c>
      <c r="J33" t="e">
        <f>IF(OR(J$23="",ISNA($B33)),"",IF(ISBLANK($B33),"",IFERROR(_xll.BDP(TICKER,"DEEP_MEASURE_PERIOD_BROKER_VALUE","DEEP_MEASURE_ID_OVERRIDE",$C33,"DEEP_BROKER_ID_OVERRIDE",J$24,"DEEP_PERIOD_OVERRIDE",$H$19)*1,"")))</f>
        <v>#REF!</v>
      </c>
      <c r="K33" s="17" t="str">
        <f>IF(OR(K$23="",ISNA($B33)),"",IF(ISBLANK($B33),"",IFERROR(_xll.BDP(TICKER,"DEEP_MEASURE_PERIOD_BROKER_VALUE","DEEP_MEASURE_ID_OVERRIDE",$C33,"DEEP_BROKER_ID_OVERRIDE",K$24,"DEEP_PERIOD_OVERRIDE",$H$19)*1,"")))</f>
        <v/>
      </c>
      <c r="L33" s="17" t="str">
        <f>IF(OR(L$23="",ISNA($B33)),"",IF(ISBLANK($B33),"",IFERROR(_xll.BDP(TICKER,"DEEP_MEASURE_PERIOD_BROKER_VALUE","DEEP_MEASURE_ID_OVERRIDE",$C33,"DEEP_BROKER_ID_OVERRIDE",L$24,"DEEP_PERIOD_OVERRIDE",$H$19)*1,"")))</f>
        <v/>
      </c>
      <c r="M33" s="17" t="str">
        <f>IF(OR(M$23="",ISNA($B33)),"",IF(ISBLANK($B33),"",IFERROR(_xll.BDP(TICKER,"DEEP_MEASURE_PERIOD_BROKER_VALUE","DEEP_MEASURE_ID_OVERRIDE",$C33,"DEEP_BROKER_ID_OVERRIDE",M$24,"DEEP_PERIOD_OVERRIDE",$H$19)*1,"")))</f>
        <v/>
      </c>
      <c r="N33" s="17" t="str">
        <f>IF(OR(N$23="",ISNA($B33)),"",IF(ISBLANK($B33),"",IFERROR(_xll.BDP(TICKER,"DEEP_MEASURE_PERIOD_BROKER_VALUE","DEEP_MEASURE_ID_OVERRIDE",$C33,"DEEP_BROKER_ID_OVERRIDE",N$24,"DEEP_PERIOD_OVERRIDE",$H$19)*1,"")))</f>
        <v/>
      </c>
      <c r="O33" s="17" t="str">
        <f>IF(OR(O$23="",ISNA($B33)),"",IF(ISBLANK($B33),"",IFERROR(_xll.BDP(TICKER,"DEEP_MEASURE_PERIOD_BROKER_VALUE","DEEP_MEASURE_ID_OVERRIDE",$C33,"DEEP_BROKER_ID_OVERRIDE",O$24,"DEEP_PERIOD_OVERRIDE",$H$19)*1,"")))</f>
        <v/>
      </c>
      <c r="P33" s="17" t="str">
        <f>IF(OR(P$23="",ISNA($B33)),"",IF(ISBLANK($B33),"",IFERROR(_xll.BDP(TICKER,"DEEP_MEASURE_PERIOD_BROKER_VALUE","DEEP_MEASURE_ID_OVERRIDE",$C33,"DEEP_BROKER_ID_OVERRIDE",P$24,"DEEP_PERIOD_OVERRIDE",$H$19)*1,"")))</f>
        <v/>
      </c>
      <c r="Q33" s="17" t="str">
        <f>IF(OR(Q$23="",ISNA($B33)),"",IF(ISBLANK($B33),"",IFERROR(_xll.BDP(TICKER,"DEEP_MEASURE_PERIOD_BROKER_VALUE","DEEP_MEASURE_ID_OVERRIDE",$C33,"DEEP_BROKER_ID_OVERRIDE",Q$24,"DEEP_PERIOD_OVERRIDE",$H$19)*1,"")))</f>
        <v/>
      </c>
      <c r="R33" s="17" t="str">
        <f>IF(OR(R$23="",ISNA($B33)),"",IF(ISBLANK($B33),"",IFERROR(_xll.BDP(TICKER,"DEEP_MEASURE_PERIOD_BROKER_VALUE","DEEP_MEASURE_ID_OVERRIDE",$C33,"DEEP_BROKER_ID_OVERRIDE",R$24,"DEEP_PERIOD_OVERRIDE",$H$19)*1,"")))</f>
        <v/>
      </c>
      <c r="S33" s="17" t="str">
        <f>IF(OR(S$23="",ISNA($B33)),"",IF(ISBLANK($B33),"",IFERROR(_xll.BDP(TICKER,"DEEP_MEASURE_PERIOD_BROKER_VALUE","DEEP_MEASURE_ID_OVERRIDE",$C33,"DEEP_BROKER_ID_OVERRIDE",S$24,"DEEP_PERIOD_OVERRIDE",$H$19)*1,"")))</f>
        <v/>
      </c>
      <c r="T33" s="17" t="str">
        <f>IF(OR(T$23="",ISNA($B33)),"",IF(ISBLANK($B33),"",IFERROR(_xll.BDP(TICKER,"DEEP_MEASURE_PERIOD_BROKER_VALUE","DEEP_MEASURE_ID_OVERRIDE",$C33,"DEEP_BROKER_ID_OVERRIDE",T$24,"DEEP_PERIOD_OVERRIDE",$H$19)*1,"")))</f>
        <v/>
      </c>
      <c r="U33" s="17" t="str">
        <f>IF(OR(U$23="",ISNA($B33)),"",IF(ISBLANK($B33),"",IFERROR(_xll.BDP(TICKER,"DEEP_MEASURE_PERIOD_BROKER_VALUE","DEEP_MEASURE_ID_OVERRIDE",$C33,"DEEP_BROKER_ID_OVERRIDE",U$24,"DEEP_PERIOD_OVERRIDE",$H$19)*1,"")))</f>
        <v/>
      </c>
      <c r="V33" s="17" t="str">
        <f>IF(OR(V$23="",ISNA($B33)),"",IF(ISBLANK($B33),"",IFERROR(_xll.BDP(TICKER,"DEEP_MEASURE_PERIOD_BROKER_VALUE","DEEP_MEASURE_ID_OVERRIDE",$C33,"DEEP_BROKER_ID_OVERRIDE",V$24,"DEEP_PERIOD_OVERRIDE",$H$19)*1,"")))</f>
        <v/>
      </c>
      <c r="W33" s="17" t="str">
        <f>IF(OR(W$23="",ISNA($B33)),"",IF(ISBLANK($B33),"",IFERROR(_xll.BDP(TICKER,"DEEP_MEASURE_PERIOD_BROKER_VALUE","DEEP_MEASURE_ID_OVERRIDE",$C33,"DEEP_BROKER_ID_OVERRIDE",W$24,"DEEP_PERIOD_OVERRIDE",$H$19)*1,"")))</f>
        <v/>
      </c>
      <c r="X33" s="17" t="str">
        <f>IF(OR(X$23="",ISNA($B33)),"",IF(ISBLANK($B33),"",IFERROR(_xll.BDP(TICKER,"DEEP_MEASURE_PERIOD_BROKER_VALUE","DEEP_MEASURE_ID_OVERRIDE",$C33,"DEEP_BROKER_ID_OVERRIDE",X$24,"DEEP_PERIOD_OVERRIDE",$H$19)*1,"")))</f>
        <v/>
      </c>
      <c r="Y33" s="17" t="str">
        <f>IF(OR(Y$23="",ISNA($B33)),"",IF(ISBLANK($B33),"",IFERROR(_xll.BDP(TICKER,"DEEP_MEASURE_PERIOD_BROKER_VALUE","DEEP_MEASURE_ID_OVERRIDE",$C33,"DEEP_BROKER_ID_OVERRIDE",Y$24,"DEEP_PERIOD_OVERRIDE",$H$19)*1,"")))</f>
        <v/>
      </c>
      <c r="Z33" s="17" t="str">
        <f>IF(OR(Z$23="",ISNA($B33)),"",IF(ISBLANK($B33),"",IFERROR(_xll.BDP(TICKER,"DEEP_MEASURE_PERIOD_BROKER_VALUE","DEEP_MEASURE_ID_OVERRIDE",$C33,"DEEP_BROKER_ID_OVERRIDE",Z$24,"DEEP_PERIOD_OVERRIDE",$H$19)*1,"")))</f>
        <v/>
      </c>
      <c r="AA33" s="17" t="str">
        <f>IF(OR(AA$23="",ISNA($B33)),"",IF(ISBLANK($B33),"",IFERROR(_xll.BDP(TICKER,"DEEP_MEASURE_PERIOD_BROKER_VALUE","DEEP_MEASURE_ID_OVERRIDE",$C33,"DEEP_BROKER_ID_OVERRIDE",AA$24,"DEEP_PERIOD_OVERRIDE",$H$19)*1,"")))</f>
        <v/>
      </c>
      <c r="AB33" s="17" t="str">
        <f>IF(OR(AB$23="",ISNA($B33)),"",IF(ISBLANK($B33),"",IFERROR(_xll.BDP(TICKER,"DEEP_MEASURE_PERIOD_BROKER_VALUE","DEEP_MEASURE_ID_OVERRIDE",$C33,"DEEP_BROKER_ID_OVERRIDE",AB$24,"DEEP_PERIOD_OVERRIDE",$H$19)*1,"")))</f>
        <v/>
      </c>
      <c r="AC33" s="17" t="str">
        <f>IF(OR(AC$23="",ISNA($B33)),"",IF(ISBLANK($B33),"",IFERROR(_xll.BDP(TICKER,"DEEP_MEASURE_PERIOD_BROKER_VALUE","DEEP_MEASURE_ID_OVERRIDE",$C33,"DEEP_BROKER_ID_OVERRIDE",AC$24,"DEEP_PERIOD_OVERRIDE",$H$19)*1,"")))</f>
        <v/>
      </c>
      <c r="AD33" s="17" t="str">
        <f>IF(OR(AD$23="",ISNA($B33)),"",IF(ISBLANK($B33),"",IFERROR(_xll.BDP(TICKER,"DEEP_MEASURE_PERIOD_BROKER_VALUE","DEEP_MEASURE_ID_OVERRIDE",$C33,"DEEP_BROKER_ID_OVERRIDE",AD$24,"DEEP_PERIOD_OVERRIDE",$H$19)*1,"")))</f>
        <v/>
      </c>
      <c r="AE33" s="17" t="str">
        <f>IF(OR(AE$23="",ISNA($B33)),"",IF(ISBLANK($B33),"",IFERROR(_xll.BDP(TICKER,"DEEP_MEASURE_PERIOD_BROKER_VALUE","DEEP_MEASURE_ID_OVERRIDE",$C33,"DEEP_BROKER_ID_OVERRIDE",AE$24,"DEEP_PERIOD_OVERRIDE",$H$19)*1,"")))</f>
        <v/>
      </c>
      <c r="AF33" s="17" t="str">
        <f>IF(OR(AF$23="",ISNA($B33)),"",IF(ISBLANK($B33),"",IFERROR(_xll.BDP(TICKER,"DEEP_MEASURE_PERIOD_BROKER_VALUE","DEEP_MEASURE_ID_OVERRIDE",$C33,"DEEP_BROKER_ID_OVERRIDE",AF$24,"DEEP_PERIOD_OVERRIDE",$H$19)*1,"")))</f>
        <v/>
      </c>
      <c r="AG33" s="17" t="str">
        <f>IF(OR(AG$23="",ISNA($B33)),"",IF(ISBLANK($B33),"",IFERROR(_xll.BDP(TICKER,"DEEP_MEASURE_PERIOD_BROKER_VALUE","DEEP_MEASURE_ID_OVERRIDE",$C33,"DEEP_BROKER_ID_OVERRIDE",AG$24,"DEEP_PERIOD_OVERRIDE",$H$19)*1,"")))</f>
        <v/>
      </c>
      <c r="AH33" s="17" t="str">
        <f>IF(OR(AH$23="",ISNA($B33)),"",IF(ISBLANK($B33),"",IFERROR(_xll.BDP(TICKER,"DEEP_MEASURE_PERIOD_BROKER_VALUE","DEEP_MEASURE_ID_OVERRIDE",$C33,"DEEP_BROKER_ID_OVERRIDE",AH$24,"DEEP_PERIOD_OVERRIDE",$H$19)*1,"")))</f>
        <v/>
      </c>
      <c r="AI33" s="17" t="str">
        <f>IF(OR(AI$23="",ISNA($B33)),"",IF(ISBLANK($B33),"",IFERROR(_xll.BDP(TICKER,"DEEP_MEASURE_PERIOD_BROKER_VALUE","DEEP_MEASURE_ID_OVERRIDE",$C33,"DEEP_BROKER_ID_OVERRIDE",AI$24,"DEEP_PERIOD_OVERRIDE",$H$19)*1,"")))</f>
        <v/>
      </c>
      <c r="AJ33" s="17" t="str">
        <f>IF(OR(AJ$23="",ISNA($B33)),"",IF(ISBLANK($B33),"",IFERROR(_xll.BDP(TICKER,"DEEP_MEASURE_PERIOD_BROKER_VALUE","DEEP_MEASURE_ID_OVERRIDE",$C33,"DEEP_BROKER_ID_OVERRIDE",AJ$24,"DEEP_PERIOD_OVERRIDE",$H$19)*1,"")))</f>
        <v/>
      </c>
      <c r="AK33" s="17" t="str">
        <f>IF(OR(AK$23="",ISNA($B33)),"",IF(ISBLANK($B33),"",IFERROR(_xll.BDP(TICKER,"DEEP_MEASURE_PERIOD_BROKER_VALUE","DEEP_MEASURE_ID_OVERRIDE",$C33,"DEEP_BROKER_ID_OVERRIDE",AK$24,"DEEP_PERIOD_OVERRIDE",$H$19)*1,"")))</f>
        <v/>
      </c>
      <c r="AL33" s="17" t="str">
        <f>IF(OR(AL$23="",ISNA($B33)),"",IF(ISBLANK($B33),"",IFERROR(_xll.BDP(TICKER,"DEEP_MEASURE_PERIOD_BROKER_VALUE","DEEP_MEASURE_ID_OVERRIDE",$C33,"DEEP_BROKER_ID_OVERRIDE",AL$24,"DEEP_PERIOD_OVERRIDE",$H$19)*1,"")))</f>
        <v/>
      </c>
      <c r="AM33" s="17" t="str">
        <f>IF(OR(AM$23="",ISNA($B33)),"",IF(ISBLANK($B33),"",IFERROR(_xll.BDP(TICKER,"DEEP_MEASURE_PERIOD_BROKER_VALUE","DEEP_MEASURE_ID_OVERRIDE",$C33,"DEEP_BROKER_ID_OVERRIDE",AM$24,"DEEP_PERIOD_OVERRIDE",$H$19)*1,"")))</f>
        <v/>
      </c>
      <c r="AN33" s="17" t="str">
        <f>IF(OR(AN$23="",ISNA($B33)),"",IF(ISBLANK($B33),"",IFERROR(_xll.BDP(TICKER,"DEEP_MEASURE_PERIOD_BROKER_VALUE","DEEP_MEASURE_ID_OVERRIDE",$C33,"DEEP_BROKER_ID_OVERRIDE",AN$24,"DEEP_PERIOD_OVERRIDE",$H$19)*1,"")))</f>
        <v/>
      </c>
      <c r="AO33" s="17" t="str">
        <f>IF(OR(AO$23="",ISNA($B33)),"",IF(ISBLANK($B33),"",IFERROR(_xll.BDP(TICKER,"DEEP_MEASURE_PERIOD_BROKER_VALUE","DEEP_MEASURE_ID_OVERRIDE",$C33,"DEEP_BROKER_ID_OVERRIDE",AO$24,"DEEP_PERIOD_OVERRIDE",$H$19)*1,"")))</f>
        <v/>
      </c>
      <c r="AP33" s="17" t="str">
        <f>IF(OR(AP$23="",ISNA($B33)),"",IF(ISBLANK($B33),"",IFERROR(_xll.BDP(TICKER,"DEEP_MEASURE_PERIOD_BROKER_VALUE","DEEP_MEASURE_ID_OVERRIDE",$C33,"DEEP_BROKER_ID_OVERRIDE",AP$24,"DEEP_PERIOD_OVERRIDE",$H$19)*1,"")))</f>
        <v/>
      </c>
      <c r="AQ33" s="17" t="str">
        <f>IF(OR(AQ$23="",ISNA($B33)),"",IF(ISBLANK($B33),"",IFERROR(_xll.BDP(TICKER,"DEEP_MEASURE_PERIOD_BROKER_VALUE","DEEP_MEASURE_ID_OVERRIDE",$C33,"DEEP_BROKER_ID_OVERRIDE",AQ$24,"DEEP_PERIOD_OVERRIDE",$H$19)*1,"")))</f>
        <v/>
      </c>
      <c r="AR33" s="17" t="str">
        <f>IF(OR(AR$23="",ISNA($B33)),"",IF(ISBLANK($B33),"",IFERROR(_xll.BDP(TICKER,"DEEP_MEASURE_PERIOD_BROKER_VALUE","DEEP_MEASURE_ID_OVERRIDE",$C33,"DEEP_BROKER_ID_OVERRIDE",AR$24,"DEEP_PERIOD_OVERRIDE",$H$19)*1,"")))</f>
        <v/>
      </c>
      <c r="AS33" s="17" t="str">
        <f>IF(OR(AS$23="",ISNA($B33)),"",IF(ISBLANK($B33),"",IFERROR(_xll.BDP(TICKER,"DEEP_MEASURE_PERIOD_BROKER_VALUE","DEEP_MEASURE_ID_OVERRIDE",$C33,"DEEP_BROKER_ID_OVERRIDE",AS$24,"DEEP_PERIOD_OVERRIDE",$H$19)*1,"")))</f>
        <v/>
      </c>
      <c r="AT33" s="17" t="str">
        <f>IF(OR(AT$23="",ISNA($B33)),"",IF(ISBLANK($B33),"",IFERROR(_xll.BDP(TICKER,"DEEP_MEASURE_PERIOD_BROKER_VALUE","DEEP_MEASURE_ID_OVERRIDE",$C33,"DEEP_BROKER_ID_OVERRIDE",AT$24,"DEEP_PERIOD_OVERRIDE",$H$19)*1,"")))</f>
        <v/>
      </c>
      <c r="AU33" s="17" t="str">
        <f>IF(OR(AU$23="",ISNA($B33)),"",IF(ISBLANK($B33),"",IFERROR(_xll.BDP(TICKER,"DEEP_MEASURE_PERIOD_BROKER_VALUE","DEEP_MEASURE_ID_OVERRIDE",$C33,"DEEP_BROKER_ID_OVERRIDE",AU$24,"DEEP_PERIOD_OVERRIDE",$H$19)*1,"")))</f>
        <v/>
      </c>
      <c r="AV33" s="17" t="str">
        <f>IF(OR(AV$23="",ISNA($B33)),"",IF(ISBLANK($B33),"",IFERROR(_xll.BDP(TICKER,"DEEP_MEASURE_PERIOD_BROKER_VALUE","DEEP_MEASURE_ID_OVERRIDE",$C33,"DEEP_BROKER_ID_OVERRIDE",AV$24,"DEEP_PERIOD_OVERRIDE",$H$19)*1,"")))</f>
        <v/>
      </c>
      <c r="AW33" s="17" t="str">
        <f>IF(OR(AW$23="",ISNA($B33)),"",IF(ISBLANK($B33),"",IFERROR(_xll.BDP(TICKER,"DEEP_MEASURE_PERIOD_BROKER_VALUE","DEEP_MEASURE_ID_OVERRIDE",$C33,"DEEP_BROKER_ID_OVERRIDE",AW$24,"DEEP_PERIOD_OVERRIDE",$H$19)*1,"")))</f>
        <v/>
      </c>
      <c r="AX33" s="17" t="str">
        <f>IF(OR(AX$23="",ISNA($B33)),"",IF(ISBLANK($B33),"",IFERROR(_xll.BDP(TICKER,"DEEP_MEASURE_PERIOD_BROKER_VALUE","DEEP_MEASURE_ID_OVERRIDE",$C33,"DEEP_BROKER_ID_OVERRIDE",AX$24,"DEEP_PERIOD_OVERRIDE",$H$19)*1,"")))</f>
        <v/>
      </c>
      <c r="AY33" s="17" t="str">
        <f>IF(OR(AY$23="",ISNA($B33)),"",IF(ISBLANK($B33),"",IFERROR(_xll.BDP(TICKER,"DEEP_MEASURE_PERIOD_BROKER_VALUE","DEEP_MEASURE_ID_OVERRIDE",$C33,"DEEP_BROKER_ID_OVERRIDE",AY$24,"DEEP_PERIOD_OVERRIDE",$H$19)*1,"")))</f>
        <v/>
      </c>
      <c r="AZ33" s="17" t="str">
        <f>IF(OR(AZ$23="",ISNA($B33)),"",IF(ISBLANK($B33),"",IFERROR(_xll.BDP(TICKER,"DEEP_MEASURE_PERIOD_BROKER_VALUE","DEEP_MEASURE_ID_OVERRIDE",$C33,"DEEP_BROKER_ID_OVERRIDE",AZ$24,"DEEP_PERIOD_OVERRIDE",$H$19)*1,"")))</f>
        <v/>
      </c>
      <c r="BA33" s="17" t="str">
        <f>IF(OR(BA$23="",ISNA($B33)),"",IF(ISBLANK($B33),"",IFERROR(_xll.BDP(TICKER,"DEEP_MEASURE_PERIOD_BROKER_VALUE","DEEP_MEASURE_ID_OVERRIDE",$C33,"DEEP_BROKER_ID_OVERRIDE",BA$24,"DEEP_PERIOD_OVERRIDE",$H$19)*1,"")))</f>
        <v/>
      </c>
      <c r="BB33" s="17" t="str">
        <f>IF(OR(BB$23="",ISNA($B33)),"",IF(ISBLANK($B33),"",IFERROR(_xll.BDP(TICKER,"DEEP_MEASURE_PERIOD_BROKER_VALUE","DEEP_MEASURE_ID_OVERRIDE",$C33,"DEEP_BROKER_ID_OVERRIDE",BB$24,"DEEP_PERIOD_OVERRIDE",$H$19)*1,"")))</f>
        <v/>
      </c>
      <c r="BC33" s="17" t="str">
        <f>IF(OR(BC$23="",ISNA($B33)),"",IF(ISBLANK($B33),"",IFERROR(_xll.BDP(TICKER,"DEEP_MEASURE_PERIOD_BROKER_VALUE","DEEP_MEASURE_ID_OVERRIDE",$C33,"DEEP_BROKER_ID_OVERRIDE",BC$24,"DEEP_PERIOD_OVERRIDE",$H$19)*1,"")))</f>
        <v/>
      </c>
      <c r="BD33" s="17" t="str">
        <f>IF(OR(BD$23="",ISNA($B33)),"",IF(ISBLANK($B33),"",IFERROR(_xll.BDP(TICKER,"DEEP_MEASURE_PERIOD_BROKER_VALUE","DEEP_MEASURE_ID_OVERRIDE",$C33,"DEEP_BROKER_ID_OVERRIDE",BD$24,"DEEP_PERIOD_OVERRIDE",$H$19)*1,"")))</f>
        <v/>
      </c>
      <c r="BE33" s="17" t="str">
        <f>IF(OR(BE$23="",ISNA($B33)),"",IF(ISBLANK($B33),"",IFERROR(_xll.BDP(TICKER,"DEEP_MEASURE_PERIOD_BROKER_VALUE","DEEP_MEASURE_ID_OVERRIDE",$C33,"DEEP_BROKER_ID_OVERRIDE",BE$24,"DEEP_PERIOD_OVERRIDE",$H$19)*1,"")))</f>
        <v/>
      </c>
      <c r="BF33" s="17" t="str">
        <f>IF(OR(BF$23="",ISNA($B33)),"",IF(ISBLANK($B33),"",IFERROR(_xll.BDP(TICKER,"DEEP_MEASURE_PERIOD_BROKER_VALUE","DEEP_MEASURE_ID_OVERRIDE",$C33,"DEEP_BROKER_ID_OVERRIDE",BF$24,"DEEP_PERIOD_OVERRIDE",$H$19)*1,"")))</f>
        <v/>
      </c>
      <c r="BG33" s="17" t="str">
        <f>IF(OR(BG$23="",ISNA($B33)),"",IF(ISBLANK($B33),"",IFERROR(_xll.BDP(TICKER,"DEEP_MEASURE_PERIOD_BROKER_VALUE","DEEP_MEASURE_ID_OVERRIDE",$C33,"DEEP_BROKER_ID_OVERRIDE",BG$24,"DEEP_PERIOD_OVERRIDE",$H$19)*1,"")))</f>
        <v/>
      </c>
      <c r="BH33" s="17" t="str">
        <f>IF(OR(BH$23="",ISNA($B33)),"",IF(ISBLANK($B33),"",IFERROR(_xll.BDP(TICKER,"DEEP_MEASURE_PERIOD_BROKER_VALUE","DEEP_MEASURE_ID_OVERRIDE",$C33,"DEEP_BROKER_ID_OVERRIDE",BH$24,"DEEP_PERIOD_OVERRIDE",$H$19)*1,"")))</f>
        <v/>
      </c>
      <c r="BI33" s="17" t="str">
        <f>IF(OR(BI$23="",ISNA($B33)),"",IF(ISBLANK($B33),"",IFERROR(_xll.BDP(TICKER,"DEEP_MEASURE_PERIOD_BROKER_VALUE","DEEP_MEASURE_ID_OVERRIDE",$C33,"DEEP_BROKER_ID_OVERRIDE",BI$24,"DEEP_PERIOD_OVERRIDE",$H$19)*1,"")))</f>
        <v/>
      </c>
      <c r="BJ33" s="17" t="str">
        <f>IF(OR(BJ$23="",ISNA($B33)),"",IF(ISBLANK($B33),"",IFERROR(_xll.BDP(TICKER,"DEEP_MEASURE_PERIOD_BROKER_VALUE","DEEP_MEASURE_ID_OVERRIDE",$C33,"DEEP_BROKER_ID_OVERRIDE",BJ$24,"DEEP_PERIOD_OVERRIDE",$H$19)*1,"")))</f>
        <v/>
      </c>
      <c r="BK33" s="17" t="str">
        <f>IF(OR(BK$23="",ISNA($B33)),"",IF(ISBLANK($B33),"",IFERROR(_xll.BDP(TICKER,"DEEP_MEASURE_PERIOD_BROKER_VALUE","DEEP_MEASURE_ID_OVERRIDE",$C33,"DEEP_BROKER_ID_OVERRIDE",BK$24,"DEEP_PERIOD_OVERRIDE",$H$19)*1,"")))</f>
        <v/>
      </c>
      <c r="BL33" s="17" t="str">
        <f>IF(OR(BL$23="",ISNA($B33)),"",IF(ISBLANK($B33),"",IFERROR(_xll.BDP(TICKER,"DEEP_MEASURE_PERIOD_BROKER_VALUE","DEEP_MEASURE_ID_OVERRIDE",$C33,"DEEP_BROKER_ID_OVERRIDE",BL$24,"DEEP_PERIOD_OVERRIDE",$H$19)*1,"")))</f>
        <v/>
      </c>
      <c r="BM33" s="17" t="str">
        <f>IF(OR(BM$23="",ISNA($B33)),"",IF(ISBLANK($B33),"",IFERROR(_xll.BDP(TICKER,"DEEP_MEASURE_PERIOD_BROKER_VALUE","DEEP_MEASURE_ID_OVERRIDE",$C33,"DEEP_BROKER_ID_OVERRIDE",BM$24,"DEEP_PERIOD_OVERRIDE",$H$19)*1,"")))</f>
        <v/>
      </c>
      <c r="BN33" s="17" t="str">
        <f>IF(OR(BN$23="",ISNA($B33)),"",IF(ISBLANK($B33),"",IFERROR(_xll.BDP(TICKER,"DEEP_MEASURE_PERIOD_BROKER_VALUE","DEEP_MEASURE_ID_OVERRIDE",$C33,"DEEP_BROKER_ID_OVERRIDE",BN$24,"DEEP_PERIOD_OVERRIDE",$H$19)*1,"")))</f>
        <v/>
      </c>
      <c r="BO33" s="17" t="str">
        <f>IF(OR(BO$23="",ISNA($B33)),"",IF(ISBLANK($B33),"",IFERROR(_xll.BDP(TICKER,"DEEP_MEASURE_PERIOD_BROKER_VALUE","DEEP_MEASURE_ID_OVERRIDE",$C33,"DEEP_BROKER_ID_OVERRIDE",BO$24,"DEEP_PERIOD_OVERRIDE",$H$19)*1,"")))</f>
        <v/>
      </c>
      <c r="BP33" s="17" t="str">
        <f>IF(OR(BP$23="",ISNA($B33)),"",IF(ISBLANK($B33),"",IFERROR(_xll.BDP(TICKER,"DEEP_MEASURE_PERIOD_BROKER_VALUE","DEEP_MEASURE_ID_OVERRIDE",$C33,"DEEP_BROKER_ID_OVERRIDE",BP$24,"DEEP_PERIOD_OVERRIDE",$H$19)*1,"")))</f>
        <v/>
      </c>
      <c r="BQ33" s="17" t="str">
        <f>IF(OR(BQ$23="",ISNA($B33)),"",IF(ISBLANK($B33),"",IFERROR(_xll.BDP(TICKER,"DEEP_MEASURE_PERIOD_BROKER_VALUE","DEEP_MEASURE_ID_OVERRIDE",$C33,"DEEP_BROKER_ID_OVERRIDE",BQ$24,"DEEP_PERIOD_OVERRIDE",$H$19)*1,"")))</f>
        <v/>
      </c>
      <c r="BR33" s="17" t="str">
        <f>IF(OR(BR$23="",ISNA($B33)),"",IF(ISBLANK($B33),"",IFERROR(_xll.BDP(TICKER,"DEEP_MEASURE_PERIOD_BROKER_VALUE","DEEP_MEASURE_ID_OVERRIDE",$C33,"DEEP_BROKER_ID_OVERRIDE",BR$24,"DEEP_PERIOD_OVERRIDE",$H$19)*1,"")))</f>
        <v/>
      </c>
      <c r="BS33" s="17" t="str">
        <f>IF(OR(BS$23="",ISNA($B33)),"",IF(ISBLANK($B33),"",IFERROR(_xll.BDP(TICKER,"DEEP_MEASURE_PERIOD_BROKER_VALUE","DEEP_MEASURE_ID_OVERRIDE",$C33,"DEEP_BROKER_ID_OVERRIDE",BS$24,"DEEP_PERIOD_OVERRIDE",$H$19)*1,"")))</f>
        <v/>
      </c>
      <c r="BT33" s="17" t="str">
        <f>IF(OR(BT$23="",ISNA($B33)),"",IF(ISBLANK($B33),"",IFERROR(_xll.BDP(TICKER,"DEEP_MEASURE_PERIOD_BROKER_VALUE","DEEP_MEASURE_ID_OVERRIDE",$C33,"DEEP_BROKER_ID_OVERRIDE",BT$24,"DEEP_PERIOD_OVERRIDE",$H$19)*1,"")))</f>
        <v/>
      </c>
      <c r="BU33" s="17" t="str">
        <f>IF(OR(BU$23="",ISNA($B33)),"",IF(ISBLANK($B33),"",IFERROR(_xll.BDP(TICKER,"DEEP_MEASURE_PERIOD_BROKER_VALUE","DEEP_MEASURE_ID_OVERRIDE",$C33,"DEEP_BROKER_ID_OVERRIDE",BU$24,"DEEP_PERIOD_OVERRIDE",$H$19)*1,"")))</f>
        <v/>
      </c>
      <c r="BV33" s="17" t="str">
        <f>IF(OR(BV$23="",ISNA($B33)),"",IF(ISBLANK($B33),"",IFERROR(_xll.BDP(TICKER,"DEEP_MEASURE_PERIOD_BROKER_VALUE","DEEP_MEASURE_ID_OVERRIDE",$C33,"DEEP_BROKER_ID_OVERRIDE",BV$24,"DEEP_PERIOD_OVERRIDE",$H$19)*1,"")))</f>
        <v/>
      </c>
      <c r="BW33" s="17" t="str">
        <f>IF(OR(BW$23="",ISNA($B33)),"",IF(ISBLANK($B33),"",IFERROR(_xll.BDP(TICKER,"DEEP_MEASURE_PERIOD_BROKER_VALUE","DEEP_MEASURE_ID_OVERRIDE",$C33,"DEEP_BROKER_ID_OVERRIDE",BW$24,"DEEP_PERIOD_OVERRIDE",$H$19)*1,"")))</f>
        <v/>
      </c>
      <c r="BX33" s="17" t="str">
        <f>IF(OR(BX$23="",ISNA($B33)),"",IF(ISBLANK($B33),"",IFERROR(_xll.BDP(TICKER,"DEEP_MEASURE_PERIOD_BROKER_VALUE","DEEP_MEASURE_ID_OVERRIDE",$C33,"DEEP_BROKER_ID_OVERRIDE",BX$24,"DEEP_PERIOD_OVERRIDE",$H$19)*1,"")))</f>
        <v/>
      </c>
      <c r="BY33" s="17" t="str">
        <f>IF(OR(BY$23="",ISNA($B33)),"",IF(ISBLANK($B33),"",IFERROR(_xll.BDP(TICKER,"DEEP_MEASURE_PERIOD_BROKER_VALUE","DEEP_MEASURE_ID_OVERRIDE",$C33,"DEEP_BROKER_ID_OVERRIDE",BY$24,"DEEP_PERIOD_OVERRIDE",$H$19)*1,"")))</f>
        <v/>
      </c>
      <c r="BZ33" s="17" t="str">
        <f>IF(OR(BZ$23="",ISNA($B33)),"",IF(ISBLANK($B33),"",IFERROR(_xll.BDP(TICKER,"DEEP_MEASURE_PERIOD_BROKER_VALUE","DEEP_MEASURE_ID_OVERRIDE",$C33,"DEEP_BROKER_ID_OVERRIDE",BZ$24,"DEEP_PERIOD_OVERRIDE",$H$19)*1,"")))</f>
        <v/>
      </c>
    </row>
    <row r="34" spans="2:78" x14ac:dyDescent="0.25">
      <c r="B34" t="s">
        <v>86</v>
      </c>
      <c r="C34" s="11">
        <v>1870</v>
      </c>
      <c r="H34" t="str">
        <f t="shared" si="1"/>
        <v>EBITDA to Free Cash Flow Conversion Rate</v>
      </c>
      <c r="I34" t="str">
        <f>IF(OR(I$23="",ISNA($B34)),"",IF(ISBLANK($B34),"",IFERROR(_xll.BDP(TICKER,"DEEP_MEASURE_PERIOD_BROKER_VALUE","DEEP_MEASURE_ID_OVERRIDE",$C34,"DEEP_PERIOD_OVERRIDE",$H$19)*1,"")))</f>
        <v/>
      </c>
      <c r="J34" t="e">
        <f>IF(OR(J$23="",ISNA($B34)),"",IF(ISBLANK($B34),"",IFERROR(_xll.BDP(TICKER,"DEEP_MEASURE_PERIOD_BROKER_VALUE","DEEP_MEASURE_ID_OVERRIDE",$C34,"DEEP_BROKER_ID_OVERRIDE",J$24,"DEEP_PERIOD_OVERRIDE",$H$19)*1,"")))</f>
        <v>#REF!</v>
      </c>
      <c r="K34" s="17" t="str">
        <f>IF(OR(K$23="",ISNA($B34)),"",IF(ISBLANK($B34),"",IFERROR(_xll.BDP(TICKER,"DEEP_MEASURE_PERIOD_BROKER_VALUE","DEEP_MEASURE_ID_OVERRIDE",$C34,"DEEP_BROKER_ID_OVERRIDE",K$24,"DEEP_PERIOD_OVERRIDE",$H$19)*1,"")))</f>
        <v/>
      </c>
      <c r="L34" s="17" t="str">
        <f>IF(OR(L$23="",ISNA($B34)),"",IF(ISBLANK($B34),"",IFERROR(_xll.BDP(TICKER,"DEEP_MEASURE_PERIOD_BROKER_VALUE","DEEP_MEASURE_ID_OVERRIDE",$C34,"DEEP_BROKER_ID_OVERRIDE",L$24,"DEEP_PERIOD_OVERRIDE",$H$19)*1,"")))</f>
        <v/>
      </c>
      <c r="M34" s="17" t="str">
        <f>IF(OR(M$23="",ISNA($B34)),"",IF(ISBLANK($B34),"",IFERROR(_xll.BDP(TICKER,"DEEP_MEASURE_PERIOD_BROKER_VALUE","DEEP_MEASURE_ID_OVERRIDE",$C34,"DEEP_BROKER_ID_OVERRIDE",M$24,"DEEP_PERIOD_OVERRIDE",$H$19)*1,"")))</f>
        <v/>
      </c>
      <c r="N34" s="17" t="str">
        <f>IF(OR(N$23="",ISNA($B34)),"",IF(ISBLANK($B34),"",IFERROR(_xll.BDP(TICKER,"DEEP_MEASURE_PERIOD_BROKER_VALUE","DEEP_MEASURE_ID_OVERRIDE",$C34,"DEEP_BROKER_ID_OVERRIDE",N$24,"DEEP_PERIOD_OVERRIDE",$H$19)*1,"")))</f>
        <v/>
      </c>
      <c r="O34" s="17" t="str">
        <f>IF(OR(O$23="",ISNA($B34)),"",IF(ISBLANK($B34),"",IFERROR(_xll.BDP(TICKER,"DEEP_MEASURE_PERIOD_BROKER_VALUE","DEEP_MEASURE_ID_OVERRIDE",$C34,"DEEP_BROKER_ID_OVERRIDE",O$24,"DEEP_PERIOD_OVERRIDE",$H$19)*1,"")))</f>
        <v/>
      </c>
      <c r="P34" s="17" t="str">
        <f>IF(OR(P$23="",ISNA($B34)),"",IF(ISBLANK($B34),"",IFERROR(_xll.BDP(TICKER,"DEEP_MEASURE_PERIOD_BROKER_VALUE","DEEP_MEASURE_ID_OVERRIDE",$C34,"DEEP_BROKER_ID_OVERRIDE",P$24,"DEEP_PERIOD_OVERRIDE",$H$19)*1,"")))</f>
        <v/>
      </c>
      <c r="Q34" s="17" t="str">
        <f>IF(OR(Q$23="",ISNA($B34)),"",IF(ISBLANK($B34),"",IFERROR(_xll.BDP(TICKER,"DEEP_MEASURE_PERIOD_BROKER_VALUE","DEEP_MEASURE_ID_OVERRIDE",$C34,"DEEP_BROKER_ID_OVERRIDE",Q$24,"DEEP_PERIOD_OVERRIDE",$H$19)*1,"")))</f>
        <v/>
      </c>
      <c r="R34" s="17" t="str">
        <f>IF(OR(R$23="",ISNA($B34)),"",IF(ISBLANK($B34),"",IFERROR(_xll.BDP(TICKER,"DEEP_MEASURE_PERIOD_BROKER_VALUE","DEEP_MEASURE_ID_OVERRIDE",$C34,"DEEP_BROKER_ID_OVERRIDE",R$24,"DEEP_PERIOD_OVERRIDE",$H$19)*1,"")))</f>
        <v/>
      </c>
      <c r="S34" s="17" t="str">
        <f>IF(OR(S$23="",ISNA($B34)),"",IF(ISBLANK($B34),"",IFERROR(_xll.BDP(TICKER,"DEEP_MEASURE_PERIOD_BROKER_VALUE","DEEP_MEASURE_ID_OVERRIDE",$C34,"DEEP_BROKER_ID_OVERRIDE",S$24,"DEEP_PERIOD_OVERRIDE",$H$19)*1,"")))</f>
        <v/>
      </c>
      <c r="T34" s="17" t="str">
        <f>IF(OR(T$23="",ISNA($B34)),"",IF(ISBLANK($B34),"",IFERROR(_xll.BDP(TICKER,"DEEP_MEASURE_PERIOD_BROKER_VALUE","DEEP_MEASURE_ID_OVERRIDE",$C34,"DEEP_BROKER_ID_OVERRIDE",T$24,"DEEP_PERIOD_OVERRIDE",$H$19)*1,"")))</f>
        <v/>
      </c>
      <c r="U34" s="17" t="str">
        <f>IF(OR(U$23="",ISNA($B34)),"",IF(ISBLANK($B34),"",IFERROR(_xll.BDP(TICKER,"DEEP_MEASURE_PERIOD_BROKER_VALUE","DEEP_MEASURE_ID_OVERRIDE",$C34,"DEEP_BROKER_ID_OVERRIDE",U$24,"DEEP_PERIOD_OVERRIDE",$H$19)*1,"")))</f>
        <v/>
      </c>
      <c r="V34" s="17" t="str">
        <f>IF(OR(V$23="",ISNA($B34)),"",IF(ISBLANK($B34),"",IFERROR(_xll.BDP(TICKER,"DEEP_MEASURE_PERIOD_BROKER_VALUE","DEEP_MEASURE_ID_OVERRIDE",$C34,"DEEP_BROKER_ID_OVERRIDE",V$24,"DEEP_PERIOD_OVERRIDE",$H$19)*1,"")))</f>
        <v/>
      </c>
      <c r="W34" s="17" t="str">
        <f>IF(OR(W$23="",ISNA($B34)),"",IF(ISBLANK($B34),"",IFERROR(_xll.BDP(TICKER,"DEEP_MEASURE_PERIOD_BROKER_VALUE","DEEP_MEASURE_ID_OVERRIDE",$C34,"DEEP_BROKER_ID_OVERRIDE",W$24,"DEEP_PERIOD_OVERRIDE",$H$19)*1,"")))</f>
        <v/>
      </c>
      <c r="X34" s="17" t="str">
        <f>IF(OR(X$23="",ISNA($B34)),"",IF(ISBLANK($B34),"",IFERROR(_xll.BDP(TICKER,"DEEP_MEASURE_PERIOD_BROKER_VALUE","DEEP_MEASURE_ID_OVERRIDE",$C34,"DEEP_BROKER_ID_OVERRIDE",X$24,"DEEP_PERIOD_OVERRIDE",$H$19)*1,"")))</f>
        <v/>
      </c>
      <c r="Y34" s="17" t="str">
        <f>IF(OR(Y$23="",ISNA($B34)),"",IF(ISBLANK($B34),"",IFERROR(_xll.BDP(TICKER,"DEEP_MEASURE_PERIOD_BROKER_VALUE","DEEP_MEASURE_ID_OVERRIDE",$C34,"DEEP_BROKER_ID_OVERRIDE",Y$24,"DEEP_PERIOD_OVERRIDE",$H$19)*1,"")))</f>
        <v/>
      </c>
      <c r="Z34" s="17" t="str">
        <f>IF(OR(Z$23="",ISNA($B34)),"",IF(ISBLANK($B34),"",IFERROR(_xll.BDP(TICKER,"DEEP_MEASURE_PERIOD_BROKER_VALUE","DEEP_MEASURE_ID_OVERRIDE",$C34,"DEEP_BROKER_ID_OVERRIDE",Z$24,"DEEP_PERIOD_OVERRIDE",$H$19)*1,"")))</f>
        <v/>
      </c>
      <c r="AA34" s="17" t="str">
        <f>IF(OR(AA$23="",ISNA($B34)),"",IF(ISBLANK($B34),"",IFERROR(_xll.BDP(TICKER,"DEEP_MEASURE_PERIOD_BROKER_VALUE","DEEP_MEASURE_ID_OVERRIDE",$C34,"DEEP_BROKER_ID_OVERRIDE",AA$24,"DEEP_PERIOD_OVERRIDE",$H$19)*1,"")))</f>
        <v/>
      </c>
      <c r="AB34" s="17" t="str">
        <f>IF(OR(AB$23="",ISNA($B34)),"",IF(ISBLANK($B34),"",IFERROR(_xll.BDP(TICKER,"DEEP_MEASURE_PERIOD_BROKER_VALUE","DEEP_MEASURE_ID_OVERRIDE",$C34,"DEEP_BROKER_ID_OVERRIDE",AB$24,"DEEP_PERIOD_OVERRIDE",$H$19)*1,"")))</f>
        <v/>
      </c>
      <c r="AC34" s="17" t="str">
        <f>IF(OR(AC$23="",ISNA($B34)),"",IF(ISBLANK($B34),"",IFERROR(_xll.BDP(TICKER,"DEEP_MEASURE_PERIOD_BROKER_VALUE","DEEP_MEASURE_ID_OVERRIDE",$C34,"DEEP_BROKER_ID_OVERRIDE",AC$24,"DEEP_PERIOD_OVERRIDE",$H$19)*1,"")))</f>
        <v/>
      </c>
      <c r="AD34" s="17" t="str">
        <f>IF(OR(AD$23="",ISNA($B34)),"",IF(ISBLANK($B34),"",IFERROR(_xll.BDP(TICKER,"DEEP_MEASURE_PERIOD_BROKER_VALUE","DEEP_MEASURE_ID_OVERRIDE",$C34,"DEEP_BROKER_ID_OVERRIDE",AD$24,"DEEP_PERIOD_OVERRIDE",$H$19)*1,"")))</f>
        <v/>
      </c>
      <c r="AE34" s="17" t="str">
        <f>IF(OR(AE$23="",ISNA($B34)),"",IF(ISBLANK($B34),"",IFERROR(_xll.BDP(TICKER,"DEEP_MEASURE_PERIOD_BROKER_VALUE","DEEP_MEASURE_ID_OVERRIDE",$C34,"DEEP_BROKER_ID_OVERRIDE",AE$24,"DEEP_PERIOD_OVERRIDE",$H$19)*1,"")))</f>
        <v/>
      </c>
      <c r="AF34" s="17" t="str">
        <f>IF(OR(AF$23="",ISNA($B34)),"",IF(ISBLANK($B34),"",IFERROR(_xll.BDP(TICKER,"DEEP_MEASURE_PERIOD_BROKER_VALUE","DEEP_MEASURE_ID_OVERRIDE",$C34,"DEEP_BROKER_ID_OVERRIDE",AF$24,"DEEP_PERIOD_OVERRIDE",$H$19)*1,"")))</f>
        <v/>
      </c>
      <c r="AG34" s="17" t="str">
        <f>IF(OR(AG$23="",ISNA($B34)),"",IF(ISBLANK($B34),"",IFERROR(_xll.BDP(TICKER,"DEEP_MEASURE_PERIOD_BROKER_VALUE","DEEP_MEASURE_ID_OVERRIDE",$C34,"DEEP_BROKER_ID_OVERRIDE",AG$24,"DEEP_PERIOD_OVERRIDE",$H$19)*1,"")))</f>
        <v/>
      </c>
      <c r="AH34" s="17" t="str">
        <f>IF(OR(AH$23="",ISNA($B34)),"",IF(ISBLANK($B34),"",IFERROR(_xll.BDP(TICKER,"DEEP_MEASURE_PERIOD_BROKER_VALUE","DEEP_MEASURE_ID_OVERRIDE",$C34,"DEEP_BROKER_ID_OVERRIDE",AH$24,"DEEP_PERIOD_OVERRIDE",$H$19)*1,"")))</f>
        <v/>
      </c>
      <c r="AI34" s="17" t="str">
        <f>IF(OR(AI$23="",ISNA($B34)),"",IF(ISBLANK($B34),"",IFERROR(_xll.BDP(TICKER,"DEEP_MEASURE_PERIOD_BROKER_VALUE","DEEP_MEASURE_ID_OVERRIDE",$C34,"DEEP_BROKER_ID_OVERRIDE",AI$24,"DEEP_PERIOD_OVERRIDE",$H$19)*1,"")))</f>
        <v/>
      </c>
      <c r="AJ34" s="17" t="str">
        <f>IF(OR(AJ$23="",ISNA($B34)),"",IF(ISBLANK($B34),"",IFERROR(_xll.BDP(TICKER,"DEEP_MEASURE_PERIOD_BROKER_VALUE","DEEP_MEASURE_ID_OVERRIDE",$C34,"DEEP_BROKER_ID_OVERRIDE",AJ$24,"DEEP_PERIOD_OVERRIDE",$H$19)*1,"")))</f>
        <v/>
      </c>
      <c r="AK34" s="17" t="str">
        <f>IF(OR(AK$23="",ISNA($B34)),"",IF(ISBLANK($B34),"",IFERROR(_xll.BDP(TICKER,"DEEP_MEASURE_PERIOD_BROKER_VALUE","DEEP_MEASURE_ID_OVERRIDE",$C34,"DEEP_BROKER_ID_OVERRIDE",AK$24,"DEEP_PERIOD_OVERRIDE",$H$19)*1,"")))</f>
        <v/>
      </c>
      <c r="AL34" s="17" t="str">
        <f>IF(OR(AL$23="",ISNA($B34)),"",IF(ISBLANK($B34),"",IFERROR(_xll.BDP(TICKER,"DEEP_MEASURE_PERIOD_BROKER_VALUE","DEEP_MEASURE_ID_OVERRIDE",$C34,"DEEP_BROKER_ID_OVERRIDE",AL$24,"DEEP_PERIOD_OVERRIDE",$H$19)*1,"")))</f>
        <v/>
      </c>
      <c r="AM34" s="17" t="str">
        <f>IF(OR(AM$23="",ISNA($B34)),"",IF(ISBLANK($B34),"",IFERROR(_xll.BDP(TICKER,"DEEP_MEASURE_PERIOD_BROKER_VALUE","DEEP_MEASURE_ID_OVERRIDE",$C34,"DEEP_BROKER_ID_OVERRIDE",AM$24,"DEEP_PERIOD_OVERRIDE",$H$19)*1,"")))</f>
        <v/>
      </c>
      <c r="AN34" s="17" t="str">
        <f>IF(OR(AN$23="",ISNA($B34)),"",IF(ISBLANK($B34),"",IFERROR(_xll.BDP(TICKER,"DEEP_MEASURE_PERIOD_BROKER_VALUE","DEEP_MEASURE_ID_OVERRIDE",$C34,"DEEP_BROKER_ID_OVERRIDE",AN$24,"DEEP_PERIOD_OVERRIDE",$H$19)*1,"")))</f>
        <v/>
      </c>
      <c r="AO34" s="17" t="str">
        <f>IF(OR(AO$23="",ISNA($B34)),"",IF(ISBLANK($B34),"",IFERROR(_xll.BDP(TICKER,"DEEP_MEASURE_PERIOD_BROKER_VALUE","DEEP_MEASURE_ID_OVERRIDE",$C34,"DEEP_BROKER_ID_OVERRIDE",AO$24,"DEEP_PERIOD_OVERRIDE",$H$19)*1,"")))</f>
        <v/>
      </c>
      <c r="AP34" s="17" t="str">
        <f>IF(OR(AP$23="",ISNA($B34)),"",IF(ISBLANK($B34),"",IFERROR(_xll.BDP(TICKER,"DEEP_MEASURE_PERIOD_BROKER_VALUE","DEEP_MEASURE_ID_OVERRIDE",$C34,"DEEP_BROKER_ID_OVERRIDE",AP$24,"DEEP_PERIOD_OVERRIDE",$H$19)*1,"")))</f>
        <v/>
      </c>
      <c r="AQ34" s="17" t="str">
        <f>IF(OR(AQ$23="",ISNA($B34)),"",IF(ISBLANK($B34),"",IFERROR(_xll.BDP(TICKER,"DEEP_MEASURE_PERIOD_BROKER_VALUE","DEEP_MEASURE_ID_OVERRIDE",$C34,"DEEP_BROKER_ID_OVERRIDE",AQ$24,"DEEP_PERIOD_OVERRIDE",$H$19)*1,"")))</f>
        <v/>
      </c>
      <c r="AR34" s="17" t="str">
        <f>IF(OR(AR$23="",ISNA($B34)),"",IF(ISBLANK($B34),"",IFERROR(_xll.BDP(TICKER,"DEEP_MEASURE_PERIOD_BROKER_VALUE","DEEP_MEASURE_ID_OVERRIDE",$C34,"DEEP_BROKER_ID_OVERRIDE",AR$24,"DEEP_PERIOD_OVERRIDE",$H$19)*1,"")))</f>
        <v/>
      </c>
      <c r="AS34" s="17" t="str">
        <f>IF(OR(AS$23="",ISNA($B34)),"",IF(ISBLANK($B34),"",IFERROR(_xll.BDP(TICKER,"DEEP_MEASURE_PERIOD_BROKER_VALUE","DEEP_MEASURE_ID_OVERRIDE",$C34,"DEEP_BROKER_ID_OVERRIDE",AS$24,"DEEP_PERIOD_OVERRIDE",$H$19)*1,"")))</f>
        <v/>
      </c>
      <c r="AT34" s="17" t="str">
        <f>IF(OR(AT$23="",ISNA($B34)),"",IF(ISBLANK($B34),"",IFERROR(_xll.BDP(TICKER,"DEEP_MEASURE_PERIOD_BROKER_VALUE","DEEP_MEASURE_ID_OVERRIDE",$C34,"DEEP_BROKER_ID_OVERRIDE",AT$24,"DEEP_PERIOD_OVERRIDE",$H$19)*1,"")))</f>
        <v/>
      </c>
      <c r="AU34" s="17" t="str">
        <f>IF(OR(AU$23="",ISNA($B34)),"",IF(ISBLANK($B34),"",IFERROR(_xll.BDP(TICKER,"DEEP_MEASURE_PERIOD_BROKER_VALUE","DEEP_MEASURE_ID_OVERRIDE",$C34,"DEEP_BROKER_ID_OVERRIDE",AU$24,"DEEP_PERIOD_OVERRIDE",$H$19)*1,"")))</f>
        <v/>
      </c>
      <c r="AV34" s="17" t="str">
        <f>IF(OR(AV$23="",ISNA($B34)),"",IF(ISBLANK($B34),"",IFERROR(_xll.BDP(TICKER,"DEEP_MEASURE_PERIOD_BROKER_VALUE","DEEP_MEASURE_ID_OVERRIDE",$C34,"DEEP_BROKER_ID_OVERRIDE",AV$24,"DEEP_PERIOD_OVERRIDE",$H$19)*1,"")))</f>
        <v/>
      </c>
      <c r="AW34" s="17" t="str">
        <f>IF(OR(AW$23="",ISNA($B34)),"",IF(ISBLANK($B34),"",IFERROR(_xll.BDP(TICKER,"DEEP_MEASURE_PERIOD_BROKER_VALUE","DEEP_MEASURE_ID_OVERRIDE",$C34,"DEEP_BROKER_ID_OVERRIDE",AW$24,"DEEP_PERIOD_OVERRIDE",$H$19)*1,"")))</f>
        <v/>
      </c>
      <c r="AX34" s="17" t="str">
        <f>IF(OR(AX$23="",ISNA($B34)),"",IF(ISBLANK($B34),"",IFERROR(_xll.BDP(TICKER,"DEEP_MEASURE_PERIOD_BROKER_VALUE","DEEP_MEASURE_ID_OVERRIDE",$C34,"DEEP_BROKER_ID_OVERRIDE",AX$24,"DEEP_PERIOD_OVERRIDE",$H$19)*1,"")))</f>
        <v/>
      </c>
      <c r="AY34" s="17" t="str">
        <f>IF(OR(AY$23="",ISNA($B34)),"",IF(ISBLANK($B34),"",IFERROR(_xll.BDP(TICKER,"DEEP_MEASURE_PERIOD_BROKER_VALUE","DEEP_MEASURE_ID_OVERRIDE",$C34,"DEEP_BROKER_ID_OVERRIDE",AY$24,"DEEP_PERIOD_OVERRIDE",$H$19)*1,"")))</f>
        <v/>
      </c>
      <c r="AZ34" s="17" t="str">
        <f>IF(OR(AZ$23="",ISNA($B34)),"",IF(ISBLANK($B34),"",IFERROR(_xll.BDP(TICKER,"DEEP_MEASURE_PERIOD_BROKER_VALUE","DEEP_MEASURE_ID_OVERRIDE",$C34,"DEEP_BROKER_ID_OVERRIDE",AZ$24,"DEEP_PERIOD_OVERRIDE",$H$19)*1,"")))</f>
        <v/>
      </c>
      <c r="BA34" s="17" t="str">
        <f>IF(OR(BA$23="",ISNA($B34)),"",IF(ISBLANK($B34),"",IFERROR(_xll.BDP(TICKER,"DEEP_MEASURE_PERIOD_BROKER_VALUE","DEEP_MEASURE_ID_OVERRIDE",$C34,"DEEP_BROKER_ID_OVERRIDE",BA$24,"DEEP_PERIOD_OVERRIDE",$H$19)*1,"")))</f>
        <v/>
      </c>
      <c r="BB34" s="17" t="str">
        <f>IF(OR(BB$23="",ISNA($B34)),"",IF(ISBLANK($B34),"",IFERROR(_xll.BDP(TICKER,"DEEP_MEASURE_PERIOD_BROKER_VALUE","DEEP_MEASURE_ID_OVERRIDE",$C34,"DEEP_BROKER_ID_OVERRIDE",BB$24,"DEEP_PERIOD_OVERRIDE",$H$19)*1,"")))</f>
        <v/>
      </c>
      <c r="BC34" s="17" t="str">
        <f>IF(OR(BC$23="",ISNA($B34)),"",IF(ISBLANK($B34),"",IFERROR(_xll.BDP(TICKER,"DEEP_MEASURE_PERIOD_BROKER_VALUE","DEEP_MEASURE_ID_OVERRIDE",$C34,"DEEP_BROKER_ID_OVERRIDE",BC$24,"DEEP_PERIOD_OVERRIDE",$H$19)*1,"")))</f>
        <v/>
      </c>
      <c r="BD34" s="17" t="str">
        <f>IF(OR(BD$23="",ISNA($B34)),"",IF(ISBLANK($B34),"",IFERROR(_xll.BDP(TICKER,"DEEP_MEASURE_PERIOD_BROKER_VALUE","DEEP_MEASURE_ID_OVERRIDE",$C34,"DEEP_BROKER_ID_OVERRIDE",BD$24,"DEEP_PERIOD_OVERRIDE",$H$19)*1,"")))</f>
        <v/>
      </c>
      <c r="BE34" s="17" t="str">
        <f>IF(OR(BE$23="",ISNA($B34)),"",IF(ISBLANK($B34),"",IFERROR(_xll.BDP(TICKER,"DEEP_MEASURE_PERIOD_BROKER_VALUE","DEEP_MEASURE_ID_OVERRIDE",$C34,"DEEP_BROKER_ID_OVERRIDE",BE$24,"DEEP_PERIOD_OVERRIDE",$H$19)*1,"")))</f>
        <v/>
      </c>
      <c r="BF34" s="17" t="str">
        <f>IF(OR(BF$23="",ISNA($B34)),"",IF(ISBLANK($B34),"",IFERROR(_xll.BDP(TICKER,"DEEP_MEASURE_PERIOD_BROKER_VALUE","DEEP_MEASURE_ID_OVERRIDE",$C34,"DEEP_BROKER_ID_OVERRIDE",BF$24,"DEEP_PERIOD_OVERRIDE",$H$19)*1,"")))</f>
        <v/>
      </c>
      <c r="BG34" s="17" t="str">
        <f>IF(OR(BG$23="",ISNA($B34)),"",IF(ISBLANK($B34),"",IFERROR(_xll.BDP(TICKER,"DEEP_MEASURE_PERIOD_BROKER_VALUE","DEEP_MEASURE_ID_OVERRIDE",$C34,"DEEP_BROKER_ID_OVERRIDE",BG$24,"DEEP_PERIOD_OVERRIDE",$H$19)*1,"")))</f>
        <v/>
      </c>
      <c r="BH34" s="17" t="str">
        <f>IF(OR(BH$23="",ISNA($B34)),"",IF(ISBLANK($B34),"",IFERROR(_xll.BDP(TICKER,"DEEP_MEASURE_PERIOD_BROKER_VALUE","DEEP_MEASURE_ID_OVERRIDE",$C34,"DEEP_BROKER_ID_OVERRIDE",BH$24,"DEEP_PERIOD_OVERRIDE",$H$19)*1,"")))</f>
        <v/>
      </c>
      <c r="BI34" s="17" t="str">
        <f>IF(OR(BI$23="",ISNA($B34)),"",IF(ISBLANK($B34),"",IFERROR(_xll.BDP(TICKER,"DEEP_MEASURE_PERIOD_BROKER_VALUE","DEEP_MEASURE_ID_OVERRIDE",$C34,"DEEP_BROKER_ID_OVERRIDE",BI$24,"DEEP_PERIOD_OVERRIDE",$H$19)*1,"")))</f>
        <v/>
      </c>
      <c r="BJ34" s="17" t="str">
        <f>IF(OR(BJ$23="",ISNA($B34)),"",IF(ISBLANK($B34),"",IFERROR(_xll.BDP(TICKER,"DEEP_MEASURE_PERIOD_BROKER_VALUE","DEEP_MEASURE_ID_OVERRIDE",$C34,"DEEP_BROKER_ID_OVERRIDE",BJ$24,"DEEP_PERIOD_OVERRIDE",$H$19)*1,"")))</f>
        <v/>
      </c>
      <c r="BK34" s="17" t="str">
        <f>IF(OR(BK$23="",ISNA($B34)),"",IF(ISBLANK($B34),"",IFERROR(_xll.BDP(TICKER,"DEEP_MEASURE_PERIOD_BROKER_VALUE","DEEP_MEASURE_ID_OVERRIDE",$C34,"DEEP_BROKER_ID_OVERRIDE",BK$24,"DEEP_PERIOD_OVERRIDE",$H$19)*1,"")))</f>
        <v/>
      </c>
      <c r="BL34" s="17" t="str">
        <f>IF(OR(BL$23="",ISNA($B34)),"",IF(ISBLANK($B34),"",IFERROR(_xll.BDP(TICKER,"DEEP_MEASURE_PERIOD_BROKER_VALUE","DEEP_MEASURE_ID_OVERRIDE",$C34,"DEEP_BROKER_ID_OVERRIDE",BL$24,"DEEP_PERIOD_OVERRIDE",$H$19)*1,"")))</f>
        <v/>
      </c>
      <c r="BM34" s="17" t="str">
        <f>IF(OR(BM$23="",ISNA($B34)),"",IF(ISBLANK($B34),"",IFERROR(_xll.BDP(TICKER,"DEEP_MEASURE_PERIOD_BROKER_VALUE","DEEP_MEASURE_ID_OVERRIDE",$C34,"DEEP_BROKER_ID_OVERRIDE",BM$24,"DEEP_PERIOD_OVERRIDE",$H$19)*1,"")))</f>
        <v/>
      </c>
      <c r="BN34" s="17" t="str">
        <f>IF(OR(BN$23="",ISNA($B34)),"",IF(ISBLANK($B34),"",IFERROR(_xll.BDP(TICKER,"DEEP_MEASURE_PERIOD_BROKER_VALUE","DEEP_MEASURE_ID_OVERRIDE",$C34,"DEEP_BROKER_ID_OVERRIDE",BN$24,"DEEP_PERIOD_OVERRIDE",$H$19)*1,"")))</f>
        <v/>
      </c>
      <c r="BO34" s="17" t="str">
        <f>IF(OR(BO$23="",ISNA($B34)),"",IF(ISBLANK($B34),"",IFERROR(_xll.BDP(TICKER,"DEEP_MEASURE_PERIOD_BROKER_VALUE","DEEP_MEASURE_ID_OVERRIDE",$C34,"DEEP_BROKER_ID_OVERRIDE",BO$24,"DEEP_PERIOD_OVERRIDE",$H$19)*1,"")))</f>
        <v/>
      </c>
      <c r="BP34" s="17" t="str">
        <f>IF(OR(BP$23="",ISNA($B34)),"",IF(ISBLANK($B34),"",IFERROR(_xll.BDP(TICKER,"DEEP_MEASURE_PERIOD_BROKER_VALUE","DEEP_MEASURE_ID_OVERRIDE",$C34,"DEEP_BROKER_ID_OVERRIDE",BP$24,"DEEP_PERIOD_OVERRIDE",$H$19)*1,"")))</f>
        <v/>
      </c>
      <c r="BQ34" s="17" t="str">
        <f>IF(OR(BQ$23="",ISNA($B34)),"",IF(ISBLANK($B34),"",IFERROR(_xll.BDP(TICKER,"DEEP_MEASURE_PERIOD_BROKER_VALUE","DEEP_MEASURE_ID_OVERRIDE",$C34,"DEEP_BROKER_ID_OVERRIDE",BQ$24,"DEEP_PERIOD_OVERRIDE",$H$19)*1,"")))</f>
        <v/>
      </c>
      <c r="BR34" s="17" t="str">
        <f>IF(OR(BR$23="",ISNA($B34)),"",IF(ISBLANK($B34),"",IFERROR(_xll.BDP(TICKER,"DEEP_MEASURE_PERIOD_BROKER_VALUE","DEEP_MEASURE_ID_OVERRIDE",$C34,"DEEP_BROKER_ID_OVERRIDE",BR$24,"DEEP_PERIOD_OVERRIDE",$H$19)*1,"")))</f>
        <v/>
      </c>
      <c r="BS34" s="17" t="str">
        <f>IF(OR(BS$23="",ISNA($B34)),"",IF(ISBLANK($B34),"",IFERROR(_xll.BDP(TICKER,"DEEP_MEASURE_PERIOD_BROKER_VALUE","DEEP_MEASURE_ID_OVERRIDE",$C34,"DEEP_BROKER_ID_OVERRIDE",BS$24,"DEEP_PERIOD_OVERRIDE",$H$19)*1,"")))</f>
        <v/>
      </c>
      <c r="BT34" s="17" t="str">
        <f>IF(OR(BT$23="",ISNA($B34)),"",IF(ISBLANK($B34),"",IFERROR(_xll.BDP(TICKER,"DEEP_MEASURE_PERIOD_BROKER_VALUE","DEEP_MEASURE_ID_OVERRIDE",$C34,"DEEP_BROKER_ID_OVERRIDE",BT$24,"DEEP_PERIOD_OVERRIDE",$H$19)*1,"")))</f>
        <v/>
      </c>
      <c r="BU34" s="17" t="str">
        <f>IF(OR(BU$23="",ISNA($B34)),"",IF(ISBLANK($B34),"",IFERROR(_xll.BDP(TICKER,"DEEP_MEASURE_PERIOD_BROKER_VALUE","DEEP_MEASURE_ID_OVERRIDE",$C34,"DEEP_BROKER_ID_OVERRIDE",BU$24,"DEEP_PERIOD_OVERRIDE",$H$19)*1,"")))</f>
        <v/>
      </c>
      <c r="BV34" s="17" t="str">
        <f>IF(OR(BV$23="",ISNA($B34)),"",IF(ISBLANK($B34),"",IFERROR(_xll.BDP(TICKER,"DEEP_MEASURE_PERIOD_BROKER_VALUE","DEEP_MEASURE_ID_OVERRIDE",$C34,"DEEP_BROKER_ID_OVERRIDE",BV$24,"DEEP_PERIOD_OVERRIDE",$H$19)*1,"")))</f>
        <v/>
      </c>
      <c r="BW34" s="17" t="str">
        <f>IF(OR(BW$23="",ISNA($B34)),"",IF(ISBLANK($B34),"",IFERROR(_xll.BDP(TICKER,"DEEP_MEASURE_PERIOD_BROKER_VALUE","DEEP_MEASURE_ID_OVERRIDE",$C34,"DEEP_BROKER_ID_OVERRIDE",BW$24,"DEEP_PERIOD_OVERRIDE",$H$19)*1,"")))</f>
        <v/>
      </c>
      <c r="BX34" s="17" t="str">
        <f>IF(OR(BX$23="",ISNA($B34)),"",IF(ISBLANK($B34),"",IFERROR(_xll.BDP(TICKER,"DEEP_MEASURE_PERIOD_BROKER_VALUE","DEEP_MEASURE_ID_OVERRIDE",$C34,"DEEP_BROKER_ID_OVERRIDE",BX$24,"DEEP_PERIOD_OVERRIDE",$H$19)*1,"")))</f>
        <v/>
      </c>
      <c r="BY34" s="17" t="str">
        <f>IF(OR(BY$23="",ISNA($B34)),"",IF(ISBLANK($B34),"",IFERROR(_xll.BDP(TICKER,"DEEP_MEASURE_PERIOD_BROKER_VALUE","DEEP_MEASURE_ID_OVERRIDE",$C34,"DEEP_BROKER_ID_OVERRIDE",BY$24,"DEEP_PERIOD_OVERRIDE",$H$19)*1,"")))</f>
        <v/>
      </c>
      <c r="BZ34" s="17" t="str">
        <f>IF(OR(BZ$23="",ISNA($B34)),"",IF(ISBLANK($B34),"",IFERROR(_xll.BDP(TICKER,"DEEP_MEASURE_PERIOD_BROKER_VALUE","DEEP_MEASURE_ID_OVERRIDE",$C34,"DEEP_BROKER_ID_OVERRIDE",BZ$24,"DEEP_PERIOD_OVERRIDE",$H$19)*1,"")))</f>
        <v/>
      </c>
    </row>
    <row r="35" spans="2:78" x14ac:dyDescent="0.25">
      <c r="B35" t="s">
        <v>41</v>
      </c>
      <c r="C35" s="11">
        <v>9836</v>
      </c>
      <c r="H35" t="str">
        <f t="shared" si="1"/>
        <v>Hotels, Media &amp; Platform &gt; Revenue</v>
      </c>
      <c r="I35" t="str">
        <f>IF(OR(I$23="",ISNA($B35)),"",IF(ISBLANK($B35),"",IFERROR(_xll.BDP(TICKER,"DEEP_MEASURE_PERIOD_BROKER_VALUE","DEEP_MEASURE_ID_OVERRIDE",$C35,"DEEP_PERIOD_OVERRIDE",$H$19)*1,"")))</f>
        <v/>
      </c>
      <c r="J35" t="e">
        <f>IF(OR(J$23="",ISNA($B35)),"",IF(ISBLANK($B35),"",IFERROR(_xll.BDP(TICKER,"DEEP_MEASURE_PERIOD_BROKER_VALUE","DEEP_MEASURE_ID_OVERRIDE",$C35,"DEEP_BROKER_ID_OVERRIDE",J$24,"DEEP_PERIOD_OVERRIDE",$H$19)*1,"")))</f>
        <v>#REF!</v>
      </c>
      <c r="K35" s="17" t="str">
        <f>IF(OR(K$23="",ISNA($B35)),"",IF(ISBLANK($B35),"",IFERROR(_xll.BDP(TICKER,"DEEP_MEASURE_PERIOD_BROKER_VALUE","DEEP_MEASURE_ID_OVERRIDE",$C35,"DEEP_BROKER_ID_OVERRIDE",K$24,"DEEP_PERIOD_OVERRIDE",$H$19)*1,"")))</f>
        <v/>
      </c>
      <c r="L35" s="17" t="str">
        <f>IF(OR(L$23="",ISNA($B35)),"",IF(ISBLANK($B35),"",IFERROR(_xll.BDP(TICKER,"DEEP_MEASURE_PERIOD_BROKER_VALUE","DEEP_MEASURE_ID_OVERRIDE",$C35,"DEEP_BROKER_ID_OVERRIDE",L$24,"DEEP_PERIOD_OVERRIDE",$H$19)*1,"")))</f>
        <v/>
      </c>
      <c r="M35" s="17" t="str">
        <f>IF(OR(M$23="",ISNA($B35)),"",IF(ISBLANK($B35),"",IFERROR(_xll.BDP(TICKER,"DEEP_MEASURE_PERIOD_BROKER_VALUE","DEEP_MEASURE_ID_OVERRIDE",$C35,"DEEP_BROKER_ID_OVERRIDE",M$24,"DEEP_PERIOD_OVERRIDE",$H$19)*1,"")))</f>
        <v/>
      </c>
      <c r="N35" s="17" t="str">
        <f>IF(OR(N$23="",ISNA($B35)),"",IF(ISBLANK($B35),"",IFERROR(_xll.BDP(TICKER,"DEEP_MEASURE_PERIOD_BROKER_VALUE","DEEP_MEASURE_ID_OVERRIDE",$C35,"DEEP_BROKER_ID_OVERRIDE",N$24,"DEEP_PERIOD_OVERRIDE",$H$19)*1,"")))</f>
        <v/>
      </c>
      <c r="O35" s="17" t="str">
        <f>IF(OR(O$23="",ISNA($B35)),"",IF(ISBLANK($B35),"",IFERROR(_xll.BDP(TICKER,"DEEP_MEASURE_PERIOD_BROKER_VALUE","DEEP_MEASURE_ID_OVERRIDE",$C35,"DEEP_BROKER_ID_OVERRIDE",O$24,"DEEP_PERIOD_OVERRIDE",$H$19)*1,"")))</f>
        <v/>
      </c>
      <c r="P35" s="17" t="str">
        <f>IF(OR(P$23="",ISNA($B35)),"",IF(ISBLANK($B35),"",IFERROR(_xll.BDP(TICKER,"DEEP_MEASURE_PERIOD_BROKER_VALUE","DEEP_MEASURE_ID_OVERRIDE",$C35,"DEEP_BROKER_ID_OVERRIDE",P$24,"DEEP_PERIOD_OVERRIDE",$H$19)*1,"")))</f>
        <v/>
      </c>
      <c r="Q35" s="17" t="str">
        <f>IF(OR(Q$23="",ISNA($B35)),"",IF(ISBLANK($B35),"",IFERROR(_xll.BDP(TICKER,"DEEP_MEASURE_PERIOD_BROKER_VALUE","DEEP_MEASURE_ID_OVERRIDE",$C35,"DEEP_BROKER_ID_OVERRIDE",Q$24,"DEEP_PERIOD_OVERRIDE",$H$19)*1,"")))</f>
        <v/>
      </c>
      <c r="R35" s="17" t="str">
        <f>IF(OR(R$23="",ISNA($B35)),"",IF(ISBLANK($B35),"",IFERROR(_xll.BDP(TICKER,"DEEP_MEASURE_PERIOD_BROKER_VALUE","DEEP_MEASURE_ID_OVERRIDE",$C35,"DEEP_BROKER_ID_OVERRIDE",R$24,"DEEP_PERIOD_OVERRIDE",$H$19)*1,"")))</f>
        <v/>
      </c>
      <c r="S35" s="17" t="str">
        <f>IF(OR(S$23="",ISNA($B35)),"",IF(ISBLANK($B35),"",IFERROR(_xll.BDP(TICKER,"DEEP_MEASURE_PERIOD_BROKER_VALUE","DEEP_MEASURE_ID_OVERRIDE",$C35,"DEEP_BROKER_ID_OVERRIDE",S$24,"DEEP_PERIOD_OVERRIDE",$H$19)*1,"")))</f>
        <v/>
      </c>
      <c r="T35" s="17" t="str">
        <f>IF(OR(T$23="",ISNA($B35)),"",IF(ISBLANK($B35),"",IFERROR(_xll.BDP(TICKER,"DEEP_MEASURE_PERIOD_BROKER_VALUE","DEEP_MEASURE_ID_OVERRIDE",$C35,"DEEP_BROKER_ID_OVERRIDE",T$24,"DEEP_PERIOD_OVERRIDE",$H$19)*1,"")))</f>
        <v/>
      </c>
      <c r="U35" s="17" t="str">
        <f>IF(OR(U$23="",ISNA($B35)),"",IF(ISBLANK($B35),"",IFERROR(_xll.BDP(TICKER,"DEEP_MEASURE_PERIOD_BROKER_VALUE","DEEP_MEASURE_ID_OVERRIDE",$C35,"DEEP_BROKER_ID_OVERRIDE",U$24,"DEEP_PERIOD_OVERRIDE",$H$19)*1,"")))</f>
        <v/>
      </c>
      <c r="V35" s="17" t="str">
        <f>IF(OR(V$23="",ISNA($B35)),"",IF(ISBLANK($B35),"",IFERROR(_xll.BDP(TICKER,"DEEP_MEASURE_PERIOD_BROKER_VALUE","DEEP_MEASURE_ID_OVERRIDE",$C35,"DEEP_BROKER_ID_OVERRIDE",V$24,"DEEP_PERIOD_OVERRIDE",$H$19)*1,"")))</f>
        <v/>
      </c>
      <c r="W35" s="17" t="str">
        <f>IF(OR(W$23="",ISNA($B35)),"",IF(ISBLANK($B35),"",IFERROR(_xll.BDP(TICKER,"DEEP_MEASURE_PERIOD_BROKER_VALUE","DEEP_MEASURE_ID_OVERRIDE",$C35,"DEEP_BROKER_ID_OVERRIDE",W$24,"DEEP_PERIOD_OVERRIDE",$H$19)*1,"")))</f>
        <v/>
      </c>
      <c r="X35" s="17" t="str">
        <f>IF(OR(X$23="",ISNA($B35)),"",IF(ISBLANK($B35),"",IFERROR(_xll.BDP(TICKER,"DEEP_MEASURE_PERIOD_BROKER_VALUE","DEEP_MEASURE_ID_OVERRIDE",$C35,"DEEP_BROKER_ID_OVERRIDE",X$24,"DEEP_PERIOD_OVERRIDE",$H$19)*1,"")))</f>
        <v/>
      </c>
      <c r="Y35" s="17" t="str">
        <f>IF(OR(Y$23="",ISNA($B35)),"",IF(ISBLANK($B35),"",IFERROR(_xll.BDP(TICKER,"DEEP_MEASURE_PERIOD_BROKER_VALUE","DEEP_MEASURE_ID_OVERRIDE",$C35,"DEEP_BROKER_ID_OVERRIDE",Y$24,"DEEP_PERIOD_OVERRIDE",$H$19)*1,"")))</f>
        <v/>
      </c>
      <c r="Z35" s="17" t="str">
        <f>IF(OR(Z$23="",ISNA($B35)),"",IF(ISBLANK($B35),"",IFERROR(_xll.BDP(TICKER,"DEEP_MEASURE_PERIOD_BROKER_VALUE","DEEP_MEASURE_ID_OVERRIDE",$C35,"DEEP_BROKER_ID_OVERRIDE",Z$24,"DEEP_PERIOD_OVERRIDE",$H$19)*1,"")))</f>
        <v/>
      </c>
      <c r="AA35" s="17" t="str">
        <f>IF(OR(AA$23="",ISNA($B35)),"",IF(ISBLANK($B35),"",IFERROR(_xll.BDP(TICKER,"DEEP_MEASURE_PERIOD_BROKER_VALUE","DEEP_MEASURE_ID_OVERRIDE",$C35,"DEEP_BROKER_ID_OVERRIDE",AA$24,"DEEP_PERIOD_OVERRIDE",$H$19)*1,"")))</f>
        <v/>
      </c>
      <c r="AB35" s="17" t="str">
        <f>IF(OR(AB$23="",ISNA($B35)),"",IF(ISBLANK($B35),"",IFERROR(_xll.BDP(TICKER,"DEEP_MEASURE_PERIOD_BROKER_VALUE","DEEP_MEASURE_ID_OVERRIDE",$C35,"DEEP_BROKER_ID_OVERRIDE",AB$24,"DEEP_PERIOD_OVERRIDE",$H$19)*1,"")))</f>
        <v/>
      </c>
      <c r="AC35" s="17" t="str">
        <f>IF(OR(AC$23="",ISNA($B35)),"",IF(ISBLANK($B35),"",IFERROR(_xll.BDP(TICKER,"DEEP_MEASURE_PERIOD_BROKER_VALUE","DEEP_MEASURE_ID_OVERRIDE",$C35,"DEEP_BROKER_ID_OVERRIDE",AC$24,"DEEP_PERIOD_OVERRIDE",$H$19)*1,"")))</f>
        <v/>
      </c>
      <c r="AD35" s="17" t="str">
        <f>IF(OR(AD$23="",ISNA($B35)),"",IF(ISBLANK($B35),"",IFERROR(_xll.BDP(TICKER,"DEEP_MEASURE_PERIOD_BROKER_VALUE","DEEP_MEASURE_ID_OVERRIDE",$C35,"DEEP_BROKER_ID_OVERRIDE",AD$24,"DEEP_PERIOD_OVERRIDE",$H$19)*1,"")))</f>
        <v/>
      </c>
      <c r="AE35" s="17" t="str">
        <f>IF(OR(AE$23="",ISNA($B35)),"",IF(ISBLANK($B35),"",IFERROR(_xll.BDP(TICKER,"DEEP_MEASURE_PERIOD_BROKER_VALUE","DEEP_MEASURE_ID_OVERRIDE",$C35,"DEEP_BROKER_ID_OVERRIDE",AE$24,"DEEP_PERIOD_OVERRIDE",$H$19)*1,"")))</f>
        <v/>
      </c>
      <c r="AF35" s="17" t="str">
        <f>IF(OR(AF$23="",ISNA($B35)),"",IF(ISBLANK($B35),"",IFERROR(_xll.BDP(TICKER,"DEEP_MEASURE_PERIOD_BROKER_VALUE","DEEP_MEASURE_ID_OVERRIDE",$C35,"DEEP_BROKER_ID_OVERRIDE",AF$24,"DEEP_PERIOD_OVERRIDE",$H$19)*1,"")))</f>
        <v/>
      </c>
      <c r="AG35" s="17" t="str">
        <f>IF(OR(AG$23="",ISNA($B35)),"",IF(ISBLANK($B35),"",IFERROR(_xll.BDP(TICKER,"DEEP_MEASURE_PERIOD_BROKER_VALUE","DEEP_MEASURE_ID_OVERRIDE",$C35,"DEEP_BROKER_ID_OVERRIDE",AG$24,"DEEP_PERIOD_OVERRIDE",$H$19)*1,"")))</f>
        <v/>
      </c>
      <c r="AH35" s="17" t="str">
        <f>IF(OR(AH$23="",ISNA($B35)),"",IF(ISBLANK($B35),"",IFERROR(_xll.BDP(TICKER,"DEEP_MEASURE_PERIOD_BROKER_VALUE","DEEP_MEASURE_ID_OVERRIDE",$C35,"DEEP_BROKER_ID_OVERRIDE",AH$24,"DEEP_PERIOD_OVERRIDE",$H$19)*1,"")))</f>
        <v/>
      </c>
      <c r="AI35" s="17" t="str">
        <f>IF(OR(AI$23="",ISNA($B35)),"",IF(ISBLANK($B35),"",IFERROR(_xll.BDP(TICKER,"DEEP_MEASURE_PERIOD_BROKER_VALUE","DEEP_MEASURE_ID_OVERRIDE",$C35,"DEEP_BROKER_ID_OVERRIDE",AI$24,"DEEP_PERIOD_OVERRIDE",$H$19)*1,"")))</f>
        <v/>
      </c>
      <c r="AJ35" s="17" t="str">
        <f>IF(OR(AJ$23="",ISNA($B35)),"",IF(ISBLANK($B35),"",IFERROR(_xll.BDP(TICKER,"DEEP_MEASURE_PERIOD_BROKER_VALUE","DEEP_MEASURE_ID_OVERRIDE",$C35,"DEEP_BROKER_ID_OVERRIDE",AJ$24,"DEEP_PERIOD_OVERRIDE",$H$19)*1,"")))</f>
        <v/>
      </c>
      <c r="AK35" s="17" t="str">
        <f>IF(OR(AK$23="",ISNA($B35)),"",IF(ISBLANK($B35),"",IFERROR(_xll.BDP(TICKER,"DEEP_MEASURE_PERIOD_BROKER_VALUE","DEEP_MEASURE_ID_OVERRIDE",$C35,"DEEP_BROKER_ID_OVERRIDE",AK$24,"DEEP_PERIOD_OVERRIDE",$H$19)*1,"")))</f>
        <v/>
      </c>
      <c r="AL35" s="17" t="str">
        <f>IF(OR(AL$23="",ISNA($B35)),"",IF(ISBLANK($B35),"",IFERROR(_xll.BDP(TICKER,"DEEP_MEASURE_PERIOD_BROKER_VALUE","DEEP_MEASURE_ID_OVERRIDE",$C35,"DEEP_BROKER_ID_OVERRIDE",AL$24,"DEEP_PERIOD_OVERRIDE",$H$19)*1,"")))</f>
        <v/>
      </c>
      <c r="AM35" s="17" t="str">
        <f>IF(OR(AM$23="",ISNA($B35)),"",IF(ISBLANK($B35),"",IFERROR(_xll.BDP(TICKER,"DEEP_MEASURE_PERIOD_BROKER_VALUE","DEEP_MEASURE_ID_OVERRIDE",$C35,"DEEP_BROKER_ID_OVERRIDE",AM$24,"DEEP_PERIOD_OVERRIDE",$H$19)*1,"")))</f>
        <v/>
      </c>
      <c r="AN35" s="17" t="str">
        <f>IF(OR(AN$23="",ISNA($B35)),"",IF(ISBLANK($B35),"",IFERROR(_xll.BDP(TICKER,"DEEP_MEASURE_PERIOD_BROKER_VALUE","DEEP_MEASURE_ID_OVERRIDE",$C35,"DEEP_BROKER_ID_OVERRIDE",AN$24,"DEEP_PERIOD_OVERRIDE",$H$19)*1,"")))</f>
        <v/>
      </c>
      <c r="AO35" s="17" t="str">
        <f>IF(OR(AO$23="",ISNA($B35)),"",IF(ISBLANK($B35),"",IFERROR(_xll.BDP(TICKER,"DEEP_MEASURE_PERIOD_BROKER_VALUE","DEEP_MEASURE_ID_OVERRIDE",$C35,"DEEP_BROKER_ID_OVERRIDE",AO$24,"DEEP_PERIOD_OVERRIDE",$H$19)*1,"")))</f>
        <v/>
      </c>
      <c r="AP35" s="17" t="str">
        <f>IF(OR(AP$23="",ISNA($B35)),"",IF(ISBLANK($B35),"",IFERROR(_xll.BDP(TICKER,"DEEP_MEASURE_PERIOD_BROKER_VALUE","DEEP_MEASURE_ID_OVERRIDE",$C35,"DEEP_BROKER_ID_OVERRIDE",AP$24,"DEEP_PERIOD_OVERRIDE",$H$19)*1,"")))</f>
        <v/>
      </c>
      <c r="AQ35" s="17" t="str">
        <f>IF(OR(AQ$23="",ISNA($B35)),"",IF(ISBLANK($B35),"",IFERROR(_xll.BDP(TICKER,"DEEP_MEASURE_PERIOD_BROKER_VALUE","DEEP_MEASURE_ID_OVERRIDE",$C35,"DEEP_BROKER_ID_OVERRIDE",AQ$24,"DEEP_PERIOD_OVERRIDE",$H$19)*1,"")))</f>
        <v/>
      </c>
      <c r="AR35" s="17" t="str">
        <f>IF(OR(AR$23="",ISNA($B35)),"",IF(ISBLANK($B35),"",IFERROR(_xll.BDP(TICKER,"DEEP_MEASURE_PERIOD_BROKER_VALUE","DEEP_MEASURE_ID_OVERRIDE",$C35,"DEEP_BROKER_ID_OVERRIDE",AR$24,"DEEP_PERIOD_OVERRIDE",$H$19)*1,"")))</f>
        <v/>
      </c>
      <c r="AS35" s="17" t="str">
        <f>IF(OR(AS$23="",ISNA($B35)),"",IF(ISBLANK($B35),"",IFERROR(_xll.BDP(TICKER,"DEEP_MEASURE_PERIOD_BROKER_VALUE","DEEP_MEASURE_ID_OVERRIDE",$C35,"DEEP_BROKER_ID_OVERRIDE",AS$24,"DEEP_PERIOD_OVERRIDE",$H$19)*1,"")))</f>
        <v/>
      </c>
      <c r="AT35" s="17" t="str">
        <f>IF(OR(AT$23="",ISNA($B35)),"",IF(ISBLANK($B35),"",IFERROR(_xll.BDP(TICKER,"DEEP_MEASURE_PERIOD_BROKER_VALUE","DEEP_MEASURE_ID_OVERRIDE",$C35,"DEEP_BROKER_ID_OVERRIDE",AT$24,"DEEP_PERIOD_OVERRIDE",$H$19)*1,"")))</f>
        <v/>
      </c>
      <c r="AU35" s="17" t="str">
        <f>IF(OR(AU$23="",ISNA($B35)),"",IF(ISBLANK($B35),"",IFERROR(_xll.BDP(TICKER,"DEEP_MEASURE_PERIOD_BROKER_VALUE","DEEP_MEASURE_ID_OVERRIDE",$C35,"DEEP_BROKER_ID_OVERRIDE",AU$24,"DEEP_PERIOD_OVERRIDE",$H$19)*1,"")))</f>
        <v/>
      </c>
      <c r="AV35" s="17" t="str">
        <f>IF(OR(AV$23="",ISNA($B35)),"",IF(ISBLANK($B35),"",IFERROR(_xll.BDP(TICKER,"DEEP_MEASURE_PERIOD_BROKER_VALUE","DEEP_MEASURE_ID_OVERRIDE",$C35,"DEEP_BROKER_ID_OVERRIDE",AV$24,"DEEP_PERIOD_OVERRIDE",$H$19)*1,"")))</f>
        <v/>
      </c>
      <c r="AW35" s="17" t="str">
        <f>IF(OR(AW$23="",ISNA($B35)),"",IF(ISBLANK($B35),"",IFERROR(_xll.BDP(TICKER,"DEEP_MEASURE_PERIOD_BROKER_VALUE","DEEP_MEASURE_ID_OVERRIDE",$C35,"DEEP_BROKER_ID_OVERRIDE",AW$24,"DEEP_PERIOD_OVERRIDE",$H$19)*1,"")))</f>
        <v/>
      </c>
      <c r="AX35" s="17" t="str">
        <f>IF(OR(AX$23="",ISNA($B35)),"",IF(ISBLANK($B35),"",IFERROR(_xll.BDP(TICKER,"DEEP_MEASURE_PERIOD_BROKER_VALUE","DEEP_MEASURE_ID_OVERRIDE",$C35,"DEEP_BROKER_ID_OVERRIDE",AX$24,"DEEP_PERIOD_OVERRIDE",$H$19)*1,"")))</f>
        <v/>
      </c>
      <c r="AY35" s="17" t="str">
        <f>IF(OR(AY$23="",ISNA($B35)),"",IF(ISBLANK($B35),"",IFERROR(_xll.BDP(TICKER,"DEEP_MEASURE_PERIOD_BROKER_VALUE","DEEP_MEASURE_ID_OVERRIDE",$C35,"DEEP_BROKER_ID_OVERRIDE",AY$24,"DEEP_PERIOD_OVERRIDE",$H$19)*1,"")))</f>
        <v/>
      </c>
      <c r="AZ35" s="17" t="str">
        <f>IF(OR(AZ$23="",ISNA($B35)),"",IF(ISBLANK($B35),"",IFERROR(_xll.BDP(TICKER,"DEEP_MEASURE_PERIOD_BROKER_VALUE","DEEP_MEASURE_ID_OVERRIDE",$C35,"DEEP_BROKER_ID_OVERRIDE",AZ$24,"DEEP_PERIOD_OVERRIDE",$H$19)*1,"")))</f>
        <v/>
      </c>
      <c r="BA35" s="17" t="str">
        <f>IF(OR(BA$23="",ISNA($B35)),"",IF(ISBLANK($B35),"",IFERROR(_xll.BDP(TICKER,"DEEP_MEASURE_PERIOD_BROKER_VALUE","DEEP_MEASURE_ID_OVERRIDE",$C35,"DEEP_BROKER_ID_OVERRIDE",BA$24,"DEEP_PERIOD_OVERRIDE",$H$19)*1,"")))</f>
        <v/>
      </c>
      <c r="BB35" s="17" t="str">
        <f>IF(OR(BB$23="",ISNA($B35)),"",IF(ISBLANK($B35),"",IFERROR(_xll.BDP(TICKER,"DEEP_MEASURE_PERIOD_BROKER_VALUE","DEEP_MEASURE_ID_OVERRIDE",$C35,"DEEP_BROKER_ID_OVERRIDE",BB$24,"DEEP_PERIOD_OVERRIDE",$H$19)*1,"")))</f>
        <v/>
      </c>
      <c r="BC35" s="17" t="str">
        <f>IF(OR(BC$23="",ISNA($B35)),"",IF(ISBLANK($B35),"",IFERROR(_xll.BDP(TICKER,"DEEP_MEASURE_PERIOD_BROKER_VALUE","DEEP_MEASURE_ID_OVERRIDE",$C35,"DEEP_BROKER_ID_OVERRIDE",BC$24,"DEEP_PERIOD_OVERRIDE",$H$19)*1,"")))</f>
        <v/>
      </c>
      <c r="BD35" s="17" t="str">
        <f>IF(OR(BD$23="",ISNA($B35)),"",IF(ISBLANK($B35),"",IFERROR(_xll.BDP(TICKER,"DEEP_MEASURE_PERIOD_BROKER_VALUE","DEEP_MEASURE_ID_OVERRIDE",$C35,"DEEP_BROKER_ID_OVERRIDE",BD$24,"DEEP_PERIOD_OVERRIDE",$H$19)*1,"")))</f>
        <v/>
      </c>
      <c r="BE35" s="17" t="str">
        <f>IF(OR(BE$23="",ISNA($B35)),"",IF(ISBLANK($B35),"",IFERROR(_xll.BDP(TICKER,"DEEP_MEASURE_PERIOD_BROKER_VALUE","DEEP_MEASURE_ID_OVERRIDE",$C35,"DEEP_BROKER_ID_OVERRIDE",BE$24,"DEEP_PERIOD_OVERRIDE",$H$19)*1,"")))</f>
        <v/>
      </c>
      <c r="BF35" s="17" t="str">
        <f>IF(OR(BF$23="",ISNA($B35)),"",IF(ISBLANK($B35),"",IFERROR(_xll.BDP(TICKER,"DEEP_MEASURE_PERIOD_BROKER_VALUE","DEEP_MEASURE_ID_OVERRIDE",$C35,"DEEP_BROKER_ID_OVERRIDE",BF$24,"DEEP_PERIOD_OVERRIDE",$H$19)*1,"")))</f>
        <v/>
      </c>
      <c r="BG35" s="17" t="str">
        <f>IF(OR(BG$23="",ISNA($B35)),"",IF(ISBLANK($B35),"",IFERROR(_xll.BDP(TICKER,"DEEP_MEASURE_PERIOD_BROKER_VALUE","DEEP_MEASURE_ID_OVERRIDE",$C35,"DEEP_BROKER_ID_OVERRIDE",BG$24,"DEEP_PERIOD_OVERRIDE",$H$19)*1,"")))</f>
        <v/>
      </c>
      <c r="BH35" s="17" t="str">
        <f>IF(OR(BH$23="",ISNA($B35)),"",IF(ISBLANK($B35),"",IFERROR(_xll.BDP(TICKER,"DEEP_MEASURE_PERIOD_BROKER_VALUE","DEEP_MEASURE_ID_OVERRIDE",$C35,"DEEP_BROKER_ID_OVERRIDE",BH$24,"DEEP_PERIOD_OVERRIDE",$H$19)*1,"")))</f>
        <v/>
      </c>
      <c r="BI35" s="17" t="str">
        <f>IF(OR(BI$23="",ISNA($B35)),"",IF(ISBLANK($B35),"",IFERROR(_xll.BDP(TICKER,"DEEP_MEASURE_PERIOD_BROKER_VALUE","DEEP_MEASURE_ID_OVERRIDE",$C35,"DEEP_BROKER_ID_OVERRIDE",BI$24,"DEEP_PERIOD_OVERRIDE",$H$19)*1,"")))</f>
        <v/>
      </c>
      <c r="BJ35" s="17" t="str">
        <f>IF(OR(BJ$23="",ISNA($B35)),"",IF(ISBLANK($B35),"",IFERROR(_xll.BDP(TICKER,"DEEP_MEASURE_PERIOD_BROKER_VALUE","DEEP_MEASURE_ID_OVERRIDE",$C35,"DEEP_BROKER_ID_OVERRIDE",BJ$24,"DEEP_PERIOD_OVERRIDE",$H$19)*1,"")))</f>
        <v/>
      </c>
      <c r="BK35" s="17" t="str">
        <f>IF(OR(BK$23="",ISNA($B35)),"",IF(ISBLANK($B35),"",IFERROR(_xll.BDP(TICKER,"DEEP_MEASURE_PERIOD_BROKER_VALUE","DEEP_MEASURE_ID_OVERRIDE",$C35,"DEEP_BROKER_ID_OVERRIDE",BK$24,"DEEP_PERIOD_OVERRIDE",$H$19)*1,"")))</f>
        <v/>
      </c>
      <c r="BL35" s="17" t="str">
        <f>IF(OR(BL$23="",ISNA($B35)),"",IF(ISBLANK($B35),"",IFERROR(_xll.BDP(TICKER,"DEEP_MEASURE_PERIOD_BROKER_VALUE","DEEP_MEASURE_ID_OVERRIDE",$C35,"DEEP_BROKER_ID_OVERRIDE",BL$24,"DEEP_PERIOD_OVERRIDE",$H$19)*1,"")))</f>
        <v/>
      </c>
      <c r="BM35" s="17" t="str">
        <f>IF(OR(BM$23="",ISNA($B35)),"",IF(ISBLANK($B35),"",IFERROR(_xll.BDP(TICKER,"DEEP_MEASURE_PERIOD_BROKER_VALUE","DEEP_MEASURE_ID_OVERRIDE",$C35,"DEEP_BROKER_ID_OVERRIDE",BM$24,"DEEP_PERIOD_OVERRIDE",$H$19)*1,"")))</f>
        <v/>
      </c>
      <c r="BN35" s="17" t="str">
        <f>IF(OR(BN$23="",ISNA($B35)),"",IF(ISBLANK($B35),"",IFERROR(_xll.BDP(TICKER,"DEEP_MEASURE_PERIOD_BROKER_VALUE","DEEP_MEASURE_ID_OVERRIDE",$C35,"DEEP_BROKER_ID_OVERRIDE",BN$24,"DEEP_PERIOD_OVERRIDE",$H$19)*1,"")))</f>
        <v/>
      </c>
      <c r="BO35" s="17" t="str">
        <f>IF(OR(BO$23="",ISNA($B35)),"",IF(ISBLANK($B35),"",IFERROR(_xll.BDP(TICKER,"DEEP_MEASURE_PERIOD_BROKER_VALUE","DEEP_MEASURE_ID_OVERRIDE",$C35,"DEEP_BROKER_ID_OVERRIDE",BO$24,"DEEP_PERIOD_OVERRIDE",$H$19)*1,"")))</f>
        <v/>
      </c>
      <c r="BP35" s="17" t="str">
        <f>IF(OR(BP$23="",ISNA($B35)),"",IF(ISBLANK($B35),"",IFERROR(_xll.BDP(TICKER,"DEEP_MEASURE_PERIOD_BROKER_VALUE","DEEP_MEASURE_ID_OVERRIDE",$C35,"DEEP_BROKER_ID_OVERRIDE",BP$24,"DEEP_PERIOD_OVERRIDE",$H$19)*1,"")))</f>
        <v/>
      </c>
      <c r="BQ35" s="17" t="str">
        <f>IF(OR(BQ$23="",ISNA($B35)),"",IF(ISBLANK($B35),"",IFERROR(_xll.BDP(TICKER,"DEEP_MEASURE_PERIOD_BROKER_VALUE","DEEP_MEASURE_ID_OVERRIDE",$C35,"DEEP_BROKER_ID_OVERRIDE",BQ$24,"DEEP_PERIOD_OVERRIDE",$H$19)*1,"")))</f>
        <v/>
      </c>
      <c r="BR35" s="17" t="str">
        <f>IF(OR(BR$23="",ISNA($B35)),"",IF(ISBLANK($B35),"",IFERROR(_xll.BDP(TICKER,"DEEP_MEASURE_PERIOD_BROKER_VALUE","DEEP_MEASURE_ID_OVERRIDE",$C35,"DEEP_BROKER_ID_OVERRIDE",BR$24,"DEEP_PERIOD_OVERRIDE",$H$19)*1,"")))</f>
        <v/>
      </c>
      <c r="BS35" s="17" t="str">
        <f>IF(OR(BS$23="",ISNA($B35)),"",IF(ISBLANK($B35),"",IFERROR(_xll.BDP(TICKER,"DEEP_MEASURE_PERIOD_BROKER_VALUE","DEEP_MEASURE_ID_OVERRIDE",$C35,"DEEP_BROKER_ID_OVERRIDE",BS$24,"DEEP_PERIOD_OVERRIDE",$H$19)*1,"")))</f>
        <v/>
      </c>
      <c r="BT35" s="17" t="str">
        <f>IF(OR(BT$23="",ISNA($B35)),"",IF(ISBLANK($B35),"",IFERROR(_xll.BDP(TICKER,"DEEP_MEASURE_PERIOD_BROKER_VALUE","DEEP_MEASURE_ID_OVERRIDE",$C35,"DEEP_BROKER_ID_OVERRIDE",BT$24,"DEEP_PERIOD_OVERRIDE",$H$19)*1,"")))</f>
        <v/>
      </c>
      <c r="BU35" s="17" t="str">
        <f>IF(OR(BU$23="",ISNA($B35)),"",IF(ISBLANK($B35),"",IFERROR(_xll.BDP(TICKER,"DEEP_MEASURE_PERIOD_BROKER_VALUE","DEEP_MEASURE_ID_OVERRIDE",$C35,"DEEP_BROKER_ID_OVERRIDE",BU$24,"DEEP_PERIOD_OVERRIDE",$H$19)*1,"")))</f>
        <v/>
      </c>
      <c r="BV35" s="17" t="str">
        <f>IF(OR(BV$23="",ISNA($B35)),"",IF(ISBLANK($B35),"",IFERROR(_xll.BDP(TICKER,"DEEP_MEASURE_PERIOD_BROKER_VALUE","DEEP_MEASURE_ID_OVERRIDE",$C35,"DEEP_BROKER_ID_OVERRIDE",BV$24,"DEEP_PERIOD_OVERRIDE",$H$19)*1,"")))</f>
        <v/>
      </c>
      <c r="BW35" s="17" t="str">
        <f>IF(OR(BW$23="",ISNA($B35)),"",IF(ISBLANK($B35),"",IFERROR(_xll.BDP(TICKER,"DEEP_MEASURE_PERIOD_BROKER_VALUE","DEEP_MEASURE_ID_OVERRIDE",$C35,"DEEP_BROKER_ID_OVERRIDE",BW$24,"DEEP_PERIOD_OVERRIDE",$H$19)*1,"")))</f>
        <v/>
      </c>
      <c r="BX35" s="17" t="str">
        <f>IF(OR(BX$23="",ISNA($B35)),"",IF(ISBLANK($B35),"",IFERROR(_xll.BDP(TICKER,"DEEP_MEASURE_PERIOD_BROKER_VALUE","DEEP_MEASURE_ID_OVERRIDE",$C35,"DEEP_BROKER_ID_OVERRIDE",BX$24,"DEEP_PERIOD_OVERRIDE",$H$19)*1,"")))</f>
        <v/>
      </c>
      <c r="BY35" s="17" t="str">
        <f>IF(OR(BY$23="",ISNA($B35)),"",IF(ISBLANK($B35),"",IFERROR(_xll.BDP(TICKER,"DEEP_MEASURE_PERIOD_BROKER_VALUE","DEEP_MEASURE_ID_OVERRIDE",$C35,"DEEP_BROKER_ID_OVERRIDE",BY$24,"DEEP_PERIOD_OVERRIDE",$H$19)*1,"")))</f>
        <v/>
      </c>
      <c r="BZ35" s="17" t="str">
        <f>IF(OR(BZ$23="",ISNA($B35)),"",IF(ISBLANK($B35),"",IFERROR(_xll.BDP(TICKER,"DEEP_MEASURE_PERIOD_BROKER_VALUE","DEEP_MEASURE_ID_OVERRIDE",$C35,"DEEP_BROKER_ID_OVERRIDE",BZ$24,"DEEP_PERIOD_OVERRIDE",$H$19)*1,"")))</f>
        <v/>
      </c>
    </row>
    <row r="36" spans="2:78" x14ac:dyDescent="0.25">
      <c r="B36" t="s">
        <v>87</v>
      </c>
      <c r="C36" s="11">
        <v>9893</v>
      </c>
      <c r="H36" t="str">
        <f t="shared" si="1"/>
        <v>Hotels, Media &amp; Platform &gt; Revenue &gt; As % of Revenue</v>
      </c>
      <c r="I36" t="str">
        <f>IF(OR(I$23="",ISNA($B36)),"",IF(ISBLANK($B36),"",IFERROR(_xll.BDP(TICKER,"DEEP_MEASURE_PERIOD_BROKER_VALUE","DEEP_MEASURE_ID_OVERRIDE",$C36,"DEEP_PERIOD_OVERRIDE",$H$19)*1,"")))</f>
        <v/>
      </c>
      <c r="J36" t="e">
        <f>IF(OR(J$23="",ISNA($B36)),"",IF(ISBLANK($B36),"",IFERROR(_xll.BDP(TICKER,"DEEP_MEASURE_PERIOD_BROKER_VALUE","DEEP_MEASURE_ID_OVERRIDE",$C36,"DEEP_BROKER_ID_OVERRIDE",J$24,"DEEP_PERIOD_OVERRIDE",$H$19)*1,"")))</f>
        <v>#REF!</v>
      </c>
      <c r="K36" s="17" t="str">
        <f>IF(OR(K$23="",ISNA($B36)),"",IF(ISBLANK($B36),"",IFERROR(_xll.BDP(TICKER,"DEEP_MEASURE_PERIOD_BROKER_VALUE","DEEP_MEASURE_ID_OVERRIDE",$C36,"DEEP_BROKER_ID_OVERRIDE",K$24,"DEEP_PERIOD_OVERRIDE",$H$19)*1,"")))</f>
        <v/>
      </c>
      <c r="L36" s="17" t="str">
        <f>IF(OR(L$23="",ISNA($B36)),"",IF(ISBLANK($B36),"",IFERROR(_xll.BDP(TICKER,"DEEP_MEASURE_PERIOD_BROKER_VALUE","DEEP_MEASURE_ID_OVERRIDE",$C36,"DEEP_BROKER_ID_OVERRIDE",L$24,"DEEP_PERIOD_OVERRIDE",$H$19)*1,"")))</f>
        <v/>
      </c>
      <c r="M36" s="17" t="str">
        <f>IF(OR(M$23="",ISNA($B36)),"",IF(ISBLANK($B36),"",IFERROR(_xll.BDP(TICKER,"DEEP_MEASURE_PERIOD_BROKER_VALUE","DEEP_MEASURE_ID_OVERRIDE",$C36,"DEEP_BROKER_ID_OVERRIDE",M$24,"DEEP_PERIOD_OVERRIDE",$H$19)*1,"")))</f>
        <v/>
      </c>
      <c r="N36" s="17" t="str">
        <f>IF(OR(N$23="",ISNA($B36)),"",IF(ISBLANK($B36),"",IFERROR(_xll.BDP(TICKER,"DEEP_MEASURE_PERIOD_BROKER_VALUE","DEEP_MEASURE_ID_OVERRIDE",$C36,"DEEP_BROKER_ID_OVERRIDE",N$24,"DEEP_PERIOD_OVERRIDE",$H$19)*1,"")))</f>
        <v/>
      </c>
      <c r="O36" s="17" t="str">
        <f>IF(OR(O$23="",ISNA($B36)),"",IF(ISBLANK($B36),"",IFERROR(_xll.BDP(TICKER,"DEEP_MEASURE_PERIOD_BROKER_VALUE","DEEP_MEASURE_ID_OVERRIDE",$C36,"DEEP_BROKER_ID_OVERRIDE",O$24,"DEEP_PERIOD_OVERRIDE",$H$19)*1,"")))</f>
        <v/>
      </c>
      <c r="P36" s="17" t="str">
        <f>IF(OR(P$23="",ISNA($B36)),"",IF(ISBLANK($B36),"",IFERROR(_xll.BDP(TICKER,"DEEP_MEASURE_PERIOD_BROKER_VALUE","DEEP_MEASURE_ID_OVERRIDE",$C36,"DEEP_BROKER_ID_OVERRIDE",P$24,"DEEP_PERIOD_OVERRIDE",$H$19)*1,"")))</f>
        <v/>
      </c>
      <c r="Q36" s="17" t="str">
        <f>IF(OR(Q$23="",ISNA($B36)),"",IF(ISBLANK($B36),"",IFERROR(_xll.BDP(TICKER,"DEEP_MEASURE_PERIOD_BROKER_VALUE","DEEP_MEASURE_ID_OVERRIDE",$C36,"DEEP_BROKER_ID_OVERRIDE",Q$24,"DEEP_PERIOD_OVERRIDE",$H$19)*1,"")))</f>
        <v/>
      </c>
      <c r="R36" s="17" t="str">
        <f>IF(OR(R$23="",ISNA($B36)),"",IF(ISBLANK($B36),"",IFERROR(_xll.BDP(TICKER,"DEEP_MEASURE_PERIOD_BROKER_VALUE","DEEP_MEASURE_ID_OVERRIDE",$C36,"DEEP_BROKER_ID_OVERRIDE",R$24,"DEEP_PERIOD_OVERRIDE",$H$19)*1,"")))</f>
        <v/>
      </c>
      <c r="S36" s="17" t="str">
        <f>IF(OR(S$23="",ISNA($B36)),"",IF(ISBLANK($B36),"",IFERROR(_xll.BDP(TICKER,"DEEP_MEASURE_PERIOD_BROKER_VALUE","DEEP_MEASURE_ID_OVERRIDE",$C36,"DEEP_BROKER_ID_OVERRIDE",S$24,"DEEP_PERIOD_OVERRIDE",$H$19)*1,"")))</f>
        <v/>
      </c>
      <c r="T36" s="17" t="str">
        <f>IF(OR(T$23="",ISNA($B36)),"",IF(ISBLANK($B36),"",IFERROR(_xll.BDP(TICKER,"DEEP_MEASURE_PERIOD_BROKER_VALUE","DEEP_MEASURE_ID_OVERRIDE",$C36,"DEEP_BROKER_ID_OVERRIDE",T$24,"DEEP_PERIOD_OVERRIDE",$H$19)*1,"")))</f>
        <v/>
      </c>
      <c r="U36" s="17" t="str">
        <f>IF(OR(U$23="",ISNA($B36)),"",IF(ISBLANK($B36),"",IFERROR(_xll.BDP(TICKER,"DEEP_MEASURE_PERIOD_BROKER_VALUE","DEEP_MEASURE_ID_OVERRIDE",$C36,"DEEP_BROKER_ID_OVERRIDE",U$24,"DEEP_PERIOD_OVERRIDE",$H$19)*1,"")))</f>
        <v/>
      </c>
      <c r="V36" s="17" t="str">
        <f>IF(OR(V$23="",ISNA($B36)),"",IF(ISBLANK($B36),"",IFERROR(_xll.BDP(TICKER,"DEEP_MEASURE_PERIOD_BROKER_VALUE","DEEP_MEASURE_ID_OVERRIDE",$C36,"DEEP_BROKER_ID_OVERRIDE",V$24,"DEEP_PERIOD_OVERRIDE",$H$19)*1,"")))</f>
        <v/>
      </c>
      <c r="W36" s="17" t="str">
        <f>IF(OR(W$23="",ISNA($B36)),"",IF(ISBLANK($B36),"",IFERROR(_xll.BDP(TICKER,"DEEP_MEASURE_PERIOD_BROKER_VALUE","DEEP_MEASURE_ID_OVERRIDE",$C36,"DEEP_BROKER_ID_OVERRIDE",W$24,"DEEP_PERIOD_OVERRIDE",$H$19)*1,"")))</f>
        <v/>
      </c>
      <c r="X36" s="17" t="str">
        <f>IF(OR(X$23="",ISNA($B36)),"",IF(ISBLANK($B36),"",IFERROR(_xll.BDP(TICKER,"DEEP_MEASURE_PERIOD_BROKER_VALUE","DEEP_MEASURE_ID_OVERRIDE",$C36,"DEEP_BROKER_ID_OVERRIDE",X$24,"DEEP_PERIOD_OVERRIDE",$H$19)*1,"")))</f>
        <v/>
      </c>
      <c r="Y36" s="17" t="str">
        <f>IF(OR(Y$23="",ISNA($B36)),"",IF(ISBLANK($B36),"",IFERROR(_xll.BDP(TICKER,"DEEP_MEASURE_PERIOD_BROKER_VALUE","DEEP_MEASURE_ID_OVERRIDE",$C36,"DEEP_BROKER_ID_OVERRIDE",Y$24,"DEEP_PERIOD_OVERRIDE",$H$19)*1,"")))</f>
        <v/>
      </c>
      <c r="Z36" s="17" t="str">
        <f>IF(OR(Z$23="",ISNA($B36)),"",IF(ISBLANK($B36),"",IFERROR(_xll.BDP(TICKER,"DEEP_MEASURE_PERIOD_BROKER_VALUE","DEEP_MEASURE_ID_OVERRIDE",$C36,"DEEP_BROKER_ID_OVERRIDE",Z$24,"DEEP_PERIOD_OVERRIDE",$H$19)*1,"")))</f>
        <v/>
      </c>
      <c r="AA36" s="17" t="str">
        <f>IF(OR(AA$23="",ISNA($B36)),"",IF(ISBLANK($B36),"",IFERROR(_xll.BDP(TICKER,"DEEP_MEASURE_PERIOD_BROKER_VALUE","DEEP_MEASURE_ID_OVERRIDE",$C36,"DEEP_BROKER_ID_OVERRIDE",AA$24,"DEEP_PERIOD_OVERRIDE",$H$19)*1,"")))</f>
        <v/>
      </c>
      <c r="AB36" s="17" t="str">
        <f>IF(OR(AB$23="",ISNA($B36)),"",IF(ISBLANK($B36),"",IFERROR(_xll.BDP(TICKER,"DEEP_MEASURE_PERIOD_BROKER_VALUE","DEEP_MEASURE_ID_OVERRIDE",$C36,"DEEP_BROKER_ID_OVERRIDE",AB$24,"DEEP_PERIOD_OVERRIDE",$H$19)*1,"")))</f>
        <v/>
      </c>
      <c r="AC36" s="17" t="str">
        <f>IF(OR(AC$23="",ISNA($B36)),"",IF(ISBLANK($B36),"",IFERROR(_xll.BDP(TICKER,"DEEP_MEASURE_PERIOD_BROKER_VALUE","DEEP_MEASURE_ID_OVERRIDE",$C36,"DEEP_BROKER_ID_OVERRIDE",AC$24,"DEEP_PERIOD_OVERRIDE",$H$19)*1,"")))</f>
        <v/>
      </c>
      <c r="AD36" s="17" t="str">
        <f>IF(OR(AD$23="",ISNA($B36)),"",IF(ISBLANK($B36),"",IFERROR(_xll.BDP(TICKER,"DEEP_MEASURE_PERIOD_BROKER_VALUE","DEEP_MEASURE_ID_OVERRIDE",$C36,"DEEP_BROKER_ID_OVERRIDE",AD$24,"DEEP_PERIOD_OVERRIDE",$H$19)*1,"")))</f>
        <v/>
      </c>
      <c r="AE36" s="17" t="str">
        <f>IF(OR(AE$23="",ISNA($B36)),"",IF(ISBLANK($B36),"",IFERROR(_xll.BDP(TICKER,"DEEP_MEASURE_PERIOD_BROKER_VALUE","DEEP_MEASURE_ID_OVERRIDE",$C36,"DEEP_BROKER_ID_OVERRIDE",AE$24,"DEEP_PERIOD_OVERRIDE",$H$19)*1,"")))</f>
        <v/>
      </c>
      <c r="AF36" s="17" t="str">
        <f>IF(OR(AF$23="",ISNA($B36)),"",IF(ISBLANK($B36),"",IFERROR(_xll.BDP(TICKER,"DEEP_MEASURE_PERIOD_BROKER_VALUE","DEEP_MEASURE_ID_OVERRIDE",$C36,"DEEP_BROKER_ID_OVERRIDE",AF$24,"DEEP_PERIOD_OVERRIDE",$H$19)*1,"")))</f>
        <v/>
      </c>
      <c r="AG36" s="17" t="str">
        <f>IF(OR(AG$23="",ISNA($B36)),"",IF(ISBLANK($B36),"",IFERROR(_xll.BDP(TICKER,"DEEP_MEASURE_PERIOD_BROKER_VALUE","DEEP_MEASURE_ID_OVERRIDE",$C36,"DEEP_BROKER_ID_OVERRIDE",AG$24,"DEEP_PERIOD_OVERRIDE",$H$19)*1,"")))</f>
        <v/>
      </c>
      <c r="AH36" s="17" t="str">
        <f>IF(OR(AH$23="",ISNA($B36)),"",IF(ISBLANK($B36),"",IFERROR(_xll.BDP(TICKER,"DEEP_MEASURE_PERIOD_BROKER_VALUE","DEEP_MEASURE_ID_OVERRIDE",$C36,"DEEP_BROKER_ID_OVERRIDE",AH$24,"DEEP_PERIOD_OVERRIDE",$H$19)*1,"")))</f>
        <v/>
      </c>
      <c r="AI36" s="17" t="str">
        <f>IF(OR(AI$23="",ISNA($B36)),"",IF(ISBLANK($B36),"",IFERROR(_xll.BDP(TICKER,"DEEP_MEASURE_PERIOD_BROKER_VALUE","DEEP_MEASURE_ID_OVERRIDE",$C36,"DEEP_BROKER_ID_OVERRIDE",AI$24,"DEEP_PERIOD_OVERRIDE",$H$19)*1,"")))</f>
        <v/>
      </c>
      <c r="AJ36" s="17" t="str">
        <f>IF(OR(AJ$23="",ISNA($B36)),"",IF(ISBLANK($B36),"",IFERROR(_xll.BDP(TICKER,"DEEP_MEASURE_PERIOD_BROKER_VALUE","DEEP_MEASURE_ID_OVERRIDE",$C36,"DEEP_BROKER_ID_OVERRIDE",AJ$24,"DEEP_PERIOD_OVERRIDE",$H$19)*1,"")))</f>
        <v/>
      </c>
      <c r="AK36" s="17" t="str">
        <f>IF(OR(AK$23="",ISNA($B36)),"",IF(ISBLANK($B36),"",IFERROR(_xll.BDP(TICKER,"DEEP_MEASURE_PERIOD_BROKER_VALUE","DEEP_MEASURE_ID_OVERRIDE",$C36,"DEEP_BROKER_ID_OVERRIDE",AK$24,"DEEP_PERIOD_OVERRIDE",$H$19)*1,"")))</f>
        <v/>
      </c>
      <c r="AL36" s="17" t="str">
        <f>IF(OR(AL$23="",ISNA($B36)),"",IF(ISBLANK($B36),"",IFERROR(_xll.BDP(TICKER,"DEEP_MEASURE_PERIOD_BROKER_VALUE","DEEP_MEASURE_ID_OVERRIDE",$C36,"DEEP_BROKER_ID_OVERRIDE",AL$24,"DEEP_PERIOD_OVERRIDE",$H$19)*1,"")))</f>
        <v/>
      </c>
      <c r="AM36" s="17" t="str">
        <f>IF(OR(AM$23="",ISNA($B36)),"",IF(ISBLANK($B36),"",IFERROR(_xll.BDP(TICKER,"DEEP_MEASURE_PERIOD_BROKER_VALUE","DEEP_MEASURE_ID_OVERRIDE",$C36,"DEEP_BROKER_ID_OVERRIDE",AM$24,"DEEP_PERIOD_OVERRIDE",$H$19)*1,"")))</f>
        <v/>
      </c>
      <c r="AN36" s="17" t="str">
        <f>IF(OR(AN$23="",ISNA($B36)),"",IF(ISBLANK($B36),"",IFERROR(_xll.BDP(TICKER,"DEEP_MEASURE_PERIOD_BROKER_VALUE","DEEP_MEASURE_ID_OVERRIDE",$C36,"DEEP_BROKER_ID_OVERRIDE",AN$24,"DEEP_PERIOD_OVERRIDE",$H$19)*1,"")))</f>
        <v/>
      </c>
      <c r="AO36" s="17" t="str">
        <f>IF(OR(AO$23="",ISNA($B36)),"",IF(ISBLANK($B36),"",IFERROR(_xll.BDP(TICKER,"DEEP_MEASURE_PERIOD_BROKER_VALUE","DEEP_MEASURE_ID_OVERRIDE",$C36,"DEEP_BROKER_ID_OVERRIDE",AO$24,"DEEP_PERIOD_OVERRIDE",$H$19)*1,"")))</f>
        <v/>
      </c>
      <c r="AP36" s="17" t="str">
        <f>IF(OR(AP$23="",ISNA($B36)),"",IF(ISBLANK($B36),"",IFERROR(_xll.BDP(TICKER,"DEEP_MEASURE_PERIOD_BROKER_VALUE","DEEP_MEASURE_ID_OVERRIDE",$C36,"DEEP_BROKER_ID_OVERRIDE",AP$24,"DEEP_PERIOD_OVERRIDE",$H$19)*1,"")))</f>
        <v/>
      </c>
      <c r="AQ36" s="17" t="str">
        <f>IF(OR(AQ$23="",ISNA($B36)),"",IF(ISBLANK($B36),"",IFERROR(_xll.BDP(TICKER,"DEEP_MEASURE_PERIOD_BROKER_VALUE","DEEP_MEASURE_ID_OVERRIDE",$C36,"DEEP_BROKER_ID_OVERRIDE",AQ$24,"DEEP_PERIOD_OVERRIDE",$H$19)*1,"")))</f>
        <v/>
      </c>
      <c r="AR36" s="17" t="str">
        <f>IF(OR(AR$23="",ISNA($B36)),"",IF(ISBLANK($B36),"",IFERROR(_xll.BDP(TICKER,"DEEP_MEASURE_PERIOD_BROKER_VALUE","DEEP_MEASURE_ID_OVERRIDE",$C36,"DEEP_BROKER_ID_OVERRIDE",AR$24,"DEEP_PERIOD_OVERRIDE",$H$19)*1,"")))</f>
        <v/>
      </c>
      <c r="AS36" s="17" t="str">
        <f>IF(OR(AS$23="",ISNA($B36)),"",IF(ISBLANK($B36),"",IFERROR(_xll.BDP(TICKER,"DEEP_MEASURE_PERIOD_BROKER_VALUE","DEEP_MEASURE_ID_OVERRIDE",$C36,"DEEP_BROKER_ID_OVERRIDE",AS$24,"DEEP_PERIOD_OVERRIDE",$H$19)*1,"")))</f>
        <v/>
      </c>
      <c r="AT36" s="17" t="str">
        <f>IF(OR(AT$23="",ISNA($B36)),"",IF(ISBLANK($B36),"",IFERROR(_xll.BDP(TICKER,"DEEP_MEASURE_PERIOD_BROKER_VALUE","DEEP_MEASURE_ID_OVERRIDE",$C36,"DEEP_BROKER_ID_OVERRIDE",AT$24,"DEEP_PERIOD_OVERRIDE",$H$19)*1,"")))</f>
        <v/>
      </c>
      <c r="AU36" s="17" t="str">
        <f>IF(OR(AU$23="",ISNA($B36)),"",IF(ISBLANK($B36),"",IFERROR(_xll.BDP(TICKER,"DEEP_MEASURE_PERIOD_BROKER_VALUE","DEEP_MEASURE_ID_OVERRIDE",$C36,"DEEP_BROKER_ID_OVERRIDE",AU$24,"DEEP_PERIOD_OVERRIDE",$H$19)*1,"")))</f>
        <v/>
      </c>
      <c r="AV36" s="17" t="str">
        <f>IF(OR(AV$23="",ISNA($B36)),"",IF(ISBLANK($B36),"",IFERROR(_xll.BDP(TICKER,"DEEP_MEASURE_PERIOD_BROKER_VALUE","DEEP_MEASURE_ID_OVERRIDE",$C36,"DEEP_BROKER_ID_OVERRIDE",AV$24,"DEEP_PERIOD_OVERRIDE",$H$19)*1,"")))</f>
        <v/>
      </c>
      <c r="AW36" s="17" t="str">
        <f>IF(OR(AW$23="",ISNA($B36)),"",IF(ISBLANK($B36),"",IFERROR(_xll.BDP(TICKER,"DEEP_MEASURE_PERIOD_BROKER_VALUE","DEEP_MEASURE_ID_OVERRIDE",$C36,"DEEP_BROKER_ID_OVERRIDE",AW$24,"DEEP_PERIOD_OVERRIDE",$H$19)*1,"")))</f>
        <v/>
      </c>
      <c r="AX36" s="17" t="str">
        <f>IF(OR(AX$23="",ISNA($B36)),"",IF(ISBLANK($B36),"",IFERROR(_xll.BDP(TICKER,"DEEP_MEASURE_PERIOD_BROKER_VALUE","DEEP_MEASURE_ID_OVERRIDE",$C36,"DEEP_BROKER_ID_OVERRIDE",AX$24,"DEEP_PERIOD_OVERRIDE",$H$19)*1,"")))</f>
        <v/>
      </c>
      <c r="AY36" s="17" t="str">
        <f>IF(OR(AY$23="",ISNA($B36)),"",IF(ISBLANK($B36),"",IFERROR(_xll.BDP(TICKER,"DEEP_MEASURE_PERIOD_BROKER_VALUE","DEEP_MEASURE_ID_OVERRIDE",$C36,"DEEP_BROKER_ID_OVERRIDE",AY$24,"DEEP_PERIOD_OVERRIDE",$H$19)*1,"")))</f>
        <v/>
      </c>
      <c r="AZ36" s="17" t="str">
        <f>IF(OR(AZ$23="",ISNA($B36)),"",IF(ISBLANK($B36),"",IFERROR(_xll.BDP(TICKER,"DEEP_MEASURE_PERIOD_BROKER_VALUE","DEEP_MEASURE_ID_OVERRIDE",$C36,"DEEP_BROKER_ID_OVERRIDE",AZ$24,"DEEP_PERIOD_OVERRIDE",$H$19)*1,"")))</f>
        <v/>
      </c>
      <c r="BA36" s="17" t="str">
        <f>IF(OR(BA$23="",ISNA($B36)),"",IF(ISBLANK($B36),"",IFERROR(_xll.BDP(TICKER,"DEEP_MEASURE_PERIOD_BROKER_VALUE","DEEP_MEASURE_ID_OVERRIDE",$C36,"DEEP_BROKER_ID_OVERRIDE",BA$24,"DEEP_PERIOD_OVERRIDE",$H$19)*1,"")))</f>
        <v/>
      </c>
      <c r="BB36" s="17" t="str">
        <f>IF(OR(BB$23="",ISNA($B36)),"",IF(ISBLANK($B36),"",IFERROR(_xll.BDP(TICKER,"DEEP_MEASURE_PERIOD_BROKER_VALUE","DEEP_MEASURE_ID_OVERRIDE",$C36,"DEEP_BROKER_ID_OVERRIDE",BB$24,"DEEP_PERIOD_OVERRIDE",$H$19)*1,"")))</f>
        <v/>
      </c>
      <c r="BC36" s="17" t="str">
        <f>IF(OR(BC$23="",ISNA($B36)),"",IF(ISBLANK($B36),"",IFERROR(_xll.BDP(TICKER,"DEEP_MEASURE_PERIOD_BROKER_VALUE","DEEP_MEASURE_ID_OVERRIDE",$C36,"DEEP_BROKER_ID_OVERRIDE",BC$24,"DEEP_PERIOD_OVERRIDE",$H$19)*1,"")))</f>
        <v/>
      </c>
      <c r="BD36" s="17" t="str">
        <f>IF(OR(BD$23="",ISNA($B36)),"",IF(ISBLANK($B36),"",IFERROR(_xll.BDP(TICKER,"DEEP_MEASURE_PERIOD_BROKER_VALUE","DEEP_MEASURE_ID_OVERRIDE",$C36,"DEEP_BROKER_ID_OVERRIDE",BD$24,"DEEP_PERIOD_OVERRIDE",$H$19)*1,"")))</f>
        <v/>
      </c>
      <c r="BE36" s="17" t="str">
        <f>IF(OR(BE$23="",ISNA($B36)),"",IF(ISBLANK($B36),"",IFERROR(_xll.BDP(TICKER,"DEEP_MEASURE_PERIOD_BROKER_VALUE","DEEP_MEASURE_ID_OVERRIDE",$C36,"DEEP_BROKER_ID_OVERRIDE",BE$24,"DEEP_PERIOD_OVERRIDE",$H$19)*1,"")))</f>
        <v/>
      </c>
      <c r="BF36" s="17" t="str">
        <f>IF(OR(BF$23="",ISNA($B36)),"",IF(ISBLANK($B36),"",IFERROR(_xll.BDP(TICKER,"DEEP_MEASURE_PERIOD_BROKER_VALUE","DEEP_MEASURE_ID_OVERRIDE",$C36,"DEEP_BROKER_ID_OVERRIDE",BF$24,"DEEP_PERIOD_OVERRIDE",$H$19)*1,"")))</f>
        <v/>
      </c>
      <c r="BG36" s="17" t="str">
        <f>IF(OR(BG$23="",ISNA($B36)),"",IF(ISBLANK($B36),"",IFERROR(_xll.BDP(TICKER,"DEEP_MEASURE_PERIOD_BROKER_VALUE","DEEP_MEASURE_ID_OVERRIDE",$C36,"DEEP_BROKER_ID_OVERRIDE",BG$24,"DEEP_PERIOD_OVERRIDE",$H$19)*1,"")))</f>
        <v/>
      </c>
      <c r="BH36" s="17" t="str">
        <f>IF(OR(BH$23="",ISNA($B36)),"",IF(ISBLANK($B36),"",IFERROR(_xll.BDP(TICKER,"DEEP_MEASURE_PERIOD_BROKER_VALUE","DEEP_MEASURE_ID_OVERRIDE",$C36,"DEEP_BROKER_ID_OVERRIDE",BH$24,"DEEP_PERIOD_OVERRIDE",$H$19)*1,"")))</f>
        <v/>
      </c>
      <c r="BI36" s="17" t="str">
        <f>IF(OR(BI$23="",ISNA($B36)),"",IF(ISBLANK($B36),"",IFERROR(_xll.BDP(TICKER,"DEEP_MEASURE_PERIOD_BROKER_VALUE","DEEP_MEASURE_ID_OVERRIDE",$C36,"DEEP_BROKER_ID_OVERRIDE",BI$24,"DEEP_PERIOD_OVERRIDE",$H$19)*1,"")))</f>
        <v/>
      </c>
      <c r="BJ36" s="17" t="str">
        <f>IF(OR(BJ$23="",ISNA($B36)),"",IF(ISBLANK($B36),"",IFERROR(_xll.BDP(TICKER,"DEEP_MEASURE_PERIOD_BROKER_VALUE","DEEP_MEASURE_ID_OVERRIDE",$C36,"DEEP_BROKER_ID_OVERRIDE",BJ$24,"DEEP_PERIOD_OVERRIDE",$H$19)*1,"")))</f>
        <v/>
      </c>
      <c r="BK36" s="17" t="str">
        <f>IF(OR(BK$23="",ISNA($B36)),"",IF(ISBLANK($B36),"",IFERROR(_xll.BDP(TICKER,"DEEP_MEASURE_PERIOD_BROKER_VALUE","DEEP_MEASURE_ID_OVERRIDE",$C36,"DEEP_BROKER_ID_OVERRIDE",BK$24,"DEEP_PERIOD_OVERRIDE",$H$19)*1,"")))</f>
        <v/>
      </c>
      <c r="BL36" s="17" t="str">
        <f>IF(OR(BL$23="",ISNA($B36)),"",IF(ISBLANK($B36),"",IFERROR(_xll.BDP(TICKER,"DEEP_MEASURE_PERIOD_BROKER_VALUE","DEEP_MEASURE_ID_OVERRIDE",$C36,"DEEP_BROKER_ID_OVERRIDE",BL$24,"DEEP_PERIOD_OVERRIDE",$H$19)*1,"")))</f>
        <v/>
      </c>
      <c r="BM36" s="17" t="str">
        <f>IF(OR(BM$23="",ISNA($B36)),"",IF(ISBLANK($B36),"",IFERROR(_xll.BDP(TICKER,"DEEP_MEASURE_PERIOD_BROKER_VALUE","DEEP_MEASURE_ID_OVERRIDE",$C36,"DEEP_BROKER_ID_OVERRIDE",BM$24,"DEEP_PERIOD_OVERRIDE",$H$19)*1,"")))</f>
        <v/>
      </c>
      <c r="BN36" s="17" t="str">
        <f>IF(OR(BN$23="",ISNA($B36)),"",IF(ISBLANK($B36),"",IFERROR(_xll.BDP(TICKER,"DEEP_MEASURE_PERIOD_BROKER_VALUE","DEEP_MEASURE_ID_OVERRIDE",$C36,"DEEP_BROKER_ID_OVERRIDE",BN$24,"DEEP_PERIOD_OVERRIDE",$H$19)*1,"")))</f>
        <v/>
      </c>
      <c r="BO36" s="17" t="str">
        <f>IF(OR(BO$23="",ISNA($B36)),"",IF(ISBLANK($B36),"",IFERROR(_xll.BDP(TICKER,"DEEP_MEASURE_PERIOD_BROKER_VALUE","DEEP_MEASURE_ID_OVERRIDE",$C36,"DEEP_BROKER_ID_OVERRIDE",BO$24,"DEEP_PERIOD_OVERRIDE",$H$19)*1,"")))</f>
        <v/>
      </c>
      <c r="BP36" s="17" t="str">
        <f>IF(OR(BP$23="",ISNA($B36)),"",IF(ISBLANK($B36),"",IFERROR(_xll.BDP(TICKER,"DEEP_MEASURE_PERIOD_BROKER_VALUE","DEEP_MEASURE_ID_OVERRIDE",$C36,"DEEP_BROKER_ID_OVERRIDE",BP$24,"DEEP_PERIOD_OVERRIDE",$H$19)*1,"")))</f>
        <v/>
      </c>
      <c r="BQ36" s="17" t="str">
        <f>IF(OR(BQ$23="",ISNA($B36)),"",IF(ISBLANK($B36),"",IFERROR(_xll.BDP(TICKER,"DEEP_MEASURE_PERIOD_BROKER_VALUE","DEEP_MEASURE_ID_OVERRIDE",$C36,"DEEP_BROKER_ID_OVERRIDE",BQ$24,"DEEP_PERIOD_OVERRIDE",$H$19)*1,"")))</f>
        <v/>
      </c>
      <c r="BR36" s="17" t="str">
        <f>IF(OR(BR$23="",ISNA($B36)),"",IF(ISBLANK($B36),"",IFERROR(_xll.BDP(TICKER,"DEEP_MEASURE_PERIOD_BROKER_VALUE","DEEP_MEASURE_ID_OVERRIDE",$C36,"DEEP_BROKER_ID_OVERRIDE",BR$24,"DEEP_PERIOD_OVERRIDE",$H$19)*1,"")))</f>
        <v/>
      </c>
      <c r="BS36" s="17" t="str">
        <f>IF(OR(BS$23="",ISNA($B36)),"",IF(ISBLANK($B36),"",IFERROR(_xll.BDP(TICKER,"DEEP_MEASURE_PERIOD_BROKER_VALUE","DEEP_MEASURE_ID_OVERRIDE",$C36,"DEEP_BROKER_ID_OVERRIDE",BS$24,"DEEP_PERIOD_OVERRIDE",$H$19)*1,"")))</f>
        <v/>
      </c>
      <c r="BT36" s="17" t="str">
        <f>IF(OR(BT$23="",ISNA($B36)),"",IF(ISBLANK($B36),"",IFERROR(_xll.BDP(TICKER,"DEEP_MEASURE_PERIOD_BROKER_VALUE","DEEP_MEASURE_ID_OVERRIDE",$C36,"DEEP_BROKER_ID_OVERRIDE",BT$24,"DEEP_PERIOD_OVERRIDE",$H$19)*1,"")))</f>
        <v/>
      </c>
      <c r="BU36" s="17" t="str">
        <f>IF(OR(BU$23="",ISNA($B36)),"",IF(ISBLANK($B36),"",IFERROR(_xll.BDP(TICKER,"DEEP_MEASURE_PERIOD_BROKER_VALUE","DEEP_MEASURE_ID_OVERRIDE",$C36,"DEEP_BROKER_ID_OVERRIDE",BU$24,"DEEP_PERIOD_OVERRIDE",$H$19)*1,"")))</f>
        <v/>
      </c>
      <c r="BV36" s="17" t="str">
        <f>IF(OR(BV$23="",ISNA($B36)),"",IF(ISBLANK($B36),"",IFERROR(_xll.BDP(TICKER,"DEEP_MEASURE_PERIOD_BROKER_VALUE","DEEP_MEASURE_ID_OVERRIDE",$C36,"DEEP_BROKER_ID_OVERRIDE",BV$24,"DEEP_PERIOD_OVERRIDE",$H$19)*1,"")))</f>
        <v/>
      </c>
      <c r="BW36" s="17" t="str">
        <f>IF(OR(BW$23="",ISNA($B36)),"",IF(ISBLANK($B36),"",IFERROR(_xll.BDP(TICKER,"DEEP_MEASURE_PERIOD_BROKER_VALUE","DEEP_MEASURE_ID_OVERRIDE",$C36,"DEEP_BROKER_ID_OVERRIDE",BW$24,"DEEP_PERIOD_OVERRIDE",$H$19)*1,"")))</f>
        <v/>
      </c>
      <c r="BX36" s="17" t="str">
        <f>IF(OR(BX$23="",ISNA($B36)),"",IF(ISBLANK($B36),"",IFERROR(_xll.BDP(TICKER,"DEEP_MEASURE_PERIOD_BROKER_VALUE","DEEP_MEASURE_ID_OVERRIDE",$C36,"DEEP_BROKER_ID_OVERRIDE",BX$24,"DEEP_PERIOD_OVERRIDE",$H$19)*1,"")))</f>
        <v/>
      </c>
      <c r="BY36" s="17" t="str">
        <f>IF(OR(BY$23="",ISNA($B36)),"",IF(ISBLANK($B36),"",IFERROR(_xll.BDP(TICKER,"DEEP_MEASURE_PERIOD_BROKER_VALUE","DEEP_MEASURE_ID_OVERRIDE",$C36,"DEEP_BROKER_ID_OVERRIDE",BY$24,"DEEP_PERIOD_OVERRIDE",$H$19)*1,"")))</f>
        <v/>
      </c>
      <c r="BZ36" s="17" t="str">
        <f>IF(OR(BZ$23="",ISNA($B36)),"",IF(ISBLANK($B36),"",IFERROR(_xll.BDP(TICKER,"DEEP_MEASURE_PERIOD_BROKER_VALUE","DEEP_MEASURE_ID_OVERRIDE",$C36,"DEEP_BROKER_ID_OVERRIDE",BZ$24,"DEEP_PERIOD_OVERRIDE",$H$19)*1,"")))</f>
        <v/>
      </c>
    </row>
    <row r="37" spans="2:78" x14ac:dyDescent="0.25">
      <c r="B37" t="s">
        <v>88</v>
      </c>
      <c r="C37" s="11">
        <v>9895</v>
      </c>
      <c r="H37" t="str">
        <f t="shared" si="1"/>
        <v>Hotels, Media &amp; Platform &gt; Revenue &gt; YoY Growth (%)</v>
      </c>
      <c r="I37" t="str">
        <f>IF(OR(I$23="",ISNA($B37)),"",IF(ISBLANK($B37),"",IFERROR(_xll.BDP(TICKER,"DEEP_MEASURE_PERIOD_BROKER_VALUE","DEEP_MEASURE_ID_OVERRIDE",$C37,"DEEP_PERIOD_OVERRIDE",$H$19)*1,"")))</f>
        <v/>
      </c>
      <c r="J37" t="e">
        <f>IF(OR(J$23="",ISNA($B37)),"",IF(ISBLANK($B37),"",IFERROR(_xll.BDP(TICKER,"DEEP_MEASURE_PERIOD_BROKER_VALUE","DEEP_MEASURE_ID_OVERRIDE",$C37,"DEEP_BROKER_ID_OVERRIDE",J$24,"DEEP_PERIOD_OVERRIDE",$H$19)*1,"")))</f>
        <v>#REF!</v>
      </c>
      <c r="K37" s="17" t="str">
        <f>IF(OR(K$23="",ISNA($B37)),"",IF(ISBLANK($B37),"",IFERROR(_xll.BDP(TICKER,"DEEP_MEASURE_PERIOD_BROKER_VALUE","DEEP_MEASURE_ID_OVERRIDE",$C37,"DEEP_BROKER_ID_OVERRIDE",K$24,"DEEP_PERIOD_OVERRIDE",$H$19)*1,"")))</f>
        <v/>
      </c>
      <c r="L37" s="17" t="str">
        <f>IF(OR(L$23="",ISNA($B37)),"",IF(ISBLANK($B37),"",IFERROR(_xll.BDP(TICKER,"DEEP_MEASURE_PERIOD_BROKER_VALUE","DEEP_MEASURE_ID_OVERRIDE",$C37,"DEEP_BROKER_ID_OVERRIDE",L$24,"DEEP_PERIOD_OVERRIDE",$H$19)*1,"")))</f>
        <v/>
      </c>
      <c r="M37" s="17" t="str">
        <f>IF(OR(M$23="",ISNA($B37)),"",IF(ISBLANK($B37),"",IFERROR(_xll.BDP(TICKER,"DEEP_MEASURE_PERIOD_BROKER_VALUE","DEEP_MEASURE_ID_OVERRIDE",$C37,"DEEP_BROKER_ID_OVERRIDE",M$24,"DEEP_PERIOD_OVERRIDE",$H$19)*1,"")))</f>
        <v/>
      </c>
      <c r="N37" s="17" t="str">
        <f>IF(OR(N$23="",ISNA($B37)),"",IF(ISBLANK($B37),"",IFERROR(_xll.BDP(TICKER,"DEEP_MEASURE_PERIOD_BROKER_VALUE","DEEP_MEASURE_ID_OVERRIDE",$C37,"DEEP_BROKER_ID_OVERRIDE",N$24,"DEEP_PERIOD_OVERRIDE",$H$19)*1,"")))</f>
        <v/>
      </c>
      <c r="O37" s="17" t="str">
        <f>IF(OR(O$23="",ISNA($B37)),"",IF(ISBLANK($B37),"",IFERROR(_xll.BDP(TICKER,"DEEP_MEASURE_PERIOD_BROKER_VALUE","DEEP_MEASURE_ID_OVERRIDE",$C37,"DEEP_BROKER_ID_OVERRIDE",O$24,"DEEP_PERIOD_OVERRIDE",$H$19)*1,"")))</f>
        <v/>
      </c>
      <c r="P37" s="17" t="str">
        <f>IF(OR(P$23="",ISNA($B37)),"",IF(ISBLANK($B37),"",IFERROR(_xll.BDP(TICKER,"DEEP_MEASURE_PERIOD_BROKER_VALUE","DEEP_MEASURE_ID_OVERRIDE",$C37,"DEEP_BROKER_ID_OVERRIDE",P$24,"DEEP_PERIOD_OVERRIDE",$H$19)*1,"")))</f>
        <v/>
      </c>
      <c r="Q37" s="17" t="str">
        <f>IF(OR(Q$23="",ISNA($B37)),"",IF(ISBLANK($B37),"",IFERROR(_xll.BDP(TICKER,"DEEP_MEASURE_PERIOD_BROKER_VALUE","DEEP_MEASURE_ID_OVERRIDE",$C37,"DEEP_BROKER_ID_OVERRIDE",Q$24,"DEEP_PERIOD_OVERRIDE",$H$19)*1,"")))</f>
        <v/>
      </c>
      <c r="R37" s="17" t="str">
        <f>IF(OR(R$23="",ISNA($B37)),"",IF(ISBLANK($B37),"",IFERROR(_xll.BDP(TICKER,"DEEP_MEASURE_PERIOD_BROKER_VALUE","DEEP_MEASURE_ID_OVERRIDE",$C37,"DEEP_BROKER_ID_OVERRIDE",R$24,"DEEP_PERIOD_OVERRIDE",$H$19)*1,"")))</f>
        <v/>
      </c>
      <c r="S37" s="17" t="str">
        <f>IF(OR(S$23="",ISNA($B37)),"",IF(ISBLANK($B37),"",IFERROR(_xll.BDP(TICKER,"DEEP_MEASURE_PERIOD_BROKER_VALUE","DEEP_MEASURE_ID_OVERRIDE",$C37,"DEEP_BROKER_ID_OVERRIDE",S$24,"DEEP_PERIOD_OVERRIDE",$H$19)*1,"")))</f>
        <v/>
      </c>
      <c r="T37" s="17" t="str">
        <f>IF(OR(T$23="",ISNA($B37)),"",IF(ISBLANK($B37),"",IFERROR(_xll.BDP(TICKER,"DEEP_MEASURE_PERIOD_BROKER_VALUE","DEEP_MEASURE_ID_OVERRIDE",$C37,"DEEP_BROKER_ID_OVERRIDE",T$24,"DEEP_PERIOD_OVERRIDE",$H$19)*1,"")))</f>
        <v/>
      </c>
      <c r="U37" s="17" t="str">
        <f>IF(OR(U$23="",ISNA($B37)),"",IF(ISBLANK($B37),"",IFERROR(_xll.BDP(TICKER,"DEEP_MEASURE_PERIOD_BROKER_VALUE","DEEP_MEASURE_ID_OVERRIDE",$C37,"DEEP_BROKER_ID_OVERRIDE",U$24,"DEEP_PERIOD_OVERRIDE",$H$19)*1,"")))</f>
        <v/>
      </c>
      <c r="V37" s="17" t="str">
        <f>IF(OR(V$23="",ISNA($B37)),"",IF(ISBLANK($B37),"",IFERROR(_xll.BDP(TICKER,"DEEP_MEASURE_PERIOD_BROKER_VALUE","DEEP_MEASURE_ID_OVERRIDE",$C37,"DEEP_BROKER_ID_OVERRIDE",V$24,"DEEP_PERIOD_OVERRIDE",$H$19)*1,"")))</f>
        <v/>
      </c>
      <c r="W37" s="17" t="str">
        <f>IF(OR(W$23="",ISNA($B37)),"",IF(ISBLANK($B37),"",IFERROR(_xll.BDP(TICKER,"DEEP_MEASURE_PERIOD_BROKER_VALUE","DEEP_MEASURE_ID_OVERRIDE",$C37,"DEEP_BROKER_ID_OVERRIDE",W$24,"DEEP_PERIOD_OVERRIDE",$H$19)*1,"")))</f>
        <v/>
      </c>
      <c r="X37" s="17" t="str">
        <f>IF(OR(X$23="",ISNA($B37)),"",IF(ISBLANK($B37),"",IFERROR(_xll.BDP(TICKER,"DEEP_MEASURE_PERIOD_BROKER_VALUE","DEEP_MEASURE_ID_OVERRIDE",$C37,"DEEP_BROKER_ID_OVERRIDE",X$24,"DEEP_PERIOD_OVERRIDE",$H$19)*1,"")))</f>
        <v/>
      </c>
      <c r="Y37" s="17" t="str">
        <f>IF(OR(Y$23="",ISNA($B37)),"",IF(ISBLANK($B37),"",IFERROR(_xll.BDP(TICKER,"DEEP_MEASURE_PERIOD_BROKER_VALUE","DEEP_MEASURE_ID_OVERRIDE",$C37,"DEEP_BROKER_ID_OVERRIDE",Y$24,"DEEP_PERIOD_OVERRIDE",$H$19)*1,"")))</f>
        <v/>
      </c>
      <c r="Z37" s="17" t="str">
        <f>IF(OR(Z$23="",ISNA($B37)),"",IF(ISBLANK($B37),"",IFERROR(_xll.BDP(TICKER,"DEEP_MEASURE_PERIOD_BROKER_VALUE","DEEP_MEASURE_ID_OVERRIDE",$C37,"DEEP_BROKER_ID_OVERRIDE",Z$24,"DEEP_PERIOD_OVERRIDE",$H$19)*1,"")))</f>
        <v/>
      </c>
      <c r="AA37" s="17" t="str">
        <f>IF(OR(AA$23="",ISNA($B37)),"",IF(ISBLANK($B37),"",IFERROR(_xll.BDP(TICKER,"DEEP_MEASURE_PERIOD_BROKER_VALUE","DEEP_MEASURE_ID_OVERRIDE",$C37,"DEEP_BROKER_ID_OVERRIDE",AA$24,"DEEP_PERIOD_OVERRIDE",$H$19)*1,"")))</f>
        <v/>
      </c>
      <c r="AB37" s="17" t="str">
        <f>IF(OR(AB$23="",ISNA($B37)),"",IF(ISBLANK($B37),"",IFERROR(_xll.BDP(TICKER,"DEEP_MEASURE_PERIOD_BROKER_VALUE","DEEP_MEASURE_ID_OVERRIDE",$C37,"DEEP_BROKER_ID_OVERRIDE",AB$24,"DEEP_PERIOD_OVERRIDE",$H$19)*1,"")))</f>
        <v/>
      </c>
      <c r="AC37" s="17" t="str">
        <f>IF(OR(AC$23="",ISNA($B37)),"",IF(ISBLANK($B37),"",IFERROR(_xll.BDP(TICKER,"DEEP_MEASURE_PERIOD_BROKER_VALUE","DEEP_MEASURE_ID_OVERRIDE",$C37,"DEEP_BROKER_ID_OVERRIDE",AC$24,"DEEP_PERIOD_OVERRIDE",$H$19)*1,"")))</f>
        <v/>
      </c>
      <c r="AD37" s="17" t="str">
        <f>IF(OR(AD$23="",ISNA($B37)),"",IF(ISBLANK($B37),"",IFERROR(_xll.BDP(TICKER,"DEEP_MEASURE_PERIOD_BROKER_VALUE","DEEP_MEASURE_ID_OVERRIDE",$C37,"DEEP_BROKER_ID_OVERRIDE",AD$24,"DEEP_PERIOD_OVERRIDE",$H$19)*1,"")))</f>
        <v/>
      </c>
      <c r="AE37" s="17" t="str">
        <f>IF(OR(AE$23="",ISNA($B37)),"",IF(ISBLANK($B37),"",IFERROR(_xll.BDP(TICKER,"DEEP_MEASURE_PERIOD_BROKER_VALUE","DEEP_MEASURE_ID_OVERRIDE",$C37,"DEEP_BROKER_ID_OVERRIDE",AE$24,"DEEP_PERIOD_OVERRIDE",$H$19)*1,"")))</f>
        <v/>
      </c>
      <c r="AF37" s="17" t="str">
        <f>IF(OR(AF$23="",ISNA($B37)),"",IF(ISBLANK($B37),"",IFERROR(_xll.BDP(TICKER,"DEEP_MEASURE_PERIOD_BROKER_VALUE","DEEP_MEASURE_ID_OVERRIDE",$C37,"DEEP_BROKER_ID_OVERRIDE",AF$24,"DEEP_PERIOD_OVERRIDE",$H$19)*1,"")))</f>
        <v/>
      </c>
      <c r="AG37" s="17" t="str">
        <f>IF(OR(AG$23="",ISNA($B37)),"",IF(ISBLANK($B37),"",IFERROR(_xll.BDP(TICKER,"DEEP_MEASURE_PERIOD_BROKER_VALUE","DEEP_MEASURE_ID_OVERRIDE",$C37,"DEEP_BROKER_ID_OVERRIDE",AG$24,"DEEP_PERIOD_OVERRIDE",$H$19)*1,"")))</f>
        <v/>
      </c>
      <c r="AH37" s="17" t="str">
        <f>IF(OR(AH$23="",ISNA($B37)),"",IF(ISBLANK($B37),"",IFERROR(_xll.BDP(TICKER,"DEEP_MEASURE_PERIOD_BROKER_VALUE","DEEP_MEASURE_ID_OVERRIDE",$C37,"DEEP_BROKER_ID_OVERRIDE",AH$24,"DEEP_PERIOD_OVERRIDE",$H$19)*1,"")))</f>
        <v/>
      </c>
      <c r="AI37" s="17" t="str">
        <f>IF(OR(AI$23="",ISNA($B37)),"",IF(ISBLANK($B37),"",IFERROR(_xll.BDP(TICKER,"DEEP_MEASURE_PERIOD_BROKER_VALUE","DEEP_MEASURE_ID_OVERRIDE",$C37,"DEEP_BROKER_ID_OVERRIDE",AI$24,"DEEP_PERIOD_OVERRIDE",$H$19)*1,"")))</f>
        <v/>
      </c>
      <c r="AJ37" s="17" t="str">
        <f>IF(OR(AJ$23="",ISNA($B37)),"",IF(ISBLANK($B37),"",IFERROR(_xll.BDP(TICKER,"DEEP_MEASURE_PERIOD_BROKER_VALUE","DEEP_MEASURE_ID_OVERRIDE",$C37,"DEEP_BROKER_ID_OVERRIDE",AJ$24,"DEEP_PERIOD_OVERRIDE",$H$19)*1,"")))</f>
        <v/>
      </c>
      <c r="AK37" s="17" t="str">
        <f>IF(OR(AK$23="",ISNA($B37)),"",IF(ISBLANK($B37),"",IFERROR(_xll.BDP(TICKER,"DEEP_MEASURE_PERIOD_BROKER_VALUE","DEEP_MEASURE_ID_OVERRIDE",$C37,"DEEP_BROKER_ID_OVERRIDE",AK$24,"DEEP_PERIOD_OVERRIDE",$H$19)*1,"")))</f>
        <v/>
      </c>
      <c r="AL37" s="17" t="str">
        <f>IF(OR(AL$23="",ISNA($B37)),"",IF(ISBLANK($B37),"",IFERROR(_xll.BDP(TICKER,"DEEP_MEASURE_PERIOD_BROKER_VALUE","DEEP_MEASURE_ID_OVERRIDE",$C37,"DEEP_BROKER_ID_OVERRIDE",AL$24,"DEEP_PERIOD_OVERRIDE",$H$19)*1,"")))</f>
        <v/>
      </c>
      <c r="AM37" s="17" t="str">
        <f>IF(OR(AM$23="",ISNA($B37)),"",IF(ISBLANK($B37),"",IFERROR(_xll.BDP(TICKER,"DEEP_MEASURE_PERIOD_BROKER_VALUE","DEEP_MEASURE_ID_OVERRIDE",$C37,"DEEP_BROKER_ID_OVERRIDE",AM$24,"DEEP_PERIOD_OVERRIDE",$H$19)*1,"")))</f>
        <v/>
      </c>
      <c r="AN37" s="17" t="str">
        <f>IF(OR(AN$23="",ISNA($B37)),"",IF(ISBLANK($B37),"",IFERROR(_xll.BDP(TICKER,"DEEP_MEASURE_PERIOD_BROKER_VALUE","DEEP_MEASURE_ID_OVERRIDE",$C37,"DEEP_BROKER_ID_OVERRIDE",AN$24,"DEEP_PERIOD_OVERRIDE",$H$19)*1,"")))</f>
        <v/>
      </c>
      <c r="AO37" s="17" t="str">
        <f>IF(OR(AO$23="",ISNA($B37)),"",IF(ISBLANK($B37),"",IFERROR(_xll.BDP(TICKER,"DEEP_MEASURE_PERIOD_BROKER_VALUE","DEEP_MEASURE_ID_OVERRIDE",$C37,"DEEP_BROKER_ID_OVERRIDE",AO$24,"DEEP_PERIOD_OVERRIDE",$H$19)*1,"")))</f>
        <v/>
      </c>
      <c r="AP37" s="17" t="str">
        <f>IF(OR(AP$23="",ISNA($B37)),"",IF(ISBLANK($B37),"",IFERROR(_xll.BDP(TICKER,"DEEP_MEASURE_PERIOD_BROKER_VALUE","DEEP_MEASURE_ID_OVERRIDE",$C37,"DEEP_BROKER_ID_OVERRIDE",AP$24,"DEEP_PERIOD_OVERRIDE",$H$19)*1,"")))</f>
        <v/>
      </c>
      <c r="AQ37" s="17" t="str">
        <f>IF(OR(AQ$23="",ISNA($B37)),"",IF(ISBLANK($B37),"",IFERROR(_xll.BDP(TICKER,"DEEP_MEASURE_PERIOD_BROKER_VALUE","DEEP_MEASURE_ID_OVERRIDE",$C37,"DEEP_BROKER_ID_OVERRIDE",AQ$24,"DEEP_PERIOD_OVERRIDE",$H$19)*1,"")))</f>
        <v/>
      </c>
      <c r="AR37" s="17" t="str">
        <f>IF(OR(AR$23="",ISNA($B37)),"",IF(ISBLANK($B37),"",IFERROR(_xll.BDP(TICKER,"DEEP_MEASURE_PERIOD_BROKER_VALUE","DEEP_MEASURE_ID_OVERRIDE",$C37,"DEEP_BROKER_ID_OVERRIDE",AR$24,"DEEP_PERIOD_OVERRIDE",$H$19)*1,"")))</f>
        <v/>
      </c>
      <c r="AS37" s="17" t="str">
        <f>IF(OR(AS$23="",ISNA($B37)),"",IF(ISBLANK($B37),"",IFERROR(_xll.BDP(TICKER,"DEEP_MEASURE_PERIOD_BROKER_VALUE","DEEP_MEASURE_ID_OVERRIDE",$C37,"DEEP_BROKER_ID_OVERRIDE",AS$24,"DEEP_PERIOD_OVERRIDE",$H$19)*1,"")))</f>
        <v/>
      </c>
      <c r="AT37" s="17" t="str">
        <f>IF(OR(AT$23="",ISNA($B37)),"",IF(ISBLANK($B37),"",IFERROR(_xll.BDP(TICKER,"DEEP_MEASURE_PERIOD_BROKER_VALUE","DEEP_MEASURE_ID_OVERRIDE",$C37,"DEEP_BROKER_ID_OVERRIDE",AT$24,"DEEP_PERIOD_OVERRIDE",$H$19)*1,"")))</f>
        <v/>
      </c>
      <c r="AU37" s="17" t="str">
        <f>IF(OR(AU$23="",ISNA($B37)),"",IF(ISBLANK($B37),"",IFERROR(_xll.BDP(TICKER,"DEEP_MEASURE_PERIOD_BROKER_VALUE","DEEP_MEASURE_ID_OVERRIDE",$C37,"DEEP_BROKER_ID_OVERRIDE",AU$24,"DEEP_PERIOD_OVERRIDE",$H$19)*1,"")))</f>
        <v/>
      </c>
      <c r="AV37" s="17" t="str">
        <f>IF(OR(AV$23="",ISNA($B37)),"",IF(ISBLANK($B37),"",IFERROR(_xll.BDP(TICKER,"DEEP_MEASURE_PERIOD_BROKER_VALUE","DEEP_MEASURE_ID_OVERRIDE",$C37,"DEEP_BROKER_ID_OVERRIDE",AV$24,"DEEP_PERIOD_OVERRIDE",$H$19)*1,"")))</f>
        <v/>
      </c>
      <c r="AW37" s="17" t="str">
        <f>IF(OR(AW$23="",ISNA($B37)),"",IF(ISBLANK($B37),"",IFERROR(_xll.BDP(TICKER,"DEEP_MEASURE_PERIOD_BROKER_VALUE","DEEP_MEASURE_ID_OVERRIDE",$C37,"DEEP_BROKER_ID_OVERRIDE",AW$24,"DEEP_PERIOD_OVERRIDE",$H$19)*1,"")))</f>
        <v/>
      </c>
      <c r="AX37" s="17" t="str">
        <f>IF(OR(AX$23="",ISNA($B37)),"",IF(ISBLANK($B37),"",IFERROR(_xll.BDP(TICKER,"DEEP_MEASURE_PERIOD_BROKER_VALUE","DEEP_MEASURE_ID_OVERRIDE",$C37,"DEEP_BROKER_ID_OVERRIDE",AX$24,"DEEP_PERIOD_OVERRIDE",$H$19)*1,"")))</f>
        <v/>
      </c>
      <c r="AY37" s="17" t="str">
        <f>IF(OR(AY$23="",ISNA($B37)),"",IF(ISBLANK($B37),"",IFERROR(_xll.BDP(TICKER,"DEEP_MEASURE_PERIOD_BROKER_VALUE","DEEP_MEASURE_ID_OVERRIDE",$C37,"DEEP_BROKER_ID_OVERRIDE",AY$24,"DEEP_PERIOD_OVERRIDE",$H$19)*1,"")))</f>
        <v/>
      </c>
      <c r="AZ37" s="17" t="str">
        <f>IF(OR(AZ$23="",ISNA($B37)),"",IF(ISBLANK($B37),"",IFERROR(_xll.BDP(TICKER,"DEEP_MEASURE_PERIOD_BROKER_VALUE","DEEP_MEASURE_ID_OVERRIDE",$C37,"DEEP_BROKER_ID_OVERRIDE",AZ$24,"DEEP_PERIOD_OVERRIDE",$H$19)*1,"")))</f>
        <v/>
      </c>
      <c r="BA37" s="17" t="str">
        <f>IF(OR(BA$23="",ISNA($B37)),"",IF(ISBLANK($B37),"",IFERROR(_xll.BDP(TICKER,"DEEP_MEASURE_PERIOD_BROKER_VALUE","DEEP_MEASURE_ID_OVERRIDE",$C37,"DEEP_BROKER_ID_OVERRIDE",BA$24,"DEEP_PERIOD_OVERRIDE",$H$19)*1,"")))</f>
        <v/>
      </c>
      <c r="BB37" s="17" t="str">
        <f>IF(OR(BB$23="",ISNA($B37)),"",IF(ISBLANK($B37),"",IFERROR(_xll.BDP(TICKER,"DEEP_MEASURE_PERIOD_BROKER_VALUE","DEEP_MEASURE_ID_OVERRIDE",$C37,"DEEP_BROKER_ID_OVERRIDE",BB$24,"DEEP_PERIOD_OVERRIDE",$H$19)*1,"")))</f>
        <v/>
      </c>
      <c r="BC37" s="17" t="str">
        <f>IF(OR(BC$23="",ISNA($B37)),"",IF(ISBLANK($B37),"",IFERROR(_xll.BDP(TICKER,"DEEP_MEASURE_PERIOD_BROKER_VALUE","DEEP_MEASURE_ID_OVERRIDE",$C37,"DEEP_BROKER_ID_OVERRIDE",BC$24,"DEEP_PERIOD_OVERRIDE",$H$19)*1,"")))</f>
        <v/>
      </c>
      <c r="BD37" s="17" t="str">
        <f>IF(OR(BD$23="",ISNA($B37)),"",IF(ISBLANK($B37),"",IFERROR(_xll.BDP(TICKER,"DEEP_MEASURE_PERIOD_BROKER_VALUE","DEEP_MEASURE_ID_OVERRIDE",$C37,"DEEP_BROKER_ID_OVERRIDE",BD$24,"DEEP_PERIOD_OVERRIDE",$H$19)*1,"")))</f>
        <v/>
      </c>
      <c r="BE37" s="17" t="str">
        <f>IF(OR(BE$23="",ISNA($B37)),"",IF(ISBLANK($B37),"",IFERROR(_xll.BDP(TICKER,"DEEP_MEASURE_PERIOD_BROKER_VALUE","DEEP_MEASURE_ID_OVERRIDE",$C37,"DEEP_BROKER_ID_OVERRIDE",BE$24,"DEEP_PERIOD_OVERRIDE",$H$19)*1,"")))</f>
        <v/>
      </c>
      <c r="BF37" s="17" t="str">
        <f>IF(OR(BF$23="",ISNA($B37)),"",IF(ISBLANK($B37),"",IFERROR(_xll.BDP(TICKER,"DEEP_MEASURE_PERIOD_BROKER_VALUE","DEEP_MEASURE_ID_OVERRIDE",$C37,"DEEP_BROKER_ID_OVERRIDE",BF$24,"DEEP_PERIOD_OVERRIDE",$H$19)*1,"")))</f>
        <v/>
      </c>
      <c r="BG37" s="17" t="str">
        <f>IF(OR(BG$23="",ISNA($B37)),"",IF(ISBLANK($B37),"",IFERROR(_xll.BDP(TICKER,"DEEP_MEASURE_PERIOD_BROKER_VALUE","DEEP_MEASURE_ID_OVERRIDE",$C37,"DEEP_BROKER_ID_OVERRIDE",BG$24,"DEEP_PERIOD_OVERRIDE",$H$19)*1,"")))</f>
        <v/>
      </c>
      <c r="BH37" s="17" t="str">
        <f>IF(OR(BH$23="",ISNA($B37)),"",IF(ISBLANK($B37),"",IFERROR(_xll.BDP(TICKER,"DEEP_MEASURE_PERIOD_BROKER_VALUE","DEEP_MEASURE_ID_OVERRIDE",$C37,"DEEP_BROKER_ID_OVERRIDE",BH$24,"DEEP_PERIOD_OVERRIDE",$H$19)*1,"")))</f>
        <v/>
      </c>
      <c r="BI37" s="17" t="str">
        <f>IF(OR(BI$23="",ISNA($B37)),"",IF(ISBLANK($B37),"",IFERROR(_xll.BDP(TICKER,"DEEP_MEASURE_PERIOD_BROKER_VALUE","DEEP_MEASURE_ID_OVERRIDE",$C37,"DEEP_BROKER_ID_OVERRIDE",BI$24,"DEEP_PERIOD_OVERRIDE",$H$19)*1,"")))</f>
        <v/>
      </c>
      <c r="BJ37" s="17" t="str">
        <f>IF(OR(BJ$23="",ISNA($B37)),"",IF(ISBLANK($B37),"",IFERROR(_xll.BDP(TICKER,"DEEP_MEASURE_PERIOD_BROKER_VALUE","DEEP_MEASURE_ID_OVERRIDE",$C37,"DEEP_BROKER_ID_OVERRIDE",BJ$24,"DEEP_PERIOD_OVERRIDE",$H$19)*1,"")))</f>
        <v/>
      </c>
      <c r="BK37" s="17" t="str">
        <f>IF(OR(BK$23="",ISNA($B37)),"",IF(ISBLANK($B37),"",IFERROR(_xll.BDP(TICKER,"DEEP_MEASURE_PERIOD_BROKER_VALUE","DEEP_MEASURE_ID_OVERRIDE",$C37,"DEEP_BROKER_ID_OVERRIDE",BK$24,"DEEP_PERIOD_OVERRIDE",$H$19)*1,"")))</f>
        <v/>
      </c>
      <c r="BL37" s="17" t="str">
        <f>IF(OR(BL$23="",ISNA($B37)),"",IF(ISBLANK($B37),"",IFERROR(_xll.BDP(TICKER,"DEEP_MEASURE_PERIOD_BROKER_VALUE","DEEP_MEASURE_ID_OVERRIDE",$C37,"DEEP_BROKER_ID_OVERRIDE",BL$24,"DEEP_PERIOD_OVERRIDE",$H$19)*1,"")))</f>
        <v/>
      </c>
      <c r="BM37" s="17" t="str">
        <f>IF(OR(BM$23="",ISNA($B37)),"",IF(ISBLANK($B37),"",IFERROR(_xll.BDP(TICKER,"DEEP_MEASURE_PERIOD_BROKER_VALUE","DEEP_MEASURE_ID_OVERRIDE",$C37,"DEEP_BROKER_ID_OVERRIDE",BM$24,"DEEP_PERIOD_OVERRIDE",$H$19)*1,"")))</f>
        <v/>
      </c>
      <c r="BN37" s="17" t="str">
        <f>IF(OR(BN$23="",ISNA($B37)),"",IF(ISBLANK($B37),"",IFERROR(_xll.BDP(TICKER,"DEEP_MEASURE_PERIOD_BROKER_VALUE","DEEP_MEASURE_ID_OVERRIDE",$C37,"DEEP_BROKER_ID_OVERRIDE",BN$24,"DEEP_PERIOD_OVERRIDE",$H$19)*1,"")))</f>
        <v/>
      </c>
      <c r="BO37" s="17" t="str">
        <f>IF(OR(BO$23="",ISNA($B37)),"",IF(ISBLANK($B37),"",IFERROR(_xll.BDP(TICKER,"DEEP_MEASURE_PERIOD_BROKER_VALUE","DEEP_MEASURE_ID_OVERRIDE",$C37,"DEEP_BROKER_ID_OVERRIDE",BO$24,"DEEP_PERIOD_OVERRIDE",$H$19)*1,"")))</f>
        <v/>
      </c>
      <c r="BP37" s="17" t="str">
        <f>IF(OR(BP$23="",ISNA($B37)),"",IF(ISBLANK($B37),"",IFERROR(_xll.BDP(TICKER,"DEEP_MEASURE_PERIOD_BROKER_VALUE","DEEP_MEASURE_ID_OVERRIDE",$C37,"DEEP_BROKER_ID_OVERRIDE",BP$24,"DEEP_PERIOD_OVERRIDE",$H$19)*1,"")))</f>
        <v/>
      </c>
      <c r="BQ37" s="17" t="str">
        <f>IF(OR(BQ$23="",ISNA($B37)),"",IF(ISBLANK($B37),"",IFERROR(_xll.BDP(TICKER,"DEEP_MEASURE_PERIOD_BROKER_VALUE","DEEP_MEASURE_ID_OVERRIDE",$C37,"DEEP_BROKER_ID_OVERRIDE",BQ$24,"DEEP_PERIOD_OVERRIDE",$H$19)*1,"")))</f>
        <v/>
      </c>
      <c r="BR37" s="17" t="str">
        <f>IF(OR(BR$23="",ISNA($B37)),"",IF(ISBLANK($B37),"",IFERROR(_xll.BDP(TICKER,"DEEP_MEASURE_PERIOD_BROKER_VALUE","DEEP_MEASURE_ID_OVERRIDE",$C37,"DEEP_BROKER_ID_OVERRIDE",BR$24,"DEEP_PERIOD_OVERRIDE",$H$19)*1,"")))</f>
        <v/>
      </c>
      <c r="BS37" s="17" t="str">
        <f>IF(OR(BS$23="",ISNA($B37)),"",IF(ISBLANK($B37),"",IFERROR(_xll.BDP(TICKER,"DEEP_MEASURE_PERIOD_BROKER_VALUE","DEEP_MEASURE_ID_OVERRIDE",$C37,"DEEP_BROKER_ID_OVERRIDE",BS$24,"DEEP_PERIOD_OVERRIDE",$H$19)*1,"")))</f>
        <v/>
      </c>
      <c r="BT37" s="17" t="str">
        <f>IF(OR(BT$23="",ISNA($B37)),"",IF(ISBLANK($B37),"",IFERROR(_xll.BDP(TICKER,"DEEP_MEASURE_PERIOD_BROKER_VALUE","DEEP_MEASURE_ID_OVERRIDE",$C37,"DEEP_BROKER_ID_OVERRIDE",BT$24,"DEEP_PERIOD_OVERRIDE",$H$19)*1,"")))</f>
        <v/>
      </c>
      <c r="BU37" s="17" t="str">
        <f>IF(OR(BU$23="",ISNA($B37)),"",IF(ISBLANK($B37),"",IFERROR(_xll.BDP(TICKER,"DEEP_MEASURE_PERIOD_BROKER_VALUE","DEEP_MEASURE_ID_OVERRIDE",$C37,"DEEP_BROKER_ID_OVERRIDE",BU$24,"DEEP_PERIOD_OVERRIDE",$H$19)*1,"")))</f>
        <v/>
      </c>
      <c r="BV37" s="17" t="str">
        <f>IF(OR(BV$23="",ISNA($B37)),"",IF(ISBLANK($B37),"",IFERROR(_xll.BDP(TICKER,"DEEP_MEASURE_PERIOD_BROKER_VALUE","DEEP_MEASURE_ID_OVERRIDE",$C37,"DEEP_BROKER_ID_OVERRIDE",BV$24,"DEEP_PERIOD_OVERRIDE",$H$19)*1,"")))</f>
        <v/>
      </c>
      <c r="BW37" s="17" t="str">
        <f>IF(OR(BW$23="",ISNA($B37)),"",IF(ISBLANK($B37),"",IFERROR(_xll.BDP(TICKER,"DEEP_MEASURE_PERIOD_BROKER_VALUE","DEEP_MEASURE_ID_OVERRIDE",$C37,"DEEP_BROKER_ID_OVERRIDE",BW$24,"DEEP_PERIOD_OVERRIDE",$H$19)*1,"")))</f>
        <v/>
      </c>
      <c r="BX37" s="17" t="str">
        <f>IF(OR(BX$23="",ISNA($B37)),"",IF(ISBLANK($B37),"",IFERROR(_xll.BDP(TICKER,"DEEP_MEASURE_PERIOD_BROKER_VALUE","DEEP_MEASURE_ID_OVERRIDE",$C37,"DEEP_BROKER_ID_OVERRIDE",BX$24,"DEEP_PERIOD_OVERRIDE",$H$19)*1,"")))</f>
        <v/>
      </c>
      <c r="BY37" s="17" t="str">
        <f>IF(OR(BY$23="",ISNA($B37)),"",IF(ISBLANK($B37),"",IFERROR(_xll.BDP(TICKER,"DEEP_MEASURE_PERIOD_BROKER_VALUE","DEEP_MEASURE_ID_OVERRIDE",$C37,"DEEP_BROKER_ID_OVERRIDE",BY$24,"DEEP_PERIOD_OVERRIDE",$H$19)*1,"")))</f>
        <v/>
      </c>
      <c r="BZ37" s="17" t="str">
        <f>IF(OR(BZ$23="",ISNA($B37)),"",IF(ISBLANK($B37),"",IFERROR(_xll.BDP(TICKER,"DEEP_MEASURE_PERIOD_BROKER_VALUE","DEEP_MEASURE_ID_OVERRIDE",$C37,"DEEP_BROKER_ID_OVERRIDE",BZ$24,"DEEP_PERIOD_OVERRIDE",$H$19)*1,"")))</f>
        <v/>
      </c>
    </row>
    <row r="38" spans="2:78" x14ac:dyDescent="0.25">
      <c r="B38" t="s">
        <v>42</v>
      </c>
      <c r="C38" s="11">
        <v>9837</v>
      </c>
      <c r="H38" t="str">
        <f t="shared" si="1"/>
        <v>Hotels, Media &amp; Platform &gt; Revenue &gt; TripAdvisor-Branded  Hotels</v>
      </c>
      <c r="I38" t="str">
        <f>IF(OR(I$23="",ISNA($B38)),"",IF(ISBLANK($B38),"",IFERROR(_xll.BDP(TICKER,"DEEP_MEASURE_PERIOD_BROKER_VALUE","DEEP_MEASURE_ID_OVERRIDE",$C38,"DEEP_PERIOD_OVERRIDE",$H$19)*1,"")))</f>
        <v/>
      </c>
      <c r="J38" t="e">
        <f>IF(OR(J$23="",ISNA($B38)),"",IF(ISBLANK($B38),"",IFERROR(_xll.BDP(TICKER,"DEEP_MEASURE_PERIOD_BROKER_VALUE","DEEP_MEASURE_ID_OVERRIDE",$C38,"DEEP_BROKER_ID_OVERRIDE",J$24,"DEEP_PERIOD_OVERRIDE",$H$19)*1,"")))</f>
        <v>#REF!</v>
      </c>
      <c r="K38" s="17" t="str">
        <f>IF(OR(K$23="",ISNA($B38)),"",IF(ISBLANK($B38),"",IFERROR(_xll.BDP(TICKER,"DEEP_MEASURE_PERIOD_BROKER_VALUE","DEEP_MEASURE_ID_OVERRIDE",$C38,"DEEP_BROKER_ID_OVERRIDE",K$24,"DEEP_PERIOD_OVERRIDE",$H$19)*1,"")))</f>
        <v/>
      </c>
      <c r="L38" s="17" t="str">
        <f>IF(OR(L$23="",ISNA($B38)),"",IF(ISBLANK($B38),"",IFERROR(_xll.BDP(TICKER,"DEEP_MEASURE_PERIOD_BROKER_VALUE","DEEP_MEASURE_ID_OVERRIDE",$C38,"DEEP_BROKER_ID_OVERRIDE",L$24,"DEEP_PERIOD_OVERRIDE",$H$19)*1,"")))</f>
        <v/>
      </c>
      <c r="M38" s="17" t="str">
        <f>IF(OR(M$23="",ISNA($B38)),"",IF(ISBLANK($B38),"",IFERROR(_xll.BDP(TICKER,"DEEP_MEASURE_PERIOD_BROKER_VALUE","DEEP_MEASURE_ID_OVERRIDE",$C38,"DEEP_BROKER_ID_OVERRIDE",M$24,"DEEP_PERIOD_OVERRIDE",$H$19)*1,"")))</f>
        <v/>
      </c>
      <c r="N38" s="17" t="str">
        <f>IF(OR(N$23="",ISNA($B38)),"",IF(ISBLANK($B38),"",IFERROR(_xll.BDP(TICKER,"DEEP_MEASURE_PERIOD_BROKER_VALUE","DEEP_MEASURE_ID_OVERRIDE",$C38,"DEEP_BROKER_ID_OVERRIDE",N$24,"DEEP_PERIOD_OVERRIDE",$H$19)*1,"")))</f>
        <v/>
      </c>
      <c r="O38" s="17" t="str">
        <f>IF(OR(O$23="",ISNA($B38)),"",IF(ISBLANK($B38),"",IFERROR(_xll.BDP(TICKER,"DEEP_MEASURE_PERIOD_BROKER_VALUE","DEEP_MEASURE_ID_OVERRIDE",$C38,"DEEP_BROKER_ID_OVERRIDE",O$24,"DEEP_PERIOD_OVERRIDE",$H$19)*1,"")))</f>
        <v/>
      </c>
      <c r="P38" s="17" t="str">
        <f>IF(OR(P$23="",ISNA($B38)),"",IF(ISBLANK($B38),"",IFERROR(_xll.BDP(TICKER,"DEEP_MEASURE_PERIOD_BROKER_VALUE","DEEP_MEASURE_ID_OVERRIDE",$C38,"DEEP_BROKER_ID_OVERRIDE",P$24,"DEEP_PERIOD_OVERRIDE",$H$19)*1,"")))</f>
        <v/>
      </c>
      <c r="Q38" s="17" t="str">
        <f>IF(OR(Q$23="",ISNA($B38)),"",IF(ISBLANK($B38),"",IFERROR(_xll.BDP(TICKER,"DEEP_MEASURE_PERIOD_BROKER_VALUE","DEEP_MEASURE_ID_OVERRIDE",$C38,"DEEP_BROKER_ID_OVERRIDE",Q$24,"DEEP_PERIOD_OVERRIDE",$H$19)*1,"")))</f>
        <v/>
      </c>
      <c r="R38" s="17" t="str">
        <f>IF(OR(R$23="",ISNA($B38)),"",IF(ISBLANK($B38),"",IFERROR(_xll.BDP(TICKER,"DEEP_MEASURE_PERIOD_BROKER_VALUE","DEEP_MEASURE_ID_OVERRIDE",$C38,"DEEP_BROKER_ID_OVERRIDE",R$24,"DEEP_PERIOD_OVERRIDE",$H$19)*1,"")))</f>
        <v/>
      </c>
      <c r="S38" s="17" t="str">
        <f>IF(OR(S$23="",ISNA($B38)),"",IF(ISBLANK($B38),"",IFERROR(_xll.BDP(TICKER,"DEEP_MEASURE_PERIOD_BROKER_VALUE","DEEP_MEASURE_ID_OVERRIDE",$C38,"DEEP_BROKER_ID_OVERRIDE",S$24,"DEEP_PERIOD_OVERRIDE",$H$19)*1,"")))</f>
        <v/>
      </c>
      <c r="T38" s="17" t="str">
        <f>IF(OR(T$23="",ISNA($B38)),"",IF(ISBLANK($B38),"",IFERROR(_xll.BDP(TICKER,"DEEP_MEASURE_PERIOD_BROKER_VALUE","DEEP_MEASURE_ID_OVERRIDE",$C38,"DEEP_BROKER_ID_OVERRIDE",T$24,"DEEP_PERIOD_OVERRIDE",$H$19)*1,"")))</f>
        <v/>
      </c>
      <c r="U38" s="17" t="str">
        <f>IF(OR(U$23="",ISNA($B38)),"",IF(ISBLANK($B38),"",IFERROR(_xll.BDP(TICKER,"DEEP_MEASURE_PERIOD_BROKER_VALUE","DEEP_MEASURE_ID_OVERRIDE",$C38,"DEEP_BROKER_ID_OVERRIDE",U$24,"DEEP_PERIOD_OVERRIDE",$H$19)*1,"")))</f>
        <v/>
      </c>
      <c r="V38" s="17" t="str">
        <f>IF(OR(V$23="",ISNA($B38)),"",IF(ISBLANK($B38),"",IFERROR(_xll.BDP(TICKER,"DEEP_MEASURE_PERIOD_BROKER_VALUE","DEEP_MEASURE_ID_OVERRIDE",$C38,"DEEP_BROKER_ID_OVERRIDE",V$24,"DEEP_PERIOD_OVERRIDE",$H$19)*1,"")))</f>
        <v/>
      </c>
      <c r="W38" s="17" t="str">
        <f>IF(OR(W$23="",ISNA($B38)),"",IF(ISBLANK($B38),"",IFERROR(_xll.BDP(TICKER,"DEEP_MEASURE_PERIOD_BROKER_VALUE","DEEP_MEASURE_ID_OVERRIDE",$C38,"DEEP_BROKER_ID_OVERRIDE",W$24,"DEEP_PERIOD_OVERRIDE",$H$19)*1,"")))</f>
        <v/>
      </c>
      <c r="X38" s="17" t="str">
        <f>IF(OR(X$23="",ISNA($B38)),"",IF(ISBLANK($B38),"",IFERROR(_xll.BDP(TICKER,"DEEP_MEASURE_PERIOD_BROKER_VALUE","DEEP_MEASURE_ID_OVERRIDE",$C38,"DEEP_BROKER_ID_OVERRIDE",X$24,"DEEP_PERIOD_OVERRIDE",$H$19)*1,"")))</f>
        <v/>
      </c>
      <c r="Y38" s="17" t="str">
        <f>IF(OR(Y$23="",ISNA($B38)),"",IF(ISBLANK($B38),"",IFERROR(_xll.BDP(TICKER,"DEEP_MEASURE_PERIOD_BROKER_VALUE","DEEP_MEASURE_ID_OVERRIDE",$C38,"DEEP_BROKER_ID_OVERRIDE",Y$24,"DEEP_PERIOD_OVERRIDE",$H$19)*1,"")))</f>
        <v/>
      </c>
      <c r="Z38" s="17" t="str">
        <f>IF(OR(Z$23="",ISNA($B38)),"",IF(ISBLANK($B38),"",IFERROR(_xll.BDP(TICKER,"DEEP_MEASURE_PERIOD_BROKER_VALUE","DEEP_MEASURE_ID_OVERRIDE",$C38,"DEEP_BROKER_ID_OVERRIDE",Z$24,"DEEP_PERIOD_OVERRIDE",$H$19)*1,"")))</f>
        <v/>
      </c>
      <c r="AA38" s="17" t="str">
        <f>IF(OR(AA$23="",ISNA($B38)),"",IF(ISBLANK($B38),"",IFERROR(_xll.BDP(TICKER,"DEEP_MEASURE_PERIOD_BROKER_VALUE","DEEP_MEASURE_ID_OVERRIDE",$C38,"DEEP_BROKER_ID_OVERRIDE",AA$24,"DEEP_PERIOD_OVERRIDE",$H$19)*1,"")))</f>
        <v/>
      </c>
      <c r="AB38" s="17" t="str">
        <f>IF(OR(AB$23="",ISNA($B38)),"",IF(ISBLANK($B38),"",IFERROR(_xll.BDP(TICKER,"DEEP_MEASURE_PERIOD_BROKER_VALUE","DEEP_MEASURE_ID_OVERRIDE",$C38,"DEEP_BROKER_ID_OVERRIDE",AB$24,"DEEP_PERIOD_OVERRIDE",$H$19)*1,"")))</f>
        <v/>
      </c>
      <c r="AC38" s="17" t="str">
        <f>IF(OR(AC$23="",ISNA($B38)),"",IF(ISBLANK($B38),"",IFERROR(_xll.BDP(TICKER,"DEEP_MEASURE_PERIOD_BROKER_VALUE","DEEP_MEASURE_ID_OVERRIDE",$C38,"DEEP_BROKER_ID_OVERRIDE",AC$24,"DEEP_PERIOD_OVERRIDE",$H$19)*1,"")))</f>
        <v/>
      </c>
      <c r="AD38" s="17" t="str">
        <f>IF(OR(AD$23="",ISNA($B38)),"",IF(ISBLANK($B38),"",IFERROR(_xll.BDP(TICKER,"DEEP_MEASURE_PERIOD_BROKER_VALUE","DEEP_MEASURE_ID_OVERRIDE",$C38,"DEEP_BROKER_ID_OVERRIDE",AD$24,"DEEP_PERIOD_OVERRIDE",$H$19)*1,"")))</f>
        <v/>
      </c>
      <c r="AE38" s="17" t="str">
        <f>IF(OR(AE$23="",ISNA($B38)),"",IF(ISBLANK($B38),"",IFERROR(_xll.BDP(TICKER,"DEEP_MEASURE_PERIOD_BROKER_VALUE","DEEP_MEASURE_ID_OVERRIDE",$C38,"DEEP_BROKER_ID_OVERRIDE",AE$24,"DEEP_PERIOD_OVERRIDE",$H$19)*1,"")))</f>
        <v/>
      </c>
      <c r="AF38" s="17" t="str">
        <f>IF(OR(AF$23="",ISNA($B38)),"",IF(ISBLANK($B38),"",IFERROR(_xll.BDP(TICKER,"DEEP_MEASURE_PERIOD_BROKER_VALUE","DEEP_MEASURE_ID_OVERRIDE",$C38,"DEEP_BROKER_ID_OVERRIDE",AF$24,"DEEP_PERIOD_OVERRIDE",$H$19)*1,"")))</f>
        <v/>
      </c>
      <c r="AG38" s="17" t="str">
        <f>IF(OR(AG$23="",ISNA($B38)),"",IF(ISBLANK($B38),"",IFERROR(_xll.BDP(TICKER,"DEEP_MEASURE_PERIOD_BROKER_VALUE","DEEP_MEASURE_ID_OVERRIDE",$C38,"DEEP_BROKER_ID_OVERRIDE",AG$24,"DEEP_PERIOD_OVERRIDE",$H$19)*1,"")))</f>
        <v/>
      </c>
      <c r="AH38" s="17" t="str">
        <f>IF(OR(AH$23="",ISNA($B38)),"",IF(ISBLANK($B38),"",IFERROR(_xll.BDP(TICKER,"DEEP_MEASURE_PERIOD_BROKER_VALUE","DEEP_MEASURE_ID_OVERRIDE",$C38,"DEEP_BROKER_ID_OVERRIDE",AH$24,"DEEP_PERIOD_OVERRIDE",$H$19)*1,"")))</f>
        <v/>
      </c>
      <c r="AI38" s="17" t="str">
        <f>IF(OR(AI$23="",ISNA($B38)),"",IF(ISBLANK($B38),"",IFERROR(_xll.BDP(TICKER,"DEEP_MEASURE_PERIOD_BROKER_VALUE","DEEP_MEASURE_ID_OVERRIDE",$C38,"DEEP_BROKER_ID_OVERRIDE",AI$24,"DEEP_PERIOD_OVERRIDE",$H$19)*1,"")))</f>
        <v/>
      </c>
      <c r="AJ38" s="17" t="str">
        <f>IF(OR(AJ$23="",ISNA($B38)),"",IF(ISBLANK($B38),"",IFERROR(_xll.BDP(TICKER,"DEEP_MEASURE_PERIOD_BROKER_VALUE","DEEP_MEASURE_ID_OVERRIDE",$C38,"DEEP_BROKER_ID_OVERRIDE",AJ$24,"DEEP_PERIOD_OVERRIDE",$H$19)*1,"")))</f>
        <v/>
      </c>
      <c r="AK38" s="17" t="str">
        <f>IF(OR(AK$23="",ISNA($B38)),"",IF(ISBLANK($B38),"",IFERROR(_xll.BDP(TICKER,"DEEP_MEASURE_PERIOD_BROKER_VALUE","DEEP_MEASURE_ID_OVERRIDE",$C38,"DEEP_BROKER_ID_OVERRIDE",AK$24,"DEEP_PERIOD_OVERRIDE",$H$19)*1,"")))</f>
        <v/>
      </c>
      <c r="AL38" s="17" t="str">
        <f>IF(OR(AL$23="",ISNA($B38)),"",IF(ISBLANK($B38),"",IFERROR(_xll.BDP(TICKER,"DEEP_MEASURE_PERIOD_BROKER_VALUE","DEEP_MEASURE_ID_OVERRIDE",$C38,"DEEP_BROKER_ID_OVERRIDE",AL$24,"DEEP_PERIOD_OVERRIDE",$H$19)*1,"")))</f>
        <v/>
      </c>
      <c r="AM38" s="17" t="str">
        <f>IF(OR(AM$23="",ISNA($B38)),"",IF(ISBLANK($B38),"",IFERROR(_xll.BDP(TICKER,"DEEP_MEASURE_PERIOD_BROKER_VALUE","DEEP_MEASURE_ID_OVERRIDE",$C38,"DEEP_BROKER_ID_OVERRIDE",AM$24,"DEEP_PERIOD_OVERRIDE",$H$19)*1,"")))</f>
        <v/>
      </c>
      <c r="AN38" s="17" t="str">
        <f>IF(OR(AN$23="",ISNA($B38)),"",IF(ISBLANK($B38),"",IFERROR(_xll.BDP(TICKER,"DEEP_MEASURE_PERIOD_BROKER_VALUE","DEEP_MEASURE_ID_OVERRIDE",$C38,"DEEP_BROKER_ID_OVERRIDE",AN$24,"DEEP_PERIOD_OVERRIDE",$H$19)*1,"")))</f>
        <v/>
      </c>
      <c r="AO38" s="17" t="str">
        <f>IF(OR(AO$23="",ISNA($B38)),"",IF(ISBLANK($B38),"",IFERROR(_xll.BDP(TICKER,"DEEP_MEASURE_PERIOD_BROKER_VALUE","DEEP_MEASURE_ID_OVERRIDE",$C38,"DEEP_BROKER_ID_OVERRIDE",AO$24,"DEEP_PERIOD_OVERRIDE",$H$19)*1,"")))</f>
        <v/>
      </c>
      <c r="AP38" s="17" t="str">
        <f>IF(OR(AP$23="",ISNA($B38)),"",IF(ISBLANK($B38),"",IFERROR(_xll.BDP(TICKER,"DEEP_MEASURE_PERIOD_BROKER_VALUE","DEEP_MEASURE_ID_OVERRIDE",$C38,"DEEP_BROKER_ID_OVERRIDE",AP$24,"DEEP_PERIOD_OVERRIDE",$H$19)*1,"")))</f>
        <v/>
      </c>
      <c r="AQ38" s="17" t="str">
        <f>IF(OR(AQ$23="",ISNA($B38)),"",IF(ISBLANK($B38),"",IFERROR(_xll.BDP(TICKER,"DEEP_MEASURE_PERIOD_BROKER_VALUE","DEEP_MEASURE_ID_OVERRIDE",$C38,"DEEP_BROKER_ID_OVERRIDE",AQ$24,"DEEP_PERIOD_OVERRIDE",$H$19)*1,"")))</f>
        <v/>
      </c>
      <c r="AR38" s="17" t="str">
        <f>IF(OR(AR$23="",ISNA($B38)),"",IF(ISBLANK($B38),"",IFERROR(_xll.BDP(TICKER,"DEEP_MEASURE_PERIOD_BROKER_VALUE","DEEP_MEASURE_ID_OVERRIDE",$C38,"DEEP_BROKER_ID_OVERRIDE",AR$24,"DEEP_PERIOD_OVERRIDE",$H$19)*1,"")))</f>
        <v/>
      </c>
      <c r="AS38" s="17" t="str">
        <f>IF(OR(AS$23="",ISNA($B38)),"",IF(ISBLANK($B38),"",IFERROR(_xll.BDP(TICKER,"DEEP_MEASURE_PERIOD_BROKER_VALUE","DEEP_MEASURE_ID_OVERRIDE",$C38,"DEEP_BROKER_ID_OVERRIDE",AS$24,"DEEP_PERIOD_OVERRIDE",$H$19)*1,"")))</f>
        <v/>
      </c>
      <c r="AT38" s="17" t="str">
        <f>IF(OR(AT$23="",ISNA($B38)),"",IF(ISBLANK($B38),"",IFERROR(_xll.BDP(TICKER,"DEEP_MEASURE_PERIOD_BROKER_VALUE","DEEP_MEASURE_ID_OVERRIDE",$C38,"DEEP_BROKER_ID_OVERRIDE",AT$24,"DEEP_PERIOD_OVERRIDE",$H$19)*1,"")))</f>
        <v/>
      </c>
      <c r="AU38" s="17" t="str">
        <f>IF(OR(AU$23="",ISNA($B38)),"",IF(ISBLANK($B38),"",IFERROR(_xll.BDP(TICKER,"DEEP_MEASURE_PERIOD_BROKER_VALUE","DEEP_MEASURE_ID_OVERRIDE",$C38,"DEEP_BROKER_ID_OVERRIDE",AU$24,"DEEP_PERIOD_OVERRIDE",$H$19)*1,"")))</f>
        <v/>
      </c>
      <c r="AV38" s="17" t="str">
        <f>IF(OR(AV$23="",ISNA($B38)),"",IF(ISBLANK($B38),"",IFERROR(_xll.BDP(TICKER,"DEEP_MEASURE_PERIOD_BROKER_VALUE","DEEP_MEASURE_ID_OVERRIDE",$C38,"DEEP_BROKER_ID_OVERRIDE",AV$24,"DEEP_PERIOD_OVERRIDE",$H$19)*1,"")))</f>
        <v/>
      </c>
      <c r="AW38" s="17" t="str">
        <f>IF(OR(AW$23="",ISNA($B38)),"",IF(ISBLANK($B38),"",IFERROR(_xll.BDP(TICKER,"DEEP_MEASURE_PERIOD_BROKER_VALUE","DEEP_MEASURE_ID_OVERRIDE",$C38,"DEEP_BROKER_ID_OVERRIDE",AW$24,"DEEP_PERIOD_OVERRIDE",$H$19)*1,"")))</f>
        <v/>
      </c>
      <c r="AX38" s="17" t="str">
        <f>IF(OR(AX$23="",ISNA($B38)),"",IF(ISBLANK($B38),"",IFERROR(_xll.BDP(TICKER,"DEEP_MEASURE_PERIOD_BROKER_VALUE","DEEP_MEASURE_ID_OVERRIDE",$C38,"DEEP_BROKER_ID_OVERRIDE",AX$24,"DEEP_PERIOD_OVERRIDE",$H$19)*1,"")))</f>
        <v/>
      </c>
      <c r="AY38" s="17" t="str">
        <f>IF(OR(AY$23="",ISNA($B38)),"",IF(ISBLANK($B38),"",IFERROR(_xll.BDP(TICKER,"DEEP_MEASURE_PERIOD_BROKER_VALUE","DEEP_MEASURE_ID_OVERRIDE",$C38,"DEEP_BROKER_ID_OVERRIDE",AY$24,"DEEP_PERIOD_OVERRIDE",$H$19)*1,"")))</f>
        <v/>
      </c>
      <c r="AZ38" s="17" t="str">
        <f>IF(OR(AZ$23="",ISNA($B38)),"",IF(ISBLANK($B38),"",IFERROR(_xll.BDP(TICKER,"DEEP_MEASURE_PERIOD_BROKER_VALUE","DEEP_MEASURE_ID_OVERRIDE",$C38,"DEEP_BROKER_ID_OVERRIDE",AZ$24,"DEEP_PERIOD_OVERRIDE",$H$19)*1,"")))</f>
        <v/>
      </c>
      <c r="BA38" s="17" t="str">
        <f>IF(OR(BA$23="",ISNA($B38)),"",IF(ISBLANK($B38),"",IFERROR(_xll.BDP(TICKER,"DEEP_MEASURE_PERIOD_BROKER_VALUE","DEEP_MEASURE_ID_OVERRIDE",$C38,"DEEP_BROKER_ID_OVERRIDE",BA$24,"DEEP_PERIOD_OVERRIDE",$H$19)*1,"")))</f>
        <v/>
      </c>
      <c r="BB38" s="17" t="str">
        <f>IF(OR(BB$23="",ISNA($B38)),"",IF(ISBLANK($B38),"",IFERROR(_xll.BDP(TICKER,"DEEP_MEASURE_PERIOD_BROKER_VALUE","DEEP_MEASURE_ID_OVERRIDE",$C38,"DEEP_BROKER_ID_OVERRIDE",BB$24,"DEEP_PERIOD_OVERRIDE",$H$19)*1,"")))</f>
        <v/>
      </c>
      <c r="BC38" s="17" t="str">
        <f>IF(OR(BC$23="",ISNA($B38)),"",IF(ISBLANK($B38),"",IFERROR(_xll.BDP(TICKER,"DEEP_MEASURE_PERIOD_BROKER_VALUE","DEEP_MEASURE_ID_OVERRIDE",$C38,"DEEP_BROKER_ID_OVERRIDE",BC$24,"DEEP_PERIOD_OVERRIDE",$H$19)*1,"")))</f>
        <v/>
      </c>
      <c r="BD38" s="17" t="str">
        <f>IF(OR(BD$23="",ISNA($B38)),"",IF(ISBLANK($B38),"",IFERROR(_xll.BDP(TICKER,"DEEP_MEASURE_PERIOD_BROKER_VALUE","DEEP_MEASURE_ID_OVERRIDE",$C38,"DEEP_BROKER_ID_OVERRIDE",BD$24,"DEEP_PERIOD_OVERRIDE",$H$19)*1,"")))</f>
        <v/>
      </c>
      <c r="BE38" s="17" t="str">
        <f>IF(OR(BE$23="",ISNA($B38)),"",IF(ISBLANK($B38),"",IFERROR(_xll.BDP(TICKER,"DEEP_MEASURE_PERIOD_BROKER_VALUE","DEEP_MEASURE_ID_OVERRIDE",$C38,"DEEP_BROKER_ID_OVERRIDE",BE$24,"DEEP_PERIOD_OVERRIDE",$H$19)*1,"")))</f>
        <v/>
      </c>
      <c r="BF38" s="17" t="str">
        <f>IF(OR(BF$23="",ISNA($B38)),"",IF(ISBLANK($B38),"",IFERROR(_xll.BDP(TICKER,"DEEP_MEASURE_PERIOD_BROKER_VALUE","DEEP_MEASURE_ID_OVERRIDE",$C38,"DEEP_BROKER_ID_OVERRIDE",BF$24,"DEEP_PERIOD_OVERRIDE",$H$19)*1,"")))</f>
        <v/>
      </c>
      <c r="BG38" s="17" t="str">
        <f>IF(OR(BG$23="",ISNA($B38)),"",IF(ISBLANK($B38),"",IFERROR(_xll.BDP(TICKER,"DEEP_MEASURE_PERIOD_BROKER_VALUE","DEEP_MEASURE_ID_OVERRIDE",$C38,"DEEP_BROKER_ID_OVERRIDE",BG$24,"DEEP_PERIOD_OVERRIDE",$H$19)*1,"")))</f>
        <v/>
      </c>
      <c r="BH38" s="17" t="str">
        <f>IF(OR(BH$23="",ISNA($B38)),"",IF(ISBLANK($B38),"",IFERROR(_xll.BDP(TICKER,"DEEP_MEASURE_PERIOD_BROKER_VALUE","DEEP_MEASURE_ID_OVERRIDE",$C38,"DEEP_BROKER_ID_OVERRIDE",BH$24,"DEEP_PERIOD_OVERRIDE",$H$19)*1,"")))</f>
        <v/>
      </c>
      <c r="BI38" s="17" t="str">
        <f>IF(OR(BI$23="",ISNA($B38)),"",IF(ISBLANK($B38),"",IFERROR(_xll.BDP(TICKER,"DEEP_MEASURE_PERIOD_BROKER_VALUE","DEEP_MEASURE_ID_OVERRIDE",$C38,"DEEP_BROKER_ID_OVERRIDE",BI$24,"DEEP_PERIOD_OVERRIDE",$H$19)*1,"")))</f>
        <v/>
      </c>
      <c r="BJ38" s="17" t="str">
        <f>IF(OR(BJ$23="",ISNA($B38)),"",IF(ISBLANK($B38),"",IFERROR(_xll.BDP(TICKER,"DEEP_MEASURE_PERIOD_BROKER_VALUE","DEEP_MEASURE_ID_OVERRIDE",$C38,"DEEP_BROKER_ID_OVERRIDE",BJ$24,"DEEP_PERIOD_OVERRIDE",$H$19)*1,"")))</f>
        <v/>
      </c>
      <c r="BK38" s="17" t="str">
        <f>IF(OR(BK$23="",ISNA($B38)),"",IF(ISBLANK($B38),"",IFERROR(_xll.BDP(TICKER,"DEEP_MEASURE_PERIOD_BROKER_VALUE","DEEP_MEASURE_ID_OVERRIDE",$C38,"DEEP_BROKER_ID_OVERRIDE",BK$24,"DEEP_PERIOD_OVERRIDE",$H$19)*1,"")))</f>
        <v/>
      </c>
      <c r="BL38" s="17" t="str">
        <f>IF(OR(BL$23="",ISNA($B38)),"",IF(ISBLANK($B38),"",IFERROR(_xll.BDP(TICKER,"DEEP_MEASURE_PERIOD_BROKER_VALUE","DEEP_MEASURE_ID_OVERRIDE",$C38,"DEEP_BROKER_ID_OVERRIDE",BL$24,"DEEP_PERIOD_OVERRIDE",$H$19)*1,"")))</f>
        <v/>
      </c>
      <c r="BM38" s="17" t="str">
        <f>IF(OR(BM$23="",ISNA($B38)),"",IF(ISBLANK($B38),"",IFERROR(_xll.BDP(TICKER,"DEEP_MEASURE_PERIOD_BROKER_VALUE","DEEP_MEASURE_ID_OVERRIDE",$C38,"DEEP_BROKER_ID_OVERRIDE",BM$24,"DEEP_PERIOD_OVERRIDE",$H$19)*1,"")))</f>
        <v/>
      </c>
      <c r="BN38" s="17" t="str">
        <f>IF(OR(BN$23="",ISNA($B38)),"",IF(ISBLANK($B38),"",IFERROR(_xll.BDP(TICKER,"DEEP_MEASURE_PERIOD_BROKER_VALUE","DEEP_MEASURE_ID_OVERRIDE",$C38,"DEEP_BROKER_ID_OVERRIDE",BN$24,"DEEP_PERIOD_OVERRIDE",$H$19)*1,"")))</f>
        <v/>
      </c>
      <c r="BO38" s="17" t="str">
        <f>IF(OR(BO$23="",ISNA($B38)),"",IF(ISBLANK($B38),"",IFERROR(_xll.BDP(TICKER,"DEEP_MEASURE_PERIOD_BROKER_VALUE","DEEP_MEASURE_ID_OVERRIDE",$C38,"DEEP_BROKER_ID_OVERRIDE",BO$24,"DEEP_PERIOD_OVERRIDE",$H$19)*1,"")))</f>
        <v/>
      </c>
      <c r="BP38" s="17" t="str">
        <f>IF(OR(BP$23="",ISNA($B38)),"",IF(ISBLANK($B38),"",IFERROR(_xll.BDP(TICKER,"DEEP_MEASURE_PERIOD_BROKER_VALUE","DEEP_MEASURE_ID_OVERRIDE",$C38,"DEEP_BROKER_ID_OVERRIDE",BP$24,"DEEP_PERIOD_OVERRIDE",$H$19)*1,"")))</f>
        <v/>
      </c>
      <c r="BQ38" s="17" t="str">
        <f>IF(OR(BQ$23="",ISNA($B38)),"",IF(ISBLANK($B38),"",IFERROR(_xll.BDP(TICKER,"DEEP_MEASURE_PERIOD_BROKER_VALUE","DEEP_MEASURE_ID_OVERRIDE",$C38,"DEEP_BROKER_ID_OVERRIDE",BQ$24,"DEEP_PERIOD_OVERRIDE",$H$19)*1,"")))</f>
        <v/>
      </c>
      <c r="BR38" s="17" t="str">
        <f>IF(OR(BR$23="",ISNA($B38)),"",IF(ISBLANK($B38),"",IFERROR(_xll.BDP(TICKER,"DEEP_MEASURE_PERIOD_BROKER_VALUE","DEEP_MEASURE_ID_OVERRIDE",$C38,"DEEP_BROKER_ID_OVERRIDE",BR$24,"DEEP_PERIOD_OVERRIDE",$H$19)*1,"")))</f>
        <v/>
      </c>
      <c r="BS38" s="17" t="str">
        <f>IF(OR(BS$23="",ISNA($B38)),"",IF(ISBLANK($B38),"",IFERROR(_xll.BDP(TICKER,"DEEP_MEASURE_PERIOD_BROKER_VALUE","DEEP_MEASURE_ID_OVERRIDE",$C38,"DEEP_BROKER_ID_OVERRIDE",BS$24,"DEEP_PERIOD_OVERRIDE",$H$19)*1,"")))</f>
        <v/>
      </c>
      <c r="BT38" s="17" t="str">
        <f>IF(OR(BT$23="",ISNA($B38)),"",IF(ISBLANK($B38),"",IFERROR(_xll.BDP(TICKER,"DEEP_MEASURE_PERIOD_BROKER_VALUE","DEEP_MEASURE_ID_OVERRIDE",$C38,"DEEP_BROKER_ID_OVERRIDE",BT$24,"DEEP_PERIOD_OVERRIDE",$H$19)*1,"")))</f>
        <v/>
      </c>
      <c r="BU38" s="17" t="str">
        <f>IF(OR(BU$23="",ISNA($B38)),"",IF(ISBLANK($B38),"",IFERROR(_xll.BDP(TICKER,"DEEP_MEASURE_PERIOD_BROKER_VALUE","DEEP_MEASURE_ID_OVERRIDE",$C38,"DEEP_BROKER_ID_OVERRIDE",BU$24,"DEEP_PERIOD_OVERRIDE",$H$19)*1,"")))</f>
        <v/>
      </c>
      <c r="BV38" s="17" t="str">
        <f>IF(OR(BV$23="",ISNA($B38)),"",IF(ISBLANK($B38),"",IFERROR(_xll.BDP(TICKER,"DEEP_MEASURE_PERIOD_BROKER_VALUE","DEEP_MEASURE_ID_OVERRIDE",$C38,"DEEP_BROKER_ID_OVERRIDE",BV$24,"DEEP_PERIOD_OVERRIDE",$H$19)*1,"")))</f>
        <v/>
      </c>
      <c r="BW38" s="17" t="str">
        <f>IF(OR(BW$23="",ISNA($B38)),"",IF(ISBLANK($B38),"",IFERROR(_xll.BDP(TICKER,"DEEP_MEASURE_PERIOD_BROKER_VALUE","DEEP_MEASURE_ID_OVERRIDE",$C38,"DEEP_BROKER_ID_OVERRIDE",BW$24,"DEEP_PERIOD_OVERRIDE",$H$19)*1,"")))</f>
        <v/>
      </c>
      <c r="BX38" s="17" t="str">
        <f>IF(OR(BX$23="",ISNA($B38)),"",IF(ISBLANK($B38),"",IFERROR(_xll.BDP(TICKER,"DEEP_MEASURE_PERIOD_BROKER_VALUE","DEEP_MEASURE_ID_OVERRIDE",$C38,"DEEP_BROKER_ID_OVERRIDE",BX$24,"DEEP_PERIOD_OVERRIDE",$H$19)*1,"")))</f>
        <v/>
      </c>
      <c r="BY38" s="17" t="str">
        <f>IF(OR(BY$23="",ISNA($B38)),"",IF(ISBLANK($B38),"",IFERROR(_xll.BDP(TICKER,"DEEP_MEASURE_PERIOD_BROKER_VALUE","DEEP_MEASURE_ID_OVERRIDE",$C38,"DEEP_BROKER_ID_OVERRIDE",BY$24,"DEEP_PERIOD_OVERRIDE",$H$19)*1,"")))</f>
        <v/>
      </c>
      <c r="BZ38" s="17" t="str">
        <f>IF(OR(BZ$23="",ISNA($B38)),"",IF(ISBLANK($B38),"",IFERROR(_xll.BDP(TICKER,"DEEP_MEASURE_PERIOD_BROKER_VALUE","DEEP_MEASURE_ID_OVERRIDE",$C38,"DEEP_BROKER_ID_OVERRIDE",BZ$24,"DEEP_PERIOD_OVERRIDE",$H$19)*1,"")))</f>
        <v/>
      </c>
    </row>
    <row r="39" spans="2:78" x14ac:dyDescent="0.25">
      <c r="B39" t="s">
        <v>43</v>
      </c>
      <c r="C39" s="11">
        <v>9843</v>
      </c>
      <c r="H39" t="str">
        <f t="shared" si="1"/>
        <v>Hotels, Media &amp; Platform &gt; Revenue &gt; TripAdvisor-Branded  Hotels &gt; YoY Growth (%)</v>
      </c>
      <c r="I39" t="str">
        <f>IF(OR(I$23="",ISNA($B39)),"",IF(ISBLANK($B39),"",IFERROR(_xll.BDP(TICKER,"DEEP_MEASURE_PERIOD_BROKER_VALUE","DEEP_MEASURE_ID_OVERRIDE",$C39,"DEEP_PERIOD_OVERRIDE",$H$19)*1,"")))</f>
        <v/>
      </c>
      <c r="J39" t="e">
        <f>IF(OR(J$23="",ISNA($B39)),"",IF(ISBLANK($B39),"",IFERROR(_xll.BDP(TICKER,"DEEP_MEASURE_PERIOD_BROKER_VALUE","DEEP_MEASURE_ID_OVERRIDE",$C39,"DEEP_BROKER_ID_OVERRIDE",J$24,"DEEP_PERIOD_OVERRIDE",$H$19)*1,"")))</f>
        <v>#REF!</v>
      </c>
      <c r="K39" s="17" t="str">
        <f>IF(OR(K$23="",ISNA($B39)),"",IF(ISBLANK($B39),"",IFERROR(_xll.BDP(TICKER,"DEEP_MEASURE_PERIOD_BROKER_VALUE","DEEP_MEASURE_ID_OVERRIDE",$C39,"DEEP_BROKER_ID_OVERRIDE",K$24,"DEEP_PERIOD_OVERRIDE",$H$19)*1,"")))</f>
        <v/>
      </c>
      <c r="L39" s="17" t="str">
        <f>IF(OR(L$23="",ISNA($B39)),"",IF(ISBLANK($B39),"",IFERROR(_xll.BDP(TICKER,"DEEP_MEASURE_PERIOD_BROKER_VALUE","DEEP_MEASURE_ID_OVERRIDE",$C39,"DEEP_BROKER_ID_OVERRIDE",L$24,"DEEP_PERIOD_OVERRIDE",$H$19)*1,"")))</f>
        <v/>
      </c>
      <c r="M39" s="17" t="str">
        <f>IF(OR(M$23="",ISNA($B39)),"",IF(ISBLANK($B39),"",IFERROR(_xll.BDP(TICKER,"DEEP_MEASURE_PERIOD_BROKER_VALUE","DEEP_MEASURE_ID_OVERRIDE",$C39,"DEEP_BROKER_ID_OVERRIDE",M$24,"DEEP_PERIOD_OVERRIDE",$H$19)*1,"")))</f>
        <v/>
      </c>
      <c r="N39" s="17" t="str">
        <f>IF(OR(N$23="",ISNA($B39)),"",IF(ISBLANK($B39),"",IFERROR(_xll.BDP(TICKER,"DEEP_MEASURE_PERIOD_BROKER_VALUE","DEEP_MEASURE_ID_OVERRIDE",$C39,"DEEP_BROKER_ID_OVERRIDE",N$24,"DEEP_PERIOD_OVERRIDE",$H$19)*1,"")))</f>
        <v/>
      </c>
      <c r="O39" s="17" t="str">
        <f>IF(OR(O$23="",ISNA($B39)),"",IF(ISBLANK($B39),"",IFERROR(_xll.BDP(TICKER,"DEEP_MEASURE_PERIOD_BROKER_VALUE","DEEP_MEASURE_ID_OVERRIDE",$C39,"DEEP_BROKER_ID_OVERRIDE",O$24,"DEEP_PERIOD_OVERRIDE",$H$19)*1,"")))</f>
        <v/>
      </c>
      <c r="P39" s="17" t="str">
        <f>IF(OR(P$23="",ISNA($B39)),"",IF(ISBLANK($B39),"",IFERROR(_xll.BDP(TICKER,"DEEP_MEASURE_PERIOD_BROKER_VALUE","DEEP_MEASURE_ID_OVERRIDE",$C39,"DEEP_BROKER_ID_OVERRIDE",P$24,"DEEP_PERIOD_OVERRIDE",$H$19)*1,"")))</f>
        <v/>
      </c>
      <c r="Q39" s="17" t="str">
        <f>IF(OR(Q$23="",ISNA($B39)),"",IF(ISBLANK($B39),"",IFERROR(_xll.BDP(TICKER,"DEEP_MEASURE_PERIOD_BROKER_VALUE","DEEP_MEASURE_ID_OVERRIDE",$C39,"DEEP_BROKER_ID_OVERRIDE",Q$24,"DEEP_PERIOD_OVERRIDE",$H$19)*1,"")))</f>
        <v/>
      </c>
      <c r="R39" s="17" t="str">
        <f>IF(OR(R$23="",ISNA($B39)),"",IF(ISBLANK($B39),"",IFERROR(_xll.BDP(TICKER,"DEEP_MEASURE_PERIOD_BROKER_VALUE","DEEP_MEASURE_ID_OVERRIDE",$C39,"DEEP_BROKER_ID_OVERRIDE",R$24,"DEEP_PERIOD_OVERRIDE",$H$19)*1,"")))</f>
        <v/>
      </c>
      <c r="S39" s="17" t="str">
        <f>IF(OR(S$23="",ISNA($B39)),"",IF(ISBLANK($B39),"",IFERROR(_xll.BDP(TICKER,"DEEP_MEASURE_PERIOD_BROKER_VALUE","DEEP_MEASURE_ID_OVERRIDE",$C39,"DEEP_BROKER_ID_OVERRIDE",S$24,"DEEP_PERIOD_OVERRIDE",$H$19)*1,"")))</f>
        <v/>
      </c>
      <c r="T39" s="17" t="str">
        <f>IF(OR(T$23="",ISNA($B39)),"",IF(ISBLANK($B39),"",IFERROR(_xll.BDP(TICKER,"DEEP_MEASURE_PERIOD_BROKER_VALUE","DEEP_MEASURE_ID_OVERRIDE",$C39,"DEEP_BROKER_ID_OVERRIDE",T$24,"DEEP_PERIOD_OVERRIDE",$H$19)*1,"")))</f>
        <v/>
      </c>
      <c r="U39" s="17" t="str">
        <f>IF(OR(U$23="",ISNA($B39)),"",IF(ISBLANK($B39),"",IFERROR(_xll.BDP(TICKER,"DEEP_MEASURE_PERIOD_BROKER_VALUE","DEEP_MEASURE_ID_OVERRIDE",$C39,"DEEP_BROKER_ID_OVERRIDE",U$24,"DEEP_PERIOD_OVERRIDE",$H$19)*1,"")))</f>
        <v/>
      </c>
      <c r="V39" s="17" t="str">
        <f>IF(OR(V$23="",ISNA($B39)),"",IF(ISBLANK($B39),"",IFERROR(_xll.BDP(TICKER,"DEEP_MEASURE_PERIOD_BROKER_VALUE","DEEP_MEASURE_ID_OVERRIDE",$C39,"DEEP_BROKER_ID_OVERRIDE",V$24,"DEEP_PERIOD_OVERRIDE",$H$19)*1,"")))</f>
        <v/>
      </c>
      <c r="W39" s="17" t="str">
        <f>IF(OR(W$23="",ISNA($B39)),"",IF(ISBLANK($B39),"",IFERROR(_xll.BDP(TICKER,"DEEP_MEASURE_PERIOD_BROKER_VALUE","DEEP_MEASURE_ID_OVERRIDE",$C39,"DEEP_BROKER_ID_OVERRIDE",W$24,"DEEP_PERIOD_OVERRIDE",$H$19)*1,"")))</f>
        <v/>
      </c>
      <c r="X39" s="17" t="str">
        <f>IF(OR(X$23="",ISNA($B39)),"",IF(ISBLANK($B39),"",IFERROR(_xll.BDP(TICKER,"DEEP_MEASURE_PERIOD_BROKER_VALUE","DEEP_MEASURE_ID_OVERRIDE",$C39,"DEEP_BROKER_ID_OVERRIDE",X$24,"DEEP_PERIOD_OVERRIDE",$H$19)*1,"")))</f>
        <v/>
      </c>
      <c r="Y39" s="17" t="str">
        <f>IF(OR(Y$23="",ISNA($B39)),"",IF(ISBLANK($B39),"",IFERROR(_xll.BDP(TICKER,"DEEP_MEASURE_PERIOD_BROKER_VALUE","DEEP_MEASURE_ID_OVERRIDE",$C39,"DEEP_BROKER_ID_OVERRIDE",Y$24,"DEEP_PERIOD_OVERRIDE",$H$19)*1,"")))</f>
        <v/>
      </c>
      <c r="Z39" s="17" t="str">
        <f>IF(OR(Z$23="",ISNA($B39)),"",IF(ISBLANK($B39),"",IFERROR(_xll.BDP(TICKER,"DEEP_MEASURE_PERIOD_BROKER_VALUE","DEEP_MEASURE_ID_OVERRIDE",$C39,"DEEP_BROKER_ID_OVERRIDE",Z$24,"DEEP_PERIOD_OVERRIDE",$H$19)*1,"")))</f>
        <v/>
      </c>
      <c r="AA39" s="17" t="str">
        <f>IF(OR(AA$23="",ISNA($B39)),"",IF(ISBLANK($B39),"",IFERROR(_xll.BDP(TICKER,"DEEP_MEASURE_PERIOD_BROKER_VALUE","DEEP_MEASURE_ID_OVERRIDE",$C39,"DEEP_BROKER_ID_OVERRIDE",AA$24,"DEEP_PERIOD_OVERRIDE",$H$19)*1,"")))</f>
        <v/>
      </c>
      <c r="AB39" s="17" t="str">
        <f>IF(OR(AB$23="",ISNA($B39)),"",IF(ISBLANK($B39),"",IFERROR(_xll.BDP(TICKER,"DEEP_MEASURE_PERIOD_BROKER_VALUE","DEEP_MEASURE_ID_OVERRIDE",$C39,"DEEP_BROKER_ID_OVERRIDE",AB$24,"DEEP_PERIOD_OVERRIDE",$H$19)*1,"")))</f>
        <v/>
      </c>
      <c r="AC39" s="17" t="str">
        <f>IF(OR(AC$23="",ISNA($B39)),"",IF(ISBLANK($B39),"",IFERROR(_xll.BDP(TICKER,"DEEP_MEASURE_PERIOD_BROKER_VALUE","DEEP_MEASURE_ID_OVERRIDE",$C39,"DEEP_BROKER_ID_OVERRIDE",AC$24,"DEEP_PERIOD_OVERRIDE",$H$19)*1,"")))</f>
        <v/>
      </c>
      <c r="AD39" s="17" t="str">
        <f>IF(OR(AD$23="",ISNA($B39)),"",IF(ISBLANK($B39),"",IFERROR(_xll.BDP(TICKER,"DEEP_MEASURE_PERIOD_BROKER_VALUE","DEEP_MEASURE_ID_OVERRIDE",$C39,"DEEP_BROKER_ID_OVERRIDE",AD$24,"DEEP_PERIOD_OVERRIDE",$H$19)*1,"")))</f>
        <v/>
      </c>
      <c r="AE39" s="17" t="str">
        <f>IF(OR(AE$23="",ISNA($B39)),"",IF(ISBLANK($B39),"",IFERROR(_xll.BDP(TICKER,"DEEP_MEASURE_PERIOD_BROKER_VALUE","DEEP_MEASURE_ID_OVERRIDE",$C39,"DEEP_BROKER_ID_OVERRIDE",AE$24,"DEEP_PERIOD_OVERRIDE",$H$19)*1,"")))</f>
        <v/>
      </c>
      <c r="AF39" s="17" t="str">
        <f>IF(OR(AF$23="",ISNA($B39)),"",IF(ISBLANK($B39),"",IFERROR(_xll.BDP(TICKER,"DEEP_MEASURE_PERIOD_BROKER_VALUE","DEEP_MEASURE_ID_OVERRIDE",$C39,"DEEP_BROKER_ID_OVERRIDE",AF$24,"DEEP_PERIOD_OVERRIDE",$H$19)*1,"")))</f>
        <v/>
      </c>
      <c r="AG39" s="17" t="str">
        <f>IF(OR(AG$23="",ISNA($B39)),"",IF(ISBLANK($B39),"",IFERROR(_xll.BDP(TICKER,"DEEP_MEASURE_PERIOD_BROKER_VALUE","DEEP_MEASURE_ID_OVERRIDE",$C39,"DEEP_BROKER_ID_OVERRIDE",AG$24,"DEEP_PERIOD_OVERRIDE",$H$19)*1,"")))</f>
        <v/>
      </c>
      <c r="AH39" s="17" t="str">
        <f>IF(OR(AH$23="",ISNA($B39)),"",IF(ISBLANK($B39),"",IFERROR(_xll.BDP(TICKER,"DEEP_MEASURE_PERIOD_BROKER_VALUE","DEEP_MEASURE_ID_OVERRIDE",$C39,"DEEP_BROKER_ID_OVERRIDE",AH$24,"DEEP_PERIOD_OVERRIDE",$H$19)*1,"")))</f>
        <v/>
      </c>
      <c r="AI39" s="17" t="str">
        <f>IF(OR(AI$23="",ISNA($B39)),"",IF(ISBLANK($B39),"",IFERROR(_xll.BDP(TICKER,"DEEP_MEASURE_PERIOD_BROKER_VALUE","DEEP_MEASURE_ID_OVERRIDE",$C39,"DEEP_BROKER_ID_OVERRIDE",AI$24,"DEEP_PERIOD_OVERRIDE",$H$19)*1,"")))</f>
        <v/>
      </c>
      <c r="AJ39" s="17" t="str">
        <f>IF(OR(AJ$23="",ISNA($B39)),"",IF(ISBLANK($B39),"",IFERROR(_xll.BDP(TICKER,"DEEP_MEASURE_PERIOD_BROKER_VALUE","DEEP_MEASURE_ID_OVERRIDE",$C39,"DEEP_BROKER_ID_OVERRIDE",AJ$24,"DEEP_PERIOD_OVERRIDE",$H$19)*1,"")))</f>
        <v/>
      </c>
      <c r="AK39" s="17" t="str">
        <f>IF(OR(AK$23="",ISNA($B39)),"",IF(ISBLANK($B39),"",IFERROR(_xll.BDP(TICKER,"DEEP_MEASURE_PERIOD_BROKER_VALUE","DEEP_MEASURE_ID_OVERRIDE",$C39,"DEEP_BROKER_ID_OVERRIDE",AK$24,"DEEP_PERIOD_OVERRIDE",$H$19)*1,"")))</f>
        <v/>
      </c>
      <c r="AL39" s="17" t="str">
        <f>IF(OR(AL$23="",ISNA($B39)),"",IF(ISBLANK($B39),"",IFERROR(_xll.BDP(TICKER,"DEEP_MEASURE_PERIOD_BROKER_VALUE","DEEP_MEASURE_ID_OVERRIDE",$C39,"DEEP_BROKER_ID_OVERRIDE",AL$24,"DEEP_PERIOD_OVERRIDE",$H$19)*1,"")))</f>
        <v/>
      </c>
      <c r="AM39" s="17" t="str">
        <f>IF(OR(AM$23="",ISNA($B39)),"",IF(ISBLANK($B39),"",IFERROR(_xll.BDP(TICKER,"DEEP_MEASURE_PERIOD_BROKER_VALUE","DEEP_MEASURE_ID_OVERRIDE",$C39,"DEEP_BROKER_ID_OVERRIDE",AM$24,"DEEP_PERIOD_OVERRIDE",$H$19)*1,"")))</f>
        <v/>
      </c>
      <c r="AN39" s="17" t="str">
        <f>IF(OR(AN$23="",ISNA($B39)),"",IF(ISBLANK($B39),"",IFERROR(_xll.BDP(TICKER,"DEEP_MEASURE_PERIOD_BROKER_VALUE","DEEP_MEASURE_ID_OVERRIDE",$C39,"DEEP_BROKER_ID_OVERRIDE",AN$24,"DEEP_PERIOD_OVERRIDE",$H$19)*1,"")))</f>
        <v/>
      </c>
      <c r="AO39" s="17" t="str">
        <f>IF(OR(AO$23="",ISNA($B39)),"",IF(ISBLANK($B39),"",IFERROR(_xll.BDP(TICKER,"DEEP_MEASURE_PERIOD_BROKER_VALUE","DEEP_MEASURE_ID_OVERRIDE",$C39,"DEEP_BROKER_ID_OVERRIDE",AO$24,"DEEP_PERIOD_OVERRIDE",$H$19)*1,"")))</f>
        <v/>
      </c>
      <c r="AP39" s="17" t="str">
        <f>IF(OR(AP$23="",ISNA($B39)),"",IF(ISBLANK($B39),"",IFERROR(_xll.BDP(TICKER,"DEEP_MEASURE_PERIOD_BROKER_VALUE","DEEP_MEASURE_ID_OVERRIDE",$C39,"DEEP_BROKER_ID_OVERRIDE",AP$24,"DEEP_PERIOD_OVERRIDE",$H$19)*1,"")))</f>
        <v/>
      </c>
      <c r="AQ39" s="17" t="str">
        <f>IF(OR(AQ$23="",ISNA($B39)),"",IF(ISBLANK($B39),"",IFERROR(_xll.BDP(TICKER,"DEEP_MEASURE_PERIOD_BROKER_VALUE","DEEP_MEASURE_ID_OVERRIDE",$C39,"DEEP_BROKER_ID_OVERRIDE",AQ$24,"DEEP_PERIOD_OVERRIDE",$H$19)*1,"")))</f>
        <v/>
      </c>
      <c r="AR39" s="17" t="str">
        <f>IF(OR(AR$23="",ISNA($B39)),"",IF(ISBLANK($B39),"",IFERROR(_xll.BDP(TICKER,"DEEP_MEASURE_PERIOD_BROKER_VALUE","DEEP_MEASURE_ID_OVERRIDE",$C39,"DEEP_BROKER_ID_OVERRIDE",AR$24,"DEEP_PERIOD_OVERRIDE",$H$19)*1,"")))</f>
        <v/>
      </c>
      <c r="AS39" s="17" t="str">
        <f>IF(OR(AS$23="",ISNA($B39)),"",IF(ISBLANK($B39),"",IFERROR(_xll.BDP(TICKER,"DEEP_MEASURE_PERIOD_BROKER_VALUE","DEEP_MEASURE_ID_OVERRIDE",$C39,"DEEP_BROKER_ID_OVERRIDE",AS$24,"DEEP_PERIOD_OVERRIDE",$H$19)*1,"")))</f>
        <v/>
      </c>
      <c r="AT39" s="17" t="str">
        <f>IF(OR(AT$23="",ISNA($B39)),"",IF(ISBLANK($B39),"",IFERROR(_xll.BDP(TICKER,"DEEP_MEASURE_PERIOD_BROKER_VALUE","DEEP_MEASURE_ID_OVERRIDE",$C39,"DEEP_BROKER_ID_OVERRIDE",AT$24,"DEEP_PERIOD_OVERRIDE",$H$19)*1,"")))</f>
        <v/>
      </c>
      <c r="AU39" s="17" t="str">
        <f>IF(OR(AU$23="",ISNA($B39)),"",IF(ISBLANK($B39),"",IFERROR(_xll.BDP(TICKER,"DEEP_MEASURE_PERIOD_BROKER_VALUE","DEEP_MEASURE_ID_OVERRIDE",$C39,"DEEP_BROKER_ID_OVERRIDE",AU$24,"DEEP_PERIOD_OVERRIDE",$H$19)*1,"")))</f>
        <v/>
      </c>
      <c r="AV39" s="17" t="str">
        <f>IF(OR(AV$23="",ISNA($B39)),"",IF(ISBLANK($B39),"",IFERROR(_xll.BDP(TICKER,"DEEP_MEASURE_PERIOD_BROKER_VALUE","DEEP_MEASURE_ID_OVERRIDE",$C39,"DEEP_BROKER_ID_OVERRIDE",AV$24,"DEEP_PERIOD_OVERRIDE",$H$19)*1,"")))</f>
        <v/>
      </c>
      <c r="AW39" s="17" t="str">
        <f>IF(OR(AW$23="",ISNA($B39)),"",IF(ISBLANK($B39),"",IFERROR(_xll.BDP(TICKER,"DEEP_MEASURE_PERIOD_BROKER_VALUE","DEEP_MEASURE_ID_OVERRIDE",$C39,"DEEP_BROKER_ID_OVERRIDE",AW$24,"DEEP_PERIOD_OVERRIDE",$H$19)*1,"")))</f>
        <v/>
      </c>
      <c r="AX39" s="17" t="str">
        <f>IF(OR(AX$23="",ISNA($B39)),"",IF(ISBLANK($B39),"",IFERROR(_xll.BDP(TICKER,"DEEP_MEASURE_PERIOD_BROKER_VALUE","DEEP_MEASURE_ID_OVERRIDE",$C39,"DEEP_BROKER_ID_OVERRIDE",AX$24,"DEEP_PERIOD_OVERRIDE",$H$19)*1,"")))</f>
        <v/>
      </c>
      <c r="AY39" s="17" t="str">
        <f>IF(OR(AY$23="",ISNA($B39)),"",IF(ISBLANK($B39),"",IFERROR(_xll.BDP(TICKER,"DEEP_MEASURE_PERIOD_BROKER_VALUE","DEEP_MEASURE_ID_OVERRIDE",$C39,"DEEP_BROKER_ID_OVERRIDE",AY$24,"DEEP_PERIOD_OVERRIDE",$H$19)*1,"")))</f>
        <v/>
      </c>
      <c r="AZ39" s="17" t="str">
        <f>IF(OR(AZ$23="",ISNA($B39)),"",IF(ISBLANK($B39),"",IFERROR(_xll.BDP(TICKER,"DEEP_MEASURE_PERIOD_BROKER_VALUE","DEEP_MEASURE_ID_OVERRIDE",$C39,"DEEP_BROKER_ID_OVERRIDE",AZ$24,"DEEP_PERIOD_OVERRIDE",$H$19)*1,"")))</f>
        <v/>
      </c>
      <c r="BA39" s="17" t="str">
        <f>IF(OR(BA$23="",ISNA($B39)),"",IF(ISBLANK($B39),"",IFERROR(_xll.BDP(TICKER,"DEEP_MEASURE_PERIOD_BROKER_VALUE","DEEP_MEASURE_ID_OVERRIDE",$C39,"DEEP_BROKER_ID_OVERRIDE",BA$24,"DEEP_PERIOD_OVERRIDE",$H$19)*1,"")))</f>
        <v/>
      </c>
      <c r="BB39" s="17" t="str">
        <f>IF(OR(BB$23="",ISNA($B39)),"",IF(ISBLANK($B39),"",IFERROR(_xll.BDP(TICKER,"DEEP_MEASURE_PERIOD_BROKER_VALUE","DEEP_MEASURE_ID_OVERRIDE",$C39,"DEEP_BROKER_ID_OVERRIDE",BB$24,"DEEP_PERIOD_OVERRIDE",$H$19)*1,"")))</f>
        <v/>
      </c>
      <c r="BC39" s="17" t="str">
        <f>IF(OR(BC$23="",ISNA($B39)),"",IF(ISBLANK($B39),"",IFERROR(_xll.BDP(TICKER,"DEEP_MEASURE_PERIOD_BROKER_VALUE","DEEP_MEASURE_ID_OVERRIDE",$C39,"DEEP_BROKER_ID_OVERRIDE",BC$24,"DEEP_PERIOD_OVERRIDE",$H$19)*1,"")))</f>
        <v/>
      </c>
      <c r="BD39" s="17" t="str">
        <f>IF(OR(BD$23="",ISNA($B39)),"",IF(ISBLANK($B39),"",IFERROR(_xll.BDP(TICKER,"DEEP_MEASURE_PERIOD_BROKER_VALUE","DEEP_MEASURE_ID_OVERRIDE",$C39,"DEEP_BROKER_ID_OVERRIDE",BD$24,"DEEP_PERIOD_OVERRIDE",$H$19)*1,"")))</f>
        <v/>
      </c>
      <c r="BE39" s="17" t="str">
        <f>IF(OR(BE$23="",ISNA($B39)),"",IF(ISBLANK($B39),"",IFERROR(_xll.BDP(TICKER,"DEEP_MEASURE_PERIOD_BROKER_VALUE","DEEP_MEASURE_ID_OVERRIDE",$C39,"DEEP_BROKER_ID_OVERRIDE",BE$24,"DEEP_PERIOD_OVERRIDE",$H$19)*1,"")))</f>
        <v/>
      </c>
      <c r="BF39" s="17" t="str">
        <f>IF(OR(BF$23="",ISNA($B39)),"",IF(ISBLANK($B39),"",IFERROR(_xll.BDP(TICKER,"DEEP_MEASURE_PERIOD_BROKER_VALUE","DEEP_MEASURE_ID_OVERRIDE",$C39,"DEEP_BROKER_ID_OVERRIDE",BF$24,"DEEP_PERIOD_OVERRIDE",$H$19)*1,"")))</f>
        <v/>
      </c>
      <c r="BG39" s="17" t="str">
        <f>IF(OR(BG$23="",ISNA($B39)),"",IF(ISBLANK($B39),"",IFERROR(_xll.BDP(TICKER,"DEEP_MEASURE_PERIOD_BROKER_VALUE","DEEP_MEASURE_ID_OVERRIDE",$C39,"DEEP_BROKER_ID_OVERRIDE",BG$24,"DEEP_PERIOD_OVERRIDE",$H$19)*1,"")))</f>
        <v/>
      </c>
      <c r="BH39" s="17" t="str">
        <f>IF(OR(BH$23="",ISNA($B39)),"",IF(ISBLANK($B39),"",IFERROR(_xll.BDP(TICKER,"DEEP_MEASURE_PERIOD_BROKER_VALUE","DEEP_MEASURE_ID_OVERRIDE",$C39,"DEEP_BROKER_ID_OVERRIDE",BH$24,"DEEP_PERIOD_OVERRIDE",$H$19)*1,"")))</f>
        <v/>
      </c>
      <c r="BI39" s="17" t="str">
        <f>IF(OR(BI$23="",ISNA($B39)),"",IF(ISBLANK($B39),"",IFERROR(_xll.BDP(TICKER,"DEEP_MEASURE_PERIOD_BROKER_VALUE","DEEP_MEASURE_ID_OVERRIDE",$C39,"DEEP_BROKER_ID_OVERRIDE",BI$24,"DEEP_PERIOD_OVERRIDE",$H$19)*1,"")))</f>
        <v/>
      </c>
      <c r="BJ39" s="17" t="str">
        <f>IF(OR(BJ$23="",ISNA($B39)),"",IF(ISBLANK($B39),"",IFERROR(_xll.BDP(TICKER,"DEEP_MEASURE_PERIOD_BROKER_VALUE","DEEP_MEASURE_ID_OVERRIDE",$C39,"DEEP_BROKER_ID_OVERRIDE",BJ$24,"DEEP_PERIOD_OVERRIDE",$H$19)*1,"")))</f>
        <v/>
      </c>
      <c r="BK39" s="17" t="str">
        <f>IF(OR(BK$23="",ISNA($B39)),"",IF(ISBLANK($B39),"",IFERROR(_xll.BDP(TICKER,"DEEP_MEASURE_PERIOD_BROKER_VALUE","DEEP_MEASURE_ID_OVERRIDE",$C39,"DEEP_BROKER_ID_OVERRIDE",BK$24,"DEEP_PERIOD_OVERRIDE",$H$19)*1,"")))</f>
        <v/>
      </c>
      <c r="BL39" s="17" t="str">
        <f>IF(OR(BL$23="",ISNA($B39)),"",IF(ISBLANK($B39),"",IFERROR(_xll.BDP(TICKER,"DEEP_MEASURE_PERIOD_BROKER_VALUE","DEEP_MEASURE_ID_OVERRIDE",$C39,"DEEP_BROKER_ID_OVERRIDE",BL$24,"DEEP_PERIOD_OVERRIDE",$H$19)*1,"")))</f>
        <v/>
      </c>
      <c r="BM39" s="17" t="str">
        <f>IF(OR(BM$23="",ISNA($B39)),"",IF(ISBLANK($B39),"",IFERROR(_xll.BDP(TICKER,"DEEP_MEASURE_PERIOD_BROKER_VALUE","DEEP_MEASURE_ID_OVERRIDE",$C39,"DEEP_BROKER_ID_OVERRIDE",BM$24,"DEEP_PERIOD_OVERRIDE",$H$19)*1,"")))</f>
        <v/>
      </c>
      <c r="BN39" s="17" t="str">
        <f>IF(OR(BN$23="",ISNA($B39)),"",IF(ISBLANK($B39),"",IFERROR(_xll.BDP(TICKER,"DEEP_MEASURE_PERIOD_BROKER_VALUE","DEEP_MEASURE_ID_OVERRIDE",$C39,"DEEP_BROKER_ID_OVERRIDE",BN$24,"DEEP_PERIOD_OVERRIDE",$H$19)*1,"")))</f>
        <v/>
      </c>
      <c r="BO39" s="17" t="str">
        <f>IF(OR(BO$23="",ISNA($B39)),"",IF(ISBLANK($B39),"",IFERROR(_xll.BDP(TICKER,"DEEP_MEASURE_PERIOD_BROKER_VALUE","DEEP_MEASURE_ID_OVERRIDE",$C39,"DEEP_BROKER_ID_OVERRIDE",BO$24,"DEEP_PERIOD_OVERRIDE",$H$19)*1,"")))</f>
        <v/>
      </c>
      <c r="BP39" s="17" t="str">
        <f>IF(OR(BP$23="",ISNA($B39)),"",IF(ISBLANK($B39),"",IFERROR(_xll.BDP(TICKER,"DEEP_MEASURE_PERIOD_BROKER_VALUE","DEEP_MEASURE_ID_OVERRIDE",$C39,"DEEP_BROKER_ID_OVERRIDE",BP$24,"DEEP_PERIOD_OVERRIDE",$H$19)*1,"")))</f>
        <v/>
      </c>
      <c r="BQ39" s="17" t="str">
        <f>IF(OR(BQ$23="",ISNA($B39)),"",IF(ISBLANK($B39),"",IFERROR(_xll.BDP(TICKER,"DEEP_MEASURE_PERIOD_BROKER_VALUE","DEEP_MEASURE_ID_OVERRIDE",$C39,"DEEP_BROKER_ID_OVERRIDE",BQ$24,"DEEP_PERIOD_OVERRIDE",$H$19)*1,"")))</f>
        <v/>
      </c>
      <c r="BR39" s="17" t="str">
        <f>IF(OR(BR$23="",ISNA($B39)),"",IF(ISBLANK($B39),"",IFERROR(_xll.BDP(TICKER,"DEEP_MEASURE_PERIOD_BROKER_VALUE","DEEP_MEASURE_ID_OVERRIDE",$C39,"DEEP_BROKER_ID_OVERRIDE",BR$24,"DEEP_PERIOD_OVERRIDE",$H$19)*1,"")))</f>
        <v/>
      </c>
      <c r="BS39" s="17" t="str">
        <f>IF(OR(BS$23="",ISNA($B39)),"",IF(ISBLANK($B39),"",IFERROR(_xll.BDP(TICKER,"DEEP_MEASURE_PERIOD_BROKER_VALUE","DEEP_MEASURE_ID_OVERRIDE",$C39,"DEEP_BROKER_ID_OVERRIDE",BS$24,"DEEP_PERIOD_OVERRIDE",$H$19)*1,"")))</f>
        <v/>
      </c>
      <c r="BT39" s="17" t="str">
        <f>IF(OR(BT$23="",ISNA($B39)),"",IF(ISBLANK($B39),"",IFERROR(_xll.BDP(TICKER,"DEEP_MEASURE_PERIOD_BROKER_VALUE","DEEP_MEASURE_ID_OVERRIDE",$C39,"DEEP_BROKER_ID_OVERRIDE",BT$24,"DEEP_PERIOD_OVERRIDE",$H$19)*1,"")))</f>
        <v/>
      </c>
      <c r="BU39" s="17" t="str">
        <f>IF(OR(BU$23="",ISNA($B39)),"",IF(ISBLANK($B39),"",IFERROR(_xll.BDP(TICKER,"DEEP_MEASURE_PERIOD_BROKER_VALUE","DEEP_MEASURE_ID_OVERRIDE",$C39,"DEEP_BROKER_ID_OVERRIDE",BU$24,"DEEP_PERIOD_OVERRIDE",$H$19)*1,"")))</f>
        <v/>
      </c>
      <c r="BV39" s="17" t="str">
        <f>IF(OR(BV$23="",ISNA($B39)),"",IF(ISBLANK($B39),"",IFERROR(_xll.BDP(TICKER,"DEEP_MEASURE_PERIOD_BROKER_VALUE","DEEP_MEASURE_ID_OVERRIDE",$C39,"DEEP_BROKER_ID_OVERRIDE",BV$24,"DEEP_PERIOD_OVERRIDE",$H$19)*1,"")))</f>
        <v/>
      </c>
      <c r="BW39" s="17" t="str">
        <f>IF(OR(BW$23="",ISNA($B39)),"",IF(ISBLANK($B39),"",IFERROR(_xll.BDP(TICKER,"DEEP_MEASURE_PERIOD_BROKER_VALUE","DEEP_MEASURE_ID_OVERRIDE",$C39,"DEEP_BROKER_ID_OVERRIDE",BW$24,"DEEP_PERIOD_OVERRIDE",$H$19)*1,"")))</f>
        <v/>
      </c>
      <c r="BX39" s="17" t="str">
        <f>IF(OR(BX$23="",ISNA($B39)),"",IF(ISBLANK($B39),"",IFERROR(_xll.BDP(TICKER,"DEEP_MEASURE_PERIOD_BROKER_VALUE","DEEP_MEASURE_ID_OVERRIDE",$C39,"DEEP_BROKER_ID_OVERRIDE",BX$24,"DEEP_PERIOD_OVERRIDE",$H$19)*1,"")))</f>
        <v/>
      </c>
      <c r="BY39" s="17" t="str">
        <f>IF(OR(BY$23="",ISNA($B39)),"",IF(ISBLANK($B39),"",IFERROR(_xll.BDP(TICKER,"DEEP_MEASURE_PERIOD_BROKER_VALUE","DEEP_MEASURE_ID_OVERRIDE",$C39,"DEEP_BROKER_ID_OVERRIDE",BY$24,"DEEP_PERIOD_OVERRIDE",$H$19)*1,"")))</f>
        <v/>
      </c>
      <c r="BZ39" s="17" t="str">
        <f>IF(OR(BZ$23="",ISNA($B39)),"",IF(ISBLANK($B39),"",IFERROR(_xll.BDP(TICKER,"DEEP_MEASURE_PERIOD_BROKER_VALUE","DEEP_MEASURE_ID_OVERRIDE",$C39,"DEEP_BROKER_ID_OVERRIDE",BZ$24,"DEEP_PERIOD_OVERRIDE",$H$19)*1,"")))</f>
        <v/>
      </c>
    </row>
    <row r="40" spans="2:78" x14ac:dyDescent="0.25">
      <c r="B40" t="s">
        <v>44</v>
      </c>
      <c r="C40" s="11">
        <v>9760</v>
      </c>
      <c r="H40" t="str">
        <f t="shared" si="1"/>
        <v>Hotels, Media &amp; Platform &gt; Revenue &gt; TripAdvisor-Branded Display &amp; Platform</v>
      </c>
      <c r="I40" t="str">
        <f>IF(OR(I$23="",ISNA($B40)),"",IF(ISBLANK($B40),"",IFERROR(_xll.BDP(TICKER,"DEEP_MEASURE_PERIOD_BROKER_VALUE","DEEP_MEASURE_ID_OVERRIDE",$C40,"DEEP_PERIOD_OVERRIDE",$H$19)*1,"")))</f>
        <v/>
      </c>
      <c r="J40" t="e">
        <f>IF(OR(J$23="",ISNA($B40)),"",IF(ISBLANK($B40),"",IFERROR(_xll.BDP(TICKER,"DEEP_MEASURE_PERIOD_BROKER_VALUE","DEEP_MEASURE_ID_OVERRIDE",$C40,"DEEP_BROKER_ID_OVERRIDE",J$24,"DEEP_PERIOD_OVERRIDE",$H$19)*1,"")))</f>
        <v>#REF!</v>
      </c>
      <c r="K40" s="17" t="str">
        <f>IF(OR(K$23="",ISNA($B40)),"",IF(ISBLANK($B40),"",IFERROR(_xll.BDP(TICKER,"DEEP_MEASURE_PERIOD_BROKER_VALUE","DEEP_MEASURE_ID_OVERRIDE",$C40,"DEEP_BROKER_ID_OVERRIDE",K$24,"DEEP_PERIOD_OVERRIDE",$H$19)*1,"")))</f>
        <v/>
      </c>
      <c r="L40" s="17" t="str">
        <f>IF(OR(L$23="",ISNA($B40)),"",IF(ISBLANK($B40),"",IFERROR(_xll.BDP(TICKER,"DEEP_MEASURE_PERIOD_BROKER_VALUE","DEEP_MEASURE_ID_OVERRIDE",$C40,"DEEP_BROKER_ID_OVERRIDE",L$24,"DEEP_PERIOD_OVERRIDE",$H$19)*1,"")))</f>
        <v/>
      </c>
      <c r="M40" s="17" t="str">
        <f>IF(OR(M$23="",ISNA($B40)),"",IF(ISBLANK($B40),"",IFERROR(_xll.BDP(TICKER,"DEEP_MEASURE_PERIOD_BROKER_VALUE","DEEP_MEASURE_ID_OVERRIDE",$C40,"DEEP_BROKER_ID_OVERRIDE",M$24,"DEEP_PERIOD_OVERRIDE",$H$19)*1,"")))</f>
        <v/>
      </c>
      <c r="N40" s="17" t="str">
        <f>IF(OR(N$23="",ISNA($B40)),"",IF(ISBLANK($B40),"",IFERROR(_xll.BDP(TICKER,"DEEP_MEASURE_PERIOD_BROKER_VALUE","DEEP_MEASURE_ID_OVERRIDE",$C40,"DEEP_BROKER_ID_OVERRIDE",N$24,"DEEP_PERIOD_OVERRIDE",$H$19)*1,"")))</f>
        <v/>
      </c>
      <c r="O40" s="17" t="str">
        <f>IF(OR(O$23="",ISNA($B40)),"",IF(ISBLANK($B40),"",IFERROR(_xll.BDP(TICKER,"DEEP_MEASURE_PERIOD_BROKER_VALUE","DEEP_MEASURE_ID_OVERRIDE",$C40,"DEEP_BROKER_ID_OVERRIDE",O$24,"DEEP_PERIOD_OVERRIDE",$H$19)*1,"")))</f>
        <v/>
      </c>
      <c r="P40" s="17" t="str">
        <f>IF(OR(P$23="",ISNA($B40)),"",IF(ISBLANK($B40),"",IFERROR(_xll.BDP(TICKER,"DEEP_MEASURE_PERIOD_BROKER_VALUE","DEEP_MEASURE_ID_OVERRIDE",$C40,"DEEP_BROKER_ID_OVERRIDE",P$24,"DEEP_PERIOD_OVERRIDE",$H$19)*1,"")))</f>
        <v/>
      </c>
      <c r="Q40" s="17" t="str">
        <f>IF(OR(Q$23="",ISNA($B40)),"",IF(ISBLANK($B40),"",IFERROR(_xll.BDP(TICKER,"DEEP_MEASURE_PERIOD_BROKER_VALUE","DEEP_MEASURE_ID_OVERRIDE",$C40,"DEEP_BROKER_ID_OVERRIDE",Q$24,"DEEP_PERIOD_OVERRIDE",$H$19)*1,"")))</f>
        <v/>
      </c>
      <c r="R40" s="17" t="str">
        <f>IF(OR(R$23="",ISNA($B40)),"",IF(ISBLANK($B40),"",IFERROR(_xll.BDP(TICKER,"DEEP_MEASURE_PERIOD_BROKER_VALUE","DEEP_MEASURE_ID_OVERRIDE",$C40,"DEEP_BROKER_ID_OVERRIDE",R$24,"DEEP_PERIOD_OVERRIDE",$H$19)*1,"")))</f>
        <v/>
      </c>
      <c r="S40" s="17" t="str">
        <f>IF(OR(S$23="",ISNA($B40)),"",IF(ISBLANK($B40),"",IFERROR(_xll.BDP(TICKER,"DEEP_MEASURE_PERIOD_BROKER_VALUE","DEEP_MEASURE_ID_OVERRIDE",$C40,"DEEP_BROKER_ID_OVERRIDE",S$24,"DEEP_PERIOD_OVERRIDE",$H$19)*1,"")))</f>
        <v/>
      </c>
      <c r="T40" s="17" t="str">
        <f>IF(OR(T$23="",ISNA($B40)),"",IF(ISBLANK($B40),"",IFERROR(_xll.BDP(TICKER,"DEEP_MEASURE_PERIOD_BROKER_VALUE","DEEP_MEASURE_ID_OVERRIDE",$C40,"DEEP_BROKER_ID_OVERRIDE",T$24,"DEEP_PERIOD_OVERRIDE",$H$19)*1,"")))</f>
        <v/>
      </c>
      <c r="U40" s="17" t="str">
        <f>IF(OR(U$23="",ISNA($B40)),"",IF(ISBLANK($B40),"",IFERROR(_xll.BDP(TICKER,"DEEP_MEASURE_PERIOD_BROKER_VALUE","DEEP_MEASURE_ID_OVERRIDE",$C40,"DEEP_BROKER_ID_OVERRIDE",U$24,"DEEP_PERIOD_OVERRIDE",$H$19)*1,"")))</f>
        <v/>
      </c>
      <c r="V40" s="17" t="str">
        <f>IF(OR(V$23="",ISNA($B40)),"",IF(ISBLANK($B40),"",IFERROR(_xll.BDP(TICKER,"DEEP_MEASURE_PERIOD_BROKER_VALUE","DEEP_MEASURE_ID_OVERRIDE",$C40,"DEEP_BROKER_ID_OVERRIDE",V$24,"DEEP_PERIOD_OVERRIDE",$H$19)*1,"")))</f>
        <v/>
      </c>
      <c r="W40" s="17" t="str">
        <f>IF(OR(W$23="",ISNA($B40)),"",IF(ISBLANK($B40),"",IFERROR(_xll.BDP(TICKER,"DEEP_MEASURE_PERIOD_BROKER_VALUE","DEEP_MEASURE_ID_OVERRIDE",$C40,"DEEP_BROKER_ID_OVERRIDE",W$24,"DEEP_PERIOD_OVERRIDE",$H$19)*1,"")))</f>
        <v/>
      </c>
      <c r="X40" s="17" t="str">
        <f>IF(OR(X$23="",ISNA($B40)),"",IF(ISBLANK($B40),"",IFERROR(_xll.BDP(TICKER,"DEEP_MEASURE_PERIOD_BROKER_VALUE","DEEP_MEASURE_ID_OVERRIDE",$C40,"DEEP_BROKER_ID_OVERRIDE",X$24,"DEEP_PERIOD_OVERRIDE",$H$19)*1,"")))</f>
        <v/>
      </c>
      <c r="Y40" s="17" t="str">
        <f>IF(OR(Y$23="",ISNA($B40)),"",IF(ISBLANK($B40),"",IFERROR(_xll.BDP(TICKER,"DEEP_MEASURE_PERIOD_BROKER_VALUE","DEEP_MEASURE_ID_OVERRIDE",$C40,"DEEP_BROKER_ID_OVERRIDE",Y$24,"DEEP_PERIOD_OVERRIDE",$H$19)*1,"")))</f>
        <v/>
      </c>
      <c r="Z40" s="17" t="str">
        <f>IF(OR(Z$23="",ISNA($B40)),"",IF(ISBLANK($B40),"",IFERROR(_xll.BDP(TICKER,"DEEP_MEASURE_PERIOD_BROKER_VALUE","DEEP_MEASURE_ID_OVERRIDE",$C40,"DEEP_BROKER_ID_OVERRIDE",Z$24,"DEEP_PERIOD_OVERRIDE",$H$19)*1,"")))</f>
        <v/>
      </c>
      <c r="AA40" s="17" t="str">
        <f>IF(OR(AA$23="",ISNA($B40)),"",IF(ISBLANK($B40),"",IFERROR(_xll.BDP(TICKER,"DEEP_MEASURE_PERIOD_BROKER_VALUE","DEEP_MEASURE_ID_OVERRIDE",$C40,"DEEP_BROKER_ID_OVERRIDE",AA$24,"DEEP_PERIOD_OVERRIDE",$H$19)*1,"")))</f>
        <v/>
      </c>
      <c r="AB40" s="17" t="str">
        <f>IF(OR(AB$23="",ISNA($B40)),"",IF(ISBLANK($B40),"",IFERROR(_xll.BDP(TICKER,"DEEP_MEASURE_PERIOD_BROKER_VALUE","DEEP_MEASURE_ID_OVERRIDE",$C40,"DEEP_BROKER_ID_OVERRIDE",AB$24,"DEEP_PERIOD_OVERRIDE",$H$19)*1,"")))</f>
        <v/>
      </c>
      <c r="AC40" s="17" t="str">
        <f>IF(OR(AC$23="",ISNA($B40)),"",IF(ISBLANK($B40),"",IFERROR(_xll.BDP(TICKER,"DEEP_MEASURE_PERIOD_BROKER_VALUE","DEEP_MEASURE_ID_OVERRIDE",$C40,"DEEP_BROKER_ID_OVERRIDE",AC$24,"DEEP_PERIOD_OVERRIDE",$H$19)*1,"")))</f>
        <v/>
      </c>
      <c r="AD40" s="17" t="str">
        <f>IF(OR(AD$23="",ISNA($B40)),"",IF(ISBLANK($B40),"",IFERROR(_xll.BDP(TICKER,"DEEP_MEASURE_PERIOD_BROKER_VALUE","DEEP_MEASURE_ID_OVERRIDE",$C40,"DEEP_BROKER_ID_OVERRIDE",AD$24,"DEEP_PERIOD_OVERRIDE",$H$19)*1,"")))</f>
        <v/>
      </c>
      <c r="AE40" s="17" t="str">
        <f>IF(OR(AE$23="",ISNA($B40)),"",IF(ISBLANK($B40),"",IFERROR(_xll.BDP(TICKER,"DEEP_MEASURE_PERIOD_BROKER_VALUE","DEEP_MEASURE_ID_OVERRIDE",$C40,"DEEP_BROKER_ID_OVERRIDE",AE$24,"DEEP_PERIOD_OVERRIDE",$H$19)*1,"")))</f>
        <v/>
      </c>
      <c r="AF40" s="17" t="str">
        <f>IF(OR(AF$23="",ISNA($B40)),"",IF(ISBLANK($B40),"",IFERROR(_xll.BDP(TICKER,"DEEP_MEASURE_PERIOD_BROKER_VALUE","DEEP_MEASURE_ID_OVERRIDE",$C40,"DEEP_BROKER_ID_OVERRIDE",AF$24,"DEEP_PERIOD_OVERRIDE",$H$19)*1,"")))</f>
        <v/>
      </c>
      <c r="AG40" s="17" t="str">
        <f>IF(OR(AG$23="",ISNA($B40)),"",IF(ISBLANK($B40),"",IFERROR(_xll.BDP(TICKER,"DEEP_MEASURE_PERIOD_BROKER_VALUE","DEEP_MEASURE_ID_OVERRIDE",$C40,"DEEP_BROKER_ID_OVERRIDE",AG$24,"DEEP_PERIOD_OVERRIDE",$H$19)*1,"")))</f>
        <v/>
      </c>
      <c r="AH40" s="17" t="str">
        <f>IF(OR(AH$23="",ISNA($B40)),"",IF(ISBLANK($B40),"",IFERROR(_xll.BDP(TICKER,"DEEP_MEASURE_PERIOD_BROKER_VALUE","DEEP_MEASURE_ID_OVERRIDE",$C40,"DEEP_BROKER_ID_OVERRIDE",AH$24,"DEEP_PERIOD_OVERRIDE",$H$19)*1,"")))</f>
        <v/>
      </c>
      <c r="AI40" s="17" t="str">
        <f>IF(OR(AI$23="",ISNA($B40)),"",IF(ISBLANK($B40),"",IFERROR(_xll.BDP(TICKER,"DEEP_MEASURE_PERIOD_BROKER_VALUE","DEEP_MEASURE_ID_OVERRIDE",$C40,"DEEP_BROKER_ID_OVERRIDE",AI$24,"DEEP_PERIOD_OVERRIDE",$H$19)*1,"")))</f>
        <v/>
      </c>
      <c r="AJ40" s="17" t="str">
        <f>IF(OR(AJ$23="",ISNA($B40)),"",IF(ISBLANK($B40),"",IFERROR(_xll.BDP(TICKER,"DEEP_MEASURE_PERIOD_BROKER_VALUE","DEEP_MEASURE_ID_OVERRIDE",$C40,"DEEP_BROKER_ID_OVERRIDE",AJ$24,"DEEP_PERIOD_OVERRIDE",$H$19)*1,"")))</f>
        <v/>
      </c>
      <c r="AK40" s="17" t="str">
        <f>IF(OR(AK$23="",ISNA($B40)),"",IF(ISBLANK($B40),"",IFERROR(_xll.BDP(TICKER,"DEEP_MEASURE_PERIOD_BROKER_VALUE","DEEP_MEASURE_ID_OVERRIDE",$C40,"DEEP_BROKER_ID_OVERRIDE",AK$24,"DEEP_PERIOD_OVERRIDE",$H$19)*1,"")))</f>
        <v/>
      </c>
      <c r="AL40" s="17" t="str">
        <f>IF(OR(AL$23="",ISNA($B40)),"",IF(ISBLANK($B40),"",IFERROR(_xll.BDP(TICKER,"DEEP_MEASURE_PERIOD_BROKER_VALUE","DEEP_MEASURE_ID_OVERRIDE",$C40,"DEEP_BROKER_ID_OVERRIDE",AL$24,"DEEP_PERIOD_OVERRIDE",$H$19)*1,"")))</f>
        <v/>
      </c>
      <c r="AM40" s="17" t="str">
        <f>IF(OR(AM$23="",ISNA($B40)),"",IF(ISBLANK($B40),"",IFERROR(_xll.BDP(TICKER,"DEEP_MEASURE_PERIOD_BROKER_VALUE","DEEP_MEASURE_ID_OVERRIDE",$C40,"DEEP_BROKER_ID_OVERRIDE",AM$24,"DEEP_PERIOD_OVERRIDE",$H$19)*1,"")))</f>
        <v/>
      </c>
      <c r="AN40" s="17" t="str">
        <f>IF(OR(AN$23="",ISNA($B40)),"",IF(ISBLANK($B40),"",IFERROR(_xll.BDP(TICKER,"DEEP_MEASURE_PERIOD_BROKER_VALUE","DEEP_MEASURE_ID_OVERRIDE",$C40,"DEEP_BROKER_ID_OVERRIDE",AN$24,"DEEP_PERIOD_OVERRIDE",$H$19)*1,"")))</f>
        <v/>
      </c>
      <c r="AO40" s="17" t="str">
        <f>IF(OR(AO$23="",ISNA($B40)),"",IF(ISBLANK($B40),"",IFERROR(_xll.BDP(TICKER,"DEEP_MEASURE_PERIOD_BROKER_VALUE","DEEP_MEASURE_ID_OVERRIDE",$C40,"DEEP_BROKER_ID_OVERRIDE",AO$24,"DEEP_PERIOD_OVERRIDE",$H$19)*1,"")))</f>
        <v/>
      </c>
      <c r="AP40" s="17" t="str">
        <f>IF(OR(AP$23="",ISNA($B40)),"",IF(ISBLANK($B40),"",IFERROR(_xll.BDP(TICKER,"DEEP_MEASURE_PERIOD_BROKER_VALUE","DEEP_MEASURE_ID_OVERRIDE",$C40,"DEEP_BROKER_ID_OVERRIDE",AP$24,"DEEP_PERIOD_OVERRIDE",$H$19)*1,"")))</f>
        <v/>
      </c>
      <c r="AQ40" s="17" t="str">
        <f>IF(OR(AQ$23="",ISNA($B40)),"",IF(ISBLANK($B40),"",IFERROR(_xll.BDP(TICKER,"DEEP_MEASURE_PERIOD_BROKER_VALUE","DEEP_MEASURE_ID_OVERRIDE",$C40,"DEEP_BROKER_ID_OVERRIDE",AQ$24,"DEEP_PERIOD_OVERRIDE",$H$19)*1,"")))</f>
        <v/>
      </c>
      <c r="AR40" s="17" t="str">
        <f>IF(OR(AR$23="",ISNA($B40)),"",IF(ISBLANK($B40),"",IFERROR(_xll.BDP(TICKER,"DEEP_MEASURE_PERIOD_BROKER_VALUE","DEEP_MEASURE_ID_OVERRIDE",$C40,"DEEP_BROKER_ID_OVERRIDE",AR$24,"DEEP_PERIOD_OVERRIDE",$H$19)*1,"")))</f>
        <v/>
      </c>
      <c r="AS40" s="17" t="str">
        <f>IF(OR(AS$23="",ISNA($B40)),"",IF(ISBLANK($B40),"",IFERROR(_xll.BDP(TICKER,"DEEP_MEASURE_PERIOD_BROKER_VALUE","DEEP_MEASURE_ID_OVERRIDE",$C40,"DEEP_BROKER_ID_OVERRIDE",AS$24,"DEEP_PERIOD_OVERRIDE",$H$19)*1,"")))</f>
        <v/>
      </c>
      <c r="AT40" s="17" t="str">
        <f>IF(OR(AT$23="",ISNA($B40)),"",IF(ISBLANK($B40),"",IFERROR(_xll.BDP(TICKER,"DEEP_MEASURE_PERIOD_BROKER_VALUE","DEEP_MEASURE_ID_OVERRIDE",$C40,"DEEP_BROKER_ID_OVERRIDE",AT$24,"DEEP_PERIOD_OVERRIDE",$H$19)*1,"")))</f>
        <v/>
      </c>
      <c r="AU40" s="17" t="str">
        <f>IF(OR(AU$23="",ISNA($B40)),"",IF(ISBLANK($B40),"",IFERROR(_xll.BDP(TICKER,"DEEP_MEASURE_PERIOD_BROKER_VALUE","DEEP_MEASURE_ID_OVERRIDE",$C40,"DEEP_BROKER_ID_OVERRIDE",AU$24,"DEEP_PERIOD_OVERRIDE",$H$19)*1,"")))</f>
        <v/>
      </c>
      <c r="AV40" s="17" t="str">
        <f>IF(OR(AV$23="",ISNA($B40)),"",IF(ISBLANK($B40),"",IFERROR(_xll.BDP(TICKER,"DEEP_MEASURE_PERIOD_BROKER_VALUE","DEEP_MEASURE_ID_OVERRIDE",$C40,"DEEP_BROKER_ID_OVERRIDE",AV$24,"DEEP_PERIOD_OVERRIDE",$H$19)*1,"")))</f>
        <v/>
      </c>
      <c r="AW40" s="17" t="str">
        <f>IF(OR(AW$23="",ISNA($B40)),"",IF(ISBLANK($B40),"",IFERROR(_xll.BDP(TICKER,"DEEP_MEASURE_PERIOD_BROKER_VALUE","DEEP_MEASURE_ID_OVERRIDE",$C40,"DEEP_BROKER_ID_OVERRIDE",AW$24,"DEEP_PERIOD_OVERRIDE",$H$19)*1,"")))</f>
        <v/>
      </c>
      <c r="AX40" s="17" t="str">
        <f>IF(OR(AX$23="",ISNA($B40)),"",IF(ISBLANK($B40),"",IFERROR(_xll.BDP(TICKER,"DEEP_MEASURE_PERIOD_BROKER_VALUE","DEEP_MEASURE_ID_OVERRIDE",$C40,"DEEP_BROKER_ID_OVERRIDE",AX$24,"DEEP_PERIOD_OVERRIDE",$H$19)*1,"")))</f>
        <v/>
      </c>
      <c r="AY40" s="17" t="str">
        <f>IF(OR(AY$23="",ISNA($B40)),"",IF(ISBLANK($B40),"",IFERROR(_xll.BDP(TICKER,"DEEP_MEASURE_PERIOD_BROKER_VALUE","DEEP_MEASURE_ID_OVERRIDE",$C40,"DEEP_BROKER_ID_OVERRIDE",AY$24,"DEEP_PERIOD_OVERRIDE",$H$19)*1,"")))</f>
        <v/>
      </c>
      <c r="AZ40" s="17" t="str">
        <f>IF(OR(AZ$23="",ISNA($B40)),"",IF(ISBLANK($B40),"",IFERROR(_xll.BDP(TICKER,"DEEP_MEASURE_PERIOD_BROKER_VALUE","DEEP_MEASURE_ID_OVERRIDE",$C40,"DEEP_BROKER_ID_OVERRIDE",AZ$24,"DEEP_PERIOD_OVERRIDE",$H$19)*1,"")))</f>
        <v/>
      </c>
      <c r="BA40" s="17" t="str">
        <f>IF(OR(BA$23="",ISNA($B40)),"",IF(ISBLANK($B40),"",IFERROR(_xll.BDP(TICKER,"DEEP_MEASURE_PERIOD_BROKER_VALUE","DEEP_MEASURE_ID_OVERRIDE",$C40,"DEEP_BROKER_ID_OVERRIDE",BA$24,"DEEP_PERIOD_OVERRIDE",$H$19)*1,"")))</f>
        <v/>
      </c>
      <c r="BB40" s="17" t="str">
        <f>IF(OR(BB$23="",ISNA($B40)),"",IF(ISBLANK($B40),"",IFERROR(_xll.BDP(TICKER,"DEEP_MEASURE_PERIOD_BROKER_VALUE","DEEP_MEASURE_ID_OVERRIDE",$C40,"DEEP_BROKER_ID_OVERRIDE",BB$24,"DEEP_PERIOD_OVERRIDE",$H$19)*1,"")))</f>
        <v/>
      </c>
      <c r="BC40" s="17" t="str">
        <f>IF(OR(BC$23="",ISNA($B40)),"",IF(ISBLANK($B40),"",IFERROR(_xll.BDP(TICKER,"DEEP_MEASURE_PERIOD_BROKER_VALUE","DEEP_MEASURE_ID_OVERRIDE",$C40,"DEEP_BROKER_ID_OVERRIDE",BC$24,"DEEP_PERIOD_OVERRIDE",$H$19)*1,"")))</f>
        <v/>
      </c>
      <c r="BD40" s="17" t="str">
        <f>IF(OR(BD$23="",ISNA($B40)),"",IF(ISBLANK($B40),"",IFERROR(_xll.BDP(TICKER,"DEEP_MEASURE_PERIOD_BROKER_VALUE","DEEP_MEASURE_ID_OVERRIDE",$C40,"DEEP_BROKER_ID_OVERRIDE",BD$24,"DEEP_PERIOD_OVERRIDE",$H$19)*1,"")))</f>
        <v/>
      </c>
      <c r="BE40" s="17" t="str">
        <f>IF(OR(BE$23="",ISNA($B40)),"",IF(ISBLANK($B40),"",IFERROR(_xll.BDP(TICKER,"DEEP_MEASURE_PERIOD_BROKER_VALUE","DEEP_MEASURE_ID_OVERRIDE",$C40,"DEEP_BROKER_ID_OVERRIDE",BE$24,"DEEP_PERIOD_OVERRIDE",$H$19)*1,"")))</f>
        <v/>
      </c>
      <c r="BF40" s="17" t="str">
        <f>IF(OR(BF$23="",ISNA($B40)),"",IF(ISBLANK($B40),"",IFERROR(_xll.BDP(TICKER,"DEEP_MEASURE_PERIOD_BROKER_VALUE","DEEP_MEASURE_ID_OVERRIDE",$C40,"DEEP_BROKER_ID_OVERRIDE",BF$24,"DEEP_PERIOD_OVERRIDE",$H$19)*1,"")))</f>
        <v/>
      </c>
      <c r="BG40" s="17" t="str">
        <f>IF(OR(BG$23="",ISNA($B40)),"",IF(ISBLANK($B40),"",IFERROR(_xll.BDP(TICKER,"DEEP_MEASURE_PERIOD_BROKER_VALUE","DEEP_MEASURE_ID_OVERRIDE",$C40,"DEEP_BROKER_ID_OVERRIDE",BG$24,"DEEP_PERIOD_OVERRIDE",$H$19)*1,"")))</f>
        <v/>
      </c>
      <c r="BH40" s="17" t="str">
        <f>IF(OR(BH$23="",ISNA($B40)),"",IF(ISBLANK($B40),"",IFERROR(_xll.BDP(TICKER,"DEEP_MEASURE_PERIOD_BROKER_VALUE","DEEP_MEASURE_ID_OVERRIDE",$C40,"DEEP_BROKER_ID_OVERRIDE",BH$24,"DEEP_PERIOD_OVERRIDE",$H$19)*1,"")))</f>
        <v/>
      </c>
      <c r="BI40" s="17" t="str">
        <f>IF(OR(BI$23="",ISNA($B40)),"",IF(ISBLANK($B40),"",IFERROR(_xll.BDP(TICKER,"DEEP_MEASURE_PERIOD_BROKER_VALUE","DEEP_MEASURE_ID_OVERRIDE",$C40,"DEEP_BROKER_ID_OVERRIDE",BI$24,"DEEP_PERIOD_OVERRIDE",$H$19)*1,"")))</f>
        <v/>
      </c>
      <c r="BJ40" s="17" t="str">
        <f>IF(OR(BJ$23="",ISNA($B40)),"",IF(ISBLANK($B40),"",IFERROR(_xll.BDP(TICKER,"DEEP_MEASURE_PERIOD_BROKER_VALUE","DEEP_MEASURE_ID_OVERRIDE",$C40,"DEEP_BROKER_ID_OVERRIDE",BJ$24,"DEEP_PERIOD_OVERRIDE",$H$19)*1,"")))</f>
        <v/>
      </c>
      <c r="BK40" s="17" t="str">
        <f>IF(OR(BK$23="",ISNA($B40)),"",IF(ISBLANK($B40),"",IFERROR(_xll.BDP(TICKER,"DEEP_MEASURE_PERIOD_BROKER_VALUE","DEEP_MEASURE_ID_OVERRIDE",$C40,"DEEP_BROKER_ID_OVERRIDE",BK$24,"DEEP_PERIOD_OVERRIDE",$H$19)*1,"")))</f>
        <v/>
      </c>
      <c r="BL40" s="17" t="str">
        <f>IF(OR(BL$23="",ISNA($B40)),"",IF(ISBLANK($B40),"",IFERROR(_xll.BDP(TICKER,"DEEP_MEASURE_PERIOD_BROKER_VALUE","DEEP_MEASURE_ID_OVERRIDE",$C40,"DEEP_BROKER_ID_OVERRIDE",BL$24,"DEEP_PERIOD_OVERRIDE",$H$19)*1,"")))</f>
        <v/>
      </c>
      <c r="BM40" s="17" t="str">
        <f>IF(OR(BM$23="",ISNA($B40)),"",IF(ISBLANK($B40),"",IFERROR(_xll.BDP(TICKER,"DEEP_MEASURE_PERIOD_BROKER_VALUE","DEEP_MEASURE_ID_OVERRIDE",$C40,"DEEP_BROKER_ID_OVERRIDE",BM$24,"DEEP_PERIOD_OVERRIDE",$H$19)*1,"")))</f>
        <v/>
      </c>
      <c r="BN40" s="17" t="str">
        <f>IF(OR(BN$23="",ISNA($B40)),"",IF(ISBLANK($B40),"",IFERROR(_xll.BDP(TICKER,"DEEP_MEASURE_PERIOD_BROKER_VALUE","DEEP_MEASURE_ID_OVERRIDE",$C40,"DEEP_BROKER_ID_OVERRIDE",BN$24,"DEEP_PERIOD_OVERRIDE",$H$19)*1,"")))</f>
        <v/>
      </c>
      <c r="BO40" s="17" t="str">
        <f>IF(OR(BO$23="",ISNA($B40)),"",IF(ISBLANK($B40),"",IFERROR(_xll.BDP(TICKER,"DEEP_MEASURE_PERIOD_BROKER_VALUE","DEEP_MEASURE_ID_OVERRIDE",$C40,"DEEP_BROKER_ID_OVERRIDE",BO$24,"DEEP_PERIOD_OVERRIDE",$H$19)*1,"")))</f>
        <v/>
      </c>
      <c r="BP40" s="17" t="str">
        <f>IF(OR(BP$23="",ISNA($B40)),"",IF(ISBLANK($B40),"",IFERROR(_xll.BDP(TICKER,"DEEP_MEASURE_PERIOD_BROKER_VALUE","DEEP_MEASURE_ID_OVERRIDE",$C40,"DEEP_BROKER_ID_OVERRIDE",BP$24,"DEEP_PERIOD_OVERRIDE",$H$19)*1,"")))</f>
        <v/>
      </c>
      <c r="BQ40" s="17" t="str">
        <f>IF(OR(BQ$23="",ISNA($B40)),"",IF(ISBLANK($B40),"",IFERROR(_xll.BDP(TICKER,"DEEP_MEASURE_PERIOD_BROKER_VALUE","DEEP_MEASURE_ID_OVERRIDE",$C40,"DEEP_BROKER_ID_OVERRIDE",BQ$24,"DEEP_PERIOD_OVERRIDE",$H$19)*1,"")))</f>
        <v/>
      </c>
      <c r="BR40" s="17" t="str">
        <f>IF(OR(BR$23="",ISNA($B40)),"",IF(ISBLANK($B40),"",IFERROR(_xll.BDP(TICKER,"DEEP_MEASURE_PERIOD_BROKER_VALUE","DEEP_MEASURE_ID_OVERRIDE",$C40,"DEEP_BROKER_ID_OVERRIDE",BR$24,"DEEP_PERIOD_OVERRIDE",$H$19)*1,"")))</f>
        <v/>
      </c>
      <c r="BS40" s="17" t="str">
        <f>IF(OR(BS$23="",ISNA($B40)),"",IF(ISBLANK($B40),"",IFERROR(_xll.BDP(TICKER,"DEEP_MEASURE_PERIOD_BROKER_VALUE","DEEP_MEASURE_ID_OVERRIDE",$C40,"DEEP_BROKER_ID_OVERRIDE",BS$24,"DEEP_PERIOD_OVERRIDE",$H$19)*1,"")))</f>
        <v/>
      </c>
      <c r="BT40" s="17" t="str">
        <f>IF(OR(BT$23="",ISNA($B40)),"",IF(ISBLANK($B40),"",IFERROR(_xll.BDP(TICKER,"DEEP_MEASURE_PERIOD_BROKER_VALUE","DEEP_MEASURE_ID_OVERRIDE",$C40,"DEEP_BROKER_ID_OVERRIDE",BT$24,"DEEP_PERIOD_OVERRIDE",$H$19)*1,"")))</f>
        <v/>
      </c>
      <c r="BU40" s="17" t="str">
        <f>IF(OR(BU$23="",ISNA($B40)),"",IF(ISBLANK($B40),"",IFERROR(_xll.BDP(TICKER,"DEEP_MEASURE_PERIOD_BROKER_VALUE","DEEP_MEASURE_ID_OVERRIDE",$C40,"DEEP_BROKER_ID_OVERRIDE",BU$24,"DEEP_PERIOD_OVERRIDE",$H$19)*1,"")))</f>
        <v/>
      </c>
      <c r="BV40" s="17" t="str">
        <f>IF(OR(BV$23="",ISNA($B40)),"",IF(ISBLANK($B40),"",IFERROR(_xll.BDP(TICKER,"DEEP_MEASURE_PERIOD_BROKER_VALUE","DEEP_MEASURE_ID_OVERRIDE",$C40,"DEEP_BROKER_ID_OVERRIDE",BV$24,"DEEP_PERIOD_OVERRIDE",$H$19)*1,"")))</f>
        <v/>
      </c>
      <c r="BW40" s="17" t="str">
        <f>IF(OR(BW$23="",ISNA($B40)),"",IF(ISBLANK($B40),"",IFERROR(_xll.BDP(TICKER,"DEEP_MEASURE_PERIOD_BROKER_VALUE","DEEP_MEASURE_ID_OVERRIDE",$C40,"DEEP_BROKER_ID_OVERRIDE",BW$24,"DEEP_PERIOD_OVERRIDE",$H$19)*1,"")))</f>
        <v/>
      </c>
      <c r="BX40" s="17" t="str">
        <f>IF(OR(BX$23="",ISNA($B40)),"",IF(ISBLANK($B40),"",IFERROR(_xll.BDP(TICKER,"DEEP_MEASURE_PERIOD_BROKER_VALUE","DEEP_MEASURE_ID_OVERRIDE",$C40,"DEEP_BROKER_ID_OVERRIDE",BX$24,"DEEP_PERIOD_OVERRIDE",$H$19)*1,"")))</f>
        <v/>
      </c>
      <c r="BY40" s="17" t="str">
        <f>IF(OR(BY$23="",ISNA($B40)),"",IF(ISBLANK($B40),"",IFERROR(_xll.BDP(TICKER,"DEEP_MEASURE_PERIOD_BROKER_VALUE","DEEP_MEASURE_ID_OVERRIDE",$C40,"DEEP_BROKER_ID_OVERRIDE",BY$24,"DEEP_PERIOD_OVERRIDE",$H$19)*1,"")))</f>
        <v/>
      </c>
      <c r="BZ40" s="17" t="str">
        <f>IF(OR(BZ$23="",ISNA($B40)),"",IF(ISBLANK($B40),"",IFERROR(_xll.BDP(TICKER,"DEEP_MEASURE_PERIOD_BROKER_VALUE","DEEP_MEASURE_ID_OVERRIDE",$C40,"DEEP_BROKER_ID_OVERRIDE",BZ$24,"DEEP_PERIOD_OVERRIDE",$H$19)*1,"")))</f>
        <v/>
      </c>
    </row>
    <row r="41" spans="2:78" x14ac:dyDescent="0.25">
      <c r="B41" t="s">
        <v>45</v>
      </c>
      <c r="C41" s="11">
        <v>9844</v>
      </c>
      <c r="H41" t="str">
        <f t="shared" si="1"/>
        <v>Hotels, Media &amp; Platform &gt; Revenue &gt; TripAdvisor-Branded Display &amp; Platform &gt; YoY Growth (%)</v>
      </c>
      <c r="I41" t="str">
        <f>IF(OR(I$23="",ISNA($B41)),"",IF(ISBLANK($B41),"",IFERROR(_xll.BDP(TICKER,"DEEP_MEASURE_PERIOD_BROKER_VALUE","DEEP_MEASURE_ID_OVERRIDE",$C41,"DEEP_PERIOD_OVERRIDE",$H$19)*1,"")))</f>
        <v/>
      </c>
      <c r="J41" t="e">
        <f>IF(OR(J$23="",ISNA($B41)),"",IF(ISBLANK($B41),"",IFERROR(_xll.BDP(TICKER,"DEEP_MEASURE_PERIOD_BROKER_VALUE","DEEP_MEASURE_ID_OVERRIDE",$C41,"DEEP_BROKER_ID_OVERRIDE",J$24,"DEEP_PERIOD_OVERRIDE",$H$19)*1,"")))</f>
        <v>#REF!</v>
      </c>
      <c r="K41" s="17" t="str">
        <f>IF(OR(K$23="",ISNA($B41)),"",IF(ISBLANK($B41),"",IFERROR(_xll.BDP(TICKER,"DEEP_MEASURE_PERIOD_BROKER_VALUE","DEEP_MEASURE_ID_OVERRIDE",$C41,"DEEP_BROKER_ID_OVERRIDE",K$24,"DEEP_PERIOD_OVERRIDE",$H$19)*1,"")))</f>
        <v/>
      </c>
      <c r="L41" s="17" t="str">
        <f>IF(OR(L$23="",ISNA($B41)),"",IF(ISBLANK($B41),"",IFERROR(_xll.BDP(TICKER,"DEEP_MEASURE_PERIOD_BROKER_VALUE","DEEP_MEASURE_ID_OVERRIDE",$C41,"DEEP_BROKER_ID_OVERRIDE",L$24,"DEEP_PERIOD_OVERRIDE",$H$19)*1,"")))</f>
        <v/>
      </c>
      <c r="M41" s="17" t="str">
        <f>IF(OR(M$23="",ISNA($B41)),"",IF(ISBLANK($B41),"",IFERROR(_xll.BDP(TICKER,"DEEP_MEASURE_PERIOD_BROKER_VALUE","DEEP_MEASURE_ID_OVERRIDE",$C41,"DEEP_BROKER_ID_OVERRIDE",M$24,"DEEP_PERIOD_OVERRIDE",$H$19)*1,"")))</f>
        <v/>
      </c>
      <c r="N41" s="17" t="str">
        <f>IF(OR(N$23="",ISNA($B41)),"",IF(ISBLANK($B41),"",IFERROR(_xll.BDP(TICKER,"DEEP_MEASURE_PERIOD_BROKER_VALUE","DEEP_MEASURE_ID_OVERRIDE",$C41,"DEEP_BROKER_ID_OVERRIDE",N$24,"DEEP_PERIOD_OVERRIDE",$H$19)*1,"")))</f>
        <v/>
      </c>
      <c r="O41" s="17" t="str">
        <f>IF(OR(O$23="",ISNA($B41)),"",IF(ISBLANK($B41),"",IFERROR(_xll.BDP(TICKER,"DEEP_MEASURE_PERIOD_BROKER_VALUE","DEEP_MEASURE_ID_OVERRIDE",$C41,"DEEP_BROKER_ID_OVERRIDE",O$24,"DEEP_PERIOD_OVERRIDE",$H$19)*1,"")))</f>
        <v/>
      </c>
      <c r="P41" s="17" t="str">
        <f>IF(OR(P$23="",ISNA($B41)),"",IF(ISBLANK($B41),"",IFERROR(_xll.BDP(TICKER,"DEEP_MEASURE_PERIOD_BROKER_VALUE","DEEP_MEASURE_ID_OVERRIDE",$C41,"DEEP_BROKER_ID_OVERRIDE",P$24,"DEEP_PERIOD_OVERRIDE",$H$19)*1,"")))</f>
        <v/>
      </c>
      <c r="Q41" s="17" t="str">
        <f>IF(OR(Q$23="",ISNA($B41)),"",IF(ISBLANK($B41),"",IFERROR(_xll.BDP(TICKER,"DEEP_MEASURE_PERIOD_BROKER_VALUE","DEEP_MEASURE_ID_OVERRIDE",$C41,"DEEP_BROKER_ID_OVERRIDE",Q$24,"DEEP_PERIOD_OVERRIDE",$H$19)*1,"")))</f>
        <v/>
      </c>
      <c r="R41" s="17" t="str">
        <f>IF(OR(R$23="",ISNA($B41)),"",IF(ISBLANK($B41),"",IFERROR(_xll.BDP(TICKER,"DEEP_MEASURE_PERIOD_BROKER_VALUE","DEEP_MEASURE_ID_OVERRIDE",$C41,"DEEP_BROKER_ID_OVERRIDE",R$24,"DEEP_PERIOD_OVERRIDE",$H$19)*1,"")))</f>
        <v/>
      </c>
      <c r="S41" s="17" t="str">
        <f>IF(OR(S$23="",ISNA($B41)),"",IF(ISBLANK($B41),"",IFERROR(_xll.BDP(TICKER,"DEEP_MEASURE_PERIOD_BROKER_VALUE","DEEP_MEASURE_ID_OVERRIDE",$C41,"DEEP_BROKER_ID_OVERRIDE",S$24,"DEEP_PERIOD_OVERRIDE",$H$19)*1,"")))</f>
        <v/>
      </c>
      <c r="T41" s="17" t="str">
        <f>IF(OR(T$23="",ISNA($B41)),"",IF(ISBLANK($B41),"",IFERROR(_xll.BDP(TICKER,"DEEP_MEASURE_PERIOD_BROKER_VALUE","DEEP_MEASURE_ID_OVERRIDE",$C41,"DEEP_BROKER_ID_OVERRIDE",T$24,"DEEP_PERIOD_OVERRIDE",$H$19)*1,"")))</f>
        <v/>
      </c>
      <c r="U41" s="17" t="str">
        <f>IF(OR(U$23="",ISNA($B41)),"",IF(ISBLANK($B41),"",IFERROR(_xll.BDP(TICKER,"DEEP_MEASURE_PERIOD_BROKER_VALUE","DEEP_MEASURE_ID_OVERRIDE",$C41,"DEEP_BROKER_ID_OVERRIDE",U$24,"DEEP_PERIOD_OVERRIDE",$H$19)*1,"")))</f>
        <v/>
      </c>
      <c r="V41" s="17" t="str">
        <f>IF(OR(V$23="",ISNA($B41)),"",IF(ISBLANK($B41),"",IFERROR(_xll.BDP(TICKER,"DEEP_MEASURE_PERIOD_BROKER_VALUE","DEEP_MEASURE_ID_OVERRIDE",$C41,"DEEP_BROKER_ID_OVERRIDE",V$24,"DEEP_PERIOD_OVERRIDE",$H$19)*1,"")))</f>
        <v/>
      </c>
      <c r="W41" s="17" t="str">
        <f>IF(OR(W$23="",ISNA($B41)),"",IF(ISBLANK($B41),"",IFERROR(_xll.BDP(TICKER,"DEEP_MEASURE_PERIOD_BROKER_VALUE","DEEP_MEASURE_ID_OVERRIDE",$C41,"DEEP_BROKER_ID_OVERRIDE",W$24,"DEEP_PERIOD_OVERRIDE",$H$19)*1,"")))</f>
        <v/>
      </c>
      <c r="X41" s="17" t="str">
        <f>IF(OR(X$23="",ISNA($B41)),"",IF(ISBLANK($B41),"",IFERROR(_xll.BDP(TICKER,"DEEP_MEASURE_PERIOD_BROKER_VALUE","DEEP_MEASURE_ID_OVERRIDE",$C41,"DEEP_BROKER_ID_OVERRIDE",X$24,"DEEP_PERIOD_OVERRIDE",$H$19)*1,"")))</f>
        <v/>
      </c>
      <c r="Y41" s="17" t="str">
        <f>IF(OR(Y$23="",ISNA($B41)),"",IF(ISBLANK($B41),"",IFERROR(_xll.BDP(TICKER,"DEEP_MEASURE_PERIOD_BROKER_VALUE","DEEP_MEASURE_ID_OVERRIDE",$C41,"DEEP_BROKER_ID_OVERRIDE",Y$24,"DEEP_PERIOD_OVERRIDE",$H$19)*1,"")))</f>
        <v/>
      </c>
      <c r="Z41" s="17" t="str">
        <f>IF(OR(Z$23="",ISNA($B41)),"",IF(ISBLANK($B41),"",IFERROR(_xll.BDP(TICKER,"DEEP_MEASURE_PERIOD_BROKER_VALUE","DEEP_MEASURE_ID_OVERRIDE",$C41,"DEEP_BROKER_ID_OVERRIDE",Z$24,"DEEP_PERIOD_OVERRIDE",$H$19)*1,"")))</f>
        <v/>
      </c>
      <c r="AA41" s="17" t="str">
        <f>IF(OR(AA$23="",ISNA($B41)),"",IF(ISBLANK($B41),"",IFERROR(_xll.BDP(TICKER,"DEEP_MEASURE_PERIOD_BROKER_VALUE","DEEP_MEASURE_ID_OVERRIDE",$C41,"DEEP_BROKER_ID_OVERRIDE",AA$24,"DEEP_PERIOD_OVERRIDE",$H$19)*1,"")))</f>
        <v/>
      </c>
      <c r="AB41" s="17" t="str">
        <f>IF(OR(AB$23="",ISNA($B41)),"",IF(ISBLANK($B41),"",IFERROR(_xll.BDP(TICKER,"DEEP_MEASURE_PERIOD_BROKER_VALUE","DEEP_MEASURE_ID_OVERRIDE",$C41,"DEEP_BROKER_ID_OVERRIDE",AB$24,"DEEP_PERIOD_OVERRIDE",$H$19)*1,"")))</f>
        <v/>
      </c>
      <c r="AC41" s="17" t="str">
        <f>IF(OR(AC$23="",ISNA($B41)),"",IF(ISBLANK($B41),"",IFERROR(_xll.BDP(TICKER,"DEEP_MEASURE_PERIOD_BROKER_VALUE","DEEP_MEASURE_ID_OVERRIDE",$C41,"DEEP_BROKER_ID_OVERRIDE",AC$24,"DEEP_PERIOD_OVERRIDE",$H$19)*1,"")))</f>
        <v/>
      </c>
      <c r="AD41" s="17" t="str">
        <f>IF(OR(AD$23="",ISNA($B41)),"",IF(ISBLANK($B41),"",IFERROR(_xll.BDP(TICKER,"DEEP_MEASURE_PERIOD_BROKER_VALUE","DEEP_MEASURE_ID_OVERRIDE",$C41,"DEEP_BROKER_ID_OVERRIDE",AD$24,"DEEP_PERIOD_OVERRIDE",$H$19)*1,"")))</f>
        <v/>
      </c>
      <c r="AE41" s="17" t="str">
        <f>IF(OR(AE$23="",ISNA($B41)),"",IF(ISBLANK($B41),"",IFERROR(_xll.BDP(TICKER,"DEEP_MEASURE_PERIOD_BROKER_VALUE","DEEP_MEASURE_ID_OVERRIDE",$C41,"DEEP_BROKER_ID_OVERRIDE",AE$24,"DEEP_PERIOD_OVERRIDE",$H$19)*1,"")))</f>
        <v/>
      </c>
      <c r="AF41" s="17" t="str">
        <f>IF(OR(AF$23="",ISNA($B41)),"",IF(ISBLANK($B41),"",IFERROR(_xll.BDP(TICKER,"DEEP_MEASURE_PERIOD_BROKER_VALUE","DEEP_MEASURE_ID_OVERRIDE",$C41,"DEEP_BROKER_ID_OVERRIDE",AF$24,"DEEP_PERIOD_OVERRIDE",$H$19)*1,"")))</f>
        <v/>
      </c>
      <c r="AG41" s="17" t="str">
        <f>IF(OR(AG$23="",ISNA($B41)),"",IF(ISBLANK($B41),"",IFERROR(_xll.BDP(TICKER,"DEEP_MEASURE_PERIOD_BROKER_VALUE","DEEP_MEASURE_ID_OVERRIDE",$C41,"DEEP_BROKER_ID_OVERRIDE",AG$24,"DEEP_PERIOD_OVERRIDE",$H$19)*1,"")))</f>
        <v/>
      </c>
      <c r="AH41" s="17" t="str">
        <f>IF(OR(AH$23="",ISNA($B41)),"",IF(ISBLANK($B41),"",IFERROR(_xll.BDP(TICKER,"DEEP_MEASURE_PERIOD_BROKER_VALUE","DEEP_MEASURE_ID_OVERRIDE",$C41,"DEEP_BROKER_ID_OVERRIDE",AH$24,"DEEP_PERIOD_OVERRIDE",$H$19)*1,"")))</f>
        <v/>
      </c>
      <c r="AI41" s="17" t="str">
        <f>IF(OR(AI$23="",ISNA($B41)),"",IF(ISBLANK($B41),"",IFERROR(_xll.BDP(TICKER,"DEEP_MEASURE_PERIOD_BROKER_VALUE","DEEP_MEASURE_ID_OVERRIDE",$C41,"DEEP_BROKER_ID_OVERRIDE",AI$24,"DEEP_PERIOD_OVERRIDE",$H$19)*1,"")))</f>
        <v/>
      </c>
      <c r="AJ41" s="17" t="str">
        <f>IF(OR(AJ$23="",ISNA($B41)),"",IF(ISBLANK($B41),"",IFERROR(_xll.BDP(TICKER,"DEEP_MEASURE_PERIOD_BROKER_VALUE","DEEP_MEASURE_ID_OVERRIDE",$C41,"DEEP_BROKER_ID_OVERRIDE",AJ$24,"DEEP_PERIOD_OVERRIDE",$H$19)*1,"")))</f>
        <v/>
      </c>
      <c r="AK41" s="17" t="str">
        <f>IF(OR(AK$23="",ISNA($B41)),"",IF(ISBLANK($B41),"",IFERROR(_xll.BDP(TICKER,"DEEP_MEASURE_PERIOD_BROKER_VALUE","DEEP_MEASURE_ID_OVERRIDE",$C41,"DEEP_BROKER_ID_OVERRIDE",AK$24,"DEEP_PERIOD_OVERRIDE",$H$19)*1,"")))</f>
        <v/>
      </c>
      <c r="AL41" s="17" t="str">
        <f>IF(OR(AL$23="",ISNA($B41)),"",IF(ISBLANK($B41),"",IFERROR(_xll.BDP(TICKER,"DEEP_MEASURE_PERIOD_BROKER_VALUE","DEEP_MEASURE_ID_OVERRIDE",$C41,"DEEP_BROKER_ID_OVERRIDE",AL$24,"DEEP_PERIOD_OVERRIDE",$H$19)*1,"")))</f>
        <v/>
      </c>
      <c r="AM41" s="17" t="str">
        <f>IF(OR(AM$23="",ISNA($B41)),"",IF(ISBLANK($B41),"",IFERROR(_xll.BDP(TICKER,"DEEP_MEASURE_PERIOD_BROKER_VALUE","DEEP_MEASURE_ID_OVERRIDE",$C41,"DEEP_BROKER_ID_OVERRIDE",AM$24,"DEEP_PERIOD_OVERRIDE",$H$19)*1,"")))</f>
        <v/>
      </c>
      <c r="AN41" s="17" t="str">
        <f>IF(OR(AN$23="",ISNA($B41)),"",IF(ISBLANK($B41),"",IFERROR(_xll.BDP(TICKER,"DEEP_MEASURE_PERIOD_BROKER_VALUE","DEEP_MEASURE_ID_OVERRIDE",$C41,"DEEP_BROKER_ID_OVERRIDE",AN$24,"DEEP_PERIOD_OVERRIDE",$H$19)*1,"")))</f>
        <v/>
      </c>
      <c r="AO41" s="17" t="str">
        <f>IF(OR(AO$23="",ISNA($B41)),"",IF(ISBLANK($B41),"",IFERROR(_xll.BDP(TICKER,"DEEP_MEASURE_PERIOD_BROKER_VALUE","DEEP_MEASURE_ID_OVERRIDE",$C41,"DEEP_BROKER_ID_OVERRIDE",AO$24,"DEEP_PERIOD_OVERRIDE",$H$19)*1,"")))</f>
        <v/>
      </c>
      <c r="AP41" s="17" t="str">
        <f>IF(OR(AP$23="",ISNA($B41)),"",IF(ISBLANK($B41),"",IFERROR(_xll.BDP(TICKER,"DEEP_MEASURE_PERIOD_BROKER_VALUE","DEEP_MEASURE_ID_OVERRIDE",$C41,"DEEP_BROKER_ID_OVERRIDE",AP$24,"DEEP_PERIOD_OVERRIDE",$H$19)*1,"")))</f>
        <v/>
      </c>
      <c r="AQ41" s="17" t="str">
        <f>IF(OR(AQ$23="",ISNA($B41)),"",IF(ISBLANK($B41),"",IFERROR(_xll.BDP(TICKER,"DEEP_MEASURE_PERIOD_BROKER_VALUE","DEEP_MEASURE_ID_OVERRIDE",$C41,"DEEP_BROKER_ID_OVERRIDE",AQ$24,"DEEP_PERIOD_OVERRIDE",$H$19)*1,"")))</f>
        <v/>
      </c>
      <c r="AR41" s="17" t="str">
        <f>IF(OR(AR$23="",ISNA($B41)),"",IF(ISBLANK($B41),"",IFERROR(_xll.BDP(TICKER,"DEEP_MEASURE_PERIOD_BROKER_VALUE","DEEP_MEASURE_ID_OVERRIDE",$C41,"DEEP_BROKER_ID_OVERRIDE",AR$24,"DEEP_PERIOD_OVERRIDE",$H$19)*1,"")))</f>
        <v/>
      </c>
      <c r="AS41" s="17" t="str">
        <f>IF(OR(AS$23="",ISNA($B41)),"",IF(ISBLANK($B41),"",IFERROR(_xll.BDP(TICKER,"DEEP_MEASURE_PERIOD_BROKER_VALUE","DEEP_MEASURE_ID_OVERRIDE",$C41,"DEEP_BROKER_ID_OVERRIDE",AS$24,"DEEP_PERIOD_OVERRIDE",$H$19)*1,"")))</f>
        <v/>
      </c>
      <c r="AT41" s="17" t="str">
        <f>IF(OR(AT$23="",ISNA($B41)),"",IF(ISBLANK($B41),"",IFERROR(_xll.BDP(TICKER,"DEEP_MEASURE_PERIOD_BROKER_VALUE","DEEP_MEASURE_ID_OVERRIDE",$C41,"DEEP_BROKER_ID_OVERRIDE",AT$24,"DEEP_PERIOD_OVERRIDE",$H$19)*1,"")))</f>
        <v/>
      </c>
      <c r="AU41" s="17" t="str">
        <f>IF(OR(AU$23="",ISNA($B41)),"",IF(ISBLANK($B41),"",IFERROR(_xll.BDP(TICKER,"DEEP_MEASURE_PERIOD_BROKER_VALUE","DEEP_MEASURE_ID_OVERRIDE",$C41,"DEEP_BROKER_ID_OVERRIDE",AU$24,"DEEP_PERIOD_OVERRIDE",$H$19)*1,"")))</f>
        <v/>
      </c>
      <c r="AV41" s="17" t="str">
        <f>IF(OR(AV$23="",ISNA($B41)),"",IF(ISBLANK($B41),"",IFERROR(_xll.BDP(TICKER,"DEEP_MEASURE_PERIOD_BROKER_VALUE","DEEP_MEASURE_ID_OVERRIDE",$C41,"DEEP_BROKER_ID_OVERRIDE",AV$24,"DEEP_PERIOD_OVERRIDE",$H$19)*1,"")))</f>
        <v/>
      </c>
      <c r="AW41" s="17" t="str">
        <f>IF(OR(AW$23="",ISNA($B41)),"",IF(ISBLANK($B41),"",IFERROR(_xll.BDP(TICKER,"DEEP_MEASURE_PERIOD_BROKER_VALUE","DEEP_MEASURE_ID_OVERRIDE",$C41,"DEEP_BROKER_ID_OVERRIDE",AW$24,"DEEP_PERIOD_OVERRIDE",$H$19)*1,"")))</f>
        <v/>
      </c>
      <c r="AX41" s="17" t="str">
        <f>IF(OR(AX$23="",ISNA($B41)),"",IF(ISBLANK($B41),"",IFERROR(_xll.BDP(TICKER,"DEEP_MEASURE_PERIOD_BROKER_VALUE","DEEP_MEASURE_ID_OVERRIDE",$C41,"DEEP_BROKER_ID_OVERRIDE",AX$24,"DEEP_PERIOD_OVERRIDE",$H$19)*1,"")))</f>
        <v/>
      </c>
      <c r="AY41" s="17" t="str">
        <f>IF(OR(AY$23="",ISNA($B41)),"",IF(ISBLANK($B41),"",IFERROR(_xll.BDP(TICKER,"DEEP_MEASURE_PERIOD_BROKER_VALUE","DEEP_MEASURE_ID_OVERRIDE",$C41,"DEEP_BROKER_ID_OVERRIDE",AY$24,"DEEP_PERIOD_OVERRIDE",$H$19)*1,"")))</f>
        <v/>
      </c>
      <c r="AZ41" s="17" t="str">
        <f>IF(OR(AZ$23="",ISNA($B41)),"",IF(ISBLANK($B41),"",IFERROR(_xll.BDP(TICKER,"DEEP_MEASURE_PERIOD_BROKER_VALUE","DEEP_MEASURE_ID_OVERRIDE",$C41,"DEEP_BROKER_ID_OVERRIDE",AZ$24,"DEEP_PERIOD_OVERRIDE",$H$19)*1,"")))</f>
        <v/>
      </c>
      <c r="BA41" s="17" t="str">
        <f>IF(OR(BA$23="",ISNA($B41)),"",IF(ISBLANK($B41),"",IFERROR(_xll.BDP(TICKER,"DEEP_MEASURE_PERIOD_BROKER_VALUE","DEEP_MEASURE_ID_OVERRIDE",$C41,"DEEP_BROKER_ID_OVERRIDE",BA$24,"DEEP_PERIOD_OVERRIDE",$H$19)*1,"")))</f>
        <v/>
      </c>
      <c r="BB41" s="17" t="str">
        <f>IF(OR(BB$23="",ISNA($B41)),"",IF(ISBLANK($B41),"",IFERROR(_xll.BDP(TICKER,"DEEP_MEASURE_PERIOD_BROKER_VALUE","DEEP_MEASURE_ID_OVERRIDE",$C41,"DEEP_BROKER_ID_OVERRIDE",BB$24,"DEEP_PERIOD_OVERRIDE",$H$19)*1,"")))</f>
        <v/>
      </c>
      <c r="BC41" s="17" t="str">
        <f>IF(OR(BC$23="",ISNA($B41)),"",IF(ISBLANK($B41),"",IFERROR(_xll.BDP(TICKER,"DEEP_MEASURE_PERIOD_BROKER_VALUE","DEEP_MEASURE_ID_OVERRIDE",$C41,"DEEP_BROKER_ID_OVERRIDE",BC$24,"DEEP_PERIOD_OVERRIDE",$H$19)*1,"")))</f>
        <v/>
      </c>
      <c r="BD41" s="17" t="str">
        <f>IF(OR(BD$23="",ISNA($B41)),"",IF(ISBLANK($B41),"",IFERROR(_xll.BDP(TICKER,"DEEP_MEASURE_PERIOD_BROKER_VALUE","DEEP_MEASURE_ID_OVERRIDE",$C41,"DEEP_BROKER_ID_OVERRIDE",BD$24,"DEEP_PERIOD_OVERRIDE",$H$19)*1,"")))</f>
        <v/>
      </c>
      <c r="BE41" s="17" t="str">
        <f>IF(OR(BE$23="",ISNA($B41)),"",IF(ISBLANK($B41),"",IFERROR(_xll.BDP(TICKER,"DEEP_MEASURE_PERIOD_BROKER_VALUE","DEEP_MEASURE_ID_OVERRIDE",$C41,"DEEP_BROKER_ID_OVERRIDE",BE$24,"DEEP_PERIOD_OVERRIDE",$H$19)*1,"")))</f>
        <v/>
      </c>
      <c r="BF41" s="17" t="str">
        <f>IF(OR(BF$23="",ISNA($B41)),"",IF(ISBLANK($B41),"",IFERROR(_xll.BDP(TICKER,"DEEP_MEASURE_PERIOD_BROKER_VALUE","DEEP_MEASURE_ID_OVERRIDE",$C41,"DEEP_BROKER_ID_OVERRIDE",BF$24,"DEEP_PERIOD_OVERRIDE",$H$19)*1,"")))</f>
        <v/>
      </c>
      <c r="BG41" s="17" t="str">
        <f>IF(OR(BG$23="",ISNA($B41)),"",IF(ISBLANK($B41),"",IFERROR(_xll.BDP(TICKER,"DEEP_MEASURE_PERIOD_BROKER_VALUE","DEEP_MEASURE_ID_OVERRIDE",$C41,"DEEP_BROKER_ID_OVERRIDE",BG$24,"DEEP_PERIOD_OVERRIDE",$H$19)*1,"")))</f>
        <v/>
      </c>
      <c r="BH41" s="17" t="str">
        <f>IF(OR(BH$23="",ISNA($B41)),"",IF(ISBLANK($B41),"",IFERROR(_xll.BDP(TICKER,"DEEP_MEASURE_PERIOD_BROKER_VALUE","DEEP_MEASURE_ID_OVERRIDE",$C41,"DEEP_BROKER_ID_OVERRIDE",BH$24,"DEEP_PERIOD_OVERRIDE",$H$19)*1,"")))</f>
        <v/>
      </c>
      <c r="BI41" s="17" t="str">
        <f>IF(OR(BI$23="",ISNA($B41)),"",IF(ISBLANK($B41),"",IFERROR(_xll.BDP(TICKER,"DEEP_MEASURE_PERIOD_BROKER_VALUE","DEEP_MEASURE_ID_OVERRIDE",$C41,"DEEP_BROKER_ID_OVERRIDE",BI$24,"DEEP_PERIOD_OVERRIDE",$H$19)*1,"")))</f>
        <v/>
      </c>
      <c r="BJ41" s="17" t="str">
        <f>IF(OR(BJ$23="",ISNA($B41)),"",IF(ISBLANK($B41),"",IFERROR(_xll.BDP(TICKER,"DEEP_MEASURE_PERIOD_BROKER_VALUE","DEEP_MEASURE_ID_OVERRIDE",$C41,"DEEP_BROKER_ID_OVERRIDE",BJ$24,"DEEP_PERIOD_OVERRIDE",$H$19)*1,"")))</f>
        <v/>
      </c>
      <c r="BK41" s="17" t="str">
        <f>IF(OR(BK$23="",ISNA($B41)),"",IF(ISBLANK($B41),"",IFERROR(_xll.BDP(TICKER,"DEEP_MEASURE_PERIOD_BROKER_VALUE","DEEP_MEASURE_ID_OVERRIDE",$C41,"DEEP_BROKER_ID_OVERRIDE",BK$24,"DEEP_PERIOD_OVERRIDE",$H$19)*1,"")))</f>
        <v/>
      </c>
      <c r="BL41" s="17" t="str">
        <f>IF(OR(BL$23="",ISNA($B41)),"",IF(ISBLANK($B41),"",IFERROR(_xll.BDP(TICKER,"DEEP_MEASURE_PERIOD_BROKER_VALUE","DEEP_MEASURE_ID_OVERRIDE",$C41,"DEEP_BROKER_ID_OVERRIDE",BL$24,"DEEP_PERIOD_OVERRIDE",$H$19)*1,"")))</f>
        <v/>
      </c>
      <c r="BM41" s="17" t="str">
        <f>IF(OR(BM$23="",ISNA($B41)),"",IF(ISBLANK($B41),"",IFERROR(_xll.BDP(TICKER,"DEEP_MEASURE_PERIOD_BROKER_VALUE","DEEP_MEASURE_ID_OVERRIDE",$C41,"DEEP_BROKER_ID_OVERRIDE",BM$24,"DEEP_PERIOD_OVERRIDE",$H$19)*1,"")))</f>
        <v/>
      </c>
      <c r="BN41" s="17" t="str">
        <f>IF(OR(BN$23="",ISNA($B41)),"",IF(ISBLANK($B41),"",IFERROR(_xll.BDP(TICKER,"DEEP_MEASURE_PERIOD_BROKER_VALUE","DEEP_MEASURE_ID_OVERRIDE",$C41,"DEEP_BROKER_ID_OVERRIDE",BN$24,"DEEP_PERIOD_OVERRIDE",$H$19)*1,"")))</f>
        <v/>
      </c>
      <c r="BO41" s="17" t="str">
        <f>IF(OR(BO$23="",ISNA($B41)),"",IF(ISBLANK($B41),"",IFERROR(_xll.BDP(TICKER,"DEEP_MEASURE_PERIOD_BROKER_VALUE","DEEP_MEASURE_ID_OVERRIDE",$C41,"DEEP_BROKER_ID_OVERRIDE",BO$24,"DEEP_PERIOD_OVERRIDE",$H$19)*1,"")))</f>
        <v/>
      </c>
      <c r="BP41" s="17" t="str">
        <f>IF(OR(BP$23="",ISNA($B41)),"",IF(ISBLANK($B41),"",IFERROR(_xll.BDP(TICKER,"DEEP_MEASURE_PERIOD_BROKER_VALUE","DEEP_MEASURE_ID_OVERRIDE",$C41,"DEEP_BROKER_ID_OVERRIDE",BP$24,"DEEP_PERIOD_OVERRIDE",$H$19)*1,"")))</f>
        <v/>
      </c>
      <c r="BQ41" s="17" t="str">
        <f>IF(OR(BQ$23="",ISNA($B41)),"",IF(ISBLANK($B41),"",IFERROR(_xll.BDP(TICKER,"DEEP_MEASURE_PERIOD_BROKER_VALUE","DEEP_MEASURE_ID_OVERRIDE",$C41,"DEEP_BROKER_ID_OVERRIDE",BQ$24,"DEEP_PERIOD_OVERRIDE",$H$19)*1,"")))</f>
        <v/>
      </c>
      <c r="BR41" s="17" t="str">
        <f>IF(OR(BR$23="",ISNA($B41)),"",IF(ISBLANK($B41),"",IFERROR(_xll.BDP(TICKER,"DEEP_MEASURE_PERIOD_BROKER_VALUE","DEEP_MEASURE_ID_OVERRIDE",$C41,"DEEP_BROKER_ID_OVERRIDE",BR$24,"DEEP_PERIOD_OVERRIDE",$H$19)*1,"")))</f>
        <v/>
      </c>
      <c r="BS41" s="17" t="str">
        <f>IF(OR(BS$23="",ISNA($B41)),"",IF(ISBLANK($B41),"",IFERROR(_xll.BDP(TICKER,"DEEP_MEASURE_PERIOD_BROKER_VALUE","DEEP_MEASURE_ID_OVERRIDE",$C41,"DEEP_BROKER_ID_OVERRIDE",BS$24,"DEEP_PERIOD_OVERRIDE",$H$19)*1,"")))</f>
        <v/>
      </c>
      <c r="BT41" s="17" t="str">
        <f>IF(OR(BT$23="",ISNA($B41)),"",IF(ISBLANK($B41),"",IFERROR(_xll.BDP(TICKER,"DEEP_MEASURE_PERIOD_BROKER_VALUE","DEEP_MEASURE_ID_OVERRIDE",$C41,"DEEP_BROKER_ID_OVERRIDE",BT$24,"DEEP_PERIOD_OVERRIDE",$H$19)*1,"")))</f>
        <v/>
      </c>
      <c r="BU41" s="17" t="str">
        <f>IF(OR(BU$23="",ISNA($B41)),"",IF(ISBLANK($B41),"",IFERROR(_xll.BDP(TICKER,"DEEP_MEASURE_PERIOD_BROKER_VALUE","DEEP_MEASURE_ID_OVERRIDE",$C41,"DEEP_BROKER_ID_OVERRIDE",BU$24,"DEEP_PERIOD_OVERRIDE",$H$19)*1,"")))</f>
        <v/>
      </c>
      <c r="BV41" s="17" t="str">
        <f>IF(OR(BV$23="",ISNA($B41)),"",IF(ISBLANK($B41),"",IFERROR(_xll.BDP(TICKER,"DEEP_MEASURE_PERIOD_BROKER_VALUE","DEEP_MEASURE_ID_OVERRIDE",$C41,"DEEP_BROKER_ID_OVERRIDE",BV$24,"DEEP_PERIOD_OVERRIDE",$H$19)*1,"")))</f>
        <v/>
      </c>
      <c r="BW41" s="17" t="str">
        <f>IF(OR(BW$23="",ISNA($B41)),"",IF(ISBLANK($B41),"",IFERROR(_xll.BDP(TICKER,"DEEP_MEASURE_PERIOD_BROKER_VALUE","DEEP_MEASURE_ID_OVERRIDE",$C41,"DEEP_BROKER_ID_OVERRIDE",BW$24,"DEEP_PERIOD_OVERRIDE",$H$19)*1,"")))</f>
        <v/>
      </c>
      <c r="BX41" s="17" t="str">
        <f>IF(OR(BX$23="",ISNA($B41)),"",IF(ISBLANK($B41),"",IFERROR(_xll.BDP(TICKER,"DEEP_MEASURE_PERIOD_BROKER_VALUE","DEEP_MEASURE_ID_OVERRIDE",$C41,"DEEP_BROKER_ID_OVERRIDE",BX$24,"DEEP_PERIOD_OVERRIDE",$H$19)*1,"")))</f>
        <v/>
      </c>
      <c r="BY41" s="17" t="str">
        <f>IF(OR(BY$23="",ISNA($B41)),"",IF(ISBLANK($B41),"",IFERROR(_xll.BDP(TICKER,"DEEP_MEASURE_PERIOD_BROKER_VALUE","DEEP_MEASURE_ID_OVERRIDE",$C41,"DEEP_BROKER_ID_OVERRIDE",BY$24,"DEEP_PERIOD_OVERRIDE",$H$19)*1,"")))</f>
        <v/>
      </c>
      <c r="BZ41" s="17" t="str">
        <f>IF(OR(BZ$23="",ISNA($B41)),"",IF(ISBLANK($B41),"",IFERROR(_xll.BDP(TICKER,"DEEP_MEASURE_PERIOD_BROKER_VALUE","DEEP_MEASURE_ID_OVERRIDE",$C41,"DEEP_BROKER_ID_OVERRIDE",BZ$24,"DEEP_PERIOD_OVERRIDE",$H$19)*1,"")))</f>
        <v/>
      </c>
    </row>
    <row r="42" spans="2:78" x14ac:dyDescent="0.25">
      <c r="B42" t="s">
        <v>89</v>
      </c>
      <c r="C42" s="11">
        <v>9842</v>
      </c>
      <c r="H42" t="str">
        <f t="shared" si="1"/>
        <v>Hotels, Media &amp; Platform &gt; Revenue &gt; Revenue Growth (% YoY)</v>
      </c>
      <c r="I42" t="str">
        <f>IF(OR(I$23="",ISNA($B42)),"",IF(ISBLANK($B42),"",IFERROR(_xll.BDP(TICKER,"DEEP_MEASURE_PERIOD_BROKER_VALUE","DEEP_MEASURE_ID_OVERRIDE",$C42,"DEEP_PERIOD_OVERRIDE",$H$19)*1,"")))</f>
        <v/>
      </c>
      <c r="J42" t="e">
        <f>IF(OR(J$23="",ISNA($B42)),"",IF(ISBLANK($B42),"",IFERROR(_xll.BDP(TICKER,"DEEP_MEASURE_PERIOD_BROKER_VALUE","DEEP_MEASURE_ID_OVERRIDE",$C42,"DEEP_BROKER_ID_OVERRIDE",J$24,"DEEP_PERIOD_OVERRIDE",$H$19)*1,"")))</f>
        <v>#REF!</v>
      </c>
      <c r="K42" s="17" t="str">
        <f>IF(OR(K$23="",ISNA($B42)),"",IF(ISBLANK($B42),"",IFERROR(_xll.BDP(TICKER,"DEEP_MEASURE_PERIOD_BROKER_VALUE","DEEP_MEASURE_ID_OVERRIDE",$C42,"DEEP_BROKER_ID_OVERRIDE",K$24,"DEEP_PERIOD_OVERRIDE",$H$19)*1,"")))</f>
        <v/>
      </c>
      <c r="L42" s="17" t="str">
        <f>IF(OR(L$23="",ISNA($B42)),"",IF(ISBLANK($B42),"",IFERROR(_xll.BDP(TICKER,"DEEP_MEASURE_PERIOD_BROKER_VALUE","DEEP_MEASURE_ID_OVERRIDE",$C42,"DEEP_BROKER_ID_OVERRIDE",L$24,"DEEP_PERIOD_OVERRIDE",$H$19)*1,"")))</f>
        <v/>
      </c>
      <c r="M42" s="17" t="str">
        <f>IF(OR(M$23="",ISNA($B42)),"",IF(ISBLANK($B42),"",IFERROR(_xll.BDP(TICKER,"DEEP_MEASURE_PERIOD_BROKER_VALUE","DEEP_MEASURE_ID_OVERRIDE",$C42,"DEEP_BROKER_ID_OVERRIDE",M$24,"DEEP_PERIOD_OVERRIDE",$H$19)*1,"")))</f>
        <v/>
      </c>
      <c r="N42" s="17" t="str">
        <f>IF(OR(N$23="",ISNA($B42)),"",IF(ISBLANK($B42),"",IFERROR(_xll.BDP(TICKER,"DEEP_MEASURE_PERIOD_BROKER_VALUE","DEEP_MEASURE_ID_OVERRIDE",$C42,"DEEP_BROKER_ID_OVERRIDE",N$24,"DEEP_PERIOD_OVERRIDE",$H$19)*1,"")))</f>
        <v/>
      </c>
      <c r="O42" s="17" t="str">
        <f>IF(OR(O$23="",ISNA($B42)),"",IF(ISBLANK($B42),"",IFERROR(_xll.BDP(TICKER,"DEEP_MEASURE_PERIOD_BROKER_VALUE","DEEP_MEASURE_ID_OVERRIDE",$C42,"DEEP_BROKER_ID_OVERRIDE",O$24,"DEEP_PERIOD_OVERRIDE",$H$19)*1,"")))</f>
        <v/>
      </c>
      <c r="P42" s="17" t="str">
        <f>IF(OR(P$23="",ISNA($B42)),"",IF(ISBLANK($B42),"",IFERROR(_xll.BDP(TICKER,"DEEP_MEASURE_PERIOD_BROKER_VALUE","DEEP_MEASURE_ID_OVERRIDE",$C42,"DEEP_BROKER_ID_OVERRIDE",P$24,"DEEP_PERIOD_OVERRIDE",$H$19)*1,"")))</f>
        <v/>
      </c>
      <c r="Q42" s="17" t="str">
        <f>IF(OR(Q$23="",ISNA($B42)),"",IF(ISBLANK($B42),"",IFERROR(_xll.BDP(TICKER,"DEEP_MEASURE_PERIOD_BROKER_VALUE","DEEP_MEASURE_ID_OVERRIDE",$C42,"DEEP_BROKER_ID_OVERRIDE",Q$24,"DEEP_PERIOD_OVERRIDE",$H$19)*1,"")))</f>
        <v/>
      </c>
      <c r="R42" s="17" t="str">
        <f>IF(OR(R$23="",ISNA($B42)),"",IF(ISBLANK($B42),"",IFERROR(_xll.BDP(TICKER,"DEEP_MEASURE_PERIOD_BROKER_VALUE","DEEP_MEASURE_ID_OVERRIDE",$C42,"DEEP_BROKER_ID_OVERRIDE",R$24,"DEEP_PERIOD_OVERRIDE",$H$19)*1,"")))</f>
        <v/>
      </c>
      <c r="S42" s="17" t="str">
        <f>IF(OR(S$23="",ISNA($B42)),"",IF(ISBLANK($B42),"",IFERROR(_xll.BDP(TICKER,"DEEP_MEASURE_PERIOD_BROKER_VALUE","DEEP_MEASURE_ID_OVERRIDE",$C42,"DEEP_BROKER_ID_OVERRIDE",S$24,"DEEP_PERIOD_OVERRIDE",$H$19)*1,"")))</f>
        <v/>
      </c>
      <c r="T42" s="17" t="str">
        <f>IF(OR(T$23="",ISNA($B42)),"",IF(ISBLANK($B42),"",IFERROR(_xll.BDP(TICKER,"DEEP_MEASURE_PERIOD_BROKER_VALUE","DEEP_MEASURE_ID_OVERRIDE",$C42,"DEEP_BROKER_ID_OVERRIDE",T$24,"DEEP_PERIOD_OVERRIDE",$H$19)*1,"")))</f>
        <v/>
      </c>
      <c r="U42" s="17" t="str">
        <f>IF(OR(U$23="",ISNA($B42)),"",IF(ISBLANK($B42),"",IFERROR(_xll.BDP(TICKER,"DEEP_MEASURE_PERIOD_BROKER_VALUE","DEEP_MEASURE_ID_OVERRIDE",$C42,"DEEP_BROKER_ID_OVERRIDE",U$24,"DEEP_PERIOD_OVERRIDE",$H$19)*1,"")))</f>
        <v/>
      </c>
      <c r="V42" s="17" t="str">
        <f>IF(OR(V$23="",ISNA($B42)),"",IF(ISBLANK($B42),"",IFERROR(_xll.BDP(TICKER,"DEEP_MEASURE_PERIOD_BROKER_VALUE","DEEP_MEASURE_ID_OVERRIDE",$C42,"DEEP_BROKER_ID_OVERRIDE",V$24,"DEEP_PERIOD_OVERRIDE",$H$19)*1,"")))</f>
        <v/>
      </c>
      <c r="W42" s="17" t="str">
        <f>IF(OR(W$23="",ISNA($B42)),"",IF(ISBLANK($B42),"",IFERROR(_xll.BDP(TICKER,"DEEP_MEASURE_PERIOD_BROKER_VALUE","DEEP_MEASURE_ID_OVERRIDE",$C42,"DEEP_BROKER_ID_OVERRIDE",W$24,"DEEP_PERIOD_OVERRIDE",$H$19)*1,"")))</f>
        <v/>
      </c>
      <c r="X42" s="17" t="str">
        <f>IF(OR(X$23="",ISNA($B42)),"",IF(ISBLANK($B42),"",IFERROR(_xll.BDP(TICKER,"DEEP_MEASURE_PERIOD_BROKER_VALUE","DEEP_MEASURE_ID_OVERRIDE",$C42,"DEEP_BROKER_ID_OVERRIDE",X$24,"DEEP_PERIOD_OVERRIDE",$H$19)*1,"")))</f>
        <v/>
      </c>
      <c r="Y42" s="17" t="str">
        <f>IF(OR(Y$23="",ISNA($B42)),"",IF(ISBLANK($B42),"",IFERROR(_xll.BDP(TICKER,"DEEP_MEASURE_PERIOD_BROKER_VALUE","DEEP_MEASURE_ID_OVERRIDE",$C42,"DEEP_BROKER_ID_OVERRIDE",Y$24,"DEEP_PERIOD_OVERRIDE",$H$19)*1,"")))</f>
        <v/>
      </c>
      <c r="Z42" s="17" t="str">
        <f>IF(OR(Z$23="",ISNA($B42)),"",IF(ISBLANK($B42),"",IFERROR(_xll.BDP(TICKER,"DEEP_MEASURE_PERIOD_BROKER_VALUE","DEEP_MEASURE_ID_OVERRIDE",$C42,"DEEP_BROKER_ID_OVERRIDE",Z$24,"DEEP_PERIOD_OVERRIDE",$H$19)*1,"")))</f>
        <v/>
      </c>
      <c r="AA42" s="17" t="str">
        <f>IF(OR(AA$23="",ISNA($B42)),"",IF(ISBLANK($B42),"",IFERROR(_xll.BDP(TICKER,"DEEP_MEASURE_PERIOD_BROKER_VALUE","DEEP_MEASURE_ID_OVERRIDE",$C42,"DEEP_BROKER_ID_OVERRIDE",AA$24,"DEEP_PERIOD_OVERRIDE",$H$19)*1,"")))</f>
        <v/>
      </c>
      <c r="AB42" s="17" t="str">
        <f>IF(OR(AB$23="",ISNA($B42)),"",IF(ISBLANK($B42),"",IFERROR(_xll.BDP(TICKER,"DEEP_MEASURE_PERIOD_BROKER_VALUE","DEEP_MEASURE_ID_OVERRIDE",$C42,"DEEP_BROKER_ID_OVERRIDE",AB$24,"DEEP_PERIOD_OVERRIDE",$H$19)*1,"")))</f>
        <v/>
      </c>
      <c r="AC42" s="17" t="str">
        <f>IF(OR(AC$23="",ISNA($B42)),"",IF(ISBLANK($B42),"",IFERROR(_xll.BDP(TICKER,"DEEP_MEASURE_PERIOD_BROKER_VALUE","DEEP_MEASURE_ID_OVERRIDE",$C42,"DEEP_BROKER_ID_OVERRIDE",AC$24,"DEEP_PERIOD_OVERRIDE",$H$19)*1,"")))</f>
        <v/>
      </c>
      <c r="AD42" s="17" t="str">
        <f>IF(OR(AD$23="",ISNA($B42)),"",IF(ISBLANK($B42),"",IFERROR(_xll.BDP(TICKER,"DEEP_MEASURE_PERIOD_BROKER_VALUE","DEEP_MEASURE_ID_OVERRIDE",$C42,"DEEP_BROKER_ID_OVERRIDE",AD$24,"DEEP_PERIOD_OVERRIDE",$H$19)*1,"")))</f>
        <v/>
      </c>
      <c r="AE42" s="17" t="str">
        <f>IF(OR(AE$23="",ISNA($B42)),"",IF(ISBLANK($B42),"",IFERROR(_xll.BDP(TICKER,"DEEP_MEASURE_PERIOD_BROKER_VALUE","DEEP_MEASURE_ID_OVERRIDE",$C42,"DEEP_BROKER_ID_OVERRIDE",AE$24,"DEEP_PERIOD_OVERRIDE",$H$19)*1,"")))</f>
        <v/>
      </c>
      <c r="AF42" s="17" t="str">
        <f>IF(OR(AF$23="",ISNA($B42)),"",IF(ISBLANK($B42),"",IFERROR(_xll.BDP(TICKER,"DEEP_MEASURE_PERIOD_BROKER_VALUE","DEEP_MEASURE_ID_OVERRIDE",$C42,"DEEP_BROKER_ID_OVERRIDE",AF$24,"DEEP_PERIOD_OVERRIDE",$H$19)*1,"")))</f>
        <v/>
      </c>
      <c r="AG42" s="17" t="str">
        <f>IF(OR(AG$23="",ISNA($B42)),"",IF(ISBLANK($B42),"",IFERROR(_xll.BDP(TICKER,"DEEP_MEASURE_PERIOD_BROKER_VALUE","DEEP_MEASURE_ID_OVERRIDE",$C42,"DEEP_BROKER_ID_OVERRIDE",AG$24,"DEEP_PERIOD_OVERRIDE",$H$19)*1,"")))</f>
        <v/>
      </c>
      <c r="AH42" s="17" t="str">
        <f>IF(OR(AH$23="",ISNA($B42)),"",IF(ISBLANK($B42),"",IFERROR(_xll.BDP(TICKER,"DEEP_MEASURE_PERIOD_BROKER_VALUE","DEEP_MEASURE_ID_OVERRIDE",$C42,"DEEP_BROKER_ID_OVERRIDE",AH$24,"DEEP_PERIOD_OVERRIDE",$H$19)*1,"")))</f>
        <v/>
      </c>
      <c r="AI42" s="17" t="str">
        <f>IF(OR(AI$23="",ISNA($B42)),"",IF(ISBLANK($B42),"",IFERROR(_xll.BDP(TICKER,"DEEP_MEASURE_PERIOD_BROKER_VALUE","DEEP_MEASURE_ID_OVERRIDE",$C42,"DEEP_BROKER_ID_OVERRIDE",AI$24,"DEEP_PERIOD_OVERRIDE",$H$19)*1,"")))</f>
        <v/>
      </c>
      <c r="AJ42" s="17" t="str">
        <f>IF(OR(AJ$23="",ISNA($B42)),"",IF(ISBLANK($B42),"",IFERROR(_xll.BDP(TICKER,"DEEP_MEASURE_PERIOD_BROKER_VALUE","DEEP_MEASURE_ID_OVERRIDE",$C42,"DEEP_BROKER_ID_OVERRIDE",AJ$24,"DEEP_PERIOD_OVERRIDE",$H$19)*1,"")))</f>
        <v/>
      </c>
      <c r="AK42" s="17" t="str">
        <f>IF(OR(AK$23="",ISNA($B42)),"",IF(ISBLANK($B42),"",IFERROR(_xll.BDP(TICKER,"DEEP_MEASURE_PERIOD_BROKER_VALUE","DEEP_MEASURE_ID_OVERRIDE",$C42,"DEEP_BROKER_ID_OVERRIDE",AK$24,"DEEP_PERIOD_OVERRIDE",$H$19)*1,"")))</f>
        <v/>
      </c>
      <c r="AL42" s="17" t="str">
        <f>IF(OR(AL$23="",ISNA($B42)),"",IF(ISBLANK($B42),"",IFERROR(_xll.BDP(TICKER,"DEEP_MEASURE_PERIOD_BROKER_VALUE","DEEP_MEASURE_ID_OVERRIDE",$C42,"DEEP_BROKER_ID_OVERRIDE",AL$24,"DEEP_PERIOD_OVERRIDE",$H$19)*1,"")))</f>
        <v/>
      </c>
      <c r="AM42" s="17" t="str">
        <f>IF(OR(AM$23="",ISNA($B42)),"",IF(ISBLANK($B42),"",IFERROR(_xll.BDP(TICKER,"DEEP_MEASURE_PERIOD_BROKER_VALUE","DEEP_MEASURE_ID_OVERRIDE",$C42,"DEEP_BROKER_ID_OVERRIDE",AM$24,"DEEP_PERIOD_OVERRIDE",$H$19)*1,"")))</f>
        <v/>
      </c>
      <c r="AN42" s="17" t="str">
        <f>IF(OR(AN$23="",ISNA($B42)),"",IF(ISBLANK($B42),"",IFERROR(_xll.BDP(TICKER,"DEEP_MEASURE_PERIOD_BROKER_VALUE","DEEP_MEASURE_ID_OVERRIDE",$C42,"DEEP_BROKER_ID_OVERRIDE",AN$24,"DEEP_PERIOD_OVERRIDE",$H$19)*1,"")))</f>
        <v/>
      </c>
      <c r="AO42" s="17" t="str">
        <f>IF(OR(AO$23="",ISNA($B42)),"",IF(ISBLANK($B42),"",IFERROR(_xll.BDP(TICKER,"DEEP_MEASURE_PERIOD_BROKER_VALUE","DEEP_MEASURE_ID_OVERRIDE",$C42,"DEEP_BROKER_ID_OVERRIDE",AO$24,"DEEP_PERIOD_OVERRIDE",$H$19)*1,"")))</f>
        <v/>
      </c>
      <c r="AP42" s="17" t="str">
        <f>IF(OR(AP$23="",ISNA($B42)),"",IF(ISBLANK($B42),"",IFERROR(_xll.BDP(TICKER,"DEEP_MEASURE_PERIOD_BROKER_VALUE","DEEP_MEASURE_ID_OVERRIDE",$C42,"DEEP_BROKER_ID_OVERRIDE",AP$24,"DEEP_PERIOD_OVERRIDE",$H$19)*1,"")))</f>
        <v/>
      </c>
      <c r="AQ42" s="17" t="str">
        <f>IF(OR(AQ$23="",ISNA($B42)),"",IF(ISBLANK($B42),"",IFERROR(_xll.BDP(TICKER,"DEEP_MEASURE_PERIOD_BROKER_VALUE","DEEP_MEASURE_ID_OVERRIDE",$C42,"DEEP_BROKER_ID_OVERRIDE",AQ$24,"DEEP_PERIOD_OVERRIDE",$H$19)*1,"")))</f>
        <v/>
      </c>
      <c r="AR42" s="17" t="str">
        <f>IF(OR(AR$23="",ISNA($B42)),"",IF(ISBLANK($B42),"",IFERROR(_xll.BDP(TICKER,"DEEP_MEASURE_PERIOD_BROKER_VALUE","DEEP_MEASURE_ID_OVERRIDE",$C42,"DEEP_BROKER_ID_OVERRIDE",AR$24,"DEEP_PERIOD_OVERRIDE",$H$19)*1,"")))</f>
        <v/>
      </c>
      <c r="AS42" s="17" t="str">
        <f>IF(OR(AS$23="",ISNA($B42)),"",IF(ISBLANK($B42),"",IFERROR(_xll.BDP(TICKER,"DEEP_MEASURE_PERIOD_BROKER_VALUE","DEEP_MEASURE_ID_OVERRIDE",$C42,"DEEP_BROKER_ID_OVERRIDE",AS$24,"DEEP_PERIOD_OVERRIDE",$H$19)*1,"")))</f>
        <v/>
      </c>
      <c r="AT42" s="17" t="str">
        <f>IF(OR(AT$23="",ISNA($B42)),"",IF(ISBLANK($B42),"",IFERROR(_xll.BDP(TICKER,"DEEP_MEASURE_PERIOD_BROKER_VALUE","DEEP_MEASURE_ID_OVERRIDE",$C42,"DEEP_BROKER_ID_OVERRIDE",AT$24,"DEEP_PERIOD_OVERRIDE",$H$19)*1,"")))</f>
        <v/>
      </c>
      <c r="AU42" s="17" t="str">
        <f>IF(OR(AU$23="",ISNA($B42)),"",IF(ISBLANK($B42),"",IFERROR(_xll.BDP(TICKER,"DEEP_MEASURE_PERIOD_BROKER_VALUE","DEEP_MEASURE_ID_OVERRIDE",$C42,"DEEP_BROKER_ID_OVERRIDE",AU$24,"DEEP_PERIOD_OVERRIDE",$H$19)*1,"")))</f>
        <v/>
      </c>
      <c r="AV42" s="17" t="str">
        <f>IF(OR(AV$23="",ISNA($B42)),"",IF(ISBLANK($B42),"",IFERROR(_xll.BDP(TICKER,"DEEP_MEASURE_PERIOD_BROKER_VALUE","DEEP_MEASURE_ID_OVERRIDE",$C42,"DEEP_BROKER_ID_OVERRIDE",AV$24,"DEEP_PERIOD_OVERRIDE",$H$19)*1,"")))</f>
        <v/>
      </c>
      <c r="AW42" s="17" t="str">
        <f>IF(OR(AW$23="",ISNA($B42)),"",IF(ISBLANK($B42),"",IFERROR(_xll.BDP(TICKER,"DEEP_MEASURE_PERIOD_BROKER_VALUE","DEEP_MEASURE_ID_OVERRIDE",$C42,"DEEP_BROKER_ID_OVERRIDE",AW$24,"DEEP_PERIOD_OVERRIDE",$H$19)*1,"")))</f>
        <v/>
      </c>
      <c r="AX42" s="17" t="str">
        <f>IF(OR(AX$23="",ISNA($B42)),"",IF(ISBLANK($B42),"",IFERROR(_xll.BDP(TICKER,"DEEP_MEASURE_PERIOD_BROKER_VALUE","DEEP_MEASURE_ID_OVERRIDE",$C42,"DEEP_BROKER_ID_OVERRIDE",AX$24,"DEEP_PERIOD_OVERRIDE",$H$19)*1,"")))</f>
        <v/>
      </c>
      <c r="AY42" s="17" t="str">
        <f>IF(OR(AY$23="",ISNA($B42)),"",IF(ISBLANK($B42),"",IFERROR(_xll.BDP(TICKER,"DEEP_MEASURE_PERIOD_BROKER_VALUE","DEEP_MEASURE_ID_OVERRIDE",$C42,"DEEP_BROKER_ID_OVERRIDE",AY$24,"DEEP_PERIOD_OVERRIDE",$H$19)*1,"")))</f>
        <v/>
      </c>
      <c r="AZ42" s="17" t="str">
        <f>IF(OR(AZ$23="",ISNA($B42)),"",IF(ISBLANK($B42),"",IFERROR(_xll.BDP(TICKER,"DEEP_MEASURE_PERIOD_BROKER_VALUE","DEEP_MEASURE_ID_OVERRIDE",$C42,"DEEP_BROKER_ID_OVERRIDE",AZ$24,"DEEP_PERIOD_OVERRIDE",$H$19)*1,"")))</f>
        <v/>
      </c>
      <c r="BA42" s="17" t="str">
        <f>IF(OR(BA$23="",ISNA($B42)),"",IF(ISBLANK($B42),"",IFERROR(_xll.BDP(TICKER,"DEEP_MEASURE_PERIOD_BROKER_VALUE","DEEP_MEASURE_ID_OVERRIDE",$C42,"DEEP_BROKER_ID_OVERRIDE",BA$24,"DEEP_PERIOD_OVERRIDE",$H$19)*1,"")))</f>
        <v/>
      </c>
      <c r="BB42" s="17" t="str">
        <f>IF(OR(BB$23="",ISNA($B42)),"",IF(ISBLANK($B42),"",IFERROR(_xll.BDP(TICKER,"DEEP_MEASURE_PERIOD_BROKER_VALUE","DEEP_MEASURE_ID_OVERRIDE",$C42,"DEEP_BROKER_ID_OVERRIDE",BB$24,"DEEP_PERIOD_OVERRIDE",$H$19)*1,"")))</f>
        <v/>
      </c>
      <c r="BC42" s="17" t="str">
        <f>IF(OR(BC$23="",ISNA($B42)),"",IF(ISBLANK($B42),"",IFERROR(_xll.BDP(TICKER,"DEEP_MEASURE_PERIOD_BROKER_VALUE","DEEP_MEASURE_ID_OVERRIDE",$C42,"DEEP_BROKER_ID_OVERRIDE",BC$24,"DEEP_PERIOD_OVERRIDE",$H$19)*1,"")))</f>
        <v/>
      </c>
      <c r="BD42" s="17" t="str">
        <f>IF(OR(BD$23="",ISNA($B42)),"",IF(ISBLANK($B42),"",IFERROR(_xll.BDP(TICKER,"DEEP_MEASURE_PERIOD_BROKER_VALUE","DEEP_MEASURE_ID_OVERRIDE",$C42,"DEEP_BROKER_ID_OVERRIDE",BD$24,"DEEP_PERIOD_OVERRIDE",$H$19)*1,"")))</f>
        <v/>
      </c>
      <c r="BE42" s="17" t="str">
        <f>IF(OR(BE$23="",ISNA($B42)),"",IF(ISBLANK($B42),"",IFERROR(_xll.BDP(TICKER,"DEEP_MEASURE_PERIOD_BROKER_VALUE","DEEP_MEASURE_ID_OVERRIDE",$C42,"DEEP_BROKER_ID_OVERRIDE",BE$24,"DEEP_PERIOD_OVERRIDE",$H$19)*1,"")))</f>
        <v/>
      </c>
      <c r="BF42" s="17" t="str">
        <f>IF(OR(BF$23="",ISNA($B42)),"",IF(ISBLANK($B42),"",IFERROR(_xll.BDP(TICKER,"DEEP_MEASURE_PERIOD_BROKER_VALUE","DEEP_MEASURE_ID_OVERRIDE",$C42,"DEEP_BROKER_ID_OVERRIDE",BF$24,"DEEP_PERIOD_OVERRIDE",$H$19)*1,"")))</f>
        <v/>
      </c>
      <c r="BG42" s="17" t="str">
        <f>IF(OR(BG$23="",ISNA($B42)),"",IF(ISBLANK($B42),"",IFERROR(_xll.BDP(TICKER,"DEEP_MEASURE_PERIOD_BROKER_VALUE","DEEP_MEASURE_ID_OVERRIDE",$C42,"DEEP_BROKER_ID_OVERRIDE",BG$24,"DEEP_PERIOD_OVERRIDE",$H$19)*1,"")))</f>
        <v/>
      </c>
      <c r="BH42" s="17" t="str">
        <f>IF(OR(BH$23="",ISNA($B42)),"",IF(ISBLANK($B42),"",IFERROR(_xll.BDP(TICKER,"DEEP_MEASURE_PERIOD_BROKER_VALUE","DEEP_MEASURE_ID_OVERRIDE",$C42,"DEEP_BROKER_ID_OVERRIDE",BH$24,"DEEP_PERIOD_OVERRIDE",$H$19)*1,"")))</f>
        <v/>
      </c>
      <c r="BI42" s="17" t="str">
        <f>IF(OR(BI$23="",ISNA($B42)),"",IF(ISBLANK($B42),"",IFERROR(_xll.BDP(TICKER,"DEEP_MEASURE_PERIOD_BROKER_VALUE","DEEP_MEASURE_ID_OVERRIDE",$C42,"DEEP_BROKER_ID_OVERRIDE",BI$24,"DEEP_PERIOD_OVERRIDE",$H$19)*1,"")))</f>
        <v/>
      </c>
      <c r="BJ42" s="17" t="str">
        <f>IF(OR(BJ$23="",ISNA($B42)),"",IF(ISBLANK($B42),"",IFERROR(_xll.BDP(TICKER,"DEEP_MEASURE_PERIOD_BROKER_VALUE","DEEP_MEASURE_ID_OVERRIDE",$C42,"DEEP_BROKER_ID_OVERRIDE",BJ$24,"DEEP_PERIOD_OVERRIDE",$H$19)*1,"")))</f>
        <v/>
      </c>
      <c r="BK42" s="17" t="str">
        <f>IF(OR(BK$23="",ISNA($B42)),"",IF(ISBLANK($B42),"",IFERROR(_xll.BDP(TICKER,"DEEP_MEASURE_PERIOD_BROKER_VALUE","DEEP_MEASURE_ID_OVERRIDE",$C42,"DEEP_BROKER_ID_OVERRIDE",BK$24,"DEEP_PERIOD_OVERRIDE",$H$19)*1,"")))</f>
        <v/>
      </c>
      <c r="BL42" s="17" t="str">
        <f>IF(OR(BL$23="",ISNA($B42)),"",IF(ISBLANK($B42),"",IFERROR(_xll.BDP(TICKER,"DEEP_MEASURE_PERIOD_BROKER_VALUE","DEEP_MEASURE_ID_OVERRIDE",$C42,"DEEP_BROKER_ID_OVERRIDE",BL$24,"DEEP_PERIOD_OVERRIDE",$H$19)*1,"")))</f>
        <v/>
      </c>
      <c r="BM42" s="17" t="str">
        <f>IF(OR(BM$23="",ISNA($B42)),"",IF(ISBLANK($B42),"",IFERROR(_xll.BDP(TICKER,"DEEP_MEASURE_PERIOD_BROKER_VALUE","DEEP_MEASURE_ID_OVERRIDE",$C42,"DEEP_BROKER_ID_OVERRIDE",BM$24,"DEEP_PERIOD_OVERRIDE",$H$19)*1,"")))</f>
        <v/>
      </c>
      <c r="BN42" s="17" t="str">
        <f>IF(OR(BN$23="",ISNA($B42)),"",IF(ISBLANK($B42),"",IFERROR(_xll.BDP(TICKER,"DEEP_MEASURE_PERIOD_BROKER_VALUE","DEEP_MEASURE_ID_OVERRIDE",$C42,"DEEP_BROKER_ID_OVERRIDE",BN$24,"DEEP_PERIOD_OVERRIDE",$H$19)*1,"")))</f>
        <v/>
      </c>
      <c r="BO42" s="17" t="str">
        <f>IF(OR(BO$23="",ISNA($B42)),"",IF(ISBLANK($B42),"",IFERROR(_xll.BDP(TICKER,"DEEP_MEASURE_PERIOD_BROKER_VALUE","DEEP_MEASURE_ID_OVERRIDE",$C42,"DEEP_BROKER_ID_OVERRIDE",BO$24,"DEEP_PERIOD_OVERRIDE",$H$19)*1,"")))</f>
        <v/>
      </c>
      <c r="BP42" s="17" t="str">
        <f>IF(OR(BP$23="",ISNA($B42)),"",IF(ISBLANK($B42),"",IFERROR(_xll.BDP(TICKER,"DEEP_MEASURE_PERIOD_BROKER_VALUE","DEEP_MEASURE_ID_OVERRIDE",$C42,"DEEP_BROKER_ID_OVERRIDE",BP$24,"DEEP_PERIOD_OVERRIDE",$H$19)*1,"")))</f>
        <v/>
      </c>
      <c r="BQ42" s="17" t="str">
        <f>IF(OR(BQ$23="",ISNA($B42)),"",IF(ISBLANK($B42),"",IFERROR(_xll.BDP(TICKER,"DEEP_MEASURE_PERIOD_BROKER_VALUE","DEEP_MEASURE_ID_OVERRIDE",$C42,"DEEP_BROKER_ID_OVERRIDE",BQ$24,"DEEP_PERIOD_OVERRIDE",$H$19)*1,"")))</f>
        <v/>
      </c>
      <c r="BR42" s="17" t="str">
        <f>IF(OR(BR$23="",ISNA($B42)),"",IF(ISBLANK($B42),"",IFERROR(_xll.BDP(TICKER,"DEEP_MEASURE_PERIOD_BROKER_VALUE","DEEP_MEASURE_ID_OVERRIDE",$C42,"DEEP_BROKER_ID_OVERRIDE",BR$24,"DEEP_PERIOD_OVERRIDE",$H$19)*1,"")))</f>
        <v/>
      </c>
      <c r="BS42" s="17" t="str">
        <f>IF(OR(BS$23="",ISNA($B42)),"",IF(ISBLANK($B42),"",IFERROR(_xll.BDP(TICKER,"DEEP_MEASURE_PERIOD_BROKER_VALUE","DEEP_MEASURE_ID_OVERRIDE",$C42,"DEEP_BROKER_ID_OVERRIDE",BS$24,"DEEP_PERIOD_OVERRIDE",$H$19)*1,"")))</f>
        <v/>
      </c>
      <c r="BT42" s="17" t="str">
        <f>IF(OR(BT$23="",ISNA($B42)),"",IF(ISBLANK($B42),"",IFERROR(_xll.BDP(TICKER,"DEEP_MEASURE_PERIOD_BROKER_VALUE","DEEP_MEASURE_ID_OVERRIDE",$C42,"DEEP_BROKER_ID_OVERRIDE",BT$24,"DEEP_PERIOD_OVERRIDE",$H$19)*1,"")))</f>
        <v/>
      </c>
      <c r="BU42" s="17" t="str">
        <f>IF(OR(BU$23="",ISNA($B42)),"",IF(ISBLANK($B42),"",IFERROR(_xll.BDP(TICKER,"DEEP_MEASURE_PERIOD_BROKER_VALUE","DEEP_MEASURE_ID_OVERRIDE",$C42,"DEEP_BROKER_ID_OVERRIDE",BU$24,"DEEP_PERIOD_OVERRIDE",$H$19)*1,"")))</f>
        <v/>
      </c>
      <c r="BV42" s="17" t="str">
        <f>IF(OR(BV$23="",ISNA($B42)),"",IF(ISBLANK($B42),"",IFERROR(_xll.BDP(TICKER,"DEEP_MEASURE_PERIOD_BROKER_VALUE","DEEP_MEASURE_ID_OVERRIDE",$C42,"DEEP_BROKER_ID_OVERRIDE",BV$24,"DEEP_PERIOD_OVERRIDE",$H$19)*1,"")))</f>
        <v/>
      </c>
      <c r="BW42" s="17" t="str">
        <f>IF(OR(BW$23="",ISNA($B42)),"",IF(ISBLANK($B42),"",IFERROR(_xll.BDP(TICKER,"DEEP_MEASURE_PERIOD_BROKER_VALUE","DEEP_MEASURE_ID_OVERRIDE",$C42,"DEEP_BROKER_ID_OVERRIDE",BW$24,"DEEP_PERIOD_OVERRIDE",$H$19)*1,"")))</f>
        <v/>
      </c>
      <c r="BX42" s="17" t="str">
        <f>IF(OR(BX$23="",ISNA($B42)),"",IF(ISBLANK($B42),"",IFERROR(_xll.BDP(TICKER,"DEEP_MEASURE_PERIOD_BROKER_VALUE","DEEP_MEASURE_ID_OVERRIDE",$C42,"DEEP_BROKER_ID_OVERRIDE",BX$24,"DEEP_PERIOD_OVERRIDE",$H$19)*1,"")))</f>
        <v/>
      </c>
      <c r="BY42" s="17" t="str">
        <f>IF(OR(BY$23="",ISNA($B42)),"",IF(ISBLANK($B42),"",IFERROR(_xll.BDP(TICKER,"DEEP_MEASURE_PERIOD_BROKER_VALUE","DEEP_MEASURE_ID_OVERRIDE",$C42,"DEEP_BROKER_ID_OVERRIDE",BY$24,"DEEP_PERIOD_OVERRIDE",$H$19)*1,"")))</f>
        <v/>
      </c>
      <c r="BZ42" s="17" t="str">
        <f>IF(OR(BZ$23="",ISNA($B42)),"",IF(ISBLANK($B42),"",IFERROR(_xll.BDP(TICKER,"DEEP_MEASURE_PERIOD_BROKER_VALUE","DEEP_MEASURE_ID_OVERRIDE",$C42,"DEEP_BROKER_ID_OVERRIDE",BZ$24,"DEEP_PERIOD_OVERRIDE",$H$19)*1,"")))</f>
        <v/>
      </c>
    </row>
    <row r="43" spans="2:78" x14ac:dyDescent="0.25">
      <c r="B43" t="s">
        <v>90</v>
      </c>
      <c r="C43" s="11">
        <v>10237</v>
      </c>
      <c r="H43" t="str">
        <f t="shared" si="1"/>
        <v>Hotels, Media &amp; Platform &gt; Operating Expenses</v>
      </c>
      <c r="I43" t="str">
        <f>IF(OR(I$23="",ISNA($B43)),"",IF(ISBLANK($B43),"",IFERROR(_xll.BDP(TICKER,"DEEP_MEASURE_PERIOD_BROKER_VALUE","DEEP_MEASURE_ID_OVERRIDE",$C43,"DEEP_PERIOD_OVERRIDE",$H$19)*1,"")))</f>
        <v/>
      </c>
      <c r="J43" t="e">
        <f>IF(OR(J$23="",ISNA($B43)),"",IF(ISBLANK($B43),"",IFERROR(_xll.BDP(TICKER,"DEEP_MEASURE_PERIOD_BROKER_VALUE","DEEP_MEASURE_ID_OVERRIDE",$C43,"DEEP_BROKER_ID_OVERRIDE",J$24,"DEEP_PERIOD_OVERRIDE",$H$19)*1,"")))</f>
        <v>#REF!</v>
      </c>
      <c r="K43" s="17" t="str">
        <f>IF(OR(K$23="",ISNA($B43)),"",IF(ISBLANK($B43),"",IFERROR(_xll.BDP(TICKER,"DEEP_MEASURE_PERIOD_BROKER_VALUE","DEEP_MEASURE_ID_OVERRIDE",$C43,"DEEP_BROKER_ID_OVERRIDE",K$24,"DEEP_PERIOD_OVERRIDE",$H$19)*1,"")))</f>
        <v/>
      </c>
      <c r="L43" s="17" t="str">
        <f>IF(OR(L$23="",ISNA($B43)),"",IF(ISBLANK($B43),"",IFERROR(_xll.BDP(TICKER,"DEEP_MEASURE_PERIOD_BROKER_VALUE","DEEP_MEASURE_ID_OVERRIDE",$C43,"DEEP_BROKER_ID_OVERRIDE",L$24,"DEEP_PERIOD_OVERRIDE",$H$19)*1,"")))</f>
        <v/>
      </c>
      <c r="M43" s="17" t="str">
        <f>IF(OR(M$23="",ISNA($B43)),"",IF(ISBLANK($B43),"",IFERROR(_xll.BDP(TICKER,"DEEP_MEASURE_PERIOD_BROKER_VALUE","DEEP_MEASURE_ID_OVERRIDE",$C43,"DEEP_BROKER_ID_OVERRIDE",M$24,"DEEP_PERIOD_OVERRIDE",$H$19)*1,"")))</f>
        <v/>
      </c>
      <c r="N43" s="17" t="str">
        <f>IF(OR(N$23="",ISNA($B43)),"",IF(ISBLANK($B43),"",IFERROR(_xll.BDP(TICKER,"DEEP_MEASURE_PERIOD_BROKER_VALUE","DEEP_MEASURE_ID_OVERRIDE",$C43,"DEEP_BROKER_ID_OVERRIDE",N$24,"DEEP_PERIOD_OVERRIDE",$H$19)*1,"")))</f>
        <v/>
      </c>
      <c r="O43" s="17" t="str">
        <f>IF(OR(O$23="",ISNA($B43)),"",IF(ISBLANK($B43),"",IFERROR(_xll.BDP(TICKER,"DEEP_MEASURE_PERIOD_BROKER_VALUE","DEEP_MEASURE_ID_OVERRIDE",$C43,"DEEP_BROKER_ID_OVERRIDE",O$24,"DEEP_PERIOD_OVERRIDE",$H$19)*1,"")))</f>
        <v/>
      </c>
      <c r="P43" s="17" t="str">
        <f>IF(OR(P$23="",ISNA($B43)),"",IF(ISBLANK($B43),"",IFERROR(_xll.BDP(TICKER,"DEEP_MEASURE_PERIOD_BROKER_VALUE","DEEP_MEASURE_ID_OVERRIDE",$C43,"DEEP_BROKER_ID_OVERRIDE",P$24,"DEEP_PERIOD_OVERRIDE",$H$19)*1,"")))</f>
        <v/>
      </c>
      <c r="Q43" s="17" t="str">
        <f>IF(OR(Q$23="",ISNA($B43)),"",IF(ISBLANK($B43),"",IFERROR(_xll.BDP(TICKER,"DEEP_MEASURE_PERIOD_BROKER_VALUE","DEEP_MEASURE_ID_OVERRIDE",$C43,"DEEP_BROKER_ID_OVERRIDE",Q$24,"DEEP_PERIOD_OVERRIDE",$H$19)*1,"")))</f>
        <v/>
      </c>
      <c r="R43" s="17" t="str">
        <f>IF(OR(R$23="",ISNA($B43)),"",IF(ISBLANK($B43),"",IFERROR(_xll.BDP(TICKER,"DEEP_MEASURE_PERIOD_BROKER_VALUE","DEEP_MEASURE_ID_OVERRIDE",$C43,"DEEP_BROKER_ID_OVERRIDE",R$24,"DEEP_PERIOD_OVERRIDE",$H$19)*1,"")))</f>
        <v/>
      </c>
      <c r="S43" s="17" t="str">
        <f>IF(OR(S$23="",ISNA($B43)),"",IF(ISBLANK($B43),"",IFERROR(_xll.BDP(TICKER,"DEEP_MEASURE_PERIOD_BROKER_VALUE","DEEP_MEASURE_ID_OVERRIDE",$C43,"DEEP_BROKER_ID_OVERRIDE",S$24,"DEEP_PERIOD_OVERRIDE",$H$19)*1,"")))</f>
        <v/>
      </c>
      <c r="T43" s="17" t="str">
        <f>IF(OR(T$23="",ISNA($B43)),"",IF(ISBLANK($B43),"",IFERROR(_xll.BDP(TICKER,"DEEP_MEASURE_PERIOD_BROKER_VALUE","DEEP_MEASURE_ID_OVERRIDE",$C43,"DEEP_BROKER_ID_OVERRIDE",T$24,"DEEP_PERIOD_OVERRIDE",$H$19)*1,"")))</f>
        <v/>
      </c>
      <c r="U43" s="17" t="str">
        <f>IF(OR(U$23="",ISNA($B43)),"",IF(ISBLANK($B43),"",IFERROR(_xll.BDP(TICKER,"DEEP_MEASURE_PERIOD_BROKER_VALUE","DEEP_MEASURE_ID_OVERRIDE",$C43,"DEEP_BROKER_ID_OVERRIDE",U$24,"DEEP_PERIOD_OVERRIDE",$H$19)*1,"")))</f>
        <v/>
      </c>
      <c r="V43" s="17" t="str">
        <f>IF(OR(V$23="",ISNA($B43)),"",IF(ISBLANK($B43),"",IFERROR(_xll.BDP(TICKER,"DEEP_MEASURE_PERIOD_BROKER_VALUE","DEEP_MEASURE_ID_OVERRIDE",$C43,"DEEP_BROKER_ID_OVERRIDE",V$24,"DEEP_PERIOD_OVERRIDE",$H$19)*1,"")))</f>
        <v/>
      </c>
      <c r="W43" s="17" t="str">
        <f>IF(OR(W$23="",ISNA($B43)),"",IF(ISBLANK($B43),"",IFERROR(_xll.BDP(TICKER,"DEEP_MEASURE_PERIOD_BROKER_VALUE","DEEP_MEASURE_ID_OVERRIDE",$C43,"DEEP_BROKER_ID_OVERRIDE",W$24,"DEEP_PERIOD_OVERRIDE",$H$19)*1,"")))</f>
        <v/>
      </c>
      <c r="X43" s="17" t="str">
        <f>IF(OR(X$23="",ISNA($B43)),"",IF(ISBLANK($B43),"",IFERROR(_xll.BDP(TICKER,"DEEP_MEASURE_PERIOD_BROKER_VALUE","DEEP_MEASURE_ID_OVERRIDE",$C43,"DEEP_BROKER_ID_OVERRIDE",X$24,"DEEP_PERIOD_OVERRIDE",$H$19)*1,"")))</f>
        <v/>
      </c>
      <c r="Y43" s="17" t="str">
        <f>IF(OR(Y$23="",ISNA($B43)),"",IF(ISBLANK($B43),"",IFERROR(_xll.BDP(TICKER,"DEEP_MEASURE_PERIOD_BROKER_VALUE","DEEP_MEASURE_ID_OVERRIDE",$C43,"DEEP_BROKER_ID_OVERRIDE",Y$24,"DEEP_PERIOD_OVERRIDE",$H$19)*1,"")))</f>
        <v/>
      </c>
      <c r="Z43" s="17" t="str">
        <f>IF(OR(Z$23="",ISNA($B43)),"",IF(ISBLANK($B43),"",IFERROR(_xll.BDP(TICKER,"DEEP_MEASURE_PERIOD_BROKER_VALUE","DEEP_MEASURE_ID_OVERRIDE",$C43,"DEEP_BROKER_ID_OVERRIDE",Z$24,"DEEP_PERIOD_OVERRIDE",$H$19)*1,"")))</f>
        <v/>
      </c>
      <c r="AA43" s="17" t="str">
        <f>IF(OR(AA$23="",ISNA($B43)),"",IF(ISBLANK($B43),"",IFERROR(_xll.BDP(TICKER,"DEEP_MEASURE_PERIOD_BROKER_VALUE","DEEP_MEASURE_ID_OVERRIDE",$C43,"DEEP_BROKER_ID_OVERRIDE",AA$24,"DEEP_PERIOD_OVERRIDE",$H$19)*1,"")))</f>
        <v/>
      </c>
      <c r="AB43" s="17" t="str">
        <f>IF(OR(AB$23="",ISNA($B43)),"",IF(ISBLANK($B43),"",IFERROR(_xll.BDP(TICKER,"DEEP_MEASURE_PERIOD_BROKER_VALUE","DEEP_MEASURE_ID_OVERRIDE",$C43,"DEEP_BROKER_ID_OVERRIDE",AB$24,"DEEP_PERIOD_OVERRIDE",$H$19)*1,"")))</f>
        <v/>
      </c>
      <c r="AC43" s="17" t="str">
        <f>IF(OR(AC$23="",ISNA($B43)),"",IF(ISBLANK($B43),"",IFERROR(_xll.BDP(TICKER,"DEEP_MEASURE_PERIOD_BROKER_VALUE","DEEP_MEASURE_ID_OVERRIDE",$C43,"DEEP_BROKER_ID_OVERRIDE",AC$24,"DEEP_PERIOD_OVERRIDE",$H$19)*1,"")))</f>
        <v/>
      </c>
      <c r="AD43" s="17" t="str">
        <f>IF(OR(AD$23="",ISNA($B43)),"",IF(ISBLANK($B43),"",IFERROR(_xll.BDP(TICKER,"DEEP_MEASURE_PERIOD_BROKER_VALUE","DEEP_MEASURE_ID_OVERRIDE",$C43,"DEEP_BROKER_ID_OVERRIDE",AD$24,"DEEP_PERIOD_OVERRIDE",$H$19)*1,"")))</f>
        <v/>
      </c>
      <c r="AE43" s="17" t="str">
        <f>IF(OR(AE$23="",ISNA($B43)),"",IF(ISBLANK($B43),"",IFERROR(_xll.BDP(TICKER,"DEEP_MEASURE_PERIOD_BROKER_VALUE","DEEP_MEASURE_ID_OVERRIDE",$C43,"DEEP_BROKER_ID_OVERRIDE",AE$24,"DEEP_PERIOD_OVERRIDE",$H$19)*1,"")))</f>
        <v/>
      </c>
      <c r="AF43" s="17" t="str">
        <f>IF(OR(AF$23="",ISNA($B43)),"",IF(ISBLANK($B43),"",IFERROR(_xll.BDP(TICKER,"DEEP_MEASURE_PERIOD_BROKER_VALUE","DEEP_MEASURE_ID_OVERRIDE",$C43,"DEEP_BROKER_ID_OVERRIDE",AF$24,"DEEP_PERIOD_OVERRIDE",$H$19)*1,"")))</f>
        <v/>
      </c>
      <c r="AG43" s="17" t="str">
        <f>IF(OR(AG$23="",ISNA($B43)),"",IF(ISBLANK($B43),"",IFERROR(_xll.BDP(TICKER,"DEEP_MEASURE_PERIOD_BROKER_VALUE","DEEP_MEASURE_ID_OVERRIDE",$C43,"DEEP_BROKER_ID_OVERRIDE",AG$24,"DEEP_PERIOD_OVERRIDE",$H$19)*1,"")))</f>
        <v/>
      </c>
      <c r="AH43" s="17" t="str">
        <f>IF(OR(AH$23="",ISNA($B43)),"",IF(ISBLANK($B43),"",IFERROR(_xll.BDP(TICKER,"DEEP_MEASURE_PERIOD_BROKER_VALUE","DEEP_MEASURE_ID_OVERRIDE",$C43,"DEEP_BROKER_ID_OVERRIDE",AH$24,"DEEP_PERIOD_OVERRIDE",$H$19)*1,"")))</f>
        <v/>
      </c>
      <c r="AI43" s="17" t="str">
        <f>IF(OR(AI$23="",ISNA($B43)),"",IF(ISBLANK($B43),"",IFERROR(_xll.BDP(TICKER,"DEEP_MEASURE_PERIOD_BROKER_VALUE","DEEP_MEASURE_ID_OVERRIDE",$C43,"DEEP_BROKER_ID_OVERRIDE",AI$24,"DEEP_PERIOD_OVERRIDE",$H$19)*1,"")))</f>
        <v/>
      </c>
      <c r="AJ43" s="17" t="str">
        <f>IF(OR(AJ$23="",ISNA($B43)),"",IF(ISBLANK($B43),"",IFERROR(_xll.BDP(TICKER,"DEEP_MEASURE_PERIOD_BROKER_VALUE","DEEP_MEASURE_ID_OVERRIDE",$C43,"DEEP_BROKER_ID_OVERRIDE",AJ$24,"DEEP_PERIOD_OVERRIDE",$H$19)*1,"")))</f>
        <v/>
      </c>
      <c r="AK43" s="17" t="str">
        <f>IF(OR(AK$23="",ISNA($B43)),"",IF(ISBLANK($B43),"",IFERROR(_xll.BDP(TICKER,"DEEP_MEASURE_PERIOD_BROKER_VALUE","DEEP_MEASURE_ID_OVERRIDE",$C43,"DEEP_BROKER_ID_OVERRIDE",AK$24,"DEEP_PERIOD_OVERRIDE",$H$19)*1,"")))</f>
        <v/>
      </c>
      <c r="AL43" s="17" t="str">
        <f>IF(OR(AL$23="",ISNA($B43)),"",IF(ISBLANK($B43),"",IFERROR(_xll.BDP(TICKER,"DEEP_MEASURE_PERIOD_BROKER_VALUE","DEEP_MEASURE_ID_OVERRIDE",$C43,"DEEP_BROKER_ID_OVERRIDE",AL$24,"DEEP_PERIOD_OVERRIDE",$H$19)*1,"")))</f>
        <v/>
      </c>
      <c r="AM43" s="17" t="str">
        <f>IF(OR(AM$23="",ISNA($B43)),"",IF(ISBLANK($B43),"",IFERROR(_xll.BDP(TICKER,"DEEP_MEASURE_PERIOD_BROKER_VALUE","DEEP_MEASURE_ID_OVERRIDE",$C43,"DEEP_BROKER_ID_OVERRIDE",AM$24,"DEEP_PERIOD_OVERRIDE",$H$19)*1,"")))</f>
        <v/>
      </c>
      <c r="AN43" s="17" t="str">
        <f>IF(OR(AN$23="",ISNA($B43)),"",IF(ISBLANK($B43),"",IFERROR(_xll.BDP(TICKER,"DEEP_MEASURE_PERIOD_BROKER_VALUE","DEEP_MEASURE_ID_OVERRIDE",$C43,"DEEP_BROKER_ID_OVERRIDE",AN$24,"DEEP_PERIOD_OVERRIDE",$H$19)*1,"")))</f>
        <v/>
      </c>
      <c r="AO43" s="17" t="str">
        <f>IF(OR(AO$23="",ISNA($B43)),"",IF(ISBLANK($B43),"",IFERROR(_xll.BDP(TICKER,"DEEP_MEASURE_PERIOD_BROKER_VALUE","DEEP_MEASURE_ID_OVERRIDE",$C43,"DEEP_BROKER_ID_OVERRIDE",AO$24,"DEEP_PERIOD_OVERRIDE",$H$19)*1,"")))</f>
        <v/>
      </c>
      <c r="AP43" s="17" t="str">
        <f>IF(OR(AP$23="",ISNA($B43)),"",IF(ISBLANK($B43),"",IFERROR(_xll.BDP(TICKER,"DEEP_MEASURE_PERIOD_BROKER_VALUE","DEEP_MEASURE_ID_OVERRIDE",$C43,"DEEP_BROKER_ID_OVERRIDE",AP$24,"DEEP_PERIOD_OVERRIDE",$H$19)*1,"")))</f>
        <v/>
      </c>
      <c r="AQ43" s="17" t="str">
        <f>IF(OR(AQ$23="",ISNA($B43)),"",IF(ISBLANK($B43),"",IFERROR(_xll.BDP(TICKER,"DEEP_MEASURE_PERIOD_BROKER_VALUE","DEEP_MEASURE_ID_OVERRIDE",$C43,"DEEP_BROKER_ID_OVERRIDE",AQ$24,"DEEP_PERIOD_OVERRIDE",$H$19)*1,"")))</f>
        <v/>
      </c>
      <c r="AR43" s="17" t="str">
        <f>IF(OR(AR$23="",ISNA($B43)),"",IF(ISBLANK($B43),"",IFERROR(_xll.BDP(TICKER,"DEEP_MEASURE_PERIOD_BROKER_VALUE","DEEP_MEASURE_ID_OVERRIDE",$C43,"DEEP_BROKER_ID_OVERRIDE",AR$24,"DEEP_PERIOD_OVERRIDE",$H$19)*1,"")))</f>
        <v/>
      </c>
      <c r="AS43" s="17" t="str">
        <f>IF(OR(AS$23="",ISNA($B43)),"",IF(ISBLANK($B43),"",IFERROR(_xll.BDP(TICKER,"DEEP_MEASURE_PERIOD_BROKER_VALUE","DEEP_MEASURE_ID_OVERRIDE",$C43,"DEEP_BROKER_ID_OVERRIDE",AS$24,"DEEP_PERIOD_OVERRIDE",$H$19)*1,"")))</f>
        <v/>
      </c>
      <c r="AT43" s="17" t="str">
        <f>IF(OR(AT$23="",ISNA($B43)),"",IF(ISBLANK($B43),"",IFERROR(_xll.BDP(TICKER,"DEEP_MEASURE_PERIOD_BROKER_VALUE","DEEP_MEASURE_ID_OVERRIDE",$C43,"DEEP_BROKER_ID_OVERRIDE",AT$24,"DEEP_PERIOD_OVERRIDE",$H$19)*1,"")))</f>
        <v/>
      </c>
      <c r="AU43" s="17" t="str">
        <f>IF(OR(AU$23="",ISNA($B43)),"",IF(ISBLANK($B43),"",IFERROR(_xll.BDP(TICKER,"DEEP_MEASURE_PERIOD_BROKER_VALUE","DEEP_MEASURE_ID_OVERRIDE",$C43,"DEEP_BROKER_ID_OVERRIDE",AU$24,"DEEP_PERIOD_OVERRIDE",$H$19)*1,"")))</f>
        <v/>
      </c>
      <c r="AV43" s="17" t="str">
        <f>IF(OR(AV$23="",ISNA($B43)),"",IF(ISBLANK($B43),"",IFERROR(_xll.BDP(TICKER,"DEEP_MEASURE_PERIOD_BROKER_VALUE","DEEP_MEASURE_ID_OVERRIDE",$C43,"DEEP_BROKER_ID_OVERRIDE",AV$24,"DEEP_PERIOD_OVERRIDE",$H$19)*1,"")))</f>
        <v/>
      </c>
      <c r="AW43" s="17" t="str">
        <f>IF(OR(AW$23="",ISNA($B43)),"",IF(ISBLANK($B43),"",IFERROR(_xll.BDP(TICKER,"DEEP_MEASURE_PERIOD_BROKER_VALUE","DEEP_MEASURE_ID_OVERRIDE",$C43,"DEEP_BROKER_ID_OVERRIDE",AW$24,"DEEP_PERIOD_OVERRIDE",$H$19)*1,"")))</f>
        <v/>
      </c>
      <c r="AX43" s="17" t="str">
        <f>IF(OR(AX$23="",ISNA($B43)),"",IF(ISBLANK($B43),"",IFERROR(_xll.BDP(TICKER,"DEEP_MEASURE_PERIOD_BROKER_VALUE","DEEP_MEASURE_ID_OVERRIDE",$C43,"DEEP_BROKER_ID_OVERRIDE",AX$24,"DEEP_PERIOD_OVERRIDE",$H$19)*1,"")))</f>
        <v/>
      </c>
      <c r="AY43" s="17" t="str">
        <f>IF(OR(AY$23="",ISNA($B43)),"",IF(ISBLANK($B43),"",IFERROR(_xll.BDP(TICKER,"DEEP_MEASURE_PERIOD_BROKER_VALUE","DEEP_MEASURE_ID_OVERRIDE",$C43,"DEEP_BROKER_ID_OVERRIDE",AY$24,"DEEP_PERIOD_OVERRIDE",$H$19)*1,"")))</f>
        <v/>
      </c>
      <c r="AZ43" s="17" t="str">
        <f>IF(OR(AZ$23="",ISNA($B43)),"",IF(ISBLANK($B43),"",IFERROR(_xll.BDP(TICKER,"DEEP_MEASURE_PERIOD_BROKER_VALUE","DEEP_MEASURE_ID_OVERRIDE",$C43,"DEEP_BROKER_ID_OVERRIDE",AZ$24,"DEEP_PERIOD_OVERRIDE",$H$19)*1,"")))</f>
        <v/>
      </c>
      <c r="BA43" s="17" t="str">
        <f>IF(OR(BA$23="",ISNA($B43)),"",IF(ISBLANK($B43),"",IFERROR(_xll.BDP(TICKER,"DEEP_MEASURE_PERIOD_BROKER_VALUE","DEEP_MEASURE_ID_OVERRIDE",$C43,"DEEP_BROKER_ID_OVERRIDE",BA$24,"DEEP_PERIOD_OVERRIDE",$H$19)*1,"")))</f>
        <v/>
      </c>
      <c r="BB43" s="17" t="str">
        <f>IF(OR(BB$23="",ISNA($B43)),"",IF(ISBLANK($B43),"",IFERROR(_xll.BDP(TICKER,"DEEP_MEASURE_PERIOD_BROKER_VALUE","DEEP_MEASURE_ID_OVERRIDE",$C43,"DEEP_BROKER_ID_OVERRIDE",BB$24,"DEEP_PERIOD_OVERRIDE",$H$19)*1,"")))</f>
        <v/>
      </c>
      <c r="BC43" s="17" t="str">
        <f>IF(OR(BC$23="",ISNA($B43)),"",IF(ISBLANK($B43),"",IFERROR(_xll.BDP(TICKER,"DEEP_MEASURE_PERIOD_BROKER_VALUE","DEEP_MEASURE_ID_OVERRIDE",$C43,"DEEP_BROKER_ID_OVERRIDE",BC$24,"DEEP_PERIOD_OVERRIDE",$H$19)*1,"")))</f>
        <v/>
      </c>
      <c r="BD43" s="17" t="str">
        <f>IF(OR(BD$23="",ISNA($B43)),"",IF(ISBLANK($B43),"",IFERROR(_xll.BDP(TICKER,"DEEP_MEASURE_PERIOD_BROKER_VALUE","DEEP_MEASURE_ID_OVERRIDE",$C43,"DEEP_BROKER_ID_OVERRIDE",BD$24,"DEEP_PERIOD_OVERRIDE",$H$19)*1,"")))</f>
        <v/>
      </c>
      <c r="BE43" s="17" t="str">
        <f>IF(OR(BE$23="",ISNA($B43)),"",IF(ISBLANK($B43),"",IFERROR(_xll.BDP(TICKER,"DEEP_MEASURE_PERIOD_BROKER_VALUE","DEEP_MEASURE_ID_OVERRIDE",$C43,"DEEP_BROKER_ID_OVERRIDE",BE$24,"DEEP_PERIOD_OVERRIDE",$H$19)*1,"")))</f>
        <v/>
      </c>
      <c r="BF43" s="17" t="str">
        <f>IF(OR(BF$23="",ISNA($B43)),"",IF(ISBLANK($B43),"",IFERROR(_xll.BDP(TICKER,"DEEP_MEASURE_PERIOD_BROKER_VALUE","DEEP_MEASURE_ID_OVERRIDE",$C43,"DEEP_BROKER_ID_OVERRIDE",BF$24,"DEEP_PERIOD_OVERRIDE",$H$19)*1,"")))</f>
        <v/>
      </c>
      <c r="BG43" s="17" t="str">
        <f>IF(OR(BG$23="",ISNA($B43)),"",IF(ISBLANK($B43),"",IFERROR(_xll.BDP(TICKER,"DEEP_MEASURE_PERIOD_BROKER_VALUE","DEEP_MEASURE_ID_OVERRIDE",$C43,"DEEP_BROKER_ID_OVERRIDE",BG$24,"DEEP_PERIOD_OVERRIDE",$H$19)*1,"")))</f>
        <v/>
      </c>
      <c r="BH43" s="17" t="str">
        <f>IF(OR(BH$23="",ISNA($B43)),"",IF(ISBLANK($B43),"",IFERROR(_xll.BDP(TICKER,"DEEP_MEASURE_PERIOD_BROKER_VALUE","DEEP_MEASURE_ID_OVERRIDE",$C43,"DEEP_BROKER_ID_OVERRIDE",BH$24,"DEEP_PERIOD_OVERRIDE",$H$19)*1,"")))</f>
        <v/>
      </c>
      <c r="BI43" s="17" t="str">
        <f>IF(OR(BI$23="",ISNA($B43)),"",IF(ISBLANK($B43),"",IFERROR(_xll.BDP(TICKER,"DEEP_MEASURE_PERIOD_BROKER_VALUE","DEEP_MEASURE_ID_OVERRIDE",$C43,"DEEP_BROKER_ID_OVERRIDE",BI$24,"DEEP_PERIOD_OVERRIDE",$H$19)*1,"")))</f>
        <v/>
      </c>
      <c r="BJ43" s="17" t="str">
        <f>IF(OR(BJ$23="",ISNA($B43)),"",IF(ISBLANK($B43),"",IFERROR(_xll.BDP(TICKER,"DEEP_MEASURE_PERIOD_BROKER_VALUE","DEEP_MEASURE_ID_OVERRIDE",$C43,"DEEP_BROKER_ID_OVERRIDE",BJ$24,"DEEP_PERIOD_OVERRIDE",$H$19)*1,"")))</f>
        <v/>
      </c>
      <c r="BK43" s="17" t="str">
        <f>IF(OR(BK$23="",ISNA($B43)),"",IF(ISBLANK($B43),"",IFERROR(_xll.BDP(TICKER,"DEEP_MEASURE_PERIOD_BROKER_VALUE","DEEP_MEASURE_ID_OVERRIDE",$C43,"DEEP_BROKER_ID_OVERRIDE",BK$24,"DEEP_PERIOD_OVERRIDE",$H$19)*1,"")))</f>
        <v/>
      </c>
      <c r="BL43" s="17" t="str">
        <f>IF(OR(BL$23="",ISNA($B43)),"",IF(ISBLANK($B43),"",IFERROR(_xll.BDP(TICKER,"DEEP_MEASURE_PERIOD_BROKER_VALUE","DEEP_MEASURE_ID_OVERRIDE",$C43,"DEEP_BROKER_ID_OVERRIDE",BL$24,"DEEP_PERIOD_OVERRIDE",$H$19)*1,"")))</f>
        <v/>
      </c>
      <c r="BM43" s="17" t="str">
        <f>IF(OR(BM$23="",ISNA($B43)),"",IF(ISBLANK($B43),"",IFERROR(_xll.BDP(TICKER,"DEEP_MEASURE_PERIOD_BROKER_VALUE","DEEP_MEASURE_ID_OVERRIDE",$C43,"DEEP_BROKER_ID_OVERRIDE",BM$24,"DEEP_PERIOD_OVERRIDE",$H$19)*1,"")))</f>
        <v/>
      </c>
      <c r="BN43" s="17" t="str">
        <f>IF(OR(BN$23="",ISNA($B43)),"",IF(ISBLANK($B43),"",IFERROR(_xll.BDP(TICKER,"DEEP_MEASURE_PERIOD_BROKER_VALUE","DEEP_MEASURE_ID_OVERRIDE",$C43,"DEEP_BROKER_ID_OVERRIDE",BN$24,"DEEP_PERIOD_OVERRIDE",$H$19)*1,"")))</f>
        <v/>
      </c>
      <c r="BO43" s="17" t="str">
        <f>IF(OR(BO$23="",ISNA($B43)),"",IF(ISBLANK($B43),"",IFERROR(_xll.BDP(TICKER,"DEEP_MEASURE_PERIOD_BROKER_VALUE","DEEP_MEASURE_ID_OVERRIDE",$C43,"DEEP_BROKER_ID_OVERRIDE",BO$24,"DEEP_PERIOD_OVERRIDE",$H$19)*1,"")))</f>
        <v/>
      </c>
      <c r="BP43" s="17" t="str">
        <f>IF(OR(BP$23="",ISNA($B43)),"",IF(ISBLANK($B43),"",IFERROR(_xll.BDP(TICKER,"DEEP_MEASURE_PERIOD_BROKER_VALUE","DEEP_MEASURE_ID_OVERRIDE",$C43,"DEEP_BROKER_ID_OVERRIDE",BP$24,"DEEP_PERIOD_OVERRIDE",$H$19)*1,"")))</f>
        <v/>
      </c>
      <c r="BQ43" s="17" t="str">
        <f>IF(OR(BQ$23="",ISNA($B43)),"",IF(ISBLANK($B43),"",IFERROR(_xll.BDP(TICKER,"DEEP_MEASURE_PERIOD_BROKER_VALUE","DEEP_MEASURE_ID_OVERRIDE",$C43,"DEEP_BROKER_ID_OVERRIDE",BQ$24,"DEEP_PERIOD_OVERRIDE",$H$19)*1,"")))</f>
        <v/>
      </c>
      <c r="BR43" s="17" t="str">
        <f>IF(OR(BR$23="",ISNA($B43)),"",IF(ISBLANK($B43),"",IFERROR(_xll.BDP(TICKER,"DEEP_MEASURE_PERIOD_BROKER_VALUE","DEEP_MEASURE_ID_OVERRIDE",$C43,"DEEP_BROKER_ID_OVERRIDE",BR$24,"DEEP_PERIOD_OVERRIDE",$H$19)*1,"")))</f>
        <v/>
      </c>
      <c r="BS43" s="17" t="str">
        <f>IF(OR(BS$23="",ISNA($B43)),"",IF(ISBLANK($B43),"",IFERROR(_xll.BDP(TICKER,"DEEP_MEASURE_PERIOD_BROKER_VALUE","DEEP_MEASURE_ID_OVERRIDE",$C43,"DEEP_BROKER_ID_OVERRIDE",BS$24,"DEEP_PERIOD_OVERRIDE",$H$19)*1,"")))</f>
        <v/>
      </c>
      <c r="BT43" s="17" t="str">
        <f>IF(OR(BT$23="",ISNA($B43)),"",IF(ISBLANK($B43),"",IFERROR(_xll.BDP(TICKER,"DEEP_MEASURE_PERIOD_BROKER_VALUE","DEEP_MEASURE_ID_OVERRIDE",$C43,"DEEP_BROKER_ID_OVERRIDE",BT$24,"DEEP_PERIOD_OVERRIDE",$H$19)*1,"")))</f>
        <v/>
      </c>
      <c r="BU43" s="17" t="str">
        <f>IF(OR(BU$23="",ISNA($B43)),"",IF(ISBLANK($B43),"",IFERROR(_xll.BDP(TICKER,"DEEP_MEASURE_PERIOD_BROKER_VALUE","DEEP_MEASURE_ID_OVERRIDE",$C43,"DEEP_BROKER_ID_OVERRIDE",BU$24,"DEEP_PERIOD_OVERRIDE",$H$19)*1,"")))</f>
        <v/>
      </c>
      <c r="BV43" s="17" t="str">
        <f>IF(OR(BV$23="",ISNA($B43)),"",IF(ISBLANK($B43),"",IFERROR(_xll.BDP(TICKER,"DEEP_MEASURE_PERIOD_BROKER_VALUE","DEEP_MEASURE_ID_OVERRIDE",$C43,"DEEP_BROKER_ID_OVERRIDE",BV$24,"DEEP_PERIOD_OVERRIDE",$H$19)*1,"")))</f>
        <v/>
      </c>
      <c r="BW43" s="17" t="str">
        <f>IF(OR(BW$23="",ISNA($B43)),"",IF(ISBLANK($B43),"",IFERROR(_xll.BDP(TICKER,"DEEP_MEASURE_PERIOD_BROKER_VALUE","DEEP_MEASURE_ID_OVERRIDE",$C43,"DEEP_BROKER_ID_OVERRIDE",BW$24,"DEEP_PERIOD_OVERRIDE",$H$19)*1,"")))</f>
        <v/>
      </c>
      <c r="BX43" s="17" t="str">
        <f>IF(OR(BX$23="",ISNA($B43)),"",IF(ISBLANK($B43),"",IFERROR(_xll.BDP(TICKER,"DEEP_MEASURE_PERIOD_BROKER_VALUE","DEEP_MEASURE_ID_OVERRIDE",$C43,"DEEP_BROKER_ID_OVERRIDE",BX$24,"DEEP_PERIOD_OVERRIDE",$H$19)*1,"")))</f>
        <v/>
      </c>
      <c r="BY43" s="17" t="str">
        <f>IF(OR(BY$23="",ISNA($B43)),"",IF(ISBLANK($B43),"",IFERROR(_xll.BDP(TICKER,"DEEP_MEASURE_PERIOD_BROKER_VALUE","DEEP_MEASURE_ID_OVERRIDE",$C43,"DEEP_BROKER_ID_OVERRIDE",BY$24,"DEEP_PERIOD_OVERRIDE",$H$19)*1,"")))</f>
        <v/>
      </c>
      <c r="BZ43" s="17" t="str">
        <f>IF(OR(BZ$23="",ISNA($B43)),"",IF(ISBLANK($B43),"",IFERROR(_xll.BDP(TICKER,"DEEP_MEASURE_PERIOD_BROKER_VALUE","DEEP_MEASURE_ID_OVERRIDE",$C43,"DEEP_BROKER_ID_OVERRIDE",BZ$24,"DEEP_PERIOD_OVERRIDE",$H$19)*1,"")))</f>
        <v/>
      </c>
    </row>
    <row r="44" spans="2:78" x14ac:dyDescent="0.25">
      <c r="B44" t="s">
        <v>91</v>
      </c>
      <c r="C44" s="11">
        <v>9839</v>
      </c>
      <c r="H44" t="str">
        <f t="shared" si="1"/>
        <v>Hotels, Media &amp; Platform &gt; EBITDA</v>
      </c>
      <c r="I44" t="str">
        <f>IF(OR(I$23="",ISNA($B44)),"",IF(ISBLANK($B44),"",IFERROR(_xll.BDP(TICKER,"DEEP_MEASURE_PERIOD_BROKER_VALUE","DEEP_MEASURE_ID_OVERRIDE",$C44,"DEEP_PERIOD_OVERRIDE",$H$19)*1,"")))</f>
        <v/>
      </c>
      <c r="J44" t="e">
        <f>IF(OR(J$23="",ISNA($B44)),"",IF(ISBLANK($B44),"",IFERROR(_xll.BDP(TICKER,"DEEP_MEASURE_PERIOD_BROKER_VALUE","DEEP_MEASURE_ID_OVERRIDE",$C44,"DEEP_BROKER_ID_OVERRIDE",J$24,"DEEP_PERIOD_OVERRIDE",$H$19)*1,"")))</f>
        <v>#REF!</v>
      </c>
      <c r="K44" s="17" t="str">
        <f>IF(OR(K$23="",ISNA($B44)),"",IF(ISBLANK($B44),"",IFERROR(_xll.BDP(TICKER,"DEEP_MEASURE_PERIOD_BROKER_VALUE","DEEP_MEASURE_ID_OVERRIDE",$C44,"DEEP_BROKER_ID_OVERRIDE",K$24,"DEEP_PERIOD_OVERRIDE",$H$19)*1,"")))</f>
        <v/>
      </c>
      <c r="L44" s="17" t="str">
        <f>IF(OR(L$23="",ISNA($B44)),"",IF(ISBLANK($B44),"",IFERROR(_xll.BDP(TICKER,"DEEP_MEASURE_PERIOD_BROKER_VALUE","DEEP_MEASURE_ID_OVERRIDE",$C44,"DEEP_BROKER_ID_OVERRIDE",L$24,"DEEP_PERIOD_OVERRIDE",$H$19)*1,"")))</f>
        <v/>
      </c>
      <c r="M44" s="17" t="str">
        <f>IF(OR(M$23="",ISNA($B44)),"",IF(ISBLANK($B44),"",IFERROR(_xll.BDP(TICKER,"DEEP_MEASURE_PERIOD_BROKER_VALUE","DEEP_MEASURE_ID_OVERRIDE",$C44,"DEEP_BROKER_ID_OVERRIDE",M$24,"DEEP_PERIOD_OVERRIDE",$H$19)*1,"")))</f>
        <v/>
      </c>
      <c r="N44" s="17" t="str">
        <f>IF(OR(N$23="",ISNA($B44)),"",IF(ISBLANK($B44),"",IFERROR(_xll.BDP(TICKER,"DEEP_MEASURE_PERIOD_BROKER_VALUE","DEEP_MEASURE_ID_OVERRIDE",$C44,"DEEP_BROKER_ID_OVERRIDE",N$24,"DEEP_PERIOD_OVERRIDE",$H$19)*1,"")))</f>
        <v/>
      </c>
      <c r="O44" s="17" t="str">
        <f>IF(OR(O$23="",ISNA($B44)),"",IF(ISBLANK($B44),"",IFERROR(_xll.BDP(TICKER,"DEEP_MEASURE_PERIOD_BROKER_VALUE","DEEP_MEASURE_ID_OVERRIDE",$C44,"DEEP_BROKER_ID_OVERRIDE",O$24,"DEEP_PERIOD_OVERRIDE",$H$19)*1,"")))</f>
        <v/>
      </c>
      <c r="P44" s="17" t="str">
        <f>IF(OR(P$23="",ISNA($B44)),"",IF(ISBLANK($B44),"",IFERROR(_xll.BDP(TICKER,"DEEP_MEASURE_PERIOD_BROKER_VALUE","DEEP_MEASURE_ID_OVERRIDE",$C44,"DEEP_BROKER_ID_OVERRIDE",P$24,"DEEP_PERIOD_OVERRIDE",$H$19)*1,"")))</f>
        <v/>
      </c>
      <c r="Q44" s="17" t="str">
        <f>IF(OR(Q$23="",ISNA($B44)),"",IF(ISBLANK($B44),"",IFERROR(_xll.BDP(TICKER,"DEEP_MEASURE_PERIOD_BROKER_VALUE","DEEP_MEASURE_ID_OVERRIDE",$C44,"DEEP_BROKER_ID_OVERRIDE",Q$24,"DEEP_PERIOD_OVERRIDE",$H$19)*1,"")))</f>
        <v/>
      </c>
      <c r="R44" s="17" t="str">
        <f>IF(OR(R$23="",ISNA($B44)),"",IF(ISBLANK($B44),"",IFERROR(_xll.BDP(TICKER,"DEEP_MEASURE_PERIOD_BROKER_VALUE","DEEP_MEASURE_ID_OVERRIDE",$C44,"DEEP_BROKER_ID_OVERRIDE",R$24,"DEEP_PERIOD_OVERRIDE",$H$19)*1,"")))</f>
        <v/>
      </c>
      <c r="S44" s="17" t="str">
        <f>IF(OR(S$23="",ISNA($B44)),"",IF(ISBLANK($B44),"",IFERROR(_xll.BDP(TICKER,"DEEP_MEASURE_PERIOD_BROKER_VALUE","DEEP_MEASURE_ID_OVERRIDE",$C44,"DEEP_BROKER_ID_OVERRIDE",S$24,"DEEP_PERIOD_OVERRIDE",$H$19)*1,"")))</f>
        <v/>
      </c>
      <c r="T44" s="17" t="str">
        <f>IF(OR(T$23="",ISNA($B44)),"",IF(ISBLANK($B44),"",IFERROR(_xll.BDP(TICKER,"DEEP_MEASURE_PERIOD_BROKER_VALUE","DEEP_MEASURE_ID_OVERRIDE",$C44,"DEEP_BROKER_ID_OVERRIDE",T$24,"DEEP_PERIOD_OVERRIDE",$H$19)*1,"")))</f>
        <v/>
      </c>
      <c r="U44" s="17" t="str">
        <f>IF(OR(U$23="",ISNA($B44)),"",IF(ISBLANK($B44),"",IFERROR(_xll.BDP(TICKER,"DEEP_MEASURE_PERIOD_BROKER_VALUE","DEEP_MEASURE_ID_OVERRIDE",$C44,"DEEP_BROKER_ID_OVERRIDE",U$24,"DEEP_PERIOD_OVERRIDE",$H$19)*1,"")))</f>
        <v/>
      </c>
      <c r="V44" s="17" t="str">
        <f>IF(OR(V$23="",ISNA($B44)),"",IF(ISBLANK($B44),"",IFERROR(_xll.BDP(TICKER,"DEEP_MEASURE_PERIOD_BROKER_VALUE","DEEP_MEASURE_ID_OVERRIDE",$C44,"DEEP_BROKER_ID_OVERRIDE",V$24,"DEEP_PERIOD_OVERRIDE",$H$19)*1,"")))</f>
        <v/>
      </c>
      <c r="W44" s="17" t="str">
        <f>IF(OR(W$23="",ISNA($B44)),"",IF(ISBLANK($B44),"",IFERROR(_xll.BDP(TICKER,"DEEP_MEASURE_PERIOD_BROKER_VALUE","DEEP_MEASURE_ID_OVERRIDE",$C44,"DEEP_BROKER_ID_OVERRIDE",W$24,"DEEP_PERIOD_OVERRIDE",$H$19)*1,"")))</f>
        <v/>
      </c>
      <c r="X44" s="17" t="str">
        <f>IF(OR(X$23="",ISNA($B44)),"",IF(ISBLANK($B44),"",IFERROR(_xll.BDP(TICKER,"DEEP_MEASURE_PERIOD_BROKER_VALUE","DEEP_MEASURE_ID_OVERRIDE",$C44,"DEEP_BROKER_ID_OVERRIDE",X$24,"DEEP_PERIOD_OVERRIDE",$H$19)*1,"")))</f>
        <v/>
      </c>
      <c r="Y44" s="17" t="str">
        <f>IF(OR(Y$23="",ISNA($B44)),"",IF(ISBLANK($B44),"",IFERROR(_xll.BDP(TICKER,"DEEP_MEASURE_PERIOD_BROKER_VALUE","DEEP_MEASURE_ID_OVERRIDE",$C44,"DEEP_BROKER_ID_OVERRIDE",Y$24,"DEEP_PERIOD_OVERRIDE",$H$19)*1,"")))</f>
        <v/>
      </c>
      <c r="Z44" s="17" t="str">
        <f>IF(OR(Z$23="",ISNA($B44)),"",IF(ISBLANK($B44),"",IFERROR(_xll.BDP(TICKER,"DEEP_MEASURE_PERIOD_BROKER_VALUE","DEEP_MEASURE_ID_OVERRIDE",$C44,"DEEP_BROKER_ID_OVERRIDE",Z$24,"DEEP_PERIOD_OVERRIDE",$H$19)*1,"")))</f>
        <v/>
      </c>
      <c r="AA44" s="17" t="str">
        <f>IF(OR(AA$23="",ISNA($B44)),"",IF(ISBLANK($B44),"",IFERROR(_xll.BDP(TICKER,"DEEP_MEASURE_PERIOD_BROKER_VALUE","DEEP_MEASURE_ID_OVERRIDE",$C44,"DEEP_BROKER_ID_OVERRIDE",AA$24,"DEEP_PERIOD_OVERRIDE",$H$19)*1,"")))</f>
        <v/>
      </c>
      <c r="AB44" s="17" t="str">
        <f>IF(OR(AB$23="",ISNA($B44)),"",IF(ISBLANK($B44),"",IFERROR(_xll.BDP(TICKER,"DEEP_MEASURE_PERIOD_BROKER_VALUE","DEEP_MEASURE_ID_OVERRIDE",$C44,"DEEP_BROKER_ID_OVERRIDE",AB$24,"DEEP_PERIOD_OVERRIDE",$H$19)*1,"")))</f>
        <v/>
      </c>
      <c r="AC44" s="17" t="str">
        <f>IF(OR(AC$23="",ISNA($B44)),"",IF(ISBLANK($B44),"",IFERROR(_xll.BDP(TICKER,"DEEP_MEASURE_PERIOD_BROKER_VALUE","DEEP_MEASURE_ID_OVERRIDE",$C44,"DEEP_BROKER_ID_OVERRIDE",AC$24,"DEEP_PERIOD_OVERRIDE",$H$19)*1,"")))</f>
        <v/>
      </c>
      <c r="AD44" s="17" t="str">
        <f>IF(OR(AD$23="",ISNA($B44)),"",IF(ISBLANK($B44),"",IFERROR(_xll.BDP(TICKER,"DEEP_MEASURE_PERIOD_BROKER_VALUE","DEEP_MEASURE_ID_OVERRIDE",$C44,"DEEP_BROKER_ID_OVERRIDE",AD$24,"DEEP_PERIOD_OVERRIDE",$H$19)*1,"")))</f>
        <v/>
      </c>
      <c r="AE44" s="17" t="str">
        <f>IF(OR(AE$23="",ISNA($B44)),"",IF(ISBLANK($B44),"",IFERROR(_xll.BDP(TICKER,"DEEP_MEASURE_PERIOD_BROKER_VALUE","DEEP_MEASURE_ID_OVERRIDE",$C44,"DEEP_BROKER_ID_OVERRIDE",AE$24,"DEEP_PERIOD_OVERRIDE",$H$19)*1,"")))</f>
        <v/>
      </c>
      <c r="AF44" s="17" t="str">
        <f>IF(OR(AF$23="",ISNA($B44)),"",IF(ISBLANK($B44),"",IFERROR(_xll.BDP(TICKER,"DEEP_MEASURE_PERIOD_BROKER_VALUE","DEEP_MEASURE_ID_OVERRIDE",$C44,"DEEP_BROKER_ID_OVERRIDE",AF$24,"DEEP_PERIOD_OVERRIDE",$H$19)*1,"")))</f>
        <v/>
      </c>
      <c r="AG44" s="17" t="str">
        <f>IF(OR(AG$23="",ISNA($B44)),"",IF(ISBLANK($B44),"",IFERROR(_xll.BDP(TICKER,"DEEP_MEASURE_PERIOD_BROKER_VALUE","DEEP_MEASURE_ID_OVERRIDE",$C44,"DEEP_BROKER_ID_OVERRIDE",AG$24,"DEEP_PERIOD_OVERRIDE",$H$19)*1,"")))</f>
        <v/>
      </c>
      <c r="AH44" s="17" t="str">
        <f>IF(OR(AH$23="",ISNA($B44)),"",IF(ISBLANK($B44),"",IFERROR(_xll.BDP(TICKER,"DEEP_MEASURE_PERIOD_BROKER_VALUE","DEEP_MEASURE_ID_OVERRIDE",$C44,"DEEP_BROKER_ID_OVERRIDE",AH$24,"DEEP_PERIOD_OVERRIDE",$H$19)*1,"")))</f>
        <v/>
      </c>
      <c r="AI44" s="17" t="str">
        <f>IF(OR(AI$23="",ISNA($B44)),"",IF(ISBLANK($B44),"",IFERROR(_xll.BDP(TICKER,"DEEP_MEASURE_PERIOD_BROKER_VALUE","DEEP_MEASURE_ID_OVERRIDE",$C44,"DEEP_BROKER_ID_OVERRIDE",AI$24,"DEEP_PERIOD_OVERRIDE",$H$19)*1,"")))</f>
        <v/>
      </c>
      <c r="AJ44" s="17" t="str">
        <f>IF(OR(AJ$23="",ISNA($B44)),"",IF(ISBLANK($B44),"",IFERROR(_xll.BDP(TICKER,"DEEP_MEASURE_PERIOD_BROKER_VALUE","DEEP_MEASURE_ID_OVERRIDE",$C44,"DEEP_BROKER_ID_OVERRIDE",AJ$24,"DEEP_PERIOD_OVERRIDE",$H$19)*1,"")))</f>
        <v/>
      </c>
      <c r="AK44" s="17" t="str">
        <f>IF(OR(AK$23="",ISNA($B44)),"",IF(ISBLANK($B44),"",IFERROR(_xll.BDP(TICKER,"DEEP_MEASURE_PERIOD_BROKER_VALUE","DEEP_MEASURE_ID_OVERRIDE",$C44,"DEEP_BROKER_ID_OVERRIDE",AK$24,"DEEP_PERIOD_OVERRIDE",$H$19)*1,"")))</f>
        <v/>
      </c>
      <c r="AL44" s="17" t="str">
        <f>IF(OR(AL$23="",ISNA($B44)),"",IF(ISBLANK($B44),"",IFERROR(_xll.BDP(TICKER,"DEEP_MEASURE_PERIOD_BROKER_VALUE","DEEP_MEASURE_ID_OVERRIDE",$C44,"DEEP_BROKER_ID_OVERRIDE",AL$24,"DEEP_PERIOD_OVERRIDE",$H$19)*1,"")))</f>
        <v/>
      </c>
      <c r="AM44" s="17" t="str">
        <f>IF(OR(AM$23="",ISNA($B44)),"",IF(ISBLANK($B44),"",IFERROR(_xll.BDP(TICKER,"DEEP_MEASURE_PERIOD_BROKER_VALUE","DEEP_MEASURE_ID_OVERRIDE",$C44,"DEEP_BROKER_ID_OVERRIDE",AM$24,"DEEP_PERIOD_OVERRIDE",$H$19)*1,"")))</f>
        <v/>
      </c>
      <c r="AN44" s="17" t="str">
        <f>IF(OR(AN$23="",ISNA($B44)),"",IF(ISBLANK($B44),"",IFERROR(_xll.BDP(TICKER,"DEEP_MEASURE_PERIOD_BROKER_VALUE","DEEP_MEASURE_ID_OVERRIDE",$C44,"DEEP_BROKER_ID_OVERRIDE",AN$24,"DEEP_PERIOD_OVERRIDE",$H$19)*1,"")))</f>
        <v/>
      </c>
      <c r="AO44" s="17" t="str">
        <f>IF(OR(AO$23="",ISNA($B44)),"",IF(ISBLANK($B44),"",IFERROR(_xll.BDP(TICKER,"DEEP_MEASURE_PERIOD_BROKER_VALUE","DEEP_MEASURE_ID_OVERRIDE",$C44,"DEEP_BROKER_ID_OVERRIDE",AO$24,"DEEP_PERIOD_OVERRIDE",$H$19)*1,"")))</f>
        <v/>
      </c>
      <c r="AP44" s="17" t="str">
        <f>IF(OR(AP$23="",ISNA($B44)),"",IF(ISBLANK($B44),"",IFERROR(_xll.BDP(TICKER,"DEEP_MEASURE_PERIOD_BROKER_VALUE","DEEP_MEASURE_ID_OVERRIDE",$C44,"DEEP_BROKER_ID_OVERRIDE",AP$24,"DEEP_PERIOD_OVERRIDE",$H$19)*1,"")))</f>
        <v/>
      </c>
      <c r="AQ44" s="17" t="str">
        <f>IF(OR(AQ$23="",ISNA($B44)),"",IF(ISBLANK($B44),"",IFERROR(_xll.BDP(TICKER,"DEEP_MEASURE_PERIOD_BROKER_VALUE","DEEP_MEASURE_ID_OVERRIDE",$C44,"DEEP_BROKER_ID_OVERRIDE",AQ$24,"DEEP_PERIOD_OVERRIDE",$H$19)*1,"")))</f>
        <v/>
      </c>
      <c r="AR44" s="17" t="str">
        <f>IF(OR(AR$23="",ISNA($B44)),"",IF(ISBLANK($B44),"",IFERROR(_xll.BDP(TICKER,"DEEP_MEASURE_PERIOD_BROKER_VALUE","DEEP_MEASURE_ID_OVERRIDE",$C44,"DEEP_BROKER_ID_OVERRIDE",AR$24,"DEEP_PERIOD_OVERRIDE",$H$19)*1,"")))</f>
        <v/>
      </c>
      <c r="AS44" s="17" t="str">
        <f>IF(OR(AS$23="",ISNA($B44)),"",IF(ISBLANK($B44),"",IFERROR(_xll.BDP(TICKER,"DEEP_MEASURE_PERIOD_BROKER_VALUE","DEEP_MEASURE_ID_OVERRIDE",$C44,"DEEP_BROKER_ID_OVERRIDE",AS$24,"DEEP_PERIOD_OVERRIDE",$H$19)*1,"")))</f>
        <v/>
      </c>
      <c r="AT44" s="17" t="str">
        <f>IF(OR(AT$23="",ISNA($B44)),"",IF(ISBLANK($B44),"",IFERROR(_xll.BDP(TICKER,"DEEP_MEASURE_PERIOD_BROKER_VALUE","DEEP_MEASURE_ID_OVERRIDE",$C44,"DEEP_BROKER_ID_OVERRIDE",AT$24,"DEEP_PERIOD_OVERRIDE",$H$19)*1,"")))</f>
        <v/>
      </c>
      <c r="AU44" s="17" t="str">
        <f>IF(OR(AU$23="",ISNA($B44)),"",IF(ISBLANK($B44),"",IFERROR(_xll.BDP(TICKER,"DEEP_MEASURE_PERIOD_BROKER_VALUE","DEEP_MEASURE_ID_OVERRIDE",$C44,"DEEP_BROKER_ID_OVERRIDE",AU$24,"DEEP_PERIOD_OVERRIDE",$H$19)*1,"")))</f>
        <v/>
      </c>
      <c r="AV44" s="17" t="str">
        <f>IF(OR(AV$23="",ISNA($B44)),"",IF(ISBLANK($B44),"",IFERROR(_xll.BDP(TICKER,"DEEP_MEASURE_PERIOD_BROKER_VALUE","DEEP_MEASURE_ID_OVERRIDE",$C44,"DEEP_BROKER_ID_OVERRIDE",AV$24,"DEEP_PERIOD_OVERRIDE",$H$19)*1,"")))</f>
        <v/>
      </c>
      <c r="AW44" s="17" t="str">
        <f>IF(OR(AW$23="",ISNA($B44)),"",IF(ISBLANK($B44),"",IFERROR(_xll.BDP(TICKER,"DEEP_MEASURE_PERIOD_BROKER_VALUE","DEEP_MEASURE_ID_OVERRIDE",$C44,"DEEP_BROKER_ID_OVERRIDE",AW$24,"DEEP_PERIOD_OVERRIDE",$H$19)*1,"")))</f>
        <v/>
      </c>
      <c r="AX44" s="17" t="str">
        <f>IF(OR(AX$23="",ISNA($B44)),"",IF(ISBLANK($B44),"",IFERROR(_xll.BDP(TICKER,"DEEP_MEASURE_PERIOD_BROKER_VALUE","DEEP_MEASURE_ID_OVERRIDE",$C44,"DEEP_BROKER_ID_OVERRIDE",AX$24,"DEEP_PERIOD_OVERRIDE",$H$19)*1,"")))</f>
        <v/>
      </c>
      <c r="AY44" s="17" t="str">
        <f>IF(OR(AY$23="",ISNA($B44)),"",IF(ISBLANK($B44),"",IFERROR(_xll.BDP(TICKER,"DEEP_MEASURE_PERIOD_BROKER_VALUE","DEEP_MEASURE_ID_OVERRIDE",$C44,"DEEP_BROKER_ID_OVERRIDE",AY$24,"DEEP_PERIOD_OVERRIDE",$H$19)*1,"")))</f>
        <v/>
      </c>
      <c r="AZ44" s="17" t="str">
        <f>IF(OR(AZ$23="",ISNA($B44)),"",IF(ISBLANK($B44),"",IFERROR(_xll.BDP(TICKER,"DEEP_MEASURE_PERIOD_BROKER_VALUE","DEEP_MEASURE_ID_OVERRIDE",$C44,"DEEP_BROKER_ID_OVERRIDE",AZ$24,"DEEP_PERIOD_OVERRIDE",$H$19)*1,"")))</f>
        <v/>
      </c>
      <c r="BA44" s="17" t="str">
        <f>IF(OR(BA$23="",ISNA($B44)),"",IF(ISBLANK($B44),"",IFERROR(_xll.BDP(TICKER,"DEEP_MEASURE_PERIOD_BROKER_VALUE","DEEP_MEASURE_ID_OVERRIDE",$C44,"DEEP_BROKER_ID_OVERRIDE",BA$24,"DEEP_PERIOD_OVERRIDE",$H$19)*1,"")))</f>
        <v/>
      </c>
      <c r="BB44" s="17" t="str">
        <f>IF(OR(BB$23="",ISNA($B44)),"",IF(ISBLANK($B44),"",IFERROR(_xll.BDP(TICKER,"DEEP_MEASURE_PERIOD_BROKER_VALUE","DEEP_MEASURE_ID_OVERRIDE",$C44,"DEEP_BROKER_ID_OVERRIDE",BB$24,"DEEP_PERIOD_OVERRIDE",$H$19)*1,"")))</f>
        <v/>
      </c>
      <c r="BC44" s="17" t="str">
        <f>IF(OR(BC$23="",ISNA($B44)),"",IF(ISBLANK($B44),"",IFERROR(_xll.BDP(TICKER,"DEEP_MEASURE_PERIOD_BROKER_VALUE","DEEP_MEASURE_ID_OVERRIDE",$C44,"DEEP_BROKER_ID_OVERRIDE",BC$24,"DEEP_PERIOD_OVERRIDE",$H$19)*1,"")))</f>
        <v/>
      </c>
      <c r="BD44" s="17" t="str">
        <f>IF(OR(BD$23="",ISNA($B44)),"",IF(ISBLANK($B44),"",IFERROR(_xll.BDP(TICKER,"DEEP_MEASURE_PERIOD_BROKER_VALUE","DEEP_MEASURE_ID_OVERRIDE",$C44,"DEEP_BROKER_ID_OVERRIDE",BD$24,"DEEP_PERIOD_OVERRIDE",$H$19)*1,"")))</f>
        <v/>
      </c>
      <c r="BE44" s="17" t="str">
        <f>IF(OR(BE$23="",ISNA($B44)),"",IF(ISBLANK($B44),"",IFERROR(_xll.BDP(TICKER,"DEEP_MEASURE_PERIOD_BROKER_VALUE","DEEP_MEASURE_ID_OVERRIDE",$C44,"DEEP_BROKER_ID_OVERRIDE",BE$24,"DEEP_PERIOD_OVERRIDE",$H$19)*1,"")))</f>
        <v/>
      </c>
      <c r="BF44" s="17" t="str">
        <f>IF(OR(BF$23="",ISNA($B44)),"",IF(ISBLANK($B44),"",IFERROR(_xll.BDP(TICKER,"DEEP_MEASURE_PERIOD_BROKER_VALUE","DEEP_MEASURE_ID_OVERRIDE",$C44,"DEEP_BROKER_ID_OVERRIDE",BF$24,"DEEP_PERIOD_OVERRIDE",$H$19)*1,"")))</f>
        <v/>
      </c>
      <c r="BG44" s="17" t="str">
        <f>IF(OR(BG$23="",ISNA($B44)),"",IF(ISBLANK($B44),"",IFERROR(_xll.BDP(TICKER,"DEEP_MEASURE_PERIOD_BROKER_VALUE","DEEP_MEASURE_ID_OVERRIDE",$C44,"DEEP_BROKER_ID_OVERRIDE",BG$24,"DEEP_PERIOD_OVERRIDE",$H$19)*1,"")))</f>
        <v/>
      </c>
      <c r="BH44" s="17" t="str">
        <f>IF(OR(BH$23="",ISNA($B44)),"",IF(ISBLANK($B44),"",IFERROR(_xll.BDP(TICKER,"DEEP_MEASURE_PERIOD_BROKER_VALUE","DEEP_MEASURE_ID_OVERRIDE",$C44,"DEEP_BROKER_ID_OVERRIDE",BH$24,"DEEP_PERIOD_OVERRIDE",$H$19)*1,"")))</f>
        <v/>
      </c>
      <c r="BI44" s="17" t="str">
        <f>IF(OR(BI$23="",ISNA($B44)),"",IF(ISBLANK($B44),"",IFERROR(_xll.BDP(TICKER,"DEEP_MEASURE_PERIOD_BROKER_VALUE","DEEP_MEASURE_ID_OVERRIDE",$C44,"DEEP_BROKER_ID_OVERRIDE",BI$24,"DEEP_PERIOD_OVERRIDE",$H$19)*1,"")))</f>
        <v/>
      </c>
      <c r="BJ44" s="17" t="str">
        <f>IF(OR(BJ$23="",ISNA($B44)),"",IF(ISBLANK($B44),"",IFERROR(_xll.BDP(TICKER,"DEEP_MEASURE_PERIOD_BROKER_VALUE","DEEP_MEASURE_ID_OVERRIDE",$C44,"DEEP_BROKER_ID_OVERRIDE",BJ$24,"DEEP_PERIOD_OVERRIDE",$H$19)*1,"")))</f>
        <v/>
      </c>
      <c r="BK44" s="17" t="str">
        <f>IF(OR(BK$23="",ISNA($B44)),"",IF(ISBLANK($B44),"",IFERROR(_xll.BDP(TICKER,"DEEP_MEASURE_PERIOD_BROKER_VALUE","DEEP_MEASURE_ID_OVERRIDE",$C44,"DEEP_BROKER_ID_OVERRIDE",BK$24,"DEEP_PERIOD_OVERRIDE",$H$19)*1,"")))</f>
        <v/>
      </c>
      <c r="BL44" s="17" t="str">
        <f>IF(OR(BL$23="",ISNA($B44)),"",IF(ISBLANK($B44),"",IFERROR(_xll.BDP(TICKER,"DEEP_MEASURE_PERIOD_BROKER_VALUE","DEEP_MEASURE_ID_OVERRIDE",$C44,"DEEP_BROKER_ID_OVERRIDE",BL$24,"DEEP_PERIOD_OVERRIDE",$H$19)*1,"")))</f>
        <v/>
      </c>
      <c r="BM44" s="17" t="str">
        <f>IF(OR(BM$23="",ISNA($B44)),"",IF(ISBLANK($B44),"",IFERROR(_xll.BDP(TICKER,"DEEP_MEASURE_PERIOD_BROKER_VALUE","DEEP_MEASURE_ID_OVERRIDE",$C44,"DEEP_BROKER_ID_OVERRIDE",BM$24,"DEEP_PERIOD_OVERRIDE",$H$19)*1,"")))</f>
        <v/>
      </c>
      <c r="BN44" s="17" t="str">
        <f>IF(OR(BN$23="",ISNA($B44)),"",IF(ISBLANK($B44),"",IFERROR(_xll.BDP(TICKER,"DEEP_MEASURE_PERIOD_BROKER_VALUE","DEEP_MEASURE_ID_OVERRIDE",$C44,"DEEP_BROKER_ID_OVERRIDE",BN$24,"DEEP_PERIOD_OVERRIDE",$H$19)*1,"")))</f>
        <v/>
      </c>
      <c r="BO44" s="17" t="str">
        <f>IF(OR(BO$23="",ISNA($B44)),"",IF(ISBLANK($B44),"",IFERROR(_xll.BDP(TICKER,"DEEP_MEASURE_PERIOD_BROKER_VALUE","DEEP_MEASURE_ID_OVERRIDE",$C44,"DEEP_BROKER_ID_OVERRIDE",BO$24,"DEEP_PERIOD_OVERRIDE",$H$19)*1,"")))</f>
        <v/>
      </c>
      <c r="BP44" s="17" t="str">
        <f>IF(OR(BP$23="",ISNA($B44)),"",IF(ISBLANK($B44),"",IFERROR(_xll.BDP(TICKER,"DEEP_MEASURE_PERIOD_BROKER_VALUE","DEEP_MEASURE_ID_OVERRIDE",$C44,"DEEP_BROKER_ID_OVERRIDE",BP$24,"DEEP_PERIOD_OVERRIDE",$H$19)*1,"")))</f>
        <v/>
      </c>
      <c r="BQ44" s="17" t="str">
        <f>IF(OR(BQ$23="",ISNA($B44)),"",IF(ISBLANK($B44),"",IFERROR(_xll.BDP(TICKER,"DEEP_MEASURE_PERIOD_BROKER_VALUE","DEEP_MEASURE_ID_OVERRIDE",$C44,"DEEP_BROKER_ID_OVERRIDE",BQ$24,"DEEP_PERIOD_OVERRIDE",$H$19)*1,"")))</f>
        <v/>
      </c>
      <c r="BR44" s="17" t="str">
        <f>IF(OR(BR$23="",ISNA($B44)),"",IF(ISBLANK($B44),"",IFERROR(_xll.BDP(TICKER,"DEEP_MEASURE_PERIOD_BROKER_VALUE","DEEP_MEASURE_ID_OVERRIDE",$C44,"DEEP_BROKER_ID_OVERRIDE",BR$24,"DEEP_PERIOD_OVERRIDE",$H$19)*1,"")))</f>
        <v/>
      </c>
      <c r="BS44" s="17" t="str">
        <f>IF(OR(BS$23="",ISNA($B44)),"",IF(ISBLANK($B44),"",IFERROR(_xll.BDP(TICKER,"DEEP_MEASURE_PERIOD_BROKER_VALUE","DEEP_MEASURE_ID_OVERRIDE",$C44,"DEEP_BROKER_ID_OVERRIDE",BS$24,"DEEP_PERIOD_OVERRIDE",$H$19)*1,"")))</f>
        <v/>
      </c>
      <c r="BT44" s="17" t="str">
        <f>IF(OR(BT$23="",ISNA($B44)),"",IF(ISBLANK($B44),"",IFERROR(_xll.BDP(TICKER,"DEEP_MEASURE_PERIOD_BROKER_VALUE","DEEP_MEASURE_ID_OVERRIDE",$C44,"DEEP_BROKER_ID_OVERRIDE",BT$24,"DEEP_PERIOD_OVERRIDE",$H$19)*1,"")))</f>
        <v/>
      </c>
      <c r="BU44" s="17" t="str">
        <f>IF(OR(BU$23="",ISNA($B44)),"",IF(ISBLANK($B44),"",IFERROR(_xll.BDP(TICKER,"DEEP_MEASURE_PERIOD_BROKER_VALUE","DEEP_MEASURE_ID_OVERRIDE",$C44,"DEEP_BROKER_ID_OVERRIDE",BU$24,"DEEP_PERIOD_OVERRIDE",$H$19)*1,"")))</f>
        <v/>
      </c>
      <c r="BV44" s="17" t="str">
        <f>IF(OR(BV$23="",ISNA($B44)),"",IF(ISBLANK($B44),"",IFERROR(_xll.BDP(TICKER,"DEEP_MEASURE_PERIOD_BROKER_VALUE","DEEP_MEASURE_ID_OVERRIDE",$C44,"DEEP_BROKER_ID_OVERRIDE",BV$24,"DEEP_PERIOD_OVERRIDE",$H$19)*1,"")))</f>
        <v/>
      </c>
      <c r="BW44" s="17" t="str">
        <f>IF(OR(BW$23="",ISNA($B44)),"",IF(ISBLANK($B44),"",IFERROR(_xll.BDP(TICKER,"DEEP_MEASURE_PERIOD_BROKER_VALUE","DEEP_MEASURE_ID_OVERRIDE",$C44,"DEEP_BROKER_ID_OVERRIDE",BW$24,"DEEP_PERIOD_OVERRIDE",$H$19)*1,"")))</f>
        <v/>
      </c>
      <c r="BX44" s="17" t="str">
        <f>IF(OR(BX$23="",ISNA($B44)),"",IF(ISBLANK($B44),"",IFERROR(_xll.BDP(TICKER,"DEEP_MEASURE_PERIOD_BROKER_VALUE","DEEP_MEASURE_ID_OVERRIDE",$C44,"DEEP_BROKER_ID_OVERRIDE",BX$24,"DEEP_PERIOD_OVERRIDE",$H$19)*1,"")))</f>
        <v/>
      </c>
      <c r="BY44" s="17" t="str">
        <f>IF(OR(BY$23="",ISNA($B44)),"",IF(ISBLANK($B44),"",IFERROR(_xll.BDP(TICKER,"DEEP_MEASURE_PERIOD_BROKER_VALUE","DEEP_MEASURE_ID_OVERRIDE",$C44,"DEEP_BROKER_ID_OVERRIDE",BY$24,"DEEP_PERIOD_OVERRIDE",$H$19)*1,"")))</f>
        <v/>
      </c>
      <c r="BZ44" s="17" t="str">
        <f>IF(OR(BZ$23="",ISNA($B44)),"",IF(ISBLANK($B44),"",IFERROR(_xll.BDP(TICKER,"DEEP_MEASURE_PERIOD_BROKER_VALUE","DEEP_MEASURE_ID_OVERRIDE",$C44,"DEEP_BROKER_ID_OVERRIDE",BZ$24,"DEEP_PERIOD_OVERRIDE",$H$19)*1,"")))</f>
        <v/>
      </c>
    </row>
    <row r="45" spans="2:78" x14ac:dyDescent="0.25">
      <c r="B45" t="s">
        <v>92</v>
      </c>
      <c r="C45" s="11">
        <v>9973</v>
      </c>
      <c r="H45" t="str">
        <f t="shared" si="1"/>
        <v>Hotels, Media &amp; Platform &gt; EBITDA &gt; As % of Hotels, Media &amp; Platform Revenue</v>
      </c>
      <c r="I45" t="str">
        <f>IF(OR(I$23="",ISNA($B45)),"",IF(ISBLANK($B45),"",IFERROR(_xll.BDP(TICKER,"DEEP_MEASURE_PERIOD_BROKER_VALUE","DEEP_MEASURE_ID_OVERRIDE",$C45,"DEEP_PERIOD_OVERRIDE",$H$19)*1,"")))</f>
        <v/>
      </c>
      <c r="J45" t="e">
        <f>IF(OR(J$23="",ISNA($B45)),"",IF(ISBLANK($B45),"",IFERROR(_xll.BDP(TICKER,"DEEP_MEASURE_PERIOD_BROKER_VALUE","DEEP_MEASURE_ID_OVERRIDE",$C45,"DEEP_BROKER_ID_OVERRIDE",J$24,"DEEP_PERIOD_OVERRIDE",$H$19)*1,"")))</f>
        <v>#REF!</v>
      </c>
      <c r="K45" s="17" t="str">
        <f>IF(OR(K$23="",ISNA($B45)),"",IF(ISBLANK($B45),"",IFERROR(_xll.BDP(TICKER,"DEEP_MEASURE_PERIOD_BROKER_VALUE","DEEP_MEASURE_ID_OVERRIDE",$C45,"DEEP_BROKER_ID_OVERRIDE",K$24,"DEEP_PERIOD_OVERRIDE",$H$19)*1,"")))</f>
        <v/>
      </c>
      <c r="L45" s="17" t="str">
        <f>IF(OR(L$23="",ISNA($B45)),"",IF(ISBLANK($B45),"",IFERROR(_xll.BDP(TICKER,"DEEP_MEASURE_PERIOD_BROKER_VALUE","DEEP_MEASURE_ID_OVERRIDE",$C45,"DEEP_BROKER_ID_OVERRIDE",L$24,"DEEP_PERIOD_OVERRIDE",$H$19)*1,"")))</f>
        <v/>
      </c>
      <c r="M45" s="17" t="str">
        <f>IF(OR(M$23="",ISNA($B45)),"",IF(ISBLANK($B45),"",IFERROR(_xll.BDP(TICKER,"DEEP_MEASURE_PERIOD_BROKER_VALUE","DEEP_MEASURE_ID_OVERRIDE",$C45,"DEEP_BROKER_ID_OVERRIDE",M$24,"DEEP_PERIOD_OVERRIDE",$H$19)*1,"")))</f>
        <v/>
      </c>
      <c r="N45" s="17" t="str">
        <f>IF(OR(N$23="",ISNA($B45)),"",IF(ISBLANK($B45),"",IFERROR(_xll.BDP(TICKER,"DEEP_MEASURE_PERIOD_BROKER_VALUE","DEEP_MEASURE_ID_OVERRIDE",$C45,"DEEP_BROKER_ID_OVERRIDE",N$24,"DEEP_PERIOD_OVERRIDE",$H$19)*1,"")))</f>
        <v/>
      </c>
      <c r="O45" s="17" t="str">
        <f>IF(OR(O$23="",ISNA($B45)),"",IF(ISBLANK($B45),"",IFERROR(_xll.BDP(TICKER,"DEEP_MEASURE_PERIOD_BROKER_VALUE","DEEP_MEASURE_ID_OVERRIDE",$C45,"DEEP_BROKER_ID_OVERRIDE",O$24,"DEEP_PERIOD_OVERRIDE",$H$19)*1,"")))</f>
        <v/>
      </c>
      <c r="P45" s="17" t="str">
        <f>IF(OR(P$23="",ISNA($B45)),"",IF(ISBLANK($B45),"",IFERROR(_xll.BDP(TICKER,"DEEP_MEASURE_PERIOD_BROKER_VALUE","DEEP_MEASURE_ID_OVERRIDE",$C45,"DEEP_BROKER_ID_OVERRIDE",P$24,"DEEP_PERIOD_OVERRIDE",$H$19)*1,"")))</f>
        <v/>
      </c>
      <c r="Q45" s="17" t="str">
        <f>IF(OR(Q$23="",ISNA($B45)),"",IF(ISBLANK($B45),"",IFERROR(_xll.BDP(TICKER,"DEEP_MEASURE_PERIOD_BROKER_VALUE","DEEP_MEASURE_ID_OVERRIDE",$C45,"DEEP_BROKER_ID_OVERRIDE",Q$24,"DEEP_PERIOD_OVERRIDE",$H$19)*1,"")))</f>
        <v/>
      </c>
      <c r="R45" s="17" t="str">
        <f>IF(OR(R$23="",ISNA($B45)),"",IF(ISBLANK($B45),"",IFERROR(_xll.BDP(TICKER,"DEEP_MEASURE_PERIOD_BROKER_VALUE","DEEP_MEASURE_ID_OVERRIDE",$C45,"DEEP_BROKER_ID_OVERRIDE",R$24,"DEEP_PERIOD_OVERRIDE",$H$19)*1,"")))</f>
        <v/>
      </c>
      <c r="S45" s="17" t="str">
        <f>IF(OR(S$23="",ISNA($B45)),"",IF(ISBLANK($B45),"",IFERROR(_xll.BDP(TICKER,"DEEP_MEASURE_PERIOD_BROKER_VALUE","DEEP_MEASURE_ID_OVERRIDE",$C45,"DEEP_BROKER_ID_OVERRIDE",S$24,"DEEP_PERIOD_OVERRIDE",$H$19)*1,"")))</f>
        <v/>
      </c>
      <c r="T45" s="17" t="str">
        <f>IF(OR(T$23="",ISNA($B45)),"",IF(ISBLANK($B45),"",IFERROR(_xll.BDP(TICKER,"DEEP_MEASURE_PERIOD_BROKER_VALUE","DEEP_MEASURE_ID_OVERRIDE",$C45,"DEEP_BROKER_ID_OVERRIDE",T$24,"DEEP_PERIOD_OVERRIDE",$H$19)*1,"")))</f>
        <v/>
      </c>
      <c r="U45" s="17" t="str">
        <f>IF(OR(U$23="",ISNA($B45)),"",IF(ISBLANK($B45),"",IFERROR(_xll.BDP(TICKER,"DEEP_MEASURE_PERIOD_BROKER_VALUE","DEEP_MEASURE_ID_OVERRIDE",$C45,"DEEP_BROKER_ID_OVERRIDE",U$24,"DEEP_PERIOD_OVERRIDE",$H$19)*1,"")))</f>
        <v/>
      </c>
      <c r="V45" s="17" t="str">
        <f>IF(OR(V$23="",ISNA($B45)),"",IF(ISBLANK($B45),"",IFERROR(_xll.BDP(TICKER,"DEEP_MEASURE_PERIOD_BROKER_VALUE","DEEP_MEASURE_ID_OVERRIDE",$C45,"DEEP_BROKER_ID_OVERRIDE",V$24,"DEEP_PERIOD_OVERRIDE",$H$19)*1,"")))</f>
        <v/>
      </c>
      <c r="W45" s="17" t="str">
        <f>IF(OR(W$23="",ISNA($B45)),"",IF(ISBLANK($B45),"",IFERROR(_xll.BDP(TICKER,"DEEP_MEASURE_PERIOD_BROKER_VALUE","DEEP_MEASURE_ID_OVERRIDE",$C45,"DEEP_BROKER_ID_OVERRIDE",W$24,"DEEP_PERIOD_OVERRIDE",$H$19)*1,"")))</f>
        <v/>
      </c>
      <c r="X45" s="17" t="str">
        <f>IF(OR(X$23="",ISNA($B45)),"",IF(ISBLANK($B45),"",IFERROR(_xll.BDP(TICKER,"DEEP_MEASURE_PERIOD_BROKER_VALUE","DEEP_MEASURE_ID_OVERRIDE",$C45,"DEEP_BROKER_ID_OVERRIDE",X$24,"DEEP_PERIOD_OVERRIDE",$H$19)*1,"")))</f>
        <v/>
      </c>
      <c r="Y45" s="17" t="str">
        <f>IF(OR(Y$23="",ISNA($B45)),"",IF(ISBLANK($B45),"",IFERROR(_xll.BDP(TICKER,"DEEP_MEASURE_PERIOD_BROKER_VALUE","DEEP_MEASURE_ID_OVERRIDE",$C45,"DEEP_BROKER_ID_OVERRIDE",Y$24,"DEEP_PERIOD_OVERRIDE",$H$19)*1,"")))</f>
        <v/>
      </c>
      <c r="Z45" s="17" t="str">
        <f>IF(OR(Z$23="",ISNA($B45)),"",IF(ISBLANK($B45),"",IFERROR(_xll.BDP(TICKER,"DEEP_MEASURE_PERIOD_BROKER_VALUE","DEEP_MEASURE_ID_OVERRIDE",$C45,"DEEP_BROKER_ID_OVERRIDE",Z$24,"DEEP_PERIOD_OVERRIDE",$H$19)*1,"")))</f>
        <v/>
      </c>
      <c r="AA45" s="17" t="str">
        <f>IF(OR(AA$23="",ISNA($B45)),"",IF(ISBLANK($B45),"",IFERROR(_xll.BDP(TICKER,"DEEP_MEASURE_PERIOD_BROKER_VALUE","DEEP_MEASURE_ID_OVERRIDE",$C45,"DEEP_BROKER_ID_OVERRIDE",AA$24,"DEEP_PERIOD_OVERRIDE",$H$19)*1,"")))</f>
        <v/>
      </c>
      <c r="AB45" s="17" t="str">
        <f>IF(OR(AB$23="",ISNA($B45)),"",IF(ISBLANK($B45),"",IFERROR(_xll.BDP(TICKER,"DEEP_MEASURE_PERIOD_BROKER_VALUE","DEEP_MEASURE_ID_OVERRIDE",$C45,"DEEP_BROKER_ID_OVERRIDE",AB$24,"DEEP_PERIOD_OVERRIDE",$H$19)*1,"")))</f>
        <v/>
      </c>
      <c r="AC45" s="17" t="str">
        <f>IF(OR(AC$23="",ISNA($B45)),"",IF(ISBLANK($B45),"",IFERROR(_xll.BDP(TICKER,"DEEP_MEASURE_PERIOD_BROKER_VALUE","DEEP_MEASURE_ID_OVERRIDE",$C45,"DEEP_BROKER_ID_OVERRIDE",AC$24,"DEEP_PERIOD_OVERRIDE",$H$19)*1,"")))</f>
        <v/>
      </c>
      <c r="AD45" s="17" t="str">
        <f>IF(OR(AD$23="",ISNA($B45)),"",IF(ISBLANK($B45),"",IFERROR(_xll.BDP(TICKER,"DEEP_MEASURE_PERIOD_BROKER_VALUE","DEEP_MEASURE_ID_OVERRIDE",$C45,"DEEP_BROKER_ID_OVERRIDE",AD$24,"DEEP_PERIOD_OVERRIDE",$H$19)*1,"")))</f>
        <v/>
      </c>
      <c r="AE45" s="17" t="str">
        <f>IF(OR(AE$23="",ISNA($B45)),"",IF(ISBLANK($B45),"",IFERROR(_xll.BDP(TICKER,"DEEP_MEASURE_PERIOD_BROKER_VALUE","DEEP_MEASURE_ID_OVERRIDE",$C45,"DEEP_BROKER_ID_OVERRIDE",AE$24,"DEEP_PERIOD_OVERRIDE",$H$19)*1,"")))</f>
        <v/>
      </c>
      <c r="AF45" s="17" t="str">
        <f>IF(OR(AF$23="",ISNA($B45)),"",IF(ISBLANK($B45),"",IFERROR(_xll.BDP(TICKER,"DEEP_MEASURE_PERIOD_BROKER_VALUE","DEEP_MEASURE_ID_OVERRIDE",$C45,"DEEP_BROKER_ID_OVERRIDE",AF$24,"DEEP_PERIOD_OVERRIDE",$H$19)*1,"")))</f>
        <v/>
      </c>
      <c r="AG45" s="17" t="str">
        <f>IF(OR(AG$23="",ISNA($B45)),"",IF(ISBLANK($B45),"",IFERROR(_xll.BDP(TICKER,"DEEP_MEASURE_PERIOD_BROKER_VALUE","DEEP_MEASURE_ID_OVERRIDE",$C45,"DEEP_BROKER_ID_OVERRIDE",AG$24,"DEEP_PERIOD_OVERRIDE",$H$19)*1,"")))</f>
        <v/>
      </c>
      <c r="AH45" s="17" t="str">
        <f>IF(OR(AH$23="",ISNA($B45)),"",IF(ISBLANK($B45),"",IFERROR(_xll.BDP(TICKER,"DEEP_MEASURE_PERIOD_BROKER_VALUE","DEEP_MEASURE_ID_OVERRIDE",$C45,"DEEP_BROKER_ID_OVERRIDE",AH$24,"DEEP_PERIOD_OVERRIDE",$H$19)*1,"")))</f>
        <v/>
      </c>
      <c r="AI45" s="17" t="str">
        <f>IF(OR(AI$23="",ISNA($B45)),"",IF(ISBLANK($B45),"",IFERROR(_xll.BDP(TICKER,"DEEP_MEASURE_PERIOD_BROKER_VALUE","DEEP_MEASURE_ID_OVERRIDE",$C45,"DEEP_BROKER_ID_OVERRIDE",AI$24,"DEEP_PERIOD_OVERRIDE",$H$19)*1,"")))</f>
        <v/>
      </c>
      <c r="AJ45" s="17" t="str">
        <f>IF(OR(AJ$23="",ISNA($B45)),"",IF(ISBLANK($B45),"",IFERROR(_xll.BDP(TICKER,"DEEP_MEASURE_PERIOD_BROKER_VALUE","DEEP_MEASURE_ID_OVERRIDE",$C45,"DEEP_BROKER_ID_OVERRIDE",AJ$24,"DEEP_PERIOD_OVERRIDE",$H$19)*1,"")))</f>
        <v/>
      </c>
      <c r="AK45" s="17" t="str">
        <f>IF(OR(AK$23="",ISNA($B45)),"",IF(ISBLANK($B45),"",IFERROR(_xll.BDP(TICKER,"DEEP_MEASURE_PERIOD_BROKER_VALUE","DEEP_MEASURE_ID_OVERRIDE",$C45,"DEEP_BROKER_ID_OVERRIDE",AK$24,"DEEP_PERIOD_OVERRIDE",$H$19)*1,"")))</f>
        <v/>
      </c>
      <c r="AL45" s="17" t="str">
        <f>IF(OR(AL$23="",ISNA($B45)),"",IF(ISBLANK($B45),"",IFERROR(_xll.BDP(TICKER,"DEEP_MEASURE_PERIOD_BROKER_VALUE","DEEP_MEASURE_ID_OVERRIDE",$C45,"DEEP_BROKER_ID_OVERRIDE",AL$24,"DEEP_PERIOD_OVERRIDE",$H$19)*1,"")))</f>
        <v/>
      </c>
      <c r="AM45" s="17" t="str">
        <f>IF(OR(AM$23="",ISNA($B45)),"",IF(ISBLANK($B45),"",IFERROR(_xll.BDP(TICKER,"DEEP_MEASURE_PERIOD_BROKER_VALUE","DEEP_MEASURE_ID_OVERRIDE",$C45,"DEEP_BROKER_ID_OVERRIDE",AM$24,"DEEP_PERIOD_OVERRIDE",$H$19)*1,"")))</f>
        <v/>
      </c>
      <c r="AN45" s="17" t="str">
        <f>IF(OR(AN$23="",ISNA($B45)),"",IF(ISBLANK($B45),"",IFERROR(_xll.BDP(TICKER,"DEEP_MEASURE_PERIOD_BROKER_VALUE","DEEP_MEASURE_ID_OVERRIDE",$C45,"DEEP_BROKER_ID_OVERRIDE",AN$24,"DEEP_PERIOD_OVERRIDE",$H$19)*1,"")))</f>
        <v/>
      </c>
      <c r="AO45" s="17" t="str">
        <f>IF(OR(AO$23="",ISNA($B45)),"",IF(ISBLANK($B45),"",IFERROR(_xll.BDP(TICKER,"DEEP_MEASURE_PERIOD_BROKER_VALUE","DEEP_MEASURE_ID_OVERRIDE",$C45,"DEEP_BROKER_ID_OVERRIDE",AO$24,"DEEP_PERIOD_OVERRIDE",$H$19)*1,"")))</f>
        <v/>
      </c>
      <c r="AP45" s="17" t="str">
        <f>IF(OR(AP$23="",ISNA($B45)),"",IF(ISBLANK($B45),"",IFERROR(_xll.BDP(TICKER,"DEEP_MEASURE_PERIOD_BROKER_VALUE","DEEP_MEASURE_ID_OVERRIDE",$C45,"DEEP_BROKER_ID_OVERRIDE",AP$24,"DEEP_PERIOD_OVERRIDE",$H$19)*1,"")))</f>
        <v/>
      </c>
      <c r="AQ45" s="17" t="str">
        <f>IF(OR(AQ$23="",ISNA($B45)),"",IF(ISBLANK($B45),"",IFERROR(_xll.BDP(TICKER,"DEEP_MEASURE_PERIOD_BROKER_VALUE","DEEP_MEASURE_ID_OVERRIDE",$C45,"DEEP_BROKER_ID_OVERRIDE",AQ$24,"DEEP_PERIOD_OVERRIDE",$H$19)*1,"")))</f>
        <v/>
      </c>
      <c r="AR45" s="17" t="str">
        <f>IF(OR(AR$23="",ISNA($B45)),"",IF(ISBLANK($B45),"",IFERROR(_xll.BDP(TICKER,"DEEP_MEASURE_PERIOD_BROKER_VALUE","DEEP_MEASURE_ID_OVERRIDE",$C45,"DEEP_BROKER_ID_OVERRIDE",AR$24,"DEEP_PERIOD_OVERRIDE",$H$19)*1,"")))</f>
        <v/>
      </c>
      <c r="AS45" s="17" t="str">
        <f>IF(OR(AS$23="",ISNA($B45)),"",IF(ISBLANK($B45),"",IFERROR(_xll.BDP(TICKER,"DEEP_MEASURE_PERIOD_BROKER_VALUE","DEEP_MEASURE_ID_OVERRIDE",$C45,"DEEP_BROKER_ID_OVERRIDE",AS$24,"DEEP_PERIOD_OVERRIDE",$H$19)*1,"")))</f>
        <v/>
      </c>
      <c r="AT45" s="17" t="str">
        <f>IF(OR(AT$23="",ISNA($B45)),"",IF(ISBLANK($B45),"",IFERROR(_xll.BDP(TICKER,"DEEP_MEASURE_PERIOD_BROKER_VALUE","DEEP_MEASURE_ID_OVERRIDE",$C45,"DEEP_BROKER_ID_OVERRIDE",AT$24,"DEEP_PERIOD_OVERRIDE",$H$19)*1,"")))</f>
        <v/>
      </c>
      <c r="AU45" s="17" t="str">
        <f>IF(OR(AU$23="",ISNA($B45)),"",IF(ISBLANK($B45),"",IFERROR(_xll.BDP(TICKER,"DEEP_MEASURE_PERIOD_BROKER_VALUE","DEEP_MEASURE_ID_OVERRIDE",$C45,"DEEP_BROKER_ID_OVERRIDE",AU$24,"DEEP_PERIOD_OVERRIDE",$H$19)*1,"")))</f>
        <v/>
      </c>
      <c r="AV45" s="17" t="str">
        <f>IF(OR(AV$23="",ISNA($B45)),"",IF(ISBLANK($B45),"",IFERROR(_xll.BDP(TICKER,"DEEP_MEASURE_PERIOD_BROKER_VALUE","DEEP_MEASURE_ID_OVERRIDE",$C45,"DEEP_BROKER_ID_OVERRIDE",AV$24,"DEEP_PERIOD_OVERRIDE",$H$19)*1,"")))</f>
        <v/>
      </c>
      <c r="AW45" s="17" t="str">
        <f>IF(OR(AW$23="",ISNA($B45)),"",IF(ISBLANK($B45),"",IFERROR(_xll.BDP(TICKER,"DEEP_MEASURE_PERIOD_BROKER_VALUE","DEEP_MEASURE_ID_OVERRIDE",$C45,"DEEP_BROKER_ID_OVERRIDE",AW$24,"DEEP_PERIOD_OVERRIDE",$H$19)*1,"")))</f>
        <v/>
      </c>
      <c r="AX45" s="17" t="str">
        <f>IF(OR(AX$23="",ISNA($B45)),"",IF(ISBLANK($B45),"",IFERROR(_xll.BDP(TICKER,"DEEP_MEASURE_PERIOD_BROKER_VALUE","DEEP_MEASURE_ID_OVERRIDE",$C45,"DEEP_BROKER_ID_OVERRIDE",AX$24,"DEEP_PERIOD_OVERRIDE",$H$19)*1,"")))</f>
        <v/>
      </c>
      <c r="AY45" s="17" t="str">
        <f>IF(OR(AY$23="",ISNA($B45)),"",IF(ISBLANK($B45),"",IFERROR(_xll.BDP(TICKER,"DEEP_MEASURE_PERIOD_BROKER_VALUE","DEEP_MEASURE_ID_OVERRIDE",$C45,"DEEP_BROKER_ID_OVERRIDE",AY$24,"DEEP_PERIOD_OVERRIDE",$H$19)*1,"")))</f>
        <v/>
      </c>
      <c r="AZ45" s="17" t="str">
        <f>IF(OR(AZ$23="",ISNA($B45)),"",IF(ISBLANK($B45),"",IFERROR(_xll.BDP(TICKER,"DEEP_MEASURE_PERIOD_BROKER_VALUE","DEEP_MEASURE_ID_OVERRIDE",$C45,"DEEP_BROKER_ID_OVERRIDE",AZ$24,"DEEP_PERIOD_OVERRIDE",$H$19)*1,"")))</f>
        <v/>
      </c>
      <c r="BA45" s="17" t="str">
        <f>IF(OR(BA$23="",ISNA($B45)),"",IF(ISBLANK($B45),"",IFERROR(_xll.BDP(TICKER,"DEEP_MEASURE_PERIOD_BROKER_VALUE","DEEP_MEASURE_ID_OVERRIDE",$C45,"DEEP_BROKER_ID_OVERRIDE",BA$24,"DEEP_PERIOD_OVERRIDE",$H$19)*1,"")))</f>
        <v/>
      </c>
      <c r="BB45" s="17" t="str">
        <f>IF(OR(BB$23="",ISNA($B45)),"",IF(ISBLANK($B45),"",IFERROR(_xll.BDP(TICKER,"DEEP_MEASURE_PERIOD_BROKER_VALUE","DEEP_MEASURE_ID_OVERRIDE",$C45,"DEEP_BROKER_ID_OVERRIDE",BB$24,"DEEP_PERIOD_OVERRIDE",$H$19)*1,"")))</f>
        <v/>
      </c>
      <c r="BC45" s="17" t="str">
        <f>IF(OR(BC$23="",ISNA($B45)),"",IF(ISBLANK($B45),"",IFERROR(_xll.BDP(TICKER,"DEEP_MEASURE_PERIOD_BROKER_VALUE","DEEP_MEASURE_ID_OVERRIDE",$C45,"DEEP_BROKER_ID_OVERRIDE",BC$24,"DEEP_PERIOD_OVERRIDE",$H$19)*1,"")))</f>
        <v/>
      </c>
      <c r="BD45" s="17" t="str">
        <f>IF(OR(BD$23="",ISNA($B45)),"",IF(ISBLANK($B45),"",IFERROR(_xll.BDP(TICKER,"DEEP_MEASURE_PERIOD_BROKER_VALUE","DEEP_MEASURE_ID_OVERRIDE",$C45,"DEEP_BROKER_ID_OVERRIDE",BD$24,"DEEP_PERIOD_OVERRIDE",$H$19)*1,"")))</f>
        <v/>
      </c>
      <c r="BE45" s="17" t="str">
        <f>IF(OR(BE$23="",ISNA($B45)),"",IF(ISBLANK($B45),"",IFERROR(_xll.BDP(TICKER,"DEEP_MEASURE_PERIOD_BROKER_VALUE","DEEP_MEASURE_ID_OVERRIDE",$C45,"DEEP_BROKER_ID_OVERRIDE",BE$24,"DEEP_PERIOD_OVERRIDE",$H$19)*1,"")))</f>
        <v/>
      </c>
      <c r="BF45" s="17" t="str">
        <f>IF(OR(BF$23="",ISNA($B45)),"",IF(ISBLANK($B45),"",IFERROR(_xll.BDP(TICKER,"DEEP_MEASURE_PERIOD_BROKER_VALUE","DEEP_MEASURE_ID_OVERRIDE",$C45,"DEEP_BROKER_ID_OVERRIDE",BF$24,"DEEP_PERIOD_OVERRIDE",$H$19)*1,"")))</f>
        <v/>
      </c>
      <c r="BG45" s="17" t="str">
        <f>IF(OR(BG$23="",ISNA($B45)),"",IF(ISBLANK($B45),"",IFERROR(_xll.BDP(TICKER,"DEEP_MEASURE_PERIOD_BROKER_VALUE","DEEP_MEASURE_ID_OVERRIDE",$C45,"DEEP_BROKER_ID_OVERRIDE",BG$24,"DEEP_PERIOD_OVERRIDE",$H$19)*1,"")))</f>
        <v/>
      </c>
      <c r="BH45" s="17" t="str">
        <f>IF(OR(BH$23="",ISNA($B45)),"",IF(ISBLANK($B45),"",IFERROR(_xll.BDP(TICKER,"DEEP_MEASURE_PERIOD_BROKER_VALUE","DEEP_MEASURE_ID_OVERRIDE",$C45,"DEEP_BROKER_ID_OVERRIDE",BH$24,"DEEP_PERIOD_OVERRIDE",$H$19)*1,"")))</f>
        <v/>
      </c>
      <c r="BI45" s="17" t="str">
        <f>IF(OR(BI$23="",ISNA($B45)),"",IF(ISBLANK($B45),"",IFERROR(_xll.BDP(TICKER,"DEEP_MEASURE_PERIOD_BROKER_VALUE","DEEP_MEASURE_ID_OVERRIDE",$C45,"DEEP_BROKER_ID_OVERRIDE",BI$24,"DEEP_PERIOD_OVERRIDE",$H$19)*1,"")))</f>
        <v/>
      </c>
      <c r="BJ45" s="17" t="str">
        <f>IF(OR(BJ$23="",ISNA($B45)),"",IF(ISBLANK($B45),"",IFERROR(_xll.BDP(TICKER,"DEEP_MEASURE_PERIOD_BROKER_VALUE","DEEP_MEASURE_ID_OVERRIDE",$C45,"DEEP_BROKER_ID_OVERRIDE",BJ$24,"DEEP_PERIOD_OVERRIDE",$H$19)*1,"")))</f>
        <v/>
      </c>
      <c r="BK45" s="17" t="str">
        <f>IF(OR(BK$23="",ISNA($B45)),"",IF(ISBLANK($B45),"",IFERROR(_xll.BDP(TICKER,"DEEP_MEASURE_PERIOD_BROKER_VALUE","DEEP_MEASURE_ID_OVERRIDE",$C45,"DEEP_BROKER_ID_OVERRIDE",BK$24,"DEEP_PERIOD_OVERRIDE",$H$19)*1,"")))</f>
        <v/>
      </c>
      <c r="BL45" s="17" t="str">
        <f>IF(OR(BL$23="",ISNA($B45)),"",IF(ISBLANK($B45),"",IFERROR(_xll.BDP(TICKER,"DEEP_MEASURE_PERIOD_BROKER_VALUE","DEEP_MEASURE_ID_OVERRIDE",$C45,"DEEP_BROKER_ID_OVERRIDE",BL$24,"DEEP_PERIOD_OVERRIDE",$H$19)*1,"")))</f>
        <v/>
      </c>
      <c r="BM45" s="17" t="str">
        <f>IF(OR(BM$23="",ISNA($B45)),"",IF(ISBLANK($B45),"",IFERROR(_xll.BDP(TICKER,"DEEP_MEASURE_PERIOD_BROKER_VALUE","DEEP_MEASURE_ID_OVERRIDE",$C45,"DEEP_BROKER_ID_OVERRIDE",BM$24,"DEEP_PERIOD_OVERRIDE",$H$19)*1,"")))</f>
        <v/>
      </c>
      <c r="BN45" s="17" t="str">
        <f>IF(OR(BN$23="",ISNA($B45)),"",IF(ISBLANK($B45),"",IFERROR(_xll.BDP(TICKER,"DEEP_MEASURE_PERIOD_BROKER_VALUE","DEEP_MEASURE_ID_OVERRIDE",$C45,"DEEP_BROKER_ID_OVERRIDE",BN$24,"DEEP_PERIOD_OVERRIDE",$H$19)*1,"")))</f>
        <v/>
      </c>
      <c r="BO45" s="17" t="str">
        <f>IF(OR(BO$23="",ISNA($B45)),"",IF(ISBLANK($B45),"",IFERROR(_xll.BDP(TICKER,"DEEP_MEASURE_PERIOD_BROKER_VALUE","DEEP_MEASURE_ID_OVERRIDE",$C45,"DEEP_BROKER_ID_OVERRIDE",BO$24,"DEEP_PERIOD_OVERRIDE",$H$19)*1,"")))</f>
        <v/>
      </c>
      <c r="BP45" s="17" t="str">
        <f>IF(OR(BP$23="",ISNA($B45)),"",IF(ISBLANK($B45),"",IFERROR(_xll.BDP(TICKER,"DEEP_MEASURE_PERIOD_BROKER_VALUE","DEEP_MEASURE_ID_OVERRIDE",$C45,"DEEP_BROKER_ID_OVERRIDE",BP$24,"DEEP_PERIOD_OVERRIDE",$H$19)*1,"")))</f>
        <v/>
      </c>
      <c r="BQ45" s="17" t="str">
        <f>IF(OR(BQ$23="",ISNA($B45)),"",IF(ISBLANK($B45),"",IFERROR(_xll.BDP(TICKER,"DEEP_MEASURE_PERIOD_BROKER_VALUE","DEEP_MEASURE_ID_OVERRIDE",$C45,"DEEP_BROKER_ID_OVERRIDE",BQ$24,"DEEP_PERIOD_OVERRIDE",$H$19)*1,"")))</f>
        <v/>
      </c>
      <c r="BR45" s="17" t="str">
        <f>IF(OR(BR$23="",ISNA($B45)),"",IF(ISBLANK($B45),"",IFERROR(_xll.BDP(TICKER,"DEEP_MEASURE_PERIOD_BROKER_VALUE","DEEP_MEASURE_ID_OVERRIDE",$C45,"DEEP_BROKER_ID_OVERRIDE",BR$24,"DEEP_PERIOD_OVERRIDE",$H$19)*1,"")))</f>
        <v/>
      </c>
      <c r="BS45" s="17" t="str">
        <f>IF(OR(BS$23="",ISNA($B45)),"",IF(ISBLANK($B45),"",IFERROR(_xll.BDP(TICKER,"DEEP_MEASURE_PERIOD_BROKER_VALUE","DEEP_MEASURE_ID_OVERRIDE",$C45,"DEEP_BROKER_ID_OVERRIDE",BS$24,"DEEP_PERIOD_OVERRIDE",$H$19)*1,"")))</f>
        <v/>
      </c>
      <c r="BT45" s="17" t="str">
        <f>IF(OR(BT$23="",ISNA($B45)),"",IF(ISBLANK($B45),"",IFERROR(_xll.BDP(TICKER,"DEEP_MEASURE_PERIOD_BROKER_VALUE","DEEP_MEASURE_ID_OVERRIDE",$C45,"DEEP_BROKER_ID_OVERRIDE",BT$24,"DEEP_PERIOD_OVERRIDE",$H$19)*1,"")))</f>
        <v/>
      </c>
      <c r="BU45" s="17" t="str">
        <f>IF(OR(BU$23="",ISNA($B45)),"",IF(ISBLANK($B45),"",IFERROR(_xll.BDP(TICKER,"DEEP_MEASURE_PERIOD_BROKER_VALUE","DEEP_MEASURE_ID_OVERRIDE",$C45,"DEEP_BROKER_ID_OVERRIDE",BU$24,"DEEP_PERIOD_OVERRIDE",$H$19)*1,"")))</f>
        <v/>
      </c>
      <c r="BV45" s="17" t="str">
        <f>IF(OR(BV$23="",ISNA($B45)),"",IF(ISBLANK($B45),"",IFERROR(_xll.BDP(TICKER,"DEEP_MEASURE_PERIOD_BROKER_VALUE","DEEP_MEASURE_ID_OVERRIDE",$C45,"DEEP_BROKER_ID_OVERRIDE",BV$24,"DEEP_PERIOD_OVERRIDE",$H$19)*1,"")))</f>
        <v/>
      </c>
      <c r="BW45" s="17" t="str">
        <f>IF(OR(BW$23="",ISNA($B45)),"",IF(ISBLANK($B45),"",IFERROR(_xll.BDP(TICKER,"DEEP_MEASURE_PERIOD_BROKER_VALUE","DEEP_MEASURE_ID_OVERRIDE",$C45,"DEEP_BROKER_ID_OVERRIDE",BW$24,"DEEP_PERIOD_OVERRIDE",$H$19)*1,"")))</f>
        <v/>
      </c>
      <c r="BX45" s="17" t="str">
        <f>IF(OR(BX$23="",ISNA($B45)),"",IF(ISBLANK($B45),"",IFERROR(_xll.BDP(TICKER,"DEEP_MEASURE_PERIOD_BROKER_VALUE","DEEP_MEASURE_ID_OVERRIDE",$C45,"DEEP_BROKER_ID_OVERRIDE",BX$24,"DEEP_PERIOD_OVERRIDE",$H$19)*1,"")))</f>
        <v/>
      </c>
      <c r="BY45" s="17" t="str">
        <f>IF(OR(BY$23="",ISNA($B45)),"",IF(ISBLANK($B45),"",IFERROR(_xll.BDP(TICKER,"DEEP_MEASURE_PERIOD_BROKER_VALUE","DEEP_MEASURE_ID_OVERRIDE",$C45,"DEEP_BROKER_ID_OVERRIDE",BY$24,"DEEP_PERIOD_OVERRIDE",$H$19)*1,"")))</f>
        <v/>
      </c>
      <c r="BZ45" s="17" t="str">
        <f>IF(OR(BZ$23="",ISNA($B45)),"",IF(ISBLANK($B45),"",IFERROR(_xll.BDP(TICKER,"DEEP_MEASURE_PERIOD_BROKER_VALUE","DEEP_MEASURE_ID_OVERRIDE",$C45,"DEEP_BROKER_ID_OVERRIDE",BZ$24,"DEEP_PERIOD_OVERRIDE",$H$19)*1,"")))</f>
        <v/>
      </c>
    </row>
    <row r="46" spans="2:78" x14ac:dyDescent="0.25">
      <c r="B46" t="s">
        <v>46</v>
      </c>
      <c r="C46" s="11">
        <v>9838</v>
      </c>
      <c r="H46" t="str">
        <f t="shared" si="1"/>
        <v>Experiences &amp; Dining &gt; Revenue</v>
      </c>
      <c r="I46" t="str">
        <f>IF(OR(I$23="",ISNA($B46)),"",IF(ISBLANK($B46),"",IFERROR(_xll.BDP(TICKER,"DEEP_MEASURE_PERIOD_BROKER_VALUE","DEEP_MEASURE_ID_OVERRIDE",$C46,"DEEP_PERIOD_OVERRIDE",$H$19)*1,"")))</f>
        <v/>
      </c>
      <c r="J46" t="e">
        <f>IF(OR(J$23="",ISNA($B46)),"",IF(ISBLANK($B46),"",IFERROR(_xll.BDP(TICKER,"DEEP_MEASURE_PERIOD_BROKER_VALUE","DEEP_MEASURE_ID_OVERRIDE",$C46,"DEEP_BROKER_ID_OVERRIDE",J$24,"DEEP_PERIOD_OVERRIDE",$H$19)*1,"")))</f>
        <v>#REF!</v>
      </c>
      <c r="K46" s="17" t="str">
        <f>IF(OR(K$23="",ISNA($B46)),"",IF(ISBLANK($B46),"",IFERROR(_xll.BDP(TICKER,"DEEP_MEASURE_PERIOD_BROKER_VALUE","DEEP_MEASURE_ID_OVERRIDE",$C46,"DEEP_BROKER_ID_OVERRIDE",K$24,"DEEP_PERIOD_OVERRIDE",$H$19)*1,"")))</f>
        <v/>
      </c>
      <c r="L46" s="17" t="str">
        <f>IF(OR(L$23="",ISNA($B46)),"",IF(ISBLANK($B46),"",IFERROR(_xll.BDP(TICKER,"DEEP_MEASURE_PERIOD_BROKER_VALUE","DEEP_MEASURE_ID_OVERRIDE",$C46,"DEEP_BROKER_ID_OVERRIDE",L$24,"DEEP_PERIOD_OVERRIDE",$H$19)*1,"")))</f>
        <v/>
      </c>
      <c r="M46" s="17" t="str">
        <f>IF(OR(M$23="",ISNA($B46)),"",IF(ISBLANK($B46),"",IFERROR(_xll.BDP(TICKER,"DEEP_MEASURE_PERIOD_BROKER_VALUE","DEEP_MEASURE_ID_OVERRIDE",$C46,"DEEP_BROKER_ID_OVERRIDE",M$24,"DEEP_PERIOD_OVERRIDE",$H$19)*1,"")))</f>
        <v/>
      </c>
      <c r="N46" s="17" t="str">
        <f>IF(OR(N$23="",ISNA($B46)),"",IF(ISBLANK($B46),"",IFERROR(_xll.BDP(TICKER,"DEEP_MEASURE_PERIOD_BROKER_VALUE","DEEP_MEASURE_ID_OVERRIDE",$C46,"DEEP_BROKER_ID_OVERRIDE",N$24,"DEEP_PERIOD_OVERRIDE",$H$19)*1,"")))</f>
        <v/>
      </c>
      <c r="O46" s="17" t="str">
        <f>IF(OR(O$23="",ISNA($B46)),"",IF(ISBLANK($B46),"",IFERROR(_xll.BDP(TICKER,"DEEP_MEASURE_PERIOD_BROKER_VALUE","DEEP_MEASURE_ID_OVERRIDE",$C46,"DEEP_BROKER_ID_OVERRIDE",O$24,"DEEP_PERIOD_OVERRIDE",$H$19)*1,"")))</f>
        <v/>
      </c>
      <c r="P46" s="17" t="str">
        <f>IF(OR(P$23="",ISNA($B46)),"",IF(ISBLANK($B46),"",IFERROR(_xll.BDP(TICKER,"DEEP_MEASURE_PERIOD_BROKER_VALUE","DEEP_MEASURE_ID_OVERRIDE",$C46,"DEEP_BROKER_ID_OVERRIDE",P$24,"DEEP_PERIOD_OVERRIDE",$H$19)*1,"")))</f>
        <v/>
      </c>
      <c r="Q46" s="17" t="str">
        <f>IF(OR(Q$23="",ISNA($B46)),"",IF(ISBLANK($B46),"",IFERROR(_xll.BDP(TICKER,"DEEP_MEASURE_PERIOD_BROKER_VALUE","DEEP_MEASURE_ID_OVERRIDE",$C46,"DEEP_BROKER_ID_OVERRIDE",Q$24,"DEEP_PERIOD_OVERRIDE",$H$19)*1,"")))</f>
        <v/>
      </c>
      <c r="R46" s="17" t="str">
        <f>IF(OR(R$23="",ISNA($B46)),"",IF(ISBLANK($B46),"",IFERROR(_xll.BDP(TICKER,"DEEP_MEASURE_PERIOD_BROKER_VALUE","DEEP_MEASURE_ID_OVERRIDE",$C46,"DEEP_BROKER_ID_OVERRIDE",R$24,"DEEP_PERIOD_OVERRIDE",$H$19)*1,"")))</f>
        <v/>
      </c>
      <c r="S46" s="17" t="str">
        <f>IF(OR(S$23="",ISNA($B46)),"",IF(ISBLANK($B46),"",IFERROR(_xll.BDP(TICKER,"DEEP_MEASURE_PERIOD_BROKER_VALUE","DEEP_MEASURE_ID_OVERRIDE",$C46,"DEEP_BROKER_ID_OVERRIDE",S$24,"DEEP_PERIOD_OVERRIDE",$H$19)*1,"")))</f>
        <v/>
      </c>
      <c r="T46" s="17" t="str">
        <f>IF(OR(T$23="",ISNA($B46)),"",IF(ISBLANK($B46),"",IFERROR(_xll.BDP(TICKER,"DEEP_MEASURE_PERIOD_BROKER_VALUE","DEEP_MEASURE_ID_OVERRIDE",$C46,"DEEP_BROKER_ID_OVERRIDE",T$24,"DEEP_PERIOD_OVERRIDE",$H$19)*1,"")))</f>
        <v/>
      </c>
      <c r="U46" s="17" t="str">
        <f>IF(OR(U$23="",ISNA($B46)),"",IF(ISBLANK($B46),"",IFERROR(_xll.BDP(TICKER,"DEEP_MEASURE_PERIOD_BROKER_VALUE","DEEP_MEASURE_ID_OVERRIDE",$C46,"DEEP_BROKER_ID_OVERRIDE",U$24,"DEEP_PERIOD_OVERRIDE",$H$19)*1,"")))</f>
        <v/>
      </c>
      <c r="V46" s="17" t="str">
        <f>IF(OR(V$23="",ISNA($B46)),"",IF(ISBLANK($B46),"",IFERROR(_xll.BDP(TICKER,"DEEP_MEASURE_PERIOD_BROKER_VALUE","DEEP_MEASURE_ID_OVERRIDE",$C46,"DEEP_BROKER_ID_OVERRIDE",V$24,"DEEP_PERIOD_OVERRIDE",$H$19)*1,"")))</f>
        <v/>
      </c>
      <c r="W46" s="17" t="str">
        <f>IF(OR(W$23="",ISNA($B46)),"",IF(ISBLANK($B46),"",IFERROR(_xll.BDP(TICKER,"DEEP_MEASURE_PERIOD_BROKER_VALUE","DEEP_MEASURE_ID_OVERRIDE",$C46,"DEEP_BROKER_ID_OVERRIDE",W$24,"DEEP_PERIOD_OVERRIDE",$H$19)*1,"")))</f>
        <v/>
      </c>
      <c r="X46" s="17" t="str">
        <f>IF(OR(X$23="",ISNA($B46)),"",IF(ISBLANK($B46),"",IFERROR(_xll.BDP(TICKER,"DEEP_MEASURE_PERIOD_BROKER_VALUE","DEEP_MEASURE_ID_OVERRIDE",$C46,"DEEP_BROKER_ID_OVERRIDE",X$24,"DEEP_PERIOD_OVERRIDE",$H$19)*1,"")))</f>
        <v/>
      </c>
      <c r="Y46" s="17" t="str">
        <f>IF(OR(Y$23="",ISNA($B46)),"",IF(ISBLANK($B46),"",IFERROR(_xll.BDP(TICKER,"DEEP_MEASURE_PERIOD_BROKER_VALUE","DEEP_MEASURE_ID_OVERRIDE",$C46,"DEEP_BROKER_ID_OVERRIDE",Y$24,"DEEP_PERIOD_OVERRIDE",$H$19)*1,"")))</f>
        <v/>
      </c>
      <c r="Z46" s="17" t="str">
        <f>IF(OR(Z$23="",ISNA($B46)),"",IF(ISBLANK($B46),"",IFERROR(_xll.BDP(TICKER,"DEEP_MEASURE_PERIOD_BROKER_VALUE","DEEP_MEASURE_ID_OVERRIDE",$C46,"DEEP_BROKER_ID_OVERRIDE",Z$24,"DEEP_PERIOD_OVERRIDE",$H$19)*1,"")))</f>
        <v/>
      </c>
      <c r="AA46" s="17" t="str">
        <f>IF(OR(AA$23="",ISNA($B46)),"",IF(ISBLANK($B46),"",IFERROR(_xll.BDP(TICKER,"DEEP_MEASURE_PERIOD_BROKER_VALUE","DEEP_MEASURE_ID_OVERRIDE",$C46,"DEEP_BROKER_ID_OVERRIDE",AA$24,"DEEP_PERIOD_OVERRIDE",$H$19)*1,"")))</f>
        <v/>
      </c>
      <c r="AB46" s="17" t="str">
        <f>IF(OR(AB$23="",ISNA($B46)),"",IF(ISBLANK($B46),"",IFERROR(_xll.BDP(TICKER,"DEEP_MEASURE_PERIOD_BROKER_VALUE","DEEP_MEASURE_ID_OVERRIDE",$C46,"DEEP_BROKER_ID_OVERRIDE",AB$24,"DEEP_PERIOD_OVERRIDE",$H$19)*1,"")))</f>
        <v/>
      </c>
      <c r="AC46" s="17" t="str">
        <f>IF(OR(AC$23="",ISNA($B46)),"",IF(ISBLANK($B46),"",IFERROR(_xll.BDP(TICKER,"DEEP_MEASURE_PERIOD_BROKER_VALUE","DEEP_MEASURE_ID_OVERRIDE",$C46,"DEEP_BROKER_ID_OVERRIDE",AC$24,"DEEP_PERIOD_OVERRIDE",$H$19)*1,"")))</f>
        <v/>
      </c>
      <c r="AD46" s="17" t="str">
        <f>IF(OR(AD$23="",ISNA($B46)),"",IF(ISBLANK($B46),"",IFERROR(_xll.BDP(TICKER,"DEEP_MEASURE_PERIOD_BROKER_VALUE","DEEP_MEASURE_ID_OVERRIDE",$C46,"DEEP_BROKER_ID_OVERRIDE",AD$24,"DEEP_PERIOD_OVERRIDE",$H$19)*1,"")))</f>
        <v/>
      </c>
      <c r="AE46" s="17" t="str">
        <f>IF(OR(AE$23="",ISNA($B46)),"",IF(ISBLANK($B46),"",IFERROR(_xll.BDP(TICKER,"DEEP_MEASURE_PERIOD_BROKER_VALUE","DEEP_MEASURE_ID_OVERRIDE",$C46,"DEEP_BROKER_ID_OVERRIDE",AE$24,"DEEP_PERIOD_OVERRIDE",$H$19)*1,"")))</f>
        <v/>
      </c>
      <c r="AF46" s="17" t="str">
        <f>IF(OR(AF$23="",ISNA($B46)),"",IF(ISBLANK($B46),"",IFERROR(_xll.BDP(TICKER,"DEEP_MEASURE_PERIOD_BROKER_VALUE","DEEP_MEASURE_ID_OVERRIDE",$C46,"DEEP_BROKER_ID_OVERRIDE",AF$24,"DEEP_PERIOD_OVERRIDE",$H$19)*1,"")))</f>
        <v/>
      </c>
      <c r="AG46" s="17" t="str">
        <f>IF(OR(AG$23="",ISNA($B46)),"",IF(ISBLANK($B46),"",IFERROR(_xll.BDP(TICKER,"DEEP_MEASURE_PERIOD_BROKER_VALUE","DEEP_MEASURE_ID_OVERRIDE",$C46,"DEEP_BROKER_ID_OVERRIDE",AG$24,"DEEP_PERIOD_OVERRIDE",$H$19)*1,"")))</f>
        <v/>
      </c>
      <c r="AH46" s="17" t="str">
        <f>IF(OR(AH$23="",ISNA($B46)),"",IF(ISBLANK($B46),"",IFERROR(_xll.BDP(TICKER,"DEEP_MEASURE_PERIOD_BROKER_VALUE","DEEP_MEASURE_ID_OVERRIDE",$C46,"DEEP_BROKER_ID_OVERRIDE",AH$24,"DEEP_PERIOD_OVERRIDE",$H$19)*1,"")))</f>
        <v/>
      </c>
      <c r="AI46" s="17" t="str">
        <f>IF(OR(AI$23="",ISNA($B46)),"",IF(ISBLANK($B46),"",IFERROR(_xll.BDP(TICKER,"DEEP_MEASURE_PERIOD_BROKER_VALUE","DEEP_MEASURE_ID_OVERRIDE",$C46,"DEEP_BROKER_ID_OVERRIDE",AI$24,"DEEP_PERIOD_OVERRIDE",$H$19)*1,"")))</f>
        <v/>
      </c>
      <c r="AJ46" s="17" t="str">
        <f>IF(OR(AJ$23="",ISNA($B46)),"",IF(ISBLANK($B46),"",IFERROR(_xll.BDP(TICKER,"DEEP_MEASURE_PERIOD_BROKER_VALUE","DEEP_MEASURE_ID_OVERRIDE",$C46,"DEEP_BROKER_ID_OVERRIDE",AJ$24,"DEEP_PERIOD_OVERRIDE",$H$19)*1,"")))</f>
        <v/>
      </c>
      <c r="AK46" s="17" t="str">
        <f>IF(OR(AK$23="",ISNA($B46)),"",IF(ISBLANK($B46),"",IFERROR(_xll.BDP(TICKER,"DEEP_MEASURE_PERIOD_BROKER_VALUE","DEEP_MEASURE_ID_OVERRIDE",$C46,"DEEP_BROKER_ID_OVERRIDE",AK$24,"DEEP_PERIOD_OVERRIDE",$H$19)*1,"")))</f>
        <v/>
      </c>
      <c r="AL46" s="17" t="str">
        <f>IF(OR(AL$23="",ISNA($B46)),"",IF(ISBLANK($B46),"",IFERROR(_xll.BDP(TICKER,"DEEP_MEASURE_PERIOD_BROKER_VALUE","DEEP_MEASURE_ID_OVERRIDE",$C46,"DEEP_BROKER_ID_OVERRIDE",AL$24,"DEEP_PERIOD_OVERRIDE",$H$19)*1,"")))</f>
        <v/>
      </c>
      <c r="AM46" s="17" t="str">
        <f>IF(OR(AM$23="",ISNA($B46)),"",IF(ISBLANK($B46),"",IFERROR(_xll.BDP(TICKER,"DEEP_MEASURE_PERIOD_BROKER_VALUE","DEEP_MEASURE_ID_OVERRIDE",$C46,"DEEP_BROKER_ID_OVERRIDE",AM$24,"DEEP_PERIOD_OVERRIDE",$H$19)*1,"")))</f>
        <v/>
      </c>
      <c r="AN46" s="17" t="str">
        <f>IF(OR(AN$23="",ISNA($B46)),"",IF(ISBLANK($B46),"",IFERROR(_xll.BDP(TICKER,"DEEP_MEASURE_PERIOD_BROKER_VALUE","DEEP_MEASURE_ID_OVERRIDE",$C46,"DEEP_BROKER_ID_OVERRIDE",AN$24,"DEEP_PERIOD_OVERRIDE",$H$19)*1,"")))</f>
        <v/>
      </c>
      <c r="AO46" s="17" t="str">
        <f>IF(OR(AO$23="",ISNA($B46)),"",IF(ISBLANK($B46),"",IFERROR(_xll.BDP(TICKER,"DEEP_MEASURE_PERIOD_BROKER_VALUE","DEEP_MEASURE_ID_OVERRIDE",$C46,"DEEP_BROKER_ID_OVERRIDE",AO$24,"DEEP_PERIOD_OVERRIDE",$H$19)*1,"")))</f>
        <v/>
      </c>
      <c r="AP46" s="17" t="str">
        <f>IF(OR(AP$23="",ISNA($B46)),"",IF(ISBLANK($B46),"",IFERROR(_xll.BDP(TICKER,"DEEP_MEASURE_PERIOD_BROKER_VALUE","DEEP_MEASURE_ID_OVERRIDE",$C46,"DEEP_BROKER_ID_OVERRIDE",AP$24,"DEEP_PERIOD_OVERRIDE",$H$19)*1,"")))</f>
        <v/>
      </c>
      <c r="AQ46" s="17" t="str">
        <f>IF(OR(AQ$23="",ISNA($B46)),"",IF(ISBLANK($B46),"",IFERROR(_xll.BDP(TICKER,"DEEP_MEASURE_PERIOD_BROKER_VALUE","DEEP_MEASURE_ID_OVERRIDE",$C46,"DEEP_BROKER_ID_OVERRIDE",AQ$24,"DEEP_PERIOD_OVERRIDE",$H$19)*1,"")))</f>
        <v/>
      </c>
      <c r="AR46" s="17" t="str">
        <f>IF(OR(AR$23="",ISNA($B46)),"",IF(ISBLANK($B46),"",IFERROR(_xll.BDP(TICKER,"DEEP_MEASURE_PERIOD_BROKER_VALUE","DEEP_MEASURE_ID_OVERRIDE",$C46,"DEEP_BROKER_ID_OVERRIDE",AR$24,"DEEP_PERIOD_OVERRIDE",$H$19)*1,"")))</f>
        <v/>
      </c>
      <c r="AS46" s="17" t="str">
        <f>IF(OR(AS$23="",ISNA($B46)),"",IF(ISBLANK($B46),"",IFERROR(_xll.BDP(TICKER,"DEEP_MEASURE_PERIOD_BROKER_VALUE","DEEP_MEASURE_ID_OVERRIDE",$C46,"DEEP_BROKER_ID_OVERRIDE",AS$24,"DEEP_PERIOD_OVERRIDE",$H$19)*1,"")))</f>
        <v/>
      </c>
      <c r="AT46" s="17" t="str">
        <f>IF(OR(AT$23="",ISNA($B46)),"",IF(ISBLANK($B46),"",IFERROR(_xll.BDP(TICKER,"DEEP_MEASURE_PERIOD_BROKER_VALUE","DEEP_MEASURE_ID_OVERRIDE",$C46,"DEEP_BROKER_ID_OVERRIDE",AT$24,"DEEP_PERIOD_OVERRIDE",$H$19)*1,"")))</f>
        <v/>
      </c>
      <c r="AU46" s="17" t="str">
        <f>IF(OR(AU$23="",ISNA($B46)),"",IF(ISBLANK($B46),"",IFERROR(_xll.BDP(TICKER,"DEEP_MEASURE_PERIOD_BROKER_VALUE","DEEP_MEASURE_ID_OVERRIDE",$C46,"DEEP_BROKER_ID_OVERRIDE",AU$24,"DEEP_PERIOD_OVERRIDE",$H$19)*1,"")))</f>
        <v/>
      </c>
      <c r="AV46" s="17" t="str">
        <f>IF(OR(AV$23="",ISNA($B46)),"",IF(ISBLANK($B46),"",IFERROR(_xll.BDP(TICKER,"DEEP_MEASURE_PERIOD_BROKER_VALUE","DEEP_MEASURE_ID_OVERRIDE",$C46,"DEEP_BROKER_ID_OVERRIDE",AV$24,"DEEP_PERIOD_OVERRIDE",$H$19)*1,"")))</f>
        <v/>
      </c>
      <c r="AW46" s="17" t="str">
        <f>IF(OR(AW$23="",ISNA($B46)),"",IF(ISBLANK($B46),"",IFERROR(_xll.BDP(TICKER,"DEEP_MEASURE_PERIOD_BROKER_VALUE","DEEP_MEASURE_ID_OVERRIDE",$C46,"DEEP_BROKER_ID_OVERRIDE",AW$24,"DEEP_PERIOD_OVERRIDE",$H$19)*1,"")))</f>
        <v/>
      </c>
      <c r="AX46" s="17" t="str">
        <f>IF(OR(AX$23="",ISNA($B46)),"",IF(ISBLANK($B46),"",IFERROR(_xll.BDP(TICKER,"DEEP_MEASURE_PERIOD_BROKER_VALUE","DEEP_MEASURE_ID_OVERRIDE",$C46,"DEEP_BROKER_ID_OVERRIDE",AX$24,"DEEP_PERIOD_OVERRIDE",$H$19)*1,"")))</f>
        <v/>
      </c>
      <c r="AY46" s="17" t="str">
        <f>IF(OR(AY$23="",ISNA($B46)),"",IF(ISBLANK($B46),"",IFERROR(_xll.BDP(TICKER,"DEEP_MEASURE_PERIOD_BROKER_VALUE","DEEP_MEASURE_ID_OVERRIDE",$C46,"DEEP_BROKER_ID_OVERRIDE",AY$24,"DEEP_PERIOD_OVERRIDE",$H$19)*1,"")))</f>
        <v/>
      </c>
      <c r="AZ46" s="17" t="str">
        <f>IF(OR(AZ$23="",ISNA($B46)),"",IF(ISBLANK($B46),"",IFERROR(_xll.BDP(TICKER,"DEEP_MEASURE_PERIOD_BROKER_VALUE","DEEP_MEASURE_ID_OVERRIDE",$C46,"DEEP_BROKER_ID_OVERRIDE",AZ$24,"DEEP_PERIOD_OVERRIDE",$H$19)*1,"")))</f>
        <v/>
      </c>
      <c r="BA46" s="17" t="str">
        <f>IF(OR(BA$23="",ISNA($B46)),"",IF(ISBLANK($B46),"",IFERROR(_xll.BDP(TICKER,"DEEP_MEASURE_PERIOD_BROKER_VALUE","DEEP_MEASURE_ID_OVERRIDE",$C46,"DEEP_BROKER_ID_OVERRIDE",BA$24,"DEEP_PERIOD_OVERRIDE",$H$19)*1,"")))</f>
        <v/>
      </c>
      <c r="BB46" s="17" t="str">
        <f>IF(OR(BB$23="",ISNA($B46)),"",IF(ISBLANK($B46),"",IFERROR(_xll.BDP(TICKER,"DEEP_MEASURE_PERIOD_BROKER_VALUE","DEEP_MEASURE_ID_OVERRIDE",$C46,"DEEP_BROKER_ID_OVERRIDE",BB$24,"DEEP_PERIOD_OVERRIDE",$H$19)*1,"")))</f>
        <v/>
      </c>
      <c r="BC46" s="17" t="str">
        <f>IF(OR(BC$23="",ISNA($B46)),"",IF(ISBLANK($B46),"",IFERROR(_xll.BDP(TICKER,"DEEP_MEASURE_PERIOD_BROKER_VALUE","DEEP_MEASURE_ID_OVERRIDE",$C46,"DEEP_BROKER_ID_OVERRIDE",BC$24,"DEEP_PERIOD_OVERRIDE",$H$19)*1,"")))</f>
        <v/>
      </c>
      <c r="BD46" s="17" t="str">
        <f>IF(OR(BD$23="",ISNA($B46)),"",IF(ISBLANK($B46),"",IFERROR(_xll.BDP(TICKER,"DEEP_MEASURE_PERIOD_BROKER_VALUE","DEEP_MEASURE_ID_OVERRIDE",$C46,"DEEP_BROKER_ID_OVERRIDE",BD$24,"DEEP_PERIOD_OVERRIDE",$H$19)*1,"")))</f>
        <v/>
      </c>
      <c r="BE46" s="17" t="str">
        <f>IF(OR(BE$23="",ISNA($B46)),"",IF(ISBLANK($B46),"",IFERROR(_xll.BDP(TICKER,"DEEP_MEASURE_PERIOD_BROKER_VALUE","DEEP_MEASURE_ID_OVERRIDE",$C46,"DEEP_BROKER_ID_OVERRIDE",BE$24,"DEEP_PERIOD_OVERRIDE",$H$19)*1,"")))</f>
        <v/>
      </c>
      <c r="BF46" s="17" t="str">
        <f>IF(OR(BF$23="",ISNA($B46)),"",IF(ISBLANK($B46),"",IFERROR(_xll.BDP(TICKER,"DEEP_MEASURE_PERIOD_BROKER_VALUE","DEEP_MEASURE_ID_OVERRIDE",$C46,"DEEP_BROKER_ID_OVERRIDE",BF$24,"DEEP_PERIOD_OVERRIDE",$H$19)*1,"")))</f>
        <v/>
      </c>
      <c r="BG46" s="17" t="str">
        <f>IF(OR(BG$23="",ISNA($B46)),"",IF(ISBLANK($B46),"",IFERROR(_xll.BDP(TICKER,"DEEP_MEASURE_PERIOD_BROKER_VALUE","DEEP_MEASURE_ID_OVERRIDE",$C46,"DEEP_BROKER_ID_OVERRIDE",BG$24,"DEEP_PERIOD_OVERRIDE",$H$19)*1,"")))</f>
        <v/>
      </c>
      <c r="BH46" s="17" t="str">
        <f>IF(OR(BH$23="",ISNA($B46)),"",IF(ISBLANK($B46),"",IFERROR(_xll.BDP(TICKER,"DEEP_MEASURE_PERIOD_BROKER_VALUE","DEEP_MEASURE_ID_OVERRIDE",$C46,"DEEP_BROKER_ID_OVERRIDE",BH$24,"DEEP_PERIOD_OVERRIDE",$H$19)*1,"")))</f>
        <v/>
      </c>
      <c r="BI46" s="17" t="str">
        <f>IF(OR(BI$23="",ISNA($B46)),"",IF(ISBLANK($B46),"",IFERROR(_xll.BDP(TICKER,"DEEP_MEASURE_PERIOD_BROKER_VALUE","DEEP_MEASURE_ID_OVERRIDE",$C46,"DEEP_BROKER_ID_OVERRIDE",BI$24,"DEEP_PERIOD_OVERRIDE",$H$19)*1,"")))</f>
        <v/>
      </c>
      <c r="BJ46" s="17" t="str">
        <f>IF(OR(BJ$23="",ISNA($B46)),"",IF(ISBLANK($B46),"",IFERROR(_xll.BDP(TICKER,"DEEP_MEASURE_PERIOD_BROKER_VALUE","DEEP_MEASURE_ID_OVERRIDE",$C46,"DEEP_BROKER_ID_OVERRIDE",BJ$24,"DEEP_PERIOD_OVERRIDE",$H$19)*1,"")))</f>
        <v/>
      </c>
      <c r="BK46" s="17" t="str">
        <f>IF(OR(BK$23="",ISNA($B46)),"",IF(ISBLANK($B46),"",IFERROR(_xll.BDP(TICKER,"DEEP_MEASURE_PERIOD_BROKER_VALUE","DEEP_MEASURE_ID_OVERRIDE",$C46,"DEEP_BROKER_ID_OVERRIDE",BK$24,"DEEP_PERIOD_OVERRIDE",$H$19)*1,"")))</f>
        <v/>
      </c>
      <c r="BL46" s="17" t="str">
        <f>IF(OR(BL$23="",ISNA($B46)),"",IF(ISBLANK($B46),"",IFERROR(_xll.BDP(TICKER,"DEEP_MEASURE_PERIOD_BROKER_VALUE","DEEP_MEASURE_ID_OVERRIDE",$C46,"DEEP_BROKER_ID_OVERRIDE",BL$24,"DEEP_PERIOD_OVERRIDE",$H$19)*1,"")))</f>
        <v/>
      </c>
      <c r="BM46" s="17" t="str">
        <f>IF(OR(BM$23="",ISNA($B46)),"",IF(ISBLANK($B46),"",IFERROR(_xll.BDP(TICKER,"DEEP_MEASURE_PERIOD_BROKER_VALUE","DEEP_MEASURE_ID_OVERRIDE",$C46,"DEEP_BROKER_ID_OVERRIDE",BM$24,"DEEP_PERIOD_OVERRIDE",$H$19)*1,"")))</f>
        <v/>
      </c>
      <c r="BN46" s="17" t="str">
        <f>IF(OR(BN$23="",ISNA($B46)),"",IF(ISBLANK($B46),"",IFERROR(_xll.BDP(TICKER,"DEEP_MEASURE_PERIOD_BROKER_VALUE","DEEP_MEASURE_ID_OVERRIDE",$C46,"DEEP_BROKER_ID_OVERRIDE",BN$24,"DEEP_PERIOD_OVERRIDE",$H$19)*1,"")))</f>
        <v/>
      </c>
      <c r="BO46" s="17" t="str">
        <f>IF(OR(BO$23="",ISNA($B46)),"",IF(ISBLANK($B46),"",IFERROR(_xll.BDP(TICKER,"DEEP_MEASURE_PERIOD_BROKER_VALUE","DEEP_MEASURE_ID_OVERRIDE",$C46,"DEEP_BROKER_ID_OVERRIDE",BO$24,"DEEP_PERIOD_OVERRIDE",$H$19)*1,"")))</f>
        <v/>
      </c>
      <c r="BP46" s="17" t="str">
        <f>IF(OR(BP$23="",ISNA($B46)),"",IF(ISBLANK($B46),"",IFERROR(_xll.BDP(TICKER,"DEEP_MEASURE_PERIOD_BROKER_VALUE","DEEP_MEASURE_ID_OVERRIDE",$C46,"DEEP_BROKER_ID_OVERRIDE",BP$24,"DEEP_PERIOD_OVERRIDE",$H$19)*1,"")))</f>
        <v/>
      </c>
      <c r="BQ46" s="17" t="str">
        <f>IF(OR(BQ$23="",ISNA($B46)),"",IF(ISBLANK($B46),"",IFERROR(_xll.BDP(TICKER,"DEEP_MEASURE_PERIOD_BROKER_VALUE","DEEP_MEASURE_ID_OVERRIDE",$C46,"DEEP_BROKER_ID_OVERRIDE",BQ$24,"DEEP_PERIOD_OVERRIDE",$H$19)*1,"")))</f>
        <v/>
      </c>
      <c r="BR46" s="17" t="str">
        <f>IF(OR(BR$23="",ISNA($B46)),"",IF(ISBLANK($B46),"",IFERROR(_xll.BDP(TICKER,"DEEP_MEASURE_PERIOD_BROKER_VALUE","DEEP_MEASURE_ID_OVERRIDE",$C46,"DEEP_BROKER_ID_OVERRIDE",BR$24,"DEEP_PERIOD_OVERRIDE",$H$19)*1,"")))</f>
        <v/>
      </c>
      <c r="BS46" s="17" t="str">
        <f>IF(OR(BS$23="",ISNA($B46)),"",IF(ISBLANK($B46),"",IFERROR(_xll.BDP(TICKER,"DEEP_MEASURE_PERIOD_BROKER_VALUE","DEEP_MEASURE_ID_OVERRIDE",$C46,"DEEP_BROKER_ID_OVERRIDE",BS$24,"DEEP_PERIOD_OVERRIDE",$H$19)*1,"")))</f>
        <v/>
      </c>
      <c r="BT46" s="17" t="str">
        <f>IF(OR(BT$23="",ISNA($B46)),"",IF(ISBLANK($B46),"",IFERROR(_xll.BDP(TICKER,"DEEP_MEASURE_PERIOD_BROKER_VALUE","DEEP_MEASURE_ID_OVERRIDE",$C46,"DEEP_BROKER_ID_OVERRIDE",BT$24,"DEEP_PERIOD_OVERRIDE",$H$19)*1,"")))</f>
        <v/>
      </c>
      <c r="BU46" s="17" t="str">
        <f>IF(OR(BU$23="",ISNA($B46)),"",IF(ISBLANK($B46),"",IFERROR(_xll.BDP(TICKER,"DEEP_MEASURE_PERIOD_BROKER_VALUE","DEEP_MEASURE_ID_OVERRIDE",$C46,"DEEP_BROKER_ID_OVERRIDE",BU$24,"DEEP_PERIOD_OVERRIDE",$H$19)*1,"")))</f>
        <v/>
      </c>
      <c r="BV46" s="17" t="str">
        <f>IF(OR(BV$23="",ISNA($B46)),"",IF(ISBLANK($B46),"",IFERROR(_xll.BDP(TICKER,"DEEP_MEASURE_PERIOD_BROKER_VALUE","DEEP_MEASURE_ID_OVERRIDE",$C46,"DEEP_BROKER_ID_OVERRIDE",BV$24,"DEEP_PERIOD_OVERRIDE",$H$19)*1,"")))</f>
        <v/>
      </c>
      <c r="BW46" s="17" t="str">
        <f>IF(OR(BW$23="",ISNA($B46)),"",IF(ISBLANK($B46),"",IFERROR(_xll.BDP(TICKER,"DEEP_MEASURE_PERIOD_BROKER_VALUE","DEEP_MEASURE_ID_OVERRIDE",$C46,"DEEP_BROKER_ID_OVERRIDE",BW$24,"DEEP_PERIOD_OVERRIDE",$H$19)*1,"")))</f>
        <v/>
      </c>
      <c r="BX46" s="17" t="str">
        <f>IF(OR(BX$23="",ISNA($B46)),"",IF(ISBLANK($B46),"",IFERROR(_xll.BDP(TICKER,"DEEP_MEASURE_PERIOD_BROKER_VALUE","DEEP_MEASURE_ID_OVERRIDE",$C46,"DEEP_BROKER_ID_OVERRIDE",BX$24,"DEEP_PERIOD_OVERRIDE",$H$19)*1,"")))</f>
        <v/>
      </c>
      <c r="BY46" s="17" t="str">
        <f>IF(OR(BY$23="",ISNA($B46)),"",IF(ISBLANK($B46),"",IFERROR(_xll.BDP(TICKER,"DEEP_MEASURE_PERIOD_BROKER_VALUE","DEEP_MEASURE_ID_OVERRIDE",$C46,"DEEP_BROKER_ID_OVERRIDE",BY$24,"DEEP_PERIOD_OVERRIDE",$H$19)*1,"")))</f>
        <v/>
      </c>
      <c r="BZ46" s="17" t="str">
        <f>IF(OR(BZ$23="",ISNA($B46)),"",IF(ISBLANK($B46),"",IFERROR(_xll.BDP(TICKER,"DEEP_MEASURE_PERIOD_BROKER_VALUE","DEEP_MEASURE_ID_OVERRIDE",$C46,"DEEP_BROKER_ID_OVERRIDE",BZ$24,"DEEP_PERIOD_OVERRIDE",$H$19)*1,"")))</f>
        <v/>
      </c>
    </row>
    <row r="47" spans="2:78" x14ac:dyDescent="0.25">
      <c r="B47" t="s">
        <v>93</v>
      </c>
      <c r="C47" s="11">
        <v>9845</v>
      </c>
      <c r="H47" t="str">
        <f t="shared" si="1"/>
        <v>Experiences &amp; Dining &gt; Revenue &gt; YoY Growth (%)</v>
      </c>
      <c r="I47" t="str">
        <f>IF(OR(I$23="",ISNA($B47)),"",IF(ISBLANK($B47),"",IFERROR(_xll.BDP(TICKER,"DEEP_MEASURE_PERIOD_BROKER_VALUE","DEEP_MEASURE_ID_OVERRIDE",$C47,"DEEP_PERIOD_OVERRIDE",$H$19)*1,"")))</f>
        <v/>
      </c>
      <c r="J47" t="e">
        <f>IF(OR(J$23="",ISNA($B47)),"",IF(ISBLANK($B47),"",IFERROR(_xll.BDP(TICKER,"DEEP_MEASURE_PERIOD_BROKER_VALUE","DEEP_MEASURE_ID_OVERRIDE",$C47,"DEEP_BROKER_ID_OVERRIDE",J$24,"DEEP_PERIOD_OVERRIDE",$H$19)*1,"")))</f>
        <v>#REF!</v>
      </c>
      <c r="K47" s="17" t="str">
        <f>IF(OR(K$23="",ISNA($B47)),"",IF(ISBLANK($B47),"",IFERROR(_xll.BDP(TICKER,"DEEP_MEASURE_PERIOD_BROKER_VALUE","DEEP_MEASURE_ID_OVERRIDE",$C47,"DEEP_BROKER_ID_OVERRIDE",K$24,"DEEP_PERIOD_OVERRIDE",$H$19)*1,"")))</f>
        <v/>
      </c>
      <c r="L47" s="17" t="str">
        <f>IF(OR(L$23="",ISNA($B47)),"",IF(ISBLANK($B47),"",IFERROR(_xll.BDP(TICKER,"DEEP_MEASURE_PERIOD_BROKER_VALUE","DEEP_MEASURE_ID_OVERRIDE",$C47,"DEEP_BROKER_ID_OVERRIDE",L$24,"DEEP_PERIOD_OVERRIDE",$H$19)*1,"")))</f>
        <v/>
      </c>
      <c r="M47" s="17" t="str">
        <f>IF(OR(M$23="",ISNA($B47)),"",IF(ISBLANK($B47),"",IFERROR(_xll.BDP(TICKER,"DEEP_MEASURE_PERIOD_BROKER_VALUE","DEEP_MEASURE_ID_OVERRIDE",$C47,"DEEP_BROKER_ID_OVERRIDE",M$24,"DEEP_PERIOD_OVERRIDE",$H$19)*1,"")))</f>
        <v/>
      </c>
      <c r="N47" s="17" t="str">
        <f>IF(OR(N$23="",ISNA($B47)),"",IF(ISBLANK($B47),"",IFERROR(_xll.BDP(TICKER,"DEEP_MEASURE_PERIOD_BROKER_VALUE","DEEP_MEASURE_ID_OVERRIDE",$C47,"DEEP_BROKER_ID_OVERRIDE",N$24,"DEEP_PERIOD_OVERRIDE",$H$19)*1,"")))</f>
        <v/>
      </c>
      <c r="O47" s="17" t="str">
        <f>IF(OR(O$23="",ISNA($B47)),"",IF(ISBLANK($B47),"",IFERROR(_xll.BDP(TICKER,"DEEP_MEASURE_PERIOD_BROKER_VALUE","DEEP_MEASURE_ID_OVERRIDE",$C47,"DEEP_BROKER_ID_OVERRIDE",O$24,"DEEP_PERIOD_OVERRIDE",$H$19)*1,"")))</f>
        <v/>
      </c>
      <c r="P47" s="17" t="str">
        <f>IF(OR(P$23="",ISNA($B47)),"",IF(ISBLANK($B47),"",IFERROR(_xll.BDP(TICKER,"DEEP_MEASURE_PERIOD_BROKER_VALUE","DEEP_MEASURE_ID_OVERRIDE",$C47,"DEEP_BROKER_ID_OVERRIDE",P$24,"DEEP_PERIOD_OVERRIDE",$H$19)*1,"")))</f>
        <v/>
      </c>
      <c r="Q47" s="17" t="str">
        <f>IF(OR(Q$23="",ISNA($B47)),"",IF(ISBLANK($B47),"",IFERROR(_xll.BDP(TICKER,"DEEP_MEASURE_PERIOD_BROKER_VALUE","DEEP_MEASURE_ID_OVERRIDE",$C47,"DEEP_BROKER_ID_OVERRIDE",Q$24,"DEEP_PERIOD_OVERRIDE",$H$19)*1,"")))</f>
        <v/>
      </c>
      <c r="R47" s="17" t="str">
        <f>IF(OR(R$23="",ISNA($B47)),"",IF(ISBLANK($B47),"",IFERROR(_xll.BDP(TICKER,"DEEP_MEASURE_PERIOD_BROKER_VALUE","DEEP_MEASURE_ID_OVERRIDE",$C47,"DEEP_BROKER_ID_OVERRIDE",R$24,"DEEP_PERIOD_OVERRIDE",$H$19)*1,"")))</f>
        <v/>
      </c>
      <c r="S47" s="17" t="str">
        <f>IF(OR(S$23="",ISNA($B47)),"",IF(ISBLANK($B47),"",IFERROR(_xll.BDP(TICKER,"DEEP_MEASURE_PERIOD_BROKER_VALUE","DEEP_MEASURE_ID_OVERRIDE",$C47,"DEEP_BROKER_ID_OVERRIDE",S$24,"DEEP_PERIOD_OVERRIDE",$H$19)*1,"")))</f>
        <v/>
      </c>
      <c r="T47" s="17" t="str">
        <f>IF(OR(T$23="",ISNA($B47)),"",IF(ISBLANK($B47),"",IFERROR(_xll.BDP(TICKER,"DEEP_MEASURE_PERIOD_BROKER_VALUE","DEEP_MEASURE_ID_OVERRIDE",$C47,"DEEP_BROKER_ID_OVERRIDE",T$24,"DEEP_PERIOD_OVERRIDE",$H$19)*1,"")))</f>
        <v/>
      </c>
      <c r="U47" s="17" t="str">
        <f>IF(OR(U$23="",ISNA($B47)),"",IF(ISBLANK($B47),"",IFERROR(_xll.BDP(TICKER,"DEEP_MEASURE_PERIOD_BROKER_VALUE","DEEP_MEASURE_ID_OVERRIDE",$C47,"DEEP_BROKER_ID_OVERRIDE",U$24,"DEEP_PERIOD_OVERRIDE",$H$19)*1,"")))</f>
        <v/>
      </c>
      <c r="V47" s="17" t="str">
        <f>IF(OR(V$23="",ISNA($B47)),"",IF(ISBLANK($B47),"",IFERROR(_xll.BDP(TICKER,"DEEP_MEASURE_PERIOD_BROKER_VALUE","DEEP_MEASURE_ID_OVERRIDE",$C47,"DEEP_BROKER_ID_OVERRIDE",V$24,"DEEP_PERIOD_OVERRIDE",$H$19)*1,"")))</f>
        <v/>
      </c>
      <c r="W47" s="17" t="str">
        <f>IF(OR(W$23="",ISNA($B47)),"",IF(ISBLANK($B47),"",IFERROR(_xll.BDP(TICKER,"DEEP_MEASURE_PERIOD_BROKER_VALUE","DEEP_MEASURE_ID_OVERRIDE",$C47,"DEEP_BROKER_ID_OVERRIDE",W$24,"DEEP_PERIOD_OVERRIDE",$H$19)*1,"")))</f>
        <v/>
      </c>
      <c r="X47" s="17" t="str">
        <f>IF(OR(X$23="",ISNA($B47)),"",IF(ISBLANK($B47),"",IFERROR(_xll.BDP(TICKER,"DEEP_MEASURE_PERIOD_BROKER_VALUE","DEEP_MEASURE_ID_OVERRIDE",$C47,"DEEP_BROKER_ID_OVERRIDE",X$24,"DEEP_PERIOD_OVERRIDE",$H$19)*1,"")))</f>
        <v/>
      </c>
      <c r="Y47" s="17" t="str">
        <f>IF(OR(Y$23="",ISNA($B47)),"",IF(ISBLANK($B47),"",IFERROR(_xll.BDP(TICKER,"DEEP_MEASURE_PERIOD_BROKER_VALUE","DEEP_MEASURE_ID_OVERRIDE",$C47,"DEEP_BROKER_ID_OVERRIDE",Y$24,"DEEP_PERIOD_OVERRIDE",$H$19)*1,"")))</f>
        <v/>
      </c>
      <c r="Z47" s="17" t="str">
        <f>IF(OR(Z$23="",ISNA($B47)),"",IF(ISBLANK($B47),"",IFERROR(_xll.BDP(TICKER,"DEEP_MEASURE_PERIOD_BROKER_VALUE","DEEP_MEASURE_ID_OVERRIDE",$C47,"DEEP_BROKER_ID_OVERRIDE",Z$24,"DEEP_PERIOD_OVERRIDE",$H$19)*1,"")))</f>
        <v/>
      </c>
      <c r="AA47" s="17" t="str">
        <f>IF(OR(AA$23="",ISNA($B47)),"",IF(ISBLANK($B47),"",IFERROR(_xll.BDP(TICKER,"DEEP_MEASURE_PERIOD_BROKER_VALUE","DEEP_MEASURE_ID_OVERRIDE",$C47,"DEEP_BROKER_ID_OVERRIDE",AA$24,"DEEP_PERIOD_OVERRIDE",$H$19)*1,"")))</f>
        <v/>
      </c>
      <c r="AB47" s="17" t="str">
        <f>IF(OR(AB$23="",ISNA($B47)),"",IF(ISBLANK($B47),"",IFERROR(_xll.BDP(TICKER,"DEEP_MEASURE_PERIOD_BROKER_VALUE","DEEP_MEASURE_ID_OVERRIDE",$C47,"DEEP_BROKER_ID_OVERRIDE",AB$24,"DEEP_PERIOD_OVERRIDE",$H$19)*1,"")))</f>
        <v/>
      </c>
      <c r="AC47" s="17" t="str">
        <f>IF(OR(AC$23="",ISNA($B47)),"",IF(ISBLANK($B47),"",IFERROR(_xll.BDP(TICKER,"DEEP_MEASURE_PERIOD_BROKER_VALUE","DEEP_MEASURE_ID_OVERRIDE",$C47,"DEEP_BROKER_ID_OVERRIDE",AC$24,"DEEP_PERIOD_OVERRIDE",$H$19)*1,"")))</f>
        <v/>
      </c>
      <c r="AD47" s="17" t="str">
        <f>IF(OR(AD$23="",ISNA($B47)),"",IF(ISBLANK($B47),"",IFERROR(_xll.BDP(TICKER,"DEEP_MEASURE_PERIOD_BROKER_VALUE","DEEP_MEASURE_ID_OVERRIDE",$C47,"DEEP_BROKER_ID_OVERRIDE",AD$24,"DEEP_PERIOD_OVERRIDE",$H$19)*1,"")))</f>
        <v/>
      </c>
      <c r="AE47" s="17" t="str">
        <f>IF(OR(AE$23="",ISNA($B47)),"",IF(ISBLANK($B47),"",IFERROR(_xll.BDP(TICKER,"DEEP_MEASURE_PERIOD_BROKER_VALUE","DEEP_MEASURE_ID_OVERRIDE",$C47,"DEEP_BROKER_ID_OVERRIDE",AE$24,"DEEP_PERIOD_OVERRIDE",$H$19)*1,"")))</f>
        <v/>
      </c>
      <c r="AF47" s="17" t="str">
        <f>IF(OR(AF$23="",ISNA($B47)),"",IF(ISBLANK($B47),"",IFERROR(_xll.BDP(TICKER,"DEEP_MEASURE_PERIOD_BROKER_VALUE","DEEP_MEASURE_ID_OVERRIDE",$C47,"DEEP_BROKER_ID_OVERRIDE",AF$24,"DEEP_PERIOD_OVERRIDE",$H$19)*1,"")))</f>
        <v/>
      </c>
      <c r="AG47" s="17" t="str">
        <f>IF(OR(AG$23="",ISNA($B47)),"",IF(ISBLANK($B47),"",IFERROR(_xll.BDP(TICKER,"DEEP_MEASURE_PERIOD_BROKER_VALUE","DEEP_MEASURE_ID_OVERRIDE",$C47,"DEEP_BROKER_ID_OVERRIDE",AG$24,"DEEP_PERIOD_OVERRIDE",$H$19)*1,"")))</f>
        <v/>
      </c>
      <c r="AH47" s="17" t="str">
        <f>IF(OR(AH$23="",ISNA($B47)),"",IF(ISBLANK($B47),"",IFERROR(_xll.BDP(TICKER,"DEEP_MEASURE_PERIOD_BROKER_VALUE","DEEP_MEASURE_ID_OVERRIDE",$C47,"DEEP_BROKER_ID_OVERRIDE",AH$24,"DEEP_PERIOD_OVERRIDE",$H$19)*1,"")))</f>
        <v/>
      </c>
      <c r="AI47" s="17" t="str">
        <f>IF(OR(AI$23="",ISNA($B47)),"",IF(ISBLANK($B47),"",IFERROR(_xll.BDP(TICKER,"DEEP_MEASURE_PERIOD_BROKER_VALUE","DEEP_MEASURE_ID_OVERRIDE",$C47,"DEEP_BROKER_ID_OVERRIDE",AI$24,"DEEP_PERIOD_OVERRIDE",$H$19)*1,"")))</f>
        <v/>
      </c>
      <c r="AJ47" s="17" t="str">
        <f>IF(OR(AJ$23="",ISNA($B47)),"",IF(ISBLANK($B47),"",IFERROR(_xll.BDP(TICKER,"DEEP_MEASURE_PERIOD_BROKER_VALUE","DEEP_MEASURE_ID_OVERRIDE",$C47,"DEEP_BROKER_ID_OVERRIDE",AJ$24,"DEEP_PERIOD_OVERRIDE",$H$19)*1,"")))</f>
        <v/>
      </c>
      <c r="AK47" s="17" t="str">
        <f>IF(OR(AK$23="",ISNA($B47)),"",IF(ISBLANK($B47),"",IFERROR(_xll.BDP(TICKER,"DEEP_MEASURE_PERIOD_BROKER_VALUE","DEEP_MEASURE_ID_OVERRIDE",$C47,"DEEP_BROKER_ID_OVERRIDE",AK$24,"DEEP_PERIOD_OVERRIDE",$H$19)*1,"")))</f>
        <v/>
      </c>
      <c r="AL47" s="17" t="str">
        <f>IF(OR(AL$23="",ISNA($B47)),"",IF(ISBLANK($B47),"",IFERROR(_xll.BDP(TICKER,"DEEP_MEASURE_PERIOD_BROKER_VALUE","DEEP_MEASURE_ID_OVERRIDE",$C47,"DEEP_BROKER_ID_OVERRIDE",AL$24,"DEEP_PERIOD_OVERRIDE",$H$19)*1,"")))</f>
        <v/>
      </c>
      <c r="AM47" s="17" t="str">
        <f>IF(OR(AM$23="",ISNA($B47)),"",IF(ISBLANK($B47),"",IFERROR(_xll.BDP(TICKER,"DEEP_MEASURE_PERIOD_BROKER_VALUE","DEEP_MEASURE_ID_OVERRIDE",$C47,"DEEP_BROKER_ID_OVERRIDE",AM$24,"DEEP_PERIOD_OVERRIDE",$H$19)*1,"")))</f>
        <v/>
      </c>
      <c r="AN47" s="17" t="str">
        <f>IF(OR(AN$23="",ISNA($B47)),"",IF(ISBLANK($B47),"",IFERROR(_xll.BDP(TICKER,"DEEP_MEASURE_PERIOD_BROKER_VALUE","DEEP_MEASURE_ID_OVERRIDE",$C47,"DEEP_BROKER_ID_OVERRIDE",AN$24,"DEEP_PERIOD_OVERRIDE",$H$19)*1,"")))</f>
        <v/>
      </c>
      <c r="AO47" s="17" t="str">
        <f>IF(OR(AO$23="",ISNA($B47)),"",IF(ISBLANK($B47),"",IFERROR(_xll.BDP(TICKER,"DEEP_MEASURE_PERIOD_BROKER_VALUE","DEEP_MEASURE_ID_OVERRIDE",$C47,"DEEP_BROKER_ID_OVERRIDE",AO$24,"DEEP_PERIOD_OVERRIDE",$H$19)*1,"")))</f>
        <v/>
      </c>
      <c r="AP47" s="17" t="str">
        <f>IF(OR(AP$23="",ISNA($B47)),"",IF(ISBLANK($B47),"",IFERROR(_xll.BDP(TICKER,"DEEP_MEASURE_PERIOD_BROKER_VALUE","DEEP_MEASURE_ID_OVERRIDE",$C47,"DEEP_BROKER_ID_OVERRIDE",AP$24,"DEEP_PERIOD_OVERRIDE",$H$19)*1,"")))</f>
        <v/>
      </c>
      <c r="AQ47" s="17" t="str">
        <f>IF(OR(AQ$23="",ISNA($B47)),"",IF(ISBLANK($B47),"",IFERROR(_xll.BDP(TICKER,"DEEP_MEASURE_PERIOD_BROKER_VALUE","DEEP_MEASURE_ID_OVERRIDE",$C47,"DEEP_BROKER_ID_OVERRIDE",AQ$24,"DEEP_PERIOD_OVERRIDE",$H$19)*1,"")))</f>
        <v/>
      </c>
      <c r="AR47" s="17" t="str">
        <f>IF(OR(AR$23="",ISNA($B47)),"",IF(ISBLANK($B47),"",IFERROR(_xll.BDP(TICKER,"DEEP_MEASURE_PERIOD_BROKER_VALUE","DEEP_MEASURE_ID_OVERRIDE",$C47,"DEEP_BROKER_ID_OVERRIDE",AR$24,"DEEP_PERIOD_OVERRIDE",$H$19)*1,"")))</f>
        <v/>
      </c>
      <c r="AS47" s="17" t="str">
        <f>IF(OR(AS$23="",ISNA($B47)),"",IF(ISBLANK($B47),"",IFERROR(_xll.BDP(TICKER,"DEEP_MEASURE_PERIOD_BROKER_VALUE","DEEP_MEASURE_ID_OVERRIDE",$C47,"DEEP_BROKER_ID_OVERRIDE",AS$24,"DEEP_PERIOD_OVERRIDE",$H$19)*1,"")))</f>
        <v/>
      </c>
      <c r="AT47" s="17" t="str">
        <f>IF(OR(AT$23="",ISNA($B47)),"",IF(ISBLANK($B47),"",IFERROR(_xll.BDP(TICKER,"DEEP_MEASURE_PERIOD_BROKER_VALUE","DEEP_MEASURE_ID_OVERRIDE",$C47,"DEEP_BROKER_ID_OVERRIDE",AT$24,"DEEP_PERIOD_OVERRIDE",$H$19)*1,"")))</f>
        <v/>
      </c>
      <c r="AU47" s="17" t="str">
        <f>IF(OR(AU$23="",ISNA($B47)),"",IF(ISBLANK($B47),"",IFERROR(_xll.BDP(TICKER,"DEEP_MEASURE_PERIOD_BROKER_VALUE","DEEP_MEASURE_ID_OVERRIDE",$C47,"DEEP_BROKER_ID_OVERRIDE",AU$24,"DEEP_PERIOD_OVERRIDE",$H$19)*1,"")))</f>
        <v/>
      </c>
      <c r="AV47" s="17" t="str">
        <f>IF(OR(AV$23="",ISNA($B47)),"",IF(ISBLANK($B47),"",IFERROR(_xll.BDP(TICKER,"DEEP_MEASURE_PERIOD_BROKER_VALUE","DEEP_MEASURE_ID_OVERRIDE",$C47,"DEEP_BROKER_ID_OVERRIDE",AV$24,"DEEP_PERIOD_OVERRIDE",$H$19)*1,"")))</f>
        <v/>
      </c>
      <c r="AW47" s="17" t="str">
        <f>IF(OR(AW$23="",ISNA($B47)),"",IF(ISBLANK($B47),"",IFERROR(_xll.BDP(TICKER,"DEEP_MEASURE_PERIOD_BROKER_VALUE","DEEP_MEASURE_ID_OVERRIDE",$C47,"DEEP_BROKER_ID_OVERRIDE",AW$24,"DEEP_PERIOD_OVERRIDE",$H$19)*1,"")))</f>
        <v/>
      </c>
      <c r="AX47" s="17" t="str">
        <f>IF(OR(AX$23="",ISNA($B47)),"",IF(ISBLANK($B47),"",IFERROR(_xll.BDP(TICKER,"DEEP_MEASURE_PERIOD_BROKER_VALUE","DEEP_MEASURE_ID_OVERRIDE",$C47,"DEEP_BROKER_ID_OVERRIDE",AX$24,"DEEP_PERIOD_OVERRIDE",$H$19)*1,"")))</f>
        <v/>
      </c>
      <c r="AY47" s="17" t="str">
        <f>IF(OR(AY$23="",ISNA($B47)),"",IF(ISBLANK($B47),"",IFERROR(_xll.BDP(TICKER,"DEEP_MEASURE_PERIOD_BROKER_VALUE","DEEP_MEASURE_ID_OVERRIDE",$C47,"DEEP_BROKER_ID_OVERRIDE",AY$24,"DEEP_PERIOD_OVERRIDE",$H$19)*1,"")))</f>
        <v/>
      </c>
      <c r="AZ47" s="17" t="str">
        <f>IF(OR(AZ$23="",ISNA($B47)),"",IF(ISBLANK($B47),"",IFERROR(_xll.BDP(TICKER,"DEEP_MEASURE_PERIOD_BROKER_VALUE","DEEP_MEASURE_ID_OVERRIDE",$C47,"DEEP_BROKER_ID_OVERRIDE",AZ$24,"DEEP_PERIOD_OVERRIDE",$H$19)*1,"")))</f>
        <v/>
      </c>
      <c r="BA47" s="17" t="str">
        <f>IF(OR(BA$23="",ISNA($B47)),"",IF(ISBLANK($B47),"",IFERROR(_xll.BDP(TICKER,"DEEP_MEASURE_PERIOD_BROKER_VALUE","DEEP_MEASURE_ID_OVERRIDE",$C47,"DEEP_BROKER_ID_OVERRIDE",BA$24,"DEEP_PERIOD_OVERRIDE",$H$19)*1,"")))</f>
        <v/>
      </c>
      <c r="BB47" s="17" t="str">
        <f>IF(OR(BB$23="",ISNA($B47)),"",IF(ISBLANK($B47),"",IFERROR(_xll.BDP(TICKER,"DEEP_MEASURE_PERIOD_BROKER_VALUE","DEEP_MEASURE_ID_OVERRIDE",$C47,"DEEP_BROKER_ID_OVERRIDE",BB$24,"DEEP_PERIOD_OVERRIDE",$H$19)*1,"")))</f>
        <v/>
      </c>
      <c r="BC47" s="17" t="str">
        <f>IF(OR(BC$23="",ISNA($B47)),"",IF(ISBLANK($B47),"",IFERROR(_xll.BDP(TICKER,"DEEP_MEASURE_PERIOD_BROKER_VALUE","DEEP_MEASURE_ID_OVERRIDE",$C47,"DEEP_BROKER_ID_OVERRIDE",BC$24,"DEEP_PERIOD_OVERRIDE",$H$19)*1,"")))</f>
        <v/>
      </c>
      <c r="BD47" s="17" t="str">
        <f>IF(OR(BD$23="",ISNA($B47)),"",IF(ISBLANK($B47),"",IFERROR(_xll.BDP(TICKER,"DEEP_MEASURE_PERIOD_BROKER_VALUE","DEEP_MEASURE_ID_OVERRIDE",$C47,"DEEP_BROKER_ID_OVERRIDE",BD$24,"DEEP_PERIOD_OVERRIDE",$H$19)*1,"")))</f>
        <v/>
      </c>
      <c r="BE47" s="17" t="str">
        <f>IF(OR(BE$23="",ISNA($B47)),"",IF(ISBLANK($B47),"",IFERROR(_xll.BDP(TICKER,"DEEP_MEASURE_PERIOD_BROKER_VALUE","DEEP_MEASURE_ID_OVERRIDE",$C47,"DEEP_BROKER_ID_OVERRIDE",BE$24,"DEEP_PERIOD_OVERRIDE",$H$19)*1,"")))</f>
        <v/>
      </c>
      <c r="BF47" s="17" t="str">
        <f>IF(OR(BF$23="",ISNA($B47)),"",IF(ISBLANK($B47),"",IFERROR(_xll.BDP(TICKER,"DEEP_MEASURE_PERIOD_BROKER_VALUE","DEEP_MEASURE_ID_OVERRIDE",$C47,"DEEP_BROKER_ID_OVERRIDE",BF$24,"DEEP_PERIOD_OVERRIDE",$H$19)*1,"")))</f>
        <v/>
      </c>
      <c r="BG47" s="17" t="str">
        <f>IF(OR(BG$23="",ISNA($B47)),"",IF(ISBLANK($B47),"",IFERROR(_xll.BDP(TICKER,"DEEP_MEASURE_PERIOD_BROKER_VALUE","DEEP_MEASURE_ID_OVERRIDE",$C47,"DEEP_BROKER_ID_OVERRIDE",BG$24,"DEEP_PERIOD_OVERRIDE",$H$19)*1,"")))</f>
        <v/>
      </c>
      <c r="BH47" s="17" t="str">
        <f>IF(OR(BH$23="",ISNA($B47)),"",IF(ISBLANK($B47),"",IFERROR(_xll.BDP(TICKER,"DEEP_MEASURE_PERIOD_BROKER_VALUE","DEEP_MEASURE_ID_OVERRIDE",$C47,"DEEP_BROKER_ID_OVERRIDE",BH$24,"DEEP_PERIOD_OVERRIDE",$H$19)*1,"")))</f>
        <v/>
      </c>
      <c r="BI47" s="17" t="str">
        <f>IF(OR(BI$23="",ISNA($B47)),"",IF(ISBLANK($B47),"",IFERROR(_xll.BDP(TICKER,"DEEP_MEASURE_PERIOD_BROKER_VALUE","DEEP_MEASURE_ID_OVERRIDE",$C47,"DEEP_BROKER_ID_OVERRIDE",BI$24,"DEEP_PERIOD_OVERRIDE",$H$19)*1,"")))</f>
        <v/>
      </c>
      <c r="BJ47" s="17" t="str">
        <f>IF(OR(BJ$23="",ISNA($B47)),"",IF(ISBLANK($B47),"",IFERROR(_xll.BDP(TICKER,"DEEP_MEASURE_PERIOD_BROKER_VALUE","DEEP_MEASURE_ID_OVERRIDE",$C47,"DEEP_BROKER_ID_OVERRIDE",BJ$24,"DEEP_PERIOD_OVERRIDE",$H$19)*1,"")))</f>
        <v/>
      </c>
      <c r="BK47" s="17" t="str">
        <f>IF(OR(BK$23="",ISNA($B47)),"",IF(ISBLANK($B47),"",IFERROR(_xll.BDP(TICKER,"DEEP_MEASURE_PERIOD_BROKER_VALUE","DEEP_MEASURE_ID_OVERRIDE",$C47,"DEEP_BROKER_ID_OVERRIDE",BK$24,"DEEP_PERIOD_OVERRIDE",$H$19)*1,"")))</f>
        <v/>
      </c>
      <c r="BL47" s="17" t="str">
        <f>IF(OR(BL$23="",ISNA($B47)),"",IF(ISBLANK($B47),"",IFERROR(_xll.BDP(TICKER,"DEEP_MEASURE_PERIOD_BROKER_VALUE","DEEP_MEASURE_ID_OVERRIDE",$C47,"DEEP_BROKER_ID_OVERRIDE",BL$24,"DEEP_PERIOD_OVERRIDE",$H$19)*1,"")))</f>
        <v/>
      </c>
      <c r="BM47" s="17" t="str">
        <f>IF(OR(BM$23="",ISNA($B47)),"",IF(ISBLANK($B47),"",IFERROR(_xll.BDP(TICKER,"DEEP_MEASURE_PERIOD_BROKER_VALUE","DEEP_MEASURE_ID_OVERRIDE",$C47,"DEEP_BROKER_ID_OVERRIDE",BM$24,"DEEP_PERIOD_OVERRIDE",$H$19)*1,"")))</f>
        <v/>
      </c>
      <c r="BN47" s="17" t="str">
        <f>IF(OR(BN$23="",ISNA($B47)),"",IF(ISBLANK($B47),"",IFERROR(_xll.BDP(TICKER,"DEEP_MEASURE_PERIOD_BROKER_VALUE","DEEP_MEASURE_ID_OVERRIDE",$C47,"DEEP_BROKER_ID_OVERRIDE",BN$24,"DEEP_PERIOD_OVERRIDE",$H$19)*1,"")))</f>
        <v/>
      </c>
      <c r="BO47" s="17" t="str">
        <f>IF(OR(BO$23="",ISNA($B47)),"",IF(ISBLANK($B47),"",IFERROR(_xll.BDP(TICKER,"DEEP_MEASURE_PERIOD_BROKER_VALUE","DEEP_MEASURE_ID_OVERRIDE",$C47,"DEEP_BROKER_ID_OVERRIDE",BO$24,"DEEP_PERIOD_OVERRIDE",$H$19)*1,"")))</f>
        <v/>
      </c>
      <c r="BP47" s="17" t="str">
        <f>IF(OR(BP$23="",ISNA($B47)),"",IF(ISBLANK($B47),"",IFERROR(_xll.BDP(TICKER,"DEEP_MEASURE_PERIOD_BROKER_VALUE","DEEP_MEASURE_ID_OVERRIDE",$C47,"DEEP_BROKER_ID_OVERRIDE",BP$24,"DEEP_PERIOD_OVERRIDE",$H$19)*1,"")))</f>
        <v/>
      </c>
      <c r="BQ47" s="17" t="str">
        <f>IF(OR(BQ$23="",ISNA($B47)),"",IF(ISBLANK($B47),"",IFERROR(_xll.BDP(TICKER,"DEEP_MEASURE_PERIOD_BROKER_VALUE","DEEP_MEASURE_ID_OVERRIDE",$C47,"DEEP_BROKER_ID_OVERRIDE",BQ$24,"DEEP_PERIOD_OVERRIDE",$H$19)*1,"")))</f>
        <v/>
      </c>
      <c r="BR47" s="17" t="str">
        <f>IF(OR(BR$23="",ISNA($B47)),"",IF(ISBLANK($B47),"",IFERROR(_xll.BDP(TICKER,"DEEP_MEASURE_PERIOD_BROKER_VALUE","DEEP_MEASURE_ID_OVERRIDE",$C47,"DEEP_BROKER_ID_OVERRIDE",BR$24,"DEEP_PERIOD_OVERRIDE",$H$19)*1,"")))</f>
        <v/>
      </c>
      <c r="BS47" s="17" t="str">
        <f>IF(OR(BS$23="",ISNA($B47)),"",IF(ISBLANK($B47),"",IFERROR(_xll.BDP(TICKER,"DEEP_MEASURE_PERIOD_BROKER_VALUE","DEEP_MEASURE_ID_OVERRIDE",$C47,"DEEP_BROKER_ID_OVERRIDE",BS$24,"DEEP_PERIOD_OVERRIDE",$H$19)*1,"")))</f>
        <v/>
      </c>
      <c r="BT47" s="17" t="str">
        <f>IF(OR(BT$23="",ISNA($B47)),"",IF(ISBLANK($B47),"",IFERROR(_xll.BDP(TICKER,"DEEP_MEASURE_PERIOD_BROKER_VALUE","DEEP_MEASURE_ID_OVERRIDE",$C47,"DEEP_BROKER_ID_OVERRIDE",BT$24,"DEEP_PERIOD_OVERRIDE",$H$19)*1,"")))</f>
        <v/>
      </c>
      <c r="BU47" s="17" t="str">
        <f>IF(OR(BU$23="",ISNA($B47)),"",IF(ISBLANK($B47),"",IFERROR(_xll.BDP(TICKER,"DEEP_MEASURE_PERIOD_BROKER_VALUE","DEEP_MEASURE_ID_OVERRIDE",$C47,"DEEP_BROKER_ID_OVERRIDE",BU$24,"DEEP_PERIOD_OVERRIDE",$H$19)*1,"")))</f>
        <v/>
      </c>
      <c r="BV47" s="17" t="str">
        <f>IF(OR(BV$23="",ISNA($B47)),"",IF(ISBLANK($B47),"",IFERROR(_xll.BDP(TICKER,"DEEP_MEASURE_PERIOD_BROKER_VALUE","DEEP_MEASURE_ID_OVERRIDE",$C47,"DEEP_BROKER_ID_OVERRIDE",BV$24,"DEEP_PERIOD_OVERRIDE",$H$19)*1,"")))</f>
        <v/>
      </c>
      <c r="BW47" s="17" t="str">
        <f>IF(OR(BW$23="",ISNA($B47)),"",IF(ISBLANK($B47),"",IFERROR(_xll.BDP(TICKER,"DEEP_MEASURE_PERIOD_BROKER_VALUE","DEEP_MEASURE_ID_OVERRIDE",$C47,"DEEP_BROKER_ID_OVERRIDE",BW$24,"DEEP_PERIOD_OVERRIDE",$H$19)*1,"")))</f>
        <v/>
      </c>
      <c r="BX47" s="17" t="str">
        <f>IF(OR(BX$23="",ISNA($B47)),"",IF(ISBLANK($B47),"",IFERROR(_xll.BDP(TICKER,"DEEP_MEASURE_PERIOD_BROKER_VALUE","DEEP_MEASURE_ID_OVERRIDE",$C47,"DEEP_BROKER_ID_OVERRIDE",BX$24,"DEEP_PERIOD_OVERRIDE",$H$19)*1,"")))</f>
        <v/>
      </c>
      <c r="BY47" s="17" t="str">
        <f>IF(OR(BY$23="",ISNA($B47)),"",IF(ISBLANK($B47),"",IFERROR(_xll.BDP(TICKER,"DEEP_MEASURE_PERIOD_BROKER_VALUE","DEEP_MEASURE_ID_OVERRIDE",$C47,"DEEP_BROKER_ID_OVERRIDE",BY$24,"DEEP_PERIOD_OVERRIDE",$H$19)*1,"")))</f>
        <v/>
      </c>
      <c r="BZ47" s="17" t="str">
        <f>IF(OR(BZ$23="",ISNA($B47)),"",IF(ISBLANK($B47),"",IFERROR(_xll.BDP(TICKER,"DEEP_MEASURE_PERIOD_BROKER_VALUE","DEEP_MEASURE_ID_OVERRIDE",$C47,"DEEP_BROKER_ID_OVERRIDE",BZ$24,"DEEP_PERIOD_OVERRIDE",$H$19)*1,"")))</f>
        <v/>
      </c>
    </row>
    <row r="48" spans="2:78" x14ac:dyDescent="0.25">
      <c r="B48" t="s">
        <v>94</v>
      </c>
      <c r="C48" s="11">
        <v>10272</v>
      </c>
      <c r="H48" t="str">
        <f t="shared" si="1"/>
        <v>Experiences &amp; Dining &gt; Operating Expenses</v>
      </c>
      <c r="I48" t="str">
        <f>IF(OR(I$23="",ISNA($B48)),"",IF(ISBLANK($B48),"",IFERROR(_xll.BDP(TICKER,"DEEP_MEASURE_PERIOD_BROKER_VALUE","DEEP_MEASURE_ID_OVERRIDE",$C48,"DEEP_PERIOD_OVERRIDE",$H$19)*1,"")))</f>
        <v/>
      </c>
      <c r="J48" t="e">
        <f>IF(OR(J$23="",ISNA($B48)),"",IF(ISBLANK($B48),"",IFERROR(_xll.BDP(TICKER,"DEEP_MEASURE_PERIOD_BROKER_VALUE","DEEP_MEASURE_ID_OVERRIDE",$C48,"DEEP_BROKER_ID_OVERRIDE",J$24,"DEEP_PERIOD_OVERRIDE",$H$19)*1,"")))</f>
        <v>#REF!</v>
      </c>
      <c r="K48" s="17" t="str">
        <f>IF(OR(K$23="",ISNA($B48)),"",IF(ISBLANK($B48),"",IFERROR(_xll.BDP(TICKER,"DEEP_MEASURE_PERIOD_BROKER_VALUE","DEEP_MEASURE_ID_OVERRIDE",$C48,"DEEP_BROKER_ID_OVERRIDE",K$24,"DEEP_PERIOD_OVERRIDE",$H$19)*1,"")))</f>
        <v/>
      </c>
      <c r="L48" s="17" t="str">
        <f>IF(OR(L$23="",ISNA($B48)),"",IF(ISBLANK($B48),"",IFERROR(_xll.BDP(TICKER,"DEEP_MEASURE_PERIOD_BROKER_VALUE","DEEP_MEASURE_ID_OVERRIDE",$C48,"DEEP_BROKER_ID_OVERRIDE",L$24,"DEEP_PERIOD_OVERRIDE",$H$19)*1,"")))</f>
        <v/>
      </c>
      <c r="M48" s="17" t="str">
        <f>IF(OR(M$23="",ISNA($B48)),"",IF(ISBLANK($B48),"",IFERROR(_xll.BDP(TICKER,"DEEP_MEASURE_PERIOD_BROKER_VALUE","DEEP_MEASURE_ID_OVERRIDE",$C48,"DEEP_BROKER_ID_OVERRIDE",M$24,"DEEP_PERIOD_OVERRIDE",$H$19)*1,"")))</f>
        <v/>
      </c>
      <c r="N48" s="17" t="str">
        <f>IF(OR(N$23="",ISNA($B48)),"",IF(ISBLANK($B48),"",IFERROR(_xll.BDP(TICKER,"DEEP_MEASURE_PERIOD_BROKER_VALUE","DEEP_MEASURE_ID_OVERRIDE",$C48,"DEEP_BROKER_ID_OVERRIDE",N$24,"DEEP_PERIOD_OVERRIDE",$H$19)*1,"")))</f>
        <v/>
      </c>
      <c r="O48" s="17" t="str">
        <f>IF(OR(O$23="",ISNA($B48)),"",IF(ISBLANK($B48),"",IFERROR(_xll.BDP(TICKER,"DEEP_MEASURE_PERIOD_BROKER_VALUE","DEEP_MEASURE_ID_OVERRIDE",$C48,"DEEP_BROKER_ID_OVERRIDE",O$24,"DEEP_PERIOD_OVERRIDE",$H$19)*1,"")))</f>
        <v/>
      </c>
      <c r="P48" s="17" t="str">
        <f>IF(OR(P$23="",ISNA($B48)),"",IF(ISBLANK($B48),"",IFERROR(_xll.BDP(TICKER,"DEEP_MEASURE_PERIOD_BROKER_VALUE","DEEP_MEASURE_ID_OVERRIDE",$C48,"DEEP_BROKER_ID_OVERRIDE",P$24,"DEEP_PERIOD_OVERRIDE",$H$19)*1,"")))</f>
        <v/>
      </c>
      <c r="Q48" s="17" t="str">
        <f>IF(OR(Q$23="",ISNA($B48)),"",IF(ISBLANK($B48),"",IFERROR(_xll.BDP(TICKER,"DEEP_MEASURE_PERIOD_BROKER_VALUE","DEEP_MEASURE_ID_OVERRIDE",$C48,"DEEP_BROKER_ID_OVERRIDE",Q$24,"DEEP_PERIOD_OVERRIDE",$H$19)*1,"")))</f>
        <v/>
      </c>
      <c r="R48" s="17" t="str">
        <f>IF(OR(R$23="",ISNA($B48)),"",IF(ISBLANK($B48),"",IFERROR(_xll.BDP(TICKER,"DEEP_MEASURE_PERIOD_BROKER_VALUE","DEEP_MEASURE_ID_OVERRIDE",$C48,"DEEP_BROKER_ID_OVERRIDE",R$24,"DEEP_PERIOD_OVERRIDE",$H$19)*1,"")))</f>
        <v/>
      </c>
      <c r="S48" s="17" t="str">
        <f>IF(OR(S$23="",ISNA($B48)),"",IF(ISBLANK($B48),"",IFERROR(_xll.BDP(TICKER,"DEEP_MEASURE_PERIOD_BROKER_VALUE","DEEP_MEASURE_ID_OVERRIDE",$C48,"DEEP_BROKER_ID_OVERRIDE",S$24,"DEEP_PERIOD_OVERRIDE",$H$19)*1,"")))</f>
        <v/>
      </c>
      <c r="T48" s="17" t="str">
        <f>IF(OR(T$23="",ISNA($B48)),"",IF(ISBLANK($B48),"",IFERROR(_xll.BDP(TICKER,"DEEP_MEASURE_PERIOD_BROKER_VALUE","DEEP_MEASURE_ID_OVERRIDE",$C48,"DEEP_BROKER_ID_OVERRIDE",T$24,"DEEP_PERIOD_OVERRIDE",$H$19)*1,"")))</f>
        <v/>
      </c>
      <c r="U48" s="17" t="str">
        <f>IF(OR(U$23="",ISNA($B48)),"",IF(ISBLANK($B48),"",IFERROR(_xll.BDP(TICKER,"DEEP_MEASURE_PERIOD_BROKER_VALUE","DEEP_MEASURE_ID_OVERRIDE",$C48,"DEEP_BROKER_ID_OVERRIDE",U$24,"DEEP_PERIOD_OVERRIDE",$H$19)*1,"")))</f>
        <v/>
      </c>
      <c r="V48" s="17" t="str">
        <f>IF(OR(V$23="",ISNA($B48)),"",IF(ISBLANK($B48),"",IFERROR(_xll.BDP(TICKER,"DEEP_MEASURE_PERIOD_BROKER_VALUE","DEEP_MEASURE_ID_OVERRIDE",$C48,"DEEP_BROKER_ID_OVERRIDE",V$24,"DEEP_PERIOD_OVERRIDE",$H$19)*1,"")))</f>
        <v/>
      </c>
      <c r="W48" s="17" t="str">
        <f>IF(OR(W$23="",ISNA($B48)),"",IF(ISBLANK($B48),"",IFERROR(_xll.BDP(TICKER,"DEEP_MEASURE_PERIOD_BROKER_VALUE","DEEP_MEASURE_ID_OVERRIDE",$C48,"DEEP_BROKER_ID_OVERRIDE",W$24,"DEEP_PERIOD_OVERRIDE",$H$19)*1,"")))</f>
        <v/>
      </c>
      <c r="X48" s="17" t="str">
        <f>IF(OR(X$23="",ISNA($B48)),"",IF(ISBLANK($B48),"",IFERROR(_xll.BDP(TICKER,"DEEP_MEASURE_PERIOD_BROKER_VALUE","DEEP_MEASURE_ID_OVERRIDE",$C48,"DEEP_BROKER_ID_OVERRIDE",X$24,"DEEP_PERIOD_OVERRIDE",$H$19)*1,"")))</f>
        <v/>
      </c>
      <c r="Y48" s="17" t="str">
        <f>IF(OR(Y$23="",ISNA($B48)),"",IF(ISBLANK($B48),"",IFERROR(_xll.BDP(TICKER,"DEEP_MEASURE_PERIOD_BROKER_VALUE","DEEP_MEASURE_ID_OVERRIDE",$C48,"DEEP_BROKER_ID_OVERRIDE",Y$24,"DEEP_PERIOD_OVERRIDE",$H$19)*1,"")))</f>
        <v/>
      </c>
      <c r="Z48" s="17" t="str">
        <f>IF(OR(Z$23="",ISNA($B48)),"",IF(ISBLANK($B48),"",IFERROR(_xll.BDP(TICKER,"DEEP_MEASURE_PERIOD_BROKER_VALUE","DEEP_MEASURE_ID_OVERRIDE",$C48,"DEEP_BROKER_ID_OVERRIDE",Z$24,"DEEP_PERIOD_OVERRIDE",$H$19)*1,"")))</f>
        <v/>
      </c>
      <c r="AA48" s="17" t="str">
        <f>IF(OR(AA$23="",ISNA($B48)),"",IF(ISBLANK($B48),"",IFERROR(_xll.BDP(TICKER,"DEEP_MEASURE_PERIOD_BROKER_VALUE","DEEP_MEASURE_ID_OVERRIDE",$C48,"DEEP_BROKER_ID_OVERRIDE",AA$24,"DEEP_PERIOD_OVERRIDE",$H$19)*1,"")))</f>
        <v/>
      </c>
      <c r="AB48" s="17" t="str">
        <f>IF(OR(AB$23="",ISNA($B48)),"",IF(ISBLANK($B48),"",IFERROR(_xll.BDP(TICKER,"DEEP_MEASURE_PERIOD_BROKER_VALUE","DEEP_MEASURE_ID_OVERRIDE",$C48,"DEEP_BROKER_ID_OVERRIDE",AB$24,"DEEP_PERIOD_OVERRIDE",$H$19)*1,"")))</f>
        <v/>
      </c>
      <c r="AC48" s="17" t="str">
        <f>IF(OR(AC$23="",ISNA($B48)),"",IF(ISBLANK($B48),"",IFERROR(_xll.BDP(TICKER,"DEEP_MEASURE_PERIOD_BROKER_VALUE","DEEP_MEASURE_ID_OVERRIDE",$C48,"DEEP_BROKER_ID_OVERRIDE",AC$24,"DEEP_PERIOD_OVERRIDE",$H$19)*1,"")))</f>
        <v/>
      </c>
      <c r="AD48" s="17" t="str">
        <f>IF(OR(AD$23="",ISNA($B48)),"",IF(ISBLANK($B48),"",IFERROR(_xll.BDP(TICKER,"DEEP_MEASURE_PERIOD_BROKER_VALUE","DEEP_MEASURE_ID_OVERRIDE",$C48,"DEEP_BROKER_ID_OVERRIDE",AD$24,"DEEP_PERIOD_OVERRIDE",$H$19)*1,"")))</f>
        <v/>
      </c>
      <c r="AE48" s="17" t="str">
        <f>IF(OR(AE$23="",ISNA($B48)),"",IF(ISBLANK($B48),"",IFERROR(_xll.BDP(TICKER,"DEEP_MEASURE_PERIOD_BROKER_VALUE","DEEP_MEASURE_ID_OVERRIDE",$C48,"DEEP_BROKER_ID_OVERRIDE",AE$24,"DEEP_PERIOD_OVERRIDE",$H$19)*1,"")))</f>
        <v/>
      </c>
      <c r="AF48" s="17" t="str">
        <f>IF(OR(AF$23="",ISNA($B48)),"",IF(ISBLANK($B48),"",IFERROR(_xll.BDP(TICKER,"DEEP_MEASURE_PERIOD_BROKER_VALUE","DEEP_MEASURE_ID_OVERRIDE",$C48,"DEEP_BROKER_ID_OVERRIDE",AF$24,"DEEP_PERIOD_OVERRIDE",$H$19)*1,"")))</f>
        <v/>
      </c>
      <c r="AG48" s="17" t="str">
        <f>IF(OR(AG$23="",ISNA($B48)),"",IF(ISBLANK($B48),"",IFERROR(_xll.BDP(TICKER,"DEEP_MEASURE_PERIOD_BROKER_VALUE","DEEP_MEASURE_ID_OVERRIDE",$C48,"DEEP_BROKER_ID_OVERRIDE",AG$24,"DEEP_PERIOD_OVERRIDE",$H$19)*1,"")))</f>
        <v/>
      </c>
      <c r="AH48" s="17" t="str">
        <f>IF(OR(AH$23="",ISNA($B48)),"",IF(ISBLANK($B48),"",IFERROR(_xll.BDP(TICKER,"DEEP_MEASURE_PERIOD_BROKER_VALUE","DEEP_MEASURE_ID_OVERRIDE",$C48,"DEEP_BROKER_ID_OVERRIDE",AH$24,"DEEP_PERIOD_OVERRIDE",$H$19)*1,"")))</f>
        <v/>
      </c>
      <c r="AI48" s="17" t="str">
        <f>IF(OR(AI$23="",ISNA($B48)),"",IF(ISBLANK($B48),"",IFERROR(_xll.BDP(TICKER,"DEEP_MEASURE_PERIOD_BROKER_VALUE","DEEP_MEASURE_ID_OVERRIDE",$C48,"DEEP_BROKER_ID_OVERRIDE",AI$24,"DEEP_PERIOD_OVERRIDE",$H$19)*1,"")))</f>
        <v/>
      </c>
      <c r="AJ48" s="17" t="str">
        <f>IF(OR(AJ$23="",ISNA($B48)),"",IF(ISBLANK($B48),"",IFERROR(_xll.BDP(TICKER,"DEEP_MEASURE_PERIOD_BROKER_VALUE","DEEP_MEASURE_ID_OVERRIDE",$C48,"DEEP_BROKER_ID_OVERRIDE",AJ$24,"DEEP_PERIOD_OVERRIDE",$H$19)*1,"")))</f>
        <v/>
      </c>
      <c r="AK48" s="17" t="str">
        <f>IF(OR(AK$23="",ISNA($B48)),"",IF(ISBLANK($B48),"",IFERROR(_xll.BDP(TICKER,"DEEP_MEASURE_PERIOD_BROKER_VALUE","DEEP_MEASURE_ID_OVERRIDE",$C48,"DEEP_BROKER_ID_OVERRIDE",AK$24,"DEEP_PERIOD_OVERRIDE",$H$19)*1,"")))</f>
        <v/>
      </c>
      <c r="AL48" s="17" t="str">
        <f>IF(OR(AL$23="",ISNA($B48)),"",IF(ISBLANK($B48),"",IFERROR(_xll.BDP(TICKER,"DEEP_MEASURE_PERIOD_BROKER_VALUE","DEEP_MEASURE_ID_OVERRIDE",$C48,"DEEP_BROKER_ID_OVERRIDE",AL$24,"DEEP_PERIOD_OVERRIDE",$H$19)*1,"")))</f>
        <v/>
      </c>
      <c r="AM48" s="17" t="str">
        <f>IF(OR(AM$23="",ISNA($B48)),"",IF(ISBLANK($B48),"",IFERROR(_xll.BDP(TICKER,"DEEP_MEASURE_PERIOD_BROKER_VALUE","DEEP_MEASURE_ID_OVERRIDE",$C48,"DEEP_BROKER_ID_OVERRIDE",AM$24,"DEEP_PERIOD_OVERRIDE",$H$19)*1,"")))</f>
        <v/>
      </c>
      <c r="AN48" s="17" t="str">
        <f>IF(OR(AN$23="",ISNA($B48)),"",IF(ISBLANK($B48),"",IFERROR(_xll.BDP(TICKER,"DEEP_MEASURE_PERIOD_BROKER_VALUE","DEEP_MEASURE_ID_OVERRIDE",$C48,"DEEP_BROKER_ID_OVERRIDE",AN$24,"DEEP_PERIOD_OVERRIDE",$H$19)*1,"")))</f>
        <v/>
      </c>
      <c r="AO48" s="17" t="str">
        <f>IF(OR(AO$23="",ISNA($B48)),"",IF(ISBLANK($B48),"",IFERROR(_xll.BDP(TICKER,"DEEP_MEASURE_PERIOD_BROKER_VALUE","DEEP_MEASURE_ID_OVERRIDE",$C48,"DEEP_BROKER_ID_OVERRIDE",AO$24,"DEEP_PERIOD_OVERRIDE",$H$19)*1,"")))</f>
        <v/>
      </c>
      <c r="AP48" s="17" t="str">
        <f>IF(OR(AP$23="",ISNA($B48)),"",IF(ISBLANK($B48),"",IFERROR(_xll.BDP(TICKER,"DEEP_MEASURE_PERIOD_BROKER_VALUE","DEEP_MEASURE_ID_OVERRIDE",$C48,"DEEP_BROKER_ID_OVERRIDE",AP$24,"DEEP_PERIOD_OVERRIDE",$H$19)*1,"")))</f>
        <v/>
      </c>
      <c r="AQ48" s="17" t="str">
        <f>IF(OR(AQ$23="",ISNA($B48)),"",IF(ISBLANK($B48),"",IFERROR(_xll.BDP(TICKER,"DEEP_MEASURE_PERIOD_BROKER_VALUE","DEEP_MEASURE_ID_OVERRIDE",$C48,"DEEP_BROKER_ID_OVERRIDE",AQ$24,"DEEP_PERIOD_OVERRIDE",$H$19)*1,"")))</f>
        <v/>
      </c>
      <c r="AR48" s="17" t="str">
        <f>IF(OR(AR$23="",ISNA($B48)),"",IF(ISBLANK($B48),"",IFERROR(_xll.BDP(TICKER,"DEEP_MEASURE_PERIOD_BROKER_VALUE","DEEP_MEASURE_ID_OVERRIDE",$C48,"DEEP_BROKER_ID_OVERRIDE",AR$24,"DEEP_PERIOD_OVERRIDE",$H$19)*1,"")))</f>
        <v/>
      </c>
      <c r="AS48" s="17" t="str">
        <f>IF(OR(AS$23="",ISNA($B48)),"",IF(ISBLANK($B48),"",IFERROR(_xll.BDP(TICKER,"DEEP_MEASURE_PERIOD_BROKER_VALUE","DEEP_MEASURE_ID_OVERRIDE",$C48,"DEEP_BROKER_ID_OVERRIDE",AS$24,"DEEP_PERIOD_OVERRIDE",$H$19)*1,"")))</f>
        <v/>
      </c>
      <c r="AT48" s="17" t="str">
        <f>IF(OR(AT$23="",ISNA($B48)),"",IF(ISBLANK($B48),"",IFERROR(_xll.BDP(TICKER,"DEEP_MEASURE_PERIOD_BROKER_VALUE","DEEP_MEASURE_ID_OVERRIDE",$C48,"DEEP_BROKER_ID_OVERRIDE",AT$24,"DEEP_PERIOD_OVERRIDE",$H$19)*1,"")))</f>
        <v/>
      </c>
      <c r="AU48" s="17" t="str">
        <f>IF(OR(AU$23="",ISNA($B48)),"",IF(ISBLANK($B48),"",IFERROR(_xll.BDP(TICKER,"DEEP_MEASURE_PERIOD_BROKER_VALUE","DEEP_MEASURE_ID_OVERRIDE",$C48,"DEEP_BROKER_ID_OVERRIDE",AU$24,"DEEP_PERIOD_OVERRIDE",$H$19)*1,"")))</f>
        <v/>
      </c>
      <c r="AV48" s="17" t="str">
        <f>IF(OR(AV$23="",ISNA($B48)),"",IF(ISBLANK($B48),"",IFERROR(_xll.BDP(TICKER,"DEEP_MEASURE_PERIOD_BROKER_VALUE","DEEP_MEASURE_ID_OVERRIDE",$C48,"DEEP_BROKER_ID_OVERRIDE",AV$24,"DEEP_PERIOD_OVERRIDE",$H$19)*1,"")))</f>
        <v/>
      </c>
      <c r="AW48" s="17" t="str">
        <f>IF(OR(AW$23="",ISNA($B48)),"",IF(ISBLANK($B48),"",IFERROR(_xll.BDP(TICKER,"DEEP_MEASURE_PERIOD_BROKER_VALUE","DEEP_MEASURE_ID_OVERRIDE",$C48,"DEEP_BROKER_ID_OVERRIDE",AW$24,"DEEP_PERIOD_OVERRIDE",$H$19)*1,"")))</f>
        <v/>
      </c>
      <c r="AX48" s="17" t="str">
        <f>IF(OR(AX$23="",ISNA($B48)),"",IF(ISBLANK($B48),"",IFERROR(_xll.BDP(TICKER,"DEEP_MEASURE_PERIOD_BROKER_VALUE","DEEP_MEASURE_ID_OVERRIDE",$C48,"DEEP_BROKER_ID_OVERRIDE",AX$24,"DEEP_PERIOD_OVERRIDE",$H$19)*1,"")))</f>
        <v/>
      </c>
      <c r="AY48" s="17" t="str">
        <f>IF(OR(AY$23="",ISNA($B48)),"",IF(ISBLANK($B48),"",IFERROR(_xll.BDP(TICKER,"DEEP_MEASURE_PERIOD_BROKER_VALUE","DEEP_MEASURE_ID_OVERRIDE",$C48,"DEEP_BROKER_ID_OVERRIDE",AY$24,"DEEP_PERIOD_OVERRIDE",$H$19)*1,"")))</f>
        <v/>
      </c>
      <c r="AZ48" s="17" t="str">
        <f>IF(OR(AZ$23="",ISNA($B48)),"",IF(ISBLANK($B48),"",IFERROR(_xll.BDP(TICKER,"DEEP_MEASURE_PERIOD_BROKER_VALUE","DEEP_MEASURE_ID_OVERRIDE",$C48,"DEEP_BROKER_ID_OVERRIDE",AZ$24,"DEEP_PERIOD_OVERRIDE",$H$19)*1,"")))</f>
        <v/>
      </c>
      <c r="BA48" s="17" t="str">
        <f>IF(OR(BA$23="",ISNA($B48)),"",IF(ISBLANK($B48),"",IFERROR(_xll.BDP(TICKER,"DEEP_MEASURE_PERIOD_BROKER_VALUE","DEEP_MEASURE_ID_OVERRIDE",$C48,"DEEP_BROKER_ID_OVERRIDE",BA$24,"DEEP_PERIOD_OVERRIDE",$H$19)*1,"")))</f>
        <v/>
      </c>
      <c r="BB48" s="17" t="str">
        <f>IF(OR(BB$23="",ISNA($B48)),"",IF(ISBLANK($B48),"",IFERROR(_xll.BDP(TICKER,"DEEP_MEASURE_PERIOD_BROKER_VALUE","DEEP_MEASURE_ID_OVERRIDE",$C48,"DEEP_BROKER_ID_OVERRIDE",BB$24,"DEEP_PERIOD_OVERRIDE",$H$19)*1,"")))</f>
        <v/>
      </c>
      <c r="BC48" s="17" t="str">
        <f>IF(OR(BC$23="",ISNA($B48)),"",IF(ISBLANK($B48),"",IFERROR(_xll.BDP(TICKER,"DEEP_MEASURE_PERIOD_BROKER_VALUE","DEEP_MEASURE_ID_OVERRIDE",$C48,"DEEP_BROKER_ID_OVERRIDE",BC$24,"DEEP_PERIOD_OVERRIDE",$H$19)*1,"")))</f>
        <v/>
      </c>
      <c r="BD48" s="17" t="str">
        <f>IF(OR(BD$23="",ISNA($B48)),"",IF(ISBLANK($B48),"",IFERROR(_xll.BDP(TICKER,"DEEP_MEASURE_PERIOD_BROKER_VALUE","DEEP_MEASURE_ID_OVERRIDE",$C48,"DEEP_BROKER_ID_OVERRIDE",BD$24,"DEEP_PERIOD_OVERRIDE",$H$19)*1,"")))</f>
        <v/>
      </c>
      <c r="BE48" s="17" t="str">
        <f>IF(OR(BE$23="",ISNA($B48)),"",IF(ISBLANK($B48),"",IFERROR(_xll.BDP(TICKER,"DEEP_MEASURE_PERIOD_BROKER_VALUE","DEEP_MEASURE_ID_OVERRIDE",$C48,"DEEP_BROKER_ID_OVERRIDE",BE$24,"DEEP_PERIOD_OVERRIDE",$H$19)*1,"")))</f>
        <v/>
      </c>
      <c r="BF48" s="17" t="str">
        <f>IF(OR(BF$23="",ISNA($B48)),"",IF(ISBLANK($B48),"",IFERROR(_xll.BDP(TICKER,"DEEP_MEASURE_PERIOD_BROKER_VALUE","DEEP_MEASURE_ID_OVERRIDE",$C48,"DEEP_BROKER_ID_OVERRIDE",BF$24,"DEEP_PERIOD_OVERRIDE",$H$19)*1,"")))</f>
        <v/>
      </c>
      <c r="BG48" s="17" t="str">
        <f>IF(OR(BG$23="",ISNA($B48)),"",IF(ISBLANK($B48),"",IFERROR(_xll.BDP(TICKER,"DEEP_MEASURE_PERIOD_BROKER_VALUE","DEEP_MEASURE_ID_OVERRIDE",$C48,"DEEP_BROKER_ID_OVERRIDE",BG$24,"DEEP_PERIOD_OVERRIDE",$H$19)*1,"")))</f>
        <v/>
      </c>
      <c r="BH48" s="17" t="str">
        <f>IF(OR(BH$23="",ISNA($B48)),"",IF(ISBLANK($B48),"",IFERROR(_xll.BDP(TICKER,"DEEP_MEASURE_PERIOD_BROKER_VALUE","DEEP_MEASURE_ID_OVERRIDE",$C48,"DEEP_BROKER_ID_OVERRIDE",BH$24,"DEEP_PERIOD_OVERRIDE",$H$19)*1,"")))</f>
        <v/>
      </c>
      <c r="BI48" s="17" t="str">
        <f>IF(OR(BI$23="",ISNA($B48)),"",IF(ISBLANK($B48),"",IFERROR(_xll.BDP(TICKER,"DEEP_MEASURE_PERIOD_BROKER_VALUE","DEEP_MEASURE_ID_OVERRIDE",$C48,"DEEP_BROKER_ID_OVERRIDE",BI$24,"DEEP_PERIOD_OVERRIDE",$H$19)*1,"")))</f>
        <v/>
      </c>
      <c r="BJ48" s="17" t="str">
        <f>IF(OR(BJ$23="",ISNA($B48)),"",IF(ISBLANK($B48),"",IFERROR(_xll.BDP(TICKER,"DEEP_MEASURE_PERIOD_BROKER_VALUE","DEEP_MEASURE_ID_OVERRIDE",$C48,"DEEP_BROKER_ID_OVERRIDE",BJ$24,"DEEP_PERIOD_OVERRIDE",$H$19)*1,"")))</f>
        <v/>
      </c>
      <c r="BK48" s="17" t="str">
        <f>IF(OR(BK$23="",ISNA($B48)),"",IF(ISBLANK($B48),"",IFERROR(_xll.BDP(TICKER,"DEEP_MEASURE_PERIOD_BROKER_VALUE","DEEP_MEASURE_ID_OVERRIDE",$C48,"DEEP_BROKER_ID_OVERRIDE",BK$24,"DEEP_PERIOD_OVERRIDE",$H$19)*1,"")))</f>
        <v/>
      </c>
      <c r="BL48" s="17" t="str">
        <f>IF(OR(BL$23="",ISNA($B48)),"",IF(ISBLANK($B48),"",IFERROR(_xll.BDP(TICKER,"DEEP_MEASURE_PERIOD_BROKER_VALUE","DEEP_MEASURE_ID_OVERRIDE",$C48,"DEEP_BROKER_ID_OVERRIDE",BL$24,"DEEP_PERIOD_OVERRIDE",$H$19)*1,"")))</f>
        <v/>
      </c>
      <c r="BM48" s="17" t="str">
        <f>IF(OR(BM$23="",ISNA($B48)),"",IF(ISBLANK($B48),"",IFERROR(_xll.BDP(TICKER,"DEEP_MEASURE_PERIOD_BROKER_VALUE","DEEP_MEASURE_ID_OVERRIDE",$C48,"DEEP_BROKER_ID_OVERRIDE",BM$24,"DEEP_PERIOD_OVERRIDE",$H$19)*1,"")))</f>
        <v/>
      </c>
      <c r="BN48" s="17" t="str">
        <f>IF(OR(BN$23="",ISNA($B48)),"",IF(ISBLANK($B48),"",IFERROR(_xll.BDP(TICKER,"DEEP_MEASURE_PERIOD_BROKER_VALUE","DEEP_MEASURE_ID_OVERRIDE",$C48,"DEEP_BROKER_ID_OVERRIDE",BN$24,"DEEP_PERIOD_OVERRIDE",$H$19)*1,"")))</f>
        <v/>
      </c>
      <c r="BO48" s="17" t="str">
        <f>IF(OR(BO$23="",ISNA($B48)),"",IF(ISBLANK($B48),"",IFERROR(_xll.BDP(TICKER,"DEEP_MEASURE_PERIOD_BROKER_VALUE","DEEP_MEASURE_ID_OVERRIDE",$C48,"DEEP_BROKER_ID_OVERRIDE",BO$24,"DEEP_PERIOD_OVERRIDE",$H$19)*1,"")))</f>
        <v/>
      </c>
      <c r="BP48" s="17" t="str">
        <f>IF(OR(BP$23="",ISNA($B48)),"",IF(ISBLANK($B48),"",IFERROR(_xll.BDP(TICKER,"DEEP_MEASURE_PERIOD_BROKER_VALUE","DEEP_MEASURE_ID_OVERRIDE",$C48,"DEEP_BROKER_ID_OVERRIDE",BP$24,"DEEP_PERIOD_OVERRIDE",$H$19)*1,"")))</f>
        <v/>
      </c>
      <c r="BQ48" s="17" t="str">
        <f>IF(OR(BQ$23="",ISNA($B48)),"",IF(ISBLANK($B48),"",IFERROR(_xll.BDP(TICKER,"DEEP_MEASURE_PERIOD_BROKER_VALUE","DEEP_MEASURE_ID_OVERRIDE",$C48,"DEEP_BROKER_ID_OVERRIDE",BQ$24,"DEEP_PERIOD_OVERRIDE",$H$19)*1,"")))</f>
        <v/>
      </c>
      <c r="BR48" s="17" t="str">
        <f>IF(OR(BR$23="",ISNA($B48)),"",IF(ISBLANK($B48),"",IFERROR(_xll.BDP(TICKER,"DEEP_MEASURE_PERIOD_BROKER_VALUE","DEEP_MEASURE_ID_OVERRIDE",$C48,"DEEP_BROKER_ID_OVERRIDE",BR$24,"DEEP_PERIOD_OVERRIDE",$H$19)*1,"")))</f>
        <v/>
      </c>
      <c r="BS48" s="17" t="str">
        <f>IF(OR(BS$23="",ISNA($B48)),"",IF(ISBLANK($B48),"",IFERROR(_xll.BDP(TICKER,"DEEP_MEASURE_PERIOD_BROKER_VALUE","DEEP_MEASURE_ID_OVERRIDE",$C48,"DEEP_BROKER_ID_OVERRIDE",BS$24,"DEEP_PERIOD_OVERRIDE",$H$19)*1,"")))</f>
        <v/>
      </c>
      <c r="BT48" s="17" t="str">
        <f>IF(OR(BT$23="",ISNA($B48)),"",IF(ISBLANK($B48),"",IFERROR(_xll.BDP(TICKER,"DEEP_MEASURE_PERIOD_BROKER_VALUE","DEEP_MEASURE_ID_OVERRIDE",$C48,"DEEP_BROKER_ID_OVERRIDE",BT$24,"DEEP_PERIOD_OVERRIDE",$H$19)*1,"")))</f>
        <v/>
      </c>
      <c r="BU48" s="17" t="str">
        <f>IF(OR(BU$23="",ISNA($B48)),"",IF(ISBLANK($B48),"",IFERROR(_xll.BDP(TICKER,"DEEP_MEASURE_PERIOD_BROKER_VALUE","DEEP_MEASURE_ID_OVERRIDE",$C48,"DEEP_BROKER_ID_OVERRIDE",BU$24,"DEEP_PERIOD_OVERRIDE",$H$19)*1,"")))</f>
        <v/>
      </c>
      <c r="BV48" s="17" t="str">
        <f>IF(OR(BV$23="",ISNA($B48)),"",IF(ISBLANK($B48),"",IFERROR(_xll.BDP(TICKER,"DEEP_MEASURE_PERIOD_BROKER_VALUE","DEEP_MEASURE_ID_OVERRIDE",$C48,"DEEP_BROKER_ID_OVERRIDE",BV$24,"DEEP_PERIOD_OVERRIDE",$H$19)*1,"")))</f>
        <v/>
      </c>
      <c r="BW48" s="17" t="str">
        <f>IF(OR(BW$23="",ISNA($B48)),"",IF(ISBLANK($B48),"",IFERROR(_xll.BDP(TICKER,"DEEP_MEASURE_PERIOD_BROKER_VALUE","DEEP_MEASURE_ID_OVERRIDE",$C48,"DEEP_BROKER_ID_OVERRIDE",BW$24,"DEEP_PERIOD_OVERRIDE",$H$19)*1,"")))</f>
        <v/>
      </c>
      <c r="BX48" s="17" t="str">
        <f>IF(OR(BX$23="",ISNA($B48)),"",IF(ISBLANK($B48),"",IFERROR(_xll.BDP(TICKER,"DEEP_MEASURE_PERIOD_BROKER_VALUE","DEEP_MEASURE_ID_OVERRIDE",$C48,"DEEP_BROKER_ID_OVERRIDE",BX$24,"DEEP_PERIOD_OVERRIDE",$H$19)*1,"")))</f>
        <v/>
      </c>
      <c r="BY48" s="17" t="str">
        <f>IF(OR(BY$23="",ISNA($B48)),"",IF(ISBLANK($B48),"",IFERROR(_xll.BDP(TICKER,"DEEP_MEASURE_PERIOD_BROKER_VALUE","DEEP_MEASURE_ID_OVERRIDE",$C48,"DEEP_BROKER_ID_OVERRIDE",BY$24,"DEEP_PERIOD_OVERRIDE",$H$19)*1,"")))</f>
        <v/>
      </c>
      <c r="BZ48" s="17" t="str">
        <f>IF(OR(BZ$23="",ISNA($B48)),"",IF(ISBLANK($B48),"",IFERROR(_xll.BDP(TICKER,"DEEP_MEASURE_PERIOD_BROKER_VALUE","DEEP_MEASURE_ID_OVERRIDE",$C48,"DEEP_BROKER_ID_OVERRIDE",BZ$24,"DEEP_PERIOD_OVERRIDE",$H$19)*1,"")))</f>
        <v/>
      </c>
    </row>
    <row r="49" spans="2:78" x14ac:dyDescent="0.25">
      <c r="B49" t="s">
        <v>95</v>
      </c>
      <c r="C49" s="11">
        <v>9840</v>
      </c>
      <c r="H49" t="str">
        <f t="shared" si="1"/>
        <v>Experiences &amp; Dining &gt; EBITDA</v>
      </c>
      <c r="I49" t="str">
        <f>IF(OR(I$23="",ISNA($B49)),"",IF(ISBLANK($B49),"",IFERROR(_xll.BDP(TICKER,"DEEP_MEASURE_PERIOD_BROKER_VALUE","DEEP_MEASURE_ID_OVERRIDE",$C49,"DEEP_PERIOD_OVERRIDE",$H$19)*1,"")))</f>
        <v/>
      </c>
      <c r="J49" t="e">
        <f>IF(OR(J$23="",ISNA($B49)),"",IF(ISBLANK($B49),"",IFERROR(_xll.BDP(TICKER,"DEEP_MEASURE_PERIOD_BROKER_VALUE","DEEP_MEASURE_ID_OVERRIDE",$C49,"DEEP_BROKER_ID_OVERRIDE",J$24,"DEEP_PERIOD_OVERRIDE",$H$19)*1,"")))</f>
        <v>#REF!</v>
      </c>
      <c r="K49" s="17" t="str">
        <f>IF(OR(K$23="",ISNA($B49)),"",IF(ISBLANK($B49),"",IFERROR(_xll.BDP(TICKER,"DEEP_MEASURE_PERIOD_BROKER_VALUE","DEEP_MEASURE_ID_OVERRIDE",$C49,"DEEP_BROKER_ID_OVERRIDE",K$24,"DEEP_PERIOD_OVERRIDE",$H$19)*1,"")))</f>
        <v/>
      </c>
      <c r="L49" s="17" t="str">
        <f>IF(OR(L$23="",ISNA($B49)),"",IF(ISBLANK($B49),"",IFERROR(_xll.BDP(TICKER,"DEEP_MEASURE_PERIOD_BROKER_VALUE","DEEP_MEASURE_ID_OVERRIDE",$C49,"DEEP_BROKER_ID_OVERRIDE",L$24,"DEEP_PERIOD_OVERRIDE",$H$19)*1,"")))</f>
        <v/>
      </c>
      <c r="M49" s="17" t="str">
        <f>IF(OR(M$23="",ISNA($B49)),"",IF(ISBLANK($B49),"",IFERROR(_xll.BDP(TICKER,"DEEP_MEASURE_PERIOD_BROKER_VALUE","DEEP_MEASURE_ID_OVERRIDE",$C49,"DEEP_BROKER_ID_OVERRIDE",M$24,"DEEP_PERIOD_OVERRIDE",$H$19)*1,"")))</f>
        <v/>
      </c>
      <c r="N49" s="17" t="str">
        <f>IF(OR(N$23="",ISNA($B49)),"",IF(ISBLANK($B49),"",IFERROR(_xll.BDP(TICKER,"DEEP_MEASURE_PERIOD_BROKER_VALUE","DEEP_MEASURE_ID_OVERRIDE",$C49,"DEEP_BROKER_ID_OVERRIDE",N$24,"DEEP_PERIOD_OVERRIDE",$H$19)*1,"")))</f>
        <v/>
      </c>
      <c r="O49" s="17" t="str">
        <f>IF(OR(O$23="",ISNA($B49)),"",IF(ISBLANK($B49),"",IFERROR(_xll.BDP(TICKER,"DEEP_MEASURE_PERIOD_BROKER_VALUE","DEEP_MEASURE_ID_OVERRIDE",$C49,"DEEP_BROKER_ID_OVERRIDE",O$24,"DEEP_PERIOD_OVERRIDE",$H$19)*1,"")))</f>
        <v/>
      </c>
      <c r="P49" s="17" t="str">
        <f>IF(OR(P$23="",ISNA($B49)),"",IF(ISBLANK($B49),"",IFERROR(_xll.BDP(TICKER,"DEEP_MEASURE_PERIOD_BROKER_VALUE","DEEP_MEASURE_ID_OVERRIDE",$C49,"DEEP_BROKER_ID_OVERRIDE",P$24,"DEEP_PERIOD_OVERRIDE",$H$19)*1,"")))</f>
        <v/>
      </c>
      <c r="Q49" s="17" t="str">
        <f>IF(OR(Q$23="",ISNA($B49)),"",IF(ISBLANK($B49),"",IFERROR(_xll.BDP(TICKER,"DEEP_MEASURE_PERIOD_BROKER_VALUE","DEEP_MEASURE_ID_OVERRIDE",$C49,"DEEP_BROKER_ID_OVERRIDE",Q$24,"DEEP_PERIOD_OVERRIDE",$H$19)*1,"")))</f>
        <v/>
      </c>
      <c r="R49" s="17" t="str">
        <f>IF(OR(R$23="",ISNA($B49)),"",IF(ISBLANK($B49),"",IFERROR(_xll.BDP(TICKER,"DEEP_MEASURE_PERIOD_BROKER_VALUE","DEEP_MEASURE_ID_OVERRIDE",$C49,"DEEP_BROKER_ID_OVERRIDE",R$24,"DEEP_PERIOD_OVERRIDE",$H$19)*1,"")))</f>
        <v/>
      </c>
      <c r="S49" s="17" t="str">
        <f>IF(OR(S$23="",ISNA($B49)),"",IF(ISBLANK($B49),"",IFERROR(_xll.BDP(TICKER,"DEEP_MEASURE_PERIOD_BROKER_VALUE","DEEP_MEASURE_ID_OVERRIDE",$C49,"DEEP_BROKER_ID_OVERRIDE",S$24,"DEEP_PERIOD_OVERRIDE",$H$19)*1,"")))</f>
        <v/>
      </c>
      <c r="T49" s="17" t="str">
        <f>IF(OR(T$23="",ISNA($B49)),"",IF(ISBLANK($B49),"",IFERROR(_xll.BDP(TICKER,"DEEP_MEASURE_PERIOD_BROKER_VALUE","DEEP_MEASURE_ID_OVERRIDE",$C49,"DEEP_BROKER_ID_OVERRIDE",T$24,"DEEP_PERIOD_OVERRIDE",$H$19)*1,"")))</f>
        <v/>
      </c>
      <c r="U49" s="17" t="str">
        <f>IF(OR(U$23="",ISNA($B49)),"",IF(ISBLANK($B49),"",IFERROR(_xll.BDP(TICKER,"DEEP_MEASURE_PERIOD_BROKER_VALUE","DEEP_MEASURE_ID_OVERRIDE",$C49,"DEEP_BROKER_ID_OVERRIDE",U$24,"DEEP_PERIOD_OVERRIDE",$H$19)*1,"")))</f>
        <v/>
      </c>
      <c r="V49" s="17" t="str">
        <f>IF(OR(V$23="",ISNA($B49)),"",IF(ISBLANK($B49),"",IFERROR(_xll.BDP(TICKER,"DEEP_MEASURE_PERIOD_BROKER_VALUE","DEEP_MEASURE_ID_OVERRIDE",$C49,"DEEP_BROKER_ID_OVERRIDE",V$24,"DEEP_PERIOD_OVERRIDE",$H$19)*1,"")))</f>
        <v/>
      </c>
      <c r="W49" s="17" t="str">
        <f>IF(OR(W$23="",ISNA($B49)),"",IF(ISBLANK($B49),"",IFERROR(_xll.BDP(TICKER,"DEEP_MEASURE_PERIOD_BROKER_VALUE","DEEP_MEASURE_ID_OVERRIDE",$C49,"DEEP_BROKER_ID_OVERRIDE",W$24,"DEEP_PERIOD_OVERRIDE",$H$19)*1,"")))</f>
        <v/>
      </c>
      <c r="X49" s="17" t="str">
        <f>IF(OR(X$23="",ISNA($B49)),"",IF(ISBLANK($B49),"",IFERROR(_xll.BDP(TICKER,"DEEP_MEASURE_PERIOD_BROKER_VALUE","DEEP_MEASURE_ID_OVERRIDE",$C49,"DEEP_BROKER_ID_OVERRIDE",X$24,"DEEP_PERIOD_OVERRIDE",$H$19)*1,"")))</f>
        <v/>
      </c>
      <c r="Y49" s="17" t="str">
        <f>IF(OR(Y$23="",ISNA($B49)),"",IF(ISBLANK($B49),"",IFERROR(_xll.BDP(TICKER,"DEEP_MEASURE_PERIOD_BROKER_VALUE","DEEP_MEASURE_ID_OVERRIDE",$C49,"DEEP_BROKER_ID_OVERRIDE",Y$24,"DEEP_PERIOD_OVERRIDE",$H$19)*1,"")))</f>
        <v/>
      </c>
      <c r="Z49" s="17" t="str">
        <f>IF(OR(Z$23="",ISNA($B49)),"",IF(ISBLANK($B49),"",IFERROR(_xll.BDP(TICKER,"DEEP_MEASURE_PERIOD_BROKER_VALUE","DEEP_MEASURE_ID_OVERRIDE",$C49,"DEEP_BROKER_ID_OVERRIDE",Z$24,"DEEP_PERIOD_OVERRIDE",$H$19)*1,"")))</f>
        <v/>
      </c>
      <c r="AA49" s="17" t="str">
        <f>IF(OR(AA$23="",ISNA($B49)),"",IF(ISBLANK($B49),"",IFERROR(_xll.BDP(TICKER,"DEEP_MEASURE_PERIOD_BROKER_VALUE","DEEP_MEASURE_ID_OVERRIDE",$C49,"DEEP_BROKER_ID_OVERRIDE",AA$24,"DEEP_PERIOD_OVERRIDE",$H$19)*1,"")))</f>
        <v/>
      </c>
      <c r="AB49" s="17" t="str">
        <f>IF(OR(AB$23="",ISNA($B49)),"",IF(ISBLANK($B49),"",IFERROR(_xll.BDP(TICKER,"DEEP_MEASURE_PERIOD_BROKER_VALUE","DEEP_MEASURE_ID_OVERRIDE",$C49,"DEEP_BROKER_ID_OVERRIDE",AB$24,"DEEP_PERIOD_OVERRIDE",$H$19)*1,"")))</f>
        <v/>
      </c>
      <c r="AC49" s="17" t="str">
        <f>IF(OR(AC$23="",ISNA($B49)),"",IF(ISBLANK($B49),"",IFERROR(_xll.BDP(TICKER,"DEEP_MEASURE_PERIOD_BROKER_VALUE","DEEP_MEASURE_ID_OVERRIDE",$C49,"DEEP_BROKER_ID_OVERRIDE",AC$24,"DEEP_PERIOD_OVERRIDE",$H$19)*1,"")))</f>
        <v/>
      </c>
      <c r="AD49" s="17" t="str">
        <f>IF(OR(AD$23="",ISNA($B49)),"",IF(ISBLANK($B49),"",IFERROR(_xll.BDP(TICKER,"DEEP_MEASURE_PERIOD_BROKER_VALUE","DEEP_MEASURE_ID_OVERRIDE",$C49,"DEEP_BROKER_ID_OVERRIDE",AD$24,"DEEP_PERIOD_OVERRIDE",$H$19)*1,"")))</f>
        <v/>
      </c>
      <c r="AE49" s="17" t="str">
        <f>IF(OR(AE$23="",ISNA($B49)),"",IF(ISBLANK($B49),"",IFERROR(_xll.BDP(TICKER,"DEEP_MEASURE_PERIOD_BROKER_VALUE","DEEP_MEASURE_ID_OVERRIDE",$C49,"DEEP_BROKER_ID_OVERRIDE",AE$24,"DEEP_PERIOD_OVERRIDE",$H$19)*1,"")))</f>
        <v/>
      </c>
      <c r="AF49" s="17" t="str">
        <f>IF(OR(AF$23="",ISNA($B49)),"",IF(ISBLANK($B49),"",IFERROR(_xll.BDP(TICKER,"DEEP_MEASURE_PERIOD_BROKER_VALUE","DEEP_MEASURE_ID_OVERRIDE",$C49,"DEEP_BROKER_ID_OVERRIDE",AF$24,"DEEP_PERIOD_OVERRIDE",$H$19)*1,"")))</f>
        <v/>
      </c>
      <c r="AG49" s="17" t="str">
        <f>IF(OR(AG$23="",ISNA($B49)),"",IF(ISBLANK($B49),"",IFERROR(_xll.BDP(TICKER,"DEEP_MEASURE_PERIOD_BROKER_VALUE","DEEP_MEASURE_ID_OVERRIDE",$C49,"DEEP_BROKER_ID_OVERRIDE",AG$24,"DEEP_PERIOD_OVERRIDE",$H$19)*1,"")))</f>
        <v/>
      </c>
      <c r="AH49" s="17" t="str">
        <f>IF(OR(AH$23="",ISNA($B49)),"",IF(ISBLANK($B49),"",IFERROR(_xll.BDP(TICKER,"DEEP_MEASURE_PERIOD_BROKER_VALUE","DEEP_MEASURE_ID_OVERRIDE",$C49,"DEEP_BROKER_ID_OVERRIDE",AH$24,"DEEP_PERIOD_OVERRIDE",$H$19)*1,"")))</f>
        <v/>
      </c>
      <c r="AI49" s="17" t="str">
        <f>IF(OR(AI$23="",ISNA($B49)),"",IF(ISBLANK($B49),"",IFERROR(_xll.BDP(TICKER,"DEEP_MEASURE_PERIOD_BROKER_VALUE","DEEP_MEASURE_ID_OVERRIDE",$C49,"DEEP_BROKER_ID_OVERRIDE",AI$24,"DEEP_PERIOD_OVERRIDE",$H$19)*1,"")))</f>
        <v/>
      </c>
      <c r="AJ49" s="17" t="str">
        <f>IF(OR(AJ$23="",ISNA($B49)),"",IF(ISBLANK($B49),"",IFERROR(_xll.BDP(TICKER,"DEEP_MEASURE_PERIOD_BROKER_VALUE","DEEP_MEASURE_ID_OVERRIDE",$C49,"DEEP_BROKER_ID_OVERRIDE",AJ$24,"DEEP_PERIOD_OVERRIDE",$H$19)*1,"")))</f>
        <v/>
      </c>
      <c r="AK49" s="17" t="str">
        <f>IF(OR(AK$23="",ISNA($B49)),"",IF(ISBLANK($B49),"",IFERROR(_xll.BDP(TICKER,"DEEP_MEASURE_PERIOD_BROKER_VALUE","DEEP_MEASURE_ID_OVERRIDE",$C49,"DEEP_BROKER_ID_OVERRIDE",AK$24,"DEEP_PERIOD_OVERRIDE",$H$19)*1,"")))</f>
        <v/>
      </c>
      <c r="AL49" s="17" t="str">
        <f>IF(OR(AL$23="",ISNA($B49)),"",IF(ISBLANK($B49),"",IFERROR(_xll.BDP(TICKER,"DEEP_MEASURE_PERIOD_BROKER_VALUE","DEEP_MEASURE_ID_OVERRIDE",$C49,"DEEP_BROKER_ID_OVERRIDE",AL$24,"DEEP_PERIOD_OVERRIDE",$H$19)*1,"")))</f>
        <v/>
      </c>
      <c r="AM49" s="17" t="str">
        <f>IF(OR(AM$23="",ISNA($B49)),"",IF(ISBLANK($B49),"",IFERROR(_xll.BDP(TICKER,"DEEP_MEASURE_PERIOD_BROKER_VALUE","DEEP_MEASURE_ID_OVERRIDE",$C49,"DEEP_BROKER_ID_OVERRIDE",AM$24,"DEEP_PERIOD_OVERRIDE",$H$19)*1,"")))</f>
        <v/>
      </c>
      <c r="AN49" s="17" t="str">
        <f>IF(OR(AN$23="",ISNA($B49)),"",IF(ISBLANK($B49),"",IFERROR(_xll.BDP(TICKER,"DEEP_MEASURE_PERIOD_BROKER_VALUE","DEEP_MEASURE_ID_OVERRIDE",$C49,"DEEP_BROKER_ID_OVERRIDE",AN$24,"DEEP_PERIOD_OVERRIDE",$H$19)*1,"")))</f>
        <v/>
      </c>
      <c r="AO49" s="17" t="str">
        <f>IF(OR(AO$23="",ISNA($B49)),"",IF(ISBLANK($B49),"",IFERROR(_xll.BDP(TICKER,"DEEP_MEASURE_PERIOD_BROKER_VALUE","DEEP_MEASURE_ID_OVERRIDE",$C49,"DEEP_BROKER_ID_OVERRIDE",AO$24,"DEEP_PERIOD_OVERRIDE",$H$19)*1,"")))</f>
        <v/>
      </c>
      <c r="AP49" s="17" t="str">
        <f>IF(OR(AP$23="",ISNA($B49)),"",IF(ISBLANK($B49),"",IFERROR(_xll.BDP(TICKER,"DEEP_MEASURE_PERIOD_BROKER_VALUE","DEEP_MEASURE_ID_OVERRIDE",$C49,"DEEP_BROKER_ID_OVERRIDE",AP$24,"DEEP_PERIOD_OVERRIDE",$H$19)*1,"")))</f>
        <v/>
      </c>
      <c r="AQ49" s="17" t="str">
        <f>IF(OR(AQ$23="",ISNA($B49)),"",IF(ISBLANK($B49),"",IFERROR(_xll.BDP(TICKER,"DEEP_MEASURE_PERIOD_BROKER_VALUE","DEEP_MEASURE_ID_OVERRIDE",$C49,"DEEP_BROKER_ID_OVERRIDE",AQ$24,"DEEP_PERIOD_OVERRIDE",$H$19)*1,"")))</f>
        <v/>
      </c>
      <c r="AR49" s="17" t="str">
        <f>IF(OR(AR$23="",ISNA($B49)),"",IF(ISBLANK($B49),"",IFERROR(_xll.BDP(TICKER,"DEEP_MEASURE_PERIOD_BROKER_VALUE","DEEP_MEASURE_ID_OVERRIDE",$C49,"DEEP_BROKER_ID_OVERRIDE",AR$24,"DEEP_PERIOD_OVERRIDE",$H$19)*1,"")))</f>
        <v/>
      </c>
      <c r="AS49" s="17" t="str">
        <f>IF(OR(AS$23="",ISNA($B49)),"",IF(ISBLANK($B49),"",IFERROR(_xll.BDP(TICKER,"DEEP_MEASURE_PERIOD_BROKER_VALUE","DEEP_MEASURE_ID_OVERRIDE",$C49,"DEEP_BROKER_ID_OVERRIDE",AS$24,"DEEP_PERIOD_OVERRIDE",$H$19)*1,"")))</f>
        <v/>
      </c>
      <c r="AT49" s="17" t="str">
        <f>IF(OR(AT$23="",ISNA($B49)),"",IF(ISBLANK($B49),"",IFERROR(_xll.BDP(TICKER,"DEEP_MEASURE_PERIOD_BROKER_VALUE","DEEP_MEASURE_ID_OVERRIDE",$C49,"DEEP_BROKER_ID_OVERRIDE",AT$24,"DEEP_PERIOD_OVERRIDE",$H$19)*1,"")))</f>
        <v/>
      </c>
      <c r="AU49" s="17" t="str">
        <f>IF(OR(AU$23="",ISNA($B49)),"",IF(ISBLANK($B49),"",IFERROR(_xll.BDP(TICKER,"DEEP_MEASURE_PERIOD_BROKER_VALUE","DEEP_MEASURE_ID_OVERRIDE",$C49,"DEEP_BROKER_ID_OVERRIDE",AU$24,"DEEP_PERIOD_OVERRIDE",$H$19)*1,"")))</f>
        <v/>
      </c>
      <c r="AV49" s="17" t="str">
        <f>IF(OR(AV$23="",ISNA($B49)),"",IF(ISBLANK($B49),"",IFERROR(_xll.BDP(TICKER,"DEEP_MEASURE_PERIOD_BROKER_VALUE","DEEP_MEASURE_ID_OVERRIDE",$C49,"DEEP_BROKER_ID_OVERRIDE",AV$24,"DEEP_PERIOD_OVERRIDE",$H$19)*1,"")))</f>
        <v/>
      </c>
      <c r="AW49" s="17" t="str">
        <f>IF(OR(AW$23="",ISNA($B49)),"",IF(ISBLANK($B49),"",IFERROR(_xll.BDP(TICKER,"DEEP_MEASURE_PERIOD_BROKER_VALUE","DEEP_MEASURE_ID_OVERRIDE",$C49,"DEEP_BROKER_ID_OVERRIDE",AW$24,"DEEP_PERIOD_OVERRIDE",$H$19)*1,"")))</f>
        <v/>
      </c>
      <c r="AX49" s="17" t="str">
        <f>IF(OR(AX$23="",ISNA($B49)),"",IF(ISBLANK($B49),"",IFERROR(_xll.BDP(TICKER,"DEEP_MEASURE_PERIOD_BROKER_VALUE","DEEP_MEASURE_ID_OVERRIDE",$C49,"DEEP_BROKER_ID_OVERRIDE",AX$24,"DEEP_PERIOD_OVERRIDE",$H$19)*1,"")))</f>
        <v/>
      </c>
      <c r="AY49" s="17" t="str">
        <f>IF(OR(AY$23="",ISNA($B49)),"",IF(ISBLANK($B49),"",IFERROR(_xll.BDP(TICKER,"DEEP_MEASURE_PERIOD_BROKER_VALUE","DEEP_MEASURE_ID_OVERRIDE",$C49,"DEEP_BROKER_ID_OVERRIDE",AY$24,"DEEP_PERIOD_OVERRIDE",$H$19)*1,"")))</f>
        <v/>
      </c>
      <c r="AZ49" s="17" t="str">
        <f>IF(OR(AZ$23="",ISNA($B49)),"",IF(ISBLANK($B49),"",IFERROR(_xll.BDP(TICKER,"DEEP_MEASURE_PERIOD_BROKER_VALUE","DEEP_MEASURE_ID_OVERRIDE",$C49,"DEEP_BROKER_ID_OVERRIDE",AZ$24,"DEEP_PERIOD_OVERRIDE",$H$19)*1,"")))</f>
        <v/>
      </c>
      <c r="BA49" s="17" t="str">
        <f>IF(OR(BA$23="",ISNA($B49)),"",IF(ISBLANK($B49),"",IFERROR(_xll.BDP(TICKER,"DEEP_MEASURE_PERIOD_BROKER_VALUE","DEEP_MEASURE_ID_OVERRIDE",$C49,"DEEP_BROKER_ID_OVERRIDE",BA$24,"DEEP_PERIOD_OVERRIDE",$H$19)*1,"")))</f>
        <v/>
      </c>
      <c r="BB49" s="17" t="str">
        <f>IF(OR(BB$23="",ISNA($B49)),"",IF(ISBLANK($B49),"",IFERROR(_xll.BDP(TICKER,"DEEP_MEASURE_PERIOD_BROKER_VALUE","DEEP_MEASURE_ID_OVERRIDE",$C49,"DEEP_BROKER_ID_OVERRIDE",BB$24,"DEEP_PERIOD_OVERRIDE",$H$19)*1,"")))</f>
        <v/>
      </c>
      <c r="BC49" s="17" t="str">
        <f>IF(OR(BC$23="",ISNA($B49)),"",IF(ISBLANK($B49),"",IFERROR(_xll.BDP(TICKER,"DEEP_MEASURE_PERIOD_BROKER_VALUE","DEEP_MEASURE_ID_OVERRIDE",$C49,"DEEP_BROKER_ID_OVERRIDE",BC$24,"DEEP_PERIOD_OVERRIDE",$H$19)*1,"")))</f>
        <v/>
      </c>
      <c r="BD49" s="17" t="str">
        <f>IF(OR(BD$23="",ISNA($B49)),"",IF(ISBLANK($B49),"",IFERROR(_xll.BDP(TICKER,"DEEP_MEASURE_PERIOD_BROKER_VALUE","DEEP_MEASURE_ID_OVERRIDE",$C49,"DEEP_BROKER_ID_OVERRIDE",BD$24,"DEEP_PERIOD_OVERRIDE",$H$19)*1,"")))</f>
        <v/>
      </c>
      <c r="BE49" s="17" t="str">
        <f>IF(OR(BE$23="",ISNA($B49)),"",IF(ISBLANK($B49),"",IFERROR(_xll.BDP(TICKER,"DEEP_MEASURE_PERIOD_BROKER_VALUE","DEEP_MEASURE_ID_OVERRIDE",$C49,"DEEP_BROKER_ID_OVERRIDE",BE$24,"DEEP_PERIOD_OVERRIDE",$H$19)*1,"")))</f>
        <v/>
      </c>
      <c r="BF49" s="17" t="str">
        <f>IF(OR(BF$23="",ISNA($B49)),"",IF(ISBLANK($B49),"",IFERROR(_xll.BDP(TICKER,"DEEP_MEASURE_PERIOD_BROKER_VALUE","DEEP_MEASURE_ID_OVERRIDE",$C49,"DEEP_BROKER_ID_OVERRIDE",BF$24,"DEEP_PERIOD_OVERRIDE",$H$19)*1,"")))</f>
        <v/>
      </c>
      <c r="BG49" s="17" t="str">
        <f>IF(OR(BG$23="",ISNA($B49)),"",IF(ISBLANK($B49),"",IFERROR(_xll.BDP(TICKER,"DEEP_MEASURE_PERIOD_BROKER_VALUE","DEEP_MEASURE_ID_OVERRIDE",$C49,"DEEP_BROKER_ID_OVERRIDE",BG$24,"DEEP_PERIOD_OVERRIDE",$H$19)*1,"")))</f>
        <v/>
      </c>
      <c r="BH49" s="17" t="str">
        <f>IF(OR(BH$23="",ISNA($B49)),"",IF(ISBLANK($B49),"",IFERROR(_xll.BDP(TICKER,"DEEP_MEASURE_PERIOD_BROKER_VALUE","DEEP_MEASURE_ID_OVERRIDE",$C49,"DEEP_BROKER_ID_OVERRIDE",BH$24,"DEEP_PERIOD_OVERRIDE",$H$19)*1,"")))</f>
        <v/>
      </c>
      <c r="BI49" s="17" t="str">
        <f>IF(OR(BI$23="",ISNA($B49)),"",IF(ISBLANK($B49),"",IFERROR(_xll.BDP(TICKER,"DEEP_MEASURE_PERIOD_BROKER_VALUE","DEEP_MEASURE_ID_OVERRIDE",$C49,"DEEP_BROKER_ID_OVERRIDE",BI$24,"DEEP_PERIOD_OVERRIDE",$H$19)*1,"")))</f>
        <v/>
      </c>
      <c r="BJ49" s="17" t="str">
        <f>IF(OR(BJ$23="",ISNA($B49)),"",IF(ISBLANK($B49),"",IFERROR(_xll.BDP(TICKER,"DEEP_MEASURE_PERIOD_BROKER_VALUE","DEEP_MEASURE_ID_OVERRIDE",$C49,"DEEP_BROKER_ID_OVERRIDE",BJ$24,"DEEP_PERIOD_OVERRIDE",$H$19)*1,"")))</f>
        <v/>
      </c>
      <c r="BK49" s="17" t="str">
        <f>IF(OR(BK$23="",ISNA($B49)),"",IF(ISBLANK($B49),"",IFERROR(_xll.BDP(TICKER,"DEEP_MEASURE_PERIOD_BROKER_VALUE","DEEP_MEASURE_ID_OVERRIDE",$C49,"DEEP_BROKER_ID_OVERRIDE",BK$24,"DEEP_PERIOD_OVERRIDE",$H$19)*1,"")))</f>
        <v/>
      </c>
      <c r="BL49" s="17" t="str">
        <f>IF(OR(BL$23="",ISNA($B49)),"",IF(ISBLANK($B49),"",IFERROR(_xll.BDP(TICKER,"DEEP_MEASURE_PERIOD_BROKER_VALUE","DEEP_MEASURE_ID_OVERRIDE",$C49,"DEEP_BROKER_ID_OVERRIDE",BL$24,"DEEP_PERIOD_OVERRIDE",$H$19)*1,"")))</f>
        <v/>
      </c>
      <c r="BM49" s="17" t="str">
        <f>IF(OR(BM$23="",ISNA($B49)),"",IF(ISBLANK($B49),"",IFERROR(_xll.BDP(TICKER,"DEEP_MEASURE_PERIOD_BROKER_VALUE","DEEP_MEASURE_ID_OVERRIDE",$C49,"DEEP_BROKER_ID_OVERRIDE",BM$24,"DEEP_PERIOD_OVERRIDE",$H$19)*1,"")))</f>
        <v/>
      </c>
      <c r="BN49" s="17" t="str">
        <f>IF(OR(BN$23="",ISNA($B49)),"",IF(ISBLANK($B49),"",IFERROR(_xll.BDP(TICKER,"DEEP_MEASURE_PERIOD_BROKER_VALUE","DEEP_MEASURE_ID_OVERRIDE",$C49,"DEEP_BROKER_ID_OVERRIDE",BN$24,"DEEP_PERIOD_OVERRIDE",$H$19)*1,"")))</f>
        <v/>
      </c>
      <c r="BO49" s="17" t="str">
        <f>IF(OR(BO$23="",ISNA($B49)),"",IF(ISBLANK($B49),"",IFERROR(_xll.BDP(TICKER,"DEEP_MEASURE_PERIOD_BROKER_VALUE","DEEP_MEASURE_ID_OVERRIDE",$C49,"DEEP_BROKER_ID_OVERRIDE",BO$24,"DEEP_PERIOD_OVERRIDE",$H$19)*1,"")))</f>
        <v/>
      </c>
      <c r="BP49" s="17" t="str">
        <f>IF(OR(BP$23="",ISNA($B49)),"",IF(ISBLANK($B49),"",IFERROR(_xll.BDP(TICKER,"DEEP_MEASURE_PERIOD_BROKER_VALUE","DEEP_MEASURE_ID_OVERRIDE",$C49,"DEEP_BROKER_ID_OVERRIDE",BP$24,"DEEP_PERIOD_OVERRIDE",$H$19)*1,"")))</f>
        <v/>
      </c>
      <c r="BQ49" s="17" t="str">
        <f>IF(OR(BQ$23="",ISNA($B49)),"",IF(ISBLANK($B49),"",IFERROR(_xll.BDP(TICKER,"DEEP_MEASURE_PERIOD_BROKER_VALUE","DEEP_MEASURE_ID_OVERRIDE",$C49,"DEEP_BROKER_ID_OVERRIDE",BQ$24,"DEEP_PERIOD_OVERRIDE",$H$19)*1,"")))</f>
        <v/>
      </c>
      <c r="BR49" s="17" t="str">
        <f>IF(OR(BR$23="",ISNA($B49)),"",IF(ISBLANK($B49),"",IFERROR(_xll.BDP(TICKER,"DEEP_MEASURE_PERIOD_BROKER_VALUE","DEEP_MEASURE_ID_OVERRIDE",$C49,"DEEP_BROKER_ID_OVERRIDE",BR$24,"DEEP_PERIOD_OVERRIDE",$H$19)*1,"")))</f>
        <v/>
      </c>
      <c r="BS49" s="17" t="str">
        <f>IF(OR(BS$23="",ISNA($B49)),"",IF(ISBLANK($B49),"",IFERROR(_xll.BDP(TICKER,"DEEP_MEASURE_PERIOD_BROKER_VALUE","DEEP_MEASURE_ID_OVERRIDE",$C49,"DEEP_BROKER_ID_OVERRIDE",BS$24,"DEEP_PERIOD_OVERRIDE",$H$19)*1,"")))</f>
        <v/>
      </c>
      <c r="BT49" s="17" t="str">
        <f>IF(OR(BT$23="",ISNA($B49)),"",IF(ISBLANK($B49),"",IFERROR(_xll.BDP(TICKER,"DEEP_MEASURE_PERIOD_BROKER_VALUE","DEEP_MEASURE_ID_OVERRIDE",$C49,"DEEP_BROKER_ID_OVERRIDE",BT$24,"DEEP_PERIOD_OVERRIDE",$H$19)*1,"")))</f>
        <v/>
      </c>
      <c r="BU49" s="17" t="str">
        <f>IF(OR(BU$23="",ISNA($B49)),"",IF(ISBLANK($B49),"",IFERROR(_xll.BDP(TICKER,"DEEP_MEASURE_PERIOD_BROKER_VALUE","DEEP_MEASURE_ID_OVERRIDE",$C49,"DEEP_BROKER_ID_OVERRIDE",BU$24,"DEEP_PERIOD_OVERRIDE",$H$19)*1,"")))</f>
        <v/>
      </c>
      <c r="BV49" s="17" t="str">
        <f>IF(OR(BV$23="",ISNA($B49)),"",IF(ISBLANK($B49),"",IFERROR(_xll.BDP(TICKER,"DEEP_MEASURE_PERIOD_BROKER_VALUE","DEEP_MEASURE_ID_OVERRIDE",$C49,"DEEP_BROKER_ID_OVERRIDE",BV$24,"DEEP_PERIOD_OVERRIDE",$H$19)*1,"")))</f>
        <v/>
      </c>
      <c r="BW49" s="17" t="str">
        <f>IF(OR(BW$23="",ISNA($B49)),"",IF(ISBLANK($B49),"",IFERROR(_xll.BDP(TICKER,"DEEP_MEASURE_PERIOD_BROKER_VALUE","DEEP_MEASURE_ID_OVERRIDE",$C49,"DEEP_BROKER_ID_OVERRIDE",BW$24,"DEEP_PERIOD_OVERRIDE",$H$19)*1,"")))</f>
        <v/>
      </c>
      <c r="BX49" s="17" t="str">
        <f>IF(OR(BX$23="",ISNA($B49)),"",IF(ISBLANK($B49),"",IFERROR(_xll.BDP(TICKER,"DEEP_MEASURE_PERIOD_BROKER_VALUE","DEEP_MEASURE_ID_OVERRIDE",$C49,"DEEP_BROKER_ID_OVERRIDE",BX$24,"DEEP_PERIOD_OVERRIDE",$H$19)*1,"")))</f>
        <v/>
      </c>
      <c r="BY49" s="17" t="str">
        <f>IF(OR(BY$23="",ISNA($B49)),"",IF(ISBLANK($B49),"",IFERROR(_xll.BDP(TICKER,"DEEP_MEASURE_PERIOD_BROKER_VALUE","DEEP_MEASURE_ID_OVERRIDE",$C49,"DEEP_BROKER_ID_OVERRIDE",BY$24,"DEEP_PERIOD_OVERRIDE",$H$19)*1,"")))</f>
        <v/>
      </c>
      <c r="BZ49" s="17" t="str">
        <f>IF(OR(BZ$23="",ISNA($B49)),"",IF(ISBLANK($B49),"",IFERROR(_xll.BDP(TICKER,"DEEP_MEASURE_PERIOD_BROKER_VALUE","DEEP_MEASURE_ID_OVERRIDE",$C49,"DEEP_BROKER_ID_OVERRIDE",BZ$24,"DEEP_PERIOD_OVERRIDE",$H$19)*1,"")))</f>
        <v/>
      </c>
    </row>
    <row r="50" spans="2:78" x14ac:dyDescent="0.25">
      <c r="B50" t="s">
        <v>96</v>
      </c>
      <c r="C50" s="11">
        <v>9848</v>
      </c>
      <c r="H50" t="str">
        <f t="shared" si="1"/>
        <v>Experiences &amp; Dining &gt; EBITDA &gt; As % of Experiences &amp; Dining Revenue</v>
      </c>
      <c r="I50" t="str">
        <f>IF(OR(I$23="",ISNA($B50)),"",IF(ISBLANK($B50),"",IFERROR(_xll.BDP(TICKER,"DEEP_MEASURE_PERIOD_BROKER_VALUE","DEEP_MEASURE_ID_OVERRIDE",$C50,"DEEP_PERIOD_OVERRIDE",$H$19)*1,"")))</f>
        <v/>
      </c>
      <c r="J50" t="e">
        <f>IF(OR(J$23="",ISNA($B50)),"",IF(ISBLANK($B50),"",IFERROR(_xll.BDP(TICKER,"DEEP_MEASURE_PERIOD_BROKER_VALUE","DEEP_MEASURE_ID_OVERRIDE",$C50,"DEEP_BROKER_ID_OVERRIDE",J$24,"DEEP_PERIOD_OVERRIDE",$H$19)*1,"")))</f>
        <v>#REF!</v>
      </c>
      <c r="K50" s="17" t="str">
        <f>IF(OR(K$23="",ISNA($B50)),"",IF(ISBLANK($B50),"",IFERROR(_xll.BDP(TICKER,"DEEP_MEASURE_PERIOD_BROKER_VALUE","DEEP_MEASURE_ID_OVERRIDE",$C50,"DEEP_BROKER_ID_OVERRIDE",K$24,"DEEP_PERIOD_OVERRIDE",$H$19)*1,"")))</f>
        <v/>
      </c>
      <c r="L50" s="17" t="str">
        <f>IF(OR(L$23="",ISNA($B50)),"",IF(ISBLANK($B50),"",IFERROR(_xll.BDP(TICKER,"DEEP_MEASURE_PERIOD_BROKER_VALUE","DEEP_MEASURE_ID_OVERRIDE",$C50,"DEEP_BROKER_ID_OVERRIDE",L$24,"DEEP_PERIOD_OVERRIDE",$H$19)*1,"")))</f>
        <v/>
      </c>
      <c r="M50" s="17" t="str">
        <f>IF(OR(M$23="",ISNA($B50)),"",IF(ISBLANK($B50),"",IFERROR(_xll.BDP(TICKER,"DEEP_MEASURE_PERIOD_BROKER_VALUE","DEEP_MEASURE_ID_OVERRIDE",$C50,"DEEP_BROKER_ID_OVERRIDE",M$24,"DEEP_PERIOD_OVERRIDE",$H$19)*1,"")))</f>
        <v/>
      </c>
      <c r="N50" s="17" t="str">
        <f>IF(OR(N$23="",ISNA($B50)),"",IF(ISBLANK($B50),"",IFERROR(_xll.BDP(TICKER,"DEEP_MEASURE_PERIOD_BROKER_VALUE","DEEP_MEASURE_ID_OVERRIDE",$C50,"DEEP_BROKER_ID_OVERRIDE",N$24,"DEEP_PERIOD_OVERRIDE",$H$19)*1,"")))</f>
        <v/>
      </c>
      <c r="O50" s="17" t="str">
        <f>IF(OR(O$23="",ISNA($B50)),"",IF(ISBLANK($B50),"",IFERROR(_xll.BDP(TICKER,"DEEP_MEASURE_PERIOD_BROKER_VALUE","DEEP_MEASURE_ID_OVERRIDE",$C50,"DEEP_BROKER_ID_OVERRIDE",O$24,"DEEP_PERIOD_OVERRIDE",$H$19)*1,"")))</f>
        <v/>
      </c>
      <c r="P50" s="17" t="str">
        <f>IF(OR(P$23="",ISNA($B50)),"",IF(ISBLANK($B50),"",IFERROR(_xll.BDP(TICKER,"DEEP_MEASURE_PERIOD_BROKER_VALUE","DEEP_MEASURE_ID_OVERRIDE",$C50,"DEEP_BROKER_ID_OVERRIDE",P$24,"DEEP_PERIOD_OVERRIDE",$H$19)*1,"")))</f>
        <v/>
      </c>
      <c r="Q50" s="17" t="str">
        <f>IF(OR(Q$23="",ISNA($B50)),"",IF(ISBLANK($B50),"",IFERROR(_xll.BDP(TICKER,"DEEP_MEASURE_PERIOD_BROKER_VALUE","DEEP_MEASURE_ID_OVERRIDE",$C50,"DEEP_BROKER_ID_OVERRIDE",Q$24,"DEEP_PERIOD_OVERRIDE",$H$19)*1,"")))</f>
        <v/>
      </c>
      <c r="R50" s="17" t="str">
        <f>IF(OR(R$23="",ISNA($B50)),"",IF(ISBLANK($B50),"",IFERROR(_xll.BDP(TICKER,"DEEP_MEASURE_PERIOD_BROKER_VALUE","DEEP_MEASURE_ID_OVERRIDE",$C50,"DEEP_BROKER_ID_OVERRIDE",R$24,"DEEP_PERIOD_OVERRIDE",$H$19)*1,"")))</f>
        <v/>
      </c>
      <c r="S50" s="17" t="str">
        <f>IF(OR(S$23="",ISNA($B50)),"",IF(ISBLANK($B50),"",IFERROR(_xll.BDP(TICKER,"DEEP_MEASURE_PERIOD_BROKER_VALUE","DEEP_MEASURE_ID_OVERRIDE",$C50,"DEEP_BROKER_ID_OVERRIDE",S$24,"DEEP_PERIOD_OVERRIDE",$H$19)*1,"")))</f>
        <v/>
      </c>
      <c r="T50" s="17" t="str">
        <f>IF(OR(T$23="",ISNA($B50)),"",IF(ISBLANK($B50),"",IFERROR(_xll.BDP(TICKER,"DEEP_MEASURE_PERIOD_BROKER_VALUE","DEEP_MEASURE_ID_OVERRIDE",$C50,"DEEP_BROKER_ID_OVERRIDE",T$24,"DEEP_PERIOD_OVERRIDE",$H$19)*1,"")))</f>
        <v/>
      </c>
      <c r="U50" s="17" t="str">
        <f>IF(OR(U$23="",ISNA($B50)),"",IF(ISBLANK($B50),"",IFERROR(_xll.BDP(TICKER,"DEEP_MEASURE_PERIOD_BROKER_VALUE","DEEP_MEASURE_ID_OVERRIDE",$C50,"DEEP_BROKER_ID_OVERRIDE",U$24,"DEEP_PERIOD_OVERRIDE",$H$19)*1,"")))</f>
        <v/>
      </c>
      <c r="V50" s="17" t="str">
        <f>IF(OR(V$23="",ISNA($B50)),"",IF(ISBLANK($B50),"",IFERROR(_xll.BDP(TICKER,"DEEP_MEASURE_PERIOD_BROKER_VALUE","DEEP_MEASURE_ID_OVERRIDE",$C50,"DEEP_BROKER_ID_OVERRIDE",V$24,"DEEP_PERIOD_OVERRIDE",$H$19)*1,"")))</f>
        <v/>
      </c>
      <c r="W50" s="17" t="str">
        <f>IF(OR(W$23="",ISNA($B50)),"",IF(ISBLANK($B50),"",IFERROR(_xll.BDP(TICKER,"DEEP_MEASURE_PERIOD_BROKER_VALUE","DEEP_MEASURE_ID_OVERRIDE",$C50,"DEEP_BROKER_ID_OVERRIDE",W$24,"DEEP_PERIOD_OVERRIDE",$H$19)*1,"")))</f>
        <v/>
      </c>
      <c r="X50" s="17" t="str">
        <f>IF(OR(X$23="",ISNA($B50)),"",IF(ISBLANK($B50),"",IFERROR(_xll.BDP(TICKER,"DEEP_MEASURE_PERIOD_BROKER_VALUE","DEEP_MEASURE_ID_OVERRIDE",$C50,"DEEP_BROKER_ID_OVERRIDE",X$24,"DEEP_PERIOD_OVERRIDE",$H$19)*1,"")))</f>
        <v/>
      </c>
      <c r="Y50" s="17" t="str">
        <f>IF(OR(Y$23="",ISNA($B50)),"",IF(ISBLANK($B50),"",IFERROR(_xll.BDP(TICKER,"DEEP_MEASURE_PERIOD_BROKER_VALUE","DEEP_MEASURE_ID_OVERRIDE",$C50,"DEEP_BROKER_ID_OVERRIDE",Y$24,"DEEP_PERIOD_OVERRIDE",$H$19)*1,"")))</f>
        <v/>
      </c>
      <c r="Z50" s="17" t="str">
        <f>IF(OR(Z$23="",ISNA($B50)),"",IF(ISBLANK($B50),"",IFERROR(_xll.BDP(TICKER,"DEEP_MEASURE_PERIOD_BROKER_VALUE","DEEP_MEASURE_ID_OVERRIDE",$C50,"DEEP_BROKER_ID_OVERRIDE",Z$24,"DEEP_PERIOD_OVERRIDE",$H$19)*1,"")))</f>
        <v/>
      </c>
      <c r="AA50" s="17" t="str">
        <f>IF(OR(AA$23="",ISNA($B50)),"",IF(ISBLANK($B50),"",IFERROR(_xll.BDP(TICKER,"DEEP_MEASURE_PERIOD_BROKER_VALUE","DEEP_MEASURE_ID_OVERRIDE",$C50,"DEEP_BROKER_ID_OVERRIDE",AA$24,"DEEP_PERIOD_OVERRIDE",$H$19)*1,"")))</f>
        <v/>
      </c>
      <c r="AB50" s="17" t="str">
        <f>IF(OR(AB$23="",ISNA($B50)),"",IF(ISBLANK($B50),"",IFERROR(_xll.BDP(TICKER,"DEEP_MEASURE_PERIOD_BROKER_VALUE","DEEP_MEASURE_ID_OVERRIDE",$C50,"DEEP_BROKER_ID_OVERRIDE",AB$24,"DEEP_PERIOD_OVERRIDE",$H$19)*1,"")))</f>
        <v/>
      </c>
      <c r="AC50" s="17" t="str">
        <f>IF(OR(AC$23="",ISNA($B50)),"",IF(ISBLANK($B50),"",IFERROR(_xll.BDP(TICKER,"DEEP_MEASURE_PERIOD_BROKER_VALUE","DEEP_MEASURE_ID_OVERRIDE",$C50,"DEEP_BROKER_ID_OVERRIDE",AC$24,"DEEP_PERIOD_OVERRIDE",$H$19)*1,"")))</f>
        <v/>
      </c>
      <c r="AD50" s="17" t="str">
        <f>IF(OR(AD$23="",ISNA($B50)),"",IF(ISBLANK($B50),"",IFERROR(_xll.BDP(TICKER,"DEEP_MEASURE_PERIOD_BROKER_VALUE","DEEP_MEASURE_ID_OVERRIDE",$C50,"DEEP_BROKER_ID_OVERRIDE",AD$24,"DEEP_PERIOD_OVERRIDE",$H$19)*1,"")))</f>
        <v/>
      </c>
      <c r="AE50" s="17" t="str">
        <f>IF(OR(AE$23="",ISNA($B50)),"",IF(ISBLANK($B50),"",IFERROR(_xll.BDP(TICKER,"DEEP_MEASURE_PERIOD_BROKER_VALUE","DEEP_MEASURE_ID_OVERRIDE",$C50,"DEEP_BROKER_ID_OVERRIDE",AE$24,"DEEP_PERIOD_OVERRIDE",$H$19)*1,"")))</f>
        <v/>
      </c>
      <c r="AF50" s="17" t="str">
        <f>IF(OR(AF$23="",ISNA($B50)),"",IF(ISBLANK($B50),"",IFERROR(_xll.BDP(TICKER,"DEEP_MEASURE_PERIOD_BROKER_VALUE","DEEP_MEASURE_ID_OVERRIDE",$C50,"DEEP_BROKER_ID_OVERRIDE",AF$24,"DEEP_PERIOD_OVERRIDE",$H$19)*1,"")))</f>
        <v/>
      </c>
      <c r="AG50" s="17" t="str">
        <f>IF(OR(AG$23="",ISNA($B50)),"",IF(ISBLANK($B50),"",IFERROR(_xll.BDP(TICKER,"DEEP_MEASURE_PERIOD_BROKER_VALUE","DEEP_MEASURE_ID_OVERRIDE",$C50,"DEEP_BROKER_ID_OVERRIDE",AG$24,"DEEP_PERIOD_OVERRIDE",$H$19)*1,"")))</f>
        <v/>
      </c>
      <c r="AH50" s="17" t="str">
        <f>IF(OR(AH$23="",ISNA($B50)),"",IF(ISBLANK($B50),"",IFERROR(_xll.BDP(TICKER,"DEEP_MEASURE_PERIOD_BROKER_VALUE","DEEP_MEASURE_ID_OVERRIDE",$C50,"DEEP_BROKER_ID_OVERRIDE",AH$24,"DEEP_PERIOD_OVERRIDE",$H$19)*1,"")))</f>
        <v/>
      </c>
      <c r="AI50" s="17" t="str">
        <f>IF(OR(AI$23="",ISNA($B50)),"",IF(ISBLANK($B50),"",IFERROR(_xll.BDP(TICKER,"DEEP_MEASURE_PERIOD_BROKER_VALUE","DEEP_MEASURE_ID_OVERRIDE",$C50,"DEEP_BROKER_ID_OVERRIDE",AI$24,"DEEP_PERIOD_OVERRIDE",$H$19)*1,"")))</f>
        <v/>
      </c>
      <c r="AJ50" s="17" t="str">
        <f>IF(OR(AJ$23="",ISNA($B50)),"",IF(ISBLANK($B50),"",IFERROR(_xll.BDP(TICKER,"DEEP_MEASURE_PERIOD_BROKER_VALUE","DEEP_MEASURE_ID_OVERRIDE",$C50,"DEEP_BROKER_ID_OVERRIDE",AJ$24,"DEEP_PERIOD_OVERRIDE",$H$19)*1,"")))</f>
        <v/>
      </c>
      <c r="AK50" s="17" t="str">
        <f>IF(OR(AK$23="",ISNA($B50)),"",IF(ISBLANK($B50),"",IFERROR(_xll.BDP(TICKER,"DEEP_MEASURE_PERIOD_BROKER_VALUE","DEEP_MEASURE_ID_OVERRIDE",$C50,"DEEP_BROKER_ID_OVERRIDE",AK$24,"DEEP_PERIOD_OVERRIDE",$H$19)*1,"")))</f>
        <v/>
      </c>
      <c r="AL50" s="17" t="str">
        <f>IF(OR(AL$23="",ISNA($B50)),"",IF(ISBLANK($B50),"",IFERROR(_xll.BDP(TICKER,"DEEP_MEASURE_PERIOD_BROKER_VALUE","DEEP_MEASURE_ID_OVERRIDE",$C50,"DEEP_BROKER_ID_OVERRIDE",AL$24,"DEEP_PERIOD_OVERRIDE",$H$19)*1,"")))</f>
        <v/>
      </c>
      <c r="AM50" s="17" t="str">
        <f>IF(OR(AM$23="",ISNA($B50)),"",IF(ISBLANK($B50),"",IFERROR(_xll.BDP(TICKER,"DEEP_MEASURE_PERIOD_BROKER_VALUE","DEEP_MEASURE_ID_OVERRIDE",$C50,"DEEP_BROKER_ID_OVERRIDE",AM$24,"DEEP_PERIOD_OVERRIDE",$H$19)*1,"")))</f>
        <v/>
      </c>
      <c r="AN50" s="17" t="str">
        <f>IF(OR(AN$23="",ISNA($B50)),"",IF(ISBLANK($B50),"",IFERROR(_xll.BDP(TICKER,"DEEP_MEASURE_PERIOD_BROKER_VALUE","DEEP_MEASURE_ID_OVERRIDE",$C50,"DEEP_BROKER_ID_OVERRIDE",AN$24,"DEEP_PERIOD_OVERRIDE",$H$19)*1,"")))</f>
        <v/>
      </c>
      <c r="AO50" s="17" t="str">
        <f>IF(OR(AO$23="",ISNA($B50)),"",IF(ISBLANK($B50),"",IFERROR(_xll.BDP(TICKER,"DEEP_MEASURE_PERIOD_BROKER_VALUE","DEEP_MEASURE_ID_OVERRIDE",$C50,"DEEP_BROKER_ID_OVERRIDE",AO$24,"DEEP_PERIOD_OVERRIDE",$H$19)*1,"")))</f>
        <v/>
      </c>
      <c r="AP50" s="17" t="str">
        <f>IF(OR(AP$23="",ISNA($B50)),"",IF(ISBLANK($B50),"",IFERROR(_xll.BDP(TICKER,"DEEP_MEASURE_PERIOD_BROKER_VALUE","DEEP_MEASURE_ID_OVERRIDE",$C50,"DEEP_BROKER_ID_OVERRIDE",AP$24,"DEEP_PERIOD_OVERRIDE",$H$19)*1,"")))</f>
        <v/>
      </c>
      <c r="AQ50" s="17" t="str">
        <f>IF(OR(AQ$23="",ISNA($B50)),"",IF(ISBLANK($B50),"",IFERROR(_xll.BDP(TICKER,"DEEP_MEASURE_PERIOD_BROKER_VALUE","DEEP_MEASURE_ID_OVERRIDE",$C50,"DEEP_BROKER_ID_OVERRIDE",AQ$24,"DEEP_PERIOD_OVERRIDE",$H$19)*1,"")))</f>
        <v/>
      </c>
      <c r="AR50" s="17" t="str">
        <f>IF(OR(AR$23="",ISNA($B50)),"",IF(ISBLANK($B50),"",IFERROR(_xll.BDP(TICKER,"DEEP_MEASURE_PERIOD_BROKER_VALUE","DEEP_MEASURE_ID_OVERRIDE",$C50,"DEEP_BROKER_ID_OVERRIDE",AR$24,"DEEP_PERIOD_OVERRIDE",$H$19)*1,"")))</f>
        <v/>
      </c>
      <c r="AS50" s="17" t="str">
        <f>IF(OR(AS$23="",ISNA($B50)),"",IF(ISBLANK($B50),"",IFERROR(_xll.BDP(TICKER,"DEEP_MEASURE_PERIOD_BROKER_VALUE","DEEP_MEASURE_ID_OVERRIDE",$C50,"DEEP_BROKER_ID_OVERRIDE",AS$24,"DEEP_PERIOD_OVERRIDE",$H$19)*1,"")))</f>
        <v/>
      </c>
      <c r="AT50" s="17" t="str">
        <f>IF(OR(AT$23="",ISNA($B50)),"",IF(ISBLANK($B50),"",IFERROR(_xll.BDP(TICKER,"DEEP_MEASURE_PERIOD_BROKER_VALUE","DEEP_MEASURE_ID_OVERRIDE",$C50,"DEEP_BROKER_ID_OVERRIDE",AT$24,"DEEP_PERIOD_OVERRIDE",$H$19)*1,"")))</f>
        <v/>
      </c>
      <c r="AU50" s="17" t="str">
        <f>IF(OR(AU$23="",ISNA($B50)),"",IF(ISBLANK($B50),"",IFERROR(_xll.BDP(TICKER,"DEEP_MEASURE_PERIOD_BROKER_VALUE","DEEP_MEASURE_ID_OVERRIDE",$C50,"DEEP_BROKER_ID_OVERRIDE",AU$24,"DEEP_PERIOD_OVERRIDE",$H$19)*1,"")))</f>
        <v/>
      </c>
      <c r="AV50" s="17" t="str">
        <f>IF(OR(AV$23="",ISNA($B50)),"",IF(ISBLANK($B50),"",IFERROR(_xll.BDP(TICKER,"DEEP_MEASURE_PERIOD_BROKER_VALUE","DEEP_MEASURE_ID_OVERRIDE",$C50,"DEEP_BROKER_ID_OVERRIDE",AV$24,"DEEP_PERIOD_OVERRIDE",$H$19)*1,"")))</f>
        <v/>
      </c>
      <c r="AW50" s="17" t="str">
        <f>IF(OR(AW$23="",ISNA($B50)),"",IF(ISBLANK($B50),"",IFERROR(_xll.BDP(TICKER,"DEEP_MEASURE_PERIOD_BROKER_VALUE","DEEP_MEASURE_ID_OVERRIDE",$C50,"DEEP_BROKER_ID_OVERRIDE",AW$24,"DEEP_PERIOD_OVERRIDE",$H$19)*1,"")))</f>
        <v/>
      </c>
      <c r="AX50" s="17" t="str">
        <f>IF(OR(AX$23="",ISNA($B50)),"",IF(ISBLANK($B50),"",IFERROR(_xll.BDP(TICKER,"DEEP_MEASURE_PERIOD_BROKER_VALUE","DEEP_MEASURE_ID_OVERRIDE",$C50,"DEEP_BROKER_ID_OVERRIDE",AX$24,"DEEP_PERIOD_OVERRIDE",$H$19)*1,"")))</f>
        <v/>
      </c>
      <c r="AY50" s="17" t="str">
        <f>IF(OR(AY$23="",ISNA($B50)),"",IF(ISBLANK($B50),"",IFERROR(_xll.BDP(TICKER,"DEEP_MEASURE_PERIOD_BROKER_VALUE","DEEP_MEASURE_ID_OVERRIDE",$C50,"DEEP_BROKER_ID_OVERRIDE",AY$24,"DEEP_PERIOD_OVERRIDE",$H$19)*1,"")))</f>
        <v/>
      </c>
      <c r="AZ50" s="17" t="str">
        <f>IF(OR(AZ$23="",ISNA($B50)),"",IF(ISBLANK($B50),"",IFERROR(_xll.BDP(TICKER,"DEEP_MEASURE_PERIOD_BROKER_VALUE","DEEP_MEASURE_ID_OVERRIDE",$C50,"DEEP_BROKER_ID_OVERRIDE",AZ$24,"DEEP_PERIOD_OVERRIDE",$H$19)*1,"")))</f>
        <v/>
      </c>
      <c r="BA50" s="17" t="str">
        <f>IF(OR(BA$23="",ISNA($B50)),"",IF(ISBLANK($B50),"",IFERROR(_xll.BDP(TICKER,"DEEP_MEASURE_PERIOD_BROKER_VALUE","DEEP_MEASURE_ID_OVERRIDE",$C50,"DEEP_BROKER_ID_OVERRIDE",BA$24,"DEEP_PERIOD_OVERRIDE",$H$19)*1,"")))</f>
        <v/>
      </c>
      <c r="BB50" s="17" t="str">
        <f>IF(OR(BB$23="",ISNA($B50)),"",IF(ISBLANK($B50),"",IFERROR(_xll.BDP(TICKER,"DEEP_MEASURE_PERIOD_BROKER_VALUE","DEEP_MEASURE_ID_OVERRIDE",$C50,"DEEP_BROKER_ID_OVERRIDE",BB$24,"DEEP_PERIOD_OVERRIDE",$H$19)*1,"")))</f>
        <v/>
      </c>
      <c r="BC50" s="17" t="str">
        <f>IF(OR(BC$23="",ISNA($B50)),"",IF(ISBLANK($B50),"",IFERROR(_xll.BDP(TICKER,"DEEP_MEASURE_PERIOD_BROKER_VALUE","DEEP_MEASURE_ID_OVERRIDE",$C50,"DEEP_BROKER_ID_OVERRIDE",BC$24,"DEEP_PERIOD_OVERRIDE",$H$19)*1,"")))</f>
        <v/>
      </c>
      <c r="BD50" s="17" t="str">
        <f>IF(OR(BD$23="",ISNA($B50)),"",IF(ISBLANK($B50),"",IFERROR(_xll.BDP(TICKER,"DEEP_MEASURE_PERIOD_BROKER_VALUE","DEEP_MEASURE_ID_OVERRIDE",$C50,"DEEP_BROKER_ID_OVERRIDE",BD$24,"DEEP_PERIOD_OVERRIDE",$H$19)*1,"")))</f>
        <v/>
      </c>
      <c r="BE50" s="17" t="str">
        <f>IF(OR(BE$23="",ISNA($B50)),"",IF(ISBLANK($B50),"",IFERROR(_xll.BDP(TICKER,"DEEP_MEASURE_PERIOD_BROKER_VALUE","DEEP_MEASURE_ID_OVERRIDE",$C50,"DEEP_BROKER_ID_OVERRIDE",BE$24,"DEEP_PERIOD_OVERRIDE",$H$19)*1,"")))</f>
        <v/>
      </c>
      <c r="BF50" s="17" t="str">
        <f>IF(OR(BF$23="",ISNA($B50)),"",IF(ISBLANK($B50),"",IFERROR(_xll.BDP(TICKER,"DEEP_MEASURE_PERIOD_BROKER_VALUE","DEEP_MEASURE_ID_OVERRIDE",$C50,"DEEP_BROKER_ID_OVERRIDE",BF$24,"DEEP_PERIOD_OVERRIDE",$H$19)*1,"")))</f>
        <v/>
      </c>
      <c r="BG50" s="17" t="str">
        <f>IF(OR(BG$23="",ISNA($B50)),"",IF(ISBLANK($B50),"",IFERROR(_xll.BDP(TICKER,"DEEP_MEASURE_PERIOD_BROKER_VALUE","DEEP_MEASURE_ID_OVERRIDE",$C50,"DEEP_BROKER_ID_OVERRIDE",BG$24,"DEEP_PERIOD_OVERRIDE",$H$19)*1,"")))</f>
        <v/>
      </c>
      <c r="BH50" s="17" t="str">
        <f>IF(OR(BH$23="",ISNA($B50)),"",IF(ISBLANK($B50),"",IFERROR(_xll.BDP(TICKER,"DEEP_MEASURE_PERIOD_BROKER_VALUE","DEEP_MEASURE_ID_OVERRIDE",$C50,"DEEP_BROKER_ID_OVERRIDE",BH$24,"DEEP_PERIOD_OVERRIDE",$H$19)*1,"")))</f>
        <v/>
      </c>
      <c r="BI50" s="17" t="str">
        <f>IF(OR(BI$23="",ISNA($B50)),"",IF(ISBLANK($B50),"",IFERROR(_xll.BDP(TICKER,"DEEP_MEASURE_PERIOD_BROKER_VALUE","DEEP_MEASURE_ID_OVERRIDE",$C50,"DEEP_BROKER_ID_OVERRIDE",BI$24,"DEEP_PERIOD_OVERRIDE",$H$19)*1,"")))</f>
        <v/>
      </c>
      <c r="BJ50" s="17" t="str">
        <f>IF(OR(BJ$23="",ISNA($B50)),"",IF(ISBLANK($B50),"",IFERROR(_xll.BDP(TICKER,"DEEP_MEASURE_PERIOD_BROKER_VALUE","DEEP_MEASURE_ID_OVERRIDE",$C50,"DEEP_BROKER_ID_OVERRIDE",BJ$24,"DEEP_PERIOD_OVERRIDE",$H$19)*1,"")))</f>
        <v/>
      </c>
      <c r="BK50" s="17" t="str">
        <f>IF(OR(BK$23="",ISNA($B50)),"",IF(ISBLANK($B50),"",IFERROR(_xll.BDP(TICKER,"DEEP_MEASURE_PERIOD_BROKER_VALUE","DEEP_MEASURE_ID_OVERRIDE",$C50,"DEEP_BROKER_ID_OVERRIDE",BK$24,"DEEP_PERIOD_OVERRIDE",$H$19)*1,"")))</f>
        <v/>
      </c>
      <c r="BL50" s="17" t="str">
        <f>IF(OR(BL$23="",ISNA($B50)),"",IF(ISBLANK($B50),"",IFERROR(_xll.BDP(TICKER,"DEEP_MEASURE_PERIOD_BROKER_VALUE","DEEP_MEASURE_ID_OVERRIDE",$C50,"DEEP_BROKER_ID_OVERRIDE",BL$24,"DEEP_PERIOD_OVERRIDE",$H$19)*1,"")))</f>
        <v/>
      </c>
      <c r="BM50" s="17" t="str">
        <f>IF(OR(BM$23="",ISNA($B50)),"",IF(ISBLANK($B50),"",IFERROR(_xll.BDP(TICKER,"DEEP_MEASURE_PERIOD_BROKER_VALUE","DEEP_MEASURE_ID_OVERRIDE",$C50,"DEEP_BROKER_ID_OVERRIDE",BM$24,"DEEP_PERIOD_OVERRIDE",$H$19)*1,"")))</f>
        <v/>
      </c>
      <c r="BN50" s="17" t="str">
        <f>IF(OR(BN$23="",ISNA($B50)),"",IF(ISBLANK($B50),"",IFERROR(_xll.BDP(TICKER,"DEEP_MEASURE_PERIOD_BROKER_VALUE","DEEP_MEASURE_ID_OVERRIDE",$C50,"DEEP_BROKER_ID_OVERRIDE",BN$24,"DEEP_PERIOD_OVERRIDE",$H$19)*1,"")))</f>
        <v/>
      </c>
      <c r="BO50" s="17" t="str">
        <f>IF(OR(BO$23="",ISNA($B50)),"",IF(ISBLANK($B50),"",IFERROR(_xll.BDP(TICKER,"DEEP_MEASURE_PERIOD_BROKER_VALUE","DEEP_MEASURE_ID_OVERRIDE",$C50,"DEEP_BROKER_ID_OVERRIDE",BO$24,"DEEP_PERIOD_OVERRIDE",$H$19)*1,"")))</f>
        <v/>
      </c>
      <c r="BP50" s="17" t="str">
        <f>IF(OR(BP$23="",ISNA($B50)),"",IF(ISBLANK($B50),"",IFERROR(_xll.BDP(TICKER,"DEEP_MEASURE_PERIOD_BROKER_VALUE","DEEP_MEASURE_ID_OVERRIDE",$C50,"DEEP_BROKER_ID_OVERRIDE",BP$24,"DEEP_PERIOD_OVERRIDE",$H$19)*1,"")))</f>
        <v/>
      </c>
      <c r="BQ50" s="17" t="str">
        <f>IF(OR(BQ$23="",ISNA($B50)),"",IF(ISBLANK($B50),"",IFERROR(_xll.BDP(TICKER,"DEEP_MEASURE_PERIOD_BROKER_VALUE","DEEP_MEASURE_ID_OVERRIDE",$C50,"DEEP_BROKER_ID_OVERRIDE",BQ$24,"DEEP_PERIOD_OVERRIDE",$H$19)*1,"")))</f>
        <v/>
      </c>
      <c r="BR50" s="17" t="str">
        <f>IF(OR(BR$23="",ISNA($B50)),"",IF(ISBLANK($B50),"",IFERROR(_xll.BDP(TICKER,"DEEP_MEASURE_PERIOD_BROKER_VALUE","DEEP_MEASURE_ID_OVERRIDE",$C50,"DEEP_BROKER_ID_OVERRIDE",BR$24,"DEEP_PERIOD_OVERRIDE",$H$19)*1,"")))</f>
        <v/>
      </c>
      <c r="BS50" s="17" t="str">
        <f>IF(OR(BS$23="",ISNA($B50)),"",IF(ISBLANK($B50),"",IFERROR(_xll.BDP(TICKER,"DEEP_MEASURE_PERIOD_BROKER_VALUE","DEEP_MEASURE_ID_OVERRIDE",$C50,"DEEP_BROKER_ID_OVERRIDE",BS$24,"DEEP_PERIOD_OVERRIDE",$H$19)*1,"")))</f>
        <v/>
      </c>
      <c r="BT50" s="17" t="str">
        <f>IF(OR(BT$23="",ISNA($B50)),"",IF(ISBLANK($B50),"",IFERROR(_xll.BDP(TICKER,"DEEP_MEASURE_PERIOD_BROKER_VALUE","DEEP_MEASURE_ID_OVERRIDE",$C50,"DEEP_BROKER_ID_OVERRIDE",BT$24,"DEEP_PERIOD_OVERRIDE",$H$19)*1,"")))</f>
        <v/>
      </c>
      <c r="BU50" s="17" t="str">
        <f>IF(OR(BU$23="",ISNA($B50)),"",IF(ISBLANK($B50),"",IFERROR(_xll.BDP(TICKER,"DEEP_MEASURE_PERIOD_BROKER_VALUE","DEEP_MEASURE_ID_OVERRIDE",$C50,"DEEP_BROKER_ID_OVERRIDE",BU$24,"DEEP_PERIOD_OVERRIDE",$H$19)*1,"")))</f>
        <v/>
      </c>
      <c r="BV50" s="17" t="str">
        <f>IF(OR(BV$23="",ISNA($B50)),"",IF(ISBLANK($B50),"",IFERROR(_xll.BDP(TICKER,"DEEP_MEASURE_PERIOD_BROKER_VALUE","DEEP_MEASURE_ID_OVERRIDE",$C50,"DEEP_BROKER_ID_OVERRIDE",BV$24,"DEEP_PERIOD_OVERRIDE",$H$19)*1,"")))</f>
        <v/>
      </c>
      <c r="BW50" s="17" t="str">
        <f>IF(OR(BW$23="",ISNA($B50)),"",IF(ISBLANK($B50),"",IFERROR(_xll.BDP(TICKER,"DEEP_MEASURE_PERIOD_BROKER_VALUE","DEEP_MEASURE_ID_OVERRIDE",$C50,"DEEP_BROKER_ID_OVERRIDE",BW$24,"DEEP_PERIOD_OVERRIDE",$H$19)*1,"")))</f>
        <v/>
      </c>
      <c r="BX50" s="17" t="str">
        <f>IF(OR(BX$23="",ISNA($B50)),"",IF(ISBLANK($B50),"",IFERROR(_xll.BDP(TICKER,"DEEP_MEASURE_PERIOD_BROKER_VALUE","DEEP_MEASURE_ID_OVERRIDE",$C50,"DEEP_BROKER_ID_OVERRIDE",BX$24,"DEEP_PERIOD_OVERRIDE",$H$19)*1,"")))</f>
        <v/>
      </c>
      <c r="BY50" s="17" t="str">
        <f>IF(OR(BY$23="",ISNA($B50)),"",IF(ISBLANK($B50),"",IFERROR(_xll.BDP(TICKER,"DEEP_MEASURE_PERIOD_BROKER_VALUE","DEEP_MEASURE_ID_OVERRIDE",$C50,"DEEP_BROKER_ID_OVERRIDE",BY$24,"DEEP_PERIOD_OVERRIDE",$H$19)*1,"")))</f>
        <v/>
      </c>
      <c r="BZ50" s="17" t="str">
        <f>IF(OR(BZ$23="",ISNA($B50)),"",IF(ISBLANK($B50),"",IFERROR(_xll.BDP(TICKER,"DEEP_MEASURE_PERIOD_BROKER_VALUE","DEEP_MEASURE_ID_OVERRIDE",$C50,"DEEP_BROKER_ID_OVERRIDE",BZ$24,"DEEP_PERIOD_OVERRIDE",$H$19)*1,"")))</f>
        <v/>
      </c>
    </row>
    <row r="51" spans="2:78" x14ac:dyDescent="0.25">
      <c r="B51" t="s">
        <v>47</v>
      </c>
      <c r="C51" s="11">
        <v>6991</v>
      </c>
      <c r="H51" t="str">
        <f t="shared" si="1"/>
        <v>Other &gt; Revenue</v>
      </c>
      <c r="I51" t="str">
        <f>IF(OR(I$23="",ISNA($B51)),"",IF(ISBLANK($B51),"",IFERROR(_xll.BDP(TICKER,"DEEP_MEASURE_PERIOD_BROKER_VALUE","DEEP_MEASURE_ID_OVERRIDE",$C51,"DEEP_PERIOD_OVERRIDE",$H$19)*1,"")))</f>
        <v/>
      </c>
      <c r="J51" t="e">
        <f>IF(OR(J$23="",ISNA($B51)),"",IF(ISBLANK($B51),"",IFERROR(_xll.BDP(TICKER,"DEEP_MEASURE_PERIOD_BROKER_VALUE","DEEP_MEASURE_ID_OVERRIDE",$C51,"DEEP_BROKER_ID_OVERRIDE",J$24,"DEEP_PERIOD_OVERRIDE",$H$19)*1,"")))</f>
        <v>#REF!</v>
      </c>
      <c r="K51" s="17" t="str">
        <f>IF(OR(K$23="",ISNA($B51)),"",IF(ISBLANK($B51),"",IFERROR(_xll.BDP(TICKER,"DEEP_MEASURE_PERIOD_BROKER_VALUE","DEEP_MEASURE_ID_OVERRIDE",$C51,"DEEP_BROKER_ID_OVERRIDE",K$24,"DEEP_PERIOD_OVERRIDE",$H$19)*1,"")))</f>
        <v/>
      </c>
      <c r="L51" s="17" t="str">
        <f>IF(OR(L$23="",ISNA($B51)),"",IF(ISBLANK($B51),"",IFERROR(_xll.BDP(TICKER,"DEEP_MEASURE_PERIOD_BROKER_VALUE","DEEP_MEASURE_ID_OVERRIDE",$C51,"DEEP_BROKER_ID_OVERRIDE",L$24,"DEEP_PERIOD_OVERRIDE",$H$19)*1,"")))</f>
        <v/>
      </c>
      <c r="M51" s="17" t="str">
        <f>IF(OR(M$23="",ISNA($B51)),"",IF(ISBLANK($B51),"",IFERROR(_xll.BDP(TICKER,"DEEP_MEASURE_PERIOD_BROKER_VALUE","DEEP_MEASURE_ID_OVERRIDE",$C51,"DEEP_BROKER_ID_OVERRIDE",M$24,"DEEP_PERIOD_OVERRIDE",$H$19)*1,"")))</f>
        <v/>
      </c>
      <c r="N51" s="17" t="str">
        <f>IF(OR(N$23="",ISNA($B51)),"",IF(ISBLANK($B51),"",IFERROR(_xll.BDP(TICKER,"DEEP_MEASURE_PERIOD_BROKER_VALUE","DEEP_MEASURE_ID_OVERRIDE",$C51,"DEEP_BROKER_ID_OVERRIDE",N$24,"DEEP_PERIOD_OVERRIDE",$H$19)*1,"")))</f>
        <v/>
      </c>
      <c r="O51" s="17" t="str">
        <f>IF(OR(O$23="",ISNA($B51)),"",IF(ISBLANK($B51),"",IFERROR(_xll.BDP(TICKER,"DEEP_MEASURE_PERIOD_BROKER_VALUE","DEEP_MEASURE_ID_OVERRIDE",$C51,"DEEP_BROKER_ID_OVERRIDE",O$24,"DEEP_PERIOD_OVERRIDE",$H$19)*1,"")))</f>
        <v/>
      </c>
      <c r="P51" s="17" t="str">
        <f>IF(OR(P$23="",ISNA($B51)),"",IF(ISBLANK($B51),"",IFERROR(_xll.BDP(TICKER,"DEEP_MEASURE_PERIOD_BROKER_VALUE","DEEP_MEASURE_ID_OVERRIDE",$C51,"DEEP_BROKER_ID_OVERRIDE",P$24,"DEEP_PERIOD_OVERRIDE",$H$19)*1,"")))</f>
        <v/>
      </c>
      <c r="Q51" s="17" t="str">
        <f>IF(OR(Q$23="",ISNA($B51)),"",IF(ISBLANK($B51),"",IFERROR(_xll.BDP(TICKER,"DEEP_MEASURE_PERIOD_BROKER_VALUE","DEEP_MEASURE_ID_OVERRIDE",$C51,"DEEP_BROKER_ID_OVERRIDE",Q$24,"DEEP_PERIOD_OVERRIDE",$H$19)*1,"")))</f>
        <v/>
      </c>
      <c r="R51" s="17" t="str">
        <f>IF(OR(R$23="",ISNA($B51)),"",IF(ISBLANK($B51),"",IFERROR(_xll.BDP(TICKER,"DEEP_MEASURE_PERIOD_BROKER_VALUE","DEEP_MEASURE_ID_OVERRIDE",$C51,"DEEP_BROKER_ID_OVERRIDE",R$24,"DEEP_PERIOD_OVERRIDE",$H$19)*1,"")))</f>
        <v/>
      </c>
      <c r="S51" s="17" t="str">
        <f>IF(OR(S$23="",ISNA($B51)),"",IF(ISBLANK($B51),"",IFERROR(_xll.BDP(TICKER,"DEEP_MEASURE_PERIOD_BROKER_VALUE","DEEP_MEASURE_ID_OVERRIDE",$C51,"DEEP_BROKER_ID_OVERRIDE",S$24,"DEEP_PERIOD_OVERRIDE",$H$19)*1,"")))</f>
        <v/>
      </c>
      <c r="T51" s="17" t="str">
        <f>IF(OR(T$23="",ISNA($B51)),"",IF(ISBLANK($B51),"",IFERROR(_xll.BDP(TICKER,"DEEP_MEASURE_PERIOD_BROKER_VALUE","DEEP_MEASURE_ID_OVERRIDE",$C51,"DEEP_BROKER_ID_OVERRIDE",T$24,"DEEP_PERIOD_OVERRIDE",$H$19)*1,"")))</f>
        <v/>
      </c>
      <c r="U51" s="17" t="str">
        <f>IF(OR(U$23="",ISNA($B51)),"",IF(ISBLANK($B51),"",IFERROR(_xll.BDP(TICKER,"DEEP_MEASURE_PERIOD_BROKER_VALUE","DEEP_MEASURE_ID_OVERRIDE",$C51,"DEEP_BROKER_ID_OVERRIDE",U$24,"DEEP_PERIOD_OVERRIDE",$H$19)*1,"")))</f>
        <v/>
      </c>
      <c r="V51" s="17" t="str">
        <f>IF(OR(V$23="",ISNA($B51)),"",IF(ISBLANK($B51),"",IFERROR(_xll.BDP(TICKER,"DEEP_MEASURE_PERIOD_BROKER_VALUE","DEEP_MEASURE_ID_OVERRIDE",$C51,"DEEP_BROKER_ID_OVERRIDE",V$24,"DEEP_PERIOD_OVERRIDE",$H$19)*1,"")))</f>
        <v/>
      </c>
      <c r="W51" s="17" t="str">
        <f>IF(OR(W$23="",ISNA($B51)),"",IF(ISBLANK($B51),"",IFERROR(_xll.BDP(TICKER,"DEEP_MEASURE_PERIOD_BROKER_VALUE","DEEP_MEASURE_ID_OVERRIDE",$C51,"DEEP_BROKER_ID_OVERRIDE",W$24,"DEEP_PERIOD_OVERRIDE",$H$19)*1,"")))</f>
        <v/>
      </c>
      <c r="X51" s="17" t="str">
        <f>IF(OR(X$23="",ISNA($B51)),"",IF(ISBLANK($B51),"",IFERROR(_xll.BDP(TICKER,"DEEP_MEASURE_PERIOD_BROKER_VALUE","DEEP_MEASURE_ID_OVERRIDE",$C51,"DEEP_BROKER_ID_OVERRIDE",X$24,"DEEP_PERIOD_OVERRIDE",$H$19)*1,"")))</f>
        <v/>
      </c>
      <c r="Y51" s="17" t="str">
        <f>IF(OR(Y$23="",ISNA($B51)),"",IF(ISBLANK($B51),"",IFERROR(_xll.BDP(TICKER,"DEEP_MEASURE_PERIOD_BROKER_VALUE","DEEP_MEASURE_ID_OVERRIDE",$C51,"DEEP_BROKER_ID_OVERRIDE",Y$24,"DEEP_PERIOD_OVERRIDE",$H$19)*1,"")))</f>
        <v/>
      </c>
      <c r="Z51" s="17" t="str">
        <f>IF(OR(Z$23="",ISNA($B51)),"",IF(ISBLANK($B51),"",IFERROR(_xll.BDP(TICKER,"DEEP_MEASURE_PERIOD_BROKER_VALUE","DEEP_MEASURE_ID_OVERRIDE",$C51,"DEEP_BROKER_ID_OVERRIDE",Z$24,"DEEP_PERIOD_OVERRIDE",$H$19)*1,"")))</f>
        <v/>
      </c>
      <c r="AA51" s="17" t="str">
        <f>IF(OR(AA$23="",ISNA($B51)),"",IF(ISBLANK($B51),"",IFERROR(_xll.BDP(TICKER,"DEEP_MEASURE_PERIOD_BROKER_VALUE","DEEP_MEASURE_ID_OVERRIDE",$C51,"DEEP_BROKER_ID_OVERRIDE",AA$24,"DEEP_PERIOD_OVERRIDE",$H$19)*1,"")))</f>
        <v/>
      </c>
      <c r="AB51" s="17" t="str">
        <f>IF(OR(AB$23="",ISNA($B51)),"",IF(ISBLANK($B51),"",IFERROR(_xll.BDP(TICKER,"DEEP_MEASURE_PERIOD_BROKER_VALUE","DEEP_MEASURE_ID_OVERRIDE",$C51,"DEEP_BROKER_ID_OVERRIDE",AB$24,"DEEP_PERIOD_OVERRIDE",$H$19)*1,"")))</f>
        <v/>
      </c>
      <c r="AC51" s="17" t="str">
        <f>IF(OR(AC$23="",ISNA($B51)),"",IF(ISBLANK($B51),"",IFERROR(_xll.BDP(TICKER,"DEEP_MEASURE_PERIOD_BROKER_VALUE","DEEP_MEASURE_ID_OVERRIDE",$C51,"DEEP_BROKER_ID_OVERRIDE",AC$24,"DEEP_PERIOD_OVERRIDE",$H$19)*1,"")))</f>
        <v/>
      </c>
      <c r="AD51" s="17" t="str">
        <f>IF(OR(AD$23="",ISNA($B51)),"",IF(ISBLANK($B51),"",IFERROR(_xll.BDP(TICKER,"DEEP_MEASURE_PERIOD_BROKER_VALUE","DEEP_MEASURE_ID_OVERRIDE",$C51,"DEEP_BROKER_ID_OVERRIDE",AD$24,"DEEP_PERIOD_OVERRIDE",$H$19)*1,"")))</f>
        <v/>
      </c>
      <c r="AE51" s="17" t="str">
        <f>IF(OR(AE$23="",ISNA($B51)),"",IF(ISBLANK($B51),"",IFERROR(_xll.BDP(TICKER,"DEEP_MEASURE_PERIOD_BROKER_VALUE","DEEP_MEASURE_ID_OVERRIDE",$C51,"DEEP_BROKER_ID_OVERRIDE",AE$24,"DEEP_PERIOD_OVERRIDE",$H$19)*1,"")))</f>
        <v/>
      </c>
      <c r="AF51" s="17" t="str">
        <f>IF(OR(AF$23="",ISNA($B51)),"",IF(ISBLANK($B51),"",IFERROR(_xll.BDP(TICKER,"DEEP_MEASURE_PERIOD_BROKER_VALUE","DEEP_MEASURE_ID_OVERRIDE",$C51,"DEEP_BROKER_ID_OVERRIDE",AF$24,"DEEP_PERIOD_OVERRIDE",$H$19)*1,"")))</f>
        <v/>
      </c>
      <c r="AG51" s="17" t="str">
        <f>IF(OR(AG$23="",ISNA($B51)),"",IF(ISBLANK($B51),"",IFERROR(_xll.BDP(TICKER,"DEEP_MEASURE_PERIOD_BROKER_VALUE","DEEP_MEASURE_ID_OVERRIDE",$C51,"DEEP_BROKER_ID_OVERRIDE",AG$24,"DEEP_PERIOD_OVERRIDE",$H$19)*1,"")))</f>
        <v/>
      </c>
      <c r="AH51" s="17" t="str">
        <f>IF(OR(AH$23="",ISNA($B51)),"",IF(ISBLANK($B51),"",IFERROR(_xll.BDP(TICKER,"DEEP_MEASURE_PERIOD_BROKER_VALUE","DEEP_MEASURE_ID_OVERRIDE",$C51,"DEEP_BROKER_ID_OVERRIDE",AH$24,"DEEP_PERIOD_OVERRIDE",$H$19)*1,"")))</f>
        <v/>
      </c>
      <c r="AI51" s="17" t="str">
        <f>IF(OR(AI$23="",ISNA($B51)),"",IF(ISBLANK($B51),"",IFERROR(_xll.BDP(TICKER,"DEEP_MEASURE_PERIOD_BROKER_VALUE","DEEP_MEASURE_ID_OVERRIDE",$C51,"DEEP_BROKER_ID_OVERRIDE",AI$24,"DEEP_PERIOD_OVERRIDE",$H$19)*1,"")))</f>
        <v/>
      </c>
      <c r="AJ51" s="17" t="str">
        <f>IF(OR(AJ$23="",ISNA($B51)),"",IF(ISBLANK($B51),"",IFERROR(_xll.BDP(TICKER,"DEEP_MEASURE_PERIOD_BROKER_VALUE","DEEP_MEASURE_ID_OVERRIDE",$C51,"DEEP_BROKER_ID_OVERRIDE",AJ$24,"DEEP_PERIOD_OVERRIDE",$H$19)*1,"")))</f>
        <v/>
      </c>
      <c r="AK51" s="17" t="str">
        <f>IF(OR(AK$23="",ISNA($B51)),"",IF(ISBLANK($B51),"",IFERROR(_xll.BDP(TICKER,"DEEP_MEASURE_PERIOD_BROKER_VALUE","DEEP_MEASURE_ID_OVERRIDE",$C51,"DEEP_BROKER_ID_OVERRIDE",AK$24,"DEEP_PERIOD_OVERRIDE",$H$19)*1,"")))</f>
        <v/>
      </c>
      <c r="AL51" s="17" t="str">
        <f>IF(OR(AL$23="",ISNA($B51)),"",IF(ISBLANK($B51),"",IFERROR(_xll.BDP(TICKER,"DEEP_MEASURE_PERIOD_BROKER_VALUE","DEEP_MEASURE_ID_OVERRIDE",$C51,"DEEP_BROKER_ID_OVERRIDE",AL$24,"DEEP_PERIOD_OVERRIDE",$H$19)*1,"")))</f>
        <v/>
      </c>
      <c r="AM51" s="17" t="str">
        <f>IF(OR(AM$23="",ISNA($B51)),"",IF(ISBLANK($B51),"",IFERROR(_xll.BDP(TICKER,"DEEP_MEASURE_PERIOD_BROKER_VALUE","DEEP_MEASURE_ID_OVERRIDE",$C51,"DEEP_BROKER_ID_OVERRIDE",AM$24,"DEEP_PERIOD_OVERRIDE",$H$19)*1,"")))</f>
        <v/>
      </c>
      <c r="AN51" s="17" t="str">
        <f>IF(OR(AN$23="",ISNA($B51)),"",IF(ISBLANK($B51),"",IFERROR(_xll.BDP(TICKER,"DEEP_MEASURE_PERIOD_BROKER_VALUE","DEEP_MEASURE_ID_OVERRIDE",$C51,"DEEP_BROKER_ID_OVERRIDE",AN$24,"DEEP_PERIOD_OVERRIDE",$H$19)*1,"")))</f>
        <v/>
      </c>
      <c r="AO51" s="17" t="str">
        <f>IF(OR(AO$23="",ISNA($B51)),"",IF(ISBLANK($B51),"",IFERROR(_xll.BDP(TICKER,"DEEP_MEASURE_PERIOD_BROKER_VALUE","DEEP_MEASURE_ID_OVERRIDE",$C51,"DEEP_BROKER_ID_OVERRIDE",AO$24,"DEEP_PERIOD_OVERRIDE",$H$19)*1,"")))</f>
        <v/>
      </c>
      <c r="AP51" s="17" t="str">
        <f>IF(OR(AP$23="",ISNA($B51)),"",IF(ISBLANK($B51),"",IFERROR(_xll.BDP(TICKER,"DEEP_MEASURE_PERIOD_BROKER_VALUE","DEEP_MEASURE_ID_OVERRIDE",$C51,"DEEP_BROKER_ID_OVERRIDE",AP$24,"DEEP_PERIOD_OVERRIDE",$H$19)*1,"")))</f>
        <v/>
      </c>
      <c r="AQ51" s="17" t="str">
        <f>IF(OR(AQ$23="",ISNA($B51)),"",IF(ISBLANK($B51),"",IFERROR(_xll.BDP(TICKER,"DEEP_MEASURE_PERIOD_BROKER_VALUE","DEEP_MEASURE_ID_OVERRIDE",$C51,"DEEP_BROKER_ID_OVERRIDE",AQ$24,"DEEP_PERIOD_OVERRIDE",$H$19)*1,"")))</f>
        <v/>
      </c>
      <c r="AR51" s="17" t="str">
        <f>IF(OR(AR$23="",ISNA($B51)),"",IF(ISBLANK($B51),"",IFERROR(_xll.BDP(TICKER,"DEEP_MEASURE_PERIOD_BROKER_VALUE","DEEP_MEASURE_ID_OVERRIDE",$C51,"DEEP_BROKER_ID_OVERRIDE",AR$24,"DEEP_PERIOD_OVERRIDE",$H$19)*1,"")))</f>
        <v/>
      </c>
      <c r="AS51" s="17" t="str">
        <f>IF(OR(AS$23="",ISNA($B51)),"",IF(ISBLANK($B51),"",IFERROR(_xll.BDP(TICKER,"DEEP_MEASURE_PERIOD_BROKER_VALUE","DEEP_MEASURE_ID_OVERRIDE",$C51,"DEEP_BROKER_ID_OVERRIDE",AS$24,"DEEP_PERIOD_OVERRIDE",$H$19)*1,"")))</f>
        <v/>
      </c>
      <c r="AT51" s="17" t="str">
        <f>IF(OR(AT$23="",ISNA($B51)),"",IF(ISBLANK($B51),"",IFERROR(_xll.BDP(TICKER,"DEEP_MEASURE_PERIOD_BROKER_VALUE","DEEP_MEASURE_ID_OVERRIDE",$C51,"DEEP_BROKER_ID_OVERRIDE",AT$24,"DEEP_PERIOD_OVERRIDE",$H$19)*1,"")))</f>
        <v/>
      </c>
      <c r="AU51" s="17" t="str">
        <f>IF(OR(AU$23="",ISNA($B51)),"",IF(ISBLANK($B51),"",IFERROR(_xll.BDP(TICKER,"DEEP_MEASURE_PERIOD_BROKER_VALUE","DEEP_MEASURE_ID_OVERRIDE",$C51,"DEEP_BROKER_ID_OVERRIDE",AU$24,"DEEP_PERIOD_OVERRIDE",$H$19)*1,"")))</f>
        <v/>
      </c>
      <c r="AV51" s="17" t="str">
        <f>IF(OR(AV$23="",ISNA($B51)),"",IF(ISBLANK($B51),"",IFERROR(_xll.BDP(TICKER,"DEEP_MEASURE_PERIOD_BROKER_VALUE","DEEP_MEASURE_ID_OVERRIDE",$C51,"DEEP_BROKER_ID_OVERRIDE",AV$24,"DEEP_PERIOD_OVERRIDE",$H$19)*1,"")))</f>
        <v/>
      </c>
      <c r="AW51" s="17" t="str">
        <f>IF(OR(AW$23="",ISNA($B51)),"",IF(ISBLANK($B51),"",IFERROR(_xll.BDP(TICKER,"DEEP_MEASURE_PERIOD_BROKER_VALUE","DEEP_MEASURE_ID_OVERRIDE",$C51,"DEEP_BROKER_ID_OVERRIDE",AW$24,"DEEP_PERIOD_OVERRIDE",$H$19)*1,"")))</f>
        <v/>
      </c>
      <c r="AX51" s="17" t="str">
        <f>IF(OR(AX$23="",ISNA($B51)),"",IF(ISBLANK($B51),"",IFERROR(_xll.BDP(TICKER,"DEEP_MEASURE_PERIOD_BROKER_VALUE","DEEP_MEASURE_ID_OVERRIDE",$C51,"DEEP_BROKER_ID_OVERRIDE",AX$24,"DEEP_PERIOD_OVERRIDE",$H$19)*1,"")))</f>
        <v/>
      </c>
      <c r="AY51" s="17" t="str">
        <f>IF(OR(AY$23="",ISNA($B51)),"",IF(ISBLANK($B51),"",IFERROR(_xll.BDP(TICKER,"DEEP_MEASURE_PERIOD_BROKER_VALUE","DEEP_MEASURE_ID_OVERRIDE",$C51,"DEEP_BROKER_ID_OVERRIDE",AY$24,"DEEP_PERIOD_OVERRIDE",$H$19)*1,"")))</f>
        <v/>
      </c>
      <c r="AZ51" s="17" t="str">
        <f>IF(OR(AZ$23="",ISNA($B51)),"",IF(ISBLANK($B51),"",IFERROR(_xll.BDP(TICKER,"DEEP_MEASURE_PERIOD_BROKER_VALUE","DEEP_MEASURE_ID_OVERRIDE",$C51,"DEEP_BROKER_ID_OVERRIDE",AZ$24,"DEEP_PERIOD_OVERRIDE",$H$19)*1,"")))</f>
        <v/>
      </c>
      <c r="BA51" s="17" t="str">
        <f>IF(OR(BA$23="",ISNA($B51)),"",IF(ISBLANK($B51),"",IFERROR(_xll.BDP(TICKER,"DEEP_MEASURE_PERIOD_BROKER_VALUE","DEEP_MEASURE_ID_OVERRIDE",$C51,"DEEP_BROKER_ID_OVERRIDE",BA$24,"DEEP_PERIOD_OVERRIDE",$H$19)*1,"")))</f>
        <v/>
      </c>
      <c r="BB51" s="17" t="str">
        <f>IF(OR(BB$23="",ISNA($B51)),"",IF(ISBLANK($B51),"",IFERROR(_xll.BDP(TICKER,"DEEP_MEASURE_PERIOD_BROKER_VALUE","DEEP_MEASURE_ID_OVERRIDE",$C51,"DEEP_BROKER_ID_OVERRIDE",BB$24,"DEEP_PERIOD_OVERRIDE",$H$19)*1,"")))</f>
        <v/>
      </c>
      <c r="BC51" s="17" t="str">
        <f>IF(OR(BC$23="",ISNA($B51)),"",IF(ISBLANK($B51),"",IFERROR(_xll.BDP(TICKER,"DEEP_MEASURE_PERIOD_BROKER_VALUE","DEEP_MEASURE_ID_OVERRIDE",$C51,"DEEP_BROKER_ID_OVERRIDE",BC$24,"DEEP_PERIOD_OVERRIDE",$H$19)*1,"")))</f>
        <v/>
      </c>
      <c r="BD51" s="17" t="str">
        <f>IF(OR(BD$23="",ISNA($B51)),"",IF(ISBLANK($B51),"",IFERROR(_xll.BDP(TICKER,"DEEP_MEASURE_PERIOD_BROKER_VALUE","DEEP_MEASURE_ID_OVERRIDE",$C51,"DEEP_BROKER_ID_OVERRIDE",BD$24,"DEEP_PERIOD_OVERRIDE",$H$19)*1,"")))</f>
        <v/>
      </c>
      <c r="BE51" s="17" t="str">
        <f>IF(OR(BE$23="",ISNA($B51)),"",IF(ISBLANK($B51),"",IFERROR(_xll.BDP(TICKER,"DEEP_MEASURE_PERIOD_BROKER_VALUE","DEEP_MEASURE_ID_OVERRIDE",$C51,"DEEP_BROKER_ID_OVERRIDE",BE$24,"DEEP_PERIOD_OVERRIDE",$H$19)*1,"")))</f>
        <v/>
      </c>
      <c r="BF51" s="17" t="str">
        <f>IF(OR(BF$23="",ISNA($B51)),"",IF(ISBLANK($B51),"",IFERROR(_xll.BDP(TICKER,"DEEP_MEASURE_PERIOD_BROKER_VALUE","DEEP_MEASURE_ID_OVERRIDE",$C51,"DEEP_BROKER_ID_OVERRIDE",BF$24,"DEEP_PERIOD_OVERRIDE",$H$19)*1,"")))</f>
        <v/>
      </c>
      <c r="BG51" s="17" t="str">
        <f>IF(OR(BG$23="",ISNA($B51)),"",IF(ISBLANK($B51),"",IFERROR(_xll.BDP(TICKER,"DEEP_MEASURE_PERIOD_BROKER_VALUE","DEEP_MEASURE_ID_OVERRIDE",$C51,"DEEP_BROKER_ID_OVERRIDE",BG$24,"DEEP_PERIOD_OVERRIDE",$H$19)*1,"")))</f>
        <v/>
      </c>
      <c r="BH51" s="17" t="str">
        <f>IF(OR(BH$23="",ISNA($B51)),"",IF(ISBLANK($B51),"",IFERROR(_xll.BDP(TICKER,"DEEP_MEASURE_PERIOD_BROKER_VALUE","DEEP_MEASURE_ID_OVERRIDE",$C51,"DEEP_BROKER_ID_OVERRIDE",BH$24,"DEEP_PERIOD_OVERRIDE",$H$19)*1,"")))</f>
        <v/>
      </c>
      <c r="BI51" s="17" t="str">
        <f>IF(OR(BI$23="",ISNA($B51)),"",IF(ISBLANK($B51),"",IFERROR(_xll.BDP(TICKER,"DEEP_MEASURE_PERIOD_BROKER_VALUE","DEEP_MEASURE_ID_OVERRIDE",$C51,"DEEP_BROKER_ID_OVERRIDE",BI$24,"DEEP_PERIOD_OVERRIDE",$H$19)*1,"")))</f>
        <v/>
      </c>
      <c r="BJ51" s="17" t="str">
        <f>IF(OR(BJ$23="",ISNA($B51)),"",IF(ISBLANK($B51),"",IFERROR(_xll.BDP(TICKER,"DEEP_MEASURE_PERIOD_BROKER_VALUE","DEEP_MEASURE_ID_OVERRIDE",$C51,"DEEP_BROKER_ID_OVERRIDE",BJ$24,"DEEP_PERIOD_OVERRIDE",$H$19)*1,"")))</f>
        <v/>
      </c>
      <c r="BK51" s="17" t="str">
        <f>IF(OR(BK$23="",ISNA($B51)),"",IF(ISBLANK($B51),"",IFERROR(_xll.BDP(TICKER,"DEEP_MEASURE_PERIOD_BROKER_VALUE","DEEP_MEASURE_ID_OVERRIDE",$C51,"DEEP_BROKER_ID_OVERRIDE",BK$24,"DEEP_PERIOD_OVERRIDE",$H$19)*1,"")))</f>
        <v/>
      </c>
      <c r="BL51" s="17" t="str">
        <f>IF(OR(BL$23="",ISNA($B51)),"",IF(ISBLANK($B51),"",IFERROR(_xll.BDP(TICKER,"DEEP_MEASURE_PERIOD_BROKER_VALUE","DEEP_MEASURE_ID_OVERRIDE",$C51,"DEEP_BROKER_ID_OVERRIDE",BL$24,"DEEP_PERIOD_OVERRIDE",$H$19)*1,"")))</f>
        <v/>
      </c>
      <c r="BM51" s="17" t="str">
        <f>IF(OR(BM$23="",ISNA($B51)),"",IF(ISBLANK($B51),"",IFERROR(_xll.BDP(TICKER,"DEEP_MEASURE_PERIOD_BROKER_VALUE","DEEP_MEASURE_ID_OVERRIDE",$C51,"DEEP_BROKER_ID_OVERRIDE",BM$24,"DEEP_PERIOD_OVERRIDE",$H$19)*1,"")))</f>
        <v/>
      </c>
      <c r="BN51" s="17" t="str">
        <f>IF(OR(BN$23="",ISNA($B51)),"",IF(ISBLANK($B51),"",IFERROR(_xll.BDP(TICKER,"DEEP_MEASURE_PERIOD_BROKER_VALUE","DEEP_MEASURE_ID_OVERRIDE",$C51,"DEEP_BROKER_ID_OVERRIDE",BN$24,"DEEP_PERIOD_OVERRIDE",$H$19)*1,"")))</f>
        <v/>
      </c>
      <c r="BO51" s="17" t="str">
        <f>IF(OR(BO$23="",ISNA($B51)),"",IF(ISBLANK($B51),"",IFERROR(_xll.BDP(TICKER,"DEEP_MEASURE_PERIOD_BROKER_VALUE","DEEP_MEASURE_ID_OVERRIDE",$C51,"DEEP_BROKER_ID_OVERRIDE",BO$24,"DEEP_PERIOD_OVERRIDE",$H$19)*1,"")))</f>
        <v/>
      </c>
      <c r="BP51" s="17" t="str">
        <f>IF(OR(BP$23="",ISNA($B51)),"",IF(ISBLANK($B51),"",IFERROR(_xll.BDP(TICKER,"DEEP_MEASURE_PERIOD_BROKER_VALUE","DEEP_MEASURE_ID_OVERRIDE",$C51,"DEEP_BROKER_ID_OVERRIDE",BP$24,"DEEP_PERIOD_OVERRIDE",$H$19)*1,"")))</f>
        <v/>
      </c>
      <c r="BQ51" s="17" t="str">
        <f>IF(OR(BQ$23="",ISNA($B51)),"",IF(ISBLANK($B51),"",IFERROR(_xll.BDP(TICKER,"DEEP_MEASURE_PERIOD_BROKER_VALUE","DEEP_MEASURE_ID_OVERRIDE",$C51,"DEEP_BROKER_ID_OVERRIDE",BQ$24,"DEEP_PERIOD_OVERRIDE",$H$19)*1,"")))</f>
        <v/>
      </c>
      <c r="BR51" s="17" t="str">
        <f>IF(OR(BR$23="",ISNA($B51)),"",IF(ISBLANK($B51),"",IFERROR(_xll.BDP(TICKER,"DEEP_MEASURE_PERIOD_BROKER_VALUE","DEEP_MEASURE_ID_OVERRIDE",$C51,"DEEP_BROKER_ID_OVERRIDE",BR$24,"DEEP_PERIOD_OVERRIDE",$H$19)*1,"")))</f>
        <v/>
      </c>
      <c r="BS51" s="17" t="str">
        <f>IF(OR(BS$23="",ISNA($B51)),"",IF(ISBLANK($B51),"",IFERROR(_xll.BDP(TICKER,"DEEP_MEASURE_PERIOD_BROKER_VALUE","DEEP_MEASURE_ID_OVERRIDE",$C51,"DEEP_BROKER_ID_OVERRIDE",BS$24,"DEEP_PERIOD_OVERRIDE",$H$19)*1,"")))</f>
        <v/>
      </c>
      <c r="BT51" s="17" t="str">
        <f>IF(OR(BT$23="",ISNA($B51)),"",IF(ISBLANK($B51),"",IFERROR(_xll.BDP(TICKER,"DEEP_MEASURE_PERIOD_BROKER_VALUE","DEEP_MEASURE_ID_OVERRIDE",$C51,"DEEP_BROKER_ID_OVERRIDE",BT$24,"DEEP_PERIOD_OVERRIDE",$H$19)*1,"")))</f>
        <v/>
      </c>
      <c r="BU51" s="17" t="str">
        <f>IF(OR(BU$23="",ISNA($B51)),"",IF(ISBLANK($B51),"",IFERROR(_xll.BDP(TICKER,"DEEP_MEASURE_PERIOD_BROKER_VALUE","DEEP_MEASURE_ID_OVERRIDE",$C51,"DEEP_BROKER_ID_OVERRIDE",BU$24,"DEEP_PERIOD_OVERRIDE",$H$19)*1,"")))</f>
        <v/>
      </c>
      <c r="BV51" s="17" t="str">
        <f>IF(OR(BV$23="",ISNA($B51)),"",IF(ISBLANK($B51),"",IFERROR(_xll.BDP(TICKER,"DEEP_MEASURE_PERIOD_BROKER_VALUE","DEEP_MEASURE_ID_OVERRIDE",$C51,"DEEP_BROKER_ID_OVERRIDE",BV$24,"DEEP_PERIOD_OVERRIDE",$H$19)*1,"")))</f>
        <v/>
      </c>
      <c r="BW51" s="17" t="str">
        <f>IF(OR(BW$23="",ISNA($B51)),"",IF(ISBLANK($B51),"",IFERROR(_xll.BDP(TICKER,"DEEP_MEASURE_PERIOD_BROKER_VALUE","DEEP_MEASURE_ID_OVERRIDE",$C51,"DEEP_BROKER_ID_OVERRIDE",BW$24,"DEEP_PERIOD_OVERRIDE",$H$19)*1,"")))</f>
        <v/>
      </c>
      <c r="BX51" s="17" t="str">
        <f>IF(OR(BX$23="",ISNA($B51)),"",IF(ISBLANK($B51),"",IFERROR(_xll.BDP(TICKER,"DEEP_MEASURE_PERIOD_BROKER_VALUE","DEEP_MEASURE_ID_OVERRIDE",$C51,"DEEP_BROKER_ID_OVERRIDE",BX$24,"DEEP_PERIOD_OVERRIDE",$H$19)*1,"")))</f>
        <v/>
      </c>
      <c r="BY51" s="17" t="str">
        <f>IF(OR(BY$23="",ISNA($B51)),"",IF(ISBLANK($B51),"",IFERROR(_xll.BDP(TICKER,"DEEP_MEASURE_PERIOD_BROKER_VALUE","DEEP_MEASURE_ID_OVERRIDE",$C51,"DEEP_BROKER_ID_OVERRIDE",BY$24,"DEEP_PERIOD_OVERRIDE",$H$19)*1,"")))</f>
        <v/>
      </c>
      <c r="BZ51" s="17" t="str">
        <f>IF(OR(BZ$23="",ISNA($B51)),"",IF(ISBLANK($B51),"",IFERROR(_xll.BDP(TICKER,"DEEP_MEASURE_PERIOD_BROKER_VALUE","DEEP_MEASURE_ID_OVERRIDE",$C51,"DEEP_BROKER_ID_OVERRIDE",BZ$24,"DEEP_PERIOD_OVERRIDE",$H$19)*1,"")))</f>
        <v/>
      </c>
    </row>
    <row r="52" spans="2:78" x14ac:dyDescent="0.25">
      <c r="B52" t="s">
        <v>97</v>
      </c>
      <c r="C52" s="11">
        <v>9846</v>
      </c>
      <c r="H52" t="str">
        <f t="shared" si="1"/>
        <v>Other &gt; Revenue &gt; YoY Growth (%)</v>
      </c>
      <c r="I52" t="str">
        <f>IF(OR(I$23="",ISNA($B52)),"",IF(ISBLANK($B52),"",IFERROR(_xll.BDP(TICKER,"DEEP_MEASURE_PERIOD_BROKER_VALUE","DEEP_MEASURE_ID_OVERRIDE",$C52,"DEEP_PERIOD_OVERRIDE",$H$19)*1,"")))</f>
        <v/>
      </c>
      <c r="J52" t="e">
        <f>IF(OR(J$23="",ISNA($B52)),"",IF(ISBLANK($B52),"",IFERROR(_xll.BDP(TICKER,"DEEP_MEASURE_PERIOD_BROKER_VALUE","DEEP_MEASURE_ID_OVERRIDE",$C52,"DEEP_BROKER_ID_OVERRIDE",J$24,"DEEP_PERIOD_OVERRIDE",$H$19)*1,"")))</f>
        <v>#REF!</v>
      </c>
      <c r="K52" s="17" t="str">
        <f>IF(OR(K$23="",ISNA($B52)),"",IF(ISBLANK($B52),"",IFERROR(_xll.BDP(TICKER,"DEEP_MEASURE_PERIOD_BROKER_VALUE","DEEP_MEASURE_ID_OVERRIDE",$C52,"DEEP_BROKER_ID_OVERRIDE",K$24,"DEEP_PERIOD_OVERRIDE",$H$19)*1,"")))</f>
        <v/>
      </c>
      <c r="L52" s="17" t="str">
        <f>IF(OR(L$23="",ISNA($B52)),"",IF(ISBLANK($B52),"",IFERROR(_xll.BDP(TICKER,"DEEP_MEASURE_PERIOD_BROKER_VALUE","DEEP_MEASURE_ID_OVERRIDE",$C52,"DEEP_BROKER_ID_OVERRIDE",L$24,"DEEP_PERIOD_OVERRIDE",$H$19)*1,"")))</f>
        <v/>
      </c>
      <c r="M52" s="17" t="str">
        <f>IF(OR(M$23="",ISNA($B52)),"",IF(ISBLANK($B52),"",IFERROR(_xll.BDP(TICKER,"DEEP_MEASURE_PERIOD_BROKER_VALUE","DEEP_MEASURE_ID_OVERRIDE",$C52,"DEEP_BROKER_ID_OVERRIDE",M$24,"DEEP_PERIOD_OVERRIDE",$H$19)*1,"")))</f>
        <v/>
      </c>
      <c r="N52" s="17" t="str">
        <f>IF(OR(N$23="",ISNA($B52)),"",IF(ISBLANK($B52),"",IFERROR(_xll.BDP(TICKER,"DEEP_MEASURE_PERIOD_BROKER_VALUE","DEEP_MEASURE_ID_OVERRIDE",$C52,"DEEP_BROKER_ID_OVERRIDE",N$24,"DEEP_PERIOD_OVERRIDE",$H$19)*1,"")))</f>
        <v/>
      </c>
      <c r="O52" s="17" t="str">
        <f>IF(OR(O$23="",ISNA($B52)),"",IF(ISBLANK($B52),"",IFERROR(_xll.BDP(TICKER,"DEEP_MEASURE_PERIOD_BROKER_VALUE","DEEP_MEASURE_ID_OVERRIDE",$C52,"DEEP_BROKER_ID_OVERRIDE",O$24,"DEEP_PERIOD_OVERRIDE",$H$19)*1,"")))</f>
        <v/>
      </c>
      <c r="P52" s="17" t="str">
        <f>IF(OR(P$23="",ISNA($B52)),"",IF(ISBLANK($B52),"",IFERROR(_xll.BDP(TICKER,"DEEP_MEASURE_PERIOD_BROKER_VALUE","DEEP_MEASURE_ID_OVERRIDE",$C52,"DEEP_BROKER_ID_OVERRIDE",P$24,"DEEP_PERIOD_OVERRIDE",$H$19)*1,"")))</f>
        <v/>
      </c>
      <c r="Q52" s="17" t="str">
        <f>IF(OR(Q$23="",ISNA($B52)),"",IF(ISBLANK($B52),"",IFERROR(_xll.BDP(TICKER,"DEEP_MEASURE_PERIOD_BROKER_VALUE","DEEP_MEASURE_ID_OVERRIDE",$C52,"DEEP_BROKER_ID_OVERRIDE",Q$24,"DEEP_PERIOD_OVERRIDE",$H$19)*1,"")))</f>
        <v/>
      </c>
      <c r="R52" s="17" t="str">
        <f>IF(OR(R$23="",ISNA($B52)),"",IF(ISBLANK($B52),"",IFERROR(_xll.BDP(TICKER,"DEEP_MEASURE_PERIOD_BROKER_VALUE","DEEP_MEASURE_ID_OVERRIDE",$C52,"DEEP_BROKER_ID_OVERRIDE",R$24,"DEEP_PERIOD_OVERRIDE",$H$19)*1,"")))</f>
        <v/>
      </c>
      <c r="S52" s="17" t="str">
        <f>IF(OR(S$23="",ISNA($B52)),"",IF(ISBLANK($B52),"",IFERROR(_xll.BDP(TICKER,"DEEP_MEASURE_PERIOD_BROKER_VALUE","DEEP_MEASURE_ID_OVERRIDE",$C52,"DEEP_BROKER_ID_OVERRIDE",S$24,"DEEP_PERIOD_OVERRIDE",$H$19)*1,"")))</f>
        <v/>
      </c>
      <c r="T52" s="17" t="str">
        <f>IF(OR(T$23="",ISNA($B52)),"",IF(ISBLANK($B52),"",IFERROR(_xll.BDP(TICKER,"DEEP_MEASURE_PERIOD_BROKER_VALUE","DEEP_MEASURE_ID_OVERRIDE",$C52,"DEEP_BROKER_ID_OVERRIDE",T$24,"DEEP_PERIOD_OVERRIDE",$H$19)*1,"")))</f>
        <v/>
      </c>
      <c r="U52" s="17" t="str">
        <f>IF(OR(U$23="",ISNA($B52)),"",IF(ISBLANK($B52),"",IFERROR(_xll.BDP(TICKER,"DEEP_MEASURE_PERIOD_BROKER_VALUE","DEEP_MEASURE_ID_OVERRIDE",$C52,"DEEP_BROKER_ID_OVERRIDE",U$24,"DEEP_PERIOD_OVERRIDE",$H$19)*1,"")))</f>
        <v/>
      </c>
      <c r="V52" s="17" t="str">
        <f>IF(OR(V$23="",ISNA($B52)),"",IF(ISBLANK($B52),"",IFERROR(_xll.BDP(TICKER,"DEEP_MEASURE_PERIOD_BROKER_VALUE","DEEP_MEASURE_ID_OVERRIDE",$C52,"DEEP_BROKER_ID_OVERRIDE",V$24,"DEEP_PERIOD_OVERRIDE",$H$19)*1,"")))</f>
        <v/>
      </c>
      <c r="W52" s="17" t="str">
        <f>IF(OR(W$23="",ISNA($B52)),"",IF(ISBLANK($B52),"",IFERROR(_xll.BDP(TICKER,"DEEP_MEASURE_PERIOD_BROKER_VALUE","DEEP_MEASURE_ID_OVERRIDE",$C52,"DEEP_BROKER_ID_OVERRIDE",W$24,"DEEP_PERIOD_OVERRIDE",$H$19)*1,"")))</f>
        <v/>
      </c>
      <c r="X52" s="17" t="str">
        <f>IF(OR(X$23="",ISNA($B52)),"",IF(ISBLANK($B52),"",IFERROR(_xll.BDP(TICKER,"DEEP_MEASURE_PERIOD_BROKER_VALUE","DEEP_MEASURE_ID_OVERRIDE",$C52,"DEEP_BROKER_ID_OVERRIDE",X$24,"DEEP_PERIOD_OVERRIDE",$H$19)*1,"")))</f>
        <v/>
      </c>
      <c r="Y52" s="17" t="str">
        <f>IF(OR(Y$23="",ISNA($B52)),"",IF(ISBLANK($B52),"",IFERROR(_xll.BDP(TICKER,"DEEP_MEASURE_PERIOD_BROKER_VALUE","DEEP_MEASURE_ID_OVERRIDE",$C52,"DEEP_BROKER_ID_OVERRIDE",Y$24,"DEEP_PERIOD_OVERRIDE",$H$19)*1,"")))</f>
        <v/>
      </c>
      <c r="Z52" s="17" t="str">
        <f>IF(OR(Z$23="",ISNA($B52)),"",IF(ISBLANK($B52),"",IFERROR(_xll.BDP(TICKER,"DEEP_MEASURE_PERIOD_BROKER_VALUE","DEEP_MEASURE_ID_OVERRIDE",$C52,"DEEP_BROKER_ID_OVERRIDE",Z$24,"DEEP_PERIOD_OVERRIDE",$H$19)*1,"")))</f>
        <v/>
      </c>
      <c r="AA52" s="17" t="str">
        <f>IF(OR(AA$23="",ISNA($B52)),"",IF(ISBLANK($B52),"",IFERROR(_xll.BDP(TICKER,"DEEP_MEASURE_PERIOD_BROKER_VALUE","DEEP_MEASURE_ID_OVERRIDE",$C52,"DEEP_BROKER_ID_OVERRIDE",AA$24,"DEEP_PERIOD_OVERRIDE",$H$19)*1,"")))</f>
        <v/>
      </c>
      <c r="AB52" s="17" t="str">
        <f>IF(OR(AB$23="",ISNA($B52)),"",IF(ISBLANK($B52),"",IFERROR(_xll.BDP(TICKER,"DEEP_MEASURE_PERIOD_BROKER_VALUE","DEEP_MEASURE_ID_OVERRIDE",$C52,"DEEP_BROKER_ID_OVERRIDE",AB$24,"DEEP_PERIOD_OVERRIDE",$H$19)*1,"")))</f>
        <v/>
      </c>
      <c r="AC52" s="17" t="str">
        <f>IF(OR(AC$23="",ISNA($B52)),"",IF(ISBLANK($B52),"",IFERROR(_xll.BDP(TICKER,"DEEP_MEASURE_PERIOD_BROKER_VALUE","DEEP_MEASURE_ID_OVERRIDE",$C52,"DEEP_BROKER_ID_OVERRIDE",AC$24,"DEEP_PERIOD_OVERRIDE",$H$19)*1,"")))</f>
        <v/>
      </c>
      <c r="AD52" s="17" t="str">
        <f>IF(OR(AD$23="",ISNA($B52)),"",IF(ISBLANK($B52),"",IFERROR(_xll.BDP(TICKER,"DEEP_MEASURE_PERIOD_BROKER_VALUE","DEEP_MEASURE_ID_OVERRIDE",$C52,"DEEP_BROKER_ID_OVERRIDE",AD$24,"DEEP_PERIOD_OVERRIDE",$H$19)*1,"")))</f>
        <v/>
      </c>
      <c r="AE52" s="17" t="str">
        <f>IF(OR(AE$23="",ISNA($B52)),"",IF(ISBLANK($B52),"",IFERROR(_xll.BDP(TICKER,"DEEP_MEASURE_PERIOD_BROKER_VALUE","DEEP_MEASURE_ID_OVERRIDE",$C52,"DEEP_BROKER_ID_OVERRIDE",AE$24,"DEEP_PERIOD_OVERRIDE",$H$19)*1,"")))</f>
        <v/>
      </c>
      <c r="AF52" s="17" t="str">
        <f>IF(OR(AF$23="",ISNA($B52)),"",IF(ISBLANK($B52),"",IFERROR(_xll.BDP(TICKER,"DEEP_MEASURE_PERIOD_BROKER_VALUE","DEEP_MEASURE_ID_OVERRIDE",$C52,"DEEP_BROKER_ID_OVERRIDE",AF$24,"DEEP_PERIOD_OVERRIDE",$H$19)*1,"")))</f>
        <v/>
      </c>
      <c r="AG52" s="17" t="str">
        <f>IF(OR(AG$23="",ISNA($B52)),"",IF(ISBLANK($B52),"",IFERROR(_xll.BDP(TICKER,"DEEP_MEASURE_PERIOD_BROKER_VALUE","DEEP_MEASURE_ID_OVERRIDE",$C52,"DEEP_BROKER_ID_OVERRIDE",AG$24,"DEEP_PERIOD_OVERRIDE",$H$19)*1,"")))</f>
        <v/>
      </c>
      <c r="AH52" s="17" t="str">
        <f>IF(OR(AH$23="",ISNA($B52)),"",IF(ISBLANK($B52),"",IFERROR(_xll.BDP(TICKER,"DEEP_MEASURE_PERIOD_BROKER_VALUE","DEEP_MEASURE_ID_OVERRIDE",$C52,"DEEP_BROKER_ID_OVERRIDE",AH$24,"DEEP_PERIOD_OVERRIDE",$H$19)*1,"")))</f>
        <v/>
      </c>
      <c r="AI52" s="17" t="str">
        <f>IF(OR(AI$23="",ISNA($B52)),"",IF(ISBLANK($B52),"",IFERROR(_xll.BDP(TICKER,"DEEP_MEASURE_PERIOD_BROKER_VALUE","DEEP_MEASURE_ID_OVERRIDE",$C52,"DEEP_BROKER_ID_OVERRIDE",AI$24,"DEEP_PERIOD_OVERRIDE",$H$19)*1,"")))</f>
        <v/>
      </c>
      <c r="AJ52" s="17" t="str">
        <f>IF(OR(AJ$23="",ISNA($B52)),"",IF(ISBLANK($B52),"",IFERROR(_xll.BDP(TICKER,"DEEP_MEASURE_PERIOD_BROKER_VALUE","DEEP_MEASURE_ID_OVERRIDE",$C52,"DEEP_BROKER_ID_OVERRIDE",AJ$24,"DEEP_PERIOD_OVERRIDE",$H$19)*1,"")))</f>
        <v/>
      </c>
      <c r="AK52" s="17" t="str">
        <f>IF(OR(AK$23="",ISNA($B52)),"",IF(ISBLANK($B52),"",IFERROR(_xll.BDP(TICKER,"DEEP_MEASURE_PERIOD_BROKER_VALUE","DEEP_MEASURE_ID_OVERRIDE",$C52,"DEEP_BROKER_ID_OVERRIDE",AK$24,"DEEP_PERIOD_OVERRIDE",$H$19)*1,"")))</f>
        <v/>
      </c>
      <c r="AL52" s="17" t="str">
        <f>IF(OR(AL$23="",ISNA($B52)),"",IF(ISBLANK($B52),"",IFERROR(_xll.BDP(TICKER,"DEEP_MEASURE_PERIOD_BROKER_VALUE","DEEP_MEASURE_ID_OVERRIDE",$C52,"DEEP_BROKER_ID_OVERRIDE",AL$24,"DEEP_PERIOD_OVERRIDE",$H$19)*1,"")))</f>
        <v/>
      </c>
      <c r="AM52" s="17" t="str">
        <f>IF(OR(AM$23="",ISNA($B52)),"",IF(ISBLANK($B52),"",IFERROR(_xll.BDP(TICKER,"DEEP_MEASURE_PERIOD_BROKER_VALUE","DEEP_MEASURE_ID_OVERRIDE",$C52,"DEEP_BROKER_ID_OVERRIDE",AM$24,"DEEP_PERIOD_OVERRIDE",$H$19)*1,"")))</f>
        <v/>
      </c>
      <c r="AN52" s="17" t="str">
        <f>IF(OR(AN$23="",ISNA($B52)),"",IF(ISBLANK($B52),"",IFERROR(_xll.BDP(TICKER,"DEEP_MEASURE_PERIOD_BROKER_VALUE","DEEP_MEASURE_ID_OVERRIDE",$C52,"DEEP_BROKER_ID_OVERRIDE",AN$24,"DEEP_PERIOD_OVERRIDE",$H$19)*1,"")))</f>
        <v/>
      </c>
      <c r="AO52" s="17" t="str">
        <f>IF(OR(AO$23="",ISNA($B52)),"",IF(ISBLANK($B52),"",IFERROR(_xll.BDP(TICKER,"DEEP_MEASURE_PERIOD_BROKER_VALUE","DEEP_MEASURE_ID_OVERRIDE",$C52,"DEEP_BROKER_ID_OVERRIDE",AO$24,"DEEP_PERIOD_OVERRIDE",$H$19)*1,"")))</f>
        <v/>
      </c>
      <c r="AP52" s="17" t="str">
        <f>IF(OR(AP$23="",ISNA($B52)),"",IF(ISBLANK($B52),"",IFERROR(_xll.BDP(TICKER,"DEEP_MEASURE_PERIOD_BROKER_VALUE","DEEP_MEASURE_ID_OVERRIDE",$C52,"DEEP_BROKER_ID_OVERRIDE",AP$24,"DEEP_PERIOD_OVERRIDE",$H$19)*1,"")))</f>
        <v/>
      </c>
      <c r="AQ52" s="17" t="str">
        <f>IF(OR(AQ$23="",ISNA($B52)),"",IF(ISBLANK($B52),"",IFERROR(_xll.BDP(TICKER,"DEEP_MEASURE_PERIOD_BROKER_VALUE","DEEP_MEASURE_ID_OVERRIDE",$C52,"DEEP_BROKER_ID_OVERRIDE",AQ$24,"DEEP_PERIOD_OVERRIDE",$H$19)*1,"")))</f>
        <v/>
      </c>
      <c r="AR52" s="17" t="str">
        <f>IF(OR(AR$23="",ISNA($B52)),"",IF(ISBLANK($B52),"",IFERROR(_xll.BDP(TICKER,"DEEP_MEASURE_PERIOD_BROKER_VALUE","DEEP_MEASURE_ID_OVERRIDE",$C52,"DEEP_BROKER_ID_OVERRIDE",AR$24,"DEEP_PERIOD_OVERRIDE",$H$19)*1,"")))</f>
        <v/>
      </c>
      <c r="AS52" s="17" t="str">
        <f>IF(OR(AS$23="",ISNA($B52)),"",IF(ISBLANK($B52),"",IFERROR(_xll.BDP(TICKER,"DEEP_MEASURE_PERIOD_BROKER_VALUE","DEEP_MEASURE_ID_OVERRIDE",$C52,"DEEP_BROKER_ID_OVERRIDE",AS$24,"DEEP_PERIOD_OVERRIDE",$H$19)*1,"")))</f>
        <v/>
      </c>
      <c r="AT52" s="17" t="str">
        <f>IF(OR(AT$23="",ISNA($B52)),"",IF(ISBLANK($B52),"",IFERROR(_xll.BDP(TICKER,"DEEP_MEASURE_PERIOD_BROKER_VALUE","DEEP_MEASURE_ID_OVERRIDE",$C52,"DEEP_BROKER_ID_OVERRIDE",AT$24,"DEEP_PERIOD_OVERRIDE",$H$19)*1,"")))</f>
        <v/>
      </c>
      <c r="AU52" s="17" t="str">
        <f>IF(OR(AU$23="",ISNA($B52)),"",IF(ISBLANK($B52),"",IFERROR(_xll.BDP(TICKER,"DEEP_MEASURE_PERIOD_BROKER_VALUE","DEEP_MEASURE_ID_OVERRIDE",$C52,"DEEP_BROKER_ID_OVERRIDE",AU$24,"DEEP_PERIOD_OVERRIDE",$H$19)*1,"")))</f>
        <v/>
      </c>
      <c r="AV52" s="17" t="str">
        <f>IF(OR(AV$23="",ISNA($B52)),"",IF(ISBLANK($B52),"",IFERROR(_xll.BDP(TICKER,"DEEP_MEASURE_PERIOD_BROKER_VALUE","DEEP_MEASURE_ID_OVERRIDE",$C52,"DEEP_BROKER_ID_OVERRIDE",AV$24,"DEEP_PERIOD_OVERRIDE",$H$19)*1,"")))</f>
        <v/>
      </c>
      <c r="AW52" s="17" t="str">
        <f>IF(OR(AW$23="",ISNA($B52)),"",IF(ISBLANK($B52),"",IFERROR(_xll.BDP(TICKER,"DEEP_MEASURE_PERIOD_BROKER_VALUE","DEEP_MEASURE_ID_OVERRIDE",$C52,"DEEP_BROKER_ID_OVERRIDE",AW$24,"DEEP_PERIOD_OVERRIDE",$H$19)*1,"")))</f>
        <v/>
      </c>
      <c r="AX52" s="17" t="str">
        <f>IF(OR(AX$23="",ISNA($B52)),"",IF(ISBLANK($B52),"",IFERROR(_xll.BDP(TICKER,"DEEP_MEASURE_PERIOD_BROKER_VALUE","DEEP_MEASURE_ID_OVERRIDE",$C52,"DEEP_BROKER_ID_OVERRIDE",AX$24,"DEEP_PERIOD_OVERRIDE",$H$19)*1,"")))</f>
        <v/>
      </c>
      <c r="AY52" s="17" t="str">
        <f>IF(OR(AY$23="",ISNA($B52)),"",IF(ISBLANK($B52),"",IFERROR(_xll.BDP(TICKER,"DEEP_MEASURE_PERIOD_BROKER_VALUE","DEEP_MEASURE_ID_OVERRIDE",$C52,"DEEP_BROKER_ID_OVERRIDE",AY$24,"DEEP_PERIOD_OVERRIDE",$H$19)*1,"")))</f>
        <v/>
      </c>
      <c r="AZ52" s="17" t="str">
        <f>IF(OR(AZ$23="",ISNA($B52)),"",IF(ISBLANK($B52),"",IFERROR(_xll.BDP(TICKER,"DEEP_MEASURE_PERIOD_BROKER_VALUE","DEEP_MEASURE_ID_OVERRIDE",$C52,"DEEP_BROKER_ID_OVERRIDE",AZ$24,"DEEP_PERIOD_OVERRIDE",$H$19)*1,"")))</f>
        <v/>
      </c>
      <c r="BA52" s="17" t="str">
        <f>IF(OR(BA$23="",ISNA($B52)),"",IF(ISBLANK($B52),"",IFERROR(_xll.BDP(TICKER,"DEEP_MEASURE_PERIOD_BROKER_VALUE","DEEP_MEASURE_ID_OVERRIDE",$C52,"DEEP_BROKER_ID_OVERRIDE",BA$24,"DEEP_PERIOD_OVERRIDE",$H$19)*1,"")))</f>
        <v/>
      </c>
      <c r="BB52" s="17" t="str">
        <f>IF(OR(BB$23="",ISNA($B52)),"",IF(ISBLANK($B52),"",IFERROR(_xll.BDP(TICKER,"DEEP_MEASURE_PERIOD_BROKER_VALUE","DEEP_MEASURE_ID_OVERRIDE",$C52,"DEEP_BROKER_ID_OVERRIDE",BB$24,"DEEP_PERIOD_OVERRIDE",$H$19)*1,"")))</f>
        <v/>
      </c>
      <c r="BC52" s="17" t="str">
        <f>IF(OR(BC$23="",ISNA($B52)),"",IF(ISBLANK($B52),"",IFERROR(_xll.BDP(TICKER,"DEEP_MEASURE_PERIOD_BROKER_VALUE","DEEP_MEASURE_ID_OVERRIDE",$C52,"DEEP_BROKER_ID_OVERRIDE",BC$24,"DEEP_PERIOD_OVERRIDE",$H$19)*1,"")))</f>
        <v/>
      </c>
      <c r="BD52" s="17" t="str">
        <f>IF(OR(BD$23="",ISNA($B52)),"",IF(ISBLANK($B52),"",IFERROR(_xll.BDP(TICKER,"DEEP_MEASURE_PERIOD_BROKER_VALUE","DEEP_MEASURE_ID_OVERRIDE",$C52,"DEEP_BROKER_ID_OVERRIDE",BD$24,"DEEP_PERIOD_OVERRIDE",$H$19)*1,"")))</f>
        <v/>
      </c>
      <c r="BE52" s="17" t="str">
        <f>IF(OR(BE$23="",ISNA($B52)),"",IF(ISBLANK($B52),"",IFERROR(_xll.BDP(TICKER,"DEEP_MEASURE_PERIOD_BROKER_VALUE","DEEP_MEASURE_ID_OVERRIDE",$C52,"DEEP_BROKER_ID_OVERRIDE",BE$24,"DEEP_PERIOD_OVERRIDE",$H$19)*1,"")))</f>
        <v/>
      </c>
      <c r="BF52" s="17" t="str">
        <f>IF(OR(BF$23="",ISNA($B52)),"",IF(ISBLANK($B52),"",IFERROR(_xll.BDP(TICKER,"DEEP_MEASURE_PERIOD_BROKER_VALUE","DEEP_MEASURE_ID_OVERRIDE",$C52,"DEEP_BROKER_ID_OVERRIDE",BF$24,"DEEP_PERIOD_OVERRIDE",$H$19)*1,"")))</f>
        <v/>
      </c>
      <c r="BG52" s="17" t="str">
        <f>IF(OR(BG$23="",ISNA($B52)),"",IF(ISBLANK($B52),"",IFERROR(_xll.BDP(TICKER,"DEEP_MEASURE_PERIOD_BROKER_VALUE","DEEP_MEASURE_ID_OVERRIDE",$C52,"DEEP_BROKER_ID_OVERRIDE",BG$24,"DEEP_PERIOD_OVERRIDE",$H$19)*1,"")))</f>
        <v/>
      </c>
      <c r="BH52" s="17" t="str">
        <f>IF(OR(BH$23="",ISNA($B52)),"",IF(ISBLANK($B52),"",IFERROR(_xll.BDP(TICKER,"DEEP_MEASURE_PERIOD_BROKER_VALUE","DEEP_MEASURE_ID_OVERRIDE",$C52,"DEEP_BROKER_ID_OVERRIDE",BH$24,"DEEP_PERIOD_OVERRIDE",$H$19)*1,"")))</f>
        <v/>
      </c>
      <c r="BI52" s="17" t="str">
        <f>IF(OR(BI$23="",ISNA($B52)),"",IF(ISBLANK($B52),"",IFERROR(_xll.BDP(TICKER,"DEEP_MEASURE_PERIOD_BROKER_VALUE","DEEP_MEASURE_ID_OVERRIDE",$C52,"DEEP_BROKER_ID_OVERRIDE",BI$24,"DEEP_PERIOD_OVERRIDE",$H$19)*1,"")))</f>
        <v/>
      </c>
      <c r="BJ52" s="17" t="str">
        <f>IF(OR(BJ$23="",ISNA($B52)),"",IF(ISBLANK($B52),"",IFERROR(_xll.BDP(TICKER,"DEEP_MEASURE_PERIOD_BROKER_VALUE","DEEP_MEASURE_ID_OVERRIDE",$C52,"DEEP_BROKER_ID_OVERRIDE",BJ$24,"DEEP_PERIOD_OVERRIDE",$H$19)*1,"")))</f>
        <v/>
      </c>
      <c r="BK52" s="17" t="str">
        <f>IF(OR(BK$23="",ISNA($B52)),"",IF(ISBLANK($B52),"",IFERROR(_xll.BDP(TICKER,"DEEP_MEASURE_PERIOD_BROKER_VALUE","DEEP_MEASURE_ID_OVERRIDE",$C52,"DEEP_BROKER_ID_OVERRIDE",BK$24,"DEEP_PERIOD_OVERRIDE",$H$19)*1,"")))</f>
        <v/>
      </c>
      <c r="BL52" s="17" t="str">
        <f>IF(OR(BL$23="",ISNA($B52)),"",IF(ISBLANK($B52),"",IFERROR(_xll.BDP(TICKER,"DEEP_MEASURE_PERIOD_BROKER_VALUE","DEEP_MEASURE_ID_OVERRIDE",$C52,"DEEP_BROKER_ID_OVERRIDE",BL$24,"DEEP_PERIOD_OVERRIDE",$H$19)*1,"")))</f>
        <v/>
      </c>
      <c r="BM52" s="17" t="str">
        <f>IF(OR(BM$23="",ISNA($B52)),"",IF(ISBLANK($B52),"",IFERROR(_xll.BDP(TICKER,"DEEP_MEASURE_PERIOD_BROKER_VALUE","DEEP_MEASURE_ID_OVERRIDE",$C52,"DEEP_BROKER_ID_OVERRIDE",BM$24,"DEEP_PERIOD_OVERRIDE",$H$19)*1,"")))</f>
        <v/>
      </c>
      <c r="BN52" s="17" t="str">
        <f>IF(OR(BN$23="",ISNA($B52)),"",IF(ISBLANK($B52),"",IFERROR(_xll.BDP(TICKER,"DEEP_MEASURE_PERIOD_BROKER_VALUE","DEEP_MEASURE_ID_OVERRIDE",$C52,"DEEP_BROKER_ID_OVERRIDE",BN$24,"DEEP_PERIOD_OVERRIDE",$H$19)*1,"")))</f>
        <v/>
      </c>
      <c r="BO52" s="17" t="str">
        <f>IF(OR(BO$23="",ISNA($B52)),"",IF(ISBLANK($B52),"",IFERROR(_xll.BDP(TICKER,"DEEP_MEASURE_PERIOD_BROKER_VALUE","DEEP_MEASURE_ID_OVERRIDE",$C52,"DEEP_BROKER_ID_OVERRIDE",BO$24,"DEEP_PERIOD_OVERRIDE",$H$19)*1,"")))</f>
        <v/>
      </c>
      <c r="BP52" s="17" t="str">
        <f>IF(OR(BP$23="",ISNA($B52)),"",IF(ISBLANK($B52),"",IFERROR(_xll.BDP(TICKER,"DEEP_MEASURE_PERIOD_BROKER_VALUE","DEEP_MEASURE_ID_OVERRIDE",$C52,"DEEP_BROKER_ID_OVERRIDE",BP$24,"DEEP_PERIOD_OVERRIDE",$H$19)*1,"")))</f>
        <v/>
      </c>
      <c r="BQ52" s="17" t="str">
        <f>IF(OR(BQ$23="",ISNA($B52)),"",IF(ISBLANK($B52),"",IFERROR(_xll.BDP(TICKER,"DEEP_MEASURE_PERIOD_BROKER_VALUE","DEEP_MEASURE_ID_OVERRIDE",$C52,"DEEP_BROKER_ID_OVERRIDE",BQ$24,"DEEP_PERIOD_OVERRIDE",$H$19)*1,"")))</f>
        <v/>
      </c>
      <c r="BR52" s="17" t="str">
        <f>IF(OR(BR$23="",ISNA($B52)),"",IF(ISBLANK($B52),"",IFERROR(_xll.BDP(TICKER,"DEEP_MEASURE_PERIOD_BROKER_VALUE","DEEP_MEASURE_ID_OVERRIDE",$C52,"DEEP_BROKER_ID_OVERRIDE",BR$24,"DEEP_PERIOD_OVERRIDE",$H$19)*1,"")))</f>
        <v/>
      </c>
      <c r="BS52" s="17" t="str">
        <f>IF(OR(BS$23="",ISNA($B52)),"",IF(ISBLANK($B52),"",IFERROR(_xll.BDP(TICKER,"DEEP_MEASURE_PERIOD_BROKER_VALUE","DEEP_MEASURE_ID_OVERRIDE",$C52,"DEEP_BROKER_ID_OVERRIDE",BS$24,"DEEP_PERIOD_OVERRIDE",$H$19)*1,"")))</f>
        <v/>
      </c>
      <c r="BT52" s="17" t="str">
        <f>IF(OR(BT$23="",ISNA($B52)),"",IF(ISBLANK($B52),"",IFERROR(_xll.BDP(TICKER,"DEEP_MEASURE_PERIOD_BROKER_VALUE","DEEP_MEASURE_ID_OVERRIDE",$C52,"DEEP_BROKER_ID_OVERRIDE",BT$24,"DEEP_PERIOD_OVERRIDE",$H$19)*1,"")))</f>
        <v/>
      </c>
      <c r="BU52" s="17" t="str">
        <f>IF(OR(BU$23="",ISNA($B52)),"",IF(ISBLANK($B52),"",IFERROR(_xll.BDP(TICKER,"DEEP_MEASURE_PERIOD_BROKER_VALUE","DEEP_MEASURE_ID_OVERRIDE",$C52,"DEEP_BROKER_ID_OVERRIDE",BU$24,"DEEP_PERIOD_OVERRIDE",$H$19)*1,"")))</f>
        <v/>
      </c>
      <c r="BV52" s="17" t="str">
        <f>IF(OR(BV$23="",ISNA($B52)),"",IF(ISBLANK($B52),"",IFERROR(_xll.BDP(TICKER,"DEEP_MEASURE_PERIOD_BROKER_VALUE","DEEP_MEASURE_ID_OVERRIDE",$C52,"DEEP_BROKER_ID_OVERRIDE",BV$24,"DEEP_PERIOD_OVERRIDE",$H$19)*1,"")))</f>
        <v/>
      </c>
      <c r="BW52" s="17" t="str">
        <f>IF(OR(BW$23="",ISNA($B52)),"",IF(ISBLANK($B52),"",IFERROR(_xll.BDP(TICKER,"DEEP_MEASURE_PERIOD_BROKER_VALUE","DEEP_MEASURE_ID_OVERRIDE",$C52,"DEEP_BROKER_ID_OVERRIDE",BW$24,"DEEP_PERIOD_OVERRIDE",$H$19)*1,"")))</f>
        <v/>
      </c>
      <c r="BX52" s="17" t="str">
        <f>IF(OR(BX$23="",ISNA($B52)),"",IF(ISBLANK($B52),"",IFERROR(_xll.BDP(TICKER,"DEEP_MEASURE_PERIOD_BROKER_VALUE","DEEP_MEASURE_ID_OVERRIDE",$C52,"DEEP_BROKER_ID_OVERRIDE",BX$24,"DEEP_PERIOD_OVERRIDE",$H$19)*1,"")))</f>
        <v/>
      </c>
      <c r="BY52" s="17" t="str">
        <f>IF(OR(BY$23="",ISNA($B52)),"",IF(ISBLANK($B52),"",IFERROR(_xll.BDP(TICKER,"DEEP_MEASURE_PERIOD_BROKER_VALUE","DEEP_MEASURE_ID_OVERRIDE",$C52,"DEEP_BROKER_ID_OVERRIDE",BY$24,"DEEP_PERIOD_OVERRIDE",$H$19)*1,"")))</f>
        <v/>
      </c>
      <c r="BZ52" s="17" t="str">
        <f>IF(OR(BZ$23="",ISNA($B52)),"",IF(ISBLANK($B52),"",IFERROR(_xll.BDP(TICKER,"DEEP_MEASURE_PERIOD_BROKER_VALUE","DEEP_MEASURE_ID_OVERRIDE",$C52,"DEEP_BROKER_ID_OVERRIDE",BZ$24,"DEEP_PERIOD_OVERRIDE",$H$19)*1,"")))</f>
        <v/>
      </c>
    </row>
    <row r="53" spans="2:78" x14ac:dyDescent="0.25">
      <c r="B53" t="s">
        <v>98</v>
      </c>
      <c r="C53" s="11">
        <v>9841</v>
      </c>
      <c r="H53" t="str">
        <f t="shared" si="1"/>
        <v>Other &gt; EBITDA</v>
      </c>
      <c r="I53" t="str">
        <f>IF(OR(I$23="",ISNA($B53)),"",IF(ISBLANK($B53),"",IFERROR(_xll.BDP(TICKER,"DEEP_MEASURE_PERIOD_BROKER_VALUE","DEEP_MEASURE_ID_OVERRIDE",$C53,"DEEP_PERIOD_OVERRIDE",$H$19)*1,"")))</f>
        <v/>
      </c>
      <c r="J53" t="e">
        <f>IF(OR(J$23="",ISNA($B53)),"",IF(ISBLANK($B53),"",IFERROR(_xll.BDP(TICKER,"DEEP_MEASURE_PERIOD_BROKER_VALUE","DEEP_MEASURE_ID_OVERRIDE",$C53,"DEEP_BROKER_ID_OVERRIDE",J$24,"DEEP_PERIOD_OVERRIDE",$H$19)*1,"")))</f>
        <v>#REF!</v>
      </c>
      <c r="K53" s="17" t="str">
        <f>IF(OR(K$23="",ISNA($B53)),"",IF(ISBLANK($B53),"",IFERROR(_xll.BDP(TICKER,"DEEP_MEASURE_PERIOD_BROKER_VALUE","DEEP_MEASURE_ID_OVERRIDE",$C53,"DEEP_BROKER_ID_OVERRIDE",K$24,"DEEP_PERIOD_OVERRIDE",$H$19)*1,"")))</f>
        <v/>
      </c>
      <c r="L53" s="17" t="str">
        <f>IF(OR(L$23="",ISNA($B53)),"",IF(ISBLANK($B53),"",IFERROR(_xll.BDP(TICKER,"DEEP_MEASURE_PERIOD_BROKER_VALUE","DEEP_MEASURE_ID_OVERRIDE",$C53,"DEEP_BROKER_ID_OVERRIDE",L$24,"DEEP_PERIOD_OVERRIDE",$H$19)*1,"")))</f>
        <v/>
      </c>
      <c r="M53" s="17" t="str">
        <f>IF(OR(M$23="",ISNA($B53)),"",IF(ISBLANK($B53),"",IFERROR(_xll.BDP(TICKER,"DEEP_MEASURE_PERIOD_BROKER_VALUE","DEEP_MEASURE_ID_OVERRIDE",$C53,"DEEP_BROKER_ID_OVERRIDE",M$24,"DEEP_PERIOD_OVERRIDE",$H$19)*1,"")))</f>
        <v/>
      </c>
      <c r="N53" s="17" t="str">
        <f>IF(OR(N$23="",ISNA($B53)),"",IF(ISBLANK($B53),"",IFERROR(_xll.BDP(TICKER,"DEEP_MEASURE_PERIOD_BROKER_VALUE","DEEP_MEASURE_ID_OVERRIDE",$C53,"DEEP_BROKER_ID_OVERRIDE",N$24,"DEEP_PERIOD_OVERRIDE",$H$19)*1,"")))</f>
        <v/>
      </c>
      <c r="O53" s="17" t="str">
        <f>IF(OR(O$23="",ISNA($B53)),"",IF(ISBLANK($B53),"",IFERROR(_xll.BDP(TICKER,"DEEP_MEASURE_PERIOD_BROKER_VALUE","DEEP_MEASURE_ID_OVERRIDE",$C53,"DEEP_BROKER_ID_OVERRIDE",O$24,"DEEP_PERIOD_OVERRIDE",$H$19)*1,"")))</f>
        <v/>
      </c>
      <c r="P53" s="17" t="str">
        <f>IF(OR(P$23="",ISNA($B53)),"",IF(ISBLANK($B53),"",IFERROR(_xll.BDP(TICKER,"DEEP_MEASURE_PERIOD_BROKER_VALUE","DEEP_MEASURE_ID_OVERRIDE",$C53,"DEEP_BROKER_ID_OVERRIDE",P$24,"DEEP_PERIOD_OVERRIDE",$H$19)*1,"")))</f>
        <v/>
      </c>
      <c r="Q53" s="17" t="str">
        <f>IF(OR(Q$23="",ISNA($B53)),"",IF(ISBLANK($B53),"",IFERROR(_xll.BDP(TICKER,"DEEP_MEASURE_PERIOD_BROKER_VALUE","DEEP_MEASURE_ID_OVERRIDE",$C53,"DEEP_BROKER_ID_OVERRIDE",Q$24,"DEEP_PERIOD_OVERRIDE",$H$19)*1,"")))</f>
        <v/>
      </c>
      <c r="R53" s="17" t="str">
        <f>IF(OR(R$23="",ISNA($B53)),"",IF(ISBLANK($B53),"",IFERROR(_xll.BDP(TICKER,"DEEP_MEASURE_PERIOD_BROKER_VALUE","DEEP_MEASURE_ID_OVERRIDE",$C53,"DEEP_BROKER_ID_OVERRIDE",R$24,"DEEP_PERIOD_OVERRIDE",$H$19)*1,"")))</f>
        <v/>
      </c>
      <c r="S53" s="17" t="str">
        <f>IF(OR(S$23="",ISNA($B53)),"",IF(ISBLANK($B53),"",IFERROR(_xll.BDP(TICKER,"DEEP_MEASURE_PERIOD_BROKER_VALUE","DEEP_MEASURE_ID_OVERRIDE",$C53,"DEEP_BROKER_ID_OVERRIDE",S$24,"DEEP_PERIOD_OVERRIDE",$H$19)*1,"")))</f>
        <v/>
      </c>
      <c r="T53" s="17" t="str">
        <f>IF(OR(T$23="",ISNA($B53)),"",IF(ISBLANK($B53),"",IFERROR(_xll.BDP(TICKER,"DEEP_MEASURE_PERIOD_BROKER_VALUE","DEEP_MEASURE_ID_OVERRIDE",$C53,"DEEP_BROKER_ID_OVERRIDE",T$24,"DEEP_PERIOD_OVERRIDE",$H$19)*1,"")))</f>
        <v/>
      </c>
      <c r="U53" s="17" t="str">
        <f>IF(OR(U$23="",ISNA($B53)),"",IF(ISBLANK($B53),"",IFERROR(_xll.BDP(TICKER,"DEEP_MEASURE_PERIOD_BROKER_VALUE","DEEP_MEASURE_ID_OVERRIDE",$C53,"DEEP_BROKER_ID_OVERRIDE",U$24,"DEEP_PERIOD_OVERRIDE",$H$19)*1,"")))</f>
        <v/>
      </c>
      <c r="V53" s="17" t="str">
        <f>IF(OR(V$23="",ISNA($B53)),"",IF(ISBLANK($B53),"",IFERROR(_xll.BDP(TICKER,"DEEP_MEASURE_PERIOD_BROKER_VALUE","DEEP_MEASURE_ID_OVERRIDE",$C53,"DEEP_BROKER_ID_OVERRIDE",V$24,"DEEP_PERIOD_OVERRIDE",$H$19)*1,"")))</f>
        <v/>
      </c>
      <c r="W53" s="17" t="str">
        <f>IF(OR(W$23="",ISNA($B53)),"",IF(ISBLANK($B53),"",IFERROR(_xll.BDP(TICKER,"DEEP_MEASURE_PERIOD_BROKER_VALUE","DEEP_MEASURE_ID_OVERRIDE",$C53,"DEEP_BROKER_ID_OVERRIDE",W$24,"DEEP_PERIOD_OVERRIDE",$H$19)*1,"")))</f>
        <v/>
      </c>
      <c r="X53" s="17" t="str">
        <f>IF(OR(X$23="",ISNA($B53)),"",IF(ISBLANK($B53),"",IFERROR(_xll.BDP(TICKER,"DEEP_MEASURE_PERIOD_BROKER_VALUE","DEEP_MEASURE_ID_OVERRIDE",$C53,"DEEP_BROKER_ID_OVERRIDE",X$24,"DEEP_PERIOD_OVERRIDE",$H$19)*1,"")))</f>
        <v/>
      </c>
      <c r="Y53" s="17" t="str">
        <f>IF(OR(Y$23="",ISNA($B53)),"",IF(ISBLANK($B53),"",IFERROR(_xll.BDP(TICKER,"DEEP_MEASURE_PERIOD_BROKER_VALUE","DEEP_MEASURE_ID_OVERRIDE",$C53,"DEEP_BROKER_ID_OVERRIDE",Y$24,"DEEP_PERIOD_OVERRIDE",$H$19)*1,"")))</f>
        <v/>
      </c>
      <c r="Z53" s="17" t="str">
        <f>IF(OR(Z$23="",ISNA($B53)),"",IF(ISBLANK($B53),"",IFERROR(_xll.BDP(TICKER,"DEEP_MEASURE_PERIOD_BROKER_VALUE","DEEP_MEASURE_ID_OVERRIDE",$C53,"DEEP_BROKER_ID_OVERRIDE",Z$24,"DEEP_PERIOD_OVERRIDE",$H$19)*1,"")))</f>
        <v/>
      </c>
      <c r="AA53" s="17" t="str">
        <f>IF(OR(AA$23="",ISNA($B53)),"",IF(ISBLANK($B53),"",IFERROR(_xll.BDP(TICKER,"DEEP_MEASURE_PERIOD_BROKER_VALUE","DEEP_MEASURE_ID_OVERRIDE",$C53,"DEEP_BROKER_ID_OVERRIDE",AA$24,"DEEP_PERIOD_OVERRIDE",$H$19)*1,"")))</f>
        <v/>
      </c>
      <c r="AB53" s="17" t="str">
        <f>IF(OR(AB$23="",ISNA($B53)),"",IF(ISBLANK($B53),"",IFERROR(_xll.BDP(TICKER,"DEEP_MEASURE_PERIOD_BROKER_VALUE","DEEP_MEASURE_ID_OVERRIDE",$C53,"DEEP_BROKER_ID_OVERRIDE",AB$24,"DEEP_PERIOD_OVERRIDE",$H$19)*1,"")))</f>
        <v/>
      </c>
      <c r="AC53" s="17" t="str">
        <f>IF(OR(AC$23="",ISNA($B53)),"",IF(ISBLANK($B53),"",IFERROR(_xll.BDP(TICKER,"DEEP_MEASURE_PERIOD_BROKER_VALUE","DEEP_MEASURE_ID_OVERRIDE",$C53,"DEEP_BROKER_ID_OVERRIDE",AC$24,"DEEP_PERIOD_OVERRIDE",$H$19)*1,"")))</f>
        <v/>
      </c>
      <c r="AD53" s="17" t="str">
        <f>IF(OR(AD$23="",ISNA($B53)),"",IF(ISBLANK($B53),"",IFERROR(_xll.BDP(TICKER,"DEEP_MEASURE_PERIOD_BROKER_VALUE","DEEP_MEASURE_ID_OVERRIDE",$C53,"DEEP_BROKER_ID_OVERRIDE",AD$24,"DEEP_PERIOD_OVERRIDE",$H$19)*1,"")))</f>
        <v/>
      </c>
      <c r="AE53" s="17" t="str">
        <f>IF(OR(AE$23="",ISNA($B53)),"",IF(ISBLANK($B53),"",IFERROR(_xll.BDP(TICKER,"DEEP_MEASURE_PERIOD_BROKER_VALUE","DEEP_MEASURE_ID_OVERRIDE",$C53,"DEEP_BROKER_ID_OVERRIDE",AE$24,"DEEP_PERIOD_OVERRIDE",$H$19)*1,"")))</f>
        <v/>
      </c>
      <c r="AF53" s="17" t="str">
        <f>IF(OR(AF$23="",ISNA($B53)),"",IF(ISBLANK($B53),"",IFERROR(_xll.BDP(TICKER,"DEEP_MEASURE_PERIOD_BROKER_VALUE","DEEP_MEASURE_ID_OVERRIDE",$C53,"DEEP_BROKER_ID_OVERRIDE",AF$24,"DEEP_PERIOD_OVERRIDE",$H$19)*1,"")))</f>
        <v/>
      </c>
      <c r="AG53" s="17" t="str">
        <f>IF(OR(AG$23="",ISNA($B53)),"",IF(ISBLANK($B53),"",IFERROR(_xll.BDP(TICKER,"DEEP_MEASURE_PERIOD_BROKER_VALUE","DEEP_MEASURE_ID_OVERRIDE",$C53,"DEEP_BROKER_ID_OVERRIDE",AG$24,"DEEP_PERIOD_OVERRIDE",$H$19)*1,"")))</f>
        <v/>
      </c>
      <c r="AH53" s="17" t="str">
        <f>IF(OR(AH$23="",ISNA($B53)),"",IF(ISBLANK($B53),"",IFERROR(_xll.BDP(TICKER,"DEEP_MEASURE_PERIOD_BROKER_VALUE","DEEP_MEASURE_ID_OVERRIDE",$C53,"DEEP_BROKER_ID_OVERRIDE",AH$24,"DEEP_PERIOD_OVERRIDE",$H$19)*1,"")))</f>
        <v/>
      </c>
      <c r="AI53" s="17" t="str">
        <f>IF(OR(AI$23="",ISNA($B53)),"",IF(ISBLANK($B53),"",IFERROR(_xll.BDP(TICKER,"DEEP_MEASURE_PERIOD_BROKER_VALUE","DEEP_MEASURE_ID_OVERRIDE",$C53,"DEEP_BROKER_ID_OVERRIDE",AI$24,"DEEP_PERIOD_OVERRIDE",$H$19)*1,"")))</f>
        <v/>
      </c>
      <c r="AJ53" s="17" t="str">
        <f>IF(OR(AJ$23="",ISNA($B53)),"",IF(ISBLANK($B53),"",IFERROR(_xll.BDP(TICKER,"DEEP_MEASURE_PERIOD_BROKER_VALUE","DEEP_MEASURE_ID_OVERRIDE",$C53,"DEEP_BROKER_ID_OVERRIDE",AJ$24,"DEEP_PERIOD_OVERRIDE",$H$19)*1,"")))</f>
        <v/>
      </c>
      <c r="AK53" s="17" t="str">
        <f>IF(OR(AK$23="",ISNA($B53)),"",IF(ISBLANK($B53),"",IFERROR(_xll.BDP(TICKER,"DEEP_MEASURE_PERIOD_BROKER_VALUE","DEEP_MEASURE_ID_OVERRIDE",$C53,"DEEP_BROKER_ID_OVERRIDE",AK$24,"DEEP_PERIOD_OVERRIDE",$H$19)*1,"")))</f>
        <v/>
      </c>
      <c r="AL53" s="17" t="str">
        <f>IF(OR(AL$23="",ISNA($B53)),"",IF(ISBLANK($B53),"",IFERROR(_xll.BDP(TICKER,"DEEP_MEASURE_PERIOD_BROKER_VALUE","DEEP_MEASURE_ID_OVERRIDE",$C53,"DEEP_BROKER_ID_OVERRIDE",AL$24,"DEEP_PERIOD_OVERRIDE",$H$19)*1,"")))</f>
        <v/>
      </c>
      <c r="AM53" s="17" t="str">
        <f>IF(OR(AM$23="",ISNA($B53)),"",IF(ISBLANK($B53),"",IFERROR(_xll.BDP(TICKER,"DEEP_MEASURE_PERIOD_BROKER_VALUE","DEEP_MEASURE_ID_OVERRIDE",$C53,"DEEP_BROKER_ID_OVERRIDE",AM$24,"DEEP_PERIOD_OVERRIDE",$H$19)*1,"")))</f>
        <v/>
      </c>
      <c r="AN53" s="17" t="str">
        <f>IF(OR(AN$23="",ISNA($B53)),"",IF(ISBLANK($B53),"",IFERROR(_xll.BDP(TICKER,"DEEP_MEASURE_PERIOD_BROKER_VALUE","DEEP_MEASURE_ID_OVERRIDE",$C53,"DEEP_BROKER_ID_OVERRIDE",AN$24,"DEEP_PERIOD_OVERRIDE",$H$19)*1,"")))</f>
        <v/>
      </c>
      <c r="AO53" s="17" t="str">
        <f>IF(OR(AO$23="",ISNA($B53)),"",IF(ISBLANK($B53),"",IFERROR(_xll.BDP(TICKER,"DEEP_MEASURE_PERIOD_BROKER_VALUE","DEEP_MEASURE_ID_OVERRIDE",$C53,"DEEP_BROKER_ID_OVERRIDE",AO$24,"DEEP_PERIOD_OVERRIDE",$H$19)*1,"")))</f>
        <v/>
      </c>
      <c r="AP53" s="17" t="str">
        <f>IF(OR(AP$23="",ISNA($B53)),"",IF(ISBLANK($B53),"",IFERROR(_xll.BDP(TICKER,"DEEP_MEASURE_PERIOD_BROKER_VALUE","DEEP_MEASURE_ID_OVERRIDE",$C53,"DEEP_BROKER_ID_OVERRIDE",AP$24,"DEEP_PERIOD_OVERRIDE",$H$19)*1,"")))</f>
        <v/>
      </c>
      <c r="AQ53" s="17" t="str">
        <f>IF(OR(AQ$23="",ISNA($B53)),"",IF(ISBLANK($B53),"",IFERROR(_xll.BDP(TICKER,"DEEP_MEASURE_PERIOD_BROKER_VALUE","DEEP_MEASURE_ID_OVERRIDE",$C53,"DEEP_BROKER_ID_OVERRIDE",AQ$24,"DEEP_PERIOD_OVERRIDE",$H$19)*1,"")))</f>
        <v/>
      </c>
      <c r="AR53" s="17" t="str">
        <f>IF(OR(AR$23="",ISNA($B53)),"",IF(ISBLANK($B53),"",IFERROR(_xll.BDP(TICKER,"DEEP_MEASURE_PERIOD_BROKER_VALUE","DEEP_MEASURE_ID_OVERRIDE",$C53,"DEEP_BROKER_ID_OVERRIDE",AR$24,"DEEP_PERIOD_OVERRIDE",$H$19)*1,"")))</f>
        <v/>
      </c>
      <c r="AS53" s="17" t="str">
        <f>IF(OR(AS$23="",ISNA($B53)),"",IF(ISBLANK($B53),"",IFERROR(_xll.BDP(TICKER,"DEEP_MEASURE_PERIOD_BROKER_VALUE","DEEP_MEASURE_ID_OVERRIDE",$C53,"DEEP_BROKER_ID_OVERRIDE",AS$24,"DEEP_PERIOD_OVERRIDE",$H$19)*1,"")))</f>
        <v/>
      </c>
      <c r="AT53" s="17" t="str">
        <f>IF(OR(AT$23="",ISNA($B53)),"",IF(ISBLANK($B53),"",IFERROR(_xll.BDP(TICKER,"DEEP_MEASURE_PERIOD_BROKER_VALUE","DEEP_MEASURE_ID_OVERRIDE",$C53,"DEEP_BROKER_ID_OVERRIDE",AT$24,"DEEP_PERIOD_OVERRIDE",$H$19)*1,"")))</f>
        <v/>
      </c>
      <c r="AU53" s="17" t="str">
        <f>IF(OR(AU$23="",ISNA($B53)),"",IF(ISBLANK($B53),"",IFERROR(_xll.BDP(TICKER,"DEEP_MEASURE_PERIOD_BROKER_VALUE","DEEP_MEASURE_ID_OVERRIDE",$C53,"DEEP_BROKER_ID_OVERRIDE",AU$24,"DEEP_PERIOD_OVERRIDE",$H$19)*1,"")))</f>
        <v/>
      </c>
      <c r="AV53" s="17" t="str">
        <f>IF(OR(AV$23="",ISNA($B53)),"",IF(ISBLANK($B53),"",IFERROR(_xll.BDP(TICKER,"DEEP_MEASURE_PERIOD_BROKER_VALUE","DEEP_MEASURE_ID_OVERRIDE",$C53,"DEEP_BROKER_ID_OVERRIDE",AV$24,"DEEP_PERIOD_OVERRIDE",$H$19)*1,"")))</f>
        <v/>
      </c>
      <c r="AW53" s="17" t="str">
        <f>IF(OR(AW$23="",ISNA($B53)),"",IF(ISBLANK($B53),"",IFERROR(_xll.BDP(TICKER,"DEEP_MEASURE_PERIOD_BROKER_VALUE","DEEP_MEASURE_ID_OVERRIDE",$C53,"DEEP_BROKER_ID_OVERRIDE",AW$24,"DEEP_PERIOD_OVERRIDE",$H$19)*1,"")))</f>
        <v/>
      </c>
      <c r="AX53" s="17" t="str">
        <f>IF(OR(AX$23="",ISNA($B53)),"",IF(ISBLANK($B53),"",IFERROR(_xll.BDP(TICKER,"DEEP_MEASURE_PERIOD_BROKER_VALUE","DEEP_MEASURE_ID_OVERRIDE",$C53,"DEEP_BROKER_ID_OVERRIDE",AX$24,"DEEP_PERIOD_OVERRIDE",$H$19)*1,"")))</f>
        <v/>
      </c>
      <c r="AY53" s="17" t="str">
        <f>IF(OR(AY$23="",ISNA($B53)),"",IF(ISBLANK($B53),"",IFERROR(_xll.BDP(TICKER,"DEEP_MEASURE_PERIOD_BROKER_VALUE","DEEP_MEASURE_ID_OVERRIDE",$C53,"DEEP_BROKER_ID_OVERRIDE",AY$24,"DEEP_PERIOD_OVERRIDE",$H$19)*1,"")))</f>
        <v/>
      </c>
      <c r="AZ53" s="17" t="str">
        <f>IF(OR(AZ$23="",ISNA($B53)),"",IF(ISBLANK($B53),"",IFERROR(_xll.BDP(TICKER,"DEEP_MEASURE_PERIOD_BROKER_VALUE","DEEP_MEASURE_ID_OVERRIDE",$C53,"DEEP_BROKER_ID_OVERRIDE",AZ$24,"DEEP_PERIOD_OVERRIDE",$H$19)*1,"")))</f>
        <v/>
      </c>
      <c r="BA53" s="17" t="str">
        <f>IF(OR(BA$23="",ISNA($B53)),"",IF(ISBLANK($B53),"",IFERROR(_xll.BDP(TICKER,"DEEP_MEASURE_PERIOD_BROKER_VALUE","DEEP_MEASURE_ID_OVERRIDE",$C53,"DEEP_BROKER_ID_OVERRIDE",BA$24,"DEEP_PERIOD_OVERRIDE",$H$19)*1,"")))</f>
        <v/>
      </c>
      <c r="BB53" s="17" t="str">
        <f>IF(OR(BB$23="",ISNA($B53)),"",IF(ISBLANK($B53),"",IFERROR(_xll.BDP(TICKER,"DEEP_MEASURE_PERIOD_BROKER_VALUE","DEEP_MEASURE_ID_OVERRIDE",$C53,"DEEP_BROKER_ID_OVERRIDE",BB$24,"DEEP_PERIOD_OVERRIDE",$H$19)*1,"")))</f>
        <v/>
      </c>
      <c r="BC53" s="17" t="str">
        <f>IF(OR(BC$23="",ISNA($B53)),"",IF(ISBLANK($B53),"",IFERROR(_xll.BDP(TICKER,"DEEP_MEASURE_PERIOD_BROKER_VALUE","DEEP_MEASURE_ID_OVERRIDE",$C53,"DEEP_BROKER_ID_OVERRIDE",BC$24,"DEEP_PERIOD_OVERRIDE",$H$19)*1,"")))</f>
        <v/>
      </c>
      <c r="BD53" s="17" t="str">
        <f>IF(OR(BD$23="",ISNA($B53)),"",IF(ISBLANK($B53),"",IFERROR(_xll.BDP(TICKER,"DEEP_MEASURE_PERIOD_BROKER_VALUE","DEEP_MEASURE_ID_OVERRIDE",$C53,"DEEP_BROKER_ID_OVERRIDE",BD$24,"DEEP_PERIOD_OVERRIDE",$H$19)*1,"")))</f>
        <v/>
      </c>
      <c r="BE53" s="17" t="str">
        <f>IF(OR(BE$23="",ISNA($B53)),"",IF(ISBLANK($B53),"",IFERROR(_xll.BDP(TICKER,"DEEP_MEASURE_PERIOD_BROKER_VALUE","DEEP_MEASURE_ID_OVERRIDE",$C53,"DEEP_BROKER_ID_OVERRIDE",BE$24,"DEEP_PERIOD_OVERRIDE",$H$19)*1,"")))</f>
        <v/>
      </c>
      <c r="BF53" s="17" t="str">
        <f>IF(OR(BF$23="",ISNA($B53)),"",IF(ISBLANK($B53),"",IFERROR(_xll.BDP(TICKER,"DEEP_MEASURE_PERIOD_BROKER_VALUE","DEEP_MEASURE_ID_OVERRIDE",$C53,"DEEP_BROKER_ID_OVERRIDE",BF$24,"DEEP_PERIOD_OVERRIDE",$H$19)*1,"")))</f>
        <v/>
      </c>
      <c r="BG53" s="17" t="str">
        <f>IF(OR(BG$23="",ISNA($B53)),"",IF(ISBLANK($B53),"",IFERROR(_xll.BDP(TICKER,"DEEP_MEASURE_PERIOD_BROKER_VALUE","DEEP_MEASURE_ID_OVERRIDE",$C53,"DEEP_BROKER_ID_OVERRIDE",BG$24,"DEEP_PERIOD_OVERRIDE",$H$19)*1,"")))</f>
        <v/>
      </c>
      <c r="BH53" s="17" t="str">
        <f>IF(OR(BH$23="",ISNA($B53)),"",IF(ISBLANK($B53),"",IFERROR(_xll.BDP(TICKER,"DEEP_MEASURE_PERIOD_BROKER_VALUE","DEEP_MEASURE_ID_OVERRIDE",$C53,"DEEP_BROKER_ID_OVERRIDE",BH$24,"DEEP_PERIOD_OVERRIDE",$H$19)*1,"")))</f>
        <v/>
      </c>
      <c r="BI53" s="17" t="str">
        <f>IF(OR(BI$23="",ISNA($B53)),"",IF(ISBLANK($B53),"",IFERROR(_xll.BDP(TICKER,"DEEP_MEASURE_PERIOD_BROKER_VALUE","DEEP_MEASURE_ID_OVERRIDE",$C53,"DEEP_BROKER_ID_OVERRIDE",BI$24,"DEEP_PERIOD_OVERRIDE",$H$19)*1,"")))</f>
        <v/>
      </c>
      <c r="BJ53" s="17" t="str">
        <f>IF(OR(BJ$23="",ISNA($B53)),"",IF(ISBLANK($B53),"",IFERROR(_xll.BDP(TICKER,"DEEP_MEASURE_PERIOD_BROKER_VALUE","DEEP_MEASURE_ID_OVERRIDE",$C53,"DEEP_BROKER_ID_OVERRIDE",BJ$24,"DEEP_PERIOD_OVERRIDE",$H$19)*1,"")))</f>
        <v/>
      </c>
      <c r="BK53" s="17" t="str">
        <f>IF(OR(BK$23="",ISNA($B53)),"",IF(ISBLANK($B53),"",IFERROR(_xll.BDP(TICKER,"DEEP_MEASURE_PERIOD_BROKER_VALUE","DEEP_MEASURE_ID_OVERRIDE",$C53,"DEEP_BROKER_ID_OVERRIDE",BK$24,"DEEP_PERIOD_OVERRIDE",$H$19)*1,"")))</f>
        <v/>
      </c>
      <c r="BL53" s="17" t="str">
        <f>IF(OR(BL$23="",ISNA($B53)),"",IF(ISBLANK($B53),"",IFERROR(_xll.BDP(TICKER,"DEEP_MEASURE_PERIOD_BROKER_VALUE","DEEP_MEASURE_ID_OVERRIDE",$C53,"DEEP_BROKER_ID_OVERRIDE",BL$24,"DEEP_PERIOD_OVERRIDE",$H$19)*1,"")))</f>
        <v/>
      </c>
      <c r="BM53" s="17" t="str">
        <f>IF(OR(BM$23="",ISNA($B53)),"",IF(ISBLANK($B53),"",IFERROR(_xll.BDP(TICKER,"DEEP_MEASURE_PERIOD_BROKER_VALUE","DEEP_MEASURE_ID_OVERRIDE",$C53,"DEEP_BROKER_ID_OVERRIDE",BM$24,"DEEP_PERIOD_OVERRIDE",$H$19)*1,"")))</f>
        <v/>
      </c>
      <c r="BN53" s="17" t="str">
        <f>IF(OR(BN$23="",ISNA($B53)),"",IF(ISBLANK($B53),"",IFERROR(_xll.BDP(TICKER,"DEEP_MEASURE_PERIOD_BROKER_VALUE","DEEP_MEASURE_ID_OVERRIDE",$C53,"DEEP_BROKER_ID_OVERRIDE",BN$24,"DEEP_PERIOD_OVERRIDE",$H$19)*1,"")))</f>
        <v/>
      </c>
      <c r="BO53" s="17" t="str">
        <f>IF(OR(BO$23="",ISNA($B53)),"",IF(ISBLANK($B53),"",IFERROR(_xll.BDP(TICKER,"DEEP_MEASURE_PERIOD_BROKER_VALUE","DEEP_MEASURE_ID_OVERRIDE",$C53,"DEEP_BROKER_ID_OVERRIDE",BO$24,"DEEP_PERIOD_OVERRIDE",$H$19)*1,"")))</f>
        <v/>
      </c>
      <c r="BP53" s="17" t="str">
        <f>IF(OR(BP$23="",ISNA($B53)),"",IF(ISBLANK($B53),"",IFERROR(_xll.BDP(TICKER,"DEEP_MEASURE_PERIOD_BROKER_VALUE","DEEP_MEASURE_ID_OVERRIDE",$C53,"DEEP_BROKER_ID_OVERRIDE",BP$24,"DEEP_PERIOD_OVERRIDE",$H$19)*1,"")))</f>
        <v/>
      </c>
      <c r="BQ53" s="17" t="str">
        <f>IF(OR(BQ$23="",ISNA($B53)),"",IF(ISBLANK($B53),"",IFERROR(_xll.BDP(TICKER,"DEEP_MEASURE_PERIOD_BROKER_VALUE","DEEP_MEASURE_ID_OVERRIDE",$C53,"DEEP_BROKER_ID_OVERRIDE",BQ$24,"DEEP_PERIOD_OVERRIDE",$H$19)*1,"")))</f>
        <v/>
      </c>
      <c r="BR53" s="17" t="str">
        <f>IF(OR(BR$23="",ISNA($B53)),"",IF(ISBLANK($B53),"",IFERROR(_xll.BDP(TICKER,"DEEP_MEASURE_PERIOD_BROKER_VALUE","DEEP_MEASURE_ID_OVERRIDE",$C53,"DEEP_BROKER_ID_OVERRIDE",BR$24,"DEEP_PERIOD_OVERRIDE",$H$19)*1,"")))</f>
        <v/>
      </c>
      <c r="BS53" s="17" t="str">
        <f>IF(OR(BS$23="",ISNA($B53)),"",IF(ISBLANK($B53),"",IFERROR(_xll.BDP(TICKER,"DEEP_MEASURE_PERIOD_BROKER_VALUE","DEEP_MEASURE_ID_OVERRIDE",$C53,"DEEP_BROKER_ID_OVERRIDE",BS$24,"DEEP_PERIOD_OVERRIDE",$H$19)*1,"")))</f>
        <v/>
      </c>
      <c r="BT53" s="17" t="str">
        <f>IF(OR(BT$23="",ISNA($B53)),"",IF(ISBLANK($B53),"",IFERROR(_xll.BDP(TICKER,"DEEP_MEASURE_PERIOD_BROKER_VALUE","DEEP_MEASURE_ID_OVERRIDE",$C53,"DEEP_BROKER_ID_OVERRIDE",BT$24,"DEEP_PERIOD_OVERRIDE",$H$19)*1,"")))</f>
        <v/>
      </c>
      <c r="BU53" s="17" t="str">
        <f>IF(OR(BU$23="",ISNA($B53)),"",IF(ISBLANK($B53),"",IFERROR(_xll.BDP(TICKER,"DEEP_MEASURE_PERIOD_BROKER_VALUE","DEEP_MEASURE_ID_OVERRIDE",$C53,"DEEP_BROKER_ID_OVERRIDE",BU$24,"DEEP_PERIOD_OVERRIDE",$H$19)*1,"")))</f>
        <v/>
      </c>
      <c r="BV53" s="17" t="str">
        <f>IF(OR(BV$23="",ISNA($B53)),"",IF(ISBLANK($B53),"",IFERROR(_xll.BDP(TICKER,"DEEP_MEASURE_PERIOD_BROKER_VALUE","DEEP_MEASURE_ID_OVERRIDE",$C53,"DEEP_BROKER_ID_OVERRIDE",BV$24,"DEEP_PERIOD_OVERRIDE",$H$19)*1,"")))</f>
        <v/>
      </c>
      <c r="BW53" s="17" t="str">
        <f>IF(OR(BW$23="",ISNA($B53)),"",IF(ISBLANK($B53),"",IFERROR(_xll.BDP(TICKER,"DEEP_MEASURE_PERIOD_BROKER_VALUE","DEEP_MEASURE_ID_OVERRIDE",$C53,"DEEP_BROKER_ID_OVERRIDE",BW$24,"DEEP_PERIOD_OVERRIDE",$H$19)*1,"")))</f>
        <v/>
      </c>
      <c r="BX53" s="17" t="str">
        <f>IF(OR(BX$23="",ISNA($B53)),"",IF(ISBLANK($B53),"",IFERROR(_xll.BDP(TICKER,"DEEP_MEASURE_PERIOD_BROKER_VALUE","DEEP_MEASURE_ID_OVERRIDE",$C53,"DEEP_BROKER_ID_OVERRIDE",BX$24,"DEEP_PERIOD_OVERRIDE",$H$19)*1,"")))</f>
        <v/>
      </c>
      <c r="BY53" s="17" t="str">
        <f>IF(OR(BY$23="",ISNA($B53)),"",IF(ISBLANK($B53),"",IFERROR(_xll.BDP(TICKER,"DEEP_MEASURE_PERIOD_BROKER_VALUE","DEEP_MEASURE_ID_OVERRIDE",$C53,"DEEP_BROKER_ID_OVERRIDE",BY$24,"DEEP_PERIOD_OVERRIDE",$H$19)*1,"")))</f>
        <v/>
      </c>
      <c r="BZ53" s="17" t="str">
        <f>IF(OR(BZ$23="",ISNA($B53)),"",IF(ISBLANK($B53),"",IFERROR(_xll.BDP(TICKER,"DEEP_MEASURE_PERIOD_BROKER_VALUE","DEEP_MEASURE_ID_OVERRIDE",$C53,"DEEP_BROKER_ID_OVERRIDE",BZ$24,"DEEP_PERIOD_OVERRIDE",$H$19)*1,"")))</f>
        <v/>
      </c>
    </row>
    <row r="54" spans="2:78" x14ac:dyDescent="0.25">
      <c r="B54" t="s">
        <v>99</v>
      </c>
      <c r="C54" s="11">
        <v>9979</v>
      </c>
      <c r="H54" t="str">
        <f t="shared" si="1"/>
        <v>Other &gt; EBITDA &gt; As % of Other Revenue</v>
      </c>
      <c r="I54" t="str">
        <f>IF(OR(I$23="",ISNA($B54)),"",IF(ISBLANK($B54),"",IFERROR(_xll.BDP(TICKER,"DEEP_MEASURE_PERIOD_BROKER_VALUE","DEEP_MEASURE_ID_OVERRIDE",$C54,"DEEP_PERIOD_OVERRIDE",$H$19)*1,"")))</f>
        <v/>
      </c>
      <c r="J54" t="e">
        <f>IF(OR(J$23="",ISNA($B54)),"",IF(ISBLANK($B54),"",IFERROR(_xll.BDP(TICKER,"DEEP_MEASURE_PERIOD_BROKER_VALUE","DEEP_MEASURE_ID_OVERRIDE",$C54,"DEEP_BROKER_ID_OVERRIDE",J$24,"DEEP_PERIOD_OVERRIDE",$H$19)*1,"")))</f>
        <v>#REF!</v>
      </c>
      <c r="K54" s="17" t="str">
        <f>IF(OR(K$23="",ISNA($B54)),"",IF(ISBLANK($B54),"",IFERROR(_xll.BDP(TICKER,"DEEP_MEASURE_PERIOD_BROKER_VALUE","DEEP_MEASURE_ID_OVERRIDE",$C54,"DEEP_BROKER_ID_OVERRIDE",K$24,"DEEP_PERIOD_OVERRIDE",$H$19)*1,"")))</f>
        <v/>
      </c>
      <c r="L54" s="17" t="str">
        <f>IF(OR(L$23="",ISNA($B54)),"",IF(ISBLANK($B54),"",IFERROR(_xll.BDP(TICKER,"DEEP_MEASURE_PERIOD_BROKER_VALUE","DEEP_MEASURE_ID_OVERRIDE",$C54,"DEEP_BROKER_ID_OVERRIDE",L$24,"DEEP_PERIOD_OVERRIDE",$H$19)*1,"")))</f>
        <v/>
      </c>
      <c r="M54" s="17" t="str">
        <f>IF(OR(M$23="",ISNA($B54)),"",IF(ISBLANK($B54),"",IFERROR(_xll.BDP(TICKER,"DEEP_MEASURE_PERIOD_BROKER_VALUE","DEEP_MEASURE_ID_OVERRIDE",$C54,"DEEP_BROKER_ID_OVERRIDE",M$24,"DEEP_PERIOD_OVERRIDE",$H$19)*1,"")))</f>
        <v/>
      </c>
      <c r="N54" s="17" t="str">
        <f>IF(OR(N$23="",ISNA($B54)),"",IF(ISBLANK($B54),"",IFERROR(_xll.BDP(TICKER,"DEEP_MEASURE_PERIOD_BROKER_VALUE","DEEP_MEASURE_ID_OVERRIDE",$C54,"DEEP_BROKER_ID_OVERRIDE",N$24,"DEEP_PERIOD_OVERRIDE",$H$19)*1,"")))</f>
        <v/>
      </c>
      <c r="O54" s="17" t="str">
        <f>IF(OR(O$23="",ISNA($B54)),"",IF(ISBLANK($B54),"",IFERROR(_xll.BDP(TICKER,"DEEP_MEASURE_PERIOD_BROKER_VALUE","DEEP_MEASURE_ID_OVERRIDE",$C54,"DEEP_BROKER_ID_OVERRIDE",O$24,"DEEP_PERIOD_OVERRIDE",$H$19)*1,"")))</f>
        <v/>
      </c>
      <c r="P54" s="17" t="str">
        <f>IF(OR(P$23="",ISNA($B54)),"",IF(ISBLANK($B54),"",IFERROR(_xll.BDP(TICKER,"DEEP_MEASURE_PERIOD_BROKER_VALUE","DEEP_MEASURE_ID_OVERRIDE",$C54,"DEEP_BROKER_ID_OVERRIDE",P$24,"DEEP_PERIOD_OVERRIDE",$H$19)*1,"")))</f>
        <v/>
      </c>
      <c r="Q54" s="17" t="str">
        <f>IF(OR(Q$23="",ISNA($B54)),"",IF(ISBLANK($B54),"",IFERROR(_xll.BDP(TICKER,"DEEP_MEASURE_PERIOD_BROKER_VALUE","DEEP_MEASURE_ID_OVERRIDE",$C54,"DEEP_BROKER_ID_OVERRIDE",Q$24,"DEEP_PERIOD_OVERRIDE",$H$19)*1,"")))</f>
        <v/>
      </c>
      <c r="R54" s="17" t="str">
        <f>IF(OR(R$23="",ISNA($B54)),"",IF(ISBLANK($B54),"",IFERROR(_xll.BDP(TICKER,"DEEP_MEASURE_PERIOD_BROKER_VALUE","DEEP_MEASURE_ID_OVERRIDE",$C54,"DEEP_BROKER_ID_OVERRIDE",R$24,"DEEP_PERIOD_OVERRIDE",$H$19)*1,"")))</f>
        <v/>
      </c>
      <c r="S54" s="17" t="str">
        <f>IF(OR(S$23="",ISNA($B54)),"",IF(ISBLANK($B54),"",IFERROR(_xll.BDP(TICKER,"DEEP_MEASURE_PERIOD_BROKER_VALUE","DEEP_MEASURE_ID_OVERRIDE",$C54,"DEEP_BROKER_ID_OVERRIDE",S$24,"DEEP_PERIOD_OVERRIDE",$H$19)*1,"")))</f>
        <v/>
      </c>
      <c r="T54" s="17" t="str">
        <f>IF(OR(T$23="",ISNA($B54)),"",IF(ISBLANK($B54),"",IFERROR(_xll.BDP(TICKER,"DEEP_MEASURE_PERIOD_BROKER_VALUE","DEEP_MEASURE_ID_OVERRIDE",$C54,"DEEP_BROKER_ID_OVERRIDE",T$24,"DEEP_PERIOD_OVERRIDE",$H$19)*1,"")))</f>
        <v/>
      </c>
      <c r="U54" s="17" t="str">
        <f>IF(OR(U$23="",ISNA($B54)),"",IF(ISBLANK($B54),"",IFERROR(_xll.BDP(TICKER,"DEEP_MEASURE_PERIOD_BROKER_VALUE","DEEP_MEASURE_ID_OVERRIDE",$C54,"DEEP_BROKER_ID_OVERRIDE",U$24,"DEEP_PERIOD_OVERRIDE",$H$19)*1,"")))</f>
        <v/>
      </c>
      <c r="V54" s="17" t="str">
        <f>IF(OR(V$23="",ISNA($B54)),"",IF(ISBLANK($B54),"",IFERROR(_xll.BDP(TICKER,"DEEP_MEASURE_PERIOD_BROKER_VALUE","DEEP_MEASURE_ID_OVERRIDE",$C54,"DEEP_BROKER_ID_OVERRIDE",V$24,"DEEP_PERIOD_OVERRIDE",$H$19)*1,"")))</f>
        <v/>
      </c>
      <c r="W54" s="17" t="str">
        <f>IF(OR(W$23="",ISNA($B54)),"",IF(ISBLANK($B54),"",IFERROR(_xll.BDP(TICKER,"DEEP_MEASURE_PERIOD_BROKER_VALUE","DEEP_MEASURE_ID_OVERRIDE",$C54,"DEEP_BROKER_ID_OVERRIDE",W$24,"DEEP_PERIOD_OVERRIDE",$H$19)*1,"")))</f>
        <v/>
      </c>
      <c r="X54" s="17" t="str">
        <f>IF(OR(X$23="",ISNA($B54)),"",IF(ISBLANK($B54),"",IFERROR(_xll.BDP(TICKER,"DEEP_MEASURE_PERIOD_BROKER_VALUE","DEEP_MEASURE_ID_OVERRIDE",$C54,"DEEP_BROKER_ID_OVERRIDE",X$24,"DEEP_PERIOD_OVERRIDE",$H$19)*1,"")))</f>
        <v/>
      </c>
      <c r="Y54" s="17" t="str">
        <f>IF(OR(Y$23="",ISNA($B54)),"",IF(ISBLANK($B54),"",IFERROR(_xll.BDP(TICKER,"DEEP_MEASURE_PERIOD_BROKER_VALUE","DEEP_MEASURE_ID_OVERRIDE",$C54,"DEEP_BROKER_ID_OVERRIDE",Y$24,"DEEP_PERIOD_OVERRIDE",$H$19)*1,"")))</f>
        <v/>
      </c>
      <c r="Z54" s="17" t="str">
        <f>IF(OR(Z$23="",ISNA($B54)),"",IF(ISBLANK($B54),"",IFERROR(_xll.BDP(TICKER,"DEEP_MEASURE_PERIOD_BROKER_VALUE","DEEP_MEASURE_ID_OVERRIDE",$C54,"DEEP_BROKER_ID_OVERRIDE",Z$24,"DEEP_PERIOD_OVERRIDE",$H$19)*1,"")))</f>
        <v/>
      </c>
      <c r="AA54" s="17" t="str">
        <f>IF(OR(AA$23="",ISNA($B54)),"",IF(ISBLANK($B54),"",IFERROR(_xll.BDP(TICKER,"DEEP_MEASURE_PERIOD_BROKER_VALUE","DEEP_MEASURE_ID_OVERRIDE",$C54,"DEEP_BROKER_ID_OVERRIDE",AA$24,"DEEP_PERIOD_OVERRIDE",$H$19)*1,"")))</f>
        <v/>
      </c>
      <c r="AB54" s="17" t="str">
        <f>IF(OR(AB$23="",ISNA($B54)),"",IF(ISBLANK($B54),"",IFERROR(_xll.BDP(TICKER,"DEEP_MEASURE_PERIOD_BROKER_VALUE","DEEP_MEASURE_ID_OVERRIDE",$C54,"DEEP_BROKER_ID_OVERRIDE",AB$24,"DEEP_PERIOD_OVERRIDE",$H$19)*1,"")))</f>
        <v/>
      </c>
      <c r="AC54" s="17" t="str">
        <f>IF(OR(AC$23="",ISNA($B54)),"",IF(ISBLANK($B54),"",IFERROR(_xll.BDP(TICKER,"DEEP_MEASURE_PERIOD_BROKER_VALUE","DEEP_MEASURE_ID_OVERRIDE",$C54,"DEEP_BROKER_ID_OVERRIDE",AC$24,"DEEP_PERIOD_OVERRIDE",$H$19)*1,"")))</f>
        <v/>
      </c>
      <c r="AD54" s="17" t="str">
        <f>IF(OR(AD$23="",ISNA($B54)),"",IF(ISBLANK($B54),"",IFERROR(_xll.BDP(TICKER,"DEEP_MEASURE_PERIOD_BROKER_VALUE","DEEP_MEASURE_ID_OVERRIDE",$C54,"DEEP_BROKER_ID_OVERRIDE",AD$24,"DEEP_PERIOD_OVERRIDE",$H$19)*1,"")))</f>
        <v/>
      </c>
      <c r="AE54" s="17" t="str">
        <f>IF(OR(AE$23="",ISNA($B54)),"",IF(ISBLANK($B54),"",IFERROR(_xll.BDP(TICKER,"DEEP_MEASURE_PERIOD_BROKER_VALUE","DEEP_MEASURE_ID_OVERRIDE",$C54,"DEEP_BROKER_ID_OVERRIDE",AE$24,"DEEP_PERIOD_OVERRIDE",$H$19)*1,"")))</f>
        <v/>
      </c>
      <c r="AF54" s="17" t="str">
        <f>IF(OR(AF$23="",ISNA($B54)),"",IF(ISBLANK($B54),"",IFERROR(_xll.BDP(TICKER,"DEEP_MEASURE_PERIOD_BROKER_VALUE","DEEP_MEASURE_ID_OVERRIDE",$C54,"DEEP_BROKER_ID_OVERRIDE",AF$24,"DEEP_PERIOD_OVERRIDE",$H$19)*1,"")))</f>
        <v/>
      </c>
      <c r="AG54" s="17" t="str">
        <f>IF(OR(AG$23="",ISNA($B54)),"",IF(ISBLANK($B54),"",IFERROR(_xll.BDP(TICKER,"DEEP_MEASURE_PERIOD_BROKER_VALUE","DEEP_MEASURE_ID_OVERRIDE",$C54,"DEEP_BROKER_ID_OVERRIDE",AG$24,"DEEP_PERIOD_OVERRIDE",$H$19)*1,"")))</f>
        <v/>
      </c>
      <c r="AH54" s="17" t="str">
        <f>IF(OR(AH$23="",ISNA($B54)),"",IF(ISBLANK($B54),"",IFERROR(_xll.BDP(TICKER,"DEEP_MEASURE_PERIOD_BROKER_VALUE","DEEP_MEASURE_ID_OVERRIDE",$C54,"DEEP_BROKER_ID_OVERRIDE",AH$24,"DEEP_PERIOD_OVERRIDE",$H$19)*1,"")))</f>
        <v/>
      </c>
      <c r="AI54" s="17" t="str">
        <f>IF(OR(AI$23="",ISNA($B54)),"",IF(ISBLANK($B54),"",IFERROR(_xll.BDP(TICKER,"DEEP_MEASURE_PERIOD_BROKER_VALUE","DEEP_MEASURE_ID_OVERRIDE",$C54,"DEEP_BROKER_ID_OVERRIDE",AI$24,"DEEP_PERIOD_OVERRIDE",$H$19)*1,"")))</f>
        <v/>
      </c>
      <c r="AJ54" s="17" t="str">
        <f>IF(OR(AJ$23="",ISNA($B54)),"",IF(ISBLANK($B54),"",IFERROR(_xll.BDP(TICKER,"DEEP_MEASURE_PERIOD_BROKER_VALUE","DEEP_MEASURE_ID_OVERRIDE",$C54,"DEEP_BROKER_ID_OVERRIDE",AJ$24,"DEEP_PERIOD_OVERRIDE",$H$19)*1,"")))</f>
        <v/>
      </c>
      <c r="AK54" s="17" t="str">
        <f>IF(OR(AK$23="",ISNA($B54)),"",IF(ISBLANK($B54),"",IFERROR(_xll.BDP(TICKER,"DEEP_MEASURE_PERIOD_BROKER_VALUE","DEEP_MEASURE_ID_OVERRIDE",$C54,"DEEP_BROKER_ID_OVERRIDE",AK$24,"DEEP_PERIOD_OVERRIDE",$H$19)*1,"")))</f>
        <v/>
      </c>
      <c r="AL54" s="17" t="str">
        <f>IF(OR(AL$23="",ISNA($B54)),"",IF(ISBLANK($B54),"",IFERROR(_xll.BDP(TICKER,"DEEP_MEASURE_PERIOD_BROKER_VALUE","DEEP_MEASURE_ID_OVERRIDE",$C54,"DEEP_BROKER_ID_OVERRIDE",AL$24,"DEEP_PERIOD_OVERRIDE",$H$19)*1,"")))</f>
        <v/>
      </c>
      <c r="AM54" s="17" t="str">
        <f>IF(OR(AM$23="",ISNA($B54)),"",IF(ISBLANK($B54),"",IFERROR(_xll.BDP(TICKER,"DEEP_MEASURE_PERIOD_BROKER_VALUE","DEEP_MEASURE_ID_OVERRIDE",$C54,"DEEP_BROKER_ID_OVERRIDE",AM$24,"DEEP_PERIOD_OVERRIDE",$H$19)*1,"")))</f>
        <v/>
      </c>
      <c r="AN54" s="17" t="str">
        <f>IF(OR(AN$23="",ISNA($B54)),"",IF(ISBLANK($B54),"",IFERROR(_xll.BDP(TICKER,"DEEP_MEASURE_PERIOD_BROKER_VALUE","DEEP_MEASURE_ID_OVERRIDE",$C54,"DEEP_BROKER_ID_OVERRIDE",AN$24,"DEEP_PERIOD_OVERRIDE",$H$19)*1,"")))</f>
        <v/>
      </c>
      <c r="AO54" s="17" t="str">
        <f>IF(OR(AO$23="",ISNA($B54)),"",IF(ISBLANK($B54),"",IFERROR(_xll.BDP(TICKER,"DEEP_MEASURE_PERIOD_BROKER_VALUE","DEEP_MEASURE_ID_OVERRIDE",$C54,"DEEP_BROKER_ID_OVERRIDE",AO$24,"DEEP_PERIOD_OVERRIDE",$H$19)*1,"")))</f>
        <v/>
      </c>
      <c r="AP54" s="17" t="str">
        <f>IF(OR(AP$23="",ISNA($B54)),"",IF(ISBLANK($B54),"",IFERROR(_xll.BDP(TICKER,"DEEP_MEASURE_PERIOD_BROKER_VALUE","DEEP_MEASURE_ID_OVERRIDE",$C54,"DEEP_BROKER_ID_OVERRIDE",AP$24,"DEEP_PERIOD_OVERRIDE",$H$19)*1,"")))</f>
        <v/>
      </c>
      <c r="AQ54" s="17" t="str">
        <f>IF(OR(AQ$23="",ISNA($B54)),"",IF(ISBLANK($B54),"",IFERROR(_xll.BDP(TICKER,"DEEP_MEASURE_PERIOD_BROKER_VALUE","DEEP_MEASURE_ID_OVERRIDE",$C54,"DEEP_BROKER_ID_OVERRIDE",AQ$24,"DEEP_PERIOD_OVERRIDE",$H$19)*1,"")))</f>
        <v/>
      </c>
      <c r="AR54" s="17" t="str">
        <f>IF(OR(AR$23="",ISNA($B54)),"",IF(ISBLANK($B54),"",IFERROR(_xll.BDP(TICKER,"DEEP_MEASURE_PERIOD_BROKER_VALUE","DEEP_MEASURE_ID_OVERRIDE",$C54,"DEEP_BROKER_ID_OVERRIDE",AR$24,"DEEP_PERIOD_OVERRIDE",$H$19)*1,"")))</f>
        <v/>
      </c>
      <c r="AS54" s="17" t="str">
        <f>IF(OR(AS$23="",ISNA($B54)),"",IF(ISBLANK($B54),"",IFERROR(_xll.BDP(TICKER,"DEEP_MEASURE_PERIOD_BROKER_VALUE","DEEP_MEASURE_ID_OVERRIDE",$C54,"DEEP_BROKER_ID_OVERRIDE",AS$24,"DEEP_PERIOD_OVERRIDE",$H$19)*1,"")))</f>
        <v/>
      </c>
      <c r="AT54" s="17" t="str">
        <f>IF(OR(AT$23="",ISNA($B54)),"",IF(ISBLANK($B54),"",IFERROR(_xll.BDP(TICKER,"DEEP_MEASURE_PERIOD_BROKER_VALUE","DEEP_MEASURE_ID_OVERRIDE",$C54,"DEEP_BROKER_ID_OVERRIDE",AT$24,"DEEP_PERIOD_OVERRIDE",$H$19)*1,"")))</f>
        <v/>
      </c>
      <c r="AU54" s="17" t="str">
        <f>IF(OR(AU$23="",ISNA($B54)),"",IF(ISBLANK($B54),"",IFERROR(_xll.BDP(TICKER,"DEEP_MEASURE_PERIOD_BROKER_VALUE","DEEP_MEASURE_ID_OVERRIDE",$C54,"DEEP_BROKER_ID_OVERRIDE",AU$24,"DEEP_PERIOD_OVERRIDE",$H$19)*1,"")))</f>
        <v/>
      </c>
      <c r="AV54" s="17" t="str">
        <f>IF(OR(AV$23="",ISNA($B54)),"",IF(ISBLANK($B54),"",IFERROR(_xll.BDP(TICKER,"DEEP_MEASURE_PERIOD_BROKER_VALUE","DEEP_MEASURE_ID_OVERRIDE",$C54,"DEEP_BROKER_ID_OVERRIDE",AV$24,"DEEP_PERIOD_OVERRIDE",$H$19)*1,"")))</f>
        <v/>
      </c>
      <c r="AW54" s="17" t="str">
        <f>IF(OR(AW$23="",ISNA($B54)),"",IF(ISBLANK($B54),"",IFERROR(_xll.BDP(TICKER,"DEEP_MEASURE_PERIOD_BROKER_VALUE","DEEP_MEASURE_ID_OVERRIDE",$C54,"DEEP_BROKER_ID_OVERRIDE",AW$24,"DEEP_PERIOD_OVERRIDE",$H$19)*1,"")))</f>
        <v/>
      </c>
      <c r="AX54" s="17" t="str">
        <f>IF(OR(AX$23="",ISNA($B54)),"",IF(ISBLANK($B54),"",IFERROR(_xll.BDP(TICKER,"DEEP_MEASURE_PERIOD_BROKER_VALUE","DEEP_MEASURE_ID_OVERRIDE",$C54,"DEEP_BROKER_ID_OVERRIDE",AX$24,"DEEP_PERIOD_OVERRIDE",$H$19)*1,"")))</f>
        <v/>
      </c>
      <c r="AY54" s="17" t="str">
        <f>IF(OR(AY$23="",ISNA($B54)),"",IF(ISBLANK($B54),"",IFERROR(_xll.BDP(TICKER,"DEEP_MEASURE_PERIOD_BROKER_VALUE","DEEP_MEASURE_ID_OVERRIDE",$C54,"DEEP_BROKER_ID_OVERRIDE",AY$24,"DEEP_PERIOD_OVERRIDE",$H$19)*1,"")))</f>
        <v/>
      </c>
      <c r="AZ54" s="17" t="str">
        <f>IF(OR(AZ$23="",ISNA($B54)),"",IF(ISBLANK($B54),"",IFERROR(_xll.BDP(TICKER,"DEEP_MEASURE_PERIOD_BROKER_VALUE","DEEP_MEASURE_ID_OVERRIDE",$C54,"DEEP_BROKER_ID_OVERRIDE",AZ$24,"DEEP_PERIOD_OVERRIDE",$H$19)*1,"")))</f>
        <v/>
      </c>
      <c r="BA54" s="17" t="str">
        <f>IF(OR(BA$23="",ISNA($B54)),"",IF(ISBLANK($B54),"",IFERROR(_xll.BDP(TICKER,"DEEP_MEASURE_PERIOD_BROKER_VALUE","DEEP_MEASURE_ID_OVERRIDE",$C54,"DEEP_BROKER_ID_OVERRIDE",BA$24,"DEEP_PERIOD_OVERRIDE",$H$19)*1,"")))</f>
        <v/>
      </c>
      <c r="BB54" s="17" t="str">
        <f>IF(OR(BB$23="",ISNA($B54)),"",IF(ISBLANK($B54),"",IFERROR(_xll.BDP(TICKER,"DEEP_MEASURE_PERIOD_BROKER_VALUE","DEEP_MEASURE_ID_OVERRIDE",$C54,"DEEP_BROKER_ID_OVERRIDE",BB$24,"DEEP_PERIOD_OVERRIDE",$H$19)*1,"")))</f>
        <v/>
      </c>
      <c r="BC54" s="17" t="str">
        <f>IF(OR(BC$23="",ISNA($B54)),"",IF(ISBLANK($B54),"",IFERROR(_xll.BDP(TICKER,"DEEP_MEASURE_PERIOD_BROKER_VALUE","DEEP_MEASURE_ID_OVERRIDE",$C54,"DEEP_BROKER_ID_OVERRIDE",BC$24,"DEEP_PERIOD_OVERRIDE",$H$19)*1,"")))</f>
        <v/>
      </c>
      <c r="BD54" s="17" t="str">
        <f>IF(OR(BD$23="",ISNA($B54)),"",IF(ISBLANK($B54),"",IFERROR(_xll.BDP(TICKER,"DEEP_MEASURE_PERIOD_BROKER_VALUE","DEEP_MEASURE_ID_OVERRIDE",$C54,"DEEP_BROKER_ID_OVERRIDE",BD$24,"DEEP_PERIOD_OVERRIDE",$H$19)*1,"")))</f>
        <v/>
      </c>
      <c r="BE54" s="17" t="str">
        <f>IF(OR(BE$23="",ISNA($B54)),"",IF(ISBLANK($B54),"",IFERROR(_xll.BDP(TICKER,"DEEP_MEASURE_PERIOD_BROKER_VALUE","DEEP_MEASURE_ID_OVERRIDE",$C54,"DEEP_BROKER_ID_OVERRIDE",BE$24,"DEEP_PERIOD_OVERRIDE",$H$19)*1,"")))</f>
        <v/>
      </c>
      <c r="BF54" s="17" t="str">
        <f>IF(OR(BF$23="",ISNA($B54)),"",IF(ISBLANK($B54),"",IFERROR(_xll.BDP(TICKER,"DEEP_MEASURE_PERIOD_BROKER_VALUE","DEEP_MEASURE_ID_OVERRIDE",$C54,"DEEP_BROKER_ID_OVERRIDE",BF$24,"DEEP_PERIOD_OVERRIDE",$H$19)*1,"")))</f>
        <v/>
      </c>
      <c r="BG54" s="17" t="str">
        <f>IF(OR(BG$23="",ISNA($B54)),"",IF(ISBLANK($B54),"",IFERROR(_xll.BDP(TICKER,"DEEP_MEASURE_PERIOD_BROKER_VALUE","DEEP_MEASURE_ID_OVERRIDE",$C54,"DEEP_BROKER_ID_OVERRIDE",BG$24,"DEEP_PERIOD_OVERRIDE",$H$19)*1,"")))</f>
        <v/>
      </c>
      <c r="BH54" s="17" t="str">
        <f>IF(OR(BH$23="",ISNA($B54)),"",IF(ISBLANK($B54),"",IFERROR(_xll.BDP(TICKER,"DEEP_MEASURE_PERIOD_BROKER_VALUE","DEEP_MEASURE_ID_OVERRIDE",$C54,"DEEP_BROKER_ID_OVERRIDE",BH$24,"DEEP_PERIOD_OVERRIDE",$H$19)*1,"")))</f>
        <v/>
      </c>
      <c r="BI54" s="17" t="str">
        <f>IF(OR(BI$23="",ISNA($B54)),"",IF(ISBLANK($B54),"",IFERROR(_xll.BDP(TICKER,"DEEP_MEASURE_PERIOD_BROKER_VALUE","DEEP_MEASURE_ID_OVERRIDE",$C54,"DEEP_BROKER_ID_OVERRIDE",BI$24,"DEEP_PERIOD_OVERRIDE",$H$19)*1,"")))</f>
        <v/>
      </c>
      <c r="BJ54" s="17" t="str">
        <f>IF(OR(BJ$23="",ISNA($B54)),"",IF(ISBLANK($B54),"",IFERROR(_xll.BDP(TICKER,"DEEP_MEASURE_PERIOD_BROKER_VALUE","DEEP_MEASURE_ID_OVERRIDE",$C54,"DEEP_BROKER_ID_OVERRIDE",BJ$24,"DEEP_PERIOD_OVERRIDE",$H$19)*1,"")))</f>
        <v/>
      </c>
      <c r="BK54" s="17" t="str">
        <f>IF(OR(BK$23="",ISNA($B54)),"",IF(ISBLANK($B54),"",IFERROR(_xll.BDP(TICKER,"DEEP_MEASURE_PERIOD_BROKER_VALUE","DEEP_MEASURE_ID_OVERRIDE",$C54,"DEEP_BROKER_ID_OVERRIDE",BK$24,"DEEP_PERIOD_OVERRIDE",$H$19)*1,"")))</f>
        <v/>
      </c>
      <c r="BL54" s="17" t="str">
        <f>IF(OR(BL$23="",ISNA($B54)),"",IF(ISBLANK($B54),"",IFERROR(_xll.BDP(TICKER,"DEEP_MEASURE_PERIOD_BROKER_VALUE","DEEP_MEASURE_ID_OVERRIDE",$C54,"DEEP_BROKER_ID_OVERRIDE",BL$24,"DEEP_PERIOD_OVERRIDE",$H$19)*1,"")))</f>
        <v/>
      </c>
      <c r="BM54" s="17" t="str">
        <f>IF(OR(BM$23="",ISNA($B54)),"",IF(ISBLANK($B54),"",IFERROR(_xll.BDP(TICKER,"DEEP_MEASURE_PERIOD_BROKER_VALUE","DEEP_MEASURE_ID_OVERRIDE",$C54,"DEEP_BROKER_ID_OVERRIDE",BM$24,"DEEP_PERIOD_OVERRIDE",$H$19)*1,"")))</f>
        <v/>
      </c>
      <c r="BN54" s="17" t="str">
        <f>IF(OR(BN$23="",ISNA($B54)),"",IF(ISBLANK($B54),"",IFERROR(_xll.BDP(TICKER,"DEEP_MEASURE_PERIOD_BROKER_VALUE","DEEP_MEASURE_ID_OVERRIDE",$C54,"DEEP_BROKER_ID_OVERRIDE",BN$24,"DEEP_PERIOD_OVERRIDE",$H$19)*1,"")))</f>
        <v/>
      </c>
      <c r="BO54" s="17" t="str">
        <f>IF(OR(BO$23="",ISNA($B54)),"",IF(ISBLANK($B54),"",IFERROR(_xll.BDP(TICKER,"DEEP_MEASURE_PERIOD_BROKER_VALUE","DEEP_MEASURE_ID_OVERRIDE",$C54,"DEEP_BROKER_ID_OVERRIDE",BO$24,"DEEP_PERIOD_OVERRIDE",$H$19)*1,"")))</f>
        <v/>
      </c>
      <c r="BP54" s="17" t="str">
        <f>IF(OR(BP$23="",ISNA($B54)),"",IF(ISBLANK($B54),"",IFERROR(_xll.BDP(TICKER,"DEEP_MEASURE_PERIOD_BROKER_VALUE","DEEP_MEASURE_ID_OVERRIDE",$C54,"DEEP_BROKER_ID_OVERRIDE",BP$24,"DEEP_PERIOD_OVERRIDE",$H$19)*1,"")))</f>
        <v/>
      </c>
      <c r="BQ54" s="17" t="str">
        <f>IF(OR(BQ$23="",ISNA($B54)),"",IF(ISBLANK($B54),"",IFERROR(_xll.BDP(TICKER,"DEEP_MEASURE_PERIOD_BROKER_VALUE","DEEP_MEASURE_ID_OVERRIDE",$C54,"DEEP_BROKER_ID_OVERRIDE",BQ$24,"DEEP_PERIOD_OVERRIDE",$H$19)*1,"")))</f>
        <v/>
      </c>
      <c r="BR54" s="17" t="str">
        <f>IF(OR(BR$23="",ISNA($B54)),"",IF(ISBLANK($B54),"",IFERROR(_xll.BDP(TICKER,"DEEP_MEASURE_PERIOD_BROKER_VALUE","DEEP_MEASURE_ID_OVERRIDE",$C54,"DEEP_BROKER_ID_OVERRIDE",BR$24,"DEEP_PERIOD_OVERRIDE",$H$19)*1,"")))</f>
        <v/>
      </c>
      <c r="BS54" s="17" t="str">
        <f>IF(OR(BS$23="",ISNA($B54)),"",IF(ISBLANK($B54),"",IFERROR(_xll.BDP(TICKER,"DEEP_MEASURE_PERIOD_BROKER_VALUE","DEEP_MEASURE_ID_OVERRIDE",$C54,"DEEP_BROKER_ID_OVERRIDE",BS$24,"DEEP_PERIOD_OVERRIDE",$H$19)*1,"")))</f>
        <v/>
      </c>
      <c r="BT54" s="17" t="str">
        <f>IF(OR(BT$23="",ISNA($B54)),"",IF(ISBLANK($B54),"",IFERROR(_xll.BDP(TICKER,"DEEP_MEASURE_PERIOD_BROKER_VALUE","DEEP_MEASURE_ID_OVERRIDE",$C54,"DEEP_BROKER_ID_OVERRIDE",BT$24,"DEEP_PERIOD_OVERRIDE",$H$19)*1,"")))</f>
        <v/>
      </c>
      <c r="BU54" s="17" t="str">
        <f>IF(OR(BU$23="",ISNA($B54)),"",IF(ISBLANK($B54),"",IFERROR(_xll.BDP(TICKER,"DEEP_MEASURE_PERIOD_BROKER_VALUE","DEEP_MEASURE_ID_OVERRIDE",$C54,"DEEP_BROKER_ID_OVERRIDE",BU$24,"DEEP_PERIOD_OVERRIDE",$H$19)*1,"")))</f>
        <v/>
      </c>
      <c r="BV54" s="17" t="str">
        <f>IF(OR(BV$23="",ISNA($B54)),"",IF(ISBLANK($B54),"",IFERROR(_xll.BDP(TICKER,"DEEP_MEASURE_PERIOD_BROKER_VALUE","DEEP_MEASURE_ID_OVERRIDE",$C54,"DEEP_BROKER_ID_OVERRIDE",BV$24,"DEEP_PERIOD_OVERRIDE",$H$19)*1,"")))</f>
        <v/>
      </c>
      <c r="BW54" s="17" t="str">
        <f>IF(OR(BW$23="",ISNA($B54)),"",IF(ISBLANK($B54),"",IFERROR(_xll.BDP(TICKER,"DEEP_MEASURE_PERIOD_BROKER_VALUE","DEEP_MEASURE_ID_OVERRIDE",$C54,"DEEP_BROKER_ID_OVERRIDE",BW$24,"DEEP_PERIOD_OVERRIDE",$H$19)*1,"")))</f>
        <v/>
      </c>
      <c r="BX54" s="17" t="str">
        <f>IF(OR(BX$23="",ISNA($B54)),"",IF(ISBLANK($B54),"",IFERROR(_xll.BDP(TICKER,"DEEP_MEASURE_PERIOD_BROKER_VALUE","DEEP_MEASURE_ID_OVERRIDE",$C54,"DEEP_BROKER_ID_OVERRIDE",BX$24,"DEEP_PERIOD_OVERRIDE",$H$19)*1,"")))</f>
        <v/>
      </c>
      <c r="BY54" s="17" t="str">
        <f>IF(OR(BY$23="",ISNA($B54)),"",IF(ISBLANK($B54),"",IFERROR(_xll.BDP(TICKER,"DEEP_MEASURE_PERIOD_BROKER_VALUE","DEEP_MEASURE_ID_OVERRIDE",$C54,"DEEP_BROKER_ID_OVERRIDE",BY$24,"DEEP_PERIOD_OVERRIDE",$H$19)*1,"")))</f>
        <v/>
      </c>
      <c r="BZ54" s="17" t="str">
        <f>IF(OR(BZ$23="",ISNA($B54)),"",IF(ISBLANK($B54),"",IFERROR(_xll.BDP(TICKER,"DEEP_MEASURE_PERIOD_BROKER_VALUE","DEEP_MEASURE_ID_OVERRIDE",$C54,"DEEP_BROKER_ID_OVERRIDE",BZ$24,"DEEP_PERIOD_OVERRIDE",$H$19)*1,"")))</f>
        <v/>
      </c>
    </row>
    <row r="55" spans="2:78" x14ac:dyDescent="0.25">
      <c r="B55" t="s">
        <v>12</v>
      </c>
      <c r="C55" s="11">
        <v>527</v>
      </c>
      <c r="H55" t="str">
        <f t="shared" si="1"/>
        <v>Total Revenue</v>
      </c>
      <c r="I55" t="str">
        <f>IF(OR(I$23="",ISNA($B55)),"",IF(ISBLANK($B55),"",IFERROR(_xll.BDP(TICKER,"DEEP_MEASURE_PERIOD_BROKER_VALUE","DEEP_MEASURE_ID_OVERRIDE",$C55,"DEEP_PERIOD_OVERRIDE",$H$19)*1,"")))</f>
        <v/>
      </c>
      <c r="J55" t="e">
        <f>IF(OR(J$23="",ISNA($B55)),"",IF(ISBLANK($B55),"",IFERROR(_xll.BDP(TICKER,"DEEP_MEASURE_PERIOD_BROKER_VALUE","DEEP_MEASURE_ID_OVERRIDE",$C55,"DEEP_BROKER_ID_OVERRIDE",J$24,"DEEP_PERIOD_OVERRIDE",$H$19)*1,"")))</f>
        <v>#REF!</v>
      </c>
      <c r="K55" s="17" t="str">
        <f>IF(OR(K$23="",ISNA($B55)),"",IF(ISBLANK($B55),"",IFERROR(_xll.BDP(TICKER,"DEEP_MEASURE_PERIOD_BROKER_VALUE","DEEP_MEASURE_ID_OVERRIDE",$C55,"DEEP_BROKER_ID_OVERRIDE",K$24,"DEEP_PERIOD_OVERRIDE",$H$19)*1,"")))</f>
        <v/>
      </c>
      <c r="L55" s="17" t="str">
        <f>IF(OR(L$23="",ISNA($B55)),"",IF(ISBLANK($B55),"",IFERROR(_xll.BDP(TICKER,"DEEP_MEASURE_PERIOD_BROKER_VALUE","DEEP_MEASURE_ID_OVERRIDE",$C55,"DEEP_BROKER_ID_OVERRIDE",L$24,"DEEP_PERIOD_OVERRIDE",$H$19)*1,"")))</f>
        <v/>
      </c>
      <c r="M55" s="17" t="str">
        <f>IF(OR(M$23="",ISNA($B55)),"",IF(ISBLANK($B55),"",IFERROR(_xll.BDP(TICKER,"DEEP_MEASURE_PERIOD_BROKER_VALUE","DEEP_MEASURE_ID_OVERRIDE",$C55,"DEEP_BROKER_ID_OVERRIDE",M$24,"DEEP_PERIOD_OVERRIDE",$H$19)*1,"")))</f>
        <v/>
      </c>
      <c r="N55" s="17" t="str">
        <f>IF(OR(N$23="",ISNA($B55)),"",IF(ISBLANK($B55),"",IFERROR(_xll.BDP(TICKER,"DEEP_MEASURE_PERIOD_BROKER_VALUE","DEEP_MEASURE_ID_OVERRIDE",$C55,"DEEP_BROKER_ID_OVERRIDE",N$24,"DEEP_PERIOD_OVERRIDE",$H$19)*1,"")))</f>
        <v/>
      </c>
      <c r="O55" s="17" t="str">
        <f>IF(OR(O$23="",ISNA($B55)),"",IF(ISBLANK($B55),"",IFERROR(_xll.BDP(TICKER,"DEEP_MEASURE_PERIOD_BROKER_VALUE","DEEP_MEASURE_ID_OVERRIDE",$C55,"DEEP_BROKER_ID_OVERRIDE",O$24,"DEEP_PERIOD_OVERRIDE",$H$19)*1,"")))</f>
        <v/>
      </c>
      <c r="P55" s="17" t="str">
        <f>IF(OR(P$23="",ISNA($B55)),"",IF(ISBLANK($B55),"",IFERROR(_xll.BDP(TICKER,"DEEP_MEASURE_PERIOD_BROKER_VALUE","DEEP_MEASURE_ID_OVERRIDE",$C55,"DEEP_BROKER_ID_OVERRIDE",P$24,"DEEP_PERIOD_OVERRIDE",$H$19)*1,"")))</f>
        <v/>
      </c>
      <c r="Q55" s="17" t="str">
        <f>IF(OR(Q$23="",ISNA($B55)),"",IF(ISBLANK($B55),"",IFERROR(_xll.BDP(TICKER,"DEEP_MEASURE_PERIOD_BROKER_VALUE","DEEP_MEASURE_ID_OVERRIDE",$C55,"DEEP_BROKER_ID_OVERRIDE",Q$24,"DEEP_PERIOD_OVERRIDE",$H$19)*1,"")))</f>
        <v/>
      </c>
      <c r="R55" s="17" t="str">
        <f>IF(OR(R$23="",ISNA($B55)),"",IF(ISBLANK($B55),"",IFERROR(_xll.BDP(TICKER,"DEEP_MEASURE_PERIOD_BROKER_VALUE","DEEP_MEASURE_ID_OVERRIDE",$C55,"DEEP_BROKER_ID_OVERRIDE",R$24,"DEEP_PERIOD_OVERRIDE",$H$19)*1,"")))</f>
        <v/>
      </c>
      <c r="S55" s="17" t="str">
        <f>IF(OR(S$23="",ISNA($B55)),"",IF(ISBLANK($B55),"",IFERROR(_xll.BDP(TICKER,"DEEP_MEASURE_PERIOD_BROKER_VALUE","DEEP_MEASURE_ID_OVERRIDE",$C55,"DEEP_BROKER_ID_OVERRIDE",S$24,"DEEP_PERIOD_OVERRIDE",$H$19)*1,"")))</f>
        <v/>
      </c>
      <c r="T55" s="17" t="str">
        <f>IF(OR(T$23="",ISNA($B55)),"",IF(ISBLANK($B55),"",IFERROR(_xll.BDP(TICKER,"DEEP_MEASURE_PERIOD_BROKER_VALUE","DEEP_MEASURE_ID_OVERRIDE",$C55,"DEEP_BROKER_ID_OVERRIDE",T$24,"DEEP_PERIOD_OVERRIDE",$H$19)*1,"")))</f>
        <v/>
      </c>
      <c r="U55" s="17" t="str">
        <f>IF(OR(U$23="",ISNA($B55)),"",IF(ISBLANK($B55),"",IFERROR(_xll.BDP(TICKER,"DEEP_MEASURE_PERIOD_BROKER_VALUE","DEEP_MEASURE_ID_OVERRIDE",$C55,"DEEP_BROKER_ID_OVERRIDE",U$24,"DEEP_PERIOD_OVERRIDE",$H$19)*1,"")))</f>
        <v/>
      </c>
      <c r="V55" s="17" t="str">
        <f>IF(OR(V$23="",ISNA($B55)),"",IF(ISBLANK($B55),"",IFERROR(_xll.BDP(TICKER,"DEEP_MEASURE_PERIOD_BROKER_VALUE","DEEP_MEASURE_ID_OVERRIDE",$C55,"DEEP_BROKER_ID_OVERRIDE",V$24,"DEEP_PERIOD_OVERRIDE",$H$19)*1,"")))</f>
        <v/>
      </c>
      <c r="W55" s="17" t="str">
        <f>IF(OR(W$23="",ISNA($B55)),"",IF(ISBLANK($B55),"",IFERROR(_xll.BDP(TICKER,"DEEP_MEASURE_PERIOD_BROKER_VALUE","DEEP_MEASURE_ID_OVERRIDE",$C55,"DEEP_BROKER_ID_OVERRIDE",W$24,"DEEP_PERIOD_OVERRIDE",$H$19)*1,"")))</f>
        <v/>
      </c>
      <c r="X55" s="17" t="str">
        <f>IF(OR(X$23="",ISNA($B55)),"",IF(ISBLANK($B55),"",IFERROR(_xll.BDP(TICKER,"DEEP_MEASURE_PERIOD_BROKER_VALUE","DEEP_MEASURE_ID_OVERRIDE",$C55,"DEEP_BROKER_ID_OVERRIDE",X$24,"DEEP_PERIOD_OVERRIDE",$H$19)*1,"")))</f>
        <v/>
      </c>
      <c r="Y55" s="17" t="str">
        <f>IF(OR(Y$23="",ISNA($B55)),"",IF(ISBLANK($B55),"",IFERROR(_xll.BDP(TICKER,"DEEP_MEASURE_PERIOD_BROKER_VALUE","DEEP_MEASURE_ID_OVERRIDE",$C55,"DEEP_BROKER_ID_OVERRIDE",Y$24,"DEEP_PERIOD_OVERRIDE",$H$19)*1,"")))</f>
        <v/>
      </c>
      <c r="Z55" s="17" t="str">
        <f>IF(OR(Z$23="",ISNA($B55)),"",IF(ISBLANK($B55),"",IFERROR(_xll.BDP(TICKER,"DEEP_MEASURE_PERIOD_BROKER_VALUE","DEEP_MEASURE_ID_OVERRIDE",$C55,"DEEP_BROKER_ID_OVERRIDE",Z$24,"DEEP_PERIOD_OVERRIDE",$H$19)*1,"")))</f>
        <v/>
      </c>
      <c r="AA55" s="17" t="str">
        <f>IF(OR(AA$23="",ISNA($B55)),"",IF(ISBLANK($B55),"",IFERROR(_xll.BDP(TICKER,"DEEP_MEASURE_PERIOD_BROKER_VALUE","DEEP_MEASURE_ID_OVERRIDE",$C55,"DEEP_BROKER_ID_OVERRIDE",AA$24,"DEEP_PERIOD_OVERRIDE",$H$19)*1,"")))</f>
        <v/>
      </c>
      <c r="AB55" s="17" t="str">
        <f>IF(OR(AB$23="",ISNA($B55)),"",IF(ISBLANK($B55),"",IFERROR(_xll.BDP(TICKER,"DEEP_MEASURE_PERIOD_BROKER_VALUE","DEEP_MEASURE_ID_OVERRIDE",$C55,"DEEP_BROKER_ID_OVERRIDE",AB$24,"DEEP_PERIOD_OVERRIDE",$H$19)*1,"")))</f>
        <v/>
      </c>
      <c r="AC55" s="17" t="str">
        <f>IF(OR(AC$23="",ISNA($B55)),"",IF(ISBLANK($B55),"",IFERROR(_xll.BDP(TICKER,"DEEP_MEASURE_PERIOD_BROKER_VALUE","DEEP_MEASURE_ID_OVERRIDE",$C55,"DEEP_BROKER_ID_OVERRIDE",AC$24,"DEEP_PERIOD_OVERRIDE",$H$19)*1,"")))</f>
        <v/>
      </c>
      <c r="AD55" s="17" t="str">
        <f>IF(OR(AD$23="",ISNA($B55)),"",IF(ISBLANK($B55),"",IFERROR(_xll.BDP(TICKER,"DEEP_MEASURE_PERIOD_BROKER_VALUE","DEEP_MEASURE_ID_OVERRIDE",$C55,"DEEP_BROKER_ID_OVERRIDE",AD$24,"DEEP_PERIOD_OVERRIDE",$H$19)*1,"")))</f>
        <v/>
      </c>
      <c r="AE55" s="17" t="str">
        <f>IF(OR(AE$23="",ISNA($B55)),"",IF(ISBLANK($B55),"",IFERROR(_xll.BDP(TICKER,"DEEP_MEASURE_PERIOD_BROKER_VALUE","DEEP_MEASURE_ID_OVERRIDE",$C55,"DEEP_BROKER_ID_OVERRIDE",AE$24,"DEEP_PERIOD_OVERRIDE",$H$19)*1,"")))</f>
        <v/>
      </c>
      <c r="AF55" s="17" t="str">
        <f>IF(OR(AF$23="",ISNA($B55)),"",IF(ISBLANK($B55),"",IFERROR(_xll.BDP(TICKER,"DEEP_MEASURE_PERIOD_BROKER_VALUE","DEEP_MEASURE_ID_OVERRIDE",$C55,"DEEP_BROKER_ID_OVERRIDE",AF$24,"DEEP_PERIOD_OVERRIDE",$H$19)*1,"")))</f>
        <v/>
      </c>
      <c r="AG55" s="17" t="str">
        <f>IF(OR(AG$23="",ISNA($B55)),"",IF(ISBLANK($B55),"",IFERROR(_xll.BDP(TICKER,"DEEP_MEASURE_PERIOD_BROKER_VALUE","DEEP_MEASURE_ID_OVERRIDE",$C55,"DEEP_BROKER_ID_OVERRIDE",AG$24,"DEEP_PERIOD_OVERRIDE",$H$19)*1,"")))</f>
        <v/>
      </c>
      <c r="AH55" s="17" t="str">
        <f>IF(OR(AH$23="",ISNA($B55)),"",IF(ISBLANK($B55),"",IFERROR(_xll.BDP(TICKER,"DEEP_MEASURE_PERIOD_BROKER_VALUE","DEEP_MEASURE_ID_OVERRIDE",$C55,"DEEP_BROKER_ID_OVERRIDE",AH$24,"DEEP_PERIOD_OVERRIDE",$H$19)*1,"")))</f>
        <v/>
      </c>
      <c r="AI55" s="17" t="str">
        <f>IF(OR(AI$23="",ISNA($B55)),"",IF(ISBLANK($B55),"",IFERROR(_xll.BDP(TICKER,"DEEP_MEASURE_PERIOD_BROKER_VALUE","DEEP_MEASURE_ID_OVERRIDE",$C55,"DEEP_BROKER_ID_OVERRIDE",AI$24,"DEEP_PERIOD_OVERRIDE",$H$19)*1,"")))</f>
        <v/>
      </c>
      <c r="AJ55" s="17" t="str">
        <f>IF(OR(AJ$23="",ISNA($B55)),"",IF(ISBLANK($B55),"",IFERROR(_xll.BDP(TICKER,"DEEP_MEASURE_PERIOD_BROKER_VALUE","DEEP_MEASURE_ID_OVERRIDE",$C55,"DEEP_BROKER_ID_OVERRIDE",AJ$24,"DEEP_PERIOD_OVERRIDE",$H$19)*1,"")))</f>
        <v/>
      </c>
      <c r="AK55" s="17" t="str">
        <f>IF(OR(AK$23="",ISNA($B55)),"",IF(ISBLANK($B55),"",IFERROR(_xll.BDP(TICKER,"DEEP_MEASURE_PERIOD_BROKER_VALUE","DEEP_MEASURE_ID_OVERRIDE",$C55,"DEEP_BROKER_ID_OVERRIDE",AK$24,"DEEP_PERIOD_OVERRIDE",$H$19)*1,"")))</f>
        <v/>
      </c>
      <c r="AL55" s="17" t="str">
        <f>IF(OR(AL$23="",ISNA($B55)),"",IF(ISBLANK($B55),"",IFERROR(_xll.BDP(TICKER,"DEEP_MEASURE_PERIOD_BROKER_VALUE","DEEP_MEASURE_ID_OVERRIDE",$C55,"DEEP_BROKER_ID_OVERRIDE",AL$24,"DEEP_PERIOD_OVERRIDE",$H$19)*1,"")))</f>
        <v/>
      </c>
      <c r="AM55" s="17" t="str">
        <f>IF(OR(AM$23="",ISNA($B55)),"",IF(ISBLANK($B55),"",IFERROR(_xll.BDP(TICKER,"DEEP_MEASURE_PERIOD_BROKER_VALUE","DEEP_MEASURE_ID_OVERRIDE",$C55,"DEEP_BROKER_ID_OVERRIDE",AM$24,"DEEP_PERIOD_OVERRIDE",$H$19)*1,"")))</f>
        <v/>
      </c>
      <c r="AN55" s="17" t="str">
        <f>IF(OR(AN$23="",ISNA($B55)),"",IF(ISBLANK($B55),"",IFERROR(_xll.BDP(TICKER,"DEEP_MEASURE_PERIOD_BROKER_VALUE","DEEP_MEASURE_ID_OVERRIDE",$C55,"DEEP_BROKER_ID_OVERRIDE",AN$24,"DEEP_PERIOD_OVERRIDE",$H$19)*1,"")))</f>
        <v/>
      </c>
      <c r="AO55" s="17" t="str">
        <f>IF(OR(AO$23="",ISNA($B55)),"",IF(ISBLANK($B55),"",IFERROR(_xll.BDP(TICKER,"DEEP_MEASURE_PERIOD_BROKER_VALUE","DEEP_MEASURE_ID_OVERRIDE",$C55,"DEEP_BROKER_ID_OVERRIDE",AO$24,"DEEP_PERIOD_OVERRIDE",$H$19)*1,"")))</f>
        <v/>
      </c>
      <c r="AP55" s="17" t="str">
        <f>IF(OR(AP$23="",ISNA($B55)),"",IF(ISBLANK($B55),"",IFERROR(_xll.BDP(TICKER,"DEEP_MEASURE_PERIOD_BROKER_VALUE","DEEP_MEASURE_ID_OVERRIDE",$C55,"DEEP_BROKER_ID_OVERRIDE",AP$24,"DEEP_PERIOD_OVERRIDE",$H$19)*1,"")))</f>
        <v/>
      </c>
      <c r="AQ55" s="17" t="str">
        <f>IF(OR(AQ$23="",ISNA($B55)),"",IF(ISBLANK($B55),"",IFERROR(_xll.BDP(TICKER,"DEEP_MEASURE_PERIOD_BROKER_VALUE","DEEP_MEASURE_ID_OVERRIDE",$C55,"DEEP_BROKER_ID_OVERRIDE",AQ$24,"DEEP_PERIOD_OVERRIDE",$H$19)*1,"")))</f>
        <v/>
      </c>
      <c r="AR55" s="17" t="str">
        <f>IF(OR(AR$23="",ISNA($B55)),"",IF(ISBLANK($B55),"",IFERROR(_xll.BDP(TICKER,"DEEP_MEASURE_PERIOD_BROKER_VALUE","DEEP_MEASURE_ID_OVERRIDE",$C55,"DEEP_BROKER_ID_OVERRIDE",AR$24,"DEEP_PERIOD_OVERRIDE",$H$19)*1,"")))</f>
        <v/>
      </c>
      <c r="AS55" s="17" t="str">
        <f>IF(OR(AS$23="",ISNA($B55)),"",IF(ISBLANK($B55),"",IFERROR(_xll.BDP(TICKER,"DEEP_MEASURE_PERIOD_BROKER_VALUE","DEEP_MEASURE_ID_OVERRIDE",$C55,"DEEP_BROKER_ID_OVERRIDE",AS$24,"DEEP_PERIOD_OVERRIDE",$H$19)*1,"")))</f>
        <v/>
      </c>
      <c r="AT55" s="17" t="str">
        <f>IF(OR(AT$23="",ISNA($B55)),"",IF(ISBLANK($B55),"",IFERROR(_xll.BDP(TICKER,"DEEP_MEASURE_PERIOD_BROKER_VALUE","DEEP_MEASURE_ID_OVERRIDE",$C55,"DEEP_BROKER_ID_OVERRIDE",AT$24,"DEEP_PERIOD_OVERRIDE",$H$19)*1,"")))</f>
        <v/>
      </c>
      <c r="AU55" s="17" t="str">
        <f>IF(OR(AU$23="",ISNA($B55)),"",IF(ISBLANK($B55),"",IFERROR(_xll.BDP(TICKER,"DEEP_MEASURE_PERIOD_BROKER_VALUE","DEEP_MEASURE_ID_OVERRIDE",$C55,"DEEP_BROKER_ID_OVERRIDE",AU$24,"DEEP_PERIOD_OVERRIDE",$H$19)*1,"")))</f>
        <v/>
      </c>
      <c r="AV55" s="17" t="str">
        <f>IF(OR(AV$23="",ISNA($B55)),"",IF(ISBLANK($B55),"",IFERROR(_xll.BDP(TICKER,"DEEP_MEASURE_PERIOD_BROKER_VALUE","DEEP_MEASURE_ID_OVERRIDE",$C55,"DEEP_BROKER_ID_OVERRIDE",AV$24,"DEEP_PERIOD_OVERRIDE",$H$19)*1,"")))</f>
        <v/>
      </c>
      <c r="AW55" s="17" t="str">
        <f>IF(OR(AW$23="",ISNA($B55)),"",IF(ISBLANK($B55),"",IFERROR(_xll.BDP(TICKER,"DEEP_MEASURE_PERIOD_BROKER_VALUE","DEEP_MEASURE_ID_OVERRIDE",$C55,"DEEP_BROKER_ID_OVERRIDE",AW$24,"DEEP_PERIOD_OVERRIDE",$H$19)*1,"")))</f>
        <v/>
      </c>
      <c r="AX55" s="17" t="str">
        <f>IF(OR(AX$23="",ISNA($B55)),"",IF(ISBLANK($B55),"",IFERROR(_xll.BDP(TICKER,"DEEP_MEASURE_PERIOD_BROKER_VALUE","DEEP_MEASURE_ID_OVERRIDE",$C55,"DEEP_BROKER_ID_OVERRIDE",AX$24,"DEEP_PERIOD_OVERRIDE",$H$19)*1,"")))</f>
        <v/>
      </c>
      <c r="AY55" s="17" t="str">
        <f>IF(OR(AY$23="",ISNA($B55)),"",IF(ISBLANK($B55),"",IFERROR(_xll.BDP(TICKER,"DEEP_MEASURE_PERIOD_BROKER_VALUE","DEEP_MEASURE_ID_OVERRIDE",$C55,"DEEP_BROKER_ID_OVERRIDE",AY$24,"DEEP_PERIOD_OVERRIDE",$H$19)*1,"")))</f>
        <v/>
      </c>
      <c r="AZ55" s="17" t="str">
        <f>IF(OR(AZ$23="",ISNA($B55)),"",IF(ISBLANK($B55),"",IFERROR(_xll.BDP(TICKER,"DEEP_MEASURE_PERIOD_BROKER_VALUE","DEEP_MEASURE_ID_OVERRIDE",$C55,"DEEP_BROKER_ID_OVERRIDE",AZ$24,"DEEP_PERIOD_OVERRIDE",$H$19)*1,"")))</f>
        <v/>
      </c>
      <c r="BA55" s="17" t="str">
        <f>IF(OR(BA$23="",ISNA($B55)),"",IF(ISBLANK($B55),"",IFERROR(_xll.BDP(TICKER,"DEEP_MEASURE_PERIOD_BROKER_VALUE","DEEP_MEASURE_ID_OVERRIDE",$C55,"DEEP_BROKER_ID_OVERRIDE",BA$24,"DEEP_PERIOD_OVERRIDE",$H$19)*1,"")))</f>
        <v/>
      </c>
      <c r="BB55" s="17" t="str">
        <f>IF(OR(BB$23="",ISNA($B55)),"",IF(ISBLANK($B55),"",IFERROR(_xll.BDP(TICKER,"DEEP_MEASURE_PERIOD_BROKER_VALUE","DEEP_MEASURE_ID_OVERRIDE",$C55,"DEEP_BROKER_ID_OVERRIDE",BB$24,"DEEP_PERIOD_OVERRIDE",$H$19)*1,"")))</f>
        <v/>
      </c>
      <c r="BC55" s="17" t="str">
        <f>IF(OR(BC$23="",ISNA($B55)),"",IF(ISBLANK($B55),"",IFERROR(_xll.BDP(TICKER,"DEEP_MEASURE_PERIOD_BROKER_VALUE","DEEP_MEASURE_ID_OVERRIDE",$C55,"DEEP_BROKER_ID_OVERRIDE",BC$24,"DEEP_PERIOD_OVERRIDE",$H$19)*1,"")))</f>
        <v/>
      </c>
      <c r="BD55" s="17" t="str">
        <f>IF(OR(BD$23="",ISNA($B55)),"",IF(ISBLANK($B55),"",IFERROR(_xll.BDP(TICKER,"DEEP_MEASURE_PERIOD_BROKER_VALUE","DEEP_MEASURE_ID_OVERRIDE",$C55,"DEEP_BROKER_ID_OVERRIDE",BD$24,"DEEP_PERIOD_OVERRIDE",$H$19)*1,"")))</f>
        <v/>
      </c>
      <c r="BE55" s="17" t="str">
        <f>IF(OR(BE$23="",ISNA($B55)),"",IF(ISBLANK($B55),"",IFERROR(_xll.BDP(TICKER,"DEEP_MEASURE_PERIOD_BROKER_VALUE","DEEP_MEASURE_ID_OVERRIDE",$C55,"DEEP_BROKER_ID_OVERRIDE",BE$24,"DEEP_PERIOD_OVERRIDE",$H$19)*1,"")))</f>
        <v/>
      </c>
      <c r="BF55" s="17" t="str">
        <f>IF(OR(BF$23="",ISNA($B55)),"",IF(ISBLANK($B55),"",IFERROR(_xll.BDP(TICKER,"DEEP_MEASURE_PERIOD_BROKER_VALUE","DEEP_MEASURE_ID_OVERRIDE",$C55,"DEEP_BROKER_ID_OVERRIDE",BF$24,"DEEP_PERIOD_OVERRIDE",$H$19)*1,"")))</f>
        <v/>
      </c>
      <c r="BG55" s="17" t="str">
        <f>IF(OR(BG$23="",ISNA($B55)),"",IF(ISBLANK($B55),"",IFERROR(_xll.BDP(TICKER,"DEEP_MEASURE_PERIOD_BROKER_VALUE","DEEP_MEASURE_ID_OVERRIDE",$C55,"DEEP_BROKER_ID_OVERRIDE",BG$24,"DEEP_PERIOD_OVERRIDE",$H$19)*1,"")))</f>
        <v/>
      </c>
      <c r="BH55" s="17" t="str">
        <f>IF(OR(BH$23="",ISNA($B55)),"",IF(ISBLANK($B55),"",IFERROR(_xll.BDP(TICKER,"DEEP_MEASURE_PERIOD_BROKER_VALUE","DEEP_MEASURE_ID_OVERRIDE",$C55,"DEEP_BROKER_ID_OVERRIDE",BH$24,"DEEP_PERIOD_OVERRIDE",$H$19)*1,"")))</f>
        <v/>
      </c>
      <c r="BI55" s="17" t="str">
        <f>IF(OR(BI$23="",ISNA($B55)),"",IF(ISBLANK($B55),"",IFERROR(_xll.BDP(TICKER,"DEEP_MEASURE_PERIOD_BROKER_VALUE","DEEP_MEASURE_ID_OVERRIDE",$C55,"DEEP_BROKER_ID_OVERRIDE",BI$24,"DEEP_PERIOD_OVERRIDE",$H$19)*1,"")))</f>
        <v/>
      </c>
      <c r="BJ55" s="17" t="str">
        <f>IF(OR(BJ$23="",ISNA($B55)),"",IF(ISBLANK($B55),"",IFERROR(_xll.BDP(TICKER,"DEEP_MEASURE_PERIOD_BROKER_VALUE","DEEP_MEASURE_ID_OVERRIDE",$C55,"DEEP_BROKER_ID_OVERRIDE",BJ$24,"DEEP_PERIOD_OVERRIDE",$H$19)*1,"")))</f>
        <v/>
      </c>
      <c r="BK55" s="17" t="str">
        <f>IF(OR(BK$23="",ISNA($B55)),"",IF(ISBLANK($B55),"",IFERROR(_xll.BDP(TICKER,"DEEP_MEASURE_PERIOD_BROKER_VALUE","DEEP_MEASURE_ID_OVERRIDE",$C55,"DEEP_BROKER_ID_OVERRIDE",BK$24,"DEEP_PERIOD_OVERRIDE",$H$19)*1,"")))</f>
        <v/>
      </c>
      <c r="BL55" s="17" t="str">
        <f>IF(OR(BL$23="",ISNA($B55)),"",IF(ISBLANK($B55),"",IFERROR(_xll.BDP(TICKER,"DEEP_MEASURE_PERIOD_BROKER_VALUE","DEEP_MEASURE_ID_OVERRIDE",$C55,"DEEP_BROKER_ID_OVERRIDE",BL$24,"DEEP_PERIOD_OVERRIDE",$H$19)*1,"")))</f>
        <v/>
      </c>
      <c r="BM55" s="17" t="str">
        <f>IF(OR(BM$23="",ISNA($B55)),"",IF(ISBLANK($B55),"",IFERROR(_xll.BDP(TICKER,"DEEP_MEASURE_PERIOD_BROKER_VALUE","DEEP_MEASURE_ID_OVERRIDE",$C55,"DEEP_BROKER_ID_OVERRIDE",BM$24,"DEEP_PERIOD_OVERRIDE",$H$19)*1,"")))</f>
        <v/>
      </c>
      <c r="BN55" s="17" t="str">
        <f>IF(OR(BN$23="",ISNA($B55)),"",IF(ISBLANK($B55),"",IFERROR(_xll.BDP(TICKER,"DEEP_MEASURE_PERIOD_BROKER_VALUE","DEEP_MEASURE_ID_OVERRIDE",$C55,"DEEP_BROKER_ID_OVERRIDE",BN$24,"DEEP_PERIOD_OVERRIDE",$H$19)*1,"")))</f>
        <v/>
      </c>
      <c r="BO55" s="17" t="str">
        <f>IF(OR(BO$23="",ISNA($B55)),"",IF(ISBLANK($B55),"",IFERROR(_xll.BDP(TICKER,"DEEP_MEASURE_PERIOD_BROKER_VALUE","DEEP_MEASURE_ID_OVERRIDE",$C55,"DEEP_BROKER_ID_OVERRIDE",BO$24,"DEEP_PERIOD_OVERRIDE",$H$19)*1,"")))</f>
        <v/>
      </c>
      <c r="BP55" s="17" t="str">
        <f>IF(OR(BP$23="",ISNA($B55)),"",IF(ISBLANK($B55),"",IFERROR(_xll.BDP(TICKER,"DEEP_MEASURE_PERIOD_BROKER_VALUE","DEEP_MEASURE_ID_OVERRIDE",$C55,"DEEP_BROKER_ID_OVERRIDE",BP$24,"DEEP_PERIOD_OVERRIDE",$H$19)*1,"")))</f>
        <v/>
      </c>
      <c r="BQ55" s="17" t="str">
        <f>IF(OR(BQ$23="",ISNA($B55)),"",IF(ISBLANK($B55),"",IFERROR(_xll.BDP(TICKER,"DEEP_MEASURE_PERIOD_BROKER_VALUE","DEEP_MEASURE_ID_OVERRIDE",$C55,"DEEP_BROKER_ID_OVERRIDE",BQ$24,"DEEP_PERIOD_OVERRIDE",$H$19)*1,"")))</f>
        <v/>
      </c>
      <c r="BR55" s="17" t="str">
        <f>IF(OR(BR$23="",ISNA($B55)),"",IF(ISBLANK($B55),"",IFERROR(_xll.BDP(TICKER,"DEEP_MEASURE_PERIOD_BROKER_VALUE","DEEP_MEASURE_ID_OVERRIDE",$C55,"DEEP_BROKER_ID_OVERRIDE",BR$24,"DEEP_PERIOD_OVERRIDE",$H$19)*1,"")))</f>
        <v/>
      </c>
      <c r="BS55" s="17" t="str">
        <f>IF(OR(BS$23="",ISNA($B55)),"",IF(ISBLANK($B55),"",IFERROR(_xll.BDP(TICKER,"DEEP_MEASURE_PERIOD_BROKER_VALUE","DEEP_MEASURE_ID_OVERRIDE",$C55,"DEEP_BROKER_ID_OVERRIDE",BS$24,"DEEP_PERIOD_OVERRIDE",$H$19)*1,"")))</f>
        <v/>
      </c>
      <c r="BT55" s="17" t="str">
        <f>IF(OR(BT$23="",ISNA($B55)),"",IF(ISBLANK($B55),"",IFERROR(_xll.BDP(TICKER,"DEEP_MEASURE_PERIOD_BROKER_VALUE","DEEP_MEASURE_ID_OVERRIDE",$C55,"DEEP_BROKER_ID_OVERRIDE",BT$24,"DEEP_PERIOD_OVERRIDE",$H$19)*1,"")))</f>
        <v/>
      </c>
      <c r="BU55" s="17" t="str">
        <f>IF(OR(BU$23="",ISNA($B55)),"",IF(ISBLANK($B55),"",IFERROR(_xll.BDP(TICKER,"DEEP_MEASURE_PERIOD_BROKER_VALUE","DEEP_MEASURE_ID_OVERRIDE",$C55,"DEEP_BROKER_ID_OVERRIDE",BU$24,"DEEP_PERIOD_OVERRIDE",$H$19)*1,"")))</f>
        <v/>
      </c>
      <c r="BV55" s="17" t="str">
        <f>IF(OR(BV$23="",ISNA($B55)),"",IF(ISBLANK($B55),"",IFERROR(_xll.BDP(TICKER,"DEEP_MEASURE_PERIOD_BROKER_VALUE","DEEP_MEASURE_ID_OVERRIDE",$C55,"DEEP_BROKER_ID_OVERRIDE",BV$24,"DEEP_PERIOD_OVERRIDE",$H$19)*1,"")))</f>
        <v/>
      </c>
      <c r="BW55" s="17" t="str">
        <f>IF(OR(BW$23="",ISNA($B55)),"",IF(ISBLANK($B55),"",IFERROR(_xll.BDP(TICKER,"DEEP_MEASURE_PERIOD_BROKER_VALUE","DEEP_MEASURE_ID_OVERRIDE",$C55,"DEEP_BROKER_ID_OVERRIDE",BW$24,"DEEP_PERIOD_OVERRIDE",$H$19)*1,"")))</f>
        <v/>
      </c>
      <c r="BX55" s="17" t="str">
        <f>IF(OR(BX$23="",ISNA($B55)),"",IF(ISBLANK($B55),"",IFERROR(_xll.BDP(TICKER,"DEEP_MEASURE_PERIOD_BROKER_VALUE","DEEP_MEASURE_ID_OVERRIDE",$C55,"DEEP_BROKER_ID_OVERRIDE",BX$24,"DEEP_PERIOD_OVERRIDE",$H$19)*1,"")))</f>
        <v/>
      </c>
      <c r="BY55" s="17" t="str">
        <f>IF(OR(BY$23="",ISNA($B55)),"",IF(ISBLANK($B55),"",IFERROR(_xll.BDP(TICKER,"DEEP_MEASURE_PERIOD_BROKER_VALUE","DEEP_MEASURE_ID_OVERRIDE",$C55,"DEEP_BROKER_ID_OVERRIDE",BY$24,"DEEP_PERIOD_OVERRIDE",$H$19)*1,"")))</f>
        <v/>
      </c>
      <c r="BZ55" s="17" t="str">
        <f>IF(OR(BZ$23="",ISNA($B55)),"",IF(ISBLANK($B55),"",IFERROR(_xll.BDP(TICKER,"DEEP_MEASURE_PERIOD_BROKER_VALUE","DEEP_MEASURE_ID_OVERRIDE",$C55,"DEEP_BROKER_ID_OVERRIDE",BZ$24,"DEEP_PERIOD_OVERRIDE",$H$19)*1,"")))</f>
        <v/>
      </c>
    </row>
    <row r="56" spans="2:78" x14ac:dyDescent="0.25">
      <c r="B56" t="s">
        <v>100</v>
      </c>
      <c r="C56" s="11">
        <v>574</v>
      </c>
      <c r="H56" t="str">
        <f t="shared" si="1"/>
        <v>Total Revenue &gt; Hotel &gt; Revenue</v>
      </c>
      <c r="I56" t="str">
        <f>IF(OR(I$23="",ISNA($B56)),"",IF(ISBLANK($B56),"",IFERROR(_xll.BDP(TICKER,"DEEP_MEASURE_PERIOD_BROKER_VALUE","DEEP_MEASURE_ID_OVERRIDE",$C56,"DEEP_PERIOD_OVERRIDE",$H$19)*1,"")))</f>
        <v/>
      </c>
      <c r="J56" t="e">
        <f>IF(OR(J$23="",ISNA($B56)),"",IF(ISBLANK($B56),"",IFERROR(_xll.BDP(TICKER,"DEEP_MEASURE_PERIOD_BROKER_VALUE","DEEP_MEASURE_ID_OVERRIDE",$C56,"DEEP_BROKER_ID_OVERRIDE",J$24,"DEEP_PERIOD_OVERRIDE",$H$19)*1,"")))</f>
        <v>#REF!</v>
      </c>
      <c r="K56" s="17" t="str">
        <f>IF(OR(K$23="",ISNA($B56)),"",IF(ISBLANK($B56),"",IFERROR(_xll.BDP(TICKER,"DEEP_MEASURE_PERIOD_BROKER_VALUE","DEEP_MEASURE_ID_OVERRIDE",$C56,"DEEP_BROKER_ID_OVERRIDE",K$24,"DEEP_PERIOD_OVERRIDE",$H$19)*1,"")))</f>
        <v/>
      </c>
      <c r="L56" s="17" t="str">
        <f>IF(OR(L$23="",ISNA($B56)),"",IF(ISBLANK($B56),"",IFERROR(_xll.BDP(TICKER,"DEEP_MEASURE_PERIOD_BROKER_VALUE","DEEP_MEASURE_ID_OVERRIDE",$C56,"DEEP_BROKER_ID_OVERRIDE",L$24,"DEEP_PERIOD_OVERRIDE",$H$19)*1,"")))</f>
        <v/>
      </c>
      <c r="M56" s="17" t="str">
        <f>IF(OR(M$23="",ISNA($B56)),"",IF(ISBLANK($B56),"",IFERROR(_xll.BDP(TICKER,"DEEP_MEASURE_PERIOD_BROKER_VALUE","DEEP_MEASURE_ID_OVERRIDE",$C56,"DEEP_BROKER_ID_OVERRIDE",M$24,"DEEP_PERIOD_OVERRIDE",$H$19)*1,"")))</f>
        <v/>
      </c>
      <c r="N56" s="17" t="str">
        <f>IF(OR(N$23="",ISNA($B56)),"",IF(ISBLANK($B56),"",IFERROR(_xll.BDP(TICKER,"DEEP_MEASURE_PERIOD_BROKER_VALUE","DEEP_MEASURE_ID_OVERRIDE",$C56,"DEEP_BROKER_ID_OVERRIDE",N$24,"DEEP_PERIOD_OVERRIDE",$H$19)*1,"")))</f>
        <v/>
      </c>
      <c r="O56" s="17" t="str">
        <f>IF(OR(O$23="",ISNA($B56)),"",IF(ISBLANK($B56),"",IFERROR(_xll.BDP(TICKER,"DEEP_MEASURE_PERIOD_BROKER_VALUE","DEEP_MEASURE_ID_OVERRIDE",$C56,"DEEP_BROKER_ID_OVERRIDE",O$24,"DEEP_PERIOD_OVERRIDE",$H$19)*1,"")))</f>
        <v/>
      </c>
      <c r="P56" s="17" t="str">
        <f>IF(OR(P$23="",ISNA($B56)),"",IF(ISBLANK($B56),"",IFERROR(_xll.BDP(TICKER,"DEEP_MEASURE_PERIOD_BROKER_VALUE","DEEP_MEASURE_ID_OVERRIDE",$C56,"DEEP_BROKER_ID_OVERRIDE",P$24,"DEEP_PERIOD_OVERRIDE",$H$19)*1,"")))</f>
        <v/>
      </c>
      <c r="Q56" s="17" t="str">
        <f>IF(OR(Q$23="",ISNA($B56)),"",IF(ISBLANK($B56),"",IFERROR(_xll.BDP(TICKER,"DEEP_MEASURE_PERIOD_BROKER_VALUE","DEEP_MEASURE_ID_OVERRIDE",$C56,"DEEP_BROKER_ID_OVERRIDE",Q$24,"DEEP_PERIOD_OVERRIDE",$H$19)*1,"")))</f>
        <v/>
      </c>
      <c r="R56" s="17" t="str">
        <f>IF(OR(R$23="",ISNA($B56)),"",IF(ISBLANK($B56),"",IFERROR(_xll.BDP(TICKER,"DEEP_MEASURE_PERIOD_BROKER_VALUE","DEEP_MEASURE_ID_OVERRIDE",$C56,"DEEP_BROKER_ID_OVERRIDE",R$24,"DEEP_PERIOD_OVERRIDE",$H$19)*1,"")))</f>
        <v/>
      </c>
      <c r="S56" s="17" t="str">
        <f>IF(OR(S$23="",ISNA($B56)),"",IF(ISBLANK($B56),"",IFERROR(_xll.BDP(TICKER,"DEEP_MEASURE_PERIOD_BROKER_VALUE","DEEP_MEASURE_ID_OVERRIDE",$C56,"DEEP_BROKER_ID_OVERRIDE",S$24,"DEEP_PERIOD_OVERRIDE",$H$19)*1,"")))</f>
        <v/>
      </c>
      <c r="T56" s="17" t="str">
        <f>IF(OR(T$23="",ISNA($B56)),"",IF(ISBLANK($B56),"",IFERROR(_xll.BDP(TICKER,"DEEP_MEASURE_PERIOD_BROKER_VALUE","DEEP_MEASURE_ID_OVERRIDE",$C56,"DEEP_BROKER_ID_OVERRIDE",T$24,"DEEP_PERIOD_OVERRIDE",$H$19)*1,"")))</f>
        <v/>
      </c>
      <c r="U56" s="17" t="str">
        <f>IF(OR(U$23="",ISNA($B56)),"",IF(ISBLANK($B56),"",IFERROR(_xll.BDP(TICKER,"DEEP_MEASURE_PERIOD_BROKER_VALUE","DEEP_MEASURE_ID_OVERRIDE",$C56,"DEEP_BROKER_ID_OVERRIDE",U$24,"DEEP_PERIOD_OVERRIDE",$H$19)*1,"")))</f>
        <v/>
      </c>
      <c r="V56" s="17" t="str">
        <f>IF(OR(V$23="",ISNA($B56)),"",IF(ISBLANK($B56),"",IFERROR(_xll.BDP(TICKER,"DEEP_MEASURE_PERIOD_BROKER_VALUE","DEEP_MEASURE_ID_OVERRIDE",$C56,"DEEP_BROKER_ID_OVERRIDE",V$24,"DEEP_PERIOD_OVERRIDE",$H$19)*1,"")))</f>
        <v/>
      </c>
      <c r="W56" s="17" t="str">
        <f>IF(OR(W$23="",ISNA($B56)),"",IF(ISBLANK($B56),"",IFERROR(_xll.BDP(TICKER,"DEEP_MEASURE_PERIOD_BROKER_VALUE","DEEP_MEASURE_ID_OVERRIDE",$C56,"DEEP_BROKER_ID_OVERRIDE",W$24,"DEEP_PERIOD_OVERRIDE",$H$19)*1,"")))</f>
        <v/>
      </c>
      <c r="X56" s="17" t="str">
        <f>IF(OR(X$23="",ISNA($B56)),"",IF(ISBLANK($B56),"",IFERROR(_xll.BDP(TICKER,"DEEP_MEASURE_PERIOD_BROKER_VALUE","DEEP_MEASURE_ID_OVERRIDE",$C56,"DEEP_BROKER_ID_OVERRIDE",X$24,"DEEP_PERIOD_OVERRIDE",$H$19)*1,"")))</f>
        <v/>
      </c>
      <c r="Y56" s="17" t="str">
        <f>IF(OR(Y$23="",ISNA($B56)),"",IF(ISBLANK($B56),"",IFERROR(_xll.BDP(TICKER,"DEEP_MEASURE_PERIOD_BROKER_VALUE","DEEP_MEASURE_ID_OVERRIDE",$C56,"DEEP_BROKER_ID_OVERRIDE",Y$24,"DEEP_PERIOD_OVERRIDE",$H$19)*1,"")))</f>
        <v/>
      </c>
      <c r="Z56" s="17" t="str">
        <f>IF(OR(Z$23="",ISNA($B56)),"",IF(ISBLANK($B56),"",IFERROR(_xll.BDP(TICKER,"DEEP_MEASURE_PERIOD_BROKER_VALUE","DEEP_MEASURE_ID_OVERRIDE",$C56,"DEEP_BROKER_ID_OVERRIDE",Z$24,"DEEP_PERIOD_OVERRIDE",$H$19)*1,"")))</f>
        <v/>
      </c>
      <c r="AA56" s="17" t="str">
        <f>IF(OR(AA$23="",ISNA($B56)),"",IF(ISBLANK($B56),"",IFERROR(_xll.BDP(TICKER,"DEEP_MEASURE_PERIOD_BROKER_VALUE","DEEP_MEASURE_ID_OVERRIDE",$C56,"DEEP_BROKER_ID_OVERRIDE",AA$24,"DEEP_PERIOD_OVERRIDE",$H$19)*1,"")))</f>
        <v/>
      </c>
      <c r="AB56" s="17" t="str">
        <f>IF(OR(AB$23="",ISNA($B56)),"",IF(ISBLANK($B56),"",IFERROR(_xll.BDP(TICKER,"DEEP_MEASURE_PERIOD_BROKER_VALUE","DEEP_MEASURE_ID_OVERRIDE",$C56,"DEEP_BROKER_ID_OVERRIDE",AB$24,"DEEP_PERIOD_OVERRIDE",$H$19)*1,"")))</f>
        <v/>
      </c>
      <c r="AC56" s="17" t="str">
        <f>IF(OR(AC$23="",ISNA($B56)),"",IF(ISBLANK($B56),"",IFERROR(_xll.BDP(TICKER,"DEEP_MEASURE_PERIOD_BROKER_VALUE","DEEP_MEASURE_ID_OVERRIDE",$C56,"DEEP_BROKER_ID_OVERRIDE",AC$24,"DEEP_PERIOD_OVERRIDE",$H$19)*1,"")))</f>
        <v/>
      </c>
      <c r="AD56" s="17" t="str">
        <f>IF(OR(AD$23="",ISNA($B56)),"",IF(ISBLANK($B56),"",IFERROR(_xll.BDP(TICKER,"DEEP_MEASURE_PERIOD_BROKER_VALUE","DEEP_MEASURE_ID_OVERRIDE",$C56,"DEEP_BROKER_ID_OVERRIDE",AD$24,"DEEP_PERIOD_OVERRIDE",$H$19)*1,"")))</f>
        <v/>
      </c>
      <c r="AE56" s="17" t="str">
        <f>IF(OR(AE$23="",ISNA($B56)),"",IF(ISBLANK($B56),"",IFERROR(_xll.BDP(TICKER,"DEEP_MEASURE_PERIOD_BROKER_VALUE","DEEP_MEASURE_ID_OVERRIDE",$C56,"DEEP_BROKER_ID_OVERRIDE",AE$24,"DEEP_PERIOD_OVERRIDE",$H$19)*1,"")))</f>
        <v/>
      </c>
      <c r="AF56" s="17" t="str">
        <f>IF(OR(AF$23="",ISNA($B56)),"",IF(ISBLANK($B56),"",IFERROR(_xll.BDP(TICKER,"DEEP_MEASURE_PERIOD_BROKER_VALUE","DEEP_MEASURE_ID_OVERRIDE",$C56,"DEEP_BROKER_ID_OVERRIDE",AF$24,"DEEP_PERIOD_OVERRIDE",$H$19)*1,"")))</f>
        <v/>
      </c>
      <c r="AG56" s="17" t="str">
        <f>IF(OR(AG$23="",ISNA($B56)),"",IF(ISBLANK($B56),"",IFERROR(_xll.BDP(TICKER,"DEEP_MEASURE_PERIOD_BROKER_VALUE","DEEP_MEASURE_ID_OVERRIDE",$C56,"DEEP_BROKER_ID_OVERRIDE",AG$24,"DEEP_PERIOD_OVERRIDE",$H$19)*1,"")))</f>
        <v/>
      </c>
      <c r="AH56" s="17" t="str">
        <f>IF(OR(AH$23="",ISNA($B56)),"",IF(ISBLANK($B56),"",IFERROR(_xll.BDP(TICKER,"DEEP_MEASURE_PERIOD_BROKER_VALUE","DEEP_MEASURE_ID_OVERRIDE",$C56,"DEEP_BROKER_ID_OVERRIDE",AH$24,"DEEP_PERIOD_OVERRIDE",$H$19)*1,"")))</f>
        <v/>
      </c>
      <c r="AI56" s="17" t="str">
        <f>IF(OR(AI$23="",ISNA($B56)),"",IF(ISBLANK($B56),"",IFERROR(_xll.BDP(TICKER,"DEEP_MEASURE_PERIOD_BROKER_VALUE","DEEP_MEASURE_ID_OVERRIDE",$C56,"DEEP_BROKER_ID_OVERRIDE",AI$24,"DEEP_PERIOD_OVERRIDE",$H$19)*1,"")))</f>
        <v/>
      </c>
      <c r="AJ56" s="17" t="str">
        <f>IF(OR(AJ$23="",ISNA($B56)),"",IF(ISBLANK($B56),"",IFERROR(_xll.BDP(TICKER,"DEEP_MEASURE_PERIOD_BROKER_VALUE","DEEP_MEASURE_ID_OVERRIDE",$C56,"DEEP_BROKER_ID_OVERRIDE",AJ$24,"DEEP_PERIOD_OVERRIDE",$H$19)*1,"")))</f>
        <v/>
      </c>
      <c r="AK56" s="17" t="str">
        <f>IF(OR(AK$23="",ISNA($B56)),"",IF(ISBLANK($B56),"",IFERROR(_xll.BDP(TICKER,"DEEP_MEASURE_PERIOD_BROKER_VALUE","DEEP_MEASURE_ID_OVERRIDE",$C56,"DEEP_BROKER_ID_OVERRIDE",AK$24,"DEEP_PERIOD_OVERRIDE",$H$19)*1,"")))</f>
        <v/>
      </c>
      <c r="AL56" s="17" t="str">
        <f>IF(OR(AL$23="",ISNA($B56)),"",IF(ISBLANK($B56),"",IFERROR(_xll.BDP(TICKER,"DEEP_MEASURE_PERIOD_BROKER_VALUE","DEEP_MEASURE_ID_OVERRIDE",$C56,"DEEP_BROKER_ID_OVERRIDE",AL$24,"DEEP_PERIOD_OVERRIDE",$H$19)*1,"")))</f>
        <v/>
      </c>
      <c r="AM56" s="17" t="str">
        <f>IF(OR(AM$23="",ISNA($B56)),"",IF(ISBLANK($B56),"",IFERROR(_xll.BDP(TICKER,"DEEP_MEASURE_PERIOD_BROKER_VALUE","DEEP_MEASURE_ID_OVERRIDE",$C56,"DEEP_BROKER_ID_OVERRIDE",AM$24,"DEEP_PERIOD_OVERRIDE",$H$19)*1,"")))</f>
        <v/>
      </c>
      <c r="AN56" s="17" t="str">
        <f>IF(OR(AN$23="",ISNA($B56)),"",IF(ISBLANK($B56),"",IFERROR(_xll.BDP(TICKER,"DEEP_MEASURE_PERIOD_BROKER_VALUE","DEEP_MEASURE_ID_OVERRIDE",$C56,"DEEP_BROKER_ID_OVERRIDE",AN$24,"DEEP_PERIOD_OVERRIDE",$H$19)*1,"")))</f>
        <v/>
      </c>
      <c r="AO56" s="17" t="str">
        <f>IF(OR(AO$23="",ISNA($B56)),"",IF(ISBLANK($B56),"",IFERROR(_xll.BDP(TICKER,"DEEP_MEASURE_PERIOD_BROKER_VALUE","DEEP_MEASURE_ID_OVERRIDE",$C56,"DEEP_BROKER_ID_OVERRIDE",AO$24,"DEEP_PERIOD_OVERRIDE",$H$19)*1,"")))</f>
        <v/>
      </c>
      <c r="AP56" s="17" t="str">
        <f>IF(OR(AP$23="",ISNA($B56)),"",IF(ISBLANK($B56),"",IFERROR(_xll.BDP(TICKER,"DEEP_MEASURE_PERIOD_BROKER_VALUE","DEEP_MEASURE_ID_OVERRIDE",$C56,"DEEP_BROKER_ID_OVERRIDE",AP$24,"DEEP_PERIOD_OVERRIDE",$H$19)*1,"")))</f>
        <v/>
      </c>
      <c r="AQ56" s="17" t="str">
        <f>IF(OR(AQ$23="",ISNA($B56)),"",IF(ISBLANK($B56),"",IFERROR(_xll.BDP(TICKER,"DEEP_MEASURE_PERIOD_BROKER_VALUE","DEEP_MEASURE_ID_OVERRIDE",$C56,"DEEP_BROKER_ID_OVERRIDE",AQ$24,"DEEP_PERIOD_OVERRIDE",$H$19)*1,"")))</f>
        <v/>
      </c>
      <c r="AR56" s="17" t="str">
        <f>IF(OR(AR$23="",ISNA($B56)),"",IF(ISBLANK($B56),"",IFERROR(_xll.BDP(TICKER,"DEEP_MEASURE_PERIOD_BROKER_VALUE","DEEP_MEASURE_ID_OVERRIDE",$C56,"DEEP_BROKER_ID_OVERRIDE",AR$24,"DEEP_PERIOD_OVERRIDE",$H$19)*1,"")))</f>
        <v/>
      </c>
      <c r="AS56" s="17" t="str">
        <f>IF(OR(AS$23="",ISNA($B56)),"",IF(ISBLANK($B56),"",IFERROR(_xll.BDP(TICKER,"DEEP_MEASURE_PERIOD_BROKER_VALUE","DEEP_MEASURE_ID_OVERRIDE",$C56,"DEEP_BROKER_ID_OVERRIDE",AS$24,"DEEP_PERIOD_OVERRIDE",$H$19)*1,"")))</f>
        <v/>
      </c>
      <c r="AT56" s="17" t="str">
        <f>IF(OR(AT$23="",ISNA($B56)),"",IF(ISBLANK($B56),"",IFERROR(_xll.BDP(TICKER,"DEEP_MEASURE_PERIOD_BROKER_VALUE","DEEP_MEASURE_ID_OVERRIDE",$C56,"DEEP_BROKER_ID_OVERRIDE",AT$24,"DEEP_PERIOD_OVERRIDE",$H$19)*1,"")))</f>
        <v/>
      </c>
      <c r="AU56" s="17" t="str">
        <f>IF(OR(AU$23="",ISNA($B56)),"",IF(ISBLANK($B56),"",IFERROR(_xll.BDP(TICKER,"DEEP_MEASURE_PERIOD_BROKER_VALUE","DEEP_MEASURE_ID_OVERRIDE",$C56,"DEEP_BROKER_ID_OVERRIDE",AU$24,"DEEP_PERIOD_OVERRIDE",$H$19)*1,"")))</f>
        <v/>
      </c>
      <c r="AV56" s="17" t="str">
        <f>IF(OR(AV$23="",ISNA($B56)),"",IF(ISBLANK($B56),"",IFERROR(_xll.BDP(TICKER,"DEEP_MEASURE_PERIOD_BROKER_VALUE","DEEP_MEASURE_ID_OVERRIDE",$C56,"DEEP_BROKER_ID_OVERRIDE",AV$24,"DEEP_PERIOD_OVERRIDE",$H$19)*1,"")))</f>
        <v/>
      </c>
      <c r="AW56" s="17" t="str">
        <f>IF(OR(AW$23="",ISNA($B56)),"",IF(ISBLANK($B56),"",IFERROR(_xll.BDP(TICKER,"DEEP_MEASURE_PERIOD_BROKER_VALUE","DEEP_MEASURE_ID_OVERRIDE",$C56,"DEEP_BROKER_ID_OVERRIDE",AW$24,"DEEP_PERIOD_OVERRIDE",$H$19)*1,"")))</f>
        <v/>
      </c>
      <c r="AX56" s="17" t="str">
        <f>IF(OR(AX$23="",ISNA($B56)),"",IF(ISBLANK($B56),"",IFERROR(_xll.BDP(TICKER,"DEEP_MEASURE_PERIOD_BROKER_VALUE","DEEP_MEASURE_ID_OVERRIDE",$C56,"DEEP_BROKER_ID_OVERRIDE",AX$24,"DEEP_PERIOD_OVERRIDE",$H$19)*1,"")))</f>
        <v/>
      </c>
      <c r="AY56" s="17" t="str">
        <f>IF(OR(AY$23="",ISNA($B56)),"",IF(ISBLANK($B56),"",IFERROR(_xll.BDP(TICKER,"DEEP_MEASURE_PERIOD_BROKER_VALUE","DEEP_MEASURE_ID_OVERRIDE",$C56,"DEEP_BROKER_ID_OVERRIDE",AY$24,"DEEP_PERIOD_OVERRIDE",$H$19)*1,"")))</f>
        <v/>
      </c>
      <c r="AZ56" s="17" t="str">
        <f>IF(OR(AZ$23="",ISNA($B56)),"",IF(ISBLANK($B56),"",IFERROR(_xll.BDP(TICKER,"DEEP_MEASURE_PERIOD_BROKER_VALUE","DEEP_MEASURE_ID_OVERRIDE",$C56,"DEEP_BROKER_ID_OVERRIDE",AZ$24,"DEEP_PERIOD_OVERRIDE",$H$19)*1,"")))</f>
        <v/>
      </c>
      <c r="BA56" s="17" t="str">
        <f>IF(OR(BA$23="",ISNA($B56)),"",IF(ISBLANK($B56),"",IFERROR(_xll.BDP(TICKER,"DEEP_MEASURE_PERIOD_BROKER_VALUE","DEEP_MEASURE_ID_OVERRIDE",$C56,"DEEP_BROKER_ID_OVERRIDE",BA$24,"DEEP_PERIOD_OVERRIDE",$H$19)*1,"")))</f>
        <v/>
      </c>
      <c r="BB56" s="17" t="str">
        <f>IF(OR(BB$23="",ISNA($B56)),"",IF(ISBLANK($B56),"",IFERROR(_xll.BDP(TICKER,"DEEP_MEASURE_PERIOD_BROKER_VALUE","DEEP_MEASURE_ID_OVERRIDE",$C56,"DEEP_BROKER_ID_OVERRIDE",BB$24,"DEEP_PERIOD_OVERRIDE",$H$19)*1,"")))</f>
        <v/>
      </c>
      <c r="BC56" s="17" t="str">
        <f>IF(OR(BC$23="",ISNA($B56)),"",IF(ISBLANK($B56),"",IFERROR(_xll.BDP(TICKER,"DEEP_MEASURE_PERIOD_BROKER_VALUE","DEEP_MEASURE_ID_OVERRIDE",$C56,"DEEP_BROKER_ID_OVERRIDE",BC$24,"DEEP_PERIOD_OVERRIDE",$H$19)*1,"")))</f>
        <v/>
      </c>
      <c r="BD56" s="17" t="str">
        <f>IF(OR(BD$23="",ISNA($B56)),"",IF(ISBLANK($B56),"",IFERROR(_xll.BDP(TICKER,"DEEP_MEASURE_PERIOD_BROKER_VALUE","DEEP_MEASURE_ID_OVERRIDE",$C56,"DEEP_BROKER_ID_OVERRIDE",BD$24,"DEEP_PERIOD_OVERRIDE",$H$19)*1,"")))</f>
        <v/>
      </c>
      <c r="BE56" s="17" t="str">
        <f>IF(OR(BE$23="",ISNA($B56)),"",IF(ISBLANK($B56),"",IFERROR(_xll.BDP(TICKER,"DEEP_MEASURE_PERIOD_BROKER_VALUE","DEEP_MEASURE_ID_OVERRIDE",$C56,"DEEP_BROKER_ID_OVERRIDE",BE$24,"DEEP_PERIOD_OVERRIDE",$H$19)*1,"")))</f>
        <v/>
      </c>
      <c r="BF56" s="17" t="str">
        <f>IF(OR(BF$23="",ISNA($B56)),"",IF(ISBLANK($B56),"",IFERROR(_xll.BDP(TICKER,"DEEP_MEASURE_PERIOD_BROKER_VALUE","DEEP_MEASURE_ID_OVERRIDE",$C56,"DEEP_BROKER_ID_OVERRIDE",BF$24,"DEEP_PERIOD_OVERRIDE",$H$19)*1,"")))</f>
        <v/>
      </c>
      <c r="BG56" s="17" t="str">
        <f>IF(OR(BG$23="",ISNA($B56)),"",IF(ISBLANK($B56),"",IFERROR(_xll.BDP(TICKER,"DEEP_MEASURE_PERIOD_BROKER_VALUE","DEEP_MEASURE_ID_OVERRIDE",$C56,"DEEP_BROKER_ID_OVERRIDE",BG$24,"DEEP_PERIOD_OVERRIDE",$H$19)*1,"")))</f>
        <v/>
      </c>
      <c r="BH56" s="17" t="str">
        <f>IF(OR(BH$23="",ISNA($B56)),"",IF(ISBLANK($B56),"",IFERROR(_xll.BDP(TICKER,"DEEP_MEASURE_PERIOD_BROKER_VALUE","DEEP_MEASURE_ID_OVERRIDE",$C56,"DEEP_BROKER_ID_OVERRIDE",BH$24,"DEEP_PERIOD_OVERRIDE",$H$19)*1,"")))</f>
        <v/>
      </c>
      <c r="BI56" s="17" t="str">
        <f>IF(OR(BI$23="",ISNA($B56)),"",IF(ISBLANK($B56),"",IFERROR(_xll.BDP(TICKER,"DEEP_MEASURE_PERIOD_BROKER_VALUE","DEEP_MEASURE_ID_OVERRIDE",$C56,"DEEP_BROKER_ID_OVERRIDE",BI$24,"DEEP_PERIOD_OVERRIDE",$H$19)*1,"")))</f>
        <v/>
      </c>
      <c r="BJ56" s="17" t="str">
        <f>IF(OR(BJ$23="",ISNA($B56)),"",IF(ISBLANK($B56),"",IFERROR(_xll.BDP(TICKER,"DEEP_MEASURE_PERIOD_BROKER_VALUE","DEEP_MEASURE_ID_OVERRIDE",$C56,"DEEP_BROKER_ID_OVERRIDE",BJ$24,"DEEP_PERIOD_OVERRIDE",$H$19)*1,"")))</f>
        <v/>
      </c>
      <c r="BK56" s="17" t="str">
        <f>IF(OR(BK$23="",ISNA($B56)),"",IF(ISBLANK($B56),"",IFERROR(_xll.BDP(TICKER,"DEEP_MEASURE_PERIOD_BROKER_VALUE","DEEP_MEASURE_ID_OVERRIDE",$C56,"DEEP_BROKER_ID_OVERRIDE",BK$24,"DEEP_PERIOD_OVERRIDE",$H$19)*1,"")))</f>
        <v/>
      </c>
      <c r="BL56" s="17" t="str">
        <f>IF(OR(BL$23="",ISNA($B56)),"",IF(ISBLANK($B56),"",IFERROR(_xll.BDP(TICKER,"DEEP_MEASURE_PERIOD_BROKER_VALUE","DEEP_MEASURE_ID_OVERRIDE",$C56,"DEEP_BROKER_ID_OVERRIDE",BL$24,"DEEP_PERIOD_OVERRIDE",$H$19)*1,"")))</f>
        <v/>
      </c>
      <c r="BM56" s="17" t="str">
        <f>IF(OR(BM$23="",ISNA($B56)),"",IF(ISBLANK($B56),"",IFERROR(_xll.BDP(TICKER,"DEEP_MEASURE_PERIOD_BROKER_VALUE","DEEP_MEASURE_ID_OVERRIDE",$C56,"DEEP_BROKER_ID_OVERRIDE",BM$24,"DEEP_PERIOD_OVERRIDE",$H$19)*1,"")))</f>
        <v/>
      </c>
      <c r="BN56" s="17" t="str">
        <f>IF(OR(BN$23="",ISNA($B56)),"",IF(ISBLANK($B56),"",IFERROR(_xll.BDP(TICKER,"DEEP_MEASURE_PERIOD_BROKER_VALUE","DEEP_MEASURE_ID_OVERRIDE",$C56,"DEEP_BROKER_ID_OVERRIDE",BN$24,"DEEP_PERIOD_OVERRIDE",$H$19)*1,"")))</f>
        <v/>
      </c>
      <c r="BO56" s="17" t="str">
        <f>IF(OR(BO$23="",ISNA($B56)),"",IF(ISBLANK($B56),"",IFERROR(_xll.BDP(TICKER,"DEEP_MEASURE_PERIOD_BROKER_VALUE","DEEP_MEASURE_ID_OVERRIDE",$C56,"DEEP_BROKER_ID_OVERRIDE",BO$24,"DEEP_PERIOD_OVERRIDE",$H$19)*1,"")))</f>
        <v/>
      </c>
      <c r="BP56" s="17" t="str">
        <f>IF(OR(BP$23="",ISNA($B56)),"",IF(ISBLANK($B56),"",IFERROR(_xll.BDP(TICKER,"DEEP_MEASURE_PERIOD_BROKER_VALUE","DEEP_MEASURE_ID_OVERRIDE",$C56,"DEEP_BROKER_ID_OVERRIDE",BP$24,"DEEP_PERIOD_OVERRIDE",$H$19)*1,"")))</f>
        <v/>
      </c>
      <c r="BQ56" s="17" t="str">
        <f>IF(OR(BQ$23="",ISNA($B56)),"",IF(ISBLANK($B56),"",IFERROR(_xll.BDP(TICKER,"DEEP_MEASURE_PERIOD_BROKER_VALUE","DEEP_MEASURE_ID_OVERRIDE",$C56,"DEEP_BROKER_ID_OVERRIDE",BQ$24,"DEEP_PERIOD_OVERRIDE",$H$19)*1,"")))</f>
        <v/>
      </c>
      <c r="BR56" s="17" t="str">
        <f>IF(OR(BR$23="",ISNA($B56)),"",IF(ISBLANK($B56),"",IFERROR(_xll.BDP(TICKER,"DEEP_MEASURE_PERIOD_BROKER_VALUE","DEEP_MEASURE_ID_OVERRIDE",$C56,"DEEP_BROKER_ID_OVERRIDE",BR$24,"DEEP_PERIOD_OVERRIDE",$H$19)*1,"")))</f>
        <v/>
      </c>
      <c r="BS56" s="17" t="str">
        <f>IF(OR(BS$23="",ISNA($B56)),"",IF(ISBLANK($B56),"",IFERROR(_xll.BDP(TICKER,"DEEP_MEASURE_PERIOD_BROKER_VALUE","DEEP_MEASURE_ID_OVERRIDE",$C56,"DEEP_BROKER_ID_OVERRIDE",BS$24,"DEEP_PERIOD_OVERRIDE",$H$19)*1,"")))</f>
        <v/>
      </c>
      <c r="BT56" s="17" t="str">
        <f>IF(OR(BT$23="",ISNA($B56)),"",IF(ISBLANK($B56),"",IFERROR(_xll.BDP(TICKER,"DEEP_MEASURE_PERIOD_BROKER_VALUE","DEEP_MEASURE_ID_OVERRIDE",$C56,"DEEP_BROKER_ID_OVERRIDE",BT$24,"DEEP_PERIOD_OVERRIDE",$H$19)*1,"")))</f>
        <v/>
      </c>
      <c r="BU56" s="17" t="str">
        <f>IF(OR(BU$23="",ISNA($B56)),"",IF(ISBLANK($B56),"",IFERROR(_xll.BDP(TICKER,"DEEP_MEASURE_PERIOD_BROKER_VALUE","DEEP_MEASURE_ID_OVERRIDE",$C56,"DEEP_BROKER_ID_OVERRIDE",BU$24,"DEEP_PERIOD_OVERRIDE",$H$19)*1,"")))</f>
        <v/>
      </c>
      <c r="BV56" s="17" t="str">
        <f>IF(OR(BV$23="",ISNA($B56)),"",IF(ISBLANK($B56),"",IFERROR(_xll.BDP(TICKER,"DEEP_MEASURE_PERIOD_BROKER_VALUE","DEEP_MEASURE_ID_OVERRIDE",$C56,"DEEP_BROKER_ID_OVERRIDE",BV$24,"DEEP_PERIOD_OVERRIDE",$H$19)*1,"")))</f>
        <v/>
      </c>
      <c r="BW56" s="17" t="str">
        <f>IF(OR(BW$23="",ISNA($B56)),"",IF(ISBLANK($B56),"",IFERROR(_xll.BDP(TICKER,"DEEP_MEASURE_PERIOD_BROKER_VALUE","DEEP_MEASURE_ID_OVERRIDE",$C56,"DEEP_BROKER_ID_OVERRIDE",BW$24,"DEEP_PERIOD_OVERRIDE",$H$19)*1,"")))</f>
        <v/>
      </c>
      <c r="BX56" s="17" t="str">
        <f>IF(OR(BX$23="",ISNA($B56)),"",IF(ISBLANK($B56),"",IFERROR(_xll.BDP(TICKER,"DEEP_MEASURE_PERIOD_BROKER_VALUE","DEEP_MEASURE_ID_OVERRIDE",$C56,"DEEP_BROKER_ID_OVERRIDE",BX$24,"DEEP_PERIOD_OVERRIDE",$H$19)*1,"")))</f>
        <v/>
      </c>
      <c r="BY56" s="17" t="str">
        <f>IF(OR(BY$23="",ISNA($B56)),"",IF(ISBLANK($B56),"",IFERROR(_xll.BDP(TICKER,"DEEP_MEASURE_PERIOD_BROKER_VALUE","DEEP_MEASURE_ID_OVERRIDE",$C56,"DEEP_BROKER_ID_OVERRIDE",BY$24,"DEEP_PERIOD_OVERRIDE",$H$19)*1,"")))</f>
        <v/>
      </c>
      <c r="BZ56" s="17" t="str">
        <f>IF(OR(BZ$23="",ISNA($B56)),"",IF(ISBLANK($B56),"",IFERROR(_xll.BDP(TICKER,"DEEP_MEASURE_PERIOD_BROKER_VALUE","DEEP_MEASURE_ID_OVERRIDE",$C56,"DEEP_BROKER_ID_OVERRIDE",BZ$24,"DEEP_PERIOD_OVERRIDE",$H$19)*1,"")))</f>
        <v/>
      </c>
    </row>
    <row r="57" spans="2:78" x14ac:dyDescent="0.25">
      <c r="B57" t="s">
        <v>101</v>
      </c>
      <c r="C57" s="11">
        <v>130</v>
      </c>
      <c r="H57" t="str">
        <f t="shared" si="1"/>
        <v>Total Revenue &gt; Hotel &gt; Revenue &gt; As % of Revenue</v>
      </c>
      <c r="I57" t="str">
        <f>IF(OR(I$23="",ISNA($B57)),"",IF(ISBLANK($B57),"",IFERROR(_xll.BDP(TICKER,"DEEP_MEASURE_PERIOD_BROKER_VALUE","DEEP_MEASURE_ID_OVERRIDE",$C57,"DEEP_PERIOD_OVERRIDE",$H$19)*1,"")))</f>
        <v/>
      </c>
      <c r="J57" t="e">
        <f>IF(OR(J$23="",ISNA($B57)),"",IF(ISBLANK($B57),"",IFERROR(_xll.BDP(TICKER,"DEEP_MEASURE_PERIOD_BROKER_VALUE","DEEP_MEASURE_ID_OVERRIDE",$C57,"DEEP_BROKER_ID_OVERRIDE",J$24,"DEEP_PERIOD_OVERRIDE",$H$19)*1,"")))</f>
        <v>#REF!</v>
      </c>
      <c r="K57" s="17" t="str">
        <f>IF(OR(K$23="",ISNA($B57)),"",IF(ISBLANK($B57),"",IFERROR(_xll.BDP(TICKER,"DEEP_MEASURE_PERIOD_BROKER_VALUE","DEEP_MEASURE_ID_OVERRIDE",$C57,"DEEP_BROKER_ID_OVERRIDE",K$24,"DEEP_PERIOD_OVERRIDE",$H$19)*1,"")))</f>
        <v/>
      </c>
      <c r="L57" s="17" t="str">
        <f>IF(OR(L$23="",ISNA($B57)),"",IF(ISBLANK($B57),"",IFERROR(_xll.BDP(TICKER,"DEEP_MEASURE_PERIOD_BROKER_VALUE","DEEP_MEASURE_ID_OVERRIDE",$C57,"DEEP_BROKER_ID_OVERRIDE",L$24,"DEEP_PERIOD_OVERRIDE",$H$19)*1,"")))</f>
        <v/>
      </c>
      <c r="M57" s="17" t="str">
        <f>IF(OR(M$23="",ISNA($B57)),"",IF(ISBLANK($B57),"",IFERROR(_xll.BDP(TICKER,"DEEP_MEASURE_PERIOD_BROKER_VALUE","DEEP_MEASURE_ID_OVERRIDE",$C57,"DEEP_BROKER_ID_OVERRIDE",M$24,"DEEP_PERIOD_OVERRIDE",$H$19)*1,"")))</f>
        <v/>
      </c>
      <c r="N57" s="17" t="str">
        <f>IF(OR(N$23="",ISNA($B57)),"",IF(ISBLANK($B57),"",IFERROR(_xll.BDP(TICKER,"DEEP_MEASURE_PERIOD_BROKER_VALUE","DEEP_MEASURE_ID_OVERRIDE",$C57,"DEEP_BROKER_ID_OVERRIDE",N$24,"DEEP_PERIOD_OVERRIDE",$H$19)*1,"")))</f>
        <v/>
      </c>
      <c r="O57" s="17" t="str">
        <f>IF(OR(O$23="",ISNA($B57)),"",IF(ISBLANK($B57),"",IFERROR(_xll.BDP(TICKER,"DEEP_MEASURE_PERIOD_BROKER_VALUE","DEEP_MEASURE_ID_OVERRIDE",$C57,"DEEP_BROKER_ID_OVERRIDE",O$24,"DEEP_PERIOD_OVERRIDE",$H$19)*1,"")))</f>
        <v/>
      </c>
      <c r="P57" s="17" t="str">
        <f>IF(OR(P$23="",ISNA($B57)),"",IF(ISBLANK($B57),"",IFERROR(_xll.BDP(TICKER,"DEEP_MEASURE_PERIOD_BROKER_VALUE","DEEP_MEASURE_ID_OVERRIDE",$C57,"DEEP_BROKER_ID_OVERRIDE",P$24,"DEEP_PERIOD_OVERRIDE",$H$19)*1,"")))</f>
        <v/>
      </c>
      <c r="Q57" s="17" t="str">
        <f>IF(OR(Q$23="",ISNA($B57)),"",IF(ISBLANK($B57),"",IFERROR(_xll.BDP(TICKER,"DEEP_MEASURE_PERIOD_BROKER_VALUE","DEEP_MEASURE_ID_OVERRIDE",$C57,"DEEP_BROKER_ID_OVERRIDE",Q$24,"DEEP_PERIOD_OVERRIDE",$H$19)*1,"")))</f>
        <v/>
      </c>
      <c r="R57" s="17" t="str">
        <f>IF(OR(R$23="",ISNA($B57)),"",IF(ISBLANK($B57),"",IFERROR(_xll.BDP(TICKER,"DEEP_MEASURE_PERIOD_BROKER_VALUE","DEEP_MEASURE_ID_OVERRIDE",$C57,"DEEP_BROKER_ID_OVERRIDE",R$24,"DEEP_PERIOD_OVERRIDE",$H$19)*1,"")))</f>
        <v/>
      </c>
      <c r="S57" s="17" t="str">
        <f>IF(OR(S$23="",ISNA($B57)),"",IF(ISBLANK($B57),"",IFERROR(_xll.BDP(TICKER,"DEEP_MEASURE_PERIOD_BROKER_VALUE","DEEP_MEASURE_ID_OVERRIDE",$C57,"DEEP_BROKER_ID_OVERRIDE",S$24,"DEEP_PERIOD_OVERRIDE",$H$19)*1,"")))</f>
        <v/>
      </c>
      <c r="T57" s="17" t="str">
        <f>IF(OR(T$23="",ISNA($B57)),"",IF(ISBLANK($B57),"",IFERROR(_xll.BDP(TICKER,"DEEP_MEASURE_PERIOD_BROKER_VALUE","DEEP_MEASURE_ID_OVERRIDE",$C57,"DEEP_BROKER_ID_OVERRIDE",T$24,"DEEP_PERIOD_OVERRIDE",$H$19)*1,"")))</f>
        <v/>
      </c>
      <c r="U57" s="17" t="str">
        <f>IF(OR(U$23="",ISNA($B57)),"",IF(ISBLANK($B57),"",IFERROR(_xll.BDP(TICKER,"DEEP_MEASURE_PERIOD_BROKER_VALUE","DEEP_MEASURE_ID_OVERRIDE",$C57,"DEEP_BROKER_ID_OVERRIDE",U$24,"DEEP_PERIOD_OVERRIDE",$H$19)*1,"")))</f>
        <v/>
      </c>
      <c r="V57" s="17" t="str">
        <f>IF(OR(V$23="",ISNA($B57)),"",IF(ISBLANK($B57),"",IFERROR(_xll.BDP(TICKER,"DEEP_MEASURE_PERIOD_BROKER_VALUE","DEEP_MEASURE_ID_OVERRIDE",$C57,"DEEP_BROKER_ID_OVERRIDE",V$24,"DEEP_PERIOD_OVERRIDE",$H$19)*1,"")))</f>
        <v/>
      </c>
      <c r="W57" s="17" t="str">
        <f>IF(OR(W$23="",ISNA($B57)),"",IF(ISBLANK($B57),"",IFERROR(_xll.BDP(TICKER,"DEEP_MEASURE_PERIOD_BROKER_VALUE","DEEP_MEASURE_ID_OVERRIDE",$C57,"DEEP_BROKER_ID_OVERRIDE",W$24,"DEEP_PERIOD_OVERRIDE",$H$19)*1,"")))</f>
        <v/>
      </c>
      <c r="X57" s="17" t="str">
        <f>IF(OR(X$23="",ISNA($B57)),"",IF(ISBLANK($B57),"",IFERROR(_xll.BDP(TICKER,"DEEP_MEASURE_PERIOD_BROKER_VALUE","DEEP_MEASURE_ID_OVERRIDE",$C57,"DEEP_BROKER_ID_OVERRIDE",X$24,"DEEP_PERIOD_OVERRIDE",$H$19)*1,"")))</f>
        <v/>
      </c>
      <c r="Y57" s="17" t="str">
        <f>IF(OR(Y$23="",ISNA($B57)),"",IF(ISBLANK($B57),"",IFERROR(_xll.BDP(TICKER,"DEEP_MEASURE_PERIOD_BROKER_VALUE","DEEP_MEASURE_ID_OVERRIDE",$C57,"DEEP_BROKER_ID_OVERRIDE",Y$24,"DEEP_PERIOD_OVERRIDE",$H$19)*1,"")))</f>
        <v/>
      </c>
      <c r="Z57" s="17" t="str">
        <f>IF(OR(Z$23="",ISNA($B57)),"",IF(ISBLANK($B57),"",IFERROR(_xll.BDP(TICKER,"DEEP_MEASURE_PERIOD_BROKER_VALUE","DEEP_MEASURE_ID_OVERRIDE",$C57,"DEEP_BROKER_ID_OVERRIDE",Z$24,"DEEP_PERIOD_OVERRIDE",$H$19)*1,"")))</f>
        <v/>
      </c>
      <c r="AA57" s="17" t="str">
        <f>IF(OR(AA$23="",ISNA($B57)),"",IF(ISBLANK($B57),"",IFERROR(_xll.BDP(TICKER,"DEEP_MEASURE_PERIOD_BROKER_VALUE","DEEP_MEASURE_ID_OVERRIDE",$C57,"DEEP_BROKER_ID_OVERRIDE",AA$24,"DEEP_PERIOD_OVERRIDE",$H$19)*1,"")))</f>
        <v/>
      </c>
      <c r="AB57" s="17" t="str">
        <f>IF(OR(AB$23="",ISNA($B57)),"",IF(ISBLANK($B57),"",IFERROR(_xll.BDP(TICKER,"DEEP_MEASURE_PERIOD_BROKER_VALUE","DEEP_MEASURE_ID_OVERRIDE",$C57,"DEEP_BROKER_ID_OVERRIDE",AB$24,"DEEP_PERIOD_OVERRIDE",$H$19)*1,"")))</f>
        <v/>
      </c>
      <c r="AC57" s="17" t="str">
        <f>IF(OR(AC$23="",ISNA($B57)),"",IF(ISBLANK($B57),"",IFERROR(_xll.BDP(TICKER,"DEEP_MEASURE_PERIOD_BROKER_VALUE","DEEP_MEASURE_ID_OVERRIDE",$C57,"DEEP_BROKER_ID_OVERRIDE",AC$24,"DEEP_PERIOD_OVERRIDE",$H$19)*1,"")))</f>
        <v/>
      </c>
      <c r="AD57" s="17" t="str">
        <f>IF(OR(AD$23="",ISNA($B57)),"",IF(ISBLANK($B57),"",IFERROR(_xll.BDP(TICKER,"DEEP_MEASURE_PERIOD_BROKER_VALUE","DEEP_MEASURE_ID_OVERRIDE",$C57,"DEEP_BROKER_ID_OVERRIDE",AD$24,"DEEP_PERIOD_OVERRIDE",$H$19)*1,"")))</f>
        <v/>
      </c>
      <c r="AE57" s="17" t="str">
        <f>IF(OR(AE$23="",ISNA($B57)),"",IF(ISBLANK($B57),"",IFERROR(_xll.BDP(TICKER,"DEEP_MEASURE_PERIOD_BROKER_VALUE","DEEP_MEASURE_ID_OVERRIDE",$C57,"DEEP_BROKER_ID_OVERRIDE",AE$24,"DEEP_PERIOD_OVERRIDE",$H$19)*1,"")))</f>
        <v/>
      </c>
      <c r="AF57" s="17" t="str">
        <f>IF(OR(AF$23="",ISNA($B57)),"",IF(ISBLANK($B57),"",IFERROR(_xll.BDP(TICKER,"DEEP_MEASURE_PERIOD_BROKER_VALUE","DEEP_MEASURE_ID_OVERRIDE",$C57,"DEEP_BROKER_ID_OVERRIDE",AF$24,"DEEP_PERIOD_OVERRIDE",$H$19)*1,"")))</f>
        <v/>
      </c>
      <c r="AG57" s="17" t="str">
        <f>IF(OR(AG$23="",ISNA($B57)),"",IF(ISBLANK($B57),"",IFERROR(_xll.BDP(TICKER,"DEEP_MEASURE_PERIOD_BROKER_VALUE","DEEP_MEASURE_ID_OVERRIDE",$C57,"DEEP_BROKER_ID_OVERRIDE",AG$24,"DEEP_PERIOD_OVERRIDE",$H$19)*1,"")))</f>
        <v/>
      </c>
      <c r="AH57" s="17" t="str">
        <f>IF(OR(AH$23="",ISNA($B57)),"",IF(ISBLANK($B57),"",IFERROR(_xll.BDP(TICKER,"DEEP_MEASURE_PERIOD_BROKER_VALUE","DEEP_MEASURE_ID_OVERRIDE",$C57,"DEEP_BROKER_ID_OVERRIDE",AH$24,"DEEP_PERIOD_OVERRIDE",$H$19)*1,"")))</f>
        <v/>
      </c>
      <c r="AI57" s="17" t="str">
        <f>IF(OR(AI$23="",ISNA($B57)),"",IF(ISBLANK($B57),"",IFERROR(_xll.BDP(TICKER,"DEEP_MEASURE_PERIOD_BROKER_VALUE","DEEP_MEASURE_ID_OVERRIDE",$C57,"DEEP_BROKER_ID_OVERRIDE",AI$24,"DEEP_PERIOD_OVERRIDE",$H$19)*1,"")))</f>
        <v/>
      </c>
      <c r="AJ57" s="17" t="str">
        <f>IF(OR(AJ$23="",ISNA($B57)),"",IF(ISBLANK($B57),"",IFERROR(_xll.BDP(TICKER,"DEEP_MEASURE_PERIOD_BROKER_VALUE","DEEP_MEASURE_ID_OVERRIDE",$C57,"DEEP_BROKER_ID_OVERRIDE",AJ$24,"DEEP_PERIOD_OVERRIDE",$H$19)*1,"")))</f>
        <v/>
      </c>
      <c r="AK57" s="17" t="str">
        <f>IF(OR(AK$23="",ISNA($B57)),"",IF(ISBLANK($B57),"",IFERROR(_xll.BDP(TICKER,"DEEP_MEASURE_PERIOD_BROKER_VALUE","DEEP_MEASURE_ID_OVERRIDE",$C57,"DEEP_BROKER_ID_OVERRIDE",AK$24,"DEEP_PERIOD_OVERRIDE",$H$19)*1,"")))</f>
        <v/>
      </c>
      <c r="AL57" s="17" t="str">
        <f>IF(OR(AL$23="",ISNA($B57)),"",IF(ISBLANK($B57),"",IFERROR(_xll.BDP(TICKER,"DEEP_MEASURE_PERIOD_BROKER_VALUE","DEEP_MEASURE_ID_OVERRIDE",$C57,"DEEP_BROKER_ID_OVERRIDE",AL$24,"DEEP_PERIOD_OVERRIDE",$H$19)*1,"")))</f>
        <v/>
      </c>
      <c r="AM57" s="17" t="str">
        <f>IF(OR(AM$23="",ISNA($B57)),"",IF(ISBLANK($B57),"",IFERROR(_xll.BDP(TICKER,"DEEP_MEASURE_PERIOD_BROKER_VALUE","DEEP_MEASURE_ID_OVERRIDE",$C57,"DEEP_BROKER_ID_OVERRIDE",AM$24,"DEEP_PERIOD_OVERRIDE",$H$19)*1,"")))</f>
        <v/>
      </c>
      <c r="AN57" s="17" t="str">
        <f>IF(OR(AN$23="",ISNA($B57)),"",IF(ISBLANK($B57),"",IFERROR(_xll.BDP(TICKER,"DEEP_MEASURE_PERIOD_BROKER_VALUE","DEEP_MEASURE_ID_OVERRIDE",$C57,"DEEP_BROKER_ID_OVERRIDE",AN$24,"DEEP_PERIOD_OVERRIDE",$H$19)*1,"")))</f>
        <v/>
      </c>
      <c r="AO57" s="17" t="str">
        <f>IF(OR(AO$23="",ISNA($B57)),"",IF(ISBLANK($B57),"",IFERROR(_xll.BDP(TICKER,"DEEP_MEASURE_PERIOD_BROKER_VALUE","DEEP_MEASURE_ID_OVERRIDE",$C57,"DEEP_BROKER_ID_OVERRIDE",AO$24,"DEEP_PERIOD_OVERRIDE",$H$19)*1,"")))</f>
        <v/>
      </c>
      <c r="AP57" s="17" t="str">
        <f>IF(OR(AP$23="",ISNA($B57)),"",IF(ISBLANK($B57),"",IFERROR(_xll.BDP(TICKER,"DEEP_MEASURE_PERIOD_BROKER_VALUE","DEEP_MEASURE_ID_OVERRIDE",$C57,"DEEP_BROKER_ID_OVERRIDE",AP$24,"DEEP_PERIOD_OVERRIDE",$H$19)*1,"")))</f>
        <v/>
      </c>
      <c r="AQ57" s="17" t="str">
        <f>IF(OR(AQ$23="",ISNA($B57)),"",IF(ISBLANK($B57),"",IFERROR(_xll.BDP(TICKER,"DEEP_MEASURE_PERIOD_BROKER_VALUE","DEEP_MEASURE_ID_OVERRIDE",$C57,"DEEP_BROKER_ID_OVERRIDE",AQ$24,"DEEP_PERIOD_OVERRIDE",$H$19)*1,"")))</f>
        <v/>
      </c>
      <c r="AR57" s="17" t="str">
        <f>IF(OR(AR$23="",ISNA($B57)),"",IF(ISBLANK($B57),"",IFERROR(_xll.BDP(TICKER,"DEEP_MEASURE_PERIOD_BROKER_VALUE","DEEP_MEASURE_ID_OVERRIDE",$C57,"DEEP_BROKER_ID_OVERRIDE",AR$24,"DEEP_PERIOD_OVERRIDE",$H$19)*1,"")))</f>
        <v/>
      </c>
      <c r="AS57" s="17" t="str">
        <f>IF(OR(AS$23="",ISNA($B57)),"",IF(ISBLANK($B57),"",IFERROR(_xll.BDP(TICKER,"DEEP_MEASURE_PERIOD_BROKER_VALUE","DEEP_MEASURE_ID_OVERRIDE",$C57,"DEEP_BROKER_ID_OVERRIDE",AS$24,"DEEP_PERIOD_OVERRIDE",$H$19)*1,"")))</f>
        <v/>
      </c>
      <c r="AT57" s="17" t="str">
        <f>IF(OR(AT$23="",ISNA($B57)),"",IF(ISBLANK($B57),"",IFERROR(_xll.BDP(TICKER,"DEEP_MEASURE_PERIOD_BROKER_VALUE","DEEP_MEASURE_ID_OVERRIDE",$C57,"DEEP_BROKER_ID_OVERRIDE",AT$24,"DEEP_PERIOD_OVERRIDE",$H$19)*1,"")))</f>
        <v/>
      </c>
      <c r="AU57" s="17" t="str">
        <f>IF(OR(AU$23="",ISNA($B57)),"",IF(ISBLANK($B57),"",IFERROR(_xll.BDP(TICKER,"DEEP_MEASURE_PERIOD_BROKER_VALUE","DEEP_MEASURE_ID_OVERRIDE",$C57,"DEEP_BROKER_ID_OVERRIDE",AU$24,"DEEP_PERIOD_OVERRIDE",$H$19)*1,"")))</f>
        <v/>
      </c>
      <c r="AV57" s="17" t="str">
        <f>IF(OR(AV$23="",ISNA($B57)),"",IF(ISBLANK($B57),"",IFERROR(_xll.BDP(TICKER,"DEEP_MEASURE_PERIOD_BROKER_VALUE","DEEP_MEASURE_ID_OVERRIDE",$C57,"DEEP_BROKER_ID_OVERRIDE",AV$24,"DEEP_PERIOD_OVERRIDE",$H$19)*1,"")))</f>
        <v/>
      </c>
      <c r="AW57" s="17" t="str">
        <f>IF(OR(AW$23="",ISNA($B57)),"",IF(ISBLANK($B57),"",IFERROR(_xll.BDP(TICKER,"DEEP_MEASURE_PERIOD_BROKER_VALUE","DEEP_MEASURE_ID_OVERRIDE",$C57,"DEEP_BROKER_ID_OVERRIDE",AW$24,"DEEP_PERIOD_OVERRIDE",$H$19)*1,"")))</f>
        <v/>
      </c>
      <c r="AX57" s="17" t="str">
        <f>IF(OR(AX$23="",ISNA($B57)),"",IF(ISBLANK($B57),"",IFERROR(_xll.BDP(TICKER,"DEEP_MEASURE_PERIOD_BROKER_VALUE","DEEP_MEASURE_ID_OVERRIDE",$C57,"DEEP_BROKER_ID_OVERRIDE",AX$24,"DEEP_PERIOD_OVERRIDE",$H$19)*1,"")))</f>
        <v/>
      </c>
      <c r="AY57" s="17" t="str">
        <f>IF(OR(AY$23="",ISNA($B57)),"",IF(ISBLANK($B57),"",IFERROR(_xll.BDP(TICKER,"DEEP_MEASURE_PERIOD_BROKER_VALUE","DEEP_MEASURE_ID_OVERRIDE",$C57,"DEEP_BROKER_ID_OVERRIDE",AY$24,"DEEP_PERIOD_OVERRIDE",$H$19)*1,"")))</f>
        <v/>
      </c>
      <c r="AZ57" s="17" t="str">
        <f>IF(OR(AZ$23="",ISNA($B57)),"",IF(ISBLANK($B57),"",IFERROR(_xll.BDP(TICKER,"DEEP_MEASURE_PERIOD_BROKER_VALUE","DEEP_MEASURE_ID_OVERRIDE",$C57,"DEEP_BROKER_ID_OVERRIDE",AZ$24,"DEEP_PERIOD_OVERRIDE",$H$19)*1,"")))</f>
        <v/>
      </c>
      <c r="BA57" s="17" t="str">
        <f>IF(OR(BA$23="",ISNA($B57)),"",IF(ISBLANK($B57),"",IFERROR(_xll.BDP(TICKER,"DEEP_MEASURE_PERIOD_BROKER_VALUE","DEEP_MEASURE_ID_OVERRIDE",$C57,"DEEP_BROKER_ID_OVERRIDE",BA$24,"DEEP_PERIOD_OVERRIDE",$H$19)*1,"")))</f>
        <v/>
      </c>
      <c r="BB57" s="17" t="str">
        <f>IF(OR(BB$23="",ISNA($B57)),"",IF(ISBLANK($B57),"",IFERROR(_xll.BDP(TICKER,"DEEP_MEASURE_PERIOD_BROKER_VALUE","DEEP_MEASURE_ID_OVERRIDE",$C57,"DEEP_BROKER_ID_OVERRIDE",BB$24,"DEEP_PERIOD_OVERRIDE",$H$19)*1,"")))</f>
        <v/>
      </c>
      <c r="BC57" s="17" t="str">
        <f>IF(OR(BC$23="",ISNA($B57)),"",IF(ISBLANK($B57),"",IFERROR(_xll.BDP(TICKER,"DEEP_MEASURE_PERIOD_BROKER_VALUE","DEEP_MEASURE_ID_OVERRIDE",$C57,"DEEP_BROKER_ID_OVERRIDE",BC$24,"DEEP_PERIOD_OVERRIDE",$H$19)*1,"")))</f>
        <v/>
      </c>
      <c r="BD57" s="17" t="str">
        <f>IF(OR(BD$23="",ISNA($B57)),"",IF(ISBLANK($B57),"",IFERROR(_xll.BDP(TICKER,"DEEP_MEASURE_PERIOD_BROKER_VALUE","DEEP_MEASURE_ID_OVERRIDE",$C57,"DEEP_BROKER_ID_OVERRIDE",BD$24,"DEEP_PERIOD_OVERRIDE",$H$19)*1,"")))</f>
        <v/>
      </c>
      <c r="BE57" s="17" t="str">
        <f>IF(OR(BE$23="",ISNA($B57)),"",IF(ISBLANK($B57),"",IFERROR(_xll.BDP(TICKER,"DEEP_MEASURE_PERIOD_BROKER_VALUE","DEEP_MEASURE_ID_OVERRIDE",$C57,"DEEP_BROKER_ID_OVERRIDE",BE$24,"DEEP_PERIOD_OVERRIDE",$H$19)*1,"")))</f>
        <v/>
      </c>
      <c r="BF57" s="17" t="str">
        <f>IF(OR(BF$23="",ISNA($B57)),"",IF(ISBLANK($B57),"",IFERROR(_xll.BDP(TICKER,"DEEP_MEASURE_PERIOD_BROKER_VALUE","DEEP_MEASURE_ID_OVERRIDE",$C57,"DEEP_BROKER_ID_OVERRIDE",BF$24,"DEEP_PERIOD_OVERRIDE",$H$19)*1,"")))</f>
        <v/>
      </c>
      <c r="BG57" s="17" t="str">
        <f>IF(OR(BG$23="",ISNA($B57)),"",IF(ISBLANK($B57),"",IFERROR(_xll.BDP(TICKER,"DEEP_MEASURE_PERIOD_BROKER_VALUE","DEEP_MEASURE_ID_OVERRIDE",$C57,"DEEP_BROKER_ID_OVERRIDE",BG$24,"DEEP_PERIOD_OVERRIDE",$H$19)*1,"")))</f>
        <v/>
      </c>
      <c r="BH57" s="17" t="str">
        <f>IF(OR(BH$23="",ISNA($B57)),"",IF(ISBLANK($B57),"",IFERROR(_xll.BDP(TICKER,"DEEP_MEASURE_PERIOD_BROKER_VALUE","DEEP_MEASURE_ID_OVERRIDE",$C57,"DEEP_BROKER_ID_OVERRIDE",BH$24,"DEEP_PERIOD_OVERRIDE",$H$19)*1,"")))</f>
        <v/>
      </c>
      <c r="BI57" s="17" t="str">
        <f>IF(OR(BI$23="",ISNA($B57)),"",IF(ISBLANK($B57),"",IFERROR(_xll.BDP(TICKER,"DEEP_MEASURE_PERIOD_BROKER_VALUE","DEEP_MEASURE_ID_OVERRIDE",$C57,"DEEP_BROKER_ID_OVERRIDE",BI$24,"DEEP_PERIOD_OVERRIDE",$H$19)*1,"")))</f>
        <v/>
      </c>
      <c r="BJ57" s="17" t="str">
        <f>IF(OR(BJ$23="",ISNA($B57)),"",IF(ISBLANK($B57),"",IFERROR(_xll.BDP(TICKER,"DEEP_MEASURE_PERIOD_BROKER_VALUE","DEEP_MEASURE_ID_OVERRIDE",$C57,"DEEP_BROKER_ID_OVERRIDE",BJ$24,"DEEP_PERIOD_OVERRIDE",$H$19)*1,"")))</f>
        <v/>
      </c>
      <c r="BK57" s="17" t="str">
        <f>IF(OR(BK$23="",ISNA($B57)),"",IF(ISBLANK($B57),"",IFERROR(_xll.BDP(TICKER,"DEEP_MEASURE_PERIOD_BROKER_VALUE","DEEP_MEASURE_ID_OVERRIDE",$C57,"DEEP_BROKER_ID_OVERRIDE",BK$24,"DEEP_PERIOD_OVERRIDE",$H$19)*1,"")))</f>
        <v/>
      </c>
      <c r="BL57" s="17" t="str">
        <f>IF(OR(BL$23="",ISNA($B57)),"",IF(ISBLANK($B57),"",IFERROR(_xll.BDP(TICKER,"DEEP_MEASURE_PERIOD_BROKER_VALUE","DEEP_MEASURE_ID_OVERRIDE",$C57,"DEEP_BROKER_ID_OVERRIDE",BL$24,"DEEP_PERIOD_OVERRIDE",$H$19)*1,"")))</f>
        <v/>
      </c>
      <c r="BM57" s="17" t="str">
        <f>IF(OR(BM$23="",ISNA($B57)),"",IF(ISBLANK($B57),"",IFERROR(_xll.BDP(TICKER,"DEEP_MEASURE_PERIOD_BROKER_VALUE","DEEP_MEASURE_ID_OVERRIDE",$C57,"DEEP_BROKER_ID_OVERRIDE",BM$24,"DEEP_PERIOD_OVERRIDE",$H$19)*1,"")))</f>
        <v/>
      </c>
      <c r="BN57" s="17" t="str">
        <f>IF(OR(BN$23="",ISNA($B57)),"",IF(ISBLANK($B57),"",IFERROR(_xll.BDP(TICKER,"DEEP_MEASURE_PERIOD_BROKER_VALUE","DEEP_MEASURE_ID_OVERRIDE",$C57,"DEEP_BROKER_ID_OVERRIDE",BN$24,"DEEP_PERIOD_OVERRIDE",$H$19)*1,"")))</f>
        <v/>
      </c>
      <c r="BO57" s="17" t="str">
        <f>IF(OR(BO$23="",ISNA($B57)),"",IF(ISBLANK($B57),"",IFERROR(_xll.BDP(TICKER,"DEEP_MEASURE_PERIOD_BROKER_VALUE","DEEP_MEASURE_ID_OVERRIDE",$C57,"DEEP_BROKER_ID_OVERRIDE",BO$24,"DEEP_PERIOD_OVERRIDE",$H$19)*1,"")))</f>
        <v/>
      </c>
      <c r="BP57" s="17" t="str">
        <f>IF(OR(BP$23="",ISNA($B57)),"",IF(ISBLANK($B57),"",IFERROR(_xll.BDP(TICKER,"DEEP_MEASURE_PERIOD_BROKER_VALUE","DEEP_MEASURE_ID_OVERRIDE",$C57,"DEEP_BROKER_ID_OVERRIDE",BP$24,"DEEP_PERIOD_OVERRIDE",$H$19)*1,"")))</f>
        <v/>
      </c>
      <c r="BQ57" s="17" t="str">
        <f>IF(OR(BQ$23="",ISNA($B57)),"",IF(ISBLANK($B57),"",IFERROR(_xll.BDP(TICKER,"DEEP_MEASURE_PERIOD_BROKER_VALUE","DEEP_MEASURE_ID_OVERRIDE",$C57,"DEEP_BROKER_ID_OVERRIDE",BQ$24,"DEEP_PERIOD_OVERRIDE",$H$19)*1,"")))</f>
        <v/>
      </c>
      <c r="BR57" s="17" t="str">
        <f>IF(OR(BR$23="",ISNA($B57)),"",IF(ISBLANK($B57),"",IFERROR(_xll.BDP(TICKER,"DEEP_MEASURE_PERIOD_BROKER_VALUE","DEEP_MEASURE_ID_OVERRIDE",$C57,"DEEP_BROKER_ID_OVERRIDE",BR$24,"DEEP_PERIOD_OVERRIDE",$H$19)*1,"")))</f>
        <v/>
      </c>
      <c r="BS57" s="17" t="str">
        <f>IF(OR(BS$23="",ISNA($B57)),"",IF(ISBLANK($B57),"",IFERROR(_xll.BDP(TICKER,"DEEP_MEASURE_PERIOD_BROKER_VALUE","DEEP_MEASURE_ID_OVERRIDE",$C57,"DEEP_BROKER_ID_OVERRIDE",BS$24,"DEEP_PERIOD_OVERRIDE",$H$19)*1,"")))</f>
        <v/>
      </c>
      <c r="BT57" s="17" t="str">
        <f>IF(OR(BT$23="",ISNA($B57)),"",IF(ISBLANK($B57),"",IFERROR(_xll.BDP(TICKER,"DEEP_MEASURE_PERIOD_BROKER_VALUE","DEEP_MEASURE_ID_OVERRIDE",$C57,"DEEP_BROKER_ID_OVERRIDE",BT$24,"DEEP_PERIOD_OVERRIDE",$H$19)*1,"")))</f>
        <v/>
      </c>
      <c r="BU57" s="17" t="str">
        <f>IF(OR(BU$23="",ISNA($B57)),"",IF(ISBLANK($B57),"",IFERROR(_xll.BDP(TICKER,"DEEP_MEASURE_PERIOD_BROKER_VALUE","DEEP_MEASURE_ID_OVERRIDE",$C57,"DEEP_BROKER_ID_OVERRIDE",BU$24,"DEEP_PERIOD_OVERRIDE",$H$19)*1,"")))</f>
        <v/>
      </c>
      <c r="BV57" s="17" t="str">
        <f>IF(OR(BV$23="",ISNA($B57)),"",IF(ISBLANK($B57),"",IFERROR(_xll.BDP(TICKER,"DEEP_MEASURE_PERIOD_BROKER_VALUE","DEEP_MEASURE_ID_OVERRIDE",$C57,"DEEP_BROKER_ID_OVERRIDE",BV$24,"DEEP_PERIOD_OVERRIDE",$H$19)*1,"")))</f>
        <v/>
      </c>
      <c r="BW57" s="17" t="str">
        <f>IF(OR(BW$23="",ISNA($B57)),"",IF(ISBLANK($B57),"",IFERROR(_xll.BDP(TICKER,"DEEP_MEASURE_PERIOD_BROKER_VALUE","DEEP_MEASURE_ID_OVERRIDE",$C57,"DEEP_BROKER_ID_OVERRIDE",BW$24,"DEEP_PERIOD_OVERRIDE",$H$19)*1,"")))</f>
        <v/>
      </c>
      <c r="BX57" s="17" t="str">
        <f>IF(OR(BX$23="",ISNA($B57)),"",IF(ISBLANK($B57),"",IFERROR(_xll.BDP(TICKER,"DEEP_MEASURE_PERIOD_BROKER_VALUE","DEEP_MEASURE_ID_OVERRIDE",$C57,"DEEP_BROKER_ID_OVERRIDE",BX$24,"DEEP_PERIOD_OVERRIDE",$H$19)*1,"")))</f>
        <v/>
      </c>
      <c r="BY57" s="17" t="str">
        <f>IF(OR(BY$23="",ISNA($B57)),"",IF(ISBLANK($B57),"",IFERROR(_xll.BDP(TICKER,"DEEP_MEASURE_PERIOD_BROKER_VALUE","DEEP_MEASURE_ID_OVERRIDE",$C57,"DEEP_BROKER_ID_OVERRIDE",BY$24,"DEEP_PERIOD_OVERRIDE",$H$19)*1,"")))</f>
        <v/>
      </c>
      <c r="BZ57" s="17" t="str">
        <f>IF(OR(BZ$23="",ISNA($B57)),"",IF(ISBLANK($B57),"",IFERROR(_xll.BDP(TICKER,"DEEP_MEASURE_PERIOD_BROKER_VALUE","DEEP_MEASURE_ID_OVERRIDE",$C57,"DEEP_BROKER_ID_OVERRIDE",BZ$24,"DEEP_PERIOD_OVERRIDE",$H$19)*1,"")))</f>
        <v/>
      </c>
    </row>
    <row r="58" spans="2:78" x14ac:dyDescent="0.25">
      <c r="B58" t="s">
        <v>102</v>
      </c>
      <c r="C58" s="11">
        <v>100</v>
      </c>
      <c r="H58" t="str">
        <f t="shared" si="1"/>
        <v>Total Revenue &gt; Hotel &gt; Revenue &gt; YoY Growth (%)</v>
      </c>
      <c r="I58" t="str">
        <f>IF(OR(I$23="",ISNA($B58)),"",IF(ISBLANK($B58),"",IFERROR(_xll.BDP(TICKER,"DEEP_MEASURE_PERIOD_BROKER_VALUE","DEEP_MEASURE_ID_OVERRIDE",$C58,"DEEP_PERIOD_OVERRIDE",$H$19)*1,"")))</f>
        <v/>
      </c>
      <c r="J58" t="e">
        <f>IF(OR(J$23="",ISNA($B58)),"",IF(ISBLANK($B58),"",IFERROR(_xll.BDP(TICKER,"DEEP_MEASURE_PERIOD_BROKER_VALUE","DEEP_MEASURE_ID_OVERRIDE",$C58,"DEEP_BROKER_ID_OVERRIDE",J$24,"DEEP_PERIOD_OVERRIDE",$H$19)*1,"")))</f>
        <v>#REF!</v>
      </c>
      <c r="K58" s="17" t="str">
        <f>IF(OR(K$23="",ISNA($B58)),"",IF(ISBLANK($B58),"",IFERROR(_xll.BDP(TICKER,"DEEP_MEASURE_PERIOD_BROKER_VALUE","DEEP_MEASURE_ID_OVERRIDE",$C58,"DEEP_BROKER_ID_OVERRIDE",K$24,"DEEP_PERIOD_OVERRIDE",$H$19)*1,"")))</f>
        <v/>
      </c>
      <c r="L58" s="17" t="str">
        <f>IF(OR(L$23="",ISNA($B58)),"",IF(ISBLANK($B58),"",IFERROR(_xll.BDP(TICKER,"DEEP_MEASURE_PERIOD_BROKER_VALUE","DEEP_MEASURE_ID_OVERRIDE",$C58,"DEEP_BROKER_ID_OVERRIDE",L$24,"DEEP_PERIOD_OVERRIDE",$H$19)*1,"")))</f>
        <v/>
      </c>
      <c r="M58" s="17" t="str">
        <f>IF(OR(M$23="",ISNA($B58)),"",IF(ISBLANK($B58),"",IFERROR(_xll.BDP(TICKER,"DEEP_MEASURE_PERIOD_BROKER_VALUE","DEEP_MEASURE_ID_OVERRIDE",$C58,"DEEP_BROKER_ID_OVERRIDE",M$24,"DEEP_PERIOD_OVERRIDE",$H$19)*1,"")))</f>
        <v/>
      </c>
      <c r="N58" s="17" t="str">
        <f>IF(OR(N$23="",ISNA($B58)),"",IF(ISBLANK($B58),"",IFERROR(_xll.BDP(TICKER,"DEEP_MEASURE_PERIOD_BROKER_VALUE","DEEP_MEASURE_ID_OVERRIDE",$C58,"DEEP_BROKER_ID_OVERRIDE",N$24,"DEEP_PERIOD_OVERRIDE",$H$19)*1,"")))</f>
        <v/>
      </c>
      <c r="O58" s="17" t="str">
        <f>IF(OR(O$23="",ISNA($B58)),"",IF(ISBLANK($B58),"",IFERROR(_xll.BDP(TICKER,"DEEP_MEASURE_PERIOD_BROKER_VALUE","DEEP_MEASURE_ID_OVERRIDE",$C58,"DEEP_BROKER_ID_OVERRIDE",O$24,"DEEP_PERIOD_OVERRIDE",$H$19)*1,"")))</f>
        <v/>
      </c>
      <c r="P58" s="17" t="str">
        <f>IF(OR(P$23="",ISNA($B58)),"",IF(ISBLANK($B58),"",IFERROR(_xll.BDP(TICKER,"DEEP_MEASURE_PERIOD_BROKER_VALUE","DEEP_MEASURE_ID_OVERRIDE",$C58,"DEEP_BROKER_ID_OVERRIDE",P$24,"DEEP_PERIOD_OVERRIDE",$H$19)*1,"")))</f>
        <v/>
      </c>
      <c r="Q58" s="17" t="str">
        <f>IF(OR(Q$23="",ISNA($B58)),"",IF(ISBLANK($B58),"",IFERROR(_xll.BDP(TICKER,"DEEP_MEASURE_PERIOD_BROKER_VALUE","DEEP_MEASURE_ID_OVERRIDE",$C58,"DEEP_BROKER_ID_OVERRIDE",Q$24,"DEEP_PERIOD_OVERRIDE",$H$19)*1,"")))</f>
        <v/>
      </c>
      <c r="R58" s="17" t="str">
        <f>IF(OR(R$23="",ISNA($B58)),"",IF(ISBLANK($B58),"",IFERROR(_xll.BDP(TICKER,"DEEP_MEASURE_PERIOD_BROKER_VALUE","DEEP_MEASURE_ID_OVERRIDE",$C58,"DEEP_BROKER_ID_OVERRIDE",R$24,"DEEP_PERIOD_OVERRIDE",$H$19)*1,"")))</f>
        <v/>
      </c>
      <c r="S58" s="17" t="str">
        <f>IF(OR(S$23="",ISNA($B58)),"",IF(ISBLANK($B58),"",IFERROR(_xll.BDP(TICKER,"DEEP_MEASURE_PERIOD_BROKER_VALUE","DEEP_MEASURE_ID_OVERRIDE",$C58,"DEEP_BROKER_ID_OVERRIDE",S$24,"DEEP_PERIOD_OVERRIDE",$H$19)*1,"")))</f>
        <v/>
      </c>
      <c r="T58" s="17" t="str">
        <f>IF(OR(T$23="",ISNA($B58)),"",IF(ISBLANK($B58),"",IFERROR(_xll.BDP(TICKER,"DEEP_MEASURE_PERIOD_BROKER_VALUE","DEEP_MEASURE_ID_OVERRIDE",$C58,"DEEP_BROKER_ID_OVERRIDE",T$24,"DEEP_PERIOD_OVERRIDE",$H$19)*1,"")))</f>
        <v/>
      </c>
      <c r="U58" s="17" t="str">
        <f>IF(OR(U$23="",ISNA($B58)),"",IF(ISBLANK($B58),"",IFERROR(_xll.BDP(TICKER,"DEEP_MEASURE_PERIOD_BROKER_VALUE","DEEP_MEASURE_ID_OVERRIDE",$C58,"DEEP_BROKER_ID_OVERRIDE",U$24,"DEEP_PERIOD_OVERRIDE",$H$19)*1,"")))</f>
        <v/>
      </c>
      <c r="V58" s="17" t="str">
        <f>IF(OR(V$23="",ISNA($B58)),"",IF(ISBLANK($B58),"",IFERROR(_xll.BDP(TICKER,"DEEP_MEASURE_PERIOD_BROKER_VALUE","DEEP_MEASURE_ID_OVERRIDE",$C58,"DEEP_BROKER_ID_OVERRIDE",V$24,"DEEP_PERIOD_OVERRIDE",$H$19)*1,"")))</f>
        <v/>
      </c>
      <c r="W58" s="17" t="str">
        <f>IF(OR(W$23="",ISNA($B58)),"",IF(ISBLANK($B58),"",IFERROR(_xll.BDP(TICKER,"DEEP_MEASURE_PERIOD_BROKER_VALUE","DEEP_MEASURE_ID_OVERRIDE",$C58,"DEEP_BROKER_ID_OVERRIDE",W$24,"DEEP_PERIOD_OVERRIDE",$H$19)*1,"")))</f>
        <v/>
      </c>
      <c r="X58" s="17" t="str">
        <f>IF(OR(X$23="",ISNA($B58)),"",IF(ISBLANK($B58),"",IFERROR(_xll.BDP(TICKER,"DEEP_MEASURE_PERIOD_BROKER_VALUE","DEEP_MEASURE_ID_OVERRIDE",$C58,"DEEP_BROKER_ID_OVERRIDE",X$24,"DEEP_PERIOD_OVERRIDE",$H$19)*1,"")))</f>
        <v/>
      </c>
      <c r="Y58" s="17" t="str">
        <f>IF(OR(Y$23="",ISNA($B58)),"",IF(ISBLANK($B58),"",IFERROR(_xll.BDP(TICKER,"DEEP_MEASURE_PERIOD_BROKER_VALUE","DEEP_MEASURE_ID_OVERRIDE",$C58,"DEEP_BROKER_ID_OVERRIDE",Y$24,"DEEP_PERIOD_OVERRIDE",$H$19)*1,"")))</f>
        <v/>
      </c>
      <c r="Z58" s="17" t="str">
        <f>IF(OR(Z$23="",ISNA($B58)),"",IF(ISBLANK($B58),"",IFERROR(_xll.BDP(TICKER,"DEEP_MEASURE_PERIOD_BROKER_VALUE","DEEP_MEASURE_ID_OVERRIDE",$C58,"DEEP_BROKER_ID_OVERRIDE",Z$24,"DEEP_PERIOD_OVERRIDE",$H$19)*1,"")))</f>
        <v/>
      </c>
      <c r="AA58" s="17" t="str">
        <f>IF(OR(AA$23="",ISNA($B58)),"",IF(ISBLANK($B58),"",IFERROR(_xll.BDP(TICKER,"DEEP_MEASURE_PERIOD_BROKER_VALUE","DEEP_MEASURE_ID_OVERRIDE",$C58,"DEEP_BROKER_ID_OVERRIDE",AA$24,"DEEP_PERIOD_OVERRIDE",$H$19)*1,"")))</f>
        <v/>
      </c>
      <c r="AB58" s="17" t="str">
        <f>IF(OR(AB$23="",ISNA($B58)),"",IF(ISBLANK($B58),"",IFERROR(_xll.BDP(TICKER,"DEEP_MEASURE_PERIOD_BROKER_VALUE","DEEP_MEASURE_ID_OVERRIDE",$C58,"DEEP_BROKER_ID_OVERRIDE",AB$24,"DEEP_PERIOD_OVERRIDE",$H$19)*1,"")))</f>
        <v/>
      </c>
      <c r="AC58" s="17" t="str">
        <f>IF(OR(AC$23="",ISNA($B58)),"",IF(ISBLANK($B58),"",IFERROR(_xll.BDP(TICKER,"DEEP_MEASURE_PERIOD_BROKER_VALUE","DEEP_MEASURE_ID_OVERRIDE",$C58,"DEEP_BROKER_ID_OVERRIDE",AC$24,"DEEP_PERIOD_OVERRIDE",$H$19)*1,"")))</f>
        <v/>
      </c>
      <c r="AD58" s="17" t="str">
        <f>IF(OR(AD$23="",ISNA($B58)),"",IF(ISBLANK($B58),"",IFERROR(_xll.BDP(TICKER,"DEEP_MEASURE_PERIOD_BROKER_VALUE","DEEP_MEASURE_ID_OVERRIDE",$C58,"DEEP_BROKER_ID_OVERRIDE",AD$24,"DEEP_PERIOD_OVERRIDE",$H$19)*1,"")))</f>
        <v/>
      </c>
      <c r="AE58" s="17" t="str">
        <f>IF(OR(AE$23="",ISNA($B58)),"",IF(ISBLANK($B58),"",IFERROR(_xll.BDP(TICKER,"DEEP_MEASURE_PERIOD_BROKER_VALUE","DEEP_MEASURE_ID_OVERRIDE",$C58,"DEEP_BROKER_ID_OVERRIDE",AE$24,"DEEP_PERIOD_OVERRIDE",$H$19)*1,"")))</f>
        <v/>
      </c>
      <c r="AF58" s="17" t="str">
        <f>IF(OR(AF$23="",ISNA($B58)),"",IF(ISBLANK($B58),"",IFERROR(_xll.BDP(TICKER,"DEEP_MEASURE_PERIOD_BROKER_VALUE","DEEP_MEASURE_ID_OVERRIDE",$C58,"DEEP_BROKER_ID_OVERRIDE",AF$24,"DEEP_PERIOD_OVERRIDE",$H$19)*1,"")))</f>
        <v/>
      </c>
      <c r="AG58" s="17" t="str">
        <f>IF(OR(AG$23="",ISNA($B58)),"",IF(ISBLANK($B58),"",IFERROR(_xll.BDP(TICKER,"DEEP_MEASURE_PERIOD_BROKER_VALUE","DEEP_MEASURE_ID_OVERRIDE",$C58,"DEEP_BROKER_ID_OVERRIDE",AG$24,"DEEP_PERIOD_OVERRIDE",$H$19)*1,"")))</f>
        <v/>
      </c>
      <c r="AH58" s="17" t="str">
        <f>IF(OR(AH$23="",ISNA($B58)),"",IF(ISBLANK($B58),"",IFERROR(_xll.BDP(TICKER,"DEEP_MEASURE_PERIOD_BROKER_VALUE","DEEP_MEASURE_ID_OVERRIDE",$C58,"DEEP_BROKER_ID_OVERRIDE",AH$24,"DEEP_PERIOD_OVERRIDE",$H$19)*1,"")))</f>
        <v/>
      </c>
      <c r="AI58" s="17" t="str">
        <f>IF(OR(AI$23="",ISNA($B58)),"",IF(ISBLANK($B58),"",IFERROR(_xll.BDP(TICKER,"DEEP_MEASURE_PERIOD_BROKER_VALUE","DEEP_MEASURE_ID_OVERRIDE",$C58,"DEEP_BROKER_ID_OVERRIDE",AI$24,"DEEP_PERIOD_OVERRIDE",$H$19)*1,"")))</f>
        <v/>
      </c>
      <c r="AJ58" s="17" t="str">
        <f>IF(OR(AJ$23="",ISNA($B58)),"",IF(ISBLANK($B58),"",IFERROR(_xll.BDP(TICKER,"DEEP_MEASURE_PERIOD_BROKER_VALUE","DEEP_MEASURE_ID_OVERRIDE",$C58,"DEEP_BROKER_ID_OVERRIDE",AJ$24,"DEEP_PERIOD_OVERRIDE",$H$19)*1,"")))</f>
        <v/>
      </c>
      <c r="AK58" s="17" t="str">
        <f>IF(OR(AK$23="",ISNA($B58)),"",IF(ISBLANK($B58),"",IFERROR(_xll.BDP(TICKER,"DEEP_MEASURE_PERIOD_BROKER_VALUE","DEEP_MEASURE_ID_OVERRIDE",$C58,"DEEP_BROKER_ID_OVERRIDE",AK$24,"DEEP_PERIOD_OVERRIDE",$H$19)*1,"")))</f>
        <v/>
      </c>
      <c r="AL58" s="17" t="str">
        <f>IF(OR(AL$23="",ISNA($B58)),"",IF(ISBLANK($B58),"",IFERROR(_xll.BDP(TICKER,"DEEP_MEASURE_PERIOD_BROKER_VALUE","DEEP_MEASURE_ID_OVERRIDE",$C58,"DEEP_BROKER_ID_OVERRIDE",AL$24,"DEEP_PERIOD_OVERRIDE",$H$19)*1,"")))</f>
        <v/>
      </c>
      <c r="AM58" s="17" t="str">
        <f>IF(OR(AM$23="",ISNA($B58)),"",IF(ISBLANK($B58),"",IFERROR(_xll.BDP(TICKER,"DEEP_MEASURE_PERIOD_BROKER_VALUE","DEEP_MEASURE_ID_OVERRIDE",$C58,"DEEP_BROKER_ID_OVERRIDE",AM$24,"DEEP_PERIOD_OVERRIDE",$H$19)*1,"")))</f>
        <v/>
      </c>
      <c r="AN58" s="17" t="str">
        <f>IF(OR(AN$23="",ISNA($B58)),"",IF(ISBLANK($B58),"",IFERROR(_xll.BDP(TICKER,"DEEP_MEASURE_PERIOD_BROKER_VALUE","DEEP_MEASURE_ID_OVERRIDE",$C58,"DEEP_BROKER_ID_OVERRIDE",AN$24,"DEEP_PERIOD_OVERRIDE",$H$19)*1,"")))</f>
        <v/>
      </c>
      <c r="AO58" s="17" t="str">
        <f>IF(OR(AO$23="",ISNA($B58)),"",IF(ISBLANK($B58),"",IFERROR(_xll.BDP(TICKER,"DEEP_MEASURE_PERIOD_BROKER_VALUE","DEEP_MEASURE_ID_OVERRIDE",$C58,"DEEP_BROKER_ID_OVERRIDE",AO$24,"DEEP_PERIOD_OVERRIDE",$H$19)*1,"")))</f>
        <v/>
      </c>
      <c r="AP58" s="17" t="str">
        <f>IF(OR(AP$23="",ISNA($B58)),"",IF(ISBLANK($B58),"",IFERROR(_xll.BDP(TICKER,"DEEP_MEASURE_PERIOD_BROKER_VALUE","DEEP_MEASURE_ID_OVERRIDE",$C58,"DEEP_BROKER_ID_OVERRIDE",AP$24,"DEEP_PERIOD_OVERRIDE",$H$19)*1,"")))</f>
        <v/>
      </c>
      <c r="AQ58" s="17" t="str">
        <f>IF(OR(AQ$23="",ISNA($B58)),"",IF(ISBLANK($B58),"",IFERROR(_xll.BDP(TICKER,"DEEP_MEASURE_PERIOD_BROKER_VALUE","DEEP_MEASURE_ID_OVERRIDE",$C58,"DEEP_BROKER_ID_OVERRIDE",AQ$24,"DEEP_PERIOD_OVERRIDE",$H$19)*1,"")))</f>
        <v/>
      </c>
      <c r="AR58" s="17" t="str">
        <f>IF(OR(AR$23="",ISNA($B58)),"",IF(ISBLANK($B58),"",IFERROR(_xll.BDP(TICKER,"DEEP_MEASURE_PERIOD_BROKER_VALUE","DEEP_MEASURE_ID_OVERRIDE",$C58,"DEEP_BROKER_ID_OVERRIDE",AR$24,"DEEP_PERIOD_OVERRIDE",$H$19)*1,"")))</f>
        <v/>
      </c>
      <c r="AS58" s="17" t="str">
        <f>IF(OR(AS$23="",ISNA($B58)),"",IF(ISBLANK($B58),"",IFERROR(_xll.BDP(TICKER,"DEEP_MEASURE_PERIOD_BROKER_VALUE","DEEP_MEASURE_ID_OVERRIDE",$C58,"DEEP_BROKER_ID_OVERRIDE",AS$24,"DEEP_PERIOD_OVERRIDE",$H$19)*1,"")))</f>
        <v/>
      </c>
      <c r="AT58" s="17" t="str">
        <f>IF(OR(AT$23="",ISNA($B58)),"",IF(ISBLANK($B58),"",IFERROR(_xll.BDP(TICKER,"DEEP_MEASURE_PERIOD_BROKER_VALUE","DEEP_MEASURE_ID_OVERRIDE",$C58,"DEEP_BROKER_ID_OVERRIDE",AT$24,"DEEP_PERIOD_OVERRIDE",$H$19)*1,"")))</f>
        <v/>
      </c>
      <c r="AU58" s="17" t="str">
        <f>IF(OR(AU$23="",ISNA($B58)),"",IF(ISBLANK($B58),"",IFERROR(_xll.BDP(TICKER,"DEEP_MEASURE_PERIOD_BROKER_VALUE","DEEP_MEASURE_ID_OVERRIDE",$C58,"DEEP_BROKER_ID_OVERRIDE",AU$24,"DEEP_PERIOD_OVERRIDE",$H$19)*1,"")))</f>
        <v/>
      </c>
      <c r="AV58" s="17" t="str">
        <f>IF(OR(AV$23="",ISNA($B58)),"",IF(ISBLANK($B58),"",IFERROR(_xll.BDP(TICKER,"DEEP_MEASURE_PERIOD_BROKER_VALUE","DEEP_MEASURE_ID_OVERRIDE",$C58,"DEEP_BROKER_ID_OVERRIDE",AV$24,"DEEP_PERIOD_OVERRIDE",$H$19)*1,"")))</f>
        <v/>
      </c>
      <c r="AW58" s="17" t="str">
        <f>IF(OR(AW$23="",ISNA($B58)),"",IF(ISBLANK($B58),"",IFERROR(_xll.BDP(TICKER,"DEEP_MEASURE_PERIOD_BROKER_VALUE","DEEP_MEASURE_ID_OVERRIDE",$C58,"DEEP_BROKER_ID_OVERRIDE",AW$24,"DEEP_PERIOD_OVERRIDE",$H$19)*1,"")))</f>
        <v/>
      </c>
      <c r="AX58" s="17" t="str">
        <f>IF(OR(AX$23="",ISNA($B58)),"",IF(ISBLANK($B58),"",IFERROR(_xll.BDP(TICKER,"DEEP_MEASURE_PERIOD_BROKER_VALUE","DEEP_MEASURE_ID_OVERRIDE",$C58,"DEEP_BROKER_ID_OVERRIDE",AX$24,"DEEP_PERIOD_OVERRIDE",$H$19)*1,"")))</f>
        <v/>
      </c>
      <c r="AY58" s="17" t="str">
        <f>IF(OR(AY$23="",ISNA($B58)),"",IF(ISBLANK($B58),"",IFERROR(_xll.BDP(TICKER,"DEEP_MEASURE_PERIOD_BROKER_VALUE","DEEP_MEASURE_ID_OVERRIDE",$C58,"DEEP_BROKER_ID_OVERRIDE",AY$24,"DEEP_PERIOD_OVERRIDE",$H$19)*1,"")))</f>
        <v/>
      </c>
      <c r="AZ58" s="17" t="str">
        <f>IF(OR(AZ$23="",ISNA($B58)),"",IF(ISBLANK($B58),"",IFERROR(_xll.BDP(TICKER,"DEEP_MEASURE_PERIOD_BROKER_VALUE","DEEP_MEASURE_ID_OVERRIDE",$C58,"DEEP_BROKER_ID_OVERRIDE",AZ$24,"DEEP_PERIOD_OVERRIDE",$H$19)*1,"")))</f>
        <v/>
      </c>
      <c r="BA58" s="17" t="str">
        <f>IF(OR(BA$23="",ISNA($B58)),"",IF(ISBLANK($B58),"",IFERROR(_xll.BDP(TICKER,"DEEP_MEASURE_PERIOD_BROKER_VALUE","DEEP_MEASURE_ID_OVERRIDE",$C58,"DEEP_BROKER_ID_OVERRIDE",BA$24,"DEEP_PERIOD_OVERRIDE",$H$19)*1,"")))</f>
        <v/>
      </c>
      <c r="BB58" s="17" t="str">
        <f>IF(OR(BB$23="",ISNA($B58)),"",IF(ISBLANK($B58),"",IFERROR(_xll.BDP(TICKER,"DEEP_MEASURE_PERIOD_BROKER_VALUE","DEEP_MEASURE_ID_OVERRIDE",$C58,"DEEP_BROKER_ID_OVERRIDE",BB$24,"DEEP_PERIOD_OVERRIDE",$H$19)*1,"")))</f>
        <v/>
      </c>
      <c r="BC58" s="17" t="str">
        <f>IF(OR(BC$23="",ISNA($B58)),"",IF(ISBLANK($B58),"",IFERROR(_xll.BDP(TICKER,"DEEP_MEASURE_PERIOD_BROKER_VALUE","DEEP_MEASURE_ID_OVERRIDE",$C58,"DEEP_BROKER_ID_OVERRIDE",BC$24,"DEEP_PERIOD_OVERRIDE",$H$19)*1,"")))</f>
        <v/>
      </c>
      <c r="BD58" s="17" t="str">
        <f>IF(OR(BD$23="",ISNA($B58)),"",IF(ISBLANK($B58),"",IFERROR(_xll.BDP(TICKER,"DEEP_MEASURE_PERIOD_BROKER_VALUE","DEEP_MEASURE_ID_OVERRIDE",$C58,"DEEP_BROKER_ID_OVERRIDE",BD$24,"DEEP_PERIOD_OVERRIDE",$H$19)*1,"")))</f>
        <v/>
      </c>
      <c r="BE58" s="17" t="str">
        <f>IF(OR(BE$23="",ISNA($B58)),"",IF(ISBLANK($B58),"",IFERROR(_xll.BDP(TICKER,"DEEP_MEASURE_PERIOD_BROKER_VALUE","DEEP_MEASURE_ID_OVERRIDE",$C58,"DEEP_BROKER_ID_OVERRIDE",BE$24,"DEEP_PERIOD_OVERRIDE",$H$19)*1,"")))</f>
        <v/>
      </c>
      <c r="BF58" s="17" t="str">
        <f>IF(OR(BF$23="",ISNA($B58)),"",IF(ISBLANK($B58),"",IFERROR(_xll.BDP(TICKER,"DEEP_MEASURE_PERIOD_BROKER_VALUE","DEEP_MEASURE_ID_OVERRIDE",$C58,"DEEP_BROKER_ID_OVERRIDE",BF$24,"DEEP_PERIOD_OVERRIDE",$H$19)*1,"")))</f>
        <v/>
      </c>
      <c r="BG58" s="17" t="str">
        <f>IF(OR(BG$23="",ISNA($B58)),"",IF(ISBLANK($B58),"",IFERROR(_xll.BDP(TICKER,"DEEP_MEASURE_PERIOD_BROKER_VALUE","DEEP_MEASURE_ID_OVERRIDE",$C58,"DEEP_BROKER_ID_OVERRIDE",BG$24,"DEEP_PERIOD_OVERRIDE",$H$19)*1,"")))</f>
        <v/>
      </c>
      <c r="BH58" s="17" t="str">
        <f>IF(OR(BH$23="",ISNA($B58)),"",IF(ISBLANK($B58),"",IFERROR(_xll.BDP(TICKER,"DEEP_MEASURE_PERIOD_BROKER_VALUE","DEEP_MEASURE_ID_OVERRIDE",$C58,"DEEP_BROKER_ID_OVERRIDE",BH$24,"DEEP_PERIOD_OVERRIDE",$H$19)*1,"")))</f>
        <v/>
      </c>
      <c r="BI58" s="17" t="str">
        <f>IF(OR(BI$23="",ISNA($B58)),"",IF(ISBLANK($B58),"",IFERROR(_xll.BDP(TICKER,"DEEP_MEASURE_PERIOD_BROKER_VALUE","DEEP_MEASURE_ID_OVERRIDE",$C58,"DEEP_BROKER_ID_OVERRIDE",BI$24,"DEEP_PERIOD_OVERRIDE",$H$19)*1,"")))</f>
        <v/>
      </c>
      <c r="BJ58" s="17" t="str">
        <f>IF(OR(BJ$23="",ISNA($B58)),"",IF(ISBLANK($B58),"",IFERROR(_xll.BDP(TICKER,"DEEP_MEASURE_PERIOD_BROKER_VALUE","DEEP_MEASURE_ID_OVERRIDE",$C58,"DEEP_BROKER_ID_OVERRIDE",BJ$24,"DEEP_PERIOD_OVERRIDE",$H$19)*1,"")))</f>
        <v/>
      </c>
      <c r="BK58" s="17" t="str">
        <f>IF(OR(BK$23="",ISNA($B58)),"",IF(ISBLANK($B58),"",IFERROR(_xll.BDP(TICKER,"DEEP_MEASURE_PERIOD_BROKER_VALUE","DEEP_MEASURE_ID_OVERRIDE",$C58,"DEEP_BROKER_ID_OVERRIDE",BK$24,"DEEP_PERIOD_OVERRIDE",$H$19)*1,"")))</f>
        <v/>
      </c>
      <c r="BL58" s="17" t="str">
        <f>IF(OR(BL$23="",ISNA($B58)),"",IF(ISBLANK($B58),"",IFERROR(_xll.BDP(TICKER,"DEEP_MEASURE_PERIOD_BROKER_VALUE","DEEP_MEASURE_ID_OVERRIDE",$C58,"DEEP_BROKER_ID_OVERRIDE",BL$24,"DEEP_PERIOD_OVERRIDE",$H$19)*1,"")))</f>
        <v/>
      </c>
      <c r="BM58" s="17" t="str">
        <f>IF(OR(BM$23="",ISNA($B58)),"",IF(ISBLANK($B58),"",IFERROR(_xll.BDP(TICKER,"DEEP_MEASURE_PERIOD_BROKER_VALUE","DEEP_MEASURE_ID_OVERRIDE",$C58,"DEEP_BROKER_ID_OVERRIDE",BM$24,"DEEP_PERIOD_OVERRIDE",$H$19)*1,"")))</f>
        <v/>
      </c>
      <c r="BN58" s="17" t="str">
        <f>IF(OR(BN$23="",ISNA($B58)),"",IF(ISBLANK($B58),"",IFERROR(_xll.BDP(TICKER,"DEEP_MEASURE_PERIOD_BROKER_VALUE","DEEP_MEASURE_ID_OVERRIDE",$C58,"DEEP_BROKER_ID_OVERRIDE",BN$24,"DEEP_PERIOD_OVERRIDE",$H$19)*1,"")))</f>
        <v/>
      </c>
      <c r="BO58" s="17" t="str">
        <f>IF(OR(BO$23="",ISNA($B58)),"",IF(ISBLANK($B58),"",IFERROR(_xll.BDP(TICKER,"DEEP_MEASURE_PERIOD_BROKER_VALUE","DEEP_MEASURE_ID_OVERRIDE",$C58,"DEEP_BROKER_ID_OVERRIDE",BO$24,"DEEP_PERIOD_OVERRIDE",$H$19)*1,"")))</f>
        <v/>
      </c>
      <c r="BP58" s="17" t="str">
        <f>IF(OR(BP$23="",ISNA($B58)),"",IF(ISBLANK($B58),"",IFERROR(_xll.BDP(TICKER,"DEEP_MEASURE_PERIOD_BROKER_VALUE","DEEP_MEASURE_ID_OVERRIDE",$C58,"DEEP_BROKER_ID_OVERRIDE",BP$24,"DEEP_PERIOD_OVERRIDE",$H$19)*1,"")))</f>
        <v/>
      </c>
      <c r="BQ58" s="17" t="str">
        <f>IF(OR(BQ$23="",ISNA($B58)),"",IF(ISBLANK($B58),"",IFERROR(_xll.BDP(TICKER,"DEEP_MEASURE_PERIOD_BROKER_VALUE","DEEP_MEASURE_ID_OVERRIDE",$C58,"DEEP_BROKER_ID_OVERRIDE",BQ$24,"DEEP_PERIOD_OVERRIDE",$H$19)*1,"")))</f>
        <v/>
      </c>
      <c r="BR58" s="17" t="str">
        <f>IF(OR(BR$23="",ISNA($B58)),"",IF(ISBLANK($B58),"",IFERROR(_xll.BDP(TICKER,"DEEP_MEASURE_PERIOD_BROKER_VALUE","DEEP_MEASURE_ID_OVERRIDE",$C58,"DEEP_BROKER_ID_OVERRIDE",BR$24,"DEEP_PERIOD_OVERRIDE",$H$19)*1,"")))</f>
        <v/>
      </c>
      <c r="BS58" s="17" t="str">
        <f>IF(OR(BS$23="",ISNA($B58)),"",IF(ISBLANK($B58),"",IFERROR(_xll.BDP(TICKER,"DEEP_MEASURE_PERIOD_BROKER_VALUE","DEEP_MEASURE_ID_OVERRIDE",$C58,"DEEP_BROKER_ID_OVERRIDE",BS$24,"DEEP_PERIOD_OVERRIDE",$H$19)*1,"")))</f>
        <v/>
      </c>
      <c r="BT58" s="17" t="str">
        <f>IF(OR(BT$23="",ISNA($B58)),"",IF(ISBLANK($B58),"",IFERROR(_xll.BDP(TICKER,"DEEP_MEASURE_PERIOD_BROKER_VALUE","DEEP_MEASURE_ID_OVERRIDE",$C58,"DEEP_BROKER_ID_OVERRIDE",BT$24,"DEEP_PERIOD_OVERRIDE",$H$19)*1,"")))</f>
        <v/>
      </c>
      <c r="BU58" s="17" t="str">
        <f>IF(OR(BU$23="",ISNA($B58)),"",IF(ISBLANK($B58),"",IFERROR(_xll.BDP(TICKER,"DEEP_MEASURE_PERIOD_BROKER_VALUE","DEEP_MEASURE_ID_OVERRIDE",$C58,"DEEP_BROKER_ID_OVERRIDE",BU$24,"DEEP_PERIOD_OVERRIDE",$H$19)*1,"")))</f>
        <v/>
      </c>
      <c r="BV58" s="17" t="str">
        <f>IF(OR(BV$23="",ISNA($B58)),"",IF(ISBLANK($B58),"",IFERROR(_xll.BDP(TICKER,"DEEP_MEASURE_PERIOD_BROKER_VALUE","DEEP_MEASURE_ID_OVERRIDE",$C58,"DEEP_BROKER_ID_OVERRIDE",BV$24,"DEEP_PERIOD_OVERRIDE",$H$19)*1,"")))</f>
        <v/>
      </c>
      <c r="BW58" s="17" t="str">
        <f>IF(OR(BW$23="",ISNA($B58)),"",IF(ISBLANK($B58),"",IFERROR(_xll.BDP(TICKER,"DEEP_MEASURE_PERIOD_BROKER_VALUE","DEEP_MEASURE_ID_OVERRIDE",$C58,"DEEP_BROKER_ID_OVERRIDE",BW$24,"DEEP_PERIOD_OVERRIDE",$H$19)*1,"")))</f>
        <v/>
      </c>
      <c r="BX58" s="17" t="str">
        <f>IF(OR(BX$23="",ISNA($B58)),"",IF(ISBLANK($B58),"",IFERROR(_xll.BDP(TICKER,"DEEP_MEASURE_PERIOD_BROKER_VALUE","DEEP_MEASURE_ID_OVERRIDE",$C58,"DEEP_BROKER_ID_OVERRIDE",BX$24,"DEEP_PERIOD_OVERRIDE",$H$19)*1,"")))</f>
        <v/>
      </c>
      <c r="BY58" s="17" t="str">
        <f>IF(OR(BY$23="",ISNA($B58)),"",IF(ISBLANK($B58),"",IFERROR(_xll.BDP(TICKER,"DEEP_MEASURE_PERIOD_BROKER_VALUE","DEEP_MEASURE_ID_OVERRIDE",$C58,"DEEP_BROKER_ID_OVERRIDE",BY$24,"DEEP_PERIOD_OVERRIDE",$H$19)*1,"")))</f>
        <v/>
      </c>
      <c r="BZ58" s="17" t="str">
        <f>IF(OR(BZ$23="",ISNA($B58)),"",IF(ISBLANK($B58),"",IFERROR(_xll.BDP(TICKER,"DEEP_MEASURE_PERIOD_BROKER_VALUE","DEEP_MEASURE_ID_OVERRIDE",$C58,"DEEP_BROKER_ID_OVERRIDE",BZ$24,"DEEP_PERIOD_OVERRIDE",$H$19)*1,"")))</f>
        <v/>
      </c>
    </row>
    <row r="59" spans="2:78" x14ac:dyDescent="0.25">
      <c r="B59" t="s">
        <v>103</v>
      </c>
      <c r="C59" s="11">
        <v>9959</v>
      </c>
      <c r="H59" t="str">
        <f t="shared" si="1"/>
        <v>Total Revenue &gt; Hotel &gt; Revenue &gt; QoQ Growth (%)</v>
      </c>
      <c r="I59" t="str">
        <f>IF(OR(I$23="",ISNA($B59)),"",IF(ISBLANK($B59),"",IFERROR(_xll.BDP(TICKER,"DEEP_MEASURE_PERIOD_BROKER_VALUE","DEEP_MEASURE_ID_OVERRIDE",$C59,"DEEP_PERIOD_OVERRIDE",$H$19)*1,"")))</f>
        <v/>
      </c>
      <c r="J59" t="e">
        <f>IF(OR(J$23="",ISNA($B59)),"",IF(ISBLANK($B59),"",IFERROR(_xll.BDP(TICKER,"DEEP_MEASURE_PERIOD_BROKER_VALUE","DEEP_MEASURE_ID_OVERRIDE",$C59,"DEEP_BROKER_ID_OVERRIDE",J$24,"DEEP_PERIOD_OVERRIDE",$H$19)*1,"")))</f>
        <v>#REF!</v>
      </c>
      <c r="K59" s="17" t="str">
        <f>IF(OR(K$23="",ISNA($B59)),"",IF(ISBLANK($B59),"",IFERROR(_xll.BDP(TICKER,"DEEP_MEASURE_PERIOD_BROKER_VALUE","DEEP_MEASURE_ID_OVERRIDE",$C59,"DEEP_BROKER_ID_OVERRIDE",K$24,"DEEP_PERIOD_OVERRIDE",$H$19)*1,"")))</f>
        <v/>
      </c>
      <c r="L59" s="17" t="str">
        <f>IF(OR(L$23="",ISNA($B59)),"",IF(ISBLANK($B59),"",IFERROR(_xll.BDP(TICKER,"DEEP_MEASURE_PERIOD_BROKER_VALUE","DEEP_MEASURE_ID_OVERRIDE",$C59,"DEEP_BROKER_ID_OVERRIDE",L$24,"DEEP_PERIOD_OVERRIDE",$H$19)*1,"")))</f>
        <v/>
      </c>
      <c r="M59" s="17" t="str">
        <f>IF(OR(M$23="",ISNA($B59)),"",IF(ISBLANK($B59),"",IFERROR(_xll.BDP(TICKER,"DEEP_MEASURE_PERIOD_BROKER_VALUE","DEEP_MEASURE_ID_OVERRIDE",$C59,"DEEP_BROKER_ID_OVERRIDE",M$24,"DEEP_PERIOD_OVERRIDE",$H$19)*1,"")))</f>
        <v/>
      </c>
      <c r="N59" s="17" t="str">
        <f>IF(OR(N$23="",ISNA($B59)),"",IF(ISBLANK($B59),"",IFERROR(_xll.BDP(TICKER,"DEEP_MEASURE_PERIOD_BROKER_VALUE","DEEP_MEASURE_ID_OVERRIDE",$C59,"DEEP_BROKER_ID_OVERRIDE",N$24,"DEEP_PERIOD_OVERRIDE",$H$19)*1,"")))</f>
        <v/>
      </c>
      <c r="O59" s="17" t="str">
        <f>IF(OR(O$23="",ISNA($B59)),"",IF(ISBLANK($B59),"",IFERROR(_xll.BDP(TICKER,"DEEP_MEASURE_PERIOD_BROKER_VALUE","DEEP_MEASURE_ID_OVERRIDE",$C59,"DEEP_BROKER_ID_OVERRIDE",O$24,"DEEP_PERIOD_OVERRIDE",$H$19)*1,"")))</f>
        <v/>
      </c>
      <c r="P59" s="17" t="str">
        <f>IF(OR(P$23="",ISNA($B59)),"",IF(ISBLANK($B59),"",IFERROR(_xll.BDP(TICKER,"DEEP_MEASURE_PERIOD_BROKER_VALUE","DEEP_MEASURE_ID_OVERRIDE",$C59,"DEEP_BROKER_ID_OVERRIDE",P$24,"DEEP_PERIOD_OVERRIDE",$H$19)*1,"")))</f>
        <v/>
      </c>
      <c r="Q59" s="17" t="str">
        <f>IF(OR(Q$23="",ISNA($B59)),"",IF(ISBLANK($B59),"",IFERROR(_xll.BDP(TICKER,"DEEP_MEASURE_PERIOD_BROKER_VALUE","DEEP_MEASURE_ID_OVERRIDE",$C59,"DEEP_BROKER_ID_OVERRIDE",Q$24,"DEEP_PERIOD_OVERRIDE",$H$19)*1,"")))</f>
        <v/>
      </c>
      <c r="R59" s="17" t="str">
        <f>IF(OR(R$23="",ISNA($B59)),"",IF(ISBLANK($B59),"",IFERROR(_xll.BDP(TICKER,"DEEP_MEASURE_PERIOD_BROKER_VALUE","DEEP_MEASURE_ID_OVERRIDE",$C59,"DEEP_BROKER_ID_OVERRIDE",R$24,"DEEP_PERIOD_OVERRIDE",$H$19)*1,"")))</f>
        <v/>
      </c>
      <c r="S59" s="17" t="str">
        <f>IF(OR(S$23="",ISNA($B59)),"",IF(ISBLANK($B59),"",IFERROR(_xll.BDP(TICKER,"DEEP_MEASURE_PERIOD_BROKER_VALUE","DEEP_MEASURE_ID_OVERRIDE",$C59,"DEEP_BROKER_ID_OVERRIDE",S$24,"DEEP_PERIOD_OVERRIDE",$H$19)*1,"")))</f>
        <v/>
      </c>
      <c r="T59" s="17" t="str">
        <f>IF(OR(T$23="",ISNA($B59)),"",IF(ISBLANK($B59),"",IFERROR(_xll.BDP(TICKER,"DEEP_MEASURE_PERIOD_BROKER_VALUE","DEEP_MEASURE_ID_OVERRIDE",$C59,"DEEP_BROKER_ID_OVERRIDE",T$24,"DEEP_PERIOD_OVERRIDE",$H$19)*1,"")))</f>
        <v/>
      </c>
      <c r="U59" s="17" t="str">
        <f>IF(OR(U$23="",ISNA($B59)),"",IF(ISBLANK($B59),"",IFERROR(_xll.BDP(TICKER,"DEEP_MEASURE_PERIOD_BROKER_VALUE","DEEP_MEASURE_ID_OVERRIDE",$C59,"DEEP_BROKER_ID_OVERRIDE",U$24,"DEEP_PERIOD_OVERRIDE",$H$19)*1,"")))</f>
        <v/>
      </c>
      <c r="V59" s="17" t="str">
        <f>IF(OR(V$23="",ISNA($B59)),"",IF(ISBLANK($B59),"",IFERROR(_xll.BDP(TICKER,"DEEP_MEASURE_PERIOD_BROKER_VALUE","DEEP_MEASURE_ID_OVERRIDE",$C59,"DEEP_BROKER_ID_OVERRIDE",V$24,"DEEP_PERIOD_OVERRIDE",$H$19)*1,"")))</f>
        <v/>
      </c>
      <c r="W59" s="17" t="str">
        <f>IF(OR(W$23="",ISNA($B59)),"",IF(ISBLANK($B59),"",IFERROR(_xll.BDP(TICKER,"DEEP_MEASURE_PERIOD_BROKER_VALUE","DEEP_MEASURE_ID_OVERRIDE",$C59,"DEEP_BROKER_ID_OVERRIDE",W$24,"DEEP_PERIOD_OVERRIDE",$H$19)*1,"")))</f>
        <v/>
      </c>
      <c r="X59" s="17" t="str">
        <f>IF(OR(X$23="",ISNA($B59)),"",IF(ISBLANK($B59),"",IFERROR(_xll.BDP(TICKER,"DEEP_MEASURE_PERIOD_BROKER_VALUE","DEEP_MEASURE_ID_OVERRIDE",$C59,"DEEP_BROKER_ID_OVERRIDE",X$24,"DEEP_PERIOD_OVERRIDE",$H$19)*1,"")))</f>
        <v/>
      </c>
      <c r="Y59" s="17" t="str">
        <f>IF(OR(Y$23="",ISNA($B59)),"",IF(ISBLANK($B59),"",IFERROR(_xll.BDP(TICKER,"DEEP_MEASURE_PERIOD_BROKER_VALUE","DEEP_MEASURE_ID_OVERRIDE",$C59,"DEEP_BROKER_ID_OVERRIDE",Y$24,"DEEP_PERIOD_OVERRIDE",$H$19)*1,"")))</f>
        <v/>
      </c>
      <c r="Z59" s="17" t="str">
        <f>IF(OR(Z$23="",ISNA($B59)),"",IF(ISBLANK($B59),"",IFERROR(_xll.BDP(TICKER,"DEEP_MEASURE_PERIOD_BROKER_VALUE","DEEP_MEASURE_ID_OVERRIDE",$C59,"DEEP_BROKER_ID_OVERRIDE",Z$24,"DEEP_PERIOD_OVERRIDE",$H$19)*1,"")))</f>
        <v/>
      </c>
      <c r="AA59" s="17" t="str">
        <f>IF(OR(AA$23="",ISNA($B59)),"",IF(ISBLANK($B59),"",IFERROR(_xll.BDP(TICKER,"DEEP_MEASURE_PERIOD_BROKER_VALUE","DEEP_MEASURE_ID_OVERRIDE",$C59,"DEEP_BROKER_ID_OVERRIDE",AA$24,"DEEP_PERIOD_OVERRIDE",$H$19)*1,"")))</f>
        <v/>
      </c>
      <c r="AB59" s="17" t="str">
        <f>IF(OR(AB$23="",ISNA($B59)),"",IF(ISBLANK($B59),"",IFERROR(_xll.BDP(TICKER,"DEEP_MEASURE_PERIOD_BROKER_VALUE","DEEP_MEASURE_ID_OVERRIDE",$C59,"DEEP_BROKER_ID_OVERRIDE",AB$24,"DEEP_PERIOD_OVERRIDE",$H$19)*1,"")))</f>
        <v/>
      </c>
      <c r="AC59" s="17" t="str">
        <f>IF(OR(AC$23="",ISNA($B59)),"",IF(ISBLANK($B59),"",IFERROR(_xll.BDP(TICKER,"DEEP_MEASURE_PERIOD_BROKER_VALUE","DEEP_MEASURE_ID_OVERRIDE",$C59,"DEEP_BROKER_ID_OVERRIDE",AC$24,"DEEP_PERIOD_OVERRIDE",$H$19)*1,"")))</f>
        <v/>
      </c>
      <c r="AD59" s="17" t="str">
        <f>IF(OR(AD$23="",ISNA($B59)),"",IF(ISBLANK($B59),"",IFERROR(_xll.BDP(TICKER,"DEEP_MEASURE_PERIOD_BROKER_VALUE","DEEP_MEASURE_ID_OVERRIDE",$C59,"DEEP_BROKER_ID_OVERRIDE",AD$24,"DEEP_PERIOD_OVERRIDE",$H$19)*1,"")))</f>
        <v/>
      </c>
      <c r="AE59" s="17" t="str">
        <f>IF(OR(AE$23="",ISNA($B59)),"",IF(ISBLANK($B59),"",IFERROR(_xll.BDP(TICKER,"DEEP_MEASURE_PERIOD_BROKER_VALUE","DEEP_MEASURE_ID_OVERRIDE",$C59,"DEEP_BROKER_ID_OVERRIDE",AE$24,"DEEP_PERIOD_OVERRIDE",$H$19)*1,"")))</f>
        <v/>
      </c>
      <c r="AF59" s="17" t="str">
        <f>IF(OR(AF$23="",ISNA($B59)),"",IF(ISBLANK($B59),"",IFERROR(_xll.BDP(TICKER,"DEEP_MEASURE_PERIOD_BROKER_VALUE","DEEP_MEASURE_ID_OVERRIDE",$C59,"DEEP_BROKER_ID_OVERRIDE",AF$24,"DEEP_PERIOD_OVERRIDE",$H$19)*1,"")))</f>
        <v/>
      </c>
      <c r="AG59" s="17" t="str">
        <f>IF(OR(AG$23="",ISNA($B59)),"",IF(ISBLANK($B59),"",IFERROR(_xll.BDP(TICKER,"DEEP_MEASURE_PERIOD_BROKER_VALUE","DEEP_MEASURE_ID_OVERRIDE",$C59,"DEEP_BROKER_ID_OVERRIDE",AG$24,"DEEP_PERIOD_OVERRIDE",$H$19)*1,"")))</f>
        <v/>
      </c>
      <c r="AH59" s="17" t="str">
        <f>IF(OR(AH$23="",ISNA($B59)),"",IF(ISBLANK($B59),"",IFERROR(_xll.BDP(TICKER,"DEEP_MEASURE_PERIOD_BROKER_VALUE","DEEP_MEASURE_ID_OVERRIDE",$C59,"DEEP_BROKER_ID_OVERRIDE",AH$24,"DEEP_PERIOD_OVERRIDE",$H$19)*1,"")))</f>
        <v/>
      </c>
      <c r="AI59" s="17" t="str">
        <f>IF(OR(AI$23="",ISNA($B59)),"",IF(ISBLANK($B59),"",IFERROR(_xll.BDP(TICKER,"DEEP_MEASURE_PERIOD_BROKER_VALUE","DEEP_MEASURE_ID_OVERRIDE",$C59,"DEEP_BROKER_ID_OVERRIDE",AI$24,"DEEP_PERIOD_OVERRIDE",$H$19)*1,"")))</f>
        <v/>
      </c>
      <c r="AJ59" s="17" t="str">
        <f>IF(OR(AJ$23="",ISNA($B59)),"",IF(ISBLANK($B59),"",IFERROR(_xll.BDP(TICKER,"DEEP_MEASURE_PERIOD_BROKER_VALUE","DEEP_MEASURE_ID_OVERRIDE",$C59,"DEEP_BROKER_ID_OVERRIDE",AJ$24,"DEEP_PERIOD_OVERRIDE",$H$19)*1,"")))</f>
        <v/>
      </c>
      <c r="AK59" s="17" t="str">
        <f>IF(OR(AK$23="",ISNA($B59)),"",IF(ISBLANK($B59),"",IFERROR(_xll.BDP(TICKER,"DEEP_MEASURE_PERIOD_BROKER_VALUE","DEEP_MEASURE_ID_OVERRIDE",$C59,"DEEP_BROKER_ID_OVERRIDE",AK$24,"DEEP_PERIOD_OVERRIDE",$H$19)*1,"")))</f>
        <v/>
      </c>
      <c r="AL59" s="17" t="str">
        <f>IF(OR(AL$23="",ISNA($B59)),"",IF(ISBLANK($B59),"",IFERROR(_xll.BDP(TICKER,"DEEP_MEASURE_PERIOD_BROKER_VALUE","DEEP_MEASURE_ID_OVERRIDE",$C59,"DEEP_BROKER_ID_OVERRIDE",AL$24,"DEEP_PERIOD_OVERRIDE",$H$19)*1,"")))</f>
        <v/>
      </c>
      <c r="AM59" s="17" t="str">
        <f>IF(OR(AM$23="",ISNA($B59)),"",IF(ISBLANK($B59),"",IFERROR(_xll.BDP(TICKER,"DEEP_MEASURE_PERIOD_BROKER_VALUE","DEEP_MEASURE_ID_OVERRIDE",$C59,"DEEP_BROKER_ID_OVERRIDE",AM$24,"DEEP_PERIOD_OVERRIDE",$H$19)*1,"")))</f>
        <v/>
      </c>
      <c r="AN59" s="17" t="str">
        <f>IF(OR(AN$23="",ISNA($B59)),"",IF(ISBLANK($B59),"",IFERROR(_xll.BDP(TICKER,"DEEP_MEASURE_PERIOD_BROKER_VALUE","DEEP_MEASURE_ID_OVERRIDE",$C59,"DEEP_BROKER_ID_OVERRIDE",AN$24,"DEEP_PERIOD_OVERRIDE",$H$19)*1,"")))</f>
        <v/>
      </c>
      <c r="AO59" s="17" t="str">
        <f>IF(OR(AO$23="",ISNA($B59)),"",IF(ISBLANK($B59),"",IFERROR(_xll.BDP(TICKER,"DEEP_MEASURE_PERIOD_BROKER_VALUE","DEEP_MEASURE_ID_OVERRIDE",$C59,"DEEP_BROKER_ID_OVERRIDE",AO$24,"DEEP_PERIOD_OVERRIDE",$H$19)*1,"")))</f>
        <v/>
      </c>
      <c r="AP59" s="17" t="str">
        <f>IF(OR(AP$23="",ISNA($B59)),"",IF(ISBLANK($B59),"",IFERROR(_xll.BDP(TICKER,"DEEP_MEASURE_PERIOD_BROKER_VALUE","DEEP_MEASURE_ID_OVERRIDE",$C59,"DEEP_BROKER_ID_OVERRIDE",AP$24,"DEEP_PERIOD_OVERRIDE",$H$19)*1,"")))</f>
        <v/>
      </c>
      <c r="AQ59" s="17" t="str">
        <f>IF(OR(AQ$23="",ISNA($B59)),"",IF(ISBLANK($B59),"",IFERROR(_xll.BDP(TICKER,"DEEP_MEASURE_PERIOD_BROKER_VALUE","DEEP_MEASURE_ID_OVERRIDE",$C59,"DEEP_BROKER_ID_OVERRIDE",AQ$24,"DEEP_PERIOD_OVERRIDE",$H$19)*1,"")))</f>
        <v/>
      </c>
      <c r="AR59" s="17" t="str">
        <f>IF(OR(AR$23="",ISNA($B59)),"",IF(ISBLANK($B59),"",IFERROR(_xll.BDP(TICKER,"DEEP_MEASURE_PERIOD_BROKER_VALUE","DEEP_MEASURE_ID_OVERRIDE",$C59,"DEEP_BROKER_ID_OVERRIDE",AR$24,"DEEP_PERIOD_OVERRIDE",$H$19)*1,"")))</f>
        <v/>
      </c>
      <c r="AS59" s="17" t="str">
        <f>IF(OR(AS$23="",ISNA($B59)),"",IF(ISBLANK($B59),"",IFERROR(_xll.BDP(TICKER,"DEEP_MEASURE_PERIOD_BROKER_VALUE","DEEP_MEASURE_ID_OVERRIDE",$C59,"DEEP_BROKER_ID_OVERRIDE",AS$24,"DEEP_PERIOD_OVERRIDE",$H$19)*1,"")))</f>
        <v/>
      </c>
      <c r="AT59" s="17" t="str">
        <f>IF(OR(AT$23="",ISNA($B59)),"",IF(ISBLANK($B59),"",IFERROR(_xll.BDP(TICKER,"DEEP_MEASURE_PERIOD_BROKER_VALUE","DEEP_MEASURE_ID_OVERRIDE",$C59,"DEEP_BROKER_ID_OVERRIDE",AT$24,"DEEP_PERIOD_OVERRIDE",$H$19)*1,"")))</f>
        <v/>
      </c>
      <c r="AU59" s="17" t="str">
        <f>IF(OR(AU$23="",ISNA($B59)),"",IF(ISBLANK($B59),"",IFERROR(_xll.BDP(TICKER,"DEEP_MEASURE_PERIOD_BROKER_VALUE","DEEP_MEASURE_ID_OVERRIDE",$C59,"DEEP_BROKER_ID_OVERRIDE",AU$24,"DEEP_PERIOD_OVERRIDE",$H$19)*1,"")))</f>
        <v/>
      </c>
      <c r="AV59" s="17" t="str">
        <f>IF(OR(AV$23="",ISNA($B59)),"",IF(ISBLANK($B59),"",IFERROR(_xll.BDP(TICKER,"DEEP_MEASURE_PERIOD_BROKER_VALUE","DEEP_MEASURE_ID_OVERRIDE",$C59,"DEEP_BROKER_ID_OVERRIDE",AV$24,"DEEP_PERIOD_OVERRIDE",$H$19)*1,"")))</f>
        <v/>
      </c>
      <c r="AW59" s="17" t="str">
        <f>IF(OR(AW$23="",ISNA($B59)),"",IF(ISBLANK($B59),"",IFERROR(_xll.BDP(TICKER,"DEEP_MEASURE_PERIOD_BROKER_VALUE","DEEP_MEASURE_ID_OVERRIDE",$C59,"DEEP_BROKER_ID_OVERRIDE",AW$24,"DEEP_PERIOD_OVERRIDE",$H$19)*1,"")))</f>
        <v/>
      </c>
      <c r="AX59" s="17" t="str">
        <f>IF(OR(AX$23="",ISNA($B59)),"",IF(ISBLANK($B59),"",IFERROR(_xll.BDP(TICKER,"DEEP_MEASURE_PERIOD_BROKER_VALUE","DEEP_MEASURE_ID_OVERRIDE",$C59,"DEEP_BROKER_ID_OVERRIDE",AX$24,"DEEP_PERIOD_OVERRIDE",$H$19)*1,"")))</f>
        <v/>
      </c>
      <c r="AY59" s="17" t="str">
        <f>IF(OR(AY$23="",ISNA($B59)),"",IF(ISBLANK($B59),"",IFERROR(_xll.BDP(TICKER,"DEEP_MEASURE_PERIOD_BROKER_VALUE","DEEP_MEASURE_ID_OVERRIDE",$C59,"DEEP_BROKER_ID_OVERRIDE",AY$24,"DEEP_PERIOD_OVERRIDE",$H$19)*1,"")))</f>
        <v/>
      </c>
      <c r="AZ59" s="17" t="str">
        <f>IF(OR(AZ$23="",ISNA($B59)),"",IF(ISBLANK($B59),"",IFERROR(_xll.BDP(TICKER,"DEEP_MEASURE_PERIOD_BROKER_VALUE","DEEP_MEASURE_ID_OVERRIDE",$C59,"DEEP_BROKER_ID_OVERRIDE",AZ$24,"DEEP_PERIOD_OVERRIDE",$H$19)*1,"")))</f>
        <v/>
      </c>
      <c r="BA59" s="17" t="str">
        <f>IF(OR(BA$23="",ISNA($B59)),"",IF(ISBLANK($B59),"",IFERROR(_xll.BDP(TICKER,"DEEP_MEASURE_PERIOD_BROKER_VALUE","DEEP_MEASURE_ID_OVERRIDE",$C59,"DEEP_BROKER_ID_OVERRIDE",BA$24,"DEEP_PERIOD_OVERRIDE",$H$19)*1,"")))</f>
        <v/>
      </c>
      <c r="BB59" s="17" t="str">
        <f>IF(OR(BB$23="",ISNA($B59)),"",IF(ISBLANK($B59),"",IFERROR(_xll.BDP(TICKER,"DEEP_MEASURE_PERIOD_BROKER_VALUE","DEEP_MEASURE_ID_OVERRIDE",$C59,"DEEP_BROKER_ID_OVERRIDE",BB$24,"DEEP_PERIOD_OVERRIDE",$H$19)*1,"")))</f>
        <v/>
      </c>
      <c r="BC59" s="17" t="str">
        <f>IF(OR(BC$23="",ISNA($B59)),"",IF(ISBLANK($B59),"",IFERROR(_xll.BDP(TICKER,"DEEP_MEASURE_PERIOD_BROKER_VALUE","DEEP_MEASURE_ID_OVERRIDE",$C59,"DEEP_BROKER_ID_OVERRIDE",BC$24,"DEEP_PERIOD_OVERRIDE",$H$19)*1,"")))</f>
        <v/>
      </c>
      <c r="BD59" s="17" t="str">
        <f>IF(OR(BD$23="",ISNA($B59)),"",IF(ISBLANK($B59),"",IFERROR(_xll.BDP(TICKER,"DEEP_MEASURE_PERIOD_BROKER_VALUE","DEEP_MEASURE_ID_OVERRIDE",$C59,"DEEP_BROKER_ID_OVERRIDE",BD$24,"DEEP_PERIOD_OVERRIDE",$H$19)*1,"")))</f>
        <v/>
      </c>
      <c r="BE59" s="17" t="str">
        <f>IF(OR(BE$23="",ISNA($B59)),"",IF(ISBLANK($B59),"",IFERROR(_xll.BDP(TICKER,"DEEP_MEASURE_PERIOD_BROKER_VALUE","DEEP_MEASURE_ID_OVERRIDE",$C59,"DEEP_BROKER_ID_OVERRIDE",BE$24,"DEEP_PERIOD_OVERRIDE",$H$19)*1,"")))</f>
        <v/>
      </c>
      <c r="BF59" s="17" t="str">
        <f>IF(OR(BF$23="",ISNA($B59)),"",IF(ISBLANK($B59),"",IFERROR(_xll.BDP(TICKER,"DEEP_MEASURE_PERIOD_BROKER_VALUE","DEEP_MEASURE_ID_OVERRIDE",$C59,"DEEP_BROKER_ID_OVERRIDE",BF$24,"DEEP_PERIOD_OVERRIDE",$H$19)*1,"")))</f>
        <v/>
      </c>
      <c r="BG59" s="17" t="str">
        <f>IF(OR(BG$23="",ISNA($B59)),"",IF(ISBLANK($B59),"",IFERROR(_xll.BDP(TICKER,"DEEP_MEASURE_PERIOD_BROKER_VALUE","DEEP_MEASURE_ID_OVERRIDE",$C59,"DEEP_BROKER_ID_OVERRIDE",BG$24,"DEEP_PERIOD_OVERRIDE",$H$19)*1,"")))</f>
        <v/>
      </c>
      <c r="BH59" s="17" t="str">
        <f>IF(OR(BH$23="",ISNA($B59)),"",IF(ISBLANK($B59),"",IFERROR(_xll.BDP(TICKER,"DEEP_MEASURE_PERIOD_BROKER_VALUE","DEEP_MEASURE_ID_OVERRIDE",$C59,"DEEP_BROKER_ID_OVERRIDE",BH$24,"DEEP_PERIOD_OVERRIDE",$H$19)*1,"")))</f>
        <v/>
      </c>
      <c r="BI59" s="17" t="str">
        <f>IF(OR(BI$23="",ISNA($B59)),"",IF(ISBLANK($B59),"",IFERROR(_xll.BDP(TICKER,"DEEP_MEASURE_PERIOD_BROKER_VALUE","DEEP_MEASURE_ID_OVERRIDE",$C59,"DEEP_BROKER_ID_OVERRIDE",BI$24,"DEEP_PERIOD_OVERRIDE",$H$19)*1,"")))</f>
        <v/>
      </c>
      <c r="BJ59" s="17" t="str">
        <f>IF(OR(BJ$23="",ISNA($B59)),"",IF(ISBLANK($B59),"",IFERROR(_xll.BDP(TICKER,"DEEP_MEASURE_PERIOD_BROKER_VALUE","DEEP_MEASURE_ID_OVERRIDE",$C59,"DEEP_BROKER_ID_OVERRIDE",BJ$24,"DEEP_PERIOD_OVERRIDE",$H$19)*1,"")))</f>
        <v/>
      </c>
      <c r="BK59" s="17" t="str">
        <f>IF(OR(BK$23="",ISNA($B59)),"",IF(ISBLANK($B59),"",IFERROR(_xll.BDP(TICKER,"DEEP_MEASURE_PERIOD_BROKER_VALUE","DEEP_MEASURE_ID_OVERRIDE",$C59,"DEEP_BROKER_ID_OVERRIDE",BK$24,"DEEP_PERIOD_OVERRIDE",$H$19)*1,"")))</f>
        <v/>
      </c>
      <c r="BL59" s="17" t="str">
        <f>IF(OR(BL$23="",ISNA($B59)),"",IF(ISBLANK($B59),"",IFERROR(_xll.BDP(TICKER,"DEEP_MEASURE_PERIOD_BROKER_VALUE","DEEP_MEASURE_ID_OVERRIDE",$C59,"DEEP_BROKER_ID_OVERRIDE",BL$24,"DEEP_PERIOD_OVERRIDE",$H$19)*1,"")))</f>
        <v/>
      </c>
      <c r="BM59" s="17" t="str">
        <f>IF(OR(BM$23="",ISNA($B59)),"",IF(ISBLANK($B59),"",IFERROR(_xll.BDP(TICKER,"DEEP_MEASURE_PERIOD_BROKER_VALUE","DEEP_MEASURE_ID_OVERRIDE",$C59,"DEEP_BROKER_ID_OVERRIDE",BM$24,"DEEP_PERIOD_OVERRIDE",$H$19)*1,"")))</f>
        <v/>
      </c>
      <c r="BN59" s="17" t="str">
        <f>IF(OR(BN$23="",ISNA($B59)),"",IF(ISBLANK($B59),"",IFERROR(_xll.BDP(TICKER,"DEEP_MEASURE_PERIOD_BROKER_VALUE","DEEP_MEASURE_ID_OVERRIDE",$C59,"DEEP_BROKER_ID_OVERRIDE",BN$24,"DEEP_PERIOD_OVERRIDE",$H$19)*1,"")))</f>
        <v/>
      </c>
      <c r="BO59" s="17" t="str">
        <f>IF(OR(BO$23="",ISNA($B59)),"",IF(ISBLANK($B59),"",IFERROR(_xll.BDP(TICKER,"DEEP_MEASURE_PERIOD_BROKER_VALUE","DEEP_MEASURE_ID_OVERRIDE",$C59,"DEEP_BROKER_ID_OVERRIDE",BO$24,"DEEP_PERIOD_OVERRIDE",$H$19)*1,"")))</f>
        <v/>
      </c>
      <c r="BP59" s="17" t="str">
        <f>IF(OR(BP$23="",ISNA($B59)),"",IF(ISBLANK($B59),"",IFERROR(_xll.BDP(TICKER,"DEEP_MEASURE_PERIOD_BROKER_VALUE","DEEP_MEASURE_ID_OVERRIDE",$C59,"DEEP_BROKER_ID_OVERRIDE",BP$24,"DEEP_PERIOD_OVERRIDE",$H$19)*1,"")))</f>
        <v/>
      </c>
      <c r="BQ59" s="17" t="str">
        <f>IF(OR(BQ$23="",ISNA($B59)),"",IF(ISBLANK($B59),"",IFERROR(_xll.BDP(TICKER,"DEEP_MEASURE_PERIOD_BROKER_VALUE","DEEP_MEASURE_ID_OVERRIDE",$C59,"DEEP_BROKER_ID_OVERRIDE",BQ$24,"DEEP_PERIOD_OVERRIDE",$H$19)*1,"")))</f>
        <v/>
      </c>
      <c r="BR59" s="17" t="str">
        <f>IF(OR(BR$23="",ISNA($B59)),"",IF(ISBLANK($B59),"",IFERROR(_xll.BDP(TICKER,"DEEP_MEASURE_PERIOD_BROKER_VALUE","DEEP_MEASURE_ID_OVERRIDE",$C59,"DEEP_BROKER_ID_OVERRIDE",BR$24,"DEEP_PERIOD_OVERRIDE",$H$19)*1,"")))</f>
        <v/>
      </c>
      <c r="BS59" s="17" t="str">
        <f>IF(OR(BS$23="",ISNA($B59)),"",IF(ISBLANK($B59),"",IFERROR(_xll.BDP(TICKER,"DEEP_MEASURE_PERIOD_BROKER_VALUE","DEEP_MEASURE_ID_OVERRIDE",$C59,"DEEP_BROKER_ID_OVERRIDE",BS$24,"DEEP_PERIOD_OVERRIDE",$H$19)*1,"")))</f>
        <v/>
      </c>
      <c r="BT59" s="17" t="str">
        <f>IF(OR(BT$23="",ISNA($B59)),"",IF(ISBLANK($B59),"",IFERROR(_xll.BDP(TICKER,"DEEP_MEASURE_PERIOD_BROKER_VALUE","DEEP_MEASURE_ID_OVERRIDE",$C59,"DEEP_BROKER_ID_OVERRIDE",BT$24,"DEEP_PERIOD_OVERRIDE",$H$19)*1,"")))</f>
        <v/>
      </c>
      <c r="BU59" s="17" t="str">
        <f>IF(OR(BU$23="",ISNA($B59)),"",IF(ISBLANK($B59),"",IFERROR(_xll.BDP(TICKER,"DEEP_MEASURE_PERIOD_BROKER_VALUE","DEEP_MEASURE_ID_OVERRIDE",$C59,"DEEP_BROKER_ID_OVERRIDE",BU$24,"DEEP_PERIOD_OVERRIDE",$H$19)*1,"")))</f>
        <v/>
      </c>
      <c r="BV59" s="17" t="str">
        <f>IF(OR(BV$23="",ISNA($B59)),"",IF(ISBLANK($B59),"",IFERROR(_xll.BDP(TICKER,"DEEP_MEASURE_PERIOD_BROKER_VALUE","DEEP_MEASURE_ID_OVERRIDE",$C59,"DEEP_BROKER_ID_OVERRIDE",BV$24,"DEEP_PERIOD_OVERRIDE",$H$19)*1,"")))</f>
        <v/>
      </c>
      <c r="BW59" s="17" t="str">
        <f>IF(OR(BW$23="",ISNA($B59)),"",IF(ISBLANK($B59),"",IFERROR(_xll.BDP(TICKER,"DEEP_MEASURE_PERIOD_BROKER_VALUE","DEEP_MEASURE_ID_OVERRIDE",$C59,"DEEP_BROKER_ID_OVERRIDE",BW$24,"DEEP_PERIOD_OVERRIDE",$H$19)*1,"")))</f>
        <v/>
      </c>
      <c r="BX59" s="17" t="str">
        <f>IF(OR(BX$23="",ISNA($B59)),"",IF(ISBLANK($B59),"",IFERROR(_xll.BDP(TICKER,"DEEP_MEASURE_PERIOD_BROKER_VALUE","DEEP_MEASURE_ID_OVERRIDE",$C59,"DEEP_BROKER_ID_OVERRIDE",BX$24,"DEEP_PERIOD_OVERRIDE",$H$19)*1,"")))</f>
        <v/>
      </c>
      <c r="BY59" s="17" t="str">
        <f>IF(OR(BY$23="",ISNA($B59)),"",IF(ISBLANK($B59),"",IFERROR(_xll.BDP(TICKER,"DEEP_MEASURE_PERIOD_BROKER_VALUE","DEEP_MEASURE_ID_OVERRIDE",$C59,"DEEP_BROKER_ID_OVERRIDE",BY$24,"DEEP_PERIOD_OVERRIDE",$H$19)*1,"")))</f>
        <v/>
      </c>
      <c r="BZ59" s="17" t="str">
        <f>IF(OR(BZ$23="",ISNA($B59)),"",IF(ISBLANK($B59),"",IFERROR(_xll.BDP(TICKER,"DEEP_MEASURE_PERIOD_BROKER_VALUE","DEEP_MEASURE_ID_OVERRIDE",$C59,"DEEP_BROKER_ID_OVERRIDE",BZ$24,"DEEP_PERIOD_OVERRIDE",$H$19)*1,"")))</f>
        <v/>
      </c>
    </row>
    <row r="60" spans="2:78" x14ac:dyDescent="0.25">
      <c r="B60" t="s">
        <v>104</v>
      </c>
      <c r="C60" s="11">
        <v>2827</v>
      </c>
      <c r="H60" t="str">
        <f t="shared" si="1"/>
        <v>Total Revenue &gt; Hotel &gt; Revenue &gt; TripAdvisor-branded Click-based &amp; Transaction</v>
      </c>
      <c r="I60" t="str">
        <f>IF(OR(I$23="",ISNA($B60)),"",IF(ISBLANK($B60),"",IFERROR(_xll.BDP(TICKER,"DEEP_MEASURE_PERIOD_BROKER_VALUE","DEEP_MEASURE_ID_OVERRIDE",$C60,"DEEP_PERIOD_OVERRIDE",$H$19)*1,"")))</f>
        <v/>
      </c>
      <c r="J60" t="e">
        <f>IF(OR(J$23="",ISNA($B60)),"",IF(ISBLANK($B60),"",IFERROR(_xll.BDP(TICKER,"DEEP_MEASURE_PERIOD_BROKER_VALUE","DEEP_MEASURE_ID_OVERRIDE",$C60,"DEEP_BROKER_ID_OVERRIDE",J$24,"DEEP_PERIOD_OVERRIDE",$H$19)*1,"")))</f>
        <v>#REF!</v>
      </c>
      <c r="K60" s="17" t="str">
        <f>IF(OR(K$23="",ISNA($B60)),"",IF(ISBLANK($B60),"",IFERROR(_xll.BDP(TICKER,"DEEP_MEASURE_PERIOD_BROKER_VALUE","DEEP_MEASURE_ID_OVERRIDE",$C60,"DEEP_BROKER_ID_OVERRIDE",K$24,"DEEP_PERIOD_OVERRIDE",$H$19)*1,"")))</f>
        <v/>
      </c>
      <c r="L60" s="17" t="str">
        <f>IF(OR(L$23="",ISNA($B60)),"",IF(ISBLANK($B60),"",IFERROR(_xll.BDP(TICKER,"DEEP_MEASURE_PERIOD_BROKER_VALUE","DEEP_MEASURE_ID_OVERRIDE",$C60,"DEEP_BROKER_ID_OVERRIDE",L$24,"DEEP_PERIOD_OVERRIDE",$H$19)*1,"")))</f>
        <v/>
      </c>
      <c r="M60" s="17" t="str">
        <f>IF(OR(M$23="",ISNA($B60)),"",IF(ISBLANK($B60),"",IFERROR(_xll.BDP(TICKER,"DEEP_MEASURE_PERIOD_BROKER_VALUE","DEEP_MEASURE_ID_OVERRIDE",$C60,"DEEP_BROKER_ID_OVERRIDE",M$24,"DEEP_PERIOD_OVERRIDE",$H$19)*1,"")))</f>
        <v/>
      </c>
      <c r="N60" s="17" t="str">
        <f>IF(OR(N$23="",ISNA($B60)),"",IF(ISBLANK($B60),"",IFERROR(_xll.BDP(TICKER,"DEEP_MEASURE_PERIOD_BROKER_VALUE","DEEP_MEASURE_ID_OVERRIDE",$C60,"DEEP_BROKER_ID_OVERRIDE",N$24,"DEEP_PERIOD_OVERRIDE",$H$19)*1,"")))</f>
        <v/>
      </c>
      <c r="O60" s="17" t="str">
        <f>IF(OR(O$23="",ISNA($B60)),"",IF(ISBLANK($B60),"",IFERROR(_xll.BDP(TICKER,"DEEP_MEASURE_PERIOD_BROKER_VALUE","DEEP_MEASURE_ID_OVERRIDE",$C60,"DEEP_BROKER_ID_OVERRIDE",O$24,"DEEP_PERIOD_OVERRIDE",$H$19)*1,"")))</f>
        <v/>
      </c>
      <c r="P60" s="17" t="str">
        <f>IF(OR(P$23="",ISNA($B60)),"",IF(ISBLANK($B60),"",IFERROR(_xll.BDP(TICKER,"DEEP_MEASURE_PERIOD_BROKER_VALUE","DEEP_MEASURE_ID_OVERRIDE",$C60,"DEEP_BROKER_ID_OVERRIDE",P$24,"DEEP_PERIOD_OVERRIDE",$H$19)*1,"")))</f>
        <v/>
      </c>
      <c r="Q60" s="17" t="str">
        <f>IF(OR(Q$23="",ISNA($B60)),"",IF(ISBLANK($B60),"",IFERROR(_xll.BDP(TICKER,"DEEP_MEASURE_PERIOD_BROKER_VALUE","DEEP_MEASURE_ID_OVERRIDE",$C60,"DEEP_BROKER_ID_OVERRIDE",Q$24,"DEEP_PERIOD_OVERRIDE",$H$19)*1,"")))</f>
        <v/>
      </c>
      <c r="R60" s="17" t="str">
        <f>IF(OR(R$23="",ISNA($B60)),"",IF(ISBLANK($B60),"",IFERROR(_xll.BDP(TICKER,"DEEP_MEASURE_PERIOD_BROKER_VALUE","DEEP_MEASURE_ID_OVERRIDE",$C60,"DEEP_BROKER_ID_OVERRIDE",R$24,"DEEP_PERIOD_OVERRIDE",$H$19)*1,"")))</f>
        <v/>
      </c>
      <c r="S60" s="17" t="str">
        <f>IF(OR(S$23="",ISNA($B60)),"",IF(ISBLANK($B60),"",IFERROR(_xll.BDP(TICKER,"DEEP_MEASURE_PERIOD_BROKER_VALUE","DEEP_MEASURE_ID_OVERRIDE",$C60,"DEEP_BROKER_ID_OVERRIDE",S$24,"DEEP_PERIOD_OVERRIDE",$H$19)*1,"")))</f>
        <v/>
      </c>
      <c r="T60" s="17" t="str">
        <f>IF(OR(T$23="",ISNA($B60)),"",IF(ISBLANK($B60),"",IFERROR(_xll.BDP(TICKER,"DEEP_MEASURE_PERIOD_BROKER_VALUE","DEEP_MEASURE_ID_OVERRIDE",$C60,"DEEP_BROKER_ID_OVERRIDE",T$24,"DEEP_PERIOD_OVERRIDE",$H$19)*1,"")))</f>
        <v/>
      </c>
      <c r="U60" s="17" t="str">
        <f>IF(OR(U$23="",ISNA($B60)),"",IF(ISBLANK($B60),"",IFERROR(_xll.BDP(TICKER,"DEEP_MEASURE_PERIOD_BROKER_VALUE","DEEP_MEASURE_ID_OVERRIDE",$C60,"DEEP_BROKER_ID_OVERRIDE",U$24,"DEEP_PERIOD_OVERRIDE",$H$19)*1,"")))</f>
        <v/>
      </c>
      <c r="V60" s="17" t="str">
        <f>IF(OR(V$23="",ISNA($B60)),"",IF(ISBLANK($B60),"",IFERROR(_xll.BDP(TICKER,"DEEP_MEASURE_PERIOD_BROKER_VALUE","DEEP_MEASURE_ID_OVERRIDE",$C60,"DEEP_BROKER_ID_OVERRIDE",V$24,"DEEP_PERIOD_OVERRIDE",$H$19)*1,"")))</f>
        <v/>
      </c>
      <c r="W60" s="17" t="str">
        <f>IF(OR(W$23="",ISNA($B60)),"",IF(ISBLANK($B60),"",IFERROR(_xll.BDP(TICKER,"DEEP_MEASURE_PERIOD_BROKER_VALUE","DEEP_MEASURE_ID_OVERRIDE",$C60,"DEEP_BROKER_ID_OVERRIDE",W$24,"DEEP_PERIOD_OVERRIDE",$H$19)*1,"")))</f>
        <v/>
      </c>
      <c r="X60" s="17" t="str">
        <f>IF(OR(X$23="",ISNA($B60)),"",IF(ISBLANK($B60),"",IFERROR(_xll.BDP(TICKER,"DEEP_MEASURE_PERIOD_BROKER_VALUE","DEEP_MEASURE_ID_OVERRIDE",$C60,"DEEP_BROKER_ID_OVERRIDE",X$24,"DEEP_PERIOD_OVERRIDE",$H$19)*1,"")))</f>
        <v/>
      </c>
      <c r="Y60" s="17" t="str">
        <f>IF(OR(Y$23="",ISNA($B60)),"",IF(ISBLANK($B60),"",IFERROR(_xll.BDP(TICKER,"DEEP_MEASURE_PERIOD_BROKER_VALUE","DEEP_MEASURE_ID_OVERRIDE",$C60,"DEEP_BROKER_ID_OVERRIDE",Y$24,"DEEP_PERIOD_OVERRIDE",$H$19)*1,"")))</f>
        <v/>
      </c>
      <c r="Z60" s="17" t="str">
        <f>IF(OR(Z$23="",ISNA($B60)),"",IF(ISBLANK($B60),"",IFERROR(_xll.BDP(TICKER,"DEEP_MEASURE_PERIOD_BROKER_VALUE","DEEP_MEASURE_ID_OVERRIDE",$C60,"DEEP_BROKER_ID_OVERRIDE",Z$24,"DEEP_PERIOD_OVERRIDE",$H$19)*1,"")))</f>
        <v/>
      </c>
      <c r="AA60" s="17" t="str">
        <f>IF(OR(AA$23="",ISNA($B60)),"",IF(ISBLANK($B60),"",IFERROR(_xll.BDP(TICKER,"DEEP_MEASURE_PERIOD_BROKER_VALUE","DEEP_MEASURE_ID_OVERRIDE",$C60,"DEEP_BROKER_ID_OVERRIDE",AA$24,"DEEP_PERIOD_OVERRIDE",$H$19)*1,"")))</f>
        <v/>
      </c>
      <c r="AB60" s="17" t="str">
        <f>IF(OR(AB$23="",ISNA($B60)),"",IF(ISBLANK($B60),"",IFERROR(_xll.BDP(TICKER,"DEEP_MEASURE_PERIOD_BROKER_VALUE","DEEP_MEASURE_ID_OVERRIDE",$C60,"DEEP_BROKER_ID_OVERRIDE",AB$24,"DEEP_PERIOD_OVERRIDE",$H$19)*1,"")))</f>
        <v/>
      </c>
      <c r="AC60" s="17" t="str">
        <f>IF(OR(AC$23="",ISNA($B60)),"",IF(ISBLANK($B60),"",IFERROR(_xll.BDP(TICKER,"DEEP_MEASURE_PERIOD_BROKER_VALUE","DEEP_MEASURE_ID_OVERRIDE",$C60,"DEEP_BROKER_ID_OVERRIDE",AC$24,"DEEP_PERIOD_OVERRIDE",$H$19)*1,"")))</f>
        <v/>
      </c>
      <c r="AD60" s="17" t="str">
        <f>IF(OR(AD$23="",ISNA($B60)),"",IF(ISBLANK($B60),"",IFERROR(_xll.BDP(TICKER,"DEEP_MEASURE_PERIOD_BROKER_VALUE","DEEP_MEASURE_ID_OVERRIDE",$C60,"DEEP_BROKER_ID_OVERRIDE",AD$24,"DEEP_PERIOD_OVERRIDE",$H$19)*1,"")))</f>
        <v/>
      </c>
      <c r="AE60" s="17" t="str">
        <f>IF(OR(AE$23="",ISNA($B60)),"",IF(ISBLANK($B60),"",IFERROR(_xll.BDP(TICKER,"DEEP_MEASURE_PERIOD_BROKER_VALUE","DEEP_MEASURE_ID_OVERRIDE",$C60,"DEEP_BROKER_ID_OVERRIDE",AE$24,"DEEP_PERIOD_OVERRIDE",$H$19)*1,"")))</f>
        <v/>
      </c>
      <c r="AF60" s="17" t="str">
        <f>IF(OR(AF$23="",ISNA($B60)),"",IF(ISBLANK($B60),"",IFERROR(_xll.BDP(TICKER,"DEEP_MEASURE_PERIOD_BROKER_VALUE","DEEP_MEASURE_ID_OVERRIDE",$C60,"DEEP_BROKER_ID_OVERRIDE",AF$24,"DEEP_PERIOD_OVERRIDE",$H$19)*1,"")))</f>
        <v/>
      </c>
      <c r="AG60" s="17" t="str">
        <f>IF(OR(AG$23="",ISNA($B60)),"",IF(ISBLANK($B60),"",IFERROR(_xll.BDP(TICKER,"DEEP_MEASURE_PERIOD_BROKER_VALUE","DEEP_MEASURE_ID_OVERRIDE",$C60,"DEEP_BROKER_ID_OVERRIDE",AG$24,"DEEP_PERIOD_OVERRIDE",$H$19)*1,"")))</f>
        <v/>
      </c>
      <c r="AH60" s="17" t="str">
        <f>IF(OR(AH$23="",ISNA($B60)),"",IF(ISBLANK($B60),"",IFERROR(_xll.BDP(TICKER,"DEEP_MEASURE_PERIOD_BROKER_VALUE","DEEP_MEASURE_ID_OVERRIDE",$C60,"DEEP_BROKER_ID_OVERRIDE",AH$24,"DEEP_PERIOD_OVERRIDE",$H$19)*1,"")))</f>
        <v/>
      </c>
      <c r="AI60" s="17" t="str">
        <f>IF(OR(AI$23="",ISNA($B60)),"",IF(ISBLANK($B60),"",IFERROR(_xll.BDP(TICKER,"DEEP_MEASURE_PERIOD_BROKER_VALUE","DEEP_MEASURE_ID_OVERRIDE",$C60,"DEEP_BROKER_ID_OVERRIDE",AI$24,"DEEP_PERIOD_OVERRIDE",$H$19)*1,"")))</f>
        <v/>
      </c>
      <c r="AJ60" s="17" t="str">
        <f>IF(OR(AJ$23="",ISNA($B60)),"",IF(ISBLANK($B60),"",IFERROR(_xll.BDP(TICKER,"DEEP_MEASURE_PERIOD_BROKER_VALUE","DEEP_MEASURE_ID_OVERRIDE",$C60,"DEEP_BROKER_ID_OVERRIDE",AJ$24,"DEEP_PERIOD_OVERRIDE",$H$19)*1,"")))</f>
        <v/>
      </c>
      <c r="AK60" s="17" t="str">
        <f>IF(OR(AK$23="",ISNA($B60)),"",IF(ISBLANK($B60),"",IFERROR(_xll.BDP(TICKER,"DEEP_MEASURE_PERIOD_BROKER_VALUE","DEEP_MEASURE_ID_OVERRIDE",$C60,"DEEP_BROKER_ID_OVERRIDE",AK$24,"DEEP_PERIOD_OVERRIDE",$H$19)*1,"")))</f>
        <v/>
      </c>
      <c r="AL60" s="17" t="str">
        <f>IF(OR(AL$23="",ISNA($B60)),"",IF(ISBLANK($B60),"",IFERROR(_xll.BDP(TICKER,"DEEP_MEASURE_PERIOD_BROKER_VALUE","DEEP_MEASURE_ID_OVERRIDE",$C60,"DEEP_BROKER_ID_OVERRIDE",AL$24,"DEEP_PERIOD_OVERRIDE",$H$19)*1,"")))</f>
        <v/>
      </c>
      <c r="AM60" s="17" t="str">
        <f>IF(OR(AM$23="",ISNA($B60)),"",IF(ISBLANK($B60),"",IFERROR(_xll.BDP(TICKER,"DEEP_MEASURE_PERIOD_BROKER_VALUE","DEEP_MEASURE_ID_OVERRIDE",$C60,"DEEP_BROKER_ID_OVERRIDE",AM$24,"DEEP_PERIOD_OVERRIDE",$H$19)*1,"")))</f>
        <v/>
      </c>
      <c r="AN60" s="17" t="str">
        <f>IF(OR(AN$23="",ISNA($B60)),"",IF(ISBLANK($B60),"",IFERROR(_xll.BDP(TICKER,"DEEP_MEASURE_PERIOD_BROKER_VALUE","DEEP_MEASURE_ID_OVERRIDE",$C60,"DEEP_BROKER_ID_OVERRIDE",AN$24,"DEEP_PERIOD_OVERRIDE",$H$19)*1,"")))</f>
        <v/>
      </c>
      <c r="AO60" s="17" t="str">
        <f>IF(OR(AO$23="",ISNA($B60)),"",IF(ISBLANK($B60),"",IFERROR(_xll.BDP(TICKER,"DEEP_MEASURE_PERIOD_BROKER_VALUE","DEEP_MEASURE_ID_OVERRIDE",$C60,"DEEP_BROKER_ID_OVERRIDE",AO$24,"DEEP_PERIOD_OVERRIDE",$H$19)*1,"")))</f>
        <v/>
      </c>
      <c r="AP60" s="17" t="str">
        <f>IF(OR(AP$23="",ISNA($B60)),"",IF(ISBLANK($B60),"",IFERROR(_xll.BDP(TICKER,"DEEP_MEASURE_PERIOD_BROKER_VALUE","DEEP_MEASURE_ID_OVERRIDE",$C60,"DEEP_BROKER_ID_OVERRIDE",AP$24,"DEEP_PERIOD_OVERRIDE",$H$19)*1,"")))</f>
        <v/>
      </c>
      <c r="AQ60" s="17" t="str">
        <f>IF(OR(AQ$23="",ISNA($B60)),"",IF(ISBLANK($B60),"",IFERROR(_xll.BDP(TICKER,"DEEP_MEASURE_PERIOD_BROKER_VALUE","DEEP_MEASURE_ID_OVERRIDE",$C60,"DEEP_BROKER_ID_OVERRIDE",AQ$24,"DEEP_PERIOD_OVERRIDE",$H$19)*1,"")))</f>
        <v/>
      </c>
      <c r="AR60" s="17" t="str">
        <f>IF(OR(AR$23="",ISNA($B60)),"",IF(ISBLANK($B60),"",IFERROR(_xll.BDP(TICKER,"DEEP_MEASURE_PERIOD_BROKER_VALUE","DEEP_MEASURE_ID_OVERRIDE",$C60,"DEEP_BROKER_ID_OVERRIDE",AR$24,"DEEP_PERIOD_OVERRIDE",$H$19)*1,"")))</f>
        <v/>
      </c>
      <c r="AS60" s="17" t="str">
        <f>IF(OR(AS$23="",ISNA($B60)),"",IF(ISBLANK($B60),"",IFERROR(_xll.BDP(TICKER,"DEEP_MEASURE_PERIOD_BROKER_VALUE","DEEP_MEASURE_ID_OVERRIDE",$C60,"DEEP_BROKER_ID_OVERRIDE",AS$24,"DEEP_PERIOD_OVERRIDE",$H$19)*1,"")))</f>
        <v/>
      </c>
      <c r="AT60" s="17" t="str">
        <f>IF(OR(AT$23="",ISNA($B60)),"",IF(ISBLANK($B60),"",IFERROR(_xll.BDP(TICKER,"DEEP_MEASURE_PERIOD_BROKER_VALUE","DEEP_MEASURE_ID_OVERRIDE",$C60,"DEEP_BROKER_ID_OVERRIDE",AT$24,"DEEP_PERIOD_OVERRIDE",$H$19)*1,"")))</f>
        <v/>
      </c>
      <c r="AU60" s="17" t="str">
        <f>IF(OR(AU$23="",ISNA($B60)),"",IF(ISBLANK($B60),"",IFERROR(_xll.BDP(TICKER,"DEEP_MEASURE_PERIOD_BROKER_VALUE","DEEP_MEASURE_ID_OVERRIDE",$C60,"DEEP_BROKER_ID_OVERRIDE",AU$24,"DEEP_PERIOD_OVERRIDE",$H$19)*1,"")))</f>
        <v/>
      </c>
      <c r="AV60" s="17" t="str">
        <f>IF(OR(AV$23="",ISNA($B60)),"",IF(ISBLANK($B60),"",IFERROR(_xll.BDP(TICKER,"DEEP_MEASURE_PERIOD_BROKER_VALUE","DEEP_MEASURE_ID_OVERRIDE",$C60,"DEEP_BROKER_ID_OVERRIDE",AV$24,"DEEP_PERIOD_OVERRIDE",$H$19)*1,"")))</f>
        <v/>
      </c>
      <c r="AW60" s="17" t="str">
        <f>IF(OR(AW$23="",ISNA($B60)),"",IF(ISBLANK($B60),"",IFERROR(_xll.BDP(TICKER,"DEEP_MEASURE_PERIOD_BROKER_VALUE","DEEP_MEASURE_ID_OVERRIDE",$C60,"DEEP_BROKER_ID_OVERRIDE",AW$24,"DEEP_PERIOD_OVERRIDE",$H$19)*1,"")))</f>
        <v/>
      </c>
      <c r="AX60" s="17" t="str">
        <f>IF(OR(AX$23="",ISNA($B60)),"",IF(ISBLANK($B60),"",IFERROR(_xll.BDP(TICKER,"DEEP_MEASURE_PERIOD_BROKER_VALUE","DEEP_MEASURE_ID_OVERRIDE",$C60,"DEEP_BROKER_ID_OVERRIDE",AX$24,"DEEP_PERIOD_OVERRIDE",$H$19)*1,"")))</f>
        <v/>
      </c>
      <c r="AY60" s="17" t="str">
        <f>IF(OR(AY$23="",ISNA($B60)),"",IF(ISBLANK($B60),"",IFERROR(_xll.BDP(TICKER,"DEEP_MEASURE_PERIOD_BROKER_VALUE","DEEP_MEASURE_ID_OVERRIDE",$C60,"DEEP_BROKER_ID_OVERRIDE",AY$24,"DEEP_PERIOD_OVERRIDE",$H$19)*1,"")))</f>
        <v/>
      </c>
      <c r="AZ60" s="17" t="str">
        <f>IF(OR(AZ$23="",ISNA($B60)),"",IF(ISBLANK($B60),"",IFERROR(_xll.BDP(TICKER,"DEEP_MEASURE_PERIOD_BROKER_VALUE","DEEP_MEASURE_ID_OVERRIDE",$C60,"DEEP_BROKER_ID_OVERRIDE",AZ$24,"DEEP_PERIOD_OVERRIDE",$H$19)*1,"")))</f>
        <v/>
      </c>
      <c r="BA60" s="17" t="str">
        <f>IF(OR(BA$23="",ISNA($B60)),"",IF(ISBLANK($B60),"",IFERROR(_xll.BDP(TICKER,"DEEP_MEASURE_PERIOD_BROKER_VALUE","DEEP_MEASURE_ID_OVERRIDE",$C60,"DEEP_BROKER_ID_OVERRIDE",BA$24,"DEEP_PERIOD_OVERRIDE",$H$19)*1,"")))</f>
        <v/>
      </c>
      <c r="BB60" s="17" t="str">
        <f>IF(OR(BB$23="",ISNA($B60)),"",IF(ISBLANK($B60),"",IFERROR(_xll.BDP(TICKER,"DEEP_MEASURE_PERIOD_BROKER_VALUE","DEEP_MEASURE_ID_OVERRIDE",$C60,"DEEP_BROKER_ID_OVERRIDE",BB$24,"DEEP_PERIOD_OVERRIDE",$H$19)*1,"")))</f>
        <v/>
      </c>
      <c r="BC60" s="17" t="str">
        <f>IF(OR(BC$23="",ISNA($B60)),"",IF(ISBLANK($B60),"",IFERROR(_xll.BDP(TICKER,"DEEP_MEASURE_PERIOD_BROKER_VALUE","DEEP_MEASURE_ID_OVERRIDE",$C60,"DEEP_BROKER_ID_OVERRIDE",BC$24,"DEEP_PERIOD_OVERRIDE",$H$19)*1,"")))</f>
        <v/>
      </c>
      <c r="BD60" s="17" t="str">
        <f>IF(OR(BD$23="",ISNA($B60)),"",IF(ISBLANK($B60),"",IFERROR(_xll.BDP(TICKER,"DEEP_MEASURE_PERIOD_BROKER_VALUE","DEEP_MEASURE_ID_OVERRIDE",$C60,"DEEP_BROKER_ID_OVERRIDE",BD$24,"DEEP_PERIOD_OVERRIDE",$H$19)*1,"")))</f>
        <v/>
      </c>
      <c r="BE60" s="17" t="str">
        <f>IF(OR(BE$23="",ISNA($B60)),"",IF(ISBLANK($B60),"",IFERROR(_xll.BDP(TICKER,"DEEP_MEASURE_PERIOD_BROKER_VALUE","DEEP_MEASURE_ID_OVERRIDE",$C60,"DEEP_BROKER_ID_OVERRIDE",BE$24,"DEEP_PERIOD_OVERRIDE",$H$19)*1,"")))</f>
        <v/>
      </c>
      <c r="BF60" s="17" t="str">
        <f>IF(OR(BF$23="",ISNA($B60)),"",IF(ISBLANK($B60),"",IFERROR(_xll.BDP(TICKER,"DEEP_MEASURE_PERIOD_BROKER_VALUE","DEEP_MEASURE_ID_OVERRIDE",$C60,"DEEP_BROKER_ID_OVERRIDE",BF$24,"DEEP_PERIOD_OVERRIDE",$H$19)*1,"")))</f>
        <v/>
      </c>
      <c r="BG60" s="17" t="str">
        <f>IF(OR(BG$23="",ISNA($B60)),"",IF(ISBLANK($B60),"",IFERROR(_xll.BDP(TICKER,"DEEP_MEASURE_PERIOD_BROKER_VALUE","DEEP_MEASURE_ID_OVERRIDE",$C60,"DEEP_BROKER_ID_OVERRIDE",BG$24,"DEEP_PERIOD_OVERRIDE",$H$19)*1,"")))</f>
        <v/>
      </c>
      <c r="BH60" s="17" t="str">
        <f>IF(OR(BH$23="",ISNA($B60)),"",IF(ISBLANK($B60),"",IFERROR(_xll.BDP(TICKER,"DEEP_MEASURE_PERIOD_BROKER_VALUE","DEEP_MEASURE_ID_OVERRIDE",$C60,"DEEP_BROKER_ID_OVERRIDE",BH$24,"DEEP_PERIOD_OVERRIDE",$H$19)*1,"")))</f>
        <v/>
      </c>
      <c r="BI60" s="17" t="str">
        <f>IF(OR(BI$23="",ISNA($B60)),"",IF(ISBLANK($B60),"",IFERROR(_xll.BDP(TICKER,"DEEP_MEASURE_PERIOD_BROKER_VALUE","DEEP_MEASURE_ID_OVERRIDE",$C60,"DEEP_BROKER_ID_OVERRIDE",BI$24,"DEEP_PERIOD_OVERRIDE",$H$19)*1,"")))</f>
        <v/>
      </c>
      <c r="BJ60" s="17" t="str">
        <f>IF(OR(BJ$23="",ISNA($B60)),"",IF(ISBLANK($B60),"",IFERROR(_xll.BDP(TICKER,"DEEP_MEASURE_PERIOD_BROKER_VALUE","DEEP_MEASURE_ID_OVERRIDE",$C60,"DEEP_BROKER_ID_OVERRIDE",BJ$24,"DEEP_PERIOD_OVERRIDE",$H$19)*1,"")))</f>
        <v/>
      </c>
      <c r="BK60" s="17" t="str">
        <f>IF(OR(BK$23="",ISNA($B60)),"",IF(ISBLANK($B60),"",IFERROR(_xll.BDP(TICKER,"DEEP_MEASURE_PERIOD_BROKER_VALUE","DEEP_MEASURE_ID_OVERRIDE",$C60,"DEEP_BROKER_ID_OVERRIDE",BK$24,"DEEP_PERIOD_OVERRIDE",$H$19)*1,"")))</f>
        <v/>
      </c>
      <c r="BL60" s="17" t="str">
        <f>IF(OR(BL$23="",ISNA($B60)),"",IF(ISBLANK($B60),"",IFERROR(_xll.BDP(TICKER,"DEEP_MEASURE_PERIOD_BROKER_VALUE","DEEP_MEASURE_ID_OVERRIDE",$C60,"DEEP_BROKER_ID_OVERRIDE",BL$24,"DEEP_PERIOD_OVERRIDE",$H$19)*1,"")))</f>
        <v/>
      </c>
      <c r="BM60" s="17" t="str">
        <f>IF(OR(BM$23="",ISNA($B60)),"",IF(ISBLANK($B60),"",IFERROR(_xll.BDP(TICKER,"DEEP_MEASURE_PERIOD_BROKER_VALUE","DEEP_MEASURE_ID_OVERRIDE",$C60,"DEEP_BROKER_ID_OVERRIDE",BM$24,"DEEP_PERIOD_OVERRIDE",$H$19)*1,"")))</f>
        <v/>
      </c>
      <c r="BN60" s="17" t="str">
        <f>IF(OR(BN$23="",ISNA($B60)),"",IF(ISBLANK($B60),"",IFERROR(_xll.BDP(TICKER,"DEEP_MEASURE_PERIOD_BROKER_VALUE","DEEP_MEASURE_ID_OVERRIDE",$C60,"DEEP_BROKER_ID_OVERRIDE",BN$24,"DEEP_PERIOD_OVERRIDE",$H$19)*1,"")))</f>
        <v/>
      </c>
      <c r="BO60" s="17" t="str">
        <f>IF(OR(BO$23="",ISNA($B60)),"",IF(ISBLANK($B60),"",IFERROR(_xll.BDP(TICKER,"DEEP_MEASURE_PERIOD_BROKER_VALUE","DEEP_MEASURE_ID_OVERRIDE",$C60,"DEEP_BROKER_ID_OVERRIDE",BO$24,"DEEP_PERIOD_OVERRIDE",$H$19)*1,"")))</f>
        <v/>
      </c>
      <c r="BP60" s="17" t="str">
        <f>IF(OR(BP$23="",ISNA($B60)),"",IF(ISBLANK($B60),"",IFERROR(_xll.BDP(TICKER,"DEEP_MEASURE_PERIOD_BROKER_VALUE","DEEP_MEASURE_ID_OVERRIDE",$C60,"DEEP_BROKER_ID_OVERRIDE",BP$24,"DEEP_PERIOD_OVERRIDE",$H$19)*1,"")))</f>
        <v/>
      </c>
      <c r="BQ60" s="17" t="str">
        <f>IF(OR(BQ$23="",ISNA($B60)),"",IF(ISBLANK($B60),"",IFERROR(_xll.BDP(TICKER,"DEEP_MEASURE_PERIOD_BROKER_VALUE","DEEP_MEASURE_ID_OVERRIDE",$C60,"DEEP_BROKER_ID_OVERRIDE",BQ$24,"DEEP_PERIOD_OVERRIDE",$H$19)*1,"")))</f>
        <v/>
      </c>
      <c r="BR60" s="17" t="str">
        <f>IF(OR(BR$23="",ISNA($B60)),"",IF(ISBLANK($B60),"",IFERROR(_xll.BDP(TICKER,"DEEP_MEASURE_PERIOD_BROKER_VALUE","DEEP_MEASURE_ID_OVERRIDE",$C60,"DEEP_BROKER_ID_OVERRIDE",BR$24,"DEEP_PERIOD_OVERRIDE",$H$19)*1,"")))</f>
        <v/>
      </c>
      <c r="BS60" s="17" t="str">
        <f>IF(OR(BS$23="",ISNA($B60)),"",IF(ISBLANK($B60),"",IFERROR(_xll.BDP(TICKER,"DEEP_MEASURE_PERIOD_BROKER_VALUE","DEEP_MEASURE_ID_OVERRIDE",$C60,"DEEP_BROKER_ID_OVERRIDE",BS$24,"DEEP_PERIOD_OVERRIDE",$H$19)*1,"")))</f>
        <v/>
      </c>
      <c r="BT60" s="17" t="str">
        <f>IF(OR(BT$23="",ISNA($B60)),"",IF(ISBLANK($B60),"",IFERROR(_xll.BDP(TICKER,"DEEP_MEASURE_PERIOD_BROKER_VALUE","DEEP_MEASURE_ID_OVERRIDE",$C60,"DEEP_BROKER_ID_OVERRIDE",BT$24,"DEEP_PERIOD_OVERRIDE",$H$19)*1,"")))</f>
        <v/>
      </c>
      <c r="BU60" s="17" t="str">
        <f>IF(OR(BU$23="",ISNA($B60)),"",IF(ISBLANK($B60),"",IFERROR(_xll.BDP(TICKER,"DEEP_MEASURE_PERIOD_BROKER_VALUE","DEEP_MEASURE_ID_OVERRIDE",$C60,"DEEP_BROKER_ID_OVERRIDE",BU$24,"DEEP_PERIOD_OVERRIDE",$H$19)*1,"")))</f>
        <v/>
      </c>
      <c r="BV60" s="17" t="str">
        <f>IF(OR(BV$23="",ISNA($B60)),"",IF(ISBLANK($B60),"",IFERROR(_xll.BDP(TICKER,"DEEP_MEASURE_PERIOD_BROKER_VALUE","DEEP_MEASURE_ID_OVERRIDE",$C60,"DEEP_BROKER_ID_OVERRIDE",BV$24,"DEEP_PERIOD_OVERRIDE",$H$19)*1,"")))</f>
        <v/>
      </c>
      <c r="BW60" s="17" t="str">
        <f>IF(OR(BW$23="",ISNA($B60)),"",IF(ISBLANK($B60),"",IFERROR(_xll.BDP(TICKER,"DEEP_MEASURE_PERIOD_BROKER_VALUE","DEEP_MEASURE_ID_OVERRIDE",$C60,"DEEP_BROKER_ID_OVERRIDE",BW$24,"DEEP_PERIOD_OVERRIDE",$H$19)*1,"")))</f>
        <v/>
      </c>
      <c r="BX60" s="17" t="str">
        <f>IF(OR(BX$23="",ISNA($B60)),"",IF(ISBLANK($B60),"",IFERROR(_xll.BDP(TICKER,"DEEP_MEASURE_PERIOD_BROKER_VALUE","DEEP_MEASURE_ID_OVERRIDE",$C60,"DEEP_BROKER_ID_OVERRIDE",BX$24,"DEEP_PERIOD_OVERRIDE",$H$19)*1,"")))</f>
        <v/>
      </c>
      <c r="BY60" s="17" t="str">
        <f>IF(OR(BY$23="",ISNA($B60)),"",IF(ISBLANK($B60),"",IFERROR(_xll.BDP(TICKER,"DEEP_MEASURE_PERIOD_BROKER_VALUE","DEEP_MEASURE_ID_OVERRIDE",$C60,"DEEP_BROKER_ID_OVERRIDE",BY$24,"DEEP_PERIOD_OVERRIDE",$H$19)*1,"")))</f>
        <v/>
      </c>
      <c r="BZ60" s="17" t="str">
        <f>IF(OR(BZ$23="",ISNA($B60)),"",IF(ISBLANK($B60),"",IFERROR(_xll.BDP(TICKER,"DEEP_MEASURE_PERIOD_BROKER_VALUE","DEEP_MEASURE_ID_OVERRIDE",$C60,"DEEP_BROKER_ID_OVERRIDE",BZ$24,"DEEP_PERIOD_OVERRIDE",$H$19)*1,"")))</f>
        <v/>
      </c>
    </row>
    <row r="61" spans="2:78" x14ac:dyDescent="0.25">
      <c r="B61" t="s">
        <v>105</v>
      </c>
      <c r="C61" s="11">
        <v>1936</v>
      </c>
      <c r="H61" t="str">
        <f t="shared" si="1"/>
        <v>Total Revenue &gt; Hotel &gt; Revenue &gt; TripAdvisor-branded Click-based &amp; Transaction &gt; As % of Revenue</v>
      </c>
      <c r="I61" t="str">
        <f>IF(OR(I$23="",ISNA($B61)),"",IF(ISBLANK($B61),"",IFERROR(_xll.BDP(TICKER,"DEEP_MEASURE_PERIOD_BROKER_VALUE","DEEP_MEASURE_ID_OVERRIDE",$C61,"DEEP_PERIOD_OVERRIDE",$H$19)*1,"")))</f>
        <v/>
      </c>
      <c r="J61" t="e">
        <f>IF(OR(J$23="",ISNA($B61)),"",IF(ISBLANK($B61),"",IFERROR(_xll.BDP(TICKER,"DEEP_MEASURE_PERIOD_BROKER_VALUE","DEEP_MEASURE_ID_OVERRIDE",$C61,"DEEP_BROKER_ID_OVERRIDE",J$24,"DEEP_PERIOD_OVERRIDE",$H$19)*1,"")))</f>
        <v>#REF!</v>
      </c>
      <c r="K61" s="17" t="str">
        <f>IF(OR(K$23="",ISNA($B61)),"",IF(ISBLANK($B61),"",IFERROR(_xll.BDP(TICKER,"DEEP_MEASURE_PERIOD_BROKER_VALUE","DEEP_MEASURE_ID_OVERRIDE",$C61,"DEEP_BROKER_ID_OVERRIDE",K$24,"DEEP_PERIOD_OVERRIDE",$H$19)*1,"")))</f>
        <v/>
      </c>
      <c r="L61" s="17" t="str">
        <f>IF(OR(L$23="",ISNA($B61)),"",IF(ISBLANK($B61),"",IFERROR(_xll.BDP(TICKER,"DEEP_MEASURE_PERIOD_BROKER_VALUE","DEEP_MEASURE_ID_OVERRIDE",$C61,"DEEP_BROKER_ID_OVERRIDE",L$24,"DEEP_PERIOD_OVERRIDE",$H$19)*1,"")))</f>
        <v/>
      </c>
      <c r="M61" s="17" t="str">
        <f>IF(OR(M$23="",ISNA($B61)),"",IF(ISBLANK($B61),"",IFERROR(_xll.BDP(TICKER,"DEEP_MEASURE_PERIOD_BROKER_VALUE","DEEP_MEASURE_ID_OVERRIDE",$C61,"DEEP_BROKER_ID_OVERRIDE",M$24,"DEEP_PERIOD_OVERRIDE",$H$19)*1,"")))</f>
        <v/>
      </c>
      <c r="N61" s="17" t="str">
        <f>IF(OR(N$23="",ISNA($B61)),"",IF(ISBLANK($B61),"",IFERROR(_xll.BDP(TICKER,"DEEP_MEASURE_PERIOD_BROKER_VALUE","DEEP_MEASURE_ID_OVERRIDE",$C61,"DEEP_BROKER_ID_OVERRIDE",N$24,"DEEP_PERIOD_OVERRIDE",$H$19)*1,"")))</f>
        <v/>
      </c>
      <c r="O61" s="17" t="str">
        <f>IF(OR(O$23="",ISNA($B61)),"",IF(ISBLANK($B61),"",IFERROR(_xll.BDP(TICKER,"DEEP_MEASURE_PERIOD_BROKER_VALUE","DEEP_MEASURE_ID_OVERRIDE",$C61,"DEEP_BROKER_ID_OVERRIDE",O$24,"DEEP_PERIOD_OVERRIDE",$H$19)*1,"")))</f>
        <v/>
      </c>
      <c r="P61" s="17" t="str">
        <f>IF(OR(P$23="",ISNA($B61)),"",IF(ISBLANK($B61),"",IFERROR(_xll.BDP(TICKER,"DEEP_MEASURE_PERIOD_BROKER_VALUE","DEEP_MEASURE_ID_OVERRIDE",$C61,"DEEP_BROKER_ID_OVERRIDE",P$24,"DEEP_PERIOD_OVERRIDE",$H$19)*1,"")))</f>
        <v/>
      </c>
      <c r="Q61" s="17" t="str">
        <f>IF(OR(Q$23="",ISNA($B61)),"",IF(ISBLANK($B61),"",IFERROR(_xll.BDP(TICKER,"DEEP_MEASURE_PERIOD_BROKER_VALUE","DEEP_MEASURE_ID_OVERRIDE",$C61,"DEEP_BROKER_ID_OVERRIDE",Q$24,"DEEP_PERIOD_OVERRIDE",$H$19)*1,"")))</f>
        <v/>
      </c>
      <c r="R61" s="17" t="str">
        <f>IF(OR(R$23="",ISNA($B61)),"",IF(ISBLANK($B61),"",IFERROR(_xll.BDP(TICKER,"DEEP_MEASURE_PERIOD_BROKER_VALUE","DEEP_MEASURE_ID_OVERRIDE",$C61,"DEEP_BROKER_ID_OVERRIDE",R$24,"DEEP_PERIOD_OVERRIDE",$H$19)*1,"")))</f>
        <v/>
      </c>
      <c r="S61" s="17" t="str">
        <f>IF(OR(S$23="",ISNA($B61)),"",IF(ISBLANK($B61),"",IFERROR(_xll.BDP(TICKER,"DEEP_MEASURE_PERIOD_BROKER_VALUE","DEEP_MEASURE_ID_OVERRIDE",$C61,"DEEP_BROKER_ID_OVERRIDE",S$24,"DEEP_PERIOD_OVERRIDE",$H$19)*1,"")))</f>
        <v/>
      </c>
      <c r="T61" s="17" t="str">
        <f>IF(OR(T$23="",ISNA($B61)),"",IF(ISBLANK($B61),"",IFERROR(_xll.BDP(TICKER,"DEEP_MEASURE_PERIOD_BROKER_VALUE","DEEP_MEASURE_ID_OVERRIDE",$C61,"DEEP_BROKER_ID_OVERRIDE",T$24,"DEEP_PERIOD_OVERRIDE",$H$19)*1,"")))</f>
        <v/>
      </c>
      <c r="U61" s="17" t="str">
        <f>IF(OR(U$23="",ISNA($B61)),"",IF(ISBLANK($B61),"",IFERROR(_xll.BDP(TICKER,"DEEP_MEASURE_PERIOD_BROKER_VALUE","DEEP_MEASURE_ID_OVERRIDE",$C61,"DEEP_BROKER_ID_OVERRIDE",U$24,"DEEP_PERIOD_OVERRIDE",$H$19)*1,"")))</f>
        <v/>
      </c>
      <c r="V61" s="17" t="str">
        <f>IF(OR(V$23="",ISNA($B61)),"",IF(ISBLANK($B61),"",IFERROR(_xll.BDP(TICKER,"DEEP_MEASURE_PERIOD_BROKER_VALUE","DEEP_MEASURE_ID_OVERRIDE",$C61,"DEEP_BROKER_ID_OVERRIDE",V$24,"DEEP_PERIOD_OVERRIDE",$H$19)*1,"")))</f>
        <v/>
      </c>
      <c r="W61" s="17" t="str">
        <f>IF(OR(W$23="",ISNA($B61)),"",IF(ISBLANK($B61),"",IFERROR(_xll.BDP(TICKER,"DEEP_MEASURE_PERIOD_BROKER_VALUE","DEEP_MEASURE_ID_OVERRIDE",$C61,"DEEP_BROKER_ID_OVERRIDE",W$24,"DEEP_PERIOD_OVERRIDE",$H$19)*1,"")))</f>
        <v/>
      </c>
      <c r="X61" s="17" t="str">
        <f>IF(OR(X$23="",ISNA($B61)),"",IF(ISBLANK($B61),"",IFERROR(_xll.BDP(TICKER,"DEEP_MEASURE_PERIOD_BROKER_VALUE","DEEP_MEASURE_ID_OVERRIDE",$C61,"DEEP_BROKER_ID_OVERRIDE",X$24,"DEEP_PERIOD_OVERRIDE",$H$19)*1,"")))</f>
        <v/>
      </c>
      <c r="Y61" s="17" t="str">
        <f>IF(OR(Y$23="",ISNA($B61)),"",IF(ISBLANK($B61),"",IFERROR(_xll.BDP(TICKER,"DEEP_MEASURE_PERIOD_BROKER_VALUE","DEEP_MEASURE_ID_OVERRIDE",$C61,"DEEP_BROKER_ID_OVERRIDE",Y$24,"DEEP_PERIOD_OVERRIDE",$H$19)*1,"")))</f>
        <v/>
      </c>
      <c r="Z61" s="17" t="str">
        <f>IF(OR(Z$23="",ISNA($B61)),"",IF(ISBLANK($B61),"",IFERROR(_xll.BDP(TICKER,"DEEP_MEASURE_PERIOD_BROKER_VALUE","DEEP_MEASURE_ID_OVERRIDE",$C61,"DEEP_BROKER_ID_OVERRIDE",Z$24,"DEEP_PERIOD_OVERRIDE",$H$19)*1,"")))</f>
        <v/>
      </c>
      <c r="AA61" s="17" t="str">
        <f>IF(OR(AA$23="",ISNA($B61)),"",IF(ISBLANK($B61),"",IFERROR(_xll.BDP(TICKER,"DEEP_MEASURE_PERIOD_BROKER_VALUE","DEEP_MEASURE_ID_OVERRIDE",$C61,"DEEP_BROKER_ID_OVERRIDE",AA$24,"DEEP_PERIOD_OVERRIDE",$H$19)*1,"")))</f>
        <v/>
      </c>
      <c r="AB61" s="17" t="str">
        <f>IF(OR(AB$23="",ISNA($B61)),"",IF(ISBLANK($B61),"",IFERROR(_xll.BDP(TICKER,"DEEP_MEASURE_PERIOD_BROKER_VALUE","DEEP_MEASURE_ID_OVERRIDE",$C61,"DEEP_BROKER_ID_OVERRIDE",AB$24,"DEEP_PERIOD_OVERRIDE",$H$19)*1,"")))</f>
        <v/>
      </c>
      <c r="AC61" s="17" t="str">
        <f>IF(OR(AC$23="",ISNA($B61)),"",IF(ISBLANK($B61),"",IFERROR(_xll.BDP(TICKER,"DEEP_MEASURE_PERIOD_BROKER_VALUE","DEEP_MEASURE_ID_OVERRIDE",$C61,"DEEP_BROKER_ID_OVERRIDE",AC$24,"DEEP_PERIOD_OVERRIDE",$H$19)*1,"")))</f>
        <v/>
      </c>
      <c r="AD61" s="17" t="str">
        <f>IF(OR(AD$23="",ISNA($B61)),"",IF(ISBLANK($B61),"",IFERROR(_xll.BDP(TICKER,"DEEP_MEASURE_PERIOD_BROKER_VALUE","DEEP_MEASURE_ID_OVERRIDE",$C61,"DEEP_BROKER_ID_OVERRIDE",AD$24,"DEEP_PERIOD_OVERRIDE",$H$19)*1,"")))</f>
        <v/>
      </c>
      <c r="AE61" s="17" t="str">
        <f>IF(OR(AE$23="",ISNA($B61)),"",IF(ISBLANK($B61),"",IFERROR(_xll.BDP(TICKER,"DEEP_MEASURE_PERIOD_BROKER_VALUE","DEEP_MEASURE_ID_OVERRIDE",$C61,"DEEP_BROKER_ID_OVERRIDE",AE$24,"DEEP_PERIOD_OVERRIDE",$H$19)*1,"")))</f>
        <v/>
      </c>
      <c r="AF61" s="17" t="str">
        <f>IF(OR(AF$23="",ISNA($B61)),"",IF(ISBLANK($B61),"",IFERROR(_xll.BDP(TICKER,"DEEP_MEASURE_PERIOD_BROKER_VALUE","DEEP_MEASURE_ID_OVERRIDE",$C61,"DEEP_BROKER_ID_OVERRIDE",AF$24,"DEEP_PERIOD_OVERRIDE",$H$19)*1,"")))</f>
        <v/>
      </c>
      <c r="AG61" s="17" t="str">
        <f>IF(OR(AG$23="",ISNA($B61)),"",IF(ISBLANK($B61),"",IFERROR(_xll.BDP(TICKER,"DEEP_MEASURE_PERIOD_BROKER_VALUE","DEEP_MEASURE_ID_OVERRIDE",$C61,"DEEP_BROKER_ID_OVERRIDE",AG$24,"DEEP_PERIOD_OVERRIDE",$H$19)*1,"")))</f>
        <v/>
      </c>
      <c r="AH61" s="17" t="str">
        <f>IF(OR(AH$23="",ISNA($B61)),"",IF(ISBLANK($B61),"",IFERROR(_xll.BDP(TICKER,"DEEP_MEASURE_PERIOD_BROKER_VALUE","DEEP_MEASURE_ID_OVERRIDE",$C61,"DEEP_BROKER_ID_OVERRIDE",AH$24,"DEEP_PERIOD_OVERRIDE",$H$19)*1,"")))</f>
        <v/>
      </c>
      <c r="AI61" s="17" t="str">
        <f>IF(OR(AI$23="",ISNA($B61)),"",IF(ISBLANK($B61),"",IFERROR(_xll.BDP(TICKER,"DEEP_MEASURE_PERIOD_BROKER_VALUE","DEEP_MEASURE_ID_OVERRIDE",$C61,"DEEP_BROKER_ID_OVERRIDE",AI$24,"DEEP_PERIOD_OVERRIDE",$H$19)*1,"")))</f>
        <v/>
      </c>
      <c r="AJ61" s="17" t="str">
        <f>IF(OR(AJ$23="",ISNA($B61)),"",IF(ISBLANK($B61),"",IFERROR(_xll.BDP(TICKER,"DEEP_MEASURE_PERIOD_BROKER_VALUE","DEEP_MEASURE_ID_OVERRIDE",$C61,"DEEP_BROKER_ID_OVERRIDE",AJ$24,"DEEP_PERIOD_OVERRIDE",$H$19)*1,"")))</f>
        <v/>
      </c>
      <c r="AK61" s="17" t="str">
        <f>IF(OR(AK$23="",ISNA($B61)),"",IF(ISBLANK($B61),"",IFERROR(_xll.BDP(TICKER,"DEEP_MEASURE_PERIOD_BROKER_VALUE","DEEP_MEASURE_ID_OVERRIDE",$C61,"DEEP_BROKER_ID_OVERRIDE",AK$24,"DEEP_PERIOD_OVERRIDE",$H$19)*1,"")))</f>
        <v/>
      </c>
      <c r="AL61" s="17" t="str">
        <f>IF(OR(AL$23="",ISNA($B61)),"",IF(ISBLANK($B61),"",IFERROR(_xll.BDP(TICKER,"DEEP_MEASURE_PERIOD_BROKER_VALUE","DEEP_MEASURE_ID_OVERRIDE",$C61,"DEEP_BROKER_ID_OVERRIDE",AL$24,"DEEP_PERIOD_OVERRIDE",$H$19)*1,"")))</f>
        <v/>
      </c>
      <c r="AM61" s="17" t="str">
        <f>IF(OR(AM$23="",ISNA($B61)),"",IF(ISBLANK($B61),"",IFERROR(_xll.BDP(TICKER,"DEEP_MEASURE_PERIOD_BROKER_VALUE","DEEP_MEASURE_ID_OVERRIDE",$C61,"DEEP_BROKER_ID_OVERRIDE",AM$24,"DEEP_PERIOD_OVERRIDE",$H$19)*1,"")))</f>
        <v/>
      </c>
      <c r="AN61" s="17" t="str">
        <f>IF(OR(AN$23="",ISNA($B61)),"",IF(ISBLANK($B61),"",IFERROR(_xll.BDP(TICKER,"DEEP_MEASURE_PERIOD_BROKER_VALUE","DEEP_MEASURE_ID_OVERRIDE",$C61,"DEEP_BROKER_ID_OVERRIDE",AN$24,"DEEP_PERIOD_OVERRIDE",$H$19)*1,"")))</f>
        <v/>
      </c>
      <c r="AO61" s="17" t="str">
        <f>IF(OR(AO$23="",ISNA($B61)),"",IF(ISBLANK($B61),"",IFERROR(_xll.BDP(TICKER,"DEEP_MEASURE_PERIOD_BROKER_VALUE","DEEP_MEASURE_ID_OVERRIDE",$C61,"DEEP_BROKER_ID_OVERRIDE",AO$24,"DEEP_PERIOD_OVERRIDE",$H$19)*1,"")))</f>
        <v/>
      </c>
      <c r="AP61" s="17" t="str">
        <f>IF(OR(AP$23="",ISNA($B61)),"",IF(ISBLANK($B61),"",IFERROR(_xll.BDP(TICKER,"DEEP_MEASURE_PERIOD_BROKER_VALUE","DEEP_MEASURE_ID_OVERRIDE",$C61,"DEEP_BROKER_ID_OVERRIDE",AP$24,"DEEP_PERIOD_OVERRIDE",$H$19)*1,"")))</f>
        <v/>
      </c>
      <c r="AQ61" s="17" t="str">
        <f>IF(OR(AQ$23="",ISNA($B61)),"",IF(ISBLANK($B61),"",IFERROR(_xll.BDP(TICKER,"DEEP_MEASURE_PERIOD_BROKER_VALUE","DEEP_MEASURE_ID_OVERRIDE",$C61,"DEEP_BROKER_ID_OVERRIDE",AQ$24,"DEEP_PERIOD_OVERRIDE",$H$19)*1,"")))</f>
        <v/>
      </c>
      <c r="AR61" s="17" t="str">
        <f>IF(OR(AR$23="",ISNA($B61)),"",IF(ISBLANK($B61),"",IFERROR(_xll.BDP(TICKER,"DEEP_MEASURE_PERIOD_BROKER_VALUE","DEEP_MEASURE_ID_OVERRIDE",$C61,"DEEP_BROKER_ID_OVERRIDE",AR$24,"DEEP_PERIOD_OVERRIDE",$H$19)*1,"")))</f>
        <v/>
      </c>
      <c r="AS61" s="17" t="str">
        <f>IF(OR(AS$23="",ISNA($B61)),"",IF(ISBLANK($B61),"",IFERROR(_xll.BDP(TICKER,"DEEP_MEASURE_PERIOD_BROKER_VALUE","DEEP_MEASURE_ID_OVERRIDE",$C61,"DEEP_BROKER_ID_OVERRIDE",AS$24,"DEEP_PERIOD_OVERRIDE",$H$19)*1,"")))</f>
        <v/>
      </c>
      <c r="AT61" s="17" t="str">
        <f>IF(OR(AT$23="",ISNA($B61)),"",IF(ISBLANK($B61),"",IFERROR(_xll.BDP(TICKER,"DEEP_MEASURE_PERIOD_BROKER_VALUE","DEEP_MEASURE_ID_OVERRIDE",$C61,"DEEP_BROKER_ID_OVERRIDE",AT$24,"DEEP_PERIOD_OVERRIDE",$H$19)*1,"")))</f>
        <v/>
      </c>
      <c r="AU61" s="17" t="str">
        <f>IF(OR(AU$23="",ISNA($B61)),"",IF(ISBLANK($B61),"",IFERROR(_xll.BDP(TICKER,"DEEP_MEASURE_PERIOD_BROKER_VALUE","DEEP_MEASURE_ID_OVERRIDE",$C61,"DEEP_BROKER_ID_OVERRIDE",AU$24,"DEEP_PERIOD_OVERRIDE",$H$19)*1,"")))</f>
        <v/>
      </c>
      <c r="AV61" s="17" t="str">
        <f>IF(OR(AV$23="",ISNA($B61)),"",IF(ISBLANK($B61),"",IFERROR(_xll.BDP(TICKER,"DEEP_MEASURE_PERIOD_BROKER_VALUE","DEEP_MEASURE_ID_OVERRIDE",$C61,"DEEP_BROKER_ID_OVERRIDE",AV$24,"DEEP_PERIOD_OVERRIDE",$H$19)*1,"")))</f>
        <v/>
      </c>
      <c r="AW61" s="17" t="str">
        <f>IF(OR(AW$23="",ISNA($B61)),"",IF(ISBLANK($B61),"",IFERROR(_xll.BDP(TICKER,"DEEP_MEASURE_PERIOD_BROKER_VALUE","DEEP_MEASURE_ID_OVERRIDE",$C61,"DEEP_BROKER_ID_OVERRIDE",AW$24,"DEEP_PERIOD_OVERRIDE",$H$19)*1,"")))</f>
        <v/>
      </c>
      <c r="AX61" s="17" t="str">
        <f>IF(OR(AX$23="",ISNA($B61)),"",IF(ISBLANK($B61),"",IFERROR(_xll.BDP(TICKER,"DEEP_MEASURE_PERIOD_BROKER_VALUE","DEEP_MEASURE_ID_OVERRIDE",$C61,"DEEP_BROKER_ID_OVERRIDE",AX$24,"DEEP_PERIOD_OVERRIDE",$H$19)*1,"")))</f>
        <v/>
      </c>
      <c r="AY61" s="17" t="str">
        <f>IF(OR(AY$23="",ISNA($B61)),"",IF(ISBLANK($B61),"",IFERROR(_xll.BDP(TICKER,"DEEP_MEASURE_PERIOD_BROKER_VALUE","DEEP_MEASURE_ID_OVERRIDE",$C61,"DEEP_BROKER_ID_OVERRIDE",AY$24,"DEEP_PERIOD_OVERRIDE",$H$19)*1,"")))</f>
        <v/>
      </c>
      <c r="AZ61" s="17" t="str">
        <f>IF(OR(AZ$23="",ISNA($B61)),"",IF(ISBLANK($B61),"",IFERROR(_xll.BDP(TICKER,"DEEP_MEASURE_PERIOD_BROKER_VALUE","DEEP_MEASURE_ID_OVERRIDE",$C61,"DEEP_BROKER_ID_OVERRIDE",AZ$24,"DEEP_PERIOD_OVERRIDE",$H$19)*1,"")))</f>
        <v/>
      </c>
      <c r="BA61" s="17" t="str">
        <f>IF(OR(BA$23="",ISNA($B61)),"",IF(ISBLANK($B61),"",IFERROR(_xll.BDP(TICKER,"DEEP_MEASURE_PERIOD_BROKER_VALUE","DEEP_MEASURE_ID_OVERRIDE",$C61,"DEEP_BROKER_ID_OVERRIDE",BA$24,"DEEP_PERIOD_OVERRIDE",$H$19)*1,"")))</f>
        <v/>
      </c>
      <c r="BB61" s="17" t="str">
        <f>IF(OR(BB$23="",ISNA($B61)),"",IF(ISBLANK($B61),"",IFERROR(_xll.BDP(TICKER,"DEEP_MEASURE_PERIOD_BROKER_VALUE","DEEP_MEASURE_ID_OVERRIDE",$C61,"DEEP_BROKER_ID_OVERRIDE",BB$24,"DEEP_PERIOD_OVERRIDE",$H$19)*1,"")))</f>
        <v/>
      </c>
      <c r="BC61" s="17" t="str">
        <f>IF(OR(BC$23="",ISNA($B61)),"",IF(ISBLANK($B61),"",IFERROR(_xll.BDP(TICKER,"DEEP_MEASURE_PERIOD_BROKER_VALUE","DEEP_MEASURE_ID_OVERRIDE",$C61,"DEEP_BROKER_ID_OVERRIDE",BC$24,"DEEP_PERIOD_OVERRIDE",$H$19)*1,"")))</f>
        <v/>
      </c>
      <c r="BD61" s="17" t="str">
        <f>IF(OR(BD$23="",ISNA($B61)),"",IF(ISBLANK($B61),"",IFERROR(_xll.BDP(TICKER,"DEEP_MEASURE_PERIOD_BROKER_VALUE","DEEP_MEASURE_ID_OVERRIDE",$C61,"DEEP_BROKER_ID_OVERRIDE",BD$24,"DEEP_PERIOD_OVERRIDE",$H$19)*1,"")))</f>
        <v/>
      </c>
      <c r="BE61" s="17" t="str">
        <f>IF(OR(BE$23="",ISNA($B61)),"",IF(ISBLANK($B61),"",IFERROR(_xll.BDP(TICKER,"DEEP_MEASURE_PERIOD_BROKER_VALUE","DEEP_MEASURE_ID_OVERRIDE",$C61,"DEEP_BROKER_ID_OVERRIDE",BE$24,"DEEP_PERIOD_OVERRIDE",$H$19)*1,"")))</f>
        <v/>
      </c>
      <c r="BF61" s="17" t="str">
        <f>IF(OR(BF$23="",ISNA($B61)),"",IF(ISBLANK($B61),"",IFERROR(_xll.BDP(TICKER,"DEEP_MEASURE_PERIOD_BROKER_VALUE","DEEP_MEASURE_ID_OVERRIDE",$C61,"DEEP_BROKER_ID_OVERRIDE",BF$24,"DEEP_PERIOD_OVERRIDE",$H$19)*1,"")))</f>
        <v/>
      </c>
      <c r="BG61" s="17" t="str">
        <f>IF(OR(BG$23="",ISNA($B61)),"",IF(ISBLANK($B61),"",IFERROR(_xll.BDP(TICKER,"DEEP_MEASURE_PERIOD_BROKER_VALUE","DEEP_MEASURE_ID_OVERRIDE",$C61,"DEEP_BROKER_ID_OVERRIDE",BG$24,"DEEP_PERIOD_OVERRIDE",$H$19)*1,"")))</f>
        <v/>
      </c>
      <c r="BH61" s="17" t="str">
        <f>IF(OR(BH$23="",ISNA($B61)),"",IF(ISBLANK($B61),"",IFERROR(_xll.BDP(TICKER,"DEEP_MEASURE_PERIOD_BROKER_VALUE","DEEP_MEASURE_ID_OVERRIDE",$C61,"DEEP_BROKER_ID_OVERRIDE",BH$24,"DEEP_PERIOD_OVERRIDE",$H$19)*1,"")))</f>
        <v/>
      </c>
      <c r="BI61" s="17" t="str">
        <f>IF(OR(BI$23="",ISNA($B61)),"",IF(ISBLANK($B61),"",IFERROR(_xll.BDP(TICKER,"DEEP_MEASURE_PERIOD_BROKER_VALUE","DEEP_MEASURE_ID_OVERRIDE",$C61,"DEEP_BROKER_ID_OVERRIDE",BI$24,"DEEP_PERIOD_OVERRIDE",$H$19)*1,"")))</f>
        <v/>
      </c>
      <c r="BJ61" s="17" t="str">
        <f>IF(OR(BJ$23="",ISNA($B61)),"",IF(ISBLANK($B61),"",IFERROR(_xll.BDP(TICKER,"DEEP_MEASURE_PERIOD_BROKER_VALUE","DEEP_MEASURE_ID_OVERRIDE",$C61,"DEEP_BROKER_ID_OVERRIDE",BJ$24,"DEEP_PERIOD_OVERRIDE",$H$19)*1,"")))</f>
        <v/>
      </c>
      <c r="BK61" s="17" t="str">
        <f>IF(OR(BK$23="",ISNA($B61)),"",IF(ISBLANK($B61),"",IFERROR(_xll.BDP(TICKER,"DEEP_MEASURE_PERIOD_BROKER_VALUE","DEEP_MEASURE_ID_OVERRIDE",$C61,"DEEP_BROKER_ID_OVERRIDE",BK$24,"DEEP_PERIOD_OVERRIDE",$H$19)*1,"")))</f>
        <v/>
      </c>
      <c r="BL61" s="17" t="str">
        <f>IF(OR(BL$23="",ISNA($B61)),"",IF(ISBLANK($B61),"",IFERROR(_xll.BDP(TICKER,"DEEP_MEASURE_PERIOD_BROKER_VALUE","DEEP_MEASURE_ID_OVERRIDE",$C61,"DEEP_BROKER_ID_OVERRIDE",BL$24,"DEEP_PERIOD_OVERRIDE",$H$19)*1,"")))</f>
        <v/>
      </c>
      <c r="BM61" s="17" t="str">
        <f>IF(OR(BM$23="",ISNA($B61)),"",IF(ISBLANK($B61),"",IFERROR(_xll.BDP(TICKER,"DEEP_MEASURE_PERIOD_BROKER_VALUE","DEEP_MEASURE_ID_OVERRIDE",$C61,"DEEP_BROKER_ID_OVERRIDE",BM$24,"DEEP_PERIOD_OVERRIDE",$H$19)*1,"")))</f>
        <v/>
      </c>
      <c r="BN61" s="17" t="str">
        <f>IF(OR(BN$23="",ISNA($B61)),"",IF(ISBLANK($B61),"",IFERROR(_xll.BDP(TICKER,"DEEP_MEASURE_PERIOD_BROKER_VALUE","DEEP_MEASURE_ID_OVERRIDE",$C61,"DEEP_BROKER_ID_OVERRIDE",BN$24,"DEEP_PERIOD_OVERRIDE",$H$19)*1,"")))</f>
        <v/>
      </c>
      <c r="BO61" s="17" t="str">
        <f>IF(OR(BO$23="",ISNA($B61)),"",IF(ISBLANK($B61),"",IFERROR(_xll.BDP(TICKER,"DEEP_MEASURE_PERIOD_BROKER_VALUE","DEEP_MEASURE_ID_OVERRIDE",$C61,"DEEP_BROKER_ID_OVERRIDE",BO$24,"DEEP_PERIOD_OVERRIDE",$H$19)*1,"")))</f>
        <v/>
      </c>
      <c r="BP61" s="17" t="str">
        <f>IF(OR(BP$23="",ISNA($B61)),"",IF(ISBLANK($B61),"",IFERROR(_xll.BDP(TICKER,"DEEP_MEASURE_PERIOD_BROKER_VALUE","DEEP_MEASURE_ID_OVERRIDE",$C61,"DEEP_BROKER_ID_OVERRIDE",BP$24,"DEEP_PERIOD_OVERRIDE",$H$19)*1,"")))</f>
        <v/>
      </c>
      <c r="BQ61" s="17" t="str">
        <f>IF(OR(BQ$23="",ISNA($B61)),"",IF(ISBLANK($B61),"",IFERROR(_xll.BDP(TICKER,"DEEP_MEASURE_PERIOD_BROKER_VALUE","DEEP_MEASURE_ID_OVERRIDE",$C61,"DEEP_BROKER_ID_OVERRIDE",BQ$24,"DEEP_PERIOD_OVERRIDE",$H$19)*1,"")))</f>
        <v/>
      </c>
      <c r="BR61" s="17" t="str">
        <f>IF(OR(BR$23="",ISNA($B61)),"",IF(ISBLANK($B61),"",IFERROR(_xll.BDP(TICKER,"DEEP_MEASURE_PERIOD_BROKER_VALUE","DEEP_MEASURE_ID_OVERRIDE",$C61,"DEEP_BROKER_ID_OVERRIDE",BR$24,"DEEP_PERIOD_OVERRIDE",$H$19)*1,"")))</f>
        <v/>
      </c>
      <c r="BS61" s="17" t="str">
        <f>IF(OR(BS$23="",ISNA($B61)),"",IF(ISBLANK($B61),"",IFERROR(_xll.BDP(TICKER,"DEEP_MEASURE_PERIOD_BROKER_VALUE","DEEP_MEASURE_ID_OVERRIDE",$C61,"DEEP_BROKER_ID_OVERRIDE",BS$24,"DEEP_PERIOD_OVERRIDE",$H$19)*1,"")))</f>
        <v/>
      </c>
      <c r="BT61" s="17" t="str">
        <f>IF(OR(BT$23="",ISNA($B61)),"",IF(ISBLANK($B61),"",IFERROR(_xll.BDP(TICKER,"DEEP_MEASURE_PERIOD_BROKER_VALUE","DEEP_MEASURE_ID_OVERRIDE",$C61,"DEEP_BROKER_ID_OVERRIDE",BT$24,"DEEP_PERIOD_OVERRIDE",$H$19)*1,"")))</f>
        <v/>
      </c>
      <c r="BU61" s="17" t="str">
        <f>IF(OR(BU$23="",ISNA($B61)),"",IF(ISBLANK($B61),"",IFERROR(_xll.BDP(TICKER,"DEEP_MEASURE_PERIOD_BROKER_VALUE","DEEP_MEASURE_ID_OVERRIDE",$C61,"DEEP_BROKER_ID_OVERRIDE",BU$24,"DEEP_PERIOD_OVERRIDE",$H$19)*1,"")))</f>
        <v/>
      </c>
      <c r="BV61" s="17" t="str">
        <f>IF(OR(BV$23="",ISNA($B61)),"",IF(ISBLANK($B61),"",IFERROR(_xll.BDP(TICKER,"DEEP_MEASURE_PERIOD_BROKER_VALUE","DEEP_MEASURE_ID_OVERRIDE",$C61,"DEEP_BROKER_ID_OVERRIDE",BV$24,"DEEP_PERIOD_OVERRIDE",$H$19)*1,"")))</f>
        <v/>
      </c>
      <c r="BW61" s="17" t="str">
        <f>IF(OR(BW$23="",ISNA($B61)),"",IF(ISBLANK($B61),"",IFERROR(_xll.BDP(TICKER,"DEEP_MEASURE_PERIOD_BROKER_VALUE","DEEP_MEASURE_ID_OVERRIDE",$C61,"DEEP_BROKER_ID_OVERRIDE",BW$24,"DEEP_PERIOD_OVERRIDE",$H$19)*1,"")))</f>
        <v/>
      </c>
      <c r="BX61" s="17" t="str">
        <f>IF(OR(BX$23="",ISNA($B61)),"",IF(ISBLANK($B61),"",IFERROR(_xll.BDP(TICKER,"DEEP_MEASURE_PERIOD_BROKER_VALUE","DEEP_MEASURE_ID_OVERRIDE",$C61,"DEEP_BROKER_ID_OVERRIDE",BX$24,"DEEP_PERIOD_OVERRIDE",$H$19)*1,"")))</f>
        <v/>
      </c>
      <c r="BY61" s="17" t="str">
        <f>IF(OR(BY$23="",ISNA($B61)),"",IF(ISBLANK($B61),"",IFERROR(_xll.BDP(TICKER,"DEEP_MEASURE_PERIOD_BROKER_VALUE","DEEP_MEASURE_ID_OVERRIDE",$C61,"DEEP_BROKER_ID_OVERRIDE",BY$24,"DEEP_PERIOD_OVERRIDE",$H$19)*1,"")))</f>
        <v/>
      </c>
      <c r="BZ61" s="17" t="str">
        <f>IF(OR(BZ$23="",ISNA($B61)),"",IF(ISBLANK($B61),"",IFERROR(_xll.BDP(TICKER,"DEEP_MEASURE_PERIOD_BROKER_VALUE","DEEP_MEASURE_ID_OVERRIDE",$C61,"DEEP_BROKER_ID_OVERRIDE",BZ$24,"DEEP_PERIOD_OVERRIDE",$H$19)*1,"")))</f>
        <v/>
      </c>
    </row>
    <row r="62" spans="2:78" x14ac:dyDescent="0.25">
      <c r="B62" t="s">
        <v>106</v>
      </c>
      <c r="C62" s="11">
        <v>1931</v>
      </c>
      <c r="H62" t="str">
        <f t="shared" si="1"/>
        <v>Total Revenue &gt; Hotel &gt; Revenue &gt; TripAdvisor-branded Click-based &amp; Transaction &gt; YoY Growth (%)</v>
      </c>
      <c r="I62" t="str">
        <f>IF(OR(I$23="",ISNA($B62)),"",IF(ISBLANK($B62),"",IFERROR(_xll.BDP(TICKER,"DEEP_MEASURE_PERIOD_BROKER_VALUE","DEEP_MEASURE_ID_OVERRIDE",$C62,"DEEP_PERIOD_OVERRIDE",$H$19)*1,"")))</f>
        <v/>
      </c>
      <c r="J62" t="e">
        <f>IF(OR(J$23="",ISNA($B62)),"",IF(ISBLANK($B62),"",IFERROR(_xll.BDP(TICKER,"DEEP_MEASURE_PERIOD_BROKER_VALUE","DEEP_MEASURE_ID_OVERRIDE",$C62,"DEEP_BROKER_ID_OVERRIDE",J$24,"DEEP_PERIOD_OVERRIDE",$H$19)*1,"")))</f>
        <v>#REF!</v>
      </c>
      <c r="K62" s="17" t="str">
        <f>IF(OR(K$23="",ISNA($B62)),"",IF(ISBLANK($B62),"",IFERROR(_xll.BDP(TICKER,"DEEP_MEASURE_PERIOD_BROKER_VALUE","DEEP_MEASURE_ID_OVERRIDE",$C62,"DEEP_BROKER_ID_OVERRIDE",K$24,"DEEP_PERIOD_OVERRIDE",$H$19)*1,"")))</f>
        <v/>
      </c>
      <c r="L62" s="17" t="str">
        <f>IF(OR(L$23="",ISNA($B62)),"",IF(ISBLANK($B62),"",IFERROR(_xll.BDP(TICKER,"DEEP_MEASURE_PERIOD_BROKER_VALUE","DEEP_MEASURE_ID_OVERRIDE",$C62,"DEEP_BROKER_ID_OVERRIDE",L$24,"DEEP_PERIOD_OVERRIDE",$H$19)*1,"")))</f>
        <v/>
      </c>
      <c r="M62" s="17" t="str">
        <f>IF(OR(M$23="",ISNA($B62)),"",IF(ISBLANK($B62),"",IFERROR(_xll.BDP(TICKER,"DEEP_MEASURE_PERIOD_BROKER_VALUE","DEEP_MEASURE_ID_OVERRIDE",$C62,"DEEP_BROKER_ID_OVERRIDE",M$24,"DEEP_PERIOD_OVERRIDE",$H$19)*1,"")))</f>
        <v/>
      </c>
      <c r="N62" s="17" t="str">
        <f>IF(OR(N$23="",ISNA($B62)),"",IF(ISBLANK($B62),"",IFERROR(_xll.BDP(TICKER,"DEEP_MEASURE_PERIOD_BROKER_VALUE","DEEP_MEASURE_ID_OVERRIDE",$C62,"DEEP_BROKER_ID_OVERRIDE",N$24,"DEEP_PERIOD_OVERRIDE",$H$19)*1,"")))</f>
        <v/>
      </c>
      <c r="O62" s="17" t="str">
        <f>IF(OR(O$23="",ISNA($B62)),"",IF(ISBLANK($B62),"",IFERROR(_xll.BDP(TICKER,"DEEP_MEASURE_PERIOD_BROKER_VALUE","DEEP_MEASURE_ID_OVERRIDE",$C62,"DEEP_BROKER_ID_OVERRIDE",O$24,"DEEP_PERIOD_OVERRIDE",$H$19)*1,"")))</f>
        <v/>
      </c>
      <c r="P62" s="17" t="str">
        <f>IF(OR(P$23="",ISNA($B62)),"",IF(ISBLANK($B62),"",IFERROR(_xll.BDP(TICKER,"DEEP_MEASURE_PERIOD_BROKER_VALUE","DEEP_MEASURE_ID_OVERRIDE",$C62,"DEEP_BROKER_ID_OVERRIDE",P$24,"DEEP_PERIOD_OVERRIDE",$H$19)*1,"")))</f>
        <v/>
      </c>
      <c r="Q62" s="17" t="str">
        <f>IF(OR(Q$23="",ISNA($B62)),"",IF(ISBLANK($B62),"",IFERROR(_xll.BDP(TICKER,"DEEP_MEASURE_PERIOD_BROKER_VALUE","DEEP_MEASURE_ID_OVERRIDE",$C62,"DEEP_BROKER_ID_OVERRIDE",Q$24,"DEEP_PERIOD_OVERRIDE",$H$19)*1,"")))</f>
        <v/>
      </c>
      <c r="R62" s="17" t="str">
        <f>IF(OR(R$23="",ISNA($B62)),"",IF(ISBLANK($B62),"",IFERROR(_xll.BDP(TICKER,"DEEP_MEASURE_PERIOD_BROKER_VALUE","DEEP_MEASURE_ID_OVERRIDE",$C62,"DEEP_BROKER_ID_OVERRIDE",R$24,"DEEP_PERIOD_OVERRIDE",$H$19)*1,"")))</f>
        <v/>
      </c>
      <c r="S62" s="17" t="str">
        <f>IF(OR(S$23="",ISNA($B62)),"",IF(ISBLANK($B62),"",IFERROR(_xll.BDP(TICKER,"DEEP_MEASURE_PERIOD_BROKER_VALUE","DEEP_MEASURE_ID_OVERRIDE",$C62,"DEEP_BROKER_ID_OVERRIDE",S$24,"DEEP_PERIOD_OVERRIDE",$H$19)*1,"")))</f>
        <v/>
      </c>
      <c r="T62" s="17" t="str">
        <f>IF(OR(T$23="",ISNA($B62)),"",IF(ISBLANK($B62),"",IFERROR(_xll.BDP(TICKER,"DEEP_MEASURE_PERIOD_BROKER_VALUE","DEEP_MEASURE_ID_OVERRIDE",$C62,"DEEP_BROKER_ID_OVERRIDE",T$24,"DEEP_PERIOD_OVERRIDE",$H$19)*1,"")))</f>
        <v/>
      </c>
      <c r="U62" s="17" t="str">
        <f>IF(OR(U$23="",ISNA($B62)),"",IF(ISBLANK($B62),"",IFERROR(_xll.BDP(TICKER,"DEEP_MEASURE_PERIOD_BROKER_VALUE","DEEP_MEASURE_ID_OVERRIDE",$C62,"DEEP_BROKER_ID_OVERRIDE",U$24,"DEEP_PERIOD_OVERRIDE",$H$19)*1,"")))</f>
        <v/>
      </c>
      <c r="V62" s="17" t="str">
        <f>IF(OR(V$23="",ISNA($B62)),"",IF(ISBLANK($B62),"",IFERROR(_xll.BDP(TICKER,"DEEP_MEASURE_PERIOD_BROKER_VALUE","DEEP_MEASURE_ID_OVERRIDE",$C62,"DEEP_BROKER_ID_OVERRIDE",V$24,"DEEP_PERIOD_OVERRIDE",$H$19)*1,"")))</f>
        <v/>
      </c>
      <c r="W62" s="17" t="str">
        <f>IF(OR(W$23="",ISNA($B62)),"",IF(ISBLANK($B62),"",IFERROR(_xll.BDP(TICKER,"DEEP_MEASURE_PERIOD_BROKER_VALUE","DEEP_MEASURE_ID_OVERRIDE",$C62,"DEEP_BROKER_ID_OVERRIDE",W$24,"DEEP_PERIOD_OVERRIDE",$H$19)*1,"")))</f>
        <v/>
      </c>
      <c r="X62" s="17" t="str">
        <f>IF(OR(X$23="",ISNA($B62)),"",IF(ISBLANK($B62),"",IFERROR(_xll.BDP(TICKER,"DEEP_MEASURE_PERIOD_BROKER_VALUE","DEEP_MEASURE_ID_OVERRIDE",$C62,"DEEP_BROKER_ID_OVERRIDE",X$24,"DEEP_PERIOD_OVERRIDE",$H$19)*1,"")))</f>
        <v/>
      </c>
      <c r="Y62" s="17" t="str">
        <f>IF(OR(Y$23="",ISNA($B62)),"",IF(ISBLANK($B62),"",IFERROR(_xll.BDP(TICKER,"DEEP_MEASURE_PERIOD_BROKER_VALUE","DEEP_MEASURE_ID_OVERRIDE",$C62,"DEEP_BROKER_ID_OVERRIDE",Y$24,"DEEP_PERIOD_OVERRIDE",$H$19)*1,"")))</f>
        <v/>
      </c>
      <c r="Z62" s="17" t="str">
        <f>IF(OR(Z$23="",ISNA($B62)),"",IF(ISBLANK($B62),"",IFERROR(_xll.BDP(TICKER,"DEEP_MEASURE_PERIOD_BROKER_VALUE","DEEP_MEASURE_ID_OVERRIDE",$C62,"DEEP_BROKER_ID_OVERRIDE",Z$24,"DEEP_PERIOD_OVERRIDE",$H$19)*1,"")))</f>
        <v/>
      </c>
      <c r="AA62" s="17" t="str">
        <f>IF(OR(AA$23="",ISNA($B62)),"",IF(ISBLANK($B62),"",IFERROR(_xll.BDP(TICKER,"DEEP_MEASURE_PERIOD_BROKER_VALUE","DEEP_MEASURE_ID_OVERRIDE",$C62,"DEEP_BROKER_ID_OVERRIDE",AA$24,"DEEP_PERIOD_OVERRIDE",$H$19)*1,"")))</f>
        <v/>
      </c>
      <c r="AB62" s="17" t="str">
        <f>IF(OR(AB$23="",ISNA($B62)),"",IF(ISBLANK($B62),"",IFERROR(_xll.BDP(TICKER,"DEEP_MEASURE_PERIOD_BROKER_VALUE","DEEP_MEASURE_ID_OVERRIDE",$C62,"DEEP_BROKER_ID_OVERRIDE",AB$24,"DEEP_PERIOD_OVERRIDE",$H$19)*1,"")))</f>
        <v/>
      </c>
      <c r="AC62" s="17" t="str">
        <f>IF(OR(AC$23="",ISNA($B62)),"",IF(ISBLANK($B62),"",IFERROR(_xll.BDP(TICKER,"DEEP_MEASURE_PERIOD_BROKER_VALUE","DEEP_MEASURE_ID_OVERRIDE",$C62,"DEEP_BROKER_ID_OVERRIDE",AC$24,"DEEP_PERIOD_OVERRIDE",$H$19)*1,"")))</f>
        <v/>
      </c>
      <c r="AD62" s="17" t="str">
        <f>IF(OR(AD$23="",ISNA($B62)),"",IF(ISBLANK($B62),"",IFERROR(_xll.BDP(TICKER,"DEEP_MEASURE_PERIOD_BROKER_VALUE","DEEP_MEASURE_ID_OVERRIDE",$C62,"DEEP_BROKER_ID_OVERRIDE",AD$24,"DEEP_PERIOD_OVERRIDE",$H$19)*1,"")))</f>
        <v/>
      </c>
      <c r="AE62" s="17" t="str">
        <f>IF(OR(AE$23="",ISNA($B62)),"",IF(ISBLANK($B62),"",IFERROR(_xll.BDP(TICKER,"DEEP_MEASURE_PERIOD_BROKER_VALUE","DEEP_MEASURE_ID_OVERRIDE",$C62,"DEEP_BROKER_ID_OVERRIDE",AE$24,"DEEP_PERIOD_OVERRIDE",$H$19)*1,"")))</f>
        <v/>
      </c>
      <c r="AF62" s="17" t="str">
        <f>IF(OR(AF$23="",ISNA($B62)),"",IF(ISBLANK($B62),"",IFERROR(_xll.BDP(TICKER,"DEEP_MEASURE_PERIOD_BROKER_VALUE","DEEP_MEASURE_ID_OVERRIDE",$C62,"DEEP_BROKER_ID_OVERRIDE",AF$24,"DEEP_PERIOD_OVERRIDE",$H$19)*1,"")))</f>
        <v/>
      </c>
      <c r="AG62" s="17" t="str">
        <f>IF(OR(AG$23="",ISNA($B62)),"",IF(ISBLANK($B62),"",IFERROR(_xll.BDP(TICKER,"DEEP_MEASURE_PERIOD_BROKER_VALUE","DEEP_MEASURE_ID_OVERRIDE",$C62,"DEEP_BROKER_ID_OVERRIDE",AG$24,"DEEP_PERIOD_OVERRIDE",$H$19)*1,"")))</f>
        <v/>
      </c>
      <c r="AH62" s="17" t="str">
        <f>IF(OR(AH$23="",ISNA($B62)),"",IF(ISBLANK($B62),"",IFERROR(_xll.BDP(TICKER,"DEEP_MEASURE_PERIOD_BROKER_VALUE","DEEP_MEASURE_ID_OVERRIDE",$C62,"DEEP_BROKER_ID_OVERRIDE",AH$24,"DEEP_PERIOD_OVERRIDE",$H$19)*1,"")))</f>
        <v/>
      </c>
      <c r="AI62" s="17" t="str">
        <f>IF(OR(AI$23="",ISNA($B62)),"",IF(ISBLANK($B62),"",IFERROR(_xll.BDP(TICKER,"DEEP_MEASURE_PERIOD_BROKER_VALUE","DEEP_MEASURE_ID_OVERRIDE",$C62,"DEEP_BROKER_ID_OVERRIDE",AI$24,"DEEP_PERIOD_OVERRIDE",$H$19)*1,"")))</f>
        <v/>
      </c>
      <c r="AJ62" s="17" t="str">
        <f>IF(OR(AJ$23="",ISNA($B62)),"",IF(ISBLANK($B62),"",IFERROR(_xll.BDP(TICKER,"DEEP_MEASURE_PERIOD_BROKER_VALUE","DEEP_MEASURE_ID_OVERRIDE",$C62,"DEEP_BROKER_ID_OVERRIDE",AJ$24,"DEEP_PERIOD_OVERRIDE",$H$19)*1,"")))</f>
        <v/>
      </c>
      <c r="AK62" s="17" t="str">
        <f>IF(OR(AK$23="",ISNA($B62)),"",IF(ISBLANK($B62),"",IFERROR(_xll.BDP(TICKER,"DEEP_MEASURE_PERIOD_BROKER_VALUE","DEEP_MEASURE_ID_OVERRIDE",$C62,"DEEP_BROKER_ID_OVERRIDE",AK$24,"DEEP_PERIOD_OVERRIDE",$H$19)*1,"")))</f>
        <v/>
      </c>
      <c r="AL62" s="17" t="str">
        <f>IF(OR(AL$23="",ISNA($B62)),"",IF(ISBLANK($B62),"",IFERROR(_xll.BDP(TICKER,"DEEP_MEASURE_PERIOD_BROKER_VALUE","DEEP_MEASURE_ID_OVERRIDE",$C62,"DEEP_BROKER_ID_OVERRIDE",AL$24,"DEEP_PERIOD_OVERRIDE",$H$19)*1,"")))</f>
        <v/>
      </c>
      <c r="AM62" s="17" t="str">
        <f>IF(OR(AM$23="",ISNA($B62)),"",IF(ISBLANK($B62),"",IFERROR(_xll.BDP(TICKER,"DEEP_MEASURE_PERIOD_BROKER_VALUE","DEEP_MEASURE_ID_OVERRIDE",$C62,"DEEP_BROKER_ID_OVERRIDE",AM$24,"DEEP_PERIOD_OVERRIDE",$H$19)*1,"")))</f>
        <v/>
      </c>
      <c r="AN62" s="17" t="str">
        <f>IF(OR(AN$23="",ISNA($B62)),"",IF(ISBLANK($B62),"",IFERROR(_xll.BDP(TICKER,"DEEP_MEASURE_PERIOD_BROKER_VALUE","DEEP_MEASURE_ID_OVERRIDE",$C62,"DEEP_BROKER_ID_OVERRIDE",AN$24,"DEEP_PERIOD_OVERRIDE",$H$19)*1,"")))</f>
        <v/>
      </c>
      <c r="AO62" s="17" t="str">
        <f>IF(OR(AO$23="",ISNA($B62)),"",IF(ISBLANK($B62),"",IFERROR(_xll.BDP(TICKER,"DEEP_MEASURE_PERIOD_BROKER_VALUE","DEEP_MEASURE_ID_OVERRIDE",$C62,"DEEP_BROKER_ID_OVERRIDE",AO$24,"DEEP_PERIOD_OVERRIDE",$H$19)*1,"")))</f>
        <v/>
      </c>
      <c r="AP62" s="17" t="str">
        <f>IF(OR(AP$23="",ISNA($B62)),"",IF(ISBLANK($B62),"",IFERROR(_xll.BDP(TICKER,"DEEP_MEASURE_PERIOD_BROKER_VALUE","DEEP_MEASURE_ID_OVERRIDE",$C62,"DEEP_BROKER_ID_OVERRIDE",AP$24,"DEEP_PERIOD_OVERRIDE",$H$19)*1,"")))</f>
        <v/>
      </c>
      <c r="AQ62" s="17" t="str">
        <f>IF(OR(AQ$23="",ISNA($B62)),"",IF(ISBLANK($B62),"",IFERROR(_xll.BDP(TICKER,"DEEP_MEASURE_PERIOD_BROKER_VALUE","DEEP_MEASURE_ID_OVERRIDE",$C62,"DEEP_BROKER_ID_OVERRIDE",AQ$24,"DEEP_PERIOD_OVERRIDE",$H$19)*1,"")))</f>
        <v/>
      </c>
      <c r="AR62" s="17" t="str">
        <f>IF(OR(AR$23="",ISNA($B62)),"",IF(ISBLANK($B62),"",IFERROR(_xll.BDP(TICKER,"DEEP_MEASURE_PERIOD_BROKER_VALUE","DEEP_MEASURE_ID_OVERRIDE",$C62,"DEEP_BROKER_ID_OVERRIDE",AR$24,"DEEP_PERIOD_OVERRIDE",$H$19)*1,"")))</f>
        <v/>
      </c>
      <c r="AS62" s="17" t="str">
        <f>IF(OR(AS$23="",ISNA($B62)),"",IF(ISBLANK($B62),"",IFERROR(_xll.BDP(TICKER,"DEEP_MEASURE_PERIOD_BROKER_VALUE","DEEP_MEASURE_ID_OVERRIDE",$C62,"DEEP_BROKER_ID_OVERRIDE",AS$24,"DEEP_PERIOD_OVERRIDE",$H$19)*1,"")))</f>
        <v/>
      </c>
      <c r="AT62" s="17" t="str">
        <f>IF(OR(AT$23="",ISNA($B62)),"",IF(ISBLANK($B62),"",IFERROR(_xll.BDP(TICKER,"DEEP_MEASURE_PERIOD_BROKER_VALUE","DEEP_MEASURE_ID_OVERRIDE",$C62,"DEEP_BROKER_ID_OVERRIDE",AT$24,"DEEP_PERIOD_OVERRIDE",$H$19)*1,"")))</f>
        <v/>
      </c>
      <c r="AU62" s="17" t="str">
        <f>IF(OR(AU$23="",ISNA($B62)),"",IF(ISBLANK($B62),"",IFERROR(_xll.BDP(TICKER,"DEEP_MEASURE_PERIOD_BROKER_VALUE","DEEP_MEASURE_ID_OVERRIDE",$C62,"DEEP_BROKER_ID_OVERRIDE",AU$24,"DEEP_PERIOD_OVERRIDE",$H$19)*1,"")))</f>
        <v/>
      </c>
      <c r="AV62" s="17" t="str">
        <f>IF(OR(AV$23="",ISNA($B62)),"",IF(ISBLANK($B62),"",IFERROR(_xll.BDP(TICKER,"DEEP_MEASURE_PERIOD_BROKER_VALUE","DEEP_MEASURE_ID_OVERRIDE",$C62,"DEEP_BROKER_ID_OVERRIDE",AV$24,"DEEP_PERIOD_OVERRIDE",$H$19)*1,"")))</f>
        <v/>
      </c>
      <c r="AW62" s="17" t="str">
        <f>IF(OR(AW$23="",ISNA($B62)),"",IF(ISBLANK($B62),"",IFERROR(_xll.BDP(TICKER,"DEEP_MEASURE_PERIOD_BROKER_VALUE","DEEP_MEASURE_ID_OVERRIDE",$C62,"DEEP_BROKER_ID_OVERRIDE",AW$24,"DEEP_PERIOD_OVERRIDE",$H$19)*1,"")))</f>
        <v/>
      </c>
      <c r="AX62" s="17" t="str">
        <f>IF(OR(AX$23="",ISNA($B62)),"",IF(ISBLANK($B62),"",IFERROR(_xll.BDP(TICKER,"DEEP_MEASURE_PERIOD_BROKER_VALUE","DEEP_MEASURE_ID_OVERRIDE",$C62,"DEEP_BROKER_ID_OVERRIDE",AX$24,"DEEP_PERIOD_OVERRIDE",$H$19)*1,"")))</f>
        <v/>
      </c>
      <c r="AY62" s="17" t="str">
        <f>IF(OR(AY$23="",ISNA($B62)),"",IF(ISBLANK($B62),"",IFERROR(_xll.BDP(TICKER,"DEEP_MEASURE_PERIOD_BROKER_VALUE","DEEP_MEASURE_ID_OVERRIDE",$C62,"DEEP_BROKER_ID_OVERRIDE",AY$24,"DEEP_PERIOD_OVERRIDE",$H$19)*1,"")))</f>
        <v/>
      </c>
      <c r="AZ62" s="17" t="str">
        <f>IF(OR(AZ$23="",ISNA($B62)),"",IF(ISBLANK($B62),"",IFERROR(_xll.BDP(TICKER,"DEEP_MEASURE_PERIOD_BROKER_VALUE","DEEP_MEASURE_ID_OVERRIDE",$C62,"DEEP_BROKER_ID_OVERRIDE",AZ$24,"DEEP_PERIOD_OVERRIDE",$H$19)*1,"")))</f>
        <v/>
      </c>
      <c r="BA62" s="17" t="str">
        <f>IF(OR(BA$23="",ISNA($B62)),"",IF(ISBLANK($B62),"",IFERROR(_xll.BDP(TICKER,"DEEP_MEASURE_PERIOD_BROKER_VALUE","DEEP_MEASURE_ID_OVERRIDE",$C62,"DEEP_BROKER_ID_OVERRIDE",BA$24,"DEEP_PERIOD_OVERRIDE",$H$19)*1,"")))</f>
        <v/>
      </c>
      <c r="BB62" s="17" t="str">
        <f>IF(OR(BB$23="",ISNA($B62)),"",IF(ISBLANK($B62),"",IFERROR(_xll.BDP(TICKER,"DEEP_MEASURE_PERIOD_BROKER_VALUE","DEEP_MEASURE_ID_OVERRIDE",$C62,"DEEP_BROKER_ID_OVERRIDE",BB$24,"DEEP_PERIOD_OVERRIDE",$H$19)*1,"")))</f>
        <v/>
      </c>
      <c r="BC62" s="17" t="str">
        <f>IF(OR(BC$23="",ISNA($B62)),"",IF(ISBLANK($B62),"",IFERROR(_xll.BDP(TICKER,"DEEP_MEASURE_PERIOD_BROKER_VALUE","DEEP_MEASURE_ID_OVERRIDE",$C62,"DEEP_BROKER_ID_OVERRIDE",BC$24,"DEEP_PERIOD_OVERRIDE",$H$19)*1,"")))</f>
        <v/>
      </c>
      <c r="BD62" s="17" t="str">
        <f>IF(OR(BD$23="",ISNA($B62)),"",IF(ISBLANK($B62),"",IFERROR(_xll.BDP(TICKER,"DEEP_MEASURE_PERIOD_BROKER_VALUE","DEEP_MEASURE_ID_OVERRIDE",$C62,"DEEP_BROKER_ID_OVERRIDE",BD$24,"DEEP_PERIOD_OVERRIDE",$H$19)*1,"")))</f>
        <v/>
      </c>
      <c r="BE62" s="17" t="str">
        <f>IF(OR(BE$23="",ISNA($B62)),"",IF(ISBLANK($B62),"",IFERROR(_xll.BDP(TICKER,"DEEP_MEASURE_PERIOD_BROKER_VALUE","DEEP_MEASURE_ID_OVERRIDE",$C62,"DEEP_BROKER_ID_OVERRIDE",BE$24,"DEEP_PERIOD_OVERRIDE",$H$19)*1,"")))</f>
        <v/>
      </c>
      <c r="BF62" s="17" t="str">
        <f>IF(OR(BF$23="",ISNA($B62)),"",IF(ISBLANK($B62),"",IFERROR(_xll.BDP(TICKER,"DEEP_MEASURE_PERIOD_BROKER_VALUE","DEEP_MEASURE_ID_OVERRIDE",$C62,"DEEP_BROKER_ID_OVERRIDE",BF$24,"DEEP_PERIOD_OVERRIDE",$H$19)*1,"")))</f>
        <v/>
      </c>
      <c r="BG62" s="17" t="str">
        <f>IF(OR(BG$23="",ISNA($B62)),"",IF(ISBLANK($B62),"",IFERROR(_xll.BDP(TICKER,"DEEP_MEASURE_PERIOD_BROKER_VALUE","DEEP_MEASURE_ID_OVERRIDE",$C62,"DEEP_BROKER_ID_OVERRIDE",BG$24,"DEEP_PERIOD_OVERRIDE",$H$19)*1,"")))</f>
        <v/>
      </c>
      <c r="BH62" s="17" t="str">
        <f>IF(OR(BH$23="",ISNA($B62)),"",IF(ISBLANK($B62),"",IFERROR(_xll.BDP(TICKER,"DEEP_MEASURE_PERIOD_BROKER_VALUE","DEEP_MEASURE_ID_OVERRIDE",$C62,"DEEP_BROKER_ID_OVERRIDE",BH$24,"DEEP_PERIOD_OVERRIDE",$H$19)*1,"")))</f>
        <v/>
      </c>
      <c r="BI62" s="17" t="str">
        <f>IF(OR(BI$23="",ISNA($B62)),"",IF(ISBLANK($B62),"",IFERROR(_xll.BDP(TICKER,"DEEP_MEASURE_PERIOD_BROKER_VALUE","DEEP_MEASURE_ID_OVERRIDE",$C62,"DEEP_BROKER_ID_OVERRIDE",BI$24,"DEEP_PERIOD_OVERRIDE",$H$19)*1,"")))</f>
        <v/>
      </c>
      <c r="BJ62" s="17" t="str">
        <f>IF(OR(BJ$23="",ISNA($B62)),"",IF(ISBLANK($B62),"",IFERROR(_xll.BDP(TICKER,"DEEP_MEASURE_PERIOD_BROKER_VALUE","DEEP_MEASURE_ID_OVERRIDE",$C62,"DEEP_BROKER_ID_OVERRIDE",BJ$24,"DEEP_PERIOD_OVERRIDE",$H$19)*1,"")))</f>
        <v/>
      </c>
      <c r="BK62" s="17" t="str">
        <f>IF(OR(BK$23="",ISNA($B62)),"",IF(ISBLANK($B62),"",IFERROR(_xll.BDP(TICKER,"DEEP_MEASURE_PERIOD_BROKER_VALUE","DEEP_MEASURE_ID_OVERRIDE",$C62,"DEEP_BROKER_ID_OVERRIDE",BK$24,"DEEP_PERIOD_OVERRIDE",$H$19)*1,"")))</f>
        <v/>
      </c>
      <c r="BL62" s="17" t="str">
        <f>IF(OR(BL$23="",ISNA($B62)),"",IF(ISBLANK($B62),"",IFERROR(_xll.BDP(TICKER,"DEEP_MEASURE_PERIOD_BROKER_VALUE","DEEP_MEASURE_ID_OVERRIDE",$C62,"DEEP_BROKER_ID_OVERRIDE",BL$24,"DEEP_PERIOD_OVERRIDE",$H$19)*1,"")))</f>
        <v/>
      </c>
      <c r="BM62" s="17" t="str">
        <f>IF(OR(BM$23="",ISNA($B62)),"",IF(ISBLANK($B62),"",IFERROR(_xll.BDP(TICKER,"DEEP_MEASURE_PERIOD_BROKER_VALUE","DEEP_MEASURE_ID_OVERRIDE",$C62,"DEEP_BROKER_ID_OVERRIDE",BM$24,"DEEP_PERIOD_OVERRIDE",$H$19)*1,"")))</f>
        <v/>
      </c>
      <c r="BN62" s="17" t="str">
        <f>IF(OR(BN$23="",ISNA($B62)),"",IF(ISBLANK($B62),"",IFERROR(_xll.BDP(TICKER,"DEEP_MEASURE_PERIOD_BROKER_VALUE","DEEP_MEASURE_ID_OVERRIDE",$C62,"DEEP_BROKER_ID_OVERRIDE",BN$24,"DEEP_PERIOD_OVERRIDE",$H$19)*1,"")))</f>
        <v/>
      </c>
      <c r="BO62" s="17" t="str">
        <f>IF(OR(BO$23="",ISNA($B62)),"",IF(ISBLANK($B62),"",IFERROR(_xll.BDP(TICKER,"DEEP_MEASURE_PERIOD_BROKER_VALUE","DEEP_MEASURE_ID_OVERRIDE",$C62,"DEEP_BROKER_ID_OVERRIDE",BO$24,"DEEP_PERIOD_OVERRIDE",$H$19)*1,"")))</f>
        <v/>
      </c>
      <c r="BP62" s="17" t="str">
        <f>IF(OR(BP$23="",ISNA($B62)),"",IF(ISBLANK($B62),"",IFERROR(_xll.BDP(TICKER,"DEEP_MEASURE_PERIOD_BROKER_VALUE","DEEP_MEASURE_ID_OVERRIDE",$C62,"DEEP_BROKER_ID_OVERRIDE",BP$24,"DEEP_PERIOD_OVERRIDE",$H$19)*1,"")))</f>
        <v/>
      </c>
      <c r="BQ62" s="17" t="str">
        <f>IF(OR(BQ$23="",ISNA($B62)),"",IF(ISBLANK($B62),"",IFERROR(_xll.BDP(TICKER,"DEEP_MEASURE_PERIOD_BROKER_VALUE","DEEP_MEASURE_ID_OVERRIDE",$C62,"DEEP_BROKER_ID_OVERRIDE",BQ$24,"DEEP_PERIOD_OVERRIDE",$H$19)*1,"")))</f>
        <v/>
      </c>
      <c r="BR62" s="17" t="str">
        <f>IF(OR(BR$23="",ISNA($B62)),"",IF(ISBLANK($B62),"",IFERROR(_xll.BDP(TICKER,"DEEP_MEASURE_PERIOD_BROKER_VALUE","DEEP_MEASURE_ID_OVERRIDE",$C62,"DEEP_BROKER_ID_OVERRIDE",BR$24,"DEEP_PERIOD_OVERRIDE",$H$19)*1,"")))</f>
        <v/>
      </c>
      <c r="BS62" s="17" t="str">
        <f>IF(OR(BS$23="",ISNA($B62)),"",IF(ISBLANK($B62),"",IFERROR(_xll.BDP(TICKER,"DEEP_MEASURE_PERIOD_BROKER_VALUE","DEEP_MEASURE_ID_OVERRIDE",$C62,"DEEP_BROKER_ID_OVERRIDE",BS$24,"DEEP_PERIOD_OVERRIDE",$H$19)*1,"")))</f>
        <v/>
      </c>
      <c r="BT62" s="17" t="str">
        <f>IF(OR(BT$23="",ISNA($B62)),"",IF(ISBLANK($B62),"",IFERROR(_xll.BDP(TICKER,"DEEP_MEASURE_PERIOD_BROKER_VALUE","DEEP_MEASURE_ID_OVERRIDE",$C62,"DEEP_BROKER_ID_OVERRIDE",BT$24,"DEEP_PERIOD_OVERRIDE",$H$19)*1,"")))</f>
        <v/>
      </c>
      <c r="BU62" s="17" t="str">
        <f>IF(OR(BU$23="",ISNA($B62)),"",IF(ISBLANK($B62),"",IFERROR(_xll.BDP(TICKER,"DEEP_MEASURE_PERIOD_BROKER_VALUE","DEEP_MEASURE_ID_OVERRIDE",$C62,"DEEP_BROKER_ID_OVERRIDE",BU$24,"DEEP_PERIOD_OVERRIDE",$H$19)*1,"")))</f>
        <v/>
      </c>
      <c r="BV62" s="17" t="str">
        <f>IF(OR(BV$23="",ISNA($B62)),"",IF(ISBLANK($B62),"",IFERROR(_xll.BDP(TICKER,"DEEP_MEASURE_PERIOD_BROKER_VALUE","DEEP_MEASURE_ID_OVERRIDE",$C62,"DEEP_BROKER_ID_OVERRIDE",BV$24,"DEEP_PERIOD_OVERRIDE",$H$19)*1,"")))</f>
        <v/>
      </c>
      <c r="BW62" s="17" t="str">
        <f>IF(OR(BW$23="",ISNA($B62)),"",IF(ISBLANK($B62),"",IFERROR(_xll.BDP(TICKER,"DEEP_MEASURE_PERIOD_BROKER_VALUE","DEEP_MEASURE_ID_OVERRIDE",$C62,"DEEP_BROKER_ID_OVERRIDE",BW$24,"DEEP_PERIOD_OVERRIDE",$H$19)*1,"")))</f>
        <v/>
      </c>
      <c r="BX62" s="17" t="str">
        <f>IF(OR(BX$23="",ISNA($B62)),"",IF(ISBLANK($B62),"",IFERROR(_xll.BDP(TICKER,"DEEP_MEASURE_PERIOD_BROKER_VALUE","DEEP_MEASURE_ID_OVERRIDE",$C62,"DEEP_BROKER_ID_OVERRIDE",BX$24,"DEEP_PERIOD_OVERRIDE",$H$19)*1,"")))</f>
        <v/>
      </c>
      <c r="BY62" s="17" t="str">
        <f>IF(OR(BY$23="",ISNA($B62)),"",IF(ISBLANK($B62),"",IFERROR(_xll.BDP(TICKER,"DEEP_MEASURE_PERIOD_BROKER_VALUE","DEEP_MEASURE_ID_OVERRIDE",$C62,"DEEP_BROKER_ID_OVERRIDE",BY$24,"DEEP_PERIOD_OVERRIDE",$H$19)*1,"")))</f>
        <v/>
      </c>
      <c r="BZ62" s="17" t="str">
        <f>IF(OR(BZ$23="",ISNA($B62)),"",IF(ISBLANK($B62),"",IFERROR(_xll.BDP(TICKER,"DEEP_MEASURE_PERIOD_BROKER_VALUE","DEEP_MEASURE_ID_OVERRIDE",$C62,"DEEP_BROKER_ID_OVERRIDE",BZ$24,"DEEP_PERIOD_OVERRIDE",$H$19)*1,"")))</f>
        <v/>
      </c>
    </row>
    <row r="63" spans="2:78" x14ac:dyDescent="0.25">
      <c r="B63" t="s">
        <v>107</v>
      </c>
      <c r="C63" s="11">
        <v>5874</v>
      </c>
      <c r="H63" t="str">
        <f t="shared" si="1"/>
        <v>Total Revenue &gt; Hotel &gt; Revenue &gt; TripAdvisor-branded Click-based &amp; Transaction &gt; Smartphone Hotel Shoppers</v>
      </c>
      <c r="I63" t="str">
        <f>IF(OR(I$23="",ISNA($B63)),"",IF(ISBLANK($B63),"",IFERROR(_xll.BDP(TICKER,"DEEP_MEASURE_PERIOD_BROKER_VALUE","DEEP_MEASURE_ID_OVERRIDE",$C63,"DEEP_PERIOD_OVERRIDE",$H$19)*1,"")))</f>
        <v/>
      </c>
      <c r="J63" t="e">
        <f>IF(OR(J$23="",ISNA($B63)),"",IF(ISBLANK($B63),"",IFERROR(_xll.BDP(TICKER,"DEEP_MEASURE_PERIOD_BROKER_VALUE","DEEP_MEASURE_ID_OVERRIDE",$C63,"DEEP_BROKER_ID_OVERRIDE",J$24,"DEEP_PERIOD_OVERRIDE",$H$19)*1,"")))</f>
        <v>#REF!</v>
      </c>
      <c r="K63" s="17" t="str">
        <f>IF(OR(K$23="",ISNA($B63)),"",IF(ISBLANK($B63),"",IFERROR(_xll.BDP(TICKER,"DEEP_MEASURE_PERIOD_BROKER_VALUE","DEEP_MEASURE_ID_OVERRIDE",$C63,"DEEP_BROKER_ID_OVERRIDE",K$24,"DEEP_PERIOD_OVERRIDE",$H$19)*1,"")))</f>
        <v/>
      </c>
      <c r="L63" s="17" t="str">
        <f>IF(OR(L$23="",ISNA($B63)),"",IF(ISBLANK($B63),"",IFERROR(_xll.BDP(TICKER,"DEEP_MEASURE_PERIOD_BROKER_VALUE","DEEP_MEASURE_ID_OVERRIDE",$C63,"DEEP_BROKER_ID_OVERRIDE",L$24,"DEEP_PERIOD_OVERRIDE",$H$19)*1,"")))</f>
        <v/>
      </c>
      <c r="M63" s="17" t="str">
        <f>IF(OR(M$23="",ISNA($B63)),"",IF(ISBLANK($B63),"",IFERROR(_xll.BDP(TICKER,"DEEP_MEASURE_PERIOD_BROKER_VALUE","DEEP_MEASURE_ID_OVERRIDE",$C63,"DEEP_BROKER_ID_OVERRIDE",M$24,"DEEP_PERIOD_OVERRIDE",$H$19)*1,"")))</f>
        <v/>
      </c>
      <c r="N63" s="17" t="str">
        <f>IF(OR(N$23="",ISNA($B63)),"",IF(ISBLANK($B63),"",IFERROR(_xll.BDP(TICKER,"DEEP_MEASURE_PERIOD_BROKER_VALUE","DEEP_MEASURE_ID_OVERRIDE",$C63,"DEEP_BROKER_ID_OVERRIDE",N$24,"DEEP_PERIOD_OVERRIDE",$H$19)*1,"")))</f>
        <v/>
      </c>
      <c r="O63" s="17" t="str">
        <f>IF(OR(O$23="",ISNA($B63)),"",IF(ISBLANK($B63),"",IFERROR(_xll.BDP(TICKER,"DEEP_MEASURE_PERIOD_BROKER_VALUE","DEEP_MEASURE_ID_OVERRIDE",$C63,"DEEP_BROKER_ID_OVERRIDE",O$24,"DEEP_PERIOD_OVERRIDE",$H$19)*1,"")))</f>
        <v/>
      </c>
      <c r="P63" s="17" t="str">
        <f>IF(OR(P$23="",ISNA($B63)),"",IF(ISBLANK($B63),"",IFERROR(_xll.BDP(TICKER,"DEEP_MEASURE_PERIOD_BROKER_VALUE","DEEP_MEASURE_ID_OVERRIDE",$C63,"DEEP_BROKER_ID_OVERRIDE",P$24,"DEEP_PERIOD_OVERRIDE",$H$19)*1,"")))</f>
        <v/>
      </c>
      <c r="Q63" s="17" t="str">
        <f>IF(OR(Q$23="",ISNA($B63)),"",IF(ISBLANK($B63),"",IFERROR(_xll.BDP(TICKER,"DEEP_MEASURE_PERIOD_BROKER_VALUE","DEEP_MEASURE_ID_OVERRIDE",$C63,"DEEP_BROKER_ID_OVERRIDE",Q$24,"DEEP_PERIOD_OVERRIDE",$H$19)*1,"")))</f>
        <v/>
      </c>
      <c r="R63" s="17" t="str">
        <f>IF(OR(R$23="",ISNA($B63)),"",IF(ISBLANK($B63),"",IFERROR(_xll.BDP(TICKER,"DEEP_MEASURE_PERIOD_BROKER_VALUE","DEEP_MEASURE_ID_OVERRIDE",$C63,"DEEP_BROKER_ID_OVERRIDE",R$24,"DEEP_PERIOD_OVERRIDE",$H$19)*1,"")))</f>
        <v/>
      </c>
      <c r="S63" s="17" t="str">
        <f>IF(OR(S$23="",ISNA($B63)),"",IF(ISBLANK($B63),"",IFERROR(_xll.BDP(TICKER,"DEEP_MEASURE_PERIOD_BROKER_VALUE","DEEP_MEASURE_ID_OVERRIDE",$C63,"DEEP_BROKER_ID_OVERRIDE",S$24,"DEEP_PERIOD_OVERRIDE",$H$19)*1,"")))</f>
        <v/>
      </c>
      <c r="T63" s="17" t="str">
        <f>IF(OR(T$23="",ISNA($B63)),"",IF(ISBLANK($B63),"",IFERROR(_xll.BDP(TICKER,"DEEP_MEASURE_PERIOD_BROKER_VALUE","DEEP_MEASURE_ID_OVERRIDE",$C63,"DEEP_BROKER_ID_OVERRIDE",T$24,"DEEP_PERIOD_OVERRIDE",$H$19)*1,"")))</f>
        <v/>
      </c>
      <c r="U63" s="17" t="str">
        <f>IF(OR(U$23="",ISNA($B63)),"",IF(ISBLANK($B63),"",IFERROR(_xll.BDP(TICKER,"DEEP_MEASURE_PERIOD_BROKER_VALUE","DEEP_MEASURE_ID_OVERRIDE",$C63,"DEEP_BROKER_ID_OVERRIDE",U$24,"DEEP_PERIOD_OVERRIDE",$H$19)*1,"")))</f>
        <v/>
      </c>
      <c r="V63" s="17" t="str">
        <f>IF(OR(V$23="",ISNA($B63)),"",IF(ISBLANK($B63),"",IFERROR(_xll.BDP(TICKER,"DEEP_MEASURE_PERIOD_BROKER_VALUE","DEEP_MEASURE_ID_OVERRIDE",$C63,"DEEP_BROKER_ID_OVERRIDE",V$24,"DEEP_PERIOD_OVERRIDE",$H$19)*1,"")))</f>
        <v/>
      </c>
      <c r="W63" s="17" t="str">
        <f>IF(OR(W$23="",ISNA($B63)),"",IF(ISBLANK($B63),"",IFERROR(_xll.BDP(TICKER,"DEEP_MEASURE_PERIOD_BROKER_VALUE","DEEP_MEASURE_ID_OVERRIDE",$C63,"DEEP_BROKER_ID_OVERRIDE",W$24,"DEEP_PERIOD_OVERRIDE",$H$19)*1,"")))</f>
        <v/>
      </c>
      <c r="X63" s="17" t="str">
        <f>IF(OR(X$23="",ISNA($B63)),"",IF(ISBLANK($B63),"",IFERROR(_xll.BDP(TICKER,"DEEP_MEASURE_PERIOD_BROKER_VALUE","DEEP_MEASURE_ID_OVERRIDE",$C63,"DEEP_BROKER_ID_OVERRIDE",X$24,"DEEP_PERIOD_OVERRIDE",$H$19)*1,"")))</f>
        <v/>
      </c>
      <c r="Y63" s="17" t="str">
        <f>IF(OR(Y$23="",ISNA($B63)),"",IF(ISBLANK($B63),"",IFERROR(_xll.BDP(TICKER,"DEEP_MEASURE_PERIOD_BROKER_VALUE","DEEP_MEASURE_ID_OVERRIDE",$C63,"DEEP_BROKER_ID_OVERRIDE",Y$24,"DEEP_PERIOD_OVERRIDE",$H$19)*1,"")))</f>
        <v/>
      </c>
      <c r="Z63" s="17" t="str">
        <f>IF(OR(Z$23="",ISNA($B63)),"",IF(ISBLANK($B63),"",IFERROR(_xll.BDP(TICKER,"DEEP_MEASURE_PERIOD_BROKER_VALUE","DEEP_MEASURE_ID_OVERRIDE",$C63,"DEEP_BROKER_ID_OVERRIDE",Z$24,"DEEP_PERIOD_OVERRIDE",$H$19)*1,"")))</f>
        <v/>
      </c>
      <c r="AA63" s="17" t="str">
        <f>IF(OR(AA$23="",ISNA($B63)),"",IF(ISBLANK($B63),"",IFERROR(_xll.BDP(TICKER,"DEEP_MEASURE_PERIOD_BROKER_VALUE","DEEP_MEASURE_ID_OVERRIDE",$C63,"DEEP_BROKER_ID_OVERRIDE",AA$24,"DEEP_PERIOD_OVERRIDE",$H$19)*1,"")))</f>
        <v/>
      </c>
      <c r="AB63" s="17" t="str">
        <f>IF(OR(AB$23="",ISNA($B63)),"",IF(ISBLANK($B63),"",IFERROR(_xll.BDP(TICKER,"DEEP_MEASURE_PERIOD_BROKER_VALUE","DEEP_MEASURE_ID_OVERRIDE",$C63,"DEEP_BROKER_ID_OVERRIDE",AB$24,"DEEP_PERIOD_OVERRIDE",$H$19)*1,"")))</f>
        <v/>
      </c>
      <c r="AC63" s="17" t="str">
        <f>IF(OR(AC$23="",ISNA($B63)),"",IF(ISBLANK($B63),"",IFERROR(_xll.BDP(TICKER,"DEEP_MEASURE_PERIOD_BROKER_VALUE","DEEP_MEASURE_ID_OVERRIDE",$C63,"DEEP_BROKER_ID_OVERRIDE",AC$24,"DEEP_PERIOD_OVERRIDE",$H$19)*1,"")))</f>
        <v/>
      </c>
      <c r="AD63" s="17" t="str">
        <f>IF(OR(AD$23="",ISNA($B63)),"",IF(ISBLANK($B63),"",IFERROR(_xll.BDP(TICKER,"DEEP_MEASURE_PERIOD_BROKER_VALUE","DEEP_MEASURE_ID_OVERRIDE",$C63,"DEEP_BROKER_ID_OVERRIDE",AD$24,"DEEP_PERIOD_OVERRIDE",$H$19)*1,"")))</f>
        <v/>
      </c>
      <c r="AE63" s="17" t="str">
        <f>IF(OR(AE$23="",ISNA($B63)),"",IF(ISBLANK($B63),"",IFERROR(_xll.BDP(TICKER,"DEEP_MEASURE_PERIOD_BROKER_VALUE","DEEP_MEASURE_ID_OVERRIDE",$C63,"DEEP_BROKER_ID_OVERRIDE",AE$24,"DEEP_PERIOD_OVERRIDE",$H$19)*1,"")))</f>
        <v/>
      </c>
      <c r="AF63" s="17" t="str">
        <f>IF(OR(AF$23="",ISNA($B63)),"",IF(ISBLANK($B63),"",IFERROR(_xll.BDP(TICKER,"DEEP_MEASURE_PERIOD_BROKER_VALUE","DEEP_MEASURE_ID_OVERRIDE",$C63,"DEEP_BROKER_ID_OVERRIDE",AF$24,"DEEP_PERIOD_OVERRIDE",$H$19)*1,"")))</f>
        <v/>
      </c>
      <c r="AG63" s="17" t="str">
        <f>IF(OR(AG$23="",ISNA($B63)),"",IF(ISBLANK($B63),"",IFERROR(_xll.BDP(TICKER,"DEEP_MEASURE_PERIOD_BROKER_VALUE","DEEP_MEASURE_ID_OVERRIDE",$C63,"DEEP_BROKER_ID_OVERRIDE",AG$24,"DEEP_PERIOD_OVERRIDE",$H$19)*1,"")))</f>
        <v/>
      </c>
      <c r="AH63" s="17" t="str">
        <f>IF(OR(AH$23="",ISNA($B63)),"",IF(ISBLANK($B63),"",IFERROR(_xll.BDP(TICKER,"DEEP_MEASURE_PERIOD_BROKER_VALUE","DEEP_MEASURE_ID_OVERRIDE",$C63,"DEEP_BROKER_ID_OVERRIDE",AH$24,"DEEP_PERIOD_OVERRIDE",$H$19)*1,"")))</f>
        <v/>
      </c>
      <c r="AI63" s="17" t="str">
        <f>IF(OR(AI$23="",ISNA($B63)),"",IF(ISBLANK($B63),"",IFERROR(_xll.BDP(TICKER,"DEEP_MEASURE_PERIOD_BROKER_VALUE","DEEP_MEASURE_ID_OVERRIDE",$C63,"DEEP_BROKER_ID_OVERRIDE",AI$24,"DEEP_PERIOD_OVERRIDE",$H$19)*1,"")))</f>
        <v/>
      </c>
      <c r="AJ63" s="17" t="str">
        <f>IF(OR(AJ$23="",ISNA($B63)),"",IF(ISBLANK($B63),"",IFERROR(_xll.BDP(TICKER,"DEEP_MEASURE_PERIOD_BROKER_VALUE","DEEP_MEASURE_ID_OVERRIDE",$C63,"DEEP_BROKER_ID_OVERRIDE",AJ$24,"DEEP_PERIOD_OVERRIDE",$H$19)*1,"")))</f>
        <v/>
      </c>
      <c r="AK63" s="17" t="str">
        <f>IF(OR(AK$23="",ISNA($B63)),"",IF(ISBLANK($B63),"",IFERROR(_xll.BDP(TICKER,"DEEP_MEASURE_PERIOD_BROKER_VALUE","DEEP_MEASURE_ID_OVERRIDE",$C63,"DEEP_BROKER_ID_OVERRIDE",AK$24,"DEEP_PERIOD_OVERRIDE",$H$19)*1,"")))</f>
        <v/>
      </c>
      <c r="AL63" s="17" t="str">
        <f>IF(OR(AL$23="",ISNA($B63)),"",IF(ISBLANK($B63),"",IFERROR(_xll.BDP(TICKER,"DEEP_MEASURE_PERIOD_BROKER_VALUE","DEEP_MEASURE_ID_OVERRIDE",$C63,"DEEP_BROKER_ID_OVERRIDE",AL$24,"DEEP_PERIOD_OVERRIDE",$H$19)*1,"")))</f>
        <v/>
      </c>
      <c r="AM63" s="17" t="str">
        <f>IF(OR(AM$23="",ISNA($B63)),"",IF(ISBLANK($B63),"",IFERROR(_xll.BDP(TICKER,"DEEP_MEASURE_PERIOD_BROKER_VALUE","DEEP_MEASURE_ID_OVERRIDE",$C63,"DEEP_BROKER_ID_OVERRIDE",AM$24,"DEEP_PERIOD_OVERRIDE",$H$19)*1,"")))</f>
        <v/>
      </c>
      <c r="AN63" s="17" t="str">
        <f>IF(OR(AN$23="",ISNA($B63)),"",IF(ISBLANK($B63),"",IFERROR(_xll.BDP(TICKER,"DEEP_MEASURE_PERIOD_BROKER_VALUE","DEEP_MEASURE_ID_OVERRIDE",$C63,"DEEP_BROKER_ID_OVERRIDE",AN$24,"DEEP_PERIOD_OVERRIDE",$H$19)*1,"")))</f>
        <v/>
      </c>
      <c r="AO63" s="17" t="str">
        <f>IF(OR(AO$23="",ISNA($B63)),"",IF(ISBLANK($B63),"",IFERROR(_xll.BDP(TICKER,"DEEP_MEASURE_PERIOD_BROKER_VALUE","DEEP_MEASURE_ID_OVERRIDE",$C63,"DEEP_BROKER_ID_OVERRIDE",AO$24,"DEEP_PERIOD_OVERRIDE",$H$19)*1,"")))</f>
        <v/>
      </c>
      <c r="AP63" s="17" t="str">
        <f>IF(OR(AP$23="",ISNA($B63)),"",IF(ISBLANK($B63),"",IFERROR(_xll.BDP(TICKER,"DEEP_MEASURE_PERIOD_BROKER_VALUE","DEEP_MEASURE_ID_OVERRIDE",$C63,"DEEP_BROKER_ID_OVERRIDE",AP$24,"DEEP_PERIOD_OVERRIDE",$H$19)*1,"")))</f>
        <v/>
      </c>
      <c r="AQ63" s="17" t="str">
        <f>IF(OR(AQ$23="",ISNA($B63)),"",IF(ISBLANK($B63),"",IFERROR(_xll.BDP(TICKER,"DEEP_MEASURE_PERIOD_BROKER_VALUE","DEEP_MEASURE_ID_OVERRIDE",$C63,"DEEP_BROKER_ID_OVERRIDE",AQ$24,"DEEP_PERIOD_OVERRIDE",$H$19)*1,"")))</f>
        <v/>
      </c>
      <c r="AR63" s="17" t="str">
        <f>IF(OR(AR$23="",ISNA($B63)),"",IF(ISBLANK($B63),"",IFERROR(_xll.BDP(TICKER,"DEEP_MEASURE_PERIOD_BROKER_VALUE","DEEP_MEASURE_ID_OVERRIDE",$C63,"DEEP_BROKER_ID_OVERRIDE",AR$24,"DEEP_PERIOD_OVERRIDE",$H$19)*1,"")))</f>
        <v/>
      </c>
      <c r="AS63" s="17" t="str">
        <f>IF(OR(AS$23="",ISNA($B63)),"",IF(ISBLANK($B63),"",IFERROR(_xll.BDP(TICKER,"DEEP_MEASURE_PERIOD_BROKER_VALUE","DEEP_MEASURE_ID_OVERRIDE",$C63,"DEEP_BROKER_ID_OVERRIDE",AS$24,"DEEP_PERIOD_OVERRIDE",$H$19)*1,"")))</f>
        <v/>
      </c>
      <c r="AT63" s="17" t="str">
        <f>IF(OR(AT$23="",ISNA($B63)),"",IF(ISBLANK($B63),"",IFERROR(_xll.BDP(TICKER,"DEEP_MEASURE_PERIOD_BROKER_VALUE","DEEP_MEASURE_ID_OVERRIDE",$C63,"DEEP_BROKER_ID_OVERRIDE",AT$24,"DEEP_PERIOD_OVERRIDE",$H$19)*1,"")))</f>
        <v/>
      </c>
      <c r="AU63" s="17" t="str">
        <f>IF(OR(AU$23="",ISNA($B63)),"",IF(ISBLANK($B63),"",IFERROR(_xll.BDP(TICKER,"DEEP_MEASURE_PERIOD_BROKER_VALUE","DEEP_MEASURE_ID_OVERRIDE",$C63,"DEEP_BROKER_ID_OVERRIDE",AU$24,"DEEP_PERIOD_OVERRIDE",$H$19)*1,"")))</f>
        <v/>
      </c>
      <c r="AV63" s="17" t="str">
        <f>IF(OR(AV$23="",ISNA($B63)),"",IF(ISBLANK($B63),"",IFERROR(_xll.BDP(TICKER,"DEEP_MEASURE_PERIOD_BROKER_VALUE","DEEP_MEASURE_ID_OVERRIDE",$C63,"DEEP_BROKER_ID_OVERRIDE",AV$24,"DEEP_PERIOD_OVERRIDE",$H$19)*1,"")))</f>
        <v/>
      </c>
      <c r="AW63" s="17" t="str">
        <f>IF(OR(AW$23="",ISNA($B63)),"",IF(ISBLANK($B63),"",IFERROR(_xll.BDP(TICKER,"DEEP_MEASURE_PERIOD_BROKER_VALUE","DEEP_MEASURE_ID_OVERRIDE",$C63,"DEEP_BROKER_ID_OVERRIDE",AW$24,"DEEP_PERIOD_OVERRIDE",$H$19)*1,"")))</f>
        <v/>
      </c>
      <c r="AX63" s="17" t="str">
        <f>IF(OR(AX$23="",ISNA($B63)),"",IF(ISBLANK($B63),"",IFERROR(_xll.BDP(TICKER,"DEEP_MEASURE_PERIOD_BROKER_VALUE","DEEP_MEASURE_ID_OVERRIDE",$C63,"DEEP_BROKER_ID_OVERRIDE",AX$24,"DEEP_PERIOD_OVERRIDE",$H$19)*1,"")))</f>
        <v/>
      </c>
      <c r="AY63" s="17" t="str">
        <f>IF(OR(AY$23="",ISNA($B63)),"",IF(ISBLANK($B63),"",IFERROR(_xll.BDP(TICKER,"DEEP_MEASURE_PERIOD_BROKER_VALUE","DEEP_MEASURE_ID_OVERRIDE",$C63,"DEEP_BROKER_ID_OVERRIDE",AY$24,"DEEP_PERIOD_OVERRIDE",$H$19)*1,"")))</f>
        <v/>
      </c>
      <c r="AZ63" s="17" t="str">
        <f>IF(OR(AZ$23="",ISNA($B63)),"",IF(ISBLANK($B63),"",IFERROR(_xll.BDP(TICKER,"DEEP_MEASURE_PERIOD_BROKER_VALUE","DEEP_MEASURE_ID_OVERRIDE",$C63,"DEEP_BROKER_ID_OVERRIDE",AZ$24,"DEEP_PERIOD_OVERRIDE",$H$19)*1,"")))</f>
        <v/>
      </c>
      <c r="BA63" s="17" t="str">
        <f>IF(OR(BA$23="",ISNA($B63)),"",IF(ISBLANK($B63),"",IFERROR(_xll.BDP(TICKER,"DEEP_MEASURE_PERIOD_BROKER_VALUE","DEEP_MEASURE_ID_OVERRIDE",$C63,"DEEP_BROKER_ID_OVERRIDE",BA$24,"DEEP_PERIOD_OVERRIDE",$H$19)*1,"")))</f>
        <v/>
      </c>
      <c r="BB63" s="17" t="str">
        <f>IF(OR(BB$23="",ISNA($B63)),"",IF(ISBLANK($B63),"",IFERROR(_xll.BDP(TICKER,"DEEP_MEASURE_PERIOD_BROKER_VALUE","DEEP_MEASURE_ID_OVERRIDE",$C63,"DEEP_BROKER_ID_OVERRIDE",BB$24,"DEEP_PERIOD_OVERRIDE",$H$19)*1,"")))</f>
        <v/>
      </c>
      <c r="BC63" s="17" t="str">
        <f>IF(OR(BC$23="",ISNA($B63)),"",IF(ISBLANK($B63),"",IFERROR(_xll.BDP(TICKER,"DEEP_MEASURE_PERIOD_BROKER_VALUE","DEEP_MEASURE_ID_OVERRIDE",$C63,"DEEP_BROKER_ID_OVERRIDE",BC$24,"DEEP_PERIOD_OVERRIDE",$H$19)*1,"")))</f>
        <v/>
      </c>
      <c r="BD63" s="17" t="str">
        <f>IF(OR(BD$23="",ISNA($B63)),"",IF(ISBLANK($B63),"",IFERROR(_xll.BDP(TICKER,"DEEP_MEASURE_PERIOD_BROKER_VALUE","DEEP_MEASURE_ID_OVERRIDE",$C63,"DEEP_BROKER_ID_OVERRIDE",BD$24,"DEEP_PERIOD_OVERRIDE",$H$19)*1,"")))</f>
        <v/>
      </c>
      <c r="BE63" s="17" t="str">
        <f>IF(OR(BE$23="",ISNA($B63)),"",IF(ISBLANK($B63),"",IFERROR(_xll.BDP(TICKER,"DEEP_MEASURE_PERIOD_BROKER_VALUE","DEEP_MEASURE_ID_OVERRIDE",$C63,"DEEP_BROKER_ID_OVERRIDE",BE$24,"DEEP_PERIOD_OVERRIDE",$H$19)*1,"")))</f>
        <v/>
      </c>
      <c r="BF63" s="17" t="str">
        <f>IF(OR(BF$23="",ISNA($B63)),"",IF(ISBLANK($B63),"",IFERROR(_xll.BDP(TICKER,"DEEP_MEASURE_PERIOD_BROKER_VALUE","DEEP_MEASURE_ID_OVERRIDE",$C63,"DEEP_BROKER_ID_OVERRIDE",BF$24,"DEEP_PERIOD_OVERRIDE",$H$19)*1,"")))</f>
        <v/>
      </c>
      <c r="BG63" s="17" t="str">
        <f>IF(OR(BG$23="",ISNA($B63)),"",IF(ISBLANK($B63),"",IFERROR(_xll.BDP(TICKER,"DEEP_MEASURE_PERIOD_BROKER_VALUE","DEEP_MEASURE_ID_OVERRIDE",$C63,"DEEP_BROKER_ID_OVERRIDE",BG$24,"DEEP_PERIOD_OVERRIDE",$H$19)*1,"")))</f>
        <v/>
      </c>
      <c r="BH63" s="17" t="str">
        <f>IF(OR(BH$23="",ISNA($B63)),"",IF(ISBLANK($B63),"",IFERROR(_xll.BDP(TICKER,"DEEP_MEASURE_PERIOD_BROKER_VALUE","DEEP_MEASURE_ID_OVERRIDE",$C63,"DEEP_BROKER_ID_OVERRIDE",BH$24,"DEEP_PERIOD_OVERRIDE",$H$19)*1,"")))</f>
        <v/>
      </c>
      <c r="BI63" s="17" t="str">
        <f>IF(OR(BI$23="",ISNA($B63)),"",IF(ISBLANK($B63),"",IFERROR(_xll.BDP(TICKER,"DEEP_MEASURE_PERIOD_BROKER_VALUE","DEEP_MEASURE_ID_OVERRIDE",$C63,"DEEP_BROKER_ID_OVERRIDE",BI$24,"DEEP_PERIOD_OVERRIDE",$H$19)*1,"")))</f>
        <v/>
      </c>
      <c r="BJ63" s="17" t="str">
        <f>IF(OR(BJ$23="",ISNA($B63)),"",IF(ISBLANK($B63),"",IFERROR(_xll.BDP(TICKER,"DEEP_MEASURE_PERIOD_BROKER_VALUE","DEEP_MEASURE_ID_OVERRIDE",$C63,"DEEP_BROKER_ID_OVERRIDE",BJ$24,"DEEP_PERIOD_OVERRIDE",$H$19)*1,"")))</f>
        <v/>
      </c>
      <c r="BK63" s="17" t="str">
        <f>IF(OR(BK$23="",ISNA($B63)),"",IF(ISBLANK($B63),"",IFERROR(_xll.BDP(TICKER,"DEEP_MEASURE_PERIOD_BROKER_VALUE","DEEP_MEASURE_ID_OVERRIDE",$C63,"DEEP_BROKER_ID_OVERRIDE",BK$24,"DEEP_PERIOD_OVERRIDE",$H$19)*1,"")))</f>
        <v/>
      </c>
      <c r="BL63" s="17" t="str">
        <f>IF(OR(BL$23="",ISNA($B63)),"",IF(ISBLANK($B63),"",IFERROR(_xll.BDP(TICKER,"DEEP_MEASURE_PERIOD_BROKER_VALUE","DEEP_MEASURE_ID_OVERRIDE",$C63,"DEEP_BROKER_ID_OVERRIDE",BL$24,"DEEP_PERIOD_OVERRIDE",$H$19)*1,"")))</f>
        <v/>
      </c>
      <c r="BM63" s="17" t="str">
        <f>IF(OR(BM$23="",ISNA($B63)),"",IF(ISBLANK($B63),"",IFERROR(_xll.BDP(TICKER,"DEEP_MEASURE_PERIOD_BROKER_VALUE","DEEP_MEASURE_ID_OVERRIDE",$C63,"DEEP_BROKER_ID_OVERRIDE",BM$24,"DEEP_PERIOD_OVERRIDE",$H$19)*1,"")))</f>
        <v/>
      </c>
      <c r="BN63" s="17" t="str">
        <f>IF(OR(BN$23="",ISNA($B63)),"",IF(ISBLANK($B63),"",IFERROR(_xll.BDP(TICKER,"DEEP_MEASURE_PERIOD_BROKER_VALUE","DEEP_MEASURE_ID_OVERRIDE",$C63,"DEEP_BROKER_ID_OVERRIDE",BN$24,"DEEP_PERIOD_OVERRIDE",$H$19)*1,"")))</f>
        <v/>
      </c>
      <c r="BO63" s="17" t="str">
        <f>IF(OR(BO$23="",ISNA($B63)),"",IF(ISBLANK($B63),"",IFERROR(_xll.BDP(TICKER,"DEEP_MEASURE_PERIOD_BROKER_VALUE","DEEP_MEASURE_ID_OVERRIDE",$C63,"DEEP_BROKER_ID_OVERRIDE",BO$24,"DEEP_PERIOD_OVERRIDE",$H$19)*1,"")))</f>
        <v/>
      </c>
      <c r="BP63" s="17" t="str">
        <f>IF(OR(BP$23="",ISNA($B63)),"",IF(ISBLANK($B63),"",IFERROR(_xll.BDP(TICKER,"DEEP_MEASURE_PERIOD_BROKER_VALUE","DEEP_MEASURE_ID_OVERRIDE",$C63,"DEEP_BROKER_ID_OVERRIDE",BP$24,"DEEP_PERIOD_OVERRIDE",$H$19)*1,"")))</f>
        <v/>
      </c>
      <c r="BQ63" s="17" t="str">
        <f>IF(OR(BQ$23="",ISNA($B63)),"",IF(ISBLANK($B63),"",IFERROR(_xll.BDP(TICKER,"DEEP_MEASURE_PERIOD_BROKER_VALUE","DEEP_MEASURE_ID_OVERRIDE",$C63,"DEEP_BROKER_ID_OVERRIDE",BQ$24,"DEEP_PERIOD_OVERRIDE",$H$19)*1,"")))</f>
        <v/>
      </c>
      <c r="BR63" s="17" t="str">
        <f>IF(OR(BR$23="",ISNA($B63)),"",IF(ISBLANK($B63),"",IFERROR(_xll.BDP(TICKER,"DEEP_MEASURE_PERIOD_BROKER_VALUE","DEEP_MEASURE_ID_OVERRIDE",$C63,"DEEP_BROKER_ID_OVERRIDE",BR$24,"DEEP_PERIOD_OVERRIDE",$H$19)*1,"")))</f>
        <v/>
      </c>
      <c r="BS63" s="17" t="str">
        <f>IF(OR(BS$23="",ISNA($B63)),"",IF(ISBLANK($B63),"",IFERROR(_xll.BDP(TICKER,"DEEP_MEASURE_PERIOD_BROKER_VALUE","DEEP_MEASURE_ID_OVERRIDE",$C63,"DEEP_BROKER_ID_OVERRIDE",BS$24,"DEEP_PERIOD_OVERRIDE",$H$19)*1,"")))</f>
        <v/>
      </c>
      <c r="BT63" s="17" t="str">
        <f>IF(OR(BT$23="",ISNA($B63)),"",IF(ISBLANK($B63),"",IFERROR(_xll.BDP(TICKER,"DEEP_MEASURE_PERIOD_BROKER_VALUE","DEEP_MEASURE_ID_OVERRIDE",$C63,"DEEP_BROKER_ID_OVERRIDE",BT$24,"DEEP_PERIOD_OVERRIDE",$H$19)*1,"")))</f>
        <v/>
      </c>
      <c r="BU63" s="17" t="str">
        <f>IF(OR(BU$23="",ISNA($B63)),"",IF(ISBLANK($B63),"",IFERROR(_xll.BDP(TICKER,"DEEP_MEASURE_PERIOD_BROKER_VALUE","DEEP_MEASURE_ID_OVERRIDE",$C63,"DEEP_BROKER_ID_OVERRIDE",BU$24,"DEEP_PERIOD_OVERRIDE",$H$19)*1,"")))</f>
        <v/>
      </c>
      <c r="BV63" s="17" t="str">
        <f>IF(OR(BV$23="",ISNA($B63)),"",IF(ISBLANK($B63),"",IFERROR(_xll.BDP(TICKER,"DEEP_MEASURE_PERIOD_BROKER_VALUE","DEEP_MEASURE_ID_OVERRIDE",$C63,"DEEP_BROKER_ID_OVERRIDE",BV$24,"DEEP_PERIOD_OVERRIDE",$H$19)*1,"")))</f>
        <v/>
      </c>
      <c r="BW63" s="17" t="str">
        <f>IF(OR(BW$23="",ISNA($B63)),"",IF(ISBLANK($B63),"",IFERROR(_xll.BDP(TICKER,"DEEP_MEASURE_PERIOD_BROKER_VALUE","DEEP_MEASURE_ID_OVERRIDE",$C63,"DEEP_BROKER_ID_OVERRIDE",BW$24,"DEEP_PERIOD_OVERRIDE",$H$19)*1,"")))</f>
        <v/>
      </c>
      <c r="BX63" s="17" t="str">
        <f>IF(OR(BX$23="",ISNA($B63)),"",IF(ISBLANK($B63),"",IFERROR(_xll.BDP(TICKER,"DEEP_MEASURE_PERIOD_BROKER_VALUE","DEEP_MEASURE_ID_OVERRIDE",$C63,"DEEP_BROKER_ID_OVERRIDE",BX$24,"DEEP_PERIOD_OVERRIDE",$H$19)*1,"")))</f>
        <v/>
      </c>
      <c r="BY63" s="17" t="str">
        <f>IF(OR(BY$23="",ISNA($B63)),"",IF(ISBLANK($B63),"",IFERROR(_xll.BDP(TICKER,"DEEP_MEASURE_PERIOD_BROKER_VALUE","DEEP_MEASURE_ID_OVERRIDE",$C63,"DEEP_BROKER_ID_OVERRIDE",BY$24,"DEEP_PERIOD_OVERRIDE",$H$19)*1,"")))</f>
        <v/>
      </c>
      <c r="BZ63" s="17" t="str">
        <f>IF(OR(BZ$23="",ISNA($B63)),"",IF(ISBLANK($B63),"",IFERROR(_xll.BDP(TICKER,"DEEP_MEASURE_PERIOD_BROKER_VALUE","DEEP_MEASURE_ID_OVERRIDE",$C63,"DEEP_BROKER_ID_OVERRIDE",BZ$24,"DEEP_PERIOD_OVERRIDE",$H$19)*1,"")))</f>
        <v/>
      </c>
    </row>
    <row r="64" spans="2:78" x14ac:dyDescent="0.25">
      <c r="B64" t="s">
        <v>108</v>
      </c>
      <c r="C64" s="11">
        <v>4783</v>
      </c>
      <c r="H64" t="str">
        <f t="shared" si="1"/>
        <v>Total Revenue &gt; Hotel &gt; Revenue &gt; TripAdvisor-branded Click-based &amp; Transaction &gt; Smartphone Hotel Shoppers &gt; YoY Growth (%)</v>
      </c>
      <c r="I64" t="str">
        <f>IF(OR(I$23="",ISNA($B64)),"",IF(ISBLANK($B64),"",IFERROR(_xll.BDP(TICKER,"DEEP_MEASURE_PERIOD_BROKER_VALUE","DEEP_MEASURE_ID_OVERRIDE",$C64,"DEEP_PERIOD_OVERRIDE",$H$19)*1,"")))</f>
        <v/>
      </c>
      <c r="J64" t="e">
        <f>IF(OR(J$23="",ISNA($B64)),"",IF(ISBLANK($B64),"",IFERROR(_xll.BDP(TICKER,"DEEP_MEASURE_PERIOD_BROKER_VALUE","DEEP_MEASURE_ID_OVERRIDE",$C64,"DEEP_BROKER_ID_OVERRIDE",J$24,"DEEP_PERIOD_OVERRIDE",$H$19)*1,"")))</f>
        <v>#REF!</v>
      </c>
      <c r="K64" s="17" t="str">
        <f>IF(OR(K$23="",ISNA($B64)),"",IF(ISBLANK($B64),"",IFERROR(_xll.BDP(TICKER,"DEEP_MEASURE_PERIOD_BROKER_VALUE","DEEP_MEASURE_ID_OVERRIDE",$C64,"DEEP_BROKER_ID_OVERRIDE",K$24,"DEEP_PERIOD_OVERRIDE",$H$19)*1,"")))</f>
        <v/>
      </c>
      <c r="L64" s="17" t="str">
        <f>IF(OR(L$23="",ISNA($B64)),"",IF(ISBLANK($B64),"",IFERROR(_xll.BDP(TICKER,"DEEP_MEASURE_PERIOD_BROKER_VALUE","DEEP_MEASURE_ID_OVERRIDE",$C64,"DEEP_BROKER_ID_OVERRIDE",L$24,"DEEP_PERIOD_OVERRIDE",$H$19)*1,"")))</f>
        <v/>
      </c>
      <c r="M64" s="17" t="str">
        <f>IF(OR(M$23="",ISNA($B64)),"",IF(ISBLANK($B64),"",IFERROR(_xll.BDP(TICKER,"DEEP_MEASURE_PERIOD_BROKER_VALUE","DEEP_MEASURE_ID_OVERRIDE",$C64,"DEEP_BROKER_ID_OVERRIDE",M$24,"DEEP_PERIOD_OVERRIDE",$H$19)*1,"")))</f>
        <v/>
      </c>
      <c r="N64" s="17" t="str">
        <f>IF(OR(N$23="",ISNA($B64)),"",IF(ISBLANK($B64),"",IFERROR(_xll.BDP(TICKER,"DEEP_MEASURE_PERIOD_BROKER_VALUE","DEEP_MEASURE_ID_OVERRIDE",$C64,"DEEP_BROKER_ID_OVERRIDE",N$24,"DEEP_PERIOD_OVERRIDE",$H$19)*1,"")))</f>
        <v/>
      </c>
      <c r="O64" s="17" t="str">
        <f>IF(OR(O$23="",ISNA($B64)),"",IF(ISBLANK($B64),"",IFERROR(_xll.BDP(TICKER,"DEEP_MEASURE_PERIOD_BROKER_VALUE","DEEP_MEASURE_ID_OVERRIDE",$C64,"DEEP_BROKER_ID_OVERRIDE",O$24,"DEEP_PERIOD_OVERRIDE",$H$19)*1,"")))</f>
        <v/>
      </c>
      <c r="P64" s="17" t="str">
        <f>IF(OR(P$23="",ISNA($B64)),"",IF(ISBLANK($B64),"",IFERROR(_xll.BDP(TICKER,"DEEP_MEASURE_PERIOD_BROKER_VALUE","DEEP_MEASURE_ID_OVERRIDE",$C64,"DEEP_BROKER_ID_OVERRIDE",P$24,"DEEP_PERIOD_OVERRIDE",$H$19)*1,"")))</f>
        <v/>
      </c>
      <c r="Q64" s="17" t="str">
        <f>IF(OR(Q$23="",ISNA($B64)),"",IF(ISBLANK($B64),"",IFERROR(_xll.BDP(TICKER,"DEEP_MEASURE_PERIOD_BROKER_VALUE","DEEP_MEASURE_ID_OVERRIDE",$C64,"DEEP_BROKER_ID_OVERRIDE",Q$24,"DEEP_PERIOD_OVERRIDE",$H$19)*1,"")))</f>
        <v/>
      </c>
      <c r="R64" s="17" t="str">
        <f>IF(OR(R$23="",ISNA($B64)),"",IF(ISBLANK($B64),"",IFERROR(_xll.BDP(TICKER,"DEEP_MEASURE_PERIOD_BROKER_VALUE","DEEP_MEASURE_ID_OVERRIDE",$C64,"DEEP_BROKER_ID_OVERRIDE",R$24,"DEEP_PERIOD_OVERRIDE",$H$19)*1,"")))</f>
        <v/>
      </c>
      <c r="S64" s="17" t="str">
        <f>IF(OR(S$23="",ISNA($B64)),"",IF(ISBLANK($B64),"",IFERROR(_xll.BDP(TICKER,"DEEP_MEASURE_PERIOD_BROKER_VALUE","DEEP_MEASURE_ID_OVERRIDE",$C64,"DEEP_BROKER_ID_OVERRIDE",S$24,"DEEP_PERIOD_OVERRIDE",$H$19)*1,"")))</f>
        <v/>
      </c>
      <c r="T64" s="17" t="str">
        <f>IF(OR(T$23="",ISNA($B64)),"",IF(ISBLANK($B64),"",IFERROR(_xll.BDP(TICKER,"DEEP_MEASURE_PERIOD_BROKER_VALUE","DEEP_MEASURE_ID_OVERRIDE",$C64,"DEEP_BROKER_ID_OVERRIDE",T$24,"DEEP_PERIOD_OVERRIDE",$H$19)*1,"")))</f>
        <v/>
      </c>
      <c r="U64" s="17" t="str">
        <f>IF(OR(U$23="",ISNA($B64)),"",IF(ISBLANK($B64),"",IFERROR(_xll.BDP(TICKER,"DEEP_MEASURE_PERIOD_BROKER_VALUE","DEEP_MEASURE_ID_OVERRIDE",$C64,"DEEP_BROKER_ID_OVERRIDE",U$24,"DEEP_PERIOD_OVERRIDE",$H$19)*1,"")))</f>
        <v/>
      </c>
      <c r="V64" s="17" t="str">
        <f>IF(OR(V$23="",ISNA($B64)),"",IF(ISBLANK($B64),"",IFERROR(_xll.BDP(TICKER,"DEEP_MEASURE_PERIOD_BROKER_VALUE","DEEP_MEASURE_ID_OVERRIDE",$C64,"DEEP_BROKER_ID_OVERRIDE",V$24,"DEEP_PERIOD_OVERRIDE",$H$19)*1,"")))</f>
        <v/>
      </c>
      <c r="W64" s="17" t="str">
        <f>IF(OR(W$23="",ISNA($B64)),"",IF(ISBLANK($B64),"",IFERROR(_xll.BDP(TICKER,"DEEP_MEASURE_PERIOD_BROKER_VALUE","DEEP_MEASURE_ID_OVERRIDE",$C64,"DEEP_BROKER_ID_OVERRIDE",W$24,"DEEP_PERIOD_OVERRIDE",$H$19)*1,"")))</f>
        <v/>
      </c>
      <c r="X64" s="17" t="str">
        <f>IF(OR(X$23="",ISNA($B64)),"",IF(ISBLANK($B64),"",IFERROR(_xll.BDP(TICKER,"DEEP_MEASURE_PERIOD_BROKER_VALUE","DEEP_MEASURE_ID_OVERRIDE",$C64,"DEEP_BROKER_ID_OVERRIDE",X$24,"DEEP_PERIOD_OVERRIDE",$H$19)*1,"")))</f>
        <v/>
      </c>
      <c r="Y64" s="17" t="str">
        <f>IF(OR(Y$23="",ISNA($B64)),"",IF(ISBLANK($B64),"",IFERROR(_xll.BDP(TICKER,"DEEP_MEASURE_PERIOD_BROKER_VALUE","DEEP_MEASURE_ID_OVERRIDE",$C64,"DEEP_BROKER_ID_OVERRIDE",Y$24,"DEEP_PERIOD_OVERRIDE",$H$19)*1,"")))</f>
        <v/>
      </c>
      <c r="Z64" s="17" t="str">
        <f>IF(OR(Z$23="",ISNA($B64)),"",IF(ISBLANK($B64),"",IFERROR(_xll.BDP(TICKER,"DEEP_MEASURE_PERIOD_BROKER_VALUE","DEEP_MEASURE_ID_OVERRIDE",$C64,"DEEP_BROKER_ID_OVERRIDE",Z$24,"DEEP_PERIOD_OVERRIDE",$H$19)*1,"")))</f>
        <v/>
      </c>
      <c r="AA64" s="17" t="str">
        <f>IF(OR(AA$23="",ISNA($B64)),"",IF(ISBLANK($B64),"",IFERROR(_xll.BDP(TICKER,"DEEP_MEASURE_PERIOD_BROKER_VALUE","DEEP_MEASURE_ID_OVERRIDE",$C64,"DEEP_BROKER_ID_OVERRIDE",AA$24,"DEEP_PERIOD_OVERRIDE",$H$19)*1,"")))</f>
        <v/>
      </c>
      <c r="AB64" s="17" t="str">
        <f>IF(OR(AB$23="",ISNA($B64)),"",IF(ISBLANK($B64),"",IFERROR(_xll.BDP(TICKER,"DEEP_MEASURE_PERIOD_BROKER_VALUE","DEEP_MEASURE_ID_OVERRIDE",$C64,"DEEP_BROKER_ID_OVERRIDE",AB$24,"DEEP_PERIOD_OVERRIDE",$H$19)*1,"")))</f>
        <v/>
      </c>
      <c r="AC64" s="17" t="str">
        <f>IF(OR(AC$23="",ISNA($B64)),"",IF(ISBLANK($B64),"",IFERROR(_xll.BDP(TICKER,"DEEP_MEASURE_PERIOD_BROKER_VALUE","DEEP_MEASURE_ID_OVERRIDE",$C64,"DEEP_BROKER_ID_OVERRIDE",AC$24,"DEEP_PERIOD_OVERRIDE",$H$19)*1,"")))</f>
        <v/>
      </c>
      <c r="AD64" s="17" t="str">
        <f>IF(OR(AD$23="",ISNA($B64)),"",IF(ISBLANK($B64),"",IFERROR(_xll.BDP(TICKER,"DEEP_MEASURE_PERIOD_BROKER_VALUE","DEEP_MEASURE_ID_OVERRIDE",$C64,"DEEP_BROKER_ID_OVERRIDE",AD$24,"DEEP_PERIOD_OVERRIDE",$H$19)*1,"")))</f>
        <v/>
      </c>
      <c r="AE64" s="17" t="str">
        <f>IF(OR(AE$23="",ISNA($B64)),"",IF(ISBLANK($B64),"",IFERROR(_xll.BDP(TICKER,"DEEP_MEASURE_PERIOD_BROKER_VALUE","DEEP_MEASURE_ID_OVERRIDE",$C64,"DEEP_BROKER_ID_OVERRIDE",AE$24,"DEEP_PERIOD_OVERRIDE",$H$19)*1,"")))</f>
        <v/>
      </c>
      <c r="AF64" s="17" t="str">
        <f>IF(OR(AF$23="",ISNA($B64)),"",IF(ISBLANK($B64),"",IFERROR(_xll.BDP(TICKER,"DEEP_MEASURE_PERIOD_BROKER_VALUE","DEEP_MEASURE_ID_OVERRIDE",$C64,"DEEP_BROKER_ID_OVERRIDE",AF$24,"DEEP_PERIOD_OVERRIDE",$H$19)*1,"")))</f>
        <v/>
      </c>
      <c r="AG64" s="17" t="str">
        <f>IF(OR(AG$23="",ISNA($B64)),"",IF(ISBLANK($B64),"",IFERROR(_xll.BDP(TICKER,"DEEP_MEASURE_PERIOD_BROKER_VALUE","DEEP_MEASURE_ID_OVERRIDE",$C64,"DEEP_BROKER_ID_OVERRIDE",AG$24,"DEEP_PERIOD_OVERRIDE",$H$19)*1,"")))</f>
        <v/>
      </c>
      <c r="AH64" s="17" t="str">
        <f>IF(OR(AH$23="",ISNA($B64)),"",IF(ISBLANK($B64),"",IFERROR(_xll.BDP(TICKER,"DEEP_MEASURE_PERIOD_BROKER_VALUE","DEEP_MEASURE_ID_OVERRIDE",$C64,"DEEP_BROKER_ID_OVERRIDE",AH$24,"DEEP_PERIOD_OVERRIDE",$H$19)*1,"")))</f>
        <v/>
      </c>
      <c r="AI64" s="17" t="str">
        <f>IF(OR(AI$23="",ISNA($B64)),"",IF(ISBLANK($B64),"",IFERROR(_xll.BDP(TICKER,"DEEP_MEASURE_PERIOD_BROKER_VALUE","DEEP_MEASURE_ID_OVERRIDE",$C64,"DEEP_BROKER_ID_OVERRIDE",AI$24,"DEEP_PERIOD_OVERRIDE",$H$19)*1,"")))</f>
        <v/>
      </c>
      <c r="AJ64" s="17" t="str">
        <f>IF(OR(AJ$23="",ISNA($B64)),"",IF(ISBLANK($B64),"",IFERROR(_xll.BDP(TICKER,"DEEP_MEASURE_PERIOD_BROKER_VALUE","DEEP_MEASURE_ID_OVERRIDE",$C64,"DEEP_BROKER_ID_OVERRIDE",AJ$24,"DEEP_PERIOD_OVERRIDE",$H$19)*1,"")))</f>
        <v/>
      </c>
      <c r="AK64" s="17" t="str">
        <f>IF(OR(AK$23="",ISNA($B64)),"",IF(ISBLANK($B64),"",IFERROR(_xll.BDP(TICKER,"DEEP_MEASURE_PERIOD_BROKER_VALUE","DEEP_MEASURE_ID_OVERRIDE",$C64,"DEEP_BROKER_ID_OVERRIDE",AK$24,"DEEP_PERIOD_OVERRIDE",$H$19)*1,"")))</f>
        <v/>
      </c>
      <c r="AL64" s="17" t="str">
        <f>IF(OR(AL$23="",ISNA($B64)),"",IF(ISBLANK($B64),"",IFERROR(_xll.BDP(TICKER,"DEEP_MEASURE_PERIOD_BROKER_VALUE","DEEP_MEASURE_ID_OVERRIDE",$C64,"DEEP_BROKER_ID_OVERRIDE",AL$24,"DEEP_PERIOD_OVERRIDE",$H$19)*1,"")))</f>
        <v/>
      </c>
      <c r="AM64" s="17" t="str">
        <f>IF(OR(AM$23="",ISNA($B64)),"",IF(ISBLANK($B64),"",IFERROR(_xll.BDP(TICKER,"DEEP_MEASURE_PERIOD_BROKER_VALUE","DEEP_MEASURE_ID_OVERRIDE",$C64,"DEEP_BROKER_ID_OVERRIDE",AM$24,"DEEP_PERIOD_OVERRIDE",$H$19)*1,"")))</f>
        <v/>
      </c>
      <c r="AN64" s="17" t="str">
        <f>IF(OR(AN$23="",ISNA($B64)),"",IF(ISBLANK($B64),"",IFERROR(_xll.BDP(TICKER,"DEEP_MEASURE_PERIOD_BROKER_VALUE","DEEP_MEASURE_ID_OVERRIDE",$C64,"DEEP_BROKER_ID_OVERRIDE",AN$24,"DEEP_PERIOD_OVERRIDE",$H$19)*1,"")))</f>
        <v/>
      </c>
      <c r="AO64" s="17" t="str">
        <f>IF(OR(AO$23="",ISNA($B64)),"",IF(ISBLANK($B64),"",IFERROR(_xll.BDP(TICKER,"DEEP_MEASURE_PERIOD_BROKER_VALUE","DEEP_MEASURE_ID_OVERRIDE",$C64,"DEEP_BROKER_ID_OVERRIDE",AO$24,"DEEP_PERIOD_OVERRIDE",$H$19)*1,"")))</f>
        <v/>
      </c>
      <c r="AP64" s="17" t="str">
        <f>IF(OR(AP$23="",ISNA($B64)),"",IF(ISBLANK($B64),"",IFERROR(_xll.BDP(TICKER,"DEEP_MEASURE_PERIOD_BROKER_VALUE","DEEP_MEASURE_ID_OVERRIDE",$C64,"DEEP_BROKER_ID_OVERRIDE",AP$24,"DEEP_PERIOD_OVERRIDE",$H$19)*1,"")))</f>
        <v/>
      </c>
      <c r="AQ64" s="17" t="str">
        <f>IF(OR(AQ$23="",ISNA($B64)),"",IF(ISBLANK($B64),"",IFERROR(_xll.BDP(TICKER,"DEEP_MEASURE_PERIOD_BROKER_VALUE","DEEP_MEASURE_ID_OVERRIDE",$C64,"DEEP_BROKER_ID_OVERRIDE",AQ$24,"DEEP_PERIOD_OVERRIDE",$H$19)*1,"")))</f>
        <v/>
      </c>
      <c r="AR64" s="17" t="str">
        <f>IF(OR(AR$23="",ISNA($B64)),"",IF(ISBLANK($B64),"",IFERROR(_xll.BDP(TICKER,"DEEP_MEASURE_PERIOD_BROKER_VALUE","DEEP_MEASURE_ID_OVERRIDE",$C64,"DEEP_BROKER_ID_OVERRIDE",AR$24,"DEEP_PERIOD_OVERRIDE",$H$19)*1,"")))</f>
        <v/>
      </c>
      <c r="AS64" s="17" t="str">
        <f>IF(OR(AS$23="",ISNA($B64)),"",IF(ISBLANK($B64),"",IFERROR(_xll.BDP(TICKER,"DEEP_MEASURE_PERIOD_BROKER_VALUE","DEEP_MEASURE_ID_OVERRIDE",$C64,"DEEP_BROKER_ID_OVERRIDE",AS$24,"DEEP_PERIOD_OVERRIDE",$H$19)*1,"")))</f>
        <v/>
      </c>
      <c r="AT64" s="17" t="str">
        <f>IF(OR(AT$23="",ISNA($B64)),"",IF(ISBLANK($B64),"",IFERROR(_xll.BDP(TICKER,"DEEP_MEASURE_PERIOD_BROKER_VALUE","DEEP_MEASURE_ID_OVERRIDE",$C64,"DEEP_BROKER_ID_OVERRIDE",AT$24,"DEEP_PERIOD_OVERRIDE",$H$19)*1,"")))</f>
        <v/>
      </c>
      <c r="AU64" s="17" t="str">
        <f>IF(OR(AU$23="",ISNA($B64)),"",IF(ISBLANK($B64),"",IFERROR(_xll.BDP(TICKER,"DEEP_MEASURE_PERIOD_BROKER_VALUE","DEEP_MEASURE_ID_OVERRIDE",$C64,"DEEP_BROKER_ID_OVERRIDE",AU$24,"DEEP_PERIOD_OVERRIDE",$H$19)*1,"")))</f>
        <v/>
      </c>
      <c r="AV64" s="17" t="str">
        <f>IF(OR(AV$23="",ISNA($B64)),"",IF(ISBLANK($B64),"",IFERROR(_xll.BDP(TICKER,"DEEP_MEASURE_PERIOD_BROKER_VALUE","DEEP_MEASURE_ID_OVERRIDE",$C64,"DEEP_BROKER_ID_OVERRIDE",AV$24,"DEEP_PERIOD_OVERRIDE",$H$19)*1,"")))</f>
        <v/>
      </c>
      <c r="AW64" s="17" t="str">
        <f>IF(OR(AW$23="",ISNA($B64)),"",IF(ISBLANK($B64),"",IFERROR(_xll.BDP(TICKER,"DEEP_MEASURE_PERIOD_BROKER_VALUE","DEEP_MEASURE_ID_OVERRIDE",$C64,"DEEP_BROKER_ID_OVERRIDE",AW$24,"DEEP_PERIOD_OVERRIDE",$H$19)*1,"")))</f>
        <v/>
      </c>
      <c r="AX64" s="17" t="str">
        <f>IF(OR(AX$23="",ISNA($B64)),"",IF(ISBLANK($B64),"",IFERROR(_xll.BDP(TICKER,"DEEP_MEASURE_PERIOD_BROKER_VALUE","DEEP_MEASURE_ID_OVERRIDE",$C64,"DEEP_BROKER_ID_OVERRIDE",AX$24,"DEEP_PERIOD_OVERRIDE",$H$19)*1,"")))</f>
        <v/>
      </c>
      <c r="AY64" s="17" t="str">
        <f>IF(OR(AY$23="",ISNA($B64)),"",IF(ISBLANK($B64),"",IFERROR(_xll.BDP(TICKER,"DEEP_MEASURE_PERIOD_BROKER_VALUE","DEEP_MEASURE_ID_OVERRIDE",$C64,"DEEP_BROKER_ID_OVERRIDE",AY$24,"DEEP_PERIOD_OVERRIDE",$H$19)*1,"")))</f>
        <v/>
      </c>
      <c r="AZ64" s="17" t="str">
        <f>IF(OR(AZ$23="",ISNA($B64)),"",IF(ISBLANK($B64),"",IFERROR(_xll.BDP(TICKER,"DEEP_MEASURE_PERIOD_BROKER_VALUE","DEEP_MEASURE_ID_OVERRIDE",$C64,"DEEP_BROKER_ID_OVERRIDE",AZ$24,"DEEP_PERIOD_OVERRIDE",$H$19)*1,"")))</f>
        <v/>
      </c>
      <c r="BA64" s="17" t="str">
        <f>IF(OR(BA$23="",ISNA($B64)),"",IF(ISBLANK($B64),"",IFERROR(_xll.BDP(TICKER,"DEEP_MEASURE_PERIOD_BROKER_VALUE","DEEP_MEASURE_ID_OVERRIDE",$C64,"DEEP_BROKER_ID_OVERRIDE",BA$24,"DEEP_PERIOD_OVERRIDE",$H$19)*1,"")))</f>
        <v/>
      </c>
      <c r="BB64" s="17" t="str">
        <f>IF(OR(BB$23="",ISNA($B64)),"",IF(ISBLANK($B64),"",IFERROR(_xll.BDP(TICKER,"DEEP_MEASURE_PERIOD_BROKER_VALUE","DEEP_MEASURE_ID_OVERRIDE",$C64,"DEEP_BROKER_ID_OVERRIDE",BB$24,"DEEP_PERIOD_OVERRIDE",$H$19)*1,"")))</f>
        <v/>
      </c>
      <c r="BC64" s="17" t="str">
        <f>IF(OR(BC$23="",ISNA($B64)),"",IF(ISBLANK($B64),"",IFERROR(_xll.BDP(TICKER,"DEEP_MEASURE_PERIOD_BROKER_VALUE","DEEP_MEASURE_ID_OVERRIDE",$C64,"DEEP_BROKER_ID_OVERRIDE",BC$24,"DEEP_PERIOD_OVERRIDE",$H$19)*1,"")))</f>
        <v/>
      </c>
      <c r="BD64" s="17" t="str">
        <f>IF(OR(BD$23="",ISNA($B64)),"",IF(ISBLANK($B64),"",IFERROR(_xll.BDP(TICKER,"DEEP_MEASURE_PERIOD_BROKER_VALUE","DEEP_MEASURE_ID_OVERRIDE",$C64,"DEEP_BROKER_ID_OVERRIDE",BD$24,"DEEP_PERIOD_OVERRIDE",$H$19)*1,"")))</f>
        <v/>
      </c>
      <c r="BE64" s="17" t="str">
        <f>IF(OR(BE$23="",ISNA($B64)),"",IF(ISBLANK($B64),"",IFERROR(_xll.BDP(TICKER,"DEEP_MEASURE_PERIOD_BROKER_VALUE","DEEP_MEASURE_ID_OVERRIDE",$C64,"DEEP_BROKER_ID_OVERRIDE",BE$24,"DEEP_PERIOD_OVERRIDE",$H$19)*1,"")))</f>
        <v/>
      </c>
      <c r="BF64" s="17" t="str">
        <f>IF(OR(BF$23="",ISNA($B64)),"",IF(ISBLANK($B64),"",IFERROR(_xll.BDP(TICKER,"DEEP_MEASURE_PERIOD_BROKER_VALUE","DEEP_MEASURE_ID_OVERRIDE",$C64,"DEEP_BROKER_ID_OVERRIDE",BF$24,"DEEP_PERIOD_OVERRIDE",$H$19)*1,"")))</f>
        <v/>
      </c>
      <c r="BG64" s="17" t="str">
        <f>IF(OR(BG$23="",ISNA($B64)),"",IF(ISBLANK($B64),"",IFERROR(_xll.BDP(TICKER,"DEEP_MEASURE_PERIOD_BROKER_VALUE","DEEP_MEASURE_ID_OVERRIDE",$C64,"DEEP_BROKER_ID_OVERRIDE",BG$24,"DEEP_PERIOD_OVERRIDE",$H$19)*1,"")))</f>
        <v/>
      </c>
      <c r="BH64" s="17" t="str">
        <f>IF(OR(BH$23="",ISNA($B64)),"",IF(ISBLANK($B64),"",IFERROR(_xll.BDP(TICKER,"DEEP_MEASURE_PERIOD_BROKER_VALUE","DEEP_MEASURE_ID_OVERRIDE",$C64,"DEEP_BROKER_ID_OVERRIDE",BH$24,"DEEP_PERIOD_OVERRIDE",$H$19)*1,"")))</f>
        <v/>
      </c>
      <c r="BI64" s="17" t="str">
        <f>IF(OR(BI$23="",ISNA($B64)),"",IF(ISBLANK($B64),"",IFERROR(_xll.BDP(TICKER,"DEEP_MEASURE_PERIOD_BROKER_VALUE","DEEP_MEASURE_ID_OVERRIDE",$C64,"DEEP_BROKER_ID_OVERRIDE",BI$24,"DEEP_PERIOD_OVERRIDE",$H$19)*1,"")))</f>
        <v/>
      </c>
      <c r="BJ64" s="17" t="str">
        <f>IF(OR(BJ$23="",ISNA($B64)),"",IF(ISBLANK($B64),"",IFERROR(_xll.BDP(TICKER,"DEEP_MEASURE_PERIOD_BROKER_VALUE","DEEP_MEASURE_ID_OVERRIDE",$C64,"DEEP_BROKER_ID_OVERRIDE",BJ$24,"DEEP_PERIOD_OVERRIDE",$H$19)*1,"")))</f>
        <v/>
      </c>
      <c r="BK64" s="17" t="str">
        <f>IF(OR(BK$23="",ISNA($B64)),"",IF(ISBLANK($B64),"",IFERROR(_xll.BDP(TICKER,"DEEP_MEASURE_PERIOD_BROKER_VALUE","DEEP_MEASURE_ID_OVERRIDE",$C64,"DEEP_BROKER_ID_OVERRIDE",BK$24,"DEEP_PERIOD_OVERRIDE",$H$19)*1,"")))</f>
        <v/>
      </c>
      <c r="BL64" s="17" t="str">
        <f>IF(OR(BL$23="",ISNA($B64)),"",IF(ISBLANK($B64),"",IFERROR(_xll.BDP(TICKER,"DEEP_MEASURE_PERIOD_BROKER_VALUE","DEEP_MEASURE_ID_OVERRIDE",$C64,"DEEP_BROKER_ID_OVERRIDE",BL$24,"DEEP_PERIOD_OVERRIDE",$H$19)*1,"")))</f>
        <v/>
      </c>
      <c r="BM64" s="17" t="str">
        <f>IF(OR(BM$23="",ISNA($B64)),"",IF(ISBLANK($B64),"",IFERROR(_xll.BDP(TICKER,"DEEP_MEASURE_PERIOD_BROKER_VALUE","DEEP_MEASURE_ID_OVERRIDE",$C64,"DEEP_BROKER_ID_OVERRIDE",BM$24,"DEEP_PERIOD_OVERRIDE",$H$19)*1,"")))</f>
        <v/>
      </c>
      <c r="BN64" s="17" t="str">
        <f>IF(OR(BN$23="",ISNA($B64)),"",IF(ISBLANK($B64),"",IFERROR(_xll.BDP(TICKER,"DEEP_MEASURE_PERIOD_BROKER_VALUE","DEEP_MEASURE_ID_OVERRIDE",$C64,"DEEP_BROKER_ID_OVERRIDE",BN$24,"DEEP_PERIOD_OVERRIDE",$H$19)*1,"")))</f>
        <v/>
      </c>
      <c r="BO64" s="17" t="str">
        <f>IF(OR(BO$23="",ISNA($B64)),"",IF(ISBLANK($B64),"",IFERROR(_xll.BDP(TICKER,"DEEP_MEASURE_PERIOD_BROKER_VALUE","DEEP_MEASURE_ID_OVERRIDE",$C64,"DEEP_BROKER_ID_OVERRIDE",BO$24,"DEEP_PERIOD_OVERRIDE",$H$19)*1,"")))</f>
        <v/>
      </c>
      <c r="BP64" s="17" t="str">
        <f>IF(OR(BP$23="",ISNA($B64)),"",IF(ISBLANK($B64),"",IFERROR(_xll.BDP(TICKER,"DEEP_MEASURE_PERIOD_BROKER_VALUE","DEEP_MEASURE_ID_OVERRIDE",$C64,"DEEP_BROKER_ID_OVERRIDE",BP$24,"DEEP_PERIOD_OVERRIDE",$H$19)*1,"")))</f>
        <v/>
      </c>
      <c r="BQ64" s="17" t="str">
        <f>IF(OR(BQ$23="",ISNA($B64)),"",IF(ISBLANK($B64),"",IFERROR(_xll.BDP(TICKER,"DEEP_MEASURE_PERIOD_BROKER_VALUE","DEEP_MEASURE_ID_OVERRIDE",$C64,"DEEP_BROKER_ID_OVERRIDE",BQ$24,"DEEP_PERIOD_OVERRIDE",$H$19)*1,"")))</f>
        <v/>
      </c>
      <c r="BR64" s="17" t="str">
        <f>IF(OR(BR$23="",ISNA($B64)),"",IF(ISBLANK($B64),"",IFERROR(_xll.BDP(TICKER,"DEEP_MEASURE_PERIOD_BROKER_VALUE","DEEP_MEASURE_ID_OVERRIDE",$C64,"DEEP_BROKER_ID_OVERRIDE",BR$24,"DEEP_PERIOD_OVERRIDE",$H$19)*1,"")))</f>
        <v/>
      </c>
      <c r="BS64" s="17" t="str">
        <f>IF(OR(BS$23="",ISNA($B64)),"",IF(ISBLANK($B64),"",IFERROR(_xll.BDP(TICKER,"DEEP_MEASURE_PERIOD_BROKER_VALUE","DEEP_MEASURE_ID_OVERRIDE",$C64,"DEEP_BROKER_ID_OVERRIDE",BS$24,"DEEP_PERIOD_OVERRIDE",$H$19)*1,"")))</f>
        <v/>
      </c>
      <c r="BT64" s="17" t="str">
        <f>IF(OR(BT$23="",ISNA($B64)),"",IF(ISBLANK($B64),"",IFERROR(_xll.BDP(TICKER,"DEEP_MEASURE_PERIOD_BROKER_VALUE","DEEP_MEASURE_ID_OVERRIDE",$C64,"DEEP_BROKER_ID_OVERRIDE",BT$24,"DEEP_PERIOD_OVERRIDE",$H$19)*1,"")))</f>
        <v/>
      </c>
      <c r="BU64" s="17" t="str">
        <f>IF(OR(BU$23="",ISNA($B64)),"",IF(ISBLANK($B64),"",IFERROR(_xll.BDP(TICKER,"DEEP_MEASURE_PERIOD_BROKER_VALUE","DEEP_MEASURE_ID_OVERRIDE",$C64,"DEEP_BROKER_ID_OVERRIDE",BU$24,"DEEP_PERIOD_OVERRIDE",$H$19)*1,"")))</f>
        <v/>
      </c>
      <c r="BV64" s="17" t="str">
        <f>IF(OR(BV$23="",ISNA($B64)),"",IF(ISBLANK($B64),"",IFERROR(_xll.BDP(TICKER,"DEEP_MEASURE_PERIOD_BROKER_VALUE","DEEP_MEASURE_ID_OVERRIDE",$C64,"DEEP_BROKER_ID_OVERRIDE",BV$24,"DEEP_PERIOD_OVERRIDE",$H$19)*1,"")))</f>
        <v/>
      </c>
      <c r="BW64" s="17" t="str">
        <f>IF(OR(BW$23="",ISNA($B64)),"",IF(ISBLANK($B64),"",IFERROR(_xll.BDP(TICKER,"DEEP_MEASURE_PERIOD_BROKER_VALUE","DEEP_MEASURE_ID_OVERRIDE",$C64,"DEEP_BROKER_ID_OVERRIDE",BW$24,"DEEP_PERIOD_OVERRIDE",$H$19)*1,"")))</f>
        <v/>
      </c>
      <c r="BX64" s="17" t="str">
        <f>IF(OR(BX$23="",ISNA($B64)),"",IF(ISBLANK($B64),"",IFERROR(_xll.BDP(TICKER,"DEEP_MEASURE_PERIOD_BROKER_VALUE","DEEP_MEASURE_ID_OVERRIDE",$C64,"DEEP_BROKER_ID_OVERRIDE",BX$24,"DEEP_PERIOD_OVERRIDE",$H$19)*1,"")))</f>
        <v/>
      </c>
      <c r="BY64" s="17" t="str">
        <f>IF(OR(BY$23="",ISNA($B64)),"",IF(ISBLANK($B64),"",IFERROR(_xll.BDP(TICKER,"DEEP_MEASURE_PERIOD_BROKER_VALUE","DEEP_MEASURE_ID_OVERRIDE",$C64,"DEEP_BROKER_ID_OVERRIDE",BY$24,"DEEP_PERIOD_OVERRIDE",$H$19)*1,"")))</f>
        <v/>
      </c>
      <c r="BZ64" s="17" t="str">
        <f>IF(OR(BZ$23="",ISNA($B64)),"",IF(ISBLANK($B64),"",IFERROR(_xll.BDP(TICKER,"DEEP_MEASURE_PERIOD_BROKER_VALUE","DEEP_MEASURE_ID_OVERRIDE",$C64,"DEEP_BROKER_ID_OVERRIDE",BZ$24,"DEEP_PERIOD_OVERRIDE",$H$19)*1,"")))</f>
        <v/>
      </c>
    </row>
    <row r="65" spans="2:78" x14ac:dyDescent="0.25">
      <c r="B65" t="s">
        <v>109</v>
      </c>
      <c r="C65" s="11">
        <v>8641</v>
      </c>
      <c r="H65" t="str">
        <f t="shared" si="1"/>
        <v>Total Revenue &gt; Hotel &gt; Revenue &gt; TripAdvisor-branded Click-based &amp; Transaction &gt; Smartphone Revenue</v>
      </c>
      <c r="I65" t="str">
        <f>IF(OR(I$23="",ISNA($B65)),"",IF(ISBLANK($B65),"",IFERROR(_xll.BDP(TICKER,"DEEP_MEASURE_PERIOD_BROKER_VALUE","DEEP_MEASURE_ID_OVERRIDE",$C65,"DEEP_PERIOD_OVERRIDE",$H$19)*1,"")))</f>
        <v/>
      </c>
      <c r="J65" t="e">
        <f>IF(OR(J$23="",ISNA($B65)),"",IF(ISBLANK($B65),"",IFERROR(_xll.BDP(TICKER,"DEEP_MEASURE_PERIOD_BROKER_VALUE","DEEP_MEASURE_ID_OVERRIDE",$C65,"DEEP_BROKER_ID_OVERRIDE",J$24,"DEEP_PERIOD_OVERRIDE",$H$19)*1,"")))</f>
        <v>#REF!</v>
      </c>
      <c r="K65" s="17" t="str">
        <f>IF(OR(K$23="",ISNA($B65)),"",IF(ISBLANK($B65),"",IFERROR(_xll.BDP(TICKER,"DEEP_MEASURE_PERIOD_BROKER_VALUE","DEEP_MEASURE_ID_OVERRIDE",$C65,"DEEP_BROKER_ID_OVERRIDE",K$24,"DEEP_PERIOD_OVERRIDE",$H$19)*1,"")))</f>
        <v/>
      </c>
      <c r="L65" s="17" t="str">
        <f>IF(OR(L$23="",ISNA($B65)),"",IF(ISBLANK($B65),"",IFERROR(_xll.BDP(TICKER,"DEEP_MEASURE_PERIOD_BROKER_VALUE","DEEP_MEASURE_ID_OVERRIDE",$C65,"DEEP_BROKER_ID_OVERRIDE",L$24,"DEEP_PERIOD_OVERRIDE",$H$19)*1,"")))</f>
        <v/>
      </c>
      <c r="M65" s="17" t="str">
        <f>IF(OR(M$23="",ISNA($B65)),"",IF(ISBLANK($B65),"",IFERROR(_xll.BDP(TICKER,"DEEP_MEASURE_PERIOD_BROKER_VALUE","DEEP_MEASURE_ID_OVERRIDE",$C65,"DEEP_BROKER_ID_OVERRIDE",M$24,"DEEP_PERIOD_OVERRIDE",$H$19)*1,"")))</f>
        <v/>
      </c>
      <c r="N65" s="17" t="str">
        <f>IF(OR(N$23="",ISNA($B65)),"",IF(ISBLANK($B65),"",IFERROR(_xll.BDP(TICKER,"DEEP_MEASURE_PERIOD_BROKER_VALUE","DEEP_MEASURE_ID_OVERRIDE",$C65,"DEEP_BROKER_ID_OVERRIDE",N$24,"DEEP_PERIOD_OVERRIDE",$H$19)*1,"")))</f>
        <v/>
      </c>
      <c r="O65" s="17" t="str">
        <f>IF(OR(O$23="",ISNA($B65)),"",IF(ISBLANK($B65),"",IFERROR(_xll.BDP(TICKER,"DEEP_MEASURE_PERIOD_BROKER_VALUE","DEEP_MEASURE_ID_OVERRIDE",$C65,"DEEP_BROKER_ID_OVERRIDE",O$24,"DEEP_PERIOD_OVERRIDE",$H$19)*1,"")))</f>
        <v/>
      </c>
      <c r="P65" s="17" t="str">
        <f>IF(OR(P$23="",ISNA($B65)),"",IF(ISBLANK($B65),"",IFERROR(_xll.BDP(TICKER,"DEEP_MEASURE_PERIOD_BROKER_VALUE","DEEP_MEASURE_ID_OVERRIDE",$C65,"DEEP_BROKER_ID_OVERRIDE",P$24,"DEEP_PERIOD_OVERRIDE",$H$19)*1,"")))</f>
        <v/>
      </c>
      <c r="Q65" s="17" t="str">
        <f>IF(OR(Q$23="",ISNA($B65)),"",IF(ISBLANK($B65),"",IFERROR(_xll.BDP(TICKER,"DEEP_MEASURE_PERIOD_BROKER_VALUE","DEEP_MEASURE_ID_OVERRIDE",$C65,"DEEP_BROKER_ID_OVERRIDE",Q$24,"DEEP_PERIOD_OVERRIDE",$H$19)*1,"")))</f>
        <v/>
      </c>
      <c r="R65" s="17" t="str">
        <f>IF(OR(R$23="",ISNA($B65)),"",IF(ISBLANK($B65),"",IFERROR(_xll.BDP(TICKER,"DEEP_MEASURE_PERIOD_BROKER_VALUE","DEEP_MEASURE_ID_OVERRIDE",$C65,"DEEP_BROKER_ID_OVERRIDE",R$24,"DEEP_PERIOD_OVERRIDE",$H$19)*1,"")))</f>
        <v/>
      </c>
      <c r="S65" s="17" t="str">
        <f>IF(OR(S$23="",ISNA($B65)),"",IF(ISBLANK($B65),"",IFERROR(_xll.BDP(TICKER,"DEEP_MEASURE_PERIOD_BROKER_VALUE","DEEP_MEASURE_ID_OVERRIDE",$C65,"DEEP_BROKER_ID_OVERRIDE",S$24,"DEEP_PERIOD_OVERRIDE",$H$19)*1,"")))</f>
        <v/>
      </c>
      <c r="T65" s="17" t="str">
        <f>IF(OR(T$23="",ISNA($B65)),"",IF(ISBLANK($B65),"",IFERROR(_xll.BDP(TICKER,"DEEP_MEASURE_PERIOD_BROKER_VALUE","DEEP_MEASURE_ID_OVERRIDE",$C65,"DEEP_BROKER_ID_OVERRIDE",T$24,"DEEP_PERIOD_OVERRIDE",$H$19)*1,"")))</f>
        <v/>
      </c>
      <c r="U65" s="17" t="str">
        <f>IF(OR(U$23="",ISNA($B65)),"",IF(ISBLANK($B65),"",IFERROR(_xll.BDP(TICKER,"DEEP_MEASURE_PERIOD_BROKER_VALUE","DEEP_MEASURE_ID_OVERRIDE",$C65,"DEEP_BROKER_ID_OVERRIDE",U$24,"DEEP_PERIOD_OVERRIDE",$H$19)*1,"")))</f>
        <v/>
      </c>
      <c r="V65" s="17" t="str">
        <f>IF(OR(V$23="",ISNA($B65)),"",IF(ISBLANK($B65),"",IFERROR(_xll.BDP(TICKER,"DEEP_MEASURE_PERIOD_BROKER_VALUE","DEEP_MEASURE_ID_OVERRIDE",$C65,"DEEP_BROKER_ID_OVERRIDE",V$24,"DEEP_PERIOD_OVERRIDE",$H$19)*1,"")))</f>
        <v/>
      </c>
      <c r="W65" s="17" t="str">
        <f>IF(OR(W$23="",ISNA($B65)),"",IF(ISBLANK($B65),"",IFERROR(_xll.BDP(TICKER,"DEEP_MEASURE_PERIOD_BROKER_VALUE","DEEP_MEASURE_ID_OVERRIDE",$C65,"DEEP_BROKER_ID_OVERRIDE",W$24,"DEEP_PERIOD_OVERRIDE",$H$19)*1,"")))</f>
        <v/>
      </c>
      <c r="X65" s="17" t="str">
        <f>IF(OR(X$23="",ISNA($B65)),"",IF(ISBLANK($B65),"",IFERROR(_xll.BDP(TICKER,"DEEP_MEASURE_PERIOD_BROKER_VALUE","DEEP_MEASURE_ID_OVERRIDE",$C65,"DEEP_BROKER_ID_OVERRIDE",X$24,"DEEP_PERIOD_OVERRIDE",$H$19)*1,"")))</f>
        <v/>
      </c>
      <c r="Y65" s="17" t="str">
        <f>IF(OR(Y$23="",ISNA($B65)),"",IF(ISBLANK($B65),"",IFERROR(_xll.BDP(TICKER,"DEEP_MEASURE_PERIOD_BROKER_VALUE","DEEP_MEASURE_ID_OVERRIDE",$C65,"DEEP_BROKER_ID_OVERRIDE",Y$24,"DEEP_PERIOD_OVERRIDE",$H$19)*1,"")))</f>
        <v/>
      </c>
      <c r="Z65" s="17" t="str">
        <f>IF(OR(Z$23="",ISNA($B65)),"",IF(ISBLANK($B65),"",IFERROR(_xll.BDP(TICKER,"DEEP_MEASURE_PERIOD_BROKER_VALUE","DEEP_MEASURE_ID_OVERRIDE",$C65,"DEEP_BROKER_ID_OVERRIDE",Z$24,"DEEP_PERIOD_OVERRIDE",$H$19)*1,"")))</f>
        <v/>
      </c>
      <c r="AA65" s="17" t="str">
        <f>IF(OR(AA$23="",ISNA($B65)),"",IF(ISBLANK($B65),"",IFERROR(_xll.BDP(TICKER,"DEEP_MEASURE_PERIOD_BROKER_VALUE","DEEP_MEASURE_ID_OVERRIDE",$C65,"DEEP_BROKER_ID_OVERRIDE",AA$24,"DEEP_PERIOD_OVERRIDE",$H$19)*1,"")))</f>
        <v/>
      </c>
      <c r="AB65" s="17" t="str">
        <f>IF(OR(AB$23="",ISNA($B65)),"",IF(ISBLANK($B65),"",IFERROR(_xll.BDP(TICKER,"DEEP_MEASURE_PERIOD_BROKER_VALUE","DEEP_MEASURE_ID_OVERRIDE",$C65,"DEEP_BROKER_ID_OVERRIDE",AB$24,"DEEP_PERIOD_OVERRIDE",$H$19)*1,"")))</f>
        <v/>
      </c>
      <c r="AC65" s="17" t="str">
        <f>IF(OR(AC$23="",ISNA($B65)),"",IF(ISBLANK($B65),"",IFERROR(_xll.BDP(TICKER,"DEEP_MEASURE_PERIOD_BROKER_VALUE","DEEP_MEASURE_ID_OVERRIDE",$C65,"DEEP_BROKER_ID_OVERRIDE",AC$24,"DEEP_PERIOD_OVERRIDE",$H$19)*1,"")))</f>
        <v/>
      </c>
      <c r="AD65" s="17" t="str">
        <f>IF(OR(AD$23="",ISNA($B65)),"",IF(ISBLANK($B65),"",IFERROR(_xll.BDP(TICKER,"DEEP_MEASURE_PERIOD_BROKER_VALUE","DEEP_MEASURE_ID_OVERRIDE",$C65,"DEEP_BROKER_ID_OVERRIDE",AD$24,"DEEP_PERIOD_OVERRIDE",$H$19)*1,"")))</f>
        <v/>
      </c>
      <c r="AE65" s="17" t="str">
        <f>IF(OR(AE$23="",ISNA($B65)),"",IF(ISBLANK($B65),"",IFERROR(_xll.BDP(TICKER,"DEEP_MEASURE_PERIOD_BROKER_VALUE","DEEP_MEASURE_ID_OVERRIDE",$C65,"DEEP_BROKER_ID_OVERRIDE",AE$24,"DEEP_PERIOD_OVERRIDE",$H$19)*1,"")))</f>
        <v/>
      </c>
      <c r="AF65" s="17" t="str">
        <f>IF(OR(AF$23="",ISNA($B65)),"",IF(ISBLANK($B65),"",IFERROR(_xll.BDP(TICKER,"DEEP_MEASURE_PERIOD_BROKER_VALUE","DEEP_MEASURE_ID_OVERRIDE",$C65,"DEEP_BROKER_ID_OVERRIDE",AF$24,"DEEP_PERIOD_OVERRIDE",$H$19)*1,"")))</f>
        <v/>
      </c>
      <c r="AG65" s="17" t="str">
        <f>IF(OR(AG$23="",ISNA($B65)),"",IF(ISBLANK($B65),"",IFERROR(_xll.BDP(TICKER,"DEEP_MEASURE_PERIOD_BROKER_VALUE","DEEP_MEASURE_ID_OVERRIDE",$C65,"DEEP_BROKER_ID_OVERRIDE",AG$24,"DEEP_PERIOD_OVERRIDE",$H$19)*1,"")))</f>
        <v/>
      </c>
      <c r="AH65" s="17" t="str">
        <f>IF(OR(AH$23="",ISNA($B65)),"",IF(ISBLANK($B65),"",IFERROR(_xll.BDP(TICKER,"DEEP_MEASURE_PERIOD_BROKER_VALUE","DEEP_MEASURE_ID_OVERRIDE",$C65,"DEEP_BROKER_ID_OVERRIDE",AH$24,"DEEP_PERIOD_OVERRIDE",$H$19)*1,"")))</f>
        <v/>
      </c>
      <c r="AI65" s="17" t="str">
        <f>IF(OR(AI$23="",ISNA($B65)),"",IF(ISBLANK($B65),"",IFERROR(_xll.BDP(TICKER,"DEEP_MEASURE_PERIOD_BROKER_VALUE","DEEP_MEASURE_ID_OVERRIDE",$C65,"DEEP_BROKER_ID_OVERRIDE",AI$24,"DEEP_PERIOD_OVERRIDE",$H$19)*1,"")))</f>
        <v/>
      </c>
      <c r="AJ65" s="17" t="str">
        <f>IF(OR(AJ$23="",ISNA($B65)),"",IF(ISBLANK($B65),"",IFERROR(_xll.BDP(TICKER,"DEEP_MEASURE_PERIOD_BROKER_VALUE","DEEP_MEASURE_ID_OVERRIDE",$C65,"DEEP_BROKER_ID_OVERRIDE",AJ$24,"DEEP_PERIOD_OVERRIDE",$H$19)*1,"")))</f>
        <v/>
      </c>
      <c r="AK65" s="17" t="str">
        <f>IF(OR(AK$23="",ISNA($B65)),"",IF(ISBLANK($B65),"",IFERROR(_xll.BDP(TICKER,"DEEP_MEASURE_PERIOD_BROKER_VALUE","DEEP_MEASURE_ID_OVERRIDE",$C65,"DEEP_BROKER_ID_OVERRIDE",AK$24,"DEEP_PERIOD_OVERRIDE",$H$19)*1,"")))</f>
        <v/>
      </c>
      <c r="AL65" s="17" t="str">
        <f>IF(OR(AL$23="",ISNA($B65)),"",IF(ISBLANK($B65),"",IFERROR(_xll.BDP(TICKER,"DEEP_MEASURE_PERIOD_BROKER_VALUE","DEEP_MEASURE_ID_OVERRIDE",$C65,"DEEP_BROKER_ID_OVERRIDE",AL$24,"DEEP_PERIOD_OVERRIDE",$H$19)*1,"")))</f>
        <v/>
      </c>
      <c r="AM65" s="17" t="str">
        <f>IF(OR(AM$23="",ISNA($B65)),"",IF(ISBLANK($B65),"",IFERROR(_xll.BDP(TICKER,"DEEP_MEASURE_PERIOD_BROKER_VALUE","DEEP_MEASURE_ID_OVERRIDE",$C65,"DEEP_BROKER_ID_OVERRIDE",AM$24,"DEEP_PERIOD_OVERRIDE",$H$19)*1,"")))</f>
        <v/>
      </c>
      <c r="AN65" s="17" t="str">
        <f>IF(OR(AN$23="",ISNA($B65)),"",IF(ISBLANK($B65),"",IFERROR(_xll.BDP(TICKER,"DEEP_MEASURE_PERIOD_BROKER_VALUE","DEEP_MEASURE_ID_OVERRIDE",$C65,"DEEP_BROKER_ID_OVERRIDE",AN$24,"DEEP_PERIOD_OVERRIDE",$H$19)*1,"")))</f>
        <v/>
      </c>
      <c r="AO65" s="17" t="str">
        <f>IF(OR(AO$23="",ISNA($B65)),"",IF(ISBLANK($B65),"",IFERROR(_xll.BDP(TICKER,"DEEP_MEASURE_PERIOD_BROKER_VALUE","DEEP_MEASURE_ID_OVERRIDE",$C65,"DEEP_BROKER_ID_OVERRIDE",AO$24,"DEEP_PERIOD_OVERRIDE",$H$19)*1,"")))</f>
        <v/>
      </c>
      <c r="AP65" s="17" t="str">
        <f>IF(OR(AP$23="",ISNA($B65)),"",IF(ISBLANK($B65),"",IFERROR(_xll.BDP(TICKER,"DEEP_MEASURE_PERIOD_BROKER_VALUE","DEEP_MEASURE_ID_OVERRIDE",$C65,"DEEP_BROKER_ID_OVERRIDE",AP$24,"DEEP_PERIOD_OVERRIDE",$H$19)*1,"")))</f>
        <v/>
      </c>
      <c r="AQ65" s="17" t="str">
        <f>IF(OR(AQ$23="",ISNA($B65)),"",IF(ISBLANK($B65),"",IFERROR(_xll.BDP(TICKER,"DEEP_MEASURE_PERIOD_BROKER_VALUE","DEEP_MEASURE_ID_OVERRIDE",$C65,"DEEP_BROKER_ID_OVERRIDE",AQ$24,"DEEP_PERIOD_OVERRIDE",$H$19)*1,"")))</f>
        <v/>
      </c>
      <c r="AR65" s="17" t="str">
        <f>IF(OR(AR$23="",ISNA($B65)),"",IF(ISBLANK($B65),"",IFERROR(_xll.BDP(TICKER,"DEEP_MEASURE_PERIOD_BROKER_VALUE","DEEP_MEASURE_ID_OVERRIDE",$C65,"DEEP_BROKER_ID_OVERRIDE",AR$24,"DEEP_PERIOD_OVERRIDE",$H$19)*1,"")))</f>
        <v/>
      </c>
      <c r="AS65" s="17" t="str">
        <f>IF(OR(AS$23="",ISNA($B65)),"",IF(ISBLANK($B65),"",IFERROR(_xll.BDP(TICKER,"DEEP_MEASURE_PERIOD_BROKER_VALUE","DEEP_MEASURE_ID_OVERRIDE",$C65,"DEEP_BROKER_ID_OVERRIDE",AS$24,"DEEP_PERIOD_OVERRIDE",$H$19)*1,"")))</f>
        <v/>
      </c>
      <c r="AT65" s="17" t="str">
        <f>IF(OR(AT$23="",ISNA($B65)),"",IF(ISBLANK($B65),"",IFERROR(_xll.BDP(TICKER,"DEEP_MEASURE_PERIOD_BROKER_VALUE","DEEP_MEASURE_ID_OVERRIDE",$C65,"DEEP_BROKER_ID_OVERRIDE",AT$24,"DEEP_PERIOD_OVERRIDE",$H$19)*1,"")))</f>
        <v/>
      </c>
      <c r="AU65" s="17" t="str">
        <f>IF(OR(AU$23="",ISNA($B65)),"",IF(ISBLANK($B65),"",IFERROR(_xll.BDP(TICKER,"DEEP_MEASURE_PERIOD_BROKER_VALUE","DEEP_MEASURE_ID_OVERRIDE",$C65,"DEEP_BROKER_ID_OVERRIDE",AU$24,"DEEP_PERIOD_OVERRIDE",$H$19)*1,"")))</f>
        <v/>
      </c>
      <c r="AV65" s="17" t="str">
        <f>IF(OR(AV$23="",ISNA($B65)),"",IF(ISBLANK($B65),"",IFERROR(_xll.BDP(TICKER,"DEEP_MEASURE_PERIOD_BROKER_VALUE","DEEP_MEASURE_ID_OVERRIDE",$C65,"DEEP_BROKER_ID_OVERRIDE",AV$24,"DEEP_PERIOD_OVERRIDE",$H$19)*1,"")))</f>
        <v/>
      </c>
      <c r="AW65" s="17" t="str">
        <f>IF(OR(AW$23="",ISNA($B65)),"",IF(ISBLANK($B65),"",IFERROR(_xll.BDP(TICKER,"DEEP_MEASURE_PERIOD_BROKER_VALUE","DEEP_MEASURE_ID_OVERRIDE",$C65,"DEEP_BROKER_ID_OVERRIDE",AW$24,"DEEP_PERIOD_OVERRIDE",$H$19)*1,"")))</f>
        <v/>
      </c>
      <c r="AX65" s="17" t="str">
        <f>IF(OR(AX$23="",ISNA($B65)),"",IF(ISBLANK($B65),"",IFERROR(_xll.BDP(TICKER,"DEEP_MEASURE_PERIOD_BROKER_VALUE","DEEP_MEASURE_ID_OVERRIDE",$C65,"DEEP_BROKER_ID_OVERRIDE",AX$24,"DEEP_PERIOD_OVERRIDE",$H$19)*1,"")))</f>
        <v/>
      </c>
      <c r="AY65" s="17" t="str">
        <f>IF(OR(AY$23="",ISNA($B65)),"",IF(ISBLANK($B65),"",IFERROR(_xll.BDP(TICKER,"DEEP_MEASURE_PERIOD_BROKER_VALUE","DEEP_MEASURE_ID_OVERRIDE",$C65,"DEEP_BROKER_ID_OVERRIDE",AY$24,"DEEP_PERIOD_OVERRIDE",$H$19)*1,"")))</f>
        <v/>
      </c>
      <c r="AZ65" s="17" t="str">
        <f>IF(OR(AZ$23="",ISNA($B65)),"",IF(ISBLANK($B65),"",IFERROR(_xll.BDP(TICKER,"DEEP_MEASURE_PERIOD_BROKER_VALUE","DEEP_MEASURE_ID_OVERRIDE",$C65,"DEEP_BROKER_ID_OVERRIDE",AZ$24,"DEEP_PERIOD_OVERRIDE",$H$19)*1,"")))</f>
        <v/>
      </c>
      <c r="BA65" s="17" t="str">
        <f>IF(OR(BA$23="",ISNA($B65)),"",IF(ISBLANK($B65),"",IFERROR(_xll.BDP(TICKER,"DEEP_MEASURE_PERIOD_BROKER_VALUE","DEEP_MEASURE_ID_OVERRIDE",$C65,"DEEP_BROKER_ID_OVERRIDE",BA$24,"DEEP_PERIOD_OVERRIDE",$H$19)*1,"")))</f>
        <v/>
      </c>
      <c r="BB65" s="17" t="str">
        <f>IF(OR(BB$23="",ISNA($B65)),"",IF(ISBLANK($B65),"",IFERROR(_xll.BDP(TICKER,"DEEP_MEASURE_PERIOD_BROKER_VALUE","DEEP_MEASURE_ID_OVERRIDE",$C65,"DEEP_BROKER_ID_OVERRIDE",BB$24,"DEEP_PERIOD_OVERRIDE",$H$19)*1,"")))</f>
        <v/>
      </c>
      <c r="BC65" s="17" t="str">
        <f>IF(OR(BC$23="",ISNA($B65)),"",IF(ISBLANK($B65),"",IFERROR(_xll.BDP(TICKER,"DEEP_MEASURE_PERIOD_BROKER_VALUE","DEEP_MEASURE_ID_OVERRIDE",$C65,"DEEP_BROKER_ID_OVERRIDE",BC$24,"DEEP_PERIOD_OVERRIDE",$H$19)*1,"")))</f>
        <v/>
      </c>
      <c r="BD65" s="17" t="str">
        <f>IF(OR(BD$23="",ISNA($B65)),"",IF(ISBLANK($B65),"",IFERROR(_xll.BDP(TICKER,"DEEP_MEASURE_PERIOD_BROKER_VALUE","DEEP_MEASURE_ID_OVERRIDE",$C65,"DEEP_BROKER_ID_OVERRIDE",BD$24,"DEEP_PERIOD_OVERRIDE",$H$19)*1,"")))</f>
        <v/>
      </c>
      <c r="BE65" s="17" t="str">
        <f>IF(OR(BE$23="",ISNA($B65)),"",IF(ISBLANK($B65),"",IFERROR(_xll.BDP(TICKER,"DEEP_MEASURE_PERIOD_BROKER_VALUE","DEEP_MEASURE_ID_OVERRIDE",$C65,"DEEP_BROKER_ID_OVERRIDE",BE$24,"DEEP_PERIOD_OVERRIDE",$H$19)*1,"")))</f>
        <v/>
      </c>
      <c r="BF65" s="17" t="str">
        <f>IF(OR(BF$23="",ISNA($B65)),"",IF(ISBLANK($B65),"",IFERROR(_xll.BDP(TICKER,"DEEP_MEASURE_PERIOD_BROKER_VALUE","DEEP_MEASURE_ID_OVERRIDE",$C65,"DEEP_BROKER_ID_OVERRIDE",BF$24,"DEEP_PERIOD_OVERRIDE",$H$19)*1,"")))</f>
        <v/>
      </c>
      <c r="BG65" s="17" t="str">
        <f>IF(OR(BG$23="",ISNA($B65)),"",IF(ISBLANK($B65),"",IFERROR(_xll.BDP(TICKER,"DEEP_MEASURE_PERIOD_BROKER_VALUE","DEEP_MEASURE_ID_OVERRIDE",$C65,"DEEP_BROKER_ID_OVERRIDE",BG$24,"DEEP_PERIOD_OVERRIDE",$H$19)*1,"")))</f>
        <v/>
      </c>
      <c r="BH65" s="17" t="str">
        <f>IF(OR(BH$23="",ISNA($B65)),"",IF(ISBLANK($B65),"",IFERROR(_xll.BDP(TICKER,"DEEP_MEASURE_PERIOD_BROKER_VALUE","DEEP_MEASURE_ID_OVERRIDE",$C65,"DEEP_BROKER_ID_OVERRIDE",BH$24,"DEEP_PERIOD_OVERRIDE",$H$19)*1,"")))</f>
        <v/>
      </c>
      <c r="BI65" s="17" t="str">
        <f>IF(OR(BI$23="",ISNA($B65)),"",IF(ISBLANK($B65),"",IFERROR(_xll.BDP(TICKER,"DEEP_MEASURE_PERIOD_BROKER_VALUE","DEEP_MEASURE_ID_OVERRIDE",$C65,"DEEP_BROKER_ID_OVERRIDE",BI$24,"DEEP_PERIOD_OVERRIDE",$H$19)*1,"")))</f>
        <v/>
      </c>
      <c r="BJ65" s="17" t="str">
        <f>IF(OR(BJ$23="",ISNA($B65)),"",IF(ISBLANK($B65),"",IFERROR(_xll.BDP(TICKER,"DEEP_MEASURE_PERIOD_BROKER_VALUE","DEEP_MEASURE_ID_OVERRIDE",$C65,"DEEP_BROKER_ID_OVERRIDE",BJ$24,"DEEP_PERIOD_OVERRIDE",$H$19)*1,"")))</f>
        <v/>
      </c>
      <c r="BK65" s="17" t="str">
        <f>IF(OR(BK$23="",ISNA($B65)),"",IF(ISBLANK($B65),"",IFERROR(_xll.BDP(TICKER,"DEEP_MEASURE_PERIOD_BROKER_VALUE","DEEP_MEASURE_ID_OVERRIDE",$C65,"DEEP_BROKER_ID_OVERRIDE",BK$24,"DEEP_PERIOD_OVERRIDE",$H$19)*1,"")))</f>
        <v/>
      </c>
      <c r="BL65" s="17" t="str">
        <f>IF(OR(BL$23="",ISNA($B65)),"",IF(ISBLANK($B65),"",IFERROR(_xll.BDP(TICKER,"DEEP_MEASURE_PERIOD_BROKER_VALUE","DEEP_MEASURE_ID_OVERRIDE",$C65,"DEEP_BROKER_ID_OVERRIDE",BL$24,"DEEP_PERIOD_OVERRIDE",$H$19)*1,"")))</f>
        <v/>
      </c>
      <c r="BM65" s="17" t="str">
        <f>IF(OR(BM$23="",ISNA($B65)),"",IF(ISBLANK($B65),"",IFERROR(_xll.BDP(TICKER,"DEEP_MEASURE_PERIOD_BROKER_VALUE","DEEP_MEASURE_ID_OVERRIDE",$C65,"DEEP_BROKER_ID_OVERRIDE",BM$24,"DEEP_PERIOD_OVERRIDE",$H$19)*1,"")))</f>
        <v/>
      </c>
      <c r="BN65" s="17" t="str">
        <f>IF(OR(BN$23="",ISNA($B65)),"",IF(ISBLANK($B65),"",IFERROR(_xll.BDP(TICKER,"DEEP_MEASURE_PERIOD_BROKER_VALUE","DEEP_MEASURE_ID_OVERRIDE",$C65,"DEEP_BROKER_ID_OVERRIDE",BN$24,"DEEP_PERIOD_OVERRIDE",$H$19)*1,"")))</f>
        <v/>
      </c>
      <c r="BO65" s="17" t="str">
        <f>IF(OR(BO$23="",ISNA($B65)),"",IF(ISBLANK($B65),"",IFERROR(_xll.BDP(TICKER,"DEEP_MEASURE_PERIOD_BROKER_VALUE","DEEP_MEASURE_ID_OVERRIDE",$C65,"DEEP_BROKER_ID_OVERRIDE",BO$24,"DEEP_PERIOD_OVERRIDE",$H$19)*1,"")))</f>
        <v/>
      </c>
      <c r="BP65" s="17" t="str">
        <f>IF(OR(BP$23="",ISNA($B65)),"",IF(ISBLANK($B65),"",IFERROR(_xll.BDP(TICKER,"DEEP_MEASURE_PERIOD_BROKER_VALUE","DEEP_MEASURE_ID_OVERRIDE",$C65,"DEEP_BROKER_ID_OVERRIDE",BP$24,"DEEP_PERIOD_OVERRIDE",$H$19)*1,"")))</f>
        <v/>
      </c>
      <c r="BQ65" s="17" t="str">
        <f>IF(OR(BQ$23="",ISNA($B65)),"",IF(ISBLANK($B65),"",IFERROR(_xll.BDP(TICKER,"DEEP_MEASURE_PERIOD_BROKER_VALUE","DEEP_MEASURE_ID_OVERRIDE",$C65,"DEEP_BROKER_ID_OVERRIDE",BQ$24,"DEEP_PERIOD_OVERRIDE",$H$19)*1,"")))</f>
        <v/>
      </c>
      <c r="BR65" s="17" t="str">
        <f>IF(OR(BR$23="",ISNA($B65)),"",IF(ISBLANK($B65),"",IFERROR(_xll.BDP(TICKER,"DEEP_MEASURE_PERIOD_BROKER_VALUE","DEEP_MEASURE_ID_OVERRIDE",$C65,"DEEP_BROKER_ID_OVERRIDE",BR$24,"DEEP_PERIOD_OVERRIDE",$H$19)*1,"")))</f>
        <v/>
      </c>
      <c r="BS65" s="17" t="str">
        <f>IF(OR(BS$23="",ISNA($B65)),"",IF(ISBLANK($B65),"",IFERROR(_xll.BDP(TICKER,"DEEP_MEASURE_PERIOD_BROKER_VALUE","DEEP_MEASURE_ID_OVERRIDE",$C65,"DEEP_BROKER_ID_OVERRIDE",BS$24,"DEEP_PERIOD_OVERRIDE",$H$19)*1,"")))</f>
        <v/>
      </c>
      <c r="BT65" s="17" t="str">
        <f>IF(OR(BT$23="",ISNA($B65)),"",IF(ISBLANK($B65),"",IFERROR(_xll.BDP(TICKER,"DEEP_MEASURE_PERIOD_BROKER_VALUE","DEEP_MEASURE_ID_OVERRIDE",$C65,"DEEP_BROKER_ID_OVERRIDE",BT$24,"DEEP_PERIOD_OVERRIDE",$H$19)*1,"")))</f>
        <v/>
      </c>
      <c r="BU65" s="17" t="str">
        <f>IF(OR(BU$23="",ISNA($B65)),"",IF(ISBLANK($B65),"",IFERROR(_xll.BDP(TICKER,"DEEP_MEASURE_PERIOD_BROKER_VALUE","DEEP_MEASURE_ID_OVERRIDE",$C65,"DEEP_BROKER_ID_OVERRIDE",BU$24,"DEEP_PERIOD_OVERRIDE",$H$19)*1,"")))</f>
        <v/>
      </c>
      <c r="BV65" s="17" t="str">
        <f>IF(OR(BV$23="",ISNA($B65)),"",IF(ISBLANK($B65),"",IFERROR(_xll.BDP(TICKER,"DEEP_MEASURE_PERIOD_BROKER_VALUE","DEEP_MEASURE_ID_OVERRIDE",$C65,"DEEP_BROKER_ID_OVERRIDE",BV$24,"DEEP_PERIOD_OVERRIDE",$H$19)*1,"")))</f>
        <v/>
      </c>
      <c r="BW65" s="17" t="str">
        <f>IF(OR(BW$23="",ISNA($B65)),"",IF(ISBLANK($B65),"",IFERROR(_xll.BDP(TICKER,"DEEP_MEASURE_PERIOD_BROKER_VALUE","DEEP_MEASURE_ID_OVERRIDE",$C65,"DEEP_BROKER_ID_OVERRIDE",BW$24,"DEEP_PERIOD_OVERRIDE",$H$19)*1,"")))</f>
        <v/>
      </c>
      <c r="BX65" s="17" t="str">
        <f>IF(OR(BX$23="",ISNA($B65)),"",IF(ISBLANK($B65),"",IFERROR(_xll.BDP(TICKER,"DEEP_MEASURE_PERIOD_BROKER_VALUE","DEEP_MEASURE_ID_OVERRIDE",$C65,"DEEP_BROKER_ID_OVERRIDE",BX$24,"DEEP_PERIOD_OVERRIDE",$H$19)*1,"")))</f>
        <v/>
      </c>
      <c r="BY65" s="17" t="str">
        <f>IF(OR(BY$23="",ISNA($B65)),"",IF(ISBLANK($B65),"",IFERROR(_xll.BDP(TICKER,"DEEP_MEASURE_PERIOD_BROKER_VALUE","DEEP_MEASURE_ID_OVERRIDE",$C65,"DEEP_BROKER_ID_OVERRIDE",BY$24,"DEEP_PERIOD_OVERRIDE",$H$19)*1,"")))</f>
        <v/>
      </c>
      <c r="BZ65" s="17" t="str">
        <f>IF(OR(BZ$23="",ISNA($B65)),"",IF(ISBLANK($B65),"",IFERROR(_xll.BDP(TICKER,"DEEP_MEASURE_PERIOD_BROKER_VALUE","DEEP_MEASURE_ID_OVERRIDE",$C65,"DEEP_BROKER_ID_OVERRIDE",BZ$24,"DEEP_PERIOD_OVERRIDE",$H$19)*1,"")))</f>
        <v/>
      </c>
    </row>
    <row r="66" spans="2:78" x14ac:dyDescent="0.25">
      <c r="B66" t="s">
        <v>110</v>
      </c>
      <c r="C66">
        <v>5004</v>
      </c>
      <c r="H66" t="str">
        <f t="shared" si="1"/>
        <v>Total Revenue &gt; Hotel &gt; Revenue &gt; TripAdvisor-branded Click-based &amp; Transaction &gt; Desktop Revenue</v>
      </c>
      <c r="I66" t="str">
        <f>IF(OR(I$23="",ISNA($B66)),"",IF(ISBLANK($B66),"",IFERROR(_xll.BDP(TICKER,"DEEP_MEASURE_PERIOD_BROKER_VALUE","DEEP_MEASURE_ID_OVERRIDE",$C66,"DEEP_PERIOD_OVERRIDE",$H$19)*1,"")))</f>
        <v/>
      </c>
      <c r="J66" t="e">
        <f>IF(OR(J$23="",ISNA($B66)),"",IF(ISBLANK($B66),"",IFERROR(_xll.BDP(TICKER,"DEEP_MEASURE_PERIOD_BROKER_VALUE","DEEP_MEASURE_ID_OVERRIDE",$C66,"DEEP_BROKER_ID_OVERRIDE",J$24,"DEEP_PERIOD_OVERRIDE",$H$19)*1,"")))</f>
        <v>#REF!</v>
      </c>
      <c r="K66" s="17" t="str">
        <f>IF(OR(K$23="",ISNA($B66)),"",IF(ISBLANK($B66),"",IFERROR(_xll.BDP(TICKER,"DEEP_MEASURE_PERIOD_BROKER_VALUE","DEEP_MEASURE_ID_OVERRIDE",$C66,"DEEP_BROKER_ID_OVERRIDE",K$24,"DEEP_PERIOD_OVERRIDE",$H$19)*1,"")))</f>
        <v/>
      </c>
      <c r="L66" s="17" t="str">
        <f>IF(OR(L$23="",ISNA($B66)),"",IF(ISBLANK($B66),"",IFERROR(_xll.BDP(TICKER,"DEEP_MEASURE_PERIOD_BROKER_VALUE","DEEP_MEASURE_ID_OVERRIDE",$C66,"DEEP_BROKER_ID_OVERRIDE",L$24,"DEEP_PERIOD_OVERRIDE",$H$19)*1,"")))</f>
        <v/>
      </c>
      <c r="M66" s="17" t="str">
        <f>IF(OR(M$23="",ISNA($B66)),"",IF(ISBLANK($B66),"",IFERROR(_xll.BDP(TICKER,"DEEP_MEASURE_PERIOD_BROKER_VALUE","DEEP_MEASURE_ID_OVERRIDE",$C66,"DEEP_BROKER_ID_OVERRIDE",M$24,"DEEP_PERIOD_OVERRIDE",$H$19)*1,"")))</f>
        <v/>
      </c>
      <c r="N66" s="17" t="str">
        <f>IF(OR(N$23="",ISNA($B66)),"",IF(ISBLANK($B66),"",IFERROR(_xll.BDP(TICKER,"DEEP_MEASURE_PERIOD_BROKER_VALUE","DEEP_MEASURE_ID_OVERRIDE",$C66,"DEEP_BROKER_ID_OVERRIDE",N$24,"DEEP_PERIOD_OVERRIDE",$H$19)*1,"")))</f>
        <v/>
      </c>
      <c r="O66" s="17" t="str">
        <f>IF(OR(O$23="",ISNA($B66)),"",IF(ISBLANK($B66),"",IFERROR(_xll.BDP(TICKER,"DEEP_MEASURE_PERIOD_BROKER_VALUE","DEEP_MEASURE_ID_OVERRIDE",$C66,"DEEP_BROKER_ID_OVERRIDE",O$24,"DEEP_PERIOD_OVERRIDE",$H$19)*1,"")))</f>
        <v/>
      </c>
      <c r="P66" s="17" t="str">
        <f>IF(OR(P$23="",ISNA($B66)),"",IF(ISBLANK($B66),"",IFERROR(_xll.BDP(TICKER,"DEEP_MEASURE_PERIOD_BROKER_VALUE","DEEP_MEASURE_ID_OVERRIDE",$C66,"DEEP_BROKER_ID_OVERRIDE",P$24,"DEEP_PERIOD_OVERRIDE",$H$19)*1,"")))</f>
        <v/>
      </c>
      <c r="Q66" s="17" t="str">
        <f>IF(OR(Q$23="",ISNA($B66)),"",IF(ISBLANK($B66),"",IFERROR(_xll.BDP(TICKER,"DEEP_MEASURE_PERIOD_BROKER_VALUE","DEEP_MEASURE_ID_OVERRIDE",$C66,"DEEP_BROKER_ID_OVERRIDE",Q$24,"DEEP_PERIOD_OVERRIDE",$H$19)*1,"")))</f>
        <v/>
      </c>
      <c r="R66" s="17" t="str">
        <f>IF(OR(R$23="",ISNA($B66)),"",IF(ISBLANK($B66),"",IFERROR(_xll.BDP(TICKER,"DEEP_MEASURE_PERIOD_BROKER_VALUE","DEEP_MEASURE_ID_OVERRIDE",$C66,"DEEP_BROKER_ID_OVERRIDE",R$24,"DEEP_PERIOD_OVERRIDE",$H$19)*1,"")))</f>
        <v/>
      </c>
      <c r="S66" s="17" t="str">
        <f>IF(OR(S$23="",ISNA($B66)),"",IF(ISBLANK($B66),"",IFERROR(_xll.BDP(TICKER,"DEEP_MEASURE_PERIOD_BROKER_VALUE","DEEP_MEASURE_ID_OVERRIDE",$C66,"DEEP_BROKER_ID_OVERRIDE",S$24,"DEEP_PERIOD_OVERRIDE",$H$19)*1,"")))</f>
        <v/>
      </c>
      <c r="T66" s="17" t="str">
        <f>IF(OR(T$23="",ISNA($B66)),"",IF(ISBLANK($B66),"",IFERROR(_xll.BDP(TICKER,"DEEP_MEASURE_PERIOD_BROKER_VALUE","DEEP_MEASURE_ID_OVERRIDE",$C66,"DEEP_BROKER_ID_OVERRIDE",T$24,"DEEP_PERIOD_OVERRIDE",$H$19)*1,"")))</f>
        <v/>
      </c>
      <c r="U66" s="17" t="str">
        <f>IF(OR(U$23="",ISNA($B66)),"",IF(ISBLANK($B66),"",IFERROR(_xll.BDP(TICKER,"DEEP_MEASURE_PERIOD_BROKER_VALUE","DEEP_MEASURE_ID_OVERRIDE",$C66,"DEEP_BROKER_ID_OVERRIDE",U$24,"DEEP_PERIOD_OVERRIDE",$H$19)*1,"")))</f>
        <v/>
      </c>
      <c r="V66" s="17" t="str">
        <f>IF(OR(V$23="",ISNA($B66)),"",IF(ISBLANK($B66),"",IFERROR(_xll.BDP(TICKER,"DEEP_MEASURE_PERIOD_BROKER_VALUE","DEEP_MEASURE_ID_OVERRIDE",$C66,"DEEP_BROKER_ID_OVERRIDE",V$24,"DEEP_PERIOD_OVERRIDE",$H$19)*1,"")))</f>
        <v/>
      </c>
      <c r="W66" s="17" t="str">
        <f>IF(OR(W$23="",ISNA($B66)),"",IF(ISBLANK($B66),"",IFERROR(_xll.BDP(TICKER,"DEEP_MEASURE_PERIOD_BROKER_VALUE","DEEP_MEASURE_ID_OVERRIDE",$C66,"DEEP_BROKER_ID_OVERRIDE",W$24,"DEEP_PERIOD_OVERRIDE",$H$19)*1,"")))</f>
        <v/>
      </c>
      <c r="X66" s="17" t="str">
        <f>IF(OR(X$23="",ISNA($B66)),"",IF(ISBLANK($B66),"",IFERROR(_xll.BDP(TICKER,"DEEP_MEASURE_PERIOD_BROKER_VALUE","DEEP_MEASURE_ID_OVERRIDE",$C66,"DEEP_BROKER_ID_OVERRIDE",X$24,"DEEP_PERIOD_OVERRIDE",$H$19)*1,"")))</f>
        <v/>
      </c>
      <c r="Y66" s="17" t="str">
        <f>IF(OR(Y$23="",ISNA($B66)),"",IF(ISBLANK($B66),"",IFERROR(_xll.BDP(TICKER,"DEEP_MEASURE_PERIOD_BROKER_VALUE","DEEP_MEASURE_ID_OVERRIDE",$C66,"DEEP_BROKER_ID_OVERRIDE",Y$24,"DEEP_PERIOD_OVERRIDE",$H$19)*1,"")))</f>
        <v/>
      </c>
      <c r="Z66" s="17" t="str">
        <f>IF(OR(Z$23="",ISNA($B66)),"",IF(ISBLANK($B66),"",IFERROR(_xll.BDP(TICKER,"DEEP_MEASURE_PERIOD_BROKER_VALUE","DEEP_MEASURE_ID_OVERRIDE",$C66,"DEEP_BROKER_ID_OVERRIDE",Z$24,"DEEP_PERIOD_OVERRIDE",$H$19)*1,"")))</f>
        <v/>
      </c>
      <c r="AA66" s="17" t="str">
        <f>IF(OR(AA$23="",ISNA($B66)),"",IF(ISBLANK($B66),"",IFERROR(_xll.BDP(TICKER,"DEEP_MEASURE_PERIOD_BROKER_VALUE","DEEP_MEASURE_ID_OVERRIDE",$C66,"DEEP_BROKER_ID_OVERRIDE",AA$24,"DEEP_PERIOD_OVERRIDE",$H$19)*1,"")))</f>
        <v/>
      </c>
      <c r="AB66" s="17" t="str">
        <f>IF(OR(AB$23="",ISNA($B66)),"",IF(ISBLANK($B66),"",IFERROR(_xll.BDP(TICKER,"DEEP_MEASURE_PERIOD_BROKER_VALUE","DEEP_MEASURE_ID_OVERRIDE",$C66,"DEEP_BROKER_ID_OVERRIDE",AB$24,"DEEP_PERIOD_OVERRIDE",$H$19)*1,"")))</f>
        <v/>
      </c>
      <c r="AC66" s="17" t="str">
        <f>IF(OR(AC$23="",ISNA($B66)),"",IF(ISBLANK($B66),"",IFERROR(_xll.BDP(TICKER,"DEEP_MEASURE_PERIOD_BROKER_VALUE","DEEP_MEASURE_ID_OVERRIDE",$C66,"DEEP_BROKER_ID_OVERRIDE",AC$24,"DEEP_PERIOD_OVERRIDE",$H$19)*1,"")))</f>
        <v/>
      </c>
      <c r="AD66" s="17" t="str">
        <f>IF(OR(AD$23="",ISNA($B66)),"",IF(ISBLANK($B66),"",IFERROR(_xll.BDP(TICKER,"DEEP_MEASURE_PERIOD_BROKER_VALUE","DEEP_MEASURE_ID_OVERRIDE",$C66,"DEEP_BROKER_ID_OVERRIDE",AD$24,"DEEP_PERIOD_OVERRIDE",$H$19)*1,"")))</f>
        <v/>
      </c>
      <c r="AE66" s="17" t="str">
        <f>IF(OR(AE$23="",ISNA($B66)),"",IF(ISBLANK($B66),"",IFERROR(_xll.BDP(TICKER,"DEEP_MEASURE_PERIOD_BROKER_VALUE","DEEP_MEASURE_ID_OVERRIDE",$C66,"DEEP_BROKER_ID_OVERRIDE",AE$24,"DEEP_PERIOD_OVERRIDE",$H$19)*1,"")))</f>
        <v/>
      </c>
      <c r="AF66" s="17" t="str">
        <f>IF(OR(AF$23="",ISNA($B66)),"",IF(ISBLANK($B66),"",IFERROR(_xll.BDP(TICKER,"DEEP_MEASURE_PERIOD_BROKER_VALUE","DEEP_MEASURE_ID_OVERRIDE",$C66,"DEEP_BROKER_ID_OVERRIDE",AF$24,"DEEP_PERIOD_OVERRIDE",$H$19)*1,"")))</f>
        <v/>
      </c>
      <c r="AG66" s="17" t="str">
        <f>IF(OR(AG$23="",ISNA($B66)),"",IF(ISBLANK($B66),"",IFERROR(_xll.BDP(TICKER,"DEEP_MEASURE_PERIOD_BROKER_VALUE","DEEP_MEASURE_ID_OVERRIDE",$C66,"DEEP_BROKER_ID_OVERRIDE",AG$24,"DEEP_PERIOD_OVERRIDE",$H$19)*1,"")))</f>
        <v/>
      </c>
      <c r="AH66" s="17" t="str">
        <f>IF(OR(AH$23="",ISNA($B66)),"",IF(ISBLANK($B66),"",IFERROR(_xll.BDP(TICKER,"DEEP_MEASURE_PERIOD_BROKER_VALUE","DEEP_MEASURE_ID_OVERRIDE",$C66,"DEEP_BROKER_ID_OVERRIDE",AH$24,"DEEP_PERIOD_OVERRIDE",$H$19)*1,"")))</f>
        <v/>
      </c>
      <c r="AI66" s="17" t="str">
        <f>IF(OR(AI$23="",ISNA($B66)),"",IF(ISBLANK($B66),"",IFERROR(_xll.BDP(TICKER,"DEEP_MEASURE_PERIOD_BROKER_VALUE","DEEP_MEASURE_ID_OVERRIDE",$C66,"DEEP_BROKER_ID_OVERRIDE",AI$24,"DEEP_PERIOD_OVERRIDE",$H$19)*1,"")))</f>
        <v/>
      </c>
      <c r="AJ66" s="17" t="str">
        <f>IF(OR(AJ$23="",ISNA($B66)),"",IF(ISBLANK($B66),"",IFERROR(_xll.BDP(TICKER,"DEEP_MEASURE_PERIOD_BROKER_VALUE","DEEP_MEASURE_ID_OVERRIDE",$C66,"DEEP_BROKER_ID_OVERRIDE",AJ$24,"DEEP_PERIOD_OVERRIDE",$H$19)*1,"")))</f>
        <v/>
      </c>
      <c r="AK66" s="17" t="str">
        <f>IF(OR(AK$23="",ISNA($B66)),"",IF(ISBLANK($B66),"",IFERROR(_xll.BDP(TICKER,"DEEP_MEASURE_PERIOD_BROKER_VALUE","DEEP_MEASURE_ID_OVERRIDE",$C66,"DEEP_BROKER_ID_OVERRIDE",AK$24,"DEEP_PERIOD_OVERRIDE",$H$19)*1,"")))</f>
        <v/>
      </c>
      <c r="AL66" s="17" t="str">
        <f>IF(OR(AL$23="",ISNA($B66)),"",IF(ISBLANK($B66),"",IFERROR(_xll.BDP(TICKER,"DEEP_MEASURE_PERIOD_BROKER_VALUE","DEEP_MEASURE_ID_OVERRIDE",$C66,"DEEP_BROKER_ID_OVERRIDE",AL$24,"DEEP_PERIOD_OVERRIDE",$H$19)*1,"")))</f>
        <v/>
      </c>
      <c r="AM66" s="17" t="str">
        <f>IF(OR(AM$23="",ISNA($B66)),"",IF(ISBLANK($B66),"",IFERROR(_xll.BDP(TICKER,"DEEP_MEASURE_PERIOD_BROKER_VALUE","DEEP_MEASURE_ID_OVERRIDE",$C66,"DEEP_BROKER_ID_OVERRIDE",AM$24,"DEEP_PERIOD_OVERRIDE",$H$19)*1,"")))</f>
        <v/>
      </c>
      <c r="AN66" s="17" t="str">
        <f>IF(OR(AN$23="",ISNA($B66)),"",IF(ISBLANK($B66),"",IFERROR(_xll.BDP(TICKER,"DEEP_MEASURE_PERIOD_BROKER_VALUE","DEEP_MEASURE_ID_OVERRIDE",$C66,"DEEP_BROKER_ID_OVERRIDE",AN$24,"DEEP_PERIOD_OVERRIDE",$H$19)*1,"")))</f>
        <v/>
      </c>
      <c r="AO66" s="17" t="str">
        <f>IF(OR(AO$23="",ISNA($B66)),"",IF(ISBLANK($B66),"",IFERROR(_xll.BDP(TICKER,"DEEP_MEASURE_PERIOD_BROKER_VALUE","DEEP_MEASURE_ID_OVERRIDE",$C66,"DEEP_BROKER_ID_OVERRIDE",AO$24,"DEEP_PERIOD_OVERRIDE",$H$19)*1,"")))</f>
        <v/>
      </c>
      <c r="AP66" s="17" t="str">
        <f>IF(OR(AP$23="",ISNA($B66)),"",IF(ISBLANK($B66),"",IFERROR(_xll.BDP(TICKER,"DEEP_MEASURE_PERIOD_BROKER_VALUE","DEEP_MEASURE_ID_OVERRIDE",$C66,"DEEP_BROKER_ID_OVERRIDE",AP$24,"DEEP_PERIOD_OVERRIDE",$H$19)*1,"")))</f>
        <v/>
      </c>
      <c r="AQ66" s="17" t="str">
        <f>IF(OR(AQ$23="",ISNA($B66)),"",IF(ISBLANK($B66),"",IFERROR(_xll.BDP(TICKER,"DEEP_MEASURE_PERIOD_BROKER_VALUE","DEEP_MEASURE_ID_OVERRIDE",$C66,"DEEP_BROKER_ID_OVERRIDE",AQ$24,"DEEP_PERIOD_OVERRIDE",$H$19)*1,"")))</f>
        <v/>
      </c>
      <c r="AR66" s="17" t="str">
        <f>IF(OR(AR$23="",ISNA($B66)),"",IF(ISBLANK($B66),"",IFERROR(_xll.BDP(TICKER,"DEEP_MEASURE_PERIOD_BROKER_VALUE","DEEP_MEASURE_ID_OVERRIDE",$C66,"DEEP_BROKER_ID_OVERRIDE",AR$24,"DEEP_PERIOD_OVERRIDE",$H$19)*1,"")))</f>
        <v/>
      </c>
      <c r="AS66" s="17" t="str">
        <f>IF(OR(AS$23="",ISNA($B66)),"",IF(ISBLANK($B66),"",IFERROR(_xll.BDP(TICKER,"DEEP_MEASURE_PERIOD_BROKER_VALUE","DEEP_MEASURE_ID_OVERRIDE",$C66,"DEEP_BROKER_ID_OVERRIDE",AS$24,"DEEP_PERIOD_OVERRIDE",$H$19)*1,"")))</f>
        <v/>
      </c>
      <c r="AT66" s="17" t="str">
        <f>IF(OR(AT$23="",ISNA($B66)),"",IF(ISBLANK($B66),"",IFERROR(_xll.BDP(TICKER,"DEEP_MEASURE_PERIOD_BROKER_VALUE","DEEP_MEASURE_ID_OVERRIDE",$C66,"DEEP_BROKER_ID_OVERRIDE",AT$24,"DEEP_PERIOD_OVERRIDE",$H$19)*1,"")))</f>
        <v/>
      </c>
      <c r="AU66" s="17" t="str">
        <f>IF(OR(AU$23="",ISNA($B66)),"",IF(ISBLANK($B66),"",IFERROR(_xll.BDP(TICKER,"DEEP_MEASURE_PERIOD_BROKER_VALUE","DEEP_MEASURE_ID_OVERRIDE",$C66,"DEEP_BROKER_ID_OVERRIDE",AU$24,"DEEP_PERIOD_OVERRIDE",$H$19)*1,"")))</f>
        <v/>
      </c>
      <c r="AV66" s="17" t="str">
        <f>IF(OR(AV$23="",ISNA($B66)),"",IF(ISBLANK($B66),"",IFERROR(_xll.BDP(TICKER,"DEEP_MEASURE_PERIOD_BROKER_VALUE","DEEP_MEASURE_ID_OVERRIDE",$C66,"DEEP_BROKER_ID_OVERRIDE",AV$24,"DEEP_PERIOD_OVERRIDE",$H$19)*1,"")))</f>
        <v/>
      </c>
      <c r="AW66" s="17" t="str">
        <f>IF(OR(AW$23="",ISNA($B66)),"",IF(ISBLANK($B66),"",IFERROR(_xll.BDP(TICKER,"DEEP_MEASURE_PERIOD_BROKER_VALUE","DEEP_MEASURE_ID_OVERRIDE",$C66,"DEEP_BROKER_ID_OVERRIDE",AW$24,"DEEP_PERIOD_OVERRIDE",$H$19)*1,"")))</f>
        <v/>
      </c>
      <c r="AX66" s="17" t="str">
        <f>IF(OR(AX$23="",ISNA($B66)),"",IF(ISBLANK($B66),"",IFERROR(_xll.BDP(TICKER,"DEEP_MEASURE_PERIOD_BROKER_VALUE","DEEP_MEASURE_ID_OVERRIDE",$C66,"DEEP_BROKER_ID_OVERRIDE",AX$24,"DEEP_PERIOD_OVERRIDE",$H$19)*1,"")))</f>
        <v/>
      </c>
      <c r="AY66" s="17" t="str">
        <f>IF(OR(AY$23="",ISNA($B66)),"",IF(ISBLANK($B66),"",IFERROR(_xll.BDP(TICKER,"DEEP_MEASURE_PERIOD_BROKER_VALUE","DEEP_MEASURE_ID_OVERRIDE",$C66,"DEEP_BROKER_ID_OVERRIDE",AY$24,"DEEP_PERIOD_OVERRIDE",$H$19)*1,"")))</f>
        <v/>
      </c>
      <c r="AZ66" s="17" t="str">
        <f>IF(OR(AZ$23="",ISNA($B66)),"",IF(ISBLANK($B66),"",IFERROR(_xll.BDP(TICKER,"DEEP_MEASURE_PERIOD_BROKER_VALUE","DEEP_MEASURE_ID_OVERRIDE",$C66,"DEEP_BROKER_ID_OVERRIDE",AZ$24,"DEEP_PERIOD_OVERRIDE",$H$19)*1,"")))</f>
        <v/>
      </c>
      <c r="BA66" s="17" t="str">
        <f>IF(OR(BA$23="",ISNA($B66)),"",IF(ISBLANK($B66),"",IFERROR(_xll.BDP(TICKER,"DEEP_MEASURE_PERIOD_BROKER_VALUE","DEEP_MEASURE_ID_OVERRIDE",$C66,"DEEP_BROKER_ID_OVERRIDE",BA$24,"DEEP_PERIOD_OVERRIDE",$H$19)*1,"")))</f>
        <v/>
      </c>
      <c r="BB66" s="17" t="str">
        <f>IF(OR(BB$23="",ISNA($B66)),"",IF(ISBLANK($B66),"",IFERROR(_xll.BDP(TICKER,"DEEP_MEASURE_PERIOD_BROKER_VALUE","DEEP_MEASURE_ID_OVERRIDE",$C66,"DEEP_BROKER_ID_OVERRIDE",BB$24,"DEEP_PERIOD_OVERRIDE",$H$19)*1,"")))</f>
        <v/>
      </c>
      <c r="BC66" s="17" t="str">
        <f>IF(OR(BC$23="",ISNA($B66)),"",IF(ISBLANK($B66),"",IFERROR(_xll.BDP(TICKER,"DEEP_MEASURE_PERIOD_BROKER_VALUE","DEEP_MEASURE_ID_OVERRIDE",$C66,"DEEP_BROKER_ID_OVERRIDE",BC$24,"DEEP_PERIOD_OVERRIDE",$H$19)*1,"")))</f>
        <v/>
      </c>
      <c r="BD66" s="17" t="str">
        <f>IF(OR(BD$23="",ISNA($B66)),"",IF(ISBLANK($B66),"",IFERROR(_xll.BDP(TICKER,"DEEP_MEASURE_PERIOD_BROKER_VALUE","DEEP_MEASURE_ID_OVERRIDE",$C66,"DEEP_BROKER_ID_OVERRIDE",BD$24,"DEEP_PERIOD_OVERRIDE",$H$19)*1,"")))</f>
        <v/>
      </c>
      <c r="BE66" s="17" t="str">
        <f>IF(OR(BE$23="",ISNA($B66)),"",IF(ISBLANK($B66),"",IFERROR(_xll.BDP(TICKER,"DEEP_MEASURE_PERIOD_BROKER_VALUE","DEEP_MEASURE_ID_OVERRIDE",$C66,"DEEP_BROKER_ID_OVERRIDE",BE$24,"DEEP_PERIOD_OVERRIDE",$H$19)*1,"")))</f>
        <v/>
      </c>
      <c r="BF66" s="17" t="str">
        <f>IF(OR(BF$23="",ISNA($B66)),"",IF(ISBLANK($B66),"",IFERROR(_xll.BDP(TICKER,"DEEP_MEASURE_PERIOD_BROKER_VALUE","DEEP_MEASURE_ID_OVERRIDE",$C66,"DEEP_BROKER_ID_OVERRIDE",BF$24,"DEEP_PERIOD_OVERRIDE",$H$19)*1,"")))</f>
        <v/>
      </c>
      <c r="BG66" s="17" t="str">
        <f>IF(OR(BG$23="",ISNA($B66)),"",IF(ISBLANK($B66),"",IFERROR(_xll.BDP(TICKER,"DEEP_MEASURE_PERIOD_BROKER_VALUE","DEEP_MEASURE_ID_OVERRIDE",$C66,"DEEP_BROKER_ID_OVERRIDE",BG$24,"DEEP_PERIOD_OVERRIDE",$H$19)*1,"")))</f>
        <v/>
      </c>
      <c r="BH66" s="17" t="str">
        <f>IF(OR(BH$23="",ISNA($B66)),"",IF(ISBLANK($B66),"",IFERROR(_xll.BDP(TICKER,"DEEP_MEASURE_PERIOD_BROKER_VALUE","DEEP_MEASURE_ID_OVERRIDE",$C66,"DEEP_BROKER_ID_OVERRIDE",BH$24,"DEEP_PERIOD_OVERRIDE",$H$19)*1,"")))</f>
        <v/>
      </c>
      <c r="BI66" s="17" t="str">
        <f>IF(OR(BI$23="",ISNA($B66)),"",IF(ISBLANK($B66),"",IFERROR(_xll.BDP(TICKER,"DEEP_MEASURE_PERIOD_BROKER_VALUE","DEEP_MEASURE_ID_OVERRIDE",$C66,"DEEP_BROKER_ID_OVERRIDE",BI$24,"DEEP_PERIOD_OVERRIDE",$H$19)*1,"")))</f>
        <v/>
      </c>
      <c r="BJ66" s="17" t="str">
        <f>IF(OR(BJ$23="",ISNA($B66)),"",IF(ISBLANK($B66),"",IFERROR(_xll.BDP(TICKER,"DEEP_MEASURE_PERIOD_BROKER_VALUE","DEEP_MEASURE_ID_OVERRIDE",$C66,"DEEP_BROKER_ID_OVERRIDE",BJ$24,"DEEP_PERIOD_OVERRIDE",$H$19)*1,"")))</f>
        <v/>
      </c>
      <c r="BK66" s="17" t="str">
        <f>IF(OR(BK$23="",ISNA($B66)),"",IF(ISBLANK($B66),"",IFERROR(_xll.BDP(TICKER,"DEEP_MEASURE_PERIOD_BROKER_VALUE","DEEP_MEASURE_ID_OVERRIDE",$C66,"DEEP_BROKER_ID_OVERRIDE",BK$24,"DEEP_PERIOD_OVERRIDE",$H$19)*1,"")))</f>
        <v/>
      </c>
      <c r="BL66" s="17" t="str">
        <f>IF(OR(BL$23="",ISNA($B66)),"",IF(ISBLANK($B66),"",IFERROR(_xll.BDP(TICKER,"DEEP_MEASURE_PERIOD_BROKER_VALUE","DEEP_MEASURE_ID_OVERRIDE",$C66,"DEEP_BROKER_ID_OVERRIDE",BL$24,"DEEP_PERIOD_OVERRIDE",$H$19)*1,"")))</f>
        <v/>
      </c>
      <c r="BM66" s="17" t="str">
        <f>IF(OR(BM$23="",ISNA($B66)),"",IF(ISBLANK($B66),"",IFERROR(_xll.BDP(TICKER,"DEEP_MEASURE_PERIOD_BROKER_VALUE","DEEP_MEASURE_ID_OVERRIDE",$C66,"DEEP_BROKER_ID_OVERRIDE",BM$24,"DEEP_PERIOD_OVERRIDE",$H$19)*1,"")))</f>
        <v/>
      </c>
      <c r="BN66" s="17" t="str">
        <f>IF(OR(BN$23="",ISNA($B66)),"",IF(ISBLANK($B66),"",IFERROR(_xll.BDP(TICKER,"DEEP_MEASURE_PERIOD_BROKER_VALUE","DEEP_MEASURE_ID_OVERRIDE",$C66,"DEEP_BROKER_ID_OVERRIDE",BN$24,"DEEP_PERIOD_OVERRIDE",$H$19)*1,"")))</f>
        <v/>
      </c>
      <c r="BO66" s="17" t="str">
        <f>IF(OR(BO$23="",ISNA($B66)),"",IF(ISBLANK($B66),"",IFERROR(_xll.BDP(TICKER,"DEEP_MEASURE_PERIOD_BROKER_VALUE","DEEP_MEASURE_ID_OVERRIDE",$C66,"DEEP_BROKER_ID_OVERRIDE",BO$24,"DEEP_PERIOD_OVERRIDE",$H$19)*1,"")))</f>
        <v/>
      </c>
      <c r="BP66" s="17" t="str">
        <f>IF(OR(BP$23="",ISNA($B66)),"",IF(ISBLANK($B66),"",IFERROR(_xll.BDP(TICKER,"DEEP_MEASURE_PERIOD_BROKER_VALUE","DEEP_MEASURE_ID_OVERRIDE",$C66,"DEEP_BROKER_ID_OVERRIDE",BP$24,"DEEP_PERIOD_OVERRIDE",$H$19)*1,"")))</f>
        <v/>
      </c>
      <c r="BQ66" s="17" t="str">
        <f>IF(OR(BQ$23="",ISNA($B66)),"",IF(ISBLANK($B66),"",IFERROR(_xll.BDP(TICKER,"DEEP_MEASURE_PERIOD_BROKER_VALUE","DEEP_MEASURE_ID_OVERRIDE",$C66,"DEEP_BROKER_ID_OVERRIDE",BQ$24,"DEEP_PERIOD_OVERRIDE",$H$19)*1,"")))</f>
        <v/>
      </c>
      <c r="BR66" s="17" t="str">
        <f>IF(OR(BR$23="",ISNA($B66)),"",IF(ISBLANK($B66),"",IFERROR(_xll.BDP(TICKER,"DEEP_MEASURE_PERIOD_BROKER_VALUE","DEEP_MEASURE_ID_OVERRIDE",$C66,"DEEP_BROKER_ID_OVERRIDE",BR$24,"DEEP_PERIOD_OVERRIDE",$H$19)*1,"")))</f>
        <v/>
      </c>
      <c r="BS66" s="17" t="str">
        <f>IF(OR(BS$23="",ISNA($B66)),"",IF(ISBLANK($B66),"",IFERROR(_xll.BDP(TICKER,"DEEP_MEASURE_PERIOD_BROKER_VALUE","DEEP_MEASURE_ID_OVERRIDE",$C66,"DEEP_BROKER_ID_OVERRIDE",BS$24,"DEEP_PERIOD_OVERRIDE",$H$19)*1,"")))</f>
        <v/>
      </c>
      <c r="BT66" s="17" t="str">
        <f>IF(OR(BT$23="",ISNA($B66)),"",IF(ISBLANK($B66),"",IFERROR(_xll.BDP(TICKER,"DEEP_MEASURE_PERIOD_BROKER_VALUE","DEEP_MEASURE_ID_OVERRIDE",$C66,"DEEP_BROKER_ID_OVERRIDE",BT$24,"DEEP_PERIOD_OVERRIDE",$H$19)*1,"")))</f>
        <v/>
      </c>
      <c r="BU66" s="17" t="str">
        <f>IF(OR(BU$23="",ISNA($B66)),"",IF(ISBLANK($B66),"",IFERROR(_xll.BDP(TICKER,"DEEP_MEASURE_PERIOD_BROKER_VALUE","DEEP_MEASURE_ID_OVERRIDE",$C66,"DEEP_BROKER_ID_OVERRIDE",BU$24,"DEEP_PERIOD_OVERRIDE",$H$19)*1,"")))</f>
        <v/>
      </c>
      <c r="BV66" s="17" t="str">
        <f>IF(OR(BV$23="",ISNA($B66)),"",IF(ISBLANK($B66),"",IFERROR(_xll.BDP(TICKER,"DEEP_MEASURE_PERIOD_BROKER_VALUE","DEEP_MEASURE_ID_OVERRIDE",$C66,"DEEP_BROKER_ID_OVERRIDE",BV$24,"DEEP_PERIOD_OVERRIDE",$H$19)*1,"")))</f>
        <v/>
      </c>
      <c r="BW66" s="17" t="str">
        <f>IF(OR(BW$23="",ISNA($B66)),"",IF(ISBLANK($B66),"",IFERROR(_xll.BDP(TICKER,"DEEP_MEASURE_PERIOD_BROKER_VALUE","DEEP_MEASURE_ID_OVERRIDE",$C66,"DEEP_BROKER_ID_OVERRIDE",BW$24,"DEEP_PERIOD_OVERRIDE",$H$19)*1,"")))</f>
        <v/>
      </c>
      <c r="BX66" s="17" t="str">
        <f>IF(OR(BX$23="",ISNA($B66)),"",IF(ISBLANK($B66),"",IFERROR(_xll.BDP(TICKER,"DEEP_MEASURE_PERIOD_BROKER_VALUE","DEEP_MEASURE_ID_OVERRIDE",$C66,"DEEP_BROKER_ID_OVERRIDE",BX$24,"DEEP_PERIOD_OVERRIDE",$H$19)*1,"")))</f>
        <v/>
      </c>
      <c r="BY66" s="17" t="str">
        <f>IF(OR(BY$23="",ISNA($B66)),"",IF(ISBLANK($B66),"",IFERROR(_xll.BDP(TICKER,"DEEP_MEASURE_PERIOD_BROKER_VALUE","DEEP_MEASURE_ID_OVERRIDE",$C66,"DEEP_BROKER_ID_OVERRIDE",BY$24,"DEEP_PERIOD_OVERRIDE",$H$19)*1,"")))</f>
        <v/>
      </c>
      <c r="BZ66" s="17" t="str">
        <f>IF(OR(BZ$23="",ISNA($B66)),"",IF(ISBLANK($B66),"",IFERROR(_xll.BDP(TICKER,"DEEP_MEASURE_PERIOD_BROKER_VALUE","DEEP_MEASURE_ID_OVERRIDE",$C66,"DEEP_BROKER_ID_OVERRIDE",BZ$24,"DEEP_PERIOD_OVERRIDE",$H$19)*1,"")))</f>
        <v/>
      </c>
    </row>
    <row r="67" spans="2:78" x14ac:dyDescent="0.25">
      <c r="B67" t="s">
        <v>111</v>
      </c>
      <c r="C67">
        <v>1937</v>
      </c>
      <c r="H67" t="str">
        <f t="shared" si="1"/>
        <v>Total Revenue &gt; Hotel &gt; Revenue &gt; TripAdvisor-branded Display-based Advertising &amp; Subscription</v>
      </c>
      <c r="I67" t="str">
        <f>IF(OR(I$23="",ISNA($B67)),"",IF(ISBLANK($B67),"",IFERROR(_xll.BDP(TICKER,"DEEP_MEASURE_PERIOD_BROKER_VALUE","DEEP_MEASURE_ID_OVERRIDE",$C67,"DEEP_PERIOD_OVERRIDE",$H$19)*1,"")))</f>
        <v/>
      </c>
      <c r="J67" t="e">
        <f>IF(OR(J$23="",ISNA($B67)),"",IF(ISBLANK($B67),"",IFERROR(_xll.BDP(TICKER,"DEEP_MEASURE_PERIOD_BROKER_VALUE","DEEP_MEASURE_ID_OVERRIDE",$C67,"DEEP_BROKER_ID_OVERRIDE",J$24,"DEEP_PERIOD_OVERRIDE",$H$19)*1,"")))</f>
        <v>#REF!</v>
      </c>
      <c r="K67" s="17" t="str">
        <f>IF(OR(K$23="",ISNA($B67)),"",IF(ISBLANK($B67),"",IFERROR(_xll.BDP(TICKER,"DEEP_MEASURE_PERIOD_BROKER_VALUE","DEEP_MEASURE_ID_OVERRIDE",$C67,"DEEP_BROKER_ID_OVERRIDE",K$24,"DEEP_PERIOD_OVERRIDE",$H$19)*1,"")))</f>
        <v/>
      </c>
      <c r="L67" s="17" t="str">
        <f>IF(OR(L$23="",ISNA($B67)),"",IF(ISBLANK($B67),"",IFERROR(_xll.BDP(TICKER,"DEEP_MEASURE_PERIOD_BROKER_VALUE","DEEP_MEASURE_ID_OVERRIDE",$C67,"DEEP_BROKER_ID_OVERRIDE",L$24,"DEEP_PERIOD_OVERRIDE",$H$19)*1,"")))</f>
        <v/>
      </c>
      <c r="M67" s="17" t="str">
        <f>IF(OR(M$23="",ISNA($B67)),"",IF(ISBLANK($B67),"",IFERROR(_xll.BDP(TICKER,"DEEP_MEASURE_PERIOD_BROKER_VALUE","DEEP_MEASURE_ID_OVERRIDE",$C67,"DEEP_BROKER_ID_OVERRIDE",M$24,"DEEP_PERIOD_OVERRIDE",$H$19)*1,"")))</f>
        <v/>
      </c>
      <c r="N67" s="17" t="str">
        <f>IF(OR(N$23="",ISNA($B67)),"",IF(ISBLANK($B67),"",IFERROR(_xll.BDP(TICKER,"DEEP_MEASURE_PERIOD_BROKER_VALUE","DEEP_MEASURE_ID_OVERRIDE",$C67,"DEEP_BROKER_ID_OVERRIDE",N$24,"DEEP_PERIOD_OVERRIDE",$H$19)*1,"")))</f>
        <v/>
      </c>
      <c r="O67" s="17" t="str">
        <f>IF(OR(O$23="",ISNA($B67)),"",IF(ISBLANK($B67),"",IFERROR(_xll.BDP(TICKER,"DEEP_MEASURE_PERIOD_BROKER_VALUE","DEEP_MEASURE_ID_OVERRIDE",$C67,"DEEP_BROKER_ID_OVERRIDE",O$24,"DEEP_PERIOD_OVERRIDE",$H$19)*1,"")))</f>
        <v/>
      </c>
      <c r="P67" s="17" t="str">
        <f>IF(OR(P$23="",ISNA($B67)),"",IF(ISBLANK($B67),"",IFERROR(_xll.BDP(TICKER,"DEEP_MEASURE_PERIOD_BROKER_VALUE","DEEP_MEASURE_ID_OVERRIDE",$C67,"DEEP_BROKER_ID_OVERRIDE",P$24,"DEEP_PERIOD_OVERRIDE",$H$19)*1,"")))</f>
        <v/>
      </c>
      <c r="Q67" s="17" t="str">
        <f>IF(OR(Q$23="",ISNA($B67)),"",IF(ISBLANK($B67),"",IFERROR(_xll.BDP(TICKER,"DEEP_MEASURE_PERIOD_BROKER_VALUE","DEEP_MEASURE_ID_OVERRIDE",$C67,"DEEP_BROKER_ID_OVERRIDE",Q$24,"DEEP_PERIOD_OVERRIDE",$H$19)*1,"")))</f>
        <v/>
      </c>
      <c r="R67" s="17" t="str">
        <f>IF(OR(R$23="",ISNA($B67)),"",IF(ISBLANK($B67),"",IFERROR(_xll.BDP(TICKER,"DEEP_MEASURE_PERIOD_BROKER_VALUE","DEEP_MEASURE_ID_OVERRIDE",$C67,"DEEP_BROKER_ID_OVERRIDE",R$24,"DEEP_PERIOD_OVERRIDE",$H$19)*1,"")))</f>
        <v/>
      </c>
      <c r="S67" s="17" t="str">
        <f>IF(OR(S$23="",ISNA($B67)),"",IF(ISBLANK($B67),"",IFERROR(_xll.BDP(TICKER,"DEEP_MEASURE_PERIOD_BROKER_VALUE","DEEP_MEASURE_ID_OVERRIDE",$C67,"DEEP_BROKER_ID_OVERRIDE",S$24,"DEEP_PERIOD_OVERRIDE",$H$19)*1,"")))</f>
        <v/>
      </c>
      <c r="T67" s="17" t="str">
        <f>IF(OR(T$23="",ISNA($B67)),"",IF(ISBLANK($B67),"",IFERROR(_xll.BDP(TICKER,"DEEP_MEASURE_PERIOD_BROKER_VALUE","DEEP_MEASURE_ID_OVERRIDE",$C67,"DEEP_BROKER_ID_OVERRIDE",T$24,"DEEP_PERIOD_OVERRIDE",$H$19)*1,"")))</f>
        <v/>
      </c>
      <c r="U67" s="17" t="str">
        <f>IF(OR(U$23="",ISNA($B67)),"",IF(ISBLANK($B67),"",IFERROR(_xll.BDP(TICKER,"DEEP_MEASURE_PERIOD_BROKER_VALUE","DEEP_MEASURE_ID_OVERRIDE",$C67,"DEEP_BROKER_ID_OVERRIDE",U$24,"DEEP_PERIOD_OVERRIDE",$H$19)*1,"")))</f>
        <v/>
      </c>
      <c r="V67" s="17" t="str">
        <f>IF(OR(V$23="",ISNA($B67)),"",IF(ISBLANK($B67),"",IFERROR(_xll.BDP(TICKER,"DEEP_MEASURE_PERIOD_BROKER_VALUE","DEEP_MEASURE_ID_OVERRIDE",$C67,"DEEP_BROKER_ID_OVERRIDE",V$24,"DEEP_PERIOD_OVERRIDE",$H$19)*1,"")))</f>
        <v/>
      </c>
      <c r="W67" s="17" t="str">
        <f>IF(OR(W$23="",ISNA($B67)),"",IF(ISBLANK($B67),"",IFERROR(_xll.BDP(TICKER,"DEEP_MEASURE_PERIOD_BROKER_VALUE","DEEP_MEASURE_ID_OVERRIDE",$C67,"DEEP_BROKER_ID_OVERRIDE",W$24,"DEEP_PERIOD_OVERRIDE",$H$19)*1,"")))</f>
        <v/>
      </c>
      <c r="X67" s="17" t="str">
        <f>IF(OR(X$23="",ISNA($B67)),"",IF(ISBLANK($B67),"",IFERROR(_xll.BDP(TICKER,"DEEP_MEASURE_PERIOD_BROKER_VALUE","DEEP_MEASURE_ID_OVERRIDE",$C67,"DEEP_BROKER_ID_OVERRIDE",X$24,"DEEP_PERIOD_OVERRIDE",$H$19)*1,"")))</f>
        <v/>
      </c>
      <c r="Y67" s="17" t="str">
        <f>IF(OR(Y$23="",ISNA($B67)),"",IF(ISBLANK($B67),"",IFERROR(_xll.BDP(TICKER,"DEEP_MEASURE_PERIOD_BROKER_VALUE","DEEP_MEASURE_ID_OVERRIDE",$C67,"DEEP_BROKER_ID_OVERRIDE",Y$24,"DEEP_PERIOD_OVERRIDE",$H$19)*1,"")))</f>
        <v/>
      </c>
      <c r="Z67" s="17" t="str">
        <f>IF(OR(Z$23="",ISNA($B67)),"",IF(ISBLANK($B67),"",IFERROR(_xll.BDP(TICKER,"DEEP_MEASURE_PERIOD_BROKER_VALUE","DEEP_MEASURE_ID_OVERRIDE",$C67,"DEEP_BROKER_ID_OVERRIDE",Z$24,"DEEP_PERIOD_OVERRIDE",$H$19)*1,"")))</f>
        <v/>
      </c>
      <c r="AA67" s="17" t="str">
        <f>IF(OR(AA$23="",ISNA($B67)),"",IF(ISBLANK($B67),"",IFERROR(_xll.BDP(TICKER,"DEEP_MEASURE_PERIOD_BROKER_VALUE","DEEP_MEASURE_ID_OVERRIDE",$C67,"DEEP_BROKER_ID_OVERRIDE",AA$24,"DEEP_PERIOD_OVERRIDE",$H$19)*1,"")))</f>
        <v/>
      </c>
      <c r="AB67" s="17" t="str">
        <f>IF(OR(AB$23="",ISNA($B67)),"",IF(ISBLANK($B67),"",IFERROR(_xll.BDP(TICKER,"DEEP_MEASURE_PERIOD_BROKER_VALUE","DEEP_MEASURE_ID_OVERRIDE",$C67,"DEEP_BROKER_ID_OVERRIDE",AB$24,"DEEP_PERIOD_OVERRIDE",$H$19)*1,"")))</f>
        <v/>
      </c>
      <c r="AC67" s="17" t="str">
        <f>IF(OR(AC$23="",ISNA($B67)),"",IF(ISBLANK($B67),"",IFERROR(_xll.BDP(TICKER,"DEEP_MEASURE_PERIOD_BROKER_VALUE","DEEP_MEASURE_ID_OVERRIDE",$C67,"DEEP_BROKER_ID_OVERRIDE",AC$24,"DEEP_PERIOD_OVERRIDE",$H$19)*1,"")))</f>
        <v/>
      </c>
      <c r="AD67" s="17" t="str">
        <f>IF(OR(AD$23="",ISNA($B67)),"",IF(ISBLANK($B67),"",IFERROR(_xll.BDP(TICKER,"DEEP_MEASURE_PERIOD_BROKER_VALUE","DEEP_MEASURE_ID_OVERRIDE",$C67,"DEEP_BROKER_ID_OVERRIDE",AD$24,"DEEP_PERIOD_OVERRIDE",$H$19)*1,"")))</f>
        <v/>
      </c>
      <c r="AE67" s="17" t="str">
        <f>IF(OR(AE$23="",ISNA($B67)),"",IF(ISBLANK($B67),"",IFERROR(_xll.BDP(TICKER,"DEEP_MEASURE_PERIOD_BROKER_VALUE","DEEP_MEASURE_ID_OVERRIDE",$C67,"DEEP_BROKER_ID_OVERRIDE",AE$24,"DEEP_PERIOD_OVERRIDE",$H$19)*1,"")))</f>
        <v/>
      </c>
      <c r="AF67" s="17" t="str">
        <f>IF(OR(AF$23="",ISNA($B67)),"",IF(ISBLANK($B67),"",IFERROR(_xll.BDP(TICKER,"DEEP_MEASURE_PERIOD_BROKER_VALUE","DEEP_MEASURE_ID_OVERRIDE",$C67,"DEEP_BROKER_ID_OVERRIDE",AF$24,"DEEP_PERIOD_OVERRIDE",$H$19)*1,"")))</f>
        <v/>
      </c>
      <c r="AG67" s="17" t="str">
        <f>IF(OR(AG$23="",ISNA($B67)),"",IF(ISBLANK($B67),"",IFERROR(_xll.BDP(TICKER,"DEEP_MEASURE_PERIOD_BROKER_VALUE","DEEP_MEASURE_ID_OVERRIDE",$C67,"DEEP_BROKER_ID_OVERRIDE",AG$24,"DEEP_PERIOD_OVERRIDE",$H$19)*1,"")))</f>
        <v/>
      </c>
      <c r="AH67" s="17" t="str">
        <f>IF(OR(AH$23="",ISNA($B67)),"",IF(ISBLANK($B67),"",IFERROR(_xll.BDP(TICKER,"DEEP_MEASURE_PERIOD_BROKER_VALUE","DEEP_MEASURE_ID_OVERRIDE",$C67,"DEEP_BROKER_ID_OVERRIDE",AH$24,"DEEP_PERIOD_OVERRIDE",$H$19)*1,"")))</f>
        <v/>
      </c>
      <c r="AI67" s="17" t="str">
        <f>IF(OR(AI$23="",ISNA($B67)),"",IF(ISBLANK($B67),"",IFERROR(_xll.BDP(TICKER,"DEEP_MEASURE_PERIOD_BROKER_VALUE","DEEP_MEASURE_ID_OVERRIDE",$C67,"DEEP_BROKER_ID_OVERRIDE",AI$24,"DEEP_PERIOD_OVERRIDE",$H$19)*1,"")))</f>
        <v/>
      </c>
      <c r="AJ67" s="17" t="str">
        <f>IF(OR(AJ$23="",ISNA($B67)),"",IF(ISBLANK($B67),"",IFERROR(_xll.BDP(TICKER,"DEEP_MEASURE_PERIOD_BROKER_VALUE","DEEP_MEASURE_ID_OVERRIDE",$C67,"DEEP_BROKER_ID_OVERRIDE",AJ$24,"DEEP_PERIOD_OVERRIDE",$H$19)*1,"")))</f>
        <v/>
      </c>
      <c r="AK67" s="17" t="str">
        <f>IF(OR(AK$23="",ISNA($B67)),"",IF(ISBLANK($B67),"",IFERROR(_xll.BDP(TICKER,"DEEP_MEASURE_PERIOD_BROKER_VALUE","DEEP_MEASURE_ID_OVERRIDE",$C67,"DEEP_BROKER_ID_OVERRIDE",AK$24,"DEEP_PERIOD_OVERRIDE",$H$19)*1,"")))</f>
        <v/>
      </c>
      <c r="AL67" s="17" t="str">
        <f>IF(OR(AL$23="",ISNA($B67)),"",IF(ISBLANK($B67),"",IFERROR(_xll.BDP(TICKER,"DEEP_MEASURE_PERIOD_BROKER_VALUE","DEEP_MEASURE_ID_OVERRIDE",$C67,"DEEP_BROKER_ID_OVERRIDE",AL$24,"DEEP_PERIOD_OVERRIDE",$H$19)*1,"")))</f>
        <v/>
      </c>
      <c r="AM67" s="17" t="str">
        <f>IF(OR(AM$23="",ISNA($B67)),"",IF(ISBLANK($B67),"",IFERROR(_xll.BDP(TICKER,"DEEP_MEASURE_PERIOD_BROKER_VALUE","DEEP_MEASURE_ID_OVERRIDE",$C67,"DEEP_BROKER_ID_OVERRIDE",AM$24,"DEEP_PERIOD_OVERRIDE",$H$19)*1,"")))</f>
        <v/>
      </c>
      <c r="AN67" s="17" t="str">
        <f>IF(OR(AN$23="",ISNA($B67)),"",IF(ISBLANK($B67),"",IFERROR(_xll.BDP(TICKER,"DEEP_MEASURE_PERIOD_BROKER_VALUE","DEEP_MEASURE_ID_OVERRIDE",$C67,"DEEP_BROKER_ID_OVERRIDE",AN$24,"DEEP_PERIOD_OVERRIDE",$H$19)*1,"")))</f>
        <v/>
      </c>
      <c r="AO67" s="17" t="str">
        <f>IF(OR(AO$23="",ISNA($B67)),"",IF(ISBLANK($B67),"",IFERROR(_xll.BDP(TICKER,"DEEP_MEASURE_PERIOD_BROKER_VALUE","DEEP_MEASURE_ID_OVERRIDE",$C67,"DEEP_BROKER_ID_OVERRIDE",AO$24,"DEEP_PERIOD_OVERRIDE",$H$19)*1,"")))</f>
        <v/>
      </c>
      <c r="AP67" s="17" t="str">
        <f>IF(OR(AP$23="",ISNA($B67)),"",IF(ISBLANK($B67),"",IFERROR(_xll.BDP(TICKER,"DEEP_MEASURE_PERIOD_BROKER_VALUE","DEEP_MEASURE_ID_OVERRIDE",$C67,"DEEP_BROKER_ID_OVERRIDE",AP$24,"DEEP_PERIOD_OVERRIDE",$H$19)*1,"")))</f>
        <v/>
      </c>
      <c r="AQ67" s="17" t="str">
        <f>IF(OR(AQ$23="",ISNA($B67)),"",IF(ISBLANK($B67),"",IFERROR(_xll.BDP(TICKER,"DEEP_MEASURE_PERIOD_BROKER_VALUE","DEEP_MEASURE_ID_OVERRIDE",$C67,"DEEP_BROKER_ID_OVERRIDE",AQ$24,"DEEP_PERIOD_OVERRIDE",$H$19)*1,"")))</f>
        <v/>
      </c>
      <c r="AR67" s="17" t="str">
        <f>IF(OR(AR$23="",ISNA($B67)),"",IF(ISBLANK($B67),"",IFERROR(_xll.BDP(TICKER,"DEEP_MEASURE_PERIOD_BROKER_VALUE","DEEP_MEASURE_ID_OVERRIDE",$C67,"DEEP_BROKER_ID_OVERRIDE",AR$24,"DEEP_PERIOD_OVERRIDE",$H$19)*1,"")))</f>
        <v/>
      </c>
      <c r="AS67" s="17" t="str">
        <f>IF(OR(AS$23="",ISNA($B67)),"",IF(ISBLANK($B67),"",IFERROR(_xll.BDP(TICKER,"DEEP_MEASURE_PERIOD_BROKER_VALUE","DEEP_MEASURE_ID_OVERRIDE",$C67,"DEEP_BROKER_ID_OVERRIDE",AS$24,"DEEP_PERIOD_OVERRIDE",$H$19)*1,"")))</f>
        <v/>
      </c>
      <c r="AT67" s="17" t="str">
        <f>IF(OR(AT$23="",ISNA($B67)),"",IF(ISBLANK($B67),"",IFERROR(_xll.BDP(TICKER,"DEEP_MEASURE_PERIOD_BROKER_VALUE","DEEP_MEASURE_ID_OVERRIDE",$C67,"DEEP_BROKER_ID_OVERRIDE",AT$24,"DEEP_PERIOD_OVERRIDE",$H$19)*1,"")))</f>
        <v/>
      </c>
      <c r="AU67" s="17" t="str">
        <f>IF(OR(AU$23="",ISNA($B67)),"",IF(ISBLANK($B67),"",IFERROR(_xll.BDP(TICKER,"DEEP_MEASURE_PERIOD_BROKER_VALUE","DEEP_MEASURE_ID_OVERRIDE",$C67,"DEEP_BROKER_ID_OVERRIDE",AU$24,"DEEP_PERIOD_OVERRIDE",$H$19)*1,"")))</f>
        <v/>
      </c>
      <c r="AV67" s="17" t="str">
        <f>IF(OR(AV$23="",ISNA($B67)),"",IF(ISBLANK($B67),"",IFERROR(_xll.BDP(TICKER,"DEEP_MEASURE_PERIOD_BROKER_VALUE","DEEP_MEASURE_ID_OVERRIDE",$C67,"DEEP_BROKER_ID_OVERRIDE",AV$24,"DEEP_PERIOD_OVERRIDE",$H$19)*1,"")))</f>
        <v/>
      </c>
      <c r="AW67" s="17" t="str">
        <f>IF(OR(AW$23="",ISNA($B67)),"",IF(ISBLANK($B67),"",IFERROR(_xll.BDP(TICKER,"DEEP_MEASURE_PERIOD_BROKER_VALUE","DEEP_MEASURE_ID_OVERRIDE",$C67,"DEEP_BROKER_ID_OVERRIDE",AW$24,"DEEP_PERIOD_OVERRIDE",$H$19)*1,"")))</f>
        <v/>
      </c>
      <c r="AX67" s="17" t="str">
        <f>IF(OR(AX$23="",ISNA($B67)),"",IF(ISBLANK($B67),"",IFERROR(_xll.BDP(TICKER,"DEEP_MEASURE_PERIOD_BROKER_VALUE","DEEP_MEASURE_ID_OVERRIDE",$C67,"DEEP_BROKER_ID_OVERRIDE",AX$24,"DEEP_PERIOD_OVERRIDE",$H$19)*1,"")))</f>
        <v/>
      </c>
      <c r="AY67" s="17" t="str">
        <f>IF(OR(AY$23="",ISNA($B67)),"",IF(ISBLANK($B67),"",IFERROR(_xll.BDP(TICKER,"DEEP_MEASURE_PERIOD_BROKER_VALUE","DEEP_MEASURE_ID_OVERRIDE",$C67,"DEEP_BROKER_ID_OVERRIDE",AY$24,"DEEP_PERIOD_OVERRIDE",$H$19)*1,"")))</f>
        <v/>
      </c>
      <c r="AZ67" s="17" t="str">
        <f>IF(OR(AZ$23="",ISNA($B67)),"",IF(ISBLANK($B67),"",IFERROR(_xll.BDP(TICKER,"DEEP_MEASURE_PERIOD_BROKER_VALUE","DEEP_MEASURE_ID_OVERRIDE",$C67,"DEEP_BROKER_ID_OVERRIDE",AZ$24,"DEEP_PERIOD_OVERRIDE",$H$19)*1,"")))</f>
        <v/>
      </c>
      <c r="BA67" s="17" t="str">
        <f>IF(OR(BA$23="",ISNA($B67)),"",IF(ISBLANK($B67),"",IFERROR(_xll.BDP(TICKER,"DEEP_MEASURE_PERIOD_BROKER_VALUE","DEEP_MEASURE_ID_OVERRIDE",$C67,"DEEP_BROKER_ID_OVERRIDE",BA$24,"DEEP_PERIOD_OVERRIDE",$H$19)*1,"")))</f>
        <v/>
      </c>
      <c r="BB67" s="17" t="str">
        <f>IF(OR(BB$23="",ISNA($B67)),"",IF(ISBLANK($B67),"",IFERROR(_xll.BDP(TICKER,"DEEP_MEASURE_PERIOD_BROKER_VALUE","DEEP_MEASURE_ID_OVERRIDE",$C67,"DEEP_BROKER_ID_OVERRIDE",BB$24,"DEEP_PERIOD_OVERRIDE",$H$19)*1,"")))</f>
        <v/>
      </c>
      <c r="BC67" s="17" t="str">
        <f>IF(OR(BC$23="",ISNA($B67)),"",IF(ISBLANK($B67),"",IFERROR(_xll.BDP(TICKER,"DEEP_MEASURE_PERIOD_BROKER_VALUE","DEEP_MEASURE_ID_OVERRIDE",$C67,"DEEP_BROKER_ID_OVERRIDE",BC$24,"DEEP_PERIOD_OVERRIDE",$H$19)*1,"")))</f>
        <v/>
      </c>
      <c r="BD67" s="17" t="str">
        <f>IF(OR(BD$23="",ISNA($B67)),"",IF(ISBLANK($B67),"",IFERROR(_xll.BDP(TICKER,"DEEP_MEASURE_PERIOD_BROKER_VALUE","DEEP_MEASURE_ID_OVERRIDE",$C67,"DEEP_BROKER_ID_OVERRIDE",BD$24,"DEEP_PERIOD_OVERRIDE",$H$19)*1,"")))</f>
        <v/>
      </c>
      <c r="BE67" s="17" t="str">
        <f>IF(OR(BE$23="",ISNA($B67)),"",IF(ISBLANK($B67),"",IFERROR(_xll.BDP(TICKER,"DEEP_MEASURE_PERIOD_BROKER_VALUE","DEEP_MEASURE_ID_OVERRIDE",$C67,"DEEP_BROKER_ID_OVERRIDE",BE$24,"DEEP_PERIOD_OVERRIDE",$H$19)*1,"")))</f>
        <v/>
      </c>
      <c r="BF67" s="17" t="str">
        <f>IF(OR(BF$23="",ISNA($B67)),"",IF(ISBLANK($B67),"",IFERROR(_xll.BDP(TICKER,"DEEP_MEASURE_PERIOD_BROKER_VALUE","DEEP_MEASURE_ID_OVERRIDE",$C67,"DEEP_BROKER_ID_OVERRIDE",BF$24,"DEEP_PERIOD_OVERRIDE",$H$19)*1,"")))</f>
        <v/>
      </c>
      <c r="BG67" s="17" t="str">
        <f>IF(OR(BG$23="",ISNA($B67)),"",IF(ISBLANK($B67),"",IFERROR(_xll.BDP(TICKER,"DEEP_MEASURE_PERIOD_BROKER_VALUE","DEEP_MEASURE_ID_OVERRIDE",$C67,"DEEP_BROKER_ID_OVERRIDE",BG$24,"DEEP_PERIOD_OVERRIDE",$H$19)*1,"")))</f>
        <v/>
      </c>
      <c r="BH67" s="17" t="str">
        <f>IF(OR(BH$23="",ISNA($B67)),"",IF(ISBLANK($B67),"",IFERROR(_xll.BDP(TICKER,"DEEP_MEASURE_PERIOD_BROKER_VALUE","DEEP_MEASURE_ID_OVERRIDE",$C67,"DEEP_BROKER_ID_OVERRIDE",BH$24,"DEEP_PERIOD_OVERRIDE",$H$19)*1,"")))</f>
        <v/>
      </c>
      <c r="BI67" s="17" t="str">
        <f>IF(OR(BI$23="",ISNA($B67)),"",IF(ISBLANK($B67),"",IFERROR(_xll.BDP(TICKER,"DEEP_MEASURE_PERIOD_BROKER_VALUE","DEEP_MEASURE_ID_OVERRIDE",$C67,"DEEP_BROKER_ID_OVERRIDE",BI$24,"DEEP_PERIOD_OVERRIDE",$H$19)*1,"")))</f>
        <v/>
      </c>
      <c r="BJ67" s="17" t="str">
        <f>IF(OR(BJ$23="",ISNA($B67)),"",IF(ISBLANK($B67),"",IFERROR(_xll.BDP(TICKER,"DEEP_MEASURE_PERIOD_BROKER_VALUE","DEEP_MEASURE_ID_OVERRIDE",$C67,"DEEP_BROKER_ID_OVERRIDE",BJ$24,"DEEP_PERIOD_OVERRIDE",$H$19)*1,"")))</f>
        <v/>
      </c>
      <c r="BK67" s="17" t="str">
        <f>IF(OR(BK$23="",ISNA($B67)),"",IF(ISBLANK($B67),"",IFERROR(_xll.BDP(TICKER,"DEEP_MEASURE_PERIOD_BROKER_VALUE","DEEP_MEASURE_ID_OVERRIDE",$C67,"DEEP_BROKER_ID_OVERRIDE",BK$24,"DEEP_PERIOD_OVERRIDE",$H$19)*1,"")))</f>
        <v/>
      </c>
      <c r="BL67" s="17" t="str">
        <f>IF(OR(BL$23="",ISNA($B67)),"",IF(ISBLANK($B67),"",IFERROR(_xll.BDP(TICKER,"DEEP_MEASURE_PERIOD_BROKER_VALUE","DEEP_MEASURE_ID_OVERRIDE",$C67,"DEEP_BROKER_ID_OVERRIDE",BL$24,"DEEP_PERIOD_OVERRIDE",$H$19)*1,"")))</f>
        <v/>
      </c>
      <c r="BM67" s="17" t="str">
        <f>IF(OR(BM$23="",ISNA($B67)),"",IF(ISBLANK($B67),"",IFERROR(_xll.BDP(TICKER,"DEEP_MEASURE_PERIOD_BROKER_VALUE","DEEP_MEASURE_ID_OVERRIDE",$C67,"DEEP_BROKER_ID_OVERRIDE",BM$24,"DEEP_PERIOD_OVERRIDE",$H$19)*1,"")))</f>
        <v/>
      </c>
      <c r="BN67" s="17" t="str">
        <f>IF(OR(BN$23="",ISNA($B67)),"",IF(ISBLANK($B67),"",IFERROR(_xll.BDP(TICKER,"DEEP_MEASURE_PERIOD_BROKER_VALUE","DEEP_MEASURE_ID_OVERRIDE",$C67,"DEEP_BROKER_ID_OVERRIDE",BN$24,"DEEP_PERIOD_OVERRIDE",$H$19)*1,"")))</f>
        <v/>
      </c>
      <c r="BO67" s="17" t="str">
        <f>IF(OR(BO$23="",ISNA($B67)),"",IF(ISBLANK($B67),"",IFERROR(_xll.BDP(TICKER,"DEEP_MEASURE_PERIOD_BROKER_VALUE","DEEP_MEASURE_ID_OVERRIDE",$C67,"DEEP_BROKER_ID_OVERRIDE",BO$24,"DEEP_PERIOD_OVERRIDE",$H$19)*1,"")))</f>
        <v/>
      </c>
      <c r="BP67" s="17" t="str">
        <f>IF(OR(BP$23="",ISNA($B67)),"",IF(ISBLANK($B67),"",IFERROR(_xll.BDP(TICKER,"DEEP_MEASURE_PERIOD_BROKER_VALUE","DEEP_MEASURE_ID_OVERRIDE",$C67,"DEEP_BROKER_ID_OVERRIDE",BP$24,"DEEP_PERIOD_OVERRIDE",$H$19)*1,"")))</f>
        <v/>
      </c>
      <c r="BQ67" s="17" t="str">
        <f>IF(OR(BQ$23="",ISNA($B67)),"",IF(ISBLANK($B67),"",IFERROR(_xll.BDP(TICKER,"DEEP_MEASURE_PERIOD_BROKER_VALUE","DEEP_MEASURE_ID_OVERRIDE",$C67,"DEEP_BROKER_ID_OVERRIDE",BQ$24,"DEEP_PERIOD_OVERRIDE",$H$19)*1,"")))</f>
        <v/>
      </c>
      <c r="BR67" s="17" t="str">
        <f>IF(OR(BR$23="",ISNA($B67)),"",IF(ISBLANK($B67),"",IFERROR(_xll.BDP(TICKER,"DEEP_MEASURE_PERIOD_BROKER_VALUE","DEEP_MEASURE_ID_OVERRIDE",$C67,"DEEP_BROKER_ID_OVERRIDE",BR$24,"DEEP_PERIOD_OVERRIDE",$H$19)*1,"")))</f>
        <v/>
      </c>
      <c r="BS67" s="17" t="str">
        <f>IF(OR(BS$23="",ISNA($B67)),"",IF(ISBLANK($B67),"",IFERROR(_xll.BDP(TICKER,"DEEP_MEASURE_PERIOD_BROKER_VALUE","DEEP_MEASURE_ID_OVERRIDE",$C67,"DEEP_BROKER_ID_OVERRIDE",BS$24,"DEEP_PERIOD_OVERRIDE",$H$19)*1,"")))</f>
        <v/>
      </c>
      <c r="BT67" s="17" t="str">
        <f>IF(OR(BT$23="",ISNA($B67)),"",IF(ISBLANK($B67),"",IFERROR(_xll.BDP(TICKER,"DEEP_MEASURE_PERIOD_BROKER_VALUE","DEEP_MEASURE_ID_OVERRIDE",$C67,"DEEP_BROKER_ID_OVERRIDE",BT$24,"DEEP_PERIOD_OVERRIDE",$H$19)*1,"")))</f>
        <v/>
      </c>
      <c r="BU67" s="17" t="str">
        <f>IF(OR(BU$23="",ISNA($B67)),"",IF(ISBLANK($B67),"",IFERROR(_xll.BDP(TICKER,"DEEP_MEASURE_PERIOD_BROKER_VALUE","DEEP_MEASURE_ID_OVERRIDE",$C67,"DEEP_BROKER_ID_OVERRIDE",BU$24,"DEEP_PERIOD_OVERRIDE",$H$19)*1,"")))</f>
        <v/>
      </c>
      <c r="BV67" s="17" t="str">
        <f>IF(OR(BV$23="",ISNA($B67)),"",IF(ISBLANK($B67),"",IFERROR(_xll.BDP(TICKER,"DEEP_MEASURE_PERIOD_BROKER_VALUE","DEEP_MEASURE_ID_OVERRIDE",$C67,"DEEP_BROKER_ID_OVERRIDE",BV$24,"DEEP_PERIOD_OVERRIDE",$H$19)*1,"")))</f>
        <v/>
      </c>
      <c r="BW67" s="17" t="str">
        <f>IF(OR(BW$23="",ISNA($B67)),"",IF(ISBLANK($B67),"",IFERROR(_xll.BDP(TICKER,"DEEP_MEASURE_PERIOD_BROKER_VALUE","DEEP_MEASURE_ID_OVERRIDE",$C67,"DEEP_BROKER_ID_OVERRIDE",BW$24,"DEEP_PERIOD_OVERRIDE",$H$19)*1,"")))</f>
        <v/>
      </c>
      <c r="BX67" s="17" t="str">
        <f>IF(OR(BX$23="",ISNA($B67)),"",IF(ISBLANK($B67),"",IFERROR(_xll.BDP(TICKER,"DEEP_MEASURE_PERIOD_BROKER_VALUE","DEEP_MEASURE_ID_OVERRIDE",$C67,"DEEP_BROKER_ID_OVERRIDE",BX$24,"DEEP_PERIOD_OVERRIDE",$H$19)*1,"")))</f>
        <v/>
      </c>
      <c r="BY67" s="17" t="str">
        <f>IF(OR(BY$23="",ISNA($B67)),"",IF(ISBLANK($B67),"",IFERROR(_xll.BDP(TICKER,"DEEP_MEASURE_PERIOD_BROKER_VALUE","DEEP_MEASURE_ID_OVERRIDE",$C67,"DEEP_BROKER_ID_OVERRIDE",BY$24,"DEEP_PERIOD_OVERRIDE",$H$19)*1,"")))</f>
        <v/>
      </c>
      <c r="BZ67" s="17" t="str">
        <f>IF(OR(BZ$23="",ISNA($B67)),"",IF(ISBLANK($B67),"",IFERROR(_xll.BDP(TICKER,"DEEP_MEASURE_PERIOD_BROKER_VALUE","DEEP_MEASURE_ID_OVERRIDE",$C67,"DEEP_BROKER_ID_OVERRIDE",BZ$24,"DEEP_PERIOD_OVERRIDE",$H$19)*1,"")))</f>
        <v/>
      </c>
    </row>
    <row r="68" spans="2:78" x14ac:dyDescent="0.25">
      <c r="B68" t="s">
        <v>112</v>
      </c>
      <c r="C68">
        <v>1943</v>
      </c>
      <c r="H68" t="str">
        <f t="shared" si="1"/>
        <v>Total Revenue &gt; Hotel &gt; Revenue &gt; TripAdvisor-branded Display-based Advertising &amp; Subscription &gt; As % of Revenue</v>
      </c>
      <c r="I68" t="str">
        <f>IF(OR(I$23="",ISNA($B68)),"",IF(ISBLANK($B68),"",IFERROR(_xll.BDP(TICKER,"DEEP_MEASURE_PERIOD_BROKER_VALUE","DEEP_MEASURE_ID_OVERRIDE",$C68,"DEEP_PERIOD_OVERRIDE",$H$19)*1,"")))</f>
        <v/>
      </c>
      <c r="J68" t="e">
        <f>IF(OR(J$23="",ISNA($B68)),"",IF(ISBLANK($B68),"",IFERROR(_xll.BDP(TICKER,"DEEP_MEASURE_PERIOD_BROKER_VALUE","DEEP_MEASURE_ID_OVERRIDE",$C68,"DEEP_BROKER_ID_OVERRIDE",J$24,"DEEP_PERIOD_OVERRIDE",$H$19)*1,"")))</f>
        <v>#REF!</v>
      </c>
      <c r="K68" s="17" t="str">
        <f>IF(OR(K$23="",ISNA($B68)),"",IF(ISBLANK($B68),"",IFERROR(_xll.BDP(TICKER,"DEEP_MEASURE_PERIOD_BROKER_VALUE","DEEP_MEASURE_ID_OVERRIDE",$C68,"DEEP_BROKER_ID_OVERRIDE",K$24,"DEEP_PERIOD_OVERRIDE",$H$19)*1,"")))</f>
        <v/>
      </c>
      <c r="L68" s="17" t="str">
        <f>IF(OR(L$23="",ISNA($B68)),"",IF(ISBLANK($B68),"",IFERROR(_xll.BDP(TICKER,"DEEP_MEASURE_PERIOD_BROKER_VALUE","DEEP_MEASURE_ID_OVERRIDE",$C68,"DEEP_BROKER_ID_OVERRIDE",L$24,"DEEP_PERIOD_OVERRIDE",$H$19)*1,"")))</f>
        <v/>
      </c>
      <c r="M68" s="17" t="str">
        <f>IF(OR(M$23="",ISNA($B68)),"",IF(ISBLANK($B68),"",IFERROR(_xll.BDP(TICKER,"DEEP_MEASURE_PERIOD_BROKER_VALUE","DEEP_MEASURE_ID_OVERRIDE",$C68,"DEEP_BROKER_ID_OVERRIDE",M$24,"DEEP_PERIOD_OVERRIDE",$H$19)*1,"")))</f>
        <v/>
      </c>
      <c r="N68" s="17" t="str">
        <f>IF(OR(N$23="",ISNA($B68)),"",IF(ISBLANK($B68),"",IFERROR(_xll.BDP(TICKER,"DEEP_MEASURE_PERIOD_BROKER_VALUE","DEEP_MEASURE_ID_OVERRIDE",$C68,"DEEP_BROKER_ID_OVERRIDE",N$24,"DEEP_PERIOD_OVERRIDE",$H$19)*1,"")))</f>
        <v/>
      </c>
      <c r="O68" s="17" t="str">
        <f>IF(OR(O$23="",ISNA($B68)),"",IF(ISBLANK($B68),"",IFERROR(_xll.BDP(TICKER,"DEEP_MEASURE_PERIOD_BROKER_VALUE","DEEP_MEASURE_ID_OVERRIDE",$C68,"DEEP_BROKER_ID_OVERRIDE",O$24,"DEEP_PERIOD_OVERRIDE",$H$19)*1,"")))</f>
        <v/>
      </c>
      <c r="P68" s="17" t="str">
        <f>IF(OR(P$23="",ISNA($B68)),"",IF(ISBLANK($B68),"",IFERROR(_xll.BDP(TICKER,"DEEP_MEASURE_PERIOD_BROKER_VALUE","DEEP_MEASURE_ID_OVERRIDE",$C68,"DEEP_BROKER_ID_OVERRIDE",P$24,"DEEP_PERIOD_OVERRIDE",$H$19)*1,"")))</f>
        <v/>
      </c>
      <c r="Q68" s="17" t="str">
        <f>IF(OR(Q$23="",ISNA($B68)),"",IF(ISBLANK($B68),"",IFERROR(_xll.BDP(TICKER,"DEEP_MEASURE_PERIOD_BROKER_VALUE","DEEP_MEASURE_ID_OVERRIDE",$C68,"DEEP_BROKER_ID_OVERRIDE",Q$24,"DEEP_PERIOD_OVERRIDE",$H$19)*1,"")))</f>
        <v/>
      </c>
      <c r="R68" s="17" t="str">
        <f>IF(OR(R$23="",ISNA($B68)),"",IF(ISBLANK($B68),"",IFERROR(_xll.BDP(TICKER,"DEEP_MEASURE_PERIOD_BROKER_VALUE","DEEP_MEASURE_ID_OVERRIDE",$C68,"DEEP_BROKER_ID_OVERRIDE",R$24,"DEEP_PERIOD_OVERRIDE",$H$19)*1,"")))</f>
        <v/>
      </c>
      <c r="S68" s="17" t="str">
        <f>IF(OR(S$23="",ISNA($B68)),"",IF(ISBLANK($B68),"",IFERROR(_xll.BDP(TICKER,"DEEP_MEASURE_PERIOD_BROKER_VALUE","DEEP_MEASURE_ID_OVERRIDE",$C68,"DEEP_BROKER_ID_OVERRIDE",S$24,"DEEP_PERIOD_OVERRIDE",$H$19)*1,"")))</f>
        <v/>
      </c>
      <c r="T68" s="17" t="str">
        <f>IF(OR(T$23="",ISNA($B68)),"",IF(ISBLANK($B68),"",IFERROR(_xll.BDP(TICKER,"DEEP_MEASURE_PERIOD_BROKER_VALUE","DEEP_MEASURE_ID_OVERRIDE",$C68,"DEEP_BROKER_ID_OVERRIDE",T$24,"DEEP_PERIOD_OVERRIDE",$H$19)*1,"")))</f>
        <v/>
      </c>
      <c r="U68" s="17" t="str">
        <f>IF(OR(U$23="",ISNA($B68)),"",IF(ISBLANK($B68),"",IFERROR(_xll.BDP(TICKER,"DEEP_MEASURE_PERIOD_BROKER_VALUE","DEEP_MEASURE_ID_OVERRIDE",$C68,"DEEP_BROKER_ID_OVERRIDE",U$24,"DEEP_PERIOD_OVERRIDE",$H$19)*1,"")))</f>
        <v/>
      </c>
      <c r="V68" s="17" t="str">
        <f>IF(OR(V$23="",ISNA($B68)),"",IF(ISBLANK($B68),"",IFERROR(_xll.BDP(TICKER,"DEEP_MEASURE_PERIOD_BROKER_VALUE","DEEP_MEASURE_ID_OVERRIDE",$C68,"DEEP_BROKER_ID_OVERRIDE",V$24,"DEEP_PERIOD_OVERRIDE",$H$19)*1,"")))</f>
        <v/>
      </c>
      <c r="W68" s="17" t="str">
        <f>IF(OR(W$23="",ISNA($B68)),"",IF(ISBLANK($B68),"",IFERROR(_xll.BDP(TICKER,"DEEP_MEASURE_PERIOD_BROKER_VALUE","DEEP_MEASURE_ID_OVERRIDE",$C68,"DEEP_BROKER_ID_OVERRIDE",W$24,"DEEP_PERIOD_OVERRIDE",$H$19)*1,"")))</f>
        <v/>
      </c>
      <c r="X68" s="17" t="str">
        <f>IF(OR(X$23="",ISNA($B68)),"",IF(ISBLANK($B68),"",IFERROR(_xll.BDP(TICKER,"DEEP_MEASURE_PERIOD_BROKER_VALUE","DEEP_MEASURE_ID_OVERRIDE",$C68,"DEEP_BROKER_ID_OVERRIDE",X$24,"DEEP_PERIOD_OVERRIDE",$H$19)*1,"")))</f>
        <v/>
      </c>
      <c r="Y68" s="17" t="str">
        <f>IF(OR(Y$23="",ISNA($B68)),"",IF(ISBLANK($B68),"",IFERROR(_xll.BDP(TICKER,"DEEP_MEASURE_PERIOD_BROKER_VALUE","DEEP_MEASURE_ID_OVERRIDE",$C68,"DEEP_BROKER_ID_OVERRIDE",Y$24,"DEEP_PERIOD_OVERRIDE",$H$19)*1,"")))</f>
        <v/>
      </c>
      <c r="Z68" s="17" t="str">
        <f>IF(OR(Z$23="",ISNA($B68)),"",IF(ISBLANK($B68),"",IFERROR(_xll.BDP(TICKER,"DEEP_MEASURE_PERIOD_BROKER_VALUE","DEEP_MEASURE_ID_OVERRIDE",$C68,"DEEP_BROKER_ID_OVERRIDE",Z$24,"DEEP_PERIOD_OVERRIDE",$H$19)*1,"")))</f>
        <v/>
      </c>
      <c r="AA68" s="17" t="str">
        <f>IF(OR(AA$23="",ISNA($B68)),"",IF(ISBLANK($B68),"",IFERROR(_xll.BDP(TICKER,"DEEP_MEASURE_PERIOD_BROKER_VALUE","DEEP_MEASURE_ID_OVERRIDE",$C68,"DEEP_BROKER_ID_OVERRIDE",AA$24,"DEEP_PERIOD_OVERRIDE",$H$19)*1,"")))</f>
        <v/>
      </c>
      <c r="AB68" s="17" t="str">
        <f>IF(OR(AB$23="",ISNA($B68)),"",IF(ISBLANK($B68),"",IFERROR(_xll.BDP(TICKER,"DEEP_MEASURE_PERIOD_BROKER_VALUE","DEEP_MEASURE_ID_OVERRIDE",$C68,"DEEP_BROKER_ID_OVERRIDE",AB$24,"DEEP_PERIOD_OVERRIDE",$H$19)*1,"")))</f>
        <v/>
      </c>
      <c r="AC68" s="17" t="str">
        <f>IF(OR(AC$23="",ISNA($B68)),"",IF(ISBLANK($B68),"",IFERROR(_xll.BDP(TICKER,"DEEP_MEASURE_PERIOD_BROKER_VALUE","DEEP_MEASURE_ID_OVERRIDE",$C68,"DEEP_BROKER_ID_OVERRIDE",AC$24,"DEEP_PERIOD_OVERRIDE",$H$19)*1,"")))</f>
        <v/>
      </c>
      <c r="AD68" s="17" t="str">
        <f>IF(OR(AD$23="",ISNA($B68)),"",IF(ISBLANK($B68),"",IFERROR(_xll.BDP(TICKER,"DEEP_MEASURE_PERIOD_BROKER_VALUE","DEEP_MEASURE_ID_OVERRIDE",$C68,"DEEP_BROKER_ID_OVERRIDE",AD$24,"DEEP_PERIOD_OVERRIDE",$H$19)*1,"")))</f>
        <v/>
      </c>
      <c r="AE68" s="17" t="str">
        <f>IF(OR(AE$23="",ISNA($B68)),"",IF(ISBLANK($B68),"",IFERROR(_xll.BDP(TICKER,"DEEP_MEASURE_PERIOD_BROKER_VALUE","DEEP_MEASURE_ID_OVERRIDE",$C68,"DEEP_BROKER_ID_OVERRIDE",AE$24,"DEEP_PERIOD_OVERRIDE",$H$19)*1,"")))</f>
        <v/>
      </c>
      <c r="AF68" s="17" t="str">
        <f>IF(OR(AF$23="",ISNA($B68)),"",IF(ISBLANK($B68),"",IFERROR(_xll.BDP(TICKER,"DEEP_MEASURE_PERIOD_BROKER_VALUE","DEEP_MEASURE_ID_OVERRIDE",$C68,"DEEP_BROKER_ID_OVERRIDE",AF$24,"DEEP_PERIOD_OVERRIDE",$H$19)*1,"")))</f>
        <v/>
      </c>
      <c r="AG68" s="17" t="str">
        <f>IF(OR(AG$23="",ISNA($B68)),"",IF(ISBLANK($B68),"",IFERROR(_xll.BDP(TICKER,"DEEP_MEASURE_PERIOD_BROKER_VALUE","DEEP_MEASURE_ID_OVERRIDE",$C68,"DEEP_BROKER_ID_OVERRIDE",AG$24,"DEEP_PERIOD_OVERRIDE",$H$19)*1,"")))</f>
        <v/>
      </c>
      <c r="AH68" s="17" t="str">
        <f>IF(OR(AH$23="",ISNA($B68)),"",IF(ISBLANK($B68),"",IFERROR(_xll.BDP(TICKER,"DEEP_MEASURE_PERIOD_BROKER_VALUE","DEEP_MEASURE_ID_OVERRIDE",$C68,"DEEP_BROKER_ID_OVERRIDE",AH$24,"DEEP_PERIOD_OVERRIDE",$H$19)*1,"")))</f>
        <v/>
      </c>
      <c r="AI68" s="17" t="str">
        <f>IF(OR(AI$23="",ISNA($B68)),"",IF(ISBLANK($B68),"",IFERROR(_xll.BDP(TICKER,"DEEP_MEASURE_PERIOD_BROKER_VALUE","DEEP_MEASURE_ID_OVERRIDE",$C68,"DEEP_BROKER_ID_OVERRIDE",AI$24,"DEEP_PERIOD_OVERRIDE",$H$19)*1,"")))</f>
        <v/>
      </c>
      <c r="AJ68" s="17" t="str">
        <f>IF(OR(AJ$23="",ISNA($B68)),"",IF(ISBLANK($B68),"",IFERROR(_xll.BDP(TICKER,"DEEP_MEASURE_PERIOD_BROKER_VALUE","DEEP_MEASURE_ID_OVERRIDE",$C68,"DEEP_BROKER_ID_OVERRIDE",AJ$24,"DEEP_PERIOD_OVERRIDE",$H$19)*1,"")))</f>
        <v/>
      </c>
      <c r="AK68" s="17" t="str">
        <f>IF(OR(AK$23="",ISNA($B68)),"",IF(ISBLANK($B68),"",IFERROR(_xll.BDP(TICKER,"DEEP_MEASURE_PERIOD_BROKER_VALUE","DEEP_MEASURE_ID_OVERRIDE",$C68,"DEEP_BROKER_ID_OVERRIDE",AK$24,"DEEP_PERIOD_OVERRIDE",$H$19)*1,"")))</f>
        <v/>
      </c>
      <c r="AL68" s="17" t="str">
        <f>IF(OR(AL$23="",ISNA($B68)),"",IF(ISBLANK($B68),"",IFERROR(_xll.BDP(TICKER,"DEEP_MEASURE_PERIOD_BROKER_VALUE","DEEP_MEASURE_ID_OVERRIDE",$C68,"DEEP_BROKER_ID_OVERRIDE",AL$24,"DEEP_PERIOD_OVERRIDE",$H$19)*1,"")))</f>
        <v/>
      </c>
      <c r="AM68" s="17" t="str">
        <f>IF(OR(AM$23="",ISNA($B68)),"",IF(ISBLANK($B68),"",IFERROR(_xll.BDP(TICKER,"DEEP_MEASURE_PERIOD_BROKER_VALUE","DEEP_MEASURE_ID_OVERRIDE",$C68,"DEEP_BROKER_ID_OVERRIDE",AM$24,"DEEP_PERIOD_OVERRIDE",$H$19)*1,"")))</f>
        <v/>
      </c>
      <c r="AN68" s="17" t="str">
        <f>IF(OR(AN$23="",ISNA($B68)),"",IF(ISBLANK($B68),"",IFERROR(_xll.BDP(TICKER,"DEEP_MEASURE_PERIOD_BROKER_VALUE","DEEP_MEASURE_ID_OVERRIDE",$C68,"DEEP_BROKER_ID_OVERRIDE",AN$24,"DEEP_PERIOD_OVERRIDE",$H$19)*1,"")))</f>
        <v/>
      </c>
      <c r="AO68" s="17" t="str">
        <f>IF(OR(AO$23="",ISNA($B68)),"",IF(ISBLANK($B68),"",IFERROR(_xll.BDP(TICKER,"DEEP_MEASURE_PERIOD_BROKER_VALUE","DEEP_MEASURE_ID_OVERRIDE",$C68,"DEEP_BROKER_ID_OVERRIDE",AO$24,"DEEP_PERIOD_OVERRIDE",$H$19)*1,"")))</f>
        <v/>
      </c>
      <c r="AP68" s="17" t="str">
        <f>IF(OR(AP$23="",ISNA($B68)),"",IF(ISBLANK($B68),"",IFERROR(_xll.BDP(TICKER,"DEEP_MEASURE_PERIOD_BROKER_VALUE","DEEP_MEASURE_ID_OVERRIDE",$C68,"DEEP_BROKER_ID_OVERRIDE",AP$24,"DEEP_PERIOD_OVERRIDE",$H$19)*1,"")))</f>
        <v/>
      </c>
      <c r="AQ68" s="17" t="str">
        <f>IF(OR(AQ$23="",ISNA($B68)),"",IF(ISBLANK($B68),"",IFERROR(_xll.BDP(TICKER,"DEEP_MEASURE_PERIOD_BROKER_VALUE","DEEP_MEASURE_ID_OVERRIDE",$C68,"DEEP_BROKER_ID_OVERRIDE",AQ$24,"DEEP_PERIOD_OVERRIDE",$H$19)*1,"")))</f>
        <v/>
      </c>
      <c r="AR68" s="17" t="str">
        <f>IF(OR(AR$23="",ISNA($B68)),"",IF(ISBLANK($B68),"",IFERROR(_xll.BDP(TICKER,"DEEP_MEASURE_PERIOD_BROKER_VALUE","DEEP_MEASURE_ID_OVERRIDE",$C68,"DEEP_BROKER_ID_OVERRIDE",AR$24,"DEEP_PERIOD_OVERRIDE",$H$19)*1,"")))</f>
        <v/>
      </c>
      <c r="AS68" s="17" t="str">
        <f>IF(OR(AS$23="",ISNA($B68)),"",IF(ISBLANK($B68),"",IFERROR(_xll.BDP(TICKER,"DEEP_MEASURE_PERIOD_BROKER_VALUE","DEEP_MEASURE_ID_OVERRIDE",$C68,"DEEP_BROKER_ID_OVERRIDE",AS$24,"DEEP_PERIOD_OVERRIDE",$H$19)*1,"")))</f>
        <v/>
      </c>
      <c r="AT68" s="17" t="str">
        <f>IF(OR(AT$23="",ISNA($B68)),"",IF(ISBLANK($B68),"",IFERROR(_xll.BDP(TICKER,"DEEP_MEASURE_PERIOD_BROKER_VALUE","DEEP_MEASURE_ID_OVERRIDE",$C68,"DEEP_BROKER_ID_OVERRIDE",AT$24,"DEEP_PERIOD_OVERRIDE",$H$19)*1,"")))</f>
        <v/>
      </c>
      <c r="AU68" s="17" t="str">
        <f>IF(OR(AU$23="",ISNA($B68)),"",IF(ISBLANK($B68),"",IFERROR(_xll.BDP(TICKER,"DEEP_MEASURE_PERIOD_BROKER_VALUE","DEEP_MEASURE_ID_OVERRIDE",$C68,"DEEP_BROKER_ID_OVERRIDE",AU$24,"DEEP_PERIOD_OVERRIDE",$H$19)*1,"")))</f>
        <v/>
      </c>
      <c r="AV68" s="17" t="str">
        <f>IF(OR(AV$23="",ISNA($B68)),"",IF(ISBLANK($B68),"",IFERROR(_xll.BDP(TICKER,"DEEP_MEASURE_PERIOD_BROKER_VALUE","DEEP_MEASURE_ID_OVERRIDE",$C68,"DEEP_BROKER_ID_OVERRIDE",AV$24,"DEEP_PERIOD_OVERRIDE",$H$19)*1,"")))</f>
        <v/>
      </c>
      <c r="AW68" s="17" t="str">
        <f>IF(OR(AW$23="",ISNA($B68)),"",IF(ISBLANK($B68),"",IFERROR(_xll.BDP(TICKER,"DEEP_MEASURE_PERIOD_BROKER_VALUE","DEEP_MEASURE_ID_OVERRIDE",$C68,"DEEP_BROKER_ID_OVERRIDE",AW$24,"DEEP_PERIOD_OVERRIDE",$H$19)*1,"")))</f>
        <v/>
      </c>
      <c r="AX68" s="17" t="str">
        <f>IF(OR(AX$23="",ISNA($B68)),"",IF(ISBLANK($B68),"",IFERROR(_xll.BDP(TICKER,"DEEP_MEASURE_PERIOD_BROKER_VALUE","DEEP_MEASURE_ID_OVERRIDE",$C68,"DEEP_BROKER_ID_OVERRIDE",AX$24,"DEEP_PERIOD_OVERRIDE",$H$19)*1,"")))</f>
        <v/>
      </c>
      <c r="AY68" s="17" t="str">
        <f>IF(OR(AY$23="",ISNA($B68)),"",IF(ISBLANK($B68),"",IFERROR(_xll.BDP(TICKER,"DEEP_MEASURE_PERIOD_BROKER_VALUE","DEEP_MEASURE_ID_OVERRIDE",$C68,"DEEP_BROKER_ID_OVERRIDE",AY$24,"DEEP_PERIOD_OVERRIDE",$H$19)*1,"")))</f>
        <v/>
      </c>
      <c r="AZ68" s="17" t="str">
        <f>IF(OR(AZ$23="",ISNA($B68)),"",IF(ISBLANK($B68),"",IFERROR(_xll.BDP(TICKER,"DEEP_MEASURE_PERIOD_BROKER_VALUE","DEEP_MEASURE_ID_OVERRIDE",$C68,"DEEP_BROKER_ID_OVERRIDE",AZ$24,"DEEP_PERIOD_OVERRIDE",$H$19)*1,"")))</f>
        <v/>
      </c>
      <c r="BA68" s="17" t="str">
        <f>IF(OR(BA$23="",ISNA($B68)),"",IF(ISBLANK($B68),"",IFERROR(_xll.BDP(TICKER,"DEEP_MEASURE_PERIOD_BROKER_VALUE","DEEP_MEASURE_ID_OVERRIDE",$C68,"DEEP_BROKER_ID_OVERRIDE",BA$24,"DEEP_PERIOD_OVERRIDE",$H$19)*1,"")))</f>
        <v/>
      </c>
      <c r="BB68" s="17" t="str">
        <f>IF(OR(BB$23="",ISNA($B68)),"",IF(ISBLANK($B68),"",IFERROR(_xll.BDP(TICKER,"DEEP_MEASURE_PERIOD_BROKER_VALUE","DEEP_MEASURE_ID_OVERRIDE",$C68,"DEEP_BROKER_ID_OVERRIDE",BB$24,"DEEP_PERIOD_OVERRIDE",$H$19)*1,"")))</f>
        <v/>
      </c>
      <c r="BC68" s="17" t="str">
        <f>IF(OR(BC$23="",ISNA($B68)),"",IF(ISBLANK($B68),"",IFERROR(_xll.BDP(TICKER,"DEEP_MEASURE_PERIOD_BROKER_VALUE","DEEP_MEASURE_ID_OVERRIDE",$C68,"DEEP_BROKER_ID_OVERRIDE",BC$24,"DEEP_PERIOD_OVERRIDE",$H$19)*1,"")))</f>
        <v/>
      </c>
      <c r="BD68" s="17" t="str">
        <f>IF(OR(BD$23="",ISNA($B68)),"",IF(ISBLANK($B68),"",IFERROR(_xll.BDP(TICKER,"DEEP_MEASURE_PERIOD_BROKER_VALUE","DEEP_MEASURE_ID_OVERRIDE",$C68,"DEEP_BROKER_ID_OVERRIDE",BD$24,"DEEP_PERIOD_OVERRIDE",$H$19)*1,"")))</f>
        <v/>
      </c>
      <c r="BE68" s="17" t="str">
        <f>IF(OR(BE$23="",ISNA($B68)),"",IF(ISBLANK($B68),"",IFERROR(_xll.BDP(TICKER,"DEEP_MEASURE_PERIOD_BROKER_VALUE","DEEP_MEASURE_ID_OVERRIDE",$C68,"DEEP_BROKER_ID_OVERRIDE",BE$24,"DEEP_PERIOD_OVERRIDE",$H$19)*1,"")))</f>
        <v/>
      </c>
      <c r="BF68" s="17" t="str">
        <f>IF(OR(BF$23="",ISNA($B68)),"",IF(ISBLANK($B68),"",IFERROR(_xll.BDP(TICKER,"DEEP_MEASURE_PERIOD_BROKER_VALUE","DEEP_MEASURE_ID_OVERRIDE",$C68,"DEEP_BROKER_ID_OVERRIDE",BF$24,"DEEP_PERIOD_OVERRIDE",$H$19)*1,"")))</f>
        <v/>
      </c>
      <c r="BG68" s="17" t="str">
        <f>IF(OR(BG$23="",ISNA($B68)),"",IF(ISBLANK($B68),"",IFERROR(_xll.BDP(TICKER,"DEEP_MEASURE_PERIOD_BROKER_VALUE","DEEP_MEASURE_ID_OVERRIDE",$C68,"DEEP_BROKER_ID_OVERRIDE",BG$24,"DEEP_PERIOD_OVERRIDE",$H$19)*1,"")))</f>
        <v/>
      </c>
      <c r="BH68" s="17" t="str">
        <f>IF(OR(BH$23="",ISNA($B68)),"",IF(ISBLANK($B68),"",IFERROR(_xll.BDP(TICKER,"DEEP_MEASURE_PERIOD_BROKER_VALUE","DEEP_MEASURE_ID_OVERRIDE",$C68,"DEEP_BROKER_ID_OVERRIDE",BH$24,"DEEP_PERIOD_OVERRIDE",$H$19)*1,"")))</f>
        <v/>
      </c>
      <c r="BI68" s="17" t="str">
        <f>IF(OR(BI$23="",ISNA($B68)),"",IF(ISBLANK($B68),"",IFERROR(_xll.BDP(TICKER,"DEEP_MEASURE_PERIOD_BROKER_VALUE","DEEP_MEASURE_ID_OVERRIDE",$C68,"DEEP_BROKER_ID_OVERRIDE",BI$24,"DEEP_PERIOD_OVERRIDE",$H$19)*1,"")))</f>
        <v/>
      </c>
      <c r="BJ68" s="17" t="str">
        <f>IF(OR(BJ$23="",ISNA($B68)),"",IF(ISBLANK($B68),"",IFERROR(_xll.BDP(TICKER,"DEEP_MEASURE_PERIOD_BROKER_VALUE","DEEP_MEASURE_ID_OVERRIDE",$C68,"DEEP_BROKER_ID_OVERRIDE",BJ$24,"DEEP_PERIOD_OVERRIDE",$H$19)*1,"")))</f>
        <v/>
      </c>
      <c r="BK68" s="17" t="str">
        <f>IF(OR(BK$23="",ISNA($B68)),"",IF(ISBLANK($B68),"",IFERROR(_xll.BDP(TICKER,"DEEP_MEASURE_PERIOD_BROKER_VALUE","DEEP_MEASURE_ID_OVERRIDE",$C68,"DEEP_BROKER_ID_OVERRIDE",BK$24,"DEEP_PERIOD_OVERRIDE",$H$19)*1,"")))</f>
        <v/>
      </c>
      <c r="BL68" s="17" t="str">
        <f>IF(OR(BL$23="",ISNA($B68)),"",IF(ISBLANK($B68),"",IFERROR(_xll.BDP(TICKER,"DEEP_MEASURE_PERIOD_BROKER_VALUE","DEEP_MEASURE_ID_OVERRIDE",$C68,"DEEP_BROKER_ID_OVERRIDE",BL$24,"DEEP_PERIOD_OVERRIDE",$H$19)*1,"")))</f>
        <v/>
      </c>
      <c r="BM68" s="17" t="str">
        <f>IF(OR(BM$23="",ISNA($B68)),"",IF(ISBLANK($B68),"",IFERROR(_xll.BDP(TICKER,"DEEP_MEASURE_PERIOD_BROKER_VALUE","DEEP_MEASURE_ID_OVERRIDE",$C68,"DEEP_BROKER_ID_OVERRIDE",BM$24,"DEEP_PERIOD_OVERRIDE",$H$19)*1,"")))</f>
        <v/>
      </c>
      <c r="BN68" s="17" t="str">
        <f>IF(OR(BN$23="",ISNA($B68)),"",IF(ISBLANK($B68),"",IFERROR(_xll.BDP(TICKER,"DEEP_MEASURE_PERIOD_BROKER_VALUE","DEEP_MEASURE_ID_OVERRIDE",$C68,"DEEP_BROKER_ID_OVERRIDE",BN$24,"DEEP_PERIOD_OVERRIDE",$H$19)*1,"")))</f>
        <v/>
      </c>
      <c r="BO68" s="17" t="str">
        <f>IF(OR(BO$23="",ISNA($B68)),"",IF(ISBLANK($B68),"",IFERROR(_xll.BDP(TICKER,"DEEP_MEASURE_PERIOD_BROKER_VALUE","DEEP_MEASURE_ID_OVERRIDE",$C68,"DEEP_BROKER_ID_OVERRIDE",BO$24,"DEEP_PERIOD_OVERRIDE",$H$19)*1,"")))</f>
        <v/>
      </c>
      <c r="BP68" s="17" t="str">
        <f>IF(OR(BP$23="",ISNA($B68)),"",IF(ISBLANK($B68),"",IFERROR(_xll.BDP(TICKER,"DEEP_MEASURE_PERIOD_BROKER_VALUE","DEEP_MEASURE_ID_OVERRIDE",$C68,"DEEP_BROKER_ID_OVERRIDE",BP$24,"DEEP_PERIOD_OVERRIDE",$H$19)*1,"")))</f>
        <v/>
      </c>
      <c r="BQ68" s="17" t="str">
        <f>IF(OR(BQ$23="",ISNA($B68)),"",IF(ISBLANK($B68),"",IFERROR(_xll.BDP(TICKER,"DEEP_MEASURE_PERIOD_BROKER_VALUE","DEEP_MEASURE_ID_OVERRIDE",$C68,"DEEP_BROKER_ID_OVERRIDE",BQ$24,"DEEP_PERIOD_OVERRIDE",$H$19)*1,"")))</f>
        <v/>
      </c>
      <c r="BR68" s="17" t="str">
        <f>IF(OR(BR$23="",ISNA($B68)),"",IF(ISBLANK($B68),"",IFERROR(_xll.BDP(TICKER,"DEEP_MEASURE_PERIOD_BROKER_VALUE","DEEP_MEASURE_ID_OVERRIDE",$C68,"DEEP_BROKER_ID_OVERRIDE",BR$24,"DEEP_PERIOD_OVERRIDE",$H$19)*1,"")))</f>
        <v/>
      </c>
      <c r="BS68" s="17" t="str">
        <f>IF(OR(BS$23="",ISNA($B68)),"",IF(ISBLANK($B68),"",IFERROR(_xll.BDP(TICKER,"DEEP_MEASURE_PERIOD_BROKER_VALUE","DEEP_MEASURE_ID_OVERRIDE",$C68,"DEEP_BROKER_ID_OVERRIDE",BS$24,"DEEP_PERIOD_OVERRIDE",$H$19)*1,"")))</f>
        <v/>
      </c>
      <c r="BT68" s="17" t="str">
        <f>IF(OR(BT$23="",ISNA($B68)),"",IF(ISBLANK($B68),"",IFERROR(_xll.BDP(TICKER,"DEEP_MEASURE_PERIOD_BROKER_VALUE","DEEP_MEASURE_ID_OVERRIDE",$C68,"DEEP_BROKER_ID_OVERRIDE",BT$24,"DEEP_PERIOD_OVERRIDE",$H$19)*1,"")))</f>
        <v/>
      </c>
      <c r="BU68" s="17" t="str">
        <f>IF(OR(BU$23="",ISNA($B68)),"",IF(ISBLANK($B68),"",IFERROR(_xll.BDP(TICKER,"DEEP_MEASURE_PERIOD_BROKER_VALUE","DEEP_MEASURE_ID_OVERRIDE",$C68,"DEEP_BROKER_ID_OVERRIDE",BU$24,"DEEP_PERIOD_OVERRIDE",$H$19)*1,"")))</f>
        <v/>
      </c>
      <c r="BV68" s="17" t="str">
        <f>IF(OR(BV$23="",ISNA($B68)),"",IF(ISBLANK($B68),"",IFERROR(_xll.BDP(TICKER,"DEEP_MEASURE_PERIOD_BROKER_VALUE","DEEP_MEASURE_ID_OVERRIDE",$C68,"DEEP_BROKER_ID_OVERRIDE",BV$24,"DEEP_PERIOD_OVERRIDE",$H$19)*1,"")))</f>
        <v/>
      </c>
      <c r="BW68" s="17" t="str">
        <f>IF(OR(BW$23="",ISNA($B68)),"",IF(ISBLANK($B68),"",IFERROR(_xll.BDP(TICKER,"DEEP_MEASURE_PERIOD_BROKER_VALUE","DEEP_MEASURE_ID_OVERRIDE",$C68,"DEEP_BROKER_ID_OVERRIDE",BW$24,"DEEP_PERIOD_OVERRIDE",$H$19)*1,"")))</f>
        <v/>
      </c>
      <c r="BX68" s="17" t="str">
        <f>IF(OR(BX$23="",ISNA($B68)),"",IF(ISBLANK($B68),"",IFERROR(_xll.BDP(TICKER,"DEEP_MEASURE_PERIOD_BROKER_VALUE","DEEP_MEASURE_ID_OVERRIDE",$C68,"DEEP_BROKER_ID_OVERRIDE",BX$24,"DEEP_PERIOD_OVERRIDE",$H$19)*1,"")))</f>
        <v/>
      </c>
      <c r="BY68" s="17" t="str">
        <f>IF(OR(BY$23="",ISNA($B68)),"",IF(ISBLANK($B68),"",IFERROR(_xll.BDP(TICKER,"DEEP_MEASURE_PERIOD_BROKER_VALUE","DEEP_MEASURE_ID_OVERRIDE",$C68,"DEEP_BROKER_ID_OVERRIDE",BY$24,"DEEP_PERIOD_OVERRIDE",$H$19)*1,"")))</f>
        <v/>
      </c>
      <c r="BZ68" s="17" t="str">
        <f>IF(OR(BZ$23="",ISNA($B68)),"",IF(ISBLANK($B68),"",IFERROR(_xll.BDP(TICKER,"DEEP_MEASURE_PERIOD_BROKER_VALUE","DEEP_MEASURE_ID_OVERRIDE",$C68,"DEEP_BROKER_ID_OVERRIDE",BZ$24,"DEEP_PERIOD_OVERRIDE",$H$19)*1,"")))</f>
        <v/>
      </c>
    </row>
    <row r="69" spans="2:78" x14ac:dyDescent="0.25">
      <c r="B69" t="s">
        <v>113</v>
      </c>
      <c r="C69">
        <v>1938</v>
      </c>
      <c r="H69" t="str">
        <f t="shared" si="1"/>
        <v>Total Revenue &gt; Hotel &gt; Revenue &gt; TripAdvisor-branded Display-based Advertising &amp; Subscription &gt; YoY Growth (%)</v>
      </c>
      <c r="I69" t="str">
        <f>IF(OR(I$23="",ISNA($B69)),"",IF(ISBLANK($B69),"",IFERROR(_xll.BDP(TICKER,"DEEP_MEASURE_PERIOD_BROKER_VALUE","DEEP_MEASURE_ID_OVERRIDE",$C69,"DEEP_PERIOD_OVERRIDE",$H$19)*1,"")))</f>
        <v/>
      </c>
      <c r="J69" t="e">
        <f>IF(OR(J$23="",ISNA($B69)),"",IF(ISBLANK($B69),"",IFERROR(_xll.BDP(TICKER,"DEEP_MEASURE_PERIOD_BROKER_VALUE","DEEP_MEASURE_ID_OVERRIDE",$C69,"DEEP_BROKER_ID_OVERRIDE",J$24,"DEEP_PERIOD_OVERRIDE",$H$19)*1,"")))</f>
        <v>#REF!</v>
      </c>
      <c r="K69" s="17" t="str">
        <f>IF(OR(K$23="",ISNA($B69)),"",IF(ISBLANK($B69),"",IFERROR(_xll.BDP(TICKER,"DEEP_MEASURE_PERIOD_BROKER_VALUE","DEEP_MEASURE_ID_OVERRIDE",$C69,"DEEP_BROKER_ID_OVERRIDE",K$24,"DEEP_PERIOD_OVERRIDE",$H$19)*1,"")))</f>
        <v/>
      </c>
      <c r="L69" s="17" t="str">
        <f>IF(OR(L$23="",ISNA($B69)),"",IF(ISBLANK($B69),"",IFERROR(_xll.BDP(TICKER,"DEEP_MEASURE_PERIOD_BROKER_VALUE","DEEP_MEASURE_ID_OVERRIDE",$C69,"DEEP_BROKER_ID_OVERRIDE",L$24,"DEEP_PERIOD_OVERRIDE",$H$19)*1,"")))</f>
        <v/>
      </c>
      <c r="M69" s="17" t="str">
        <f>IF(OR(M$23="",ISNA($B69)),"",IF(ISBLANK($B69),"",IFERROR(_xll.BDP(TICKER,"DEEP_MEASURE_PERIOD_BROKER_VALUE","DEEP_MEASURE_ID_OVERRIDE",$C69,"DEEP_BROKER_ID_OVERRIDE",M$24,"DEEP_PERIOD_OVERRIDE",$H$19)*1,"")))</f>
        <v/>
      </c>
      <c r="N69" s="17" t="str">
        <f>IF(OR(N$23="",ISNA($B69)),"",IF(ISBLANK($B69),"",IFERROR(_xll.BDP(TICKER,"DEEP_MEASURE_PERIOD_BROKER_VALUE","DEEP_MEASURE_ID_OVERRIDE",$C69,"DEEP_BROKER_ID_OVERRIDE",N$24,"DEEP_PERIOD_OVERRIDE",$H$19)*1,"")))</f>
        <v/>
      </c>
      <c r="O69" s="17" t="str">
        <f>IF(OR(O$23="",ISNA($B69)),"",IF(ISBLANK($B69),"",IFERROR(_xll.BDP(TICKER,"DEEP_MEASURE_PERIOD_BROKER_VALUE","DEEP_MEASURE_ID_OVERRIDE",$C69,"DEEP_BROKER_ID_OVERRIDE",O$24,"DEEP_PERIOD_OVERRIDE",$H$19)*1,"")))</f>
        <v/>
      </c>
      <c r="P69" s="17" t="str">
        <f>IF(OR(P$23="",ISNA($B69)),"",IF(ISBLANK($B69),"",IFERROR(_xll.BDP(TICKER,"DEEP_MEASURE_PERIOD_BROKER_VALUE","DEEP_MEASURE_ID_OVERRIDE",$C69,"DEEP_BROKER_ID_OVERRIDE",P$24,"DEEP_PERIOD_OVERRIDE",$H$19)*1,"")))</f>
        <v/>
      </c>
      <c r="Q69" s="17" t="str">
        <f>IF(OR(Q$23="",ISNA($B69)),"",IF(ISBLANK($B69),"",IFERROR(_xll.BDP(TICKER,"DEEP_MEASURE_PERIOD_BROKER_VALUE","DEEP_MEASURE_ID_OVERRIDE",$C69,"DEEP_BROKER_ID_OVERRIDE",Q$24,"DEEP_PERIOD_OVERRIDE",$H$19)*1,"")))</f>
        <v/>
      </c>
      <c r="R69" s="17" t="str">
        <f>IF(OR(R$23="",ISNA($B69)),"",IF(ISBLANK($B69),"",IFERROR(_xll.BDP(TICKER,"DEEP_MEASURE_PERIOD_BROKER_VALUE","DEEP_MEASURE_ID_OVERRIDE",$C69,"DEEP_BROKER_ID_OVERRIDE",R$24,"DEEP_PERIOD_OVERRIDE",$H$19)*1,"")))</f>
        <v/>
      </c>
      <c r="S69" s="17" t="str">
        <f>IF(OR(S$23="",ISNA($B69)),"",IF(ISBLANK($B69),"",IFERROR(_xll.BDP(TICKER,"DEEP_MEASURE_PERIOD_BROKER_VALUE","DEEP_MEASURE_ID_OVERRIDE",$C69,"DEEP_BROKER_ID_OVERRIDE",S$24,"DEEP_PERIOD_OVERRIDE",$H$19)*1,"")))</f>
        <v/>
      </c>
      <c r="T69" s="17" t="str">
        <f>IF(OR(T$23="",ISNA($B69)),"",IF(ISBLANK($B69),"",IFERROR(_xll.BDP(TICKER,"DEEP_MEASURE_PERIOD_BROKER_VALUE","DEEP_MEASURE_ID_OVERRIDE",$C69,"DEEP_BROKER_ID_OVERRIDE",T$24,"DEEP_PERIOD_OVERRIDE",$H$19)*1,"")))</f>
        <v/>
      </c>
      <c r="U69" s="17" t="str">
        <f>IF(OR(U$23="",ISNA($B69)),"",IF(ISBLANK($B69),"",IFERROR(_xll.BDP(TICKER,"DEEP_MEASURE_PERIOD_BROKER_VALUE","DEEP_MEASURE_ID_OVERRIDE",$C69,"DEEP_BROKER_ID_OVERRIDE",U$24,"DEEP_PERIOD_OVERRIDE",$H$19)*1,"")))</f>
        <v/>
      </c>
      <c r="V69" s="17" t="str">
        <f>IF(OR(V$23="",ISNA($B69)),"",IF(ISBLANK($B69),"",IFERROR(_xll.BDP(TICKER,"DEEP_MEASURE_PERIOD_BROKER_VALUE","DEEP_MEASURE_ID_OVERRIDE",$C69,"DEEP_BROKER_ID_OVERRIDE",V$24,"DEEP_PERIOD_OVERRIDE",$H$19)*1,"")))</f>
        <v/>
      </c>
      <c r="W69" s="17" t="str">
        <f>IF(OR(W$23="",ISNA($B69)),"",IF(ISBLANK($B69),"",IFERROR(_xll.BDP(TICKER,"DEEP_MEASURE_PERIOD_BROKER_VALUE","DEEP_MEASURE_ID_OVERRIDE",$C69,"DEEP_BROKER_ID_OVERRIDE",W$24,"DEEP_PERIOD_OVERRIDE",$H$19)*1,"")))</f>
        <v/>
      </c>
      <c r="X69" s="17" t="str">
        <f>IF(OR(X$23="",ISNA($B69)),"",IF(ISBLANK($B69),"",IFERROR(_xll.BDP(TICKER,"DEEP_MEASURE_PERIOD_BROKER_VALUE","DEEP_MEASURE_ID_OVERRIDE",$C69,"DEEP_BROKER_ID_OVERRIDE",X$24,"DEEP_PERIOD_OVERRIDE",$H$19)*1,"")))</f>
        <v/>
      </c>
      <c r="Y69" s="17" t="str">
        <f>IF(OR(Y$23="",ISNA($B69)),"",IF(ISBLANK($B69),"",IFERROR(_xll.BDP(TICKER,"DEEP_MEASURE_PERIOD_BROKER_VALUE","DEEP_MEASURE_ID_OVERRIDE",$C69,"DEEP_BROKER_ID_OVERRIDE",Y$24,"DEEP_PERIOD_OVERRIDE",$H$19)*1,"")))</f>
        <v/>
      </c>
      <c r="Z69" s="17" t="str">
        <f>IF(OR(Z$23="",ISNA($B69)),"",IF(ISBLANK($B69),"",IFERROR(_xll.BDP(TICKER,"DEEP_MEASURE_PERIOD_BROKER_VALUE","DEEP_MEASURE_ID_OVERRIDE",$C69,"DEEP_BROKER_ID_OVERRIDE",Z$24,"DEEP_PERIOD_OVERRIDE",$H$19)*1,"")))</f>
        <v/>
      </c>
      <c r="AA69" s="17" t="str">
        <f>IF(OR(AA$23="",ISNA($B69)),"",IF(ISBLANK($B69),"",IFERROR(_xll.BDP(TICKER,"DEEP_MEASURE_PERIOD_BROKER_VALUE","DEEP_MEASURE_ID_OVERRIDE",$C69,"DEEP_BROKER_ID_OVERRIDE",AA$24,"DEEP_PERIOD_OVERRIDE",$H$19)*1,"")))</f>
        <v/>
      </c>
      <c r="AB69" s="17" t="str">
        <f>IF(OR(AB$23="",ISNA($B69)),"",IF(ISBLANK($B69),"",IFERROR(_xll.BDP(TICKER,"DEEP_MEASURE_PERIOD_BROKER_VALUE","DEEP_MEASURE_ID_OVERRIDE",$C69,"DEEP_BROKER_ID_OVERRIDE",AB$24,"DEEP_PERIOD_OVERRIDE",$H$19)*1,"")))</f>
        <v/>
      </c>
      <c r="AC69" s="17" t="str">
        <f>IF(OR(AC$23="",ISNA($B69)),"",IF(ISBLANK($B69),"",IFERROR(_xll.BDP(TICKER,"DEEP_MEASURE_PERIOD_BROKER_VALUE","DEEP_MEASURE_ID_OVERRIDE",$C69,"DEEP_BROKER_ID_OVERRIDE",AC$24,"DEEP_PERIOD_OVERRIDE",$H$19)*1,"")))</f>
        <v/>
      </c>
      <c r="AD69" s="17" t="str">
        <f>IF(OR(AD$23="",ISNA($B69)),"",IF(ISBLANK($B69),"",IFERROR(_xll.BDP(TICKER,"DEEP_MEASURE_PERIOD_BROKER_VALUE","DEEP_MEASURE_ID_OVERRIDE",$C69,"DEEP_BROKER_ID_OVERRIDE",AD$24,"DEEP_PERIOD_OVERRIDE",$H$19)*1,"")))</f>
        <v/>
      </c>
      <c r="AE69" s="17" t="str">
        <f>IF(OR(AE$23="",ISNA($B69)),"",IF(ISBLANK($B69),"",IFERROR(_xll.BDP(TICKER,"DEEP_MEASURE_PERIOD_BROKER_VALUE","DEEP_MEASURE_ID_OVERRIDE",$C69,"DEEP_BROKER_ID_OVERRIDE",AE$24,"DEEP_PERIOD_OVERRIDE",$H$19)*1,"")))</f>
        <v/>
      </c>
      <c r="AF69" s="17" t="str">
        <f>IF(OR(AF$23="",ISNA($B69)),"",IF(ISBLANK($B69),"",IFERROR(_xll.BDP(TICKER,"DEEP_MEASURE_PERIOD_BROKER_VALUE","DEEP_MEASURE_ID_OVERRIDE",$C69,"DEEP_BROKER_ID_OVERRIDE",AF$24,"DEEP_PERIOD_OVERRIDE",$H$19)*1,"")))</f>
        <v/>
      </c>
      <c r="AG69" s="17" t="str">
        <f>IF(OR(AG$23="",ISNA($B69)),"",IF(ISBLANK($B69),"",IFERROR(_xll.BDP(TICKER,"DEEP_MEASURE_PERIOD_BROKER_VALUE","DEEP_MEASURE_ID_OVERRIDE",$C69,"DEEP_BROKER_ID_OVERRIDE",AG$24,"DEEP_PERIOD_OVERRIDE",$H$19)*1,"")))</f>
        <v/>
      </c>
      <c r="AH69" s="17" t="str">
        <f>IF(OR(AH$23="",ISNA($B69)),"",IF(ISBLANK($B69),"",IFERROR(_xll.BDP(TICKER,"DEEP_MEASURE_PERIOD_BROKER_VALUE","DEEP_MEASURE_ID_OVERRIDE",$C69,"DEEP_BROKER_ID_OVERRIDE",AH$24,"DEEP_PERIOD_OVERRIDE",$H$19)*1,"")))</f>
        <v/>
      </c>
      <c r="AI69" s="17" t="str">
        <f>IF(OR(AI$23="",ISNA($B69)),"",IF(ISBLANK($B69),"",IFERROR(_xll.BDP(TICKER,"DEEP_MEASURE_PERIOD_BROKER_VALUE","DEEP_MEASURE_ID_OVERRIDE",$C69,"DEEP_BROKER_ID_OVERRIDE",AI$24,"DEEP_PERIOD_OVERRIDE",$H$19)*1,"")))</f>
        <v/>
      </c>
      <c r="AJ69" s="17" t="str">
        <f>IF(OR(AJ$23="",ISNA($B69)),"",IF(ISBLANK($B69),"",IFERROR(_xll.BDP(TICKER,"DEEP_MEASURE_PERIOD_BROKER_VALUE","DEEP_MEASURE_ID_OVERRIDE",$C69,"DEEP_BROKER_ID_OVERRIDE",AJ$24,"DEEP_PERIOD_OVERRIDE",$H$19)*1,"")))</f>
        <v/>
      </c>
      <c r="AK69" s="17" t="str">
        <f>IF(OR(AK$23="",ISNA($B69)),"",IF(ISBLANK($B69),"",IFERROR(_xll.BDP(TICKER,"DEEP_MEASURE_PERIOD_BROKER_VALUE","DEEP_MEASURE_ID_OVERRIDE",$C69,"DEEP_BROKER_ID_OVERRIDE",AK$24,"DEEP_PERIOD_OVERRIDE",$H$19)*1,"")))</f>
        <v/>
      </c>
      <c r="AL69" s="17" t="str">
        <f>IF(OR(AL$23="",ISNA($B69)),"",IF(ISBLANK($B69),"",IFERROR(_xll.BDP(TICKER,"DEEP_MEASURE_PERIOD_BROKER_VALUE","DEEP_MEASURE_ID_OVERRIDE",$C69,"DEEP_BROKER_ID_OVERRIDE",AL$24,"DEEP_PERIOD_OVERRIDE",$H$19)*1,"")))</f>
        <v/>
      </c>
      <c r="AM69" s="17" t="str">
        <f>IF(OR(AM$23="",ISNA($B69)),"",IF(ISBLANK($B69),"",IFERROR(_xll.BDP(TICKER,"DEEP_MEASURE_PERIOD_BROKER_VALUE","DEEP_MEASURE_ID_OVERRIDE",$C69,"DEEP_BROKER_ID_OVERRIDE",AM$24,"DEEP_PERIOD_OVERRIDE",$H$19)*1,"")))</f>
        <v/>
      </c>
      <c r="AN69" s="17" t="str">
        <f>IF(OR(AN$23="",ISNA($B69)),"",IF(ISBLANK($B69),"",IFERROR(_xll.BDP(TICKER,"DEEP_MEASURE_PERIOD_BROKER_VALUE","DEEP_MEASURE_ID_OVERRIDE",$C69,"DEEP_BROKER_ID_OVERRIDE",AN$24,"DEEP_PERIOD_OVERRIDE",$H$19)*1,"")))</f>
        <v/>
      </c>
      <c r="AO69" s="17" t="str">
        <f>IF(OR(AO$23="",ISNA($B69)),"",IF(ISBLANK($B69),"",IFERROR(_xll.BDP(TICKER,"DEEP_MEASURE_PERIOD_BROKER_VALUE","DEEP_MEASURE_ID_OVERRIDE",$C69,"DEEP_BROKER_ID_OVERRIDE",AO$24,"DEEP_PERIOD_OVERRIDE",$H$19)*1,"")))</f>
        <v/>
      </c>
      <c r="AP69" s="17" t="str">
        <f>IF(OR(AP$23="",ISNA($B69)),"",IF(ISBLANK($B69),"",IFERROR(_xll.BDP(TICKER,"DEEP_MEASURE_PERIOD_BROKER_VALUE","DEEP_MEASURE_ID_OVERRIDE",$C69,"DEEP_BROKER_ID_OVERRIDE",AP$24,"DEEP_PERIOD_OVERRIDE",$H$19)*1,"")))</f>
        <v/>
      </c>
      <c r="AQ69" s="17" t="str">
        <f>IF(OR(AQ$23="",ISNA($B69)),"",IF(ISBLANK($B69),"",IFERROR(_xll.BDP(TICKER,"DEEP_MEASURE_PERIOD_BROKER_VALUE","DEEP_MEASURE_ID_OVERRIDE",$C69,"DEEP_BROKER_ID_OVERRIDE",AQ$24,"DEEP_PERIOD_OVERRIDE",$H$19)*1,"")))</f>
        <v/>
      </c>
      <c r="AR69" s="17" t="str">
        <f>IF(OR(AR$23="",ISNA($B69)),"",IF(ISBLANK($B69),"",IFERROR(_xll.BDP(TICKER,"DEEP_MEASURE_PERIOD_BROKER_VALUE","DEEP_MEASURE_ID_OVERRIDE",$C69,"DEEP_BROKER_ID_OVERRIDE",AR$24,"DEEP_PERIOD_OVERRIDE",$H$19)*1,"")))</f>
        <v/>
      </c>
      <c r="AS69" s="17" t="str">
        <f>IF(OR(AS$23="",ISNA($B69)),"",IF(ISBLANK($B69),"",IFERROR(_xll.BDP(TICKER,"DEEP_MEASURE_PERIOD_BROKER_VALUE","DEEP_MEASURE_ID_OVERRIDE",$C69,"DEEP_BROKER_ID_OVERRIDE",AS$24,"DEEP_PERIOD_OVERRIDE",$H$19)*1,"")))</f>
        <v/>
      </c>
      <c r="AT69" s="17" t="str">
        <f>IF(OR(AT$23="",ISNA($B69)),"",IF(ISBLANK($B69),"",IFERROR(_xll.BDP(TICKER,"DEEP_MEASURE_PERIOD_BROKER_VALUE","DEEP_MEASURE_ID_OVERRIDE",$C69,"DEEP_BROKER_ID_OVERRIDE",AT$24,"DEEP_PERIOD_OVERRIDE",$H$19)*1,"")))</f>
        <v/>
      </c>
      <c r="AU69" s="17" t="str">
        <f>IF(OR(AU$23="",ISNA($B69)),"",IF(ISBLANK($B69),"",IFERROR(_xll.BDP(TICKER,"DEEP_MEASURE_PERIOD_BROKER_VALUE","DEEP_MEASURE_ID_OVERRIDE",$C69,"DEEP_BROKER_ID_OVERRIDE",AU$24,"DEEP_PERIOD_OVERRIDE",$H$19)*1,"")))</f>
        <v/>
      </c>
      <c r="AV69" s="17" t="str">
        <f>IF(OR(AV$23="",ISNA($B69)),"",IF(ISBLANK($B69),"",IFERROR(_xll.BDP(TICKER,"DEEP_MEASURE_PERIOD_BROKER_VALUE","DEEP_MEASURE_ID_OVERRIDE",$C69,"DEEP_BROKER_ID_OVERRIDE",AV$24,"DEEP_PERIOD_OVERRIDE",$H$19)*1,"")))</f>
        <v/>
      </c>
      <c r="AW69" s="17" t="str">
        <f>IF(OR(AW$23="",ISNA($B69)),"",IF(ISBLANK($B69),"",IFERROR(_xll.BDP(TICKER,"DEEP_MEASURE_PERIOD_BROKER_VALUE","DEEP_MEASURE_ID_OVERRIDE",$C69,"DEEP_BROKER_ID_OVERRIDE",AW$24,"DEEP_PERIOD_OVERRIDE",$H$19)*1,"")))</f>
        <v/>
      </c>
      <c r="AX69" s="17" t="str">
        <f>IF(OR(AX$23="",ISNA($B69)),"",IF(ISBLANK($B69),"",IFERROR(_xll.BDP(TICKER,"DEEP_MEASURE_PERIOD_BROKER_VALUE","DEEP_MEASURE_ID_OVERRIDE",$C69,"DEEP_BROKER_ID_OVERRIDE",AX$24,"DEEP_PERIOD_OVERRIDE",$H$19)*1,"")))</f>
        <v/>
      </c>
      <c r="AY69" s="17" t="str">
        <f>IF(OR(AY$23="",ISNA($B69)),"",IF(ISBLANK($B69),"",IFERROR(_xll.BDP(TICKER,"DEEP_MEASURE_PERIOD_BROKER_VALUE","DEEP_MEASURE_ID_OVERRIDE",$C69,"DEEP_BROKER_ID_OVERRIDE",AY$24,"DEEP_PERIOD_OVERRIDE",$H$19)*1,"")))</f>
        <v/>
      </c>
      <c r="AZ69" s="17" t="str">
        <f>IF(OR(AZ$23="",ISNA($B69)),"",IF(ISBLANK($B69),"",IFERROR(_xll.BDP(TICKER,"DEEP_MEASURE_PERIOD_BROKER_VALUE","DEEP_MEASURE_ID_OVERRIDE",$C69,"DEEP_BROKER_ID_OVERRIDE",AZ$24,"DEEP_PERIOD_OVERRIDE",$H$19)*1,"")))</f>
        <v/>
      </c>
      <c r="BA69" s="17" t="str">
        <f>IF(OR(BA$23="",ISNA($B69)),"",IF(ISBLANK($B69),"",IFERROR(_xll.BDP(TICKER,"DEEP_MEASURE_PERIOD_BROKER_VALUE","DEEP_MEASURE_ID_OVERRIDE",$C69,"DEEP_BROKER_ID_OVERRIDE",BA$24,"DEEP_PERIOD_OVERRIDE",$H$19)*1,"")))</f>
        <v/>
      </c>
      <c r="BB69" s="17" t="str">
        <f>IF(OR(BB$23="",ISNA($B69)),"",IF(ISBLANK($B69),"",IFERROR(_xll.BDP(TICKER,"DEEP_MEASURE_PERIOD_BROKER_VALUE","DEEP_MEASURE_ID_OVERRIDE",$C69,"DEEP_BROKER_ID_OVERRIDE",BB$24,"DEEP_PERIOD_OVERRIDE",$H$19)*1,"")))</f>
        <v/>
      </c>
      <c r="BC69" s="17" t="str">
        <f>IF(OR(BC$23="",ISNA($B69)),"",IF(ISBLANK($B69),"",IFERROR(_xll.BDP(TICKER,"DEEP_MEASURE_PERIOD_BROKER_VALUE","DEEP_MEASURE_ID_OVERRIDE",$C69,"DEEP_BROKER_ID_OVERRIDE",BC$24,"DEEP_PERIOD_OVERRIDE",$H$19)*1,"")))</f>
        <v/>
      </c>
      <c r="BD69" s="17" t="str">
        <f>IF(OR(BD$23="",ISNA($B69)),"",IF(ISBLANK($B69),"",IFERROR(_xll.BDP(TICKER,"DEEP_MEASURE_PERIOD_BROKER_VALUE","DEEP_MEASURE_ID_OVERRIDE",$C69,"DEEP_BROKER_ID_OVERRIDE",BD$24,"DEEP_PERIOD_OVERRIDE",$H$19)*1,"")))</f>
        <v/>
      </c>
      <c r="BE69" s="17" t="str">
        <f>IF(OR(BE$23="",ISNA($B69)),"",IF(ISBLANK($B69),"",IFERROR(_xll.BDP(TICKER,"DEEP_MEASURE_PERIOD_BROKER_VALUE","DEEP_MEASURE_ID_OVERRIDE",$C69,"DEEP_BROKER_ID_OVERRIDE",BE$24,"DEEP_PERIOD_OVERRIDE",$H$19)*1,"")))</f>
        <v/>
      </c>
      <c r="BF69" s="17" t="str">
        <f>IF(OR(BF$23="",ISNA($B69)),"",IF(ISBLANK($B69),"",IFERROR(_xll.BDP(TICKER,"DEEP_MEASURE_PERIOD_BROKER_VALUE","DEEP_MEASURE_ID_OVERRIDE",$C69,"DEEP_BROKER_ID_OVERRIDE",BF$24,"DEEP_PERIOD_OVERRIDE",$H$19)*1,"")))</f>
        <v/>
      </c>
      <c r="BG69" s="17" t="str">
        <f>IF(OR(BG$23="",ISNA($B69)),"",IF(ISBLANK($B69),"",IFERROR(_xll.BDP(TICKER,"DEEP_MEASURE_PERIOD_BROKER_VALUE","DEEP_MEASURE_ID_OVERRIDE",$C69,"DEEP_BROKER_ID_OVERRIDE",BG$24,"DEEP_PERIOD_OVERRIDE",$H$19)*1,"")))</f>
        <v/>
      </c>
      <c r="BH69" s="17" t="str">
        <f>IF(OR(BH$23="",ISNA($B69)),"",IF(ISBLANK($B69),"",IFERROR(_xll.BDP(TICKER,"DEEP_MEASURE_PERIOD_BROKER_VALUE","DEEP_MEASURE_ID_OVERRIDE",$C69,"DEEP_BROKER_ID_OVERRIDE",BH$24,"DEEP_PERIOD_OVERRIDE",$H$19)*1,"")))</f>
        <v/>
      </c>
      <c r="BI69" s="17" t="str">
        <f>IF(OR(BI$23="",ISNA($B69)),"",IF(ISBLANK($B69),"",IFERROR(_xll.BDP(TICKER,"DEEP_MEASURE_PERIOD_BROKER_VALUE","DEEP_MEASURE_ID_OVERRIDE",$C69,"DEEP_BROKER_ID_OVERRIDE",BI$24,"DEEP_PERIOD_OVERRIDE",$H$19)*1,"")))</f>
        <v/>
      </c>
      <c r="BJ69" s="17" t="str">
        <f>IF(OR(BJ$23="",ISNA($B69)),"",IF(ISBLANK($B69),"",IFERROR(_xll.BDP(TICKER,"DEEP_MEASURE_PERIOD_BROKER_VALUE","DEEP_MEASURE_ID_OVERRIDE",$C69,"DEEP_BROKER_ID_OVERRIDE",BJ$24,"DEEP_PERIOD_OVERRIDE",$H$19)*1,"")))</f>
        <v/>
      </c>
      <c r="BK69" s="17" t="str">
        <f>IF(OR(BK$23="",ISNA($B69)),"",IF(ISBLANK($B69),"",IFERROR(_xll.BDP(TICKER,"DEEP_MEASURE_PERIOD_BROKER_VALUE","DEEP_MEASURE_ID_OVERRIDE",$C69,"DEEP_BROKER_ID_OVERRIDE",BK$24,"DEEP_PERIOD_OVERRIDE",$H$19)*1,"")))</f>
        <v/>
      </c>
      <c r="BL69" s="17" t="str">
        <f>IF(OR(BL$23="",ISNA($B69)),"",IF(ISBLANK($B69),"",IFERROR(_xll.BDP(TICKER,"DEEP_MEASURE_PERIOD_BROKER_VALUE","DEEP_MEASURE_ID_OVERRIDE",$C69,"DEEP_BROKER_ID_OVERRIDE",BL$24,"DEEP_PERIOD_OVERRIDE",$H$19)*1,"")))</f>
        <v/>
      </c>
      <c r="BM69" s="17" t="str">
        <f>IF(OR(BM$23="",ISNA($B69)),"",IF(ISBLANK($B69),"",IFERROR(_xll.BDP(TICKER,"DEEP_MEASURE_PERIOD_BROKER_VALUE","DEEP_MEASURE_ID_OVERRIDE",$C69,"DEEP_BROKER_ID_OVERRIDE",BM$24,"DEEP_PERIOD_OVERRIDE",$H$19)*1,"")))</f>
        <v/>
      </c>
      <c r="BN69" s="17" t="str">
        <f>IF(OR(BN$23="",ISNA($B69)),"",IF(ISBLANK($B69),"",IFERROR(_xll.BDP(TICKER,"DEEP_MEASURE_PERIOD_BROKER_VALUE","DEEP_MEASURE_ID_OVERRIDE",$C69,"DEEP_BROKER_ID_OVERRIDE",BN$24,"DEEP_PERIOD_OVERRIDE",$H$19)*1,"")))</f>
        <v/>
      </c>
      <c r="BO69" s="17" t="str">
        <f>IF(OR(BO$23="",ISNA($B69)),"",IF(ISBLANK($B69),"",IFERROR(_xll.BDP(TICKER,"DEEP_MEASURE_PERIOD_BROKER_VALUE","DEEP_MEASURE_ID_OVERRIDE",$C69,"DEEP_BROKER_ID_OVERRIDE",BO$24,"DEEP_PERIOD_OVERRIDE",$H$19)*1,"")))</f>
        <v/>
      </c>
      <c r="BP69" s="17" t="str">
        <f>IF(OR(BP$23="",ISNA($B69)),"",IF(ISBLANK($B69),"",IFERROR(_xll.BDP(TICKER,"DEEP_MEASURE_PERIOD_BROKER_VALUE","DEEP_MEASURE_ID_OVERRIDE",$C69,"DEEP_BROKER_ID_OVERRIDE",BP$24,"DEEP_PERIOD_OVERRIDE",$H$19)*1,"")))</f>
        <v/>
      </c>
      <c r="BQ69" s="17" t="str">
        <f>IF(OR(BQ$23="",ISNA($B69)),"",IF(ISBLANK($B69),"",IFERROR(_xll.BDP(TICKER,"DEEP_MEASURE_PERIOD_BROKER_VALUE","DEEP_MEASURE_ID_OVERRIDE",$C69,"DEEP_BROKER_ID_OVERRIDE",BQ$24,"DEEP_PERIOD_OVERRIDE",$H$19)*1,"")))</f>
        <v/>
      </c>
      <c r="BR69" s="17" t="str">
        <f>IF(OR(BR$23="",ISNA($B69)),"",IF(ISBLANK($B69),"",IFERROR(_xll.BDP(TICKER,"DEEP_MEASURE_PERIOD_BROKER_VALUE","DEEP_MEASURE_ID_OVERRIDE",$C69,"DEEP_BROKER_ID_OVERRIDE",BR$24,"DEEP_PERIOD_OVERRIDE",$H$19)*1,"")))</f>
        <v/>
      </c>
      <c r="BS69" s="17" t="str">
        <f>IF(OR(BS$23="",ISNA($B69)),"",IF(ISBLANK($B69),"",IFERROR(_xll.BDP(TICKER,"DEEP_MEASURE_PERIOD_BROKER_VALUE","DEEP_MEASURE_ID_OVERRIDE",$C69,"DEEP_BROKER_ID_OVERRIDE",BS$24,"DEEP_PERIOD_OVERRIDE",$H$19)*1,"")))</f>
        <v/>
      </c>
      <c r="BT69" s="17" t="str">
        <f>IF(OR(BT$23="",ISNA($B69)),"",IF(ISBLANK($B69),"",IFERROR(_xll.BDP(TICKER,"DEEP_MEASURE_PERIOD_BROKER_VALUE","DEEP_MEASURE_ID_OVERRIDE",$C69,"DEEP_BROKER_ID_OVERRIDE",BT$24,"DEEP_PERIOD_OVERRIDE",$H$19)*1,"")))</f>
        <v/>
      </c>
      <c r="BU69" s="17" t="str">
        <f>IF(OR(BU$23="",ISNA($B69)),"",IF(ISBLANK($B69),"",IFERROR(_xll.BDP(TICKER,"DEEP_MEASURE_PERIOD_BROKER_VALUE","DEEP_MEASURE_ID_OVERRIDE",$C69,"DEEP_BROKER_ID_OVERRIDE",BU$24,"DEEP_PERIOD_OVERRIDE",$H$19)*1,"")))</f>
        <v/>
      </c>
      <c r="BV69" s="17" t="str">
        <f>IF(OR(BV$23="",ISNA($B69)),"",IF(ISBLANK($B69),"",IFERROR(_xll.BDP(TICKER,"DEEP_MEASURE_PERIOD_BROKER_VALUE","DEEP_MEASURE_ID_OVERRIDE",$C69,"DEEP_BROKER_ID_OVERRIDE",BV$24,"DEEP_PERIOD_OVERRIDE",$H$19)*1,"")))</f>
        <v/>
      </c>
      <c r="BW69" s="17" t="str">
        <f>IF(OR(BW$23="",ISNA($B69)),"",IF(ISBLANK($B69),"",IFERROR(_xll.BDP(TICKER,"DEEP_MEASURE_PERIOD_BROKER_VALUE","DEEP_MEASURE_ID_OVERRIDE",$C69,"DEEP_BROKER_ID_OVERRIDE",BW$24,"DEEP_PERIOD_OVERRIDE",$H$19)*1,"")))</f>
        <v/>
      </c>
      <c r="BX69" s="17" t="str">
        <f>IF(OR(BX$23="",ISNA($B69)),"",IF(ISBLANK($B69),"",IFERROR(_xll.BDP(TICKER,"DEEP_MEASURE_PERIOD_BROKER_VALUE","DEEP_MEASURE_ID_OVERRIDE",$C69,"DEEP_BROKER_ID_OVERRIDE",BX$24,"DEEP_PERIOD_OVERRIDE",$H$19)*1,"")))</f>
        <v/>
      </c>
      <c r="BY69" s="17" t="str">
        <f>IF(OR(BY$23="",ISNA($B69)),"",IF(ISBLANK($B69),"",IFERROR(_xll.BDP(TICKER,"DEEP_MEASURE_PERIOD_BROKER_VALUE","DEEP_MEASURE_ID_OVERRIDE",$C69,"DEEP_BROKER_ID_OVERRIDE",BY$24,"DEEP_PERIOD_OVERRIDE",$H$19)*1,"")))</f>
        <v/>
      </c>
      <c r="BZ69" s="17" t="str">
        <f>IF(OR(BZ$23="",ISNA($B69)),"",IF(ISBLANK($B69),"",IFERROR(_xll.BDP(TICKER,"DEEP_MEASURE_PERIOD_BROKER_VALUE","DEEP_MEASURE_ID_OVERRIDE",$C69,"DEEP_BROKER_ID_OVERRIDE",BZ$24,"DEEP_PERIOD_OVERRIDE",$H$19)*1,"")))</f>
        <v/>
      </c>
    </row>
    <row r="70" spans="2:78" x14ac:dyDescent="0.25">
      <c r="B70" t="s">
        <v>114</v>
      </c>
      <c r="C70">
        <v>1940</v>
      </c>
      <c r="H70" t="str">
        <f t="shared" si="1"/>
        <v>Total Revenue &gt; Hotel &gt; Revenue &gt; TripAdvisor-branded Display-based Advertising &amp; Subscription &gt; QoQ Growth (%)</v>
      </c>
      <c r="I70" t="str">
        <f>IF(OR(I$23="",ISNA($B70)),"",IF(ISBLANK($B70),"",IFERROR(_xll.BDP(TICKER,"DEEP_MEASURE_PERIOD_BROKER_VALUE","DEEP_MEASURE_ID_OVERRIDE",$C70,"DEEP_PERIOD_OVERRIDE",$H$19)*1,"")))</f>
        <v/>
      </c>
      <c r="J70" t="e">
        <f>IF(OR(J$23="",ISNA($B70)),"",IF(ISBLANK($B70),"",IFERROR(_xll.BDP(TICKER,"DEEP_MEASURE_PERIOD_BROKER_VALUE","DEEP_MEASURE_ID_OVERRIDE",$C70,"DEEP_BROKER_ID_OVERRIDE",J$24,"DEEP_PERIOD_OVERRIDE",$H$19)*1,"")))</f>
        <v>#REF!</v>
      </c>
      <c r="K70" s="17" t="str">
        <f>IF(OR(K$23="",ISNA($B70)),"",IF(ISBLANK($B70),"",IFERROR(_xll.BDP(TICKER,"DEEP_MEASURE_PERIOD_BROKER_VALUE","DEEP_MEASURE_ID_OVERRIDE",$C70,"DEEP_BROKER_ID_OVERRIDE",K$24,"DEEP_PERIOD_OVERRIDE",$H$19)*1,"")))</f>
        <v/>
      </c>
      <c r="L70" s="17" t="str">
        <f>IF(OR(L$23="",ISNA($B70)),"",IF(ISBLANK($B70),"",IFERROR(_xll.BDP(TICKER,"DEEP_MEASURE_PERIOD_BROKER_VALUE","DEEP_MEASURE_ID_OVERRIDE",$C70,"DEEP_BROKER_ID_OVERRIDE",L$24,"DEEP_PERIOD_OVERRIDE",$H$19)*1,"")))</f>
        <v/>
      </c>
      <c r="M70" s="17" t="str">
        <f>IF(OR(M$23="",ISNA($B70)),"",IF(ISBLANK($B70),"",IFERROR(_xll.BDP(TICKER,"DEEP_MEASURE_PERIOD_BROKER_VALUE","DEEP_MEASURE_ID_OVERRIDE",$C70,"DEEP_BROKER_ID_OVERRIDE",M$24,"DEEP_PERIOD_OVERRIDE",$H$19)*1,"")))</f>
        <v/>
      </c>
      <c r="N70" s="17" t="str">
        <f>IF(OR(N$23="",ISNA($B70)),"",IF(ISBLANK($B70),"",IFERROR(_xll.BDP(TICKER,"DEEP_MEASURE_PERIOD_BROKER_VALUE","DEEP_MEASURE_ID_OVERRIDE",$C70,"DEEP_BROKER_ID_OVERRIDE",N$24,"DEEP_PERIOD_OVERRIDE",$H$19)*1,"")))</f>
        <v/>
      </c>
      <c r="O70" s="17" t="str">
        <f>IF(OR(O$23="",ISNA($B70)),"",IF(ISBLANK($B70),"",IFERROR(_xll.BDP(TICKER,"DEEP_MEASURE_PERIOD_BROKER_VALUE","DEEP_MEASURE_ID_OVERRIDE",$C70,"DEEP_BROKER_ID_OVERRIDE",O$24,"DEEP_PERIOD_OVERRIDE",$H$19)*1,"")))</f>
        <v/>
      </c>
      <c r="P70" s="17" t="str">
        <f>IF(OR(P$23="",ISNA($B70)),"",IF(ISBLANK($B70),"",IFERROR(_xll.BDP(TICKER,"DEEP_MEASURE_PERIOD_BROKER_VALUE","DEEP_MEASURE_ID_OVERRIDE",$C70,"DEEP_BROKER_ID_OVERRIDE",P$24,"DEEP_PERIOD_OVERRIDE",$H$19)*1,"")))</f>
        <v/>
      </c>
      <c r="Q70" s="17" t="str">
        <f>IF(OR(Q$23="",ISNA($B70)),"",IF(ISBLANK($B70),"",IFERROR(_xll.BDP(TICKER,"DEEP_MEASURE_PERIOD_BROKER_VALUE","DEEP_MEASURE_ID_OVERRIDE",$C70,"DEEP_BROKER_ID_OVERRIDE",Q$24,"DEEP_PERIOD_OVERRIDE",$H$19)*1,"")))</f>
        <v/>
      </c>
      <c r="R70" s="17" t="str">
        <f>IF(OR(R$23="",ISNA($B70)),"",IF(ISBLANK($B70),"",IFERROR(_xll.BDP(TICKER,"DEEP_MEASURE_PERIOD_BROKER_VALUE","DEEP_MEASURE_ID_OVERRIDE",$C70,"DEEP_BROKER_ID_OVERRIDE",R$24,"DEEP_PERIOD_OVERRIDE",$H$19)*1,"")))</f>
        <v/>
      </c>
      <c r="S70" s="17" t="str">
        <f>IF(OR(S$23="",ISNA($B70)),"",IF(ISBLANK($B70),"",IFERROR(_xll.BDP(TICKER,"DEEP_MEASURE_PERIOD_BROKER_VALUE","DEEP_MEASURE_ID_OVERRIDE",$C70,"DEEP_BROKER_ID_OVERRIDE",S$24,"DEEP_PERIOD_OVERRIDE",$H$19)*1,"")))</f>
        <v/>
      </c>
      <c r="T70" s="17" t="str">
        <f>IF(OR(T$23="",ISNA($B70)),"",IF(ISBLANK($B70),"",IFERROR(_xll.BDP(TICKER,"DEEP_MEASURE_PERIOD_BROKER_VALUE","DEEP_MEASURE_ID_OVERRIDE",$C70,"DEEP_BROKER_ID_OVERRIDE",T$24,"DEEP_PERIOD_OVERRIDE",$H$19)*1,"")))</f>
        <v/>
      </c>
      <c r="U70" s="17" t="str">
        <f>IF(OR(U$23="",ISNA($B70)),"",IF(ISBLANK($B70),"",IFERROR(_xll.BDP(TICKER,"DEEP_MEASURE_PERIOD_BROKER_VALUE","DEEP_MEASURE_ID_OVERRIDE",$C70,"DEEP_BROKER_ID_OVERRIDE",U$24,"DEEP_PERIOD_OVERRIDE",$H$19)*1,"")))</f>
        <v/>
      </c>
      <c r="V70" s="17" t="str">
        <f>IF(OR(V$23="",ISNA($B70)),"",IF(ISBLANK($B70),"",IFERROR(_xll.BDP(TICKER,"DEEP_MEASURE_PERIOD_BROKER_VALUE","DEEP_MEASURE_ID_OVERRIDE",$C70,"DEEP_BROKER_ID_OVERRIDE",V$24,"DEEP_PERIOD_OVERRIDE",$H$19)*1,"")))</f>
        <v/>
      </c>
      <c r="W70" s="17" t="str">
        <f>IF(OR(W$23="",ISNA($B70)),"",IF(ISBLANK($B70),"",IFERROR(_xll.BDP(TICKER,"DEEP_MEASURE_PERIOD_BROKER_VALUE","DEEP_MEASURE_ID_OVERRIDE",$C70,"DEEP_BROKER_ID_OVERRIDE",W$24,"DEEP_PERIOD_OVERRIDE",$H$19)*1,"")))</f>
        <v/>
      </c>
      <c r="X70" s="17" t="str">
        <f>IF(OR(X$23="",ISNA($B70)),"",IF(ISBLANK($B70),"",IFERROR(_xll.BDP(TICKER,"DEEP_MEASURE_PERIOD_BROKER_VALUE","DEEP_MEASURE_ID_OVERRIDE",$C70,"DEEP_BROKER_ID_OVERRIDE",X$24,"DEEP_PERIOD_OVERRIDE",$H$19)*1,"")))</f>
        <v/>
      </c>
      <c r="Y70" s="17" t="str">
        <f>IF(OR(Y$23="",ISNA($B70)),"",IF(ISBLANK($B70),"",IFERROR(_xll.BDP(TICKER,"DEEP_MEASURE_PERIOD_BROKER_VALUE","DEEP_MEASURE_ID_OVERRIDE",$C70,"DEEP_BROKER_ID_OVERRIDE",Y$24,"DEEP_PERIOD_OVERRIDE",$H$19)*1,"")))</f>
        <v/>
      </c>
      <c r="Z70" s="17" t="str">
        <f>IF(OR(Z$23="",ISNA($B70)),"",IF(ISBLANK($B70),"",IFERROR(_xll.BDP(TICKER,"DEEP_MEASURE_PERIOD_BROKER_VALUE","DEEP_MEASURE_ID_OVERRIDE",$C70,"DEEP_BROKER_ID_OVERRIDE",Z$24,"DEEP_PERIOD_OVERRIDE",$H$19)*1,"")))</f>
        <v/>
      </c>
      <c r="AA70" s="17" t="str">
        <f>IF(OR(AA$23="",ISNA($B70)),"",IF(ISBLANK($B70),"",IFERROR(_xll.BDP(TICKER,"DEEP_MEASURE_PERIOD_BROKER_VALUE","DEEP_MEASURE_ID_OVERRIDE",$C70,"DEEP_BROKER_ID_OVERRIDE",AA$24,"DEEP_PERIOD_OVERRIDE",$H$19)*1,"")))</f>
        <v/>
      </c>
      <c r="AB70" s="17" t="str">
        <f>IF(OR(AB$23="",ISNA($B70)),"",IF(ISBLANK($B70),"",IFERROR(_xll.BDP(TICKER,"DEEP_MEASURE_PERIOD_BROKER_VALUE","DEEP_MEASURE_ID_OVERRIDE",$C70,"DEEP_BROKER_ID_OVERRIDE",AB$24,"DEEP_PERIOD_OVERRIDE",$H$19)*1,"")))</f>
        <v/>
      </c>
      <c r="AC70" s="17" t="str">
        <f>IF(OR(AC$23="",ISNA($B70)),"",IF(ISBLANK($B70),"",IFERROR(_xll.BDP(TICKER,"DEEP_MEASURE_PERIOD_BROKER_VALUE","DEEP_MEASURE_ID_OVERRIDE",$C70,"DEEP_BROKER_ID_OVERRIDE",AC$24,"DEEP_PERIOD_OVERRIDE",$H$19)*1,"")))</f>
        <v/>
      </c>
      <c r="AD70" s="17" t="str">
        <f>IF(OR(AD$23="",ISNA($B70)),"",IF(ISBLANK($B70),"",IFERROR(_xll.BDP(TICKER,"DEEP_MEASURE_PERIOD_BROKER_VALUE","DEEP_MEASURE_ID_OVERRIDE",$C70,"DEEP_BROKER_ID_OVERRIDE",AD$24,"DEEP_PERIOD_OVERRIDE",$H$19)*1,"")))</f>
        <v/>
      </c>
      <c r="AE70" s="17" t="str">
        <f>IF(OR(AE$23="",ISNA($B70)),"",IF(ISBLANK($B70),"",IFERROR(_xll.BDP(TICKER,"DEEP_MEASURE_PERIOD_BROKER_VALUE","DEEP_MEASURE_ID_OVERRIDE",$C70,"DEEP_BROKER_ID_OVERRIDE",AE$24,"DEEP_PERIOD_OVERRIDE",$H$19)*1,"")))</f>
        <v/>
      </c>
      <c r="AF70" s="17" t="str">
        <f>IF(OR(AF$23="",ISNA($B70)),"",IF(ISBLANK($B70),"",IFERROR(_xll.BDP(TICKER,"DEEP_MEASURE_PERIOD_BROKER_VALUE","DEEP_MEASURE_ID_OVERRIDE",$C70,"DEEP_BROKER_ID_OVERRIDE",AF$24,"DEEP_PERIOD_OVERRIDE",$H$19)*1,"")))</f>
        <v/>
      </c>
      <c r="AG70" s="17" t="str">
        <f>IF(OR(AG$23="",ISNA($B70)),"",IF(ISBLANK($B70),"",IFERROR(_xll.BDP(TICKER,"DEEP_MEASURE_PERIOD_BROKER_VALUE","DEEP_MEASURE_ID_OVERRIDE",$C70,"DEEP_BROKER_ID_OVERRIDE",AG$24,"DEEP_PERIOD_OVERRIDE",$H$19)*1,"")))</f>
        <v/>
      </c>
      <c r="AH70" s="17" t="str">
        <f>IF(OR(AH$23="",ISNA($B70)),"",IF(ISBLANK($B70),"",IFERROR(_xll.BDP(TICKER,"DEEP_MEASURE_PERIOD_BROKER_VALUE","DEEP_MEASURE_ID_OVERRIDE",$C70,"DEEP_BROKER_ID_OVERRIDE",AH$24,"DEEP_PERIOD_OVERRIDE",$H$19)*1,"")))</f>
        <v/>
      </c>
      <c r="AI70" s="17" t="str">
        <f>IF(OR(AI$23="",ISNA($B70)),"",IF(ISBLANK($B70),"",IFERROR(_xll.BDP(TICKER,"DEEP_MEASURE_PERIOD_BROKER_VALUE","DEEP_MEASURE_ID_OVERRIDE",$C70,"DEEP_BROKER_ID_OVERRIDE",AI$24,"DEEP_PERIOD_OVERRIDE",$H$19)*1,"")))</f>
        <v/>
      </c>
      <c r="AJ70" s="17" t="str">
        <f>IF(OR(AJ$23="",ISNA($B70)),"",IF(ISBLANK($B70),"",IFERROR(_xll.BDP(TICKER,"DEEP_MEASURE_PERIOD_BROKER_VALUE","DEEP_MEASURE_ID_OVERRIDE",$C70,"DEEP_BROKER_ID_OVERRIDE",AJ$24,"DEEP_PERIOD_OVERRIDE",$H$19)*1,"")))</f>
        <v/>
      </c>
      <c r="AK70" s="17" t="str">
        <f>IF(OR(AK$23="",ISNA($B70)),"",IF(ISBLANK($B70),"",IFERROR(_xll.BDP(TICKER,"DEEP_MEASURE_PERIOD_BROKER_VALUE","DEEP_MEASURE_ID_OVERRIDE",$C70,"DEEP_BROKER_ID_OVERRIDE",AK$24,"DEEP_PERIOD_OVERRIDE",$H$19)*1,"")))</f>
        <v/>
      </c>
      <c r="AL70" s="17" t="str">
        <f>IF(OR(AL$23="",ISNA($B70)),"",IF(ISBLANK($B70),"",IFERROR(_xll.BDP(TICKER,"DEEP_MEASURE_PERIOD_BROKER_VALUE","DEEP_MEASURE_ID_OVERRIDE",$C70,"DEEP_BROKER_ID_OVERRIDE",AL$24,"DEEP_PERIOD_OVERRIDE",$H$19)*1,"")))</f>
        <v/>
      </c>
      <c r="AM70" s="17" t="str">
        <f>IF(OR(AM$23="",ISNA($B70)),"",IF(ISBLANK($B70),"",IFERROR(_xll.BDP(TICKER,"DEEP_MEASURE_PERIOD_BROKER_VALUE","DEEP_MEASURE_ID_OVERRIDE",$C70,"DEEP_BROKER_ID_OVERRIDE",AM$24,"DEEP_PERIOD_OVERRIDE",$H$19)*1,"")))</f>
        <v/>
      </c>
      <c r="AN70" s="17" t="str">
        <f>IF(OR(AN$23="",ISNA($B70)),"",IF(ISBLANK($B70),"",IFERROR(_xll.BDP(TICKER,"DEEP_MEASURE_PERIOD_BROKER_VALUE","DEEP_MEASURE_ID_OVERRIDE",$C70,"DEEP_BROKER_ID_OVERRIDE",AN$24,"DEEP_PERIOD_OVERRIDE",$H$19)*1,"")))</f>
        <v/>
      </c>
      <c r="AO70" s="17" t="str">
        <f>IF(OR(AO$23="",ISNA($B70)),"",IF(ISBLANK($B70),"",IFERROR(_xll.BDP(TICKER,"DEEP_MEASURE_PERIOD_BROKER_VALUE","DEEP_MEASURE_ID_OVERRIDE",$C70,"DEEP_BROKER_ID_OVERRIDE",AO$24,"DEEP_PERIOD_OVERRIDE",$H$19)*1,"")))</f>
        <v/>
      </c>
      <c r="AP70" s="17" t="str">
        <f>IF(OR(AP$23="",ISNA($B70)),"",IF(ISBLANK($B70),"",IFERROR(_xll.BDP(TICKER,"DEEP_MEASURE_PERIOD_BROKER_VALUE","DEEP_MEASURE_ID_OVERRIDE",$C70,"DEEP_BROKER_ID_OVERRIDE",AP$24,"DEEP_PERIOD_OVERRIDE",$H$19)*1,"")))</f>
        <v/>
      </c>
      <c r="AQ70" s="17" t="str">
        <f>IF(OR(AQ$23="",ISNA($B70)),"",IF(ISBLANK($B70),"",IFERROR(_xll.BDP(TICKER,"DEEP_MEASURE_PERIOD_BROKER_VALUE","DEEP_MEASURE_ID_OVERRIDE",$C70,"DEEP_BROKER_ID_OVERRIDE",AQ$24,"DEEP_PERIOD_OVERRIDE",$H$19)*1,"")))</f>
        <v/>
      </c>
      <c r="AR70" s="17" t="str">
        <f>IF(OR(AR$23="",ISNA($B70)),"",IF(ISBLANK($B70),"",IFERROR(_xll.BDP(TICKER,"DEEP_MEASURE_PERIOD_BROKER_VALUE","DEEP_MEASURE_ID_OVERRIDE",$C70,"DEEP_BROKER_ID_OVERRIDE",AR$24,"DEEP_PERIOD_OVERRIDE",$H$19)*1,"")))</f>
        <v/>
      </c>
      <c r="AS70" s="17" t="str">
        <f>IF(OR(AS$23="",ISNA($B70)),"",IF(ISBLANK($B70),"",IFERROR(_xll.BDP(TICKER,"DEEP_MEASURE_PERIOD_BROKER_VALUE","DEEP_MEASURE_ID_OVERRIDE",$C70,"DEEP_BROKER_ID_OVERRIDE",AS$24,"DEEP_PERIOD_OVERRIDE",$H$19)*1,"")))</f>
        <v/>
      </c>
      <c r="AT70" s="17" t="str">
        <f>IF(OR(AT$23="",ISNA($B70)),"",IF(ISBLANK($B70),"",IFERROR(_xll.BDP(TICKER,"DEEP_MEASURE_PERIOD_BROKER_VALUE","DEEP_MEASURE_ID_OVERRIDE",$C70,"DEEP_BROKER_ID_OVERRIDE",AT$24,"DEEP_PERIOD_OVERRIDE",$H$19)*1,"")))</f>
        <v/>
      </c>
      <c r="AU70" s="17" t="str">
        <f>IF(OR(AU$23="",ISNA($B70)),"",IF(ISBLANK($B70),"",IFERROR(_xll.BDP(TICKER,"DEEP_MEASURE_PERIOD_BROKER_VALUE","DEEP_MEASURE_ID_OVERRIDE",$C70,"DEEP_BROKER_ID_OVERRIDE",AU$24,"DEEP_PERIOD_OVERRIDE",$H$19)*1,"")))</f>
        <v/>
      </c>
      <c r="AV70" s="17" t="str">
        <f>IF(OR(AV$23="",ISNA($B70)),"",IF(ISBLANK($B70),"",IFERROR(_xll.BDP(TICKER,"DEEP_MEASURE_PERIOD_BROKER_VALUE","DEEP_MEASURE_ID_OVERRIDE",$C70,"DEEP_BROKER_ID_OVERRIDE",AV$24,"DEEP_PERIOD_OVERRIDE",$H$19)*1,"")))</f>
        <v/>
      </c>
      <c r="AW70" s="17" t="str">
        <f>IF(OR(AW$23="",ISNA($B70)),"",IF(ISBLANK($B70),"",IFERROR(_xll.BDP(TICKER,"DEEP_MEASURE_PERIOD_BROKER_VALUE","DEEP_MEASURE_ID_OVERRIDE",$C70,"DEEP_BROKER_ID_OVERRIDE",AW$24,"DEEP_PERIOD_OVERRIDE",$H$19)*1,"")))</f>
        <v/>
      </c>
      <c r="AX70" s="17" t="str">
        <f>IF(OR(AX$23="",ISNA($B70)),"",IF(ISBLANK($B70),"",IFERROR(_xll.BDP(TICKER,"DEEP_MEASURE_PERIOD_BROKER_VALUE","DEEP_MEASURE_ID_OVERRIDE",$C70,"DEEP_BROKER_ID_OVERRIDE",AX$24,"DEEP_PERIOD_OVERRIDE",$H$19)*1,"")))</f>
        <v/>
      </c>
      <c r="AY70" s="17" t="str">
        <f>IF(OR(AY$23="",ISNA($B70)),"",IF(ISBLANK($B70),"",IFERROR(_xll.BDP(TICKER,"DEEP_MEASURE_PERIOD_BROKER_VALUE","DEEP_MEASURE_ID_OVERRIDE",$C70,"DEEP_BROKER_ID_OVERRIDE",AY$24,"DEEP_PERIOD_OVERRIDE",$H$19)*1,"")))</f>
        <v/>
      </c>
      <c r="AZ70" s="17" t="str">
        <f>IF(OR(AZ$23="",ISNA($B70)),"",IF(ISBLANK($B70),"",IFERROR(_xll.BDP(TICKER,"DEEP_MEASURE_PERIOD_BROKER_VALUE","DEEP_MEASURE_ID_OVERRIDE",$C70,"DEEP_BROKER_ID_OVERRIDE",AZ$24,"DEEP_PERIOD_OVERRIDE",$H$19)*1,"")))</f>
        <v/>
      </c>
      <c r="BA70" s="17" t="str">
        <f>IF(OR(BA$23="",ISNA($B70)),"",IF(ISBLANK($B70),"",IFERROR(_xll.BDP(TICKER,"DEEP_MEASURE_PERIOD_BROKER_VALUE","DEEP_MEASURE_ID_OVERRIDE",$C70,"DEEP_BROKER_ID_OVERRIDE",BA$24,"DEEP_PERIOD_OVERRIDE",$H$19)*1,"")))</f>
        <v/>
      </c>
      <c r="BB70" s="17" t="str">
        <f>IF(OR(BB$23="",ISNA($B70)),"",IF(ISBLANK($B70),"",IFERROR(_xll.BDP(TICKER,"DEEP_MEASURE_PERIOD_BROKER_VALUE","DEEP_MEASURE_ID_OVERRIDE",$C70,"DEEP_BROKER_ID_OVERRIDE",BB$24,"DEEP_PERIOD_OVERRIDE",$H$19)*1,"")))</f>
        <v/>
      </c>
      <c r="BC70" s="17" t="str">
        <f>IF(OR(BC$23="",ISNA($B70)),"",IF(ISBLANK($B70),"",IFERROR(_xll.BDP(TICKER,"DEEP_MEASURE_PERIOD_BROKER_VALUE","DEEP_MEASURE_ID_OVERRIDE",$C70,"DEEP_BROKER_ID_OVERRIDE",BC$24,"DEEP_PERIOD_OVERRIDE",$H$19)*1,"")))</f>
        <v/>
      </c>
      <c r="BD70" s="17" t="str">
        <f>IF(OR(BD$23="",ISNA($B70)),"",IF(ISBLANK($B70),"",IFERROR(_xll.BDP(TICKER,"DEEP_MEASURE_PERIOD_BROKER_VALUE","DEEP_MEASURE_ID_OVERRIDE",$C70,"DEEP_BROKER_ID_OVERRIDE",BD$24,"DEEP_PERIOD_OVERRIDE",$H$19)*1,"")))</f>
        <v/>
      </c>
      <c r="BE70" s="17" t="str">
        <f>IF(OR(BE$23="",ISNA($B70)),"",IF(ISBLANK($B70),"",IFERROR(_xll.BDP(TICKER,"DEEP_MEASURE_PERIOD_BROKER_VALUE","DEEP_MEASURE_ID_OVERRIDE",$C70,"DEEP_BROKER_ID_OVERRIDE",BE$24,"DEEP_PERIOD_OVERRIDE",$H$19)*1,"")))</f>
        <v/>
      </c>
      <c r="BF70" s="17" t="str">
        <f>IF(OR(BF$23="",ISNA($B70)),"",IF(ISBLANK($B70),"",IFERROR(_xll.BDP(TICKER,"DEEP_MEASURE_PERIOD_BROKER_VALUE","DEEP_MEASURE_ID_OVERRIDE",$C70,"DEEP_BROKER_ID_OVERRIDE",BF$24,"DEEP_PERIOD_OVERRIDE",$H$19)*1,"")))</f>
        <v/>
      </c>
      <c r="BG70" s="17" t="str">
        <f>IF(OR(BG$23="",ISNA($B70)),"",IF(ISBLANK($B70),"",IFERROR(_xll.BDP(TICKER,"DEEP_MEASURE_PERIOD_BROKER_VALUE","DEEP_MEASURE_ID_OVERRIDE",$C70,"DEEP_BROKER_ID_OVERRIDE",BG$24,"DEEP_PERIOD_OVERRIDE",$H$19)*1,"")))</f>
        <v/>
      </c>
      <c r="BH70" s="17" t="str">
        <f>IF(OR(BH$23="",ISNA($B70)),"",IF(ISBLANK($B70),"",IFERROR(_xll.BDP(TICKER,"DEEP_MEASURE_PERIOD_BROKER_VALUE","DEEP_MEASURE_ID_OVERRIDE",$C70,"DEEP_BROKER_ID_OVERRIDE",BH$24,"DEEP_PERIOD_OVERRIDE",$H$19)*1,"")))</f>
        <v/>
      </c>
      <c r="BI70" s="17" t="str">
        <f>IF(OR(BI$23="",ISNA($B70)),"",IF(ISBLANK($B70),"",IFERROR(_xll.BDP(TICKER,"DEEP_MEASURE_PERIOD_BROKER_VALUE","DEEP_MEASURE_ID_OVERRIDE",$C70,"DEEP_BROKER_ID_OVERRIDE",BI$24,"DEEP_PERIOD_OVERRIDE",$H$19)*1,"")))</f>
        <v/>
      </c>
      <c r="BJ70" s="17" t="str">
        <f>IF(OR(BJ$23="",ISNA($B70)),"",IF(ISBLANK($B70),"",IFERROR(_xll.BDP(TICKER,"DEEP_MEASURE_PERIOD_BROKER_VALUE","DEEP_MEASURE_ID_OVERRIDE",$C70,"DEEP_BROKER_ID_OVERRIDE",BJ$24,"DEEP_PERIOD_OVERRIDE",$H$19)*1,"")))</f>
        <v/>
      </c>
      <c r="BK70" s="17" t="str">
        <f>IF(OR(BK$23="",ISNA($B70)),"",IF(ISBLANK($B70),"",IFERROR(_xll.BDP(TICKER,"DEEP_MEASURE_PERIOD_BROKER_VALUE","DEEP_MEASURE_ID_OVERRIDE",$C70,"DEEP_BROKER_ID_OVERRIDE",BK$24,"DEEP_PERIOD_OVERRIDE",$H$19)*1,"")))</f>
        <v/>
      </c>
      <c r="BL70" s="17" t="str">
        <f>IF(OR(BL$23="",ISNA($B70)),"",IF(ISBLANK($B70),"",IFERROR(_xll.BDP(TICKER,"DEEP_MEASURE_PERIOD_BROKER_VALUE","DEEP_MEASURE_ID_OVERRIDE",$C70,"DEEP_BROKER_ID_OVERRIDE",BL$24,"DEEP_PERIOD_OVERRIDE",$H$19)*1,"")))</f>
        <v/>
      </c>
      <c r="BM70" s="17" t="str">
        <f>IF(OR(BM$23="",ISNA($B70)),"",IF(ISBLANK($B70),"",IFERROR(_xll.BDP(TICKER,"DEEP_MEASURE_PERIOD_BROKER_VALUE","DEEP_MEASURE_ID_OVERRIDE",$C70,"DEEP_BROKER_ID_OVERRIDE",BM$24,"DEEP_PERIOD_OVERRIDE",$H$19)*1,"")))</f>
        <v/>
      </c>
      <c r="BN70" s="17" t="str">
        <f>IF(OR(BN$23="",ISNA($B70)),"",IF(ISBLANK($B70),"",IFERROR(_xll.BDP(TICKER,"DEEP_MEASURE_PERIOD_BROKER_VALUE","DEEP_MEASURE_ID_OVERRIDE",$C70,"DEEP_BROKER_ID_OVERRIDE",BN$24,"DEEP_PERIOD_OVERRIDE",$H$19)*1,"")))</f>
        <v/>
      </c>
      <c r="BO70" s="17" t="str">
        <f>IF(OR(BO$23="",ISNA($B70)),"",IF(ISBLANK($B70),"",IFERROR(_xll.BDP(TICKER,"DEEP_MEASURE_PERIOD_BROKER_VALUE","DEEP_MEASURE_ID_OVERRIDE",$C70,"DEEP_BROKER_ID_OVERRIDE",BO$24,"DEEP_PERIOD_OVERRIDE",$H$19)*1,"")))</f>
        <v/>
      </c>
      <c r="BP70" s="17" t="str">
        <f>IF(OR(BP$23="",ISNA($B70)),"",IF(ISBLANK($B70),"",IFERROR(_xll.BDP(TICKER,"DEEP_MEASURE_PERIOD_BROKER_VALUE","DEEP_MEASURE_ID_OVERRIDE",$C70,"DEEP_BROKER_ID_OVERRIDE",BP$24,"DEEP_PERIOD_OVERRIDE",$H$19)*1,"")))</f>
        <v/>
      </c>
      <c r="BQ70" s="17" t="str">
        <f>IF(OR(BQ$23="",ISNA($B70)),"",IF(ISBLANK($B70),"",IFERROR(_xll.BDP(TICKER,"DEEP_MEASURE_PERIOD_BROKER_VALUE","DEEP_MEASURE_ID_OVERRIDE",$C70,"DEEP_BROKER_ID_OVERRIDE",BQ$24,"DEEP_PERIOD_OVERRIDE",$H$19)*1,"")))</f>
        <v/>
      </c>
      <c r="BR70" s="17" t="str">
        <f>IF(OR(BR$23="",ISNA($B70)),"",IF(ISBLANK($B70),"",IFERROR(_xll.BDP(TICKER,"DEEP_MEASURE_PERIOD_BROKER_VALUE","DEEP_MEASURE_ID_OVERRIDE",$C70,"DEEP_BROKER_ID_OVERRIDE",BR$24,"DEEP_PERIOD_OVERRIDE",$H$19)*1,"")))</f>
        <v/>
      </c>
      <c r="BS70" s="17" t="str">
        <f>IF(OR(BS$23="",ISNA($B70)),"",IF(ISBLANK($B70),"",IFERROR(_xll.BDP(TICKER,"DEEP_MEASURE_PERIOD_BROKER_VALUE","DEEP_MEASURE_ID_OVERRIDE",$C70,"DEEP_BROKER_ID_OVERRIDE",BS$24,"DEEP_PERIOD_OVERRIDE",$H$19)*1,"")))</f>
        <v/>
      </c>
      <c r="BT70" s="17" t="str">
        <f>IF(OR(BT$23="",ISNA($B70)),"",IF(ISBLANK($B70),"",IFERROR(_xll.BDP(TICKER,"DEEP_MEASURE_PERIOD_BROKER_VALUE","DEEP_MEASURE_ID_OVERRIDE",$C70,"DEEP_BROKER_ID_OVERRIDE",BT$24,"DEEP_PERIOD_OVERRIDE",$H$19)*1,"")))</f>
        <v/>
      </c>
      <c r="BU70" s="17" t="str">
        <f>IF(OR(BU$23="",ISNA($B70)),"",IF(ISBLANK($B70),"",IFERROR(_xll.BDP(TICKER,"DEEP_MEASURE_PERIOD_BROKER_VALUE","DEEP_MEASURE_ID_OVERRIDE",$C70,"DEEP_BROKER_ID_OVERRIDE",BU$24,"DEEP_PERIOD_OVERRIDE",$H$19)*1,"")))</f>
        <v/>
      </c>
      <c r="BV70" s="17" t="str">
        <f>IF(OR(BV$23="",ISNA($B70)),"",IF(ISBLANK($B70),"",IFERROR(_xll.BDP(TICKER,"DEEP_MEASURE_PERIOD_BROKER_VALUE","DEEP_MEASURE_ID_OVERRIDE",$C70,"DEEP_BROKER_ID_OVERRIDE",BV$24,"DEEP_PERIOD_OVERRIDE",$H$19)*1,"")))</f>
        <v/>
      </c>
      <c r="BW70" s="17" t="str">
        <f>IF(OR(BW$23="",ISNA($B70)),"",IF(ISBLANK($B70),"",IFERROR(_xll.BDP(TICKER,"DEEP_MEASURE_PERIOD_BROKER_VALUE","DEEP_MEASURE_ID_OVERRIDE",$C70,"DEEP_BROKER_ID_OVERRIDE",BW$24,"DEEP_PERIOD_OVERRIDE",$H$19)*1,"")))</f>
        <v/>
      </c>
      <c r="BX70" s="17" t="str">
        <f>IF(OR(BX$23="",ISNA($B70)),"",IF(ISBLANK($B70),"",IFERROR(_xll.BDP(TICKER,"DEEP_MEASURE_PERIOD_BROKER_VALUE","DEEP_MEASURE_ID_OVERRIDE",$C70,"DEEP_BROKER_ID_OVERRIDE",BX$24,"DEEP_PERIOD_OVERRIDE",$H$19)*1,"")))</f>
        <v/>
      </c>
      <c r="BY70" s="17" t="str">
        <f>IF(OR(BY$23="",ISNA($B70)),"",IF(ISBLANK($B70),"",IFERROR(_xll.BDP(TICKER,"DEEP_MEASURE_PERIOD_BROKER_VALUE","DEEP_MEASURE_ID_OVERRIDE",$C70,"DEEP_BROKER_ID_OVERRIDE",BY$24,"DEEP_PERIOD_OVERRIDE",$H$19)*1,"")))</f>
        <v/>
      </c>
      <c r="BZ70" s="17" t="str">
        <f>IF(OR(BZ$23="",ISNA($B70)),"",IF(ISBLANK($B70),"",IFERROR(_xll.BDP(TICKER,"DEEP_MEASURE_PERIOD_BROKER_VALUE","DEEP_MEASURE_ID_OVERRIDE",$C70,"DEEP_BROKER_ID_OVERRIDE",BZ$24,"DEEP_PERIOD_OVERRIDE",$H$19)*1,"")))</f>
        <v/>
      </c>
    </row>
    <row r="71" spans="2:78" x14ac:dyDescent="0.25">
      <c r="B71" t="s">
        <v>115</v>
      </c>
      <c r="C71">
        <v>1944</v>
      </c>
      <c r="H71" t="str">
        <f t="shared" si="1"/>
        <v>Total Revenue &gt; Hotel &gt; Revenue &gt; Other Hotel Revenue</v>
      </c>
      <c r="I71" t="str">
        <f>IF(OR(I$23="",ISNA($B71)),"",IF(ISBLANK($B71),"",IFERROR(_xll.BDP(TICKER,"DEEP_MEASURE_PERIOD_BROKER_VALUE","DEEP_MEASURE_ID_OVERRIDE",$C71,"DEEP_PERIOD_OVERRIDE",$H$19)*1,"")))</f>
        <v/>
      </c>
      <c r="J71" t="e">
        <f>IF(OR(J$23="",ISNA($B71)),"",IF(ISBLANK($B71),"",IFERROR(_xll.BDP(TICKER,"DEEP_MEASURE_PERIOD_BROKER_VALUE","DEEP_MEASURE_ID_OVERRIDE",$C71,"DEEP_BROKER_ID_OVERRIDE",J$24,"DEEP_PERIOD_OVERRIDE",$H$19)*1,"")))</f>
        <v>#REF!</v>
      </c>
      <c r="K71" s="17" t="str">
        <f>IF(OR(K$23="",ISNA($B71)),"",IF(ISBLANK($B71),"",IFERROR(_xll.BDP(TICKER,"DEEP_MEASURE_PERIOD_BROKER_VALUE","DEEP_MEASURE_ID_OVERRIDE",$C71,"DEEP_BROKER_ID_OVERRIDE",K$24,"DEEP_PERIOD_OVERRIDE",$H$19)*1,"")))</f>
        <v/>
      </c>
      <c r="L71" s="17" t="str">
        <f>IF(OR(L$23="",ISNA($B71)),"",IF(ISBLANK($B71),"",IFERROR(_xll.BDP(TICKER,"DEEP_MEASURE_PERIOD_BROKER_VALUE","DEEP_MEASURE_ID_OVERRIDE",$C71,"DEEP_BROKER_ID_OVERRIDE",L$24,"DEEP_PERIOD_OVERRIDE",$H$19)*1,"")))</f>
        <v/>
      </c>
      <c r="M71" s="17" t="str">
        <f>IF(OR(M$23="",ISNA($B71)),"",IF(ISBLANK($B71),"",IFERROR(_xll.BDP(TICKER,"DEEP_MEASURE_PERIOD_BROKER_VALUE","DEEP_MEASURE_ID_OVERRIDE",$C71,"DEEP_BROKER_ID_OVERRIDE",M$24,"DEEP_PERIOD_OVERRIDE",$H$19)*1,"")))</f>
        <v/>
      </c>
      <c r="N71" s="17" t="str">
        <f>IF(OR(N$23="",ISNA($B71)),"",IF(ISBLANK($B71),"",IFERROR(_xll.BDP(TICKER,"DEEP_MEASURE_PERIOD_BROKER_VALUE","DEEP_MEASURE_ID_OVERRIDE",$C71,"DEEP_BROKER_ID_OVERRIDE",N$24,"DEEP_PERIOD_OVERRIDE",$H$19)*1,"")))</f>
        <v/>
      </c>
      <c r="O71" s="17" t="str">
        <f>IF(OR(O$23="",ISNA($B71)),"",IF(ISBLANK($B71),"",IFERROR(_xll.BDP(TICKER,"DEEP_MEASURE_PERIOD_BROKER_VALUE","DEEP_MEASURE_ID_OVERRIDE",$C71,"DEEP_BROKER_ID_OVERRIDE",O$24,"DEEP_PERIOD_OVERRIDE",$H$19)*1,"")))</f>
        <v/>
      </c>
      <c r="P71" s="17" t="str">
        <f>IF(OR(P$23="",ISNA($B71)),"",IF(ISBLANK($B71),"",IFERROR(_xll.BDP(TICKER,"DEEP_MEASURE_PERIOD_BROKER_VALUE","DEEP_MEASURE_ID_OVERRIDE",$C71,"DEEP_BROKER_ID_OVERRIDE",P$24,"DEEP_PERIOD_OVERRIDE",$H$19)*1,"")))</f>
        <v/>
      </c>
      <c r="Q71" s="17" t="str">
        <f>IF(OR(Q$23="",ISNA($B71)),"",IF(ISBLANK($B71),"",IFERROR(_xll.BDP(TICKER,"DEEP_MEASURE_PERIOD_BROKER_VALUE","DEEP_MEASURE_ID_OVERRIDE",$C71,"DEEP_BROKER_ID_OVERRIDE",Q$24,"DEEP_PERIOD_OVERRIDE",$H$19)*1,"")))</f>
        <v/>
      </c>
      <c r="R71" s="17" t="str">
        <f>IF(OR(R$23="",ISNA($B71)),"",IF(ISBLANK($B71),"",IFERROR(_xll.BDP(TICKER,"DEEP_MEASURE_PERIOD_BROKER_VALUE","DEEP_MEASURE_ID_OVERRIDE",$C71,"DEEP_BROKER_ID_OVERRIDE",R$24,"DEEP_PERIOD_OVERRIDE",$H$19)*1,"")))</f>
        <v/>
      </c>
      <c r="S71" s="17" t="str">
        <f>IF(OR(S$23="",ISNA($B71)),"",IF(ISBLANK($B71),"",IFERROR(_xll.BDP(TICKER,"DEEP_MEASURE_PERIOD_BROKER_VALUE","DEEP_MEASURE_ID_OVERRIDE",$C71,"DEEP_BROKER_ID_OVERRIDE",S$24,"DEEP_PERIOD_OVERRIDE",$H$19)*1,"")))</f>
        <v/>
      </c>
      <c r="T71" s="17" t="str">
        <f>IF(OR(T$23="",ISNA($B71)),"",IF(ISBLANK($B71),"",IFERROR(_xll.BDP(TICKER,"DEEP_MEASURE_PERIOD_BROKER_VALUE","DEEP_MEASURE_ID_OVERRIDE",$C71,"DEEP_BROKER_ID_OVERRIDE",T$24,"DEEP_PERIOD_OVERRIDE",$H$19)*1,"")))</f>
        <v/>
      </c>
      <c r="U71" s="17" t="str">
        <f>IF(OR(U$23="",ISNA($B71)),"",IF(ISBLANK($B71),"",IFERROR(_xll.BDP(TICKER,"DEEP_MEASURE_PERIOD_BROKER_VALUE","DEEP_MEASURE_ID_OVERRIDE",$C71,"DEEP_BROKER_ID_OVERRIDE",U$24,"DEEP_PERIOD_OVERRIDE",$H$19)*1,"")))</f>
        <v/>
      </c>
      <c r="V71" s="17" t="str">
        <f>IF(OR(V$23="",ISNA($B71)),"",IF(ISBLANK($B71),"",IFERROR(_xll.BDP(TICKER,"DEEP_MEASURE_PERIOD_BROKER_VALUE","DEEP_MEASURE_ID_OVERRIDE",$C71,"DEEP_BROKER_ID_OVERRIDE",V$24,"DEEP_PERIOD_OVERRIDE",$H$19)*1,"")))</f>
        <v/>
      </c>
      <c r="W71" s="17" t="str">
        <f>IF(OR(W$23="",ISNA($B71)),"",IF(ISBLANK($B71),"",IFERROR(_xll.BDP(TICKER,"DEEP_MEASURE_PERIOD_BROKER_VALUE","DEEP_MEASURE_ID_OVERRIDE",$C71,"DEEP_BROKER_ID_OVERRIDE",W$24,"DEEP_PERIOD_OVERRIDE",$H$19)*1,"")))</f>
        <v/>
      </c>
      <c r="X71" s="17" t="str">
        <f>IF(OR(X$23="",ISNA($B71)),"",IF(ISBLANK($B71),"",IFERROR(_xll.BDP(TICKER,"DEEP_MEASURE_PERIOD_BROKER_VALUE","DEEP_MEASURE_ID_OVERRIDE",$C71,"DEEP_BROKER_ID_OVERRIDE",X$24,"DEEP_PERIOD_OVERRIDE",$H$19)*1,"")))</f>
        <v/>
      </c>
      <c r="Y71" s="17" t="str">
        <f>IF(OR(Y$23="",ISNA($B71)),"",IF(ISBLANK($B71),"",IFERROR(_xll.BDP(TICKER,"DEEP_MEASURE_PERIOD_BROKER_VALUE","DEEP_MEASURE_ID_OVERRIDE",$C71,"DEEP_BROKER_ID_OVERRIDE",Y$24,"DEEP_PERIOD_OVERRIDE",$H$19)*1,"")))</f>
        <v/>
      </c>
      <c r="Z71" s="17" t="str">
        <f>IF(OR(Z$23="",ISNA($B71)),"",IF(ISBLANK($B71),"",IFERROR(_xll.BDP(TICKER,"DEEP_MEASURE_PERIOD_BROKER_VALUE","DEEP_MEASURE_ID_OVERRIDE",$C71,"DEEP_BROKER_ID_OVERRIDE",Z$24,"DEEP_PERIOD_OVERRIDE",$H$19)*1,"")))</f>
        <v/>
      </c>
      <c r="AA71" s="17" t="str">
        <f>IF(OR(AA$23="",ISNA($B71)),"",IF(ISBLANK($B71),"",IFERROR(_xll.BDP(TICKER,"DEEP_MEASURE_PERIOD_BROKER_VALUE","DEEP_MEASURE_ID_OVERRIDE",$C71,"DEEP_BROKER_ID_OVERRIDE",AA$24,"DEEP_PERIOD_OVERRIDE",$H$19)*1,"")))</f>
        <v/>
      </c>
      <c r="AB71" s="17" t="str">
        <f>IF(OR(AB$23="",ISNA($B71)),"",IF(ISBLANK($B71),"",IFERROR(_xll.BDP(TICKER,"DEEP_MEASURE_PERIOD_BROKER_VALUE","DEEP_MEASURE_ID_OVERRIDE",$C71,"DEEP_BROKER_ID_OVERRIDE",AB$24,"DEEP_PERIOD_OVERRIDE",$H$19)*1,"")))</f>
        <v/>
      </c>
      <c r="AC71" s="17" t="str">
        <f>IF(OR(AC$23="",ISNA($B71)),"",IF(ISBLANK($B71),"",IFERROR(_xll.BDP(TICKER,"DEEP_MEASURE_PERIOD_BROKER_VALUE","DEEP_MEASURE_ID_OVERRIDE",$C71,"DEEP_BROKER_ID_OVERRIDE",AC$24,"DEEP_PERIOD_OVERRIDE",$H$19)*1,"")))</f>
        <v/>
      </c>
      <c r="AD71" s="17" t="str">
        <f>IF(OR(AD$23="",ISNA($B71)),"",IF(ISBLANK($B71),"",IFERROR(_xll.BDP(TICKER,"DEEP_MEASURE_PERIOD_BROKER_VALUE","DEEP_MEASURE_ID_OVERRIDE",$C71,"DEEP_BROKER_ID_OVERRIDE",AD$24,"DEEP_PERIOD_OVERRIDE",$H$19)*1,"")))</f>
        <v/>
      </c>
      <c r="AE71" s="17" t="str">
        <f>IF(OR(AE$23="",ISNA($B71)),"",IF(ISBLANK($B71),"",IFERROR(_xll.BDP(TICKER,"DEEP_MEASURE_PERIOD_BROKER_VALUE","DEEP_MEASURE_ID_OVERRIDE",$C71,"DEEP_BROKER_ID_OVERRIDE",AE$24,"DEEP_PERIOD_OVERRIDE",$H$19)*1,"")))</f>
        <v/>
      </c>
      <c r="AF71" s="17" t="str">
        <f>IF(OR(AF$23="",ISNA($B71)),"",IF(ISBLANK($B71),"",IFERROR(_xll.BDP(TICKER,"DEEP_MEASURE_PERIOD_BROKER_VALUE","DEEP_MEASURE_ID_OVERRIDE",$C71,"DEEP_BROKER_ID_OVERRIDE",AF$24,"DEEP_PERIOD_OVERRIDE",$H$19)*1,"")))</f>
        <v/>
      </c>
      <c r="AG71" s="17" t="str">
        <f>IF(OR(AG$23="",ISNA($B71)),"",IF(ISBLANK($B71),"",IFERROR(_xll.BDP(TICKER,"DEEP_MEASURE_PERIOD_BROKER_VALUE","DEEP_MEASURE_ID_OVERRIDE",$C71,"DEEP_BROKER_ID_OVERRIDE",AG$24,"DEEP_PERIOD_OVERRIDE",$H$19)*1,"")))</f>
        <v/>
      </c>
      <c r="AH71" s="17" t="str">
        <f>IF(OR(AH$23="",ISNA($B71)),"",IF(ISBLANK($B71),"",IFERROR(_xll.BDP(TICKER,"DEEP_MEASURE_PERIOD_BROKER_VALUE","DEEP_MEASURE_ID_OVERRIDE",$C71,"DEEP_BROKER_ID_OVERRIDE",AH$24,"DEEP_PERIOD_OVERRIDE",$H$19)*1,"")))</f>
        <v/>
      </c>
      <c r="AI71" s="17" t="str">
        <f>IF(OR(AI$23="",ISNA($B71)),"",IF(ISBLANK($B71),"",IFERROR(_xll.BDP(TICKER,"DEEP_MEASURE_PERIOD_BROKER_VALUE","DEEP_MEASURE_ID_OVERRIDE",$C71,"DEEP_BROKER_ID_OVERRIDE",AI$24,"DEEP_PERIOD_OVERRIDE",$H$19)*1,"")))</f>
        <v/>
      </c>
      <c r="AJ71" s="17" t="str">
        <f>IF(OR(AJ$23="",ISNA($B71)),"",IF(ISBLANK($B71),"",IFERROR(_xll.BDP(TICKER,"DEEP_MEASURE_PERIOD_BROKER_VALUE","DEEP_MEASURE_ID_OVERRIDE",$C71,"DEEP_BROKER_ID_OVERRIDE",AJ$24,"DEEP_PERIOD_OVERRIDE",$H$19)*1,"")))</f>
        <v/>
      </c>
      <c r="AK71" s="17" t="str">
        <f>IF(OR(AK$23="",ISNA($B71)),"",IF(ISBLANK($B71),"",IFERROR(_xll.BDP(TICKER,"DEEP_MEASURE_PERIOD_BROKER_VALUE","DEEP_MEASURE_ID_OVERRIDE",$C71,"DEEP_BROKER_ID_OVERRIDE",AK$24,"DEEP_PERIOD_OVERRIDE",$H$19)*1,"")))</f>
        <v/>
      </c>
      <c r="AL71" s="17" t="str">
        <f>IF(OR(AL$23="",ISNA($B71)),"",IF(ISBLANK($B71),"",IFERROR(_xll.BDP(TICKER,"DEEP_MEASURE_PERIOD_BROKER_VALUE","DEEP_MEASURE_ID_OVERRIDE",$C71,"DEEP_BROKER_ID_OVERRIDE",AL$24,"DEEP_PERIOD_OVERRIDE",$H$19)*1,"")))</f>
        <v/>
      </c>
      <c r="AM71" s="17" t="str">
        <f>IF(OR(AM$23="",ISNA($B71)),"",IF(ISBLANK($B71),"",IFERROR(_xll.BDP(TICKER,"DEEP_MEASURE_PERIOD_BROKER_VALUE","DEEP_MEASURE_ID_OVERRIDE",$C71,"DEEP_BROKER_ID_OVERRIDE",AM$24,"DEEP_PERIOD_OVERRIDE",$H$19)*1,"")))</f>
        <v/>
      </c>
      <c r="AN71" s="17" t="str">
        <f>IF(OR(AN$23="",ISNA($B71)),"",IF(ISBLANK($B71),"",IFERROR(_xll.BDP(TICKER,"DEEP_MEASURE_PERIOD_BROKER_VALUE","DEEP_MEASURE_ID_OVERRIDE",$C71,"DEEP_BROKER_ID_OVERRIDE",AN$24,"DEEP_PERIOD_OVERRIDE",$H$19)*1,"")))</f>
        <v/>
      </c>
      <c r="AO71" s="17" t="str">
        <f>IF(OR(AO$23="",ISNA($B71)),"",IF(ISBLANK($B71),"",IFERROR(_xll.BDP(TICKER,"DEEP_MEASURE_PERIOD_BROKER_VALUE","DEEP_MEASURE_ID_OVERRIDE",$C71,"DEEP_BROKER_ID_OVERRIDE",AO$24,"DEEP_PERIOD_OVERRIDE",$H$19)*1,"")))</f>
        <v/>
      </c>
      <c r="AP71" s="17" t="str">
        <f>IF(OR(AP$23="",ISNA($B71)),"",IF(ISBLANK($B71),"",IFERROR(_xll.BDP(TICKER,"DEEP_MEASURE_PERIOD_BROKER_VALUE","DEEP_MEASURE_ID_OVERRIDE",$C71,"DEEP_BROKER_ID_OVERRIDE",AP$24,"DEEP_PERIOD_OVERRIDE",$H$19)*1,"")))</f>
        <v/>
      </c>
      <c r="AQ71" s="17" t="str">
        <f>IF(OR(AQ$23="",ISNA($B71)),"",IF(ISBLANK($B71),"",IFERROR(_xll.BDP(TICKER,"DEEP_MEASURE_PERIOD_BROKER_VALUE","DEEP_MEASURE_ID_OVERRIDE",$C71,"DEEP_BROKER_ID_OVERRIDE",AQ$24,"DEEP_PERIOD_OVERRIDE",$H$19)*1,"")))</f>
        <v/>
      </c>
      <c r="AR71" s="17" t="str">
        <f>IF(OR(AR$23="",ISNA($B71)),"",IF(ISBLANK($B71),"",IFERROR(_xll.BDP(TICKER,"DEEP_MEASURE_PERIOD_BROKER_VALUE","DEEP_MEASURE_ID_OVERRIDE",$C71,"DEEP_BROKER_ID_OVERRIDE",AR$24,"DEEP_PERIOD_OVERRIDE",$H$19)*1,"")))</f>
        <v/>
      </c>
      <c r="AS71" s="17" t="str">
        <f>IF(OR(AS$23="",ISNA($B71)),"",IF(ISBLANK($B71),"",IFERROR(_xll.BDP(TICKER,"DEEP_MEASURE_PERIOD_BROKER_VALUE","DEEP_MEASURE_ID_OVERRIDE",$C71,"DEEP_BROKER_ID_OVERRIDE",AS$24,"DEEP_PERIOD_OVERRIDE",$H$19)*1,"")))</f>
        <v/>
      </c>
      <c r="AT71" s="17" t="str">
        <f>IF(OR(AT$23="",ISNA($B71)),"",IF(ISBLANK($B71),"",IFERROR(_xll.BDP(TICKER,"DEEP_MEASURE_PERIOD_BROKER_VALUE","DEEP_MEASURE_ID_OVERRIDE",$C71,"DEEP_BROKER_ID_OVERRIDE",AT$24,"DEEP_PERIOD_OVERRIDE",$H$19)*1,"")))</f>
        <v/>
      </c>
      <c r="AU71" s="17" t="str">
        <f>IF(OR(AU$23="",ISNA($B71)),"",IF(ISBLANK($B71),"",IFERROR(_xll.BDP(TICKER,"DEEP_MEASURE_PERIOD_BROKER_VALUE","DEEP_MEASURE_ID_OVERRIDE",$C71,"DEEP_BROKER_ID_OVERRIDE",AU$24,"DEEP_PERIOD_OVERRIDE",$H$19)*1,"")))</f>
        <v/>
      </c>
      <c r="AV71" s="17" t="str">
        <f>IF(OR(AV$23="",ISNA($B71)),"",IF(ISBLANK($B71),"",IFERROR(_xll.BDP(TICKER,"DEEP_MEASURE_PERIOD_BROKER_VALUE","DEEP_MEASURE_ID_OVERRIDE",$C71,"DEEP_BROKER_ID_OVERRIDE",AV$24,"DEEP_PERIOD_OVERRIDE",$H$19)*1,"")))</f>
        <v/>
      </c>
      <c r="AW71" s="17" t="str">
        <f>IF(OR(AW$23="",ISNA($B71)),"",IF(ISBLANK($B71),"",IFERROR(_xll.BDP(TICKER,"DEEP_MEASURE_PERIOD_BROKER_VALUE","DEEP_MEASURE_ID_OVERRIDE",$C71,"DEEP_BROKER_ID_OVERRIDE",AW$24,"DEEP_PERIOD_OVERRIDE",$H$19)*1,"")))</f>
        <v/>
      </c>
      <c r="AX71" s="17" t="str">
        <f>IF(OR(AX$23="",ISNA($B71)),"",IF(ISBLANK($B71),"",IFERROR(_xll.BDP(TICKER,"DEEP_MEASURE_PERIOD_BROKER_VALUE","DEEP_MEASURE_ID_OVERRIDE",$C71,"DEEP_BROKER_ID_OVERRIDE",AX$24,"DEEP_PERIOD_OVERRIDE",$H$19)*1,"")))</f>
        <v/>
      </c>
      <c r="AY71" s="17" t="str">
        <f>IF(OR(AY$23="",ISNA($B71)),"",IF(ISBLANK($B71),"",IFERROR(_xll.BDP(TICKER,"DEEP_MEASURE_PERIOD_BROKER_VALUE","DEEP_MEASURE_ID_OVERRIDE",$C71,"DEEP_BROKER_ID_OVERRIDE",AY$24,"DEEP_PERIOD_OVERRIDE",$H$19)*1,"")))</f>
        <v/>
      </c>
      <c r="AZ71" s="17" t="str">
        <f>IF(OR(AZ$23="",ISNA($B71)),"",IF(ISBLANK($B71),"",IFERROR(_xll.BDP(TICKER,"DEEP_MEASURE_PERIOD_BROKER_VALUE","DEEP_MEASURE_ID_OVERRIDE",$C71,"DEEP_BROKER_ID_OVERRIDE",AZ$24,"DEEP_PERIOD_OVERRIDE",$H$19)*1,"")))</f>
        <v/>
      </c>
      <c r="BA71" s="17" t="str">
        <f>IF(OR(BA$23="",ISNA($B71)),"",IF(ISBLANK($B71),"",IFERROR(_xll.BDP(TICKER,"DEEP_MEASURE_PERIOD_BROKER_VALUE","DEEP_MEASURE_ID_OVERRIDE",$C71,"DEEP_BROKER_ID_OVERRIDE",BA$24,"DEEP_PERIOD_OVERRIDE",$H$19)*1,"")))</f>
        <v/>
      </c>
      <c r="BB71" s="17" t="str">
        <f>IF(OR(BB$23="",ISNA($B71)),"",IF(ISBLANK($B71),"",IFERROR(_xll.BDP(TICKER,"DEEP_MEASURE_PERIOD_BROKER_VALUE","DEEP_MEASURE_ID_OVERRIDE",$C71,"DEEP_BROKER_ID_OVERRIDE",BB$24,"DEEP_PERIOD_OVERRIDE",$H$19)*1,"")))</f>
        <v/>
      </c>
      <c r="BC71" s="17" t="str">
        <f>IF(OR(BC$23="",ISNA($B71)),"",IF(ISBLANK($B71),"",IFERROR(_xll.BDP(TICKER,"DEEP_MEASURE_PERIOD_BROKER_VALUE","DEEP_MEASURE_ID_OVERRIDE",$C71,"DEEP_BROKER_ID_OVERRIDE",BC$24,"DEEP_PERIOD_OVERRIDE",$H$19)*1,"")))</f>
        <v/>
      </c>
      <c r="BD71" s="17" t="str">
        <f>IF(OR(BD$23="",ISNA($B71)),"",IF(ISBLANK($B71),"",IFERROR(_xll.BDP(TICKER,"DEEP_MEASURE_PERIOD_BROKER_VALUE","DEEP_MEASURE_ID_OVERRIDE",$C71,"DEEP_BROKER_ID_OVERRIDE",BD$24,"DEEP_PERIOD_OVERRIDE",$H$19)*1,"")))</f>
        <v/>
      </c>
      <c r="BE71" s="17" t="str">
        <f>IF(OR(BE$23="",ISNA($B71)),"",IF(ISBLANK($B71),"",IFERROR(_xll.BDP(TICKER,"DEEP_MEASURE_PERIOD_BROKER_VALUE","DEEP_MEASURE_ID_OVERRIDE",$C71,"DEEP_BROKER_ID_OVERRIDE",BE$24,"DEEP_PERIOD_OVERRIDE",$H$19)*1,"")))</f>
        <v/>
      </c>
      <c r="BF71" s="17" t="str">
        <f>IF(OR(BF$23="",ISNA($B71)),"",IF(ISBLANK($B71),"",IFERROR(_xll.BDP(TICKER,"DEEP_MEASURE_PERIOD_BROKER_VALUE","DEEP_MEASURE_ID_OVERRIDE",$C71,"DEEP_BROKER_ID_OVERRIDE",BF$24,"DEEP_PERIOD_OVERRIDE",$H$19)*1,"")))</f>
        <v/>
      </c>
      <c r="BG71" s="17" t="str">
        <f>IF(OR(BG$23="",ISNA($B71)),"",IF(ISBLANK($B71),"",IFERROR(_xll.BDP(TICKER,"DEEP_MEASURE_PERIOD_BROKER_VALUE","DEEP_MEASURE_ID_OVERRIDE",$C71,"DEEP_BROKER_ID_OVERRIDE",BG$24,"DEEP_PERIOD_OVERRIDE",$H$19)*1,"")))</f>
        <v/>
      </c>
      <c r="BH71" s="17" t="str">
        <f>IF(OR(BH$23="",ISNA($B71)),"",IF(ISBLANK($B71),"",IFERROR(_xll.BDP(TICKER,"DEEP_MEASURE_PERIOD_BROKER_VALUE","DEEP_MEASURE_ID_OVERRIDE",$C71,"DEEP_BROKER_ID_OVERRIDE",BH$24,"DEEP_PERIOD_OVERRIDE",$H$19)*1,"")))</f>
        <v/>
      </c>
      <c r="BI71" s="17" t="str">
        <f>IF(OR(BI$23="",ISNA($B71)),"",IF(ISBLANK($B71),"",IFERROR(_xll.BDP(TICKER,"DEEP_MEASURE_PERIOD_BROKER_VALUE","DEEP_MEASURE_ID_OVERRIDE",$C71,"DEEP_BROKER_ID_OVERRIDE",BI$24,"DEEP_PERIOD_OVERRIDE",$H$19)*1,"")))</f>
        <v/>
      </c>
      <c r="BJ71" s="17" t="str">
        <f>IF(OR(BJ$23="",ISNA($B71)),"",IF(ISBLANK($B71),"",IFERROR(_xll.BDP(TICKER,"DEEP_MEASURE_PERIOD_BROKER_VALUE","DEEP_MEASURE_ID_OVERRIDE",$C71,"DEEP_BROKER_ID_OVERRIDE",BJ$24,"DEEP_PERIOD_OVERRIDE",$H$19)*1,"")))</f>
        <v/>
      </c>
      <c r="BK71" s="17" t="str">
        <f>IF(OR(BK$23="",ISNA($B71)),"",IF(ISBLANK($B71),"",IFERROR(_xll.BDP(TICKER,"DEEP_MEASURE_PERIOD_BROKER_VALUE","DEEP_MEASURE_ID_OVERRIDE",$C71,"DEEP_BROKER_ID_OVERRIDE",BK$24,"DEEP_PERIOD_OVERRIDE",$H$19)*1,"")))</f>
        <v/>
      </c>
      <c r="BL71" s="17" t="str">
        <f>IF(OR(BL$23="",ISNA($B71)),"",IF(ISBLANK($B71),"",IFERROR(_xll.BDP(TICKER,"DEEP_MEASURE_PERIOD_BROKER_VALUE","DEEP_MEASURE_ID_OVERRIDE",$C71,"DEEP_BROKER_ID_OVERRIDE",BL$24,"DEEP_PERIOD_OVERRIDE",$H$19)*1,"")))</f>
        <v/>
      </c>
      <c r="BM71" s="17" t="str">
        <f>IF(OR(BM$23="",ISNA($B71)),"",IF(ISBLANK($B71),"",IFERROR(_xll.BDP(TICKER,"DEEP_MEASURE_PERIOD_BROKER_VALUE","DEEP_MEASURE_ID_OVERRIDE",$C71,"DEEP_BROKER_ID_OVERRIDE",BM$24,"DEEP_PERIOD_OVERRIDE",$H$19)*1,"")))</f>
        <v/>
      </c>
      <c r="BN71" s="17" t="str">
        <f>IF(OR(BN$23="",ISNA($B71)),"",IF(ISBLANK($B71),"",IFERROR(_xll.BDP(TICKER,"DEEP_MEASURE_PERIOD_BROKER_VALUE","DEEP_MEASURE_ID_OVERRIDE",$C71,"DEEP_BROKER_ID_OVERRIDE",BN$24,"DEEP_PERIOD_OVERRIDE",$H$19)*1,"")))</f>
        <v/>
      </c>
      <c r="BO71" s="17" t="str">
        <f>IF(OR(BO$23="",ISNA($B71)),"",IF(ISBLANK($B71),"",IFERROR(_xll.BDP(TICKER,"DEEP_MEASURE_PERIOD_BROKER_VALUE","DEEP_MEASURE_ID_OVERRIDE",$C71,"DEEP_BROKER_ID_OVERRIDE",BO$24,"DEEP_PERIOD_OVERRIDE",$H$19)*1,"")))</f>
        <v/>
      </c>
      <c r="BP71" s="17" t="str">
        <f>IF(OR(BP$23="",ISNA($B71)),"",IF(ISBLANK($B71),"",IFERROR(_xll.BDP(TICKER,"DEEP_MEASURE_PERIOD_BROKER_VALUE","DEEP_MEASURE_ID_OVERRIDE",$C71,"DEEP_BROKER_ID_OVERRIDE",BP$24,"DEEP_PERIOD_OVERRIDE",$H$19)*1,"")))</f>
        <v/>
      </c>
      <c r="BQ71" s="17" t="str">
        <f>IF(OR(BQ$23="",ISNA($B71)),"",IF(ISBLANK($B71),"",IFERROR(_xll.BDP(TICKER,"DEEP_MEASURE_PERIOD_BROKER_VALUE","DEEP_MEASURE_ID_OVERRIDE",$C71,"DEEP_BROKER_ID_OVERRIDE",BQ$24,"DEEP_PERIOD_OVERRIDE",$H$19)*1,"")))</f>
        <v/>
      </c>
      <c r="BR71" s="17" t="str">
        <f>IF(OR(BR$23="",ISNA($B71)),"",IF(ISBLANK($B71),"",IFERROR(_xll.BDP(TICKER,"DEEP_MEASURE_PERIOD_BROKER_VALUE","DEEP_MEASURE_ID_OVERRIDE",$C71,"DEEP_BROKER_ID_OVERRIDE",BR$24,"DEEP_PERIOD_OVERRIDE",$H$19)*1,"")))</f>
        <v/>
      </c>
      <c r="BS71" s="17" t="str">
        <f>IF(OR(BS$23="",ISNA($B71)),"",IF(ISBLANK($B71),"",IFERROR(_xll.BDP(TICKER,"DEEP_MEASURE_PERIOD_BROKER_VALUE","DEEP_MEASURE_ID_OVERRIDE",$C71,"DEEP_BROKER_ID_OVERRIDE",BS$24,"DEEP_PERIOD_OVERRIDE",$H$19)*1,"")))</f>
        <v/>
      </c>
      <c r="BT71" s="17" t="str">
        <f>IF(OR(BT$23="",ISNA($B71)),"",IF(ISBLANK($B71),"",IFERROR(_xll.BDP(TICKER,"DEEP_MEASURE_PERIOD_BROKER_VALUE","DEEP_MEASURE_ID_OVERRIDE",$C71,"DEEP_BROKER_ID_OVERRIDE",BT$24,"DEEP_PERIOD_OVERRIDE",$H$19)*1,"")))</f>
        <v/>
      </c>
      <c r="BU71" s="17" t="str">
        <f>IF(OR(BU$23="",ISNA($B71)),"",IF(ISBLANK($B71),"",IFERROR(_xll.BDP(TICKER,"DEEP_MEASURE_PERIOD_BROKER_VALUE","DEEP_MEASURE_ID_OVERRIDE",$C71,"DEEP_BROKER_ID_OVERRIDE",BU$24,"DEEP_PERIOD_OVERRIDE",$H$19)*1,"")))</f>
        <v/>
      </c>
      <c r="BV71" s="17" t="str">
        <f>IF(OR(BV$23="",ISNA($B71)),"",IF(ISBLANK($B71),"",IFERROR(_xll.BDP(TICKER,"DEEP_MEASURE_PERIOD_BROKER_VALUE","DEEP_MEASURE_ID_OVERRIDE",$C71,"DEEP_BROKER_ID_OVERRIDE",BV$24,"DEEP_PERIOD_OVERRIDE",$H$19)*1,"")))</f>
        <v/>
      </c>
      <c r="BW71" s="17" t="str">
        <f>IF(OR(BW$23="",ISNA($B71)),"",IF(ISBLANK($B71),"",IFERROR(_xll.BDP(TICKER,"DEEP_MEASURE_PERIOD_BROKER_VALUE","DEEP_MEASURE_ID_OVERRIDE",$C71,"DEEP_BROKER_ID_OVERRIDE",BW$24,"DEEP_PERIOD_OVERRIDE",$H$19)*1,"")))</f>
        <v/>
      </c>
      <c r="BX71" s="17" t="str">
        <f>IF(OR(BX$23="",ISNA($B71)),"",IF(ISBLANK($B71),"",IFERROR(_xll.BDP(TICKER,"DEEP_MEASURE_PERIOD_BROKER_VALUE","DEEP_MEASURE_ID_OVERRIDE",$C71,"DEEP_BROKER_ID_OVERRIDE",BX$24,"DEEP_PERIOD_OVERRIDE",$H$19)*1,"")))</f>
        <v/>
      </c>
      <c r="BY71" s="17" t="str">
        <f>IF(OR(BY$23="",ISNA($B71)),"",IF(ISBLANK($B71),"",IFERROR(_xll.BDP(TICKER,"DEEP_MEASURE_PERIOD_BROKER_VALUE","DEEP_MEASURE_ID_OVERRIDE",$C71,"DEEP_BROKER_ID_OVERRIDE",BY$24,"DEEP_PERIOD_OVERRIDE",$H$19)*1,"")))</f>
        <v/>
      </c>
      <c r="BZ71" s="17" t="str">
        <f>IF(OR(BZ$23="",ISNA($B71)),"",IF(ISBLANK($B71),"",IFERROR(_xll.BDP(TICKER,"DEEP_MEASURE_PERIOD_BROKER_VALUE","DEEP_MEASURE_ID_OVERRIDE",$C71,"DEEP_BROKER_ID_OVERRIDE",BZ$24,"DEEP_PERIOD_OVERRIDE",$H$19)*1,"")))</f>
        <v/>
      </c>
    </row>
    <row r="72" spans="2:78" x14ac:dyDescent="0.25">
      <c r="B72" t="s">
        <v>116</v>
      </c>
      <c r="C72">
        <v>1950</v>
      </c>
      <c r="H72" t="str">
        <f t="shared" si="1"/>
        <v>Total Revenue &gt; Hotel &gt; Revenue &gt; Other Hotel Revenue &gt; As % of Revenue</v>
      </c>
      <c r="I72" t="str">
        <f>IF(OR(I$23="",ISNA($B72)),"",IF(ISBLANK($B72),"",IFERROR(_xll.BDP(TICKER,"DEEP_MEASURE_PERIOD_BROKER_VALUE","DEEP_MEASURE_ID_OVERRIDE",$C72,"DEEP_PERIOD_OVERRIDE",$H$19)*1,"")))</f>
        <v/>
      </c>
      <c r="J72" t="e">
        <f>IF(OR(J$23="",ISNA($B72)),"",IF(ISBLANK($B72),"",IFERROR(_xll.BDP(TICKER,"DEEP_MEASURE_PERIOD_BROKER_VALUE","DEEP_MEASURE_ID_OVERRIDE",$C72,"DEEP_BROKER_ID_OVERRIDE",J$24,"DEEP_PERIOD_OVERRIDE",$H$19)*1,"")))</f>
        <v>#REF!</v>
      </c>
      <c r="K72" s="17" t="str">
        <f>IF(OR(K$23="",ISNA($B72)),"",IF(ISBLANK($B72),"",IFERROR(_xll.BDP(TICKER,"DEEP_MEASURE_PERIOD_BROKER_VALUE","DEEP_MEASURE_ID_OVERRIDE",$C72,"DEEP_BROKER_ID_OVERRIDE",K$24,"DEEP_PERIOD_OVERRIDE",$H$19)*1,"")))</f>
        <v/>
      </c>
      <c r="L72" s="17" t="str">
        <f>IF(OR(L$23="",ISNA($B72)),"",IF(ISBLANK($B72),"",IFERROR(_xll.BDP(TICKER,"DEEP_MEASURE_PERIOD_BROKER_VALUE","DEEP_MEASURE_ID_OVERRIDE",$C72,"DEEP_BROKER_ID_OVERRIDE",L$24,"DEEP_PERIOD_OVERRIDE",$H$19)*1,"")))</f>
        <v/>
      </c>
      <c r="M72" s="17" t="str">
        <f>IF(OR(M$23="",ISNA($B72)),"",IF(ISBLANK($B72),"",IFERROR(_xll.BDP(TICKER,"DEEP_MEASURE_PERIOD_BROKER_VALUE","DEEP_MEASURE_ID_OVERRIDE",$C72,"DEEP_BROKER_ID_OVERRIDE",M$24,"DEEP_PERIOD_OVERRIDE",$H$19)*1,"")))</f>
        <v/>
      </c>
      <c r="N72" s="17" t="str">
        <f>IF(OR(N$23="",ISNA($B72)),"",IF(ISBLANK($B72),"",IFERROR(_xll.BDP(TICKER,"DEEP_MEASURE_PERIOD_BROKER_VALUE","DEEP_MEASURE_ID_OVERRIDE",$C72,"DEEP_BROKER_ID_OVERRIDE",N$24,"DEEP_PERIOD_OVERRIDE",$H$19)*1,"")))</f>
        <v/>
      </c>
      <c r="O72" s="17" t="str">
        <f>IF(OR(O$23="",ISNA($B72)),"",IF(ISBLANK($B72),"",IFERROR(_xll.BDP(TICKER,"DEEP_MEASURE_PERIOD_BROKER_VALUE","DEEP_MEASURE_ID_OVERRIDE",$C72,"DEEP_BROKER_ID_OVERRIDE",O$24,"DEEP_PERIOD_OVERRIDE",$H$19)*1,"")))</f>
        <v/>
      </c>
      <c r="P72" s="17" t="str">
        <f>IF(OR(P$23="",ISNA($B72)),"",IF(ISBLANK($B72),"",IFERROR(_xll.BDP(TICKER,"DEEP_MEASURE_PERIOD_BROKER_VALUE","DEEP_MEASURE_ID_OVERRIDE",$C72,"DEEP_BROKER_ID_OVERRIDE",P$24,"DEEP_PERIOD_OVERRIDE",$H$19)*1,"")))</f>
        <v/>
      </c>
      <c r="Q72" s="17" t="str">
        <f>IF(OR(Q$23="",ISNA($B72)),"",IF(ISBLANK($B72),"",IFERROR(_xll.BDP(TICKER,"DEEP_MEASURE_PERIOD_BROKER_VALUE","DEEP_MEASURE_ID_OVERRIDE",$C72,"DEEP_BROKER_ID_OVERRIDE",Q$24,"DEEP_PERIOD_OVERRIDE",$H$19)*1,"")))</f>
        <v/>
      </c>
      <c r="R72" s="17" t="str">
        <f>IF(OR(R$23="",ISNA($B72)),"",IF(ISBLANK($B72),"",IFERROR(_xll.BDP(TICKER,"DEEP_MEASURE_PERIOD_BROKER_VALUE","DEEP_MEASURE_ID_OVERRIDE",$C72,"DEEP_BROKER_ID_OVERRIDE",R$24,"DEEP_PERIOD_OVERRIDE",$H$19)*1,"")))</f>
        <v/>
      </c>
      <c r="S72" s="17" t="str">
        <f>IF(OR(S$23="",ISNA($B72)),"",IF(ISBLANK($B72),"",IFERROR(_xll.BDP(TICKER,"DEEP_MEASURE_PERIOD_BROKER_VALUE","DEEP_MEASURE_ID_OVERRIDE",$C72,"DEEP_BROKER_ID_OVERRIDE",S$24,"DEEP_PERIOD_OVERRIDE",$H$19)*1,"")))</f>
        <v/>
      </c>
      <c r="T72" s="17" t="str">
        <f>IF(OR(T$23="",ISNA($B72)),"",IF(ISBLANK($B72),"",IFERROR(_xll.BDP(TICKER,"DEEP_MEASURE_PERIOD_BROKER_VALUE","DEEP_MEASURE_ID_OVERRIDE",$C72,"DEEP_BROKER_ID_OVERRIDE",T$24,"DEEP_PERIOD_OVERRIDE",$H$19)*1,"")))</f>
        <v/>
      </c>
      <c r="U72" s="17" t="str">
        <f>IF(OR(U$23="",ISNA($B72)),"",IF(ISBLANK($B72),"",IFERROR(_xll.BDP(TICKER,"DEEP_MEASURE_PERIOD_BROKER_VALUE","DEEP_MEASURE_ID_OVERRIDE",$C72,"DEEP_BROKER_ID_OVERRIDE",U$24,"DEEP_PERIOD_OVERRIDE",$H$19)*1,"")))</f>
        <v/>
      </c>
      <c r="V72" s="17" t="str">
        <f>IF(OR(V$23="",ISNA($B72)),"",IF(ISBLANK($B72),"",IFERROR(_xll.BDP(TICKER,"DEEP_MEASURE_PERIOD_BROKER_VALUE","DEEP_MEASURE_ID_OVERRIDE",$C72,"DEEP_BROKER_ID_OVERRIDE",V$24,"DEEP_PERIOD_OVERRIDE",$H$19)*1,"")))</f>
        <v/>
      </c>
      <c r="W72" s="17" t="str">
        <f>IF(OR(W$23="",ISNA($B72)),"",IF(ISBLANK($B72),"",IFERROR(_xll.BDP(TICKER,"DEEP_MEASURE_PERIOD_BROKER_VALUE","DEEP_MEASURE_ID_OVERRIDE",$C72,"DEEP_BROKER_ID_OVERRIDE",W$24,"DEEP_PERIOD_OVERRIDE",$H$19)*1,"")))</f>
        <v/>
      </c>
      <c r="X72" s="17" t="str">
        <f>IF(OR(X$23="",ISNA($B72)),"",IF(ISBLANK($B72),"",IFERROR(_xll.BDP(TICKER,"DEEP_MEASURE_PERIOD_BROKER_VALUE","DEEP_MEASURE_ID_OVERRIDE",$C72,"DEEP_BROKER_ID_OVERRIDE",X$24,"DEEP_PERIOD_OVERRIDE",$H$19)*1,"")))</f>
        <v/>
      </c>
      <c r="Y72" s="17" t="str">
        <f>IF(OR(Y$23="",ISNA($B72)),"",IF(ISBLANK($B72),"",IFERROR(_xll.BDP(TICKER,"DEEP_MEASURE_PERIOD_BROKER_VALUE","DEEP_MEASURE_ID_OVERRIDE",$C72,"DEEP_BROKER_ID_OVERRIDE",Y$24,"DEEP_PERIOD_OVERRIDE",$H$19)*1,"")))</f>
        <v/>
      </c>
      <c r="Z72" s="17" t="str">
        <f>IF(OR(Z$23="",ISNA($B72)),"",IF(ISBLANK($B72),"",IFERROR(_xll.BDP(TICKER,"DEEP_MEASURE_PERIOD_BROKER_VALUE","DEEP_MEASURE_ID_OVERRIDE",$C72,"DEEP_BROKER_ID_OVERRIDE",Z$24,"DEEP_PERIOD_OVERRIDE",$H$19)*1,"")))</f>
        <v/>
      </c>
      <c r="AA72" s="17" t="str">
        <f>IF(OR(AA$23="",ISNA($B72)),"",IF(ISBLANK($B72),"",IFERROR(_xll.BDP(TICKER,"DEEP_MEASURE_PERIOD_BROKER_VALUE","DEEP_MEASURE_ID_OVERRIDE",$C72,"DEEP_BROKER_ID_OVERRIDE",AA$24,"DEEP_PERIOD_OVERRIDE",$H$19)*1,"")))</f>
        <v/>
      </c>
      <c r="AB72" s="17" t="str">
        <f>IF(OR(AB$23="",ISNA($B72)),"",IF(ISBLANK($B72),"",IFERROR(_xll.BDP(TICKER,"DEEP_MEASURE_PERIOD_BROKER_VALUE","DEEP_MEASURE_ID_OVERRIDE",$C72,"DEEP_BROKER_ID_OVERRIDE",AB$24,"DEEP_PERIOD_OVERRIDE",$H$19)*1,"")))</f>
        <v/>
      </c>
      <c r="AC72" s="17" t="str">
        <f>IF(OR(AC$23="",ISNA($B72)),"",IF(ISBLANK($B72),"",IFERROR(_xll.BDP(TICKER,"DEEP_MEASURE_PERIOD_BROKER_VALUE","DEEP_MEASURE_ID_OVERRIDE",$C72,"DEEP_BROKER_ID_OVERRIDE",AC$24,"DEEP_PERIOD_OVERRIDE",$H$19)*1,"")))</f>
        <v/>
      </c>
      <c r="AD72" s="17" t="str">
        <f>IF(OR(AD$23="",ISNA($B72)),"",IF(ISBLANK($B72),"",IFERROR(_xll.BDP(TICKER,"DEEP_MEASURE_PERIOD_BROKER_VALUE","DEEP_MEASURE_ID_OVERRIDE",$C72,"DEEP_BROKER_ID_OVERRIDE",AD$24,"DEEP_PERIOD_OVERRIDE",$H$19)*1,"")))</f>
        <v/>
      </c>
      <c r="AE72" s="17" t="str">
        <f>IF(OR(AE$23="",ISNA($B72)),"",IF(ISBLANK($B72),"",IFERROR(_xll.BDP(TICKER,"DEEP_MEASURE_PERIOD_BROKER_VALUE","DEEP_MEASURE_ID_OVERRIDE",$C72,"DEEP_BROKER_ID_OVERRIDE",AE$24,"DEEP_PERIOD_OVERRIDE",$H$19)*1,"")))</f>
        <v/>
      </c>
      <c r="AF72" s="17" t="str">
        <f>IF(OR(AF$23="",ISNA($B72)),"",IF(ISBLANK($B72),"",IFERROR(_xll.BDP(TICKER,"DEEP_MEASURE_PERIOD_BROKER_VALUE","DEEP_MEASURE_ID_OVERRIDE",$C72,"DEEP_BROKER_ID_OVERRIDE",AF$24,"DEEP_PERIOD_OVERRIDE",$H$19)*1,"")))</f>
        <v/>
      </c>
      <c r="AG72" s="17" t="str">
        <f>IF(OR(AG$23="",ISNA($B72)),"",IF(ISBLANK($B72),"",IFERROR(_xll.BDP(TICKER,"DEEP_MEASURE_PERIOD_BROKER_VALUE","DEEP_MEASURE_ID_OVERRIDE",$C72,"DEEP_BROKER_ID_OVERRIDE",AG$24,"DEEP_PERIOD_OVERRIDE",$H$19)*1,"")))</f>
        <v/>
      </c>
      <c r="AH72" s="17" t="str">
        <f>IF(OR(AH$23="",ISNA($B72)),"",IF(ISBLANK($B72),"",IFERROR(_xll.BDP(TICKER,"DEEP_MEASURE_PERIOD_BROKER_VALUE","DEEP_MEASURE_ID_OVERRIDE",$C72,"DEEP_BROKER_ID_OVERRIDE",AH$24,"DEEP_PERIOD_OVERRIDE",$H$19)*1,"")))</f>
        <v/>
      </c>
      <c r="AI72" s="17" t="str">
        <f>IF(OR(AI$23="",ISNA($B72)),"",IF(ISBLANK($B72),"",IFERROR(_xll.BDP(TICKER,"DEEP_MEASURE_PERIOD_BROKER_VALUE","DEEP_MEASURE_ID_OVERRIDE",$C72,"DEEP_BROKER_ID_OVERRIDE",AI$24,"DEEP_PERIOD_OVERRIDE",$H$19)*1,"")))</f>
        <v/>
      </c>
      <c r="AJ72" s="17" t="str">
        <f>IF(OR(AJ$23="",ISNA($B72)),"",IF(ISBLANK($B72),"",IFERROR(_xll.BDP(TICKER,"DEEP_MEASURE_PERIOD_BROKER_VALUE","DEEP_MEASURE_ID_OVERRIDE",$C72,"DEEP_BROKER_ID_OVERRIDE",AJ$24,"DEEP_PERIOD_OVERRIDE",$H$19)*1,"")))</f>
        <v/>
      </c>
      <c r="AK72" s="17" t="str">
        <f>IF(OR(AK$23="",ISNA($B72)),"",IF(ISBLANK($B72),"",IFERROR(_xll.BDP(TICKER,"DEEP_MEASURE_PERIOD_BROKER_VALUE","DEEP_MEASURE_ID_OVERRIDE",$C72,"DEEP_BROKER_ID_OVERRIDE",AK$24,"DEEP_PERIOD_OVERRIDE",$H$19)*1,"")))</f>
        <v/>
      </c>
      <c r="AL72" s="17" t="str">
        <f>IF(OR(AL$23="",ISNA($B72)),"",IF(ISBLANK($B72),"",IFERROR(_xll.BDP(TICKER,"DEEP_MEASURE_PERIOD_BROKER_VALUE","DEEP_MEASURE_ID_OVERRIDE",$C72,"DEEP_BROKER_ID_OVERRIDE",AL$24,"DEEP_PERIOD_OVERRIDE",$H$19)*1,"")))</f>
        <v/>
      </c>
      <c r="AM72" s="17" t="str">
        <f>IF(OR(AM$23="",ISNA($B72)),"",IF(ISBLANK($B72),"",IFERROR(_xll.BDP(TICKER,"DEEP_MEASURE_PERIOD_BROKER_VALUE","DEEP_MEASURE_ID_OVERRIDE",$C72,"DEEP_BROKER_ID_OVERRIDE",AM$24,"DEEP_PERIOD_OVERRIDE",$H$19)*1,"")))</f>
        <v/>
      </c>
      <c r="AN72" s="17" t="str">
        <f>IF(OR(AN$23="",ISNA($B72)),"",IF(ISBLANK($B72),"",IFERROR(_xll.BDP(TICKER,"DEEP_MEASURE_PERIOD_BROKER_VALUE","DEEP_MEASURE_ID_OVERRIDE",$C72,"DEEP_BROKER_ID_OVERRIDE",AN$24,"DEEP_PERIOD_OVERRIDE",$H$19)*1,"")))</f>
        <v/>
      </c>
      <c r="AO72" s="17" t="str">
        <f>IF(OR(AO$23="",ISNA($B72)),"",IF(ISBLANK($B72),"",IFERROR(_xll.BDP(TICKER,"DEEP_MEASURE_PERIOD_BROKER_VALUE","DEEP_MEASURE_ID_OVERRIDE",$C72,"DEEP_BROKER_ID_OVERRIDE",AO$24,"DEEP_PERIOD_OVERRIDE",$H$19)*1,"")))</f>
        <v/>
      </c>
      <c r="AP72" s="17" t="str">
        <f>IF(OR(AP$23="",ISNA($B72)),"",IF(ISBLANK($B72),"",IFERROR(_xll.BDP(TICKER,"DEEP_MEASURE_PERIOD_BROKER_VALUE","DEEP_MEASURE_ID_OVERRIDE",$C72,"DEEP_BROKER_ID_OVERRIDE",AP$24,"DEEP_PERIOD_OVERRIDE",$H$19)*1,"")))</f>
        <v/>
      </c>
      <c r="AQ72" s="17" t="str">
        <f>IF(OR(AQ$23="",ISNA($B72)),"",IF(ISBLANK($B72),"",IFERROR(_xll.BDP(TICKER,"DEEP_MEASURE_PERIOD_BROKER_VALUE","DEEP_MEASURE_ID_OVERRIDE",$C72,"DEEP_BROKER_ID_OVERRIDE",AQ$24,"DEEP_PERIOD_OVERRIDE",$H$19)*1,"")))</f>
        <v/>
      </c>
      <c r="AR72" s="17" t="str">
        <f>IF(OR(AR$23="",ISNA($B72)),"",IF(ISBLANK($B72),"",IFERROR(_xll.BDP(TICKER,"DEEP_MEASURE_PERIOD_BROKER_VALUE","DEEP_MEASURE_ID_OVERRIDE",$C72,"DEEP_BROKER_ID_OVERRIDE",AR$24,"DEEP_PERIOD_OVERRIDE",$H$19)*1,"")))</f>
        <v/>
      </c>
      <c r="AS72" s="17" t="str">
        <f>IF(OR(AS$23="",ISNA($B72)),"",IF(ISBLANK($B72),"",IFERROR(_xll.BDP(TICKER,"DEEP_MEASURE_PERIOD_BROKER_VALUE","DEEP_MEASURE_ID_OVERRIDE",$C72,"DEEP_BROKER_ID_OVERRIDE",AS$24,"DEEP_PERIOD_OVERRIDE",$H$19)*1,"")))</f>
        <v/>
      </c>
      <c r="AT72" s="17" t="str">
        <f>IF(OR(AT$23="",ISNA($B72)),"",IF(ISBLANK($B72),"",IFERROR(_xll.BDP(TICKER,"DEEP_MEASURE_PERIOD_BROKER_VALUE","DEEP_MEASURE_ID_OVERRIDE",$C72,"DEEP_BROKER_ID_OVERRIDE",AT$24,"DEEP_PERIOD_OVERRIDE",$H$19)*1,"")))</f>
        <v/>
      </c>
      <c r="AU72" s="17" t="str">
        <f>IF(OR(AU$23="",ISNA($B72)),"",IF(ISBLANK($B72),"",IFERROR(_xll.BDP(TICKER,"DEEP_MEASURE_PERIOD_BROKER_VALUE","DEEP_MEASURE_ID_OVERRIDE",$C72,"DEEP_BROKER_ID_OVERRIDE",AU$24,"DEEP_PERIOD_OVERRIDE",$H$19)*1,"")))</f>
        <v/>
      </c>
      <c r="AV72" s="17" t="str">
        <f>IF(OR(AV$23="",ISNA($B72)),"",IF(ISBLANK($B72),"",IFERROR(_xll.BDP(TICKER,"DEEP_MEASURE_PERIOD_BROKER_VALUE","DEEP_MEASURE_ID_OVERRIDE",$C72,"DEEP_BROKER_ID_OVERRIDE",AV$24,"DEEP_PERIOD_OVERRIDE",$H$19)*1,"")))</f>
        <v/>
      </c>
      <c r="AW72" s="17" t="str">
        <f>IF(OR(AW$23="",ISNA($B72)),"",IF(ISBLANK($B72),"",IFERROR(_xll.BDP(TICKER,"DEEP_MEASURE_PERIOD_BROKER_VALUE","DEEP_MEASURE_ID_OVERRIDE",$C72,"DEEP_BROKER_ID_OVERRIDE",AW$24,"DEEP_PERIOD_OVERRIDE",$H$19)*1,"")))</f>
        <v/>
      </c>
      <c r="AX72" s="17" t="str">
        <f>IF(OR(AX$23="",ISNA($B72)),"",IF(ISBLANK($B72),"",IFERROR(_xll.BDP(TICKER,"DEEP_MEASURE_PERIOD_BROKER_VALUE","DEEP_MEASURE_ID_OVERRIDE",$C72,"DEEP_BROKER_ID_OVERRIDE",AX$24,"DEEP_PERIOD_OVERRIDE",$H$19)*1,"")))</f>
        <v/>
      </c>
      <c r="AY72" s="17" t="str">
        <f>IF(OR(AY$23="",ISNA($B72)),"",IF(ISBLANK($B72),"",IFERROR(_xll.BDP(TICKER,"DEEP_MEASURE_PERIOD_BROKER_VALUE","DEEP_MEASURE_ID_OVERRIDE",$C72,"DEEP_BROKER_ID_OVERRIDE",AY$24,"DEEP_PERIOD_OVERRIDE",$H$19)*1,"")))</f>
        <v/>
      </c>
      <c r="AZ72" s="17" t="str">
        <f>IF(OR(AZ$23="",ISNA($B72)),"",IF(ISBLANK($B72),"",IFERROR(_xll.BDP(TICKER,"DEEP_MEASURE_PERIOD_BROKER_VALUE","DEEP_MEASURE_ID_OVERRIDE",$C72,"DEEP_BROKER_ID_OVERRIDE",AZ$24,"DEEP_PERIOD_OVERRIDE",$H$19)*1,"")))</f>
        <v/>
      </c>
      <c r="BA72" s="17" t="str">
        <f>IF(OR(BA$23="",ISNA($B72)),"",IF(ISBLANK($B72),"",IFERROR(_xll.BDP(TICKER,"DEEP_MEASURE_PERIOD_BROKER_VALUE","DEEP_MEASURE_ID_OVERRIDE",$C72,"DEEP_BROKER_ID_OVERRIDE",BA$24,"DEEP_PERIOD_OVERRIDE",$H$19)*1,"")))</f>
        <v/>
      </c>
      <c r="BB72" s="17" t="str">
        <f>IF(OR(BB$23="",ISNA($B72)),"",IF(ISBLANK($B72),"",IFERROR(_xll.BDP(TICKER,"DEEP_MEASURE_PERIOD_BROKER_VALUE","DEEP_MEASURE_ID_OVERRIDE",$C72,"DEEP_BROKER_ID_OVERRIDE",BB$24,"DEEP_PERIOD_OVERRIDE",$H$19)*1,"")))</f>
        <v/>
      </c>
      <c r="BC72" s="17" t="str">
        <f>IF(OR(BC$23="",ISNA($B72)),"",IF(ISBLANK($B72),"",IFERROR(_xll.BDP(TICKER,"DEEP_MEASURE_PERIOD_BROKER_VALUE","DEEP_MEASURE_ID_OVERRIDE",$C72,"DEEP_BROKER_ID_OVERRIDE",BC$24,"DEEP_PERIOD_OVERRIDE",$H$19)*1,"")))</f>
        <v/>
      </c>
      <c r="BD72" s="17" t="str">
        <f>IF(OR(BD$23="",ISNA($B72)),"",IF(ISBLANK($B72),"",IFERROR(_xll.BDP(TICKER,"DEEP_MEASURE_PERIOD_BROKER_VALUE","DEEP_MEASURE_ID_OVERRIDE",$C72,"DEEP_BROKER_ID_OVERRIDE",BD$24,"DEEP_PERIOD_OVERRIDE",$H$19)*1,"")))</f>
        <v/>
      </c>
      <c r="BE72" s="17" t="str">
        <f>IF(OR(BE$23="",ISNA($B72)),"",IF(ISBLANK($B72),"",IFERROR(_xll.BDP(TICKER,"DEEP_MEASURE_PERIOD_BROKER_VALUE","DEEP_MEASURE_ID_OVERRIDE",$C72,"DEEP_BROKER_ID_OVERRIDE",BE$24,"DEEP_PERIOD_OVERRIDE",$H$19)*1,"")))</f>
        <v/>
      </c>
      <c r="BF72" s="17" t="str">
        <f>IF(OR(BF$23="",ISNA($B72)),"",IF(ISBLANK($B72),"",IFERROR(_xll.BDP(TICKER,"DEEP_MEASURE_PERIOD_BROKER_VALUE","DEEP_MEASURE_ID_OVERRIDE",$C72,"DEEP_BROKER_ID_OVERRIDE",BF$24,"DEEP_PERIOD_OVERRIDE",$H$19)*1,"")))</f>
        <v/>
      </c>
      <c r="BG72" s="17" t="str">
        <f>IF(OR(BG$23="",ISNA($B72)),"",IF(ISBLANK($B72),"",IFERROR(_xll.BDP(TICKER,"DEEP_MEASURE_PERIOD_BROKER_VALUE","DEEP_MEASURE_ID_OVERRIDE",$C72,"DEEP_BROKER_ID_OVERRIDE",BG$24,"DEEP_PERIOD_OVERRIDE",$H$19)*1,"")))</f>
        <v/>
      </c>
      <c r="BH72" s="17" t="str">
        <f>IF(OR(BH$23="",ISNA($B72)),"",IF(ISBLANK($B72),"",IFERROR(_xll.BDP(TICKER,"DEEP_MEASURE_PERIOD_BROKER_VALUE","DEEP_MEASURE_ID_OVERRIDE",$C72,"DEEP_BROKER_ID_OVERRIDE",BH$24,"DEEP_PERIOD_OVERRIDE",$H$19)*1,"")))</f>
        <v/>
      </c>
      <c r="BI72" s="17" t="str">
        <f>IF(OR(BI$23="",ISNA($B72)),"",IF(ISBLANK($B72),"",IFERROR(_xll.BDP(TICKER,"DEEP_MEASURE_PERIOD_BROKER_VALUE","DEEP_MEASURE_ID_OVERRIDE",$C72,"DEEP_BROKER_ID_OVERRIDE",BI$24,"DEEP_PERIOD_OVERRIDE",$H$19)*1,"")))</f>
        <v/>
      </c>
      <c r="BJ72" s="17" t="str">
        <f>IF(OR(BJ$23="",ISNA($B72)),"",IF(ISBLANK($B72),"",IFERROR(_xll.BDP(TICKER,"DEEP_MEASURE_PERIOD_BROKER_VALUE","DEEP_MEASURE_ID_OVERRIDE",$C72,"DEEP_BROKER_ID_OVERRIDE",BJ$24,"DEEP_PERIOD_OVERRIDE",$H$19)*1,"")))</f>
        <v/>
      </c>
      <c r="BK72" s="17" t="str">
        <f>IF(OR(BK$23="",ISNA($B72)),"",IF(ISBLANK($B72),"",IFERROR(_xll.BDP(TICKER,"DEEP_MEASURE_PERIOD_BROKER_VALUE","DEEP_MEASURE_ID_OVERRIDE",$C72,"DEEP_BROKER_ID_OVERRIDE",BK$24,"DEEP_PERIOD_OVERRIDE",$H$19)*1,"")))</f>
        <v/>
      </c>
      <c r="BL72" s="17" t="str">
        <f>IF(OR(BL$23="",ISNA($B72)),"",IF(ISBLANK($B72),"",IFERROR(_xll.BDP(TICKER,"DEEP_MEASURE_PERIOD_BROKER_VALUE","DEEP_MEASURE_ID_OVERRIDE",$C72,"DEEP_BROKER_ID_OVERRIDE",BL$24,"DEEP_PERIOD_OVERRIDE",$H$19)*1,"")))</f>
        <v/>
      </c>
      <c r="BM72" s="17" t="str">
        <f>IF(OR(BM$23="",ISNA($B72)),"",IF(ISBLANK($B72),"",IFERROR(_xll.BDP(TICKER,"DEEP_MEASURE_PERIOD_BROKER_VALUE","DEEP_MEASURE_ID_OVERRIDE",$C72,"DEEP_BROKER_ID_OVERRIDE",BM$24,"DEEP_PERIOD_OVERRIDE",$H$19)*1,"")))</f>
        <v/>
      </c>
      <c r="BN72" s="17" t="str">
        <f>IF(OR(BN$23="",ISNA($B72)),"",IF(ISBLANK($B72),"",IFERROR(_xll.BDP(TICKER,"DEEP_MEASURE_PERIOD_BROKER_VALUE","DEEP_MEASURE_ID_OVERRIDE",$C72,"DEEP_BROKER_ID_OVERRIDE",BN$24,"DEEP_PERIOD_OVERRIDE",$H$19)*1,"")))</f>
        <v/>
      </c>
      <c r="BO72" s="17" t="str">
        <f>IF(OR(BO$23="",ISNA($B72)),"",IF(ISBLANK($B72),"",IFERROR(_xll.BDP(TICKER,"DEEP_MEASURE_PERIOD_BROKER_VALUE","DEEP_MEASURE_ID_OVERRIDE",$C72,"DEEP_BROKER_ID_OVERRIDE",BO$24,"DEEP_PERIOD_OVERRIDE",$H$19)*1,"")))</f>
        <v/>
      </c>
      <c r="BP72" s="17" t="str">
        <f>IF(OR(BP$23="",ISNA($B72)),"",IF(ISBLANK($B72),"",IFERROR(_xll.BDP(TICKER,"DEEP_MEASURE_PERIOD_BROKER_VALUE","DEEP_MEASURE_ID_OVERRIDE",$C72,"DEEP_BROKER_ID_OVERRIDE",BP$24,"DEEP_PERIOD_OVERRIDE",$H$19)*1,"")))</f>
        <v/>
      </c>
      <c r="BQ72" s="17" t="str">
        <f>IF(OR(BQ$23="",ISNA($B72)),"",IF(ISBLANK($B72),"",IFERROR(_xll.BDP(TICKER,"DEEP_MEASURE_PERIOD_BROKER_VALUE","DEEP_MEASURE_ID_OVERRIDE",$C72,"DEEP_BROKER_ID_OVERRIDE",BQ$24,"DEEP_PERIOD_OVERRIDE",$H$19)*1,"")))</f>
        <v/>
      </c>
      <c r="BR72" s="17" t="str">
        <f>IF(OR(BR$23="",ISNA($B72)),"",IF(ISBLANK($B72),"",IFERROR(_xll.BDP(TICKER,"DEEP_MEASURE_PERIOD_BROKER_VALUE","DEEP_MEASURE_ID_OVERRIDE",$C72,"DEEP_BROKER_ID_OVERRIDE",BR$24,"DEEP_PERIOD_OVERRIDE",$H$19)*1,"")))</f>
        <v/>
      </c>
      <c r="BS72" s="17" t="str">
        <f>IF(OR(BS$23="",ISNA($B72)),"",IF(ISBLANK($B72),"",IFERROR(_xll.BDP(TICKER,"DEEP_MEASURE_PERIOD_BROKER_VALUE","DEEP_MEASURE_ID_OVERRIDE",$C72,"DEEP_BROKER_ID_OVERRIDE",BS$24,"DEEP_PERIOD_OVERRIDE",$H$19)*1,"")))</f>
        <v/>
      </c>
      <c r="BT72" s="17" t="str">
        <f>IF(OR(BT$23="",ISNA($B72)),"",IF(ISBLANK($B72),"",IFERROR(_xll.BDP(TICKER,"DEEP_MEASURE_PERIOD_BROKER_VALUE","DEEP_MEASURE_ID_OVERRIDE",$C72,"DEEP_BROKER_ID_OVERRIDE",BT$24,"DEEP_PERIOD_OVERRIDE",$H$19)*1,"")))</f>
        <v/>
      </c>
      <c r="BU72" s="17" t="str">
        <f>IF(OR(BU$23="",ISNA($B72)),"",IF(ISBLANK($B72),"",IFERROR(_xll.BDP(TICKER,"DEEP_MEASURE_PERIOD_BROKER_VALUE","DEEP_MEASURE_ID_OVERRIDE",$C72,"DEEP_BROKER_ID_OVERRIDE",BU$24,"DEEP_PERIOD_OVERRIDE",$H$19)*1,"")))</f>
        <v/>
      </c>
      <c r="BV72" s="17" t="str">
        <f>IF(OR(BV$23="",ISNA($B72)),"",IF(ISBLANK($B72),"",IFERROR(_xll.BDP(TICKER,"DEEP_MEASURE_PERIOD_BROKER_VALUE","DEEP_MEASURE_ID_OVERRIDE",$C72,"DEEP_BROKER_ID_OVERRIDE",BV$24,"DEEP_PERIOD_OVERRIDE",$H$19)*1,"")))</f>
        <v/>
      </c>
      <c r="BW72" s="17" t="str">
        <f>IF(OR(BW$23="",ISNA($B72)),"",IF(ISBLANK($B72),"",IFERROR(_xll.BDP(TICKER,"DEEP_MEASURE_PERIOD_BROKER_VALUE","DEEP_MEASURE_ID_OVERRIDE",$C72,"DEEP_BROKER_ID_OVERRIDE",BW$24,"DEEP_PERIOD_OVERRIDE",$H$19)*1,"")))</f>
        <v/>
      </c>
      <c r="BX72" s="17" t="str">
        <f>IF(OR(BX$23="",ISNA($B72)),"",IF(ISBLANK($B72),"",IFERROR(_xll.BDP(TICKER,"DEEP_MEASURE_PERIOD_BROKER_VALUE","DEEP_MEASURE_ID_OVERRIDE",$C72,"DEEP_BROKER_ID_OVERRIDE",BX$24,"DEEP_PERIOD_OVERRIDE",$H$19)*1,"")))</f>
        <v/>
      </c>
      <c r="BY72" s="17" t="str">
        <f>IF(OR(BY$23="",ISNA($B72)),"",IF(ISBLANK($B72),"",IFERROR(_xll.BDP(TICKER,"DEEP_MEASURE_PERIOD_BROKER_VALUE","DEEP_MEASURE_ID_OVERRIDE",$C72,"DEEP_BROKER_ID_OVERRIDE",BY$24,"DEEP_PERIOD_OVERRIDE",$H$19)*1,"")))</f>
        <v/>
      </c>
      <c r="BZ72" s="17" t="str">
        <f>IF(OR(BZ$23="",ISNA($B72)),"",IF(ISBLANK($B72),"",IFERROR(_xll.BDP(TICKER,"DEEP_MEASURE_PERIOD_BROKER_VALUE","DEEP_MEASURE_ID_OVERRIDE",$C72,"DEEP_BROKER_ID_OVERRIDE",BZ$24,"DEEP_PERIOD_OVERRIDE",$H$19)*1,"")))</f>
        <v/>
      </c>
    </row>
    <row r="73" spans="2:78" x14ac:dyDescent="0.25">
      <c r="B73" t="s">
        <v>117</v>
      </c>
      <c r="C73">
        <v>1945</v>
      </c>
      <c r="H73" t="str">
        <f t="shared" si="1"/>
        <v>Total Revenue &gt; Hotel &gt; Revenue &gt; Other Hotel Revenue &gt; YoY Growth (%)</v>
      </c>
      <c r="I73" t="str">
        <f>IF(OR(I$23="",ISNA($B73)),"",IF(ISBLANK($B73),"",IFERROR(_xll.BDP(TICKER,"DEEP_MEASURE_PERIOD_BROKER_VALUE","DEEP_MEASURE_ID_OVERRIDE",$C73,"DEEP_PERIOD_OVERRIDE",$H$19)*1,"")))</f>
        <v/>
      </c>
      <c r="J73" t="e">
        <f>IF(OR(J$23="",ISNA($B73)),"",IF(ISBLANK($B73),"",IFERROR(_xll.BDP(TICKER,"DEEP_MEASURE_PERIOD_BROKER_VALUE","DEEP_MEASURE_ID_OVERRIDE",$C73,"DEEP_BROKER_ID_OVERRIDE",J$24,"DEEP_PERIOD_OVERRIDE",$H$19)*1,"")))</f>
        <v>#REF!</v>
      </c>
      <c r="K73" s="17" t="str">
        <f>IF(OR(K$23="",ISNA($B73)),"",IF(ISBLANK($B73),"",IFERROR(_xll.BDP(TICKER,"DEEP_MEASURE_PERIOD_BROKER_VALUE","DEEP_MEASURE_ID_OVERRIDE",$C73,"DEEP_BROKER_ID_OVERRIDE",K$24,"DEEP_PERIOD_OVERRIDE",$H$19)*1,"")))</f>
        <v/>
      </c>
      <c r="L73" s="17" t="str">
        <f>IF(OR(L$23="",ISNA($B73)),"",IF(ISBLANK($B73),"",IFERROR(_xll.BDP(TICKER,"DEEP_MEASURE_PERIOD_BROKER_VALUE","DEEP_MEASURE_ID_OVERRIDE",$C73,"DEEP_BROKER_ID_OVERRIDE",L$24,"DEEP_PERIOD_OVERRIDE",$H$19)*1,"")))</f>
        <v/>
      </c>
      <c r="M73" s="17" t="str">
        <f>IF(OR(M$23="",ISNA($B73)),"",IF(ISBLANK($B73),"",IFERROR(_xll.BDP(TICKER,"DEEP_MEASURE_PERIOD_BROKER_VALUE","DEEP_MEASURE_ID_OVERRIDE",$C73,"DEEP_BROKER_ID_OVERRIDE",M$24,"DEEP_PERIOD_OVERRIDE",$H$19)*1,"")))</f>
        <v/>
      </c>
      <c r="N73" s="17" t="str">
        <f>IF(OR(N$23="",ISNA($B73)),"",IF(ISBLANK($B73),"",IFERROR(_xll.BDP(TICKER,"DEEP_MEASURE_PERIOD_BROKER_VALUE","DEEP_MEASURE_ID_OVERRIDE",$C73,"DEEP_BROKER_ID_OVERRIDE",N$24,"DEEP_PERIOD_OVERRIDE",$H$19)*1,"")))</f>
        <v/>
      </c>
      <c r="O73" s="17" t="str">
        <f>IF(OR(O$23="",ISNA($B73)),"",IF(ISBLANK($B73),"",IFERROR(_xll.BDP(TICKER,"DEEP_MEASURE_PERIOD_BROKER_VALUE","DEEP_MEASURE_ID_OVERRIDE",$C73,"DEEP_BROKER_ID_OVERRIDE",O$24,"DEEP_PERIOD_OVERRIDE",$H$19)*1,"")))</f>
        <v/>
      </c>
      <c r="P73" s="17" t="str">
        <f>IF(OR(P$23="",ISNA($B73)),"",IF(ISBLANK($B73),"",IFERROR(_xll.BDP(TICKER,"DEEP_MEASURE_PERIOD_BROKER_VALUE","DEEP_MEASURE_ID_OVERRIDE",$C73,"DEEP_BROKER_ID_OVERRIDE",P$24,"DEEP_PERIOD_OVERRIDE",$H$19)*1,"")))</f>
        <v/>
      </c>
      <c r="Q73" s="17" t="str">
        <f>IF(OR(Q$23="",ISNA($B73)),"",IF(ISBLANK($B73),"",IFERROR(_xll.BDP(TICKER,"DEEP_MEASURE_PERIOD_BROKER_VALUE","DEEP_MEASURE_ID_OVERRIDE",$C73,"DEEP_BROKER_ID_OVERRIDE",Q$24,"DEEP_PERIOD_OVERRIDE",$H$19)*1,"")))</f>
        <v/>
      </c>
      <c r="R73" s="17" t="str">
        <f>IF(OR(R$23="",ISNA($B73)),"",IF(ISBLANK($B73),"",IFERROR(_xll.BDP(TICKER,"DEEP_MEASURE_PERIOD_BROKER_VALUE","DEEP_MEASURE_ID_OVERRIDE",$C73,"DEEP_BROKER_ID_OVERRIDE",R$24,"DEEP_PERIOD_OVERRIDE",$H$19)*1,"")))</f>
        <v/>
      </c>
      <c r="S73" s="17" t="str">
        <f>IF(OR(S$23="",ISNA($B73)),"",IF(ISBLANK($B73),"",IFERROR(_xll.BDP(TICKER,"DEEP_MEASURE_PERIOD_BROKER_VALUE","DEEP_MEASURE_ID_OVERRIDE",$C73,"DEEP_BROKER_ID_OVERRIDE",S$24,"DEEP_PERIOD_OVERRIDE",$H$19)*1,"")))</f>
        <v/>
      </c>
      <c r="T73" s="17" t="str">
        <f>IF(OR(T$23="",ISNA($B73)),"",IF(ISBLANK($B73),"",IFERROR(_xll.BDP(TICKER,"DEEP_MEASURE_PERIOD_BROKER_VALUE","DEEP_MEASURE_ID_OVERRIDE",$C73,"DEEP_BROKER_ID_OVERRIDE",T$24,"DEEP_PERIOD_OVERRIDE",$H$19)*1,"")))</f>
        <v/>
      </c>
      <c r="U73" s="17" t="str">
        <f>IF(OR(U$23="",ISNA($B73)),"",IF(ISBLANK($B73),"",IFERROR(_xll.BDP(TICKER,"DEEP_MEASURE_PERIOD_BROKER_VALUE","DEEP_MEASURE_ID_OVERRIDE",$C73,"DEEP_BROKER_ID_OVERRIDE",U$24,"DEEP_PERIOD_OVERRIDE",$H$19)*1,"")))</f>
        <v/>
      </c>
      <c r="V73" s="17" t="str">
        <f>IF(OR(V$23="",ISNA($B73)),"",IF(ISBLANK($B73),"",IFERROR(_xll.BDP(TICKER,"DEEP_MEASURE_PERIOD_BROKER_VALUE","DEEP_MEASURE_ID_OVERRIDE",$C73,"DEEP_BROKER_ID_OVERRIDE",V$24,"DEEP_PERIOD_OVERRIDE",$H$19)*1,"")))</f>
        <v/>
      </c>
      <c r="W73" s="17" t="str">
        <f>IF(OR(W$23="",ISNA($B73)),"",IF(ISBLANK($B73),"",IFERROR(_xll.BDP(TICKER,"DEEP_MEASURE_PERIOD_BROKER_VALUE","DEEP_MEASURE_ID_OVERRIDE",$C73,"DEEP_BROKER_ID_OVERRIDE",W$24,"DEEP_PERIOD_OVERRIDE",$H$19)*1,"")))</f>
        <v/>
      </c>
      <c r="X73" s="17" t="str">
        <f>IF(OR(X$23="",ISNA($B73)),"",IF(ISBLANK($B73),"",IFERROR(_xll.BDP(TICKER,"DEEP_MEASURE_PERIOD_BROKER_VALUE","DEEP_MEASURE_ID_OVERRIDE",$C73,"DEEP_BROKER_ID_OVERRIDE",X$24,"DEEP_PERIOD_OVERRIDE",$H$19)*1,"")))</f>
        <v/>
      </c>
      <c r="Y73" s="17" t="str">
        <f>IF(OR(Y$23="",ISNA($B73)),"",IF(ISBLANK($B73),"",IFERROR(_xll.BDP(TICKER,"DEEP_MEASURE_PERIOD_BROKER_VALUE","DEEP_MEASURE_ID_OVERRIDE",$C73,"DEEP_BROKER_ID_OVERRIDE",Y$24,"DEEP_PERIOD_OVERRIDE",$H$19)*1,"")))</f>
        <v/>
      </c>
      <c r="Z73" s="17" t="str">
        <f>IF(OR(Z$23="",ISNA($B73)),"",IF(ISBLANK($B73),"",IFERROR(_xll.BDP(TICKER,"DEEP_MEASURE_PERIOD_BROKER_VALUE","DEEP_MEASURE_ID_OVERRIDE",$C73,"DEEP_BROKER_ID_OVERRIDE",Z$24,"DEEP_PERIOD_OVERRIDE",$H$19)*1,"")))</f>
        <v/>
      </c>
      <c r="AA73" s="17" t="str">
        <f>IF(OR(AA$23="",ISNA($B73)),"",IF(ISBLANK($B73),"",IFERROR(_xll.BDP(TICKER,"DEEP_MEASURE_PERIOD_BROKER_VALUE","DEEP_MEASURE_ID_OVERRIDE",$C73,"DEEP_BROKER_ID_OVERRIDE",AA$24,"DEEP_PERIOD_OVERRIDE",$H$19)*1,"")))</f>
        <v/>
      </c>
      <c r="AB73" s="17" t="str">
        <f>IF(OR(AB$23="",ISNA($B73)),"",IF(ISBLANK($B73),"",IFERROR(_xll.BDP(TICKER,"DEEP_MEASURE_PERIOD_BROKER_VALUE","DEEP_MEASURE_ID_OVERRIDE",$C73,"DEEP_BROKER_ID_OVERRIDE",AB$24,"DEEP_PERIOD_OVERRIDE",$H$19)*1,"")))</f>
        <v/>
      </c>
      <c r="AC73" s="17" t="str">
        <f>IF(OR(AC$23="",ISNA($B73)),"",IF(ISBLANK($B73),"",IFERROR(_xll.BDP(TICKER,"DEEP_MEASURE_PERIOD_BROKER_VALUE","DEEP_MEASURE_ID_OVERRIDE",$C73,"DEEP_BROKER_ID_OVERRIDE",AC$24,"DEEP_PERIOD_OVERRIDE",$H$19)*1,"")))</f>
        <v/>
      </c>
      <c r="AD73" s="17" t="str">
        <f>IF(OR(AD$23="",ISNA($B73)),"",IF(ISBLANK($B73),"",IFERROR(_xll.BDP(TICKER,"DEEP_MEASURE_PERIOD_BROKER_VALUE","DEEP_MEASURE_ID_OVERRIDE",$C73,"DEEP_BROKER_ID_OVERRIDE",AD$24,"DEEP_PERIOD_OVERRIDE",$H$19)*1,"")))</f>
        <v/>
      </c>
      <c r="AE73" s="17" t="str">
        <f>IF(OR(AE$23="",ISNA($B73)),"",IF(ISBLANK($B73),"",IFERROR(_xll.BDP(TICKER,"DEEP_MEASURE_PERIOD_BROKER_VALUE","DEEP_MEASURE_ID_OVERRIDE",$C73,"DEEP_BROKER_ID_OVERRIDE",AE$24,"DEEP_PERIOD_OVERRIDE",$H$19)*1,"")))</f>
        <v/>
      </c>
      <c r="AF73" s="17" t="str">
        <f>IF(OR(AF$23="",ISNA($B73)),"",IF(ISBLANK($B73),"",IFERROR(_xll.BDP(TICKER,"DEEP_MEASURE_PERIOD_BROKER_VALUE","DEEP_MEASURE_ID_OVERRIDE",$C73,"DEEP_BROKER_ID_OVERRIDE",AF$24,"DEEP_PERIOD_OVERRIDE",$H$19)*1,"")))</f>
        <v/>
      </c>
      <c r="AG73" s="17" t="str">
        <f>IF(OR(AG$23="",ISNA($B73)),"",IF(ISBLANK($B73),"",IFERROR(_xll.BDP(TICKER,"DEEP_MEASURE_PERIOD_BROKER_VALUE","DEEP_MEASURE_ID_OVERRIDE",$C73,"DEEP_BROKER_ID_OVERRIDE",AG$24,"DEEP_PERIOD_OVERRIDE",$H$19)*1,"")))</f>
        <v/>
      </c>
      <c r="AH73" s="17" t="str">
        <f>IF(OR(AH$23="",ISNA($B73)),"",IF(ISBLANK($B73),"",IFERROR(_xll.BDP(TICKER,"DEEP_MEASURE_PERIOD_BROKER_VALUE","DEEP_MEASURE_ID_OVERRIDE",$C73,"DEEP_BROKER_ID_OVERRIDE",AH$24,"DEEP_PERIOD_OVERRIDE",$H$19)*1,"")))</f>
        <v/>
      </c>
      <c r="AI73" s="17" t="str">
        <f>IF(OR(AI$23="",ISNA($B73)),"",IF(ISBLANK($B73),"",IFERROR(_xll.BDP(TICKER,"DEEP_MEASURE_PERIOD_BROKER_VALUE","DEEP_MEASURE_ID_OVERRIDE",$C73,"DEEP_BROKER_ID_OVERRIDE",AI$24,"DEEP_PERIOD_OVERRIDE",$H$19)*1,"")))</f>
        <v/>
      </c>
      <c r="AJ73" s="17" t="str">
        <f>IF(OR(AJ$23="",ISNA($B73)),"",IF(ISBLANK($B73),"",IFERROR(_xll.BDP(TICKER,"DEEP_MEASURE_PERIOD_BROKER_VALUE","DEEP_MEASURE_ID_OVERRIDE",$C73,"DEEP_BROKER_ID_OVERRIDE",AJ$24,"DEEP_PERIOD_OVERRIDE",$H$19)*1,"")))</f>
        <v/>
      </c>
      <c r="AK73" s="17" t="str">
        <f>IF(OR(AK$23="",ISNA($B73)),"",IF(ISBLANK($B73),"",IFERROR(_xll.BDP(TICKER,"DEEP_MEASURE_PERIOD_BROKER_VALUE","DEEP_MEASURE_ID_OVERRIDE",$C73,"DEEP_BROKER_ID_OVERRIDE",AK$24,"DEEP_PERIOD_OVERRIDE",$H$19)*1,"")))</f>
        <v/>
      </c>
      <c r="AL73" s="17" t="str">
        <f>IF(OR(AL$23="",ISNA($B73)),"",IF(ISBLANK($B73),"",IFERROR(_xll.BDP(TICKER,"DEEP_MEASURE_PERIOD_BROKER_VALUE","DEEP_MEASURE_ID_OVERRIDE",$C73,"DEEP_BROKER_ID_OVERRIDE",AL$24,"DEEP_PERIOD_OVERRIDE",$H$19)*1,"")))</f>
        <v/>
      </c>
      <c r="AM73" s="17" t="str">
        <f>IF(OR(AM$23="",ISNA($B73)),"",IF(ISBLANK($B73),"",IFERROR(_xll.BDP(TICKER,"DEEP_MEASURE_PERIOD_BROKER_VALUE","DEEP_MEASURE_ID_OVERRIDE",$C73,"DEEP_BROKER_ID_OVERRIDE",AM$24,"DEEP_PERIOD_OVERRIDE",$H$19)*1,"")))</f>
        <v/>
      </c>
      <c r="AN73" s="17" t="str">
        <f>IF(OR(AN$23="",ISNA($B73)),"",IF(ISBLANK($B73),"",IFERROR(_xll.BDP(TICKER,"DEEP_MEASURE_PERIOD_BROKER_VALUE","DEEP_MEASURE_ID_OVERRIDE",$C73,"DEEP_BROKER_ID_OVERRIDE",AN$24,"DEEP_PERIOD_OVERRIDE",$H$19)*1,"")))</f>
        <v/>
      </c>
      <c r="AO73" s="17" t="str">
        <f>IF(OR(AO$23="",ISNA($B73)),"",IF(ISBLANK($B73),"",IFERROR(_xll.BDP(TICKER,"DEEP_MEASURE_PERIOD_BROKER_VALUE","DEEP_MEASURE_ID_OVERRIDE",$C73,"DEEP_BROKER_ID_OVERRIDE",AO$24,"DEEP_PERIOD_OVERRIDE",$H$19)*1,"")))</f>
        <v/>
      </c>
      <c r="AP73" s="17" t="str">
        <f>IF(OR(AP$23="",ISNA($B73)),"",IF(ISBLANK($B73),"",IFERROR(_xll.BDP(TICKER,"DEEP_MEASURE_PERIOD_BROKER_VALUE","DEEP_MEASURE_ID_OVERRIDE",$C73,"DEEP_BROKER_ID_OVERRIDE",AP$24,"DEEP_PERIOD_OVERRIDE",$H$19)*1,"")))</f>
        <v/>
      </c>
      <c r="AQ73" s="17" t="str">
        <f>IF(OR(AQ$23="",ISNA($B73)),"",IF(ISBLANK($B73),"",IFERROR(_xll.BDP(TICKER,"DEEP_MEASURE_PERIOD_BROKER_VALUE","DEEP_MEASURE_ID_OVERRIDE",$C73,"DEEP_BROKER_ID_OVERRIDE",AQ$24,"DEEP_PERIOD_OVERRIDE",$H$19)*1,"")))</f>
        <v/>
      </c>
      <c r="AR73" s="17" t="str">
        <f>IF(OR(AR$23="",ISNA($B73)),"",IF(ISBLANK($B73),"",IFERROR(_xll.BDP(TICKER,"DEEP_MEASURE_PERIOD_BROKER_VALUE","DEEP_MEASURE_ID_OVERRIDE",$C73,"DEEP_BROKER_ID_OVERRIDE",AR$24,"DEEP_PERIOD_OVERRIDE",$H$19)*1,"")))</f>
        <v/>
      </c>
      <c r="AS73" s="17" t="str">
        <f>IF(OR(AS$23="",ISNA($B73)),"",IF(ISBLANK($B73),"",IFERROR(_xll.BDP(TICKER,"DEEP_MEASURE_PERIOD_BROKER_VALUE","DEEP_MEASURE_ID_OVERRIDE",$C73,"DEEP_BROKER_ID_OVERRIDE",AS$24,"DEEP_PERIOD_OVERRIDE",$H$19)*1,"")))</f>
        <v/>
      </c>
      <c r="AT73" s="17" t="str">
        <f>IF(OR(AT$23="",ISNA($B73)),"",IF(ISBLANK($B73),"",IFERROR(_xll.BDP(TICKER,"DEEP_MEASURE_PERIOD_BROKER_VALUE","DEEP_MEASURE_ID_OVERRIDE",$C73,"DEEP_BROKER_ID_OVERRIDE",AT$24,"DEEP_PERIOD_OVERRIDE",$H$19)*1,"")))</f>
        <v/>
      </c>
      <c r="AU73" s="17" t="str">
        <f>IF(OR(AU$23="",ISNA($B73)),"",IF(ISBLANK($B73),"",IFERROR(_xll.BDP(TICKER,"DEEP_MEASURE_PERIOD_BROKER_VALUE","DEEP_MEASURE_ID_OVERRIDE",$C73,"DEEP_BROKER_ID_OVERRIDE",AU$24,"DEEP_PERIOD_OVERRIDE",$H$19)*1,"")))</f>
        <v/>
      </c>
      <c r="AV73" s="17" t="str">
        <f>IF(OR(AV$23="",ISNA($B73)),"",IF(ISBLANK($B73),"",IFERROR(_xll.BDP(TICKER,"DEEP_MEASURE_PERIOD_BROKER_VALUE","DEEP_MEASURE_ID_OVERRIDE",$C73,"DEEP_BROKER_ID_OVERRIDE",AV$24,"DEEP_PERIOD_OVERRIDE",$H$19)*1,"")))</f>
        <v/>
      </c>
      <c r="AW73" s="17" t="str">
        <f>IF(OR(AW$23="",ISNA($B73)),"",IF(ISBLANK($B73),"",IFERROR(_xll.BDP(TICKER,"DEEP_MEASURE_PERIOD_BROKER_VALUE","DEEP_MEASURE_ID_OVERRIDE",$C73,"DEEP_BROKER_ID_OVERRIDE",AW$24,"DEEP_PERIOD_OVERRIDE",$H$19)*1,"")))</f>
        <v/>
      </c>
      <c r="AX73" s="17" t="str">
        <f>IF(OR(AX$23="",ISNA($B73)),"",IF(ISBLANK($B73),"",IFERROR(_xll.BDP(TICKER,"DEEP_MEASURE_PERIOD_BROKER_VALUE","DEEP_MEASURE_ID_OVERRIDE",$C73,"DEEP_BROKER_ID_OVERRIDE",AX$24,"DEEP_PERIOD_OVERRIDE",$H$19)*1,"")))</f>
        <v/>
      </c>
      <c r="AY73" s="17" t="str">
        <f>IF(OR(AY$23="",ISNA($B73)),"",IF(ISBLANK($B73),"",IFERROR(_xll.BDP(TICKER,"DEEP_MEASURE_PERIOD_BROKER_VALUE","DEEP_MEASURE_ID_OVERRIDE",$C73,"DEEP_BROKER_ID_OVERRIDE",AY$24,"DEEP_PERIOD_OVERRIDE",$H$19)*1,"")))</f>
        <v/>
      </c>
      <c r="AZ73" s="17" t="str">
        <f>IF(OR(AZ$23="",ISNA($B73)),"",IF(ISBLANK($B73),"",IFERROR(_xll.BDP(TICKER,"DEEP_MEASURE_PERIOD_BROKER_VALUE","DEEP_MEASURE_ID_OVERRIDE",$C73,"DEEP_BROKER_ID_OVERRIDE",AZ$24,"DEEP_PERIOD_OVERRIDE",$H$19)*1,"")))</f>
        <v/>
      </c>
      <c r="BA73" s="17" t="str">
        <f>IF(OR(BA$23="",ISNA($B73)),"",IF(ISBLANK($B73),"",IFERROR(_xll.BDP(TICKER,"DEEP_MEASURE_PERIOD_BROKER_VALUE","DEEP_MEASURE_ID_OVERRIDE",$C73,"DEEP_BROKER_ID_OVERRIDE",BA$24,"DEEP_PERIOD_OVERRIDE",$H$19)*1,"")))</f>
        <v/>
      </c>
      <c r="BB73" s="17" t="str">
        <f>IF(OR(BB$23="",ISNA($B73)),"",IF(ISBLANK($B73),"",IFERROR(_xll.BDP(TICKER,"DEEP_MEASURE_PERIOD_BROKER_VALUE","DEEP_MEASURE_ID_OVERRIDE",$C73,"DEEP_BROKER_ID_OVERRIDE",BB$24,"DEEP_PERIOD_OVERRIDE",$H$19)*1,"")))</f>
        <v/>
      </c>
      <c r="BC73" s="17" t="str">
        <f>IF(OR(BC$23="",ISNA($B73)),"",IF(ISBLANK($B73),"",IFERROR(_xll.BDP(TICKER,"DEEP_MEASURE_PERIOD_BROKER_VALUE","DEEP_MEASURE_ID_OVERRIDE",$C73,"DEEP_BROKER_ID_OVERRIDE",BC$24,"DEEP_PERIOD_OVERRIDE",$H$19)*1,"")))</f>
        <v/>
      </c>
      <c r="BD73" s="17" t="str">
        <f>IF(OR(BD$23="",ISNA($B73)),"",IF(ISBLANK($B73),"",IFERROR(_xll.BDP(TICKER,"DEEP_MEASURE_PERIOD_BROKER_VALUE","DEEP_MEASURE_ID_OVERRIDE",$C73,"DEEP_BROKER_ID_OVERRIDE",BD$24,"DEEP_PERIOD_OVERRIDE",$H$19)*1,"")))</f>
        <v/>
      </c>
      <c r="BE73" s="17" t="str">
        <f>IF(OR(BE$23="",ISNA($B73)),"",IF(ISBLANK($B73),"",IFERROR(_xll.BDP(TICKER,"DEEP_MEASURE_PERIOD_BROKER_VALUE","DEEP_MEASURE_ID_OVERRIDE",$C73,"DEEP_BROKER_ID_OVERRIDE",BE$24,"DEEP_PERIOD_OVERRIDE",$H$19)*1,"")))</f>
        <v/>
      </c>
      <c r="BF73" s="17" t="str">
        <f>IF(OR(BF$23="",ISNA($B73)),"",IF(ISBLANK($B73),"",IFERROR(_xll.BDP(TICKER,"DEEP_MEASURE_PERIOD_BROKER_VALUE","DEEP_MEASURE_ID_OVERRIDE",$C73,"DEEP_BROKER_ID_OVERRIDE",BF$24,"DEEP_PERIOD_OVERRIDE",$H$19)*1,"")))</f>
        <v/>
      </c>
      <c r="BG73" s="17" t="str">
        <f>IF(OR(BG$23="",ISNA($B73)),"",IF(ISBLANK($B73),"",IFERROR(_xll.BDP(TICKER,"DEEP_MEASURE_PERIOD_BROKER_VALUE","DEEP_MEASURE_ID_OVERRIDE",$C73,"DEEP_BROKER_ID_OVERRIDE",BG$24,"DEEP_PERIOD_OVERRIDE",$H$19)*1,"")))</f>
        <v/>
      </c>
      <c r="BH73" s="17" t="str">
        <f>IF(OR(BH$23="",ISNA($B73)),"",IF(ISBLANK($B73),"",IFERROR(_xll.BDP(TICKER,"DEEP_MEASURE_PERIOD_BROKER_VALUE","DEEP_MEASURE_ID_OVERRIDE",$C73,"DEEP_BROKER_ID_OVERRIDE",BH$24,"DEEP_PERIOD_OVERRIDE",$H$19)*1,"")))</f>
        <v/>
      </c>
      <c r="BI73" s="17" t="str">
        <f>IF(OR(BI$23="",ISNA($B73)),"",IF(ISBLANK($B73),"",IFERROR(_xll.BDP(TICKER,"DEEP_MEASURE_PERIOD_BROKER_VALUE","DEEP_MEASURE_ID_OVERRIDE",$C73,"DEEP_BROKER_ID_OVERRIDE",BI$24,"DEEP_PERIOD_OVERRIDE",$H$19)*1,"")))</f>
        <v/>
      </c>
      <c r="BJ73" s="17" t="str">
        <f>IF(OR(BJ$23="",ISNA($B73)),"",IF(ISBLANK($B73),"",IFERROR(_xll.BDP(TICKER,"DEEP_MEASURE_PERIOD_BROKER_VALUE","DEEP_MEASURE_ID_OVERRIDE",$C73,"DEEP_BROKER_ID_OVERRIDE",BJ$24,"DEEP_PERIOD_OVERRIDE",$H$19)*1,"")))</f>
        <v/>
      </c>
      <c r="BK73" s="17" t="str">
        <f>IF(OR(BK$23="",ISNA($B73)),"",IF(ISBLANK($B73),"",IFERROR(_xll.BDP(TICKER,"DEEP_MEASURE_PERIOD_BROKER_VALUE","DEEP_MEASURE_ID_OVERRIDE",$C73,"DEEP_BROKER_ID_OVERRIDE",BK$24,"DEEP_PERIOD_OVERRIDE",$H$19)*1,"")))</f>
        <v/>
      </c>
      <c r="BL73" s="17" t="str">
        <f>IF(OR(BL$23="",ISNA($B73)),"",IF(ISBLANK($B73),"",IFERROR(_xll.BDP(TICKER,"DEEP_MEASURE_PERIOD_BROKER_VALUE","DEEP_MEASURE_ID_OVERRIDE",$C73,"DEEP_BROKER_ID_OVERRIDE",BL$24,"DEEP_PERIOD_OVERRIDE",$H$19)*1,"")))</f>
        <v/>
      </c>
      <c r="BM73" s="17" t="str">
        <f>IF(OR(BM$23="",ISNA($B73)),"",IF(ISBLANK($B73),"",IFERROR(_xll.BDP(TICKER,"DEEP_MEASURE_PERIOD_BROKER_VALUE","DEEP_MEASURE_ID_OVERRIDE",$C73,"DEEP_BROKER_ID_OVERRIDE",BM$24,"DEEP_PERIOD_OVERRIDE",$H$19)*1,"")))</f>
        <v/>
      </c>
      <c r="BN73" s="17" t="str">
        <f>IF(OR(BN$23="",ISNA($B73)),"",IF(ISBLANK($B73),"",IFERROR(_xll.BDP(TICKER,"DEEP_MEASURE_PERIOD_BROKER_VALUE","DEEP_MEASURE_ID_OVERRIDE",$C73,"DEEP_BROKER_ID_OVERRIDE",BN$24,"DEEP_PERIOD_OVERRIDE",$H$19)*1,"")))</f>
        <v/>
      </c>
      <c r="BO73" s="17" t="str">
        <f>IF(OR(BO$23="",ISNA($B73)),"",IF(ISBLANK($B73),"",IFERROR(_xll.BDP(TICKER,"DEEP_MEASURE_PERIOD_BROKER_VALUE","DEEP_MEASURE_ID_OVERRIDE",$C73,"DEEP_BROKER_ID_OVERRIDE",BO$24,"DEEP_PERIOD_OVERRIDE",$H$19)*1,"")))</f>
        <v/>
      </c>
      <c r="BP73" s="17" t="str">
        <f>IF(OR(BP$23="",ISNA($B73)),"",IF(ISBLANK($B73),"",IFERROR(_xll.BDP(TICKER,"DEEP_MEASURE_PERIOD_BROKER_VALUE","DEEP_MEASURE_ID_OVERRIDE",$C73,"DEEP_BROKER_ID_OVERRIDE",BP$24,"DEEP_PERIOD_OVERRIDE",$H$19)*1,"")))</f>
        <v/>
      </c>
      <c r="BQ73" s="17" t="str">
        <f>IF(OR(BQ$23="",ISNA($B73)),"",IF(ISBLANK($B73),"",IFERROR(_xll.BDP(TICKER,"DEEP_MEASURE_PERIOD_BROKER_VALUE","DEEP_MEASURE_ID_OVERRIDE",$C73,"DEEP_BROKER_ID_OVERRIDE",BQ$24,"DEEP_PERIOD_OVERRIDE",$H$19)*1,"")))</f>
        <v/>
      </c>
      <c r="BR73" s="17" t="str">
        <f>IF(OR(BR$23="",ISNA($B73)),"",IF(ISBLANK($B73),"",IFERROR(_xll.BDP(TICKER,"DEEP_MEASURE_PERIOD_BROKER_VALUE","DEEP_MEASURE_ID_OVERRIDE",$C73,"DEEP_BROKER_ID_OVERRIDE",BR$24,"DEEP_PERIOD_OVERRIDE",$H$19)*1,"")))</f>
        <v/>
      </c>
      <c r="BS73" s="17" t="str">
        <f>IF(OR(BS$23="",ISNA($B73)),"",IF(ISBLANK($B73),"",IFERROR(_xll.BDP(TICKER,"DEEP_MEASURE_PERIOD_BROKER_VALUE","DEEP_MEASURE_ID_OVERRIDE",$C73,"DEEP_BROKER_ID_OVERRIDE",BS$24,"DEEP_PERIOD_OVERRIDE",$H$19)*1,"")))</f>
        <v/>
      </c>
      <c r="BT73" s="17" t="str">
        <f>IF(OR(BT$23="",ISNA($B73)),"",IF(ISBLANK($B73),"",IFERROR(_xll.BDP(TICKER,"DEEP_MEASURE_PERIOD_BROKER_VALUE","DEEP_MEASURE_ID_OVERRIDE",$C73,"DEEP_BROKER_ID_OVERRIDE",BT$24,"DEEP_PERIOD_OVERRIDE",$H$19)*1,"")))</f>
        <v/>
      </c>
      <c r="BU73" s="17" t="str">
        <f>IF(OR(BU$23="",ISNA($B73)),"",IF(ISBLANK($B73),"",IFERROR(_xll.BDP(TICKER,"DEEP_MEASURE_PERIOD_BROKER_VALUE","DEEP_MEASURE_ID_OVERRIDE",$C73,"DEEP_BROKER_ID_OVERRIDE",BU$24,"DEEP_PERIOD_OVERRIDE",$H$19)*1,"")))</f>
        <v/>
      </c>
      <c r="BV73" s="17" t="str">
        <f>IF(OR(BV$23="",ISNA($B73)),"",IF(ISBLANK($B73),"",IFERROR(_xll.BDP(TICKER,"DEEP_MEASURE_PERIOD_BROKER_VALUE","DEEP_MEASURE_ID_OVERRIDE",$C73,"DEEP_BROKER_ID_OVERRIDE",BV$24,"DEEP_PERIOD_OVERRIDE",$H$19)*1,"")))</f>
        <v/>
      </c>
      <c r="BW73" s="17" t="str">
        <f>IF(OR(BW$23="",ISNA($B73)),"",IF(ISBLANK($B73),"",IFERROR(_xll.BDP(TICKER,"DEEP_MEASURE_PERIOD_BROKER_VALUE","DEEP_MEASURE_ID_OVERRIDE",$C73,"DEEP_BROKER_ID_OVERRIDE",BW$24,"DEEP_PERIOD_OVERRIDE",$H$19)*1,"")))</f>
        <v/>
      </c>
      <c r="BX73" s="17" t="str">
        <f>IF(OR(BX$23="",ISNA($B73)),"",IF(ISBLANK($B73),"",IFERROR(_xll.BDP(TICKER,"DEEP_MEASURE_PERIOD_BROKER_VALUE","DEEP_MEASURE_ID_OVERRIDE",$C73,"DEEP_BROKER_ID_OVERRIDE",BX$24,"DEEP_PERIOD_OVERRIDE",$H$19)*1,"")))</f>
        <v/>
      </c>
      <c r="BY73" s="17" t="str">
        <f>IF(OR(BY$23="",ISNA($B73)),"",IF(ISBLANK($B73),"",IFERROR(_xll.BDP(TICKER,"DEEP_MEASURE_PERIOD_BROKER_VALUE","DEEP_MEASURE_ID_OVERRIDE",$C73,"DEEP_BROKER_ID_OVERRIDE",BY$24,"DEEP_PERIOD_OVERRIDE",$H$19)*1,"")))</f>
        <v/>
      </c>
      <c r="BZ73" s="17" t="str">
        <f>IF(OR(BZ$23="",ISNA($B73)),"",IF(ISBLANK($B73),"",IFERROR(_xll.BDP(TICKER,"DEEP_MEASURE_PERIOD_BROKER_VALUE","DEEP_MEASURE_ID_OVERRIDE",$C73,"DEEP_BROKER_ID_OVERRIDE",BZ$24,"DEEP_PERIOD_OVERRIDE",$H$19)*1,"")))</f>
        <v/>
      </c>
    </row>
    <row r="74" spans="2:78" x14ac:dyDescent="0.25">
      <c r="B74" t="s">
        <v>118</v>
      </c>
      <c r="C74">
        <v>1947</v>
      </c>
      <c r="H74" t="str">
        <f t="shared" si="1"/>
        <v>Total Revenue &gt; Hotel &gt; Revenue &gt; Other Hotel Revenue &gt; QoQ Growth (%)</v>
      </c>
      <c r="I74" t="str">
        <f>IF(OR(I$23="",ISNA($B74)),"",IF(ISBLANK($B74),"",IFERROR(_xll.BDP(TICKER,"DEEP_MEASURE_PERIOD_BROKER_VALUE","DEEP_MEASURE_ID_OVERRIDE",$C74,"DEEP_PERIOD_OVERRIDE",$H$19)*1,"")))</f>
        <v/>
      </c>
      <c r="J74" t="e">
        <f>IF(OR(J$23="",ISNA($B74)),"",IF(ISBLANK($B74),"",IFERROR(_xll.BDP(TICKER,"DEEP_MEASURE_PERIOD_BROKER_VALUE","DEEP_MEASURE_ID_OVERRIDE",$C74,"DEEP_BROKER_ID_OVERRIDE",J$24,"DEEP_PERIOD_OVERRIDE",$H$19)*1,"")))</f>
        <v>#REF!</v>
      </c>
      <c r="K74" s="17" t="str">
        <f>IF(OR(K$23="",ISNA($B74)),"",IF(ISBLANK($B74),"",IFERROR(_xll.BDP(TICKER,"DEEP_MEASURE_PERIOD_BROKER_VALUE","DEEP_MEASURE_ID_OVERRIDE",$C74,"DEEP_BROKER_ID_OVERRIDE",K$24,"DEEP_PERIOD_OVERRIDE",$H$19)*1,"")))</f>
        <v/>
      </c>
      <c r="L74" s="17" t="str">
        <f>IF(OR(L$23="",ISNA($B74)),"",IF(ISBLANK($B74),"",IFERROR(_xll.BDP(TICKER,"DEEP_MEASURE_PERIOD_BROKER_VALUE","DEEP_MEASURE_ID_OVERRIDE",$C74,"DEEP_BROKER_ID_OVERRIDE",L$24,"DEEP_PERIOD_OVERRIDE",$H$19)*1,"")))</f>
        <v/>
      </c>
      <c r="M74" s="17" t="str">
        <f>IF(OR(M$23="",ISNA($B74)),"",IF(ISBLANK($B74),"",IFERROR(_xll.BDP(TICKER,"DEEP_MEASURE_PERIOD_BROKER_VALUE","DEEP_MEASURE_ID_OVERRIDE",$C74,"DEEP_BROKER_ID_OVERRIDE",M$24,"DEEP_PERIOD_OVERRIDE",$H$19)*1,"")))</f>
        <v/>
      </c>
      <c r="N74" s="17" t="str">
        <f>IF(OR(N$23="",ISNA($B74)),"",IF(ISBLANK($B74),"",IFERROR(_xll.BDP(TICKER,"DEEP_MEASURE_PERIOD_BROKER_VALUE","DEEP_MEASURE_ID_OVERRIDE",$C74,"DEEP_BROKER_ID_OVERRIDE",N$24,"DEEP_PERIOD_OVERRIDE",$H$19)*1,"")))</f>
        <v/>
      </c>
      <c r="O74" s="17" t="str">
        <f>IF(OR(O$23="",ISNA($B74)),"",IF(ISBLANK($B74),"",IFERROR(_xll.BDP(TICKER,"DEEP_MEASURE_PERIOD_BROKER_VALUE","DEEP_MEASURE_ID_OVERRIDE",$C74,"DEEP_BROKER_ID_OVERRIDE",O$24,"DEEP_PERIOD_OVERRIDE",$H$19)*1,"")))</f>
        <v/>
      </c>
      <c r="P74" s="17" t="str">
        <f>IF(OR(P$23="",ISNA($B74)),"",IF(ISBLANK($B74),"",IFERROR(_xll.BDP(TICKER,"DEEP_MEASURE_PERIOD_BROKER_VALUE","DEEP_MEASURE_ID_OVERRIDE",$C74,"DEEP_BROKER_ID_OVERRIDE",P$24,"DEEP_PERIOD_OVERRIDE",$H$19)*1,"")))</f>
        <v/>
      </c>
      <c r="Q74" s="17" t="str">
        <f>IF(OR(Q$23="",ISNA($B74)),"",IF(ISBLANK($B74),"",IFERROR(_xll.BDP(TICKER,"DEEP_MEASURE_PERIOD_BROKER_VALUE","DEEP_MEASURE_ID_OVERRIDE",$C74,"DEEP_BROKER_ID_OVERRIDE",Q$24,"DEEP_PERIOD_OVERRIDE",$H$19)*1,"")))</f>
        <v/>
      </c>
      <c r="R74" s="17" t="str">
        <f>IF(OR(R$23="",ISNA($B74)),"",IF(ISBLANK($B74),"",IFERROR(_xll.BDP(TICKER,"DEEP_MEASURE_PERIOD_BROKER_VALUE","DEEP_MEASURE_ID_OVERRIDE",$C74,"DEEP_BROKER_ID_OVERRIDE",R$24,"DEEP_PERIOD_OVERRIDE",$H$19)*1,"")))</f>
        <v/>
      </c>
      <c r="S74" s="17" t="str">
        <f>IF(OR(S$23="",ISNA($B74)),"",IF(ISBLANK($B74),"",IFERROR(_xll.BDP(TICKER,"DEEP_MEASURE_PERIOD_BROKER_VALUE","DEEP_MEASURE_ID_OVERRIDE",$C74,"DEEP_BROKER_ID_OVERRIDE",S$24,"DEEP_PERIOD_OVERRIDE",$H$19)*1,"")))</f>
        <v/>
      </c>
      <c r="T74" s="17" t="str">
        <f>IF(OR(T$23="",ISNA($B74)),"",IF(ISBLANK($B74),"",IFERROR(_xll.BDP(TICKER,"DEEP_MEASURE_PERIOD_BROKER_VALUE","DEEP_MEASURE_ID_OVERRIDE",$C74,"DEEP_BROKER_ID_OVERRIDE",T$24,"DEEP_PERIOD_OVERRIDE",$H$19)*1,"")))</f>
        <v/>
      </c>
      <c r="U74" s="17" t="str">
        <f>IF(OR(U$23="",ISNA($B74)),"",IF(ISBLANK($B74),"",IFERROR(_xll.BDP(TICKER,"DEEP_MEASURE_PERIOD_BROKER_VALUE","DEEP_MEASURE_ID_OVERRIDE",$C74,"DEEP_BROKER_ID_OVERRIDE",U$24,"DEEP_PERIOD_OVERRIDE",$H$19)*1,"")))</f>
        <v/>
      </c>
      <c r="V74" s="17" t="str">
        <f>IF(OR(V$23="",ISNA($B74)),"",IF(ISBLANK($B74),"",IFERROR(_xll.BDP(TICKER,"DEEP_MEASURE_PERIOD_BROKER_VALUE","DEEP_MEASURE_ID_OVERRIDE",$C74,"DEEP_BROKER_ID_OVERRIDE",V$24,"DEEP_PERIOD_OVERRIDE",$H$19)*1,"")))</f>
        <v/>
      </c>
      <c r="W74" s="17" t="str">
        <f>IF(OR(W$23="",ISNA($B74)),"",IF(ISBLANK($B74),"",IFERROR(_xll.BDP(TICKER,"DEEP_MEASURE_PERIOD_BROKER_VALUE","DEEP_MEASURE_ID_OVERRIDE",$C74,"DEEP_BROKER_ID_OVERRIDE",W$24,"DEEP_PERIOD_OVERRIDE",$H$19)*1,"")))</f>
        <v/>
      </c>
      <c r="X74" s="17" t="str">
        <f>IF(OR(X$23="",ISNA($B74)),"",IF(ISBLANK($B74),"",IFERROR(_xll.BDP(TICKER,"DEEP_MEASURE_PERIOD_BROKER_VALUE","DEEP_MEASURE_ID_OVERRIDE",$C74,"DEEP_BROKER_ID_OVERRIDE",X$24,"DEEP_PERIOD_OVERRIDE",$H$19)*1,"")))</f>
        <v/>
      </c>
      <c r="Y74" s="17" t="str">
        <f>IF(OR(Y$23="",ISNA($B74)),"",IF(ISBLANK($B74),"",IFERROR(_xll.BDP(TICKER,"DEEP_MEASURE_PERIOD_BROKER_VALUE","DEEP_MEASURE_ID_OVERRIDE",$C74,"DEEP_BROKER_ID_OVERRIDE",Y$24,"DEEP_PERIOD_OVERRIDE",$H$19)*1,"")))</f>
        <v/>
      </c>
      <c r="Z74" s="17" t="str">
        <f>IF(OR(Z$23="",ISNA($B74)),"",IF(ISBLANK($B74),"",IFERROR(_xll.BDP(TICKER,"DEEP_MEASURE_PERIOD_BROKER_VALUE","DEEP_MEASURE_ID_OVERRIDE",$C74,"DEEP_BROKER_ID_OVERRIDE",Z$24,"DEEP_PERIOD_OVERRIDE",$H$19)*1,"")))</f>
        <v/>
      </c>
      <c r="AA74" s="17" t="str">
        <f>IF(OR(AA$23="",ISNA($B74)),"",IF(ISBLANK($B74),"",IFERROR(_xll.BDP(TICKER,"DEEP_MEASURE_PERIOD_BROKER_VALUE","DEEP_MEASURE_ID_OVERRIDE",$C74,"DEEP_BROKER_ID_OVERRIDE",AA$24,"DEEP_PERIOD_OVERRIDE",$H$19)*1,"")))</f>
        <v/>
      </c>
      <c r="AB74" s="17" t="str">
        <f>IF(OR(AB$23="",ISNA($B74)),"",IF(ISBLANK($B74),"",IFERROR(_xll.BDP(TICKER,"DEEP_MEASURE_PERIOD_BROKER_VALUE","DEEP_MEASURE_ID_OVERRIDE",$C74,"DEEP_BROKER_ID_OVERRIDE",AB$24,"DEEP_PERIOD_OVERRIDE",$H$19)*1,"")))</f>
        <v/>
      </c>
      <c r="AC74" s="17" t="str">
        <f>IF(OR(AC$23="",ISNA($B74)),"",IF(ISBLANK($B74),"",IFERROR(_xll.BDP(TICKER,"DEEP_MEASURE_PERIOD_BROKER_VALUE","DEEP_MEASURE_ID_OVERRIDE",$C74,"DEEP_BROKER_ID_OVERRIDE",AC$24,"DEEP_PERIOD_OVERRIDE",$H$19)*1,"")))</f>
        <v/>
      </c>
      <c r="AD74" s="17" t="str">
        <f>IF(OR(AD$23="",ISNA($B74)),"",IF(ISBLANK($B74),"",IFERROR(_xll.BDP(TICKER,"DEEP_MEASURE_PERIOD_BROKER_VALUE","DEEP_MEASURE_ID_OVERRIDE",$C74,"DEEP_BROKER_ID_OVERRIDE",AD$24,"DEEP_PERIOD_OVERRIDE",$H$19)*1,"")))</f>
        <v/>
      </c>
      <c r="AE74" s="17" t="str">
        <f>IF(OR(AE$23="",ISNA($B74)),"",IF(ISBLANK($B74),"",IFERROR(_xll.BDP(TICKER,"DEEP_MEASURE_PERIOD_BROKER_VALUE","DEEP_MEASURE_ID_OVERRIDE",$C74,"DEEP_BROKER_ID_OVERRIDE",AE$24,"DEEP_PERIOD_OVERRIDE",$H$19)*1,"")))</f>
        <v/>
      </c>
      <c r="AF74" s="17" t="str">
        <f>IF(OR(AF$23="",ISNA($B74)),"",IF(ISBLANK($B74),"",IFERROR(_xll.BDP(TICKER,"DEEP_MEASURE_PERIOD_BROKER_VALUE","DEEP_MEASURE_ID_OVERRIDE",$C74,"DEEP_BROKER_ID_OVERRIDE",AF$24,"DEEP_PERIOD_OVERRIDE",$H$19)*1,"")))</f>
        <v/>
      </c>
      <c r="AG74" s="17" t="str">
        <f>IF(OR(AG$23="",ISNA($B74)),"",IF(ISBLANK($B74),"",IFERROR(_xll.BDP(TICKER,"DEEP_MEASURE_PERIOD_BROKER_VALUE","DEEP_MEASURE_ID_OVERRIDE",$C74,"DEEP_BROKER_ID_OVERRIDE",AG$24,"DEEP_PERIOD_OVERRIDE",$H$19)*1,"")))</f>
        <v/>
      </c>
      <c r="AH74" s="17" t="str">
        <f>IF(OR(AH$23="",ISNA($B74)),"",IF(ISBLANK($B74),"",IFERROR(_xll.BDP(TICKER,"DEEP_MEASURE_PERIOD_BROKER_VALUE","DEEP_MEASURE_ID_OVERRIDE",$C74,"DEEP_BROKER_ID_OVERRIDE",AH$24,"DEEP_PERIOD_OVERRIDE",$H$19)*1,"")))</f>
        <v/>
      </c>
      <c r="AI74" s="17" t="str">
        <f>IF(OR(AI$23="",ISNA($B74)),"",IF(ISBLANK($B74),"",IFERROR(_xll.BDP(TICKER,"DEEP_MEASURE_PERIOD_BROKER_VALUE","DEEP_MEASURE_ID_OVERRIDE",$C74,"DEEP_BROKER_ID_OVERRIDE",AI$24,"DEEP_PERIOD_OVERRIDE",$H$19)*1,"")))</f>
        <v/>
      </c>
      <c r="AJ74" s="17" t="str">
        <f>IF(OR(AJ$23="",ISNA($B74)),"",IF(ISBLANK($B74),"",IFERROR(_xll.BDP(TICKER,"DEEP_MEASURE_PERIOD_BROKER_VALUE","DEEP_MEASURE_ID_OVERRIDE",$C74,"DEEP_BROKER_ID_OVERRIDE",AJ$24,"DEEP_PERIOD_OVERRIDE",$H$19)*1,"")))</f>
        <v/>
      </c>
      <c r="AK74" s="17" t="str">
        <f>IF(OR(AK$23="",ISNA($B74)),"",IF(ISBLANK($B74),"",IFERROR(_xll.BDP(TICKER,"DEEP_MEASURE_PERIOD_BROKER_VALUE","DEEP_MEASURE_ID_OVERRIDE",$C74,"DEEP_BROKER_ID_OVERRIDE",AK$24,"DEEP_PERIOD_OVERRIDE",$H$19)*1,"")))</f>
        <v/>
      </c>
      <c r="AL74" s="17" t="str">
        <f>IF(OR(AL$23="",ISNA($B74)),"",IF(ISBLANK($B74),"",IFERROR(_xll.BDP(TICKER,"DEEP_MEASURE_PERIOD_BROKER_VALUE","DEEP_MEASURE_ID_OVERRIDE",$C74,"DEEP_BROKER_ID_OVERRIDE",AL$24,"DEEP_PERIOD_OVERRIDE",$H$19)*1,"")))</f>
        <v/>
      </c>
      <c r="AM74" s="17" t="str">
        <f>IF(OR(AM$23="",ISNA($B74)),"",IF(ISBLANK($B74),"",IFERROR(_xll.BDP(TICKER,"DEEP_MEASURE_PERIOD_BROKER_VALUE","DEEP_MEASURE_ID_OVERRIDE",$C74,"DEEP_BROKER_ID_OVERRIDE",AM$24,"DEEP_PERIOD_OVERRIDE",$H$19)*1,"")))</f>
        <v/>
      </c>
      <c r="AN74" s="17" t="str">
        <f>IF(OR(AN$23="",ISNA($B74)),"",IF(ISBLANK($B74),"",IFERROR(_xll.BDP(TICKER,"DEEP_MEASURE_PERIOD_BROKER_VALUE","DEEP_MEASURE_ID_OVERRIDE",$C74,"DEEP_BROKER_ID_OVERRIDE",AN$24,"DEEP_PERIOD_OVERRIDE",$H$19)*1,"")))</f>
        <v/>
      </c>
      <c r="AO74" s="17" t="str">
        <f>IF(OR(AO$23="",ISNA($B74)),"",IF(ISBLANK($B74),"",IFERROR(_xll.BDP(TICKER,"DEEP_MEASURE_PERIOD_BROKER_VALUE","DEEP_MEASURE_ID_OVERRIDE",$C74,"DEEP_BROKER_ID_OVERRIDE",AO$24,"DEEP_PERIOD_OVERRIDE",$H$19)*1,"")))</f>
        <v/>
      </c>
      <c r="AP74" s="17" t="str">
        <f>IF(OR(AP$23="",ISNA($B74)),"",IF(ISBLANK($B74),"",IFERROR(_xll.BDP(TICKER,"DEEP_MEASURE_PERIOD_BROKER_VALUE","DEEP_MEASURE_ID_OVERRIDE",$C74,"DEEP_BROKER_ID_OVERRIDE",AP$24,"DEEP_PERIOD_OVERRIDE",$H$19)*1,"")))</f>
        <v/>
      </c>
      <c r="AQ74" s="17" t="str">
        <f>IF(OR(AQ$23="",ISNA($B74)),"",IF(ISBLANK($B74),"",IFERROR(_xll.BDP(TICKER,"DEEP_MEASURE_PERIOD_BROKER_VALUE","DEEP_MEASURE_ID_OVERRIDE",$C74,"DEEP_BROKER_ID_OVERRIDE",AQ$24,"DEEP_PERIOD_OVERRIDE",$H$19)*1,"")))</f>
        <v/>
      </c>
      <c r="AR74" s="17" t="str">
        <f>IF(OR(AR$23="",ISNA($B74)),"",IF(ISBLANK($B74),"",IFERROR(_xll.BDP(TICKER,"DEEP_MEASURE_PERIOD_BROKER_VALUE","DEEP_MEASURE_ID_OVERRIDE",$C74,"DEEP_BROKER_ID_OVERRIDE",AR$24,"DEEP_PERIOD_OVERRIDE",$H$19)*1,"")))</f>
        <v/>
      </c>
      <c r="AS74" s="17" t="str">
        <f>IF(OR(AS$23="",ISNA($B74)),"",IF(ISBLANK($B74),"",IFERROR(_xll.BDP(TICKER,"DEEP_MEASURE_PERIOD_BROKER_VALUE","DEEP_MEASURE_ID_OVERRIDE",$C74,"DEEP_BROKER_ID_OVERRIDE",AS$24,"DEEP_PERIOD_OVERRIDE",$H$19)*1,"")))</f>
        <v/>
      </c>
      <c r="AT74" s="17" t="str">
        <f>IF(OR(AT$23="",ISNA($B74)),"",IF(ISBLANK($B74),"",IFERROR(_xll.BDP(TICKER,"DEEP_MEASURE_PERIOD_BROKER_VALUE","DEEP_MEASURE_ID_OVERRIDE",$C74,"DEEP_BROKER_ID_OVERRIDE",AT$24,"DEEP_PERIOD_OVERRIDE",$H$19)*1,"")))</f>
        <v/>
      </c>
      <c r="AU74" s="17" t="str">
        <f>IF(OR(AU$23="",ISNA($B74)),"",IF(ISBLANK($B74),"",IFERROR(_xll.BDP(TICKER,"DEEP_MEASURE_PERIOD_BROKER_VALUE","DEEP_MEASURE_ID_OVERRIDE",$C74,"DEEP_BROKER_ID_OVERRIDE",AU$24,"DEEP_PERIOD_OVERRIDE",$H$19)*1,"")))</f>
        <v/>
      </c>
      <c r="AV74" s="17" t="str">
        <f>IF(OR(AV$23="",ISNA($B74)),"",IF(ISBLANK($B74),"",IFERROR(_xll.BDP(TICKER,"DEEP_MEASURE_PERIOD_BROKER_VALUE","DEEP_MEASURE_ID_OVERRIDE",$C74,"DEEP_BROKER_ID_OVERRIDE",AV$24,"DEEP_PERIOD_OVERRIDE",$H$19)*1,"")))</f>
        <v/>
      </c>
      <c r="AW74" s="17" t="str">
        <f>IF(OR(AW$23="",ISNA($B74)),"",IF(ISBLANK($B74),"",IFERROR(_xll.BDP(TICKER,"DEEP_MEASURE_PERIOD_BROKER_VALUE","DEEP_MEASURE_ID_OVERRIDE",$C74,"DEEP_BROKER_ID_OVERRIDE",AW$24,"DEEP_PERIOD_OVERRIDE",$H$19)*1,"")))</f>
        <v/>
      </c>
      <c r="AX74" s="17" t="str">
        <f>IF(OR(AX$23="",ISNA($B74)),"",IF(ISBLANK($B74),"",IFERROR(_xll.BDP(TICKER,"DEEP_MEASURE_PERIOD_BROKER_VALUE","DEEP_MEASURE_ID_OVERRIDE",$C74,"DEEP_BROKER_ID_OVERRIDE",AX$24,"DEEP_PERIOD_OVERRIDE",$H$19)*1,"")))</f>
        <v/>
      </c>
      <c r="AY74" s="17" t="str">
        <f>IF(OR(AY$23="",ISNA($B74)),"",IF(ISBLANK($B74),"",IFERROR(_xll.BDP(TICKER,"DEEP_MEASURE_PERIOD_BROKER_VALUE","DEEP_MEASURE_ID_OVERRIDE",$C74,"DEEP_BROKER_ID_OVERRIDE",AY$24,"DEEP_PERIOD_OVERRIDE",$H$19)*1,"")))</f>
        <v/>
      </c>
      <c r="AZ74" s="17" t="str">
        <f>IF(OR(AZ$23="",ISNA($B74)),"",IF(ISBLANK($B74),"",IFERROR(_xll.BDP(TICKER,"DEEP_MEASURE_PERIOD_BROKER_VALUE","DEEP_MEASURE_ID_OVERRIDE",$C74,"DEEP_BROKER_ID_OVERRIDE",AZ$24,"DEEP_PERIOD_OVERRIDE",$H$19)*1,"")))</f>
        <v/>
      </c>
      <c r="BA74" s="17" t="str">
        <f>IF(OR(BA$23="",ISNA($B74)),"",IF(ISBLANK($B74),"",IFERROR(_xll.BDP(TICKER,"DEEP_MEASURE_PERIOD_BROKER_VALUE","DEEP_MEASURE_ID_OVERRIDE",$C74,"DEEP_BROKER_ID_OVERRIDE",BA$24,"DEEP_PERIOD_OVERRIDE",$H$19)*1,"")))</f>
        <v/>
      </c>
      <c r="BB74" s="17" t="str">
        <f>IF(OR(BB$23="",ISNA($B74)),"",IF(ISBLANK($B74),"",IFERROR(_xll.BDP(TICKER,"DEEP_MEASURE_PERIOD_BROKER_VALUE","DEEP_MEASURE_ID_OVERRIDE",$C74,"DEEP_BROKER_ID_OVERRIDE",BB$24,"DEEP_PERIOD_OVERRIDE",$H$19)*1,"")))</f>
        <v/>
      </c>
      <c r="BC74" s="17" t="str">
        <f>IF(OR(BC$23="",ISNA($B74)),"",IF(ISBLANK($B74),"",IFERROR(_xll.BDP(TICKER,"DEEP_MEASURE_PERIOD_BROKER_VALUE","DEEP_MEASURE_ID_OVERRIDE",$C74,"DEEP_BROKER_ID_OVERRIDE",BC$24,"DEEP_PERIOD_OVERRIDE",$H$19)*1,"")))</f>
        <v/>
      </c>
      <c r="BD74" s="17" t="str">
        <f>IF(OR(BD$23="",ISNA($B74)),"",IF(ISBLANK($B74),"",IFERROR(_xll.BDP(TICKER,"DEEP_MEASURE_PERIOD_BROKER_VALUE","DEEP_MEASURE_ID_OVERRIDE",$C74,"DEEP_BROKER_ID_OVERRIDE",BD$24,"DEEP_PERIOD_OVERRIDE",$H$19)*1,"")))</f>
        <v/>
      </c>
      <c r="BE74" s="17" t="str">
        <f>IF(OR(BE$23="",ISNA($B74)),"",IF(ISBLANK($B74),"",IFERROR(_xll.BDP(TICKER,"DEEP_MEASURE_PERIOD_BROKER_VALUE","DEEP_MEASURE_ID_OVERRIDE",$C74,"DEEP_BROKER_ID_OVERRIDE",BE$24,"DEEP_PERIOD_OVERRIDE",$H$19)*1,"")))</f>
        <v/>
      </c>
      <c r="BF74" s="17" t="str">
        <f>IF(OR(BF$23="",ISNA($B74)),"",IF(ISBLANK($B74),"",IFERROR(_xll.BDP(TICKER,"DEEP_MEASURE_PERIOD_BROKER_VALUE","DEEP_MEASURE_ID_OVERRIDE",$C74,"DEEP_BROKER_ID_OVERRIDE",BF$24,"DEEP_PERIOD_OVERRIDE",$H$19)*1,"")))</f>
        <v/>
      </c>
      <c r="BG74" s="17" t="str">
        <f>IF(OR(BG$23="",ISNA($B74)),"",IF(ISBLANK($B74),"",IFERROR(_xll.BDP(TICKER,"DEEP_MEASURE_PERIOD_BROKER_VALUE","DEEP_MEASURE_ID_OVERRIDE",$C74,"DEEP_BROKER_ID_OVERRIDE",BG$24,"DEEP_PERIOD_OVERRIDE",$H$19)*1,"")))</f>
        <v/>
      </c>
      <c r="BH74" s="17" t="str">
        <f>IF(OR(BH$23="",ISNA($B74)),"",IF(ISBLANK($B74),"",IFERROR(_xll.BDP(TICKER,"DEEP_MEASURE_PERIOD_BROKER_VALUE","DEEP_MEASURE_ID_OVERRIDE",$C74,"DEEP_BROKER_ID_OVERRIDE",BH$24,"DEEP_PERIOD_OVERRIDE",$H$19)*1,"")))</f>
        <v/>
      </c>
      <c r="BI74" s="17" t="str">
        <f>IF(OR(BI$23="",ISNA($B74)),"",IF(ISBLANK($B74),"",IFERROR(_xll.BDP(TICKER,"DEEP_MEASURE_PERIOD_BROKER_VALUE","DEEP_MEASURE_ID_OVERRIDE",$C74,"DEEP_BROKER_ID_OVERRIDE",BI$24,"DEEP_PERIOD_OVERRIDE",$H$19)*1,"")))</f>
        <v/>
      </c>
      <c r="BJ74" s="17" t="str">
        <f>IF(OR(BJ$23="",ISNA($B74)),"",IF(ISBLANK($B74),"",IFERROR(_xll.BDP(TICKER,"DEEP_MEASURE_PERIOD_BROKER_VALUE","DEEP_MEASURE_ID_OVERRIDE",$C74,"DEEP_BROKER_ID_OVERRIDE",BJ$24,"DEEP_PERIOD_OVERRIDE",$H$19)*1,"")))</f>
        <v/>
      </c>
      <c r="BK74" s="17" t="str">
        <f>IF(OR(BK$23="",ISNA($B74)),"",IF(ISBLANK($B74),"",IFERROR(_xll.BDP(TICKER,"DEEP_MEASURE_PERIOD_BROKER_VALUE","DEEP_MEASURE_ID_OVERRIDE",$C74,"DEEP_BROKER_ID_OVERRIDE",BK$24,"DEEP_PERIOD_OVERRIDE",$H$19)*1,"")))</f>
        <v/>
      </c>
      <c r="BL74" s="17" t="str">
        <f>IF(OR(BL$23="",ISNA($B74)),"",IF(ISBLANK($B74),"",IFERROR(_xll.BDP(TICKER,"DEEP_MEASURE_PERIOD_BROKER_VALUE","DEEP_MEASURE_ID_OVERRIDE",$C74,"DEEP_BROKER_ID_OVERRIDE",BL$24,"DEEP_PERIOD_OVERRIDE",$H$19)*1,"")))</f>
        <v/>
      </c>
      <c r="BM74" s="17" t="str">
        <f>IF(OR(BM$23="",ISNA($B74)),"",IF(ISBLANK($B74),"",IFERROR(_xll.BDP(TICKER,"DEEP_MEASURE_PERIOD_BROKER_VALUE","DEEP_MEASURE_ID_OVERRIDE",$C74,"DEEP_BROKER_ID_OVERRIDE",BM$24,"DEEP_PERIOD_OVERRIDE",$H$19)*1,"")))</f>
        <v/>
      </c>
      <c r="BN74" s="17" t="str">
        <f>IF(OR(BN$23="",ISNA($B74)),"",IF(ISBLANK($B74),"",IFERROR(_xll.BDP(TICKER,"DEEP_MEASURE_PERIOD_BROKER_VALUE","DEEP_MEASURE_ID_OVERRIDE",$C74,"DEEP_BROKER_ID_OVERRIDE",BN$24,"DEEP_PERIOD_OVERRIDE",$H$19)*1,"")))</f>
        <v/>
      </c>
      <c r="BO74" s="17" t="str">
        <f>IF(OR(BO$23="",ISNA($B74)),"",IF(ISBLANK($B74),"",IFERROR(_xll.BDP(TICKER,"DEEP_MEASURE_PERIOD_BROKER_VALUE","DEEP_MEASURE_ID_OVERRIDE",$C74,"DEEP_BROKER_ID_OVERRIDE",BO$24,"DEEP_PERIOD_OVERRIDE",$H$19)*1,"")))</f>
        <v/>
      </c>
      <c r="BP74" s="17" t="str">
        <f>IF(OR(BP$23="",ISNA($B74)),"",IF(ISBLANK($B74),"",IFERROR(_xll.BDP(TICKER,"DEEP_MEASURE_PERIOD_BROKER_VALUE","DEEP_MEASURE_ID_OVERRIDE",$C74,"DEEP_BROKER_ID_OVERRIDE",BP$24,"DEEP_PERIOD_OVERRIDE",$H$19)*1,"")))</f>
        <v/>
      </c>
      <c r="BQ74" s="17" t="str">
        <f>IF(OR(BQ$23="",ISNA($B74)),"",IF(ISBLANK($B74),"",IFERROR(_xll.BDP(TICKER,"DEEP_MEASURE_PERIOD_BROKER_VALUE","DEEP_MEASURE_ID_OVERRIDE",$C74,"DEEP_BROKER_ID_OVERRIDE",BQ$24,"DEEP_PERIOD_OVERRIDE",$H$19)*1,"")))</f>
        <v/>
      </c>
      <c r="BR74" s="17" t="str">
        <f>IF(OR(BR$23="",ISNA($B74)),"",IF(ISBLANK($B74),"",IFERROR(_xll.BDP(TICKER,"DEEP_MEASURE_PERIOD_BROKER_VALUE","DEEP_MEASURE_ID_OVERRIDE",$C74,"DEEP_BROKER_ID_OVERRIDE",BR$24,"DEEP_PERIOD_OVERRIDE",$H$19)*1,"")))</f>
        <v/>
      </c>
      <c r="BS74" s="17" t="str">
        <f>IF(OR(BS$23="",ISNA($B74)),"",IF(ISBLANK($B74),"",IFERROR(_xll.BDP(TICKER,"DEEP_MEASURE_PERIOD_BROKER_VALUE","DEEP_MEASURE_ID_OVERRIDE",$C74,"DEEP_BROKER_ID_OVERRIDE",BS$24,"DEEP_PERIOD_OVERRIDE",$H$19)*1,"")))</f>
        <v/>
      </c>
      <c r="BT74" s="17" t="str">
        <f>IF(OR(BT$23="",ISNA($B74)),"",IF(ISBLANK($B74),"",IFERROR(_xll.BDP(TICKER,"DEEP_MEASURE_PERIOD_BROKER_VALUE","DEEP_MEASURE_ID_OVERRIDE",$C74,"DEEP_BROKER_ID_OVERRIDE",BT$24,"DEEP_PERIOD_OVERRIDE",$H$19)*1,"")))</f>
        <v/>
      </c>
      <c r="BU74" s="17" t="str">
        <f>IF(OR(BU$23="",ISNA($B74)),"",IF(ISBLANK($B74),"",IFERROR(_xll.BDP(TICKER,"DEEP_MEASURE_PERIOD_BROKER_VALUE","DEEP_MEASURE_ID_OVERRIDE",$C74,"DEEP_BROKER_ID_OVERRIDE",BU$24,"DEEP_PERIOD_OVERRIDE",$H$19)*1,"")))</f>
        <v/>
      </c>
      <c r="BV74" s="17" t="str">
        <f>IF(OR(BV$23="",ISNA($B74)),"",IF(ISBLANK($B74),"",IFERROR(_xll.BDP(TICKER,"DEEP_MEASURE_PERIOD_BROKER_VALUE","DEEP_MEASURE_ID_OVERRIDE",$C74,"DEEP_BROKER_ID_OVERRIDE",BV$24,"DEEP_PERIOD_OVERRIDE",$H$19)*1,"")))</f>
        <v/>
      </c>
      <c r="BW74" s="17" t="str">
        <f>IF(OR(BW$23="",ISNA($B74)),"",IF(ISBLANK($B74),"",IFERROR(_xll.BDP(TICKER,"DEEP_MEASURE_PERIOD_BROKER_VALUE","DEEP_MEASURE_ID_OVERRIDE",$C74,"DEEP_BROKER_ID_OVERRIDE",BW$24,"DEEP_PERIOD_OVERRIDE",$H$19)*1,"")))</f>
        <v/>
      </c>
      <c r="BX74" s="17" t="str">
        <f>IF(OR(BX$23="",ISNA($B74)),"",IF(ISBLANK($B74),"",IFERROR(_xll.BDP(TICKER,"DEEP_MEASURE_PERIOD_BROKER_VALUE","DEEP_MEASURE_ID_OVERRIDE",$C74,"DEEP_BROKER_ID_OVERRIDE",BX$24,"DEEP_PERIOD_OVERRIDE",$H$19)*1,"")))</f>
        <v/>
      </c>
      <c r="BY74" s="17" t="str">
        <f>IF(OR(BY$23="",ISNA($B74)),"",IF(ISBLANK($B74),"",IFERROR(_xll.BDP(TICKER,"DEEP_MEASURE_PERIOD_BROKER_VALUE","DEEP_MEASURE_ID_OVERRIDE",$C74,"DEEP_BROKER_ID_OVERRIDE",BY$24,"DEEP_PERIOD_OVERRIDE",$H$19)*1,"")))</f>
        <v/>
      </c>
      <c r="BZ74" s="17" t="str">
        <f>IF(OR(BZ$23="",ISNA($B74)),"",IF(ISBLANK($B74),"",IFERROR(_xll.BDP(TICKER,"DEEP_MEASURE_PERIOD_BROKER_VALUE","DEEP_MEASURE_ID_OVERRIDE",$C74,"DEEP_BROKER_ID_OVERRIDE",BZ$24,"DEEP_PERIOD_OVERRIDE",$H$19)*1,"")))</f>
        <v/>
      </c>
    </row>
    <row r="75" spans="2:78" x14ac:dyDescent="0.25">
      <c r="B75" t="s">
        <v>119</v>
      </c>
      <c r="C75">
        <v>939</v>
      </c>
      <c r="H75" t="str">
        <f t="shared" si="1"/>
        <v>Total Revenue &gt; Hotel &gt; Adjusted EBITDA</v>
      </c>
      <c r="I75" t="str">
        <f>IF(OR(I$23="",ISNA($B75)),"",IF(ISBLANK($B75),"",IFERROR(_xll.BDP(TICKER,"DEEP_MEASURE_PERIOD_BROKER_VALUE","DEEP_MEASURE_ID_OVERRIDE",$C75,"DEEP_PERIOD_OVERRIDE",$H$19)*1,"")))</f>
        <v/>
      </c>
      <c r="J75" t="e">
        <f>IF(OR(J$23="",ISNA($B75)),"",IF(ISBLANK($B75),"",IFERROR(_xll.BDP(TICKER,"DEEP_MEASURE_PERIOD_BROKER_VALUE","DEEP_MEASURE_ID_OVERRIDE",$C75,"DEEP_BROKER_ID_OVERRIDE",J$24,"DEEP_PERIOD_OVERRIDE",$H$19)*1,"")))</f>
        <v>#REF!</v>
      </c>
      <c r="K75" s="17" t="str">
        <f>IF(OR(K$23="",ISNA($B75)),"",IF(ISBLANK($B75),"",IFERROR(_xll.BDP(TICKER,"DEEP_MEASURE_PERIOD_BROKER_VALUE","DEEP_MEASURE_ID_OVERRIDE",$C75,"DEEP_BROKER_ID_OVERRIDE",K$24,"DEEP_PERIOD_OVERRIDE",$H$19)*1,"")))</f>
        <v/>
      </c>
      <c r="L75" s="17" t="str">
        <f>IF(OR(L$23="",ISNA($B75)),"",IF(ISBLANK($B75),"",IFERROR(_xll.BDP(TICKER,"DEEP_MEASURE_PERIOD_BROKER_VALUE","DEEP_MEASURE_ID_OVERRIDE",$C75,"DEEP_BROKER_ID_OVERRIDE",L$24,"DEEP_PERIOD_OVERRIDE",$H$19)*1,"")))</f>
        <v/>
      </c>
      <c r="M75" s="17" t="str">
        <f>IF(OR(M$23="",ISNA($B75)),"",IF(ISBLANK($B75),"",IFERROR(_xll.BDP(TICKER,"DEEP_MEASURE_PERIOD_BROKER_VALUE","DEEP_MEASURE_ID_OVERRIDE",$C75,"DEEP_BROKER_ID_OVERRIDE",M$24,"DEEP_PERIOD_OVERRIDE",$H$19)*1,"")))</f>
        <v/>
      </c>
      <c r="N75" s="17" t="str">
        <f>IF(OR(N$23="",ISNA($B75)),"",IF(ISBLANK($B75),"",IFERROR(_xll.BDP(TICKER,"DEEP_MEASURE_PERIOD_BROKER_VALUE","DEEP_MEASURE_ID_OVERRIDE",$C75,"DEEP_BROKER_ID_OVERRIDE",N$24,"DEEP_PERIOD_OVERRIDE",$H$19)*1,"")))</f>
        <v/>
      </c>
      <c r="O75" s="17" t="str">
        <f>IF(OR(O$23="",ISNA($B75)),"",IF(ISBLANK($B75),"",IFERROR(_xll.BDP(TICKER,"DEEP_MEASURE_PERIOD_BROKER_VALUE","DEEP_MEASURE_ID_OVERRIDE",$C75,"DEEP_BROKER_ID_OVERRIDE",O$24,"DEEP_PERIOD_OVERRIDE",$H$19)*1,"")))</f>
        <v/>
      </c>
      <c r="P75" s="17" t="str">
        <f>IF(OR(P$23="",ISNA($B75)),"",IF(ISBLANK($B75),"",IFERROR(_xll.BDP(TICKER,"DEEP_MEASURE_PERIOD_BROKER_VALUE","DEEP_MEASURE_ID_OVERRIDE",$C75,"DEEP_BROKER_ID_OVERRIDE",P$24,"DEEP_PERIOD_OVERRIDE",$H$19)*1,"")))</f>
        <v/>
      </c>
      <c r="Q75" s="17" t="str">
        <f>IF(OR(Q$23="",ISNA($B75)),"",IF(ISBLANK($B75),"",IFERROR(_xll.BDP(TICKER,"DEEP_MEASURE_PERIOD_BROKER_VALUE","DEEP_MEASURE_ID_OVERRIDE",$C75,"DEEP_BROKER_ID_OVERRIDE",Q$24,"DEEP_PERIOD_OVERRIDE",$H$19)*1,"")))</f>
        <v/>
      </c>
      <c r="R75" s="17" t="str">
        <f>IF(OR(R$23="",ISNA($B75)),"",IF(ISBLANK($B75),"",IFERROR(_xll.BDP(TICKER,"DEEP_MEASURE_PERIOD_BROKER_VALUE","DEEP_MEASURE_ID_OVERRIDE",$C75,"DEEP_BROKER_ID_OVERRIDE",R$24,"DEEP_PERIOD_OVERRIDE",$H$19)*1,"")))</f>
        <v/>
      </c>
      <c r="S75" s="17" t="str">
        <f>IF(OR(S$23="",ISNA($B75)),"",IF(ISBLANK($B75),"",IFERROR(_xll.BDP(TICKER,"DEEP_MEASURE_PERIOD_BROKER_VALUE","DEEP_MEASURE_ID_OVERRIDE",$C75,"DEEP_BROKER_ID_OVERRIDE",S$24,"DEEP_PERIOD_OVERRIDE",$H$19)*1,"")))</f>
        <v/>
      </c>
      <c r="T75" s="17" t="str">
        <f>IF(OR(T$23="",ISNA($B75)),"",IF(ISBLANK($B75),"",IFERROR(_xll.BDP(TICKER,"DEEP_MEASURE_PERIOD_BROKER_VALUE","DEEP_MEASURE_ID_OVERRIDE",$C75,"DEEP_BROKER_ID_OVERRIDE",T$24,"DEEP_PERIOD_OVERRIDE",$H$19)*1,"")))</f>
        <v/>
      </c>
      <c r="U75" s="17" t="str">
        <f>IF(OR(U$23="",ISNA($B75)),"",IF(ISBLANK($B75),"",IFERROR(_xll.BDP(TICKER,"DEEP_MEASURE_PERIOD_BROKER_VALUE","DEEP_MEASURE_ID_OVERRIDE",$C75,"DEEP_BROKER_ID_OVERRIDE",U$24,"DEEP_PERIOD_OVERRIDE",$H$19)*1,"")))</f>
        <v/>
      </c>
      <c r="V75" s="17" t="str">
        <f>IF(OR(V$23="",ISNA($B75)),"",IF(ISBLANK($B75),"",IFERROR(_xll.BDP(TICKER,"DEEP_MEASURE_PERIOD_BROKER_VALUE","DEEP_MEASURE_ID_OVERRIDE",$C75,"DEEP_BROKER_ID_OVERRIDE",V$24,"DEEP_PERIOD_OVERRIDE",$H$19)*1,"")))</f>
        <v/>
      </c>
      <c r="W75" s="17" t="str">
        <f>IF(OR(W$23="",ISNA($B75)),"",IF(ISBLANK($B75),"",IFERROR(_xll.BDP(TICKER,"DEEP_MEASURE_PERIOD_BROKER_VALUE","DEEP_MEASURE_ID_OVERRIDE",$C75,"DEEP_BROKER_ID_OVERRIDE",W$24,"DEEP_PERIOD_OVERRIDE",$H$19)*1,"")))</f>
        <v/>
      </c>
      <c r="X75" s="17" t="str">
        <f>IF(OR(X$23="",ISNA($B75)),"",IF(ISBLANK($B75),"",IFERROR(_xll.BDP(TICKER,"DEEP_MEASURE_PERIOD_BROKER_VALUE","DEEP_MEASURE_ID_OVERRIDE",$C75,"DEEP_BROKER_ID_OVERRIDE",X$24,"DEEP_PERIOD_OVERRIDE",$H$19)*1,"")))</f>
        <v/>
      </c>
      <c r="Y75" s="17" t="str">
        <f>IF(OR(Y$23="",ISNA($B75)),"",IF(ISBLANK($B75),"",IFERROR(_xll.BDP(TICKER,"DEEP_MEASURE_PERIOD_BROKER_VALUE","DEEP_MEASURE_ID_OVERRIDE",$C75,"DEEP_BROKER_ID_OVERRIDE",Y$24,"DEEP_PERIOD_OVERRIDE",$H$19)*1,"")))</f>
        <v/>
      </c>
      <c r="Z75" s="17" t="str">
        <f>IF(OR(Z$23="",ISNA($B75)),"",IF(ISBLANK($B75),"",IFERROR(_xll.BDP(TICKER,"DEEP_MEASURE_PERIOD_BROKER_VALUE","DEEP_MEASURE_ID_OVERRIDE",$C75,"DEEP_BROKER_ID_OVERRIDE",Z$24,"DEEP_PERIOD_OVERRIDE",$H$19)*1,"")))</f>
        <v/>
      </c>
      <c r="AA75" s="17" t="str">
        <f>IF(OR(AA$23="",ISNA($B75)),"",IF(ISBLANK($B75),"",IFERROR(_xll.BDP(TICKER,"DEEP_MEASURE_PERIOD_BROKER_VALUE","DEEP_MEASURE_ID_OVERRIDE",$C75,"DEEP_BROKER_ID_OVERRIDE",AA$24,"DEEP_PERIOD_OVERRIDE",$H$19)*1,"")))</f>
        <v/>
      </c>
      <c r="AB75" s="17" t="str">
        <f>IF(OR(AB$23="",ISNA($B75)),"",IF(ISBLANK($B75),"",IFERROR(_xll.BDP(TICKER,"DEEP_MEASURE_PERIOD_BROKER_VALUE","DEEP_MEASURE_ID_OVERRIDE",$C75,"DEEP_BROKER_ID_OVERRIDE",AB$24,"DEEP_PERIOD_OVERRIDE",$H$19)*1,"")))</f>
        <v/>
      </c>
      <c r="AC75" s="17" t="str">
        <f>IF(OR(AC$23="",ISNA($B75)),"",IF(ISBLANK($B75),"",IFERROR(_xll.BDP(TICKER,"DEEP_MEASURE_PERIOD_BROKER_VALUE","DEEP_MEASURE_ID_OVERRIDE",$C75,"DEEP_BROKER_ID_OVERRIDE",AC$24,"DEEP_PERIOD_OVERRIDE",$H$19)*1,"")))</f>
        <v/>
      </c>
      <c r="AD75" s="17" t="str">
        <f>IF(OR(AD$23="",ISNA($B75)),"",IF(ISBLANK($B75),"",IFERROR(_xll.BDP(TICKER,"DEEP_MEASURE_PERIOD_BROKER_VALUE","DEEP_MEASURE_ID_OVERRIDE",$C75,"DEEP_BROKER_ID_OVERRIDE",AD$24,"DEEP_PERIOD_OVERRIDE",$H$19)*1,"")))</f>
        <v/>
      </c>
      <c r="AE75" s="17" t="str">
        <f>IF(OR(AE$23="",ISNA($B75)),"",IF(ISBLANK($B75),"",IFERROR(_xll.BDP(TICKER,"DEEP_MEASURE_PERIOD_BROKER_VALUE","DEEP_MEASURE_ID_OVERRIDE",$C75,"DEEP_BROKER_ID_OVERRIDE",AE$24,"DEEP_PERIOD_OVERRIDE",$H$19)*1,"")))</f>
        <v/>
      </c>
      <c r="AF75" s="17" t="str">
        <f>IF(OR(AF$23="",ISNA($B75)),"",IF(ISBLANK($B75),"",IFERROR(_xll.BDP(TICKER,"DEEP_MEASURE_PERIOD_BROKER_VALUE","DEEP_MEASURE_ID_OVERRIDE",$C75,"DEEP_BROKER_ID_OVERRIDE",AF$24,"DEEP_PERIOD_OVERRIDE",$H$19)*1,"")))</f>
        <v/>
      </c>
      <c r="AG75" s="17" t="str">
        <f>IF(OR(AG$23="",ISNA($B75)),"",IF(ISBLANK($B75),"",IFERROR(_xll.BDP(TICKER,"DEEP_MEASURE_PERIOD_BROKER_VALUE","DEEP_MEASURE_ID_OVERRIDE",$C75,"DEEP_BROKER_ID_OVERRIDE",AG$24,"DEEP_PERIOD_OVERRIDE",$H$19)*1,"")))</f>
        <v/>
      </c>
      <c r="AH75" s="17" t="str">
        <f>IF(OR(AH$23="",ISNA($B75)),"",IF(ISBLANK($B75),"",IFERROR(_xll.BDP(TICKER,"DEEP_MEASURE_PERIOD_BROKER_VALUE","DEEP_MEASURE_ID_OVERRIDE",$C75,"DEEP_BROKER_ID_OVERRIDE",AH$24,"DEEP_PERIOD_OVERRIDE",$H$19)*1,"")))</f>
        <v/>
      </c>
      <c r="AI75" s="17" t="str">
        <f>IF(OR(AI$23="",ISNA($B75)),"",IF(ISBLANK($B75),"",IFERROR(_xll.BDP(TICKER,"DEEP_MEASURE_PERIOD_BROKER_VALUE","DEEP_MEASURE_ID_OVERRIDE",$C75,"DEEP_BROKER_ID_OVERRIDE",AI$24,"DEEP_PERIOD_OVERRIDE",$H$19)*1,"")))</f>
        <v/>
      </c>
      <c r="AJ75" s="17" t="str">
        <f>IF(OR(AJ$23="",ISNA($B75)),"",IF(ISBLANK($B75),"",IFERROR(_xll.BDP(TICKER,"DEEP_MEASURE_PERIOD_BROKER_VALUE","DEEP_MEASURE_ID_OVERRIDE",$C75,"DEEP_BROKER_ID_OVERRIDE",AJ$24,"DEEP_PERIOD_OVERRIDE",$H$19)*1,"")))</f>
        <v/>
      </c>
      <c r="AK75" s="17" t="str">
        <f>IF(OR(AK$23="",ISNA($B75)),"",IF(ISBLANK($B75),"",IFERROR(_xll.BDP(TICKER,"DEEP_MEASURE_PERIOD_BROKER_VALUE","DEEP_MEASURE_ID_OVERRIDE",$C75,"DEEP_BROKER_ID_OVERRIDE",AK$24,"DEEP_PERIOD_OVERRIDE",$H$19)*1,"")))</f>
        <v/>
      </c>
      <c r="AL75" s="17" t="str">
        <f>IF(OR(AL$23="",ISNA($B75)),"",IF(ISBLANK($B75),"",IFERROR(_xll.BDP(TICKER,"DEEP_MEASURE_PERIOD_BROKER_VALUE","DEEP_MEASURE_ID_OVERRIDE",$C75,"DEEP_BROKER_ID_OVERRIDE",AL$24,"DEEP_PERIOD_OVERRIDE",$H$19)*1,"")))</f>
        <v/>
      </c>
      <c r="AM75" s="17" t="str">
        <f>IF(OR(AM$23="",ISNA($B75)),"",IF(ISBLANK($B75),"",IFERROR(_xll.BDP(TICKER,"DEEP_MEASURE_PERIOD_BROKER_VALUE","DEEP_MEASURE_ID_OVERRIDE",$C75,"DEEP_BROKER_ID_OVERRIDE",AM$24,"DEEP_PERIOD_OVERRIDE",$H$19)*1,"")))</f>
        <v/>
      </c>
      <c r="AN75" s="17" t="str">
        <f>IF(OR(AN$23="",ISNA($B75)),"",IF(ISBLANK($B75),"",IFERROR(_xll.BDP(TICKER,"DEEP_MEASURE_PERIOD_BROKER_VALUE","DEEP_MEASURE_ID_OVERRIDE",$C75,"DEEP_BROKER_ID_OVERRIDE",AN$24,"DEEP_PERIOD_OVERRIDE",$H$19)*1,"")))</f>
        <v/>
      </c>
      <c r="AO75" s="17" t="str">
        <f>IF(OR(AO$23="",ISNA($B75)),"",IF(ISBLANK($B75),"",IFERROR(_xll.BDP(TICKER,"DEEP_MEASURE_PERIOD_BROKER_VALUE","DEEP_MEASURE_ID_OVERRIDE",$C75,"DEEP_BROKER_ID_OVERRIDE",AO$24,"DEEP_PERIOD_OVERRIDE",$H$19)*1,"")))</f>
        <v/>
      </c>
      <c r="AP75" s="17" t="str">
        <f>IF(OR(AP$23="",ISNA($B75)),"",IF(ISBLANK($B75),"",IFERROR(_xll.BDP(TICKER,"DEEP_MEASURE_PERIOD_BROKER_VALUE","DEEP_MEASURE_ID_OVERRIDE",$C75,"DEEP_BROKER_ID_OVERRIDE",AP$24,"DEEP_PERIOD_OVERRIDE",$H$19)*1,"")))</f>
        <v/>
      </c>
      <c r="AQ75" s="17" t="str">
        <f>IF(OR(AQ$23="",ISNA($B75)),"",IF(ISBLANK($B75),"",IFERROR(_xll.BDP(TICKER,"DEEP_MEASURE_PERIOD_BROKER_VALUE","DEEP_MEASURE_ID_OVERRIDE",$C75,"DEEP_BROKER_ID_OVERRIDE",AQ$24,"DEEP_PERIOD_OVERRIDE",$H$19)*1,"")))</f>
        <v/>
      </c>
      <c r="AR75" s="17" t="str">
        <f>IF(OR(AR$23="",ISNA($B75)),"",IF(ISBLANK($B75),"",IFERROR(_xll.BDP(TICKER,"DEEP_MEASURE_PERIOD_BROKER_VALUE","DEEP_MEASURE_ID_OVERRIDE",$C75,"DEEP_BROKER_ID_OVERRIDE",AR$24,"DEEP_PERIOD_OVERRIDE",$H$19)*1,"")))</f>
        <v/>
      </c>
      <c r="AS75" s="17" t="str">
        <f>IF(OR(AS$23="",ISNA($B75)),"",IF(ISBLANK($B75),"",IFERROR(_xll.BDP(TICKER,"DEEP_MEASURE_PERIOD_BROKER_VALUE","DEEP_MEASURE_ID_OVERRIDE",$C75,"DEEP_BROKER_ID_OVERRIDE",AS$24,"DEEP_PERIOD_OVERRIDE",$H$19)*1,"")))</f>
        <v/>
      </c>
      <c r="AT75" s="17" t="str">
        <f>IF(OR(AT$23="",ISNA($B75)),"",IF(ISBLANK($B75),"",IFERROR(_xll.BDP(TICKER,"DEEP_MEASURE_PERIOD_BROKER_VALUE","DEEP_MEASURE_ID_OVERRIDE",$C75,"DEEP_BROKER_ID_OVERRIDE",AT$24,"DEEP_PERIOD_OVERRIDE",$H$19)*1,"")))</f>
        <v/>
      </c>
      <c r="AU75" s="17" t="str">
        <f>IF(OR(AU$23="",ISNA($B75)),"",IF(ISBLANK($B75),"",IFERROR(_xll.BDP(TICKER,"DEEP_MEASURE_PERIOD_BROKER_VALUE","DEEP_MEASURE_ID_OVERRIDE",$C75,"DEEP_BROKER_ID_OVERRIDE",AU$24,"DEEP_PERIOD_OVERRIDE",$H$19)*1,"")))</f>
        <v/>
      </c>
      <c r="AV75" s="17" t="str">
        <f>IF(OR(AV$23="",ISNA($B75)),"",IF(ISBLANK($B75),"",IFERROR(_xll.BDP(TICKER,"DEEP_MEASURE_PERIOD_BROKER_VALUE","DEEP_MEASURE_ID_OVERRIDE",$C75,"DEEP_BROKER_ID_OVERRIDE",AV$24,"DEEP_PERIOD_OVERRIDE",$H$19)*1,"")))</f>
        <v/>
      </c>
      <c r="AW75" s="17" t="str">
        <f>IF(OR(AW$23="",ISNA($B75)),"",IF(ISBLANK($B75),"",IFERROR(_xll.BDP(TICKER,"DEEP_MEASURE_PERIOD_BROKER_VALUE","DEEP_MEASURE_ID_OVERRIDE",$C75,"DEEP_BROKER_ID_OVERRIDE",AW$24,"DEEP_PERIOD_OVERRIDE",$H$19)*1,"")))</f>
        <v/>
      </c>
      <c r="AX75" s="17" t="str">
        <f>IF(OR(AX$23="",ISNA($B75)),"",IF(ISBLANK($B75),"",IFERROR(_xll.BDP(TICKER,"DEEP_MEASURE_PERIOD_BROKER_VALUE","DEEP_MEASURE_ID_OVERRIDE",$C75,"DEEP_BROKER_ID_OVERRIDE",AX$24,"DEEP_PERIOD_OVERRIDE",$H$19)*1,"")))</f>
        <v/>
      </c>
      <c r="AY75" s="17" t="str">
        <f>IF(OR(AY$23="",ISNA($B75)),"",IF(ISBLANK($B75),"",IFERROR(_xll.BDP(TICKER,"DEEP_MEASURE_PERIOD_BROKER_VALUE","DEEP_MEASURE_ID_OVERRIDE",$C75,"DEEP_BROKER_ID_OVERRIDE",AY$24,"DEEP_PERIOD_OVERRIDE",$H$19)*1,"")))</f>
        <v/>
      </c>
      <c r="AZ75" s="17" t="str">
        <f>IF(OR(AZ$23="",ISNA($B75)),"",IF(ISBLANK($B75),"",IFERROR(_xll.BDP(TICKER,"DEEP_MEASURE_PERIOD_BROKER_VALUE","DEEP_MEASURE_ID_OVERRIDE",$C75,"DEEP_BROKER_ID_OVERRIDE",AZ$24,"DEEP_PERIOD_OVERRIDE",$H$19)*1,"")))</f>
        <v/>
      </c>
      <c r="BA75" s="17" t="str">
        <f>IF(OR(BA$23="",ISNA($B75)),"",IF(ISBLANK($B75),"",IFERROR(_xll.BDP(TICKER,"DEEP_MEASURE_PERIOD_BROKER_VALUE","DEEP_MEASURE_ID_OVERRIDE",$C75,"DEEP_BROKER_ID_OVERRIDE",BA$24,"DEEP_PERIOD_OVERRIDE",$H$19)*1,"")))</f>
        <v/>
      </c>
      <c r="BB75" s="17" t="str">
        <f>IF(OR(BB$23="",ISNA($B75)),"",IF(ISBLANK($B75),"",IFERROR(_xll.BDP(TICKER,"DEEP_MEASURE_PERIOD_BROKER_VALUE","DEEP_MEASURE_ID_OVERRIDE",$C75,"DEEP_BROKER_ID_OVERRIDE",BB$24,"DEEP_PERIOD_OVERRIDE",$H$19)*1,"")))</f>
        <v/>
      </c>
      <c r="BC75" s="17" t="str">
        <f>IF(OR(BC$23="",ISNA($B75)),"",IF(ISBLANK($B75),"",IFERROR(_xll.BDP(TICKER,"DEEP_MEASURE_PERIOD_BROKER_VALUE","DEEP_MEASURE_ID_OVERRIDE",$C75,"DEEP_BROKER_ID_OVERRIDE",BC$24,"DEEP_PERIOD_OVERRIDE",$H$19)*1,"")))</f>
        <v/>
      </c>
      <c r="BD75" s="17" t="str">
        <f>IF(OR(BD$23="",ISNA($B75)),"",IF(ISBLANK($B75),"",IFERROR(_xll.BDP(TICKER,"DEEP_MEASURE_PERIOD_BROKER_VALUE","DEEP_MEASURE_ID_OVERRIDE",$C75,"DEEP_BROKER_ID_OVERRIDE",BD$24,"DEEP_PERIOD_OVERRIDE",$H$19)*1,"")))</f>
        <v/>
      </c>
      <c r="BE75" s="17" t="str">
        <f>IF(OR(BE$23="",ISNA($B75)),"",IF(ISBLANK($B75),"",IFERROR(_xll.BDP(TICKER,"DEEP_MEASURE_PERIOD_BROKER_VALUE","DEEP_MEASURE_ID_OVERRIDE",$C75,"DEEP_BROKER_ID_OVERRIDE",BE$24,"DEEP_PERIOD_OVERRIDE",$H$19)*1,"")))</f>
        <v/>
      </c>
      <c r="BF75" s="17" t="str">
        <f>IF(OR(BF$23="",ISNA($B75)),"",IF(ISBLANK($B75),"",IFERROR(_xll.BDP(TICKER,"DEEP_MEASURE_PERIOD_BROKER_VALUE","DEEP_MEASURE_ID_OVERRIDE",$C75,"DEEP_BROKER_ID_OVERRIDE",BF$24,"DEEP_PERIOD_OVERRIDE",$H$19)*1,"")))</f>
        <v/>
      </c>
      <c r="BG75" s="17" t="str">
        <f>IF(OR(BG$23="",ISNA($B75)),"",IF(ISBLANK($B75),"",IFERROR(_xll.BDP(TICKER,"DEEP_MEASURE_PERIOD_BROKER_VALUE","DEEP_MEASURE_ID_OVERRIDE",$C75,"DEEP_BROKER_ID_OVERRIDE",BG$24,"DEEP_PERIOD_OVERRIDE",$H$19)*1,"")))</f>
        <v/>
      </c>
      <c r="BH75" s="17" t="str">
        <f>IF(OR(BH$23="",ISNA($B75)),"",IF(ISBLANK($B75),"",IFERROR(_xll.BDP(TICKER,"DEEP_MEASURE_PERIOD_BROKER_VALUE","DEEP_MEASURE_ID_OVERRIDE",$C75,"DEEP_BROKER_ID_OVERRIDE",BH$24,"DEEP_PERIOD_OVERRIDE",$H$19)*1,"")))</f>
        <v/>
      </c>
      <c r="BI75" s="17" t="str">
        <f>IF(OR(BI$23="",ISNA($B75)),"",IF(ISBLANK($B75),"",IFERROR(_xll.BDP(TICKER,"DEEP_MEASURE_PERIOD_BROKER_VALUE","DEEP_MEASURE_ID_OVERRIDE",$C75,"DEEP_BROKER_ID_OVERRIDE",BI$24,"DEEP_PERIOD_OVERRIDE",$H$19)*1,"")))</f>
        <v/>
      </c>
      <c r="BJ75" s="17" t="str">
        <f>IF(OR(BJ$23="",ISNA($B75)),"",IF(ISBLANK($B75),"",IFERROR(_xll.BDP(TICKER,"DEEP_MEASURE_PERIOD_BROKER_VALUE","DEEP_MEASURE_ID_OVERRIDE",$C75,"DEEP_BROKER_ID_OVERRIDE",BJ$24,"DEEP_PERIOD_OVERRIDE",$H$19)*1,"")))</f>
        <v/>
      </c>
      <c r="BK75" s="17" t="str">
        <f>IF(OR(BK$23="",ISNA($B75)),"",IF(ISBLANK($B75),"",IFERROR(_xll.BDP(TICKER,"DEEP_MEASURE_PERIOD_BROKER_VALUE","DEEP_MEASURE_ID_OVERRIDE",$C75,"DEEP_BROKER_ID_OVERRIDE",BK$24,"DEEP_PERIOD_OVERRIDE",$H$19)*1,"")))</f>
        <v/>
      </c>
      <c r="BL75" s="17" t="str">
        <f>IF(OR(BL$23="",ISNA($B75)),"",IF(ISBLANK($B75),"",IFERROR(_xll.BDP(TICKER,"DEEP_MEASURE_PERIOD_BROKER_VALUE","DEEP_MEASURE_ID_OVERRIDE",$C75,"DEEP_BROKER_ID_OVERRIDE",BL$24,"DEEP_PERIOD_OVERRIDE",$H$19)*1,"")))</f>
        <v/>
      </c>
      <c r="BM75" s="17" t="str">
        <f>IF(OR(BM$23="",ISNA($B75)),"",IF(ISBLANK($B75),"",IFERROR(_xll.BDP(TICKER,"DEEP_MEASURE_PERIOD_BROKER_VALUE","DEEP_MEASURE_ID_OVERRIDE",$C75,"DEEP_BROKER_ID_OVERRIDE",BM$24,"DEEP_PERIOD_OVERRIDE",$H$19)*1,"")))</f>
        <v/>
      </c>
      <c r="BN75" s="17" t="str">
        <f>IF(OR(BN$23="",ISNA($B75)),"",IF(ISBLANK($B75),"",IFERROR(_xll.BDP(TICKER,"DEEP_MEASURE_PERIOD_BROKER_VALUE","DEEP_MEASURE_ID_OVERRIDE",$C75,"DEEP_BROKER_ID_OVERRIDE",BN$24,"DEEP_PERIOD_OVERRIDE",$H$19)*1,"")))</f>
        <v/>
      </c>
      <c r="BO75" s="17" t="str">
        <f>IF(OR(BO$23="",ISNA($B75)),"",IF(ISBLANK($B75),"",IFERROR(_xll.BDP(TICKER,"DEEP_MEASURE_PERIOD_BROKER_VALUE","DEEP_MEASURE_ID_OVERRIDE",$C75,"DEEP_BROKER_ID_OVERRIDE",BO$24,"DEEP_PERIOD_OVERRIDE",$H$19)*1,"")))</f>
        <v/>
      </c>
      <c r="BP75" s="17" t="str">
        <f>IF(OR(BP$23="",ISNA($B75)),"",IF(ISBLANK($B75),"",IFERROR(_xll.BDP(TICKER,"DEEP_MEASURE_PERIOD_BROKER_VALUE","DEEP_MEASURE_ID_OVERRIDE",$C75,"DEEP_BROKER_ID_OVERRIDE",BP$24,"DEEP_PERIOD_OVERRIDE",$H$19)*1,"")))</f>
        <v/>
      </c>
      <c r="BQ75" s="17" t="str">
        <f>IF(OR(BQ$23="",ISNA($B75)),"",IF(ISBLANK($B75),"",IFERROR(_xll.BDP(TICKER,"DEEP_MEASURE_PERIOD_BROKER_VALUE","DEEP_MEASURE_ID_OVERRIDE",$C75,"DEEP_BROKER_ID_OVERRIDE",BQ$24,"DEEP_PERIOD_OVERRIDE",$H$19)*1,"")))</f>
        <v/>
      </c>
      <c r="BR75" s="17" t="str">
        <f>IF(OR(BR$23="",ISNA($B75)),"",IF(ISBLANK($B75),"",IFERROR(_xll.BDP(TICKER,"DEEP_MEASURE_PERIOD_BROKER_VALUE","DEEP_MEASURE_ID_OVERRIDE",$C75,"DEEP_BROKER_ID_OVERRIDE",BR$24,"DEEP_PERIOD_OVERRIDE",$H$19)*1,"")))</f>
        <v/>
      </c>
      <c r="BS75" s="17" t="str">
        <f>IF(OR(BS$23="",ISNA($B75)),"",IF(ISBLANK($B75),"",IFERROR(_xll.BDP(TICKER,"DEEP_MEASURE_PERIOD_BROKER_VALUE","DEEP_MEASURE_ID_OVERRIDE",$C75,"DEEP_BROKER_ID_OVERRIDE",BS$24,"DEEP_PERIOD_OVERRIDE",$H$19)*1,"")))</f>
        <v/>
      </c>
      <c r="BT75" s="17" t="str">
        <f>IF(OR(BT$23="",ISNA($B75)),"",IF(ISBLANK($B75),"",IFERROR(_xll.BDP(TICKER,"DEEP_MEASURE_PERIOD_BROKER_VALUE","DEEP_MEASURE_ID_OVERRIDE",$C75,"DEEP_BROKER_ID_OVERRIDE",BT$24,"DEEP_PERIOD_OVERRIDE",$H$19)*1,"")))</f>
        <v/>
      </c>
      <c r="BU75" s="17" t="str">
        <f>IF(OR(BU$23="",ISNA($B75)),"",IF(ISBLANK($B75),"",IFERROR(_xll.BDP(TICKER,"DEEP_MEASURE_PERIOD_BROKER_VALUE","DEEP_MEASURE_ID_OVERRIDE",$C75,"DEEP_BROKER_ID_OVERRIDE",BU$24,"DEEP_PERIOD_OVERRIDE",$H$19)*1,"")))</f>
        <v/>
      </c>
      <c r="BV75" s="17" t="str">
        <f>IF(OR(BV$23="",ISNA($B75)),"",IF(ISBLANK($B75),"",IFERROR(_xll.BDP(TICKER,"DEEP_MEASURE_PERIOD_BROKER_VALUE","DEEP_MEASURE_ID_OVERRIDE",$C75,"DEEP_BROKER_ID_OVERRIDE",BV$24,"DEEP_PERIOD_OVERRIDE",$H$19)*1,"")))</f>
        <v/>
      </c>
      <c r="BW75" s="17" t="str">
        <f>IF(OR(BW$23="",ISNA($B75)),"",IF(ISBLANK($B75),"",IFERROR(_xll.BDP(TICKER,"DEEP_MEASURE_PERIOD_BROKER_VALUE","DEEP_MEASURE_ID_OVERRIDE",$C75,"DEEP_BROKER_ID_OVERRIDE",BW$24,"DEEP_PERIOD_OVERRIDE",$H$19)*1,"")))</f>
        <v/>
      </c>
      <c r="BX75" s="17" t="str">
        <f>IF(OR(BX$23="",ISNA($B75)),"",IF(ISBLANK($B75),"",IFERROR(_xll.BDP(TICKER,"DEEP_MEASURE_PERIOD_BROKER_VALUE","DEEP_MEASURE_ID_OVERRIDE",$C75,"DEEP_BROKER_ID_OVERRIDE",BX$24,"DEEP_PERIOD_OVERRIDE",$H$19)*1,"")))</f>
        <v/>
      </c>
      <c r="BY75" s="17" t="str">
        <f>IF(OR(BY$23="",ISNA($B75)),"",IF(ISBLANK($B75),"",IFERROR(_xll.BDP(TICKER,"DEEP_MEASURE_PERIOD_BROKER_VALUE","DEEP_MEASURE_ID_OVERRIDE",$C75,"DEEP_BROKER_ID_OVERRIDE",BY$24,"DEEP_PERIOD_OVERRIDE",$H$19)*1,"")))</f>
        <v/>
      </c>
      <c r="BZ75" s="17" t="str">
        <f>IF(OR(BZ$23="",ISNA($B75)),"",IF(ISBLANK($B75),"",IFERROR(_xll.BDP(TICKER,"DEEP_MEASURE_PERIOD_BROKER_VALUE","DEEP_MEASURE_ID_OVERRIDE",$C75,"DEEP_BROKER_ID_OVERRIDE",BZ$24,"DEEP_PERIOD_OVERRIDE",$H$19)*1,"")))</f>
        <v/>
      </c>
    </row>
    <row r="76" spans="2:78" x14ac:dyDescent="0.25">
      <c r="B76" t="s">
        <v>120</v>
      </c>
      <c r="C76">
        <v>398</v>
      </c>
      <c r="H76" t="str">
        <f t="shared" si="1"/>
        <v>Total Revenue &gt; Hotel &gt; Adjusted EBITDA &gt; Adjusted EBITDA Margin (%)</v>
      </c>
      <c r="I76" t="str">
        <f>IF(OR(I$23="",ISNA($B76)),"",IF(ISBLANK($B76),"",IFERROR(_xll.BDP(TICKER,"DEEP_MEASURE_PERIOD_BROKER_VALUE","DEEP_MEASURE_ID_OVERRIDE",$C76,"DEEP_PERIOD_OVERRIDE",$H$19)*1,"")))</f>
        <v/>
      </c>
      <c r="J76" t="e">
        <f>IF(OR(J$23="",ISNA($B76)),"",IF(ISBLANK($B76),"",IFERROR(_xll.BDP(TICKER,"DEEP_MEASURE_PERIOD_BROKER_VALUE","DEEP_MEASURE_ID_OVERRIDE",$C76,"DEEP_BROKER_ID_OVERRIDE",J$24,"DEEP_PERIOD_OVERRIDE",$H$19)*1,"")))</f>
        <v>#REF!</v>
      </c>
      <c r="K76" s="17" t="str">
        <f>IF(OR(K$23="",ISNA($B76)),"",IF(ISBLANK($B76),"",IFERROR(_xll.BDP(TICKER,"DEEP_MEASURE_PERIOD_BROKER_VALUE","DEEP_MEASURE_ID_OVERRIDE",$C76,"DEEP_BROKER_ID_OVERRIDE",K$24,"DEEP_PERIOD_OVERRIDE",$H$19)*1,"")))</f>
        <v/>
      </c>
      <c r="L76" s="17" t="str">
        <f>IF(OR(L$23="",ISNA($B76)),"",IF(ISBLANK($B76),"",IFERROR(_xll.BDP(TICKER,"DEEP_MEASURE_PERIOD_BROKER_VALUE","DEEP_MEASURE_ID_OVERRIDE",$C76,"DEEP_BROKER_ID_OVERRIDE",L$24,"DEEP_PERIOD_OVERRIDE",$H$19)*1,"")))</f>
        <v/>
      </c>
      <c r="M76" s="17" t="str">
        <f>IF(OR(M$23="",ISNA($B76)),"",IF(ISBLANK($B76),"",IFERROR(_xll.BDP(TICKER,"DEEP_MEASURE_PERIOD_BROKER_VALUE","DEEP_MEASURE_ID_OVERRIDE",$C76,"DEEP_BROKER_ID_OVERRIDE",M$24,"DEEP_PERIOD_OVERRIDE",$H$19)*1,"")))</f>
        <v/>
      </c>
      <c r="N76" s="17" t="str">
        <f>IF(OR(N$23="",ISNA($B76)),"",IF(ISBLANK($B76),"",IFERROR(_xll.BDP(TICKER,"DEEP_MEASURE_PERIOD_BROKER_VALUE","DEEP_MEASURE_ID_OVERRIDE",$C76,"DEEP_BROKER_ID_OVERRIDE",N$24,"DEEP_PERIOD_OVERRIDE",$H$19)*1,"")))</f>
        <v/>
      </c>
      <c r="O76" s="17" t="str">
        <f>IF(OR(O$23="",ISNA($B76)),"",IF(ISBLANK($B76),"",IFERROR(_xll.BDP(TICKER,"DEEP_MEASURE_PERIOD_BROKER_VALUE","DEEP_MEASURE_ID_OVERRIDE",$C76,"DEEP_BROKER_ID_OVERRIDE",O$24,"DEEP_PERIOD_OVERRIDE",$H$19)*1,"")))</f>
        <v/>
      </c>
      <c r="P76" s="17" t="str">
        <f>IF(OR(P$23="",ISNA($B76)),"",IF(ISBLANK($B76),"",IFERROR(_xll.BDP(TICKER,"DEEP_MEASURE_PERIOD_BROKER_VALUE","DEEP_MEASURE_ID_OVERRIDE",$C76,"DEEP_BROKER_ID_OVERRIDE",P$24,"DEEP_PERIOD_OVERRIDE",$H$19)*1,"")))</f>
        <v/>
      </c>
      <c r="Q76" s="17" t="str">
        <f>IF(OR(Q$23="",ISNA($B76)),"",IF(ISBLANK($B76),"",IFERROR(_xll.BDP(TICKER,"DEEP_MEASURE_PERIOD_BROKER_VALUE","DEEP_MEASURE_ID_OVERRIDE",$C76,"DEEP_BROKER_ID_OVERRIDE",Q$24,"DEEP_PERIOD_OVERRIDE",$H$19)*1,"")))</f>
        <v/>
      </c>
      <c r="R76" s="17" t="str">
        <f>IF(OR(R$23="",ISNA($B76)),"",IF(ISBLANK($B76),"",IFERROR(_xll.BDP(TICKER,"DEEP_MEASURE_PERIOD_BROKER_VALUE","DEEP_MEASURE_ID_OVERRIDE",$C76,"DEEP_BROKER_ID_OVERRIDE",R$24,"DEEP_PERIOD_OVERRIDE",$H$19)*1,"")))</f>
        <v/>
      </c>
      <c r="S76" s="17" t="str">
        <f>IF(OR(S$23="",ISNA($B76)),"",IF(ISBLANK($B76),"",IFERROR(_xll.BDP(TICKER,"DEEP_MEASURE_PERIOD_BROKER_VALUE","DEEP_MEASURE_ID_OVERRIDE",$C76,"DEEP_BROKER_ID_OVERRIDE",S$24,"DEEP_PERIOD_OVERRIDE",$H$19)*1,"")))</f>
        <v/>
      </c>
      <c r="T76" s="17" t="str">
        <f>IF(OR(T$23="",ISNA($B76)),"",IF(ISBLANK($B76),"",IFERROR(_xll.BDP(TICKER,"DEEP_MEASURE_PERIOD_BROKER_VALUE","DEEP_MEASURE_ID_OVERRIDE",$C76,"DEEP_BROKER_ID_OVERRIDE",T$24,"DEEP_PERIOD_OVERRIDE",$H$19)*1,"")))</f>
        <v/>
      </c>
      <c r="U76" s="17" t="str">
        <f>IF(OR(U$23="",ISNA($B76)),"",IF(ISBLANK($B76),"",IFERROR(_xll.BDP(TICKER,"DEEP_MEASURE_PERIOD_BROKER_VALUE","DEEP_MEASURE_ID_OVERRIDE",$C76,"DEEP_BROKER_ID_OVERRIDE",U$24,"DEEP_PERIOD_OVERRIDE",$H$19)*1,"")))</f>
        <v/>
      </c>
      <c r="V76" s="17" t="str">
        <f>IF(OR(V$23="",ISNA($B76)),"",IF(ISBLANK($B76),"",IFERROR(_xll.BDP(TICKER,"DEEP_MEASURE_PERIOD_BROKER_VALUE","DEEP_MEASURE_ID_OVERRIDE",$C76,"DEEP_BROKER_ID_OVERRIDE",V$24,"DEEP_PERIOD_OVERRIDE",$H$19)*1,"")))</f>
        <v/>
      </c>
      <c r="W76" s="17" t="str">
        <f>IF(OR(W$23="",ISNA($B76)),"",IF(ISBLANK($B76),"",IFERROR(_xll.BDP(TICKER,"DEEP_MEASURE_PERIOD_BROKER_VALUE","DEEP_MEASURE_ID_OVERRIDE",$C76,"DEEP_BROKER_ID_OVERRIDE",W$24,"DEEP_PERIOD_OVERRIDE",$H$19)*1,"")))</f>
        <v/>
      </c>
      <c r="X76" s="17" t="str">
        <f>IF(OR(X$23="",ISNA($B76)),"",IF(ISBLANK($B76),"",IFERROR(_xll.BDP(TICKER,"DEEP_MEASURE_PERIOD_BROKER_VALUE","DEEP_MEASURE_ID_OVERRIDE",$C76,"DEEP_BROKER_ID_OVERRIDE",X$24,"DEEP_PERIOD_OVERRIDE",$H$19)*1,"")))</f>
        <v/>
      </c>
      <c r="Y76" s="17" t="str">
        <f>IF(OR(Y$23="",ISNA($B76)),"",IF(ISBLANK($B76),"",IFERROR(_xll.BDP(TICKER,"DEEP_MEASURE_PERIOD_BROKER_VALUE","DEEP_MEASURE_ID_OVERRIDE",$C76,"DEEP_BROKER_ID_OVERRIDE",Y$24,"DEEP_PERIOD_OVERRIDE",$H$19)*1,"")))</f>
        <v/>
      </c>
      <c r="Z76" s="17" t="str">
        <f>IF(OR(Z$23="",ISNA($B76)),"",IF(ISBLANK($B76),"",IFERROR(_xll.BDP(TICKER,"DEEP_MEASURE_PERIOD_BROKER_VALUE","DEEP_MEASURE_ID_OVERRIDE",$C76,"DEEP_BROKER_ID_OVERRIDE",Z$24,"DEEP_PERIOD_OVERRIDE",$H$19)*1,"")))</f>
        <v/>
      </c>
      <c r="AA76" s="17" t="str">
        <f>IF(OR(AA$23="",ISNA($B76)),"",IF(ISBLANK($B76),"",IFERROR(_xll.BDP(TICKER,"DEEP_MEASURE_PERIOD_BROKER_VALUE","DEEP_MEASURE_ID_OVERRIDE",$C76,"DEEP_BROKER_ID_OVERRIDE",AA$24,"DEEP_PERIOD_OVERRIDE",$H$19)*1,"")))</f>
        <v/>
      </c>
      <c r="AB76" s="17" t="str">
        <f>IF(OR(AB$23="",ISNA($B76)),"",IF(ISBLANK($B76),"",IFERROR(_xll.BDP(TICKER,"DEEP_MEASURE_PERIOD_BROKER_VALUE","DEEP_MEASURE_ID_OVERRIDE",$C76,"DEEP_BROKER_ID_OVERRIDE",AB$24,"DEEP_PERIOD_OVERRIDE",$H$19)*1,"")))</f>
        <v/>
      </c>
      <c r="AC76" s="17" t="str">
        <f>IF(OR(AC$23="",ISNA($B76)),"",IF(ISBLANK($B76),"",IFERROR(_xll.BDP(TICKER,"DEEP_MEASURE_PERIOD_BROKER_VALUE","DEEP_MEASURE_ID_OVERRIDE",$C76,"DEEP_BROKER_ID_OVERRIDE",AC$24,"DEEP_PERIOD_OVERRIDE",$H$19)*1,"")))</f>
        <v/>
      </c>
      <c r="AD76" s="17" t="str">
        <f>IF(OR(AD$23="",ISNA($B76)),"",IF(ISBLANK($B76),"",IFERROR(_xll.BDP(TICKER,"DEEP_MEASURE_PERIOD_BROKER_VALUE","DEEP_MEASURE_ID_OVERRIDE",$C76,"DEEP_BROKER_ID_OVERRIDE",AD$24,"DEEP_PERIOD_OVERRIDE",$H$19)*1,"")))</f>
        <v/>
      </c>
      <c r="AE76" s="17" t="str">
        <f>IF(OR(AE$23="",ISNA($B76)),"",IF(ISBLANK($B76),"",IFERROR(_xll.BDP(TICKER,"DEEP_MEASURE_PERIOD_BROKER_VALUE","DEEP_MEASURE_ID_OVERRIDE",$C76,"DEEP_BROKER_ID_OVERRIDE",AE$24,"DEEP_PERIOD_OVERRIDE",$H$19)*1,"")))</f>
        <v/>
      </c>
      <c r="AF76" s="17" t="str">
        <f>IF(OR(AF$23="",ISNA($B76)),"",IF(ISBLANK($B76),"",IFERROR(_xll.BDP(TICKER,"DEEP_MEASURE_PERIOD_BROKER_VALUE","DEEP_MEASURE_ID_OVERRIDE",$C76,"DEEP_BROKER_ID_OVERRIDE",AF$24,"DEEP_PERIOD_OVERRIDE",$H$19)*1,"")))</f>
        <v/>
      </c>
      <c r="AG76" s="17" t="str">
        <f>IF(OR(AG$23="",ISNA($B76)),"",IF(ISBLANK($B76),"",IFERROR(_xll.BDP(TICKER,"DEEP_MEASURE_PERIOD_BROKER_VALUE","DEEP_MEASURE_ID_OVERRIDE",$C76,"DEEP_BROKER_ID_OVERRIDE",AG$24,"DEEP_PERIOD_OVERRIDE",$H$19)*1,"")))</f>
        <v/>
      </c>
      <c r="AH76" s="17" t="str">
        <f>IF(OR(AH$23="",ISNA($B76)),"",IF(ISBLANK($B76),"",IFERROR(_xll.BDP(TICKER,"DEEP_MEASURE_PERIOD_BROKER_VALUE","DEEP_MEASURE_ID_OVERRIDE",$C76,"DEEP_BROKER_ID_OVERRIDE",AH$24,"DEEP_PERIOD_OVERRIDE",$H$19)*1,"")))</f>
        <v/>
      </c>
      <c r="AI76" s="17" t="str">
        <f>IF(OR(AI$23="",ISNA($B76)),"",IF(ISBLANK($B76),"",IFERROR(_xll.BDP(TICKER,"DEEP_MEASURE_PERIOD_BROKER_VALUE","DEEP_MEASURE_ID_OVERRIDE",$C76,"DEEP_BROKER_ID_OVERRIDE",AI$24,"DEEP_PERIOD_OVERRIDE",$H$19)*1,"")))</f>
        <v/>
      </c>
      <c r="AJ76" s="17" t="str">
        <f>IF(OR(AJ$23="",ISNA($B76)),"",IF(ISBLANK($B76),"",IFERROR(_xll.BDP(TICKER,"DEEP_MEASURE_PERIOD_BROKER_VALUE","DEEP_MEASURE_ID_OVERRIDE",$C76,"DEEP_BROKER_ID_OVERRIDE",AJ$24,"DEEP_PERIOD_OVERRIDE",$H$19)*1,"")))</f>
        <v/>
      </c>
      <c r="AK76" s="17" t="str">
        <f>IF(OR(AK$23="",ISNA($B76)),"",IF(ISBLANK($B76),"",IFERROR(_xll.BDP(TICKER,"DEEP_MEASURE_PERIOD_BROKER_VALUE","DEEP_MEASURE_ID_OVERRIDE",$C76,"DEEP_BROKER_ID_OVERRIDE",AK$24,"DEEP_PERIOD_OVERRIDE",$H$19)*1,"")))</f>
        <v/>
      </c>
      <c r="AL76" s="17" t="str">
        <f>IF(OR(AL$23="",ISNA($B76)),"",IF(ISBLANK($B76),"",IFERROR(_xll.BDP(TICKER,"DEEP_MEASURE_PERIOD_BROKER_VALUE","DEEP_MEASURE_ID_OVERRIDE",$C76,"DEEP_BROKER_ID_OVERRIDE",AL$24,"DEEP_PERIOD_OVERRIDE",$H$19)*1,"")))</f>
        <v/>
      </c>
      <c r="AM76" s="17" t="str">
        <f>IF(OR(AM$23="",ISNA($B76)),"",IF(ISBLANK($B76),"",IFERROR(_xll.BDP(TICKER,"DEEP_MEASURE_PERIOD_BROKER_VALUE","DEEP_MEASURE_ID_OVERRIDE",$C76,"DEEP_BROKER_ID_OVERRIDE",AM$24,"DEEP_PERIOD_OVERRIDE",$H$19)*1,"")))</f>
        <v/>
      </c>
      <c r="AN76" s="17" t="str">
        <f>IF(OR(AN$23="",ISNA($B76)),"",IF(ISBLANK($B76),"",IFERROR(_xll.BDP(TICKER,"DEEP_MEASURE_PERIOD_BROKER_VALUE","DEEP_MEASURE_ID_OVERRIDE",$C76,"DEEP_BROKER_ID_OVERRIDE",AN$24,"DEEP_PERIOD_OVERRIDE",$H$19)*1,"")))</f>
        <v/>
      </c>
      <c r="AO76" s="17" t="str">
        <f>IF(OR(AO$23="",ISNA($B76)),"",IF(ISBLANK($B76),"",IFERROR(_xll.BDP(TICKER,"DEEP_MEASURE_PERIOD_BROKER_VALUE","DEEP_MEASURE_ID_OVERRIDE",$C76,"DEEP_BROKER_ID_OVERRIDE",AO$24,"DEEP_PERIOD_OVERRIDE",$H$19)*1,"")))</f>
        <v/>
      </c>
      <c r="AP76" s="17" t="str">
        <f>IF(OR(AP$23="",ISNA($B76)),"",IF(ISBLANK($B76),"",IFERROR(_xll.BDP(TICKER,"DEEP_MEASURE_PERIOD_BROKER_VALUE","DEEP_MEASURE_ID_OVERRIDE",$C76,"DEEP_BROKER_ID_OVERRIDE",AP$24,"DEEP_PERIOD_OVERRIDE",$H$19)*1,"")))</f>
        <v/>
      </c>
      <c r="AQ76" s="17" t="str">
        <f>IF(OR(AQ$23="",ISNA($B76)),"",IF(ISBLANK($B76),"",IFERROR(_xll.BDP(TICKER,"DEEP_MEASURE_PERIOD_BROKER_VALUE","DEEP_MEASURE_ID_OVERRIDE",$C76,"DEEP_BROKER_ID_OVERRIDE",AQ$24,"DEEP_PERIOD_OVERRIDE",$H$19)*1,"")))</f>
        <v/>
      </c>
      <c r="AR76" s="17" t="str">
        <f>IF(OR(AR$23="",ISNA($B76)),"",IF(ISBLANK($B76),"",IFERROR(_xll.BDP(TICKER,"DEEP_MEASURE_PERIOD_BROKER_VALUE","DEEP_MEASURE_ID_OVERRIDE",$C76,"DEEP_BROKER_ID_OVERRIDE",AR$24,"DEEP_PERIOD_OVERRIDE",$H$19)*1,"")))</f>
        <v/>
      </c>
      <c r="AS76" s="17" t="str">
        <f>IF(OR(AS$23="",ISNA($B76)),"",IF(ISBLANK($B76),"",IFERROR(_xll.BDP(TICKER,"DEEP_MEASURE_PERIOD_BROKER_VALUE","DEEP_MEASURE_ID_OVERRIDE",$C76,"DEEP_BROKER_ID_OVERRIDE",AS$24,"DEEP_PERIOD_OVERRIDE",$H$19)*1,"")))</f>
        <v/>
      </c>
      <c r="AT76" s="17" t="str">
        <f>IF(OR(AT$23="",ISNA($B76)),"",IF(ISBLANK($B76),"",IFERROR(_xll.BDP(TICKER,"DEEP_MEASURE_PERIOD_BROKER_VALUE","DEEP_MEASURE_ID_OVERRIDE",$C76,"DEEP_BROKER_ID_OVERRIDE",AT$24,"DEEP_PERIOD_OVERRIDE",$H$19)*1,"")))</f>
        <v/>
      </c>
      <c r="AU76" s="17" t="str">
        <f>IF(OR(AU$23="",ISNA($B76)),"",IF(ISBLANK($B76),"",IFERROR(_xll.BDP(TICKER,"DEEP_MEASURE_PERIOD_BROKER_VALUE","DEEP_MEASURE_ID_OVERRIDE",$C76,"DEEP_BROKER_ID_OVERRIDE",AU$24,"DEEP_PERIOD_OVERRIDE",$H$19)*1,"")))</f>
        <v/>
      </c>
      <c r="AV76" s="17" t="str">
        <f>IF(OR(AV$23="",ISNA($B76)),"",IF(ISBLANK($B76),"",IFERROR(_xll.BDP(TICKER,"DEEP_MEASURE_PERIOD_BROKER_VALUE","DEEP_MEASURE_ID_OVERRIDE",$C76,"DEEP_BROKER_ID_OVERRIDE",AV$24,"DEEP_PERIOD_OVERRIDE",$H$19)*1,"")))</f>
        <v/>
      </c>
      <c r="AW76" s="17" t="str">
        <f>IF(OR(AW$23="",ISNA($B76)),"",IF(ISBLANK($B76),"",IFERROR(_xll.BDP(TICKER,"DEEP_MEASURE_PERIOD_BROKER_VALUE","DEEP_MEASURE_ID_OVERRIDE",$C76,"DEEP_BROKER_ID_OVERRIDE",AW$24,"DEEP_PERIOD_OVERRIDE",$H$19)*1,"")))</f>
        <v/>
      </c>
      <c r="AX76" s="17" t="str">
        <f>IF(OR(AX$23="",ISNA($B76)),"",IF(ISBLANK($B76),"",IFERROR(_xll.BDP(TICKER,"DEEP_MEASURE_PERIOD_BROKER_VALUE","DEEP_MEASURE_ID_OVERRIDE",$C76,"DEEP_BROKER_ID_OVERRIDE",AX$24,"DEEP_PERIOD_OVERRIDE",$H$19)*1,"")))</f>
        <v/>
      </c>
      <c r="AY76" s="17" t="str">
        <f>IF(OR(AY$23="",ISNA($B76)),"",IF(ISBLANK($B76),"",IFERROR(_xll.BDP(TICKER,"DEEP_MEASURE_PERIOD_BROKER_VALUE","DEEP_MEASURE_ID_OVERRIDE",$C76,"DEEP_BROKER_ID_OVERRIDE",AY$24,"DEEP_PERIOD_OVERRIDE",$H$19)*1,"")))</f>
        <v/>
      </c>
      <c r="AZ76" s="17" t="str">
        <f>IF(OR(AZ$23="",ISNA($B76)),"",IF(ISBLANK($B76),"",IFERROR(_xll.BDP(TICKER,"DEEP_MEASURE_PERIOD_BROKER_VALUE","DEEP_MEASURE_ID_OVERRIDE",$C76,"DEEP_BROKER_ID_OVERRIDE",AZ$24,"DEEP_PERIOD_OVERRIDE",$H$19)*1,"")))</f>
        <v/>
      </c>
      <c r="BA76" s="17" t="str">
        <f>IF(OR(BA$23="",ISNA($B76)),"",IF(ISBLANK($B76),"",IFERROR(_xll.BDP(TICKER,"DEEP_MEASURE_PERIOD_BROKER_VALUE","DEEP_MEASURE_ID_OVERRIDE",$C76,"DEEP_BROKER_ID_OVERRIDE",BA$24,"DEEP_PERIOD_OVERRIDE",$H$19)*1,"")))</f>
        <v/>
      </c>
      <c r="BB76" s="17" t="str">
        <f>IF(OR(BB$23="",ISNA($B76)),"",IF(ISBLANK($B76),"",IFERROR(_xll.BDP(TICKER,"DEEP_MEASURE_PERIOD_BROKER_VALUE","DEEP_MEASURE_ID_OVERRIDE",$C76,"DEEP_BROKER_ID_OVERRIDE",BB$24,"DEEP_PERIOD_OVERRIDE",$H$19)*1,"")))</f>
        <v/>
      </c>
      <c r="BC76" s="17" t="str">
        <f>IF(OR(BC$23="",ISNA($B76)),"",IF(ISBLANK($B76),"",IFERROR(_xll.BDP(TICKER,"DEEP_MEASURE_PERIOD_BROKER_VALUE","DEEP_MEASURE_ID_OVERRIDE",$C76,"DEEP_BROKER_ID_OVERRIDE",BC$24,"DEEP_PERIOD_OVERRIDE",$H$19)*1,"")))</f>
        <v/>
      </c>
      <c r="BD76" s="17" t="str">
        <f>IF(OR(BD$23="",ISNA($B76)),"",IF(ISBLANK($B76),"",IFERROR(_xll.BDP(TICKER,"DEEP_MEASURE_PERIOD_BROKER_VALUE","DEEP_MEASURE_ID_OVERRIDE",$C76,"DEEP_BROKER_ID_OVERRIDE",BD$24,"DEEP_PERIOD_OVERRIDE",$H$19)*1,"")))</f>
        <v/>
      </c>
      <c r="BE76" s="17" t="str">
        <f>IF(OR(BE$23="",ISNA($B76)),"",IF(ISBLANK($B76),"",IFERROR(_xll.BDP(TICKER,"DEEP_MEASURE_PERIOD_BROKER_VALUE","DEEP_MEASURE_ID_OVERRIDE",$C76,"DEEP_BROKER_ID_OVERRIDE",BE$24,"DEEP_PERIOD_OVERRIDE",$H$19)*1,"")))</f>
        <v/>
      </c>
      <c r="BF76" s="17" t="str">
        <f>IF(OR(BF$23="",ISNA($B76)),"",IF(ISBLANK($B76),"",IFERROR(_xll.BDP(TICKER,"DEEP_MEASURE_PERIOD_BROKER_VALUE","DEEP_MEASURE_ID_OVERRIDE",$C76,"DEEP_BROKER_ID_OVERRIDE",BF$24,"DEEP_PERIOD_OVERRIDE",$H$19)*1,"")))</f>
        <v/>
      </c>
      <c r="BG76" s="17" t="str">
        <f>IF(OR(BG$23="",ISNA($B76)),"",IF(ISBLANK($B76),"",IFERROR(_xll.BDP(TICKER,"DEEP_MEASURE_PERIOD_BROKER_VALUE","DEEP_MEASURE_ID_OVERRIDE",$C76,"DEEP_BROKER_ID_OVERRIDE",BG$24,"DEEP_PERIOD_OVERRIDE",$H$19)*1,"")))</f>
        <v/>
      </c>
      <c r="BH76" s="17" t="str">
        <f>IF(OR(BH$23="",ISNA($B76)),"",IF(ISBLANK($B76),"",IFERROR(_xll.BDP(TICKER,"DEEP_MEASURE_PERIOD_BROKER_VALUE","DEEP_MEASURE_ID_OVERRIDE",$C76,"DEEP_BROKER_ID_OVERRIDE",BH$24,"DEEP_PERIOD_OVERRIDE",$H$19)*1,"")))</f>
        <v/>
      </c>
      <c r="BI76" s="17" t="str">
        <f>IF(OR(BI$23="",ISNA($B76)),"",IF(ISBLANK($B76),"",IFERROR(_xll.BDP(TICKER,"DEEP_MEASURE_PERIOD_BROKER_VALUE","DEEP_MEASURE_ID_OVERRIDE",$C76,"DEEP_BROKER_ID_OVERRIDE",BI$24,"DEEP_PERIOD_OVERRIDE",$H$19)*1,"")))</f>
        <v/>
      </c>
      <c r="BJ76" s="17" t="str">
        <f>IF(OR(BJ$23="",ISNA($B76)),"",IF(ISBLANK($B76),"",IFERROR(_xll.BDP(TICKER,"DEEP_MEASURE_PERIOD_BROKER_VALUE","DEEP_MEASURE_ID_OVERRIDE",$C76,"DEEP_BROKER_ID_OVERRIDE",BJ$24,"DEEP_PERIOD_OVERRIDE",$H$19)*1,"")))</f>
        <v/>
      </c>
      <c r="BK76" s="17" t="str">
        <f>IF(OR(BK$23="",ISNA($B76)),"",IF(ISBLANK($B76),"",IFERROR(_xll.BDP(TICKER,"DEEP_MEASURE_PERIOD_BROKER_VALUE","DEEP_MEASURE_ID_OVERRIDE",$C76,"DEEP_BROKER_ID_OVERRIDE",BK$24,"DEEP_PERIOD_OVERRIDE",$H$19)*1,"")))</f>
        <v/>
      </c>
      <c r="BL76" s="17" t="str">
        <f>IF(OR(BL$23="",ISNA($B76)),"",IF(ISBLANK($B76),"",IFERROR(_xll.BDP(TICKER,"DEEP_MEASURE_PERIOD_BROKER_VALUE","DEEP_MEASURE_ID_OVERRIDE",$C76,"DEEP_BROKER_ID_OVERRIDE",BL$24,"DEEP_PERIOD_OVERRIDE",$H$19)*1,"")))</f>
        <v/>
      </c>
      <c r="BM76" s="17" t="str">
        <f>IF(OR(BM$23="",ISNA($B76)),"",IF(ISBLANK($B76),"",IFERROR(_xll.BDP(TICKER,"DEEP_MEASURE_PERIOD_BROKER_VALUE","DEEP_MEASURE_ID_OVERRIDE",$C76,"DEEP_BROKER_ID_OVERRIDE",BM$24,"DEEP_PERIOD_OVERRIDE",$H$19)*1,"")))</f>
        <v/>
      </c>
      <c r="BN76" s="17" t="str">
        <f>IF(OR(BN$23="",ISNA($B76)),"",IF(ISBLANK($B76),"",IFERROR(_xll.BDP(TICKER,"DEEP_MEASURE_PERIOD_BROKER_VALUE","DEEP_MEASURE_ID_OVERRIDE",$C76,"DEEP_BROKER_ID_OVERRIDE",BN$24,"DEEP_PERIOD_OVERRIDE",$H$19)*1,"")))</f>
        <v/>
      </c>
      <c r="BO76" s="17" t="str">
        <f>IF(OR(BO$23="",ISNA($B76)),"",IF(ISBLANK($B76),"",IFERROR(_xll.BDP(TICKER,"DEEP_MEASURE_PERIOD_BROKER_VALUE","DEEP_MEASURE_ID_OVERRIDE",$C76,"DEEP_BROKER_ID_OVERRIDE",BO$24,"DEEP_PERIOD_OVERRIDE",$H$19)*1,"")))</f>
        <v/>
      </c>
      <c r="BP76" s="17" t="str">
        <f>IF(OR(BP$23="",ISNA($B76)),"",IF(ISBLANK($B76),"",IFERROR(_xll.BDP(TICKER,"DEEP_MEASURE_PERIOD_BROKER_VALUE","DEEP_MEASURE_ID_OVERRIDE",$C76,"DEEP_BROKER_ID_OVERRIDE",BP$24,"DEEP_PERIOD_OVERRIDE",$H$19)*1,"")))</f>
        <v/>
      </c>
      <c r="BQ76" s="17" t="str">
        <f>IF(OR(BQ$23="",ISNA($B76)),"",IF(ISBLANK($B76),"",IFERROR(_xll.BDP(TICKER,"DEEP_MEASURE_PERIOD_BROKER_VALUE","DEEP_MEASURE_ID_OVERRIDE",$C76,"DEEP_BROKER_ID_OVERRIDE",BQ$24,"DEEP_PERIOD_OVERRIDE",$H$19)*1,"")))</f>
        <v/>
      </c>
      <c r="BR76" s="17" t="str">
        <f>IF(OR(BR$23="",ISNA($B76)),"",IF(ISBLANK($B76),"",IFERROR(_xll.BDP(TICKER,"DEEP_MEASURE_PERIOD_BROKER_VALUE","DEEP_MEASURE_ID_OVERRIDE",$C76,"DEEP_BROKER_ID_OVERRIDE",BR$24,"DEEP_PERIOD_OVERRIDE",$H$19)*1,"")))</f>
        <v/>
      </c>
      <c r="BS76" s="17" t="str">
        <f>IF(OR(BS$23="",ISNA($B76)),"",IF(ISBLANK($B76),"",IFERROR(_xll.BDP(TICKER,"DEEP_MEASURE_PERIOD_BROKER_VALUE","DEEP_MEASURE_ID_OVERRIDE",$C76,"DEEP_BROKER_ID_OVERRIDE",BS$24,"DEEP_PERIOD_OVERRIDE",$H$19)*1,"")))</f>
        <v/>
      </c>
      <c r="BT76" s="17" t="str">
        <f>IF(OR(BT$23="",ISNA($B76)),"",IF(ISBLANK($B76),"",IFERROR(_xll.BDP(TICKER,"DEEP_MEASURE_PERIOD_BROKER_VALUE","DEEP_MEASURE_ID_OVERRIDE",$C76,"DEEP_BROKER_ID_OVERRIDE",BT$24,"DEEP_PERIOD_OVERRIDE",$H$19)*1,"")))</f>
        <v/>
      </c>
      <c r="BU76" s="17" t="str">
        <f>IF(OR(BU$23="",ISNA($B76)),"",IF(ISBLANK($B76),"",IFERROR(_xll.BDP(TICKER,"DEEP_MEASURE_PERIOD_BROKER_VALUE","DEEP_MEASURE_ID_OVERRIDE",$C76,"DEEP_BROKER_ID_OVERRIDE",BU$24,"DEEP_PERIOD_OVERRIDE",$H$19)*1,"")))</f>
        <v/>
      </c>
      <c r="BV76" s="17" t="str">
        <f>IF(OR(BV$23="",ISNA($B76)),"",IF(ISBLANK($B76),"",IFERROR(_xll.BDP(TICKER,"DEEP_MEASURE_PERIOD_BROKER_VALUE","DEEP_MEASURE_ID_OVERRIDE",$C76,"DEEP_BROKER_ID_OVERRIDE",BV$24,"DEEP_PERIOD_OVERRIDE",$H$19)*1,"")))</f>
        <v/>
      </c>
      <c r="BW76" s="17" t="str">
        <f>IF(OR(BW$23="",ISNA($B76)),"",IF(ISBLANK($B76),"",IFERROR(_xll.BDP(TICKER,"DEEP_MEASURE_PERIOD_BROKER_VALUE","DEEP_MEASURE_ID_OVERRIDE",$C76,"DEEP_BROKER_ID_OVERRIDE",BW$24,"DEEP_PERIOD_OVERRIDE",$H$19)*1,"")))</f>
        <v/>
      </c>
      <c r="BX76" s="17" t="str">
        <f>IF(OR(BX$23="",ISNA($B76)),"",IF(ISBLANK($B76),"",IFERROR(_xll.BDP(TICKER,"DEEP_MEASURE_PERIOD_BROKER_VALUE","DEEP_MEASURE_ID_OVERRIDE",$C76,"DEEP_BROKER_ID_OVERRIDE",BX$24,"DEEP_PERIOD_OVERRIDE",$H$19)*1,"")))</f>
        <v/>
      </c>
      <c r="BY76" s="17" t="str">
        <f>IF(OR(BY$23="",ISNA($B76)),"",IF(ISBLANK($B76),"",IFERROR(_xll.BDP(TICKER,"DEEP_MEASURE_PERIOD_BROKER_VALUE","DEEP_MEASURE_ID_OVERRIDE",$C76,"DEEP_BROKER_ID_OVERRIDE",BY$24,"DEEP_PERIOD_OVERRIDE",$H$19)*1,"")))</f>
        <v/>
      </c>
      <c r="BZ76" s="17" t="str">
        <f>IF(OR(BZ$23="",ISNA($B76)),"",IF(ISBLANK($B76),"",IFERROR(_xll.BDP(TICKER,"DEEP_MEASURE_PERIOD_BROKER_VALUE","DEEP_MEASURE_ID_OVERRIDE",$C76,"DEEP_BROKER_ID_OVERRIDE",BZ$24,"DEEP_PERIOD_OVERRIDE",$H$19)*1,"")))</f>
        <v/>
      </c>
    </row>
    <row r="77" spans="2:78" x14ac:dyDescent="0.25">
      <c r="B77" t="s">
        <v>121</v>
      </c>
      <c r="C77">
        <v>575</v>
      </c>
      <c r="H77" t="str">
        <f t="shared" si="1"/>
        <v>Total Revenue &gt; Non-Hotel &gt; Revenue</v>
      </c>
      <c r="I77" t="str">
        <f>IF(OR(I$23="",ISNA($B77)),"",IF(ISBLANK($B77),"",IFERROR(_xll.BDP(TICKER,"DEEP_MEASURE_PERIOD_BROKER_VALUE","DEEP_MEASURE_ID_OVERRIDE",$C77,"DEEP_PERIOD_OVERRIDE",$H$19)*1,"")))</f>
        <v/>
      </c>
      <c r="J77" t="e">
        <f>IF(OR(J$23="",ISNA($B77)),"",IF(ISBLANK($B77),"",IFERROR(_xll.BDP(TICKER,"DEEP_MEASURE_PERIOD_BROKER_VALUE","DEEP_MEASURE_ID_OVERRIDE",$C77,"DEEP_BROKER_ID_OVERRIDE",J$24,"DEEP_PERIOD_OVERRIDE",$H$19)*1,"")))</f>
        <v>#REF!</v>
      </c>
      <c r="K77" s="17" t="str">
        <f>IF(OR(K$23="",ISNA($B77)),"",IF(ISBLANK($B77),"",IFERROR(_xll.BDP(TICKER,"DEEP_MEASURE_PERIOD_BROKER_VALUE","DEEP_MEASURE_ID_OVERRIDE",$C77,"DEEP_BROKER_ID_OVERRIDE",K$24,"DEEP_PERIOD_OVERRIDE",$H$19)*1,"")))</f>
        <v/>
      </c>
      <c r="L77" s="17" t="str">
        <f>IF(OR(L$23="",ISNA($B77)),"",IF(ISBLANK($B77),"",IFERROR(_xll.BDP(TICKER,"DEEP_MEASURE_PERIOD_BROKER_VALUE","DEEP_MEASURE_ID_OVERRIDE",$C77,"DEEP_BROKER_ID_OVERRIDE",L$24,"DEEP_PERIOD_OVERRIDE",$H$19)*1,"")))</f>
        <v/>
      </c>
      <c r="M77" s="17" t="str">
        <f>IF(OR(M$23="",ISNA($B77)),"",IF(ISBLANK($B77),"",IFERROR(_xll.BDP(TICKER,"DEEP_MEASURE_PERIOD_BROKER_VALUE","DEEP_MEASURE_ID_OVERRIDE",$C77,"DEEP_BROKER_ID_OVERRIDE",M$24,"DEEP_PERIOD_OVERRIDE",$H$19)*1,"")))</f>
        <v/>
      </c>
      <c r="N77" s="17" t="str">
        <f>IF(OR(N$23="",ISNA($B77)),"",IF(ISBLANK($B77),"",IFERROR(_xll.BDP(TICKER,"DEEP_MEASURE_PERIOD_BROKER_VALUE","DEEP_MEASURE_ID_OVERRIDE",$C77,"DEEP_BROKER_ID_OVERRIDE",N$24,"DEEP_PERIOD_OVERRIDE",$H$19)*1,"")))</f>
        <v/>
      </c>
      <c r="O77" s="17" t="str">
        <f>IF(OR(O$23="",ISNA($B77)),"",IF(ISBLANK($B77),"",IFERROR(_xll.BDP(TICKER,"DEEP_MEASURE_PERIOD_BROKER_VALUE","DEEP_MEASURE_ID_OVERRIDE",$C77,"DEEP_BROKER_ID_OVERRIDE",O$24,"DEEP_PERIOD_OVERRIDE",$H$19)*1,"")))</f>
        <v/>
      </c>
      <c r="P77" s="17" t="str">
        <f>IF(OR(P$23="",ISNA($B77)),"",IF(ISBLANK($B77),"",IFERROR(_xll.BDP(TICKER,"DEEP_MEASURE_PERIOD_BROKER_VALUE","DEEP_MEASURE_ID_OVERRIDE",$C77,"DEEP_BROKER_ID_OVERRIDE",P$24,"DEEP_PERIOD_OVERRIDE",$H$19)*1,"")))</f>
        <v/>
      </c>
      <c r="Q77" s="17" t="str">
        <f>IF(OR(Q$23="",ISNA($B77)),"",IF(ISBLANK($B77),"",IFERROR(_xll.BDP(TICKER,"DEEP_MEASURE_PERIOD_BROKER_VALUE","DEEP_MEASURE_ID_OVERRIDE",$C77,"DEEP_BROKER_ID_OVERRIDE",Q$24,"DEEP_PERIOD_OVERRIDE",$H$19)*1,"")))</f>
        <v/>
      </c>
      <c r="R77" s="17" t="str">
        <f>IF(OR(R$23="",ISNA($B77)),"",IF(ISBLANK($B77),"",IFERROR(_xll.BDP(TICKER,"DEEP_MEASURE_PERIOD_BROKER_VALUE","DEEP_MEASURE_ID_OVERRIDE",$C77,"DEEP_BROKER_ID_OVERRIDE",R$24,"DEEP_PERIOD_OVERRIDE",$H$19)*1,"")))</f>
        <v/>
      </c>
      <c r="S77" s="17" t="str">
        <f>IF(OR(S$23="",ISNA($B77)),"",IF(ISBLANK($B77),"",IFERROR(_xll.BDP(TICKER,"DEEP_MEASURE_PERIOD_BROKER_VALUE","DEEP_MEASURE_ID_OVERRIDE",$C77,"DEEP_BROKER_ID_OVERRIDE",S$24,"DEEP_PERIOD_OVERRIDE",$H$19)*1,"")))</f>
        <v/>
      </c>
      <c r="T77" s="17" t="str">
        <f>IF(OR(T$23="",ISNA($B77)),"",IF(ISBLANK($B77),"",IFERROR(_xll.BDP(TICKER,"DEEP_MEASURE_PERIOD_BROKER_VALUE","DEEP_MEASURE_ID_OVERRIDE",$C77,"DEEP_BROKER_ID_OVERRIDE",T$24,"DEEP_PERIOD_OVERRIDE",$H$19)*1,"")))</f>
        <v/>
      </c>
      <c r="U77" s="17" t="str">
        <f>IF(OR(U$23="",ISNA($B77)),"",IF(ISBLANK($B77),"",IFERROR(_xll.BDP(TICKER,"DEEP_MEASURE_PERIOD_BROKER_VALUE","DEEP_MEASURE_ID_OVERRIDE",$C77,"DEEP_BROKER_ID_OVERRIDE",U$24,"DEEP_PERIOD_OVERRIDE",$H$19)*1,"")))</f>
        <v/>
      </c>
      <c r="V77" s="17" t="str">
        <f>IF(OR(V$23="",ISNA($B77)),"",IF(ISBLANK($B77),"",IFERROR(_xll.BDP(TICKER,"DEEP_MEASURE_PERIOD_BROKER_VALUE","DEEP_MEASURE_ID_OVERRIDE",$C77,"DEEP_BROKER_ID_OVERRIDE",V$24,"DEEP_PERIOD_OVERRIDE",$H$19)*1,"")))</f>
        <v/>
      </c>
      <c r="W77" s="17" t="str">
        <f>IF(OR(W$23="",ISNA($B77)),"",IF(ISBLANK($B77),"",IFERROR(_xll.BDP(TICKER,"DEEP_MEASURE_PERIOD_BROKER_VALUE","DEEP_MEASURE_ID_OVERRIDE",$C77,"DEEP_BROKER_ID_OVERRIDE",W$24,"DEEP_PERIOD_OVERRIDE",$H$19)*1,"")))</f>
        <v/>
      </c>
      <c r="X77" s="17" t="str">
        <f>IF(OR(X$23="",ISNA($B77)),"",IF(ISBLANK($B77),"",IFERROR(_xll.BDP(TICKER,"DEEP_MEASURE_PERIOD_BROKER_VALUE","DEEP_MEASURE_ID_OVERRIDE",$C77,"DEEP_BROKER_ID_OVERRIDE",X$24,"DEEP_PERIOD_OVERRIDE",$H$19)*1,"")))</f>
        <v/>
      </c>
      <c r="Y77" s="17" t="str">
        <f>IF(OR(Y$23="",ISNA($B77)),"",IF(ISBLANK($B77),"",IFERROR(_xll.BDP(TICKER,"DEEP_MEASURE_PERIOD_BROKER_VALUE","DEEP_MEASURE_ID_OVERRIDE",$C77,"DEEP_BROKER_ID_OVERRIDE",Y$24,"DEEP_PERIOD_OVERRIDE",$H$19)*1,"")))</f>
        <v/>
      </c>
      <c r="Z77" s="17" t="str">
        <f>IF(OR(Z$23="",ISNA($B77)),"",IF(ISBLANK($B77),"",IFERROR(_xll.BDP(TICKER,"DEEP_MEASURE_PERIOD_BROKER_VALUE","DEEP_MEASURE_ID_OVERRIDE",$C77,"DEEP_BROKER_ID_OVERRIDE",Z$24,"DEEP_PERIOD_OVERRIDE",$H$19)*1,"")))</f>
        <v/>
      </c>
      <c r="AA77" s="17" t="str">
        <f>IF(OR(AA$23="",ISNA($B77)),"",IF(ISBLANK($B77),"",IFERROR(_xll.BDP(TICKER,"DEEP_MEASURE_PERIOD_BROKER_VALUE","DEEP_MEASURE_ID_OVERRIDE",$C77,"DEEP_BROKER_ID_OVERRIDE",AA$24,"DEEP_PERIOD_OVERRIDE",$H$19)*1,"")))</f>
        <v/>
      </c>
      <c r="AB77" s="17" t="str">
        <f>IF(OR(AB$23="",ISNA($B77)),"",IF(ISBLANK($B77),"",IFERROR(_xll.BDP(TICKER,"DEEP_MEASURE_PERIOD_BROKER_VALUE","DEEP_MEASURE_ID_OVERRIDE",$C77,"DEEP_BROKER_ID_OVERRIDE",AB$24,"DEEP_PERIOD_OVERRIDE",$H$19)*1,"")))</f>
        <v/>
      </c>
      <c r="AC77" s="17" t="str">
        <f>IF(OR(AC$23="",ISNA($B77)),"",IF(ISBLANK($B77),"",IFERROR(_xll.BDP(TICKER,"DEEP_MEASURE_PERIOD_BROKER_VALUE","DEEP_MEASURE_ID_OVERRIDE",$C77,"DEEP_BROKER_ID_OVERRIDE",AC$24,"DEEP_PERIOD_OVERRIDE",$H$19)*1,"")))</f>
        <v/>
      </c>
      <c r="AD77" s="17" t="str">
        <f>IF(OR(AD$23="",ISNA($B77)),"",IF(ISBLANK($B77),"",IFERROR(_xll.BDP(TICKER,"DEEP_MEASURE_PERIOD_BROKER_VALUE","DEEP_MEASURE_ID_OVERRIDE",$C77,"DEEP_BROKER_ID_OVERRIDE",AD$24,"DEEP_PERIOD_OVERRIDE",$H$19)*1,"")))</f>
        <v/>
      </c>
      <c r="AE77" s="17" t="str">
        <f>IF(OR(AE$23="",ISNA($B77)),"",IF(ISBLANK($B77),"",IFERROR(_xll.BDP(TICKER,"DEEP_MEASURE_PERIOD_BROKER_VALUE","DEEP_MEASURE_ID_OVERRIDE",$C77,"DEEP_BROKER_ID_OVERRIDE",AE$24,"DEEP_PERIOD_OVERRIDE",$H$19)*1,"")))</f>
        <v/>
      </c>
      <c r="AF77" s="17" t="str">
        <f>IF(OR(AF$23="",ISNA($B77)),"",IF(ISBLANK($B77),"",IFERROR(_xll.BDP(TICKER,"DEEP_MEASURE_PERIOD_BROKER_VALUE","DEEP_MEASURE_ID_OVERRIDE",$C77,"DEEP_BROKER_ID_OVERRIDE",AF$24,"DEEP_PERIOD_OVERRIDE",$H$19)*1,"")))</f>
        <v/>
      </c>
      <c r="AG77" s="17" t="str">
        <f>IF(OR(AG$23="",ISNA($B77)),"",IF(ISBLANK($B77),"",IFERROR(_xll.BDP(TICKER,"DEEP_MEASURE_PERIOD_BROKER_VALUE","DEEP_MEASURE_ID_OVERRIDE",$C77,"DEEP_BROKER_ID_OVERRIDE",AG$24,"DEEP_PERIOD_OVERRIDE",$H$19)*1,"")))</f>
        <v/>
      </c>
      <c r="AH77" s="17" t="str">
        <f>IF(OR(AH$23="",ISNA($B77)),"",IF(ISBLANK($B77),"",IFERROR(_xll.BDP(TICKER,"DEEP_MEASURE_PERIOD_BROKER_VALUE","DEEP_MEASURE_ID_OVERRIDE",$C77,"DEEP_BROKER_ID_OVERRIDE",AH$24,"DEEP_PERIOD_OVERRIDE",$H$19)*1,"")))</f>
        <v/>
      </c>
      <c r="AI77" s="17" t="str">
        <f>IF(OR(AI$23="",ISNA($B77)),"",IF(ISBLANK($B77),"",IFERROR(_xll.BDP(TICKER,"DEEP_MEASURE_PERIOD_BROKER_VALUE","DEEP_MEASURE_ID_OVERRIDE",$C77,"DEEP_BROKER_ID_OVERRIDE",AI$24,"DEEP_PERIOD_OVERRIDE",$H$19)*1,"")))</f>
        <v/>
      </c>
      <c r="AJ77" s="17" t="str">
        <f>IF(OR(AJ$23="",ISNA($B77)),"",IF(ISBLANK($B77),"",IFERROR(_xll.BDP(TICKER,"DEEP_MEASURE_PERIOD_BROKER_VALUE","DEEP_MEASURE_ID_OVERRIDE",$C77,"DEEP_BROKER_ID_OVERRIDE",AJ$24,"DEEP_PERIOD_OVERRIDE",$H$19)*1,"")))</f>
        <v/>
      </c>
      <c r="AK77" s="17" t="str">
        <f>IF(OR(AK$23="",ISNA($B77)),"",IF(ISBLANK($B77),"",IFERROR(_xll.BDP(TICKER,"DEEP_MEASURE_PERIOD_BROKER_VALUE","DEEP_MEASURE_ID_OVERRIDE",$C77,"DEEP_BROKER_ID_OVERRIDE",AK$24,"DEEP_PERIOD_OVERRIDE",$H$19)*1,"")))</f>
        <v/>
      </c>
      <c r="AL77" s="17" t="str">
        <f>IF(OR(AL$23="",ISNA($B77)),"",IF(ISBLANK($B77),"",IFERROR(_xll.BDP(TICKER,"DEEP_MEASURE_PERIOD_BROKER_VALUE","DEEP_MEASURE_ID_OVERRIDE",$C77,"DEEP_BROKER_ID_OVERRIDE",AL$24,"DEEP_PERIOD_OVERRIDE",$H$19)*1,"")))</f>
        <v/>
      </c>
      <c r="AM77" s="17" t="str">
        <f>IF(OR(AM$23="",ISNA($B77)),"",IF(ISBLANK($B77),"",IFERROR(_xll.BDP(TICKER,"DEEP_MEASURE_PERIOD_BROKER_VALUE","DEEP_MEASURE_ID_OVERRIDE",$C77,"DEEP_BROKER_ID_OVERRIDE",AM$24,"DEEP_PERIOD_OVERRIDE",$H$19)*1,"")))</f>
        <v/>
      </c>
      <c r="AN77" s="17" t="str">
        <f>IF(OR(AN$23="",ISNA($B77)),"",IF(ISBLANK($B77),"",IFERROR(_xll.BDP(TICKER,"DEEP_MEASURE_PERIOD_BROKER_VALUE","DEEP_MEASURE_ID_OVERRIDE",$C77,"DEEP_BROKER_ID_OVERRIDE",AN$24,"DEEP_PERIOD_OVERRIDE",$H$19)*1,"")))</f>
        <v/>
      </c>
      <c r="AO77" s="17" t="str">
        <f>IF(OR(AO$23="",ISNA($B77)),"",IF(ISBLANK($B77),"",IFERROR(_xll.BDP(TICKER,"DEEP_MEASURE_PERIOD_BROKER_VALUE","DEEP_MEASURE_ID_OVERRIDE",$C77,"DEEP_BROKER_ID_OVERRIDE",AO$24,"DEEP_PERIOD_OVERRIDE",$H$19)*1,"")))</f>
        <v/>
      </c>
      <c r="AP77" s="17" t="str">
        <f>IF(OR(AP$23="",ISNA($B77)),"",IF(ISBLANK($B77),"",IFERROR(_xll.BDP(TICKER,"DEEP_MEASURE_PERIOD_BROKER_VALUE","DEEP_MEASURE_ID_OVERRIDE",$C77,"DEEP_BROKER_ID_OVERRIDE",AP$24,"DEEP_PERIOD_OVERRIDE",$H$19)*1,"")))</f>
        <v/>
      </c>
      <c r="AQ77" s="17" t="str">
        <f>IF(OR(AQ$23="",ISNA($B77)),"",IF(ISBLANK($B77),"",IFERROR(_xll.BDP(TICKER,"DEEP_MEASURE_PERIOD_BROKER_VALUE","DEEP_MEASURE_ID_OVERRIDE",$C77,"DEEP_BROKER_ID_OVERRIDE",AQ$24,"DEEP_PERIOD_OVERRIDE",$H$19)*1,"")))</f>
        <v/>
      </c>
      <c r="AR77" s="17" t="str">
        <f>IF(OR(AR$23="",ISNA($B77)),"",IF(ISBLANK($B77),"",IFERROR(_xll.BDP(TICKER,"DEEP_MEASURE_PERIOD_BROKER_VALUE","DEEP_MEASURE_ID_OVERRIDE",$C77,"DEEP_BROKER_ID_OVERRIDE",AR$24,"DEEP_PERIOD_OVERRIDE",$H$19)*1,"")))</f>
        <v/>
      </c>
      <c r="AS77" s="17" t="str">
        <f>IF(OR(AS$23="",ISNA($B77)),"",IF(ISBLANK($B77),"",IFERROR(_xll.BDP(TICKER,"DEEP_MEASURE_PERIOD_BROKER_VALUE","DEEP_MEASURE_ID_OVERRIDE",$C77,"DEEP_BROKER_ID_OVERRIDE",AS$24,"DEEP_PERIOD_OVERRIDE",$H$19)*1,"")))</f>
        <v/>
      </c>
      <c r="AT77" s="17" t="str">
        <f>IF(OR(AT$23="",ISNA($B77)),"",IF(ISBLANK($B77),"",IFERROR(_xll.BDP(TICKER,"DEEP_MEASURE_PERIOD_BROKER_VALUE","DEEP_MEASURE_ID_OVERRIDE",$C77,"DEEP_BROKER_ID_OVERRIDE",AT$24,"DEEP_PERIOD_OVERRIDE",$H$19)*1,"")))</f>
        <v/>
      </c>
      <c r="AU77" s="17" t="str">
        <f>IF(OR(AU$23="",ISNA($B77)),"",IF(ISBLANK($B77),"",IFERROR(_xll.BDP(TICKER,"DEEP_MEASURE_PERIOD_BROKER_VALUE","DEEP_MEASURE_ID_OVERRIDE",$C77,"DEEP_BROKER_ID_OVERRIDE",AU$24,"DEEP_PERIOD_OVERRIDE",$H$19)*1,"")))</f>
        <v/>
      </c>
      <c r="AV77" s="17" t="str">
        <f>IF(OR(AV$23="",ISNA($B77)),"",IF(ISBLANK($B77),"",IFERROR(_xll.BDP(TICKER,"DEEP_MEASURE_PERIOD_BROKER_VALUE","DEEP_MEASURE_ID_OVERRIDE",$C77,"DEEP_BROKER_ID_OVERRIDE",AV$24,"DEEP_PERIOD_OVERRIDE",$H$19)*1,"")))</f>
        <v/>
      </c>
      <c r="AW77" s="17" t="str">
        <f>IF(OR(AW$23="",ISNA($B77)),"",IF(ISBLANK($B77),"",IFERROR(_xll.BDP(TICKER,"DEEP_MEASURE_PERIOD_BROKER_VALUE","DEEP_MEASURE_ID_OVERRIDE",$C77,"DEEP_BROKER_ID_OVERRIDE",AW$24,"DEEP_PERIOD_OVERRIDE",$H$19)*1,"")))</f>
        <v/>
      </c>
      <c r="AX77" s="17" t="str">
        <f>IF(OR(AX$23="",ISNA($B77)),"",IF(ISBLANK($B77),"",IFERROR(_xll.BDP(TICKER,"DEEP_MEASURE_PERIOD_BROKER_VALUE","DEEP_MEASURE_ID_OVERRIDE",$C77,"DEEP_BROKER_ID_OVERRIDE",AX$24,"DEEP_PERIOD_OVERRIDE",$H$19)*1,"")))</f>
        <v/>
      </c>
      <c r="AY77" s="17" t="str">
        <f>IF(OR(AY$23="",ISNA($B77)),"",IF(ISBLANK($B77),"",IFERROR(_xll.BDP(TICKER,"DEEP_MEASURE_PERIOD_BROKER_VALUE","DEEP_MEASURE_ID_OVERRIDE",$C77,"DEEP_BROKER_ID_OVERRIDE",AY$24,"DEEP_PERIOD_OVERRIDE",$H$19)*1,"")))</f>
        <v/>
      </c>
      <c r="AZ77" s="17" t="str">
        <f>IF(OR(AZ$23="",ISNA($B77)),"",IF(ISBLANK($B77),"",IFERROR(_xll.BDP(TICKER,"DEEP_MEASURE_PERIOD_BROKER_VALUE","DEEP_MEASURE_ID_OVERRIDE",$C77,"DEEP_BROKER_ID_OVERRIDE",AZ$24,"DEEP_PERIOD_OVERRIDE",$H$19)*1,"")))</f>
        <v/>
      </c>
      <c r="BA77" s="17" t="str">
        <f>IF(OR(BA$23="",ISNA($B77)),"",IF(ISBLANK($B77),"",IFERROR(_xll.BDP(TICKER,"DEEP_MEASURE_PERIOD_BROKER_VALUE","DEEP_MEASURE_ID_OVERRIDE",$C77,"DEEP_BROKER_ID_OVERRIDE",BA$24,"DEEP_PERIOD_OVERRIDE",$H$19)*1,"")))</f>
        <v/>
      </c>
      <c r="BB77" s="17" t="str">
        <f>IF(OR(BB$23="",ISNA($B77)),"",IF(ISBLANK($B77),"",IFERROR(_xll.BDP(TICKER,"DEEP_MEASURE_PERIOD_BROKER_VALUE","DEEP_MEASURE_ID_OVERRIDE",$C77,"DEEP_BROKER_ID_OVERRIDE",BB$24,"DEEP_PERIOD_OVERRIDE",$H$19)*1,"")))</f>
        <v/>
      </c>
      <c r="BC77" s="17" t="str">
        <f>IF(OR(BC$23="",ISNA($B77)),"",IF(ISBLANK($B77),"",IFERROR(_xll.BDP(TICKER,"DEEP_MEASURE_PERIOD_BROKER_VALUE","DEEP_MEASURE_ID_OVERRIDE",$C77,"DEEP_BROKER_ID_OVERRIDE",BC$24,"DEEP_PERIOD_OVERRIDE",$H$19)*1,"")))</f>
        <v/>
      </c>
      <c r="BD77" s="17" t="str">
        <f>IF(OR(BD$23="",ISNA($B77)),"",IF(ISBLANK($B77),"",IFERROR(_xll.BDP(TICKER,"DEEP_MEASURE_PERIOD_BROKER_VALUE","DEEP_MEASURE_ID_OVERRIDE",$C77,"DEEP_BROKER_ID_OVERRIDE",BD$24,"DEEP_PERIOD_OVERRIDE",$H$19)*1,"")))</f>
        <v/>
      </c>
      <c r="BE77" s="17" t="str">
        <f>IF(OR(BE$23="",ISNA($B77)),"",IF(ISBLANK($B77),"",IFERROR(_xll.BDP(TICKER,"DEEP_MEASURE_PERIOD_BROKER_VALUE","DEEP_MEASURE_ID_OVERRIDE",$C77,"DEEP_BROKER_ID_OVERRIDE",BE$24,"DEEP_PERIOD_OVERRIDE",$H$19)*1,"")))</f>
        <v/>
      </c>
      <c r="BF77" s="17" t="str">
        <f>IF(OR(BF$23="",ISNA($B77)),"",IF(ISBLANK($B77),"",IFERROR(_xll.BDP(TICKER,"DEEP_MEASURE_PERIOD_BROKER_VALUE","DEEP_MEASURE_ID_OVERRIDE",$C77,"DEEP_BROKER_ID_OVERRIDE",BF$24,"DEEP_PERIOD_OVERRIDE",$H$19)*1,"")))</f>
        <v/>
      </c>
      <c r="BG77" s="17" t="str">
        <f>IF(OR(BG$23="",ISNA($B77)),"",IF(ISBLANK($B77),"",IFERROR(_xll.BDP(TICKER,"DEEP_MEASURE_PERIOD_BROKER_VALUE","DEEP_MEASURE_ID_OVERRIDE",$C77,"DEEP_BROKER_ID_OVERRIDE",BG$24,"DEEP_PERIOD_OVERRIDE",$H$19)*1,"")))</f>
        <v/>
      </c>
      <c r="BH77" s="17" t="str">
        <f>IF(OR(BH$23="",ISNA($B77)),"",IF(ISBLANK($B77),"",IFERROR(_xll.BDP(TICKER,"DEEP_MEASURE_PERIOD_BROKER_VALUE","DEEP_MEASURE_ID_OVERRIDE",$C77,"DEEP_BROKER_ID_OVERRIDE",BH$24,"DEEP_PERIOD_OVERRIDE",$H$19)*1,"")))</f>
        <v/>
      </c>
      <c r="BI77" s="17" t="str">
        <f>IF(OR(BI$23="",ISNA($B77)),"",IF(ISBLANK($B77),"",IFERROR(_xll.BDP(TICKER,"DEEP_MEASURE_PERIOD_BROKER_VALUE","DEEP_MEASURE_ID_OVERRIDE",$C77,"DEEP_BROKER_ID_OVERRIDE",BI$24,"DEEP_PERIOD_OVERRIDE",$H$19)*1,"")))</f>
        <v/>
      </c>
      <c r="BJ77" s="17" t="str">
        <f>IF(OR(BJ$23="",ISNA($B77)),"",IF(ISBLANK($B77),"",IFERROR(_xll.BDP(TICKER,"DEEP_MEASURE_PERIOD_BROKER_VALUE","DEEP_MEASURE_ID_OVERRIDE",$C77,"DEEP_BROKER_ID_OVERRIDE",BJ$24,"DEEP_PERIOD_OVERRIDE",$H$19)*1,"")))</f>
        <v/>
      </c>
      <c r="BK77" s="17" t="str">
        <f>IF(OR(BK$23="",ISNA($B77)),"",IF(ISBLANK($B77),"",IFERROR(_xll.BDP(TICKER,"DEEP_MEASURE_PERIOD_BROKER_VALUE","DEEP_MEASURE_ID_OVERRIDE",$C77,"DEEP_BROKER_ID_OVERRIDE",BK$24,"DEEP_PERIOD_OVERRIDE",$H$19)*1,"")))</f>
        <v/>
      </c>
      <c r="BL77" s="17" t="str">
        <f>IF(OR(BL$23="",ISNA($B77)),"",IF(ISBLANK($B77),"",IFERROR(_xll.BDP(TICKER,"DEEP_MEASURE_PERIOD_BROKER_VALUE","DEEP_MEASURE_ID_OVERRIDE",$C77,"DEEP_BROKER_ID_OVERRIDE",BL$24,"DEEP_PERIOD_OVERRIDE",$H$19)*1,"")))</f>
        <v/>
      </c>
      <c r="BM77" s="17" t="str">
        <f>IF(OR(BM$23="",ISNA($B77)),"",IF(ISBLANK($B77),"",IFERROR(_xll.BDP(TICKER,"DEEP_MEASURE_PERIOD_BROKER_VALUE","DEEP_MEASURE_ID_OVERRIDE",$C77,"DEEP_BROKER_ID_OVERRIDE",BM$24,"DEEP_PERIOD_OVERRIDE",$H$19)*1,"")))</f>
        <v/>
      </c>
      <c r="BN77" s="17" t="str">
        <f>IF(OR(BN$23="",ISNA($B77)),"",IF(ISBLANK($B77),"",IFERROR(_xll.BDP(TICKER,"DEEP_MEASURE_PERIOD_BROKER_VALUE","DEEP_MEASURE_ID_OVERRIDE",$C77,"DEEP_BROKER_ID_OVERRIDE",BN$24,"DEEP_PERIOD_OVERRIDE",$H$19)*1,"")))</f>
        <v/>
      </c>
      <c r="BO77" s="17" t="str">
        <f>IF(OR(BO$23="",ISNA($B77)),"",IF(ISBLANK($B77),"",IFERROR(_xll.BDP(TICKER,"DEEP_MEASURE_PERIOD_BROKER_VALUE","DEEP_MEASURE_ID_OVERRIDE",$C77,"DEEP_BROKER_ID_OVERRIDE",BO$24,"DEEP_PERIOD_OVERRIDE",$H$19)*1,"")))</f>
        <v/>
      </c>
      <c r="BP77" s="17" t="str">
        <f>IF(OR(BP$23="",ISNA($B77)),"",IF(ISBLANK($B77),"",IFERROR(_xll.BDP(TICKER,"DEEP_MEASURE_PERIOD_BROKER_VALUE","DEEP_MEASURE_ID_OVERRIDE",$C77,"DEEP_BROKER_ID_OVERRIDE",BP$24,"DEEP_PERIOD_OVERRIDE",$H$19)*1,"")))</f>
        <v/>
      </c>
      <c r="BQ77" s="17" t="str">
        <f>IF(OR(BQ$23="",ISNA($B77)),"",IF(ISBLANK($B77),"",IFERROR(_xll.BDP(TICKER,"DEEP_MEASURE_PERIOD_BROKER_VALUE","DEEP_MEASURE_ID_OVERRIDE",$C77,"DEEP_BROKER_ID_OVERRIDE",BQ$24,"DEEP_PERIOD_OVERRIDE",$H$19)*1,"")))</f>
        <v/>
      </c>
      <c r="BR77" s="17" t="str">
        <f>IF(OR(BR$23="",ISNA($B77)),"",IF(ISBLANK($B77),"",IFERROR(_xll.BDP(TICKER,"DEEP_MEASURE_PERIOD_BROKER_VALUE","DEEP_MEASURE_ID_OVERRIDE",$C77,"DEEP_BROKER_ID_OVERRIDE",BR$24,"DEEP_PERIOD_OVERRIDE",$H$19)*1,"")))</f>
        <v/>
      </c>
      <c r="BS77" s="17" t="str">
        <f>IF(OR(BS$23="",ISNA($B77)),"",IF(ISBLANK($B77),"",IFERROR(_xll.BDP(TICKER,"DEEP_MEASURE_PERIOD_BROKER_VALUE","DEEP_MEASURE_ID_OVERRIDE",$C77,"DEEP_BROKER_ID_OVERRIDE",BS$24,"DEEP_PERIOD_OVERRIDE",$H$19)*1,"")))</f>
        <v/>
      </c>
      <c r="BT77" s="17" t="str">
        <f>IF(OR(BT$23="",ISNA($B77)),"",IF(ISBLANK($B77),"",IFERROR(_xll.BDP(TICKER,"DEEP_MEASURE_PERIOD_BROKER_VALUE","DEEP_MEASURE_ID_OVERRIDE",$C77,"DEEP_BROKER_ID_OVERRIDE",BT$24,"DEEP_PERIOD_OVERRIDE",$H$19)*1,"")))</f>
        <v/>
      </c>
      <c r="BU77" s="17" t="str">
        <f>IF(OR(BU$23="",ISNA($B77)),"",IF(ISBLANK($B77),"",IFERROR(_xll.BDP(TICKER,"DEEP_MEASURE_PERIOD_BROKER_VALUE","DEEP_MEASURE_ID_OVERRIDE",$C77,"DEEP_BROKER_ID_OVERRIDE",BU$24,"DEEP_PERIOD_OVERRIDE",$H$19)*1,"")))</f>
        <v/>
      </c>
      <c r="BV77" s="17" t="str">
        <f>IF(OR(BV$23="",ISNA($B77)),"",IF(ISBLANK($B77),"",IFERROR(_xll.BDP(TICKER,"DEEP_MEASURE_PERIOD_BROKER_VALUE","DEEP_MEASURE_ID_OVERRIDE",$C77,"DEEP_BROKER_ID_OVERRIDE",BV$24,"DEEP_PERIOD_OVERRIDE",$H$19)*1,"")))</f>
        <v/>
      </c>
      <c r="BW77" s="17" t="str">
        <f>IF(OR(BW$23="",ISNA($B77)),"",IF(ISBLANK($B77),"",IFERROR(_xll.BDP(TICKER,"DEEP_MEASURE_PERIOD_BROKER_VALUE","DEEP_MEASURE_ID_OVERRIDE",$C77,"DEEP_BROKER_ID_OVERRIDE",BW$24,"DEEP_PERIOD_OVERRIDE",$H$19)*1,"")))</f>
        <v/>
      </c>
      <c r="BX77" s="17" t="str">
        <f>IF(OR(BX$23="",ISNA($B77)),"",IF(ISBLANK($B77),"",IFERROR(_xll.BDP(TICKER,"DEEP_MEASURE_PERIOD_BROKER_VALUE","DEEP_MEASURE_ID_OVERRIDE",$C77,"DEEP_BROKER_ID_OVERRIDE",BX$24,"DEEP_PERIOD_OVERRIDE",$H$19)*1,"")))</f>
        <v/>
      </c>
      <c r="BY77" s="17" t="str">
        <f>IF(OR(BY$23="",ISNA($B77)),"",IF(ISBLANK($B77),"",IFERROR(_xll.BDP(TICKER,"DEEP_MEASURE_PERIOD_BROKER_VALUE","DEEP_MEASURE_ID_OVERRIDE",$C77,"DEEP_BROKER_ID_OVERRIDE",BY$24,"DEEP_PERIOD_OVERRIDE",$H$19)*1,"")))</f>
        <v/>
      </c>
      <c r="BZ77" s="17" t="str">
        <f>IF(OR(BZ$23="",ISNA($B77)),"",IF(ISBLANK($B77),"",IFERROR(_xll.BDP(TICKER,"DEEP_MEASURE_PERIOD_BROKER_VALUE","DEEP_MEASURE_ID_OVERRIDE",$C77,"DEEP_BROKER_ID_OVERRIDE",BZ$24,"DEEP_PERIOD_OVERRIDE",$H$19)*1,"")))</f>
        <v/>
      </c>
    </row>
    <row r="78" spans="2:78" x14ac:dyDescent="0.25">
      <c r="B78" t="s">
        <v>122</v>
      </c>
      <c r="C78">
        <v>133</v>
      </c>
      <c r="H78" t="str">
        <f t="shared" si="1"/>
        <v>Total Revenue &gt; Non-Hotel &gt; Revenue &gt; As % of Revenue</v>
      </c>
      <c r="I78" t="str">
        <f>IF(OR(I$23="",ISNA($B78)),"",IF(ISBLANK($B78),"",IFERROR(_xll.BDP(TICKER,"DEEP_MEASURE_PERIOD_BROKER_VALUE","DEEP_MEASURE_ID_OVERRIDE",$C78,"DEEP_PERIOD_OVERRIDE",$H$19)*1,"")))</f>
        <v/>
      </c>
      <c r="J78" t="e">
        <f>IF(OR(J$23="",ISNA($B78)),"",IF(ISBLANK($B78),"",IFERROR(_xll.BDP(TICKER,"DEEP_MEASURE_PERIOD_BROKER_VALUE","DEEP_MEASURE_ID_OVERRIDE",$C78,"DEEP_BROKER_ID_OVERRIDE",J$24,"DEEP_PERIOD_OVERRIDE",$H$19)*1,"")))</f>
        <v>#REF!</v>
      </c>
      <c r="K78" s="17" t="str">
        <f>IF(OR(K$23="",ISNA($B78)),"",IF(ISBLANK($B78),"",IFERROR(_xll.BDP(TICKER,"DEEP_MEASURE_PERIOD_BROKER_VALUE","DEEP_MEASURE_ID_OVERRIDE",$C78,"DEEP_BROKER_ID_OVERRIDE",K$24,"DEEP_PERIOD_OVERRIDE",$H$19)*1,"")))</f>
        <v/>
      </c>
      <c r="L78" s="17" t="str">
        <f>IF(OR(L$23="",ISNA($B78)),"",IF(ISBLANK($B78),"",IFERROR(_xll.BDP(TICKER,"DEEP_MEASURE_PERIOD_BROKER_VALUE","DEEP_MEASURE_ID_OVERRIDE",$C78,"DEEP_BROKER_ID_OVERRIDE",L$24,"DEEP_PERIOD_OVERRIDE",$H$19)*1,"")))</f>
        <v/>
      </c>
      <c r="M78" s="17" t="str">
        <f>IF(OR(M$23="",ISNA($B78)),"",IF(ISBLANK($B78),"",IFERROR(_xll.BDP(TICKER,"DEEP_MEASURE_PERIOD_BROKER_VALUE","DEEP_MEASURE_ID_OVERRIDE",$C78,"DEEP_BROKER_ID_OVERRIDE",M$24,"DEEP_PERIOD_OVERRIDE",$H$19)*1,"")))</f>
        <v/>
      </c>
      <c r="N78" s="17" t="str">
        <f>IF(OR(N$23="",ISNA($B78)),"",IF(ISBLANK($B78),"",IFERROR(_xll.BDP(TICKER,"DEEP_MEASURE_PERIOD_BROKER_VALUE","DEEP_MEASURE_ID_OVERRIDE",$C78,"DEEP_BROKER_ID_OVERRIDE",N$24,"DEEP_PERIOD_OVERRIDE",$H$19)*1,"")))</f>
        <v/>
      </c>
      <c r="O78" s="17" t="str">
        <f>IF(OR(O$23="",ISNA($B78)),"",IF(ISBLANK($B78),"",IFERROR(_xll.BDP(TICKER,"DEEP_MEASURE_PERIOD_BROKER_VALUE","DEEP_MEASURE_ID_OVERRIDE",$C78,"DEEP_BROKER_ID_OVERRIDE",O$24,"DEEP_PERIOD_OVERRIDE",$H$19)*1,"")))</f>
        <v/>
      </c>
      <c r="P78" s="17" t="str">
        <f>IF(OR(P$23="",ISNA($B78)),"",IF(ISBLANK($B78),"",IFERROR(_xll.BDP(TICKER,"DEEP_MEASURE_PERIOD_BROKER_VALUE","DEEP_MEASURE_ID_OVERRIDE",$C78,"DEEP_BROKER_ID_OVERRIDE",P$24,"DEEP_PERIOD_OVERRIDE",$H$19)*1,"")))</f>
        <v/>
      </c>
      <c r="Q78" s="17" t="str">
        <f>IF(OR(Q$23="",ISNA($B78)),"",IF(ISBLANK($B78),"",IFERROR(_xll.BDP(TICKER,"DEEP_MEASURE_PERIOD_BROKER_VALUE","DEEP_MEASURE_ID_OVERRIDE",$C78,"DEEP_BROKER_ID_OVERRIDE",Q$24,"DEEP_PERIOD_OVERRIDE",$H$19)*1,"")))</f>
        <v/>
      </c>
      <c r="R78" s="17" t="str">
        <f>IF(OR(R$23="",ISNA($B78)),"",IF(ISBLANK($B78),"",IFERROR(_xll.BDP(TICKER,"DEEP_MEASURE_PERIOD_BROKER_VALUE","DEEP_MEASURE_ID_OVERRIDE",$C78,"DEEP_BROKER_ID_OVERRIDE",R$24,"DEEP_PERIOD_OVERRIDE",$H$19)*1,"")))</f>
        <v/>
      </c>
      <c r="S78" s="17" t="str">
        <f>IF(OR(S$23="",ISNA($B78)),"",IF(ISBLANK($B78),"",IFERROR(_xll.BDP(TICKER,"DEEP_MEASURE_PERIOD_BROKER_VALUE","DEEP_MEASURE_ID_OVERRIDE",$C78,"DEEP_BROKER_ID_OVERRIDE",S$24,"DEEP_PERIOD_OVERRIDE",$H$19)*1,"")))</f>
        <v/>
      </c>
      <c r="T78" s="17" t="str">
        <f>IF(OR(T$23="",ISNA($B78)),"",IF(ISBLANK($B78),"",IFERROR(_xll.BDP(TICKER,"DEEP_MEASURE_PERIOD_BROKER_VALUE","DEEP_MEASURE_ID_OVERRIDE",$C78,"DEEP_BROKER_ID_OVERRIDE",T$24,"DEEP_PERIOD_OVERRIDE",$H$19)*1,"")))</f>
        <v/>
      </c>
      <c r="U78" s="17" t="str">
        <f>IF(OR(U$23="",ISNA($B78)),"",IF(ISBLANK($B78),"",IFERROR(_xll.BDP(TICKER,"DEEP_MEASURE_PERIOD_BROKER_VALUE","DEEP_MEASURE_ID_OVERRIDE",$C78,"DEEP_BROKER_ID_OVERRIDE",U$24,"DEEP_PERIOD_OVERRIDE",$H$19)*1,"")))</f>
        <v/>
      </c>
      <c r="V78" s="17" t="str">
        <f>IF(OR(V$23="",ISNA($B78)),"",IF(ISBLANK($B78),"",IFERROR(_xll.BDP(TICKER,"DEEP_MEASURE_PERIOD_BROKER_VALUE","DEEP_MEASURE_ID_OVERRIDE",$C78,"DEEP_BROKER_ID_OVERRIDE",V$24,"DEEP_PERIOD_OVERRIDE",$H$19)*1,"")))</f>
        <v/>
      </c>
      <c r="W78" s="17" t="str">
        <f>IF(OR(W$23="",ISNA($B78)),"",IF(ISBLANK($B78),"",IFERROR(_xll.BDP(TICKER,"DEEP_MEASURE_PERIOD_BROKER_VALUE","DEEP_MEASURE_ID_OVERRIDE",$C78,"DEEP_BROKER_ID_OVERRIDE",W$24,"DEEP_PERIOD_OVERRIDE",$H$19)*1,"")))</f>
        <v/>
      </c>
      <c r="X78" s="17" t="str">
        <f>IF(OR(X$23="",ISNA($B78)),"",IF(ISBLANK($B78),"",IFERROR(_xll.BDP(TICKER,"DEEP_MEASURE_PERIOD_BROKER_VALUE","DEEP_MEASURE_ID_OVERRIDE",$C78,"DEEP_BROKER_ID_OVERRIDE",X$24,"DEEP_PERIOD_OVERRIDE",$H$19)*1,"")))</f>
        <v/>
      </c>
      <c r="Y78" s="17" t="str">
        <f>IF(OR(Y$23="",ISNA($B78)),"",IF(ISBLANK($B78),"",IFERROR(_xll.BDP(TICKER,"DEEP_MEASURE_PERIOD_BROKER_VALUE","DEEP_MEASURE_ID_OVERRIDE",$C78,"DEEP_BROKER_ID_OVERRIDE",Y$24,"DEEP_PERIOD_OVERRIDE",$H$19)*1,"")))</f>
        <v/>
      </c>
      <c r="Z78" s="17" t="str">
        <f>IF(OR(Z$23="",ISNA($B78)),"",IF(ISBLANK($B78),"",IFERROR(_xll.BDP(TICKER,"DEEP_MEASURE_PERIOD_BROKER_VALUE","DEEP_MEASURE_ID_OVERRIDE",$C78,"DEEP_BROKER_ID_OVERRIDE",Z$24,"DEEP_PERIOD_OVERRIDE",$H$19)*1,"")))</f>
        <v/>
      </c>
      <c r="AA78" s="17" t="str">
        <f>IF(OR(AA$23="",ISNA($B78)),"",IF(ISBLANK($B78),"",IFERROR(_xll.BDP(TICKER,"DEEP_MEASURE_PERIOD_BROKER_VALUE","DEEP_MEASURE_ID_OVERRIDE",$C78,"DEEP_BROKER_ID_OVERRIDE",AA$24,"DEEP_PERIOD_OVERRIDE",$H$19)*1,"")))</f>
        <v/>
      </c>
      <c r="AB78" s="17" t="str">
        <f>IF(OR(AB$23="",ISNA($B78)),"",IF(ISBLANK($B78),"",IFERROR(_xll.BDP(TICKER,"DEEP_MEASURE_PERIOD_BROKER_VALUE","DEEP_MEASURE_ID_OVERRIDE",$C78,"DEEP_BROKER_ID_OVERRIDE",AB$24,"DEEP_PERIOD_OVERRIDE",$H$19)*1,"")))</f>
        <v/>
      </c>
      <c r="AC78" s="17" t="str">
        <f>IF(OR(AC$23="",ISNA($B78)),"",IF(ISBLANK($B78),"",IFERROR(_xll.BDP(TICKER,"DEEP_MEASURE_PERIOD_BROKER_VALUE","DEEP_MEASURE_ID_OVERRIDE",$C78,"DEEP_BROKER_ID_OVERRIDE",AC$24,"DEEP_PERIOD_OVERRIDE",$H$19)*1,"")))</f>
        <v/>
      </c>
      <c r="AD78" s="17" t="str">
        <f>IF(OR(AD$23="",ISNA($B78)),"",IF(ISBLANK($B78),"",IFERROR(_xll.BDP(TICKER,"DEEP_MEASURE_PERIOD_BROKER_VALUE","DEEP_MEASURE_ID_OVERRIDE",$C78,"DEEP_BROKER_ID_OVERRIDE",AD$24,"DEEP_PERIOD_OVERRIDE",$H$19)*1,"")))</f>
        <v/>
      </c>
      <c r="AE78" s="17" t="str">
        <f>IF(OR(AE$23="",ISNA($B78)),"",IF(ISBLANK($B78),"",IFERROR(_xll.BDP(TICKER,"DEEP_MEASURE_PERIOD_BROKER_VALUE","DEEP_MEASURE_ID_OVERRIDE",$C78,"DEEP_BROKER_ID_OVERRIDE",AE$24,"DEEP_PERIOD_OVERRIDE",$H$19)*1,"")))</f>
        <v/>
      </c>
      <c r="AF78" s="17" t="str">
        <f>IF(OR(AF$23="",ISNA($B78)),"",IF(ISBLANK($B78),"",IFERROR(_xll.BDP(TICKER,"DEEP_MEASURE_PERIOD_BROKER_VALUE","DEEP_MEASURE_ID_OVERRIDE",$C78,"DEEP_BROKER_ID_OVERRIDE",AF$24,"DEEP_PERIOD_OVERRIDE",$H$19)*1,"")))</f>
        <v/>
      </c>
      <c r="AG78" s="17" t="str">
        <f>IF(OR(AG$23="",ISNA($B78)),"",IF(ISBLANK($B78),"",IFERROR(_xll.BDP(TICKER,"DEEP_MEASURE_PERIOD_BROKER_VALUE","DEEP_MEASURE_ID_OVERRIDE",$C78,"DEEP_BROKER_ID_OVERRIDE",AG$24,"DEEP_PERIOD_OVERRIDE",$H$19)*1,"")))</f>
        <v/>
      </c>
      <c r="AH78" s="17" t="str">
        <f>IF(OR(AH$23="",ISNA($B78)),"",IF(ISBLANK($B78),"",IFERROR(_xll.BDP(TICKER,"DEEP_MEASURE_PERIOD_BROKER_VALUE","DEEP_MEASURE_ID_OVERRIDE",$C78,"DEEP_BROKER_ID_OVERRIDE",AH$24,"DEEP_PERIOD_OVERRIDE",$H$19)*1,"")))</f>
        <v/>
      </c>
      <c r="AI78" s="17" t="str">
        <f>IF(OR(AI$23="",ISNA($B78)),"",IF(ISBLANK($B78),"",IFERROR(_xll.BDP(TICKER,"DEEP_MEASURE_PERIOD_BROKER_VALUE","DEEP_MEASURE_ID_OVERRIDE",$C78,"DEEP_BROKER_ID_OVERRIDE",AI$24,"DEEP_PERIOD_OVERRIDE",$H$19)*1,"")))</f>
        <v/>
      </c>
      <c r="AJ78" s="17" t="str">
        <f>IF(OR(AJ$23="",ISNA($B78)),"",IF(ISBLANK($B78),"",IFERROR(_xll.BDP(TICKER,"DEEP_MEASURE_PERIOD_BROKER_VALUE","DEEP_MEASURE_ID_OVERRIDE",$C78,"DEEP_BROKER_ID_OVERRIDE",AJ$24,"DEEP_PERIOD_OVERRIDE",$H$19)*1,"")))</f>
        <v/>
      </c>
      <c r="AK78" s="17" t="str">
        <f>IF(OR(AK$23="",ISNA($B78)),"",IF(ISBLANK($B78),"",IFERROR(_xll.BDP(TICKER,"DEEP_MEASURE_PERIOD_BROKER_VALUE","DEEP_MEASURE_ID_OVERRIDE",$C78,"DEEP_BROKER_ID_OVERRIDE",AK$24,"DEEP_PERIOD_OVERRIDE",$H$19)*1,"")))</f>
        <v/>
      </c>
      <c r="AL78" s="17" t="str">
        <f>IF(OR(AL$23="",ISNA($B78)),"",IF(ISBLANK($B78),"",IFERROR(_xll.BDP(TICKER,"DEEP_MEASURE_PERIOD_BROKER_VALUE","DEEP_MEASURE_ID_OVERRIDE",$C78,"DEEP_BROKER_ID_OVERRIDE",AL$24,"DEEP_PERIOD_OVERRIDE",$H$19)*1,"")))</f>
        <v/>
      </c>
      <c r="AM78" s="17" t="str">
        <f>IF(OR(AM$23="",ISNA($B78)),"",IF(ISBLANK($B78),"",IFERROR(_xll.BDP(TICKER,"DEEP_MEASURE_PERIOD_BROKER_VALUE","DEEP_MEASURE_ID_OVERRIDE",$C78,"DEEP_BROKER_ID_OVERRIDE",AM$24,"DEEP_PERIOD_OVERRIDE",$H$19)*1,"")))</f>
        <v/>
      </c>
      <c r="AN78" s="17" t="str">
        <f>IF(OR(AN$23="",ISNA($B78)),"",IF(ISBLANK($B78),"",IFERROR(_xll.BDP(TICKER,"DEEP_MEASURE_PERIOD_BROKER_VALUE","DEEP_MEASURE_ID_OVERRIDE",$C78,"DEEP_BROKER_ID_OVERRIDE",AN$24,"DEEP_PERIOD_OVERRIDE",$H$19)*1,"")))</f>
        <v/>
      </c>
      <c r="AO78" s="17" t="str">
        <f>IF(OR(AO$23="",ISNA($B78)),"",IF(ISBLANK($B78),"",IFERROR(_xll.BDP(TICKER,"DEEP_MEASURE_PERIOD_BROKER_VALUE","DEEP_MEASURE_ID_OVERRIDE",$C78,"DEEP_BROKER_ID_OVERRIDE",AO$24,"DEEP_PERIOD_OVERRIDE",$H$19)*1,"")))</f>
        <v/>
      </c>
      <c r="AP78" s="17" t="str">
        <f>IF(OR(AP$23="",ISNA($B78)),"",IF(ISBLANK($B78),"",IFERROR(_xll.BDP(TICKER,"DEEP_MEASURE_PERIOD_BROKER_VALUE","DEEP_MEASURE_ID_OVERRIDE",$C78,"DEEP_BROKER_ID_OVERRIDE",AP$24,"DEEP_PERIOD_OVERRIDE",$H$19)*1,"")))</f>
        <v/>
      </c>
      <c r="AQ78" s="17" t="str">
        <f>IF(OR(AQ$23="",ISNA($B78)),"",IF(ISBLANK($B78),"",IFERROR(_xll.BDP(TICKER,"DEEP_MEASURE_PERIOD_BROKER_VALUE","DEEP_MEASURE_ID_OVERRIDE",$C78,"DEEP_BROKER_ID_OVERRIDE",AQ$24,"DEEP_PERIOD_OVERRIDE",$H$19)*1,"")))</f>
        <v/>
      </c>
      <c r="AR78" s="17" t="str">
        <f>IF(OR(AR$23="",ISNA($B78)),"",IF(ISBLANK($B78),"",IFERROR(_xll.BDP(TICKER,"DEEP_MEASURE_PERIOD_BROKER_VALUE","DEEP_MEASURE_ID_OVERRIDE",$C78,"DEEP_BROKER_ID_OVERRIDE",AR$24,"DEEP_PERIOD_OVERRIDE",$H$19)*1,"")))</f>
        <v/>
      </c>
      <c r="AS78" s="17" t="str">
        <f>IF(OR(AS$23="",ISNA($B78)),"",IF(ISBLANK($B78),"",IFERROR(_xll.BDP(TICKER,"DEEP_MEASURE_PERIOD_BROKER_VALUE","DEEP_MEASURE_ID_OVERRIDE",$C78,"DEEP_BROKER_ID_OVERRIDE",AS$24,"DEEP_PERIOD_OVERRIDE",$H$19)*1,"")))</f>
        <v/>
      </c>
      <c r="AT78" s="17" t="str">
        <f>IF(OR(AT$23="",ISNA($B78)),"",IF(ISBLANK($B78),"",IFERROR(_xll.BDP(TICKER,"DEEP_MEASURE_PERIOD_BROKER_VALUE","DEEP_MEASURE_ID_OVERRIDE",$C78,"DEEP_BROKER_ID_OVERRIDE",AT$24,"DEEP_PERIOD_OVERRIDE",$H$19)*1,"")))</f>
        <v/>
      </c>
      <c r="AU78" s="17" t="str">
        <f>IF(OR(AU$23="",ISNA($B78)),"",IF(ISBLANK($B78),"",IFERROR(_xll.BDP(TICKER,"DEEP_MEASURE_PERIOD_BROKER_VALUE","DEEP_MEASURE_ID_OVERRIDE",$C78,"DEEP_BROKER_ID_OVERRIDE",AU$24,"DEEP_PERIOD_OVERRIDE",$H$19)*1,"")))</f>
        <v/>
      </c>
      <c r="AV78" s="17" t="str">
        <f>IF(OR(AV$23="",ISNA($B78)),"",IF(ISBLANK($B78),"",IFERROR(_xll.BDP(TICKER,"DEEP_MEASURE_PERIOD_BROKER_VALUE","DEEP_MEASURE_ID_OVERRIDE",$C78,"DEEP_BROKER_ID_OVERRIDE",AV$24,"DEEP_PERIOD_OVERRIDE",$H$19)*1,"")))</f>
        <v/>
      </c>
      <c r="AW78" s="17" t="str">
        <f>IF(OR(AW$23="",ISNA($B78)),"",IF(ISBLANK($B78),"",IFERROR(_xll.BDP(TICKER,"DEEP_MEASURE_PERIOD_BROKER_VALUE","DEEP_MEASURE_ID_OVERRIDE",$C78,"DEEP_BROKER_ID_OVERRIDE",AW$24,"DEEP_PERIOD_OVERRIDE",$H$19)*1,"")))</f>
        <v/>
      </c>
      <c r="AX78" s="17" t="str">
        <f>IF(OR(AX$23="",ISNA($B78)),"",IF(ISBLANK($B78),"",IFERROR(_xll.BDP(TICKER,"DEEP_MEASURE_PERIOD_BROKER_VALUE","DEEP_MEASURE_ID_OVERRIDE",$C78,"DEEP_BROKER_ID_OVERRIDE",AX$24,"DEEP_PERIOD_OVERRIDE",$H$19)*1,"")))</f>
        <v/>
      </c>
      <c r="AY78" s="17" t="str">
        <f>IF(OR(AY$23="",ISNA($B78)),"",IF(ISBLANK($B78),"",IFERROR(_xll.BDP(TICKER,"DEEP_MEASURE_PERIOD_BROKER_VALUE","DEEP_MEASURE_ID_OVERRIDE",$C78,"DEEP_BROKER_ID_OVERRIDE",AY$24,"DEEP_PERIOD_OVERRIDE",$H$19)*1,"")))</f>
        <v/>
      </c>
      <c r="AZ78" s="17" t="str">
        <f>IF(OR(AZ$23="",ISNA($B78)),"",IF(ISBLANK($B78),"",IFERROR(_xll.BDP(TICKER,"DEEP_MEASURE_PERIOD_BROKER_VALUE","DEEP_MEASURE_ID_OVERRIDE",$C78,"DEEP_BROKER_ID_OVERRIDE",AZ$24,"DEEP_PERIOD_OVERRIDE",$H$19)*1,"")))</f>
        <v/>
      </c>
      <c r="BA78" s="17" t="str">
        <f>IF(OR(BA$23="",ISNA($B78)),"",IF(ISBLANK($B78),"",IFERROR(_xll.BDP(TICKER,"DEEP_MEASURE_PERIOD_BROKER_VALUE","DEEP_MEASURE_ID_OVERRIDE",$C78,"DEEP_BROKER_ID_OVERRIDE",BA$24,"DEEP_PERIOD_OVERRIDE",$H$19)*1,"")))</f>
        <v/>
      </c>
      <c r="BB78" s="17" t="str">
        <f>IF(OR(BB$23="",ISNA($B78)),"",IF(ISBLANK($B78),"",IFERROR(_xll.BDP(TICKER,"DEEP_MEASURE_PERIOD_BROKER_VALUE","DEEP_MEASURE_ID_OVERRIDE",$C78,"DEEP_BROKER_ID_OVERRIDE",BB$24,"DEEP_PERIOD_OVERRIDE",$H$19)*1,"")))</f>
        <v/>
      </c>
      <c r="BC78" s="17" t="str">
        <f>IF(OR(BC$23="",ISNA($B78)),"",IF(ISBLANK($B78),"",IFERROR(_xll.BDP(TICKER,"DEEP_MEASURE_PERIOD_BROKER_VALUE","DEEP_MEASURE_ID_OVERRIDE",$C78,"DEEP_BROKER_ID_OVERRIDE",BC$24,"DEEP_PERIOD_OVERRIDE",$H$19)*1,"")))</f>
        <v/>
      </c>
      <c r="BD78" s="17" t="str">
        <f>IF(OR(BD$23="",ISNA($B78)),"",IF(ISBLANK($B78),"",IFERROR(_xll.BDP(TICKER,"DEEP_MEASURE_PERIOD_BROKER_VALUE","DEEP_MEASURE_ID_OVERRIDE",$C78,"DEEP_BROKER_ID_OVERRIDE",BD$24,"DEEP_PERIOD_OVERRIDE",$H$19)*1,"")))</f>
        <v/>
      </c>
      <c r="BE78" s="17" t="str">
        <f>IF(OR(BE$23="",ISNA($B78)),"",IF(ISBLANK($B78),"",IFERROR(_xll.BDP(TICKER,"DEEP_MEASURE_PERIOD_BROKER_VALUE","DEEP_MEASURE_ID_OVERRIDE",$C78,"DEEP_BROKER_ID_OVERRIDE",BE$24,"DEEP_PERIOD_OVERRIDE",$H$19)*1,"")))</f>
        <v/>
      </c>
      <c r="BF78" s="17" t="str">
        <f>IF(OR(BF$23="",ISNA($B78)),"",IF(ISBLANK($B78),"",IFERROR(_xll.BDP(TICKER,"DEEP_MEASURE_PERIOD_BROKER_VALUE","DEEP_MEASURE_ID_OVERRIDE",$C78,"DEEP_BROKER_ID_OVERRIDE",BF$24,"DEEP_PERIOD_OVERRIDE",$H$19)*1,"")))</f>
        <v/>
      </c>
      <c r="BG78" s="17" t="str">
        <f>IF(OR(BG$23="",ISNA($B78)),"",IF(ISBLANK($B78),"",IFERROR(_xll.BDP(TICKER,"DEEP_MEASURE_PERIOD_BROKER_VALUE","DEEP_MEASURE_ID_OVERRIDE",$C78,"DEEP_BROKER_ID_OVERRIDE",BG$24,"DEEP_PERIOD_OVERRIDE",$H$19)*1,"")))</f>
        <v/>
      </c>
      <c r="BH78" s="17" t="str">
        <f>IF(OR(BH$23="",ISNA($B78)),"",IF(ISBLANK($B78),"",IFERROR(_xll.BDP(TICKER,"DEEP_MEASURE_PERIOD_BROKER_VALUE","DEEP_MEASURE_ID_OVERRIDE",$C78,"DEEP_BROKER_ID_OVERRIDE",BH$24,"DEEP_PERIOD_OVERRIDE",$H$19)*1,"")))</f>
        <v/>
      </c>
      <c r="BI78" s="17" t="str">
        <f>IF(OR(BI$23="",ISNA($B78)),"",IF(ISBLANK($B78),"",IFERROR(_xll.BDP(TICKER,"DEEP_MEASURE_PERIOD_BROKER_VALUE","DEEP_MEASURE_ID_OVERRIDE",$C78,"DEEP_BROKER_ID_OVERRIDE",BI$24,"DEEP_PERIOD_OVERRIDE",$H$19)*1,"")))</f>
        <v/>
      </c>
      <c r="BJ78" s="17" t="str">
        <f>IF(OR(BJ$23="",ISNA($B78)),"",IF(ISBLANK($B78),"",IFERROR(_xll.BDP(TICKER,"DEEP_MEASURE_PERIOD_BROKER_VALUE","DEEP_MEASURE_ID_OVERRIDE",$C78,"DEEP_BROKER_ID_OVERRIDE",BJ$24,"DEEP_PERIOD_OVERRIDE",$H$19)*1,"")))</f>
        <v/>
      </c>
      <c r="BK78" s="17" t="str">
        <f>IF(OR(BK$23="",ISNA($B78)),"",IF(ISBLANK($B78),"",IFERROR(_xll.BDP(TICKER,"DEEP_MEASURE_PERIOD_BROKER_VALUE","DEEP_MEASURE_ID_OVERRIDE",$C78,"DEEP_BROKER_ID_OVERRIDE",BK$24,"DEEP_PERIOD_OVERRIDE",$H$19)*1,"")))</f>
        <v/>
      </c>
      <c r="BL78" s="17" t="str">
        <f>IF(OR(BL$23="",ISNA($B78)),"",IF(ISBLANK($B78),"",IFERROR(_xll.BDP(TICKER,"DEEP_MEASURE_PERIOD_BROKER_VALUE","DEEP_MEASURE_ID_OVERRIDE",$C78,"DEEP_BROKER_ID_OVERRIDE",BL$24,"DEEP_PERIOD_OVERRIDE",$H$19)*1,"")))</f>
        <v/>
      </c>
      <c r="BM78" s="17" t="str">
        <f>IF(OR(BM$23="",ISNA($B78)),"",IF(ISBLANK($B78),"",IFERROR(_xll.BDP(TICKER,"DEEP_MEASURE_PERIOD_BROKER_VALUE","DEEP_MEASURE_ID_OVERRIDE",$C78,"DEEP_BROKER_ID_OVERRIDE",BM$24,"DEEP_PERIOD_OVERRIDE",$H$19)*1,"")))</f>
        <v/>
      </c>
      <c r="BN78" s="17" t="str">
        <f>IF(OR(BN$23="",ISNA($B78)),"",IF(ISBLANK($B78),"",IFERROR(_xll.BDP(TICKER,"DEEP_MEASURE_PERIOD_BROKER_VALUE","DEEP_MEASURE_ID_OVERRIDE",$C78,"DEEP_BROKER_ID_OVERRIDE",BN$24,"DEEP_PERIOD_OVERRIDE",$H$19)*1,"")))</f>
        <v/>
      </c>
      <c r="BO78" s="17" t="str">
        <f>IF(OR(BO$23="",ISNA($B78)),"",IF(ISBLANK($B78),"",IFERROR(_xll.BDP(TICKER,"DEEP_MEASURE_PERIOD_BROKER_VALUE","DEEP_MEASURE_ID_OVERRIDE",$C78,"DEEP_BROKER_ID_OVERRIDE",BO$24,"DEEP_PERIOD_OVERRIDE",$H$19)*1,"")))</f>
        <v/>
      </c>
      <c r="BP78" s="17" t="str">
        <f>IF(OR(BP$23="",ISNA($B78)),"",IF(ISBLANK($B78),"",IFERROR(_xll.BDP(TICKER,"DEEP_MEASURE_PERIOD_BROKER_VALUE","DEEP_MEASURE_ID_OVERRIDE",$C78,"DEEP_BROKER_ID_OVERRIDE",BP$24,"DEEP_PERIOD_OVERRIDE",$H$19)*1,"")))</f>
        <v/>
      </c>
      <c r="BQ78" s="17" t="str">
        <f>IF(OR(BQ$23="",ISNA($B78)),"",IF(ISBLANK($B78),"",IFERROR(_xll.BDP(TICKER,"DEEP_MEASURE_PERIOD_BROKER_VALUE","DEEP_MEASURE_ID_OVERRIDE",$C78,"DEEP_BROKER_ID_OVERRIDE",BQ$24,"DEEP_PERIOD_OVERRIDE",$H$19)*1,"")))</f>
        <v/>
      </c>
      <c r="BR78" s="17" t="str">
        <f>IF(OR(BR$23="",ISNA($B78)),"",IF(ISBLANK($B78),"",IFERROR(_xll.BDP(TICKER,"DEEP_MEASURE_PERIOD_BROKER_VALUE","DEEP_MEASURE_ID_OVERRIDE",$C78,"DEEP_BROKER_ID_OVERRIDE",BR$24,"DEEP_PERIOD_OVERRIDE",$H$19)*1,"")))</f>
        <v/>
      </c>
      <c r="BS78" s="17" t="str">
        <f>IF(OR(BS$23="",ISNA($B78)),"",IF(ISBLANK($B78),"",IFERROR(_xll.BDP(TICKER,"DEEP_MEASURE_PERIOD_BROKER_VALUE","DEEP_MEASURE_ID_OVERRIDE",$C78,"DEEP_BROKER_ID_OVERRIDE",BS$24,"DEEP_PERIOD_OVERRIDE",$H$19)*1,"")))</f>
        <v/>
      </c>
      <c r="BT78" s="17" t="str">
        <f>IF(OR(BT$23="",ISNA($B78)),"",IF(ISBLANK($B78),"",IFERROR(_xll.BDP(TICKER,"DEEP_MEASURE_PERIOD_BROKER_VALUE","DEEP_MEASURE_ID_OVERRIDE",$C78,"DEEP_BROKER_ID_OVERRIDE",BT$24,"DEEP_PERIOD_OVERRIDE",$H$19)*1,"")))</f>
        <v/>
      </c>
      <c r="BU78" s="17" t="str">
        <f>IF(OR(BU$23="",ISNA($B78)),"",IF(ISBLANK($B78),"",IFERROR(_xll.BDP(TICKER,"DEEP_MEASURE_PERIOD_BROKER_VALUE","DEEP_MEASURE_ID_OVERRIDE",$C78,"DEEP_BROKER_ID_OVERRIDE",BU$24,"DEEP_PERIOD_OVERRIDE",$H$19)*1,"")))</f>
        <v/>
      </c>
      <c r="BV78" s="17" t="str">
        <f>IF(OR(BV$23="",ISNA($B78)),"",IF(ISBLANK($B78),"",IFERROR(_xll.BDP(TICKER,"DEEP_MEASURE_PERIOD_BROKER_VALUE","DEEP_MEASURE_ID_OVERRIDE",$C78,"DEEP_BROKER_ID_OVERRIDE",BV$24,"DEEP_PERIOD_OVERRIDE",$H$19)*1,"")))</f>
        <v/>
      </c>
      <c r="BW78" s="17" t="str">
        <f>IF(OR(BW$23="",ISNA($B78)),"",IF(ISBLANK($B78),"",IFERROR(_xll.BDP(TICKER,"DEEP_MEASURE_PERIOD_BROKER_VALUE","DEEP_MEASURE_ID_OVERRIDE",$C78,"DEEP_BROKER_ID_OVERRIDE",BW$24,"DEEP_PERIOD_OVERRIDE",$H$19)*1,"")))</f>
        <v/>
      </c>
      <c r="BX78" s="17" t="str">
        <f>IF(OR(BX$23="",ISNA($B78)),"",IF(ISBLANK($B78),"",IFERROR(_xll.BDP(TICKER,"DEEP_MEASURE_PERIOD_BROKER_VALUE","DEEP_MEASURE_ID_OVERRIDE",$C78,"DEEP_BROKER_ID_OVERRIDE",BX$24,"DEEP_PERIOD_OVERRIDE",$H$19)*1,"")))</f>
        <v/>
      </c>
      <c r="BY78" s="17" t="str">
        <f>IF(OR(BY$23="",ISNA($B78)),"",IF(ISBLANK($B78),"",IFERROR(_xll.BDP(TICKER,"DEEP_MEASURE_PERIOD_BROKER_VALUE","DEEP_MEASURE_ID_OVERRIDE",$C78,"DEEP_BROKER_ID_OVERRIDE",BY$24,"DEEP_PERIOD_OVERRIDE",$H$19)*1,"")))</f>
        <v/>
      </c>
      <c r="BZ78" s="17" t="str">
        <f>IF(OR(BZ$23="",ISNA($B78)),"",IF(ISBLANK($B78),"",IFERROR(_xll.BDP(TICKER,"DEEP_MEASURE_PERIOD_BROKER_VALUE","DEEP_MEASURE_ID_OVERRIDE",$C78,"DEEP_BROKER_ID_OVERRIDE",BZ$24,"DEEP_PERIOD_OVERRIDE",$H$19)*1,"")))</f>
        <v/>
      </c>
    </row>
    <row r="79" spans="2:78" x14ac:dyDescent="0.25">
      <c r="B79" t="s">
        <v>123</v>
      </c>
      <c r="C79">
        <v>9963</v>
      </c>
      <c r="H79" t="str">
        <f t="shared" si="1"/>
        <v>Total Revenue &gt; Non-Hotel &gt; Revenue &gt; YoY Growth (%)</v>
      </c>
      <c r="I79" t="str">
        <f>IF(OR(I$23="",ISNA($B79)),"",IF(ISBLANK($B79),"",IFERROR(_xll.BDP(TICKER,"DEEP_MEASURE_PERIOD_BROKER_VALUE","DEEP_MEASURE_ID_OVERRIDE",$C79,"DEEP_PERIOD_OVERRIDE",$H$19)*1,"")))</f>
        <v/>
      </c>
      <c r="J79" t="e">
        <f>IF(OR(J$23="",ISNA($B79)),"",IF(ISBLANK($B79),"",IFERROR(_xll.BDP(TICKER,"DEEP_MEASURE_PERIOD_BROKER_VALUE","DEEP_MEASURE_ID_OVERRIDE",$C79,"DEEP_BROKER_ID_OVERRIDE",J$24,"DEEP_PERIOD_OVERRIDE",$H$19)*1,"")))</f>
        <v>#REF!</v>
      </c>
      <c r="K79" s="17" t="str">
        <f>IF(OR(K$23="",ISNA($B79)),"",IF(ISBLANK($B79),"",IFERROR(_xll.BDP(TICKER,"DEEP_MEASURE_PERIOD_BROKER_VALUE","DEEP_MEASURE_ID_OVERRIDE",$C79,"DEEP_BROKER_ID_OVERRIDE",K$24,"DEEP_PERIOD_OVERRIDE",$H$19)*1,"")))</f>
        <v/>
      </c>
      <c r="L79" s="17" t="str">
        <f>IF(OR(L$23="",ISNA($B79)),"",IF(ISBLANK($B79),"",IFERROR(_xll.BDP(TICKER,"DEEP_MEASURE_PERIOD_BROKER_VALUE","DEEP_MEASURE_ID_OVERRIDE",$C79,"DEEP_BROKER_ID_OVERRIDE",L$24,"DEEP_PERIOD_OVERRIDE",$H$19)*1,"")))</f>
        <v/>
      </c>
      <c r="M79" s="17" t="str">
        <f>IF(OR(M$23="",ISNA($B79)),"",IF(ISBLANK($B79),"",IFERROR(_xll.BDP(TICKER,"DEEP_MEASURE_PERIOD_BROKER_VALUE","DEEP_MEASURE_ID_OVERRIDE",$C79,"DEEP_BROKER_ID_OVERRIDE",M$24,"DEEP_PERIOD_OVERRIDE",$H$19)*1,"")))</f>
        <v/>
      </c>
      <c r="N79" s="17" t="str">
        <f>IF(OR(N$23="",ISNA($B79)),"",IF(ISBLANK($B79),"",IFERROR(_xll.BDP(TICKER,"DEEP_MEASURE_PERIOD_BROKER_VALUE","DEEP_MEASURE_ID_OVERRIDE",$C79,"DEEP_BROKER_ID_OVERRIDE",N$24,"DEEP_PERIOD_OVERRIDE",$H$19)*1,"")))</f>
        <v/>
      </c>
      <c r="O79" s="17" t="str">
        <f>IF(OR(O$23="",ISNA($B79)),"",IF(ISBLANK($B79),"",IFERROR(_xll.BDP(TICKER,"DEEP_MEASURE_PERIOD_BROKER_VALUE","DEEP_MEASURE_ID_OVERRIDE",$C79,"DEEP_BROKER_ID_OVERRIDE",O$24,"DEEP_PERIOD_OVERRIDE",$H$19)*1,"")))</f>
        <v/>
      </c>
      <c r="P79" s="17" t="str">
        <f>IF(OR(P$23="",ISNA($B79)),"",IF(ISBLANK($B79),"",IFERROR(_xll.BDP(TICKER,"DEEP_MEASURE_PERIOD_BROKER_VALUE","DEEP_MEASURE_ID_OVERRIDE",$C79,"DEEP_BROKER_ID_OVERRIDE",P$24,"DEEP_PERIOD_OVERRIDE",$H$19)*1,"")))</f>
        <v/>
      </c>
      <c r="Q79" s="17" t="str">
        <f>IF(OR(Q$23="",ISNA($B79)),"",IF(ISBLANK($B79),"",IFERROR(_xll.BDP(TICKER,"DEEP_MEASURE_PERIOD_BROKER_VALUE","DEEP_MEASURE_ID_OVERRIDE",$C79,"DEEP_BROKER_ID_OVERRIDE",Q$24,"DEEP_PERIOD_OVERRIDE",$H$19)*1,"")))</f>
        <v/>
      </c>
      <c r="R79" s="17" t="str">
        <f>IF(OR(R$23="",ISNA($B79)),"",IF(ISBLANK($B79),"",IFERROR(_xll.BDP(TICKER,"DEEP_MEASURE_PERIOD_BROKER_VALUE","DEEP_MEASURE_ID_OVERRIDE",$C79,"DEEP_BROKER_ID_OVERRIDE",R$24,"DEEP_PERIOD_OVERRIDE",$H$19)*1,"")))</f>
        <v/>
      </c>
      <c r="S79" s="17" t="str">
        <f>IF(OR(S$23="",ISNA($B79)),"",IF(ISBLANK($B79),"",IFERROR(_xll.BDP(TICKER,"DEEP_MEASURE_PERIOD_BROKER_VALUE","DEEP_MEASURE_ID_OVERRIDE",$C79,"DEEP_BROKER_ID_OVERRIDE",S$24,"DEEP_PERIOD_OVERRIDE",$H$19)*1,"")))</f>
        <v/>
      </c>
      <c r="T79" s="17" t="str">
        <f>IF(OR(T$23="",ISNA($B79)),"",IF(ISBLANK($B79),"",IFERROR(_xll.BDP(TICKER,"DEEP_MEASURE_PERIOD_BROKER_VALUE","DEEP_MEASURE_ID_OVERRIDE",$C79,"DEEP_BROKER_ID_OVERRIDE",T$24,"DEEP_PERIOD_OVERRIDE",$H$19)*1,"")))</f>
        <v/>
      </c>
      <c r="U79" s="17" t="str">
        <f>IF(OR(U$23="",ISNA($B79)),"",IF(ISBLANK($B79),"",IFERROR(_xll.BDP(TICKER,"DEEP_MEASURE_PERIOD_BROKER_VALUE","DEEP_MEASURE_ID_OVERRIDE",$C79,"DEEP_BROKER_ID_OVERRIDE",U$24,"DEEP_PERIOD_OVERRIDE",$H$19)*1,"")))</f>
        <v/>
      </c>
      <c r="V79" s="17" t="str">
        <f>IF(OR(V$23="",ISNA($B79)),"",IF(ISBLANK($B79),"",IFERROR(_xll.BDP(TICKER,"DEEP_MEASURE_PERIOD_BROKER_VALUE","DEEP_MEASURE_ID_OVERRIDE",$C79,"DEEP_BROKER_ID_OVERRIDE",V$24,"DEEP_PERIOD_OVERRIDE",$H$19)*1,"")))</f>
        <v/>
      </c>
      <c r="W79" s="17" t="str">
        <f>IF(OR(W$23="",ISNA($B79)),"",IF(ISBLANK($B79),"",IFERROR(_xll.BDP(TICKER,"DEEP_MEASURE_PERIOD_BROKER_VALUE","DEEP_MEASURE_ID_OVERRIDE",$C79,"DEEP_BROKER_ID_OVERRIDE",W$24,"DEEP_PERIOD_OVERRIDE",$H$19)*1,"")))</f>
        <v/>
      </c>
      <c r="X79" s="17" t="str">
        <f>IF(OR(X$23="",ISNA($B79)),"",IF(ISBLANK($B79),"",IFERROR(_xll.BDP(TICKER,"DEEP_MEASURE_PERIOD_BROKER_VALUE","DEEP_MEASURE_ID_OVERRIDE",$C79,"DEEP_BROKER_ID_OVERRIDE",X$24,"DEEP_PERIOD_OVERRIDE",$H$19)*1,"")))</f>
        <v/>
      </c>
      <c r="Y79" s="17" t="str">
        <f>IF(OR(Y$23="",ISNA($B79)),"",IF(ISBLANK($B79),"",IFERROR(_xll.BDP(TICKER,"DEEP_MEASURE_PERIOD_BROKER_VALUE","DEEP_MEASURE_ID_OVERRIDE",$C79,"DEEP_BROKER_ID_OVERRIDE",Y$24,"DEEP_PERIOD_OVERRIDE",$H$19)*1,"")))</f>
        <v/>
      </c>
      <c r="Z79" s="17" t="str">
        <f>IF(OR(Z$23="",ISNA($B79)),"",IF(ISBLANK($B79),"",IFERROR(_xll.BDP(TICKER,"DEEP_MEASURE_PERIOD_BROKER_VALUE","DEEP_MEASURE_ID_OVERRIDE",$C79,"DEEP_BROKER_ID_OVERRIDE",Z$24,"DEEP_PERIOD_OVERRIDE",$H$19)*1,"")))</f>
        <v/>
      </c>
      <c r="AA79" s="17" t="str">
        <f>IF(OR(AA$23="",ISNA($B79)),"",IF(ISBLANK($B79),"",IFERROR(_xll.BDP(TICKER,"DEEP_MEASURE_PERIOD_BROKER_VALUE","DEEP_MEASURE_ID_OVERRIDE",$C79,"DEEP_BROKER_ID_OVERRIDE",AA$24,"DEEP_PERIOD_OVERRIDE",$H$19)*1,"")))</f>
        <v/>
      </c>
      <c r="AB79" s="17" t="str">
        <f>IF(OR(AB$23="",ISNA($B79)),"",IF(ISBLANK($B79),"",IFERROR(_xll.BDP(TICKER,"DEEP_MEASURE_PERIOD_BROKER_VALUE","DEEP_MEASURE_ID_OVERRIDE",$C79,"DEEP_BROKER_ID_OVERRIDE",AB$24,"DEEP_PERIOD_OVERRIDE",$H$19)*1,"")))</f>
        <v/>
      </c>
      <c r="AC79" s="17" t="str">
        <f>IF(OR(AC$23="",ISNA($B79)),"",IF(ISBLANK($B79),"",IFERROR(_xll.BDP(TICKER,"DEEP_MEASURE_PERIOD_BROKER_VALUE","DEEP_MEASURE_ID_OVERRIDE",$C79,"DEEP_BROKER_ID_OVERRIDE",AC$24,"DEEP_PERIOD_OVERRIDE",$H$19)*1,"")))</f>
        <v/>
      </c>
      <c r="AD79" s="17" t="str">
        <f>IF(OR(AD$23="",ISNA($B79)),"",IF(ISBLANK($B79),"",IFERROR(_xll.BDP(TICKER,"DEEP_MEASURE_PERIOD_BROKER_VALUE","DEEP_MEASURE_ID_OVERRIDE",$C79,"DEEP_BROKER_ID_OVERRIDE",AD$24,"DEEP_PERIOD_OVERRIDE",$H$19)*1,"")))</f>
        <v/>
      </c>
      <c r="AE79" s="17" t="str">
        <f>IF(OR(AE$23="",ISNA($B79)),"",IF(ISBLANK($B79),"",IFERROR(_xll.BDP(TICKER,"DEEP_MEASURE_PERIOD_BROKER_VALUE","DEEP_MEASURE_ID_OVERRIDE",$C79,"DEEP_BROKER_ID_OVERRIDE",AE$24,"DEEP_PERIOD_OVERRIDE",$H$19)*1,"")))</f>
        <v/>
      </c>
      <c r="AF79" s="17" t="str">
        <f>IF(OR(AF$23="",ISNA($B79)),"",IF(ISBLANK($B79),"",IFERROR(_xll.BDP(TICKER,"DEEP_MEASURE_PERIOD_BROKER_VALUE","DEEP_MEASURE_ID_OVERRIDE",$C79,"DEEP_BROKER_ID_OVERRIDE",AF$24,"DEEP_PERIOD_OVERRIDE",$H$19)*1,"")))</f>
        <v/>
      </c>
      <c r="AG79" s="17" t="str">
        <f>IF(OR(AG$23="",ISNA($B79)),"",IF(ISBLANK($B79),"",IFERROR(_xll.BDP(TICKER,"DEEP_MEASURE_PERIOD_BROKER_VALUE","DEEP_MEASURE_ID_OVERRIDE",$C79,"DEEP_BROKER_ID_OVERRIDE",AG$24,"DEEP_PERIOD_OVERRIDE",$H$19)*1,"")))</f>
        <v/>
      </c>
      <c r="AH79" s="17" t="str">
        <f>IF(OR(AH$23="",ISNA($B79)),"",IF(ISBLANK($B79),"",IFERROR(_xll.BDP(TICKER,"DEEP_MEASURE_PERIOD_BROKER_VALUE","DEEP_MEASURE_ID_OVERRIDE",$C79,"DEEP_BROKER_ID_OVERRIDE",AH$24,"DEEP_PERIOD_OVERRIDE",$H$19)*1,"")))</f>
        <v/>
      </c>
      <c r="AI79" s="17" t="str">
        <f>IF(OR(AI$23="",ISNA($B79)),"",IF(ISBLANK($B79),"",IFERROR(_xll.BDP(TICKER,"DEEP_MEASURE_PERIOD_BROKER_VALUE","DEEP_MEASURE_ID_OVERRIDE",$C79,"DEEP_BROKER_ID_OVERRIDE",AI$24,"DEEP_PERIOD_OVERRIDE",$H$19)*1,"")))</f>
        <v/>
      </c>
      <c r="AJ79" s="17" t="str">
        <f>IF(OR(AJ$23="",ISNA($B79)),"",IF(ISBLANK($B79),"",IFERROR(_xll.BDP(TICKER,"DEEP_MEASURE_PERIOD_BROKER_VALUE","DEEP_MEASURE_ID_OVERRIDE",$C79,"DEEP_BROKER_ID_OVERRIDE",AJ$24,"DEEP_PERIOD_OVERRIDE",$H$19)*1,"")))</f>
        <v/>
      </c>
      <c r="AK79" s="17" t="str">
        <f>IF(OR(AK$23="",ISNA($B79)),"",IF(ISBLANK($B79),"",IFERROR(_xll.BDP(TICKER,"DEEP_MEASURE_PERIOD_BROKER_VALUE","DEEP_MEASURE_ID_OVERRIDE",$C79,"DEEP_BROKER_ID_OVERRIDE",AK$24,"DEEP_PERIOD_OVERRIDE",$H$19)*1,"")))</f>
        <v/>
      </c>
      <c r="AL79" s="17" t="str">
        <f>IF(OR(AL$23="",ISNA($B79)),"",IF(ISBLANK($B79),"",IFERROR(_xll.BDP(TICKER,"DEEP_MEASURE_PERIOD_BROKER_VALUE","DEEP_MEASURE_ID_OVERRIDE",$C79,"DEEP_BROKER_ID_OVERRIDE",AL$24,"DEEP_PERIOD_OVERRIDE",$H$19)*1,"")))</f>
        <v/>
      </c>
      <c r="AM79" s="17" t="str">
        <f>IF(OR(AM$23="",ISNA($B79)),"",IF(ISBLANK($B79),"",IFERROR(_xll.BDP(TICKER,"DEEP_MEASURE_PERIOD_BROKER_VALUE","DEEP_MEASURE_ID_OVERRIDE",$C79,"DEEP_BROKER_ID_OVERRIDE",AM$24,"DEEP_PERIOD_OVERRIDE",$H$19)*1,"")))</f>
        <v/>
      </c>
      <c r="AN79" s="17" t="str">
        <f>IF(OR(AN$23="",ISNA($B79)),"",IF(ISBLANK($B79),"",IFERROR(_xll.BDP(TICKER,"DEEP_MEASURE_PERIOD_BROKER_VALUE","DEEP_MEASURE_ID_OVERRIDE",$C79,"DEEP_BROKER_ID_OVERRIDE",AN$24,"DEEP_PERIOD_OVERRIDE",$H$19)*1,"")))</f>
        <v/>
      </c>
      <c r="AO79" s="17" t="str">
        <f>IF(OR(AO$23="",ISNA($B79)),"",IF(ISBLANK($B79),"",IFERROR(_xll.BDP(TICKER,"DEEP_MEASURE_PERIOD_BROKER_VALUE","DEEP_MEASURE_ID_OVERRIDE",$C79,"DEEP_BROKER_ID_OVERRIDE",AO$24,"DEEP_PERIOD_OVERRIDE",$H$19)*1,"")))</f>
        <v/>
      </c>
      <c r="AP79" s="17" t="str">
        <f>IF(OR(AP$23="",ISNA($B79)),"",IF(ISBLANK($B79),"",IFERROR(_xll.BDP(TICKER,"DEEP_MEASURE_PERIOD_BROKER_VALUE","DEEP_MEASURE_ID_OVERRIDE",$C79,"DEEP_BROKER_ID_OVERRIDE",AP$24,"DEEP_PERIOD_OVERRIDE",$H$19)*1,"")))</f>
        <v/>
      </c>
      <c r="AQ79" s="17" t="str">
        <f>IF(OR(AQ$23="",ISNA($B79)),"",IF(ISBLANK($B79),"",IFERROR(_xll.BDP(TICKER,"DEEP_MEASURE_PERIOD_BROKER_VALUE","DEEP_MEASURE_ID_OVERRIDE",$C79,"DEEP_BROKER_ID_OVERRIDE",AQ$24,"DEEP_PERIOD_OVERRIDE",$H$19)*1,"")))</f>
        <v/>
      </c>
      <c r="AR79" s="17" t="str">
        <f>IF(OR(AR$23="",ISNA($B79)),"",IF(ISBLANK($B79),"",IFERROR(_xll.BDP(TICKER,"DEEP_MEASURE_PERIOD_BROKER_VALUE","DEEP_MEASURE_ID_OVERRIDE",$C79,"DEEP_BROKER_ID_OVERRIDE",AR$24,"DEEP_PERIOD_OVERRIDE",$H$19)*1,"")))</f>
        <v/>
      </c>
      <c r="AS79" s="17" t="str">
        <f>IF(OR(AS$23="",ISNA($B79)),"",IF(ISBLANK($B79),"",IFERROR(_xll.BDP(TICKER,"DEEP_MEASURE_PERIOD_BROKER_VALUE","DEEP_MEASURE_ID_OVERRIDE",$C79,"DEEP_BROKER_ID_OVERRIDE",AS$24,"DEEP_PERIOD_OVERRIDE",$H$19)*1,"")))</f>
        <v/>
      </c>
      <c r="AT79" s="17" t="str">
        <f>IF(OR(AT$23="",ISNA($B79)),"",IF(ISBLANK($B79),"",IFERROR(_xll.BDP(TICKER,"DEEP_MEASURE_PERIOD_BROKER_VALUE","DEEP_MEASURE_ID_OVERRIDE",$C79,"DEEP_BROKER_ID_OVERRIDE",AT$24,"DEEP_PERIOD_OVERRIDE",$H$19)*1,"")))</f>
        <v/>
      </c>
      <c r="AU79" s="17" t="str">
        <f>IF(OR(AU$23="",ISNA($B79)),"",IF(ISBLANK($B79),"",IFERROR(_xll.BDP(TICKER,"DEEP_MEASURE_PERIOD_BROKER_VALUE","DEEP_MEASURE_ID_OVERRIDE",$C79,"DEEP_BROKER_ID_OVERRIDE",AU$24,"DEEP_PERIOD_OVERRIDE",$H$19)*1,"")))</f>
        <v/>
      </c>
      <c r="AV79" s="17" t="str">
        <f>IF(OR(AV$23="",ISNA($B79)),"",IF(ISBLANK($B79),"",IFERROR(_xll.BDP(TICKER,"DEEP_MEASURE_PERIOD_BROKER_VALUE","DEEP_MEASURE_ID_OVERRIDE",$C79,"DEEP_BROKER_ID_OVERRIDE",AV$24,"DEEP_PERIOD_OVERRIDE",$H$19)*1,"")))</f>
        <v/>
      </c>
      <c r="AW79" s="17" t="str">
        <f>IF(OR(AW$23="",ISNA($B79)),"",IF(ISBLANK($B79),"",IFERROR(_xll.BDP(TICKER,"DEEP_MEASURE_PERIOD_BROKER_VALUE","DEEP_MEASURE_ID_OVERRIDE",$C79,"DEEP_BROKER_ID_OVERRIDE",AW$24,"DEEP_PERIOD_OVERRIDE",$H$19)*1,"")))</f>
        <v/>
      </c>
      <c r="AX79" s="17" t="str">
        <f>IF(OR(AX$23="",ISNA($B79)),"",IF(ISBLANK($B79),"",IFERROR(_xll.BDP(TICKER,"DEEP_MEASURE_PERIOD_BROKER_VALUE","DEEP_MEASURE_ID_OVERRIDE",$C79,"DEEP_BROKER_ID_OVERRIDE",AX$24,"DEEP_PERIOD_OVERRIDE",$H$19)*1,"")))</f>
        <v/>
      </c>
      <c r="AY79" s="17" t="str">
        <f>IF(OR(AY$23="",ISNA($B79)),"",IF(ISBLANK($B79),"",IFERROR(_xll.BDP(TICKER,"DEEP_MEASURE_PERIOD_BROKER_VALUE","DEEP_MEASURE_ID_OVERRIDE",$C79,"DEEP_BROKER_ID_OVERRIDE",AY$24,"DEEP_PERIOD_OVERRIDE",$H$19)*1,"")))</f>
        <v/>
      </c>
      <c r="AZ79" s="17" t="str">
        <f>IF(OR(AZ$23="",ISNA($B79)),"",IF(ISBLANK($B79),"",IFERROR(_xll.BDP(TICKER,"DEEP_MEASURE_PERIOD_BROKER_VALUE","DEEP_MEASURE_ID_OVERRIDE",$C79,"DEEP_BROKER_ID_OVERRIDE",AZ$24,"DEEP_PERIOD_OVERRIDE",$H$19)*1,"")))</f>
        <v/>
      </c>
      <c r="BA79" s="17" t="str">
        <f>IF(OR(BA$23="",ISNA($B79)),"",IF(ISBLANK($B79),"",IFERROR(_xll.BDP(TICKER,"DEEP_MEASURE_PERIOD_BROKER_VALUE","DEEP_MEASURE_ID_OVERRIDE",$C79,"DEEP_BROKER_ID_OVERRIDE",BA$24,"DEEP_PERIOD_OVERRIDE",$H$19)*1,"")))</f>
        <v/>
      </c>
      <c r="BB79" s="17" t="str">
        <f>IF(OR(BB$23="",ISNA($B79)),"",IF(ISBLANK($B79),"",IFERROR(_xll.BDP(TICKER,"DEEP_MEASURE_PERIOD_BROKER_VALUE","DEEP_MEASURE_ID_OVERRIDE",$C79,"DEEP_BROKER_ID_OVERRIDE",BB$24,"DEEP_PERIOD_OVERRIDE",$H$19)*1,"")))</f>
        <v/>
      </c>
      <c r="BC79" s="17" t="str">
        <f>IF(OR(BC$23="",ISNA($B79)),"",IF(ISBLANK($B79),"",IFERROR(_xll.BDP(TICKER,"DEEP_MEASURE_PERIOD_BROKER_VALUE","DEEP_MEASURE_ID_OVERRIDE",$C79,"DEEP_BROKER_ID_OVERRIDE",BC$24,"DEEP_PERIOD_OVERRIDE",$H$19)*1,"")))</f>
        <v/>
      </c>
      <c r="BD79" s="17" t="str">
        <f>IF(OR(BD$23="",ISNA($B79)),"",IF(ISBLANK($B79),"",IFERROR(_xll.BDP(TICKER,"DEEP_MEASURE_PERIOD_BROKER_VALUE","DEEP_MEASURE_ID_OVERRIDE",$C79,"DEEP_BROKER_ID_OVERRIDE",BD$24,"DEEP_PERIOD_OVERRIDE",$H$19)*1,"")))</f>
        <v/>
      </c>
      <c r="BE79" s="17" t="str">
        <f>IF(OR(BE$23="",ISNA($B79)),"",IF(ISBLANK($B79),"",IFERROR(_xll.BDP(TICKER,"DEEP_MEASURE_PERIOD_BROKER_VALUE","DEEP_MEASURE_ID_OVERRIDE",$C79,"DEEP_BROKER_ID_OVERRIDE",BE$24,"DEEP_PERIOD_OVERRIDE",$H$19)*1,"")))</f>
        <v/>
      </c>
      <c r="BF79" s="17" t="str">
        <f>IF(OR(BF$23="",ISNA($B79)),"",IF(ISBLANK($B79),"",IFERROR(_xll.BDP(TICKER,"DEEP_MEASURE_PERIOD_BROKER_VALUE","DEEP_MEASURE_ID_OVERRIDE",$C79,"DEEP_BROKER_ID_OVERRIDE",BF$24,"DEEP_PERIOD_OVERRIDE",$H$19)*1,"")))</f>
        <v/>
      </c>
      <c r="BG79" s="17" t="str">
        <f>IF(OR(BG$23="",ISNA($B79)),"",IF(ISBLANK($B79),"",IFERROR(_xll.BDP(TICKER,"DEEP_MEASURE_PERIOD_BROKER_VALUE","DEEP_MEASURE_ID_OVERRIDE",$C79,"DEEP_BROKER_ID_OVERRIDE",BG$24,"DEEP_PERIOD_OVERRIDE",$H$19)*1,"")))</f>
        <v/>
      </c>
      <c r="BH79" s="17" t="str">
        <f>IF(OR(BH$23="",ISNA($B79)),"",IF(ISBLANK($B79),"",IFERROR(_xll.BDP(TICKER,"DEEP_MEASURE_PERIOD_BROKER_VALUE","DEEP_MEASURE_ID_OVERRIDE",$C79,"DEEP_BROKER_ID_OVERRIDE",BH$24,"DEEP_PERIOD_OVERRIDE",$H$19)*1,"")))</f>
        <v/>
      </c>
      <c r="BI79" s="17" t="str">
        <f>IF(OR(BI$23="",ISNA($B79)),"",IF(ISBLANK($B79),"",IFERROR(_xll.BDP(TICKER,"DEEP_MEASURE_PERIOD_BROKER_VALUE","DEEP_MEASURE_ID_OVERRIDE",$C79,"DEEP_BROKER_ID_OVERRIDE",BI$24,"DEEP_PERIOD_OVERRIDE",$H$19)*1,"")))</f>
        <v/>
      </c>
      <c r="BJ79" s="17" t="str">
        <f>IF(OR(BJ$23="",ISNA($B79)),"",IF(ISBLANK($B79),"",IFERROR(_xll.BDP(TICKER,"DEEP_MEASURE_PERIOD_BROKER_VALUE","DEEP_MEASURE_ID_OVERRIDE",$C79,"DEEP_BROKER_ID_OVERRIDE",BJ$24,"DEEP_PERIOD_OVERRIDE",$H$19)*1,"")))</f>
        <v/>
      </c>
      <c r="BK79" s="17" t="str">
        <f>IF(OR(BK$23="",ISNA($B79)),"",IF(ISBLANK($B79),"",IFERROR(_xll.BDP(TICKER,"DEEP_MEASURE_PERIOD_BROKER_VALUE","DEEP_MEASURE_ID_OVERRIDE",$C79,"DEEP_BROKER_ID_OVERRIDE",BK$24,"DEEP_PERIOD_OVERRIDE",$H$19)*1,"")))</f>
        <v/>
      </c>
      <c r="BL79" s="17" t="str">
        <f>IF(OR(BL$23="",ISNA($B79)),"",IF(ISBLANK($B79),"",IFERROR(_xll.BDP(TICKER,"DEEP_MEASURE_PERIOD_BROKER_VALUE","DEEP_MEASURE_ID_OVERRIDE",$C79,"DEEP_BROKER_ID_OVERRIDE",BL$24,"DEEP_PERIOD_OVERRIDE",$H$19)*1,"")))</f>
        <v/>
      </c>
      <c r="BM79" s="17" t="str">
        <f>IF(OR(BM$23="",ISNA($B79)),"",IF(ISBLANK($B79),"",IFERROR(_xll.BDP(TICKER,"DEEP_MEASURE_PERIOD_BROKER_VALUE","DEEP_MEASURE_ID_OVERRIDE",$C79,"DEEP_BROKER_ID_OVERRIDE",BM$24,"DEEP_PERIOD_OVERRIDE",$H$19)*1,"")))</f>
        <v/>
      </c>
      <c r="BN79" s="17" t="str">
        <f>IF(OR(BN$23="",ISNA($B79)),"",IF(ISBLANK($B79),"",IFERROR(_xll.BDP(TICKER,"DEEP_MEASURE_PERIOD_BROKER_VALUE","DEEP_MEASURE_ID_OVERRIDE",$C79,"DEEP_BROKER_ID_OVERRIDE",BN$24,"DEEP_PERIOD_OVERRIDE",$H$19)*1,"")))</f>
        <v/>
      </c>
      <c r="BO79" s="17" t="str">
        <f>IF(OR(BO$23="",ISNA($B79)),"",IF(ISBLANK($B79),"",IFERROR(_xll.BDP(TICKER,"DEEP_MEASURE_PERIOD_BROKER_VALUE","DEEP_MEASURE_ID_OVERRIDE",$C79,"DEEP_BROKER_ID_OVERRIDE",BO$24,"DEEP_PERIOD_OVERRIDE",$H$19)*1,"")))</f>
        <v/>
      </c>
      <c r="BP79" s="17" t="str">
        <f>IF(OR(BP$23="",ISNA($B79)),"",IF(ISBLANK($B79),"",IFERROR(_xll.BDP(TICKER,"DEEP_MEASURE_PERIOD_BROKER_VALUE","DEEP_MEASURE_ID_OVERRIDE",$C79,"DEEP_BROKER_ID_OVERRIDE",BP$24,"DEEP_PERIOD_OVERRIDE",$H$19)*1,"")))</f>
        <v/>
      </c>
      <c r="BQ79" s="17" t="str">
        <f>IF(OR(BQ$23="",ISNA($B79)),"",IF(ISBLANK($B79),"",IFERROR(_xll.BDP(TICKER,"DEEP_MEASURE_PERIOD_BROKER_VALUE","DEEP_MEASURE_ID_OVERRIDE",$C79,"DEEP_BROKER_ID_OVERRIDE",BQ$24,"DEEP_PERIOD_OVERRIDE",$H$19)*1,"")))</f>
        <v/>
      </c>
      <c r="BR79" s="17" t="str">
        <f>IF(OR(BR$23="",ISNA($B79)),"",IF(ISBLANK($B79),"",IFERROR(_xll.BDP(TICKER,"DEEP_MEASURE_PERIOD_BROKER_VALUE","DEEP_MEASURE_ID_OVERRIDE",$C79,"DEEP_BROKER_ID_OVERRIDE",BR$24,"DEEP_PERIOD_OVERRIDE",$H$19)*1,"")))</f>
        <v/>
      </c>
      <c r="BS79" s="17" t="str">
        <f>IF(OR(BS$23="",ISNA($B79)),"",IF(ISBLANK($B79),"",IFERROR(_xll.BDP(TICKER,"DEEP_MEASURE_PERIOD_BROKER_VALUE","DEEP_MEASURE_ID_OVERRIDE",$C79,"DEEP_BROKER_ID_OVERRIDE",BS$24,"DEEP_PERIOD_OVERRIDE",$H$19)*1,"")))</f>
        <v/>
      </c>
      <c r="BT79" s="17" t="str">
        <f>IF(OR(BT$23="",ISNA($B79)),"",IF(ISBLANK($B79),"",IFERROR(_xll.BDP(TICKER,"DEEP_MEASURE_PERIOD_BROKER_VALUE","DEEP_MEASURE_ID_OVERRIDE",$C79,"DEEP_BROKER_ID_OVERRIDE",BT$24,"DEEP_PERIOD_OVERRIDE",$H$19)*1,"")))</f>
        <v/>
      </c>
      <c r="BU79" s="17" t="str">
        <f>IF(OR(BU$23="",ISNA($B79)),"",IF(ISBLANK($B79),"",IFERROR(_xll.BDP(TICKER,"DEEP_MEASURE_PERIOD_BROKER_VALUE","DEEP_MEASURE_ID_OVERRIDE",$C79,"DEEP_BROKER_ID_OVERRIDE",BU$24,"DEEP_PERIOD_OVERRIDE",$H$19)*1,"")))</f>
        <v/>
      </c>
      <c r="BV79" s="17" t="str">
        <f>IF(OR(BV$23="",ISNA($B79)),"",IF(ISBLANK($B79),"",IFERROR(_xll.BDP(TICKER,"DEEP_MEASURE_PERIOD_BROKER_VALUE","DEEP_MEASURE_ID_OVERRIDE",$C79,"DEEP_BROKER_ID_OVERRIDE",BV$24,"DEEP_PERIOD_OVERRIDE",$H$19)*1,"")))</f>
        <v/>
      </c>
      <c r="BW79" s="17" t="str">
        <f>IF(OR(BW$23="",ISNA($B79)),"",IF(ISBLANK($B79),"",IFERROR(_xll.BDP(TICKER,"DEEP_MEASURE_PERIOD_BROKER_VALUE","DEEP_MEASURE_ID_OVERRIDE",$C79,"DEEP_BROKER_ID_OVERRIDE",BW$24,"DEEP_PERIOD_OVERRIDE",$H$19)*1,"")))</f>
        <v/>
      </c>
      <c r="BX79" s="17" t="str">
        <f>IF(OR(BX$23="",ISNA($B79)),"",IF(ISBLANK($B79),"",IFERROR(_xll.BDP(TICKER,"DEEP_MEASURE_PERIOD_BROKER_VALUE","DEEP_MEASURE_ID_OVERRIDE",$C79,"DEEP_BROKER_ID_OVERRIDE",BX$24,"DEEP_PERIOD_OVERRIDE",$H$19)*1,"")))</f>
        <v/>
      </c>
      <c r="BY79" s="17" t="str">
        <f>IF(OR(BY$23="",ISNA($B79)),"",IF(ISBLANK($B79),"",IFERROR(_xll.BDP(TICKER,"DEEP_MEASURE_PERIOD_BROKER_VALUE","DEEP_MEASURE_ID_OVERRIDE",$C79,"DEEP_BROKER_ID_OVERRIDE",BY$24,"DEEP_PERIOD_OVERRIDE",$H$19)*1,"")))</f>
        <v/>
      </c>
      <c r="BZ79" s="17" t="str">
        <f>IF(OR(BZ$23="",ISNA($B79)),"",IF(ISBLANK($B79),"",IFERROR(_xll.BDP(TICKER,"DEEP_MEASURE_PERIOD_BROKER_VALUE","DEEP_MEASURE_ID_OVERRIDE",$C79,"DEEP_BROKER_ID_OVERRIDE",BZ$24,"DEEP_PERIOD_OVERRIDE",$H$19)*1,"")))</f>
        <v/>
      </c>
    </row>
    <row r="80" spans="2:78" x14ac:dyDescent="0.25">
      <c r="B80" t="s">
        <v>124</v>
      </c>
      <c r="C80">
        <v>940</v>
      </c>
      <c r="H80" t="str">
        <f t="shared" si="1"/>
        <v>Total Revenue &gt; Non-Hotel &gt; Adjusted EBITDA</v>
      </c>
      <c r="I80" t="str">
        <f>IF(OR(I$23="",ISNA($B80)),"",IF(ISBLANK($B80),"",IFERROR(_xll.BDP(TICKER,"DEEP_MEASURE_PERIOD_BROKER_VALUE","DEEP_MEASURE_ID_OVERRIDE",$C80,"DEEP_PERIOD_OVERRIDE",$H$19)*1,"")))</f>
        <v/>
      </c>
      <c r="J80" t="e">
        <f>IF(OR(J$23="",ISNA($B80)),"",IF(ISBLANK($B80),"",IFERROR(_xll.BDP(TICKER,"DEEP_MEASURE_PERIOD_BROKER_VALUE","DEEP_MEASURE_ID_OVERRIDE",$C80,"DEEP_BROKER_ID_OVERRIDE",J$24,"DEEP_PERIOD_OVERRIDE",$H$19)*1,"")))</f>
        <v>#REF!</v>
      </c>
      <c r="K80" s="17" t="str">
        <f>IF(OR(K$23="",ISNA($B80)),"",IF(ISBLANK($B80),"",IFERROR(_xll.BDP(TICKER,"DEEP_MEASURE_PERIOD_BROKER_VALUE","DEEP_MEASURE_ID_OVERRIDE",$C80,"DEEP_BROKER_ID_OVERRIDE",K$24,"DEEP_PERIOD_OVERRIDE",$H$19)*1,"")))</f>
        <v/>
      </c>
      <c r="L80" s="17" t="str">
        <f>IF(OR(L$23="",ISNA($B80)),"",IF(ISBLANK($B80),"",IFERROR(_xll.BDP(TICKER,"DEEP_MEASURE_PERIOD_BROKER_VALUE","DEEP_MEASURE_ID_OVERRIDE",$C80,"DEEP_BROKER_ID_OVERRIDE",L$24,"DEEP_PERIOD_OVERRIDE",$H$19)*1,"")))</f>
        <v/>
      </c>
      <c r="M80" s="17" t="str">
        <f>IF(OR(M$23="",ISNA($B80)),"",IF(ISBLANK($B80),"",IFERROR(_xll.BDP(TICKER,"DEEP_MEASURE_PERIOD_BROKER_VALUE","DEEP_MEASURE_ID_OVERRIDE",$C80,"DEEP_BROKER_ID_OVERRIDE",M$24,"DEEP_PERIOD_OVERRIDE",$H$19)*1,"")))</f>
        <v/>
      </c>
      <c r="N80" s="17" t="str">
        <f>IF(OR(N$23="",ISNA($B80)),"",IF(ISBLANK($B80),"",IFERROR(_xll.BDP(TICKER,"DEEP_MEASURE_PERIOD_BROKER_VALUE","DEEP_MEASURE_ID_OVERRIDE",$C80,"DEEP_BROKER_ID_OVERRIDE",N$24,"DEEP_PERIOD_OVERRIDE",$H$19)*1,"")))</f>
        <v/>
      </c>
      <c r="O80" s="17" t="str">
        <f>IF(OR(O$23="",ISNA($B80)),"",IF(ISBLANK($B80),"",IFERROR(_xll.BDP(TICKER,"DEEP_MEASURE_PERIOD_BROKER_VALUE","DEEP_MEASURE_ID_OVERRIDE",$C80,"DEEP_BROKER_ID_OVERRIDE",O$24,"DEEP_PERIOD_OVERRIDE",$H$19)*1,"")))</f>
        <v/>
      </c>
      <c r="P80" s="17" t="str">
        <f>IF(OR(P$23="",ISNA($B80)),"",IF(ISBLANK($B80),"",IFERROR(_xll.BDP(TICKER,"DEEP_MEASURE_PERIOD_BROKER_VALUE","DEEP_MEASURE_ID_OVERRIDE",$C80,"DEEP_BROKER_ID_OVERRIDE",P$24,"DEEP_PERIOD_OVERRIDE",$H$19)*1,"")))</f>
        <v/>
      </c>
      <c r="Q80" s="17" t="str">
        <f>IF(OR(Q$23="",ISNA($B80)),"",IF(ISBLANK($B80),"",IFERROR(_xll.BDP(TICKER,"DEEP_MEASURE_PERIOD_BROKER_VALUE","DEEP_MEASURE_ID_OVERRIDE",$C80,"DEEP_BROKER_ID_OVERRIDE",Q$24,"DEEP_PERIOD_OVERRIDE",$H$19)*1,"")))</f>
        <v/>
      </c>
      <c r="R80" s="17" t="str">
        <f>IF(OR(R$23="",ISNA($B80)),"",IF(ISBLANK($B80),"",IFERROR(_xll.BDP(TICKER,"DEEP_MEASURE_PERIOD_BROKER_VALUE","DEEP_MEASURE_ID_OVERRIDE",$C80,"DEEP_BROKER_ID_OVERRIDE",R$24,"DEEP_PERIOD_OVERRIDE",$H$19)*1,"")))</f>
        <v/>
      </c>
      <c r="S80" s="17" t="str">
        <f>IF(OR(S$23="",ISNA($B80)),"",IF(ISBLANK($B80),"",IFERROR(_xll.BDP(TICKER,"DEEP_MEASURE_PERIOD_BROKER_VALUE","DEEP_MEASURE_ID_OVERRIDE",$C80,"DEEP_BROKER_ID_OVERRIDE",S$24,"DEEP_PERIOD_OVERRIDE",$H$19)*1,"")))</f>
        <v/>
      </c>
      <c r="T80" s="17" t="str">
        <f>IF(OR(T$23="",ISNA($B80)),"",IF(ISBLANK($B80),"",IFERROR(_xll.BDP(TICKER,"DEEP_MEASURE_PERIOD_BROKER_VALUE","DEEP_MEASURE_ID_OVERRIDE",$C80,"DEEP_BROKER_ID_OVERRIDE",T$24,"DEEP_PERIOD_OVERRIDE",$H$19)*1,"")))</f>
        <v/>
      </c>
      <c r="U80" s="17" t="str">
        <f>IF(OR(U$23="",ISNA($B80)),"",IF(ISBLANK($B80),"",IFERROR(_xll.BDP(TICKER,"DEEP_MEASURE_PERIOD_BROKER_VALUE","DEEP_MEASURE_ID_OVERRIDE",$C80,"DEEP_BROKER_ID_OVERRIDE",U$24,"DEEP_PERIOD_OVERRIDE",$H$19)*1,"")))</f>
        <v/>
      </c>
      <c r="V80" s="17" t="str">
        <f>IF(OR(V$23="",ISNA($B80)),"",IF(ISBLANK($B80),"",IFERROR(_xll.BDP(TICKER,"DEEP_MEASURE_PERIOD_BROKER_VALUE","DEEP_MEASURE_ID_OVERRIDE",$C80,"DEEP_BROKER_ID_OVERRIDE",V$24,"DEEP_PERIOD_OVERRIDE",$H$19)*1,"")))</f>
        <v/>
      </c>
      <c r="W80" s="17" t="str">
        <f>IF(OR(W$23="",ISNA($B80)),"",IF(ISBLANK($B80),"",IFERROR(_xll.BDP(TICKER,"DEEP_MEASURE_PERIOD_BROKER_VALUE","DEEP_MEASURE_ID_OVERRIDE",$C80,"DEEP_BROKER_ID_OVERRIDE",W$24,"DEEP_PERIOD_OVERRIDE",$H$19)*1,"")))</f>
        <v/>
      </c>
      <c r="X80" s="17" t="str">
        <f>IF(OR(X$23="",ISNA($B80)),"",IF(ISBLANK($B80),"",IFERROR(_xll.BDP(TICKER,"DEEP_MEASURE_PERIOD_BROKER_VALUE","DEEP_MEASURE_ID_OVERRIDE",$C80,"DEEP_BROKER_ID_OVERRIDE",X$24,"DEEP_PERIOD_OVERRIDE",$H$19)*1,"")))</f>
        <v/>
      </c>
      <c r="Y80" s="17" t="str">
        <f>IF(OR(Y$23="",ISNA($B80)),"",IF(ISBLANK($B80),"",IFERROR(_xll.BDP(TICKER,"DEEP_MEASURE_PERIOD_BROKER_VALUE","DEEP_MEASURE_ID_OVERRIDE",$C80,"DEEP_BROKER_ID_OVERRIDE",Y$24,"DEEP_PERIOD_OVERRIDE",$H$19)*1,"")))</f>
        <v/>
      </c>
      <c r="Z80" s="17" t="str">
        <f>IF(OR(Z$23="",ISNA($B80)),"",IF(ISBLANK($B80),"",IFERROR(_xll.BDP(TICKER,"DEEP_MEASURE_PERIOD_BROKER_VALUE","DEEP_MEASURE_ID_OVERRIDE",$C80,"DEEP_BROKER_ID_OVERRIDE",Z$24,"DEEP_PERIOD_OVERRIDE",$H$19)*1,"")))</f>
        <v/>
      </c>
      <c r="AA80" s="17" t="str">
        <f>IF(OR(AA$23="",ISNA($B80)),"",IF(ISBLANK($B80),"",IFERROR(_xll.BDP(TICKER,"DEEP_MEASURE_PERIOD_BROKER_VALUE","DEEP_MEASURE_ID_OVERRIDE",$C80,"DEEP_BROKER_ID_OVERRIDE",AA$24,"DEEP_PERIOD_OVERRIDE",$H$19)*1,"")))</f>
        <v/>
      </c>
      <c r="AB80" s="17" t="str">
        <f>IF(OR(AB$23="",ISNA($B80)),"",IF(ISBLANK($B80),"",IFERROR(_xll.BDP(TICKER,"DEEP_MEASURE_PERIOD_BROKER_VALUE","DEEP_MEASURE_ID_OVERRIDE",$C80,"DEEP_BROKER_ID_OVERRIDE",AB$24,"DEEP_PERIOD_OVERRIDE",$H$19)*1,"")))</f>
        <v/>
      </c>
      <c r="AC80" s="17" t="str">
        <f>IF(OR(AC$23="",ISNA($B80)),"",IF(ISBLANK($B80),"",IFERROR(_xll.BDP(TICKER,"DEEP_MEASURE_PERIOD_BROKER_VALUE","DEEP_MEASURE_ID_OVERRIDE",$C80,"DEEP_BROKER_ID_OVERRIDE",AC$24,"DEEP_PERIOD_OVERRIDE",$H$19)*1,"")))</f>
        <v/>
      </c>
      <c r="AD80" s="17" t="str">
        <f>IF(OR(AD$23="",ISNA($B80)),"",IF(ISBLANK($B80),"",IFERROR(_xll.BDP(TICKER,"DEEP_MEASURE_PERIOD_BROKER_VALUE","DEEP_MEASURE_ID_OVERRIDE",$C80,"DEEP_BROKER_ID_OVERRIDE",AD$24,"DEEP_PERIOD_OVERRIDE",$H$19)*1,"")))</f>
        <v/>
      </c>
      <c r="AE80" s="17" t="str">
        <f>IF(OR(AE$23="",ISNA($B80)),"",IF(ISBLANK($B80),"",IFERROR(_xll.BDP(TICKER,"DEEP_MEASURE_PERIOD_BROKER_VALUE","DEEP_MEASURE_ID_OVERRIDE",$C80,"DEEP_BROKER_ID_OVERRIDE",AE$24,"DEEP_PERIOD_OVERRIDE",$H$19)*1,"")))</f>
        <v/>
      </c>
      <c r="AF80" s="17" t="str">
        <f>IF(OR(AF$23="",ISNA($B80)),"",IF(ISBLANK($B80),"",IFERROR(_xll.BDP(TICKER,"DEEP_MEASURE_PERIOD_BROKER_VALUE","DEEP_MEASURE_ID_OVERRIDE",$C80,"DEEP_BROKER_ID_OVERRIDE",AF$24,"DEEP_PERIOD_OVERRIDE",$H$19)*1,"")))</f>
        <v/>
      </c>
      <c r="AG80" s="17" t="str">
        <f>IF(OR(AG$23="",ISNA($B80)),"",IF(ISBLANK($B80),"",IFERROR(_xll.BDP(TICKER,"DEEP_MEASURE_PERIOD_BROKER_VALUE","DEEP_MEASURE_ID_OVERRIDE",$C80,"DEEP_BROKER_ID_OVERRIDE",AG$24,"DEEP_PERIOD_OVERRIDE",$H$19)*1,"")))</f>
        <v/>
      </c>
      <c r="AH80" s="17" t="str">
        <f>IF(OR(AH$23="",ISNA($B80)),"",IF(ISBLANK($B80),"",IFERROR(_xll.BDP(TICKER,"DEEP_MEASURE_PERIOD_BROKER_VALUE","DEEP_MEASURE_ID_OVERRIDE",$C80,"DEEP_BROKER_ID_OVERRIDE",AH$24,"DEEP_PERIOD_OVERRIDE",$H$19)*1,"")))</f>
        <v/>
      </c>
      <c r="AI80" s="17" t="str">
        <f>IF(OR(AI$23="",ISNA($B80)),"",IF(ISBLANK($B80),"",IFERROR(_xll.BDP(TICKER,"DEEP_MEASURE_PERIOD_BROKER_VALUE","DEEP_MEASURE_ID_OVERRIDE",$C80,"DEEP_BROKER_ID_OVERRIDE",AI$24,"DEEP_PERIOD_OVERRIDE",$H$19)*1,"")))</f>
        <v/>
      </c>
      <c r="AJ80" s="17" t="str">
        <f>IF(OR(AJ$23="",ISNA($B80)),"",IF(ISBLANK($B80),"",IFERROR(_xll.BDP(TICKER,"DEEP_MEASURE_PERIOD_BROKER_VALUE","DEEP_MEASURE_ID_OVERRIDE",$C80,"DEEP_BROKER_ID_OVERRIDE",AJ$24,"DEEP_PERIOD_OVERRIDE",$H$19)*1,"")))</f>
        <v/>
      </c>
      <c r="AK80" s="17" t="str">
        <f>IF(OR(AK$23="",ISNA($B80)),"",IF(ISBLANK($B80),"",IFERROR(_xll.BDP(TICKER,"DEEP_MEASURE_PERIOD_BROKER_VALUE","DEEP_MEASURE_ID_OVERRIDE",$C80,"DEEP_BROKER_ID_OVERRIDE",AK$24,"DEEP_PERIOD_OVERRIDE",$H$19)*1,"")))</f>
        <v/>
      </c>
      <c r="AL80" s="17" t="str">
        <f>IF(OR(AL$23="",ISNA($B80)),"",IF(ISBLANK($B80),"",IFERROR(_xll.BDP(TICKER,"DEEP_MEASURE_PERIOD_BROKER_VALUE","DEEP_MEASURE_ID_OVERRIDE",$C80,"DEEP_BROKER_ID_OVERRIDE",AL$24,"DEEP_PERIOD_OVERRIDE",$H$19)*1,"")))</f>
        <v/>
      </c>
      <c r="AM80" s="17" t="str">
        <f>IF(OR(AM$23="",ISNA($B80)),"",IF(ISBLANK($B80),"",IFERROR(_xll.BDP(TICKER,"DEEP_MEASURE_PERIOD_BROKER_VALUE","DEEP_MEASURE_ID_OVERRIDE",$C80,"DEEP_BROKER_ID_OVERRIDE",AM$24,"DEEP_PERIOD_OVERRIDE",$H$19)*1,"")))</f>
        <v/>
      </c>
      <c r="AN80" s="17" t="str">
        <f>IF(OR(AN$23="",ISNA($B80)),"",IF(ISBLANK($B80),"",IFERROR(_xll.BDP(TICKER,"DEEP_MEASURE_PERIOD_BROKER_VALUE","DEEP_MEASURE_ID_OVERRIDE",$C80,"DEEP_BROKER_ID_OVERRIDE",AN$24,"DEEP_PERIOD_OVERRIDE",$H$19)*1,"")))</f>
        <v/>
      </c>
      <c r="AO80" s="17" t="str">
        <f>IF(OR(AO$23="",ISNA($B80)),"",IF(ISBLANK($B80),"",IFERROR(_xll.BDP(TICKER,"DEEP_MEASURE_PERIOD_BROKER_VALUE","DEEP_MEASURE_ID_OVERRIDE",$C80,"DEEP_BROKER_ID_OVERRIDE",AO$24,"DEEP_PERIOD_OVERRIDE",$H$19)*1,"")))</f>
        <v/>
      </c>
      <c r="AP80" s="17" t="str">
        <f>IF(OR(AP$23="",ISNA($B80)),"",IF(ISBLANK($B80),"",IFERROR(_xll.BDP(TICKER,"DEEP_MEASURE_PERIOD_BROKER_VALUE","DEEP_MEASURE_ID_OVERRIDE",$C80,"DEEP_BROKER_ID_OVERRIDE",AP$24,"DEEP_PERIOD_OVERRIDE",$H$19)*1,"")))</f>
        <v/>
      </c>
      <c r="AQ80" s="17" t="str">
        <f>IF(OR(AQ$23="",ISNA($B80)),"",IF(ISBLANK($B80),"",IFERROR(_xll.BDP(TICKER,"DEEP_MEASURE_PERIOD_BROKER_VALUE","DEEP_MEASURE_ID_OVERRIDE",$C80,"DEEP_BROKER_ID_OVERRIDE",AQ$24,"DEEP_PERIOD_OVERRIDE",$H$19)*1,"")))</f>
        <v/>
      </c>
      <c r="AR80" s="17" t="str">
        <f>IF(OR(AR$23="",ISNA($B80)),"",IF(ISBLANK($B80),"",IFERROR(_xll.BDP(TICKER,"DEEP_MEASURE_PERIOD_BROKER_VALUE","DEEP_MEASURE_ID_OVERRIDE",$C80,"DEEP_BROKER_ID_OVERRIDE",AR$24,"DEEP_PERIOD_OVERRIDE",$H$19)*1,"")))</f>
        <v/>
      </c>
      <c r="AS80" s="17" t="str">
        <f>IF(OR(AS$23="",ISNA($B80)),"",IF(ISBLANK($B80),"",IFERROR(_xll.BDP(TICKER,"DEEP_MEASURE_PERIOD_BROKER_VALUE","DEEP_MEASURE_ID_OVERRIDE",$C80,"DEEP_BROKER_ID_OVERRIDE",AS$24,"DEEP_PERIOD_OVERRIDE",$H$19)*1,"")))</f>
        <v/>
      </c>
      <c r="AT80" s="17" t="str">
        <f>IF(OR(AT$23="",ISNA($B80)),"",IF(ISBLANK($B80),"",IFERROR(_xll.BDP(TICKER,"DEEP_MEASURE_PERIOD_BROKER_VALUE","DEEP_MEASURE_ID_OVERRIDE",$C80,"DEEP_BROKER_ID_OVERRIDE",AT$24,"DEEP_PERIOD_OVERRIDE",$H$19)*1,"")))</f>
        <v/>
      </c>
      <c r="AU80" s="17" t="str">
        <f>IF(OR(AU$23="",ISNA($B80)),"",IF(ISBLANK($B80),"",IFERROR(_xll.BDP(TICKER,"DEEP_MEASURE_PERIOD_BROKER_VALUE","DEEP_MEASURE_ID_OVERRIDE",$C80,"DEEP_BROKER_ID_OVERRIDE",AU$24,"DEEP_PERIOD_OVERRIDE",$H$19)*1,"")))</f>
        <v/>
      </c>
      <c r="AV80" s="17" t="str">
        <f>IF(OR(AV$23="",ISNA($B80)),"",IF(ISBLANK($B80),"",IFERROR(_xll.BDP(TICKER,"DEEP_MEASURE_PERIOD_BROKER_VALUE","DEEP_MEASURE_ID_OVERRIDE",$C80,"DEEP_BROKER_ID_OVERRIDE",AV$24,"DEEP_PERIOD_OVERRIDE",$H$19)*1,"")))</f>
        <v/>
      </c>
      <c r="AW80" s="17" t="str">
        <f>IF(OR(AW$23="",ISNA($B80)),"",IF(ISBLANK($B80),"",IFERROR(_xll.BDP(TICKER,"DEEP_MEASURE_PERIOD_BROKER_VALUE","DEEP_MEASURE_ID_OVERRIDE",$C80,"DEEP_BROKER_ID_OVERRIDE",AW$24,"DEEP_PERIOD_OVERRIDE",$H$19)*1,"")))</f>
        <v/>
      </c>
      <c r="AX80" s="17" t="str">
        <f>IF(OR(AX$23="",ISNA($B80)),"",IF(ISBLANK($B80),"",IFERROR(_xll.BDP(TICKER,"DEEP_MEASURE_PERIOD_BROKER_VALUE","DEEP_MEASURE_ID_OVERRIDE",$C80,"DEEP_BROKER_ID_OVERRIDE",AX$24,"DEEP_PERIOD_OVERRIDE",$H$19)*1,"")))</f>
        <v/>
      </c>
      <c r="AY80" s="17" t="str">
        <f>IF(OR(AY$23="",ISNA($B80)),"",IF(ISBLANK($B80),"",IFERROR(_xll.BDP(TICKER,"DEEP_MEASURE_PERIOD_BROKER_VALUE","DEEP_MEASURE_ID_OVERRIDE",$C80,"DEEP_BROKER_ID_OVERRIDE",AY$24,"DEEP_PERIOD_OVERRIDE",$H$19)*1,"")))</f>
        <v/>
      </c>
      <c r="AZ80" s="17" t="str">
        <f>IF(OR(AZ$23="",ISNA($B80)),"",IF(ISBLANK($B80),"",IFERROR(_xll.BDP(TICKER,"DEEP_MEASURE_PERIOD_BROKER_VALUE","DEEP_MEASURE_ID_OVERRIDE",$C80,"DEEP_BROKER_ID_OVERRIDE",AZ$24,"DEEP_PERIOD_OVERRIDE",$H$19)*1,"")))</f>
        <v/>
      </c>
      <c r="BA80" s="17" t="str">
        <f>IF(OR(BA$23="",ISNA($B80)),"",IF(ISBLANK($B80),"",IFERROR(_xll.BDP(TICKER,"DEEP_MEASURE_PERIOD_BROKER_VALUE","DEEP_MEASURE_ID_OVERRIDE",$C80,"DEEP_BROKER_ID_OVERRIDE",BA$24,"DEEP_PERIOD_OVERRIDE",$H$19)*1,"")))</f>
        <v/>
      </c>
      <c r="BB80" s="17" t="str">
        <f>IF(OR(BB$23="",ISNA($B80)),"",IF(ISBLANK($B80),"",IFERROR(_xll.BDP(TICKER,"DEEP_MEASURE_PERIOD_BROKER_VALUE","DEEP_MEASURE_ID_OVERRIDE",$C80,"DEEP_BROKER_ID_OVERRIDE",BB$24,"DEEP_PERIOD_OVERRIDE",$H$19)*1,"")))</f>
        <v/>
      </c>
      <c r="BC80" s="17" t="str">
        <f>IF(OR(BC$23="",ISNA($B80)),"",IF(ISBLANK($B80),"",IFERROR(_xll.BDP(TICKER,"DEEP_MEASURE_PERIOD_BROKER_VALUE","DEEP_MEASURE_ID_OVERRIDE",$C80,"DEEP_BROKER_ID_OVERRIDE",BC$24,"DEEP_PERIOD_OVERRIDE",$H$19)*1,"")))</f>
        <v/>
      </c>
      <c r="BD80" s="17" t="str">
        <f>IF(OR(BD$23="",ISNA($B80)),"",IF(ISBLANK($B80),"",IFERROR(_xll.BDP(TICKER,"DEEP_MEASURE_PERIOD_BROKER_VALUE","DEEP_MEASURE_ID_OVERRIDE",$C80,"DEEP_BROKER_ID_OVERRIDE",BD$24,"DEEP_PERIOD_OVERRIDE",$H$19)*1,"")))</f>
        <v/>
      </c>
      <c r="BE80" s="17" t="str">
        <f>IF(OR(BE$23="",ISNA($B80)),"",IF(ISBLANK($B80),"",IFERROR(_xll.BDP(TICKER,"DEEP_MEASURE_PERIOD_BROKER_VALUE","DEEP_MEASURE_ID_OVERRIDE",$C80,"DEEP_BROKER_ID_OVERRIDE",BE$24,"DEEP_PERIOD_OVERRIDE",$H$19)*1,"")))</f>
        <v/>
      </c>
      <c r="BF80" s="17" t="str">
        <f>IF(OR(BF$23="",ISNA($B80)),"",IF(ISBLANK($B80),"",IFERROR(_xll.BDP(TICKER,"DEEP_MEASURE_PERIOD_BROKER_VALUE","DEEP_MEASURE_ID_OVERRIDE",$C80,"DEEP_BROKER_ID_OVERRIDE",BF$24,"DEEP_PERIOD_OVERRIDE",$H$19)*1,"")))</f>
        <v/>
      </c>
      <c r="BG80" s="17" t="str">
        <f>IF(OR(BG$23="",ISNA($B80)),"",IF(ISBLANK($B80),"",IFERROR(_xll.BDP(TICKER,"DEEP_MEASURE_PERIOD_BROKER_VALUE","DEEP_MEASURE_ID_OVERRIDE",$C80,"DEEP_BROKER_ID_OVERRIDE",BG$24,"DEEP_PERIOD_OVERRIDE",$H$19)*1,"")))</f>
        <v/>
      </c>
      <c r="BH80" s="17" t="str">
        <f>IF(OR(BH$23="",ISNA($B80)),"",IF(ISBLANK($B80),"",IFERROR(_xll.BDP(TICKER,"DEEP_MEASURE_PERIOD_BROKER_VALUE","DEEP_MEASURE_ID_OVERRIDE",$C80,"DEEP_BROKER_ID_OVERRIDE",BH$24,"DEEP_PERIOD_OVERRIDE",$H$19)*1,"")))</f>
        <v/>
      </c>
      <c r="BI80" s="17" t="str">
        <f>IF(OR(BI$23="",ISNA($B80)),"",IF(ISBLANK($B80),"",IFERROR(_xll.BDP(TICKER,"DEEP_MEASURE_PERIOD_BROKER_VALUE","DEEP_MEASURE_ID_OVERRIDE",$C80,"DEEP_BROKER_ID_OVERRIDE",BI$24,"DEEP_PERIOD_OVERRIDE",$H$19)*1,"")))</f>
        <v/>
      </c>
      <c r="BJ80" s="17" t="str">
        <f>IF(OR(BJ$23="",ISNA($B80)),"",IF(ISBLANK($B80),"",IFERROR(_xll.BDP(TICKER,"DEEP_MEASURE_PERIOD_BROKER_VALUE","DEEP_MEASURE_ID_OVERRIDE",$C80,"DEEP_BROKER_ID_OVERRIDE",BJ$24,"DEEP_PERIOD_OVERRIDE",$H$19)*1,"")))</f>
        <v/>
      </c>
      <c r="BK80" s="17" t="str">
        <f>IF(OR(BK$23="",ISNA($B80)),"",IF(ISBLANK($B80),"",IFERROR(_xll.BDP(TICKER,"DEEP_MEASURE_PERIOD_BROKER_VALUE","DEEP_MEASURE_ID_OVERRIDE",$C80,"DEEP_BROKER_ID_OVERRIDE",BK$24,"DEEP_PERIOD_OVERRIDE",$H$19)*1,"")))</f>
        <v/>
      </c>
      <c r="BL80" s="17" t="str">
        <f>IF(OR(BL$23="",ISNA($B80)),"",IF(ISBLANK($B80),"",IFERROR(_xll.BDP(TICKER,"DEEP_MEASURE_PERIOD_BROKER_VALUE","DEEP_MEASURE_ID_OVERRIDE",$C80,"DEEP_BROKER_ID_OVERRIDE",BL$24,"DEEP_PERIOD_OVERRIDE",$H$19)*1,"")))</f>
        <v/>
      </c>
      <c r="BM80" s="17" t="str">
        <f>IF(OR(BM$23="",ISNA($B80)),"",IF(ISBLANK($B80),"",IFERROR(_xll.BDP(TICKER,"DEEP_MEASURE_PERIOD_BROKER_VALUE","DEEP_MEASURE_ID_OVERRIDE",$C80,"DEEP_BROKER_ID_OVERRIDE",BM$24,"DEEP_PERIOD_OVERRIDE",$H$19)*1,"")))</f>
        <v/>
      </c>
      <c r="BN80" s="17" t="str">
        <f>IF(OR(BN$23="",ISNA($B80)),"",IF(ISBLANK($B80),"",IFERROR(_xll.BDP(TICKER,"DEEP_MEASURE_PERIOD_BROKER_VALUE","DEEP_MEASURE_ID_OVERRIDE",$C80,"DEEP_BROKER_ID_OVERRIDE",BN$24,"DEEP_PERIOD_OVERRIDE",$H$19)*1,"")))</f>
        <v/>
      </c>
      <c r="BO80" s="17" t="str">
        <f>IF(OR(BO$23="",ISNA($B80)),"",IF(ISBLANK($B80),"",IFERROR(_xll.BDP(TICKER,"DEEP_MEASURE_PERIOD_BROKER_VALUE","DEEP_MEASURE_ID_OVERRIDE",$C80,"DEEP_BROKER_ID_OVERRIDE",BO$24,"DEEP_PERIOD_OVERRIDE",$H$19)*1,"")))</f>
        <v/>
      </c>
      <c r="BP80" s="17" t="str">
        <f>IF(OR(BP$23="",ISNA($B80)),"",IF(ISBLANK($B80),"",IFERROR(_xll.BDP(TICKER,"DEEP_MEASURE_PERIOD_BROKER_VALUE","DEEP_MEASURE_ID_OVERRIDE",$C80,"DEEP_BROKER_ID_OVERRIDE",BP$24,"DEEP_PERIOD_OVERRIDE",$H$19)*1,"")))</f>
        <v/>
      </c>
      <c r="BQ80" s="17" t="str">
        <f>IF(OR(BQ$23="",ISNA($B80)),"",IF(ISBLANK($B80),"",IFERROR(_xll.BDP(TICKER,"DEEP_MEASURE_PERIOD_BROKER_VALUE","DEEP_MEASURE_ID_OVERRIDE",$C80,"DEEP_BROKER_ID_OVERRIDE",BQ$24,"DEEP_PERIOD_OVERRIDE",$H$19)*1,"")))</f>
        <v/>
      </c>
      <c r="BR80" s="17" t="str">
        <f>IF(OR(BR$23="",ISNA($B80)),"",IF(ISBLANK($B80),"",IFERROR(_xll.BDP(TICKER,"DEEP_MEASURE_PERIOD_BROKER_VALUE","DEEP_MEASURE_ID_OVERRIDE",$C80,"DEEP_BROKER_ID_OVERRIDE",BR$24,"DEEP_PERIOD_OVERRIDE",$H$19)*1,"")))</f>
        <v/>
      </c>
      <c r="BS80" s="17" t="str">
        <f>IF(OR(BS$23="",ISNA($B80)),"",IF(ISBLANK($B80),"",IFERROR(_xll.BDP(TICKER,"DEEP_MEASURE_PERIOD_BROKER_VALUE","DEEP_MEASURE_ID_OVERRIDE",$C80,"DEEP_BROKER_ID_OVERRIDE",BS$24,"DEEP_PERIOD_OVERRIDE",$H$19)*1,"")))</f>
        <v/>
      </c>
      <c r="BT80" s="17" t="str">
        <f>IF(OR(BT$23="",ISNA($B80)),"",IF(ISBLANK($B80),"",IFERROR(_xll.BDP(TICKER,"DEEP_MEASURE_PERIOD_BROKER_VALUE","DEEP_MEASURE_ID_OVERRIDE",$C80,"DEEP_BROKER_ID_OVERRIDE",BT$24,"DEEP_PERIOD_OVERRIDE",$H$19)*1,"")))</f>
        <v/>
      </c>
      <c r="BU80" s="17" t="str">
        <f>IF(OR(BU$23="",ISNA($B80)),"",IF(ISBLANK($B80),"",IFERROR(_xll.BDP(TICKER,"DEEP_MEASURE_PERIOD_BROKER_VALUE","DEEP_MEASURE_ID_OVERRIDE",$C80,"DEEP_BROKER_ID_OVERRIDE",BU$24,"DEEP_PERIOD_OVERRIDE",$H$19)*1,"")))</f>
        <v/>
      </c>
      <c r="BV80" s="17" t="str">
        <f>IF(OR(BV$23="",ISNA($B80)),"",IF(ISBLANK($B80),"",IFERROR(_xll.BDP(TICKER,"DEEP_MEASURE_PERIOD_BROKER_VALUE","DEEP_MEASURE_ID_OVERRIDE",$C80,"DEEP_BROKER_ID_OVERRIDE",BV$24,"DEEP_PERIOD_OVERRIDE",$H$19)*1,"")))</f>
        <v/>
      </c>
      <c r="BW80" s="17" t="str">
        <f>IF(OR(BW$23="",ISNA($B80)),"",IF(ISBLANK($B80),"",IFERROR(_xll.BDP(TICKER,"DEEP_MEASURE_PERIOD_BROKER_VALUE","DEEP_MEASURE_ID_OVERRIDE",$C80,"DEEP_BROKER_ID_OVERRIDE",BW$24,"DEEP_PERIOD_OVERRIDE",$H$19)*1,"")))</f>
        <v/>
      </c>
      <c r="BX80" s="17" t="str">
        <f>IF(OR(BX$23="",ISNA($B80)),"",IF(ISBLANK($B80),"",IFERROR(_xll.BDP(TICKER,"DEEP_MEASURE_PERIOD_BROKER_VALUE","DEEP_MEASURE_ID_OVERRIDE",$C80,"DEEP_BROKER_ID_OVERRIDE",BX$24,"DEEP_PERIOD_OVERRIDE",$H$19)*1,"")))</f>
        <v/>
      </c>
      <c r="BY80" s="17" t="str">
        <f>IF(OR(BY$23="",ISNA($B80)),"",IF(ISBLANK($B80),"",IFERROR(_xll.BDP(TICKER,"DEEP_MEASURE_PERIOD_BROKER_VALUE","DEEP_MEASURE_ID_OVERRIDE",$C80,"DEEP_BROKER_ID_OVERRIDE",BY$24,"DEEP_PERIOD_OVERRIDE",$H$19)*1,"")))</f>
        <v/>
      </c>
      <c r="BZ80" s="17" t="str">
        <f>IF(OR(BZ$23="",ISNA($B80)),"",IF(ISBLANK($B80),"",IFERROR(_xll.BDP(TICKER,"DEEP_MEASURE_PERIOD_BROKER_VALUE","DEEP_MEASURE_ID_OVERRIDE",$C80,"DEEP_BROKER_ID_OVERRIDE",BZ$24,"DEEP_PERIOD_OVERRIDE",$H$19)*1,"")))</f>
        <v/>
      </c>
    </row>
    <row r="81" spans="2:78" x14ac:dyDescent="0.25">
      <c r="B81" t="s">
        <v>125</v>
      </c>
      <c r="C81">
        <v>399</v>
      </c>
      <c r="H81" t="str">
        <f t="shared" si="1"/>
        <v>Total Revenue &gt; Non-Hotel &gt; Adjusted EBITDA &gt; Adjusted EBITDA Margin (%)</v>
      </c>
      <c r="I81" t="str">
        <f>IF(OR(I$23="",ISNA($B81)),"",IF(ISBLANK($B81),"",IFERROR(_xll.BDP(TICKER,"DEEP_MEASURE_PERIOD_BROKER_VALUE","DEEP_MEASURE_ID_OVERRIDE",$C81,"DEEP_PERIOD_OVERRIDE",$H$19)*1,"")))</f>
        <v/>
      </c>
      <c r="J81" t="e">
        <f>IF(OR(J$23="",ISNA($B81)),"",IF(ISBLANK($B81),"",IFERROR(_xll.BDP(TICKER,"DEEP_MEASURE_PERIOD_BROKER_VALUE","DEEP_MEASURE_ID_OVERRIDE",$C81,"DEEP_BROKER_ID_OVERRIDE",J$24,"DEEP_PERIOD_OVERRIDE",$H$19)*1,"")))</f>
        <v>#REF!</v>
      </c>
      <c r="K81" s="17" t="str">
        <f>IF(OR(K$23="",ISNA($B81)),"",IF(ISBLANK($B81),"",IFERROR(_xll.BDP(TICKER,"DEEP_MEASURE_PERIOD_BROKER_VALUE","DEEP_MEASURE_ID_OVERRIDE",$C81,"DEEP_BROKER_ID_OVERRIDE",K$24,"DEEP_PERIOD_OVERRIDE",$H$19)*1,"")))</f>
        <v/>
      </c>
      <c r="L81" s="17" t="str">
        <f>IF(OR(L$23="",ISNA($B81)),"",IF(ISBLANK($B81),"",IFERROR(_xll.BDP(TICKER,"DEEP_MEASURE_PERIOD_BROKER_VALUE","DEEP_MEASURE_ID_OVERRIDE",$C81,"DEEP_BROKER_ID_OVERRIDE",L$24,"DEEP_PERIOD_OVERRIDE",$H$19)*1,"")))</f>
        <v/>
      </c>
      <c r="M81" s="17" t="str">
        <f>IF(OR(M$23="",ISNA($B81)),"",IF(ISBLANK($B81),"",IFERROR(_xll.BDP(TICKER,"DEEP_MEASURE_PERIOD_BROKER_VALUE","DEEP_MEASURE_ID_OVERRIDE",$C81,"DEEP_BROKER_ID_OVERRIDE",M$24,"DEEP_PERIOD_OVERRIDE",$H$19)*1,"")))</f>
        <v/>
      </c>
      <c r="N81" s="17" t="str">
        <f>IF(OR(N$23="",ISNA($B81)),"",IF(ISBLANK($B81),"",IFERROR(_xll.BDP(TICKER,"DEEP_MEASURE_PERIOD_BROKER_VALUE","DEEP_MEASURE_ID_OVERRIDE",$C81,"DEEP_BROKER_ID_OVERRIDE",N$24,"DEEP_PERIOD_OVERRIDE",$H$19)*1,"")))</f>
        <v/>
      </c>
      <c r="O81" s="17" t="str">
        <f>IF(OR(O$23="",ISNA($B81)),"",IF(ISBLANK($B81),"",IFERROR(_xll.BDP(TICKER,"DEEP_MEASURE_PERIOD_BROKER_VALUE","DEEP_MEASURE_ID_OVERRIDE",$C81,"DEEP_BROKER_ID_OVERRIDE",O$24,"DEEP_PERIOD_OVERRIDE",$H$19)*1,"")))</f>
        <v/>
      </c>
      <c r="P81" s="17" t="str">
        <f>IF(OR(P$23="",ISNA($B81)),"",IF(ISBLANK($B81),"",IFERROR(_xll.BDP(TICKER,"DEEP_MEASURE_PERIOD_BROKER_VALUE","DEEP_MEASURE_ID_OVERRIDE",$C81,"DEEP_BROKER_ID_OVERRIDE",P$24,"DEEP_PERIOD_OVERRIDE",$H$19)*1,"")))</f>
        <v/>
      </c>
      <c r="Q81" s="17" t="str">
        <f>IF(OR(Q$23="",ISNA($B81)),"",IF(ISBLANK($B81),"",IFERROR(_xll.BDP(TICKER,"DEEP_MEASURE_PERIOD_BROKER_VALUE","DEEP_MEASURE_ID_OVERRIDE",$C81,"DEEP_BROKER_ID_OVERRIDE",Q$24,"DEEP_PERIOD_OVERRIDE",$H$19)*1,"")))</f>
        <v/>
      </c>
      <c r="R81" s="17" t="str">
        <f>IF(OR(R$23="",ISNA($B81)),"",IF(ISBLANK($B81),"",IFERROR(_xll.BDP(TICKER,"DEEP_MEASURE_PERIOD_BROKER_VALUE","DEEP_MEASURE_ID_OVERRIDE",$C81,"DEEP_BROKER_ID_OVERRIDE",R$24,"DEEP_PERIOD_OVERRIDE",$H$19)*1,"")))</f>
        <v/>
      </c>
      <c r="S81" s="17" t="str">
        <f>IF(OR(S$23="",ISNA($B81)),"",IF(ISBLANK($B81),"",IFERROR(_xll.BDP(TICKER,"DEEP_MEASURE_PERIOD_BROKER_VALUE","DEEP_MEASURE_ID_OVERRIDE",$C81,"DEEP_BROKER_ID_OVERRIDE",S$24,"DEEP_PERIOD_OVERRIDE",$H$19)*1,"")))</f>
        <v/>
      </c>
      <c r="T81" s="17" t="str">
        <f>IF(OR(T$23="",ISNA($B81)),"",IF(ISBLANK($B81),"",IFERROR(_xll.BDP(TICKER,"DEEP_MEASURE_PERIOD_BROKER_VALUE","DEEP_MEASURE_ID_OVERRIDE",$C81,"DEEP_BROKER_ID_OVERRIDE",T$24,"DEEP_PERIOD_OVERRIDE",$H$19)*1,"")))</f>
        <v/>
      </c>
      <c r="U81" s="17" t="str">
        <f>IF(OR(U$23="",ISNA($B81)),"",IF(ISBLANK($B81),"",IFERROR(_xll.BDP(TICKER,"DEEP_MEASURE_PERIOD_BROKER_VALUE","DEEP_MEASURE_ID_OVERRIDE",$C81,"DEEP_BROKER_ID_OVERRIDE",U$24,"DEEP_PERIOD_OVERRIDE",$H$19)*1,"")))</f>
        <v/>
      </c>
      <c r="V81" s="17" t="str">
        <f>IF(OR(V$23="",ISNA($B81)),"",IF(ISBLANK($B81),"",IFERROR(_xll.BDP(TICKER,"DEEP_MEASURE_PERIOD_BROKER_VALUE","DEEP_MEASURE_ID_OVERRIDE",$C81,"DEEP_BROKER_ID_OVERRIDE",V$24,"DEEP_PERIOD_OVERRIDE",$H$19)*1,"")))</f>
        <v/>
      </c>
      <c r="W81" s="17" t="str">
        <f>IF(OR(W$23="",ISNA($B81)),"",IF(ISBLANK($B81),"",IFERROR(_xll.BDP(TICKER,"DEEP_MEASURE_PERIOD_BROKER_VALUE","DEEP_MEASURE_ID_OVERRIDE",$C81,"DEEP_BROKER_ID_OVERRIDE",W$24,"DEEP_PERIOD_OVERRIDE",$H$19)*1,"")))</f>
        <v/>
      </c>
      <c r="X81" s="17" t="str">
        <f>IF(OR(X$23="",ISNA($B81)),"",IF(ISBLANK($B81),"",IFERROR(_xll.BDP(TICKER,"DEEP_MEASURE_PERIOD_BROKER_VALUE","DEEP_MEASURE_ID_OVERRIDE",$C81,"DEEP_BROKER_ID_OVERRIDE",X$24,"DEEP_PERIOD_OVERRIDE",$H$19)*1,"")))</f>
        <v/>
      </c>
      <c r="Y81" s="17" t="str">
        <f>IF(OR(Y$23="",ISNA($B81)),"",IF(ISBLANK($B81),"",IFERROR(_xll.BDP(TICKER,"DEEP_MEASURE_PERIOD_BROKER_VALUE","DEEP_MEASURE_ID_OVERRIDE",$C81,"DEEP_BROKER_ID_OVERRIDE",Y$24,"DEEP_PERIOD_OVERRIDE",$H$19)*1,"")))</f>
        <v/>
      </c>
      <c r="Z81" s="17" t="str">
        <f>IF(OR(Z$23="",ISNA($B81)),"",IF(ISBLANK($B81),"",IFERROR(_xll.BDP(TICKER,"DEEP_MEASURE_PERIOD_BROKER_VALUE","DEEP_MEASURE_ID_OVERRIDE",$C81,"DEEP_BROKER_ID_OVERRIDE",Z$24,"DEEP_PERIOD_OVERRIDE",$H$19)*1,"")))</f>
        <v/>
      </c>
      <c r="AA81" s="17" t="str">
        <f>IF(OR(AA$23="",ISNA($B81)),"",IF(ISBLANK($B81),"",IFERROR(_xll.BDP(TICKER,"DEEP_MEASURE_PERIOD_BROKER_VALUE","DEEP_MEASURE_ID_OVERRIDE",$C81,"DEEP_BROKER_ID_OVERRIDE",AA$24,"DEEP_PERIOD_OVERRIDE",$H$19)*1,"")))</f>
        <v/>
      </c>
      <c r="AB81" s="17" t="str">
        <f>IF(OR(AB$23="",ISNA($B81)),"",IF(ISBLANK($B81),"",IFERROR(_xll.BDP(TICKER,"DEEP_MEASURE_PERIOD_BROKER_VALUE","DEEP_MEASURE_ID_OVERRIDE",$C81,"DEEP_BROKER_ID_OVERRIDE",AB$24,"DEEP_PERIOD_OVERRIDE",$H$19)*1,"")))</f>
        <v/>
      </c>
      <c r="AC81" s="17" t="str">
        <f>IF(OR(AC$23="",ISNA($B81)),"",IF(ISBLANK($B81),"",IFERROR(_xll.BDP(TICKER,"DEEP_MEASURE_PERIOD_BROKER_VALUE","DEEP_MEASURE_ID_OVERRIDE",$C81,"DEEP_BROKER_ID_OVERRIDE",AC$24,"DEEP_PERIOD_OVERRIDE",$H$19)*1,"")))</f>
        <v/>
      </c>
      <c r="AD81" s="17" t="str">
        <f>IF(OR(AD$23="",ISNA($B81)),"",IF(ISBLANK($B81),"",IFERROR(_xll.BDP(TICKER,"DEEP_MEASURE_PERIOD_BROKER_VALUE","DEEP_MEASURE_ID_OVERRIDE",$C81,"DEEP_BROKER_ID_OVERRIDE",AD$24,"DEEP_PERIOD_OVERRIDE",$H$19)*1,"")))</f>
        <v/>
      </c>
      <c r="AE81" s="17" t="str">
        <f>IF(OR(AE$23="",ISNA($B81)),"",IF(ISBLANK($B81),"",IFERROR(_xll.BDP(TICKER,"DEEP_MEASURE_PERIOD_BROKER_VALUE","DEEP_MEASURE_ID_OVERRIDE",$C81,"DEEP_BROKER_ID_OVERRIDE",AE$24,"DEEP_PERIOD_OVERRIDE",$H$19)*1,"")))</f>
        <v/>
      </c>
      <c r="AF81" s="17" t="str">
        <f>IF(OR(AF$23="",ISNA($B81)),"",IF(ISBLANK($B81),"",IFERROR(_xll.BDP(TICKER,"DEEP_MEASURE_PERIOD_BROKER_VALUE","DEEP_MEASURE_ID_OVERRIDE",$C81,"DEEP_BROKER_ID_OVERRIDE",AF$24,"DEEP_PERIOD_OVERRIDE",$H$19)*1,"")))</f>
        <v/>
      </c>
      <c r="AG81" s="17" t="str">
        <f>IF(OR(AG$23="",ISNA($B81)),"",IF(ISBLANK($B81),"",IFERROR(_xll.BDP(TICKER,"DEEP_MEASURE_PERIOD_BROKER_VALUE","DEEP_MEASURE_ID_OVERRIDE",$C81,"DEEP_BROKER_ID_OVERRIDE",AG$24,"DEEP_PERIOD_OVERRIDE",$H$19)*1,"")))</f>
        <v/>
      </c>
      <c r="AH81" s="17" t="str">
        <f>IF(OR(AH$23="",ISNA($B81)),"",IF(ISBLANK($B81),"",IFERROR(_xll.BDP(TICKER,"DEEP_MEASURE_PERIOD_BROKER_VALUE","DEEP_MEASURE_ID_OVERRIDE",$C81,"DEEP_BROKER_ID_OVERRIDE",AH$24,"DEEP_PERIOD_OVERRIDE",$H$19)*1,"")))</f>
        <v/>
      </c>
      <c r="AI81" s="17" t="str">
        <f>IF(OR(AI$23="",ISNA($B81)),"",IF(ISBLANK($B81),"",IFERROR(_xll.BDP(TICKER,"DEEP_MEASURE_PERIOD_BROKER_VALUE","DEEP_MEASURE_ID_OVERRIDE",$C81,"DEEP_BROKER_ID_OVERRIDE",AI$24,"DEEP_PERIOD_OVERRIDE",$H$19)*1,"")))</f>
        <v/>
      </c>
      <c r="AJ81" s="17" t="str">
        <f>IF(OR(AJ$23="",ISNA($B81)),"",IF(ISBLANK($B81),"",IFERROR(_xll.BDP(TICKER,"DEEP_MEASURE_PERIOD_BROKER_VALUE","DEEP_MEASURE_ID_OVERRIDE",$C81,"DEEP_BROKER_ID_OVERRIDE",AJ$24,"DEEP_PERIOD_OVERRIDE",$H$19)*1,"")))</f>
        <v/>
      </c>
      <c r="AK81" s="17" t="str">
        <f>IF(OR(AK$23="",ISNA($B81)),"",IF(ISBLANK($B81),"",IFERROR(_xll.BDP(TICKER,"DEEP_MEASURE_PERIOD_BROKER_VALUE","DEEP_MEASURE_ID_OVERRIDE",$C81,"DEEP_BROKER_ID_OVERRIDE",AK$24,"DEEP_PERIOD_OVERRIDE",$H$19)*1,"")))</f>
        <v/>
      </c>
      <c r="AL81" s="17" t="str">
        <f>IF(OR(AL$23="",ISNA($B81)),"",IF(ISBLANK($B81),"",IFERROR(_xll.BDP(TICKER,"DEEP_MEASURE_PERIOD_BROKER_VALUE","DEEP_MEASURE_ID_OVERRIDE",$C81,"DEEP_BROKER_ID_OVERRIDE",AL$24,"DEEP_PERIOD_OVERRIDE",$H$19)*1,"")))</f>
        <v/>
      </c>
      <c r="AM81" s="17" t="str">
        <f>IF(OR(AM$23="",ISNA($B81)),"",IF(ISBLANK($B81),"",IFERROR(_xll.BDP(TICKER,"DEEP_MEASURE_PERIOD_BROKER_VALUE","DEEP_MEASURE_ID_OVERRIDE",$C81,"DEEP_BROKER_ID_OVERRIDE",AM$24,"DEEP_PERIOD_OVERRIDE",$H$19)*1,"")))</f>
        <v/>
      </c>
      <c r="AN81" s="17" t="str">
        <f>IF(OR(AN$23="",ISNA($B81)),"",IF(ISBLANK($B81),"",IFERROR(_xll.BDP(TICKER,"DEEP_MEASURE_PERIOD_BROKER_VALUE","DEEP_MEASURE_ID_OVERRIDE",$C81,"DEEP_BROKER_ID_OVERRIDE",AN$24,"DEEP_PERIOD_OVERRIDE",$H$19)*1,"")))</f>
        <v/>
      </c>
      <c r="AO81" s="17" t="str">
        <f>IF(OR(AO$23="",ISNA($B81)),"",IF(ISBLANK($B81),"",IFERROR(_xll.BDP(TICKER,"DEEP_MEASURE_PERIOD_BROKER_VALUE","DEEP_MEASURE_ID_OVERRIDE",$C81,"DEEP_BROKER_ID_OVERRIDE",AO$24,"DEEP_PERIOD_OVERRIDE",$H$19)*1,"")))</f>
        <v/>
      </c>
      <c r="AP81" s="17" t="str">
        <f>IF(OR(AP$23="",ISNA($B81)),"",IF(ISBLANK($B81),"",IFERROR(_xll.BDP(TICKER,"DEEP_MEASURE_PERIOD_BROKER_VALUE","DEEP_MEASURE_ID_OVERRIDE",$C81,"DEEP_BROKER_ID_OVERRIDE",AP$24,"DEEP_PERIOD_OVERRIDE",$H$19)*1,"")))</f>
        <v/>
      </c>
      <c r="AQ81" s="17" t="str">
        <f>IF(OR(AQ$23="",ISNA($B81)),"",IF(ISBLANK($B81),"",IFERROR(_xll.BDP(TICKER,"DEEP_MEASURE_PERIOD_BROKER_VALUE","DEEP_MEASURE_ID_OVERRIDE",$C81,"DEEP_BROKER_ID_OVERRIDE",AQ$24,"DEEP_PERIOD_OVERRIDE",$H$19)*1,"")))</f>
        <v/>
      </c>
      <c r="AR81" s="17" t="str">
        <f>IF(OR(AR$23="",ISNA($B81)),"",IF(ISBLANK($B81),"",IFERROR(_xll.BDP(TICKER,"DEEP_MEASURE_PERIOD_BROKER_VALUE","DEEP_MEASURE_ID_OVERRIDE",$C81,"DEEP_BROKER_ID_OVERRIDE",AR$24,"DEEP_PERIOD_OVERRIDE",$H$19)*1,"")))</f>
        <v/>
      </c>
      <c r="AS81" s="17" t="str">
        <f>IF(OR(AS$23="",ISNA($B81)),"",IF(ISBLANK($B81),"",IFERROR(_xll.BDP(TICKER,"DEEP_MEASURE_PERIOD_BROKER_VALUE","DEEP_MEASURE_ID_OVERRIDE",$C81,"DEEP_BROKER_ID_OVERRIDE",AS$24,"DEEP_PERIOD_OVERRIDE",$H$19)*1,"")))</f>
        <v/>
      </c>
      <c r="AT81" s="17" t="str">
        <f>IF(OR(AT$23="",ISNA($B81)),"",IF(ISBLANK($B81),"",IFERROR(_xll.BDP(TICKER,"DEEP_MEASURE_PERIOD_BROKER_VALUE","DEEP_MEASURE_ID_OVERRIDE",$C81,"DEEP_BROKER_ID_OVERRIDE",AT$24,"DEEP_PERIOD_OVERRIDE",$H$19)*1,"")))</f>
        <v/>
      </c>
      <c r="AU81" s="17" t="str">
        <f>IF(OR(AU$23="",ISNA($B81)),"",IF(ISBLANK($B81),"",IFERROR(_xll.BDP(TICKER,"DEEP_MEASURE_PERIOD_BROKER_VALUE","DEEP_MEASURE_ID_OVERRIDE",$C81,"DEEP_BROKER_ID_OVERRIDE",AU$24,"DEEP_PERIOD_OVERRIDE",$H$19)*1,"")))</f>
        <v/>
      </c>
      <c r="AV81" s="17" t="str">
        <f>IF(OR(AV$23="",ISNA($B81)),"",IF(ISBLANK($B81),"",IFERROR(_xll.BDP(TICKER,"DEEP_MEASURE_PERIOD_BROKER_VALUE","DEEP_MEASURE_ID_OVERRIDE",$C81,"DEEP_BROKER_ID_OVERRIDE",AV$24,"DEEP_PERIOD_OVERRIDE",$H$19)*1,"")))</f>
        <v/>
      </c>
      <c r="AW81" s="17" t="str">
        <f>IF(OR(AW$23="",ISNA($B81)),"",IF(ISBLANK($B81),"",IFERROR(_xll.BDP(TICKER,"DEEP_MEASURE_PERIOD_BROKER_VALUE","DEEP_MEASURE_ID_OVERRIDE",$C81,"DEEP_BROKER_ID_OVERRIDE",AW$24,"DEEP_PERIOD_OVERRIDE",$H$19)*1,"")))</f>
        <v/>
      </c>
      <c r="AX81" s="17" t="str">
        <f>IF(OR(AX$23="",ISNA($B81)),"",IF(ISBLANK($B81),"",IFERROR(_xll.BDP(TICKER,"DEEP_MEASURE_PERIOD_BROKER_VALUE","DEEP_MEASURE_ID_OVERRIDE",$C81,"DEEP_BROKER_ID_OVERRIDE",AX$24,"DEEP_PERIOD_OVERRIDE",$H$19)*1,"")))</f>
        <v/>
      </c>
      <c r="AY81" s="17" t="str">
        <f>IF(OR(AY$23="",ISNA($B81)),"",IF(ISBLANK($B81),"",IFERROR(_xll.BDP(TICKER,"DEEP_MEASURE_PERIOD_BROKER_VALUE","DEEP_MEASURE_ID_OVERRIDE",$C81,"DEEP_BROKER_ID_OVERRIDE",AY$24,"DEEP_PERIOD_OVERRIDE",$H$19)*1,"")))</f>
        <v/>
      </c>
      <c r="AZ81" s="17" t="str">
        <f>IF(OR(AZ$23="",ISNA($B81)),"",IF(ISBLANK($B81),"",IFERROR(_xll.BDP(TICKER,"DEEP_MEASURE_PERIOD_BROKER_VALUE","DEEP_MEASURE_ID_OVERRIDE",$C81,"DEEP_BROKER_ID_OVERRIDE",AZ$24,"DEEP_PERIOD_OVERRIDE",$H$19)*1,"")))</f>
        <v/>
      </c>
      <c r="BA81" s="17" t="str">
        <f>IF(OR(BA$23="",ISNA($B81)),"",IF(ISBLANK($B81),"",IFERROR(_xll.BDP(TICKER,"DEEP_MEASURE_PERIOD_BROKER_VALUE","DEEP_MEASURE_ID_OVERRIDE",$C81,"DEEP_BROKER_ID_OVERRIDE",BA$24,"DEEP_PERIOD_OVERRIDE",$H$19)*1,"")))</f>
        <v/>
      </c>
      <c r="BB81" s="17" t="str">
        <f>IF(OR(BB$23="",ISNA($B81)),"",IF(ISBLANK($B81),"",IFERROR(_xll.BDP(TICKER,"DEEP_MEASURE_PERIOD_BROKER_VALUE","DEEP_MEASURE_ID_OVERRIDE",$C81,"DEEP_BROKER_ID_OVERRIDE",BB$24,"DEEP_PERIOD_OVERRIDE",$H$19)*1,"")))</f>
        <v/>
      </c>
      <c r="BC81" s="17" t="str">
        <f>IF(OR(BC$23="",ISNA($B81)),"",IF(ISBLANK($B81),"",IFERROR(_xll.BDP(TICKER,"DEEP_MEASURE_PERIOD_BROKER_VALUE","DEEP_MEASURE_ID_OVERRIDE",$C81,"DEEP_BROKER_ID_OVERRIDE",BC$24,"DEEP_PERIOD_OVERRIDE",$H$19)*1,"")))</f>
        <v/>
      </c>
      <c r="BD81" s="17" t="str">
        <f>IF(OR(BD$23="",ISNA($B81)),"",IF(ISBLANK($B81),"",IFERROR(_xll.BDP(TICKER,"DEEP_MEASURE_PERIOD_BROKER_VALUE","DEEP_MEASURE_ID_OVERRIDE",$C81,"DEEP_BROKER_ID_OVERRIDE",BD$24,"DEEP_PERIOD_OVERRIDE",$H$19)*1,"")))</f>
        <v/>
      </c>
      <c r="BE81" s="17" t="str">
        <f>IF(OR(BE$23="",ISNA($B81)),"",IF(ISBLANK($B81),"",IFERROR(_xll.BDP(TICKER,"DEEP_MEASURE_PERIOD_BROKER_VALUE","DEEP_MEASURE_ID_OVERRIDE",$C81,"DEEP_BROKER_ID_OVERRIDE",BE$24,"DEEP_PERIOD_OVERRIDE",$H$19)*1,"")))</f>
        <v/>
      </c>
      <c r="BF81" s="17" t="str">
        <f>IF(OR(BF$23="",ISNA($B81)),"",IF(ISBLANK($B81),"",IFERROR(_xll.BDP(TICKER,"DEEP_MEASURE_PERIOD_BROKER_VALUE","DEEP_MEASURE_ID_OVERRIDE",$C81,"DEEP_BROKER_ID_OVERRIDE",BF$24,"DEEP_PERIOD_OVERRIDE",$H$19)*1,"")))</f>
        <v/>
      </c>
      <c r="BG81" s="17" t="str">
        <f>IF(OR(BG$23="",ISNA($B81)),"",IF(ISBLANK($B81),"",IFERROR(_xll.BDP(TICKER,"DEEP_MEASURE_PERIOD_BROKER_VALUE","DEEP_MEASURE_ID_OVERRIDE",$C81,"DEEP_BROKER_ID_OVERRIDE",BG$24,"DEEP_PERIOD_OVERRIDE",$H$19)*1,"")))</f>
        <v/>
      </c>
      <c r="BH81" s="17" t="str">
        <f>IF(OR(BH$23="",ISNA($B81)),"",IF(ISBLANK($B81),"",IFERROR(_xll.BDP(TICKER,"DEEP_MEASURE_PERIOD_BROKER_VALUE","DEEP_MEASURE_ID_OVERRIDE",$C81,"DEEP_BROKER_ID_OVERRIDE",BH$24,"DEEP_PERIOD_OVERRIDE",$H$19)*1,"")))</f>
        <v/>
      </c>
      <c r="BI81" s="17" t="str">
        <f>IF(OR(BI$23="",ISNA($B81)),"",IF(ISBLANK($B81),"",IFERROR(_xll.BDP(TICKER,"DEEP_MEASURE_PERIOD_BROKER_VALUE","DEEP_MEASURE_ID_OVERRIDE",$C81,"DEEP_BROKER_ID_OVERRIDE",BI$24,"DEEP_PERIOD_OVERRIDE",$H$19)*1,"")))</f>
        <v/>
      </c>
      <c r="BJ81" s="17" t="str">
        <f>IF(OR(BJ$23="",ISNA($B81)),"",IF(ISBLANK($B81),"",IFERROR(_xll.BDP(TICKER,"DEEP_MEASURE_PERIOD_BROKER_VALUE","DEEP_MEASURE_ID_OVERRIDE",$C81,"DEEP_BROKER_ID_OVERRIDE",BJ$24,"DEEP_PERIOD_OVERRIDE",$H$19)*1,"")))</f>
        <v/>
      </c>
      <c r="BK81" s="17" t="str">
        <f>IF(OR(BK$23="",ISNA($B81)),"",IF(ISBLANK($B81),"",IFERROR(_xll.BDP(TICKER,"DEEP_MEASURE_PERIOD_BROKER_VALUE","DEEP_MEASURE_ID_OVERRIDE",$C81,"DEEP_BROKER_ID_OVERRIDE",BK$24,"DEEP_PERIOD_OVERRIDE",$H$19)*1,"")))</f>
        <v/>
      </c>
      <c r="BL81" s="17" t="str">
        <f>IF(OR(BL$23="",ISNA($B81)),"",IF(ISBLANK($B81),"",IFERROR(_xll.BDP(TICKER,"DEEP_MEASURE_PERIOD_BROKER_VALUE","DEEP_MEASURE_ID_OVERRIDE",$C81,"DEEP_BROKER_ID_OVERRIDE",BL$24,"DEEP_PERIOD_OVERRIDE",$H$19)*1,"")))</f>
        <v/>
      </c>
      <c r="BM81" s="17" t="str">
        <f>IF(OR(BM$23="",ISNA($B81)),"",IF(ISBLANK($B81),"",IFERROR(_xll.BDP(TICKER,"DEEP_MEASURE_PERIOD_BROKER_VALUE","DEEP_MEASURE_ID_OVERRIDE",$C81,"DEEP_BROKER_ID_OVERRIDE",BM$24,"DEEP_PERIOD_OVERRIDE",$H$19)*1,"")))</f>
        <v/>
      </c>
      <c r="BN81" s="17" t="str">
        <f>IF(OR(BN$23="",ISNA($B81)),"",IF(ISBLANK($B81),"",IFERROR(_xll.BDP(TICKER,"DEEP_MEASURE_PERIOD_BROKER_VALUE","DEEP_MEASURE_ID_OVERRIDE",$C81,"DEEP_BROKER_ID_OVERRIDE",BN$24,"DEEP_PERIOD_OVERRIDE",$H$19)*1,"")))</f>
        <v/>
      </c>
      <c r="BO81" s="17" t="str">
        <f>IF(OR(BO$23="",ISNA($B81)),"",IF(ISBLANK($B81),"",IFERROR(_xll.BDP(TICKER,"DEEP_MEASURE_PERIOD_BROKER_VALUE","DEEP_MEASURE_ID_OVERRIDE",$C81,"DEEP_BROKER_ID_OVERRIDE",BO$24,"DEEP_PERIOD_OVERRIDE",$H$19)*1,"")))</f>
        <v/>
      </c>
      <c r="BP81" s="17" t="str">
        <f>IF(OR(BP$23="",ISNA($B81)),"",IF(ISBLANK($B81),"",IFERROR(_xll.BDP(TICKER,"DEEP_MEASURE_PERIOD_BROKER_VALUE","DEEP_MEASURE_ID_OVERRIDE",$C81,"DEEP_BROKER_ID_OVERRIDE",BP$24,"DEEP_PERIOD_OVERRIDE",$H$19)*1,"")))</f>
        <v/>
      </c>
      <c r="BQ81" s="17" t="str">
        <f>IF(OR(BQ$23="",ISNA($B81)),"",IF(ISBLANK($B81),"",IFERROR(_xll.BDP(TICKER,"DEEP_MEASURE_PERIOD_BROKER_VALUE","DEEP_MEASURE_ID_OVERRIDE",$C81,"DEEP_BROKER_ID_OVERRIDE",BQ$24,"DEEP_PERIOD_OVERRIDE",$H$19)*1,"")))</f>
        <v/>
      </c>
      <c r="BR81" s="17" t="str">
        <f>IF(OR(BR$23="",ISNA($B81)),"",IF(ISBLANK($B81),"",IFERROR(_xll.BDP(TICKER,"DEEP_MEASURE_PERIOD_BROKER_VALUE","DEEP_MEASURE_ID_OVERRIDE",$C81,"DEEP_BROKER_ID_OVERRIDE",BR$24,"DEEP_PERIOD_OVERRIDE",$H$19)*1,"")))</f>
        <v/>
      </c>
      <c r="BS81" s="17" t="str">
        <f>IF(OR(BS$23="",ISNA($B81)),"",IF(ISBLANK($B81),"",IFERROR(_xll.BDP(TICKER,"DEEP_MEASURE_PERIOD_BROKER_VALUE","DEEP_MEASURE_ID_OVERRIDE",$C81,"DEEP_BROKER_ID_OVERRIDE",BS$24,"DEEP_PERIOD_OVERRIDE",$H$19)*1,"")))</f>
        <v/>
      </c>
      <c r="BT81" s="17" t="str">
        <f>IF(OR(BT$23="",ISNA($B81)),"",IF(ISBLANK($B81),"",IFERROR(_xll.BDP(TICKER,"DEEP_MEASURE_PERIOD_BROKER_VALUE","DEEP_MEASURE_ID_OVERRIDE",$C81,"DEEP_BROKER_ID_OVERRIDE",BT$24,"DEEP_PERIOD_OVERRIDE",$H$19)*1,"")))</f>
        <v/>
      </c>
      <c r="BU81" s="17" t="str">
        <f>IF(OR(BU$23="",ISNA($B81)),"",IF(ISBLANK($B81),"",IFERROR(_xll.BDP(TICKER,"DEEP_MEASURE_PERIOD_BROKER_VALUE","DEEP_MEASURE_ID_OVERRIDE",$C81,"DEEP_BROKER_ID_OVERRIDE",BU$24,"DEEP_PERIOD_OVERRIDE",$H$19)*1,"")))</f>
        <v/>
      </c>
      <c r="BV81" s="17" t="str">
        <f>IF(OR(BV$23="",ISNA($B81)),"",IF(ISBLANK($B81),"",IFERROR(_xll.BDP(TICKER,"DEEP_MEASURE_PERIOD_BROKER_VALUE","DEEP_MEASURE_ID_OVERRIDE",$C81,"DEEP_BROKER_ID_OVERRIDE",BV$24,"DEEP_PERIOD_OVERRIDE",$H$19)*1,"")))</f>
        <v/>
      </c>
      <c r="BW81" s="17" t="str">
        <f>IF(OR(BW$23="",ISNA($B81)),"",IF(ISBLANK($B81),"",IFERROR(_xll.BDP(TICKER,"DEEP_MEASURE_PERIOD_BROKER_VALUE","DEEP_MEASURE_ID_OVERRIDE",$C81,"DEEP_BROKER_ID_OVERRIDE",BW$24,"DEEP_PERIOD_OVERRIDE",$H$19)*1,"")))</f>
        <v/>
      </c>
      <c r="BX81" s="17" t="str">
        <f>IF(OR(BX$23="",ISNA($B81)),"",IF(ISBLANK($B81),"",IFERROR(_xll.BDP(TICKER,"DEEP_MEASURE_PERIOD_BROKER_VALUE","DEEP_MEASURE_ID_OVERRIDE",$C81,"DEEP_BROKER_ID_OVERRIDE",BX$24,"DEEP_PERIOD_OVERRIDE",$H$19)*1,"")))</f>
        <v/>
      </c>
      <c r="BY81" s="17" t="str">
        <f>IF(OR(BY$23="",ISNA($B81)),"",IF(ISBLANK($B81),"",IFERROR(_xll.BDP(TICKER,"DEEP_MEASURE_PERIOD_BROKER_VALUE","DEEP_MEASURE_ID_OVERRIDE",$C81,"DEEP_BROKER_ID_OVERRIDE",BY$24,"DEEP_PERIOD_OVERRIDE",$H$19)*1,"")))</f>
        <v/>
      </c>
      <c r="BZ81" s="17" t="str">
        <f>IF(OR(BZ$23="",ISNA($B81)),"",IF(ISBLANK($B81),"",IFERROR(_xll.BDP(TICKER,"DEEP_MEASURE_PERIOD_BROKER_VALUE","DEEP_MEASURE_ID_OVERRIDE",$C81,"DEEP_BROKER_ID_OVERRIDE",BZ$24,"DEEP_PERIOD_OVERRIDE",$H$19)*1,"")))</f>
        <v/>
      </c>
    </row>
    <row r="82" spans="2:78" x14ac:dyDescent="0.25">
      <c r="B82" t="s">
        <v>12</v>
      </c>
      <c r="C82">
        <v>527</v>
      </c>
      <c r="H82" t="str">
        <f t="shared" si="1"/>
        <v>Total Revenue</v>
      </c>
      <c r="I82" t="str">
        <f>IF(OR(I$23="",ISNA($B82)),"",IF(ISBLANK($B82),"",IFERROR(_xll.BDP(TICKER,"DEEP_MEASURE_PERIOD_BROKER_VALUE","DEEP_MEASURE_ID_OVERRIDE",$C82,"DEEP_PERIOD_OVERRIDE",$H$19)*1,"")))</f>
        <v/>
      </c>
      <c r="J82" t="e">
        <f>IF(OR(J$23="",ISNA($B82)),"",IF(ISBLANK($B82),"",IFERROR(_xll.BDP(TICKER,"DEEP_MEASURE_PERIOD_BROKER_VALUE","DEEP_MEASURE_ID_OVERRIDE",$C82,"DEEP_BROKER_ID_OVERRIDE",J$24,"DEEP_PERIOD_OVERRIDE",$H$19)*1,"")))</f>
        <v>#REF!</v>
      </c>
      <c r="K82" s="17" t="str">
        <f>IF(OR(K$23="",ISNA($B82)),"",IF(ISBLANK($B82),"",IFERROR(_xll.BDP(TICKER,"DEEP_MEASURE_PERIOD_BROKER_VALUE","DEEP_MEASURE_ID_OVERRIDE",$C82,"DEEP_BROKER_ID_OVERRIDE",K$24,"DEEP_PERIOD_OVERRIDE",$H$19)*1,"")))</f>
        <v/>
      </c>
      <c r="L82" s="17" t="str">
        <f>IF(OR(L$23="",ISNA($B82)),"",IF(ISBLANK($B82),"",IFERROR(_xll.BDP(TICKER,"DEEP_MEASURE_PERIOD_BROKER_VALUE","DEEP_MEASURE_ID_OVERRIDE",$C82,"DEEP_BROKER_ID_OVERRIDE",L$24,"DEEP_PERIOD_OVERRIDE",$H$19)*1,"")))</f>
        <v/>
      </c>
      <c r="M82" s="17" t="str">
        <f>IF(OR(M$23="",ISNA($B82)),"",IF(ISBLANK($B82),"",IFERROR(_xll.BDP(TICKER,"DEEP_MEASURE_PERIOD_BROKER_VALUE","DEEP_MEASURE_ID_OVERRIDE",$C82,"DEEP_BROKER_ID_OVERRIDE",M$24,"DEEP_PERIOD_OVERRIDE",$H$19)*1,"")))</f>
        <v/>
      </c>
      <c r="N82" s="17" t="str">
        <f>IF(OR(N$23="",ISNA($B82)),"",IF(ISBLANK($B82),"",IFERROR(_xll.BDP(TICKER,"DEEP_MEASURE_PERIOD_BROKER_VALUE","DEEP_MEASURE_ID_OVERRIDE",$C82,"DEEP_BROKER_ID_OVERRIDE",N$24,"DEEP_PERIOD_OVERRIDE",$H$19)*1,"")))</f>
        <v/>
      </c>
      <c r="O82" s="17" t="str">
        <f>IF(OR(O$23="",ISNA($B82)),"",IF(ISBLANK($B82),"",IFERROR(_xll.BDP(TICKER,"DEEP_MEASURE_PERIOD_BROKER_VALUE","DEEP_MEASURE_ID_OVERRIDE",$C82,"DEEP_BROKER_ID_OVERRIDE",O$24,"DEEP_PERIOD_OVERRIDE",$H$19)*1,"")))</f>
        <v/>
      </c>
      <c r="P82" s="17" t="str">
        <f>IF(OR(P$23="",ISNA($B82)),"",IF(ISBLANK($B82),"",IFERROR(_xll.BDP(TICKER,"DEEP_MEASURE_PERIOD_BROKER_VALUE","DEEP_MEASURE_ID_OVERRIDE",$C82,"DEEP_BROKER_ID_OVERRIDE",P$24,"DEEP_PERIOD_OVERRIDE",$H$19)*1,"")))</f>
        <v/>
      </c>
      <c r="Q82" s="17" t="str">
        <f>IF(OR(Q$23="",ISNA($B82)),"",IF(ISBLANK($B82),"",IFERROR(_xll.BDP(TICKER,"DEEP_MEASURE_PERIOD_BROKER_VALUE","DEEP_MEASURE_ID_OVERRIDE",$C82,"DEEP_BROKER_ID_OVERRIDE",Q$24,"DEEP_PERIOD_OVERRIDE",$H$19)*1,"")))</f>
        <v/>
      </c>
      <c r="R82" s="17" t="str">
        <f>IF(OR(R$23="",ISNA($B82)),"",IF(ISBLANK($B82),"",IFERROR(_xll.BDP(TICKER,"DEEP_MEASURE_PERIOD_BROKER_VALUE","DEEP_MEASURE_ID_OVERRIDE",$C82,"DEEP_BROKER_ID_OVERRIDE",R$24,"DEEP_PERIOD_OVERRIDE",$H$19)*1,"")))</f>
        <v/>
      </c>
      <c r="S82" s="17" t="str">
        <f>IF(OR(S$23="",ISNA($B82)),"",IF(ISBLANK($B82),"",IFERROR(_xll.BDP(TICKER,"DEEP_MEASURE_PERIOD_BROKER_VALUE","DEEP_MEASURE_ID_OVERRIDE",$C82,"DEEP_BROKER_ID_OVERRIDE",S$24,"DEEP_PERIOD_OVERRIDE",$H$19)*1,"")))</f>
        <v/>
      </c>
      <c r="T82" s="17" t="str">
        <f>IF(OR(T$23="",ISNA($B82)),"",IF(ISBLANK($B82),"",IFERROR(_xll.BDP(TICKER,"DEEP_MEASURE_PERIOD_BROKER_VALUE","DEEP_MEASURE_ID_OVERRIDE",$C82,"DEEP_BROKER_ID_OVERRIDE",T$24,"DEEP_PERIOD_OVERRIDE",$H$19)*1,"")))</f>
        <v/>
      </c>
      <c r="U82" s="17" t="str">
        <f>IF(OR(U$23="",ISNA($B82)),"",IF(ISBLANK($B82),"",IFERROR(_xll.BDP(TICKER,"DEEP_MEASURE_PERIOD_BROKER_VALUE","DEEP_MEASURE_ID_OVERRIDE",$C82,"DEEP_BROKER_ID_OVERRIDE",U$24,"DEEP_PERIOD_OVERRIDE",$H$19)*1,"")))</f>
        <v/>
      </c>
      <c r="V82" s="17" t="str">
        <f>IF(OR(V$23="",ISNA($B82)),"",IF(ISBLANK($B82),"",IFERROR(_xll.BDP(TICKER,"DEEP_MEASURE_PERIOD_BROKER_VALUE","DEEP_MEASURE_ID_OVERRIDE",$C82,"DEEP_BROKER_ID_OVERRIDE",V$24,"DEEP_PERIOD_OVERRIDE",$H$19)*1,"")))</f>
        <v/>
      </c>
      <c r="W82" s="17" t="str">
        <f>IF(OR(W$23="",ISNA($B82)),"",IF(ISBLANK($B82),"",IFERROR(_xll.BDP(TICKER,"DEEP_MEASURE_PERIOD_BROKER_VALUE","DEEP_MEASURE_ID_OVERRIDE",$C82,"DEEP_BROKER_ID_OVERRIDE",W$24,"DEEP_PERIOD_OVERRIDE",$H$19)*1,"")))</f>
        <v/>
      </c>
      <c r="X82" s="17" t="str">
        <f>IF(OR(X$23="",ISNA($B82)),"",IF(ISBLANK($B82),"",IFERROR(_xll.BDP(TICKER,"DEEP_MEASURE_PERIOD_BROKER_VALUE","DEEP_MEASURE_ID_OVERRIDE",$C82,"DEEP_BROKER_ID_OVERRIDE",X$24,"DEEP_PERIOD_OVERRIDE",$H$19)*1,"")))</f>
        <v/>
      </c>
      <c r="Y82" s="17" t="str">
        <f>IF(OR(Y$23="",ISNA($B82)),"",IF(ISBLANK($B82),"",IFERROR(_xll.BDP(TICKER,"DEEP_MEASURE_PERIOD_BROKER_VALUE","DEEP_MEASURE_ID_OVERRIDE",$C82,"DEEP_BROKER_ID_OVERRIDE",Y$24,"DEEP_PERIOD_OVERRIDE",$H$19)*1,"")))</f>
        <v/>
      </c>
      <c r="Z82" s="17" t="str">
        <f>IF(OR(Z$23="",ISNA($B82)),"",IF(ISBLANK($B82),"",IFERROR(_xll.BDP(TICKER,"DEEP_MEASURE_PERIOD_BROKER_VALUE","DEEP_MEASURE_ID_OVERRIDE",$C82,"DEEP_BROKER_ID_OVERRIDE",Z$24,"DEEP_PERIOD_OVERRIDE",$H$19)*1,"")))</f>
        <v/>
      </c>
      <c r="AA82" s="17" t="str">
        <f>IF(OR(AA$23="",ISNA($B82)),"",IF(ISBLANK($B82),"",IFERROR(_xll.BDP(TICKER,"DEEP_MEASURE_PERIOD_BROKER_VALUE","DEEP_MEASURE_ID_OVERRIDE",$C82,"DEEP_BROKER_ID_OVERRIDE",AA$24,"DEEP_PERIOD_OVERRIDE",$H$19)*1,"")))</f>
        <v/>
      </c>
      <c r="AB82" s="17" t="str">
        <f>IF(OR(AB$23="",ISNA($B82)),"",IF(ISBLANK($B82),"",IFERROR(_xll.BDP(TICKER,"DEEP_MEASURE_PERIOD_BROKER_VALUE","DEEP_MEASURE_ID_OVERRIDE",$C82,"DEEP_BROKER_ID_OVERRIDE",AB$24,"DEEP_PERIOD_OVERRIDE",$H$19)*1,"")))</f>
        <v/>
      </c>
      <c r="AC82" s="17" t="str">
        <f>IF(OR(AC$23="",ISNA($B82)),"",IF(ISBLANK($B82),"",IFERROR(_xll.BDP(TICKER,"DEEP_MEASURE_PERIOD_BROKER_VALUE","DEEP_MEASURE_ID_OVERRIDE",$C82,"DEEP_BROKER_ID_OVERRIDE",AC$24,"DEEP_PERIOD_OVERRIDE",$H$19)*1,"")))</f>
        <v/>
      </c>
      <c r="AD82" s="17" t="str">
        <f>IF(OR(AD$23="",ISNA($B82)),"",IF(ISBLANK($B82),"",IFERROR(_xll.BDP(TICKER,"DEEP_MEASURE_PERIOD_BROKER_VALUE","DEEP_MEASURE_ID_OVERRIDE",$C82,"DEEP_BROKER_ID_OVERRIDE",AD$24,"DEEP_PERIOD_OVERRIDE",$H$19)*1,"")))</f>
        <v/>
      </c>
      <c r="AE82" s="17" t="str">
        <f>IF(OR(AE$23="",ISNA($B82)),"",IF(ISBLANK($B82),"",IFERROR(_xll.BDP(TICKER,"DEEP_MEASURE_PERIOD_BROKER_VALUE","DEEP_MEASURE_ID_OVERRIDE",$C82,"DEEP_BROKER_ID_OVERRIDE",AE$24,"DEEP_PERIOD_OVERRIDE",$H$19)*1,"")))</f>
        <v/>
      </c>
      <c r="AF82" s="17" t="str">
        <f>IF(OR(AF$23="",ISNA($B82)),"",IF(ISBLANK($B82),"",IFERROR(_xll.BDP(TICKER,"DEEP_MEASURE_PERIOD_BROKER_VALUE","DEEP_MEASURE_ID_OVERRIDE",$C82,"DEEP_BROKER_ID_OVERRIDE",AF$24,"DEEP_PERIOD_OVERRIDE",$H$19)*1,"")))</f>
        <v/>
      </c>
      <c r="AG82" s="17" t="str">
        <f>IF(OR(AG$23="",ISNA($B82)),"",IF(ISBLANK($B82),"",IFERROR(_xll.BDP(TICKER,"DEEP_MEASURE_PERIOD_BROKER_VALUE","DEEP_MEASURE_ID_OVERRIDE",$C82,"DEEP_BROKER_ID_OVERRIDE",AG$24,"DEEP_PERIOD_OVERRIDE",$H$19)*1,"")))</f>
        <v/>
      </c>
      <c r="AH82" s="17" t="str">
        <f>IF(OR(AH$23="",ISNA($B82)),"",IF(ISBLANK($B82),"",IFERROR(_xll.BDP(TICKER,"DEEP_MEASURE_PERIOD_BROKER_VALUE","DEEP_MEASURE_ID_OVERRIDE",$C82,"DEEP_BROKER_ID_OVERRIDE",AH$24,"DEEP_PERIOD_OVERRIDE",$H$19)*1,"")))</f>
        <v/>
      </c>
      <c r="AI82" s="17" t="str">
        <f>IF(OR(AI$23="",ISNA($B82)),"",IF(ISBLANK($B82),"",IFERROR(_xll.BDP(TICKER,"DEEP_MEASURE_PERIOD_BROKER_VALUE","DEEP_MEASURE_ID_OVERRIDE",$C82,"DEEP_BROKER_ID_OVERRIDE",AI$24,"DEEP_PERIOD_OVERRIDE",$H$19)*1,"")))</f>
        <v/>
      </c>
      <c r="AJ82" s="17" t="str">
        <f>IF(OR(AJ$23="",ISNA($B82)),"",IF(ISBLANK($B82),"",IFERROR(_xll.BDP(TICKER,"DEEP_MEASURE_PERIOD_BROKER_VALUE","DEEP_MEASURE_ID_OVERRIDE",$C82,"DEEP_BROKER_ID_OVERRIDE",AJ$24,"DEEP_PERIOD_OVERRIDE",$H$19)*1,"")))</f>
        <v/>
      </c>
      <c r="AK82" s="17" t="str">
        <f>IF(OR(AK$23="",ISNA($B82)),"",IF(ISBLANK($B82),"",IFERROR(_xll.BDP(TICKER,"DEEP_MEASURE_PERIOD_BROKER_VALUE","DEEP_MEASURE_ID_OVERRIDE",$C82,"DEEP_BROKER_ID_OVERRIDE",AK$24,"DEEP_PERIOD_OVERRIDE",$H$19)*1,"")))</f>
        <v/>
      </c>
      <c r="AL82" s="17" t="str">
        <f>IF(OR(AL$23="",ISNA($B82)),"",IF(ISBLANK($B82),"",IFERROR(_xll.BDP(TICKER,"DEEP_MEASURE_PERIOD_BROKER_VALUE","DEEP_MEASURE_ID_OVERRIDE",$C82,"DEEP_BROKER_ID_OVERRIDE",AL$24,"DEEP_PERIOD_OVERRIDE",$H$19)*1,"")))</f>
        <v/>
      </c>
      <c r="AM82" s="17" t="str">
        <f>IF(OR(AM$23="",ISNA($B82)),"",IF(ISBLANK($B82),"",IFERROR(_xll.BDP(TICKER,"DEEP_MEASURE_PERIOD_BROKER_VALUE","DEEP_MEASURE_ID_OVERRIDE",$C82,"DEEP_BROKER_ID_OVERRIDE",AM$24,"DEEP_PERIOD_OVERRIDE",$H$19)*1,"")))</f>
        <v/>
      </c>
      <c r="AN82" s="17" t="str">
        <f>IF(OR(AN$23="",ISNA($B82)),"",IF(ISBLANK($B82),"",IFERROR(_xll.BDP(TICKER,"DEEP_MEASURE_PERIOD_BROKER_VALUE","DEEP_MEASURE_ID_OVERRIDE",$C82,"DEEP_BROKER_ID_OVERRIDE",AN$24,"DEEP_PERIOD_OVERRIDE",$H$19)*1,"")))</f>
        <v/>
      </c>
      <c r="AO82" s="17" t="str">
        <f>IF(OR(AO$23="",ISNA($B82)),"",IF(ISBLANK($B82),"",IFERROR(_xll.BDP(TICKER,"DEEP_MEASURE_PERIOD_BROKER_VALUE","DEEP_MEASURE_ID_OVERRIDE",$C82,"DEEP_BROKER_ID_OVERRIDE",AO$24,"DEEP_PERIOD_OVERRIDE",$H$19)*1,"")))</f>
        <v/>
      </c>
      <c r="AP82" s="17" t="str">
        <f>IF(OR(AP$23="",ISNA($B82)),"",IF(ISBLANK($B82),"",IFERROR(_xll.BDP(TICKER,"DEEP_MEASURE_PERIOD_BROKER_VALUE","DEEP_MEASURE_ID_OVERRIDE",$C82,"DEEP_BROKER_ID_OVERRIDE",AP$24,"DEEP_PERIOD_OVERRIDE",$H$19)*1,"")))</f>
        <v/>
      </c>
      <c r="AQ82" s="17" t="str">
        <f>IF(OR(AQ$23="",ISNA($B82)),"",IF(ISBLANK($B82),"",IFERROR(_xll.BDP(TICKER,"DEEP_MEASURE_PERIOD_BROKER_VALUE","DEEP_MEASURE_ID_OVERRIDE",$C82,"DEEP_BROKER_ID_OVERRIDE",AQ$24,"DEEP_PERIOD_OVERRIDE",$H$19)*1,"")))</f>
        <v/>
      </c>
      <c r="AR82" s="17" t="str">
        <f>IF(OR(AR$23="",ISNA($B82)),"",IF(ISBLANK($B82),"",IFERROR(_xll.BDP(TICKER,"DEEP_MEASURE_PERIOD_BROKER_VALUE","DEEP_MEASURE_ID_OVERRIDE",$C82,"DEEP_BROKER_ID_OVERRIDE",AR$24,"DEEP_PERIOD_OVERRIDE",$H$19)*1,"")))</f>
        <v/>
      </c>
      <c r="AS82" s="17" t="str">
        <f>IF(OR(AS$23="",ISNA($B82)),"",IF(ISBLANK($B82),"",IFERROR(_xll.BDP(TICKER,"DEEP_MEASURE_PERIOD_BROKER_VALUE","DEEP_MEASURE_ID_OVERRIDE",$C82,"DEEP_BROKER_ID_OVERRIDE",AS$24,"DEEP_PERIOD_OVERRIDE",$H$19)*1,"")))</f>
        <v/>
      </c>
      <c r="AT82" s="17" t="str">
        <f>IF(OR(AT$23="",ISNA($B82)),"",IF(ISBLANK($B82),"",IFERROR(_xll.BDP(TICKER,"DEEP_MEASURE_PERIOD_BROKER_VALUE","DEEP_MEASURE_ID_OVERRIDE",$C82,"DEEP_BROKER_ID_OVERRIDE",AT$24,"DEEP_PERIOD_OVERRIDE",$H$19)*1,"")))</f>
        <v/>
      </c>
      <c r="AU82" s="17" t="str">
        <f>IF(OR(AU$23="",ISNA($B82)),"",IF(ISBLANK($B82),"",IFERROR(_xll.BDP(TICKER,"DEEP_MEASURE_PERIOD_BROKER_VALUE","DEEP_MEASURE_ID_OVERRIDE",$C82,"DEEP_BROKER_ID_OVERRIDE",AU$24,"DEEP_PERIOD_OVERRIDE",$H$19)*1,"")))</f>
        <v/>
      </c>
      <c r="AV82" s="17" t="str">
        <f>IF(OR(AV$23="",ISNA($B82)),"",IF(ISBLANK($B82),"",IFERROR(_xll.BDP(TICKER,"DEEP_MEASURE_PERIOD_BROKER_VALUE","DEEP_MEASURE_ID_OVERRIDE",$C82,"DEEP_BROKER_ID_OVERRIDE",AV$24,"DEEP_PERIOD_OVERRIDE",$H$19)*1,"")))</f>
        <v/>
      </c>
      <c r="AW82" s="17" t="str">
        <f>IF(OR(AW$23="",ISNA($B82)),"",IF(ISBLANK($B82),"",IFERROR(_xll.BDP(TICKER,"DEEP_MEASURE_PERIOD_BROKER_VALUE","DEEP_MEASURE_ID_OVERRIDE",$C82,"DEEP_BROKER_ID_OVERRIDE",AW$24,"DEEP_PERIOD_OVERRIDE",$H$19)*1,"")))</f>
        <v/>
      </c>
      <c r="AX82" s="17" t="str">
        <f>IF(OR(AX$23="",ISNA($B82)),"",IF(ISBLANK($B82),"",IFERROR(_xll.BDP(TICKER,"DEEP_MEASURE_PERIOD_BROKER_VALUE","DEEP_MEASURE_ID_OVERRIDE",$C82,"DEEP_BROKER_ID_OVERRIDE",AX$24,"DEEP_PERIOD_OVERRIDE",$H$19)*1,"")))</f>
        <v/>
      </c>
      <c r="AY82" s="17" t="str">
        <f>IF(OR(AY$23="",ISNA($B82)),"",IF(ISBLANK($B82),"",IFERROR(_xll.BDP(TICKER,"DEEP_MEASURE_PERIOD_BROKER_VALUE","DEEP_MEASURE_ID_OVERRIDE",$C82,"DEEP_BROKER_ID_OVERRIDE",AY$24,"DEEP_PERIOD_OVERRIDE",$H$19)*1,"")))</f>
        <v/>
      </c>
      <c r="AZ82" s="17" t="str">
        <f>IF(OR(AZ$23="",ISNA($B82)),"",IF(ISBLANK($B82),"",IFERROR(_xll.BDP(TICKER,"DEEP_MEASURE_PERIOD_BROKER_VALUE","DEEP_MEASURE_ID_OVERRIDE",$C82,"DEEP_BROKER_ID_OVERRIDE",AZ$24,"DEEP_PERIOD_OVERRIDE",$H$19)*1,"")))</f>
        <v/>
      </c>
      <c r="BA82" s="17" t="str">
        <f>IF(OR(BA$23="",ISNA($B82)),"",IF(ISBLANK($B82),"",IFERROR(_xll.BDP(TICKER,"DEEP_MEASURE_PERIOD_BROKER_VALUE","DEEP_MEASURE_ID_OVERRIDE",$C82,"DEEP_BROKER_ID_OVERRIDE",BA$24,"DEEP_PERIOD_OVERRIDE",$H$19)*1,"")))</f>
        <v/>
      </c>
      <c r="BB82" s="17" t="str">
        <f>IF(OR(BB$23="",ISNA($B82)),"",IF(ISBLANK($B82),"",IFERROR(_xll.BDP(TICKER,"DEEP_MEASURE_PERIOD_BROKER_VALUE","DEEP_MEASURE_ID_OVERRIDE",$C82,"DEEP_BROKER_ID_OVERRIDE",BB$24,"DEEP_PERIOD_OVERRIDE",$H$19)*1,"")))</f>
        <v/>
      </c>
      <c r="BC82" s="17" t="str">
        <f>IF(OR(BC$23="",ISNA($B82)),"",IF(ISBLANK($B82),"",IFERROR(_xll.BDP(TICKER,"DEEP_MEASURE_PERIOD_BROKER_VALUE","DEEP_MEASURE_ID_OVERRIDE",$C82,"DEEP_BROKER_ID_OVERRIDE",BC$24,"DEEP_PERIOD_OVERRIDE",$H$19)*1,"")))</f>
        <v/>
      </c>
      <c r="BD82" s="17" t="str">
        <f>IF(OR(BD$23="",ISNA($B82)),"",IF(ISBLANK($B82),"",IFERROR(_xll.BDP(TICKER,"DEEP_MEASURE_PERIOD_BROKER_VALUE","DEEP_MEASURE_ID_OVERRIDE",$C82,"DEEP_BROKER_ID_OVERRIDE",BD$24,"DEEP_PERIOD_OVERRIDE",$H$19)*1,"")))</f>
        <v/>
      </c>
      <c r="BE82" s="17" t="str">
        <f>IF(OR(BE$23="",ISNA($B82)),"",IF(ISBLANK($B82),"",IFERROR(_xll.BDP(TICKER,"DEEP_MEASURE_PERIOD_BROKER_VALUE","DEEP_MEASURE_ID_OVERRIDE",$C82,"DEEP_BROKER_ID_OVERRIDE",BE$24,"DEEP_PERIOD_OVERRIDE",$H$19)*1,"")))</f>
        <v/>
      </c>
      <c r="BF82" s="17" t="str">
        <f>IF(OR(BF$23="",ISNA($B82)),"",IF(ISBLANK($B82),"",IFERROR(_xll.BDP(TICKER,"DEEP_MEASURE_PERIOD_BROKER_VALUE","DEEP_MEASURE_ID_OVERRIDE",$C82,"DEEP_BROKER_ID_OVERRIDE",BF$24,"DEEP_PERIOD_OVERRIDE",$H$19)*1,"")))</f>
        <v/>
      </c>
      <c r="BG82" s="17" t="str">
        <f>IF(OR(BG$23="",ISNA($B82)),"",IF(ISBLANK($B82),"",IFERROR(_xll.BDP(TICKER,"DEEP_MEASURE_PERIOD_BROKER_VALUE","DEEP_MEASURE_ID_OVERRIDE",$C82,"DEEP_BROKER_ID_OVERRIDE",BG$24,"DEEP_PERIOD_OVERRIDE",$H$19)*1,"")))</f>
        <v/>
      </c>
      <c r="BH82" s="17" t="str">
        <f>IF(OR(BH$23="",ISNA($B82)),"",IF(ISBLANK($B82),"",IFERROR(_xll.BDP(TICKER,"DEEP_MEASURE_PERIOD_BROKER_VALUE","DEEP_MEASURE_ID_OVERRIDE",$C82,"DEEP_BROKER_ID_OVERRIDE",BH$24,"DEEP_PERIOD_OVERRIDE",$H$19)*1,"")))</f>
        <v/>
      </c>
      <c r="BI82" s="17" t="str">
        <f>IF(OR(BI$23="",ISNA($B82)),"",IF(ISBLANK($B82),"",IFERROR(_xll.BDP(TICKER,"DEEP_MEASURE_PERIOD_BROKER_VALUE","DEEP_MEASURE_ID_OVERRIDE",$C82,"DEEP_BROKER_ID_OVERRIDE",BI$24,"DEEP_PERIOD_OVERRIDE",$H$19)*1,"")))</f>
        <v/>
      </c>
      <c r="BJ82" s="17" t="str">
        <f>IF(OR(BJ$23="",ISNA($B82)),"",IF(ISBLANK($B82),"",IFERROR(_xll.BDP(TICKER,"DEEP_MEASURE_PERIOD_BROKER_VALUE","DEEP_MEASURE_ID_OVERRIDE",$C82,"DEEP_BROKER_ID_OVERRIDE",BJ$24,"DEEP_PERIOD_OVERRIDE",$H$19)*1,"")))</f>
        <v/>
      </c>
      <c r="BK82" s="17" t="str">
        <f>IF(OR(BK$23="",ISNA($B82)),"",IF(ISBLANK($B82),"",IFERROR(_xll.BDP(TICKER,"DEEP_MEASURE_PERIOD_BROKER_VALUE","DEEP_MEASURE_ID_OVERRIDE",$C82,"DEEP_BROKER_ID_OVERRIDE",BK$24,"DEEP_PERIOD_OVERRIDE",$H$19)*1,"")))</f>
        <v/>
      </c>
      <c r="BL82" s="17" t="str">
        <f>IF(OR(BL$23="",ISNA($B82)),"",IF(ISBLANK($B82),"",IFERROR(_xll.BDP(TICKER,"DEEP_MEASURE_PERIOD_BROKER_VALUE","DEEP_MEASURE_ID_OVERRIDE",$C82,"DEEP_BROKER_ID_OVERRIDE",BL$24,"DEEP_PERIOD_OVERRIDE",$H$19)*1,"")))</f>
        <v/>
      </c>
      <c r="BM82" s="17" t="str">
        <f>IF(OR(BM$23="",ISNA($B82)),"",IF(ISBLANK($B82),"",IFERROR(_xll.BDP(TICKER,"DEEP_MEASURE_PERIOD_BROKER_VALUE","DEEP_MEASURE_ID_OVERRIDE",$C82,"DEEP_BROKER_ID_OVERRIDE",BM$24,"DEEP_PERIOD_OVERRIDE",$H$19)*1,"")))</f>
        <v/>
      </c>
      <c r="BN82" s="17" t="str">
        <f>IF(OR(BN$23="",ISNA($B82)),"",IF(ISBLANK($B82),"",IFERROR(_xll.BDP(TICKER,"DEEP_MEASURE_PERIOD_BROKER_VALUE","DEEP_MEASURE_ID_OVERRIDE",$C82,"DEEP_BROKER_ID_OVERRIDE",BN$24,"DEEP_PERIOD_OVERRIDE",$H$19)*1,"")))</f>
        <v/>
      </c>
      <c r="BO82" s="17" t="str">
        <f>IF(OR(BO$23="",ISNA($B82)),"",IF(ISBLANK($B82),"",IFERROR(_xll.BDP(TICKER,"DEEP_MEASURE_PERIOD_BROKER_VALUE","DEEP_MEASURE_ID_OVERRIDE",$C82,"DEEP_BROKER_ID_OVERRIDE",BO$24,"DEEP_PERIOD_OVERRIDE",$H$19)*1,"")))</f>
        <v/>
      </c>
      <c r="BP82" s="17" t="str">
        <f>IF(OR(BP$23="",ISNA($B82)),"",IF(ISBLANK($B82),"",IFERROR(_xll.BDP(TICKER,"DEEP_MEASURE_PERIOD_BROKER_VALUE","DEEP_MEASURE_ID_OVERRIDE",$C82,"DEEP_BROKER_ID_OVERRIDE",BP$24,"DEEP_PERIOD_OVERRIDE",$H$19)*1,"")))</f>
        <v/>
      </c>
      <c r="BQ82" s="17" t="str">
        <f>IF(OR(BQ$23="",ISNA($B82)),"",IF(ISBLANK($B82),"",IFERROR(_xll.BDP(TICKER,"DEEP_MEASURE_PERIOD_BROKER_VALUE","DEEP_MEASURE_ID_OVERRIDE",$C82,"DEEP_BROKER_ID_OVERRIDE",BQ$24,"DEEP_PERIOD_OVERRIDE",$H$19)*1,"")))</f>
        <v/>
      </c>
      <c r="BR82" s="17" t="str">
        <f>IF(OR(BR$23="",ISNA($B82)),"",IF(ISBLANK($B82),"",IFERROR(_xll.BDP(TICKER,"DEEP_MEASURE_PERIOD_BROKER_VALUE","DEEP_MEASURE_ID_OVERRIDE",$C82,"DEEP_BROKER_ID_OVERRIDE",BR$24,"DEEP_PERIOD_OVERRIDE",$H$19)*1,"")))</f>
        <v/>
      </c>
      <c r="BS82" s="17" t="str">
        <f>IF(OR(BS$23="",ISNA($B82)),"",IF(ISBLANK($B82),"",IFERROR(_xll.BDP(TICKER,"DEEP_MEASURE_PERIOD_BROKER_VALUE","DEEP_MEASURE_ID_OVERRIDE",$C82,"DEEP_BROKER_ID_OVERRIDE",BS$24,"DEEP_PERIOD_OVERRIDE",$H$19)*1,"")))</f>
        <v/>
      </c>
      <c r="BT82" s="17" t="str">
        <f>IF(OR(BT$23="",ISNA($B82)),"",IF(ISBLANK($B82),"",IFERROR(_xll.BDP(TICKER,"DEEP_MEASURE_PERIOD_BROKER_VALUE","DEEP_MEASURE_ID_OVERRIDE",$C82,"DEEP_BROKER_ID_OVERRIDE",BT$24,"DEEP_PERIOD_OVERRIDE",$H$19)*1,"")))</f>
        <v/>
      </c>
      <c r="BU82" s="17" t="str">
        <f>IF(OR(BU$23="",ISNA($B82)),"",IF(ISBLANK($B82),"",IFERROR(_xll.BDP(TICKER,"DEEP_MEASURE_PERIOD_BROKER_VALUE","DEEP_MEASURE_ID_OVERRIDE",$C82,"DEEP_BROKER_ID_OVERRIDE",BU$24,"DEEP_PERIOD_OVERRIDE",$H$19)*1,"")))</f>
        <v/>
      </c>
      <c r="BV82" s="17" t="str">
        <f>IF(OR(BV$23="",ISNA($B82)),"",IF(ISBLANK($B82),"",IFERROR(_xll.BDP(TICKER,"DEEP_MEASURE_PERIOD_BROKER_VALUE","DEEP_MEASURE_ID_OVERRIDE",$C82,"DEEP_BROKER_ID_OVERRIDE",BV$24,"DEEP_PERIOD_OVERRIDE",$H$19)*1,"")))</f>
        <v/>
      </c>
      <c r="BW82" s="17" t="str">
        <f>IF(OR(BW$23="",ISNA($B82)),"",IF(ISBLANK($B82),"",IFERROR(_xll.BDP(TICKER,"DEEP_MEASURE_PERIOD_BROKER_VALUE","DEEP_MEASURE_ID_OVERRIDE",$C82,"DEEP_BROKER_ID_OVERRIDE",BW$24,"DEEP_PERIOD_OVERRIDE",$H$19)*1,"")))</f>
        <v/>
      </c>
      <c r="BX82" s="17" t="str">
        <f>IF(OR(BX$23="",ISNA($B82)),"",IF(ISBLANK($B82),"",IFERROR(_xll.BDP(TICKER,"DEEP_MEASURE_PERIOD_BROKER_VALUE","DEEP_MEASURE_ID_OVERRIDE",$C82,"DEEP_BROKER_ID_OVERRIDE",BX$24,"DEEP_PERIOD_OVERRIDE",$H$19)*1,"")))</f>
        <v/>
      </c>
      <c r="BY82" s="17" t="str">
        <f>IF(OR(BY$23="",ISNA($B82)),"",IF(ISBLANK($B82),"",IFERROR(_xll.BDP(TICKER,"DEEP_MEASURE_PERIOD_BROKER_VALUE","DEEP_MEASURE_ID_OVERRIDE",$C82,"DEEP_BROKER_ID_OVERRIDE",BY$24,"DEEP_PERIOD_OVERRIDE",$H$19)*1,"")))</f>
        <v/>
      </c>
      <c r="BZ82" s="17" t="str">
        <f>IF(OR(BZ$23="",ISNA($B82)),"",IF(ISBLANK($B82),"",IFERROR(_xll.BDP(TICKER,"DEEP_MEASURE_PERIOD_BROKER_VALUE","DEEP_MEASURE_ID_OVERRIDE",$C82,"DEEP_BROKER_ID_OVERRIDE",BZ$24,"DEEP_PERIOD_OVERRIDE",$H$19)*1,"")))</f>
        <v/>
      </c>
    </row>
    <row r="83" spans="2:78" x14ac:dyDescent="0.25">
      <c r="B83" t="s">
        <v>126</v>
      </c>
      <c r="C83">
        <v>104</v>
      </c>
      <c r="H83" t="str">
        <f t="shared" si="1"/>
        <v>Total Revenue &gt; YoY Growth (%)</v>
      </c>
      <c r="I83" t="str">
        <f>IF(OR(I$23="",ISNA($B83)),"",IF(ISBLANK($B83),"",IFERROR(_xll.BDP(TICKER,"DEEP_MEASURE_PERIOD_BROKER_VALUE","DEEP_MEASURE_ID_OVERRIDE",$C83,"DEEP_PERIOD_OVERRIDE",$H$19)*1,"")))</f>
        <v/>
      </c>
      <c r="J83" t="e">
        <f>IF(OR(J$23="",ISNA($B83)),"",IF(ISBLANK($B83),"",IFERROR(_xll.BDP(TICKER,"DEEP_MEASURE_PERIOD_BROKER_VALUE","DEEP_MEASURE_ID_OVERRIDE",$C83,"DEEP_BROKER_ID_OVERRIDE",J$24,"DEEP_PERIOD_OVERRIDE",$H$19)*1,"")))</f>
        <v>#REF!</v>
      </c>
      <c r="K83" s="17" t="str">
        <f>IF(OR(K$23="",ISNA($B83)),"",IF(ISBLANK($B83),"",IFERROR(_xll.BDP(TICKER,"DEEP_MEASURE_PERIOD_BROKER_VALUE","DEEP_MEASURE_ID_OVERRIDE",$C83,"DEEP_BROKER_ID_OVERRIDE",K$24,"DEEP_PERIOD_OVERRIDE",$H$19)*1,"")))</f>
        <v/>
      </c>
      <c r="L83" s="17" t="str">
        <f>IF(OR(L$23="",ISNA($B83)),"",IF(ISBLANK($B83),"",IFERROR(_xll.BDP(TICKER,"DEEP_MEASURE_PERIOD_BROKER_VALUE","DEEP_MEASURE_ID_OVERRIDE",$C83,"DEEP_BROKER_ID_OVERRIDE",L$24,"DEEP_PERIOD_OVERRIDE",$H$19)*1,"")))</f>
        <v/>
      </c>
      <c r="M83" s="17" t="str">
        <f>IF(OR(M$23="",ISNA($B83)),"",IF(ISBLANK($B83),"",IFERROR(_xll.BDP(TICKER,"DEEP_MEASURE_PERIOD_BROKER_VALUE","DEEP_MEASURE_ID_OVERRIDE",$C83,"DEEP_BROKER_ID_OVERRIDE",M$24,"DEEP_PERIOD_OVERRIDE",$H$19)*1,"")))</f>
        <v/>
      </c>
      <c r="N83" s="17" t="str">
        <f>IF(OR(N$23="",ISNA($B83)),"",IF(ISBLANK($B83),"",IFERROR(_xll.BDP(TICKER,"DEEP_MEASURE_PERIOD_BROKER_VALUE","DEEP_MEASURE_ID_OVERRIDE",$C83,"DEEP_BROKER_ID_OVERRIDE",N$24,"DEEP_PERIOD_OVERRIDE",$H$19)*1,"")))</f>
        <v/>
      </c>
      <c r="O83" s="17" t="str">
        <f>IF(OR(O$23="",ISNA($B83)),"",IF(ISBLANK($B83),"",IFERROR(_xll.BDP(TICKER,"DEEP_MEASURE_PERIOD_BROKER_VALUE","DEEP_MEASURE_ID_OVERRIDE",$C83,"DEEP_BROKER_ID_OVERRIDE",O$24,"DEEP_PERIOD_OVERRIDE",$H$19)*1,"")))</f>
        <v/>
      </c>
      <c r="P83" s="17" t="str">
        <f>IF(OR(P$23="",ISNA($B83)),"",IF(ISBLANK($B83),"",IFERROR(_xll.BDP(TICKER,"DEEP_MEASURE_PERIOD_BROKER_VALUE","DEEP_MEASURE_ID_OVERRIDE",$C83,"DEEP_BROKER_ID_OVERRIDE",P$24,"DEEP_PERIOD_OVERRIDE",$H$19)*1,"")))</f>
        <v/>
      </c>
      <c r="Q83" s="17" t="str">
        <f>IF(OR(Q$23="",ISNA($B83)),"",IF(ISBLANK($B83),"",IFERROR(_xll.BDP(TICKER,"DEEP_MEASURE_PERIOD_BROKER_VALUE","DEEP_MEASURE_ID_OVERRIDE",$C83,"DEEP_BROKER_ID_OVERRIDE",Q$24,"DEEP_PERIOD_OVERRIDE",$H$19)*1,"")))</f>
        <v/>
      </c>
      <c r="R83" s="17" t="str">
        <f>IF(OR(R$23="",ISNA($B83)),"",IF(ISBLANK($B83),"",IFERROR(_xll.BDP(TICKER,"DEEP_MEASURE_PERIOD_BROKER_VALUE","DEEP_MEASURE_ID_OVERRIDE",$C83,"DEEP_BROKER_ID_OVERRIDE",R$24,"DEEP_PERIOD_OVERRIDE",$H$19)*1,"")))</f>
        <v/>
      </c>
      <c r="S83" s="17" t="str">
        <f>IF(OR(S$23="",ISNA($B83)),"",IF(ISBLANK($B83),"",IFERROR(_xll.BDP(TICKER,"DEEP_MEASURE_PERIOD_BROKER_VALUE","DEEP_MEASURE_ID_OVERRIDE",$C83,"DEEP_BROKER_ID_OVERRIDE",S$24,"DEEP_PERIOD_OVERRIDE",$H$19)*1,"")))</f>
        <v/>
      </c>
      <c r="T83" s="17" t="str">
        <f>IF(OR(T$23="",ISNA($B83)),"",IF(ISBLANK($B83),"",IFERROR(_xll.BDP(TICKER,"DEEP_MEASURE_PERIOD_BROKER_VALUE","DEEP_MEASURE_ID_OVERRIDE",$C83,"DEEP_BROKER_ID_OVERRIDE",T$24,"DEEP_PERIOD_OVERRIDE",$H$19)*1,"")))</f>
        <v/>
      </c>
      <c r="U83" s="17" t="str">
        <f>IF(OR(U$23="",ISNA($B83)),"",IF(ISBLANK($B83),"",IFERROR(_xll.BDP(TICKER,"DEEP_MEASURE_PERIOD_BROKER_VALUE","DEEP_MEASURE_ID_OVERRIDE",$C83,"DEEP_BROKER_ID_OVERRIDE",U$24,"DEEP_PERIOD_OVERRIDE",$H$19)*1,"")))</f>
        <v/>
      </c>
      <c r="V83" s="17" t="str">
        <f>IF(OR(V$23="",ISNA($B83)),"",IF(ISBLANK($B83),"",IFERROR(_xll.BDP(TICKER,"DEEP_MEASURE_PERIOD_BROKER_VALUE","DEEP_MEASURE_ID_OVERRIDE",$C83,"DEEP_BROKER_ID_OVERRIDE",V$24,"DEEP_PERIOD_OVERRIDE",$H$19)*1,"")))</f>
        <v/>
      </c>
      <c r="W83" s="17" t="str">
        <f>IF(OR(W$23="",ISNA($B83)),"",IF(ISBLANK($B83),"",IFERROR(_xll.BDP(TICKER,"DEEP_MEASURE_PERIOD_BROKER_VALUE","DEEP_MEASURE_ID_OVERRIDE",$C83,"DEEP_BROKER_ID_OVERRIDE",W$24,"DEEP_PERIOD_OVERRIDE",$H$19)*1,"")))</f>
        <v/>
      </c>
      <c r="X83" s="17" t="str">
        <f>IF(OR(X$23="",ISNA($B83)),"",IF(ISBLANK($B83),"",IFERROR(_xll.BDP(TICKER,"DEEP_MEASURE_PERIOD_BROKER_VALUE","DEEP_MEASURE_ID_OVERRIDE",$C83,"DEEP_BROKER_ID_OVERRIDE",X$24,"DEEP_PERIOD_OVERRIDE",$H$19)*1,"")))</f>
        <v/>
      </c>
      <c r="Y83" s="17" t="str">
        <f>IF(OR(Y$23="",ISNA($B83)),"",IF(ISBLANK($B83),"",IFERROR(_xll.BDP(TICKER,"DEEP_MEASURE_PERIOD_BROKER_VALUE","DEEP_MEASURE_ID_OVERRIDE",$C83,"DEEP_BROKER_ID_OVERRIDE",Y$24,"DEEP_PERIOD_OVERRIDE",$H$19)*1,"")))</f>
        <v/>
      </c>
      <c r="Z83" s="17" t="str">
        <f>IF(OR(Z$23="",ISNA($B83)),"",IF(ISBLANK($B83),"",IFERROR(_xll.BDP(TICKER,"DEEP_MEASURE_PERIOD_BROKER_VALUE","DEEP_MEASURE_ID_OVERRIDE",$C83,"DEEP_BROKER_ID_OVERRIDE",Z$24,"DEEP_PERIOD_OVERRIDE",$H$19)*1,"")))</f>
        <v/>
      </c>
      <c r="AA83" s="17" t="str">
        <f>IF(OR(AA$23="",ISNA($B83)),"",IF(ISBLANK($B83),"",IFERROR(_xll.BDP(TICKER,"DEEP_MEASURE_PERIOD_BROKER_VALUE","DEEP_MEASURE_ID_OVERRIDE",$C83,"DEEP_BROKER_ID_OVERRIDE",AA$24,"DEEP_PERIOD_OVERRIDE",$H$19)*1,"")))</f>
        <v/>
      </c>
      <c r="AB83" s="17" t="str">
        <f>IF(OR(AB$23="",ISNA($B83)),"",IF(ISBLANK($B83),"",IFERROR(_xll.BDP(TICKER,"DEEP_MEASURE_PERIOD_BROKER_VALUE","DEEP_MEASURE_ID_OVERRIDE",$C83,"DEEP_BROKER_ID_OVERRIDE",AB$24,"DEEP_PERIOD_OVERRIDE",$H$19)*1,"")))</f>
        <v/>
      </c>
      <c r="AC83" s="17" t="str">
        <f>IF(OR(AC$23="",ISNA($B83)),"",IF(ISBLANK($B83),"",IFERROR(_xll.BDP(TICKER,"DEEP_MEASURE_PERIOD_BROKER_VALUE","DEEP_MEASURE_ID_OVERRIDE",$C83,"DEEP_BROKER_ID_OVERRIDE",AC$24,"DEEP_PERIOD_OVERRIDE",$H$19)*1,"")))</f>
        <v/>
      </c>
      <c r="AD83" s="17" t="str">
        <f>IF(OR(AD$23="",ISNA($B83)),"",IF(ISBLANK($B83),"",IFERROR(_xll.BDP(TICKER,"DEEP_MEASURE_PERIOD_BROKER_VALUE","DEEP_MEASURE_ID_OVERRIDE",$C83,"DEEP_BROKER_ID_OVERRIDE",AD$24,"DEEP_PERIOD_OVERRIDE",$H$19)*1,"")))</f>
        <v/>
      </c>
      <c r="AE83" s="17" t="str">
        <f>IF(OR(AE$23="",ISNA($B83)),"",IF(ISBLANK($B83),"",IFERROR(_xll.BDP(TICKER,"DEEP_MEASURE_PERIOD_BROKER_VALUE","DEEP_MEASURE_ID_OVERRIDE",$C83,"DEEP_BROKER_ID_OVERRIDE",AE$24,"DEEP_PERIOD_OVERRIDE",$H$19)*1,"")))</f>
        <v/>
      </c>
      <c r="AF83" s="17" t="str">
        <f>IF(OR(AF$23="",ISNA($B83)),"",IF(ISBLANK($B83),"",IFERROR(_xll.BDP(TICKER,"DEEP_MEASURE_PERIOD_BROKER_VALUE","DEEP_MEASURE_ID_OVERRIDE",$C83,"DEEP_BROKER_ID_OVERRIDE",AF$24,"DEEP_PERIOD_OVERRIDE",$H$19)*1,"")))</f>
        <v/>
      </c>
      <c r="AG83" s="17" t="str">
        <f>IF(OR(AG$23="",ISNA($B83)),"",IF(ISBLANK($B83),"",IFERROR(_xll.BDP(TICKER,"DEEP_MEASURE_PERIOD_BROKER_VALUE","DEEP_MEASURE_ID_OVERRIDE",$C83,"DEEP_BROKER_ID_OVERRIDE",AG$24,"DEEP_PERIOD_OVERRIDE",$H$19)*1,"")))</f>
        <v/>
      </c>
      <c r="AH83" s="17" t="str">
        <f>IF(OR(AH$23="",ISNA($B83)),"",IF(ISBLANK($B83),"",IFERROR(_xll.BDP(TICKER,"DEEP_MEASURE_PERIOD_BROKER_VALUE","DEEP_MEASURE_ID_OVERRIDE",$C83,"DEEP_BROKER_ID_OVERRIDE",AH$24,"DEEP_PERIOD_OVERRIDE",$H$19)*1,"")))</f>
        <v/>
      </c>
      <c r="AI83" s="17" t="str">
        <f>IF(OR(AI$23="",ISNA($B83)),"",IF(ISBLANK($B83),"",IFERROR(_xll.BDP(TICKER,"DEEP_MEASURE_PERIOD_BROKER_VALUE","DEEP_MEASURE_ID_OVERRIDE",$C83,"DEEP_BROKER_ID_OVERRIDE",AI$24,"DEEP_PERIOD_OVERRIDE",$H$19)*1,"")))</f>
        <v/>
      </c>
      <c r="AJ83" s="17" t="str">
        <f>IF(OR(AJ$23="",ISNA($B83)),"",IF(ISBLANK($B83),"",IFERROR(_xll.BDP(TICKER,"DEEP_MEASURE_PERIOD_BROKER_VALUE","DEEP_MEASURE_ID_OVERRIDE",$C83,"DEEP_BROKER_ID_OVERRIDE",AJ$24,"DEEP_PERIOD_OVERRIDE",$H$19)*1,"")))</f>
        <v/>
      </c>
      <c r="AK83" s="17" t="str">
        <f>IF(OR(AK$23="",ISNA($B83)),"",IF(ISBLANK($B83),"",IFERROR(_xll.BDP(TICKER,"DEEP_MEASURE_PERIOD_BROKER_VALUE","DEEP_MEASURE_ID_OVERRIDE",$C83,"DEEP_BROKER_ID_OVERRIDE",AK$24,"DEEP_PERIOD_OVERRIDE",$H$19)*1,"")))</f>
        <v/>
      </c>
      <c r="AL83" s="17" t="str">
        <f>IF(OR(AL$23="",ISNA($B83)),"",IF(ISBLANK($B83),"",IFERROR(_xll.BDP(TICKER,"DEEP_MEASURE_PERIOD_BROKER_VALUE","DEEP_MEASURE_ID_OVERRIDE",$C83,"DEEP_BROKER_ID_OVERRIDE",AL$24,"DEEP_PERIOD_OVERRIDE",$H$19)*1,"")))</f>
        <v/>
      </c>
      <c r="AM83" s="17" t="str">
        <f>IF(OR(AM$23="",ISNA($B83)),"",IF(ISBLANK($B83),"",IFERROR(_xll.BDP(TICKER,"DEEP_MEASURE_PERIOD_BROKER_VALUE","DEEP_MEASURE_ID_OVERRIDE",$C83,"DEEP_BROKER_ID_OVERRIDE",AM$24,"DEEP_PERIOD_OVERRIDE",$H$19)*1,"")))</f>
        <v/>
      </c>
      <c r="AN83" s="17" t="str">
        <f>IF(OR(AN$23="",ISNA($B83)),"",IF(ISBLANK($B83),"",IFERROR(_xll.BDP(TICKER,"DEEP_MEASURE_PERIOD_BROKER_VALUE","DEEP_MEASURE_ID_OVERRIDE",$C83,"DEEP_BROKER_ID_OVERRIDE",AN$24,"DEEP_PERIOD_OVERRIDE",$H$19)*1,"")))</f>
        <v/>
      </c>
      <c r="AO83" s="17" t="str">
        <f>IF(OR(AO$23="",ISNA($B83)),"",IF(ISBLANK($B83),"",IFERROR(_xll.BDP(TICKER,"DEEP_MEASURE_PERIOD_BROKER_VALUE","DEEP_MEASURE_ID_OVERRIDE",$C83,"DEEP_BROKER_ID_OVERRIDE",AO$24,"DEEP_PERIOD_OVERRIDE",$H$19)*1,"")))</f>
        <v/>
      </c>
      <c r="AP83" s="17" t="str">
        <f>IF(OR(AP$23="",ISNA($B83)),"",IF(ISBLANK($B83),"",IFERROR(_xll.BDP(TICKER,"DEEP_MEASURE_PERIOD_BROKER_VALUE","DEEP_MEASURE_ID_OVERRIDE",$C83,"DEEP_BROKER_ID_OVERRIDE",AP$24,"DEEP_PERIOD_OVERRIDE",$H$19)*1,"")))</f>
        <v/>
      </c>
      <c r="AQ83" s="17" t="str">
        <f>IF(OR(AQ$23="",ISNA($B83)),"",IF(ISBLANK($B83),"",IFERROR(_xll.BDP(TICKER,"DEEP_MEASURE_PERIOD_BROKER_VALUE","DEEP_MEASURE_ID_OVERRIDE",$C83,"DEEP_BROKER_ID_OVERRIDE",AQ$24,"DEEP_PERIOD_OVERRIDE",$H$19)*1,"")))</f>
        <v/>
      </c>
      <c r="AR83" s="17" t="str">
        <f>IF(OR(AR$23="",ISNA($B83)),"",IF(ISBLANK($B83),"",IFERROR(_xll.BDP(TICKER,"DEEP_MEASURE_PERIOD_BROKER_VALUE","DEEP_MEASURE_ID_OVERRIDE",$C83,"DEEP_BROKER_ID_OVERRIDE",AR$24,"DEEP_PERIOD_OVERRIDE",$H$19)*1,"")))</f>
        <v/>
      </c>
      <c r="AS83" s="17" t="str">
        <f>IF(OR(AS$23="",ISNA($B83)),"",IF(ISBLANK($B83),"",IFERROR(_xll.BDP(TICKER,"DEEP_MEASURE_PERIOD_BROKER_VALUE","DEEP_MEASURE_ID_OVERRIDE",$C83,"DEEP_BROKER_ID_OVERRIDE",AS$24,"DEEP_PERIOD_OVERRIDE",$H$19)*1,"")))</f>
        <v/>
      </c>
      <c r="AT83" s="17" t="str">
        <f>IF(OR(AT$23="",ISNA($B83)),"",IF(ISBLANK($B83),"",IFERROR(_xll.BDP(TICKER,"DEEP_MEASURE_PERIOD_BROKER_VALUE","DEEP_MEASURE_ID_OVERRIDE",$C83,"DEEP_BROKER_ID_OVERRIDE",AT$24,"DEEP_PERIOD_OVERRIDE",$H$19)*1,"")))</f>
        <v/>
      </c>
      <c r="AU83" s="17" t="str">
        <f>IF(OR(AU$23="",ISNA($B83)),"",IF(ISBLANK($B83),"",IFERROR(_xll.BDP(TICKER,"DEEP_MEASURE_PERIOD_BROKER_VALUE","DEEP_MEASURE_ID_OVERRIDE",$C83,"DEEP_BROKER_ID_OVERRIDE",AU$24,"DEEP_PERIOD_OVERRIDE",$H$19)*1,"")))</f>
        <v/>
      </c>
      <c r="AV83" s="17" t="str">
        <f>IF(OR(AV$23="",ISNA($B83)),"",IF(ISBLANK($B83),"",IFERROR(_xll.BDP(TICKER,"DEEP_MEASURE_PERIOD_BROKER_VALUE","DEEP_MEASURE_ID_OVERRIDE",$C83,"DEEP_BROKER_ID_OVERRIDE",AV$24,"DEEP_PERIOD_OVERRIDE",$H$19)*1,"")))</f>
        <v/>
      </c>
      <c r="AW83" s="17" t="str">
        <f>IF(OR(AW$23="",ISNA($B83)),"",IF(ISBLANK($B83),"",IFERROR(_xll.BDP(TICKER,"DEEP_MEASURE_PERIOD_BROKER_VALUE","DEEP_MEASURE_ID_OVERRIDE",$C83,"DEEP_BROKER_ID_OVERRIDE",AW$24,"DEEP_PERIOD_OVERRIDE",$H$19)*1,"")))</f>
        <v/>
      </c>
      <c r="AX83" s="17" t="str">
        <f>IF(OR(AX$23="",ISNA($B83)),"",IF(ISBLANK($B83),"",IFERROR(_xll.BDP(TICKER,"DEEP_MEASURE_PERIOD_BROKER_VALUE","DEEP_MEASURE_ID_OVERRIDE",$C83,"DEEP_BROKER_ID_OVERRIDE",AX$24,"DEEP_PERIOD_OVERRIDE",$H$19)*1,"")))</f>
        <v/>
      </c>
      <c r="AY83" s="17" t="str">
        <f>IF(OR(AY$23="",ISNA($B83)),"",IF(ISBLANK($B83),"",IFERROR(_xll.BDP(TICKER,"DEEP_MEASURE_PERIOD_BROKER_VALUE","DEEP_MEASURE_ID_OVERRIDE",$C83,"DEEP_BROKER_ID_OVERRIDE",AY$24,"DEEP_PERIOD_OVERRIDE",$H$19)*1,"")))</f>
        <v/>
      </c>
      <c r="AZ83" s="17" t="str">
        <f>IF(OR(AZ$23="",ISNA($B83)),"",IF(ISBLANK($B83),"",IFERROR(_xll.BDP(TICKER,"DEEP_MEASURE_PERIOD_BROKER_VALUE","DEEP_MEASURE_ID_OVERRIDE",$C83,"DEEP_BROKER_ID_OVERRIDE",AZ$24,"DEEP_PERIOD_OVERRIDE",$H$19)*1,"")))</f>
        <v/>
      </c>
      <c r="BA83" s="17" t="str">
        <f>IF(OR(BA$23="",ISNA($B83)),"",IF(ISBLANK($B83),"",IFERROR(_xll.BDP(TICKER,"DEEP_MEASURE_PERIOD_BROKER_VALUE","DEEP_MEASURE_ID_OVERRIDE",$C83,"DEEP_BROKER_ID_OVERRIDE",BA$24,"DEEP_PERIOD_OVERRIDE",$H$19)*1,"")))</f>
        <v/>
      </c>
      <c r="BB83" s="17" t="str">
        <f>IF(OR(BB$23="",ISNA($B83)),"",IF(ISBLANK($B83),"",IFERROR(_xll.BDP(TICKER,"DEEP_MEASURE_PERIOD_BROKER_VALUE","DEEP_MEASURE_ID_OVERRIDE",$C83,"DEEP_BROKER_ID_OVERRIDE",BB$24,"DEEP_PERIOD_OVERRIDE",$H$19)*1,"")))</f>
        <v/>
      </c>
      <c r="BC83" s="17" t="str">
        <f>IF(OR(BC$23="",ISNA($B83)),"",IF(ISBLANK($B83),"",IFERROR(_xll.BDP(TICKER,"DEEP_MEASURE_PERIOD_BROKER_VALUE","DEEP_MEASURE_ID_OVERRIDE",$C83,"DEEP_BROKER_ID_OVERRIDE",BC$24,"DEEP_PERIOD_OVERRIDE",$H$19)*1,"")))</f>
        <v/>
      </c>
      <c r="BD83" s="17" t="str">
        <f>IF(OR(BD$23="",ISNA($B83)),"",IF(ISBLANK($B83),"",IFERROR(_xll.BDP(TICKER,"DEEP_MEASURE_PERIOD_BROKER_VALUE","DEEP_MEASURE_ID_OVERRIDE",$C83,"DEEP_BROKER_ID_OVERRIDE",BD$24,"DEEP_PERIOD_OVERRIDE",$H$19)*1,"")))</f>
        <v/>
      </c>
      <c r="BE83" s="17" t="str">
        <f>IF(OR(BE$23="",ISNA($B83)),"",IF(ISBLANK($B83),"",IFERROR(_xll.BDP(TICKER,"DEEP_MEASURE_PERIOD_BROKER_VALUE","DEEP_MEASURE_ID_OVERRIDE",$C83,"DEEP_BROKER_ID_OVERRIDE",BE$24,"DEEP_PERIOD_OVERRIDE",$H$19)*1,"")))</f>
        <v/>
      </c>
      <c r="BF83" s="17" t="str">
        <f>IF(OR(BF$23="",ISNA($B83)),"",IF(ISBLANK($B83),"",IFERROR(_xll.BDP(TICKER,"DEEP_MEASURE_PERIOD_BROKER_VALUE","DEEP_MEASURE_ID_OVERRIDE",$C83,"DEEP_BROKER_ID_OVERRIDE",BF$24,"DEEP_PERIOD_OVERRIDE",$H$19)*1,"")))</f>
        <v/>
      </c>
      <c r="BG83" s="17" t="str">
        <f>IF(OR(BG$23="",ISNA($B83)),"",IF(ISBLANK($B83),"",IFERROR(_xll.BDP(TICKER,"DEEP_MEASURE_PERIOD_BROKER_VALUE","DEEP_MEASURE_ID_OVERRIDE",$C83,"DEEP_BROKER_ID_OVERRIDE",BG$24,"DEEP_PERIOD_OVERRIDE",$H$19)*1,"")))</f>
        <v/>
      </c>
      <c r="BH83" s="17" t="str">
        <f>IF(OR(BH$23="",ISNA($B83)),"",IF(ISBLANK($B83),"",IFERROR(_xll.BDP(TICKER,"DEEP_MEASURE_PERIOD_BROKER_VALUE","DEEP_MEASURE_ID_OVERRIDE",$C83,"DEEP_BROKER_ID_OVERRIDE",BH$24,"DEEP_PERIOD_OVERRIDE",$H$19)*1,"")))</f>
        <v/>
      </c>
      <c r="BI83" s="17" t="str">
        <f>IF(OR(BI$23="",ISNA($B83)),"",IF(ISBLANK($B83),"",IFERROR(_xll.BDP(TICKER,"DEEP_MEASURE_PERIOD_BROKER_VALUE","DEEP_MEASURE_ID_OVERRIDE",$C83,"DEEP_BROKER_ID_OVERRIDE",BI$24,"DEEP_PERIOD_OVERRIDE",$H$19)*1,"")))</f>
        <v/>
      </c>
      <c r="BJ83" s="17" t="str">
        <f>IF(OR(BJ$23="",ISNA($B83)),"",IF(ISBLANK($B83),"",IFERROR(_xll.BDP(TICKER,"DEEP_MEASURE_PERIOD_BROKER_VALUE","DEEP_MEASURE_ID_OVERRIDE",$C83,"DEEP_BROKER_ID_OVERRIDE",BJ$24,"DEEP_PERIOD_OVERRIDE",$H$19)*1,"")))</f>
        <v/>
      </c>
      <c r="BK83" s="17" t="str">
        <f>IF(OR(BK$23="",ISNA($B83)),"",IF(ISBLANK($B83),"",IFERROR(_xll.BDP(TICKER,"DEEP_MEASURE_PERIOD_BROKER_VALUE","DEEP_MEASURE_ID_OVERRIDE",$C83,"DEEP_BROKER_ID_OVERRIDE",BK$24,"DEEP_PERIOD_OVERRIDE",$H$19)*1,"")))</f>
        <v/>
      </c>
      <c r="BL83" s="17" t="str">
        <f>IF(OR(BL$23="",ISNA($B83)),"",IF(ISBLANK($B83),"",IFERROR(_xll.BDP(TICKER,"DEEP_MEASURE_PERIOD_BROKER_VALUE","DEEP_MEASURE_ID_OVERRIDE",$C83,"DEEP_BROKER_ID_OVERRIDE",BL$24,"DEEP_PERIOD_OVERRIDE",$H$19)*1,"")))</f>
        <v/>
      </c>
      <c r="BM83" s="17" t="str">
        <f>IF(OR(BM$23="",ISNA($B83)),"",IF(ISBLANK($B83),"",IFERROR(_xll.BDP(TICKER,"DEEP_MEASURE_PERIOD_BROKER_VALUE","DEEP_MEASURE_ID_OVERRIDE",$C83,"DEEP_BROKER_ID_OVERRIDE",BM$24,"DEEP_PERIOD_OVERRIDE",$H$19)*1,"")))</f>
        <v/>
      </c>
      <c r="BN83" s="17" t="str">
        <f>IF(OR(BN$23="",ISNA($B83)),"",IF(ISBLANK($B83),"",IFERROR(_xll.BDP(TICKER,"DEEP_MEASURE_PERIOD_BROKER_VALUE","DEEP_MEASURE_ID_OVERRIDE",$C83,"DEEP_BROKER_ID_OVERRIDE",BN$24,"DEEP_PERIOD_OVERRIDE",$H$19)*1,"")))</f>
        <v/>
      </c>
      <c r="BO83" s="17" t="str">
        <f>IF(OR(BO$23="",ISNA($B83)),"",IF(ISBLANK($B83),"",IFERROR(_xll.BDP(TICKER,"DEEP_MEASURE_PERIOD_BROKER_VALUE","DEEP_MEASURE_ID_OVERRIDE",$C83,"DEEP_BROKER_ID_OVERRIDE",BO$24,"DEEP_PERIOD_OVERRIDE",$H$19)*1,"")))</f>
        <v/>
      </c>
      <c r="BP83" s="17" t="str">
        <f>IF(OR(BP$23="",ISNA($B83)),"",IF(ISBLANK($B83),"",IFERROR(_xll.BDP(TICKER,"DEEP_MEASURE_PERIOD_BROKER_VALUE","DEEP_MEASURE_ID_OVERRIDE",$C83,"DEEP_BROKER_ID_OVERRIDE",BP$24,"DEEP_PERIOD_OVERRIDE",$H$19)*1,"")))</f>
        <v/>
      </c>
      <c r="BQ83" s="17" t="str">
        <f>IF(OR(BQ$23="",ISNA($B83)),"",IF(ISBLANK($B83),"",IFERROR(_xll.BDP(TICKER,"DEEP_MEASURE_PERIOD_BROKER_VALUE","DEEP_MEASURE_ID_OVERRIDE",$C83,"DEEP_BROKER_ID_OVERRIDE",BQ$24,"DEEP_PERIOD_OVERRIDE",$H$19)*1,"")))</f>
        <v/>
      </c>
      <c r="BR83" s="17" t="str">
        <f>IF(OR(BR$23="",ISNA($B83)),"",IF(ISBLANK($B83),"",IFERROR(_xll.BDP(TICKER,"DEEP_MEASURE_PERIOD_BROKER_VALUE","DEEP_MEASURE_ID_OVERRIDE",$C83,"DEEP_BROKER_ID_OVERRIDE",BR$24,"DEEP_PERIOD_OVERRIDE",$H$19)*1,"")))</f>
        <v/>
      </c>
      <c r="BS83" s="17" t="str">
        <f>IF(OR(BS$23="",ISNA($B83)),"",IF(ISBLANK($B83),"",IFERROR(_xll.BDP(TICKER,"DEEP_MEASURE_PERIOD_BROKER_VALUE","DEEP_MEASURE_ID_OVERRIDE",$C83,"DEEP_BROKER_ID_OVERRIDE",BS$24,"DEEP_PERIOD_OVERRIDE",$H$19)*1,"")))</f>
        <v/>
      </c>
      <c r="BT83" s="17" t="str">
        <f>IF(OR(BT$23="",ISNA($B83)),"",IF(ISBLANK($B83),"",IFERROR(_xll.BDP(TICKER,"DEEP_MEASURE_PERIOD_BROKER_VALUE","DEEP_MEASURE_ID_OVERRIDE",$C83,"DEEP_BROKER_ID_OVERRIDE",BT$24,"DEEP_PERIOD_OVERRIDE",$H$19)*1,"")))</f>
        <v/>
      </c>
      <c r="BU83" s="17" t="str">
        <f>IF(OR(BU$23="",ISNA($B83)),"",IF(ISBLANK($B83),"",IFERROR(_xll.BDP(TICKER,"DEEP_MEASURE_PERIOD_BROKER_VALUE","DEEP_MEASURE_ID_OVERRIDE",$C83,"DEEP_BROKER_ID_OVERRIDE",BU$24,"DEEP_PERIOD_OVERRIDE",$H$19)*1,"")))</f>
        <v/>
      </c>
      <c r="BV83" s="17" t="str">
        <f>IF(OR(BV$23="",ISNA($B83)),"",IF(ISBLANK($B83),"",IFERROR(_xll.BDP(TICKER,"DEEP_MEASURE_PERIOD_BROKER_VALUE","DEEP_MEASURE_ID_OVERRIDE",$C83,"DEEP_BROKER_ID_OVERRIDE",BV$24,"DEEP_PERIOD_OVERRIDE",$H$19)*1,"")))</f>
        <v/>
      </c>
      <c r="BW83" s="17" t="str">
        <f>IF(OR(BW$23="",ISNA($B83)),"",IF(ISBLANK($B83),"",IFERROR(_xll.BDP(TICKER,"DEEP_MEASURE_PERIOD_BROKER_VALUE","DEEP_MEASURE_ID_OVERRIDE",$C83,"DEEP_BROKER_ID_OVERRIDE",BW$24,"DEEP_PERIOD_OVERRIDE",$H$19)*1,"")))</f>
        <v/>
      </c>
      <c r="BX83" s="17" t="str">
        <f>IF(OR(BX$23="",ISNA($B83)),"",IF(ISBLANK($B83),"",IFERROR(_xll.BDP(TICKER,"DEEP_MEASURE_PERIOD_BROKER_VALUE","DEEP_MEASURE_ID_OVERRIDE",$C83,"DEEP_BROKER_ID_OVERRIDE",BX$24,"DEEP_PERIOD_OVERRIDE",$H$19)*1,"")))</f>
        <v/>
      </c>
      <c r="BY83" s="17" t="str">
        <f>IF(OR(BY$23="",ISNA($B83)),"",IF(ISBLANK($B83),"",IFERROR(_xll.BDP(TICKER,"DEEP_MEASURE_PERIOD_BROKER_VALUE","DEEP_MEASURE_ID_OVERRIDE",$C83,"DEEP_BROKER_ID_OVERRIDE",BY$24,"DEEP_PERIOD_OVERRIDE",$H$19)*1,"")))</f>
        <v/>
      </c>
      <c r="BZ83" s="17" t="str">
        <f>IF(OR(BZ$23="",ISNA($B83)),"",IF(ISBLANK($B83),"",IFERROR(_xll.BDP(TICKER,"DEEP_MEASURE_PERIOD_BROKER_VALUE","DEEP_MEASURE_ID_OVERRIDE",$C83,"DEEP_BROKER_ID_OVERRIDE",BZ$24,"DEEP_PERIOD_OVERRIDE",$H$19)*1,"")))</f>
        <v/>
      </c>
    </row>
    <row r="84" spans="2:78" x14ac:dyDescent="0.25">
      <c r="B84" t="s">
        <v>127</v>
      </c>
      <c r="C84">
        <v>637</v>
      </c>
      <c r="H84" t="str">
        <f t="shared" si="1"/>
        <v>Total Revenue &gt; QoQ Growth (%)</v>
      </c>
      <c r="I84" t="str">
        <f>IF(OR(I$23="",ISNA($B84)),"",IF(ISBLANK($B84),"",IFERROR(_xll.BDP(TICKER,"DEEP_MEASURE_PERIOD_BROKER_VALUE","DEEP_MEASURE_ID_OVERRIDE",$C84,"DEEP_PERIOD_OVERRIDE",$H$19)*1,"")))</f>
        <v/>
      </c>
      <c r="J84" t="e">
        <f>IF(OR(J$23="",ISNA($B84)),"",IF(ISBLANK($B84),"",IFERROR(_xll.BDP(TICKER,"DEEP_MEASURE_PERIOD_BROKER_VALUE","DEEP_MEASURE_ID_OVERRIDE",$C84,"DEEP_BROKER_ID_OVERRIDE",J$24,"DEEP_PERIOD_OVERRIDE",$H$19)*1,"")))</f>
        <v>#REF!</v>
      </c>
      <c r="K84" s="17" t="str">
        <f>IF(OR(K$23="",ISNA($B84)),"",IF(ISBLANK($B84),"",IFERROR(_xll.BDP(TICKER,"DEEP_MEASURE_PERIOD_BROKER_VALUE","DEEP_MEASURE_ID_OVERRIDE",$C84,"DEEP_BROKER_ID_OVERRIDE",K$24,"DEEP_PERIOD_OVERRIDE",$H$19)*1,"")))</f>
        <v/>
      </c>
      <c r="L84" s="17" t="str">
        <f>IF(OR(L$23="",ISNA($B84)),"",IF(ISBLANK($B84),"",IFERROR(_xll.BDP(TICKER,"DEEP_MEASURE_PERIOD_BROKER_VALUE","DEEP_MEASURE_ID_OVERRIDE",$C84,"DEEP_BROKER_ID_OVERRIDE",L$24,"DEEP_PERIOD_OVERRIDE",$H$19)*1,"")))</f>
        <v/>
      </c>
      <c r="M84" s="17" t="str">
        <f>IF(OR(M$23="",ISNA($B84)),"",IF(ISBLANK($B84),"",IFERROR(_xll.BDP(TICKER,"DEEP_MEASURE_PERIOD_BROKER_VALUE","DEEP_MEASURE_ID_OVERRIDE",$C84,"DEEP_BROKER_ID_OVERRIDE",M$24,"DEEP_PERIOD_OVERRIDE",$H$19)*1,"")))</f>
        <v/>
      </c>
      <c r="N84" s="17" t="str">
        <f>IF(OR(N$23="",ISNA($B84)),"",IF(ISBLANK($B84),"",IFERROR(_xll.BDP(TICKER,"DEEP_MEASURE_PERIOD_BROKER_VALUE","DEEP_MEASURE_ID_OVERRIDE",$C84,"DEEP_BROKER_ID_OVERRIDE",N$24,"DEEP_PERIOD_OVERRIDE",$H$19)*1,"")))</f>
        <v/>
      </c>
      <c r="O84" s="17" t="str">
        <f>IF(OR(O$23="",ISNA($B84)),"",IF(ISBLANK($B84),"",IFERROR(_xll.BDP(TICKER,"DEEP_MEASURE_PERIOD_BROKER_VALUE","DEEP_MEASURE_ID_OVERRIDE",$C84,"DEEP_BROKER_ID_OVERRIDE",O$24,"DEEP_PERIOD_OVERRIDE",$H$19)*1,"")))</f>
        <v/>
      </c>
      <c r="P84" s="17" t="str">
        <f>IF(OR(P$23="",ISNA($B84)),"",IF(ISBLANK($B84),"",IFERROR(_xll.BDP(TICKER,"DEEP_MEASURE_PERIOD_BROKER_VALUE","DEEP_MEASURE_ID_OVERRIDE",$C84,"DEEP_BROKER_ID_OVERRIDE",P$24,"DEEP_PERIOD_OVERRIDE",$H$19)*1,"")))</f>
        <v/>
      </c>
      <c r="Q84" s="17" t="str">
        <f>IF(OR(Q$23="",ISNA($B84)),"",IF(ISBLANK($B84),"",IFERROR(_xll.BDP(TICKER,"DEEP_MEASURE_PERIOD_BROKER_VALUE","DEEP_MEASURE_ID_OVERRIDE",$C84,"DEEP_BROKER_ID_OVERRIDE",Q$24,"DEEP_PERIOD_OVERRIDE",$H$19)*1,"")))</f>
        <v/>
      </c>
      <c r="R84" s="17" t="str">
        <f>IF(OR(R$23="",ISNA($B84)),"",IF(ISBLANK($B84),"",IFERROR(_xll.BDP(TICKER,"DEEP_MEASURE_PERIOD_BROKER_VALUE","DEEP_MEASURE_ID_OVERRIDE",$C84,"DEEP_BROKER_ID_OVERRIDE",R$24,"DEEP_PERIOD_OVERRIDE",$H$19)*1,"")))</f>
        <v/>
      </c>
      <c r="S84" s="17" t="str">
        <f>IF(OR(S$23="",ISNA($B84)),"",IF(ISBLANK($B84),"",IFERROR(_xll.BDP(TICKER,"DEEP_MEASURE_PERIOD_BROKER_VALUE","DEEP_MEASURE_ID_OVERRIDE",$C84,"DEEP_BROKER_ID_OVERRIDE",S$24,"DEEP_PERIOD_OVERRIDE",$H$19)*1,"")))</f>
        <v/>
      </c>
      <c r="T84" s="17" t="str">
        <f>IF(OR(T$23="",ISNA($B84)),"",IF(ISBLANK($B84),"",IFERROR(_xll.BDP(TICKER,"DEEP_MEASURE_PERIOD_BROKER_VALUE","DEEP_MEASURE_ID_OVERRIDE",$C84,"DEEP_BROKER_ID_OVERRIDE",T$24,"DEEP_PERIOD_OVERRIDE",$H$19)*1,"")))</f>
        <v/>
      </c>
      <c r="U84" s="17" t="str">
        <f>IF(OR(U$23="",ISNA($B84)),"",IF(ISBLANK($B84),"",IFERROR(_xll.BDP(TICKER,"DEEP_MEASURE_PERIOD_BROKER_VALUE","DEEP_MEASURE_ID_OVERRIDE",$C84,"DEEP_BROKER_ID_OVERRIDE",U$24,"DEEP_PERIOD_OVERRIDE",$H$19)*1,"")))</f>
        <v/>
      </c>
      <c r="V84" s="17" t="str">
        <f>IF(OR(V$23="",ISNA($B84)),"",IF(ISBLANK($B84),"",IFERROR(_xll.BDP(TICKER,"DEEP_MEASURE_PERIOD_BROKER_VALUE","DEEP_MEASURE_ID_OVERRIDE",$C84,"DEEP_BROKER_ID_OVERRIDE",V$24,"DEEP_PERIOD_OVERRIDE",$H$19)*1,"")))</f>
        <v/>
      </c>
      <c r="W84" s="17" t="str">
        <f>IF(OR(W$23="",ISNA($B84)),"",IF(ISBLANK($B84),"",IFERROR(_xll.BDP(TICKER,"DEEP_MEASURE_PERIOD_BROKER_VALUE","DEEP_MEASURE_ID_OVERRIDE",$C84,"DEEP_BROKER_ID_OVERRIDE",W$24,"DEEP_PERIOD_OVERRIDE",$H$19)*1,"")))</f>
        <v/>
      </c>
      <c r="X84" s="17" t="str">
        <f>IF(OR(X$23="",ISNA($B84)),"",IF(ISBLANK($B84),"",IFERROR(_xll.BDP(TICKER,"DEEP_MEASURE_PERIOD_BROKER_VALUE","DEEP_MEASURE_ID_OVERRIDE",$C84,"DEEP_BROKER_ID_OVERRIDE",X$24,"DEEP_PERIOD_OVERRIDE",$H$19)*1,"")))</f>
        <v/>
      </c>
      <c r="Y84" s="17" t="str">
        <f>IF(OR(Y$23="",ISNA($B84)),"",IF(ISBLANK($B84),"",IFERROR(_xll.BDP(TICKER,"DEEP_MEASURE_PERIOD_BROKER_VALUE","DEEP_MEASURE_ID_OVERRIDE",$C84,"DEEP_BROKER_ID_OVERRIDE",Y$24,"DEEP_PERIOD_OVERRIDE",$H$19)*1,"")))</f>
        <v/>
      </c>
      <c r="Z84" s="17" t="str">
        <f>IF(OR(Z$23="",ISNA($B84)),"",IF(ISBLANK($B84),"",IFERROR(_xll.BDP(TICKER,"DEEP_MEASURE_PERIOD_BROKER_VALUE","DEEP_MEASURE_ID_OVERRIDE",$C84,"DEEP_BROKER_ID_OVERRIDE",Z$24,"DEEP_PERIOD_OVERRIDE",$H$19)*1,"")))</f>
        <v/>
      </c>
      <c r="AA84" s="17" t="str">
        <f>IF(OR(AA$23="",ISNA($B84)),"",IF(ISBLANK($B84),"",IFERROR(_xll.BDP(TICKER,"DEEP_MEASURE_PERIOD_BROKER_VALUE","DEEP_MEASURE_ID_OVERRIDE",$C84,"DEEP_BROKER_ID_OVERRIDE",AA$24,"DEEP_PERIOD_OVERRIDE",$H$19)*1,"")))</f>
        <v/>
      </c>
      <c r="AB84" s="17" t="str">
        <f>IF(OR(AB$23="",ISNA($B84)),"",IF(ISBLANK($B84),"",IFERROR(_xll.BDP(TICKER,"DEEP_MEASURE_PERIOD_BROKER_VALUE","DEEP_MEASURE_ID_OVERRIDE",$C84,"DEEP_BROKER_ID_OVERRIDE",AB$24,"DEEP_PERIOD_OVERRIDE",$H$19)*1,"")))</f>
        <v/>
      </c>
      <c r="AC84" s="17" t="str">
        <f>IF(OR(AC$23="",ISNA($B84)),"",IF(ISBLANK($B84),"",IFERROR(_xll.BDP(TICKER,"DEEP_MEASURE_PERIOD_BROKER_VALUE","DEEP_MEASURE_ID_OVERRIDE",$C84,"DEEP_BROKER_ID_OVERRIDE",AC$24,"DEEP_PERIOD_OVERRIDE",$H$19)*1,"")))</f>
        <v/>
      </c>
      <c r="AD84" s="17" t="str">
        <f>IF(OR(AD$23="",ISNA($B84)),"",IF(ISBLANK($B84),"",IFERROR(_xll.BDP(TICKER,"DEEP_MEASURE_PERIOD_BROKER_VALUE","DEEP_MEASURE_ID_OVERRIDE",$C84,"DEEP_BROKER_ID_OVERRIDE",AD$24,"DEEP_PERIOD_OVERRIDE",$H$19)*1,"")))</f>
        <v/>
      </c>
      <c r="AE84" s="17" t="str">
        <f>IF(OR(AE$23="",ISNA($B84)),"",IF(ISBLANK($B84),"",IFERROR(_xll.BDP(TICKER,"DEEP_MEASURE_PERIOD_BROKER_VALUE","DEEP_MEASURE_ID_OVERRIDE",$C84,"DEEP_BROKER_ID_OVERRIDE",AE$24,"DEEP_PERIOD_OVERRIDE",$H$19)*1,"")))</f>
        <v/>
      </c>
      <c r="AF84" s="17" t="str">
        <f>IF(OR(AF$23="",ISNA($B84)),"",IF(ISBLANK($B84),"",IFERROR(_xll.BDP(TICKER,"DEEP_MEASURE_PERIOD_BROKER_VALUE","DEEP_MEASURE_ID_OVERRIDE",$C84,"DEEP_BROKER_ID_OVERRIDE",AF$24,"DEEP_PERIOD_OVERRIDE",$H$19)*1,"")))</f>
        <v/>
      </c>
      <c r="AG84" s="17" t="str">
        <f>IF(OR(AG$23="",ISNA($B84)),"",IF(ISBLANK($B84),"",IFERROR(_xll.BDP(TICKER,"DEEP_MEASURE_PERIOD_BROKER_VALUE","DEEP_MEASURE_ID_OVERRIDE",$C84,"DEEP_BROKER_ID_OVERRIDE",AG$24,"DEEP_PERIOD_OVERRIDE",$H$19)*1,"")))</f>
        <v/>
      </c>
      <c r="AH84" s="17" t="str">
        <f>IF(OR(AH$23="",ISNA($B84)),"",IF(ISBLANK($B84),"",IFERROR(_xll.BDP(TICKER,"DEEP_MEASURE_PERIOD_BROKER_VALUE","DEEP_MEASURE_ID_OVERRIDE",$C84,"DEEP_BROKER_ID_OVERRIDE",AH$24,"DEEP_PERIOD_OVERRIDE",$H$19)*1,"")))</f>
        <v/>
      </c>
      <c r="AI84" s="17" t="str">
        <f>IF(OR(AI$23="",ISNA($B84)),"",IF(ISBLANK($B84),"",IFERROR(_xll.BDP(TICKER,"DEEP_MEASURE_PERIOD_BROKER_VALUE","DEEP_MEASURE_ID_OVERRIDE",$C84,"DEEP_BROKER_ID_OVERRIDE",AI$24,"DEEP_PERIOD_OVERRIDE",$H$19)*1,"")))</f>
        <v/>
      </c>
      <c r="AJ84" s="17" t="str">
        <f>IF(OR(AJ$23="",ISNA($B84)),"",IF(ISBLANK($B84),"",IFERROR(_xll.BDP(TICKER,"DEEP_MEASURE_PERIOD_BROKER_VALUE","DEEP_MEASURE_ID_OVERRIDE",$C84,"DEEP_BROKER_ID_OVERRIDE",AJ$24,"DEEP_PERIOD_OVERRIDE",$H$19)*1,"")))</f>
        <v/>
      </c>
      <c r="AK84" s="17" t="str">
        <f>IF(OR(AK$23="",ISNA($B84)),"",IF(ISBLANK($B84),"",IFERROR(_xll.BDP(TICKER,"DEEP_MEASURE_PERIOD_BROKER_VALUE","DEEP_MEASURE_ID_OVERRIDE",$C84,"DEEP_BROKER_ID_OVERRIDE",AK$24,"DEEP_PERIOD_OVERRIDE",$H$19)*1,"")))</f>
        <v/>
      </c>
      <c r="AL84" s="17" t="str">
        <f>IF(OR(AL$23="",ISNA($B84)),"",IF(ISBLANK($B84),"",IFERROR(_xll.BDP(TICKER,"DEEP_MEASURE_PERIOD_BROKER_VALUE","DEEP_MEASURE_ID_OVERRIDE",$C84,"DEEP_BROKER_ID_OVERRIDE",AL$24,"DEEP_PERIOD_OVERRIDE",$H$19)*1,"")))</f>
        <v/>
      </c>
      <c r="AM84" s="17" t="str">
        <f>IF(OR(AM$23="",ISNA($B84)),"",IF(ISBLANK($B84),"",IFERROR(_xll.BDP(TICKER,"DEEP_MEASURE_PERIOD_BROKER_VALUE","DEEP_MEASURE_ID_OVERRIDE",$C84,"DEEP_BROKER_ID_OVERRIDE",AM$24,"DEEP_PERIOD_OVERRIDE",$H$19)*1,"")))</f>
        <v/>
      </c>
      <c r="AN84" s="17" t="str">
        <f>IF(OR(AN$23="",ISNA($B84)),"",IF(ISBLANK($B84),"",IFERROR(_xll.BDP(TICKER,"DEEP_MEASURE_PERIOD_BROKER_VALUE","DEEP_MEASURE_ID_OVERRIDE",$C84,"DEEP_BROKER_ID_OVERRIDE",AN$24,"DEEP_PERIOD_OVERRIDE",$H$19)*1,"")))</f>
        <v/>
      </c>
      <c r="AO84" s="17" t="str">
        <f>IF(OR(AO$23="",ISNA($B84)),"",IF(ISBLANK($B84),"",IFERROR(_xll.BDP(TICKER,"DEEP_MEASURE_PERIOD_BROKER_VALUE","DEEP_MEASURE_ID_OVERRIDE",$C84,"DEEP_BROKER_ID_OVERRIDE",AO$24,"DEEP_PERIOD_OVERRIDE",$H$19)*1,"")))</f>
        <v/>
      </c>
      <c r="AP84" s="17" t="str">
        <f>IF(OR(AP$23="",ISNA($B84)),"",IF(ISBLANK($B84),"",IFERROR(_xll.BDP(TICKER,"DEEP_MEASURE_PERIOD_BROKER_VALUE","DEEP_MEASURE_ID_OVERRIDE",$C84,"DEEP_BROKER_ID_OVERRIDE",AP$24,"DEEP_PERIOD_OVERRIDE",$H$19)*1,"")))</f>
        <v/>
      </c>
      <c r="AQ84" s="17" t="str">
        <f>IF(OR(AQ$23="",ISNA($B84)),"",IF(ISBLANK($B84),"",IFERROR(_xll.BDP(TICKER,"DEEP_MEASURE_PERIOD_BROKER_VALUE","DEEP_MEASURE_ID_OVERRIDE",$C84,"DEEP_BROKER_ID_OVERRIDE",AQ$24,"DEEP_PERIOD_OVERRIDE",$H$19)*1,"")))</f>
        <v/>
      </c>
      <c r="AR84" s="17" t="str">
        <f>IF(OR(AR$23="",ISNA($B84)),"",IF(ISBLANK($B84),"",IFERROR(_xll.BDP(TICKER,"DEEP_MEASURE_PERIOD_BROKER_VALUE","DEEP_MEASURE_ID_OVERRIDE",$C84,"DEEP_BROKER_ID_OVERRIDE",AR$24,"DEEP_PERIOD_OVERRIDE",$H$19)*1,"")))</f>
        <v/>
      </c>
      <c r="AS84" s="17" t="str">
        <f>IF(OR(AS$23="",ISNA($B84)),"",IF(ISBLANK($B84),"",IFERROR(_xll.BDP(TICKER,"DEEP_MEASURE_PERIOD_BROKER_VALUE","DEEP_MEASURE_ID_OVERRIDE",$C84,"DEEP_BROKER_ID_OVERRIDE",AS$24,"DEEP_PERIOD_OVERRIDE",$H$19)*1,"")))</f>
        <v/>
      </c>
      <c r="AT84" s="17" t="str">
        <f>IF(OR(AT$23="",ISNA($B84)),"",IF(ISBLANK($B84),"",IFERROR(_xll.BDP(TICKER,"DEEP_MEASURE_PERIOD_BROKER_VALUE","DEEP_MEASURE_ID_OVERRIDE",$C84,"DEEP_BROKER_ID_OVERRIDE",AT$24,"DEEP_PERIOD_OVERRIDE",$H$19)*1,"")))</f>
        <v/>
      </c>
      <c r="AU84" s="17" t="str">
        <f>IF(OR(AU$23="",ISNA($B84)),"",IF(ISBLANK($B84),"",IFERROR(_xll.BDP(TICKER,"DEEP_MEASURE_PERIOD_BROKER_VALUE","DEEP_MEASURE_ID_OVERRIDE",$C84,"DEEP_BROKER_ID_OVERRIDE",AU$24,"DEEP_PERIOD_OVERRIDE",$H$19)*1,"")))</f>
        <v/>
      </c>
      <c r="AV84" s="17" t="str">
        <f>IF(OR(AV$23="",ISNA($B84)),"",IF(ISBLANK($B84),"",IFERROR(_xll.BDP(TICKER,"DEEP_MEASURE_PERIOD_BROKER_VALUE","DEEP_MEASURE_ID_OVERRIDE",$C84,"DEEP_BROKER_ID_OVERRIDE",AV$24,"DEEP_PERIOD_OVERRIDE",$H$19)*1,"")))</f>
        <v/>
      </c>
      <c r="AW84" s="17" t="str">
        <f>IF(OR(AW$23="",ISNA($B84)),"",IF(ISBLANK($B84),"",IFERROR(_xll.BDP(TICKER,"DEEP_MEASURE_PERIOD_BROKER_VALUE","DEEP_MEASURE_ID_OVERRIDE",$C84,"DEEP_BROKER_ID_OVERRIDE",AW$24,"DEEP_PERIOD_OVERRIDE",$H$19)*1,"")))</f>
        <v/>
      </c>
      <c r="AX84" s="17" t="str">
        <f>IF(OR(AX$23="",ISNA($B84)),"",IF(ISBLANK($B84),"",IFERROR(_xll.BDP(TICKER,"DEEP_MEASURE_PERIOD_BROKER_VALUE","DEEP_MEASURE_ID_OVERRIDE",$C84,"DEEP_BROKER_ID_OVERRIDE",AX$24,"DEEP_PERIOD_OVERRIDE",$H$19)*1,"")))</f>
        <v/>
      </c>
      <c r="AY84" s="17" t="str">
        <f>IF(OR(AY$23="",ISNA($B84)),"",IF(ISBLANK($B84),"",IFERROR(_xll.BDP(TICKER,"DEEP_MEASURE_PERIOD_BROKER_VALUE","DEEP_MEASURE_ID_OVERRIDE",$C84,"DEEP_BROKER_ID_OVERRIDE",AY$24,"DEEP_PERIOD_OVERRIDE",$H$19)*1,"")))</f>
        <v/>
      </c>
      <c r="AZ84" s="17" t="str">
        <f>IF(OR(AZ$23="",ISNA($B84)),"",IF(ISBLANK($B84),"",IFERROR(_xll.BDP(TICKER,"DEEP_MEASURE_PERIOD_BROKER_VALUE","DEEP_MEASURE_ID_OVERRIDE",$C84,"DEEP_BROKER_ID_OVERRIDE",AZ$24,"DEEP_PERIOD_OVERRIDE",$H$19)*1,"")))</f>
        <v/>
      </c>
      <c r="BA84" s="17" t="str">
        <f>IF(OR(BA$23="",ISNA($B84)),"",IF(ISBLANK($B84),"",IFERROR(_xll.BDP(TICKER,"DEEP_MEASURE_PERIOD_BROKER_VALUE","DEEP_MEASURE_ID_OVERRIDE",$C84,"DEEP_BROKER_ID_OVERRIDE",BA$24,"DEEP_PERIOD_OVERRIDE",$H$19)*1,"")))</f>
        <v/>
      </c>
      <c r="BB84" s="17" t="str">
        <f>IF(OR(BB$23="",ISNA($B84)),"",IF(ISBLANK($B84),"",IFERROR(_xll.BDP(TICKER,"DEEP_MEASURE_PERIOD_BROKER_VALUE","DEEP_MEASURE_ID_OVERRIDE",$C84,"DEEP_BROKER_ID_OVERRIDE",BB$24,"DEEP_PERIOD_OVERRIDE",$H$19)*1,"")))</f>
        <v/>
      </c>
      <c r="BC84" s="17" t="str">
        <f>IF(OR(BC$23="",ISNA($B84)),"",IF(ISBLANK($B84),"",IFERROR(_xll.BDP(TICKER,"DEEP_MEASURE_PERIOD_BROKER_VALUE","DEEP_MEASURE_ID_OVERRIDE",$C84,"DEEP_BROKER_ID_OVERRIDE",BC$24,"DEEP_PERIOD_OVERRIDE",$H$19)*1,"")))</f>
        <v/>
      </c>
      <c r="BD84" s="17" t="str">
        <f>IF(OR(BD$23="",ISNA($B84)),"",IF(ISBLANK($B84),"",IFERROR(_xll.BDP(TICKER,"DEEP_MEASURE_PERIOD_BROKER_VALUE","DEEP_MEASURE_ID_OVERRIDE",$C84,"DEEP_BROKER_ID_OVERRIDE",BD$24,"DEEP_PERIOD_OVERRIDE",$H$19)*1,"")))</f>
        <v/>
      </c>
      <c r="BE84" s="17" t="str">
        <f>IF(OR(BE$23="",ISNA($B84)),"",IF(ISBLANK($B84),"",IFERROR(_xll.BDP(TICKER,"DEEP_MEASURE_PERIOD_BROKER_VALUE","DEEP_MEASURE_ID_OVERRIDE",$C84,"DEEP_BROKER_ID_OVERRIDE",BE$24,"DEEP_PERIOD_OVERRIDE",$H$19)*1,"")))</f>
        <v/>
      </c>
      <c r="BF84" s="17" t="str">
        <f>IF(OR(BF$23="",ISNA($B84)),"",IF(ISBLANK($B84),"",IFERROR(_xll.BDP(TICKER,"DEEP_MEASURE_PERIOD_BROKER_VALUE","DEEP_MEASURE_ID_OVERRIDE",$C84,"DEEP_BROKER_ID_OVERRIDE",BF$24,"DEEP_PERIOD_OVERRIDE",$H$19)*1,"")))</f>
        <v/>
      </c>
      <c r="BG84" s="17" t="str">
        <f>IF(OR(BG$23="",ISNA($B84)),"",IF(ISBLANK($B84),"",IFERROR(_xll.BDP(TICKER,"DEEP_MEASURE_PERIOD_BROKER_VALUE","DEEP_MEASURE_ID_OVERRIDE",$C84,"DEEP_BROKER_ID_OVERRIDE",BG$24,"DEEP_PERIOD_OVERRIDE",$H$19)*1,"")))</f>
        <v/>
      </c>
      <c r="BH84" s="17" t="str">
        <f>IF(OR(BH$23="",ISNA($B84)),"",IF(ISBLANK($B84),"",IFERROR(_xll.BDP(TICKER,"DEEP_MEASURE_PERIOD_BROKER_VALUE","DEEP_MEASURE_ID_OVERRIDE",$C84,"DEEP_BROKER_ID_OVERRIDE",BH$24,"DEEP_PERIOD_OVERRIDE",$H$19)*1,"")))</f>
        <v/>
      </c>
      <c r="BI84" s="17" t="str">
        <f>IF(OR(BI$23="",ISNA($B84)),"",IF(ISBLANK($B84),"",IFERROR(_xll.BDP(TICKER,"DEEP_MEASURE_PERIOD_BROKER_VALUE","DEEP_MEASURE_ID_OVERRIDE",$C84,"DEEP_BROKER_ID_OVERRIDE",BI$24,"DEEP_PERIOD_OVERRIDE",$H$19)*1,"")))</f>
        <v/>
      </c>
      <c r="BJ84" s="17" t="str">
        <f>IF(OR(BJ$23="",ISNA($B84)),"",IF(ISBLANK($B84),"",IFERROR(_xll.BDP(TICKER,"DEEP_MEASURE_PERIOD_BROKER_VALUE","DEEP_MEASURE_ID_OVERRIDE",$C84,"DEEP_BROKER_ID_OVERRIDE",BJ$24,"DEEP_PERIOD_OVERRIDE",$H$19)*1,"")))</f>
        <v/>
      </c>
      <c r="BK84" s="17" t="str">
        <f>IF(OR(BK$23="",ISNA($B84)),"",IF(ISBLANK($B84),"",IFERROR(_xll.BDP(TICKER,"DEEP_MEASURE_PERIOD_BROKER_VALUE","DEEP_MEASURE_ID_OVERRIDE",$C84,"DEEP_BROKER_ID_OVERRIDE",BK$24,"DEEP_PERIOD_OVERRIDE",$H$19)*1,"")))</f>
        <v/>
      </c>
      <c r="BL84" s="17" t="str">
        <f>IF(OR(BL$23="",ISNA($B84)),"",IF(ISBLANK($B84),"",IFERROR(_xll.BDP(TICKER,"DEEP_MEASURE_PERIOD_BROKER_VALUE","DEEP_MEASURE_ID_OVERRIDE",$C84,"DEEP_BROKER_ID_OVERRIDE",BL$24,"DEEP_PERIOD_OVERRIDE",$H$19)*1,"")))</f>
        <v/>
      </c>
      <c r="BM84" s="17" t="str">
        <f>IF(OR(BM$23="",ISNA($B84)),"",IF(ISBLANK($B84),"",IFERROR(_xll.BDP(TICKER,"DEEP_MEASURE_PERIOD_BROKER_VALUE","DEEP_MEASURE_ID_OVERRIDE",$C84,"DEEP_BROKER_ID_OVERRIDE",BM$24,"DEEP_PERIOD_OVERRIDE",$H$19)*1,"")))</f>
        <v/>
      </c>
      <c r="BN84" s="17" t="str">
        <f>IF(OR(BN$23="",ISNA($B84)),"",IF(ISBLANK($B84),"",IFERROR(_xll.BDP(TICKER,"DEEP_MEASURE_PERIOD_BROKER_VALUE","DEEP_MEASURE_ID_OVERRIDE",$C84,"DEEP_BROKER_ID_OVERRIDE",BN$24,"DEEP_PERIOD_OVERRIDE",$H$19)*1,"")))</f>
        <v/>
      </c>
      <c r="BO84" s="17" t="str">
        <f>IF(OR(BO$23="",ISNA($B84)),"",IF(ISBLANK($B84),"",IFERROR(_xll.BDP(TICKER,"DEEP_MEASURE_PERIOD_BROKER_VALUE","DEEP_MEASURE_ID_OVERRIDE",$C84,"DEEP_BROKER_ID_OVERRIDE",BO$24,"DEEP_PERIOD_OVERRIDE",$H$19)*1,"")))</f>
        <v/>
      </c>
      <c r="BP84" s="17" t="str">
        <f>IF(OR(BP$23="",ISNA($B84)),"",IF(ISBLANK($B84),"",IFERROR(_xll.BDP(TICKER,"DEEP_MEASURE_PERIOD_BROKER_VALUE","DEEP_MEASURE_ID_OVERRIDE",$C84,"DEEP_BROKER_ID_OVERRIDE",BP$24,"DEEP_PERIOD_OVERRIDE",$H$19)*1,"")))</f>
        <v/>
      </c>
      <c r="BQ84" s="17" t="str">
        <f>IF(OR(BQ$23="",ISNA($B84)),"",IF(ISBLANK($B84),"",IFERROR(_xll.BDP(TICKER,"DEEP_MEASURE_PERIOD_BROKER_VALUE","DEEP_MEASURE_ID_OVERRIDE",$C84,"DEEP_BROKER_ID_OVERRIDE",BQ$24,"DEEP_PERIOD_OVERRIDE",$H$19)*1,"")))</f>
        <v/>
      </c>
      <c r="BR84" s="17" t="str">
        <f>IF(OR(BR$23="",ISNA($B84)),"",IF(ISBLANK($B84),"",IFERROR(_xll.BDP(TICKER,"DEEP_MEASURE_PERIOD_BROKER_VALUE","DEEP_MEASURE_ID_OVERRIDE",$C84,"DEEP_BROKER_ID_OVERRIDE",BR$24,"DEEP_PERIOD_OVERRIDE",$H$19)*1,"")))</f>
        <v/>
      </c>
      <c r="BS84" s="17" t="str">
        <f>IF(OR(BS$23="",ISNA($B84)),"",IF(ISBLANK($B84),"",IFERROR(_xll.BDP(TICKER,"DEEP_MEASURE_PERIOD_BROKER_VALUE","DEEP_MEASURE_ID_OVERRIDE",$C84,"DEEP_BROKER_ID_OVERRIDE",BS$24,"DEEP_PERIOD_OVERRIDE",$H$19)*1,"")))</f>
        <v/>
      </c>
      <c r="BT84" s="17" t="str">
        <f>IF(OR(BT$23="",ISNA($B84)),"",IF(ISBLANK($B84),"",IFERROR(_xll.BDP(TICKER,"DEEP_MEASURE_PERIOD_BROKER_VALUE","DEEP_MEASURE_ID_OVERRIDE",$C84,"DEEP_BROKER_ID_OVERRIDE",BT$24,"DEEP_PERIOD_OVERRIDE",$H$19)*1,"")))</f>
        <v/>
      </c>
      <c r="BU84" s="17" t="str">
        <f>IF(OR(BU$23="",ISNA($B84)),"",IF(ISBLANK($B84),"",IFERROR(_xll.BDP(TICKER,"DEEP_MEASURE_PERIOD_BROKER_VALUE","DEEP_MEASURE_ID_OVERRIDE",$C84,"DEEP_BROKER_ID_OVERRIDE",BU$24,"DEEP_PERIOD_OVERRIDE",$H$19)*1,"")))</f>
        <v/>
      </c>
      <c r="BV84" s="17" t="str">
        <f>IF(OR(BV$23="",ISNA($B84)),"",IF(ISBLANK($B84),"",IFERROR(_xll.BDP(TICKER,"DEEP_MEASURE_PERIOD_BROKER_VALUE","DEEP_MEASURE_ID_OVERRIDE",$C84,"DEEP_BROKER_ID_OVERRIDE",BV$24,"DEEP_PERIOD_OVERRIDE",$H$19)*1,"")))</f>
        <v/>
      </c>
      <c r="BW84" s="17" t="str">
        <f>IF(OR(BW$23="",ISNA($B84)),"",IF(ISBLANK($B84),"",IFERROR(_xll.BDP(TICKER,"DEEP_MEASURE_PERIOD_BROKER_VALUE","DEEP_MEASURE_ID_OVERRIDE",$C84,"DEEP_BROKER_ID_OVERRIDE",BW$24,"DEEP_PERIOD_OVERRIDE",$H$19)*1,"")))</f>
        <v/>
      </c>
      <c r="BX84" s="17" t="str">
        <f>IF(OR(BX$23="",ISNA($B84)),"",IF(ISBLANK($B84),"",IFERROR(_xll.BDP(TICKER,"DEEP_MEASURE_PERIOD_BROKER_VALUE","DEEP_MEASURE_ID_OVERRIDE",$C84,"DEEP_BROKER_ID_OVERRIDE",BX$24,"DEEP_PERIOD_OVERRIDE",$H$19)*1,"")))</f>
        <v/>
      </c>
      <c r="BY84" s="17" t="str">
        <f>IF(OR(BY$23="",ISNA($B84)),"",IF(ISBLANK($B84),"",IFERROR(_xll.BDP(TICKER,"DEEP_MEASURE_PERIOD_BROKER_VALUE","DEEP_MEASURE_ID_OVERRIDE",$C84,"DEEP_BROKER_ID_OVERRIDE",BY$24,"DEEP_PERIOD_OVERRIDE",$H$19)*1,"")))</f>
        <v/>
      </c>
      <c r="BZ84" s="17" t="str">
        <f>IF(OR(BZ$23="",ISNA($B84)),"",IF(ISBLANK($B84),"",IFERROR(_xll.BDP(TICKER,"DEEP_MEASURE_PERIOD_BROKER_VALUE","DEEP_MEASURE_ID_OVERRIDE",$C84,"DEEP_BROKER_ID_OVERRIDE",BZ$24,"DEEP_PERIOD_OVERRIDE",$H$19)*1,"")))</f>
        <v/>
      </c>
    </row>
    <row r="85" spans="2:78" x14ac:dyDescent="0.25">
      <c r="B85" t="s">
        <v>13</v>
      </c>
      <c r="C85">
        <v>300</v>
      </c>
      <c r="H85" t="str">
        <f t="shared" si="1"/>
        <v>Cost of Revenue</v>
      </c>
      <c r="I85" t="str">
        <f>IF(OR(I$23="",ISNA($B85)),"",IF(ISBLANK($B85),"",IFERROR(_xll.BDP(TICKER,"DEEP_MEASURE_PERIOD_BROKER_VALUE","DEEP_MEASURE_ID_OVERRIDE",$C85,"DEEP_PERIOD_OVERRIDE",$H$19)*1,"")))</f>
        <v/>
      </c>
      <c r="J85" t="e">
        <f>IF(OR(J$23="",ISNA($B85)),"",IF(ISBLANK($B85),"",IFERROR(_xll.BDP(TICKER,"DEEP_MEASURE_PERIOD_BROKER_VALUE","DEEP_MEASURE_ID_OVERRIDE",$C85,"DEEP_BROKER_ID_OVERRIDE",J$24,"DEEP_PERIOD_OVERRIDE",$H$19)*1,"")))</f>
        <v>#REF!</v>
      </c>
      <c r="K85" s="17" t="str">
        <f>IF(OR(K$23="",ISNA($B85)),"",IF(ISBLANK($B85),"",IFERROR(_xll.BDP(TICKER,"DEEP_MEASURE_PERIOD_BROKER_VALUE","DEEP_MEASURE_ID_OVERRIDE",$C85,"DEEP_BROKER_ID_OVERRIDE",K$24,"DEEP_PERIOD_OVERRIDE",$H$19)*1,"")))</f>
        <v/>
      </c>
      <c r="L85" s="17" t="str">
        <f>IF(OR(L$23="",ISNA($B85)),"",IF(ISBLANK($B85),"",IFERROR(_xll.BDP(TICKER,"DEEP_MEASURE_PERIOD_BROKER_VALUE","DEEP_MEASURE_ID_OVERRIDE",$C85,"DEEP_BROKER_ID_OVERRIDE",L$24,"DEEP_PERIOD_OVERRIDE",$H$19)*1,"")))</f>
        <v/>
      </c>
      <c r="M85" s="17" t="str">
        <f>IF(OR(M$23="",ISNA($B85)),"",IF(ISBLANK($B85),"",IFERROR(_xll.BDP(TICKER,"DEEP_MEASURE_PERIOD_BROKER_VALUE","DEEP_MEASURE_ID_OVERRIDE",$C85,"DEEP_BROKER_ID_OVERRIDE",M$24,"DEEP_PERIOD_OVERRIDE",$H$19)*1,"")))</f>
        <v/>
      </c>
      <c r="N85" s="17" t="str">
        <f>IF(OR(N$23="",ISNA($B85)),"",IF(ISBLANK($B85),"",IFERROR(_xll.BDP(TICKER,"DEEP_MEASURE_PERIOD_BROKER_VALUE","DEEP_MEASURE_ID_OVERRIDE",$C85,"DEEP_BROKER_ID_OVERRIDE",N$24,"DEEP_PERIOD_OVERRIDE",$H$19)*1,"")))</f>
        <v/>
      </c>
      <c r="O85" s="17" t="str">
        <f>IF(OR(O$23="",ISNA($B85)),"",IF(ISBLANK($B85),"",IFERROR(_xll.BDP(TICKER,"DEEP_MEASURE_PERIOD_BROKER_VALUE","DEEP_MEASURE_ID_OVERRIDE",$C85,"DEEP_BROKER_ID_OVERRIDE",O$24,"DEEP_PERIOD_OVERRIDE",$H$19)*1,"")))</f>
        <v/>
      </c>
      <c r="P85" s="17" t="str">
        <f>IF(OR(P$23="",ISNA($B85)),"",IF(ISBLANK($B85),"",IFERROR(_xll.BDP(TICKER,"DEEP_MEASURE_PERIOD_BROKER_VALUE","DEEP_MEASURE_ID_OVERRIDE",$C85,"DEEP_BROKER_ID_OVERRIDE",P$24,"DEEP_PERIOD_OVERRIDE",$H$19)*1,"")))</f>
        <v/>
      </c>
      <c r="Q85" s="17" t="str">
        <f>IF(OR(Q$23="",ISNA($B85)),"",IF(ISBLANK($B85),"",IFERROR(_xll.BDP(TICKER,"DEEP_MEASURE_PERIOD_BROKER_VALUE","DEEP_MEASURE_ID_OVERRIDE",$C85,"DEEP_BROKER_ID_OVERRIDE",Q$24,"DEEP_PERIOD_OVERRIDE",$H$19)*1,"")))</f>
        <v/>
      </c>
      <c r="R85" s="17" t="str">
        <f>IF(OR(R$23="",ISNA($B85)),"",IF(ISBLANK($B85),"",IFERROR(_xll.BDP(TICKER,"DEEP_MEASURE_PERIOD_BROKER_VALUE","DEEP_MEASURE_ID_OVERRIDE",$C85,"DEEP_BROKER_ID_OVERRIDE",R$24,"DEEP_PERIOD_OVERRIDE",$H$19)*1,"")))</f>
        <v/>
      </c>
      <c r="S85" s="17" t="str">
        <f>IF(OR(S$23="",ISNA($B85)),"",IF(ISBLANK($B85),"",IFERROR(_xll.BDP(TICKER,"DEEP_MEASURE_PERIOD_BROKER_VALUE","DEEP_MEASURE_ID_OVERRIDE",$C85,"DEEP_BROKER_ID_OVERRIDE",S$24,"DEEP_PERIOD_OVERRIDE",$H$19)*1,"")))</f>
        <v/>
      </c>
      <c r="T85" s="17" t="str">
        <f>IF(OR(T$23="",ISNA($B85)),"",IF(ISBLANK($B85),"",IFERROR(_xll.BDP(TICKER,"DEEP_MEASURE_PERIOD_BROKER_VALUE","DEEP_MEASURE_ID_OVERRIDE",$C85,"DEEP_BROKER_ID_OVERRIDE",T$24,"DEEP_PERIOD_OVERRIDE",$H$19)*1,"")))</f>
        <v/>
      </c>
      <c r="U85" s="17" t="str">
        <f>IF(OR(U$23="",ISNA($B85)),"",IF(ISBLANK($B85),"",IFERROR(_xll.BDP(TICKER,"DEEP_MEASURE_PERIOD_BROKER_VALUE","DEEP_MEASURE_ID_OVERRIDE",$C85,"DEEP_BROKER_ID_OVERRIDE",U$24,"DEEP_PERIOD_OVERRIDE",$H$19)*1,"")))</f>
        <v/>
      </c>
      <c r="V85" s="17" t="str">
        <f>IF(OR(V$23="",ISNA($B85)),"",IF(ISBLANK($B85),"",IFERROR(_xll.BDP(TICKER,"DEEP_MEASURE_PERIOD_BROKER_VALUE","DEEP_MEASURE_ID_OVERRIDE",$C85,"DEEP_BROKER_ID_OVERRIDE",V$24,"DEEP_PERIOD_OVERRIDE",$H$19)*1,"")))</f>
        <v/>
      </c>
      <c r="W85" s="17" t="str">
        <f>IF(OR(W$23="",ISNA($B85)),"",IF(ISBLANK($B85),"",IFERROR(_xll.BDP(TICKER,"DEEP_MEASURE_PERIOD_BROKER_VALUE","DEEP_MEASURE_ID_OVERRIDE",$C85,"DEEP_BROKER_ID_OVERRIDE",W$24,"DEEP_PERIOD_OVERRIDE",$H$19)*1,"")))</f>
        <v/>
      </c>
      <c r="X85" s="17" t="str">
        <f>IF(OR(X$23="",ISNA($B85)),"",IF(ISBLANK($B85),"",IFERROR(_xll.BDP(TICKER,"DEEP_MEASURE_PERIOD_BROKER_VALUE","DEEP_MEASURE_ID_OVERRIDE",$C85,"DEEP_BROKER_ID_OVERRIDE",X$24,"DEEP_PERIOD_OVERRIDE",$H$19)*1,"")))</f>
        <v/>
      </c>
      <c r="Y85" s="17" t="str">
        <f>IF(OR(Y$23="",ISNA($B85)),"",IF(ISBLANK($B85),"",IFERROR(_xll.BDP(TICKER,"DEEP_MEASURE_PERIOD_BROKER_VALUE","DEEP_MEASURE_ID_OVERRIDE",$C85,"DEEP_BROKER_ID_OVERRIDE",Y$24,"DEEP_PERIOD_OVERRIDE",$H$19)*1,"")))</f>
        <v/>
      </c>
      <c r="Z85" s="17" t="str">
        <f>IF(OR(Z$23="",ISNA($B85)),"",IF(ISBLANK($B85),"",IFERROR(_xll.BDP(TICKER,"DEEP_MEASURE_PERIOD_BROKER_VALUE","DEEP_MEASURE_ID_OVERRIDE",$C85,"DEEP_BROKER_ID_OVERRIDE",Z$24,"DEEP_PERIOD_OVERRIDE",$H$19)*1,"")))</f>
        <v/>
      </c>
      <c r="AA85" s="17" t="str">
        <f>IF(OR(AA$23="",ISNA($B85)),"",IF(ISBLANK($B85),"",IFERROR(_xll.BDP(TICKER,"DEEP_MEASURE_PERIOD_BROKER_VALUE","DEEP_MEASURE_ID_OVERRIDE",$C85,"DEEP_BROKER_ID_OVERRIDE",AA$24,"DEEP_PERIOD_OVERRIDE",$H$19)*1,"")))</f>
        <v/>
      </c>
      <c r="AB85" s="17" t="str">
        <f>IF(OR(AB$23="",ISNA($B85)),"",IF(ISBLANK($B85),"",IFERROR(_xll.BDP(TICKER,"DEEP_MEASURE_PERIOD_BROKER_VALUE","DEEP_MEASURE_ID_OVERRIDE",$C85,"DEEP_BROKER_ID_OVERRIDE",AB$24,"DEEP_PERIOD_OVERRIDE",$H$19)*1,"")))</f>
        <v/>
      </c>
      <c r="AC85" s="17" t="str">
        <f>IF(OR(AC$23="",ISNA($B85)),"",IF(ISBLANK($B85),"",IFERROR(_xll.BDP(TICKER,"DEEP_MEASURE_PERIOD_BROKER_VALUE","DEEP_MEASURE_ID_OVERRIDE",$C85,"DEEP_BROKER_ID_OVERRIDE",AC$24,"DEEP_PERIOD_OVERRIDE",$H$19)*1,"")))</f>
        <v/>
      </c>
      <c r="AD85" s="17" t="str">
        <f>IF(OR(AD$23="",ISNA($B85)),"",IF(ISBLANK($B85),"",IFERROR(_xll.BDP(TICKER,"DEEP_MEASURE_PERIOD_BROKER_VALUE","DEEP_MEASURE_ID_OVERRIDE",$C85,"DEEP_BROKER_ID_OVERRIDE",AD$24,"DEEP_PERIOD_OVERRIDE",$H$19)*1,"")))</f>
        <v/>
      </c>
      <c r="AE85" s="17" t="str">
        <f>IF(OR(AE$23="",ISNA($B85)),"",IF(ISBLANK($B85),"",IFERROR(_xll.BDP(TICKER,"DEEP_MEASURE_PERIOD_BROKER_VALUE","DEEP_MEASURE_ID_OVERRIDE",$C85,"DEEP_BROKER_ID_OVERRIDE",AE$24,"DEEP_PERIOD_OVERRIDE",$H$19)*1,"")))</f>
        <v/>
      </c>
      <c r="AF85" s="17" t="str">
        <f>IF(OR(AF$23="",ISNA($B85)),"",IF(ISBLANK($B85),"",IFERROR(_xll.BDP(TICKER,"DEEP_MEASURE_PERIOD_BROKER_VALUE","DEEP_MEASURE_ID_OVERRIDE",$C85,"DEEP_BROKER_ID_OVERRIDE",AF$24,"DEEP_PERIOD_OVERRIDE",$H$19)*1,"")))</f>
        <v/>
      </c>
      <c r="AG85" s="17" t="str">
        <f>IF(OR(AG$23="",ISNA($B85)),"",IF(ISBLANK($B85),"",IFERROR(_xll.BDP(TICKER,"DEEP_MEASURE_PERIOD_BROKER_VALUE","DEEP_MEASURE_ID_OVERRIDE",$C85,"DEEP_BROKER_ID_OVERRIDE",AG$24,"DEEP_PERIOD_OVERRIDE",$H$19)*1,"")))</f>
        <v/>
      </c>
      <c r="AH85" s="17" t="str">
        <f>IF(OR(AH$23="",ISNA($B85)),"",IF(ISBLANK($B85),"",IFERROR(_xll.BDP(TICKER,"DEEP_MEASURE_PERIOD_BROKER_VALUE","DEEP_MEASURE_ID_OVERRIDE",$C85,"DEEP_BROKER_ID_OVERRIDE",AH$24,"DEEP_PERIOD_OVERRIDE",$H$19)*1,"")))</f>
        <v/>
      </c>
      <c r="AI85" s="17" t="str">
        <f>IF(OR(AI$23="",ISNA($B85)),"",IF(ISBLANK($B85),"",IFERROR(_xll.BDP(TICKER,"DEEP_MEASURE_PERIOD_BROKER_VALUE","DEEP_MEASURE_ID_OVERRIDE",$C85,"DEEP_BROKER_ID_OVERRIDE",AI$24,"DEEP_PERIOD_OVERRIDE",$H$19)*1,"")))</f>
        <v/>
      </c>
      <c r="AJ85" s="17" t="str">
        <f>IF(OR(AJ$23="",ISNA($B85)),"",IF(ISBLANK($B85),"",IFERROR(_xll.BDP(TICKER,"DEEP_MEASURE_PERIOD_BROKER_VALUE","DEEP_MEASURE_ID_OVERRIDE",$C85,"DEEP_BROKER_ID_OVERRIDE",AJ$24,"DEEP_PERIOD_OVERRIDE",$H$19)*1,"")))</f>
        <v/>
      </c>
      <c r="AK85" s="17" t="str">
        <f>IF(OR(AK$23="",ISNA($B85)),"",IF(ISBLANK($B85),"",IFERROR(_xll.BDP(TICKER,"DEEP_MEASURE_PERIOD_BROKER_VALUE","DEEP_MEASURE_ID_OVERRIDE",$C85,"DEEP_BROKER_ID_OVERRIDE",AK$24,"DEEP_PERIOD_OVERRIDE",$H$19)*1,"")))</f>
        <v/>
      </c>
      <c r="AL85" s="17" t="str">
        <f>IF(OR(AL$23="",ISNA($B85)),"",IF(ISBLANK($B85),"",IFERROR(_xll.BDP(TICKER,"DEEP_MEASURE_PERIOD_BROKER_VALUE","DEEP_MEASURE_ID_OVERRIDE",$C85,"DEEP_BROKER_ID_OVERRIDE",AL$24,"DEEP_PERIOD_OVERRIDE",$H$19)*1,"")))</f>
        <v/>
      </c>
      <c r="AM85" s="17" t="str">
        <f>IF(OR(AM$23="",ISNA($B85)),"",IF(ISBLANK($B85),"",IFERROR(_xll.BDP(TICKER,"DEEP_MEASURE_PERIOD_BROKER_VALUE","DEEP_MEASURE_ID_OVERRIDE",$C85,"DEEP_BROKER_ID_OVERRIDE",AM$24,"DEEP_PERIOD_OVERRIDE",$H$19)*1,"")))</f>
        <v/>
      </c>
      <c r="AN85" s="17" t="str">
        <f>IF(OR(AN$23="",ISNA($B85)),"",IF(ISBLANK($B85),"",IFERROR(_xll.BDP(TICKER,"DEEP_MEASURE_PERIOD_BROKER_VALUE","DEEP_MEASURE_ID_OVERRIDE",$C85,"DEEP_BROKER_ID_OVERRIDE",AN$24,"DEEP_PERIOD_OVERRIDE",$H$19)*1,"")))</f>
        <v/>
      </c>
      <c r="AO85" s="17" t="str">
        <f>IF(OR(AO$23="",ISNA($B85)),"",IF(ISBLANK($B85),"",IFERROR(_xll.BDP(TICKER,"DEEP_MEASURE_PERIOD_BROKER_VALUE","DEEP_MEASURE_ID_OVERRIDE",$C85,"DEEP_BROKER_ID_OVERRIDE",AO$24,"DEEP_PERIOD_OVERRIDE",$H$19)*1,"")))</f>
        <v/>
      </c>
      <c r="AP85" s="17" t="str">
        <f>IF(OR(AP$23="",ISNA($B85)),"",IF(ISBLANK($B85),"",IFERROR(_xll.BDP(TICKER,"DEEP_MEASURE_PERIOD_BROKER_VALUE","DEEP_MEASURE_ID_OVERRIDE",$C85,"DEEP_BROKER_ID_OVERRIDE",AP$24,"DEEP_PERIOD_OVERRIDE",$H$19)*1,"")))</f>
        <v/>
      </c>
      <c r="AQ85" s="17" t="str">
        <f>IF(OR(AQ$23="",ISNA($B85)),"",IF(ISBLANK($B85),"",IFERROR(_xll.BDP(TICKER,"DEEP_MEASURE_PERIOD_BROKER_VALUE","DEEP_MEASURE_ID_OVERRIDE",$C85,"DEEP_BROKER_ID_OVERRIDE",AQ$24,"DEEP_PERIOD_OVERRIDE",$H$19)*1,"")))</f>
        <v/>
      </c>
      <c r="AR85" s="17" t="str">
        <f>IF(OR(AR$23="",ISNA($B85)),"",IF(ISBLANK($B85),"",IFERROR(_xll.BDP(TICKER,"DEEP_MEASURE_PERIOD_BROKER_VALUE","DEEP_MEASURE_ID_OVERRIDE",$C85,"DEEP_BROKER_ID_OVERRIDE",AR$24,"DEEP_PERIOD_OVERRIDE",$H$19)*1,"")))</f>
        <v/>
      </c>
      <c r="AS85" s="17" t="str">
        <f>IF(OR(AS$23="",ISNA($B85)),"",IF(ISBLANK($B85),"",IFERROR(_xll.BDP(TICKER,"DEEP_MEASURE_PERIOD_BROKER_VALUE","DEEP_MEASURE_ID_OVERRIDE",$C85,"DEEP_BROKER_ID_OVERRIDE",AS$24,"DEEP_PERIOD_OVERRIDE",$H$19)*1,"")))</f>
        <v/>
      </c>
      <c r="AT85" s="17" t="str">
        <f>IF(OR(AT$23="",ISNA($B85)),"",IF(ISBLANK($B85),"",IFERROR(_xll.BDP(TICKER,"DEEP_MEASURE_PERIOD_BROKER_VALUE","DEEP_MEASURE_ID_OVERRIDE",$C85,"DEEP_BROKER_ID_OVERRIDE",AT$24,"DEEP_PERIOD_OVERRIDE",$H$19)*1,"")))</f>
        <v/>
      </c>
      <c r="AU85" s="17" t="str">
        <f>IF(OR(AU$23="",ISNA($B85)),"",IF(ISBLANK($B85),"",IFERROR(_xll.BDP(TICKER,"DEEP_MEASURE_PERIOD_BROKER_VALUE","DEEP_MEASURE_ID_OVERRIDE",$C85,"DEEP_BROKER_ID_OVERRIDE",AU$24,"DEEP_PERIOD_OVERRIDE",$H$19)*1,"")))</f>
        <v/>
      </c>
      <c r="AV85" s="17" t="str">
        <f>IF(OR(AV$23="",ISNA($B85)),"",IF(ISBLANK($B85),"",IFERROR(_xll.BDP(TICKER,"DEEP_MEASURE_PERIOD_BROKER_VALUE","DEEP_MEASURE_ID_OVERRIDE",$C85,"DEEP_BROKER_ID_OVERRIDE",AV$24,"DEEP_PERIOD_OVERRIDE",$H$19)*1,"")))</f>
        <v/>
      </c>
      <c r="AW85" s="17" t="str">
        <f>IF(OR(AW$23="",ISNA($B85)),"",IF(ISBLANK($B85),"",IFERROR(_xll.BDP(TICKER,"DEEP_MEASURE_PERIOD_BROKER_VALUE","DEEP_MEASURE_ID_OVERRIDE",$C85,"DEEP_BROKER_ID_OVERRIDE",AW$24,"DEEP_PERIOD_OVERRIDE",$H$19)*1,"")))</f>
        <v/>
      </c>
      <c r="AX85" s="17" t="str">
        <f>IF(OR(AX$23="",ISNA($B85)),"",IF(ISBLANK($B85),"",IFERROR(_xll.BDP(TICKER,"DEEP_MEASURE_PERIOD_BROKER_VALUE","DEEP_MEASURE_ID_OVERRIDE",$C85,"DEEP_BROKER_ID_OVERRIDE",AX$24,"DEEP_PERIOD_OVERRIDE",$H$19)*1,"")))</f>
        <v/>
      </c>
      <c r="AY85" s="17" t="str">
        <f>IF(OR(AY$23="",ISNA($B85)),"",IF(ISBLANK($B85),"",IFERROR(_xll.BDP(TICKER,"DEEP_MEASURE_PERIOD_BROKER_VALUE","DEEP_MEASURE_ID_OVERRIDE",$C85,"DEEP_BROKER_ID_OVERRIDE",AY$24,"DEEP_PERIOD_OVERRIDE",$H$19)*1,"")))</f>
        <v/>
      </c>
      <c r="AZ85" s="17" t="str">
        <f>IF(OR(AZ$23="",ISNA($B85)),"",IF(ISBLANK($B85),"",IFERROR(_xll.BDP(TICKER,"DEEP_MEASURE_PERIOD_BROKER_VALUE","DEEP_MEASURE_ID_OVERRIDE",$C85,"DEEP_BROKER_ID_OVERRIDE",AZ$24,"DEEP_PERIOD_OVERRIDE",$H$19)*1,"")))</f>
        <v/>
      </c>
      <c r="BA85" s="17" t="str">
        <f>IF(OR(BA$23="",ISNA($B85)),"",IF(ISBLANK($B85),"",IFERROR(_xll.BDP(TICKER,"DEEP_MEASURE_PERIOD_BROKER_VALUE","DEEP_MEASURE_ID_OVERRIDE",$C85,"DEEP_BROKER_ID_OVERRIDE",BA$24,"DEEP_PERIOD_OVERRIDE",$H$19)*1,"")))</f>
        <v/>
      </c>
      <c r="BB85" s="17" t="str">
        <f>IF(OR(BB$23="",ISNA($B85)),"",IF(ISBLANK($B85),"",IFERROR(_xll.BDP(TICKER,"DEEP_MEASURE_PERIOD_BROKER_VALUE","DEEP_MEASURE_ID_OVERRIDE",$C85,"DEEP_BROKER_ID_OVERRIDE",BB$24,"DEEP_PERIOD_OVERRIDE",$H$19)*1,"")))</f>
        <v/>
      </c>
      <c r="BC85" s="17" t="str">
        <f>IF(OR(BC$23="",ISNA($B85)),"",IF(ISBLANK($B85),"",IFERROR(_xll.BDP(TICKER,"DEEP_MEASURE_PERIOD_BROKER_VALUE","DEEP_MEASURE_ID_OVERRIDE",$C85,"DEEP_BROKER_ID_OVERRIDE",BC$24,"DEEP_PERIOD_OVERRIDE",$H$19)*1,"")))</f>
        <v/>
      </c>
      <c r="BD85" s="17" t="str">
        <f>IF(OR(BD$23="",ISNA($B85)),"",IF(ISBLANK($B85),"",IFERROR(_xll.BDP(TICKER,"DEEP_MEASURE_PERIOD_BROKER_VALUE","DEEP_MEASURE_ID_OVERRIDE",$C85,"DEEP_BROKER_ID_OVERRIDE",BD$24,"DEEP_PERIOD_OVERRIDE",$H$19)*1,"")))</f>
        <v/>
      </c>
      <c r="BE85" s="17" t="str">
        <f>IF(OR(BE$23="",ISNA($B85)),"",IF(ISBLANK($B85),"",IFERROR(_xll.BDP(TICKER,"DEEP_MEASURE_PERIOD_BROKER_VALUE","DEEP_MEASURE_ID_OVERRIDE",$C85,"DEEP_BROKER_ID_OVERRIDE",BE$24,"DEEP_PERIOD_OVERRIDE",$H$19)*1,"")))</f>
        <v/>
      </c>
      <c r="BF85" s="17" t="str">
        <f>IF(OR(BF$23="",ISNA($B85)),"",IF(ISBLANK($B85),"",IFERROR(_xll.BDP(TICKER,"DEEP_MEASURE_PERIOD_BROKER_VALUE","DEEP_MEASURE_ID_OVERRIDE",$C85,"DEEP_BROKER_ID_OVERRIDE",BF$24,"DEEP_PERIOD_OVERRIDE",$H$19)*1,"")))</f>
        <v/>
      </c>
      <c r="BG85" s="17" t="str">
        <f>IF(OR(BG$23="",ISNA($B85)),"",IF(ISBLANK($B85),"",IFERROR(_xll.BDP(TICKER,"DEEP_MEASURE_PERIOD_BROKER_VALUE","DEEP_MEASURE_ID_OVERRIDE",$C85,"DEEP_BROKER_ID_OVERRIDE",BG$24,"DEEP_PERIOD_OVERRIDE",$H$19)*1,"")))</f>
        <v/>
      </c>
      <c r="BH85" s="17" t="str">
        <f>IF(OR(BH$23="",ISNA($B85)),"",IF(ISBLANK($B85),"",IFERROR(_xll.BDP(TICKER,"DEEP_MEASURE_PERIOD_BROKER_VALUE","DEEP_MEASURE_ID_OVERRIDE",$C85,"DEEP_BROKER_ID_OVERRIDE",BH$24,"DEEP_PERIOD_OVERRIDE",$H$19)*1,"")))</f>
        <v/>
      </c>
      <c r="BI85" s="17" t="str">
        <f>IF(OR(BI$23="",ISNA($B85)),"",IF(ISBLANK($B85),"",IFERROR(_xll.BDP(TICKER,"DEEP_MEASURE_PERIOD_BROKER_VALUE","DEEP_MEASURE_ID_OVERRIDE",$C85,"DEEP_BROKER_ID_OVERRIDE",BI$24,"DEEP_PERIOD_OVERRIDE",$H$19)*1,"")))</f>
        <v/>
      </c>
      <c r="BJ85" s="17" t="str">
        <f>IF(OR(BJ$23="",ISNA($B85)),"",IF(ISBLANK($B85),"",IFERROR(_xll.BDP(TICKER,"DEEP_MEASURE_PERIOD_BROKER_VALUE","DEEP_MEASURE_ID_OVERRIDE",$C85,"DEEP_BROKER_ID_OVERRIDE",BJ$24,"DEEP_PERIOD_OVERRIDE",$H$19)*1,"")))</f>
        <v/>
      </c>
      <c r="BK85" s="17" t="str">
        <f>IF(OR(BK$23="",ISNA($B85)),"",IF(ISBLANK($B85),"",IFERROR(_xll.BDP(TICKER,"DEEP_MEASURE_PERIOD_BROKER_VALUE","DEEP_MEASURE_ID_OVERRIDE",$C85,"DEEP_BROKER_ID_OVERRIDE",BK$24,"DEEP_PERIOD_OVERRIDE",$H$19)*1,"")))</f>
        <v/>
      </c>
      <c r="BL85" s="17" t="str">
        <f>IF(OR(BL$23="",ISNA($B85)),"",IF(ISBLANK($B85),"",IFERROR(_xll.BDP(TICKER,"DEEP_MEASURE_PERIOD_BROKER_VALUE","DEEP_MEASURE_ID_OVERRIDE",$C85,"DEEP_BROKER_ID_OVERRIDE",BL$24,"DEEP_PERIOD_OVERRIDE",$H$19)*1,"")))</f>
        <v/>
      </c>
      <c r="BM85" s="17" t="str">
        <f>IF(OR(BM$23="",ISNA($B85)),"",IF(ISBLANK($B85),"",IFERROR(_xll.BDP(TICKER,"DEEP_MEASURE_PERIOD_BROKER_VALUE","DEEP_MEASURE_ID_OVERRIDE",$C85,"DEEP_BROKER_ID_OVERRIDE",BM$24,"DEEP_PERIOD_OVERRIDE",$H$19)*1,"")))</f>
        <v/>
      </c>
      <c r="BN85" s="17" t="str">
        <f>IF(OR(BN$23="",ISNA($B85)),"",IF(ISBLANK($B85),"",IFERROR(_xll.BDP(TICKER,"DEEP_MEASURE_PERIOD_BROKER_VALUE","DEEP_MEASURE_ID_OVERRIDE",$C85,"DEEP_BROKER_ID_OVERRIDE",BN$24,"DEEP_PERIOD_OVERRIDE",$H$19)*1,"")))</f>
        <v/>
      </c>
      <c r="BO85" s="17" t="str">
        <f>IF(OR(BO$23="",ISNA($B85)),"",IF(ISBLANK($B85),"",IFERROR(_xll.BDP(TICKER,"DEEP_MEASURE_PERIOD_BROKER_VALUE","DEEP_MEASURE_ID_OVERRIDE",$C85,"DEEP_BROKER_ID_OVERRIDE",BO$24,"DEEP_PERIOD_OVERRIDE",$H$19)*1,"")))</f>
        <v/>
      </c>
      <c r="BP85" s="17" t="str">
        <f>IF(OR(BP$23="",ISNA($B85)),"",IF(ISBLANK($B85),"",IFERROR(_xll.BDP(TICKER,"DEEP_MEASURE_PERIOD_BROKER_VALUE","DEEP_MEASURE_ID_OVERRIDE",$C85,"DEEP_BROKER_ID_OVERRIDE",BP$24,"DEEP_PERIOD_OVERRIDE",$H$19)*1,"")))</f>
        <v/>
      </c>
      <c r="BQ85" s="17" t="str">
        <f>IF(OR(BQ$23="",ISNA($B85)),"",IF(ISBLANK($B85),"",IFERROR(_xll.BDP(TICKER,"DEEP_MEASURE_PERIOD_BROKER_VALUE","DEEP_MEASURE_ID_OVERRIDE",$C85,"DEEP_BROKER_ID_OVERRIDE",BQ$24,"DEEP_PERIOD_OVERRIDE",$H$19)*1,"")))</f>
        <v/>
      </c>
      <c r="BR85" s="17" t="str">
        <f>IF(OR(BR$23="",ISNA($B85)),"",IF(ISBLANK($B85),"",IFERROR(_xll.BDP(TICKER,"DEEP_MEASURE_PERIOD_BROKER_VALUE","DEEP_MEASURE_ID_OVERRIDE",$C85,"DEEP_BROKER_ID_OVERRIDE",BR$24,"DEEP_PERIOD_OVERRIDE",$H$19)*1,"")))</f>
        <v/>
      </c>
      <c r="BS85" s="17" t="str">
        <f>IF(OR(BS$23="",ISNA($B85)),"",IF(ISBLANK($B85),"",IFERROR(_xll.BDP(TICKER,"DEEP_MEASURE_PERIOD_BROKER_VALUE","DEEP_MEASURE_ID_OVERRIDE",$C85,"DEEP_BROKER_ID_OVERRIDE",BS$24,"DEEP_PERIOD_OVERRIDE",$H$19)*1,"")))</f>
        <v/>
      </c>
      <c r="BT85" s="17" t="str">
        <f>IF(OR(BT$23="",ISNA($B85)),"",IF(ISBLANK($B85),"",IFERROR(_xll.BDP(TICKER,"DEEP_MEASURE_PERIOD_BROKER_VALUE","DEEP_MEASURE_ID_OVERRIDE",$C85,"DEEP_BROKER_ID_OVERRIDE",BT$24,"DEEP_PERIOD_OVERRIDE",$H$19)*1,"")))</f>
        <v/>
      </c>
      <c r="BU85" s="17" t="str">
        <f>IF(OR(BU$23="",ISNA($B85)),"",IF(ISBLANK($B85),"",IFERROR(_xll.BDP(TICKER,"DEEP_MEASURE_PERIOD_BROKER_VALUE","DEEP_MEASURE_ID_OVERRIDE",$C85,"DEEP_BROKER_ID_OVERRIDE",BU$24,"DEEP_PERIOD_OVERRIDE",$H$19)*1,"")))</f>
        <v/>
      </c>
      <c r="BV85" s="17" t="str">
        <f>IF(OR(BV$23="",ISNA($B85)),"",IF(ISBLANK($B85),"",IFERROR(_xll.BDP(TICKER,"DEEP_MEASURE_PERIOD_BROKER_VALUE","DEEP_MEASURE_ID_OVERRIDE",$C85,"DEEP_BROKER_ID_OVERRIDE",BV$24,"DEEP_PERIOD_OVERRIDE",$H$19)*1,"")))</f>
        <v/>
      </c>
      <c r="BW85" s="17" t="str">
        <f>IF(OR(BW$23="",ISNA($B85)),"",IF(ISBLANK($B85),"",IFERROR(_xll.BDP(TICKER,"DEEP_MEASURE_PERIOD_BROKER_VALUE","DEEP_MEASURE_ID_OVERRIDE",$C85,"DEEP_BROKER_ID_OVERRIDE",BW$24,"DEEP_PERIOD_OVERRIDE",$H$19)*1,"")))</f>
        <v/>
      </c>
      <c r="BX85" s="17" t="str">
        <f>IF(OR(BX$23="",ISNA($B85)),"",IF(ISBLANK($B85),"",IFERROR(_xll.BDP(TICKER,"DEEP_MEASURE_PERIOD_BROKER_VALUE","DEEP_MEASURE_ID_OVERRIDE",$C85,"DEEP_BROKER_ID_OVERRIDE",BX$24,"DEEP_PERIOD_OVERRIDE",$H$19)*1,"")))</f>
        <v/>
      </c>
      <c r="BY85" s="17" t="str">
        <f>IF(OR(BY$23="",ISNA($B85)),"",IF(ISBLANK($B85),"",IFERROR(_xll.BDP(TICKER,"DEEP_MEASURE_PERIOD_BROKER_VALUE","DEEP_MEASURE_ID_OVERRIDE",$C85,"DEEP_BROKER_ID_OVERRIDE",BY$24,"DEEP_PERIOD_OVERRIDE",$H$19)*1,"")))</f>
        <v/>
      </c>
      <c r="BZ85" s="17" t="str">
        <f>IF(OR(BZ$23="",ISNA($B85)),"",IF(ISBLANK($B85),"",IFERROR(_xll.BDP(TICKER,"DEEP_MEASURE_PERIOD_BROKER_VALUE","DEEP_MEASURE_ID_OVERRIDE",$C85,"DEEP_BROKER_ID_OVERRIDE",BZ$24,"DEEP_PERIOD_OVERRIDE",$H$19)*1,"")))</f>
        <v/>
      </c>
    </row>
    <row r="86" spans="2:78" x14ac:dyDescent="0.25">
      <c r="B86" t="s">
        <v>128</v>
      </c>
      <c r="C86">
        <v>373</v>
      </c>
      <c r="H86" t="str">
        <f t="shared" si="1"/>
        <v>Cost of Revenue &gt; As % of Revenue</v>
      </c>
      <c r="I86" t="str">
        <f>IF(OR(I$23="",ISNA($B86)),"",IF(ISBLANK($B86),"",IFERROR(_xll.BDP(TICKER,"DEEP_MEASURE_PERIOD_BROKER_VALUE","DEEP_MEASURE_ID_OVERRIDE",$C86,"DEEP_PERIOD_OVERRIDE",$H$19)*1,"")))</f>
        <v/>
      </c>
      <c r="J86" t="e">
        <f>IF(OR(J$23="",ISNA($B86)),"",IF(ISBLANK($B86),"",IFERROR(_xll.BDP(TICKER,"DEEP_MEASURE_PERIOD_BROKER_VALUE","DEEP_MEASURE_ID_OVERRIDE",$C86,"DEEP_BROKER_ID_OVERRIDE",J$24,"DEEP_PERIOD_OVERRIDE",$H$19)*1,"")))</f>
        <v>#REF!</v>
      </c>
      <c r="K86" s="17" t="str">
        <f>IF(OR(K$23="",ISNA($B86)),"",IF(ISBLANK($B86),"",IFERROR(_xll.BDP(TICKER,"DEEP_MEASURE_PERIOD_BROKER_VALUE","DEEP_MEASURE_ID_OVERRIDE",$C86,"DEEP_BROKER_ID_OVERRIDE",K$24,"DEEP_PERIOD_OVERRIDE",$H$19)*1,"")))</f>
        <v/>
      </c>
      <c r="L86" s="17" t="str">
        <f>IF(OR(L$23="",ISNA($B86)),"",IF(ISBLANK($B86),"",IFERROR(_xll.BDP(TICKER,"DEEP_MEASURE_PERIOD_BROKER_VALUE","DEEP_MEASURE_ID_OVERRIDE",$C86,"DEEP_BROKER_ID_OVERRIDE",L$24,"DEEP_PERIOD_OVERRIDE",$H$19)*1,"")))</f>
        <v/>
      </c>
      <c r="M86" s="17" t="str">
        <f>IF(OR(M$23="",ISNA($B86)),"",IF(ISBLANK($B86),"",IFERROR(_xll.BDP(TICKER,"DEEP_MEASURE_PERIOD_BROKER_VALUE","DEEP_MEASURE_ID_OVERRIDE",$C86,"DEEP_BROKER_ID_OVERRIDE",M$24,"DEEP_PERIOD_OVERRIDE",$H$19)*1,"")))</f>
        <v/>
      </c>
      <c r="N86" s="17" t="str">
        <f>IF(OR(N$23="",ISNA($B86)),"",IF(ISBLANK($B86),"",IFERROR(_xll.BDP(TICKER,"DEEP_MEASURE_PERIOD_BROKER_VALUE","DEEP_MEASURE_ID_OVERRIDE",$C86,"DEEP_BROKER_ID_OVERRIDE",N$24,"DEEP_PERIOD_OVERRIDE",$H$19)*1,"")))</f>
        <v/>
      </c>
      <c r="O86" s="17" t="str">
        <f>IF(OR(O$23="",ISNA($B86)),"",IF(ISBLANK($B86),"",IFERROR(_xll.BDP(TICKER,"DEEP_MEASURE_PERIOD_BROKER_VALUE","DEEP_MEASURE_ID_OVERRIDE",$C86,"DEEP_BROKER_ID_OVERRIDE",O$24,"DEEP_PERIOD_OVERRIDE",$H$19)*1,"")))</f>
        <v/>
      </c>
      <c r="P86" s="17" t="str">
        <f>IF(OR(P$23="",ISNA($B86)),"",IF(ISBLANK($B86),"",IFERROR(_xll.BDP(TICKER,"DEEP_MEASURE_PERIOD_BROKER_VALUE","DEEP_MEASURE_ID_OVERRIDE",$C86,"DEEP_BROKER_ID_OVERRIDE",P$24,"DEEP_PERIOD_OVERRIDE",$H$19)*1,"")))</f>
        <v/>
      </c>
      <c r="Q86" s="17" t="str">
        <f>IF(OR(Q$23="",ISNA($B86)),"",IF(ISBLANK($B86),"",IFERROR(_xll.BDP(TICKER,"DEEP_MEASURE_PERIOD_BROKER_VALUE","DEEP_MEASURE_ID_OVERRIDE",$C86,"DEEP_BROKER_ID_OVERRIDE",Q$24,"DEEP_PERIOD_OVERRIDE",$H$19)*1,"")))</f>
        <v/>
      </c>
      <c r="R86" s="17" t="str">
        <f>IF(OR(R$23="",ISNA($B86)),"",IF(ISBLANK($B86),"",IFERROR(_xll.BDP(TICKER,"DEEP_MEASURE_PERIOD_BROKER_VALUE","DEEP_MEASURE_ID_OVERRIDE",$C86,"DEEP_BROKER_ID_OVERRIDE",R$24,"DEEP_PERIOD_OVERRIDE",$H$19)*1,"")))</f>
        <v/>
      </c>
      <c r="S86" s="17" t="str">
        <f>IF(OR(S$23="",ISNA($B86)),"",IF(ISBLANK($B86),"",IFERROR(_xll.BDP(TICKER,"DEEP_MEASURE_PERIOD_BROKER_VALUE","DEEP_MEASURE_ID_OVERRIDE",$C86,"DEEP_BROKER_ID_OVERRIDE",S$24,"DEEP_PERIOD_OVERRIDE",$H$19)*1,"")))</f>
        <v/>
      </c>
      <c r="T86" s="17" t="str">
        <f>IF(OR(T$23="",ISNA($B86)),"",IF(ISBLANK($B86),"",IFERROR(_xll.BDP(TICKER,"DEEP_MEASURE_PERIOD_BROKER_VALUE","DEEP_MEASURE_ID_OVERRIDE",$C86,"DEEP_BROKER_ID_OVERRIDE",T$24,"DEEP_PERIOD_OVERRIDE",$H$19)*1,"")))</f>
        <v/>
      </c>
      <c r="U86" s="17" t="str">
        <f>IF(OR(U$23="",ISNA($B86)),"",IF(ISBLANK($B86),"",IFERROR(_xll.BDP(TICKER,"DEEP_MEASURE_PERIOD_BROKER_VALUE","DEEP_MEASURE_ID_OVERRIDE",$C86,"DEEP_BROKER_ID_OVERRIDE",U$24,"DEEP_PERIOD_OVERRIDE",$H$19)*1,"")))</f>
        <v/>
      </c>
      <c r="V86" s="17" t="str">
        <f>IF(OR(V$23="",ISNA($B86)),"",IF(ISBLANK($B86),"",IFERROR(_xll.BDP(TICKER,"DEEP_MEASURE_PERIOD_BROKER_VALUE","DEEP_MEASURE_ID_OVERRIDE",$C86,"DEEP_BROKER_ID_OVERRIDE",V$24,"DEEP_PERIOD_OVERRIDE",$H$19)*1,"")))</f>
        <v/>
      </c>
      <c r="W86" s="17" t="str">
        <f>IF(OR(W$23="",ISNA($B86)),"",IF(ISBLANK($B86),"",IFERROR(_xll.BDP(TICKER,"DEEP_MEASURE_PERIOD_BROKER_VALUE","DEEP_MEASURE_ID_OVERRIDE",$C86,"DEEP_BROKER_ID_OVERRIDE",W$24,"DEEP_PERIOD_OVERRIDE",$H$19)*1,"")))</f>
        <v/>
      </c>
      <c r="X86" s="17" t="str">
        <f>IF(OR(X$23="",ISNA($B86)),"",IF(ISBLANK($B86),"",IFERROR(_xll.BDP(TICKER,"DEEP_MEASURE_PERIOD_BROKER_VALUE","DEEP_MEASURE_ID_OVERRIDE",$C86,"DEEP_BROKER_ID_OVERRIDE",X$24,"DEEP_PERIOD_OVERRIDE",$H$19)*1,"")))</f>
        <v/>
      </c>
      <c r="Y86" s="17" t="str">
        <f>IF(OR(Y$23="",ISNA($B86)),"",IF(ISBLANK($B86),"",IFERROR(_xll.BDP(TICKER,"DEEP_MEASURE_PERIOD_BROKER_VALUE","DEEP_MEASURE_ID_OVERRIDE",$C86,"DEEP_BROKER_ID_OVERRIDE",Y$24,"DEEP_PERIOD_OVERRIDE",$H$19)*1,"")))</f>
        <v/>
      </c>
      <c r="Z86" s="17" t="str">
        <f>IF(OR(Z$23="",ISNA($B86)),"",IF(ISBLANK($B86),"",IFERROR(_xll.BDP(TICKER,"DEEP_MEASURE_PERIOD_BROKER_VALUE","DEEP_MEASURE_ID_OVERRIDE",$C86,"DEEP_BROKER_ID_OVERRIDE",Z$24,"DEEP_PERIOD_OVERRIDE",$H$19)*1,"")))</f>
        <v/>
      </c>
      <c r="AA86" s="17" t="str">
        <f>IF(OR(AA$23="",ISNA($B86)),"",IF(ISBLANK($B86),"",IFERROR(_xll.BDP(TICKER,"DEEP_MEASURE_PERIOD_BROKER_VALUE","DEEP_MEASURE_ID_OVERRIDE",$C86,"DEEP_BROKER_ID_OVERRIDE",AA$24,"DEEP_PERIOD_OVERRIDE",$H$19)*1,"")))</f>
        <v/>
      </c>
      <c r="AB86" s="17" t="str">
        <f>IF(OR(AB$23="",ISNA($B86)),"",IF(ISBLANK($B86),"",IFERROR(_xll.BDP(TICKER,"DEEP_MEASURE_PERIOD_BROKER_VALUE","DEEP_MEASURE_ID_OVERRIDE",$C86,"DEEP_BROKER_ID_OVERRIDE",AB$24,"DEEP_PERIOD_OVERRIDE",$H$19)*1,"")))</f>
        <v/>
      </c>
      <c r="AC86" s="17" t="str">
        <f>IF(OR(AC$23="",ISNA($B86)),"",IF(ISBLANK($B86),"",IFERROR(_xll.BDP(TICKER,"DEEP_MEASURE_PERIOD_BROKER_VALUE","DEEP_MEASURE_ID_OVERRIDE",$C86,"DEEP_BROKER_ID_OVERRIDE",AC$24,"DEEP_PERIOD_OVERRIDE",$H$19)*1,"")))</f>
        <v/>
      </c>
      <c r="AD86" s="17" t="str">
        <f>IF(OR(AD$23="",ISNA($B86)),"",IF(ISBLANK($B86),"",IFERROR(_xll.BDP(TICKER,"DEEP_MEASURE_PERIOD_BROKER_VALUE","DEEP_MEASURE_ID_OVERRIDE",$C86,"DEEP_BROKER_ID_OVERRIDE",AD$24,"DEEP_PERIOD_OVERRIDE",$H$19)*1,"")))</f>
        <v/>
      </c>
      <c r="AE86" s="17" t="str">
        <f>IF(OR(AE$23="",ISNA($B86)),"",IF(ISBLANK($B86),"",IFERROR(_xll.BDP(TICKER,"DEEP_MEASURE_PERIOD_BROKER_VALUE","DEEP_MEASURE_ID_OVERRIDE",$C86,"DEEP_BROKER_ID_OVERRIDE",AE$24,"DEEP_PERIOD_OVERRIDE",$H$19)*1,"")))</f>
        <v/>
      </c>
      <c r="AF86" s="17" t="str">
        <f>IF(OR(AF$23="",ISNA($B86)),"",IF(ISBLANK($B86),"",IFERROR(_xll.BDP(TICKER,"DEEP_MEASURE_PERIOD_BROKER_VALUE","DEEP_MEASURE_ID_OVERRIDE",$C86,"DEEP_BROKER_ID_OVERRIDE",AF$24,"DEEP_PERIOD_OVERRIDE",$H$19)*1,"")))</f>
        <v/>
      </c>
      <c r="AG86" s="17" t="str">
        <f>IF(OR(AG$23="",ISNA($B86)),"",IF(ISBLANK($B86),"",IFERROR(_xll.BDP(TICKER,"DEEP_MEASURE_PERIOD_BROKER_VALUE","DEEP_MEASURE_ID_OVERRIDE",$C86,"DEEP_BROKER_ID_OVERRIDE",AG$24,"DEEP_PERIOD_OVERRIDE",$H$19)*1,"")))</f>
        <v/>
      </c>
      <c r="AH86" s="17" t="str">
        <f>IF(OR(AH$23="",ISNA($B86)),"",IF(ISBLANK($B86),"",IFERROR(_xll.BDP(TICKER,"DEEP_MEASURE_PERIOD_BROKER_VALUE","DEEP_MEASURE_ID_OVERRIDE",$C86,"DEEP_BROKER_ID_OVERRIDE",AH$24,"DEEP_PERIOD_OVERRIDE",$H$19)*1,"")))</f>
        <v/>
      </c>
      <c r="AI86" s="17" t="str">
        <f>IF(OR(AI$23="",ISNA($B86)),"",IF(ISBLANK($B86),"",IFERROR(_xll.BDP(TICKER,"DEEP_MEASURE_PERIOD_BROKER_VALUE","DEEP_MEASURE_ID_OVERRIDE",$C86,"DEEP_BROKER_ID_OVERRIDE",AI$24,"DEEP_PERIOD_OVERRIDE",$H$19)*1,"")))</f>
        <v/>
      </c>
      <c r="AJ86" s="17" t="str">
        <f>IF(OR(AJ$23="",ISNA($B86)),"",IF(ISBLANK($B86),"",IFERROR(_xll.BDP(TICKER,"DEEP_MEASURE_PERIOD_BROKER_VALUE","DEEP_MEASURE_ID_OVERRIDE",$C86,"DEEP_BROKER_ID_OVERRIDE",AJ$24,"DEEP_PERIOD_OVERRIDE",$H$19)*1,"")))</f>
        <v/>
      </c>
      <c r="AK86" s="17" t="str">
        <f>IF(OR(AK$23="",ISNA($B86)),"",IF(ISBLANK($B86),"",IFERROR(_xll.BDP(TICKER,"DEEP_MEASURE_PERIOD_BROKER_VALUE","DEEP_MEASURE_ID_OVERRIDE",$C86,"DEEP_BROKER_ID_OVERRIDE",AK$24,"DEEP_PERIOD_OVERRIDE",$H$19)*1,"")))</f>
        <v/>
      </c>
      <c r="AL86" s="17" t="str">
        <f>IF(OR(AL$23="",ISNA($B86)),"",IF(ISBLANK($B86),"",IFERROR(_xll.BDP(TICKER,"DEEP_MEASURE_PERIOD_BROKER_VALUE","DEEP_MEASURE_ID_OVERRIDE",$C86,"DEEP_BROKER_ID_OVERRIDE",AL$24,"DEEP_PERIOD_OVERRIDE",$H$19)*1,"")))</f>
        <v/>
      </c>
      <c r="AM86" s="17" t="str">
        <f>IF(OR(AM$23="",ISNA($B86)),"",IF(ISBLANK($B86),"",IFERROR(_xll.BDP(TICKER,"DEEP_MEASURE_PERIOD_BROKER_VALUE","DEEP_MEASURE_ID_OVERRIDE",$C86,"DEEP_BROKER_ID_OVERRIDE",AM$24,"DEEP_PERIOD_OVERRIDE",$H$19)*1,"")))</f>
        <v/>
      </c>
      <c r="AN86" s="17" t="str">
        <f>IF(OR(AN$23="",ISNA($B86)),"",IF(ISBLANK($B86),"",IFERROR(_xll.BDP(TICKER,"DEEP_MEASURE_PERIOD_BROKER_VALUE","DEEP_MEASURE_ID_OVERRIDE",$C86,"DEEP_BROKER_ID_OVERRIDE",AN$24,"DEEP_PERIOD_OVERRIDE",$H$19)*1,"")))</f>
        <v/>
      </c>
      <c r="AO86" s="17" t="str">
        <f>IF(OR(AO$23="",ISNA($B86)),"",IF(ISBLANK($B86),"",IFERROR(_xll.BDP(TICKER,"DEEP_MEASURE_PERIOD_BROKER_VALUE","DEEP_MEASURE_ID_OVERRIDE",$C86,"DEEP_BROKER_ID_OVERRIDE",AO$24,"DEEP_PERIOD_OVERRIDE",$H$19)*1,"")))</f>
        <v/>
      </c>
      <c r="AP86" s="17" t="str">
        <f>IF(OR(AP$23="",ISNA($B86)),"",IF(ISBLANK($B86),"",IFERROR(_xll.BDP(TICKER,"DEEP_MEASURE_PERIOD_BROKER_VALUE","DEEP_MEASURE_ID_OVERRIDE",$C86,"DEEP_BROKER_ID_OVERRIDE",AP$24,"DEEP_PERIOD_OVERRIDE",$H$19)*1,"")))</f>
        <v/>
      </c>
      <c r="AQ86" s="17" t="str">
        <f>IF(OR(AQ$23="",ISNA($B86)),"",IF(ISBLANK($B86),"",IFERROR(_xll.BDP(TICKER,"DEEP_MEASURE_PERIOD_BROKER_VALUE","DEEP_MEASURE_ID_OVERRIDE",$C86,"DEEP_BROKER_ID_OVERRIDE",AQ$24,"DEEP_PERIOD_OVERRIDE",$H$19)*1,"")))</f>
        <v/>
      </c>
      <c r="AR86" s="17" t="str">
        <f>IF(OR(AR$23="",ISNA($B86)),"",IF(ISBLANK($B86),"",IFERROR(_xll.BDP(TICKER,"DEEP_MEASURE_PERIOD_BROKER_VALUE","DEEP_MEASURE_ID_OVERRIDE",$C86,"DEEP_BROKER_ID_OVERRIDE",AR$24,"DEEP_PERIOD_OVERRIDE",$H$19)*1,"")))</f>
        <v/>
      </c>
      <c r="AS86" s="17" t="str">
        <f>IF(OR(AS$23="",ISNA($B86)),"",IF(ISBLANK($B86),"",IFERROR(_xll.BDP(TICKER,"DEEP_MEASURE_PERIOD_BROKER_VALUE","DEEP_MEASURE_ID_OVERRIDE",$C86,"DEEP_BROKER_ID_OVERRIDE",AS$24,"DEEP_PERIOD_OVERRIDE",$H$19)*1,"")))</f>
        <v/>
      </c>
      <c r="AT86" s="17" t="str">
        <f>IF(OR(AT$23="",ISNA($B86)),"",IF(ISBLANK($B86),"",IFERROR(_xll.BDP(TICKER,"DEEP_MEASURE_PERIOD_BROKER_VALUE","DEEP_MEASURE_ID_OVERRIDE",$C86,"DEEP_BROKER_ID_OVERRIDE",AT$24,"DEEP_PERIOD_OVERRIDE",$H$19)*1,"")))</f>
        <v/>
      </c>
      <c r="AU86" s="17" t="str">
        <f>IF(OR(AU$23="",ISNA($B86)),"",IF(ISBLANK($B86),"",IFERROR(_xll.BDP(TICKER,"DEEP_MEASURE_PERIOD_BROKER_VALUE","DEEP_MEASURE_ID_OVERRIDE",$C86,"DEEP_BROKER_ID_OVERRIDE",AU$24,"DEEP_PERIOD_OVERRIDE",$H$19)*1,"")))</f>
        <v/>
      </c>
      <c r="AV86" s="17" t="str">
        <f>IF(OR(AV$23="",ISNA($B86)),"",IF(ISBLANK($B86),"",IFERROR(_xll.BDP(TICKER,"DEEP_MEASURE_PERIOD_BROKER_VALUE","DEEP_MEASURE_ID_OVERRIDE",$C86,"DEEP_BROKER_ID_OVERRIDE",AV$24,"DEEP_PERIOD_OVERRIDE",$H$19)*1,"")))</f>
        <v/>
      </c>
      <c r="AW86" s="17" t="str">
        <f>IF(OR(AW$23="",ISNA($B86)),"",IF(ISBLANK($B86),"",IFERROR(_xll.BDP(TICKER,"DEEP_MEASURE_PERIOD_BROKER_VALUE","DEEP_MEASURE_ID_OVERRIDE",$C86,"DEEP_BROKER_ID_OVERRIDE",AW$24,"DEEP_PERIOD_OVERRIDE",$H$19)*1,"")))</f>
        <v/>
      </c>
      <c r="AX86" s="17" t="str">
        <f>IF(OR(AX$23="",ISNA($B86)),"",IF(ISBLANK($B86),"",IFERROR(_xll.BDP(TICKER,"DEEP_MEASURE_PERIOD_BROKER_VALUE","DEEP_MEASURE_ID_OVERRIDE",$C86,"DEEP_BROKER_ID_OVERRIDE",AX$24,"DEEP_PERIOD_OVERRIDE",$H$19)*1,"")))</f>
        <v/>
      </c>
      <c r="AY86" s="17" t="str">
        <f>IF(OR(AY$23="",ISNA($B86)),"",IF(ISBLANK($B86),"",IFERROR(_xll.BDP(TICKER,"DEEP_MEASURE_PERIOD_BROKER_VALUE","DEEP_MEASURE_ID_OVERRIDE",$C86,"DEEP_BROKER_ID_OVERRIDE",AY$24,"DEEP_PERIOD_OVERRIDE",$H$19)*1,"")))</f>
        <v/>
      </c>
      <c r="AZ86" s="17" t="str">
        <f>IF(OR(AZ$23="",ISNA($B86)),"",IF(ISBLANK($B86),"",IFERROR(_xll.BDP(TICKER,"DEEP_MEASURE_PERIOD_BROKER_VALUE","DEEP_MEASURE_ID_OVERRIDE",$C86,"DEEP_BROKER_ID_OVERRIDE",AZ$24,"DEEP_PERIOD_OVERRIDE",$H$19)*1,"")))</f>
        <v/>
      </c>
      <c r="BA86" s="17" t="str">
        <f>IF(OR(BA$23="",ISNA($B86)),"",IF(ISBLANK($B86),"",IFERROR(_xll.BDP(TICKER,"DEEP_MEASURE_PERIOD_BROKER_VALUE","DEEP_MEASURE_ID_OVERRIDE",$C86,"DEEP_BROKER_ID_OVERRIDE",BA$24,"DEEP_PERIOD_OVERRIDE",$H$19)*1,"")))</f>
        <v/>
      </c>
      <c r="BB86" s="17" t="str">
        <f>IF(OR(BB$23="",ISNA($B86)),"",IF(ISBLANK($B86),"",IFERROR(_xll.BDP(TICKER,"DEEP_MEASURE_PERIOD_BROKER_VALUE","DEEP_MEASURE_ID_OVERRIDE",$C86,"DEEP_BROKER_ID_OVERRIDE",BB$24,"DEEP_PERIOD_OVERRIDE",$H$19)*1,"")))</f>
        <v/>
      </c>
      <c r="BC86" s="17" t="str">
        <f>IF(OR(BC$23="",ISNA($B86)),"",IF(ISBLANK($B86),"",IFERROR(_xll.BDP(TICKER,"DEEP_MEASURE_PERIOD_BROKER_VALUE","DEEP_MEASURE_ID_OVERRIDE",$C86,"DEEP_BROKER_ID_OVERRIDE",BC$24,"DEEP_PERIOD_OVERRIDE",$H$19)*1,"")))</f>
        <v/>
      </c>
      <c r="BD86" s="17" t="str">
        <f>IF(OR(BD$23="",ISNA($B86)),"",IF(ISBLANK($B86),"",IFERROR(_xll.BDP(TICKER,"DEEP_MEASURE_PERIOD_BROKER_VALUE","DEEP_MEASURE_ID_OVERRIDE",$C86,"DEEP_BROKER_ID_OVERRIDE",BD$24,"DEEP_PERIOD_OVERRIDE",$H$19)*1,"")))</f>
        <v/>
      </c>
      <c r="BE86" s="17" t="str">
        <f>IF(OR(BE$23="",ISNA($B86)),"",IF(ISBLANK($B86),"",IFERROR(_xll.BDP(TICKER,"DEEP_MEASURE_PERIOD_BROKER_VALUE","DEEP_MEASURE_ID_OVERRIDE",$C86,"DEEP_BROKER_ID_OVERRIDE",BE$24,"DEEP_PERIOD_OVERRIDE",$H$19)*1,"")))</f>
        <v/>
      </c>
      <c r="BF86" s="17" t="str">
        <f>IF(OR(BF$23="",ISNA($B86)),"",IF(ISBLANK($B86),"",IFERROR(_xll.BDP(TICKER,"DEEP_MEASURE_PERIOD_BROKER_VALUE","DEEP_MEASURE_ID_OVERRIDE",$C86,"DEEP_BROKER_ID_OVERRIDE",BF$24,"DEEP_PERIOD_OVERRIDE",$H$19)*1,"")))</f>
        <v/>
      </c>
      <c r="BG86" s="17" t="str">
        <f>IF(OR(BG$23="",ISNA($B86)),"",IF(ISBLANK($B86),"",IFERROR(_xll.BDP(TICKER,"DEEP_MEASURE_PERIOD_BROKER_VALUE","DEEP_MEASURE_ID_OVERRIDE",$C86,"DEEP_BROKER_ID_OVERRIDE",BG$24,"DEEP_PERIOD_OVERRIDE",$H$19)*1,"")))</f>
        <v/>
      </c>
      <c r="BH86" s="17" t="str">
        <f>IF(OR(BH$23="",ISNA($B86)),"",IF(ISBLANK($B86),"",IFERROR(_xll.BDP(TICKER,"DEEP_MEASURE_PERIOD_BROKER_VALUE","DEEP_MEASURE_ID_OVERRIDE",$C86,"DEEP_BROKER_ID_OVERRIDE",BH$24,"DEEP_PERIOD_OVERRIDE",$H$19)*1,"")))</f>
        <v/>
      </c>
      <c r="BI86" s="17" t="str">
        <f>IF(OR(BI$23="",ISNA($B86)),"",IF(ISBLANK($B86),"",IFERROR(_xll.BDP(TICKER,"DEEP_MEASURE_PERIOD_BROKER_VALUE","DEEP_MEASURE_ID_OVERRIDE",$C86,"DEEP_BROKER_ID_OVERRIDE",BI$24,"DEEP_PERIOD_OVERRIDE",$H$19)*1,"")))</f>
        <v/>
      </c>
      <c r="BJ86" s="17" t="str">
        <f>IF(OR(BJ$23="",ISNA($B86)),"",IF(ISBLANK($B86),"",IFERROR(_xll.BDP(TICKER,"DEEP_MEASURE_PERIOD_BROKER_VALUE","DEEP_MEASURE_ID_OVERRIDE",$C86,"DEEP_BROKER_ID_OVERRIDE",BJ$24,"DEEP_PERIOD_OVERRIDE",$H$19)*1,"")))</f>
        <v/>
      </c>
      <c r="BK86" s="17" t="str">
        <f>IF(OR(BK$23="",ISNA($B86)),"",IF(ISBLANK($B86),"",IFERROR(_xll.BDP(TICKER,"DEEP_MEASURE_PERIOD_BROKER_VALUE","DEEP_MEASURE_ID_OVERRIDE",$C86,"DEEP_BROKER_ID_OVERRIDE",BK$24,"DEEP_PERIOD_OVERRIDE",$H$19)*1,"")))</f>
        <v/>
      </c>
      <c r="BL86" s="17" t="str">
        <f>IF(OR(BL$23="",ISNA($B86)),"",IF(ISBLANK($B86),"",IFERROR(_xll.BDP(TICKER,"DEEP_MEASURE_PERIOD_BROKER_VALUE","DEEP_MEASURE_ID_OVERRIDE",$C86,"DEEP_BROKER_ID_OVERRIDE",BL$24,"DEEP_PERIOD_OVERRIDE",$H$19)*1,"")))</f>
        <v/>
      </c>
      <c r="BM86" s="17" t="str">
        <f>IF(OR(BM$23="",ISNA($B86)),"",IF(ISBLANK($B86),"",IFERROR(_xll.BDP(TICKER,"DEEP_MEASURE_PERIOD_BROKER_VALUE","DEEP_MEASURE_ID_OVERRIDE",$C86,"DEEP_BROKER_ID_OVERRIDE",BM$24,"DEEP_PERIOD_OVERRIDE",$H$19)*1,"")))</f>
        <v/>
      </c>
      <c r="BN86" s="17" t="str">
        <f>IF(OR(BN$23="",ISNA($B86)),"",IF(ISBLANK($B86),"",IFERROR(_xll.BDP(TICKER,"DEEP_MEASURE_PERIOD_BROKER_VALUE","DEEP_MEASURE_ID_OVERRIDE",$C86,"DEEP_BROKER_ID_OVERRIDE",BN$24,"DEEP_PERIOD_OVERRIDE",$H$19)*1,"")))</f>
        <v/>
      </c>
      <c r="BO86" s="17" t="str">
        <f>IF(OR(BO$23="",ISNA($B86)),"",IF(ISBLANK($B86),"",IFERROR(_xll.BDP(TICKER,"DEEP_MEASURE_PERIOD_BROKER_VALUE","DEEP_MEASURE_ID_OVERRIDE",$C86,"DEEP_BROKER_ID_OVERRIDE",BO$24,"DEEP_PERIOD_OVERRIDE",$H$19)*1,"")))</f>
        <v/>
      </c>
      <c r="BP86" s="17" t="str">
        <f>IF(OR(BP$23="",ISNA($B86)),"",IF(ISBLANK($B86),"",IFERROR(_xll.BDP(TICKER,"DEEP_MEASURE_PERIOD_BROKER_VALUE","DEEP_MEASURE_ID_OVERRIDE",$C86,"DEEP_BROKER_ID_OVERRIDE",BP$24,"DEEP_PERIOD_OVERRIDE",$H$19)*1,"")))</f>
        <v/>
      </c>
      <c r="BQ86" s="17" t="str">
        <f>IF(OR(BQ$23="",ISNA($B86)),"",IF(ISBLANK($B86),"",IFERROR(_xll.BDP(TICKER,"DEEP_MEASURE_PERIOD_BROKER_VALUE","DEEP_MEASURE_ID_OVERRIDE",$C86,"DEEP_BROKER_ID_OVERRIDE",BQ$24,"DEEP_PERIOD_OVERRIDE",$H$19)*1,"")))</f>
        <v/>
      </c>
      <c r="BR86" s="17" t="str">
        <f>IF(OR(BR$23="",ISNA($B86)),"",IF(ISBLANK($B86),"",IFERROR(_xll.BDP(TICKER,"DEEP_MEASURE_PERIOD_BROKER_VALUE","DEEP_MEASURE_ID_OVERRIDE",$C86,"DEEP_BROKER_ID_OVERRIDE",BR$24,"DEEP_PERIOD_OVERRIDE",$H$19)*1,"")))</f>
        <v/>
      </c>
      <c r="BS86" s="17" t="str">
        <f>IF(OR(BS$23="",ISNA($B86)),"",IF(ISBLANK($B86),"",IFERROR(_xll.BDP(TICKER,"DEEP_MEASURE_PERIOD_BROKER_VALUE","DEEP_MEASURE_ID_OVERRIDE",$C86,"DEEP_BROKER_ID_OVERRIDE",BS$24,"DEEP_PERIOD_OVERRIDE",$H$19)*1,"")))</f>
        <v/>
      </c>
      <c r="BT86" s="17" t="str">
        <f>IF(OR(BT$23="",ISNA($B86)),"",IF(ISBLANK($B86),"",IFERROR(_xll.BDP(TICKER,"DEEP_MEASURE_PERIOD_BROKER_VALUE","DEEP_MEASURE_ID_OVERRIDE",$C86,"DEEP_BROKER_ID_OVERRIDE",BT$24,"DEEP_PERIOD_OVERRIDE",$H$19)*1,"")))</f>
        <v/>
      </c>
      <c r="BU86" s="17" t="str">
        <f>IF(OR(BU$23="",ISNA($B86)),"",IF(ISBLANK($B86),"",IFERROR(_xll.BDP(TICKER,"DEEP_MEASURE_PERIOD_BROKER_VALUE","DEEP_MEASURE_ID_OVERRIDE",$C86,"DEEP_BROKER_ID_OVERRIDE",BU$24,"DEEP_PERIOD_OVERRIDE",$H$19)*1,"")))</f>
        <v/>
      </c>
      <c r="BV86" s="17" t="str">
        <f>IF(OR(BV$23="",ISNA($B86)),"",IF(ISBLANK($B86),"",IFERROR(_xll.BDP(TICKER,"DEEP_MEASURE_PERIOD_BROKER_VALUE","DEEP_MEASURE_ID_OVERRIDE",$C86,"DEEP_BROKER_ID_OVERRIDE",BV$24,"DEEP_PERIOD_OVERRIDE",$H$19)*1,"")))</f>
        <v/>
      </c>
      <c r="BW86" s="17" t="str">
        <f>IF(OR(BW$23="",ISNA($B86)),"",IF(ISBLANK($B86),"",IFERROR(_xll.BDP(TICKER,"DEEP_MEASURE_PERIOD_BROKER_VALUE","DEEP_MEASURE_ID_OVERRIDE",$C86,"DEEP_BROKER_ID_OVERRIDE",BW$24,"DEEP_PERIOD_OVERRIDE",$H$19)*1,"")))</f>
        <v/>
      </c>
      <c r="BX86" s="17" t="str">
        <f>IF(OR(BX$23="",ISNA($B86)),"",IF(ISBLANK($B86),"",IFERROR(_xll.BDP(TICKER,"DEEP_MEASURE_PERIOD_BROKER_VALUE","DEEP_MEASURE_ID_OVERRIDE",$C86,"DEEP_BROKER_ID_OVERRIDE",BX$24,"DEEP_PERIOD_OVERRIDE",$H$19)*1,"")))</f>
        <v/>
      </c>
      <c r="BY86" s="17" t="str">
        <f>IF(OR(BY$23="",ISNA($B86)),"",IF(ISBLANK($B86),"",IFERROR(_xll.BDP(TICKER,"DEEP_MEASURE_PERIOD_BROKER_VALUE","DEEP_MEASURE_ID_OVERRIDE",$C86,"DEEP_BROKER_ID_OVERRIDE",BY$24,"DEEP_PERIOD_OVERRIDE",$H$19)*1,"")))</f>
        <v/>
      </c>
      <c r="BZ86" s="17" t="str">
        <f>IF(OR(BZ$23="",ISNA($B86)),"",IF(ISBLANK($B86),"",IFERROR(_xll.BDP(TICKER,"DEEP_MEASURE_PERIOD_BROKER_VALUE","DEEP_MEASURE_ID_OVERRIDE",$C86,"DEEP_BROKER_ID_OVERRIDE",BZ$24,"DEEP_PERIOD_OVERRIDE",$H$19)*1,"")))</f>
        <v/>
      </c>
    </row>
    <row r="87" spans="2:78" x14ac:dyDescent="0.25">
      <c r="B87" t="s">
        <v>129</v>
      </c>
      <c r="C87">
        <v>3337</v>
      </c>
      <c r="H87" t="str">
        <f t="shared" si="1"/>
        <v>Cost of Revenue &gt; Direct Costs</v>
      </c>
      <c r="I87" t="str">
        <f>IF(OR(I$23="",ISNA($B87)),"",IF(ISBLANK($B87),"",IFERROR(_xll.BDP(TICKER,"DEEP_MEASURE_PERIOD_BROKER_VALUE","DEEP_MEASURE_ID_OVERRIDE",$C87,"DEEP_PERIOD_OVERRIDE",$H$19)*1,"")))</f>
        <v/>
      </c>
      <c r="J87" t="e">
        <f>IF(OR(J$23="",ISNA($B87)),"",IF(ISBLANK($B87),"",IFERROR(_xll.BDP(TICKER,"DEEP_MEASURE_PERIOD_BROKER_VALUE","DEEP_MEASURE_ID_OVERRIDE",$C87,"DEEP_BROKER_ID_OVERRIDE",J$24,"DEEP_PERIOD_OVERRIDE",$H$19)*1,"")))</f>
        <v>#REF!</v>
      </c>
      <c r="K87" s="17" t="str">
        <f>IF(OR(K$23="",ISNA($B87)),"",IF(ISBLANK($B87),"",IFERROR(_xll.BDP(TICKER,"DEEP_MEASURE_PERIOD_BROKER_VALUE","DEEP_MEASURE_ID_OVERRIDE",$C87,"DEEP_BROKER_ID_OVERRIDE",K$24,"DEEP_PERIOD_OVERRIDE",$H$19)*1,"")))</f>
        <v/>
      </c>
      <c r="L87" s="17" t="str">
        <f>IF(OR(L$23="",ISNA($B87)),"",IF(ISBLANK($B87),"",IFERROR(_xll.BDP(TICKER,"DEEP_MEASURE_PERIOD_BROKER_VALUE","DEEP_MEASURE_ID_OVERRIDE",$C87,"DEEP_BROKER_ID_OVERRIDE",L$24,"DEEP_PERIOD_OVERRIDE",$H$19)*1,"")))</f>
        <v/>
      </c>
      <c r="M87" s="17" t="str">
        <f>IF(OR(M$23="",ISNA($B87)),"",IF(ISBLANK($B87),"",IFERROR(_xll.BDP(TICKER,"DEEP_MEASURE_PERIOD_BROKER_VALUE","DEEP_MEASURE_ID_OVERRIDE",$C87,"DEEP_BROKER_ID_OVERRIDE",M$24,"DEEP_PERIOD_OVERRIDE",$H$19)*1,"")))</f>
        <v/>
      </c>
      <c r="N87" s="17" t="str">
        <f>IF(OR(N$23="",ISNA($B87)),"",IF(ISBLANK($B87),"",IFERROR(_xll.BDP(TICKER,"DEEP_MEASURE_PERIOD_BROKER_VALUE","DEEP_MEASURE_ID_OVERRIDE",$C87,"DEEP_BROKER_ID_OVERRIDE",N$24,"DEEP_PERIOD_OVERRIDE",$H$19)*1,"")))</f>
        <v/>
      </c>
      <c r="O87" s="17" t="str">
        <f>IF(OR(O$23="",ISNA($B87)),"",IF(ISBLANK($B87),"",IFERROR(_xll.BDP(TICKER,"DEEP_MEASURE_PERIOD_BROKER_VALUE","DEEP_MEASURE_ID_OVERRIDE",$C87,"DEEP_BROKER_ID_OVERRIDE",O$24,"DEEP_PERIOD_OVERRIDE",$H$19)*1,"")))</f>
        <v/>
      </c>
      <c r="P87" s="17" t="str">
        <f>IF(OR(P$23="",ISNA($B87)),"",IF(ISBLANK($B87),"",IFERROR(_xll.BDP(TICKER,"DEEP_MEASURE_PERIOD_BROKER_VALUE","DEEP_MEASURE_ID_OVERRIDE",$C87,"DEEP_BROKER_ID_OVERRIDE",P$24,"DEEP_PERIOD_OVERRIDE",$H$19)*1,"")))</f>
        <v/>
      </c>
      <c r="Q87" s="17" t="str">
        <f>IF(OR(Q$23="",ISNA($B87)),"",IF(ISBLANK($B87),"",IFERROR(_xll.BDP(TICKER,"DEEP_MEASURE_PERIOD_BROKER_VALUE","DEEP_MEASURE_ID_OVERRIDE",$C87,"DEEP_BROKER_ID_OVERRIDE",Q$24,"DEEP_PERIOD_OVERRIDE",$H$19)*1,"")))</f>
        <v/>
      </c>
      <c r="R87" s="17" t="str">
        <f>IF(OR(R$23="",ISNA($B87)),"",IF(ISBLANK($B87),"",IFERROR(_xll.BDP(TICKER,"DEEP_MEASURE_PERIOD_BROKER_VALUE","DEEP_MEASURE_ID_OVERRIDE",$C87,"DEEP_BROKER_ID_OVERRIDE",R$24,"DEEP_PERIOD_OVERRIDE",$H$19)*1,"")))</f>
        <v/>
      </c>
      <c r="S87" s="17" t="str">
        <f>IF(OR(S$23="",ISNA($B87)),"",IF(ISBLANK($B87),"",IFERROR(_xll.BDP(TICKER,"DEEP_MEASURE_PERIOD_BROKER_VALUE","DEEP_MEASURE_ID_OVERRIDE",$C87,"DEEP_BROKER_ID_OVERRIDE",S$24,"DEEP_PERIOD_OVERRIDE",$H$19)*1,"")))</f>
        <v/>
      </c>
      <c r="T87" s="17" t="str">
        <f>IF(OR(T$23="",ISNA($B87)),"",IF(ISBLANK($B87),"",IFERROR(_xll.BDP(TICKER,"DEEP_MEASURE_PERIOD_BROKER_VALUE","DEEP_MEASURE_ID_OVERRIDE",$C87,"DEEP_BROKER_ID_OVERRIDE",T$24,"DEEP_PERIOD_OVERRIDE",$H$19)*1,"")))</f>
        <v/>
      </c>
      <c r="U87" s="17" t="str">
        <f>IF(OR(U$23="",ISNA($B87)),"",IF(ISBLANK($B87),"",IFERROR(_xll.BDP(TICKER,"DEEP_MEASURE_PERIOD_BROKER_VALUE","DEEP_MEASURE_ID_OVERRIDE",$C87,"DEEP_BROKER_ID_OVERRIDE",U$24,"DEEP_PERIOD_OVERRIDE",$H$19)*1,"")))</f>
        <v/>
      </c>
      <c r="V87" s="17" t="str">
        <f>IF(OR(V$23="",ISNA($B87)),"",IF(ISBLANK($B87),"",IFERROR(_xll.BDP(TICKER,"DEEP_MEASURE_PERIOD_BROKER_VALUE","DEEP_MEASURE_ID_OVERRIDE",$C87,"DEEP_BROKER_ID_OVERRIDE",V$24,"DEEP_PERIOD_OVERRIDE",$H$19)*1,"")))</f>
        <v/>
      </c>
      <c r="W87" s="17" t="str">
        <f>IF(OR(W$23="",ISNA($B87)),"",IF(ISBLANK($B87),"",IFERROR(_xll.BDP(TICKER,"DEEP_MEASURE_PERIOD_BROKER_VALUE","DEEP_MEASURE_ID_OVERRIDE",$C87,"DEEP_BROKER_ID_OVERRIDE",W$24,"DEEP_PERIOD_OVERRIDE",$H$19)*1,"")))</f>
        <v/>
      </c>
      <c r="X87" s="17" t="str">
        <f>IF(OR(X$23="",ISNA($B87)),"",IF(ISBLANK($B87),"",IFERROR(_xll.BDP(TICKER,"DEEP_MEASURE_PERIOD_BROKER_VALUE","DEEP_MEASURE_ID_OVERRIDE",$C87,"DEEP_BROKER_ID_OVERRIDE",X$24,"DEEP_PERIOD_OVERRIDE",$H$19)*1,"")))</f>
        <v/>
      </c>
      <c r="Y87" s="17" t="str">
        <f>IF(OR(Y$23="",ISNA($B87)),"",IF(ISBLANK($B87),"",IFERROR(_xll.BDP(TICKER,"DEEP_MEASURE_PERIOD_BROKER_VALUE","DEEP_MEASURE_ID_OVERRIDE",$C87,"DEEP_BROKER_ID_OVERRIDE",Y$24,"DEEP_PERIOD_OVERRIDE",$H$19)*1,"")))</f>
        <v/>
      </c>
      <c r="Z87" s="17" t="str">
        <f>IF(OR(Z$23="",ISNA($B87)),"",IF(ISBLANK($B87),"",IFERROR(_xll.BDP(TICKER,"DEEP_MEASURE_PERIOD_BROKER_VALUE","DEEP_MEASURE_ID_OVERRIDE",$C87,"DEEP_BROKER_ID_OVERRIDE",Z$24,"DEEP_PERIOD_OVERRIDE",$H$19)*1,"")))</f>
        <v/>
      </c>
      <c r="AA87" s="17" t="str">
        <f>IF(OR(AA$23="",ISNA($B87)),"",IF(ISBLANK($B87),"",IFERROR(_xll.BDP(TICKER,"DEEP_MEASURE_PERIOD_BROKER_VALUE","DEEP_MEASURE_ID_OVERRIDE",$C87,"DEEP_BROKER_ID_OVERRIDE",AA$24,"DEEP_PERIOD_OVERRIDE",$H$19)*1,"")))</f>
        <v/>
      </c>
      <c r="AB87" s="17" t="str">
        <f>IF(OR(AB$23="",ISNA($B87)),"",IF(ISBLANK($B87),"",IFERROR(_xll.BDP(TICKER,"DEEP_MEASURE_PERIOD_BROKER_VALUE","DEEP_MEASURE_ID_OVERRIDE",$C87,"DEEP_BROKER_ID_OVERRIDE",AB$24,"DEEP_PERIOD_OVERRIDE",$H$19)*1,"")))</f>
        <v/>
      </c>
      <c r="AC87" s="17" t="str">
        <f>IF(OR(AC$23="",ISNA($B87)),"",IF(ISBLANK($B87),"",IFERROR(_xll.BDP(TICKER,"DEEP_MEASURE_PERIOD_BROKER_VALUE","DEEP_MEASURE_ID_OVERRIDE",$C87,"DEEP_BROKER_ID_OVERRIDE",AC$24,"DEEP_PERIOD_OVERRIDE",$H$19)*1,"")))</f>
        <v/>
      </c>
      <c r="AD87" s="17" t="str">
        <f>IF(OR(AD$23="",ISNA($B87)),"",IF(ISBLANK($B87),"",IFERROR(_xll.BDP(TICKER,"DEEP_MEASURE_PERIOD_BROKER_VALUE","DEEP_MEASURE_ID_OVERRIDE",$C87,"DEEP_BROKER_ID_OVERRIDE",AD$24,"DEEP_PERIOD_OVERRIDE",$H$19)*1,"")))</f>
        <v/>
      </c>
      <c r="AE87" s="17" t="str">
        <f>IF(OR(AE$23="",ISNA($B87)),"",IF(ISBLANK($B87),"",IFERROR(_xll.BDP(TICKER,"DEEP_MEASURE_PERIOD_BROKER_VALUE","DEEP_MEASURE_ID_OVERRIDE",$C87,"DEEP_BROKER_ID_OVERRIDE",AE$24,"DEEP_PERIOD_OVERRIDE",$H$19)*1,"")))</f>
        <v/>
      </c>
      <c r="AF87" s="17" t="str">
        <f>IF(OR(AF$23="",ISNA($B87)),"",IF(ISBLANK($B87),"",IFERROR(_xll.BDP(TICKER,"DEEP_MEASURE_PERIOD_BROKER_VALUE","DEEP_MEASURE_ID_OVERRIDE",$C87,"DEEP_BROKER_ID_OVERRIDE",AF$24,"DEEP_PERIOD_OVERRIDE",$H$19)*1,"")))</f>
        <v/>
      </c>
      <c r="AG87" s="17" t="str">
        <f>IF(OR(AG$23="",ISNA($B87)),"",IF(ISBLANK($B87),"",IFERROR(_xll.BDP(TICKER,"DEEP_MEASURE_PERIOD_BROKER_VALUE","DEEP_MEASURE_ID_OVERRIDE",$C87,"DEEP_BROKER_ID_OVERRIDE",AG$24,"DEEP_PERIOD_OVERRIDE",$H$19)*1,"")))</f>
        <v/>
      </c>
      <c r="AH87" s="17" t="str">
        <f>IF(OR(AH$23="",ISNA($B87)),"",IF(ISBLANK($B87),"",IFERROR(_xll.BDP(TICKER,"DEEP_MEASURE_PERIOD_BROKER_VALUE","DEEP_MEASURE_ID_OVERRIDE",$C87,"DEEP_BROKER_ID_OVERRIDE",AH$24,"DEEP_PERIOD_OVERRIDE",$H$19)*1,"")))</f>
        <v/>
      </c>
      <c r="AI87" s="17" t="str">
        <f>IF(OR(AI$23="",ISNA($B87)),"",IF(ISBLANK($B87),"",IFERROR(_xll.BDP(TICKER,"DEEP_MEASURE_PERIOD_BROKER_VALUE","DEEP_MEASURE_ID_OVERRIDE",$C87,"DEEP_BROKER_ID_OVERRIDE",AI$24,"DEEP_PERIOD_OVERRIDE",$H$19)*1,"")))</f>
        <v/>
      </c>
      <c r="AJ87" s="17" t="str">
        <f>IF(OR(AJ$23="",ISNA($B87)),"",IF(ISBLANK($B87),"",IFERROR(_xll.BDP(TICKER,"DEEP_MEASURE_PERIOD_BROKER_VALUE","DEEP_MEASURE_ID_OVERRIDE",$C87,"DEEP_BROKER_ID_OVERRIDE",AJ$24,"DEEP_PERIOD_OVERRIDE",$H$19)*1,"")))</f>
        <v/>
      </c>
      <c r="AK87" s="17" t="str">
        <f>IF(OR(AK$23="",ISNA($B87)),"",IF(ISBLANK($B87),"",IFERROR(_xll.BDP(TICKER,"DEEP_MEASURE_PERIOD_BROKER_VALUE","DEEP_MEASURE_ID_OVERRIDE",$C87,"DEEP_BROKER_ID_OVERRIDE",AK$24,"DEEP_PERIOD_OVERRIDE",$H$19)*1,"")))</f>
        <v/>
      </c>
      <c r="AL87" s="17" t="str">
        <f>IF(OR(AL$23="",ISNA($B87)),"",IF(ISBLANK($B87),"",IFERROR(_xll.BDP(TICKER,"DEEP_MEASURE_PERIOD_BROKER_VALUE","DEEP_MEASURE_ID_OVERRIDE",$C87,"DEEP_BROKER_ID_OVERRIDE",AL$24,"DEEP_PERIOD_OVERRIDE",$H$19)*1,"")))</f>
        <v/>
      </c>
      <c r="AM87" s="17" t="str">
        <f>IF(OR(AM$23="",ISNA($B87)),"",IF(ISBLANK($B87),"",IFERROR(_xll.BDP(TICKER,"DEEP_MEASURE_PERIOD_BROKER_VALUE","DEEP_MEASURE_ID_OVERRIDE",$C87,"DEEP_BROKER_ID_OVERRIDE",AM$24,"DEEP_PERIOD_OVERRIDE",$H$19)*1,"")))</f>
        <v/>
      </c>
      <c r="AN87" s="17" t="str">
        <f>IF(OR(AN$23="",ISNA($B87)),"",IF(ISBLANK($B87),"",IFERROR(_xll.BDP(TICKER,"DEEP_MEASURE_PERIOD_BROKER_VALUE","DEEP_MEASURE_ID_OVERRIDE",$C87,"DEEP_BROKER_ID_OVERRIDE",AN$24,"DEEP_PERIOD_OVERRIDE",$H$19)*1,"")))</f>
        <v/>
      </c>
      <c r="AO87" s="17" t="str">
        <f>IF(OR(AO$23="",ISNA($B87)),"",IF(ISBLANK($B87),"",IFERROR(_xll.BDP(TICKER,"DEEP_MEASURE_PERIOD_BROKER_VALUE","DEEP_MEASURE_ID_OVERRIDE",$C87,"DEEP_BROKER_ID_OVERRIDE",AO$24,"DEEP_PERIOD_OVERRIDE",$H$19)*1,"")))</f>
        <v/>
      </c>
      <c r="AP87" s="17" t="str">
        <f>IF(OR(AP$23="",ISNA($B87)),"",IF(ISBLANK($B87),"",IFERROR(_xll.BDP(TICKER,"DEEP_MEASURE_PERIOD_BROKER_VALUE","DEEP_MEASURE_ID_OVERRIDE",$C87,"DEEP_BROKER_ID_OVERRIDE",AP$24,"DEEP_PERIOD_OVERRIDE",$H$19)*1,"")))</f>
        <v/>
      </c>
      <c r="AQ87" s="17" t="str">
        <f>IF(OR(AQ$23="",ISNA($B87)),"",IF(ISBLANK($B87),"",IFERROR(_xll.BDP(TICKER,"DEEP_MEASURE_PERIOD_BROKER_VALUE","DEEP_MEASURE_ID_OVERRIDE",$C87,"DEEP_BROKER_ID_OVERRIDE",AQ$24,"DEEP_PERIOD_OVERRIDE",$H$19)*1,"")))</f>
        <v/>
      </c>
      <c r="AR87" s="17" t="str">
        <f>IF(OR(AR$23="",ISNA($B87)),"",IF(ISBLANK($B87),"",IFERROR(_xll.BDP(TICKER,"DEEP_MEASURE_PERIOD_BROKER_VALUE","DEEP_MEASURE_ID_OVERRIDE",$C87,"DEEP_BROKER_ID_OVERRIDE",AR$24,"DEEP_PERIOD_OVERRIDE",$H$19)*1,"")))</f>
        <v/>
      </c>
      <c r="AS87" s="17" t="str">
        <f>IF(OR(AS$23="",ISNA($B87)),"",IF(ISBLANK($B87),"",IFERROR(_xll.BDP(TICKER,"DEEP_MEASURE_PERIOD_BROKER_VALUE","DEEP_MEASURE_ID_OVERRIDE",$C87,"DEEP_BROKER_ID_OVERRIDE",AS$24,"DEEP_PERIOD_OVERRIDE",$H$19)*1,"")))</f>
        <v/>
      </c>
      <c r="AT87" s="17" t="str">
        <f>IF(OR(AT$23="",ISNA($B87)),"",IF(ISBLANK($B87),"",IFERROR(_xll.BDP(TICKER,"DEEP_MEASURE_PERIOD_BROKER_VALUE","DEEP_MEASURE_ID_OVERRIDE",$C87,"DEEP_BROKER_ID_OVERRIDE",AT$24,"DEEP_PERIOD_OVERRIDE",$H$19)*1,"")))</f>
        <v/>
      </c>
      <c r="AU87" s="17" t="str">
        <f>IF(OR(AU$23="",ISNA($B87)),"",IF(ISBLANK($B87),"",IFERROR(_xll.BDP(TICKER,"DEEP_MEASURE_PERIOD_BROKER_VALUE","DEEP_MEASURE_ID_OVERRIDE",$C87,"DEEP_BROKER_ID_OVERRIDE",AU$24,"DEEP_PERIOD_OVERRIDE",$H$19)*1,"")))</f>
        <v/>
      </c>
      <c r="AV87" s="17" t="str">
        <f>IF(OR(AV$23="",ISNA($B87)),"",IF(ISBLANK($B87),"",IFERROR(_xll.BDP(TICKER,"DEEP_MEASURE_PERIOD_BROKER_VALUE","DEEP_MEASURE_ID_OVERRIDE",$C87,"DEEP_BROKER_ID_OVERRIDE",AV$24,"DEEP_PERIOD_OVERRIDE",$H$19)*1,"")))</f>
        <v/>
      </c>
      <c r="AW87" s="17" t="str">
        <f>IF(OR(AW$23="",ISNA($B87)),"",IF(ISBLANK($B87),"",IFERROR(_xll.BDP(TICKER,"DEEP_MEASURE_PERIOD_BROKER_VALUE","DEEP_MEASURE_ID_OVERRIDE",$C87,"DEEP_BROKER_ID_OVERRIDE",AW$24,"DEEP_PERIOD_OVERRIDE",$H$19)*1,"")))</f>
        <v/>
      </c>
      <c r="AX87" s="17" t="str">
        <f>IF(OR(AX$23="",ISNA($B87)),"",IF(ISBLANK($B87),"",IFERROR(_xll.BDP(TICKER,"DEEP_MEASURE_PERIOD_BROKER_VALUE","DEEP_MEASURE_ID_OVERRIDE",$C87,"DEEP_BROKER_ID_OVERRIDE",AX$24,"DEEP_PERIOD_OVERRIDE",$H$19)*1,"")))</f>
        <v/>
      </c>
      <c r="AY87" s="17" t="str">
        <f>IF(OR(AY$23="",ISNA($B87)),"",IF(ISBLANK($B87),"",IFERROR(_xll.BDP(TICKER,"DEEP_MEASURE_PERIOD_BROKER_VALUE","DEEP_MEASURE_ID_OVERRIDE",$C87,"DEEP_BROKER_ID_OVERRIDE",AY$24,"DEEP_PERIOD_OVERRIDE",$H$19)*1,"")))</f>
        <v/>
      </c>
      <c r="AZ87" s="17" t="str">
        <f>IF(OR(AZ$23="",ISNA($B87)),"",IF(ISBLANK($B87),"",IFERROR(_xll.BDP(TICKER,"DEEP_MEASURE_PERIOD_BROKER_VALUE","DEEP_MEASURE_ID_OVERRIDE",$C87,"DEEP_BROKER_ID_OVERRIDE",AZ$24,"DEEP_PERIOD_OVERRIDE",$H$19)*1,"")))</f>
        <v/>
      </c>
      <c r="BA87" s="17" t="str">
        <f>IF(OR(BA$23="",ISNA($B87)),"",IF(ISBLANK($B87),"",IFERROR(_xll.BDP(TICKER,"DEEP_MEASURE_PERIOD_BROKER_VALUE","DEEP_MEASURE_ID_OVERRIDE",$C87,"DEEP_BROKER_ID_OVERRIDE",BA$24,"DEEP_PERIOD_OVERRIDE",$H$19)*1,"")))</f>
        <v/>
      </c>
      <c r="BB87" s="17" t="str">
        <f>IF(OR(BB$23="",ISNA($B87)),"",IF(ISBLANK($B87),"",IFERROR(_xll.BDP(TICKER,"DEEP_MEASURE_PERIOD_BROKER_VALUE","DEEP_MEASURE_ID_OVERRIDE",$C87,"DEEP_BROKER_ID_OVERRIDE",BB$24,"DEEP_PERIOD_OVERRIDE",$H$19)*1,"")))</f>
        <v/>
      </c>
      <c r="BC87" s="17" t="str">
        <f>IF(OR(BC$23="",ISNA($B87)),"",IF(ISBLANK($B87),"",IFERROR(_xll.BDP(TICKER,"DEEP_MEASURE_PERIOD_BROKER_VALUE","DEEP_MEASURE_ID_OVERRIDE",$C87,"DEEP_BROKER_ID_OVERRIDE",BC$24,"DEEP_PERIOD_OVERRIDE",$H$19)*1,"")))</f>
        <v/>
      </c>
      <c r="BD87" s="17" t="str">
        <f>IF(OR(BD$23="",ISNA($B87)),"",IF(ISBLANK($B87),"",IFERROR(_xll.BDP(TICKER,"DEEP_MEASURE_PERIOD_BROKER_VALUE","DEEP_MEASURE_ID_OVERRIDE",$C87,"DEEP_BROKER_ID_OVERRIDE",BD$24,"DEEP_PERIOD_OVERRIDE",$H$19)*1,"")))</f>
        <v/>
      </c>
      <c r="BE87" s="17" t="str">
        <f>IF(OR(BE$23="",ISNA($B87)),"",IF(ISBLANK($B87),"",IFERROR(_xll.BDP(TICKER,"DEEP_MEASURE_PERIOD_BROKER_VALUE","DEEP_MEASURE_ID_OVERRIDE",$C87,"DEEP_BROKER_ID_OVERRIDE",BE$24,"DEEP_PERIOD_OVERRIDE",$H$19)*1,"")))</f>
        <v/>
      </c>
      <c r="BF87" s="17" t="str">
        <f>IF(OR(BF$23="",ISNA($B87)),"",IF(ISBLANK($B87),"",IFERROR(_xll.BDP(TICKER,"DEEP_MEASURE_PERIOD_BROKER_VALUE","DEEP_MEASURE_ID_OVERRIDE",$C87,"DEEP_BROKER_ID_OVERRIDE",BF$24,"DEEP_PERIOD_OVERRIDE",$H$19)*1,"")))</f>
        <v/>
      </c>
      <c r="BG87" s="17" t="str">
        <f>IF(OR(BG$23="",ISNA($B87)),"",IF(ISBLANK($B87),"",IFERROR(_xll.BDP(TICKER,"DEEP_MEASURE_PERIOD_BROKER_VALUE","DEEP_MEASURE_ID_OVERRIDE",$C87,"DEEP_BROKER_ID_OVERRIDE",BG$24,"DEEP_PERIOD_OVERRIDE",$H$19)*1,"")))</f>
        <v/>
      </c>
      <c r="BH87" s="17" t="str">
        <f>IF(OR(BH$23="",ISNA($B87)),"",IF(ISBLANK($B87),"",IFERROR(_xll.BDP(TICKER,"DEEP_MEASURE_PERIOD_BROKER_VALUE","DEEP_MEASURE_ID_OVERRIDE",$C87,"DEEP_BROKER_ID_OVERRIDE",BH$24,"DEEP_PERIOD_OVERRIDE",$H$19)*1,"")))</f>
        <v/>
      </c>
      <c r="BI87" s="17" t="str">
        <f>IF(OR(BI$23="",ISNA($B87)),"",IF(ISBLANK($B87),"",IFERROR(_xll.BDP(TICKER,"DEEP_MEASURE_PERIOD_BROKER_VALUE","DEEP_MEASURE_ID_OVERRIDE",$C87,"DEEP_BROKER_ID_OVERRIDE",BI$24,"DEEP_PERIOD_OVERRIDE",$H$19)*1,"")))</f>
        <v/>
      </c>
      <c r="BJ87" s="17" t="str">
        <f>IF(OR(BJ$23="",ISNA($B87)),"",IF(ISBLANK($B87),"",IFERROR(_xll.BDP(TICKER,"DEEP_MEASURE_PERIOD_BROKER_VALUE","DEEP_MEASURE_ID_OVERRIDE",$C87,"DEEP_BROKER_ID_OVERRIDE",BJ$24,"DEEP_PERIOD_OVERRIDE",$H$19)*1,"")))</f>
        <v/>
      </c>
      <c r="BK87" s="17" t="str">
        <f>IF(OR(BK$23="",ISNA($B87)),"",IF(ISBLANK($B87),"",IFERROR(_xll.BDP(TICKER,"DEEP_MEASURE_PERIOD_BROKER_VALUE","DEEP_MEASURE_ID_OVERRIDE",$C87,"DEEP_BROKER_ID_OVERRIDE",BK$24,"DEEP_PERIOD_OVERRIDE",$H$19)*1,"")))</f>
        <v/>
      </c>
      <c r="BL87" s="17" t="str">
        <f>IF(OR(BL$23="",ISNA($B87)),"",IF(ISBLANK($B87),"",IFERROR(_xll.BDP(TICKER,"DEEP_MEASURE_PERIOD_BROKER_VALUE","DEEP_MEASURE_ID_OVERRIDE",$C87,"DEEP_BROKER_ID_OVERRIDE",BL$24,"DEEP_PERIOD_OVERRIDE",$H$19)*1,"")))</f>
        <v/>
      </c>
      <c r="BM87" s="17" t="str">
        <f>IF(OR(BM$23="",ISNA($B87)),"",IF(ISBLANK($B87),"",IFERROR(_xll.BDP(TICKER,"DEEP_MEASURE_PERIOD_BROKER_VALUE","DEEP_MEASURE_ID_OVERRIDE",$C87,"DEEP_BROKER_ID_OVERRIDE",BM$24,"DEEP_PERIOD_OVERRIDE",$H$19)*1,"")))</f>
        <v/>
      </c>
      <c r="BN87" s="17" t="str">
        <f>IF(OR(BN$23="",ISNA($B87)),"",IF(ISBLANK($B87),"",IFERROR(_xll.BDP(TICKER,"DEEP_MEASURE_PERIOD_BROKER_VALUE","DEEP_MEASURE_ID_OVERRIDE",$C87,"DEEP_BROKER_ID_OVERRIDE",BN$24,"DEEP_PERIOD_OVERRIDE",$H$19)*1,"")))</f>
        <v/>
      </c>
      <c r="BO87" s="17" t="str">
        <f>IF(OR(BO$23="",ISNA($B87)),"",IF(ISBLANK($B87),"",IFERROR(_xll.BDP(TICKER,"DEEP_MEASURE_PERIOD_BROKER_VALUE","DEEP_MEASURE_ID_OVERRIDE",$C87,"DEEP_BROKER_ID_OVERRIDE",BO$24,"DEEP_PERIOD_OVERRIDE",$H$19)*1,"")))</f>
        <v/>
      </c>
      <c r="BP87" s="17" t="str">
        <f>IF(OR(BP$23="",ISNA($B87)),"",IF(ISBLANK($B87),"",IFERROR(_xll.BDP(TICKER,"DEEP_MEASURE_PERIOD_BROKER_VALUE","DEEP_MEASURE_ID_OVERRIDE",$C87,"DEEP_BROKER_ID_OVERRIDE",BP$24,"DEEP_PERIOD_OVERRIDE",$H$19)*1,"")))</f>
        <v/>
      </c>
      <c r="BQ87" s="17" t="str">
        <f>IF(OR(BQ$23="",ISNA($B87)),"",IF(ISBLANK($B87),"",IFERROR(_xll.BDP(TICKER,"DEEP_MEASURE_PERIOD_BROKER_VALUE","DEEP_MEASURE_ID_OVERRIDE",$C87,"DEEP_BROKER_ID_OVERRIDE",BQ$24,"DEEP_PERIOD_OVERRIDE",$H$19)*1,"")))</f>
        <v/>
      </c>
      <c r="BR87" s="17" t="str">
        <f>IF(OR(BR$23="",ISNA($B87)),"",IF(ISBLANK($B87),"",IFERROR(_xll.BDP(TICKER,"DEEP_MEASURE_PERIOD_BROKER_VALUE","DEEP_MEASURE_ID_OVERRIDE",$C87,"DEEP_BROKER_ID_OVERRIDE",BR$24,"DEEP_PERIOD_OVERRIDE",$H$19)*1,"")))</f>
        <v/>
      </c>
      <c r="BS87" s="17" t="str">
        <f>IF(OR(BS$23="",ISNA($B87)),"",IF(ISBLANK($B87),"",IFERROR(_xll.BDP(TICKER,"DEEP_MEASURE_PERIOD_BROKER_VALUE","DEEP_MEASURE_ID_OVERRIDE",$C87,"DEEP_BROKER_ID_OVERRIDE",BS$24,"DEEP_PERIOD_OVERRIDE",$H$19)*1,"")))</f>
        <v/>
      </c>
      <c r="BT87" s="17" t="str">
        <f>IF(OR(BT$23="",ISNA($B87)),"",IF(ISBLANK($B87),"",IFERROR(_xll.BDP(TICKER,"DEEP_MEASURE_PERIOD_BROKER_VALUE","DEEP_MEASURE_ID_OVERRIDE",$C87,"DEEP_BROKER_ID_OVERRIDE",BT$24,"DEEP_PERIOD_OVERRIDE",$H$19)*1,"")))</f>
        <v/>
      </c>
      <c r="BU87" s="17" t="str">
        <f>IF(OR(BU$23="",ISNA($B87)),"",IF(ISBLANK($B87),"",IFERROR(_xll.BDP(TICKER,"DEEP_MEASURE_PERIOD_BROKER_VALUE","DEEP_MEASURE_ID_OVERRIDE",$C87,"DEEP_BROKER_ID_OVERRIDE",BU$24,"DEEP_PERIOD_OVERRIDE",$H$19)*1,"")))</f>
        <v/>
      </c>
      <c r="BV87" s="17" t="str">
        <f>IF(OR(BV$23="",ISNA($B87)),"",IF(ISBLANK($B87),"",IFERROR(_xll.BDP(TICKER,"DEEP_MEASURE_PERIOD_BROKER_VALUE","DEEP_MEASURE_ID_OVERRIDE",$C87,"DEEP_BROKER_ID_OVERRIDE",BV$24,"DEEP_PERIOD_OVERRIDE",$H$19)*1,"")))</f>
        <v/>
      </c>
      <c r="BW87" s="17" t="str">
        <f>IF(OR(BW$23="",ISNA($B87)),"",IF(ISBLANK($B87),"",IFERROR(_xll.BDP(TICKER,"DEEP_MEASURE_PERIOD_BROKER_VALUE","DEEP_MEASURE_ID_OVERRIDE",$C87,"DEEP_BROKER_ID_OVERRIDE",BW$24,"DEEP_PERIOD_OVERRIDE",$H$19)*1,"")))</f>
        <v/>
      </c>
      <c r="BX87" s="17" t="str">
        <f>IF(OR(BX$23="",ISNA($B87)),"",IF(ISBLANK($B87),"",IFERROR(_xll.BDP(TICKER,"DEEP_MEASURE_PERIOD_BROKER_VALUE","DEEP_MEASURE_ID_OVERRIDE",$C87,"DEEP_BROKER_ID_OVERRIDE",BX$24,"DEEP_PERIOD_OVERRIDE",$H$19)*1,"")))</f>
        <v/>
      </c>
      <c r="BY87" s="17" t="str">
        <f>IF(OR(BY$23="",ISNA($B87)),"",IF(ISBLANK($B87),"",IFERROR(_xll.BDP(TICKER,"DEEP_MEASURE_PERIOD_BROKER_VALUE","DEEP_MEASURE_ID_OVERRIDE",$C87,"DEEP_BROKER_ID_OVERRIDE",BY$24,"DEEP_PERIOD_OVERRIDE",$H$19)*1,"")))</f>
        <v/>
      </c>
      <c r="BZ87" s="17" t="str">
        <f>IF(OR(BZ$23="",ISNA($B87)),"",IF(ISBLANK($B87),"",IFERROR(_xll.BDP(TICKER,"DEEP_MEASURE_PERIOD_BROKER_VALUE","DEEP_MEASURE_ID_OVERRIDE",$C87,"DEEP_BROKER_ID_OVERRIDE",BZ$24,"DEEP_PERIOD_OVERRIDE",$H$19)*1,"")))</f>
        <v/>
      </c>
    </row>
    <row r="88" spans="2:78" x14ac:dyDescent="0.25">
      <c r="B88" t="s">
        <v>130</v>
      </c>
      <c r="C88">
        <v>8871</v>
      </c>
      <c r="H88" t="str">
        <f t="shared" si="1"/>
        <v>Cost of Revenue &gt; Direct Costs &gt; YoY Growth (%)</v>
      </c>
      <c r="I88" t="str">
        <f>IF(OR(I$23="",ISNA($B88)),"",IF(ISBLANK($B88),"",IFERROR(_xll.BDP(TICKER,"DEEP_MEASURE_PERIOD_BROKER_VALUE","DEEP_MEASURE_ID_OVERRIDE",$C88,"DEEP_PERIOD_OVERRIDE",$H$19)*1,"")))</f>
        <v/>
      </c>
      <c r="J88" t="e">
        <f>IF(OR(J$23="",ISNA($B88)),"",IF(ISBLANK($B88),"",IFERROR(_xll.BDP(TICKER,"DEEP_MEASURE_PERIOD_BROKER_VALUE","DEEP_MEASURE_ID_OVERRIDE",$C88,"DEEP_BROKER_ID_OVERRIDE",J$24,"DEEP_PERIOD_OVERRIDE",$H$19)*1,"")))</f>
        <v>#REF!</v>
      </c>
      <c r="K88" s="17" t="str">
        <f>IF(OR(K$23="",ISNA($B88)),"",IF(ISBLANK($B88),"",IFERROR(_xll.BDP(TICKER,"DEEP_MEASURE_PERIOD_BROKER_VALUE","DEEP_MEASURE_ID_OVERRIDE",$C88,"DEEP_BROKER_ID_OVERRIDE",K$24,"DEEP_PERIOD_OVERRIDE",$H$19)*1,"")))</f>
        <v/>
      </c>
      <c r="L88" s="17" t="str">
        <f>IF(OR(L$23="",ISNA($B88)),"",IF(ISBLANK($B88),"",IFERROR(_xll.BDP(TICKER,"DEEP_MEASURE_PERIOD_BROKER_VALUE","DEEP_MEASURE_ID_OVERRIDE",$C88,"DEEP_BROKER_ID_OVERRIDE",L$24,"DEEP_PERIOD_OVERRIDE",$H$19)*1,"")))</f>
        <v/>
      </c>
      <c r="M88" s="17" t="str">
        <f>IF(OR(M$23="",ISNA($B88)),"",IF(ISBLANK($B88),"",IFERROR(_xll.BDP(TICKER,"DEEP_MEASURE_PERIOD_BROKER_VALUE","DEEP_MEASURE_ID_OVERRIDE",$C88,"DEEP_BROKER_ID_OVERRIDE",M$24,"DEEP_PERIOD_OVERRIDE",$H$19)*1,"")))</f>
        <v/>
      </c>
      <c r="N88" s="17" t="str">
        <f>IF(OR(N$23="",ISNA($B88)),"",IF(ISBLANK($B88),"",IFERROR(_xll.BDP(TICKER,"DEEP_MEASURE_PERIOD_BROKER_VALUE","DEEP_MEASURE_ID_OVERRIDE",$C88,"DEEP_BROKER_ID_OVERRIDE",N$24,"DEEP_PERIOD_OVERRIDE",$H$19)*1,"")))</f>
        <v/>
      </c>
      <c r="O88" s="17" t="str">
        <f>IF(OR(O$23="",ISNA($B88)),"",IF(ISBLANK($B88),"",IFERROR(_xll.BDP(TICKER,"DEEP_MEASURE_PERIOD_BROKER_VALUE","DEEP_MEASURE_ID_OVERRIDE",$C88,"DEEP_BROKER_ID_OVERRIDE",O$24,"DEEP_PERIOD_OVERRIDE",$H$19)*1,"")))</f>
        <v/>
      </c>
      <c r="P88" s="17" t="str">
        <f>IF(OR(P$23="",ISNA($B88)),"",IF(ISBLANK($B88),"",IFERROR(_xll.BDP(TICKER,"DEEP_MEASURE_PERIOD_BROKER_VALUE","DEEP_MEASURE_ID_OVERRIDE",$C88,"DEEP_BROKER_ID_OVERRIDE",P$24,"DEEP_PERIOD_OVERRIDE",$H$19)*1,"")))</f>
        <v/>
      </c>
      <c r="Q88" s="17" t="str">
        <f>IF(OR(Q$23="",ISNA($B88)),"",IF(ISBLANK($B88),"",IFERROR(_xll.BDP(TICKER,"DEEP_MEASURE_PERIOD_BROKER_VALUE","DEEP_MEASURE_ID_OVERRIDE",$C88,"DEEP_BROKER_ID_OVERRIDE",Q$24,"DEEP_PERIOD_OVERRIDE",$H$19)*1,"")))</f>
        <v/>
      </c>
      <c r="R88" s="17" t="str">
        <f>IF(OR(R$23="",ISNA($B88)),"",IF(ISBLANK($B88),"",IFERROR(_xll.BDP(TICKER,"DEEP_MEASURE_PERIOD_BROKER_VALUE","DEEP_MEASURE_ID_OVERRIDE",$C88,"DEEP_BROKER_ID_OVERRIDE",R$24,"DEEP_PERIOD_OVERRIDE",$H$19)*1,"")))</f>
        <v/>
      </c>
      <c r="S88" s="17" t="str">
        <f>IF(OR(S$23="",ISNA($B88)),"",IF(ISBLANK($B88),"",IFERROR(_xll.BDP(TICKER,"DEEP_MEASURE_PERIOD_BROKER_VALUE","DEEP_MEASURE_ID_OVERRIDE",$C88,"DEEP_BROKER_ID_OVERRIDE",S$24,"DEEP_PERIOD_OVERRIDE",$H$19)*1,"")))</f>
        <v/>
      </c>
      <c r="T88" s="17" t="str">
        <f>IF(OR(T$23="",ISNA($B88)),"",IF(ISBLANK($B88),"",IFERROR(_xll.BDP(TICKER,"DEEP_MEASURE_PERIOD_BROKER_VALUE","DEEP_MEASURE_ID_OVERRIDE",$C88,"DEEP_BROKER_ID_OVERRIDE",T$24,"DEEP_PERIOD_OVERRIDE",$H$19)*1,"")))</f>
        <v/>
      </c>
      <c r="U88" s="17" t="str">
        <f>IF(OR(U$23="",ISNA($B88)),"",IF(ISBLANK($B88),"",IFERROR(_xll.BDP(TICKER,"DEEP_MEASURE_PERIOD_BROKER_VALUE","DEEP_MEASURE_ID_OVERRIDE",$C88,"DEEP_BROKER_ID_OVERRIDE",U$24,"DEEP_PERIOD_OVERRIDE",$H$19)*1,"")))</f>
        <v/>
      </c>
      <c r="V88" s="17" t="str">
        <f>IF(OR(V$23="",ISNA($B88)),"",IF(ISBLANK($B88),"",IFERROR(_xll.BDP(TICKER,"DEEP_MEASURE_PERIOD_BROKER_VALUE","DEEP_MEASURE_ID_OVERRIDE",$C88,"DEEP_BROKER_ID_OVERRIDE",V$24,"DEEP_PERIOD_OVERRIDE",$H$19)*1,"")))</f>
        <v/>
      </c>
      <c r="W88" s="17" t="str">
        <f>IF(OR(W$23="",ISNA($B88)),"",IF(ISBLANK($B88),"",IFERROR(_xll.BDP(TICKER,"DEEP_MEASURE_PERIOD_BROKER_VALUE","DEEP_MEASURE_ID_OVERRIDE",$C88,"DEEP_BROKER_ID_OVERRIDE",W$24,"DEEP_PERIOD_OVERRIDE",$H$19)*1,"")))</f>
        <v/>
      </c>
      <c r="X88" s="17" t="str">
        <f>IF(OR(X$23="",ISNA($B88)),"",IF(ISBLANK($B88),"",IFERROR(_xll.BDP(TICKER,"DEEP_MEASURE_PERIOD_BROKER_VALUE","DEEP_MEASURE_ID_OVERRIDE",$C88,"DEEP_BROKER_ID_OVERRIDE",X$24,"DEEP_PERIOD_OVERRIDE",$H$19)*1,"")))</f>
        <v/>
      </c>
      <c r="Y88" s="17" t="str">
        <f>IF(OR(Y$23="",ISNA($B88)),"",IF(ISBLANK($B88),"",IFERROR(_xll.BDP(TICKER,"DEEP_MEASURE_PERIOD_BROKER_VALUE","DEEP_MEASURE_ID_OVERRIDE",$C88,"DEEP_BROKER_ID_OVERRIDE",Y$24,"DEEP_PERIOD_OVERRIDE",$H$19)*1,"")))</f>
        <v/>
      </c>
      <c r="Z88" s="17" t="str">
        <f>IF(OR(Z$23="",ISNA($B88)),"",IF(ISBLANK($B88),"",IFERROR(_xll.BDP(TICKER,"DEEP_MEASURE_PERIOD_BROKER_VALUE","DEEP_MEASURE_ID_OVERRIDE",$C88,"DEEP_BROKER_ID_OVERRIDE",Z$24,"DEEP_PERIOD_OVERRIDE",$H$19)*1,"")))</f>
        <v/>
      </c>
      <c r="AA88" s="17" t="str">
        <f>IF(OR(AA$23="",ISNA($B88)),"",IF(ISBLANK($B88),"",IFERROR(_xll.BDP(TICKER,"DEEP_MEASURE_PERIOD_BROKER_VALUE","DEEP_MEASURE_ID_OVERRIDE",$C88,"DEEP_BROKER_ID_OVERRIDE",AA$24,"DEEP_PERIOD_OVERRIDE",$H$19)*1,"")))</f>
        <v/>
      </c>
      <c r="AB88" s="17" t="str">
        <f>IF(OR(AB$23="",ISNA($B88)),"",IF(ISBLANK($B88),"",IFERROR(_xll.BDP(TICKER,"DEEP_MEASURE_PERIOD_BROKER_VALUE","DEEP_MEASURE_ID_OVERRIDE",$C88,"DEEP_BROKER_ID_OVERRIDE",AB$24,"DEEP_PERIOD_OVERRIDE",$H$19)*1,"")))</f>
        <v/>
      </c>
      <c r="AC88" s="17" t="str">
        <f>IF(OR(AC$23="",ISNA($B88)),"",IF(ISBLANK($B88),"",IFERROR(_xll.BDP(TICKER,"DEEP_MEASURE_PERIOD_BROKER_VALUE","DEEP_MEASURE_ID_OVERRIDE",$C88,"DEEP_BROKER_ID_OVERRIDE",AC$24,"DEEP_PERIOD_OVERRIDE",$H$19)*1,"")))</f>
        <v/>
      </c>
      <c r="AD88" s="17" t="str">
        <f>IF(OR(AD$23="",ISNA($B88)),"",IF(ISBLANK($B88),"",IFERROR(_xll.BDP(TICKER,"DEEP_MEASURE_PERIOD_BROKER_VALUE","DEEP_MEASURE_ID_OVERRIDE",$C88,"DEEP_BROKER_ID_OVERRIDE",AD$24,"DEEP_PERIOD_OVERRIDE",$H$19)*1,"")))</f>
        <v/>
      </c>
      <c r="AE88" s="17" t="str">
        <f>IF(OR(AE$23="",ISNA($B88)),"",IF(ISBLANK($B88),"",IFERROR(_xll.BDP(TICKER,"DEEP_MEASURE_PERIOD_BROKER_VALUE","DEEP_MEASURE_ID_OVERRIDE",$C88,"DEEP_BROKER_ID_OVERRIDE",AE$24,"DEEP_PERIOD_OVERRIDE",$H$19)*1,"")))</f>
        <v/>
      </c>
      <c r="AF88" s="17" t="str">
        <f>IF(OR(AF$23="",ISNA($B88)),"",IF(ISBLANK($B88),"",IFERROR(_xll.BDP(TICKER,"DEEP_MEASURE_PERIOD_BROKER_VALUE","DEEP_MEASURE_ID_OVERRIDE",$C88,"DEEP_BROKER_ID_OVERRIDE",AF$24,"DEEP_PERIOD_OVERRIDE",$H$19)*1,"")))</f>
        <v/>
      </c>
      <c r="AG88" s="17" t="str">
        <f>IF(OR(AG$23="",ISNA($B88)),"",IF(ISBLANK($B88),"",IFERROR(_xll.BDP(TICKER,"DEEP_MEASURE_PERIOD_BROKER_VALUE","DEEP_MEASURE_ID_OVERRIDE",$C88,"DEEP_BROKER_ID_OVERRIDE",AG$24,"DEEP_PERIOD_OVERRIDE",$H$19)*1,"")))</f>
        <v/>
      </c>
      <c r="AH88" s="17" t="str">
        <f>IF(OR(AH$23="",ISNA($B88)),"",IF(ISBLANK($B88),"",IFERROR(_xll.BDP(TICKER,"DEEP_MEASURE_PERIOD_BROKER_VALUE","DEEP_MEASURE_ID_OVERRIDE",$C88,"DEEP_BROKER_ID_OVERRIDE",AH$24,"DEEP_PERIOD_OVERRIDE",$H$19)*1,"")))</f>
        <v/>
      </c>
      <c r="AI88" s="17" t="str">
        <f>IF(OR(AI$23="",ISNA($B88)),"",IF(ISBLANK($B88),"",IFERROR(_xll.BDP(TICKER,"DEEP_MEASURE_PERIOD_BROKER_VALUE","DEEP_MEASURE_ID_OVERRIDE",$C88,"DEEP_BROKER_ID_OVERRIDE",AI$24,"DEEP_PERIOD_OVERRIDE",$H$19)*1,"")))</f>
        <v/>
      </c>
      <c r="AJ88" s="17" t="str">
        <f>IF(OR(AJ$23="",ISNA($B88)),"",IF(ISBLANK($B88),"",IFERROR(_xll.BDP(TICKER,"DEEP_MEASURE_PERIOD_BROKER_VALUE","DEEP_MEASURE_ID_OVERRIDE",$C88,"DEEP_BROKER_ID_OVERRIDE",AJ$24,"DEEP_PERIOD_OVERRIDE",$H$19)*1,"")))</f>
        <v/>
      </c>
      <c r="AK88" s="17" t="str">
        <f>IF(OR(AK$23="",ISNA($B88)),"",IF(ISBLANK($B88),"",IFERROR(_xll.BDP(TICKER,"DEEP_MEASURE_PERIOD_BROKER_VALUE","DEEP_MEASURE_ID_OVERRIDE",$C88,"DEEP_BROKER_ID_OVERRIDE",AK$24,"DEEP_PERIOD_OVERRIDE",$H$19)*1,"")))</f>
        <v/>
      </c>
      <c r="AL88" s="17" t="str">
        <f>IF(OR(AL$23="",ISNA($B88)),"",IF(ISBLANK($B88),"",IFERROR(_xll.BDP(TICKER,"DEEP_MEASURE_PERIOD_BROKER_VALUE","DEEP_MEASURE_ID_OVERRIDE",$C88,"DEEP_BROKER_ID_OVERRIDE",AL$24,"DEEP_PERIOD_OVERRIDE",$H$19)*1,"")))</f>
        <v/>
      </c>
      <c r="AM88" s="17" t="str">
        <f>IF(OR(AM$23="",ISNA($B88)),"",IF(ISBLANK($B88),"",IFERROR(_xll.BDP(TICKER,"DEEP_MEASURE_PERIOD_BROKER_VALUE","DEEP_MEASURE_ID_OVERRIDE",$C88,"DEEP_BROKER_ID_OVERRIDE",AM$24,"DEEP_PERIOD_OVERRIDE",$H$19)*1,"")))</f>
        <v/>
      </c>
      <c r="AN88" s="17" t="str">
        <f>IF(OR(AN$23="",ISNA($B88)),"",IF(ISBLANK($B88),"",IFERROR(_xll.BDP(TICKER,"DEEP_MEASURE_PERIOD_BROKER_VALUE","DEEP_MEASURE_ID_OVERRIDE",$C88,"DEEP_BROKER_ID_OVERRIDE",AN$24,"DEEP_PERIOD_OVERRIDE",$H$19)*1,"")))</f>
        <v/>
      </c>
      <c r="AO88" s="17" t="str">
        <f>IF(OR(AO$23="",ISNA($B88)),"",IF(ISBLANK($B88),"",IFERROR(_xll.BDP(TICKER,"DEEP_MEASURE_PERIOD_BROKER_VALUE","DEEP_MEASURE_ID_OVERRIDE",$C88,"DEEP_BROKER_ID_OVERRIDE",AO$24,"DEEP_PERIOD_OVERRIDE",$H$19)*1,"")))</f>
        <v/>
      </c>
      <c r="AP88" s="17" t="str">
        <f>IF(OR(AP$23="",ISNA($B88)),"",IF(ISBLANK($B88),"",IFERROR(_xll.BDP(TICKER,"DEEP_MEASURE_PERIOD_BROKER_VALUE","DEEP_MEASURE_ID_OVERRIDE",$C88,"DEEP_BROKER_ID_OVERRIDE",AP$24,"DEEP_PERIOD_OVERRIDE",$H$19)*1,"")))</f>
        <v/>
      </c>
      <c r="AQ88" s="17" t="str">
        <f>IF(OR(AQ$23="",ISNA($B88)),"",IF(ISBLANK($B88),"",IFERROR(_xll.BDP(TICKER,"DEEP_MEASURE_PERIOD_BROKER_VALUE","DEEP_MEASURE_ID_OVERRIDE",$C88,"DEEP_BROKER_ID_OVERRIDE",AQ$24,"DEEP_PERIOD_OVERRIDE",$H$19)*1,"")))</f>
        <v/>
      </c>
      <c r="AR88" s="17" t="str">
        <f>IF(OR(AR$23="",ISNA($B88)),"",IF(ISBLANK($B88),"",IFERROR(_xll.BDP(TICKER,"DEEP_MEASURE_PERIOD_BROKER_VALUE","DEEP_MEASURE_ID_OVERRIDE",$C88,"DEEP_BROKER_ID_OVERRIDE",AR$24,"DEEP_PERIOD_OVERRIDE",$H$19)*1,"")))</f>
        <v/>
      </c>
      <c r="AS88" s="17" t="str">
        <f>IF(OR(AS$23="",ISNA($B88)),"",IF(ISBLANK($B88),"",IFERROR(_xll.BDP(TICKER,"DEEP_MEASURE_PERIOD_BROKER_VALUE","DEEP_MEASURE_ID_OVERRIDE",$C88,"DEEP_BROKER_ID_OVERRIDE",AS$24,"DEEP_PERIOD_OVERRIDE",$H$19)*1,"")))</f>
        <v/>
      </c>
      <c r="AT88" s="17" t="str">
        <f>IF(OR(AT$23="",ISNA($B88)),"",IF(ISBLANK($B88),"",IFERROR(_xll.BDP(TICKER,"DEEP_MEASURE_PERIOD_BROKER_VALUE","DEEP_MEASURE_ID_OVERRIDE",$C88,"DEEP_BROKER_ID_OVERRIDE",AT$24,"DEEP_PERIOD_OVERRIDE",$H$19)*1,"")))</f>
        <v/>
      </c>
      <c r="AU88" s="17" t="str">
        <f>IF(OR(AU$23="",ISNA($B88)),"",IF(ISBLANK($B88),"",IFERROR(_xll.BDP(TICKER,"DEEP_MEASURE_PERIOD_BROKER_VALUE","DEEP_MEASURE_ID_OVERRIDE",$C88,"DEEP_BROKER_ID_OVERRIDE",AU$24,"DEEP_PERIOD_OVERRIDE",$H$19)*1,"")))</f>
        <v/>
      </c>
      <c r="AV88" s="17" t="str">
        <f>IF(OR(AV$23="",ISNA($B88)),"",IF(ISBLANK($B88),"",IFERROR(_xll.BDP(TICKER,"DEEP_MEASURE_PERIOD_BROKER_VALUE","DEEP_MEASURE_ID_OVERRIDE",$C88,"DEEP_BROKER_ID_OVERRIDE",AV$24,"DEEP_PERIOD_OVERRIDE",$H$19)*1,"")))</f>
        <v/>
      </c>
      <c r="AW88" s="17" t="str">
        <f>IF(OR(AW$23="",ISNA($B88)),"",IF(ISBLANK($B88),"",IFERROR(_xll.BDP(TICKER,"DEEP_MEASURE_PERIOD_BROKER_VALUE","DEEP_MEASURE_ID_OVERRIDE",$C88,"DEEP_BROKER_ID_OVERRIDE",AW$24,"DEEP_PERIOD_OVERRIDE",$H$19)*1,"")))</f>
        <v/>
      </c>
      <c r="AX88" s="17" t="str">
        <f>IF(OR(AX$23="",ISNA($B88)),"",IF(ISBLANK($B88),"",IFERROR(_xll.BDP(TICKER,"DEEP_MEASURE_PERIOD_BROKER_VALUE","DEEP_MEASURE_ID_OVERRIDE",$C88,"DEEP_BROKER_ID_OVERRIDE",AX$24,"DEEP_PERIOD_OVERRIDE",$H$19)*1,"")))</f>
        <v/>
      </c>
      <c r="AY88" s="17" t="str">
        <f>IF(OR(AY$23="",ISNA($B88)),"",IF(ISBLANK($B88),"",IFERROR(_xll.BDP(TICKER,"DEEP_MEASURE_PERIOD_BROKER_VALUE","DEEP_MEASURE_ID_OVERRIDE",$C88,"DEEP_BROKER_ID_OVERRIDE",AY$24,"DEEP_PERIOD_OVERRIDE",$H$19)*1,"")))</f>
        <v/>
      </c>
      <c r="AZ88" s="17" t="str">
        <f>IF(OR(AZ$23="",ISNA($B88)),"",IF(ISBLANK($B88),"",IFERROR(_xll.BDP(TICKER,"DEEP_MEASURE_PERIOD_BROKER_VALUE","DEEP_MEASURE_ID_OVERRIDE",$C88,"DEEP_BROKER_ID_OVERRIDE",AZ$24,"DEEP_PERIOD_OVERRIDE",$H$19)*1,"")))</f>
        <v/>
      </c>
      <c r="BA88" s="17" t="str">
        <f>IF(OR(BA$23="",ISNA($B88)),"",IF(ISBLANK($B88),"",IFERROR(_xll.BDP(TICKER,"DEEP_MEASURE_PERIOD_BROKER_VALUE","DEEP_MEASURE_ID_OVERRIDE",$C88,"DEEP_BROKER_ID_OVERRIDE",BA$24,"DEEP_PERIOD_OVERRIDE",$H$19)*1,"")))</f>
        <v/>
      </c>
      <c r="BB88" s="17" t="str">
        <f>IF(OR(BB$23="",ISNA($B88)),"",IF(ISBLANK($B88),"",IFERROR(_xll.BDP(TICKER,"DEEP_MEASURE_PERIOD_BROKER_VALUE","DEEP_MEASURE_ID_OVERRIDE",$C88,"DEEP_BROKER_ID_OVERRIDE",BB$24,"DEEP_PERIOD_OVERRIDE",$H$19)*1,"")))</f>
        <v/>
      </c>
      <c r="BC88" s="17" t="str">
        <f>IF(OR(BC$23="",ISNA($B88)),"",IF(ISBLANK($B88),"",IFERROR(_xll.BDP(TICKER,"DEEP_MEASURE_PERIOD_BROKER_VALUE","DEEP_MEASURE_ID_OVERRIDE",$C88,"DEEP_BROKER_ID_OVERRIDE",BC$24,"DEEP_PERIOD_OVERRIDE",$H$19)*1,"")))</f>
        <v/>
      </c>
      <c r="BD88" s="17" t="str">
        <f>IF(OR(BD$23="",ISNA($B88)),"",IF(ISBLANK($B88),"",IFERROR(_xll.BDP(TICKER,"DEEP_MEASURE_PERIOD_BROKER_VALUE","DEEP_MEASURE_ID_OVERRIDE",$C88,"DEEP_BROKER_ID_OVERRIDE",BD$24,"DEEP_PERIOD_OVERRIDE",$H$19)*1,"")))</f>
        <v/>
      </c>
      <c r="BE88" s="17" t="str">
        <f>IF(OR(BE$23="",ISNA($B88)),"",IF(ISBLANK($B88),"",IFERROR(_xll.BDP(TICKER,"DEEP_MEASURE_PERIOD_BROKER_VALUE","DEEP_MEASURE_ID_OVERRIDE",$C88,"DEEP_BROKER_ID_OVERRIDE",BE$24,"DEEP_PERIOD_OVERRIDE",$H$19)*1,"")))</f>
        <v/>
      </c>
      <c r="BF88" s="17" t="str">
        <f>IF(OR(BF$23="",ISNA($B88)),"",IF(ISBLANK($B88),"",IFERROR(_xll.BDP(TICKER,"DEEP_MEASURE_PERIOD_BROKER_VALUE","DEEP_MEASURE_ID_OVERRIDE",$C88,"DEEP_BROKER_ID_OVERRIDE",BF$24,"DEEP_PERIOD_OVERRIDE",$H$19)*1,"")))</f>
        <v/>
      </c>
      <c r="BG88" s="17" t="str">
        <f>IF(OR(BG$23="",ISNA($B88)),"",IF(ISBLANK($B88),"",IFERROR(_xll.BDP(TICKER,"DEEP_MEASURE_PERIOD_BROKER_VALUE","DEEP_MEASURE_ID_OVERRIDE",$C88,"DEEP_BROKER_ID_OVERRIDE",BG$24,"DEEP_PERIOD_OVERRIDE",$H$19)*1,"")))</f>
        <v/>
      </c>
      <c r="BH88" s="17" t="str">
        <f>IF(OR(BH$23="",ISNA($B88)),"",IF(ISBLANK($B88),"",IFERROR(_xll.BDP(TICKER,"DEEP_MEASURE_PERIOD_BROKER_VALUE","DEEP_MEASURE_ID_OVERRIDE",$C88,"DEEP_BROKER_ID_OVERRIDE",BH$24,"DEEP_PERIOD_OVERRIDE",$H$19)*1,"")))</f>
        <v/>
      </c>
      <c r="BI88" s="17" t="str">
        <f>IF(OR(BI$23="",ISNA($B88)),"",IF(ISBLANK($B88),"",IFERROR(_xll.BDP(TICKER,"DEEP_MEASURE_PERIOD_BROKER_VALUE","DEEP_MEASURE_ID_OVERRIDE",$C88,"DEEP_BROKER_ID_OVERRIDE",BI$24,"DEEP_PERIOD_OVERRIDE",$H$19)*1,"")))</f>
        <v/>
      </c>
      <c r="BJ88" s="17" t="str">
        <f>IF(OR(BJ$23="",ISNA($B88)),"",IF(ISBLANK($B88),"",IFERROR(_xll.BDP(TICKER,"DEEP_MEASURE_PERIOD_BROKER_VALUE","DEEP_MEASURE_ID_OVERRIDE",$C88,"DEEP_BROKER_ID_OVERRIDE",BJ$24,"DEEP_PERIOD_OVERRIDE",$H$19)*1,"")))</f>
        <v/>
      </c>
      <c r="BK88" s="17" t="str">
        <f>IF(OR(BK$23="",ISNA($B88)),"",IF(ISBLANK($B88),"",IFERROR(_xll.BDP(TICKER,"DEEP_MEASURE_PERIOD_BROKER_VALUE","DEEP_MEASURE_ID_OVERRIDE",$C88,"DEEP_BROKER_ID_OVERRIDE",BK$24,"DEEP_PERIOD_OVERRIDE",$H$19)*1,"")))</f>
        <v/>
      </c>
      <c r="BL88" s="17" t="str">
        <f>IF(OR(BL$23="",ISNA($B88)),"",IF(ISBLANK($B88),"",IFERROR(_xll.BDP(TICKER,"DEEP_MEASURE_PERIOD_BROKER_VALUE","DEEP_MEASURE_ID_OVERRIDE",$C88,"DEEP_BROKER_ID_OVERRIDE",BL$24,"DEEP_PERIOD_OVERRIDE",$H$19)*1,"")))</f>
        <v/>
      </c>
      <c r="BM88" s="17" t="str">
        <f>IF(OR(BM$23="",ISNA($B88)),"",IF(ISBLANK($B88),"",IFERROR(_xll.BDP(TICKER,"DEEP_MEASURE_PERIOD_BROKER_VALUE","DEEP_MEASURE_ID_OVERRIDE",$C88,"DEEP_BROKER_ID_OVERRIDE",BM$24,"DEEP_PERIOD_OVERRIDE",$H$19)*1,"")))</f>
        <v/>
      </c>
      <c r="BN88" s="17" t="str">
        <f>IF(OR(BN$23="",ISNA($B88)),"",IF(ISBLANK($B88),"",IFERROR(_xll.BDP(TICKER,"DEEP_MEASURE_PERIOD_BROKER_VALUE","DEEP_MEASURE_ID_OVERRIDE",$C88,"DEEP_BROKER_ID_OVERRIDE",BN$24,"DEEP_PERIOD_OVERRIDE",$H$19)*1,"")))</f>
        <v/>
      </c>
      <c r="BO88" s="17" t="str">
        <f>IF(OR(BO$23="",ISNA($B88)),"",IF(ISBLANK($B88),"",IFERROR(_xll.BDP(TICKER,"DEEP_MEASURE_PERIOD_BROKER_VALUE","DEEP_MEASURE_ID_OVERRIDE",$C88,"DEEP_BROKER_ID_OVERRIDE",BO$24,"DEEP_PERIOD_OVERRIDE",$H$19)*1,"")))</f>
        <v/>
      </c>
      <c r="BP88" s="17" t="str">
        <f>IF(OR(BP$23="",ISNA($B88)),"",IF(ISBLANK($B88),"",IFERROR(_xll.BDP(TICKER,"DEEP_MEASURE_PERIOD_BROKER_VALUE","DEEP_MEASURE_ID_OVERRIDE",$C88,"DEEP_BROKER_ID_OVERRIDE",BP$24,"DEEP_PERIOD_OVERRIDE",$H$19)*1,"")))</f>
        <v/>
      </c>
      <c r="BQ88" s="17" t="str">
        <f>IF(OR(BQ$23="",ISNA($B88)),"",IF(ISBLANK($B88),"",IFERROR(_xll.BDP(TICKER,"DEEP_MEASURE_PERIOD_BROKER_VALUE","DEEP_MEASURE_ID_OVERRIDE",$C88,"DEEP_BROKER_ID_OVERRIDE",BQ$24,"DEEP_PERIOD_OVERRIDE",$H$19)*1,"")))</f>
        <v/>
      </c>
      <c r="BR88" s="17" t="str">
        <f>IF(OR(BR$23="",ISNA($B88)),"",IF(ISBLANK($B88),"",IFERROR(_xll.BDP(TICKER,"DEEP_MEASURE_PERIOD_BROKER_VALUE","DEEP_MEASURE_ID_OVERRIDE",$C88,"DEEP_BROKER_ID_OVERRIDE",BR$24,"DEEP_PERIOD_OVERRIDE",$H$19)*1,"")))</f>
        <v/>
      </c>
      <c r="BS88" s="17" t="str">
        <f>IF(OR(BS$23="",ISNA($B88)),"",IF(ISBLANK($B88),"",IFERROR(_xll.BDP(TICKER,"DEEP_MEASURE_PERIOD_BROKER_VALUE","DEEP_MEASURE_ID_OVERRIDE",$C88,"DEEP_BROKER_ID_OVERRIDE",BS$24,"DEEP_PERIOD_OVERRIDE",$H$19)*1,"")))</f>
        <v/>
      </c>
      <c r="BT88" s="17" t="str">
        <f>IF(OR(BT$23="",ISNA($B88)),"",IF(ISBLANK($B88),"",IFERROR(_xll.BDP(TICKER,"DEEP_MEASURE_PERIOD_BROKER_VALUE","DEEP_MEASURE_ID_OVERRIDE",$C88,"DEEP_BROKER_ID_OVERRIDE",BT$24,"DEEP_PERIOD_OVERRIDE",$H$19)*1,"")))</f>
        <v/>
      </c>
      <c r="BU88" s="17" t="str">
        <f>IF(OR(BU$23="",ISNA($B88)),"",IF(ISBLANK($B88),"",IFERROR(_xll.BDP(TICKER,"DEEP_MEASURE_PERIOD_BROKER_VALUE","DEEP_MEASURE_ID_OVERRIDE",$C88,"DEEP_BROKER_ID_OVERRIDE",BU$24,"DEEP_PERIOD_OVERRIDE",$H$19)*1,"")))</f>
        <v/>
      </c>
      <c r="BV88" s="17" t="str">
        <f>IF(OR(BV$23="",ISNA($B88)),"",IF(ISBLANK($B88),"",IFERROR(_xll.BDP(TICKER,"DEEP_MEASURE_PERIOD_BROKER_VALUE","DEEP_MEASURE_ID_OVERRIDE",$C88,"DEEP_BROKER_ID_OVERRIDE",BV$24,"DEEP_PERIOD_OVERRIDE",$H$19)*1,"")))</f>
        <v/>
      </c>
      <c r="BW88" s="17" t="str">
        <f>IF(OR(BW$23="",ISNA($B88)),"",IF(ISBLANK($B88),"",IFERROR(_xll.BDP(TICKER,"DEEP_MEASURE_PERIOD_BROKER_VALUE","DEEP_MEASURE_ID_OVERRIDE",$C88,"DEEP_BROKER_ID_OVERRIDE",BW$24,"DEEP_PERIOD_OVERRIDE",$H$19)*1,"")))</f>
        <v/>
      </c>
      <c r="BX88" s="17" t="str">
        <f>IF(OR(BX$23="",ISNA($B88)),"",IF(ISBLANK($B88),"",IFERROR(_xll.BDP(TICKER,"DEEP_MEASURE_PERIOD_BROKER_VALUE","DEEP_MEASURE_ID_OVERRIDE",$C88,"DEEP_BROKER_ID_OVERRIDE",BX$24,"DEEP_PERIOD_OVERRIDE",$H$19)*1,"")))</f>
        <v/>
      </c>
      <c r="BY88" s="17" t="str">
        <f>IF(OR(BY$23="",ISNA($B88)),"",IF(ISBLANK($B88),"",IFERROR(_xll.BDP(TICKER,"DEEP_MEASURE_PERIOD_BROKER_VALUE","DEEP_MEASURE_ID_OVERRIDE",$C88,"DEEP_BROKER_ID_OVERRIDE",BY$24,"DEEP_PERIOD_OVERRIDE",$H$19)*1,"")))</f>
        <v/>
      </c>
      <c r="BZ88" s="17" t="str">
        <f>IF(OR(BZ$23="",ISNA($B88)),"",IF(ISBLANK($B88),"",IFERROR(_xll.BDP(TICKER,"DEEP_MEASURE_PERIOD_BROKER_VALUE","DEEP_MEASURE_ID_OVERRIDE",$C88,"DEEP_BROKER_ID_OVERRIDE",BZ$24,"DEEP_PERIOD_OVERRIDE",$H$19)*1,"")))</f>
        <v/>
      </c>
    </row>
    <row r="89" spans="2:78" x14ac:dyDescent="0.25">
      <c r="B89" t="s">
        <v>131</v>
      </c>
      <c r="C89">
        <v>3315</v>
      </c>
      <c r="H89" t="str">
        <f t="shared" si="1"/>
        <v>Cost of Revenue &gt; Personnel &amp; Overhead</v>
      </c>
      <c r="I89" t="str">
        <f>IF(OR(I$23="",ISNA($B89)),"",IF(ISBLANK($B89),"",IFERROR(_xll.BDP(TICKER,"DEEP_MEASURE_PERIOD_BROKER_VALUE","DEEP_MEASURE_ID_OVERRIDE",$C89,"DEEP_PERIOD_OVERRIDE",$H$19)*1,"")))</f>
        <v/>
      </c>
      <c r="J89" t="e">
        <f>IF(OR(J$23="",ISNA($B89)),"",IF(ISBLANK($B89),"",IFERROR(_xll.BDP(TICKER,"DEEP_MEASURE_PERIOD_BROKER_VALUE","DEEP_MEASURE_ID_OVERRIDE",$C89,"DEEP_BROKER_ID_OVERRIDE",J$24,"DEEP_PERIOD_OVERRIDE",$H$19)*1,"")))</f>
        <v>#REF!</v>
      </c>
      <c r="K89" s="17" t="str">
        <f>IF(OR(K$23="",ISNA($B89)),"",IF(ISBLANK($B89),"",IFERROR(_xll.BDP(TICKER,"DEEP_MEASURE_PERIOD_BROKER_VALUE","DEEP_MEASURE_ID_OVERRIDE",$C89,"DEEP_BROKER_ID_OVERRIDE",K$24,"DEEP_PERIOD_OVERRIDE",$H$19)*1,"")))</f>
        <v/>
      </c>
      <c r="L89" s="17" t="str">
        <f>IF(OR(L$23="",ISNA($B89)),"",IF(ISBLANK($B89),"",IFERROR(_xll.BDP(TICKER,"DEEP_MEASURE_PERIOD_BROKER_VALUE","DEEP_MEASURE_ID_OVERRIDE",$C89,"DEEP_BROKER_ID_OVERRIDE",L$24,"DEEP_PERIOD_OVERRIDE",$H$19)*1,"")))</f>
        <v/>
      </c>
      <c r="M89" s="17" t="str">
        <f>IF(OR(M$23="",ISNA($B89)),"",IF(ISBLANK($B89),"",IFERROR(_xll.BDP(TICKER,"DEEP_MEASURE_PERIOD_BROKER_VALUE","DEEP_MEASURE_ID_OVERRIDE",$C89,"DEEP_BROKER_ID_OVERRIDE",M$24,"DEEP_PERIOD_OVERRIDE",$H$19)*1,"")))</f>
        <v/>
      </c>
      <c r="N89" s="17" t="str">
        <f>IF(OR(N$23="",ISNA($B89)),"",IF(ISBLANK($B89),"",IFERROR(_xll.BDP(TICKER,"DEEP_MEASURE_PERIOD_BROKER_VALUE","DEEP_MEASURE_ID_OVERRIDE",$C89,"DEEP_BROKER_ID_OVERRIDE",N$24,"DEEP_PERIOD_OVERRIDE",$H$19)*1,"")))</f>
        <v/>
      </c>
      <c r="O89" s="17" t="str">
        <f>IF(OR(O$23="",ISNA($B89)),"",IF(ISBLANK($B89),"",IFERROR(_xll.BDP(TICKER,"DEEP_MEASURE_PERIOD_BROKER_VALUE","DEEP_MEASURE_ID_OVERRIDE",$C89,"DEEP_BROKER_ID_OVERRIDE",O$24,"DEEP_PERIOD_OVERRIDE",$H$19)*1,"")))</f>
        <v/>
      </c>
      <c r="P89" s="17" t="str">
        <f>IF(OR(P$23="",ISNA($B89)),"",IF(ISBLANK($B89),"",IFERROR(_xll.BDP(TICKER,"DEEP_MEASURE_PERIOD_BROKER_VALUE","DEEP_MEASURE_ID_OVERRIDE",$C89,"DEEP_BROKER_ID_OVERRIDE",P$24,"DEEP_PERIOD_OVERRIDE",$H$19)*1,"")))</f>
        <v/>
      </c>
      <c r="Q89" s="17" t="str">
        <f>IF(OR(Q$23="",ISNA($B89)),"",IF(ISBLANK($B89),"",IFERROR(_xll.BDP(TICKER,"DEEP_MEASURE_PERIOD_BROKER_VALUE","DEEP_MEASURE_ID_OVERRIDE",$C89,"DEEP_BROKER_ID_OVERRIDE",Q$24,"DEEP_PERIOD_OVERRIDE",$H$19)*1,"")))</f>
        <v/>
      </c>
      <c r="R89" s="17" t="str">
        <f>IF(OR(R$23="",ISNA($B89)),"",IF(ISBLANK($B89),"",IFERROR(_xll.BDP(TICKER,"DEEP_MEASURE_PERIOD_BROKER_VALUE","DEEP_MEASURE_ID_OVERRIDE",$C89,"DEEP_BROKER_ID_OVERRIDE",R$24,"DEEP_PERIOD_OVERRIDE",$H$19)*1,"")))</f>
        <v/>
      </c>
      <c r="S89" s="17" t="str">
        <f>IF(OR(S$23="",ISNA($B89)),"",IF(ISBLANK($B89),"",IFERROR(_xll.BDP(TICKER,"DEEP_MEASURE_PERIOD_BROKER_VALUE","DEEP_MEASURE_ID_OVERRIDE",$C89,"DEEP_BROKER_ID_OVERRIDE",S$24,"DEEP_PERIOD_OVERRIDE",$H$19)*1,"")))</f>
        <v/>
      </c>
      <c r="T89" s="17" t="str">
        <f>IF(OR(T$23="",ISNA($B89)),"",IF(ISBLANK($B89),"",IFERROR(_xll.BDP(TICKER,"DEEP_MEASURE_PERIOD_BROKER_VALUE","DEEP_MEASURE_ID_OVERRIDE",$C89,"DEEP_BROKER_ID_OVERRIDE",T$24,"DEEP_PERIOD_OVERRIDE",$H$19)*1,"")))</f>
        <v/>
      </c>
      <c r="U89" s="17" t="str">
        <f>IF(OR(U$23="",ISNA($B89)),"",IF(ISBLANK($B89),"",IFERROR(_xll.BDP(TICKER,"DEEP_MEASURE_PERIOD_BROKER_VALUE","DEEP_MEASURE_ID_OVERRIDE",$C89,"DEEP_BROKER_ID_OVERRIDE",U$24,"DEEP_PERIOD_OVERRIDE",$H$19)*1,"")))</f>
        <v/>
      </c>
      <c r="V89" s="17" t="str">
        <f>IF(OR(V$23="",ISNA($B89)),"",IF(ISBLANK($B89),"",IFERROR(_xll.BDP(TICKER,"DEEP_MEASURE_PERIOD_BROKER_VALUE","DEEP_MEASURE_ID_OVERRIDE",$C89,"DEEP_BROKER_ID_OVERRIDE",V$24,"DEEP_PERIOD_OVERRIDE",$H$19)*1,"")))</f>
        <v/>
      </c>
      <c r="W89" s="17" t="str">
        <f>IF(OR(W$23="",ISNA($B89)),"",IF(ISBLANK($B89),"",IFERROR(_xll.BDP(TICKER,"DEEP_MEASURE_PERIOD_BROKER_VALUE","DEEP_MEASURE_ID_OVERRIDE",$C89,"DEEP_BROKER_ID_OVERRIDE",W$24,"DEEP_PERIOD_OVERRIDE",$H$19)*1,"")))</f>
        <v/>
      </c>
      <c r="X89" s="17" t="str">
        <f>IF(OR(X$23="",ISNA($B89)),"",IF(ISBLANK($B89),"",IFERROR(_xll.BDP(TICKER,"DEEP_MEASURE_PERIOD_BROKER_VALUE","DEEP_MEASURE_ID_OVERRIDE",$C89,"DEEP_BROKER_ID_OVERRIDE",X$24,"DEEP_PERIOD_OVERRIDE",$H$19)*1,"")))</f>
        <v/>
      </c>
      <c r="Y89" s="17" t="str">
        <f>IF(OR(Y$23="",ISNA($B89)),"",IF(ISBLANK($B89),"",IFERROR(_xll.BDP(TICKER,"DEEP_MEASURE_PERIOD_BROKER_VALUE","DEEP_MEASURE_ID_OVERRIDE",$C89,"DEEP_BROKER_ID_OVERRIDE",Y$24,"DEEP_PERIOD_OVERRIDE",$H$19)*1,"")))</f>
        <v/>
      </c>
      <c r="Z89" s="17" t="str">
        <f>IF(OR(Z$23="",ISNA($B89)),"",IF(ISBLANK($B89),"",IFERROR(_xll.BDP(TICKER,"DEEP_MEASURE_PERIOD_BROKER_VALUE","DEEP_MEASURE_ID_OVERRIDE",$C89,"DEEP_BROKER_ID_OVERRIDE",Z$24,"DEEP_PERIOD_OVERRIDE",$H$19)*1,"")))</f>
        <v/>
      </c>
      <c r="AA89" s="17" t="str">
        <f>IF(OR(AA$23="",ISNA($B89)),"",IF(ISBLANK($B89),"",IFERROR(_xll.BDP(TICKER,"DEEP_MEASURE_PERIOD_BROKER_VALUE","DEEP_MEASURE_ID_OVERRIDE",$C89,"DEEP_BROKER_ID_OVERRIDE",AA$24,"DEEP_PERIOD_OVERRIDE",$H$19)*1,"")))</f>
        <v/>
      </c>
      <c r="AB89" s="17" t="str">
        <f>IF(OR(AB$23="",ISNA($B89)),"",IF(ISBLANK($B89),"",IFERROR(_xll.BDP(TICKER,"DEEP_MEASURE_PERIOD_BROKER_VALUE","DEEP_MEASURE_ID_OVERRIDE",$C89,"DEEP_BROKER_ID_OVERRIDE",AB$24,"DEEP_PERIOD_OVERRIDE",$H$19)*1,"")))</f>
        <v/>
      </c>
      <c r="AC89" s="17" t="str">
        <f>IF(OR(AC$23="",ISNA($B89)),"",IF(ISBLANK($B89),"",IFERROR(_xll.BDP(TICKER,"DEEP_MEASURE_PERIOD_BROKER_VALUE","DEEP_MEASURE_ID_OVERRIDE",$C89,"DEEP_BROKER_ID_OVERRIDE",AC$24,"DEEP_PERIOD_OVERRIDE",$H$19)*1,"")))</f>
        <v/>
      </c>
      <c r="AD89" s="17" t="str">
        <f>IF(OR(AD$23="",ISNA($B89)),"",IF(ISBLANK($B89),"",IFERROR(_xll.BDP(TICKER,"DEEP_MEASURE_PERIOD_BROKER_VALUE","DEEP_MEASURE_ID_OVERRIDE",$C89,"DEEP_BROKER_ID_OVERRIDE",AD$24,"DEEP_PERIOD_OVERRIDE",$H$19)*1,"")))</f>
        <v/>
      </c>
      <c r="AE89" s="17" t="str">
        <f>IF(OR(AE$23="",ISNA($B89)),"",IF(ISBLANK($B89),"",IFERROR(_xll.BDP(TICKER,"DEEP_MEASURE_PERIOD_BROKER_VALUE","DEEP_MEASURE_ID_OVERRIDE",$C89,"DEEP_BROKER_ID_OVERRIDE",AE$24,"DEEP_PERIOD_OVERRIDE",$H$19)*1,"")))</f>
        <v/>
      </c>
      <c r="AF89" s="17" t="str">
        <f>IF(OR(AF$23="",ISNA($B89)),"",IF(ISBLANK($B89),"",IFERROR(_xll.BDP(TICKER,"DEEP_MEASURE_PERIOD_BROKER_VALUE","DEEP_MEASURE_ID_OVERRIDE",$C89,"DEEP_BROKER_ID_OVERRIDE",AF$24,"DEEP_PERIOD_OVERRIDE",$H$19)*1,"")))</f>
        <v/>
      </c>
      <c r="AG89" s="17" t="str">
        <f>IF(OR(AG$23="",ISNA($B89)),"",IF(ISBLANK($B89),"",IFERROR(_xll.BDP(TICKER,"DEEP_MEASURE_PERIOD_BROKER_VALUE","DEEP_MEASURE_ID_OVERRIDE",$C89,"DEEP_BROKER_ID_OVERRIDE",AG$24,"DEEP_PERIOD_OVERRIDE",$H$19)*1,"")))</f>
        <v/>
      </c>
      <c r="AH89" s="17" t="str">
        <f>IF(OR(AH$23="",ISNA($B89)),"",IF(ISBLANK($B89),"",IFERROR(_xll.BDP(TICKER,"DEEP_MEASURE_PERIOD_BROKER_VALUE","DEEP_MEASURE_ID_OVERRIDE",$C89,"DEEP_BROKER_ID_OVERRIDE",AH$24,"DEEP_PERIOD_OVERRIDE",$H$19)*1,"")))</f>
        <v/>
      </c>
      <c r="AI89" s="17" t="str">
        <f>IF(OR(AI$23="",ISNA($B89)),"",IF(ISBLANK($B89),"",IFERROR(_xll.BDP(TICKER,"DEEP_MEASURE_PERIOD_BROKER_VALUE","DEEP_MEASURE_ID_OVERRIDE",$C89,"DEEP_BROKER_ID_OVERRIDE",AI$24,"DEEP_PERIOD_OVERRIDE",$H$19)*1,"")))</f>
        <v/>
      </c>
      <c r="AJ89" s="17" t="str">
        <f>IF(OR(AJ$23="",ISNA($B89)),"",IF(ISBLANK($B89),"",IFERROR(_xll.BDP(TICKER,"DEEP_MEASURE_PERIOD_BROKER_VALUE","DEEP_MEASURE_ID_OVERRIDE",$C89,"DEEP_BROKER_ID_OVERRIDE",AJ$24,"DEEP_PERIOD_OVERRIDE",$H$19)*1,"")))</f>
        <v/>
      </c>
      <c r="AK89" s="17" t="str">
        <f>IF(OR(AK$23="",ISNA($B89)),"",IF(ISBLANK($B89),"",IFERROR(_xll.BDP(TICKER,"DEEP_MEASURE_PERIOD_BROKER_VALUE","DEEP_MEASURE_ID_OVERRIDE",$C89,"DEEP_BROKER_ID_OVERRIDE",AK$24,"DEEP_PERIOD_OVERRIDE",$H$19)*1,"")))</f>
        <v/>
      </c>
      <c r="AL89" s="17" t="str">
        <f>IF(OR(AL$23="",ISNA($B89)),"",IF(ISBLANK($B89),"",IFERROR(_xll.BDP(TICKER,"DEEP_MEASURE_PERIOD_BROKER_VALUE","DEEP_MEASURE_ID_OVERRIDE",$C89,"DEEP_BROKER_ID_OVERRIDE",AL$24,"DEEP_PERIOD_OVERRIDE",$H$19)*1,"")))</f>
        <v/>
      </c>
      <c r="AM89" s="17" t="str">
        <f>IF(OR(AM$23="",ISNA($B89)),"",IF(ISBLANK($B89),"",IFERROR(_xll.BDP(TICKER,"DEEP_MEASURE_PERIOD_BROKER_VALUE","DEEP_MEASURE_ID_OVERRIDE",$C89,"DEEP_BROKER_ID_OVERRIDE",AM$24,"DEEP_PERIOD_OVERRIDE",$H$19)*1,"")))</f>
        <v/>
      </c>
      <c r="AN89" s="17" t="str">
        <f>IF(OR(AN$23="",ISNA($B89)),"",IF(ISBLANK($B89),"",IFERROR(_xll.BDP(TICKER,"DEEP_MEASURE_PERIOD_BROKER_VALUE","DEEP_MEASURE_ID_OVERRIDE",$C89,"DEEP_BROKER_ID_OVERRIDE",AN$24,"DEEP_PERIOD_OVERRIDE",$H$19)*1,"")))</f>
        <v/>
      </c>
      <c r="AO89" s="17" t="str">
        <f>IF(OR(AO$23="",ISNA($B89)),"",IF(ISBLANK($B89),"",IFERROR(_xll.BDP(TICKER,"DEEP_MEASURE_PERIOD_BROKER_VALUE","DEEP_MEASURE_ID_OVERRIDE",$C89,"DEEP_BROKER_ID_OVERRIDE",AO$24,"DEEP_PERIOD_OVERRIDE",$H$19)*1,"")))</f>
        <v/>
      </c>
      <c r="AP89" s="17" t="str">
        <f>IF(OR(AP$23="",ISNA($B89)),"",IF(ISBLANK($B89),"",IFERROR(_xll.BDP(TICKER,"DEEP_MEASURE_PERIOD_BROKER_VALUE","DEEP_MEASURE_ID_OVERRIDE",$C89,"DEEP_BROKER_ID_OVERRIDE",AP$24,"DEEP_PERIOD_OVERRIDE",$H$19)*1,"")))</f>
        <v/>
      </c>
      <c r="AQ89" s="17" t="str">
        <f>IF(OR(AQ$23="",ISNA($B89)),"",IF(ISBLANK($B89),"",IFERROR(_xll.BDP(TICKER,"DEEP_MEASURE_PERIOD_BROKER_VALUE","DEEP_MEASURE_ID_OVERRIDE",$C89,"DEEP_BROKER_ID_OVERRIDE",AQ$24,"DEEP_PERIOD_OVERRIDE",$H$19)*1,"")))</f>
        <v/>
      </c>
      <c r="AR89" s="17" t="str">
        <f>IF(OR(AR$23="",ISNA($B89)),"",IF(ISBLANK($B89),"",IFERROR(_xll.BDP(TICKER,"DEEP_MEASURE_PERIOD_BROKER_VALUE","DEEP_MEASURE_ID_OVERRIDE",$C89,"DEEP_BROKER_ID_OVERRIDE",AR$24,"DEEP_PERIOD_OVERRIDE",$H$19)*1,"")))</f>
        <v/>
      </c>
      <c r="AS89" s="17" t="str">
        <f>IF(OR(AS$23="",ISNA($B89)),"",IF(ISBLANK($B89),"",IFERROR(_xll.BDP(TICKER,"DEEP_MEASURE_PERIOD_BROKER_VALUE","DEEP_MEASURE_ID_OVERRIDE",$C89,"DEEP_BROKER_ID_OVERRIDE",AS$24,"DEEP_PERIOD_OVERRIDE",$H$19)*1,"")))</f>
        <v/>
      </c>
      <c r="AT89" s="17" t="str">
        <f>IF(OR(AT$23="",ISNA($B89)),"",IF(ISBLANK($B89),"",IFERROR(_xll.BDP(TICKER,"DEEP_MEASURE_PERIOD_BROKER_VALUE","DEEP_MEASURE_ID_OVERRIDE",$C89,"DEEP_BROKER_ID_OVERRIDE",AT$24,"DEEP_PERIOD_OVERRIDE",$H$19)*1,"")))</f>
        <v/>
      </c>
      <c r="AU89" s="17" t="str">
        <f>IF(OR(AU$23="",ISNA($B89)),"",IF(ISBLANK($B89),"",IFERROR(_xll.BDP(TICKER,"DEEP_MEASURE_PERIOD_BROKER_VALUE","DEEP_MEASURE_ID_OVERRIDE",$C89,"DEEP_BROKER_ID_OVERRIDE",AU$24,"DEEP_PERIOD_OVERRIDE",$H$19)*1,"")))</f>
        <v/>
      </c>
      <c r="AV89" s="17" t="str">
        <f>IF(OR(AV$23="",ISNA($B89)),"",IF(ISBLANK($B89),"",IFERROR(_xll.BDP(TICKER,"DEEP_MEASURE_PERIOD_BROKER_VALUE","DEEP_MEASURE_ID_OVERRIDE",$C89,"DEEP_BROKER_ID_OVERRIDE",AV$24,"DEEP_PERIOD_OVERRIDE",$H$19)*1,"")))</f>
        <v/>
      </c>
      <c r="AW89" s="17" t="str">
        <f>IF(OR(AW$23="",ISNA($B89)),"",IF(ISBLANK($B89),"",IFERROR(_xll.BDP(TICKER,"DEEP_MEASURE_PERIOD_BROKER_VALUE","DEEP_MEASURE_ID_OVERRIDE",$C89,"DEEP_BROKER_ID_OVERRIDE",AW$24,"DEEP_PERIOD_OVERRIDE",$H$19)*1,"")))</f>
        <v/>
      </c>
      <c r="AX89" s="17" t="str">
        <f>IF(OR(AX$23="",ISNA($B89)),"",IF(ISBLANK($B89),"",IFERROR(_xll.BDP(TICKER,"DEEP_MEASURE_PERIOD_BROKER_VALUE","DEEP_MEASURE_ID_OVERRIDE",$C89,"DEEP_BROKER_ID_OVERRIDE",AX$24,"DEEP_PERIOD_OVERRIDE",$H$19)*1,"")))</f>
        <v/>
      </c>
      <c r="AY89" s="17" t="str">
        <f>IF(OR(AY$23="",ISNA($B89)),"",IF(ISBLANK($B89),"",IFERROR(_xll.BDP(TICKER,"DEEP_MEASURE_PERIOD_BROKER_VALUE","DEEP_MEASURE_ID_OVERRIDE",$C89,"DEEP_BROKER_ID_OVERRIDE",AY$24,"DEEP_PERIOD_OVERRIDE",$H$19)*1,"")))</f>
        <v/>
      </c>
      <c r="AZ89" s="17" t="str">
        <f>IF(OR(AZ$23="",ISNA($B89)),"",IF(ISBLANK($B89),"",IFERROR(_xll.BDP(TICKER,"DEEP_MEASURE_PERIOD_BROKER_VALUE","DEEP_MEASURE_ID_OVERRIDE",$C89,"DEEP_BROKER_ID_OVERRIDE",AZ$24,"DEEP_PERIOD_OVERRIDE",$H$19)*1,"")))</f>
        <v/>
      </c>
      <c r="BA89" s="17" t="str">
        <f>IF(OR(BA$23="",ISNA($B89)),"",IF(ISBLANK($B89),"",IFERROR(_xll.BDP(TICKER,"DEEP_MEASURE_PERIOD_BROKER_VALUE","DEEP_MEASURE_ID_OVERRIDE",$C89,"DEEP_BROKER_ID_OVERRIDE",BA$24,"DEEP_PERIOD_OVERRIDE",$H$19)*1,"")))</f>
        <v/>
      </c>
      <c r="BB89" s="17" t="str">
        <f>IF(OR(BB$23="",ISNA($B89)),"",IF(ISBLANK($B89),"",IFERROR(_xll.BDP(TICKER,"DEEP_MEASURE_PERIOD_BROKER_VALUE","DEEP_MEASURE_ID_OVERRIDE",$C89,"DEEP_BROKER_ID_OVERRIDE",BB$24,"DEEP_PERIOD_OVERRIDE",$H$19)*1,"")))</f>
        <v/>
      </c>
      <c r="BC89" s="17" t="str">
        <f>IF(OR(BC$23="",ISNA($B89)),"",IF(ISBLANK($B89),"",IFERROR(_xll.BDP(TICKER,"DEEP_MEASURE_PERIOD_BROKER_VALUE","DEEP_MEASURE_ID_OVERRIDE",$C89,"DEEP_BROKER_ID_OVERRIDE",BC$24,"DEEP_PERIOD_OVERRIDE",$H$19)*1,"")))</f>
        <v/>
      </c>
      <c r="BD89" s="17" t="str">
        <f>IF(OR(BD$23="",ISNA($B89)),"",IF(ISBLANK($B89),"",IFERROR(_xll.BDP(TICKER,"DEEP_MEASURE_PERIOD_BROKER_VALUE","DEEP_MEASURE_ID_OVERRIDE",$C89,"DEEP_BROKER_ID_OVERRIDE",BD$24,"DEEP_PERIOD_OVERRIDE",$H$19)*1,"")))</f>
        <v/>
      </c>
      <c r="BE89" s="17" t="str">
        <f>IF(OR(BE$23="",ISNA($B89)),"",IF(ISBLANK($B89),"",IFERROR(_xll.BDP(TICKER,"DEEP_MEASURE_PERIOD_BROKER_VALUE","DEEP_MEASURE_ID_OVERRIDE",$C89,"DEEP_BROKER_ID_OVERRIDE",BE$24,"DEEP_PERIOD_OVERRIDE",$H$19)*1,"")))</f>
        <v/>
      </c>
      <c r="BF89" s="17" t="str">
        <f>IF(OR(BF$23="",ISNA($B89)),"",IF(ISBLANK($B89),"",IFERROR(_xll.BDP(TICKER,"DEEP_MEASURE_PERIOD_BROKER_VALUE","DEEP_MEASURE_ID_OVERRIDE",$C89,"DEEP_BROKER_ID_OVERRIDE",BF$24,"DEEP_PERIOD_OVERRIDE",$H$19)*1,"")))</f>
        <v/>
      </c>
      <c r="BG89" s="17" t="str">
        <f>IF(OR(BG$23="",ISNA($B89)),"",IF(ISBLANK($B89),"",IFERROR(_xll.BDP(TICKER,"DEEP_MEASURE_PERIOD_BROKER_VALUE","DEEP_MEASURE_ID_OVERRIDE",$C89,"DEEP_BROKER_ID_OVERRIDE",BG$24,"DEEP_PERIOD_OVERRIDE",$H$19)*1,"")))</f>
        <v/>
      </c>
      <c r="BH89" s="17" t="str">
        <f>IF(OR(BH$23="",ISNA($B89)),"",IF(ISBLANK($B89),"",IFERROR(_xll.BDP(TICKER,"DEEP_MEASURE_PERIOD_BROKER_VALUE","DEEP_MEASURE_ID_OVERRIDE",$C89,"DEEP_BROKER_ID_OVERRIDE",BH$24,"DEEP_PERIOD_OVERRIDE",$H$19)*1,"")))</f>
        <v/>
      </c>
      <c r="BI89" s="17" t="str">
        <f>IF(OR(BI$23="",ISNA($B89)),"",IF(ISBLANK($B89),"",IFERROR(_xll.BDP(TICKER,"DEEP_MEASURE_PERIOD_BROKER_VALUE","DEEP_MEASURE_ID_OVERRIDE",$C89,"DEEP_BROKER_ID_OVERRIDE",BI$24,"DEEP_PERIOD_OVERRIDE",$H$19)*1,"")))</f>
        <v/>
      </c>
      <c r="BJ89" s="17" t="str">
        <f>IF(OR(BJ$23="",ISNA($B89)),"",IF(ISBLANK($B89),"",IFERROR(_xll.BDP(TICKER,"DEEP_MEASURE_PERIOD_BROKER_VALUE","DEEP_MEASURE_ID_OVERRIDE",$C89,"DEEP_BROKER_ID_OVERRIDE",BJ$24,"DEEP_PERIOD_OVERRIDE",$H$19)*1,"")))</f>
        <v/>
      </c>
      <c r="BK89" s="17" t="str">
        <f>IF(OR(BK$23="",ISNA($B89)),"",IF(ISBLANK($B89),"",IFERROR(_xll.BDP(TICKER,"DEEP_MEASURE_PERIOD_BROKER_VALUE","DEEP_MEASURE_ID_OVERRIDE",$C89,"DEEP_BROKER_ID_OVERRIDE",BK$24,"DEEP_PERIOD_OVERRIDE",$H$19)*1,"")))</f>
        <v/>
      </c>
      <c r="BL89" s="17" t="str">
        <f>IF(OR(BL$23="",ISNA($B89)),"",IF(ISBLANK($B89),"",IFERROR(_xll.BDP(TICKER,"DEEP_MEASURE_PERIOD_BROKER_VALUE","DEEP_MEASURE_ID_OVERRIDE",$C89,"DEEP_BROKER_ID_OVERRIDE",BL$24,"DEEP_PERIOD_OVERRIDE",$H$19)*1,"")))</f>
        <v/>
      </c>
      <c r="BM89" s="17" t="str">
        <f>IF(OR(BM$23="",ISNA($B89)),"",IF(ISBLANK($B89),"",IFERROR(_xll.BDP(TICKER,"DEEP_MEASURE_PERIOD_BROKER_VALUE","DEEP_MEASURE_ID_OVERRIDE",$C89,"DEEP_BROKER_ID_OVERRIDE",BM$24,"DEEP_PERIOD_OVERRIDE",$H$19)*1,"")))</f>
        <v/>
      </c>
      <c r="BN89" s="17" t="str">
        <f>IF(OR(BN$23="",ISNA($B89)),"",IF(ISBLANK($B89),"",IFERROR(_xll.BDP(TICKER,"DEEP_MEASURE_PERIOD_BROKER_VALUE","DEEP_MEASURE_ID_OVERRIDE",$C89,"DEEP_BROKER_ID_OVERRIDE",BN$24,"DEEP_PERIOD_OVERRIDE",$H$19)*1,"")))</f>
        <v/>
      </c>
      <c r="BO89" s="17" t="str">
        <f>IF(OR(BO$23="",ISNA($B89)),"",IF(ISBLANK($B89),"",IFERROR(_xll.BDP(TICKER,"DEEP_MEASURE_PERIOD_BROKER_VALUE","DEEP_MEASURE_ID_OVERRIDE",$C89,"DEEP_BROKER_ID_OVERRIDE",BO$24,"DEEP_PERIOD_OVERRIDE",$H$19)*1,"")))</f>
        <v/>
      </c>
      <c r="BP89" s="17" t="str">
        <f>IF(OR(BP$23="",ISNA($B89)),"",IF(ISBLANK($B89),"",IFERROR(_xll.BDP(TICKER,"DEEP_MEASURE_PERIOD_BROKER_VALUE","DEEP_MEASURE_ID_OVERRIDE",$C89,"DEEP_BROKER_ID_OVERRIDE",BP$24,"DEEP_PERIOD_OVERRIDE",$H$19)*1,"")))</f>
        <v/>
      </c>
      <c r="BQ89" s="17" t="str">
        <f>IF(OR(BQ$23="",ISNA($B89)),"",IF(ISBLANK($B89),"",IFERROR(_xll.BDP(TICKER,"DEEP_MEASURE_PERIOD_BROKER_VALUE","DEEP_MEASURE_ID_OVERRIDE",$C89,"DEEP_BROKER_ID_OVERRIDE",BQ$24,"DEEP_PERIOD_OVERRIDE",$H$19)*1,"")))</f>
        <v/>
      </c>
      <c r="BR89" s="17" t="str">
        <f>IF(OR(BR$23="",ISNA($B89)),"",IF(ISBLANK($B89),"",IFERROR(_xll.BDP(TICKER,"DEEP_MEASURE_PERIOD_BROKER_VALUE","DEEP_MEASURE_ID_OVERRIDE",$C89,"DEEP_BROKER_ID_OVERRIDE",BR$24,"DEEP_PERIOD_OVERRIDE",$H$19)*1,"")))</f>
        <v/>
      </c>
      <c r="BS89" s="17" t="str">
        <f>IF(OR(BS$23="",ISNA($B89)),"",IF(ISBLANK($B89),"",IFERROR(_xll.BDP(TICKER,"DEEP_MEASURE_PERIOD_BROKER_VALUE","DEEP_MEASURE_ID_OVERRIDE",$C89,"DEEP_BROKER_ID_OVERRIDE",BS$24,"DEEP_PERIOD_OVERRIDE",$H$19)*1,"")))</f>
        <v/>
      </c>
      <c r="BT89" s="17" t="str">
        <f>IF(OR(BT$23="",ISNA($B89)),"",IF(ISBLANK($B89),"",IFERROR(_xll.BDP(TICKER,"DEEP_MEASURE_PERIOD_BROKER_VALUE","DEEP_MEASURE_ID_OVERRIDE",$C89,"DEEP_BROKER_ID_OVERRIDE",BT$24,"DEEP_PERIOD_OVERRIDE",$H$19)*1,"")))</f>
        <v/>
      </c>
      <c r="BU89" s="17" t="str">
        <f>IF(OR(BU$23="",ISNA($B89)),"",IF(ISBLANK($B89),"",IFERROR(_xll.BDP(TICKER,"DEEP_MEASURE_PERIOD_BROKER_VALUE","DEEP_MEASURE_ID_OVERRIDE",$C89,"DEEP_BROKER_ID_OVERRIDE",BU$24,"DEEP_PERIOD_OVERRIDE",$H$19)*1,"")))</f>
        <v/>
      </c>
      <c r="BV89" s="17" t="str">
        <f>IF(OR(BV$23="",ISNA($B89)),"",IF(ISBLANK($B89),"",IFERROR(_xll.BDP(TICKER,"DEEP_MEASURE_PERIOD_BROKER_VALUE","DEEP_MEASURE_ID_OVERRIDE",$C89,"DEEP_BROKER_ID_OVERRIDE",BV$24,"DEEP_PERIOD_OVERRIDE",$H$19)*1,"")))</f>
        <v/>
      </c>
      <c r="BW89" s="17" t="str">
        <f>IF(OR(BW$23="",ISNA($B89)),"",IF(ISBLANK($B89),"",IFERROR(_xll.BDP(TICKER,"DEEP_MEASURE_PERIOD_BROKER_VALUE","DEEP_MEASURE_ID_OVERRIDE",$C89,"DEEP_BROKER_ID_OVERRIDE",BW$24,"DEEP_PERIOD_OVERRIDE",$H$19)*1,"")))</f>
        <v/>
      </c>
      <c r="BX89" s="17" t="str">
        <f>IF(OR(BX$23="",ISNA($B89)),"",IF(ISBLANK($B89),"",IFERROR(_xll.BDP(TICKER,"DEEP_MEASURE_PERIOD_BROKER_VALUE","DEEP_MEASURE_ID_OVERRIDE",$C89,"DEEP_BROKER_ID_OVERRIDE",BX$24,"DEEP_PERIOD_OVERRIDE",$H$19)*1,"")))</f>
        <v/>
      </c>
      <c r="BY89" s="17" t="str">
        <f>IF(OR(BY$23="",ISNA($B89)),"",IF(ISBLANK($B89),"",IFERROR(_xll.BDP(TICKER,"DEEP_MEASURE_PERIOD_BROKER_VALUE","DEEP_MEASURE_ID_OVERRIDE",$C89,"DEEP_BROKER_ID_OVERRIDE",BY$24,"DEEP_PERIOD_OVERRIDE",$H$19)*1,"")))</f>
        <v/>
      </c>
      <c r="BZ89" s="17" t="str">
        <f>IF(OR(BZ$23="",ISNA($B89)),"",IF(ISBLANK($B89),"",IFERROR(_xll.BDP(TICKER,"DEEP_MEASURE_PERIOD_BROKER_VALUE","DEEP_MEASURE_ID_OVERRIDE",$C89,"DEEP_BROKER_ID_OVERRIDE",BZ$24,"DEEP_PERIOD_OVERRIDE",$H$19)*1,"")))</f>
        <v/>
      </c>
    </row>
    <row r="90" spans="2:78" x14ac:dyDescent="0.25">
      <c r="B90" t="s">
        <v>14</v>
      </c>
      <c r="C90">
        <v>529</v>
      </c>
      <c r="H90" t="str">
        <f t="shared" ref="H90:H153" si="2">IF(ISNA($B90),"",IF(ISBLANK($B90),"",$B90))</f>
        <v>Gross Profit</v>
      </c>
      <c r="I90" t="str">
        <f>IF(OR(I$23="",ISNA($B90)),"",IF(ISBLANK($B90),"",IFERROR(_xll.BDP(TICKER,"DEEP_MEASURE_PERIOD_BROKER_VALUE","DEEP_MEASURE_ID_OVERRIDE",$C90,"DEEP_PERIOD_OVERRIDE",$H$19)*1,"")))</f>
        <v/>
      </c>
      <c r="J90" t="e">
        <f>IF(OR(J$23="",ISNA($B90)),"",IF(ISBLANK($B90),"",IFERROR(_xll.BDP(TICKER,"DEEP_MEASURE_PERIOD_BROKER_VALUE","DEEP_MEASURE_ID_OVERRIDE",$C90,"DEEP_BROKER_ID_OVERRIDE",J$24,"DEEP_PERIOD_OVERRIDE",$H$19)*1,"")))</f>
        <v>#REF!</v>
      </c>
      <c r="K90" s="17" t="str">
        <f>IF(OR(K$23="",ISNA($B90)),"",IF(ISBLANK($B90),"",IFERROR(_xll.BDP(TICKER,"DEEP_MEASURE_PERIOD_BROKER_VALUE","DEEP_MEASURE_ID_OVERRIDE",$C90,"DEEP_BROKER_ID_OVERRIDE",K$24,"DEEP_PERIOD_OVERRIDE",$H$19)*1,"")))</f>
        <v/>
      </c>
      <c r="L90" s="17" t="str">
        <f>IF(OR(L$23="",ISNA($B90)),"",IF(ISBLANK($B90),"",IFERROR(_xll.BDP(TICKER,"DEEP_MEASURE_PERIOD_BROKER_VALUE","DEEP_MEASURE_ID_OVERRIDE",$C90,"DEEP_BROKER_ID_OVERRIDE",L$24,"DEEP_PERIOD_OVERRIDE",$H$19)*1,"")))</f>
        <v/>
      </c>
      <c r="M90" s="17" t="str">
        <f>IF(OR(M$23="",ISNA($B90)),"",IF(ISBLANK($B90),"",IFERROR(_xll.BDP(TICKER,"DEEP_MEASURE_PERIOD_BROKER_VALUE","DEEP_MEASURE_ID_OVERRIDE",$C90,"DEEP_BROKER_ID_OVERRIDE",M$24,"DEEP_PERIOD_OVERRIDE",$H$19)*1,"")))</f>
        <v/>
      </c>
      <c r="N90" s="17" t="str">
        <f>IF(OR(N$23="",ISNA($B90)),"",IF(ISBLANK($B90),"",IFERROR(_xll.BDP(TICKER,"DEEP_MEASURE_PERIOD_BROKER_VALUE","DEEP_MEASURE_ID_OVERRIDE",$C90,"DEEP_BROKER_ID_OVERRIDE",N$24,"DEEP_PERIOD_OVERRIDE",$H$19)*1,"")))</f>
        <v/>
      </c>
      <c r="O90" s="17" t="str">
        <f>IF(OR(O$23="",ISNA($B90)),"",IF(ISBLANK($B90),"",IFERROR(_xll.BDP(TICKER,"DEEP_MEASURE_PERIOD_BROKER_VALUE","DEEP_MEASURE_ID_OVERRIDE",$C90,"DEEP_BROKER_ID_OVERRIDE",O$24,"DEEP_PERIOD_OVERRIDE",$H$19)*1,"")))</f>
        <v/>
      </c>
      <c r="P90" s="17" t="str">
        <f>IF(OR(P$23="",ISNA($B90)),"",IF(ISBLANK($B90),"",IFERROR(_xll.BDP(TICKER,"DEEP_MEASURE_PERIOD_BROKER_VALUE","DEEP_MEASURE_ID_OVERRIDE",$C90,"DEEP_BROKER_ID_OVERRIDE",P$24,"DEEP_PERIOD_OVERRIDE",$H$19)*1,"")))</f>
        <v/>
      </c>
      <c r="Q90" s="17" t="str">
        <f>IF(OR(Q$23="",ISNA($B90)),"",IF(ISBLANK($B90),"",IFERROR(_xll.BDP(TICKER,"DEEP_MEASURE_PERIOD_BROKER_VALUE","DEEP_MEASURE_ID_OVERRIDE",$C90,"DEEP_BROKER_ID_OVERRIDE",Q$24,"DEEP_PERIOD_OVERRIDE",$H$19)*1,"")))</f>
        <v/>
      </c>
      <c r="R90" s="17" t="str">
        <f>IF(OR(R$23="",ISNA($B90)),"",IF(ISBLANK($B90),"",IFERROR(_xll.BDP(TICKER,"DEEP_MEASURE_PERIOD_BROKER_VALUE","DEEP_MEASURE_ID_OVERRIDE",$C90,"DEEP_BROKER_ID_OVERRIDE",R$24,"DEEP_PERIOD_OVERRIDE",$H$19)*1,"")))</f>
        <v/>
      </c>
      <c r="S90" s="17" t="str">
        <f>IF(OR(S$23="",ISNA($B90)),"",IF(ISBLANK($B90),"",IFERROR(_xll.BDP(TICKER,"DEEP_MEASURE_PERIOD_BROKER_VALUE","DEEP_MEASURE_ID_OVERRIDE",$C90,"DEEP_BROKER_ID_OVERRIDE",S$24,"DEEP_PERIOD_OVERRIDE",$H$19)*1,"")))</f>
        <v/>
      </c>
      <c r="T90" s="17" t="str">
        <f>IF(OR(T$23="",ISNA($B90)),"",IF(ISBLANK($B90),"",IFERROR(_xll.BDP(TICKER,"DEEP_MEASURE_PERIOD_BROKER_VALUE","DEEP_MEASURE_ID_OVERRIDE",$C90,"DEEP_BROKER_ID_OVERRIDE",T$24,"DEEP_PERIOD_OVERRIDE",$H$19)*1,"")))</f>
        <v/>
      </c>
      <c r="U90" s="17" t="str">
        <f>IF(OR(U$23="",ISNA($B90)),"",IF(ISBLANK($B90),"",IFERROR(_xll.BDP(TICKER,"DEEP_MEASURE_PERIOD_BROKER_VALUE","DEEP_MEASURE_ID_OVERRIDE",$C90,"DEEP_BROKER_ID_OVERRIDE",U$24,"DEEP_PERIOD_OVERRIDE",$H$19)*1,"")))</f>
        <v/>
      </c>
      <c r="V90" s="17" t="str">
        <f>IF(OR(V$23="",ISNA($B90)),"",IF(ISBLANK($B90),"",IFERROR(_xll.BDP(TICKER,"DEEP_MEASURE_PERIOD_BROKER_VALUE","DEEP_MEASURE_ID_OVERRIDE",$C90,"DEEP_BROKER_ID_OVERRIDE",V$24,"DEEP_PERIOD_OVERRIDE",$H$19)*1,"")))</f>
        <v/>
      </c>
      <c r="W90" s="17" t="str">
        <f>IF(OR(W$23="",ISNA($B90)),"",IF(ISBLANK($B90),"",IFERROR(_xll.BDP(TICKER,"DEEP_MEASURE_PERIOD_BROKER_VALUE","DEEP_MEASURE_ID_OVERRIDE",$C90,"DEEP_BROKER_ID_OVERRIDE",W$24,"DEEP_PERIOD_OVERRIDE",$H$19)*1,"")))</f>
        <v/>
      </c>
      <c r="X90" s="17" t="str">
        <f>IF(OR(X$23="",ISNA($B90)),"",IF(ISBLANK($B90),"",IFERROR(_xll.BDP(TICKER,"DEEP_MEASURE_PERIOD_BROKER_VALUE","DEEP_MEASURE_ID_OVERRIDE",$C90,"DEEP_BROKER_ID_OVERRIDE",X$24,"DEEP_PERIOD_OVERRIDE",$H$19)*1,"")))</f>
        <v/>
      </c>
      <c r="Y90" s="17" t="str">
        <f>IF(OR(Y$23="",ISNA($B90)),"",IF(ISBLANK($B90),"",IFERROR(_xll.BDP(TICKER,"DEEP_MEASURE_PERIOD_BROKER_VALUE","DEEP_MEASURE_ID_OVERRIDE",$C90,"DEEP_BROKER_ID_OVERRIDE",Y$24,"DEEP_PERIOD_OVERRIDE",$H$19)*1,"")))</f>
        <v/>
      </c>
      <c r="Z90" s="17" t="str">
        <f>IF(OR(Z$23="",ISNA($B90)),"",IF(ISBLANK($B90),"",IFERROR(_xll.BDP(TICKER,"DEEP_MEASURE_PERIOD_BROKER_VALUE","DEEP_MEASURE_ID_OVERRIDE",$C90,"DEEP_BROKER_ID_OVERRIDE",Z$24,"DEEP_PERIOD_OVERRIDE",$H$19)*1,"")))</f>
        <v/>
      </c>
      <c r="AA90" s="17" t="str">
        <f>IF(OR(AA$23="",ISNA($B90)),"",IF(ISBLANK($B90),"",IFERROR(_xll.BDP(TICKER,"DEEP_MEASURE_PERIOD_BROKER_VALUE","DEEP_MEASURE_ID_OVERRIDE",$C90,"DEEP_BROKER_ID_OVERRIDE",AA$24,"DEEP_PERIOD_OVERRIDE",$H$19)*1,"")))</f>
        <v/>
      </c>
      <c r="AB90" s="17" t="str">
        <f>IF(OR(AB$23="",ISNA($B90)),"",IF(ISBLANK($B90),"",IFERROR(_xll.BDP(TICKER,"DEEP_MEASURE_PERIOD_BROKER_VALUE","DEEP_MEASURE_ID_OVERRIDE",$C90,"DEEP_BROKER_ID_OVERRIDE",AB$24,"DEEP_PERIOD_OVERRIDE",$H$19)*1,"")))</f>
        <v/>
      </c>
      <c r="AC90" s="17" t="str">
        <f>IF(OR(AC$23="",ISNA($B90)),"",IF(ISBLANK($B90),"",IFERROR(_xll.BDP(TICKER,"DEEP_MEASURE_PERIOD_BROKER_VALUE","DEEP_MEASURE_ID_OVERRIDE",$C90,"DEEP_BROKER_ID_OVERRIDE",AC$24,"DEEP_PERIOD_OVERRIDE",$H$19)*1,"")))</f>
        <v/>
      </c>
      <c r="AD90" s="17" t="str">
        <f>IF(OR(AD$23="",ISNA($B90)),"",IF(ISBLANK($B90),"",IFERROR(_xll.BDP(TICKER,"DEEP_MEASURE_PERIOD_BROKER_VALUE","DEEP_MEASURE_ID_OVERRIDE",$C90,"DEEP_BROKER_ID_OVERRIDE",AD$24,"DEEP_PERIOD_OVERRIDE",$H$19)*1,"")))</f>
        <v/>
      </c>
      <c r="AE90" s="17" t="str">
        <f>IF(OR(AE$23="",ISNA($B90)),"",IF(ISBLANK($B90),"",IFERROR(_xll.BDP(TICKER,"DEEP_MEASURE_PERIOD_BROKER_VALUE","DEEP_MEASURE_ID_OVERRIDE",$C90,"DEEP_BROKER_ID_OVERRIDE",AE$24,"DEEP_PERIOD_OVERRIDE",$H$19)*1,"")))</f>
        <v/>
      </c>
      <c r="AF90" s="17" t="str">
        <f>IF(OR(AF$23="",ISNA($B90)),"",IF(ISBLANK($B90),"",IFERROR(_xll.BDP(TICKER,"DEEP_MEASURE_PERIOD_BROKER_VALUE","DEEP_MEASURE_ID_OVERRIDE",$C90,"DEEP_BROKER_ID_OVERRIDE",AF$24,"DEEP_PERIOD_OVERRIDE",$H$19)*1,"")))</f>
        <v/>
      </c>
      <c r="AG90" s="17" t="str">
        <f>IF(OR(AG$23="",ISNA($B90)),"",IF(ISBLANK($B90),"",IFERROR(_xll.BDP(TICKER,"DEEP_MEASURE_PERIOD_BROKER_VALUE","DEEP_MEASURE_ID_OVERRIDE",$C90,"DEEP_BROKER_ID_OVERRIDE",AG$24,"DEEP_PERIOD_OVERRIDE",$H$19)*1,"")))</f>
        <v/>
      </c>
      <c r="AH90" s="17" t="str">
        <f>IF(OR(AH$23="",ISNA($B90)),"",IF(ISBLANK($B90),"",IFERROR(_xll.BDP(TICKER,"DEEP_MEASURE_PERIOD_BROKER_VALUE","DEEP_MEASURE_ID_OVERRIDE",$C90,"DEEP_BROKER_ID_OVERRIDE",AH$24,"DEEP_PERIOD_OVERRIDE",$H$19)*1,"")))</f>
        <v/>
      </c>
      <c r="AI90" s="17" t="str">
        <f>IF(OR(AI$23="",ISNA($B90)),"",IF(ISBLANK($B90),"",IFERROR(_xll.BDP(TICKER,"DEEP_MEASURE_PERIOD_BROKER_VALUE","DEEP_MEASURE_ID_OVERRIDE",$C90,"DEEP_BROKER_ID_OVERRIDE",AI$24,"DEEP_PERIOD_OVERRIDE",$H$19)*1,"")))</f>
        <v/>
      </c>
      <c r="AJ90" s="17" t="str">
        <f>IF(OR(AJ$23="",ISNA($B90)),"",IF(ISBLANK($B90),"",IFERROR(_xll.BDP(TICKER,"DEEP_MEASURE_PERIOD_BROKER_VALUE","DEEP_MEASURE_ID_OVERRIDE",$C90,"DEEP_BROKER_ID_OVERRIDE",AJ$24,"DEEP_PERIOD_OVERRIDE",$H$19)*1,"")))</f>
        <v/>
      </c>
      <c r="AK90" s="17" t="str">
        <f>IF(OR(AK$23="",ISNA($B90)),"",IF(ISBLANK($B90),"",IFERROR(_xll.BDP(TICKER,"DEEP_MEASURE_PERIOD_BROKER_VALUE","DEEP_MEASURE_ID_OVERRIDE",$C90,"DEEP_BROKER_ID_OVERRIDE",AK$24,"DEEP_PERIOD_OVERRIDE",$H$19)*1,"")))</f>
        <v/>
      </c>
      <c r="AL90" s="17" t="str">
        <f>IF(OR(AL$23="",ISNA($B90)),"",IF(ISBLANK($B90),"",IFERROR(_xll.BDP(TICKER,"DEEP_MEASURE_PERIOD_BROKER_VALUE","DEEP_MEASURE_ID_OVERRIDE",$C90,"DEEP_BROKER_ID_OVERRIDE",AL$24,"DEEP_PERIOD_OVERRIDE",$H$19)*1,"")))</f>
        <v/>
      </c>
      <c r="AM90" s="17" t="str">
        <f>IF(OR(AM$23="",ISNA($B90)),"",IF(ISBLANK($B90),"",IFERROR(_xll.BDP(TICKER,"DEEP_MEASURE_PERIOD_BROKER_VALUE","DEEP_MEASURE_ID_OVERRIDE",$C90,"DEEP_BROKER_ID_OVERRIDE",AM$24,"DEEP_PERIOD_OVERRIDE",$H$19)*1,"")))</f>
        <v/>
      </c>
      <c r="AN90" s="17" t="str">
        <f>IF(OR(AN$23="",ISNA($B90)),"",IF(ISBLANK($B90),"",IFERROR(_xll.BDP(TICKER,"DEEP_MEASURE_PERIOD_BROKER_VALUE","DEEP_MEASURE_ID_OVERRIDE",$C90,"DEEP_BROKER_ID_OVERRIDE",AN$24,"DEEP_PERIOD_OVERRIDE",$H$19)*1,"")))</f>
        <v/>
      </c>
      <c r="AO90" s="17" t="str">
        <f>IF(OR(AO$23="",ISNA($B90)),"",IF(ISBLANK($B90),"",IFERROR(_xll.BDP(TICKER,"DEEP_MEASURE_PERIOD_BROKER_VALUE","DEEP_MEASURE_ID_OVERRIDE",$C90,"DEEP_BROKER_ID_OVERRIDE",AO$24,"DEEP_PERIOD_OVERRIDE",$H$19)*1,"")))</f>
        <v/>
      </c>
      <c r="AP90" s="17" t="str">
        <f>IF(OR(AP$23="",ISNA($B90)),"",IF(ISBLANK($B90),"",IFERROR(_xll.BDP(TICKER,"DEEP_MEASURE_PERIOD_BROKER_VALUE","DEEP_MEASURE_ID_OVERRIDE",$C90,"DEEP_BROKER_ID_OVERRIDE",AP$24,"DEEP_PERIOD_OVERRIDE",$H$19)*1,"")))</f>
        <v/>
      </c>
      <c r="AQ90" s="17" t="str">
        <f>IF(OR(AQ$23="",ISNA($B90)),"",IF(ISBLANK($B90),"",IFERROR(_xll.BDP(TICKER,"DEEP_MEASURE_PERIOD_BROKER_VALUE","DEEP_MEASURE_ID_OVERRIDE",$C90,"DEEP_BROKER_ID_OVERRIDE",AQ$24,"DEEP_PERIOD_OVERRIDE",$H$19)*1,"")))</f>
        <v/>
      </c>
      <c r="AR90" s="17" t="str">
        <f>IF(OR(AR$23="",ISNA($B90)),"",IF(ISBLANK($B90),"",IFERROR(_xll.BDP(TICKER,"DEEP_MEASURE_PERIOD_BROKER_VALUE","DEEP_MEASURE_ID_OVERRIDE",$C90,"DEEP_BROKER_ID_OVERRIDE",AR$24,"DEEP_PERIOD_OVERRIDE",$H$19)*1,"")))</f>
        <v/>
      </c>
      <c r="AS90" s="17" t="str">
        <f>IF(OR(AS$23="",ISNA($B90)),"",IF(ISBLANK($B90),"",IFERROR(_xll.BDP(TICKER,"DEEP_MEASURE_PERIOD_BROKER_VALUE","DEEP_MEASURE_ID_OVERRIDE",$C90,"DEEP_BROKER_ID_OVERRIDE",AS$24,"DEEP_PERIOD_OVERRIDE",$H$19)*1,"")))</f>
        <v/>
      </c>
      <c r="AT90" s="17" t="str">
        <f>IF(OR(AT$23="",ISNA($B90)),"",IF(ISBLANK($B90),"",IFERROR(_xll.BDP(TICKER,"DEEP_MEASURE_PERIOD_BROKER_VALUE","DEEP_MEASURE_ID_OVERRIDE",$C90,"DEEP_BROKER_ID_OVERRIDE",AT$24,"DEEP_PERIOD_OVERRIDE",$H$19)*1,"")))</f>
        <v/>
      </c>
      <c r="AU90" s="17" t="str">
        <f>IF(OR(AU$23="",ISNA($B90)),"",IF(ISBLANK($B90),"",IFERROR(_xll.BDP(TICKER,"DEEP_MEASURE_PERIOD_BROKER_VALUE","DEEP_MEASURE_ID_OVERRIDE",$C90,"DEEP_BROKER_ID_OVERRIDE",AU$24,"DEEP_PERIOD_OVERRIDE",$H$19)*1,"")))</f>
        <v/>
      </c>
      <c r="AV90" s="17" t="str">
        <f>IF(OR(AV$23="",ISNA($B90)),"",IF(ISBLANK($B90),"",IFERROR(_xll.BDP(TICKER,"DEEP_MEASURE_PERIOD_BROKER_VALUE","DEEP_MEASURE_ID_OVERRIDE",$C90,"DEEP_BROKER_ID_OVERRIDE",AV$24,"DEEP_PERIOD_OVERRIDE",$H$19)*1,"")))</f>
        <v/>
      </c>
      <c r="AW90" s="17" t="str">
        <f>IF(OR(AW$23="",ISNA($B90)),"",IF(ISBLANK($B90),"",IFERROR(_xll.BDP(TICKER,"DEEP_MEASURE_PERIOD_BROKER_VALUE","DEEP_MEASURE_ID_OVERRIDE",$C90,"DEEP_BROKER_ID_OVERRIDE",AW$24,"DEEP_PERIOD_OVERRIDE",$H$19)*1,"")))</f>
        <v/>
      </c>
      <c r="AX90" s="17" t="str">
        <f>IF(OR(AX$23="",ISNA($B90)),"",IF(ISBLANK($B90),"",IFERROR(_xll.BDP(TICKER,"DEEP_MEASURE_PERIOD_BROKER_VALUE","DEEP_MEASURE_ID_OVERRIDE",$C90,"DEEP_BROKER_ID_OVERRIDE",AX$24,"DEEP_PERIOD_OVERRIDE",$H$19)*1,"")))</f>
        <v/>
      </c>
      <c r="AY90" s="17" t="str">
        <f>IF(OR(AY$23="",ISNA($B90)),"",IF(ISBLANK($B90),"",IFERROR(_xll.BDP(TICKER,"DEEP_MEASURE_PERIOD_BROKER_VALUE","DEEP_MEASURE_ID_OVERRIDE",$C90,"DEEP_BROKER_ID_OVERRIDE",AY$24,"DEEP_PERIOD_OVERRIDE",$H$19)*1,"")))</f>
        <v/>
      </c>
      <c r="AZ90" s="17" t="str">
        <f>IF(OR(AZ$23="",ISNA($B90)),"",IF(ISBLANK($B90),"",IFERROR(_xll.BDP(TICKER,"DEEP_MEASURE_PERIOD_BROKER_VALUE","DEEP_MEASURE_ID_OVERRIDE",$C90,"DEEP_BROKER_ID_OVERRIDE",AZ$24,"DEEP_PERIOD_OVERRIDE",$H$19)*1,"")))</f>
        <v/>
      </c>
      <c r="BA90" s="17" t="str">
        <f>IF(OR(BA$23="",ISNA($B90)),"",IF(ISBLANK($B90),"",IFERROR(_xll.BDP(TICKER,"DEEP_MEASURE_PERIOD_BROKER_VALUE","DEEP_MEASURE_ID_OVERRIDE",$C90,"DEEP_BROKER_ID_OVERRIDE",BA$24,"DEEP_PERIOD_OVERRIDE",$H$19)*1,"")))</f>
        <v/>
      </c>
      <c r="BB90" s="17" t="str">
        <f>IF(OR(BB$23="",ISNA($B90)),"",IF(ISBLANK($B90),"",IFERROR(_xll.BDP(TICKER,"DEEP_MEASURE_PERIOD_BROKER_VALUE","DEEP_MEASURE_ID_OVERRIDE",$C90,"DEEP_BROKER_ID_OVERRIDE",BB$24,"DEEP_PERIOD_OVERRIDE",$H$19)*1,"")))</f>
        <v/>
      </c>
      <c r="BC90" s="17" t="str">
        <f>IF(OR(BC$23="",ISNA($B90)),"",IF(ISBLANK($B90),"",IFERROR(_xll.BDP(TICKER,"DEEP_MEASURE_PERIOD_BROKER_VALUE","DEEP_MEASURE_ID_OVERRIDE",$C90,"DEEP_BROKER_ID_OVERRIDE",BC$24,"DEEP_PERIOD_OVERRIDE",$H$19)*1,"")))</f>
        <v/>
      </c>
      <c r="BD90" s="17" t="str">
        <f>IF(OR(BD$23="",ISNA($B90)),"",IF(ISBLANK($B90),"",IFERROR(_xll.BDP(TICKER,"DEEP_MEASURE_PERIOD_BROKER_VALUE","DEEP_MEASURE_ID_OVERRIDE",$C90,"DEEP_BROKER_ID_OVERRIDE",BD$24,"DEEP_PERIOD_OVERRIDE",$H$19)*1,"")))</f>
        <v/>
      </c>
      <c r="BE90" s="17" t="str">
        <f>IF(OR(BE$23="",ISNA($B90)),"",IF(ISBLANK($B90),"",IFERROR(_xll.BDP(TICKER,"DEEP_MEASURE_PERIOD_BROKER_VALUE","DEEP_MEASURE_ID_OVERRIDE",$C90,"DEEP_BROKER_ID_OVERRIDE",BE$24,"DEEP_PERIOD_OVERRIDE",$H$19)*1,"")))</f>
        <v/>
      </c>
      <c r="BF90" s="17" t="str">
        <f>IF(OR(BF$23="",ISNA($B90)),"",IF(ISBLANK($B90),"",IFERROR(_xll.BDP(TICKER,"DEEP_MEASURE_PERIOD_BROKER_VALUE","DEEP_MEASURE_ID_OVERRIDE",$C90,"DEEP_BROKER_ID_OVERRIDE",BF$24,"DEEP_PERIOD_OVERRIDE",$H$19)*1,"")))</f>
        <v/>
      </c>
      <c r="BG90" s="17" t="str">
        <f>IF(OR(BG$23="",ISNA($B90)),"",IF(ISBLANK($B90),"",IFERROR(_xll.BDP(TICKER,"DEEP_MEASURE_PERIOD_BROKER_VALUE","DEEP_MEASURE_ID_OVERRIDE",$C90,"DEEP_BROKER_ID_OVERRIDE",BG$24,"DEEP_PERIOD_OVERRIDE",$H$19)*1,"")))</f>
        <v/>
      </c>
      <c r="BH90" s="17" t="str">
        <f>IF(OR(BH$23="",ISNA($B90)),"",IF(ISBLANK($B90),"",IFERROR(_xll.BDP(TICKER,"DEEP_MEASURE_PERIOD_BROKER_VALUE","DEEP_MEASURE_ID_OVERRIDE",$C90,"DEEP_BROKER_ID_OVERRIDE",BH$24,"DEEP_PERIOD_OVERRIDE",$H$19)*1,"")))</f>
        <v/>
      </c>
      <c r="BI90" s="17" t="str">
        <f>IF(OR(BI$23="",ISNA($B90)),"",IF(ISBLANK($B90),"",IFERROR(_xll.BDP(TICKER,"DEEP_MEASURE_PERIOD_BROKER_VALUE","DEEP_MEASURE_ID_OVERRIDE",$C90,"DEEP_BROKER_ID_OVERRIDE",BI$24,"DEEP_PERIOD_OVERRIDE",$H$19)*1,"")))</f>
        <v/>
      </c>
      <c r="BJ90" s="17" t="str">
        <f>IF(OR(BJ$23="",ISNA($B90)),"",IF(ISBLANK($B90),"",IFERROR(_xll.BDP(TICKER,"DEEP_MEASURE_PERIOD_BROKER_VALUE","DEEP_MEASURE_ID_OVERRIDE",$C90,"DEEP_BROKER_ID_OVERRIDE",BJ$24,"DEEP_PERIOD_OVERRIDE",$H$19)*1,"")))</f>
        <v/>
      </c>
      <c r="BK90" s="17" t="str">
        <f>IF(OR(BK$23="",ISNA($B90)),"",IF(ISBLANK($B90),"",IFERROR(_xll.BDP(TICKER,"DEEP_MEASURE_PERIOD_BROKER_VALUE","DEEP_MEASURE_ID_OVERRIDE",$C90,"DEEP_BROKER_ID_OVERRIDE",BK$24,"DEEP_PERIOD_OVERRIDE",$H$19)*1,"")))</f>
        <v/>
      </c>
      <c r="BL90" s="17" t="str">
        <f>IF(OR(BL$23="",ISNA($B90)),"",IF(ISBLANK($B90),"",IFERROR(_xll.BDP(TICKER,"DEEP_MEASURE_PERIOD_BROKER_VALUE","DEEP_MEASURE_ID_OVERRIDE",$C90,"DEEP_BROKER_ID_OVERRIDE",BL$24,"DEEP_PERIOD_OVERRIDE",$H$19)*1,"")))</f>
        <v/>
      </c>
      <c r="BM90" s="17" t="str">
        <f>IF(OR(BM$23="",ISNA($B90)),"",IF(ISBLANK($B90),"",IFERROR(_xll.BDP(TICKER,"DEEP_MEASURE_PERIOD_BROKER_VALUE","DEEP_MEASURE_ID_OVERRIDE",$C90,"DEEP_BROKER_ID_OVERRIDE",BM$24,"DEEP_PERIOD_OVERRIDE",$H$19)*1,"")))</f>
        <v/>
      </c>
      <c r="BN90" s="17" t="str">
        <f>IF(OR(BN$23="",ISNA($B90)),"",IF(ISBLANK($B90),"",IFERROR(_xll.BDP(TICKER,"DEEP_MEASURE_PERIOD_BROKER_VALUE","DEEP_MEASURE_ID_OVERRIDE",$C90,"DEEP_BROKER_ID_OVERRIDE",BN$24,"DEEP_PERIOD_OVERRIDE",$H$19)*1,"")))</f>
        <v/>
      </c>
      <c r="BO90" s="17" t="str">
        <f>IF(OR(BO$23="",ISNA($B90)),"",IF(ISBLANK($B90),"",IFERROR(_xll.BDP(TICKER,"DEEP_MEASURE_PERIOD_BROKER_VALUE","DEEP_MEASURE_ID_OVERRIDE",$C90,"DEEP_BROKER_ID_OVERRIDE",BO$24,"DEEP_PERIOD_OVERRIDE",$H$19)*1,"")))</f>
        <v/>
      </c>
      <c r="BP90" s="17" t="str">
        <f>IF(OR(BP$23="",ISNA($B90)),"",IF(ISBLANK($B90),"",IFERROR(_xll.BDP(TICKER,"DEEP_MEASURE_PERIOD_BROKER_VALUE","DEEP_MEASURE_ID_OVERRIDE",$C90,"DEEP_BROKER_ID_OVERRIDE",BP$24,"DEEP_PERIOD_OVERRIDE",$H$19)*1,"")))</f>
        <v/>
      </c>
      <c r="BQ90" s="17" t="str">
        <f>IF(OR(BQ$23="",ISNA($B90)),"",IF(ISBLANK($B90),"",IFERROR(_xll.BDP(TICKER,"DEEP_MEASURE_PERIOD_BROKER_VALUE","DEEP_MEASURE_ID_OVERRIDE",$C90,"DEEP_BROKER_ID_OVERRIDE",BQ$24,"DEEP_PERIOD_OVERRIDE",$H$19)*1,"")))</f>
        <v/>
      </c>
      <c r="BR90" s="17" t="str">
        <f>IF(OR(BR$23="",ISNA($B90)),"",IF(ISBLANK($B90),"",IFERROR(_xll.BDP(TICKER,"DEEP_MEASURE_PERIOD_BROKER_VALUE","DEEP_MEASURE_ID_OVERRIDE",$C90,"DEEP_BROKER_ID_OVERRIDE",BR$24,"DEEP_PERIOD_OVERRIDE",$H$19)*1,"")))</f>
        <v/>
      </c>
      <c r="BS90" s="17" t="str">
        <f>IF(OR(BS$23="",ISNA($B90)),"",IF(ISBLANK($B90),"",IFERROR(_xll.BDP(TICKER,"DEEP_MEASURE_PERIOD_BROKER_VALUE","DEEP_MEASURE_ID_OVERRIDE",$C90,"DEEP_BROKER_ID_OVERRIDE",BS$24,"DEEP_PERIOD_OVERRIDE",$H$19)*1,"")))</f>
        <v/>
      </c>
      <c r="BT90" s="17" t="str">
        <f>IF(OR(BT$23="",ISNA($B90)),"",IF(ISBLANK($B90),"",IFERROR(_xll.BDP(TICKER,"DEEP_MEASURE_PERIOD_BROKER_VALUE","DEEP_MEASURE_ID_OVERRIDE",$C90,"DEEP_BROKER_ID_OVERRIDE",BT$24,"DEEP_PERIOD_OVERRIDE",$H$19)*1,"")))</f>
        <v/>
      </c>
      <c r="BU90" s="17" t="str">
        <f>IF(OR(BU$23="",ISNA($B90)),"",IF(ISBLANK($B90),"",IFERROR(_xll.BDP(TICKER,"DEEP_MEASURE_PERIOD_BROKER_VALUE","DEEP_MEASURE_ID_OVERRIDE",$C90,"DEEP_BROKER_ID_OVERRIDE",BU$24,"DEEP_PERIOD_OVERRIDE",$H$19)*1,"")))</f>
        <v/>
      </c>
      <c r="BV90" s="17" t="str">
        <f>IF(OR(BV$23="",ISNA($B90)),"",IF(ISBLANK($B90),"",IFERROR(_xll.BDP(TICKER,"DEEP_MEASURE_PERIOD_BROKER_VALUE","DEEP_MEASURE_ID_OVERRIDE",$C90,"DEEP_BROKER_ID_OVERRIDE",BV$24,"DEEP_PERIOD_OVERRIDE",$H$19)*1,"")))</f>
        <v/>
      </c>
      <c r="BW90" s="17" t="str">
        <f>IF(OR(BW$23="",ISNA($B90)),"",IF(ISBLANK($B90),"",IFERROR(_xll.BDP(TICKER,"DEEP_MEASURE_PERIOD_BROKER_VALUE","DEEP_MEASURE_ID_OVERRIDE",$C90,"DEEP_BROKER_ID_OVERRIDE",BW$24,"DEEP_PERIOD_OVERRIDE",$H$19)*1,"")))</f>
        <v/>
      </c>
      <c r="BX90" s="17" t="str">
        <f>IF(OR(BX$23="",ISNA($B90)),"",IF(ISBLANK($B90),"",IFERROR(_xll.BDP(TICKER,"DEEP_MEASURE_PERIOD_BROKER_VALUE","DEEP_MEASURE_ID_OVERRIDE",$C90,"DEEP_BROKER_ID_OVERRIDE",BX$24,"DEEP_PERIOD_OVERRIDE",$H$19)*1,"")))</f>
        <v/>
      </c>
      <c r="BY90" s="17" t="str">
        <f>IF(OR(BY$23="",ISNA($B90)),"",IF(ISBLANK($B90),"",IFERROR(_xll.BDP(TICKER,"DEEP_MEASURE_PERIOD_BROKER_VALUE","DEEP_MEASURE_ID_OVERRIDE",$C90,"DEEP_BROKER_ID_OVERRIDE",BY$24,"DEEP_PERIOD_OVERRIDE",$H$19)*1,"")))</f>
        <v/>
      </c>
      <c r="BZ90" s="17" t="str">
        <f>IF(OR(BZ$23="",ISNA($B90)),"",IF(ISBLANK($B90),"",IFERROR(_xll.BDP(TICKER,"DEEP_MEASURE_PERIOD_BROKER_VALUE","DEEP_MEASURE_ID_OVERRIDE",$C90,"DEEP_BROKER_ID_OVERRIDE",BZ$24,"DEEP_PERIOD_OVERRIDE",$H$19)*1,"")))</f>
        <v/>
      </c>
    </row>
    <row r="91" spans="2:78" x14ac:dyDescent="0.25">
      <c r="B91" t="s">
        <v>15</v>
      </c>
      <c r="C91">
        <v>555</v>
      </c>
      <c r="H91" t="str">
        <f t="shared" si="2"/>
        <v>Gross Profit &gt; Gross Margin (%)</v>
      </c>
      <c r="I91" t="str">
        <f>IF(OR(I$23="",ISNA($B91)),"",IF(ISBLANK($B91),"",IFERROR(_xll.BDP(TICKER,"DEEP_MEASURE_PERIOD_BROKER_VALUE","DEEP_MEASURE_ID_OVERRIDE",$C91,"DEEP_PERIOD_OVERRIDE",$H$19)*1,"")))</f>
        <v/>
      </c>
      <c r="J91" t="e">
        <f>IF(OR(J$23="",ISNA($B91)),"",IF(ISBLANK($B91),"",IFERROR(_xll.BDP(TICKER,"DEEP_MEASURE_PERIOD_BROKER_VALUE","DEEP_MEASURE_ID_OVERRIDE",$C91,"DEEP_BROKER_ID_OVERRIDE",J$24,"DEEP_PERIOD_OVERRIDE",$H$19)*1,"")))</f>
        <v>#REF!</v>
      </c>
      <c r="K91" s="17" t="str">
        <f>IF(OR(K$23="",ISNA($B91)),"",IF(ISBLANK($B91),"",IFERROR(_xll.BDP(TICKER,"DEEP_MEASURE_PERIOD_BROKER_VALUE","DEEP_MEASURE_ID_OVERRIDE",$C91,"DEEP_BROKER_ID_OVERRIDE",K$24,"DEEP_PERIOD_OVERRIDE",$H$19)*1,"")))</f>
        <v/>
      </c>
      <c r="L91" s="17" t="str">
        <f>IF(OR(L$23="",ISNA($B91)),"",IF(ISBLANK($B91),"",IFERROR(_xll.BDP(TICKER,"DEEP_MEASURE_PERIOD_BROKER_VALUE","DEEP_MEASURE_ID_OVERRIDE",$C91,"DEEP_BROKER_ID_OVERRIDE",L$24,"DEEP_PERIOD_OVERRIDE",$H$19)*1,"")))</f>
        <v/>
      </c>
      <c r="M91" s="17" t="str">
        <f>IF(OR(M$23="",ISNA($B91)),"",IF(ISBLANK($B91),"",IFERROR(_xll.BDP(TICKER,"DEEP_MEASURE_PERIOD_BROKER_VALUE","DEEP_MEASURE_ID_OVERRIDE",$C91,"DEEP_BROKER_ID_OVERRIDE",M$24,"DEEP_PERIOD_OVERRIDE",$H$19)*1,"")))</f>
        <v/>
      </c>
      <c r="N91" s="17" t="str">
        <f>IF(OR(N$23="",ISNA($B91)),"",IF(ISBLANK($B91),"",IFERROR(_xll.BDP(TICKER,"DEEP_MEASURE_PERIOD_BROKER_VALUE","DEEP_MEASURE_ID_OVERRIDE",$C91,"DEEP_BROKER_ID_OVERRIDE",N$24,"DEEP_PERIOD_OVERRIDE",$H$19)*1,"")))</f>
        <v/>
      </c>
      <c r="O91" s="17" t="str">
        <f>IF(OR(O$23="",ISNA($B91)),"",IF(ISBLANK($B91),"",IFERROR(_xll.BDP(TICKER,"DEEP_MEASURE_PERIOD_BROKER_VALUE","DEEP_MEASURE_ID_OVERRIDE",$C91,"DEEP_BROKER_ID_OVERRIDE",O$24,"DEEP_PERIOD_OVERRIDE",$H$19)*1,"")))</f>
        <v/>
      </c>
      <c r="P91" s="17" t="str">
        <f>IF(OR(P$23="",ISNA($B91)),"",IF(ISBLANK($B91),"",IFERROR(_xll.BDP(TICKER,"DEEP_MEASURE_PERIOD_BROKER_VALUE","DEEP_MEASURE_ID_OVERRIDE",$C91,"DEEP_BROKER_ID_OVERRIDE",P$24,"DEEP_PERIOD_OVERRIDE",$H$19)*1,"")))</f>
        <v/>
      </c>
      <c r="Q91" s="17" t="str">
        <f>IF(OR(Q$23="",ISNA($B91)),"",IF(ISBLANK($B91),"",IFERROR(_xll.BDP(TICKER,"DEEP_MEASURE_PERIOD_BROKER_VALUE","DEEP_MEASURE_ID_OVERRIDE",$C91,"DEEP_BROKER_ID_OVERRIDE",Q$24,"DEEP_PERIOD_OVERRIDE",$H$19)*1,"")))</f>
        <v/>
      </c>
      <c r="R91" s="17" t="str">
        <f>IF(OR(R$23="",ISNA($B91)),"",IF(ISBLANK($B91),"",IFERROR(_xll.BDP(TICKER,"DEEP_MEASURE_PERIOD_BROKER_VALUE","DEEP_MEASURE_ID_OVERRIDE",$C91,"DEEP_BROKER_ID_OVERRIDE",R$24,"DEEP_PERIOD_OVERRIDE",$H$19)*1,"")))</f>
        <v/>
      </c>
      <c r="S91" s="17" t="str">
        <f>IF(OR(S$23="",ISNA($B91)),"",IF(ISBLANK($B91),"",IFERROR(_xll.BDP(TICKER,"DEEP_MEASURE_PERIOD_BROKER_VALUE","DEEP_MEASURE_ID_OVERRIDE",$C91,"DEEP_BROKER_ID_OVERRIDE",S$24,"DEEP_PERIOD_OVERRIDE",$H$19)*1,"")))</f>
        <v/>
      </c>
      <c r="T91" s="17" t="str">
        <f>IF(OR(T$23="",ISNA($B91)),"",IF(ISBLANK($B91),"",IFERROR(_xll.BDP(TICKER,"DEEP_MEASURE_PERIOD_BROKER_VALUE","DEEP_MEASURE_ID_OVERRIDE",$C91,"DEEP_BROKER_ID_OVERRIDE",T$24,"DEEP_PERIOD_OVERRIDE",$H$19)*1,"")))</f>
        <v/>
      </c>
      <c r="U91" s="17" t="str">
        <f>IF(OR(U$23="",ISNA($B91)),"",IF(ISBLANK($B91),"",IFERROR(_xll.BDP(TICKER,"DEEP_MEASURE_PERIOD_BROKER_VALUE","DEEP_MEASURE_ID_OVERRIDE",$C91,"DEEP_BROKER_ID_OVERRIDE",U$24,"DEEP_PERIOD_OVERRIDE",$H$19)*1,"")))</f>
        <v/>
      </c>
      <c r="V91" s="17" t="str">
        <f>IF(OR(V$23="",ISNA($B91)),"",IF(ISBLANK($B91),"",IFERROR(_xll.BDP(TICKER,"DEEP_MEASURE_PERIOD_BROKER_VALUE","DEEP_MEASURE_ID_OVERRIDE",$C91,"DEEP_BROKER_ID_OVERRIDE",V$24,"DEEP_PERIOD_OVERRIDE",$H$19)*1,"")))</f>
        <v/>
      </c>
      <c r="W91" s="17" t="str">
        <f>IF(OR(W$23="",ISNA($B91)),"",IF(ISBLANK($B91),"",IFERROR(_xll.BDP(TICKER,"DEEP_MEASURE_PERIOD_BROKER_VALUE","DEEP_MEASURE_ID_OVERRIDE",$C91,"DEEP_BROKER_ID_OVERRIDE",W$24,"DEEP_PERIOD_OVERRIDE",$H$19)*1,"")))</f>
        <v/>
      </c>
      <c r="X91" s="17" t="str">
        <f>IF(OR(X$23="",ISNA($B91)),"",IF(ISBLANK($B91),"",IFERROR(_xll.BDP(TICKER,"DEEP_MEASURE_PERIOD_BROKER_VALUE","DEEP_MEASURE_ID_OVERRIDE",$C91,"DEEP_BROKER_ID_OVERRIDE",X$24,"DEEP_PERIOD_OVERRIDE",$H$19)*1,"")))</f>
        <v/>
      </c>
      <c r="Y91" s="17" t="str">
        <f>IF(OR(Y$23="",ISNA($B91)),"",IF(ISBLANK($B91),"",IFERROR(_xll.BDP(TICKER,"DEEP_MEASURE_PERIOD_BROKER_VALUE","DEEP_MEASURE_ID_OVERRIDE",$C91,"DEEP_BROKER_ID_OVERRIDE",Y$24,"DEEP_PERIOD_OVERRIDE",$H$19)*1,"")))</f>
        <v/>
      </c>
      <c r="Z91" s="17" t="str">
        <f>IF(OR(Z$23="",ISNA($B91)),"",IF(ISBLANK($B91),"",IFERROR(_xll.BDP(TICKER,"DEEP_MEASURE_PERIOD_BROKER_VALUE","DEEP_MEASURE_ID_OVERRIDE",$C91,"DEEP_BROKER_ID_OVERRIDE",Z$24,"DEEP_PERIOD_OVERRIDE",$H$19)*1,"")))</f>
        <v/>
      </c>
      <c r="AA91" s="17" t="str">
        <f>IF(OR(AA$23="",ISNA($B91)),"",IF(ISBLANK($B91),"",IFERROR(_xll.BDP(TICKER,"DEEP_MEASURE_PERIOD_BROKER_VALUE","DEEP_MEASURE_ID_OVERRIDE",$C91,"DEEP_BROKER_ID_OVERRIDE",AA$24,"DEEP_PERIOD_OVERRIDE",$H$19)*1,"")))</f>
        <v/>
      </c>
      <c r="AB91" s="17" t="str">
        <f>IF(OR(AB$23="",ISNA($B91)),"",IF(ISBLANK($B91),"",IFERROR(_xll.BDP(TICKER,"DEEP_MEASURE_PERIOD_BROKER_VALUE","DEEP_MEASURE_ID_OVERRIDE",$C91,"DEEP_BROKER_ID_OVERRIDE",AB$24,"DEEP_PERIOD_OVERRIDE",$H$19)*1,"")))</f>
        <v/>
      </c>
      <c r="AC91" s="17" t="str">
        <f>IF(OR(AC$23="",ISNA($B91)),"",IF(ISBLANK($B91),"",IFERROR(_xll.BDP(TICKER,"DEEP_MEASURE_PERIOD_BROKER_VALUE","DEEP_MEASURE_ID_OVERRIDE",$C91,"DEEP_BROKER_ID_OVERRIDE",AC$24,"DEEP_PERIOD_OVERRIDE",$H$19)*1,"")))</f>
        <v/>
      </c>
      <c r="AD91" s="17" t="str">
        <f>IF(OR(AD$23="",ISNA($B91)),"",IF(ISBLANK($B91),"",IFERROR(_xll.BDP(TICKER,"DEEP_MEASURE_PERIOD_BROKER_VALUE","DEEP_MEASURE_ID_OVERRIDE",$C91,"DEEP_BROKER_ID_OVERRIDE",AD$24,"DEEP_PERIOD_OVERRIDE",$H$19)*1,"")))</f>
        <v/>
      </c>
      <c r="AE91" s="17" t="str">
        <f>IF(OR(AE$23="",ISNA($B91)),"",IF(ISBLANK($B91),"",IFERROR(_xll.BDP(TICKER,"DEEP_MEASURE_PERIOD_BROKER_VALUE","DEEP_MEASURE_ID_OVERRIDE",$C91,"DEEP_BROKER_ID_OVERRIDE",AE$24,"DEEP_PERIOD_OVERRIDE",$H$19)*1,"")))</f>
        <v/>
      </c>
      <c r="AF91" s="17" t="str">
        <f>IF(OR(AF$23="",ISNA($B91)),"",IF(ISBLANK($B91),"",IFERROR(_xll.BDP(TICKER,"DEEP_MEASURE_PERIOD_BROKER_VALUE","DEEP_MEASURE_ID_OVERRIDE",$C91,"DEEP_BROKER_ID_OVERRIDE",AF$24,"DEEP_PERIOD_OVERRIDE",$H$19)*1,"")))</f>
        <v/>
      </c>
      <c r="AG91" s="17" t="str">
        <f>IF(OR(AG$23="",ISNA($B91)),"",IF(ISBLANK($B91),"",IFERROR(_xll.BDP(TICKER,"DEEP_MEASURE_PERIOD_BROKER_VALUE","DEEP_MEASURE_ID_OVERRIDE",$C91,"DEEP_BROKER_ID_OVERRIDE",AG$24,"DEEP_PERIOD_OVERRIDE",$H$19)*1,"")))</f>
        <v/>
      </c>
      <c r="AH91" s="17" t="str">
        <f>IF(OR(AH$23="",ISNA($B91)),"",IF(ISBLANK($B91),"",IFERROR(_xll.BDP(TICKER,"DEEP_MEASURE_PERIOD_BROKER_VALUE","DEEP_MEASURE_ID_OVERRIDE",$C91,"DEEP_BROKER_ID_OVERRIDE",AH$24,"DEEP_PERIOD_OVERRIDE",$H$19)*1,"")))</f>
        <v/>
      </c>
      <c r="AI91" s="17" t="str">
        <f>IF(OR(AI$23="",ISNA($B91)),"",IF(ISBLANK($B91),"",IFERROR(_xll.BDP(TICKER,"DEEP_MEASURE_PERIOD_BROKER_VALUE","DEEP_MEASURE_ID_OVERRIDE",$C91,"DEEP_BROKER_ID_OVERRIDE",AI$24,"DEEP_PERIOD_OVERRIDE",$H$19)*1,"")))</f>
        <v/>
      </c>
      <c r="AJ91" s="17" t="str">
        <f>IF(OR(AJ$23="",ISNA($B91)),"",IF(ISBLANK($B91),"",IFERROR(_xll.BDP(TICKER,"DEEP_MEASURE_PERIOD_BROKER_VALUE","DEEP_MEASURE_ID_OVERRIDE",$C91,"DEEP_BROKER_ID_OVERRIDE",AJ$24,"DEEP_PERIOD_OVERRIDE",$H$19)*1,"")))</f>
        <v/>
      </c>
      <c r="AK91" s="17" t="str">
        <f>IF(OR(AK$23="",ISNA($B91)),"",IF(ISBLANK($B91),"",IFERROR(_xll.BDP(TICKER,"DEEP_MEASURE_PERIOD_BROKER_VALUE","DEEP_MEASURE_ID_OVERRIDE",$C91,"DEEP_BROKER_ID_OVERRIDE",AK$24,"DEEP_PERIOD_OVERRIDE",$H$19)*1,"")))</f>
        <v/>
      </c>
      <c r="AL91" s="17" t="str">
        <f>IF(OR(AL$23="",ISNA($B91)),"",IF(ISBLANK($B91),"",IFERROR(_xll.BDP(TICKER,"DEEP_MEASURE_PERIOD_BROKER_VALUE","DEEP_MEASURE_ID_OVERRIDE",$C91,"DEEP_BROKER_ID_OVERRIDE",AL$24,"DEEP_PERIOD_OVERRIDE",$H$19)*1,"")))</f>
        <v/>
      </c>
      <c r="AM91" s="17" t="str">
        <f>IF(OR(AM$23="",ISNA($B91)),"",IF(ISBLANK($B91),"",IFERROR(_xll.BDP(TICKER,"DEEP_MEASURE_PERIOD_BROKER_VALUE","DEEP_MEASURE_ID_OVERRIDE",$C91,"DEEP_BROKER_ID_OVERRIDE",AM$24,"DEEP_PERIOD_OVERRIDE",$H$19)*1,"")))</f>
        <v/>
      </c>
      <c r="AN91" s="17" t="str">
        <f>IF(OR(AN$23="",ISNA($B91)),"",IF(ISBLANK($B91),"",IFERROR(_xll.BDP(TICKER,"DEEP_MEASURE_PERIOD_BROKER_VALUE","DEEP_MEASURE_ID_OVERRIDE",$C91,"DEEP_BROKER_ID_OVERRIDE",AN$24,"DEEP_PERIOD_OVERRIDE",$H$19)*1,"")))</f>
        <v/>
      </c>
      <c r="AO91" s="17" t="str">
        <f>IF(OR(AO$23="",ISNA($B91)),"",IF(ISBLANK($B91),"",IFERROR(_xll.BDP(TICKER,"DEEP_MEASURE_PERIOD_BROKER_VALUE","DEEP_MEASURE_ID_OVERRIDE",$C91,"DEEP_BROKER_ID_OVERRIDE",AO$24,"DEEP_PERIOD_OVERRIDE",$H$19)*1,"")))</f>
        <v/>
      </c>
      <c r="AP91" s="17" t="str">
        <f>IF(OR(AP$23="",ISNA($B91)),"",IF(ISBLANK($B91),"",IFERROR(_xll.BDP(TICKER,"DEEP_MEASURE_PERIOD_BROKER_VALUE","DEEP_MEASURE_ID_OVERRIDE",$C91,"DEEP_BROKER_ID_OVERRIDE",AP$24,"DEEP_PERIOD_OVERRIDE",$H$19)*1,"")))</f>
        <v/>
      </c>
      <c r="AQ91" s="17" t="str">
        <f>IF(OR(AQ$23="",ISNA($B91)),"",IF(ISBLANK($B91),"",IFERROR(_xll.BDP(TICKER,"DEEP_MEASURE_PERIOD_BROKER_VALUE","DEEP_MEASURE_ID_OVERRIDE",$C91,"DEEP_BROKER_ID_OVERRIDE",AQ$24,"DEEP_PERIOD_OVERRIDE",$H$19)*1,"")))</f>
        <v/>
      </c>
      <c r="AR91" s="17" t="str">
        <f>IF(OR(AR$23="",ISNA($B91)),"",IF(ISBLANK($B91),"",IFERROR(_xll.BDP(TICKER,"DEEP_MEASURE_PERIOD_BROKER_VALUE","DEEP_MEASURE_ID_OVERRIDE",$C91,"DEEP_BROKER_ID_OVERRIDE",AR$24,"DEEP_PERIOD_OVERRIDE",$H$19)*1,"")))</f>
        <v/>
      </c>
      <c r="AS91" s="17" t="str">
        <f>IF(OR(AS$23="",ISNA($B91)),"",IF(ISBLANK($B91),"",IFERROR(_xll.BDP(TICKER,"DEEP_MEASURE_PERIOD_BROKER_VALUE","DEEP_MEASURE_ID_OVERRIDE",$C91,"DEEP_BROKER_ID_OVERRIDE",AS$24,"DEEP_PERIOD_OVERRIDE",$H$19)*1,"")))</f>
        <v/>
      </c>
      <c r="AT91" s="17" t="str">
        <f>IF(OR(AT$23="",ISNA($B91)),"",IF(ISBLANK($B91),"",IFERROR(_xll.BDP(TICKER,"DEEP_MEASURE_PERIOD_BROKER_VALUE","DEEP_MEASURE_ID_OVERRIDE",$C91,"DEEP_BROKER_ID_OVERRIDE",AT$24,"DEEP_PERIOD_OVERRIDE",$H$19)*1,"")))</f>
        <v/>
      </c>
      <c r="AU91" s="17" t="str">
        <f>IF(OR(AU$23="",ISNA($B91)),"",IF(ISBLANK($B91),"",IFERROR(_xll.BDP(TICKER,"DEEP_MEASURE_PERIOD_BROKER_VALUE","DEEP_MEASURE_ID_OVERRIDE",$C91,"DEEP_BROKER_ID_OVERRIDE",AU$24,"DEEP_PERIOD_OVERRIDE",$H$19)*1,"")))</f>
        <v/>
      </c>
      <c r="AV91" s="17" t="str">
        <f>IF(OR(AV$23="",ISNA($B91)),"",IF(ISBLANK($B91),"",IFERROR(_xll.BDP(TICKER,"DEEP_MEASURE_PERIOD_BROKER_VALUE","DEEP_MEASURE_ID_OVERRIDE",$C91,"DEEP_BROKER_ID_OVERRIDE",AV$24,"DEEP_PERIOD_OVERRIDE",$H$19)*1,"")))</f>
        <v/>
      </c>
      <c r="AW91" s="17" t="str">
        <f>IF(OR(AW$23="",ISNA($B91)),"",IF(ISBLANK($B91),"",IFERROR(_xll.BDP(TICKER,"DEEP_MEASURE_PERIOD_BROKER_VALUE","DEEP_MEASURE_ID_OVERRIDE",$C91,"DEEP_BROKER_ID_OVERRIDE",AW$24,"DEEP_PERIOD_OVERRIDE",$H$19)*1,"")))</f>
        <v/>
      </c>
      <c r="AX91" s="17" t="str">
        <f>IF(OR(AX$23="",ISNA($B91)),"",IF(ISBLANK($B91),"",IFERROR(_xll.BDP(TICKER,"DEEP_MEASURE_PERIOD_BROKER_VALUE","DEEP_MEASURE_ID_OVERRIDE",$C91,"DEEP_BROKER_ID_OVERRIDE",AX$24,"DEEP_PERIOD_OVERRIDE",$H$19)*1,"")))</f>
        <v/>
      </c>
      <c r="AY91" s="17" t="str">
        <f>IF(OR(AY$23="",ISNA($B91)),"",IF(ISBLANK($B91),"",IFERROR(_xll.BDP(TICKER,"DEEP_MEASURE_PERIOD_BROKER_VALUE","DEEP_MEASURE_ID_OVERRIDE",$C91,"DEEP_BROKER_ID_OVERRIDE",AY$24,"DEEP_PERIOD_OVERRIDE",$H$19)*1,"")))</f>
        <v/>
      </c>
      <c r="AZ91" s="17" t="str">
        <f>IF(OR(AZ$23="",ISNA($B91)),"",IF(ISBLANK($B91),"",IFERROR(_xll.BDP(TICKER,"DEEP_MEASURE_PERIOD_BROKER_VALUE","DEEP_MEASURE_ID_OVERRIDE",$C91,"DEEP_BROKER_ID_OVERRIDE",AZ$24,"DEEP_PERIOD_OVERRIDE",$H$19)*1,"")))</f>
        <v/>
      </c>
      <c r="BA91" s="17" t="str">
        <f>IF(OR(BA$23="",ISNA($B91)),"",IF(ISBLANK($B91),"",IFERROR(_xll.BDP(TICKER,"DEEP_MEASURE_PERIOD_BROKER_VALUE","DEEP_MEASURE_ID_OVERRIDE",$C91,"DEEP_BROKER_ID_OVERRIDE",BA$24,"DEEP_PERIOD_OVERRIDE",$H$19)*1,"")))</f>
        <v/>
      </c>
      <c r="BB91" s="17" t="str">
        <f>IF(OR(BB$23="",ISNA($B91)),"",IF(ISBLANK($B91),"",IFERROR(_xll.BDP(TICKER,"DEEP_MEASURE_PERIOD_BROKER_VALUE","DEEP_MEASURE_ID_OVERRIDE",$C91,"DEEP_BROKER_ID_OVERRIDE",BB$24,"DEEP_PERIOD_OVERRIDE",$H$19)*1,"")))</f>
        <v/>
      </c>
      <c r="BC91" s="17" t="str">
        <f>IF(OR(BC$23="",ISNA($B91)),"",IF(ISBLANK($B91),"",IFERROR(_xll.BDP(TICKER,"DEEP_MEASURE_PERIOD_BROKER_VALUE","DEEP_MEASURE_ID_OVERRIDE",$C91,"DEEP_BROKER_ID_OVERRIDE",BC$24,"DEEP_PERIOD_OVERRIDE",$H$19)*1,"")))</f>
        <v/>
      </c>
      <c r="BD91" s="17" t="str">
        <f>IF(OR(BD$23="",ISNA($B91)),"",IF(ISBLANK($B91),"",IFERROR(_xll.BDP(TICKER,"DEEP_MEASURE_PERIOD_BROKER_VALUE","DEEP_MEASURE_ID_OVERRIDE",$C91,"DEEP_BROKER_ID_OVERRIDE",BD$24,"DEEP_PERIOD_OVERRIDE",$H$19)*1,"")))</f>
        <v/>
      </c>
      <c r="BE91" s="17" t="str">
        <f>IF(OR(BE$23="",ISNA($B91)),"",IF(ISBLANK($B91),"",IFERROR(_xll.BDP(TICKER,"DEEP_MEASURE_PERIOD_BROKER_VALUE","DEEP_MEASURE_ID_OVERRIDE",$C91,"DEEP_BROKER_ID_OVERRIDE",BE$24,"DEEP_PERIOD_OVERRIDE",$H$19)*1,"")))</f>
        <v/>
      </c>
      <c r="BF91" s="17" t="str">
        <f>IF(OR(BF$23="",ISNA($B91)),"",IF(ISBLANK($B91),"",IFERROR(_xll.BDP(TICKER,"DEEP_MEASURE_PERIOD_BROKER_VALUE","DEEP_MEASURE_ID_OVERRIDE",$C91,"DEEP_BROKER_ID_OVERRIDE",BF$24,"DEEP_PERIOD_OVERRIDE",$H$19)*1,"")))</f>
        <v/>
      </c>
      <c r="BG91" s="17" t="str">
        <f>IF(OR(BG$23="",ISNA($B91)),"",IF(ISBLANK($B91),"",IFERROR(_xll.BDP(TICKER,"DEEP_MEASURE_PERIOD_BROKER_VALUE","DEEP_MEASURE_ID_OVERRIDE",$C91,"DEEP_BROKER_ID_OVERRIDE",BG$24,"DEEP_PERIOD_OVERRIDE",$H$19)*1,"")))</f>
        <v/>
      </c>
      <c r="BH91" s="17" t="str">
        <f>IF(OR(BH$23="",ISNA($B91)),"",IF(ISBLANK($B91),"",IFERROR(_xll.BDP(TICKER,"DEEP_MEASURE_PERIOD_BROKER_VALUE","DEEP_MEASURE_ID_OVERRIDE",$C91,"DEEP_BROKER_ID_OVERRIDE",BH$24,"DEEP_PERIOD_OVERRIDE",$H$19)*1,"")))</f>
        <v/>
      </c>
      <c r="BI91" s="17" t="str">
        <f>IF(OR(BI$23="",ISNA($B91)),"",IF(ISBLANK($B91),"",IFERROR(_xll.BDP(TICKER,"DEEP_MEASURE_PERIOD_BROKER_VALUE","DEEP_MEASURE_ID_OVERRIDE",$C91,"DEEP_BROKER_ID_OVERRIDE",BI$24,"DEEP_PERIOD_OVERRIDE",$H$19)*1,"")))</f>
        <v/>
      </c>
      <c r="BJ91" s="17" t="str">
        <f>IF(OR(BJ$23="",ISNA($B91)),"",IF(ISBLANK($B91),"",IFERROR(_xll.BDP(TICKER,"DEEP_MEASURE_PERIOD_BROKER_VALUE","DEEP_MEASURE_ID_OVERRIDE",$C91,"DEEP_BROKER_ID_OVERRIDE",BJ$24,"DEEP_PERIOD_OVERRIDE",$H$19)*1,"")))</f>
        <v/>
      </c>
      <c r="BK91" s="17" t="str">
        <f>IF(OR(BK$23="",ISNA($B91)),"",IF(ISBLANK($B91),"",IFERROR(_xll.BDP(TICKER,"DEEP_MEASURE_PERIOD_BROKER_VALUE","DEEP_MEASURE_ID_OVERRIDE",$C91,"DEEP_BROKER_ID_OVERRIDE",BK$24,"DEEP_PERIOD_OVERRIDE",$H$19)*1,"")))</f>
        <v/>
      </c>
      <c r="BL91" s="17" t="str">
        <f>IF(OR(BL$23="",ISNA($B91)),"",IF(ISBLANK($B91),"",IFERROR(_xll.BDP(TICKER,"DEEP_MEASURE_PERIOD_BROKER_VALUE","DEEP_MEASURE_ID_OVERRIDE",$C91,"DEEP_BROKER_ID_OVERRIDE",BL$24,"DEEP_PERIOD_OVERRIDE",$H$19)*1,"")))</f>
        <v/>
      </c>
      <c r="BM91" s="17" t="str">
        <f>IF(OR(BM$23="",ISNA($B91)),"",IF(ISBLANK($B91),"",IFERROR(_xll.BDP(TICKER,"DEEP_MEASURE_PERIOD_BROKER_VALUE","DEEP_MEASURE_ID_OVERRIDE",$C91,"DEEP_BROKER_ID_OVERRIDE",BM$24,"DEEP_PERIOD_OVERRIDE",$H$19)*1,"")))</f>
        <v/>
      </c>
      <c r="BN91" s="17" t="str">
        <f>IF(OR(BN$23="",ISNA($B91)),"",IF(ISBLANK($B91),"",IFERROR(_xll.BDP(TICKER,"DEEP_MEASURE_PERIOD_BROKER_VALUE","DEEP_MEASURE_ID_OVERRIDE",$C91,"DEEP_BROKER_ID_OVERRIDE",BN$24,"DEEP_PERIOD_OVERRIDE",$H$19)*1,"")))</f>
        <v/>
      </c>
      <c r="BO91" s="17" t="str">
        <f>IF(OR(BO$23="",ISNA($B91)),"",IF(ISBLANK($B91),"",IFERROR(_xll.BDP(TICKER,"DEEP_MEASURE_PERIOD_BROKER_VALUE","DEEP_MEASURE_ID_OVERRIDE",$C91,"DEEP_BROKER_ID_OVERRIDE",BO$24,"DEEP_PERIOD_OVERRIDE",$H$19)*1,"")))</f>
        <v/>
      </c>
      <c r="BP91" s="17" t="str">
        <f>IF(OR(BP$23="",ISNA($B91)),"",IF(ISBLANK($B91),"",IFERROR(_xll.BDP(TICKER,"DEEP_MEASURE_PERIOD_BROKER_VALUE","DEEP_MEASURE_ID_OVERRIDE",$C91,"DEEP_BROKER_ID_OVERRIDE",BP$24,"DEEP_PERIOD_OVERRIDE",$H$19)*1,"")))</f>
        <v/>
      </c>
      <c r="BQ91" s="17" t="str">
        <f>IF(OR(BQ$23="",ISNA($B91)),"",IF(ISBLANK($B91),"",IFERROR(_xll.BDP(TICKER,"DEEP_MEASURE_PERIOD_BROKER_VALUE","DEEP_MEASURE_ID_OVERRIDE",$C91,"DEEP_BROKER_ID_OVERRIDE",BQ$24,"DEEP_PERIOD_OVERRIDE",$H$19)*1,"")))</f>
        <v/>
      </c>
      <c r="BR91" s="17" t="str">
        <f>IF(OR(BR$23="",ISNA($B91)),"",IF(ISBLANK($B91),"",IFERROR(_xll.BDP(TICKER,"DEEP_MEASURE_PERIOD_BROKER_VALUE","DEEP_MEASURE_ID_OVERRIDE",$C91,"DEEP_BROKER_ID_OVERRIDE",BR$24,"DEEP_PERIOD_OVERRIDE",$H$19)*1,"")))</f>
        <v/>
      </c>
      <c r="BS91" s="17" t="str">
        <f>IF(OR(BS$23="",ISNA($B91)),"",IF(ISBLANK($B91),"",IFERROR(_xll.BDP(TICKER,"DEEP_MEASURE_PERIOD_BROKER_VALUE","DEEP_MEASURE_ID_OVERRIDE",$C91,"DEEP_BROKER_ID_OVERRIDE",BS$24,"DEEP_PERIOD_OVERRIDE",$H$19)*1,"")))</f>
        <v/>
      </c>
      <c r="BT91" s="17" t="str">
        <f>IF(OR(BT$23="",ISNA($B91)),"",IF(ISBLANK($B91),"",IFERROR(_xll.BDP(TICKER,"DEEP_MEASURE_PERIOD_BROKER_VALUE","DEEP_MEASURE_ID_OVERRIDE",$C91,"DEEP_BROKER_ID_OVERRIDE",BT$24,"DEEP_PERIOD_OVERRIDE",$H$19)*1,"")))</f>
        <v/>
      </c>
      <c r="BU91" s="17" t="str">
        <f>IF(OR(BU$23="",ISNA($B91)),"",IF(ISBLANK($B91),"",IFERROR(_xll.BDP(TICKER,"DEEP_MEASURE_PERIOD_BROKER_VALUE","DEEP_MEASURE_ID_OVERRIDE",$C91,"DEEP_BROKER_ID_OVERRIDE",BU$24,"DEEP_PERIOD_OVERRIDE",$H$19)*1,"")))</f>
        <v/>
      </c>
      <c r="BV91" s="17" t="str">
        <f>IF(OR(BV$23="",ISNA($B91)),"",IF(ISBLANK($B91),"",IFERROR(_xll.BDP(TICKER,"DEEP_MEASURE_PERIOD_BROKER_VALUE","DEEP_MEASURE_ID_OVERRIDE",$C91,"DEEP_BROKER_ID_OVERRIDE",BV$24,"DEEP_PERIOD_OVERRIDE",$H$19)*1,"")))</f>
        <v/>
      </c>
      <c r="BW91" s="17" t="str">
        <f>IF(OR(BW$23="",ISNA($B91)),"",IF(ISBLANK($B91),"",IFERROR(_xll.BDP(TICKER,"DEEP_MEASURE_PERIOD_BROKER_VALUE","DEEP_MEASURE_ID_OVERRIDE",$C91,"DEEP_BROKER_ID_OVERRIDE",BW$24,"DEEP_PERIOD_OVERRIDE",$H$19)*1,"")))</f>
        <v/>
      </c>
      <c r="BX91" s="17" t="str">
        <f>IF(OR(BX$23="",ISNA($B91)),"",IF(ISBLANK($B91),"",IFERROR(_xll.BDP(TICKER,"DEEP_MEASURE_PERIOD_BROKER_VALUE","DEEP_MEASURE_ID_OVERRIDE",$C91,"DEEP_BROKER_ID_OVERRIDE",BX$24,"DEEP_PERIOD_OVERRIDE",$H$19)*1,"")))</f>
        <v/>
      </c>
      <c r="BY91" s="17" t="str">
        <f>IF(OR(BY$23="",ISNA($B91)),"",IF(ISBLANK($B91),"",IFERROR(_xll.BDP(TICKER,"DEEP_MEASURE_PERIOD_BROKER_VALUE","DEEP_MEASURE_ID_OVERRIDE",$C91,"DEEP_BROKER_ID_OVERRIDE",BY$24,"DEEP_PERIOD_OVERRIDE",$H$19)*1,"")))</f>
        <v/>
      </c>
      <c r="BZ91" s="17" t="str">
        <f>IF(OR(BZ$23="",ISNA($B91)),"",IF(ISBLANK($B91),"",IFERROR(_xll.BDP(TICKER,"DEEP_MEASURE_PERIOD_BROKER_VALUE","DEEP_MEASURE_ID_OVERRIDE",$C91,"DEEP_BROKER_ID_OVERRIDE",BZ$24,"DEEP_PERIOD_OVERRIDE",$H$19)*1,"")))</f>
        <v/>
      </c>
    </row>
    <row r="92" spans="2:78" x14ac:dyDescent="0.25">
      <c r="B92" t="s">
        <v>132</v>
      </c>
      <c r="C92">
        <v>1277</v>
      </c>
      <c r="H92" t="str">
        <f t="shared" si="2"/>
        <v>Gross Profit &gt; YoY Growth (%)</v>
      </c>
      <c r="I92" t="str">
        <f>IF(OR(I$23="",ISNA($B92)),"",IF(ISBLANK($B92),"",IFERROR(_xll.BDP(TICKER,"DEEP_MEASURE_PERIOD_BROKER_VALUE","DEEP_MEASURE_ID_OVERRIDE",$C92,"DEEP_PERIOD_OVERRIDE",$H$19)*1,"")))</f>
        <v/>
      </c>
      <c r="J92" t="e">
        <f>IF(OR(J$23="",ISNA($B92)),"",IF(ISBLANK($B92),"",IFERROR(_xll.BDP(TICKER,"DEEP_MEASURE_PERIOD_BROKER_VALUE","DEEP_MEASURE_ID_OVERRIDE",$C92,"DEEP_BROKER_ID_OVERRIDE",J$24,"DEEP_PERIOD_OVERRIDE",$H$19)*1,"")))</f>
        <v>#REF!</v>
      </c>
      <c r="K92" s="17" t="str">
        <f>IF(OR(K$23="",ISNA($B92)),"",IF(ISBLANK($B92),"",IFERROR(_xll.BDP(TICKER,"DEEP_MEASURE_PERIOD_BROKER_VALUE","DEEP_MEASURE_ID_OVERRIDE",$C92,"DEEP_BROKER_ID_OVERRIDE",K$24,"DEEP_PERIOD_OVERRIDE",$H$19)*1,"")))</f>
        <v/>
      </c>
      <c r="L92" s="17" t="str">
        <f>IF(OR(L$23="",ISNA($B92)),"",IF(ISBLANK($B92),"",IFERROR(_xll.BDP(TICKER,"DEEP_MEASURE_PERIOD_BROKER_VALUE","DEEP_MEASURE_ID_OVERRIDE",$C92,"DEEP_BROKER_ID_OVERRIDE",L$24,"DEEP_PERIOD_OVERRIDE",$H$19)*1,"")))</f>
        <v/>
      </c>
      <c r="M92" s="17" t="str">
        <f>IF(OR(M$23="",ISNA($B92)),"",IF(ISBLANK($B92),"",IFERROR(_xll.BDP(TICKER,"DEEP_MEASURE_PERIOD_BROKER_VALUE","DEEP_MEASURE_ID_OVERRIDE",$C92,"DEEP_BROKER_ID_OVERRIDE",M$24,"DEEP_PERIOD_OVERRIDE",$H$19)*1,"")))</f>
        <v/>
      </c>
      <c r="N92" s="17" t="str">
        <f>IF(OR(N$23="",ISNA($B92)),"",IF(ISBLANK($B92),"",IFERROR(_xll.BDP(TICKER,"DEEP_MEASURE_PERIOD_BROKER_VALUE","DEEP_MEASURE_ID_OVERRIDE",$C92,"DEEP_BROKER_ID_OVERRIDE",N$24,"DEEP_PERIOD_OVERRIDE",$H$19)*1,"")))</f>
        <v/>
      </c>
      <c r="O92" s="17" t="str">
        <f>IF(OR(O$23="",ISNA($B92)),"",IF(ISBLANK($B92),"",IFERROR(_xll.BDP(TICKER,"DEEP_MEASURE_PERIOD_BROKER_VALUE","DEEP_MEASURE_ID_OVERRIDE",$C92,"DEEP_BROKER_ID_OVERRIDE",O$24,"DEEP_PERIOD_OVERRIDE",$H$19)*1,"")))</f>
        <v/>
      </c>
      <c r="P92" s="17" t="str">
        <f>IF(OR(P$23="",ISNA($B92)),"",IF(ISBLANK($B92),"",IFERROR(_xll.BDP(TICKER,"DEEP_MEASURE_PERIOD_BROKER_VALUE","DEEP_MEASURE_ID_OVERRIDE",$C92,"DEEP_BROKER_ID_OVERRIDE",P$24,"DEEP_PERIOD_OVERRIDE",$H$19)*1,"")))</f>
        <v/>
      </c>
      <c r="Q92" s="17" t="str">
        <f>IF(OR(Q$23="",ISNA($B92)),"",IF(ISBLANK($B92),"",IFERROR(_xll.BDP(TICKER,"DEEP_MEASURE_PERIOD_BROKER_VALUE","DEEP_MEASURE_ID_OVERRIDE",$C92,"DEEP_BROKER_ID_OVERRIDE",Q$24,"DEEP_PERIOD_OVERRIDE",$H$19)*1,"")))</f>
        <v/>
      </c>
      <c r="R92" s="17" t="str">
        <f>IF(OR(R$23="",ISNA($B92)),"",IF(ISBLANK($B92),"",IFERROR(_xll.BDP(TICKER,"DEEP_MEASURE_PERIOD_BROKER_VALUE","DEEP_MEASURE_ID_OVERRIDE",$C92,"DEEP_BROKER_ID_OVERRIDE",R$24,"DEEP_PERIOD_OVERRIDE",$H$19)*1,"")))</f>
        <v/>
      </c>
      <c r="S92" s="17" t="str">
        <f>IF(OR(S$23="",ISNA($B92)),"",IF(ISBLANK($B92),"",IFERROR(_xll.BDP(TICKER,"DEEP_MEASURE_PERIOD_BROKER_VALUE","DEEP_MEASURE_ID_OVERRIDE",$C92,"DEEP_BROKER_ID_OVERRIDE",S$24,"DEEP_PERIOD_OVERRIDE",$H$19)*1,"")))</f>
        <v/>
      </c>
      <c r="T92" s="17" t="str">
        <f>IF(OR(T$23="",ISNA($B92)),"",IF(ISBLANK($B92),"",IFERROR(_xll.BDP(TICKER,"DEEP_MEASURE_PERIOD_BROKER_VALUE","DEEP_MEASURE_ID_OVERRIDE",$C92,"DEEP_BROKER_ID_OVERRIDE",T$24,"DEEP_PERIOD_OVERRIDE",$H$19)*1,"")))</f>
        <v/>
      </c>
      <c r="U92" s="17" t="str">
        <f>IF(OR(U$23="",ISNA($B92)),"",IF(ISBLANK($B92),"",IFERROR(_xll.BDP(TICKER,"DEEP_MEASURE_PERIOD_BROKER_VALUE","DEEP_MEASURE_ID_OVERRIDE",$C92,"DEEP_BROKER_ID_OVERRIDE",U$24,"DEEP_PERIOD_OVERRIDE",$H$19)*1,"")))</f>
        <v/>
      </c>
      <c r="V92" s="17" t="str">
        <f>IF(OR(V$23="",ISNA($B92)),"",IF(ISBLANK($B92),"",IFERROR(_xll.BDP(TICKER,"DEEP_MEASURE_PERIOD_BROKER_VALUE","DEEP_MEASURE_ID_OVERRIDE",$C92,"DEEP_BROKER_ID_OVERRIDE",V$24,"DEEP_PERIOD_OVERRIDE",$H$19)*1,"")))</f>
        <v/>
      </c>
      <c r="W92" s="17" t="str">
        <f>IF(OR(W$23="",ISNA($B92)),"",IF(ISBLANK($B92),"",IFERROR(_xll.BDP(TICKER,"DEEP_MEASURE_PERIOD_BROKER_VALUE","DEEP_MEASURE_ID_OVERRIDE",$C92,"DEEP_BROKER_ID_OVERRIDE",W$24,"DEEP_PERIOD_OVERRIDE",$H$19)*1,"")))</f>
        <v/>
      </c>
      <c r="X92" s="17" t="str">
        <f>IF(OR(X$23="",ISNA($B92)),"",IF(ISBLANK($B92),"",IFERROR(_xll.BDP(TICKER,"DEEP_MEASURE_PERIOD_BROKER_VALUE","DEEP_MEASURE_ID_OVERRIDE",$C92,"DEEP_BROKER_ID_OVERRIDE",X$24,"DEEP_PERIOD_OVERRIDE",$H$19)*1,"")))</f>
        <v/>
      </c>
      <c r="Y92" s="17" t="str">
        <f>IF(OR(Y$23="",ISNA($B92)),"",IF(ISBLANK($B92),"",IFERROR(_xll.BDP(TICKER,"DEEP_MEASURE_PERIOD_BROKER_VALUE","DEEP_MEASURE_ID_OVERRIDE",$C92,"DEEP_BROKER_ID_OVERRIDE",Y$24,"DEEP_PERIOD_OVERRIDE",$H$19)*1,"")))</f>
        <v/>
      </c>
      <c r="Z92" s="17" t="str">
        <f>IF(OR(Z$23="",ISNA($B92)),"",IF(ISBLANK($B92),"",IFERROR(_xll.BDP(TICKER,"DEEP_MEASURE_PERIOD_BROKER_VALUE","DEEP_MEASURE_ID_OVERRIDE",$C92,"DEEP_BROKER_ID_OVERRIDE",Z$24,"DEEP_PERIOD_OVERRIDE",$H$19)*1,"")))</f>
        <v/>
      </c>
      <c r="AA92" s="17" t="str">
        <f>IF(OR(AA$23="",ISNA($B92)),"",IF(ISBLANK($B92),"",IFERROR(_xll.BDP(TICKER,"DEEP_MEASURE_PERIOD_BROKER_VALUE","DEEP_MEASURE_ID_OVERRIDE",$C92,"DEEP_BROKER_ID_OVERRIDE",AA$24,"DEEP_PERIOD_OVERRIDE",$H$19)*1,"")))</f>
        <v/>
      </c>
      <c r="AB92" s="17" t="str">
        <f>IF(OR(AB$23="",ISNA($B92)),"",IF(ISBLANK($B92),"",IFERROR(_xll.BDP(TICKER,"DEEP_MEASURE_PERIOD_BROKER_VALUE","DEEP_MEASURE_ID_OVERRIDE",$C92,"DEEP_BROKER_ID_OVERRIDE",AB$24,"DEEP_PERIOD_OVERRIDE",$H$19)*1,"")))</f>
        <v/>
      </c>
      <c r="AC92" s="17" t="str">
        <f>IF(OR(AC$23="",ISNA($B92)),"",IF(ISBLANK($B92),"",IFERROR(_xll.BDP(TICKER,"DEEP_MEASURE_PERIOD_BROKER_VALUE","DEEP_MEASURE_ID_OVERRIDE",$C92,"DEEP_BROKER_ID_OVERRIDE",AC$24,"DEEP_PERIOD_OVERRIDE",$H$19)*1,"")))</f>
        <v/>
      </c>
      <c r="AD92" s="17" t="str">
        <f>IF(OR(AD$23="",ISNA($B92)),"",IF(ISBLANK($B92),"",IFERROR(_xll.BDP(TICKER,"DEEP_MEASURE_PERIOD_BROKER_VALUE","DEEP_MEASURE_ID_OVERRIDE",$C92,"DEEP_BROKER_ID_OVERRIDE",AD$24,"DEEP_PERIOD_OVERRIDE",$H$19)*1,"")))</f>
        <v/>
      </c>
      <c r="AE92" s="17" t="str">
        <f>IF(OR(AE$23="",ISNA($B92)),"",IF(ISBLANK($B92),"",IFERROR(_xll.BDP(TICKER,"DEEP_MEASURE_PERIOD_BROKER_VALUE","DEEP_MEASURE_ID_OVERRIDE",$C92,"DEEP_BROKER_ID_OVERRIDE",AE$24,"DEEP_PERIOD_OVERRIDE",$H$19)*1,"")))</f>
        <v/>
      </c>
      <c r="AF92" s="17" t="str">
        <f>IF(OR(AF$23="",ISNA($B92)),"",IF(ISBLANK($B92),"",IFERROR(_xll.BDP(TICKER,"DEEP_MEASURE_PERIOD_BROKER_VALUE","DEEP_MEASURE_ID_OVERRIDE",$C92,"DEEP_BROKER_ID_OVERRIDE",AF$24,"DEEP_PERIOD_OVERRIDE",$H$19)*1,"")))</f>
        <v/>
      </c>
      <c r="AG92" s="17" t="str">
        <f>IF(OR(AG$23="",ISNA($B92)),"",IF(ISBLANK($B92),"",IFERROR(_xll.BDP(TICKER,"DEEP_MEASURE_PERIOD_BROKER_VALUE","DEEP_MEASURE_ID_OVERRIDE",$C92,"DEEP_BROKER_ID_OVERRIDE",AG$24,"DEEP_PERIOD_OVERRIDE",$H$19)*1,"")))</f>
        <v/>
      </c>
      <c r="AH92" s="17" t="str">
        <f>IF(OR(AH$23="",ISNA($B92)),"",IF(ISBLANK($B92),"",IFERROR(_xll.BDP(TICKER,"DEEP_MEASURE_PERIOD_BROKER_VALUE","DEEP_MEASURE_ID_OVERRIDE",$C92,"DEEP_BROKER_ID_OVERRIDE",AH$24,"DEEP_PERIOD_OVERRIDE",$H$19)*1,"")))</f>
        <v/>
      </c>
      <c r="AI92" s="17" t="str">
        <f>IF(OR(AI$23="",ISNA($B92)),"",IF(ISBLANK($B92),"",IFERROR(_xll.BDP(TICKER,"DEEP_MEASURE_PERIOD_BROKER_VALUE","DEEP_MEASURE_ID_OVERRIDE",$C92,"DEEP_BROKER_ID_OVERRIDE",AI$24,"DEEP_PERIOD_OVERRIDE",$H$19)*1,"")))</f>
        <v/>
      </c>
      <c r="AJ92" s="17" t="str">
        <f>IF(OR(AJ$23="",ISNA($B92)),"",IF(ISBLANK($B92),"",IFERROR(_xll.BDP(TICKER,"DEEP_MEASURE_PERIOD_BROKER_VALUE","DEEP_MEASURE_ID_OVERRIDE",$C92,"DEEP_BROKER_ID_OVERRIDE",AJ$24,"DEEP_PERIOD_OVERRIDE",$H$19)*1,"")))</f>
        <v/>
      </c>
      <c r="AK92" s="17" t="str">
        <f>IF(OR(AK$23="",ISNA($B92)),"",IF(ISBLANK($B92),"",IFERROR(_xll.BDP(TICKER,"DEEP_MEASURE_PERIOD_BROKER_VALUE","DEEP_MEASURE_ID_OVERRIDE",$C92,"DEEP_BROKER_ID_OVERRIDE",AK$24,"DEEP_PERIOD_OVERRIDE",$H$19)*1,"")))</f>
        <v/>
      </c>
      <c r="AL92" s="17" t="str">
        <f>IF(OR(AL$23="",ISNA($B92)),"",IF(ISBLANK($B92),"",IFERROR(_xll.BDP(TICKER,"DEEP_MEASURE_PERIOD_BROKER_VALUE","DEEP_MEASURE_ID_OVERRIDE",$C92,"DEEP_BROKER_ID_OVERRIDE",AL$24,"DEEP_PERIOD_OVERRIDE",$H$19)*1,"")))</f>
        <v/>
      </c>
      <c r="AM92" s="17" t="str">
        <f>IF(OR(AM$23="",ISNA($B92)),"",IF(ISBLANK($B92),"",IFERROR(_xll.BDP(TICKER,"DEEP_MEASURE_PERIOD_BROKER_VALUE","DEEP_MEASURE_ID_OVERRIDE",$C92,"DEEP_BROKER_ID_OVERRIDE",AM$24,"DEEP_PERIOD_OVERRIDE",$H$19)*1,"")))</f>
        <v/>
      </c>
      <c r="AN92" s="17" t="str">
        <f>IF(OR(AN$23="",ISNA($B92)),"",IF(ISBLANK($B92),"",IFERROR(_xll.BDP(TICKER,"DEEP_MEASURE_PERIOD_BROKER_VALUE","DEEP_MEASURE_ID_OVERRIDE",$C92,"DEEP_BROKER_ID_OVERRIDE",AN$24,"DEEP_PERIOD_OVERRIDE",$H$19)*1,"")))</f>
        <v/>
      </c>
      <c r="AO92" s="17" t="str">
        <f>IF(OR(AO$23="",ISNA($B92)),"",IF(ISBLANK($B92),"",IFERROR(_xll.BDP(TICKER,"DEEP_MEASURE_PERIOD_BROKER_VALUE","DEEP_MEASURE_ID_OVERRIDE",$C92,"DEEP_BROKER_ID_OVERRIDE",AO$24,"DEEP_PERIOD_OVERRIDE",$H$19)*1,"")))</f>
        <v/>
      </c>
      <c r="AP92" s="17" t="str">
        <f>IF(OR(AP$23="",ISNA($B92)),"",IF(ISBLANK($B92),"",IFERROR(_xll.BDP(TICKER,"DEEP_MEASURE_PERIOD_BROKER_VALUE","DEEP_MEASURE_ID_OVERRIDE",$C92,"DEEP_BROKER_ID_OVERRIDE",AP$24,"DEEP_PERIOD_OVERRIDE",$H$19)*1,"")))</f>
        <v/>
      </c>
      <c r="AQ92" s="17" t="str">
        <f>IF(OR(AQ$23="",ISNA($B92)),"",IF(ISBLANK($B92),"",IFERROR(_xll.BDP(TICKER,"DEEP_MEASURE_PERIOD_BROKER_VALUE","DEEP_MEASURE_ID_OVERRIDE",$C92,"DEEP_BROKER_ID_OVERRIDE",AQ$24,"DEEP_PERIOD_OVERRIDE",$H$19)*1,"")))</f>
        <v/>
      </c>
      <c r="AR92" s="17" t="str">
        <f>IF(OR(AR$23="",ISNA($B92)),"",IF(ISBLANK($B92),"",IFERROR(_xll.BDP(TICKER,"DEEP_MEASURE_PERIOD_BROKER_VALUE","DEEP_MEASURE_ID_OVERRIDE",$C92,"DEEP_BROKER_ID_OVERRIDE",AR$24,"DEEP_PERIOD_OVERRIDE",$H$19)*1,"")))</f>
        <v/>
      </c>
      <c r="AS92" s="17" t="str">
        <f>IF(OR(AS$23="",ISNA($B92)),"",IF(ISBLANK($B92),"",IFERROR(_xll.BDP(TICKER,"DEEP_MEASURE_PERIOD_BROKER_VALUE","DEEP_MEASURE_ID_OVERRIDE",$C92,"DEEP_BROKER_ID_OVERRIDE",AS$24,"DEEP_PERIOD_OVERRIDE",$H$19)*1,"")))</f>
        <v/>
      </c>
      <c r="AT92" s="17" t="str">
        <f>IF(OR(AT$23="",ISNA($B92)),"",IF(ISBLANK($B92),"",IFERROR(_xll.BDP(TICKER,"DEEP_MEASURE_PERIOD_BROKER_VALUE","DEEP_MEASURE_ID_OVERRIDE",$C92,"DEEP_BROKER_ID_OVERRIDE",AT$24,"DEEP_PERIOD_OVERRIDE",$H$19)*1,"")))</f>
        <v/>
      </c>
      <c r="AU92" s="17" t="str">
        <f>IF(OR(AU$23="",ISNA($B92)),"",IF(ISBLANK($B92),"",IFERROR(_xll.BDP(TICKER,"DEEP_MEASURE_PERIOD_BROKER_VALUE","DEEP_MEASURE_ID_OVERRIDE",$C92,"DEEP_BROKER_ID_OVERRIDE",AU$24,"DEEP_PERIOD_OVERRIDE",$H$19)*1,"")))</f>
        <v/>
      </c>
      <c r="AV92" s="17" t="str">
        <f>IF(OR(AV$23="",ISNA($B92)),"",IF(ISBLANK($B92),"",IFERROR(_xll.BDP(TICKER,"DEEP_MEASURE_PERIOD_BROKER_VALUE","DEEP_MEASURE_ID_OVERRIDE",$C92,"DEEP_BROKER_ID_OVERRIDE",AV$24,"DEEP_PERIOD_OVERRIDE",$H$19)*1,"")))</f>
        <v/>
      </c>
      <c r="AW92" s="17" t="str">
        <f>IF(OR(AW$23="",ISNA($B92)),"",IF(ISBLANK($B92),"",IFERROR(_xll.BDP(TICKER,"DEEP_MEASURE_PERIOD_BROKER_VALUE","DEEP_MEASURE_ID_OVERRIDE",$C92,"DEEP_BROKER_ID_OVERRIDE",AW$24,"DEEP_PERIOD_OVERRIDE",$H$19)*1,"")))</f>
        <v/>
      </c>
      <c r="AX92" s="17" t="str">
        <f>IF(OR(AX$23="",ISNA($B92)),"",IF(ISBLANK($B92),"",IFERROR(_xll.BDP(TICKER,"DEEP_MEASURE_PERIOD_BROKER_VALUE","DEEP_MEASURE_ID_OVERRIDE",$C92,"DEEP_BROKER_ID_OVERRIDE",AX$24,"DEEP_PERIOD_OVERRIDE",$H$19)*1,"")))</f>
        <v/>
      </c>
      <c r="AY92" s="17" t="str">
        <f>IF(OR(AY$23="",ISNA($B92)),"",IF(ISBLANK($B92),"",IFERROR(_xll.BDP(TICKER,"DEEP_MEASURE_PERIOD_BROKER_VALUE","DEEP_MEASURE_ID_OVERRIDE",$C92,"DEEP_BROKER_ID_OVERRIDE",AY$24,"DEEP_PERIOD_OVERRIDE",$H$19)*1,"")))</f>
        <v/>
      </c>
      <c r="AZ92" s="17" t="str">
        <f>IF(OR(AZ$23="",ISNA($B92)),"",IF(ISBLANK($B92),"",IFERROR(_xll.BDP(TICKER,"DEEP_MEASURE_PERIOD_BROKER_VALUE","DEEP_MEASURE_ID_OVERRIDE",$C92,"DEEP_BROKER_ID_OVERRIDE",AZ$24,"DEEP_PERIOD_OVERRIDE",$H$19)*1,"")))</f>
        <v/>
      </c>
      <c r="BA92" s="17" t="str">
        <f>IF(OR(BA$23="",ISNA($B92)),"",IF(ISBLANK($B92),"",IFERROR(_xll.BDP(TICKER,"DEEP_MEASURE_PERIOD_BROKER_VALUE","DEEP_MEASURE_ID_OVERRIDE",$C92,"DEEP_BROKER_ID_OVERRIDE",BA$24,"DEEP_PERIOD_OVERRIDE",$H$19)*1,"")))</f>
        <v/>
      </c>
      <c r="BB92" s="17" t="str">
        <f>IF(OR(BB$23="",ISNA($B92)),"",IF(ISBLANK($B92),"",IFERROR(_xll.BDP(TICKER,"DEEP_MEASURE_PERIOD_BROKER_VALUE","DEEP_MEASURE_ID_OVERRIDE",$C92,"DEEP_BROKER_ID_OVERRIDE",BB$24,"DEEP_PERIOD_OVERRIDE",$H$19)*1,"")))</f>
        <v/>
      </c>
      <c r="BC92" s="17" t="str">
        <f>IF(OR(BC$23="",ISNA($B92)),"",IF(ISBLANK($B92),"",IFERROR(_xll.BDP(TICKER,"DEEP_MEASURE_PERIOD_BROKER_VALUE","DEEP_MEASURE_ID_OVERRIDE",$C92,"DEEP_BROKER_ID_OVERRIDE",BC$24,"DEEP_PERIOD_OVERRIDE",$H$19)*1,"")))</f>
        <v/>
      </c>
      <c r="BD92" s="17" t="str">
        <f>IF(OR(BD$23="",ISNA($B92)),"",IF(ISBLANK($B92),"",IFERROR(_xll.BDP(TICKER,"DEEP_MEASURE_PERIOD_BROKER_VALUE","DEEP_MEASURE_ID_OVERRIDE",$C92,"DEEP_BROKER_ID_OVERRIDE",BD$24,"DEEP_PERIOD_OVERRIDE",$H$19)*1,"")))</f>
        <v/>
      </c>
      <c r="BE92" s="17" t="str">
        <f>IF(OR(BE$23="",ISNA($B92)),"",IF(ISBLANK($B92),"",IFERROR(_xll.BDP(TICKER,"DEEP_MEASURE_PERIOD_BROKER_VALUE","DEEP_MEASURE_ID_OVERRIDE",$C92,"DEEP_BROKER_ID_OVERRIDE",BE$24,"DEEP_PERIOD_OVERRIDE",$H$19)*1,"")))</f>
        <v/>
      </c>
      <c r="BF92" s="17" t="str">
        <f>IF(OR(BF$23="",ISNA($B92)),"",IF(ISBLANK($B92),"",IFERROR(_xll.BDP(TICKER,"DEEP_MEASURE_PERIOD_BROKER_VALUE","DEEP_MEASURE_ID_OVERRIDE",$C92,"DEEP_BROKER_ID_OVERRIDE",BF$24,"DEEP_PERIOD_OVERRIDE",$H$19)*1,"")))</f>
        <v/>
      </c>
      <c r="BG92" s="17" t="str">
        <f>IF(OR(BG$23="",ISNA($B92)),"",IF(ISBLANK($B92),"",IFERROR(_xll.BDP(TICKER,"DEEP_MEASURE_PERIOD_BROKER_VALUE","DEEP_MEASURE_ID_OVERRIDE",$C92,"DEEP_BROKER_ID_OVERRIDE",BG$24,"DEEP_PERIOD_OVERRIDE",$H$19)*1,"")))</f>
        <v/>
      </c>
      <c r="BH92" s="17" t="str">
        <f>IF(OR(BH$23="",ISNA($B92)),"",IF(ISBLANK($B92),"",IFERROR(_xll.BDP(TICKER,"DEEP_MEASURE_PERIOD_BROKER_VALUE","DEEP_MEASURE_ID_OVERRIDE",$C92,"DEEP_BROKER_ID_OVERRIDE",BH$24,"DEEP_PERIOD_OVERRIDE",$H$19)*1,"")))</f>
        <v/>
      </c>
      <c r="BI92" s="17" t="str">
        <f>IF(OR(BI$23="",ISNA($B92)),"",IF(ISBLANK($B92),"",IFERROR(_xll.BDP(TICKER,"DEEP_MEASURE_PERIOD_BROKER_VALUE","DEEP_MEASURE_ID_OVERRIDE",$C92,"DEEP_BROKER_ID_OVERRIDE",BI$24,"DEEP_PERIOD_OVERRIDE",$H$19)*1,"")))</f>
        <v/>
      </c>
      <c r="BJ92" s="17" t="str">
        <f>IF(OR(BJ$23="",ISNA($B92)),"",IF(ISBLANK($B92),"",IFERROR(_xll.BDP(TICKER,"DEEP_MEASURE_PERIOD_BROKER_VALUE","DEEP_MEASURE_ID_OVERRIDE",$C92,"DEEP_BROKER_ID_OVERRIDE",BJ$24,"DEEP_PERIOD_OVERRIDE",$H$19)*1,"")))</f>
        <v/>
      </c>
      <c r="BK92" s="17" t="str">
        <f>IF(OR(BK$23="",ISNA($B92)),"",IF(ISBLANK($B92),"",IFERROR(_xll.BDP(TICKER,"DEEP_MEASURE_PERIOD_BROKER_VALUE","DEEP_MEASURE_ID_OVERRIDE",$C92,"DEEP_BROKER_ID_OVERRIDE",BK$24,"DEEP_PERIOD_OVERRIDE",$H$19)*1,"")))</f>
        <v/>
      </c>
      <c r="BL92" s="17" t="str">
        <f>IF(OR(BL$23="",ISNA($B92)),"",IF(ISBLANK($B92),"",IFERROR(_xll.BDP(TICKER,"DEEP_MEASURE_PERIOD_BROKER_VALUE","DEEP_MEASURE_ID_OVERRIDE",$C92,"DEEP_BROKER_ID_OVERRIDE",BL$24,"DEEP_PERIOD_OVERRIDE",$H$19)*1,"")))</f>
        <v/>
      </c>
      <c r="BM92" s="17" t="str">
        <f>IF(OR(BM$23="",ISNA($B92)),"",IF(ISBLANK($B92),"",IFERROR(_xll.BDP(TICKER,"DEEP_MEASURE_PERIOD_BROKER_VALUE","DEEP_MEASURE_ID_OVERRIDE",$C92,"DEEP_BROKER_ID_OVERRIDE",BM$24,"DEEP_PERIOD_OVERRIDE",$H$19)*1,"")))</f>
        <v/>
      </c>
      <c r="BN92" s="17" t="str">
        <f>IF(OR(BN$23="",ISNA($B92)),"",IF(ISBLANK($B92),"",IFERROR(_xll.BDP(TICKER,"DEEP_MEASURE_PERIOD_BROKER_VALUE","DEEP_MEASURE_ID_OVERRIDE",$C92,"DEEP_BROKER_ID_OVERRIDE",BN$24,"DEEP_PERIOD_OVERRIDE",$H$19)*1,"")))</f>
        <v/>
      </c>
      <c r="BO92" s="17" t="str">
        <f>IF(OR(BO$23="",ISNA($B92)),"",IF(ISBLANK($B92),"",IFERROR(_xll.BDP(TICKER,"DEEP_MEASURE_PERIOD_BROKER_VALUE","DEEP_MEASURE_ID_OVERRIDE",$C92,"DEEP_BROKER_ID_OVERRIDE",BO$24,"DEEP_PERIOD_OVERRIDE",$H$19)*1,"")))</f>
        <v/>
      </c>
      <c r="BP92" s="17" t="str">
        <f>IF(OR(BP$23="",ISNA($B92)),"",IF(ISBLANK($B92),"",IFERROR(_xll.BDP(TICKER,"DEEP_MEASURE_PERIOD_BROKER_VALUE","DEEP_MEASURE_ID_OVERRIDE",$C92,"DEEP_BROKER_ID_OVERRIDE",BP$24,"DEEP_PERIOD_OVERRIDE",$H$19)*1,"")))</f>
        <v/>
      </c>
      <c r="BQ92" s="17" t="str">
        <f>IF(OR(BQ$23="",ISNA($B92)),"",IF(ISBLANK($B92),"",IFERROR(_xll.BDP(TICKER,"DEEP_MEASURE_PERIOD_BROKER_VALUE","DEEP_MEASURE_ID_OVERRIDE",$C92,"DEEP_BROKER_ID_OVERRIDE",BQ$24,"DEEP_PERIOD_OVERRIDE",$H$19)*1,"")))</f>
        <v/>
      </c>
      <c r="BR92" s="17" t="str">
        <f>IF(OR(BR$23="",ISNA($B92)),"",IF(ISBLANK($B92),"",IFERROR(_xll.BDP(TICKER,"DEEP_MEASURE_PERIOD_BROKER_VALUE","DEEP_MEASURE_ID_OVERRIDE",$C92,"DEEP_BROKER_ID_OVERRIDE",BR$24,"DEEP_PERIOD_OVERRIDE",$H$19)*1,"")))</f>
        <v/>
      </c>
      <c r="BS92" s="17" t="str">
        <f>IF(OR(BS$23="",ISNA($B92)),"",IF(ISBLANK($B92),"",IFERROR(_xll.BDP(TICKER,"DEEP_MEASURE_PERIOD_BROKER_VALUE","DEEP_MEASURE_ID_OVERRIDE",$C92,"DEEP_BROKER_ID_OVERRIDE",BS$24,"DEEP_PERIOD_OVERRIDE",$H$19)*1,"")))</f>
        <v/>
      </c>
      <c r="BT92" s="17" t="str">
        <f>IF(OR(BT$23="",ISNA($B92)),"",IF(ISBLANK($B92),"",IFERROR(_xll.BDP(TICKER,"DEEP_MEASURE_PERIOD_BROKER_VALUE","DEEP_MEASURE_ID_OVERRIDE",$C92,"DEEP_BROKER_ID_OVERRIDE",BT$24,"DEEP_PERIOD_OVERRIDE",$H$19)*1,"")))</f>
        <v/>
      </c>
      <c r="BU92" s="17" t="str">
        <f>IF(OR(BU$23="",ISNA($B92)),"",IF(ISBLANK($B92),"",IFERROR(_xll.BDP(TICKER,"DEEP_MEASURE_PERIOD_BROKER_VALUE","DEEP_MEASURE_ID_OVERRIDE",$C92,"DEEP_BROKER_ID_OVERRIDE",BU$24,"DEEP_PERIOD_OVERRIDE",$H$19)*1,"")))</f>
        <v/>
      </c>
      <c r="BV92" s="17" t="str">
        <f>IF(OR(BV$23="",ISNA($B92)),"",IF(ISBLANK($B92),"",IFERROR(_xll.BDP(TICKER,"DEEP_MEASURE_PERIOD_BROKER_VALUE","DEEP_MEASURE_ID_OVERRIDE",$C92,"DEEP_BROKER_ID_OVERRIDE",BV$24,"DEEP_PERIOD_OVERRIDE",$H$19)*1,"")))</f>
        <v/>
      </c>
      <c r="BW92" s="17" t="str">
        <f>IF(OR(BW$23="",ISNA($B92)),"",IF(ISBLANK($B92),"",IFERROR(_xll.BDP(TICKER,"DEEP_MEASURE_PERIOD_BROKER_VALUE","DEEP_MEASURE_ID_OVERRIDE",$C92,"DEEP_BROKER_ID_OVERRIDE",BW$24,"DEEP_PERIOD_OVERRIDE",$H$19)*1,"")))</f>
        <v/>
      </c>
      <c r="BX92" s="17" t="str">
        <f>IF(OR(BX$23="",ISNA($B92)),"",IF(ISBLANK($B92),"",IFERROR(_xll.BDP(TICKER,"DEEP_MEASURE_PERIOD_BROKER_VALUE","DEEP_MEASURE_ID_OVERRIDE",$C92,"DEEP_BROKER_ID_OVERRIDE",BX$24,"DEEP_PERIOD_OVERRIDE",$H$19)*1,"")))</f>
        <v/>
      </c>
      <c r="BY92" s="17" t="str">
        <f>IF(OR(BY$23="",ISNA($B92)),"",IF(ISBLANK($B92),"",IFERROR(_xll.BDP(TICKER,"DEEP_MEASURE_PERIOD_BROKER_VALUE","DEEP_MEASURE_ID_OVERRIDE",$C92,"DEEP_BROKER_ID_OVERRIDE",BY$24,"DEEP_PERIOD_OVERRIDE",$H$19)*1,"")))</f>
        <v/>
      </c>
      <c r="BZ92" s="17" t="str">
        <f>IF(OR(BZ$23="",ISNA($B92)),"",IF(ISBLANK($B92),"",IFERROR(_xll.BDP(TICKER,"DEEP_MEASURE_PERIOD_BROKER_VALUE","DEEP_MEASURE_ID_OVERRIDE",$C92,"DEEP_BROKER_ID_OVERRIDE",BZ$24,"DEEP_PERIOD_OVERRIDE",$H$19)*1,"")))</f>
        <v/>
      </c>
    </row>
    <row r="93" spans="2:78" x14ac:dyDescent="0.25">
      <c r="B93" t="s">
        <v>133</v>
      </c>
      <c r="C93">
        <v>900</v>
      </c>
      <c r="H93" t="str">
        <f t="shared" si="2"/>
        <v>Sales &amp; Marketing Expenses</v>
      </c>
      <c r="I93" t="str">
        <f>IF(OR(I$23="",ISNA($B93)),"",IF(ISBLANK($B93),"",IFERROR(_xll.BDP(TICKER,"DEEP_MEASURE_PERIOD_BROKER_VALUE","DEEP_MEASURE_ID_OVERRIDE",$C93,"DEEP_PERIOD_OVERRIDE",$H$19)*1,"")))</f>
        <v/>
      </c>
      <c r="J93" t="e">
        <f>IF(OR(J$23="",ISNA($B93)),"",IF(ISBLANK($B93),"",IFERROR(_xll.BDP(TICKER,"DEEP_MEASURE_PERIOD_BROKER_VALUE","DEEP_MEASURE_ID_OVERRIDE",$C93,"DEEP_BROKER_ID_OVERRIDE",J$24,"DEEP_PERIOD_OVERRIDE",$H$19)*1,"")))</f>
        <v>#REF!</v>
      </c>
      <c r="K93" s="17" t="str">
        <f>IF(OR(K$23="",ISNA($B93)),"",IF(ISBLANK($B93),"",IFERROR(_xll.BDP(TICKER,"DEEP_MEASURE_PERIOD_BROKER_VALUE","DEEP_MEASURE_ID_OVERRIDE",$C93,"DEEP_BROKER_ID_OVERRIDE",K$24,"DEEP_PERIOD_OVERRIDE",$H$19)*1,"")))</f>
        <v/>
      </c>
      <c r="L93" s="17" t="str">
        <f>IF(OR(L$23="",ISNA($B93)),"",IF(ISBLANK($B93),"",IFERROR(_xll.BDP(TICKER,"DEEP_MEASURE_PERIOD_BROKER_VALUE","DEEP_MEASURE_ID_OVERRIDE",$C93,"DEEP_BROKER_ID_OVERRIDE",L$24,"DEEP_PERIOD_OVERRIDE",$H$19)*1,"")))</f>
        <v/>
      </c>
      <c r="M93" s="17" t="str">
        <f>IF(OR(M$23="",ISNA($B93)),"",IF(ISBLANK($B93),"",IFERROR(_xll.BDP(TICKER,"DEEP_MEASURE_PERIOD_BROKER_VALUE","DEEP_MEASURE_ID_OVERRIDE",$C93,"DEEP_BROKER_ID_OVERRIDE",M$24,"DEEP_PERIOD_OVERRIDE",$H$19)*1,"")))</f>
        <v/>
      </c>
      <c r="N93" s="17" t="str">
        <f>IF(OR(N$23="",ISNA($B93)),"",IF(ISBLANK($B93),"",IFERROR(_xll.BDP(TICKER,"DEEP_MEASURE_PERIOD_BROKER_VALUE","DEEP_MEASURE_ID_OVERRIDE",$C93,"DEEP_BROKER_ID_OVERRIDE",N$24,"DEEP_PERIOD_OVERRIDE",$H$19)*1,"")))</f>
        <v/>
      </c>
      <c r="O93" s="17" t="str">
        <f>IF(OR(O$23="",ISNA($B93)),"",IF(ISBLANK($B93),"",IFERROR(_xll.BDP(TICKER,"DEEP_MEASURE_PERIOD_BROKER_VALUE","DEEP_MEASURE_ID_OVERRIDE",$C93,"DEEP_BROKER_ID_OVERRIDE",O$24,"DEEP_PERIOD_OVERRIDE",$H$19)*1,"")))</f>
        <v/>
      </c>
      <c r="P93" s="17" t="str">
        <f>IF(OR(P$23="",ISNA($B93)),"",IF(ISBLANK($B93),"",IFERROR(_xll.BDP(TICKER,"DEEP_MEASURE_PERIOD_BROKER_VALUE","DEEP_MEASURE_ID_OVERRIDE",$C93,"DEEP_BROKER_ID_OVERRIDE",P$24,"DEEP_PERIOD_OVERRIDE",$H$19)*1,"")))</f>
        <v/>
      </c>
      <c r="Q93" s="17" t="str">
        <f>IF(OR(Q$23="",ISNA($B93)),"",IF(ISBLANK($B93),"",IFERROR(_xll.BDP(TICKER,"DEEP_MEASURE_PERIOD_BROKER_VALUE","DEEP_MEASURE_ID_OVERRIDE",$C93,"DEEP_BROKER_ID_OVERRIDE",Q$24,"DEEP_PERIOD_OVERRIDE",$H$19)*1,"")))</f>
        <v/>
      </c>
      <c r="R93" s="17" t="str">
        <f>IF(OR(R$23="",ISNA($B93)),"",IF(ISBLANK($B93),"",IFERROR(_xll.BDP(TICKER,"DEEP_MEASURE_PERIOD_BROKER_VALUE","DEEP_MEASURE_ID_OVERRIDE",$C93,"DEEP_BROKER_ID_OVERRIDE",R$24,"DEEP_PERIOD_OVERRIDE",$H$19)*1,"")))</f>
        <v/>
      </c>
      <c r="S93" s="17" t="str">
        <f>IF(OR(S$23="",ISNA($B93)),"",IF(ISBLANK($B93),"",IFERROR(_xll.BDP(TICKER,"DEEP_MEASURE_PERIOD_BROKER_VALUE","DEEP_MEASURE_ID_OVERRIDE",$C93,"DEEP_BROKER_ID_OVERRIDE",S$24,"DEEP_PERIOD_OVERRIDE",$H$19)*1,"")))</f>
        <v/>
      </c>
      <c r="T93" s="17" t="str">
        <f>IF(OR(T$23="",ISNA($B93)),"",IF(ISBLANK($B93),"",IFERROR(_xll.BDP(TICKER,"DEEP_MEASURE_PERIOD_BROKER_VALUE","DEEP_MEASURE_ID_OVERRIDE",$C93,"DEEP_BROKER_ID_OVERRIDE",T$24,"DEEP_PERIOD_OVERRIDE",$H$19)*1,"")))</f>
        <v/>
      </c>
      <c r="U93" s="17" t="str">
        <f>IF(OR(U$23="",ISNA($B93)),"",IF(ISBLANK($B93),"",IFERROR(_xll.BDP(TICKER,"DEEP_MEASURE_PERIOD_BROKER_VALUE","DEEP_MEASURE_ID_OVERRIDE",$C93,"DEEP_BROKER_ID_OVERRIDE",U$24,"DEEP_PERIOD_OVERRIDE",$H$19)*1,"")))</f>
        <v/>
      </c>
      <c r="V93" s="17" t="str">
        <f>IF(OR(V$23="",ISNA($B93)),"",IF(ISBLANK($B93),"",IFERROR(_xll.BDP(TICKER,"DEEP_MEASURE_PERIOD_BROKER_VALUE","DEEP_MEASURE_ID_OVERRIDE",$C93,"DEEP_BROKER_ID_OVERRIDE",V$24,"DEEP_PERIOD_OVERRIDE",$H$19)*1,"")))</f>
        <v/>
      </c>
      <c r="W93" s="17" t="str">
        <f>IF(OR(W$23="",ISNA($B93)),"",IF(ISBLANK($B93),"",IFERROR(_xll.BDP(TICKER,"DEEP_MEASURE_PERIOD_BROKER_VALUE","DEEP_MEASURE_ID_OVERRIDE",$C93,"DEEP_BROKER_ID_OVERRIDE",W$24,"DEEP_PERIOD_OVERRIDE",$H$19)*1,"")))</f>
        <v/>
      </c>
      <c r="X93" s="17" t="str">
        <f>IF(OR(X$23="",ISNA($B93)),"",IF(ISBLANK($B93),"",IFERROR(_xll.BDP(TICKER,"DEEP_MEASURE_PERIOD_BROKER_VALUE","DEEP_MEASURE_ID_OVERRIDE",$C93,"DEEP_BROKER_ID_OVERRIDE",X$24,"DEEP_PERIOD_OVERRIDE",$H$19)*1,"")))</f>
        <v/>
      </c>
      <c r="Y93" s="17" t="str">
        <f>IF(OR(Y$23="",ISNA($B93)),"",IF(ISBLANK($B93),"",IFERROR(_xll.BDP(TICKER,"DEEP_MEASURE_PERIOD_BROKER_VALUE","DEEP_MEASURE_ID_OVERRIDE",$C93,"DEEP_BROKER_ID_OVERRIDE",Y$24,"DEEP_PERIOD_OVERRIDE",$H$19)*1,"")))</f>
        <v/>
      </c>
      <c r="Z93" s="17" t="str">
        <f>IF(OR(Z$23="",ISNA($B93)),"",IF(ISBLANK($B93),"",IFERROR(_xll.BDP(TICKER,"DEEP_MEASURE_PERIOD_BROKER_VALUE","DEEP_MEASURE_ID_OVERRIDE",$C93,"DEEP_BROKER_ID_OVERRIDE",Z$24,"DEEP_PERIOD_OVERRIDE",$H$19)*1,"")))</f>
        <v/>
      </c>
      <c r="AA93" s="17" t="str">
        <f>IF(OR(AA$23="",ISNA($B93)),"",IF(ISBLANK($B93),"",IFERROR(_xll.BDP(TICKER,"DEEP_MEASURE_PERIOD_BROKER_VALUE","DEEP_MEASURE_ID_OVERRIDE",$C93,"DEEP_BROKER_ID_OVERRIDE",AA$24,"DEEP_PERIOD_OVERRIDE",$H$19)*1,"")))</f>
        <v/>
      </c>
      <c r="AB93" s="17" t="str">
        <f>IF(OR(AB$23="",ISNA($B93)),"",IF(ISBLANK($B93),"",IFERROR(_xll.BDP(TICKER,"DEEP_MEASURE_PERIOD_BROKER_VALUE","DEEP_MEASURE_ID_OVERRIDE",$C93,"DEEP_BROKER_ID_OVERRIDE",AB$24,"DEEP_PERIOD_OVERRIDE",$H$19)*1,"")))</f>
        <v/>
      </c>
      <c r="AC93" s="17" t="str">
        <f>IF(OR(AC$23="",ISNA($B93)),"",IF(ISBLANK($B93),"",IFERROR(_xll.BDP(TICKER,"DEEP_MEASURE_PERIOD_BROKER_VALUE","DEEP_MEASURE_ID_OVERRIDE",$C93,"DEEP_BROKER_ID_OVERRIDE",AC$24,"DEEP_PERIOD_OVERRIDE",$H$19)*1,"")))</f>
        <v/>
      </c>
      <c r="AD93" s="17" t="str">
        <f>IF(OR(AD$23="",ISNA($B93)),"",IF(ISBLANK($B93),"",IFERROR(_xll.BDP(TICKER,"DEEP_MEASURE_PERIOD_BROKER_VALUE","DEEP_MEASURE_ID_OVERRIDE",$C93,"DEEP_BROKER_ID_OVERRIDE",AD$24,"DEEP_PERIOD_OVERRIDE",$H$19)*1,"")))</f>
        <v/>
      </c>
      <c r="AE93" s="17" t="str">
        <f>IF(OR(AE$23="",ISNA($B93)),"",IF(ISBLANK($B93),"",IFERROR(_xll.BDP(TICKER,"DEEP_MEASURE_PERIOD_BROKER_VALUE","DEEP_MEASURE_ID_OVERRIDE",$C93,"DEEP_BROKER_ID_OVERRIDE",AE$24,"DEEP_PERIOD_OVERRIDE",$H$19)*1,"")))</f>
        <v/>
      </c>
      <c r="AF93" s="17" t="str">
        <f>IF(OR(AF$23="",ISNA($B93)),"",IF(ISBLANK($B93),"",IFERROR(_xll.BDP(TICKER,"DEEP_MEASURE_PERIOD_BROKER_VALUE","DEEP_MEASURE_ID_OVERRIDE",$C93,"DEEP_BROKER_ID_OVERRIDE",AF$24,"DEEP_PERIOD_OVERRIDE",$H$19)*1,"")))</f>
        <v/>
      </c>
      <c r="AG93" s="17" t="str">
        <f>IF(OR(AG$23="",ISNA($B93)),"",IF(ISBLANK($B93),"",IFERROR(_xll.BDP(TICKER,"DEEP_MEASURE_PERIOD_BROKER_VALUE","DEEP_MEASURE_ID_OVERRIDE",$C93,"DEEP_BROKER_ID_OVERRIDE",AG$24,"DEEP_PERIOD_OVERRIDE",$H$19)*1,"")))</f>
        <v/>
      </c>
      <c r="AH93" s="17" t="str">
        <f>IF(OR(AH$23="",ISNA($B93)),"",IF(ISBLANK($B93),"",IFERROR(_xll.BDP(TICKER,"DEEP_MEASURE_PERIOD_BROKER_VALUE","DEEP_MEASURE_ID_OVERRIDE",$C93,"DEEP_BROKER_ID_OVERRIDE",AH$24,"DEEP_PERIOD_OVERRIDE",$H$19)*1,"")))</f>
        <v/>
      </c>
      <c r="AI93" s="17" t="str">
        <f>IF(OR(AI$23="",ISNA($B93)),"",IF(ISBLANK($B93),"",IFERROR(_xll.BDP(TICKER,"DEEP_MEASURE_PERIOD_BROKER_VALUE","DEEP_MEASURE_ID_OVERRIDE",$C93,"DEEP_BROKER_ID_OVERRIDE",AI$24,"DEEP_PERIOD_OVERRIDE",$H$19)*1,"")))</f>
        <v/>
      </c>
      <c r="AJ93" s="17" t="str">
        <f>IF(OR(AJ$23="",ISNA($B93)),"",IF(ISBLANK($B93),"",IFERROR(_xll.BDP(TICKER,"DEEP_MEASURE_PERIOD_BROKER_VALUE","DEEP_MEASURE_ID_OVERRIDE",$C93,"DEEP_BROKER_ID_OVERRIDE",AJ$24,"DEEP_PERIOD_OVERRIDE",$H$19)*1,"")))</f>
        <v/>
      </c>
      <c r="AK93" s="17" t="str">
        <f>IF(OR(AK$23="",ISNA($B93)),"",IF(ISBLANK($B93),"",IFERROR(_xll.BDP(TICKER,"DEEP_MEASURE_PERIOD_BROKER_VALUE","DEEP_MEASURE_ID_OVERRIDE",$C93,"DEEP_BROKER_ID_OVERRIDE",AK$24,"DEEP_PERIOD_OVERRIDE",$H$19)*1,"")))</f>
        <v/>
      </c>
      <c r="AL93" s="17" t="str">
        <f>IF(OR(AL$23="",ISNA($B93)),"",IF(ISBLANK($B93),"",IFERROR(_xll.BDP(TICKER,"DEEP_MEASURE_PERIOD_BROKER_VALUE","DEEP_MEASURE_ID_OVERRIDE",$C93,"DEEP_BROKER_ID_OVERRIDE",AL$24,"DEEP_PERIOD_OVERRIDE",$H$19)*1,"")))</f>
        <v/>
      </c>
      <c r="AM93" s="17" t="str">
        <f>IF(OR(AM$23="",ISNA($B93)),"",IF(ISBLANK($B93),"",IFERROR(_xll.BDP(TICKER,"DEEP_MEASURE_PERIOD_BROKER_VALUE","DEEP_MEASURE_ID_OVERRIDE",$C93,"DEEP_BROKER_ID_OVERRIDE",AM$24,"DEEP_PERIOD_OVERRIDE",$H$19)*1,"")))</f>
        <v/>
      </c>
      <c r="AN93" s="17" t="str">
        <f>IF(OR(AN$23="",ISNA($B93)),"",IF(ISBLANK($B93),"",IFERROR(_xll.BDP(TICKER,"DEEP_MEASURE_PERIOD_BROKER_VALUE","DEEP_MEASURE_ID_OVERRIDE",$C93,"DEEP_BROKER_ID_OVERRIDE",AN$24,"DEEP_PERIOD_OVERRIDE",$H$19)*1,"")))</f>
        <v/>
      </c>
      <c r="AO93" s="17" t="str">
        <f>IF(OR(AO$23="",ISNA($B93)),"",IF(ISBLANK($B93),"",IFERROR(_xll.BDP(TICKER,"DEEP_MEASURE_PERIOD_BROKER_VALUE","DEEP_MEASURE_ID_OVERRIDE",$C93,"DEEP_BROKER_ID_OVERRIDE",AO$24,"DEEP_PERIOD_OVERRIDE",$H$19)*1,"")))</f>
        <v/>
      </c>
      <c r="AP93" s="17" t="str">
        <f>IF(OR(AP$23="",ISNA($B93)),"",IF(ISBLANK($B93),"",IFERROR(_xll.BDP(TICKER,"DEEP_MEASURE_PERIOD_BROKER_VALUE","DEEP_MEASURE_ID_OVERRIDE",$C93,"DEEP_BROKER_ID_OVERRIDE",AP$24,"DEEP_PERIOD_OVERRIDE",$H$19)*1,"")))</f>
        <v/>
      </c>
      <c r="AQ93" s="17" t="str">
        <f>IF(OR(AQ$23="",ISNA($B93)),"",IF(ISBLANK($B93),"",IFERROR(_xll.BDP(TICKER,"DEEP_MEASURE_PERIOD_BROKER_VALUE","DEEP_MEASURE_ID_OVERRIDE",$C93,"DEEP_BROKER_ID_OVERRIDE",AQ$24,"DEEP_PERIOD_OVERRIDE",$H$19)*1,"")))</f>
        <v/>
      </c>
      <c r="AR93" s="17" t="str">
        <f>IF(OR(AR$23="",ISNA($B93)),"",IF(ISBLANK($B93),"",IFERROR(_xll.BDP(TICKER,"DEEP_MEASURE_PERIOD_BROKER_VALUE","DEEP_MEASURE_ID_OVERRIDE",$C93,"DEEP_BROKER_ID_OVERRIDE",AR$24,"DEEP_PERIOD_OVERRIDE",$H$19)*1,"")))</f>
        <v/>
      </c>
      <c r="AS93" s="17" t="str">
        <f>IF(OR(AS$23="",ISNA($B93)),"",IF(ISBLANK($B93),"",IFERROR(_xll.BDP(TICKER,"DEEP_MEASURE_PERIOD_BROKER_VALUE","DEEP_MEASURE_ID_OVERRIDE",$C93,"DEEP_BROKER_ID_OVERRIDE",AS$24,"DEEP_PERIOD_OVERRIDE",$H$19)*1,"")))</f>
        <v/>
      </c>
      <c r="AT93" s="17" t="str">
        <f>IF(OR(AT$23="",ISNA($B93)),"",IF(ISBLANK($B93),"",IFERROR(_xll.BDP(TICKER,"DEEP_MEASURE_PERIOD_BROKER_VALUE","DEEP_MEASURE_ID_OVERRIDE",$C93,"DEEP_BROKER_ID_OVERRIDE",AT$24,"DEEP_PERIOD_OVERRIDE",$H$19)*1,"")))</f>
        <v/>
      </c>
      <c r="AU93" s="17" t="str">
        <f>IF(OR(AU$23="",ISNA($B93)),"",IF(ISBLANK($B93),"",IFERROR(_xll.BDP(TICKER,"DEEP_MEASURE_PERIOD_BROKER_VALUE","DEEP_MEASURE_ID_OVERRIDE",$C93,"DEEP_BROKER_ID_OVERRIDE",AU$24,"DEEP_PERIOD_OVERRIDE",$H$19)*1,"")))</f>
        <v/>
      </c>
      <c r="AV93" s="17" t="str">
        <f>IF(OR(AV$23="",ISNA($B93)),"",IF(ISBLANK($B93),"",IFERROR(_xll.BDP(TICKER,"DEEP_MEASURE_PERIOD_BROKER_VALUE","DEEP_MEASURE_ID_OVERRIDE",$C93,"DEEP_BROKER_ID_OVERRIDE",AV$24,"DEEP_PERIOD_OVERRIDE",$H$19)*1,"")))</f>
        <v/>
      </c>
      <c r="AW93" s="17" t="str">
        <f>IF(OR(AW$23="",ISNA($B93)),"",IF(ISBLANK($B93),"",IFERROR(_xll.BDP(TICKER,"DEEP_MEASURE_PERIOD_BROKER_VALUE","DEEP_MEASURE_ID_OVERRIDE",$C93,"DEEP_BROKER_ID_OVERRIDE",AW$24,"DEEP_PERIOD_OVERRIDE",$H$19)*1,"")))</f>
        <v/>
      </c>
      <c r="AX93" s="17" t="str">
        <f>IF(OR(AX$23="",ISNA($B93)),"",IF(ISBLANK($B93),"",IFERROR(_xll.BDP(TICKER,"DEEP_MEASURE_PERIOD_BROKER_VALUE","DEEP_MEASURE_ID_OVERRIDE",$C93,"DEEP_BROKER_ID_OVERRIDE",AX$24,"DEEP_PERIOD_OVERRIDE",$H$19)*1,"")))</f>
        <v/>
      </c>
      <c r="AY93" s="17" t="str">
        <f>IF(OR(AY$23="",ISNA($B93)),"",IF(ISBLANK($B93),"",IFERROR(_xll.BDP(TICKER,"DEEP_MEASURE_PERIOD_BROKER_VALUE","DEEP_MEASURE_ID_OVERRIDE",$C93,"DEEP_BROKER_ID_OVERRIDE",AY$24,"DEEP_PERIOD_OVERRIDE",$H$19)*1,"")))</f>
        <v/>
      </c>
      <c r="AZ93" s="17" t="str">
        <f>IF(OR(AZ$23="",ISNA($B93)),"",IF(ISBLANK($B93),"",IFERROR(_xll.BDP(TICKER,"DEEP_MEASURE_PERIOD_BROKER_VALUE","DEEP_MEASURE_ID_OVERRIDE",$C93,"DEEP_BROKER_ID_OVERRIDE",AZ$24,"DEEP_PERIOD_OVERRIDE",$H$19)*1,"")))</f>
        <v/>
      </c>
      <c r="BA93" s="17" t="str">
        <f>IF(OR(BA$23="",ISNA($B93)),"",IF(ISBLANK($B93),"",IFERROR(_xll.BDP(TICKER,"DEEP_MEASURE_PERIOD_BROKER_VALUE","DEEP_MEASURE_ID_OVERRIDE",$C93,"DEEP_BROKER_ID_OVERRIDE",BA$24,"DEEP_PERIOD_OVERRIDE",$H$19)*1,"")))</f>
        <v/>
      </c>
      <c r="BB93" s="17" t="str">
        <f>IF(OR(BB$23="",ISNA($B93)),"",IF(ISBLANK($B93),"",IFERROR(_xll.BDP(TICKER,"DEEP_MEASURE_PERIOD_BROKER_VALUE","DEEP_MEASURE_ID_OVERRIDE",$C93,"DEEP_BROKER_ID_OVERRIDE",BB$24,"DEEP_PERIOD_OVERRIDE",$H$19)*1,"")))</f>
        <v/>
      </c>
      <c r="BC93" s="17" t="str">
        <f>IF(OR(BC$23="",ISNA($B93)),"",IF(ISBLANK($B93),"",IFERROR(_xll.BDP(TICKER,"DEEP_MEASURE_PERIOD_BROKER_VALUE","DEEP_MEASURE_ID_OVERRIDE",$C93,"DEEP_BROKER_ID_OVERRIDE",BC$24,"DEEP_PERIOD_OVERRIDE",$H$19)*1,"")))</f>
        <v/>
      </c>
      <c r="BD93" s="17" t="str">
        <f>IF(OR(BD$23="",ISNA($B93)),"",IF(ISBLANK($B93),"",IFERROR(_xll.BDP(TICKER,"DEEP_MEASURE_PERIOD_BROKER_VALUE","DEEP_MEASURE_ID_OVERRIDE",$C93,"DEEP_BROKER_ID_OVERRIDE",BD$24,"DEEP_PERIOD_OVERRIDE",$H$19)*1,"")))</f>
        <v/>
      </c>
      <c r="BE93" s="17" t="str">
        <f>IF(OR(BE$23="",ISNA($B93)),"",IF(ISBLANK($B93),"",IFERROR(_xll.BDP(TICKER,"DEEP_MEASURE_PERIOD_BROKER_VALUE","DEEP_MEASURE_ID_OVERRIDE",$C93,"DEEP_BROKER_ID_OVERRIDE",BE$24,"DEEP_PERIOD_OVERRIDE",$H$19)*1,"")))</f>
        <v/>
      </c>
      <c r="BF93" s="17" t="str">
        <f>IF(OR(BF$23="",ISNA($B93)),"",IF(ISBLANK($B93),"",IFERROR(_xll.BDP(TICKER,"DEEP_MEASURE_PERIOD_BROKER_VALUE","DEEP_MEASURE_ID_OVERRIDE",$C93,"DEEP_BROKER_ID_OVERRIDE",BF$24,"DEEP_PERIOD_OVERRIDE",$H$19)*1,"")))</f>
        <v/>
      </c>
      <c r="BG93" s="17" t="str">
        <f>IF(OR(BG$23="",ISNA($B93)),"",IF(ISBLANK($B93),"",IFERROR(_xll.BDP(TICKER,"DEEP_MEASURE_PERIOD_BROKER_VALUE","DEEP_MEASURE_ID_OVERRIDE",$C93,"DEEP_BROKER_ID_OVERRIDE",BG$24,"DEEP_PERIOD_OVERRIDE",$H$19)*1,"")))</f>
        <v/>
      </c>
      <c r="BH93" s="17" t="str">
        <f>IF(OR(BH$23="",ISNA($B93)),"",IF(ISBLANK($B93),"",IFERROR(_xll.BDP(TICKER,"DEEP_MEASURE_PERIOD_BROKER_VALUE","DEEP_MEASURE_ID_OVERRIDE",$C93,"DEEP_BROKER_ID_OVERRIDE",BH$24,"DEEP_PERIOD_OVERRIDE",$H$19)*1,"")))</f>
        <v/>
      </c>
      <c r="BI93" s="17" t="str">
        <f>IF(OR(BI$23="",ISNA($B93)),"",IF(ISBLANK($B93),"",IFERROR(_xll.BDP(TICKER,"DEEP_MEASURE_PERIOD_BROKER_VALUE","DEEP_MEASURE_ID_OVERRIDE",$C93,"DEEP_BROKER_ID_OVERRIDE",BI$24,"DEEP_PERIOD_OVERRIDE",$H$19)*1,"")))</f>
        <v/>
      </c>
      <c r="BJ93" s="17" t="str">
        <f>IF(OR(BJ$23="",ISNA($B93)),"",IF(ISBLANK($B93),"",IFERROR(_xll.BDP(TICKER,"DEEP_MEASURE_PERIOD_BROKER_VALUE","DEEP_MEASURE_ID_OVERRIDE",$C93,"DEEP_BROKER_ID_OVERRIDE",BJ$24,"DEEP_PERIOD_OVERRIDE",$H$19)*1,"")))</f>
        <v/>
      </c>
      <c r="BK93" s="17" t="str">
        <f>IF(OR(BK$23="",ISNA($B93)),"",IF(ISBLANK($B93),"",IFERROR(_xll.BDP(TICKER,"DEEP_MEASURE_PERIOD_BROKER_VALUE","DEEP_MEASURE_ID_OVERRIDE",$C93,"DEEP_BROKER_ID_OVERRIDE",BK$24,"DEEP_PERIOD_OVERRIDE",$H$19)*1,"")))</f>
        <v/>
      </c>
      <c r="BL93" s="17" t="str">
        <f>IF(OR(BL$23="",ISNA($B93)),"",IF(ISBLANK($B93),"",IFERROR(_xll.BDP(TICKER,"DEEP_MEASURE_PERIOD_BROKER_VALUE","DEEP_MEASURE_ID_OVERRIDE",$C93,"DEEP_BROKER_ID_OVERRIDE",BL$24,"DEEP_PERIOD_OVERRIDE",$H$19)*1,"")))</f>
        <v/>
      </c>
      <c r="BM93" s="17" t="str">
        <f>IF(OR(BM$23="",ISNA($B93)),"",IF(ISBLANK($B93),"",IFERROR(_xll.BDP(TICKER,"DEEP_MEASURE_PERIOD_BROKER_VALUE","DEEP_MEASURE_ID_OVERRIDE",$C93,"DEEP_BROKER_ID_OVERRIDE",BM$24,"DEEP_PERIOD_OVERRIDE",$H$19)*1,"")))</f>
        <v/>
      </c>
      <c r="BN93" s="17" t="str">
        <f>IF(OR(BN$23="",ISNA($B93)),"",IF(ISBLANK($B93),"",IFERROR(_xll.BDP(TICKER,"DEEP_MEASURE_PERIOD_BROKER_VALUE","DEEP_MEASURE_ID_OVERRIDE",$C93,"DEEP_BROKER_ID_OVERRIDE",BN$24,"DEEP_PERIOD_OVERRIDE",$H$19)*1,"")))</f>
        <v/>
      </c>
      <c r="BO93" s="17" t="str">
        <f>IF(OR(BO$23="",ISNA($B93)),"",IF(ISBLANK($B93),"",IFERROR(_xll.BDP(TICKER,"DEEP_MEASURE_PERIOD_BROKER_VALUE","DEEP_MEASURE_ID_OVERRIDE",$C93,"DEEP_BROKER_ID_OVERRIDE",BO$24,"DEEP_PERIOD_OVERRIDE",$H$19)*1,"")))</f>
        <v/>
      </c>
      <c r="BP93" s="17" t="str">
        <f>IF(OR(BP$23="",ISNA($B93)),"",IF(ISBLANK($B93),"",IFERROR(_xll.BDP(TICKER,"DEEP_MEASURE_PERIOD_BROKER_VALUE","DEEP_MEASURE_ID_OVERRIDE",$C93,"DEEP_BROKER_ID_OVERRIDE",BP$24,"DEEP_PERIOD_OVERRIDE",$H$19)*1,"")))</f>
        <v/>
      </c>
      <c r="BQ93" s="17" t="str">
        <f>IF(OR(BQ$23="",ISNA($B93)),"",IF(ISBLANK($B93),"",IFERROR(_xll.BDP(TICKER,"DEEP_MEASURE_PERIOD_BROKER_VALUE","DEEP_MEASURE_ID_OVERRIDE",$C93,"DEEP_BROKER_ID_OVERRIDE",BQ$24,"DEEP_PERIOD_OVERRIDE",$H$19)*1,"")))</f>
        <v/>
      </c>
      <c r="BR93" s="17" t="str">
        <f>IF(OR(BR$23="",ISNA($B93)),"",IF(ISBLANK($B93),"",IFERROR(_xll.BDP(TICKER,"DEEP_MEASURE_PERIOD_BROKER_VALUE","DEEP_MEASURE_ID_OVERRIDE",$C93,"DEEP_BROKER_ID_OVERRIDE",BR$24,"DEEP_PERIOD_OVERRIDE",$H$19)*1,"")))</f>
        <v/>
      </c>
      <c r="BS93" s="17" t="str">
        <f>IF(OR(BS$23="",ISNA($B93)),"",IF(ISBLANK($B93),"",IFERROR(_xll.BDP(TICKER,"DEEP_MEASURE_PERIOD_BROKER_VALUE","DEEP_MEASURE_ID_OVERRIDE",$C93,"DEEP_BROKER_ID_OVERRIDE",BS$24,"DEEP_PERIOD_OVERRIDE",$H$19)*1,"")))</f>
        <v/>
      </c>
      <c r="BT93" s="17" t="str">
        <f>IF(OR(BT$23="",ISNA($B93)),"",IF(ISBLANK($B93),"",IFERROR(_xll.BDP(TICKER,"DEEP_MEASURE_PERIOD_BROKER_VALUE","DEEP_MEASURE_ID_OVERRIDE",$C93,"DEEP_BROKER_ID_OVERRIDE",BT$24,"DEEP_PERIOD_OVERRIDE",$H$19)*1,"")))</f>
        <v/>
      </c>
      <c r="BU93" s="17" t="str">
        <f>IF(OR(BU$23="",ISNA($B93)),"",IF(ISBLANK($B93),"",IFERROR(_xll.BDP(TICKER,"DEEP_MEASURE_PERIOD_BROKER_VALUE","DEEP_MEASURE_ID_OVERRIDE",$C93,"DEEP_BROKER_ID_OVERRIDE",BU$24,"DEEP_PERIOD_OVERRIDE",$H$19)*1,"")))</f>
        <v/>
      </c>
      <c r="BV93" s="17" t="str">
        <f>IF(OR(BV$23="",ISNA($B93)),"",IF(ISBLANK($B93),"",IFERROR(_xll.BDP(TICKER,"DEEP_MEASURE_PERIOD_BROKER_VALUE","DEEP_MEASURE_ID_OVERRIDE",$C93,"DEEP_BROKER_ID_OVERRIDE",BV$24,"DEEP_PERIOD_OVERRIDE",$H$19)*1,"")))</f>
        <v/>
      </c>
      <c r="BW93" s="17" t="str">
        <f>IF(OR(BW$23="",ISNA($B93)),"",IF(ISBLANK($B93),"",IFERROR(_xll.BDP(TICKER,"DEEP_MEASURE_PERIOD_BROKER_VALUE","DEEP_MEASURE_ID_OVERRIDE",$C93,"DEEP_BROKER_ID_OVERRIDE",BW$24,"DEEP_PERIOD_OVERRIDE",$H$19)*1,"")))</f>
        <v/>
      </c>
      <c r="BX93" s="17" t="str">
        <f>IF(OR(BX$23="",ISNA($B93)),"",IF(ISBLANK($B93),"",IFERROR(_xll.BDP(TICKER,"DEEP_MEASURE_PERIOD_BROKER_VALUE","DEEP_MEASURE_ID_OVERRIDE",$C93,"DEEP_BROKER_ID_OVERRIDE",BX$24,"DEEP_PERIOD_OVERRIDE",$H$19)*1,"")))</f>
        <v/>
      </c>
      <c r="BY93" s="17" t="str">
        <f>IF(OR(BY$23="",ISNA($B93)),"",IF(ISBLANK($B93),"",IFERROR(_xll.BDP(TICKER,"DEEP_MEASURE_PERIOD_BROKER_VALUE","DEEP_MEASURE_ID_OVERRIDE",$C93,"DEEP_BROKER_ID_OVERRIDE",BY$24,"DEEP_PERIOD_OVERRIDE",$H$19)*1,"")))</f>
        <v/>
      </c>
      <c r="BZ93" s="17" t="str">
        <f>IF(OR(BZ$23="",ISNA($B93)),"",IF(ISBLANK($B93),"",IFERROR(_xll.BDP(TICKER,"DEEP_MEASURE_PERIOD_BROKER_VALUE","DEEP_MEASURE_ID_OVERRIDE",$C93,"DEEP_BROKER_ID_OVERRIDE",BZ$24,"DEEP_PERIOD_OVERRIDE",$H$19)*1,"")))</f>
        <v/>
      </c>
    </row>
    <row r="94" spans="2:78" x14ac:dyDescent="0.25">
      <c r="B94" t="s">
        <v>134</v>
      </c>
      <c r="C94">
        <v>4979</v>
      </c>
      <c r="H94" t="str">
        <f t="shared" si="2"/>
        <v>Sales &amp; Marketing Expenses &gt; As % of Revenue</v>
      </c>
      <c r="I94" t="str">
        <f>IF(OR(I$23="",ISNA($B94)),"",IF(ISBLANK($B94),"",IFERROR(_xll.BDP(TICKER,"DEEP_MEASURE_PERIOD_BROKER_VALUE","DEEP_MEASURE_ID_OVERRIDE",$C94,"DEEP_PERIOD_OVERRIDE",$H$19)*1,"")))</f>
        <v/>
      </c>
      <c r="J94" t="e">
        <f>IF(OR(J$23="",ISNA($B94)),"",IF(ISBLANK($B94),"",IFERROR(_xll.BDP(TICKER,"DEEP_MEASURE_PERIOD_BROKER_VALUE","DEEP_MEASURE_ID_OVERRIDE",$C94,"DEEP_BROKER_ID_OVERRIDE",J$24,"DEEP_PERIOD_OVERRIDE",$H$19)*1,"")))</f>
        <v>#REF!</v>
      </c>
      <c r="K94" s="17" t="str">
        <f>IF(OR(K$23="",ISNA($B94)),"",IF(ISBLANK($B94),"",IFERROR(_xll.BDP(TICKER,"DEEP_MEASURE_PERIOD_BROKER_VALUE","DEEP_MEASURE_ID_OVERRIDE",$C94,"DEEP_BROKER_ID_OVERRIDE",K$24,"DEEP_PERIOD_OVERRIDE",$H$19)*1,"")))</f>
        <v/>
      </c>
      <c r="L94" s="17" t="str">
        <f>IF(OR(L$23="",ISNA($B94)),"",IF(ISBLANK($B94),"",IFERROR(_xll.BDP(TICKER,"DEEP_MEASURE_PERIOD_BROKER_VALUE","DEEP_MEASURE_ID_OVERRIDE",$C94,"DEEP_BROKER_ID_OVERRIDE",L$24,"DEEP_PERIOD_OVERRIDE",$H$19)*1,"")))</f>
        <v/>
      </c>
      <c r="M94" s="17" t="str">
        <f>IF(OR(M$23="",ISNA($B94)),"",IF(ISBLANK($B94),"",IFERROR(_xll.BDP(TICKER,"DEEP_MEASURE_PERIOD_BROKER_VALUE","DEEP_MEASURE_ID_OVERRIDE",$C94,"DEEP_BROKER_ID_OVERRIDE",M$24,"DEEP_PERIOD_OVERRIDE",$H$19)*1,"")))</f>
        <v/>
      </c>
      <c r="N94" s="17" t="str">
        <f>IF(OR(N$23="",ISNA($B94)),"",IF(ISBLANK($B94),"",IFERROR(_xll.BDP(TICKER,"DEEP_MEASURE_PERIOD_BROKER_VALUE","DEEP_MEASURE_ID_OVERRIDE",$C94,"DEEP_BROKER_ID_OVERRIDE",N$24,"DEEP_PERIOD_OVERRIDE",$H$19)*1,"")))</f>
        <v/>
      </c>
      <c r="O94" s="17" t="str">
        <f>IF(OR(O$23="",ISNA($B94)),"",IF(ISBLANK($B94),"",IFERROR(_xll.BDP(TICKER,"DEEP_MEASURE_PERIOD_BROKER_VALUE","DEEP_MEASURE_ID_OVERRIDE",$C94,"DEEP_BROKER_ID_OVERRIDE",O$24,"DEEP_PERIOD_OVERRIDE",$H$19)*1,"")))</f>
        <v/>
      </c>
      <c r="P94" s="17" t="str">
        <f>IF(OR(P$23="",ISNA($B94)),"",IF(ISBLANK($B94),"",IFERROR(_xll.BDP(TICKER,"DEEP_MEASURE_PERIOD_BROKER_VALUE","DEEP_MEASURE_ID_OVERRIDE",$C94,"DEEP_BROKER_ID_OVERRIDE",P$24,"DEEP_PERIOD_OVERRIDE",$H$19)*1,"")))</f>
        <v/>
      </c>
      <c r="Q94" s="17" t="str">
        <f>IF(OR(Q$23="",ISNA($B94)),"",IF(ISBLANK($B94),"",IFERROR(_xll.BDP(TICKER,"DEEP_MEASURE_PERIOD_BROKER_VALUE","DEEP_MEASURE_ID_OVERRIDE",$C94,"DEEP_BROKER_ID_OVERRIDE",Q$24,"DEEP_PERIOD_OVERRIDE",$H$19)*1,"")))</f>
        <v/>
      </c>
      <c r="R94" s="17" t="str">
        <f>IF(OR(R$23="",ISNA($B94)),"",IF(ISBLANK($B94),"",IFERROR(_xll.BDP(TICKER,"DEEP_MEASURE_PERIOD_BROKER_VALUE","DEEP_MEASURE_ID_OVERRIDE",$C94,"DEEP_BROKER_ID_OVERRIDE",R$24,"DEEP_PERIOD_OVERRIDE",$H$19)*1,"")))</f>
        <v/>
      </c>
      <c r="S94" s="17" t="str">
        <f>IF(OR(S$23="",ISNA($B94)),"",IF(ISBLANK($B94),"",IFERROR(_xll.BDP(TICKER,"DEEP_MEASURE_PERIOD_BROKER_VALUE","DEEP_MEASURE_ID_OVERRIDE",$C94,"DEEP_BROKER_ID_OVERRIDE",S$24,"DEEP_PERIOD_OVERRIDE",$H$19)*1,"")))</f>
        <v/>
      </c>
      <c r="T94" s="17" t="str">
        <f>IF(OR(T$23="",ISNA($B94)),"",IF(ISBLANK($B94),"",IFERROR(_xll.BDP(TICKER,"DEEP_MEASURE_PERIOD_BROKER_VALUE","DEEP_MEASURE_ID_OVERRIDE",$C94,"DEEP_BROKER_ID_OVERRIDE",T$24,"DEEP_PERIOD_OVERRIDE",$H$19)*1,"")))</f>
        <v/>
      </c>
      <c r="U94" s="17" t="str">
        <f>IF(OR(U$23="",ISNA($B94)),"",IF(ISBLANK($B94),"",IFERROR(_xll.BDP(TICKER,"DEEP_MEASURE_PERIOD_BROKER_VALUE","DEEP_MEASURE_ID_OVERRIDE",$C94,"DEEP_BROKER_ID_OVERRIDE",U$24,"DEEP_PERIOD_OVERRIDE",$H$19)*1,"")))</f>
        <v/>
      </c>
      <c r="V94" s="17" t="str">
        <f>IF(OR(V$23="",ISNA($B94)),"",IF(ISBLANK($B94),"",IFERROR(_xll.BDP(TICKER,"DEEP_MEASURE_PERIOD_BROKER_VALUE","DEEP_MEASURE_ID_OVERRIDE",$C94,"DEEP_BROKER_ID_OVERRIDE",V$24,"DEEP_PERIOD_OVERRIDE",$H$19)*1,"")))</f>
        <v/>
      </c>
      <c r="W94" s="17" t="str">
        <f>IF(OR(W$23="",ISNA($B94)),"",IF(ISBLANK($B94),"",IFERROR(_xll.BDP(TICKER,"DEEP_MEASURE_PERIOD_BROKER_VALUE","DEEP_MEASURE_ID_OVERRIDE",$C94,"DEEP_BROKER_ID_OVERRIDE",W$24,"DEEP_PERIOD_OVERRIDE",$H$19)*1,"")))</f>
        <v/>
      </c>
      <c r="X94" s="17" t="str">
        <f>IF(OR(X$23="",ISNA($B94)),"",IF(ISBLANK($B94),"",IFERROR(_xll.BDP(TICKER,"DEEP_MEASURE_PERIOD_BROKER_VALUE","DEEP_MEASURE_ID_OVERRIDE",$C94,"DEEP_BROKER_ID_OVERRIDE",X$24,"DEEP_PERIOD_OVERRIDE",$H$19)*1,"")))</f>
        <v/>
      </c>
      <c r="Y94" s="17" t="str">
        <f>IF(OR(Y$23="",ISNA($B94)),"",IF(ISBLANK($B94),"",IFERROR(_xll.BDP(TICKER,"DEEP_MEASURE_PERIOD_BROKER_VALUE","DEEP_MEASURE_ID_OVERRIDE",$C94,"DEEP_BROKER_ID_OVERRIDE",Y$24,"DEEP_PERIOD_OVERRIDE",$H$19)*1,"")))</f>
        <v/>
      </c>
      <c r="Z94" s="17" t="str">
        <f>IF(OR(Z$23="",ISNA($B94)),"",IF(ISBLANK($B94),"",IFERROR(_xll.BDP(TICKER,"DEEP_MEASURE_PERIOD_BROKER_VALUE","DEEP_MEASURE_ID_OVERRIDE",$C94,"DEEP_BROKER_ID_OVERRIDE",Z$24,"DEEP_PERIOD_OVERRIDE",$H$19)*1,"")))</f>
        <v/>
      </c>
      <c r="AA94" s="17" t="str">
        <f>IF(OR(AA$23="",ISNA($B94)),"",IF(ISBLANK($B94),"",IFERROR(_xll.BDP(TICKER,"DEEP_MEASURE_PERIOD_BROKER_VALUE","DEEP_MEASURE_ID_OVERRIDE",$C94,"DEEP_BROKER_ID_OVERRIDE",AA$24,"DEEP_PERIOD_OVERRIDE",$H$19)*1,"")))</f>
        <v/>
      </c>
      <c r="AB94" s="17" t="str">
        <f>IF(OR(AB$23="",ISNA($B94)),"",IF(ISBLANK($B94),"",IFERROR(_xll.BDP(TICKER,"DEEP_MEASURE_PERIOD_BROKER_VALUE","DEEP_MEASURE_ID_OVERRIDE",$C94,"DEEP_BROKER_ID_OVERRIDE",AB$24,"DEEP_PERIOD_OVERRIDE",$H$19)*1,"")))</f>
        <v/>
      </c>
      <c r="AC94" s="17" t="str">
        <f>IF(OR(AC$23="",ISNA($B94)),"",IF(ISBLANK($B94),"",IFERROR(_xll.BDP(TICKER,"DEEP_MEASURE_PERIOD_BROKER_VALUE","DEEP_MEASURE_ID_OVERRIDE",$C94,"DEEP_BROKER_ID_OVERRIDE",AC$24,"DEEP_PERIOD_OVERRIDE",$H$19)*1,"")))</f>
        <v/>
      </c>
      <c r="AD94" s="17" t="str">
        <f>IF(OR(AD$23="",ISNA($B94)),"",IF(ISBLANK($B94),"",IFERROR(_xll.BDP(TICKER,"DEEP_MEASURE_PERIOD_BROKER_VALUE","DEEP_MEASURE_ID_OVERRIDE",$C94,"DEEP_BROKER_ID_OVERRIDE",AD$24,"DEEP_PERIOD_OVERRIDE",$H$19)*1,"")))</f>
        <v/>
      </c>
      <c r="AE94" s="17" t="str">
        <f>IF(OR(AE$23="",ISNA($B94)),"",IF(ISBLANK($B94),"",IFERROR(_xll.BDP(TICKER,"DEEP_MEASURE_PERIOD_BROKER_VALUE","DEEP_MEASURE_ID_OVERRIDE",$C94,"DEEP_BROKER_ID_OVERRIDE",AE$24,"DEEP_PERIOD_OVERRIDE",$H$19)*1,"")))</f>
        <v/>
      </c>
      <c r="AF94" s="17" t="str">
        <f>IF(OR(AF$23="",ISNA($B94)),"",IF(ISBLANK($B94),"",IFERROR(_xll.BDP(TICKER,"DEEP_MEASURE_PERIOD_BROKER_VALUE","DEEP_MEASURE_ID_OVERRIDE",$C94,"DEEP_BROKER_ID_OVERRIDE",AF$24,"DEEP_PERIOD_OVERRIDE",$H$19)*1,"")))</f>
        <v/>
      </c>
      <c r="AG94" s="17" t="str">
        <f>IF(OR(AG$23="",ISNA($B94)),"",IF(ISBLANK($B94),"",IFERROR(_xll.BDP(TICKER,"DEEP_MEASURE_PERIOD_BROKER_VALUE","DEEP_MEASURE_ID_OVERRIDE",$C94,"DEEP_BROKER_ID_OVERRIDE",AG$24,"DEEP_PERIOD_OVERRIDE",$H$19)*1,"")))</f>
        <v/>
      </c>
      <c r="AH94" s="17" t="str">
        <f>IF(OR(AH$23="",ISNA($B94)),"",IF(ISBLANK($B94),"",IFERROR(_xll.BDP(TICKER,"DEEP_MEASURE_PERIOD_BROKER_VALUE","DEEP_MEASURE_ID_OVERRIDE",$C94,"DEEP_BROKER_ID_OVERRIDE",AH$24,"DEEP_PERIOD_OVERRIDE",$H$19)*1,"")))</f>
        <v/>
      </c>
      <c r="AI94" s="17" t="str">
        <f>IF(OR(AI$23="",ISNA($B94)),"",IF(ISBLANK($B94),"",IFERROR(_xll.BDP(TICKER,"DEEP_MEASURE_PERIOD_BROKER_VALUE","DEEP_MEASURE_ID_OVERRIDE",$C94,"DEEP_BROKER_ID_OVERRIDE",AI$24,"DEEP_PERIOD_OVERRIDE",$H$19)*1,"")))</f>
        <v/>
      </c>
      <c r="AJ94" s="17" t="str">
        <f>IF(OR(AJ$23="",ISNA($B94)),"",IF(ISBLANK($B94),"",IFERROR(_xll.BDP(TICKER,"DEEP_MEASURE_PERIOD_BROKER_VALUE","DEEP_MEASURE_ID_OVERRIDE",$C94,"DEEP_BROKER_ID_OVERRIDE",AJ$24,"DEEP_PERIOD_OVERRIDE",$H$19)*1,"")))</f>
        <v/>
      </c>
      <c r="AK94" s="17" t="str">
        <f>IF(OR(AK$23="",ISNA($B94)),"",IF(ISBLANK($B94),"",IFERROR(_xll.BDP(TICKER,"DEEP_MEASURE_PERIOD_BROKER_VALUE","DEEP_MEASURE_ID_OVERRIDE",$C94,"DEEP_BROKER_ID_OVERRIDE",AK$24,"DEEP_PERIOD_OVERRIDE",$H$19)*1,"")))</f>
        <v/>
      </c>
      <c r="AL94" s="17" t="str">
        <f>IF(OR(AL$23="",ISNA($B94)),"",IF(ISBLANK($B94),"",IFERROR(_xll.BDP(TICKER,"DEEP_MEASURE_PERIOD_BROKER_VALUE","DEEP_MEASURE_ID_OVERRIDE",$C94,"DEEP_BROKER_ID_OVERRIDE",AL$24,"DEEP_PERIOD_OVERRIDE",$H$19)*1,"")))</f>
        <v/>
      </c>
      <c r="AM94" s="17" t="str">
        <f>IF(OR(AM$23="",ISNA($B94)),"",IF(ISBLANK($B94),"",IFERROR(_xll.BDP(TICKER,"DEEP_MEASURE_PERIOD_BROKER_VALUE","DEEP_MEASURE_ID_OVERRIDE",$C94,"DEEP_BROKER_ID_OVERRIDE",AM$24,"DEEP_PERIOD_OVERRIDE",$H$19)*1,"")))</f>
        <v/>
      </c>
      <c r="AN94" s="17" t="str">
        <f>IF(OR(AN$23="",ISNA($B94)),"",IF(ISBLANK($B94),"",IFERROR(_xll.BDP(TICKER,"DEEP_MEASURE_PERIOD_BROKER_VALUE","DEEP_MEASURE_ID_OVERRIDE",$C94,"DEEP_BROKER_ID_OVERRIDE",AN$24,"DEEP_PERIOD_OVERRIDE",$H$19)*1,"")))</f>
        <v/>
      </c>
      <c r="AO94" s="17" t="str">
        <f>IF(OR(AO$23="",ISNA($B94)),"",IF(ISBLANK($B94),"",IFERROR(_xll.BDP(TICKER,"DEEP_MEASURE_PERIOD_BROKER_VALUE","DEEP_MEASURE_ID_OVERRIDE",$C94,"DEEP_BROKER_ID_OVERRIDE",AO$24,"DEEP_PERIOD_OVERRIDE",$H$19)*1,"")))</f>
        <v/>
      </c>
      <c r="AP94" s="17" t="str">
        <f>IF(OR(AP$23="",ISNA($B94)),"",IF(ISBLANK($B94),"",IFERROR(_xll.BDP(TICKER,"DEEP_MEASURE_PERIOD_BROKER_VALUE","DEEP_MEASURE_ID_OVERRIDE",$C94,"DEEP_BROKER_ID_OVERRIDE",AP$24,"DEEP_PERIOD_OVERRIDE",$H$19)*1,"")))</f>
        <v/>
      </c>
      <c r="AQ94" s="17" t="str">
        <f>IF(OR(AQ$23="",ISNA($B94)),"",IF(ISBLANK($B94),"",IFERROR(_xll.BDP(TICKER,"DEEP_MEASURE_PERIOD_BROKER_VALUE","DEEP_MEASURE_ID_OVERRIDE",$C94,"DEEP_BROKER_ID_OVERRIDE",AQ$24,"DEEP_PERIOD_OVERRIDE",$H$19)*1,"")))</f>
        <v/>
      </c>
      <c r="AR94" s="17" t="str">
        <f>IF(OR(AR$23="",ISNA($B94)),"",IF(ISBLANK($B94),"",IFERROR(_xll.BDP(TICKER,"DEEP_MEASURE_PERIOD_BROKER_VALUE","DEEP_MEASURE_ID_OVERRIDE",$C94,"DEEP_BROKER_ID_OVERRIDE",AR$24,"DEEP_PERIOD_OVERRIDE",$H$19)*1,"")))</f>
        <v/>
      </c>
      <c r="AS94" s="17" t="str">
        <f>IF(OR(AS$23="",ISNA($B94)),"",IF(ISBLANK($B94),"",IFERROR(_xll.BDP(TICKER,"DEEP_MEASURE_PERIOD_BROKER_VALUE","DEEP_MEASURE_ID_OVERRIDE",$C94,"DEEP_BROKER_ID_OVERRIDE",AS$24,"DEEP_PERIOD_OVERRIDE",$H$19)*1,"")))</f>
        <v/>
      </c>
      <c r="AT94" s="17" t="str">
        <f>IF(OR(AT$23="",ISNA($B94)),"",IF(ISBLANK($B94),"",IFERROR(_xll.BDP(TICKER,"DEEP_MEASURE_PERIOD_BROKER_VALUE","DEEP_MEASURE_ID_OVERRIDE",$C94,"DEEP_BROKER_ID_OVERRIDE",AT$24,"DEEP_PERIOD_OVERRIDE",$H$19)*1,"")))</f>
        <v/>
      </c>
      <c r="AU94" s="17" t="str">
        <f>IF(OR(AU$23="",ISNA($B94)),"",IF(ISBLANK($B94),"",IFERROR(_xll.BDP(TICKER,"DEEP_MEASURE_PERIOD_BROKER_VALUE","DEEP_MEASURE_ID_OVERRIDE",$C94,"DEEP_BROKER_ID_OVERRIDE",AU$24,"DEEP_PERIOD_OVERRIDE",$H$19)*1,"")))</f>
        <v/>
      </c>
      <c r="AV94" s="17" t="str">
        <f>IF(OR(AV$23="",ISNA($B94)),"",IF(ISBLANK($B94),"",IFERROR(_xll.BDP(TICKER,"DEEP_MEASURE_PERIOD_BROKER_VALUE","DEEP_MEASURE_ID_OVERRIDE",$C94,"DEEP_BROKER_ID_OVERRIDE",AV$24,"DEEP_PERIOD_OVERRIDE",$H$19)*1,"")))</f>
        <v/>
      </c>
      <c r="AW94" s="17" t="str">
        <f>IF(OR(AW$23="",ISNA($B94)),"",IF(ISBLANK($B94),"",IFERROR(_xll.BDP(TICKER,"DEEP_MEASURE_PERIOD_BROKER_VALUE","DEEP_MEASURE_ID_OVERRIDE",$C94,"DEEP_BROKER_ID_OVERRIDE",AW$24,"DEEP_PERIOD_OVERRIDE",$H$19)*1,"")))</f>
        <v/>
      </c>
      <c r="AX94" s="17" t="str">
        <f>IF(OR(AX$23="",ISNA($B94)),"",IF(ISBLANK($B94),"",IFERROR(_xll.BDP(TICKER,"DEEP_MEASURE_PERIOD_BROKER_VALUE","DEEP_MEASURE_ID_OVERRIDE",$C94,"DEEP_BROKER_ID_OVERRIDE",AX$24,"DEEP_PERIOD_OVERRIDE",$H$19)*1,"")))</f>
        <v/>
      </c>
      <c r="AY94" s="17" t="str">
        <f>IF(OR(AY$23="",ISNA($B94)),"",IF(ISBLANK($B94),"",IFERROR(_xll.BDP(TICKER,"DEEP_MEASURE_PERIOD_BROKER_VALUE","DEEP_MEASURE_ID_OVERRIDE",$C94,"DEEP_BROKER_ID_OVERRIDE",AY$24,"DEEP_PERIOD_OVERRIDE",$H$19)*1,"")))</f>
        <v/>
      </c>
      <c r="AZ94" s="17" t="str">
        <f>IF(OR(AZ$23="",ISNA($B94)),"",IF(ISBLANK($B94),"",IFERROR(_xll.BDP(TICKER,"DEEP_MEASURE_PERIOD_BROKER_VALUE","DEEP_MEASURE_ID_OVERRIDE",$C94,"DEEP_BROKER_ID_OVERRIDE",AZ$24,"DEEP_PERIOD_OVERRIDE",$H$19)*1,"")))</f>
        <v/>
      </c>
      <c r="BA94" s="17" t="str">
        <f>IF(OR(BA$23="",ISNA($B94)),"",IF(ISBLANK($B94),"",IFERROR(_xll.BDP(TICKER,"DEEP_MEASURE_PERIOD_BROKER_VALUE","DEEP_MEASURE_ID_OVERRIDE",$C94,"DEEP_BROKER_ID_OVERRIDE",BA$24,"DEEP_PERIOD_OVERRIDE",$H$19)*1,"")))</f>
        <v/>
      </c>
      <c r="BB94" s="17" t="str">
        <f>IF(OR(BB$23="",ISNA($B94)),"",IF(ISBLANK($B94),"",IFERROR(_xll.BDP(TICKER,"DEEP_MEASURE_PERIOD_BROKER_VALUE","DEEP_MEASURE_ID_OVERRIDE",$C94,"DEEP_BROKER_ID_OVERRIDE",BB$24,"DEEP_PERIOD_OVERRIDE",$H$19)*1,"")))</f>
        <v/>
      </c>
      <c r="BC94" s="17" t="str">
        <f>IF(OR(BC$23="",ISNA($B94)),"",IF(ISBLANK($B94),"",IFERROR(_xll.BDP(TICKER,"DEEP_MEASURE_PERIOD_BROKER_VALUE","DEEP_MEASURE_ID_OVERRIDE",$C94,"DEEP_BROKER_ID_OVERRIDE",BC$24,"DEEP_PERIOD_OVERRIDE",$H$19)*1,"")))</f>
        <v/>
      </c>
      <c r="BD94" s="17" t="str">
        <f>IF(OR(BD$23="",ISNA($B94)),"",IF(ISBLANK($B94),"",IFERROR(_xll.BDP(TICKER,"DEEP_MEASURE_PERIOD_BROKER_VALUE","DEEP_MEASURE_ID_OVERRIDE",$C94,"DEEP_BROKER_ID_OVERRIDE",BD$24,"DEEP_PERIOD_OVERRIDE",$H$19)*1,"")))</f>
        <v/>
      </c>
      <c r="BE94" s="17" t="str">
        <f>IF(OR(BE$23="",ISNA($B94)),"",IF(ISBLANK($B94),"",IFERROR(_xll.BDP(TICKER,"DEEP_MEASURE_PERIOD_BROKER_VALUE","DEEP_MEASURE_ID_OVERRIDE",$C94,"DEEP_BROKER_ID_OVERRIDE",BE$24,"DEEP_PERIOD_OVERRIDE",$H$19)*1,"")))</f>
        <v/>
      </c>
      <c r="BF94" s="17" t="str">
        <f>IF(OR(BF$23="",ISNA($B94)),"",IF(ISBLANK($B94),"",IFERROR(_xll.BDP(TICKER,"DEEP_MEASURE_PERIOD_BROKER_VALUE","DEEP_MEASURE_ID_OVERRIDE",$C94,"DEEP_BROKER_ID_OVERRIDE",BF$24,"DEEP_PERIOD_OVERRIDE",$H$19)*1,"")))</f>
        <v/>
      </c>
      <c r="BG94" s="17" t="str">
        <f>IF(OR(BG$23="",ISNA($B94)),"",IF(ISBLANK($B94),"",IFERROR(_xll.BDP(TICKER,"DEEP_MEASURE_PERIOD_BROKER_VALUE","DEEP_MEASURE_ID_OVERRIDE",$C94,"DEEP_BROKER_ID_OVERRIDE",BG$24,"DEEP_PERIOD_OVERRIDE",$H$19)*1,"")))</f>
        <v/>
      </c>
      <c r="BH94" s="17" t="str">
        <f>IF(OR(BH$23="",ISNA($B94)),"",IF(ISBLANK($B94),"",IFERROR(_xll.BDP(TICKER,"DEEP_MEASURE_PERIOD_BROKER_VALUE","DEEP_MEASURE_ID_OVERRIDE",$C94,"DEEP_BROKER_ID_OVERRIDE",BH$24,"DEEP_PERIOD_OVERRIDE",$H$19)*1,"")))</f>
        <v/>
      </c>
      <c r="BI94" s="17" t="str">
        <f>IF(OR(BI$23="",ISNA($B94)),"",IF(ISBLANK($B94),"",IFERROR(_xll.BDP(TICKER,"DEEP_MEASURE_PERIOD_BROKER_VALUE","DEEP_MEASURE_ID_OVERRIDE",$C94,"DEEP_BROKER_ID_OVERRIDE",BI$24,"DEEP_PERIOD_OVERRIDE",$H$19)*1,"")))</f>
        <v/>
      </c>
      <c r="BJ94" s="17" t="str">
        <f>IF(OR(BJ$23="",ISNA($B94)),"",IF(ISBLANK($B94),"",IFERROR(_xll.BDP(TICKER,"DEEP_MEASURE_PERIOD_BROKER_VALUE","DEEP_MEASURE_ID_OVERRIDE",$C94,"DEEP_BROKER_ID_OVERRIDE",BJ$24,"DEEP_PERIOD_OVERRIDE",$H$19)*1,"")))</f>
        <v/>
      </c>
      <c r="BK94" s="17" t="str">
        <f>IF(OR(BK$23="",ISNA($B94)),"",IF(ISBLANK($B94),"",IFERROR(_xll.BDP(TICKER,"DEEP_MEASURE_PERIOD_BROKER_VALUE","DEEP_MEASURE_ID_OVERRIDE",$C94,"DEEP_BROKER_ID_OVERRIDE",BK$24,"DEEP_PERIOD_OVERRIDE",$H$19)*1,"")))</f>
        <v/>
      </c>
      <c r="BL94" s="17" t="str">
        <f>IF(OR(BL$23="",ISNA($B94)),"",IF(ISBLANK($B94),"",IFERROR(_xll.BDP(TICKER,"DEEP_MEASURE_PERIOD_BROKER_VALUE","DEEP_MEASURE_ID_OVERRIDE",$C94,"DEEP_BROKER_ID_OVERRIDE",BL$24,"DEEP_PERIOD_OVERRIDE",$H$19)*1,"")))</f>
        <v/>
      </c>
      <c r="BM94" s="17" t="str">
        <f>IF(OR(BM$23="",ISNA($B94)),"",IF(ISBLANK($B94),"",IFERROR(_xll.BDP(TICKER,"DEEP_MEASURE_PERIOD_BROKER_VALUE","DEEP_MEASURE_ID_OVERRIDE",$C94,"DEEP_BROKER_ID_OVERRIDE",BM$24,"DEEP_PERIOD_OVERRIDE",$H$19)*1,"")))</f>
        <v/>
      </c>
      <c r="BN94" s="17" t="str">
        <f>IF(OR(BN$23="",ISNA($B94)),"",IF(ISBLANK($B94),"",IFERROR(_xll.BDP(TICKER,"DEEP_MEASURE_PERIOD_BROKER_VALUE","DEEP_MEASURE_ID_OVERRIDE",$C94,"DEEP_BROKER_ID_OVERRIDE",BN$24,"DEEP_PERIOD_OVERRIDE",$H$19)*1,"")))</f>
        <v/>
      </c>
      <c r="BO94" s="17" t="str">
        <f>IF(OR(BO$23="",ISNA($B94)),"",IF(ISBLANK($B94),"",IFERROR(_xll.BDP(TICKER,"DEEP_MEASURE_PERIOD_BROKER_VALUE","DEEP_MEASURE_ID_OVERRIDE",$C94,"DEEP_BROKER_ID_OVERRIDE",BO$24,"DEEP_PERIOD_OVERRIDE",$H$19)*1,"")))</f>
        <v/>
      </c>
      <c r="BP94" s="17" t="str">
        <f>IF(OR(BP$23="",ISNA($B94)),"",IF(ISBLANK($B94),"",IFERROR(_xll.BDP(TICKER,"DEEP_MEASURE_PERIOD_BROKER_VALUE","DEEP_MEASURE_ID_OVERRIDE",$C94,"DEEP_BROKER_ID_OVERRIDE",BP$24,"DEEP_PERIOD_OVERRIDE",$H$19)*1,"")))</f>
        <v/>
      </c>
      <c r="BQ94" s="17" t="str">
        <f>IF(OR(BQ$23="",ISNA($B94)),"",IF(ISBLANK($B94),"",IFERROR(_xll.BDP(TICKER,"DEEP_MEASURE_PERIOD_BROKER_VALUE","DEEP_MEASURE_ID_OVERRIDE",$C94,"DEEP_BROKER_ID_OVERRIDE",BQ$24,"DEEP_PERIOD_OVERRIDE",$H$19)*1,"")))</f>
        <v/>
      </c>
      <c r="BR94" s="17" t="str">
        <f>IF(OR(BR$23="",ISNA($B94)),"",IF(ISBLANK($B94),"",IFERROR(_xll.BDP(TICKER,"DEEP_MEASURE_PERIOD_BROKER_VALUE","DEEP_MEASURE_ID_OVERRIDE",$C94,"DEEP_BROKER_ID_OVERRIDE",BR$24,"DEEP_PERIOD_OVERRIDE",$H$19)*1,"")))</f>
        <v/>
      </c>
      <c r="BS94" s="17" t="str">
        <f>IF(OR(BS$23="",ISNA($B94)),"",IF(ISBLANK($B94),"",IFERROR(_xll.BDP(TICKER,"DEEP_MEASURE_PERIOD_BROKER_VALUE","DEEP_MEASURE_ID_OVERRIDE",$C94,"DEEP_BROKER_ID_OVERRIDE",BS$24,"DEEP_PERIOD_OVERRIDE",$H$19)*1,"")))</f>
        <v/>
      </c>
      <c r="BT94" s="17" t="str">
        <f>IF(OR(BT$23="",ISNA($B94)),"",IF(ISBLANK($B94),"",IFERROR(_xll.BDP(TICKER,"DEEP_MEASURE_PERIOD_BROKER_VALUE","DEEP_MEASURE_ID_OVERRIDE",$C94,"DEEP_BROKER_ID_OVERRIDE",BT$24,"DEEP_PERIOD_OVERRIDE",$H$19)*1,"")))</f>
        <v/>
      </c>
      <c r="BU94" s="17" t="str">
        <f>IF(OR(BU$23="",ISNA($B94)),"",IF(ISBLANK($B94),"",IFERROR(_xll.BDP(TICKER,"DEEP_MEASURE_PERIOD_BROKER_VALUE","DEEP_MEASURE_ID_OVERRIDE",$C94,"DEEP_BROKER_ID_OVERRIDE",BU$24,"DEEP_PERIOD_OVERRIDE",$H$19)*1,"")))</f>
        <v/>
      </c>
      <c r="BV94" s="17" t="str">
        <f>IF(OR(BV$23="",ISNA($B94)),"",IF(ISBLANK($B94),"",IFERROR(_xll.BDP(TICKER,"DEEP_MEASURE_PERIOD_BROKER_VALUE","DEEP_MEASURE_ID_OVERRIDE",$C94,"DEEP_BROKER_ID_OVERRIDE",BV$24,"DEEP_PERIOD_OVERRIDE",$H$19)*1,"")))</f>
        <v/>
      </c>
      <c r="BW94" s="17" t="str">
        <f>IF(OR(BW$23="",ISNA($B94)),"",IF(ISBLANK($B94),"",IFERROR(_xll.BDP(TICKER,"DEEP_MEASURE_PERIOD_BROKER_VALUE","DEEP_MEASURE_ID_OVERRIDE",$C94,"DEEP_BROKER_ID_OVERRIDE",BW$24,"DEEP_PERIOD_OVERRIDE",$H$19)*1,"")))</f>
        <v/>
      </c>
      <c r="BX94" s="17" t="str">
        <f>IF(OR(BX$23="",ISNA($B94)),"",IF(ISBLANK($B94),"",IFERROR(_xll.BDP(TICKER,"DEEP_MEASURE_PERIOD_BROKER_VALUE","DEEP_MEASURE_ID_OVERRIDE",$C94,"DEEP_BROKER_ID_OVERRIDE",BX$24,"DEEP_PERIOD_OVERRIDE",$H$19)*1,"")))</f>
        <v/>
      </c>
      <c r="BY94" s="17" t="str">
        <f>IF(OR(BY$23="",ISNA($B94)),"",IF(ISBLANK($B94),"",IFERROR(_xll.BDP(TICKER,"DEEP_MEASURE_PERIOD_BROKER_VALUE","DEEP_MEASURE_ID_OVERRIDE",$C94,"DEEP_BROKER_ID_OVERRIDE",BY$24,"DEEP_PERIOD_OVERRIDE",$H$19)*1,"")))</f>
        <v/>
      </c>
      <c r="BZ94" s="17" t="str">
        <f>IF(OR(BZ$23="",ISNA($B94)),"",IF(ISBLANK($B94),"",IFERROR(_xll.BDP(TICKER,"DEEP_MEASURE_PERIOD_BROKER_VALUE","DEEP_MEASURE_ID_OVERRIDE",$C94,"DEEP_BROKER_ID_OVERRIDE",BZ$24,"DEEP_PERIOD_OVERRIDE",$H$19)*1,"")))</f>
        <v/>
      </c>
    </row>
    <row r="95" spans="2:78" x14ac:dyDescent="0.25">
      <c r="B95" t="s">
        <v>135</v>
      </c>
      <c r="C95">
        <v>3631</v>
      </c>
      <c r="H95" t="str">
        <f t="shared" si="2"/>
        <v>Sales &amp; Marketing Expenses &gt; YoY Growth (%)</v>
      </c>
      <c r="I95" t="str">
        <f>IF(OR(I$23="",ISNA($B95)),"",IF(ISBLANK($B95),"",IFERROR(_xll.BDP(TICKER,"DEEP_MEASURE_PERIOD_BROKER_VALUE","DEEP_MEASURE_ID_OVERRIDE",$C95,"DEEP_PERIOD_OVERRIDE",$H$19)*1,"")))</f>
        <v/>
      </c>
      <c r="J95" t="e">
        <f>IF(OR(J$23="",ISNA($B95)),"",IF(ISBLANK($B95),"",IFERROR(_xll.BDP(TICKER,"DEEP_MEASURE_PERIOD_BROKER_VALUE","DEEP_MEASURE_ID_OVERRIDE",$C95,"DEEP_BROKER_ID_OVERRIDE",J$24,"DEEP_PERIOD_OVERRIDE",$H$19)*1,"")))</f>
        <v>#REF!</v>
      </c>
      <c r="K95" s="17" t="str">
        <f>IF(OR(K$23="",ISNA($B95)),"",IF(ISBLANK($B95),"",IFERROR(_xll.BDP(TICKER,"DEEP_MEASURE_PERIOD_BROKER_VALUE","DEEP_MEASURE_ID_OVERRIDE",$C95,"DEEP_BROKER_ID_OVERRIDE",K$24,"DEEP_PERIOD_OVERRIDE",$H$19)*1,"")))</f>
        <v/>
      </c>
      <c r="L95" s="17" t="str">
        <f>IF(OR(L$23="",ISNA($B95)),"",IF(ISBLANK($B95),"",IFERROR(_xll.BDP(TICKER,"DEEP_MEASURE_PERIOD_BROKER_VALUE","DEEP_MEASURE_ID_OVERRIDE",$C95,"DEEP_BROKER_ID_OVERRIDE",L$24,"DEEP_PERIOD_OVERRIDE",$H$19)*1,"")))</f>
        <v/>
      </c>
      <c r="M95" s="17" t="str">
        <f>IF(OR(M$23="",ISNA($B95)),"",IF(ISBLANK($B95),"",IFERROR(_xll.BDP(TICKER,"DEEP_MEASURE_PERIOD_BROKER_VALUE","DEEP_MEASURE_ID_OVERRIDE",$C95,"DEEP_BROKER_ID_OVERRIDE",M$24,"DEEP_PERIOD_OVERRIDE",$H$19)*1,"")))</f>
        <v/>
      </c>
      <c r="N95" s="17" t="str">
        <f>IF(OR(N$23="",ISNA($B95)),"",IF(ISBLANK($B95),"",IFERROR(_xll.BDP(TICKER,"DEEP_MEASURE_PERIOD_BROKER_VALUE","DEEP_MEASURE_ID_OVERRIDE",$C95,"DEEP_BROKER_ID_OVERRIDE",N$24,"DEEP_PERIOD_OVERRIDE",$H$19)*1,"")))</f>
        <v/>
      </c>
      <c r="O95" s="17" t="str">
        <f>IF(OR(O$23="",ISNA($B95)),"",IF(ISBLANK($B95),"",IFERROR(_xll.BDP(TICKER,"DEEP_MEASURE_PERIOD_BROKER_VALUE","DEEP_MEASURE_ID_OVERRIDE",$C95,"DEEP_BROKER_ID_OVERRIDE",O$24,"DEEP_PERIOD_OVERRIDE",$H$19)*1,"")))</f>
        <v/>
      </c>
      <c r="P95" s="17" t="str">
        <f>IF(OR(P$23="",ISNA($B95)),"",IF(ISBLANK($B95),"",IFERROR(_xll.BDP(TICKER,"DEEP_MEASURE_PERIOD_BROKER_VALUE","DEEP_MEASURE_ID_OVERRIDE",$C95,"DEEP_BROKER_ID_OVERRIDE",P$24,"DEEP_PERIOD_OVERRIDE",$H$19)*1,"")))</f>
        <v/>
      </c>
      <c r="Q95" s="17" t="str">
        <f>IF(OR(Q$23="",ISNA($B95)),"",IF(ISBLANK($B95),"",IFERROR(_xll.BDP(TICKER,"DEEP_MEASURE_PERIOD_BROKER_VALUE","DEEP_MEASURE_ID_OVERRIDE",$C95,"DEEP_BROKER_ID_OVERRIDE",Q$24,"DEEP_PERIOD_OVERRIDE",$H$19)*1,"")))</f>
        <v/>
      </c>
      <c r="R95" s="17" t="str">
        <f>IF(OR(R$23="",ISNA($B95)),"",IF(ISBLANK($B95),"",IFERROR(_xll.BDP(TICKER,"DEEP_MEASURE_PERIOD_BROKER_VALUE","DEEP_MEASURE_ID_OVERRIDE",$C95,"DEEP_BROKER_ID_OVERRIDE",R$24,"DEEP_PERIOD_OVERRIDE",$H$19)*1,"")))</f>
        <v/>
      </c>
      <c r="S95" s="17" t="str">
        <f>IF(OR(S$23="",ISNA($B95)),"",IF(ISBLANK($B95),"",IFERROR(_xll.BDP(TICKER,"DEEP_MEASURE_PERIOD_BROKER_VALUE","DEEP_MEASURE_ID_OVERRIDE",$C95,"DEEP_BROKER_ID_OVERRIDE",S$24,"DEEP_PERIOD_OVERRIDE",$H$19)*1,"")))</f>
        <v/>
      </c>
      <c r="T95" s="17" t="str">
        <f>IF(OR(T$23="",ISNA($B95)),"",IF(ISBLANK($B95),"",IFERROR(_xll.BDP(TICKER,"DEEP_MEASURE_PERIOD_BROKER_VALUE","DEEP_MEASURE_ID_OVERRIDE",$C95,"DEEP_BROKER_ID_OVERRIDE",T$24,"DEEP_PERIOD_OVERRIDE",$H$19)*1,"")))</f>
        <v/>
      </c>
      <c r="U95" s="17" t="str">
        <f>IF(OR(U$23="",ISNA($B95)),"",IF(ISBLANK($B95),"",IFERROR(_xll.BDP(TICKER,"DEEP_MEASURE_PERIOD_BROKER_VALUE","DEEP_MEASURE_ID_OVERRIDE",$C95,"DEEP_BROKER_ID_OVERRIDE",U$24,"DEEP_PERIOD_OVERRIDE",$H$19)*1,"")))</f>
        <v/>
      </c>
      <c r="V95" s="17" t="str">
        <f>IF(OR(V$23="",ISNA($B95)),"",IF(ISBLANK($B95),"",IFERROR(_xll.BDP(TICKER,"DEEP_MEASURE_PERIOD_BROKER_VALUE","DEEP_MEASURE_ID_OVERRIDE",$C95,"DEEP_BROKER_ID_OVERRIDE",V$24,"DEEP_PERIOD_OVERRIDE",$H$19)*1,"")))</f>
        <v/>
      </c>
      <c r="W95" s="17" t="str">
        <f>IF(OR(W$23="",ISNA($B95)),"",IF(ISBLANK($B95),"",IFERROR(_xll.BDP(TICKER,"DEEP_MEASURE_PERIOD_BROKER_VALUE","DEEP_MEASURE_ID_OVERRIDE",$C95,"DEEP_BROKER_ID_OVERRIDE",W$24,"DEEP_PERIOD_OVERRIDE",$H$19)*1,"")))</f>
        <v/>
      </c>
      <c r="X95" s="17" t="str">
        <f>IF(OR(X$23="",ISNA($B95)),"",IF(ISBLANK($B95),"",IFERROR(_xll.BDP(TICKER,"DEEP_MEASURE_PERIOD_BROKER_VALUE","DEEP_MEASURE_ID_OVERRIDE",$C95,"DEEP_BROKER_ID_OVERRIDE",X$24,"DEEP_PERIOD_OVERRIDE",$H$19)*1,"")))</f>
        <v/>
      </c>
      <c r="Y95" s="17" t="str">
        <f>IF(OR(Y$23="",ISNA($B95)),"",IF(ISBLANK($B95),"",IFERROR(_xll.BDP(TICKER,"DEEP_MEASURE_PERIOD_BROKER_VALUE","DEEP_MEASURE_ID_OVERRIDE",$C95,"DEEP_BROKER_ID_OVERRIDE",Y$24,"DEEP_PERIOD_OVERRIDE",$H$19)*1,"")))</f>
        <v/>
      </c>
      <c r="Z95" s="17" t="str">
        <f>IF(OR(Z$23="",ISNA($B95)),"",IF(ISBLANK($B95),"",IFERROR(_xll.BDP(TICKER,"DEEP_MEASURE_PERIOD_BROKER_VALUE","DEEP_MEASURE_ID_OVERRIDE",$C95,"DEEP_BROKER_ID_OVERRIDE",Z$24,"DEEP_PERIOD_OVERRIDE",$H$19)*1,"")))</f>
        <v/>
      </c>
      <c r="AA95" s="17" t="str">
        <f>IF(OR(AA$23="",ISNA($B95)),"",IF(ISBLANK($B95),"",IFERROR(_xll.BDP(TICKER,"DEEP_MEASURE_PERIOD_BROKER_VALUE","DEEP_MEASURE_ID_OVERRIDE",$C95,"DEEP_BROKER_ID_OVERRIDE",AA$24,"DEEP_PERIOD_OVERRIDE",$H$19)*1,"")))</f>
        <v/>
      </c>
      <c r="AB95" s="17" t="str">
        <f>IF(OR(AB$23="",ISNA($B95)),"",IF(ISBLANK($B95),"",IFERROR(_xll.BDP(TICKER,"DEEP_MEASURE_PERIOD_BROKER_VALUE","DEEP_MEASURE_ID_OVERRIDE",$C95,"DEEP_BROKER_ID_OVERRIDE",AB$24,"DEEP_PERIOD_OVERRIDE",$H$19)*1,"")))</f>
        <v/>
      </c>
      <c r="AC95" s="17" t="str">
        <f>IF(OR(AC$23="",ISNA($B95)),"",IF(ISBLANK($B95),"",IFERROR(_xll.BDP(TICKER,"DEEP_MEASURE_PERIOD_BROKER_VALUE","DEEP_MEASURE_ID_OVERRIDE",$C95,"DEEP_BROKER_ID_OVERRIDE",AC$24,"DEEP_PERIOD_OVERRIDE",$H$19)*1,"")))</f>
        <v/>
      </c>
      <c r="AD95" s="17" t="str">
        <f>IF(OR(AD$23="",ISNA($B95)),"",IF(ISBLANK($B95),"",IFERROR(_xll.BDP(TICKER,"DEEP_MEASURE_PERIOD_BROKER_VALUE","DEEP_MEASURE_ID_OVERRIDE",$C95,"DEEP_BROKER_ID_OVERRIDE",AD$24,"DEEP_PERIOD_OVERRIDE",$H$19)*1,"")))</f>
        <v/>
      </c>
      <c r="AE95" s="17" t="str">
        <f>IF(OR(AE$23="",ISNA($B95)),"",IF(ISBLANK($B95),"",IFERROR(_xll.BDP(TICKER,"DEEP_MEASURE_PERIOD_BROKER_VALUE","DEEP_MEASURE_ID_OVERRIDE",$C95,"DEEP_BROKER_ID_OVERRIDE",AE$24,"DEEP_PERIOD_OVERRIDE",$H$19)*1,"")))</f>
        <v/>
      </c>
      <c r="AF95" s="17" t="str">
        <f>IF(OR(AF$23="",ISNA($B95)),"",IF(ISBLANK($B95),"",IFERROR(_xll.BDP(TICKER,"DEEP_MEASURE_PERIOD_BROKER_VALUE","DEEP_MEASURE_ID_OVERRIDE",$C95,"DEEP_BROKER_ID_OVERRIDE",AF$24,"DEEP_PERIOD_OVERRIDE",$H$19)*1,"")))</f>
        <v/>
      </c>
      <c r="AG95" s="17" t="str">
        <f>IF(OR(AG$23="",ISNA($B95)),"",IF(ISBLANK($B95),"",IFERROR(_xll.BDP(TICKER,"DEEP_MEASURE_PERIOD_BROKER_VALUE","DEEP_MEASURE_ID_OVERRIDE",$C95,"DEEP_BROKER_ID_OVERRIDE",AG$24,"DEEP_PERIOD_OVERRIDE",$H$19)*1,"")))</f>
        <v/>
      </c>
      <c r="AH95" s="17" t="str">
        <f>IF(OR(AH$23="",ISNA($B95)),"",IF(ISBLANK($B95),"",IFERROR(_xll.BDP(TICKER,"DEEP_MEASURE_PERIOD_BROKER_VALUE","DEEP_MEASURE_ID_OVERRIDE",$C95,"DEEP_BROKER_ID_OVERRIDE",AH$24,"DEEP_PERIOD_OVERRIDE",$H$19)*1,"")))</f>
        <v/>
      </c>
      <c r="AI95" s="17" t="str">
        <f>IF(OR(AI$23="",ISNA($B95)),"",IF(ISBLANK($B95),"",IFERROR(_xll.BDP(TICKER,"DEEP_MEASURE_PERIOD_BROKER_VALUE","DEEP_MEASURE_ID_OVERRIDE",$C95,"DEEP_BROKER_ID_OVERRIDE",AI$24,"DEEP_PERIOD_OVERRIDE",$H$19)*1,"")))</f>
        <v/>
      </c>
      <c r="AJ95" s="17" t="str">
        <f>IF(OR(AJ$23="",ISNA($B95)),"",IF(ISBLANK($B95),"",IFERROR(_xll.BDP(TICKER,"DEEP_MEASURE_PERIOD_BROKER_VALUE","DEEP_MEASURE_ID_OVERRIDE",$C95,"DEEP_BROKER_ID_OVERRIDE",AJ$24,"DEEP_PERIOD_OVERRIDE",$H$19)*1,"")))</f>
        <v/>
      </c>
      <c r="AK95" s="17" t="str">
        <f>IF(OR(AK$23="",ISNA($B95)),"",IF(ISBLANK($B95),"",IFERROR(_xll.BDP(TICKER,"DEEP_MEASURE_PERIOD_BROKER_VALUE","DEEP_MEASURE_ID_OVERRIDE",$C95,"DEEP_BROKER_ID_OVERRIDE",AK$24,"DEEP_PERIOD_OVERRIDE",$H$19)*1,"")))</f>
        <v/>
      </c>
      <c r="AL95" s="17" t="str">
        <f>IF(OR(AL$23="",ISNA($B95)),"",IF(ISBLANK($B95),"",IFERROR(_xll.BDP(TICKER,"DEEP_MEASURE_PERIOD_BROKER_VALUE","DEEP_MEASURE_ID_OVERRIDE",$C95,"DEEP_BROKER_ID_OVERRIDE",AL$24,"DEEP_PERIOD_OVERRIDE",$H$19)*1,"")))</f>
        <v/>
      </c>
      <c r="AM95" s="17" t="str">
        <f>IF(OR(AM$23="",ISNA($B95)),"",IF(ISBLANK($B95),"",IFERROR(_xll.BDP(TICKER,"DEEP_MEASURE_PERIOD_BROKER_VALUE","DEEP_MEASURE_ID_OVERRIDE",$C95,"DEEP_BROKER_ID_OVERRIDE",AM$24,"DEEP_PERIOD_OVERRIDE",$H$19)*1,"")))</f>
        <v/>
      </c>
      <c r="AN95" s="17" t="str">
        <f>IF(OR(AN$23="",ISNA($B95)),"",IF(ISBLANK($B95),"",IFERROR(_xll.BDP(TICKER,"DEEP_MEASURE_PERIOD_BROKER_VALUE","DEEP_MEASURE_ID_OVERRIDE",$C95,"DEEP_BROKER_ID_OVERRIDE",AN$24,"DEEP_PERIOD_OVERRIDE",$H$19)*1,"")))</f>
        <v/>
      </c>
      <c r="AO95" s="17" t="str">
        <f>IF(OR(AO$23="",ISNA($B95)),"",IF(ISBLANK($B95),"",IFERROR(_xll.BDP(TICKER,"DEEP_MEASURE_PERIOD_BROKER_VALUE","DEEP_MEASURE_ID_OVERRIDE",$C95,"DEEP_BROKER_ID_OVERRIDE",AO$24,"DEEP_PERIOD_OVERRIDE",$H$19)*1,"")))</f>
        <v/>
      </c>
      <c r="AP95" s="17" t="str">
        <f>IF(OR(AP$23="",ISNA($B95)),"",IF(ISBLANK($B95),"",IFERROR(_xll.BDP(TICKER,"DEEP_MEASURE_PERIOD_BROKER_VALUE","DEEP_MEASURE_ID_OVERRIDE",$C95,"DEEP_BROKER_ID_OVERRIDE",AP$24,"DEEP_PERIOD_OVERRIDE",$H$19)*1,"")))</f>
        <v/>
      </c>
      <c r="AQ95" s="17" t="str">
        <f>IF(OR(AQ$23="",ISNA($B95)),"",IF(ISBLANK($B95),"",IFERROR(_xll.BDP(TICKER,"DEEP_MEASURE_PERIOD_BROKER_VALUE","DEEP_MEASURE_ID_OVERRIDE",$C95,"DEEP_BROKER_ID_OVERRIDE",AQ$24,"DEEP_PERIOD_OVERRIDE",$H$19)*1,"")))</f>
        <v/>
      </c>
      <c r="AR95" s="17" t="str">
        <f>IF(OR(AR$23="",ISNA($B95)),"",IF(ISBLANK($B95),"",IFERROR(_xll.BDP(TICKER,"DEEP_MEASURE_PERIOD_BROKER_VALUE","DEEP_MEASURE_ID_OVERRIDE",$C95,"DEEP_BROKER_ID_OVERRIDE",AR$24,"DEEP_PERIOD_OVERRIDE",$H$19)*1,"")))</f>
        <v/>
      </c>
      <c r="AS95" s="17" t="str">
        <f>IF(OR(AS$23="",ISNA($B95)),"",IF(ISBLANK($B95),"",IFERROR(_xll.BDP(TICKER,"DEEP_MEASURE_PERIOD_BROKER_VALUE","DEEP_MEASURE_ID_OVERRIDE",$C95,"DEEP_BROKER_ID_OVERRIDE",AS$24,"DEEP_PERIOD_OVERRIDE",$H$19)*1,"")))</f>
        <v/>
      </c>
      <c r="AT95" s="17" t="str">
        <f>IF(OR(AT$23="",ISNA($B95)),"",IF(ISBLANK($B95),"",IFERROR(_xll.BDP(TICKER,"DEEP_MEASURE_PERIOD_BROKER_VALUE","DEEP_MEASURE_ID_OVERRIDE",$C95,"DEEP_BROKER_ID_OVERRIDE",AT$24,"DEEP_PERIOD_OVERRIDE",$H$19)*1,"")))</f>
        <v/>
      </c>
      <c r="AU95" s="17" t="str">
        <f>IF(OR(AU$23="",ISNA($B95)),"",IF(ISBLANK($B95),"",IFERROR(_xll.BDP(TICKER,"DEEP_MEASURE_PERIOD_BROKER_VALUE","DEEP_MEASURE_ID_OVERRIDE",$C95,"DEEP_BROKER_ID_OVERRIDE",AU$24,"DEEP_PERIOD_OVERRIDE",$H$19)*1,"")))</f>
        <v/>
      </c>
      <c r="AV95" s="17" t="str">
        <f>IF(OR(AV$23="",ISNA($B95)),"",IF(ISBLANK($B95),"",IFERROR(_xll.BDP(TICKER,"DEEP_MEASURE_PERIOD_BROKER_VALUE","DEEP_MEASURE_ID_OVERRIDE",$C95,"DEEP_BROKER_ID_OVERRIDE",AV$24,"DEEP_PERIOD_OVERRIDE",$H$19)*1,"")))</f>
        <v/>
      </c>
      <c r="AW95" s="17" t="str">
        <f>IF(OR(AW$23="",ISNA($B95)),"",IF(ISBLANK($B95),"",IFERROR(_xll.BDP(TICKER,"DEEP_MEASURE_PERIOD_BROKER_VALUE","DEEP_MEASURE_ID_OVERRIDE",$C95,"DEEP_BROKER_ID_OVERRIDE",AW$24,"DEEP_PERIOD_OVERRIDE",$H$19)*1,"")))</f>
        <v/>
      </c>
      <c r="AX95" s="17" t="str">
        <f>IF(OR(AX$23="",ISNA($B95)),"",IF(ISBLANK($B95),"",IFERROR(_xll.BDP(TICKER,"DEEP_MEASURE_PERIOD_BROKER_VALUE","DEEP_MEASURE_ID_OVERRIDE",$C95,"DEEP_BROKER_ID_OVERRIDE",AX$24,"DEEP_PERIOD_OVERRIDE",$H$19)*1,"")))</f>
        <v/>
      </c>
      <c r="AY95" s="17" t="str">
        <f>IF(OR(AY$23="",ISNA($B95)),"",IF(ISBLANK($B95),"",IFERROR(_xll.BDP(TICKER,"DEEP_MEASURE_PERIOD_BROKER_VALUE","DEEP_MEASURE_ID_OVERRIDE",$C95,"DEEP_BROKER_ID_OVERRIDE",AY$24,"DEEP_PERIOD_OVERRIDE",$H$19)*1,"")))</f>
        <v/>
      </c>
      <c r="AZ95" s="17" t="str">
        <f>IF(OR(AZ$23="",ISNA($B95)),"",IF(ISBLANK($B95),"",IFERROR(_xll.BDP(TICKER,"DEEP_MEASURE_PERIOD_BROKER_VALUE","DEEP_MEASURE_ID_OVERRIDE",$C95,"DEEP_BROKER_ID_OVERRIDE",AZ$24,"DEEP_PERIOD_OVERRIDE",$H$19)*1,"")))</f>
        <v/>
      </c>
      <c r="BA95" s="17" t="str">
        <f>IF(OR(BA$23="",ISNA($B95)),"",IF(ISBLANK($B95),"",IFERROR(_xll.BDP(TICKER,"DEEP_MEASURE_PERIOD_BROKER_VALUE","DEEP_MEASURE_ID_OVERRIDE",$C95,"DEEP_BROKER_ID_OVERRIDE",BA$24,"DEEP_PERIOD_OVERRIDE",$H$19)*1,"")))</f>
        <v/>
      </c>
      <c r="BB95" s="17" t="str">
        <f>IF(OR(BB$23="",ISNA($B95)),"",IF(ISBLANK($B95),"",IFERROR(_xll.BDP(TICKER,"DEEP_MEASURE_PERIOD_BROKER_VALUE","DEEP_MEASURE_ID_OVERRIDE",$C95,"DEEP_BROKER_ID_OVERRIDE",BB$24,"DEEP_PERIOD_OVERRIDE",$H$19)*1,"")))</f>
        <v/>
      </c>
      <c r="BC95" s="17" t="str">
        <f>IF(OR(BC$23="",ISNA($B95)),"",IF(ISBLANK($B95),"",IFERROR(_xll.BDP(TICKER,"DEEP_MEASURE_PERIOD_BROKER_VALUE","DEEP_MEASURE_ID_OVERRIDE",$C95,"DEEP_BROKER_ID_OVERRIDE",BC$24,"DEEP_PERIOD_OVERRIDE",$H$19)*1,"")))</f>
        <v/>
      </c>
      <c r="BD95" s="17" t="str">
        <f>IF(OR(BD$23="",ISNA($B95)),"",IF(ISBLANK($B95),"",IFERROR(_xll.BDP(TICKER,"DEEP_MEASURE_PERIOD_BROKER_VALUE","DEEP_MEASURE_ID_OVERRIDE",$C95,"DEEP_BROKER_ID_OVERRIDE",BD$24,"DEEP_PERIOD_OVERRIDE",$H$19)*1,"")))</f>
        <v/>
      </c>
      <c r="BE95" s="17" t="str">
        <f>IF(OR(BE$23="",ISNA($B95)),"",IF(ISBLANK($B95),"",IFERROR(_xll.BDP(TICKER,"DEEP_MEASURE_PERIOD_BROKER_VALUE","DEEP_MEASURE_ID_OVERRIDE",$C95,"DEEP_BROKER_ID_OVERRIDE",BE$24,"DEEP_PERIOD_OVERRIDE",$H$19)*1,"")))</f>
        <v/>
      </c>
      <c r="BF95" s="17" t="str">
        <f>IF(OR(BF$23="",ISNA($B95)),"",IF(ISBLANK($B95),"",IFERROR(_xll.BDP(TICKER,"DEEP_MEASURE_PERIOD_BROKER_VALUE","DEEP_MEASURE_ID_OVERRIDE",$C95,"DEEP_BROKER_ID_OVERRIDE",BF$24,"DEEP_PERIOD_OVERRIDE",$H$19)*1,"")))</f>
        <v/>
      </c>
      <c r="BG95" s="17" t="str">
        <f>IF(OR(BG$23="",ISNA($B95)),"",IF(ISBLANK($B95),"",IFERROR(_xll.BDP(TICKER,"DEEP_MEASURE_PERIOD_BROKER_VALUE","DEEP_MEASURE_ID_OVERRIDE",$C95,"DEEP_BROKER_ID_OVERRIDE",BG$24,"DEEP_PERIOD_OVERRIDE",$H$19)*1,"")))</f>
        <v/>
      </c>
      <c r="BH95" s="17" t="str">
        <f>IF(OR(BH$23="",ISNA($B95)),"",IF(ISBLANK($B95),"",IFERROR(_xll.BDP(TICKER,"DEEP_MEASURE_PERIOD_BROKER_VALUE","DEEP_MEASURE_ID_OVERRIDE",$C95,"DEEP_BROKER_ID_OVERRIDE",BH$24,"DEEP_PERIOD_OVERRIDE",$H$19)*1,"")))</f>
        <v/>
      </c>
      <c r="BI95" s="17" t="str">
        <f>IF(OR(BI$23="",ISNA($B95)),"",IF(ISBLANK($B95),"",IFERROR(_xll.BDP(TICKER,"DEEP_MEASURE_PERIOD_BROKER_VALUE","DEEP_MEASURE_ID_OVERRIDE",$C95,"DEEP_BROKER_ID_OVERRIDE",BI$24,"DEEP_PERIOD_OVERRIDE",$H$19)*1,"")))</f>
        <v/>
      </c>
      <c r="BJ95" s="17" t="str">
        <f>IF(OR(BJ$23="",ISNA($B95)),"",IF(ISBLANK($B95),"",IFERROR(_xll.BDP(TICKER,"DEEP_MEASURE_PERIOD_BROKER_VALUE","DEEP_MEASURE_ID_OVERRIDE",$C95,"DEEP_BROKER_ID_OVERRIDE",BJ$24,"DEEP_PERIOD_OVERRIDE",$H$19)*1,"")))</f>
        <v/>
      </c>
      <c r="BK95" s="17" t="str">
        <f>IF(OR(BK$23="",ISNA($B95)),"",IF(ISBLANK($B95),"",IFERROR(_xll.BDP(TICKER,"DEEP_MEASURE_PERIOD_BROKER_VALUE","DEEP_MEASURE_ID_OVERRIDE",$C95,"DEEP_BROKER_ID_OVERRIDE",BK$24,"DEEP_PERIOD_OVERRIDE",$H$19)*1,"")))</f>
        <v/>
      </c>
      <c r="BL95" s="17" t="str">
        <f>IF(OR(BL$23="",ISNA($B95)),"",IF(ISBLANK($B95),"",IFERROR(_xll.BDP(TICKER,"DEEP_MEASURE_PERIOD_BROKER_VALUE","DEEP_MEASURE_ID_OVERRIDE",$C95,"DEEP_BROKER_ID_OVERRIDE",BL$24,"DEEP_PERIOD_OVERRIDE",$H$19)*1,"")))</f>
        <v/>
      </c>
      <c r="BM95" s="17" t="str">
        <f>IF(OR(BM$23="",ISNA($B95)),"",IF(ISBLANK($B95),"",IFERROR(_xll.BDP(TICKER,"DEEP_MEASURE_PERIOD_BROKER_VALUE","DEEP_MEASURE_ID_OVERRIDE",$C95,"DEEP_BROKER_ID_OVERRIDE",BM$24,"DEEP_PERIOD_OVERRIDE",$H$19)*1,"")))</f>
        <v/>
      </c>
      <c r="BN95" s="17" t="str">
        <f>IF(OR(BN$23="",ISNA($B95)),"",IF(ISBLANK($B95),"",IFERROR(_xll.BDP(TICKER,"DEEP_MEASURE_PERIOD_BROKER_VALUE","DEEP_MEASURE_ID_OVERRIDE",$C95,"DEEP_BROKER_ID_OVERRIDE",BN$24,"DEEP_PERIOD_OVERRIDE",$H$19)*1,"")))</f>
        <v/>
      </c>
      <c r="BO95" s="17" t="str">
        <f>IF(OR(BO$23="",ISNA($B95)),"",IF(ISBLANK($B95),"",IFERROR(_xll.BDP(TICKER,"DEEP_MEASURE_PERIOD_BROKER_VALUE","DEEP_MEASURE_ID_OVERRIDE",$C95,"DEEP_BROKER_ID_OVERRIDE",BO$24,"DEEP_PERIOD_OVERRIDE",$H$19)*1,"")))</f>
        <v/>
      </c>
      <c r="BP95" s="17" t="str">
        <f>IF(OR(BP$23="",ISNA($B95)),"",IF(ISBLANK($B95),"",IFERROR(_xll.BDP(TICKER,"DEEP_MEASURE_PERIOD_BROKER_VALUE","DEEP_MEASURE_ID_OVERRIDE",$C95,"DEEP_BROKER_ID_OVERRIDE",BP$24,"DEEP_PERIOD_OVERRIDE",$H$19)*1,"")))</f>
        <v/>
      </c>
      <c r="BQ95" s="17" t="str">
        <f>IF(OR(BQ$23="",ISNA($B95)),"",IF(ISBLANK($B95),"",IFERROR(_xll.BDP(TICKER,"DEEP_MEASURE_PERIOD_BROKER_VALUE","DEEP_MEASURE_ID_OVERRIDE",$C95,"DEEP_BROKER_ID_OVERRIDE",BQ$24,"DEEP_PERIOD_OVERRIDE",$H$19)*1,"")))</f>
        <v/>
      </c>
      <c r="BR95" s="17" t="str">
        <f>IF(OR(BR$23="",ISNA($B95)),"",IF(ISBLANK($B95),"",IFERROR(_xll.BDP(TICKER,"DEEP_MEASURE_PERIOD_BROKER_VALUE","DEEP_MEASURE_ID_OVERRIDE",$C95,"DEEP_BROKER_ID_OVERRIDE",BR$24,"DEEP_PERIOD_OVERRIDE",$H$19)*1,"")))</f>
        <v/>
      </c>
      <c r="BS95" s="17" t="str">
        <f>IF(OR(BS$23="",ISNA($B95)),"",IF(ISBLANK($B95),"",IFERROR(_xll.BDP(TICKER,"DEEP_MEASURE_PERIOD_BROKER_VALUE","DEEP_MEASURE_ID_OVERRIDE",$C95,"DEEP_BROKER_ID_OVERRIDE",BS$24,"DEEP_PERIOD_OVERRIDE",$H$19)*1,"")))</f>
        <v/>
      </c>
      <c r="BT95" s="17" t="str">
        <f>IF(OR(BT$23="",ISNA($B95)),"",IF(ISBLANK($B95),"",IFERROR(_xll.BDP(TICKER,"DEEP_MEASURE_PERIOD_BROKER_VALUE","DEEP_MEASURE_ID_OVERRIDE",$C95,"DEEP_BROKER_ID_OVERRIDE",BT$24,"DEEP_PERIOD_OVERRIDE",$H$19)*1,"")))</f>
        <v/>
      </c>
      <c r="BU95" s="17" t="str">
        <f>IF(OR(BU$23="",ISNA($B95)),"",IF(ISBLANK($B95),"",IFERROR(_xll.BDP(TICKER,"DEEP_MEASURE_PERIOD_BROKER_VALUE","DEEP_MEASURE_ID_OVERRIDE",$C95,"DEEP_BROKER_ID_OVERRIDE",BU$24,"DEEP_PERIOD_OVERRIDE",$H$19)*1,"")))</f>
        <v/>
      </c>
      <c r="BV95" s="17" t="str">
        <f>IF(OR(BV$23="",ISNA($B95)),"",IF(ISBLANK($B95),"",IFERROR(_xll.BDP(TICKER,"DEEP_MEASURE_PERIOD_BROKER_VALUE","DEEP_MEASURE_ID_OVERRIDE",$C95,"DEEP_BROKER_ID_OVERRIDE",BV$24,"DEEP_PERIOD_OVERRIDE",$H$19)*1,"")))</f>
        <v/>
      </c>
      <c r="BW95" s="17" t="str">
        <f>IF(OR(BW$23="",ISNA($B95)),"",IF(ISBLANK($B95),"",IFERROR(_xll.BDP(TICKER,"DEEP_MEASURE_PERIOD_BROKER_VALUE","DEEP_MEASURE_ID_OVERRIDE",$C95,"DEEP_BROKER_ID_OVERRIDE",BW$24,"DEEP_PERIOD_OVERRIDE",$H$19)*1,"")))</f>
        <v/>
      </c>
      <c r="BX95" s="17" t="str">
        <f>IF(OR(BX$23="",ISNA($B95)),"",IF(ISBLANK($B95),"",IFERROR(_xll.BDP(TICKER,"DEEP_MEASURE_PERIOD_BROKER_VALUE","DEEP_MEASURE_ID_OVERRIDE",$C95,"DEEP_BROKER_ID_OVERRIDE",BX$24,"DEEP_PERIOD_OVERRIDE",$H$19)*1,"")))</f>
        <v/>
      </c>
      <c r="BY95" s="17" t="str">
        <f>IF(OR(BY$23="",ISNA($B95)),"",IF(ISBLANK($B95),"",IFERROR(_xll.BDP(TICKER,"DEEP_MEASURE_PERIOD_BROKER_VALUE","DEEP_MEASURE_ID_OVERRIDE",$C95,"DEEP_BROKER_ID_OVERRIDE",BY$24,"DEEP_PERIOD_OVERRIDE",$H$19)*1,"")))</f>
        <v/>
      </c>
      <c r="BZ95" s="17" t="str">
        <f>IF(OR(BZ$23="",ISNA($B95)),"",IF(ISBLANK($B95),"",IFERROR(_xll.BDP(TICKER,"DEEP_MEASURE_PERIOD_BROKER_VALUE","DEEP_MEASURE_ID_OVERRIDE",$C95,"DEEP_BROKER_ID_OVERRIDE",BZ$24,"DEEP_PERIOD_OVERRIDE",$H$19)*1,"")))</f>
        <v/>
      </c>
    </row>
    <row r="96" spans="2:78" x14ac:dyDescent="0.25">
      <c r="B96" t="s">
        <v>136</v>
      </c>
      <c r="C96">
        <v>301</v>
      </c>
      <c r="H96" t="str">
        <f t="shared" si="2"/>
        <v>Sales &amp; Marketing Expenses &gt; Direct Costs</v>
      </c>
      <c r="I96" t="str">
        <f>IF(OR(I$23="",ISNA($B96)),"",IF(ISBLANK($B96),"",IFERROR(_xll.BDP(TICKER,"DEEP_MEASURE_PERIOD_BROKER_VALUE","DEEP_MEASURE_ID_OVERRIDE",$C96,"DEEP_PERIOD_OVERRIDE",$H$19)*1,"")))</f>
        <v/>
      </c>
      <c r="J96" t="e">
        <f>IF(OR(J$23="",ISNA($B96)),"",IF(ISBLANK($B96),"",IFERROR(_xll.BDP(TICKER,"DEEP_MEASURE_PERIOD_BROKER_VALUE","DEEP_MEASURE_ID_OVERRIDE",$C96,"DEEP_BROKER_ID_OVERRIDE",J$24,"DEEP_PERIOD_OVERRIDE",$H$19)*1,"")))</f>
        <v>#REF!</v>
      </c>
      <c r="K96" s="17" t="str">
        <f>IF(OR(K$23="",ISNA($B96)),"",IF(ISBLANK($B96),"",IFERROR(_xll.BDP(TICKER,"DEEP_MEASURE_PERIOD_BROKER_VALUE","DEEP_MEASURE_ID_OVERRIDE",$C96,"DEEP_BROKER_ID_OVERRIDE",K$24,"DEEP_PERIOD_OVERRIDE",$H$19)*1,"")))</f>
        <v/>
      </c>
      <c r="L96" s="17" t="str">
        <f>IF(OR(L$23="",ISNA($B96)),"",IF(ISBLANK($B96),"",IFERROR(_xll.BDP(TICKER,"DEEP_MEASURE_PERIOD_BROKER_VALUE","DEEP_MEASURE_ID_OVERRIDE",$C96,"DEEP_BROKER_ID_OVERRIDE",L$24,"DEEP_PERIOD_OVERRIDE",$H$19)*1,"")))</f>
        <v/>
      </c>
      <c r="M96" s="17" t="str">
        <f>IF(OR(M$23="",ISNA($B96)),"",IF(ISBLANK($B96),"",IFERROR(_xll.BDP(TICKER,"DEEP_MEASURE_PERIOD_BROKER_VALUE","DEEP_MEASURE_ID_OVERRIDE",$C96,"DEEP_BROKER_ID_OVERRIDE",M$24,"DEEP_PERIOD_OVERRIDE",$H$19)*1,"")))</f>
        <v/>
      </c>
      <c r="N96" s="17" t="str">
        <f>IF(OR(N$23="",ISNA($B96)),"",IF(ISBLANK($B96),"",IFERROR(_xll.BDP(TICKER,"DEEP_MEASURE_PERIOD_BROKER_VALUE","DEEP_MEASURE_ID_OVERRIDE",$C96,"DEEP_BROKER_ID_OVERRIDE",N$24,"DEEP_PERIOD_OVERRIDE",$H$19)*1,"")))</f>
        <v/>
      </c>
      <c r="O96" s="17" t="str">
        <f>IF(OR(O$23="",ISNA($B96)),"",IF(ISBLANK($B96),"",IFERROR(_xll.BDP(TICKER,"DEEP_MEASURE_PERIOD_BROKER_VALUE","DEEP_MEASURE_ID_OVERRIDE",$C96,"DEEP_BROKER_ID_OVERRIDE",O$24,"DEEP_PERIOD_OVERRIDE",$H$19)*1,"")))</f>
        <v/>
      </c>
      <c r="P96" s="17" t="str">
        <f>IF(OR(P$23="",ISNA($B96)),"",IF(ISBLANK($B96),"",IFERROR(_xll.BDP(TICKER,"DEEP_MEASURE_PERIOD_BROKER_VALUE","DEEP_MEASURE_ID_OVERRIDE",$C96,"DEEP_BROKER_ID_OVERRIDE",P$24,"DEEP_PERIOD_OVERRIDE",$H$19)*1,"")))</f>
        <v/>
      </c>
      <c r="Q96" s="17" t="str">
        <f>IF(OR(Q$23="",ISNA($B96)),"",IF(ISBLANK($B96),"",IFERROR(_xll.BDP(TICKER,"DEEP_MEASURE_PERIOD_BROKER_VALUE","DEEP_MEASURE_ID_OVERRIDE",$C96,"DEEP_BROKER_ID_OVERRIDE",Q$24,"DEEP_PERIOD_OVERRIDE",$H$19)*1,"")))</f>
        <v/>
      </c>
      <c r="R96" s="17" t="str">
        <f>IF(OR(R$23="",ISNA($B96)),"",IF(ISBLANK($B96),"",IFERROR(_xll.BDP(TICKER,"DEEP_MEASURE_PERIOD_BROKER_VALUE","DEEP_MEASURE_ID_OVERRIDE",$C96,"DEEP_BROKER_ID_OVERRIDE",R$24,"DEEP_PERIOD_OVERRIDE",$H$19)*1,"")))</f>
        <v/>
      </c>
      <c r="S96" s="17" t="str">
        <f>IF(OR(S$23="",ISNA($B96)),"",IF(ISBLANK($B96),"",IFERROR(_xll.BDP(TICKER,"DEEP_MEASURE_PERIOD_BROKER_VALUE","DEEP_MEASURE_ID_OVERRIDE",$C96,"DEEP_BROKER_ID_OVERRIDE",S$24,"DEEP_PERIOD_OVERRIDE",$H$19)*1,"")))</f>
        <v/>
      </c>
      <c r="T96" s="17" t="str">
        <f>IF(OR(T$23="",ISNA($B96)),"",IF(ISBLANK($B96),"",IFERROR(_xll.BDP(TICKER,"DEEP_MEASURE_PERIOD_BROKER_VALUE","DEEP_MEASURE_ID_OVERRIDE",$C96,"DEEP_BROKER_ID_OVERRIDE",T$24,"DEEP_PERIOD_OVERRIDE",$H$19)*1,"")))</f>
        <v/>
      </c>
      <c r="U96" s="17" t="str">
        <f>IF(OR(U$23="",ISNA($B96)),"",IF(ISBLANK($B96),"",IFERROR(_xll.BDP(TICKER,"DEEP_MEASURE_PERIOD_BROKER_VALUE","DEEP_MEASURE_ID_OVERRIDE",$C96,"DEEP_BROKER_ID_OVERRIDE",U$24,"DEEP_PERIOD_OVERRIDE",$H$19)*1,"")))</f>
        <v/>
      </c>
      <c r="V96" s="17" t="str">
        <f>IF(OR(V$23="",ISNA($B96)),"",IF(ISBLANK($B96),"",IFERROR(_xll.BDP(TICKER,"DEEP_MEASURE_PERIOD_BROKER_VALUE","DEEP_MEASURE_ID_OVERRIDE",$C96,"DEEP_BROKER_ID_OVERRIDE",V$24,"DEEP_PERIOD_OVERRIDE",$H$19)*1,"")))</f>
        <v/>
      </c>
      <c r="W96" s="17" t="str">
        <f>IF(OR(W$23="",ISNA($B96)),"",IF(ISBLANK($B96),"",IFERROR(_xll.BDP(TICKER,"DEEP_MEASURE_PERIOD_BROKER_VALUE","DEEP_MEASURE_ID_OVERRIDE",$C96,"DEEP_BROKER_ID_OVERRIDE",W$24,"DEEP_PERIOD_OVERRIDE",$H$19)*1,"")))</f>
        <v/>
      </c>
      <c r="X96" s="17" t="str">
        <f>IF(OR(X$23="",ISNA($B96)),"",IF(ISBLANK($B96),"",IFERROR(_xll.BDP(TICKER,"DEEP_MEASURE_PERIOD_BROKER_VALUE","DEEP_MEASURE_ID_OVERRIDE",$C96,"DEEP_BROKER_ID_OVERRIDE",X$24,"DEEP_PERIOD_OVERRIDE",$H$19)*1,"")))</f>
        <v/>
      </c>
      <c r="Y96" s="17" t="str">
        <f>IF(OR(Y$23="",ISNA($B96)),"",IF(ISBLANK($B96),"",IFERROR(_xll.BDP(TICKER,"DEEP_MEASURE_PERIOD_BROKER_VALUE","DEEP_MEASURE_ID_OVERRIDE",$C96,"DEEP_BROKER_ID_OVERRIDE",Y$24,"DEEP_PERIOD_OVERRIDE",$H$19)*1,"")))</f>
        <v/>
      </c>
      <c r="Z96" s="17" t="str">
        <f>IF(OR(Z$23="",ISNA($B96)),"",IF(ISBLANK($B96),"",IFERROR(_xll.BDP(TICKER,"DEEP_MEASURE_PERIOD_BROKER_VALUE","DEEP_MEASURE_ID_OVERRIDE",$C96,"DEEP_BROKER_ID_OVERRIDE",Z$24,"DEEP_PERIOD_OVERRIDE",$H$19)*1,"")))</f>
        <v/>
      </c>
      <c r="AA96" s="17" t="str">
        <f>IF(OR(AA$23="",ISNA($B96)),"",IF(ISBLANK($B96),"",IFERROR(_xll.BDP(TICKER,"DEEP_MEASURE_PERIOD_BROKER_VALUE","DEEP_MEASURE_ID_OVERRIDE",$C96,"DEEP_BROKER_ID_OVERRIDE",AA$24,"DEEP_PERIOD_OVERRIDE",$H$19)*1,"")))</f>
        <v/>
      </c>
      <c r="AB96" s="17" t="str">
        <f>IF(OR(AB$23="",ISNA($B96)),"",IF(ISBLANK($B96),"",IFERROR(_xll.BDP(TICKER,"DEEP_MEASURE_PERIOD_BROKER_VALUE","DEEP_MEASURE_ID_OVERRIDE",$C96,"DEEP_BROKER_ID_OVERRIDE",AB$24,"DEEP_PERIOD_OVERRIDE",$H$19)*1,"")))</f>
        <v/>
      </c>
      <c r="AC96" s="17" t="str">
        <f>IF(OR(AC$23="",ISNA($B96)),"",IF(ISBLANK($B96),"",IFERROR(_xll.BDP(TICKER,"DEEP_MEASURE_PERIOD_BROKER_VALUE","DEEP_MEASURE_ID_OVERRIDE",$C96,"DEEP_BROKER_ID_OVERRIDE",AC$24,"DEEP_PERIOD_OVERRIDE",$H$19)*1,"")))</f>
        <v/>
      </c>
      <c r="AD96" s="17" t="str">
        <f>IF(OR(AD$23="",ISNA($B96)),"",IF(ISBLANK($B96),"",IFERROR(_xll.BDP(TICKER,"DEEP_MEASURE_PERIOD_BROKER_VALUE","DEEP_MEASURE_ID_OVERRIDE",$C96,"DEEP_BROKER_ID_OVERRIDE",AD$24,"DEEP_PERIOD_OVERRIDE",$H$19)*1,"")))</f>
        <v/>
      </c>
      <c r="AE96" s="17" t="str">
        <f>IF(OR(AE$23="",ISNA($B96)),"",IF(ISBLANK($B96),"",IFERROR(_xll.BDP(TICKER,"DEEP_MEASURE_PERIOD_BROKER_VALUE","DEEP_MEASURE_ID_OVERRIDE",$C96,"DEEP_BROKER_ID_OVERRIDE",AE$24,"DEEP_PERIOD_OVERRIDE",$H$19)*1,"")))</f>
        <v/>
      </c>
      <c r="AF96" s="17" t="str">
        <f>IF(OR(AF$23="",ISNA($B96)),"",IF(ISBLANK($B96),"",IFERROR(_xll.BDP(TICKER,"DEEP_MEASURE_PERIOD_BROKER_VALUE","DEEP_MEASURE_ID_OVERRIDE",$C96,"DEEP_BROKER_ID_OVERRIDE",AF$24,"DEEP_PERIOD_OVERRIDE",$H$19)*1,"")))</f>
        <v/>
      </c>
      <c r="AG96" s="17" t="str">
        <f>IF(OR(AG$23="",ISNA($B96)),"",IF(ISBLANK($B96),"",IFERROR(_xll.BDP(TICKER,"DEEP_MEASURE_PERIOD_BROKER_VALUE","DEEP_MEASURE_ID_OVERRIDE",$C96,"DEEP_BROKER_ID_OVERRIDE",AG$24,"DEEP_PERIOD_OVERRIDE",$H$19)*1,"")))</f>
        <v/>
      </c>
      <c r="AH96" s="17" t="str">
        <f>IF(OR(AH$23="",ISNA($B96)),"",IF(ISBLANK($B96),"",IFERROR(_xll.BDP(TICKER,"DEEP_MEASURE_PERIOD_BROKER_VALUE","DEEP_MEASURE_ID_OVERRIDE",$C96,"DEEP_BROKER_ID_OVERRIDE",AH$24,"DEEP_PERIOD_OVERRIDE",$H$19)*1,"")))</f>
        <v/>
      </c>
      <c r="AI96" s="17" t="str">
        <f>IF(OR(AI$23="",ISNA($B96)),"",IF(ISBLANK($B96),"",IFERROR(_xll.BDP(TICKER,"DEEP_MEASURE_PERIOD_BROKER_VALUE","DEEP_MEASURE_ID_OVERRIDE",$C96,"DEEP_BROKER_ID_OVERRIDE",AI$24,"DEEP_PERIOD_OVERRIDE",$H$19)*1,"")))</f>
        <v/>
      </c>
      <c r="AJ96" s="17" t="str">
        <f>IF(OR(AJ$23="",ISNA($B96)),"",IF(ISBLANK($B96),"",IFERROR(_xll.BDP(TICKER,"DEEP_MEASURE_PERIOD_BROKER_VALUE","DEEP_MEASURE_ID_OVERRIDE",$C96,"DEEP_BROKER_ID_OVERRIDE",AJ$24,"DEEP_PERIOD_OVERRIDE",$H$19)*1,"")))</f>
        <v/>
      </c>
      <c r="AK96" s="17" t="str">
        <f>IF(OR(AK$23="",ISNA($B96)),"",IF(ISBLANK($B96),"",IFERROR(_xll.BDP(TICKER,"DEEP_MEASURE_PERIOD_BROKER_VALUE","DEEP_MEASURE_ID_OVERRIDE",$C96,"DEEP_BROKER_ID_OVERRIDE",AK$24,"DEEP_PERIOD_OVERRIDE",$H$19)*1,"")))</f>
        <v/>
      </c>
      <c r="AL96" s="17" t="str">
        <f>IF(OR(AL$23="",ISNA($B96)),"",IF(ISBLANK($B96),"",IFERROR(_xll.BDP(TICKER,"DEEP_MEASURE_PERIOD_BROKER_VALUE","DEEP_MEASURE_ID_OVERRIDE",$C96,"DEEP_BROKER_ID_OVERRIDE",AL$24,"DEEP_PERIOD_OVERRIDE",$H$19)*1,"")))</f>
        <v/>
      </c>
      <c r="AM96" s="17" t="str">
        <f>IF(OR(AM$23="",ISNA($B96)),"",IF(ISBLANK($B96),"",IFERROR(_xll.BDP(TICKER,"DEEP_MEASURE_PERIOD_BROKER_VALUE","DEEP_MEASURE_ID_OVERRIDE",$C96,"DEEP_BROKER_ID_OVERRIDE",AM$24,"DEEP_PERIOD_OVERRIDE",$H$19)*1,"")))</f>
        <v/>
      </c>
      <c r="AN96" s="17" t="str">
        <f>IF(OR(AN$23="",ISNA($B96)),"",IF(ISBLANK($B96),"",IFERROR(_xll.BDP(TICKER,"DEEP_MEASURE_PERIOD_BROKER_VALUE","DEEP_MEASURE_ID_OVERRIDE",$C96,"DEEP_BROKER_ID_OVERRIDE",AN$24,"DEEP_PERIOD_OVERRIDE",$H$19)*1,"")))</f>
        <v/>
      </c>
      <c r="AO96" s="17" t="str">
        <f>IF(OR(AO$23="",ISNA($B96)),"",IF(ISBLANK($B96),"",IFERROR(_xll.BDP(TICKER,"DEEP_MEASURE_PERIOD_BROKER_VALUE","DEEP_MEASURE_ID_OVERRIDE",$C96,"DEEP_BROKER_ID_OVERRIDE",AO$24,"DEEP_PERIOD_OVERRIDE",$H$19)*1,"")))</f>
        <v/>
      </c>
      <c r="AP96" s="17" t="str">
        <f>IF(OR(AP$23="",ISNA($B96)),"",IF(ISBLANK($B96),"",IFERROR(_xll.BDP(TICKER,"DEEP_MEASURE_PERIOD_BROKER_VALUE","DEEP_MEASURE_ID_OVERRIDE",$C96,"DEEP_BROKER_ID_OVERRIDE",AP$24,"DEEP_PERIOD_OVERRIDE",$H$19)*1,"")))</f>
        <v/>
      </c>
      <c r="AQ96" s="17" t="str">
        <f>IF(OR(AQ$23="",ISNA($B96)),"",IF(ISBLANK($B96),"",IFERROR(_xll.BDP(TICKER,"DEEP_MEASURE_PERIOD_BROKER_VALUE","DEEP_MEASURE_ID_OVERRIDE",$C96,"DEEP_BROKER_ID_OVERRIDE",AQ$24,"DEEP_PERIOD_OVERRIDE",$H$19)*1,"")))</f>
        <v/>
      </c>
      <c r="AR96" s="17" t="str">
        <f>IF(OR(AR$23="",ISNA($B96)),"",IF(ISBLANK($B96),"",IFERROR(_xll.BDP(TICKER,"DEEP_MEASURE_PERIOD_BROKER_VALUE","DEEP_MEASURE_ID_OVERRIDE",$C96,"DEEP_BROKER_ID_OVERRIDE",AR$24,"DEEP_PERIOD_OVERRIDE",$H$19)*1,"")))</f>
        <v/>
      </c>
      <c r="AS96" s="17" t="str">
        <f>IF(OR(AS$23="",ISNA($B96)),"",IF(ISBLANK($B96),"",IFERROR(_xll.BDP(TICKER,"DEEP_MEASURE_PERIOD_BROKER_VALUE","DEEP_MEASURE_ID_OVERRIDE",$C96,"DEEP_BROKER_ID_OVERRIDE",AS$24,"DEEP_PERIOD_OVERRIDE",$H$19)*1,"")))</f>
        <v/>
      </c>
      <c r="AT96" s="17" t="str">
        <f>IF(OR(AT$23="",ISNA($B96)),"",IF(ISBLANK($B96),"",IFERROR(_xll.BDP(TICKER,"DEEP_MEASURE_PERIOD_BROKER_VALUE","DEEP_MEASURE_ID_OVERRIDE",$C96,"DEEP_BROKER_ID_OVERRIDE",AT$24,"DEEP_PERIOD_OVERRIDE",$H$19)*1,"")))</f>
        <v/>
      </c>
      <c r="AU96" s="17" t="str">
        <f>IF(OR(AU$23="",ISNA($B96)),"",IF(ISBLANK($B96),"",IFERROR(_xll.BDP(TICKER,"DEEP_MEASURE_PERIOD_BROKER_VALUE","DEEP_MEASURE_ID_OVERRIDE",$C96,"DEEP_BROKER_ID_OVERRIDE",AU$24,"DEEP_PERIOD_OVERRIDE",$H$19)*1,"")))</f>
        <v/>
      </c>
      <c r="AV96" s="17" t="str">
        <f>IF(OR(AV$23="",ISNA($B96)),"",IF(ISBLANK($B96),"",IFERROR(_xll.BDP(TICKER,"DEEP_MEASURE_PERIOD_BROKER_VALUE","DEEP_MEASURE_ID_OVERRIDE",$C96,"DEEP_BROKER_ID_OVERRIDE",AV$24,"DEEP_PERIOD_OVERRIDE",$H$19)*1,"")))</f>
        <v/>
      </c>
      <c r="AW96" s="17" t="str">
        <f>IF(OR(AW$23="",ISNA($B96)),"",IF(ISBLANK($B96),"",IFERROR(_xll.BDP(TICKER,"DEEP_MEASURE_PERIOD_BROKER_VALUE","DEEP_MEASURE_ID_OVERRIDE",$C96,"DEEP_BROKER_ID_OVERRIDE",AW$24,"DEEP_PERIOD_OVERRIDE",$H$19)*1,"")))</f>
        <v/>
      </c>
      <c r="AX96" s="17" t="str">
        <f>IF(OR(AX$23="",ISNA($B96)),"",IF(ISBLANK($B96),"",IFERROR(_xll.BDP(TICKER,"DEEP_MEASURE_PERIOD_BROKER_VALUE","DEEP_MEASURE_ID_OVERRIDE",$C96,"DEEP_BROKER_ID_OVERRIDE",AX$24,"DEEP_PERIOD_OVERRIDE",$H$19)*1,"")))</f>
        <v/>
      </c>
      <c r="AY96" s="17" t="str">
        <f>IF(OR(AY$23="",ISNA($B96)),"",IF(ISBLANK($B96),"",IFERROR(_xll.BDP(TICKER,"DEEP_MEASURE_PERIOD_BROKER_VALUE","DEEP_MEASURE_ID_OVERRIDE",$C96,"DEEP_BROKER_ID_OVERRIDE",AY$24,"DEEP_PERIOD_OVERRIDE",$H$19)*1,"")))</f>
        <v/>
      </c>
      <c r="AZ96" s="17" t="str">
        <f>IF(OR(AZ$23="",ISNA($B96)),"",IF(ISBLANK($B96),"",IFERROR(_xll.BDP(TICKER,"DEEP_MEASURE_PERIOD_BROKER_VALUE","DEEP_MEASURE_ID_OVERRIDE",$C96,"DEEP_BROKER_ID_OVERRIDE",AZ$24,"DEEP_PERIOD_OVERRIDE",$H$19)*1,"")))</f>
        <v/>
      </c>
      <c r="BA96" s="17" t="str">
        <f>IF(OR(BA$23="",ISNA($B96)),"",IF(ISBLANK($B96),"",IFERROR(_xll.BDP(TICKER,"DEEP_MEASURE_PERIOD_BROKER_VALUE","DEEP_MEASURE_ID_OVERRIDE",$C96,"DEEP_BROKER_ID_OVERRIDE",BA$24,"DEEP_PERIOD_OVERRIDE",$H$19)*1,"")))</f>
        <v/>
      </c>
      <c r="BB96" s="17" t="str">
        <f>IF(OR(BB$23="",ISNA($B96)),"",IF(ISBLANK($B96),"",IFERROR(_xll.BDP(TICKER,"DEEP_MEASURE_PERIOD_BROKER_VALUE","DEEP_MEASURE_ID_OVERRIDE",$C96,"DEEP_BROKER_ID_OVERRIDE",BB$24,"DEEP_PERIOD_OVERRIDE",$H$19)*1,"")))</f>
        <v/>
      </c>
      <c r="BC96" s="17" t="str">
        <f>IF(OR(BC$23="",ISNA($B96)),"",IF(ISBLANK($B96),"",IFERROR(_xll.BDP(TICKER,"DEEP_MEASURE_PERIOD_BROKER_VALUE","DEEP_MEASURE_ID_OVERRIDE",$C96,"DEEP_BROKER_ID_OVERRIDE",BC$24,"DEEP_PERIOD_OVERRIDE",$H$19)*1,"")))</f>
        <v/>
      </c>
      <c r="BD96" s="17" t="str">
        <f>IF(OR(BD$23="",ISNA($B96)),"",IF(ISBLANK($B96),"",IFERROR(_xll.BDP(TICKER,"DEEP_MEASURE_PERIOD_BROKER_VALUE","DEEP_MEASURE_ID_OVERRIDE",$C96,"DEEP_BROKER_ID_OVERRIDE",BD$24,"DEEP_PERIOD_OVERRIDE",$H$19)*1,"")))</f>
        <v/>
      </c>
      <c r="BE96" s="17" t="str">
        <f>IF(OR(BE$23="",ISNA($B96)),"",IF(ISBLANK($B96),"",IFERROR(_xll.BDP(TICKER,"DEEP_MEASURE_PERIOD_BROKER_VALUE","DEEP_MEASURE_ID_OVERRIDE",$C96,"DEEP_BROKER_ID_OVERRIDE",BE$24,"DEEP_PERIOD_OVERRIDE",$H$19)*1,"")))</f>
        <v/>
      </c>
      <c r="BF96" s="17" t="str">
        <f>IF(OR(BF$23="",ISNA($B96)),"",IF(ISBLANK($B96),"",IFERROR(_xll.BDP(TICKER,"DEEP_MEASURE_PERIOD_BROKER_VALUE","DEEP_MEASURE_ID_OVERRIDE",$C96,"DEEP_BROKER_ID_OVERRIDE",BF$24,"DEEP_PERIOD_OVERRIDE",$H$19)*1,"")))</f>
        <v/>
      </c>
      <c r="BG96" s="17" t="str">
        <f>IF(OR(BG$23="",ISNA($B96)),"",IF(ISBLANK($B96),"",IFERROR(_xll.BDP(TICKER,"DEEP_MEASURE_PERIOD_BROKER_VALUE","DEEP_MEASURE_ID_OVERRIDE",$C96,"DEEP_BROKER_ID_OVERRIDE",BG$24,"DEEP_PERIOD_OVERRIDE",$H$19)*1,"")))</f>
        <v/>
      </c>
      <c r="BH96" s="17" t="str">
        <f>IF(OR(BH$23="",ISNA($B96)),"",IF(ISBLANK($B96),"",IFERROR(_xll.BDP(TICKER,"DEEP_MEASURE_PERIOD_BROKER_VALUE","DEEP_MEASURE_ID_OVERRIDE",$C96,"DEEP_BROKER_ID_OVERRIDE",BH$24,"DEEP_PERIOD_OVERRIDE",$H$19)*1,"")))</f>
        <v/>
      </c>
      <c r="BI96" s="17" t="str">
        <f>IF(OR(BI$23="",ISNA($B96)),"",IF(ISBLANK($B96),"",IFERROR(_xll.BDP(TICKER,"DEEP_MEASURE_PERIOD_BROKER_VALUE","DEEP_MEASURE_ID_OVERRIDE",$C96,"DEEP_BROKER_ID_OVERRIDE",BI$24,"DEEP_PERIOD_OVERRIDE",$H$19)*1,"")))</f>
        <v/>
      </c>
      <c r="BJ96" s="17" t="str">
        <f>IF(OR(BJ$23="",ISNA($B96)),"",IF(ISBLANK($B96),"",IFERROR(_xll.BDP(TICKER,"DEEP_MEASURE_PERIOD_BROKER_VALUE","DEEP_MEASURE_ID_OVERRIDE",$C96,"DEEP_BROKER_ID_OVERRIDE",BJ$24,"DEEP_PERIOD_OVERRIDE",$H$19)*1,"")))</f>
        <v/>
      </c>
      <c r="BK96" s="17" t="str">
        <f>IF(OR(BK$23="",ISNA($B96)),"",IF(ISBLANK($B96),"",IFERROR(_xll.BDP(TICKER,"DEEP_MEASURE_PERIOD_BROKER_VALUE","DEEP_MEASURE_ID_OVERRIDE",$C96,"DEEP_BROKER_ID_OVERRIDE",BK$24,"DEEP_PERIOD_OVERRIDE",$H$19)*1,"")))</f>
        <v/>
      </c>
      <c r="BL96" s="17" t="str">
        <f>IF(OR(BL$23="",ISNA($B96)),"",IF(ISBLANK($B96),"",IFERROR(_xll.BDP(TICKER,"DEEP_MEASURE_PERIOD_BROKER_VALUE","DEEP_MEASURE_ID_OVERRIDE",$C96,"DEEP_BROKER_ID_OVERRIDE",BL$24,"DEEP_PERIOD_OVERRIDE",$H$19)*1,"")))</f>
        <v/>
      </c>
      <c r="BM96" s="17" t="str">
        <f>IF(OR(BM$23="",ISNA($B96)),"",IF(ISBLANK($B96),"",IFERROR(_xll.BDP(TICKER,"DEEP_MEASURE_PERIOD_BROKER_VALUE","DEEP_MEASURE_ID_OVERRIDE",$C96,"DEEP_BROKER_ID_OVERRIDE",BM$24,"DEEP_PERIOD_OVERRIDE",$H$19)*1,"")))</f>
        <v/>
      </c>
      <c r="BN96" s="17" t="str">
        <f>IF(OR(BN$23="",ISNA($B96)),"",IF(ISBLANK($B96),"",IFERROR(_xll.BDP(TICKER,"DEEP_MEASURE_PERIOD_BROKER_VALUE","DEEP_MEASURE_ID_OVERRIDE",$C96,"DEEP_BROKER_ID_OVERRIDE",BN$24,"DEEP_PERIOD_OVERRIDE",$H$19)*1,"")))</f>
        <v/>
      </c>
      <c r="BO96" s="17" t="str">
        <f>IF(OR(BO$23="",ISNA($B96)),"",IF(ISBLANK($B96),"",IFERROR(_xll.BDP(TICKER,"DEEP_MEASURE_PERIOD_BROKER_VALUE","DEEP_MEASURE_ID_OVERRIDE",$C96,"DEEP_BROKER_ID_OVERRIDE",BO$24,"DEEP_PERIOD_OVERRIDE",$H$19)*1,"")))</f>
        <v/>
      </c>
      <c r="BP96" s="17" t="str">
        <f>IF(OR(BP$23="",ISNA($B96)),"",IF(ISBLANK($B96),"",IFERROR(_xll.BDP(TICKER,"DEEP_MEASURE_PERIOD_BROKER_VALUE","DEEP_MEASURE_ID_OVERRIDE",$C96,"DEEP_BROKER_ID_OVERRIDE",BP$24,"DEEP_PERIOD_OVERRIDE",$H$19)*1,"")))</f>
        <v/>
      </c>
      <c r="BQ96" s="17" t="str">
        <f>IF(OR(BQ$23="",ISNA($B96)),"",IF(ISBLANK($B96),"",IFERROR(_xll.BDP(TICKER,"DEEP_MEASURE_PERIOD_BROKER_VALUE","DEEP_MEASURE_ID_OVERRIDE",$C96,"DEEP_BROKER_ID_OVERRIDE",BQ$24,"DEEP_PERIOD_OVERRIDE",$H$19)*1,"")))</f>
        <v/>
      </c>
      <c r="BR96" s="17" t="str">
        <f>IF(OR(BR$23="",ISNA($B96)),"",IF(ISBLANK($B96),"",IFERROR(_xll.BDP(TICKER,"DEEP_MEASURE_PERIOD_BROKER_VALUE","DEEP_MEASURE_ID_OVERRIDE",$C96,"DEEP_BROKER_ID_OVERRIDE",BR$24,"DEEP_PERIOD_OVERRIDE",$H$19)*1,"")))</f>
        <v/>
      </c>
      <c r="BS96" s="17" t="str">
        <f>IF(OR(BS$23="",ISNA($B96)),"",IF(ISBLANK($B96),"",IFERROR(_xll.BDP(TICKER,"DEEP_MEASURE_PERIOD_BROKER_VALUE","DEEP_MEASURE_ID_OVERRIDE",$C96,"DEEP_BROKER_ID_OVERRIDE",BS$24,"DEEP_PERIOD_OVERRIDE",$H$19)*1,"")))</f>
        <v/>
      </c>
      <c r="BT96" s="17" t="str">
        <f>IF(OR(BT$23="",ISNA($B96)),"",IF(ISBLANK($B96),"",IFERROR(_xll.BDP(TICKER,"DEEP_MEASURE_PERIOD_BROKER_VALUE","DEEP_MEASURE_ID_OVERRIDE",$C96,"DEEP_BROKER_ID_OVERRIDE",BT$24,"DEEP_PERIOD_OVERRIDE",$H$19)*1,"")))</f>
        <v/>
      </c>
      <c r="BU96" s="17" t="str">
        <f>IF(OR(BU$23="",ISNA($B96)),"",IF(ISBLANK($B96),"",IFERROR(_xll.BDP(TICKER,"DEEP_MEASURE_PERIOD_BROKER_VALUE","DEEP_MEASURE_ID_OVERRIDE",$C96,"DEEP_BROKER_ID_OVERRIDE",BU$24,"DEEP_PERIOD_OVERRIDE",$H$19)*1,"")))</f>
        <v/>
      </c>
      <c r="BV96" s="17" t="str">
        <f>IF(OR(BV$23="",ISNA($B96)),"",IF(ISBLANK($B96),"",IFERROR(_xll.BDP(TICKER,"DEEP_MEASURE_PERIOD_BROKER_VALUE","DEEP_MEASURE_ID_OVERRIDE",$C96,"DEEP_BROKER_ID_OVERRIDE",BV$24,"DEEP_PERIOD_OVERRIDE",$H$19)*1,"")))</f>
        <v/>
      </c>
      <c r="BW96" s="17" t="str">
        <f>IF(OR(BW$23="",ISNA($B96)),"",IF(ISBLANK($B96),"",IFERROR(_xll.BDP(TICKER,"DEEP_MEASURE_PERIOD_BROKER_VALUE","DEEP_MEASURE_ID_OVERRIDE",$C96,"DEEP_BROKER_ID_OVERRIDE",BW$24,"DEEP_PERIOD_OVERRIDE",$H$19)*1,"")))</f>
        <v/>
      </c>
      <c r="BX96" s="17" t="str">
        <f>IF(OR(BX$23="",ISNA($B96)),"",IF(ISBLANK($B96),"",IFERROR(_xll.BDP(TICKER,"DEEP_MEASURE_PERIOD_BROKER_VALUE","DEEP_MEASURE_ID_OVERRIDE",$C96,"DEEP_BROKER_ID_OVERRIDE",BX$24,"DEEP_PERIOD_OVERRIDE",$H$19)*1,"")))</f>
        <v/>
      </c>
      <c r="BY96" s="17" t="str">
        <f>IF(OR(BY$23="",ISNA($B96)),"",IF(ISBLANK($B96),"",IFERROR(_xll.BDP(TICKER,"DEEP_MEASURE_PERIOD_BROKER_VALUE","DEEP_MEASURE_ID_OVERRIDE",$C96,"DEEP_BROKER_ID_OVERRIDE",BY$24,"DEEP_PERIOD_OVERRIDE",$H$19)*1,"")))</f>
        <v/>
      </c>
      <c r="BZ96" s="17" t="str">
        <f>IF(OR(BZ$23="",ISNA($B96)),"",IF(ISBLANK($B96),"",IFERROR(_xll.BDP(TICKER,"DEEP_MEASURE_PERIOD_BROKER_VALUE","DEEP_MEASURE_ID_OVERRIDE",$C96,"DEEP_BROKER_ID_OVERRIDE",BZ$24,"DEEP_PERIOD_OVERRIDE",$H$19)*1,"")))</f>
        <v/>
      </c>
    </row>
    <row r="97" spans="2:78" x14ac:dyDescent="0.25">
      <c r="B97" t="s">
        <v>137</v>
      </c>
      <c r="C97">
        <v>374</v>
      </c>
      <c r="H97" t="str">
        <f t="shared" si="2"/>
        <v>Sales &amp; Marketing Expenses &gt; Direct Costs &gt; As % of Revenue</v>
      </c>
      <c r="I97" t="str">
        <f>IF(OR(I$23="",ISNA($B97)),"",IF(ISBLANK($B97),"",IFERROR(_xll.BDP(TICKER,"DEEP_MEASURE_PERIOD_BROKER_VALUE","DEEP_MEASURE_ID_OVERRIDE",$C97,"DEEP_PERIOD_OVERRIDE",$H$19)*1,"")))</f>
        <v/>
      </c>
      <c r="J97" t="e">
        <f>IF(OR(J$23="",ISNA($B97)),"",IF(ISBLANK($B97),"",IFERROR(_xll.BDP(TICKER,"DEEP_MEASURE_PERIOD_BROKER_VALUE","DEEP_MEASURE_ID_OVERRIDE",$C97,"DEEP_BROKER_ID_OVERRIDE",J$24,"DEEP_PERIOD_OVERRIDE",$H$19)*1,"")))</f>
        <v>#REF!</v>
      </c>
      <c r="K97" s="17" t="str">
        <f>IF(OR(K$23="",ISNA($B97)),"",IF(ISBLANK($B97),"",IFERROR(_xll.BDP(TICKER,"DEEP_MEASURE_PERIOD_BROKER_VALUE","DEEP_MEASURE_ID_OVERRIDE",$C97,"DEEP_BROKER_ID_OVERRIDE",K$24,"DEEP_PERIOD_OVERRIDE",$H$19)*1,"")))</f>
        <v/>
      </c>
      <c r="L97" s="17" t="str">
        <f>IF(OR(L$23="",ISNA($B97)),"",IF(ISBLANK($B97),"",IFERROR(_xll.BDP(TICKER,"DEEP_MEASURE_PERIOD_BROKER_VALUE","DEEP_MEASURE_ID_OVERRIDE",$C97,"DEEP_BROKER_ID_OVERRIDE",L$24,"DEEP_PERIOD_OVERRIDE",$H$19)*1,"")))</f>
        <v/>
      </c>
      <c r="M97" s="17" t="str">
        <f>IF(OR(M$23="",ISNA($B97)),"",IF(ISBLANK($B97),"",IFERROR(_xll.BDP(TICKER,"DEEP_MEASURE_PERIOD_BROKER_VALUE","DEEP_MEASURE_ID_OVERRIDE",$C97,"DEEP_BROKER_ID_OVERRIDE",M$24,"DEEP_PERIOD_OVERRIDE",$H$19)*1,"")))</f>
        <v/>
      </c>
      <c r="N97" s="17" t="str">
        <f>IF(OR(N$23="",ISNA($B97)),"",IF(ISBLANK($B97),"",IFERROR(_xll.BDP(TICKER,"DEEP_MEASURE_PERIOD_BROKER_VALUE","DEEP_MEASURE_ID_OVERRIDE",$C97,"DEEP_BROKER_ID_OVERRIDE",N$24,"DEEP_PERIOD_OVERRIDE",$H$19)*1,"")))</f>
        <v/>
      </c>
      <c r="O97" s="17" t="str">
        <f>IF(OR(O$23="",ISNA($B97)),"",IF(ISBLANK($B97),"",IFERROR(_xll.BDP(TICKER,"DEEP_MEASURE_PERIOD_BROKER_VALUE","DEEP_MEASURE_ID_OVERRIDE",$C97,"DEEP_BROKER_ID_OVERRIDE",O$24,"DEEP_PERIOD_OVERRIDE",$H$19)*1,"")))</f>
        <v/>
      </c>
      <c r="P97" s="17" t="str">
        <f>IF(OR(P$23="",ISNA($B97)),"",IF(ISBLANK($B97),"",IFERROR(_xll.BDP(TICKER,"DEEP_MEASURE_PERIOD_BROKER_VALUE","DEEP_MEASURE_ID_OVERRIDE",$C97,"DEEP_BROKER_ID_OVERRIDE",P$24,"DEEP_PERIOD_OVERRIDE",$H$19)*1,"")))</f>
        <v/>
      </c>
      <c r="Q97" s="17" t="str">
        <f>IF(OR(Q$23="",ISNA($B97)),"",IF(ISBLANK($B97),"",IFERROR(_xll.BDP(TICKER,"DEEP_MEASURE_PERIOD_BROKER_VALUE","DEEP_MEASURE_ID_OVERRIDE",$C97,"DEEP_BROKER_ID_OVERRIDE",Q$24,"DEEP_PERIOD_OVERRIDE",$H$19)*1,"")))</f>
        <v/>
      </c>
      <c r="R97" s="17" t="str">
        <f>IF(OR(R$23="",ISNA($B97)),"",IF(ISBLANK($B97),"",IFERROR(_xll.BDP(TICKER,"DEEP_MEASURE_PERIOD_BROKER_VALUE","DEEP_MEASURE_ID_OVERRIDE",$C97,"DEEP_BROKER_ID_OVERRIDE",R$24,"DEEP_PERIOD_OVERRIDE",$H$19)*1,"")))</f>
        <v/>
      </c>
      <c r="S97" s="17" t="str">
        <f>IF(OR(S$23="",ISNA($B97)),"",IF(ISBLANK($B97),"",IFERROR(_xll.BDP(TICKER,"DEEP_MEASURE_PERIOD_BROKER_VALUE","DEEP_MEASURE_ID_OVERRIDE",$C97,"DEEP_BROKER_ID_OVERRIDE",S$24,"DEEP_PERIOD_OVERRIDE",$H$19)*1,"")))</f>
        <v/>
      </c>
      <c r="T97" s="17" t="str">
        <f>IF(OR(T$23="",ISNA($B97)),"",IF(ISBLANK($B97),"",IFERROR(_xll.BDP(TICKER,"DEEP_MEASURE_PERIOD_BROKER_VALUE","DEEP_MEASURE_ID_OVERRIDE",$C97,"DEEP_BROKER_ID_OVERRIDE",T$24,"DEEP_PERIOD_OVERRIDE",$H$19)*1,"")))</f>
        <v/>
      </c>
      <c r="U97" s="17" t="str">
        <f>IF(OR(U$23="",ISNA($B97)),"",IF(ISBLANK($B97),"",IFERROR(_xll.BDP(TICKER,"DEEP_MEASURE_PERIOD_BROKER_VALUE","DEEP_MEASURE_ID_OVERRIDE",$C97,"DEEP_BROKER_ID_OVERRIDE",U$24,"DEEP_PERIOD_OVERRIDE",$H$19)*1,"")))</f>
        <v/>
      </c>
      <c r="V97" s="17" t="str">
        <f>IF(OR(V$23="",ISNA($B97)),"",IF(ISBLANK($B97),"",IFERROR(_xll.BDP(TICKER,"DEEP_MEASURE_PERIOD_BROKER_VALUE","DEEP_MEASURE_ID_OVERRIDE",$C97,"DEEP_BROKER_ID_OVERRIDE",V$24,"DEEP_PERIOD_OVERRIDE",$H$19)*1,"")))</f>
        <v/>
      </c>
      <c r="W97" s="17" t="str">
        <f>IF(OR(W$23="",ISNA($B97)),"",IF(ISBLANK($B97),"",IFERROR(_xll.BDP(TICKER,"DEEP_MEASURE_PERIOD_BROKER_VALUE","DEEP_MEASURE_ID_OVERRIDE",$C97,"DEEP_BROKER_ID_OVERRIDE",W$24,"DEEP_PERIOD_OVERRIDE",$H$19)*1,"")))</f>
        <v/>
      </c>
      <c r="X97" s="17" t="str">
        <f>IF(OR(X$23="",ISNA($B97)),"",IF(ISBLANK($B97),"",IFERROR(_xll.BDP(TICKER,"DEEP_MEASURE_PERIOD_BROKER_VALUE","DEEP_MEASURE_ID_OVERRIDE",$C97,"DEEP_BROKER_ID_OVERRIDE",X$24,"DEEP_PERIOD_OVERRIDE",$H$19)*1,"")))</f>
        <v/>
      </c>
      <c r="Y97" s="17" t="str">
        <f>IF(OR(Y$23="",ISNA($B97)),"",IF(ISBLANK($B97),"",IFERROR(_xll.BDP(TICKER,"DEEP_MEASURE_PERIOD_BROKER_VALUE","DEEP_MEASURE_ID_OVERRIDE",$C97,"DEEP_BROKER_ID_OVERRIDE",Y$24,"DEEP_PERIOD_OVERRIDE",$H$19)*1,"")))</f>
        <v/>
      </c>
      <c r="Z97" s="17" t="str">
        <f>IF(OR(Z$23="",ISNA($B97)),"",IF(ISBLANK($B97),"",IFERROR(_xll.BDP(TICKER,"DEEP_MEASURE_PERIOD_BROKER_VALUE","DEEP_MEASURE_ID_OVERRIDE",$C97,"DEEP_BROKER_ID_OVERRIDE",Z$24,"DEEP_PERIOD_OVERRIDE",$H$19)*1,"")))</f>
        <v/>
      </c>
      <c r="AA97" s="17" t="str">
        <f>IF(OR(AA$23="",ISNA($B97)),"",IF(ISBLANK($B97),"",IFERROR(_xll.BDP(TICKER,"DEEP_MEASURE_PERIOD_BROKER_VALUE","DEEP_MEASURE_ID_OVERRIDE",$C97,"DEEP_BROKER_ID_OVERRIDE",AA$24,"DEEP_PERIOD_OVERRIDE",$H$19)*1,"")))</f>
        <v/>
      </c>
      <c r="AB97" s="17" t="str">
        <f>IF(OR(AB$23="",ISNA($B97)),"",IF(ISBLANK($B97),"",IFERROR(_xll.BDP(TICKER,"DEEP_MEASURE_PERIOD_BROKER_VALUE","DEEP_MEASURE_ID_OVERRIDE",$C97,"DEEP_BROKER_ID_OVERRIDE",AB$24,"DEEP_PERIOD_OVERRIDE",$H$19)*1,"")))</f>
        <v/>
      </c>
      <c r="AC97" s="17" t="str">
        <f>IF(OR(AC$23="",ISNA($B97)),"",IF(ISBLANK($B97),"",IFERROR(_xll.BDP(TICKER,"DEEP_MEASURE_PERIOD_BROKER_VALUE","DEEP_MEASURE_ID_OVERRIDE",$C97,"DEEP_BROKER_ID_OVERRIDE",AC$24,"DEEP_PERIOD_OVERRIDE",$H$19)*1,"")))</f>
        <v/>
      </c>
      <c r="AD97" s="17" t="str">
        <f>IF(OR(AD$23="",ISNA($B97)),"",IF(ISBLANK($B97),"",IFERROR(_xll.BDP(TICKER,"DEEP_MEASURE_PERIOD_BROKER_VALUE","DEEP_MEASURE_ID_OVERRIDE",$C97,"DEEP_BROKER_ID_OVERRIDE",AD$24,"DEEP_PERIOD_OVERRIDE",$H$19)*1,"")))</f>
        <v/>
      </c>
      <c r="AE97" s="17" t="str">
        <f>IF(OR(AE$23="",ISNA($B97)),"",IF(ISBLANK($B97),"",IFERROR(_xll.BDP(TICKER,"DEEP_MEASURE_PERIOD_BROKER_VALUE","DEEP_MEASURE_ID_OVERRIDE",$C97,"DEEP_BROKER_ID_OVERRIDE",AE$24,"DEEP_PERIOD_OVERRIDE",$H$19)*1,"")))</f>
        <v/>
      </c>
      <c r="AF97" s="17" t="str">
        <f>IF(OR(AF$23="",ISNA($B97)),"",IF(ISBLANK($B97),"",IFERROR(_xll.BDP(TICKER,"DEEP_MEASURE_PERIOD_BROKER_VALUE","DEEP_MEASURE_ID_OVERRIDE",$C97,"DEEP_BROKER_ID_OVERRIDE",AF$24,"DEEP_PERIOD_OVERRIDE",$H$19)*1,"")))</f>
        <v/>
      </c>
      <c r="AG97" s="17" t="str">
        <f>IF(OR(AG$23="",ISNA($B97)),"",IF(ISBLANK($B97),"",IFERROR(_xll.BDP(TICKER,"DEEP_MEASURE_PERIOD_BROKER_VALUE","DEEP_MEASURE_ID_OVERRIDE",$C97,"DEEP_BROKER_ID_OVERRIDE",AG$24,"DEEP_PERIOD_OVERRIDE",$H$19)*1,"")))</f>
        <v/>
      </c>
      <c r="AH97" s="17" t="str">
        <f>IF(OR(AH$23="",ISNA($B97)),"",IF(ISBLANK($B97),"",IFERROR(_xll.BDP(TICKER,"DEEP_MEASURE_PERIOD_BROKER_VALUE","DEEP_MEASURE_ID_OVERRIDE",$C97,"DEEP_BROKER_ID_OVERRIDE",AH$24,"DEEP_PERIOD_OVERRIDE",$H$19)*1,"")))</f>
        <v/>
      </c>
      <c r="AI97" s="17" t="str">
        <f>IF(OR(AI$23="",ISNA($B97)),"",IF(ISBLANK($B97),"",IFERROR(_xll.BDP(TICKER,"DEEP_MEASURE_PERIOD_BROKER_VALUE","DEEP_MEASURE_ID_OVERRIDE",$C97,"DEEP_BROKER_ID_OVERRIDE",AI$24,"DEEP_PERIOD_OVERRIDE",$H$19)*1,"")))</f>
        <v/>
      </c>
      <c r="AJ97" s="17" t="str">
        <f>IF(OR(AJ$23="",ISNA($B97)),"",IF(ISBLANK($B97),"",IFERROR(_xll.BDP(TICKER,"DEEP_MEASURE_PERIOD_BROKER_VALUE","DEEP_MEASURE_ID_OVERRIDE",$C97,"DEEP_BROKER_ID_OVERRIDE",AJ$24,"DEEP_PERIOD_OVERRIDE",$H$19)*1,"")))</f>
        <v/>
      </c>
      <c r="AK97" s="17" t="str">
        <f>IF(OR(AK$23="",ISNA($B97)),"",IF(ISBLANK($B97),"",IFERROR(_xll.BDP(TICKER,"DEEP_MEASURE_PERIOD_BROKER_VALUE","DEEP_MEASURE_ID_OVERRIDE",$C97,"DEEP_BROKER_ID_OVERRIDE",AK$24,"DEEP_PERIOD_OVERRIDE",$H$19)*1,"")))</f>
        <v/>
      </c>
      <c r="AL97" s="17" t="str">
        <f>IF(OR(AL$23="",ISNA($B97)),"",IF(ISBLANK($B97),"",IFERROR(_xll.BDP(TICKER,"DEEP_MEASURE_PERIOD_BROKER_VALUE","DEEP_MEASURE_ID_OVERRIDE",$C97,"DEEP_BROKER_ID_OVERRIDE",AL$24,"DEEP_PERIOD_OVERRIDE",$H$19)*1,"")))</f>
        <v/>
      </c>
      <c r="AM97" s="17" t="str">
        <f>IF(OR(AM$23="",ISNA($B97)),"",IF(ISBLANK($B97),"",IFERROR(_xll.BDP(TICKER,"DEEP_MEASURE_PERIOD_BROKER_VALUE","DEEP_MEASURE_ID_OVERRIDE",$C97,"DEEP_BROKER_ID_OVERRIDE",AM$24,"DEEP_PERIOD_OVERRIDE",$H$19)*1,"")))</f>
        <v/>
      </c>
      <c r="AN97" s="17" t="str">
        <f>IF(OR(AN$23="",ISNA($B97)),"",IF(ISBLANK($B97),"",IFERROR(_xll.BDP(TICKER,"DEEP_MEASURE_PERIOD_BROKER_VALUE","DEEP_MEASURE_ID_OVERRIDE",$C97,"DEEP_BROKER_ID_OVERRIDE",AN$24,"DEEP_PERIOD_OVERRIDE",$H$19)*1,"")))</f>
        <v/>
      </c>
      <c r="AO97" s="17" t="str">
        <f>IF(OR(AO$23="",ISNA($B97)),"",IF(ISBLANK($B97),"",IFERROR(_xll.BDP(TICKER,"DEEP_MEASURE_PERIOD_BROKER_VALUE","DEEP_MEASURE_ID_OVERRIDE",$C97,"DEEP_BROKER_ID_OVERRIDE",AO$24,"DEEP_PERIOD_OVERRIDE",$H$19)*1,"")))</f>
        <v/>
      </c>
      <c r="AP97" s="17" t="str">
        <f>IF(OR(AP$23="",ISNA($B97)),"",IF(ISBLANK($B97),"",IFERROR(_xll.BDP(TICKER,"DEEP_MEASURE_PERIOD_BROKER_VALUE","DEEP_MEASURE_ID_OVERRIDE",$C97,"DEEP_BROKER_ID_OVERRIDE",AP$24,"DEEP_PERIOD_OVERRIDE",$H$19)*1,"")))</f>
        <v/>
      </c>
      <c r="AQ97" s="17" t="str">
        <f>IF(OR(AQ$23="",ISNA($B97)),"",IF(ISBLANK($B97),"",IFERROR(_xll.BDP(TICKER,"DEEP_MEASURE_PERIOD_BROKER_VALUE","DEEP_MEASURE_ID_OVERRIDE",$C97,"DEEP_BROKER_ID_OVERRIDE",AQ$24,"DEEP_PERIOD_OVERRIDE",$H$19)*1,"")))</f>
        <v/>
      </c>
      <c r="AR97" s="17" t="str">
        <f>IF(OR(AR$23="",ISNA($B97)),"",IF(ISBLANK($B97),"",IFERROR(_xll.BDP(TICKER,"DEEP_MEASURE_PERIOD_BROKER_VALUE","DEEP_MEASURE_ID_OVERRIDE",$C97,"DEEP_BROKER_ID_OVERRIDE",AR$24,"DEEP_PERIOD_OVERRIDE",$H$19)*1,"")))</f>
        <v/>
      </c>
      <c r="AS97" s="17" t="str">
        <f>IF(OR(AS$23="",ISNA($B97)),"",IF(ISBLANK($B97),"",IFERROR(_xll.BDP(TICKER,"DEEP_MEASURE_PERIOD_BROKER_VALUE","DEEP_MEASURE_ID_OVERRIDE",$C97,"DEEP_BROKER_ID_OVERRIDE",AS$24,"DEEP_PERIOD_OVERRIDE",$H$19)*1,"")))</f>
        <v/>
      </c>
      <c r="AT97" s="17" t="str">
        <f>IF(OR(AT$23="",ISNA($B97)),"",IF(ISBLANK($B97),"",IFERROR(_xll.BDP(TICKER,"DEEP_MEASURE_PERIOD_BROKER_VALUE","DEEP_MEASURE_ID_OVERRIDE",$C97,"DEEP_BROKER_ID_OVERRIDE",AT$24,"DEEP_PERIOD_OVERRIDE",$H$19)*1,"")))</f>
        <v/>
      </c>
      <c r="AU97" s="17" t="str">
        <f>IF(OR(AU$23="",ISNA($B97)),"",IF(ISBLANK($B97),"",IFERROR(_xll.BDP(TICKER,"DEEP_MEASURE_PERIOD_BROKER_VALUE","DEEP_MEASURE_ID_OVERRIDE",$C97,"DEEP_BROKER_ID_OVERRIDE",AU$24,"DEEP_PERIOD_OVERRIDE",$H$19)*1,"")))</f>
        <v/>
      </c>
      <c r="AV97" s="17" t="str">
        <f>IF(OR(AV$23="",ISNA($B97)),"",IF(ISBLANK($B97),"",IFERROR(_xll.BDP(TICKER,"DEEP_MEASURE_PERIOD_BROKER_VALUE","DEEP_MEASURE_ID_OVERRIDE",$C97,"DEEP_BROKER_ID_OVERRIDE",AV$24,"DEEP_PERIOD_OVERRIDE",$H$19)*1,"")))</f>
        <v/>
      </c>
      <c r="AW97" s="17" t="str">
        <f>IF(OR(AW$23="",ISNA($B97)),"",IF(ISBLANK($B97),"",IFERROR(_xll.BDP(TICKER,"DEEP_MEASURE_PERIOD_BROKER_VALUE","DEEP_MEASURE_ID_OVERRIDE",$C97,"DEEP_BROKER_ID_OVERRIDE",AW$24,"DEEP_PERIOD_OVERRIDE",$H$19)*1,"")))</f>
        <v/>
      </c>
      <c r="AX97" s="17" t="str">
        <f>IF(OR(AX$23="",ISNA($B97)),"",IF(ISBLANK($B97),"",IFERROR(_xll.BDP(TICKER,"DEEP_MEASURE_PERIOD_BROKER_VALUE","DEEP_MEASURE_ID_OVERRIDE",$C97,"DEEP_BROKER_ID_OVERRIDE",AX$24,"DEEP_PERIOD_OVERRIDE",$H$19)*1,"")))</f>
        <v/>
      </c>
      <c r="AY97" s="17" t="str">
        <f>IF(OR(AY$23="",ISNA($B97)),"",IF(ISBLANK($B97),"",IFERROR(_xll.BDP(TICKER,"DEEP_MEASURE_PERIOD_BROKER_VALUE","DEEP_MEASURE_ID_OVERRIDE",$C97,"DEEP_BROKER_ID_OVERRIDE",AY$24,"DEEP_PERIOD_OVERRIDE",$H$19)*1,"")))</f>
        <v/>
      </c>
      <c r="AZ97" s="17" t="str">
        <f>IF(OR(AZ$23="",ISNA($B97)),"",IF(ISBLANK($B97),"",IFERROR(_xll.BDP(TICKER,"DEEP_MEASURE_PERIOD_BROKER_VALUE","DEEP_MEASURE_ID_OVERRIDE",$C97,"DEEP_BROKER_ID_OVERRIDE",AZ$24,"DEEP_PERIOD_OVERRIDE",$H$19)*1,"")))</f>
        <v/>
      </c>
      <c r="BA97" s="17" t="str">
        <f>IF(OR(BA$23="",ISNA($B97)),"",IF(ISBLANK($B97),"",IFERROR(_xll.BDP(TICKER,"DEEP_MEASURE_PERIOD_BROKER_VALUE","DEEP_MEASURE_ID_OVERRIDE",$C97,"DEEP_BROKER_ID_OVERRIDE",BA$24,"DEEP_PERIOD_OVERRIDE",$H$19)*1,"")))</f>
        <v/>
      </c>
      <c r="BB97" s="17" t="str">
        <f>IF(OR(BB$23="",ISNA($B97)),"",IF(ISBLANK($B97),"",IFERROR(_xll.BDP(TICKER,"DEEP_MEASURE_PERIOD_BROKER_VALUE","DEEP_MEASURE_ID_OVERRIDE",$C97,"DEEP_BROKER_ID_OVERRIDE",BB$24,"DEEP_PERIOD_OVERRIDE",$H$19)*1,"")))</f>
        <v/>
      </c>
      <c r="BC97" s="17" t="str">
        <f>IF(OR(BC$23="",ISNA($B97)),"",IF(ISBLANK($B97),"",IFERROR(_xll.BDP(TICKER,"DEEP_MEASURE_PERIOD_BROKER_VALUE","DEEP_MEASURE_ID_OVERRIDE",$C97,"DEEP_BROKER_ID_OVERRIDE",BC$24,"DEEP_PERIOD_OVERRIDE",$H$19)*1,"")))</f>
        <v/>
      </c>
      <c r="BD97" s="17" t="str">
        <f>IF(OR(BD$23="",ISNA($B97)),"",IF(ISBLANK($B97),"",IFERROR(_xll.BDP(TICKER,"DEEP_MEASURE_PERIOD_BROKER_VALUE","DEEP_MEASURE_ID_OVERRIDE",$C97,"DEEP_BROKER_ID_OVERRIDE",BD$24,"DEEP_PERIOD_OVERRIDE",$H$19)*1,"")))</f>
        <v/>
      </c>
      <c r="BE97" s="17" t="str">
        <f>IF(OR(BE$23="",ISNA($B97)),"",IF(ISBLANK($B97),"",IFERROR(_xll.BDP(TICKER,"DEEP_MEASURE_PERIOD_BROKER_VALUE","DEEP_MEASURE_ID_OVERRIDE",$C97,"DEEP_BROKER_ID_OVERRIDE",BE$24,"DEEP_PERIOD_OVERRIDE",$H$19)*1,"")))</f>
        <v/>
      </c>
      <c r="BF97" s="17" t="str">
        <f>IF(OR(BF$23="",ISNA($B97)),"",IF(ISBLANK($B97),"",IFERROR(_xll.BDP(TICKER,"DEEP_MEASURE_PERIOD_BROKER_VALUE","DEEP_MEASURE_ID_OVERRIDE",$C97,"DEEP_BROKER_ID_OVERRIDE",BF$24,"DEEP_PERIOD_OVERRIDE",$H$19)*1,"")))</f>
        <v/>
      </c>
      <c r="BG97" s="17" t="str">
        <f>IF(OR(BG$23="",ISNA($B97)),"",IF(ISBLANK($B97),"",IFERROR(_xll.BDP(TICKER,"DEEP_MEASURE_PERIOD_BROKER_VALUE","DEEP_MEASURE_ID_OVERRIDE",$C97,"DEEP_BROKER_ID_OVERRIDE",BG$24,"DEEP_PERIOD_OVERRIDE",$H$19)*1,"")))</f>
        <v/>
      </c>
      <c r="BH97" s="17" t="str">
        <f>IF(OR(BH$23="",ISNA($B97)),"",IF(ISBLANK($B97),"",IFERROR(_xll.BDP(TICKER,"DEEP_MEASURE_PERIOD_BROKER_VALUE","DEEP_MEASURE_ID_OVERRIDE",$C97,"DEEP_BROKER_ID_OVERRIDE",BH$24,"DEEP_PERIOD_OVERRIDE",$H$19)*1,"")))</f>
        <v/>
      </c>
      <c r="BI97" s="17" t="str">
        <f>IF(OR(BI$23="",ISNA($B97)),"",IF(ISBLANK($B97),"",IFERROR(_xll.BDP(TICKER,"DEEP_MEASURE_PERIOD_BROKER_VALUE","DEEP_MEASURE_ID_OVERRIDE",$C97,"DEEP_BROKER_ID_OVERRIDE",BI$24,"DEEP_PERIOD_OVERRIDE",$H$19)*1,"")))</f>
        <v/>
      </c>
      <c r="BJ97" s="17" t="str">
        <f>IF(OR(BJ$23="",ISNA($B97)),"",IF(ISBLANK($B97),"",IFERROR(_xll.BDP(TICKER,"DEEP_MEASURE_PERIOD_BROKER_VALUE","DEEP_MEASURE_ID_OVERRIDE",$C97,"DEEP_BROKER_ID_OVERRIDE",BJ$24,"DEEP_PERIOD_OVERRIDE",$H$19)*1,"")))</f>
        <v/>
      </c>
      <c r="BK97" s="17" t="str">
        <f>IF(OR(BK$23="",ISNA($B97)),"",IF(ISBLANK($B97),"",IFERROR(_xll.BDP(TICKER,"DEEP_MEASURE_PERIOD_BROKER_VALUE","DEEP_MEASURE_ID_OVERRIDE",$C97,"DEEP_BROKER_ID_OVERRIDE",BK$24,"DEEP_PERIOD_OVERRIDE",$H$19)*1,"")))</f>
        <v/>
      </c>
      <c r="BL97" s="17" t="str">
        <f>IF(OR(BL$23="",ISNA($B97)),"",IF(ISBLANK($B97),"",IFERROR(_xll.BDP(TICKER,"DEEP_MEASURE_PERIOD_BROKER_VALUE","DEEP_MEASURE_ID_OVERRIDE",$C97,"DEEP_BROKER_ID_OVERRIDE",BL$24,"DEEP_PERIOD_OVERRIDE",$H$19)*1,"")))</f>
        <v/>
      </c>
      <c r="BM97" s="17" t="str">
        <f>IF(OR(BM$23="",ISNA($B97)),"",IF(ISBLANK($B97),"",IFERROR(_xll.BDP(TICKER,"DEEP_MEASURE_PERIOD_BROKER_VALUE","DEEP_MEASURE_ID_OVERRIDE",$C97,"DEEP_BROKER_ID_OVERRIDE",BM$24,"DEEP_PERIOD_OVERRIDE",$H$19)*1,"")))</f>
        <v/>
      </c>
      <c r="BN97" s="17" t="str">
        <f>IF(OR(BN$23="",ISNA($B97)),"",IF(ISBLANK($B97),"",IFERROR(_xll.BDP(TICKER,"DEEP_MEASURE_PERIOD_BROKER_VALUE","DEEP_MEASURE_ID_OVERRIDE",$C97,"DEEP_BROKER_ID_OVERRIDE",BN$24,"DEEP_PERIOD_OVERRIDE",$H$19)*1,"")))</f>
        <v/>
      </c>
      <c r="BO97" s="17" t="str">
        <f>IF(OR(BO$23="",ISNA($B97)),"",IF(ISBLANK($B97),"",IFERROR(_xll.BDP(TICKER,"DEEP_MEASURE_PERIOD_BROKER_VALUE","DEEP_MEASURE_ID_OVERRIDE",$C97,"DEEP_BROKER_ID_OVERRIDE",BO$24,"DEEP_PERIOD_OVERRIDE",$H$19)*1,"")))</f>
        <v/>
      </c>
      <c r="BP97" s="17" t="str">
        <f>IF(OR(BP$23="",ISNA($B97)),"",IF(ISBLANK($B97),"",IFERROR(_xll.BDP(TICKER,"DEEP_MEASURE_PERIOD_BROKER_VALUE","DEEP_MEASURE_ID_OVERRIDE",$C97,"DEEP_BROKER_ID_OVERRIDE",BP$24,"DEEP_PERIOD_OVERRIDE",$H$19)*1,"")))</f>
        <v/>
      </c>
      <c r="BQ97" s="17" t="str">
        <f>IF(OR(BQ$23="",ISNA($B97)),"",IF(ISBLANK($B97),"",IFERROR(_xll.BDP(TICKER,"DEEP_MEASURE_PERIOD_BROKER_VALUE","DEEP_MEASURE_ID_OVERRIDE",$C97,"DEEP_BROKER_ID_OVERRIDE",BQ$24,"DEEP_PERIOD_OVERRIDE",$H$19)*1,"")))</f>
        <v/>
      </c>
      <c r="BR97" s="17" t="str">
        <f>IF(OR(BR$23="",ISNA($B97)),"",IF(ISBLANK($B97),"",IFERROR(_xll.BDP(TICKER,"DEEP_MEASURE_PERIOD_BROKER_VALUE","DEEP_MEASURE_ID_OVERRIDE",$C97,"DEEP_BROKER_ID_OVERRIDE",BR$24,"DEEP_PERIOD_OVERRIDE",$H$19)*1,"")))</f>
        <v/>
      </c>
      <c r="BS97" s="17" t="str">
        <f>IF(OR(BS$23="",ISNA($B97)),"",IF(ISBLANK($B97),"",IFERROR(_xll.BDP(TICKER,"DEEP_MEASURE_PERIOD_BROKER_VALUE","DEEP_MEASURE_ID_OVERRIDE",$C97,"DEEP_BROKER_ID_OVERRIDE",BS$24,"DEEP_PERIOD_OVERRIDE",$H$19)*1,"")))</f>
        <v/>
      </c>
      <c r="BT97" s="17" t="str">
        <f>IF(OR(BT$23="",ISNA($B97)),"",IF(ISBLANK($B97),"",IFERROR(_xll.BDP(TICKER,"DEEP_MEASURE_PERIOD_BROKER_VALUE","DEEP_MEASURE_ID_OVERRIDE",$C97,"DEEP_BROKER_ID_OVERRIDE",BT$24,"DEEP_PERIOD_OVERRIDE",$H$19)*1,"")))</f>
        <v/>
      </c>
      <c r="BU97" s="17" t="str">
        <f>IF(OR(BU$23="",ISNA($B97)),"",IF(ISBLANK($B97),"",IFERROR(_xll.BDP(TICKER,"DEEP_MEASURE_PERIOD_BROKER_VALUE","DEEP_MEASURE_ID_OVERRIDE",$C97,"DEEP_BROKER_ID_OVERRIDE",BU$24,"DEEP_PERIOD_OVERRIDE",$H$19)*1,"")))</f>
        <v/>
      </c>
      <c r="BV97" s="17" t="str">
        <f>IF(OR(BV$23="",ISNA($B97)),"",IF(ISBLANK($B97),"",IFERROR(_xll.BDP(TICKER,"DEEP_MEASURE_PERIOD_BROKER_VALUE","DEEP_MEASURE_ID_OVERRIDE",$C97,"DEEP_BROKER_ID_OVERRIDE",BV$24,"DEEP_PERIOD_OVERRIDE",$H$19)*1,"")))</f>
        <v/>
      </c>
      <c r="BW97" s="17" t="str">
        <f>IF(OR(BW$23="",ISNA($B97)),"",IF(ISBLANK($B97),"",IFERROR(_xll.BDP(TICKER,"DEEP_MEASURE_PERIOD_BROKER_VALUE","DEEP_MEASURE_ID_OVERRIDE",$C97,"DEEP_BROKER_ID_OVERRIDE",BW$24,"DEEP_PERIOD_OVERRIDE",$H$19)*1,"")))</f>
        <v/>
      </c>
      <c r="BX97" s="17" t="str">
        <f>IF(OR(BX$23="",ISNA($B97)),"",IF(ISBLANK($B97),"",IFERROR(_xll.BDP(TICKER,"DEEP_MEASURE_PERIOD_BROKER_VALUE","DEEP_MEASURE_ID_OVERRIDE",$C97,"DEEP_BROKER_ID_OVERRIDE",BX$24,"DEEP_PERIOD_OVERRIDE",$H$19)*1,"")))</f>
        <v/>
      </c>
      <c r="BY97" s="17" t="str">
        <f>IF(OR(BY$23="",ISNA($B97)),"",IF(ISBLANK($B97),"",IFERROR(_xll.BDP(TICKER,"DEEP_MEASURE_PERIOD_BROKER_VALUE","DEEP_MEASURE_ID_OVERRIDE",$C97,"DEEP_BROKER_ID_OVERRIDE",BY$24,"DEEP_PERIOD_OVERRIDE",$H$19)*1,"")))</f>
        <v/>
      </c>
      <c r="BZ97" s="17" t="str">
        <f>IF(OR(BZ$23="",ISNA($B97)),"",IF(ISBLANK($B97),"",IFERROR(_xll.BDP(TICKER,"DEEP_MEASURE_PERIOD_BROKER_VALUE","DEEP_MEASURE_ID_OVERRIDE",$C97,"DEEP_BROKER_ID_OVERRIDE",BZ$24,"DEEP_PERIOD_OVERRIDE",$H$19)*1,"")))</f>
        <v/>
      </c>
    </row>
    <row r="98" spans="2:78" x14ac:dyDescent="0.25">
      <c r="B98" t="s">
        <v>138</v>
      </c>
      <c r="C98">
        <v>3734</v>
      </c>
      <c r="H98" t="str">
        <f t="shared" si="2"/>
        <v>Sales &amp; Marketing Expenses &gt; Direct Costs &gt; YoY Growth (%)</v>
      </c>
      <c r="I98" t="str">
        <f>IF(OR(I$23="",ISNA($B98)),"",IF(ISBLANK($B98),"",IFERROR(_xll.BDP(TICKER,"DEEP_MEASURE_PERIOD_BROKER_VALUE","DEEP_MEASURE_ID_OVERRIDE",$C98,"DEEP_PERIOD_OVERRIDE",$H$19)*1,"")))</f>
        <v/>
      </c>
      <c r="J98" t="e">
        <f>IF(OR(J$23="",ISNA($B98)),"",IF(ISBLANK($B98),"",IFERROR(_xll.BDP(TICKER,"DEEP_MEASURE_PERIOD_BROKER_VALUE","DEEP_MEASURE_ID_OVERRIDE",$C98,"DEEP_BROKER_ID_OVERRIDE",J$24,"DEEP_PERIOD_OVERRIDE",$H$19)*1,"")))</f>
        <v>#REF!</v>
      </c>
      <c r="K98" s="17" t="str">
        <f>IF(OR(K$23="",ISNA($B98)),"",IF(ISBLANK($B98),"",IFERROR(_xll.BDP(TICKER,"DEEP_MEASURE_PERIOD_BROKER_VALUE","DEEP_MEASURE_ID_OVERRIDE",$C98,"DEEP_BROKER_ID_OVERRIDE",K$24,"DEEP_PERIOD_OVERRIDE",$H$19)*1,"")))</f>
        <v/>
      </c>
      <c r="L98" s="17" t="str">
        <f>IF(OR(L$23="",ISNA($B98)),"",IF(ISBLANK($B98),"",IFERROR(_xll.BDP(TICKER,"DEEP_MEASURE_PERIOD_BROKER_VALUE","DEEP_MEASURE_ID_OVERRIDE",$C98,"DEEP_BROKER_ID_OVERRIDE",L$24,"DEEP_PERIOD_OVERRIDE",$H$19)*1,"")))</f>
        <v/>
      </c>
      <c r="M98" s="17" t="str">
        <f>IF(OR(M$23="",ISNA($B98)),"",IF(ISBLANK($B98),"",IFERROR(_xll.BDP(TICKER,"DEEP_MEASURE_PERIOD_BROKER_VALUE","DEEP_MEASURE_ID_OVERRIDE",$C98,"DEEP_BROKER_ID_OVERRIDE",M$24,"DEEP_PERIOD_OVERRIDE",$H$19)*1,"")))</f>
        <v/>
      </c>
      <c r="N98" s="17" t="str">
        <f>IF(OR(N$23="",ISNA($B98)),"",IF(ISBLANK($B98),"",IFERROR(_xll.BDP(TICKER,"DEEP_MEASURE_PERIOD_BROKER_VALUE","DEEP_MEASURE_ID_OVERRIDE",$C98,"DEEP_BROKER_ID_OVERRIDE",N$24,"DEEP_PERIOD_OVERRIDE",$H$19)*1,"")))</f>
        <v/>
      </c>
      <c r="O98" s="17" t="str">
        <f>IF(OR(O$23="",ISNA($B98)),"",IF(ISBLANK($B98),"",IFERROR(_xll.BDP(TICKER,"DEEP_MEASURE_PERIOD_BROKER_VALUE","DEEP_MEASURE_ID_OVERRIDE",$C98,"DEEP_BROKER_ID_OVERRIDE",O$24,"DEEP_PERIOD_OVERRIDE",$H$19)*1,"")))</f>
        <v/>
      </c>
      <c r="P98" s="17" t="str">
        <f>IF(OR(P$23="",ISNA($B98)),"",IF(ISBLANK($B98),"",IFERROR(_xll.BDP(TICKER,"DEEP_MEASURE_PERIOD_BROKER_VALUE","DEEP_MEASURE_ID_OVERRIDE",$C98,"DEEP_BROKER_ID_OVERRIDE",P$24,"DEEP_PERIOD_OVERRIDE",$H$19)*1,"")))</f>
        <v/>
      </c>
      <c r="Q98" s="17" t="str">
        <f>IF(OR(Q$23="",ISNA($B98)),"",IF(ISBLANK($B98),"",IFERROR(_xll.BDP(TICKER,"DEEP_MEASURE_PERIOD_BROKER_VALUE","DEEP_MEASURE_ID_OVERRIDE",$C98,"DEEP_BROKER_ID_OVERRIDE",Q$24,"DEEP_PERIOD_OVERRIDE",$H$19)*1,"")))</f>
        <v/>
      </c>
      <c r="R98" s="17" t="str">
        <f>IF(OR(R$23="",ISNA($B98)),"",IF(ISBLANK($B98),"",IFERROR(_xll.BDP(TICKER,"DEEP_MEASURE_PERIOD_BROKER_VALUE","DEEP_MEASURE_ID_OVERRIDE",$C98,"DEEP_BROKER_ID_OVERRIDE",R$24,"DEEP_PERIOD_OVERRIDE",$H$19)*1,"")))</f>
        <v/>
      </c>
      <c r="S98" s="17" t="str">
        <f>IF(OR(S$23="",ISNA($B98)),"",IF(ISBLANK($B98),"",IFERROR(_xll.BDP(TICKER,"DEEP_MEASURE_PERIOD_BROKER_VALUE","DEEP_MEASURE_ID_OVERRIDE",$C98,"DEEP_BROKER_ID_OVERRIDE",S$24,"DEEP_PERIOD_OVERRIDE",$H$19)*1,"")))</f>
        <v/>
      </c>
      <c r="T98" s="17" t="str">
        <f>IF(OR(T$23="",ISNA($B98)),"",IF(ISBLANK($B98),"",IFERROR(_xll.BDP(TICKER,"DEEP_MEASURE_PERIOD_BROKER_VALUE","DEEP_MEASURE_ID_OVERRIDE",$C98,"DEEP_BROKER_ID_OVERRIDE",T$24,"DEEP_PERIOD_OVERRIDE",$H$19)*1,"")))</f>
        <v/>
      </c>
      <c r="U98" s="17" t="str">
        <f>IF(OR(U$23="",ISNA($B98)),"",IF(ISBLANK($B98),"",IFERROR(_xll.BDP(TICKER,"DEEP_MEASURE_PERIOD_BROKER_VALUE","DEEP_MEASURE_ID_OVERRIDE",$C98,"DEEP_BROKER_ID_OVERRIDE",U$24,"DEEP_PERIOD_OVERRIDE",$H$19)*1,"")))</f>
        <v/>
      </c>
      <c r="V98" s="17" t="str">
        <f>IF(OR(V$23="",ISNA($B98)),"",IF(ISBLANK($B98),"",IFERROR(_xll.BDP(TICKER,"DEEP_MEASURE_PERIOD_BROKER_VALUE","DEEP_MEASURE_ID_OVERRIDE",$C98,"DEEP_BROKER_ID_OVERRIDE",V$24,"DEEP_PERIOD_OVERRIDE",$H$19)*1,"")))</f>
        <v/>
      </c>
      <c r="W98" s="17" t="str">
        <f>IF(OR(W$23="",ISNA($B98)),"",IF(ISBLANK($B98),"",IFERROR(_xll.BDP(TICKER,"DEEP_MEASURE_PERIOD_BROKER_VALUE","DEEP_MEASURE_ID_OVERRIDE",$C98,"DEEP_BROKER_ID_OVERRIDE",W$24,"DEEP_PERIOD_OVERRIDE",$H$19)*1,"")))</f>
        <v/>
      </c>
      <c r="X98" s="17" t="str">
        <f>IF(OR(X$23="",ISNA($B98)),"",IF(ISBLANK($B98),"",IFERROR(_xll.BDP(TICKER,"DEEP_MEASURE_PERIOD_BROKER_VALUE","DEEP_MEASURE_ID_OVERRIDE",$C98,"DEEP_BROKER_ID_OVERRIDE",X$24,"DEEP_PERIOD_OVERRIDE",$H$19)*1,"")))</f>
        <v/>
      </c>
      <c r="Y98" s="17" t="str">
        <f>IF(OR(Y$23="",ISNA($B98)),"",IF(ISBLANK($B98),"",IFERROR(_xll.BDP(TICKER,"DEEP_MEASURE_PERIOD_BROKER_VALUE","DEEP_MEASURE_ID_OVERRIDE",$C98,"DEEP_BROKER_ID_OVERRIDE",Y$24,"DEEP_PERIOD_OVERRIDE",$H$19)*1,"")))</f>
        <v/>
      </c>
      <c r="Z98" s="17" t="str">
        <f>IF(OR(Z$23="",ISNA($B98)),"",IF(ISBLANK($B98),"",IFERROR(_xll.BDP(TICKER,"DEEP_MEASURE_PERIOD_BROKER_VALUE","DEEP_MEASURE_ID_OVERRIDE",$C98,"DEEP_BROKER_ID_OVERRIDE",Z$24,"DEEP_PERIOD_OVERRIDE",$H$19)*1,"")))</f>
        <v/>
      </c>
      <c r="AA98" s="17" t="str">
        <f>IF(OR(AA$23="",ISNA($B98)),"",IF(ISBLANK($B98),"",IFERROR(_xll.BDP(TICKER,"DEEP_MEASURE_PERIOD_BROKER_VALUE","DEEP_MEASURE_ID_OVERRIDE",$C98,"DEEP_BROKER_ID_OVERRIDE",AA$24,"DEEP_PERIOD_OVERRIDE",$H$19)*1,"")))</f>
        <v/>
      </c>
      <c r="AB98" s="17" t="str">
        <f>IF(OR(AB$23="",ISNA($B98)),"",IF(ISBLANK($B98),"",IFERROR(_xll.BDP(TICKER,"DEEP_MEASURE_PERIOD_BROKER_VALUE","DEEP_MEASURE_ID_OVERRIDE",$C98,"DEEP_BROKER_ID_OVERRIDE",AB$24,"DEEP_PERIOD_OVERRIDE",$H$19)*1,"")))</f>
        <v/>
      </c>
      <c r="AC98" s="17" t="str">
        <f>IF(OR(AC$23="",ISNA($B98)),"",IF(ISBLANK($B98),"",IFERROR(_xll.BDP(TICKER,"DEEP_MEASURE_PERIOD_BROKER_VALUE","DEEP_MEASURE_ID_OVERRIDE",$C98,"DEEP_BROKER_ID_OVERRIDE",AC$24,"DEEP_PERIOD_OVERRIDE",$H$19)*1,"")))</f>
        <v/>
      </c>
      <c r="AD98" s="17" t="str">
        <f>IF(OR(AD$23="",ISNA($B98)),"",IF(ISBLANK($B98),"",IFERROR(_xll.BDP(TICKER,"DEEP_MEASURE_PERIOD_BROKER_VALUE","DEEP_MEASURE_ID_OVERRIDE",$C98,"DEEP_BROKER_ID_OVERRIDE",AD$24,"DEEP_PERIOD_OVERRIDE",$H$19)*1,"")))</f>
        <v/>
      </c>
      <c r="AE98" s="17" t="str">
        <f>IF(OR(AE$23="",ISNA($B98)),"",IF(ISBLANK($B98),"",IFERROR(_xll.BDP(TICKER,"DEEP_MEASURE_PERIOD_BROKER_VALUE","DEEP_MEASURE_ID_OVERRIDE",$C98,"DEEP_BROKER_ID_OVERRIDE",AE$24,"DEEP_PERIOD_OVERRIDE",$H$19)*1,"")))</f>
        <v/>
      </c>
      <c r="AF98" s="17" t="str">
        <f>IF(OR(AF$23="",ISNA($B98)),"",IF(ISBLANK($B98),"",IFERROR(_xll.BDP(TICKER,"DEEP_MEASURE_PERIOD_BROKER_VALUE","DEEP_MEASURE_ID_OVERRIDE",$C98,"DEEP_BROKER_ID_OVERRIDE",AF$24,"DEEP_PERIOD_OVERRIDE",$H$19)*1,"")))</f>
        <v/>
      </c>
      <c r="AG98" s="17" t="str">
        <f>IF(OR(AG$23="",ISNA($B98)),"",IF(ISBLANK($B98),"",IFERROR(_xll.BDP(TICKER,"DEEP_MEASURE_PERIOD_BROKER_VALUE","DEEP_MEASURE_ID_OVERRIDE",$C98,"DEEP_BROKER_ID_OVERRIDE",AG$24,"DEEP_PERIOD_OVERRIDE",$H$19)*1,"")))</f>
        <v/>
      </c>
      <c r="AH98" s="17" t="str">
        <f>IF(OR(AH$23="",ISNA($B98)),"",IF(ISBLANK($B98),"",IFERROR(_xll.BDP(TICKER,"DEEP_MEASURE_PERIOD_BROKER_VALUE","DEEP_MEASURE_ID_OVERRIDE",$C98,"DEEP_BROKER_ID_OVERRIDE",AH$24,"DEEP_PERIOD_OVERRIDE",$H$19)*1,"")))</f>
        <v/>
      </c>
      <c r="AI98" s="17" t="str">
        <f>IF(OR(AI$23="",ISNA($B98)),"",IF(ISBLANK($B98),"",IFERROR(_xll.BDP(TICKER,"DEEP_MEASURE_PERIOD_BROKER_VALUE","DEEP_MEASURE_ID_OVERRIDE",$C98,"DEEP_BROKER_ID_OVERRIDE",AI$24,"DEEP_PERIOD_OVERRIDE",$H$19)*1,"")))</f>
        <v/>
      </c>
      <c r="AJ98" s="17" t="str">
        <f>IF(OR(AJ$23="",ISNA($B98)),"",IF(ISBLANK($B98),"",IFERROR(_xll.BDP(TICKER,"DEEP_MEASURE_PERIOD_BROKER_VALUE","DEEP_MEASURE_ID_OVERRIDE",$C98,"DEEP_BROKER_ID_OVERRIDE",AJ$24,"DEEP_PERIOD_OVERRIDE",$H$19)*1,"")))</f>
        <v/>
      </c>
      <c r="AK98" s="17" t="str">
        <f>IF(OR(AK$23="",ISNA($B98)),"",IF(ISBLANK($B98),"",IFERROR(_xll.BDP(TICKER,"DEEP_MEASURE_PERIOD_BROKER_VALUE","DEEP_MEASURE_ID_OVERRIDE",$C98,"DEEP_BROKER_ID_OVERRIDE",AK$24,"DEEP_PERIOD_OVERRIDE",$H$19)*1,"")))</f>
        <v/>
      </c>
      <c r="AL98" s="17" t="str">
        <f>IF(OR(AL$23="",ISNA($B98)),"",IF(ISBLANK($B98),"",IFERROR(_xll.BDP(TICKER,"DEEP_MEASURE_PERIOD_BROKER_VALUE","DEEP_MEASURE_ID_OVERRIDE",$C98,"DEEP_BROKER_ID_OVERRIDE",AL$24,"DEEP_PERIOD_OVERRIDE",$H$19)*1,"")))</f>
        <v/>
      </c>
      <c r="AM98" s="17" t="str">
        <f>IF(OR(AM$23="",ISNA($B98)),"",IF(ISBLANK($B98),"",IFERROR(_xll.BDP(TICKER,"DEEP_MEASURE_PERIOD_BROKER_VALUE","DEEP_MEASURE_ID_OVERRIDE",$C98,"DEEP_BROKER_ID_OVERRIDE",AM$24,"DEEP_PERIOD_OVERRIDE",$H$19)*1,"")))</f>
        <v/>
      </c>
      <c r="AN98" s="17" t="str">
        <f>IF(OR(AN$23="",ISNA($B98)),"",IF(ISBLANK($B98),"",IFERROR(_xll.BDP(TICKER,"DEEP_MEASURE_PERIOD_BROKER_VALUE","DEEP_MEASURE_ID_OVERRIDE",$C98,"DEEP_BROKER_ID_OVERRIDE",AN$24,"DEEP_PERIOD_OVERRIDE",$H$19)*1,"")))</f>
        <v/>
      </c>
      <c r="AO98" s="17" t="str">
        <f>IF(OR(AO$23="",ISNA($B98)),"",IF(ISBLANK($B98),"",IFERROR(_xll.BDP(TICKER,"DEEP_MEASURE_PERIOD_BROKER_VALUE","DEEP_MEASURE_ID_OVERRIDE",$C98,"DEEP_BROKER_ID_OVERRIDE",AO$24,"DEEP_PERIOD_OVERRIDE",$H$19)*1,"")))</f>
        <v/>
      </c>
      <c r="AP98" s="17" t="str">
        <f>IF(OR(AP$23="",ISNA($B98)),"",IF(ISBLANK($B98),"",IFERROR(_xll.BDP(TICKER,"DEEP_MEASURE_PERIOD_BROKER_VALUE","DEEP_MEASURE_ID_OVERRIDE",$C98,"DEEP_BROKER_ID_OVERRIDE",AP$24,"DEEP_PERIOD_OVERRIDE",$H$19)*1,"")))</f>
        <v/>
      </c>
      <c r="AQ98" s="17" t="str">
        <f>IF(OR(AQ$23="",ISNA($B98)),"",IF(ISBLANK($B98),"",IFERROR(_xll.BDP(TICKER,"DEEP_MEASURE_PERIOD_BROKER_VALUE","DEEP_MEASURE_ID_OVERRIDE",$C98,"DEEP_BROKER_ID_OVERRIDE",AQ$24,"DEEP_PERIOD_OVERRIDE",$H$19)*1,"")))</f>
        <v/>
      </c>
      <c r="AR98" s="17" t="str">
        <f>IF(OR(AR$23="",ISNA($B98)),"",IF(ISBLANK($B98),"",IFERROR(_xll.BDP(TICKER,"DEEP_MEASURE_PERIOD_BROKER_VALUE","DEEP_MEASURE_ID_OVERRIDE",$C98,"DEEP_BROKER_ID_OVERRIDE",AR$24,"DEEP_PERIOD_OVERRIDE",$H$19)*1,"")))</f>
        <v/>
      </c>
      <c r="AS98" s="17" t="str">
        <f>IF(OR(AS$23="",ISNA($B98)),"",IF(ISBLANK($B98),"",IFERROR(_xll.BDP(TICKER,"DEEP_MEASURE_PERIOD_BROKER_VALUE","DEEP_MEASURE_ID_OVERRIDE",$C98,"DEEP_BROKER_ID_OVERRIDE",AS$24,"DEEP_PERIOD_OVERRIDE",$H$19)*1,"")))</f>
        <v/>
      </c>
      <c r="AT98" s="17" t="str">
        <f>IF(OR(AT$23="",ISNA($B98)),"",IF(ISBLANK($B98),"",IFERROR(_xll.BDP(TICKER,"DEEP_MEASURE_PERIOD_BROKER_VALUE","DEEP_MEASURE_ID_OVERRIDE",$C98,"DEEP_BROKER_ID_OVERRIDE",AT$24,"DEEP_PERIOD_OVERRIDE",$H$19)*1,"")))</f>
        <v/>
      </c>
      <c r="AU98" s="17" t="str">
        <f>IF(OR(AU$23="",ISNA($B98)),"",IF(ISBLANK($B98),"",IFERROR(_xll.BDP(TICKER,"DEEP_MEASURE_PERIOD_BROKER_VALUE","DEEP_MEASURE_ID_OVERRIDE",$C98,"DEEP_BROKER_ID_OVERRIDE",AU$24,"DEEP_PERIOD_OVERRIDE",$H$19)*1,"")))</f>
        <v/>
      </c>
      <c r="AV98" s="17" t="str">
        <f>IF(OR(AV$23="",ISNA($B98)),"",IF(ISBLANK($B98),"",IFERROR(_xll.BDP(TICKER,"DEEP_MEASURE_PERIOD_BROKER_VALUE","DEEP_MEASURE_ID_OVERRIDE",$C98,"DEEP_BROKER_ID_OVERRIDE",AV$24,"DEEP_PERIOD_OVERRIDE",$H$19)*1,"")))</f>
        <v/>
      </c>
      <c r="AW98" s="17" t="str">
        <f>IF(OR(AW$23="",ISNA($B98)),"",IF(ISBLANK($B98),"",IFERROR(_xll.BDP(TICKER,"DEEP_MEASURE_PERIOD_BROKER_VALUE","DEEP_MEASURE_ID_OVERRIDE",$C98,"DEEP_BROKER_ID_OVERRIDE",AW$24,"DEEP_PERIOD_OVERRIDE",$H$19)*1,"")))</f>
        <v/>
      </c>
      <c r="AX98" s="17" t="str">
        <f>IF(OR(AX$23="",ISNA($B98)),"",IF(ISBLANK($B98),"",IFERROR(_xll.BDP(TICKER,"DEEP_MEASURE_PERIOD_BROKER_VALUE","DEEP_MEASURE_ID_OVERRIDE",$C98,"DEEP_BROKER_ID_OVERRIDE",AX$24,"DEEP_PERIOD_OVERRIDE",$H$19)*1,"")))</f>
        <v/>
      </c>
      <c r="AY98" s="17" t="str">
        <f>IF(OR(AY$23="",ISNA($B98)),"",IF(ISBLANK($B98),"",IFERROR(_xll.BDP(TICKER,"DEEP_MEASURE_PERIOD_BROKER_VALUE","DEEP_MEASURE_ID_OVERRIDE",$C98,"DEEP_BROKER_ID_OVERRIDE",AY$24,"DEEP_PERIOD_OVERRIDE",$H$19)*1,"")))</f>
        <v/>
      </c>
      <c r="AZ98" s="17" t="str">
        <f>IF(OR(AZ$23="",ISNA($B98)),"",IF(ISBLANK($B98),"",IFERROR(_xll.BDP(TICKER,"DEEP_MEASURE_PERIOD_BROKER_VALUE","DEEP_MEASURE_ID_OVERRIDE",$C98,"DEEP_BROKER_ID_OVERRIDE",AZ$24,"DEEP_PERIOD_OVERRIDE",$H$19)*1,"")))</f>
        <v/>
      </c>
      <c r="BA98" s="17" t="str">
        <f>IF(OR(BA$23="",ISNA($B98)),"",IF(ISBLANK($B98),"",IFERROR(_xll.BDP(TICKER,"DEEP_MEASURE_PERIOD_BROKER_VALUE","DEEP_MEASURE_ID_OVERRIDE",$C98,"DEEP_BROKER_ID_OVERRIDE",BA$24,"DEEP_PERIOD_OVERRIDE",$H$19)*1,"")))</f>
        <v/>
      </c>
      <c r="BB98" s="17" t="str">
        <f>IF(OR(BB$23="",ISNA($B98)),"",IF(ISBLANK($B98),"",IFERROR(_xll.BDP(TICKER,"DEEP_MEASURE_PERIOD_BROKER_VALUE","DEEP_MEASURE_ID_OVERRIDE",$C98,"DEEP_BROKER_ID_OVERRIDE",BB$24,"DEEP_PERIOD_OVERRIDE",$H$19)*1,"")))</f>
        <v/>
      </c>
      <c r="BC98" s="17" t="str">
        <f>IF(OR(BC$23="",ISNA($B98)),"",IF(ISBLANK($B98),"",IFERROR(_xll.BDP(TICKER,"DEEP_MEASURE_PERIOD_BROKER_VALUE","DEEP_MEASURE_ID_OVERRIDE",$C98,"DEEP_BROKER_ID_OVERRIDE",BC$24,"DEEP_PERIOD_OVERRIDE",$H$19)*1,"")))</f>
        <v/>
      </c>
      <c r="BD98" s="17" t="str">
        <f>IF(OR(BD$23="",ISNA($B98)),"",IF(ISBLANK($B98),"",IFERROR(_xll.BDP(TICKER,"DEEP_MEASURE_PERIOD_BROKER_VALUE","DEEP_MEASURE_ID_OVERRIDE",$C98,"DEEP_BROKER_ID_OVERRIDE",BD$24,"DEEP_PERIOD_OVERRIDE",$H$19)*1,"")))</f>
        <v/>
      </c>
      <c r="BE98" s="17" t="str">
        <f>IF(OR(BE$23="",ISNA($B98)),"",IF(ISBLANK($B98),"",IFERROR(_xll.BDP(TICKER,"DEEP_MEASURE_PERIOD_BROKER_VALUE","DEEP_MEASURE_ID_OVERRIDE",$C98,"DEEP_BROKER_ID_OVERRIDE",BE$24,"DEEP_PERIOD_OVERRIDE",$H$19)*1,"")))</f>
        <v/>
      </c>
      <c r="BF98" s="17" t="str">
        <f>IF(OR(BF$23="",ISNA($B98)),"",IF(ISBLANK($B98),"",IFERROR(_xll.BDP(TICKER,"DEEP_MEASURE_PERIOD_BROKER_VALUE","DEEP_MEASURE_ID_OVERRIDE",$C98,"DEEP_BROKER_ID_OVERRIDE",BF$24,"DEEP_PERIOD_OVERRIDE",$H$19)*1,"")))</f>
        <v/>
      </c>
      <c r="BG98" s="17" t="str">
        <f>IF(OR(BG$23="",ISNA($B98)),"",IF(ISBLANK($B98),"",IFERROR(_xll.BDP(TICKER,"DEEP_MEASURE_PERIOD_BROKER_VALUE","DEEP_MEASURE_ID_OVERRIDE",$C98,"DEEP_BROKER_ID_OVERRIDE",BG$24,"DEEP_PERIOD_OVERRIDE",$H$19)*1,"")))</f>
        <v/>
      </c>
      <c r="BH98" s="17" t="str">
        <f>IF(OR(BH$23="",ISNA($B98)),"",IF(ISBLANK($B98),"",IFERROR(_xll.BDP(TICKER,"DEEP_MEASURE_PERIOD_BROKER_VALUE","DEEP_MEASURE_ID_OVERRIDE",$C98,"DEEP_BROKER_ID_OVERRIDE",BH$24,"DEEP_PERIOD_OVERRIDE",$H$19)*1,"")))</f>
        <v/>
      </c>
      <c r="BI98" s="17" t="str">
        <f>IF(OR(BI$23="",ISNA($B98)),"",IF(ISBLANK($B98),"",IFERROR(_xll.BDP(TICKER,"DEEP_MEASURE_PERIOD_BROKER_VALUE","DEEP_MEASURE_ID_OVERRIDE",$C98,"DEEP_BROKER_ID_OVERRIDE",BI$24,"DEEP_PERIOD_OVERRIDE",$H$19)*1,"")))</f>
        <v/>
      </c>
      <c r="BJ98" s="17" t="str">
        <f>IF(OR(BJ$23="",ISNA($B98)),"",IF(ISBLANK($B98),"",IFERROR(_xll.BDP(TICKER,"DEEP_MEASURE_PERIOD_BROKER_VALUE","DEEP_MEASURE_ID_OVERRIDE",$C98,"DEEP_BROKER_ID_OVERRIDE",BJ$24,"DEEP_PERIOD_OVERRIDE",$H$19)*1,"")))</f>
        <v/>
      </c>
      <c r="BK98" s="17" t="str">
        <f>IF(OR(BK$23="",ISNA($B98)),"",IF(ISBLANK($B98),"",IFERROR(_xll.BDP(TICKER,"DEEP_MEASURE_PERIOD_BROKER_VALUE","DEEP_MEASURE_ID_OVERRIDE",$C98,"DEEP_BROKER_ID_OVERRIDE",BK$24,"DEEP_PERIOD_OVERRIDE",$H$19)*1,"")))</f>
        <v/>
      </c>
      <c r="BL98" s="17" t="str">
        <f>IF(OR(BL$23="",ISNA($B98)),"",IF(ISBLANK($B98),"",IFERROR(_xll.BDP(TICKER,"DEEP_MEASURE_PERIOD_BROKER_VALUE","DEEP_MEASURE_ID_OVERRIDE",$C98,"DEEP_BROKER_ID_OVERRIDE",BL$24,"DEEP_PERIOD_OVERRIDE",$H$19)*1,"")))</f>
        <v/>
      </c>
      <c r="BM98" s="17" t="str">
        <f>IF(OR(BM$23="",ISNA($B98)),"",IF(ISBLANK($B98),"",IFERROR(_xll.BDP(TICKER,"DEEP_MEASURE_PERIOD_BROKER_VALUE","DEEP_MEASURE_ID_OVERRIDE",$C98,"DEEP_BROKER_ID_OVERRIDE",BM$24,"DEEP_PERIOD_OVERRIDE",$H$19)*1,"")))</f>
        <v/>
      </c>
      <c r="BN98" s="17" t="str">
        <f>IF(OR(BN$23="",ISNA($B98)),"",IF(ISBLANK($B98),"",IFERROR(_xll.BDP(TICKER,"DEEP_MEASURE_PERIOD_BROKER_VALUE","DEEP_MEASURE_ID_OVERRIDE",$C98,"DEEP_BROKER_ID_OVERRIDE",BN$24,"DEEP_PERIOD_OVERRIDE",$H$19)*1,"")))</f>
        <v/>
      </c>
      <c r="BO98" s="17" t="str">
        <f>IF(OR(BO$23="",ISNA($B98)),"",IF(ISBLANK($B98),"",IFERROR(_xll.BDP(TICKER,"DEEP_MEASURE_PERIOD_BROKER_VALUE","DEEP_MEASURE_ID_OVERRIDE",$C98,"DEEP_BROKER_ID_OVERRIDE",BO$24,"DEEP_PERIOD_OVERRIDE",$H$19)*1,"")))</f>
        <v/>
      </c>
      <c r="BP98" s="17" t="str">
        <f>IF(OR(BP$23="",ISNA($B98)),"",IF(ISBLANK($B98),"",IFERROR(_xll.BDP(TICKER,"DEEP_MEASURE_PERIOD_BROKER_VALUE","DEEP_MEASURE_ID_OVERRIDE",$C98,"DEEP_BROKER_ID_OVERRIDE",BP$24,"DEEP_PERIOD_OVERRIDE",$H$19)*1,"")))</f>
        <v/>
      </c>
      <c r="BQ98" s="17" t="str">
        <f>IF(OR(BQ$23="",ISNA($B98)),"",IF(ISBLANK($B98),"",IFERROR(_xll.BDP(TICKER,"DEEP_MEASURE_PERIOD_BROKER_VALUE","DEEP_MEASURE_ID_OVERRIDE",$C98,"DEEP_BROKER_ID_OVERRIDE",BQ$24,"DEEP_PERIOD_OVERRIDE",$H$19)*1,"")))</f>
        <v/>
      </c>
      <c r="BR98" s="17" t="str">
        <f>IF(OR(BR$23="",ISNA($B98)),"",IF(ISBLANK($B98),"",IFERROR(_xll.BDP(TICKER,"DEEP_MEASURE_PERIOD_BROKER_VALUE","DEEP_MEASURE_ID_OVERRIDE",$C98,"DEEP_BROKER_ID_OVERRIDE",BR$24,"DEEP_PERIOD_OVERRIDE",$H$19)*1,"")))</f>
        <v/>
      </c>
      <c r="BS98" s="17" t="str">
        <f>IF(OR(BS$23="",ISNA($B98)),"",IF(ISBLANK($B98),"",IFERROR(_xll.BDP(TICKER,"DEEP_MEASURE_PERIOD_BROKER_VALUE","DEEP_MEASURE_ID_OVERRIDE",$C98,"DEEP_BROKER_ID_OVERRIDE",BS$24,"DEEP_PERIOD_OVERRIDE",$H$19)*1,"")))</f>
        <v/>
      </c>
      <c r="BT98" s="17" t="str">
        <f>IF(OR(BT$23="",ISNA($B98)),"",IF(ISBLANK($B98),"",IFERROR(_xll.BDP(TICKER,"DEEP_MEASURE_PERIOD_BROKER_VALUE","DEEP_MEASURE_ID_OVERRIDE",$C98,"DEEP_BROKER_ID_OVERRIDE",BT$24,"DEEP_PERIOD_OVERRIDE",$H$19)*1,"")))</f>
        <v/>
      </c>
      <c r="BU98" s="17" t="str">
        <f>IF(OR(BU$23="",ISNA($B98)),"",IF(ISBLANK($B98),"",IFERROR(_xll.BDP(TICKER,"DEEP_MEASURE_PERIOD_BROKER_VALUE","DEEP_MEASURE_ID_OVERRIDE",$C98,"DEEP_BROKER_ID_OVERRIDE",BU$24,"DEEP_PERIOD_OVERRIDE",$H$19)*1,"")))</f>
        <v/>
      </c>
      <c r="BV98" s="17" t="str">
        <f>IF(OR(BV$23="",ISNA($B98)),"",IF(ISBLANK($B98),"",IFERROR(_xll.BDP(TICKER,"DEEP_MEASURE_PERIOD_BROKER_VALUE","DEEP_MEASURE_ID_OVERRIDE",$C98,"DEEP_BROKER_ID_OVERRIDE",BV$24,"DEEP_PERIOD_OVERRIDE",$H$19)*1,"")))</f>
        <v/>
      </c>
      <c r="BW98" s="17" t="str">
        <f>IF(OR(BW$23="",ISNA($B98)),"",IF(ISBLANK($B98),"",IFERROR(_xll.BDP(TICKER,"DEEP_MEASURE_PERIOD_BROKER_VALUE","DEEP_MEASURE_ID_OVERRIDE",$C98,"DEEP_BROKER_ID_OVERRIDE",BW$24,"DEEP_PERIOD_OVERRIDE",$H$19)*1,"")))</f>
        <v/>
      </c>
      <c r="BX98" s="17" t="str">
        <f>IF(OR(BX$23="",ISNA($B98)),"",IF(ISBLANK($B98),"",IFERROR(_xll.BDP(TICKER,"DEEP_MEASURE_PERIOD_BROKER_VALUE","DEEP_MEASURE_ID_OVERRIDE",$C98,"DEEP_BROKER_ID_OVERRIDE",BX$24,"DEEP_PERIOD_OVERRIDE",$H$19)*1,"")))</f>
        <v/>
      </c>
      <c r="BY98" s="17" t="str">
        <f>IF(OR(BY$23="",ISNA($B98)),"",IF(ISBLANK($B98),"",IFERROR(_xll.BDP(TICKER,"DEEP_MEASURE_PERIOD_BROKER_VALUE","DEEP_MEASURE_ID_OVERRIDE",$C98,"DEEP_BROKER_ID_OVERRIDE",BY$24,"DEEP_PERIOD_OVERRIDE",$H$19)*1,"")))</f>
        <v/>
      </c>
      <c r="BZ98" s="17" t="str">
        <f>IF(OR(BZ$23="",ISNA($B98)),"",IF(ISBLANK($B98),"",IFERROR(_xll.BDP(TICKER,"DEEP_MEASURE_PERIOD_BROKER_VALUE","DEEP_MEASURE_ID_OVERRIDE",$C98,"DEEP_BROKER_ID_OVERRIDE",BZ$24,"DEEP_PERIOD_OVERRIDE",$H$19)*1,"")))</f>
        <v/>
      </c>
    </row>
    <row r="99" spans="2:78" x14ac:dyDescent="0.25">
      <c r="B99" t="s">
        <v>139</v>
      </c>
      <c r="C99">
        <v>8426</v>
      </c>
      <c r="H99" t="str">
        <f t="shared" si="2"/>
        <v>Sales &amp; Marketing Expenses &gt; Personnel &amp; Overhead</v>
      </c>
      <c r="I99" t="str">
        <f>IF(OR(I$23="",ISNA($B99)),"",IF(ISBLANK($B99),"",IFERROR(_xll.BDP(TICKER,"DEEP_MEASURE_PERIOD_BROKER_VALUE","DEEP_MEASURE_ID_OVERRIDE",$C99,"DEEP_PERIOD_OVERRIDE",$H$19)*1,"")))</f>
        <v/>
      </c>
      <c r="J99" t="e">
        <f>IF(OR(J$23="",ISNA($B99)),"",IF(ISBLANK($B99),"",IFERROR(_xll.BDP(TICKER,"DEEP_MEASURE_PERIOD_BROKER_VALUE","DEEP_MEASURE_ID_OVERRIDE",$C99,"DEEP_BROKER_ID_OVERRIDE",J$24,"DEEP_PERIOD_OVERRIDE",$H$19)*1,"")))</f>
        <v>#REF!</v>
      </c>
      <c r="K99" s="17" t="str">
        <f>IF(OR(K$23="",ISNA($B99)),"",IF(ISBLANK($B99),"",IFERROR(_xll.BDP(TICKER,"DEEP_MEASURE_PERIOD_BROKER_VALUE","DEEP_MEASURE_ID_OVERRIDE",$C99,"DEEP_BROKER_ID_OVERRIDE",K$24,"DEEP_PERIOD_OVERRIDE",$H$19)*1,"")))</f>
        <v/>
      </c>
      <c r="L99" s="17" t="str">
        <f>IF(OR(L$23="",ISNA($B99)),"",IF(ISBLANK($B99),"",IFERROR(_xll.BDP(TICKER,"DEEP_MEASURE_PERIOD_BROKER_VALUE","DEEP_MEASURE_ID_OVERRIDE",$C99,"DEEP_BROKER_ID_OVERRIDE",L$24,"DEEP_PERIOD_OVERRIDE",$H$19)*1,"")))</f>
        <v/>
      </c>
      <c r="M99" s="17" t="str">
        <f>IF(OR(M$23="",ISNA($B99)),"",IF(ISBLANK($B99),"",IFERROR(_xll.BDP(TICKER,"DEEP_MEASURE_PERIOD_BROKER_VALUE","DEEP_MEASURE_ID_OVERRIDE",$C99,"DEEP_BROKER_ID_OVERRIDE",M$24,"DEEP_PERIOD_OVERRIDE",$H$19)*1,"")))</f>
        <v/>
      </c>
      <c r="N99" s="17" t="str">
        <f>IF(OR(N$23="",ISNA($B99)),"",IF(ISBLANK($B99),"",IFERROR(_xll.BDP(TICKER,"DEEP_MEASURE_PERIOD_BROKER_VALUE","DEEP_MEASURE_ID_OVERRIDE",$C99,"DEEP_BROKER_ID_OVERRIDE",N$24,"DEEP_PERIOD_OVERRIDE",$H$19)*1,"")))</f>
        <v/>
      </c>
      <c r="O99" s="17" t="str">
        <f>IF(OR(O$23="",ISNA($B99)),"",IF(ISBLANK($B99),"",IFERROR(_xll.BDP(TICKER,"DEEP_MEASURE_PERIOD_BROKER_VALUE","DEEP_MEASURE_ID_OVERRIDE",$C99,"DEEP_BROKER_ID_OVERRIDE",O$24,"DEEP_PERIOD_OVERRIDE",$H$19)*1,"")))</f>
        <v/>
      </c>
      <c r="P99" s="17" t="str">
        <f>IF(OR(P$23="",ISNA($B99)),"",IF(ISBLANK($B99),"",IFERROR(_xll.BDP(TICKER,"DEEP_MEASURE_PERIOD_BROKER_VALUE","DEEP_MEASURE_ID_OVERRIDE",$C99,"DEEP_BROKER_ID_OVERRIDE",P$24,"DEEP_PERIOD_OVERRIDE",$H$19)*1,"")))</f>
        <v/>
      </c>
      <c r="Q99" s="17" t="str">
        <f>IF(OR(Q$23="",ISNA($B99)),"",IF(ISBLANK($B99),"",IFERROR(_xll.BDP(TICKER,"DEEP_MEASURE_PERIOD_BROKER_VALUE","DEEP_MEASURE_ID_OVERRIDE",$C99,"DEEP_BROKER_ID_OVERRIDE",Q$24,"DEEP_PERIOD_OVERRIDE",$H$19)*1,"")))</f>
        <v/>
      </c>
      <c r="R99" s="17" t="str">
        <f>IF(OR(R$23="",ISNA($B99)),"",IF(ISBLANK($B99),"",IFERROR(_xll.BDP(TICKER,"DEEP_MEASURE_PERIOD_BROKER_VALUE","DEEP_MEASURE_ID_OVERRIDE",$C99,"DEEP_BROKER_ID_OVERRIDE",R$24,"DEEP_PERIOD_OVERRIDE",$H$19)*1,"")))</f>
        <v/>
      </c>
      <c r="S99" s="17" t="str">
        <f>IF(OR(S$23="",ISNA($B99)),"",IF(ISBLANK($B99),"",IFERROR(_xll.BDP(TICKER,"DEEP_MEASURE_PERIOD_BROKER_VALUE","DEEP_MEASURE_ID_OVERRIDE",$C99,"DEEP_BROKER_ID_OVERRIDE",S$24,"DEEP_PERIOD_OVERRIDE",$H$19)*1,"")))</f>
        <v/>
      </c>
      <c r="T99" s="17" t="str">
        <f>IF(OR(T$23="",ISNA($B99)),"",IF(ISBLANK($B99),"",IFERROR(_xll.BDP(TICKER,"DEEP_MEASURE_PERIOD_BROKER_VALUE","DEEP_MEASURE_ID_OVERRIDE",$C99,"DEEP_BROKER_ID_OVERRIDE",T$24,"DEEP_PERIOD_OVERRIDE",$H$19)*1,"")))</f>
        <v/>
      </c>
      <c r="U99" s="17" t="str">
        <f>IF(OR(U$23="",ISNA($B99)),"",IF(ISBLANK($B99),"",IFERROR(_xll.BDP(TICKER,"DEEP_MEASURE_PERIOD_BROKER_VALUE","DEEP_MEASURE_ID_OVERRIDE",$C99,"DEEP_BROKER_ID_OVERRIDE",U$24,"DEEP_PERIOD_OVERRIDE",$H$19)*1,"")))</f>
        <v/>
      </c>
      <c r="V99" s="17" t="str">
        <f>IF(OR(V$23="",ISNA($B99)),"",IF(ISBLANK($B99),"",IFERROR(_xll.BDP(TICKER,"DEEP_MEASURE_PERIOD_BROKER_VALUE","DEEP_MEASURE_ID_OVERRIDE",$C99,"DEEP_BROKER_ID_OVERRIDE",V$24,"DEEP_PERIOD_OVERRIDE",$H$19)*1,"")))</f>
        <v/>
      </c>
      <c r="W99" s="17" t="str">
        <f>IF(OR(W$23="",ISNA($B99)),"",IF(ISBLANK($B99),"",IFERROR(_xll.BDP(TICKER,"DEEP_MEASURE_PERIOD_BROKER_VALUE","DEEP_MEASURE_ID_OVERRIDE",$C99,"DEEP_BROKER_ID_OVERRIDE",W$24,"DEEP_PERIOD_OVERRIDE",$H$19)*1,"")))</f>
        <v/>
      </c>
      <c r="X99" s="17" t="str">
        <f>IF(OR(X$23="",ISNA($B99)),"",IF(ISBLANK($B99),"",IFERROR(_xll.BDP(TICKER,"DEEP_MEASURE_PERIOD_BROKER_VALUE","DEEP_MEASURE_ID_OVERRIDE",$C99,"DEEP_BROKER_ID_OVERRIDE",X$24,"DEEP_PERIOD_OVERRIDE",$H$19)*1,"")))</f>
        <v/>
      </c>
      <c r="Y99" s="17" t="str">
        <f>IF(OR(Y$23="",ISNA($B99)),"",IF(ISBLANK($B99),"",IFERROR(_xll.BDP(TICKER,"DEEP_MEASURE_PERIOD_BROKER_VALUE","DEEP_MEASURE_ID_OVERRIDE",$C99,"DEEP_BROKER_ID_OVERRIDE",Y$24,"DEEP_PERIOD_OVERRIDE",$H$19)*1,"")))</f>
        <v/>
      </c>
      <c r="Z99" s="17" t="str">
        <f>IF(OR(Z$23="",ISNA($B99)),"",IF(ISBLANK($B99),"",IFERROR(_xll.BDP(TICKER,"DEEP_MEASURE_PERIOD_BROKER_VALUE","DEEP_MEASURE_ID_OVERRIDE",$C99,"DEEP_BROKER_ID_OVERRIDE",Z$24,"DEEP_PERIOD_OVERRIDE",$H$19)*1,"")))</f>
        <v/>
      </c>
      <c r="AA99" s="17" t="str">
        <f>IF(OR(AA$23="",ISNA($B99)),"",IF(ISBLANK($B99),"",IFERROR(_xll.BDP(TICKER,"DEEP_MEASURE_PERIOD_BROKER_VALUE","DEEP_MEASURE_ID_OVERRIDE",$C99,"DEEP_BROKER_ID_OVERRIDE",AA$24,"DEEP_PERIOD_OVERRIDE",$H$19)*1,"")))</f>
        <v/>
      </c>
      <c r="AB99" s="17" t="str">
        <f>IF(OR(AB$23="",ISNA($B99)),"",IF(ISBLANK($B99),"",IFERROR(_xll.BDP(TICKER,"DEEP_MEASURE_PERIOD_BROKER_VALUE","DEEP_MEASURE_ID_OVERRIDE",$C99,"DEEP_BROKER_ID_OVERRIDE",AB$24,"DEEP_PERIOD_OVERRIDE",$H$19)*1,"")))</f>
        <v/>
      </c>
      <c r="AC99" s="17" t="str">
        <f>IF(OR(AC$23="",ISNA($B99)),"",IF(ISBLANK($B99),"",IFERROR(_xll.BDP(TICKER,"DEEP_MEASURE_PERIOD_BROKER_VALUE","DEEP_MEASURE_ID_OVERRIDE",$C99,"DEEP_BROKER_ID_OVERRIDE",AC$24,"DEEP_PERIOD_OVERRIDE",$H$19)*1,"")))</f>
        <v/>
      </c>
      <c r="AD99" s="17" t="str">
        <f>IF(OR(AD$23="",ISNA($B99)),"",IF(ISBLANK($B99),"",IFERROR(_xll.BDP(TICKER,"DEEP_MEASURE_PERIOD_BROKER_VALUE","DEEP_MEASURE_ID_OVERRIDE",$C99,"DEEP_BROKER_ID_OVERRIDE",AD$24,"DEEP_PERIOD_OVERRIDE",$H$19)*1,"")))</f>
        <v/>
      </c>
      <c r="AE99" s="17" t="str">
        <f>IF(OR(AE$23="",ISNA($B99)),"",IF(ISBLANK($B99),"",IFERROR(_xll.BDP(TICKER,"DEEP_MEASURE_PERIOD_BROKER_VALUE","DEEP_MEASURE_ID_OVERRIDE",$C99,"DEEP_BROKER_ID_OVERRIDE",AE$24,"DEEP_PERIOD_OVERRIDE",$H$19)*1,"")))</f>
        <v/>
      </c>
      <c r="AF99" s="17" t="str">
        <f>IF(OR(AF$23="",ISNA($B99)),"",IF(ISBLANK($B99),"",IFERROR(_xll.BDP(TICKER,"DEEP_MEASURE_PERIOD_BROKER_VALUE","DEEP_MEASURE_ID_OVERRIDE",$C99,"DEEP_BROKER_ID_OVERRIDE",AF$24,"DEEP_PERIOD_OVERRIDE",$H$19)*1,"")))</f>
        <v/>
      </c>
      <c r="AG99" s="17" t="str">
        <f>IF(OR(AG$23="",ISNA($B99)),"",IF(ISBLANK($B99),"",IFERROR(_xll.BDP(TICKER,"DEEP_MEASURE_PERIOD_BROKER_VALUE","DEEP_MEASURE_ID_OVERRIDE",$C99,"DEEP_BROKER_ID_OVERRIDE",AG$24,"DEEP_PERIOD_OVERRIDE",$H$19)*1,"")))</f>
        <v/>
      </c>
      <c r="AH99" s="17" t="str">
        <f>IF(OR(AH$23="",ISNA($B99)),"",IF(ISBLANK($B99),"",IFERROR(_xll.BDP(TICKER,"DEEP_MEASURE_PERIOD_BROKER_VALUE","DEEP_MEASURE_ID_OVERRIDE",$C99,"DEEP_BROKER_ID_OVERRIDE",AH$24,"DEEP_PERIOD_OVERRIDE",$H$19)*1,"")))</f>
        <v/>
      </c>
      <c r="AI99" s="17" t="str">
        <f>IF(OR(AI$23="",ISNA($B99)),"",IF(ISBLANK($B99),"",IFERROR(_xll.BDP(TICKER,"DEEP_MEASURE_PERIOD_BROKER_VALUE","DEEP_MEASURE_ID_OVERRIDE",$C99,"DEEP_BROKER_ID_OVERRIDE",AI$24,"DEEP_PERIOD_OVERRIDE",$H$19)*1,"")))</f>
        <v/>
      </c>
      <c r="AJ99" s="17" t="str">
        <f>IF(OR(AJ$23="",ISNA($B99)),"",IF(ISBLANK($B99),"",IFERROR(_xll.BDP(TICKER,"DEEP_MEASURE_PERIOD_BROKER_VALUE","DEEP_MEASURE_ID_OVERRIDE",$C99,"DEEP_BROKER_ID_OVERRIDE",AJ$24,"DEEP_PERIOD_OVERRIDE",$H$19)*1,"")))</f>
        <v/>
      </c>
      <c r="AK99" s="17" t="str">
        <f>IF(OR(AK$23="",ISNA($B99)),"",IF(ISBLANK($B99),"",IFERROR(_xll.BDP(TICKER,"DEEP_MEASURE_PERIOD_BROKER_VALUE","DEEP_MEASURE_ID_OVERRIDE",$C99,"DEEP_BROKER_ID_OVERRIDE",AK$24,"DEEP_PERIOD_OVERRIDE",$H$19)*1,"")))</f>
        <v/>
      </c>
      <c r="AL99" s="17" t="str">
        <f>IF(OR(AL$23="",ISNA($B99)),"",IF(ISBLANK($B99),"",IFERROR(_xll.BDP(TICKER,"DEEP_MEASURE_PERIOD_BROKER_VALUE","DEEP_MEASURE_ID_OVERRIDE",$C99,"DEEP_BROKER_ID_OVERRIDE",AL$24,"DEEP_PERIOD_OVERRIDE",$H$19)*1,"")))</f>
        <v/>
      </c>
      <c r="AM99" s="17" t="str">
        <f>IF(OR(AM$23="",ISNA($B99)),"",IF(ISBLANK($B99),"",IFERROR(_xll.BDP(TICKER,"DEEP_MEASURE_PERIOD_BROKER_VALUE","DEEP_MEASURE_ID_OVERRIDE",$C99,"DEEP_BROKER_ID_OVERRIDE",AM$24,"DEEP_PERIOD_OVERRIDE",$H$19)*1,"")))</f>
        <v/>
      </c>
      <c r="AN99" s="17" t="str">
        <f>IF(OR(AN$23="",ISNA($B99)),"",IF(ISBLANK($B99),"",IFERROR(_xll.BDP(TICKER,"DEEP_MEASURE_PERIOD_BROKER_VALUE","DEEP_MEASURE_ID_OVERRIDE",$C99,"DEEP_BROKER_ID_OVERRIDE",AN$24,"DEEP_PERIOD_OVERRIDE",$H$19)*1,"")))</f>
        <v/>
      </c>
      <c r="AO99" s="17" t="str">
        <f>IF(OR(AO$23="",ISNA($B99)),"",IF(ISBLANK($B99),"",IFERROR(_xll.BDP(TICKER,"DEEP_MEASURE_PERIOD_BROKER_VALUE","DEEP_MEASURE_ID_OVERRIDE",$C99,"DEEP_BROKER_ID_OVERRIDE",AO$24,"DEEP_PERIOD_OVERRIDE",$H$19)*1,"")))</f>
        <v/>
      </c>
      <c r="AP99" s="17" t="str">
        <f>IF(OR(AP$23="",ISNA($B99)),"",IF(ISBLANK($B99),"",IFERROR(_xll.BDP(TICKER,"DEEP_MEASURE_PERIOD_BROKER_VALUE","DEEP_MEASURE_ID_OVERRIDE",$C99,"DEEP_BROKER_ID_OVERRIDE",AP$24,"DEEP_PERIOD_OVERRIDE",$H$19)*1,"")))</f>
        <v/>
      </c>
      <c r="AQ99" s="17" t="str">
        <f>IF(OR(AQ$23="",ISNA($B99)),"",IF(ISBLANK($B99),"",IFERROR(_xll.BDP(TICKER,"DEEP_MEASURE_PERIOD_BROKER_VALUE","DEEP_MEASURE_ID_OVERRIDE",$C99,"DEEP_BROKER_ID_OVERRIDE",AQ$24,"DEEP_PERIOD_OVERRIDE",$H$19)*1,"")))</f>
        <v/>
      </c>
      <c r="AR99" s="17" t="str">
        <f>IF(OR(AR$23="",ISNA($B99)),"",IF(ISBLANK($B99),"",IFERROR(_xll.BDP(TICKER,"DEEP_MEASURE_PERIOD_BROKER_VALUE","DEEP_MEASURE_ID_OVERRIDE",$C99,"DEEP_BROKER_ID_OVERRIDE",AR$24,"DEEP_PERIOD_OVERRIDE",$H$19)*1,"")))</f>
        <v/>
      </c>
      <c r="AS99" s="17" t="str">
        <f>IF(OR(AS$23="",ISNA($B99)),"",IF(ISBLANK($B99),"",IFERROR(_xll.BDP(TICKER,"DEEP_MEASURE_PERIOD_BROKER_VALUE","DEEP_MEASURE_ID_OVERRIDE",$C99,"DEEP_BROKER_ID_OVERRIDE",AS$24,"DEEP_PERIOD_OVERRIDE",$H$19)*1,"")))</f>
        <v/>
      </c>
      <c r="AT99" s="17" t="str">
        <f>IF(OR(AT$23="",ISNA($B99)),"",IF(ISBLANK($B99),"",IFERROR(_xll.BDP(TICKER,"DEEP_MEASURE_PERIOD_BROKER_VALUE","DEEP_MEASURE_ID_OVERRIDE",$C99,"DEEP_BROKER_ID_OVERRIDE",AT$24,"DEEP_PERIOD_OVERRIDE",$H$19)*1,"")))</f>
        <v/>
      </c>
      <c r="AU99" s="17" t="str">
        <f>IF(OR(AU$23="",ISNA($B99)),"",IF(ISBLANK($B99),"",IFERROR(_xll.BDP(TICKER,"DEEP_MEASURE_PERIOD_BROKER_VALUE","DEEP_MEASURE_ID_OVERRIDE",$C99,"DEEP_BROKER_ID_OVERRIDE",AU$24,"DEEP_PERIOD_OVERRIDE",$H$19)*1,"")))</f>
        <v/>
      </c>
      <c r="AV99" s="17" t="str">
        <f>IF(OR(AV$23="",ISNA($B99)),"",IF(ISBLANK($B99),"",IFERROR(_xll.BDP(TICKER,"DEEP_MEASURE_PERIOD_BROKER_VALUE","DEEP_MEASURE_ID_OVERRIDE",$C99,"DEEP_BROKER_ID_OVERRIDE",AV$24,"DEEP_PERIOD_OVERRIDE",$H$19)*1,"")))</f>
        <v/>
      </c>
      <c r="AW99" s="17" t="str">
        <f>IF(OR(AW$23="",ISNA($B99)),"",IF(ISBLANK($B99),"",IFERROR(_xll.BDP(TICKER,"DEEP_MEASURE_PERIOD_BROKER_VALUE","DEEP_MEASURE_ID_OVERRIDE",$C99,"DEEP_BROKER_ID_OVERRIDE",AW$24,"DEEP_PERIOD_OVERRIDE",$H$19)*1,"")))</f>
        <v/>
      </c>
      <c r="AX99" s="17" t="str">
        <f>IF(OR(AX$23="",ISNA($B99)),"",IF(ISBLANK($B99),"",IFERROR(_xll.BDP(TICKER,"DEEP_MEASURE_PERIOD_BROKER_VALUE","DEEP_MEASURE_ID_OVERRIDE",$C99,"DEEP_BROKER_ID_OVERRIDE",AX$24,"DEEP_PERIOD_OVERRIDE",$H$19)*1,"")))</f>
        <v/>
      </c>
      <c r="AY99" s="17" t="str">
        <f>IF(OR(AY$23="",ISNA($B99)),"",IF(ISBLANK($B99),"",IFERROR(_xll.BDP(TICKER,"DEEP_MEASURE_PERIOD_BROKER_VALUE","DEEP_MEASURE_ID_OVERRIDE",$C99,"DEEP_BROKER_ID_OVERRIDE",AY$24,"DEEP_PERIOD_OVERRIDE",$H$19)*1,"")))</f>
        <v/>
      </c>
      <c r="AZ99" s="17" t="str">
        <f>IF(OR(AZ$23="",ISNA($B99)),"",IF(ISBLANK($B99),"",IFERROR(_xll.BDP(TICKER,"DEEP_MEASURE_PERIOD_BROKER_VALUE","DEEP_MEASURE_ID_OVERRIDE",$C99,"DEEP_BROKER_ID_OVERRIDE",AZ$24,"DEEP_PERIOD_OVERRIDE",$H$19)*1,"")))</f>
        <v/>
      </c>
      <c r="BA99" s="17" t="str">
        <f>IF(OR(BA$23="",ISNA($B99)),"",IF(ISBLANK($B99),"",IFERROR(_xll.BDP(TICKER,"DEEP_MEASURE_PERIOD_BROKER_VALUE","DEEP_MEASURE_ID_OVERRIDE",$C99,"DEEP_BROKER_ID_OVERRIDE",BA$24,"DEEP_PERIOD_OVERRIDE",$H$19)*1,"")))</f>
        <v/>
      </c>
      <c r="BB99" s="17" t="str">
        <f>IF(OR(BB$23="",ISNA($B99)),"",IF(ISBLANK($B99),"",IFERROR(_xll.BDP(TICKER,"DEEP_MEASURE_PERIOD_BROKER_VALUE","DEEP_MEASURE_ID_OVERRIDE",$C99,"DEEP_BROKER_ID_OVERRIDE",BB$24,"DEEP_PERIOD_OVERRIDE",$H$19)*1,"")))</f>
        <v/>
      </c>
      <c r="BC99" s="17" t="str">
        <f>IF(OR(BC$23="",ISNA($B99)),"",IF(ISBLANK($B99),"",IFERROR(_xll.BDP(TICKER,"DEEP_MEASURE_PERIOD_BROKER_VALUE","DEEP_MEASURE_ID_OVERRIDE",$C99,"DEEP_BROKER_ID_OVERRIDE",BC$24,"DEEP_PERIOD_OVERRIDE",$H$19)*1,"")))</f>
        <v/>
      </c>
      <c r="BD99" s="17" t="str">
        <f>IF(OR(BD$23="",ISNA($B99)),"",IF(ISBLANK($B99),"",IFERROR(_xll.BDP(TICKER,"DEEP_MEASURE_PERIOD_BROKER_VALUE","DEEP_MEASURE_ID_OVERRIDE",$C99,"DEEP_BROKER_ID_OVERRIDE",BD$24,"DEEP_PERIOD_OVERRIDE",$H$19)*1,"")))</f>
        <v/>
      </c>
      <c r="BE99" s="17" t="str">
        <f>IF(OR(BE$23="",ISNA($B99)),"",IF(ISBLANK($B99),"",IFERROR(_xll.BDP(TICKER,"DEEP_MEASURE_PERIOD_BROKER_VALUE","DEEP_MEASURE_ID_OVERRIDE",$C99,"DEEP_BROKER_ID_OVERRIDE",BE$24,"DEEP_PERIOD_OVERRIDE",$H$19)*1,"")))</f>
        <v/>
      </c>
      <c r="BF99" s="17" t="str">
        <f>IF(OR(BF$23="",ISNA($B99)),"",IF(ISBLANK($B99),"",IFERROR(_xll.BDP(TICKER,"DEEP_MEASURE_PERIOD_BROKER_VALUE","DEEP_MEASURE_ID_OVERRIDE",$C99,"DEEP_BROKER_ID_OVERRIDE",BF$24,"DEEP_PERIOD_OVERRIDE",$H$19)*1,"")))</f>
        <v/>
      </c>
      <c r="BG99" s="17" t="str">
        <f>IF(OR(BG$23="",ISNA($B99)),"",IF(ISBLANK($B99),"",IFERROR(_xll.BDP(TICKER,"DEEP_MEASURE_PERIOD_BROKER_VALUE","DEEP_MEASURE_ID_OVERRIDE",$C99,"DEEP_BROKER_ID_OVERRIDE",BG$24,"DEEP_PERIOD_OVERRIDE",$H$19)*1,"")))</f>
        <v/>
      </c>
      <c r="BH99" s="17" t="str">
        <f>IF(OR(BH$23="",ISNA($B99)),"",IF(ISBLANK($B99),"",IFERROR(_xll.BDP(TICKER,"DEEP_MEASURE_PERIOD_BROKER_VALUE","DEEP_MEASURE_ID_OVERRIDE",$C99,"DEEP_BROKER_ID_OVERRIDE",BH$24,"DEEP_PERIOD_OVERRIDE",$H$19)*1,"")))</f>
        <v/>
      </c>
      <c r="BI99" s="17" t="str">
        <f>IF(OR(BI$23="",ISNA($B99)),"",IF(ISBLANK($B99),"",IFERROR(_xll.BDP(TICKER,"DEEP_MEASURE_PERIOD_BROKER_VALUE","DEEP_MEASURE_ID_OVERRIDE",$C99,"DEEP_BROKER_ID_OVERRIDE",BI$24,"DEEP_PERIOD_OVERRIDE",$H$19)*1,"")))</f>
        <v/>
      </c>
      <c r="BJ99" s="17" t="str">
        <f>IF(OR(BJ$23="",ISNA($B99)),"",IF(ISBLANK($B99),"",IFERROR(_xll.BDP(TICKER,"DEEP_MEASURE_PERIOD_BROKER_VALUE","DEEP_MEASURE_ID_OVERRIDE",$C99,"DEEP_BROKER_ID_OVERRIDE",BJ$24,"DEEP_PERIOD_OVERRIDE",$H$19)*1,"")))</f>
        <v/>
      </c>
      <c r="BK99" s="17" t="str">
        <f>IF(OR(BK$23="",ISNA($B99)),"",IF(ISBLANK($B99),"",IFERROR(_xll.BDP(TICKER,"DEEP_MEASURE_PERIOD_BROKER_VALUE","DEEP_MEASURE_ID_OVERRIDE",$C99,"DEEP_BROKER_ID_OVERRIDE",BK$24,"DEEP_PERIOD_OVERRIDE",$H$19)*1,"")))</f>
        <v/>
      </c>
      <c r="BL99" s="17" t="str">
        <f>IF(OR(BL$23="",ISNA($B99)),"",IF(ISBLANK($B99),"",IFERROR(_xll.BDP(TICKER,"DEEP_MEASURE_PERIOD_BROKER_VALUE","DEEP_MEASURE_ID_OVERRIDE",$C99,"DEEP_BROKER_ID_OVERRIDE",BL$24,"DEEP_PERIOD_OVERRIDE",$H$19)*1,"")))</f>
        <v/>
      </c>
      <c r="BM99" s="17" t="str">
        <f>IF(OR(BM$23="",ISNA($B99)),"",IF(ISBLANK($B99),"",IFERROR(_xll.BDP(TICKER,"DEEP_MEASURE_PERIOD_BROKER_VALUE","DEEP_MEASURE_ID_OVERRIDE",$C99,"DEEP_BROKER_ID_OVERRIDE",BM$24,"DEEP_PERIOD_OVERRIDE",$H$19)*1,"")))</f>
        <v/>
      </c>
      <c r="BN99" s="17" t="str">
        <f>IF(OR(BN$23="",ISNA($B99)),"",IF(ISBLANK($B99),"",IFERROR(_xll.BDP(TICKER,"DEEP_MEASURE_PERIOD_BROKER_VALUE","DEEP_MEASURE_ID_OVERRIDE",$C99,"DEEP_BROKER_ID_OVERRIDE",BN$24,"DEEP_PERIOD_OVERRIDE",$H$19)*1,"")))</f>
        <v/>
      </c>
      <c r="BO99" s="17" t="str">
        <f>IF(OR(BO$23="",ISNA($B99)),"",IF(ISBLANK($B99),"",IFERROR(_xll.BDP(TICKER,"DEEP_MEASURE_PERIOD_BROKER_VALUE","DEEP_MEASURE_ID_OVERRIDE",$C99,"DEEP_BROKER_ID_OVERRIDE",BO$24,"DEEP_PERIOD_OVERRIDE",$H$19)*1,"")))</f>
        <v/>
      </c>
      <c r="BP99" s="17" t="str">
        <f>IF(OR(BP$23="",ISNA($B99)),"",IF(ISBLANK($B99),"",IFERROR(_xll.BDP(TICKER,"DEEP_MEASURE_PERIOD_BROKER_VALUE","DEEP_MEASURE_ID_OVERRIDE",$C99,"DEEP_BROKER_ID_OVERRIDE",BP$24,"DEEP_PERIOD_OVERRIDE",$H$19)*1,"")))</f>
        <v/>
      </c>
      <c r="BQ99" s="17" t="str">
        <f>IF(OR(BQ$23="",ISNA($B99)),"",IF(ISBLANK($B99),"",IFERROR(_xll.BDP(TICKER,"DEEP_MEASURE_PERIOD_BROKER_VALUE","DEEP_MEASURE_ID_OVERRIDE",$C99,"DEEP_BROKER_ID_OVERRIDE",BQ$24,"DEEP_PERIOD_OVERRIDE",$H$19)*1,"")))</f>
        <v/>
      </c>
      <c r="BR99" s="17" t="str">
        <f>IF(OR(BR$23="",ISNA($B99)),"",IF(ISBLANK($B99),"",IFERROR(_xll.BDP(TICKER,"DEEP_MEASURE_PERIOD_BROKER_VALUE","DEEP_MEASURE_ID_OVERRIDE",$C99,"DEEP_BROKER_ID_OVERRIDE",BR$24,"DEEP_PERIOD_OVERRIDE",$H$19)*1,"")))</f>
        <v/>
      </c>
      <c r="BS99" s="17" t="str">
        <f>IF(OR(BS$23="",ISNA($B99)),"",IF(ISBLANK($B99),"",IFERROR(_xll.BDP(TICKER,"DEEP_MEASURE_PERIOD_BROKER_VALUE","DEEP_MEASURE_ID_OVERRIDE",$C99,"DEEP_BROKER_ID_OVERRIDE",BS$24,"DEEP_PERIOD_OVERRIDE",$H$19)*1,"")))</f>
        <v/>
      </c>
      <c r="BT99" s="17" t="str">
        <f>IF(OR(BT$23="",ISNA($B99)),"",IF(ISBLANK($B99),"",IFERROR(_xll.BDP(TICKER,"DEEP_MEASURE_PERIOD_BROKER_VALUE","DEEP_MEASURE_ID_OVERRIDE",$C99,"DEEP_BROKER_ID_OVERRIDE",BT$24,"DEEP_PERIOD_OVERRIDE",$H$19)*1,"")))</f>
        <v/>
      </c>
      <c r="BU99" s="17" t="str">
        <f>IF(OR(BU$23="",ISNA($B99)),"",IF(ISBLANK($B99),"",IFERROR(_xll.BDP(TICKER,"DEEP_MEASURE_PERIOD_BROKER_VALUE","DEEP_MEASURE_ID_OVERRIDE",$C99,"DEEP_BROKER_ID_OVERRIDE",BU$24,"DEEP_PERIOD_OVERRIDE",$H$19)*1,"")))</f>
        <v/>
      </c>
      <c r="BV99" s="17" t="str">
        <f>IF(OR(BV$23="",ISNA($B99)),"",IF(ISBLANK($B99),"",IFERROR(_xll.BDP(TICKER,"DEEP_MEASURE_PERIOD_BROKER_VALUE","DEEP_MEASURE_ID_OVERRIDE",$C99,"DEEP_BROKER_ID_OVERRIDE",BV$24,"DEEP_PERIOD_OVERRIDE",$H$19)*1,"")))</f>
        <v/>
      </c>
      <c r="BW99" s="17" t="str">
        <f>IF(OR(BW$23="",ISNA($B99)),"",IF(ISBLANK($B99),"",IFERROR(_xll.BDP(TICKER,"DEEP_MEASURE_PERIOD_BROKER_VALUE","DEEP_MEASURE_ID_OVERRIDE",$C99,"DEEP_BROKER_ID_OVERRIDE",BW$24,"DEEP_PERIOD_OVERRIDE",$H$19)*1,"")))</f>
        <v/>
      </c>
      <c r="BX99" s="17" t="str">
        <f>IF(OR(BX$23="",ISNA($B99)),"",IF(ISBLANK($B99),"",IFERROR(_xll.BDP(TICKER,"DEEP_MEASURE_PERIOD_BROKER_VALUE","DEEP_MEASURE_ID_OVERRIDE",$C99,"DEEP_BROKER_ID_OVERRIDE",BX$24,"DEEP_PERIOD_OVERRIDE",$H$19)*1,"")))</f>
        <v/>
      </c>
      <c r="BY99" s="17" t="str">
        <f>IF(OR(BY$23="",ISNA($B99)),"",IF(ISBLANK($B99),"",IFERROR(_xll.BDP(TICKER,"DEEP_MEASURE_PERIOD_BROKER_VALUE","DEEP_MEASURE_ID_OVERRIDE",$C99,"DEEP_BROKER_ID_OVERRIDE",BY$24,"DEEP_PERIOD_OVERRIDE",$H$19)*1,"")))</f>
        <v/>
      </c>
      <c r="BZ99" s="17" t="str">
        <f>IF(OR(BZ$23="",ISNA($B99)),"",IF(ISBLANK($B99),"",IFERROR(_xll.BDP(TICKER,"DEEP_MEASURE_PERIOD_BROKER_VALUE","DEEP_MEASURE_ID_OVERRIDE",$C99,"DEEP_BROKER_ID_OVERRIDE",BZ$24,"DEEP_PERIOD_OVERRIDE",$H$19)*1,"")))</f>
        <v/>
      </c>
    </row>
    <row r="100" spans="2:78" x14ac:dyDescent="0.25">
      <c r="B100" t="s">
        <v>140</v>
      </c>
      <c r="C100">
        <v>322</v>
      </c>
      <c r="H100" t="str">
        <f t="shared" si="2"/>
        <v>Sales &amp; Marketing Expenses &gt; Personnel &amp; Overhead &gt; Personnel &amp; Overhead (ex-SBC)</v>
      </c>
      <c r="I100" t="str">
        <f>IF(OR(I$23="",ISNA($B100)),"",IF(ISBLANK($B100),"",IFERROR(_xll.BDP(TICKER,"DEEP_MEASURE_PERIOD_BROKER_VALUE","DEEP_MEASURE_ID_OVERRIDE",$C100,"DEEP_PERIOD_OVERRIDE",$H$19)*1,"")))</f>
        <v/>
      </c>
      <c r="J100" t="e">
        <f>IF(OR(J$23="",ISNA($B100)),"",IF(ISBLANK($B100),"",IFERROR(_xll.BDP(TICKER,"DEEP_MEASURE_PERIOD_BROKER_VALUE","DEEP_MEASURE_ID_OVERRIDE",$C100,"DEEP_BROKER_ID_OVERRIDE",J$24,"DEEP_PERIOD_OVERRIDE",$H$19)*1,"")))</f>
        <v>#REF!</v>
      </c>
      <c r="K100" s="17" t="str">
        <f>IF(OR(K$23="",ISNA($B100)),"",IF(ISBLANK($B100),"",IFERROR(_xll.BDP(TICKER,"DEEP_MEASURE_PERIOD_BROKER_VALUE","DEEP_MEASURE_ID_OVERRIDE",$C100,"DEEP_BROKER_ID_OVERRIDE",K$24,"DEEP_PERIOD_OVERRIDE",$H$19)*1,"")))</f>
        <v/>
      </c>
      <c r="L100" s="17" t="str">
        <f>IF(OR(L$23="",ISNA($B100)),"",IF(ISBLANK($B100),"",IFERROR(_xll.BDP(TICKER,"DEEP_MEASURE_PERIOD_BROKER_VALUE","DEEP_MEASURE_ID_OVERRIDE",$C100,"DEEP_BROKER_ID_OVERRIDE",L$24,"DEEP_PERIOD_OVERRIDE",$H$19)*1,"")))</f>
        <v/>
      </c>
      <c r="M100" s="17" t="str">
        <f>IF(OR(M$23="",ISNA($B100)),"",IF(ISBLANK($B100),"",IFERROR(_xll.BDP(TICKER,"DEEP_MEASURE_PERIOD_BROKER_VALUE","DEEP_MEASURE_ID_OVERRIDE",$C100,"DEEP_BROKER_ID_OVERRIDE",M$24,"DEEP_PERIOD_OVERRIDE",$H$19)*1,"")))</f>
        <v/>
      </c>
      <c r="N100" s="17" t="str">
        <f>IF(OR(N$23="",ISNA($B100)),"",IF(ISBLANK($B100),"",IFERROR(_xll.BDP(TICKER,"DEEP_MEASURE_PERIOD_BROKER_VALUE","DEEP_MEASURE_ID_OVERRIDE",$C100,"DEEP_BROKER_ID_OVERRIDE",N$24,"DEEP_PERIOD_OVERRIDE",$H$19)*1,"")))</f>
        <v/>
      </c>
      <c r="O100" s="17" t="str">
        <f>IF(OR(O$23="",ISNA($B100)),"",IF(ISBLANK($B100),"",IFERROR(_xll.BDP(TICKER,"DEEP_MEASURE_PERIOD_BROKER_VALUE","DEEP_MEASURE_ID_OVERRIDE",$C100,"DEEP_BROKER_ID_OVERRIDE",O$24,"DEEP_PERIOD_OVERRIDE",$H$19)*1,"")))</f>
        <v/>
      </c>
      <c r="P100" s="17" t="str">
        <f>IF(OR(P$23="",ISNA($B100)),"",IF(ISBLANK($B100),"",IFERROR(_xll.BDP(TICKER,"DEEP_MEASURE_PERIOD_BROKER_VALUE","DEEP_MEASURE_ID_OVERRIDE",$C100,"DEEP_BROKER_ID_OVERRIDE",P$24,"DEEP_PERIOD_OVERRIDE",$H$19)*1,"")))</f>
        <v/>
      </c>
      <c r="Q100" s="17" t="str">
        <f>IF(OR(Q$23="",ISNA($B100)),"",IF(ISBLANK($B100),"",IFERROR(_xll.BDP(TICKER,"DEEP_MEASURE_PERIOD_BROKER_VALUE","DEEP_MEASURE_ID_OVERRIDE",$C100,"DEEP_BROKER_ID_OVERRIDE",Q$24,"DEEP_PERIOD_OVERRIDE",$H$19)*1,"")))</f>
        <v/>
      </c>
      <c r="R100" s="17" t="str">
        <f>IF(OR(R$23="",ISNA($B100)),"",IF(ISBLANK($B100),"",IFERROR(_xll.BDP(TICKER,"DEEP_MEASURE_PERIOD_BROKER_VALUE","DEEP_MEASURE_ID_OVERRIDE",$C100,"DEEP_BROKER_ID_OVERRIDE",R$24,"DEEP_PERIOD_OVERRIDE",$H$19)*1,"")))</f>
        <v/>
      </c>
      <c r="S100" s="17" t="str">
        <f>IF(OR(S$23="",ISNA($B100)),"",IF(ISBLANK($B100),"",IFERROR(_xll.BDP(TICKER,"DEEP_MEASURE_PERIOD_BROKER_VALUE","DEEP_MEASURE_ID_OVERRIDE",$C100,"DEEP_BROKER_ID_OVERRIDE",S$24,"DEEP_PERIOD_OVERRIDE",$H$19)*1,"")))</f>
        <v/>
      </c>
      <c r="T100" s="17" t="str">
        <f>IF(OR(T$23="",ISNA($B100)),"",IF(ISBLANK($B100),"",IFERROR(_xll.BDP(TICKER,"DEEP_MEASURE_PERIOD_BROKER_VALUE","DEEP_MEASURE_ID_OVERRIDE",$C100,"DEEP_BROKER_ID_OVERRIDE",T$24,"DEEP_PERIOD_OVERRIDE",$H$19)*1,"")))</f>
        <v/>
      </c>
      <c r="U100" s="17" t="str">
        <f>IF(OR(U$23="",ISNA($B100)),"",IF(ISBLANK($B100),"",IFERROR(_xll.BDP(TICKER,"DEEP_MEASURE_PERIOD_BROKER_VALUE","DEEP_MEASURE_ID_OVERRIDE",$C100,"DEEP_BROKER_ID_OVERRIDE",U$24,"DEEP_PERIOD_OVERRIDE",$H$19)*1,"")))</f>
        <v/>
      </c>
      <c r="V100" s="17" t="str">
        <f>IF(OR(V$23="",ISNA($B100)),"",IF(ISBLANK($B100),"",IFERROR(_xll.BDP(TICKER,"DEEP_MEASURE_PERIOD_BROKER_VALUE","DEEP_MEASURE_ID_OVERRIDE",$C100,"DEEP_BROKER_ID_OVERRIDE",V$24,"DEEP_PERIOD_OVERRIDE",$H$19)*1,"")))</f>
        <v/>
      </c>
      <c r="W100" s="17" t="str">
        <f>IF(OR(W$23="",ISNA($B100)),"",IF(ISBLANK($B100),"",IFERROR(_xll.BDP(TICKER,"DEEP_MEASURE_PERIOD_BROKER_VALUE","DEEP_MEASURE_ID_OVERRIDE",$C100,"DEEP_BROKER_ID_OVERRIDE",W$24,"DEEP_PERIOD_OVERRIDE",$H$19)*1,"")))</f>
        <v/>
      </c>
      <c r="X100" s="17" t="str">
        <f>IF(OR(X$23="",ISNA($B100)),"",IF(ISBLANK($B100),"",IFERROR(_xll.BDP(TICKER,"DEEP_MEASURE_PERIOD_BROKER_VALUE","DEEP_MEASURE_ID_OVERRIDE",$C100,"DEEP_BROKER_ID_OVERRIDE",X$24,"DEEP_PERIOD_OVERRIDE",$H$19)*1,"")))</f>
        <v/>
      </c>
      <c r="Y100" s="17" t="str">
        <f>IF(OR(Y$23="",ISNA($B100)),"",IF(ISBLANK($B100),"",IFERROR(_xll.BDP(TICKER,"DEEP_MEASURE_PERIOD_BROKER_VALUE","DEEP_MEASURE_ID_OVERRIDE",$C100,"DEEP_BROKER_ID_OVERRIDE",Y$24,"DEEP_PERIOD_OVERRIDE",$H$19)*1,"")))</f>
        <v/>
      </c>
      <c r="Z100" s="17" t="str">
        <f>IF(OR(Z$23="",ISNA($B100)),"",IF(ISBLANK($B100),"",IFERROR(_xll.BDP(TICKER,"DEEP_MEASURE_PERIOD_BROKER_VALUE","DEEP_MEASURE_ID_OVERRIDE",$C100,"DEEP_BROKER_ID_OVERRIDE",Z$24,"DEEP_PERIOD_OVERRIDE",$H$19)*1,"")))</f>
        <v/>
      </c>
      <c r="AA100" s="17" t="str">
        <f>IF(OR(AA$23="",ISNA($B100)),"",IF(ISBLANK($B100),"",IFERROR(_xll.BDP(TICKER,"DEEP_MEASURE_PERIOD_BROKER_VALUE","DEEP_MEASURE_ID_OVERRIDE",$C100,"DEEP_BROKER_ID_OVERRIDE",AA$24,"DEEP_PERIOD_OVERRIDE",$H$19)*1,"")))</f>
        <v/>
      </c>
      <c r="AB100" s="17" t="str">
        <f>IF(OR(AB$23="",ISNA($B100)),"",IF(ISBLANK($B100),"",IFERROR(_xll.BDP(TICKER,"DEEP_MEASURE_PERIOD_BROKER_VALUE","DEEP_MEASURE_ID_OVERRIDE",$C100,"DEEP_BROKER_ID_OVERRIDE",AB$24,"DEEP_PERIOD_OVERRIDE",$H$19)*1,"")))</f>
        <v/>
      </c>
      <c r="AC100" s="17" t="str">
        <f>IF(OR(AC$23="",ISNA($B100)),"",IF(ISBLANK($B100),"",IFERROR(_xll.BDP(TICKER,"DEEP_MEASURE_PERIOD_BROKER_VALUE","DEEP_MEASURE_ID_OVERRIDE",$C100,"DEEP_BROKER_ID_OVERRIDE",AC$24,"DEEP_PERIOD_OVERRIDE",$H$19)*1,"")))</f>
        <v/>
      </c>
      <c r="AD100" s="17" t="str">
        <f>IF(OR(AD$23="",ISNA($B100)),"",IF(ISBLANK($B100),"",IFERROR(_xll.BDP(TICKER,"DEEP_MEASURE_PERIOD_BROKER_VALUE","DEEP_MEASURE_ID_OVERRIDE",$C100,"DEEP_BROKER_ID_OVERRIDE",AD$24,"DEEP_PERIOD_OVERRIDE",$H$19)*1,"")))</f>
        <v/>
      </c>
      <c r="AE100" s="17" t="str">
        <f>IF(OR(AE$23="",ISNA($B100)),"",IF(ISBLANK($B100),"",IFERROR(_xll.BDP(TICKER,"DEEP_MEASURE_PERIOD_BROKER_VALUE","DEEP_MEASURE_ID_OVERRIDE",$C100,"DEEP_BROKER_ID_OVERRIDE",AE$24,"DEEP_PERIOD_OVERRIDE",$H$19)*1,"")))</f>
        <v/>
      </c>
      <c r="AF100" s="17" t="str">
        <f>IF(OR(AF$23="",ISNA($B100)),"",IF(ISBLANK($B100),"",IFERROR(_xll.BDP(TICKER,"DEEP_MEASURE_PERIOD_BROKER_VALUE","DEEP_MEASURE_ID_OVERRIDE",$C100,"DEEP_BROKER_ID_OVERRIDE",AF$24,"DEEP_PERIOD_OVERRIDE",$H$19)*1,"")))</f>
        <v/>
      </c>
      <c r="AG100" s="17" t="str">
        <f>IF(OR(AG$23="",ISNA($B100)),"",IF(ISBLANK($B100),"",IFERROR(_xll.BDP(TICKER,"DEEP_MEASURE_PERIOD_BROKER_VALUE","DEEP_MEASURE_ID_OVERRIDE",$C100,"DEEP_BROKER_ID_OVERRIDE",AG$24,"DEEP_PERIOD_OVERRIDE",$H$19)*1,"")))</f>
        <v/>
      </c>
      <c r="AH100" s="17" t="str">
        <f>IF(OR(AH$23="",ISNA($B100)),"",IF(ISBLANK($B100),"",IFERROR(_xll.BDP(TICKER,"DEEP_MEASURE_PERIOD_BROKER_VALUE","DEEP_MEASURE_ID_OVERRIDE",$C100,"DEEP_BROKER_ID_OVERRIDE",AH$24,"DEEP_PERIOD_OVERRIDE",$H$19)*1,"")))</f>
        <v/>
      </c>
      <c r="AI100" s="17" t="str">
        <f>IF(OR(AI$23="",ISNA($B100)),"",IF(ISBLANK($B100),"",IFERROR(_xll.BDP(TICKER,"DEEP_MEASURE_PERIOD_BROKER_VALUE","DEEP_MEASURE_ID_OVERRIDE",$C100,"DEEP_BROKER_ID_OVERRIDE",AI$24,"DEEP_PERIOD_OVERRIDE",$H$19)*1,"")))</f>
        <v/>
      </c>
      <c r="AJ100" s="17" t="str">
        <f>IF(OR(AJ$23="",ISNA($B100)),"",IF(ISBLANK($B100),"",IFERROR(_xll.BDP(TICKER,"DEEP_MEASURE_PERIOD_BROKER_VALUE","DEEP_MEASURE_ID_OVERRIDE",$C100,"DEEP_BROKER_ID_OVERRIDE",AJ$24,"DEEP_PERIOD_OVERRIDE",$H$19)*1,"")))</f>
        <v/>
      </c>
      <c r="AK100" s="17" t="str">
        <f>IF(OR(AK$23="",ISNA($B100)),"",IF(ISBLANK($B100),"",IFERROR(_xll.BDP(TICKER,"DEEP_MEASURE_PERIOD_BROKER_VALUE","DEEP_MEASURE_ID_OVERRIDE",$C100,"DEEP_BROKER_ID_OVERRIDE",AK$24,"DEEP_PERIOD_OVERRIDE",$H$19)*1,"")))</f>
        <v/>
      </c>
      <c r="AL100" s="17" t="str">
        <f>IF(OR(AL$23="",ISNA($B100)),"",IF(ISBLANK($B100),"",IFERROR(_xll.BDP(TICKER,"DEEP_MEASURE_PERIOD_BROKER_VALUE","DEEP_MEASURE_ID_OVERRIDE",$C100,"DEEP_BROKER_ID_OVERRIDE",AL$24,"DEEP_PERIOD_OVERRIDE",$H$19)*1,"")))</f>
        <v/>
      </c>
      <c r="AM100" s="17" t="str">
        <f>IF(OR(AM$23="",ISNA($B100)),"",IF(ISBLANK($B100),"",IFERROR(_xll.BDP(TICKER,"DEEP_MEASURE_PERIOD_BROKER_VALUE","DEEP_MEASURE_ID_OVERRIDE",$C100,"DEEP_BROKER_ID_OVERRIDE",AM$24,"DEEP_PERIOD_OVERRIDE",$H$19)*1,"")))</f>
        <v/>
      </c>
      <c r="AN100" s="17" t="str">
        <f>IF(OR(AN$23="",ISNA($B100)),"",IF(ISBLANK($B100),"",IFERROR(_xll.BDP(TICKER,"DEEP_MEASURE_PERIOD_BROKER_VALUE","DEEP_MEASURE_ID_OVERRIDE",$C100,"DEEP_BROKER_ID_OVERRIDE",AN$24,"DEEP_PERIOD_OVERRIDE",$H$19)*1,"")))</f>
        <v/>
      </c>
      <c r="AO100" s="17" t="str">
        <f>IF(OR(AO$23="",ISNA($B100)),"",IF(ISBLANK($B100),"",IFERROR(_xll.BDP(TICKER,"DEEP_MEASURE_PERIOD_BROKER_VALUE","DEEP_MEASURE_ID_OVERRIDE",$C100,"DEEP_BROKER_ID_OVERRIDE",AO$24,"DEEP_PERIOD_OVERRIDE",$H$19)*1,"")))</f>
        <v/>
      </c>
      <c r="AP100" s="17" t="str">
        <f>IF(OR(AP$23="",ISNA($B100)),"",IF(ISBLANK($B100),"",IFERROR(_xll.BDP(TICKER,"DEEP_MEASURE_PERIOD_BROKER_VALUE","DEEP_MEASURE_ID_OVERRIDE",$C100,"DEEP_BROKER_ID_OVERRIDE",AP$24,"DEEP_PERIOD_OVERRIDE",$H$19)*1,"")))</f>
        <v/>
      </c>
      <c r="AQ100" s="17" t="str">
        <f>IF(OR(AQ$23="",ISNA($B100)),"",IF(ISBLANK($B100),"",IFERROR(_xll.BDP(TICKER,"DEEP_MEASURE_PERIOD_BROKER_VALUE","DEEP_MEASURE_ID_OVERRIDE",$C100,"DEEP_BROKER_ID_OVERRIDE",AQ$24,"DEEP_PERIOD_OVERRIDE",$H$19)*1,"")))</f>
        <v/>
      </c>
      <c r="AR100" s="17" t="str">
        <f>IF(OR(AR$23="",ISNA($B100)),"",IF(ISBLANK($B100),"",IFERROR(_xll.BDP(TICKER,"DEEP_MEASURE_PERIOD_BROKER_VALUE","DEEP_MEASURE_ID_OVERRIDE",$C100,"DEEP_BROKER_ID_OVERRIDE",AR$24,"DEEP_PERIOD_OVERRIDE",$H$19)*1,"")))</f>
        <v/>
      </c>
      <c r="AS100" s="17" t="str">
        <f>IF(OR(AS$23="",ISNA($B100)),"",IF(ISBLANK($B100),"",IFERROR(_xll.BDP(TICKER,"DEEP_MEASURE_PERIOD_BROKER_VALUE","DEEP_MEASURE_ID_OVERRIDE",$C100,"DEEP_BROKER_ID_OVERRIDE",AS$24,"DEEP_PERIOD_OVERRIDE",$H$19)*1,"")))</f>
        <v/>
      </c>
      <c r="AT100" s="17" t="str">
        <f>IF(OR(AT$23="",ISNA($B100)),"",IF(ISBLANK($B100),"",IFERROR(_xll.BDP(TICKER,"DEEP_MEASURE_PERIOD_BROKER_VALUE","DEEP_MEASURE_ID_OVERRIDE",$C100,"DEEP_BROKER_ID_OVERRIDE",AT$24,"DEEP_PERIOD_OVERRIDE",$H$19)*1,"")))</f>
        <v/>
      </c>
      <c r="AU100" s="17" t="str">
        <f>IF(OR(AU$23="",ISNA($B100)),"",IF(ISBLANK($B100),"",IFERROR(_xll.BDP(TICKER,"DEEP_MEASURE_PERIOD_BROKER_VALUE","DEEP_MEASURE_ID_OVERRIDE",$C100,"DEEP_BROKER_ID_OVERRIDE",AU$24,"DEEP_PERIOD_OVERRIDE",$H$19)*1,"")))</f>
        <v/>
      </c>
      <c r="AV100" s="17" t="str">
        <f>IF(OR(AV$23="",ISNA($B100)),"",IF(ISBLANK($B100),"",IFERROR(_xll.BDP(TICKER,"DEEP_MEASURE_PERIOD_BROKER_VALUE","DEEP_MEASURE_ID_OVERRIDE",$C100,"DEEP_BROKER_ID_OVERRIDE",AV$24,"DEEP_PERIOD_OVERRIDE",$H$19)*1,"")))</f>
        <v/>
      </c>
      <c r="AW100" s="17" t="str">
        <f>IF(OR(AW$23="",ISNA($B100)),"",IF(ISBLANK($B100),"",IFERROR(_xll.BDP(TICKER,"DEEP_MEASURE_PERIOD_BROKER_VALUE","DEEP_MEASURE_ID_OVERRIDE",$C100,"DEEP_BROKER_ID_OVERRIDE",AW$24,"DEEP_PERIOD_OVERRIDE",$H$19)*1,"")))</f>
        <v/>
      </c>
      <c r="AX100" s="17" t="str">
        <f>IF(OR(AX$23="",ISNA($B100)),"",IF(ISBLANK($B100),"",IFERROR(_xll.BDP(TICKER,"DEEP_MEASURE_PERIOD_BROKER_VALUE","DEEP_MEASURE_ID_OVERRIDE",$C100,"DEEP_BROKER_ID_OVERRIDE",AX$24,"DEEP_PERIOD_OVERRIDE",$H$19)*1,"")))</f>
        <v/>
      </c>
      <c r="AY100" s="17" t="str">
        <f>IF(OR(AY$23="",ISNA($B100)),"",IF(ISBLANK($B100),"",IFERROR(_xll.BDP(TICKER,"DEEP_MEASURE_PERIOD_BROKER_VALUE","DEEP_MEASURE_ID_OVERRIDE",$C100,"DEEP_BROKER_ID_OVERRIDE",AY$24,"DEEP_PERIOD_OVERRIDE",$H$19)*1,"")))</f>
        <v/>
      </c>
      <c r="AZ100" s="17" t="str">
        <f>IF(OR(AZ$23="",ISNA($B100)),"",IF(ISBLANK($B100),"",IFERROR(_xll.BDP(TICKER,"DEEP_MEASURE_PERIOD_BROKER_VALUE","DEEP_MEASURE_ID_OVERRIDE",$C100,"DEEP_BROKER_ID_OVERRIDE",AZ$24,"DEEP_PERIOD_OVERRIDE",$H$19)*1,"")))</f>
        <v/>
      </c>
      <c r="BA100" s="17" t="str">
        <f>IF(OR(BA$23="",ISNA($B100)),"",IF(ISBLANK($B100),"",IFERROR(_xll.BDP(TICKER,"DEEP_MEASURE_PERIOD_BROKER_VALUE","DEEP_MEASURE_ID_OVERRIDE",$C100,"DEEP_BROKER_ID_OVERRIDE",BA$24,"DEEP_PERIOD_OVERRIDE",$H$19)*1,"")))</f>
        <v/>
      </c>
      <c r="BB100" s="17" t="str">
        <f>IF(OR(BB$23="",ISNA($B100)),"",IF(ISBLANK($B100),"",IFERROR(_xll.BDP(TICKER,"DEEP_MEASURE_PERIOD_BROKER_VALUE","DEEP_MEASURE_ID_OVERRIDE",$C100,"DEEP_BROKER_ID_OVERRIDE",BB$24,"DEEP_PERIOD_OVERRIDE",$H$19)*1,"")))</f>
        <v/>
      </c>
      <c r="BC100" s="17" t="str">
        <f>IF(OR(BC$23="",ISNA($B100)),"",IF(ISBLANK($B100),"",IFERROR(_xll.BDP(TICKER,"DEEP_MEASURE_PERIOD_BROKER_VALUE","DEEP_MEASURE_ID_OVERRIDE",$C100,"DEEP_BROKER_ID_OVERRIDE",BC$24,"DEEP_PERIOD_OVERRIDE",$H$19)*1,"")))</f>
        <v/>
      </c>
      <c r="BD100" s="17" t="str">
        <f>IF(OR(BD$23="",ISNA($B100)),"",IF(ISBLANK($B100),"",IFERROR(_xll.BDP(TICKER,"DEEP_MEASURE_PERIOD_BROKER_VALUE","DEEP_MEASURE_ID_OVERRIDE",$C100,"DEEP_BROKER_ID_OVERRIDE",BD$24,"DEEP_PERIOD_OVERRIDE",$H$19)*1,"")))</f>
        <v/>
      </c>
      <c r="BE100" s="17" t="str">
        <f>IF(OR(BE$23="",ISNA($B100)),"",IF(ISBLANK($B100),"",IFERROR(_xll.BDP(TICKER,"DEEP_MEASURE_PERIOD_BROKER_VALUE","DEEP_MEASURE_ID_OVERRIDE",$C100,"DEEP_BROKER_ID_OVERRIDE",BE$24,"DEEP_PERIOD_OVERRIDE",$H$19)*1,"")))</f>
        <v/>
      </c>
      <c r="BF100" s="17" t="str">
        <f>IF(OR(BF$23="",ISNA($B100)),"",IF(ISBLANK($B100),"",IFERROR(_xll.BDP(TICKER,"DEEP_MEASURE_PERIOD_BROKER_VALUE","DEEP_MEASURE_ID_OVERRIDE",$C100,"DEEP_BROKER_ID_OVERRIDE",BF$24,"DEEP_PERIOD_OVERRIDE",$H$19)*1,"")))</f>
        <v/>
      </c>
      <c r="BG100" s="17" t="str">
        <f>IF(OR(BG$23="",ISNA($B100)),"",IF(ISBLANK($B100),"",IFERROR(_xll.BDP(TICKER,"DEEP_MEASURE_PERIOD_BROKER_VALUE","DEEP_MEASURE_ID_OVERRIDE",$C100,"DEEP_BROKER_ID_OVERRIDE",BG$24,"DEEP_PERIOD_OVERRIDE",$H$19)*1,"")))</f>
        <v/>
      </c>
      <c r="BH100" s="17" t="str">
        <f>IF(OR(BH$23="",ISNA($B100)),"",IF(ISBLANK($B100),"",IFERROR(_xll.BDP(TICKER,"DEEP_MEASURE_PERIOD_BROKER_VALUE","DEEP_MEASURE_ID_OVERRIDE",$C100,"DEEP_BROKER_ID_OVERRIDE",BH$24,"DEEP_PERIOD_OVERRIDE",$H$19)*1,"")))</f>
        <v/>
      </c>
      <c r="BI100" s="17" t="str">
        <f>IF(OR(BI$23="",ISNA($B100)),"",IF(ISBLANK($B100),"",IFERROR(_xll.BDP(TICKER,"DEEP_MEASURE_PERIOD_BROKER_VALUE","DEEP_MEASURE_ID_OVERRIDE",$C100,"DEEP_BROKER_ID_OVERRIDE",BI$24,"DEEP_PERIOD_OVERRIDE",$H$19)*1,"")))</f>
        <v/>
      </c>
      <c r="BJ100" s="17" t="str">
        <f>IF(OR(BJ$23="",ISNA($B100)),"",IF(ISBLANK($B100),"",IFERROR(_xll.BDP(TICKER,"DEEP_MEASURE_PERIOD_BROKER_VALUE","DEEP_MEASURE_ID_OVERRIDE",$C100,"DEEP_BROKER_ID_OVERRIDE",BJ$24,"DEEP_PERIOD_OVERRIDE",$H$19)*1,"")))</f>
        <v/>
      </c>
      <c r="BK100" s="17" t="str">
        <f>IF(OR(BK$23="",ISNA($B100)),"",IF(ISBLANK($B100),"",IFERROR(_xll.BDP(TICKER,"DEEP_MEASURE_PERIOD_BROKER_VALUE","DEEP_MEASURE_ID_OVERRIDE",$C100,"DEEP_BROKER_ID_OVERRIDE",BK$24,"DEEP_PERIOD_OVERRIDE",$H$19)*1,"")))</f>
        <v/>
      </c>
      <c r="BL100" s="17" t="str">
        <f>IF(OR(BL$23="",ISNA($B100)),"",IF(ISBLANK($B100),"",IFERROR(_xll.BDP(TICKER,"DEEP_MEASURE_PERIOD_BROKER_VALUE","DEEP_MEASURE_ID_OVERRIDE",$C100,"DEEP_BROKER_ID_OVERRIDE",BL$24,"DEEP_PERIOD_OVERRIDE",$H$19)*1,"")))</f>
        <v/>
      </c>
      <c r="BM100" s="17" t="str">
        <f>IF(OR(BM$23="",ISNA($B100)),"",IF(ISBLANK($B100),"",IFERROR(_xll.BDP(TICKER,"DEEP_MEASURE_PERIOD_BROKER_VALUE","DEEP_MEASURE_ID_OVERRIDE",$C100,"DEEP_BROKER_ID_OVERRIDE",BM$24,"DEEP_PERIOD_OVERRIDE",$H$19)*1,"")))</f>
        <v/>
      </c>
      <c r="BN100" s="17" t="str">
        <f>IF(OR(BN$23="",ISNA($B100)),"",IF(ISBLANK($B100),"",IFERROR(_xll.BDP(TICKER,"DEEP_MEASURE_PERIOD_BROKER_VALUE","DEEP_MEASURE_ID_OVERRIDE",$C100,"DEEP_BROKER_ID_OVERRIDE",BN$24,"DEEP_PERIOD_OVERRIDE",$H$19)*1,"")))</f>
        <v/>
      </c>
      <c r="BO100" s="17" t="str">
        <f>IF(OR(BO$23="",ISNA($B100)),"",IF(ISBLANK($B100),"",IFERROR(_xll.BDP(TICKER,"DEEP_MEASURE_PERIOD_BROKER_VALUE","DEEP_MEASURE_ID_OVERRIDE",$C100,"DEEP_BROKER_ID_OVERRIDE",BO$24,"DEEP_PERIOD_OVERRIDE",$H$19)*1,"")))</f>
        <v/>
      </c>
      <c r="BP100" s="17" t="str">
        <f>IF(OR(BP$23="",ISNA($B100)),"",IF(ISBLANK($B100),"",IFERROR(_xll.BDP(TICKER,"DEEP_MEASURE_PERIOD_BROKER_VALUE","DEEP_MEASURE_ID_OVERRIDE",$C100,"DEEP_BROKER_ID_OVERRIDE",BP$24,"DEEP_PERIOD_OVERRIDE",$H$19)*1,"")))</f>
        <v/>
      </c>
      <c r="BQ100" s="17" t="str">
        <f>IF(OR(BQ$23="",ISNA($B100)),"",IF(ISBLANK($B100),"",IFERROR(_xll.BDP(TICKER,"DEEP_MEASURE_PERIOD_BROKER_VALUE","DEEP_MEASURE_ID_OVERRIDE",$C100,"DEEP_BROKER_ID_OVERRIDE",BQ$24,"DEEP_PERIOD_OVERRIDE",$H$19)*1,"")))</f>
        <v/>
      </c>
      <c r="BR100" s="17" t="str">
        <f>IF(OR(BR$23="",ISNA($B100)),"",IF(ISBLANK($B100),"",IFERROR(_xll.BDP(TICKER,"DEEP_MEASURE_PERIOD_BROKER_VALUE","DEEP_MEASURE_ID_OVERRIDE",$C100,"DEEP_BROKER_ID_OVERRIDE",BR$24,"DEEP_PERIOD_OVERRIDE",$H$19)*1,"")))</f>
        <v/>
      </c>
      <c r="BS100" s="17" t="str">
        <f>IF(OR(BS$23="",ISNA($B100)),"",IF(ISBLANK($B100),"",IFERROR(_xll.BDP(TICKER,"DEEP_MEASURE_PERIOD_BROKER_VALUE","DEEP_MEASURE_ID_OVERRIDE",$C100,"DEEP_BROKER_ID_OVERRIDE",BS$24,"DEEP_PERIOD_OVERRIDE",$H$19)*1,"")))</f>
        <v/>
      </c>
      <c r="BT100" s="17" t="str">
        <f>IF(OR(BT$23="",ISNA($B100)),"",IF(ISBLANK($B100),"",IFERROR(_xll.BDP(TICKER,"DEEP_MEASURE_PERIOD_BROKER_VALUE","DEEP_MEASURE_ID_OVERRIDE",$C100,"DEEP_BROKER_ID_OVERRIDE",BT$24,"DEEP_PERIOD_OVERRIDE",$H$19)*1,"")))</f>
        <v/>
      </c>
      <c r="BU100" s="17" t="str">
        <f>IF(OR(BU$23="",ISNA($B100)),"",IF(ISBLANK($B100),"",IFERROR(_xll.BDP(TICKER,"DEEP_MEASURE_PERIOD_BROKER_VALUE","DEEP_MEASURE_ID_OVERRIDE",$C100,"DEEP_BROKER_ID_OVERRIDE",BU$24,"DEEP_PERIOD_OVERRIDE",$H$19)*1,"")))</f>
        <v/>
      </c>
      <c r="BV100" s="17" t="str">
        <f>IF(OR(BV$23="",ISNA($B100)),"",IF(ISBLANK($B100),"",IFERROR(_xll.BDP(TICKER,"DEEP_MEASURE_PERIOD_BROKER_VALUE","DEEP_MEASURE_ID_OVERRIDE",$C100,"DEEP_BROKER_ID_OVERRIDE",BV$24,"DEEP_PERIOD_OVERRIDE",$H$19)*1,"")))</f>
        <v/>
      </c>
      <c r="BW100" s="17" t="str">
        <f>IF(OR(BW$23="",ISNA($B100)),"",IF(ISBLANK($B100),"",IFERROR(_xll.BDP(TICKER,"DEEP_MEASURE_PERIOD_BROKER_VALUE","DEEP_MEASURE_ID_OVERRIDE",$C100,"DEEP_BROKER_ID_OVERRIDE",BW$24,"DEEP_PERIOD_OVERRIDE",$H$19)*1,"")))</f>
        <v/>
      </c>
      <c r="BX100" s="17" t="str">
        <f>IF(OR(BX$23="",ISNA($B100)),"",IF(ISBLANK($B100),"",IFERROR(_xll.BDP(TICKER,"DEEP_MEASURE_PERIOD_BROKER_VALUE","DEEP_MEASURE_ID_OVERRIDE",$C100,"DEEP_BROKER_ID_OVERRIDE",BX$24,"DEEP_PERIOD_OVERRIDE",$H$19)*1,"")))</f>
        <v/>
      </c>
      <c r="BY100" s="17" t="str">
        <f>IF(OR(BY$23="",ISNA($B100)),"",IF(ISBLANK($B100),"",IFERROR(_xll.BDP(TICKER,"DEEP_MEASURE_PERIOD_BROKER_VALUE","DEEP_MEASURE_ID_OVERRIDE",$C100,"DEEP_BROKER_ID_OVERRIDE",BY$24,"DEEP_PERIOD_OVERRIDE",$H$19)*1,"")))</f>
        <v/>
      </c>
      <c r="BZ100" s="17" t="str">
        <f>IF(OR(BZ$23="",ISNA($B100)),"",IF(ISBLANK($B100),"",IFERROR(_xll.BDP(TICKER,"DEEP_MEASURE_PERIOD_BROKER_VALUE","DEEP_MEASURE_ID_OVERRIDE",$C100,"DEEP_BROKER_ID_OVERRIDE",BZ$24,"DEEP_PERIOD_OVERRIDE",$H$19)*1,"")))</f>
        <v/>
      </c>
    </row>
    <row r="101" spans="2:78" x14ac:dyDescent="0.25">
      <c r="B101" t="s">
        <v>141</v>
      </c>
      <c r="C101">
        <v>382</v>
      </c>
      <c r="H101" t="str">
        <f t="shared" si="2"/>
        <v>Sales &amp; Marketing Expenses &gt; Personnel &amp; Overhead &gt; Personnel &amp; Overhead (ex-SBC) &gt; As % of Revenue</v>
      </c>
      <c r="I101" t="str">
        <f>IF(OR(I$23="",ISNA($B101)),"",IF(ISBLANK($B101),"",IFERROR(_xll.BDP(TICKER,"DEEP_MEASURE_PERIOD_BROKER_VALUE","DEEP_MEASURE_ID_OVERRIDE",$C101,"DEEP_PERIOD_OVERRIDE",$H$19)*1,"")))</f>
        <v/>
      </c>
      <c r="J101" t="e">
        <f>IF(OR(J$23="",ISNA($B101)),"",IF(ISBLANK($B101),"",IFERROR(_xll.BDP(TICKER,"DEEP_MEASURE_PERIOD_BROKER_VALUE","DEEP_MEASURE_ID_OVERRIDE",$C101,"DEEP_BROKER_ID_OVERRIDE",J$24,"DEEP_PERIOD_OVERRIDE",$H$19)*1,"")))</f>
        <v>#REF!</v>
      </c>
      <c r="K101" s="17" t="str">
        <f>IF(OR(K$23="",ISNA($B101)),"",IF(ISBLANK($B101),"",IFERROR(_xll.BDP(TICKER,"DEEP_MEASURE_PERIOD_BROKER_VALUE","DEEP_MEASURE_ID_OVERRIDE",$C101,"DEEP_BROKER_ID_OVERRIDE",K$24,"DEEP_PERIOD_OVERRIDE",$H$19)*1,"")))</f>
        <v/>
      </c>
      <c r="L101" s="17" t="str">
        <f>IF(OR(L$23="",ISNA($B101)),"",IF(ISBLANK($B101),"",IFERROR(_xll.BDP(TICKER,"DEEP_MEASURE_PERIOD_BROKER_VALUE","DEEP_MEASURE_ID_OVERRIDE",$C101,"DEEP_BROKER_ID_OVERRIDE",L$24,"DEEP_PERIOD_OVERRIDE",$H$19)*1,"")))</f>
        <v/>
      </c>
      <c r="M101" s="17" t="str">
        <f>IF(OR(M$23="",ISNA($B101)),"",IF(ISBLANK($B101),"",IFERROR(_xll.BDP(TICKER,"DEEP_MEASURE_PERIOD_BROKER_VALUE","DEEP_MEASURE_ID_OVERRIDE",$C101,"DEEP_BROKER_ID_OVERRIDE",M$24,"DEEP_PERIOD_OVERRIDE",$H$19)*1,"")))</f>
        <v/>
      </c>
      <c r="N101" s="17" t="str">
        <f>IF(OR(N$23="",ISNA($B101)),"",IF(ISBLANK($B101),"",IFERROR(_xll.BDP(TICKER,"DEEP_MEASURE_PERIOD_BROKER_VALUE","DEEP_MEASURE_ID_OVERRIDE",$C101,"DEEP_BROKER_ID_OVERRIDE",N$24,"DEEP_PERIOD_OVERRIDE",$H$19)*1,"")))</f>
        <v/>
      </c>
      <c r="O101" s="17" t="str">
        <f>IF(OR(O$23="",ISNA($B101)),"",IF(ISBLANK($B101),"",IFERROR(_xll.BDP(TICKER,"DEEP_MEASURE_PERIOD_BROKER_VALUE","DEEP_MEASURE_ID_OVERRIDE",$C101,"DEEP_BROKER_ID_OVERRIDE",O$24,"DEEP_PERIOD_OVERRIDE",$H$19)*1,"")))</f>
        <v/>
      </c>
      <c r="P101" s="17" t="str">
        <f>IF(OR(P$23="",ISNA($B101)),"",IF(ISBLANK($B101),"",IFERROR(_xll.BDP(TICKER,"DEEP_MEASURE_PERIOD_BROKER_VALUE","DEEP_MEASURE_ID_OVERRIDE",$C101,"DEEP_BROKER_ID_OVERRIDE",P$24,"DEEP_PERIOD_OVERRIDE",$H$19)*1,"")))</f>
        <v/>
      </c>
      <c r="Q101" s="17" t="str">
        <f>IF(OR(Q$23="",ISNA($B101)),"",IF(ISBLANK($B101),"",IFERROR(_xll.BDP(TICKER,"DEEP_MEASURE_PERIOD_BROKER_VALUE","DEEP_MEASURE_ID_OVERRIDE",$C101,"DEEP_BROKER_ID_OVERRIDE",Q$24,"DEEP_PERIOD_OVERRIDE",$H$19)*1,"")))</f>
        <v/>
      </c>
      <c r="R101" s="17" t="str">
        <f>IF(OR(R$23="",ISNA($B101)),"",IF(ISBLANK($B101),"",IFERROR(_xll.BDP(TICKER,"DEEP_MEASURE_PERIOD_BROKER_VALUE","DEEP_MEASURE_ID_OVERRIDE",$C101,"DEEP_BROKER_ID_OVERRIDE",R$24,"DEEP_PERIOD_OVERRIDE",$H$19)*1,"")))</f>
        <v/>
      </c>
      <c r="S101" s="17" t="str">
        <f>IF(OR(S$23="",ISNA($B101)),"",IF(ISBLANK($B101),"",IFERROR(_xll.BDP(TICKER,"DEEP_MEASURE_PERIOD_BROKER_VALUE","DEEP_MEASURE_ID_OVERRIDE",$C101,"DEEP_BROKER_ID_OVERRIDE",S$24,"DEEP_PERIOD_OVERRIDE",$H$19)*1,"")))</f>
        <v/>
      </c>
      <c r="T101" s="17" t="str">
        <f>IF(OR(T$23="",ISNA($B101)),"",IF(ISBLANK($B101),"",IFERROR(_xll.BDP(TICKER,"DEEP_MEASURE_PERIOD_BROKER_VALUE","DEEP_MEASURE_ID_OVERRIDE",$C101,"DEEP_BROKER_ID_OVERRIDE",T$24,"DEEP_PERIOD_OVERRIDE",$H$19)*1,"")))</f>
        <v/>
      </c>
      <c r="U101" s="17" t="str">
        <f>IF(OR(U$23="",ISNA($B101)),"",IF(ISBLANK($B101),"",IFERROR(_xll.BDP(TICKER,"DEEP_MEASURE_PERIOD_BROKER_VALUE","DEEP_MEASURE_ID_OVERRIDE",$C101,"DEEP_BROKER_ID_OVERRIDE",U$24,"DEEP_PERIOD_OVERRIDE",$H$19)*1,"")))</f>
        <v/>
      </c>
      <c r="V101" s="17" t="str">
        <f>IF(OR(V$23="",ISNA($B101)),"",IF(ISBLANK($B101),"",IFERROR(_xll.BDP(TICKER,"DEEP_MEASURE_PERIOD_BROKER_VALUE","DEEP_MEASURE_ID_OVERRIDE",$C101,"DEEP_BROKER_ID_OVERRIDE",V$24,"DEEP_PERIOD_OVERRIDE",$H$19)*1,"")))</f>
        <v/>
      </c>
      <c r="W101" s="17" t="str">
        <f>IF(OR(W$23="",ISNA($B101)),"",IF(ISBLANK($B101),"",IFERROR(_xll.BDP(TICKER,"DEEP_MEASURE_PERIOD_BROKER_VALUE","DEEP_MEASURE_ID_OVERRIDE",$C101,"DEEP_BROKER_ID_OVERRIDE",W$24,"DEEP_PERIOD_OVERRIDE",$H$19)*1,"")))</f>
        <v/>
      </c>
      <c r="X101" s="17" t="str">
        <f>IF(OR(X$23="",ISNA($B101)),"",IF(ISBLANK($B101),"",IFERROR(_xll.BDP(TICKER,"DEEP_MEASURE_PERIOD_BROKER_VALUE","DEEP_MEASURE_ID_OVERRIDE",$C101,"DEEP_BROKER_ID_OVERRIDE",X$24,"DEEP_PERIOD_OVERRIDE",$H$19)*1,"")))</f>
        <v/>
      </c>
      <c r="Y101" s="17" t="str">
        <f>IF(OR(Y$23="",ISNA($B101)),"",IF(ISBLANK($B101),"",IFERROR(_xll.BDP(TICKER,"DEEP_MEASURE_PERIOD_BROKER_VALUE","DEEP_MEASURE_ID_OVERRIDE",$C101,"DEEP_BROKER_ID_OVERRIDE",Y$24,"DEEP_PERIOD_OVERRIDE",$H$19)*1,"")))</f>
        <v/>
      </c>
      <c r="Z101" s="17" t="str">
        <f>IF(OR(Z$23="",ISNA($B101)),"",IF(ISBLANK($B101),"",IFERROR(_xll.BDP(TICKER,"DEEP_MEASURE_PERIOD_BROKER_VALUE","DEEP_MEASURE_ID_OVERRIDE",$C101,"DEEP_BROKER_ID_OVERRIDE",Z$24,"DEEP_PERIOD_OVERRIDE",$H$19)*1,"")))</f>
        <v/>
      </c>
      <c r="AA101" s="17" t="str">
        <f>IF(OR(AA$23="",ISNA($B101)),"",IF(ISBLANK($B101),"",IFERROR(_xll.BDP(TICKER,"DEEP_MEASURE_PERIOD_BROKER_VALUE","DEEP_MEASURE_ID_OVERRIDE",$C101,"DEEP_BROKER_ID_OVERRIDE",AA$24,"DEEP_PERIOD_OVERRIDE",$H$19)*1,"")))</f>
        <v/>
      </c>
      <c r="AB101" s="17" t="str">
        <f>IF(OR(AB$23="",ISNA($B101)),"",IF(ISBLANK($B101),"",IFERROR(_xll.BDP(TICKER,"DEEP_MEASURE_PERIOD_BROKER_VALUE","DEEP_MEASURE_ID_OVERRIDE",$C101,"DEEP_BROKER_ID_OVERRIDE",AB$24,"DEEP_PERIOD_OVERRIDE",$H$19)*1,"")))</f>
        <v/>
      </c>
      <c r="AC101" s="17" t="str">
        <f>IF(OR(AC$23="",ISNA($B101)),"",IF(ISBLANK($B101),"",IFERROR(_xll.BDP(TICKER,"DEEP_MEASURE_PERIOD_BROKER_VALUE","DEEP_MEASURE_ID_OVERRIDE",$C101,"DEEP_BROKER_ID_OVERRIDE",AC$24,"DEEP_PERIOD_OVERRIDE",$H$19)*1,"")))</f>
        <v/>
      </c>
      <c r="AD101" s="17" t="str">
        <f>IF(OR(AD$23="",ISNA($B101)),"",IF(ISBLANK($B101),"",IFERROR(_xll.BDP(TICKER,"DEEP_MEASURE_PERIOD_BROKER_VALUE","DEEP_MEASURE_ID_OVERRIDE",$C101,"DEEP_BROKER_ID_OVERRIDE",AD$24,"DEEP_PERIOD_OVERRIDE",$H$19)*1,"")))</f>
        <v/>
      </c>
      <c r="AE101" s="17" t="str">
        <f>IF(OR(AE$23="",ISNA($B101)),"",IF(ISBLANK($B101),"",IFERROR(_xll.BDP(TICKER,"DEEP_MEASURE_PERIOD_BROKER_VALUE","DEEP_MEASURE_ID_OVERRIDE",$C101,"DEEP_BROKER_ID_OVERRIDE",AE$24,"DEEP_PERIOD_OVERRIDE",$H$19)*1,"")))</f>
        <v/>
      </c>
      <c r="AF101" s="17" t="str">
        <f>IF(OR(AF$23="",ISNA($B101)),"",IF(ISBLANK($B101),"",IFERROR(_xll.BDP(TICKER,"DEEP_MEASURE_PERIOD_BROKER_VALUE","DEEP_MEASURE_ID_OVERRIDE",$C101,"DEEP_BROKER_ID_OVERRIDE",AF$24,"DEEP_PERIOD_OVERRIDE",$H$19)*1,"")))</f>
        <v/>
      </c>
      <c r="AG101" s="17" t="str">
        <f>IF(OR(AG$23="",ISNA($B101)),"",IF(ISBLANK($B101),"",IFERROR(_xll.BDP(TICKER,"DEEP_MEASURE_PERIOD_BROKER_VALUE","DEEP_MEASURE_ID_OVERRIDE",$C101,"DEEP_BROKER_ID_OVERRIDE",AG$24,"DEEP_PERIOD_OVERRIDE",$H$19)*1,"")))</f>
        <v/>
      </c>
      <c r="AH101" s="17" t="str">
        <f>IF(OR(AH$23="",ISNA($B101)),"",IF(ISBLANK($B101),"",IFERROR(_xll.BDP(TICKER,"DEEP_MEASURE_PERIOD_BROKER_VALUE","DEEP_MEASURE_ID_OVERRIDE",$C101,"DEEP_BROKER_ID_OVERRIDE",AH$24,"DEEP_PERIOD_OVERRIDE",$H$19)*1,"")))</f>
        <v/>
      </c>
      <c r="AI101" s="17" t="str">
        <f>IF(OR(AI$23="",ISNA($B101)),"",IF(ISBLANK($B101),"",IFERROR(_xll.BDP(TICKER,"DEEP_MEASURE_PERIOD_BROKER_VALUE","DEEP_MEASURE_ID_OVERRIDE",$C101,"DEEP_BROKER_ID_OVERRIDE",AI$24,"DEEP_PERIOD_OVERRIDE",$H$19)*1,"")))</f>
        <v/>
      </c>
      <c r="AJ101" s="17" t="str">
        <f>IF(OR(AJ$23="",ISNA($B101)),"",IF(ISBLANK($B101),"",IFERROR(_xll.BDP(TICKER,"DEEP_MEASURE_PERIOD_BROKER_VALUE","DEEP_MEASURE_ID_OVERRIDE",$C101,"DEEP_BROKER_ID_OVERRIDE",AJ$24,"DEEP_PERIOD_OVERRIDE",$H$19)*1,"")))</f>
        <v/>
      </c>
      <c r="AK101" s="17" t="str">
        <f>IF(OR(AK$23="",ISNA($B101)),"",IF(ISBLANK($B101),"",IFERROR(_xll.BDP(TICKER,"DEEP_MEASURE_PERIOD_BROKER_VALUE","DEEP_MEASURE_ID_OVERRIDE",$C101,"DEEP_BROKER_ID_OVERRIDE",AK$24,"DEEP_PERIOD_OVERRIDE",$H$19)*1,"")))</f>
        <v/>
      </c>
      <c r="AL101" s="17" t="str">
        <f>IF(OR(AL$23="",ISNA($B101)),"",IF(ISBLANK($B101),"",IFERROR(_xll.BDP(TICKER,"DEEP_MEASURE_PERIOD_BROKER_VALUE","DEEP_MEASURE_ID_OVERRIDE",$C101,"DEEP_BROKER_ID_OVERRIDE",AL$24,"DEEP_PERIOD_OVERRIDE",$H$19)*1,"")))</f>
        <v/>
      </c>
      <c r="AM101" s="17" t="str">
        <f>IF(OR(AM$23="",ISNA($B101)),"",IF(ISBLANK($B101),"",IFERROR(_xll.BDP(TICKER,"DEEP_MEASURE_PERIOD_BROKER_VALUE","DEEP_MEASURE_ID_OVERRIDE",$C101,"DEEP_BROKER_ID_OVERRIDE",AM$24,"DEEP_PERIOD_OVERRIDE",$H$19)*1,"")))</f>
        <v/>
      </c>
      <c r="AN101" s="17" t="str">
        <f>IF(OR(AN$23="",ISNA($B101)),"",IF(ISBLANK($B101),"",IFERROR(_xll.BDP(TICKER,"DEEP_MEASURE_PERIOD_BROKER_VALUE","DEEP_MEASURE_ID_OVERRIDE",$C101,"DEEP_BROKER_ID_OVERRIDE",AN$24,"DEEP_PERIOD_OVERRIDE",$H$19)*1,"")))</f>
        <v/>
      </c>
      <c r="AO101" s="17" t="str">
        <f>IF(OR(AO$23="",ISNA($B101)),"",IF(ISBLANK($B101),"",IFERROR(_xll.BDP(TICKER,"DEEP_MEASURE_PERIOD_BROKER_VALUE","DEEP_MEASURE_ID_OVERRIDE",$C101,"DEEP_BROKER_ID_OVERRIDE",AO$24,"DEEP_PERIOD_OVERRIDE",$H$19)*1,"")))</f>
        <v/>
      </c>
      <c r="AP101" s="17" t="str">
        <f>IF(OR(AP$23="",ISNA($B101)),"",IF(ISBLANK($B101),"",IFERROR(_xll.BDP(TICKER,"DEEP_MEASURE_PERIOD_BROKER_VALUE","DEEP_MEASURE_ID_OVERRIDE",$C101,"DEEP_BROKER_ID_OVERRIDE",AP$24,"DEEP_PERIOD_OVERRIDE",$H$19)*1,"")))</f>
        <v/>
      </c>
      <c r="AQ101" s="17" t="str">
        <f>IF(OR(AQ$23="",ISNA($B101)),"",IF(ISBLANK($B101),"",IFERROR(_xll.BDP(TICKER,"DEEP_MEASURE_PERIOD_BROKER_VALUE","DEEP_MEASURE_ID_OVERRIDE",$C101,"DEEP_BROKER_ID_OVERRIDE",AQ$24,"DEEP_PERIOD_OVERRIDE",$H$19)*1,"")))</f>
        <v/>
      </c>
      <c r="AR101" s="17" t="str">
        <f>IF(OR(AR$23="",ISNA($B101)),"",IF(ISBLANK($B101),"",IFERROR(_xll.BDP(TICKER,"DEEP_MEASURE_PERIOD_BROKER_VALUE","DEEP_MEASURE_ID_OVERRIDE",$C101,"DEEP_BROKER_ID_OVERRIDE",AR$24,"DEEP_PERIOD_OVERRIDE",$H$19)*1,"")))</f>
        <v/>
      </c>
      <c r="AS101" s="17" t="str">
        <f>IF(OR(AS$23="",ISNA($B101)),"",IF(ISBLANK($B101),"",IFERROR(_xll.BDP(TICKER,"DEEP_MEASURE_PERIOD_BROKER_VALUE","DEEP_MEASURE_ID_OVERRIDE",$C101,"DEEP_BROKER_ID_OVERRIDE",AS$24,"DEEP_PERIOD_OVERRIDE",$H$19)*1,"")))</f>
        <v/>
      </c>
      <c r="AT101" s="17" t="str">
        <f>IF(OR(AT$23="",ISNA($B101)),"",IF(ISBLANK($B101),"",IFERROR(_xll.BDP(TICKER,"DEEP_MEASURE_PERIOD_BROKER_VALUE","DEEP_MEASURE_ID_OVERRIDE",$C101,"DEEP_BROKER_ID_OVERRIDE",AT$24,"DEEP_PERIOD_OVERRIDE",$H$19)*1,"")))</f>
        <v/>
      </c>
      <c r="AU101" s="17" t="str">
        <f>IF(OR(AU$23="",ISNA($B101)),"",IF(ISBLANK($B101),"",IFERROR(_xll.BDP(TICKER,"DEEP_MEASURE_PERIOD_BROKER_VALUE","DEEP_MEASURE_ID_OVERRIDE",$C101,"DEEP_BROKER_ID_OVERRIDE",AU$24,"DEEP_PERIOD_OVERRIDE",$H$19)*1,"")))</f>
        <v/>
      </c>
      <c r="AV101" s="17" t="str">
        <f>IF(OR(AV$23="",ISNA($B101)),"",IF(ISBLANK($B101),"",IFERROR(_xll.BDP(TICKER,"DEEP_MEASURE_PERIOD_BROKER_VALUE","DEEP_MEASURE_ID_OVERRIDE",$C101,"DEEP_BROKER_ID_OVERRIDE",AV$24,"DEEP_PERIOD_OVERRIDE",$H$19)*1,"")))</f>
        <v/>
      </c>
      <c r="AW101" s="17" t="str">
        <f>IF(OR(AW$23="",ISNA($B101)),"",IF(ISBLANK($B101),"",IFERROR(_xll.BDP(TICKER,"DEEP_MEASURE_PERIOD_BROKER_VALUE","DEEP_MEASURE_ID_OVERRIDE",$C101,"DEEP_BROKER_ID_OVERRIDE",AW$24,"DEEP_PERIOD_OVERRIDE",$H$19)*1,"")))</f>
        <v/>
      </c>
      <c r="AX101" s="17" t="str">
        <f>IF(OR(AX$23="",ISNA($B101)),"",IF(ISBLANK($B101),"",IFERROR(_xll.BDP(TICKER,"DEEP_MEASURE_PERIOD_BROKER_VALUE","DEEP_MEASURE_ID_OVERRIDE",$C101,"DEEP_BROKER_ID_OVERRIDE",AX$24,"DEEP_PERIOD_OVERRIDE",$H$19)*1,"")))</f>
        <v/>
      </c>
      <c r="AY101" s="17" t="str">
        <f>IF(OR(AY$23="",ISNA($B101)),"",IF(ISBLANK($B101),"",IFERROR(_xll.BDP(TICKER,"DEEP_MEASURE_PERIOD_BROKER_VALUE","DEEP_MEASURE_ID_OVERRIDE",$C101,"DEEP_BROKER_ID_OVERRIDE",AY$24,"DEEP_PERIOD_OVERRIDE",$H$19)*1,"")))</f>
        <v/>
      </c>
      <c r="AZ101" s="17" t="str">
        <f>IF(OR(AZ$23="",ISNA($B101)),"",IF(ISBLANK($B101),"",IFERROR(_xll.BDP(TICKER,"DEEP_MEASURE_PERIOD_BROKER_VALUE","DEEP_MEASURE_ID_OVERRIDE",$C101,"DEEP_BROKER_ID_OVERRIDE",AZ$24,"DEEP_PERIOD_OVERRIDE",$H$19)*1,"")))</f>
        <v/>
      </c>
      <c r="BA101" s="17" t="str">
        <f>IF(OR(BA$23="",ISNA($B101)),"",IF(ISBLANK($B101),"",IFERROR(_xll.BDP(TICKER,"DEEP_MEASURE_PERIOD_BROKER_VALUE","DEEP_MEASURE_ID_OVERRIDE",$C101,"DEEP_BROKER_ID_OVERRIDE",BA$24,"DEEP_PERIOD_OVERRIDE",$H$19)*1,"")))</f>
        <v/>
      </c>
      <c r="BB101" s="17" t="str">
        <f>IF(OR(BB$23="",ISNA($B101)),"",IF(ISBLANK($B101),"",IFERROR(_xll.BDP(TICKER,"DEEP_MEASURE_PERIOD_BROKER_VALUE","DEEP_MEASURE_ID_OVERRIDE",$C101,"DEEP_BROKER_ID_OVERRIDE",BB$24,"DEEP_PERIOD_OVERRIDE",$H$19)*1,"")))</f>
        <v/>
      </c>
      <c r="BC101" s="17" t="str">
        <f>IF(OR(BC$23="",ISNA($B101)),"",IF(ISBLANK($B101),"",IFERROR(_xll.BDP(TICKER,"DEEP_MEASURE_PERIOD_BROKER_VALUE","DEEP_MEASURE_ID_OVERRIDE",$C101,"DEEP_BROKER_ID_OVERRIDE",BC$24,"DEEP_PERIOD_OVERRIDE",$H$19)*1,"")))</f>
        <v/>
      </c>
      <c r="BD101" s="17" t="str">
        <f>IF(OR(BD$23="",ISNA($B101)),"",IF(ISBLANK($B101),"",IFERROR(_xll.BDP(TICKER,"DEEP_MEASURE_PERIOD_BROKER_VALUE","DEEP_MEASURE_ID_OVERRIDE",$C101,"DEEP_BROKER_ID_OVERRIDE",BD$24,"DEEP_PERIOD_OVERRIDE",$H$19)*1,"")))</f>
        <v/>
      </c>
      <c r="BE101" s="17" t="str">
        <f>IF(OR(BE$23="",ISNA($B101)),"",IF(ISBLANK($B101),"",IFERROR(_xll.BDP(TICKER,"DEEP_MEASURE_PERIOD_BROKER_VALUE","DEEP_MEASURE_ID_OVERRIDE",$C101,"DEEP_BROKER_ID_OVERRIDE",BE$24,"DEEP_PERIOD_OVERRIDE",$H$19)*1,"")))</f>
        <v/>
      </c>
      <c r="BF101" s="17" t="str">
        <f>IF(OR(BF$23="",ISNA($B101)),"",IF(ISBLANK($B101),"",IFERROR(_xll.BDP(TICKER,"DEEP_MEASURE_PERIOD_BROKER_VALUE","DEEP_MEASURE_ID_OVERRIDE",$C101,"DEEP_BROKER_ID_OVERRIDE",BF$24,"DEEP_PERIOD_OVERRIDE",$H$19)*1,"")))</f>
        <v/>
      </c>
      <c r="BG101" s="17" t="str">
        <f>IF(OR(BG$23="",ISNA($B101)),"",IF(ISBLANK($B101),"",IFERROR(_xll.BDP(TICKER,"DEEP_MEASURE_PERIOD_BROKER_VALUE","DEEP_MEASURE_ID_OVERRIDE",$C101,"DEEP_BROKER_ID_OVERRIDE",BG$24,"DEEP_PERIOD_OVERRIDE",$H$19)*1,"")))</f>
        <v/>
      </c>
      <c r="BH101" s="17" t="str">
        <f>IF(OR(BH$23="",ISNA($B101)),"",IF(ISBLANK($B101),"",IFERROR(_xll.BDP(TICKER,"DEEP_MEASURE_PERIOD_BROKER_VALUE","DEEP_MEASURE_ID_OVERRIDE",$C101,"DEEP_BROKER_ID_OVERRIDE",BH$24,"DEEP_PERIOD_OVERRIDE",$H$19)*1,"")))</f>
        <v/>
      </c>
      <c r="BI101" s="17" t="str">
        <f>IF(OR(BI$23="",ISNA($B101)),"",IF(ISBLANK($B101),"",IFERROR(_xll.BDP(TICKER,"DEEP_MEASURE_PERIOD_BROKER_VALUE","DEEP_MEASURE_ID_OVERRIDE",$C101,"DEEP_BROKER_ID_OVERRIDE",BI$24,"DEEP_PERIOD_OVERRIDE",$H$19)*1,"")))</f>
        <v/>
      </c>
      <c r="BJ101" s="17" t="str">
        <f>IF(OR(BJ$23="",ISNA($B101)),"",IF(ISBLANK($B101),"",IFERROR(_xll.BDP(TICKER,"DEEP_MEASURE_PERIOD_BROKER_VALUE","DEEP_MEASURE_ID_OVERRIDE",$C101,"DEEP_BROKER_ID_OVERRIDE",BJ$24,"DEEP_PERIOD_OVERRIDE",$H$19)*1,"")))</f>
        <v/>
      </c>
      <c r="BK101" s="17" t="str">
        <f>IF(OR(BK$23="",ISNA($B101)),"",IF(ISBLANK($B101),"",IFERROR(_xll.BDP(TICKER,"DEEP_MEASURE_PERIOD_BROKER_VALUE","DEEP_MEASURE_ID_OVERRIDE",$C101,"DEEP_BROKER_ID_OVERRIDE",BK$24,"DEEP_PERIOD_OVERRIDE",$H$19)*1,"")))</f>
        <v/>
      </c>
      <c r="BL101" s="17" t="str">
        <f>IF(OR(BL$23="",ISNA($B101)),"",IF(ISBLANK($B101),"",IFERROR(_xll.BDP(TICKER,"DEEP_MEASURE_PERIOD_BROKER_VALUE","DEEP_MEASURE_ID_OVERRIDE",$C101,"DEEP_BROKER_ID_OVERRIDE",BL$24,"DEEP_PERIOD_OVERRIDE",$H$19)*1,"")))</f>
        <v/>
      </c>
      <c r="BM101" s="17" t="str">
        <f>IF(OR(BM$23="",ISNA($B101)),"",IF(ISBLANK($B101),"",IFERROR(_xll.BDP(TICKER,"DEEP_MEASURE_PERIOD_BROKER_VALUE","DEEP_MEASURE_ID_OVERRIDE",$C101,"DEEP_BROKER_ID_OVERRIDE",BM$24,"DEEP_PERIOD_OVERRIDE",$H$19)*1,"")))</f>
        <v/>
      </c>
      <c r="BN101" s="17" t="str">
        <f>IF(OR(BN$23="",ISNA($B101)),"",IF(ISBLANK($B101),"",IFERROR(_xll.BDP(TICKER,"DEEP_MEASURE_PERIOD_BROKER_VALUE","DEEP_MEASURE_ID_OVERRIDE",$C101,"DEEP_BROKER_ID_OVERRIDE",BN$24,"DEEP_PERIOD_OVERRIDE",$H$19)*1,"")))</f>
        <v/>
      </c>
      <c r="BO101" s="17" t="str">
        <f>IF(OR(BO$23="",ISNA($B101)),"",IF(ISBLANK($B101),"",IFERROR(_xll.BDP(TICKER,"DEEP_MEASURE_PERIOD_BROKER_VALUE","DEEP_MEASURE_ID_OVERRIDE",$C101,"DEEP_BROKER_ID_OVERRIDE",BO$24,"DEEP_PERIOD_OVERRIDE",$H$19)*1,"")))</f>
        <v/>
      </c>
      <c r="BP101" s="17" t="str">
        <f>IF(OR(BP$23="",ISNA($B101)),"",IF(ISBLANK($B101),"",IFERROR(_xll.BDP(TICKER,"DEEP_MEASURE_PERIOD_BROKER_VALUE","DEEP_MEASURE_ID_OVERRIDE",$C101,"DEEP_BROKER_ID_OVERRIDE",BP$24,"DEEP_PERIOD_OVERRIDE",$H$19)*1,"")))</f>
        <v/>
      </c>
      <c r="BQ101" s="17" t="str">
        <f>IF(OR(BQ$23="",ISNA($B101)),"",IF(ISBLANK($B101),"",IFERROR(_xll.BDP(TICKER,"DEEP_MEASURE_PERIOD_BROKER_VALUE","DEEP_MEASURE_ID_OVERRIDE",$C101,"DEEP_BROKER_ID_OVERRIDE",BQ$24,"DEEP_PERIOD_OVERRIDE",$H$19)*1,"")))</f>
        <v/>
      </c>
      <c r="BR101" s="17" t="str">
        <f>IF(OR(BR$23="",ISNA($B101)),"",IF(ISBLANK($B101),"",IFERROR(_xll.BDP(TICKER,"DEEP_MEASURE_PERIOD_BROKER_VALUE","DEEP_MEASURE_ID_OVERRIDE",$C101,"DEEP_BROKER_ID_OVERRIDE",BR$24,"DEEP_PERIOD_OVERRIDE",$H$19)*1,"")))</f>
        <v/>
      </c>
      <c r="BS101" s="17" t="str">
        <f>IF(OR(BS$23="",ISNA($B101)),"",IF(ISBLANK($B101),"",IFERROR(_xll.BDP(TICKER,"DEEP_MEASURE_PERIOD_BROKER_VALUE","DEEP_MEASURE_ID_OVERRIDE",$C101,"DEEP_BROKER_ID_OVERRIDE",BS$24,"DEEP_PERIOD_OVERRIDE",$H$19)*1,"")))</f>
        <v/>
      </c>
      <c r="BT101" s="17" t="str">
        <f>IF(OR(BT$23="",ISNA($B101)),"",IF(ISBLANK($B101),"",IFERROR(_xll.BDP(TICKER,"DEEP_MEASURE_PERIOD_BROKER_VALUE","DEEP_MEASURE_ID_OVERRIDE",$C101,"DEEP_BROKER_ID_OVERRIDE",BT$24,"DEEP_PERIOD_OVERRIDE",$H$19)*1,"")))</f>
        <v/>
      </c>
      <c r="BU101" s="17" t="str">
        <f>IF(OR(BU$23="",ISNA($B101)),"",IF(ISBLANK($B101),"",IFERROR(_xll.BDP(TICKER,"DEEP_MEASURE_PERIOD_BROKER_VALUE","DEEP_MEASURE_ID_OVERRIDE",$C101,"DEEP_BROKER_ID_OVERRIDE",BU$24,"DEEP_PERIOD_OVERRIDE",$H$19)*1,"")))</f>
        <v/>
      </c>
      <c r="BV101" s="17" t="str">
        <f>IF(OR(BV$23="",ISNA($B101)),"",IF(ISBLANK($B101),"",IFERROR(_xll.BDP(TICKER,"DEEP_MEASURE_PERIOD_BROKER_VALUE","DEEP_MEASURE_ID_OVERRIDE",$C101,"DEEP_BROKER_ID_OVERRIDE",BV$24,"DEEP_PERIOD_OVERRIDE",$H$19)*1,"")))</f>
        <v/>
      </c>
      <c r="BW101" s="17" t="str">
        <f>IF(OR(BW$23="",ISNA($B101)),"",IF(ISBLANK($B101),"",IFERROR(_xll.BDP(TICKER,"DEEP_MEASURE_PERIOD_BROKER_VALUE","DEEP_MEASURE_ID_OVERRIDE",$C101,"DEEP_BROKER_ID_OVERRIDE",BW$24,"DEEP_PERIOD_OVERRIDE",$H$19)*1,"")))</f>
        <v/>
      </c>
      <c r="BX101" s="17" t="str">
        <f>IF(OR(BX$23="",ISNA($B101)),"",IF(ISBLANK($B101),"",IFERROR(_xll.BDP(TICKER,"DEEP_MEASURE_PERIOD_BROKER_VALUE","DEEP_MEASURE_ID_OVERRIDE",$C101,"DEEP_BROKER_ID_OVERRIDE",BX$24,"DEEP_PERIOD_OVERRIDE",$H$19)*1,"")))</f>
        <v/>
      </c>
      <c r="BY101" s="17" t="str">
        <f>IF(OR(BY$23="",ISNA($B101)),"",IF(ISBLANK($B101),"",IFERROR(_xll.BDP(TICKER,"DEEP_MEASURE_PERIOD_BROKER_VALUE","DEEP_MEASURE_ID_OVERRIDE",$C101,"DEEP_BROKER_ID_OVERRIDE",BY$24,"DEEP_PERIOD_OVERRIDE",$H$19)*1,"")))</f>
        <v/>
      </c>
      <c r="BZ101" s="17" t="str">
        <f>IF(OR(BZ$23="",ISNA($B101)),"",IF(ISBLANK($B101),"",IFERROR(_xll.BDP(TICKER,"DEEP_MEASURE_PERIOD_BROKER_VALUE","DEEP_MEASURE_ID_OVERRIDE",$C101,"DEEP_BROKER_ID_OVERRIDE",BZ$24,"DEEP_PERIOD_OVERRIDE",$H$19)*1,"")))</f>
        <v/>
      </c>
    </row>
    <row r="102" spans="2:78" x14ac:dyDescent="0.25">
      <c r="B102" t="s">
        <v>142</v>
      </c>
      <c r="C102">
        <v>2058</v>
      </c>
      <c r="H102" t="str">
        <f t="shared" si="2"/>
        <v>Sales &amp; Marketing Expenses &gt; Personnel &amp; Overhead &gt; Personnel &amp; Overhead (ex-SBC) &gt; YoY Growth (%)</v>
      </c>
      <c r="I102" t="str">
        <f>IF(OR(I$23="",ISNA($B102)),"",IF(ISBLANK($B102),"",IFERROR(_xll.BDP(TICKER,"DEEP_MEASURE_PERIOD_BROKER_VALUE","DEEP_MEASURE_ID_OVERRIDE",$C102,"DEEP_PERIOD_OVERRIDE",$H$19)*1,"")))</f>
        <v/>
      </c>
      <c r="J102" t="e">
        <f>IF(OR(J$23="",ISNA($B102)),"",IF(ISBLANK($B102),"",IFERROR(_xll.BDP(TICKER,"DEEP_MEASURE_PERIOD_BROKER_VALUE","DEEP_MEASURE_ID_OVERRIDE",$C102,"DEEP_BROKER_ID_OVERRIDE",J$24,"DEEP_PERIOD_OVERRIDE",$H$19)*1,"")))</f>
        <v>#REF!</v>
      </c>
      <c r="K102" s="17" t="str">
        <f>IF(OR(K$23="",ISNA($B102)),"",IF(ISBLANK($B102),"",IFERROR(_xll.BDP(TICKER,"DEEP_MEASURE_PERIOD_BROKER_VALUE","DEEP_MEASURE_ID_OVERRIDE",$C102,"DEEP_BROKER_ID_OVERRIDE",K$24,"DEEP_PERIOD_OVERRIDE",$H$19)*1,"")))</f>
        <v/>
      </c>
      <c r="L102" s="17" t="str">
        <f>IF(OR(L$23="",ISNA($B102)),"",IF(ISBLANK($B102),"",IFERROR(_xll.BDP(TICKER,"DEEP_MEASURE_PERIOD_BROKER_VALUE","DEEP_MEASURE_ID_OVERRIDE",$C102,"DEEP_BROKER_ID_OVERRIDE",L$24,"DEEP_PERIOD_OVERRIDE",$H$19)*1,"")))</f>
        <v/>
      </c>
      <c r="M102" s="17" t="str">
        <f>IF(OR(M$23="",ISNA($B102)),"",IF(ISBLANK($B102),"",IFERROR(_xll.BDP(TICKER,"DEEP_MEASURE_PERIOD_BROKER_VALUE","DEEP_MEASURE_ID_OVERRIDE",$C102,"DEEP_BROKER_ID_OVERRIDE",M$24,"DEEP_PERIOD_OVERRIDE",$H$19)*1,"")))</f>
        <v/>
      </c>
      <c r="N102" s="17" t="str">
        <f>IF(OR(N$23="",ISNA($B102)),"",IF(ISBLANK($B102),"",IFERROR(_xll.BDP(TICKER,"DEEP_MEASURE_PERIOD_BROKER_VALUE","DEEP_MEASURE_ID_OVERRIDE",$C102,"DEEP_BROKER_ID_OVERRIDE",N$24,"DEEP_PERIOD_OVERRIDE",$H$19)*1,"")))</f>
        <v/>
      </c>
      <c r="O102" s="17" t="str">
        <f>IF(OR(O$23="",ISNA($B102)),"",IF(ISBLANK($B102),"",IFERROR(_xll.BDP(TICKER,"DEEP_MEASURE_PERIOD_BROKER_VALUE","DEEP_MEASURE_ID_OVERRIDE",$C102,"DEEP_BROKER_ID_OVERRIDE",O$24,"DEEP_PERIOD_OVERRIDE",$H$19)*1,"")))</f>
        <v/>
      </c>
      <c r="P102" s="17" t="str">
        <f>IF(OR(P$23="",ISNA($B102)),"",IF(ISBLANK($B102),"",IFERROR(_xll.BDP(TICKER,"DEEP_MEASURE_PERIOD_BROKER_VALUE","DEEP_MEASURE_ID_OVERRIDE",$C102,"DEEP_BROKER_ID_OVERRIDE",P$24,"DEEP_PERIOD_OVERRIDE",$H$19)*1,"")))</f>
        <v/>
      </c>
      <c r="Q102" s="17" t="str">
        <f>IF(OR(Q$23="",ISNA($B102)),"",IF(ISBLANK($B102),"",IFERROR(_xll.BDP(TICKER,"DEEP_MEASURE_PERIOD_BROKER_VALUE","DEEP_MEASURE_ID_OVERRIDE",$C102,"DEEP_BROKER_ID_OVERRIDE",Q$24,"DEEP_PERIOD_OVERRIDE",$H$19)*1,"")))</f>
        <v/>
      </c>
      <c r="R102" s="17" t="str">
        <f>IF(OR(R$23="",ISNA($B102)),"",IF(ISBLANK($B102),"",IFERROR(_xll.BDP(TICKER,"DEEP_MEASURE_PERIOD_BROKER_VALUE","DEEP_MEASURE_ID_OVERRIDE",$C102,"DEEP_BROKER_ID_OVERRIDE",R$24,"DEEP_PERIOD_OVERRIDE",$H$19)*1,"")))</f>
        <v/>
      </c>
      <c r="S102" s="17" t="str">
        <f>IF(OR(S$23="",ISNA($B102)),"",IF(ISBLANK($B102),"",IFERROR(_xll.BDP(TICKER,"DEEP_MEASURE_PERIOD_BROKER_VALUE","DEEP_MEASURE_ID_OVERRIDE",$C102,"DEEP_BROKER_ID_OVERRIDE",S$24,"DEEP_PERIOD_OVERRIDE",$H$19)*1,"")))</f>
        <v/>
      </c>
      <c r="T102" s="17" t="str">
        <f>IF(OR(T$23="",ISNA($B102)),"",IF(ISBLANK($B102),"",IFERROR(_xll.BDP(TICKER,"DEEP_MEASURE_PERIOD_BROKER_VALUE","DEEP_MEASURE_ID_OVERRIDE",$C102,"DEEP_BROKER_ID_OVERRIDE",T$24,"DEEP_PERIOD_OVERRIDE",$H$19)*1,"")))</f>
        <v/>
      </c>
      <c r="U102" s="17" t="str">
        <f>IF(OR(U$23="",ISNA($B102)),"",IF(ISBLANK($B102),"",IFERROR(_xll.BDP(TICKER,"DEEP_MEASURE_PERIOD_BROKER_VALUE","DEEP_MEASURE_ID_OVERRIDE",$C102,"DEEP_BROKER_ID_OVERRIDE",U$24,"DEEP_PERIOD_OVERRIDE",$H$19)*1,"")))</f>
        <v/>
      </c>
      <c r="V102" s="17" t="str">
        <f>IF(OR(V$23="",ISNA($B102)),"",IF(ISBLANK($B102),"",IFERROR(_xll.BDP(TICKER,"DEEP_MEASURE_PERIOD_BROKER_VALUE","DEEP_MEASURE_ID_OVERRIDE",$C102,"DEEP_BROKER_ID_OVERRIDE",V$24,"DEEP_PERIOD_OVERRIDE",$H$19)*1,"")))</f>
        <v/>
      </c>
      <c r="W102" s="17" t="str">
        <f>IF(OR(W$23="",ISNA($B102)),"",IF(ISBLANK($B102),"",IFERROR(_xll.BDP(TICKER,"DEEP_MEASURE_PERIOD_BROKER_VALUE","DEEP_MEASURE_ID_OVERRIDE",$C102,"DEEP_BROKER_ID_OVERRIDE",W$24,"DEEP_PERIOD_OVERRIDE",$H$19)*1,"")))</f>
        <v/>
      </c>
      <c r="X102" s="17" t="str">
        <f>IF(OR(X$23="",ISNA($B102)),"",IF(ISBLANK($B102),"",IFERROR(_xll.BDP(TICKER,"DEEP_MEASURE_PERIOD_BROKER_VALUE","DEEP_MEASURE_ID_OVERRIDE",$C102,"DEEP_BROKER_ID_OVERRIDE",X$24,"DEEP_PERIOD_OVERRIDE",$H$19)*1,"")))</f>
        <v/>
      </c>
      <c r="Y102" s="17" t="str">
        <f>IF(OR(Y$23="",ISNA($B102)),"",IF(ISBLANK($B102),"",IFERROR(_xll.BDP(TICKER,"DEEP_MEASURE_PERIOD_BROKER_VALUE","DEEP_MEASURE_ID_OVERRIDE",$C102,"DEEP_BROKER_ID_OVERRIDE",Y$24,"DEEP_PERIOD_OVERRIDE",$H$19)*1,"")))</f>
        <v/>
      </c>
      <c r="Z102" s="17" t="str">
        <f>IF(OR(Z$23="",ISNA($B102)),"",IF(ISBLANK($B102),"",IFERROR(_xll.BDP(TICKER,"DEEP_MEASURE_PERIOD_BROKER_VALUE","DEEP_MEASURE_ID_OVERRIDE",$C102,"DEEP_BROKER_ID_OVERRIDE",Z$24,"DEEP_PERIOD_OVERRIDE",$H$19)*1,"")))</f>
        <v/>
      </c>
      <c r="AA102" s="17" t="str">
        <f>IF(OR(AA$23="",ISNA($B102)),"",IF(ISBLANK($B102),"",IFERROR(_xll.BDP(TICKER,"DEEP_MEASURE_PERIOD_BROKER_VALUE","DEEP_MEASURE_ID_OVERRIDE",$C102,"DEEP_BROKER_ID_OVERRIDE",AA$24,"DEEP_PERIOD_OVERRIDE",$H$19)*1,"")))</f>
        <v/>
      </c>
      <c r="AB102" s="17" t="str">
        <f>IF(OR(AB$23="",ISNA($B102)),"",IF(ISBLANK($B102),"",IFERROR(_xll.BDP(TICKER,"DEEP_MEASURE_PERIOD_BROKER_VALUE","DEEP_MEASURE_ID_OVERRIDE",$C102,"DEEP_BROKER_ID_OVERRIDE",AB$24,"DEEP_PERIOD_OVERRIDE",$H$19)*1,"")))</f>
        <v/>
      </c>
      <c r="AC102" s="17" t="str">
        <f>IF(OR(AC$23="",ISNA($B102)),"",IF(ISBLANK($B102),"",IFERROR(_xll.BDP(TICKER,"DEEP_MEASURE_PERIOD_BROKER_VALUE","DEEP_MEASURE_ID_OVERRIDE",$C102,"DEEP_BROKER_ID_OVERRIDE",AC$24,"DEEP_PERIOD_OVERRIDE",$H$19)*1,"")))</f>
        <v/>
      </c>
      <c r="AD102" s="17" t="str">
        <f>IF(OR(AD$23="",ISNA($B102)),"",IF(ISBLANK($B102),"",IFERROR(_xll.BDP(TICKER,"DEEP_MEASURE_PERIOD_BROKER_VALUE","DEEP_MEASURE_ID_OVERRIDE",$C102,"DEEP_BROKER_ID_OVERRIDE",AD$24,"DEEP_PERIOD_OVERRIDE",$H$19)*1,"")))</f>
        <v/>
      </c>
      <c r="AE102" s="17" t="str">
        <f>IF(OR(AE$23="",ISNA($B102)),"",IF(ISBLANK($B102),"",IFERROR(_xll.BDP(TICKER,"DEEP_MEASURE_PERIOD_BROKER_VALUE","DEEP_MEASURE_ID_OVERRIDE",$C102,"DEEP_BROKER_ID_OVERRIDE",AE$24,"DEEP_PERIOD_OVERRIDE",$H$19)*1,"")))</f>
        <v/>
      </c>
      <c r="AF102" s="17" t="str">
        <f>IF(OR(AF$23="",ISNA($B102)),"",IF(ISBLANK($B102),"",IFERROR(_xll.BDP(TICKER,"DEEP_MEASURE_PERIOD_BROKER_VALUE","DEEP_MEASURE_ID_OVERRIDE",$C102,"DEEP_BROKER_ID_OVERRIDE",AF$24,"DEEP_PERIOD_OVERRIDE",$H$19)*1,"")))</f>
        <v/>
      </c>
      <c r="AG102" s="17" t="str">
        <f>IF(OR(AG$23="",ISNA($B102)),"",IF(ISBLANK($B102),"",IFERROR(_xll.BDP(TICKER,"DEEP_MEASURE_PERIOD_BROKER_VALUE","DEEP_MEASURE_ID_OVERRIDE",$C102,"DEEP_BROKER_ID_OVERRIDE",AG$24,"DEEP_PERIOD_OVERRIDE",$H$19)*1,"")))</f>
        <v/>
      </c>
      <c r="AH102" s="17" t="str">
        <f>IF(OR(AH$23="",ISNA($B102)),"",IF(ISBLANK($B102),"",IFERROR(_xll.BDP(TICKER,"DEEP_MEASURE_PERIOD_BROKER_VALUE","DEEP_MEASURE_ID_OVERRIDE",$C102,"DEEP_BROKER_ID_OVERRIDE",AH$24,"DEEP_PERIOD_OVERRIDE",$H$19)*1,"")))</f>
        <v/>
      </c>
      <c r="AI102" s="17" t="str">
        <f>IF(OR(AI$23="",ISNA($B102)),"",IF(ISBLANK($B102),"",IFERROR(_xll.BDP(TICKER,"DEEP_MEASURE_PERIOD_BROKER_VALUE","DEEP_MEASURE_ID_OVERRIDE",$C102,"DEEP_BROKER_ID_OVERRIDE",AI$24,"DEEP_PERIOD_OVERRIDE",$H$19)*1,"")))</f>
        <v/>
      </c>
      <c r="AJ102" s="17" t="str">
        <f>IF(OR(AJ$23="",ISNA($B102)),"",IF(ISBLANK($B102),"",IFERROR(_xll.BDP(TICKER,"DEEP_MEASURE_PERIOD_BROKER_VALUE","DEEP_MEASURE_ID_OVERRIDE",$C102,"DEEP_BROKER_ID_OVERRIDE",AJ$24,"DEEP_PERIOD_OVERRIDE",$H$19)*1,"")))</f>
        <v/>
      </c>
      <c r="AK102" s="17" t="str">
        <f>IF(OR(AK$23="",ISNA($B102)),"",IF(ISBLANK($B102),"",IFERROR(_xll.BDP(TICKER,"DEEP_MEASURE_PERIOD_BROKER_VALUE","DEEP_MEASURE_ID_OVERRIDE",$C102,"DEEP_BROKER_ID_OVERRIDE",AK$24,"DEEP_PERIOD_OVERRIDE",$H$19)*1,"")))</f>
        <v/>
      </c>
      <c r="AL102" s="17" t="str">
        <f>IF(OR(AL$23="",ISNA($B102)),"",IF(ISBLANK($B102),"",IFERROR(_xll.BDP(TICKER,"DEEP_MEASURE_PERIOD_BROKER_VALUE","DEEP_MEASURE_ID_OVERRIDE",$C102,"DEEP_BROKER_ID_OVERRIDE",AL$24,"DEEP_PERIOD_OVERRIDE",$H$19)*1,"")))</f>
        <v/>
      </c>
      <c r="AM102" s="17" t="str">
        <f>IF(OR(AM$23="",ISNA($B102)),"",IF(ISBLANK($B102),"",IFERROR(_xll.BDP(TICKER,"DEEP_MEASURE_PERIOD_BROKER_VALUE","DEEP_MEASURE_ID_OVERRIDE",$C102,"DEEP_BROKER_ID_OVERRIDE",AM$24,"DEEP_PERIOD_OVERRIDE",$H$19)*1,"")))</f>
        <v/>
      </c>
      <c r="AN102" s="17" t="str">
        <f>IF(OR(AN$23="",ISNA($B102)),"",IF(ISBLANK($B102),"",IFERROR(_xll.BDP(TICKER,"DEEP_MEASURE_PERIOD_BROKER_VALUE","DEEP_MEASURE_ID_OVERRIDE",$C102,"DEEP_BROKER_ID_OVERRIDE",AN$24,"DEEP_PERIOD_OVERRIDE",$H$19)*1,"")))</f>
        <v/>
      </c>
      <c r="AO102" s="17" t="str">
        <f>IF(OR(AO$23="",ISNA($B102)),"",IF(ISBLANK($B102),"",IFERROR(_xll.BDP(TICKER,"DEEP_MEASURE_PERIOD_BROKER_VALUE","DEEP_MEASURE_ID_OVERRIDE",$C102,"DEEP_BROKER_ID_OVERRIDE",AO$24,"DEEP_PERIOD_OVERRIDE",$H$19)*1,"")))</f>
        <v/>
      </c>
      <c r="AP102" s="17" t="str">
        <f>IF(OR(AP$23="",ISNA($B102)),"",IF(ISBLANK($B102),"",IFERROR(_xll.BDP(TICKER,"DEEP_MEASURE_PERIOD_BROKER_VALUE","DEEP_MEASURE_ID_OVERRIDE",$C102,"DEEP_BROKER_ID_OVERRIDE",AP$24,"DEEP_PERIOD_OVERRIDE",$H$19)*1,"")))</f>
        <v/>
      </c>
      <c r="AQ102" s="17" t="str">
        <f>IF(OR(AQ$23="",ISNA($B102)),"",IF(ISBLANK($B102),"",IFERROR(_xll.BDP(TICKER,"DEEP_MEASURE_PERIOD_BROKER_VALUE","DEEP_MEASURE_ID_OVERRIDE",$C102,"DEEP_BROKER_ID_OVERRIDE",AQ$24,"DEEP_PERIOD_OVERRIDE",$H$19)*1,"")))</f>
        <v/>
      </c>
      <c r="AR102" s="17" t="str">
        <f>IF(OR(AR$23="",ISNA($B102)),"",IF(ISBLANK($B102),"",IFERROR(_xll.BDP(TICKER,"DEEP_MEASURE_PERIOD_BROKER_VALUE","DEEP_MEASURE_ID_OVERRIDE",$C102,"DEEP_BROKER_ID_OVERRIDE",AR$24,"DEEP_PERIOD_OVERRIDE",$H$19)*1,"")))</f>
        <v/>
      </c>
      <c r="AS102" s="17" t="str">
        <f>IF(OR(AS$23="",ISNA($B102)),"",IF(ISBLANK($B102),"",IFERROR(_xll.BDP(TICKER,"DEEP_MEASURE_PERIOD_BROKER_VALUE","DEEP_MEASURE_ID_OVERRIDE",$C102,"DEEP_BROKER_ID_OVERRIDE",AS$24,"DEEP_PERIOD_OVERRIDE",$H$19)*1,"")))</f>
        <v/>
      </c>
      <c r="AT102" s="17" t="str">
        <f>IF(OR(AT$23="",ISNA($B102)),"",IF(ISBLANK($B102),"",IFERROR(_xll.BDP(TICKER,"DEEP_MEASURE_PERIOD_BROKER_VALUE","DEEP_MEASURE_ID_OVERRIDE",$C102,"DEEP_BROKER_ID_OVERRIDE",AT$24,"DEEP_PERIOD_OVERRIDE",$H$19)*1,"")))</f>
        <v/>
      </c>
      <c r="AU102" s="17" t="str">
        <f>IF(OR(AU$23="",ISNA($B102)),"",IF(ISBLANK($B102),"",IFERROR(_xll.BDP(TICKER,"DEEP_MEASURE_PERIOD_BROKER_VALUE","DEEP_MEASURE_ID_OVERRIDE",$C102,"DEEP_BROKER_ID_OVERRIDE",AU$24,"DEEP_PERIOD_OVERRIDE",$H$19)*1,"")))</f>
        <v/>
      </c>
      <c r="AV102" s="17" t="str">
        <f>IF(OR(AV$23="",ISNA($B102)),"",IF(ISBLANK($B102),"",IFERROR(_xll.BDP(TICKER,"DEEP_MEASURE_PERIOD_BROKER_VALUE","DEEP_MEASURE_ID_OVERRIDE",$C102,"DEEP_BROKER_ID_OVERRIDE",AV$24,"DEEP_PERIOD_OVERRIDE",$H$19)*1,"")))</f>
        <v/>
      </c>
      <c r="AW102" s="17" t="str">
        <f>IF(OR(AW$23="",ISNA($B102)),"",IF(ISBLANK($B102),"",IFERROR(_xll.BDP(TICKER,"DEEP_MEASURE_PERIOD_BROKER_VALUE","DEEP_MEASURE_ID_OVERRIDE",$C102,"DEEP_BROKER_ID_OVERRIDE",AW$24,"DEEP_PERIOD_OVERRIDE",$H$19)*1,"")))</f>
        <v/>
      </c>
      <c r="AX102" s="17" t="str">
        <f>IF(OR(AX$23="",ISNA($B102)),"",IF(ISBLANK($B102),"",IFERROR(_xll.BDP(TICKER,"DEEP_MEASURE_PERIOD_BROKER_VALUE","DEEP_MEASURE_ID_OVERRIDE",$C102,"DEEP_BROKER_ID_OVERRIDE",AX$24,"DEEP_PERIOD_OVERRIDE",$H$19)*1,"")))</f>
        <v/>
      </c>
      <c r="AY102" s="17" t="str">
        <f>IF(OR(AY$23="",ISNA($B102)),"",IF(ISBLANK($B102),"",IFERROR(_xll.BDP(TICKER,"DEEP_MEASURE_PERIOD_BROKER_VALUE","DEEP_MEASURE_ID_OVERRIDE",$C102,"DEEP_BROKER_ID_OVERRIDE",AY$24,"DEEP_PERIOD_OVERRIDE",$H$19)*1,"")))</f>
        <v/>
      </c>
      <c r="AZ102" s="17" t="str">
        <f>IF(OR(AZ$23="",ISNA($B102)),"",IF(ISBLANK($B102),"",IFERROR(_xll.BDP(TICKER,"DEEP_MEASURE_PERIOD_BROKER_VALUE","DEEP_MEASURE_ID_OVERRIDE",$C102,"DEEP_BROKER_ID_OVERRIDE",AZ$24,"DEEP_PERIOD_OVERRIDE",$H$19)*1,"")))</f>
        <v/>
      </c>
      <c r="BA102" s="17" t="str">
        <f>IF(OR(BA$23="",ISNA($B102)),"",IF(ISBLANK($B102),"",IFERROR(_xll.BDP(TICKER,"DEEP_MEASURE_PERIOD_BROKER_VALUE","DEEP_MEASURE_ID_OVERRIDE",$C102,"DEEP_BROKER_ID_OVERRIDE",BA$24,"DEEP_PERIOD_OVERRIDE",$H$19)*1,"")))</f>
        <v/>
      </c>
      <c r="BB102" s="17" t="str">
        <f>IF(OR(BB$23="",ISNA($B102)),"",IF(ISBLANK($B102),"",IFERROR(_xll.BDP(TICKER,"DEEP_MEASURE_PERIOD_BROKER_VALUE","DEEP_MEASURE_ID_OVERRIDE",$C102,"DEEP_BROKER_ID_OVERRIDE",BB$24,"DEEP_PERIOD_OVERRIDE",$H$19)*1,"")))</f>
        <v/>
      </c>
      <c r="BC102" s="17" t="str">
        <f>IF(OR(BC$23="",ISNA($B102)),"",IF(ISBLANK($B102),"",IFERROR(_xll.BDP(TICKER,"DEEP_MEASURE_PERIOD_BROKER_VALUE","DEEP_MEASURE_ID_OVERRIDE",$C102,"DEEP_BROKER_ID_OVERRIDE",BC$24,"DEEP_PERIOD_OVERRIDE",$H$19)*1,"")))</f>
        <v/>
      </c>
      <c r="BD102" s="17" t="str">
        <f>IF(OR(BD$23="",ISNA($B102)),"",IF(ISBLANK($B102),"",IFERROR(_xll.BDP(TICKER,"DEEP_MEASURE_PERIOD_BROKER_VALUE","DEEP_MEASURE_ID_OVERRIDE",$C102,"DEEP_BROKER_ID_OVERRIDE",BD$24,"DEEP_PERIOD_OVERRIDE",$H$19)*1,"")))</f>
        <v/>
      </c>
      <c r="BE102" s="17" t="str">
        <f>IF(OR(BE$23="",ISNA($B102)),"",IF(ISBLANK($B102),"",IFERROR(_xll.BDP(TICKER,"DEEP_MEASURE_PERIOD_BROKER_VALUE","DEEP_MEASURE_ID_OVERRIDE",$C102,"DEEP_BROKER_ID_OVERRIDE",BE$24,"DEEP_PERIOD_OVERRIDE",$H$19)*1,"")))</f>
        <v/>
      </c>
      <c r="BF102" s="17" t="str">
        <f>IF(OR(BF$23="",ISNA($B102)),"",IF(ISBLANK($B102),"",IFERROR(_xll.BDP(TICKER,"DEEP_MEASURE_PERIOD_BROKER_VALUE","DEEP_MEASURE_ID_OVERRIDE",$C102,"DEEP_BROKER_ID_OVERRIDE",BF$24,"DEEP_PERIOD_OVERRIDE",$H$19)*1,"")))</f>
        <v/>
      </c>
      <c r="BG102" s="17" t="str">
        <f>IF(OR(BG$23="",ISNA($B102)),"",IF(ISBLANK($B102),"",IFERROR(_xll.BDP(TICKER,"DEEP_MEASURE_PERIOD_BROKER_VALUE","DEEP_MEASURE_ID_OVERRIDE",$C102,"DEEP_BROKER_ID_OVERRIDE",BG$24,"DEEP_PERIOD_OVERRIDE",$H$19)*1,"")))</f>
        <v/>
      </c>
      <c r="BH102" s="17" t="str">
        <f>IF(OR(BH$23="",ISNA($B102)),"",IF(ISBLANK($B102),"",IFERROR(_xll.BDP(TICKER,"DEEP_MEASURE_PERIOD_BROKER_VALUE","DEEP_MEASURE_ID_OVERRIDE",$C102,"DEEP_BROKER_ID_OVERRIDE",BH$24,"DEEP_PERIOD_OVERRIDE",$H$19)*1,"")))</f>
        <v/>
      </c>
      <c r="BI102" s="17" t="str">
        <f>IF(OR(BI$23="",ISNA($B102)),"",IF(ISBLANK($B102),"",IFERROR(_xll.BDP(TICKER,"DEEP_MEASURE_PERIOD_BROKER_VALUE","DEEP_MEASURE_ID_OVERRIDE",$C102,"DEEP_BROKER_ID_OVERRIDE",BI$24,"DEEP_PERIOD_OVERRIDE",$H$19)*1,"")))</f>
        <v/>
      </c>
      <c r="BJ102" s="17" t="str">
        <f>IF(OR(BJ$23="",ISNA($B102)),"",IF(ISBLANK($B102),"",IFERROR(_xll.BDP(TICKER,"DEEP_MEASURE_PERIOD_BROKER_VALUE","DEEP_MEASURE_ID_OVERRIDE",$C102,"DEEP_BROKER_ID_OVERRIDE",BJ$24,"DEEP_PERIOD_OVERRIDE",$H$19)*1,"")))</f>
        <v/>
      </c>
      <c r="BK102" s="17" t="str">
        <f>IF(OR(BK$23="",ISNA($B102)),"",IF(ISBLANK($B102),"",IFERROR(_xll.BDP(TICKER,"DEEP_MEASURE_PERIOD_BROKER_VALUE","DEEP_MEASURE_ID_OVERRIDE",$C102,"DEEP_BROKER_ID_OVERRIDE",BK$24,"DEEP_PERIOD_OVERRIDE",$H$19)*1,"")))</f>
        <v/>
      </c>
      <c r="BL102" s="17" t="str">
        <f>IF(OR(BL$23="",ISNA($B102)),"",IF(ISBLANK($B102),"",IFERROR(_xll.BDP(TICKER,"DEEP_MEASURE_PERIOD_BROKER_VALUE","DEEP_MEASURE_ID_OVERRIDE",$C102,"DEEP_BROKER_ID_OVERRIDE",BL$24,"DEEP_PERIOD_OVERRIDE",$H$19)*1,"")))</f>
        <v/>
      </c>
      <c r="BM102" s="17" t="str">
        <f>IF(OR(BM$23="",ISNA($B102)),"",IF(ISBLANK($B102),"",IFERROR(_xll.BDP(TICKER,"DEEP_MEASURE_PERIOD_BROKER_VALUE","DEEP_MEASURE_ID_OVERRIDE",$C102,"DEEP_BROKER_ID_OVERRIDE",BM$24,"DEEP_PERIOD_OVERRIDE",$H$19)*1,"")))</f>
        <v/>
      </c>
      <c r="BN102" s="17" t="str">
        <f>IF(OR(BN$23="",ISNA($B102)),"",IF(ISBLANK($B102),"",IFERROR(_xll.BDP(TICKER,"DEEP_MEASURE_PERIOD_BROKER_VALUE","DEEP_MEASURE_ID_OVERRIDE",$C102,"DEEP_BROKER_ID_OVERRIDE",BN$24,"DEEP_PERIOD_OVERRIDE",$H$19)*1,"")))</f>
        <v/>
      </c>
      <c r="BO102" s="17" t="str">
        <f>IF(OR(BO$23="",ISNA($B102)),"",IF(ISBLANK($B102),"",IFERROR(_xll.BDP(TICKER,"DEEP_MEASURE_PERIOD_BROKER_VALUE","DEEP_MEASURE_ID_OVERRIDE",$C102,"DEEP_BROKER_ID_OVERRIDE",BO$24,"DEEP_PERIOD_OVERRIDE",$H$19)*1,"")))</f>
        <v/>
      </c>
      <c r="BP102" s="17" t="str">
        <f>IF(OR(BP$23="",ISNA($B102)),"",IF(ISBLANK($B102),"",IFERROR(_xll.BDP(TICKER,"DEEP_MEASURE_PERIOD_BROKER_VALUE","DEEP_MEASURE_ID_OVERRIDE",$C102,"DEEP_BROKER_ID_OVERRIDE",BP$24,"DEEP_PERIOD_OVERRIDE",$H$19)*1,"")))</f>
        <v/>
      </c>
      <c r="BQ102" s="17" t="str">
        <f>IF(OR(BQ$23="",ISNA($B102)),"",IF(ISBLANK($B102),"",IFERROR(_xll.BDP(TICKER,"DEEP_MEASURE_PERIOD_BROKER_VALUE","DEEP_MEASURE_ID_OVERRIDE",$C102,"DEEP_BROKER_ID_OVERRIDE",BQ$24,"DEEP_PERIOD_OVERRIDE",$H$19)*1,"")))</f>
        <v/>
      </c>
      <c r="BR102" s="17" t="str">
        <f>IF(OR(BR$23="",ISNA($B102)),"",IF(ISBLANK($B102),"",IFERROR(_xll.BDP(TICKER,"DEEP_MEASURE_PERIOD_BROKER_VALUE","DEEP_MEASURE_ID_OVERRIDE",$C102,"DEEP_BROKER_ID_OVERRIDE",BR$24,"DEEP_PERIOD_OVERRIDE",$H$19)*1,"")))</f>
        <v/>
      </c>
      <c r="BS102" s="17" t="str">
        <f>IF(OR(BS$23="",ISNA($B102)),"",IF(ISBLANK($B102),"",IFERROR(_xll.BDP(TICKER,"DEEP_MEASURE_PERIOD_BROKER_VALUE","DEEP_MEASURE_ID_OVERRIDE",$C102,"DEEP_BROKER_ID_OVERRIDE",BS$24,"DEEP_PERIOD_OVERRIDE",$H$19)*1,"")))</f>
        <v/>
      </c>
      <c r="BT102" s="17" t="str">
        <f>IF(OR(BT$23="",ISNA($B102)),"",IF(ISBLANK($B102),"",IFERROR(_xll.BDP(TICKER,"DEEP_MEASURE_PERIOD_BROKER_VALUE","DEEP_MEASURE_ID_OVERRIDE",$C102,"DEEP_BROKER_ID_OVERRIDE",BT$24,"DEEP_PERIOD_OVERRIDE",$H$19)*1,"")))</f>
        <v/>
      </c>
      <c r="BU102" s="17" t="str">
        <f>IF(OR(BU$23="",ISNA($B102)),"",IF(ISBLANK($B102),"",IFERROR(_xll.BDP(TICKER,"DEEP_MEASURE_PERIOD_BROKER_VALUE","DEEP_MEASURE_ID_OVERRIDE",$C102,"DEEP_BROKER_ID_OVERRIDE",BU$24,"DEEP_PERIOD_OVERRIDE",$H$19)*1,"")))</f>
        <v/>
      </c>
      <c r="BV102" s="17" t="str">
        <f>IF(OR(BV$23="",ISNA($B102)),"",IF(ISBLANK($B102),"",IFERROR(_xll.BDP(TICKER,"DEEP_MEASURE_PERIOD_BROKER_VALUE","DEEP_MEASURE_ID_OVERRIDE",$C102,"DEEP_BROKER_ID_OVERRIDE",BV$24,"DEEP_PERIOD_OVERRIDE",$H$19)*1,"")))</f>
        <v/>
      </c>
      <c r="BW102" s="17" t="str">
        <f>IF(OR(BW$23="",ISNA($B102)),"",IF(ISBLANK($B102),"",IFERROR(_xll.BDP(TICKER,"DEEP_MEASURE_PERIOD_BROKER_VALUE","DEEP_MEASURE_ID_OVERRIDE",$C102,"DEEP_BROKER_ID_OVERRIDE",BW$24,"DEEP_PERIOD_OVERRIDE",$H$19)*1,"")))</f>
        <v/>
      </c>
      <c r="BX102" s="17" t="str">
        <f>IF(OR(BX$23="",ISNA($B102)),"",IF(ISBLANK($B102),"",IFERROR(_xll.BDP(TICKER,"DEEP_MEASURE_PERIOD_BROKER_VALUE","DEEP_MEASURE_ID_OVERRIDE",$C102,"DEEP_BROKER_ID_OVERRIDE",BX$24,"DEEP_PERIOD_OVERRIDE",$H$19)*1,"")))</f>
        <v/>
      </c>
      <c r="BY102" s="17" t="str">
        <f>IF(OR(BY$23="",ISNA($B102)),"",IF(ISBLANK($B102),"",IFERROR(_xll.BDP(TICKER,"DEEP_MEASURE_PERIOD_BROKER_VALUE","DEEP_MEASURE_ID_OVERRIDE",$C102,"DEEP_BROKER_ID_OVERRIDE",BY$24,"DEEP_PERIOD_OVERRIDE",$H$19)*1,"")))</f>
        <v/>
      </c>
      <c r="BZ102" s="17" t="str">
        <f>IF(OR(BZ$23="",ISNA($B102)),"",IF(ISBLANK($B102),"",IFERROR(_xll.BDP(TICKER,"DEEP_MEASURE_PERIOD_BROKER_VALUE","DEEP_MEASURE_ID_OVERRIDE",$C102,"DEEP_BROKER_ID_OVERRIDE",BZ$24,"DEEP_PERIOD_OVERRIDE",$H$19)*1,"")))</f>
        <v/>
      </c>
    </row>
    <row r="103" spans="2:78" x14ac:dyDescent="0.25">
      <c r="B103" t="s">
        <v>143</v>
      </c>
      <c r="C103">
        <v>530</v>
      </c>
      <c r="H103" t="str">
        <f t="shared" si="2"/>
        <v>Sales &amp; Marketing Expenses &gt; Selling &amp; Marketing Expense (ex-SBC)</v>
      </c>
      <c r="I103" t="str">
        <f>IF(OR(I$23="",ISNA($B103)),"",IF(ISBLANK($B103),"",IFERROR(_xll.BDP(TICKER,"DEEP_MEASURE_PERIOD_BROKER_VALUE","DEEP_MEASURE_ID_OVERRIDE",$C103,"DEEP_PERIOD_OVERRIDE",$H$19)*1,"")))</f>
        <v/>
      </c>
      <c r="J103" t="e">
        <f>IF(OR(J$23="",ISNA($B103)),"",IF(ISBLANK($B103),"",IFERROR(_xll.BDP(TICKER,"DEEP_MEASURE_PERIOD_BROKER_VALUE","DEEP_MEASURE_ID_OVERRIDE",$C103,"DEEP_BROKER_ID_OVERRIDE",J$24,"DEEP_PERIOD_OVERRIDE",$H$19)*1,"")))</f>
        <v>#REF!</v>
      </c>
      <c r="K103" s="17" t="str">
        <f>IF(OR(K$23="",ISNA($B103)),"",IF(ISBLANK($B103),"",IFERROR(_xll.BDP(TICKER,"DEEP_MEASURE_PERIOD_BROKER_VALUE","DEEP_MEASURE_ID_OVERRIDE",$C103,"DEEP_BROKER_ID_OVERRIDE",K$24,"DEEP_PERIOD_OVERRIDE",$H$19)*1,"")))</f>
        <v/>
      </c>
      <c r="L103" s="17" t="str">
        <f>IF(OR(L$23="",ISNA($B103)),"",IF(ISBLANK($B103),"",IFERROR(_xll.BDP(TICKER,"DEEP_MEASURE_PERIOD_BROKER_VALUE","DEEP_MEASURE_ID_OVERRIDE",$C103,"DEEP_BROKER_ID_OVERRIDE",L$24,"DEEP_PERIOD_OVERRIDE",$H$19)*1,"")))</f>
        <v/>
      </c>
      <c r="M103" s="17" t="str">
        <f>IF(OR(M$23="",ISNA($B103)),"",IF(ISBLANK($B103),"",IFERROR(_xll.BDP(TICKER,"DEEP_MEASURE_PERIOD_BROKER_VALUE","DEEP_MEASURE_ID_OVERRIDE",$C103,"DEEP_BROKER_ID_OVERRIDE",M$24,"DEEP_PERIOD_OVERRIDE",$H$19)*1,"")))</f>
        <v/>
      </c>
      <c r="N103" s="17" t="str">
        <f>IF(OR(N$23="",ISNA($B103)),"",IF(ISBLANK($B103),"",IFERROR(_xll.BDP(TICKER,"DEEP_MEASURE_PERIOD_BROKER_VALUE","DEEP_MEASURE_ID_OVERRIDE",$C103,"DEEP_BROKER_ID_OVERRIDE",N$24,"DEEP_PERIOD_OVERRIDE",$H$19)*1,"")))</f>
        <v/>
      </c>
      <c r="O103" s="17" t="str">
        <f>IF(OR(O$23="",ISNA($B103)),"",IF(ISBLANK($B103),"",IFERROR(_xll.BDP(TICKER,"DEEP_MEASURE_PERIOD_BROKER_VALUE","DEEP_MEASURE_ID_OVERRIDE",$C103,"DEEP_BROKER_ID_OVERRIDE",O$24,"DEEP_PERIOD_OVERRIDE",$H$19)*1,"")))</f>
        <v/>
      </c>
      <c r="P103" s="17" t="str">
        <f>IF(OR(P$23="",ISNA($B103)),"",IF(ISBLANK($B103),"",IFERROR(_xll.BDP(TICKER,"DEEP_MEASURE_PERIOD_BROKER_VALUE","DEEP_MEASURE_ID_OVERRIDE",$C103,"DEEP_BROKER_ID_OVERRIDE",P$24,"DEEP_PERIOD_OVERRIDE",$H$19)*1,"")))</f>
        <v/>
      </c>
      <c r="Q103" s="17" t="str">
        <f>IF(OR(Q$23="",ISNA($B103)),"",IF(ISBLANK($B103),"",IFERROR(_xll.BDP(TICKER,"DEEP_MEASURE_PERIOD_BROKER_VALUE","DEEP_MEASURE_ID_OVERRIDE",$C103,"DEEP_BROKER_ID_OVERRIDE",Q$24,"DEEP_PERIOD_OVERRIDE",$H$19)*1,"")))</f>
        <v/>
      </c>
      <c r="R103" s="17" t="str">
        <f>IF(OR(R$23="",ISNA($B103)),"",IF(ISBLANK($B103),"",IFERROR(_xll.BDP(TICKER,"DEEP_MEASURE_PERIOD_BROKER_VALUE","DEEP_MEASURE_ID_OVERRIDE",$C103,"DEEP_BROKER_ID_OVERRIDE",R$24,"DEEP_PERIOD_OVERRIDE",$H$19)*1,"")))</f>
        <v/>
      </c>
      <c r="S103" s="17" t="str">
        <f>IF(OR(S$23="",ISNA($B103)),"",IF(ISBLANK($B103),"",IFERROR(_xll.BDP(TICKER,"DEEP_MEASURE_PERIOD_BROKER_VALUE","DEEP_MEASURE_ID_OVERRIDE",$C103,"DEEP_BROKER_ID_OVERRIDE",S$24,"DEEP_PERIOD_OVERRIDE",$H$19)*1,"")))</f>
        <v/>
      </c>
      <c r="T103" s="17" t="str">
        <f>IF(OR(T$23="",ISNA($B103)),"",IF(ISBLANK($B103),"",IFERROR(_xll.BDP(TICKER,"DEEP_MEASURE_PERIOD_BROKER_VALUE","DEEP_MEASURE_ID_OVERRIDE",$C103,"DEEP_BROKER_ID_OVERRIDE",T$24,"DEEP_PERIOD_OVERRIDE",$H$19)*1,"")))</f>
        <v/>
      </c>
      <c r="U103" s="17" t="str">
        <f>IF(OR(U$23="",ISNA($B103)),"",IF(ISBLANK($B103),"",IFERROR(_xll.BDP(TICKER,"DEEP_MEASURE_PERIOD_BROKER_VALUE","DEEP_MEASURE_ID_OVERRIDE",$C103,"DEEP_BROKER_ID_OVERRIDE",U$24,"DEEP_PERIOD_OVERRIDE",$H$19)*1,"")))</f>
        <v/>
      </c>
      <c r="V103" s="17" t="str">
        <f>IF(OR(V$23="",ISNA($B103)),"",IF(ISBLANK($B103),"",IFERROR(_xll.BDP(TICKER,"DEEP_MEASURE_PERIOD_BROKER_VALUE","DEEP_MEASURE_ID_OVERRIDE",$C103,"DEEP_BROKER_ID_OVERRIDE",V$24,"DEEP_PERIOD_OVERRIDE",$H$19)*1,"")))</f>
        <v/>
      </c>
      <c r="W103" s="17" t="str">
        <f>IF(OR(W$23="",ISNA($B103)),"",IF(ISBLANK($B103),"",IFERROR(_xll.BDP(TICKER,"DEEP_MEASURE_PERIOD_BROKER_VALUE","DEEP_MEASURE_ID_OVERRIDE",$C103,"DEEP_BROKER_ID_OVERRIDE",W$24,"DEEP_PERIOD_OVERRIDE",$H$19)*1,"")))</f>
        <v/>
      </c>
      <c r="X103" s="17" t="str">
        <f>IF(OR(X$23="",ISNA($B103)),"",IF(ISBLANK($B103),"",IFERROR(_xll.BDP(TICKER,"DEEP_MEASURE_PERIOD_BROKER_VALUE","DEEP_MEASURE_ID_OVERRIDE",$C103,"DEEP_BROKER_ID_OVERRIDE",X$24,"DEEP_PERIOD_OVERRIDE",$H$19)*1,"")))</f>
        <v/>
      </c>
      <c r="Y103" s="17" t="str">
        <f>IF(OR(Y$23="",ISNA($B103)),"",IF(ISBLANK($B103),"",IFERROR(_xll.BDP(TICKER,"DEEP_MEASURE_PERIOD_BROKER_VALUE","DEEP_MEASURE_ID_OVERRIDE",$C103,"DEEP_BROKER_ID_OVERRIDE",Y$24,"DEEP_PERIOD_OVERRIDE",$H$19)*1,"")))</f>
        <v/>
      </c>
      <c r="Z103" s="17" t="str">
        <f>IF(OR(Z$23="",ISNA($B103)),"",IF(ISBLANK($B103),"",IFERROR(_xll.BDP(TICKER,"DEEP_MEASURE_PERIOD_BROKER_VALUE","DEEP_MEASURE_ID_OVERRIDE",$C103,"DEEP_BROKER_ID_OVERRIDE",Z$24,"DEEP_PERIOD_OVERRIDE",$H$19)*1,"")))</f>
        <v/>
      </c>
      <c r="AA103" s="17" t="str">
        <f>IF(OR(AA$23="",ISNA($B103)),"",IF(ISBLANK($B103),"",IFERROR(_xll.BDP(TICKER,"DEEP_MEASURE_PERIOD_BROKER_VALUE","DEEP_MEASURE_ID_OVERRIDE",$C103,"DEEP_BROKER_ID_OVERRIDE",AA$24,"DEEP_PERIOD_OVERRIDE",$H$19)*1,"")))</f>
        <v/>
      </c>
      <c r="AB103" s="17" t="str">
        <f>IF(OR(AB$23="",ISNA($B103)),"",IF(ISBLANK($B103),"",IFERROR(_xll.BDP(TICKER,"DEEP_MEASURE_PERIOD_BROKER_VALUE","DEEP_MEASURE_ID_OVERRIDE",$C103,"DEEP_BROKER_ID_OVERRIDE",AB$24,"DEEP_PERIOD_OVERRIDE",$H$19)*1,"")))</f>
        <v/>
      </c>
      <c r="AC103" s="17" t="str">
        <f>IF(OR(AC$23="",ISNA($B103)),"",IF(ISBLANK($B103),"",IFERROR(_xll.BDP(TICKER,"DEEP_MEASURE_PERIOD_BROKER_VALUE","DEEP_MEASURE_ID_OVERRIDE",$C103,"DEEP_BROKER_ID_OVERRIDE",AC$24,"DEEP_PERIOD_OVERRIDE",$H$19)*1,"")))</f>
        <v/>
      </c>
      <c r="AD103" s="17" t="str">
        <f>IF(OR(AD$23="",ISNA($B103)),"",IF(ISBLANK($B103),"",IFERROR(_xll.BDP(TICKER,"DEEP_MEASURE_PERIOD_BROKER_VALUE","DEEP_MEASURE_ID_OVERRIDE",$C103,"DEEP_BROKER_ID_OVERRIDE",AD$24,"DEEP_PERIOD_OVERRIDE",$H$19)*1,"")))</f>
        <v/>
      </c>
      <c r="AE103" s="17" t="str">
        <f>IF(OR(AE$23="",ISNA($B103)),"",IF(ISBLANK($B103),"",IFERROR(_xll.BDP(TICKER,"DEEP_MEASURE_PERIOD_BROKER_VALUE","DEEP_MEASURE_ID_OVERRIDE",$C103,"DEEP_BROKER_ID_OVERRIDE",AE$24,"DEEP_PERIOD_OVERRIDE",$H$19)*1,"")))</f>
        <v/>
      </c>
      <c r="AF103" s="17" t="str">
        <f>IF(OR(AF$23="",ISNA($B103)),"",IF(ISBLANK($B103),"",IFERROR(_xll.BDP(TICKER,"DEEP_MEASURE_PERIOD_BROKER_VALUE","DEEP_MEASURE_ID_OVERRIDE",$C103,"DEEP_BROKER_ID_OVERRIDE",AF$24,"DEEP_PERIOD_OVERRIDE",$H$19)*1,"")))</f>
        <v/>
      </c>
      <c r="AG103" s="17" t="str">
        <f>IF(OR(AG$23="",ISNA($B103)),"",IF(ISBLANK($B103),"",IFERROR(_xll.BDP(TICKER,"DEEP_MEASURE_PERIOD_BROKER_VALUE","DEEP_MEASURE_ID_OVERRIDE",$C103,"DEEP_BROKER_ID_OVERRIDE",AG$24,"DEEP_PERIOD_OVERRIDE",$H$19)*1,"")))</f>
        <v/>
      </c>
      <c r="AH103" s="17" t="str">
        <f>IF(OR(AH$23="",ISNA($B103)),"",IF(ISBLANK($B103),"",IFERROR(_xll.BDP(TICKER,"DEEP_MEASURE_PERIOD_BROKER_VALUE","DEEP_MEASURE_ID_OVERRIDE",$C103,"DEEP_BROKER_ID_OVERRIDE",AH$24,"DEEP_PERIOD_OVERRIDE",$H$19)*1,"")))</f>
        <v/>
      </c>
      <c r="AI103" s="17" t="str">
        <f>IF(OR(AI$23="",ISNA($B103)),"",IF(ISBLANK($B103),"",IFERROR(_xll.BDP(TICKER,"DEEP_MEASURE_PERIOD_BROKER_VALUE","DEEP_MEASURE_ID_OVERRIDE",$C103,"DEEP_BROKER_ID_OVERRIDE",AI$24,"DEEP_PERIOD_OVERRIDE",$H$19)*1,"")))</f>
        <v/>
      </c>
      <c r="AJ103" s="17" t="str">
        <f>IF(OR(AJ$23="",ISNA($B103)),"",IF(ISBLANK($B103),"",IFERROR(_xll.BDP(TICKER,"DEEP_MEASURE_PERIOD_BROKER_VALUE","DEEP_MEASURE_ID_OVERRIDE",$C103,"DEEP_BROKER_ID_OVERRIDE",AJ$24,"DEEP_PERIOD_OVERRIDE",$H$19)*1,"")))</f>
        <v/>
      </c>
      <c r="AK103" s="17" t="str">
        <f>IF(OR(AK$23="",ISNA($B103)),"",IF(ISBLANK($B103),"",IFERROR(_xll.BDP(TICKER,"DEEP_MEASURE_PERIOD_BROKER_VALUE","DEEP_MEASURE_ID_OVERRIDE",$C103,"DEEP_BROKER_ID_OVERRIDE",AK$24,"DEEP_PERIOD_OVERRIDE",$H$19)*1,"")))</f>
        <v/>
      </c>
      <c r="AL103" s="17" t="str">
        <f>IF(OR(AL$23="",ISNA($B103)),"",IF(ISBLANK($B103),"",IFERROR(_xll.BDP(TICKER,"DEEP_MEASURE_PERIOD_BROKER_VALUE","DEEP_MEASURE_ID_OVERRIDE",$C103,"DEEP_BROKER_ID_OVERRIDE",AL$24,"DEEP_PERIOD_OVERRIDE",$H$19)*1,"")))</f>
        <v/>
      </c>
      <c r="AM103" s="17" t="str">
        <f>IF(OR(AM$23="",ISNA($B103)),"",IF(ISBLANK($B103),"",IFERROR(_xll.BDP(TICKER,"DEEP_MEASURE_PERIOD_BROKER_VALUE","DEEP_MEASURE_ID_OVERRIDE",$C103,"DEEP_BROKER_ID_OVERRIDE",AM$24,"DEEP_PERIOD_OVERRIDE",$H$19)*1,"")))</f>
        <v/>
      </c>
      <c r="AN103" s="17" t="str">
        <f>IF(OR(AN$23="",ISNA($B103)),"",IF(ISBLANK($B103),"",IFERROR(_xll.BDP(TICKER,"DEEP_MEASURE_PERIOD_BROKER_VALUE","DEEP_MEASURE_ID_OVERRIDE",$C103,"DEEP_BROKER_ID_OVERRIDE",AN$24,"DEEP_PERIOD_OVERRIDE",$H$19)*1,"")))</f>
        <v/>
      </c>
      <c r="AO103" s="17" t="str">
        <f>IF(OR(AO$23="",ISNA($B103)),"",IF(ISBLANK($B103),"",IFERROR(_xll.BDP(TICKER,"DEEP_MEASURE_PERIOD_BROKER_VALUE","DEEP_MEASURE_ID_OVERRIDE",$C103,"DEEP_BROKER_ID_OVERRIDE",AO$24,"DEEP_PERIOD_OVERRIDE",$H$19)*1,"")))</f>
        <v/>
      </c>
      <c r="AP103" s="17" t="str">
        <f>IF(OR(AP$23="",ISNA($B103)),"",IF(ISBLANK($B103),"",IFERROR(_xll.BDP(TICKER,"DEEP_MEASURE_PERIOD_BROKER_VALUE","DEEP_MEASURE_ID_OVERRIDE",$C103,"DEEP_BROKER_ID_OVERRIDE",AP$24,"DEEP_PERIOD_OVERRIDE",$H$19)*1,"")))</f>
        <v/>
      </c>
      <c r="AQ103" s="17" t="str">
        <f>IF(OR(AQ$23="",ISNA($B103)),"",IF(ISBLANK($B103),"",IFERROR(_xll.BDP(TICKER,"DEEP_MEASURE_PERIOD_BROKER_VALUE","DEEP_MEASURE_ID_OVERRIDE",$C103,"DEEP_BROKER_ID_OVERRIDE",AQ$24,"DEEP_PERIOD_OVERRIDE",$H$19)*1,"")))</f>
        <v/>
      </c>
      <c r="AR103" s="17" t="str">
        <f>IF(OR(AR$23="",ISNA($B103)),"",IF(ISBLANK($B103),"",IFERROR(_xll.BDP(TICKER,"DEEP_MEASURE_PERIOD_BROKER_VALUE","DEEP_MEASURE_ID_OVERRIDE",$C103,"DEEP_BROKER_ID_OVERRIDE",AR$24,"DEEP_PERIOD_OVERRIDE",$H$19)*1,"")))</f>
        <v/>
      </c>
      <c r="AS103" s="17" t="str">
        <f>IF(OR(AS$23="",ISNA($B103)),"",IF(ISBLANK($B103),"",IFERROR(_xll.BDP(TICKER,"DEEP_MEASURE_PERIOD_BROKER_VALUE","DEEP_MEASURE_ID_OVERRIDE",$C103,"DEEP_BROKER_ID_OVERRIDE",AS$24,"DEEP_PERIOD_OVERRIDE",$H$19)*1,"")))</f>
        <v/>
      </c>
      <c r="AT103" s="17" t="str">
        <f>IF(OR(AT$23="",ISNA($B103)),"",IF(ISBLANK($B103),"",IFERROR(_xll.BDP(TICKER,"DEEP_MEASURE_PERIOD_BROKER_VALUE","DEEP_MEASURE_ID_OVERRIDE",$C103,"DEEP_BROKER_ID_OVERRIDE",AT$24,"DEEP_PERIOD_OVERRIDE",$H$19)*1,"")))</f>
        <v/>
      </c>
      <c r="AU103" s="17" t="str">
        <f>IF(OR(AU$23="",ISNA($B103)),"",IF(ISBLANK($B103),"",IFERROR(_xll.BDP(TICKER,"DEEP_MEASURE_PERIOD_BROKER_VALUE","DEEP_MEASURE_ID_OVERRIDE",$C103,"DEEP_BROKER_ID_OVERRIDE",AU$24,"DEEP_PERIOD_OVERRIDE",$H$19)*1,"")))</f>
        <v/>
      </c>
      <c r="AV103" s="17" t="str">
        <f>IF(OR(AV$23="",ISNA($B103)),"",IF(ISBLANK($B103),"",IFERROR(_xll.BDP(TICKER,"DEEP_MEASURE_PERIOD_BROKER_VALUE","DEEP_MEASURE_ID_OVERRIDE",$C103,"DEEP_BROKER_ID_OVERRIDE",AV$24,"DEEP_PERIOD_OVERRIDE",$H$19)*1,"")))</f>
        <v/>
      </c>
      <c r="AW103" s="17" t="str">
        <f>IF(OR(AW$23="",ISNA($B103)),"",IF(ISBLANK($B103),"",IFERROR(_xll.BDP(TICKER,"DEEP_MEASURE_PERIOD_BROKER_VALUE","DEEP_MEASURE_ID_OVERRIDE",$C103,"DEEP_BROKER_ID_OVERRIDE",AW$24,"DEEP_PERIOD_OVERRIDE",$H$19)*1,"")))</f>
        <v/>
      </c>
      <c r="AX103" s="17" t="str">
        <f>IF(OR(AX$23="",ISNA($B103)),"",IF(ISBLANK($B103),"",IFERROR(_xll.BDP(TICKER,"DEEP_MEASURE_PERIOD_BROKER_VALUE","DEEP_MEASURE_ID_OVERRIDE",$C103,"DEEP_BROKER_ID_OVERRIDE",AX$24,"DEEP_PERIOD_OVERRIDE",$H$19)*1,"")))</f>
        <v/>
      </c>
      <c r="AY103" s="17" t="str">
        <f>IF(OR(AY$23="",ISNA($B103)),"",IF(ISBLANK($B103),"",IFERROR(_xll.BDP(TICKER,"DEEP_MEASURE_PERIOD_BROKER_VALUE","DEEP_MEASURE_ID_OVERRIDE",$C103,"DEEP_BROKER_ID_OVERRIDE",AY$24,"DEEP_PERIOD_OVERRIDE",$H$19)*1,"")))</f>
        <v/>
      </c>
      <c r="AZ103" s="17" t="str">
        <f>IF(OR(AZ$23="",ISNA($B103)),"",IF(ISBLANK($B103),"",IFERROR(_xll.BDP(TICKER,"DEEP_MEASURE_PERIOD_BROKER_VALUE","DEEP_MEASURE_ID_OVERRIDE",$C103,"DEEP_BROKER_ID_OVERRIDE",AZ$24,"DEEP_PERIOD_OVERRIDE",$H$19)*1,"")))</f>
        <v/>
      </c>
      <c r="BA103" s="17" t="str">
        <f>IF(OR(BA$23="",ISNA($B103)),"",IF(ISBLANK($B103),"",IFERROR(_xll.BDP(TICKER,"DEEP_MEASURE_PERIOD_BROKER_VALUE","DEEP_MEASURE_ID_OVERRIDE",$C103,"DEEP_BROKER_ID_OVERRIDE",BA$24,"DEEP_PERIOD_OVERRIDE",$H$19)*1,"")))</f>
        <v/>
      </c>
      <c r="BB103" s="17" t="str">
        <f>IF(OR(BB$23="",ISNA($B103)),"",IF(ISBLANK($B103),"",IFERROR(_xll.BDP(TICKER,"DEEP_MEASURE_PERIOD_BROKER_VALUE","DEEP_MEASURE_ID_OVERRIDE",$C103,"DEEP_BROKER_ID_OVERRIDE",BB$24,"DEEP_PERIOD_OVERRIDE",$H$19)*1,"")))</f>
        <v/>
      </c>
      <c r="BC103" s="17" t="str">
        <f>IF(OR(BC$23="",ISNA($B103)),"",IF(ISBLANK($B103),"",IFERROR(_xll.BDP(TICKER,"DEEP_MEASURE_PERIOD_BROKER_VALUE","DEEP_MEASURE_ID_OVERRIDE",$C103,"DEEP_BROKER_ID_OVERRIDE",BC$24,"DEEP_PERIOD_OVERRIDE",$H$19)*1,"")))</f>
        <v/>
      </c>
      <c r="BD103" s="17" t="str">
        <f>IF(OR(BD$23="",ISNA($B103)),"",IF(ISBLANK($B103),"",IFERROR(_xll.BDP(TICKER,"DEEP_MEASURE_PERIOD_BROKER_VALUE","DEEP_MEASURE_ID_OVERRIDE",$C103,"DEEP_BROKER_ID_OVERRIDE",BD$24,"DEEP_PERIOD_OVERRIDE",$H$19)*1,"")))</f>
        <v/>
      </c>
      <c r="BE103" s="17" t="str">
        <f>IF(OR(BE$23="",ISNA($B103)),"",IF(ISBLANK($B103),"",IFERROR(_xll.BDP(TICKER,"DEEP_MEASURE_PERIOD_BROKER_VALUE","DEEP_MEASURE_ID_OVERRIDE",$C103,"DEEP_BROKER_ID_OVERRIDE",BE$24,"DEEP_PERIOD_OVERRIDE",$H$19)*1,"")))</f>
        <v/>
      </c>
      <c r="BF103" s="17" t="str">
        <f>IF(OR(BF$23="",ISNA($B103)),"",IF(ISBLANK($B103),"",IFERROR(_xll.BDP(TICKER,"DEEP_MEASURE_PERIOD_BROKER_VALUE","DEEP_MEASURE_ID_OVERRIDE",$C103,"DEEP_BROKER_ID_OVERRIDE",BF$24,"DEEP_PERIOD_OVERRIDE",$H$19)*1,"")))</f>
        <v/>
      </c>
      <c r="BG103" s="17" t="str">
        <f>IF(OR(BG$23="",ISNA($B103)),"",IF(ISBLANK($B103),"",IFERROR(_xll.BDP(TICKER,"DEEP_MEASURE_PERIOD_BROKER_VALUE","DEEP_MEASURE_ID_OVERRIDE",$C103,"DEEP_BROKER_ID_OVERRIDE",BG$24,"DEEP_PERIOD_OVERRIDE",$H$19)*1,"")))</f>
        <v/>
      </c>
      <c r="BH103" s="17" t="str">
        <f>IF(OR(BH$23="",ISNA($B103)),"",IF(ISBLANK($B103),"",IFERROR(_xll.BDP(TICKER,"DEEP_MEASURE_PERIOD_BROKER_VALUE","DEEP_MEASURE_ID_OVERRIDE",$C103,"DEEP_BROKER_ID_OVERRIDE",BH$24,"DEEP_PERIOD_OVERRIDE",$H$19)*1,"")))</f>
        <v/>
      </c>
      <c r="BI103" s="17" t="str">
        <f>IF(OR(BI$23="",ISNA($B103)),"",IF(ISBLANK($B103),"",IFERROR(_xll.BDP(TICKER,"DEEP_MEASURE_PERIOD_BROKER_VALUE","DEEP_MEASURE_ID_OVERRIDE",$C103,"DEEP_BROKER_ID_OVERRIDE",BI$24,"DEEP_PERIOD_OVERRIDE",$H$19)*1,"")))</f>
        <v/>
      </c>
      <c r="BJ103" s="17" t="str">
        <f>IF(OR(BJ$23="",ISNA($B103)),"",IF(ISBLANK($B103),"",IFERROR(_xll.BDP(TICKER,"DEEP_MEASURE_PERIOD_BROKER_VALUE","DEEP_MEASURE_ID_OVERRIDE",$C103,"DEEP_BROKER_ID_OVERRIDE",BJ$24,"DEEP_PERIOD_OVERRIDE",$H$19)*1,"")))</f>
        <v/>
      </c>
      <c r="BK103" s="17" t="str">
        <f>IF(OR(BK$23="",ISNA($B103)),"",IF(ISBLANK($B103),"",IFERROR(_xll.BDP(TICKER,"DEEP_MEASURE_PERIOD_BROKER_VALUE","DEEP_MEASURE_ID_OVERRIDE",$C103,"DEEP_BROKER_ID_OVERRIDE",BK$24,"DEEP_PERIOD_OVERRIDE",$H$19)*1,"")))</f>
        <v/>
      </c>
      <c r="BL103" s="17" t="str">
        <f>IF(OR(BL$23="",ISNA($B103)),"",IF(ISBLANK($B103),"",IFERROR(_xll.BDP(TICKER,"DEEP_MEASURE_PERIOD_BROKER_VALUE","DEEP_MEASURE_ID_OVERRIDE",$C103,"DEEP_BROKER_ID_OVERRIDE",BL$24,"DEEP_PERIOD_OVERRIDE",$H$19)*1,"")))</f>
        <v/>
      </c>
      <c r="BM103" s="17" t="str">
        <f>IF(OR(BM$23="",ISNA($B103)),"",IF(ISBLANK($B103),"",IFERROR(_xll.BDP(TICKER,"DEEP_MEASURE_PERIOD_BROKER_VALUE","DEEP_MEASURE_ID_OVERRIDE",$C103,"DEEP_BROKER_ID_OVERRIDE",BM$24,"DEEP_PERIOD_OVERRIDE",$H$19)*1,"")))</f>
        <v/>
      </c>
      <c r="BN103" s="17" t="str">
        <f>IF(OR(BN$23="",ISNA($B103)),"",IF(ISBLANK($B103),"",IFERROR(_xll.BDP(TICKER,"DEEP_MEASURE_PERIOD_BROKER_VALUE","DEEP_MEASURE_ID_OVERRIDE",$C103,"DEEP_BROKER_ID_OVERRIDE",BN$24,"DEEP_PERIOD_OVERRIDE",$H$19)*1,"")))</f>
        <v/>
      </c>
      <c r="BO103" s="17" t="str">
        <f>IF(OR(BO$23="",ISNA($B103)),"",IF(ISBLANK($B103),"",IFERROR(_xll.BDP(TICKER,"DEEP_MEASURE_PERIOD_BROKER_VALUE","DEEP_MEASURE_ID_OVERRIDE",$C103,"DEEP_BROKER_ID_OVERRIDE",BO$24,"DEEP_PERIOD_OVERRIDE",$H$19)*1,"")))</f>
        <v/>
      </c>
      <c r="BP103" s="17" t="str">
        <f>IF(OR(BP$23="",ISNA($B103)),"",IF(ISBLANK($B103),"",IFERROR(_xll.BDP(TICKER,"DEEP_MEASURE_PERIOD_BROKER_VALUE","DEEP_MEASURE_ID_OVERRIDE",$C103,"DEEP_BROKER_ID_OVERRIDE",BP$24,"DEEP_PERIOD_OVERRIDE",$H$19)*1,"")))</f>
        <v/>
      </c>
      <c r="BQ103" s="17" t="str">
        <f>IF(OR(BQ$23="",ISNA($B103)),"",IF(ISBLANK($B103),"",IFERROR(_xll.BDP(TICKER,"DEEP_MEASURE_PERIOD_BROKER_VALUE","DEEP_MEASURE_ID_OVERRIDE",$C103,"DEEP_BROKER_ID_OVERRIDE",BQ$24,"DEEP_PERIOD_OVERRIDE",$H$19)*1,"")))</f>
        <v/>
      </c>
      <c r="BR103" s="17" t="str">
        <f>IF(OR(BR$23="",ISNA($B103)),"",IF(ISBLANK($B103),"",IFERROR(_xll.BDP(TICKER,"DEEP_MEASURE_PERIOD_BROKER_VALUE","DEEP_MEASURE_ID_OVERRIDE",$C103,"DEEP_BROKER_ID_OVERRIDE",BR$24,"DEEP_PERIOD_OVERRIDE",$H$19)*1,"")))</f>
        <v/>
      </c>
      <c r="BS103" s="17" t="str">
        <f>IF(OR(BS$23="",ISNA($B103)),"",IF(ISBLANK($B103),"",IFERROR(_xll.BDP(TICKER,"DEEP_MEASURE_PERIOD_BROKER_VALUE","DEEP_MEASURE_ID_OVERRIDE",$C103,"DEEP_BROKER_ID_OVERRIDE",BS$24,"DEEP_PERIOD_OVERRIDE",$H$19)*1,"")))</f>
        <v/>
      </c>
      <c r="BT103" s="17" t="str">
        <f>IF(OR(BT$23="",ISNA($B103)),"",IF(ISBLANK($B103),"",IFERROR(_xll.BDP(TICKER,"DEEP_MEASURE_PERIOD_BROKER_VALUE","DEEP_MEASURE_ID_OVERRIDE",$C103,"DEEP_BROKER_ID_OVERRIDE",BT$24,"DEEP_PERIOD_OVERRIDE",$H$19)*1,"")))</f>
        <v/>
      </c>
      <c r="BU103" s="17" t="str">
        <f>IF(OR(BU$23="",ISNA($B103)),"",IF(ISBLANK($B103),"",IFERROR(_xll.BDP(TICKER,"DEEP_MEASURE_PERIOD_BROKER_VALUE","DEEP_MEASURE_ID_OVERRIDE",$C103,"DEEP_BROKER_ID_OVERRIDE",BU$24,"DEEP_PERIOD_OVERRIDE",$H$19)*1,"")))</f>
        <v/>
      </c>
      <c r="BV103" s="17" t="str">
        <f>IF(OR(BV$23="",ISNA($B103)),"",IF(ISBLANK($B103),"",IFERROR(_xll.BDP(TICKER,"DEEP_MEASURE_PERIOD_BROKER_VALUE","DEEP_MEASURE_ID_OVERRIDE",$C103,"DEEP_BROKER_ID_OVERRIDE",BV$24,"DEEP_PERIOD_OVERRIDE",$H$19)*1,"")))</f>
        <v/>
      </c>
      <c r="BW103" s="17" t="str">
        <f>IF(OR(BW$23="",ISNA($B103)),"",IF(ISBLANK($B103),"",IFERROR(_xll.BDP(TICKER,"DEEP_MEASURE_PERIOD_BROKER_VALUE","DEEP_MEASURE_ID_OVERRIDE",$C103,"DEEP_BROKER_ID_OVERRIDE",BW$24,"DEEP_PERIOD_OVERRIDE",$H$19)*1,"")))</f>
        <v/>
      </c>
      <c r="BX103" s="17" t="str">
        <f>IF(OR(BX$23="",ISNA($B103)),"",IF(ISBLANK($B103),"",IFERROR(_xll.BDP(TICKER,"DEEP_MEASURE_PERIOD_BROKER_VALUE","DEEP_MEASURE_ID_OVERRIDE",$C103,"DEEP_BROKER_ID_OVERRIDE",BX$24,"DEEP_PERIOD_OVERRIDE",$H$19)*1,"")))</f>
        <v/>
      </c>
      <c r="BY103" s="17" t="str">
        <f>IF(OR(BY$23="",ISNA($B103)),"",IF(ISBLANK($B103),"",IFERROR(_xll.BDP(TICKER,"DEEP_MEASURE_PERIOD_BROKER_VALUE","DEEP_MEASURE_ID_OVERRIDE",$C103,"DEEP_BROKER_ID_OVERRIDE",BY$24,"DEEP_PERIOD_OVERRIDE",$H$19)*1,"")))</f>
        <v/>
      </c>
      <c r="BZ103" s="17" t="str">
        <f>IF(OR(BZ$23="",ISNA($B103)),"",IF(ISBLANK($B103),"",IFERROR(_xll.BDP(TICKER,"DEEP_MEASURE_PERIOD_BROKER_VALUE","DEEP_MEASURE_ID_OVERRIDE",$C103,"DEEP_BROKER_ID_OVERRIDE",BZ$24,"DEEP_PERIOD_OVERRIDE",$H$19)*1,"")))</f>
        <v/>
      </c>
    </row>
    <row r="104" spans="2:78" x14ac:dyDescent="0.25">
      <c r="B104" t="s">
        <v>144</v>
      </c>
      <c r="C104">
        <v>383</v>
      </c>
      <c r="H104" t="str">
        <f t="shared" si="2"/>
        <v>Sales &amp; Marketing Expenses &gt; Selling &amp; Marketing Expense (ex-SBC) &gt; As % of Revenue</v>
      </c>
      <c r="I104" t="str">
        <f>IF(OR(I$23="",ISNA($B104)),"",IF(ISBLANK($B104),"",IFERROR(_xll.BDP(TICKER,"DEEP_MEASURE_PERIOD_BROKER_VALUE","DEEP_MEASURE_ID_OVERRIDE",$C104,"DEEP_PERIOD_OVERRIDE",$H$19)*1,"")))</f>
        <v/>
      </c>
      <c r="J104" t="e">
        <f>IF(OR(J$23="",ISNA($B104)),"",IF(ISBLANK($B104),"",IFERROR(_xll.BDP(TICKER,"DEEP_MEASURE_PERIOD_BROKER_VALUE","DEEP_MEASURE_ID_OVERRIDE",$C104,"DEEP_BROKER_ID_OVERRIDE",J$24,"DEEP_PERIOD_OVERRIDE",$H$19)*1,"")))</f>
        <v>#REF!</v>
      </c>
      <c r="K104" s="17" t="str">
        <f>IF(OR(K$23="",ISNA($B104)),"",IF(ISBLANK($B104),"",IFERROR(_xll.BDP(TICKER,"DEEP_MEASURE_PERIOD_BROKER_VALUE","DEEP_MEASURE_ID_OVERRIDE",$C104,"DEEP_BROKER_ID_OVERRIDE",K$24,"DEEP_PERIOD_OVERRIDE",$H$19)*1,"")))</f>
        <v/>
      </c>
      <c r="L104" s="17" t="str">
        <f>IF(OR(L$23="",ISNA($B104)),"",IF(ISBLANK($B104),"",IFERROR(_xll.BDP(TICKER,"DEEP_MEASURE_PERIOD_BROKER_VALUE","DEEP_MEASURE_ID_OVERRIDE",$C104,"DEEP_BROKER_ID_OVERRIDE",L$24,"DEEP_PERIOD_OVERRIDE",$H$19)*1,"")))</f>
        <v/>
      </c>
      <c r="M104" s="17" t="str">
        <f>IF(OR(M$23="",ISNA($B104)),"",IF(ISBLANK($B104),"",IFERROR(_xll.BDP(TICKER,"DEEP_MEASURE_PERIOD_BROKER_VALUE","DEEP_MEASURE_ID_OVERRIDE",$C104,"DEEP_BROKER_ID_OVERRIDE",M$24,"DEEP_PERIOD_OVERRIDE",$H$19)*1,"")))</f>
        <v/>
      </c>
      <c r="N104" s="17" t="str">
        <f>IF(OR(N$23="",ISNA($B104)),"",IF(ISBLANK($B104),"",IFERROR(_xll.BDP(TICKER,"DEEP_MEASURE_PERIOD_BROKER_VALUE","DEEP_MEASURE_ID_OVERRIDE",$C104,"DEEP_BROKER_ID_OVERRIDE",N$24,"DEEP_PERIOD_OVERRIDE",$H$19)*1,"")))</f>
        <v/>
      </c>
      <c r="O104" s="17" t="str">
        <f>IF(OR(O$23="",ISNA($B104)),"",IF(ISBLANK($B104),"",IFERROR(_xll.BDP(TICKER,"DEEP_MEASURE_PERIOD_BROKER_VALUE","DEEP_MEASURE_ID_OVERRIDE",$C104,"DEEP_BROKER_ID_OVERRIDE",O$24,"DEEP_PERIOD_OVERRIDE",$H$19)*1,"")))</f>
        <v/>
      </c>
      <c r="P104" s="17" t="str">
        <f>IF(OR(P$23="",ISNA($B104)),"",IF(ISBLANK($B104),"",IFERROR(_xll.BDP(TICKER,"DEEP_MEASURE_PERIOD_BROKER_VALUE","DEEP_MEASURE_ID_OVERRIDE",$C104,"DEEP_BROKER_ID_OVERRIDE",P$24,"DEEP_PERIOD_OVERRIDE",$H$19)*1,"")))</f>
        <v/>
      </c>
      <c r="Q104" s="17" t="str">
        <f>IF(OR(Q$23="",ISNA($B104)),"",IF(ISBLANK($B104),"",IFERROR(_xll.BDP(TICKER,"DEEP_MEASURE_PERIOD_BROKER_VALUE","DEEP_MEASURE_ID_OVERRIDE",$C104,"DEEP_BROKER_ID_OVERRIDE",Q$24,"DEEP_PERIOD_OVERRIDE",$H$19)*1,"")))</f>
        <v/>
      </c>
      <c r="R104" s="17" t="str">
        <f>IF(OR(R$23="",ISNA($B104)),"",IF(ISBLANK($B104),"",IFERROR(_xll.BDP(TICKER,"DEEP_MEASURE_PERIOD_BROKER_VALUE","DEEP_MEASURE_ID_OVERRIDE",$C104,"DEEP_BROKER_ID_OVERRIDE",R$24,"DEEP_PERIOD_OVERRIDE",$H$19)*1,"")))</f>
        <v/>
      </c>
      <c r="S104" s="17" t="str">
        <f>IF(OR(S$23="",ISNA($B104)),"",IF(ISBLANK($B104),"",IFERROR(_xll.BDP(TICKER,"DEEP_MEASURE_PERIOD_BROKER_VALUE","DEEP_MEASURE_ID_OVERRIDE",$C104,"DEEP_BROKER_ID_OVERRIDE",S$24,"DEEP_PERIOD_OVERRIDE",$H$19)*1,"")))</f>
        <v/>
      </c>
      <c r="T104" s="17" t="str">
        <f>IF(OR(T$23="",ISNA($B104)),"",IF(ISBLANK($B104),"",IFERROR(_xll.BDP(TICKER,"DEEP_MEASURE_PERIOD_BROKER_VALUE","DEEP_MEASURE_ID_OVERRIDE",$C104,"DEEP_BROKER_ID_OVERRIDE",T$24,"DEEP_PERIOD_OVERRIDE",$H$19)*1,"")))</f>
        <v/>
      </c>
      <c r="U104" s="17" t="str">
        <f>IF(OR(U$23="",ISNA($B104)),"",IF(ISBLANK($B104),"",IFERROR(_xll.BDP(TICKER,"DEEP_MEASURE_PERIOD_BROKER_VALUE","DEEP_MEASURE_ID_OVERRIDE",$C104,"DEEP_BROKER_ID_OVERRIDE",U$24,"DEEP_PERIOD_OVERRIDE",$H$19)*1,"")))</f>
        <v/>
      </c>
      <c r="V104" s="17" t="str">
        <f>IF(OR(V$23="",ISNA($B104)),"",IF(ISBLANK($B104),"",IFERROR(_xll.BDP(TICKER,"DEEP_MEASURE_PERIOD_BROKER_VALUE","DEEP_MEASURE_ID_OVERRIDE",$C104,"DEEP_BROKER_ID_OVERRIDE",V$24,"DEEP_PERIOD_OVERRIDE",$H$19)*1,"")))</f>
        <v/>
      </c>
      <c r="W104" s="17" t="str">
        <f>IF(OR(W$23="",ISNA($B104)),"",IF(ISBLANK($B104),"",IFERROR(_xll.BDP(TICKER,"DEEP_MEASURE_PERIOD_BROKER_VALUE","DEEP_MEASURE_ID_OVERRIDE",$C104,"DEEP_BROKER_ID_OVERRIDE",W$24,"DEEP_PERIOD_OVERRIDE",$H$19)*1,"")))</f>
        <v/>
      </c>
      <c r="X104" s="17" t="str">
        <f>IF(OR(X$23="",ISNA($B104)),"",IF(ISBLANK($B104),"",IFERROR(_xll.BDP(TICKER,"DEEP_MEASURE_PERIOD_BROKER_VALUE","DEEP_MEASURE_ID_OVERRIDE",$C104,"DEEP_BROKER_ID_OVERRIDE",X$24,"DEEP_PERIOD_OVERRIDE",$H$19)*1,"")))</f>
        <v/>
      </c>
      <c r="Y104" s="17" t="str">
        <f>IF(OR(Y$23="",ISNA($B104)),"",IF(ISBLANK($B104),"",IFERROR(_xll.BDP(TICKER,"DEEP_MEASURE_PERIOD_BROKER_VALUE","DEEP_MEASURE_ID_OVERRIDE",$C104,"DEEP_BROKER_ID_OVERRIDE",Y$24,"DEEP_PERIOD_OVERRIDE",$H$19)*1,"")))</f>
        <v/>
      </c>
      <c r="Z104" s="17" t="str">
        <f>IF(OR(Z$23="",ISNA($B104)),"",IF(ISBLANK($B104),"",IFERROR(_xll.BDP(TICKER,"DEEP_MEASURE_PERIOD_BROKER_VALUE","DEEP_MEASURE_ID_OVERRIDE",$C104,"DEEP_BROKER_ID_OVERRIDE",Z$24,"DEEP_PERIOD_OVERRIDE",$H$19)*1,"")))</f>
        <v/>
      </c>
      <c r="AA104" s="17" t="str">
        <f>IF(OR(AA$23="",ISNA($B104)),"",IF(ISBLANK($B104),"",IFERROR(_xll.BDP(TICKER,"DEEP_MEASURE_PERIOD_BROKER_VALUE","DEEP_MEASURE_ID_OVERRIDE",$C104,"DEEP_BROKER_ID_OVERRIDE",AA$24,"DEEP_PERIOD_OVERRIDE",$H$19)*1,"")))</f>
        <v/>
      </c>
      <c r="AB104" s="17" t="str">
        <f>IF(OR(AB$23="",ISNA($B104)),"",IF(ISBLANK($B104),"",IFERROR(_xll.BDP(TICKER,"DEEP_MEASURE_PERIOD_BROKER_VALUE","DEEP_MEASURE_ID_OVERRIDE",$C104,"DEEP_BROKER_ID_OVERRIDE",AB$24,"DEEP_PERIOD_OVERRIDE",$H$19)*1,"")))</f>
        <v/>
      </c>
      <c r="AC104" s="17" t="str">
        <f>IF(OR(AC$23="",ISNA($B104)),"",IF(ISBLANK($B104),"",IFERROR(_xll.BDP(TICKER,"DEEP_MEASURE_PERIOD_BROKER_VALUE","DEEP_MEASURE_ID_OVERRIDE",$C104,"DEEP_BROKER_ID_OVERRIDE",AC$24,"DEEP_PERIOD_OVERRIDE",$H$19)*1,"")))</f>
        <v/>
      </c>
      <c r="AD104" s="17" t="str">
        <f>IF(OR(AD$23="",ISNA($B104)),"",IF(ISBLANK($B104),"",IFERROR(_xll.BDP(TICKER,"DEEP_MEASURE_PERIOD_BROKER_VALUE","DEEP_MEASURE_ID_OVERRIDE",$C104,"DEEP_BROKER_ID_OVERRIDE",AD$24,"DEEP_PERIOD_OVERRIDE",$H$19)*1,"")))</f>
        <v/>
      </c>
      <c r="AE104" s="17" t="str">
        <f>IF(OR(AE$23="",ISNA($B104)),"",IF(ISBLANK($B104),"",IFERROR(_xll.BDP(TICKER,"DEEP_MEASURE_PERIOD_BROKER_VALUE","DEEP_MEASURE_ID_OVERRIDE",$C104,"DEEP_BROKER_ID_OVERRIDE",AE$24,"DEEP_PERIOD_OVERRIDE",$H$19)*1,"")))</f>
        <v/>
      </c>
      <c r="AF104" s="17" t="str">
        <f>IF(OR(AF$23="",ISNA($B104)),"",IF(ISBLANK($B104),"",IFERROR(_xll.BDP(TICKER,"DEEP_MEASURE_PERIOD_BROKER_VALUE","DEEP_MEASURE_ID_OVERRIDE",$C104,"DEEP_BROKER_ID_OVERRIDE",AF$24,"DEEP_PERIOD_OVERRIDE",$H$19)*1,"")))</f>
        <v/>
      </c>
      <c r="AG104" s="17" t="str">
        <f>IF(OR(AG$23="",ISNA($B104)),"",IF(ISBLANK($B104),"",IFERROR(_xll.BDP(TICKER,"DEEP_MEASURE_PERIOD_BROKER_VALUE","DEEP_MEASURE_ID_OVERRIDE",$C104,"DEEP_BROKER_ID_OVERRIDE",AG$24,"DEEP_PERIOD_OVERRIDE",$H$19)*1,"")))</f>
        <v/>
      </c>
      <c r="AH104" s="17" t="str">
        <f>IF(OR(AH$23="",ISNA($B104)),"",IF(ISBLANK($B104),"",IFERROR(_xll.BDP(TICKER,"DEEP_MEASURE_PERIOD_BROKER_VALUE","DEEP_MEASURE_ID_OVERRIDE",$C104,"DEEP_BROKER_ID_OVERRIDE",AH$24,"DEEP_PERIOD_OVERRIDE",$H$19)*1,"")))</f>
        <v/>
      </c>
      <c r="AI104" s="17" t="str">
        <f>IF(OR(AI$23="",ISNA($B104)),"",IF(ISBLANK($B104),"",IFERROR(_xll.BDP(TICKER,"DEEP_MEASURE_PERIOD_BROKER_VALUE","DEEP_MEASURE_ID_OVERRIDE",$C104,"DEEP_BROKER_ID_OVERRIDE",AI$24,"DEEP_PERIOD_OVERRIDE",$H$19)*1,"")))</f>
        <v/>
      </c>
      <c r="AJ104" s="17" t="str">
        <f>IF(OR(AJ$23="",ISNA($B104)),"",IF(ISBLANK($B104),"",IFERROR(_xll.BDP(TICKER,"DEEP_MEASURE_PERIOD_BROKER_VALUE","DEEP_MEASURE_ID_OVERRIDE",$C104,"DEEP_BROKER_ID_OVERRIDE",AJ$24,"DEEP_PERIOD_OVERRIDE",$H$19)*1,"")))</f>
        <v/>
      </c>
      <c r="AK104" s="17" t="str">
        <f>IF(OR(AK$23="",ISNA($B104)),"",IF(ISBLANK($B104),"",IFERROR(_xll.BDP(TICKER,"DEEP_MEASURE_PERIOD_BROKER_VALUE","DEEP_MEASURE_ID_OVERRIDE",$C104,"DEEP_BROKER_ID_OVERRIDE",AK$24,"DEEP_PERIOD_OVERRIDE",$H$19)*1,"")))</f>
        <v/>
      </c>
      <c r="AL104" s="17" t="str">
        <f>IF(OR(AL$23="",ISNA($B104)),"",IF(ISBLANK($B104),"",IFERROR(_xll.BDP(TICKER,"DEEP_MEASURE_PERIOD_BROKER_VALUE","DEEP_MEASURE_ID_OVERRIDE",$C104,"DEEP_BROKER_ID_OVERRIDE",AL$24,"DEEP_PERIOD_OVERRIDE",$H$19)*1,"")))</f>
        <v/>
      </c>
      <c r="AM104" s="17" t="str">
        <f>IF(OR(AM$23="",ISNA($B104)),"",IF(ISBLANK($B104),"",IFERROR(_xll.BDP(TICKER,"DEEP_MEASURE_PERIOD_BROKER_VALUE","DEEP_MEASURE_ID_OVERRIDE",$C104,"DEEP_BROKER_ID_OVERRIDE",AM$24,"DEEP_PERIOD_OVERRIDE",$H$19)*1,"")))</f>
        <v/>
      </c>
      <c r="AN104" s="17" t="str">
        <f>IF(OR(AN$23="",ISNA($B104)),"",IF(ISBLANK($B104),"",IFERROR(_xll.BDP(TICKER,"DEEP_MEASURE_PERIOD_BROKER_VALUE","DEEP_MEASURE_ID_OVERRIDE",$C104,"DEEP_BROKER_ID_OVERRIDE",AN$24,"DEEP_PERIOD_OVERRIDE",$H$19)*1,"")))</f>
        <v/>
      </c>
      <c r="AO104" s="17" t="str">
        <f>IF(OR(AO$23="",ISNA($B104)),"",IF(ISBLANK($B104),"",IFERROR(_xll.BDP(TICKER,"DEEP_MEASURE_PERIOD_BROKER_VALUE","DEEP_MEASURE_ID_OVERRIDE",$C104,"DEEP_BROKER_ID_OVERRIDE",AO$24,"DEEP_PERIOD_OVERRIDE",$H$19)*1,"")))</f>
        <v/>
      </c>
      <c r="AP104" s="17" t="str">
        <f>IF(OR(AP$23="",ISNA($B104)),"",IF(ISBLANK($B104),"",IFERROR(_xll.BDP(TICKER,"DEEP_MEASURE_PERIOD_BROKER_VALUE","DEEP_MEASURE_ID_OVERRIDE",$C104,"DEEP_BROKER_ID_OVERRIDE",AP$24,"DEEP_PERIOD_OVERRIDE",$H$19)*1,"")))</f>
        <v/>
      </c>
      <c r="AQ104" s="17" t="str">
        <f>IF(OR(AQ$23="",ISNA($B104)),"",IF(ISBLANK($B104),"",IFERROR(_xll.BDP(TICKER,"DEEP_MEASURE_PERIOD_BROKER_VALUE","DEEP_MEASURE_ID_OVERRIDE",$C104,"DEEP_BROKER_ID_OVERRIDE",AQ$24,"DEEP_PERIOD_OVERRIDE",$H$19)*1,"")))</f>
        <v/>
      </c>
      <c r="AR104" s="17" t="str">
        <f>IF(OR(AR$23="",ISNA($B104)),"",IF(ISBLANK($B104),"",IFERROR(_xll.BDP(TICKER,"DEEP_MEASURE_PERIOD_BROKER_VALUE","DEEP_MEASURE_ID_OVERRIDE",$C104,"DEEP_BROKER_ID_OVERRIDE",AR$24,"DEEP_PERIOD_OVERRIDE",$H$19)*1,"")))</f>
        <v/>
      </c>
      <c r="AS104" s="17" t="str">
        <f>IF(OR(AS$23="",ISNA($B104)),"",IF(ISBLANK($B104),"",IFERROR(_xll.BDP(TICKER,"DEEP_MEASURE_PERIOD_BROKER_VALUE","DEEP_MEASURE_ID_OVERRIDE",$C104,"DEEP_BROKER_ID_OVERRIDE",AS$24,"DEEP_PERIOD_OVERRIDE",$H$19)*1,"")))</f>
        <v/>
      </c>
      <c r="AT104" s="17" t="str">
        <f>IF(OR(AT$23="",ISNA($B104)),"",IF(ISBLANK($B104),"",IFERROR(_xll.BDP(TICKER,"DEEP_MEASURE_PERIOD_BROKER_VALUE","DEEP_MEASURE_ID_OVERRIDE",$C104,"DEEP_BROKER_ID_OVERRIDE",AT$24,"DEEP_PERIOD_OVERRIDE",$H$19)*1,"")))</f>
        <v/>
      </c>
      <c r="AU104" s="17" t="str">
        <f>IF(OR(AU$23="",ISNA($B104)),"",IF(ISBLANK($B104),"",IFERROR(_xll.BDP(TICKER,"DEEP_MEASURE_PERIOD_BROKER_VALUE","DEEP_MEASURE_ID_OVERRIDE",$C104,"DEEP_BROKER_ID_OVERRIDE",AU$24,"DEEP_PERIOD_OVERRIDE",$H$19)*1,"")))</f>
        <v/>
      </c>
      <c r="AV104" s="17" t="str">
        <f>IF(OR(AV$23="",ISNA($B104)),"",IF(ISBLANK($B104),"",IFERROR(_xll.BDP(TICKER,"DEEP_MEASURE_PERIOD_BROKER_VALUE","DEEP_MEASURE_ID_OVERRIDE",$C104,"DEEP_BROKER_ID_OVERRIDE",AV$24,"DEEP_PERIOD_OVERRIDE",$H$19)*1,"")))</f>
        <v/>
      </c>
      <c r="AW104" s="17" t="str">
        <f>IF(OR(AW$23="",ISNA($B104)),"",IF(ISBLANK($B104),"",IFERROR(_xll.BDP(TICKER,"DEEP_MEASURE_PERIOD_BROKER_VALUE","DEEP_MEASURE_ID_OVERRIDE",$C104,"DEEP_BROKER_ID_OVERRIDE",AW$24,"DEEP_PERIOD_OVERRIDE",$H$19)*1,"")))</f>
        <v/>
      </c>
      <c r="AX104" s="17" t="str">
        <f>IF(OR(AX$23="",ISNA($B104)),"",IF(ISBLANK($B104),"",IFERROR(_xll.BDP(TICKER,"DEEP_MEASURE_PERIOD_BROKER_VALUE","DEEP_MEASURE_ID_OVERRIDE",$C104,"DEEP_BROKER_ID_OVERRIDE",AX$24,"DEEP_PERIOD_OVERRIDE",$H$19)*1,"")))</f>
        <v/>
      </c>
      <c r="AY104" s="17" t="str">
        <f>IF(OR(AY$23="",ISNA($B104)),"",IF(ISBLANK($B104),"",IFERROR(_xll.BDP(TICKER,"DEEP_MEASURE_PERIOD_BROKER_VALUE","DEEP_MEASURE_ID_OVERRIDE",$C104,"DEEP_BROKER_ID_OVERRIDE",AY$24,"DEEP_PERIOD_OVERRIDE",$H$19)*1,"")))</f>
        <v/>
      </c>
      <c r="AZ104" s="17" t="str">
        <f>IF(OR(AZ$23="",ISNA($B104)),"",IF(ISBLANK($B104),"",IFERROR(_xll.BDP(TICKER,"DEEP_MEASURE_PERIOD_BROKER_VALUE","DEEP_MEASURE_ID_OVERRIDE",$C104,"DEEP_BROKER_ID_OVERRIDE",AZ$24,"DEEP_PERIOD_OVERRIDE",$H$19)*1,"")))</f>
        <v/>
      </c>
      <c r="BA104" s="17" t="str">
        <f>IF(OR(BA$23="",ISNA($B104)),"",IF(ISBLANK($B104),"",IFERROR(_xll.BDP(TICKER,"DEEP_MEASURE_PERIOD_BROKER_VALUE","DEEP_MEASURE_ID_OVERRIDE",$C104,"DEEP_BROKER_ID_OVERRIDE",BA$24,"DEEP_PERIOD_OVERRIDE",$H$19)*1,"")))</f>
        <v/>
      </c>
      <c r="BB104" s="17" t="str">
        <f>IF(OR(BB$23="",ISNA($B104)),"",IF(ISBLANK($B104),"",IFERROR(_xll.BDP(TICKER,"DEEP_MEASURE_PERIOD_BROKER_VALUE","DEEP_MEASURE_ID_OVERRIDE",$C104,"DEEP_BROKER_ID_OVERRIDE",BB$24,"DEEP_PERIOD_OVERRIDE",$H$19)*1,"")))</f>
        <v/>
      </c>
      <c r="BC104" s="17" t="str">
        <f>IF(OR(BC$23="",ISNA($B104)),"",IF(ISBLANK($B104),"",IFERROR(_xll.BDP(TICKER,"DEEP_MEASURE_PERIOD_BROKER_VALUE","DEEP_MEASURE_ID_OVERRIDE",$C104,"DEEP_BROKER_ID_OVERRIDE",BC$24,"DEEP_PERIOD_OVERRIDE",$H$19)*1,"")))</f>
        <v/>
      </c>
      <c r="BD104" s="17" t="str">
        <f>IF(OR(BD$23="",ISNA($B104)),"",IF(ISBLANK($B104),"",IFERROR(_xll.BDP(TICKER,"DEEP_MEASURE_PERIOD_BROKER_VALUE","DEEP_MEASURE_ID_OVERRIDE",$C104,"DEEP_BROKER_ID_OVERRIDE",BD$24,"DEEP_PERIOD_OVERRIDE",$H$19)*1,"")))</f>
        <v/>
      </c>
      <c r="BE104" s="17" t="str">
        <f>IF(OR(BE$23="",ISNA($B104)),"",IF(ISBLANK($B104),"",IFERROR(_xll.BDP(TICKER,"DEEP_MEASURE_PERIOD_BROKER_VALUE","DEEP_MEASURE_ID_OVERRIDE",$C104,"DEEP_BROKER_ID_OVERRIDE",BE$24,"DEEP_PERIOD_OVERRIDE",$H$19)*1,"")))</f>
        <v/>
      </c>
      <c r="BF104" s="17" t="str">
        <f>IF(OR(BF$23="",ISNA($B104)),"",IF(ISBLANK($B104),"",IFERROR(_xll.BDP(TICKER,"DEEP_MEASURE_PERIOD_BROKER_VALUE","DEEP_MEASURE_ID_OVERRIDE",$C104,"DEEP_BROKER_ID_OVERRIDE",BF$24,"DEEP_PERIOD_OVERRIDE",$H$19)*1,"")))</f>
        <v/>
      </c>
      <c r="BG104" s="17" t="str">
        <f>IF(OR(BG$23="",ISNA($B104)),"",IF(ISBLANK($B104),"",IFERROR(_xll.BDP(TICKER,"DEEP_MEASURE_PERIOD_BROKER_VALUE","DEEP_MEASURE_ID_OVERRIDE",$C104,"DEEP_BROKER_ID_OVERRIDE",BG$24,"DEEP_PERIOD_OVERRIDE",$H$19)*1,"")))</f>
        <v/>
      </c>
      <c r="BH104" s="17" t="str">
        <f>IF(OR(BH$23="",ISNA($B104)),"",IF(ISBLANK($B104),"",IFERROR(_xll.BDP(TICKER,"DEEP_MEASURE_PERIOD_BROKER_VALUE","DEEP_MEASURE_ID_OVERRIDE",$C104,"DEEP_BROKER_ID_OVERRIDE",BH$24,"DEEP_PERIOD_OVERRIDE",$H$19)*1,"")))</f>
        <v/>
      </c>
      <c r="BI104" s="17" t="str">
        <f>IF(OR(BI$23="",ISNA($B104)),"",IF(ISBLANK($B104),"",IFERROR(_xll.BDP(TICKER,"DEEP_MEASURE_PERIOD_BROKER_VALUE","DEEP_MEASURE_ID_OVERRIDE",$C104,"DEEP_BROKER_ID_OVERRIDE",BI$24,"DEEP_PERIOD_OVERRIDE",$H$19)*1,"")))</f>
        <v/>
      </c>
      <c r="BJ104" s="17" t="str">
        <f>IF(OR(BJ$23="",ISNA($B104)),"",IF(ISBLANK($B104),"",IFERROR(_xll.BDP(TICKER,"DEEP_MEASURE_PERIOD_BROKER_VALUE","DEEP_MEASURE_ID_OVERRIDE",$C104,"DEEP_BROKER_ID_OVERRIDE",BJ$24,"DEEP_PERIOD_OVERRIDE",$H$19)*1,"")))</f>
        <v/>
      </c>
      <c r="BK104" s="17" t="str">
        <f>IF(OR(BK$23="",ISNA($B104)),"",IF(ISBLANK($B104),"",IFERROR(_xll.BDP(TICKER,"DEEP_MEASURE_PERIOD_BROKER_VALUE","DEEP_MEASURE_ID_OVERRIDE",$C104,"DEEP_BROKER_ID_OVERRIDE",BK$24,"DEEP_PERIOD_OVERRIDE",$H$19)*1,"")))</f>
        <v/>
      </c>
      <c r="BL104" s="17" t="str">
        <f>IF(OR(BL$23="",ISNA($B104)),"",IF(ISBLANK($B104),"",IFERROR(_xll.BDP(TICKER,"DEEP_MEASURE_PERIOD_BROKER_VALUE","DEEP_MEASURE_ID_OVERRIDE",$C104,"DEEP_BROKER_ID_OVERRIDE",BL$24,"DEEP_PERIOD_OVERRIDE",$H$19)*1,"")))</f>
        <v/>
      </c>
      <c r="BM104" s="17" t="str">
        <f>IF(OR(BM$23="",ISNA($B104)),"",IF(ISBLANK($B104),"",IFERROR(_xll.BDP(TICKER,"DEEP_MEASURE_PERIOD_BROKER_VALUE","DEEP_MEASURE_ID_OVERRIDE",$C104,"DEEP_BROKER_ID_OVERRIDE",BM$24,"DEEP_PERIOD_OVERRIDE",$H$19)*1,"")))</f>
        <v/>
      </c>
      <c r="BN104" s="17" t="str">
        <f>IF(OR(BN$23="",ISNA($B104)),"",IF(ISBLANK($B104),"",IFERROR(_xll.BDP(TICKER,"DEEP_MEASURE_PERIOD_BROKER_VALUE","DEEP_MEASURE_ID_OVERRIDE",$C104,"DEEP_BROKER_ID_OVERRIDE",BN$24,"DEEP_PERIOD_OVERRIDE",$H$19)*1,"")))</f>
        <v/>
      </c>
      <c r="BO104" s="17" t="str">
        <f>IF(OR(BO$23="",ISNA($B104)),"",IF(ISBLANK($B104),"",IFERROR(_xll.BDP(TICKER,"DEEP_MEASURE_PERIOD_BROKER_VALUE","DEEP_MEASURE_ID_OVERRIDE",$C104,"DEEP_BROKER_ID_OVERRIDE",BO$24,"DEEP_PERIOD_OVERRIDE",$H$19)*1,"")))</f>
        <v/>
      </c>
      <c r="BP104" s="17" t="str">
        <f>IF(OR(BP$23="",ISNA($B104)),"",IF(ISBLANK($B104),"",IFERROR(_xll.BDP(TICKER,"DEEP_MEASURE_PERIOD_BROKER_VALUE","DEEP_MEASURE_ID_OVERRIDE",$C104,"DEEP_BROKER_ID_OVERRIDE",BP$24,"DEEP_PERIOD_OVERRIDE",$H$19)*1,"")))</f>
        <v/>
      </c>
      <c r="BQ104" s="17" t="str">
        <f>IF(OR(BQ$23="",ISNA($B104)),"",IF(ISBLANK($B104),"",IFERROR(_xll.BDP(TICKER,"DEEP_MEASURE_PERIOD_BROKER_VALUE","DEEP_MEASURE_ID_OVERRIDE",$C104,"DEEP_BROKER_ID_OVERRIDE",BQ$24,"DEEP_PERIOD_OVERRIDE",$H$19)*1,"")))</f>
        <v/>
      </c>
      <c r="BR104" s="17" t="str">
        <f>IF(OR(BR$23="",ISNA($B104)),"",IF(ISBLANK($B104),"",IFERROR(_xll.BDP(TICKER,"DEEP_MEASURE_PERIOD_BROKER_VALUE","DEEP_MEASURE_ID_OVERRIDE",$C104,"DEEP_BROKER_ID_OVERRIDE",BR$24,"DEEP_PERIOD_OVERRIDE",$H$19)*1,"")))</f>
        <v/>
      </c>
      <c r="BS104" s="17" t="str">
        <f>IF(OR(BS$23="",ISNA($B104)),"",IF(ISBLANK($B104),"",IFERROR(_xll.BDP(TICKER,"DEEP_MEASURE_PERIOD_BROKER_VALUE","DEEP_MEASURE_ID_OVERRIDE",$C104,"DEEP_BROKER_ID_OVERRIDE",BS$24,"DEEP_PERIOD_OVERRIDE",$H$19)*1,"")))</f>
        <v/>
      </c>
      <c r="BT104" s="17" t="str">
        <f>IF(OR(BT$23="",ISNA($B104)),"",IF(ISBLANK($B104),"",IFERROR(_xll.BDP(TICKER,"DEEP_MEASURE_PERIOD_BROKER_VALUE","DEEP_MEASURE_ID_OVERRIDE",$C104,"DEEP_BROKER_ID_OVERRIDE",BT$24,"DEEP_PERIOD_OVERRIDE",$H$19)*1,"")))</f>
        <v/>
      </c>
      <c r="BU104" s="17" t="str">
        <f>IF(OR(BU$23="",ISNA($B104)),"",IF(ISBLANK($B104),"",IFERROR(_xll.BDP(TICKER,"DEEP_MEASURE_PERIOD_BROKER_VALUE","DEEP_MEASURE_ID_OVERRIDE",$C104,"DEEP_BROKER_ID_OVERRIDE",BU$24,"DEEP_PERIOD_OVERRIDE",$H$19)*1,"")))</f>
        <v/>
      </c>
      <c r="BV104" s="17" t="str">
        <f>IF(OR(BV$23="",ISNA($B104)),"",IF(ISBLANK($B104),"",IFERROR(_xll.BDP(TICKER,"DEEP_MEASURE_PERIOD_BROKER_VALUE","DEEP_MEASURE_ID_OVERRIDE",$C104,"DEEP_BROKER_ID_OVERRIDE",BV$24,"DEEP_PERIOD_OVERRIDE",$H$19)*1,"")))</f>
        <v/>
      </c>
      <c r="BW104" s="17" t="str">
        <f>IF(OR(BW$23="",ISNA($B104)),"",IF(ISBLANK($B104),"",IFERROR(_xll.BDP(TICKER,"DEEP_MEASURE_PERIOD_BROKER_VALUE","DEEP_MEASURE_ID_OVERRIDE",$C104,"DEEP_BROKER_ID_OVERRIDE",BW$24,"DEEP_PERIOD_OVERRIDE",$H$19)*1,"")))</f>
        <v/>
      </c>
      <c r="BX104" s="17" t="str">
        <f>IF(OR(BX$23="",ISNA($B104)),"",IF(ISBLANK($B104),"",IFERROR(_xll.BDP(TICKER,"DEEP_MEASURE_PERIOD_BROKER_VALUE","DEEP_MEASURE_ID_OVERRIDE",$C104,"DEEP_BROKER_ID_OVERRIDE",BX$24,"DEEP_PERIOD_OVERRIDE",$H$19)*1,"")))</f>
        <v/>
      </c>
      <c r="BY104" s="17" t="str">
        <f>IF(OR(BY$23="",ISNA($B104)),"",IF(ISBLANK($B104),"",IFERROR(_xll.BDP(TICKER,"DEEP_MEASURE_PERIOD_BROKER_VALUE","DEEP_MEASURE_ID_OVERRIDE",$C104,"DEEP_BROKER_ID_OVERRIDE",BY$24,"DEEP_PERIOD_OVERRIDE",$H$19)*1,"")))</f>
        <v/>
      </c>
      <c r="BZ104" s="17" t="str">
        <f>IF(OR(BZ$23="",ISNA($B104)),"",IF(ISBLANK($B104),"",IFERROR(_xll.BDP(TICKER,"DEEP_MEASURE_PERIOD_BROKER_VALUE","DEEP_MEASURE_ID_OVERRIDE",$C104,"DEEP_BROKER_ID_OVERRIDE",BZ$24,"DEEP_PERIOD_OVERRIDE",$H$19)*1,"")))</f>
        <v/>
      </c>
    </row>
    <row r="105" spans="2:78" x14ac:dyDescent="0.25">
      <c r="B105" t="s">
        <v>145</v>
      </c>
      <c r="C105">
        <v>1712</v>
      </c>
      <c r="H105" t="str">
        <f t="shared" si="2"/>
        <v>Sales &amp; Marketing Expenses &gt; Selling &amp; Marketing Expense (ex-SBC) &gt; YoY Growth (%)</v>
      </c>
      <c r="I105" t="str">
        <f>IF(OR(I$23="",ISNA($B105)),"",IF(ISBLANK($B105),"",IFERROR(_xll.BDP(TICKER,"DEEP_MEASURE_PERIOD_BROKER_VALUE","DEEP_MEASURE_ID_OVERRIDE",$C105,"DEEP_PERIOD_OVERRIDE",$H$19)*1,"")))</f>
        <v/>
      </c>
      <c r="J105" t="e">
        <f>IF(OR(J$23="",ISNA($B105)),"",IF(ISBLANK($B105),"",IFERROR(_xll.BDP(TICKER,"DEEP_MEASURE_PERIOD_BROKER_VALUE","DEEP_MEASURE_ID_OVERRIDE",$C105,"DEEP_BROKER_ID_OVERRIDE",J$24,"DEEP_PERIOD_OVERRIDE",$H$19)*1,"")))</f>
        <v>#REF!</v>
      </c>
      <c r="K105" s="17" t="str">
        <f>IF(OR(K$23="",ISNA($B105)),"",IF(ISBLANK($B105),"",IFERROR(_xll.BDP(TICKER,"DEEP_MEASURE_PERIOD_BROKER_VALUE","DEEP_MEASURE_ID_OVERRIDE",$C105,"DEEP_BROKER_ID_OVERRIDE",K$24,"DEEP_PERIOD_OVERRIDE",$H$19)*1,"")))</f>
        <v/>
      </c>
      <c r="L105" s="17" t="str">
        <f>IF(OR(L$23="",ISNA($B105)),"",IF(ISBLANK($B105),"",IFERROR(_xll.BDP(TICKER,"DEEP_MEASURE_PERIOD_BROKER_VALUE","DEEP_MEASURE_ID_OVERRIDE",$C105,"DEEP_BROKER_ID_OVERRIDE",L$24,"DEEP_PERIOD_OVERRIDE",$H$19)*1,"")))</f>
        <v/>
      </c>
      <c r="M105" s="17" t="str">
        <f>IF(OR(M$23="",ISNA($B105)),"",IF(ISBLANK($B105),"",IFERROR(_xll.BDP(TICKER,"DEEP_MEASURE_PERIOD_BROKER_VALUE","DEEP_MEASURE_ID_OVERRIDE",$C105,"DEEP_BROKER_ID_OVERRIDE",M$24,"DEEP_PERIOD_OVERRIDE",$H$19)*1,"")))</f>
        <v/>
      </c>
      <c r="N105" s="17" t="str">
        <f>IF(OR(N$23="",ISNA($B105)),"",IF(ISBLANK($B105),"",IFERROR(_xll.BDP(TICKER,"DEEP_MEASURE_PERIOD_BROKER_VALUE","DEEP_MEASURE_ID_OVERRIDE",$C105,"DEEP_BROKER_ID_OVERRIDE",N$24,"DEEP_PERIOD_OVERRIDE",$H$19)*1,"")))</f>
        <v/>
      </c>
      <c r="O105" s="17" t="str">
        <f>IF(OR(O$23="",ISNA($B105)),"",IF(ISBLANK($B105),"",IFERROR(_xll.BDP(TICKER,"DEEP_MEASURE_PERIOD_BROKER_VALUE","DEEP_MEASURE_ID_OVERRIDE",$C105,"DEEP_BROKER_ID_OVERRIDE",O$24,"DEEP_PERIOD_OVERRIDE",$H$19)*1,"")))</f>
        <v/>
      </c>
      <c r="P105" s="17" t="str">
        <f>IF(OR(P$23="",ISNA($B105)),"",IF(ISBLANK($B105),"",IFERROR(_xll.BDP(TICKER,"DEEP_MEASURE_PERIOD_BROKER_VALUE","DEEP_MEASURE_ID_OVERRIDE",$C105,"DEEP_BROKER_ID_OVERRIDE",P$24,"DEEP_PERIOD_OVERRIDE",$H$19)*1,"")))</f>
        <v/>
      </c>
      <c r="Q105" s="17" t="str">
        <f>IF(OR(Q$23="",ISNA($B105)),"",IF(ISBLANK($B105),"",IFERROR(_xll.BDP(TICKER,"DEEP_MEASURE_PERIOD_BROKER_VALUE","DEEP_MEASURE_ID_OVERRIDE",$C105,"DEEP_BROKER_ID_OVERRIDE",Q$24,"DEEP_PERIOD_OVERRIDE",$H$19)*1,"")))</f>
        <v/>
      </c>
      <c r="R105" s="17" t="str">
        <f>IF(OR(R$23="",ISNA($B105)),"",IF(ISBLANK($B105),"",IFERROR(_xll.BDP(TICKER,"DEEP_MEASURE_PERIOD_BROKER_VALUE","DEEP_MEASURE_ID_OVERRIDE",$C105,"DEEP_BROKER_ID_OVERRIDE",R$24,"DEEP_PERIOD_OVERRIDE",$H$19)*1,"")))</f>
        <v/>
      </c>
      <c r="S105" s="17" t="str">
        <f>IF(OR(S$23="",ISNA($B105)),"",IF(ISBLANK($B105),"",IFERROR(_xll.BDP(TICKER,"DEEP_MEASURE_PERIOD_BROKER_VALUE","DEEP_MEASURE_ID_OVERRIDE",$C105,"DEEP_BROKER_ID_OVERRIDE",S$24,"DEEP_PERIOD_OVERRIDE",$H$19)*1,"")))</f>
        <v/>
      </c>
      <c r="T105" s="17" t="str">
        <f>IF(OR(T$23="",ISNA($B105)),"",IF(ISBLANK($B105),"",IFERROR(_xll.BDP(TICKER,"DEEP_MEASURE_PERIOD_BROKER_VALUE","DEEP_MEASURE_ID_OVERRIDE",$C105,"DEEP_BROKER_ID_OVERRIDE",T$24,"DEEP_PERIOD_OVERRIDE",$H$19)*1,"")))</f>
        <v/>
      </c>
      <c r="U105" s="17" t="str">
        <f>IF(OR(U$23="",ISNA($B105)),"",IF(ISBLANK($B105),"",IFERROR(_xll.BDP(TICKER,"DEEP_MEASURE_PERIOD_BROKER_VALUE","DEEP_MEASURE_ID_OVERRIDE",$C105,"DEEP_BROKER_ID_OVERRIDE",U$24,"DEEP_PERIOD_OVERRIDE",$H$19)*1,"")))</f>
        <v/>
      </c>
      <c r="V105" s="17" t="str">
        <f>IF(OR(V$23="",ISNA($B105)),"",IF(ISBLANK($B105),"",IFERROR(_xll.BDP(TICKER,"DEEP_MEASURE_PERIOD_BROKER_VALUE","DEEP_MEASURE_ID_OVERRIDE",$C105,"DEEP_BROKER_ID_OVERRIDE",V$24,"DEEP_PERIOD_OVERRIDE",$H$19)*1,"")))</f>
        <v/>
      </c>
      <c r="W105" s="17" t="str">
        <f>IF(OR(W$23="",ISNA($B105)),"",IF(ISBLANK($B105),"",IFERROR(_xll.BDP(TICKER,"DEEP_MEASURE_PERIOD_BROKER_VALUE","DEEP_MEASURE_ID_OVERRIDE",$C105,"DEEP_BROKER_ID_OVERRIDE",W$24,"DEEP_PERIOD_OVERRIDE",$H$19)*1,"")))</f>
        <v/>
      </c>
      <c r="X105" s="17" t="str">
        <f>IF(OR(X$23="",ISNA($B105)),"",IF(ISBLANK($B105),"",IFERROR(_xll.BDP(TICKER,"DEEP_MEASURE_PERIOD_BROKER_VALUE","DEEP_MEASURE_ID_OVERRIDE",$C105,"DEEP_BROKER_ID_OVERRIDE",X$24,"DEEP_PERIOD_OVERRIDE",$H$19)*1,"")))</f>
        <v/>
      </c>
      <c r="Y105" s="17" t="str">
        <f>IF(OR(Y$23="",ISNA($B105)),"",IF(ISBLANK($B105),"",IFERROR(_xll.BDP(TICKER,"DEEP_MEASURE_PERIOD_BROKER_VALUE","DEEP_MEASURE_ID_OVERRIDE",$C105,"DEEP_BROKER_ID_OVERRIDE",Y$24,"DEEP_PERIOD_OVERRIDE",$H$19)*1,"")))</f>
        <v/>
      </c>
      <c r="Z105" s="17" t="str">
        <f>IF(OR(Z$23="",ISNA($B105)),"",IF(ISBLANK($B105),"",IFERROR(_xll.BDP(TICKER,"DEEP_MEASURE_PERIOD_BROKER_VALUE","DEEP_MEASURE_ID_OVERRIDE",$C105,"DEEP_BROKER_ID_OVERRIDE",Z$24,"DEEP_PERIOD_OVERRIDE",$H$19)*1,"")))</f>
        <v/>
      </c>
      <c r="AA105" s="17" t="str">
        <f>IF(OR(AA$23="",ISNA($B105)),"",IF(ISBLANK($B105),"",IFERROR(_xll.BDP(TICKER,"DEEP_MEASURE_PERIOD_BROKER_VALUE","DEEP_MEASURE_ID_OVERRIDE",$C105,"DEEP_BROKER_ID_OVERRIDE",AA$24,"DEEP_PERIOD_OVERRIDE",$H$19)*1,"")))</f>
        <v/>
      </c>
      <c r="AB105" s="17" t="str">
        <f>IF(OR(AB$23="",ISNA($B105)),"",IF(ISBLANK($B105),"",IFERROR(_xll.BDP(TICKER,"DEEP_MEASURE_PERIOD_BROKER_VALUE","DEEP_MEASURE_ID_OVERRIDE",$C105,"DEEP_BROKER_ID_OVERRIDE",AB$24,"DEEP_PERIOD_OVERRIDE",$H$19)*1,"")))</f>
        <v/>
      </c>
      <c r="AC105" s="17" t="str">
        <f>IF(OR(AC$23="",ISNA($B105)),"",IF(ISBLANK($B105),"",IFERROR(_xll.BDP(TICKER,"DEEP_MEASURE_PERIOD_BROKER_VALUE","DEEP_MEASURE_ID_OVERRIDE",$C105,"DEEP_BROKER_ID_OVERRIDE",AC$24,"DEEP_PERIOD_OVERRIDE",$H$19)*1,"")))</f>
        <v/>
      </c>
      <c r="AD105" s="17" t="str">
        <f>IF(OR(AD$23="",ISNA($B105)),"",IF(ISBLANK($B105),"",IFERROR(_xll.BDP(TICKER,"DEEP_MEASURE_PERIOD_BROKER_VALUE","DEEP_MEASURE_ID_OVERRIDE",$C105,"DEEP_BROKER_ID_OVERRIDE",AD$24,"DEEP_PERIOD_OVERRIDE",$H$19)*1,"")))</f>
        <v/>
      </c>
      <c r="AE105" s="17" t="str">
        <f>IF(OR(AE$23="",ISNA($B105)),"",IF(ISBLANK($B105),"",IFERROR(_xll.BDP(TICKER,"DEEP_MEASURE_PERIOD_BROKER_VALUE","DEEP_MEASURE_ID_OVERRIDE",$C105,"DEEP_BROKER_ID_OVERRIDE",AE$24,"DEEP_PERIOD_OVERRIDE",$H$19)*1,"")))</f>
        <v/>
      </c>
      <c r="AF105" s="17" t="str">
        <f>IF(OR(AF$23="",ISNA($B105)),"",IF(ISBLANK($B105),"",IFERROR(_xll.BDP(TICKER,"DEEP_MEASURE_PERIOD_BROKER_VALUE","DEEP_MEASURE_ID_OVERRIDE",$C105,"DEEP_BROKER_ID_OVERRIDE",AF$24,"DEEP_PERIOD_OVERRIDE",$H$19)*1,"")))</f>
        <v/>
      </c>
      <c r="AG105" s="17" t="str">
        <f>IF(OR(AG$23="",ISNA($B105)),"",IF(ISBLANK($B105),"",IFERROR(_xll.BDP(TICKER,"DEEP_MEASURE_PERIOD_BROKER_VALUE","DEEP_MEASURE_ID_OVERRIDE",$C105,"DEEP_BROKER_ID_OVERRIDE",AG$24,"DEEP_PERIOD_OVERRIDE",$H$19)*1,"")))</f>
        <v/>
      </c>
      <c r="AH105" s="17" t="str">
        <f>IF(OR(AH$23="",ISNA($B105)),"",IF(ISBLANK($B105),"",IFERROR(_xll.BDP(TICKER,"DEEP_MEASURE_PERIOD_BROKER_VALUE","DEEP_MEASURE_ID_OVERRIDE",$C105,"DEEP_BROKER_ID_OVERRIDE",AH$24,"DEEP_PERIOD_OVERRIDE",$H$19)*1,"")))</f>
        <v/>
      </c>
      <c r="AI105" s="17" t="str">
        <f>IF(OR(AI$23="",ISNA($B105)),"",IF(ISBLANK($B105),"",IFERROR(_xll.BDP(TICKER,"DEEP_MEASURE_PERIOD_BROKER_VALUE","DEEP_MEASURE_ID_OVERRIDE",$C105,"DEEP_BROKER_ID_OVERRIDE",AI$24,"DEEP_PERIOD_OVERRIDE",$H$19)*1,"")))</f>
        <v/>
      </c>
      <c r="AJ105" s="17" t="str">
        <f>IF(OR(AJ$23="",ISNA($B105)),"",IF(ISBLANK($B105),"",IFERROR(_xll.BDP(TICKER,"DEEP_MEASURE_PERIOD_BROKER_VALUE","DEEP_MEASURE_ID_OVERRIDE",$C105,"DEEP_BROKER_ID_OVERRIDE",AJ$24,"DEEP_PERIOD_OVERRIDE",$H$19)*1,"")))</f>
        <v/>
      </c>
      <c r="AK105" s="17" t="str">
        <f>IF(OR(AK$23="",ISNA($B105)),"",IF(ISBLANK($B105),"",IFERROR(_xll.BDP(TICKER,"DEEP_MEASURE_PERIOD_BROKER_VALUE","DEEP_MEASURE_ID_OVERRIDE",$C105,"DEEP_BROKER_ID_OVERRIDE",AK$24,"DEEP_PERIOD_OVERRIDE",$H$19)*1,"")))</f>
        <v/>
      </c>
      <c r="AL105" s="17" t="str">
        <f>IF(OR(AL$23="",ISNA($B105)),"",IF(ISBLANK($B105),"",IFERROR(_xll.BDP(TICKER,"DEEP_MEASURE_PERIOD_BROKER_VALUE","DEEP_MEASURE_ID_OVERRIDE",$C105,"DEEP_BROKER_ID_OVERRIDE",AL$24,"DEEP_PERIOD_OVERRIDE",$H$19)*1,"")))</f>
        <v/>
      </c>
      <c r="AM105" s="17" t="str">
        <f>IF(OR(AM$23="",ISNA($B105)),"",IF(ISBLANK($B105),"",IFERROR(_xll.BDP(TICKER,"DEEP_MEASURE_PERIOD_BROKER_VALUE","DEEP_MEASURE_ID_OVERRIDE",$C105,"DEEP_BROKER_ID_OVERRIDE",AM$24,"DEEP_PERIOD_OVERRIDE",$H$19)*1,"")))</f>
        <v/>
      </c>
      <c r="AN105" s="17" t="str">
        <f>IF(OR(AN$23="",ISNA($B105)),"",IF(ISBLANK($B105),"",IFERROR(_xll.BDP(TICKER,"DEEP_MEASURE_PERIOD_BROKER_VALUE","DEEP_MEASURE_ID_OVERRIDE",$C105,"DEEP_BROKER_ID_OVERRIDE",AN$24,"DEEP_PERIOD_OVERRIDE",$H$19)*1,"")))</f>
        <v/>
      </c>
      <c r="AO105" s="17" t="str">
        <f>IF(OR(AO$23="",ISNA($B105)),"",IF(ISBLANK($B105),"",IFERROR(_xll.BDP(TICKER,"DEEP_MEASURE_PERIOD_BROKER_VALUE","DEEP_MEASURE_ID_OVERRIDE",$C105,"DEEP_BROKER_ID_OVERRIDE",AO$24,"DEEP_PERIOD_OVERRIDE",$H$19)*1,"")))</f>
        <v/>
      </c>
      <c r="AP105" s="17" t="str">
        <f>IF(OR(AP$23="",ISNA($B105)),"",IF(ISBLANK($B105),"",IFERROR(_xll.BDP(TICKER,"DEEP_MEASURE_PERIOD_BROKER_VALUE","DEEP_MEASURE_ID_OVERRIDE",$C105,"DEEP_BROKER_ID_OVERRIDE",AP$24,"DEEP_PERIOD_OVERRIDE",$H$19)*1,"")))</f>
        <v/>
      </c>
      <c r="AQ105" s="17" t="str">
        <f>IF(OR(AQ$23="",ISNA($B105)),"",IF(ISBLANK($B105),"",IFERROR(_xll.BDP(TICKER,"DEEP_MEASURE_PERIOD_BROKER_VALUE","DEEP_MEASURE_ID_OVERRIDE",$C105,"DEEP_BROKER_ID_OVERRIDE",AQ$24,"DEEP_PERIOD_OVERRIDE",$H$19)*1,"")))</f>
        <v/>
      </c>
      <c r="AR105" s="17" t="str">
        <f>IF(OR(AR$23="",ISNA($B105)),"",IF(ISBLANK($B105),"",IFERROR(_xll.BDP(TICKER,"DEEP_MEASURE_PERIOD_BROKER_VALUE","DEEP_MEASURE_ID_OVERRIDE",$C105,"DEEP_BROKER_ID_OVERRIDE",AR$24,"DEEP_PERIOD_OVERRIDE",$H$19)*1,"")))</f>
        <v/>
      </c>
      <c r="AS105" s="17" t="str">
        <f>IF(OR(AS$23="",ISNA($B105)),"",IF(ISBLANK($B105),"",IFERROR(_xll.BDP(TICKER,"DEEP_MEASURE_PERIOD_BROKER_VALUE","DEEP_MEASURE_ID_OVERRIDE",$C105,"DEEP_BROKER_ID_OVERRIDE",AS$24,"DEEP_PERIOD_OVERRIDE",$H$19)*1,"")))</f>
        <v/>
      </c>
      <c r="AT105" s="17" t="str">
        <f>IF(OR(AT$23="",ISNA($B105)),"",IF(ISBLANK($B105),"",IFERROR(_xll.BDP(TICKER,"DEEP_MEASURE_PERIOD_BROKER_VALUE","DEEP_MEASURE_ID_OVERRIDE",$C105,"DEEP_BROKER_ID_OVERRIDE",AT$24,"DEEP_PERIOD_OVERRIDE",$H$19)*1,"")))</f>
        <v/>
      </c>
      <c r="AU105" s="17" t="str">
        <f>IF(OR(AU$23="",ISNA($B105)),"",IF(ISBLANK($B105),"",IFERROR(_xll.BDP(TICKER,"DEEP_MEASURE_PERIOD_BROKER_VALUE","DEEP_MEASURE_ID_OVERRIDE",$C105,"DEEP_BROKER_ID_OVERRIDE",AU$24,"DEEP_PERIOD_OVERRIDE",$H$19)*1,"")))</f>
        <v/>
      </c>
      <c r="AV105" s="17" t="str">
        <f>IF(OR(AV$23="",ISNA($B105)),"",IF(ISBLANK($B105),"",IFERROR(_xll.BDP(TICKER,"DEEP_MEASURE_PERIOD_BROKER_VALUE","DEEP_MEASURE_ID_OVERRIDE",$C105,"DEEP_BROKER_ID_OVERRIDE",AV$24,"DEEP_PERIOD_OVERRIDE",$H$19)*1,"")))</f>
        <v/>
      </c>
      <c r="AW105" s="17" t="str">
        <f>IF(OR(AW$23="",ISNA($B105)),"",IF(ISBLANK($B105),"",IFERROR(_xll.BDP(TICKER,"DEEP_MEASURE_PERIOD_BROKER_VALUE","DEEP_MEASURE_ID_OVERRIDE",$C105,"DEEP_BROKER_ID_OVERRIDE",AW$24,"DEEP_PERIOD_OVERRIDE",$H$19)*1,"")))</f>
        <v/>
      </c>
      <c r="AX105" s="17" t="str">
        <f>IF(OR(AX$23="",ISNA($B105)),"",IF(ISBLANK($B105),"",IFERROR(_xll.BDP(TICKER,"DEEP_MEASURE_PERIOD_BROKER_VALUE","DEEP_MEASURE_ID_OVERRIDE",$C105,"DEEP_BROKER_ID_OVERRIDE",AX$24,"DEEP_PERIOD_OVERRIDE",$H$19)*1,"")))</f>
        <v/>
      </c>
      <c r="AY105" s="17" t="str">
        <f>IF(OR(AY$23="",ISNA($B105)),"",IF(ISBLANK($B105),"",IFERROR(_xll.BDP(TICKER,"DEEP_MEASURE_PERIOD_BROKER_VALUE","DEEP_MEASURE_ID_OVERRIDE",$C105,"DEEP_BROKER_ID_OVERRIDE",AY$24,"DEEP_PERIOD_OVERRIDE",$H$19)*1,"")))</f>
        <v/>
      </c>
      <c r="AZ105" s="17" t="str">
        <f>IF(OR(AZ$23="",ISNA($B105)),"",IF(ISBLANK($B105),"",IFERROR(_xll.BDP(TICKER,"DEEP_MEASURE_PERIOD_BROKER_VALUE","DEEP_MEASURE_ID_OVERRIDE",$C105,"DEEP_BROKER_ID_OVERRIDE",AZ$24,"DEEP_PERIOD_OVERRIDE",$H$19)*1,"")))</f>
        <v/>
      </c>
      <c r="BA105" s="17" t="str">
        <f>IF(OR(BA$23="",ISNA($B105)),"",IF(ISBLANK($B105),"",IFERROR(_xll.BDP(TICKER,"DEEP_MEASURE_PERIOD_BROKER_VALUE","DEEP_MEASURE_ID_OVERRIDE",$C105,"DEEP_BROKER_ID_OVERRIDE",BA$24,"DEEP_PERIOD_OVERRIDE",$H$19)*1,"")))</f>
        <v/>
      </c>
      <c r="BB105" s="17" t="str">
        <f>IF(OR(BB$23="",ISNA($B105)),"",IF(ISBLANK($B105),"",IFERROR(_xll.BDP(TICKER,"DEEP_MEASURE_PERIOD_BROKER_VALUE","DEEP_MEASURE_ID_OVERRIDE",$C105,"DEEP_BROKER_ID_OVERRIDE",BB$24,"DEEP_PERIOD_OVERRIDE",$H$19)*1,"")))</f>
        <v/>
      </c>
      <c r="BC105" s="17" t="str">
        <f>IF(OR(BC$23="",ISNA($B105)),"",IF(ISBLANK($B105),"",IFERROR(_xll.BDP(TICKER,"DEEP_MEASURE_PERIOD_BROKER_VALUE","DEEP_MEASURE_ID_OVERRIDE",$C105,"DEEP_BROKER_ID_OVERRIDE",BC$24,"DEEP_PERIOD_OVERRIDE",$H$19)*1,"")))</f>
        <v/>
      </c>
      <c r="BD105" s="17" t="str">
        <f>IF(OR(BD$23="",ISNA($B105)),"",IF(ISBLANK($B105),"",IFERROR(_xll.BDP(TICKER,"DEEP_MEASURE_PERIOD_BROKER_VALUE","DEEP_MEASURE_ID_OVERRIDE",$C105,"DEEP_BROKER_ID_OVERRIDE",BD$24,"DEEP_PERIOD_OVERRIDE",$H$19)*1,"")))</f>
        <v/>
      </c>
      <c r="BE105" s="17" t="str">
        <f>IF(OR(BE$23="",ISNA($B105)),"",IF(ISBLANK($B105),"",IFERROR(_xll.BDP(TICKER,"DEEP_MEASURE_PERIOD_BROKER_VALUE","DEEP_MEASURE_ID_OVERRIDE",$C105,"DEEP_BROKER_ID_OVERRIDE",BE$24,"DEEP_PERIOD_OVERRIDE",$H$19)*1,"")))</f>
        <v/>
      </c>
      <c r="BF105" s="17" t="str">
        <f>IF(OR(BF$23="",ISNA($B105)),"",IF(ISBLANK($B105),"",IFERROR(_xll.BDP(TICKER,"DEEP_MEASURE_PERIOD_BROKER_VALUE","DEEP_MEASURE_ID_OVERRIDE",$C105,"DEEP_BROKER_ID_OVERRIDE",BF$24,"DEEP_PERIOD_OVERRIDE",$H$19)*1,"")))</f>
        <v/>
      </c>
      <c r="BG105" s="17" t="str">
        <f>IF(OR(BG$23="",ISNA($B105)),"",IF(ISBLANK($B105),"",IFERROR(_xll.BDP(TICKER,"DEEP_MEASURE_PERIOD_BROKER_VALUE","DEEP_MEASURE_ID_OVERRIDE",$C105,"DEEP_BROKER_ID_OVERRIDE",BG$24,"DEEP_PERIOD_OVERRIDE",$H$19)*1,"")))</f>
        <v/>
      </c>
      <c r="BH105" s="17" t="str">
        <f>IF(OR(BH$23="",ISNA($B105)),"",IF(ISBLANK($B105),"",IFERROR(_xll.BDP(TICKER,"DEEP_MEASURE_PERIOD_BROKER_VALUE","DEEP_MEASURE_ID_OVERRIDE",$C105,"DEEP_BROKER_ID_OVERRIDE",BH$24,"DEEP_PERIOD_OVERRIDE",$H$19)*1,"")))</f>
        <v/>
      </c>
      <c r="BI105" s="17" t="str">
        <f>IF(OR(BI$23="",ISNA($B105)),"",IF(ISBLANK($B105),"",IFERROR(_xll.BDP(TICKER,"DEEP_MEASURE_PERIOD_BROKER_VALUE","DEEP_MEASURE_ID_OVERRIDE",$C105,"DEEP_BROKER_ID_OVERRIDE",BI$24,"DEEP_PERIOD_OVERRIDE",$H$19)*1,"")))</f>
        <v/>
      </c>
      <c r="BJ105" s="17" t="str">
        <f>IF(OR(BJ$23="",ISNA($B105)),"",IF(ISBLANK($B105),"",IFERROR(_xll.BDP(TICKER,"DEEP_MEASURE_PERIOD_BROKER_VALUE","DEEP_MEASURE_ID_OVERRIDE",$C105,"DEEP_BROKER_ID_OVERRIDE",BJ$24,"DEEP_PERIOD_OVERRIDE",$H$19)*1,"")))</f>
        <v/>
      </c>
      <c r="BK105" s="17" t="str">
        <f>IF(OR(BK$23="",ISNA($B105)),"",IF(ISBLANK($B105),"",IFERROR(_xll.BDP(TICKER,"DEEP_MEASURE_PERIOD_BROKER_VALUE","DEEP_MEASURE_ID_OVERRIDE",$C105,"DEEP_BROKER_ID_OVERRIDE",BK$24,"DEEP_PERIOD_OVERRIDE",$H$19)*1,"")))</f>
        <v/>
      </c>
      <c r="BL105" s="17" t="str">
        <f>IF(OR(BL$23="",ISNA($B105)),"",IF(ISBLANK($B105),"",IFERROR(_xll.BDP(TICKER,"DEEP_MEASURE_PERIOD_BROKER_VALUE","DEEP_MEASURE_ID_OVERRIDE",$C105,"DEEP_BROKER_ID_OVERRIDE",BL$24,"DEEP_PERIOD_OVERRIDE",$H$19)*1,"")))</f>
        <v/>
      </c>
      <c r="BM105" s="17" t="str">
        <f>IF(OR(BM$23="",ISNA($B105)),"",IF(ISBLANK($B105),"",IFERROR(_xll.BDP(TICKER,"DEEP_MEASURE_PERIOD_BROKER_VALUE","DEEP_MEASURE_ID_OVERRIDE",$C105,"DEEP_BROKER_ID_OVERRIDE",BM$24,"DEEP_PERIOD_OVERRIDE",$H$19)*1,"")))</f>
        <v/>
      </c>
      <c r="BN105" s="17" t="str">
        <f>IF(OR(BN$23="",ISNA($B105)),"",IF(ISBLANK($B105),"",IFERROR(_xll.BDP(TICKER,"DEEP_MEASURE_PERIOD_BROKER_VALUE","DEEP_MEASURE_ID_OVERRIDE",$C105,"DEEP_BROKER_ID_OVERRIDE",BN$24,"DEEP_PERIOD_OVERRIDE",$H$19)*1,"")))</f>
        <v/>
      </c>
      <c r="BO105" s="17" t="str">
        <f>IF(OR(BO$23="",ISNA($B105)),"",IF(ISBLANK($B105),"",IFERROR(_xll.BDP(TICKER,"DEEP_MEASURE_PERIOD_BROKER_VALUE","DEEP_MEASURE_ID_OVERRIDE",$C105,"DEEP_BROKER_ID_OVERRIDE",BO$24,"DEEP_PERIOD_OVERRIDE",$H$19)*1,"")))</f>
        <v/>
      </c>
      <c r="BP105" s="17" t="str">
        <f>IF(OR(BP$23="",ISNA($B105)),"",IF(ISBLANK($B105),"",IFERROR(_xll.BDP(TICKER,"DEEP_MEASURE_PERIOD_BROKER_VALUE","DEEP_MEASURE_ID_OVERRIDE",$C105,"DEEP_BROKER_ID_OVERRIDE",BP$24,"DEEP_PERIOD_OVERRIDE",$H$19)*1,"")))</f>
        <v/>
      </c>
      <c r="BQ105" s="17" t="str">
        <f>IF(OR(BQ$23="",ISNA($B105)),"",IF(ISBLANK($B105),"",IFERROR(_xll.BDP(TICKER,"DEEP_MEASURE_PERIOD_BROKER_VALUE","DEEP_MEASURE_ID_OVERRIDE",$C105,"DEEP_BROKER_ID_OVERRIDE",BQ$24,"DEEP_PERIOD_OVERRIDE",$H$19)*1,"")))</f>
        <v/>
      </c>
      <c r="BR105" s="17" t="str">
        <f>IF(OR(BR$23="",ISNA($B105)),"",IF(ISBLANK($B105),"",IFERROR(_xll.BDP(TICKER,"DEEP_MEASURE_PERIOD_BROKER_VALUE","DEEP_MEASURE_ID_OVERRIDE",$C105,"DEEP_BROKER_ID_OVERRIDE",BR$24,"DEEP_PERIOD_OVERRIDE",$H$19)*1,"")))</f>
        <v/>
      </c>
      <c r="BS105" s="17" t="str">
        <f>IF(OR(BS$23="",ISNA($B105)),"",IF(ISBLANK($B105),"",IFERROR(_xll.BDP(TICKER,"DEEP_MEASURE_PERIOD_BROKER_VALUE","DEEP_MEASURE_ID_OVERRIDE",$C105,"DEEP_BROKER_ID_OVERRIDE",BS$24,"DEEP_PERIOD_OVERRIDE",$H$19)*1,"")))</f>
        <v/>
      </c>
      <c r="BT105" s="17" t="str">
        <f>IF(OR(BT$23="",ISNA($B105)),"",IF(ISBLANK($B105),"",IFERROR(_xll.BDP(TICKER,"DEEP_MEASURE_PERIOD_BROKER_VALUE","DEEP_MEASURE_ID_OVERRIDE",$C105,"DEEP_BROKER_ID_OVERRIDE",BT$24,"DEEP_PERIOD_OVERRIDE",$H$19)*1,"")))</f>
        <v/>
      </c>
      <c r="BU105" s="17" t="str">
        <f>IF(OR(BU$23="",ISNA($B105)),"",IF(ISBLANK($B105),"",IFERROR(_xll.BDP(TICKER,"DEEP_MEASURE_PERIOD_BROKER_VALUE","DEEP_MEASURE_ID_OVERRIDE",$C105,"DEEP_BROKER_ID_OVERRIDE",BU$24,"DEEP_PERIOD_OVERRIDE",$H$19)*1,"")))</f>
        <v/>
      </c>
      <c r="BV105" s="17" t="str">
        <f>IF(OR(BV$23="",ISNA($B105)),"",IF(ISBLANK($B105),"",IFERROR(_xll.BDP(TICKER,"DEEP_MEASURE_PERIOD_BROKER_VALUE","DEEP_MEASURE_ID_OVERRIDE",$C105,"DEEP_BROKER_ID_OVERRIDE",BV$24,"DEEP_PERIOD_OVERRIDE",$H$19)*1,"")))</f>
        <v/>
      </c>
      <c r="BW105" s="17" t="str">
        <f>IF(OR(BW$23="",ISNA($B105)),"",IF(ISBLANK($B105),"",IFERROR(_xll.BDP(TICKER,"DEEP_MEASURE_PERIOD_BROKER_VALUE","DEEP_MEASURE_ID_OVERRIDE",$C105,"DEEP_BROKER_ID_OVERRIDE",BW$24,"DEEP_PERIOD_OVERRIDE",$H$19)*1,"")))</f>
        <v/>
      </c>
      <c r="BX105" s="17" t="str">
        <f>IF(OR(BX$23="",ISNA($B105)),"",IF(ISBLANK($B105),"",IFERROR(_xll.BDP(TICKER,"DEEP_MEASURE_PERIOD_BROKER_VALUE","DEEP_MEASURE_ID_OVERRIDE",$C105,"DEEP_BROKER_ID_OVERRIDE",BX$24,"DEEP_PERIOD_OVERRIDE",$H$19)*1,"")))</f>
        <v/>
      </c>
      <c r="BY105" s="17" t="str">
        <f>IF(OR(BY$23="",ISNA($B105)),"",IF(ISBLANK($B105),"",IFERROR(_xll.BDP(TICKER,"DEEP_MEASURE_PERIOD_BROKER_VALUE","DEEP_MEASURE_ID_OVERRIDE",$C105,"DEEP_BROKER_ID_OVERRIDE",BY$24,"DEEP_PERIOD_OVERRIDE",$H$19)*1,"")))</f>
        <v/>
      </c>
      <c r="BZ105" s="17" t="str">
        <f>IF(OR(BZ$23="",ISNA($B105)),"",IF(ISBLANK($B105),"",IFERROR(_xll.BDP(TICKER,"DEEP_MEASURE_PERIOD_BROKER_VALUE","DEEP_MEASURE_ID_OVERRIDE",$C105,"DEEP_BROKER_ID_OVERRIDE",BZ$24,"DEEP_PERIOD_OVERRIDE",$H$19)*1,"")))</f>
        <v/>
      </c>
    </row>
    <row r="106" spans="2:78" x14ac:dyDescent="0.25">
      <c r="B106" t="s">
        <v>146</v>
      </c>
      <c r="C106">
        <v>341</v>
      </c>
      <c r="H106" t="str">
        <f t="shared" si="2"/>
        <v>Sales &amp; Marketing Expenses &gt; Stock Based Compensation (Non-GAAP)</v>
      </c>
      <c r="I106" t="str">
        <f>IF(OR(I$23="",ISNA($B106)),"",IF(ISBLANK($B106),"",IFERROR(_xll.BDP(TICKER,"DEEP_MEASURE_PERIOD_BROKER_VALUE","DEEP_MEASURE_ID_OVERRIDE",$C106,"DEEP_PERIOD_OVERRIDE",$H$19)*1,"")))</f>
        <v/>
      </c>
      <c r="J106" t="e">
        <f>IF(OR(J$23="",ISNA($B106)),"",IF(ISBLANK($B106),"",IFERROR(_xll.BDP(TICKER,"DEEP_MEASURE_PERIOD_BROKER_VALUE","DEEP_MEASURE_ID_OVERRIDE",$C106,"DEEP_BROKER_ID_OVERRIDE",J$24,"DEEP_PERIOD_OVERRIDE",$H$19)*1,"")))</f>
        <v>#REF!</v>
      </c>
      <c r="K106" s="17" t="str">
        <f>IF(OR(K$23="",ISNA($B106)),"",IF(ISBLANK($B106),"",IFERROR(_xll.BDP(TICKER,"DEEP_MEASURE_PERIOD_BROKER_VALUE","DEEP_MEASURE_ID_OVERRIDE",$C106,"DEEP_BROKER_ID_OVERRIDE",K$24,"DEEP_PERIOD_OVERRIDE",$H$19)*1,"")))</f>
        <v/>
      </c>
      <c r="L106" s="17" t="str">
        <f>IF(OR(L$23="",ISNA($B106)),"",IF(ISBLANK($B106),"",IFERROR(_xll.BDP(TICKER,"DEEP_MEASURE_PERIOD_BROKER_VALUE","DEEP_MEASURE_ID_OVERRIDE",$C106,"DEEP_BROKER_ID_OVERRIDE",L$24,"DEEP_PERIOD_OVERRIDE",$H$19)*1,"")))</f>
        <v/>
      </c>
      <c r="M106" s="17" t="str">
        <f>IF(OR(M$23="",ISNA($B106)),"",IF(ISBLANK($B106),"",IFERROR(_xll.BDP(TICKER,"DEEP_MEASURE_PERIOD_BROKER_VALUE","DEEP_MEASURE_ID_OVERRIDE",$C106,"DEEP_BROKER_ID_OVERRIDE",M$24,"DEEP_PERIOD_OVERRIDE",$H$19)*1,"")))</f>
        <v/>
      </c>
      <c r="N106" s="17" t="str">
        <f>IF(OR(N$23="",ISNA($B106)),"",IF(ISBLANK($B106),"",IFERROR(_xll.BDP(TICKER,"DEEP_MEASURE_PERIOD_BROKER_VALUE","DEEP_MEASURE_ID_OVERRIDE",$C106,"DEEP_BROKER_ID_OVERRIDE",N$24,"DEEP_PERIOD_OVERRIDE",$H$19)*1,"")))</f>
        <v/>
      </c>
      <c r="O106" s="17" t="str">
        <f>IF(OR(O$23="",ISNA($B106)),"",IF(ISBLANK($B106),"",IFERROR(_xll.BDP(TICKER,"DEEP_MEASURE_PERIOD_BROKER_VALUE","DEEP_MEASURE_ID_OVERRIDE",$C106,"DEEP_BROKER_ID_OVERRIDE",O$24,"DEEP_PERIOD_OVERRIDE",$H$19)*1,"")))</f>
        <v/>
      </c>
      <c r="P106" s="17" t="str">
        <f>IF(OR(P$23="",ISNA($B106)),"",IF(ISBLANK($B106),"",IFERROR(_xll.BDP(TICKER,"DEEP_MEASURE_PERIOD_BROKER_VALUE","DEEP_MEASURE_ID_OVERRIDE",$C106,"DEEP_BROKER_ID_OVERRIDE",P$24,"DEEP_PERIOD_OVERRIDE",$H$19)*1,"")))</f>
        <v/>
      </c>
      <c r="Q106" s="17" t="str">
        <f>IF(OR(Q$23="",ISNA($B106)),"",IF(ISBLANK($B106),"",IFERROR(_xll.BDP(TICKER,"DEEP_MEASURE_PERIOD_BROKER_VALUE","DEEP_MEASURE_ID_OVERRIDE",$C106,"DEEP_BROKER_ID_OVERRIDE",Q$24,"DEEP_PERIOD_OVERRIDE",$H$19)*1,"")))</f>
        <v/>
      </c>
      <c r="R106" s="17" t="str">
        <f>IF(OR(R$23="",ISNA($B106)),"",IF(ISBLANK($B106),"",IFERROR(_xll.BDP(TICKER,"DEEP_MEASURE_PERIOD_BROKER_VALUE","DEEP_MEASURE_ID_OVERRIDE",$C106,"DEEP_BROKER_ID_OVERRIDE",R$24,"DEEP_PERIOD_OVERRIDE",$H$19)*1,"")))</f>
        <v/>
      </c>
      <c r="S106" s="17" t="str">
        <f>IF(OR(S$23="",ISNA($B106)),"",IF(ISBLANK($B106),"",IFERROR(_xll.BDP(TICKER,"DEEP_MEASURE_PERIOD_BROKER_VALUE","DEEP_MEASURE_ID_OVERRIDE",$C106,"DEEP_BROKER_ID_OVERRIDE",S$24,"DEEP_PERIOD_OVERRIDE",$H$19)*1,"")))</f>
        <v/>
      </c>
      <c r="T106" s="17" t="str">
        <f>IF(OR(T$23="",ISNA($B106)),"",IF(ISBLANK($B106),"",IFERROR(_xll.BDP(TICKER,"DEEP_MEASURE_PERIOD_BROKER_VALUE","DEEP_MEASURE_ID_OVERRIDE",$C106,"DEEP_BROKER_ID_OVERRIDE",T$24,"DEEP_PERIOD_OVERRIDE",$H$19)*1,"")))</f>
        <v/>
      </c>
      <c r="U106" s="17" t="str">
        <f>IF(OR(U$23="",ISNA($B106)),"",IF(ISBLANK($B106),"",IFERROR(_xll.BDP(TICKER,"DEEP_MEASURE_PERIOD_BROKER_VALUE","DEEP_MEASURE_ID_OVERRIDE",$C106,"DEEP_BROKER_ID_OVERRIDE",U$24,"DEEP_PERIOD_OVERRIDE",$H$19)*1,"")))</f>
        <v/>
      </c>
      <c r="V106" s="17" t="str">
        <f>IF(OR(V$23="",ISNA($B106)),"",IF(ISBLANK($B106),"",IFERROR(_xll.BDP(TICKER,"DEEP_MEASURE_PERIOD_BROKER_VALUE","DEEP_MEASURE_ID_OVERRIDE",$C106,"DEEP_BROKER_ID_OVERRIDE",V$24,"DEEP_PERIOD_OVERRIDE",$H$19)*1,"")))</f>
        <v/>
      </c>
      <c r="W106" s="17" t="str">
        <f>IF(OR(W$23="",ISNA($B106)),"",IF(ISBLANK($B106),"",IFERROR(_xll.BDP(TICKER,"DEEP_MEASURE_PERIOD_BROKER_VALUE","DEEP_MEASURE_ID_OVERRIDE",$C106,"DEEP_BROKER_ID_OVERRIDE",W$24,"DEEP_PERIOD_OVERRIDE",$H$19)*1,"")))</f>
        <v/>
      </c>
      <c r="X106" s="17" t="str">
        <f>IF(OR(X$23="",ISNA($B106)),"",IF(ISBLANK($B106),"",IFERROR(_xll.BDP(TICKER,"DEEP_MEASURE_PERIOD_BROKER_VALUE","DEEP_MEASURE_ID_OVERRIDE",$C106,"DEEP_BROKER_ID_OVERRIDE",X$24,"DEEP_PERIOD_OVERRIDE",$H$19)*1,"")))</f>
        <v/>
      </c>
      <c r="Y106" s="17" t="str">
        <f>IF(OR(Y$23="",ISNA($B106)),"",IF(ISBLANK($B106),"",IFERROR(_xll.BDP(TICKER,"DEEP_MEASURE_PERIOD_BROKER_VALUE","DEEP_MEASURE_ID_OVERRIDE",$C106,"DEEP_BROKER_ID_OVERRIDE",Y$24,"DEEP_PERIOD_OVERRIDE",$H$19)*1,"")))</f>
        <v/>
      </c>
      <c r="Z106" s="17" t="str">
        <f>IF(OR(Z$23="",ISNA($B106)),"",IF(ISBLANK($B106),"",IFERROR(_xll.BDP(TICKER,"DEEP_MEASURE_PERIOD_BROKER_VALUE","DEEP_MEASURE_ID_OVERRIDE",$C106,"DEEP_BROKER_ID_OVERRIDE",Z$24,"DEEP_PERIOD_OVERRIDE",$H$19)*1,"")))</f>
        <v/>
      </c>
      <c r="AA106" s="17" t="str">
        <f>IF(OR(AA$23="",ISNA($B106)),"",IF(ISBLANK($B106),"",IFERROR(_xll.BDP(TICKER,"DEEP_MEASURE_PERIOD_BROKER_VALUE","DEEP_MEASURE_ID_OVERRIDE",$C106,"DEEP_BROKER_ID_OVERRIDE",AA$24,"DEEP_PERIOD_OVERRIDE",$H$19)*1,"")))</f>
        <v/>
      </c>
      <c r="AB106" s="17" t="str">
        <f>IF(OR(AB$23="",ISNA($B106)),"",IF(ISBLANK($B106),"",IFERROR(_xll.BDP(TICKER,"DEEP_MEASURE_PERIOD_BROKER_VALUE","DEEP_MEASURE_ID_OVERRIDE",$C106,"DEEP_BROKER_ID_OVERRIDE",AB$24,"DEEP_PERIOD_OVERRIDE",$H$19)*1,"")))</f>
        <v/>
      </c>
      <c r="AC106" s="17" t="str">
        <f>IF(OR(AC$23="",ISNA($B106)),"",IF(ISBLANK($B106),"",IFERROR(_xll.BDP(TICKER,"DEEP_MEASURE_PERIOD_BROKER_VALUE","DEEP_MEASURE_ID_OVERRIDE",$C106,"DEEP_BROKER_ID_OVERRIDE",AC$24,"DEEP_PERIOD_OVERRIDE",$H$19)*1,"")))</f>
        <v/>
      </c>
      <c r="AD106" s="17" t="str">
        <f>IF(OR(AD$23="",ISNA($B106)),"",IF(ISBLANK($B106),"",IFERROR(_xll.BDP(TICKER,"DEEP_MEASURE_PERIOD_BROKER_VALUE","DEEP_MEASURE_ID_OVERRIDE",$C106,"DEEP_BROKER_ID_OVERRIDE",AD$24,"DEEP_PERIOD_OVERRIDE",$H$19)*1,"")))</f>
        <v/>
      </c>
      <c r="AE106" s="17" t="str">
        <f>IF(OR(AE$23="",ISNA($B106)),"",IF(ISBLANK($B106),"",IFERROR(_xll.BDP(TICKER,"DEEP_MEASURE_PERIOD_BROKER_VALUE","DEEP_MEASURE_ID_OVERRIDE",$C106,"DEEP_BROKER_ID_OVERRIDE",AE$24,"DEEP_PERIOD_OVERRIDE",$H$19)*1,"")))</f>
        <v/>
      </c>
      <c r="AF106" s="17" t="str">
        <f>IF(OR(AF$23="",ISNA($B106)),"",IF(ISBLANK($B106),"",IFERROR(_xll.BDP(TICKER,"DEEP_MEASURE_PERIOD_BROKER_VALUE","DEEP_MEASURE_ID_OVERRIDE",$C106,"DEEP_BROKER_ID_OVERRIDE",AF$24,"DEEP_PERIOD_OVERRIDE",$H$19)*1,"")))</f>
        <v/>
      </c>
      <c r="AG106" s="17" t="str">
        <f>IF(OR(AG$23="",ISNA($B106)),"",IF(ISBLANK($B106),"",IFERROR(_xll.BDP(TICKER,"DEEP_MEASURE_PERIOD_BROKER_VALUE","DEEP_MEASURE_ID_OVERRIDE",$C106,"DEEP_BROKER_ID_OVERRIDE",AG$24,"DEEP_PERIOD_OVERRIDE",$H$19)*1,"")))</f>
        <v/>
      </c>
      <c r="AH106" s="17" t="str">
        <f>IF(OR(AH$23="",ISNA($B106)),"",IF(ISBLANK($B106),"",IFERROR(_xll.BDP(TICKER,"DEEP_MEASURE_PERIOD_BROKER_VALUE","DEEP_MEASURE_ID_OVERRIDE",$C106,"DEEP_BROKER_ID_OVERRIDE",AH$24,"DEEP_PERIOD_OVERRIDE",$H$19)*1,"")))</f>
        <v/>
      </c>
      <c r="AI106" s="17" t="str">
        <f>IF(OR(AI$23="",ISNA($B106)),"",IF(ISBLANK($B106),"",IFERROR(_xll.BDP(TICKER,"DEEP_MEASURE_PERIOD_BROKER_VALUE","DEEP_MEASURE_ID_OVERRIDE",$C106,"DEEP_BROKER_ID_OVERRIDE",AI$24,"DEEP_PERIOD_OVERRIDE",$H$19)*1,"")))</f>
        <v/>
      </c>
      <c r="AJ106" s="17" t="str">
        <f>IF(OR(AJ$23="",ISNA($B106)),"",IF(ISBLANK($B106),"",IFERROR(_xll.BDP(TICKER,"DEEP_MEASURE_PERIOD_BROKER_VALUE","DEEP_MEASURE_ID_OVERRIDE",$C106,"DEEP_BROKER_ID_OVERRIDE",AJ$24,"DEEP_PERIOD_OVERRIDE",$H$19)*1,"")))</f>
        <v/>
      </c>
      <c r="AK106" s="17" t="str">
        <f>IF(OR(AK$23="",ISNA($B106)),"",IF(ISBLANK($B106),"",IFERROR(_xll.BDP(TICKER,"DEEP_MEASURE_PERIOD_BROKER_VALUE","DEEP_MEASURE_ID_OVERRIDE",$C106,"DEEP_BROKER_ID_OVERRIDE",AK$24,"DEEP_PERIOD_OVERRIDE",$H$19)*1,"")))</f>
        <v/>
      </c>
      <c r="AL106" s="17" t="str">
        <f>IF(OR(AL$23="",ISNA($B106)),"",IF(ISBLANK($B106),"",IFERROR(_xll.BDP(TICKER,"DEEP_MEASURE_PERIOD_BROKER_VALUE","DEEP_MEASURE_ID_OVERRIDE",$C106,"DEEP_BROKER_ID_OVERRIDE",AL$24,"DEEP_PERIOD_OVERRIDE",$H$19)*1,"")))</f>
        <v/>
      </c>
      <c r="AM106" s="17" t="str">
        <f>IF(OR(AM$23="",ISNA($B106)),"",IF(ISBLANK($B106),"",IFERROR(_xll.BDP(TICKER,"DEEP_MEASURE_PERIOD_BROKER_VALUE","DEEP_MEASURE_ID_OVERRIDE",$C106,"DEEP_BROKER_ID_OVERRIDE",AM$24,"DEEP_PERIOD_OVERRIDE",$H$19)*1,"")))</f>
        <v/>
      </c>
      <c r="AN106" s="17" t="str">
        <f>IF(OR(AN$23="",ISNA($B106)),"",IF(ISBLANK($B106),"",IFERROR(_xll.BDP(TICKER,"DEEP_MEASURE_PERIOD_BROKER_VALUE","DEEP_MEASURE_ID_OVERRIDE",$C106,"DEEP_BROKER_ID_OVERRIDE",AN$24,"DEEP_PERIOD_OVERRIDE",$H$19)*1,"")))</f>
        <v/>
      </c>
      <c r="AO106" s="17" t="str">
        <f>IF(OR(AO$23="",ISNA($B106)),"",IF(ISBLANK($B106),"",IFERROR(_xll.BDP(TICKER,"DEEP_MEASURE_PERIOD_BROKER_VALUE","DEEP_MEASURE_ID_OVERRIDE",$C106,"DEEP_BROKER_ID_OVERRIDE",AO$24,"DEEP_PERIOD_OVERRIDE",$H$19)*1,"")))</f>
        <v/>
      </c>
      <c r="AP106" s="17" t="str">
        <f>IF(OR(AP$23="",ISNA($B106)),"",IF(ISBLANK($B106),"",IFERROR(_xll.BDP(TICKER,"DEEP_MEASURE_PERIOD_BROKER_VALUE","DEEP_MEASURE_ID_OVERRIDE",$C106,"DEEP_BROKER_ID_OVERRIDE",AP$24,"DEEP_PERIOD_OVERRIDE",$H$19)*1,"")))</f>
        <v/>
      </c>
      <c r="AQ106" s="17" t="str">
        <f>IF(OR(AQ$23="",ISNA($B106)),"",IF(ISBLANK($B106),"",IFERROR(_xll.BDP(TICKER,"DEEP_MEASURE_PERIOD_BROKER_VALUE","DEEP_MEASURE_ID_OVERRIDE",$C106,"DEEP_BROKER_ID_OVERRIDE",AQ$24,"DEEP_PERIOD_OVERRIDE",$H$19)*1,"")))</f>
        <v/>
      </c>
      <c r="AR106" s="17" t="str">
        <f>IF(OR(AR$23="",ISNA($B106)),"",IF(ISBLANK($B106),"",IFERROR(_xll.BDP(TICKER,"DEEP_MEASURE_PERIOD_BROKER_VALUE","DEEP_MEASURE_ID_OVERRIDE",$C106,"DEEP_BROKER_ID_OVERRIDE",AR$24,"DEEP_PERIOD_OVERRIDE",$H$19)*1,"")))</f>
        <v/>
      </c>
      <c r="AS106" s="17" t="str">
        <f>IF(OR(AS$23="",ISNA($B106)),"",IF(ISBLANK($B106),"",IFERROR(_xll.BDP(TICKER,"DEEP_MEASURE_PERIOD_BROKER_VALUE","DEEP_MEASURE_ID_OVERRIDE",$C106,"DEEP_BROKER_ID_OVERRIDE",AS$24,"DEEP_PERIOD_OVERRIDE",$H$19)*1,"")))</f>
        <v/>
      </c>
      <c r="AT106" s="17" t="str">
        <f>IF(OR(AT$23="",ISNA($B106)),"",IF(ISBLANK($B106),"",IFERROR(_xll.BDP(TICKER,"DEEP_MEASURE_PERIOD_BROKER_VALUE","DEEP_MEASURE_ID_OVERRIDE",$C106,"DEEP_BROKER_ID_OVERRIDE",AT$24,"DEEP_PERIOD_OVERRIDE",$H$19)*1,"")))</f>
        <v/>
      </c>
      <c r="AU106" s="17" t="str">
        <f>IF(OR(AU$23="",ISNA($B106)),"",IF(ISBLANK($B106),"",IFERROR(_xll.BDP(TICKER,"DEEP_MEASURE_PERIOD_BROKER_VALUE","DEEP_MEASURE_ID_OVERRIDE",$C106,"DEEP_BROKER_ID_OVERRIDE",AU$24,"DEEP_PERIOD_OVERRIDE",$H$19)*1,"")))</f>
        <v/>
      </c>
      <c r="AV106" s="17" t="str">
        <f>IF(OR(AV$23="",ISNA($B106)),"",IF(ISBLANK($B106),"",IFERROR(_xll.BDP(TICKER,"DEEP_MEASURE_PERIOD_BROKER_VALUE","DEEP_MEASURE_ID_OVERRIDE",$C106,"DEEP_BROKER_ID_OVERRIDE",AV$24,"DEEP_PERIOD_OVERRIDE",$H$19)*1,"")))</f>
        <v/>
      </c>
      <c r="AW106" s="17" t="str">
        <f>IF(OR(AW$23="",ISNA($B106)),"",IF(ISBLANK($B106),"",IFERROR(_xll.BDP(TICKER,"DEEP_MEASURE_PERIOD_BROKER_VALUE","DEEP_MEASURE_ID_OVERRIDE",$C106,"DEEP_BROKER_ID_OVERRIDE",AW$24,"DEEP_PERIOD_OVERRIDE",$H$19)*1,"")))</f>
        <v/>
      </c>
      <c r="AX106" s="17" t="str">
        <f>IF(OR(AX$23="",ISNA($B106)),"",IF(ISBLANK($B106),"",IFERROR(_xll.BDP(TICKER,"DEEP_MEASURE_PERIOD_BROKER_VALUE","DEEP_MEASURE_ID_OVERRIDE",$C106,"DEEP_BROKER_ID_OVERRIDE",AX$24,"DEEP_PERIOD_OVERRIDE",$H$19)*1,"")))</f>
        <v/>
      </c>
      <c r="AY106" s="17" t="str">
        <f>IF(OR(AY$23="",ISNA($B106)),"",IF(ISBLANK($B106),"",IFERROR(_xll.BDP(TICKER,"DEEP_MEASURE_PERIOD_BROKER_VALUE","DEEP_MEASURE_ID_OVERRIDE",$C106,"DEEP_BROKER_ID_OVERRIDE",AY$24,"DEEP_PERIOD_OVERRIDE",$H$19)*1,"")))</f>
        <v/>
      </c>
      <c r="AZ106" s="17" t="str">
        <f>IF(OR(AZ$23="",ISNA($B106)),"",IF(ISBLANK($B106),"",IFERROR(_xll.BDP(TICKER,"DEEP_MEASURE_PERIOD_BROKER_VALUE","DEEP_MEASURE_ID_OVERRIDE",$C106,"DEEP_BROKER_ID_OVERRIDE",AZ$24,"DEEP_PERIOD_OVERRIDE",$H$19)*1,"")))</f>
        <v/>
      </c>
      <c r="BA106" s="17" t="str">
        <f>IF(OR(BA$23="",ISNA($B106)),"",IF(ISBLANK($B106),"",IFERROR(_xll.BDP(TICKER,"DEEP_MEASURE_PERIOD_BROKER_VALUE","DEEP_MEASURE_ID_OVERRIDE",$C106,"DEEP_BROKER_ID_OVERRIDE",BA$24,"DEEP_PERIOD_OVERRIDE",$H$19)*1,"")))</f>
        <v/>
      </c>
      <c r="BB106" s="17" t="str">
        <f>IF(OR(BB$23="",ISNA($B106)),"",IF(ISBLANK($B106),"",IFERROR(_xll.BDP(TICKER,"DEEP_MEASURE_PERIOD_BROKER_VALUE","DEEP_MEASURE_ID_OVERRIDE",$C106,"DEEP_BROKER_ID_OVERRIDE",BB$24,"DEEP_PERIOD_OVERRIDE",$H$19)*1,"")))</f>
        <v/>
      </c>
      <c r="BC106" s="17" t="str">
        <f>IF(OR(BC$23="",ISNA($B106)),"",IF(ISBLANK($B106),"",IFERROR(_xll.BDP(TICKER,"DEEP_MEASURE_PERIOD_BROKER_VALUE","DEEP_MEASURE_ID_OVERRIDE",$C106,"DEEP_BROKER_ID_OVERRIDE",BC$24,"DEEP_PERIOD_OVERRIDE",$H$19)*1,"")))</f>
        <v/>
      </c>
      <c r="BD106" s="17" t="str">
        <f>IF(OR(BD$23="",ISNA($B106)),"",IF(ISBLANK($B106),"",IFERROR(_xll.BDP(TICKER,"DEEP_MEASURE_PERIOD_BROKER_VALUE","DEEP_MEASURE_ID_OVERRIDE",$C106,"DEEP_BROKER_ID_OVERRIDE",BD$24,"DEEP_PERIOD_OVERRIDE",$H$19)*1,"")))</f>
        <v/>
      </c>
      <c r="BE106" s="17" t="str">
        <f>IF(OR(BE$23="",ISNA($B106)),"",IF(ISBLANK($B106),"",IFERROR(_xll.BDP(TICKER,"DEEP_MEASURE_PERIOD_BROKER_VALUE","DEEP_MEASURE_ID_OVERRIDE",$C106,"DEEP_BROKER_ID_OVERRIDE",BE$24,"DEEP_PERIOD_OVERRIDE",$H$19)*1,"")))</f>
        <v/>
      </c>
      <c r="BF106" s="17" t="str">
        <f>IF(OR(BF$23="",ISNA($B106)),"",IF(ISBLANK($B106),"",IFERROR(_xll.BDP(TICKER,"DEEP_MEASURE_PERIOD_BROKER_VALUE","DEEP_MEASURE_ID_OVERRIDE",$C106,"DEEP_BROKER_ID_OVERRIDE",BF$24,"DEEP_PERIOD_OVERRIDE",$H$19)*1,"")))</f>
        <v/>
      </c>
      <c r="BG106" s="17" t="str">
        <f>IF(OR(BG$23="",ISNA($B106)),"",IF(ISBLANK($B106),"",IFERROR(_xll.BDP(TICKER,"DEEP_MEASURE_PERIOD_BROKER_VALUE","DEEP_MEASURE_ID_OVERRIDE",$C106,"DEEP_BROKER_ID_OVERRIDE",BG$24,"DEEP_PERIOD_OVERRIDE",$H$19)*1,"")))</f>
        <v/>
      </c>
      <c r="BH106" s="17" t="str">
        <f>IF(OR(BH$23="",ISNA($B106)),"",IF(ISBLANK($B106),"",IFERROR(_xll.BDP(TICKER,"DEEP_MEASURE_PERIOD_BROKER_VALUE","DEEP_MEASURE_ID_OVERRIDE",$C106,"DEEP_BROKER_ID_OVERRIDE",BH$24,"DEEP_PERIOD_OVERRIDE",$H$19)*1,"")))</f>
        <v/>
      </c>
      <c r="BI106" s="17" t="str">
        <f>IF(OR(BI$23="",ISNA($B106)),"",IF(ISBLANK($B106),"",IFERROR(_xll.BDP(TICKER,"DEEP_MEASURE_PERIOD_BROKER_VALUE","DEEP_MEASURE_ID_OVERRIDE",$C106,"DEEP_BROKER_ID_OVERRIDE",BI$24,"DEEP_PERIOD_OVERRIDE",$H$19)*1,"")))</f>
        <v/>
      </c>
      <c r="BJ106" s="17" t="str">
        <f>IF(OR(BJ$23="",ISNA($B106)),"",IF(ISBLANK($B106),"",IFERROR(_xll.BDP(TICKER,"DEEP_MEASURE_PERIOD_BROKER_VALUE","DEEP_MEASURE_ID_OVERRIDE",$C106,"DEEP_BROKER_ID_OVERRIDE",BJ$24,"DEEP_PERIOD_OVERRIDE",$H$19)*1,"")))</f>
        <v/>
      </c>
      <c r="BK106" s="17" t="str">
        <f>IF(OR(BK$23="",ISNA($B106)),"",IF(ISBLANK($B106),"",IFERROR(_xll.BDP(TICKER,"DEEP_MEASURE_PERIOD_BROKER_VALUE","DEEP_MEASURE_ID_OVERRIDE",$C106,"DEEP_BROKER_ID_OVERRIDE",BK$24,"DEEP_PERIOD_OVERRIDE",$H$19)*1,"")))</f>
        <v/>
      </c>
      <c r="BL106" s="17" t="str">
        <f>IF(OR(BL$23="",ISNA($B106)),"",IF(ISBLANK($B106),"",IFERROR(_xll.BDP(TICKER,"DEEP_MEASURE_PERIOD_BROKER_VALUE","DEEP_MEASURE_ID_OVERRIDE",$C106,"DEEP_BROKER_ID_OVERRIDE",BL$24,"DEEP_PERIOD_OVERRIDE",$H$19)*1,"")))</f>
        <v/>
      </c>
      <c r="BM106" s="17" t="str">
        <f>IF(OR(BM$23="",ISNA($B106)),"",IF(ISBLANK($B106),"",IFERROR(_xll.BDP(TICKER,"DEEP_MEASURE_PERIOD_BROKER_VALUE","DEEP_MEASURE_ID_OVERRIDE",$C106,"DEEP_BROKER_ID_OVERRIDE",BM$24,"DEEP_PERIOD_OVERRIDE",$H$19)*1,"")))</f>
        <v/>
      </c>
      <c r="BN106" s="17" t="str">
        <f>IF(OR(BN$23="",ISNA($B106)),"",IF(ISBLANK($B106),"",IFERROR(_xll.BDP(TICKER,"DEEP_MEASURE_PERIOD_BROKER_VALUE","DEEP_MEASURE_ID_OVERRIDE",$C106,"DEEP_BROKER_ID_OVERRIDE",BN$24,"DEEP_PERIOD_OVERRIDE",$H$19)*1,"")))</f>
        <v/>
      </c>
      <c r="BO106" s="17" t="str">
        <f>IF(OR(BO$23="",ISNA($B106)),"",IF(ISBLANK($B106),"",IFERROR(_xll.BDP(TICKER,"DEEP_MEASURE_PERIOD_BROKER_VALUE","DEEP_MEASURE_ID_OVERRIDE",$C106,"DEEP_BROKER_ID_OVERRIDE",BO$24,"DEEP_PERIOD_OVERRIDE",$H$19)*1,"")))</f>
        <v/>
      </c>
      <c r="BP106" s="17" t="str">
        <f>IF(OR(BP$23="",ISNA($B106)),"",IF(ISBLANK($B106),"",IFERROR(_xll.BDP(TICKER,"DEEP_MEASURE_PERIOD_BROKER_VALUE","DEEP_MEASURE_ID_OVERRIDE",$C106,"DEEP_BROKER_ID_OVERRIDE",BP$24,"DEEP_PERIOD_OVERRIDE",$H$19)*1,"")))</f>
        <v/>
      </c>
      <c r="BQ106" s="17" t="str">
        <f>IF(OR(BQ$23="",ISNA($B106)),"",IF(ISBLANK($B106),"",IFERROR(_xll.BDP(TICKER,"DEEP_MEASURE_PERIOD_BROKER_VALUE","DEEP_MEASURE_ID_OVERRIDE",$C106,"DEEP_BROKER_ID_OVERRIDE",BQ$24,"DEEP_PERIOD_OVERRIDE",$H$19)*1,"")))</f>
        <v/>
      </c>
      <c r="BR106" s="17" t="str">
        <f>IF(OR(BR$23="",ISNA($B106)),"",IF(ISBLANK($B106),"",IFERROR(_xll.BDP(TICKER,"DEEP_MEASURE_PERIOD_BROKER_VALUE","DEEP_MEASURE_ID_OVERRIDE",$C106,"DEEP_BROKER_ID_OVERRIDE",BR$24,"DEEP_PERIOD_OVERRIDE",$H$19)*1,"")))</f>
        <v/>
      </c>
      <c r="BS106" s="17" t="str">
        <f>IF(OR(BS$23="",ISNA($B106)),"",IF(ISBLANK($B106),"",IFERROR(_xll.BDP(TICKER,"DEEP_MEASURE_PERIOD_BROKER_VALUE","DEEP_MEASURE_ID_OVERRIDE",$C106,"DEEP_BROKER_ID_OVERRIDE",BS$24,"DEEP_PERIOD_OVERRIDE",$H$19)*1,"")))</f>
        <v/>
      </c>
      <c r="BT106" s="17" t="str">
        <f>IF(OR(BT$23="",ISNA($B106)),"",IF(ISBLANK($B106),"",IFERROR(_xll.BDP(TICKER,"DEEP_MEASURE_PERIOD_BROKER_VALUE","DEEP_MEASURE_ID_OVERRIDE",$C106,"DEEP_BROKER_ID_OVERRIDE",BT$24,"DEEP_PERIOD_OVERRIDE",$H$19)*1,"")))</f>
        <v/>
      </c>
      <c r="BU106" s="17" t="str">
        <f>IF(OR(BU$23="",ISNA($B106)),"",IF(ISBLANK($B106),"",IFERROR(_xll.BDP(TICKER,"DEEP_MEASURE_PERIOD_BROKER_VALUE","DEEP_MEASURE_ID_OVERRIDE",$C106,"DEEP_BROKER_ID_OVERRIDE",BU$24,"DEEP_PERIOD_OVERRIDE",$H$19)*1,"")))</f>
        <v/>
      </c>
      <c r="BV106" s="17" t="str">
        <f>IF(OR(BV$23="",ISNA($B106)),"",IF(ISBLANK($B106),"",IFERROR(_xll.BDP(TICKER,"DEEP_MEASURE_PERIOD_BROKER_VALUE","DEEP_MEASURE_ID_OVERRIDE",$C106,"DEEP_BROKER_ID_OVERRIDE",BV$24,"DEEP_PERIOD_OVERRIDE",$H$19)*1,"")))</f>
        <v/>
      </c>
      <c r="BW106" s="17" t="str">
        <f>IF(OR(BW$23="",ISNA($B106)),"",IF(ISBLANK($B106),"",IFERROR(_xll.BDP(TICKER,"DEEP_MEASURE_PERIOD_BROKER_VALUE","DEEP_MEASURE_ID_OVERRIDE",$C106,"DEEP_BROKER_ID_OVERRIDE",BW$24,"DEEP_PERIOD_OVERRIDE",$H$19)*1,"")))</f>
        <v/>
      </c>
      <c r="BX106" s="17" t="str">
        <f>IF(OR(BX$23="",ISNA($B106)),"",IF(ISBLANK($B106),"",IFERROR(_xll.BDP(TICKER,"DEEP_MEASURE_PERIOD_BROKER_VALUE","DEEP_MEASURE_ID_OVERRIDE",$C106,"DEEP_BROKER_ID_OVERRIDE",BX$24,"DEEP_PERIOD_OVERRIDE",$H$19)*1,"")))</f>
        <v/>
      </c>
      <c r="BY106" s="17" t="str">
        <f>IF(OR(BY$23="",ISNA($B106)),"",IF(ISBLANK($B106),"",IFERROR(_xll.BDP(TICKER,"DEEP_MEASURE_PERIOD_BROKER_VALUE","DEEP_MEASURE_ID_OVERRIDE",$C106,"DEEP_BROKER_ID_OVERRIDE",BY$24,"DEEP_PERIOD_OVERRIDE",$H$19)*1,"")))</f>
        <v/>
      </c>
      <c r="BZ106" s="17" t="str">
        <f>IF(OR(BZ$23="",ISNA($B106)),"",IF(ISBLANK($B106),"",IFERROR(_xll.BDP(TICKER,"DEEP_MEASURE_PERIOD_BROKER_VALUE","DEEP_MEASURE_ID_OVERRIDE",$C106,"DEEP_BROKER_ID_OVERRIDE",BZ$24,"DEEP_PERIOD_OVERRIDE",$H$19)*1,"")))</f>
        <v/>
      </c>
    </row>
    <row r="107" spans="2:78" x14ac:dyDescent="0.25">
      <c r="B107" t="s">
        <v>147</v>
      </c>
      <c r="C107">
        <v>307</v>
      </c>
      <c r="H107" t="str">
        <f t="shared" si="2"/>
        <v>General &amp; Administrative Expenses</v>
      </c>
      <c r="I107" t="str">
        <f>IF(OR(I$23="",ISNA($B107)),"",IF(ISBLANK($B107),"",IFERROR(_xll.BDP(TICKER,"DEEP_MEASURE_PERIOD_BROKER_VALUE","DEEP_MEASURE_ID_OVERRIDE",$C107,"DEEP_PERIOD_OVERRIDE",$H$19)*1,"")))</f>
        <v/>
      </c>
      <c r="J107" t="e">
        <f>IF(OR(J$23="",ISNA($B107)),"",IF(ISBLANK($B107),"",IFERROR(_xll.BDP(TICKER,"DEEP_MEASURE_PERIOD_BROKER_VALUE","DEEP_MEASURE_ID_OVERRIDE",$C107,"DEEP_BROKER_ID_OVERRIDE",J$24,"DEEP_PERIOD_OVERRIDE",$H$19)*1,"")))</f>
        <v>#REF!</v>
      </c>
      <c r="K107" s="17" t="str">
        <f>IF(OR(K$23="",ISNA($B107)),"",IF(ISBLANK($B107),"",IFERROR(_xll.BDP(TICKER,"DEEP_MEASURE_PERIOD_BROKER_VALUE","DEEP_MEASURE_ID_OVERRIDE",$C107,"DEEP_BROKER_ID_OVERRIDE",K$24,"DEEP_PERIOD_OVERRIDE",$H$19)*1,"")))</f>
        <v/>
      </c>
      <c r="L107" s="17" t="str">
        <f>IF(OR(L$23="",ISNA($B107)),"",IF(ISBLANK($B107),"",IFERROR(_xll.BDP(TICKER,"DEEP_MEASURE_PERIOD_BROKER_VALUE","DEEP_MEASURE_ID_OVERRIDE",$C107,"DEEP_BROKER_ID_OVERRIDE",L$24,"DEEP_PERIOD_OVERRIDE",$H$19)*1,"")))</f>
        <v/>
      </c>
      <c r="M107" s="17" t="str">
        <f>IF(OR(M$23="",ISNA($B107)),"",IF(ISBLANK($B107),"",IFERROR(_xll.BDP(TICKER,"DEEP_MEASURE_PERIOD_BROKER_VALUE","DEEP_MEASURE_ID_OVERRIDE",$C107,"DEEP_BROKER_ID_OVERRIDE",M$24,"DEEP_PERIOD_OVERRIDE",$H$19)*1,"")))</f>
        <v/>
      </c>
      <c r="N107" s="17" t="str">
        <f>IF(OR(N$23="",ISNA($B107)),"",IF(ISBLANK($B107),"",IFERROR(_xll.BDP(TICKER,"DEEP_MEASURE_PERIOD_BROKER_VALUE","DEEP_MEASURE_ID_OVERRIDE",$C107,"DEEP_BROKER_ID_OVERRIDE",N$24,"DEEP_PERIOD_OVERRIDE",$H$19)*1,"")))</f>
        <v/>
      </c>
      <c r="O107" s="17" t="str">
        <f>IF(OR(O$23="",ISNA($B107)),"",IF(ISBLANK($B107),"",IFERROR(_xll.BDP(TICKER,"DEEP_MEASURE_PERIOD_BROKER_VALUE","DEEP_MEASURE_ID_OVERRIDE",$C107,"DEEP_BROKER_ID_OVERRIDE",O$24,"DEEP_PERIOD_OVERRIDE",$H$19)*1,"")))</f>
        <v/>
      </c>
      <c r="P107" s="17" t="str">
        <f>IF(OR(P$23="",ISNA($B107)),"",IF(ISBLANK($B107),"",IFERROR(_xll.BDP(TICKER,"DEEP_MEASURE_PERIOD_BROKER_VALUE","DEEP_MEASURE_ID_OVERRIDE",$C107,"DEEP_BROKER_ID_OVERRIDE",P$24,"DEEP_PERIOD_OVERRIDE",$H$19)*1,"")))</f>
        <v/>
      </c>
      <c r="Q107" s="17" t="str">
        <f>IF(OR(Q$23="",ISNA($B107)),"",IF(ISBLANK($B107),"",IFERROR(_xll.BDP(TICKER,"DEEP_MEASURE_PERIOD_BROKER_VALUE","DEEP_MEASURE_ID_OVERRIDE",$C107,"DEEP_BROKER_ID_OVERRIDE",Q$24,"DEEP_PERIOD_OVERRIDE",$H$19)*1,"")))</f>
        <v/>
      </c>
      <c r="R107" s="17" t="str">
        <f>IF(OR(R$23="",ISNA($B107)),"",IF(ISBLANK($B107),"",IFERROR(_xll.BDP(TICKER,"DEEP_MEASURE_PERIOD_BROKER_VALUE","DEEP_MEASURE_ID_OVERRIDE",$C107,"DEEP_BROKER_ID_OVERRIDE",R$24,"DEEP_PERIOD_OVERRIDE",$H$19)*1,"")))</f>
        <v/>
      </c>
      <c r="S107" s="17" t="str">
        <f>IF(OR(S$23="",ISNA($B107)),"",IF(ISBLANK($B107),"",IFERROR(_xll.BDP(TICKER,"DEEP_MEASURE_PERIOD_BROKER_VALUE","DEEP_MEASURE_ID_OVERRIDE",$C107,"DEEP_BROKER_ID_OVERRIDE",S$24,"DEEP_PERIOD_OVERRIDE",$H$19)*1,"")))</f>
        <v/>
      </c>
      <c r="T107" s="17" t="str">
        <f>IF(OR(T$23="",ISNA($B107)),"",IF(ISBLANK($B107),"",IFERROR(_xll.BDP(TICKER,"DEEP_MEASURE_PERIOD_BROKER_VALUE","DEEP_MEASURE_ID_OVERRIDE",$C107,"DEEP_BROKER_ID_OVERRIDE",T$24,"DEEP_PERIOD_OVERRIDE",$H$19)*1,"")))</f>
        <v/>
      </c>
      <c r="U107" s="17" t="str">
        <f>IF(OR(U$23="",ISNA($B107)),"",IF(ISBLANK($B107),"",IFERROR(_xll.BDP(TICKER,"DEEP_MEASURE_PERIOD_BROKER_VALUE","DEEP_MEASURE_ID_OVERRIDE",$C107,"DEEP_BROKER_ID_OVERRIDE",U$24,"DEEP_PERIOD_OVERRIDE",$H$19)*1,"")))</f>
        <v/>
      </c>
      <c r="V107" s="17" t="str">
        <f>IF(OR(V$23="",ISNA($B107)),"",IF(ISBLANK($B107),"",IFERROR(_xll.BDP(TICKER,"DEEP_MEASURE_PERIOD_BROKER_VALUE","DEEP_MEASURE_ID_OVERRIDE",$C107,"DEEP_BROKER_ID_OVERRIDE",V$24,"DEEP_PERIOD_OVERRIDE",$H$19)*1,"")))</f>
        <v/>
      </c>
      <c r="W107" s="17" t="str">
        <f>IF(OR(W$23="",ISNA($B107)),"",IF(ISBLANK($B107),"",IFERROR(_xll.BDP(TICKER,"DEEP_MEASURE_PERIOD_BROKER_VALUE","DEEP_MEASURE_ID_OVERRIDE",$C107,"DEEP_BROKER_ID_OVERRIDE",W$24,"DEEP_PERIOD_OVERRIDE",$H$19)*1,"")))</f>
        <v/>
      </c>
      <c r="X107" s="17" t="str">
        <f>IF(OR(X$23="",ISNA($B107)),"",IF(ISBLANK($B107),"",IFERROR(_xll.BDP(TICKER,"DEEP_MEASURE_PERIOD_BROKER_VALUE","DEEP_MEASURE_ID_OVERRIDE",$C107,"DEEP_BROKER_ID_OVERRIDE",X$24,"DEEP_PERIOD_OVERRIDE",$H$19)*1,"")))</f>
        <v/>
      </c>
      <c r="Y107" s="17" t="str">
        <f>IF(OR(Y$23="",ISNA($B107)),"",IF(ISBLANK($B107),"",IFERROR(_xll.BDP(TICKER,"DEEP_MEASURE_PERIOD_BROKER_VALUE","DEEP_MEASURE_ID_OVERRIDE",$C107,"DEEP_BROKER_ID_OVERRIDE",Y$24,"DEEP_PERIOD_OVERRIDE",$H$19)*1,"")))</f>
        <v/>
      </c>
      <c r="Z107" s="17" t="str">
        <f>IF(OR(Z$23="",ISNA($B107)),"",IF(ISBLANK($B107),"",IFERROR(_xll.BDP(TICKER,"DEEP_MEASURE_PERIOD_BROKER_VALUE","DEEP_MEASURE_ID_OVERRIDE",$C107,"DEEP_BROKER_ID_OVERRIDE",Z$24,"DEEP_PERIOD_OVERRIDE",$H$19)*1,"")))</f>
        <v/>
      </c>
      <c r="AA107" s="17" t="str">
        <f>IF(OR(AA$23="",ISNA($B107)),"",IF(ISBLANK($B107),"",IFERROR(_xll.BDP(TICKER,"DEEP_MEASURE_PERIOD_BROKER_VALUE","DEEP_MEASURE_ID_OVERRIDE",$C107,"DEEP_BROKER_ID_OVERRIDE",AA$24,"DEEP_PERIOD_OVERRIDE",$H$19)*1,"")))</f>
        <v/>
      </c>
      <c r="AB107" s="17" t="str">
        <f>IF(OR(AB$23="",ISNA($B107)),"",IF(ISBLANK($B107),"",IFERROR(_xll.BDP(TICKER,"DEEP_MEASURE_PERIOD_BROKER_VALUE","DEEP_MEASURE_ID_OVERRIDE",$C107,"DEEP_BROKER_ID_OVERRIDE",AB$24,"DEEP_PERIOD_OVERRIDE",$H$19)*1,"")))</f>
        <v/>
      </c>
      <c r="AC107" s="17" t="str">
        <f>IF(OR(AC$23="",ISNA($B107)),"",IF(ISBLANK($B107),"",IFERROR(_xll.BDP(TICKER,"DEEP_MEASURE_PERIOD_BROKER_VALUE","DEEP_MEASURE_ID_OVERRIDE",$C107,"DEEP_BROKER_ID_OVERRIDE",AC$24,"DEEP_PERIOD_OVERRIDE",$H$19)*1,"")))</f>
        <v/>
      </c>
      <c r="AD107" s="17" t="str">
        <f>IF(OR(AD$23="",ISNA($B107)),"",IF(ISBLANK($B107),"",IFERROR(_xll.BDP(TICKER,"DEEP_MEASURE_PERIOD_BROKER_VALUE","DEEP_MEASURE_ID_OVERRIDE",$C107,"DEEP_BROKER_ID_OVERRIDE",AD$24,"DEEP_PERIOD_OVERRIDE",$H$19)*1,"")))</f>
        <v/>
      </c>
      <c r="AE107" s="17" t="str">
        <f>IF(OR(AE$23="",ISNA($B107)),"",IF(ISBLANK($B107),"",IFERROR(_xll.BDP(TICKER,"DEEP_MEASURE_PERIOD_BROKER_VALUE","DEEP_MEASURE_ID_OVERRIDE",$C107,"DEEP_BROKER_ID_OVERRIDE",AE$24,"DEEP_PERIOD_OVERRIDE",$H$19)*1,"")))</f>
        <v/>
      </c>
      <c r="AF107" s="17" t="str">
        <f>IF(OR(AF$23="",ISNA($B107)),"",IF(ISBLANK($B107),"",IFERROR(_xll.BDP(TICKER,"DEEP_MEASURE_PERIOD_BROKER_VALUE","DEEP_MEASURE_ID_OVERRIDE",$C107,"DEEP_BROKER_ID_OVERRIDE",AF$24,"DEEP_PERIOD_OVERRIDE",$H$19)*1,"")))</f>
        <v/>
      </c>
      <c r="AG107" s="17" t="str">
        <f>IF(OR(AG$23="",ISNA($B107)),"",IF(ISBLANK($B107),"",IFERROR(_xll.BDP(TICKER,"DEEP_MEASURE_PERIOD_BROKER_VALUE","DEEP_MEASURE_ID_OVERRIDE",$C107,"DEEP_BROKER_ID_OVERRIDE",AG$24,"DEEP_PERIOD_OVERRIDE",$H$19)*1,"")))</f>
        <v/>
      </c>
      <c r="AH107" s="17" t="str">
        <f>IF(OR(AH$23="",ISNA($B107)),"",IF(ISBLANK($B107),"",IFERROR(_xll.BDP(TICKER,"DEEP_MEASURE_PERIOD_BROKER_VALUE","DEEP_MEASURE_ID_OVERRIDE",$C107,"DEEP_BROKER_ID_OVERRIDE",AH$24,"DEEP_PERIOD_OVERRIDE",$H$19)*1,"")))</f>
        <v/>
      </c>
      <c r="AI107" s="17" t="str">
        <f>IF(OR(AI$23="",ISNA($B107)),"",IF(ISBLANK($B107),"",IFERROR(_xll.BDP(TICKER,"DEEP_MEASURE_PERIOD_BROKER_VALUE","DEEP_MEASURE_ID_OVERRIDE",$C107,"DEEP_BROKER_ID_OVERRIDE",AI$24,"DEEP_PERIOD_OVERRIDE",$H$19)*1,"")))</f>
        <v/>
      </c>
      <c r="AJ107" s="17" t="str">
        <f>IF(OR(AJ$23="",ISNA($B107)),"",IF(ISBLANK($B107),"",IFERROR(_xll.BDP(TICKER,"DEEP_MEASURE_PERIOD_BROKER_VALUE","DEEP_MEASURE_ID_OVERRIDE",$C107,"DEEP_BROKER_ID_OVERRIDE",AJ$24,"DEEP_PERIOD_OVERRIDE",$H$19)*1,"")))</f>
        <v/>
      </c>
      <c r="AK107" s="17" t="str">
        <f>IF(OR(AK$23="",ISNA($B107)),"",IF(ISBLANK($B107),"",IFERROR(_xll.BDP(TICKER,"DEEP_MEASURE_PERIOD_BROKER_VALUE","DEEP_MEASURE_ID_OVERRIDE",$C107,"DEEP_BROKER_ID_OVERRIDE",AK$24,"DEEP_PERIOD_OVERRIDE",$H$19)*1,"")))</f>
        <v/>
      </c>
      <c r="AL107" s="17" t="str">
        <f>IF(OR(AL$23="",ISNA($B107)),"",IF(ISBLANK($B107),"",IFERROR(_xll.BDP(TICKER,"DEEP_MEASURE_PERIOD_BROKER_VALUE","DEEP_MEASURE_ID_OVERRIDE",$C107,"DEEP_BROKER_ID_OVERRIDE",AL$24,"DEEP_PERIOD_OVERRIDE",$H$19)*1,"")))</f>
        <v/>
      </c>
      <c r="AM107" s="17" t="str">
        <f>IF(OR(AM$23="",ISNA($B107)),"",IF(ISBLANK($B107),"",IFERROR(_xll.BDP(TICKER,"DEEP_MEASURE_PERIOD_BROKER_VALUE","DEEP_MEASURE_ID_OVERRIDE",$C107,"DEEP_BROKER_ID_OVERRIDE",AM$24,"DEEP_PERIOD_OVERRIDE",$H$19)*1,"")))</f>
        <v/>
      </c>
      <c r="AN107" s="17" t="str">
        <f>IF(OR(AN$23="",ISNA($B107)),"",IF(ISBLANK($B107),"",IFERROR(_xll.BDP(TICKER,"DEEP_MEASURE_PERIOD_BROKER_VALUE","DEEP_MEASURE_ID_OVERRIDE",$C107,"DEEP_BROKER_ID_OVERRIDE",AN$24,"DEEP_PERIOD_OVERRIDE",$H$19)*1,"")))</f>
        <v/>
      </c>
      <c r="AO107" s="17" t="str">
        <f>IF(OR(AO$23="",ISNA($B107)),"",IF(ISBLANK($B107),"",IFERROR(_xll.BDP(TICKER,"DEEP_MEASURE_PERIOD_BROKER_VALUE","DEEP_MEASURE_ID_OVERRIDE",$C107,"DEEP_BROKER_ID_OVERRIDE",AO$24,"DEEP_PERIOD_OVERRIDE",$H$19)*1,"")))</f>
        <v/>
      </c>
      <c r="AP107" s="17" t="str">
        <f>IF(OR(AP$23="",ISNA($B107)),"",IF(ISBLANK($B107),"",IFERROR(_xll.BDP(TICKER,"DEEP_MEASURE_PERIOD_BROKER_VALUE","DEEP_MEASURE_ID_OVERRIDE",$C107,"DEEP_BROKER_ID_OVERRIDE",AP$24,"DEEP_PERIOD_OVERRIDE",$H$19)*1,"")))</f>
        <v/>
      </c>
      <c r="AQ107" s="17" t="str">
        <f>IF(OR(AQ$23="",ISNA($B107)),"",IF(ISBLANK($B107),"",IFERROR(_xll.BDP(TICKER,"DEEP_MEASURE_PERIOD_BROKER_VALUE","DEEP_MEASURE_ID_OVERRIDE",$C107,"DEEP_BROKER_ID_OVERRIDE",AQ$24,"DEEP_PERIOD_OVERRIDE",$H$19)*1,"")))</f>
        <v/>
      </c>
      <c r="AR107" s="17" t="str">
        <f>IF(OR(AR$23="",ISNA($B107)),"",IF(ISBLANK($B107),"",IFERROR(_xll.BDP(TICKER,"DEEP_MEASURE_PERIOD_BROKER_VALUE","DEEP_MEASURE_ID_OVERRIDE",$C107,"DEEP_BROKER_ID_OVERRIDE",AR$24,"DEEP_PERIOD_OVERRIDE",$H$19)*1,"")))</f>
        <v/>
      </c>
      <c r="AS107" s="17" t="str">
        <f>IF(OR(AS$23="",ISNA($B107)),"",IF(ISBLANK($B107),"",IFERROR(_xll.BDP(TICKER,"DEEP_MEASURE_PERIOD_BROKER_VALUE","DEEP_MEASURE_ID_OVERRIDE",$C107,"DEEP_BROKER_ID_OVERRIDE",AS$24,"DEEP_PERIOD_OVERRIDE",$H$19)*1,"")))</f>
        <v/>
      </c>
      <c r="AT107" s="17" t="str">
        <f>IF(OR(AT$23="",ISNA($B107)),"",IF(ISBLANK($B107),"",IFERROR(_xll.BDP(TICKER,"DEEP_MEASURE_PERIOD_BROKER_VALUE","DEEP_MEASURE_ID_OVERRIDE",$C107,"DEEP_BROKER_ID_OVERRIDE",AT$24,"DEEP_PERIOD_OVERRIDE",$H$19)*1,"")))</f>
        <v/>
      </c>
      <c r="AU107" s="17" t="str">
        <f>IF(OR(AU$23="",ISNA($B107)),"",IF(ISBLANK($B107),"",IFERROR(_xll.BDP(TICKER,"DEEP_MEASURE_PERIOD_BROKER_VALUE","DEEP_MEASURE_ID_OVERRIDE",$C107,"DEEP_BROKER_ID_OVERRIDE",AU$24,"DEEP_PERIOD_OVERRIDE",$H$19)*1,"")))</f>
        <v/>
      </c>
      <c r="AV107" s="17" t="str">
        <f>IF(OR(AV$23="",ISNA($B107)),"",IF(ISBLANK($B107),"",IFERROR(_xll.BDP(TICKER,"DEEP_MEASURE_PERIOD_BROKER_VALUE","DEEP_MEASURE_ID_OVERRIDE",$C107,"DEEP_BROKER_ID_OVERRIDE",AV$24,"DEEP_PERIOD_OVERRIDE",$H$19)*1,"")))</f>
        <v/>
      </c>
      <c r="AW107" s="17" t="str">
        <f>IF(OR(AW$23="",ISNA($B107)),"",IF(ISBLANK($B107),"",IFERROR(_xll.BDP(TICKER,"DEEP_MEASURE_PERIOD_BROKER_VALUE","DEEP_MEASURE_ID_OVERRIDE",$C107,"DEEP_BROKER_ID_OVERRIDE",AW$24,"DEEP_PERIOD_OVERRIDE",$H$19)*1,"")))</f>
        <v/>
      </c>
      <c r="AX107" s="17" t="str">
        <f>IF(OR(AX$23="",ISNA($B107)),"",IF(ISBLANK($B107),"",IFERROR(_xll.BDP(TICKER,"DEEP_MEASURE_PERIOD_BROKER_VALUE","DEEP_MEASURE_ID_OVERRIDE",$C107,"DEEP_BROKER_ID_OVERRIDE",AX$24,"DEEP_PERIOD_OVERRIDE",$H$19)*1,"")))</f>
        <v/>
      </c>
      <c r="AY107" s="17" t="str">
        <f>IF(OR(AY$23="",ISNA($B107)),"",IF(ISBLANK($B107),"",IFERROR(_xll.BDP(TICKER,"DEEP_MEASURE_PERIOD_BROKER_VALUE","DEEP_MEASURE_ID_OVERRIDE",$C107,"DEEP_BROKER_ID_OVERRIDE",AY$24,"DEEP_PERIOD_OVERRIDE",$H$19)*1,"")))</f>
        <v/>
      </c>
      <c r="AZ107" s="17" t="str">
        <f>IF(OR(AZ$23="",ISNA($B107)),"",IF(ISBLANK($B107),"",IFERROR(_xll.BDP(TICKER,"DEEP_MEASURE_PERIOD_BROKER_VALUE","DEEP_MEASURE_ID_OVERRIDE",$C107,"DEEP_BROKER_ID_OVERRIDE",AZ$24,"DEEP_PERIOD_OVERRIDE",$H$19)*1,"")))</f>
        <v/>
      </c>
      <c r="BA107" s="17" t="str">
        <f>IF(OR(BA$23="",ISNA($B107)),"",IF(ISBLANK($B107),"",IFERROR(_xll.BDP(TICKER,"DEEP_MEASURE_PERIOD_BROKER_VALUE","DEEP_MEASURE_ID_OVERRIDE",$C107,"DEEP_BROKER_ID_OVERRIDE",BA$24,"DEEP_PERIOD_OVERRIDE",$H$19)*1,"")))</f>
        <v/>
      </c>
      <c r="BB107" s="17" t="str">
        <f>IF(OR(BB$23="",ISNA($B107)),"",IF(ISBLANK($B107),"",IFERROR(_xll.BDP(TICKER,"DEEP_MEASURE_PERIOD_BROKER_VALUE","DEEP_MEASURE_ID_OVERRIDE",$C107,"DEEP_BROKER_ID_OVERRIDE",BB$24,"DEEP_PERIOD_OVERRIDE",$H$19)*1,"")))</f>
        <v/>
      </c>
      <c r="BC107" s="17" t="str">
        <f>IF(OR(BC$23="",ISNA($B107)),"",IF(ISBLANK($B107),"",IFERROR(_xll.BDP(TICKER,"DEEP_MEASURE_PERIOD_BROKER_VALUE","DEEP_MEASURE_ID_OVERRIDE",$C107,"DEEP_BROKER_ID_OVERRIDE",BC$24,"DEEP_PERIOD_OVERRIDE",$H$19)*1,"")))</f>
        <v/>
      </c>
      <c r="BD107" s="17" t="str">
        <f>IF(OR(BD$23="",ISNA($B107)),"",IF(ISBLANK($B107),"",IFERROR(_xll.BDP(TICKER,"DEEP_MEASURE_PERIOD_BROKER_VALUE","DEEP_MEASURE_ID_OVERRIDE",$C107,"DEEP_BROKER_ID_OVERRIDE",BD$24,"DEEP_PERIOD_OVERRIDE",$H$19)*1,"")))</f>
        <v/>
      </c>
      <c r="BE107" s="17" t="str">
        <f>IF(OR(BE$23="",ISNA($B107)),"",IF(ISBLANK($B107),"",IFERROR(_xll.BDP(TICKER,"DEEP_MEASURE_PERIOD_BROKER_VALUE","DEEP_MEASURE_ID_OVERRIDE",$C107,"DEEP_BROKER_ID_OVERRIDE",BE$24,"DEEP_PERIOD_OVERRIDE",$H$19)*1,"")))</f>
        <v/>
      </c>
      <c r="BF107" s="17" t="str">
        <f>IF(OR(BF$23="",ISNA($B107)),"",IF(ISBLANK($B107),"",IFERROR(_xll.BDP(TICKER,"DEEP_MEASURE_PERIOD_BROKER_VALUE","DEEP_MEASURE_ID_OVERRIDE",$C107,"DEEP_BROKER_ID_OVERRIDE",BF$24,"DEEP_PERIOD_OVERRIDE",$H$19)*1,"")))</f>
        <v/>
      </c>
      <c r="BG107" s="17" t="str">
        <f>IF(OR(BG$23="",ISNA($B107)),"",IF(ISBLANK($B107),"",IFERROR(_xll.BDP(TICKER,"DEEP_MEASURE_PERIOD_BROKER_VALUE","DEEP_MEASURE_ID_OVERRIDE",$C107,"DEEP_BROKER_ID_OVERRIDE",BG$24,"DEEP_PERIOD_OVERRIDE",$H$19)*1,"")))</f>
        <v/>
      </c>
      <c r="BH107" s="17" t="str">
        <f>IF(OR(BH$23="",ISNA($B107)),"",IF(ISBLANK($B107),"",IFERROR(_xll.BDP(TICKER,"DEEP_MEASURE_PERIOD_BROKER_VALUE","DEEP_MEASURE_ID_OVERRIDE",$C107,"DEEP_BROKER_ID_OVERRIDE",BH$24,"DEEP_PERIOD_OVERRIDE",$H$19)*1,"")))</f>
        <v/>
      </c>
      <c r="BI107" s="17" t="str">
        <f>IF(OR(BI$23="",ISNA($B107)),"",IF(ISBLANK($B107),"",IFERROR(_xll.BDP(TICKER,"DEEP_MEASURE_PERIOD_BROKER_VALUE","DEEP_MEASURE_ID_OVERRIDE",$C107,"DEEP_BROKER_ID_OVERRIDE",BI$24,"DEEP_PERIOD_OVERRIDE",$H$19)*1,"")))</f>
        <v/>
      </c>
      <c r="BJ107" s="17" t="str">
        <f>IF(OR(BJ$23="",ISNA($B107)),"",IF(ISBLANK($B107),"",IFERROR(_xll.BDP(TICKER,"DEEP_MEASURE_PERIOD_BROKER_VALUE","DEEP_MEASURE_ID_OVERRIDE",$C107,"DEEP_BROKER_ID_OVERRIDE",BJ$24,"DEEP_PERIOD_OVERRIDE",$H$19)*1,"")))</f>
        <v/>
      </c>
      <c r="BK107" s="17" t="str">
        <f>IF(OR(BK$23="",ISNA($B107)),"",IF(ISBLANK($B107),"",IFERROR(_xll.BDP(TICKER,"DEEP_MEASURE_PERIOD_BROKER_VALUE","DEEP_MEASURE_ID_OVERRIDE",$C107,"DEEP_BROKER_ID_OVERRIDE",BK$24,"DEEP_PERIOD_OVERRIDE",$H$19)*1,"")))</f>
        <v/>
      </c>
      <c r="BL107" s="17" t="str">
        <f>IF(OR(BL$23="",ISNA($B107)),"",IF(ISBLANK($B107),"",IFERROR(_xll.BDP(TICKER,"DEEP_MEASURE_PERIOD_BROKER_VALUE","DEEP_MEASURE_ID_OVERRIDE",$C107,"DEEP_BROKER_ID_OVERRIDE",BL$24,"DEEP_PERIOD_OVERRIDE",$H$19)*1,"")))</f>
        <v/>
      </c>
      <c r="BM107" s="17" t="str">
        <f>IF(OR(BM$23="",ISNA($B107)),"",IF(ISBLANK($B107),"",IFERROR(_xll.BDP(TICKER,"DEEP_MEASURE_PERIOD_BROKER_VALUE","DEEP_MEASURE_ID_OVERRIDE",$C107,"DEEP_BROKER_ID_OVERRIDE",BM$24,"DEEP_PERIOD_OVERRIDE",$H$19)*1,"")))</f>
        <v/>
      </c>
      <c r="BN107" s="17" t="str">
        <f>IF(OR(BN$23="",ISNA($B107)),"",IF(ISBLANK($B107),"",IFERROR(_xll.BDP(TICKER,"DEEP_MEASURE_PERIOD_BROKER_VALUE","DEEP_MEASURE_ID_OVERRIDE",$C107,"DEEP_BROKER_ID_OVERRIDE",BN$24,"DEEP_PERIOD_OVERRIDE",$H$19)*1,"")))</f>
        <v/>
      </c>
      <c r="BO107" s="17" t="str">
        <f>IF(OR(BO$23="",ISNA($B107)),"",IF(ISBLANK($B107),"",IFERROR(_xll.BDP(TICKER,"DEEP_MEASURE_PERIOD_BROKER_VALUE","DEEP_MEASURE_ID_OVERRIDE",$C107,"DEEP_BROKER_ID_OVERRIDE",BO$24,"DEEP_PERIOD_OVERRIDE",$H$19)*1,"")))</f>
        <v/>
      </c>
      <c r="BP107" s="17" t="str">
        <f>IF(OR(BP$23="",ISNA($B107)),"",IF(ISBLANK($B107),"",IFERROR(_xll.BDP(TICKER,"DEEP_MEASURE_PERIOD_BROKER_VALUE","DEEP_MEASURE_ID_OVERRIDE",$C107,"DEEP_BROKER_ID_OVERRIDE",BP$24,"DEEP_PERIOD_OVERRIDE",$H$19)*1,"")))</f>
        <v/>
      </c>
      <c r="BQ107" s="17" t="str">
        <f>IF(OR(BQ$23="",ISNA($B107)),"",IF(ISBLANK($B107),"",IFERROR(_xll.BDP(TICKER,"DEEP_MEASURE_PERIOD_BROKER_VALUE","DEEP_MEASURE_ID_OVERRIDE",$C107,"DEEP_BROKER_ID_OVERRIDE",BQ$24,"DEEP_PERIOD_OVERRIDE",$H$19)*1,"")))</f>
        <v/>
      </c>
      <c r="BR107" s="17" t="str">
        <f>IF(OR(BR$23="",ISNA($B107)),"",IF(ISBLANK($B107),"",IFERROR(_xll.BDP(TICKER,"DEEP_MEASURE_PERIOD_BROKER_VALUE","DEEP_MEASURE_ID_OVERRIDE",$C107,"DEEP_BROKER_ID_OVERRIDE",BR$24,"DEEP_PERIOD_OVERRIDE",$H$19)*1,"")))</f>
        <v/>
      </c>
      <c r="BS107" s="17" t="str">
        <f>IF(OR(BS$23="",ISNA($B107)),"",IF(ISBLANK($B107),"",IFERROR(_xll.BDP(TICKER,"DEEP_MEASURE_PERIOD_BROKER_VALUE","DEEP_MEASURE_ID_OVERRIDE",$C107,"DEEP_BROKER_ID_OVERRIDE",BS$24,"DEEP_PERIOD_OVERRIDE",$H$19)*1,"")))</f>
        <v/>
      </c>
      <c r="BT107" s="17" t="str">
        <f>IF(OR(BT$23="",ISNA($B107)),"",IF(ISBLANK($B107),"",IFERROR(_xll.BDP(TICKER,"DEEP_MEASURE_PERIOD_BROKER_VALUE","DEEP_MEASURE_ID_OVERRIDE",$C107,"DEEP_BROKER_ID_OVERRIDE",BT$24,"DEEP_PERIOD_OVERRIDE",$H$19)*1,"")))</f>
        <v/>
      </c>
      <c r="BU107" s="17" t="str">
        <f>IF(OR(BU$23="",ISNA($B107)),"",IF(ISBLANK($B107),"",IFERROR(_xll.BDP(TICKER,"DEEP_MEASURE_PERIOD_BROKER_VALUE","DEEP_MEASURE_ID_OVERRIDE",$C107,"DEEP_BROKER_ID_OVERRIDE",BU$24,"DEEP_PERIOD_OVERRIDE",$H$19)*1,"")))</f>
        <v/>
      </c>
      <c r="BV107" s="17" t="str">
        <f>IF(OR(BV$23="",ISNA($B107)),"",IF(ISBLANK($B107),"",IFERROR(_xll.BDP(TICKER,"DEEP_MEASURE_PERIOD_BROKER_VALUE","DEEP_MEASURE_ID_OVERRIDE",$C107,"DEEP_BROKER_ID_OVERRIDE",BV$24,"DEEP_PERIOD_OVERRIDE",$H$19)*1,"")))</f>
        <v/>
      </c>
      <c r="BW107" s="17" t="str">
        <f>IF(OR(BW$23="",ISNA($B107)),"",IF(ISBLANK($B107),"",IFERROR(_xll.BDP(TICKER,"DEEP_MEASURE_PERIOD_BROKER_VALUE","DEEP_MEASURE_ID_OVERRIDE",$C107,"DEEP_BROKER_ID_OVERRIDE",BW$24,"DEEP_PERIOD_OVERRIDE",$H$19)*1,"")))</f>
        <v/>
      </c>
      <c r="BX107" s="17" t="str">
        <f>IF(OR(BX$23="",ISNA($B107)),"",IF(ISBLANK($B107),"",IFERROR(_xll.BDP(TICKER,"DEEP_MEASURE_PERIOD_BROKER_VALUE","DEEP_MEASURE_ID_OVERRIDE",$C107,"DEEP_BROKER_ID_OVERRIDE",BX$24,"DEEP_PERIOD_OVERRIDE",$H$19)*1,"")))</f>
        <v/>
      </c>
      <c r="BY107" s="17" t="str">
        <f>IF(OR(BY$23="",ISNA($B107)),"",IF(ISBLANK($B107),"",IFERROR(_xll.BDP(TICKER,"DEEP_MEASURE_PERIOD_BROKER_VALUE","DEEP_MEASURE_ID_OVERRIDE",$C107,"DEEP_BROKER_ID_OVERRIDE",BY$24,"DEEP_PERIOD_OVERRIDE",$H$19)*1,"")))</f>
        <v/>
      </c>
      <c r="BZ107" s="17" t="str">
        <f>IF(OR(BZ$23="",ISNA($B107)),"",IF(ISBLANK($B107),"",IFERROR(_xll.BDP(TICKER,"DEEP_MEASURE_PERIOD_BROKER_VALUE","DEEP_MEASURE_ID_OVERRIDE",$C107,"DEEP_BROKER_ID_OVERRIDE",BZ$24,"DEEP_PERIOD_OVERRIDE",$H$19)*1,"")))</f>
        <v/>
      </c>
    </row>
    <row r="108" spans="2:78" x14ac:dyDescent="0.25">
      <c r="B108" t="s">
        <v>148</v>
      </c>
      <c r="C108">
        <v>385</v>
      </c>
      <c r="H108" t="str">
        <f t="shared" si="2"/>
        <v>General &amp; Administrative Expenses &gt; As % of Revenue</v>
      </c>
      <c r="I108" t="str">
        <f>IF(OR(I$23="",ISNA($B108)),"",IF(ISBLANK($B108),"",IFERROR(_xll.BDP(TICKER,"DEEP_MEASURE_PERIOD_BROKER_VALUE","DEEP_MEASURE_ID_OVERRIDE",$C108,"DEEP_PERIOD_OVERRIDE",$H$19)*1,"")))</f>
        <v/>
      </c>
      <c r="J108" t="e">
        <f>IF(OR(J$23="",ISNA($B108)),"",IF(ISBLANK($B108),"",IFERROR(_xll.BDP(TICKER,"DEEP_MEASURE_PERIOD_BROKER_VALUE","DEEP_MEASURE_ID_OVERRIDE",$C108,"DEEP_BROKER_ID_OVERRIDE",J$24,"DEEP_PERIOD_OVERRIDE",$H$19)*1,"")))</f>
        <v>#REF!</v>
      </c>
      <c r="K108" t="str">
        <f>IF(OR(K$23="",ISNA($B108)),"",IF(ISBLANK($B108),"",IFERROR(_xll.BDP(TICKER,"DEEP_MEASURE_PERIOD_BROKER_VALUE","DEEP_MEASURE_ID_OVERRIDE",$C108,"DEEP_BROKER_ID_OVERRIDE",K$24,"DEEP_PERIOD_OVERRIDE",$H$19)*1,"")))</f>
        <v/>
      </c>
      <c r="L108" t="str">
        <f>IF(OR(L$23="",ISNA($B108)),"",IF(ISBLANK($B108),"",IFERROR(_xll.BDP(TICKER,"DEEP_MEASURE_PERIOD_BROKER_VALUE","DEEP_MEASURE_ID_OVERRIDE",$C108,"DEEP_BROKER_ID_OVERRIDE",L$24,"DEEP_PERIOD_OVERRIDE",$H$19)*1,"")))</f>
        <v/>
      </c>
      <c r="M108" t="str">
        <f>IF(OR(M$23="",ISNA($B108)),"",IF(ISBLANK($B108),"",IFERROR(_xll.BDP(TICKER,"DEEP_MEASURE_PERIOD_BROKER_VALUE","DEEP_MEASURE_ID_OVERRIDE",$C108,"DEEP_BROKER_ID_OVERRIDE",M$24,"DEEP_PERIOD_OVERRIDE",$H$19)*1,"")))</f>
        <v/>
      </c>
      <c r="N108" t="str">
        <f>IF(OR(N$23="",ISNA($B108)),"",IF(ISBLANK($B108),"",IFERROR(_xll.BDP(TICKER,"DEEP_MEASURE_PERIOD_BROKER_VALUE","DEEP_MEASURE_ID_OVERRIDE",$C108,"DEEP_BROKER_ID_OVERRIDE",N$24,"DEEP_PERIOD_OVERRIDE",$H$19)*1,"")))</f>
        <v/>
      </c>
      <c r="O108" t="str">
        <f>IF(OR(O$23="",ISNA($B108)),"",IF(ISBLANK($B108),"",IFERROR(_xll.BDP(TICKER,"DEEP_MEASURE_PERIOD_BROKER_VALUE","DEEP_MEASURE_ID_OVERRIDE",$C108,"DEEP_BROKER_ID_OVERRIDE",O$24,"DEEP_PERIOD_OVERRIDE",$H$19)*1,"")))</f>
        <v/>
      </c>
      <c r="P108" t="str">
        <f>IF(OR(P$23="",ISNA($B108)),"",IF(ISBLANK($B108),"",IFERROR(_xll.BDP(TICKER,"DEEP_MEASURE_PERIOD_BROKER_VALUE","DEEP_MEASURE_ID_OVERRIDE",$C108,"DEEP_BROKER_ID_OVERRIDE",P$24,"DEEP_PERIOD_OVERRIDE",$H$19)*1,"")))</f>
        <v/>
      </c>
      <c r="Q108" t="str">
        <f>IF(OR(Q$23="",ISNA($B108)),"",IF(ISBLANK($B108),"",IFERROR(_xll.BDP(TICKER,"DEEP_MEASURE_PERIOD_BROKER_VALUE","DEEP_MEASURE_ID_OVERRIDE",$C108,"DEEP_BROKER_ID_OVERRIDE",Q$24,"DEEP_PERIOD_OVERRIDE",$H$19)*1,"")))</f>
        <v/>
      </c>
      <c r="R108" t="str">
        <f>IF(OR(R$23="",ISNA($B108)),"",IF(ISBLANK($B108),"",IFERROR(_xll.BDP(TICKER,"DEEP_MEASURE_PERIOD_BROKER_VALUE","DEEP_MEASURE_ID_OVERRIDE",$C108,"DEEP_BROKER_ID_OVERRIDE",R$24,"DEEP_PERIOD_OVERRIDE",$H$19)*1,"")))</f>
        <v/>
      </c>
      <c r="S108" t="str">
        <f>IF(OR(S$23="",ISNA($B108)),"",IF(ISBLANK($B108),"",IFERROR(_xll.BDP(TICKER,"DEEP_MEASURE_PERIOD_BROKER_VALUE","DEEP_MEASURE_ID_OVERRIDE",$C108,"DEEP_BROKER_ID_OVERRIDE",S$24,"DEEP_PERIOD_OVERRIDE",$H$19)*1,"")))</f>
        <v/>
      </c>
      <c r="T108" t="str">
        <f>IF(OR(T$23="",ISNA($B108)),"",IF(ISBLANK($B108),"",IFERROR(_xll.BDP(TICKER,"DEEP_MEASURE_PERIOD_BROKER_VALUE","DEEP_MEASURE_ID_OVERRIDE",$C108,"DEEP_BROKER_ID_OVERRIDE",T$24,"DEEP_PERIOD_OVERRIDE",$H$19)*1,"")))</f>
        <v/>
      </c>
      <c r="U108" t="str">
        <f>IF(OR(U$23="",ISNA($B108)),"",IF(ISBLANK($B108),"",IFERROR(_xll.BDP(TICKER,"DEEP_MEASURE_PERIOD_BROKER_VALUE","DEEP_MEASURE_ID_OVERRIDE",$C108,"DEEP_BROKER_ID_OVERRIDE",U$24,"DEEP_PERIOD_OVERRIDE",$H$19)*1,"")))</f>
        <v/>
      </c>
      <c r="V108" t="str">
        <f>IF(OR(V$23="",ISNA($B108)),"",IF(ISBLANK($B108),"",IFERROR(_xll.BDP(TICKER,"DEEP_MEASURE_PERIOD_BROKER_VALUE","DEEP_MEASURE_ID_OVERRIDE",$C108,"DEEP_BROKER_ID_OVERRIDE",V$24,"DEEP_PERIOD_OVERRIDE",$H$19)*1,"")))</f>
        <v/>
      </c>
      <c r="W108" t="str">
        <f>IF(OR(W$23="",ISNA($B108)),"",IF(ISBLANK($B108),"",IFERROR(_xll.BDP(TICKER,"DEEP_MEASURE_PERIOD_BROKER_VALUE","DEEP_MEASURE_ID_OVERRIDE",$C108,"DEEP_BROKER_ID_OVERRIDE",W$24,"DEEP_PERIOD_OVERRIDE",$H$19)*1,"")))</f>
        <v/>
      </c>
      <c r="X108" t="str">
        <f>IF(OR(X$23="",ISNA($B108)),"",IF(ISBLANK($B108),"",IFERROR(_xll.BDP(TICKER,"DEEP_MEASURE_PERIOD_BROKER_VALUE","DEEP_MEASURE_ID_OVERRIDE",$C108,"DEEP_BROKER_ID_OVERRIDE",X$24,"DEEP_PERIOD_OVERRIDE",$H$19)*1,"")))</f>
        <v/>
      </c>
      <c r="Y108" t="str">
        <f>IF(OR(Y$23="",ISNA($B108)),"",IF(ISBLANK($B108),"",IFERROR(_xll.BDP(TICKER,"DEEP_MEASURE_PERIOD_BROKER_VALUE","DEEP_MEASURE_ID_OVERRIDE",$C108,"DEEP_BROKER_ID_OVERRIDE",Y$24,"DEEP_PERIOD_OVERRIDE",$H$19)*1,"")))</f>
        <v/>
      </c>
      <c r="Z108" t="str">
        <f>IF(OR(Z$23="",ISNA($B108)),"",IF(ISBLANK($B108),"",IFERROR(_xll.BDP(TICKER,"DEEP_MEASURE_PERIOD_BROKER_VALUE","DEEP_MEASURE_ID_OVERRIDE",$C108,"DEEP_BROKER_ID_OVERRIDE",Z$24,"DEEP_PERIOD_OVERRIDE",$H$19)*1,"")))</f>
        <v/>
      </c>
      <c r="AA108" t="str">
        <f>IF(OR(AA$23="",ISNA($B108)),"",IF(ISBLANK($B108),"",IFERROR(_xll.BDP(TICKER,"DEEP_MEASURE_PERIOD_BROKER_VALUE","DEEP_MEASURE_ID_OVERRIDE",$C108,"DEEP_BROKER_ID_OVERRIDE",AA$24,"DEEP_PERIOD_OVERRIDE",$H$19)*1,"")))</f>
        <v/>
      </c>
      <c r="AB108" t="str">
        <f>IF(OR(AB$23="",ISNA($B108)),"",IF(ISBLANK($B108),"",IFERROR(_xll.BDP(TICKER,"DEEP_MEASURE_PERIOD_BROKER_VALUE","DEEP_MEASURE_ID_OVERRIDE",$C108,"DEEP_BROKER_ID_OVERRIDE",AB$24,"DEEP_PERIOD_OVERRIDE",$H$19)*1,"")))</f>
        <v/>
      </c>
      <c r="AC108" t="str">
        <f>IF(OR(AC$23="",ISNA($B108)),"",IF(ISBLANK($B108),"",IFERROR(_xll.BDP(TICKER,"DEEP_MEASURE_PERIOD_BROKER_VALUE","DEEP_MEASURE_ID_OVERRIDE",$C108,"DEEP_BROKER_ID_OVERRIDE",AC$24,"DEEP_PERIOD_OVERRIDE",$H$19)*1,"")))</f>
        <v/>
      </c>
      <c r="AD108" t="str">
        <f>IF(OR(AD$23="",ISNA($B108)),"",IF(ISBLANK($B108),"",IFERROR(_xll.BDP(TICKER,"DEEP_MEASURE_PERIOD_BROKER_VALUE","DEEP_MEASURE_ID_OVERRIDE",$C108,"DEEP_BROKER_ID_OVERRIDE",AD$24,"DEEP_PERIOD_OVERRIDE",$H$19)*1,"")))</f>
        <v/>
      </c>
      <c r="AE108" t="str">
        <f>IF(OR(AE$23="",ISNA($B108)),"",IF(ISBLANK($B108),"",IFERROR(_xll.BDP(TICKER,"DEEP_MEASURE_PERIOD_BROKER_VALUE","DEEP_MEASURE_ID_OVERRIDE",$C108,"DEEP_BROKER_ID_OVERRIDE",AE$24,"DEEP_PERIOD_OVERRIDE",$H$19)*1,"")))</f>
        <v/>
      </c>
      <c r="AF108" t="str">
        <f>IF(OR(AF$23="",ISNA($B108)),"",IF(ISBLANK($B108),"",IFERROR(_xll.BDP(TICKER,"DEEP_MEASURE_PERIOD_BROKER_VALUE","DEEP_MEASURE_ID_OVERRIDE",$C108,"DEEP_BROKER_ID_OVERRIDE",AF$24,"DEEP_PERIOD_OVERRIDE",$H$19)*1,"")))</f>
        <v/>
      </c>
      <c r="AG108" t="str">
        <f>IF(OR(AG$23="",ISNA($B108)),"",IF(ISBLANK($B108),"",IFERROR(_xll.BDP(TICKER,"DEEP_MEASURE_PERIOD_BROKER_VALUE","DEEP_MEASURE_ID_OVERRIDE",$C108,"DEEP_BROKER_ID_OVERRIDE",AG$24,"DEEP_PERIOD_OVERRIDE",$H$19)*1,"")))</f>
        <v/>
      </c>
      <c r="AH108" t="str">
        <f>IF(OR(AH$23="",ISNA($B108)),"",IF(ISBLANK($B108),"",IFERROR(_xll.BDP(TICKER,"DEEP_MEASURE_PERIOD_BROKER_VALUE","DEEP_MEASURE_ID_OVERRIDE",$C108,"DEEP_BROKER_ID_OVERRIDE",AH$24,"DEEP_PERIOD_OVERRIDE",$H$19)*1,"")))</f>
        <v/>
      </c>
      <c r="AI108" t="str">
        <f>IF(OR(AI$23="",ISNA($B108)),"",IF(ISBLANK($B108),"",IFERROR(_xll.BDP(TICKER,"DEEP_MEASURE_PERIOD_BROKER_VALUE","DEEP_MEASURE_ID_OVERRIDE",$C108,"DEEP_BROKER_ID_OVERRIDE",AI$24,"DEEP_PERIOD_OVERRIDE",$H$19)*1,"")))</f>
        <v/>
      </c>
      <c r="AJ108" t="str">
        <f>IF(OR(AJ$23="",ISNA($B108)),"",IF(ISBLANK($B108),"",IFERROR(_xll.BDP(TICKER,"DEEP_MEASURE_PERIOD_BROKER_VALUE","DEEP_MEASURE_ID_OVERRIDE",$C108,"DEEP_BROKER_ID_OVERRIDE",AJ$24,"DEEP_PERIOD_OVERRIDE",$H$19)*1,"")))</f>
        <v/>
      </c>
      <c r="AK108" t="str">
        <f>IF(OR(AK$23="",ISNA($B108)),"",IF(ISBLANK($B108),"",IFERROR(_xll.BDP(TICKER,"DEEP_MEASURE_PERIOD_BROKER_VALUE","DEEP_MEASURE_ID_OVERRIDE",$C108,"DEEP_BROKER_ID_OVERRIDE",AK$24,"DEEP_PERIOD_OVERRIDE",$H$19)*1,"")))</f>
        <v/>
      </c>
      <c r="AL108" t="str">
        <f>IF(OR(AL$23="",ISNA($B108)),"",IF(ISBLANK($B108),"",IFERROR(_xll.BDP(TICKER,"DEEP_MEASURE_PERIOD_BROKER_VALUE","DEEP_MEASURE_ID_OVERRIDE",$C108,"DEEP_BROKER_ID_OVERRIDE",AL$24,"DEEP_PERIOD_OVERRIDE",$H$19)*1,"")))</f>
        <v/>
      </c>
      <c r="AM108" t="str">
        <f>IF(OR(AM$23="",ISNA($B108)),"",IF(ISBLANK($B108),"",IFERROR(_xll.BDP(TICKER,"DEEP_MEASURE_PERIOD_BROKER_VALUE","DEEP_MEASURE_ID_OVERRIDE",$C108,"DEEP_BROKER_ID_OVERRIDE",AM$24,"DEEP_PERIOD_OVERRIDE",$H$19)*1,"")))</f>
        <v/>
      </c>
      <c r="AN108" t="str">
        <f>IF(OR(AN$23="",ISNA($B108)),"",IF(ISBLANK($B108),"",IFERROR(_xll.BDP(TICKER,"DEEP_MEASURE_PERIOD_BROKER_VALUE","DEEP_MEASURE_ID_OVERRIDE",$C108,"DEEP_BROKER_ID_OVERRIDE",AN$24,"DEEP_PERIOD_OVERRIDE",$H$19)*1,"")))</f>
        <v/>
      </c>
      <c r="AO108" t="str">
        <f>IF(OR(AO$23="",ISNA($B108)),"",IF(ISBLANK($B108),"",IFERROR(_xll.BDP(TICKER,"DEEP_MEASURE_PERIOD_BROKER_VALUE","DEEP_MEASURE_ID_OVERRIDE",$C108,"DEEP_BROKER_ID_OVERRIDE",AO$24,"DEEP_PERIOD_OVERRIDE",$H$19)*1,"")))</f>
        <v/>
      </c>
      <c r="AP108" t="str">
        <f>IF(OR(AP$23="",ISNA($B108)),"",IF(ISBLANK($B108),"",IFERROR(_xll.BDP(TICKER,"DEEP_MEASURE_PERIOD_BROKER_VALUE","DEEP_MEASURE_ID_OVERRIDE",$C108,"DEEP_BROKER_ID_OVERRIDE",AP$24,"DEEP_PERIOD_OVERRIDE",$H$19)*1,"")))</f>
        <v/>
      </c>
      <c r="AQ108" t="str">
        <f>IF(OR(AQ$23="",ISNA($B108)),"",IF(ISBLANK($B108),"",IFERROR(_xll.BDP(TICKER,"DEEP_MEASURE_PERIOD_BROKER_VALUE","DEEP_MEASURE_ID_OVERRIDE",$C108,"DEEP_BROKER_ID_OVERRIDE",AQ$24,"DEEP_PERIOD_OVERRIDE",$H$19)*1,"")))</f>
        <v/>
      </c>
      <c r="AR108" t="str">
        <f>IF(OR(AR$23="",ISNA($B108)),"",IF(ISBLANK($B108),"",IFERROR(_xll.BDP(TICKER,"DEEP_MEASURE_PERIOD_BROKER_VALUE","DEEP_MEASURE_ID_OVERRIDE",$C108,"DEEP_BROKER_ID_OVERRIDE",AR$24,"DEEP_PERIOD_OVERRIDE",$H$19)*1,"")))</f>
        <v/>
      </c>
      <c r="AS108" t="str">
        <f>IF(OR(AS$23="",ISNA($B108)),"",IF(ISBLANK($B108),"",IFERROR(_xll.BDP(TICKER,"DEEP_MEASURE_PERIOD_BROKER_VALUE","DEEP_MEASURE_ID_OVERRIDE",$C108,"DEEP_BROKER_ID_OVERRIDE",AS$24,"DEEP_PERIOD_OVERRIDE",$H$19)*1,"")))</f>
        <v/>
      </c>
      <c r="AT108" t="str">
        <f>IF(OR(AT$23="",ISNA($B108)),"",IF(ISBLANK($B108),"",IFERROR(_xll.BDP(TICKER,"DEEP_MEASURE_PERIOD_BROKER_VALUE","DEEP_MEASURE_ID_OVERRIDE",$C108,"DEEP_BROKER_ID_OVERRIDE",AT$24,"DEEP_PERIOD_OVERRIDE",$H$19)*1,"")))</f>
        <v/>
      </c>
      <c r="AU108" t="str">
        <f>IF(OR(AU$23="",ISNA($B108)),"",IF(ISBLANK($B108),"",IFERROR(_xll.BDP(TICKER,"DEEP_MEASURE_PERIOD_BROKER_VALUE","DEEP_MEASURE_ID_OVERRIDE",$C108,"DEEP_BROKER_ID_OVERRIDE",AU$24,"DEEP_PERIOD_OVERRIDE",$H$19)*1,"")))</f>
        <v/>
      </c>
      <c r="AV108" t="str">
        <f>IF(OR(AV$23="",ISNA($B108)),"",IF(ISBLANK($B108),"",IFERROR(_xll.BDP(TICKER,"DEEP_MEASURE_PERIOD_BROKER_VALUE","DEEP_MEASURE_ID_OVERRIDE",$C108,"DEEP_BROKER_ID_OVERRIDE",AV$24,"DEEP_PERIOD_OVERRIDE",$H$19)*1,"")))</f>
        <v/>
      </c>
      <c r="AW108" t="str">
        <f>IF(OR(AW$23="",ISNA($B108)),"",IF(ISBLANK($B108),"",IFERROR(_xll.BDP(TICKER,"DEEP_MEASURE_PERIOD_BROKER_VALUE","DEEP_MEASURE_ID_OVERRIDE",$C108,"DEEP_BROKER_ID_OVERRIDE",AW$24,"DEEP_PERIOD_OVERRIDE",$H$19)*1,"")))</f>
        <v/>
      </c>
      <c r="AX108" t="str">
        <f>IF(OR(AX$23="",ISNA($B108)),"",IF(ISBLANK($B108),"",IFERROR(_xll.BDP(TICKER,"DEEP_MEASURE_PERIOD_BROKER_VALUE","DEEP_MEASURE_ID_OVERRIDE",$C108,"DEEP_BROKER_ID_OVERRIDE",AX$24,"DEEP_PERIOD_OVERRIDE",$H$19)*1,"")))</f>
        <v/>
      </c>
      <c r="AY108" t="str">
        <f>IF(OR(AY$23="",ISNA($B108)),"",IF(ISBLANK($B108),"",IFERROR(_xll.BDP(TICKER,"DEEP_MEASURE_PERIOD_BROKER_VALUE","DEEP_MEASURE_ID_OVERRIDE",$C108,"DEEP_BROKER_ID_OVERRIDE",AY$24,"DEEP_PERIOD_OVERRIDE",$H$19)*1,"")))</f>
        <v/>
      </c>
      <c r="AZ108" t="str">
        <f>IF(OR(AZ$23="",ISNA($B108)),"",IF(ISBLANK($B108),"",IFERROR(_xll.BDP(TICKER,"DEEP_MEASURE_PERIOD_BROKER_VALUE","DEEP_MEASURE_ID_OVERRIDE",$C108,"DEEP_BROKER_ID_OVERRIDE",AZ$24,"DEEP_PERIOD_OVERRIDE",$H$19)*1,"")))</f>
        <v/>
      </c>
      <c r="BA108" t="str">
        <f>IF(OR(BA$23="",ISNA($B108)),"",IF(ISBLANK($B108),"",IFERROR(_xll.BDP(TICKER,"DEEP_MEASURE_PERIOD_BROKER_VALUE","DEEP_MEASURE_ID_OVERRIDE",$C108,"DEEP_BROKER_ID_OVERRIDE",BA$24,"DEEP_PERIOD_OVERRIDE",$H$19)*1,"")))</f>
        <v/>
      </c>
      <c r="BB108" t="str">
        <f>IF(OR(BB$23="",ISNA($B108)),"",IF(ISBLANK($B108),"",IFERROR(_xll.BDP(TICKER,"DEEP_MEASURE_PERIOD_BROKER_VALUE","DEEP_MEASURE_ID_OVERRIDE",$C108,"DEEP_BROKER_ID_OVERRIDE",BB$24,"DEEP_PERIOD_OVERRIDE",$H$19)*1,"")))</f>
        <v/>
      </c>
      <c r="BC108" t="str">
        <f>IF(OR(BC$23="",ISNA($B108)),"",IF(ISBLANK($B108),"",IFERROR(_xll.BDP(TICKER,"DEEP_MEASURE_PERIOD_BROKER_VALUE","DEEP_MEASURE_ID_OVERRIDE",$C108,"DEEP_BROKER_ID_OVERRIDE",BC$24,"DEEP_PERIOD_OVERRIDE",$H$19)*1,"")))</f>
        <v/>
      </c>
      <c r="BD108" t="str">
        <f>IF(OR(BD$23="",ISNA($B108)),"",IF(ISBLANK($B108),"",IFERROR(_xll.BDP(TICKER,"DEEP_MEASURE_PERIOD_BROKER_VALUE","DEEP_MEASURE_ID_OVERRIDE",$C108,"DEEP_BROKER_ID_OVERRIDE",BD$24,"DEEP_PERIOD_OVERRIDE",$H$19)*1,"")))</f>
        <v/>
      </c>
      <c r="BE108" t="str">
        <f>IF(OR(BE$23="",ISNA($B108)),"",IF(ISBLANK($B108),"",IFERROR(_xll.BDP(TICKER,"DEEP_MEASURE_PERIOD_BROKER_VALUE","DEEP_MEASURE_ID_OVERRIDE",$C108,"DEEP_BROKER_ID_OVERRIDE",BE$24,"DEEP_PERIOD_OVERRIDE",$H$19)*1,"")))</f>
        <v/>
      </c>
      <c r="BF108" t="str">
        <f>IF(OR(BF$23="",ISNA($B108)),"",IF(ISBLANK($B108),"",IFERROR(_xll.BDP(TICKER,"DEEP_MEASURE_PERIOD_BROKER_VALUE","DEEP_MEASURE_ID_OVERRIDE",$C108,"DEEP_BROKER_ID_OVERRIDE",BF$24,"DEEP_PERIOD_OVERRIDE",$H$19)*1,"")))</f>
        <v/>
      </c>
      <c r="BG108" t="str">
        <f>IF(OR(BG$23="",ISNA($B108)),"",IF(ISBLANK($B108),"",IFERROR(_xll.BDP(TICKER,"DEEP_MEASURE_PERIOD_BROKER_VALUE","DEEP_MEASURE_ID_OVERRIDE",$C108,"DEEP_BROKER_ID_OVERRIDE",BG$24,"DEEP_PERIOD_OVERRIDE",$H$19)*1,"")))</f>
        <v/>
      </c>
      <c r="BH108" t="str">
        <f>IF(OR(BH$23="",ISNA($B108)),"",IF(ISBLANK($B108),"",IFERROR(_xll.BDP(TICKER,"DEEP_MEASURE_PERIOD_BROKER_VALUE","DEEP_MEASURE_ID_OVERRIDE",$C108,"DEEP_BROKER_ID_OVERRIDE",BH$24,"DEEP_PERIOD_OVERRIDE",$H$19)*1,"")))</f>
        <v/>
      </c>
      <c r="BI108" t="str">
        <f>IF(OR(BI$23="",ISNA($B108)),"",IF(ISBLANK($B108),"",IFERROR(_xll.BDP(TICKER,"DEEP_MEASURE_PERIOD_BROKER_VALUE","DEEP_MEASURE_ID_OVERRIDE",$C108,"DEEP_BROKER_ID_OVERRIDE",BI$24,"DEEP_PERIOD_OVERRIDE",$H$19)*1,"")))</f>
        <v/>
      </c>
      <c r="BJ108" t="str">
        <f>IF(OR(BJ$23="",ISNA($B108)),"",IF(ISBLANK($B108),"",IFERROR(_xll.BDP(TICKER,"DEEP_MEASURE_PERIOD_BROKER_VALUE","DEEP_MEASURE_ID_OVERRIDE",$C108,"DEEP_BROKER_ID_OVERRIDE",BJ$24,"DEEP_PERIOD_OVERRIDE",$H$19)*1,"")))</f>
        <v/>
      </c>
      <c r="BK108" t="str">
        <f>IF(OR(BK$23="",ISNA($B108)),"",IF(ISBLANK($B108),"",IFERROR(_xll.BDP(TICKER,"DEEP_MEASURE_PERIOD_BROKER_VALUE","DEEP_MEASURE_ID_OVERRIDE",$C108,"DEEP_BROKER_ID_OVERRIDE",BK$24,"DEEP_PERIOD_OVERRIDE",$H$19)*1,"")))</f>
        <v/>
      </c>
      <c r="BL108" t="str">
        <f>IF(OR(BL$23="",ISNA($B108)),"",IF(ISBLANK($B108),"",IFERROR(_xll.BDP(TICKER,"DEEP_MEASURE_PERIOD_BROKER_VALUE","DEEP_MEASURE_ID_OVERRIDE",$C108,"DEEP_BROKER_ID_OVERRIDE",BL$24,"DEEP_PERIOD_OVERRIDE",$H$19)*1,"")))</f>
        <v/>
      </c>
      <c r="BM108" t="str">
        <f>IF(OR(BM$23="",ISNA($B108)),"",IF(ISBLANK($B108),"",IFERROR(_xll.BDP(TICKER,"DEEP_MEASURE_PERIOD_BROKER_VALUE","DEEP_MEASURE_ID_OVERRIDE",$C108,"DEEP_BROKER_ID_OVERRIDE",BM$24,"DEEP_PERIOD_OVERRIDE",$H$19)*1,"")))</f>
        <v/>
      </c>
      <c r="BN108" t="str">
        <f>IF(OR(BN$23="",ISNA($B108)),"",IF(ISBLANK($B108),"",IFERROR(_xll.BDP(TICKER,"DEEP_MEASURE_PERIOD_BROKER_VALUE","DEEP_MEASURE_ID_OVERRIDE",$C108,"DEEP_BROKER_ID_OVERRIDE",BN$24,"DEEP_PERIOD_OVERRIDE",$H$19)*1,"")))</f>
        <v/>
      </c>
      <c r="BO108" t="str">
        <f>IF(OR(BO$23="",ISNA($B108)),"",IF(ISBLANK($B108),"",IFERROR(_xll.BDP(TICKER,"DEEP_MEASURE_PERIOD_BROKER_VALUE","DEEP_MEASURE_ID_OVERRIDE",$C108,"DEEP_BROKER_ID_OVERRIDE",BO$24,"DEEP_PERIOD_OVERRIDE",$H$19)*1,"")))</f>
        <v/>
      </c>
      <c r="BP108" t="str">
        <f>IF(OR(BP$23="",ISNA($B108)),"",IF(ISBLANK($B108),"",IFERROR(_xll.BDP(TICKER,"DEEP_MEASURE_PERIOD_BROKER_VALUE","DEEP_MEASURE_ID_OVERRIDE",$C108,"DEEP_BROKER_ID_OVERRIDE",BP$24,"DEEP_PERIOD_OVERRIDE",$H$19)*1,"")))</f>
        <v/>
      </c>
      <c r="BQ108" t="str">
        <f>IF(OR(BQ$23="",ISNA($B108)),"",IF(ISBLANK($B108),"",IFERROR(_xll.BDP(TICKER,"DEEP_MEASURE_PERIOD_BROKER_VALUE","DEEP_MEASURE_ID_OVERRIDE",$C108,"DEEP_BROKER_ID_OVERRIDE",BQ$24,"DEEP_PERIOD_OVERRIDE",$H$19)*1,"")))</f>
        <v/>
      </c>
      <c r="BR108" t="str">
        <f>IF(OR(BR$23="",ISNA($B108)),"",IF(ISBLANK($B108),"",IFERROR(_xll.BDP(TICKER,"DEEP_MEASURE_PERIOD_BROKER_VALUE","DEEP_MEASURE_ID_OVERRIDE",$C108,"DEEP_BROKER_ID_OVERRIDE",BR$24,"DEEP_PERIOD_OVERRIDE",$H$19)*1,"")))</f>
        <v/>
      </c>
      <c r="BS108" t="str">
        <f>IF(OR(BS$23="",ISNA($B108)),"",IF(ISBLANK($B108),"",IFERROR(_xll.BDP(TICKER,"DEEP_MEASURE_PERIOD_BROKER_VALUE","DEEP_MEASURE_ID_OVERRIDE",$C108,"DEEP_BROKER_ID_OVERRIDE",BS$24,"DEEP_PERIOD_OVERRIDE",$H$19)*1,"")))</f>
        <v/>
      </c>
      <c r="BT108" t="str">
        <f>IF(OR(BT$23="",ISNA($B108)),"",IF(ISBLANK($B108),"",IFERROR(_xll.BDP(TICKER,"DEEP_MEASURE_PERIOD_BROKER_VALUE","DEEP_MEASURE_ID_OVERRIDE",$C108,"DEEP_BROKER_ID_OVERRIDE",BT$24,"DEEP_PERIOD_OVERRIDE",$H$19)*1,"")))</f>
        <v/>
      </c>
      <c r="BU108" t="str">
        <f>IF(OR(BU$23="",ISNA($B108)),"",IF(ISBLANK($B108),"",IFERROR(_xll.BDP(TICKER,"DEEP_MEASURE_PERIOD_BROKER_VALUE","DEEP_MEASURE_ID_OVERRIDE",$C108,"DEEP_BROKER_ID_OVERRIDE",BU$24,"DEEP_PERIOD_OVERRIDE",$H$19)*1,"")))</f>
        <v/>
      </c>
      <c r="BV108" t="str">
        <f>IF(OR(BV$23="",ISNA($B108)),"",IF(ISBLANK($B108),"",IFERROR(_xll.BDP(TICKER,"DEEP_MEASURE_PERIOD_BROKER_VALUE","DEEP_MEASURE_ID_OVERRIDE",$C108,"DEEP_BROKER_ID_OVERRIDE",BV$24,"DEEP_PERIOD_OVERRIDE",$H$19)*1,"")))</f>
        <v/>
      </c>
      <c r="BW108" t="str">
        <f>IF(OR(BW$23="",ISNA($B108)),"",IF(ISBLANK($B108),"",IFERROR(_xll.BDP(TICKER,"DEEP_MEASURE_PERIOD_BROKER_VALUE","DEEP_MEASURE_ID_OVERRIDE",$C108,"DEEP_BROKER_ID_OVERRIDE",BW$24,"DEEP_PERIOD_OVERRIDE",$H$19)*1,"")))</f>
        <v/>
      </c>
      <c r="BX108" t="str">
        <f>IF(OR(BX$23="",ISNA($B108)),"",IF(ISBLANK($B108),"",IFERROR(_xll.BDP(TICKER,"DEEP_MEASURE_PERIOD_BROKER_VALUE","DEEP_MEASURE_ID_OVERRIDE",$C108,"DEEP_BROKER_ID_OVERRIDE",BX$24,"DEEP_PERIOD_OVERRIDE",$H$19)*1,"")))</f>
        <v/>
      </c>
      <c r="BY108" t="str">
        <f>IF(OR(BY$23="",ISNA($B108)),"",IF(ISBLANK($B108),"",IFERROR(_xll.BDP(TICKER,"DEEP_MEASURE_PERIOD_BROKER_VALUE","DEEP_MEASURE_ID_OVERRIDE",$C108,"DEEP_BROKER_ID_OVERRIDE",BY$24,"DEEP_PERIOD_OVERRIDE",$H$19)*1,"")))</f>
        <v/>
      </c>
      <c r="BZ108" t="str">
        <f>IF(OR(BZ$23="",ISNA($B108)),"",IF(ISBLANK($B108),"",IFERROR(_xll.BDP(TICKER,"DEEP_MEASURE_PERIOD_BROKER_VALUE","DEEP_MEASURE_ID_OVERRIDE",$C108,"DEEP_BROKER_ID_OVERRIDE",BZ$24,"DEEP_PERIOD_OVERRIDE",$H$19)*1,"")))</f>
        <v/>
      </c>
    </row>
    <row r="109" spans="2:78" x14ac:dyDescent="0.25">
      <c r="B109" t="s">
        <v>149</v>
      </c>
      <c r="C109">
        <v>325</v>
      </c>
      <c r="H109" t="str">
        <f t="shared" si="2"/>
        <v>General &amp; Administrative Expenses &gt; General &amp; Administrative Expenses (ex-SBC)</v>
      </c>
      <c r="I109" t="str">
        <f>IF(OR(I$23="",ISNA($B109)),"",IF(ISBLANK($B109),"",IFERROR(_xll.BDP(TICKER,"DEEP_MEASURE_PERIOD_BROKER_VALUE","DEEP_MEASURE_ID_OVERRIDE",$C109,"DEEP_PERIOD_OVERRIDE",$H$19)*1,"")))</f>
        <v/>
      </c>
      <c r="J109" t="e">
        <f>IF(OR(J$23="",ISNA($B109)),"",IF(ISBLANK($B109),"",IFERROR(_xll.BDP(TICKER,"DEEP_MEASURE_PERIOD_BROKER_VALUE","DEEP_MEASURE_ID_OVERRIDE",$C109,"DEEP_BROKER_ID_OVERRIDE",J$24,"DEEP_PERIOD_OVERRIDE",$H$19)*1,"")))</f>
        <v>#REF!</v>
      </c>
      <c r="K109" t="str">
        <f>IF(OR(K$23="",ISNA($B109)),"",IF(ISBLANK($B109),"",IFERROR(_xll.BDP(TICKER,"DEEP_MEASURE_PERIOD_BROKER_VALUE","DEEP_MEASURE_ID_OVERRIDE",$C109,"DEEP_BROKER_ID_OVERRIDE",K$24,"DEEP_PERIOD_OVERRIDE",$H$19)*1,"")))</f>
        <v/>
      </c>
      <c r="L109" t="str">
        <f>IF(OR(L$23="",ISNA($B109)),"",IF(ISBLANK($B109),"",IFERROR(_xll.BDP(TICKER,"DEEP_MEASURE_PERIOD_BROKER_VALUE","DEEP_MEASURE_ID_OVERRIDE",$C109,"DEEP_BROKER_ID_OVERRIDE",L$24,"DEEP_PERIOD_OVERRIDE",$H$19)*1,"")))</f>
        <v/>
      </c>
      <c r="M109" t="str">
        <f>IF(OR(M$23="",ISNA($B109)),"",IF(ISBLANK($B109),"",IFERROR(_xll.BDP(TICKER,"DEEP_MEASURE_PERIOD_BROKER_VALUE","DEEP_MEASURE_ID_OVERRIDE",$C109,"DEEP_BROKER_ID_OVERRIDE",M$24,"DEEP_PERIOD_OVERRIDE",$H$19)*1,"")))</f>
        <v/>
      </c>
      <c r="N109" t="str">
        <f>IF(OR(N$23="",ISNA($B109)),"",IF(ISBLANK($B109),"",IFERROR(_xll.BDP(TICKER,"DEEP_MEASURE_PERIOD_BROKER_VALUE","DEEP_MEASURE_ID_OVERRIDE",$C109,"DEEP_BROKER_ID_OVERRIDE",N$24,"DEEP_PERIOD_OVERRIDE",$H$19)*1,"")))</f>
        <v/>
      </c>
      <c r="O109" t="str">
        <f>IF(OR(O$23="",ISNA($B109)),"",IF(ISBLANK($B109),"",IFERROR(_xll.BDP(TICKER,"DEEP_MEASURE_PERIOD_BROKER_VALUE","DEEP_MEASURE_ID_OVERRIDE",$C109,"DEEP_BROKER_ID_OVERRIDE",O$24,"DEEP_PERIOD_OVERRIDE",$H$19)*1,"")))</f>
        <v/>
      </c>
      <c r="P109" t="str">
        <f>IF(OR(P$23="",ISNA($B109)),"",IF(ISBLANK($B109),"",IFERROR(_xll.BDP(TICKER,"DEEP_MEASURE_PERIOD_BROKER_VALUE","DEEP_MEASURE_ID_OVERRIDE",$C109,"DEEP_BROKER_ID_OVERRIDE",P$24,"DEEP_PERIOD_OVERRIDE",$H$19)*1,"")))</f>
        <v/>
      </c>
      <c r="Q109" t="str">
        <f>IF(OR(Q$23="",ISNA($B109)),"",IF(ISBLANK($B109),"",IFERROR(_xll.BDP(TICKER,"DEEP_MEASURE_PERIOD_BROKER_VALUE","DEEP_MEASURE_ID_OVERRIDE",$C109,"DEEP_BROKER_ID_OVERRIDE",Q$24,"DEEP_PERIOD_OVERRIDE",$H$19)*1,"")))</f>
        <v/>
      </c>
      <c r="R109" t="str">
        <f>IF(OR(R$23="",ISNA($B109)),"",IF(ISBLANK($B109),"",IFERROR(_xll.BDP(TICKER,"DEEP_MEASURE_PERIOD_BROKER_VALUE","DEEP_MEASURE_ID_OVERRIDE",$C109,"DEEP_BROKER_ID_OVERRIDE",R$24,"DEEP_PERIOD_OVERRIDE",$H$19)*1,"")))</f>
        <v/>
      </c>
      <c r="S109" t="str">
        <f>IF(OR(S$23="",ISNA($B109)),"",IF(ISBLANK($B109),"",IFERROR(_xll.BDP(TICKER,"DEEP_MEASURE_PERIOD_BROKER_VALUE","DEEP_MEASURE_ID_OVERRIDE",$C109,"DEEP_BROKER_ID_OVERRIDE",S$24,"DEEP_PERIOD_OVERRIDE",$H$19)*1,"")))</f>
        <v/>
      </c>
      <c r="T109" t="str">
        <f>IF(OR(T$23="",ISNA($B109)),"",IF(ISBLANK($B109),"",IFERROR(_xll.BDP(TICKER,"DEEP_MEASURE_PERIOD_BROKER_VALUE","DEEP_MEASURE_ID_OVERRIDE",$C109,"DEEP_BROKER_ID_OVERRIDE",T$24,"DEEP_PERIOD_OVERRIDE",$H$19)*1,"")))</f>
        <v/>
      </c>
      <c r="U109" t="str">
        <f>IF(OR(U$23="",ISNA($B109)),"",IF(ISBLANK($B109),"",IFERROR(_xll.BDP(TICKER,"DEEP_MEASURE_PERIOD_BROKER_VALUE","DEEP_MEASURE_ID_OVERRIDE",$C109,"DEEP_BROKER_ID_OVERRIDE",U$24,"DEEP_PERIOD_OVERRIDE",$H$19)*1,"")))</f>
        <v/>
      </c>
      <c r="V109" t="str">
        <f>IF(OR(V$23="",ISNA($B109)),"",IF(ISBLANK($B109),"",IFERROR(_xll.BDP(TICKER,"DEEP_MEASURE_PERIOD_BROKER_VALUE","DEEP_MEASURE_ID_OVERRIDE",$C109,"DEEP_BROKER_ID_OVERRIDE",V$24,"DEEP_PERIOD_OVERRIDE",$H$19)*1,"")))</f>
        <v/>
      </c>
      <c r="W109" t="str">
        <f>IF(OR(W$23="",ISNA($B109)),"",IF(ISBLANK($B109),"",IFERROR(_xll.BDP(TICKER,"DEEP_MEASURE_PERIOD_BROKER_VALUE","DEEP_MEASURE_ID_OVERRIDE",$C109,"DEEP_BROKER_ID_OVERRIDE",W$24,"DEEP_PERIOD_OVERRIDE",$H$19)*1,"")))</f>
        <v/>
      </c>
      <c r="X109" t="str">
        <f>IF(OR(X$23="",ISNA($B109)),"",IF(ISBLANK($B109),"",IFERROR(_xll.BDP(TICKER,"DEEP_MEASURE_PERIOD_BROKER_VALUE","DEEP_MEASURE_ID_OVERRIDE",$C109,"DEEP_BROKER_ID_OVERRIDE",X$24,"DEEP_PERIOD_OVERRIDE",$H$19)*1,"")))</f>
        <v/>
      </c>
      <c r="Y109" t="str">
        <f>IF(OR(Y$23="",ISNA($B109)),"",IF(ISBLANK($B109),"",IFERROR(_xll.BDP(TICKER,"DEEP_MEASURE_PERIOD_BROKER_VALUE","DEEP_MEASURE_ID_OVERRIDE",$C109,"DEEP_BROKER_ID_OVERRIDE",Y$24,"DEEP_PERIOD_OVERRIDE",$H$19)*1,"")))</f>
        <v/>
      </c>
      <c r="Z109" t="str">
        <f>IF(OR(Z$23="",ISNA($B109)),"",IF(ISBLANK($B109),"",IFERROR(_xll.BDP(TICKER,"DEEP_MEASURE_PERIOD_BROKER_VALUE","DEEP_MEASURE_ID_OVERRIDE",$C109,"DEEP_BROKER_ID_OVERRIDE",Z$24,"DEEP_PERIOD_OVERRIDE",$H$19)*1,"")))</f>
        <v/>
      </c>
      <c r="AA109" t="str">
        <f>IF(OR(AA$23="",ISNA($B109)),"",IF(ISBLANK($B109),"",IFERROR(_xll.BDP(TICKER,"DEEP_MEASURE_PERIOD_BROKER_VALUE","DEEP_MEASURE_ID_OVERRIDE",$C109,"DEEP_BROKER_ID_OVERRIDE",AA$24,"DEEP_PERIOD_OVERRIDE",$H$19)*1,"")))</f>
        <v/>
      </c>
      <c r="AB109" t="str">
        <f>IF(OR(AB$23="",ISNA($B109)),"",IF(ISBLANK($B109),"",IFERROR(_xll.BDP(TICKER,"DEEP_MEASURE_PERIOD_BROKER_VALUE","DEEP_MEASURE_ID_OVERRIDE",$C109,"DEEP_BROKER_ID_OVERRIDE",AB$24,"DEEP_PERIOD_OVERRIDE",$H$19)*1,"")))</f>
        <v/>
      </c>
      <c r="AC109" t="str">
        <f>IF(OR(AC$23="",ISNA($B109)),"",IF(ISBLANK($B109),"",IFERROR(_xll.BDP(TICKER,"DEEP_MEASURE_PERIOD_BROKER_VALUE","DEEP_MEASURE_ID_OVERRIDE",$C109,"DEEP_BROKER_ID_OVERRIDE",AC$24,"DEEP_PERIOD_OVERRIDE",$H$19)*1,"")))</f>
        <v/>
      </c>
      <c r="AD109" t="str">
        <f>IF(OR(AD$23="",ISNA($B109)),"",IF(ISBLANK($B109),"",IFERROR(_xll.BDP(TICKER,"DEEP_MEASURE_PERIOD_BROKER_VALUE","DEEP_MEASURE_ID_OVERRIDE",$C109,"DEEP_BROKER_ID_OVERRIDE",AD$24,"DEEP_PERIOD_OVERRIDE",$H$19)*1,"")))</f>
        <v/>
      </c>
      <c r="AE109" t="str">
        <f>IF(OR(AE$23="",ISNA($B109)),"",IF(ISBLANK($B109),"",IFERROR(_xll.BDP(TICKER,"DEEP_MEASURE_PERIOD_BROKER_VALUE","DEEP_MEASURE_ID_OVERRIDE",$C109,"DEEP_BROKER_ID_OVERRIDE",AE$24,"DEEP_PERIOD_OVERRIDE",$H$19)*1,"")))</f>
        <v/>
      </c>
      <c r="AF109" t="str">
        <f>IF(OR(AF$23="",ISNA($B109)),"",IF(ISBLANK($B109),"",IFERROR(_xll.BDP(TICKER,"DEEP_MEASURE_PERIOD_BROKER_VALUE","DEEP_MEASURE_ID_OVERRIDE",$C109,"DEEP_BROKER_ID_OVERRIDE",AF$24,"DEEP_PERIOD_OVERRIDE",$H$19)*1,"")))</f>
        <v/>
      </c>
      <c r="AG109" t="str">
        <f>IF(OR(AG$23="",ISNA($B109)),"",IF(ISBLANK($B109),"",IFERROR(_xll.BDP(TICKER,"DEEP_MEASURE_PERIOD_BROKER_VALUE","DEEP_MEASURE_ID_OVERRIDE",$C109,"DEEP_BROKER_ID_OVERRIDE",AG$24,"DEEP_PERIOD_OVERRIDE",$H$19)*1,"")))</f>
        <v/>
      </c>
      <c r="AH109" t="str">
        <f>IF(OR(AH$23="",ISNA($B109)),"",IF(ISBLANK($B109),"",IFERROR(_xll.BDP(TICKER,"DEEP_MEASURE_PERIOD_BROKER_VALUE","DEEP_MEASURE_ID_OVERRIDE",$C109,"DEEP_BROKER_ID_OVERRIDE",AH$24,"DEEP_PERIOD_OVERRIDE",$H$19)*1,"")))</f>
        <v/>
      </c>
      <c r="AI109" t="str">
        <f>IF(OR(AI$23="",ISNA($B109)),"",IF(ISBLANK($B109),"",IFERROR(_xll.BDP(TICKER,"DEEP_MEASURE_PERIOD_BROKER_VALUE","DEEP_MEASURE_ID_OVERRIDE",$C109,"DEEP_BROKER_ID_OVERRIDE",AI$24,"DEEP_PERIOD_OVERRIDE",$H$19)*1,"")))</f>
        <v/>
      </c>
      <c r="AJ109" t="str">
        <f>IF(OR(AJ$23="",ISNA($B109)),"",IF(ISBLANK($B109),"",IFERROR(_xll.BDP(TICKER,"DEEP_MEASURE_PERIOD_BROKER_VALUE","DEEP_MEASURE_ID_OVERRIDE",$C109,"DEEP_BROKER_ID_OVERRIDE",AJ$24,"DEEP_PERIOD_OVERRIDE",$H$19)*1,"")))</f>
        <v/>
      </c>
      <c r="AK109" t="str">
        <f>IF(OR(AK$23="",ISNA($B109)),"",IF(ISBLANK($B109),"",IFERROR(_xll.BDP(TICKER,"DEEP_MEASURE_PERIOD_BROKER_VALUE","DEEP_MEASURE_ID_OVERRIDE",$C109,"DEEP_BROKER_ID_OVERRIDE",AK$24,"DEEP_PERIOD_OVERRIDE",$H$19)*1,"")))</f>
        <v/>
      </c>
      <c r="AL109" t="str">
        <f>IF(OR(AL$23="",ISNA($B109)),"",IF(ISBLANK($B109),"",IFERROR(_xll.BDP(TICKER,"DEEP_MEASURE_PERIOD_BROKER_VALUE","DEEP_MEASURE_ID_OVERRIDE",$C109,"DEEP_BROKER_ID_OVERRIDE",AL$24,"DEEP_PERIOD_OVERRIDE",$H$19)*1,"")))</f>
        <v/>
      </c>
      <c r="AM109" t="str">
        <f>IF(OR(AM$23="",ISNA($B109)),"",IF(ISBLANK($B109),"",IFERROR(_xll.BDP(TICKER,"DEEP_MEASURE_PERIOD_BROKER_VALUE","DEEP_MEASURE_ID_OVERRIDE",$C109,"DEEP_BROKER_ID_OVERRIDE",AM$24,"DEEP_PERIOD_OVERRIDE",$H$19)*1,"")))</f>
        <v/>
      </c>
      <c r="AN109" t="str">
        <f>IF(OR(AN$23="",ISNA($B109)),"",IF(ISBLANK($B109),"",IFERROR(_xll.BDP(TICKER,"DEEP_MEASURE_PERIOD_BROKER_VALUE","DEEP_MEASURE_ID_OVERRIDE",$C109,"DEEP_BROKER_ID_OVERRIDE",AN$24,"DEEP_PERIOD_OVERRIDE",$H$19)*1,"")))</f>
        <v/>
      </c>
      <c r="AO109" t="str">
        <f>IF(OR(AO$23="",ISNA($B109)),"",IF(ISBLANK($B109),"",IFERROR(_xll.BDP(TICKER,"DEEP_MEASURE_PERIOD_BROKER_VALUE","DEEP_MEASURE_ID_OVERRIDE",$C109,"DEEP_BROKER_ID_OVERRIDE",AO$24,"DEEP_PERIOD_OVERRIDE",$H$19)*1,"")))</f>
        <v/>
      </c>
      <c r="AP109" t="str">
        <f>IF(OR(AP$23="",ISNA($B109)),"",IF(ISBLANK($B109),"",IFERROR(_xll.BDP(TICKER,"DEEP_MEASURE_PERIOD_BROKER_VALUE","DEEP_MEASURE_ID_OVERRIDE",$C109,"DEEP_BROKER_ID_OVERRIDE",AP$24,"DEEP_PERIOD_OVERRIDE",$H$19)*1,"")))</f>
        <v/>
      </c>
      <c r="AQ109" t="str">
        <f>IF(OR(AQ$23="",ISNA($B109)),"",IF(ISBLANK($B109),"",IFERROR(_xll.BDP(TICKER,"DEEP_MEASURE_PERIOD_BROKER_VALUE","DEEP_MEASURE_ID_OVERRIDE",$C109,"DEEP_BROKER_ID_OVERRIDE",AQ$24,"DEEP_PERIOD_OVERRIDE",$H$19)*1,"")))</f>
        <v/>
      </c>
      <c r="AR109" t="str">
        <f>IF(OR(AR$23="",ISNA($B109)),"",IF(ISBLANK($B109),"",IFERROR(_xll.BDP(TICKER,"DEEP_MEASURE_PERIOD_BROKER_VALUE","DEEP_MEASURE_ID_OVERRIDE",$C109,"DEEP_BROKER_ID_OVERRIDE",AR$24,"DEEP_PERIOD_OVERRIDE",$H$19)*1,"")))</f>
        <v/>
      </c>
      <c r="AS109" t="str">
        <f>IF(OR(AS$23="",ISNA($B109)),"",IF(ISBLANK($B109),"",IFERROR(_xll.BDP(TICKER,"DEEP_MEASURE_PERIOD_BROKER_VALUE","DEEP_MEASURE_ID_OVERRIDE",$C109,"DEEP_BROKER_ID_OVERRIDE",AS$24,"DEEP_PERIOD_OVERRIDE",$H$19)*1,"")))</f>
        <v/>
      </c>
      <c r="AT109" t="str">
        <f>IF(OR(AT$23="",ISNA($B109)),"",IF(ISBLANK($B109),"",IFERROR(_xll.BDP(TICKER,"DEEP_MEASURE_PERIOD_BROKER_VALUE","DEEP_MEASURE_ID_OVERRIDE",$C109,"DEEP_BROKER_ID_OVERRIDE",AT$24,"DEEP_PERIOD_OVERRIDE",$H$19)*1,"")))</f>
        <v/>
      </c>
      <c r="AU109" t="str">
        <f>IF(OR(AU$23="",ISNA($B109)),"",IF(ISBLANK($B109),"",IFERROR(_xll.BDP(TICKER,"DEEP_MEASURE_PERIOD_BROKER_VALUE","DEEP_MEASURE_ID_OVERRIDE",$C109,"DEEP_BROKER_ID_OVERRIDE",AU$24,"DEEP_PERIOD_OVERRIDE",$H$19)*1,"")))</f>
        <v/>
      </c>
      <c r="AV109" t="str">
        <f>IF(OR(AV$23="",ISNA($B109)),"",IF(ISBLANK($B109),"",IFERROR(_xll.BDP(TICKER,"DEEP_MEASURE_PERIOD_BROKER_VALUE","DEEP_MEASURE_ID_OVERRIDE",$C109,"DEEP_BROKER_ID_OVERRIDE",AV$24,"DEEP_PERIOD_OVERRIDE",$H$19)*1,"")))</f>
        <v/>
      </c>
      <c r="AW109" t="str">
        <f>IF(OR(AW$23="",ISNA($B109)),"",IF(ISBLANK($B109),"",IFERROR(_xll.BDP(TICKER,"DEEP_MEASURE_PERIOD_BROKER_VALUE","DEEP_MEASURE_ID_OVERRIDE",$C109,"DEEP_BROKER_ID_OVERRIDE",AW$24,"DEEP_PERIOD_OVERRIDE",$H$19)*1,"")))</f>
        <v/>
      </c>
      <c r="AX109" t="str">
        <f>IF(OR(AX$23="",ISNA($B109)),"",IF(ISBLANK($B109),"",IFERROR(_xll.BDP(TICKER,"DEEP_MEASURE_PERIOD_BROKER_VALUE","DEEP_MEASURE_ID_OVERRIDE",$C109,"DEEP_BROKER_ID_OVERRIDE",AX$24,"DEEP_PERIOD_OVERRIDE",$H$19)*1,"")))</f>
        <v/>
      </c>
      <c r="AY109" t="str">
        <f>IF(OR(AY$23="",ISNA($B109)),"",IF(ISBLANK($B109),"",IFERROR(_xll.BDP(TICKER,"DEEP_MEASURE_PERIOD_BROKER_VALUE","DEEP_MEASURE_ID_OVERRIDE",$C109,"DEEP_BROKER_ID_OVERRIDE",AY$24,"DEEP_PERIOD_OVERRIDE",$H$19)*1,"")))</f>
        <v/>
      </c>
      <c r="AZ109" t="str">
        <f>IF(OR(AZ$23="",ISNA($B109)),"",IF(ISBLANK($B109),"",IFERROR(_xll.BDP(TICKER,"DEEP_MEASURE_PERIOD_BROKER_VALUE","DEEP_MEASURE_ID_OVERRIDE",$C109,"DEEP_BROKER_ID_OVERRIDE",AZ$24,"DEEP_PERIOD_OVERRIDE",$H$19)*1,"")))</f>
        <v/>
      </c>
      <c r="BA109" t="str">
        <f>IF(OR(BA$23="",ISNA($B109)),"",IF(ISBLANK($B109),"",IFERROR(_xll.BDP(TICKER,"DEEP_MEASURE_PERIOD_BROKER_VALUE","DEEP_MEASURE_ID_OVERRIDE",$C109,"DEEP_BROKER_ID_OVERRIDE",BA$24,"DEEP_PERIOD_OVERRIDE",$H$19)*1,"")))</f>
        <v/>
      </c>
      <c r="BB109" t="str">
        <f>IF(OR(BB$23="",ISNA($B109)),"",IF(ISBLANK($B109),"",IFERROR(_xll.BDP(TICKER,"DEEP_MEASURE_PERIOD_BROKER_VALUE","DEEP_MEASURE_ID_OVERRIDE",$C109,"DEEP_BROKER_ID_OVERRIDE",BB$24,"DEEP_PERIOD_OVERRIDE",$H$19)*1,"")))</f>
        <v/>
      </c>
      <c r="BC109" t="str">
        <f>IF(OR(BC$23="",ISNA($B109)),"",IF(ISBLANK($B109),"",IFERROR(_xll.BDP(TICKER,"DEEP_MEASURE_PERIOD_BROKER_VALUE","DEEP_MEASURE_ID_OVERRIDE",$C109,"DEEP_BROKER_ID_OVERRIDE",BC$24,"DEEP_PERIOD_OVERRIDE",$H$19)*1,"")))</f>
        <v/>
      </c>
      <c r="BD109" t="str">
        <f>IF(OR(BD$23="",ISNA($B109)),"",IF(ISBLANK($B109),"",IFERROR(_xll.BDP(TICKER,"DEEP_MEASURE_PERIOD_BROKER_VALUE","DEEP_MEASURE_ID_OVERRIDE",$C109,"DEEP_BROKER_ID_OVERRIDE",BD$24,"DEEP_PERIOD_OVERRIDE",$H$19)*1,"")))</f>
        <v/>
      </c>
      <c r="BE109" t="str">
        <f>IF(OR(BE$23="",ISNA($B109)),"",IF(ISBLANK($B109),"",IFERROR(_xll.BDP(TICKER,"DEEP_MEASURE_PERIOD_BROKER_VALUE","DEEP_MEASURE_ID_OVERRIDE",$C109,"DEEP_BROKER_ID_OVERRIDE",BE$24,"DEEP_PERIOD_OVERRIDE",$H$19)*1,"")))</f>
        <v/>
      </c>
      <c r="BF109" t="str">
        <f>IF(OR(BF$23="",ISNA($B109)),"",IF(ISBLANK($B109),"",IFERROR(_xll.BDP(TICKER,"DEEP_MEASURE_PERIOD_BROKER_VALUE","DEEP_MEASURE_ID_OVERRIDE",$C109,"DEEP_BROKER_ID_OVERRIDE",BF$24,"DEEP_PERIOD_OVERRIDE",$H$19)*1,"")))</f>
        <v/>
      </c>
      <c r="BG109" t="str">
        <f>IF(OR(BG$23="",ISNA($B109)),"",IF(ISBLANK($B109),"",IFERROR(_xll.BDP(TICKER,"DEEP_MEASURE_PERIOD_BROKER_VALUE","DEEP_MEASURE_ID_OVERRIDE",$C109,"DEEP_BROKER_ID_OVERRIDE",BG$24,"DEEP_PERIOD_OVERRIDE",$H$19)*1,"")))</f>
        <v/>
      </c>
      <c r="BH109" t="str">
        <f>IF(OR(BH$23="",ISNA($B109)),"",IF(ISBLANK($B109),"",IFERROR(_xll.BDP(TICKER,"DEEP_MEASURE_PERIOD_BROKER_VALUE","DEEP_MEASURE_ID_OVERRIDE",$C109,"DEEP_BROKER_ID_OVERRIDE",BH$24,"DEEP_PERIOD_OVERRIDE",$H$19)*1,"")))</f>
        <v/>
      </c>
      <c r="BI109" t="str">
        <f>IF(OR(BI$23="",ISNA($B109)),"",IF(ISBLANK($B109),"",IFERROR(_xll.BDP(TICKER,"DEEP_MEASURE_PERIOD_BROKER_VALUE","DEEP_MEASURE_ID_OVERRIDE",$C109,"DEEP_BROKER_ID_OVERRIDE",BI$24,"DEEP_PERIOD_OVERRIDE",$H$19)*1,"")))</f>
        <v/>
      </c>
      <c r="BJ109" t="str">
        <f>IF(OR(BJ$23="",ISNA($B109)),"",IF(ISBLANK($B109),"",IFERROR(_xll.BDP(TICKER,"DEEP_MEASURE_PERIOD_BROKER_VALUE","DEEP_MEASURE_ID_OVERRIDE",$C109,"DEEP_BROKER_ID_OVERRIDE",BJ$24,"DEEP_PERIOD_OVERRIDE",$H$19)*1,"")))</f>
        <v/>
      </c>
      <c r="BK109" t="str">
        <f>IF(OR(BK$23="",ISNA($B109)),"",IF(ISBLANK($B109),"",IFERROR(_xll.BDP(TICKER,"DEEP_MEASURE_PERIOD_BROKER_VALUE","DEEP_MEASURE_ID_OVERRIDE",$C109,"DEEP_BROKER_ID_OVERRIDE",BK$24,"DEEP_PERIOD_OVERRIDE",$H$19)*1,"")))</f>
        <v/>
      </c>
      <c r="BL109" t="str">
        <f>IF(OR(BL$23="",ISNA($B109)),"",IF(ISBLANK($B109),"",IFERROR(_xll.BDP(TICKER,"DEEP_MEASURE_PERIOD_BROKER_VALUE","DEEP_MEASURE_ID_OVERRIDE",$C109,"DEEP_BROKER_ID_OVERRIDE",BL$24,"DEEP_PERIOD_OVERRIDE",$H$19)*1,"")))</f>
        <v/>
      </c>
      <c r="BM109" t="str">
        <f>IF(OR(BM$23="",ISNA($B109)),"",IF(ISBLANK($B109),"",IFERROR(_xll.BDP(TICKER,"DEEP_MEASURE_PERIOD_BROKER_VALUE","DEEP_MEASURE_ID_OVERRIDE",$C109,"DEEP_BROKER_ID_OVERRIDE",BM$24,"DEEP_PERIOD_OVERRIDE",$H$19)*1,"")))</f>
        <v/>
      </c>
      <c r="BN109" t="str">
        <f>IF(OR(BN$23="",ISNA($B109)),"",IF(ISBLANK($B109),"",IFERROR(_xll.BDP(TICKER,"DEEP_MEASURE_PERIOD_BROKER_VALUE","DEEP_MEASURE_ID_OVERRIDE",$C109,"DEEP_BROKER_ID_OVERRIDE",BN$24,"DEEP_PERIOD_OVERRIDE",$H$19)*1,"")))</f>
        <v/>
      </c>
      <c r="BO109" t="str">
        <f>IF(OR(BO$23="",ISNA($B109)),"",IF(ISBLANK($B109),"",IFERROR(_xll.BDP(TICKER,"DEEP_MEASURE_PERIOD_BROKER_VALUE","DEEP_MEASURE_ID_OVERRIDE",$C109,"DEEP_BROKER_ID_OVERRIDE",BO$24,"DEEP_PERIOD_OVERRIDE",$H$19)*1,"")))</f>
        <v/>
      </c>
      <c r="BP109" t="str">
        <f>IF(OR(BP$23="",ISNA($B109)),"",IF(ISBLANK($B109),"",IFERROR(_xll.BDP(TICKER,"DEEP_MEASURE_PERIOD_BROKER_VALUE","DEEP_MEASURE_ID_OVERRIDE",$C109,"DEEP_BROKER_ID_OVERRIDE",BP$24,"DEEP_PERIOD_OVERRIDE",$H$19)*1,"")))</f>
        <v/>
      </c>
      <c r="BQ109" t="str">
        <f>IF(OR(BQ$23="",ISNA($B109)),"",IF(ISBLANK($B109),"",IFERROR(_xll.BDP(TICKER,"DEEP_MEASURE_PERIOD_BROKER_VALUE","DEEP_MEASURE_ID_OVERRIDE",$C109,"DEEP_BROKER_ID_OVERRIDE",BQ$24,"DEEP_PERIOD_OVERRIDE",$H$19)*1,"")))</f>
        <v/>
      </c>
      <c r="BR109" t="str">
        <f>IF(OR(BR$23="",ISNA($B109)),"",IF(ISBLANK($B109),"",IFERROR(_xll.BDP(TICKER,"DEEP_MEASURE_PERIOD_BROKER_VALUE","DEEP_MEASURE_ID_OVERRIDE",$C109,"DEEP_BROKER_ID_OVERRIDE",BR$24,"DEEP_PERIOD_OVERRIDE",$H$19)*1,"")))</f>
        <v/>
      </c>
      <c r="BS109" t="str">
        <f>IF(OR(BS$23="",ISNA($B109)),"",IF(ISBLANK($B109),"",IFERROR(_xll.BDP(TICKER,"DEEP_MEASURE_PERIOD_BROKER_VALUE","DEEP_MEASURE_ID_OVERRIDE",$C109,"DEEP_BROKER_ID_OVERRIDE",BS$24,"DEEP_PERIOD_OVERRIDE",$H$19)*1,"")))</f>
        <v/>
      </c>
      <c r="BT109" t="str">
        <f>IF(OR(BT$23="",ISNA($B109)),"",IF(ISBLANK($B109),"",IFERROR(_xll.BDP(TICKER,"DEEP_MEASURE_PERIOD_BROKER_VALUE","DEEP_MEASURE_ID_OVERRIDE",$C109,"DEEP_BROKER_ID_OVERRIDE",BT$24,"DEEP_PERIOD_OVERRIDE",$H$19)*1,"")))</f>
        <v/>
      </c>
      <c r="BU109" t="str">
        <f>IF(OR(BU$23="",ISNA($B109)),"",IF(ISBLANK($B109),"",IFERROR(_xll.BDP(TICKER,"DEEP_MEASURE_PERIOD_BROKER_VALUE","DEEP_MEASURE_ID_OVERRIDE",$C109,"DEEP_BROKER_ID_OVERRIDE",BU$24,"DEEP_PERIOD_OVERRIDE",$H$19)*1,"")))</f>
        <v/>
      </c>
      <c r="BV109" t="str">
        <f>IF(OR(BV$23="",ISNA($B109)),"",IF(ISBLANK($B109),"",IFERROR(_xll.BDP(TICKER,"DEEP_MEASURE_PERIOD_BROKER_VALUE","DEEP_MEASURE_ID_OVERRIDE",$C109,"DEEP_BROKER_ID_OVERRIDE",BV$24,"DEEP_PERIOD_OVERRIDE",$H$19)*1,"")))</f>
        <v/>
      </c>
      <c r="BW109" t="str">
        <f>IF(OR(BW$23="",ISNA($B109)),"",IF(ISBLANK($B109),"",IFERROR(_xll.BDP(TICKER,"DEEP_MEASURE_PERIOD_BROKER_VALUE","DEEP_MEASURE_ID_OVERRIDE",$C109,"DEEP_BROKER_ID_OVERRIDE",BW$24,"DEEP_PERIOD_OVERRIDE",$H$19)*1,"")))</f>
        <v/>
      </c>
      <c r="BX109" t="str">
        <f>IF(OR(BX$23="",ISNA($B109)),"",IF(ISBLANK($B109),"",IFERROR(_xll.BDP(TICKER,"DEEP_MEASURE_PERIOD_BROKER_VALUE","DEEP_MEASURE_ID_OVERRIDE",$C109,"DEEP_BROKER_ID_OVERRIDE",BX$24,"DEEP_PERIOD_OVERRIDE",$H$19)*1,"")))</f>
        <v/>
      </c>
      <c r="BY109" t="str">
        <f>IF(OR(BY$23="",ISNA($B109)),"",IF(ISBLANK($B109),"",IFERROR(_xll.BDP(TICKER,"DEEP_MEASURE_PERIOD_BROKER_VALUE","DEEP_MEASURE_ID_OVERRIDE",$C109,"DEEP_BROKER_ID_OVERRIDE",BY$24,"DEEP_PERIOD_OVERRIDE",$H$19)*1,"")))</f>
        <v/>
      </c>
      <c r="BZ109" t="str">
        <f>IF(OR(BZ$23="",ISNA($B109)),"",IF(ISBLANK($B109),"",IFERROR(_xll.BDP(TICKER,"DEEP_MEASURE_PERIOD_BROKER_VALUE","DEEP_MEASURE_ID_OVERRIDE",$C109,"DEEP_BROKER_ID_OVERRIDE",BZ$24,"DEEP_PERIOD_OVERRIDE",$H$19)*1,"")))</f>
        <v/>
      </c>
    </row>
    <row r="110" spans="2:78" x14ac:dyDescent="0.25">
      <c r="B110" t="s">
        <v>150</v>
      </c>
      <c r="C110">
        <v>1723</v>
      </c>
      <c r="H110" t="str">
        <f t="shared" si="2"/>
        <v>General &amp; Administrative Expenses &gt; General &amp; Administrative Expenses (ex-SBC) &gt; YoY Growth (%)</v>
      </c>
      <c r="I110" t="str">
        <f>IF(OR(I$23="",ISNA($B110)),"",IF(ISBLANK($B110),"",IFERROR(_xll.BDP(TICKER,"DEEP_MEASURE_PERIOD_BROKER_VALUE","DEEP_MEASURE_ID_OVERRIDE",$C110,"DEEP_PERIOD_OVERRIDE",$H$19)*1,"")))</f>
        <v/>
      </c>
      <c r="J110" t="e">
        <f>IF(OR(J$23="",ISNA($B110)),"",IF(ISBLANK($B110),"",IFERROR(_xll.BDP(TICKER,"DEEP_MEASURE_PERIOD_BROKER_VALUE","DEEP_MEASURE_ID_OVERRIDE",$C110,"DEEP_BROKER_ID_OVERRIDE",J$24,"DEEP_PERIOD_OVERRIDE",$H$19)*1,"")))</f>
        <v>#REF!</v>
      </c>
      <c r="K110" t="str">
        <f>IF(OR(K$23="",ISNA($B110)),"",IF(ISBLANK($B110),"",IFERROR(_xll.BDP(TICKER,"DEEP_MEASURE_PERIOD_BROKER_VALUE","DEEP_MEASURE_ID_OVERRIDE",$C110,"DEEP_BROKER_ID_OVERRIDE",K$24,"DEEP_PERIOD_OVERRIDE",$H$19)*1,"")))</f>
        <v/>
      </c>
      <c r="L110" t="str">
        <f>IF(OR(L$23="",ISNA($B110)),"",IF(ISBLANK($B110),"",IFERROR(_xll.BDP(TICKER,"DEEP_MEASURE_PERIOD_BROKER_VALUE","DEEP_MEASURE_ID_OVERRIDE",$C110,"DEEP_BROKER_ID_OVERRIDE",L$24,"DEEP_PERIOD_OVERRIDE",$H$19)*1,"")))</f>
        <v/>
      </c>
      <c r="M110" t="str">
        <f>IF(OR(M$23="",ISNA($B110)),"",IF(ISBLANK($B110),"",IFERROR(_xll.BDP(TICKER,"DEEP_MEASURE_PERIOD_BROKER_VALUE","DEEP_MEASURE_ID_OVERRIDE",$C110,"DEEP_BROKER_ID_OVERRIDE",M$24,"DEEP_PERIOD_OVERRIDE",$H$19)*1,"")))</f>
        <v/>
      </c>
      <c r="N110" t="str">
        <f>IF(OR(N$23="",ISNA($B110)),"",IF(ISBLANK($B110),"",IFERROR(_xll.BDP(TICKER,"DEEP_MEASURE_PERIOD_BROKER_VALUE","DEEP_MEASURE_ID_OVERRIDE",$C110,"DEEP_BROKER_ID_OVERRIDE",N$24,"DEEP_PERIOD_OVERRIDE",$H$19)*1,"")))</f>
        <v/>
      </c>
      <c r="O110" t="str">
        <f>IF(OR(O$23="",ISNA($B110)),"",IF(ISBLANK($B110),"",IFERROR(_xll.BDP(TICKER,"DEEP_MEASURE_PERIOD_BROKER_VALUE","DEEP_MEASURE_ID_OVERRIDE",$C110,"DEEP_BROKER_ID_OVERRIDE",O$24,"DEEP_PERIOD_OVERRIDE",$H$19)*1,"")))</f>
        <v/>
      </c>
      <c r="P110" t="str">
        <f>IF(OR(P$23="",ISNA($B110)),"",IF(ISBLANK($B110),"",IFERROR(_xll.BDP(TICKER,"DEEP_MEASURE_PERIOD_BROKER_VALUE","DEEP_MEASURE_ID_OVERRIDE",$C110,"DEEP_BROKER_ID_OVERRIDE",P$24,"DEEP_PERIOD_OVERRIDE",$H$19)*1,"")))</f>
        <v/>
      </c>
      <c r="Q110" t="str">
        <f>IF(OR(Q$23="",ISNA($B110)),"",IF(ISBLANK($B110),"",IFERROR(_xll.BDP(TICKER,"DEEP_MEASURE_PERIOD_BROKER_VALUE","DEEP_MEASURE_ID_OVERRIDE",$C110,"DEEP_BROKER_ID_OVERRIDE",Q$24,"DEEP_PERIOD_OVERRIDE",$H$19)*1,"")))</f>
        <v/>
      </c>
      <c r="R110" t="str">
        <f>IF(OR(R$23="",ISNA($B110)),"",IF(ISBLANK($B110),"",IFERROR(_xll.BDP(TICKER,"DEEP_MEASURE_PERIOD_BROKER_VALUE","DEEP_MEASURE_ID_OVERRIDE",$C110,"DEEP_BROKER_ID_OVERRIDE",R$24,"DEEP_PERIOD_OVERRIDE",$H$19)*1,"")))</f>
        <v/>
      </c>
      <c r="S110" t="str">
        <f>IF(OR(S$23="",ISNA($B110)),"",IF(ISBLANK($B110),"",IFERROR(_xll.BDP(TICKER,"DEEP_MEASURE_PERIOD_BROKER_VALUE","DEEP_MEASURE_ID_OVERRIDE",$C110,"DEEP_BROKER_ID_OVERRIDE",S$24,"DEEP_PERIOD_OVERRIDE",$H$19)*1,"")))</f>
        <v/>
      </c>
      <c r="T110" t="str">
        <f>IF(OR(T$23="",ISNA($B110)),"",IF(ISBLANK($B110),"",IFERROR(_xll.BDP(TICKER,"DEEP_MEASURE_PERIOD_BROKER_VALUE","DEEP_MEASURE_ID_OVERRIDE",$C110,"DEEP_BROKER_ID_OVERRIDE",T$24,"DEEP_PERIOD_OVERRIDE",$H$19)*1,"")))</f>
        <v/>
      </c>
      <c r="U110" t="str">
        <f>IF(OR(U$23="",ISNA($B110)),"",IF(ISBLANK($B110),"",IFERROR(_xll.BDP(TICKER,"DEEP_MEASURE_PERIOD_BROKER_VALUE","DEEP_MEASURE_ID_OVERRIDE",$C110,"DEEP_BROKER_ID_OVERRIDE",U$24,"DEEP_PERIOD_OVERRIDE",$H$19)*1,"")))</f>
        <v/>
      </c>
      <c r="V110" t="str">
        <f>IF(OR(V$23="",ISNA($B110)),"",IF(ISBLANK($B110),"",IFERROR(_xll.BDP(TICKER,"DEEP_MEASURE_PERIOD_BROKER_VALUE","DEEP_MEASURE_ID_OVERRIDE",$C110,"DEEP_BROKER_ID_OVERRIDE",V$24,"DEEP_PERIOD_OVERRIDE",$H$19)*1,"")))</f>
        <v/>
      </c>
      <c r="W110" t="str">
        <f>IF(OR(W$23="",ISNA($B110)),"",IF(ISBLANK($B110),"",IFERROR(_xll.BDP(TICKER,"DEEP_MEASURE_PERIOD_BROKER_VALUE","DEEP_MEASURE_ID_OVERRIDE",$C110,"DEEP_BROKER_ID_OVERRIDE",W$24,"DEEP_PERIOD_OVERRIDE",$H$19)*1,"")))</f>
        <v/>
      </c>
      <c r="X110" t="str">
        <f>IF(OR(X$23="",ISNA($B110)),"",IF(ISBLANK($B110),"",IFERROR(_xll.BDP(TICKER,"DEEP_MEASURE_PERIOD_BROKER_VALUE","DEEP_MEASURE_ID_OVERRIDE",$C110,"DEEP_BROKER_ID_OVERRIDE",X$24,"DEEP_PERIOD_OVERRIDE",$H$19)*1,"")))</f>
        <v/>
      </c>
      <c r="Y110" t="str">
        <f>IF(OR(Y$23="",ISNA($B110)),"",IF(ISBLANK($B110),"",IFERROR(_xll.BDP(TICKER,"DEEP_MEASURE_PERIOD_BROKER_VALUE","DEEP_MEASURE_ID_OVERRIDE",$C110,"DEEP_BROKER_ID_OVERRIDE",Y$24,"DEEP_PERIOD_OVERRIDE",$H$19)*1,"")))</f>
        <v/>
      </c>
      <c r="Z110" t="str">
        <f>IF(OR(Z$23="",ISNA($B110)),"",IF(ISBLANK($B110),"",IFERROR(_xll.BDP(TICKER,"DEEP_MEASURE_PERIOD_BROKER_VALUE","DEEP_MEASURE_ID_OVERRIDE",$C110,"DEEP_BROKER_ID_OVERRIDE",Z$24,"DEEP_PERIOD_OVERRIDE",$H$19)*1,"")))</f>
        <v/>
      </c>
      <c r="AA110" t="str">
        <f>IF(OR(AA$23="",ISNA($B110)),"",IF(ISBLANK($B110),"",IFERROR(_xll.BDP(TICKER,"DEEP_MEASURE_PERIOD_BROKER_VALUE","DEEP_MEASURE_ID_OVERRIDE",$C110,"DEEP_BROKER_ID_OVERRIDE",AA$24,"DEEP_PERIOD_OVERRIDE",$H$19)*1,"")))</f>
        <v/>
      </c>
      <c r="AB110" t="str">
        <f>IF(OR(AB$23="",ISNA($B110)),"",IF(ISBLANK($B110),"",IFERROR(_xll.BDP(TICKER,"DEEP_MEASURE_PERIOD_BROKER_VALUE","DEEP_MEASURE_ID_OVERRIDE",$C110,"DEEP_BROKER_ID_OVERRIDE",AB$24,"DEEP_PERIOD_OVERRIDE",$H$19)*1,"")))</f>
        <v/>
      </c>
      <c r="AC110" t="str">
        <f>IF(OR(AC$23="",ISNA($B110)),"",IF(ISBLANK($B110),"",IFERROR(_xll.BDP(TICKER,"DEEP_MEASURE_PERIOD_BROKER_VALUE","DEEP_MEASURE_ID_OVERRIDE",$C110,"DEEP_BROKER_ID_OVERRIDE",AC$24,"DEEP_PERIOD_OVERRIDE",$H$19)*1,"")))</f>
        <v/>
      </c>
      <c r="AD110" t="str">
        <f>IF(OR(AD$23="",ISNA($B110)),"",IF(ISBLANK($B110),"",IFERROR(_xll.BDP(TICKER,"DEEP_MEASURE_PERIOD_BROKER_VALUE","DEEP_MEASURE_ID_OVERRIDE",$C110,"DEEP_BROKER_ID_OVERRIDE",AD$24,"DEEP_PERIOD_OVERRIDE",$H$19)*1,"")))</f>
        <v/>
      </c>
      <c r="AE110" t="str">
        <f>IF(OR(AE$23="",ISNA($B110)),"",IF(ISBLANK($B110),"",IFERROR(_xll.BDP(TICKER,"DEEP_MEASURE_PERIOD_BROKER_VALUE","DEEP_MEASURE_ID_OVERRIDE",$C110,"DEEP_BROKER_ID_OVERRIDE",AE$24,"DEEP_PERIOD_OVERRIDE",$H$19)*1,"")))</f>
        <v/>
      </c>
      <c r="AF110" t="str">
        <f>IF(OR(AF$23="",ISNA($B110)),"",IF(ISBLANK($B110),"",IFERROR(_xll.BDP(TICKER,"DEEP_MEASURE_PERIOD_BROKER_VALUE","DEEP_MEASURE_ID_OVERRIDE",$C110,"DEEP_BROKER_ID_OVERRIDE",AF$24,"DEEP_PERIOD_OVERRIDE",$H$19)*1,"")))</f>
        <v/>
      </c>
      <c r="AG110" t="str">
        <f>IF(OR(AG$23="",ISNA($B110)),"",IF(ISBLANK($B110),"",IFERROR(_xll.BDP(TICKER,"DEEP_MEASURE_PERIOD_BROKER_VALUE","DEEP_MEASURE_ID_OVERRIDE",$C110,"DEEP_BROKER_ID_OVERRIDE",AG$24,"DEEP_PERIOD_OVERRIDE",$H$19)*1,"")))</f>
        <v/>
      </c>
      <c r="AH110" t="str">
        <f>IF(OR(AH$23="",ISNA($B110)),"",IF(ISBLANK($B110),"",IFERROR(_xll.BDP(TICKER,"DEEP_MEASURE_PERIOD_BROKER_VALUE","DEEP_MEASURE_ID_OVERRIDE",$C110,"DEEP_BROKER_ID_OVERRIDE",AH$24,"DEEP_PERIOD_OVERRIDE",$H$19)*1,"")))</f>
        <v/>
      </c>
      <c r="AI110" t="str">
        <f>IF(OR(AI$23="",ISNA($B110)),"",IF(ISBLANK($B110),"",IFERROR(_xll.BDP(TICKER,"DEEP_MEASURE_PERIOD_BROKER_VALUE","DEEP_MEASURE_ID_OVERRIDE",$C110,"DEEP_BROKER_ID_OVERRIDE",AI$24,"DEEP_PERIOD_OVERRIDE",$H$19)*1,"")))</f>
        <v/>
      </c>
      <c r="AJ110" t="str">
        <f>IF(OR(AJ$23="",ISNA($B110)),"",IF(ISBLANK($B110),"",IFERROR(_xll.BDP(TICKER,"DEEP_MEASURE_PERIOD_BROKER_VALUE","DEEP_MEASURE_ID_OVERRIDE",$C110,"DEEP_BROKER_ID_OVERRIDE",AJ$24,"DEEP_PERIOD_OVERRIDE",$H$19)*1,"")))</f>
        <v/>
      </c>
      <c r="AK110" t="str">
        <f>IF(OR(AK$23="",ISNA($B110)),"",IF(ISBLANK($B110),"",IFERROR(_xll.BDP(TICKER,"DEEP_MEASURE_PERIOD_BROKER_VALUE","DEEP_MEASURE_ID_OVERRIDE",$C110,"DEEP_BROKER_ID_OVERRIDE",AK$24,"DEEP_PERIOD_OVERRIDE",$H$19)*1,"")))</f>
        <v/>
      </c>
      <c r="AL110" t="str">
        <f>IF(OR(AL$23="",ISNA($B110)),"",IF(ISBLANK($B110),"",IFERROR(_xll.BDP(TICKER,"DEEP_MEASURE_PERIOD_BROKER_VALUE","DEEP_MEASURE_ID_OVERRIDE",$C110,"DEEP_BROKER_ID_OVERRIDE",AL$24,"DEEP_PERIOD_OVERRIDE",$H$19)*1,"")))</f>
        <v/>
      </c>
      <c r="AM110" t="str">
        <f>IF(OR(AM$23="",ISNA($B110)),"",IF(ISBLANK($B110),"",IFERROR(_xll.BDP(TICKER,"DEEP_MEASURE_PERIOD_BROKER_VALUE","DEEP_MEASURE_ID_OVERRIDE",$C110,"DEEP_BROKER_ID_OVERRIDE",AM$24,"DEEP_PERIOD_OVERRIDE",$H$19)*1,"")))</f>
        <v/>
      </c>
      <c r="AN110" t="str">
        <f>IF(OR(AN$23="",ISNA($B110)),"",IF(ISBLANK($B110),"",IFERROR(_xll.BDP(TICKER,"DEEP_MEASURE_PERIOD_BROKER_VALUE","DEEP_MEASURE_ID_OVERRIDE",$C110,"DEEP_BROKER_ID_OVERRIDE",AN$24,"DEEP_PERIOD_OVERRIDE",$H$19)*1,"")))</f>
        <v/>
      </c>
      <c r="AO110" t="str">
        <f>IF(OR(AO$23="",ISNA($B110)),"",IF(ISBLANK($B110),"",IFERROR(_xll.BDP(TICKER,"DEEP_MEASURE_PERIOD_BROKER_VALUE","DEEP_MEASURE_ID_OVERRIDE",$C110,"DEEP_BROKER_ID_OVERRIDE",AO$24,"DEEP_PERIOD_OVERRIDE",$H$19)*1,"")))</f>
        <v/>
      </c>
      <c r="AP110" t="str">
        <f>IF(OR(AP$23="",ISNA($B110)),"",IF(ISBLANK($B110),"",IFERROR(_xll.BDP(TICKER,"DEEP_MEASURE_PERIOD_BROKER_VALUE","DEEP_MEASURE_ID_OVERRIDE",$C110,"DEEP_BROKER_ID_OVERRIDE",AP$24,"DEEP_PERIOD_OVERRIDE",$H$19)*1,"")))</f>
        <v/>
      </c>
      <c r="AQ110" t="str">
        <f>IF(OR(AQ$23="",ISNA($B110)),"",IF(ISBLANK($B110),"",IFERROR(_xll.BDP(TICKER,"DEEP_MEASURE_PERIOD_BROKER_VALUE","DEEP_MEASURE_ID_OVERRIDE",$C110,"DEEP_BROKER_ID_OVERRIDE",AQ$24,"DEEP_PERIOD_OVERRIDE",$H$19)*1,"")))</f>
        <v/>
      </c>
      <c r="AR110" t="str">
        <f>IF(OR(AR$23="",ISNA($B110)),"",IF(ISBLANK($B110),"",IFERROR(_xll.BDP(TICKER,"DEEP_MEASURE_PERIOD_BROKER_VALUE","DEEP_MEASURE_ID_OVERRIDE",$C110,"DEEP_BROKER_ID_OVERRIDE",AR$24,"DEEP_PERIOD_OVERRIDE",$H$19)*1,"")))</f>
        <v/>
      </c>
      <c r="AS110" t="str">
        <f>IF(OR(AS$23="",ISNA($B110)),"",IF(ISBLANK($B110),"",IFERROR(_xll.BDP(TICKER,"DEEP_MEASURE_PERIOD_BROKER_VALUE","DEEP_MEASURE_ID_OVERRIDE",$C110,"DEEP_BROKER_ID_OVERRIDE",AS$24,"DEEP_PERIOD_OVERRIDE",$H$19)*1,"")))</f>
        <v/>
      </c>
      <c r="AT110" t="str">
        <f>IF(OR(AT$23="",ISNA($B110)),"",IF(ISBLANK($B110),"",IFERROR(_xll.BDP(TICKER,"DEEP_MEASURE_PERIOD_BROKER_VALUE","DEEP_MEASURE_ID_OVERRIDE",$C110,"DEEP_BROKER_ID_OVERRIDE",AT$24,"DEEP_PERIOD_OVERRIDE",$H$19)*1,"")))</f>
        <v/>
      </c>
      <c r="AU110" t="str">
        <f>IF(OR(AU$23="",ISNA($B110)),"",IF(ISBLANK($B110),"",IFERROR(_xll.BDP(TICKER,"DEEP_MEASURE_PERIOD_BROKER_VALUE","DEEP_MEASURE_ID_OVERRIDE",$C110,"DEEP_BROKER_ID_OVERRIDE",AU$24,"DEEP_PERIOD_OVERRIDE",$H$19)*1,"")))</f>
        <v/>
      </c>
      <c r="AV110" t="str">
        <f>IF(OR(AV$23="",ISNA($B110)),"",IF(ISBLANK($B110),"",IFERROR(_xll.BDP(TICKER,"DEEP_MEASURE_PERIOD_BROKER_VALUE","DEEP_MEASURE_ID_OVERRIDE",$C110,"DEEP_BROKER_ID_OVERRIDE",AV$24,"DEEP_PERIOD_OVERRIDE",$H$19)*1,"")))</f>
        <v/>
      </c>
      <c r="AW110" t="str">
        <f>IF(OR(AW$23="",ISNA($B110)),"",IF(ISBLANK($B110),"",IFERROR(_xll.BDP(TICKER,"DEEP_MEASURE_PERIOD_BROKER_VALUE","DEEP_MEASURE_ID_OVERRIDE",$C110,"DEEP_BROKER_ID_OVERRIDE",AW$24,"DEEP_PERIOD_OVERRIDE",$H$19)*1,"")))</f>
        <v/>
      </c>
      <c r="AX110" t="str">
        <f>IF(OR(AX$23="",ISNA($B110)),"",IF(ISBLANK($B110),"",IFERROR(_xll.BDP(TICKER,"DEEP_MEASURE_PERIOD_BROKER_VALUE","DEEP_MEASURE_ID_OVERRIDE",$C110,"DEEP_BROKER_ID_OVERRIDE",AX$24,"DEEP_PERIOD_OVERRIDE",$H$19)*1,"")))</f>
        <v/>
      </c>
      <c r="AY110" t="str">
        <f>IF(OR(AY$23="",ISNA($B110)),"",IF(ISBLANK($B110),"",IFERROR(_xll.BDP(TICKER,"DEEP_MEASURE_PERIOD_BROKER_VALUE","DEEP_MEASURE_ID_OVERRIDE",$C110,"DEEP_BROKER_ID_OVERRIDE",AY$24,"DEEP_PERIOD_OVERRIDE",$H$19)*1,"")))</f>
        <v/>
      </c>
      <c r="AZ110" t="str">
        <f>IF(OR(AZ$23="",ISNA($B110)),"",IF(ISBLANK($B110),"",IFERROR(_xll.BDP(TICKER,"DEEP_MEASURE_PERIOD_BROKER_VALUE","DEEP_MEASURE_ID_OVERRIDE",$C110,"DEEP_BROKER_ID_OVERRIDE",AZ$24,"DEEP_PERIOD_OVERRIDE",$H$19)*1,"")))</f>
        <v/>
      </c>
      <c r="BA110" t="str">
        <f>IF(OR(BA$23="",ISNA($B110)),"",IF(ISBLANK($B110),"",IFERROR(_xll.BDP(TICKER,"DEEP_MEASURE_PERIOD_BROKER_VALUE","DEEP_MEASURE_ID_OVERRIDE",$C110,"DEEP_BROKER_ID_OVERRIDE",BA$24,"DEEP_PERIOD_OVERRIDE",$H$19)*1,"")))</f>
        <v/>
      </c>
      <c r="BB110" t="str">
        <f>IF(OR(BB$23="",ISNA($B110)),"",IF(ISBLANK($B110),"",IFERROR(_xll.BDP(TICKER,"DEEP_MEASURE_PERIOD_BROKER_VALUE","DEEP_MEASURE_ID_OVERRIDE",$C110,"DEEP_BROKER_ID_OVERRIDE",BB$24,"DEEP_PERIOD_OVERRIDE",$H$19)*1,"")))</f>
        <v/>
      </c>
      <c r="BC110" t="str">
        <f>IF(OR(BC$23="",ISNA($B110)),"",IF(ISBLANK($B110),"",IFERROR(_xll.BDP(TICKER,"DEEP_MEASURE_PERIOD_BROKER_VALUE","DEEP_MEASURE_ID_OVERRIDE",$C110,"DEEP_BROKER_ID_OVERRIDE",BC$24,"DEEP_PERIOD_OVERRIDE",$H$19)*1,"")))</f>
        <v/>
      </c>
      <c r="BD110" t="str">
        <f>IF(OR(BD$23="",ISNA($B110)),"",IF(ISBLANK($B110),"",IFERROR(_xll.BDP(TICKER,"DEEP_MEASURE_PERIOD_BROKER_VALUE","DEEP_MEASURE_ID_OVERRIDE",$C110,"DEEP_BROKER_ID_OVERRIDE",BD$24,"DEEP_PERIOD_OVERRIDE",$H$19)*1,"")))</f>
        <v/>
      </c>
      <c r="BE110" t="str">
        <f>IF(OR(BE$23="",ISNA($B110)),"",IF(ISBLANK($B110),"",IFERROR(_xll.BDP(TICKER,"DEEP_MEASURE_PERIOD_BROKER_VALUE","DEEP_MEASURE_ID_OVERRIDE",$C110,"DEEP_BROKER_ID_OVERRIDE",BE$24,"DEEP_PERIOD_OVERRIDE",$H$19)*1,"")))</f>
        <v/>
      </c>
      <c r="BF110" t="str">
        <f>IF(OR(BF$23="",ISNA($B110)),"",IF(ISBLANK($B110),"",IFERROR(_xll.BDP(TICKER,"DEEP_MEASURE_PERIOD_BROKER_VALUE","DEEP_MEASURE_ID_OVERRIDE",$C110,"DEEP_BROKER_ID_OVERRIDE",BF$24,"DEEP_PERIOD_OVERRIDE",$H$19)*1,"")))</f>
        <v/>
      </c>
      <c r="BG110" t="str">
        <f>IF(OR(BG$23="",ISNA($B110)),"",IF(ISBLANK($B110),"",IFERROR(_xll.BDP(TICKER,"DEEP_MEASURE_PERIOD_BROKER_VALUE","DEEP_MEASURE_ID_OVERRIDE",$C110,"DEEP_BROKER_ID_OVERRIDE",BG$24,"DEEP_PERIOD_OVERRIDE",$H$19)*1,"")))</f>
        <v/>
      </c>
      <c r="BH110" t="str">
        <f>IF(OR(BH$23="",ISNA($B110)),"",IF(ISBLANK($B110),"",IFERROR(_xll.BDP(TICKER,"DEEP_MEASURE_PERIOD_BROKER_VALUE","DEEP_MEASURE_ID_OVERRIDE",$C110,"DEEP_BROKER_ID_OVERRIDE",BH$24,"DEEP_PERIOD_OVERRIDE",$H$19)*1,"")))</f>
        <v/>
      </c>
      <c r="BI110" t="str">
        <f>IF(OR(BI$23="",ISNA($B110)),"",IF(ISBLANK($B110),"",IFERROR(_xll.BDP(TICKER,"DEEP_MEASURE_PERIOD_BROKER_VALUE","DEEP_MEASURE_ID_OVERRIDE",$C110,"DEEP_BROKER_ID_OVERRIDE",BI$24,"DEEP_PERIOD_OVERRIDE",$H$19)*1,"")))</f>
        <v/>
      </c>
      <c r="BJ110" t="str">
        <f>IF(OR(BJ$23="",ISNA($B110)),"",IF(ISBLANK($B110),"",IFERROR(_xll.BDP(TICKER,"DEEP_MEASURE_PERIOD_BROKER_VALUE","DEEP_MEASURE_ID_OVERRIDE",$C110,"DEEP_BROKER_ID_OVERRIDE",BJ$24,"DEEP_PERIOD_OVERRIDE",$H$19)*1,"")))</f>
        <v/>
      </c>
      <c r="BK110" t="str">
        <f>IF(OR(BK$23="",ISNA($B110)),"",IF(ISBLANK($B110),"",IFERROR(_xll.BDP(TICKER,"DEEP_MEASURE_PERIOD_BROKER_VALUE","DEEP_MEASURE_ID_OVERRIDE",$C110,"DEEP_BROKER_ID_OVERRIDE",BK$24,"DEEP_PERIOD_OVERRIDE",$H$19)*1,"")))</f>
        <v/>
      </c>
      <c r="BL110" t="str">
        <f>IF(OR(BL$23="",ISNA($B110)),"",IF(ISBLANK($B110),"",IFERROR(_xll.BDP(TICKER,"DEEP_MEASURE_PERIOD_BROKER_VALUE","DEEP_MEASURE_ID_OVERRIDE",$C110,"DEEP_BROKER_ID_OVERRIDE",BL$24,"DEEP_PERIOD_OVERRIDE",$H$19)*1,"")))</f>
        <v/>
      </c>
      <c r="BM110" t="str">
        <f>IF(OR(BM$23="",ISNA($B110)),"",IF(ISBLANK($B110),"",IFERROR(_xll.BDP(TICKER,"DEEP_MEASURE_PERIOD_BROKER_VALUE","DEEP_MEASURE_ID_OVERRIDE",$C110,"DEEP_BROKER_ID_OVERRIDE",BM$24,"DEEP_PERIOD_OVERRIDE",$H$19)*1,"")))</f>
        <v/>
      </c>
      <c r="BN110" t="str">
        <f>IF(OR(BN$23="",ISNA($B110)),"",IF(ISBLANK($B110),"",IFERROR(_xll.BDP(TICKER,"DEEP_MEASURE_PERIOD_BROKER_VALUE","DEEP_MEASURE_ID_OVERRIDE",$C110,"DEEP_BROKER_ID_OVERRIDE",BN$24,"DEEP_PERIOD_OVERRIDE",$H$19)*1,"")))</f>
        <v/>
      </c>
      <c r="BO110" t="str">
        <f>IF(OR(BO$23="",ISNA($B110)),"",IF(ISBLANK($B110),"",IFERROR(_xll.BDP(TICKER,"DEEP_MEASURE_PERIOD_BROKER_VALUE","DEEP_MEASURE_ID_OVERRIDE",$C110,"DEEP_BROKER_ID_OVERRIDE",BO$24,"DEEP_PERIOD_OVERRIDE",$H$19)*1,"")))</f>
        <v/>
      </c>
      <c r="BP110" t="str">
        <f>IF(OR(BP$23="",ISNA($B110)),"",IF(ISBLANK($B110),"",IFERROR(_xll.BDP(TICKER,"DEEP_MEASURE_PERIOD_BROKER_VALUE","DEEP_MEASURE_ID_OVERRIDE",$C110,"DEEP_BROKER_ID_OVERRIDE",BP$24,"DEEP_PERIOD_OVERRIDE",$H$19)*1,"")))</f>
        <v/>
      </c>
      <c r="BQ110" t="str">
        <f>IF(OR(BQ$23="",ISNA($B110)),"",IF(ISBLANK($B110),"",IFERROR(_xll.BDP(TICKER,"DEEP_MEASURE_PERIOD_BROKER_VALUE","DEEP_MEASURE_ID_OVERRIDE",$C110,"DEEP_BROKER_ID_OVERRIDE",BQ$24,"DEEP_PERIOD_OVERRIDE",$H$19)*1,"")))</f>
        <v/>
      </c>
      <c r="BR110" t="str">
        <f>IF(OR(BR$23="",ISNA($B110)),"",IF(ISBLANK($B110),"",IFERROR(_xll.BDP(TICKER,"DEEP_MEASURE_PERIOD_BROKER_VALUE","DEEP_MEASURE_ID_OVERRIDE",$C110,"DEEP_BROKER_ID_OVERRIDE",BR$24,"DEEP_PERIOD_OVERRIDE",$H$19)*1,"")))</f>
        <v/>
      </c>
      <c r="BS110" t="str">
        <f>IF(OR(BS$23="",ISNA($B110)),"",IF(ISBLANK($B110),"",IFERROR(_xll.BDP(TICKER,"DEEP_MEASURE_PERIOD_BROKER_VALUE","DEEP_MEASURE_ID_OVERRIDE",$C110,"DEEP_BROKER_ID_OVERRIDE",BS$24,"DEEP_PERIOD_OVERRIDE",$H$19)*1,"")))</f>
        <v/>
      </c>
      <c r="BT110" t="str">
        <f>IF(OR(BT$23="",ISNA($B110)),"",IF(ISBLANK($B110),"",IFERROR(_xll.BDP(TICKER,"DEEP_MEASURE_PERIOD_BROKER_VALUE","DEEP_MEASURE_ID_OVERRIDE",$C110,"DEEP_BROKER_ID_OVERRIDE",BT$24,"DEEP_PERIOD_OVERRIDE",$H$19)*1,"")))</f>
        <v/>
      </c>
      <c r="BU110" t="str">
        <f>IF(OR(BU$23="",ISNA($B110)),"",IF(ISBLANK($B110),"",IFERROR(_xll.BDP(TICKER,"DEEP_MEASURE_PERIOD_BROKER_VALUE","DEEP_MEASURE_ID_OVERRIDE",$C110,"DEEP_BROKER_ID_OVERRIDE",BU$24,"DEEP_PERIOD_OVERRIDE",$H$19)*1,"")))</f>
        <v/>
      </c>
      <c r="BV110" t="str">
        <f>IF(OR(BV$23="",ISNA($B110)),"",IF(ISBLANK($B110),"",IFERROR(_xll.BDP(TICKER,"DEEP_MEASURE_PERIOD_BROKER_VALUE","DEEP_MEASURE_ID_OVERRIDE",$C110,"DEEP_BROKER_ID_OVERRIDE",BV$24,"DEEP_PERIOD_OVERRIDE",$H$19)*1,"")))</f>
        <v/>
      </c>
      <c r="BW110" t="str">
        <f>IF(OR(BW$23="",ISNA($B110)),"",IF(ISBLANK($B110),"",IFERROR(_xll.BDP(TICKER,"DEEP_MEASURE_PERIOD_BROKER_VALUE","DEEP_MEASURE_ID_OVERRIDE",$C110,"DEEP_BROKER_ID_OVERRIDE",BW$24,"DEEP_PERIOD_OVERRIDE",$H$19)*1,"")))</f>
        <v/>
      </c>
      <c r="BX110" t="str">
        <f>IF(OR(BX$23="",ISNA($B110)),"",IF(ISBLANK($B110),"",IFERROR(_xll.BDP(TICKER,"DEEP_MEASURE_PERIOD_BROKER_VALUE","DEEP_MEASURE_ID_OVERRIDE",$C110,"DEEP_BROKER_ID_OVERRIDE",BX$24,"DEEP_PERIOD_OVERRIDE",$H$19)*1,"")))</f>
        <v/>
      </c>
      <c r="BY110" t="str">
        <f>IF(OR(BY$23="",ISNA($B110)),"",IF(ISBLANK($B110),"",IFERROR(_xll.BDP(TICKER,"DEEP_MEASURE_PERIOD_BROKER_VALUE","DEEP_MEASURE_ID_OVERRIDE",$C110,"DEEP_BROKER_ID_OVERRIDE",BY$24,"DEEP_PERIOD_OVERRIDE",$H$19)*1,"")))</f>
        <v/>
      </c>
      <c r="BZ110" t="str">
        <f>IF(OR(BZ$23="",ISNA($B110)),"",IF(ISBLANK($B110),"",IFERROR(_xll.BDP(TICKER,"DEEP_MEASURE_PERIOD_BROKER_VALUE","DEEP_MEASURE_ID_OVERRIDE",$C110,"DEEP_BROKER_ID_OVERRIDE",BZ$24,"DEEP_PERIOD_OVERRIDE",$H$19)*1,"")))</f>
        <v/>
      </c>
    </row>
    <row r="111" spans="2:78" x14ac:dyDescent="0.25">
      <c r="B111" t="s">
        <v>151</v>
      </c>
      <c r="C111">
        <v>343</v>
      </c>
      <c r="H111" t="str">
        <f t="shared" si="2"/>
        <v>General &amp; Administrative Expenses &gt; Stock Based Compensation (Non-GAAP)</v>
      </c>
      <c r="I111" t="str">
        <f>IF(OR(I$23="",ISNA($B111)),"",IF(ISBLANK($B111),"",IFERROR(_xll.BDP(TICKER,"DEEP_MEASURE_PERIOD_BROKER_VALUE","DEEP_MEASURE_ID_OVERRIDE",$C111,"DEEP_PERIOD_OVERRIDE",$H$19)*1,"")))</f>
        <v/>
      </c>
      <c r="J111" t="e">
        <f>IF(OR(J$23="",ISNA($B111)),"",IF(ISBLANK($B111),"",IFERROR(_xll.BDP(TICKER,"DEEP_MEASURE_PERIOD_BROKER_VALUE","DEEP_MEASURE_ID_OVERRIDE",$C111,"DEEP_BROKER_ID_OVERRIDE",J$24,"DEEP_PERIOD_OVERRIDE",$H$19)*1,"")))</f>
        <v>#REF!</v>
      </c>
      <c r="K111" t="str">
        <f>IF(OR(K$23="",ISNA($B111)),"",IF(ISBLANK($B111),"",IFERROR(_xll.BDP(TICKER,"DEEP_MEASURE_PERIOD_BROKER_VALUE","DEEP_MEASURE_ID_OVERRIDE",$C111,"DEEP_BROKER_ID_OVERRIDE",K$24,"DEEP_PERIOD_OVERRIDE",$H$19)*1,"")))</f>
        <v/>
      </c>
      <c r="L111" t="str">
        <f>IF(OR(L$23="",ISNA($B111)),"",IF(ISBLANK($B111),"",IFERROR(_xll.BDP(TICKER,"DEEP_MEASURE_PERIOD_BROKER_VALUE","DEEP_MEASURE_ID_OVERRIDE",$C111,"DEEP_BROKER_ID_OVERRIDE",L$24,"DEEP_PERIOD_OVERRIDE",$H$19)*1,"")))</f>
        <v/>
      </c>
      <c r="M111" t="str">
        <f>IF(OR(M$23="",ISNA($B111)),"",IF(ISBLANK($B111),"",IFERROR(_xll.BDP(TICKER,"DEEP_MEASURE_PERIOD_BROKER_VALUE","DEEP_MEASURE_ID_OVERRIDE",$C111,"DEEP_BROKER_ID_OVERRIDE",M$24,"DEEP_PERIOD_OVERRIDE",$H$19)*1,"")))</f>
        <v/>
      </c>
      <c r="N111" t="str">
        <f>IF(OR(N$23="",ISNA($B111)),"",IF(ISBLANK($B111),"",IFERROR(_xll.BDP(TICKER,"DEEP_MEASURE_PERIOD_BROKER_VALUE","DEEP_MEASURE_ID_OVERRIDE",$C111,"DEEP_BROKER_ID_OVERRIDE",N$24,"DEEP_PERIOD_OVERRIDE",$H$19)*1,"")))</f>
        <v/>
      </c>
      <c r="O111" t="str">
        <f>IF(OR(O$23="",ISNA($B111)),"",IF(ISBLANK($B111),"",IFERROR(_xll.BDP(TICKER,"DEEP_MEASURE_PERIOD_BROKER_VALUE","DEEP_MEASURE_ID_OVERRIDE",$C111,"DEEP_BROKER_ID_OVERRIDE",O$24,"DEEP_PERIOD_OVERRIDE",$H$19)*1,"")))</f>
        <v/>
      </c>
      <c r="P111" t="str">
        <f>IF(OR(P$23="",ISNA($B111)),"",IF(ISBLANK($B111),"",IFERROR(_xll.BDP(TICKER,"DEEP_MEASURE_PERIOD_BROKER_VALUE","DEEP_MEASURE_ID_OVERRIDE",$C111,"DEEP_BROKER_ID_OVERRIDE",P$24,"DEEP_PERIOD_OVERRIDE",$H$19)*1,"")))</f>
        <v/>
      </c>
      <c r="Q111" t="str">
        <f>IF(OR(Q$23="",ISNA($B111)),"",IF(ISBLANK($B111),"",IFERROR(_xll.BDP(TICKER,"DEEP_MEASURE_PERIOD_BROKER_VALUE","DEEP_MEASURE_ID_OVERRIDE",$C111,"DEEP_BROKER_ID_OVERRIDE",Q$24,"DEEP_PERIOD_OVERRIDE",$H$19)*1,"")))</f>
        <v/>
      </c>
      <c r="R111" t="str">
        <f>IF(OR(R$23="",ISNA($B111)),"",IF(ISBLANK($B111),"",IFERROR(_xll.BDP(TICKER,"DEEP_MEASURE_PERIOD_BROKER_VALUE","DEEP_MEASURE_ID_OVERRIDE",$C111,"DEEP_BROKER_ID_OVERRIDE",R$24,"DEEP_PERIOD_OVERRIDE",$H$19)*1,"")))</f>
        <v/>
      </c>
      <c r="S111" t="str">
        <f>IF(OR(S$23="",ISNA($B111)),"",IF(ISBLANK($B111),"",IFERROR(_xll.BDP(TICKER,"DEEP_MEASURE_PERIOD_BROKER_VALUE","DEEP_MEASURE_ID_OVERRIDE",$C111,"DEEP_BROKER_ID_OVERRIDE",S$24,"DEEP_PERIOD_OVERRIDE",$H$19)*1,"")))</f>
        <v/>
      </c>
      <c r="T111" t="str">
        <f>IF(OR(T$23="",ISNA($B111)),"",IF(ISBLANK($B111),"",IFERROR(_xll.BDP(TICKER,"DEEP_MEASURE_PERIOD_BROKER_VALUE","DEEP_MEASURE_ID_OVERRIDE",$C111,"DEEP_BROKER_ID_OVERRIDE",T$24,"DEEP_PERIOD_OVERRIDE",$H$19)*1,"")))</f>
        <v/>
      </c>
      <c r="U111" t="str">
        <f>IF(OR(U$23="",ISNA($B111)),"",IF(ISBLANK($B111),"",IFERROR(_xll.BDP(TICKER,"DEEP_MEASURE_PERIOD_BROKER_VALUE","DEEP_MEASURE_ID_OVERRIDE",$C111,"DEEP_BROKER_ID_OVERRIDE",U$24,"DEEP_PERIOD_OVERRIDE",$H$19)*1,"")))</f>
        <v/>
      </c>
      <c r="V111" t="str">
        <f>IF(OR(V$23="",ISNA($B111)),"",IF(ISBLANK($B111),"",IFERROR(_xll.BDP(TICKER,"DEEP_MEASURE_PERIOD_BROKER_VALUE","DEEP_MEASURE_ID_OVERRIDE",$C111,"DEEP_BROKER_ID_OVERRIDE",V$24,"DEEP_PERIOD_OVERRIDE",$H$19)*1,"")))</f>
        <v/>
      </c>
      <c r="W111" t="str">
        <f>IF(OR(W$23="",ISNA($B111)),"",IF(ISBLANK($B111),"",IFERROR(_xll.BDP(TICKER,"DEEP_MEASURE_PERIOD_BROKER_VALUE","DEEP_MEASURE_ID_OVERRIDE",$C111,"DEEP_BROKER_ID_OVERRIDE",W$24,"DEEP_PERIOD_OVERRIDE",$H$19)*1,"")))</f>
        <v/>
      </c>
      <c r="X111" t="str">
        <f>IF(OR(X$23="",ISNA($B111)),"",IF(ISBLANK($B111),"",IFERROR(_xll.BDP(TICKER,"DEEP_MEASURE_PERIOD_BROKER_VALUE","DEEP_MEASURE_ID_OVERRIDE",$C111,"DEEP_BROKER_ID_OVERRIDE",X$24,"DEEP_PERIOD_OVERRIDE",$H$19)*1,"")))</f>
        <v/>
      </c>
      <c r="Y111" t="str">
        <f>IF(OR(Y$23="",ISNA($B111)),"",IF(ISBLANK($B111),"",IFERROR(_xll.BDP(TICKER,"DEEP_MEASURE_PERIOD_BROKER_VALUE","DEEP_MEASURE_ID_OVERRIDE",$C111,"DEEP_BROKER_ID_OVERRIDE",Y$24,"DEEP_PERIOD_OVERRIDE",$H$19)*1,"")))</f>
        <v/>
      </c>
      <c r="Z111" t="str">
        <f>IF(OR(Z$23="",ISNA($B111)),"",IF(ISBLANK($B111),"",IFERROR(_xll.BDP(TICKER,"DEEP_MEASURE_PERIOD_BROKER_VALUE","DEEP_MEASURE_ID_OVERRIDE",$C111,"DEEP_BROKER_ID_OVERRIDE",Z$24,"DEEP_PERIOD_OVERRIDE",$H$19)*1,"")))</f>
        <v/>
      </c>
      <c r="AA111" t="str">
        <f>IF(OR(AA$23="",ISNA($B111)),"",IF(ISBLANK($B111),"",IFERROR(_xll.BDP(TICKER,"DEEP_MEASURE_PERIOD_BROKER_VALUE","DEEP_MEASURE_ID_OVERRIDE",$C111,"DEEP_BROKER_ID_OVERRIDE",AA$24,"DEEP_PERIOD_OVERRIDE",$H$19)*1,"")))</f>
        <v/>
      </c>
      <c r="AB111" t="str">
        <f>IF(OR(AB$23="",ISNA($B111)),"",IF(ISBLANK($B111),"",IFERROR(_xll.BDP(TICKER,"DEEP_MEASURE_PERIOD_BROKER_VALUE","DEEP_MEASURE_ID_OVERRIDE",$C111,"DEEP_BROKER_ID_OVERRIDE",AB$24,"DEEP_PERIOD_OVERRIDE",$H$19)*1,"")))</f>
        <v/>
      </c>
      <c r="AC111" t="str">
        <f>IF(OR(AC$23="",ISNA($B111)),"",IF(ISBLANK($B111),"",IFERROR(_xll.BDP(TICKER,"DEEP_MEASURE_PERIOD_BROKER_VALUE","DEEP_MEASURE_ID_OVERRIDE",$C111,"DEEP_BROKER_ID_OVERRIDE",AC$24,"DEEP_PERIOD_OVERRIDE",$H$19)*1,"")))</f>
        <v/>
      </c>
      <c r="AD111" t="str">
        <f>IF(OR(AD$23="",ISNA($B111)),"",IF(ISBLANK($B111),"",IFERROR(_xll.BDP(TICKER,"DEEP_MEASURE_PERIOD_BROKER_VALUE","DEEP_MEASURE_ID_OVERRIDE",$C111,"DEEP_BROKER_ID_OVERRIDE",AD$24,"DEEP_PERIOD_OVERRIDE",$H$19)*1,"")))</f>
        <v/>
      </c>
      <c r="AE111" t="str">
        <f>IF(OR(AE$23="",ISNA($B111)),"",IF(ISBLANK($B111),"",IFERROR(_xll.BDP(TICKER,"DEEP_MEASURE_PERIOD_BROKER_VALUE","DEEP_MEASURE_ID_OVERRIDE",$C111,"DEEP_BROKER_ID_OVERRIDE",AE$24,"DEEP_PERIOD_OVERRIDE",$H$19)*1,"")))</f>
        <v/>
      </c>
      <c r="AF111" t="str">
        <f>IF(OR(AF$23="",ISNA($B111)),"",IF(ISBLANK($B111),"",IFERROR(_xll.BDP(TICKER,"DEEP_MEASURE_PERIOD_BROKER_VALUE","DEEP_MEASURE_ID_OVERRIDE",$C111,"DEEP_BROKER_ID_OVERRIDE",AF$24,"DEEP_PERIOD_OVERRIDE",$H$19)*1,"")))</f>
        <v/>
      </c>
      <c r="AG111" t="str">
        <f>IF(OR(AG$23="",ISNA($B111)),"",IF(ISBLANK($B111),"",IFERROR(_xll.BDP(TICKER,"DEEP_MEASURE_PERIOD_BROKER_VALUE","DEEP_MEASURE_ID_OVERRIDE",$C111,"DEEP_BROKER_ID_OVERRIDE",AG$24,"DEEP_PERIOD_OVERRIDE",$H$19)*1,"")))</f>
        <v/>
      </c>
      <c r="AH111" t="str">
        <f>IF(OR(AH$23="",ISNA($B111)),"",IF(ISBLANK($B111),"",IFERROR(_xll.BDP(TICKER,"DEEP_MEASURE_PERIOD_BROKER_VALUE","DEEP_MEASURE_ID_OVERRIDE",$C111,"DEEP_BROKER_ID_OVERRIDE",AH$24,"DEEP_PERIOD_OVERRIDE",$H$19)*1,"")))</f>
        <v/>
      </c>
      <c r="AI111" t="str">
        <f>IF(OR(AI$23="",ISNA($B111)),"",IF(ISBLANK($B111),"",IFERROR(_xll.BDP(TICKER,"DEEP_MEASURE_PERIOD_BROKER_VALUE","DEEP_MEASURE_ID_OVERRIDE",$C111,"DEEP_BROKER_ID_OVERRIDE",AI$24,"DEEP_PERIOD_OVERRIDE",$H$19)*1,"")))</f>
        <v/>
      </c>
      <c r="AJ111" t="str">
        <f>IF(OR(AJ$23="",ISNA($B111)),"",IF(ISBLANK($B111),"",IFERROR(_xll.BDP(TICKER,"DEEP_MEASURE_PERIOD_BROKER_VALUE","DEEP_MEASURE_ID_OVERRIDE",$C111,"DEEP_BROKER_ID_OVERRIDE",AJ$24,"DEEP_PERIOD_OVERRIDE",$H$19)*1,"")))</f>
        <v/>
      </c>
      <c r="AK111" t="str">
        <f>IF(OR(AK$23="",ISNA($B111)),"",IF(ISBLANK($B111),"",IFERROR(_xll.BDP(TICKER,"DEEP_MEASURE_PERIOD_BROKER_VALUE","DEEP_MEASURE_ID_OVERRIDE",$C111,"DEEP_BROKER_ID_OVERRIDE",AK$24,"DEEP_PERIOD_OVERRIDE",$H$19)*1,"")))</f>
        <v/>
      </c>
      <c r="AL111" t="str">
        <f>IF(OR(AL$23="",ISNA($B111)),"",IF(ISBLANK($B111),"",IFERROR(_xll.BDP(TICKER,"DEEP_MEASURE_PERIOD_BROKER_VALUE","DEEP_MEASURE_ID_OVERRIDE",$C111,"DEEP_BROKER_ID_OVERRIDE",AL$24,"DEEP_PERIOD_OVERRIDE",$H$19)*1,"")))</f>
        <v/>
      </c>
      <c r="AM111" t="str">
        <f>IF(OR(AM$23="",ISNA($B111)),"",IF(ISBLANK($B111),"",IFERROR(_xll.BDP(TICKER,"DEEP_MEASURE_PERIOD_BROKER_VALUE","DEEP_MEASURE_ID_OVERRIDE",$C111,"DEEP_BROKER_ID_OVERRIDE",AM$24,"DEEP_PERIOD_OVERRIDE",$H$19)*1,"")))</f>
        <v/>
      </c>
      <c r="AN111" t="str">
        <f>IF(OR(AN$23="",ISNA($B111)),"",IF(ISBLANK($B111),"",IFERROR(_xll.BDP(TICKER,"DEEP_MEASURE_PERIOD_BROKER_VALUE","DEEP_MEASURE_ID_OVERRIDE",$C111,"DEEP_BROKER_ID_OVERRIDE",AN$24,"DEEP_PERIOD_OVERRIDE",$H$19)*1,"")))</f>
        <v/>
      </c>
      <c r="AO111" t="str">
        <f>IF(OR(AO$23="",ISNA($B111)),"",IF(ISBLANK($B111),"",IFERROR(_xll.BDP(TICKER,"DEEP_MEASURE_PERIOD_BROKER_VALUE","DEEP_MEASURE_ID_OVERRIDE",$C111,"DEEP_BROKER_ID_OVERRIDE",AO$24,"DEEP_PERIOD_OVERRIDE",$H$19)*1,"")))</f>
        <v/>
      </c>
      <c r="AP111" t="str">
        <f>IF(OR(AP$23="",ISNA($B111)),"",IF(ISBLANK($B111),"",IFERROR(_xll.BDP(TICKER,"DEEP_MEASURE_PERIOD_BROKER_VALUE","DEEP_MEASURE_ID_OVERRIDE",$C111,"DEEP_BROKER_ID_OVERRIDE",AP$24,"DEEP_PERIOD_OVERRIDE",$H$19)*1,"")))</f>
        <v/>
      </c>
      <c r="AQ111" t="str">
        <f>IF(OR(AQ$23="",ISNA($B111)),"",IF(ISBLANK($B111),"",IFERROR(_xll.BDP(TICKER,"DEEP_MEASURE_PERIOD_BROKER_VALUE","DEEP_MEASURE_ID_OVERRIDE",$C111,"DEEP_BROKER_ID_OVERRIDE",AQ$24,"DEEP_PERIOD_OVERRIDE",$H$19)*1,"")))</f>
        <v/>
      </c>
      <c r="AR111" t="str">
        <f>IF(OR(AR$23="",ISNA($B111)),"",IF(ISBLANK($B111),"",IFERROR(_xll.BDP(TICKER,"DEEP_MEASURE_PERIOD_BROKER_VALUE","DEEP_MEASURE_ID_OVERRIDE",$C111,"DEEP_BROKER_ID_OVERRIDE",AR$24,"DEEP_PERIOD_OVERRIDE",$H$19)*1,"")))</f>
        <v/>
      </c>
      <c r="AS111" t="str">
        <f>IF(OR(AS$23="",ISNA($B111)),"",IF(ISBLANK($B111),"",IFERROR(_xll.BDP(TICKER,"DEEP_MEASURE_PERIOD_BROKER_VALUE","DEEP_MEASURE_ID_OVERRIDE",$C111,"DEEP_BROKER_ID_OVERRIDE",AS$24,"DEEP_PERIOD_OVERRIDE",$H$19)*1,"")))</f>
        <v/>
      </c>
      <c r="AT111" t="str">
        <f>IF(OR(AT$23="",ISNA($B111)),"",IF(ISBLANK($B111),"",IFERROR(_xll.BDP(TICKER,"DEEP_MEASURE_PERIOD_BROKER_VALUE","DEEP_MEASURE_ID_OVERRIDE",$C111,"DEEP_BROKER_ID_OVERRIDE",AT$24,"DEEP_PERIOD_OVERRIDE",$H$19)*1,"")))</f>
        <v/>
      </c>
      <c r="AU111" t="str">
        <f>IF(OR(AU$23="",ISNA($B111)),"",IF(ISBLANK($B111),"",IFERROR(_xll.BDP(TICKER,"DEEP_MEASURE_PERIOD_BROKER_VALUE","DEEP_MEASURE_ID_OVERRIDE",$C111,"DEEP_BROKER_ID_OVERRIDE",AU$24,"DEEP_PERIOD_OVERRIDE",$H$19)*1,"")))</f>
        <v/>
      </c>
      <c r="AV111" t="str">
        <f>IF(OR(AV$23="",ISNA($B111)),"",IF(ISBLANK($B111),"",IFERROR(_xll.BDP(TICKER,"DEEP_MEASURE_PERIOD_BROKER_VALUE","DEEP_MEASURE_ID_OVERRIDE",$C111,"DEEP_BROKER_ID_OVERRIDE",AV$24,"DEEP_PERIOD_OVERRIDE",$H$19)*1,"")))</f>
        <v/>
      </c>
      <c r="AW111" t="str">
        <f>IF(OR(AW$23="",ISNA($B111)),"",IF(ISBLANK($B111),"",IFERROR(_xll.BDP(TICKER,"DEEP_MEASURE_PERIOD_BROKER_VALUE","DEEP_MEASURE_ID_OVERRIDE",$C111,"DEEP_BROKER_ID_OVERRIDE",AW$24,"DEEP_PERIOD_OVERRIDE",$H$19)*1,"")))</f>
        <v/>
      </c>
      <c r="AX111" t="str">
        <f>IF(OR(AX$23="",ISNA($B111)),"",IF(ISBLANK($B111),"",IFERROR(_xll.BDP(TICKER,"DEEP_MEASURE_PERIOD_BROKER_VALUE","DEEP_MEASURE_ID_OVERRIDE",$C111,"DEEP_BROKER_ID_OVERRIDE",AX$24,"DEEP_PERIOD_OVERRIDE",$H$19)*1,"")))</f>
        <v/>
      </c>
      <c r="AY111" t="str">
        <f>IF(OR(AY$23="",ISNA($B111)),"",IF(ISBLANK($B111),"",IFERROR(_xll.BDP(TICKER,"DEEP_MEASURE_PERIOD_BROKER_VALUE","DEEP_MEASURE_ID_OVERRIDE",$C111,"DEEP_BROKER_ID_OVERRIDE",AY$24,"DEEP_PERIOD_OVERRIDE",$H$19)*1,"")))</f>
        <v/>
      </c>
      <c r="AZ111" t="str">
        <f>IF(OR(AZ$23="",ISNA($B111)),"",IF(ISBLANK($B111),"",IFERROR(_xll.BDP(TICKER,"DEEP_MEASURE_PERIOD_BROKER_VALUE","DEEP_MEASURE_ID_OVERRIDE",$C111,"DEEP_BROKER_ID_OVERRIDE",AZ$24,"DEEP_PERIOD_OVERRIDE",$H$19)*1,"")))</f>
        <v/>
      </c>
      <c r="BA111" t="str">
        <f>IF(OR(BA$23="",ISNA($B111)),"",IF(ISBLANK($B111),"",IFERROR(_xll.BDP(TICKER,"DEEP_MEASURE_PERIOD_BROKER_VALUE","DEEP_MEASURE_ID_OVERRIDE",$C111,"DEEP_BROKER_ID_OVERRIDE",BA$24,"DEEP_PERIOD_OVERRIDE",$H$19)*1,"")))</f>
        <v/>
      </c>
      <c r="BB111" t="str">
        <f>IF(OR(BB$23="",ISNA($B111)),"",IF(ISBLANK($B111),"",IFERROR(_xll.BDP(TICKER,"DEEP_MEASURE_PERIOD_BROKER_VALUE","DEEP_MEASURE_ID_OVERRIDE",$C111,"DEEP_BROKER_ID_OVERRIDE",BB$24,"DEEP_PERIOD_OVERRIDE",$H$19)*1,"")))</f>
        <v/>
      </c>
      <c r="BC111" t="str">
        <f>IF(OR(BC$23="",ISNA($B111)),"",IF(ISBLANK($B111),"",IFERROR(_xll.BDP(TICKER,"DEEP_MEASURE_PERIOD_BROKER_VALUE","DEEP_MEASURE_ID_OVERRIDE",$C111,"DEEP_BROKER_ID_OVERRIDE",BC$24,"DEEP_PERIOD_OVERRIDE",$H$19)*1,"")))</f>
        <v/>
      </c>
      <c r="BD111" t="str">
        <f>IF(OR(BD$23="",ISNA($B111)),"",IF(ISBLANK($B111),"",IFERROR(_xll.BDP(TICKER,"DEEP_MEASURE_PERIOD_BROKER_VALUE","DEEP_MEASURE_ID_OVERRIDE",$C111,"DEEP_BROKER_ID_OVERRIDE",BD$24,"DEEP_PERIOD_OVERRIDE",$H$19)*1,"")))</f>
        <v/>
      </c>
      <c r="BE111" t="str">
        <f>IF(OR(BE$23="",ISNA($B111)),"",IF(ISBLANK($B111),"",IFERROR(_xll.BDP(TICKER,"DEEP_MEASURE_PERIOD_BROKER_VALUE","DEEP_MEASURE_ID_OVERRIDE",$C111,"DEEP_BROKER_ID_OVERRIDE",BE$24,"DEEP_PERIOD_OVERRIDE",$H$19)*1,"")))</f>
        <v/>
      </c>
      <c r="BF111" t="str">
        <f>IF(OR(BF$23="",ISNA($B111)),"",IF(ISBLANK($B111),"",IFERROR(_xll.BDP(TICKER,"DEEP_MEASURE_PERIOD_BROKER_VALUE","DEEP_MEASURE_ID_OVERRIDE",$C111,"DEEP_BROKER_ID_OVERRIDE",BF$24,"DEEP_PERIOD_OVERRIDE",$H$19)*1,"")))</f>
        <v/>
      </c>
      <c r="BG111" t="str">
        <f>IF(OR(BG$23="",ISNA($B111)),"",IF(ISBLANK($B111),"",IFERROR(_xll.BDP(TICKER,"DEEP_MEASURE_PERIOD_BROKER_VALUE","DEEP_MEASURE_ID_OVERRIDE",$C111,"DEEP_BROKER_ID_OVERRIDE",BG$24,"DEEP_PERIOD_OVERRIDE",$H$19)*1,"")))</f>
        <v/>
      </c>
      <c r="BH111" t="str">
        <f>IF(OR(BH$23="",ISNA($B111)),"",IF(ISBLANK($B111),"",IFERROR(_xll.BDP(TICKER,"DEEP_MEASURE_PERIOD_BROKER_VALUE","DEEP_MEASURE_ID_OVERRIDE",$C111,"DEEP_BROKER_ID_OVERRIDE",BH$24,"DEEP_PERIOD_OVERRIDE",$H$19)*1,"")))</f>
        <v/>
      </c>
      <c r="BI111" t="str">
        <f>IF(OR(BI$23="",ISNA($B111)),"",IF(ISBLANK($B111),"",IFERROR(_xll.BDP(TICKER,"DEEP_MEASURE_PERIOD_BROKER_VALUE","DEEP_MEASURE_ID_OVERRIDE",$C111,"DEEP_BROKER_ID_OVERRIDE",BI$24,"DEEP_PERIOD_OVERRIDE",$H$19)*1,"")))</f>
        <v/>
      </c>
      <c r="BJ111" t="str">
        <f>IF(OR(BJ$23="",ISNA($B111)),"",IF(ISBLANK($B111),"",IFERROR(_xll.BDP(TICKER,"DEEP_MEASURE_PERIOD_BROKER_VALUE","DEEP_MEASURE_ID_OVERRIDE",$C111,"DEEP_BROKER_ID_OVERRIDE",BJ$24,"DEEP_PERIOD_OVERRIDE",$H$19)*1,"")))</f>
        <v/>
      </c>
      <c r="BK111" t="str">
        <f>IF(OR(BK$23="",ISNA($B111)),"",IF(ISBLANK($B111),"",IFERROR(_xll.BDP(TICKER,"DEEP_MEASURE_PERIOD_BROKER_VALUE","DEEP_MEASURE_ID_OVERRIDE",$C111,"DEEP_BROKER_ID_OVERRIDE",BK$24,"DEEP_PERIOD_OVERRIDE",$H$19)*1,"")))</f>
        <v/>
      </c>
      <c r="BL111" t="str">
        <f>IF(OR(BL$23="",ISNA($B111)),"",IF(ISBLANK($B111),"",IFERROR(_xll.BDP(TICKER,"DEEP_MEASURE_PERIOD_BROKER_VALUE","DEEP_MEASURE_ID_OVERRIDE",$C111,"DEEP_BROKER_ID_OVERRIDE",BL$24,"DEEP_PERIOD_OVERRIDE",$H$19)*1,"")))</f>
        <v/>
      </c>
      <c r="BM111" t="str">
        <f>IF(OR(BM$23="",ISNA($B111)),"",IF(ISBLANK($B111),"",IFERROR(_xll.BDP(TICKER,"DEEP_MEASURE_PERIOD_BROKER_VALUE","DEEP_MEASURE_ID_OVERRIDE",$C111,"DEEP_BROKER_ID_OVERRIDE",BM$24,"DEEP_PERIOD_OVERRIDE",$H$19)*1,"")))</f>
        <v/>
      </c>
      <c r="BN111" t="str">
        <f>IF(OR(BN$23="",ISNA($B111)),"",IF(ISBLANK($B111),"",IFERROR(_xll.BDP(TICKER,"DEEP_MEASURE_PERIOD_BROKER_VALUE","DEEP_MEASURE_ID_OVERRIDE",$C111,"DEEP_BROKER_ID_OVERRIDE",BN$24,"DEEP_PERIOD_OVERRIDE",$H$19)*1,"")))</f>
        <v/>
      </c>
      <c r="BO111" t="str">
        <f>IF(OR(BO$23="",ISNA($B111)),"",IF(ISBLANK($B111),"",IFERROR(_xll.BDP(TICKER,"DEEP_MEASURE_PERIOD_BROKER_VALUE","DEEP_MEASURE_ID_OVERRIDE",$C111,"DEEP_BROKER_ID_OVERRIDE",BO$24,"DEEP_PERIOD_OVERRIDE",$H$19)*1,"")))</f>
        <v/>
      </c>
      <c r="BP111" t="str">
        <f>IF(OR(BP$23="",ISNA($B111)),"",IF(ISBLANK($B111),"",IFERROR(_xll.BDP(TICKER,"DEEP_MEASURE_PERIOD_BROKER_VALUE","DEEP_MEASURE_ID_OVERRIDE",$C111,"DEEP_BROKER_ID_OVERRIDE",BP$24,"DEEP_PERIOD_OVERRIDE",$H$19)*1,"")))</f>
        <v/>
      </c>
      <c r="BQ111" t="str">
        <f>IF(OR(BQ$23="",ISNA($B111)),"",IF(ISBLANK($B111),"",IFERROR(_xll.BDP(TICKER,"DEEP_MEASURE_PERIOD_BROKER_VALUE","DEEP_MEASURE_ID_OVERRIDE",$C111,"DEEP_BROKER_ID_OVERRIDE",BQ$24,"DEEP_PERIOD_OVERRIDE",$H$19)*1,"")))</f>
        <v/>
      </c>
      <c r="BR111" t="str">
        <f>IF(OR(BR$23="",ISNA($B111)),"",IF(ISBLANK($B111),"",IFERROR(_xll.BDP(TICKER,"DEEP_MEASURE_PERIOD_BROKER_VALUE","DEEP_MEASURE_ID_OVERRIDE",$C111,"DEEP_BROKER_ID_OVERRIDE",BR$24,"DEEP_PERIOD_OVERRIDE",$H$19)*1,"")))</f>
        <v/>
      </c>
      <c r="BS111" t="str">
        <f>IF(OR(BS$23="",ISNA($B111)),"",IF(ISBLANK($B111),"",IFERROR(_xll.BDP(TICKER,"DEEP_MEASURE_PERIOD_BROKER_VALUE","DEEP_MEASURE_ID_OVERRIDE",$C111,"DEEP_BROKER_ID_OVERRIDE",BS$24,"DEEP_PERIOD_OVERRIDE",$H$19)*1,"")))</f>
        <v/>
      </c>
      <c r="BT111" t="str">
        <f>IF(OR(BT$23="",ISNA($B111)),"",IF(ISBLANK($B111),"",IFERROR(_xll.BDP(TICKER,"DEEP_MEASURE_PERIOD_BROKER_VALUE","DEEP_MEASURE_ID_OVERRIDE",$C111,"DEEP_BROKER_ID_OVERRIDE",BT$24,"DEEP_PERIOD_OVERRIDE",$H$19)*1,"")))</f>
        <v/>
      </c>
      <c r="BU111" t="str">
        <f>IF(OR(BU$23="",ISNA($B111)),"",IF(ISBLANK($B111),"",IFERROR(_xll.BDP(TICKER,"DEEP_MEASURE_PERIOD_BROKER_VALUE","DEEP_MEASURE_ID_OVERRIDE",$C111,"DEEP_BROKER_ID_OVERRIDE",BU$24,"DEEP_PERIOD_OVERRIDE",$H$19)*1,"")))</f>
        <v/>
      </c>
      <c r="BV111" t="str">
        <f>IF(OR(BV$23="",ISNA($B111)),"",IF(ISBLANK($B111),"",IFERROR(_xll.BDP(TICKER,"DEEP_MEASURE_PERIOD_BROKER_VALUE","DEEP_MEASURE_ID_OVERRIDE",$C111,"DEEP_BROKER_ID_OVERRIDE",BV$24,"DEEP_PERIOD_OVERRIDE",$H$19)*1,"")))</f>
        <v/>
      </c>
      <c r="BW111" t="str">
        <f>IF(OR(BW$23="",ISNA($B111)),"",IF(ISBLANK($B111),"",IFERROR(_xll.BDP(TICKER,"DEEP_MEASURE_PERIOD_BROKER_VALUE","DEEP_MEASURE_ID_OVERRIDE",$C111,"DEEP_BROKER_ID_OVERRIDE",BW$24,"DEEP_PERIOD_OVERRIDE",$H$19)*1,"")))</f>
        <v/>
      </c>
      <c r="BX111" t="str">
        <f>IF(OR(BX$23="",ISNA($B111)),"",IF(ISBLANK($B111),"",IFERROR(_xll.BDP(TICKER,"DEEP_MEASURE_PERIOD_BROKER_VALUE","DEEP_MEASURE_ID_OVERRIDE",$C111,"DEEP_BROKER_ID_OVERRIDE",BX$24,"DEEP_PERIOD_OVERRIDE",$H$19)*1,"")))</f>
        <v/>
      </c>
      <c r="BY111" t="str">
        <f>IF(OR(BY$23="",ISNA($B111)),"",IF(ISBLANK($B111),"",IFERROR(_xll.BDP(TICKER,"DEEP_MEASURE_PERIOD_BROKER_VALUE","DEEP_MEASURE_ID_OVERRIDE",$C111,"DEEP_BROKER_ID_OVERRIDE",BY$24,"DEEP_PERIOD_OVERRIDE",$H$19)*1,"")))</f>
        <v/>
      </c>
      <c r="BZ111" t="str">
        <f>IF(OR(BZ$23="",ISNA($B111)),"",IF(ISBLANK($B111),"",IFERROR(_xll.BDP(TICKER,"DEEP_MEASURE_PERIOD_BROKER_VALUE","DEEP_MEASURE_ID_OVERRIDE",$C111,"DEEP_BROKER_ID_OVERRIDE",BZ$24,"DEEP_PERIOD_OVERRIDE",$H$19)*1,"")))</f>
        <v/>
      </c>
    </row>
    <row r="112" spans="2:78" x14ac:dyDescent="0.25">
      <c r="B112" t="s">
        <v>152</v>
      </c>
      <c r="C112">
        <v>901</v>
      </c>
      <c r="H112" t="str">
        <f t="shared" si="2"/>
        <v>Research &amp; Development Expense</v>
      </c>
      <c r="I112" t="str">
        <f>IF(OR(I$23="",ISNA($B112)),"",IF(ISBLANK($B112),"",IFERROR(_xll.BDP(TICKER,"DEEP_MEASURE_PERIOD_BROKER_VALUE","DEEP_MEASURE_ID_OVERRIDE",$C112,"DEEP_PERIOD_OVERRIDE",$H$19)*1,"")))</f>
        <v/>
      </c>
      <c r="J112" t="e">
        <f>IF(OR(J$23="",ISNA($B112)),"",IF(ISBLANK($B112),"",IFERROR(_xll.BDP(TICKER,"DEEP_MEASURE_PERIOD_BROKER_VALUE","DEEP_MEASURE_ID_OVERRIDE",$C112,"DEEP_BROKER_ID_OVERRIDE",J$24,"DEEP_PERIOD_OVERRIDE",$H$19)*1,"")))</f>
        <v>#REF!</v>
      </c>
      <c r="K112" t="str">
        <f>IF(OR(K$23="",ISNA($B112)),"",IF(ISBLANK($B112),"",IFERROR(_xll.BDP(TICKER,"DEEP_MEASURE_PERIOD_BROKER_VALUE","DEEP_MEASURE_ID_OVERRIDE",$C112,"DEEP_BROKER_ID_OVERRIDE",K$24,"DEEP_PERIOD_OVERRIDE",$H$19)*1,"")))</f>
        <v/>
      </c>
      <c r="L112" t="str">
        <f>IF(OR(L$23="",ISNA($B112)),"",IF(ISBLANK($B112),"",IFERROR(_xll.BDP(TICKER,"DEEP_MEASURE_PERIOD_BROKER_VALUE","DEEP_MEASURE_ID_OVERRIDE",$C112,"DEEP_BROKER_ID_OVERRIDE",L$24,"DEEP_PERIOD_OVERRIDE",$H$19)*1,"")))</f>
        <v/>
      </c>
      <c r="M112" t="str">
        <f>IF(OR(M$23="",ISNA($B112)),"",IF(ISBLANK($B112),"",IFERROR(_xll.BDP(TICKER,"DEEP_MEASURE_PERIOD_BROKER_VALUE","DEEP_MEASURE_ID_OVERRIDE",$C112,"DEEP_BROKER_ID_OVERRIDE",M$24,"DEEP_PERIOD_OVERRIDE",$H$19)*1,"")))</f>
        <v/>
      </c>
      <c r="N112" t="str">
        <f>IF(OR(N$23="",ISNA($B112)),"",IF(ISBLANK($B112),"",IFERROR(_xll.BDP(TICKER,"DEEP_MEASURE_PERIOD_BROKER_VALUE","DEEP_MEASURE_ID_OVERRIDE",$C112,"DEEP_BROKER_ID_OVERRIDE",N$24,"DEEP_PERIOD_OVERRIDE",$H$19)*1,"")))</f>
        <v/>
      </c>
      <c r="O112" t="str">
        <f>IF(OR(O$23="",ISNA($B112)),"",IF(ISBLANK($B112),"",IFERROR(_xll.BDP(TICKER,"DEEP_MEASURE_PERIOD_BROKER_VALUE","DEEP_MEASURE_ID_OVERRIDE",$C112,"DEEP_BROKER_ID_OVERRIDE",O$24,"DEEP_PERIOD_OVERRIDE",$H$19)*1,"")))</f>
        <v/>
      </c>
      <c r="P112" t="str">
        <f>IF(OR(P$23="",ISNA($B112)),"",IF(ISBLANK($B112),"",IFERROR(_xll.BDP(TICKER,"DEEP_MEASURE_PERIOD_BROKER_VALUE","DEEP_MEASURE_ID_OVERRIDE",$C112,"DEEP_BROKER_ID_OVERRIDE",P$24,"DEEP_PERIOD_OVERRIDE",$H$19)*1,"")))</f>
        <v/>
      </c>
      <c r="Q112" t="str">
        <f>IF(OR(Q$23="",ISNA($B112)),"",IF(ISBLANK($B112),"",IFERROR(_xll.BDP(TICKER,"DEEP_MEASURE_PERIOD_BROKER_VALUE","DEEP_MEASURE_ID_OVERRIDE",$C112,"DEEP_BROKER_ID_OVERRIDE",Q$24,"DEEP_PERIOD_OVERRIDE",$H$19)*1,"")))</f>
        <v/>
      </c>
      <c r="R112" t="str">
        <f>IF(OR(R$23="",ISNA($B112)),"",IF(ISBLANK($B112),"",IFERROR(_xll.BDP(TICKER,"DEEP_MEASURE_PERIOD_BROKER_VALUE","DEEP_MEASURE_ID_OVERRIDE",$C112,"DEEP_BROKER_ID_OVERRIDE",R$24,"DEEP_PERIOD_OVERRIDE",$H$19)*1,"")))</f>
        <v/>
      </c>
      <c r="S112" t="str">
        <f>IF(OR(S$23="",ISNA($B112)),"",IF(ISBLANK($B112),"",IFERROR(_xll.BDP(TICKER,"DEEP_MEASURE_PERIOD_BROKER_VALUE","DEEP_MEASURE_ID_OVERRIDE",$C112,"DEEP_BROKER_ID_OVERRIDE",S$24,"DEEP_PERIOD_OVERRIDE",$H$19)*1,"")))</f>
        <v/>
      </c>
      <c r="T112" t="str">
        <f>IF(OR(T$23="",ISNA($B112)),"",IF(ISBLANK($B112),"",IFERROR(_xll.BDP(TICKER,"DEEP_MEASURE_PERIOD_BROKER_VALUE","DEEP_MEASURE_ID_OVERRIDE",$C112,"DEEP_BROKER_ID_OVERRIDE",T$24,"DEEP_PERIOD_OVERRIDE",$H$19)*1,"")))</f>
        <v/>
      </c>
      <c r="U112" t="str">
        <f>IF(OR(U$23="",ISNA($B112)),"",IF(ISBLANK($B112),"",IFERROR(_xll.BDP(TICKER,"DEEP_MEASURE_PERIOD_BROKER_VALUE","DEEP_MEASURE_ID_OVERRIDE",$C112,"DEEP_BROKER_ID_OVERRIDE",U$24,"DEEP_PERIOD_OVERRIDE",$H$19)*1,"")))</f>
        <v/>
      </c>
      <c r="V112" t="str">
        <f>IF(OR(V$23="",ISNA($B112)),"",IF(ISBLANK($B112),"",IFERROR(_xll.BDP(TICKER,"DEEP_MEASURE_PERIOD_BROKER_VALUE","DEEP_MEASURE_ID_OVERRIDE",$C112,"DEEP_BROKER_ID_OVERRIDE",V$24,"DEEP_PERIOD_OVERRIDE",$H$19)*1,"")))</f>
        <v/>
      </c>
      <c r="W112" t="str">
        <f>IF(OR(W$23="",ISNA($B112)),"",IF(ISBLANK($B112),"",IFERROR(_xll.BDP(TICKER,"DEEP_MEASURE_PERIOD_BROKER_VALUE","DEEP_MEASURE_ID_OVERRIDE",$C112,"DEEP_BROKER_ID_OVERRIDE",W$24,"DEEP_PERIOD_OVERRIDE",$H$19)*1,"")))</f>
        <v/>
      </c>
      <c r="X112" t="str">
        <f>IF(OR(X$23="",ISNA($B112)),"",IF(ISBLANK($B112),"",IFERROR(_xll.BDP(TICKER,"DEEP_MEASURE_PERIOD_BROKER_VALUE","DEEP_MEASURE_ID_OVERRIDE",$C112,"DEEP_BROKER_ID_OVERRIDE",X$24,"DEEP_PERIOD_OVERRIDE",$H$19)*1,"")))</f>
        <v/>
      </c>
      <c r="Y112" t="str">
        <f>IF(OR(Y$23="",ISNA($B112)),"",IF(ISBLANK($B112),"",IFERROR(_xll.BDP(TICKER,"DEEP_MEASURE_PERIOD_BROKER_VALUE","DEEP_MEASURE_ID_OVERRIDE",$C112,"DEEP_BROKER_ID_OVERRIDE",Y$24,"DEEP_PERIOD_OVERRIDE",$H$19)*1,"")))</f>
        <v/>
      </c>
      <c r="Z112" t="str">
        <f>IF(OR(Z$23="",ISNA($B112)),"",IF(ISBLANK($B112),"",IFERROR(_xll.BDP(TICKER,"DEEP_MEASURE_PERIOD_BROKER_VALUE","DEEP_MEASURE_ID_OVERRIDE",$C112,"DEEP_BROKER_ID_OVERRIDE",Z$24,"DEEP_PERIOD_OVERRIDE",$H$19)*1,"")))</f>
        <v/>
      </c>
      <c r="AA112" t="str">
        <f>IF(OR(AA$23="",ISNA($B112)),"",IF(ISBLANK($B112),"",IFERROR(_xll.BDP(TICKER,"DEEP_MEASURE_PERIOD_BROKER_VALUE","DEEP_MEASURE_ID_OVERRIDE",$C112,"DEEP_BROKER_ID_OVERRIDE",AA$24,"DEEP_PERIOD_OVERRIDE",$H$19)*1,"")))</f>
        <v/>
      </c>
      <c r="AB112" t="str">
        <f>IF(OR(AB$23="",ISNA($B112)),"",IF(ISBLANK($B112),"",IFERROR(_xll.BDP(TICKER,"DEEP_MEASURE_PERIOD_BROKER_VALUE","DEEP_MEASURE_ID_OVERRIDE",$C112,"DEEP_BROKER_ID_OVERRIDE",AB$24,"DEEP_PERIOD_OVERRIDE",$H$19)*1,"")))</f>
        <v/>
      </c>
      <c r="AC112" t="str">
        <f>IF(OR(AC$23="",ISNA($B112)),"",IF(ISBLANK($B112),"",IFERROR(_xll.BDP(TICKER,"DEEP_MEASURE_PERIOD_BROKER_VALUE","DEEP_MEASURE_ID_OVERRIDE",$C112,"DEEP_BROKER_ID_OVERRIDE",AC$24,"DEEP_PERIOD_OVERRIDE",$H$19)*1,"")))</f>
        <v/>
      </c>
      <c r="AD112" t="str">
        <f>IF(OR(AD$23="",ISNA($B112)),"",IF(ISBLANK($B112),"",IFERROR(_xll.BDP(TICKER,"DEEP_MEASURE_PERIOD_BROKER_VALUE","DEEP_MEASURE_ID_OVERRIDE",$C112,"DEEP_BROKER_ID_OVERRIDE",AD$24,"DEEP_PERIOD_OVERRIDE",$H$19)*1,"")))</f>
        <v/>
      </c>
      <c r="AE112" t="str">
        <f>IF(OR(AE$23="",ISNA($B112)),"",IF(ISBLANK($B112),"",IFERROR(_xll.BDP(TICKER,"DEEP_MEASURE_PERIOD_BROKER_VALUE","DEEP_MEASURE_ID_OVERRIDE",$C112,"DEEP_BROKER_ID_OVERRIDE",AE$24,"DEEP_PERIOD_OVERRIDE",$H$19)*1,"")))</f>
        <v/>
      </c>
      <c r="AF112" t="str">
        <f>IF(OR(AF$23="",ISNA($B112)),"",IF(ISBLANK($B112),"",IFERROR(_xll.BDP(TICKER,"DEEP_MEASURE_PERIOD_BROKER_VALUE","DEEP_MEASURE_ID_OVERRIDE",$C112,"DEEP_BROKER_ID_OVERRIDE",AF$24,"DEEP_PERIOD_OVERRIDE",$H$19)*1,"")))</f>
        <v/>
      </c>
      <c r="AG112" t="str">
        <f>IF(OR(AG$23="",ISNA($B112)),"",IF(ISBLANK($B112),"",IFERROR(_xll.BDP(TICKER,"DEEP_MEASURE_PERIOD_BROKER_VALUE","DEEP_MEASURE_ID_OVERRIDE",$C112,"DEEP_BROKER_ID_OVERRIDE",AG$24,"DEEP_PERIOD_OVERRIDE",$H$19)*1,"")))</f>
        <v/>
      </c>
      <c r="AH112" t="str">
        <f>IF(OR(AH$23="",ISNA($B112)),"",IF(ISBLANK($B112),"",IFERROR(_xll.BDP(TICKER,"DEEP_MEASURE_PERIOD_BROKER_VALUE","DEEP_MEASURE_ID_OVERRIDE",$C112,"DEEP_BROKER_ID_OVERRIDE",AH$24,"DEEP_PERIOD_OVERRIDE",$H$19)*1,"")))</f>
        <v/>
      </c>
      <c r="AI112" t="str">
        <f>IF(OR(AI$23="",ISNA($B112)),"",IF(ISBLANK($B112),"",IFERROR(_xll.BDP(TICKER,"DEEP_MEASURE_PERIOD_BROKER_VALUE","DEEP_MEASURE_ID_OVERRIDE",$C112,"DEEP_BROKER_ID_OVERRIDE",AI$24,"DEEP_PERIOD_OVERRIDE",$H$19)*1,"")))</f>
        <v/>
      </c>
      <c r="AJ112" t="str">
        <f>IF(OR(AJ$23="",ISNA($B112)),"",IF(ISBLANK($B112),"",IFERROR(_xll.BDP(TICKER,"DEEP_MEASURE_PERIOD_BROKER_VALUE","DEEP_MEASURE_ID_OVERRIDE",$C112,"DEEP_BROKER_ID_OVERRIDE",AJ$24,"DEEP_PERIOD_OVERRIDE",$H$19)*1,"")))</f>
        <v/>
      </c>
      <c r="AK112" t="str">
        <f>IF(OR(AK$23="",ISNA($B112)),"",IF(ISBLANK($B112),"",IFERROR(_xll.BDP(TICKER,"DEEP_MEASURE_PERIOD_BROKER_VALUE","DEEP_MEASURE_ID_OVERRIDE",$C112,"DEEP_BROKER_ID_OVERRIDE",AK$24,"DEEP_PERIOD_OVERRIDE",$H$19)*1,"")))</f>
        <v/>
      </c>
      <c r="AL112" t="str">
        <f>IF(OR(AL$23="",ISNA($B112)),"",IF(ISBLANK($B112),"",IFERROR(_xll.BDP(TICKER,"DEEP_MEASURE_PERIOD_BROKER_VALUE","DEEP_MEASURE_ID_OVERRIDE",$C112,"DEEP_BROKER_ID_OVERRIDE",AL$24,"DEEP_PERIOD_OVERRIDE",$H$19)*1,"")))</f>
        <v/>
      </c>
      <c r="AM112" t="str">
        <f>IF(OR(AM$23="",ISNA($B112)),"",IF(ISBLANK($B112),"",IFERROR(_xll.BDP(TICKER,"DEEP_MEASURE_PERIOD_BROKER_VALUE","DEEP_MEASURE_ID_OVERRIDE",$C112,"DEEP_BROKER_ID_OVERRIDE",AM$24,"DEEP_PERIOD_OVERRIDE",$H$19)*1,"")))</f>
        <v/>
      </c>
      <c r="AN112" t="str">
        <f>IF(OR(AN$23="",ISNA($B112)),"",IF(ISBLANK($B112),"",IFERROR(_xll.BDP(TICKER,"DEEP_MEASURE_PERIOD_BROKER_VALUE","DEEP_MEASURE_ID_OVERRIDE",$C112,"DEEP_BROKER_ID_OVERRIDE",AN$24,"DEEP_PERIOD_OVERRIDE",$H$19)*1,"")))</f>
        <v/>
      </c>
      <c r="AO112" t="str">
        <f>IF(OR(AO$23="",ISNA($B112)),"",IF(ISBLANK($B112),"",IFERROR(_xll.BDP(TICKER,"DEEP_MEASURE_PERIOD_BROKER_VALUE","DEEP_MEASURE_ID_OVERRIDE",$C112,"DEEP_BROKER_ID_OVERRIDE",AO$24,"DEEP_PERIOD_OVERRIDE",$H$19)*1,"")))</f>
        <v/>
      </c>
      <c r="AP112" t="str">
        <f>IF(OR(AP$23="",ISNA($B112)),"",IF(ISBLANK($B112),"",IFERROR(_xll.BDP(TICKER,"DEEP_MEASURE_PERIOD_BROKER_VALUE","DEEP_MEASURE_ID_OVERRIDE",$C112,"DEEP_BROKER_ID_OVERRIDE",AP$24,"DEEP_PERIOD_OVERRIDE",$H$19)*1,"")))</f>
        <v/>
      </c>
      <c r="AQ112" t="str">
        <f>IF(OR(AQ$23="",ISNA($B112)),"",IF(ISBLANK($B112),"",IFERROR(_xll.BDP(TICKER,"DEEP_MEASURE_PERIOD_BROKER_VALUE","DEEP_MEASURE_ID_OVERRIDE",$C112,"DEEP_BROKER_ID_OVERRIDE",AQ$24,"DEEP_PERIOD_OVERRIDE",$H$19)*1,"")))</f>
        <v/>
      </c>
      <c r="AR112" t="str">
        <f>IF(OR(AR$23="",ISNA($B112)),"",IF(ISBLANK($B112),"",IFERROR(_xll.BDP(TICKER,"DEEP_MEASURE_PERIOD_BROKER_VALUE","DEEP_MEASURE_ID_OVERRIDE",$C112,"DEEP_BROKER_ID_OVERRIDE",AR$24,"DEEP_PERIOD_OVERRIDE",$H$19)*1,"")))</f>
        <v/>
      </c>
      <c r="AS112" t="str">
        <f>IF(OR(AS$23="",ISNA($B112)),"",IF(ISBLANK($B112),"",IFERROR(_xll.BDP(TICKER,"DEEP_MEASURE_PERIOD_BROKER_VALUE","DEEP_MEASURE_ID_OVERRIDE",$C112,"DEEP_BROKER_ID_OVERRIDE",AS$24,"DEEP_PERIOD_OVERRIDE",$H$19)*1,"")))</f>
        <v/>
      </c>
      <c r="AT112" t="str">
        <f>IF(OR(AT$23="",ISNA($B112)),"",IF(ISBLANK($B112),"",IFERROR(_xll.BDP(TICKER,"DEEP_MEASURE_PERIOD_BROKER_VALUE","DEEP_MEASURE_ID_OVERRIDE",$C112,"DEEP_BROKER_ID_OVERRIDE",AT$24,"DEEP_PERIOD_OVERRIDE",$H$19)*1,"")))</f>
        <v/>
      </c>
      <c r="AU112" t="str">
        <f>IF(OR(AU$23="",ISNA($B112)),"",IF(ISBLANK($B112),"",IFERROR(_xll.BDP(TICKER,"DEEP_MEASURE_PERIOD_BROKER_VALUE","DEEP_MEASURE_ID_OVERRIDE",$C112,"DEEP_BROKER_ID_OVERRIDE",AU$24,"DEEP_PERIOD_OVERRIDE",$H$19)*1,"")))</f>
        <v/>
      </c>
      <c r="AV112" t="str">
        <f>IF(OR(AV$23="",ISNA($B112)),"",IF(ISBLANK($B112),"",IFERROR(_xll.BDP(TICKER,"DEEP_MEASURE_PERIOD_BROKER_VALUE","DEEP_MEASURE_ID_OVERRIDE",$C112,"DEEP_BROKER_ID_OVERRIDE",AV$24,"DEEP_PERIOD_OVERRIDE",$H$19)*1,"")))</f>
        <v/>
      </c>
      <c r="AW112" t="str">
        <f>IF(OR(AW$23="",ISNA($B112)),"",IF(ISBLANK($B112),"",IFERROR(_xll.BDP(TICKER,"DEEP_MEASURE_PERIOD_BROKER_VALUE","DEEP_MEASURE_ID_OVERRIDE",$C112,"DEEP_BROKER_ID_OVERRIDE",AW$24,"DEEP_PERIOD_OVERRIDE",$H$19)*1,"")))</f>
        <v/>
      </c>
      <c r="AX112" t="str">
        <f>IF(OR(AX$23="",ISNA($B112)),"",IF(ISBLANK($B112),"",IFERROR(_xll.BDP(TICKER,"DEEP_MEASURE_PERIOD_BROKER_VALUE","DEEP_MEASURE_ID_OVERRIDE",$C112,"DEEP_BROKER_ID_OVERRIDE",AX$24,"DEEP_PERIOD_OVERRIDE",$H$19)*1,"")))</f>
        <v/>
      </c>
      <c r="AY112" t="str">
        <f>IF(OR(AY$23="",ISNA($B112)),"",IF(ISBLANK($B112),"",IFERROR(_xll.BDP(TICKER,"DEEP_MEASURE_PERIOD_BROKER_VALUE","DEEP_MEASURE_ID_OVERRIDE",$C112,"DEEP_BROKER_ID_OVERRIDE",AY$24,"DEEP_PERIOD_OVERRIDE",$H$19)*1,"")))</f>
        <v/>
      </c>
      <c r="AZ112" t="str">
        <f>IF(OR(AZ$23="",ISNA($B112)),"",IF(ISBLANK($B112),"",IFERROR(_xll.BDP(TICKER,"DEEP_MEASURE_PERIOD_BROKER_VALUE","DEEP_MEASURE_ID_OVERRIDE",$C112,"DEEP_BROKER_ID_OVERRIDE",AZ$24,"DEEP_PERIOD_OVERRIDE",$H$19)*1,"")))</f>
        <v/>
      </c>
      <c r="BA112" t="str">
        <f>IF(OR(BA$23="",ISNA($B112)),"",IF(ISBLANK($B112),"",IFERROR(_xll.BDP(TICKER,"DEEP_MEASURE_PERIOD_BROKER_VALUE","DEEP_MEASURE_ID_OVERRIDE",$C112,"DEEP_BROKER_ID_OVERRIDE",BA$24,"DEEP_PERIOD_OVERRIDE",$H$19)*1,"")))</f>
        <v/>
      </c>
      <c r="BB112" t="str">
        <f>IF(OR(BB$23="",ISNA($B112)),"",IF(ISBLANK($B112),"",IFERROR(_xll.BDP(TICKER,"DEEP_MEASURE_PERIOD_BROKER_VALUE","DEEP_MEASURE_ID_OVERRIDE",$C112,"DEEP_BROKER_ID_OVERRIDE",BB$24,"DEEP_PERIOD_OVERRIDE",$H$19)*1,"")))</f>
        <v/>
      </c>
      <c r="BC112" t="str">
        <f>IF(OR(BC$23="",ISNA($B112)),"",IF(ISBLANK($B112),"",IFERROR(_xll.BDP(TICKER,"DEEP_MEASURE_PERIOD_BROKER_VALUE","DEEP_MEASURE_ID_OVERRIDE",$C112,"DEEP_BROKER_ID_OVERRIDE",BC$24,"DEEP_PERIOD_OVERRIDE",$H$19)*1,"")))</f>
        <v/>
      </c>
      <c r="BD112" t="str">
        <f>IF(OR(BD$23="",ISNA($B112)),"",IF(ISBLANK($B112),"",IFERROR(_xll.BDP(TICKER,"DEEP_MEASURE_PERIOD_BROKER_VALUE","DEEP_MEASURE_ID_OVERRIDE",$C112,"DEEP_BROKER_ID_OVERRIDE",BD$24,"DEEP_PERIOD_OVERRIDE",$H$19)*1,"")))</f>
        <v/>
      </c>
      <c r="BE112" t="str">
        <f>IF(OR(BE$23="",ISNA($B112)),"",IF(ISBLANK($B112),"",IFERROR(_xll.BDP(TICKER,"DEEP_MEASURE_PERIOD_BROKER_VALUE","DEEP_MEASURE_ID_OVERRIDE",$C112,"DEEP_BROKER_ID_OVERRIDE",BE$24,"DEEP_PERIOD_OVERRIDE",$H$19)*1,"")))</f>
        <v/>
      </c>
      <c r="BF112" t="str">
        <f>IF(OR(BF$23="",ISNA($B112)),"",IF(ISBLANK($B112),"",IFERROR(_xll.BDP(TICKER,"DEEP_MEASURE_PERIOD_BROKER_VALUE","DEEP_MEASURE_ID_OVERRIDE",$C112,"DEEP_BROKER_ID_OVERRIDE",BF$24,"DEEP_PERIOD_OVERRIDE",$H$19)*1,"")))</f>
        <v/>
      </c>
      <c r="BG112" t="str">
        <f>IF(OR(BG$23="",ISNA($B112)),"",IF(ISBLANK($B112),"",IFERROR(_xll.BDP(TICKER,"DEEP_MEASURE_PERIOD_BROKER_VALUE","DEEP_MEASURE_ID_OVERRIDE",$C112,"DEEP_BROKER_ID_OVERRIDE",BG$24,"DEEP_PERIOD_OVERRIDE",$H$19)*1,"")))</f>
        <v/>
      </c>
      <c r="BH112" t="str">
        <f>IF(OR(BH$23="",ISNA($B112)),"",IF(ISBLANK($B112),"",IFERROR(_xll.BDP(TICKER,"DEEP_MEASURE_PERIOD_BROKER_VALUE","DEEP_MEASURE_ID_OVERRIDE",$C112,"DEEP_BROKER_ID_OVERRIDE",BH$24,"DEEP_PERIOD_OVERRIDE",$H$19)*1,"")))</f>
        <v/>
      </c>
      <c r="BI112" t="str">
        <f>IF(OR(BI$23="",ISNA($B112)),"",IF(ISBLANK($B112),"",IFERROR(_xll.BDP(TICKER,"DEEP_MEASURE_PERIOD_BROKER_VALUE","DEEP_MEASURE_ID_OVERRIDE",$C112,"DEEP_BROKER_ID_OVERRIDE",BI$24,"DEEP_PERIOD_OVERRIDE",$H$19)*1,"")))</f>
        <v/>
      </c>
      <c r="BJ112" t="str">
        <f>IF(OR(BJ$23="",ISNA($B112)),"",IF(ISBLANK($B112),"",IFERROR(_xll.BDP(TICKER,"DEEP_MEASURE_PERIOD_BROKER_VALUE","DEEP_MEASURE_ID_OVERRIDE",$C112,"DEEP_BROKER_ID_OVERRIDE",BJ$24,"DEEP_PERIOD_OVERRIDE",$H$19)*1,"")))</f>
        <v/>
      </c>
      <c r="BK112" t="str">
        <f>IF(OR(BK$23="",ISNA($B112)),"",IF(ISBLANK($B112),"",IFERROR(_xll.BDP(TICKER,"DEEP_MEASURE_PERIOD_BROKER_VALUE","DEEP_MEASURE_ID_OVERRIDE",$C112,"DEEP_BROKER_ID_OVERRIDE",BK$24,"DEEP_PERIOD_OVERRIDE",$H$19)*1,"")))</f>
        <v/>
      </c>
      <c r="BL112" t="str">
        <f>IF(OR(BL$23="",ISNA($B112)),"",IF(ISBLANK($B112),"",IFERROR(_xll.BDP(TICKER,"DEEP_MEASURE_PERIOD_BROKER_VALUE","DEEP_MEASURE_ID_OVERRIDE",$C112,"DEEP_BROKER_ID_OVERRIDE",BL$24,"DEEP_PERIOD_OVERRIDE",$H$19)*1,"")))</f>
        <v/>
      </c>
      <c r="BM112" t="str">
        <f>IF(OR(BM$23="",ISNA($B112)),"",IF(ISBLANK($B112),"",IFERROR(_xll.BDP(TICKER,"DEEP_MEASURE_PERIOD_BROKER_VALUE","DEEP_MEASURE_ID_OVERRIDE",$C112,"DEEP_BROKER_ID_OVERRIDE",BM$24,"DEEP_PERIOD_OVERRIDE",$H$19)*1,"")))</f>
        <v/>
      </c>
      <c r="BN112" t="str">
        <f>IF(OR(BN$23="",ISNA($B112)),"",IF(ISBLANK($B112),"",IFERROR(_xll.BDP(TICKER,"DEEP_MEASURE_PERIOD_BROKER_VALUE","DEEP_MEASURE_ID_OVERRIDE",$C112,"DEEP_BROKER_ID_OVERRIDE",BN$24,"DEEP_PERIOD_OVERRIDE",$H$19)*1,"")))</f>
        <v/>
      </c>
      <c r="BO112" t="str">
        <f>IF(OR(BO$23="",ISNA($B112)),"",IF(ISBLANK($B112),"",IFERROR(_xll.BDP(TICKER,"DEEP_MEASURE_PERIOD_BROKER_VALUE","DEEP_MEASURE_ID_OVERRIDE",$C112,"DEEP_BROKER_ID_OVERRIDE",BO$24,"DEEP_PERIOD_OVERRIDE",$H$19)*1,"")))</f>
        <v/>
      </c>
      <c r="BP112" t="str">
        <f>IF(OR(BP$23="",ISNA($B112)),"",IF(ISBLANK($B112),"",IFERROR(_xll.BDP(TICKER,"DEEP_MEASURE_PERIOD_BROKER_VALUE","DEEP_MEASURE_ID_OVERRIDE",$C112,"DEEP_BROKER_ID_OVERRIDE",BP$24,"DEEP_PERIOD_OVERRIDE",$H$19)*1,"")))</f>
        <v/>
      </c>
      <c r="BQ112" t="str">
        <f>IF(OR(BQ$23="",ISNA($B112)),"",IF(ISBLANK($B112),"",IFERROR(_xll.BDP(TICKER,"DEEP_MEASURE_PERIOD_BROKER_VALUE","DEEP_MEASURE_ID_OVERRIDE",$C112,"DEEP_BROKER_ID_OVERRIDE",BQ$24,"DEEP_PERIOD_OVERRIDE",$H$19)*1,"")))</f>
        <v/>
      </c>
      <c r="BR112" t="str">
        <f>IF(OR(BR$23="",ISNA($B112)),"",IF(ISBLANK($B112),"",IFERROR(_xll.BDP(TICKER,"DEEP_MEASURE_PERIOD_BROKER_VALUE","DEEP_MEASURE_ID_OVERRIDE",$C112,"DEEP_BROKER_ID_OVERRIDE",BR$24,"DEEP_PERIOD_OVERRIDE",$H$19)*1,"")))</f>
        <v/>
      </c>
      <c r="BS112" t="str">
        <f>IF(OR(BS$23="",ISNA($B112)),"",IF(ISBLANK($B112),"",IFERROR(_xll.BDP(TICKER,"DEEP_MEASURE_PERIOD_BROKER_VALUE","DEEP_MEASURE_ID_OVERRIDE",$C112,"DEEP_BROKER_ID_OVERRIDE",BS$24,"DEEP_PERIOD_OVERRIDE",$H$19)*1,"")))</f>
        <v/>
      </c>
      <c r="BT112" t="str">
        <f>IF(OR(BT$23="",ISNA($B112)),"",IF(ISBLANK($B112),"",IFERROR(_xll.BDP(TICKER,"DEEP_MEASURE_PERIOD_BROKER_VALUE","DEEP_MEASURE_ID_OVERRIDE",$C112,"DEEP_BROKER_ID_OVERRIDE",BT$24,"DEEP_PERIOD_OVERRIDE",$H$19)*1,"")))</f>
        <v/>
      </c>
      <c r="BU112" t="str">
        <f>IF(OR(BU$23="",ISNA($B112)),"",IF(ISBLANK($B112),"",IFERROR(_xll.BDP(TICKER,"DEEP_MEASURE_PERIOD_BROKER_VALUE","DEEP_MEASURE_ID_OVERRIDE",$C112,"DEEP_BROKER_ID_OVERRIDE",BU$24,"DEEP_PERIOD_OVERRIDE",$H$19)*1,"")))</f>
        <v/>
      </c>
      <c r="BV112" t="str">
        <f>IF(OR(BV$23="",ISNA($B112)),"",IF(ISBLANK($B112),"",IFERROR(_xll.BDP(TICKER,"DEEP_MEASURE_PERIOD_BROKER_VALUE","DEEP_MEASURE_ID_OVERRIDE",$C112,"DEEP_BROKER_ID_OVERRIDE",BV$24,"DEEP_PERIOD_OVERRIDE",$H$19)*1,"")))</f>
        <v/>
      </c>
      <c r="BW112" t="str">
        <f>IF(OR(BW$23="",ISNA($B112)),"",IF(ISBLANK($B112),"",IFERROR(_xll.BDP(TICKER,"DEEP_MEASURE_PERIOD_BROKER_VALUE","DEEP_MEASURE_ID_OVERRIDE",$C112,"DEEP_BROKER_ID_OVERRIDE",BW$24,"DEEP_PERIOD_OVERRIDE",$H$19)*1,"")))</f>
        <v/>
      </c>
      <c r="BX112" t="str">
        <f>IF(OR(BX$23="",ISNA($B112)),"",IF(ISBLANK($B112),"",IFERROR(_xll.BDP(TICKER,"DEEP_MEASURE_PERIOD_BROKER_VALUE","DEEP_MEASURE_ID_OVERRIDE",$C112,"DEEP_BROKER_ID_OVERRIDE",BX$24,"DEEP_PERIOD_OVERRIDE",$H$19)*1,"")))</f>
        <v/>
      </c>
      <c r="BY112" t="str">
        <f>IF(OR(BY$23="",ISNA($B112)),"",IF(ISBLANK($B112),"",IFERROR(_xll.BDP(TICKER,"DEEP_MEASURE_PERIOD_BROKER_VALUE","DEEP_MEASURE_ID_OVERRIDE",$C112,"DEEP_BROKER_ID_OVERRIDE",BY$24,"DEEP_PERIOD_OVERRIDE",$H$19)*1,"")))</f>
        <v/>
      </c>
      <c r="BZ112" t="str">
        <f>IF(OR(BZ$23="",ISNA($B112)),"",IF(ISBLANK($B112),"",IFERROR(_xll.BDP(TICKER,"DEEP_MEASURE_PERIOD_BROKER_VALUE","DEEP_MEASURE_ID_OVERRIDE",$C112,"DEEP_BROKER_ID_OVERRIDE",BZ$24,"DEEP_PERIOD_OVERRIDE",$H$19)*1,"")))</f>
        <v/>
      </c>
    </row>
    <row r="113" spans="2:78" x14ac:dyDescent="0.25">
      <c r="B113" t="s">
        <v>153</v>
      </c>
      <c r="C113">
        <v>906</v>
      </c>
      <c r="H113" t="str">
        <f t="shared" si="2"/>
        <v>Research &amp; Development Expense &gt; As % of Revenue</v>
      </c>
      <c r="I113" t="str">
        <f>IF(OR(I$23="",ISNA($B113)),"",IF(ISBLANK($B113),"",IFERROR(_xll.BDP(TICKER,"DEEP_MEASURE_PERIOD_BROKER_VALUE","DEEP_MEASURE_ID_OVERRIDE",$C113,"DEEP_PERIOD_OVERRIDE",$H$19)*1,"")))</f>
        <v/>
      </c>
      <c r="J113" t="e">
        <f>IF(OR(J$23="",ISNA($B113)),"",IF(ISBLANK($B113),"",IFERROR(_xll.BDP(TICKER,"DEEP_MEASURE_PERIOD_BROKER_VALUE","DEEP_MEASURE_ID_OVERRIDE",$C113,"DEEP_BROKER_ID_OVERRIDE",J$24,"DEEP_PERIOD_OVERRIDE",$H$19)*1,"")))</f>
        <v>#REF!</v>
      </c>
      <c r="K113" t="str">
        <f>IF(OR(K$23="",ISNA($B113)),"",IF(ISBLANK($B113),"",IFERROR(_xll.BDP(TICKER,"DEEP_MEASURE_PERIOD_BROKER_VALUE","DEEP_MEASURE_ID_OVERRIDE",$C113,"DEEP_BROKER_ID_OVERRIDE",K$24,"DEEP_PERIOD_OVERRIDE",$H$19)*1,"")))</f>
        <v/>
      </c>
      <c r="L113" t="str">
        <f>IF(OR(L$23="",ISNA($B113)),"",IF(ISBLANK($B113),"",IFERROR(_xll.BDP(TICKER,"DEEP_MEASURE_PERIOD_BROKER_VALUE","DEEP_MEASURE_ID_OVERRIDE",$C113,"DEEP_BROKER_ID_OVERRIDE",L$24,"DEEP_PERIOD_OVERRIDE",$H$19)*1,"")))</f>
        <v/>
      </c>
      <c r="M113" t="str">
        <f>IF(OR(M$23="",ISNA($B113)),"",IF(ISBLANK($B113),"",IFERROR(_xll.BDP(TICKER,"DEEP_MEASURE_PERIOD_BROKER_VALUE","DEEP_MEASURE_ID_OVERRIDE",$C113,"DEEP_BROKER_ID_OVERRIDE",M$24,"DEEP_PERIOD_OVERRIDE",$H$19)*1,"")))</f>
        <v/>
      </c>
      <c r="N113" t="str">
        <f>IF(OR(N$23="",ISNA($B113)),"",IF(ISBLANK($B113),"",IFERROR(_xll.BDP(TICKER,"DEEP_MEASURE_PERIOD_BROKER_VALUE","DEEP_MEASURE_ID_OVERRIDE",$C113,"DEEP_BROKER_ID_OVERRIDE",N$24,"DEEP_PERIOD_OVERRIDE",$H$19)*1,"")))</f>
        <v/>
      </c>
      <c r="O113" t="str">
        <f>IF(OR(O$23="",ISNA($B113)),"",IF(ISBLANK($B113),"",IFERROR(_xll.BDP(TICKER,"DEEP_MEASURE_PERIOD_BROKER_VALUE","DEEP_MEASURE_ID_OVERRIDE",$C113,"DEEP_BROKER_ID_OVERRIDE",O$24,"DEEP_PERIOD_OVERRIDE",$H$19)*1,"")))</f>
        <v/>
      </c>
      <c r="P113" t="str">
        <f>IF(OR(P$23="",ISNA($B113)),"",IF(ISBLANK($B113),"",IFERROR(_xll.BDP(TICKER,"DEEP_MEASURE_PERIOD_BROKER_VALUE","DEEP_MEASURE_ID_OVERRIDE",$C113,"DEEP_BROKER_ID_OVERRIDE",P$24,"DEEP_PERIOD_OVERRIDE",$H$19)*1,"")))</f>
        <v/>
      </c>
      <c r="Q113" t="str">
        <f>IF(OR(Q$23="",ISNA($B113)),"",IF(ISBLANK($B113),"",IFERROR(_xll.BDP(TICKER,"DEEP_MEASURE_PERIOD_BROKER_VALUE","DEEP_MEASURE_ID_OVERRIDE",$C113,"DEEP_BROKER_ID_OVERRIDE",Q$24,"DEEP_PERIOD_OVERRIDE",$H$19)*1,"")))</f>
        <v/>
      </c>
      <c r="R113" t="str">
        <f>IF(OR(R$23="",ISNA($B113)),"",IF(ISBLANK($B113),"",IFERROR(_xll.BDP(TICKER,"DEEP_MEASURE_PERIOD_BROKER_VALUE","DEEP_MEASURE_ID_OVERRIDE",$C113,"DEEP_BROKER_ID_OVERRIDE",R$24,"DEEP_PERIOD_OVERRIDE",$H$19)*1,"")))</f>
        <v/>
      </c>
      <c r="S113" t="str">
        <f>IF(OR(S$23="",ISNA($B113)),"",IF(ISBLANK($B113),"",IFERROR(_xll.BDP(TICKER,"DEEP_MEASURE_PERIOD_BROKER_VALUE","DEEP_MEASURE_ID_OVERRIDE",$C113,"DEEP_BROKER_ID_OVERRIDE",S$24,"DEEP_PERIOD_OVERRIDE",$H$19)*1,"")))</f>
        <v/>
      </c>
      <c r="T113" t="str">
        <f>IF(OR(T$23="",ISNA($B113)),"",IF(ISBLANK($B113),"",IFERROR(_xll.BDP(TICKER,"DEEP_MEASURE_PERIOD_BROKER_VALUE","DEEP_MEASURE_ID_OVERRIDE",$C113,"DEEP_BROKER_ID_OVERRIDE",T$24,"DEEP_PERIOD_OVERRIDE",$H$19)*1,"")))</f>
        <v/>
      </c>
      <c r="U113" t="str">
        <f>IF(OR(U$23="",ISNA($B113)),"",IF(ISBLANK($B113),"",IFERROR(_xll.BDP(TICKER,"DEEP_MEASURE_PERIOD_BROKER_VALUE","DEEP_MEASURE_ID_OVERRIDE",$C113,"DEEP_BROKER_ID_OVERRIDE",U$24,"DEEP_PERIOD_OVERRIDE",$H$19)*1,"")))</f>
        <v/>
      </c>
      <c r="V113" t="str">
        <f>IF(OR(V$23="",ISNA($B113)),"",IF(ISBLANK($B113),"",IFERROR(_xll.BDP(TICKER,"DEEP_MEASURE_PERIOD_BROKER_VALUE","DEEP_MEASURE_ID_OVERRIDE",$C113,"DEEP_BROKER_ID_OVERRIDE",V$24,"DEEP_PERIOD_OVERRIDE",$H$19)*1,"")))</f>
        <v/>
      </c>
      <c r="W113" t="str">
        <f>IF(OR(W$23="",ISNA($B113)),"",IF(ISBLANK($B113),"",IFERROR(_xll.BDP(TICKER,"DEEP_MEASURE_PERIOD_BROKER_VALUE","DEEP_MEASURE_ID_OVERRIDE",$C113,"DEEP_BROKER_ID_OVERRIDE",W$24,"DEEP_PERIOD_OVERRIDE",$H$19)*1,"")))</f>
        <v/>
      </c>
      <c r="X113" t="str">
        <f>IF(OR(X$23="",ISNA($B113)),"",IF(ISBLANK($B113),"",IFERROR(_xll.BDP(TICKER,"DEEP_MEASURE_PERIOD_BROKER_VALUE","DEEP_MEASURE_ID_OVERRIDE",$C113,"DEEP_BROKER_ID_OVERRIDE",X$24,"DEEP_PERIOD_OVERRIDE",$H$19)*1,"")))</f>
        <v/>
      </c>
      <c r="Y113" t="str">
        <f>IF(OR(Y$23="",ISNA($B113)),"",IF(ISBLANK($B113),"",IFERROR(_xll.BDP(TICKER,"DEEP_MEASURE_PERIOD_BROKER_VALUE","DEEP_MEASURE_ID_OVERRIDE",$C113,"DEEP_BROKER_ID_OVERRIDE",Y$24,"DEEP_PERIOD_OVERRIDE",$H$19)*1,"")))</f>
        <v/>
      </c>
      <c r="Z113" t="str">
        <f>IF(OR(Z$23="",ISNA($B113)),"",IF(ISBLANK($B113),"",IFERROR(_xll.BDP(TICKER,"DEEP_MEASURE_PERIOD_BROKER_VALUE","DEEP_MEASURE_ID_OVERRIDE",$C113,"DEEP_BROKER_ID_OVERRIDE",Z$24,"DEEP_PERIOD_OVERRIDE",$H$19)*1,"")))</f>
        <v/>
      </c>
      <c r="AA113" t="str">
        <f>IF(OR(AA$23="",ISNA($B113)),"",IF(ISBLANK($B113),"",IFERROR(_xll.BDP(TICKER,"DEEP_MEASURE_PERIOD_BROKER_VALUE","DEEP_MEASURE_ID_OVERRIDE",$C113,"DEEP_BROKER_ID_OVERRIDE",AA$24,"DEEP_PERIOD_OVERRIDE",$H$19)*1,"")))</f>
        <v/>
      </c>
      <c r="AB113" t="str">
        <f>IF(OR(AB$23="",ISNA($B113)),"",IF(ISBLANK($B113),"",IFERROR(_xll.BDP(TICKER,"DEEP_MEASURE_PERIOD_BROKER_VALUE","DEEP_MEASURE_ID_OVERRIDE",$C113,"DEEP_BROKER_ID_OVERRIDE",AB$24,"DEEP_PERIOD_OVERRIDE",$H$19)*1,"")))</f>
        <v/>
      </c>
      <c r="AC113" t="str">
        <f>IF(OR(AC$23="",ISNA($B113)),"",IF(ISBLANK($B113),"",IFERROR(_xll.BDP(TICKER,"DEEP_MEASURE_PERIOD_BROKER_VALUE","DEEP_MEASURE_ID_OVERRIDE",$C113,"DEEP_BROKER_ID_OVERRIDE",AC$24,"DEEP_PERIOD_OVERRIDE",$H$19)*1,"")))</f>
        <v/>
      </c>
      <c r="AD113" t="str">
        <f>IF(OR(AD$23="",ISNA($B113)),"",IF(ISBLANK($B113),"",IFERROR(_xll.BDP(TICKER,"DEEP_MEASURE_PERIOD_BROKER_VALUE","DEEP_MEASURE_ID_OVERRIDE",$C113,"DEEP_BROKER_ID_OVERRIDE",AD$24,"DEEP_PERIOD_OVERRIDE",$H$19)*1,"")))</f>
        <v/>
      </c>
      <c r="AE113" t="str">
        <f>IF(OR(AE$23="",ISNA($B113)),"",IF(ISBLANK($B113),"",IFERROR(_xll.BDP(TICKER,"DEEP_MEASURE_PERIOD_BROKER_VALUE","DEEP_MEASURE_ID_OVERRIDE",$C113,"DEEP_BROKER_ID_OVERRIDE",AE$24,"DEEP_PERIOD_OVERRIDE",$H$19)*1,"")))</f>
        <v/>
      </c>
      <c r="AF113" t="str">
        <f>IF(OR(AF$23="",ISNA($B113)),"",IF(ISBLANK($B113),"",IFERROR(_xll.BDP(TICKER,"DEEP_MEASURE_PERIOD_BROKER_VALUE","DEEP_MEASURE_ID_OVERRIDE",$C113,"DEEP_BROKER_ID_OVERRIDE",AF$24,"DEEP_PERIOD_OVERRIDE",$H$19)*1,"")))</f>
        <v/>
      </c>
      <c r="AG113" t="str">
        <f>IF(OR(AG$23="",ISNA($B113)),"",IF(ISBLANK($B113),"",IFERROR(_xll.BDP(TICKER,"DEEP_MEASURE_PERIOD_BROKER_VALUE","DEEP_MEASURE_ID_OVERRIDE",$C113,"DEEP_BROKER_ID_OVERRIDE",AG$24,"DEEP_PERIOD_OVERRIDE",$H$19)*1,"")))</f>
        <v/>
      </c>
      <c r="AH113" t="str">
        <f>IF(OR(AH$23="",ISNA($B113)),"",IF(ISBLANK($B113),"",IFERROR(_xll.BDP(TICKER,"DEEP_MEASURE_PERIOD_BROKER_VALUE","DEEP_MEASURE_ID_OVERRIDE",$C113,"DEEP_BROKER_ID_OVERRIDE",AH$24,"DEEP_PERIOD_OVERRIDE",$H$19)*1,"")))</f>
        <v/>
      </c>
      <c r="AI113" t="str">
        <f>IF(OR(AI$23="",ISNA($B113)),"",IF(ISBLANK($B113),"",IFERROR(_xll.BDP(TICKER,"DEEP_MEASURE_PERIOD_BROKER_VALUE","DEEP_MEASURE_ID_OVERRIDE",$C113,"DEEP_BROKER_ID_OVERRIDE",AI$24,"DEEP_PERIOD_OVERRIDE",$H$19)*1,"")))</f>
        <v/>
      </c>
      <c r="AJ113" t="str">
        <f>IF(OR(AJ$23="",ISNA($B113)),"",IF(ISBLANK($B113),"",IFERROR(_xll.BDP(TICKER,"DEEP_MEASURE_PERIOD_BROKER_VALUE","DEEP_MEASURE_ID_OVERRIDE",$C113,"DEEP_BROKER_ID_OVERRIDE",AJ$24,"DEEP_PERIOD_OVERRIDE",$H$19)*1,"")))</f>
        <v/>
      </c>
      <c r="AK113" t="str">
        <f>IF(OR(AK$23="",ISNA($B113)),"",IF(ISBLANK($B113),"",IFERROR(_xll.BDP(TICKER,"DEEP_MEASURE_PERIOD_BROKER_VALUE","DEEP_MEASURE_ID_OVERRIDE",$C113,"DEEP_BROKER_ID_OVERRIDE",AK$24,"DEEP_PERIOD_OVERRIDE",$H$19)*1,"")))</f>
        <v/>
      </c>
      <c r="AL113" t="str">
        <f>IF(OR(AL$23="",ISNA($B113)),"",IF(ISBLANK($B113),"",IFERROR(_xll.BDP(TICKER,"DEEP_MEASURE_PERIOD_BROKER_VALUE","DEEP_MEASURE_ID_OVERRIDE",$C113,"DEEP_BROKER_ID_OVERRIDE",AL$24,"DEEP_PERIOD_OVERRIDE",$H$19)*1,"")))</f>
        <v/>
      </c>
      <c r="AM113" t="str">
        <f>IF(OR(AM$23="",ISNA($B113)),"",IF(ISBLANK($B113),"",IFERROR(_xll.BDP(TICKER,"DEEP_MEASURE_PERIOD_BROKER_VALUE","DEEP_MEASURE_ID_OVERRIDE",$C113,"DEEP_BROKER_ID_OVERRIDE",AM$24,"DEEP_PERIOD_OVERRIDE",$H$19)*1,"")))</f>
        <v/>
      </c>
      <c r="AN113" t="str">
        <f>IF(OR(AN$23="",ISNA($B113)),"",IF(ISBLANK($B113),"",IFERROR(_xll.BDP(TICKER,"DEEP_MEASURE_PERIOD_BROKER_VALUE","DEEP_MEASURE_ID_OVERRIDE",$C113,"DEEP_BROKER_ID_OVERRIDE",AN$24,"DEEP_PERIOD_OVERRIDE",$H$19)*1,"")))</f>
        <v/>
      </c>
      <c r="AO113" t="str">
        <f>IF(OR(AO$23="",ISNA($B113)),"",IF(ISBLANK($B113),"",IFERROR(_xll.BDP(TICKER,"DEEP_MEASURE_PERIOD_BROKER_VALUE","DEEP_MEASURE_ID_OVERRIDE",$C113,"DEEP_BROKER_ID_OVERRIDE",AO$24,"DEEP_PERIOD_OVERRIDE",$H$19)*1,"")))</f>
        <v/>
      </c>
      <c r="AP113" t="str">
        <f>IF(OR(AP$23="",ISNA($B113)),"",IF(ISBLANK($B113),"",IFERROR(_xll.BDP(TICKER,"DEEP_MEASURE_PERIOD_BROKER_VALUE","DEEP_MEASURE_ID_OVERRIDE",$C113,"DEEP_BROKER_ID_OVERRIDE",AP$24,"DEEP_PERIOD_OVERRIDE",$H$19)*1,"")))</f>
        <v/>
      </c>
      <c r="AQ113" t="str">
        <f>IF(OR(AQ$23="",ISNA($B113)),"",IF(ISBLANK($B113),"",IFERROR(_xll.BDP(TICKER,"DEEP_MEASURE_PERIOD_BROKER_VALUE","DEEP_MEASURE_ID_OVERRIDE",$C113,"DEEP_BROKER_ID_OVERRIDE",AQ$24,"DEEP_PERIOD_OVERRIDE",$H$19)*1,"")))</f>
        <v/>
      </c>
      <c r="AR113" t="str">
        <f>IF(OR(AR$23="",ISNA($B113)),"",IF(ISBLANK($B113),"",IFERROR(_xll.BDP(TICKER,"DEEP_MEASURE_PERIOD_BROKER_VALUE","DEEP_MEASURE_ID_OVERRIDE",$C113,"DEEP_BROKER_ID_OVERRIDE",AR$24,"DEEP_PERIOD_OVERRIDE",$H$19)*1,"")))</f>
        <v/>
      </c>
      <c r="AS113" t="str">
        <f>IF(OR(AS$23="",ISNA($B113)),"",IF(ISBLANK($B113),"",IFERROR(_xll.BDP(TICKER,"DEEP_MEASURE_PERIOD_BROKER_VALUE","DEEP_MEASURE_ID_OVERRIDE",$C113,"DEEP_BROKER_ID_OVERRIDE",AS$24,"DEEP_PERIOD_OVERRIDE",$H$19)*1,"")))</f>
        <v/>
      </c>
      <c r="AT113" t="str">
        <f>IF(OR(AT$23="",ISNA($B113)),"",IF(ISBLANK($B113),"",IFERROR(_xll.BDP(TICKER,"DEEP_MEASURE_PERIOD_BROKER_VALUE","DEEP_MEASURE_ID_OVERRIDE",$C113,"DEEP_BROKER_ID_OVERRIDE",AT$24,"DEEP_PERIOD_OVERRIDE",$H$19)*1,"")))</f>
        <v/>
      </c>
      <c r="AU113" t="str">
        <f>IF(OR(AU$23="",ISNA($B113)),"",IF(ISBLANK($B113),"",IFERROR(_xll.BDP(TICKER,"DEEP_MEASURE_PERIOD_BROKER_VALUE","DEEP_MEASURE_ID_OVERRIDE",$C113,"DEEP_BROKER_ID_OVERRIDE",AU$24,"DEEP_PERIOD_OVERRIDE",$H$19)*1,"")))</f>
        <v/>
      </c>
      <c r="AV113" t="str">
        <f>IF(OR(AV$23="",ISNA($B113)),"",IF(ISBLANK($B113),"",IFERROR(_xll.BDP(TICKER,"DEEP_MEASURE_PERIOD_BROKER_VALUE","DEEP_MEASURE_ID_OVERRIDE",$C113,"DEEP_BROKER_ID_OVERRIDE",AV$24,"DEEP_PERIOD_OVERRIDE",$H$19)*1,"")))</f>
        <v/>
      </c>
      <c r="AW113" t="str">
        <f>IF(OR(AW$23="",ISNA($B113)),"",IF(ISBLANK($B113),"",IFERROR(_xll.BDP(TICKER,"DEEP_MEASURE_PERIOD_BROKER_VALUE","DEEP_MEASURE_ID_OVERRIDE",$C113,"DEEP_BROKER_ID_OVERRIDE",AW$24,"DEEP_PERIOD_OVERRIDE",$H$19)*1,"")))</f>
        <v/>
      </c>
      <c r="AX113" t="str">
        <f>IF(OR(AX$23="",ISNA($B113)),"",IF(ISBLANK($B113),"",IFERROR(_xll.BDP(TICKER,"DEEP_MEASURE_PERIOD_BROKER_VALUE","DEEP_MEASURE_ID_OVERRIDE",$C113,"DEEP_BROKER_ID_OVERRIDE",AX$24,"DEEP_PERIOD_OVERRIDE",$H$19)*1,"")))</f>
        <v/>
      </c>
      <c r="AY113" t="str">
        <f>IF(OR(AY$23="",ISNA($B113)),"",IF(ISBLANK($B113),"",IFERROR(_xll.BDP(TICKER,"DEEP_MEASURE_PERIOD_BROKER_VALUE","DEEP_MEASURE_ID_OVERRIDE",$C113,"DEEP_BROKER_ID_OVERRIDE",AY$24,"DEEP_PERIOD_OVERRIDE",$H$19)*1,"")))</f>
        <v/>
      </c>
      <c r="AZ113" t="str">
        <f>IF(OR(AZ$23="",ISNA($B113)),"",IF(ISBLANK($B113),"",IFERROR(_xll.BDP(TICKER,"DEEP_MEASURE_PERIOD_BROKER_VALUE","DEEP_MEASURE_ID_OVERRIDE",$C113,"DEEP_BROKER_ID_OVERRIDE",AZ$24,"DEEP_PERIOD_OVERRIDE",$H$19)*1,"")))</f>
        <v/>
      </c>
      <c r="BA113" t="str">
        <f>IF(OR(BA$23="",ISNA($B113)),"",IF(ISBLANK($B113),"",IFERROR(_xll.BDP(TICKER,"DEEP_MEASURE_PERIOD_BROKER_VALUE","DEEP_MEASURE_ID_OVERRIDE",$C113,"DEEP_BROKER_ID_OVERRIDE",BA$24,"DEEP_PERIOD_OVERRIDE",$H$19)*1,"")))</f>
        <v/>
      </c>
      <c r="BB113" t="str">
        <f>IF(OR(BB$23="",ISNA($B113)),"",IF(ISBLANK($B113),"",IFERROR(_xll.BDP(TICKER,"DEEP_MEASURE_PERIOD_BROKER_VALUE","DEEP_MEASURE_ID_OVERRIDE",$C113,"DEEP_BROKER_ID_OVERRIDE",BB$24,"DEEP_PERIOD_OVERRIDE",$H$19)*1,"")))</f>
        <v/>
      </c>
      <c r="BC113" t="str">
        <f>IF(OR(BC$23="",ISNA($B113)),"",IF(ISBLANK($B113),"",IFERROR(_xll.BDP(TICKER,"DEEP_MEASURE_PERIOD_BROKER_VALUE","DEEP_MEASURE_ID_OVERRIDE",$C113,"DEEP_BROKER_ID_OVERRIDE",BC$24,"DEEP_PERIOD_OVERRIDE",$H$19)*1,"")))</f>
        <v/>
      </c>
      <c r="BD113" t="str">
        <f>IF(OR(BD$23="",ISNA($B113)),"",IF(ISBLANK($B113),"",IFERROR(_xll.BDP(TICKER,"DEEP_MEASURE_PERIOD_BROKER_VALUE","DEEP_MEASURE_ID_OVERRIDE",$C113,"DEEP_BROKER_ID_OVERRIDE",BD$24,"DEEP_PERIOD_OVERRIDE",$H$19)*1,"")))</f>
        <v/>
      </c>
      <c r="BE113" t="str">
        <f>IF(OR(BE$23="",ISNA($B113)),"",IF(ISBLANK($B113),"",IFERROR(_xll.BDP(TICKER,"DEEP_MEASURE_PERIOD_BROKER_VALUE","DEEP_MEASURE_ID_OVERRIDE",$C113,"DEEP_BROKER_ID_OVERRIDE",BE$24,"DEEP_PERIOD_OVERRIDE",$H$19)*1,"")))</f>
        <v/>
      </c>
      <c r="BF113" t="str">
        <f>IF(OR(BF$23="",ISNA($B113)),"",IF(ISBLANK($B113),"",IFERROR(_xll.BDP(TICKER,"DEEP_MEASURE_PERIOD_BROKER_VALUE","DEEP_MEASURE_ID_OVERRIDE",$C113,"DEEP_BROKER_ID_OVERRIDE",BF$24,"DEEP_PERIOD_OVERRIDE",$H$19)*1,"")))</f>
        <v/>
      </c>
      <c r="BG113" t="str">
        <f>IF(OR(BG$23="",ISNA($B113)),"",IF(ISBLANK($B113),"",IFERROR(_xll.BDP(TICKER,"DEEP_MEASURE_PERIOD_BROKER_VALUE","DEEP_MEASURE_ID_OVERRIDE",$C113,"DEEP_BROKER_ID_OVERRIDE",BG$24,"DEEP_PERIOD_OVERRIDE",$H$19)*1,"")))</f>
        <v/>
      </c>
      <c r="BH113" t="str">
        <f>IF(OR(BH$23="",ISNA($B113)),"",IF(ISBLANK($B113),"",IFERROR(_xll.BDP(TICKER,"DEEP_MEASURE_PERIOD_BROKER_VALUE","DEEP_MEASURE_ID_OVERRIDE",$C113,"DEEP_BROKER_ID_OVERRIDE",BH$24,"DEEP_PERIOD_OVERRIDE",$H$19)*1,"")))</f>
        <v/>
      </c>
      <c r="BI113" t="str">
        <f>IF(OR(BI$23="",ISNA($B113)),"",IF(ISBLANK($B113),"",IFERROR(_xll.BDP(TICKER,"DEEP_MEASURE_PERIOD_BROKER_VALUE","DEEP_MEASURE_ID_OVERRIDE",$C113,"DEEP_BROKER_ID_OVERRIDE",BI$24,"DEEP_PERIOD_OVERRIDE",$H$19)*1,"")))</f>
        <v/>
      </c>
      <c r="BJ113" t="str">
        <f>IF(OR(BJ$23="",ISNA($B113)),"",IF(ISBLANK($B113),"",IFERROR(_xll.BDP(TICKER,"DEEP_MEASURE_PERIOD_BROKER_VALUE","DEEP_MEASURE_ID_OVERRIDE",$C113,"DEEP_BROKER_ID_OVERRIDE",BJ$24,"DEEP_PERIOD_OVERRIDE",$H$19)*1,"")))</f>
        <v/>
      </c>
      <c r="BK113" t="str">
        <f>IF(OR(BK$23="",ISNA($B113)),"",IF(ISBLANK($B113),"",IFERROR(_xll.BDP(TICKER,"DEEP_MEASURE_PERIOD_BROKER_VALUE","DEEP_MEASURE_ID_OVERRIDE",$C113,"DEEP_BROKER_ID_OVERRIDE",BK$24,"DEEP_PERIOD_OVERRIDE",$H$19)*1,"")))</f>
        <v/>
      </c>
      <c r="BL113" t="str">
        <f>IF(OR(BL$23="",ISNA($B113)),"",IF(ISBLANK($B113),"",IFERROR(_xll.BDP(TICKER,"DEEP_MEASURE_PERIOD_BROKER_VALUE","DEEP_MEASURE_ID_OVERRIDE",$C113,"DEEP_BROKER_ID_OVERRIDE",BL$24,"DEEP_PERIOD_OVERRIDE",$H$19)*1,"")))</f>
        <v/>
      </c>
      <c r="BM113" t="str">
        <f>IF(OR(BM$23="",ISNA($B113)),"",IF(ISBLANK($B113),"",IFERROR(_xll.BDP(TICKER,"DEEP_MEASURE_PERIOD_BROKER_VALUE","DEEP_MEASURE_ID_OVERRIDE",$C113,"DEEP_BROKER_ID_OVERRIDE",BM$24,"DEEP_PERIOD_OVERRIDE",$H$19)*1,"")))</f>
        <v/>
      </c>
      <c r="BN113" t="str">
        <f>IF(OR(BN$23="",ISNA($B113)),"",IF(ISBLANK($B113),"",IFERROR(_xll.BDP(TICKER,"DEEP_MEASURE_PERIOD_BROKER_VALUE","DEEP_MEASURE_ID_OVERRIDE",$C113,"DEEP_BROKER_ID_OVERRIDE",BN$24,"DEEP_PERIOD_OVERRIDE",$H$19)*1,"")))</f>
        <v/>
      </c>
      <c r="BO113" t="str">
        <f>IF(OR(BO$23="",ISNA($B113)),"",IF(ISBLANK($B113),"",IFERROR(_xll.BDP(TICKER,"DEEP_MEASURE_PERIOD_BROKER_VALUE","DEEP_MEASURE_ID_OVERRIDE",$C113,"DEEP_BROKER_ID_OVERRIDE",BO$24,"DEEP_PERIOD_OVERRIDE",$H$19)*1,"")))</f>
        <v/>
      </c>
      <c r="BP113" t="str">
        <f>IF(OR(BP$23="",ISNA($B113)),"",IF(ISBLANK($B113),"",IFERROR(_xll.BDP(TICKER,"DEEP_MEASURE_PERIOD_BROKER_VALUE","DEEP_MEASURE_ID_OVERRIDE",$C113,"DEEP_BROKER_ID_OVERRIDE",BP$24,"DEEP_PERIOD_OVERRIDE",$H$19)*1,"")))</f>
        <v/>
      </c>
      <c r="BQ113" t="str">
        <f>IF(OR(BQ$23="",ISNA($B113)),"",IF(ISBLANK($B113),"",IFERROR(_xll.BDP(TICKER,"DEEP_MEASURE_PERIOD_BROKER_VALUE","DEEP_MEASURE_ID_OVERRIDE",$C113,"DEEP_BROKER_ID_OVERRIDE",BQ$24,"DEEP_PERIOD_OVERRIDE",$H$19)*1,"")))</f>
        <v/>
      </c>
      <c r="BR113" t="str">
        <f>IF(OR(BR$23="",ISNA($B113)),"",IF(ISBLANK($B113),"",IFERROR(_xll.BDP(TICKER,"DEEP_MEASURE_PERIOD_BROKER_VALUE","DEEP_MEASURE_ID_OVERRIDE",$C113,"DEEP_BROKER_ID_OVERRIDE",BR$24,"DEEP_PERIOD_OVERRIDE",$H$19)*1,"")))</f>
        <v/>
      </c>
      <c r="BS113" t="str">
        <f>IF(OR(BS$23="",ISNA($B113)),"",IF(ISBLANK($B113),"",IFERROR(_xll.BDP(TICKER,"DEEP_MEASURE_PERIOD_BROKER_VALUE","DEEP_MEASURE_ID_OVERRIDE",$C113,"DEEP_BROKER_ID_OVERRIDE",BS$24,"DEEP_PERIOD_OVERRIDE",$H$19)*1,"")))</f>
        <v/>
      </c>
      <c r="BT113" t="str">
        <f>IF(OR(BT$23="",ISNA($B113)),"",IF(ISBLANK($B113),"",IFERROR(_xll.BDP(TICKER,"DEEP_MEASURE_PERIOD_BROKER_VALUE","DEEP_MEASURE_ID_OVERRIDE",$C113,"DEEP_BROKER_ID_OVERRIDE",BT$24,"DEEP_PERIOD_OVERRIDE",$H$19)*1,"")))</f>
        <v/>
      </c>
      <c r="BU113" t="str">
        <f>IF(OR(BU$23="",ISNA($B113)),"",IF(ISBLANK($B113),"",IFERROR(_xll.BDP(TICKER,"DEEP_MEASURE_PERIOD_BROKER_VALUE","DEEP_MEASURE_ID_OVERRIDE",$C113,"DEEP_BROKER_ID_OVERRIDE",BU$24,"DEEP_PERIOD_OVERRIDE",$H$19)*1,"")))</f>
        <v/>
      </c>
      <c r="BV113" t="str">
        <f>IF(OR(BV$23="",ISNA($B113)),"",IF(ISBLANK($B113),"",IFERROR(_xll.BDP(TICKER,"DEEP_MEASURE_PERIOD_BROKER_VALUE","DEEP_MEASURE_ID_OVERRIDE",$C113,"DEEP_BROKER_ID_OVERRIDE",BV$24,"DEEP_PERIOD_OVERRIDE",$H$19)*1,"")))</f>
        <v/>
      </c>
      <c r="BW113" t="str">
        <f>IF(OR(BW$23="",ISNA($B113)),"",IF(ISBLANK($B113),"",IFERROR(_xll.BDP(TICKER,"DEEP_MEASURE_PERIOD_BROKER_VALUE","DEEP_MEASURE_ID_OVERRIDE",$C113,"DEEP_BROKER_ID_OVERRIDE",BW$24,"DEEP_PERIOD_OVERRIDE",$H$19)*1,"")))</f>
        <v/>
      </c>
      <c r="BX113" t="str">
        <f>IF(OR(BX$23="",ISNA($B113)),"",IF(ISBLANK($B113),"",IFERROR(_xll.BDP(TICKER,"DEEP_MEASURE_PERIOD_BROKER_VALUE","DEEP_MEASURE_ID_OVERRIDE",$C113,"DEEP_BROKER_ID_OVERRIDE",BX$24,"DEEP_PERIOD_OVERRIDE",$H$19)*1,"")))</f>
        <v/>
      </c>
      <c r="BY113" t="str">
        <f>IF(OR(BY$23="",ISNA($B113)),"",IF(ISBLANK($B113),"",IFERROR(_xll.BDP(TICKER,"DEEP_MEASURE_PERIOD_BROKER_VALUE","DEEP_MEASURE_ID_OVERRIDE",$C113,"DEEP_BROKER_ID_OVERRIDE",BY$24,"DEEP_PERIOD_OVERRIDE",$H$19)*1,"")))</f>
        <v/>
      </c>
      <c r="BZ113" t="str">
        <f>IF(OR(BZ$23="",ISNA($B113)),"",IF(ISBLANK($B113),"",IFERROR(_xll.BDP(TICKER,"DEEP_MEASURE_PERIOD_BROKER_VALUE","DEEP_MEASURE_ID_OVERRIDE",$C113,"DEEP_BROKER_ID_OVERRIDE",BZ$24,"DEEP_PERIOD_OVERRIDE",$H$19)*1,"")))</f>
        <v/>
      </c>
    </row>
    <row r="114" spans="2:78" x14ac:dyDescent="0.25">
      <c r="B114" t="s">
        <v>154</v>
      </c>
      <c r="C114">
        <v>1721</v>
      </c>
      <c r="H114" t="str">
        <f t="shared" si="2"/>
        <v>Research &amp; Development Expense &gt; YoY Growth (%)</v>
      </c>
      <c r="I114" t="str">
        <f>IF(OR(I$23="",ISNA($B114)),"",IF(ISBLANK($B114),"",IFERROR(_xll.BDP(TICKER,"DEEP_MEASURE_PERIOD_BROKER_VALUE","DEEP_MEASURE_ID_OVERRIDE",$C114,"DEEP_PERIOD_OVERRIDE",$H$19)*1,"")))</f>
        <v/>
      </c>
      <c r="J114" t="e">
        <f>IF(OR(J$23="",ISNA($B114)),"",IF(ISBLANK($B114),"",IFERROR(_xll.BDP(TICKER,"DEEP_MEASURE_PERIOD_BROKER_VALUE","DEEP_MEASURE_ID_OVERRIDE",$C114,"DEEP_BROKER_ID_OVERRIDE",J$24,"DEEP_PERIOD_OVERRIDE",$H$19)*1,"")))</f>
        <v>#REF!</v>
      </c>
      <c r="K114" t="str">
        <f>IF(OR(K$23="",ISNA($B114)),"",IF(ISBLANK($B114),"",IFERROR(_xll.BDP(TICKER,"DEEP_MEASURE_PERIOD_BROKER_VALUE","DEEP_MEASURE_ID_OVERRIDE",$C114,"DEEP_BROKER_ID_OVERRIDE",K$24,"DEEP_PERIOD_OVERRIDE",$H$19)*1,"")))</f>
        <v/>
      </c>
      <c r="L114" t="str">
        <f>IF(OR(L$23="",ISNA($B114)),"",IF(ISBLANK($B114),"",IFERROR(_xll.BDP(TICKER,"DEEP_MEASURE_PERIOD_BROKER_VALUE","DEEP_MEASURE_ID_OVERRIDE",$C114,"DEEP_BROKER_ID_OVERRIDE",L$24,"DEEP_PERIOD_OVERRIDE",$H$19)*1,"")))</f>
        <v/>
      </c>
      <c r="M114" t="str">
        <f>IF(OR(M$23="",ISNA($B114)),"",IF(ISBLANK($B114),"",IFERROR(_xll.BDP(TICKER,"DEEP_MEASURE_PERIOD_BROKER_VALUE","DEEP_MEASURE_ID_OVERRIDE",$C114,"DEEP_BROKER_ID_OVERRIDE",M$24,"DEEP_PERIOD_OVERRIDE",$H$19)*1,"")))</f>
        <v/>
      </c>
      <c r="N114" t="str">
        <f>IF(OR(N$23="",ISNA($B114)),"",IF(ISBLANK($B114),"",IFERROR(_xll.BDP(TICKER,"DEEP_MEASURE_PERIOD_BROKER_VALUE","DEEP_MEASURE_ID_OVERRIDE",$C114,"DEEP_BROKER_ID_OVERRIDE",N$24,"DEEP_PERIOD_OVERRIDE",$H$19)*1,"")))</f>
        <v/>
      </c>
      <c r="O114" t="str">
        <f>IF(OR(O$23="",ISNA($B114)),"",IF(ISBLANK($B114),"",IFERROR(_xll.BDP(TICKER,"DEEP_MEASURE_PERIOD_BROKER_VALUE","DEEP_MEASURE_ID_OVERRIDE",$C114,"DEEP_BROKER_ID_OVERRIDE",O$24,"DEEP_PERIOD_OVERRIDE",$H$19)*1,"")))</f>
        <v/>
      </c>
      <c r="P114" t="str">
        <f>IF(OR(P$23="",ISNA($B114)),"",IF(ISBLANK($B114),"",IFERROR(_xll.BDP(TICKER,"DEEP_MEASURE_PERIOD_BROKER_VALUE","DEEP_MEASURE_ID_OVERRIDE",$C114,"DEEP_BROKER_ID_OVERRIDE",P$24,"DEEP_PERIOD_OVERRIDE",$H$19)*1,"")))</f>
        <v/>
      </c>
      <c r="Q114" t="str">
        <f>IF(OR(Q$23="",ISNA($B114)),"",IF(ISBLANK($B114),"",IFERROR(_xll.BDP(TICKER,"DEEP_MEASURE_PERIOD_BROKER_VALUE","DEEP_MEASURE_ID_OVERRIDE",$C114,"DEEP_BROKER_ID_OVERRIDE",Q$24,"DEEP_PERIOD_OVERRIDE",$H$19)*1,"")))</f>
        <v/>
      </c>
      <c r="R114" t="str">
        <f>IF(OR(R$23="",ISNA($B114)),"",IF(ISBLANK($B114),"",IFERROR(_xll.BDP(TICKER,"DEEP_MEASURE_PERIOD_BROKER_VALUE","DEEP_MEASURE_ID_OVERRIDE",$C114,"DEEP_BROKER_ID_OVERRIDE",R$24,"DEEP_PERIOD_OVERRIDE",$H$19)*1,"")))</f>
        <v/>
      </c>
      <c r="S114" t="str">
        <f>IF(OR(S$23="",ISNA($B114)),"",IF(ISBLANK($B114),"",IFERROR(_xll.BDP(TICKER,"DEEP_MEASURE_PERIOD_BROKER_VALUE","DEEP_MEASURE_ID_OVERRIDE",$C114,"DEEP_BROKER_ID_OVERRIDE",S$24,"DEEP_PERIOD_OVERRIDE",$H$19)*1,"")))</f>
        <v/>
      </c>
      <c r="T114" t="str">
        <f>IF(OR(T$23="",ISNA($B114)),"",IF(ISBLANK($B114),"",IFERROR(_xll.BDP(TICKER,"DEEP_MEASURE_PERIOD_BROKER_VALUE","DEEP_MEASURE_ID_OVERRIDE",$C114,"DEEP_BROKER_ID_OVERRIDE",T$24,"DEEP_PERIOD_OVERRIDE",$H$19)*1,"")))</f>
        <v/>
      </c>
      <c r="U114" t="str">
        <f>IF(OR(U$23="",ISNA($B114)),"",IF(ISBLANK($B114),"",IFERROR(_xll.BDP(TICKER,"DEEP_MEASURE_PERIOD_BROKER_VALUE","DEEP_MEASURE_ID_OVERRIDE",$C114,"DEEP_BROKER_ID_OVERRIDE",U$24,"DEEP_PERIOD_OVERRIDE",$H$19)*1,"")))</f>
        <v/>
      </c>
      <c r="V114" t="str">
        <f>IF(OR(V$23="",ISNA($B114)),"",IF(ISBLANK($B114),"",IFERROR(_xll.BDP(TICKER,"DEEP_MEASURE_PERIOD_BROKER_VALUE","DEEP_MEASURE_ID_OVERRIDE",$C114,"DEEP_BROKER_ID_OVERRIDE",V$24,"DEEP_PERIOD_OVERRIDE",$H$19)*1,"")))</f>
        <v/>
      </c>
      <c r="W114" t="str">
        <f>IF(OR(W$23="",ISNA($B114)),"",IF(ISBLANK($B114),"",IFERROR(_xll.BDP(TICKER,"DEEP_MEASURE_PERIOD_BROKER_VALUE","DEEP_MEASURE_ID_OVERRIDE",$C114,"DEEP_BROKER_ID_OVERRIDE",W$24,"DEEP_PERIOD_OVERRIDE",$H$19)*1,"")))</f>
        <v/>
      </c>
      <c r="X114" t="str">
        <f>IF(OR(X$23="",ISNA($B114)),"",IF(ISBLANK($B114),"",IFERROR(_xll.BDP(TICKER,"DEEP_MEASURE_PERIOD_BROKER_VALUE","DEEP_MEASURE_ID_OVERRIDE",$C114,"DEEP_BROKER_ID_OVERRIDE",X$24,"DEEP_PERIOD_OVERRIDE",$H$19)*1,"")))</f>
        <v/>
      </c>
      <c r="Y114" t="str">
        <f>IF(OR(Y$23="",ISNA($B114)),"",IF(ISBLANK($B114),"",IFERROR(_xll.BDP(TICKER,"DEEP_MEASURE_PERIOD_BROKER_VALUE","DEEP_MEASURE_ID_OVERRIDE",$C114,"DEEP_BROKER_ID_OVERRIDE",Y$24,"DEEP_PERIOD_OVERRIDE",$H$19)*1,"")))</f>
        <v/>
      </c>
      <c r="Z114" t="str">
        <f>IF(OR(Z$23="",ISNA($B114)),"",IF(ISBLANK($B114),"",IFERROR(_xll.BDP(TICKER,"DEEP_MEASURE_PERIOD_BROKER_VALUE","DEEP_MEASURE_ID_OVERRIDE",$C114,"DEEP_BROKER_ID_OVERRIDE",Z$24,"DEEP_PERIOD_OVERRIDE",$H$19)*1,"")))</f>
        <v/>
      </c>
      <c r="AA114" t="str">
        <f>IF(OR(AA$23="",ISNA($B114)),"",IF(ISBLANK($B114),"",IFERROR(_xll.BDP(TICKER,"DEEP_MEASURE_PERIOD_BROKER_VALUE","DEEP_MEASURE_ID_OVERRIDE",$C114,"DEEP_BROKER_ID_OVERRIDE",AA$24,"DEEP_PERIOD_OVERRIDE",$H$19)*1,"")))</f>
        <v/>
      </c>
      <c r="AB114" t="str">
        <f>IF(OR(AB$23="",ISNA($B114)),"",IF(ISBLANK($B114),"",IFERROR(_xll.BDP(TICKER,"DEEP_MEASURE_PERIOD_BROKER_VALUE","DEEP_MEASURE_ID_OVERRIDE",$C114,"DEEP_BROKER_ID_OVERRIDE",AB$24,"DEEP_PERIOD_OVERRIDE",$H$19)*1,"")))</f>
        <v/>
      </c>
      <c r="AC114" t="str">
        <f>IF(OR(AC$23="",ISNA($B114)),"",IF(ISBLANK($B114),"",IFERROR(_xll.BDP(TICKER,"DEEP_MEASURE_PERIOD_BROKER_VALUE","DEEP_MEASURE_ID_OVERRIDE",$C114,"DEEP_BROKER_ID_OVERRIDE",AC$24,"DEEP_PERIOD_OVERRIDE",$H$19)*1,"")))</f>
        <v/>
      </c>
      <c r="AD114" t="str">
        <f>IF(OR(AD$23="",ISNA($B114)),"",IF(ISBLANK($B114),"",IFERROR(_xll.BDP(TICKER,"DEEP_MEASURE_PERIOD_BROKER_VALUE","DEEP_MEASURE_ID_OVERRIDE",$C114,"DEEP_BROKER_ID_OVERRIDE",AD$24,"DEEP_PERIOD_OVERRIDE",$H$19)*1,"")))</f>
        <v/>
      </c>
      <c r="AE114" t="str">
        <f>IF(OR(AE$23="",ISNA($B114)),"",IF(ISBLANK($B114),"",IFERROR(_xll.BDP(TICKER,"DEEP_MEASURE_PERIOD_BROKER_VALUE","DEEP_MEASURE_ID_OVERRIDE",$C114,"DEEP_BROKER_ID_OVERRIDE",AE$24,"DEEP_PERIOD_OVERRIDE",$H$19)*1,"")))</f>
        <v/>
      </c>
      <c r="AF114" t="str">
        <f>IF(OR(AF$23="",ISNA($B114)),"",IF(ISBLANK($B114),"",IFERROR(_xll.BDP(TICKER,"DEEP_MEASURE_PERIOD_BROKER_VALUE","DEEP_MEASURE_ID_OVERRIDE",$C114,"DEEP_BROKER_ID_OVERRIDE",AF$24,"DEEP_PERIOD_OVERRIDE",$H$19)*1,"")))</f>
        <v/>
      </c>
      <c r="AG114" t="str">
        <f>IF(OR(AG$23="",ISNA($B114)),"",IF(ISBLANK($B114),"",IFERROR(_xll.BDP(TICKER,"DEEP_MEASURE_PERIOD_BROKER_VALUE","DEEP_MEASURE_ID_OVERRIDE",$C114,"DEEP_BROKER_ID_OVERRIDE",AG$24,"DEEP_PERIOD_OVERRIDE",$H$19)*1,"")))</f>
        <v/>
      </c>
      <c r="AH114" t="str">
        <f>IF(OR(AH$23="",ISNA($B114)),"",IF(ISBLANK($B114),"",IFERROR(_xll.BDP(TICKER,"DEEP_MEASURE_PERIOD_BROKER_VALUE","DEEP_MEASURE_ID_OVERRIDE",$C114,"DEEP_BROKER_ID_OVERRIDE",AH$24,"DEEP_PERIOD_OVERRIDE",$H$19)*1,"")))</f>
        <v/>
      </c>
      <c r="AI114" t="str">
        <f>IF(OR(AI$23="",ISNA($B114)),"",IF(ISBLANK($B114),"",IFERROR(_xll.BDP(TICKER,"DEEP_MEASURE_PERIOD_BROKER_VALUE","DEEP_MEASURE_ID_OVERRIDE",$C114,"DEEP_BROKER_ID_OVERRIDE",AI$24,"DEEP_PERIOD_OVERRIDE",$H$19)*1,"")))</f>
        <v/>
      </c>
      <c r="AJ114" t="str">
        <f>IF(OR(AJ$23="",ISNA($B114)),"",IF(ISBLANK($B114),"",IFERROR(_xll.BDP(TICKER,"DEEP_MEASURE_PERIOD_BROKER_VALUE","DEEP_MEASURE_ID_OVERRIDE",$C114,"DEEP_BROKER_ID_OVERRIDE",AJ$24,"DEEP_PERIOD_OVERRIDE",$H$19)*1,"")))</f>
        <v/>
      </c>
      <c r="AK114" t="str">
        <f>IF(OR(AK$23="",ISNA($B114)),"",IF(ISBLANK($B114),"",IFERROR(_xll.BDP(TICKER,"DEEP_MEASURE_PERIOD_BROKER_VALUE","DEEP_MEASURE_ID_OVERRIDE",$C114,"DEEP_BROKER_ID_OVERRIDE",AK$24,"DEEP_PERIOD_OVERRIDE",$H$19)*1,"")))</f>
        <v/>
      </c>
      <c r="AL114" t="str">
        <f>IF(OR(AL$23="",ISNA($B114)),"",IF(ISBLANK($B114),"",IFERROR(_xll.BDP(TICKER,"DEEP_MEASURE_PERIOD_BROKER_VALUE","DEEP_MEASURE_ID_OVERRIDE",$C114,"DEEP_BROKER_ID_OVERRIDE",AL$24,"DEEP_PERIOD_OVERRIDE",$H$19)*1,"")))</f>
        <v/>
      </c>
      <c r="AM114" t="str">
        <f>IF(OR(AM$23="",ISNA($B114)),"",IF(ISBLANK($B114),"",IFERROR(_xll.BDP(TICKER,"DEEP_MEASURE_PERIOD_BROKER_VALUE","DEEP_MEASURE_ID_OVERRIDE",$C114,"DEEP_BROKER_ID_OVERRIDE",AM$24,"DEEP_PERIOD_OVERRIDE",$H$19)*1,"")))</f>
        <v/>
      </c>
      <c r="AN114" t="str">
        <f>IF(OR(AN$23="",ISNA($B114)),"",IF(ISBLANK($B114),"",IFERROR(_xll.BDP(TICKER,"DEEP_MEASURE_PERIOD_BROKER_VALUE","DEEP_MEASURE_ID_OVERRIDE",$C114,"DEEP_BROKER_ID_OVERRIDE",AN$24,"DEEP_PERIOD_OVERRIDE",$H$19)*1,"")))</f>
        <v/>
      </c>
      <c r="AO114" t="str">
        <f>IF(OR(AO$23="",ISNA($B114)),"",IF(ISBLANK($B114),"",IFERROR(_xll.BDP(TICKER,"DEEP_MEASURE_PERIOD_BROKER_VALUE","DEEP_MEASURE_ID_OVERRIDE",$C114,"DEEP_BROKER_ID_OVERRIDE",AO$24,"DEEP_PERIOD_OVERRIDE",$H$19)*1,"")))</f>
        <v/>
      </c>
      <c r="AP114" t="str">
        <f>IF(OR(AP$23="",ISNA($B114)),"",IF(ISBLANK($B114),"",IFERROR(_xll.BDP(TICKER,"DEEP_MEASURE_PERIOD_BROKER_VALUE","DEEP_MEASURE_ID_OVERRIDE",$C114,"DEEP_BROKER_ID_OVERRIDE",AP$24,"DEEP_PERIOD_OVERRIDE",$H$19)*1,"")))</f>
        <v/>
      </c>
      <c r="AQ114" t="str">
        <f>IF(OR(AQ$23="",ISNA($B114)),"",IF(ISBLANK($B114),"",IFERROR(_xll.BDP(TICKER,"DEEP_MEASURE_PERIOD_BROKER_VALUE","DEEP_MEASURE_ID_OVERRIDE",$C114,"DEEP_BROKER_ID_OVERRIDE",AQ$24,"DEEP_PERIOD_OVERRIDE",$H$19)*1,"")))</f>
        <v/>
      </c>
      <c r="AR114" t="str">
        <f>IF(OR(AR$23="",ISNA($B114)),"",IF(ISBLANK($B114),"",IFERROR(_xll.BDP(TICKER,"DEEP_MEASURE_PERIOD_BROKER_VALUE","DEEP_MEASURE_ID_OVERRIDE",$C114,"DEEP_BROKER_ID_OVERRIDE",AR$24,"DEEP_PERIOD_OVERRIDE",$H$19)*1,"")))</f>
        <v/>
      </c>
      <c r="AS114" t="str">
        <f>IF(OR(AS$23="",ISNA($B114)),"",IF(ISBLANK($B114),"",IFERROR(_xll.BDP(TICKER,"DEEP_MEASURE_PERIOD_BROKER_VALUE","DEEP_MEASURE_ID_OVERRIDE",$C114,"DEEP_BROKER_ID_OVERRIDE",AS$24,"DEEP_PERIOD_OVERRIDE",$H$19)*1,"")))</f>
        <v/>
      </c>
      <c r="AT114" t="str">
        <f>IF(OR(AT$23="",ISNA($B114)),"",IF(ISBLANK($B114),"",IFERROR(_xll.BDP(TICKER,"DEEP_MEASURE_PERIOD_BROKER_VALUE","DEEP_MEASURE_ID_OVERRIDE",$C114,"DEEP_BROKER_ID_OVERRIDE",AT$24,"DEEP_PERIOD_OVERRIDE",$H$19)*1,"")))</f>
        <v/>
      </c>
      <c r="AU114" t="str">
        <f>IF(OR(AU$23="",ISNA($B114)),"",IF(ISBLANK($B114),"",IFERROR(_xll.BDP(TICKER,"DEEP_MEASURE_PERIOD_BROKER_VALUE","DEEP_MEASURE_ID_OVERRIDE",$C114,"DEEP_BROKER_ID_OVERRIDE",AU$24,"DEEP_PERIOD_OVERRIDE",$H$19)*1,"")))</f>
        <v/>
      </c>
      <c r="AV114" t="str">
        <f>IF(OR(AV$23="",ISNA($B114)),"",IF(ISBLANK($B114),"",IFERROR(_xll.BDP(TICKER,"DEEP_MEASURE_PERIOD_BROKER_VALUE","DEEP_MEASURE_ID_OVERRIDE",$C114,"DEEP_BROKER_ID_OVERRIDE",AV$24,"DEEP_PERIOD_OVERRIDE",$H$19)*1,"")))</f>
        <v/>
      </c>
      <c r="AW114" t="str">
        <f>IF(OR(AW$23="",ISNA($B114)),"",IF(ISBLANK($B114),"",IFERROR(_xll.BDP(TICKER,"DEEP_MEASURE_PERIOD_BROKER_VALUE","DEEP_MEASURE_ID_OVERRIDE",$C114,"DEEP_BROKER_ID_OVERRIDE",AW$24,"DEEP_PERIOD_OVERRIDE",$H$19)*1,"")))</f>
        <v/>
      </c>
      <c r="AX114" t="str">
        <f>IF(OR(AX$23="",ISNA($B114)),"",IF(ISBLANK($B114),"",IFERROR(_xll.BDP(TICKER,"DEEP_MEASURE_PERIOD_BROKER_VALUE","DEEP_MEASURE_ID_OVERRIDE",$C114,"DEEP_BROKER_ID_OVERRIDE",AX$24,"DEEP_PERIOD_OVERRIDE",$H$19)*1,"")))</f>
        <v/>
      </c>
      <c r="AY114" t="str">
        <f>IF(OR(AY$23="",ISNA($B114)),"",IF(ISBLANK($B114),"",IFERROR(_xll.BDP(TICKER,"DEEP_MEASURE_PERIOD_BROKER_VALUE","DEEP_MEASURE_ID_OVERRIDE",$C114,"DEEP_BROKER_ID_OVERRIDE",AY$24,"DEEP_PERIOD_OVERRIDE",$H$19)*1,"")))</f>
        <v/>
      </c>
      <c r="AZ114" t="str">
        <f>IF(OR(AZ$23="",ISNA($B114)),"",IF(ISBLANK($B114),"",IFERROR(_xll.BDP(TICKER,"DEEP_MEASURE_PERIOD_BROKER_VALUE","DEEP_MEASURE_ID_OVERRIDE",$C114,"DEEP_BROKER_ID_OVERRIDE",AZ$24,"DEEP_PERIOD_OVERRIDE",$H$19)*1,"")))</f>
        <v/>
      </c>
      <c r="BA114" t="str">
        <f>IF(OR(BA$23="",ISNA($B114)),"",IF(ISBLANK($B114),"",IFERROR(_xll.BDP(TICKER,"DEEP_MEASURE_PERIOD_BROKER_VALUE","DEEP_MEASURE_ID_OVERRIDE",$C114,"DEEP_BROKER_ID_OVERRIDE",BA$24,"DEEP_PERIOD_OVERRIDE",$H$19)*1,"")))</f>
        <v/>
      </c>
      <c r="BB114" t="str">
        <f>IF(OR(BB$23="",ISNA($B114)),"",IF(ISBLANK($B114),"",IFERROR(_xll.BDP(TICKER,"DEEP_MEASURE_PERIOD_BROKER_VALUE","DEEP_MEASURE_ID_OVERRIDE",$C114,"DEEP_BROKER_ID_OVERRIDE",BB$24,"DEEP_PERIOD_OVERRIDE",$H$19)*1,"")))</f>
        <v/>
      </c>
      <c r="BC114" t="str">
        <f>IF(OR(BC$23="",ISNA($B114)),"",IF(ISBLANK($B114),"",IFERROR(_xll.BDP(TICKER,"DEEP_MEASURE_PERIOD_BROKER_VALUE","DEEP_MEASURE_ID_OVERRIDE",$C114,"DEEP_BROKER_ID_OVERRIDE",BC$24,"DEEP_PERIOD_OVERRIDE",$H$19)*1,"")))</f>
        <v/>
      </c>
      <c r="BD114" t="str">
        <f>IF(OR(BD$23="",ISNA($B114)),"",IF(ISBLANK($B114),"",IFERROR(_xll.BDP(TICKER,"DEEP_MEASURE_PERIOD_BROKER_VALUE","DEEP_MEASURE_ID_OVERRIDE",$C114,"DEEP_BROKER_ID_OVERRIDE",BD$24,"DEEP_PERIOD_OVERRIDE",$H$19)*1,"")))</f>
        <v/>
      </c>
      <c r="BE114" t="str">
        <f>IF(OR(BE$23="",ISNA($B114)),"",IF(ISBLANK($B114),"",IFERROR(_xll.BDP(TICKER,"DEEP_MEASURE_PERIOD_BROKER_VALUE","DEEP_MEASURE_ID_OVERRIDE",$C114,"DEEP_BROKER_ID_OVERRIDE",BE$24,"DEEP_PERIOD_OVERRIDE",$H$19)*1,"")))</f>
        <v/>
      </c>
      <c r="BF114" t="str">
        <f>IF(OR(BF$23="",ISNA($B114)),"",IF(ISBLANK($B114),"",IFERROR(_xll.BDP(TICKER,"DEEP_MEASURE_PERIOD_BROKER_VALUE","DEEP_MEASURE_ID_OVERRIDE",$C114,"DEEP_BROKER_ID_OVERRIDE",BF$24,"DEEP_PERIOD_OVERRIDE",$H$19)*1,"")))</f>
        <v/>
      </c>
      <c r="BG114" t="str">
        <f>IF(OR(BG$23="",ISNA($B114)),"",IF(ISBLANK($B114),"",IFERROR(_xll.BDP(TICKER,"DEEP_MEASURE_PERIOD_BROKER_VALUE","DEEP_MEASURE_ID_OVERRIDE",$C114,"DEEP_BROKER_ID_OVERRIDE",BG$24,"DEEP_PERIOD_OVERRIDE",$H$19)*1,"")))</f>
        <v/>
      </c>
      <c r="BH114" t="str">
        <f>IF(OR(BH$23="",ISNA($B114)),"",IF(ISBLANK($B114),"",IFERROR(_xll.BDP(TICKER,"DEEP_MEASURE_PERIOD_BROKER_VALUE","DEEP_MEASURE_ID_OVERRIDE",$C114,"DEEP_BROKER_ID_OVERRIDE",BH$24,"DEEP_PERIOD_OVERRIDE",$H$19)*1,"")))</f>
        <v/>
      </c>
      <c r="BI114" t="str">
        <f>IF(OR(BI$23="",ISNA($B114)),"",IF(ISBLANK($B114),"",IFERROR(_xll.BDP(TICKER,"DEEP_MEASURE_PERIOD_BROKER_VALUE","DEEP_MEASURE_ID_OVERRIDE",$C114,"DEEP_BROKER_ID_OVERRIDE",BI$24,"DEEP_PERIOD_OVERRIDE",$H$19)*1,"")))</f>
        <v/>
      </c>
      <c r="BJ114" t="str">
        <f>IF(OR(BJ$23="",ISNA($B114)),"",IF(ISBLANK($B114),"",IFERROR(_xll.BDP(TICKER,"DEEP_MEASURE_PERIOD_BROKER_VALUE","DEEP_MEASURE_ID_OVERRIDE",$C114,"DEEP_BROKER_ID_OVERRIDE",BJ$24,"DEEP_PERIOD_OVERRIDE",$H$19)*1,"")))</f>
        <v/>
      </c>
      <c r="BK114" t="str">
        <f>IF(OR(BK$23="",ISNA($B114)),"",IF(ISBLANK($B114),"",IFERROR(_xll.BDP(TICKER,"DEEP_MEASURE_PERIOD_BROKER_VALUE","DEEP_MEASURE_ID_OVERRIDE",$C114,"DEEP_BROKER_ID_OVERRIDE",BK$24,"DEEP_PERIOD_OVERRIDE",$H$19)*1,"")))</f>
        <v/>
      </c>
      <c r="BL114" t="str">
        <f>IF(OR(BL$23="",ISNA($B114)),"",IF(ISBLANK($B114),"",IFERROR(_xll.BDP(TICKER,"DEEP_MEASURE_PERIOD_BROKER_VALUE","DEEP_MEASURE_ID_OVERRIDE",$C114,"DEEP_BROKER_ID_OVERRIDE",BL$24,"DEEP_PERIOD_OVERRIDE",$H$19)*1,"")))</f>
        <v/>
      </c>
      <c r="BM114" t="str">
        <f>IF(OR(BM$23="",ISNA($B114)),"",IF(ISBLANK($B114),"",IFERROR(_xll.BDP(TICKER,"DEEP_MEASURE_PERIOD_BROKER_VALUE","DEEP_MEASURE_ID_OVERRIDE",$C114,"DEEP_BROKER_ID_OVERRIDE",BM$24,"DEEP_PERIOD_OVERRIDE",$H$19)*1,"")))</f>
        <v/>
      </c>
      <c r="BN114" t="str">
        <f>IF(OR(BN$23="",ISNA($B114)),"",IF(ISBLANK($B114),"",IFERROR(_xll.BDP(TICKER,"DEEP_MEASURE_PERIOD_BROKER_VALUE","DEEP_MEASURE_ID_OVERRIDE",$C114,"DEEP_BROKER_ID_OVERRIDE",BN$24,"DEEP_PERIOD_OVERRIDE",$H$19)*1,"")))</f>
        <v/>
      </c>
      <c r="BO114" t="str">
        <f>IF(OR(BO$23="",ISNA($B114)),"",IF(ISBLANK($B114),"",IFERROR(_xll.BDP(TICKER,"DEEP_MEASURE_PERIOD_BROKER_VALUE","DEEP_MEASURE_ID_OVERRIDE",$C114,"DEEP_BROKER_ID_OVERRIDE",BO$24,"DEEP_PERIOD_OVERRIDE",$H$19)*1,"")))</f>
        <v/>
      </c>
      <c r="BP114" t="str">
        <f>IF(OR(BP$23="",ISNA($B114)),"",IF(ISBLANK($B114),"",IFERROR(_xll.BDP(TICKER,"DEEP_MEASURE_PERIOD_BROKER_VALUE","DEEP_MEASURE_ID_OVERRIDE",$C114,"DEEP_BROKER_ID_OVERRIDE",BP$24,"DEEP_PERIOD_OVERRIDE",$H$19)*1,"")))</f>
        <v/>
      </c>
      <c r="BQ114" t="str">
        <f>IF(OR(BQ$23="",ISNA($B114)),"",IF(ISBLANK($B114),"",IFERROR(_xll.BDP(TICKER,"DEEP_MEASURE_PERIOD_BROKER_VALUE","DEEP_MEASURE_ID_OVERRIDE",$C114,"DEEP_BROKER_ID_OVERRIDE",BQ$24,"DEEP_PERIOD_OVERRIDE",$H$19)*1,"")))</f>
        <v/>
      </c>
      <c r="BR114" t="str">
        <f>IF(OR(BR$23="",ISNA($B114)),"",IF(ISBLANK($B114),"",IFERROR(_xll.BDP(TICKER,"DEEP_MEASURE_PERIOD_BROKER_VALUE","DEEP_MEASURE_ID_OVERRIDE",$C114,"DEEP_BROKER_ID_OVERRIDE",BR$24,"DEEP_PERIOD_OVERRIDE",$H$19)*1,"")))</f>
        <v/>
      </c>
      <c r="BS114" t="str">
        <f>IF(OR(BS$23="",ISNA($B114)),"",IF(ISBLANK($B114),"",IFERROR(_xll.BDP(TICKER,"DEEP_MEASURE_PERIOD_BROKER_VALUE","DEEP_MEASURE_ID_OVERRIDE",$C114,"DEEP_BROKER_ID_OVERRIDE",BS$24,"DEEP_PERIOD_OVERRIDE",$H$19)*1,"")))</f>
        <v/>
      </c>
      <c r="BT114" t="str">
        <f>IF(OR(BT$23="",ISNA($B114)),"",IF(ISBLANK($B114),"",IFERROR(_xll.BDP(TICKER,"DEEP_MEASURE_PERIOD_BROKER_VALUE","DEEP_MEASURE_ID_OVERRIDE",$C114,"DEEP_BROKER_ID_OVERRIDE",BT$24,"DEEP_PERIOD_OVERRIDE",$H$19)*1,"")))</f>
        <v/>
      </c>
      <c r="BU114" t="str">
        <f>IF(OR(BU$23="",ISNA($B114)),"",IF(ISBLANK($B114),"",IFERROR(_xll.BDP(TICKER,"DEEP_MEASURE_PERIOD_BROKER_VALUE","DEEP_MEASURE_ID_OVERRIDE",$C114,"DEEP_BROKER_ID_OVERRIDE",BU$24,"DEEP_PERIOD_OVERRIDE",$H$19)*1,"")))</f>
        <v/>
      </c>
      <c r="BV114" t="str">
        <f>IF(OR(BV$23="",ISNA($B114)),"",IF(ISBLANK($B114),"",IFERROR(_xll.BDP(TICKER,"DEEP_MEASURE_PERIOD_BROKER_VALUE","DEEP_MEASURE_ID_OVERRIDE",$C114,"DEEP_BROKER_ID_OVERRIDE",BV$24,"DEEP_PERIOD_OVERRIDE",$H$19)*1,"")))</f>
        <v/>
      </c>
      <c r="BW114" t="str">
        <f>IF(OR(BW$23="",ISNA($B114)),"",IF(ISBLANK($B114),"",IFERROR(_xll.BDP(TICKER,"DEEP_MEASURE_PERIOD_BROKER_VALUE","DEEP_MEASURE_ID_OVERRIDE",$C114,"DEEP_BROKER_ID_OVERRIDE",BW$24,"DEEP_PERIOD_OVERRIDE",$H$19)*1,"")))</f>
        <v/>
      </c>
      <c r="BX114" t="str">
        <f>IF(OR(BX$23="",ISNA($B114)),"",IF(ISBLANK($B114),"",IFERROR(_xll.BDP(TICKER,"DEEP_MEASURE_PERIOD_BROKER_VALUE","DEEP_MEASURE_ID_OVERRIDE",$C114,"DEEP_BROKER_ID_OVERRIDE",BX$24,"DEEP_PERIOD_OVERRIDE",$H$19)*1,"")))</f>
        <v/>
      </c>
      <c r="BY114" t="str">
        <f>IF(OR(BY$23="",ISNA($B114)),"",IF(ISBLANK($B114),"",IFERROR(_xll.BDP(TICKER,"DEEP_MEASURE_PERIOD_BROKER_VALUE","DEEP_MEASURE_ID_OVERRIDE",$C114,"DEEP_BROKER_ID_OVERRIDE",BY$24,"DEEP_PERIOD_OVERRIDE",$H$19)*1,"")))</f>
        <v/>
      </c>
      <c r="BZ114" t="str">
        <f>IF(OR(BZ$23="",ISNA($B114)),"",IF(ISBLANK($B114),"",IFERROR(_xll.BDP(TICKER,"DEEP_MEASURE_PERIOD_BROKER_VALUE","DEEP_MEASURE_ID_OVERRIDE",$C114,"DEEP_BROKER_ID_OVERRIDE",BZ$24,"DEEP_PERIOD_OVERRIDE",$H$19)*1,"")))</f>
        <v/>
      </c>
    </row>
    <row r="115" spans="2:78" x14ac:dyDescent="0.25">
      <c r="B115" t="s">
        <v>155</v>
      </c>
      <c r="C115">
        <v>5013</v>
      </c>
      <c r="H115" t="str">
        <f t="shared" si="2"/>
        <v>Research &amp; Development Expense &gt; Other</v>
      </c>
      <c r="I115" t="str">
        <f>IF(OR(I$23="",ISNA($B115)),"",IF(ISBLANK($B115),"",IFERROR(_xll.BDP(TICKER,"DEEP_MEASURE_PERIOD_BROKER_VALUE","DEEP_MEASURE_ID_OVERRIDE",$C115,"DEEP_PERIOD_OVERRIDE",$H$19)*1,"")))</f>
        <v/>
      </c>
      <c r="J115" t="e">
        <f>IF(OR(J$23="",ISNA($B115)),"",IF(ISBLANK($B115),"",IFERROR(_xll.BDP(TICKER,"DEEP_MEASURE_PERIOD_BROKER_VALUE","DEEP_MEASURE_ID_OVERRIDE",$C115,"DEEP_BROKER_ID_OVERRIDE",J$24,"DEEP_PERIOD_OVERRIDE",$H$19)*1,"")))</f>
        <v>#REF!</v>
      </c>
      <c r="K115" t="str">
        <f>IF(OR(K$23="",ISNA($B115)),"",IF(ISBLANK($B115),"",IFERROR(_xll.BDP(TICKER,"DEEP_MEASURE_PERIOD_BROKER_VALUE","DEEP_MEASURE_ID_OVERRIDE",$C115,"DEEP_BROKER_ID_OVERRIDE",K$24,"DEEP_PERIOD_OVERRIDE",$H$19)*1,"")))</f>
        <v/>
      </c>
      <c r="L115" t="str">
        <f>IF(OR(L$23="",ISNA($B115)),"",IF(ISBLANK($B115),"",IFERROR(_xll.BDP(TICKER,"DEEP_MEASURE_PERIOD_BROKER_VALUE","DEEP_MEASURE_ID_OVERRIDE",$C115,"DEEP_BROKER_ID_OVERRIDE",L$24,"DEEP_PERIOD_OVERRIDE",$H$19)*1,"")))</f>
        <v/>
      </c>
      <c r="M115" t="str">
        <f>IF(OR(M$23="",ISNA($B115)),"",IF(ISBLANK($B115),"",IFERROR(_xll.BDP(TICKER,"DEEP_MEASURE_PERIOD_BROKER_VALUE","DEEP_MEASURE_ID_OVERRIDE",$C115,"DEEP_BROKER_ID_OVERRIDE",M$24,"DEEP_PERIOD_OVERRIDE",$H$19)*1,"")))</f>
        <v/>
      </c>
      <c r="N115" t="str">
        <f>IF(OR(N$23="",ISNA($B115)),"",IF(ISBLANK($B115),"",IFERROR(_xll.BDP(TICKER,"DEEP_MEASURE_PERIOD_BROKER_VALUE","DEEP_MEASURE_ID_OVERRIDE",$C115,"DEEP_BROKER_ID_OVERRIDE",N$24,"DEEP_PERIOD_OVERRIDE",$H$19)*1,"")))</f>
        <v/>
      </c>
      <c r="O115" t="str">
        <f>IF(OR(O$23="",ISNA($B115)),"",IF(ISBLANK($B115),"",IFERROR(_xll.BDP(TICKER,"DEEP_MEASURE_PERIOD_BROKER_VALUE","DEEP_MEASURE_ID_OVERRIDE",$C115,"DEEP_BROKER_ID_OVERRIDE",O$24,"DEEP_PERIOD_OVERRIDE",$H$19)*1,"")))</f>
        <v/>
      </c>
      <c r="P115" t="str">
        <f>IF(OR(P$23="",ISNA($B115)),"",IF(ISBLANK($B115),"",IFERROR(_xll.BDP(TICKER,"DEEP_MEASURE_PERIOD_BROKER_VALUE","DEEP_MEASURE_ID_OVERRIDE",$C115,"DEEP_BROKER_ID_OVERRIDE",P$24,"DEEP_PERIOD_OVERRIDE",$H$19)*1,"")))</f>
        <v/>
      </c>
      <c r="Q115" t="str">
        <f>IF(OR(Q$23="",ISNA($B115)),"",IF(ISBLANK($B115),"",IFERROR(_xll.BDP(TICKER,"DEEP_MEASURE_PERIOD_BROKER_VALUE","DEEP_MEASURE_ID_OVERRIDE",$C115,"DEEP_BROKER_ID_OVERRIDE",Q$24,"DEEP_PERIOD_OVERRIDE",$H$19)*1,"")))</f>
        <v/>
      </c>
      <c r="R115" t="str">
        <f>IF(OR(R$23="",ISNA($B115)),"",IF(ISBLANK($B115),"",IFERROR(_xll.BDP(TICKER,"DEEP_MEASURE_PERIOD_BROKER_VALUE","DEEP_MEASURE_ID_OVERRIDE",$C115,"DEEP_BROKER_ID_OVERRIDE",R$24,"DEEP_PERIOD_OVERRIDE",$H$19)*1,"")))</f>
        <v/>
      </c>
      <c r="S115" t="str">
        <f>IF(OR(S$23="",ISNA($B115)),"",IF(ISBLANK($B115),"",IFERROR(_xll.BDP(TICKER,"DEEP_MEASURE_PERIOD_BROKER_VALUE","DEEP_MEASURE_ID_OVERRIDE",$C115,"DEEP_BROKER_ID_OVERRIDE",S$24,"DEEP_PERIOD_OVERRIDE",$H$19)*1,"")))</f>
        <v/>
      </c>
      <c r="T115" t="str">
        <f>IF(OR(T$23="",ISNA($B115)),"",IF(ISBLANK($B115),"",IFERROR(_xll.BDP(TICKER,"DEEP_MEASURE_PERIOD_BROKER_VALUE","DEEP_MEASURE_ID_OVERRIDE",$C115,"DEEP_BROKER_ID_OVERRIDE",T$24,"DEEP_PERIOD_OVERRIDE",$H$19)*1,"")))</f>
        <v/>
      </c>
      <c r="U115" t="str">
        <f>IF(OR(U$23="",ISNA($B115)),"",IF(ISBLANK($B115),"",IFERROR(_xll.BDP(TICKER,"DEEP_MEASURE_PERIOD_BROKER_VALUE","DEEP_MEASURE_ID_OVERRIDE",$C115,"DEEP_BROKER_ID_OVERRIDE",U$24,"DEEP_PERIOD_OVERRIDE",$H$19)*1,"")))</f>
        <v/>
      </c>
      <c r="V115" t="str">
        <f>IF(OR(V$23="",ISNA($B115)),"",IF(ISBLANK($B115),"",IFERROR(_xll.BDP(TICKER,"DEEP_MEASURE_PERIOD_BROKER_VALUE","DEEP_MEASURE_ID_OVERRIDE",$C115,"DEEP_BROKER_ID_OVERRIDE",V$24,"DEEP_PERIOD_OVERRIDE",$H$19)*1,"")))</f>
        <v/>
      </c>
      <c r="W115" t="str">
        <f>IF(OR(W$23="",ISNA($B115)),"",IF(ISBLANK($B115),"",IFERROR(_xll.BDP(TICKER,"DEEP_MEASURE_PERIOD_BROKER_VALUE","DEEP_MEASURE_ID_OVERRIDE",$C115,"DEEP_BROKER_ID_OVERRIDE",W$24,"DEEP_PERIOD_OVERRIDE",$H$19)*1,"")))</f>
        <v/>
      </c>
      <c r="X115" t="str">
        <f>IF(OR(X$23="",ISNA($B115)),"",IF(ISBLANK($B115),"",IFERROR(_xll.BDP(TICKER,"DEEP_MEASURE_PERIOD_BROKER_VALUE","DEEP_MEASURE_ID_OVERRIDE",$C115,"DEEP_BROKER_ID_OVERRIDE",X$24,"DEEP_PERIOD_OVERRIDE",$H$19)*1,"")))</f>
        <v/>
      </c>
      <c r="Y115" t="str">
        <f>IF(OR(Y$23="",ISNA($B115)),"",IF(ISBLANK($B115),"",IFERROR(_xll.BDP(TICKER,"DEEP_MEASURE_PERIOD_BROKER_VALUE","DEEP_MEASURE_ID_OVERRIDE",$C115,"DEEP_BROKER_ID_OVERRIDE",Y$24,"DEEP_PERIOD_OVERRIDE",$H$19)*1,"")))</f>
        <v/>
      </c>
      <c r="Z115" t="str">
        <f>IF(OR(Z$23="",ISNA($B115)),"",IF(ISBLANK($B115),"",IFERROR(_xll.BDP(TICKER,"DEEP_MEASURE_PERIOD_BROKER_VALUE","DEEP_MEASURE_ID_OVERRIDE",$C115,"DEEP_BROKER_ID_OVERRIDE",Z$24,"DEEP_PERIOD_OVERRIDE",$H$19)*1,"")))</f>
        <v/>
      </c>
      <c r="AA115" t="str">
        <f>IF(OR(AA$23="",ISNA($B115)),"",IF(ISBLANK($B115),"",IFERROR(_xll.BDP(TICKER,"DEEP_MEASURE_PERIOD_BROKER_VALUE","DEEP_MEASURE_ID_OVERRIDE",$C115,"DEEP_BROKER_ID_OVERRIDE",AA$24,"DEEP_PERIOD_OVERRIDE",$H$19)*1,"")))</f>
        <v/>
      </c>
      <c r="AB115" t="str">
        <f>IF(OR(AB$23="",ISNA($B115)),"",IF(ISBLANK($B115),"",IFERROR(_xll.BDP(TICKER,"DEEP_MEASURE_PERIOD_BROKER_VALUE","DEEP_MEASURE_ID_OVERRIDE",$C115,"DEEP_BROKER_ID_OVERRIDE",AB$24,"DEEP_PERIOD_OVERRIDE",$H$19)*1,"")))</f>
        <v/>
      </c>
      <c r="AC115" t="str">
        <f>IF(OR(AC$23="",ISNA($B115)),"",IF(ISBLANK($B115),"",IFERROR(_xll.BDP(TICKER,"DEEP_MEASURE_PERIOD_BROKER_VALUE","DEEP_MEASURE_ID_OVERRIDE",$C115,"DEEP_BROKER_ID_OVERRIDE",AC$24,"DEEP_PERIOD_OVERRIDE",$H$19)*1,"")))</f>
        <v/>
      </c>
      <c r="AD115" t="str">
        <f>IF(OR(AD$23="",ISNA($B115)),"",IF(ISBLANK($B115),"",IFERROR(_xll.BDP(TICKER,"DEEP_MEASURE_PERIOD_BROKER_VALUE","DEEP_MEASURE_ID_OVERRIDE",$C115,"DEEP_BROKER_ID_OVERRIDE",AD$24,"DEEP_PERIOD_OVERRIDE",$H$19)*1,"")))</f>
        <v/>
      </c>
      <c r="AE115" t="str">
        <f>IF(OR(AE$23="",ISNA($B115)),"",IF(ISBLANK($B115),"",IFERROR(_xll.BDP(TICKER,"DEEP_MEASURE_PERIOD_BROKER_VALUE","DEEP_MEASURE_ID_OVERRIDE",$C115,"DEEP_BROKER_ID_OVERRIDE",AE$24,"DEEP_PERIOD_OVERRIDE",$H$19)*1,"")))</f>
        <v/>
      </c>
      <c r="AF115" t="str">
        <f>IF(OR(AF$23="",ISNA($B115)),"",IF(ISBLANK($B115),"",IFERROR(_xll.BDP(TICKER,"DEEP_MEASURE_PERIOD_BROKER_VALUE","DEEP_MEASURE_ID_OVERRIDE",$C115,"DEEP_BROKER_ID_OVERRIDE",AF$24,"DEEP_PERIOD_OVERRIDE",$H$19)*1,"")))</f>
        <v/>
      </c>
      <c r="AG115" t="str">
        <f>IF(OR(AG$23="",ISNA($B115)),"",IF(ISBLANK($B115),"",IFERROR(_xll.BDP(TICKER,"DEEP_MEASURE_PERIOD_BROKER_VALUE","DEEP_MEASURE_ID_OVERRIDE",$C115,"DEEP_BROKER_ID_OVERRIDE",AG$24,"DEEP_PERIOD_OVERRIDE",$H$19)*1,"")))</f>
        <v/>
      </c>
      <c r="AH115" t="str">
        <f>IF(OR(AH$23="",ISNA($B115)),"",IF(ISBLANK($B115),"",IFERROR(_xll.BDP(TICKER,"DEEP_MEASURE_PERIOD_BROKER_VALUE","DEEP_MEASURE_ID_OVERRIDE",$C115,"DEEP_BROKER_ID_OVERRIDE",AH$24,"DEEP_PERIOD_OVERRIDE",$H$19)*1,"")))</f>
        <v/>
      </c>
      <c r="AI115" t="str">
        <f>IF(OR(AI$23="",ISNA($B115)),"",IF(ISBLANK($B115),"",IFERROR(_xll.BDP(TICKER,"DEEP_MEASURE_PERIOD_BROKER_VALUE","DEEP_MEASURE_ID_OVERRIDE",$C115,"DEEP_BROKER_ID_OVERRIDE",AI$24,"DEEP_PERIOD_OVERRIDE",$H$19)*1,"")))</f>
        <v/>
      </c>
      <c r="AJ115" t="str">
        <f>IF(OR(AJ$23="",ISNA($B115)),"",IF(ISBLANK($B115),"",IFERROR(_xll.BDP(TICKER,"DEEP_MEASURE_PERIOD_BROKER_VALUE","DEEP_MEASURE_ID_OVERRIDE",$C115,"DEEP_BROKER_ID_OVERRIDE",AJ$24,"DEEP_PERIOD_OVERRIDE",$H$19)*1,"")))</f>
        <v/>
      </c>
      <c r="AK115" t="str">
        <f>IF(OR(AK$23="",ISNA($B115)),"",IF(ISBLANK($B115),"",IFERROR(_xll.BDP(TICKER,"DEEP_MEASURE_PERIOD_BROKER_VALUE","DEEP_MEASURE_ID_OVERRIDE",$C115,"DEEP_BROKER_ID_OVERRIDE",AK$24,"DEEP_PERIOD_OVERRIDE",$H$19)*1,"")))</f>
        <v/>
      </c>
      <c r="AL115" t="str">
        <f>IF(OR(AL$23="",ISNA($B115)),"",IF(ISBLANK($B115),"",IFERROR(_xll.BDP(TICKER,"DEEP_MEASURE_PERIOD_BROKER_VALUE","DEEP_MEASURE_ID_OVERRIDE",$C115,"DEEP_BROKER_ID_OVERRIDE",AL$24,"DEEP_PERIOD_OVERRIDE",$H$19)*1,"")))</f>
        <v/>
      </c>
      <c r="AM115" t="str">
        <f>IF(OR(AM$23="",ISNA($B115)),"",IF(ISBLANK($B115),"",IFERROR(_xll.BDP(TICKER,"DEEP_MEASURE_PERIOD_BROKER_VALUE","DEEP_MEASURE_ID_OVERRIDE",$C115,"DEEP_BROKER_ID_OVERRIDE",AM$24,"DEEP_PERIOD_OVERRIDE",$H$19)*1,"")))</f>
        <v/>
      </c>
      <c r="AN115" t="str">
        <f>IF(OR(AN$23="",ISNA($B115)),"",IF(ISBLANK($B115),"",IFERROR(_xll.BDP(TICKER,"DEEP_MEASURE_PERIOD_BROKER_VALUE","DEEP_MEASURE_ID_OVERRIDE",$C115,"DEEP_BROKER_ID_OVERRIDE",AN$24,"DEEP_PERIOD_OVERRIDE",$H$19)*1,"")))</f>
        <v/>
      </c>
      <c r="AO115" t="str">
        <f>IF(OR(AO$23="",ISNA($B115)),"",IF(ISBLANK($B115),"",IFERROR(_xll.BDP(TICKER,"DEEP_MEASURE_PERIOD_BROKER_VALUE","DEEP_MEASURE_ID_OVERRIDE",$C115,"DEEP_BROKER_ID_OVERRIDE",AO$24,"DEEP_PERIOD_OVERRIDE",$H$19)*1,"")))</f>
        <v/>
      </c>
      <c r="AP115" t="str">
        <f>IF(OR(AP$23="",ISNA($B115)),"",IF(ISBLANK($B115),"",IFERROR(_xll.BDP(TICKER,"DEEP_MEASURE_PERIOD_BROKER_VALUE","DEEP_MEASURE_ID_OVERRIDE",$C115,"DEEP_BROKER_ID_OVERRIDE",AP$24,"DEEP_PERIOD_OVERRIDE",$H$19)*1,"")))</f>
        <v/>
      </c>
      <c r="AQ115" t="str">
        <f>IF(OR(AQ$23="",ISNA($B115)),"",IF(ISBLANK($B115),"",IFERROR(_xll.BDP(TICKER,"DEEP_MEASURE_PERIOD_BROKER_VALUE","DEEP_MEASURE_ID_OVERRIDE",$C115,"DEEP_BROKER_ID_OVERRIDE",AQ$24,"DEEP_PERIOD_OVERRIDE",$H$19)*1,"")))</f>
        <v/>
      </c>
      <c r="AR115" t="str">
        <f>IF(OR(AR$23="",ISNA($B115)),"",IF(ISBLANK($B115),"",IFERROR(_xll.BDP(TICKER,"DEEP_MEASURE_PERIOD_BROKER_VALUE","DEEP_MEASURE_ID_OVERRIDE",$C115,"DEEP_BROKER_ID_OVERRIDE",AR$24,"DEEP_PERIOD_OVERRIDE",$H$19)*1,"")))</f>
        <v/>
      </c>
      <c r="AS115" t="str">
        <f>IF(OR(AS$23="",ISNA($B115)),"",IF(ISBLANK($B115),"",IFERROR(_xll.BDP(TICKER,"DEEP_MEASURE_PERIOD_BROKER_VALUE","DEEP_MEASURE_ID_OVERRIDE",$C115,"DEEP_BROKER_ID_OVERRIDE",AS$24,"DEEP_PERIOD_OVERRIDE",$H$19)*1,"")))</f>
        <v/>
      </c>
      <c r="AT115" t="str">
        <f>IF(OR(AT$23="",ISNA($B115)),"",IF(ISBLANK($B115),"",IFERROR(_xll.BDP(TICKER,"DEEP_MEASURE_PERIOD_BROKER_VALUE","DEEP_MEASURE_ID_OVERRIDE",$C115,"DEEP_BROKER_ID_OVERRIDE",AT$24,"DEEP_PERIOD_OVERRIDE",$H$19)*1,"")))</f>
        <v/>
      </c>
      <c r="AU115" t="str">
        <f>IF(OR(AU$23="",ISNA($B115)),"",IF(ISBLANK($B115),"",IFERROR(_xll.BDP(TICKER,"DEEP_MEASURE_PERIOD_BROKER_VALUE","DEEP_MEASURE_ID_OVERRIDE",$C115,"DEEP_BROKER_ID_OVERRIDE",AU$24,"DEEP_PERIOD_OVERRIDE",$H$19)*1,"")))</f>
        <v/>
      </c>
      <c r="AV115" t="str">
        <f>IF(OR(AV$23="",ISNA($B115)),"",IF(ISBLANK($B115),"",IFERROR(_xll.BDP(TICKER,"DEEP_MEASURE_PERIOD_BROKER_VALUE","DEEP_MEASURE_ID_OVERRIDE",$C115,"DEEP_BROKER_ID_OVERRIDE",AV$24,"DEEP_PERIOD_OVERRIDE",$H$19)*1,"")))</f>
        <v/>
      </c>
      <c r="AW115" t="str">
        <f>IF(OR(AW$23="",ISNA($B115)),"",IF(ISBLANK($B115),"",IFERROR(_xll.BDP(TICKER,"DEEP_MEASURE_PERIOD_BROKER_VALUE","DEEP_MEASURE_ID_OVERRIDE",$C115,"DEEP_BROKER_ID_OVERRIDE",AW$24,"DEEP_PERIOD_OVERRIDE",$H$19)*1,"")))</f>
        <v/>
      </c>
      <c r="AX115" t="str">
        <f>IF(OR(AX$23="",ISNA($B115)),"",IF(ISBLANK($B115),"",IFERROR(_xll.BDP(TICKER,"DEEP_MEASURE_PERIOD_BROKER_VALUE","DEEP_MEASURE_ID_OVERRIDE",$C115,"DEEP_BROKER_ID_OVERRIDE",AX$24,"DEEP_PERIOD_OVERRIDE",$H$19)*1,"")))</f>
        <v/>
      </c>
      <c r="AY115" t="str">
        <f>IF(OR(AY$23="",ISNA($B115)),"",IF(ISBLANK($B115),"",IFERROR(_xll.BDP(TICKER,"DEEP_MEASURE_PERIOD_BROKER_VALUE","DEEP_MEASURE_ID_OVERRIDE",$C115,"DEEP_BROKER_ID_OVERRIDE",AY$24,"DEEP_PERIOD_OVERRIDE",$H$19)*1,"")))</f>
        <v/>
      </c>
      <c r="AZ115" t="str">
        <f>IF(OR(AZ$23="",ISNA($B115)),"",IF(ISBLANK($B115),"",IFERROR(_xll.BDP(TICKER,"DEEP_MEASURE_PERIOD_BROKER_VALUE","DEEP_MEASURE_ID_OVERRIDE",$C115,"DEEP_BROKER_ID_OVERRIDE",AZ$24,"DEEP_PERIOD_OVERRIDE",$H$19)*1,"")))</f>
        <v/>
      </c>
      <c r="BA115" t="str">
        <f>IF(OR(BA$23="",ISNA($B115)),"",IF(ISBLANK($B115),"",IFERROR(_xll.BDP(TICKER,"DEEP_MEASURE_PERIOD_BROKER_VALUE","DEEP_MEASURE_ID_OVERRIDE",$C115,"DEEP_BROKER_ID_OVERRIDE",BA$24,"DEEP_PERIOD_OVERRIDE",$H$19)*1,"")))</f>
        <v/>
      </c>
      <c r="BB115" t="str">
        <f>IF(OR(BB$23="",ISNA($B115)),"",IF(ISBLANK($B115),"",IFERROR(_xll.BDP(TICKER,"DEEP_MEASURE_PERIOD_BROKER_VALUE","DEEP_MEASURE_ID_OVERRIDE",$C115,"DEEP_BROKER_ID_OVERRIDE",BB$24,"DEEP_PERIOD_OVERRIDE",$H$19)*1,"")))</f>
        <v/>
      </c>
      <c r="BC115" t="str">
        <f>IF(OR(BC$23="",ISNA($B115)),"",IF(ISBLANK($B115),"",IFERROR(_xll.BDP(TICKER,"DEEP_MEASURE_PERIOD_BROKER_VALUE","DEEP_MEASURE_ID_OVERRIDE",$C115,"DEEP_BROKER_ID_OVERRIDE",BC$24,"DEEP_PERIOD_OVERRIDE",$H$19)*1,"")))</f>
        <v/>
      </c>
      <c r="BD115" t="str">
        <f>IF(OR(BD$23="",ISNA($B115)),"",IF(ISBLANK($B115),"",IFERROR(_xll.BDP(TICKER,"DEEP_MEASURE_PERIOD_BROKER_VALUE","DEEP_MEASURE_ID_OVERRIDE",$C115,"DEEP_BROKER_ID_OVERRIDE",BD$24,"DEEP_PERIOD_OVERRIDE",$H$19)*1,"")))</f>
        <v/>
      </c>
      <c r="BE115" t="str">
        <f>IF(OR(BE$23="",ISNA($B115)),"",IF(ISBLANK($B115),"",IFERROR(_xll.BDP(TICKER,"DEEP_MEASURE_PERIOD_BROKER_VALUE","DEEP_MEASURE_ID_OVERRIDE",$C115,"DEEP_BROKER_ID_OVERRIDE",BE$24,"DEEP_PERIOD_OVERRIDE",$H$19)*1,"")))</f>
        <v/>
      </c>
      <c r="BF115" t="str">
        <f>IF(OR(BF$23="",ISNA($B115)),"",IF(ISBLANK($B115),"",IFERROR(_xll.BDP(TICKER,"DEEP_MEASURE_PERIOD_BROKER_VALUE","DEEP_MEASURE_ID_OVERRIDE",$C115,"DEEP_BROKER_ID_OVERRIDE",BF$24,"DEEP_PERIOD_OVERRIDE",$H$19)*1,"")))</f>
        <v/>
      </c>
      <c r="BG115" t="str">
        <f>IF(OR(BG$23="",ISNA($B115)),"",IF(ISBLANK($B115),"",IFERROR(_xll.BDP(TICKER,"DEEP_MEASURE_PERIOD_BROKER_VALUE","DEEP_MEASURE_ID_OVERRIDE",$C115,"DEEP_BROKER_ID_OVERRIDE",BG$24,"DEEP_PERIOD_OVERRIDE",$H$19)*1,"")))</f>
        <v/>
      </c>
      <c r="BH115" t="str">
        <f>IF(OR(BH$23="",ISNA($B115)),"",IF(ISBLANK($B115),"",IFERROR(_xll.BDP(TICKER,"DEEP_MEASURE_PERIOD_BROKER_VALUE","DEEP_MEASURE_ID_OVERRIDE",$C115,"DEEP_BROKER_ID_OVERRIDE",BH$24,"DEEP_PERIOD_OVERRIDE",$H$19)*1,"")))</f>
        <v/>
      </c>
      <c r="BI115" t="str">
        <f>IF(OR(BI$23="",ISNA($B115)),"",IF(ISBLANK($B115),"",IFERROR(_xll.BDP(TICKER,"DEEP_MEASURE_PERIOD_BROKER_VALUE","DEEP_MEASURE_ID_OVERRIDE",$C115,"DEEP_BROKER_ID_OVERRIDE",BI$24,"DEEP_PERIOD_OVERRIDE",$H$19)*1,"")))</f>
        <v/>
      </c>
      <c r="BJ115" t="str">
        <f>IF(OR(BJ$23="",ISNA($B115)),"",IF(ISBLANK($B115),"",IFERROR(_xll.BDP(TICKER,"DEEP_MEASURE_PERIOD_BROKER_VALUE","DEEP_MEASURE_ID_OVERRIDE",$C115,"DEEP_BROKER_ID_OVERRIDE",BJ$24,"DEEP_PERIOD_OVERRIDE",$H$19)*1,"")))</f>
        <v/>
      </c>
      <c r="BK115" t="str">
        <f>IF(OR(BK$23="",ISNA($B115)),"",IF(ISBLANK($B115),"",IFERROR(_xll.BDP(TICKER,"DEEP_MEASURE_PERIOD_BROKER_VALUE","DEEP_MEASURE_ID_OVERRIDE",$C115,"DEEP_BROKER_ID_OVERRIDE",BK$24,"DEEP_PERIOD_OVERRIDE",$H$19)*1,"")))</f>
        <v/>
      </c>
      <c r="BL115" t="str">
        <f>IF(OR(BL$23="",ISNA($B115)),"",IF(ISBLANK($B115),"",IFERROR(_xll.BDP(TICKER,"DEEP_MEASURE_PERIOD_BROKER_VALUE","DEEP_MEASURE_ID_OVERRIDE",$C115,"DEEP_BROKER_ID_OVERRIDE",BL$24,"DEEP_PERIOD_OVERRIDE",$H$19)*1,"")))</f>
        <v/>
      </c>
      <c r="BM115" t="str">
        <f>IF(OR(BM$23="",ISNA($B115)),"",IF(ISBLANK($B115),"",IFERROR(_xll.BDP(TICKER,"DEEP_MEASURE_PERIOD_BROKER_VALUE","DEEP_MEASURE_ID_OVERRIDE",$C115,"DEEP_BROKER_ID_OVERRIDE",BM$24,"DEEP_PERIOD_OVERRIDE",$H$19)*1,"")))</f>
        <v/>
      </c>
      <c r="BN115" t="str">
        <f>IF(OR(BN$23="",ISNA($B115)),"",IF(ISBLANK($B115),"",IFERROR(_xll.BDP(TICKER,"DEEP_MEASURE_PERIOD_BROKER_VALUE","DEEP_MEASURE_ID_OVERRIDE",$C115,"DEEP_BROKER_ID_OVERRIDE",BN$24,"DEEP_PERIOD_OVERRIDE",$H$19)*1,"")))</f>
        <v/>
      </c>
      <c r="BO115" t="str">
        <f>IF(OR(BO$23="",ISNA($B115)),"",IF(ISBLANK($B115),"",IFERROR(_xll.BDP(TICKER,"DEEP_MEASURE_PERIOD_BROKER_VALUE","DEEP_MEASURE_ID_OVERRIDE",$C115,"DEEP_BROKER_ID_OVERRIDE",BO$24,"DEEP_PERIOD_OVERRIDE",$H$19)*1,"")))</f>
        <v/>
      </c>
      <c r="BP115" t="str">
        <f>IF(OR(BP$23="",ISNA($B115)),"",IF(ISBLANK($B115),"",IFERROR(_xll.BDP(TICKER,"DEEP_MEASURE_PERIOD_BROKER_VALUE","DEEP_MEASURE_ID_OVERRIDE",$C115,"DEEP_BROKER_ID_OVERRIDE",BP$24,"DEEP_PERIOD_OVERRIDE",$H$19)*1,"")))</f>
        <v/>
      </c>
      <c r="BQ115" t="str">
        <f>IF(OR(BQ$23="",ISNA($B115)),"",IF(ISBLANK($B115),"",IFERROR(_xll.BDP(TICKER,"DEEP_MEASURE_PERIOD_BROKER_VALUE","DEEP_MEASURE_ID_OVERRIDE",$C115,"DEEP_BROKER_ID_OVERRIDE",BQ$24,"DEEP_PERIOD_OVERRIDE",$H$19)*1,"")))</f>
        <v/>
      </c>
      <c r="BR115" t="str">
        <f>IF(OR(BR$23="",ISNA($B115)),"",IF(ISBLANK($B115),"",IFERROR(_xll.BDP(TICKER,"DEEP_MEASURE_PERIOD_BROKER_VALUE","DEEP_MEASURE_ID_OVERRIDE",$C115,"DEEP_BROKER_ID_OVERRIDE",BR$24,"DEEP_PERIOD_OVERRIDE",$H$19)*1,"")))</f>
        <v/>
      </c>
      <c r="BS115" t="str">
        <f>IF(OR(BS$23="",ISNA($B115)),"",IF(ISBLANK($B115),"",IFERROR(_xll.BDP(TICKER,"DEEP_MEASURE_PERIOD_BROKER_VALUE","DEEP_MEASURE_ID_OVERRIDE",$C115,"DEEP_BROKER_ID_OVERRIDE",BS$24,"DEEP_PERIOD_OVERRIDE",$H$19)*1,"")))</f>
        <v/>
      </c>
      <c r="BT115" t="str">
        <f>IF(OR(BT$23="",ISNA($B115)),"",IF(ISBLANK($B115),"",IFERROR(_xll.BDP(TICKER,"DEEP_MEASURE_PERIOD_BROKER_VALUE","DEEP_MEASURE_ID_OVERRIDE",$C115,"DEEP_BROKER_ID_OVERRIDE",BT$24,"DEEP_PERIOD_OVERRIDE",$H$19)*1,"")))</f>
        <v/>
      </c>
      <c r="BU115" t="str">
        <f>IF(OR(BU$23="",ISNA($B115)),"",IF(ISBLANK($B115),"",IFERROR(_xll.BDP(TICKER,"DEEP_MEASURE_PERIOD_BROKER_VALUE","DEEP_MEASURE_ID_OVERRIDE",$C115,"DEEP_BROKER_ID_OVERRIDE",BU$24,"DEEP_PERIOD_OVERRIDE",$H$19)*1,"")))</f>
        <v/>
      </c>
      <c r="BV115" t="str">
        <f>IF(OR(BV$23="",ISNA($B115)),"",IF(ISBLANK($B115),"",IFERROR(_xll.BDP(TICKER,"DEEP_MEASURE_PERIOD_BROKER_VALUE","DEEP_MEASURE_ID_OVERRIDE",$C115,"DEEP_BROKER_ID_OVERRIDE",BV$24,"DEEP_PERIOD_OVERRIDE",$H$19)*1,"")))</f>
        <v/>
      </c>
      <c r="BW115" t="str">
        <f>IF(OR(BW$23="",ISNA($B115)),"",IF(ISBLANK($B115),"",IFERROR(_xll.BDP(TICKER,"DEEP_MEASURE_PERIOD_BROKER_VALUE","DEEP_MEASURE_ID_OVERRIDE",$C115,"DEEP_BROKER_ID_OVERRIDE",BW$24,"DEEP_PERIOD_OVERRIDE",$H$19)*1,"")))</f>
        <v/>
      </c>
      <c r="BX115" t="str">
        <f>IF(OR(BX$23="",ISNA($B115)),"",IF(ISBLANK($B115),"",IFERROR(_xll.BDP(TICKER,"DEEP_MEASURE_PERIOD_BROKER_VALUE","DEEP_MEASURE_ID_OVERRIDE",$C115,"DEEP_BROKER_ID_OVERRIDE",BX$24,"DEEP_PERIOD_OVERRIDE",$H$19)*1,"")))</f>
        <v/>
      </c>
      <c r="BY115" t="str">
        <f>IF(OR(BY$23="",ISNA($B115)),"",IF(ISBLANK($B115),"",IFERROR(_xll.BDP(TICKER,"DEEP_MEASURE_PERIOD_BROKER_VALUE","DEEP_MEASURE_ID_OVERRIDE",$C115,"DEEP_BROKER_ID_OVERRIDE",BY$24,"DEEP_PERIOD_OVERRIDE",$H$19)*1,"")))</f>
        <v/>
      </c>
      <c r="BZ115" t="str">
        <f>IF(OR(BZ$23="",ISNA($B115)),"",IF(ISBLANK($B115),"",IFERROR(_xll.BDP(TICKER,"DEEP_MEASURE_PERIOD_BROKER_VALUE","DEEP_MEASURE_ID_OVERRIDE",$C115,"DEEP_BROKER_ID_OVERRIDE",BZ$24,"DEEP_PERIOD_OVERRIDE",$H$19)*1,"")))</f>
        <v/>
      </c>
    </row>
    <row r="116" spans="2:78" x14ac:dyDescent="0.25">
      <c r="B116" t="s">
        <v>156</v>
      </c>
      <c r="C116">
        <v>324</v>
      </c>
      <c r="H116" t="str">
        <f t="shared" si="2"/>
        <v>Research &amp; Development Expense &gt; Research &amp; Development Expense (ex-SBC)</v>
      </c>
      <c r="I116" t="str">
        <f>IF(OR(I$23="",ISNA($B116)),"",IF(ISBLANK($B116),"",IFERROR(_xll.BDP(TICKER,"DEEP_MEASURE_PERIOD_BROKER_VALUE","DEEP_MEASURE_ID_OVERRIDE",$C116,"DEEP_PERIOD_OVERRIDE",$H$19)*1,"")))</f>
        <v/>
      </c>
      <c r="J116" t="e">
        <f>IF(OR(J$23="",ISNA($B116)),"",IF(ISBLANK($B116),"",IFERROR(_xll.BDP(TICKER,"DEEP_MEASURE_PERIOD_BROKER_VALUE","DEEP_MEASURE_ID_OVERRIDE",$C116,"DEEP_BROKER_ID_OVERRIDE",J$24,"DEEP_PERIOD_OVERRIDE",$H$19)*1,"")))</f>
        <v>#REF!</v>
      </c>
      <c r="K116" t="str">
        <f>IF(OR(K$23="",ISNA($B116)),"",IF(ISBLANK($B116),"",IFERROR(_xll.BDP(TICKER,"DEEP_MEASURE_PERIOD_BROKER_VALUE","DEEP_MEASURE_ID_OVERRIDE",$C116,"DEEP_BROKER_ID_OVERRIDE",K$24,"DEEP_PERIOD_OVERRIDE",$H$19)*1,"")))</f>
        <v/>
      </c>
      <c r="L116" t="str">
        <f>IF(OR(L$23="",ISNA($B116)),"",IF(ISBLANK($B116),"",IFERROR(_xll.BDP(TICKER,"DEEP_MEASURE_PERIOD_BROKER_VALUE","DEEP_MEASURE_ID_OVERRIDE",$C116,"DEEP_BROKER_ID_OVERRIDE",L$24,"DEEP_PERIOD_OVERRIDE",$H$19)*1,"")))</f>
        <v/>
      </c>
      <c r="M116" t="str">
        <f>IF(OR(M$23="",ISNA($B116)),"",IF(ISBLANK($B116),"",IFERROR(_xll.BDP(TICKER,"DEEP_MEASURE_PERIOD_BROKER_VALUE","DEEP_MEASURE_ID_OVERRIDE",$C116,"DEEP_BROKER_ID_OVERRIDE",M$24,"DEEP_PERIOD_OVERRIDE",$H$19)*1,"")))</f>
        <v/>
      </c>
      <c r="N116" t="str">
        <f>IF(OR(N$23="",ISNA($B116)),"",IF(ISBLANK($B116),"",IFERROR(_xll.BDP(TICKER,"DEEP_MEASURE_PERIOD_BROKER_VALUE","DEEP_MEASURE_ID_OVERRIDE",$C116,"DEEP_BROKER_ID_OVERRIDE",N$24,"DEEP_PERIOD_OVERRIDE",$H$19)*1,"")))</f>
        <v/>
      </c>
      <c r="O116" t="str">
        <f>IF(OR(O$23="",ISNA($B116)),"",IF(ISBLANK($B116),"",IFERROR(_xll.BDP(TICKER,"DEEP_MEASURE_PERIOD_BROKER_VALUE","DEEP_MEASURE_ID_OVERRIDE",$C116,"DEEP_BROKER_ID_OVERRIDE",O$24,"DEEP_PERIOD_OVERRIDE",$H$19)*1,"")))</f>
        <v/>
      </c>
      <c r="P116" t="str">
        <f>IF(OR(P$23="",ISNA($B116)),"",IF(ISBLANK($B116),"",IFERROR(_xll.BDP(TICKER,"DEEP_MEASURE_PERIOD_BROKER_VALUE","DEEP_MEASURE_ID_OVERRIDE",$C116,"DEEP_BROKER_ID_OVERRIDE",P$24,"DEEP_PERIOD_OVERRIDE",$H$19)*1,"")))</f>
        <v/>
      </c>
      <c r="Q116" t="str">
        <f>IF(OR(Q$23="",ISNA($B116)),"",IF(ISBLANK($B116),"",IFERROR(_xll.BDP(TICKER,"DEEP_MEASURE_PERIOD_BROKER_VALUE","DEEP_MEASURE_ID_OVERRIDE",$C116,"DEEP_BROKER_ID_OVERRIDE",Q$24,"DEEP_PERIOD_OVERRIDE",$H$19)*1,"")))</f>
        <v/>
      </c>
      <c r="R116" t="str">
        <f>IF(OR(R$23="",ISNA($B116)),"",IF(ISBLANK($B116),"",IFERROR(_xll.BDP(TICKER,"DEEP_MEASURE_PERIOD_BROKER_VALUE","DEEP_MEASURE_ID_OVERRIDE",$C116,"DEEP_BROKER_ID_OVERRIDE",R$24,"DEEP_PERIOD_OVERRIDE",$H$19)*1,"")))</f>
        <v/>
      </c>
      <c r="S116" t="str">
        <f>IF(OR(S$23="",ISNA($B116)),"",IF(ISBLANK($B116),"",IFERROR(_xll.BDP(TICKER,"DEEP_MEASURE_PERIOD_BROKER_VALUE","DEEP_MEASURE_ID_OVERRIDE",$C116,"DEEP_BROKER_ID_OVERRIDE",S$24,"DEEP_PERIOD_OVERRIDE",$H$19)*1,"")))</f>
        <v/>
      </c>
      <c r="T116" t="str">
        <f>IF(OR(T$23="",ISNA($B116)),"",IF(ISBLANK($B116),"",IFERROR(_xll.BDP(TICKER,"DEEP_MEASURE_PERIOD_BROKER_VALUE","DEEP_MEASURE_ID_OVERRIDE",$C116,"DEEP_BROKER_ID_OVERRIDE",T$24,"DEEP_PERIOD_OVERRIDE",$H$19)*1,"")))</f>
        <v/>
      </c>
      <c r="U116" t="str">
        <f>IF(OR(U$23="",ISNA($B116)),"",IF(ISBLANK($B116),"",IFERROR(_xll.BDP(TICKER,"DEEP_MEASURE_PERIOD_BROKER_VALUE","DEEP_MEASURE_ID_OVERRIDE",$C116,"DEEP_BROKER_ID_OVERRIDE",U$24,"DEEP_PERIOD_OVERRIDE",$H$19)*1,"")))</f>
        <v/>
      </c>
      <c r="V116" t="str">
        <f>IF(OR(V$23="",ISNA($B116)),"",IF(ISBLANK($B116),"",IFERROR(_xll.BDP(TICKER,"DEEP_MEASURE_PERIOD_BROKER_VALUE","DEEP_MEASURE_ID_OVERRIDE",$C116,"DEEP_BROKER_ID_OVERRIDE",V$24,"DEEP_PERIOD_OVERRIDE",$H$19)*1,"")))</f>
        <v/>
      </c>
      <c r="W116" t="str">
        <f>IF(OR(W$23="",ISNA($B116)),"",IF(ISBLANK($B116),"",IFERROR(_xll.BDP(TICKER,"DEEP_MEASURE_PERIOD_BROKER_VALUE","DEEP_MEASURE_ID_OVERRIDE",$C116,"DEEP_BROKER_ID_OVERRIDE",W$24,"DEEP_PERIOD_OVERRIDE",$H$19)*1,"")))</f>
        <v/>
      </c>
      <c r="X116" t="str">
        <f>IF(OR(X$23="",ISNA($B116)),"",IF(ISBLANK($B116),"",IFERROR(_xll.BDP(TICKER,"DEEP_MEASURE_PERIOD_BROKER_VALUE","DEEP_MEASURE_ID_OVERRIDE",$C116,"DEEP_BROKER_ID_OVERRIDE",X$24,"DEEP_PERIOD_OVERRIDE",$H$19)*1,"")))</f>
        <v/>
      </c>
      <c r="Y116" t="str">
        <f>IF(OR(Y$23="",ISNA($B116)),"",IF(ISBLANK($B116),"",IFERROR(_xll.BDP(TICKER,"DEEP_MEASURE_PERIOD_BROKER_VALUE","DEEP_MEASURE_ID_OVERRIDE",$C116,"DEEP_BROKER_ID_OVERRIDE",Y$24,"DEEP_PERIOD_OVERRIDE",$H$19)*1,"")))</f>
        <v/>
      </c>
      <c r="Z116" t="str">
        <f>IF(OR(Z$23="",ISNA($B116)),"",IF(ISBLANK($B116),"",IFERROR(_xll.BDP(TICKER,"DEEP_MEASURE_PERIOD_BROKER_VALUE","DEEP_MEASURE_ID_OVERRIDE",$C116,"DEEP_BROKER_ID_OVERRIDE",Z$24,"DEEP_PERIOD_OVERRIDE",$H$19)*1,"")))</f>
        <v/>
      </c>
      <c r="AA116" t="str">
        <f>IF(OR(AA$23="",ISNA($B116)),"",IF(ISBLANK($B116),"",IFERROR(_xll.BDP(TICKER,"DEEP_MEASURE_PERIOD_BROKER_VALUE","DEEP_MEASURE_ID_OVERRIDE",$C116,"DEEP_BROKER_ID_OVERRIDE",AA$24,"DEEP_PERIOD_OVERRIDE",$H$19)*1,"")))</f>
        <v/>
      </c>
      <c r="AB116" t="str">
        <f>IF(OR(AB$23="",ISNA($B116)),"",IF(ISBLANK($B116),"",IFERROR(_xll.BDP(TICKER,"DEEP_MEASURE_PERIOD_BROKER_VALUE","DEEP_MEASURE_ID_OVERRIDE",$C116,"DEEP_BROKER_ID_OVERRIDE",AB$24,"DEEP_PERIOD_OVERRIDE",$H$19)*1,"")))</f>
        <v/>
      </c>
      <c r="AC116" t="str">
        <f>IF(OR(AC$23="",ISNA($B116)),"",IF(ISBLANK($B116),"",IFERROR(_xll.BDP(TICKER,"DEEP_MEASURE_PERIOD_BROKER_VALUE","DEEP_MEASURE_ID_OVERRIDE",$C116,"DEEP_BROKER_ID_OVERRIDE",AC$24,"DEEP_PERIOD_OVERRIDE",$H$19)*1,"")))</f>
        <v/>
      </c>
      <c r="AD116" t="str">
        <f>IF(OR(AD$23="",ISNA($B116)),"",IF(ISBLANK($B116),"",IFERROR(_xll.BDP(TICKER,"DEEP_MEASURE_PERIOD_BROKER_VALUE","DEEP_MEASURE_ID_OVERRIDE",$C116,"DEEP_BROKER_ID_OVERRIDE",AD$24,"DEEP_PERIOD_OVERRIDE",$H$19)*1,"")))</f>
        <v/>
      </c>
      <c r="AE116" t="str">
        <f>IF(OR(AE$23="",ISNA($B116)),"",IF(ISBLANK($B116),"",IFERROR(_xll.BDP(TICKER,"DEEP_MEASURE_PERIOD_BROKER_VALUE","DEEP_MEASURE_ID_OVERRIDE",$C116,"DEEP_BROKER_ID_OVERRIDE",AE$24,"DEEP_PERIOD_OVERRIDE",$H$19)*1,"")))</f>
        <v/>
      </c>
      <c r="AF116" t="str">
        <f>IF(OR(AF$23="",ISNA($B116)),"",IF(ISBLANK($B116),"",IFERROR(_xll.BDP(TICKER,"DEEP_MEASURE_PERIOD_BROKER_VALUE","DEEP_MEASURE_ID_OVERRIDE",$C116,"DEEP_BROKER_ID_OVERRIDE",AF$24,"DEEP_PERIOD_OVERRIDE",$H$19)*1,"")))</f>
        <v/>
      </c>
      <c r="AG116" t="str">
        <f>IF(OR(AG$23="",ISNA($B116)),"",IF(ISBLANK($B116),"",IFERROR(_xll.BDP(TICKER,"DEEP_MEASURE_PERIOD_BROKER_VALUE","DEEP_MEASURE_ID_OVERRIDE",$C116,"DEEP_BROKER_ID_OVERRIDE",AG$24,"DEEP_PERIOD_OVERRIDE",$H$19)*1,"")))</f>
        <v/>
      </c>
      <c r="AH116" t="str">
        <f>IF(OR(AH$23="",ISNA($B116)),"",IF(ISBLANK($B116),"",IFERROR(_xll.BDP(TICKER,"DEEP_MEASURE_PERIOD_BROKER_VALUE","DEEP_MEASURE_ID_OVERRIDE",$C116,"DEEP_BROKER_ID_OVERRIDE",AH$24,"DEEP_PERIOD_OVERRIDE",$H$19)*1,"")))</f>
        <v/>
      </c>
      <c r="AI116" t="str">
        <f>IF(OR(AI$23="",ISNA($B116)),"",IF(ISBLANK($B116),"",IFERROR(_xll.BDP(TICKER,"DEEP_MEASURE_PERIOD_BROKER_VALUE","DEEP_MEASURE_ID_OVERRIDE",$C116,"DEEP_BROKER_ID_OVERRIDE",AI$24,"DEEP_PERIOD_OVERRIDE",$H$19)*1,"")))</f>
        <v/>
      </c>
      <c r="AJ116" t="str">
        <f>IF(OR(AJ$23="",ISNA($B116)),"",IF(ISBLANK($B116),"",IFERROR(_xll.BDP(TICKER,"DEEP_MEASURE_PERIOD_BROKER_VALUE","DEEP_MEASURE_ID_OVERRIDE",$C116,"DEEP_BROKER_ID_OVERRIDE",AJ$24,"DEEP_PERIOD_OVERRIDE",$H$19)*1,"")))</f>
        <v/>
      </c>
      <c r="AK116" t="str">
        <f>IF(OR(AK$23="",ISNA($B116)),"",IF(ISBLANK($B116),"",IFERROR(_xll.BDP(TICKER,"DEEP_MEASURE_PERIOD_BROKER_VALUE","DEEP_MEASURE_ID_OVERRIDE",$C116,"DEEP_BROKER_ID_OVERRIDE",AK$24,"DEEP_PERIOD_OVERRIDE",$H$19)*1,"")))</f>
        <v/>
      </c>
      <c r="AL116" t="str">
        <f>IF(OR(AL$23="",ISNA($B116)),"",IF(ISBLANK($B116),"",IFERROR(_xll.BDP(TICKER,"DEEP_MEASURE_PERIOD_BROKER_VALUE","DEEP_MEASURE_ID_OVERRIDE",$C116,"DEEP_BROKER_ID_OVERRIDE",AL$24,"DEEP_PERIOD_OVERRIDE",$H$19)*1,"")))</f>
        <v/>
      </c>
      <c r="AM116" t="str">
        <f>IF(OR(AM$23="",ISNA($B116)),"",IF(ISBLANK($B116),"",IFERROR(_xll.BDP(TICKER,"DEEP_MEASURE_PERIOD_BROKER_VALUE","DEEP_MEASURE_ID_OVERRIDE",$C116,"DEEP_BROKER_ID_OVERRIDE",AM$24,"DEEP_PERIOD_OVERRIDE",$H$19)*1,"")))</f>
        <v/>
      </c>
      <c r="AN116" t="str">
        <f>IF(OR(AN$23="",ISNA($B116)),"",IF(ISBLANK($B116),"",IFERROR(_xll.BDP(TICKER,"DEEP_MEASURE_PERIOD_BROKER_VALUE","DEEP_MEASURE_ID_OVERRIDE",$C116,"DEEP_BROKER_ID_OVERRIDE",AN$24,"DEEP_PERIOD_OVERRIDE",$H$19)*1,"")))</f>
        <v/>
      </c>
      <c r="AO116" t="str">
        <f>IF(OR(AO$23="",ISNA($B116)),"",IF(ISBLANK($B116),"",IFERROR(_xll.BDP(TICKER,"DEEP_MEASURE_PERIOD_BROKER_VALUE","DEEP_MEASURE_ID_OVERRIDE",$C116,"DEEP_BROKER_ID_OVERRIDE",AO$24,"DEEP_PERIOD_OVERRIDE",$H$19)*1,"")))</f>
        <v/>
      </c>
      <c r="AP116" t="str">
        <f>IF(OR(AP$23="",ISNA($B116)),"",IF(ISBLANK($B116),"",IFERROR(_xll.BDP(TICKER,"DEEP_MEASURE_PERIOD_BROKER_VALUE","DEEP_MEASURE_ID_OVERRIDE",$C116,"DEEP_BROKER_ID_OVERRIDE",AP$24,"DEEP_PERIOD_OVERRIDE",$H$19)*1,"")))</f>
        <v/>
      </c>
      <c r="AQ116" t="str">
        <f>IF(OR(AQ$23="",ISNA($B116)),"",IF(ISBLANK($B116),"",IFERROR(_xll.BDP(TICKER,"DEEP_MEASURE_PERIOD_BROKER_VALUE","DEEP_MEASURE_ID_OVERRIDE",$C116,"DEEP_BROKER_ID_OVERRIDE",AQ$24,"DEEP_PERIOD_OVERRIDE",$H$19)*1,"")))</f>
        <v/>
      </c>
      <c r="AR116" t="str">
        <f>IF(OR(AR$23="",ISNA($B116)),"",IF(ISBLANK($B116),"",IFERROR(_xll.BDP(TICKER,"DEEP_MEASURE_PERIOD_BROKER_VALUE","DEEP_MEASURE_ID_OVERRIDE",$C116,"DEEP_BROKER_ID_OVERRIDE",AR$24,"DEEP_PERIOD_OVERRIDE",$H$19)*1,"")))</f>
        <v/>
      </c>
      <c r="AS116" t="str">
        <f>IF(OR(AS$23="",ISNA($B116)),"",IF(ISBLANK($B116),"",IFERROR(_xll.BDP(TICKER,"DEEP_MEASURE_PERIOD_BROKER_VALUE","DEEP_MEASURE_ID_OVERRIDE",$C116,"DEEP_BROKER_ID_OVERRIDE",AS$24,"DEEP_PERIOD_OVERRIDE",$H$19)*1,"")))</f>
        <v/>
      </c>
      <c r="AT116" t="str">
        <f>IF(OR(AT$23="",ISNA($B116)),"",IF(ISBLANK($B116),"",IFERROR(_xll.BDP(TICKER,"DEEP_MEASURE_PERIOD_BROKER_VALUE","DEEP_MEASURE_ID_OVERRIDE",$C116,"DEEP_BROKER_ID_OVERRIDE",AT$24,"DEEP_PERIOD_OVERRIDE",$H$19)*1,"")))</f>
        <v/>
      </c>
      <c r="AU116" t="str">
        <f>IF(OR(AU$23="",ISNA($B116)),"",IF(ISBLANK($B116),"",IFERROR(_xll.BDP(TICKER,"DEEP_MEASURE_PERIOD_BROKER_VALUE","DEEP_MEASURE_ID_OVERRIDE",$C116,"DEEP_BROKER_ID_OVERRIDE",AU$24,"DEEP_PERIOD_OVERRIDE",$H$19)*1,"")))</f>
        <v/>
      </c>
      <c r="AV116" t="str">
        <f>IF(OR(AV$23="",ISNA($B116)),"",IF(ISBLANK($B116),"",IFERROR(_xll.BDP(TICKER,"DEEP_MEASURE_PERIOD_BROKER_VALUE","DEEP_MEASURE_ID_OVERRIDE",$C116,"DEEP_BROKER_ID_OVERRIDE",AV$24,"DEEP_PERIOD_OVERRIDE",$H$19)*1,"")))</f>
        <v/>
      </c>
      <c r="AW116" t="str">
        <f>IF(OR(AW$23="",ISNA($B116)),"",IF(ISBLANK($B116),"",IFERROR(_xll.BDP(TICKER,"DEEP_MEASURE_PERIOD_BROKER_VALUE","DEEP_MEASURE_ID_OVERRIDE",$C116,"DEEP_BROKER_ID_OVERRIDE",AW$24,"DEEP_PERIOD_OVERRIDE",$H$19)*1,"")))</f>
        <v/>
      </c>
      <c r="AX116" t="str">
        <f>IF(OR(AX$23="",ISNA($B116)),"",IF(ISBLANK($B116),"",IFERROR(_xll.BDP(TICKER,"DEEP_MEASURE_PERIOD_BROKER_VALUE","DEEP_MEASURE_ID_OVERRIDE",$C116,"DEEP_BROKER_ID_OVERRIDE",AX$24,"DEEP_PERIOD_OVERRIDE",$H$19)*1,"")))</f>
        <v/>
      </c>
      <c r="AY116" t="str">
        <f>IF(OR(AY$23="",ISNA($B116)),"",IF(ISBLANK($B116),"",IFERROR(_xll.BDP(TICKER,"DEEP_MEASURE_PERIOD_BROKER_VALUE","DEEP_MEASURE_ID_OVERRIDE",$C116,"DEEP_BROKER_ID_OVERRIDE",AY$24,"DEEP_PERIOD_OVERRIDE",$H$19)*1,"")))</f>
        <v/>
      </c>
      <c r="AZ116" t="str">
        <f>IF(OR(AZ$23="",ISNA($B116)),"",IF(ISBLANK($B116),"",IFERROR(_xll.BDP(TICKER,"DEEP_MEASURE_PERIOD_BROKER_VALUE","DEEP_MEASURE_ID_OVERRIDE",$C116,"DEEP_BROKER_ID_OVERRIDE",AZ$24,"DEEP_PERIOD_OVERRIDE",$H$19)*1,"")))</f>
        <v/>
      </c>
      <c r="BA116" t="str">
        <f>IF(OR(BA$23="",ISNA($B116)),"",IF(ISBLANK($B116),"",IFERROR(_xll.BDP(TICKER,"DEEP_MEASURE_PERIOD_BROKER_VALUE","DEEP_MEASURE_ID_OVERRIDE",$C116,"DEEP_BROKER_ID_OVERRIDE",BA$24,"DEEP_PERIOD_OVERRIDE",$H$19)*1,"")))</f>
        <v/>
      </c>
      <c r="BB116" t="str">
        <f>IF(OR(BB$23="",ISNA($B116)),"",IF(ISBLANK($B116),"",IFERROR(_xll.BDP(TICKER,"DEEP_MEASURE_PERIOD_BROKER_VALUE","DEEP_MEASURE_ID_OVERRIDE",$C116,"DEEP_BROKER_ID_OVERRIDE",BB$24,"DEEP_PERIOD_OVERRIDE",$H$19)*1,"")))</f>
        <v/>
      </c>
      <c r="BC116" t="str">
        <f>IF(OR(BC$23="",ISNA($B116)),"",IF(ISBLANK($B116),"",IFERROR(_xll.BDP(TICKER,"DEEP_MEASURE_PERIOD_BROKER_VALUE","DEEP_MEASURE_ID_OVERRIDE",$C116,"DEEP_BROKER_ID_OVERRIDE",BC$24,"DEEP_PERIOD_OVERRIDE",$H$19)*1,"")))</f>
        <v/>
      </c>
      <c r="BD116" t="str">
        <f>IF(OR(BD$23="",ISNA($B116)),"",IF(ISBLANK($B116),"",IFERROR(_xll.BDP(TICKER,"DEEP_MEASURE_PERIOD_BROKER_VALUE","DEEP_MEASURE_ID_OVERRIDE",$C116,"DEEP_BROKER_ID_OVERRIDE",BD$24,"DEEP_PERIOD_OVERRIDE",$H$19)*1,"")))</f>
        <v/>
      </c>
      <c r="BE116" t="str">
        <f>IF(OR(BE$23="",ISNA($B116)),"",IF(ISBLANK($B116),"",IFERROR(_xll.BDP(TICKER,"DEEP_MEASURE_PERIOD_BROKER_VALUE","DEEP_MEASURE_ID_OVERRIDE",$C116,"DEEP_BROKER_ID_OVERRIDE",BE$24,"DEEP_PERIOD_OVERRIDE",$H$19)*1,"")))</f>
        <v/>
      </c>
      <c r="BF116" t="str">
        <f>IF(OR(BF$23="",ISNA($B116)),"",IF(ISBLANK($B116),"",IFERROR(_xll.BDP(TICKER,"DEEP_MEASURE_PERIOD_BROKER_VALUE","DEEP_MEASURE_ID_OVERRIDE",$C116,"DEEP_BROKER_ID_OVERRIDE",BF$24,"DEEP_PERIOD_OVERRIDE",$H$19)*1,"")))</f>
        <v/>
      </c>
      <c r="BG116" t="str">
        <f>IF(OR(BG$23="",ISNA($B116)),"",IF(ISBLANK($B116),"",IFERROR(_xll.BDP(TICKER,"DEEP_MEASURE_PERIOD_BROKER_VALUE","DEEP_MEASURE_ID_OVERRIDE",$C116,"DEEP_BROKER_ID_OVERRIDE",BG$24,"DEEP_PERIOD_OVERRIDE",$H$19)*1,"")))</f>
        <v/>
      </c>
      <c r="BH116" t="str">
        <f>IF(OR(BH$23="",ISNA($B116)),"",IF(ISBLANK($B116),"",IFERROR(_xll.BDP(TICKER,"DEEP_MEASURE_PERIOD_BROKER_VALUE","DEEP_MEASURE_ID_OVERRIDE",$C116,"DEEP_BROKER_ID_OVERRIDE",BH$24,"DEEP_PERIOD_OVERRIDE",$H$19)*1,"")))</f>
        <v/>
      </c>
      <c r="BI116" t="str">
        <f>IF(OR(BI$23="",ISNA($B116)),"",IF(ISBLANK($B116),"",IFERROR(_xll.BDP(TICKER,"DEEP_MEASURE_PERIOD_BROKER_VALUE","DEEP_MEASURE_ID_OVERRIDE",$C116,"DEEP_BROKER_ID_OVERRIDE",BI$24,"DEEP_PERIOD_OVERRIDE",$H$19)*1,"")))</f>
        <v/>
      </c>
      <c r="BJ116" t="str">
        <f>IF(OR(BJ$23="",ISNA($B116)),"",IF(ISBLANK($B116),"",IFERROR(_xll.BDP(TICKER,"DEEP_MEASURE_PERIOD_BROKER_VALUE","DEEP_MEASURE_ID_OVERRIDE",$C116,"DEEP_BROKER_ID_OVERRIDE",BJ$24,"DEEP_PERIOD_OVERRIDE",$H$19)*1,"")))</f>
        <v/>
      </c>
      <c r="BK116" t="str">
        <f>IF(OR(BK$23="",ISNA($B116)),"",IF(ISBLANK($B116),"",IFERROR(_xll.BDP(TICKER,"DEEP_MEASURE_PERIOD_BROKER_VALUE","DEEP_MEASURE_ID_OVERRIDE",$C116,"DEEP_BROKER_ID_OVERRIDE",BK$24,"DEEP_PERIOD_OVERRIDE",$H$19)*1,"")))</f>
        <v/>
      </c>
      <c r="BL116" t="str">
        <f>IF(OR(BL$23="",ISNA($B116)),"",IF(ISBLANK($B116),"",IFERROR(_xll.BDP(TICKER,"DEEP_MEASURE_PERIOD_BROKER_VALUE","DEEP_MEASURE_ID_OVERRIDE",$C116,"DEEP_BROKER_ID_OVERRIDE",BL$24,"DEEP_PERIOD_OVERRIDE",$H$19)*1,"")))</f>
        <v/>
      </c>
      <c r="BM116" t="str">
        <f>IF(OR(BM$23="",ISNA($B116)),"",IF(ISBLANK($B116),"",IFERROR(_xll.BDP(TICKER,"DEEP_MEASURE_PERIOD_BROKER_VALUE","DEEP_MEASURE_ID_OVERRIDE",$C116,"DEEP_BROKER_ID_OVERRIDE",BM$24,"DEEP_PERIOD_OVERRIDE",$H$19)*1,"")))</f>
        <v/>
      </c>
      <c r="BN116" t="str">
        <f>IF(OR(BN$23="",ISNA($B116)),"",IF(ISBLANK($B116),"",IFERROR(_xll.BDP(TICKER,"DEEP_MEASURE_PERIOD_BROKER_VALUE","DEEP_MEASURE_ID_OVERRIDE",$C116,"DEEP_BROKER_ID_OVERRIDE",BN$24,"DEEP_PERIOD_OVERRIDE",$H$19)*1,"")))</f>
        <v/>
      </c>
      <c r="BO116" t="str">
        <f>IF(OR(BO$23="",ISNA($B116)),"",IF(ISBLANK($B116),"",IFERROR(_xll.BDP(TICKER,"DEEP_MEASURE_PERIOD_BROKER_VALUE","DEEP_MEASURE_ID_OVERRIDE",$C116,"DEEP_BROKER_ID_OVERRIDE",BO$24,"DEEP_PERIOD_OVERRIDE",$H$19)*1,"")))</f>
        <v/>
      </c>
      <c r="BP116" t="str">
        <f>IF(OR(BP$23="",ISNA($B116)),"",IF(ISBLANK($B116),"",IFERROR(_xll.BDP(TICKER,"DEEP_MEASURE_PERIOD_BROKER_VALUE","DEEP_MEASURE_ID_OVERRIDE",$C116,"DEEP_BROKER_ID_OVERRIDE",BP$24,"DEEP_PERIOD_OVERRIDE",$H$19)*1,"")))</f>
        <v/>
      </c>
      <c r="BQ116" t="str">
        <f>IF(OR(BQ$23="",ISNA($B116)),"",IF(ISBLANK($B116),"",IFERROR(_xll.BDP(TICKER,"DEEP_MEASURE_PERIOD_BROKER_VALUE","DEEP_MEASURE_ID_OVERRIDE",$C116,"DEEP_BROKER_ID_OVERRIDE",BQ$24,"DEEP_PERIOD_OVERRIDE",$H$19)*1,"")))</f>
        <v/>
      </c>
      <c r="BR116" t="str">
        <f>IF(OR(BR$23="",ISNA($B116)),"",IF(ISBLANK($B116),"",IFERROR(_xll.BDP(TICKER,"DEEP_MEASURE_PERIOD_BROKER_VALUE","DEEP_MEASURE_ID_OVERRIDE",$C116,"DEEP_BROKER_ID_OVERRIDE",BR$24,"DEEP_PERIOD_OVERRIDE",$H$19)*1,"")))</f>
        <v/>
      </c>
      <c r="BS116" t="str">
        <f>IF(OR(BS$23="",ISNA($B116)),"",IF(ISBLANK($B116),"",IFERROR(_xll.BDP(TICKER,"DEEP_MEASURE_PERIOD_BROKER_VALUE","DEEP_MEASURE_ID_OVERRIDE",$C116,"DEEP_BROKER_ID_OVERRIDE",BS$24,"DEEP_PERIOD_OVERRIDE",$H$19)*1,"")))</f>
        <v/>
      </c>
      <c r="BT116" t="str">
        <f>IF(OR(BT$23="",ISNA($B116)),"",IF(ISBLANK($B116),"",IFERROR(_xll.BDP(TICKER,"DEEP_MEASURE_PERIOD_BROKER_VALUE","DEEP_MEASURE_ID_OVERRIDE",$C116,"DEEP_BROKER_ID_OVERRIDE",BT$24,"DEEP_PERIOD_OVERRIDE",$H$19)*1,"")))</f>
        <v/>
      </c>
      <c r="BU116" t="str">
        <f>IF(OR(BU$23="",ISNA($B116)),"",IF(ISBLANK($B116),"",IFERROR(_xll.BDP(TICKER,"DEEP_MEASURE_PERIOD_BROKER_VALUE","DEEP_MEASURE_ID_OVERRIDE",$C116,"DEEP_BROKER_ID_OVERRIDE",BU$24,"DEEP_PERIOD_OVERRIDE",$H$19)*1,"")))</f>
        <v/>
      </c>
      <c r="BV116" t="str">
        <f>IF(OR(BV$23="",ISNA($B116)),"",IF(ISBLANK($B116),"",IFERROR(_xll.BDP(TICKER,"DEEP_MEASURE_PERIOD_BROKER_VALUE","DEEP_MEASURE_ID_OVERRIDE",$C116,"DEEP_BROKER_ID_OVERRIDE",BV$24,"DEEP_PERIOD_OVERRIDE",$H$19)*1,"")))</f>
        <v/>
      </c>
      <c r="BW116" t="str">
        <f>IF(OR(BW$23="",ISNA($B116)),"",IF(ISBLANK($B116),"",IFERROR(_xll.BDP(TICKER,"DEEP_MEASURE_PERIOD_BROKER_VALUE","DEEP_MEASURE_ID_OVERRIDE",$C116,"DEEP_BROKER_ID_OVERRIDE",BW$24,"DEEP_PERIOD_OVERRIDE",$H$19)*1,"")))</f>
        <v/>
      </c>
      <c r="BX116" t="str">
        <f>IF(OR(BX$23="",ISNA($B116)),"",IF(ISBLANK($B116),"",IFERROR(_xll.BDP(TICKER,"DEEP_MEASURE_PERIOD_BROKER_VALUE","DEEP_MEASURE_ID_OVERRIDE",$C116,"DEEP_BROKER_ID_OVERRIDE",BX$24,"DEEP_PERIOD_OVERRIDE",$H$19)*1,"")))</f>
        <v/>
      </c>
      <c r="BY116" t="str">
        <f>IF(OR(BY$23="",ISNA($B116)),"",IF(ISBLANK($B116),"",IFERROR(_xll.BDP(TICKER,"DEEP_MEASURE_PERIOD_BROKER_VALUE","DEEP_MEASURE_ID_OVERRIDE",$C116,"DEEP_BROKER_ID_OVERRIDE",BY$24,"DEEP_PERIOD_OVERRIDE",$H$19)*1,"")))</f>
        <v/>
      </c>
      <c r="BZ116" t="str">
        <f>IF(OR(BZ$23="",ISNA($B116)),"",IF(ISBLANK($B116),"",IFERROR(_xll.BDP(TICKER,"DEEP_MEASURE_PERIOD_BROKER_VALUE","DEEP_MEASURE_ID_OVERRIDE",$C116,"DEEP_BROKER_ID_OVERRIDE",BZ$24,"DEEP_PERIOD_OVERRIDE",$H$19)*1,"")))</f>
        <v/>
      </c>
    </row>
    <row r="117" spans="2:78" x14ac:dyDescent="0.25">
      <c r="B117" t="s">
        <v>157</v>
      </c>
      <c r="C117">
        <v>384</v>
      </c>
      <c r="H117" t="str">
        <f t="shared" si="2"/>
        <v>Research &amp; Development Expense &gt; Research &amp; Development Expense (ex-SBC) &gt; As % of Revenue</v>
      </c>
      <c r="I117" t="str">
        <f>IF(OR(I$23="",ISNA($B117)),"",IF(ISBLANK($B117),"",IFERROR(_xll.BDP(TICKER,"DEEP_MEASURE_PERIOD_BROKER_VALUE","DEEP_MEASURE_ID_OVERRIDE",$C117,"DEEP_PERIOD_OVERRIDE",$H$19)*1,"")))</f>
        <v/>
      </c>
      <c r="J117" t="e">
        <f>IF(OR(J$23="",ISNA($B117)),"",IF(ISBLANK($B117),"",IFERROR(_xll.BDP(TICKER,"DEEP_MEASURE_PERIOD_BROKER_VALUE","DEEP_MEASURE_ID_OVERRIDE",$C117,"DEEP_BROKER_ID_OVERRIDE",J$24,"DEEP_PERIOD_OVERRIDE",$H$19)*1,"")))</f>
        <v>#REF!</v>
      </c>
      <c r="K117" t="str">
        <f>IF(OR(K$23="",ISNA($B117)),"",IF(ISBLANK($B117),"",IFERROR(_xll.BDP(TICKER,"DEEP_MEASURE_PERIOD_BROKER_VALUE","DEEP_MEASURE_ID_OVERRIDE",$C117,"DEEP_BROKER_ID_OVERRIDE",K$24,"DEEP_PERIOD_OVERRIDE",$H$19)*1,"")))</f>
        <v/>
      </c>
      <c r="L117" t="str">
        <f>IF(OR(L$23="",ISNA($B117)),"",IF(ISBLANK($B117),"",IFERROR(_xll.BDP(TICKER,"DEEP_MEASURE_PERIOD_BROKER_VALUE","DEEP_MEASURE_ID_OVERRIDE",$C117,"DEEP_BROKER_ID_OVERRIDE",L$24,"DEEP_PERIOD_OVERRIDE",$H$19)*1,"")))</f>
        <v/>
      </c>
      <c r="M117" t="str">
        <f>IF(OR(M$23="",ISNA($B117)),"",IF(ISBLANK($B117),"",IFERROR(_xll.BDP(TICKER,"DEEP_MEASURE_PERIOD_BROKER_VALUE","DEEP_MEASURE_ID_OVERRIDE",$C117,"DEEP_BROKER_ID_OVERRIDE",M$24,"DEEP_PERIOD_OVERRIDE",$H$19)*1,"")))</f>
        <v/>
      </c>
      <c r="N117" t="str">
        <f>IF(OR(N$23="",ISNA($B117)),"",IF(ISBLANK($B117),"",IFERROR(_xll.BDP(TICKER,"DEEP_MEASURE_PERIOD_BROKER_VALUE","DEEP_MEASURE_ID_OVERRIDE",$C117,"DEEP_BROKER_ID_OVERRIDE",N$24,"DEEP_PERIOD_OVERRIDE",$H$19)*1,"")))</f>
        <v/>
      </c>
      <c r="O117" t="str">
        <f>IF(OR(O$23="",ISNA($B117)),"",IF(ISBLANK($B117),"",IFERROR(_xll.BDP(TICKER,"DEEP_MEASURE_PERIOD_BROKER_VALUE","DEEP_MEASURE_ID_OVERRIDE",$C117,"DEEP_BROKER_ID_OVERRIDE",O$24,"DEEP_PERIOD_OVERRIDE",$H$19)*1,"")))</f>
        <v/>
      </c>
      <c r="P117" t="str">
        <f>IF(OR(P$23="",ISNA($B117)),"",IF(ISBLANK($B117),"",IFERROR(_xll.BDP(TICKER,"DEEP_MEASURE_PERIOD_BROKER_VALUE","DEEP_MEASURE_ID_OVERRIDE",$C117,"DEEP_BROKER_ID_OVERRIDE",P$24,"DEEP_PERIOD_OVERRIDE",$H$19)*1,"")))</f>
        <v/>
      </c>
      <c r="Q117" t="str">
        <f>IF(OR(Q$23="",ISNA($B117)),"",IF(ISBLANK($B117),"",IFERROR(_xll.BDP(TICKER,"DEEP_MEASURE_PERIOD_BROKER_VALUE","DEEP_MEASURE_ID_OVERRIDE",$C117,"DEEP_BROKER_ID_OVERRIDE",Q$24,"DEEP_PERIOD_OVERRIDE",$H$19)*1,"")))</f>
        <v/>
      </c>
      <c r="R117" t="str">
        <f>IF(OR(R$23="",ISNA($B117)),"",IF(ISBLANK($B117),"",IFERROR(_xll.BDP(TICKER,"DEEP_MEASURE_PERIOD_BROKER_VALUE","DEEP_MEASURE_ID_OVERRIDE",$C117,"DEEP_BROKER_ID_OVERRIDE",R$24,"DEEP_PERIOD_OVERRIDE",$H$19)*1,"")))</f>
        <v/>
      </c>
      <c r="S117" t="str">
        <f>IF(OR(S$23="",ISNA($B117)),"",IF(ISBLANK($B117),"",IFERROR(_xll.BDP(TICKER,"DEEP_MEASURE_PERIOD_BROKER_VALUE","DEEP_MEASURE_ID_OVERRIDE",$C117,"DEEP_BROKER_ID_OVERRIDE",S$24,"DEEP_PERIOD_OVERRIDE",$H$19)*1,"")))</f>
        <v/>
      </c>
      <c r="T117" t="str">
        <f>IF(OR(T$23="",ISNA($B117)),"",IF(ISBLANK($B117),"",IFERROR(_xll.BDP(TICKER,"DEEP_MEASURE_PERIOD_BROKER_VALUE","DEEP_MEASURE_ID_OVERRIDE",$C117,"DEEP_BROKER_ID_OVERRIDE",T$24,"DEEP_PERIOD_OVERRIDE",$H$19)*1,"")))</f>
        <v/>
      </c>
      <c r="U117" t="str">
        <f>IF(OR(U$23="",ISNA($B117)),"",IF(ISBLANK($B117),"",IFERROR(_xll.BDP(TICKER,"DEEP_MEASURE_PERIOD_BROKER_VALUE","DEEP_MEASURE_ID_OVERRIDE",$C117,"DEEP_BROKER_ID_OVERRIDE",U$24,"DEEP_PERIOD_OVERRIDE",$H$19)*1,"")))</f>
        <v/>
      </c>
      <c r="V117" t="str">
        <f>IF(OR(V$23="",ISNA($B117)),"",IF(ISBLANK($B117),"",IFERROR(_xll.BDP(TICKER,"DEEP_MEASURE_PERIOD_BROKER_VALUE","DEEP_MEASURE_ID_OVERRIDE",$C117,"DEEP_BROKER_ID_OVERRIDE",V$24,"DEEP_PERIOD_OVERRIDE",$H$19)*1,"")))</f>
        <v/>
      </c>
      <c r="W117" t="str">
        <f>IF(OR(W$23="",ISNA($B117)),"",IF(ISBLANK($B117),"",IFERROR(_xll.BDP(TICKER,"DEEP_MEASURE_PERIOD_BROKER_VALUE","DEEP_MEASURE_ID_OVERRIDE",$C117,"DEEP_BROKER_ID_OVERRIDE",W$24,"DEEP_PERIOD_OVERRIDE",$H$19)*1,"")))</f>
        <v/>
      </c>
      <c r="X117" t="str">
        <f>IF(OR(X$23="",ISNA($B117)),"",IF(ISBLANK($B117),"",IFERROR(_xll.BDP(TICKER,"DEEP_MEASURE_PERIOD_BROKER_VALUE","DEEP_MEASURE_ID_OVERRIDE",$C117,"DEEP_BROKER_ID_OVERRIDE",X$24,"DEEP_PERIOD_OVERRIDE",$H$19)*1,"")))</f>
        <v/>
      </c>
      <c r="Y117" t="str">
        <f>IF(OR(Y$23="",ISNA($B117)),"",IF(ISBLANK($B117),"",IFERROR(_xll.BDP(TICKER,"DEEP_MEASURE_PERIOD_BROKER_VALUE","DEEP_MEASURE_ID_OVERRIDE",$C117,"DEEP_BROKER_ID_OVERRIDE",Y$24,"DEEP_PERIOD_OVERRIDE",$H$19)*1,"")))</f>
        <v/>
      </c>
      <c r="Z117" t="str">
        <f>IF(OR(Z$23="",ISNA($B117)),"",IF(ISBLANK($B117),"",IFERROR(_xll.BDP(TICKER,"DEEP_MEASURE_PERIOD_BROKER_VALUE","DEEP_MEASURE_ID_OVERRIDE",$C117,"DEEP_BROKER_ID_OVERRIDE",Z$24,"DEEP_PERIOD_OVERRIDE",$H$19)*1,"")))</f>
        <v/>
      </c>
      <c r="AA117" t="str">
        <f>IF(OR(AA$23="",ISNA($B117)),"",IF(ISBLANK($B117),"",IFERROR(_xll.BDP(TICKER,"DEEP_MEASURE_PERIOD_BROKER_VALUE","DEEP_MEASURE_ID_OVERRIDE",$C117,"DEEP_BROKER_ID_OVERRIDE",AA$24,"DEEP_PERIOD_OVERRIDE",$H$19)*1,"")))</f>
        <v/>
      </c>
      <c r="AB117" t="str">
        <f>IF(OR(AB$23="",ISNA($B117)),"",IF(ISBLANK($B117),"",IFERROR(_xll.BDP(TICKER,"DEEP_MEASURE_PERIOD_BROKER_VALUE","DEEP_MEASURE_ID_OVERRIDE",$C117,"DEEP_BROKER_ID_OVERRIDE",AB$24,"DEEP_PERIOD_OVERRIDE",$H$19)*1,"")))</f>
        <v/>
      </c>
      <c r="AC117" t="str">
        <f>IF(OR(AC$23="",ISNA($B117)),"",IF(ISBLANK($B117),"",IFERROR(_xll.BDP(TICKER,"DEEP_MEASURE_PERIOD_BROKER_VALUE","DEEP_MEASURE_ID_OVERRIDE",$C117,"DEEP_BROKER_ID_OVERRIDE",AC$24,"DEEP_PERIOD_OVERRIDE",$H$19)*1,"")))</f>
        <v/>
      </c>
      <c r="AD117" t="str">
        <f>IF(OR(AD$23="",ISNA($B117)),"",IF(ISBLANK($B117),"",IFERROR(_xll.BDP(TICKER,"DEEP_MEASURE_PERIOD_BROKER_VALUE","DEEP_MEASURE_ID_OVERRIDE",$C117,"DEEP_BROKER_ID_OVERRIDE",AD$24,"DEEP_PERIOD_OVERRIDE",$H$19)*1,"")))</f>
        <v/>
      </c>
      <c r="AE117" t="str">
        <f>IF(OR(AE$23="",ISNA($B117)),"",IF(ISBLANK($B117),"",IFERROR(_xll.BDP(TICKER,"DEEP_MEASURE_PERIOD_BROKER_VALUE","DEEP_MEASURE_ID_OVERRIDE",$C117,"DEEP_BROKER_ID_OVERRIDE",AE$24,"DEEP_PERIOD_OVERRIDE",$H$19)*1,"")))</f>
        <v/>
      </c>
      <c r="AF117" t="str">
        <f>IF(OR(AF$23="",ISNA($B117)),"",IF(ISBLANK($B117),"",IFERROR(_xll.BDP(TICKER,"DEEP_MEASURE_PERIOD_BROKER_VALUE","DEEP_MEASURE_ID_OVERRIDE",$C117,"DEEP_BROKER_ID_OVERRIDE",AF$24,"DEEP_PERIOD_OVERRIDE",$H$19)*1,"")))</f>
        <v/>
      </c>
      <c r="AG117" t="str">
        <f>IF(OR(AG$23="",ISNA($B117)),"",IF(ISBLANK($B117),"",IFERROR(_xll.BDP(TICKER,"DEEP_MEASURE_PERIOD_BROKER_VALUE","DEEP_MEASURE_ID_OVERRIDE",$C117,"DEEP_BROKER_ID_OVERRIDE",AG$24,"DEEP_PERIOD_OVERRIDE",$H$19)*1,"")))</f>
        <v/>
      </c>
      <c r="AH117" t="str">
        <f>IF(OR(AH$23="",ISNA($B117)),"",IF(ISBLANK($B117),"",IFERROR(_xll.BDP(TICKER,"DEEP_MEASURE_PERIOD_BROKER_VALUE","DEEP_MEASURE_ID_OVERRIDE",$C117,"DEEP_BROKER_ID_OVERRIDE",AH$24,"DEEP_PERIOD_OVERRIDE",$H$19)*1,"")))</f>
        <v/>
      </c>
      <c r="AI117" t="str">
        <f>IF(OR(AI$23="",ISNA($B117)),"",IF(ISBLANK($B117),"",IFERROR(_xll.BDP(TICKER,"DEEP_MEASURE_PERIOD_BROKER_VALUE","DEEP_MEASURE_ID_OVERRIDE",$C117,"DEEP_BROKER_ID_OVERRIDE",AI$24,"DEEP_PERIOD_OVERRIDE",$H$19)*1,"")))</f>
        <v/>
      </c>
      <c r="AJ117" t="str">
        <f>IF(OR(AJ$23="",ISNA($B117)),"",IF(ISBLANK($B117),"",IFERROR(_xll.BDP(TICKER,"DEEP_MEASURE_PERIOD_BROKER_VALUE","DEEP_MEASURE_ID_OVERRIDE",$C117,"DEEP_BROKER_ID_OVERRIDE",AJ$24,"DEEP_PERIOD_OVERRIDE",$H$19)*1,"")))</f>
        <v/>
      </c>
      <c r="AK117" t="str">
        <f>IF(OR(AK$23="",ISNA($B117)),"",IF(ISBLANK($B117),"",IFERROR(_xll.BDP(TICKER,"DEEP_MEASURE_PERIOD_BROKER_VALUE","DEEP_MEASURE_ID_OVERRIDE",$C117,"DEEP_BROKER_ID_OVERRIDE",AK$24,"DEEP_PERIOD_OVERRIDE",$H$19)*1,"")))</f>
        <v/>
      </c>
      <c r="AL117" t="str">
        <f>IF(OR(AL$23="",ISNA($B117)),"",IF(ISBLANK($B117),"",IFERROR(_xll.BDP(TICKER,"DEEP_MEASURE_PERIOD_BROKER_VALUE","DEEP_MEASURE_ID_OVERRIDE",$C117,"DEEP_BROKER_ID_OVERRIDE",AL$24,"DEEP_PERIOD_OVERRIDE",$H$19)*1,"")))</f>
        <v/>
      </c>
      <c r="AM117" t="str">
        <f>IF(OR(AM$23="",ISNA($B117)),"",IF(ISBLANK($B117),"",IFERROR(_xll.BDP(TICKER,"DEEP_MEASURE_PERIOD_BROKER_VALUE","DEEP_MEASURE_ID_OVERRIDE",$C117,"DEEP_BROKER_ID_OVERRIDE",AM$24,"DEEP_PERIOD_OVERRIDE",$H$19)*1,"")))</f>
        <v/>
      </c>
      <c r="AN117" t="str">
        <f>IF(OR(AN$23="",ISNA($B117)),"",IF(ISBLANK($B117),"",IFERROR(_xll.BDP(TICKER,"DEEP_MEASURE_PERIOD_BROKER_VALUE","DEEP_MEASURE_ID_OVERRIDE",$C117,"DEEP_BROKER_ID_OVERRIDE",AN$24,"DEEP_PERIOD_OVERRIDE",$H$19)*1,"")))</f>
        <v/>
      </c>
      <c r="AO117" t="str">
        <f>IF(OR(AO$23="",ISNA($B117)),"",IF(ISBLANK($B117),"",IFERROR(_xll.BDP(TICKER,"DEEP_MEASURE_PERIOD_BROKER_VALUE","DEEP_MEASURE_ID_OVERRIDE",$C117,"DEEP_BROKER_ID_OVERRIDE",AO$24,"DEEP_PERIOD_OVERRIDE",$H$19)*1,"")))</f>
        <v/>
      </c>
      <c r="AP117" t="str">
        <f>IF(OR(AP$23="",ISNA($B117)),"",IF(ISBLANK($B117),"",IFERROR(_xll.BDP(TICKER,"DEEP_MEASURE_PERIOD_BROKER_VALUE","DEEP_MEASURE_ID_OVERRIDE",$C117,"DEEP_BROKER_ID_OVERRIDE",AP$24,"DEEP_PERIOD_OVERRIDE",$H$19)*1,"")))</f>
        <v/>
      </c>
      <c r="AQ117" t="str">
        <f>IF(OR(AQ$23="",ISNA($B117)),"",IF(ISBLANK($B117),"",IFERROR(_xll.BDP(TICKER,"DEEP_MEASURE_PERIOD_BROKER_VALUE","DEEP_MEASURE_ID_OVERRIDE",$C117,"DEEP_BROKER_ID_OVERRIDE",AQ$24,"DEEP_PERIOD_OVERRIDE",$H$19)*1,"")))</f>
        <v/>
      </c>
      <c r="AR117" t="str">
        <f>IF(OR(AR$23="",ISNA($B117)),"",IF(ISBLANK($B117),"",IFERROR(_xll.BDP(TICKER,"DEEP_MEASURE_PERIOD_BROKER_VALUE","DEEP_MEASURE_ID_OVERRIDE",$C117,"DEEP_BROKER_ID_OVERRIDE",AR$24,"DEEP_PERIOD_OVERRIDE",$H$19)*1,"")))</f>
        <v/>
      </c>
      <c r="AS117" t="str">
        <f>IF(OR(AS$23="",ISNA($B117)),"",IF(ISBLANK($B117),"",IFERROR(_xll.BDP(TICKER,"DEEP_MEASURE_PERIOD_BROKER_VALUE","DEEP_MEASURE_ID_OVERRIDE",$C117,"DEEP_BROKER_ID_OVERRIDE",AS$24,"DEEP_PERIOD_OVERRIDE",$H$19)*1,"")))</f>
        <v/>
      </c>
      <c r="AT117" t="str">
        <f>IF(OR(AT$23="",ISNA($B117)),"",IF(ISBLANK($B117),"",IFERROR(_xll.BDP(TICKER,"DEEP_MEASURE_PERIOD_BROKER_VALUE","DEEP_MEASURE_ID_OVERRIDE",$C117,"DEEP_BROKER_ID_OVERRIDE",AT$24,"DEEP_PERIOD_OVERRIDE",$H$19)*1,"")))</f>
        <v/>
      </c>
      <c r="AU117" t="str">
        <f>IF(OR(AU$23="",ISNA($B117)),"",IF(ISBLANK($B117),"",IFERROR(_xll.BDP(TICKER,"DEEP_MEASURE_PERIOD_BROKER_VALUE","DEEP_MEASURE_ID_OVERRIDE",$C117,"DEEP_BROKER_ID_OVERRIDE",AU$24,"DEEP_PERIOD_OVERRIDE",$H$19)*1,"")))</f>
        <v/>
      </c>
      <c r="AV117" t="str">
        <f>IF(OR(AV$23="",ISNA($B117)),"",IF(ISBLANK($B117),"",IFERROR(_xll.BDP(TICKER,"DEEP_MEASURE_PERIOD_BROKER_VALUE","DEEP_MEASURE_ID_OVERRIDE",$C117,"DEEP_BROKER_ID_OVERRIDE",AV$24,"DEEP_PERIOD_OVERRIDE",$H$19)*1,"")))</f>
        <v/>
      </c>
      <c r="AW117" t="str">
        <f>IF(OR(AW$23="",ISNA($B117)),"",IF(ISBLANK($B117),"",IFERROR(_xll.BDP(TICKER,"DEEP_MEASURE_PERIOD_BROKER_VALUE","DEEP_MEASURE_ID_OVERRIDE",$C117,"DEEP_BROKER_ID_OVERRIDE",AW$24,"DEEP_PERIOD_OVERRIDE",$H$19)*1,"")))</f>
        <v/>
      </c>
      <c r="AX117" t="str">
        <f>IF(OR(AX$23="",ISNA($B117)),"",IF(ISBLANK($B117),"",IFERROR(_xll.BDP(TICKER,"DEEP_MEASURE_PERIOD_BROKER_VALUE","DEEP_MEASURE_ID_OVERRIDE",$C117,"DEEP_BROKER_ID_OVERRIDE",AX$24,"DEEP_PERIOD_OVERRIDE",$H$19)*1,"")))</f>
        <v/>
      </c>
      <c r="AY117" t="str">
        <f>IF(OR(AY$23="",ISNA($B117)),"",IF(ISBLANK($B117),"",IFERROR(_xll.BDP(TICKER,"DEEP_MEASURE_PERIOD_BROKER_VALUE","DEEP_MEASURE_ID_OVERRIDE",$C117,"DEEP_BROKER_ID_OVERRIDE",AY$24,"DEEP_PERIOD_OVERRIDE",$H$19)*1,"")))</f>
        <v/>
      </c>
      <c r="AZ117" t="str">
        <f>IF(OR(AZ$23="",ISNA($B117)),"",IF(ISBLANK($B117),"",IFERROR(_xll.BDP(TICKER,"DEEP_MEASURE_PERIOD_BROKER_VALUE","DEEP_MEASURE_ID_OVERRIDE",$C117,"DEEP_BROKER_ID_OVERRIDE",AZ$24,"DEEP_PERIOD_OVERRIDE",$H$19)*1,"")))</f>
        <v/>
      </c>
      <c r="BA117" t="str">
        <f>IF(OR(BA$23="",ISNA($B117)),"",IF(ISBLANK($B117),"",IFERROR(_xll.BDP(TICKER,"DEEP_MEASURE_PERIOD_BROKER_VALUE","DEEP_MEASURE_ID_OVERRIDE",$C117,"DEEP_BROKER_ID_OVERRIDE",BA$24,"DEEP_PERIOD_OVERRIDE",$H$19)*1,"")))</f>
        <v/>
      </c>
      <c r="BB117" t="str">
        <f>IF(OR(BB$23="",ISNA($B117)),"",IF(ISBLANK($B117),"",IFERROR(_xll.BDP(TICKER,"DEEP_MEASURE_PERIOD_BROKER_VALUE","DEEP_MEASURE_ID_OVERRIDE",$C117,"DEEP_BROKER_ID_OVERRIDE",BB$24,"DEEP_PERIOD_OVERRIDE",$H$19)*1,"")))</f>
        <v/>
      </c>
      <c r="BC117" t="str">
        <f>IF(OR(BC$23="",ISNA($B117)),"",IF(ISBLANK($B117),"",IFERROR(_xll.BDP(TICKER,"DEEP_MEASURE_PERIOD_BROKER_VALUE","DEEP_MEASURE_ID_OVERRIDE",$C117,"DEEP_BROKER_ID_OVERRIDE",BC$24,"DEEP_PERIOD_OVERRIDE",$H$19)*1,"")))</f>
        <v/>
      </c>
      <c r="BD117" t="str">
        <f>IF(OR(BD$23="",ISNA($B117)),"",IF(ISBLANK($B117),"",IFERROR(_xll.BDP(TICKER,"DEEP_MEASURE_PERIOD_BROKER_VALUE","DEEP_MEASURE_ID_OVERRIDE",$C117,"DEEP_BROKER_ID_OVERRIDE",BD$24,"DEEP_PERIOD_OVERRIDE",$H$19)*1,"")))</f>
        <v/>
      </c>
      <c r="BE117" t="str">
        <f>IF(OR(BE$23="",ISNA($B117)),"",IF(ISBLANK($B117),"",IFERROR(_xll.BDP(TICKER,"DEEP_MEASURE_PERIOD_BROKER_VALUE","DEEP_MEASURE_ID_OVERRIDE",$C117,"DEEP_BROKER_ID_OVERRIDE",BE$24,"DEEP_PERIOD_OVERRIDE",$H$19)*1,"")))</f>
        <v/>
      </c>
      <c r="BF117" t="str">
        <f>IF(OR(BF$23="",ISNA($B117)),"",IF(ISBLANK($B117),"",IFERROR(_xll.BDP(TICKER,"DEEP_MEASURE_PERIOD_BROKER_VALUE","DEEP_MEASURE_ID_OVERRIDE",$C117,"DEEP_BROKER_ID_OVERRIDE",BF$24,"DEEP_PERIOD_OVERRIDE",$H$19)*1,"")))</f>
        <v/>
      </c>
      <c r="BG117" t="str">
        <f>IF(OR(BG$23="",ISNA($B117)),"",IF(ISBLANK($B117),"",IFERROR(_xll.BDP(TICKER,"DEEP_MEASURE_PERIOD_BROKER_VALUE","DEEP_MEASURE_ID_OVERRIDE",$C117,"DEEP_BROKER_ID_OVERRIDE",BG$24,"DEEP_PERIOD_OVERRIDE",$H$19)*1,"")))</f>
        <v/>
      </c>
      <c r="BH117" t="str">
        <f>IF(OR(BH$23="",ISNA($B117)),"",IF(ISBLANK($B117),"",IFERROR(_xll.BDP(TICKER,"DEEP_MEASURE_PERIOD_BROKER_VALUE","DEEP_MEASURE_ID_OVERRIDE",$C117,"DEEP_BROKER_ID_OVERRIDE",BH$24,"DEEP_PERIOD_OVERRIDE",$H$19)*1,"")))</f>
        <v/>
      </c>
      <c r="BI117" t="str">
        <f>IF(OR(BI$23="",ISNA($B117)),"",IF(ISBLANK($B117),"",IFERROR(_xll.BDP(TICKER,"DEEP_MEASURE_PERIOD_BROKER_VALUE","DEEP_MEASURE_ID_OVERRIDE",$C117,"DEEP_BROKER_ID_OVERRIDE",BI$24,"DEEP_PERIOD_OVERRIDE",$H$19)*1,"")))</f>
        <v/>
      </c>
      <c r="BJ117" t="str">
        <f>IF(OR(BJ$23="",ISNA($B117)),"",IF(ISBLANK($B117),"",IFERROR(_xll.BDP(TICKER,"DEEP_MEASURE_PERIOD_BROKER_VALUE","DEEP_MEASURE_ID_OVERRIDE",$C117,"DEEP_BROKER_ID_OVERRIDE",BJ$24,"DEEP_PERIOD_OVERRIDE",$H$19)*1,"")))</f>
        <v/>
      </c>
      <c r="BK117" t="str">
        <f>IF(OR(BK$23="",ISNA($B117)),"",IF(ISBLANK($B117),"",IFERROR(_xll.BDP(TICKER,"DEEP_MEASURE_PERIOD_BROKER_VALUE","DEEP_MEASURE_ID_OVERRIDE",$C117,"DEEP_BROKER_ID_OVERRIDE",BK$24,"DEEP_PERIOD_OVERRIDE",$H$19)*1,"")))</f>
        <v/>
      </c>
      <c r="BL117" t="str">
        <f>IF(OR(BL$23="",ISNA($B117)),"",IF(ISBLANK($B117),"",IFERROR(_xll.BDP(TICKER,"DEEP_MEASURE_PERIOD_BROKER_VALUE","DEEP_MEASURE_ID_OVERRIDE",$C117,"DEEP_BROKER_ID_OVERRIDE",BL$24,"DEEP_PERIOD_OVERRIDE",$H$19)*1,"")))</f>
        <v/>
      </c>
      <c r="BM117" t="str">
        <f>IF(OR(BM$23="",ISNA($B117)),"",IF(ISBLANK($B117),"",IFERROR(_xll.BDP(TICKER,"DEEP_MEASURE_PERIOD_BROKER_VALUE","DEEP_MEASURE_ID_OVERRIDE",$C117,"DEEP_BROKER_ID_OVERRIDE",BM$24,"DEEP_PERIOD_OVERRIDE",$H$19)*1,"")))</f>
        <v/>
      </c>
      <c r="BN117" t="str">
        <f>IF(OR(BN$23="",ISNA($B117)),"",IF(ISBLANK($B117),"",IFERROR(_xll.BDP(TICKER,"DEEP_MEASURE_PERIOD_BROKER_VALUE","DEEP_MEASURE_ID_OVERRIDE",$C117,"DEEP_BROKER_ID_OVERRIDE",BN$24,"DEEP_PERIOD_OVERRIDE",$H$19)*1,"")))</f>
        <v/>
      </c>
      <c r="BO117" t="str">
        <f>IF(OR(BO$23="",ISNA($B117)),"",IF(ISBLANK($B117),"",IFERROR(_xll.BDP(TICKER,"DEEP_MEASURE_PERIOD_BROKER_VALUE","DEEP_MEASURE_ID_OVERRIDE",$C117,"DEEP_BROKER_ID_OVERRIDE",BO$24,"DEEP_PERIOD_OVERRIDE",$H$19)*1,"")))</f>
        <v/>
      </c>
      <c r="BP117" t="str">
        <f>IF(OR(BP$23="",ISNA($B117)),"",IF(ISBLANK($B117),"",IFERROR(_xll.BDP(TICKER,"DEEP_MEASURE_PERIOD_BROKER_VALUE","DEEP_MEASURE_ID_OVERRIDE",$C117,"DEEP_BROKER_ID_OVERRIDE",BP$24,"DEEP_PERIOD_OVERRIDE",$H$19)*1,"")))</f>
        <v/>
      </c>
      <c r="BQ117" t="str">
        <f>IF(OR(BQ$23="",ISNA($B117)),"",IF(ISBLANK($B117),"",IFERROR(_xll.BDP(TICKER,"DEEP_MEASURE_PERIOD_BROKER_VALUE","DEEP_MEASURE_ID_OVERRIDE",$C117,"DEEP_BROKER_ID_OVERRIDE",BQ$24,"DEEP_PERIOD_OVERRIDE",$H$19)*1,"")))</f>
        <v/>
      </c>
      <c r="BR117" t="str">
        <f>IF(OR(BR$23="",ISNA($B117)),"",IF(ISBLANK($B117),"",IFERROR(_xll.BDP(TICKER,"DEEP_MEASURE_PERIOD_BROKER_VALUE","DEEP_MEASURE_ID_OVERRIDE",$C117,"DEEP_BROKER_ID_OVERRIDE",BR$24,"DEEP_PERIOD_OVERRIDE",$H$19)*1,"")))</f>
        <v/>
      </c>
      <c r="BS117" t="str">
        <f>IF(OR(BS$23="",ISNA($B117)),"",IF(ISBLANK($B117),"",IFERROR(_xll.BDP(TICKER,"DEEP_MEASURE_PERIOD_BROKER_VALUE","DEEP_MEASURE_ID_OVERRIDE",$C117,"DEEP_BROKER_ID_OVERRIDE",BS$24,"DEEP_PERIOD_OVERRIDE",$H$19)*1,"")))</f>
        <v/>
      </c>
      <c r="BT117" t="str">
        <f>IF(OR(BT$23="",ISNA($B117)),"",IF(ISBLANK($B117),"",IFERROR(_xll.BDP(TICKER,"DEEP_MEASURE_PERIOD_BROKER_VALUE","DEEP_MEASURE_ID_OVERRIDE",$C117,"DEEP_BROKER_ID_OVERRIDE",BT$24,"DEEP_PERIOD_OVERRIDE",$H$19)*1,"")))</f>
        <v/>
      </c>
      <c r="BU117" t="str">
        <f>IF(OR(BU$23="",ISNA($B117)),"",IF(ISBLANK($B117),"",IFERROR(_xll.BDP(TICKER,"DEEP_MEASURE_PERIOD_BROKER_VALUE","DEEP_MEASURE_ID_OVERRIDE",$C117,"DEEP_BROKER_ID_OVERRIDE",BU$24,"DEEP_PERIOD_OVERRIDE",$H$19)*1,"")))</f>
        <v/>
      </c>
      <c r="BV117" t="str">
        <f>IF(OR(BV$23="",ISNA($B117)),"",IF(ISBLANK($B117),"",IFERROR(_xll.BDP(TICKER,"DEEP_MEASURE_PERIOD_BROKER_VALUE","DEEP_MEASURE_ID_OVERRIDE",$C117,"DEEP_BROKER_ID_OVERRIDE",BV$24,"DEEP_PERIOD_OVERRIDE",$H$19)*1,"")))</f>
        <v/>
      </c>
      <c r="BW117" t="str">
        <f>IF(OR(BW$23="",ISNA($B117)),"",IF(ISBLANK($B117),"",IFERROR(_xll.BDP(TICKER,"DEEP_MEASURE_PERIOD_BROKER_VALUE","DEEP_MEASURE_ID_OVERRIDE",$C117,"DEEP_BROKER_ID_OVERRIDE",BW$24,"DEEP_PERIOD_OVERRIDE",$H$19)*1,"")))</f>
        <v/>
      </c>
      <c r="BX117" t="str">
        <f>IF(OR(BX$23="",ISNA($B117)),"",IF(ISBLANK($B117),"",IFERROR(_xll.BDP(TICKER,"DEEP_MEASURE_PERIOD_BROKER_VALUE","DEEP_MEASURE_ID_OVERRIDE",$C117,"DEEP_BROKER_ID_OVERRIDE",BX$24,"DEEP_PERIOD_OVERRIDE",$H$19)*1,"")))</f>
        <v/>
      </c>
      <c r="BY117" t="str">
        <f>IF(OR(BY$23="",ISNA($B117)),"",IF(ISBLANK($B117),"",IFERROR(_xll.BDP(TICKER,"DEEP_MEASURE_PERIOD_BROKER_VALUE","DEEP_MEASURE_ID_OVERRIDE",$C117,"DEEP_BROKER_ID_OVERRIDE",BY$24,"DEEP_PERIOD_OVERRIDE",$H$19)*1,"")))</f>
        <v/>
      </c>
      <c r="BZ117" t="str">
        <f>IF(OR(BZ$23="",ISNA($B117)),"",IF(ISBLANK($B117),"",IFERROR(_xll.BDP(TICKER,"DEEP_MEASURE_PERIOD_BROKER_VALUE","DEEP_MEASURE_ID_OVERRIDE",$C117,"DEEP_BROKER_ID_OVERRIDE",BZ$24,"DEEP_PERIOD_OVERRIDE",$H$19)*1,"")))</f>
        <v/>
      </c>
    </row>
    <row r="118" spans="2:78" x14ac:dyDescent="0.25">
      <c r="B118" t="s">
        <v>158</v>
      </c>
      <c r="C118">
        <v>342</v>
      </c>
      <c r="H118" t="str">
        <f t="shared" si="2"/>
        <v>Research &amp; Development Expense &gt; Stock Based Compensation (Non-GAAP)</v>
      </c>
      <c r="I118" t="str">
        <f>IF(OR(I$23="",ISNA($B118)),"",IF(ISBLANK($B118),"",IFERROR(_xll.BDP(TICKER,"DEEP_MEASURE_PERIOD_BROKER_VALUE","DEEP_MEASURE_ID_OVERRIDE",$C118,"DEEP_PERIOD_OVERRIDE",$H$19)*1,"")))</f>
        <v/>
      </c>
      <c r="J118" t="e">
        <f>IF(OR(J$23="",ISNA($B118)),"",IF(ISBLANK($B118),"",IFERROR(_xll.BDP(TICKER,"DEEP_MEASURE_PERIOD_BROKER_VALUE","DEEP_MEASURE_ID_OVERRIDE",$C118,"DEEP_BROKER_ID_OVERRIDE",J$24,"DEEP_PERIOD_OVERRIDE",$H$19)*1,"")))</f>
        <v>#REF!</v>
      </c>
      <c r="K118" t="str">
        <f>IF(OR(K$23="",ISNA($B118)),"",IF(ISBLANK($B118),"",IFERROR(_xll.BDP(TICKER,"DEEP_MEASURE_PERIOD_BROKER_VALUE","DEEP_MEASURE_ID_OVERRIDE",$C118,"DEEP_BROKER_ID_OVERRIDE",K$24,"DEEP_PERIOD_OVERRIDE",$H$19)*1,"")))</f>
        <v/>
      </c>
      <c r="L118" t="str">
        <f>IF(OR(L$23="",ISNA($B118)),"",IF(ISBLANK($B118),"",IFERROR(_xll.BDP(TICKER,"DEEP_MEASURE_PERIOD_BROKER_VALUE","DEEP_MEASURE_ID_OVERRIDE",$C118,"DEEP_BROKER_ID_OVERRIDE",L$24,"DEEP_PERIOD_OVERRIDE",$H$19)*1,"")))</f>
        <v/>
      </c>
      <c r="M118" t="str">
        <f>IF(OR(M$23="",ISNA($B118)),"",IF(ISBLANK($B118),"",IFERROR(_xll.BDP(TICKER,"DEEP_MEASURE_PERIOD_BROKER_VALUE","DEEP_MEASURE_ID_OVERRIDE",$C118,"DEEP_BROKER_ID_OVERRIDE",M$24,"DEEP_PERIOD_OVERRIDE",$H$19)*1,"")))</f>
        <v/>
      </c>
      <c r="N118" t="str">
        <f>IF(OR(N$23="",ISNA($B118)),"",IF(ISBLANK($B118),"",IFERROR(_xll.BDP(TICKER,"DEEP_MEASURE_PERIOD_BROKER_VALUE","DEEP_MEASURE_ID_OVERRIDE",$C118,"DEEP_BROKER_ID_OVERRIDE",N$24,"DEEP_PERIOD_OVERRIDE",$H$19)*1,"")))</f>
        <v/>
      </c>
      <c r="O118" t="str">
        <f>IF(OR(O$23="",ISNA($B118)),"",IF(ISBLANK($B118),"",IFERROR(_xll.BDP(TICKER,"DEEP_MEASURE_PERIOD_BROKER_VALUE","DEEP_MEASURE_ID_OVERRIDE",$C118,"DEEP_BROKER_ID_OVERRIDE",O$24,"DEEP_PERIOD_OVERRIDE",$H$19)*1,"")))</f>
        <v/>
      </c>
      <c r="P118" t="str">
        <f>IF(OR(P$23="",ISNA($B118)),"",IF(ISBLANK($B118),"",IFERROR(_xll.BDP(TICKER,"DEEP_MEASURE_PERIOD_BROKER_VALUE","DEEP_MEASURE_ID_OVERRIDE",$C118,"DEEP_BROKER_ID_OVERRIDE",P$24,"DEEP_PERIOD_OVERRIDE",$H$19)*1,"")))</f>
        <v/>
      </c>
      <c r="Q118" t="str">
        <f>IF(OR(Q$23="",ISNA($B118)),"",IF(ISBLANK($B118),"",IFERROR(_xll.BDP(TICKER,"DEEP_MEASURE_PERIOD_BROKER_VALUE","DEEP_MEASURE_ID_OVERRIDE",$C118,"DEEP_BROKER_ID_OVERRIDE",Q$24,"DEEP_PERIOD_OVERRIDE",$H$19)*1,"")))</f>
        <v/>
      </c>
      <c r="R118" t="str">
        <f>IF(OR(R$23="",ISNA($B118)),"",IF(ISBLANK($B118),"",IFERROR(_xll.BDP(TICKER,"DEEP_MEASURE_PERIOD_BROKER_VALUE","DEEP_MEASURE_ID_OVERRIDE",$C118,"DEEP_BROKER_ID_OVERRIDE",R$24,"DEEP_PERIOD_OVERRIDE",$H$19)*1,"")))</f>
        <v/>
      </c>
      <c r="S118" t="str">
        <f>IF(OR(S$23="",ISNA($B118)),"",IF(ISBLANK($B118),"",IFERROR(_xll.BDP(TICKER,"DEEP_MEASURE_PERIOD_BROKER_VALUE","DEEP_MEASURE_ID_OVERRIDE",$C118,"DEEP_BROKER_ID_OVERRIDE",S$24,"DEEP_PERIOD_OVERRIDE",$H$19)*1,"")))</f>
        <v/>
      </c>
      <c r="T118" t="str">
        <f>IF(OR(T$23="",ISNA($B118)),"",IF(ISBLANK($B118),"",IFERROR(_xll.BDP(TICKER,"DEEP_MEASURE_PERIOD_BROKER_VALUE","DEEP_MEASURE_ID_OVERRIDE",$C118,"DEEP_BROKER_ID_OVERRIDE",T$24,"DEEP_PERIOD_OVERRIDE",$H$19)*1,"")))</f>
        <v/>
      </c>
      <c r="U118" t="str">
        <f>IF(OR(U$23="",ISNA($B118)),"",IF(ISBLANK($B118),"",IFERROR(_xll.BDP(TICKER,"DEEP_MEASURE_PERIOD_BROKER_VALUE","DEEP_MEASURE_ID_OVERRIDE",$C118,"DEEP_BROKER_ID_OVERRIDE",U$24,"DEEP_PERIOD_OVERRIDE",$H$19)*1,"")))</f>
        <v/>
      </c>
      <c r="V118" t="str">
        <f>IF(OR(V$23="",ISNA($B118)),"",IF(ISBLANK($B118),"",IFERROR(_xll.BDP(TICKER,"DEEP_MEASURE_PERIOD_BROKER_VALUE","DEEP_MEASURE_ID_OVERRIDE",$C118,"DEEP_BROKER_ID_OVERRIDE",V$24,"DEEP_PERIOD_OVERRIDE",$H$19)*1,"")))</f>
        <v/>
      </c>
      <c r="W118" t="str">
        <f>IF(OR(W$23="",ISNA($B118)),"",IF(ISBLANK($B118),"",IFERROR(_xll.BDP(TICKER,"DEEP_MEASURE_PERIOD_BROKER_VALUE","DEEP_MEASURE_ID_OVERRIDE",$C118,"DEEP_BROKER_ID_OVERRIDE",W$24,"DEEP_PERIOD_OVERRIDE",$H$19)*1,"")))</f>
        <v/>
      </c>
      <c r="X118" t="str">
        <f>IF(OR(X$23="",ISNA($B118)),"",IF(ISBLANK($B118),"",IFERROR(_xll.BDP(TICKER,"DEEP_MEASURE_PERIOD_BROKER_VALUE","DEEP_MEASURE_ID_OVERRIDE",$C118,"DEEP_BROKER_ID_OVERRIDE",X$24,"DEEP_PERIOD_OVERRIDE",$H$19)*1,"")))</f>
        <v/>
      </c>
      <c r="Y118" t="str">
        <f>IF(OR(Y$23="",ISNA($B118)),"",IF(ISBLANK($B118),"",IFERROR(_xll.BDP(TICKER,"DEEP_MEASURE_PERIOD_BROKER_VALUE","DEEP_MEASURE_ID_OVERRIDE",$C118,"DEEP_BROKER_ID_OVERRIDE",Y$24,"DEEP_PERIOD_OVERRIDE",$H$19)*1,"")))</f>
        <v/>
      </c>
      <c r="Z118" t="str">
        <f>IF(OR(Z$23="",ISNA($B118)),"",IF(ISBLANK($B118),"",IFERROR(_xll.BDP(TICKER,"DEEP_MEASURE_PERIOD_BROKER_VALUE","DEEP_MEASURE_ID_OVERRIDE",$C118,"DEEP_BROKER_ID_OVERRIDE",Z$24,"DEEP_PERIOD_OVERRIDE",$H$19)*1,"")))</f>
        <v/>
      </c>
      <c r="AA118" t="str">
        <f>IF(OR(AA$23="",ISNA($B118)),"",IF(ISBLANK($B118),"",IFERROR(_xll.BDP(TICKER,"DEEP_MEASURE_PERIOD_BROKER_VALUE","DEEP_MEASURE_ID_OVERRIDE",$C118,"DEEP_BROKER_ID_OVERRIDE",AA$24,"DEEP_PERIOD_OVERRIDE",$H$19)*1,"")))</f>
        <v/>
      </c>
      <c r="AB118" t="str">
        <f>IF(OR(AB$23="",ISNA($B118)),"",IF(ISBLANK($B118),"",IFERROR(_xll.BDP(TICKER,"DEEP_MEASURE_PERIOD_BROKER_VALUE","DEEP_MEASURE_ID_OVERRIDE",$C118,"DEEP_BROKER_ID_OVERRIDE",AB$24,"DEEP_PERIOD_OVERRIDE",$H$19)*1,"")))</f>
        <v/>
      </c>
      <c r="AC118" t="str">
        <f>IF(OR(AC$23="",ISNA($B118)),"",IF(ISBLANK($B118),"",IFERROR(_xll.BDP(TICKER,"DEEP_MEASURE_PERIOD_BROKER_VALUE","DEEP_MEASURE_ID_OVERRIDE",$C118,"DEEP_BROKER_ID_OVERRIDE",AC$24,"DEEP_PERIOD_OVERRIDE",$H$19)*1,"")))</f>
        <v/>
      </c>
      <c r="AD118" t="str">
        <f>IF(OR(AD$23="",ISNA($B118)),"",IF(ISBLANK($B118),"",IFERROR(_xll.BDP(TICKER,"DEEP_MEASURE_PERIOD_BROKER_VALUE","DEEP_MEASURE_ID_OVERRIDE",$C118,"DEEP_BROKER_ID_OVERRIDE",AD$24,"DEEP_PERIOD_OVERRIDE",$H$19)*1,"")))</f>
        <v/>
      </c>
      <c r="AE118" t="str">
        <f>IF(OR(AE$23="",ISNA($B118)),"",IF(ISBLANK($B118),"",IFERROR(_xll.BDP(TICKER,"DEEP_MEASURE_PERIOD_BROKER_VALUE","DEEP_MEASURE_ID_OVERRIDE",$C118,"DEEP_BROKER_ID_OVERRIDE",AE$24,"DEEP_PERIOD_OVERRIDE",$H$19)*1,"")))</f>
        <v/>
      </c>
      <c r="AF118" t="str">
        <f>IF(OR(AF$23="",ISNA($B118)),"",IF(ISBLANK($B118),"",IFERROR(_xll.BDP(TICKER,"DEEP_MEASURE_PERIOD_BROKER_VALUE","DEEP_MEASURE_ID_OVERRIDE",$C118,"DEEP_BROKER_ID_OVERRIDE",AF$24,"DEEP_PERIOD_OVERRIDE",$H$19)*1,"")))</f>
        <v/>
      </c>
      <c r="AG118" t="str">
        <f>IF(OR(AG$23="",ISNA($B118)),"",IF(ISBLANK($B118),"",IFERROR(_xll.BDP(TICKER,"DEEP_MEASURE_PERIOD_BROKER_VALUE","DEEP_MEASURE_ID_OVERRIDE",$C118,"DEEP_BROKER_ID_OVERRIDE",AG$24,"DEEP_PERIOD_OVERRIDE",$H$19)*1,"")))</f>
        <v/>
      </c>
      <c r="AH118" t="str">
        <f>IF(OR(AH$23="",ISNA($B118)),"",IF(ISBLANK($B118),"",IFERROR(_xll.BDP(TICKER,"DEEP_MEASURE_PERIOD_BROKER_VALUE","DEEP_MEASURE_ID_OVERRIDE",$C118,"DEEP_BROKER_ID_OVERRIDE",AH$24,"DEEP_PERIOD_OVERRIDE",$H$19)*1,"")))</f>
        <v/>
      </c>
      <c r="AI118" t="str">
        <f>IF(OR(AI$23="",ISNA($B118)),"",IF(ISBLANK($B118),"",IFERROR(_xll.BDP(TICKER,"DEEP_MEASURE_PERIOD_BROKER_VALUE","DEEP_MEASURE_ID_OVERRIDE",$C118,"DEEP_BROKER_ID_OVERRIDE",AI$24,"DEEP_PERIOD_OVERRIDE",$H$19)*1,"")))</f>
        <v/>
      </c>
      <c r="AJ118" t="str">
        <f>IF(OR(AJ$23="",ISNA($B118)),"",IF(ISBLANK($B118),"",IFERROR(_xll.BDP(TICKER,"DEEP_MEASURE_PERIOD_BROKER_VALUE","DEEP_MEASURE_ID_OVERRIDE",$C118,"DEEP_BROKER_ID_OVERRIDE",AJ$24,"DEEP_PERIOD_OVERRIDE",$H$19)*1,"")))</f>
        <v/>
      </c>
      <c r="AK118" t="str">
        <f>IF(OR(AK$23="",ISNA($B118)),"",IF(ISBLANK($B118),"",IFERROR(_xll.BDP(TICKER,"DEEP_MEASURE_PERIOD_BROKER_VALUE","DEEP_MEASURE_ID_OVERRIDE",$C118,"DEEP_BROKER_ID_OVERRIDE",AK$24,"DEEP_PERIOD_OVERRIDE",$H$19)*1,"")))</f>
        <v/>
      </c>
      <c r="AL118" t="str">
        <f>IF(OR(AL$23="",ISNA($B118)),"",IF(ISBLANK($B118),"",IFERROR(_xll.BDP(TICKER,"DEEP_MEASURE_PERIOD_BROKER_VALUE","DEEP_MEASURE_ID_OVERRIDE",$C118,"DEEP_BROKER_ID_OVERRIDE",AL$24,"DEEP_PERIOD_OVERRIDE",$H$19)*1,"")))</f>
        <v/>
      </c>
      <c r="AM118" t="str">
        <f>IF(OR(AM$23="",ISNA($B118)),"",IF(ISBLANK($B118),"",IFERROR(_xll.BDP(TICKER,"DEEP_MEASURE_PERIOD_BROKER_VALUE","DEEP_MEASURE_ID_OVERRIDE",$C118,"DEEP_BROKER_ID_OVERRIDE",AM$24,"DEEP_PERIOD_OVERRIDE",$H$19)*1,"")))</f>
        <v/>
      </c>
      <c r="AN118" t="str">
        <f>IF(OR(AN$23="",ISNA($B118)),"",IF(ISBLANK($B118),"",IFERROR(_xll.BDP(TICKER,"DEEP_MEASURE_PERIOD_BROKER_VALUE","DEEP_MEASURE_ID_OVERRIDE",$C118,"DEEP_BROKER_ID_OVERRIDE",AN$24,"DEEP_PERIOD_OVERRIDE",$H$19)*1,"")))</f>
        <v/>
      </c>
      <c r="AO118" t="str">
        <f>IF(OR(AO$23="",ISNA($B118)),"",IF(ISBLANK($B118),"",IFERROR(_xll.BDP(TICKER,"DEEP_MEASURE_PERIOD_BROKER_VALUE","DEEP_MEASURE_ID_OVERRIDE",$C118,"DEEP_BROKER_ID_OVERRIDE",AO$24,"DEEP_PERIOD_OVERRIDE",$H$19)*1,"")))</f>
        <v/>
      </c>
      <c r="AP118" t="str">
        <f>IF(OR(AP$23="",ISNA($B118)),"",IF(ISBLANK($B118),"",IFERROR(_xll.BDP(TICKER,"DEEP_MEASURE_PERIOD_BROKER_VALUE","DEEP_MEASURE_ID_OVERRIDE",$C118,"DEEP_BROKER_ID_OVERRIDE",AP$24,"DEEP_PERIOD_OVERRIDE",$H$19)*1,"")))</f>
        <v/>
      </c>
      <c r="AQ118" t="str">
        <f>IF(OR(AQ$23="",ISNA($B118)),"",IF(ISBLANK($B118),"",IFERROR(_xll.BDP(TICKER,"DEEP_MEASURE_PERIOD_BROKER_VALUE","DEEP_MEASURE_ID_OVERRIDE",$C118,"DEEP_BROKER_ID_OVERRIDE",AQ$24,"DEEP_PERIOD_OVERRIDE",$H$19)*1,"")))</f>
        <v/>
      </c>
      <c r="AR118" t="str">
        <f>IF(OR(AR$23="",ISNA($B118)),"",IF(ISBLANK($B118),"",IFERROR(_xll.BDP(TICKER,"DEEP_MEASURE_PERIOD_BROKER_VALUE","DEEP_MEASURE_ID_OVERRIDE",$C118,"DEEP_BROKER_ID_OVERRIDE",AR$24,"DEEP_PERIOD_OVERRIDE",$H$19)*1,"")))</f>
        <v/>
      </c>
      <c r="AS118" t="str">
        <f>IF(OR(AS$23="",ISNA($B118)),"",IF(ISBLANK($B118),"",IFERROR(_xll.BDP(TICKER,"DEEP_MEASURE_PERIOD_BROKER_VALUE","DEEP_MEASURE_ID_OVERRIDE",$C118,"DEEP_BROKER_ID_OVERRIDE",AS$24,"DEEP_PERIOD_OVERRIDE",$H$19)*1,"")))</f>
        <v/>
      </c>
      <c r="AT118" t="str">
        <f>IF(OR(AT$23="",ISNA($B118)),"",IF(ISBLANK($B118),"",IFERROR(_xll.BDP(TICKER,"DEEP_MEASURE_PERIOD_BROKER_VALUE","DEEP_MEASURE_ID_OVERRIDE",$C118,"DEEP_BROKER_ID_OVERRIDE",AT$24,"DEEP_PERIOD_OVERRIDE",$H$19)*1,"")))</f>
        <v/>
      </c>
      <c r="AU118" t="str">
        <f>IF(OR(AU$23="",ISNA($B118)),"",IF(ISBLANK($B118),"",IFERROR(_xll.BDP(TICKER,"DEEP_MEASURE_PERIOD_BROKER_VALUE","DEEP_MEASURE_ID_OVERRIDE",$C118,"DEEP_BROKER_ID_OVERRIDE",AU$24,"DEEP_PERIOD_OVERRIDE",$H$19)*1,"")))</f>
        <v/>
      </c>
      <c r="AV118" t="str">
        <f>IF(OR(AV$23="",ISNA($B118)),"",IF(ISBLANK($B118),"",IFERROR(_xll.BDP(TICKER,"DEEP_MEASURE_PERIOD_BROKER_VALUE","DEEP_MEASURE_ID_OVERRIDE",$C118,"DEEP_BROKER_ID_OVERRIDE",AV$24,"DEEP_PERIOD_OVERRIDE",$H$19)*1,"")))</f>
        <v/>
      </c>
      <c r="AW118" t="str">
        <f>IF(OR(AW$23="",ISNA($B118)),"",IF(ISBLANK($B118),"",IFERROR(_xll.BDP(TICKER,"DEEP_MEASURE_PERIOD_BROKER_VALUE","DEEP_MEASURE_ID_OVERRIDE",$C118,"DEEP_BROKER_ID_OVERRIDE",AW$24,"DEEP_PERIOD_OVERRIDE",$H$19)*1,"")))</f>
        <v/>
      </c>
      <c r="AX118" t="str">
        <f>IF(OR(AX$23="",ISNA($B118)),"",IF(ISBLANK($B118),"",IFERROR(_xll.BDP(TICKER,"DEEP_MEASURE_PERIOD_BROKER_VALUE","DEEP_MEASURE_ID_OVERRIDE",$C118,"DEEP_BROKER_ID_OVERRIDE",AX$24,"DEEP_PERIOD_OVERRIDE",$H$19)*1,"")))</f>
        <v/>
      </c>
      <c r="AY118" t="str">
        <f>IF(OR(AY$23="",ISNA($B118)),"",IF(ISBLANK($B118),"",IFERROR(_xll.BDP(TICKER,"DEEP_MEASURE_PERIOD_BROKER_VALUE","DEEP_MEASURE_ID_OVERRIDE",$C118,"DEEP_BROKER_ID_OVERRIDE",AY$24,"DEEP_PERIOD_OVERRIDE",$H$19)*1,"")))</f>
        <v/>
      </c>
      <c r="AZ118" t="str">
        <f>IF(OR(AZ$23="",ISNA($B118)),"",IF(ISBLANK($B118),"",IFERROR(_xll.BDP(TICKER,"DEEP_MEASURE_PERIOD_BROKER_VALUE","DEEP_MEASURE_ID_OVERRIDE",$C118,"DEEP_BROKER_ID_OVERRIDE",AZ$24,"DEEP_PERIOD_OVERRIDE",$H$19)*1,"")))</f>
        <v/>
      </c>
      <c r="BA118" t="str">
        <f>IF(OR(BA$23="",ISNA($B118)),"",IF(ISBLANK($B118),"",IFERROR(_xll.BDP(TICKER,"DEEP_MEASURE_PERIOD_BROKER_VALUE","DEEP_MEASURE_ID_OVERRIDE",$C118,"DEEP_BROKER_ID_OVERRIDE",BA$24,"DEEP_PERIOD_OVERRIDE",$H$19)*1,"")))</f>
        <v/>
      </c>
      <c r="BB118" t="str">
        <f>IF(OR(BB$23="",ISNA($B118)),"",IF(ISBLANK($B118),"",IFERROR(_xll.BDP(TICKER,"DEEP_MEASURE_PERIOD_BROKER_VALUE","DEEP_MEASURE_ID_OVERRIDE",$C118,"DEEP_BROKER_ID_OVERRIDE",BB$24,"DEEP_PERIOD_OVERRIDE",$H$19)*1,"")))</f>
        <v/>
      </c>
      <c r="BC118" t="str">
        <f>IF(OR(BC$23="",ISNA($B118)),"",IF(ISBLANK($B118),"",IFERROR(_xll.BDP(TICKER,"DEEP_MEASURE_PERIOD_BROKER_VALUE","DEEP_MEASURE_ID_OVERRIDE",$C118,"DEEP_BROKER_ID_OVERRIDE",BC$24,"DEEP_PERIOD_OVERRIDE",$H$19)*1,"")))</f>
        <v/>
      </c>
      <c r="BD118" t="str">
        <f>IF(OR(BD$23="",ISNA($B118)),"",IF(ISBLANK($B118),"",IFERROR(_xll.BDP(TICKER,"DEEP_MEASURE_PERIOD_BROKER_VALUE","DEEP_MEASURE_ID_OVERRIDE",$C118,"DEEP_BROKER_ID_OVERRIDE",BD$24,"DEEP_PERIOD_OVERRIDE",$H$19)*1,"")))</f>
        <v/>
      </c>
      <c r="BE118" t="str">
        <f>IF(OR(BE$23="",ISNA($B118)),"",IF(ISBLANK($B118),"",IFERROR(_xll.BDP(TICKER,"DEEP_MEASURE_PERIOD_BROKER_VALUE","DEEP_MEASURE_ID_OVERRIDE",$C118,"DEEP_BROKER_ID_OVERRIDE",BE$24,"DEEP_PERIOD_OVERRIDE",$H$19)*1,"")))</f>
        <v/>
      </c>
      <c r="BF118" t="str">
        <f>IF(OR(BF$23="",ISNA($B118)),"",IF(ISBLANK($B118),"",IFERROR(_xll.BDP(TICKER,"DEEP_MEASURE_PERIOD_BROKER_VALUE","DEEP_MEASURE_ID_OVERRIDE",$C118,"DEEP_BROKER_ID_OVERRIDE",BF$24,"DEEP_PERIOD_OVERRIDE",$H$19)*1,"")))</f>
        <v/>
      </c>
      <c r="BG118" t="str">
        <f>IF(OR(BG$23="",ISNA($B118)),"",IF(ISBLANK($B118),"",IFERROR(_xll.BDP(TICKER,"DEEP_MEASURE_PERIOD_BROKER_VALUE","DEEP_MEASURE_ID_OVERRIDE",$C118,"DEEP_BROKER_ID_OVERRIDE",BG$24,"DEEP_PERIOD_OVERRIDE",$H$19)*1,"")))</f>
        <v/>
      </c>
      <c r="BH118" t="str">
        <f>IF(OR(BH$23="",ISNA($B118)),"",IF(ISBLANK($B118),"",IFERROR(_xll.BDP(TICKER,"DEEP_MEASURE_PERIOD_BROKER_VALUE","DEEP_MEASURE_ID_OVERRIDE",$C118,"DEEP_BROKER_ID_OVERRIDE",BH$24,"DEEP_PERIOD_OVERRIDE",$H$19)*1,"")))</f>
        <v/>
      </c>
      <c r="BI118" t="str">
        <f>IF(OR(BI$23="",ISNA($B118)),"",IF(ISBLANK($B118),"",IFERROR(_xll.BDP(TICKER,"DEEP_MEASURE_PERIOD_BROKER_VALUE","DEEP_MEASURE_ID_OVERRIDE",$C118,"DEEP_BROKER_ID_OVERRIDE",BI$24,"DEEP_PERIOD_OVERRIDE",$H$19)*1,"")))</f>
        <v/>
      </c>
      <c r="BJ118" t="str">
        <f>IF(OR(BJ$23="",ISNA($B118)),"",IF(ISBLANK($B118),"",IFERROR(_xll.BDP(TICKER,"DEEP_MEASURE_PERIOD_BROKER_VALUE","DEEP_MEASURE_ID_OVERRIDE",$C118,"DEEP_BROKER_ID_OVERRIDE",BJ$24,"DEEP_PERIOD_OVERRIDE",$H$19)*1,"")))</f>
        <v/>
      </c>
      <c r="BK118" t="str">
        <f>IF(OR(BK$23="",ISNA($B118)),"",IF(ISBLANK($B118),"",IFERROR(_xll.BDP(TICKER,"DEEP_MEASURE_PERIOD_BROKER_VALUE","DEEP_MEASURE_ID_OVERRIDE",$C118,"DEEP_BROKER_ID_OVERRIDE",BK$24,"DEEP_PERIOD_OVERRIDE",$H$19)*1,"")))</f>
        <v/>
      </c>
      <c r="BL118" t="str">
        <f>IF(OR(BL$23="",ISNA($B118)),"",IF(ISBLANK($B118),"",IFERROR(_xll.BDP(TICKER,"DEEP_MEASURE_PERIOD_BROKER_VALUE","DEEP_MEASURE_ID_OVERRIDE",$C118,"DEEP_BROKER_ID_OVERRIDE",BL$24,"DEEP_PERIOD_OVERRIDE",$H$19)*1,"")))</f>
        <v/>
      </c>
      <c r="BM118" t="str">
        <f>IF(OR(BM$23="",ISNA($B118)),"",IF(ISBLANK($B118),"",IFERROR(_xll.BDP(TICKER,"DEEP_MEASURE_PERIOD_BROKER_VALUE","DEEP_MEASURE_ID_OVERRIDE",$C118,"DEEP_BROKER_ID_OVERRIDE",BM$24,"DEEP_PERIOD_OVERRIDE",$H$19)*1,"")))</f>
        <v/>
      </c>
      <c r="BN118" t="str">
        <f>IF(OR(BN$23="",ISNA($B118)),"",IF(ISBLANK($B118),"",IFERROR(_xll.BDP(TICKER,"DEEP_MEASURE_PERIOD_BROKER_VALUE","DEEP_MEASURE_ID_OVERRIDE",$C118,"DEEP_BROKER_ID_OVERRIDE",BN$24,"DEEP_PERIOD_OVERRIDE",$H$19)*1,"")))</f>
        <v/>
      </c>
      <c r="BO118" t="str">
        <f>IF(OR(BO$23="",ISNA($B118)),"",IF(ISBLANK($B118),"",IFERROR(_xll.BDP(TICKER,"DEEP_MEASURE_PERIOD_BROKER_VALUE","DEEP_MEASURE_ID_OVERRIDE",$C118,"DEEP_BROKER_ID_OVERRIDE",BO$24,"DEEP_PERIOD_OVERRIDE",$H$19)*1,"")))</f>
        <v/>
      </c>
      <c r="BP118" t="str">
        <f>IF(OR(BP$23="",ISNA($B118)),"",IF(ISBLANK($B118),"",IFERROR(_xll.BDP(TICKER,"DEEP_MEASURE_PERIOD_BROKER_VALUE","DEEP_MEASURE_ID_OVERRIDE",$C118,"DEEP_BROKER_ID_OVERRIDE",BP$24,"DEEP_PERIOD_OVERRIDE",$H$19)*1,"")))</f>
        <v/>
      </c>
      <c r="BQ118" t="str">
        <f>IF(OR(BQ$23="",ISNA($B118)),"",IF(ISBLANK($B118),"",IFERROR(_xll.BDP(TICKER,"DEEP_MEASURE_PERIOD_BROKER_VALUE","DEEP_MEASURE_ID_OVERRIDE",$C118,"DEEP_BROKER_ID_OVERRIDE",BQ$24,"DEEP_PERIOD_OVERRIDE",$H$19)*1,"")))</f>
        <v/>
      </c>
      <c r="BR118" t="str">
        <f>IF(OR(BR$23="",ISNA($B118)),"",IF(ISBLANK($B118),"",IFERROR(_xll.BDP(TICKER,"DEEP_MEASURE_PERIOD_BROKER_VALUE","DEEP_MEASURE_ID_OVERRIDE",$C118,"DEEP_BROKER_ID_OVERRIDE",BR$24,"DEEP_PERIOD_OVERRIDE",$H$19)*1,"")))</f>
        <v/>
      </c>
      <c r="BS118" t="str">
        <f>IF(OR(BS$23="",ISNA($B118)),"",IF(ISBLANK($B118),"",IFERROR(_xll.BDP(TICKER,"DEEP_MEASURE_PERIOD_BROKER_VALUE","DEEP_MEASURE_ID_OVERRIDE",$C118,"DEEP_BROKER_ID_OVERRIDE",BS$24,"DEEP_PERIOD_OVERRIDE",$H$19)*1,"")))</f>
        <v/>
      </c>
      <c r="BT118" t="str">
        <f>IF(OR(BT$23="",ISNA($B118)),"",IF(ISBLANK($B118),"",IFERROR(_xll.BDP(TICKER,"DEEP_MEASURE_PERIOD_BROKER_VALUE","DEEP_MEASURE_ID_OVERRIDE",$C118,"DEEP_BROKER_ID_OVERRIDE",BT$24,"DEEP_PERIOD_OVERRIDE",$H$19)*1,"")))</f>
        <v/>
      </c>
      <c r="BU118" t="str">
        <f>IF(OR(BU$23="",ISNA($B118)),"",IF(ISBLANK($B118),"",IFERROR(_xll.BDP(TICKER,"DEEP_MEASURE_PERIOD_BROKER_VALUE","DEEP_MEASURE_ID_OVERRIDE",$C118,"DEEP_BROKER_ID_OVERRIDE",BU$24,"DEEP_PERIOD_OVERRIDE",$H$19)*1,"")))</f>
        <v/>
      </c>
      <c r="BV118" t="str">
        <f>IF(OR(BV$23="",ISNA($B118)),"",IF(ISBLANK($B118),"",IFERROR(_xll.BDP(TICKER,"DEEP_MEASURE_PERIOD_BROKER_VALUE","DEEP_MEASURE_ID_OVERRIDE",$C118,"DEEP_BROKER_ID_OVERRIDE",BV$24,"DEEP_PERIOD_OVERRIDE",$H$19)*1,"")))</f>
        <v/>
      </c>
      <c r="BW118" t="str">
        <f>IF(OR(BW$23="",ISNA($B118)),"",IF(ISBLANK($B118),"",IFERROR(_xll.BDP(TICKER,"DEEP_MEASURE_PERIOD_BROKER_VALUE","DEEP_MEASURE_ID_OVERRIDE",$C118,"DEEP_BROKER_ID_OVERRIDE",BW$24,"DEEP_PERIOD_OVERRIDE",$H$19)*1,"")))</f>
        <v/>
      </c>
      <c r="BX118" t="str">
        <f>IF(OR(BX$23="",ISNA($B118)),"",IF(ISBLANK($B118),"",IFERROR(_xll.BDP(TICKER,"DEEP_MEASURE_PERIOD_BROKER_VALUE","DEEP_MEASURE_ID_OVERRIDE",$C118,"DEEP_BROKER_ID_OVERRIDE",BX$24,"DEEP_PERIOD_OVERRIDE",$H$19)*1,"")))</f>
        <v/>
      </c>
      <c r="BY118" t="str">
        <f>IF(OR(BY$23="",ISNA($B118)),"",IF(ISBLANK($B118),"",IFERROR(_xll.BDP(TICKER,"DEEP_MEASURE_PERIOD_BROKER_VALUE","DEEP_MEASURE_ID_OVERRIDE",$C118,"DEEP_BROKER_ID_OVERRIDE",BY$24,"DEEP_PERIOD_OVERRIDE",$H$19)*1,"")))</f>
        <v/>
      </c>
      <c r="BZ118" t="str">
        <f>IF(OR(BZ$23="",ISNA($B118)),"",IF(ISBLANK($B118),"",IFERROR(_xll.BDP(TICKER,"DEEP_MEASURE_PERIOD_BROKER_VALUE","DEEP_MEASURE_ID_OVERRIDE",$C118,"DEEP_BROKER_ID_OVERRIDE",BZ$24,"DEEP_PERIOD_OVERRIDE",$H$19)*1,"")))</f>
        <v/>
      </c>
    </row>
    <row r="119" spans="2:78" x14ac:dyDescent="0.25">
      <c r="B119" t="s">
        <v>159</v>
      </c>
      <c r="C119">
        <v>3736</v>
      </c>
      <c r="H119" t="str">
        <f t="shared" si="2"/>
        <v>Direct Costs (excluding-TV)</v>
      </c>
      <c r="I119" t="str">
        <f>IF(OR(I$23="",ISNA($B119)),"",IF(ISBLANK($B119),"",IFERROR(_xll.BDP(TICKER,"DEEP_MEASURE_PERIOD_BROKER_VALUE","DEEP_MEASURE_ID_OVERRIDE",$C119,"DEEP_PERIOD_OVERRIDE",$H$19)*1,"")))</f>
        <v/>
      </c>
      <c r="J119" t="e">
        <f>IF(OR(J$23="",ISNA($B119)),"",IF(ISBLANK($B119),"",IFERROR(_xll.BDP(TICKER,"DEEP_MEASURE_PERIOD_BROKER_VALUE","DEEP_MEASURE_ID_OVERRIDE",$C119,"DEEP_BROKER_ID_OVERRIDE",J$24,"DEEP_PERIOD_OVERRIDE",$H$19)*1,"")))</f>
        <v>#REF!</v>
      </c>
      <c r="K119" t="str">
        <f>IF(OR(K$23="",ISNA($B119)),"",IF(ISBLANK($B119),"",IFERROR(_xll.BDP(TICKER,"DEEP_MEASURE_PERIOD_BROKER_VALUE","DEEP_MEASURE_ID_OVERRIDE",$C119,"DEEP_BROKER_ID_OVERRIDE",K$24,"DEEP_PERIOD_OVERRIDE",$H$19)*1,"")))</f>
        <v/>
      </c>
      <c r="L119" t="str">
        <f>IF(OR(L$23="",ISNA($B119)),"",IF(ISBLANK($B119),"",IFERROR(_xll.BDP(TICKER,"DEEP_MEASURE_PERIOD_BROKER_VALUE","DEEP_MEASURE_ID_OVERRIDE",$C119,"DEEP_BROKER_ID_OVERRIDE",L$24,"DEEP_PERIOD_OVERRIDE",$H$19)*1,"")))</f>
        <v/>
      </c>
      <c r="M119" t="str">
        <f>IF(OR(M$23="",ISNA($B119)),"",IF(ISBLANK($B119),"",IFERROR(_xll.BDP(TICKER,"DEEP_MEASURE_PERIOD_BROKER_VALUE","DEEP_MEASURE_ID_OVERRIDE",$C119,"DEEP_BROKER_ID_OVERRIDE",M$24,"DEEP_PERIOD_OVERRIDE",$H$19)*1,"")))</f>
        <v/>
      </c>
      <c r="N119" t="str">
        <f>IF(OR(N$23="",ISNA($B119)),"",IF(ISBLANK($B119),"",IFERROR(_xll.BDP(TICKER,"DEEP_MEASURE_PERIOD_BROKER_VALUE","DEEP_MEASURE_ID_OVERRIDE",$C119,"DEEP_BROKER_ID_OVERRIDE",N$24,"DEEP_PERIOD_OVERRIDE",$H$19)*1,"")))</f>
        <v/>
      </c>
      <c r="O119" t="str">
        <f>IF(OR(O$23="",ISNA($B119)),"",IF(ISBLANK($B119),"",IFERROR(_xll.BDP(TICKER,"DEEP_MEASURE_PERIOD_BROKER_VALUE","DEEP_MEASURE_ID_OVERRIDE",$C119,"DEEP_BROKER_ID_OVERRIDE",O$24,"DEEP_PERIOD_OVERRIDE",$H$19)*1,"")))</f>
        <v/>
      </c>
      <c r="P119" t="str">
        <f>IF(OR(P$23="",ISNA($B119)),"",IF(ISBLANK($B119),"",IFERROR(_xll.BDP(TICKER,"DEEP_MEASURE_PERIOD_BROKER_VALUE","DEEP_MEASURE_ID_OVERRIDE",$C119,"DEEP_BROKER_ID_OVERRIDE",P$24,"DEEP_PERIOD_OVERRIDE",$H$19)*1,"")))</f>
        <v/>
      </c>
      <c r="Q119" t="str">
        <f>IF(OR(Q$23="",ISNA($B119)),"",IF(ISBLANK($B119),"",IFERROR(_xll.BDP(TICKER,"DEEP_MEASURE_PERIOD_BROKER_VALUE","DEEP_MEASURE_ID_OVERRIDE",$C119,"DEEP_BROKER_ID_OVERRIDE",Q$24,"DEEP_PERIOD_OVERRIDE",$H$19)*1,"")))</f>
        <v/>
      </c>
      <c r="R119" t="str">
        <f>IF(OR(R$23="",ISNA($B119)),"",IF(ISBLANK($B119),"",IFERROR(_xll.BDP(TICKER,"DEEP_MEASURE_PERIOD_BROKER_VALUE","DEEP_MEASURE_ID_OVERRIDE",$C119,"DEEP_BROKER_ID_OVERRIDE",R$24,"DEEP_PERIOD_OVERRIDE",$H$19)*1,"")))</f>
        <v/>
      </c>
      <c r="S119" t="str">
        <f>IF(OR(S$23="",ISNA($B119)),"",IF(ISBLANK($B119),"",IFERROR(_xll.BDP(TICKER,"DEEP_MEASURE_PERIOD_BROKER_VALUE","DEEP_MEASURE_ID_OVERRIDE",$C119,"DEEP_BROKER_ID_OVERRIDE",S$24,"DEEP_PERIOD_OVERRIDE",$H$19)*1,"")))</f>
        <v/>
      </c>
      <c r="T119" t="str">
        <f>IF(OR(T$23="",ISNA($B119)),"",IF(ISBLANK($B119),"",IFERROR(_xll.BDP(TICKER,"DEEP_MEASURE_PERIOD_BROKER_VALUE","DEEP_MEASURE_ID_OVERRIDE",$C119,"DEEP_BROKER_ID_OVERRIDE",T$24,"DEEP_PERIOD_OVERRIDE",$H$19)*1,"")))</f>
        <v/>
      </c>
      <c r="U119" t="str">
        <f>IF(OR(U$23="",ISNA($B119)),"",IF(ISBLANK($B119),"",IFERROR(_xll.BDP(TICKER,"DEEP_MEASURE_PERIOD_BROKER_VALUE","DEEP_MEASURE_ID_OVERRIDE",$C119,"DEEP_BROKER_ID_OVERRIDE",U$24,"DEEP_PERIOD_OVERRIDE",$H$19)*1,"")))</f>
        <v/>
      </c>
      <c r="V119" t="str">
        <f>IF(OR(V$23="",ISNA($B119)),"",IF(ISBLANK($B119),"",IFERROR(_xll.BDP(TICKER,"DEEP_MEASURE_PERIOD_BROKER_VALUE","DEEP_MEASURE_ID_OVERRIDE",$C119,"DEEP_BROKER_ID_OVERRIDE",V$24,"DEEP_PERIOD_OVERRIDE",$H$19)*1,"")))</f>
        <v/>
      </c>
      <c r="W119" t="str">
        <f>IF(OR(W$23="",ISNA($B119)),"",IF(ISBLANK($B119),"",IFERROR(_xll.BDP(TICKER,"DEEP_MEASURE_PERIOD_BROKER_VALUE","DEEP_MEASURE_ID_OVERRIDE",$C119,"DEEP_BROKER_ID_OVERRIDE",W$24,"DEEP_PERIOD_OVERRIDE",$H$19)*1,"")))</f>
        <v/>
      </c>
      <c r="X119" t="str">
        <f>IF(OR(X$23="",ISNA($B119)),"",IF(ISBLANK($B119),"",IFERROR(_xll.BDP(TICKER,"DEEP_MEASURE_PERIOD_BROKER_VALUE","DEEP_MEASURE_ID_OVERRIDE",$C119,"DEEP_BROKER_ID_OVERRIDE",X$24,"DEEP_PERIOD_OVERRIDE",$H$19)*1,"")))</f>
        <v/>
      </c>
      <c r="Y119" t="str">
        <f>IF(OR(Y$23="",ISNA($B119)),"",IF(ISBLANK($B119),"",IFERROR(_xll.BDP(TICKER,"DEEP_MEASURE_PERIOD_BROKER_VALUE","DEEP_MEASURE_ID_OVERRIDE",$C119,"DEEP_BROKER_ID_OVERRIDE",Y$24,"DEEP_PERIOD_OVERRIDE",$H$19)*1,"")))</f>
        <v/>
      </c>
      <c r="Z119" t="str">
        <f>IF(OR(Z$23="",ISNA($B119)),"",IF(ISBLANK($B119),"",IFERROR(_xll.BDP(TICKER,"DEEP_MEASURE_PERIOD_BROKER_VALUE","DEEP_MEASURE_ID_OVERRIDE",$C119,"DEEP_BROKER_ID_OVERRIDE",Z$24,"DEEP_PERIOD_OVERRIDE",$H$19)*1,"")))</f>
        <v/>
      </c>
      <c r="AA119" t="str">
        <f>IF(OR(AA$23="",ISNA($B119)),"",IF(ISBLANK($B119),"",IFERROR(_xll.BDP(TICKER,"DEEP_MEASURE_PERIOD_BROKER_VALUE","DEEP_MEASURE_ID_OVERRIDE",$C119,"DEEP_BROKER_ID_OVERRIDE",AA$24,"DEEP_PERIOD_OVERRIDE",$H$19)*1,"")))</f>
        <v/>
      </c>
      <c r="AB119" t="str">
        <f>IF(OR(AB$23="",ISNA($B119)),"",IF(ISBLANK($B119),"",IFERROR(_xll.BDP(TICKER,"DEEP_MEASURE_PERIOD_BROKER_VALUE","DEEP_MEASURE_ID_OVERRIDE",$C119,"DEEP_BROKER_ID_OVERRIDE",AB$24,"DEEP_PERIOD_OVERRIDE",$H$19)*1,"")))</f>
        <v/>
      </c>
      <c r="AC119" t="str">
        <f>IF(OR(AC$23="",ISNA($B119)),"",IF(ISBLANK($B119),"",IFERROR(_xll.BDP(TICKER,"DEEP_MEASURE_PERIOD_BROKER_VALUE","DEEP_MEASURE_ID_OVERRIDE",$C119,"DEEP_BROKER_ID_OVERRIDE",AC$24,"DEEP_PERIOD_OVERRIDE",$H$19)*1,"")))</f>
        <v/>
      </c>
      <c r="AD119" t="str">
        <f>IF(OR(AD$23="",ISNA($B119)),"",IF(ISBLANK($B119),"",IFERROR(_xll.BDP(TICKER,"DEEP_MEASURE_PERIOD_BROKER_VALUE","DEEP_MEASURE_ID_OVERRIDE",$C119,"DEEP_BROKER_ID_OVERRIDE",AD$24,"DEEP_PERIOD_OVERRIDE",$H$19)*1,"")))</f>
        <v/>
      </c>
      <c r="AE119" t="str">
        <f>IF(OR(AE$23="",ISNA($B119)),"",IF(ISBLANK($B119),"",IFERROR(_xll.BDP(TICKER,"DEEP_MEASURE_PERIOD_BROKER_VALUE","DEEP_MEASURE_ID_OVERRIDE",$C119,"DEEP_BROKER_ID_OVERRIDE",AE$24,"DEEP_PERIOD_OVERRIDE",$H$19)*1,"")))</f>
        <v/>
      </c>
      <c r="AF119" t="str">
        <f>IF(OR(AF$23="",ISNA($B119)),"",IF(ISBLANK($B119),"",IFERROR(_xll.BDP(TICKER,"DEEP_MEASURE_PERIOD_BROKER_VALUE","DEEP_MEASURE_ID_OVERRIDE",$C119,"DEEP_BROKER_ID_OVERRIDE",AF$24,"DEEP_PERIOD_OVERRIDE",$H$19)*1,"")))</f>
        <v/>
      </c>
      <c r="AG119" t="str">
        <f>IF(OR(AG$23="",ISNA($B119)),"",IF(ISBLANK($B119),"",IFERROR(_xll.BDP(TICKER,"DEEP_MEASURE_PERIOD_BROKER_VALUE","DEEP_MEASURE_ID_OVERRIDE",$C119,"DEEP_BROKER_ID_OVERRIDE",AG$24,"DEEP_PERIOD_OVERRIDE",$H$19)*1,"")))</f>
        <v/>
      </c>
      <c r="AH119" t="str">
        <f>IF(OR(AH$23="",ISNA($B119)),"",IF(ISBLANK($B119),"",IFERROR(_xll.BDP(TICKER,"DEEP_MEASURE_PERIOD_BROKER_VALUE","DEEP_MEASURE_ID_OVERRIDE",$C119,"DEEP_BROKER_ID_OVERRIDE",AH$24,"DEEP_PERIOD_OVERRIDE",$H$19)*1,"")))</f>
        <v/>
      </c>
      <c r="AI119" t="str">
        <f>IF(OR(AI$23="",ISNA($B119)),"",IF(ISBLANK($B119),"",IFERROR(_xll.BDP(TICKER,"DEEP_MEASURE_PERIOD_BROKER_VALUE","DEEP_MEASURE_ID_OVERRIDE",$C119,"DEEP_BROKER_ID_OVERRIDE",AI$24,"DEEP_PERIOD_OVERRIDE",$H$19)*1,"")))</f>
        <v/>
      </c>
      <c r="AJ119" t="str">
        <f>IF(OR(AJ$23="",ISNA($B119)),"",IF(ISBLANK($B119),"",IFERROR(_xll.BDP(TICKER,"DEEP_MEASURE_PERIOD_BROKER_VALUE","DEEP_MEASURE_ID_OVERRIDE",$C119,"DEEP_BROKER_ID_OVERRIDE",AJ$24,"DEEP_PERIOD_OVERRIDE",$H$19)*1,"")))</f>
        <v/>
      </c>
      <c r="AK119" t="str">
        <f>IF(OR(AK$23="",ISNA($B119)),"",IF(ISBLANK($B119),"",IFERROR(_xll.BDP(TICKER,"DEEP_MEASURE_PERIOD_BROKER_VALUE","DEEP_MEASURE_ID_OVERRIDE",$C119,"DEEP_BROKER_ID_OVERRIDE",AK$24,"DEEP_PERIOD_OVERRIDE",$H$19)*1,"")))</f>
        <v/>
      </c>
      <c r="AL119" t="str">
        <f>IF(OR(AL$23="",ISNA($B119)),"",IF(ISBLANK($B119),"",IFERROR(_xll.BDP(TICKER,"DEEP_MEASURE_PERIOD_BROKER_VALUE","DEEP_MEASURE_ID_OVERRIDE",$C119,"DEEP_BROKER_ID_OVERRIDE",AL$24,"DEEP_PERIOD_OVERRIDE",$H$19)*1,"")))</f>
        <v/>
      </c>
      <c r="AM119" t="str">
        <f>IF(OR(AM$23="",ISNA($B119)),"",IF(ISBLANK($B119),"",IFERROR(_xll.BDP(TICKER,"DEEP_MEASURE_PERIOD_BROKER_VALUE","DEEP_MEASURE_ID_OVERRIDE",$C119,"DEEP_BROKER_ID_OVERRIDE",AM$24,"DEEP_PERIOD_OVERRIDE",$H$19)*1,"")))</f>
        <v/>
      </c>
      <c r="AN119" t="str">
        <f>IF(OR(AN$23="",ISNA($B119)),"",IF(ISBLANK($B119),"",IFERROR(_xll.BDP(TICKER,"DEEP_MEASURE_PERIOD_BROKER_VALUE","DEEP_MEASURE_ID_OVERRIDE",$C119,"DEEP_BROKER_ID_OVERRIDE",AN$24,"DEEP_PERIOD_OVERRIDE",$H$19)*1,"")))</f>
        <v/>
      </c>
      <c r="AO119" t="str">
        <f>IF(OR(AO$23="",ISNA($B119)),"",IF(ISBLANK($B119),"",IFERROR(_xll.BDP(TICKER,"DEEP_MEASURE_PERIOD_BROKER_VALUE","DEEP_MEASURE_ID_OVERRIDE",$C119,"DEEP_BROKER_ID_OVERRIDE",AO$24,"DEEP_PERIOD_OVERRIDE",$H$19)*1,"")))</f>
        <v/>
      </c>
      <c r="AP119" t="str">
        <f>IF(OR(AP$23="",ISNA($B119)),"",IF(ISBLANK($B119),"",IFERROR(_xll.BDP(TICKER,"DEEP_MEASURE_PERIOD_BROKER_VALUE","DEEP_MEASURE_ID_OVERRIDE",$C119,"DEEP_BROKER_ID_OVERRIDE",AP$24,"DEEP_PERIOD_OVERRIDE",$H$19)*1,"")))</f>
        <v/>
      </c>
      <c r="AQ119" t="str">
        <f>IF(OR(AQ$23="",ISNA($B119)),"",IF(ISBLANK($B119),"",IFERROR(_xll.BDP(TICKER,"DEEP_MEASURE_PERIOD_BROKER_VALUE","DEEP_MEASURE_ID_OVERRIDE",$C119,"DEEP_BROKER_ID_OVERRIDE",AQ$24,"DEEP_PERIOD_OVERRIDE",$H$19)*1,"")))</f>
        <v/>
      </c>
      <c r="AR119" t="str">
        <f>IF(OR(AR$23="",ISNA($B119)),"",IF(ISBLANK($B119),"",IFERROR(_xll.BDP(TICKER,"DEEP_MEASURE_PERIOD_BROKER_VALUE","DEEP_MEASURE_ID_OVERRIDE",$C119,"DEEP_BROKER_ID_OVERRIDE",AR$24,"DEEP_PERIOD_OVERRIDE",$H$19)*1,"")))</f>
        <v/>
      </c>
      <c r="AS119" t="str">
        <f>IF(OR(AS$23="",ISNA($B119)),"",IF(ISBLANK($B119),"",IFERROR(_xll.BDP(TICKER,"DEEP_MEASURE_PERIOD_BROKER_VALUE","DEEP_MEASURE_ID_OVERRIDE",$C119,"DEEP_BROKER_ID_OVERRIDE",AS$24,"DEEP_PERIOD_OVERRIDE",$H$19)*1,"")))</f>
        <v/>
      </c>
      <c r="AT119" t="str">
        <f>IF(OR(AT$23="",ISNA($B119)),"",IF(ISBLANK($B119),"",IFERROR(_xll.BDP(TICKER,"DEEP_MEASURE_PERIOD_BROKER_VALUE","DEEP_MEASURE_ID_OVERRIDE",$C119,"DEEP_BROKER_ID_OVERRIDE",AT$24,"DEEP_PERIOD_OVERRIDE",$H$19)*1,"")))</f>
        <v/>
      </c>
      <c r="AU119" t="str">
        <f>IF(OR(AU$23="",ISNA($B119)),"",IF(ISBLANK($B119),"",IFERROR(_xll.BDP(TICKER,"DEEP_MEASURE_PERIOD_BROKER_VALUE","DEEP_MEASURE_ID_OVERRIDE",$C119,"DEEP_BROKER_ID_OVERRIDE",AU$24,"DEEP_PERIOD_OVERRIDE",$H$19)*1,"")))</f>
        <v/>
      </c>
      <c r="AV119" t="str">
        <f>IF(OR(AV$23="",ISNA($B119)),"",IF(ISBLANK($B119),"",IFERROR(_xll.BDP(TICKER,"DEEP_MEASURE_PERIOD_BROKER_VALUE","DEEP_MEASURE_ID_OVERRIDE",$C119,"DEEP_BROKER_ID_OVERRIDE",AV$24,"DEEP_PERIOD_OVERRIDE",$H$19)*1,"")))</f>
        <v/>
      </c>
      <c r="AW119" t="str">
        <f>IF(OR(AW$23="",ISNA($B119)),"",IF(ISBLANK($B119),"",IFERROR(_xll.BDP(TICKER,"DEEP_MEASURE_PERIOD_BROKER_VALUE","DEEP_MEASURE_ID_OVERRIDE",$C119,"DEEP_BROKER_ID_OVERRIDE",AW$24,"DEEP_PERIOD_OVERRIDE",$H$19)*1,"")))</f>
        <v/>
      </c>
      <c r="AX119" t="str">
        <f>IF(OR(AX$23="",ISNA($B119)),"",IF(ISBLANK($B119),"",IFERROR(_xll.BDP(TICKER,"DEEP_MEASURE_PERIOD_BROKER_VALUE","DEEP_MEASURE_ID_OVERRIDE",$C119,"DEEP_BROKER_ID_OVERRIDE",AX$24,"DEEP_PERIOD_OVERRIDE",$H$19)*1,"")))</f>
        <v/>
      </c>
      <c r="AY119" t="str">
        <f>IF(OR(AY$23="",ISNA($B119)),"",IF(ISBLANK($B119),"",IFERROR(_xll.BDP(TICKER,"DEEP_MEASURE_PERIOD_BROKER_VALUE","DEEP_MEASURE_ID_OVERRIDE",$C119,"DEEP_BROKER_ID_OVERRIDE",AY$24,"DEEP_PERIOD_OVERRIDE",$H$19)*1,"")))</f>
        <v/>
      </c>
      <c r="AZ119" t="str">
        <f>IF(OR(AZ$23="",ISNA($B119)),"",IF(ISBLANK($B119),"",IFERROR(_xll.BDP(TICKER,"DEEP_MEASURE_PERIOD_BROKER_VALUE","DEEP_MEASURE_ID_OVERRIDE",$C119,"DEEP_BROKER_ID_OVERRIDE",AZ$24,"DEEP_PERIOD_OVERRIDE",$H$19)*1,"")))</f>
        <v/>
      </c>
      <c r="BA119" t="str">
        <f>IF(OR(BA$23="",ISNA($B119)),"",IF(ISBLANK($B119),"",IFERROR(_xll.BDP(TICKER,"DEEP_MEASURE_PERIOD_BROKER_VALUE","DEEP_MEASURE_ID_OVERRIDE",$C119,"DEEP_BROKER_ID_OVERRIDE",BA$24,"DEEP_PERIOD_OVERRIDE",$H$19)*1,"")))</f>
        <v/>
      </c>
      <c r="BB119" t="str">
        <f>IF(OR(BB$23="",ISNA($B119)),"",IF(ISBLANK($B119),"",IFERROR(_xll.BDP(TICKER,"DEEP_MEASURE_PERIOD_BROKER_VALUE","DEEP_MEASURE_ID_OVERRIDE",$C119,"DEEP_BROKER_ID_OVERRIDE",BB$24,"DEEP_PERIOD_OVERRIDE",$H$19)*1,"")))</f>
        <v/>
      </c>
      <c r="BC119" t="str">
        <f>IF(OR(BC$23="",ISNA($B119)),"",IF(ISBLANK($B119),"",IFERROR(_xll.BDP(TICKER,"DEEP_MEASURE_PERIOD_BROKER_VALUE","DEEP_MEASURE_ID_OVERRIDE",$C119,"DEEP_BROKER_ID_OVERRIDE",BC$24,"DEEP_PERIOD_OVERRIDE",$H$19)*1,"")))</f>
        <v/>
      </c>
      <c r="BD119" t="str">
        <f>IF(OR(BD$23="",ISNA($B119)),"",IF(ISBLANK($B119),"",IFERROR(_xll.BDP(TICKER,"DEEP_MEASURE_PERIOD_BROKER_VALUE","DEEP_MEASURE_ID_OVERRIDE",$C119,"DEEP_BROKER_ID_OVERRIDE",BD$24,"DEEP_PERIOD_OVERRIDE",$H$19)*1,"")))</f>
        <v/>
      </c>
      <c r="BE119" t="str">
        <f>IF(OR(BE$23="",ISNA($B119)),"",IF(ISBLANK($B119),"",IFERROR(_xll.BDP(TICKER,"DEEP_MEASURE_PERIOD_BROKER_VALUE","DEEP_MEASURE_ID_OVERRIDE",$C119,"DEEP_BROKER_ID_OVERRIDE",BE$24,"DEEP_PERIOD_OVERRIDE",$H$19)*1,"")))</f>
        <v/>
      </c>
      <c r="BF119" t="str">
        <f>IF(OR(BF$23="",ISNA($B119)),"",IF(ISBLANK($B119),"",IFERROR(_xll.BDP(TICKER,"DEEP_MEASURE_PERIOD_BROKER_VALUE","DEEP_MEASURE_ID_OVERRIDE",$C119,"DEEP_BROKER_ID_OVERRIDE",BF$24,"DEEP_PERIOD_OVERRIDE",$H$19)*1,"")))</f>
        <v/>
      </c>
      <c r="BG119" t="str">
        <f>IF(OR(BG$23="",ISNA($B119)),"",IF(ISBLANK($B119),"",IFERROR(_xll.BDP(TICKER,"DEEP_MEASURE_PERIOD_BROKER_VALUE","DEEP_MEASURE_ID_OVERRIDE",$C119,"DEEP_BROKER_ID_OVERRIDE",BG$24,"DEEP_PERIOD_OVERRIDE",$H$19)*1,"")))</f>
        <v/>
      </c>
      <c r="BH119" t="str">
        <f>IF(OR(BH$23="",ISNA($B119)),"",IF(ISBLANK($B119),"",IFERROR(_xll.BDP(TICKER,"DEEP_MEASURE_PERIOD_BROKER_VALUE","DEEP_MEASURE_ID_OVERRIDE",$C119,"DEEP_BROKER_ID_OVERRIDE",BH$24,"DEEP_PERIOD_OVERRIDE",$H$19)*1,"")))</f>
        <v/>
      </c>
      <c r="BI119" t="str">
        <f>IF(OR(BI$23="",ISNA($B119)),"",IF(ISBLANK($B119),"",IFERROR(_xll.BDP(TICKER,"DEEP_MEASURE_PERIOD_BROKER_VALUE","DEEP_MEASURE_ID_OVERRIDE",$C119,"DEEP_BROKER_ID_OVERRIDE",BI$24,"DEEP_PERIOD_OVERRIDE",$H$19)*1,"")))</f>
        <v/>
      </c>
      <c r="BJ119" t="str">
        <f>IF(OR(BJ$23="",ISNA($B119)),"",IF(ISBLANK($B119),"",IFERROR(_xll.BDP(TICKER,"DEEP_MEASURE_PERIOD_BROKER_VALUE","DEEP_MEASURE_ID_OVERRIDE",$C119,"DEEP_BROKER_ID_OVERRIDE",BJ$24,"DEEP_PERIOD_OVERRIDE",$H$19)*1,"")))</f>
        <v/>
      </c>
      <c r="BK119" t="str">
        <f>IF(OR(BK$23="",ISNA($B119)),"",IF(ISBLANK($B119),"",IFERROR(_xll.BDP(TICKER,"DEEP_MEASURE_PERIOD_BROKER_VALUE","DEEP_MEASURE_ID_OVERRIDE",$C119,"DEEP_BROKER_ID_OVERRIDE",BK$24,"DEEP_PERIOD_OVERRIDE",$H$19)*1,"")))</f>
        <v/>
      </c>
      <c r="BL119" t="str">
        <f>IF(OR(BL$23="",ISNA($B119)),"",IF(ISBLANK($B119),"",IFERROR(_xll.BDP(TICKER,"DEEP_MEASURE_PERIOD_BROKER_VALUE","DEEP_MEASURE_ID_OVERRIDE",$C119,"DEEP_BROKER_ID_OVERRIDE",BL$24,"DEEP_PERIOD_OVERRIDE",$H$19)*1,"")))</f>
        <v/>
      </c>
      <c r="BM119" t="str">
        <f>IF(OR(BM$23="",ISNA($B119)),"",IF(ISBLANK($B119),"",IFERROR(_xll.BDP(TICKER,"DEEP_MEASURE_PERIOD_BROKER_VALUE","DEEP_MEASURE_ID_OVERRIDE",$C119,"DEEP_BROKER_ID_OVERRIDE",BM$24,"DEEP_PERIOD_OVERRIDE",$H$19)*1,"")))</f>
        <v/>
      </c>
      <c r="BN119" t="str">
        <f>IF(OR(BN$23="",ISNA($B119)),"",IF(ISBLANK($B119),"",IFERROR(_xll.BDP(TICKER,"DEEP_MEASURE_PERIOD_BROKER_VALUE","DEEP_MEASURE_ID_OVERRIDE",$C119,"DEEP_BROKER_ID_OVERRIDE",BN$24,"DEEP_PERIOD_OVERRIDE",$H$19)*1,"")))</f>
        <v/>
      </c>
      <c r="BO119" t="str">
        <f>IF(OR(BO$23="",ISNA($B119)),"",IF(ISBLANK($B119),"",IFERROR(_xll.BDP(TICKER,"DEEP_MEASURE_PERIOD_BROKER_VALUE","DEEP_MEASURE_ID_OVERRIDE",$C119,"DEEP_BROKER_ID_OVERRIDE",BO$24,"DEEP_PERIOD_OVERRIDE",$H$19)*1,"")))</f>
        <v/>
      </c>
      <c r="BP119" t="str">
        <f>IF(OR(BP$23="",ISNA($B119)),"",IF(ISBLANK($B119),"",IFERROR(_xll.BDP(TICKER,"DEEP_MEASURE_PERIOD_BROKER_VALUE","DEEP_MEASURE_ID_OVERRIDE",$C119,"DEEP_BROKER_ID_OVERRIDE",BP$24,"DEEP_PERIOD_OVERRIDE",$H$19)*1,"")))</f>
        <v/>
      </c>
      <c r="BQ119" t="str">
        <f>IF(OR(BQ$23="",ISNA($B119)),"",IF(ISBLANK($B119),"",IFERROR(_xll.BDP(TICKER,"DEEP_MEASURE_PERIOD_BROKER_VALUE","DEEP_MEASURE_ID_OVERRIDE",$C119,"DEEP_BROKER_ID_OVERRIDE",BQ$24,"DEEP_PERIOD_OVERRIDE",$H$19)*1,"")))</f>
        <v/>
      </c>
      <c r="BR119" t="str">
        <f>IF(OR(BR$23="",ISNA($B119)),"",IF(ISBLANK($B119),"",IFERROR(_xll.BDP(TICKER,"DEEP_MEASURE_PERIOD_BROKER_VALUE","DEEP_MEASURE_ID_OVERRIDE",$C119,"DEEP_BROKER_ID_OVERRIDE",BR$24,"DEEP_PERIOD_OVERRIDE",$H$19)*1,"")))</f>
        <v/>
      </c>
      <c r="BS119" t="str">
        <f>IF(OR(BS$23="",ISNA($B119)),"",IF(ISBLANK($B119),"",IFERROR(_xll.BDP(TICKER,"DEEP_MEASURE_PERIOD_BROKER_VALUE","DEEP_MEASURE_ID_OVERRIDE",$C119,"DEEP_BROKER_ID_OVERRIDE",BS$24,"DEEP_PERIOD_OVERRIDE",$H$19)*1,"")))</f>
        <v/>
      </c>
      <c r="BT119" t="str">
        <f>IF(OR(BT$23="",ISNA($B119)),"",IF(ISBLANK($B119),"",IFERROR(_xll.BDP(TICKER,"DEEP_MEASURE_PERIOD_BROKER_VALUE","DEEP_MEASURE_ID_OVERRIDE",$C119,"DEEP_BROKER_ID_OVERRIDE",BT$24,"DEEP_PERIOD_OVERRIDE",$H$19)*1,"")))</f>
        <v/>
      </c>
      <c r="BU119" t="str">
        <f>IF(OR(BU$23="",ISNA($B119)),"",IF(ISBLANK($B119),"",IFERROR(_xll.BDP(TICKER,"DEEP_MEASURE_PERIOD_BROKER_VALUE","DEEP_MEASURE_ID_OVERRIDE",$C119,"DEEP_BROKER_ID_OVERRIDE",BU$24,"DEEP_PERIOD_OVERRIDE",$H$19)*1,"")))</f>
        <v/>
      </c>
      <c r="BV119" t="str">
        <f>IF(OR(BV$23="",ISNA($B119)),"",IF(ISBLANK($B119),"",IFERROR(_xll.BDP(TICKER,"DEEP_MEASURE_PERIOD_BROKER_VALUE","DEEP_MEASURE_ID_OVERRIDE",$C119,"DEEP_BROKER_ID_OVERRIDE",BV$24,"DEEP_PERIOD_OVERRIDE",$H$19)*1,"")))</f>
        <v/>
      </c>
      <c r="BW119" t="str">
        <f>IF(OR(BW$23="",ISNA($B119)),"",IF(ISBLANK($B119),"",IFERROR(_xll.BDP(TICKER,"DEEP_MEASURE_PERIOD_BROKER_VALUE","DEEP_MEASURE_ID_OVERRIDE",$C119,"DEEP_BROKER_ID_OVERRIDE",BW$24,"DEEP_PERIOD_OVERRIDE",$H$19)*1,"")))</f>
        <v/>
      </c>
      <c r="BX119" t="str">
        <f>IF(OR(BX$23="",ISNA($B119)),"",IF(ISBLANK($B119),"",IFERROR(_xll.BDP(TICKER,"DEEP_MEASURE_PERIOD_BROKER_VALUE","DEEP_MEASURE_ID_OVERRIDE",$C119,"DEEP_BROKER_ID_OVERRIDE",BX$24,"DEEP_PERIOD_OVERRIDE",$H$19)*1,"")))</f>
        <v/>
      </c>
      <c r="BY119" t="str">
        <f>IF(OR(BY$23="",ISNA($B119)),"",IF(ISBLANK($B119),"",IFERROR(_xll.BDP(TICKER,"DEEP_MEASURE_PERIOD_BROKER_VALUE","DEEP_MEASURE_ID_OVERRIDE",$C119,"DEEP_BROKER_ID_OVERRIDE",BY$24,"DEEP_PERIOD_OVERRIDE",$H$19)*1,"")))</f>
        <v/>
      </c>
      <c r="BZ119" t="str">
        <f>IF(OR(BZ$23="",ISNA($B119)),"",IF(ISBLANK($B119),"",IFERROR(_xll.BDP(TICKER,"DEEP_MEASURE_PERIOD_BROKER_VALUE","DEEP_MEASURE_ID_OVERRIDE",$C119,"DEEP_BROKER_ID_OVERRIDE",BZ$24,"DEEP_PERIOD_OVERRIDE",$H$19)*1,"")))</f>
        <v/>
      </c>
    </row>
    <row r="120" spans="2:78" x14ac:dyDescent="0.25">
      <c r="B120" t="s">
        <v>160</v>
      </c>
      <c r="C120">
        <v>3744</v>
      </c>
      <c r="H120" t="str">
        <f t="shared" si="2"/>
        <v>TV Brand Advertising</v>
      </c>
      <c r="I120" t="str">
        <f>IF(OR(I$23="",ISNA($B120)),"",IF(ISBLANK($B120),"",IFERROR(_xll.BDP(TICKER,"DEEP_MEASURE_PERIOD_BROKER_VALUE","DEEP_MEASURE_ID_OVERRIDE",$C120,"DEEP_PERIOD_OVERRIDE",$H$19)*1,"")))</f>
        <v/>
      </c>
      <c r="J120" t="e">
        <f>IF(OR(J$23="",ISNA($B120)),"",IF(ISBLANK($B120),"",IFERROR(_xll.BDP(TICKER,"DEEP_MEASURE_PERIOD_BROKER_VALUE","DEEP_MEASURE_ID_OVERRIDE",$C120,"DEEP_BROKER_ID_OVERRIDE",J$24,"DEEP_PERIOD_OVERRIDE",$H$19)*1,"")))</f>
        <v>#REF!</v>
      </c>
      <c r="K120" t="str">
        <f>IF(OR(K$23="",ISNA($B120)),"",IF(ISBLANK($B120),"",IFERROR(_xll.BDP(TICKER,"DEEP_MEASURE_PERIOD_BROKER_VALUE","DEEP_MEASURE_ID_OVERRIDE",$C120,"DEEP_BROKER_ID_OVERRIDE",K$24,"DEEP_PERIOD_OVERRIDE",$H$19)*1,"")))</f>
        <v/>
      </c>
      <c r="L120" t="str">
        <f>IF(OR(L$23="",ISNA($B120)),"",IF(ISBLANK($B120),"",IFERROR(_xll.BDP(TICKER,"DEEP_MEASURE_PERIOD_BROKER_VALUE","DEEP_MEASURE_ID_OVERRIDE",$C120,"DEEP_BROKER_ID_OVERRIDE",L$24,"DEEP_PERIOD_OVERRIDE",$H$19)*1,"")))</f>
        <v/>
      </c>
      <c r="M120" t="str">
        <f>IF(OR(M$23="",ISNA($B120)),"",IF(ISBLANK($B120),"",IFERROR(_xll.BDP(TICKER,"DEEP_MEASURE_PERIOD_BROKER_VALUE","DEEP_MEASURE_ID_OVERRIDE",$C120,"DEEP_BROKER_ID_OVERRIDE",M$24,"DEEP_PERIOD_OVERRIDE",$H$19)*1,"")))</f>
        <v/>
      </c>
      <c r="N120" t="str">
        <f>IF(OR(N$23="",ISNA($B120)),"",IF(ISBLANK($B120),"",IFERROR(_xll.BDP(TICKER,"DEEP_MEASURE_PERIOD_BROKER_VALUE","DEEP_MEASURE_ID_OVERRIDE",$C120,"DEEP_BROKER_ID_OVERRIDE",N$24,"DEEP_PERIOD_OVERRIDE",$H$19)*1,"")))</f>
        <v/>
      </c>
      <c r="O120" t="str">
        <f>IF(OR(O$23="",ISNA($B120)),"",IF(ISBLANK($B120),"",IFERROR(_xll.BDP(TICKER,"DEEP_MEASURE_PERIOD_BROKER_VALUE","DEEP_MEASURE_ID_OVERRIDE",$C120,"DEEP_BROKER_ID_OVERRIDE",O$24,"DEEP_PERIOD_OVERRIDE",$H$19)*1,"")))</f>
        <v/>
      </c>
      <c r="P120" t="str">
        <f>IF(OR(P$23="",ISNA($B120)),"",IF(ISBLANK($B120),"",IFERROR(_xll.BDP(TICKER,"DEEP_MEASURE_PERIOD_BROKER_VALUE","DEEP_MEASURE_ID_OVERRIDE",$C120,"DEEP_BROKER_ID_OVERRIDE",P$24,"DEEP_PERIOD_OVERRIDE",$H$19)*1,"")))</f>
        <v/>
      </c>
      <c r="Q120" t="str">
        <f>IF(OR(Q$23="",ISNA($B120)),"",IF(ISBLANK($B120),"",IFERROR(_xll.BDP(TICKER,"DEEP_MEASURE_PERIOD_BROKER_VALUE","DEEP_MEASURE_ID_OVERRIDE",$C120,"DEEP_BROKER_ID_OVERRIDE",Q$24,"DEEP_PERIOD_OVERRIDE",$H$19)*1,"")))</f>
        <v/>
      </c>
      <c r="R120" t="str">
        <f>IF(OR(R$23="",ISNA($B120)),"",IF(ISBLANK($B120),"",IFERROR(_xll.BDP(TICKER,"DEEP_MEASURE_PERIOD_BROKER_VALUE","DEEP_MEASURE_ID_OVERRIDE",$C120,"DEEP_BROKER_ID_OVERRIDE",R$24,"DEEP_PERIOD_OVERRIDE",$H$19)*1,"")))</f>
        <v/>
      </c>
      <c r="S120" t="str">
        <f>IF(OR(S$23="",ISNA($B120)),"",IF(ISBLANK($B120),"",IFERROR(_xll.BDP(TICKER,"DEEP_MEASURE_PERIOD_BROKER_VALUE","DEEP_MEASURE_ID_OVERRIDE",$C120,"DEEP_BROKER_ID_OVERRIDE",S$24,"DEEP_PERIOD_OVERRIDE",$H$19)*1,"")))</f>
        <v/>
      </c>
      <c r="T120" t="str">
        <f>IF(OR(T$23="",ISNA($B120)),"",IF(ISBLANK($B120),"",IFERROR(_xll.BDP(TICKER,"DEEP_MEASURE_PERIOD_BROKER_VALUE","DEEP_MEASURE_ID_OVERRIDE",$C120,"DEEP_BROKER_ID_OVERRIDE",T$24,"DEEP_PERIOD_OVERRIDE",$H$19)*1,"")))</f>
        <v/>
      </c>
      <c r="U120" t="str">
        <f>IF(OR(U$23="",ISNA($B120)),"",IF(ISBLANK($B120),"",IFERROR(_xll.BDP(TICKER,"DEEP_MEASURE_PERIOD_BROKER_VALUE","DEEP_MEASURE_ID_OVERRIDE",$C120,"DEEP_BROKER_ID_OVERRIDE",U$24,"DEEP_PERIOD_OVERRIDE",$H$19)*1,"")))</f>
        <v/>
      </c>
      <c r="V120" t="str">
        <f>IF(OR(V$23="",ISNA($B120)),"",IF(ISBLANK($B120),"",IFERROR(_xll.BDP(TICKER,"DEEP_MEASURE_PERIOD_BROKER_VALUE","DEEP_MEASURE_ID_OVERRIDE",$C120,"DEEP_BROKER_ID_OVERRIDE",V$24,"DEEP_PERIOD_OVERRIDE",$H$19)*1,"")))</f>
        <v/>
      </c>
      <c r="W120" t="str">
        <f>IF(OR(W$23="",ISNA($B120)),"",IF(ISBLANK($B120),"",IFERROR(_xll.BDP(TICKER,"DEEP_MEASURE_PERIOD_BROKER_VALUE","DEEP_MEASURE_ID_OVERRIDE",$C120,"DEEP_BROKER_ID_OVERRIDE",W$24,"DEEP_PERIOD_OVERRIDE",$H$19)*1,"")))</f>
        <v/>
      </c>
      <c r="X120" t="str">
        <f>IF(OR(X$23="",ISNA($B120)),"",IF(ISBLANK($B120),"",IFERROR(_xll.BDP(TICKER,"DEEP_MEASURE_PERIOD_BROKER_VALUE","DEEP_MEASURE_ID_OVERRIDE",$C120,"DEEP_BROKER_ID_OVERRIDE",X$24,"DEEP_PERIOD_OVERRIDE",$H$19)*1,"")))</f>
        <v/>
      </c>
      <c r="Y120" t="str">
        <f>IF(OR(Y$23="",ISNA($B120)),"",IF(ISBLANK($B120),"",IFERROR(_xll.BDP(TICKER,"DEEP_MEASURE_PERIOD_BROKER_VALUE","DEEP_MEASURE_ID_OVERRIDE",$C120,"DEEP_BROKER_ID_OVERRIDE",Y$24,"DEEP_PERIOD_OVERRIDE",$H$19)*1,"")))</f>
        <v/>
      </c>
      <c r="Z120" t="str">
        <f>IF(OR(Z$23="",ISNA($B120)),"",IF(ISBLANK($B120),"",IFERROR(_xll.BDP(TICKER,"DEEP_MEASURE_PERIOD_BROKER_VALUE","DEEP_MEASURE_ID_OVERRIDE",$C120,"DEEP_BROKER_ID_OVERRIDE",Z$24,"DEEP_PERIOD_OVERRIDE",$H$19)*1,"")))</f>
        <v/>
      </c>
      <c r="AA120" t="str">
        <f>IF(OR(AA$23="",ISNA($B120)),"",IF(ISBLANK($B120),"",IFERROR(_xll.BDP(TICKER,"DEEP_MEASURE_PERIOD_BROKER_VALUE","DEEP_MEASURE_ID_OVERRIDE",$C120,"DEEP_BROKER_ID_OVERRIDE",AA$24,"DEEP_PERIOD_OVERRIDE",$H$19)*1,"")))</f>
        <v/>
      </c>
      <c r="AB120" t="str">
        <f>IF(OR(AB$23="",ISNA($B120)),"",IF(ISBLANK($B120),"",IFERROR(_xll.BDP(TICKER,"DEEP_MEASURE_PERIOD_BROKER_VALUE","DEEP_MEASURE_ID_OVERRIDE",$C120,"DEEP_BROKER_ID_OVERRIDE",AB$24,"DEEP_PERIOD_OVERRIDE",$H$19)*1,"")))</f>
        <v/>
      </c>
      <c r="AC120" t="str">
        <f>IF(OR(AC$23="",ISNA($B120)),"",IF(ISBLANK($B120),"",IFERROR(_xll.BDP(TICKER,"DEEP_MEASURE_PERIOD_BROKER_VALUE","DEEP_MEASURE_ID_OVERRIDE",$C120,"DEEP_BROKER_ID_OVERRIDE",AC$24,"DEEP_PERIOD_OVERRIDE",$H$19)*1,"")))</f>
        <v/>
      </c>
      <c r="AD120" t="str">
        <f>IF(OR(AD$23="",ISNA($B120)),"",IF(ISBLANK($B120),"",IFERROR(_xll.BDP(TICKER,"DEEP_MEASURE_PERIOD_BROKER_VALUE","DEEP_MEASURE_ID_OVERRIDE",$C120,"DEEP_BROKER_ID_OVERRIDE",AD$24,"DEEP_PERIOD_OVERRIDE",$H$19)*1,"")))</f>
        <v/>
      </c>
      <c r="AE120" t="str">
        <f>IF(OR(AE$23="",ISNA($B120)),"",IF(ISBLANK($B120),"",IFERROR(_xll.BDP(TICKER,"DEEP_MEASURE_PERIOD_BROKER_VALUE","DEEP_MEASURE_ID_OVERRIDE",$C120,"DEEP_BROKER_ID_OVERRIDE",AE$24,"DEEP_PERIOD_OVERRIDE",$H$19)*1,"")))</f>
        <v/>
      </c>
      <c r="AF120" t="str">
        <f>IF(OR(AF$23="",ISNA($B120)),"",IF(ISBLANK($B120),"",IFERROR(_xll.BDP(TICKER,"DEEP_MEASURE_PERIOD_BROKER_VALUE","DEEP_MEASURE_ID_OVERRIDE",$C120,"DEEP_BROKER_ID_OVERRIDE",AF$24,"DEEP_PERIOD_OVERRIDE",$H$19)*1,"")))</f>
        <v/>
      </c>
      <c r="AG120" t="str">
        <f>IF(OR(AG$23="",ISNA($B120)),"",IF(ISBLANK($B120),"",IFERROR(_xll.BDP(TICKER,"DEEP_MEASURE_PERIOD_BROKER_VALUE","DEEP_MEASURE_ID_OVERRIDE",$C120,"DEEP_BROKER_ID_OVERRIDE",AG$24,"DEEP_PERIOD_OVERRIDE",$H$19)*1,"")))</f>
        <v/>
      </c>
      <c r="AH120" t="str">
        <f>IF(OR(AH$23="",ISNA($B120)),"",IF(ISBLANK($B120),"",IFERROR(_xll.BDP(TICKER,"DEEP_MEASURE_PERIOD_BROKER_VALUE","DEEP_MEASURE_ID_OVERRIDE",$C120,"DEEP_BROKER_ID_OVERRIDE",AH$24,"DEEP_PERIOD_OVERRIDE",$H$19)*1,"")))</f>
        <v/>
      </c>
      <c r="AI120" t="str">
        <f>IF(OR(AI$23="",ISNA($B120)),"",IF(ISBLANK($B120),"",IFERROR(_xll.BDP(TICKER,"DEEP_MEASURE_PERIOD_BROKER_VALUE","DEEP_MEASURE_ID_OVERRIDE",$C120,"DEEP_BROKER_ID_OVERRIDE",AI$24,"DEEP_PERIOD_OVERRIDE",$H$19)*1,"")))</f>
        <v/>
      </c>
      <c r="AJ120" t="str">
        <f>IF(OR(AJ$23="",ISNA($B120)),"",IF(ISBLANK($B120),"",IFERROR(_xll.BDP(TICKER,"DEEP_MEASURE_PERIOD_BROKER_VALUE","DEEP_MEASURE_ID_OVERRIDE",$C120,"DEEP_BROKER_ID_OVERRIDE",AJ$24,"DEEP_PERIOD_OVERRIDE",$H$19)*1,"")))</f>
        <v/>
      </c>
      <c r="AK120" t="str">
        <f>IF(OR(AK$23="",ISNA($B120)),"",IF(ISBLANK($B120),"",IFERROR(_xll.BDP(TICKER,"DEEP_MEASURE_PERIOD_BROKER_VALUE","DEEP_MEASURE_ID_OVERRIDE",$C120,"DEEP_BROKER_ID_OVERRIDE",AK$24,"DEEP_PERIOD_OVERRIDE",$H$19)*1,"")))</f>
        <v/>
      </c>
      <c r="AL120" t="str">
        <f>IF(OR(AL$23="",ISNA($B120)),"",IF(ISBLANK($B120),"",IFERROR(_xll.BDP(TICKER,"DEEP_MEASURE_PERIOD_BROKER_VALUE","DEEP_MEASURE_ID_OVERRIDE",$C120,"DEEP_BROKER_ID_OVERRIDE",AL$24,"DEEP_PERIOD_OVERRIDE",$H$19)*1,"")))</f>
        <v/>
      </c>
      <c r="AM120" t="str">
        <f>IF(OR(AM$23="",ISNA($B120)),"",IF(ISBLANK($B120),"",IFERROR(_xll.BDP(TICKER,"DEEP_MEASURE_PERIOD_BROKER_VALUE","DEEP_MEASURE_ID_OVERRIDE",$C120,"DEEP_BROKER_ID_OVERRIDE",AM$24,"DEEP_PERIOD_OVERRIDE",$H$19)*1,"")))</f>
        <v/>
      </c>
      <c r="AN120" t="str">
        <f>IF(OR(AN$23="",ISNA($B120)),"",IF(ISBLANK($B120),"",IFERROR(_xll.BDP(TICKER,"DEEP_MEASURE_PERIOD_BROKER_VALUE","DEEP_MEASURE_ID_OVERRIDE",$C120,"DEEP_BROKER_ID_OVERRIDE",AN$24,"DEEP_PERIOD_OVERRIDE",$H$19)*1,"")))</f>
        <v/>
      </c>
      <c r="AO120" t="str">
        <f>IF(OR(AO$23="",ISNA($B120)),"",IF(ISBLANK($B120),"",IFERROR(_xll.BDP(TICKER,"DEEP_MEASURE_PERIOD_BROKER_VALUE","DEEP_MEASURE_ID_OVERRIDE",$C120,"DEEP_BROKER_ID_OVERRIDE",AO$24,"DEEP_PERIOD_OVERRIDE",$H$19)*1,"")))</f>
        <v/>
      </c>
      <c r="AP120" t="str">
        <f>IF(OR(AP$23="",ISNA($B120)),"",IF(ISBLANK($B120),"",IFERROR(_xll.BDP(TICKER,"DEEP_MEASURE_PERIOD_BROKER_VALUE","DEEP_MEASURE_ID_OVERRIDE",$C120,"DEEP_BROKER_ID_OVERRIDE",AP$24,"DEEP_PERIOD_OVERRIDE",$H$19)*1,"")))</f>
        <v/>
      </c>
      <c r="AQ120" t="str">
        <f>IF(OR(AQ$23="",ISNA($B120)),"",IF(ISBLANK($B120),"",IFERROR(_xll.BDP(TICKER,"DEEP_MEASURE_PERIOD_BROKER_VALUE","DEEP_MEASURE_ID_OVERRIDE",$C120,"DEEP_BROKER_ID_OVERRIDE",AQ$24,"DEEP_PERIOD_OVERRIDE",$H$19)*1,"")))</f>
        <v/>
      </c>
      <c r="AR120" t="str">
        <f>IF(OR(AR$23="",ISNA($B120)),"",IF(ISBLANK($B120),"",IFERROR(_xll.BDP(TICKER,"DEEP_MEASURE_PERIOD_BROKER_VALUE","DEEP_MEASURE_ID_OVERRIDE",$C120,"DEEP_BROKER_ID_OVERRIDE",AR$24,"DEEP_PERIOD_OVERRIDE",$H$19)*1,"")))</f>
        <v/>
      </c>
      <c r="AS120" t="str">
        <f>IF(OR(AS$23="",ISNA($B120)),"",IF(ISBLANK($B120),"",IFERROR(_xll.BDP(TICKER,"DEEP_MEASURE_PERIOD_BROKER_VALUE","DEEP_MEASURE_ID_OVERRIDE",$C120,"DEEP_BROKER_ID_OVERRIDE",AS$24,"DEEP_PERIOD_OVERRIDE",$H$19)*1,"")))</f>
        <v/>
      </c>
      <c r="AT120" t="str">
        <f>IF(OR(AT$23="",ISNA($B120)),"",IF(ISBLANK($B120),"",IFERROR(_xll.BDP(TICKER,"DEEP_MEASURE_PERIOD_BROKER_VALUE","DEEP_MEASURE_ID_OVERRIDE",$C120,"DEEP_BROKER_ID_OVERRIDE",AT$24,"DEEP_PERIOD_OVERRIDE",$H$19)*1,"")))</f>
        <v/>
      </c>
      <c r="AU120" t="str">
        <f>IF(OR(AU$23="",ISNA($B120)),"",IF(ISBLANK($B120),"",IFERROR(_xll.BDP(TICKER,"DEEP_MEASURE_PERIOD_BROKER_VALUE","DEEP_MEASURE_ID_OVERRIDE",$C120,"DEEP_BROKER_ID_OVERRIDE",AU$24,"DEEP_PERIOD_OVERRIDE",$H$19)*1,"")))</f>
        <v/>
      </c>
      <c r="AV120" t="str">
        <f>IF(OR(AV$23="",ISNA($B120)),"",IF(ISBLANK($B120),"",IFERROR(_xll.BDP(TICKER,"DEEP_MEASURE_PERIOD_BROKER_VALUE","DEEP_MEASURE_ID_OVERRIDE",$C120,"DEEP_BROKER_ID_OVERRIDE",AV$24,"DEEP_PERIOD_OVERRIDE",$H$19)*1,"")))</f>
        <v/>
      </c>
      <c r="AW120" t="str">
        <f>IF(OR(AW$23="",ISNA($B120)),"",IF(ISBLANK($B120),"",IFERROR(_xll.BDP(TICKER,"DEEP_MEASURE_PERIOD_BROKER_VALUE","DEEP_MEASURE_ID_OVERRIDE",$C120,"DEEP_BROKER_ID_OVERRIDE",AW$24,"DEEP_PERIOD_OVERRIDE",$H$19)*1,"")))</f>
        <v/>
      </c>
      <c r="AX120" t="str">
        <f>IF(OR(AX$23="",ISNA($B120)),"",IF(ISBLANK($B120),"",IFERROR(_xll.BDP(TICKER,"DEEP_MEASURE_PERIOD_BROKER_VALUE","DEEP_MEASURE_ID_OVERRIDE",$C120,"DEEP_BROKER_ID_OVERRIDE",AX$24,"DEEP_PERIOD_OVERRIDE",$H$19)*1,"")))</f>
        <v/>
      </c>
      <c r="AY120" t="str">
        <f>IF(OR(AY$23="",ISNA($B120)),"",IF(ISBLANK($B120),"",IFERROR(_xll.BDP(TICKER,"DEEP_MEASURE_PERIOD_BROKER_VALUE","DEEP_MEASURE_ID_OVERRIDE",$C120,"DEEP_BROKER_ID_OVERRIDE",AY$24,"DEEP_PERIOD_OVERRIDE",$H$19)*1,"")))</f>
        <v/>
      </c>
      <c r="AZ120" t="str">
        <f>IF(OR(AZ$23="",ISNA($B120)),"",IF(ISBLANK($B120),"",IFERROR(_xll.BDP(TICKER,"DEEP_MEASURE_PERIOD_BROKER_VALUE","DEEP_MEASURE_ID_OVERRIDE",$C120,"DEEP_BROKER_ID_OVERRIDE",AZ$24,"DEEP_PERIOD_OVERRIDE",$H$19)*1,"")))</f>
        <v/>
      </c>
      <c r="BA120" t="str">
        <f>IF(OR(BA$23="",ISNA($B120)),"",IF(ISBLANK($B120),"",IFERROR(_xll.BDP(TICKER,"DEEP_MEASURE_PERIOD_BROKER_VALUE","DEEP_MEASURE_ID_OVERRIDE",$C120,"DEEP_BROKER_ID_OVERRIDE",BA$24,"DEEP_PERIOD_OVERRIDE",$H$19)*1,"")))</f>
        <v/>
      </c>
      <c r="BB120" t="str">
        <f>IF(OR(BB$23="",ISNA($B120)),"",IF(ISBLANK($B120),"",IFERROR(_xll.BDP(TICKER,"DEEP_MEASURE_PERIOD_BROKER_VALUE","DEEP_MEASURE_ID_OVERRIDE",$C120,"DEEP_BROKER_ID_OVERRIDE",BB$24,"DEEP_PERIOD_OVERRIDE",$H$19)*1,"")))</f>
        <v/>
      </c>
      <c r="BC120" t="str">
        <f>IF(OR(BC$23="",ISNA($B120)),"",IF(ISBLANK($B120),"",IFERROR(_xll.BDP(TICKER,"DEEP_MEASURE_PERIOD_BROKER_VALUE","DEEP_MEASURE_ID_OVERRIDE",$C120,"DEEP_BROKER_ID_OVERRIDE",BC$24,"DEEP_PERIOD_OVERRIDE",$H$19)*1,"")))</f>
        <v/>
      </c>
      <c r="BD120" t="str">
        <f>IF(OR(BD$23="",ISNA($B120)),"",IF(ISBLANK($B120),"",IFERROR(_xll.BDP(TICKER,"DEEP_MEASURE_PERIOD_BROKER_VALUE","DEEP_MEASURE_ID_OVERRIDE",$C120,"DEEP_BROKER_ID_OVERRIDE",BD$24,"DEEP_PERIOD_OVERRIDE",$H$19)*1,"")))</f>
        <v/>
      </c>
      <c r="BE120" t="str">
        <f>IF(OR(BE$23="",ISNA($B120)),"",IF(ISBLANK($B120),"",IFERROR(_xll.BDP(TICKER,"DEEP_MEASURE_PERIOD_BROKER_VALUE","DEEP_MEASURE_ID_OVERRIDE",$C120,"DEEP_BROKER_ID_OVERRIDE",BE$24,"DEEP_PERIOD_OVERRIDE",$H$19)*1,"")))</f>
        <v/>
      </c>
      <c r="BF120" t="str">
        <f>IF(OR(BF$23="",ISNA($B120)),"",IF(ISBLANK($B120),"",IFERROR(_xll.BDP(TICKER,"DEEP_MEASURE_PERIOD_BROKER_VALUE","DEEP_MEASURE_ID_OVERRIDE",$C120,"DEEP_BROKER_ID_OVERRIDE",BF$24,"DEEP_PERIOD_OVERRIDE",$H$19)*1,"")))</f>
        <v/>
      </c>
      <c r="BG120" t="str">
        <f>IF(OR(BG$23="",ISNA($B120)),"",IF(ISBLANK($B120),"",IFERROR(_xll.BDP(TICKER,"DEEP_MEASURE_PERIOD_BROKER_VALUE","DEEP_MEASURE_ID_OVERRIDE",$C120,"DEEP_BROKER_ID_OVERRIDE",BG$24,"DEEP_PERIOD_OVERRIDE",$H$19)*1,"")))</f>
        <v/>
      </c>
      <c r="BH120" t="str">
        <f>IF(OR(BH$23="",ISNA($B120)),"",IF(ISBLANK($B120),"",IFERROR(_xll.BDP(TICKER,"DEEP_MEASURE_PERIOD_BROKER_VALUE","DEEP_MEASURE_ID_OVERRIDE",$C120,"DEEP_BROKER_ID_OVERRIDE",BH$24,"DEEP_PERIOD_OVERRIDE",$H$19)*1,"")))</f>
        <v/>
      </c>
      <c r="BI120" t="str">
        <f>IF(OR(BI$23="",ISNA($B120)),"",IF(ISBLANK($B120),"",IFERROR(_xll.BDP(TICKER,"DEEP_MEASURE_PERIOD_BROKER_VALUE","DEEP_MEASURE_ID_OVERRIDE",$C120,"DEEP_BROKER_ID_OVERRIDE",BI$24,"DEEP_PERIOD_OVERRIDE",$H$19)*1,"")))</f>
        <v/>
      </c>
      <c r="BJ120" t="str">
        <f>IF(OR(BJ$23="",ISNA($B120)),"",IF(ISBLANK($B120),"",IFERROR(_xll.BDP(TICKER,"DEEP_MEASURE_PERIOD_BROKER_VALUE","DEEP_MEASURE_ID_OVERRIDE",$C120,"DEEP_BROKER_ID_OVERRIDE",BJ$24,"DEEP_PERIOD_OVERRIDE",$H$19)*1,"")))</f>
        <v/>
      </c>
      <c r="BK120" t="str">
        <f>IF(OR(BK$23="",ISNA($B120)),"",IF(ISBLANK($B120),"",IFERROR(_xll.BDP(TICKER,"DEEP_MEASURE_PERIOD_BROKER_VALUE","DEEP_MEASURE_ID_OVERRIDE",$C120,"DEEP_BROKER_ID_OVERRIDE",BK$24,"DEEP_PERIOD_OVERRIDE",$H$19)*1,"")))</f>
        <v/>
      </c>
      <c r="BL120" t="str">
        <f>IF(OR(BL$23="",ISNA($B120)),"",IF(ISBLANK($B120),"",IFERROR(_xll.BDP(TICKER,"DEEP_MEASURE_PERIOD_BROKER_VALUE","DEEP_MEASURE_ID_OVERRIDE",$C120,"DEEP_BROKER_ID_OVERRIDE",BL$24,"DEEP_PERIOD_OVERRIDE",$H$19)*1,"")))</f>
        <v/>
      </c>
      <c r="BM120" t="str">
        <f>IF(OR(BM$23="",ISNA($B120)),"",IF(ISBLANK($B120),"",IFERROR(_xll.BDP(TICKER,"DEEP_MEASURE_PERIOD_BROKER_VALUE","DEEP_MEASURE_ID_OVERRIDE",$C120,"DEEP_BROKER_ID_OVERRIDE",BM$24,"DEEP_PERIOD_OVERRIDE",$H$19)*1,"")))</f>
        <v/>
      </c>
      <c r="BN120" t="str">
        <f>IF(OR(BN$23="",ISNA($B120)),"",IF(ISBLANK($B120),"",IFERROR(_xll.BDP(TICKER,"DEEP_MEASURE_PERIOD_BROKER_VALUE","DEEP_MEASURE_ID_OVERRIDE",$C120,"DEEP_BROKER_ID_OVERRIDE",BN$24,"DEEP_PERIOD_OVERRIDE",$H$19)*1,"")))</f>
        <v/>
      </c>
      <c r="BO120" t="str">
        <f>IF(OR(BO$23="",ISNA($B120)),"",IF(ISBLANK($B120),"",IFERROR(_xll.BDP(TICKER,"DEEP_MEASURE_PERIOD_BROKER_VALUE","DEEP_MEASURE_ID_OVERRIDE",$C120,"DEEP_BROKER_ID_OVERRIDE",BO$24,"DEEP_PERIOD_OVERRIDE",$H$19)*1,"")))</f>
        <v/>
      </c>
      <c r="BP120" t="str">
        <f>IF(OR(BP$23="",ISNA($B120)),"",IF(ISBLANK($B120),"",IFERROR(_xll.BDP(TICKER,"DEEP_MEASURE_PERIOD_BROKER_VALUE","DEEP_MEASURE_ID_OVERRIDE",$C120,"DEEP_BROKER_ID_OVERRIDE",BP$24,"DEEP_PERIOD_OVERRIDE",$H$19)*1,"")))</f>
        <v/>
      </c>
      <c r="BQ120" t="str">
        <f>IF(OR(BQ$23="",ISNA($B120)),"",IF(ISBLANK($B120),"",IFERROR(_xll.BDP(TICKER,"DEEP_MEASURE_PERIOD_BROKER_VALUE","DEEP_MEASURE_ID_OVERRIDE",$C120,"DEEP_BROKER_ID_OVERRIDE",BQ$24,"DEEP_PERIOD_OVERRIDE",$H$19)*1,"")))</f>
        <v/>
      </c>
      <c r="BR120" t="str">
        <f>IF(OR(BR$23="",ISNA($B120)),"",IF(ISBLANK($B120),"",IFERROR(_xll.BDP(TICKER,"DEEP_MEASURE_PERIOD_BROKER_VALUE","DEEP_MEASURE_ID_OVERRIDE",$C120,"DEEP_BROKER_ID_OVERRIDE",BR$24,"DEEP_PERIOD_OVERRIDE",$H$19)*1,"")))</f>
        <v/>
      </c>
      <c r="BS120" t="str">
        <f>IF(OR(BS$23="",ISNA($B120)),"",IF(ISBLANK($B120),"",IFERROR(_xll.BDP(TICKER,"DEEP_MEASURE_PERIOD_BROKER_VALUE","DEEP_MEASURE_ID_OVERRIDE",$C120,"DEEP_BROKER_ID_OVERRIDE",BS$24,"DEEP_PERIOD_OVERRIDE",$H$19)*1,"")))</f>
        <v/>
      </c>
      <c r="BT120" t="str">
        <f>IF(OR(BT$23="",ISNA($B120)),"",IF(ISBLANK($B120),"",IFERROR(_xll.BDP(TICKER,"DEEP_MEASURE_PERIOD_BROKER_VALUE","DEEP_MEASURE_ID_OVERRIDE",$C120,"DEEP_BROKER_ID_OVERRIDE",BT$24,"DEEP_PERIOD_OVERRIDE",$H$19)*1,"")))</f>
        <v/>
      </c>
      <c r="BU120" t="str">
        <f>IF(OR(BU$23="",ISNA($B120)),"",IF(ISBLANK($B120),"",IFERROR(_xll.BDP(TICKER,"DEEP_MEASURE_PERIOD_BROKER_VALUE","DEEP_MEASURE_ID_OVERRIDE",$C120,"DEEP_BROKER_ID_OVERRIDE",BU$24,"DEEP_PERIOD_OVERRIDE",$H$19)*1,"")))</f>
        <v/>
      </c>
      <c r="BV120" t="str">
        <f>IF(OR(BV$23="",ISNA($B120)),"",IF(ISBLANK($B120),"",IFERROR(_xll.BDP(TICKER,"DEEP_MEASURE_PERIOD_BROKER_VALUE","DEEP_MEASURE_ID_OVERRIDE",$C120,"DEEP_BROKER_ID_OVERRIDE",BV$24,"DEEP_PERIOD_OVERRIDE",$H$19)*1,"")))</f>
        <v/>
      </c>
      <c r="BW120" t="str">
        <f>IF(OR(BW$23="",ISNA($B120)),"",IF(ISBLANK($B120),"",IFERROR(_xll.BDP(TICKER,"DEEP_MEASURE_PERIOD_BROKER_VALUE","DEEP_MEASURE_ID_OVERRIDE",$C120,"DEEP_BROKER_ID_OVERRIDE",BW$24,"DEEP_PERIOD_OVERRIDE",$H$19)*1,"")))</f>
        <v/>
      </c>
      <c r="BX120" t="str">
        <f>IF(OR(BX$23="",ISNA($B120)),"",IF(ISBLANK($B120),"",IFERROR(_xll.BDP(TICKER,"DEEP_MEASURE_PERIOD_BROKER_VALUE","DEEP_MEASURE_ID_OVERRIDE",$C120,"DEEP_BROKER_ID_OVERRIDE",BX$24,"DEEP_PERIOD_OVERRIDE",$H$19)*1,"")))</f>
        <v/>
      </c>
      <c r="BY120" t="str">
        <f>IF(OR(BY$23="",ISNA($B120)),"",IF(ISBLANK($B120),"",IFERROR(_xll.BDP(TICKER,"DEEP_MEASURE_PERIOD_BROKER_VALUE","DEEP_MEASURE_ID_OVERRIDE",$C120,"DEEP_BROKER_ID_OVERRIDE",BY$24,"DEEP_PERIOD_OVERRIDE",$H$19)*1,"")))</f>
        <v/>
      </c>
      <c r="BZ120" t="str">
        <f>IF(OR(BZ$23="",ISNA($B120)),"",IF(ISBLANK($B120),"",IFERROR(_xll.BDP(TICKER,"DEEP_MEASURE_PERIOD_BROKER_VALUE","DEEP_MEASURE_ID_OVERRIDE",$C120,"DEEP_BROKER_ID_OVERRIDE",BZ$24,"DEEP_PERIOD_OVERRIDE",$H$19)*1,"")))</f>
        <v/>
      </c>
    </row>
    <row r="121" spans="2:78" x14ac:dyDescent="0.25">
      <c r="B121" t="s">
        <v>161</v>
      </c>
      <c r="C121">
        <v>3746</v>
      </c>
      <c r="H121" t="str">
        <f t="shared" si="2"/>
        <v>TV Brand Advertising &gt; As % of Revenue</v>
      </c>
      <c r="I121" t="str">
        <f>IF(OR(I$23="",ISNA($B121)),"",IF(ISBLANK($B121),"",IFERROR(_xll.BDP(TICKER,"DEEP_MEASURE_PERIOD_BROKER_VALUE","DEEP_MEASURE_ID_OVERRIDE",$C121,"DEEP_PERIOD_OVERRIDE",$H$19)*1,"")))</f>
        <v/>
      </c>
      <c r="J121" t="e">
        <f>IF(OR(J$23="",ISNA($B121)),"",IF(ISBLANK($B121),"",IFERROR(_xll.BDP(TICKER,"DEEP_MEASURE_PERIOD_BROKER_VALUE","DEEP_MEASURE_ID_OVERRIDE",$C121,"DEEP_BROKER_ID_OVERRIDE",J$24,"DEEP_PERIOD_OVERRIDE",$H$19)*1,"")))</f>
        <v>#REF!</v>
      </c>
      <c r="K121" t="str">
        <f>IF(OR(K$23="",ISNA($B121)),"",IF(ISBLANK($B121),"",IFERROR(_xll.BDP(TICKER,"DEEP_MEASURE_PERIOD_BROKER_VALUE","DEEP_MEASURE_ID_OVERRIDE",$C121,"DEEP_BROKER_ID_OVERRIDE",K$24,"DEEP_PERIOD_OVERRIDE",$H$19)*1,"")))</f>
        <v/>
      </c>
      <c r="L121" t="str">
        <f>IF(OR(L$23="",ISNA($B121)),"",IF(ISBLANK($B121),"",IFERROR(_xll.BDP(TICKER,"DEEP_MEASURE_PERIOD_BROKER_VALUE","DEEP_MEASURE_ID_OVERRIDE",$C121,"DEEP_BROKER_ID_OVERRIDE",L$24,"DEEP_PERIOD_OVERRIDE",$H$19)*1,"")))</f>
        <v/>
      </c>
      <c r="M121" t="str">
        <f>IF(OR(M$23="",ISNA($B121)),"",IF(ISBLANK($B121),"",IFERROR(_xll.BDP(TICKER,"DEEP_MEASURE_PERIOD_BROKER_VALUE","DEEP_MEASURE_ID_OVERRIDE",$C121,"DEEP_BROKER_ID_OVERRIDE",M$24,"DEEP_PERIOD_OVERRIDE",$H$19)*1,"")))</f>
        <v/>
      </c>
      <c r="N121" t="str">
        <f>IF(OR(N$23="",ISNA($B121)),"",IF(ISBLANK($B121),"",IFERROR(_xll.BDP(TICKER,"DEEP_MEASURE_PERIOD_BROKER_VALUE","DEEP_MEASURE_ID_OVERRIDE",$C121,"DEEP_BROKER_ID_OVERRIDE",N$24,"DEEP_PERIOD_OVERRIDE",$H$19)*1,"")))</f>
        <v/>
      </c>
      <c r="O121" t="str">
        <f>IF(OR(O$23="",ISNA($B121)),"",IF(ISBLANK($B121),"",IFERROR(_xll.BDP(TICKER,"DEEP_MEASURE_PERIOD_BROKER_VALUE","DEEP_MEASURE_ID_OVERRIDE",$C121,"DEEP_BROKER_ID_OVERRIDE",O$24,"DEEP_PERIOD_OVERRIDE",$H$19)*1,"")))</f>
        <v/>
      </c>
      <c r="P121" t="str">
        <f>IF(OR(P$23="",ISNA($B121)),"",IF(ISBLANK($B121),"",IFERROR(_xll.BDP(TICKER,"DEEP_MEASURE_PERIOD_BROKER_VALUE","DEEP_MEASURE_ID_OVERRIDE",$C121,"DEEP_BROKER_ID_OVERRIDE",P$24,"DEEP_PERIOD_OVERRIDE",$H$19)*1,"")))</f>
        <v/>
      </c>
      <c r="Q121" t="str">
        <f>IF(OR(Q$23="",ISNA($B121)),"",IF(ISBLANK($B121),"",IFERROR(_xll.BDP(TICKER,"DEEP_MEASURE_PERIOD_BROKER_VALUE","DEEP_MEASURE_ID_OVERRIDE",$C121,"DEEP_BROKER_ID_OVERRIDE",Q$24,"DEEP_PERIOD_OVERRIDE",$H$19)*1,"")))</f>
        <v/>
      </c>
      <c r="R121" t="str">
        <f>IF(OR(R$23="",ISNA($B121)),"",IF(ISBLANK($B121),"",IFERROR(_xll.BDP(TICKER,"DEEP_MEASURE_PERIOD_BROKER_VALUE","DEEP_MEASURE_ID_OVERRIDE",$C121,"DEEP_BROKER_ID_OVERRIDE",R$24,"DEEP_PERIOD_OVERRIDE",$H$19)*1,"")))</f>
        <v/>
      </c>
      <c r="S121" t="str">
        <f>IF(OR(S$23="",ISNA($B121)),"",IF(ISBLANK($B121),"",IFERROR(_xll.BDP(TICKER,"DEEP_MEASURE_PERIOD_BROKER_VALUE","DEEP_MEASURE_ID_OVERRIDE",$C121,"DEEP_BROKER_ID_OVERRIDE",S$24,"DEEP_PERIOD_OVERRIDE",$H$19)*1,"")))</f>
        <v/>
      </c>
      <c r="T121" t="str">
        <f>IF(OR(T$23="",ISNA($B121)),"",IF(ISBLANK($B121),"",IFERROR(_xll.BDP(TICKER,"DEEP_MEASURE_PERIOD_BROKER_VALUE","DEEP_MEASURE_ID_OVERRIDE",$C121,"DEEP_BROKER_ID_OVERRIDE",T$24,"DEEP_PERIOD_OVERRIDE",$H$19)*1,"")))</f>
        <v/>
      </c>
      <c r="U121" t="str">
        <f>IF(OR(U$23="",ISNA($B121)),"",IF(ISBLANK($B121),"",IFERROR(_xll.BDP(TICKER,"DEEP_MEASURE_PERIOD_BROKER_VALUE","DEEP_MEASURE_ID_OVERRIDE",$C121,"DEEP_BROKER_ID_OVERRIDE",U$24,"DEEP_PERIOD_OVERRIDE",$H$19)*1,"")))</f>
        <v/>
      </c>
      <c r="V121" t="str">
        <f>IF(OR(V$23="",ISNA($B121)),"",IF(ISBLANK($B121),"",IFERROR(_xll.BDP(TICKER,"DEEP_MEASURE_PERIOD_BROKER_VALUE","DEEP_MEASURE_ID_OVERRIDE",$C121,"DEEP_BROKER_ID_OVERRIDE",V$24,"DEEP_PERIOD_OVERRIDE",$H$19)*1,"")))</f>
        <v/>
      </c>
      <c r="W121" t="str">
        <f>IF(OR(W$23="",ISNA($B121)),"",IF(ISBLANK($B121),"",IFERROR(_xll.BDP(TICKER,"DEEP_MEASURE_PERIOD_BROKER_VALUE","DEEP_MEASURE_ID_OVERRIDE",$C121,"DEEP_BROKER_ID_OVERRIDE",W$24,"DEEP_PERIOD_OVERRIDE",$H$19)*1,"")))</f>
        <v/>
      </c>
      <c r="X121" t="str">
        <f>IF(OR(X$23="",ISNA($B121)),"",IF(ISBLANK($B121),"",IFERROR(_xll.BDP(TICKER,"DEEP_MEASURE_PERIOD_BROKER_VALUE","DEEP_MEASURE_ID_OVERRIDE",$C121,"DEEP_BROKER_ID_OVERRIDE",X$24,"DEEP_PERIOD_OVERRIDE",$H$19)*1,"")))</f>
        <v/>
      </c>
      <c r="Y121" t="str">
        <f>IF(OR(Y$23="",ISNA($B121)),"",IF(ISBLANK($B121),"",IFERROR(_xll.BDP(TICKER,"DEEP_MEASURE_PERIOD_BROKER_VALUE","DEEP_MEASURE_ID_OVERRIDE",$C121,"DEEP_BROKER_ID_OVERRIDE",Y$24,"DEEP_PERIOD_OVERRIDE",$H$19)*1,"")))</f>
        <v/>
      </c>
      <c r="Z121" t="str">
        <f>IF(OR(Z$23="",ISNA($B121)),"",IF(ISBLANK($B121),"",IFERROR(_xll.BDP(TICKER,"DEEP_MEASURE_PERIOD_BROKER_VALUE","DEEP_MEASURE_ID_OVERRIDE",$C121,"DEEP_BROKER_ID_OVERRIDE",Z$24,"DEEP_PERIOD_OVERRIDE",$H$19)*1,"")))</f>
        <v/>
      </c>
      <c r="AA121" t="str">
        <f>IF(OR(AA$23="",ISNA($B121)),"",IF(ISBLANK($B121),"",IFERROR(_xll.BDP(TICKER,"DEEP_MEASURE_PERIOD_BROKER_VALUE","DEEP_MEASURE_ID_OVERRIDE",$C121,"DEEP_BROKER_ID_OVERRIDE",AA$24,"DEEP_PERIOD_OVERRIDE",$H$19)*1,"")))</f>
        <v/>
      </c>
      <c r="AB121" t="str">
        <f>IF(OR(AB$23="",ISNA($B121)),"",IF(ISBLANK($B121),"",IFERROR(_xll.BDP(TICKER,"DEEP_MEASURE_PERIOD_BROKER_VALUE","DEEP_MEASURE_ID_OVERRIDE",$C121,"DEEP_BROKER_ID_OVERRIDE",AB$24,"DEEP_PERIOD_OVERRIDE",$H$19)*1,"")))</f>
        <v/>
      </c>
      <c r="AC121" t="str">
        <f>IF(OR(AC$23="",ISNA($B121)),"",IF(ISBLANK($B121),"",IFERROR(_xll.BDP(TICKER,"DEEP_MEASURE_PERIOD_BROKER_VALUE","DEEP_MEASURE_ID_OVERRIDE",$C121,"DEEP_BROKER_ID_OVERRIDE",AC$24,"DEEP_PERIOD_OVERRIDE",$H$19)*1,"")))</f>
        <v/>
      </c>
      <c r="AD121" t="str">
        <f>IF(OR(AD$23="",ISNA($B121)),"",IF(ISBLANK($B121),"",IFERROR(_xll.BDP(TICKER,"DEEP_MEASURE_PERIOD_BROKER_VALUE","DEEP_MEASURE_ID_OVERRIDE",$C121,"DEEP_BROKER_ID_OVERRIDE",AD$24,"DEEP_PERIOD_OVERRIDE",$H$19)*1,"")))</f>
        <v/>
      </c>
      <c r="AE121" t="str">
        <f>IF(OR(AE$23="",ISNA($B121)),"",IF(ISBLANK($B121),"",IFERROR(_xll.BDP(TICKER,"DEEP_MEASURE_PERIOD_BROKER_VALUE","DEEP_MEASURE_ID_OVERRIDE",$C121,"DEEP_BROKER_ID_OVERRIDE",AE$24,"DEEP_PERIOD_OVERRIDE",$H$19)*1,"")))</f>
        <v/>
      </c>
      <c r="AF121" t="str">
        <f>IF(OR(AF$23="",ISNA($B121)),"",IF(ISBLANK($B121),"",IFERROR(_xll.BDP(TICKER,"DEEP_MEASURE_PERIOD_BROKER_VALUE","DEEP_MEASURE_ID_OVERRIDE",$C121,"DEEP_BROKER_ID_OVERRIDE",AF$24,"DEEP_PERIOD_OVERRIDE",$H$19)*1,"")))</f>
        <v/>
      </c>
      <c r="AG121" t="str">
        <f>IF(OR(AG$23="",ISNA($B121)),"",IF(ISBLANK($B121),"",IFERROR(_xll.BDP(TICKER,"DEEP_MEASURE_PERIOD_BROKER_VALUE","DEEP_MEASURE_ID_OVERRIDE",$C121,"DEEP_BROKER_ID_OVERRIDE",AG$24,"DEEP_PERIOD_OVERRIDE",$H$19)*1,"")))</f>
        <v/>
      </c>
      <c r="AH121" t="str">
        <f>IF(OR(AH$23="",ISNA($B121)),"",IF(ISBLANK($B121),"",IFERROR(_xll.BDP(TICKER,"DEEP_MEASURE_PERIOD_BROKER_VALUE","DEEP_MEASURE_ID_OVERRIDE",$C121,"DEEP_BROKER_ID_OVERRIDE",AH$24,"DEEP_PERIOD_OVERRIDE",$H$19)*1,"")))</f>
        <v/>
      </c>
      <c r="AI121" t="str">
        <f>IF(OR(AI$23="",ISNA($B121)),"",IF(ISBLANK($B121),"",IFERROR(_xll.BDP(TICKER,"DEEP_MEASURE_PERIOD_BROKER_VALUE","DEEP_MEASURE_ID_OVERRIDE",$C121,"DEEP_BROKER_ID_OVERRIDE",AI$24,"DEEP_PERIOD_OVERRIDE",$H$19)*1,"")))</f>
        <v/>
      </c>
      <c r="AJ121" t="str">
        <f>IF(OR(AJ$23="",ISNA($B121)),"",IF(ISBLANK($B121),"",IFERROR(_xll.BDP(TICKER,"DEEP_MEASURE_PERIOD_BROKER_VALUE","DEEP_MEASURE_ID_OVERRIDE",$C121,"DEEP_BROKER_ID_OVERRIDE",AJ$24,"DEEP_PERIOD_OVERRIDE",$H$19)*1,"")))</f>
        <v/>
      </c>
      <c r="AK121" t="str">
        <f>IF(OR(AK$23="",ISNA($B121)),"",IF(ISBLANK($B121),"",IFERROR(_xll.BDP(TICKER,"DEEP_MEASURE_PERIOD_BROKER_VALUE","DEEP_MEASURE_ID_OVERRIDE",$C121,"DEEP_BROKER_ID_OVERRIDE",AK$24,"DEEP_PERIOD_OVERRIDE",$H$19)*1,"")))</f>
        <v/>
      </c>
      <c r="AL121" t="str">
        <f>IF(OR(AL$23="",ISNA($B121)),"",IF(ISBLANK($B121),"",IFERROR(_xll.BDP(TICKER,"DEEP_MEASURE_PERIOD_BROKER_VALUE","DEEP_MEASURE_ID_OVERRIDE",$C121,"DEEP_BROKER_ID_OVERRIDE",AL$24,"DEEP_PERIOD_OVERRIDE",$H$19)*1,"")))</f>
        <v/>
      </c>
      <c r="AM121" t="str">
        <f>IF(OR(AM$23="",ISNA($B121)),"",IF(ISBLANK($B121),"",IFERROR(_xll.BDP(TICKER,"DEEP_MEASURE_PERIOD_BROKER_VALUE","DEEP_MEASURE_ID_OVERRIDE",$C121,"DEEP_BROKER_ID_OVERRIDE",AM$24,"DEEP_PERIOD_OVERRIDE",$H$19)*1,"")))</f>
        <v/>
      </c>
      <c r="AN121" t="str">
        <f>IF(OR(AN$23="",ISNA($B121)),"",IF(ISBLANK($B121),"",IFERROR(_xll.BDP(TICKER,"DEEP_MEASURE_PERIOD_BROKER_VALUE","DEEP_MEASURE_ID_OVERRIDE",$C121,"DEEP_BROKER_ID_OVERRIDE",AN$24,"DEEP_PERIOD_OVERRIDE",$H$19)*1,"")))</f>
        <v/>
      </c>
      <c r="AO121" t="str">
        <f>IF(OR(AO$23="",ISNA($B121)),"",IF(ISBLANK($B121),"",IFERROR(_xll.BDP(TICKER,"DEEP_MEASURE_PERIOD_BROKER_VALUE","DEEP_MEASURE_ID_OVERRIDE",$C121,"DEEP_BROKER_ID_OVERRIDE",AO$24,"DEEP_PERIOD_OVERRIDE",$H$19)*1,"")))</f>
        <v/>
      </c>
      <c r="AP121" t="str">
        <f>IF(OR(AP$23="",ISNA($B121)),"",IF(ISBLANK($B121),"",IFERROR(_xll.BDP(TICKER,"DEEP_MEASURE_PERIOD_BROKER_VALUE","DEEP_MEASURE_ID_OVERRIDE",$C121,"DEEP_BROKER_ID_OVERRIDE",AP$24,"DEEP_PERIOD_OVERRIDE",$H$19)*1,"")))</f>
        <v/>
      </c>
      <c r="AQ121" t="str">
        <f>IF(OR(AQ$23="",ISNA($B121)),"",IF(ISBLANK($B121),"",IFERROR(_xll.BDP(TICKER,"DEEP_MEASURE_PERIOD_BROKER_VALUE","DEEP_MEASURE_ID_OVERRIDE",$C121,"DEEP_BROKER_ID_OVERRIDE",AQ$24,"DEEP_PERIOD_OVERRIDE",$H$19)*1,"")))</f>
        <v/>
      </c>
      <c r="AR121" t="str">
        <f>IF(OR(AR$23="",ISNA($B121)),"",IF(ISBLANK($B121),"",IFERROR(_xll.BDP(TICKER,"DEEP_MEASURE_PERIOD_BROKER_VALUE","DEEP_MEASURE_ID_OVERRIDE",$C121,"DEEP_BROKER_ID_OVERRIDE",AR$24,"DEEP_PERIOD_OVERRIDE",$H$19)*1,"")))</f>
        <v/>
      </c>
      <c r="AS121" t="str">
        <f>IF(OR(AS$23="",ISNA($B121)),"",IF(ISBLANK($B121),"",IFERROR(_xll.BDP(TICKER,"DEEP_MEASURE_PERIOD_BROKER_VALUE","DEEP_MEASURE_ID_OVERRIDE",$C121,"DEEP_BROKER_ID_OVERRIDE",AS$24,"DEEP_PERIOD_OVERRIDE",$H$19)*1,"")))</f>
        <v/>
      </c>
      <c r="AT121" t="str">
        <f>IF(OR(AT$23="",ISNA($B121)),"",IF(ISBLANK($B121),"",IFERROR(_xll.BDP(TICKER,"DEEP_MEASURE_PERIOD_BROKER_VALUE","DEEP_MEASURE_ID_OVERRIDE",$C121,"DEEP_BROKER_ID_OVERRIDE",AT$24,"DEEP_PERIOD_OVERRIDE",$H$19)*1,"")))</f>
        <v/>
      </c>
      <c r="AU121" t="str">
        <f>IF(OR(AU$23="",ISNA($B121)),"",IF(ISBLANK($B121),"",IFERROR(_xll.BDP(TICKER,"DEEP_MEASURE_PERIOD_BROKER_VALUE","DEEP_MEASURE_ID_OVERRIDE",$C121,"DEEP_BROKER_ID_OVERRIDE",AU$24,"DEEP_PERIOD_OVERRIDE",$H$19)*1,"")))</f>
        <v/>
      </c>
      <c r="AV121" t="str">
        <f>IF(OR(AV$23="",ISNA($B121)),"",IF(ISBLANK($B121),"",IFERROR(_xll.BDP(TICKER,"DEEP_MEASURE_PERIOD_BROKER_VALUE","DEEP_MEASURE_ID_OVERRIDE",$C121,"DEEP_BROKER_ID_OVERRIDE",AV$24,"DEEP_PERIOD_OVERRIDE",$H$19)*1,"")))</f>
        <v/>
      </c>
      <c r="AW121" t="str">
        <f>IF(OR(AW$23="",ISNA($B121)),"",IF(ISBLANK($B121),"",IFERROR(_xll.BDP(TICKER,"DEEP_MEASURE_PERIOD_BROKER_VALUE","DEEP_MEASURE_ID_OVERRIDE",$C121,"DEEP_BROKER_ID_OVERRIDE",AW$24,"DEEP_PERIOD_OVERRIDE",$H$19)*1,"")))</f>
        <v/>
      </c>
      <c r="AX121" t="str">
        <f>IF(OR(AX$23="",ISNA($B121)),"",IF(ISBLANK($B121),"",IFERROR(_xll.BDP(TICKER,"DEEP_MEASURE_PERIOD_BROKER_VALUE","DEEP_MEASURE_ID_OVERRIDE",$C121,"DEEP_BROKER_ID_OVERRIDE",AX$24,"DEEP_PERIOD_OVERRIDE",$H$19)*1,"")))</f>
        <v/>
      </c>
      <c r="AY121" t="str">
        <f>IF(OR(AY$23="",ISNA($B121)),"",IF(ISBLANK($B121),"",IFERROR(_xll.BDP(TICKER,"DEEP_MEASURE_PERIOD_BROKER_VALUE","DEEP_MEASURE_ID_OVERRIDE",$C121,"DEEP_BROKER_ID_OVERRIDE",AY$24,"DEEP_PERIOD_OVERRIDE",$H$19)*1,"")))</f>
        <v/>
      </c>
      <c r="AZ121" t="str">
        <f>IF(OR(AZ$23="",ISNA($B121)),"",IF(ISBLANK($B121),"",IFERROR(_xll.BDP(TICKER,"DEEP_MEASURE_PERIOD_BROKER_VALUE","DEEP_MEASURE_ID_OVERRIDE",$C121,"DEEP_BROKER_ID_OVERRIDE",AZ$24,"DEEP_PERIOD_OVERRIDE",$H$19)*1,"")))</f>
        <v/>
      </c>
      <c r="BA121" t="str">
        <f>IF(OR(BA$23="",ISNA($B121)),"",IF(ISBLANK($B121),"",IFERROR(_xll.BDP(TICKER,"DEEP_MEASURE_PERIOD_BROKER_VALUE","DEEP_MEASURE_ID_OVERRIDE",$C121,"DEEP_BROKER_ID_OVERRIDE",BA$24,"DEEP_PERIOD_OVERRIDE",$H$19)*1,"")))</f>
        <v/>
      </c>
      <c r="BB121" t="str">
        <f>IF(OR(BB$23="",ISNA($B121)),"",IF(ISBLANK($B121),"",IFERROR(_xll.BDP(TICKER,"DEEP_MEASURE_PERIOD_BROKER_VALUE","DEEP_MEASURE_ID_OVERRIDE",$C121,"DEEP_BROKER_ID_OVERRIDE",BB$24,"DEEP_PERIOD_OVERRIDE",$H$19)*1,"")))</f>
        <v/>
      </c>
      <c r="BC121" t="str">
        <f>IF(OR(BC$23="",ISNA($B121)),"",IF(ISBLANK($B121),"",IFERROR(_xll.BDP(TICKER,"DEEP_MEASURE_PERIOD_BROKER_VALUE","DEEP_MEASURE_ID_OVERRIDE",$C121,"DEEP_BROKER_ID_OVERRIDE",BC$24,"DEEP_PERIOD_OVERRIDE",$H$19)*1,"")))</f>
        <v/>
      </c>
      <c r="BD121" t="str">
        <f>IF(OR(BD$23="",ISNA($B121)),"",IF(ISBLANK($B121),"",IFERROR(_xll.BDP(TICKER,"DEEP_MEASURE_PERIOD_BROKER_VALUE","DEEP_MEASURE_ID_OVERRIDE",$C121,"DEEP_BROKER_ID_OVERRIDE",BD$24,"DEEP_PERIOD_OVERRIDE",$H$19)*1,"")))</f>
        <v/>
      </c>
      <c r="BE121" t="str">
        <f>IF(OR(BE$23="",ISNA($B121)),"",IF(ISBLANK($B121),"",IFERROR(_xll.BDP(TICKER,"DEEP_MEASURE_PERIOD_BROKER_VALUE","DEEP_MEASURE_ID_OVERRIDE",$C121,"DEEP_BROKER_ID_OVERRIDE",BE$24,"DEEP_PERIOD_OVERRIDE",$H$19)*1,"")))</f>
        <v/>
      </c>
      <c r="BF121" t="str">
        <f>IF(OR(BF$23="",ISNA($B121)),"",IF(ISBLANK($B121),"",IFERROR(_xll.BDP(TICKER,"DEEP_MEASURE_PERIOD_BROKER_VALUE","DEEP_MEASURE_ID_OVERRIDE",$C121,"DEEP_BROKER_ID_OVERRIDE",BF$24,"DEEP_PERIOD_OVERRIDE",$H$19)*1,"")))</f>
        <v/>
      </c>
      <c r="BG121" t="str">
        <f>IF(OR(BG$23="",ISNA($B121)),"",IF(ISBLANK($B121),"",IFERROR(_xll.BDP(TICKER,"DEEP_MEASURE_PERIOD_BROKER_VALUE","DEEP_MEASURE_ID_OVERRIDE",$C121,"DEEP_BROKER_ID_OVERRIDE",BG$24,"DEEP_PERIOD_OVERRIDE",$H$19)*1,"")))</f>
        <v/>
      </c>
      <c r="BH121" t="str">
        <f>IF(OR(BH$23="",ISNA($B121)),"",IF(ISBLANK($B121),"",IFERROR(_xll.BDP(TICKER,"DEEP_MEASURE_PERIOD_BROKER_VALUE","DEEP_MEASURE_ID_OVERRIDE",$C121,"DEEP_BROKER_ID_OVERRIDE",BH$24,"DEEP_PERIOD_OVERRIDE",$H$19)*1,"")))</f>
        <v/>
      </c>
      <c r="BI121" t="str">
        <f>IF(OR(BI$23="",ISNA($B121)),"",IF(ISBLANK($B121),"",IFERROR(_xll.BDP(TICKER,"DEEP_MEASURE_PERIOD_BROKER_VALUE","DEEP_MEASURE_ID_OVERRIDE",$C121,"DEEP_BROKER_ID_OVERRIDE",BI$24,"DEEP_PERIOD_OVERRIDE",$H$19)*1,"")))</f>
        <v/>
      </c>
      <c r="BJ121" t="str">
        <f>IF(OR(BJ$23="",ISNA($B121)),"",IF(ISBLANK($B121),"",IFERROR(_xll.BDP(TICKER,"DEEP_MEASURE_PERIOD_BROKER_VALUE","DEEP_MEASURE_ID_OVERRIDE",$C121,"DEEP_BROKER_ID_OVERRIDE",BJ$24,"DEEP_PERIOD_OVERRIDE",$H$19)*1,"")))</f>
        <v/>
      </c>
      <c r="BK121" t="str">
        <f>IF(OR(BK$23="",ISNA($B121)),"",IF(ISBLANK($B121),"",IFERROR(_xll.BDP(TICKER,"DEEP_MEASURE_PERIOD_BROKER_VALUE","DEEP_MEASURE_ID_OVERRIDE",$C121,"DEEP_BROKER_ID_OVERRIDE",BK$24,"DEEP_PERIOD_OVERRIDE",$H$19)*1,"")))</f>
        <v/>
      </c>
      <c r="BL121" t="str">
        <f>IF(OR(BL$23="",ISNA($B121)),"",IF(ISBLANK($B121),"",IFERROR(_xll.BDP(TICKER,"DEEP_MEASURE_PERIOD_BROKER_VALUE","DEEP_MEASURE_ID_OVERRIDE",$C121,"DEEP_BROKER_ID_OVERRIDE",BL$24,"DEEP_PERIOD_OVERRIDE",$H$19)*1,"")))</f>
        <v/>
      </c>
      <c r="BM121" t="str">
        <f>IF(OR(BM$23="",ISNA($B121)),"",IF(ISBLANK($B121),"",IFERROR(_xll.BDP(TICKER,"DEEP_MEASURE_PERIOD_BROKER_VALUE","DEEP_MEASURE_ID_OVERRIDE",$C121,"DEEP_BROKER_ID_OVERRIDE",BM$24,"DEEP_PERIOD_OVERRIDE",$H$19)*1,"")))</f>
        <v/>
      </c>
      <c r="BN121" t="str">
        <f>IF(OR(BN$23="",ISNA($B121)),"",IF(ISBLANK($B121),"",IFERROR(_xll.BDP(TICKER,"DEEP_MEASURE_PERIOD_BROKER_VALUE","DEEP_MEASURE_ID_OVERRIDE",$C121,"DEEP_BROKER_ID_OVERRIDE",BN$24,"DEEP_PERIOD_OVERRIDE",$H$19)*1,"")))</f>
        <v/>
      </c>
      <c r="BO121" t="str">
        <f>IF(OR(BO$23="",ISNA($B121)),"",IF(ISBLANK($B121),"",IFERROR(_xll.BDP(TICKER,"DEEP_MEASURE_PERIOD_BROKER_VALUE","DEEP_MEASURE_ID_OVERRIDE",$C121,"DEEP_BROKER_ID_OVERRIDE",BO$24,"DEEP_PERIOD_OVERRIDE",$H$19)*1,"")))</f>
        <v/>
      </c>
      <c r="BP121" t="str">
        <f>IF(OR(BP$23="",ISNA($B121)),"",IF(ISBLANK($B121),"",IFERROR(_xll.BDP(TICKER,"DEEP_MEASURE_PERIOD_BROKER_VALUE","DEEP_MEASURE_ID_OVERRIDE",$C121,"DEEP_BROKER_ID_OVERRIDE",BP$24,"DEEP_PERIOD_OVERRIDE",$H$19)*1,"")))</f>
        <v/>
      </c>
      <c r="BQ121" t="str">
        <f>IF(OR(BQ$23="",ISNA($B121)),"",IF(ISBLANK($B121),"",IFERROR(_xll.BDP(TICKER,"DEEP_MEASURE_PERIOD_BROKER_VALUE","DEEP_MEASURE_ID_OVERRIDE",$C121,"DEEP_BROKER_ID_OVERRIDE",BQ$24,"DEEP_PERIOD_OVERRIDE",$H$19)*1,"")))</f>
        <v/>
      </c>
      <c r="BR121" t="str">
        <f>IF(OR(BR$23="",ISNA($B121)),"",IF(ISBLANK($B121),"",IFERROR(_xll.BDP(TICKER,"DEEP_MEASURE_PERIOD_BROKER_VALUE","DEEP_MEASURE_ID_OVERRIDE",$C121,"DEEP_BROKER_ID_OVERRIDE",BR$24,"DEEP_PERIOD_OVERRIDE",$H$19)*1,"")))</f>
        <v/>
      </c>
      <c r="BS121" t="str">
        <f>IF(OR(BS$23="",ISNA($B121)),"",IF(ISBLANK($B121),"",IFERROR(_xll.BDP(TICKER,"DEEP_MEASURE_PERIOD_BROKER_VALUE","DEEP_MEASURE_ID_OVERRIDE",$C121,"DEEP_BROKER_ID_OVERRIDE",BS$24,"DEEP_PERIOD_OVERRIDE",$H$19)*1,"")))</f>
        <v/>
      </c>
      <c r="BT121" t="str">
        <f>IF(OR(BT$23="",ISNA($B121)),"",IF(ISBLANK($B121),"",IFERROR(_xll.BDP(TICKER,"DEEP_MEASURE_PERIOD_BROKER_VALUE","DEEP_MEASURE_ID_OVERRIDE",$C121,"DEEP_BROKER_ID_OVERRIDE",BT$24,"DEEP_PERIOD_OVERRIDE",$H$19)*1,"")))</f>
        <v/>
      </c>
      <c r="BU121" t="str">
        <f>IF(OR(BU$23="",ISNA($B121)),"",IF(ISBLANK($B121),"",IFERROR(_xll.BDP(TICKER,"DEEP_MEASURE_PERIOD_BROKER_VALUE","DEEP_MEASURE_ID_OVERRIDE",$C121,"DEEP_BROKER_ID_OVERRIDE",BU$24,"DEEP_PERIOD_OVERRIDE",$H$19)*1,"")))</f>
        <v/>
      </c>
      <c r="BV121" t="str">
        <f>IF(OR(BV$23="",ISNA($B121)),"",IF(ISBLANK($B121),"",IFERROR(_xll.BDP(TICKER,"DEEP_MEASURE_PERIOD_BROKER_VALUE","DEEP_MEASURE_ID_OVERRIDE",$C121,"DEEP_BROKER_ID_OVERRIDE",BV$24,"DEEP_PERIOD_OVERRIDE",$H$19)*1,"")))</f>
        <v/>
      </c>
      <c r="BW121" t="str">
        <f>IF(OR(BW$23="",ISNA($B121)),"",IF(ISBLANK($B121),"",IFERROR(_xll.BDP(TICKER,"DEEP_MEASURE_PERIOD_BROKER_VALUE","DEEP_MEASURE_ID_OVERRIDE",$C121,"DEEP_BROKER_ID_OVERRIDE",BW$24,"DEEP_PERIOD_OVERRIDE",$H$19)*1,"")))</f>
        <v/>
      </c>
      <c r="BX121" t="str">
        <f>IF(OR(BX$23="",ISNA($B121)),"",IF(ISBLANK($B121),"",IFERROR(_xll.BDP(TICKER,"DEEP_MEASURE_PERIOD_BROKER_VALUE","DEEP_MEASURE_ID_OVERRIDE",$C121,"DEEP_BROKER_ID_OVERRIDE",BX$24,"DEEP_PERIOD_OVERRIDE",$H$19)*1,"")))</f>
        <v/>
      </c>
      <c r="BY121" t="str">
        <f>IF(OR(BY$23="",ISNA($B121)),"",IF(ISBLANK($B121),"",IFERROR(_xll.BDP(TICKER,"DEEP_MEASURE_PERIOD_BROKER_VALUE","DEEP_MEASURE_ID_OVERRIDE",$C121,"DEEP_BROKER_ID_OVERRIDE",BY$24,"DEEP_PERIOD_OVERRIDE",$H$19)*1,"")))</f>
        <v/>
      </c>
      <c r="BZ121" t="str">
        <f>IF(OR(BZ$23="",ISNA($B121)),"",IF(ISBLANK($B121),"",IFERROR(_xll.BDP(TICKER,"DEEP_MEASURE_PERIOD_BROKER_VALUE","DEEP_MEASURE_ID_OVERRIDE",$C121,"DEEP_BROKER_ID_OVERRIDE",BZ$24,"DEEP_PERIOD_OVERRIDE",$H$19)*1,"")))</f>
        <v/>
      </c>
    </row>
    <row r="122" spans="2:78" x14ac:dyDescent="0.25">
      <c r="B122" t="s">
        <v>162</v>
      </c>
      <c r="C122">
        <v>3675</v>
      </c>
      <c r="H122" t="str">
        <f t="shared" si="2"/>
        <v>Depreciation &amp; Amortization of Intangible Assets</v>
      </c>
      <c r="I122" t="str">
        <f>IF(OR(I$23="",ISNA($B122)),"",IF(ISBLANK($B122),"",IFERROR(_xll.BDP(TICKER,"DEEP_MEASURE_PERIOD_BROKER_VALUE","DEEP_MEASURE_ID_OVERRIDE",$C122,"DEEP_PERIOD_OVERRIDE",$H$19)*1,"")))</f>
        <v/>
      </c>
      <c r="J122" t="e">
        <f>IF(OR(J$23="",ISNA($B122)),"",IF(ISBLANK($B122),"",IFERROR(_xll.BDP(TICKER,"DEEP_MEASURE_PERIOD_BROKER_VALUE","DEEP_MEASURE_ID_OVERRIDE",$C122,"DEEP_BROKER_ID_OVERRIDE",J$24,"DEEP_PERIOD_OVERRIDE",$H$19)*1,"")))</f>
        <v>#REF!</v>
      </c>
      <c r="K122" t="str">
        <f>IF(OR(K$23="",ISNA($B122)),"",IF(ISBLANK($B122),"",IFERROR(_xll.BDP(TICKER,"DEEP_MEASURE_PERIOD_BROKER_VALUE","DEEP_MEASURE_ID_OVERRIDE",$C122,"DEEP_BROKER_ID_OVERRIDE",K$24,"DEEP_PERIOD_OVERRIDE",$H$19)*1,"")))</f>
        <v/>
      </c>
      <c r="L122" t="str">
        <f>IF(OR(L$23="",ISNA($B122)),"",IF(ISBLANK($B122),"",IFERROR(_xll.BDP(TICKER,"DEEP_MEASURE_PERIOD_BROKER_VALUE","DEEP_MEASURE_ID_OVERRIDE",$C122,"DEEP_BROKER_ID_OVERRIDE",L$24,"DEEP_PERIOD_OVERRIDE",$H$19)*1,"")))</f>
        <v/>
      </c>
      <c r="M122" t="str">
        <f>IF(OR(M$23="",ISNA($B122)),"",IF(ISBLANK($B122),"",IFERROR(_xll.BDP(TICKER,"DEEP_MEASURE_PERIOD_BROKER_VALUE","DEEP_MEASURE_ID_OVERRIDE",$C122,"DEEP_BROKER_ID_OVERRIDE",M$24,"DEEP_PERIOD_OVERRIDE",$H$19)*1,"")))</f>
        <v/>
      </c>
      <c r="N122" t="str">
        <f>IF(OR(N$23="",ISNA($B122)),"",IF(ISBLANK($B122),"",IFERROR(_xll.BDP(TICKER,"DEEP_MEASURE_PERIOD_BROKER_VALUE","DEEP_MEASURE_ID_OVERRIDE",$C122,"DEEP_BROKER_ID_OVERRIDE",N$24,"DEEP_PERIOD_OVERRIDE",$H$19)*1,"")))</f>
        <v/>
      </c>
      <c r="O122" t="str">
        <f>IF(OR(O$23="",ISNA($B122)),"",IF(ISBLANK($B122),"",IFERROR(_xll.BDP(TICKER,"DEEP_MEASURE_PERIOD_BROKER_VALUE","DEEP_MEASURE_ID_OVERRIDE",$C122,"DEEP_BROKER_ID_OVERRIDE",O$24,"DEEP_PERIOD_OVERRIDE",$H$19)*1,"")))</f>
        <v/>
      </c>
      <c r="P122" t="str">
        <f>IF(OR(P$23="",ISNA($B122)),"",IF(ISBLANK($B122),"",IFERROR(_xll.BDP(TICKER,"DEEP_MEASURE_PERIOD_BROKER_VALUE","DEEP_MEASURE_ID_OVERRIDE",$C122,"DEEP_BROKER_ID_OVERRIDE",P$24,"DEEP_PERIOD_OVERRIDE",$H$19)*1,"")))</f>
        <v/>
      </c>
      <c r="Q122" t="str">
        <f>IF(OR(Q$23="",ISNA($B122)),"",IF(ISBLANK($B122),"",IFERROR(_xll.BDP(TICKER,"DEEP_MEASURE_PERIOD_BROKER_VALUE","DEEP_MEASURE_ID_OVERRIDE",$C122,"DEEP_BROKER_ID_OVERRIDE",Q$24,"DEEP_PERIOD_OVERRIDE",$H$19)*1,"")))</f>
        <v/>
      </c>
      <c r="R122" t="str">
        <f>IF(OR(R$23="",ISNA($B122)),"",IF(ISBLANK($B122),"",IFERROR(_xll.BDP(TICKER,"DEEP_MEASURE_PERIOD_BROKER_VALUE","DEEP_MEASURE_ID_OVERRIDE",$C122,"DEEP_BROKER_ID_OVERRIDE",R$24,"DEEP_PERIOD_OVERRIDE",$H$19)*1,"")))</f>
        <v/>
      </c>
      <c r="S122" t="str">
        <f>IF(OR(S$23="",ISNA($B122)),"",IF(ISBLANK($B122),"",IFERROR(_xll.BDP(TICKER,"DEEP_MEASURE_PERIOD_BROKER_VALUE","DEEP_MEASURE_ID_OVERRIDE",$C122,"DEEP_BROKER_ID_OVERRIDE",S$24,"DEEP_PERIOD_OVERRIDE",$H$19)*1,"")))</f>
        <v/>
      </c>
      <c r="T122" t="str">
        <f>IF(OR(T$23="",ISNA($B122)),"",IF(ISBLANK($B122),"",IFERROR(_xll.BDP(TICKER,"DEEP_MEASURE_PERIOD_BROKER_VALUE","DEEP_MEASURE_ID_OVERRIDE",$C122,"DEEP_BROKER_ID_OVERRIDE",T$24,"DEEP_PERIOD_OVERRIDE",$H$19)*1,"")))</f>
        <v/>
      </c>
      <c r="U122" t="str">
        <f>IF(OR(U$23="",ISNA($B122)),"",IF(ISBLANK($B122),"",IFERROR(_xll.BDP(TICKER,"DEEP_MEASURE_PERIOD_BROKER_VALUE","DEEP_MEASURE_ID_OVERRIDE",$C122,"DEEP_BROKER_ID_OVERRIDE",U$24,"DEEP_PERIOD_OVERRIDE",$H$19)*1,"")))</f>
        <v/>
      </c>
      <c r="V122" t="str">
        <f>IF(OR(V$23="",ISNA($B122)),"",IF(ISBLANK($B122),"",IFERROR(_xll.BDP(TICKER,"DEEP_MEASURE_PERIOD_BROKER_VALUE","DEEP_MEASURE_ID_OVERRIDE",$C122,"DEEP_BROKER_ID_OVERRIDE",V$24,"DEEP_PERIOD_OVERRIDE",$H$19)*1,"")))</f>
        <v/>
      </c>
      <c r="W122" t="str">
        <f>IF(OR(W$23="",ISNA($B122)),"",IF(ISBLANK($B122),"",IFERROR(_xll.BDP(TICKER,"DEEP_MEASURE_PERIOD_BROKER_VALUE","DEEP_MEASURE_ID_OVERRIDE",$C122,"DEEP_BROKER_ID_OVERRIDE",W$24,"DEEP_PERIOD_OVERRIDE",$H$19)*1,"")))</f>
        <v/>
      </c>
      <c r="X122" t="str">
        <f>IF(OR(X$23="",ISNA($B122)),"",IF(ISBLANK($B122),"",IFERROR(_xll.BDP(TICKER,"DEEP_MEASURE_PERIOD_BROKER_VALUE","DEEP_MEASURE_ID_OVERRIDE",$C122,"DEEP_BROKER_ID_OVERRIDE",X$24,"DEEP_PERIOD_OVERRIDE",$H$19)*1,"")))</f>
        <v/>
      </c>
      <c r="Y122" t="str">
        <f>IF(OR(Y$23="",ISNA($B122)),"",IF(ISBLANK($B122),"",IFERROR(_xll.BDP(TICKER,"DEEP_MEASURE_PERIOD_BROKER_VALUE","DEEP_MEASURE_ID_OVERRIDE",$C122,"DEEP_BROKER_ID_OVERRIDE",Y$24,"DEEP_PERIOD_OVERRIDE",$H$19)*1,"")))</f>
        <v/>
      </c>
      <c r="Z122" t="str">
        <f>IF(OR(Z$23="",ISNA($B122)),"",IF(ISBLANK($B122),"",IFERROR(_xll.BDP(TICKER,"DEEP_MEASURE_PERIOD_BROKER_VALUE","DEEP_MEASURE_ID_OVERRIDE",$C122,"DEEP_BROKER_ID_OVERRIDE",Z$24,"DEEP_PERIOD_OVERRIDE",$H$19)*1,"")))</f>
        <v/>
      </c>
      <c r="AA122" t="str">
        <f>IF(OR(AA$23="",ISNA($B122)),"",IF(ISBLANK($B122),"",IFERROR(_xll.BDP(TICKER,"DEEP_MEASURE_PERIOD_BROKER_VALUE","DEEP_MEASURE_ID_OVERRIDE",$C122,"DEEP_BROKER_ID_OVERRIDE",AA$24,"DEEP_PERIOD_OVERRIDE",$H$19)*1,"")))</f>
        <v/>
      </c>
      <c r="AB122" t="str">
        <f>IF(OR(AB$23="",ISNA($B122)),"",IF(ISBLANK($B122),"",IFERROR(_xll.BDP(TICKER,"DEEP_MEASURE_PERIOD_BROKER_VALUE","DEEP_MEASURE_ID_OVERRIDE",$C122,"DEEP_BROKER_ID_OVERRIDE",AB$24,"DEEP_PERIOD_OVERRIDE",$H$19)*1,"")))</f>
        <v/>
      </c>
      <c r="AC122" t="str">
        <f>IF(OR(AC$23="",ISNA($B122)),"",IF(ISBLANK($B122),"",IFERROR(_xll.BDP(TICKER,"DEEP_MEASURE_PERIOD_BROKER_VALUE","DEEP_MEASURE_ID_OVERRIDE",$C122,"DEEP_BROKER_ID_OVERRIDE",AC$24,"DEEP_PERIOD_OVERRIDE",$H$19)*1,"")))</f>
        <v/>
      </c>
      <c r="AD122" t="str">
        <f>IF(OR(AD$23="",ISNA($B122)),"",IF(ISBLANK($B122),"",IFERROR(_xll.BDP(TICKER,"DEEP_MEASURE_PERIOD_BROKER_VALUE","DEEP_MEASURE_ID_OVERRIDE",$C122,"DEEP_BROKER_ID_OVERRIDE",AD$24,"DEEP_PERIOD_OVERRIDE",$H$19)*1,"")))</f>
        <v/>
      </c>
      <c r="AE122" t="str">
        <f>IF(OR(AE$23="",ISNA($B122)),"",IF(ISBLANK($B122),"",IFERROR(_xll.BDP(TICKER,"DEEP_MEASURE_PERIOD_BROKER_VALUE","DEEP_MEASURE_ID_OVERRIDE",$C122,"DEEP_BROKER_ID_OVERRIDE",AE$24,"DEEP_PERIOD_OVERRIDE",$H$19)*1,"")))</f>
        <v/>
      </c>
      <c r="AF122" t="str">
        <f>IF(OR(AF$23="",ISNA($B122)),"",IF(ISBLANK($B122),"",IFERROR(_xll.BDP(TICKER,"DEEP_MEASURE_PERIOD_BROKER_VALUE","DEEP_MEASURE_ID_OVERRIDE",$C122,"DEEP_BROKER_ID_OVERRIDE",AF$24,"DEEP_PERIOD_OVERRIDE",$H$19)*1,"")))</f>
        <v/>
      </c>
      <c r="AG122" t="str">
        <f>IF(OR(AG$23="",ISNA($B122)),"",IF(ISBLANK($B122),"",IFERROR(_xll.BDP(TICKER,"DEEP_MEASURE_PERIOD_BROKER_VALUE","DEEP_MEASURE_ID_OVERRIDE",$C122,"DEEP_BROKER_ID_OVERRIDE",AG$24,"DEEP_PERIOD_OVERRIDE",$H$19)*1,"")))</f>
        <v/>
      </c>
      <c r="AH122" t="str">
        <f>IF(OR(AH$23="",ISNA($B122)),"",IF(ISBLANK($B122),"",IFERROR(_xll.BDP(TICKER,"DEEP_MEASURE_PERIOD_BROKER_VALUE","DEEP_MEASURE_ID_OVERRIDE",$C122,"DEEP_BROKER_ID_OVERRIDE",AH$24,"DEEP_PERIOD_OVERRIDE",$H$19)*1,"")))</f>
        <v/>
      </c>
      <c r="AI122" t="str">
        <f>IF(OR(AI$23="",ISNA($B122)),"",IF(ISBLANK($B122),"",IFERROR(_xll.BDP(TICKER,"DEEP_MEASURE_PERIOD_BROKER_VALUE","DEEP_MEASURE_ID_OVERRIDE",$C122,"DEEP_BROKER_ID_OVERRIDE",AI$24,"DEEP_PERIOD_OVERRIDE",$H$19)*1,"")))</f>
        <v/>
      </c>
      <c r="AJ122" t="str">
        <f>IF(OR(AJ$23="",ISNA($B122)),"",IF(ISBLANK($B122),"",IFERROR(_xll.BDP(TICKER,"DEEP_MEASURE_PERIOD_BROKER_VALUE","DEEP_MEASURE_ID_OVERRIDE",$C122,"DEEP_BROKER_ID_OVERRIDE",AJ$24,"DEEP_PERIOD_OVERRIDE",$H$19)*1,"")))</f>
        <v/>
      </c>
      <c r="AK122" t="str">
        <f>IF(OR(AK$23="",ISNA($B122)),"",IF(ISBLANK($B122),"",IFERROR(_xll.BDP(TICKER,"DEEP_MEASURE_PERIOD_BROKER_VALUE","DEEP_MEASURE_ID_OVERRIDE",$C122,"DEEP_BROKER_ID_OVERRIDE",AK$24,"DEEP_PERIOD_OVERRIDE",$H$19)*1,"")))</f>
        <v/>
      </c>
      <c r="AL122" t="str">
        <f>IF(OR(AL$23="",ISNA($B122)),"",IF(ISBLANK($B122),"",IFERROR(_xll.BDP(TICKER,"DEEP_MEASURE_PERIOD_BROKER_VALUE","DEEP_MEASURE_ID_OVERRIDE",$C122,"DEEP_BROKER_ID_OVERRIDE",AL$24,"DEEP_PERIOD_OVERRIDE",$H$19)*1,"")))</f>
        <v/>
      </c>
      <c r="AM122" t="str">
        <f>IF(OR(AM$23="",ISNA($B122)),"",IF(ISBLANK($B122),"",IFERROR(_xll.BDP(TICKER,"DEEP_MEASURE_PERIOD_BROKER_VALUE","DEEP_MEASURE_ID_OVERRIDE",$C122,"DEEP_BROKER_ID_OVERRIDE",AM$24,"DEEP_PERIOD_OVERRIDE",$H$19)*1,"")))</f>
        <v/>
      </c>
      <c r="AN122" t="str">
        <f>IF(OR(AN$23="",ISNA($B122)),"",IF(ISBLANK($B122),"",IFERROR(_xll.BDP(TICKER,"DEEP_MEASURE_PERIOD_BROKER_VALUE","DEEP_MEASURE_ID_OVERRIDE",$C122,"DEEP_BROKER_ID_OVERRIDE",AN$24,"DEEP_PERIOD_OVERRIDE",$H$19)*1,"")))</f>
        <v/>
      </c>
      <c r="AO122" t="str">
        <f>IF(OR(AO$23="",ISNA($B122)),"",IF(ISBLANK($B122),"",IFERROR(_xll.BDP(TICKER,"DEEP_MEASURE_PERIOD_BROKER_VALUE","DEEP_MEASURE_ID_OVERRIDE",$C122,"DEEP_BROKER_ID_OVERRIDE",AO$24,"DEEP_PERIOD_OVERRIDE",$H$19)*1,"")))</f>
        <v/>
      </c>
      <c r="AP122" t="str">
        <f>IF(OR(AP$23="",ISNA($B122)),"",IF(ISBLANK($B122),"",IFERROR(_xll.BDP(TICKER,"DEEP_MEASURE_PERIOD_BROKER_VALUE","DEEP_MEASURE_ID_OVERRIDE",$C122,"DEEP_BROKER_ID_OVERRIDE",AP$24,"DEEP_PERIOD_OVERRIDE",$H$19)*1,"")))</f>
        <v/>
      </c>
      <c r="AQ122" t="str">
        <f>IF(OR(AQ$23="",ISNA($B122)),"",IF(ISBLANK($B122),"",IFERROR(_xll.BDP(TICKER,"DEEP_MEASURE_PERIOD_BROKER_VALUE","DEEP_MEASURE_ID_OVERRIDE",$C122,"DEEP_BROKER_ID_OVERRIDE",AQ$24,"DEEP_PERIOD_OVERRIDE",$H$19)*1,"")))</f>
        <v/>
      </c>
      <c r="AR122" t="str">
        <f>IF(OR(AR$23="",ISNA($B122)),"",IF(ISBLANK($B122),"",IFERROR(_xll.BDP(TICKER,"DEEP_MEASURE_PERIOD_BROKER_VALUE","DEEP_MEASURE_ID_OVERRIDE",$C122,"DEEP_BROKER_ID_OVERRIDE",AR$24,"DEEP_PERIOD_OVERRIDE",$H$19)*1,"")))</f>
        <v/>
      </c>
      <c r="AS122" t="str">
        <f>IF(OR(AS$23="",ISNA($B122)),"",IF(ISBLANK($B122),"",IFERROR(_xll.BDP(TICKER,"DEEP_MEASURE_PERIOD_BROKER_VALUE","DEEP_MEASURE_ID_OVERRIDE",$C122,"DEEP_BROKER_ID_OVERRIDE",AS$24,"DEEP_PERIOD_OVERRIDE",$H$19)*1,"")))</f>
        <v/>
      </c>
      <c r="AT122" t="str">
        <f>IF(OR(AT$23="",ISNA($B122)),"",IF(ISBLANK($B122),"",IFERROR(_xll.BDP(TICKER,"DEEP_MEASURE_PERIOD_BROKER_VALUE","DEEP_MEASURE_ID_OVERRIDE",$C122,"DEEP_BROKER_ID_OVERRIDE",AT$24,"DEEP_PERIOD_OVERRIDE",$H$19)*1,"")))</f>
        <v/>
      </c>
      <c r="AU122" t="str">
        <f>IF(OR(AU$23="",ISNA($B122)),"",IF(ISBLANK($B122),"",IFERROR(_xll.BDP(TICKER,"DEEP_MEASURE_PERIOD_BROKER_VALUE","DEEP_MEASURE_ID_OVERRIDE",$C122,"DEEP_BROKER_ID_OVERRIDE",AU$24,"DEEP_PERIOD_OVERRIDE",$H$19)*1,"")))</f>
        <v/>
      </c>
      <c r="AV122" t="str">
        <f>IF(OR(AV$23="",ISNA($B122)),"",IF(ISBLANK($B122),"",IFERROR(_xll.BDP(TICKER,"DEEP_MEASURE_PERIOD_BROKER_VALUE","DEEP_MEASURE_ID_OVERRIDE",$C122,"DEEP_BROKER_ID_OVERRIDE",AV$24,"DEEP_PERIOD_OVERRIDE",$H$19)*1,"")))</f>
        <v/>
      </c>
      <c r="AW122" t="str">
        <f>IF(OR(AW$23="",ISNA($B122)),"",IF(ISBLANK($B122),"",IFERROR(_xll.BDP(TICKER,"DEEP_MEASURE_PERIOD_BROKER_VALUE","DEEP_MEASURE_ID_OVERRIDE",$C122,"DEEP_BROKER_ID_OVERRIDE",AW$24,"DEEP_PERIOD_OVERRIDE",$H$19)*1,"")))</f>
        <v/>
      </c>
      <c r="AX122" t="str">
        <f>IF(OR(AX$23="",ISNA($B122)),"",IF(ISBLANK($B122),"",IFERROR(_xll.BDP(TICKER,"DEEP_MEASURE_PERIOD_BROKER_VALUE","DEEP_MEASURE_ID_OVERRIDE",$C122,"DEEP_BROKER_ID_OVERRIDE",AX$24,"DEEP_PERIOD_OVERRIDE",$H$19)*1,"")))</f>
        <v/>
      </c>
      <c r="AY122" t="str">
        <f>IF(OR(AY$23="",ISNA($B122)),"",IF(ISBLANK($B122),"",IFERROR(_xll.BDP(TICKER,"DEEP_MEASURE_PERIOD_BROKER_VALUE","DEEP_MEASURE_ID_OVERRIDE",$C122,"DEEP_BROKER_ID_OVERRIDE",AY$24,"DEEP_PERIOD_OVERRIDE",$H$19)*1,"")))</f>
        <v/>
      </c>
      <c r="AZ122" t="str">
        <f>IF(OR(AZ$23="",ISNA($B122)),"",IF(ISBLANK($B122),"",IFERROR(_xll.BDP(TICKER,"DEEP_MEASURE_PERIOD_BROKER_VALUE","DEEP_MEASURE_ID_OVERRIDE",$C122,"DEEP_BROKER_ID_OVERRIDE",AZ$24,"DEEP_PERIOD_OVERRIDE",$H$19)*1,"")))</f>
        <v/>
      </c>
      <c r="BA122" t="str">
        <f>IF(OR(BA$23="",ISNA($B122)),"",IF(ISBLANK($B122),"",IFERROR(_xll.BDP(TICKER,"DEEP_MEASURE_PERIOD_BROKER_VALUE","DEEP_MEASURE_ID_OVERRIDE",$C122,"DEEP_BROKER_ID_OVERRIDE",BA$24,"DEEP_PERIOD_OVERRIDE",$H$19)*1,"")))</f>
        <v/>
      </c>
      <c r="BB122" t="str">
        <f>IF(OR(BB$23="",ISNA($B122)),"",IF(ISBLANK($B122),"",IFERROR(_xll.BDP(TICKER,"DEEP_MEASURE_PERIOD_BROKER_VALUE","DEEP_MEASURE_ID_OVERRIDE",$C122,"DEEP_BROKER_ID_OVERRIDE",BB$24,"DEEP_PERIOD_OVERRIDE",$H$19)*1,"")))</f>
        <v/>
      </c>
      <c r="BC122" t="str">
        <f>IF(OR(BC$23="",ISNA($B122)),"",IF(ISBLANK($B122),"",IFERROR(_xll.BDP(TICKER,"DEEP_MEASURE_PERIOD_BROKER_VALUE","DEEP_MEASURE_ID_OVERRIDE",$C122,"DEEP_BROKER_ID_OVERRIDE",BC$24,"DEEP_PERIOD_OVERRIDE",$H$19)*1,"")))</f>
        <v/>
      </c>
      <c r="BD122" t="str">
        <f>IF(OR(BD$23="",ISNA($B122)),"",IF(ISBLANK($B122),"",IFERROR(_xll.BDP(TICKER,"DEEP_MEASURE_PERIOD_BROKER_VALUE","DEEP_MEASURE_ID_OVERRIDE",$C122,"DEEP_BROKER_ID_OVERRIDE",BD$24,"DEEP_PERIOD_OVERRIDE",$H$19)*1,"")))</f>
        <v/>
      </c>
      <c r="BE122" t="str">
        <f>IF(OR(BE$23="",ISNA($B122)),"",IF(ISBLANK($B122),"",IFERROR(_xll.BDP(TICKER,"DEEP_MEASURE_PERIOD_BROKER_VALUE","DEEP_MEASURE_ID_OVERRIDE",$C122,"DEEP_BROKER_ID_OVERRIDE",BE$24,"DEEP_PERIOD_OVERRIDE",$H$19)*1,"")))</f>
        <v/>
      </c>
      <c r="BF122" t="str">
        <f>IF(OR(BF$23="",ISNA($B122)),"",IF(ISBLANK($B122),"",IFERROR(_xll.BDP(TICKER,"DEEP_MEASURE_PERIOD_BROKER_VALUE","DEEP_MEASURE_ID_OVERRIDE",$C122,"DEEP_BROKER_ID_OVERRIDE",BF$24,"DEEP_PERIOD_OVERRIDE",$H$19)*1,"")))</f>
        <v/>
      </c>
      <c r="BG122" t="str">
        <f>IF(OR(BG$23="",ISNA($B122)),"",IF(ISBLANK($B122),"",IFERROR(_xll.BDP(TICKER,"DEEP_MEASURE_PERIOD_BROKER_VALUE","DEEP_MEASURE_ID_OVERRIDE",$C122,"DEEP_BROKER_ID_OVERRIDE",BG$24,"DEEP_PERIOD_OVERRIDE",$H$19)*1,"")))</f>
        <v/>
      </c>
      <c r="BH122" t="str">
        <f>IF(OR(BH$23="",ISNA($B122)),"",IF(ISBLANK($B122),"",IFERROR(_xll.BDP(TICKER,"DEEP_MEASURE_PERIOD_BROKER_VALUE","DEEP_MEASURE_ID_OVERRIDE",$C122,"DEEP_BROKER_ID_OVERRIDE",BH$24,"DEEP_PERIOD_OVERRIDE",$H$19)*1,"")))</f>
        <v/>
      </c>
      <c r="BI122" t="str">
        <f>IF(OR(BI$23="",ISNA($B122)),"",IF(ISBLANK($B122),"",IFERROR(_xll.BDP(TICKER,"DEEP_MEASURE_PERIOD_BROKER_VALUE","DEEP_MEASURE_ID_OVERRIDE",$C122,"DEEP_BROKER_ID_OVERRIDE",BI$24,"DEEP_PERIOD_OVERRIDE",$H$19)*1,"")))</f>
        <v/>
      </c>
      <c r="BJ122" t="str">
        <f>IF(OR(BJ$23="",ISNA($B122)),"",IF(ISBLANK($B122),"",IFERROR(_xll.BDP(TICKER,"DEEP_MEASURE_PERIOD_BROKER_VALUE","DEEP_MEASURE_ID_OVERRIDE",$C122,"DEEP_BROKER_ID_OVERRIDE",BJ$24,"DEEP_PERIOD_OVERRIDE",$H$19)*1,"")))</f>
        <v/>
      </c>
      <c r="BK122" t="str">
        <f>IF(OR(BK$23="",ISNA($B122)),"",IF(ISBLANK($B122),"",IFERROR(_xll.BDP(TICKER,"DEEP_MEASURE_PERIOD_BROKER_VALUE","DEEP_MEASURE_ID_OVERRIDE",$C122,"DEEP_BROKER_ID_OVERRIDE",BK$24,"DEEP_PERIOD_OVERRIDE",$H$19)*1,"")))</f>
        <v/>
      </c>
      <c r="BL122" t="str">
        <f>IF(OR(BL$23="",ISNA($B122)),"",IF(ISBLANK($B122),"",IFERROR(_xll.BDP(TICKER,"DEEP_MEASURE_PERIOD_BROKER_VALUE","DEEP_MEASURE_ID_OVERRIDE",$C122,"DEEP_BROKER_ID_OVERRIDE",BL$24,"DEEP_PERIOD_OVERRIDE",$H$19)*1,"")))</f>
        <v/>
      </c>
      <c r="BM122" t="str">
        <f>IF(OR(BM$23="",ISNA($B122)),"",IF(ISBLANK($B122),"",IFERROR(_xll.BDP(TICKER,"DEEP_MEASURE_PERIOD_BROKER_VALUE","DEEP_MEASURE_ID_OVERRIDE",$C122,"DEEP_BROKER_ID_OVERRIDE",BM$24,"DEEP_PERIOD_OVERRIDE",$H$19)*1,"")))</f>
        <v/>
      </c>
      <c r="BN122" t="str">
        <f>IF(OR(BN$23="",ISNA($B122)),"",IF(ISBLANK($B122),"",IFERROR(_xll.BDP(TICKER,"DEEP_MEASURE_PERIOD_BROKER_VALUE","DEEP_MEASURE_ID_OVERRIDE",$C122,"DEEP_BROKER_ID_OVERRIDE",BN$24,"DEEP_PERIOD_OVERRIDE",$H$19)*1,"")))</f>
        <v/>
      </c>
      <c r="BO122" t="str">
        <f>IF(OR(BO$23="",ISNA($B122)),"",IF(ISBLANK($B122),"",IFERROR(_xll.BDP(TICKER,"DEEP_MEASURE_PERIOD_BROKER_VALUE","DEEP_MEASURE_ID_OVERRIDE",$C122,"DEEP_BROKER_ID_OVERRIDE",BO$24,"DEEP_PERIOD_OVERRIDE",$H$19)*1,"")))</f>
        <v/>
      </c>
      <c r="BP122" t="str">
        <f>IF(OR(BP$23="",ISNA($B122)),"",IF(ISBLANK($B122),"",IFERROR(_xll.BDP(TICKER,"DEEP_MEASURE_PERIOD_BROKER_VALUE","DEEP_MEASURE_ID_OVERRIDE",$C122,"DEEP_BROKER_ID_OVERRIDE",BP$24,"DEEP_PERIOD_OVERRIDE",$H$19)*1,"")))</f>
        <v/>
      </c>
      <c r="BQ122" t="str">
        <f>IF(OR(BQ$23="",ISNA($B122)),"",IF(ISBLANK($B122),"",IFERROR(_xll.BDP(TICKER,"DEEP_MEASURE_PERIOD_BROKER_VALUE","DEEP_MEASURE_ID_OVERRIDE",$C122,"DEEP_BROKER_ID_OVERRIDE",BQ$24,"DEEP_PERIOD_OVERRIDE",$H$19)*1,"")))</f>
        <v/>
      </c>
      <c r="BR122" t="str">
        <f>IF(OR(BR$23="",ISNA($B122)),"",IF(ISBLANK($B122),"",IFERROR(_xll.BDP(TICKER,"DEEP_MEASURE_PERIOD_BROKER_VALUE","DEEP_MEASURE_ID_OVERRIDE",$C122,"DEEP_BROKER_ID_OVERRIDE",BR$24,"DEEP_PERIOD_OVERRIDE",$H$19)*1,"")))</f>
        <v/>
      </c>
      <c r="BS122" t="str">
        <f>IF(OR(BS$23="",ISNA($B122)),"",IF(ISBLANK($B122),"",IFERROR(_xll.BDP(TICKER,"DEEP_MEASURE_PERIOD_BROKER_VALUE","DEEP_MEASURE_ID_OVERRIDE",$C122,"DEEP_BROKER_ID_OVERRIDE",BS$24,"DEEP_PERIOD_OVERRIDE",$H$19)*1,"")))</f>
        <v/>
      </c>
      <c r="BT122" t="str">
        <f>IF(OR(BT$23="",ISNA($B122)),"",IF(ISBLANK($B122),"",IFERROR(_xll.BDP(TICKER,"DEEP_MEASURE_PERIOD_BROKER_VALUE","DEEP_MEASURE_ID_OVERRIDE",$C122,"DEEP_BROKER_ID_OVERRIDE",BT$24,"DEEP_PERIOD_OVERRIDE",$H$19)*1,"")))</f>
        <v/>
      </c>
      <c r="BU122" t="str">
        <f>IF(OR(BU$23="",ISNA($B122)),"",IF(ISBLANK($B122),"",IFERROR(_xll.BDP(TICKER,"DEEP_MEASURE_PERIOD_BROKER_VALUE","DEEP_MEASURE_ID_OVERRIDE",$C122,"DEEP_BROKER_ID_OVERRIDE",BU$24,"DEEP_PERIOD_OVERRIDE",$H$19)*1,"")))</f>
        <v/>
      </c>
      <c r="BV122" t="str">
        <f>IF(OR(BV$23="",ISNA($B122)),"",IF(ISBLANK($B122),"",IFERROR(_xll.BDP(TICKER,"DEEP_MEASURE_PERIOD_BROKER_VALUE","DEEP_MEASURE_ID_OVERRIDE",$C122,"DEEP_BROKER_ID_OVERRIDE",BV$24,"DEEP_PERIOD_OVERRIDE",$H$19)*1,"")))</f>
        <v/>
      </c>
      <c r="BW122" t="str">
        <f>IF(OR(BW$23="",ISNA($B122)),"",IF(ISBLANK($B122),"",IFERROR(_xll.BDP(TICKER,"DEEP_MEASURE_PERIOD_BROKER_VALUE","DEEP_MEASURE_ID_OVERRIDE",$C122,"DEEP_BROKER_ID_OVERRIDE",BW$24,"DEEP_PERIOD_OVERRIDE",$H$19)*1,"")))</f>
        <v/>
      </c>
      <c r="BX122" t="str">
        <f>IF(OR(BX$23="",ISNA($B122)),"",IF(ISBLANK($B122),"",IFERROR(_xll.BDP(TICKER,"DEEP_MEASURE_PERIOD_BROKER_VALUE","DEEP_MEASURE_ID_OVERRIDE",$C122,"DEEP_BROKER_ID_OVERRIDE",BX$24,"DEEP_PERIOD_OVERRIDE",$H$19)*1,"")))</f>
        <v/>
      </c>
      <c r="BY122" t="str">
        <f>IF(OR(BY$23="",ISNA($B122)),"",IF(ISBLANK($B122),"",IFERROR(_xll.BDP(TICKER,"DEEP_MEASURE_PERIOD_BROKER_VALUE","DEEP_MEASURE_ID_OVERRIDE",$C122,"DEEP_BROKER_ID_OVERRIDE",BY$24,"DEEP_PERIOD_OVERRIDE",$H$19)*1,"")))</f>
        <v/>
      </c>
      <c r="BZ122" t="str">
        <f>IF(OR(BZ$23="",ISNA($B122)),"",IF(ISBLANK($B122),"",IFERROR(_xll.BDP(TICKER,"DEEP_MEASURE_PERIOD_BROKER_VALUE","DEEP_MEASURE_ID_OVERRIDE",$C122,"DEEP_BROKER_ID_OVERRIDE",BZ$24,"DEEP_PERIOD_OVERRIDE",$H$19)*1,"")))</f>
        <v/>
      </c>
    </row>
    <row r="123" spans="2:78" x14ac:dyDescent="0.25">
      <c r="B123" t="s">
        <v>163</v>
      </c>
      <c r="C123">
        <v>561</v>
      </c>
      <c r="H123" t="str">
        <f t="shared" si="2"/>
        <v>Depreciation &amp; Amortization of Intangible Assets &gt; Depreciation</v>
      </c>
      <c r="I123" t="str">
        <f>IF(OR(I$23="",ISNA($B123)),"",IF(ISBLANK($B123),"",IFERROR(_xll.BDP(TICKER,"DEEP_MEASURE_PERIOD_BROKER_VALUE","DEEP_MEASURE_ID_OVERRIDE",$C123,"DEEP_PERIOD_OVERRIDE",$H$19)*1,"")))</f>
        <v/>
      </c>
      <c r="J123" t="e">
        <f>IF(OR(J$23="",ISNA($B123)),"",IF(ISBLANK($B123),"",IFERROR(_xll.BDP(TICKER,"DEEP_MEASURE_PERIOD_BROKER_VALUE","DEEP_MEASURE_ID_OVERRIDE",$C123,"DEEP_BROKER_ID_OVERRIDE",J$24,"DEEP_PERIOD_OVERRIDE",$H$19)*1,"")))</f>
        <v>#REF!</v>
      </c>
      <c r="K123" t="str">
        <f>IF(OR(K$23="",ISNA($B123)),"",IF(ISBLANK($B123),"",IFERROR(_xll.BDP(TICKER,"DEEP_MEASURE_PERIOD_BROKER_VALUE","DEEP_MEASURE_ID_OVERRIDE",$C123,"DEEP_BROKER_ID_OVERRIDE",K$24,"DEEP_PERIOD_OVERRIDE",$H$19)*1,"")))</f>
        <v/>
      </c>
      <c r="L123" t="str">
        <f>IF(OR(L$23="",ISNA($B123)),"",IF(ISBLANK($B123),"",IFERROR(_xll.BDP(TICKER,"DEEP_MEASURE_PERIOD_BROKER_VALUE","DEEP_MEASURE_ID_OVERRIDE",$C123,"DEEP_BROKER_ID_OVERRIDE",L$24,"DEEP_PERIOD_OVERRIDE",$H$19)*1,"")))</f>
        <v/>
      </c>
      <c r="M123" t="str">
        <f>IF(OR(M$23="",ISNA($B123)),"",IF(ISBLANK($B123),"",IFERROR(_xll.BDP(TICKER,"DEEP_MEASURE_PERIOD_BROKER_VALUE","DEEP_MEASURE_ID_OVERRIDE",$C123,"DEEP_BROKER_ID_OVERRIDE",M$24,"DEEP_PERIOD_OVERRIDE",$H$19)*1,"")))</f>
        <v/>
      </c>
      <c r="N123" t="str">
        <f>IF(OR(N$23="",ISNA($B123)),"",IF(ISBLANK($B123),"",IFERROR(_xll.BDP(TICKER,"DEEP_MEASURE_PERIOD_BROKER_VALUE","DEEP_MEASURE_ID_OVERRIDE",$C123,"DEEP_BROKER_ID_OVERRIDE",N$24,"DEEP_PERIOD_OVERRIDE",$H$19)*1,"")))</f>
        <v/>
      </c>
      <c r="O123" t="str">
        <f>IF(OR(O$23="",ISNA($B123)),"",IF(ISBLANK($B123),"",IFERROR(_xll.BDP(TICKER,"DEEP_MEASURE_PERIOD_BROKER_VALUE","DEEP_MEASURE_ID_OVERRIDE",$C123,"DEEP_BROKER_ID_OVERRIDE",O$24,"DEEP_PERIOD_OVERRIDE",$H$19)*1,"")))</f>
        <v/>
      </c>
      <c r="P123" t="str">
        <f>IF(OR(P$23="",ISNA($B123)),"",IF(ISBLANK($B123),"",IFERROR(_xll.BDP(TICKER,"DEEP_MEASURE_PERIOD_BROKER_VALUE","DEEP_MEASURE_ID_OVERRIDE",$C123,"DEEP_BROKER_ID_OVERRIDE",P$24,"DEEP_PERIOD_OVERRIDE",$H$19)*1,"")))</f>
        <v/>
      </c>
      <c r="Q123" t="str">
        <f>IF(OR(Q$23="",ISNA($B123)),"",IF(ISBLANK($B123),"",IFERROR(_xll.BDP(TICKER,"DEEP_MEASURE_PERIOD_BROKER_VALUE","DEEP_MEASURE_ID_OVERRIDE",$C123,"DEEP_BROKER_ID_OVERRIDE",Q$24,"DEEP_PERIOD_OVERRIDE",$H$19)*1,"")))</f>
        <v/>
      </c>
      <c r="R123" t="str">
        <f>IF(OR(R$23="",ISNA($B123)),"",IF(ISBLANK($B123),"",IFERROR(_xll.BDP(TICKER,"DEEP_MEASURE_PERIOD_BROKER_VALUE","DEEP_MEASURE_ID_OVERRIDE",$C123,"DEEP_BROKER_ID_OVERRIDE",R$24,"DEEP_PERIOD_OVERRIDE",$H$19)*1,"")))</f>
        <v/>
      </c>
      <c r="S123" t="str">
        <f>IF(OR(S$23="",ISNA($B123)),"",IF(ISBLANK($B123),"",IFERROR(_xll.BDP(TICKER,"DEEP_MEASURE_PERIOD_BROKER_VALUE","DEEP_MEASURE_ID_OVERRIDE",$C123,"DEEP_BROKER_ID_OVERRIDE",S$24,"DEEP_PERIOD_OVERRIDE",$H$19)*1,"")))</f>
        <v/>
      </c>
      <c r="T123" t="str">
        <f>IF(OR(T$23="",ISNA($B123)),"",IF(ISBLANK($B123),"",IFERROR(_xll.BDP(TICKER,"DEEP_MEASURE_PERIOD_BROKER_VALUE","DEEP_MEASURE_ID_OVERRIDE",$C123,"DEEP_BROKER_ID_OVERRIDE",T$24,"DEEP_PERIOD_OVERRIDE",$H$19)*1,"")))</f>
        <v/>
      </c>
      <c r="U123" t="str">
        <f>IF(OR(U$23="",ISNA($B123)),"",IF(ISBLANK($B123),"",IFERROR(_xll.BDP(TICKER,"DEEP_MEASURE_PERIOD_BROKER_VALUE","DEEP_MEASURE_ID_OVERRIDE",$C123,"DEEP_BROKER_ID_OVERRIDE",U$24,"DEEP_PERIOD_OVERRIDE",$H$19)*1,"")))</f>
        <v/>
      </c>
      <c r="V123" t="str">
        <f>IF(OR(V$23="",ISNA($B123)),"",IF(ISBLANK($B123),"",IFERROR(_xll.BDP(TICKER,"DEEP_MEASURE_PERIOD_BROKER_VALUE","DEEP_MEASURE_ID_OVERRIDE",$C123,"DEEP_BROKER_ID_OVERRIDE",V$24,"DEEP_PERIOD_OVERRIDE",$H$19)*1,"")))</f>
        <v/>
      </c>
      <c r="W123" t="str">
        <f>IF(OR(W$23="",ISNA($B123)),"",IF(ISBLANK($B123),"",IFERROR(_xll.BDP(TICKER,"DEEP_MEASURE_PERIOD_BROKER_VALUE","DEEP_MEASURE_ID_OVERRIDE",$C123,"DEEP_BROKER_ID_OVERRIDE",W$24,"DEEP_PERIOD_OVERRIDE",$H$19)*1,"")))</f>
        <v/>
      </c>
      <c r="X123" t="str">
        <f>IF(OR(X$23="",ISNA($B123)),"",IF(ISBLANK($B123),"",IFERROR(_xll.BDP(TICKER,"DEEP_MEASURE_PERIOD_BROKER_VALUE","DEEP_MEASURE_ID_OVERRIDE",$C123,"DEEP_BROKER_ID_OVERRIDE",X$24,"DEEP_PERIOD_OVERRIDE",$H$19)*1,"")))</f>
        <v/>
      </c>
      <c r="Y123" t="str">
        <f>IF(OR(Y$23="",ISNA($B123)),"",IF(ISBLANK($B123),"",IFERROR(_xll.BDP(TICKER,"DEEP_MEASURE_PERIOD_BROKER_VALUE","DEEP_MEASURE_ID_OVERRIDE",$C123,"DEEP_BROKER_ID_OVERRIDE",Y$24,"DEEP_PERIOD_OVERRIDE",$H$19)*1,"")))</f>
        <v/>
      </c>
      <c r="Z123" t="str">
        <f>IF(OR(Z$23="",ISNA($B123)),"",IF(ISBLANK($B123),"",IFERROR(_xll.BDP(TICKER,"DEEP_MEASURE_PERIOD_BROKER_VALUE","DEEP_MEASURE_ID_OVERRIDE",$C123,"DEEP_BROKER_ID_OVERRIDE",Z$24,"DEEP_PERIOD_OVERRIDE",$H$19)*1,"")))</f>
        <v/>
      </c>
      <c r="AA123" t="str">
        <f>IF(OR(AA$23="",ISNA($B123)),"",IF(ISBLANK($B123),"",IFERROR(_xll.BDP(TICKER,"DEEP_MEASURE_PERIOD_BROKER_VALUE","DEEP_MEASURE_ID_OVERRIDE",$C123,"DEEP_BROKER_ID_OVERRIDE",AA$24,"DEEP_PERIOD_OVERRIDE",$H$19)*1,"")))</f>
        <v/>
      </c>
      <c r="AB123" t="str">
        <f>IF(OR(AB$23="",ISNA($B123)),"",IF(ISBLANK($B123),"",IFERROR(_xll.BDP(TICKER,"DEEP_MEASURE_PERIOD_BROKER_VALUE","DEEP_MEASURE_ID_OVERRIDE",$C123,"DEEP_BROKER_ID_OVERRIDE",AB$24,"DEEP_PERIOD_OVERRIDE",$H$19)*1,"")))</f>
        <v/>
      </c>
      <c r="AC123" t="str">
        <f>IF(OR(AC$23="",ISNA($B123)),"",IF(ISBLANK($B123),"",IFERROR(_xll.BDP(TICKER,"DEEP_MEASURE_PERIOD_BROKER_VALUE","DEEP_MEASURE_ID_OVERRIDE",$C123,"DEEP_BROKER_ID_OVERRIDE",AC$24,"DEEP_PERIOD_OVERRIDE",$H$19)*1,"")))</f>
        <v/>
      </c>
      <c r="AD123" t="str">
        <f>IF(OR(AD$23="",ISNA($B123)),"",IF(ISBLANK($B123),"",IFERROR(_xll.BDP(TICKER,"DEEP_MEASURE_PERIOD_BROKER_VALUE","DEEP_MEASURE_ID_OVERRIDE",$C123,"DEEP_BROKER_ID_OVERRIDE",AD$24,"DEEP_PERIOD_OVERRIDE",$H$19)*1,"")))</f>
        <v/>
      </c>
      <c r="AE123" t="str">
        <f>IF(OR(AE$23="",ISNA($B123)),"",IF(ISBLANK($B123),"",IFERROR(_xll.BDP(TICKER,"DEEP_MEASURE_PERIOD_BROKER_VALUE","DEEP_MEASURE_ID_OVERRIDE",$C123,"DEEP_BROKER_ID_OVERRIDE",AE$24,"DEEP_PERIOD_OVERRIDE",$H$19)*1,"")))</f>
        <v/>
      </c>
      <c r="AF123" t="str">
        <f>IF(OR(AF$23="",ISNA($B123)),"",IF(ISBLANK($B123),"",IFERROR(_xll.BDP(TICKER,"DEEP_MEASURE_PERIOD_BROKER_VALUE","DEEP_MEASURE_ID_OVERRIDE",$C123,"DEEP_BROKER_ID_OVERRIDE",AF$24,"DEEP_PERIOD_OVERRIDE",$H$19)*1,"")))</f>
        <v/>
      </c>
      <c r="AG123" t="str">
        <f>IF(OR(AG$23="",ISNA($B123)),"",IF(ISBLANK($B123),"",IFERROR(_xll.BDP(TICKER,"DEEP_MEASURE_PERIOD_BROKER_VALUE","DEEP_MEASURE_ID_OVERRIDE",$C123,"DEEP_BROKER_ID_OVERRIDE",AG$24,"DEEP_PERIOD_OVERRIDE",$H$19)*1,"")))</f>
        <v/>
      </c>
      <c r="AH123" t="str">
        <f>IF(OR(AH$23="",ISNA($B123)),"",IF(ISBLANK($B123),"",IFERROR(_xll.BDP(TICKER,"DEEP_MEASURE_PERIOD_BROKER_VALUE","DEEP_MEASURE_ID_OVERRIDE",$C123,"DEEP_BROKER_ID_OVERRIDE",AH$24,"DEEP_PERIOD_OVERRIDE",$H$19)*1,"")))</f>
        <v/>
      </c>
      <c r="AI123" t="str">
        <f>IF(OR(AI$23="",ISNA($B123)),"",IF(ISBLANK($B123),"",IFERROR(_xll.BDP(TICKER,"DEEP_MEASURE_PERIOD_BROKER_VALUE","DEEP_MEASURE_ID_OVERRIDE",$C123,"DEEP_BROKER_ID_OVERRIDE",AI$24,"DEEP_PERIOD_OVERRIDE",$H$19)*1,"")))</f>
        <v/>
      </c>
      <c r="AJ123" t="str">
        <f>IF(OR(AJ$23="",ISNA($B123)),"",IF(ISBLANK($B123),"",IFERROR(_xll.BDP(TICKER,"DEEP_MEASURE_PERIOD_BROKER_VALUE","DEEP_MEASURE_ID_OVERRIDE",$C123,"DEEP_BROKER_ID_OVERRIDE",AJ$24,"DEEP_PERIOD_OVERRIDE",$H$19)*1,"")))</f>
        <v/>
      </c>
      <c r="AK123" t="str">
        <f>IF(OR(AK$23="",ISNA($B123)),"",IF(ISBLANK($B123),"",IFERROR(_xll.BDP(TICKER,"DEEP_MEASURE_PERIOD_BROKER_VALUE","DEEP_MEASURE_ID_OVERRIDE",$C123,"DEEP_BROKER_ID_OVERRIDE",AK$24,"DEEP_PERIOD_OVERRIDE",$H$19)*1,"")))</f>
        <v/>
      </c>
      <c r="AL123" t="str">
        <f>IF(OR(AL$23="",ISNA($B123)),"",IF(ISBLANK($B123),"",IFERROR(_xll.BDP(TICKER,"DEEP_MEASURE_PERIOD_BROKER_VALUE","DEEP_MEASURE_ID_OVERRIDE",$C123,"DEEP_BROKER_ID_OVERRIDE",AL$24,"DEEP_PERIOD_OVERRIDE",$H$19)*1,"")))</f>
        <v/>
      </c>
      <c r="AM123" t="str">
        <f>IF(OR(AM$23="",ISNA($B123)),"",IF(ISBLANK($B123),"",IFERROR(_xll.BDP(TICKER,"DEEP_MEASURE_PERIOD_BROKER_VALUE","DEEP_MEASURE_ID_OVERRIDE",$C123,"DEEP_BROKER_ID_OVERRIDE",AM$24,"DEEP_PERIOD_OVERRIDE",$H$19)*1,"")))</f>
        <v/>
      </c>
      <c r="AN123" t="str">
        <f>IF(OR(AN$23="",ISNA($B123)),"",IF(ISBLANK($B123),"",IFERROR(_xll.BDP(TICKER,"DEEP_MEASURE_PERIOD_BROKER_VALUE","DEEP_MEASURE_ID_OVERRIDE",$C123,"DEEP_BROKER_ID_OVERRIDE",AN$24,"DEEP_PERIOD_OVERRIDE",$H$19)*1,"")))</f>
        <v/>
      </c>
      <c r="AO123" t="str">
        <f>IF(OR(AO$23="",ISNA($B123)),"",IF(ISBLANK($B123),"",IFERROR(_xll.BDP(TICKER,"DEEP_MEASURE_PERIOD_BROKER_VALUE","DEEP_MEASURE_ID_OVERRIDE",$C123,"DEEP_BROKER_ID_OVERRIDE",AO$24,"DEEP_PERIOD_OVERRIDE",$H$19)*1,"")))</f>
        <v/>
      </c>
      <c r="AP123" t="str">
        <f>IF(OR(AP$23="",ISNA($B123)),"",IF(ISBLANK($B123),"",IFERROR(_xll.BDP(TICKER,"DEEP_MEASURE_PERIOD_BROKER_VALUE","DEEP_MEASURE_ID_OVERRIDE",$C123,"DEEP_BROKER_ID_OVERRIDE",AP$24,"DEEP_PERIOD_OVERRIDE",$H$19)*1,"")))</f>
        <v/>
      </c>
      <c r="AQ123" t="str">
        <f>IF(OR(AQ$23="",ISNA($B123)),"",IF(ISBLANK($B123),"",IFERROR(_xll.BDP(TICKER,"DEEP_MEASURE_PERIOD_BROKER_VALUE","DEEP_MEASURE_ID_OVERRIDE",$C123,"DEEP_BROKER_ID_OVERRIDE",AQ$24,"DEEP_PERIOD_OVERRIDE",$H$19)*1,"")))</f>
        <v/>
      </c>
      <c r="AR123" t="str">
        <f>IF(OR(AR$23="",ISNA($B123)),"",IF(ISBLANK($B123),"",IFERROR(_xll.BDP(TICKER,"DEEP_MEASURE_PERIOD_BROKER_VALUE","DEEP_MEASURE_ID_OVERRIDE",$C123,"DEEP_BROKER_ID_OVERRIDE",AR$24,"DEEP_PERIOD_OVERRIDE",$H$19)*1,"")))</f>
        <v/>
      </c>
      <c r="AS123" t="str">
        <f>IF(OR(AS$23="",ISNA($B123)),"",IF(ISBLANK($B123),"",IFERROR(_xll.BDP(TICKER,"DEEP_MEASURE_PERIOD_BROKER_VALUE","DEEP_MEASURE_ID_OVERRIDE",$C123,"DEEP_BROKER_ID_OVERRIDE",AS$24,"DEEP_PERIOD_OVERRIDE",$H$19)*1,"")))</f>
        <v/>
      </c>
      <c r="AT123" t="str">
        <f>IF(OR(AT$23="",ISNA($B123)),"",IF(ISBLANK($B123),"",IFERROR(_xll.BDP(TICKER,"DEEP_MEASURE_PERIOD_BROKER_VALUE","DEEP_MEASURE_ID_OVERRIDE",$C123,"DEEP_BROKER_ID_OVERRIDE",AT$24,"DEEP_PERIOD_OVERRIDE",$H$19)*1,"")))</f>
        <v/>
      </c>
      <c r="AU123" t="str">
        <f>IF(OR(AU$23="",ISNA($B123)),"",IF(ISBLANK($B123),"",IFERROR(_xll.BDP(TICKER,"DEEP_MEASURE_PERIOD_BROKER_VALUE","DEEP_MEASURE_ID_OVERRIDE",$C123,"DEEP_BROKER_ID_OVERRIDE",AU$24,"DEEP_PERIOD_OVERRIDE",$H$19)*1,"")))</f>
        <v/>
      </c>
      <c r="AV123" t="str">
        <f>IF(OR(AV$23="",ISNA($B123)),"",IF(ISBLANK($B123),"",IFERROR(_xll.BDP(TICKER,"DEEP_MEASURE_PERIOD_BROKER_VALUE","DEEP_MEASURE_ID_OVERRIDE",$C123,"DEEP_BROKER_ID_OVERRIDE",AV$24,"DEEP_PERIOD_OVERRIDE",$H$19)*1,"")))</f>
        <v/>
      </c>
      <c r="AW123" t="str">
        <f>IF(OR(AW$23="",ISNA($B123)),"",IF(ISBLANK($B123),"",IFERROR(_xll.BDP(TICKER,"DEEP_MEASURE_PERIOD_BROKER_VALUE","DEEP_MEASURE_ID_OVERRIDE",$C123,"DEEP_BROKER_ID_OVERRIDE",AW$24,"DEEP_PERIOD_OVERRIDE",$H$19)*1,"")))</f>
        <v/>
      </c>
      <c r="AX123" t="str">
        <f>IF(OR(AX$23="",ISNA($B123)),"",IF(ISBLANK($B123),"",IFERROR(_xll.BDP(TICKER,"DEEP_MEASURE_PERIOD_BROKER_VALUE","DEEP_MEASURE_ID_OVERRIDE",$C123,"DEEP_BROKER_ID_OVERRIDE",AX$24,"DEEP_PERIOD_OVERRIDE",$H$19)*1,"")))</f>
        <v/>
      </c>
      <c r="AY123" t="str">
        <f>IF(OR(AY$23="",ISNA($B123)),"",IF(ISBLANK($B123),"",IFERROR(_xll.BDP(TICKER,"DEEP_MEASURE_PERIOD_BROKER_VALUE","DEEP_MEASURE_ID_OVERRIDE",$C123,"DEEP_BROKER_ID_OVERRIDE",AY$24,"DEEP_PERIOD_OVERRIDE",$H$19)*1,"")))</f>
        <v/>
      </c>
      <c r="AZ123" t="str">
        <f>IF(OR(AZ$23="",ISNA($B123)),"",IF(ISBLANK($B123),"",IFERROR(_xll.BDP(TICKER,"DEEP_MEASURE_PERIOD_BROKER_VALUE","DEEP_MEASURE_ID_OVERRIDE",$C123,"DEEP_BROKER_ID_OVERRIDE",AZ$24,"DEEP_PERIOD_OVERRIDE",$H$19)*1,"")))</f>
        <v/>
      </c>
      <c r="BA123" t="str">
        <f>IF(OR(BA$23="",ISNA($B123)),"",IF(ISBLANK($B123),"",IFERROR(_xll.BDP(TICKER,"DEEP_MEASURE_PERIOD_BROKER_VALUE","DEEP_MEASURE_ID_OVERRIDE",$C123,"DEEP_BROKER_ID_OVERRIDE",BA$24,"DEEP_PERIOD_OVERRIDE",$H$19)*1,"")))</f>
        <v/>
      </c>
      <c r="BB123" t="str">
        <f>IF(OR(BB$23="",ISNA($B123)),"",IF(ISBLANK($B123),"",IFERROR(_xll.BDP(TICKER,"DEEP_MEASURE_PERIOD_BROKER_VALUE","DEEP_MEASURE_ID_OVERRIDE",$C123,"DEEP_BROKER_ID_OVERRIDE",BB$24,"DEEP_PERIOD_OVERRIDE",$H$19)*1,"")))</f>
        <v/>
      </c>
      <c r="BC123" t="str">
        <f>IF(OR(BC$23="",ISNA($B123)),"",IF(ISBLANK($B123),"",IFERROR(_xll.BDP(TICKER,"DEEP_MEASURE_PERIOD_BROKER_VALUE","DEEP_MEASURE_ID_OVERRIDE",$C123,"DEEP_BROKER_ID_OVERRIDE",BC$24,"DEEP_PERIOD_OVERRIDE",$H$19)*1,"")))</f>
        <v/>
      </c>
      <c r="BD123" t="str">
        <f>IF(OR(BD$23="",ISNA($B123)),"",IF(ISBLANK($B123),"",IFERROR(_xll.BDP(TICKER,"DEEP_MEASURE_PERIOD_BROKER_VALUE","DEEP_MEASURE_ID_OVERRIDE",$C123,"DEEP_BROKER_ID_OVERRIDE",BD$24,"DEEP_PERIOD_OVERRIDE",$H$19)*1,"")))</f>
        <v/>
      </c>
      <c r="BE123" t="str">
        <f>IF(OR(BE$23="",ISNA($B123)),"",IF(ISBLANK($B123),"",IFERROR(_xll.BDP(TICKER,"DEEP_MEASURE_PERIOD_BROKER_VALUE","DEEP_MEASURE_ID_OVERRIDE",$C123,"DEEP_BROKER_ID_OVERRIDE",BE$24,"DEEP_PERIOD_OVERRIDE",$H$19)*1,"")))</f>
        <v/>
      </c>
      <c r="BF123" t="str">
        <f>IF(OR(BF$23="",ISNA($B123)),"",IF(ISBLANK($B123),"",IFERROR(_xll.BDP(TICKER,"DEEP_MEASURE_PERIOD_BROKER_VALUE","DEEP_MEASURE_ID_OVERRIDE",$C123,"DEEP_BROKER_ID_OVERRIDE",BF$24,"DEEP_PERIOD_OVERRIDE",$H$19)*1,"")))</f>
        <v/>
      </c>
      <c r="BG123" t="str">
        <f>IF(OR(BG$23="",ISNA($B123)),"",IF(ISBLANK($B123),"",IFERROR(_xll.BDP(TICKER,"DEEP_MEASURE_PERIOD_BROKER_VALUE","DEEP_MEASURE_ID_OVERRIDE",$C123,"DEEP_BROKER_ID_OVERRIDE",BG$24,"DEEP_PERIOD_OVERRIDE",$H$19)*1,"")))</f>
        <v/>
      </c>
      <c r="BH123" t="str">
        <f>IF(OR(BH$23="",ISNA($B123)),"",IF(ISBLANK($B123),"",IFERROR(_xll.BDP(TICKER,"DEEP_MEASURE_PERIOD_BROKER_VALUE","DEEP_MEASURE_ID_OVERRIDE",$C123,"DEEP_BROKER_ID_OVERRIDE",BH$24,"DEEP_PERIOD_OVERRIDE",$H$19)*1,"")))</f>
        <v/>
      </c>
      <c r="BI123" t="str">
        <f>IF(OR(BI$23="",ISNA($B123)),"",IF(ISBLANK($B123),"",IFERROR(_xll.BDP(TICKER,"DEEP_MEASURE_PERIOD_BROKER_VALUE","DEEP_MEASURE_ID_OVERRIDE",$C123,"DEEP_BROKER_ID_OVERRIDE",BI$24,"DEEP_PERIOD_OVERRIDE",$H$19)*1,"")))</f>
        <v/>
      </c>
      <c r="BJ123" t="str">
        <f>IF(OR(BJ$23="",ISNA($B123)),"",IF(ISBLANK($B123),"",IFERROR(_xll.BDP(TICKER,"DEEP_MEASURE_PERIOD_BROKER_VALUE","DEEP_MEASURE_ID_OVERRIDE",$C123,"DEEP_BROKER_ID_OVERRIDE",BJ$24,"DEEP_PERIOD_OVERRIDE",$H$19)*1,"")))</f>
        <v/>
      </c>
      <c r="BK123" t="str">
        <f>IF(OR(BK$23="",ISNA($B123)),"",IF(ISBLANK($B123),"",IFERROR(_xll.BDP(TICKER,"DEEP_MEASURE_PERIOD_BROKER_VALUE","DEEP_MEASURE_ID_OVERRIDE",$C123,"DEEP_BROKER_ID_OVERRIDE",BK$24,"DEEP_PERIOD_OVERRIDE",$H$19)*1,"")))</f>
        <v/>
      </c>
      <c r="BL123" t="str">
        <f>IF(OR(BL$23="",ISNA($B123)),"",IF(ISBLANK($B123),"",IFERROR(_xll.BDP(TICKER,"DEEP_MEASURE_PERIOD_BROKER_VALUE","DEEP_MEASURE_ID_OVERRIDE",$C123,"DEEP_BROKER_ID_OVERRIDE",BL$24,"DEEP_PERIOD_OVERRIDE",$H$19)*1,"")))</f>
        <v/>
      </c>
      <c r="BM123" t="str">
        <f>IF(OR(BM$23="",ISNA($B123)),"",IF(ISBLANK($B123),"",IFERROR(_xll.BDP(TICKER,"DEEP_MEASURE_PERIOD_BROKER_VALUE","DEEP_MEASURE_ID_OVERRIDE",$C123,"DEEP_BROKER_ID_OVERRIDE",BM$24,"DEEP_PERIOD_OVERRIDE",$H$19)*1,"")))</f>
        <v/>
      </c>
      <c r="BN123" t="str">
        <f>IF(OR(BN$23="",ISNA($B123)),"",IF(ISBLANK($B123),"",IFERROR(_xll.BDP(TICKER,"DEEP_MEASURE_PERIOD_BROKER_VALUE","DEEP_MEASURE_ID_OVERRIDE",$C123,"DEEP_BROKER_ID_OVERRIDE",BN$24,"DEEP_PERIOD_OVERRIDE",$H$19)*1,"")))</f>
        <v/>
      </c>
      <c r="BO123" t="str">
        <f>IF(OR(BO$23="",ISNA($B123)),"",IF(ISBLANK($B123),"",IFERROR(_xll.BDP(TICKER,"DEEP_MEASURE_PERIOD_BROKER_VALUE","DEEP_MEASURE_ID_OVERRIDE",$C123,"DEEP_BROKER_ID_OVERRIDE",BO$24,"DEEP_PERIOD_OVERRIDE",$H$19)*1,"")))</f>
        <v/>
      </c>
      <c r="BP123" t="str">
        <f>IF(OR(BP$23="",ISNA($B123)),"",IF(ISBLANK($B123),"",IFERROR(_xll.BDP(TICKER,"DEEP_MEASURE_PERIOD_BROKER_VALUE","DEEP_MEASURE_ID_OVERRIDE",$C123,"DEEP_BROKER_ID_OVERRIDE",BP$24,"DEEP_PERIOD_OVERRIDE",$H$19)*1,"")))</f>
        <v/>
      </c>
      <c r="BQ123" t="str">
        <f>IF(OR(BQ$23="",ISNA($B123)),"",IF(ISBLANK($B123),"",IFERROR(_xll.BDP(TICKER,"DEEP_MEASURE_PERIOD_BROKER_VALUE","DEEP_MEASURE_ID_OVERRIDE",$C123,"DEEP_BROKER_ID_OVERRIDE",BQ$24,"DEEP_PERIOD_OVERRIDE",$H$19)*1,"")))</f>
        <v/>
      </c>
      <c r="BR123" t="str">
        <f>IF(OR(BR$23="",ISNA($B123)),"",IF(ISBLANK($B123),"",IFERROR(_xll.BDP(TICKER,"DEEP_MEASURE_PERIOD_BROKER_VALUE","DEEP_MEASURE_ID_OVERRIDE",$C123,"DEEP_BROKER_ID_OVERRIDE",BR$24,"DEEP_PERIOD_OVERRIDE",$H$19)*1,"")))</f>
        <v/>
      </c>
      <c r="BS123" t="str">
        <f>IF(OR(BS$23="",ISNA($B123)),"",IF(ISBLANK($B123),"",IFERROR(_xll.BDP(TICKER,"DEEP_MEASURE_PERIOD_BROKER_VALUE","DEEP_MEASURE_ID_OVERRIDE",$C123,"DEEP_BROKER_ID_OVERRIDE",BS$24,"DEEP_PERIOD_OVERRIDE",$H$19)*1,"")))</f>
        <v/>
      </c>
      <c r="BT123" t="str">
        <f>IF(OR(BT$23="",ISNA($B123)),"",IF(ISBLANK($B123),"",IFERROR(_xll.BDP(TICKER,"DEEP_MEASURE_PERIOD_BROKER_VALUE","DEEP_MEASURE_ID_OVERRIDE",$C123,"DEEP_BROKER_ID_OVERRIDE",BT$24,"DEEP_PERIOD_OVERRIDE",$H$19)*1,"")))</f>
        <v/>
      </c>
      <c r="BU123" t="str">
        <f>IF(OR(BU$23="",ISNA($B123)),"",IF(ISBLANK($B123),"",IFERROR(_xll.BDP(TICKER,"DEEP_MEASURE_PERIOD_BROKER_VALUE","DEEP_MEASURE_ID_OVERRIDE",$C123,"DEEP_BROKER_ID_OVERRIDE",BU$24,"DEEP_PERIOD_OVERRIDE",$H$19)*1,"")))</f>
        <v/>
      </c>
      <c r="BV123" t="str">
        <f>IF(OR(BV$23="",ISNA($B123)),"",IF(ISBLANK($B123),"",IFERROR(_xll.BDP(TICKER,"DEEP_MEASURE_PERIOD_BROKER_VALUE","DEEP_MEASURE_ID_OVERRIDE",$C123,"DEEP_BROKER_ID_OVERRIDE",BV$24,"DEEP_PERIOD_OVERRIDE",$H$19)*1,"")))</f>
        <v/>
      </c>
      <c r="BW123" t="str">
        <f>IF(OR(BW$23="",ISNA($B123)),"",IF(ISBLANK($B123),"",IFERROR(_xll.BDP(TICKER,"DEEP_MEASURE_PERIOD_BROKER_VALUE","DEEP_MEASURE_ID_OVERRIDE",$C123,"DEEP_BROKER_ID_OVERRIDE",BW$24,"DEEP_PERIOD_OVERRIDE",$H$19)*1,"")))</f>
        <v/>
      </c>
      <c r="BX123" t="str">
        <f>IF(OR(BX$23="",ISNA($B123)),"",IF(ISBLANK($B123),"",IFERROR(_xll.BDP(TICKER,"DEEP_MEASURE_PERIOD_BROKER_VALUE","DEEP_MEASURE_ID_OVERRIDE",$C123,"DEEP_BROKER_ID_OVERRIDE",BX$24,"DEEP_PERIOD_OVERRIDE",$H$19)*1,"")))</f>
        <v/>
      </c>
      <c r="BY123" t="str">
        <f>IF(OR(BY$23="",ISNA($B123)),"",IF(ISBLANK($B123),"",IFERROR(_xll.BDP(TICKER,"DEEP_MEASURE_PERIOD_BROKER_VALUE","DEEP_MEASURE_ID_OVERRIDE",$C123,"DEEP_BROKER_ID_OVERRIDE",BY$24,"DEEP_PERIOD_OVERRIDE",$H$19)*1,"")))</f>
        <v/>
      </c>
      <c r="BZ123" t="str">
        <f>IF(OR(BZ$23="",ISNA($B123)),"",IF(ISBLANK($B123),"",IFERROR(_xll.BDP(TICKER,"DEEP_MEASURE_PERIOD_BROKER_VALUE","DEEP_MEASURE_ID_OVERRIDE",$C123,"DEEP_BROKER_ID_OVERRIDE",BZ$24,"DEEP_PERIOD_OVERRIDE",$H$19)*1,"")))</f>
        <v/>
      </c>
    </row>
    <row r="124" spans="2:78" x14ac:dyDescent="0.25">
      <c r="B124" t="s">
        <v>164</v>
      </c>
      <c r="C124">
        <v>396</v>
      </c>
      <c r="H124" t="str">
        <f t="shared" si="2"/>
        <v>Depreciation &amp; Amortization of Intangible Assets &gt; Depreciation &gt; As % of Revenue</v>
      </c>
      <c r="I124" t="str">
        <f>IF(OR(I$23="",ISNA($B124)),"",IF(ISBLANK($B124),"",IFERROR(_xll.BDP(TICKER,"DEEP_MEASURE_PERIOD_BROKER_VALUE","DEEP_MEASURE_ID_OVERRIDE",$C124,"DEEP_PERIOD_OVERRIDE",$H$19)*1,"")))</f>
        <v/>
      </c>
      <c r="J124" t="e">
        <f>IF(OR(J$23="",ISNA($B124)),"",IF(ISBLANK($B124),"",IFERROR(_xll.BDP(TICKER,"DEEP_MEASURE_PERIOD_BROKER_VALUE","DEEP_MEASURE_ID_OVERRIDE",$C124,"DEEP_BROKER_ID_OVERRIDE",J$24,"DEEP_PERIOD_OVERRIDE",$H$19)*1,"")))</f>
        <v>#REF!</v>
      </c>
      <c r="K124" t="str">
        <f>IF(OR(K$23="",ISNA($B124)),"",IF(ISBLANK($B124),"",IFERROR(_xll.BDP(TICKER,"DEEP_MEASURE_PERIOD_BROKER_VALUE","DEEP_MEASURE_ID_OVERRIDE",$C124,"DEEP_BROKER_ID_OVERRIDE",K$24,"DEEP_PERIOD_OVERRIDE",$H$19)*1,"")))</f>
        <v/>
      </c>
      <c r="L124" t="str">
        <f>IF(OR(L$23="",ISNA($B124)),"",IF(ISBLANK($B124),"",IFERROR(_xll.BDP(TICKER,"DEEP_MEASURE_PERIOD_BROKER_VALUE","DEEP_MEASURE_ID_OVERRIDE",$C124,"DEEP_BROKER_ID_OVERRIDE",L$24,"DEEP_PERIOD_OVERRIDE",$H$19)*1,"")))</f>
        <v/>
      </c>
      <c r="M124" t="str">
        <f>IF(OR(M$23="",ISNA($B124)),"",IF(ISBLANK($B124),"",IFERROR(_xll.BDP(TICKER,"DEEP_MEASURE_PERIOD_BROKER_VALUE","DEEP_MEASURE_ID_OVERRIDE",$C124,"DEEP_BROKER_ID_OVERRIDE",M$24,"DEEP_PERIOD_OVERRIDE",$H$19)*1,"")))</f>
        <v/>
      </c>
      <c r="N124" t="str">
        <f>IF(OR(N$23="",ISNA($B124)),"",IF(ISBLANK($B124),"",IFERROR(_xll.BDP(TICKER,"DEEP_MEASURE_PERIOD_BROKER_VALUE","DEEP_MEASURE_ID_OVERRIDE",$C124,"DEEP_BROKER_ID_OVERRIDE",N$24,"DEEP_PERIOD_OVERRIDE",$H$19)*1,"")))</f>
        <v/>
      </c>
      <c r="O124" t="str">
        <f>IF(OR(O$23="",ISNA($B124)),"",IF(ISBLANK($B124),"",IFERROR(_xll.BDP(TICKER,"DEEP_MEASURE_PERIOD_BROKER_VALUE","DEEP_MEASURE_ID_OVERRIDE",$C124,"DEEP_BROKER_ID_OVERRIDE",O$24,"DEEP_PERIOD_OVERRIDE",$H$19)*1,"")))</f>
        <v/>
      </c>
      <c r="P124" t="str">
        <f>IF(OR(P$23="",ISNA($B124)),"",IF(ISBLANK($B124),"",IFERROR(_xll.BDP(TICKER,"DEEP_MEASURE_PERIOD_BROKER_VALUE","DEEP_MEASURE_ID_OVERRIDE",$C124,"DEEP_BROKER_ID_OVERRIDE",P$24,"DEEP_PERIOD_OVERRIDE",$H$19)*1,"")))</f>
        <v/>
      </c>
      <c r="Q124" t="str">
        <f>IF(OR(Q$23="",ISNA($B124)),"",IF(ISBLANK($B124),"",IFERROR(_xll.BDP(TICKER,"DEEP_MEASURE_PERIOD_BROKER_VALUE","DEEP_MEASURE_ID_OVERRIDE",$C124,"DEEP_BROKER_ID_OVERRIDE",Q$24,"DEEP_PERIOD_OVERRIDE",$H$19)*1,"")))</f>
        <v/>
      </c>
      <c r="R124" t="str">
        <f>IF(OR(R$23="",ISNA($B124)),"",IF(ISBLANK($B124),"",IFERROR(_xll.BDP(TICKER,"DEEP_MEASURE_PERIOD_BROKER_VALUE","DEEP_MEASURE_ID_OVERRIDE",$C124,"DEEP_BROKER_ID_OVERRIDE",R$24,"DEEP_PERIOD_OVERRIDE",$H$19)*1,"")))</f>
        <v/>
      </c>
      <c r="S124" t="str">
        <f>IF(OR(S$23="",ISNA($B124)),"",IF(ISBLANK($B124),"",IFERROR(_xll.BDP(TICKER,"DEEP_MEASURE_PERIOD_BROKER_VALUE","DEEP_MEASURE_ID_OVERRIDE",$C124,"DEEP_BROKER_ID_OVERRIDE",S$24,"DEEP_PERIOD_OVERRIDE",$H$19)*1,"")))</f>
        <v/>
      </c>
      <c r="T124" t="str">
        <f>IF(OR(T$23="",ISNA($B124)),"",IF(ISBLANK($B124),"",IFERROR(_xll.BDP(TICKER,"DEEP_MEASURE_PERIOD_BROKER_VALUE","DEEP_MEASURE_ID_OVERRIDE",$C124,"DEEP_BROKER_ID_OVERRIDE",T$24,"DEEP_PERIOD_OVERRIDE",$H$19)*1,"")))</f>
        <v/>
      </c>
      <c r="U124" t="str">
        <f>IF(OR(U$23="",ISNA($B124)),"",IF(ISBLANK($B124),"",IFERROR(_xll.BDP(TICKER,"DEEP_MEASURE_PERIOD_BROKER_VALUE","DEEP_MEASURE_ID_OVERRIDE",$C124,"DEEP_BROKER_ID_OVERRIDE",U$24,"DEEP_PERIOD_OVERRIDE",$H$19)*1,"")))</f>
        <v/>
      </c>
      <c r="V124" t="str">
        <f>IF(OR(V$23="",ISNA($B124)),"",IF(ISBLANK($B124),"",IFERROR(_xll.BDP(TICKER,"DEEP_MEASURE_PERIOD_BROKER_VALUE","DEEP_MEASURE_ID_OVERRIDE",$C124,"DEEP_BROKER_ID_OVERRIDE",V$24,"DEEP_PERIOD_OVERRIDE",$H$19)*1,"")))</f>
        <v/>
      </c>
      <c r="W124" t="str">
        <f>IF(OR(W$23="",ISNA($B124)),"",IF(ISBLANK($B124),"",IFERROR(_xll.BDP(TICKER,"DEEP_MEASURE_PERIOD_BROKER_VALUE","DEEP_MEASURE_ID_OVERRIDE",$C124,"DEEP_BROKER_ID_OVERRIDE",W$24,"DEEP_PERIOD_OVERRIDE",$H$19)*1,"")))</f>
        <v/>
      </c>
      <c r="X124" t="str">
        <f>IF(OR(X$23="",ISNA($B124)),"",IF(ISBLANK($B124),"",IFERROR(_xll.BDP(TICKER,"DEEP_MEASURE_PERIOD_BROKER_VALUE","DEEP_MEASURE_ID_OVERRIDE",$C124,"DEEP_BROKER_ID_OVERRIDE",X$24,"DEEP_PERIOD_OVERRIDE",$H$19)*1,"")))</f>
        <v/>
      </c>
      <c r="Y124" t="str">
        <f>IF(OR(Y$23="",ISNA($B124)),"",IF(ISBLANK($B124),"",IFERROR(_xll.BDP(TICKER,"DEEP_MEASURE_PERIOD_BROKER_VALUE","DEEP_MEASURE_ID_OVERRIDE",$C124,"DEEP_BROKER_ID_OVERRIDE",Y$24,"DEEP_PERIOD_OVERRIDE",$H$19)*1,"")))</f>
        <v/>
      </c>
      <c r="Z124" t="str">
        <f>IF(OR(Z$23="",ISNA($B124)),"",IF(ISBLANK($B124),"",IFERROR(_xll.BDP(TICKER,"DEEP_MEASURE_PERIOD_BROKER_VALUE","DEEP_MEASURE_ID_OVERRIDE",$C124,"DEEP_BROKER_ID_OVERRIDE",Z$24,"DEEP_PERIOD_OVERRIDE",$H$19)*1,"")))</f>
        <v/>
      </c>
      <c r="AA124" t="str">
        <f>IF(OR(AA$23="",ISNA($B124)),"",IF(ISBLANK($B124),"",IFERROR(_xll.BDP(TICKER,"DEEP_MEASURE_PERIOD_BROKER_VALUE","DEEP_MEASURE_ID_OVERRIDE",$C124,"DEEP_BROKER_ID_OVERRIDE",AA$24,"DEEP_PERIOD_OVERRIDE",$H$19)*1,"")))</f>
        <v/>
      </c>
      <c r="AB124" t="str">
        <f>IF(OR(AB$23="",ISNA($B124)),"",IF(ISBLANK($B124),"",IFERROR(_xll.BDP(TICKER,"DEEP_MEASURE_PERIOD_BROKER_VALUE","DEEP_MEASURE_ID_OVERRIDE",$C124,"DEEP_BROKER_ID_OVERRIDE",AB$24,"DEEP_PERIOD_OVERRIDE",$H$19)*1,"")))</f>
        <v/>
      </c>
      <c r="AC124" t="str">
        <f>IF(OR(AC$23="",ISNA($B124)),"",IF(ISBLANK($B124),"",IFERROR(_xll.BDP(TICKER,"DEEP_MEASURE_PERIOD_BROKER_VALUE","DEEP_MEASURE_ID_OVERRIDE",$C124,"DEEP_BROKER_ID_OVERRIDE",AC$24,"DEEP_PERIOD_OVERRIDE",$H$19)*1,"")))</f>
        <v/>
      </c>
      <c r="AD124" t="str">
        <f>IF(OR(AD$23="",ISNA($B124)),"",IF(ISBLANK($B124),"",IFERROR(_xll.BDP(TICKER,"DEEP_MEASURE_PERIOD_BROKER_VALUE","DEEP_MEASURE_ID_OVERRIDE",$C124,"DEEP_BROKER_ID_OVERRIDE",AD$24,"DEEP_PERIOD_OVERRIDE",$H$19)*1,"")))</f>
        <v/>
      </c>
      <c r="AE124" t="str">
        <f>IF(OR(AE$23="",ISNA($B124)),"",IF(ISBLANK($B124),"",IFERROR(_xll.BDP(TICKER,"DEEP_MEASURE_PERIOD_BROKER_VALUE","DEEP_MEASURE_ID_OVERRIDE",$C124,"DEEP_BROKER_ID_OVERRIDE",AE$24,"DEEP_PERIOD_OVERRIDE",$H$19)*1,"")))</f>
        <v/>
      </c>
      <c r="AF124" t="str">
        <f>IF(OR(AF$23="",ISNA($B124)),"",IF(ISBLANK($B124),"",IFERROR(_xll.BDP(TICKER,"DEEP_MEASURE_PERIOD_BROKER_VALUE","DEEP_MEASURE_ID_OVERRIDE",$C124,"DEEP_BROKER_ID_OVERRIDE",AF$24,"DEEP_PERIOD_OVERRIDE",$H$19)*1,"")))</f>
        <v/>
      </c>
      <c r="AG124" t="str">
        <f>IF(OR(AG$23="",ISNA($B124)),"",IF(ISBLANK($B124),"",IFERROR(_xll.BDP(TICKER,"DEEP_MEASURE_PERIOD_BROKER_VALUE","DEEP_MEASURE_ID_OVERRIDE",$C124,"DEEP_BROKER_ID_OVERRIDE",AG$24,"DEEP_PERIOD_OVERRIDE",$H$19)*1,"")))</f>
        <v/>
      </c>
      <c r="AH124" t="str">
        <f>IF(OR(AH$23="",ISNA($B124)),"",IF(ISBLANK($B124),"",IFERROR(_xll.BDP(TICKER,"DEEP_MEASURE_PERIOD_BROKER_VALUE","DEEP_MEASURE_ID_OVERRIDE",$C124,"DEEP_BROKER_ID_OVERRIDE",AH$24,"DEEP_PERIOD_OVERRIDE",$H$19)*1,"")))</f>
        <v/>
      </c>
      <c r="AI124" t="str">
        <f>IF(OR(AI$23="",ISNA($B124)),"",IF(ISBLANK($B124),"",IFERROR(_xll.BDP(TICKER,"DEEP_MEASURE_PERIOD_BROKER_VALUE","DEEP_MEASURE_ID_OVERRIDE",$C124,"DEEP_BROKER_ID_OVERRIDE",AI$24,"DEEP_PERIOD_OVERRIDE",$H$19)*1,"")))</f>
        <v/>
      </c>
      <c r="AJ124" t="str">
        <f>IF(OR(AJ$23="",ISNA($B124)),"",IF(ISBLANK($B124),"",IFERROR(_xll.BDP(TICKER,"DEEP_MEASURE_PERIOD_BROKER_VALUE","DEEP_MEASURE_ID_OVERRIDE",$C124,"DEEP_BROKER_ID_OVERRIDE",AJ$24,"DEEP_PERIOD_OVERRIDE",$H$19)*1,"")))</f>
        <v/>
      </c>
      <c r="AK124" t="str">
        <f>IF(OR(AK$23="",ISNA($B124)),"",IF(ISBLANK($B124),"",IFERROR(_xll.BDP(TICKER,"DEEP_MEASURE_PERIOD_BROKER_VALUE","DEEP_MEASURE_ID_OVERRIDE",$C124,"DEEP_BROKER_ID_OVERRIDE",AK$24,"DEEP_PERIOD_OVERRIDE",$H$19)*1,"")))</f>
        <v/>
      </c>
      <c r="AL124" t="str">
        <f>IF(OR(AL$23="",ISNA($B124)),"",IF(ISBLANK($B124),"",IFERROR(_xll.BDP(TICKER,"DEEP_MEASURE_PERIOD_BROKER_VALUE","DEEP_MEASURE_ID_OVERRIDE",$C124,"DEEP_BROKER_ID_OVERRIDE",AL$24,"DEEP_PERIOD_OVERRIDE",$H$19)*1,"")))</f>
        <v/>
      </c>
      <c r="AM124" t="str">
        <f>IF(OR(AM$23="",ISNA($B124)),"",IF(ISBLANK($B124),"",IFERROR(_xll.BDP(TICKER,"DEEP_MEASURE_PERIOD_BROKER_VALUE","DEEP_MEASURE_ID_OVERRIDE",$C124,"DEEP_BROKER_ID_OVERRIDE",AM$24,"DEEP_PERIOD_OVERRIDE",$H$19)*1,"")))</f>
        <v/>
      </c>
      <c r="AN124" t="str">
        <f>IF(OR(AN$23="",ISNA($B124)),"",IF(ISBLANK($B124),"",IFERROR(_xll.BDP(TICKER,"DEEP_MEASURE_PERIOD_BROKER_VALUE","DEEP_MEASURE_ID_OVERRIDE",$C124,"DEEP_BROKER_ID_OVERRIDE",AN$24,"DEEP_PERIOD_OVERRIDE",$H$19)*1,"")))</f>
        <v/>
      </c>
      <c r="AO124" t="str">
        <f>IF(OR(AO$23="",ISNA($B124)),"",IF(ISBLANK($B124),"",IFERROR(_xll.BDP(TICKER,"DEEP_MEASURE_PERIOD_BROKER_VALUE","DEEP_MEASURE_ID_OVERRIDE",$C124,"DEEP_BROKER_ID_OVERRIDE",AO$24,"DEEP_PERIOD_OVERRIDE",$H$19)*1,"")))</f>
        <v/>
      </c>
      <c r="AP124" t="str">
        <f>IF(OR(AP$23="",ISNA($B124)),"",IF(ISBLANK($B124),"",IFERROR(_xll.BDP(TICKER,"DEEP_MEASURE_PERIOD_BROKER_VALUE","DEEP_MEASURE_ID_OVERRIDE",$C124,"DEEP_BROKER_ID_OVERRIDE",AP$24,"DEEP_PERIOD_OVERRIDE",$H$19)*1,"")))</f>
        <v/>
      </c>
      <c r="AQ124" t="str">
        <f>IF(OR(AQ$23="",ISNA($B124)),"",IF(ISBLANK($B124),"",IFERROR(_xll.BDP(TICKER,"DEEP_MEASURE_PERIOD_BROKER_VALUE","DEEP_MEASURE_ID_OVERRIDE",$C124,"DEEP_BROKER_ID_OVERRIDE",AQ$24,"DEEP_PERIOD_OVERRIDE",$H$19)*1,"")))</f>
        <v/>
      </c>
      <c r="AR124" t="str">
        <f>IF(OR(AR$23="",ISNA($B124)),"",IF(ISBLANK($B124),"",IFERROR(_xll.BDP(TICKER,"DEEP_MEASURE_PERIOD_BROKER_VALUE","DEEP_MEASURE_ID_OVERRIDE",$C124,"DEEP_BROKER_ID_OVERRIDE",AR$24,"DEEP_PERIOD_OVERRIDE",$H$19)*1,"")))</f>
        <v/>
      </c>
      <c r="AS124" t="str">
        <f>IF(OR(AS$23="",ISNA($B124)),"",IF(ISBLANK($B124),"",IFERROR(_xll.BDP(TICKER,"DEEP_MEASURE_PERIOD_BROKER_VALUE","DEEP_MEASURE_ID_OVERRIDE",$C124,"DEEP_BROKER_ID_OVERRIDE",AS$24,"DEEP_PERIOD_OVERRIDE",$H$19)*1,"")))</f>
        <v/>
      </c>
      <c r="AT124" t="str">
        <f>IF(OR(AT$23="",ISNA($B124)),"",IF(ISBLANK($B124),"",IFERROR(_xll.BDP(TICKER,"DEEP_MEASURE_PERIOD_BROKER_VALUE","DEEP_MEASURE_ID_OVERRIDE",$C124,"DEEP_BROKER_ID_OVERRIDE",AT$24,"DEEP_PERIOD_OVERRIDE",$H$19)*1,"")))</f>
        <v/>
      </c>
      <c r="AU124" t="str">
        <f>IF(OR(AU$23="",ISNA($B124)),"",IF(ISBLANK($B124),"",IFERROR(_xll.BDP(TICKER,"DEEP_MEASURE_PERIOD_BROKER_VALUE","DEEP_MEASURE_ID_OVERRIDE",$C124,"DEEP_BROKER_ID_OVERRIDE",AU$24,"DEEP_PERIOD_OVERRIDE",$H$19)*1,"")))</f>
        <v/>
      </c>
      <c r="AV124" t="str">
        <f>IF(OR(AV$23="",ISNA($B124)),"",IF(ISBLANK($B124),"",IFERROR(_xll.BDP(TICKER,"DEEP_MEASURE_PERIOD_BROKER_VALUE","DEEP_MEASURE_ID_OVERRIDE",$C124,"DEEP_BROKER_ID_OVERRIDE",AV$24,"DEEP_PERIOD_OVERRIDE",$H$19)*1,"")))</f>
        <v/>
      </c>
      <c r="AW124" t="str">
        <f>IF(OR(AW$23="",ISNA($B124)),"",IF(ISBLANK($B124),"",IFERROR(_xll.BDP(TICKER,"DEEP_MEASURE_PERIOD_BROKER_VALUE","DEEP_MEASURE_ID_OVERRIDE",$C124,"DEEP_BROKER_ID_OVERRIDE",AW$24,"DEEP_PERIOD_OVERRIDE",$H$19)*1,"")))</f>
        <v/>
      </c>
      <c r="AX124" t="str">
        <f>IF(OR(AX$23="",ISNA($B124)),"",IF(ISBLANK($B124),"",IFERROR(_xll.BDP(TICKER,"DEEP_MEASURE_PERIOD_BROKER_VALUE","DEEP_MEASURE_ID_OVERRIDE",$C124,"DEEP_BROKER_ID_OVERRIDE",AX$24,"DEEP_PERIOD_OVERRIDE",$H$19)*1,"")))</f>
        <v/>
      </c>
      <c r="AY124" t="str">
        <f>IF(OR(AY$23="",ISNA($B124)),"",IF(ISBLANK($B124),"",IFERROR(_xll.BDP(TICKER,"DEEP_MEASURE_PERIOD_BROKER_VALUE","DEEP_MEASURE_ID_OVERRIDE",$C124,"DEEP_BROKER_ID_OVERRIDE",AY$24,"DEEP_PERIOD_OVERRIDE",$H$19)*1,"")))</f>
        <v/>
      </c>
      <c r="AZ124" t="str">
        <f>IF(OR(AZ$23="",ISNA($B124)),"",IF(ISBLANK($B124),"",IFERROR(_xll.BDP(TICKER,"DEEP_MEASURE_PERIOD_BROKER_VALUE","DEEP_MEASURE_ID_OVERRIDE",$C124,"DEEP_BROKER_ID_OVERRIDE",AZ$24,"DEEP_PERIOD_OVERRIDE",$H$19)*1,"")))</f>
        <v/>
      </c>
      <c r="BA124" t="str">
        <f>IF(OR(BA$23="",ISNA($B124)),"",IF(ISBLANK($B124),"",IFERROR(_xll.BDP(TICKER,"DEEP_MEASURE_PERIOD_BROKER_VALUE","DEEP_MEASURE_ID_OVERRIDE",$C124,"DEEP_BROKER_ID_OVERRIDE",BA$24,"DEEP_PERIOD_OVERRIDE",$H$19)*1,"")))</f>
        <v/>
      </c>
      <c r="BB124" t="str">
        <f>IF(OR(BB$23="",ISNA($B124)),"",IF(ISBLANK($B124),"",IFERROR(_xll.BDP(TICKER,"DEEP_MEASURE_PERIOD_BROKER_VALUE","DEEP_MEASURE_ID_OVERRIDE",$C124,"DEEP_BROKER_ID_OVERRIDE",BB$24,"DEEP_PERIOD_OVERRIDE",$H$19)*1,"")))</f>
        <v/>
      </c>
      <c r="BC124" t="str">
        <f>IF(OR(BC$23="",ISNA($B124)),"",IF(ISBLANK($B124),"",IFERROR(_xll.BDP(TICKER,"DEEP_MEASURE_PERIOD_BROKER_VALUE","DEEP_MEASURE_ID_OVERRIDE",$C124,"DEEP_BROKER_ID_OVERRIDE",BC$24,"DEEP_PERIOD_OVERRIDE",$H$19)*1,"")))</f>
        <v/>
      </c>
      <c r="BD124" t="str">
        <f>IF(OR(BD$23="",ISNA($B124)),"",IF(ISBLANK($B124),"",IFERROR(_xll.BDP(TICKER,"DEEP_MEASURE_PERIOD_BROKER_VALUE","DEEP_MEASURE_ID_OVERRIDE",$C124,"DEEP_BROKER_ID_OVERRIDE",BD$24,"DEEP_PERIOD_OVERRIDE",$H$19)*1,"")))</f>
        <v/>
      </c>
      <c r="BE124" t="str">
        <f>IF(OR(BE$23="",ISNA($B124)),"",IF(ISBLANK($B124),"",IFERROR(_xll.BDP(TICKER,"DEEP_MEASURE_PERIOD_BROKER_VALUE","DEEP_MEASURE_ID_OVERRIDE",$C124,"DEEP_BROKER_ID_OVERRIDE",BE$24,"DEEP_PERIOD_OVERRIDE",$H$19)*1,"")))</f>
        <v/>
      </c>
      <c r="BF124" t="str">
        <f>IF(OR(BF$23="",ISNA($B124)),"",IF(ISBLANK($B124),"",IFERROR(_xll.BDP(TICKER,"DEEP_MEASURE_PERIOD_BROKER_VALUE","DEEP_MEASURE_ID_OVERRIDE",$C124,"DEEP_BROKER_ID_OVERRIDE",BF$24,"DEEP_PERIOD_OVERRIDE",$H$19)*1,"")))</f>
        <v/>
      </c>
      <c r="BG124" t="str">
        <f>IF(OR(BG$23="",ISNA($B124)),"",IF(ISBLANK($B124),"",IFERROR(_xll.BDP(TICKER,"DEEP_MEASURE_PERIOD_BROKER_VALUE","DEEP_MEASURE_ID_OVERRIDE",$C124,"DEEP_BROKER_ID_OVERRIDE",BG$24,"DEEP_PERIOD_OVERRIDE",$H$19)*1,"")))</f>
        <v/>
      </c>
      <c r="BH124" t="str">
        <f>IF(OR(BH$23="",ISNA($B124)),"",IF(ISBLANK($B124),"",IFERROR(_xll.BDP(TICKER,"DEEP_MEASURE_PERIOD_BROKER_VALUE","DEEP_MEASURE_ID_OVERRIDE",$C124,"DEEP_BROKER_ID_OVERRIDE",BH$24,"DEEP_PERIOD_OVERRIDE",$H$19)*1,"")))</f>
        <v/>
      </c>
      <c r="BI124" t="str">
        <f>IF(OR(BI$23="",ISNA($B124)),"",IF(ISBLANK($B124),"",IFERROR(_xll.BDP(TICKER,"DEEP_MEASURE_PERIOD_BROKER_VALUE","DEEP_MEASURE_ID_OVERRIDE",$C124,"DEEP_BROKER_ID_OVERRIDE",BI$24,"DEEP_PERIOD_OVERRIDE",$H$19)*1,"")))</f>
        <v/>
      </c>
      <c r="BJ124" t="str">
        <f>IF(OR(BJ$23="",ISNA($B124)),"",IF(ISBLANK($B124),"",IFERROR(_xll.BDP(TICKER,"DEEP_MEASURE_PERIOD_BROKER_VALUE","DEEP_MEASURE_ID_OVERRIDE",$C124,"DEEP_BROKER_ID_OVERRIDE",BJ$24,"DEEP_PERIOD_OVERRIDE",$H$19)*1,"")))</f>
        <v/>
      </c>
      <c r="BK124" t="str">
        <f>IF(OR(BK$23="",ISNA($B124)),"",IF(ISBLANK($B124),"",IFERROR(_xll.BDP(TICKER,"DEEP_MEASURE_PERIOD_BROKER_VALUE","DEEP_MEASURE_ID_OVERRIDE",$C124,"DEEP_BROKER_ID_OVERRIDE",BK$24,"DEEP_PERIOD_OVERRIDE",$H$19)*1,"")))</f>
        <v/>
      </c>
      <c r="BL124" t="str">
        <f>IF(OR(BL$23="",ISNA($B124)),"",IF(ISBLANK($B124),"",IFERROR(_xll.BDP(TICKER,"DEEP_MEASURE_PERIOD_BROKER_VALUE","DEEP_MEASURE_ID_OVERRIDE",$C124,"DEEP_BROKER_ID_OVERRIDE",BL$24,"DEEP_PERIOD_OVERRIDE",$H$19)*1,"")))</f>
        <v/>
      </c>
      <c r="BM124" t="str">
        <f>IF(OR(BM$23="",ISNA($B124)),"",IF(ISBLANK($B124),"",IFERROR(_xll.BDP(TICKER,"DEEP_MEASURE_PERIOD_BROKER_VALUE","DEEP_MEASURE_ID_OVERRIDE",$C124,"DEEP_BROKER_ID_OVERRIDE",BM$24,"DEEP_PERIOD_OVERRIDE",$H$19)*1,"")))</f>
        <v/>
      </c>
      <c r="BN124" t="str">
        <f>IF(OR(BN$23="",ISNA($B124)),"",IF(ISBLANK($B124),"",IFERROR(_xll.BDP(TICKER,"DEEP_MEASURE_PERIOD_BROKER_VALUE","DEEP_MEASURE_ID_OVERRIDE",$C124,"DEEP_BROKER_ID_OVERRIDE",BN$24,"DEEP_PERIOD_OVERRIDE",$H$19)*1,"")))</f>
        <v/>
      </c>
      <c r="BO124" t="str">
        <f>IF(OR(BO$23="",ISNA($B124)),"",IF(ISBLANK($B124),"",IFERROR(_xll.BDP(TICKER,"DEEP_MEASURE_PERIOD_BROKER_VALUE","DEEP_MEASURE_ID_OVERRIDE",$C124,"DEEP_BROKER_ID_OVERRIDE",BO$24,"DEEP_PERIOD_OVERRIDE",$H$19)*1,"")))</f>
        <v/>
      </c>
      <c r="BP124" t="str">
        <f>IF(OR(BP$23="",ISNA($B124)),"",IF(ISBLANK($B124),"",IFERROR(_xll.BDP(TICKER,"DEEP_MEASURE_PERIOD_BROKER_VALUE","DEEP_MEASURE_ID_OVERRIDE",$C124,"DEEP_BROKER_ID_OVERRIDE",BP$24,"DEEP_PERIOD_OVERRIDE",$H$19)*1,"")))</f>
        <v/>
      </c>
      <c r="BQ124" t="str">
        <f>IF(OR(BQ$23="",ISNA($B124)),"",IF(ISBLANK($B124),"",IFERROR(_xll.BDP(TICKER,"DEEP_MEASURE_PERIOD_BROKER_VALUE","DEEP_MEASURE_ID_OVERRIDE",$C124,"DEEP_BROKER_ID_OVERRIDE",BQ$24,"DEEP_PERIOD_OVERRIDE",$H$19)*1,"")))</f>
        <v/>
      </c>
      <c r="BR124" t="str">
        <f>IF(OR(BR$23="",ISNA($B124)),"",IF(ISBLANK($B124),"",IFERROR(_xll.BDP(TICKER,"DEEP_MEASURE_PERIOD_BROKER_VALUE","DEEP_MEASURE_ID_OVERRIDE",$C124,"DEEP_BROKER_ID_OVERRIDE",BR$24,"DEEP_PERIOD_OVERRIDE",$H$19)*1,"")))</f>
        <v/>
      </c>
      <c r="BS124" t="str">
        <f>IF(OR(BS$23="",ISNA($B124)),"",IF(ISBLANK($B124),"",IFERROR(_xll.BDP(TICKER,"DEEP_MEASURE_PERIOD_BROKER_VALUE","DEEP_MEASURE_ID_OVERRIDE",$C124,"DEEP_BROKER_ID_OVERRIDE",BS$24,"DEEP_PERIOD_OVERRIDE",$H$19)*1,"")))</f>
        <v/>
      </c>
      <c r="BT124" t="str">
        <f>IF(OR(BT$23="",ISNA($B124)),"",IF(ISBLANK($B124),"",IFERROR(_xll.BDP(TICKER,"DEEP_MEASURE_PERIOD_BROKER_VALUE","DEEP_MEASURE_ID_OVERRIDE",$C124,"DEEP_BROKER_ID_OVERRIDE",BT$24,"DEEP_PERIOD_OVERRIDE",$H$19)*1,"")))</f>
        <v/>
      </c>
      <c r="BU124" t="str">
        <f>IF(OR(BU$23="",ISNA($B124)),"",IF(ISBLANK($B124),"",IFERROR(_xll.BDP(TICKER,"DEEP_MEASURE_PERIOD_BROKER_VALUE","DEEP_MEASURE_ID_OVERRIDE",$C124,"DEEP_BROKER_ID_OVERRIDE",BU$24,"DEEP_PERIOD_OVERRIDE",$H$19)*1,"")))</f>
        <v/>
      </c>
      <c r="BV124" t="str">
        <f>IF(OR(BV$23="",ISNA($B124)),"",IF(ISBLANK($B124),"",IFERROR(_xll.BDP(TICKER,"DEEP_MEASURE_PERIOD_BROKER_VALUE","DEEP_MEASURE_ID_OVERRIDE",$C124,"DEEP_BROKER_ID_OVERRIDE",BV$24,"DEEP_PERIOD_OVERRIDE",$H$19)*1,"")))</f>
        <v/>
      </c>
      <c r="BW124" t="str">
        <f>IF(OR(BW$23="",ISNA($B124)),"",IF(ISBLANK($B124),"",IFERROR(_xll.BDP(TICKER,"DEEP_MEASURE_PERIOD_BROKER_VALUE","DEEP_MEASURE_ID_OVERRIDE",$C124,"DEEP_BROKER_ID_OVERRIDE",BW$24,"DEEP_PERIOD_OVERRIDE",$H$19)*1,"")))</f>
        <v/>
      </c>
      <c r="BX124" t="str">
        <f>IF(OR(BX$23="",ISNA($B124)),"",IF(ISBLANK($B124),"",IFERROR(_xll.BDP(TICKER,"DEEP_MEASURE_PERIOD_BROKER_VALUE","DEEP_MEASURE_ID_OVERRIDE",$C124,"DEEP_BROKER_ID_OVERRIDE",BX$24,"DEEP_PERIOD_OVERRIDE",$H$19)*1,"")))</f>
        <v/>
      </c>
      <c r="BY124" t="str">
        <f>IF(OR(BY$23="",ISNA($B124)),"",IF(ISBLANK($B124),"",IFERROR(_xll.BDP(TICKER,"DEEP_MEASURE_PERIOD_BROKER_VALUE","DEEP_MEASURE_ID_OVERRIDE",$C124,"DEEP_BROKER_ID_OVERRIDE",BY$24,"DEEP_PERIOD_OVERRIDE",$H$19)*1,"")))</f>
        <v/>
      </c>
      <c r="BZ124" t="str">
        <f>IF(OR(BZ$23="",ISNA($B124)),"",IF(ISBLANK($B124),"",IFERROR(_xll.BDP(TICKER,"DEEP_MEASURE_PERIOD_BROKER_VALUE","DEEP_MEASURE_ID_OVERRIDE",$C124,"DEEP_BROKER_ID_OVERRIDE",BZ$24,"DEEP_PERIOD_OVERRIDE",$H$19)*1,"")))</f>
        <v/>
      </c>
    </row>
    <row r="125" spans="2:78" x14ac:dyDescent="0.25">
      <c r="B125" t="s">
        <v>165</v>
      </c>
      <c r="C125">
        <v>8359</v>
      </c>
      <c r="H125" t="str">
        <f t="shared" si="2"/>
        <v>Depreciation &amp; Amortization of Intangible Assets &gt; Amortization of Intangible Assets</v>
      </c>
      <c r="I125" t="str">
        <f>IF(OR(I$23="",ISNA($B125)),"",IF(ISBLANK($B125),"",IFERROR(_xll.BDP(TICKER,"DEEP_MEASURE_PERIOD_BROKER_VALUE","DEEP_MEASURE_ID_OVERRIDE",$C125,"DEEP_PERIOD_OVERRIDE",$H$19)*1,"")))</f>
        <v/>
      </c>
      <c r="J125" t="e">
        <f>IF(OR(J$23="",ISNA($B125)),"",IF(ISBLANK($B125),"",IFERROR(_xll.BDP(TICKER,"DEEP_MEASURE_PERIOD_BROKER_VALUE","DEEP_MEASURE_ID_OVERRIDE",$C125,"DEEP_BROKER_ID_OVERRIDE",J$24,"DEEP_PERIOD_OVERRIDE",$H$19)*1,"")))</f>
        <v>#REF!</v>
      </c>
      <c r="K125" t="str">
        <f>IF(OR(K$23="",ISNA($B125)),"",IF(ISBLANK($B125),"",IFERROR(_xll.BDP(TICKER,"DEEP_MEASURE_PERIOD_BROKER_VALUE","DEEP_MEASURE_ID_OVERRIDE",$C125,"DEEP_BROKER_ID_OVERRIDE",K$24,"DEEP_PERIOD_OVERRIDE",$H$19)*1,"")))</f>
        <v/>
      </c>
      <c r="L125" t="str">
        <f>IF(OR(L$23="",ISNA($B125)),"",IF(ISBLANK($B125),"",IFERROR(_xll.BDP(TICKER,"DEEP_MEASURE_PERIOD_BROKER_VALUE","DEEP_MEASURE_ID_OVERRIDE",$C125,"DEEP_BROKER_ID_OVERRIDE",L$24,"DEEP_PERIOD_OVERRIDE",$H$19)*1,"")))</f>
        <v/>
      </c>
      <c r="M125" t="str">
        <f>IF(OR(M$23="",ISNA($B125)),"",IF(ISBLANK($B125),"",IFERROR(_xll.BDP(TICKER,"DEEP_MEASURE_PERIOD_BROKER_VALUE","DEEP_MEASURE_ID_OVERRIDE",$C125,"DEEP_BROKER_ID_OVERRIDE",M$24,"DEEP_PERIOD_OVERRIDE",$H$19)*1,"")))</f>
        <v/>
      </c>
      <c r="N125" t="str">
        <f>IF(OR(N$23="",ISNA($B125)),"",IF(ISBLANK($B125),"",IFERROR(_xll.BDP(TICKER,"DEEP_MEASURE_PERIOD_BROKER_VALUE","DEEP_MEASURE_ID_OVERRIDE",$C125,"DEEP_BROKER_ID_OVERRIDE",N$24,"DEEP_PERIOD_OVERRIDE",$H$19)*1,"")))</f>
        <v/>
      </c>
      <c r="O125" t="str">
        <f>IF(OR(O$23="",ISNA($B125)),"",IF(ISBLANK($B125),"",IFERROR(_xll.BDP(TICKER,"DEEP_MEASURE_PERIOD_BROKER_VALUE","DEEP_MEASURE_ID_OVERRIDE",$C125,"DEEP_BROKER_ID_OVERRIDE",O$24,"DEEP_PERIOD_OVERRIDE",$H$19)*1,"")))</f>
        <v/>
      </c>
      <c r="P125" t="str">
        <f>IF(OR(P$23="",ISNA($B125)),"",IF(ISBLANK($B125),"",IFERROR(_xll.BDP(TICKER,"DEEP_MEASURE_PERIOD_BROKER_VALUE","DEEP_MEASURE_ID_OVERRIDE",$C125,"DEEP_BROKER_ID_OVERRIDE",P$24,"DEEP_PERIOD_OVERRIDE",$H$19)*1,"")))</f>
        <v/>
      </c>
      <c r="Q125" t="str">
        <f>IF(OR(Q$23="",ISNA($B125)),"",IF(ISBLANK($B125),"",IFERROR(_xll.BDP(TICKER,"DEEP_MEASURE_PERIOD_BROKER_VALUE","DEEP_MEASURE_ID_OVERRIDE",$C125,"DEEP_BROKER_ID_OVERRIDE",Q$24,"DEEP_PERIOD_OVERRIDE",$H$19)*1,"")))</f>
        <v/>
      </c>
      <c r="R125" t="str">
        <f>IF(OR(R$23="",ISNA($B125)),"",IF(ISBLANK($B125),"",IFERROR(_xll.BDP(TICKER,"DEEP_MEASURE_PERIOD_BROKER_VALUE","DEEP_MEASURE_ID_OVERRIDE",$C125,"DEEP_BROKER_ID_OVERRIDE",R$24,"DEEP_PERIOD_OVERRIDE",$H$19)*1,"")))</f>
        <v/>
      </c>
      <c r="S125" t="str">
        <f>IF(OR(S$23="",ISNA($B125)),"",IF(ISBLANK($B125),"",IFERROR(_xll.BDP(TICKER,"DEEP_MEASURE_PERIOD_BROKER_VALUE","DEEP_MEASURE_ID_OVERRIDE",$C125,"DEEP_BROKER_ID_OVERRIDE",S$24,"DEEP_PERIOD_OVERRIDE",$H$19)*1,"")))</f>
        <v/>
      </c>
      <c r="T125" t="str">
        <f>IF(OR(T$23="",ISNA($B125)),"",IF(ISBLANK($B125),"",IFERROR(_xll.BDP(TICKER,"DEEP_MEASURE_PERIOD_BROKER_VALUE","DEEP_MEASURE_ID_OVERRIDE",$C125,"DEEP_BROKER_ID_OVERRIDE",T$24,"DEEP_PERIOD_OVERRIDE",$H$19)*1,"")))</f>
        <v/>
      </c>
      <c r="U125" t="str">
        <f>IF(OR(U$23="",ISNA($B125)),"",IF(ISBLANK($B125),"",IFERROR(_xll.BDP(TICKER,"DEEP_MEASURE_PERIOD_BROKER_VALUE","DEEP_MEASURE_ID_OVERRIDE",$C125,"DEEP_BROKER_ID_OVERRIDE",U$24,"DEEP_PERIOD_OVERRIDE",$H$19)*1,"")))</f>
        <v/>
      </c>
      <c r="V125" t="str">
        <f>IF(OR(V$23="",ISNA($B125)),"",IF(ISBLANK($B125),"",IFERROR(_xll.BDP(TICKER,"DEEP_MEASURE_PERIOD_BROKER_VALUE","DEEP_MEASURE_ID_OVERRIDE",$C125,"DEEP_BROKER_ID_OVERRIDE",V$24,"DEEP_PERIOD_OVERRIDE",$H$19)*1,"")))</f>
        <v/>
      </c>
      <c r="W125" t="str">
        <f>IF(OR(W$23="",ISNA($B125)),"",IF(ISBLANK($B125),"",IFERROR(_xll.BDP(TICKER,"DEEP_MEASURE_PERIOD_BROKER_VALUE","DEEP_MEASURE_ID_OVERRIDE",$C125,"DEEP_BROKER_ID_OVERRIDE",W$24,"DEEP_PERIOD_OVERRIDE",$H$19)*1,"")))</f>
        <v/>
      </c>
      <c r="X125" t="str">
        <f>IF(OR(X$23="",ISNA($B125)),"",IF(ISBLANK($B125),"",IFERROR(_xll.BDP(TICKER,"DEEP_MEASURE_PERIOD_BROKER_VALUE","DEEP_MEASURE_ID_OVERRIDE",$C125,"DEEP_BROKER_ID_OVERRIDE",X$24,"DEEP_PERIOD_OVERRIDE",$H$19)*1,"")))</f>
        <v/>
      </c>
      <c r="Y125" t="str">
        <f>IF(OR(Y$23="",ISNA($B125)),"",IF(ISBLANK($B125),"",IFERROR(_xll.BDP(TICKER,"DEEP_MEASURE_PERIOD_BROKER_VALUE","DEEP_MEASURE_ID_OVERRIDE",$C125,"DEEP_BROKER_ID_OVERRIDE",Y$24,"DEEP_PERIOD_OVERRIDE",$H$19)*1,"")))</f>
        <v/>
      </c>
      <c r="Z125" t="str">
        <f>IF(OR(Z$23="",ISNA($B125)),"",IF(ISBLANK($B125),"",IFERROR(_xll.BDP(TICKER,"DEEP_MEASURE_PERIOD_BROKER_VALUE","DEEP_MEASURE_ID_OVERRIDE",$C125,"DEEP_BROKER_ID_OVERRIDE",Z$24,"DEEP_PERIOD_OVERRIDE",$H$19)*1,"")))</f>
        <v/>
      </c>
      <c r="AA125" t="str">
        <f>IF(OR(AA$23="",ISNA($B125)),"",IF(ISBLANK($B125),"",IFERROR(_xll.BDP(TICKER,"DEEP_MEASURE_PERIOD_BROKER_VALUE","DEEP_MEASURE_ID_OVERRIDE",$C125,"DEEP_BROKER_ID_OVERRIDE",AA$24,"DEEP_PERIOD_OVERRIDE",$H$19)*1,"")))</f>
        <v/>
      </c>
      <c r="AB125" t="str">
        <f>IF(OR(AB$23="",ISNA($B125)),"",IF(ISBLANK($B125),"",IFERROR(_xll.BDP(TICKER,"DEEP_MEASURE_PERIOD_BROKER_VALUE","DEEP_MEASURE_ID_OVERRIDE",$C125,"DEEP_BROKER_ID_OVERRIDE",AB$24,"DEEP_PERIOD_OVERRIDE",$H$19)*1,"")))</f>
        <v/>
      </c>
      <c r="AC125" t="str">
        <f>IF(OR(AC$23="",ISNA($B125)),"",IF(ISBLANK($B125),"",IFERROR(_xll.BDP(TICKER,"DEEP_MEASURE_PERIOD_BROKER_VALUE","DEEP_MEASURE_ID_OVERRIDE",$C125,"DEEP_BROKER_ID_OVERRIDE",AC$24,"DEEP_PERIOD_OVERRIDE",$H$19)*1,"")))</f>
        <v/>
      </c>
      <c r="AD125" t="str">
        <f>IF(OR(AD$23="",ISNA($B125)),"",IF(ISBLANK($B125),"",IFERROR(_xll.BDP(TICKER,"DEEP_MEASURE_PERIOD_BROKER_VALUE","DEEP_MEASURE_ID_OVERRIDE",$C125,"DEEP_BROKER_ID_OVERRIDE",AD$24,"DEEP_PERIOD_OVERRIDE",$H$19)*1,"")))</f>
        <v/>
      </c>
      <c r="AE125" t="str">
        <f>IF(OR(AE$23="",ISNA($B125)),"",IF(ISBLANK($B125),"",IFERROR(_xll.BDP(TICKER,"DEEP_MEASURE_PERIOD_BROKER_VALUE","DEEP_MEASURE_ID_OVERRIDE",$C125,"DEEP_BROKER_ID_OVERRIDE",AE$24,"DEEP_PERIOD_OVERRIDE",$H$19)*1,"")))</f>
        <v/>
      </c>
      <c r="AF125" t="str">
        <f>IF(OR(AF$23="",ISNA($B125)),"",IF(ISBLANK($B125),"",IFERROR(_xll.BDP(TICKER,"DEEP_MEASURE_PERIOD_BROKER_VALUE","DEEP_MEASURE_ID_OVERRIDE",$C125,"DEEP_BROKER_ID_OVERRIDE",AF$24,"DEEP_PERIOD_OVERRIDE",$H$19)*1,"")))</f>
        <v/>
      </c>
      <c r="AG125" t="str">
        <f>IF(OR(AG$23="",ISNA($B125)),"",IF(ISBLANK($B125),"",IFERROR(_xll.BDP(TICKER,"DEEP_MEASURE_PERIOD_BROKER_VALUE","DEEP_MEASURE_ID_OVERRIDE",$C125,"DEEP_BROKER_ID_OVERRIDE",AG$24,"DEEP_PERIOD_OVERRIDE",$H$19)*1,"")))</f>
        <v/>
      </c>
      <c r="AH125" t="str">
        <f>IF(OR(AH$23="",ISNA($B125)),"",IF(ISBLANK($B125),"",IFERROR(_xll.BDP(TICKER,"DEEP_MEASURE_PERIOD_BROKER_VALUE","DEEP_MEASURE_ID_OVERRIDE",$C125,"DEEP_BROKER_ID_OVERRIDE",AH$24,"DEEP_PERIOD_OVERRIDE",$H$19)*1,"")))</f>
        <v/>
      </c>
      <c r="AI125" t="str">
        <f>IF(OR(AI$23="",ISNA($B125)),"",IF(ISBLANK($B125),"",IFERROR(_xll.BDP(TICKER,"DEEP_MEASURE_PERIOD_BROKER_VALUE","DEEP_MEASURE_ID_OVERRIDE",$C125,"DEEP_BROKER_ID_OVERRIDE",AI$24,"DEEP_PERIOD_OVERRIDE",$H$19)*1,"")))</f>
        <v/>
      </c>
      <c r="AJ125" t="str">
        <f>IF(OR(AJ$23="",ISNA($B125)),"",IF(ISBLANK($B125),"",IFERROR(_xll.BDP(TICKER,"DEEP_MEASURE_PERIOD_BROKER_VALUE","DEEP_MEASURE_ID_OVERRIDE",$C125,"DEEP_BROKER_ID_OVERRIDE",AJ$24,"DEEP_PERIOD_OVERRIDE",$H$19)*1,"")))</f>
        <v/>
      </c>
      <c r="AK125" t="str">
        <f>IF(OR(AK$23="",ISNA($B125)),"",IF(ISBLANK($B125),"",IFERROR(_xll.BDP(TICKER,"DEEP_MEASURE_PERIOD_BROKER_VALUE","DEEP_MEASURE_ID_OVERRIDE",$C125,"DEEP_BROKER_ID_OVERRIDE",AK$24,"DEEP_PERIOD_OVERRIDE",$H$19)*1,"")))</f>
        <v/>
      </c>
      <c r="AL125" t="str">
        <f>IF(OR(AL$23="",ISNA($B125)),"",IF(ISBLANK($B125),"",IFERROR(_xll.BDP(TICKER,"DEEP_MEASURE_PERIOD_BROKER_VALUE","DEEP_MEASURE_ID_OVERRIDE",$C125,"DEEP_BROKER_ID_OVERRIDE",AL$24,"DEEP_PERIOD_OVERRIDE",$H$19)*1,"")))</f>
        <v/>
      </c>
      <c r="AM125" t="str">
        <f>IF(OR(AM$23="",ISNA($B125)),"",IF(ISBLANK($B125),"",IFERROR(_xll.BDP(TICKER,"DEEP_MEASURE_PERIOD_BROKER_VALUE","DEEP_MEASURE_ID_OVERRIDE",$C125,"DEEP_BROKER_ID_OVERRIDE",AM$24,"DEEP_PERIOD_OVERRIDE",$H$19)*1,"")))</f>
        <v/>
      </c>
      <c r="AN125" t="str">
        <f>IF(OR(AN$23="",ISNA($B125)),"",IF(ISBLANK($B125),"",IFERROR(_xll.BDP(TICKER,"DEEP_MEASURE_PERIOD_BROKER_VALUE","DEEP_MEASURE_ID_OVERRIDE",$C125,"DEEP_BROKER_ID_OVERRIDE",AN$24,"DEEP_PERIOD_OVERRIDE",$H$19)*1,"")))</f>
        <v/>
      </c>
      <c r="AO125" t="str">
        <f>IF(OR(AO$23="",ISNA($B125)),"",IF(ISBLANK($B125),"",IFERROR(_xll.BDP(TICKER,"DEEP_MEASURE_PERIOD_BROKER_VALUE","DEEP_MEASURE_ID_OVERRIDE",$C125,"DEEP_BROKER_ID_OVERRIDE",AO$24,"DEEP_PERIOD_OVERRIDE",$H$19)*1,"")))</f>
        <v/>
      </c>
      <c r="AP125" t="str">
        <f>IF(OR(AP$23="",ISNA($B125)),"",IF(ISBLANK($B125),"",IFERROR(_xll.BDP(TICKER,"DEEP_MEASURE_PERIOD_BROKER_VALUE","DEEP_MEASURE_ID_OVERRIDE",$C125,"DEEP_BROKER_ID_OVERRIDE",AP$24,"DEEP_PERIOD_OVERRIDE",$H$19)*1,"")))</f>
        <v/>
      </c>
      <c r="AQ125" t="str">
        <f>IF(OR(AQ$23="",ISNA($B125)),"",IF(ISBLANK($B125),"",IFERROR(_xll.BDP(TICKER,"DEEP_MEASURE_PERIOD_BROKER_VALUE","DEEP_MEASURE_ID_OVERRIDE",$C125,"DEEP_BROKER_ID_OVERRIDE",AQ$24,"DEEP_PERIOD_OVERRIDE",$H$19)*1,"")))</f>
        <v/>
      </c>
      <c r="AR125" t="str">
        <f>IF(OR(AR$23="",ISNA($B125)),"",IF(ISBLANK($B125),"",IFERROR(_xll.BDP(TICKER,"DEEP_MEASURE_PERIOD_BROKER_VALUE","DEEP_MEASURE_ID_OVERRIDE",$C125,"DEEP_BROKER_ID_OVERRIDE",AR$24,"DEEP_PERIOD_OVERRIDE",$H$19)*1,"")))</f>
        <v/>
      </c>
      <c r="AS125" t="str">
        <f>IF(OR(AS$23="",ISNA($B125)),"",IF(ISBLANK($B125),"",IFERROR(_xll.BDP(TICKER,"DEEP_MEASURE_PERIOD_BROKER_VALUE","DEEP_MEASURE_ID_OVERRIDE",$C125,"DEEP_BROKER_ID_OVERRIDE",AS$24,"DEEP_PERIOD_OVERRIDE",$H$19)*1,"")))</f>
        <v/>
      </c>
      <c r="AT125" t="str">
        <f>IF(OR(AT$23="",ISNA($B125)),"",IF(ISBLANK($B125),"",IFERROR(_xll.BDP(TICKER,"DEEP_MEASURE_PERIOD_BROKER_VALUE","DEEP_MEASURE_ID_OVERRIDE",$C125,"DEEP_BROKER_ID_OVERRIDE",AT$24,"DEEP_PERIOD_OVERRIDE",$H$19)*1,"")))</f>
        <v/>
      </c>
      <c r="AU125" t="str">
        <f>IF(OR(AU$23="",ISNA($B125)),"",IF(ISBLANK($B125),"",IFERROR(_xll.BDP(TICKER,"DEEP_MEASURE_PERIOD_BROKER_VALUE","DEEP_MEASURE_ID_OVERRIDE",$C125,"DEEP_BROKER_ID_OVERRIDE",AU$24,"DEEP_PERIOD_OVERRIDE",$H$19)*1,"")))</f>
        <v/>
      </c>
      <c r="AV125" t="str">
        <f>IF(OR(AV$23="",ISNA($B125)),"",IF(ISBLANK($B125),"",IFERROR(_xll.BDP(TICKER,"DEEP_MEASURE_PERIOD_BROKER_VALUE","DEEP_MEASURE_ID_OVERRIDE",$C125,"DEEP_BROKER_ID_OVERRIDE",AV$24,"DEEP_PERIOD_OVERRIDE",$H$19)*1,"")))</f>
        <v/>
      </c>
      <c r="AW125" t="str">
        <f>IF(OR(AW$23="",ISNA($B125)),"",IF(ISBLANK($B125),"",IFERROR(_xll.BDP(TICKER,"DEEP_MEASURE_PERIOD_BROKER_VALUE","DEEP_MEASURE_ID_OVERRIDE",$C125,"DEEP_BROKER_ID_OVERRIDE",AW$24,"DEEP_PERIOD_OVERRIDE",$H$19)*1,"")))</f>
        <v/>
      </c>
      <c r="AX125" t="str">
        <f>IF(OR(AX$23="",ISNA($B125)),"",IF(ISBLANK($B125),"",IFERROR(_xll.BDP(TICKER,"DEEP_MEASURE_PERIOD_BROKER_VALUE","DEEP_MEASURE_ID_OVERRIDE",$C125,"DEEP_BROKER_ID_OVERRIDE",AX$24,"DEEP_PERIOD_OVERRIDE",$H$19)*1,"")))</f>
        <v/>
      </c>
      <c r="AY125" t="str">
        <f>IF(OR(AY$23="",ISNA($B125)),"",IF(ISBLANK($B125),"",IFERROR(_xll.BDP(TICKER,"DEEP_MEASURE_PERIOD_BROKER_VALUE","DEEP_MEASURE_ID_OVERRIDE",$C125,"DEEP_BROKER_ID_OVERRIDE",AY$24,"DEEP_PERIOD_OVERRIDE",$H$19)*1,"")))</f>
        <v/>
      </c>
      <c r="AZ125" t="str">
        <f>IF(OR(AZ$23="",ISNA($B125)),"",IF(ISBLANK($B125),"",IFERROR(_xll.BDP(TICKER,"DEEP_MEASURE_PERIOD_BROKER_VALUE","DEEP_MEASURE_ID_OVERRIDE",$C125,"DEEP_BROKER_ID_OVERRIDE",AZ$24,"DEEP_PERIOD_OVERRIDE",$H$19)*1,"")))</f>
        <v/>
      </c>
      <c r="BA125" t="str">
        <f>IF(OR(BA$23="",ISNA($B125)),"",IF(ISBLANK($B125),"",IFERROR(_xll.BDP(TICKER,"DEEP_MEASURE_PERIOD_BROKER_VALUE","DEEP_MEASURE_ID_OVERRIDE",$C125,"DEEP_BROKER_ID_OVERRIDE",BA$24,"DEEP_PERIOD_OVERRIDE",$H$19)*1,"")))</f>
        <v/>
      </c>
      <c r="BB125" t="str">
        <f>IF(OR(BB$23="",ISNA($B125)),"",IF(ISBLANK($B125),"",IFERROR(_xll.BDP(TICKER,"DEEP_MEASURE_PERIOD_BROKER_VALUE","DEEP_MEASURE_ID_OVERRIDE",$C125,"DEEP_BROKER_ID_OVERRIDE",BB$24,"DEEP_PERIOD_OVERRIDE",$H$19)*1,"")))</f>
        <v/>
      </c>
      <c r="BC125" t="str">
        <f>IF(OR(BC$23="",ISNA($B125)),"",IF(ISBLANK($B125),"",IFERROR(_xll.BDP(TICKER,"DEEP_MEASURE_PERIOD_BROKER_VALUE","DEEP_MEASURE_ID_OVERRIDE",$C125,"DEEP_BROKER_ID_OVERRIDE",BC$24,"DEEP_PERIOD_OVERRIDE",$H$19)*1,"")))</f>
        <v/>
      </c>
      <c r="BD125" t="str">
        <f>IF(OR(BD$23="",ISNA($B125)),"",IF(ISBLANK($B125),"",IFERROR(_xll.BDP(TICKER,"DEEP_MEASURE_PERIOD_BROKER_VALUE","DEEP_MEASURE_ID_OVERRIDE",$C125,"DEEP_BROKER_ID_OVERRIDE",BD$24,"DEEP_PERIOD_OVERRIDE",$H$19)*1,"")))</f>
        <v/>
      </c>
      <c r="BE125" t="str">
        <f>IF(OR(BE$23="",ISNA($B125)),"",IF(ISBLANK($B125),"",IFERROR(_xll.BDP(TICKER,"DEEP_MEASURE_PERIOD_BROKER_VALUE","DEEP_MEASURE_ID_OVERRIDE",$C125,"DEEP_BROKER_ID_OVERRIDE",BE$24,"DEEP_PERIOD_OVERRIDE",$H$19)*1,"")))</f>
        <v/>
      </c>
      <c r="BF125" t="str">
        <f>IF(OR(BF$23="",ISNA($B125)),"",IF(ISBLANK($B125),"",IFERROR(_xll.BDP(TICKER,"DEEP_MEASURE_PERIOD_BROKER_VALUE","DEEP_MEASURE_ID_OVERRIDE",$C125,"DEEP_BROKER_ID_OVERRIDE",BF$24,"DEEP_PERIOD_OVERRIDE",$H$19)*1,"")))</f>
        <v/>
      </c>
      <c r="BG125" t="str">
        <f>IF(OR(BG$23="",ISNA($B125)),"",IF(ISBLANK($B125),"",IFERROR(_xll.BDP(TICKER,"DEEP_MEASURE_PERIOD_BROKER_VALUE","DEEP_MEASURE_ID_OVERRIDE",$C125,"DEEP_BROKER_ID_OVERRIDE",BG$24,"DEEP_PERIOD_OVERRIDE",$H$19)*1,"")))</f>
        <v/>
      </c>
      <c r="BH125" t="str">
        <f>IF(OR(BH$23="",ISNA($B125)),"",IF(ISBLANK($B125),"",IFERROR(_xll.BDP(TICKER,"DEEP_MEASURE_PERIOD_BROKER_VALUE","DEEP_MEASURE_ID_OVERRIDE",$C125,"DEEP_BROKER_ID_OVERRIDE",BH$24,"DEEP_PERIOD_OVERRIDE",$H$19)*1,"")))</f>
        <v/>
      </c>
      <c r="BI125" t="str">
        <f>IF(OR(BI$23="",ISNA($B125)),"",IF(ISBLANK($B125),"",IFERROR(_xll.BDP(TICKER,"DEEP_MEASURE_PERIOD_BROKER_VALUE","DEEP_MEASURE_ID_OVERRIDE",$C125,"DEEP_BROKER_ID_OVERRIDE",BI$24,"DEEP_PERIOD_OVERRIDE",$H$19)*1,"")))</f>
        <v/>
      </c>
      <c r="BJ125" t="str">
        <f>IF(OR(BJ$23="",ISNA($B125)),"",IF(ISBLANK($B125),"",IFERROR(_xll.BDP(TICKER,"DEEP_MEASURE_PERIOD_BROKER_VALUE","DEEP_MEASURE_ID_OVERRIDE",$C125,"DEEP_BROKER_ID_OVERRIDE",BJ$24,"DEEP_PERIOD_OVERRIDE",$H$19)*1,"")))</f>
        <v/>
      </c>
      <c r="BK125" t="str">
        <f>IF(OR(BK$23="",ISNA($B125)),"",IF(ISBLANK($B125),"",IFERROR(_xll.BDP(TICKER,"DEEP_MEASURE_PERIOD_BROKER_VALUE","DEEP_MEASURE_ID_OVERRIDE",$C125,"DEEP_BROKER_ID_OVERRIDE",BK$24,"DEEP_PERIOD_OVERRIDE",$H$19)*1,"")))</f>
        <v/>
      </c>
      <c r="BL125" t="str">
        <f>IF(OR(BL$23="",ISNA($B125)),"",IF(ISBLANK($B125),"",IFERROR(_xll.BDP(TICKER,"DEEP_MEASURE_PERIOD_BROKER_VALUE","DEEP_MEASURE_ID_OVERRIDE",$C125,"DEEP_BROKER_ID_OVERRIDE",BL$24,"DEEP_PERIOD_OVERRIDE",$H$19)*1,"")))</f>
        <v/>
      </c>
      <c r="BM125" t="str">
        <f>IF(OR(BM$23="",ISNA($B125)),"",IF(ISBLANK($B125),"",IFERROR(_xll.BDP(TICKER,"DEEP_MEASURE_PERIOD_BROKER_VALUE","DEEP_MEASURE_ID_OVERRIDE",$C125,"DEEP_BROKER_ID_OVERRIDE",BM$24,"DEEP_PERIOD_OVERRIDE",$H$19)*1,"")))</f>
        <v/>
      </c>
      <c r="BN125" t="str">
        <f>IF(OR(BN$23="",ISNA($B125)),"",IF(ISBLANK($B125),"",IFERROR(_xll.BDP(TICKER,"DEEP_MEASURE_PERIOD_BROKER_VALUE","DEEP_MEASURE_ID_OVERRIDE",$C125,"DEEP_BROKER_ID_OVERRIDE",BN$24,"DEEP_PERIOD_OVERRIDE",$H$19)*1,"")))</f>
        <v/>
      </c>
      <c r="BO125" t="str">
        <f>IF(OR(BO$23="",ISNA($B125)),"",IF(ISBLANK($B125),"",IFERROR(_xll.BDP(TICKER,"DEEP_MEASURE_PERIOD_BROKER_VALUE","DEEP_MEASURE_ID_OVERRIDE",$C125,"DEEP_BROKER_ID_OVERRIDE",BO$24,"DEEP_PERIOD_OVERRIDE",$H$19)*1,"")))</f>
        <v/>
      </c>
      <c r="BP125" t="str">
        <f>IF(OR(BP$23="",ISNA($B125)),"",IF(ISBLANK($B125),"",IFERROR(_xll.BDP(TICKER,"DEEP_MEASURE_PERIOD_BROKER_VALUE","DEEP_MEASURE_ID_OVERRIDE",$C125,"DEEP_BROKER_ID_OVERRIDE",BP$24,"DEEP_PERIOD_OVERRIDE",$H$19)*1,"")))</f>
        <v/>
      </c>
      <c r="BQ125" t="str">
        <f>IF(OR(BQ$23="",ISNA($B125)),"",IF(ISBLANK($B125),"",IFERROR(_xll.BDP(TICKER,"DEEP_MEASURE_PERIOD_BROKER_VALUE","DEEP_MEASURE_ID_OVERRIDE",$C125,"DEEP_BROKER_ID_OVERRIDE",BQ$24,"DEEP_PERIOD_OVERRIDE",$H$19)*1,"")))</f>
        <v/>
      </c>
      <c r="BR125" t="str">
        <f>IF(OR(BR$23="",ISNA($B125)),"",IF(ISBLANK($B125),"",IFERROR(_xll.BDP(TICKER,"DEEP_MEASURE_PERIOD_BROKER_VALUE","DEEP_MEASURE_ID_OVERRIDE",$C125,"DEEP_BROKER_ID_OVERRIDE",BR$24,"DEEP_PERIOD_OVERRIDE",$H$19)*1,"")))</f>
        <v/>
      </c>
      <c r="BS125" t="str">
        <f>IF(OR(BS$23="",ISNA($B125)),"",IF(ISBLANK($B125),"",IFERROR(_xll.BDP(TICKER,"DEEP_MEASURE_PERIOD_BROKER_VALUE","DEEP_MEASURE_ID_OVERRIDE",$C125,"DEEP_BROKER_ID_OVERRIDE",BS$24,"DEEP_PERIOD_OVERRIDE",$H$19)*1,"")))</f>
        <v/>
      </c>
      <c r="BT125" t="str">
        <f>IF(OR(BT$23="",ISNA($B125)),"",IF(ISBLANK($B125),"",IFERROR(_xll.BDP(TICKER,"DEEP_MEASURE_PERIOD_BROKER_VALUE","DEEP_MEASURE_ID_OVERRIDE",$C125,"DEEP_BROKER_ID_OVERRIDE",BT$24,"DEEP_PERIOD_OVERRIDE",$H$19)*1,"")))</f>
        <v/>
      </c>
      <c r="BU125" t="str">
        <f>IF(OR(BU$23="",ISNA($B125)),"",IF(ISBLANK($B125),"",IFERROR(_xll.BDP(TICKER,"DEEP_MEASURE_PERIOD_BROKER_VALUE","DEEP_MEASURE_ID_OVERRIDE",$C125,"DEEP_BROKER_ID_OVERRIDE",BU$24,"DEEP_PERIOD_OVERRIDE",$H$19)*1,"")))</f>
        <v/>
      </c>
      <c r="BV125" t="str">
        <f>IF(OR(BV$23="",ISNA($B125)),"",IF(ISBLANK($B125),"",IFERROR(_xll.BDP(TICKER,"DEEP_MEASURE_PERIOD_BROKER_VALUE","DEEP_MEASURE_ID_OVERRIDE",$C125,"DEEP_BROKER_ID_OVERRIDE",BV$24,"DEEP_PERIOD_OVERRIDE",$H$19)*1,"")))</f>
        <v/>
      </c>
      <c r="BW125" t="str">
        <f>IF(OR(BW$23="",ISNA($B125)),"",IF(ISBLANK($B125),"",IFERROR(_xll.BDP(TICKER,"DEEP_MEASURE_PERIOD_BROKER_VALUE","DEEP_MEASURE_ID_OVERRIDE",$C125,"DEEP_BROKER_ID_OVERRIDE",BW$24,"DEEP_PERIOD_OVERRIDE",$H$19)*1,"")))</f>
        <v/>
      </c>
      <c r="BX125" t="str">
        <f>IF(OR(BX$23="",ISNA($B125)),"",IF(ISBLANK($B125),"",IFERROR(_xll.BDP(TICKER,"DEEP_MEASURE_PERIOD_BROKER_VALUE","DEEP_MEASURE_ID_OVERRIDE",$C125,"DEEP_BROKER_ID_OVERRIDE",BX$24,"DEEP_PERIOD_OVERRIDE",$H$19)*1,"")))</f>
        <v/>
      </c>
      <c r="BY125" t="str">
        <f>IF(OR(BY$23="",ISNA($B125)),"",IF(ISBLANK($B125),"",IFERROR(_xll.BDP(TICKER,"DEEP_MEASURE_PERIOD_BROKER_VALUE","DEEP_MEASURE_ID_OVERRIDE",$C125,"DEEP_BROKER_ID_OVERRIDE",BY$24,"DEEP_PERIOD_OVERRIDE",$H$19)*1,"")))</f>
        <v/>
      </c>
      <c r="BZ125" t="str">
        <f>IF(OR(BZ$23="",ISNA($B125)),"",IF(ISBLANK($B125),"",IFERROR(_xll.BDP(TICKER,"DEEP_MEASURE_PERIOD_BROKER_VALUE","DEEP_MEASURE_ID_OVERRIDE",$C125,"DEEP_BROKER_ID_OVERRIDE",BZ$24,"DEEP_PERIOD_OVERRIDE",$H$19)*1,"")))</f>
        <v/>
      </c>
    </row>
    <row r="126" spans="2:78" x14ac:dyDescent="0.25">
      <c r="B126" t="s">
        <v>166</v>
      </c>
      <c r="C126">
        <v>389</v>
      </c>
      <c r="H126" t="str">
        <f t="shared" si="2"/>
        <v>Depreciation &amp; Amortization of Intangible Assets &gt; Amortization of Intangible Assets &gt; As % of Revenue</v>
      </c>
      <c r="I126" t="str">
        <f>IF(OR(I$23="",ISNA($B126)),"",IF(ISBLANK($B126),"",IFERROR(_xll.BDP(TICKER,"DEEP_MEASURE_PERIOD_BROKER_VALUE","DEEP_MEASURE_ID_OVERRIDE",$C126,"DEEP_PERIOD_OVERRIDE",$H$19)*1,"")))</f>
        <v/>
      </c>
      <c r="J126" t="e">
        <f>IF(OR(J$23="",ISNA($B126)),"",IF(ISBLANK($B126),"",IFERROR(_xll.BDP(TICKER,"DEEP_MEASURE_PERIOD_BROKER_VALUE","DEEP_MEASURE_ID_OVERRIDE",$C126,"DEEP_BROKER_ID_OVERRIDE",J$24,"DEEP_PERIOD_OVERRIDE",$H$19)*1,"")))</f>
        <v>#REF!</v>
      </c>
      <c r="K126" t="str">
        <f>IF(OR(K$23="",ISNA($B126)),"",IF(ISBLANK($B126),"",IFERROR(_xll.BDP(TICKER,"DEEP_MEASURE_PERIOD_BROKER_VALUE","DEEP_MEASURE_ID_OVERRIDE",$C126,"DEEP_BROKER_ID_OVERRIDE",K$24,"DEEP_PERIOD_OVERRIDE",$H$19)*1,"")))</f>
        <v/>
      </c>
      <c r="L126" t="str">
        <f>IF(OR(L$23="",ISNA($B126)),"",IF(ISBLANK($B126),"",IFERROR(_xll.BDP(TICKER,"DEEP_MEASURE_PERIOD_BROKER_VALUE","DEEP_MEASURE_ID_OVERRIDE",$C126,"DEEP_BROKER_ID_OVERRIDE",L$24,"DEEP_PERIOD_OVERRIDE",$H$19)*1,"")))</f>
        <v/>
      </c>
      <c r="M126" t="str">
        <f>IF(OR(M$23="",ISNA($B126)),"",IF(ISBLANK($B126),"",IFERROR(_xll.BDP(TICKER,"DEEP_MEASURE_PERIOD_BROKER_VALUE","DEEP_MEASURE_ID_OVERRIDE",$C126,"DEEP_BROKER_ID_OVERRIDE",M$24,"DEEP_PERIOD_OVERRIDE",$H$19)*1,"")))</f>
        <v/>
      </c>
      <c r="N126" t="str">
        <f>IF(OR(N$23="",ISNA($B126)),"",IF(ISBLANK($B126),"",IFERROR(_xll.BDP(TICKER,"DEEP_MEASURE_PERIOD_BROKER_VALUE","DEEP_MEASURE_ID_OVERRIDE",$C126,"DEEP_BROKER_ID_OVERRIDE",N$24,"DEEP_PERIOD_OVERRIDE",$H$19)*1,"")))</f>
        <v/>
      </c>
      <c r="O126" t="str">
        <f>IF(OR(O$23="",ISNA($B126)),"",IF(ISBLANK($B126),"",IFERROR(_xll.BDP(TICKER,"DEEP_MEASURE_PERIOD_BROKER_VALUE","DEEP_MEASURE_ID_OVERRIDE",$C126,"DEEP_BROKER_ID_OVERRIDE",O$24,"DEEP_PERIOD_OVERRIDE",$H$19)*1,"")))</f>
        <v/>
      </c>
      <c r="P126" t="str">
        <f>IF(OR(P$23="",ISNA($B126)),"",IF(ISBLANK($B126),"",IFERROR(_xll.BDP(TICKER,"DEEP_MEASURE_PERIOD_BROKER_VALUE","DEEP_MEASURE_ID_OVERRIDE",$C126,"DEEP_BROKER_ID_OVERRIDE",P$24,"DEEP_PERIOD_OVERRIDE",$H$19)*1,"")))</f>
        <v/>
      </c>
      <c r="Q126" t="str">
        <f>IF(OR(Q$23="",ISNA($B126)),"",IF(ISBLANK($B126),"",IFERROR(_xll.BDP(TICKER,"DEEP_MEASURE_PERIOD_BROKER_VALUE","DEEP_MEASURE_ID_OVERRIDE",$C126,"DEEP_BROKER_ID_OVERRIDE",Q$24,"DEEP_PERIOD_OVERRIDE",$H$19)*1,"")))</f>
        <v/>
      </c>
      <c r="R126" t="str">
        <f>IF(OR(R$23="",ISNA($B126)),"",IF(ISBLANK($B126),"",IFERROR(_xll.BDP(TICKER,"DEEP_MEASURE_PERIOD_BROKER_VALUE","DEEP_MEASURE_ID_OVERRIDE",$C126,"DEEP_BROKER_ID_OVERRIDE",R$24,"DEEP_PERIOD_OVERRIDE",$H$19)*1,"")))</f>
        <v/>
      </c>
      <c r="S126" t="str">
        <f>IF(OR(S$23="",ISNA($B126)),"",IF(ISBLANK($B126),"",IFERROR(_xll.BDP(TICKER,"DEEP_MEASURE_PERIOD_BROKER_VALUE","DEEP_MEASURE_ID_OVERRIDE",$C126,"DEEP_BROKER_ID_OVERRIDE",S$24,"DEEP_PERIOD_OVERRIDE",$H$19)*1,"")))</f>
        <v/>
      </c>
      <c r="T126" t="str">
        <f>IF(OR(T$23="",ISNA($B126)),"",IF(ISBLANK($B126),"",IFERROR(_xll.BDP(TICKER,"DEEP_MEASURE_PERIOD_BROKER_VALUE","DEEP_MEASURE_ID_OVERRIDE",$C126,"DEEP_BROKER_ID_OVERRIDE",T$24,"DEEP_PERIOD_OVERRIDE",$H$19)*1,"")))</f>
        <v/>
      </c>
      <c r="U126" t="str">
        <f>IF(OR(U$23="",ISNA($B126)),"",IF(ISBLANK($B126),"",IFERROR(_xll.BDP(TICKER,"DEEP_MEASURE_PERIOD_BROKER_VALUE","DEEP_MEASURE_ID_OVERRIDE",$C126,"DEEP_BROKER_ID_OVERRIDE",U$24,"DEEP_PERIOD_OVERRIDE",$H$19)*1,"")))</f>
        <v/>
      </c>
      <c r="V126" t="str">
        <f>IF(OR(V$23="",ISNA($B126)),"",IF(ISBLANK($B126),"",IFERROR(_xll.BDP(TICKER,"DEEP_MEASURE_PERIOD_BROKER_VALUE","DEEP_MEASURE_ID_OVERRIDE",$C126,"DEEP_BROKER_ID_OVERRIDE",V$24,"DEEP_PERIOD_OVERRIDE",$H$19)*1,"")))</f>
        <v/>
      </c>
      <c r="W126" t="str">
        <f>IF(OR(W$23="",ISNA($B126)),"",IF(ISBLANK($B126),"",IFERROR(_xll.BDP(TICKER,"DEEP_MEASURE_PERIOD_BROKER_VALUE","DEEP_MEASURE_ID_OVERRIDE",$C126,"DEEP_BROKER_ID_OVERRIDE",W$24,"DEEP_PERIOD_OVERRIDE",$H$19)*1,"")))</f>
        <v/>
      </c>
      <c r="X126" t="str">
        <f>IF(OR(X$23="",ISNA($B126)),"",IF(ISBLANK($B126),"",IFERROR(_xll.BDP(TICKER,"DEEP_MEASURE_PERIOD_BROKER_VALUE","DEEP_MEASURE_ID_OVERRIDE",$C126,"DEEP_BROKER_ID_OVERRIDE",X$24,"DEEP_PERIOD_OVERRIDE",$H$19)*1,"")))</f>
        <v/>
      </c>
      <c r="Y126" t="str">
        <f>IF(OR(Y$23="",ISNA($B126)),"",IF(ISBLANK($B126),"",IFERROR(_xll.BDP(TICKER,"DEEP_MEASURE_PERIOD_BROKER_VALUE","DEEP_MEASURE_ID_OVERRIDE",$C126,"DEEP_BROKER_ID_OVERRIDE",Y$24,"DEEP_PERIOD_OVERRIDE",$H$19)*1,"")))</f>
        <v/>
      </c>
      <c r="Z126" t="str">
        <f>IF(OR(Z$23="",ISNA($B126)),"",IF(ISBLANK($B126),"",IFERROR(_xll.BDP(TICKER,"DEEP_MEASURE_PERIOD_BROKER_VALUE","DEEP_MEASURE_ID_OVERRIDE",$C126,"DEEP_BROKER_ID_OVERRIDE",Z$24,"DEEP_PERIOD_OVERRIDE",$H$19)*1,"")))</f>
        <v/>
      </c>
      <c r="AA126" t="str">
        <f>IF(OR(AA$23="",ISNA($B126)),"",IF(ISBLANK($B126),"",IFERROR(_xll.BDP(TICKER,"DEEP_MEASURE_PERIOD_BROKER_VALUE","DEEP_MEASURE_ID_OVERRIDE",$C126,"DEEP_BROKER_ID_OVERRIDE",AA$24,"DEEP_PERIOD_OVERRIDE",$H$19)*1,"")))</f>
        <v/>
      </c>
      <c r="AB126" t="str">
        <f>IF(OR(AB$23="",ISNA($B126)),"",IF(ISBLANK($B126),"",IFERROR(_xll.BDP(TICKER,"DEEP_MEASURE_PERIOD_BROKER_VALUE","DEEP_MEASURE_ID_OVERRIDE",$C126,"DEEP_BROKER_ID_OVERRIDE",AB$24,"DEEP_PERIOD_OVERRIDE",$H$19)*1,"")))</f>
        <v/>
      </c>
      <c r="AC126" t="str">
        <f>IF(OR(AC$23="",ISNA($B126)),"",IF(ISBLANK($B126),"",IFERROR(_xll.BDP(TICKER,"DEEP_MEASURE_PERIOD_BROKER_VALUE","DEEP_MEASURE_ID_OVERRIDE",$C126,"DEEP_BROKER_ID_OVERRIDE",AC$24,"DEEP_PERIOD_OVERRIDE",$H$19)*1,"")))</f>
        <v/>
      </c>
      <c r="AD126" t="str">
        <f>IF(OR(AD$23="",ISNA($B126)),"",IF(ISBLANK($B126),"",IFERROR(_xll.BDP(TICKER,"DEEP_MEASURE_PERIOD_BROKER_VALUE","DEEP_MEASURE_ID_OVERRIDE",$C126,"DEEP_BROKER_ID_OVERRIDE",AD$24,"DEEP_PERIOD_OVERRIDE",$H$19)*1,"")))</f>
        <v/>
      </c>
      <c r="AE126" t="str">
        <f>IF(OR(AE$23="",ISNA($B126)),"",IF(ISBLANK($B126),"",IFERROR(_xll.BDP(TICKER,"DEEP_MEASURE_PERIOD_BROKER_VALUE","DEEP_MEASURE_ID_OVERRIDE",$C126,"DEEP_BROKER_ID_OVERRIDE",AE$24,"DEEP_PERIOD_OVERRIDE",$H$19)*1,"")))</f>
        <v/>
      </c>
      <c r="AF126" t="str">
        <f>IF(OR(AF$23="",ISNA($B126)),"",IF(ISBLANK($B126),"",IFERROR(_xll.BDP(TICKER,"DEEP_MEASURE_PERIOD_BROKER_VALUE","DEEP_MEASURE_ID_OVERRIDE",$C126,"DEEP_BROKER_ID_OVERRIDE",AF$24,"DEEP_PERIOD_OVERRIDE",$H$19)*1,"")))</f>
        <v/>
      </c>
      <c r="AG126" t="str">
        <f>IF(OR(AG$23="",ISNA($B126)),"",IF(ISBLANK($B126),"",IFERROR(_xll.BDP(TICKER,"DEEP_MEASURE_PERIOD_BROKER_VALUE","DEEP_MEASURE_ID_OVERRIDE",$C126,"DEEP_BROKER_ID_OVERRIDE",AG$24,"DEEP_PERIOD_OVERRIDE",$H$19)*1,"")))</f>
        <v/>
      </c>
      <c r="AH126" t="str">
        <f>IF(OR(AH$23="",ISNA($B126)),"",IF(ISBLANK($B126),"",IFERROR(_xll.BDP(TICKER,"DEEP_MEASURE_PERIOD_BROKER_VALUE","DEEP_MEASURE_ID_OVERRIDE",$C126,"DEEP_BROKER_ID_OVERRIDE",AH$24,"DEEP_PERIOD_OVERRIDE",$H$19)*1,"")))</f>
        <v/>
      </c>
      <c r="AI126" t="str">
        <f>IF(OR(AI$23="",ISNA($B126)),"",IF(ISBLANK($B126),"",IFERROR(_xll.BDP(TICKER,"DEEP_MEASURE_PERIOD_BROKER_VALUE","DEEP_MEASURE_ID_OVERRIDE",$C126,"DEEP_BROKER_ID_OVERRIDE",AI$24,"DEEP_PERIOD_OVERRIDE",$H$19)*1,"")))</f>
        <v/>
      </c>
      <c r="AJ126" t="str">
        <f>IF(OR(AJ$23="",ISNA($B126)),"",IF(ISBLANK($B126),"",IFERROR(_xll.BDP(TICKER,"DEEP_MEASURE_PERIOD_BROKER_VALUE","DEEP_MEASURE_ID_OVERRIDE",$C126,"DEEP_BROKER_ID_OVERRIDE",AJ$24,"DEEP_PERIOD_OVERRIDE",$H$19)*1,"")))</f>
        <v/>
      </c>
      <c r="AK126" t="str">
        <f>IF(OR(AK$23="",ISNA($B126)),"",IF(ISBLANK($B126),"",IFERROR(_xll.BDP(TICKER,"DEEP_MEASURE_PERIOD_BROKER_VALUE","DEEP_MEASURE_ID_OVERRIDE",$C126,"DEEP_BROKER_ID_OVERRIDE",AK$24,"DEEP_PERIOD_OVERRIDE",$H$19)*1,"")))</f>
        <v/>
      </c>
      <c r="AL126" t="str">
        <f>IF(OR(AL$23="",ISNA($B126)),"",IF(ISBLANK($B126),"",IFERROR(_xll.BDP(TICKER,"DEEP_MEASURE_PERIOD_BROKER_VALUE","DEEP_MEASURE_ID_OVERRIDE",$C126,"DEEP_BROKER_ID_OVERRIDE",AL$24,"DEEP_PERIOD_OVERRIDE",$H$19)*1,"")))</f>
        <v/>
      </c>
      <c r="AM126" t="str">
        <f>IF(OR(AM$23="",ISNA($B126)),"",IF(ISBLANK($B126),"",IFERROR(_xll.BDP(TICKER,"DEEP_MEASURE_PERIOD_BROKER_VALUE","DEEP_MEASURE_ID_OVERRIDE",$C126,"DEEP_BROKER_ID_OVERRIDE",AM$24,"DEEP_PERIOD_OVERRIDE",$H$19)*1,"")))</f>
        <v/>
      </c>
      <c r="AN126" t="str">
        <f>IF(OR(AN$23="",ISNA($B126)),"",IF(ISBLANK($B126),"",IFERROR(_xll.BDP(TICKER,"DEEP_MEASURE_PERIOD_BROKER_VALUE","DEEP_MEASURE_ID_OVERRIDE",$C126,"DEEP_BROKER_ID_OVERRIDE",AN$24,"DEEP_PERIOD_OVERRIDE",$H$19)*1,"")))</f>
        <v/>
      </c>
      <c r="AO126" t="str">
        <f>IF(OR(AO$23="",ISNA($B126)),"",IF(ISBLANK($B126),"",IFERROR(_xll.BDP(TICKER,"DEEP_MEASURE_PERIOD_BROKER_VALUE","DEEP_MEASURE_ID_OVERRIDE",$C126,"DEEP_BROKER_ID_OVERRIDE",AO$24,"DEEP_PERIOD_OVERRIDE",$H$19)*1,"")))</f>
        <v/>
      </c>
      <c r="AP126" t="str">
        <f>IF(OR(AP$23="",ISNA($B126)),"",IF(ISBLANK($B126),"",IFERROR(_xll.BDP(TICKER,"DEEP_MEASURE_PERIOD_BROKER_VALUE","DEEP_MEASURE_ID_OVERRIDE",$C126,"DEEP_BROKER_ID_OVERRIDE",AP$24,"DEEP_PERIOD_OVERRIDE",$H$19)*1,"")))</f>
        <v/>
      </c>
      <c r="AQ126" t="str">
        <f>IF(OR(AQ$23="",ISNA($B126)),"",IF(ISBLANK($B126),"",IFERROR(_xll.BDP(TICKER,"DEEP_MEASURE_PERIOD_BROKER_VALUE","DEEP_MEASURE_ID_OVERRIDE",$C126,"DEEP_BROKER_ID_OVERRIDE",AQ$24,"DEEP_PERIOD_OVERRIDE",$H$19)*1,"")))</f>
        <v/>
      </c>
      <c r="AR126" t="str">
        <f>IF(OR(AR$23="",ISNA($B126)),"",IF(ISBLANK($B126),"",IFERROR(_xll.BDP(TICKER,"DEEP_MEASURE_PERIOD_BROKER_VALUE","DEEP_MEASURE_ID_OVERRIDE",$C126,"DEEP_BROKER_ID_OVERRIDE",AR$24,"DEEP_PERIOD_OVERRIDE",$H$19)*1,"")))</f>
        <v/>
      </c>
      <c r="AS126" t="str">
        <f>IF(OR(AS$23="",ISNA($B126)),"",IF(ISBLANK($B126),"",IFERROR(_xll.BDP(TICKER,"DEEP_MEASURE_PERIOD_BROKER_VALUE","DEEP_MEASURE_ID_OVERRIDE",$C126,"DEEP_BROKER_ID_OVERRIDE",AS$24,"DEEP_PERIOD_OVERRIDE",$H$19)*1,"")))</f>
        <v/>
      </c>
      <c r="AT126" t="str">
        <f>IF(OR(AT$23="",ISNA($B126)),"",IF(ISBLANK($B126),"",IFERROR(_xll.BDP(TICKER,"DEEP_MEASURE_PERIOD_BROKER_VALUE","DEEP_MEASURE_ID_OVERRIDE",$C126,"DEEP_BROKER_ID_OVERRIDE",AT$24,"DEEP_PERIOD_OVERRIDE",$H$19)*1,"")))</f>
        <v/>
      </c>
      <c r="AU126" t="str">
        <f>IF(OR(AU$23="",ISNA($B126)),"",IF(ISBLANK($B126),"",IFERROR(_xll.BDP(TICKER,"DEEP_MEASURE_PERIOD_BROKER_VALUE","DEEP_MEASURE_ID_OVERRIDE",$C126,"DEEP_BROKER_ID_OVERRIDE",AU$24,"DEEP_PERIOD_OVERRIDE",$H$19)*1,"")))</f>
        <v/>
      </c>
      <c r="AV126" t="str">
        <f>IF(OR(AV$23="",ISNA($B126)),"",IF(ISBLANK($B126),"",IFERROR(_xll.BDP(TICKER,"DEEP_MEASURE_PERIOD_BROKER_VALUE","DEEP_MEASURE_ID_OVERRIDE",$C126,"DEEP_BROKER_ID_OVERRIDE",AV$24,"DEEP_PERIOD_OVERRIDE",$H$19)*1,"")))</f>
        <v/>
      </c>
      <c r="AW126" t="str">
        <f>IF(OR(AW$23="",ISNA($B126)),"",IF(ISBLANK($B126),"",IFERROR(_xll.BDP(TICKER,"DEEP_MEASURE_PERIOD_BROKER_VALUE","DEEP_MEASURE_ID_OVERRIDE",$C126,"DEEP_BROKER_ID_OVERRIDE",AW$24,"DEEP_PERIOD_OVERRIDE",$H$19)*1,"")))</f>
        <v/>
      </c>
      <c r="AX126" t="str">
        <f>IF(OR(AX$23="",ISNA($B126)),"",IF(ISBLANK($B126),"",IFERROR(_xll.BDP(TICKER,"DEEP_MEASURE_PERIOD_BROKER_VALUE","DEEP_MEASURE_ID_OVERRIDE",$C126,"DEEP_BROKER_ID_OVERRIDE",AX$24,"DEEP_PERIOD_OVERRIDE",$H$19)*1,"")))</f>
        <v/>
      </c>
      <c r="AY126" t="str">
        <f>IF(OR(AY$23="",ISNA($B126)),"",IF(ISBLANK($B126),"",IFERROR(_xll.BDP(TICKER,"DEEP_MEASURE_PERIOD_BROKER_VALUE","DEEP_MEASURE_ID_OVERRIDE",$C126,"DEEP_BROKER_ID_OVERRIDE",AY$24,"DEEP_PERIOD_OVERRIDE",$H$19)*1,"")))</f>
        <v/>
      </c>
      <c r="AZ126" t="str">
        <f>IF(OR(AZ$23="",ISNA($B126)),"",IF(ISBLANK($B126),"",IFERROR(_xll.BDP(TICKER,"DEEP_MEASURE_PERIOD_BROKER_VALUE","DEEP_MEASURE_ID_OVERRIDE",$C126,"DEEP_BROKER_ID_OVERRIDE",AZ$24,"DEEP_PERIOD_OVERRIDE",$H$19)*1,"")))</f>
        <v/>
      </c>
      <c r="BA126" t="str">
        <f>IF(OR(BA$23="",ISNA($B126)),"",IF(ISBLANK($B126),"",IFERROR(_xll.BDP(TICKER,"DEEP_MEASURE_PERIOD_BROKER_VALUE","DEEP_MEASURE_ID_OVERRIDE",$C126,"DEEP_BROKER_ID_OVERRIDE",BA$24,"DEEP_PERIOD_OVERRIDE",$H$19)*1,"")))</f>
        <v/>
      </c>
      <c r="BB126" t="str">
        <f>IF(OR(BB$23="",ISNA($B126)),"",IF(ISBLANK($B126),"",IFERROR(_xll.BDP(TICKER,"DEEP_MEASURE_PERIOD_BROKER_VALUE","DEEP_MEASURE_ID_OVERRIDE",$C126,"DEEP_BROKER_ID_OVERRIDE",BB$24,"DEEP_PERIOD_OVERRIDE",$H$19)*1,"")))</f>
        <v/>
      </c>
      <c r="BC126" t="str">
        <f>IF(OR(BC$23="",ISNA($B126)),"",IF(ISBLANK($B126),"",IFERROR(_xll.BDP(TICKER,"DEEP_MEASURE_PERIOD_BROKER_VALUE","DEEP_MEASURE_ID_OVERRIDE",$C126,"DEEP_BROKER_ID_OVERRIDE",BC$24,"DEEP_PERIOD_OVERRIDE",$H$19)*1,"")))</f>
        <v/>
      </c>
      <c r="BD126" t="str">
        <f>IF(OR(BD$23="",ISNA($B126)),"",IF(ISBLANK($B126),"",IFERROR(_xll.BDP(TICKER,"DEEP_MEASURE_PERIOD_BROKER_VALUE","DEEP_MEASURE_ID_OVERRIDE",$C126,"DEEP_BROKER_ID_OVERRIDE",BD$24,"DEEP_PERIOD_OVERRIDE",$H$19)*1,"")))</f>
        <v/>
      </c>
      <c r="BE126" t="str">
        <f>IF(OR(BE$23="",ISNA($B126)),"",IF(ISBLANK($B126),"",IFERROR(_xll.BDP(TICKER,"DEEP_MEASURE_PERIOD_BROKER_VALUE","DEEP_MEASURE_ID_OVERRIDE",$C126,"DEEP_BROKER_ID_OVERRIDE",BE$24,"DEEP_PERIOD_OVERRIDE",$H$19)*1,"")))</f>
        <v/>
      </c>
      <c r="BF126" t="str">
        <f>IF(OR(BF$23="",ISNA($B126)),"",IF(ISBLANK($B126),"",IFERROR(_xll.BDP(TICKER,"DEEP_MEASURE_PERIOD_BROKER_VALUE","DEEP_MEASURE_ID_OVERRIDE",$C126,"DEEP_BROKER_ID_OVERRIDE",BF$24,"DEEP_PERIOD_OVERRIDE",$H$19)*1,"")))</f>
        <v/>
      </c>
      <c r="BG126" t="str">
        <f>IF(OR(BG$23="",ISNA($B126)),"",IF(ISBLANK($B126),"",IFERROR(_xll.BDP(TICKER,"DEEP_MEASURE_PERIOD_BROKER_VALUE","DEEP_MEASURE_ID_OVERRIDE",$C126,"DEEP_BROKER_ID_OVERRIDE",BG$24,"DEEP_PERIOD_OVERRIDE",$H$19)*1,"")))</f>
        <v/>
      </c>
      <c r="BH126" t="str">
        <f>IF(OR(BH$23="",ISNA($B126)),"",IF(ISBLANK($B126),"",IFERROR(_xll.BDP(TICKER,"DEEP_MEASURE_PERIOD_BROKER_VALUE","DEEP_MEASURE_ID_OVERRIDE",$C126,"DEEP_BROKER_ID_OVERRIDE",BH$24,"DEEP_PERIOD_OVERRIDE",$H$19)*1,"")))</f>
        <v/>
      </c>
      <c r="BI126" t="str">
        <f>IF(OR(BI$23="",ISNA($B126)),"",IF(ISBLANK($B126),"",IFERROR(_xll.BDP(TICKER,"DEEP_MEASURE_PERIOD_BROKER_VALUE","DEEP_MEASURE_ID_OVERRIDE",$C126,"DEEP_BROKER_ID_OVERRIDE",BI$24,"DEEP_PERIOD_OVERRIDE",$H$19)*1,"")))</f>
        <v/>
      </c>
      <c r="BJ126" t="str">
        <f>IF(OR(BJ$23="",ISNA($B126)),"",IF(ISBLANK($B126),"",IFERROR(_xll.BDP(TICKER,"DEEP_MEASURE_PERIOD_BROKER_VALUE","DEEP_MEASURE_ID_OVERRIDE",$C126,"DEEP_BROKER_ID_OVERRIDE",BJ$24,"DEEP_PERIOD_OVERRIDE",$H$19)*1,"")))</f>
        <v/>
      </c>
      <c r="BK126" t="str">
        <f>IF(OR(BK$23="",ISNA($B126)),"",IF(ISBLANK($B126),"",IFERROR(_xll.BDP(TICKER,"DEEP_MEASURE_PERIOD_BROKER_VALUE","DEEP_MEASURE_ID_OVERRIDE",$C126,"DEEP_BROKER_ID_OVERRIDE",BK$24,"DEEP_PERIOD_OVERRIDE",$H$19)*1,"")))</f>
        <v/>
      </c>
      <c r="BL126" t="str">
        <f>IF(OR(BL$23="",ISNA($B126)),"",IF(ISBLANK($B126),"",IFERROR(_xll.BDP(TICKER,"DEEP_MEASURE_PERIOD_BROKER_VALUE","DEEP_MEASURE_ID_OVERRIDE",$C126,"DEEP_BROKER_ID_OVERRIDE",BL$24,"DEEP_PERIOD_OVERRIDE",$H$19)*1,"")))</f>
        <v/>
      </c>
      <c r="BM126" t="str">
        <f>IF(OR(BM$23="",ISNA($B126)),"",IF(ISBLANK($B126),"",IFERROR(_xll.BDP(TICKER,"DEEP_MEASURE_PERIOD_BROKER_VALUE","DEEP_MEASURE_ID_OVERRIDE",$C126,"DEEP_BROKER_ID_OVERRIDE",BM$24,"DEEP_PERIOD_OVERRIDE",$H$19)*1,"")))</f>
        <v/>
      </c>
      <c r="BN126" t="str">
        <f>IF(OR(BN$23="",ISNA($B126)),"",IF(ISBLANK($B126),"",IFERROR(_xll.BDP(TICKER,"DEEP_MEASURE_PERIOD_BROKER_VALUE","DEEP_MEASURE_ID_OVERRIDE",$C126,"DEEP_BROKER_ID_OVERRIDE",BN$24,"DEEP_PERIOD_OVERRIDE",$H$19)*1,"")))</f>
        <v/>
      </c>
      <c r="BO126" t="str">
        <f>IF(OR(BO$23="",ISNA($B126)),"",IF(ISBLANK($B126),"",IFERROR(_xll.BDP(TICKER,"DEEP_MEASURE_PERIOD_BROKER_VALUE","DEEP_MEASURE_ID_OVERRIDE",$C126,"DEEP_BROKER_ID_OVERRIDE",BO$24,"DEEP_PERIOD_OVERRIDE",$H$19)*1,"")))</f>
        <v/>
      </c>
      <c r="BP126" t="str">
        <f>IF(OR(BP$23="",ISNA($B126)),"",IF(ISBLANK($B126),"",IFERROR(_xll.BDP(TICKER,"DEEP_MEASURE_PERIOD_BROKER_VALUE","DEEP_MEASURE_ID_OVERRIDE",$C126,"DEEP_BROKER_ID_OVERRIDE",BP$24,"DEEP_PERIOD_OVERRIDE",$H$19)*1,"")))</f>
        <v/>
      </c>
      <c r="BQ126" t="str">
        <f>IF(OR(BQ$23="",ISNA($B126)),"",IF(ISBLANK($B126),"",IFERROR(_xll.BDP(TICKER,"DEEP_MEASURE_PERIOD_BROKER_VALUE","DEEP_MEASURE_ID_OVERRIDE",$C126,"DEEP_BROKER_ID_OVERRIDE",BQ$24,"DEEP_PERIOD_OVERRIDE",$H$19)*1,"")))</f>
        <v/>
      </c>
      <c r="BR126" t="str">
        <f>IF(OR(BR$23="",ISNA($B126)),"",IF(ISBLANK($B126),"",IFERROR(_xll.BDP(TICKER,"DEEP_MEASURE_PERIOD_BROKER_VALUE","DEEP_MEASURE_ID_OVERRIDE",$C126,"DEEP_BROKER_ID_OVERRIDE",BR$24,"DEEP_PERIOD_OVERRIDE",$H$19)*1,"")))</f>
        <v/>
      </c>
      <c r="BS126" t="str">
        <f>IF(OR(BS$23="",ISNA($B126)),"",IF(ISBLANK($B126),"",IFERROR(_xll.BDP(TICKER,"DEEP_MEASURE_PERIOD_BROKER_VALUE","DEEP_MEASURE_ID_OVERRIDE",$C126,"DEEP_BROKER_ID_OVERRIDE",BS$24,"DEEP_PERIOD_OVERRIDE",$H$19)*1,"")))</f>
        <v/>
      </c>
      <c r="BT126" t="str">
        <f>IF(OR(BT$23="",ISNA($B126)),"",IF(ISBLANK($B126),"",IFERROR(_xll.BDP(TICKER,"DEEP_MEASURE_PERIOD_BROKER_VALUE","DEEP_MEASURE_ID_OVERRIDE",$C126,"DEEP_BROKER_ID_OVERRIDE",BT$24,"DEEP_PERIOD_OVERRIDE",$H$19)*1,"")))</f>
        <v/>
      </c>
      <c r="BU126" t="str">
        <f>IF(OR(BU$23="",ISNA($B126)),"",IF(ISBLANK($B126),"",IFERROR(_xll.BDP(TICKER,"DEEP_MEASURE_PERIOD_BROKER_VALUE","DEEP_MEASURE_ID_OVERRIDE",$C126,"DEEP_BROKER_ID_OVERRIDE",BU$24,"DEEP_PERIOD_OVERRIDE",$H$19)*1,"")))</f>
        <v/>
      </c>
      <c r="BV126" t="str">
        <f>IF(OR(BV$23="",ISNA($B126)),"",IF(ISBLANK($B126),"",IFERROR(_xll.BDP(TICKER,"DEEP_MEASURE_PERIOD_BROKER_VALUE","DEEP_MEASURE_ID_OVERRIDE",$C126,"DEEP_BROKER_ID_OVERRIDE",BV$24,"DEEP_PERIOD_OVERRIDE",$H$19)*1,"")))</f>
        <v/>
      </c>
      <c r="BW126" t="str">
        <f>IF(OR(BW$23="",ISNA($B126)),"",IF(ISBLANK($B126),"",IFERROR(_xll.BDP(TICKER,"DEEP_MEASURE_PERIOD_BROKER_VALUE","DEEP_MEASURE_ID_OVERRIDE",$C126,"DEEP_BROKER_ID_OVERRIDE",BW$24,"DEEP_PERIOD_OVERRIDE",$H$19)*1,"")))</f>
        <v/>
      </c>
      <c r="BX126" t="str">
        <f>IF(OR(BX$23="",ISNA($B126)),"",IF(ISBLANK($B126),"",IFERROR(_xll.BDP(TICKER,"DEEP_MEASURE_PERIOD_BROKER_VALUE","DEEP_MEASURE_ID_OVERRIDE",$C126,"DEEP_BROKER_ID_OVERRIDE",BX$24,"DEEP_PERIOD_OVERRIDE",$H$19)*1,"")))</f>
        <v/>
      </c>
      <c r="BY126" t="str">
        <f>IF(OR(BY$23="",ISNA($B126)),"",IF(ISBLANK($B126),"",IFERROR(_xll.BDP(TICKER,"DEEP_MEASURE_PERIOD_BROKER_VALUE","DEEP_MEASURE_ID_OVERRIDE",$C126,"DEEP_BROKER_ID_OVERRIDE",BY$24,"DEEP_PERIOD_OVERRIDE",$H$19)*1,"")))</f>
        <v/>
      </c>
      <c r="BZ126" t="str">
        <f>IF(OR(BZ$23="",ISNA($B126)),"",IF(ISBLANK($B126),"",IFERROR(_xll.BDP(TICKER,"DEEP_MEASURE_PERIOD_BROKER_VALUE","DEEP_MEASURE_ID_OVERRIDE",$C126,"DEEP_BROKER_ID_OVERRIDE",BZ$24,"DEEP_PERIOD_OVERRIDE",$H$19)*1,"")))</f>
        <v/>
      </c>
    </row>
    <row r="127" spans="2:78" x14ac:dyDescent="0.25">
      <c r="B127" t="s">
        <v>16</v>
      </c>
      <c r="C127">
        <v>613</v>
      </c>
      <c r="H127" t="str">
        <f t="shared" si="2"/>
        <v>Total Operating Expenses</v>
      </c>
      <c r="I127" t="str">
        <f>IF(OR(I$23="",ISNA($B127)),"",IF(ISBLANK($B127),"",IFERROR(_xll.BDP(TICKER,"DEEP_MEASURE_PERIOD_BROKER_VALUE","DEEP_MEASURE_ID_OVERRIDE",$C127,"DEEP_PERIOD_OVERRIDE",$H$19)*1,"")))</f>
        <v/>
      </c>
      <c r="J127" t="e">
        <f>IF(OR(J$23="",ISNA($B127)),"",IF(ISBLANK($B127),"",IFERROR(_xll.BDP(TICKER,"DEEP_MEASURE_PERIOD_BROKER_VALUE","DEEP_MEASURE_ID_OVERRIDE",$C127,"DEEP_BROKER_ID_OVERRIDE",J$24,"DEEP_PERIOD_OVERRIDE",$H$19)*1,"")))</f>
        <v>#REF!</v>
      </c>
      <c r="K127" t="str">
        <f>IF(OR(K$23="",ISNA($B127)),"",IF(ISBLANK($B127),"",IFERROR(_xll.BDP(TICKER,"DEEP_MEASURE_PERIOD_BROKER_VALUE","DEEP_MEASURE_ID_OVERRIDE",$C127,"DEEP_BROKER_ID_OVERRIDE",K$24,"DEEP_PERIOD_OVERRIDE",$H$19)*1,"")))</f>
        <v/>
      </c>
      <c r="L127" t="str">
        <f>IF(OR(L$23="",ISNA($B127)),"",IF(ISBLANK($B127),"",IFERROR(_xll.BDP(TICKER,"DEEP_MEASURE_PERIOD_BROKER_VALUE","DEEP_MEASURE_ID_OVERRIDE",$C127,"DEEP_BROKER_ID_OVERRIDE",L$24,"DEEP_PERIOD_OVERRIDE",$H$19)*1,"")))</f>
        <v/>
      </c>
      <c r="M127" t="str">
        <f>IF(OR(M$23="",ISNA($B127)),"",IF(ISBLANK($B127),"",IFERROR(_xll.BDP(TICKER,"DEEP_MEASURE_PERIOD_BROKER_VALUE","DEEP_MEASURE_ID_OVERRIDE",$C127,"DEEP_BROKER_ID_OVERRIDE",M$24,"DEEP_PERIOD_OVERRIDE",$H$19)*1,"")))</f>
        <v/>
      </c>
      <c r="N127" t="str">
        <f>IF(OR(N$23="",ISNA($B127)),"",IF(ISBLANK($B127),"",IFERROR(_xll.BDP(TICKER,"DEEP_MEASURE_PERIOD_BROKER_VALUE","DEEP_MEASURE_ID_OVERRIDE",$C127,"DEEP_BROKER_ID_OVERRIDE",N$24,"DEEP_PERIOD_OVERRIDE",$H$19)*1,"")))</f>
        <v/>
      </c>
      <c r="O127" t="str">
        <f>IF(OR(O$23="",ISNA($B127)),"",IF(ISBLANK($B127),"",IFERROR(_xll.BDP(TICKER,"DEEP_MEASURE_PERIOD_BROKER_VALUE","DEEP_MEASURE_ID_OVERRIDE",$C127,"DEEP_BROKER_ID_OVERRIDE",O$24,"DEEP_PERIOD_OVERRIDE",$H$19)*1,"")))</f>
        <v/>
      </c>
      <c r="P127" t="str">
        <f>IF(OR(P$23="",ISNA($B127)),"",IF(ISBLANK($B127),"",IFERROR(_xll.BDP(TICKER,"DEEP_MEASURE_PERIOD_BROKER_VALUE","DEEP_MEASURE_ID_OVERRIDE",$C127,"DEEP_BROKER_ID_OVERRIDE",P$24,"DEEP_PERIOD_OVERRIDE",$H$19)*1,"")))</f>
        <v/>
      </c>
      <c r="Q127" t="str">
        <f>IF(OR(Q$23="",ISNA($B127)),"",IF(ISBLANK($B127),"",IFERROR(_xll.BDP(TICKER,"DEEP_MEASURE_PERIOD_BROKER_VALUE","DEEP_MEASURE_ID_OVERRIDE",$C127,"DEEP_BROKER_ID_OVERRIDE",Q$24,"DEEP_PERIOD_OVERRIDE",$H$19)*1,"")))</f>
        <v/>
      </c>
      <c r="R127" t="str">
        <f>IF(OR(R$23="",ISNA($B127)),"",IF(ISBLANK($B127),"",IFERROR(_xll.BDP(TICKER,"DEEP_MEASURE_PERIOD_BROKER_VALUE","DEEP_MEASURE_ID_OVERRIDE",$C127,"DEEP_BROKER_ID_OVERRIDE",R$24,"DEEP_PERIOD_OVERRIDE",$H$19)*1,"")))</f>
        <v/>
      </c>
      <c r="S127" t="str">
        <f>IF(OR(S$23="",ISNA($B127)),"",IF(ISBLANK($B127),"",IFERROR(_xll.BDP(TICKER,"DEEP_MEASURE_PERIOD_BROKER_VALUE","DEEP_MEASURE_ID_OVERRIDE",$C127,"DEEP_BROKER_ID_OVERRIDE",S$24,"DEEP_PERIOD_OVERRIDE",$H$19)*1,"")))</f>
        <v/>
      </c>
      <c r="T127" t="str">
        <f>IF(OR(T$23="",ISNA($B127)),"",IF(ISBLANK($B127),"",IFERROR(_xll.BDP(TICKER,"DEEP_MEASURE_PERIOD_BROKER_VALUE","DEEP_MEASURE_ID_OVERRIDE",$C127,"DEEP_BROKER_ID_OVERRIDE",T$24,"DEEP_PERIOD_OVERRIDE",$H$19)*1,"")))</f>
        <v/>
      </c>
      <c r="U127" t="str">
        <f>IF(OR(U$23="",ISNA($B127)),"",IF(ISBLANK($B127),"",IFERROR(_xll.BDP(TICKER,"DEEP_MEASURE_PERIOD_BROKER_VALUE","DEEP_MEASURE_ID_OVERRIDE",$C127,"DEEP_BROKER_ID_OVERRIDE",U$24,"DEEP_PERIOD_OVERRIDE",$H$19)*1,"")))</f>
        <v/>
      </c>
      <c r="V127" t="str">
        <f>IF(OR(V$23="",ISNA($B127)),"",IF(ISBLANK($B127),"",IFERROR(_xll.BDP(TICKER,"DEEP_MEASURE_PERIOD_BROKER_VALUE","DEEP_MEASURE_ID_OVERRIDE",$C127,"DEEP_BROKER_ID_OVERRIDE",V$24,"DEEP_PERIOD_OVERRIDE",$H$19)*1,"")))</f>
        <v/>
      </c>
      <c r="W127" t="str">
        <f>IF(OR(W$23="",ISNA($B127)),"",IF(ISBLANK($B127),"",IFERROR(_xll.BDP(TICKER,"DEEP_MEASURE_PERIOD_BROKER_VALUE","DEEP_MEASURE_ID_OVERRIDE",$C127,"DEEP_BROKER_ID_OVERRIDE",W$24,"DEEP_PERIOD_OVERRIDE",$H$19)*1,"")))</f>
        <v/>
      </c>
      <c r="X127" t="str">
        <f>IF(OR(X$23="",ISNA($B127)),"",IF(ISBLANK($B127),"",IFERROR(_xll.BDP(TICKER,"DEEP_MEASURE_PERIOD_BROKER_VALUE","DEEP_MEASURE_ID_OVERRIDE",$C127,"DEEP_BROKER_ID_OVERRIDE",X$24,"DEEP_PERIOD_OVERRIDE",$H$19)*1,"")))</f>
        <v/>
      </c>
      <c r="Y127" t="str">
        <f>IF(OR(Y$23="",ISNA($B127)),"",IF(ISBLANK($B127),"",IFERROR(_xll.BDP(TICKER,"DEEP_MEASURE_PERIOD_BROKER_VALUE","DEEP_MEASURE_ID_OVERRIDE",$C127,"DEEP_BROKER_ID_OVERRIDE",Y$24,"DEEP_PERIOD_OVERRIDE",$H$19)*1,"")))</f>
        <v/>
      </c>
      <c r="Z127" t="str">
        <f>IF(OR(Z$23="",ISNA($B127)),"",IF(ISBLANK($B127),"",IFERROR(_xll.BDP(TICKER,"DEEP_MEASURE_PERIOD_BROKER_VALUE","DEEP_MEASURE_ID_OVERRIDE",$C127,"DEEP_BROKER_ID_OVERRIDE",Z$24,"DEEP_PERIOD_OVERRIDE",$H$19)*1,"")))</f>
        <v/>
      </c>
      <c r="AA127" t="str">
        <f>IF(OR(AA$23="",ISNA($B127)),"",IF(ISBLANK($B127),"",IFERROR(_xll.BDP(TICKER,"DEEP_MEASURE_PERIOD_BROKER_VALUE","DEEP_MEASURE_ID_OVERRIDE",$C127,"DEEP_BROKER_ID_OVERRIDE",AA$24,"DEEP_PERIOD_OVERRIDE",$H$19)*1,"")))</f>
        <v/>
      </c>
      <c r="AB127" t="str">
        <f>IF(OR(AB$23="",ISNA($B127)),"",IF(ISBLANK($B127),"",IFERROR(_xll.BDP(TICKER,"DEEP_MEASURE_PERIOD_BROKER_VALUE","DEEP_MEASURE_ID_OVERRIDE",$C127,"DEEP_BROKER_ID_OVERRIDE",AB$24,"DEEP_PERIOD_OVERRIDE",$H$19)*1,"")))</f>
        <v/>
      </c>
      <c r="AC127" t="str">
        <f>IF(OR(AC$23="",ISNA($B127)),"",IF(ISBLANK($B127),"",IFERROR(_xll.BDP(TICKER,"DEEP_MEASURE_PERIOD_BROKER_VALUE","DEEP_MEASURE_ID_OVERRIDE",$C127,"DEEP_BROKER_ID_OVERRIDE",AC$24,"DEEP_PERIOD_OVERRIDE",$H$19)*1,"")))</f>
        <v/>
      </c>
      <c r="AD127" t="str">
        <f>IF(OR(AD$23="",ISNA($B127)),"",IF(ISBLANK($B127),"",IFERROR(_xll.BDP(TICKER,"DEEP_MEASURE_PERIOD_BROKER_VALUE","DEEP_MEASURE_ID_OVERRIDE",$C127,"DEEP_BROKER_ID_OVERRIDE",AD$24,"DEEP_PERIOD_OVERRIDE",$H$19)*1,"")))</f>
        <v/>
      </c>
      <c r="AE127" t="str">
        <f>IF(OR(AE$23="",ISNA($B127)),"",IF(ISBLANK($B127),"",IFERROR(_xll.BDP(TICKER,"DEEP_MEASURE_PERIOD_BROKER_VALUE","DEEP_MEASURE_ID_OVERRIDE",$C127,"DEEP_BROKER_ID_OVERRIDE",AE$24,"DEEP_PERIOD_OVERRIDE",$H$19)*1,"")))</f>
        <v/>
      </c>
      <c r="AF127" t="str">
        <f>IF(OR(AF$23="",ISNA($B127)),"",IF(ISBLANK($B127),"",IFERROR(_xll.BDP(TICKER,"DEEP_MEASURE_PERIOD_BROKER_VALUE","DEEP_MEASURE_ID_OVERRIDE",$C127,"DEEP_BROKER_ID_OVERRIDE",AF$24,"DEEP_PERIOD_OVERRIDE",$H$19)*1,"")))</f>
        <v/>
      </c>
      <c r="AG127" t="str">
        <f>IF(OR(AG$23="",ISNA($B127)),"",IF(ISBLANK($B127),"",IFERROR(_xll.BDP(TICKER,"DEEP_MEASURE_PERIOD_BROKER_VALUE","DEEP_MEASURE_ID_OVERRIDE",$C127,"DEEP_BROKER_ID_OVERRIDE",AG$24,"DEEP_PERIOD_OVERRIDE",$H$19)*1,"")))</f>
        <v/>
      </c>
      <c r="AH127" t="str">
        <f>IF(OR(AH$23="",ISNA($B127)),"",IF(ISBLANK($B127),"",IFERROR(_xll.BDP(TICKER,"DEEP_MEASURE_PERIOD_BROKER_VALUE","DEEP_MEASURE_ID_OVERRIDE",$C127,"DEEP_BROKER_ID_OVERRIDE",AH$24,"DEEP_PERIOD_OVERRIDE",$H$19)*1,"")))</f>
        <v/>
      </c>
      <c r="AI127" t="str">
        <f>IF(OR(AI$23="",ISNA($B127)),"",IF(ISBLANK($B127),"",IFERROR(_xll.BDP(TICKER,"DEEP_MEASURE_PERIOD_BROKER_VALUE","DEEP_MEASURE_ID_OVERRIDE",$C127,"DEEP_BROKER_ID_OVERRIDE",AI$24,"DEEP_PERIOD_OVERRIDE",$H$19)*1,"")))</f>
        <v/>
      </c>
      <c r="AJ127" t="str">
        <f>IF(OR(AJ$23="",ISNA($B127)),"",IF(ISBLANK($B127),"",IFERROR(_xll.BDP(TICKER,"DEEP_MEASURE_PERIOD_BROKER_VALUE","DEEP_MEASURE_ID_OVERRIDE",$C127,"DEEP_BROKER_ID_OVERRIDE",AJ$24,"DEEP_PERIOD_OVERRIDE",$H$19)*1,"")))</f>
        <v/>
      </c>
      <c r="AK127" t="str">
        <f>IF(OR(AK$23="",ISNA($B127)),"",IF(ISBLANK($B127),"",IFERROR(_xll.BDP(TICKER,"DEEP_MEASURE_PERIOD_BROKER_VALUE","DEEP_MEASURE_ID_OVERRIDE",$C127,"DEEP_BROKER_ID_OVERRIDE",AK$24,"DEEP_PERIOD_OVERRIDE",$H$19)*1,"")))</f>
        <v/>
      </c>
      <c r="AL127" t="str">
        <f>IF(OR(AL$23="",ISNA($B127)),"",IF(ISBLANK($B127),"",IFERROR(_xll.BDP(TICKER,"DEEP_MEASURE_PERIOD_BROKER_VALUE","DEEP_MEASURE_ID_OVERRIDE",$C127,"DEEP_BROKER_ID_OVERRIDE",AL$24,"DEEP_PERIOD_OVERRIDE",$H$19)*1,"")))</f>
        <v/>
      </c>
      <c r="AM127" t="str">
        <f>IF(OR(AM$23="",ISNA($B127)),"",IF(ISBLANK($B127),"",IFERROR(_xll.BDP(TICKER,"DEEP_MEASURE_PERIOD_BROKER_VALUE","DEEP_MEASURE_ID_OVERRIDE",$C127,"DEEP_BROKER_ID_OVERRIDE",AM$24,"DEEP_PERIOD_OVERRIDE",$H$19)*1,"")))</f>
        <v/>
      </c>
      <c r="AN127" t="str">
        <f>IF(OR(AN$23="",ISNA($B127)),"",IF(ISBLANK($B127),"",IFERROR(_xll.BDP(TICKER,"DEEP_MEASURE_PERIOD_BROKER_VALUE","DEEP_MEASURE_ID_OVERRIDE",$C127,"DEEP_BROKER_ID_OVERRIDE",AN$24,"DEEP_PERIOD_OVERRIDE",$H$19)*1,"")))</f>
        <v/>
      </c>
      <c r="AO127" t="str">
        <f>IF(OR(AO$23="",ISNA($B127)),"",IF(ISBLANK($B127),"",IFERROR(_xll.BDP(TICKER,"DEEP_MEASURE_PERIOD_BROKER_VALUE","DEEP_MEASURE_ID_OVERRIDE",$C127,"DEEP_BROKER_ID_OVERRIDE",AO$24,"DEEP_PERIOD_OVERRIDE",$H$19)*1,"")))</f>
        <v/>
      </c>
      <c r="AP127" t="str">
        <f>IF(OR(AP$23="",ISNA($B127)),"",IF(ISBLANK($B127),"",IFERROR(_xll.BDP(TICKER,"DEEP_MEASURE_PERIOD_BROKER_VALUE","DEEP_MEASURE_ID_OVERRIDE",$C127,"DEEP_BROKER_ID_OVERRIDE",AP$24,"DEEP_PERIOD_OVERRIDE",$H$19)*1,"")))</f>
        <v/>
      </c>
      <c r="AQ127" t="str">
        <f>IF(OR(AQ$23="",ISNA($B127)),"",IF(ISBLANK($B127),"",IFERROR(_xll.BDP(TICKER,"DEEP_MEASURE_PERIOD_BROKER_VALUE","DEEP_MEASURE_ID_OVERRIDE",$C127,"DEEP_BROKER_ID_OVERRIDE",AQ$24,"DEEP_PERIOD_OVERRIDE",$H$19)*1,"")))</f>
        <v/>
      </c>
      <c r="AR127" t="str">
        <f>IF(OR(AR$23="",ISNA($B127)),"",IF(ISBLANK($B127),"",IFERROR(_xll.BDP(TICKER,"DEEP_MEASURE_PERIOD_BROKER_VALUE","DEEP_MEASURE_ID_OVERRIDE",$C127,"DEEP_BROKER_ID_OVERRIDE",AR$24,"DEEP_PERIOD_OVERRIDE",$H$19)*1,"")))</f>
        <v/>
      </c>
      <c r="AS127" t="str">
        <f>IF(OR(AS$23="",ISNA($B127)),"",IF(ISBLANK($B127),"",IFERROR(_xll.BDP(TICKER,"DEEP_MEASURE_PERIOD_BROKER_VALUE","DEEP_MEASURE_ID_OVERRIDE",$C127,"DEEP_BROKER_ID_OVERRIDE",AS$24,"DEEP_PERIOD_OVERRIDE",$H$19)*1,"")))</f>
        <v/>
      </c>
      <c r="AT127" t="str">
        <f>IF(OR(AT$23="",ISNA($B127)),"",IF(ISBLANK($B127),"",IFERROR(_xll.BDP(TICKER,"DEEP_MEASURE_PERIOD_BROKER_VALUE","DEEP_MEASURE_ID_OVERRIDE",$C127,"DEEP_BROKER_ID_OVERRIDE",AT$24,"DEEP_PERIOD_OVERRIDE",$H$19)*1,"")))</f>
        <v/>
      </c>
      <c r="AU127" t="str">
        <f>IF(OR(AU$23="",ISNA($B127)),"",IF(ISBLANK($B127),"",IFERROR(_xll.BDP(TICKER,"DEEP_MEASURE_PERIOD_BROKER_VALUE","DEEP_MEASURE_ID_OVERRIDE",$C127,"DEEP_BROKER_ID_OVERRIDE",AU$24,"DEEP_PERIOD_OVERRIDE",$H$19)*1,"")))</f>
        <v/>
      </c>
      <c r="AV127" t="str">
        <f>IF(OR(AV$23="",ISNA($B127)),"",IF(ISBLANK($B127),"",IFERROR(_xll.BDP(TICKER,"DEEP_MEASURE_PERIOD_BROKER_VALUE","DEEP_MEASURE_ID_OVERRIDE",$C127,"DEEP_BROKER_ID_OVERRIDE",AV$24,"DEEP_PERIOD_OVERRIDE",$H$19)*1,"")))</f>
        <v/>
      </c>
      <c r="AW127" t="str">
        <f>IF(OR(AW$23="",ISNA($B127)),"",IF(ISBLANK($B127),"",IFERROR(_xll.BDP(TICKER,"DEEP_MEASURE_PERIOD_BROKER_VALUE","DEEP_MEASURE_ID_OVERRIDE",$C127,"DEEP_BROKER_ID_OVERRIDE",AW$24,"DEEP_PERIOD_OVERRIDE",$H$19)*1,"")))</f>
        <v/>
      </c>
      <c r="AX127" t="str">
        <f>IF(OR(AX$23="",ISNA($B127)),"",IF(ISBLANK($B127),"",IFERROR(_xll.BDP(TICKER,"DEEP_MEASURE_PERIOD_BROKER_VALUE","DEEP_MEASURE_ID_OVERRIDE",$C127,"DEEP_BROKER_ID_OVERRIDE",AX$24,"DEEP_PERIOD_OVERRIDE",$H$19)*1,"")))</f>
        <v/>
      </c>
      <c r="AY127" t="str">
        <f>IF(OR(AY$23="",ISNA($B127)),"",IF(ISBLANK($B127),"",IFERROR(_xll.BDP(TICKER,"DEEP_MEASURE_PERIOD_BROKER_VALUE","DEEP_MEASURE_ID_OVERRIDE",$C127,"DEEP_BROKER_ID_OVERRIDE",AY$24,"DEEP_PERIOD_OVERRIDE",$H$19)*1,"")))</f>
        <v/>
      </c>
      <c r="AZ127" t="str">
        <f>IF(OR(AZ$23="",ISNA($B127)),"",IF(ISBLANK($B127),"",IFERROR(_xll.BDP(TICKER,"DEEP_MEASURE_PERIOD_BROKER_VALUE","DEEP_MEASURE_ID_OVERRIDE",$C127,"DEEP_BROKER_ID_OVERRIDE",AZ$24,"DEEP_PERIOD_OVERRIDE",$H$19)*1,"")))</f>
        <v/>
      </c>
      <c r="BA127" t="str">
        <f>IF(OR(BA$23="",ISNA($B127)),"",IF(ISBLANK($B127),"",IFERROR(_xll.BDP(TICKER,"DEEP_MEASURE_PERIOD_BROKER_VALUE","DEEP_MEASURE_ID_OVERRIDE",$C127,"DEEP_BROKER_ID_OVERRIDE",BA$24,"DEEP_PERIOD_OVERRIDE",$H$19)*1,"")))</f>
        <v/>
      </c>
      <c r="BB127" t="str">
        <f>IF(OR(BB$23="",ISNA($B127)),"",IF(ISBLANK($B127),"",IFERROR(_xll.BDP(TICKER,"DEEP_MEASURE_PERIOD_BROKER_VALUE","DEEP_MEASURE_ID_OVERRIDE",$C127,"DEEP_BROKER_ID_OVERRIDE",BB$24,"DEEP_PERIOD_OVERRIDE",$H$19)*1,"")))</f>
        <v/>
      </c>
      <c r="BC127" t="str">
        <f>IF(OR(BC$23="",ISNA($B127)),"",IF(ISBLANK($B127),"",IFERROR(_xll.BDP(TICKER,"DEEP_MEASURE_PERIOD_BROKER_VALUE","DEEP_MEASURE_ID_OVERRIDE",$C127,"DEEP_BROKER_ID_OVERRIDE",BC$24,"DEEP_PERIOD_OVERRIDE",$H$19)*1,"")))</f>
        <v/>
      </c>
      <c r="BD127" t="str">
        <f>IF(OR(BD$23="",ISNA($B127)),"",IF(ISBLANK($B127),"",IFERROR(_xll.BDP(TICKER,"DEEP_MEASURE_PERIOD_BROKER_VALUE","DEEP_MEASURE_ID_OVERRIDE",$C127,"DEEP_BROKER_ID_OVERRIDE",BD$24,"DEEP_PERIOD_OVERRIDE",$H$19)*1,"")))</f>
        <v/>
      </c>
      <c r="BE127" t="str">
        <f>IF(OR(BE$23="",ISNA($B127)),"",IF(ISBLANK($B127),"",IFERROR(_xll.BDP(TICKER,"DEEP_MEASURE_PERIOD_BROKER_VALUE","DEEP_MEASURE_ID_OVERRIDE",$C127,"DEEP_BROKER_ID_OVERRIDE",BE$24,"DEEP_PERIOD_OVERRIDE",$H$19)*1,"")))</f>
        <v/>
      </c>
      <c r="BF127" t="str">
        <f>IF(OR(BF$23="",ISNA($B127)),"",IF(ISBLANK($B127),"",IFERROR(_xll.BDP(TICKER,"DEEP_MEASURE_PERIOD_BROKER_VALUE","DEEP_MEASURE_ID_OVERRIDE",$C127,"DEEP_BROKER_ID_OVERRIDE",BF$24,"DEEP_PERIOD_OVERRIDE",$H$19)*1,"")))</f>
        <v/>
      </c>
      <c r="BG127" t="str">
        <f>IF(OR(BG$23="",ISNA($B127)),"",IF(ISBLANK($B127),"",IFERROR(_xll.BDP(TICKER,"DEEP_MEASURE_PERIOD_BROKER_VALUE","DEEP_MEASURE_ID_OVERRIDE",$C127,"DEEP_BROKER_ID_OVERRIDE",BG$24,"DEEP_PERIOD_OVERRIDE",$H$19)*1,"")))</f>
        <v/>
      </c>
      <c r="BH127" t="str">
        <f>IF(OR(BH$23="",ISNA($B127)),"",IF(ISBLANK($B127),"",IFERROR(_xll.BDP(TICKER,"DEEP_MEASURE_PERIOD_BROKER_VALUE","DEEP_MEASURE_ID_OVERRIDE",$C127,"DEEP_BROKER_ID_OVERRIDE",BH$24,"DEEP_PERIOD_OVERRIDE",$H$19)*1,"")))</f>
        <v/>
      </c>
      <c r="BI127" t="str">
        <f>IF(OR(BI$23="",ISNA($B127)),"",IF(ISBLANK($B127),"",IFERROR(_xll.BDP(TICKER,"DEEP_MEASURE_PERIOD_BROKER_VALUE","DEEP_MEASURE_ID_OVERRIDE",$C127,"DEEP_BROKER_ID_OVERRIDE",BI$24,"DEEP_PERIOD_OVERRIDE",$H$19)*1,"")))</f>
        <v/>
      </c>
      <c r="BJ127" t="str">
        <f>IF(OR(BJ$23="",ISNA($B127)),"",IF(ISBLANK($B127),"",IFERROR(_xll.BDP(TICKER,"DEEP_MEASURE_PERIOD_BROKER_VALUE","DEEP_MEASURE_ID_OVERRIDE",$C127,"DEEP_BROKER_ID_OVERRIDE",BJ$24,"DEEP_PERIOD_OVERRIDE",$H$19)*1,"")))</f>
        <v/>
      </c>
      <c r="BK127" t="str">
        <f>IF(OR(BK$23="",ISNA($B127)),"",IF(ISBLANK($B127),"",IFERROR(_xll.BDP(TICKER,"DEEP_MEASURE_PERIOD_BROKER_VALUE","DEEP_MEASURE_ID_OVERRIDE",$C127,"DEEP_BROKER_ID_OVERRIDE",BK$24,"DEEP_PERIOD_OVERRIDE",$H$19)*1,"")))</f>
        <v/>
      </c>
      <c r="BL127" t="str">
        <f>IF(OR(BL$23="",ISNA($B127)),"",IF(ISBLANK($B127),"",IFERROR(_xll.BDP(TICKER,"DEEP_MEASURE_PERIOD_BROKER_VALUE","DEEP_MEASURE_ID_OVERRIDE",$C127,"DEEP_BROKER_ID_OVERRIDE",BL$24,"DEEP_PERIOD_OVERRIDE",$H$19)*1,"")))</f>
        <v/>
      </c>
      <c r="BM127" t="str">
        <f>IF(OR(BM$23="",ISNA($B127)),"",IF(ISBLANK($B127),"",IFERROR(_xll.BDP(TICKER,"DEEP_MEASURE_PERIOD_BROKER_VALUE","DEEP_MEASURE_ID_OVERRIDE",$C127,"DEEP_BROKER_ID_OVERRIDE",BM$24,"DEEP_PERIOD_OVERRIDE",$H$19)*1,"")))</f>
        <v/>
      </c>
      <c r="BN127" t="str">
        <f>IF(OR(BN$23="",ISNA($B127)),"",IF(ISBLANK($B127),"",IFERROR(_xll.BDP(TICKER,"DEEP_MEASURE_PERIOD_BROKER_VALUE","DEEP_MEASURE_ID_OVERRIDE",$C127,"DEEP_BROKER_ID_OVERRIDE",BN$24,"DEEP_PERIOD_OVERRIDE",$H$19)*1,"")))</f>
        <v/>
      </c>
      <c r="BO127" t="str">
        <f>IF(OR(BO$23="",ISNA($B127)),"",IF(ISBLANK($B127),"",IFERROR(_xll.BDP(TICKER,"DEEP_MEASURE_PERIOD_BROKER_VALUE","DEEP_MEASURE_ID_OVERRIDE",$C127,"DEEP_BROKER_ID_OVERRIDE",BO$24,"DEEP_PERIOD_OVERRIDE",$H$19)*1,"")))</f>
        <v/>
      </c>
      <c r="BP127" t="str">
        <f>IF(OR(BP$23="",ISNA($B127)),"",IF(ISBLANK($B127),"",IFERROR(_xll.BDP(TICKER,"DEEP_MEASURE_PERIOD_BROKER_VALUE","DEEP_MEASURE_ID_OVERRIDE",$C127,"DEEP_BROKER_ID_OVERRIDE",BP$24,"DEEP_PERIOD_OVERRIDE",$H$19)*1,"")))</f>
        <v/>
      </c>
      <c r="BQ127" t="str">
        <f>IF(OR(BQ$23="",ISNA($B127)),"",IF(ISBLANK($B127),"",IFERROR(_xll.BDP(TICKER,"DEEP_MEASURE_PERIOD_BROKER_VALUE","DEEP_MEASURE_ID_OVERRIDE",$C127,"DEEP_BROKER_ID_OVERRIDE",BQ$24,"DEEP_PERIOD_OVERRIDE",$H$19)*1,"")))</f>
        <v/>
      </c>
      <c r="BR127" t="str">
        <f>IF(OR(BR$23="",ISNA($B127)),"",IF(ISBLANK($B127),"",IFERROR(_xll.BDP(TICKER,"DEEP_MEASURE_PERIOD_BROKER_VALUE","DEEP_MEASURE_ID_OVERRIDE",$C127,"DEEP_BROKER_ID_OVERRIDE",BR$24,"DEEP_PERIOD_OVERRIDE",$H$19)*1,"")))</f>
        <v/>
      </c>
      <c r="BS127" t="str">
        <f>IF(OR(BS$23="",ISNA($B127)),"",IF(ISBLANK($B127),"",IFERROR(_xll.BDP(TICKER,"DEEP_MEASURE_PERIOD_BROKER_VALUE","DEEP_MEASURE_ID_OVERRIDE",$C127,"DEEP_BROKER_ID_OVERRIDE",BS$24,"DEEP_PERIOD_OVERRIDE",$H$19)*1,"")))</f>
        <v/>
      </c>
      <c r="BT127" t="str">
        <f>IF(OR(BT$23="",ISNA($B127)),"",IF(ISBLANK($B127),"",IFERROR(_xll.BDP(TICKER,"DEEP_MEASURE_PERIOD_BROKER_VALUE","DEEP_MEASURE_ID_OVERRIDE",$C127,"DEEP_BROKER_ID_OVERRIDE",BT$24,"DEEP_PERIOD_OVERRIDE",$H$19)*1,"")))</f>
        <v/>
      </c>
      <c r="BU127" t="str">
        <f>IF(OR(BU$23="",ISNA($B127)),"",IF(ISBLANK($B127),"",IFERROR(_xll.BDP(TICKER,"DEEP_MEASURE_PERIOD_BROKER_VALUE","DEEP_MEASURE_ID_OVERRIDE",$C127,"DEEP_BROKER_ID_OVERRIDE",BU$24,"DEEP_PERIOD_OVERRIDE",$H$19)*1,"")))</f>
        <v/>
      </c>
      <c r="BV127" t="str">
        <f>IF(OR(BV$23="",ISNA($B127)),"",IF(ISBLANK($B127),"",IFERROR(_xll.BDP(TICKER,"DEEP_MEASURE_PERIOD_BROKER_VALUE","DEEP_MEASURE_ID_OVERRIDE",$C127,"DEEP_BROKER_ID_OVERRIDE",BV$24,"DEEP_PERIOD_OVERRIDE",$H$19)*1,"")))</f>
        <v/>
      </c>
      <c r="BW127" t="str">
        <f>IF(OR(BW$23="",ISNA($B127)),"",IF(ISBLANK($B127),"",IFERROR(_xll.BDP(TICKER,"DEEP_MEASURE_PERIOD_BROKER_VALUE","DEEP_MEASURE_ID_OVERRIDE",$C127,"DEEP_BROKER_ID_OVERRIDE",BW$24,"DEEP_PERIOD_OVERRIDE",$H$19)*1,"")))</f>
        <v/>
      </c>
      <c r="BX127" t="str">
        <f>IF(OR(BX$23="",ISNA($B127)),"",IF(ISBLANK($B127),"",IFERROR(_xll.BDP(TICKER,"DEEP_MEASURE_PERIOD_BROKER_VALUE","DEEP_MEASURE_ID_OVERRIDE",$C127,"DEEP_BROKER_ID_OVERRIDE",BX$24,"DEEP_PERIOD_OVERRIDE",$H$19)*1,"")))</f>
        <v/>
      </c>
      <c r="BY127" t="str">
        <f>IF(OR(BY$23="",ISNA($B127)),"",IF(ISBLANK($B127),"",IFERROR(_xll.BDP(TICKER,"DEEP_MEASURE_PERIOD_BROKER_VALUE","DEEP_MEASURE_ID_OVERRIDE",$C127,"DEEP_BROKER_ID_OVERRIDE",BY$24,"DEEP_PERIOD_OVERRIDE",$H$19)*1,"")))</f>
        <v/>
      </c>
      <c r="BZ127" t="str">
        <f>IF(OR(BZ$23="",ISNA($B127)),"",IF(ISBLANK($B127),"",IFERROR(_xll.BDP(TICKER,"DEEP_MEASURE_PERIOD_BROKER_VALUE","DEEP_MEASURE_ID_OVERRIDE",$C127,"DEEP_BROKER_ID_OVERRIDE",BZ$24,"DEEP_PERIOD_OVERRIDE",$H$19)*1,"")))</f>
        <v/>
      </c>
    </row>
    <row r="128" spans="2:78" x14ac:dyDescent="0.25">
      <c r="B128" t="s">
        <v>167</v>
      </c>
      <c r="C128">
        <v>3191</v>
      </c>
      <c r="H128" t="str">
        <f t="shared" si="2"/>
        <v>Total Costs</v>
      </c>
      <c r="I128" t="str">
        <f>IF(OR(I$23="",ISNA($B128)),"",IF(ISBLANK($B128),"",IFERROR(_xll.BDP(TICKER,"DEEP_MEASURE_PERIOD_BROKER_VALUE","DEEP_MEASURE_ID_OVERRIDE",$C128,"DEEP_PERIOD_OVERRIDE",$H$19)*1,"")))</f>
        <v/>
      </c>
      <c r="J128" t="e">
        <f>IF(OR(J$23="",ISNA($B128)),"",IF(ISBLANK($B128),"",IFERROR(_xll.BDP(TICKER,"DEEP_MEASURE_PERIOD_BROKER_VALUE","DEEP_MEASURE_ID_OVERRIDE",$C128,"DEEP_BROKER_ID_OVERRIDE",J$24,"DEEP_PERIOD_OVERRIDE",$H$19)*1,"")))</f>
        <v>#REF!</v>
      </c>
      <c r="K128" t="str">
        <f>IF(OR(K$23="",ISNA($B128)),"",IF(ISBLANK($B128),"",IFERROR(_xll.BDP(TICKER,"DEEP_MEASURE_PERIOD_BROKER_VALUE","DEEP_MEASURE_ID_OVERRIDE",$C128,"DEEP_BROKER_ID_OVERRIDE",K$24,"DEEP_PERIOD_OVERRIDE",$H$19)*1,"")))</f>
        <v/>
      </c>
      <c r="L128" t="str">
        <f>IF(OR(L$23="",ISNA($B128)),"",IF(ISBLANK($B128),"",IFERROR(_xll.BDP(TICKER,"DEEP_MEASURE_PERIOD_BROKER_VALUE","DEEP_MEASURE_ID_OVERRIDE",$C128,"DEEP_BROKER_ID_OVERRIDE",L$24,"DEEP_PERIOD_OVERRIDE",$H$19)*1,"")))</f>
        <v/>
      </c>
      <c r="M128" t="str">
        <f>IF(OR(M$23="",ISNA($B128)),"",IF(ISBLANK($B128),"",IFERROR(_xll.BDP(TICKER,"DEEP_MEASURE_PERIOD_BROKER_VALUE","DEEP_MEASURE_ID_OVERRIDE",$C128,"DEEP_BROKER_ID_OVERRIDE",M$24,"DEEP_PERIOD_OVERRIDE",$H$19)*1,"")))</f>
        <v/>
      </c>
      <c r="N128" t="str">
        <f>IF(OR(N$23="",ISNA($B128)),"",IF(ISBLANK($B128),"",IFERROR(_xll.BDP(TICKER,"DEEP_MEASURE_PERIOD_BROKER_VALUE","DEEP_MEASURE_ID_OVERRIDE",$C128,"DEEP_BROKER_ID_OVERRIDE",N$24,"DEEP_PERIOD_OVERRIDE",$H$19)*1,"")))</f>
        <v/>
      </c>
      <c r="O128" t="str">
        <f>IF(OR(O$23="",ISNA($B128)),"",IF(ISBLANK($B128),"",IFERROR(_xll.BDP(TICKER,"DEEP_MEASURE_PERIOD_BROKER_VALUE","DEEP_MEASURE_ID_OVERRIDE",$C128,"DEEP_BROKER_ID_OVERRIDE",O$24,"DEEP_PERIOD_OVERRIDE",$H$19)*1,"")))</f>
        <v/>
      </c>
      <c r="P128" t="str">
        <f>IF(OR(P$23="",ISNA($B128)),"",IF(ISBLANK($B128),"",IFERROR(_xll.BDP(TICKER,"DEEP_MEASURE_PERIOD_BROKER_VALUE","DEEP_MEASURE_ID_OVERRIDE",$C128,"DEEP_BROKER_ID_OVERRIDE",P$24,"DEEP_PERIOD_OVERRIDE",$H$19)*1,"")))</f>
        <v/>
      </c>
      <c r="Q128" t="str">
        <f>IF(OR(Q$23="",ISNA($B128)),"",IF(ISBLANK($B128),"",IFERROR(_xll.BDP(TICKER,"DEEP_MEASURE_PERIOD_BROKER_VALUE","DEEP_MEASURE_ID_OVERRIDE",$C128,"DEEP_BROKER_ID_OVERRIDE",Q$24,"DEEP_PERIOD_OVERRIDE",$H$19)*1,"")))</f>
        <v/>
      </c>
      <c r="R128" t="str">
        <f>IF(OR(R$23="",ISNA($B128)),"",IF(ISBLANK($B128),"",IFERROR(_xll.BDP(TICKER,"DEEP_MEASURE_PERIOD_BROKER_VALUE","DEEP_MEASURE_ID_OVERRIDE",$C128,"DEEP_BROKER_ID_OVERRIDE",R$24,"DEEP_PERIOD_OVERRIDE",$H$19)*1,"")))</f>
        <v/>
      </c>
      <c r="S128" t="str">
        <f>IF(OR(S$23="",ISNA($B128)),"",IF(ISBLANK($B128),"",IFERROR(_xll.BDP(TICKER,"DEEP_MEASURE_PERIOD_BROKER_VALUE","DEEP_MEASURE_ID_OVERRIDE",$C128,"DEEP_BROKER_ID_OVERRIDE",S$24,"DEEP_PERIOD_OVERRIDE",$H$19)*1,"")))</f>
        <v/>
      </c>
      <c r="T128" t="str">
        <f>IF(OR(T$23="",ISNA($B128)),"",IF(ISBLANK($B128),"",IFERROR(_xll.BDP(TICKER,"DEEP_MEASURE_PERIOD_BROKER_VALUE","DEEP_MEASURE_ID_OVERRIDE",$C128,"DEEP_BROKER_ID_OVERRIDE",T$24,"DEEP_PERIOD_OVERRIDE",$H$19)*1,"")))</f>
        <v/>
      </c>
      <c r="U128" t="str">
        <f>IF(OR(U$23="",ISNA($B128)),"",IF(ISBLANK($B128),"",IFERROR(_xll.BDP(TICKER,"DEEP_MEASURE_PERIOD_BROKER_VALUE","DEEP_MEASURE_ID_OVERRIDE",$C128,"DEEP_BROKER_ID_OVERRIDE",U$24,"DEEP_PERIOD_OVERRIDE",$H$19)*1,"")))</f>
        <v/>
      </c>
      <c r="V128" t="str">
        <f>IF(OR(V$23="",ISNA($B128)),"",IF(ISBLANK($B128),"",IFERROR(_xll.BDP(TICKER,"DEEP_MEASURE_PERIOD_BROKER_VALUE","DEEP_MEASURE_ID_OVERRIDE",$C128,"DEEP_BROKER_ID_OVERRIDE",V$24,"DEEP_PERIOD_OVERRIDE",$H$19)*1,"")))</f>
        <v/>
      </c>
      <c r="W128" t="str">
        <f>IF(OR(W$23="",ISNA($B128)),"",IF(ISBLANK($B128),"",IFERROR(_xll.BDP(TICKER,"DEEP_MEASURE_PERIOD_BROKER_VALUE","DEEP_MEASURE_ID_OVERRIDE",$C128,"DEEP_BROKER_ID_OVERRIDE",W$24,"DEEP_PERIOD_OVERRIDE",$H$19)*1,"")))</f>
        <v/>
      </c>
      <c r="X128" t="str">
        <f>IF(OR(X$23="",ISNA($B128)),"",IF(ISBLANK($B128),"",IFERROR(_xll.BDP(TICKER,"DEEP_MEASURE_PERIOD_BROKER_VALUE","DEEP_MEASURE_ID_OVERRIDE",$C128,"DEEP_BROKER_ID_OVERRIDE",X$24,"DEEP_PERIOD_OVERRIDE",$H$19)*1,"")))</f>
        <v/>
      </c>
      <c r="Y128" t="str">
        <f>IF(OR(Y$23="",ISNA($B128)),"",IF(ISBLANK($B128),"",IFERROR(_xll.BDP(TICKER,"DEEP_MEASURE_PERIOD_BROKER_VALUE","DEEP_MEASURE_ID_OVERRIDE",$C128,"DEEP_BROKER_ID_OVERRIDE",Y$24,"DEEP_PERIOD_OVERRIDE",$H$19)*1,"")))</f>
        <v/>
      </c>
      <c r="Z128" t="str">
        <f>IF(OR(Z$23="",ISNA($B128)),"",IF(ISBLANK($B128),"",IFERROR(_xll.BDP(TICKER,"DEEP_MEASURE_PERIOD_BROKER_VALUE","DEEP_MEASURE_ID_OVERRIDE",$C128,"DEEP_BROKER_ID_OVERRIDE",Z$24,"DEEP_PERIOD_OVERRIDE",$H$19)*1,"")))</f>
        <v/>
      </c>
      <c r="AA128" t="str">
        <f>IF(OR(AA$23="",ISNA($B128)),"",IF(ISBLANK($B128),"",IFERROR(_xll.BDP(TICKER,"DEEP_MEASURE_PERIOD_BROKER_VALUE","DEEP_MEASURE_ID_OVERRIDE",$C128,"DEEP_BROKER_ID_OVERRIDE",AA$24,"DEEP_PERIOD_OVERRIDE",$H$19)*1,"")))</f>
        <v/>
      </c>
      <c r="AB128" t="str">
        <f>IF(OR(AB$23="",ISNA($B128)),"",IF(ISBLANK($B128),"",IFERROR(_xll.BDP(TICKER,"DEEP_MEASURE_PERIOD_BROKER_VALUE","DEEP_MEASURE_ID_OVERRIDE",$C128,"DEEP_BROKER_ID_OVERRIDE",AB$24,"DEEP_PERIOD_OVERRIDE",$H$19)*1,"")))</f>
        <v/>
      </c>
      <c r="AC128" t="str">
        <f>IF(OR(AC$23="",ISNA($B128)),"",IF(ISBLANK($B128),"",IFERROR(_xll.BDP(TICKER,"DEEP_MEASURE_PERIOD_BROKER_VALUE","DEEP_MEASURE_ID_OVERRIDE",$C128,"DEEP_BROKER_ID_OVERRIDE",AC$24,"DEEP_PERIOD_OVERRIDE",$H$19)*1,"")))</f>
        <v/>
      </c>
      <c r="AD128" t="str">
        <f>IF(OR(AD$23="",ISNA($B128)),"",IF(ISBLANK($B128),"",IFERROR(_xll.BDP(TICKER,"DEEP_MEASURE_PERIOD_BROKER_VALUE","DEEP_MEASURE_ID_OVERRIDE",$C128,"DEEP_BROKER_ID_OVERRIDE",AD$24,"DEEP_PERIOD_OVERRIDE",$H$19)*1,"")))</f>
        <v/>
      </c>
      <c r="AE128" t="str">
        <f>IF(OR(AE$23="",ISNA($B128)),"",IF(ISBLANK($B128),"",IFERROR(_xll.BDP(TICKER,"DEEP_MEASURE_PERIOD_BROKER_VALUE","DEEP_MEASURE_ID_OVERRIDE",$C128,"DEEP_BROKER_ID_OVERRIDE",AE$24,"DEEP_PERIOD_OVERRIDE",$H$19)*1,"")))</f>
        <v/>
      </c>
      <c r="AF128" t="str">
        <f>IF(OR(AF$23="",ISNA($B128)),"",IF(ISBLANK($B128),"",IFERROR(_xll.BDP(TICKER,"DEEP_MEASURE_PERIOD_BROKER_VALUE","DEEP_MEASURE_ID_OVERRIDE",$C128,"DEEP_BROKER_ID_OVERRIDE",AF$24,"DEEP_PERIOD_OVERRIDE",$H$19)*1,"")))</f>
        <v/>
      </c>
      <c r="AG128" t="str">
        <f>IF(OR(AG$23="",ISNA($B128)),"",IF(ISBLANK($B128),"",IFERROR(_xll.BDP(TICKER,"DEEP_MEASURE_PERIOD_BROKER_VALUE","DEEP_MEASURE_ID_OVERRIDE",$C128,"DEEP_BROKER_ID_OVERRIDE",AG$24,"DEEP_PERIOD_OVERRIDE",$H$19)*1,"")))</f>
        <v/>
      </c>
      <c r="AH128" t="str">
        <f>IF(OR(AH$23="",ISNA($B128)),"",IF(ISBLANK($B128),"",IFERROR(_xll.BDP(TICKER,"DEEP_MEASURE_PERIOD_BROKER_VALUE","DEEP_MEASURE_ID_OVERRIDE",$C128,"DEEP_BROKER_ID_OVERRIDE",AH$24,"DEEP_PERIOD_OVERRIDE",$H$19)*1,"")))</f>
        <v/>
      </c>
      <c r="AI128" t="str">
        <f>IF(OR(AI$23="",ISNA($B128)),"",IF(ISBLANK($B128),"",IFERROR(_xll.BDP(TICKER,"DEEP_MEASURE_PERIOD_BROKER_VALUE","DEEP_MEASURE_ID_OVERRIDE",$C128,"DEEP_BROKER_ID_OVERRIDE",AI$24,"DEEP_PERIOD_OVERRIDE",$H$19)*1,"")))</f>
        <v/>
      </c>
      <c r="AJ128" t="str">
        <f>IF(OR(AJ$23="",ISNA($B128)),"",IF(ISBLANK($B128),"",IFERROR(_xll.BDP(TICKER,"DEEP_MEASURE_PERIOD_BROKER_VALUE","DEEP_MEASURE_ID_OVERRIDE",$C128,"DEEP_BROKER_ID_OVERRIDE",AJ$24,"DEEP_PERIOD_OVERRIDE",$H$19)*1,"")))</f>
        <v/>
      </c>
      <c r="AK128" t="str">
        <f>IF(OR(AK$23="",ISNA($B128)),"",IF(ISBLANK($B128),"",IFERROR(_xll.BDP(TICKER,"DEEP_MEASURE_PERIOD_BROKER_VALUE","DEEP_MEASURE_ID_OVERRIDE",$C128,"DEEP_BROKER_ID_OVERRIDE",AK$24,"DEEP_PERIOD_OVERRIDE",$H$19)*1,"")))</f>
        <v/>
      </c>
      <c r="AL128" t="str">
        <f>IF(OR(AL$23="",ISNA($B128)),"",IF(ISBLANK($B128),"",IFERROR(_xll.BDP(TICKER,"DEEP_MEASURE_PERIOD_BROKER_VALUE","DEEP_MEASURE_ID_OVERRIDE",$C128,"DEEP_BROKER_ID_OVERRIDE",AL$24,"DEEP_PERIOD_OVERRIDE",$H$19)*1,"")))</f>
        <v/>
      </c>
      <c r="AM128" t="str">
        <f>IF(OR(AM$23="",ISNA($B128)),"",IF(ISBLANK($B128),"",IFERROR(_xll.BDP(TICKER,"DEEP_MEASURE_PERIOD_BROKER_VALUE","DEEP_MEASURE_ID_OVERRIDE",$C128,"DEEP_BROKER_ID_OVERRIDE",AM$24,"DEEP_PERIOD_OVERRIDE",$H$19)*1,"")))</f>
        <v/>
      </c>
      <c r="AN128" t="str">
        <f>IF(OR(AN$23="",ISNA($B128)),"",IF(ISBLANK($B128),"",IFERROR(_xll.BDP(TICKER,"DEEP_MEASURE_PERIOD_BROKER_VALUE","DEEP_MEASURE_ID_OVERRIDE",$C128,"DEEP_BROKER_ID_OVERRIDE",AN$24,"DEEP_PERIOD_OVERRIDE",$H$19)*1,"")))</f>
        <v/>
      </c>
      <c r="AO128" t="str">
        <f>IF(OR(AO$23="",ISNA($B128)),"",IF(ISBLANK($B128),"",IFERROR(_xll.BDP(TICKER,"DEEP_MEASURE_PERIOD_BROKER_VALUE","DEEP_MEASURE_ID_OVERRIDE",$C128,"DEEP_BROKER_ID_OVERRIDE",AO$24,"DEEP_PERIOD_OVERRIDE",$H$19)*1,"")))</f>
        <v/>
      </c>
      <c r="AP128" t="str">
        <f>IF(OR(AP$23="",ISNA($B128)),"",IF(ISBLANK($B128),"",IFERROR(_xll.BDP(TICKER,"DEEP_MEASURE_PERIOD_BROKER_VALUE","DEEP_MEASURE_ID_OVERRIDE",$C128,"DEEP_BROKER_ID_OVERRIDE",AP$24,"DEEP_PERIOD_OVERRIDE",$H$19)*1,"")))</f>
        <v/>
      </c>
      <c r="AQ128" t="str">
        <f>IF(OR(AQ$23="",ISNA($B128)),"",IF(ISBLANK($B128),"",IFERROR(_xll.BDP(TICKER,"DEEP_MEASURE_PERIOD_BROKER_VALUE","DEEP_MEASURE_ID_OVERRIDE",$C128,"DEEP_BROKER_ID_OVERRIDE",AQ$24,"DEEP_PERIOD_OVERRIDE",$H$19)*1,"")))</f>
        <v/>
      </c>
      <c r="AR128" t="str">
        <f>IF(OR(AR$23="",ISNA($B128)),"",IF(ISBLANK($B128),"",IFERROR(_xll.BDP(TICKER,"DEEP_MEASURE_PERIOD_BROKER_VALUE","DEEP_MEASURE_ID_OVERRIDE",$C128,"DEEP_BROKER_ID_OVERRIDE",AR$24,"DEEP_PERIOD_OVERRIDE",$H$19)*1,"")))</f>
        <v/>
      </c>
      <c r="AS128" t="str">
        <f>IF(OR(AS$23="",ISNA($B128)),"",IF(ISBLANK($B128),"",IFERROR(_xll.BDP(TICKER,"DEEP_MEASURE_PERIOD_BROKER_VALUE","DEEP_MEASURE_ID_OVERRIDE",$C128,"DEEP_BROKER_ID_OVERRIDE",AS$24,"DEEP_PERIOD_OVERRIDE",$H$19)*1,"")))</f>
        <v/>
      </c>
      <c r="AT128" t="str">
        <f>IF(OR(AT$23="",ISNA($B128)),"",IF(ISBLANK($B128),"",IFERROR(_xll.BDP(TICKER,"DEEP_MEASURE_PERIOD_BROKER_VALUE","DEEP_MEASURE_ID_OVERRIDE",$C128,"DEEP_BROKER_ID_OVERRIDE",AT$24,"DEEP_PERIOD_OVERRIDE",$H$19)*1,"")))</f>
        <v/>
      </c>
      <c r="AU128" t="str">
        <f>IF(OR(AU$23="",ISNA($B128)),"",IF(ISBLANK($B128),"",IFERROR(_xll.BDP(TICKER,"DEEP_MEASURE_PERIOD_BROKER_VALUE","DEEP_MEASURE_ID_OVERRIDE",$C128,"DEEP_BROKER_ID_OVERRIDE",AU$24,"DEEP_PERIOD_OVERRIDE",$H$19)*1,"")))</f>
        <v/>
      </c>
      <c r="AV128" t="str">
        <f>IF(OR(AV$23="",ISNA($B128)),"",IF(ISBLANK($B128),"",IFERROR(_xll.BDP(TICKER,"DEEP_MEASURE_PERIOD_BROKER_VALUE","DEEP_MEASURE_ID_OVERRIDE",$C128,"DEEP_BROKER_ID_OVERRIDE",AV$24,"DEEP_PERIOD_OVERRIDE",$H$19)*1,"")))</f>
        <v/>
      </c>
      <c r="AW128" t="str">
        <f>IF(OR(AW$23="",ISNA($B128)),"",IF(ISBLANK($B128),"",IFERROR(_xll.BDP(TICKER,"DEEP_MEASURE_PERIOD_BROKER_VALUE","DEEP_MEASURE_ID_OVERRIDE",$C128,"DEEP_BROKER_ID_OVERRIDE",AW$24,"DEEP_PERIOD_OVERRIDE",$H$19)*1,"")))</f>
        <v/>
      </c>
      <c r="AX128" t="str">
        <f>IF(OR(AX$23="",ISNA($B128)),"",IF(ISBLANK($B128),"",IFERROR(_xll.BDP(TICKER,"DEEP_MEASURE_PERIOD_BROKER_VALUE","DEEP_MEASURE_ID_OVERRIDE",$C128,"DEEP_BROKER_ID_OVERRIDE",AX$24,"DEEP_PERIOD_OVERRIDE",$H$19)*1,"")))</f>
        <v/>
      </c>
      <c r="AY128" t="str">
        <f>IF(OR(AY$23="",ISNA($B128)),"",IF(ISBLANK($B128),"",IFERROR(_xll.BDP(TICKER,"DEEP_MEASURE_PERIOD_BROKER_VALUE","DEEP_MEASURE_ID_OVERRIDE",$C128,"DEEP_BROKER_ID_OVERRIDE",AY$24,"DEEP_PERIOD_OVERRIDE",$H$19)*1,"")))</f>
        <v/>
      </c>
      <c r="AZ128" t="str">
        <f>IF(OR(AZ$23="",ISNA($B128)),"",IF(ISBLANK($B128),"",IFERROR(_xll.BDP(TICKER,"DEEP_MEASURE_PERIOD_BROKER_VALUE","DEEP_MEASURE_ID_OVERRIDE",$C128,"DEEP_BROKER_ID_OVERRIDE",AZ$24,"DEEP_PERIOD_OVERRIDE",$H$19)*1,"")))</f>
        <v/>
      </c>
      <c r="BA128" t="str">
        <f>IF(OR(BA$23="",ISNA($B128)),"",IF(ISBLANK($B128),"",IFERROR(_xll.BDP(TICKER,"DEEP_MEASURE_PERIOD_BROKER_VALUE","DEEP_MEASURE_ID_OVERRIDE",$C128,"DEEP_BROKER_ID_OVERRIDE",BA$24,"DEEP_PERIOD_OVERRIDE",$H$19)*1,"")))</f>
        <v/>
      </c>
      <c r="BB128" t="str">
        <f>IF(OR(BB$23="",ISNA($B128)),"",IF(ISBLANK($B128),"",IFERROR(_xll.BDP(TICKER,"DEEP_MEASURE_PERIOD_BROKER_VALUE","DEEP_MEASURE_ID_OVERRIDE",$C128,"DEEP_BROKER_ID_OVERRIDE",BB$24,"DEEP_PERIOD_OVERRIDE",$H$19)*1,"")))</f>
        <v/>
      </c>
      <c r="BC128" t="str">
        <f>IF(OR(BC$23="",ISNA($B128)),"",IF(ISBLANK($B128),"",IFERROR(_xll.BDP(TICKER,"DEEP_MEASURE_PERIOD_BROKER_VALUE","DEEP_MEASURE_ID_OVERRIDE",$C128,"DEEP_BROKER_ID_OVERRIDE",BC$24,"DEEP_PERIOD_OVERRIDE",$H$19)*1,"")))</f>
        <v/>
      </c>
      <c r="BD128" t="str">
        <f>IF(OR(BD$23="",ISNA($B128)),"",IF(ISBLANK($B128),"",IFERROR(_xll.BDP(TICKER,"DEEP_MEASURE_PERIOD_BROKER_VALUE","DEEP_MEASURE_ID_OVERRIDE",$C128,"DEEP_BROKER_ID_OVERRIDE",BD$24,"DEEP_PERIOD_OVERRIDE",$H$19)*1,"")))</f>
        <v/>
      </c>
      <c r="BE128" t="str">
        <f>IF(OR(BE$23="",ISNA($B128)),"",IF(ISBLANK($B128),"",IFERROR(_xll.BDP(TICKER,"DEEP_MEASURE_PERIOD_BROKER_VALUE","DEEP_MEASURE_ID_OVERRIDE",$C128,"DEEP_BROKER_ID_OVERRIDE",BE$24,"DEEP_PERIOD_OVERRIDE",$H$19)*1,"")))</f>
        <v/>
      </c>
      <c r="BF128" t="str">
        <f>IF(OR(BF$23="",ISNA($B128)),"",IF(ISBLANK($B128),"",IFERROR(_xll.BDP(TICKER,"DEEP_MEASURE_PERIOD_BROKER_VALUE","DEEP_MEASURE_ID_OVERRIDE",$C128,"DEEP_BROKER_ID_OVERRIDE",BF$24,"DEEP_PERIOD_OVERRIDE",$H$19)*1,"")))</f>
        <v/>
      </c>
      <c r="BG128" t="str">
        <f>IF(OR(BG$23="",ISNA($B128)),"",IF(ISBLANK($B128),"",IFERROR(_xll.BDP(TICKER,"DEEP_MEASURE_PERIOD_BROKER_VALUE","DEEP_MEASURE_ID_OVERRIDE",$C128,"DEEP_BROKER_ID_OVERRIDE",BG$24,"DEEP_PERIOD_OVERRIDE",$H$19)*1,"")))</f>
        <v/>
      </c>
      <c r="BH128" t="str">
        <f>IF(OR(BH$23="",ISNA($B128)),"",IF(ISBLANK($B128),"",IFERROR(_xll.BDP(TICKER,"DEEP_MEASURE_PERIOD_BROKER_VALUE","DEEP_MEASURE_ID_OVERRIDE",$C128,"DEEP_BROKER_ID_OVERRIDE",BH$24,"DEEP_PERIOD_OVERRIDE",$H$19)*1,"")))</f>
        <v/>
      </c>
      <c r="BI128" t="str">
        <f>IF(OR(BI$23="",ISNA($B128)),"",IF(ISBLANK($B128),"",IFERROR(_xll.BDP(TICKER,"DEEP_MEASURE_PERIOD_BROKER_VALUE","DEEP_MEASURE_ID_OVERRIDE",$C128,"DEEP_BROKER_ID_OVERRIDE",BI$24,"DEEP_PERIOD_OVERRIDE",$H$19)*1,"")))</f>
        <v/>
      </c>
      <c r="BJ128" t="str">
        <f>IF(OR(BJ$23="",ISNA($B128)),"",IF(ISBLANK($B128),"",IFERROR(_xll.BDP(TICKER,"DEEP_MEASURE_PERIOD_BROKER_VALUE","DEEP_MEASURE_ID_OVERRIDE",$C128,"DEEP_BROKER_ID_OVERRIDE",BJ$24,"DEEP_PERIOD_OVERRIDE",$H$19)*1,"")))</f>
        <v/>
      </c>
      <c r="BK128" t="str">
        <f>IF(OR(BK$23="",ISNA($B128)),"",IF(ISBLANK($B128),"",IFERROR(_xll.BDP(TICKER,"DEEP_MEASURE_PERIOD_BROKER_VALUE","DEEP_MEASURE_ID_OVERRIDE",$C128,"DEEP_BROKER_ID_OVERRIDE",BK$24,"DEEP_PERIOD_OVERRIDE",$H$19)*1,"")))</f>
        <v/>
      </c>
      <c r="BL128" t="str">
        <f>IF(OR(BL$23="",ISNA($B128)),"",IF(ISBLANK($B128),"",IFERROR(_xll.BDP(TICKER,"DEEP_MEASURE_PERIOD_BROKER_VALUE","DEEP_MEASURE_ID_OVERRIDE",$C128,"DEEP_BROKER_ID_OVERRIDE",BL$24,"DEEP_PERIOD_OVERRIDE",$H$19)*1,"")))</f>
        <v/>
      </c>
      <c r="BM128" t="str">
        <f>IF(OR(BM$23="",ISNA($B128)),"",IF(ISBLANK($B128),"",IFERROR(_xll.BDP(TICKER,"DEEP_MEASURE_PERIOD_BROKER_VALUE","DEEP_MEASURE_ID_OVERRIDE",$C128,"DEEP_BROKER_ID_OVERRIDE",BM$24,"DEEP_PERIOD_OVERRIDE",$H$19)*1,"")))</f>
        <v/>
      </c>
      <c r="BN128" t="str">
        <f>IF(OR(BN$23="",ISNA($B128)),"",IF(ISBLANK($B128),"",IFERROR(_xll.BDP(TICKER,"DEEP_MEASURE_PERIOD_BROKER_VALUE","DEEP_MEASURE_ID_OVERRIDE",$C128,"DEEP_BROKER_ID_OVERRIDE",BN$24,"DEEP_PERIOD_OVERRIDE",$H$19)*1,"")))</f>
        <v/>
      </c>
      <c r="BO128" t="str">
        <f>IF(OR(BO$23="",ISNA($B128)),"",IF(ISBLANK($B128),"",IFERROR(_xll.BDP(TICKER,"DEEP_MEASURE_PERIOD_BROKER_VALUE","DEEP_MEASURE_ID_OVERRIDE",$C128,"DEEP_BROKER_ID_OVERRIDE",BO$24,"DEEP_PERIOD_OVERRIDE",$H$19)*1,"")))</f>
        <v/>
      </c>
      <c r="BP128" t="str">
        <f>IF(OR(BP$23="",ISNA($B128)),"",IF(ISBLANK($B128),"",IFERROR(_xll.BDP(TICKER,"DEEP_MEASURE_PERIOD_BROKER_VALUE","DEEP_MEASURE_ID_OVERRIDE",$C128,"DEEP_BROKER_ID_OVERRIDE",BP$24,"DEEP_PERIOD_OVERRIDE",$H$19)*1,"")))</f>
        <v/>
      </c>
      <c r="BQ128" t="str">
        <f>IF(OR(BQ$23="",ISNA($B128)),"",IF(ISBLANK($B128),"",IFERROR(_xll.BDP(TICKER,"DEEP_MEASURE_PERIOD_BROKER_VALUE","DEEP_MEASURE_ID_OVERRIDE",$C128,"DEEP_BROKER_ID_OVERRIDE",BQ$24,"DEEP_PERIOD_OVERRIDE",$H$19)*1,"")))</f>
        <v/>
      </c>
      <c r="BR128" t="str">
        <f>IF(OR(BR$23="",ISNA($B128)),"",IF(ISBLANK($B128),"",IFERROR(_xll.BDP(TICKER,"DEEP_MEASURE_PERIOD_BROKER_VALUE","DEEP_MEASURE_ID_OVERRIDE",$C128,"DEEP_BROKER_ID_OVERRIDE",BR$24,"DEEP_PERIOD_OVERRIDE",$H$19)*1,"")))</f>
        <v/>
      </c>
      <c r="BS128" t="str">
        <f>IF(OR(BS$23="",ISNA($B128)),"",IF(ISBLANK($B128),"",IFERROR(_xll.BDP(TICKER,"DEEP_MEASURE_PERIOD_BROKER_VALUE","DEEP_MEASURE_ID_OVERRIDE",$C128,"DEEP_BROKER_ID_OVERRIDE",BS$24,"DEEP_PERIOD_OVERRIDE",$H$19)*1,"")))</f>
        <v/>
      </c>
      <c r="BT128" t="str">
        <f>IF(OR(BT$23="",ISNA($B128)),"",IF(ISBLANK($B128),"",IFERROR(_xll.BDP(TICKER,"DEEP_MEASURE_PERIOD_BROKER_VALUE","DEEP_MEASURE_ID_OVERRIDE",$C128,"DEEP_BROKER_ID_OVERRIDE",BT$24,"DEEP_PERIOD_OVERRIDE",$H$19)*1,"")))</f>
        <v/>
      </c>
      <c r="BU128" t="str">
        <f>IF(OR(BU$23="",ISNA($B128)),"",IF(ISBLANK($B128),"",IFERROR(_xll.BDP(TICKER,"DEEP_MEASURE_PERIOD_BROKER_VALUE","DEEP_MEASURE_ID_OVERRIDE",$C128,"DEEP_BROKER_ID_OVERRIDE",BU$24,"DEEP_PERIOD_OVERRIDE",$H$19)*1,"")))</f>
        <v/>
      </c>
      <c r="BV128" t="str">
        <f>IF(OR(BV$23="",ISNA($B128)),"",IF(ISBLANK($B128),"",IFERROR(_xll.BDP(TICKER,"DEEP_MEASURE_PERIOD_BROKER_VALUE","DEEP_MEASURE_ID_OVERRIDE",$C128,"DEEP_BROKER_ID_OVERRIDE",BV$24,"DEEP_PERIOD_OVERRIDE",$H$19)*1,"")))</f>
        <v/>
      </c>
      <c r="BW128" t="str">
        <f>IF(OR(BW$23="",ISNA($B128)),"",IF(ISBLANK($B128),"",IFERROR(_xll.BDP(TICKER,"DEEP_MEASURE_PERIOD_BROKER_VALUE","DEEP_MEASURE_ID_OVERRIDE",$C128,"DEEP_BROKER_ID_OVERRIDE",BW$24,"DEEP_PERIOD_OVERRIDE",$H$19)*1,"")))</f>
        <v/>
      </c>
      <c r="BX128" t="str">
        <f>IF(OR(BX$23="",ISNA($B128)),"",IF(ISBLANK($B128),"",IFERROR(_xll.BDP(TICKER,"DEEP_MEASURE_PERIOD_BROKER_VALUE","DEEP_MEASURE_ID_OVERRIDE",$C128,"DEEP_BROKER_ID_OVERRIDE",BX$24,"DEEP_PERIOD_OVERRIDE",$H$19)*1,"")))</f>
        <v/>
      </c>
      <c r="BY128" t="str">
        <f>IF(OR(BY$23="",ISNA($B128)),"",IF(ISBLANK($B128),"",IFERROR(_xll.BDP(TICKER,"DEEP_MEASURE_PERIOD_BROKER_VALUE","DEEP_MEASURE_ID_OVERRIDE",$C128,"DEEP_BROKER_ID_OVERRIDE",BY$24,"DEEP_PERIOD_OVERRIDE",$H$19)*1,"")))</f>
        <v/>
      </c>
      <c r="BZ128" t="str">
        <f>IF(OR(BZ$23="",ISNA($B128)),"",IF(ISBLANK($B128),"",IFERROR(_xll.BDP(TICKER,"DEEP_MEASURE_PERIOD_BROKER_VALUE","DEEP_MEASURE_ID_OVERRIDE",$C128,"DEEP_BROKER_ID_OVERRIDE",BZ$24,"DEEP_PERIOD_OVERRIDE",$H$19)*1,"")))</f>
        <v/>
      </c>
    </row>
    <row r="129" spans="2:78" x14ac:dyDescent="0.25">
      <c r="B129" t="s">
        <v>17</v>
      </c>
      <c r="C129">
        <v>534</v>
      </c>
      <c r="H129" t="str">
        <f t="shared" si="2"/>
        <v>Operating Income</v>
      </c>
      <c r="I129" t="str">
        <f>IF(OR(I$23="",ISNA($B129)),"",IF(ISBLANK($B129),"",IFERROR(_xll.BDP(TICKER,"DEEP_MEASURE_PERIOD_BROKER_VALUE","DEEP_MEASURE_ID_OVERRIDE",$C129,"DEEP_PERIOD_OVERRIDE",$H$19)*1,"")))</f>
        <v/>
      </c>
      <c r="J129" t="e">
        <f>IF(OR(J$23="",ISNA($B129)),"",IF(ISBLANK($B129),"",IFERROR(_xll.BDP(TICKER,"DEEP_MEASURE_PERIOD_BROKER_VALUE","DEEP_MEASURE_ID_OVERRIDE",$C129,"DEEP_BROKER_ID_OVERRIDE",J$24,"DEEP_PERIOD_OVERRIDE",$H$19)*1,"")))</f>
        <v>#REF!</v>
      </c>
      <c r="K129" t="str">
        <f>IF(OR(K$23="",ISNA($B129)),"",IF(ISBLANK($B129),"",IFERROR(_xll.BDP(TICKER,"DEEP_MEASURE_PERIOD_BROKER_VALUE","DEEP_MEASURE_ID_OVERRIDE",$C129,"DEEP_BROKER_ID_OVERRIDE",K$24,"DEEP_PERIOD_OVERRIDE",$H$19)*1,"")))</f>
        <v/>
      </c>
      <c r="L129" t="str">
        <f>IF(OR(L$23="",ISNA($B129)),"",IF(ISBLANK($B129),"",IFERROR(_xll.BDP(TICKER,"DEEP_MEASURE_PERIOD_BROKER_VALUE","DEEP_MEASURE_ID_OVERRIDE",$C129,"DEEP_BROKER_ID_OVERRIDE",L$24,"DEEP_PERIOD_OVERRIDE",$H$19)*1,"")))</f>
        <v/>
      </c>
      <c r="M129" t="str">
        <f>IF(OR(M$23="",ISNA($B129)),"",IF(ISBLANK($B129),"",IFERROR(_xll.BDP(TICKER,"DEEP_MEASURE_PERIOD_BROKER_VALUE","DEEP_MEASURE_ID_OVERRIDE",$C129,"DEEP_BROKER_ID_OVERRIDE",M$24,"DEEP_PERIOD_OVERRIDE",$H$19)*1,"")))</f>
        <v/>
      </c>
      <c r="N129" t="str">
        <f>IF(OR(N$23="",ISNA($B129)),"",IF(ISBLANK($B129),"",IFERROR(_xll.BDP(TICKER,"DEEP_MEASURE_PERIOD_BROKER_VALUE","DEEP_MEASURE_ID_OVERRIDE",$C129,"DEEP_BROKER_ID_OVERRIDE",N$24,"DEEP_PERIOD_OVERRIDE",$H$19)*1,"")))</f>
        <v/>
      </c>
      <c r="O129" t="str">
        <f>IF(OR(O$23="",ISNA($B129)),"",IF(ISBLANK($B129),"",IFERROR(_xll.BDP(TICKER,"DEEP_MEASURE_PERIOD_BROKER_VALUE","DEEP_MEASURE_ID_OVERRIDE",$C129,"DEEP_BROKER_ID_OVERRIDE",O$24,"DEEP_PERIOD_OVERRIDE",$H$19)*1,"")))</f>
        <v/>
      </c>
      <c r="P129" t="str">
        <f>IF(OR(P$23="",ISNA($B129)),"",IF(ISBLANK($B129),"",IFERROR(_xll.BDP(TICKER,"DEEP_MEASURE_PERIOD_BROKER_VALUE","DEEP_MEASURE_ID_OVERRIDE",$C129,"DEEP_BROKER_ID_OVERRIDE",P$24,"DEEP_PERIOD_OVERRIDE",$H$19)*1,"")))</f>
        <v/>
      </c>
      <c r="Q129" t="str">
        <f>IF(OR(Q$23="",ISNA($B129)),"",IF(ISBLANK($B129),"",IFERROR(_xll.BDP(TICKER,"DEEP_MEASURE_PERIOD_BROKER_VALUE","DEEP_MEASURE_ID_OVERRIDE",$C129,"DEEP_BROKER_ID_OVERRIDE",Q$24,"DEEP_PERIOD_OVERRIDE",$H$19)*1,"")))</f>
        <v/>
      </c>
      <c r="R129" t="str">
        <f>IF(OR(R$23="",ISNA($B129)),"",IF(ISBLANK($B129),"",IFERROR(_xll.BDP(TICKER,"DEEP_MEASURE_PERIOD_BROKER_VALUE","DEEP_MEASURE_ID_OVERRIDE",$C129,"DEEP_BROKER_ID_OVERRIDE",R$24,"DEEP_PERIOD_OVERRIDE",$H$19)*1,"")))</f>
        <v/>
      </c>
      <c r="S129" t="str">
        <f>IF(OR(S$23="",ISNA($B129)),"",IF(ISBLANK($B129),"",IFERROR(_xll.BDP(TICKER,"DEEP_MEASURE_PERIOD_BROKER_VALUE","DEEP_MEASURE_ID_OVERRIDE",$C129,"DEEP_BROKER_ID_OVERRIDE",S$24,"DEEP_PERIOD_OVERRIDE",$H$19)*1,"")))</f>
        <v/>
      </c>
      <c r="T129" t="str">
        <f>IF(OR(T$23="",ISNA($B129)),"",IF(ISBLANK($B129),"",IFERROR(_xll.BDP(TICKER,"DEEP_MEASURE_PERIOD_BROKER_VALUE","DEEP_MEASURE_ID_OVERRIDE",$C129,"DEEP_BROKER_ID_OVERRIDE",T$24,"DEEP_PERIOD_OVERRIDE",$H$19)*1,"")))</f>
        <v/>
      </c>
      <c r="U129" t="str">
        <f>IF(OR(U$23="",ISNA($B129)),"",IF(ISBLANK($B129),"",IFERROR(_xll.BDP(TICKER,"DEEP_MEASURE_PERIOD_BROKER_VALUE","DEEP_MEASURE_ID_OVERRIDE",$C129,"DEEP_BROKER_ID_OVERRIDE",U$24,"DEEP_PERIOD_OVERRIDE",$H$19)*1,"")))</f>
        <v/>
      </c>
      <c r="V129" t="str">
        <f>IF(OR(V$23="",ISNA($B129)),"",IF(ISBLANK($B129),"",IFERROR(_xll.BDP(TICKER,"DEEP_MEASURE_PERIOD_BROKER_VALUE","DEEP_MEASURE_ID_OVERRIDE",$C129,"DEEP_BROKER_ID_OVERRIDE",V$24,"DEEP_PERIOD_OVERRIDE",$H$19)*1,"")))</f>
        <v/>
      </c>
      <c r="W129" t="str">
        <f>IF(OR(W$23="",ISNA($B129)),"",IF(ISBLANK($B129),"",IFERROR(_xll.BDP(TICKER,"DEEP_MEASURE_PERIOD_BROKER_VALUE","DEEP_MEASURE_ID_OVERRIDE",$C129,"DEEP_BROKER_ID_OVERRIDE",W$24,"DEEP_PERIOD_OVERRIDE",$H$19)*1,"")))</f>
        <v/>
      </c>
      <c r="X129" t="str">
        <f>IF(OR(X$23="",ISNA($B129)),"",IF(ISBLANK($B129),"",IFERROR(_xll.BDP(TICKER,"DEEP_MEASURE_PERIOD_BROKER_VALUE","DEEP_MEASURE_ID_OVERRIDE",$C129,"DEEP_BROKER_ID_OVERRIDE",X$24,"DEEP_PERIOD_OVERRIDE",$H$19)*1,"")))</f>
        <v/>
      </c>
      <c r="Y129" t="str">
        <f>IF(OR(Y$23="",ISNA($B129)),"",IF(ISBLANK($B129),"",IFERROR(_xll.BDP(TICKER,"DEEP_MEASURE_PERIOD_BROKER_VALUE","DEEP_MEASURE_ID_OVERRIDE",$C129,"DEEP_BROKER_ID_OVERRIDE",Y$24,"DEEP_PERIOD_OVERRIDE",$H$19)*1,"")))</f>
        <v/>
      </c>
      <c r="Z129" t="str">
        <f>IF(OR(Z$23="",ISNA($B129)),"",IF(ISBLANK($B129),"",IFERROR(_xll.BDP(TICKER,"DEEP_MEASURE_PERIOD_BROKER_VALUE","DEEP_MEASURE_ID_OVERRIDE",$C129,"DEEP_BROKER_ID_OVERRIDE",Z$24,"DEEP_PERIOD_OVERRIDE",$H$19)*1,"")))</f>
        <v/>
      </c>
      <c r="AA129" t="str">
        <f>IF(OR(AA$23="",ISNA($B129)),"",IF(ISBLANK($B129),"",IFERROR(_xll.BDP(TICKER,"DEEP_MEASURE_PERIOD_BROKER_VALUE","DEEP_MEASURE_ID_OVERRIDE",$C129,"DEEP_BROKER_ID_OVERRIDE",AA$24,"DEEP_PERIOD_OVERRIDE",$H$19)*1,"")))</f>
        <v/>
      </c>
      <c r="AB129" t="str">
        <f>IF(OR(AB$23="",ISNA($B129)),"",IF(ISBLANK($B129),"",IFERROR(_xll.BDP(TICKER,"DEEP_MEASURE_PERIOD_BROKER_VALUE","DEEP_MEASURE_ID_OVERRIDE",$C129,"DEEP_BROKER_ID_OVERRIDE",AB$24,"DEEP_PERIOD_OVERRIDE",$H$19)*1,"")))</f>
        <v/>
      </c>
      <c r="AC129" t="str">
        <f>IF(OR(AC$23="",ISNA($B129)),"",IF(ISBLANK($B129),"",IFERROR(_xll.BDP(TICKER,"DEEP_MEASURE_PERIOD_BROKER_VALUE","DEEP_MEASURE_ID_OVERRIDE",$C129,"DEEP_BROKER_ID_OVERRIDE",AC$24,"DEEP_PERIOD_OVERRIDE",$H$19)*1,"")))</f>
        <v/>
      </c>
      <c r="AD129" t="str">
        <f>IF(OR(AD$23="",ISNA($B129)),"",IF(ISBLANK($B129),"",IFERROR(_xll.BDP(TICKER,"DEEP_MEASURE_PERIOD_BROKER_VALUE","DEEP_MEASURE_ID_OVERRIDE",$C129,"DEEP_BROKER_ID_OVERRIDE",AD$24,"DEEP_PERIOD_OVERRIDE",$H$19)*1,"")))</f>
        <v/>
      </c>
      <c r="AE129" t="str">
        <f>IF(OR(AE$23="",ISNA($B129)),"",IF(ISBLANK($B129),"",IFERROR(_xll.BDP(TICKER,"DEEP_MEASURE_PERIOD_BROKER_VALUE","DEEP_MEASURE_ID_OVERRIDE",$C129,"DEEP_BROKER_ID_OVERRIDE",AE$24,"DEEP_PERIOD_OVERRIDE",$H$19)*1,"")))</f>
        <v/>
      </c>
      <c r="AF129" t="str">
        <f>IF(OR(AF$23="",ISNA($B129)),"",IF(ISBLANK($B129),"",IFERROR(_xll.BDP(TICKER,"DEEP_MEASURE_PERIOD_BROKER_VALUE","DEEP_MEASURE_ID_OVERRIDE",$C129,"DEEP_BROKER_ID_OVERRIDE",AF$24,"DEEP_PERIOD_OVERRIDE",$H$19)*1,"")))</f>
        <v/>
      </c>
      <c r="AG129" t="str">
        <f>IF(OR(AG$23="",ISNA($B129)),"",IF(ISBLANK($B129),"",IFERROR(_xll.BDP(TICKER,"DEEP_MEASURE_PERIOD_BROKER_VALUE","DEEP_MEASURE_ID_OVERRIDE",$C129,"DEEP_BROKER_ID_OVERRIDE",AG$24,"DEEP_PERIOD_OVERRIDE",$H$19)*1,"")))</f>
        <v/>
      </c>
      <c r="AH129" t="str">
        <f>IF(OR(AH$23="",ISNA($B129)),"",IF(ISBLANK($B129),"",IFERROR(_xll.BDP(TICKER,"DEEP_MEASURE_PERIOD_BROKER_VALUE","DEEP_MEASURE_ID_OVERRIDE",$C129,"DEEP_BROKER_ID_OVERRIDE",AH$24,"DEEP_PERIOD_OVERRIDE",$H$19)*1,"")))</f>
        <v/>
      </c>
      <c r="AI129" t="str">
        <f>IF(OR(AI$23="",ISNA($B129)),"",IF(ISBLANK($B129),"",IFERROR(_xll.BDP(TICKER,"DEEP_MEASURE_PERIOD_BROKER_VALUE","DEEP_MEASURE_ID_OVERRIDE",$C129,"DEEP_BROKER_ID_OVERRIDE",AI$24,"DEEP_PERIOD_OVERRIDE",$H$19)*1,"")))</f>
        <v/>
      </c>
      <c r="AJ129" t="str">
        <f>IF(OR(AJ$23="",ISNA($B129)),"",IF(ISBLANK($B129),"",IFERROR(_xll.BDP(TICKER,"DEEP_MEASURE_PERIOD_BROKER_VALUE","DEEP_MEASURE_ID_OVERRIDE",$C129,"DEEP_BROKER_ID_OVERRIDE",AJ$24,"DEEP_PERIOD_OVERRIDE",$H$19)*1,"")))</f>
        <v/>
      </c>
      <c r="AK129" t="str">
        <f>IF(OR(AK$23="",ISNA($B129)),"",IF(ISBLANK($B129),"",IFERROR(_xll.BDP(TICKER,"DEEP_MEASURE_PERIOD_BROKER_VALUE","DEEP_MEASURE_ID_OVERRIDE",$C129,"DEEP_BROKER_ID_OVERRIDE",AK$24,"DEEP_PERIOD_OVERRIDE",$H$19)*1,"")))</f>
        <v/>
      </c>
      <c r="AL129" t="str">
        <f>IF(OR(AL$23="",ISNA($B129)),"",IF(ISBLANK($B129),"",IFERROR(_xll.BDP(TICKER,"DEEP_MEASURE_PERIOD_BROKER_VALUE","DEEP_MEASURE_ID_OVERRIDE",$C129,"DEEP_BROKER_ID_OVERRIDE",AL$24,"DEEP_PERIOD_OVERRIDE",$H$19)*1,"")))</f>
        <v/>
      </c>
      <c r="AM129" t="str">
        <f>IF(OR(AM$23="",ISNA($B129)),"",IF(ISBLANK($B129),"",IFERROR(_xll.BDP(TICKER,"DEEP_MEASURE_PERIOD_BROKER_VALUE","DEEP_MEASURE_ID_OVERRIDE",$C129,"DEEP_BROKER_ID_OVERRIDE",AM$24,"DEEP_PERIOD_OVERRIDE",$H$19)*1,"")))</f>
        <v/>
      </c>
      <c r="AN129" t="str">
        <f>IF(OR(AN$23="",ISNA($B129)),"",IF(ISBLANK($B129),"",IFERROR(_xll.BDP(TICKER,"DEEP_MEASURE_PERIOD_BROKER_VALUE","DEEP_MEASURE_ID_OVERRIDE",$C129,"DEEP_BROKER_ID_OVERRIDE",AN$24,"DEEP_PERIOD_OVERRIDE",$H$19)*1,"")))</f>
        <v/>
      </c>
      <c r="AO129" t="str">
        <f>IF(OR(AO$23="",ISNA($B129)),"",IF(ISBLANK($B129),"",IFERROR(_xll.BDP(TICKER,"DEEP_MEASURE_PERIOD_BROKER_VALUE","DEEP_MEASURE_ID_OVERRIDE",$C129,"DEEP_BROKER_ID_OVERRIDE",AO$24,"DEEP_PERIOD_OVERRIDE",$H$19)*1,"")))</f>
        <v/>
      </c>
      <c r="AP129" t="str">
        <f>IF(OR(AP$23="",ISNA($B129)),"",IF(ISBLANK($B129),"",IFERROR(_xll.BDP(TICKER,"DEEP_MEASURE_PERIOD_BROKER_VALUE","DEEP_MEASURE_ID_OVERRIDE",$C129,"DEEP_BROKER_ID_OVERRIDE",AP$24,"DEEP_PERIOD_OVERRIDE",$H$19)*1,"")))</f>
        <v/>
      </c>
      <c r="AQ129" t="str">
        <f>IF(OR(AQ$23="",ISNA($B129)),"",IF(ISBLANK($B129),"",IFERROR(_xll.BDP(TICKER,"DEEP_MEASURE_PERIOD_BROKER_VALUE","DEEP_MEASURE_ID_OVERRIDE",$C129,"DEEP_BROKER_ID_OVERRIDE",AQ$24,"DEEP_PERIOD_OVERRIDE",$H$19)*1,"")))</f>
        <v/>
      </c>
      <c r="AR129" t="str">
        <f>IF(OR(AR$23="",ISNA($B129)),"",IF(ISBLANK($B129),"",IFERROR(_xll.BDP(TICKER,"DEEP_MEASURE_PERIOD_BROKER_VALUE","DEEP_MEASURE_ID_OVERRIDE",$C129,"DEEP_BROKER_ID_OVERRIDE",AR$24,"DEEP_PERIOD_OVERRIDE",$H$19)*1,"")))</f>
        <v/>
      </c>
      <c r="AS129" t="str">
        <f>IF(OR(AS$23="",ISNA($B129)),"",IF(ISBLANK($B129),"",IFERROR(_xll.BDP(TICKER,"DEEP_MEASURE_PERIOD_BROKER_VALUE","DEEP_MEASURE_ID_OVERRIDE",$C129,"DEEP_BROKER_ID_OVERRIDE",AS$24,"DEEP_PERIOD_OVERRIDE",$H$19)*1,"")))</f>
        <v/>
      </c>
      <c r="AT129" t="str">
        <f>IF(OR(AT$23="",ISNA($B129)),"",IF(ISBLANK($B129),"",IFERROR(_xll.BDP(TICKER,"DEEP_MEASURE_PERIOD_BROKER_VALUE","DEEP_MEASURE_ID_OVERRIDE",$C129,"DEEP_BROKER_ID_OVERRIDE",AT$24,"DEEP_PERIOD_OVERRIDE",$H$19)*1,"")))</f>
        <v/>
      </c>
      <c r="AU129" t="str">
        <f>IF(OR(AU$23="",ISNA($B129)),"",IF(ISBLANK($B129),"",IFERROR(_xll.BDP(TICKER,"DEEP_MEASURE_PERIOD_BROKER_VALUE","DEEP_MEASURE_ID_OVERRIDE",$C129,"DEEP_BROKER_ID_OVERRIDE",AU$24,"DEEP_PERIOD_OVERRIDE",$H$19)*1,"")))</f>
        <v/>
      </c>
      <c r="AV129" t="str">
        <f>IF(OR(AV$23="",ISNA($B129)),"",IF(ISBLANK($B129),"",IFERROR(_xll.BDP(TICKER,"DEEP_MEASURE_PERIOD_BROKER_VALUE","DEEP_MEASURE_ID_OVERRIDE",$C129,"DEEP_BROKER_ID_OVERRIDE",AV$24,"DEEP_PERIOD_OVERRIDE",$H$19)*1,"")))</f>
        <v/>
      </c>
      <c r="AW129" t="str">
        <f>IF(OR(AW$23="",ISNA($B129)),"",IF(ISBLANK($B129),"",IFERROR(_xll.BDP(TICKER,"DEEP_MEASURE_PERIOD_BROKER_VALUE","DEEP_MEASURE_ID_OVERRIDE",$C129,"DEEP_BROKER_ID_OVERRIDE",AW$24,"DEEP_PERIOD_OVERRIDE",$H$19)*1,"")))</f>
        <v/>
      </c>
      <c r="AX129" t="str">
        <f>IF(OR(AX$23="",ISNA($B129)),"",IF(ISBLANK($B129),"",IFERROR(_xll.BDP(TICKER,"DEEP_MEASURE_PERIOD_BROKER_VALUE","DEEP_MEASURE_ID_OVERRIDE",$C129,"DEEP_BROKER_ID_OVERRIDE",AX$24,"DEEP_PERIOD_OVERRIDE",$H$19)*1,"")))</f>
        <v/>
      </c>
      <c r="AY129" t="str">
        <f>IF(OR(AY$23="",ISNA($B129)),"",IF(ISBLANK($B129),"",IFERROR(_xll.BDP(TICKER,"DEEP_MEASURE_PERIOD_BROKER_VALUE","DEEP_MEASURE_ID_OVERRIDE",$C129,"DEEP_BROKER_ID_OVERRIDE",AY$24,"DEEP_PERIOD_OVERRIDE",$H$19)*1,"")))</f>
        <v/>
      </c>
      <c r="AZ129" t="str">
        <f>IF(OR(AZ$23="",ISNA($B129)),"",IF(ISBLANK($B129),"",IFERROR(_xll.BDP(TICKER,"DEEP_MEASURE_PERIOD_BROKER_VALUE","DEEP_MEASURE_ID_OVERRIDE",$C129,"DEEP_BROKER_ID_OVERRIDE",AZ$24,"DEEP_PERIOD_OVERRIDE",$H$19)*1,"")))</f>
        <v/>
      </c>
      <c r="BA129" t="str">
        <f>IF(OR(BA$23="",ISNA($B129)),"",IF(ISBLANK($B129),"",IFERROR(_xll.BDP(TICKER,"DEEP_MEASURE_PERIOD_BROKER_VALUE","DEEP_MEASURE_ID_OVERRIDE",$C129,"DEEP_BROKER_ID_OVERRIDE",BA$24,"DEEP_PERIOD_OVERRIDE",$H$19)*1,"")))</f>
        <v/>
      </c>
      <c r="BB129" t="str">
        <f>IF(OR(BB$23="",ISNA($B129)),"",IF(ISBLANK($B129),"",IFERROR(_xll.BDP(TICKER,"DEEP_MEASURE_PERIOD_BROKER_VALUE","DEEP_MEASURE_ID_OVERRIDE",$C129,"DEEP_BROKER_ID_OVERRIDE",BB$24,"DEEP_PERIOD_OVERRIDE",$H$19)*1,"")))</f>
        <v/>
      </c>
      <c r="BC129" t="str">
        <f>IF(OR(BC$23="",ISNA($B129)),"",IF(ISBLANK($B129),"",IFERROR(_xll.BDP(TICKER,"DEEP_MEASURE_PERIOD_BROKER_VALUE","DEEP_MEASURE_ID_OVERRIDE",$C129,"DEEP_BROKER_ID_OVERRIDE",BC$24,"DEEP_PERIOD_OVERRIDE",$H$19)*1,"")))</f>
        <v/>
      </c>
      <c r="BD129" t="str">
        <f>IF(OR(BD$23="",ISNA($B129)),"",IF(ISBLANK($B129),"",IFERROR(_xll.BDP(TICKER,"DEEP_MEASURE_PERIOD_BROKER_VALUE","DEEP_MEASURE_ID_OVERRIDE",$C129,"DEEP_BROKER_ID_OVERRIDE",BD$24,"DEEP_PERIOD_OVERRIDE",$H$19)*1,"")))</f>
        <v/>
      </c>
      <c r="BE129" t="str">
        <f>IF(OR(BE$23="",ISNA($B129)),"",IF(ISBLANK($B129),"",IFERROR(_xll.BDP(TICKER,"DEEP_MEASURE_PERIOD_BROKER_VALUE","DEEP_MEASURE_ID_OVERRIDE",$C129,"DEEP_BROKER_ID_OVERRIDE",BE$24,"DEEP_PERIOD_OVERRIDE",$H$19)*1,"")))</f>
        <v/>
      </c>
      <c r="BF129" t="str">
        <f>IF(OR(BF$23="",ISNA($B129)),"",IF(ISBLANK($B129),"",IFERROR(_xll.BDP(TICKER,"DEEP_MEASURE_PERIOD_BROKER_VALUE","DEEP_MEASURE_ID_OVERRIDE",$C129,"DEEP_BROKER_ID_OVERRIDE",BF$24,"DEEP_PERIOD_OVERRIDE",$H$19)*1,"")))</f>
        <v/>
      </c>
      <c r="BG129" t="str">
        <f>IF(OR(BG$23="",ISNA($B129)),"",IF(ISBLANK($B129),"",IFERROR(_xll.BDP(TICKER,"DEEP_MEASURE_PERIOD_BROKER_VALUE","DEEP_MEASURE_ID_OVERRIDE",$C129,"DEEP_BROKER_ID_OVERRIDE",BG$24,"DEEP_PERIOD_OVERRIDE",$H$19)*1,"")))</f>
        <v/>
      </c>
      <c r="BH129" t="str">
        <f>IF(OR(BH$23="",ISNA($B129)),"",IF(ISBLANK($B129),"",IFERROR(_xll.BDP(TICKER,"DEEP_MEASURE_PERIOD_BROKER_VALUE","DEEP_MEASURE_ID_OVERRIDE",$C129,"DEEP_BROKER_ID_OVERRIDE",BH$24,"DEEP_PERIOD_OVERRIDE",$H$19)*1,"")))</f>
        <v/>
      </c>
      <c r="BI129" t="str">
        <f>IF(OR(BI$23="",ISNA($B129)),"",IF(ISBLANK($B129),"",IFERROR(_xll.BDP(TICKER,"DEEP_MEASURE_PERIOD_BROKER_VALUE","DEEP_MEASURE_ID_OVERRIDE",$C129,"DEEP_BROKER_ID_OVERRIDE",BI$24,"DEEP_PERIOD_OVERRIDE",$H$19)*1,"")))</f>
        <v/>
      </c>
      <c r="BJ129" t="str">
        <f>IF(OR(BJ$23="",ISNA($B129)),"",IF(ISBLANK($B129),"",IFERROR(_xll.BDP(TICKER,"DEEP_MEASURE_PERIOD_BROKER_VALUE","DEEP_MEASURE_ID_OVERRIDE",$C129,"DEEP_BROKER_ID_OVERRIDE",BJ$24,"DEEP_PERIOD_OVERRIDE",$H$19)*1,"")))</f>
        <v/>
      </c>
      <c r="BK129" t="str">
        <f>IF(OR(BK$23="",ISNA($B129)),"",IF(ISBLANK($B129),"",IFERROR(_xll.BDP(TICKER,"DEEP_MEASURE_PERIOD_BROKER_VALUE","DEEP_MEASURE_ID_OVERRIDE",$C129,"DEEP_BROKER_ID_OVERRIDE",BK$24,"DEEP_PERIOD_OVERRIDE",$H$19)*1,"")))</f>
        <v/>
      </c>
      <c r="BL129" t="str">
        <f>IF(OR(BL$23="",ISNA($B129)),"",IF(ISBLANK($B129),"",IFERROR(_xll.BDP(TICKER,"DEEP_MEASURE_PERIOD_BROKER_VALUE","DEEP_MEASURE_ID_OVERRIDE",$C129,"DEEP_BROKER_ID_OVERRIDE",BL$24,"DEEP_PERIOD_OVERRIDE",$H$19)*1,"")))</f>
        <v/>
      </c>
      <c r="BM129" t="str">
        <f>IF(OR(BM$23="",ISNA($B129)),"",IF(ISBLANK($B129),"",IFERROR(_xll.BDP(TICKER,"DEEP_MEASURE_PERIOD_BROKER_VALUE","DEEP_MEASURE_ID_OVERRIDE",$C129,"DEEP_BROKER_ID_OVERRIDE",BM$24,"DEEP_PERIOD_OVERRIDE",$H$19)*1,"")))</f>
        <v/>
      </c>
      <c r="BN129" t="str">
        <f>IF(OR(BN$23="",ISNA($B129)),"",IF(ISBLANK($B129),"",IFERROR(_xll.BDP(TICKER,"DEEP_MEASURE_PERIOD_BROKER_VALUE","DEEP_MEASURE_ID_OVERRIDE",$C129,"DEEP_BROKER_ID_OVERRIDE",BN$24,"DEEP_PERIOD_OVERRIDE",$H$19)*1,"")))</f>
        <v/>
      </c>
      <c r="BO129" t="str">
        <f>IF(OR(BO$23="",ISNA($B129)),"",IF(ISBLANK($B129),"",IFERROR(_xll.BDP(TICKER,"DEEP_MEASURE_PERIOD_BROKER_VALUE","DEEP_MEASURE_ID_OVERRIDE",$C129,"DEEP_BROKER_ID_OVERRIDE",BO$24,"DEEP_PERIOD_OVERRIDE",$H$19)*1,"")))</f>
        <v/>
      </c>
      <c r="BP129" t="str">
        <f>IF(OR(BP$23="",ISNA($B129)),"",IF(ISBLANK($B129),"",IFERROR(_xll.BDP(TICKER,"DEEP_MEASURE_PERIOD_BROKER_VALUE","DEEP_MEASURE_ID_OVERRIDE",$C129,"DEEP_BROKER_ID_OVERRIDE",BP$24,"DEEP_PERIOD_OVERRIDE",$H$19)*1,"")))</f>
        <v/>
      </c>
      <c r="BQ129" t="str">
        <f>IF(OR(BQ$23="",ISNA($B129)),"",IF(ISBLANK($B129),"",IFERROR(_xll.BDP(TICKER,"DEEP_MEASURE_PERIOD_BROKER_VALUE","DEEP_MEASURE_ID_OVERRIDE",$C129,"DEEP_BROKER_ID_OVERRIDE",BQ$24,"DEEP_PERIOD_OVERRIDE",$H$19)*1,"")))</f>
        <v/>
      </c>
      <c r="BR129" t="str">
        <f>IF(OR(BR$23="",ISNA($B129)),"",IF(ISBLANK($B129),"",IFERROR(_xll.BDP(TICKER,"DEEP_MEASURE_PERIOD_BROKER_VALUE","DEEP_MEASURE_ID_OVERRIDE",$C129,"DEEP_BROKER_ID_OVERRIDE",BR$24,"DEEP_PERIOD_OVERRIDE",$H$19)*1,"")))</f>
        <v/>
      </c>
      <c r="BS129" t="str">
        <f>IF(OR(BS$23="",ISNA($B129)),"",IF(ISBLANK($B129),"",IFERROR(_xll.BDP(TICKER,"DEEP_MEASURE_PERIOD_BROKER_VALUE","DEEP_MEASURE_ID_OVERRIDE",$C129,"DEEP_BROKER_ID_OVERRIDE",BS$24,"DEEP_PERIOD_OVERRIDE",$H$19)*1,"")))</f>
        <v/>
      </c>
      <c r="BT129" t="str">
        <f>IF(OR(BT$23="",ISNA($B129)),"",IF(ISBLANK($B129),"",IFERROR(_xll.BDP(TICKER,"DEEP_MEASURE_PERIOD_BROKER_VALUE","DEEP_MEASURE_ID_OVERRIDE",$C129,"DEEP_BROKER_ID_OVERRIDE",BT$24,"DEEP_PERIOD_OVERRIDE",$H$19)*1,"")))</f>
        <v/>
      </c>
      <c r="BU129" t="str">
        <f>IF(OR(BU$23="",ISNA($B129)),"",IF(ISBLANK($B129),"",IFERROR(_xll.BDP(TICKER,"DEEP_MEASURE_PERIOD_BROKER_VALUE","DEEP_MEASURE_ID_OVERRIDE",$C129,"DEEP_BROKER_ID_OVERRIDE",BU$24,"DEEP_PERIOD_OVERRIDE",$H$19)*1,"")))</f>
        <v/>
      </c>
      <c r="BV129" t="str">
        <f>IF(OR(BV$23="",ISNA($B129)),"",IF(ISBLANK($B129),"",IFERROR(_xll.BDP(TICKER,"DEEP_MEASURE_PERIOD_BROKER_VALUE","DEEP_MEASURE_ID_OVERRIDE",$C129,"DEEP_BROKER_ID_OVERRIDE",BV$24,"DEEP_PERIOD_OVERRIDE",$H$19)*1,"")))</f>
        <v/>
      </c>
      <c r="BW129" t="str">
        <f>IF(OR(BW$23="",ISNA($B129)),"",IF(ISBLANK($B129),"",IFERROR(_xll.BDP(TICKER,"DEEP_MEASURE_PERIOD_BROKER_VALUE","DEEP_MEASURE_ID_OVERRIDE",$C129,"DEEP_BROKER_ID_OVERRIDE",BW$24,"DEEP_PERIOD_OVERRIDE",$H$19)*1,"")))</f>
        <v/>
      </c>
      <c r="BX129" t="str">
        <f>IF(OR(BX$23="",ISNA($B129)),"",IF(ISBLANK($B129),"",IFERROR(_xll.BDP(TICKER,"DEEP_MEASURE_PERIOD_BROKER_VALUE","DEEP_MEASURE_ID_OVERRIDE",$C129,"DEEP_BROKER_ID_OVERRIDE",BX$24,"DEEP_PERIOD_OVERRIDE",$H$19)*1,"")))</f>
        <v/>
      </c>
      <c r="BY129" t="str">
        <f>IF(OR(BY$23="",ISNA($B129)),"",IF(ISBLANK($B129),"",IFERROR(_xll.BDP(TICKER,"DEEP_MEASURE_PERIOD_BROKER_VALUE","DEEP_MEASURE_ID_OVERRIDE",$C129,"DEEP_BROKER_ID_OVERRIDE",BY$24,"DEEP_PERIOD_OVERRIDE",$H$19)*1,"")))</f>
        <v/>
      </c>
      <c r="BZ129" t="str">
        <f>IF(OR(BZ$23="",ISNA($B129)),"",IF(ISBLANK($B129),"",IFERROR(_xll.BDP(TICKER,"DEEP_MEASURE_PERIOD_BROKER_VALUE","DEEP_MEASURE_ID_OVERRIDE",$C129,"DEEP_BROKER_ID_OVERRIDE",BZ$24,"DEEP_PERIOD_OVERRIDE",$H$19)*1,"")))</f>
        <v/>
      </c>
    </row>
    <row r="130" spans="2:78" x14ac:dyDescent="0.25">
      <c r="B130" t="s">
        <v>168</v>
      </c>
      <c r="C130">
        <v>391</v>
      </c>
      <c r="H130" t="str">
        <f t="shared" si="2"/>
        <v>Operating Income &gt; Operating Margin(%)</v>
      </c>
      <c r="I130" t="str">
        <f>IF(OR(I$23="",ISNA($B130)),"",IF(ISBLANK($B130),"",IFERROR(_xll.BDP(TICKER,"DEEP_MEASURE_PERIOD_BROKER_VALUE","DEEP_MEASURE_ID_OVERRIDE",$C130,"DEEP_PERIOD_OVERRIDE",$H$19)*1,"")))</f>
        <v/>
      </c>
      <c r="J130" t="e">
        <f>IF(OR(J$23="",ISNA($B130)),"",IF(ISBLANK($B130),"",IFERROR(_xll.BDP(TICKER,"DEEP_MEASURE_PERIOD_BROKER_VALUE","DEEP_MEASURE_ID_OVERRIDE",$C130,"DEEP_BROKER_ID_OVERRIDE",J$24,"DEEP_PERIOD_OVERRIDE",$H$19)*1,"")))</f>
        <v>#REF!</v>
      </c>
      <c r="K130" t="str">
        <f>IF(OR(K$23="",ISNA($B130)),"",IF(ISBLANK($B130),"",IFERROR(_xll.BDP(TICKER,"DEEP_MEASURE_PERIOD_BROKER_VALUE","DEEP_MEASURE_ID_OVERRIDE",$C130,"DEEP_BROKER_ID_OVERRIDE",K$24,"DEEP_PERIOD_OVERRIDE",$H$19)*1,"")))</f>
        <v/>
      </c>
      <c r="L130" t="str">
        <f>IF(OR(L$23="",ISNA($B130)),"",IF(ISBLANK($B130),"",IFERROR(_xll.BDP(TICKER,"DEEP_MEASURE_PERIOD_BROKER_VALUE","DEEP_MEASURE_ID_OVERRIDE",$C130,"DEEP_BROKER_ID_OVERRIDE",L$24,"DEEP_PERIOD_OVERRIDE",$H$19)*1,"")))</f>
        <v/>
      </c>
      <c r="M130" t="str">
        <f>IF(OR(M$23="",ISNA($B130)),"",IF(ISBLANK($B130),"",IFERROR(_xll.BDP(TICKER,"DEEP_MEASURE_PERIOD_BROKER_VALUE","DEEP_MEASURE_ID_OVERRIDE",$C130,"DEEP_BROKER_ID_OVERRIDE",M$24,"DEEP_PERIOD_OVERRIDE",$H$19)*1,"")))</f>
        <v/>
      </c>
      <c r="N130" t="str">
        <f>IF(OR(N$23="",ISNA($B130)),"",IF(ISBLANK($B130),"",IFERROR(_xll.BDP(TICKER,"DEEP_MEASURE_PERIOD_BROKER_VALUE","DEEP_MEASURE_ID_OVERRIDE",$C130,"DEEP_BROKER_ID_OVERRIDE",N$24,"DEEP_PERIOD_OVERRIDE",$H$19)*1,"")))</f>
        <v/>
      </c>
      <c r="O130" t="str">
        <f>IF(OR(O$23="",ISNA($B130)),"",IF(ISBLANK($B130),"",IFERROR(_xll.BDP(TICKER,"DEEP_MEASURE_PERIOD_BROKER_VALUE","DEEP_MEASURE_ID_OVERRIDE",$C130,"DEEP_BROKER_ID_OVERRIDE",O$24,"DEEP_PERIOD_OVERRIDE",$H$19)*1,"")))</f>
        <v/>
      </c>
      <c r="P130" t="str">
        <f>IF(OR(P$23="",ISNA($B130)),"",IF(ISBLANK($B130),"",IFERROR(_xll.BDP(TICKER,"DEEP_MEASURE_PERIOD_BROKER_VALUE","DEEP_MEASURE_ID_OVERRIDE",$C130,"DEEP_BROKER_ID_OVERRIDE",P$24,"DEEP_PERIOD_OVERRIDE",$H$19)*1,"")))</f>
        <v/>
      </c>
      <c r="Q130" t="str">
        <f>IF(OR(Q$23="",ISNA($B130)),"",IF(ISBLANK($B130),"",IFERROR(_xll.BDP(TICKER,"DEEP_MEASURE_PERIOD_BROKER_VALUE","DEEP_MEASURE_ID_OVERRIDE",$C130,"DEEP_BROKER_ID_OVERRIDE",Q$24,"DEEP_PERIOD_OVERRIDE",$H$19)*1,"")))</f>
        <v/>
      </c>
      <c r="R130" t="str">
        <f>IF(OR(R$23="",ISNA($B130)),"",IF(ISBLANK($B130),"",IFERROR(_xll.BDP(TICKER,"DEEP_MEASURE_PERIOD_BROKER_VALUE","DEEP_MEASURE_ID_OVERRIDE",$C130,"DEEP_BROKER_ID_OVERRIDE",R$24,"DEEP_PERIOD_OVERRIDE",$H$19)*1,"")))</f>
        <v/>
      </c>
      <c r="S130" t="str">
        <f>IF(OR(S$23="",ISNA($B130)),"",IF(ISBLANK($B130),"",IFERROR(_xll.BDP(TICKER,"DEEP_MEASURE_PERIOD_BROKER_VALUE","DEEP_MEASURE_ID_OVERRIDE",$C130,"DEEP_BROKER_ID_OVERRIDE",S$24,"DEEP_PERIOD_OVERRIDE",$H$19)*1,"")))</f>
        <v/>
      </c>
      <c r="T130" t="str">
        <f>IF(OR(T$23="",ISNA($B130)),"",IF(ISBLANK($B130),"",IFERROR(_xll.BDP(TICKER,"DEEP_MEASURE_PERIOD_BROKER_VALUE","DEEP_MEASURE_ID_OVERRIDE",$C130,"DEEP_BROKER_ID_OVERRIDE",T$24,"DEEP_PERIOD_OVERRIDE",$H$19)*1,"")))</f>
        <v/>
      </c>
      <c r="U130" t="str">
        <f>IF(OR(U$23="",ISNA($B130)),"",IF(ISBLANK($B130),"",IFERROR(_xll.BDP(TICKER,"DEEP_MEASURE_PERIOD_BROKER_VALUE","DEEP_MEASURE_ID_OVERRIDE",$C130,"DEEP_BROKER_ID_OVERRIDE",U$24,"DEEP_PERIOD_OVERRIDE",$H$19)*1,"")))</f>
        <v/>
      </c>
      <c r="V130" t="str">
        <f>IF(OR(V$23="",ISNA($B130)),"",IF(ISBLANK($B130),"",IFERROR(_xll.BDP(TICKER,"DEEP_MEASURE_PERIOD_BROKER_VALUE","DEEP_MEASURE_ID_OVERRIDE",$C130,"DEEP_BROKER_ID_OVERRIDE",V$24,"DEEP_PERIOD_OVERRIDE",$H$19)*1,"")))</f>
        <v/>
      </c>
      <c r="W130" t="str">
        <f>IF(OR(W$23="",ISNA($B130)),"",IF(ISBLANK($B130),"",IFERROR(_xll.BDP(TICKER,"DEEP_MEASURE_PERIOD_BROKER_VALUE","DEEP_MEASURE_ID_OVERRIDE",$C130,"DEEP_BROKER_ID_OVERRIDE",W$24,"DEEP_PERIOD_OVERRIDE",$H$19)*1,"")))</f>
        <v/>
      </c>
      <c r="X130" t="str">
        <f>IF(OR(X$23="",ISNA($B130)),"",IF(ISBLANK($B130),"",IFERROR(_xll.BDP(TICKER,"DEEP_MEASURE_PERIOD_BROKER_VALUE","DEEP_MEASURE_ID_OVERRIDE",$C130,"DEEP_BROKER_ID_OVERRIDE",X$24,"DEEP_PERIOD_OVERRIDE",$H$19)*1,"")))</f>
        <v/>
      </c>
      <c r="Y130" t="str">
        <f>IF(OR(Y$23="",ISNA($B130)),"",IF(ISBLANK($B130),"",IFERROR(_xll.BDP(TICKER,"DEEP_MEASURE_PERIOD_BROKER_VALUE","DEEP_MEASURE_ID_OVERRIDE",$C130,"DEEP_BROKER_ID_OVERRIDE",Y$24,"DEEP_PERIOD_OVERRIDE",$H$19)*1,"")))</f>
        <v/>
      </c>
      <c r="Z130" t="str">
        <f>IF(OR(Z$23="",ISNA($B130)),"",IF(ISBLANK($B130),"",IFERROR(_xll.BDP(TICKER,"DEEP_MEASURE_PERIOD_BROKER_VALUE","DEEP_MEASURE_ID_OVERRIDE",$C130,"DEEP_BROKER_ID_OVERRIDE",Z$24,"DEEP_PERIOD_OVERRIDE",$H$19)*1,"")))</f>
        <v/>
      </c>
      <c r="AA130" t="str">
        <f>IF(OR(AA$23="",ISNA($B130)),"",IF(ISBLANK($B130),"",IFERROR(_xll.BDP(TICKER,"DEEP_MEASURE_PERIOD_BROKER_VALUE","DEEP_MEASURE_ID_OVERRIDE",$C130,"DEEP_BROKER_ID_OVERRIDE",AA$24,"DEEP_PERIOD_OVERRIDE",$H$19)*1,"")))</f>
        <v/>
      </c>
      <c r="AB130" t="str">
        <f>IF(OR(AB$23="",ISNA($B130)),"",IF(ISBLANK($B130),"",IFERROR(_xll.BDP(TICKER,"DEEP_MEASURE_PERIOD_BROKER_VALUE","DEEP_MEASURE_ID_OVERRIDE",$C130,"DEEP_BROKER_ID_OVERRIDE",AB$24,"DEEP_PERIOD_OVERRIDE",$H$19)*1,"")))</f>
        <v/>
      </c>
      <c r="AC130" t="str">
        <f>IF(OR(AC$23="",ISNA($B130)),"",IF(ISBLANK($B130),"",IFERROR(_xll.BDP(TICKER,"DEEP_MEASURE_PERIOD_BROKER_VALUE","DEEP_MEASURE_ID_OVERRIDE",$C130,"DEEP_BROKER_ID_OVERRIDE",AC$24,"DEEP_PERIOD_OVERRIDE",$H$19)*1,"")))</f>
        <v/>
      </c>
      <c r="AD130" t="str">
        <f>IF(OR(AD$23="",ISNA($B130)),"",IF(ISBLANK($B130),"",IFERROR(_xll.BDP(TICKER,"DEEP_MEASURE_PERIOD_BROKER_VALUE","DEEP_MEASURE_ID_OVERRIDE",$C130,"DEEP_BROKER_ID_OVERRIDE",AD$24,"DEEP_PERIOD_OVERRIDE",$H$19)*1,"")))</f>
        <v/>
      </c>
      <c r="AE130" t="str">
        <f>IF(OR(AE$23="",ISNA($B130)),"",IF(ISBLANK($B130),"",IFERROR(_xll.BDP(TICKER,"DEEP_MEASURE_PERIOD_BROKER_VALUE","DEEP_MEASURE_ID_OVERRIDE",$C130,"DEEP_BROKER_ID_OVERRIDE",AE$24,"DEEP_PERIOD_OVERRIDE",$H$19)*1,"")))</f>
        <v/>
      </c>
      <c r="AF130" t="str">
        <f>IF(OR(AF$23="",ISNA($B130)),"",IF(ISBLANK($B130),"",IFERROR(_xll.BDP(TICKER,"DEEP_MEASURE_PERIOD_BROKER_VALUE","DEEP_MEASURE_ID_OVERRIDE",$C130,"DEEP_BROKER_ID_OVERRIDE",AF$24,"DEEP_PERIOD_OVERRIDE",$H$19)*1,"")))</f>
        <v/>
      </c>
      <c r="AG130" t="str">
        <f>IF(OR(AG$23="",ISNA($B130)),"",IF(ISBLANK($B130),"",IFERROR(_xll.BDP(TICKER,"DEEP_MEASURE_PERIOD_BROKER_VALUE","DEEP_MEASURE_ID_OVERRIDE",$C130,"DEEP_BROKER_ID_OVERRIDE",AG$24,"DEEP_PERIOD_OVERRIDE",$H$19)*1,"")))</f>
        <v/>
      </c>
      <c r="AH130" t="str">
        <f>IF(OR(AH$23="",ISNA($B130)),"",IF(ISBLANK($B130),"",IFERROR(_xll.BDP(TICKER,"DEEP_MEASURE_PERIOD_BROKER_VALUE","DEEP_MEASURE_ID_OVERRIDE",$C130,"DEEP_BROKER_ID_OVERRIDE",AH$24,"DEEP_PERIOD_OVERRIDE",$H$19)*1,"")))</f>
        <v/>
      </c>
      <c r="AI130" t="str">
        <f>IF(OR(AI$23="",ISNA($B130)),"",IF(ISBLANK($B130),"",IFERROR(_xll.BDP(TICKER,"DEEP_MEASURE_PERIOD_BROKER_VALUE","DEEP_MEASURE_ID_OVERRIDE",$C130,"DEEP_BROKER_ID_OVERRIDE",AI$24,"DEEP_PERIOD_OVERRIDE",$H$19)*1,"")))</f>
        <v/>
      </c>
      <c r="AJ130" t="str">
        <f>IF(OR(AJ$23="",ISNA($B130)),"",IF(ISBLANK($B130),"",IFERROR(_xll.BDP(TICKER,"DEEP_MEASURE_PERIOD_BROKER_VALUE","DEEP_MEASURE_ID_OVERRIDE",$C130,"DEEP_BROKER_ID_OVERRIDE",AJ$24,"DEEP_PERIOD_OVERRIDE",$H$19)*1,"")))</f>
        <v/>
      </c>
      <c r="AK130" t="str">
        <f>IF(OR(AK$23="",ISNA($B130)),"",IF(ISBLANK($B130),"",IFERROR(_xll.BDP(TICKER,"DEEP_MEASURE_PERIOD_BROKER_VALUE","DEEP_MEASURE_ID_OVERRIDE",$C130,"DEEP_BROKER_ID_OVERRIDE",AK$24,"DEEP_PERIOD_OVERRIDE",$H$19)*1,"")))</f>
        <v/>
      </c>
      <c r="AL130" t="str">
        <f>IF(OR(AL$23="",ISNA($B130)),"",IF(ISBLANK($B130),"",IFERROR(_xll.BDP(TICKER,"DEEP_MEASURE_PERIOD_BROKER_VALUE","DEEP_MEASURE_ID_OVERRIDE",$C130,"DEEP_BROKER_ID_OVERRIDE",AL$24,"DEEP_PERIOD_OVERRIDE",$H$19)*1,"")))</f>
        <v/>
      </c>
      <c r="AM130" t="str">
        <f>IF(OR(AM$23="",ISNA($B130)),"",IF(ISBLANK($B130),"",IFERROR(_xll.BDP(TICKER,"DEEP_MEASURE_PERIOD_BROKER_VALUE","DEEP_MEASURE_ID_OVERRIDE",$C130,"DEEP_BROKER_ID_OVERRIDE",AM$24,"DEEP_PERIOD_OVERRIDE",$H$19)*1,"")))</f>
        <v/>
      </c>
      <c r="AN130" t="str">
        <f>IF(OR(AN$23="",ISNA($B130)),"",IF(ISBLANK($B130),"",IFERROR(_xll.BDP(TICKER,"DEEP_MEASURE_PERIOD_BROKER_VALUE","DEEP_MEASURE_ID_OVERRIDE",$C130,"DEEP_BROKER_ID_OVERRIDE",AN$24,"DEEP_PERIOD_OVERRIDE",$H$19)*1,"")))</f>
        <v/>
      </c>
      <c r="AO130" t="str">
        <f>IF(OR(AO$23="",ISNA($B130)),"",IF(ISBLANK($B130),"",IFERROR(_xll.BDP(TICKER,"DEEP_MEASURE_PERIOD_BROKER_VALUE","DEEP_MEASURE_ID_OVERRIDE",$C130,"DEEP_BROKER_ID_OVERRIDE",AO$24,"DEEP_PERIOD_OVERRIDE",$H$19)*1,"")))</f>
        <v/>
      </c>
      <c r="AP130" t="str">
        <f>IF(OR(AP$23="",ISNA($B130)),"",IF(ISBLANK($B130),"",IFERROR(_xll.BDP(TICKER,"DEEP_MEASURE_PERIOD_BROKER_VALUE","DEEP_MEASURE_ID_OVERRIDE",$C130,"DEEP_BROKER_ID_OVERRIDE",AP$24,"DEEP_PERIOD_OVERRIDE",$H$19)*1,"")))</f>
        <v/>
      </c>
      <c r="AQ130" t="str">
        <f>IF(OR(AQ$23="",ISNA($B130)),"",IF(ISBLANK($B130),"",IFERROR(_xll.BDP(TICKER,"DEEP_MEASURE_PERIOD_BROKER_VALUE","DEEP_MEASURE_ID_OVERRIDE",$C130,"DEEP_BROKER_ID_OVERRIDE",AQ$24,"DEEP_PERIOD_OVERRIDE",$H$19)*1,"")))</f>
        <v/>
      </c>
      <c r="AR130" t="str">
        <f>IF(OR(AR$23="",ISNA($B130)),"",IF(ISBLANK($B130),"",IFERROR(_xll.BDP(TICKER,"DEEP_MEASURE_PERIOD_BROKER_VALUE","DEEP_MEASURE_ID_OVERRIDE",$C130,"DEEP_BROKER_ID_OVERRIDE",AR$24,"DEEP_PERIOD_OVERRIDE",$H$19)*1,"")))</f>
        <v/>
      </c>
      <c r="AS130" t="str">
        <f>IF(OR(AS$23="",ISNA($B130)),"",IF(ISBLANK($B130),"",IFERROR(_xll.BDP(TICKER,"DEEP_MEASURE_PERIOD_BROKER_VALUE","DEEP_MEASURE_ID_OVERRIDE",$C130,"DEEP_BROKER_ID_OVERRIDE",AS$24,"DEEP_PERIOD_OVERRIDE",$H$19)*1,"")))</f>
        <v/>
      </c>
      <c r="AT130" t="str">
        <f>IF(OR(AT$23="",ISNA($B130)),"",IF(ISBLANK($B130),"",IFERROR(_xll.BDP(TICKER,"DEEP_MEASURE_PERIOD_BROKER_VALUE","DEEP_MEASURE_ID_OVERRIDE",$C130,"DEEP_BROKER_ID_OVERRIDE",AT$24,"DEEP_PERIOD_OVERRIDE",$H$19)*1,"")))</f>
        <v/>
      </c>
      <c r="AU130" t="str">
        <f>IF(OR(AU$23="",ISNA($B130)),"",IF(ISBLANK($B130),"",IFERROR(_xll.BDP(TICKER,"DEEP_MEASURE_PERIOD_BROKER_VALUE","DEEP_MEASURE_ID_OVERRIDE",$C130,"DEEP_BROKER_ID_OVERRIDE",AU$24,"DEEP_PERIOD_OVERRIDE",$H$19)*1,"")))</f>
        <v/>
      </c>
      <c r="AV130" t="str">
        <f>IF(OR(AV$23="",ISNA($B130)),"",IF(ISBLANK($B130),"",IFERROR(_xll.BDP(TICKER,"DEEP_MEASURE_PERIOD_BROKER_VALUE","DEEP_MEASURE_ID_OVERRIDE",$C130,"DEEP_BROKER_ID_OVERRIDE",AV$24,"DEEP_PERIOD_OVERRIDE",$H$19)*1,"")))</f>
        <v/>
      </c>
      <c r="AW130" t="str">
        <f>IF(OR(AW$23="",ISNA($B130)),"",IF(ISBLANK($B130),"",IFERROR(_xll.BDP(TICKER,"DEEP_MEASURE_PERIOD_BROKER_VALUE","DEEP_MEASURE_ID_OVERRIDE",$C130,"DEEP_BROKER_ID_OVERRIDE",AW$24,"DEEP_PERIOD_OVERRIDE",$H$19)*1,"")))</f>
        <v/>
      </c>
      <c r="AX130" t="str">
        <f>IF(OR(AX$23="",ISNA($B130)),"",IF(ISBLANK($B130),"",IFERROR(_xll.BDP(TICKER,"DEEP_MEASURE_PERIOD_BROKER_VALUE","DEEP_MEASURE_ID_OVERRIDE",$C130,"DEEP_BROKER_ID_OVERRIDE",AX$24,"DEEP_PERIOD_OVERRIDE",$H$19)*1,"")))</f>
        <v/>
      </c>
      <c r="AY130" t="str">
        <f>IF(OR(AY$23="",ISNA($B130)),"",IF(ISBLANK($B130),"",IFERROR(_xll.BDP(TICKER,"DEEP_MEASURE_PERIOD_BROKER_VALUE","DEEP_MEASURE_ID_OVERRIDE",$C130,"DEEP_BROKER_ID_OVERRIDE",AY$24,"DEEP_PERIOD_OVERRIDE",$H$19)*1,"")))</f>
        <v/>
      </c>
      <c r="AZ130" t="str">
        <f>IF(OR(AZ$23="",ISNA($B130)),"",IF(ISBLANK($B130),"",IFERROR(_xll.BDP(TICKER,"DEEP_MEASURE_PERIOD_BROKER_VALUE","DEEP_MEASURE_ID_OVERRIDE",$C130,"DEEP_BROKER_ID_OVERRIDE",AZ$24,"DEEP_PERIOD_OVERRIDE",$H$19)*1,"")))</f>
        <v/>
      </c>
      <c r="BA130" t="str">
        <f>IF(OR(BA$23="",ISNA($B130)),"",IF(ISBLANK($B130),"",IFERROR(_xll.BDP(TICKER,"DEEP_MEASURE_PERIOD_BROKER_VALUE","DEEP_MEASURE_ID_OVERRIDE",$C130,"DEEP_BROKER_ID_OVERRIDE",BA$24,"DEEP_PERIOD_OVERRIDE",$H$19)*1,"")))</f>
        <v/>
      </c>
      <c r="BB130" t="str">
        <f>IF(OR(BB$23="",ISNA($B130)),"",IF(ISBLANK($B130),"",IFERROR(_xll.BDP(TICKER,"DEEP_MEASURE_PERIOD_BROKER_VALUE","DEEP_MEASURE_ID_OVERRIDE",$C130,"DEEP_BROKER_ID_OVERRIDE",BB$24,"DEEP_PERIOD_OVERRIDE",$H$19)*1,"")))</f>
        <v/>
      </c>
      <c r="BC130" t="str">
        <f>IF(OR(BC$23="",ISNA($B130)),"",IF(ISBLANK($B130),"",IFERROR(_xll.BDP(TICKER,"DEEP_MEASURE_PERIOD_BROKER_VALUE","DEEP_MEASURE_ID_OVERRIDE",$C130,"DEEP_BROKER_ID_OVERRIDE",BC$24,"DEEP_PERIOD_OVERRIDE",$H$19)*1,"")))</f>
        <v/>
      </c>
      <c r="BD130" t="str">
        <f>IF(OR(BD$23="",ISNA($B130)),"",IF(ISBLANK($B130),"",IFERROR(_xll.BDP(TICKER,"DEEP_MEASURE_PERIOD_BROKER_VALUE","DEEP_MEASURE_ID_OVERRIDE",$C130,"DEEP_BROKER_ID_OVERRIDE",BD$24,"DEEP_PERIOD_OVERRIDE",$H$19)*1,"")))</f>
        <v/>
      </c>
      <c r="BE130" t="str">
        <f>IF(OR(BE$23="",ISNA($B130)),"",IF(ISBLANK($B130),"",IFERROR(_xll.BDP(TICKER,"DEEP_MEASURE_PERIOD_BROKER_VALUE","DEEP_MEASURE_ID_OVERRIDE",$C130,"DEEP_BROKER_ID_OVERRIDE",BE$24,"DEEP_PERIOD_OVERRIDE",$H$19)*1,"")))</f>
        <v/>
      </c>
      <c r="BF130" t="str">
        <f>IF(OR(BF$23="",ISNA($B130)),"",IF(ISBLANK($B130),"",IFERROR(_xll.BDP(TICKER,"DEEP_MEASURE_PERIOD_BROKER_VALUE","DEEP_MEASURE_ID_OVERRIDE",$C130,"DEEP_BROKER_ID_OVERRIDE",BF$24,"DEEP_PERIOD_OVERRIDE",$H$19)*1,"")))</f>
        <v/>
      </c>
      <c r="BG130" t="str">
        <f>IF(OR(BG$23="",ISNA($B130)),"",IF(ISBLANK($B130),"",IFERROR(_xll.BDP(TICKER,"DEEP_MEASURE_PERIOD_BROKER_VALUE","DEEP_MEASURE_ID_OVERRIDE",$C130,"DEEP_BROKER_ID_OVERRIDE",BG$24,"DEEP_PERIOD_OVERRIDE",$H$19)*1,"")))</f>
        <v/>
      </c>
      <c r="BH130" t="str">
        <f>IF(OR(BH$23="",ISNA($B130)),"",IF(ISBLANK($B130),"",IFERROR(_xll.BDP(TICKER,"DEEP_MEASURE_PERIOD_BROKER_VALUE","DEEP_MEASURE_ID_OVERRIDE",$C130,"DEEP_BROKER_ID_OVERRIDE",BH$24,"DEEP_PERIOD_OVERRIDE",$H$19)*1,"")))</f>
        <v/>
      </c>
      <c r="BI130" t="str">
        <f>IF(OR(BI$23="",ISNA($B130)),"",IF(ISBLANK($B130),"",IFERROR(_xll.BDP(TICKER,"DEEP_MEASURE_PERIOD_BROKER_VALUE","DEEP_MEASURE_ID_OVERRIDE",$C130,"DEEP_BROKER_ID_OVERRIDE",BI$24,"DEEP_PERIOD_OVERRIDE",$H$19)*1,"")))</f>
        <v/>
      </c>
      <c r="BJ130" t="str">
        <f>IF(OR(BJ$23="",ISNA($B130)),"",IF(ISBLANK($B130),"",IFERROR(_xll.BDP(TICKER,"DEEP_MEASURE_PERIOD_BROKER_VALUE","DEEP_MEASURE_ID_OVERRIDE",$C130,"DEEP_BROKER_ID_OVERRIDE",BJ$24,"DEEP_PERIOD_OVERRIDE",$H$19)*1,"")))</f>
        <v/>
      </c>
      <c r="BK130" t="str">
        <f>IF(OR(BK$23="",ISNA($B130)),"",IF(ISBLANK($B130),"",IFERROR(_xll.BDP(TICKER,"DEEP_MEASURE_PERIOD_BROKER_VALUE","DEEP_MEASURE_ID_OVERRIDE",$C130,"DEEP_BROKER_ID_OVERRIDE",BK$24,"DEEP_PERIOD_OVERRIDE",$H$19)*1,"")))</f>
        <v/>
      </c>
      <c r="BL130" t="str">
        <f>IF(OR(BL$23="",ISNA($B130)),"",IF(ISBLANK($B130),"",IFERROR(_xll.BDP(TICKER,"DEEP_MEASURE_PERIOD_BROKER_VALUE","DEEP_MEASURE_ID_OVERRIDE",$C130,"DEEP_BROKER_ID_OVERRIDE",BL$24,"DEEP_PERIOD_OVERRIDE",$H$19)*1,"")))</f>
        <v/>
      </c>
      <c r="BM130" t="str">
        <f>IF(OR(BM$23="",ISNA($B130)),"",IF(ISBLANK($B130),"",IFERROR(_xll.BDP(TICKER,"DEEP_MEASURE_PERIOD_BROKER_VALUE","DEEP_MEASURE_ID_OVERRIDE",$C130,"DEEP_BROKER_ID_OVERRIDE",BM$24,"DEEP_PERIOD_OVERRIDE",$H$19)*1,"")))</f>
        <v/>
      </c>
      <c r="BN130" t="str">
        <f>IF(OR(BN$23="",ISNA($B130)),"",IF(ISBLANK($B130),"",IFERROR(_xll.BDP(TICKER,"DEEP_MEASURE_PERIOD_BROKER_VALUE","DEEP_MEASURE_ID_OVERRIDE",$C130,"DEEP_BROKER_ID_OVERRIDE",BN$24,"DEEP_PERIOD_OVERRIDE",$H$19)*1,"")))</f>
        <v/>
      </c>
      <c r="BO130" t="str">
        <f>IF(OR(BO$23="",ISNA($B130)),"",IF(ISBLANK($B130),"",IFERROR(_xll.BDP(TICKER,"DEEP_MEASURE_PERIOD_BROKER_VALUE","DEEP_MEASURE_ID_OVERRIDE",$C130,"DEEP_BROKER_ID_OVERRIDE",BO$24,"DEEP_PERIOD_OVERRIDE",$H$19)*1,"")))</f>
        <v/>
      </c>
      <c r="BP130" t="str">
        <f>IF(OR(BP$23="",ISNA($B130)),"",IF(ISBLANK($B130),"",IFERROR(_xll.BDP(TICKER,"DEEP_MEASURE_PERIOD_BROKER_VALUE","DEEP_MEASURE_ID_OVERRIDE",$C130,"DEEP_BROKER_ID_OVERRIDE",BP$24,"DEEP_PERIOD_OVERRIDE",$H$19)*1,"")))</f>
        <v/>
      </c>
      <c r="BQ130" t="str">
        <f>IF(OR(BQ$23="",ISNA($B130)),"",IF(ISBLANK($B130),"",IFERROR(_xll.BDP(TICKER,"DEEP_MEASURE_PERIOD_BROKER_VALUE","DEEP_MEASURE_ID_OVERRIDE",$C130,"DEEP_BROKER_ID_OVERRIDE",BQ$24,"DEEP_PERIOD_OVERRIDE",$H$19)*1,"")))</f>
        <v/>
      </c>
      <c r="BR130" t="str">
        <f>IF(OR(BR$23="",ISNA($B130)),"",IF(ISBLANK($B130),"",IFERROR(_xll.BDP(TICKER,"DEEP_MEASURE_PERIOD_BROKER_VALUE","DEEP_MEASURE_ID_OVERRIDE",$C130,"DEEP_BROKER_ID_OVERRIDE",BR$24,"DEEP_PERIOD_OVERRIDE",$H$19)*1,"")))</f>
        <v/>
      </c>
      <c r="BS130" t="str">
        <f>IF(OR(BS$23="",ISNA($B130)),"",IF(ISBLANK($B130),"",IFERROR(_xll.BDP(TICKER,"DEEP_MEASURE_PERIOD_BROKER_VALUE","DEEP_MEASURE_ID_OVERRIDE",$C130,"DEEP_BROKER_ID_OVERRIDE",BS$24,"DEEP_PERIOD_OVERRIDE",$H$19)*1,"")))</f>
        <v/>
      </c>
      <c r="BT130" t="str">
        <f>IF(OR(BT$23="",ISNA($B130)),"",IF(ISBLANK($B130),"",IFERROR(_xll.BDP(TICKER,"DEEP_MEASURE_PERIOD_BROKER_VALUE","DEEP_MEASURE_ID_OVERRIDE",$C130,"DEEP_BROKER_ID_OVERRIDE",BT$24,"DEEP_PERIOD_OVERRIDE",$H$19)*1,"")))</f>
        <v/>
      </c>
      <c r="BU130" t="str">
        <f>IF(OR(BU$23="",ISNA($B130)),"",IF(ISBLANK($B130),"",IFERROR(_xll.BDP(TICKER,"DEEP_MEASURE_PERIOD_BROKER_VALUE","DEEP_MEASURE_ID_OVERRIDE",$C130,"DEEP_BROKER_ID_OVERRIDE",BU$24,"DEEP_PERIOD_OVERRIDE",$H$19)*1,"")))</f>
        <v/>
      </c>
      <c r="BV130" t="str">
        <f>IF(OR(BV$23="",ISNA($B130)),"",IF(ISBLANK($B130),"",IFERROR(_xll.BDP(TICKER,"DEEP_MEASURE_PERIOD_BROKER_VALUE","DEEP_MEASURE_ID_OVERRIDE",$C130,"DEEP_BROKER_ID_OVERRIDE",BV$24,"DEEP_PERIOD_OVERRIDE",$H$19)*1,"")))</f>
        <v/>
      </c>
      <c r="BW130" t="str">
        <f>IF(OR(BW$23="",ISNA($B130)),"",IF(ISBLANK($B130),"",IFERROR(_xll.BDP(TICKER,"DEEP_MEASURE_PERIOD_BROKER_VALUE","DEEP_MEASURE_ID_OVERRIDE",$C130,"DEEP_BROKER_ID_OVERRIDE",BW$24,"DEEP_PERIOD_OVERRIDE",$H$19)*1,"")))</f>
        <v/>
      </c>
      <c r="BX130" t="str">
        <f>IF(OR(BX$23="",ISNA($B130)),"",IF(ISBLANK($B130),"",IFERROR(_xll.BDP(TICKER,"DEEP_MEASURE_PERIOD_BROKER_VALUE","DEEP_MEASURE_ID_OVERRIDE",$C130,"DEEP_BROKER_ID_OVERRIDE",BX$24,"DEEP_PERIOD_OVERRIDE",$H$19)*1,"")))</f>
        <v/>
      </c>
      <c r="BY130" t="str">
        <f>IF(OR(BY$23="",ISNA($B130)),"",IF(ISBLANK($B130),"",IFERROR(_xll.BDP(TICKER,"DEEP_MEASURE_PERIOD_BROKER_VALUE","DEEP_MEASURE_ID_OVERRIDE",$C130,"DEEP_BROKER_ID_OVERRIDE",BY$24,"DEEP_PERIOD_OVERRIDE",$H$19)*1,"")))</f>
        <v/>
      </c>
      <c r="BZ130" t="str">
        <f>IF(OR(BZ$23="",ISNA($B130)),"",IF(ISBLANK($B130),"",IFERROR(_xll.BDP(TICKER,"DEEP_MEASURE_PERIOD_BROKER_VALUE","DEEP_MEASURE_ID_OVERRIDE",$C130,"DEEP_BROKER_ID_OVERRIDE",BZ$24,"DEEP_PERIOD_OVERRIDE",$H$19)*1,"")))</f>
        <v/>
      </c>
    </row>
    <row r="131" spans="2:78" x14ac:dyDescent="0.25">
      <c r="B131" t="s">
        <v>169</v>
      </c>
      <c r="C131">
        <v>346</v>
      </c>
      <c r="H131" t="str">
        <f t="shared" si="2"/>
        <v>Operating Income &gt; YoY Growth (%)</v>
      </c>
      <c r="I131" t="str">
        <f>IF(OR(I$23="",ISNA($B131)),"",IF(ISBLANK($B131),"",IFERROR(_xll.BDP(TICKER,"DEEP_MEASURE_PERIOD_BROKER_VALUE","DEEP_MEASURE_ID_OVERRIDE",$C131,"DEEP_PERIOD_OVERRIDE",$H$19)*1,"")))</f>
        <v/>
      </c>
      <c r="J131" t="e">
        <f>IF(OR(J$23="",ISNA($B131)),"",IF(ISBLANK($B131),"",IFERROR(_xll.BDP(TICKER,"DEEP_MEASURE_PERIOD_BROKER_VALUE","DEEP_MEASURE_ID_OVERRIDE",$C131,"DEEP_BROKER_ID_OVERRIDE",J$24,"DEEP_PERIOD_OVERRIDE",$H$19)*1,"")))</f>
        <v>#REF!</v>
      </c>
      <c r="K131" t="str">
        <f>IF(OR(K$23="",ISNA($B131)),"",IF(ISBLANK($B131),"",IFERROR(_xll.BDP(TICKER,"DEEP_MEASURE_PERIOD_BROKER_VALUE","DEEP_MEASURE_ID_OVERRIDE",$C131,"DEEP_BROKER_ID_OVERRIDE",K$24,"DEEP_PERIOD_OVERRIDE",$H$19)*1,"")))</f>
        <v/>
      </c>
      <c r="L131" t="str">
        <f>IF(OR(L$23="",ISNA($B131)),"",IF(ISBLANK($B131),"",IFERROR(_xll.BDP(TICKER,"DEEP_MEASURE_PERIOD_BROKER_VALUE","DEEP_MEASURE_ID_OVERRIDE",$C131,"DEEP_BROKER_ID_OVERRIDE",L$24,"DEEP_PERIOD_OVERRIDE",$H$19)*1,"")))</f>
        <v/>
      </c>
      <c r="M131" t="str">
        <f>IF(OR(M$23="",ISNA($B131)),"",IF(ISBLANK($B131),"",IFERROR(_xll.BDP(TICKER,"DEEP_MEASURE_PERIOD_BROKER_VALUE","DEEP_MEASURE_ID_OVERRIDE",$C131,"DEEP_BROKER_ID_OVERRIDE",M$24,"DEEP_PERIOD_OVERRIDE",$H$19)*1,"")))</f>
        <v/>
      </c>
      <c r="N131" t="str">
        <f>IF(OR(N$23="",ISNA($B131)),"",IF(ISBLANK($B131),"",IFERROR(_xll.BDP(TICKER,"DEEP_MEASURE_PERIOD_BROKER_VALUE","DEEP_MEASURE_ID_OVERRIDE",$C131,"DEEP_BROKER_ID_OVERRIDE",N$24,"DEEP_PERIOD_OVERRIDE",$H$19)*1,"")))</f>
        <v/>
      </c>
      <c r="O131" t="str">
        <f>IF(OR(O$23="",ISNA($B131)),"",IF(ISBLANK($B131),"",IFERROR(_xll.BDP(TICKER,"DEEP_MEASURE_PERIOD_BROKER_VALUE","DEEP_MEASURE_ID_OVERRIDE",$C131,"DEEP_BROKER_ID_OVERRIDE",O$24,"DEEP_PERIOD_OVERRIDE",$H$19)*1,"")))</f>
        <v/>
      </c>
      <c r="P131" t="str">
        <f>IF(OR(P$23="",ISNA($B131)),"",IF(ISBLANK($B131),"",IFERROR(_xll.BDP(TICKER,"DEEP_MEASURE_PERIOD_BROKER_VALUE","DEEP_MEASURE_ID_OVERRIDE",$C131,"DEEP_BROKER_ID_OVERRIDE",P$24,"DEEP_PERIOD_OVERRIDE",$H$19)*1,"")))</f>
        <v/>
      </c>
      <c r="Q131" t="str">
        <f>IF(OR(Q$23="",ISNA($B131)),"",IF(ISBLANK($B131),"",IFERROR(_xll.BDP(TICKER,"DEEP_MEASURE_PERIOD_BROKER_VALUE","DEEP_MEASURE_ID_OVERRIDE",$C131,"DEEP_BROKER_ID_OVERRIDE",Q$24,"DEEP_PERIOD_OVERRIDE",$H$19)*1,"")))</f>
        <v/>
      </c>
      <c r="R131" t="str">
        <f>IF(OR(R$23="",ISNA($B131)),"",IF(ISBLANK($B131),"",IFERROR(_xll.BDP(TICKER,"DEEP_MEASURE_PERIOD_BROKER_VALUE","DEEP_MEASURE_ID_OVERRIDE",$C131,"DEEP_BROKER_ID_OVERRIDE",R$24,"DEEP_PERIOD_OVERRIDE",$H$19)*1,"")))</f>
        <v/>
      </c>
      <c r="S131" t="str">
        <f>IF(OR(S$23="",ISNA($B131)),"",IF(ISBLANK($B131),"",IFERROR(_xll.BDP(TICKER,"DEEP_MEASURE_PERIOD_BROKER_VALUE","DEEP_MEASURE_ID_OVERRIDE",$C131,"DEEP_BROKER_ID_OVERRIDE",S$24,"DEEP_PERIOD_OVERRIDE",$H$19)*1,"")))</f>
        <v/>
      </c>
      <c r="T131" t="str">
        <f>IF(OR(T$23="",ISNA($B131)),"",IF(ISBLANK($B131),"",IFERROR(_xll.BDP(TICKER,"DEEP_MEASURE_PERIOD_BROKER_VALUE","DEEP_MEASURE_ID_OVERRIDE",$C131,"DEEP_BROKER_ID_OVERRIDE",T$24,"DEEP_PERIOD_OVERRIDE",$H$19)*1,"")))</f>
        <v/>
      </c>
      <c r="U131" t="str">
        <f>IF(OR(U$23="",ISNA($B131)),"",IF(ISBLANK($B131),"",IFERROR(_xll.BDP(TICKER,"DEEP_MEASURE_PERIOD_BROKER_VALUE","DEEP_MEASURE_ID_OVERRIDE",$C131,"DEEP_BROKER_ID_OVERRIDE",U$24,"DEEP_PERIOD_OVERRIDE",$H$19)*1,"")))</f>
        <v/>
      </c>
      <c r="V131" t="str">
        <f>IF(OR(V$23="",ISNA($B131)),"",IF(ISBLANK($B131),"",IFERROR(_xll.BDP(TICKER,"DEEP_MEASURE_PERIOD_BROKER_VALUE","DEEP_MEASURE_ID_OVERRIDE",$C131,"DEEP_BROKER_ID_OVERRIDE",V$24,"DEEP_PERIOD_OVERRIDE",$H$19)*1,"")))</f>
        <v/>
      </c>
      <c r="W131" t="str">
        <f>IF(OR(W$23="",ISNA($B131)),"",IF(ISBLANK($B131),"",IFERROR(_xll.BDP(TICKER,"DEEP_MEASURE_PERIOD_BROKER_VALUE","DEEP_MEASURE_ID_OVERRIDE",$C131,"DEEP_BROKER_ID_OVERRIDE",W$24,"DEEP_PERIOD_OVERRIDE",$H$19)*1,"")))</f>
        <v/>
      </c>
      <c r="X131" t="str">
        <f>IF(OR(X$23="",ISNA($B131)),"",IF(ISBLANK($B131),"",IFERROR(_xll.BDP(TICKER,"DEEP_MEASURE_PERIOD_BROKER_VALUE","DEEP_MEASURE_ID_OVERRIDE",$C131,"DEEP_BROKER_ID_OVERRIDE",X$24,"DEEP_PERIOD_OVERRIDE",$H$19)*1,"")))</f>
        <v/>
      </c>
      <c r="Y131" t="str">
        <f>IF(OR(Y$23="",ISNA($B131)),"",IF(ISBLANK($B131),"",IFERROR(_xll.BDP(TICKER,"DEEP_MEASURE_PERIOD_BROKER_VALUE","DEEP_MEASURE_ID_OVERRIDE",$C131,"DEEP_BROKER_ID_OVERRIDE",Y$24,"DEEP_PERIOD_OVERRIDE",$H$19)*1,"")))</f>
        <v/>
      </c>
      <c r="Z131" t="str">
        <f>IF(OR(Z$23="",ISNA($B131)),"",IF(ISBLANK($B131),"",IFERROR(_xll.BDP(TICKER,"DEEP_MEASURE_PERIOD_BROKER_VALUE","DEEP_MEASURE_ID_OVERRIDE",$C131,"DEEP_BROKER_ID_OVERRIDE",Z$24,"DEEP_PERIOD_OVERRIDE",$H$19)*1,"")))</f>
        <v/>
      </c>
      <c r="AA131" t="str">
        <f>IF(OR(AA$23="",ISNA($B131)),"",IF(ISBLANK($B131),"",IFERROR(_xll.BDP(TICKER,"DEEP_MEASURE_PERIOD_BROKER_VALUE","DEEP_MEASURE_ID_OVERRIDE",$C131,"DEEP_BROKER_ID_OVERRIDE",AA$24,"DEEP_PERIOD_OVERRIDE",$H$19)*1,"")))</f>
        <v/>
      </c>
      <c r="AB131" t="str">
        <f>IF(OR(AB$23="",ISNA($B131)),"",IF(ISBLANK($B131),"",IFERROR(_xll.BDP(TICKER,"DEEP_MEASURE_PERIOD_BROKER_VALUE","DEEP_MEASURE_ID_OVERRIDE",$C131,"DEEP_BROKER_ID_OVERRIDE",AB$24,"DEEP_PERIOD_OVERRIDE",$H$19)*1,"")))</f>
        <v/>
      </c>
      <c r="AC131" t="str">
        <f>IF(OR(AC$23="",ISNA($B131)),"",IF(ISBLANK($B131),"",IFERROR(_xll.BDP(TICKER,"DEEP_MEASURE_PERIOD_BROKER_VALUE","DEEP_MEASURE_ID_OVERRIDE",$C131,"DEEP_BROKER_ID_OVERRIDE",AC$24,"DEEP_PERIOD_OVERRIDE",$H$19)*1,"")))</f>
        <v/>
      </c>
      <c r="AD131" t="str">
        <f>IF(OR(AD$23="",ISNA($B131)),"",IF(ISBLANK($B131),"",IFERROR(_xll.BDP(TICKER,"DEEP_MEASURE_PERIOD_BROKER_VALUE","DEEP_MEASURE_ID_OVERRIDE",$C131,"DEEP_BROKER_ID_OVERRIDE",AD$24,"DEEP_PERIOD_OVERRIDE",$H$19)*1,"")))</f>
        <v/>
      </c>
      <c r="AE131" t="str">
        <f>IF(OR(AE$23="",ISNA($B131)),"",IF(ISBLANK($B131),"",IFERROR(_xll.BDP(TICKER,"DEEP_MEASURE_PERIOD_BROKER_VALUE","DEEP_MEASURE_ID_OVERRIDE",$C131,"DEEP_BROKER_ID_OVERRIDE",AE$24,"DEEP_PERIOD_OVERRIDE",$H$19)*1,"")))</f>
        <v/>
      </c>
      <c r="AF131" t="str">
        <f>IF(OR(AF$23="",ISNA($B131)),"",IF(ISBLANK($B131),"",IFERROR(_xll.BDP(TICKER,"DEEP_MEASURE_PERIOD_BROKER_VALUE","DEEP_MEASURE_ID_OVERRIDE",$C131,"DEEP_BROKER_ID_OVERRIDE",AF$24,"DEEP_PERIOD_OVERRIDE",$H$19)*1,"")))</f>
        <v/>
      </c>
      <c r="AG131" t="str">
        <f>IF(OR(AG$23="",ISNA($B131)),"",IF(ISBLANK($B131),"",IFERROR(_xll.BDP(TICKER,"DEEP_MEASURE_PERIOD_BROKER_VALUE","DEEP_MEASURE_ID_OVERRIDE",$C131,"DEEP_BROKER_ID_OVERRIDE",AG$24,"DEEP_PERIOD_OVERRIDE",$H$19)*1,"")))</f>
        <v/>
      </c>
      <c r="AH131" t="str">
        <f>IF(OR(AH$23="",ISNA($B131)),"",IF(ISBLANK($B131),"",IFERROR(_xll.BDP(TICKER,"DEEP_MEASURE_PERIOD_BROKER_VALUE","DEEP_MEASURE_ID_OVERRIDE",$C131,"DEEP_BROKER_ID_OVERRIDE",AH$24,"DEEP_PERIOD_OVERRIDE",$H$19)*1,"")))</f>
        <v/>
      </c>
      <c r="AI131" t="str">
        <f>IF(OR(AI$23="",ISNA($B131)),"",IF(ISBLANK($B131),"",IFERROR(_xll.BDP(TICKER,"DEEP_MEASURE_PERIOD_BROKER_VALUE","DEEP_MEASURE_ID_OVERRIDE",$C131,"DEEP_BROKER_ID_OVERRIDE",AI$24,"DEEP_PERIOD_OVERRIDE",$H$19)*1,"")))</f>
        <v/>
      </c>
      <c r="AJ131" t="str">
        <f>IF(OR(AJ$23="",ISNA($B131)),"",IF(ISBLANK($B131),"",IFERROR(_xll.BDP(TICKER,"DEEP_MEASURE_PERIOD_BROKER_VALUE","DEEP_MEASURE_ID_OVERRIDE",$C131,"DEEP_BROKER_ID_OVERRIDE",AJ$24,"DEEP_PERIOD_OVERRIDE",$H$19)*1,"")))</f>
        <v/>
      </c>
      <c r="AK131" t="str">
        <f>IF(OR(AK$23="",ISNA($B131)),"",IF(ISBLANK($B131),"",IFERROR(_xll.BDP(TICKER,"DEEP_MEASURE_PERIOD_BROKER_VALUE","DEEP_MEASURE_ID_OVERRIDE",$C131,"DEEP_BROKER_ID_OVERRIDE",AK$24,"DEEP_PERIOD_OVERRIDE",$H$19)*1,"")))</f>
        <v/>
      </c>
      <c r="AL131" t="str">
        <f>IF(OR(AL$23="",ISNA($B131)),"",IF(ISBLANK($B131),"",IFERROR(_xll.BDP(TICKER,"DEEP_MEASURE_PERIOD_BROKER_VALUE","DEEP_MEASURE_ID_OVERRIDE",$C131,"DEEP_BROKER_ID_OVERRIDE",AL$24,"DEEP_PERIOD_OVERRIDE",$H$19)*1,"")))</f>
        <v/>
      </c>
      <c r="AM131" t="str">
        <f>IF(OR(AM$23="",ISNA($B131)),"",IF(ISBLANK($B131),"",IFERROR(_xll.BDP(TICKER,"DEEP_MEASURE_PERIOD_BROKER_VALUE","DEEP_MEASURE_ID_OVERRIDE",$C131,"DEEP_BROKER_ID_OVERRIDE",AM$24,"DEEP_PERIOD_OVERRIDE",$H$19)*1,"")))</f>
        <v/>
      </c>
      <c r="AN131" t="str">
        <f>IF(OR(AN$23="",ISNA($B131)),"",IF(ISBLANK($B131),"",IFERROR(_xll.BDP(TICKER,"DEEP_MEASURE_PERIOD_BROKER_VALUE","DEEP_MEASURE_ID_OVERRIDE",$C131,"DEEP_BROKER_ID_OVERRIDE",AN$24,"DEEP_PERIOD_OVERRIDE",$H$19)*1,"")))</f>
        <v/>
      </c>
      <c r="AO131" t="str">
        <f>IF(OR(AO$23="",ISNA($B131)),"",IF(ISBLANK($B131),"",IFERROR(_xll.BDP(TICKER,"DEEP_MEASURE_PERIOD_BROKER_VALUE","DEEP_MEASURE_ID_OVERRIDE",$C131,"DEEP_BROKER_ID_OVERRIDE",AO$24,"DEEP_PERIOD_OVERRIDE",$H$19)*1,"")))</f>
        <v/>
      </c>
      <c r="AP131" t="str">
        <f>IF(OR(AP$23="",ISNA($B131)),"",IF(ISBLANK($B131),"",IFERROR(_xll.BDP(TICKER,"DEEP_MEASURE_PERIOD_BROKER_VALUE","DEEP_MEASURE_ID_OVERRIDE",$C131,"DEEP_BROKER_ID_OVERRIDE",AP$24,"DEEP_PERIOD_OVERRIDE",$H$19)*1,"")))</f>
        <v/>
      </c>
      <c r="AQ131" t="str">
        <f>IF(OR(AQ$23="",ISNA($B131)),"",IF(ISBLANK($B131),"",IFERROR(_xll.BDP(TICKER,"DEEP_MEASURE_PERIOD_BROKER_VALUE","DEEP_MEASURE_ID_OVERRIDE",$C131,"DEEP_BROKER_ID_OVERRIDE",AQ$24,"DEEP_PERIOD_OVERRIDE",$H$19)*1,"")))</f>
        <v/>
      </c>
      <c r="AR131" t="str">
        <f>IF(OR(AR$23="",ISNA($B131)),"",IF(ISBLANK($B131),"",IFERROR(_xll.BDP(TICKER,"DEEP_MEASURE_PERIOD_BROKER_VALUE","DEEP_MEASURE_ID_OVERRIDE",$C131,"DEEP_BROKER_ID_OVERRIDE",AR$24,"DEEP_PERIOD_OVERRIDE",$H$19)*1,"")))</f>
        <v/>
      </c>
      <c r="AS131" t="str">
        <f>IF(OR(AS$23="",ISNA($B131)),"",IF(ISBLANK($B131),"",IFERROR(_xll.BDP(TICKER,"DEEP_MEASURE_PERIOD_BROKER_VALUE","DEEP_MEASURE_ID_OVERRIDE",$C131,"DEEP_BROKER_ID_OVERRIDE",AS$24,"DEEP_PERIOD_OVERRIDE",$H$19)*1,"")))</f>
        <v/>
      </c>
      <c r="AT131" t="str">
        <f>IF(OR(AT$23="",ISNA($B131)),"",IF(ISBLANK($B131),"",IFERROR(_xll.BDP(TICKER,"DEEP_MEASURE_PERIOD_BROKER_VALUE","DEEP_MEASURE_ID_OVERRIDE",$C131,"DEEP_BROKER_ID_OVERRIDE",AT$24,"DEEP_PERIOD_OVERRIDE",$H$19)*1,"")))</f>
        <v/>
      </c>
      <c r="AU131" t="str">
        <f>IF(OR(AU$23="",ISNA($B131)),"",IF(ISBLANK($B131),"",IFERROR(_xll.BDP(TICKER,"DEEP_MEASURE_PERIOD_BROKER_VALUE","DEEP_MEASURE_ID_OVERRIDE",$C131,"DEEP_BROKER_ID_OVERRIDE",AU$24,"DEEP_PERIOD_OVERRIDE",$H$19)*1,"")))</f>
        <v/>
      </c>
      <c r="AV131" t="str">
        <f>IF(OR(AV$23="",ISNA($B131)),"",IF(ISBLANK($B131),"",IFERROR(_xll.BDP(TICKER,"DEEP_MEASURE_PERIOD_BROKER_VALUE","DEEP_MEASURE_ID_OVERRIDE",$C131,"DEEP_BROKER_ID_OVERRIDE",AV$24,"DEEP_PERIOD_OVERRIDE",$H$19)*1,"")))</f>
        <v/>
      </c>
      <c r="AW131" t="str">
        <f>IF(OR(AW$23="",ISNA($B131)),"",IF(ISBLANK($B131),"",IFERROR(_xll.BDP(TICKER,"DEEP_MEASURE_PERIOD_BROKER_VALUE","DEEP_MEASURE_ID_OVERRIDE",$C131,"DEEP_BROKER_ID_OVERRIDE",AW$24,"DEEP_PERIOD_OVERRIDE",$H$19)*1,"")))</f>
        <v/>
      </c>
      <c r="AX131" t="str">
        <f>IF(OR(AX$23="",ISNA($B131)),"",IF(ISBLANK($B131),"",IFERROR(_xll.BDP(TICKER,"DEEP_MEASURE_PERIOD_BROKER_VALUE","DEEP_MEASURE_ID_OVERRIDE",$C131,"DEEP_BROKER_ID_OVERRIDE",AX$24,"DEEP_PERIOD_OVERRIDE",$H$19)*1,"")))</f>
        <v/>
      </c>
      <c r="AY131" t="str">
        <f>IF(OR(AY$23="",ISNA($B131)),"",IF(ISBLANK($B131),"",IFERROR(_xll.BDP(TICKER,"DEEP_MEASURE_PERIOD_BROKER_VALUE","DEEP_MEASURE_ID_OVERRIDE",$C131,"DEEP_BROKER_ID_OVERRIDE",AY$24,"DEEP_PERIOD_OVERRIDE",$H$19)*1,"")))</f>
        <v/>
      </c>
      <c r="AZ131" t="str">
        <f>IF(OR(AZ$23="",ISNA($B131)),"",IF(ISBLANK($B131),"",IFERROR(_xll.BDP(TICKER,"DEEP_MEASURE_PERIOD_BROKER_VALUE","DEEP_MEASURE_ID_OVERRIDE",$C131,"DEEP_BROKER_ID_OVERRIDE",AZ$24,"DEEP_PERIOD_OVERRIDE",$H$19)*1,"")))</f>
        <v/>
      </c>
      <c r="BA131" t="str">
        <f>IF(OR(BA$23="",ISNA($B131)),"",IF(ISBLANK($B131),"",IFERROR(_xll.BDP(TICKER,"DEEP_MEASURE_PERIOD_BROKER_VALUE","DEEP_MEASURE_ID_OVERRIDE",$C131,"DEEP_BROKER_ID_OVERRIDE",BA$24,"DEEP_PERIOD_OVERRIDE",$H$19)*1,"")))</f>
        <v/>
      </c>
      <c r="BB131" t="str">
        <f>IF(OR(BB$23="",ISNA($B131)),"",IF(ISBLANK($B131),"",IFERROR(_xll.BDP(TICKER,"DEEP_MEASURE_PERIOD_BROKER_VALUE","DEEP_MEASURE_ID_OVERRIDE",$C131,"DEEP_BROKER_ID_OVERRIDE",BB$24,"DEEP_PERIOD_OVERRIDE",$H$19)*1,"")))</f>
        <v/>
      </c>
      <c r="BC131" t="str">
        <f>IF(OR(BC$23="",ISNA($B131)),"",IF(ISBLANK($B131),"",IFERROR(_xll.BDP(TICKER,"DEEP_MEASURE_PERIOD_BROKER_VALUE","DEEP_MEASURE_ID_OVERRIDE",$C131,"DEEP_BROKER_ID_OVERRIDE",BC$24,"DEEP_PERIOD_OVERRIDE",$H$19)*1,"")))</f>
        <v/>
      </c>
      <c r="BD131" t="str">
        <f>IF(OR(BD$23="",ISNA($B131)),"",IF(ISBLANK($B131),"",IFERROR(_xll.BDP(TICKER,"DEEP_MEASURE_PERIOD_BROKER_VALUE","DEEP_MEASURE_ID_OVERRIDE",$C131,"DEEP_BROKER_ID_OVERRIDE",BD$24,"DEEP_PERIOD_OVERRIDE",$H$19)*1,"")))</f>
        <v/>
      </c>
      <c r="BE131" t="str">
        <f>IF(OR(BE$23="",ISNA($B131)),"",IF(ISBLANK($B131),"",IFERROR(_xll.BDP(TICKER,"DEEP_MEASURE_PERIOD_BROKER_VALUE","DEEP_MEASURE_ID_OVERRIDE",$C131,"DEEP_BROKER_ID_OVERRIDE",BE$24,"DEEP_PERIOD_OVERRIDE",$H$19)*1,"")))</f>
        <v/>
      </c>
      <c r="BF131" t="str">
        <f>IF(OR(BF$23="",ISNA($B131)),"",IF(ISBLANK($B131),"",IFERROR(_xll.BDP(TICKER,"DEEP_MEASURE_PERIOD_BROKER_VALUE","DEEP_MEASURE_ID_OVERRIDE",$C131,"DEEP_BROKER_ID_OVERRIDE",BF$24,"DEEP_PERIOD_OVERRIDE",$H$19)*1,"")))</f>
        <v/>
      </c>
      <c r="BG131" t="str">
        <f>IF(OR(BG$23="",ISNA($B131)),"",IF(ISBLANK($B131),"",IFERROR(_xll.BDP(TICKER,"DEEP_MEASURE_PERIOD_BROKER_VALUE","DEEP_MEASURE_ID_OVERRIDE",$C131,"DEEP_BROKER_ID_OVERRIDE",BG$24,"DEEP_PERIOD_OVERRIDE",$H$19)*1,"")))</f>
        <v/>
      </c>
      <c r="BH131" t="str">
        <f>IF(OR(BH$23="",ISNA($B131)),"",IF(ISBLANK($B131),"",IFERROR(_xll.BDP(TICKER,"DEEP_MEASURE_PERIOD_BROKER_VALUE","DEEP_MEASURE_ID_OVERRIDE",$C131,"DEEP_BROKER_ID_OVERRIDE",BH$24,"DEEP_PERIOD_OVERRIDE",$H$19)*1,"")))</f>
        <v/>
      </c>
      <c r="BI131" t="str">
        <f>IF(OR(BI$23="",ISNA($B131)),"",IF(ISBLANK($B131),"",IFERROR(_xll.BDP(TICKER,"DEEP_MEASURE_PERIOD_BROKER_VALUE","DEEP_MEASURE_ID_OVERRIDE",$C131,"DEEP_BROKER_ID_OVERRIDE",BI$24,"DEEP_PERIOD_OVERRIDE",$H$19)*1,"")))</f>
        <v/>
      </c>
      <c r="BJ131" t="str">
        <f>IF(OR(BJ$23="",ISNA($B131)),"",IF(ISBLANK($B131),"",IFERROR(_xll.BDP(TICKER,"DEEP_MEASURE_PERIOD_BROKER_VALUE","DEEP_MEASURE_ID_OVERRIDE",$C131,"DEEP_BROKER_ID_OVERRIDE",BJ$24,"DEEP_PERIOD_OVERRIDE",$H$19)*1,"")))</f>
        <v/>
      </c>
      <c r="BK131" t="str">
        <f>IF(OR(BK$23="",ISNA($B131)),"",IF(ISBLANK($B131),"",IFERROR(_xll.BDP(TICKER,"DEEP_MEASURE_PERIOD_BROKER_VALUE","DEEP_MEASURE_ID_OVERRIDE",$C131,"DEEP_BROKER_ID_OVERRIDE",BK$24,"DEEP_PERIOD_OVERRIDE",$H$19)*1,"")))</f>
        <v/>
      </c>
      <c r="BL131" t="str">
        <f>IF(OR(BL$23="",ISNA($B131)),"",IF(ISBLANK($B131),"",IFERROR(_xll.BDP(TICKER,"DEEP_MEASURE_PERIOD_BROKER_VALUE","DEEP_MEASURE_ID_OVERRIDE",$C131,"DEEP_BROKER_ID_OVERRIDE",BL$24,"DEEP_PERIOD_OVERRIDE",$H$19)*1,"")))</f>
        <v/>
      </c>
      <c r="BM131" t="str">
        <f>IF(OR(BM$23="",ISNA($B131)),"",IF(ISBLANK($B131),"",IFERROR(_xll.BDP(TICKER,"DEEP_MEASURE_PERIOD_BROKER_VALUE","DEEP_MEASURE_ID_OVERRIDE",$C131,"DEEP_BROKER_ID_OVERRIDE",BM$24,"DEEP_PERIOD_OVERRIDE",$H$19)*1,"")))</f>
        <v/>
      </c>
      <c r="BN131" t="str">
        <f>IF(OR(BN$23="",ISNA($B131)),"",IF(ISBLANK($B131),"",IFERROR(_xll.BDP(TICKER,"DEEP_MEASURE_PERIOD_BROKER_VALUE","DEEP_MEASURE_ID_OVERRIDE",$C131,"DEEP_BROKER_ID_OVERRIDE",BN$24,"DEEP_PERIOD_OVERRIDE",$H$19)*1,"")))</f>
        <v/>
      </c>
      <c r="BO131" t="str">
        <f>IF(OR(BO$23="",ISNA($B131)),"",IF(ISBLANK($B131),"",IFERROR(_xll.BDP(TICKER,"DEEP_MEASURE_PERIOD_BROKER_VALUE","DEEP_MEASURE_ID_OVERRIDE",$C131,"DEEP_BROKER_ID_OVERRIDE",BO$24,"DEEP_PERIOD_OVERRIDE",$H$19)*1,"")))</f>
        <v/>
      </c>
      <c r="BP131" t="str">
        <f>IF(OR(BP$23="",ISNA($B131)),"",IF(ISBLANK($B131),"",IFERROR(_xll.BDP(TICKER,"DEEP_MEASURE_PERIOD_BROKER_VALUE","DEEP_MEASURE_ID_OVERRIDE",$C131,"DEEP_BROKER_ID_OVERRIDE",BP$24,"DEEP_PERIOD_OVERRIDE",$H$19)*1,"")))</f>
        <v/>
      </c>
      <c r="BQ131" t="str">
        <f>IF(OR(BQ$23="",ISNA($B131)),"",IF(ISBLANK($B131),"",IFERROR(_xll.BDP(TICKER,"DEEP_MEASURE_PERIOD_BROKER_VALUE","DEEP_MEASURE_ID_OVERRIDE",$C131,"DEEP_BROKER_ID_OVERRIDE",BQ$24,"DEEP_PERIOD_OVERRIDE",$H$19)*1,"")))</f>
        <v/>
      </c>
      <c r="BR131" t="str">
        <f>IF(OR(BR$23="",ISNA($B131)),"",IF(ISBLANK($B131),"",IFERROR(_xll.BDP(TICKER,"DEEP_MEASURE_PERIOD_BROKER_VALUE","DEEP_MEASURE_ID_OVERRIDE",$C131,"DEEP_BROKER_ID_OVERRIDE",BR$24,"DEEP_PERIOD_OVERRIDE",$H$19)*1,"")))</f>
        <v/>
      </c>
      <c r="BS131" t="str">
        <f>IF(OR(BS$23="",ISNA($B131)),"",IF(ISBLANK($B131),"",IFERROR(_xll.BDP(TICKER,"DEEP_MEASURE_PERIOD_BROKER_VALUE","DEEP_MEASURE_ID_OVERRIDE",$C131,"DEEP_BROKER_ID_OVERRIDE",BS$24,"DEEP_PERIOD_OVERRIDE",$H$19)*1,"")))</f>
        <v/>
      </c>
      <c r="BT131" t="str">
        <f>IF(OR(BT$23="",ISNA($B131)),"",IF(ISBLANK($B131),"",IFERROR(_xll.BDP(TICKER,"DEEP_MEASURE_PERIOD_BROKER_VALUE","DEEP_MEASURE_ID_OVERRIDE",$C131,"DEEP_BROKER_ID_OVERRIDE",BT$24,"DEEP_PERIOD_OVERRIDE",$H$19)*1,"")))</f>
        <v/>
      </c>
      <c r="BU131" t="str">
        <f>IF(OR(BU$23="",ISNA($B131)),"",IF(ISBLANK($B131),"",IFERROR(_xll.BDP(TICKER,"DEEP_MEASURE_PERIOD_BROKER_VALUE","DEEP_MEASURE_ID_OVERRIDE",$C131,"DEEP_BROKER_ID_OVERRIDE",BU$24,"DEEP_PERIOD_OVERRIDE",$H$19)*1,"")))</f>
        <v/>
      </c>
      <c r="BV131" t="str">
        <f>IF(OR(BV$23="",ISNA($B131)),"",IF(ISBLANK($B131),"",IFERROR(_xll.BDP(TICKER,"DEEP_MEASURE_PERIOD_BROKER_VALUE","DEEP_MEASURE_ID_OVERRIDE",$C131,"DEEP_BROKER_ID_OVERRIDE",BV$24,"DEEP_PERIOD_OVERRIDE",$H$19)*1,"")))</f>
        <v/>
      </c>
      <c r="BW131" t="str">
        <f>IF(OR(BW$23="",ISNA($B131)),"",IF(ISBLANK($B131),"",IFERROR(_xll.BDP(TICKER,"DEEP_MEASURE_PERIOD_BROKER_VALUE","DEEP_MEASURE_ID_OVERRIDE",$C131,"DEEP_BROKER_ID_OVERRIDE",BW$24,"DEEP_PERIOD_OVERRIDE",$H$19)*1,"")))</f>
        <v/>
      </c>
      <c r="BX131" t="str">
        <f>IF(OR(BX$23="",ISNA($B131)),"",IF(ISBLANK($B131),"",IFERROR(_xll.BDP(TICKER,"DEEP_MEASURE_PERIOD_BROKER_VALUE","DEEP_MEASURE_ID_OVERRIDE",$C131,"DEEP_BROKER_ID_OVERRIDE",BX$24,"DEEP_PERIOD_OVERRIDE",$H$19)*1,"")))</f>
        <v/>
      </c>
      <c r="BY131" t="str">
        <f>IF(OR(BY$23="",ISNA($B131)),"",IF(ISBLANK($B131),"",IFERROR(_xll.BDP(TICKER,"DEEP_MEASURE_PERIOD_BROKER_VALUE","DEEP_MEASURE_ID_OVERRIDE",$C131,"DEEP_BROKER_ID_OVERRIDE",BY$24,"DEEP_PERIOD_OVERRIDE",$H$19)*1,"")))</f>
        <v/>
      </c>
      <c r="BZ131" t="str">
        <f>IF(OR(BZ$23="",ISNA($B131)),"",IF(ISBLANK($B131),"",IFERROR(_xll.BDP(TICKER,"DEEP_MEASURE_PERIOD_BROKER_VALUE","DEEP_MEASURE_ID_OVERRIDE",$C131,"DEEP_BROKER_ID_OVERRIDE",BZ$24,"DEEP_PERIOD_OVERRIDE",$H$19)*1,"")))</f>
        <v/>
      </c>
    </row>
    <row r="132" spans="2:78" x14ac:dyDescent="0.25">
      <c r="B132" t="s">
        <v>28</v>
      </c>
      <c r="C132">
        <v>3675</v>
      </c>
      <c r="H132" t="str">
        <f t="shared" si="2"/>
        <v>Depreciation and Amortization</v>
      </c>
      <c r="I132" t="str">
        <f>IF(OR(I$23="",ISNA($B132)),"",IF(ISBLANK($B132),"",IFERROR(_xll.BDP(TICKER,"DEEP_MEASURE_PERIOD_BROKER_VALUE","DEEP_MEASURE_ID_OVERRIDE",$C132,"DEEP_PERIOD_OVERRIDE",$H$19)*1,"")))</f>
        <v/>
      </c>
      <c r="J132" t="e">
        <f>IF(OR(J$23="",ISNA($B132)),"",IF(ISBLANK($B132),"",IFERROR(_xll.BDP(TICKER,"DEEP_MEASURE_PERIOD_BROKER_VALUE","DEEP_MEASURE_ID_OVERRIDE",$C132,"DEEP_BROKER_ID_OVERRIDE",J$24,"DEEP_PERIOD_OVERRIDE",$H$19)*1,"")))</f>
        <v>#REF!</v>
      </c>
      <c r="K132" t="str">
        <f>IF(OR(K$23="",ISNA($B132)),"",IF(ISBLANK($B132),"",IFERROR(_xll.BDP(TICKER,"DEEP_MEASURE_PERIOD_BROKER_VALUE","DEEP_MEASURE_ID_OVERRIDE",$C132,"DEEP_BROKER_ID_OVERRIDE",K$24,"DEEP_PERIOD_OVERRIDE",$H$19)*1,"")))</f>
        <v/>
      </c>
      <c r="L132" t="str">
        <f>IF(OR(L$23="",ISNA($B132)),"",IF(ISBLANK($B132),"",IFERROR(_xll.BDP(TICKER,"DEEP_MEASURE_PERIOD_BROKER_VALUE","DEEP_MEASURE_ID_OVERRIDE",$C132,"DEEP_BROKER_ID_OVERRIDE",L$24,"DEEP_PERIOD_OVERRIDE",$H$19)*1,"")))</f>
        <v/>
      </c>
      <c r="M132" t="str">
        <f>IF(OR(M$23="",ISNA($B132)),"",IF(ISBLANK($B132),"",IFERROR(_xll.BDP(TICKER,"DEEP_MEASURE_PERIOD_BROKER_VALUE","DEEP_MEASURE_ID_OVERRIDE",$C132,"DEEP_BROKER_ID_OVERRIDE",M$24,"DEEP_PERIOD_OVERRIDE",$H$19)*1,"")))</f>
        <v/>
      </c>
      <c r="N132" t="str">
        <f>IF(OR(N$23="",ISNA($B132)),"",IF(ISBLANK($B132),"",IFERROR(_xll.BDP(TICKER,"DEEP_MEASURE_PERIOD_BROKER_VALUE","DEEP_MEASURE_ID_OVERRIDE",$C132,"DEEP_BROKER_ID_OVERRIDE",N$24,"DEEP_PERIOD_OVERRIDE",$H$19)*1,"")))</f>
        <v/>
      </c>
      <c r="O132" t="str">
        <f>IF(OR(O$23="",ISNA($B132)),"",IF(ISBLANK($B132),"",IFERROR(_xll.BDP(TICKER,"DEEP_MEASURE_PERIOD_BROKER_VALUE","DEEP_MEASURE_ID_OVERRIDE",$C132,"DEEP_BROKER_ID_OVERRIDE",O$24,"DEEP_PERIOD_OVERRIDE",$H$19)*1,"")))</f>
        <v/>
      </c>
      <c r="P132" t="str">
        <f>IF(OR(P$23="",ISNA($B132)),"",IF(ISBLANK($B132),"",IFERROR(_xll.BDP(TICKER,"DEEP_MEASURE_PERIOD_BROKER_VALUE","DEEP_MEASURE_ID_OVERRIDE",$C132,"DEEP_BROKER_ID_OVERRIDE",P$24,"DEEP_PERIOD_OVERRIDE",$H$19)*1,"")))</f>
        <v/>
      </c>
      <c r="Q132" t="str">
        <f>IF(OR(Q$23="",ISNA($B132)),"",IF(ISBLANK($B132),"",IFERROR(_xll.BDP(TICKER,"DEEP_MEASURE_PERIOD_BROKER_VALUE","DEEP_MEASURE_ID_OVERRIDE",$C132,"DEEP_BROKER_ID_OVERRIDE",Q$24,"DEEP_PERIOD_OVERRIDE",$H$19)*1,"")))</f>
        <v/>
      </c>
      <c r="R132" t="str">
        <f>IF(OR(R$23="",ISNA($B132)),"",IF(ISBLANK($B132),"",IFERROR(_xll.BDP(TICKER,"DEEP_MEASURE_PERIOD_BROKER_VALUE","DEEP_MEASURE_ID_OVERRIDE",$C132,"DEEP_BROKER_ID_OVERRIDE",R$24,"DEEP_PERIOD_OVERRIDE",$H$19)*1,"")))</f>
        <v/>
      </c>
      <c r="S132" t="str">
        <f>IF(OR(S$23="",ISNA($B132)),"",IF(ISBLANK($B132),"",IFERROR(_xll.BDP(TICKER,"DEEP_MEASURE_PERIOD_BROKER_VALUE","DEEP_MEASURE_ID_OVERRIDE",$C132,"DEEP_BROKER_ID_OVERRIDE",S$24,"DEEP_PERIOD_OVERRIDE",$H$19)*1,"")))</f>
        <v/>
      </c>
      <c r="T132" t="str">
        <f>IF(OR(T$23="",ISNA($B132)),"",IF(ISBLANK($B132),"",IFERROR(_xll.BDP(TICKER,"DEEP_MEASURE_PERIOD_BROKER_VALUE","DEEP_MEASURE_ID_OVERRIDE",$C132,"DEEP_BROKER_ID_OVERRIDE",T$24,"DEEP_PERIOD_OVERRIDE",$H$19)*1,"")))</f>
        <v/>
      </c>
      <c r="U132" t="str">
        <f>IF(OR(U$23="",ISNA($B132)),"",IF(ISBLANK($B132),"",IFERROR(_xll.BDP(TICKER,"DEEP_MEASURE_PERIOD_BROKER_VALUE","DEEP_MEASURE_ID_OVERRIDE",$C132,"DEEP_BROKER_ID_OVERRIDE",U$24,"DEEP_PERIOD_OVERRIDE",$H$19)*1,"")))</f>
        <v/>
      </c>
      <c r="V132" t="str">
        <f>IF(OR(V$23="",ISNA($B132)),"",IF(ISBLANK($B132),"",IFERROR(_xll.BDP(TICKER,"DEEP_MEASURE_PERIOD_BROKER_VALUE","DEEP_MEASURE_ID_OVERRIDE",$C132,"DEEP_BROKER_ID_OVERRIDE",V$24,"DEEP_PERIOD_OVERRIDE",$H$19)*1,"")))</f>
        <v/>
      </c>
      <c r="W132" t="str">
        <f>IF(OR(W$23="",ISNA($B132)),"",IF(ISBLANK($B132),"",IFERROR(_xll.BDP(TICKER,"DEEP_MEASURE_PERIOD_BROKER_VALUE","DEEP_MEASURE_ID_OVERRIDE",$C132,"DEEP_BROKER_ID_OVERRIDE",W$24,"DEEP_PERIOD_OVERRIDE",$H$19)*1,"")))</f>
        <v/>
      </c>
      <c r="X132" t="str">
        <f>IF(OR(X$23="",ISNA($B132)),"",IF(ISBLANK($B132),"",IFERROR(_xll.BDP(TICKER,"DEEP_MEASURE_PERIOD_BROKER_VALUE","DEEP_MEASURE_ID_OVERRIDE",$C132,"DEEP_BROKER_ID_OVERRIDE",X$24,"DEEP_PERIOD_OVERRIDE",$H$19)*1,"")))</f>
        <v/>
      </c>
      <c r="Y132" t="str">
        <f>IF(OR(Y$23="",ISNA($B132)),"",IF(ISBLANK($B132),"",IFERROR(_xll.BDP(TICKER,"DEEP_MEASURE_PERIOD_BROKER_VALUE","DEEP_MEASURE_ID_OVERRIDE",$C132,"DEEP_BROKER_ID_OVERRIDE",Y$24,"DEEP_PERIOD_OVERRIDE",$H$19)*1,"")))</f>
        <v/>
      </c>
      <c r="Z132" t="str">
        <f>IF(OR(Z$23="",ISNA($B132)),"",IF(ISBLANK($B132),"",IFERROR(_xll.BDP(TICKER,"DEEP_MEASURE_PERIOD_BROKER_VALUE","DEEP_MEASURE_ID_OVERRIDE",$C132,"DEEP_BROKER_ID_OVERRIDE",Z$24,"DEEP_PERIOD_OVERRIDE",$H$19)*1,"")))</f>
        <v/>
      </c>
      <c r="AA132" t="str">
        <f>IF(OR(AA$23="",ISNA($B132)),"",IF(ISBLANK($B132),"",IFERROR(_xll.BDP(TICKER,"DEEP_MEASURE_PERIOD_BROKER_VALUE","DEEP_MEASURE_ID_OVERRIDE",$C132,"DEEP_BROKER_ID_OVERRIDE",AA$24,"DEEP_PERIOD_OVERRIDE",$H$19)*1,"")))</f>
        <v/>
      </c>
      <c r="AB132" t="str">
        <f>IF(OR(AB$23="",ISNA($B132)),"",IF(ISBLANK($B132),"",IFERROR(_xll.BDP(TICKER,"DEEP_MEASURE_PERIOD_BROKER_VALUE","DEEP_MEASURE_ID_OVERRIDE",$C132,"DEEP_BROKER_ID_OVERRIDE",AB$24,"DEEP_PERIOD_OVERRIDE",$H$19)*1,"")))</f>
        <v/>
      </c>
      <c r="AC132" t="str">
        <f>IF(OR(AC$23="",ISNA($B132)),"",IF(ISBLANK($B132),"",IFERROR(_xll.BDP(TICKER,"DEEP_MEASURE_PERIOD_BROKER_VALUE","DEEP_MEASURE_ID_OVERRIDE",$C132,"DEEP_BROKER_ID_OVERRIDE",AC$24,"DEEP_PERIOD_OVERRIDE",$H$19)*1,"")))</f>
        <v/>
      </c>
      <c r="AD132" t="str">
        <f>IF(OR(AD$23="",ISNA($B132)),"",IF(ISBLANK($B132),"",IFERROR(_xll.BDP(TICKER,"DEEP_MEASURE_PERIOD_BROKER_VALUE","DEEP_MEASURE_ID_OVERRIDE",$C132,"DEEP_BROKER_ID_OVERRIDE",AD$24,"DEEP_PERIOD_OVERRIDE",$H$19)*1,"")))</f>
        <v/>
      </c>
      <c r="AE132" t="str">
        <f>IF(OR(AE$23="",ISNA($B132)),"",IF(ISBLANK($B132),"",IFERROR(_xll.BDP(TICKER,"DEEP_MEASURE_PERIOD_BROKER_VALUE","DEEP_MEASURE_ID_OVERRIDE",$C132,"DEEP_BROKER_ID_OVERRIDE",AE$24,"DEEP_PERIOD_OVERRIDE",$H$19)*1,"")))</f>
        <v/>
      </c>
      <c r="AF132" t="str">
        <f>IF(OR(AF$23="",ISNA($B132)),"",IF(ISBLANK($B132),"",IFERROR(_xll.BDP(TICKER,"DEEP_MEASURE_PERIOD_BROKER_VALUE","DEEP_MEASURE_ID_OVERRIDE",$C132,"DEEP_BROKER_ID_OVERRIDE",AF$24,"DEEP_PERIOD_OVERRIDE",$H$19)*1,"")))</f>
        <v/>
      </c>
      <c r="AG132" t="str">
        <f>IF(OR(AG$23="",ISNA($B132)),"",IF(ISBLANK($B132),"",IFERROR(_xll.BDP(TICKER,"DEEP_MEASURE_PERIOD_BROKER_VALUE","DEEP_MEASURE_ID_OVERRIDE",$C132,"DEEP_BROKER_ID_OVERRIDE",AG$24,"DEEP_PERIOD_OVERRIDE",$H$19)*1,"")))</f>
        <v/>
      </c>
      <c r="AH132" t="str">
        <f>IF(OR(AH$23="",ISNA($B132)),"",IF(ISBLANK($B132),"",IFERROR(_xll.BDP(TICKER,"DEEP_MEASURE_PERIOD_BROKER_VALUE","DEEP_MEASURE_ID_OVERRIDE",$C132,"DEEP_BROKER_ID_OVERRIDE",AH$24,"DEEP_PERIOD_OVERRIDE",$H$19)*1,"")))</f>
        <v/>
      </c>
      <c r="AI132" t="str">
        <f>IF(OR(AI$23="",ISNA($B132)),"",IF(ISBLANK($B132),"",IFERROR(_xll.BDP(TICKER,"DEEP_MEASURE_PERIOD_BROKER_VALUE","DEEP_MEASURE_ID_OVERRIDE",$C132,"DEEP_BROKER_ID_OVERRIDE",AI$24,"DEEP_PERIOD_OVERRIDE",$H$19)*1,"")))</f>
        <v/>
      </c>
      <c r="AJ132" t="str">
        <f>IF(OR(AJ$23="",ISNA($B132)),"",IF(ISBLANK($B132),"",IFERROR(_xll.BDP(TICKER,"DEEP_MEASURE_PERIOD_BROKER_VALUE","DEEP_MEASURE_ID_OVERRIDE",$C132,"DEEP_BROKER_ID_OVERRIDE",AJ$24,"DEEP_PERIOD_OVERRIDE",$H$19)*1,"")))</f>
        <v/>
      </c>
      <c r="AK132" t="str">
        <f>IF(OR(AK$23="",ISNA($B132)),"",IF(ISBLANK($B132),"",IFERROR(_xll.BDP(TICKER,"DEEP_MEASURE_PERIOD_BROKER_VALUE","DEEP_MEASURE_ID_OVERRIDE",$C132,"DEEP_BROKER_ID_OVERRIDE",AK$24,"DEEP_PERIOD_OVERRIDE",$H$19)*1,"")))</f>
        <v/>
      </c>
      <c r="AL132" t="str">
        <f>IF(OR(AL$23="",ISNA($B132)),"",IF(ISBLANK($B132),"",IFERROR(_xll.BDP(TICKER,"DEEP_MEASURE_PERIOD_BROKER_VALUE","DEEP_MEASURE_ID_OVERRIDE",$C132,"DEEP_BROKER_ID_OVERRIDE",AL$24,"DEEP_PERIOD_OVERRIDE",$H$19)*1,"")))</f>
        <v/>
      </c>
      <c r="AM132" t="str">
        <f>IF(OR(AM$23="",ISNA($B132)),"",IF(ISBLANK($B132),"",IFERROR(_xll.BDP(TICKER,"DEEP_MEASURE_PERIOD_BROKER_VALUE","DEEP_MEASURE_ID_OVERRIDE",$C132,"DEEP_BROKER_ID_OVERRIDE",AM$24,"DEEP_PERIOD_OVERRIDE",$H$19)*1,"")))</f>
        <v/>
      </c>
      <c r="AN132" t="str">
        <f>IF(OR(AN$23="",ISNA($B132)),"",IF(ISBLANK($B132),"",IFERROR(_xll.BDP(TICKER,"DEEP_MEASURE_PERIOD_BROKER_VALUE","DEEP_MEASURE_ID_OVERRIDE",$C132,"DEEP_BROKER_ID_OVERRIDE",AN$24,"DEEP_PERIOD_OVERRIDE",$H$19)*1,"")))</f>
        <v/>
      </c>
      <c r="AO132" t="str">
        <f>IF(OR(AO$23="",ISNA($B132)),"",IF(ISBLANK($B132),"",IFERROR(_xll.BDP(TICKER,"DEEP_MEASURE_PERIOD_BROKER_VALUE","DEEP_MEASURE_ID_OVERRIDE",$C132,"DEEP_BROKER_ID_OVERRIDE",AO$24,"DEEP_PERIOD_OVERRIDE",$H$19)*1,"")))</f>
        <v/>
      </c>
      <c r="AP132" t="str">
        <f>IF(OR(AP$23="",ISNA($B132)),"",IF(ISBLANK($B132),"",IFERROR(_xll.BDP(TICKER,"DEEP_MEASURE_PERIOD_BROKER_VALUE","DEEP_MEASURE_ID_OVERRIDE",$C132,"DEEP_BROKER_ID_OVERRIDE",AP$24,"DEEP_PERIOD_OVERRIDE",$H$19)*1,"")))</f>
        <v/>
      </c>
      <c r="AQ132" t="str">
        <f>IF(OR(AQ$23="",ISNA($B132)),"",IF(ISBLANK($B132),"",IFERROR(_xll.BDP(TICKER,"DEEP_MEASURE_PERIOD_BROKER_VALUE","DEEP_MEASURE_ID_OVERRIDE",$C132,"DEEP_BROKER_ID_OVERRIDE",AQ$24,"DEEP_PERIOD_OVERRIDE",$H$19)*1,"")))</f>
        <v/>
      </c>
      <c r="AR132" t="str">
        <f>IF(OR(AR$23="",ISNA($B132)),"",IF(ISBLANK($B132),"",IFERROR(_xll.BDP(TICKER,"DEEP_MEASURE_PERIOD_BROKER_VALUE","DEEP_MEASURE_ID_OVERRIDE",$C132,"DEEP_BROKER_ID_OVERRIDE",AR$24,"DEEP_PERIOD_OVERRIDE",$H$19)*1,"")))</f>
        <v/>
      </c>
      <c r="AS132" t="str">
        <f>IF(OR(AS$23="",ISNA($B132)),"",IF(ISBLANK($B132),"",IFERROR(_xll.BDP(TICKER,"DEEP_MEASURE_PERIOD_BROKER_VALUE","DEEP_MEASURE_ID_OVERRIDE",$C132,"DEEP_BROKER_ID_OVERRIDE",AS$24,"DEEP_PERIOD_OVERRIDE",$H$19)*1,"")))</f>
        <v/>
      </c>
      <c r="AT132" t="str">
        <f>IF(OR(AT$23="",ISNA($B132)),"",IF(ISBLANK($B132),"",IFERROR(_xll.BDP(TICKER,"DEEP_MEASURE_PERIOD_BROKER_VALUE","DEEP_MEASURE_ID_OVERRIDE",$C132,"DEEP_BROKER_ID_OVERRIDE",AT$24,"DEEP_PERIOD_OVERRIDE",$H$19)*1,"")))</f>
        <v/>
      </c>
      <c r="AU132" t="str">
        <f>IF(OR(AU$23="",ISNA($B132)),"",IF(ISBLANK($B132),"",IFERROR(_xll.BDP(TICKER,"DEEP_MEASURE_PERIOD_BROKER_VALUE","DEEP_MEASURE_ID_OVERRIDE",$C132,"DEEP_BROKER_ID_OVERRIDE",AU$24,"DEEP_PERIOD_OVERRIDE",$H$19)*1,"")))</f>
        <v/>
      </c>
      <c r="AV132" t="str">
        <f>IF(OR(AV$23="",ISNA($B132)),"",IF(ISBLANK($B132),"",IFERROR(_xll.BDP(TICKER,"DEEP_MEASURE_PERIOD_BROKER_VALUE","DEEP_MEASURE_ID_OVERRIDE",$C132,"DEEP_BROKER_ID_OVERRIDE",AV$24,"DEEP_PERIOD_OVERRIDE",$H$19)*1,"")))</f>
        <v/>
      </c>
      <c r="AW132" t="str">
        <f>IF(OR(AW$23="",ISNA($B132)),"",IF(ISBLANK($B132),"",IFERROR(_xll.BDP(TICKER,"DEEP_MEASURE_PERIOD_BROKER_VALUE","DEEP_MEASURE_ID_OVERRIDE",$C132,"DEEP_BROKER_ID_OVERRIDE",AW$24,"DEEP_PERIOD_OVERRIDE",$H$19)*1,"")))</f>
        <v/>
      </c>
      <c r="AX132" t="str">
        <f>IF(OR(AX$23="",ISNA($B132)),"",IF(ISBLANK($B132),"",IFERROR(_xll.BDP(TICKER,"DEEP_MEASURE_PERIOD_BROKER_VALUE","DEEP_MEASURE_ID_OVERRIDE",$C132,"DEEP_BROKER_ID_OVERRIDE",AX$24,"DEEP_PERIOD_OVERRIDE",$H$19)*1,"")))</f>
        <v/>
      </c>
      <c r="AY132" t="str">
        <f>IF(OR(AY$23="",ISNA($B132)),"",IF(ISBLANK($B132),"",IFERROR(_xll.BDP(TICKER,"DEEP_MEASURE_PERIOD_BROKER_VALUE","DEEP_MEASURE_ID_OVERRIDE",$C132,"DEEP_BROKER_ID_OVERRIDE",AY$24,"DEEP_PERIOD_OVERRIDE",$H$19)*1,"")))</f>
        <v/>
      </c>
      <c r="AZ132" t="str">
        <f>IF(OR(AZ$23="",ISNA($B132)),"",IF(ISBLANK($B132),"",IFERROR(_xll.BDP(TICKER,"DEEP_MEASURE_PERIOD_BROKER_VALUE","DEEP_MEASURE_ID_OVERRIDE",$C132,"DEEP_BROKER_ID_OVERRIDE",AZ$24,"DEEP_PERIOD_OVERRIDE",$H$19)*1,"")))</f>
        <v/>
      </c>
      <c r="BA132" t="str">
        <f>IF(OR(BA$23="",ISNA($B132)),"",IF(ISBLANK($B132),"",IFERROR(_xll.BDP(TICKER,"DEEP_MEASURE_PERIOD_BROKER_VALUE","DEEP_MEASURE_ID_OVERRIDE",$C132,"DEEP_BROKER_ID_OVERRIDE",BA$24,"DEEP_PERIOD_OVERRIDE",$H$19)*1,"")))</f>
        <v/>
      </c>
      <c r="BB132" t="str">
        <f>IF(OR(BB$23="",ISNA($B132)),"",IF(ISBLANK($B132),"",IFERROR(_xll.BDP(TICKER,"DEEP_MEASURE_PERIOD_BROKER_VALUE","DEEP_MEASURE_ID_OVERRIDE",$C132,"DEEP_BROKER_ID_OVERRIDE",BB$24,"DEEP_PERIOD_OVERRIDE",$H$19)*1,"")))</f>
        <v/>
      </c>
      <c r="BC132" t="str">
        <f>IF(OR(BC$23="",ISNA($B132)),"",IF(ISBLANK($B132),"",IFERROR(_xll.BDP(TICKER,"DEEP_MEASURE_PERIOD_BROKER_VALUE","DEEP_MEASURE_ID_OVERRIDE",$C132,"DEEP_BROKER_ID_OVERRIDE",BC$24,"DEEP_PERIOD_OVERRIDE",$H$19)*1,"")))</f>
        <v/>
      </c>
      <c r="BD132" t="str">
        <f>IF(OR(BD$23="",ISNA($B132)),"",IF(ISBLANK($B132),"",IFERROR(_xll.BDP(TICKER,"DEEP_MEASURE_PERIOD_BROKER_VALUE","DEEP_MEASURE_ID_OVERRIDE",$C132,"DEEP_BROKER_ID_OVERRIDE",BD$24,"DEEP_PERIOD_OVERRIDE",$H$19)*1,"")))</f>
        <v/>
      </c>
      <c r="BE132" t="str">
        <f>IF(OR(BE$23="",ISNA($B132)),"",IF(ISBLANK($B132),"",IFERROR(_xll.BDP(TICKER,"DEEP_MEASURE_PERIOD_BROKER_VALUE","DEEP_MEASURE_ID_OVERRIDE",$C132,"DEEP_BROKER_ID_OVERRIDE",BE$24,"DEEP_PERIOD_OVERRIDE",$H$19)*1,"")))</f>
        <v/>
      </c>
      <c r="BF132" t="str">
        <f>IF(OR(BF$23="",ISNA($B132)),"",IF(ISBLANK($B132),"",IFERROR(_xll.BDP(TICKER,"DEEP_MEASURE_PERIOD_BROKER_VALUE","DEEP_MEASURE_ID_OVERRIDE",$C132,"DEEP_BROKER_ID_OVERRIDE",BF$24,"DEEP_PERIOD_OVERRIDE",$H$19)*1,"")))</f>
        <v/>
      </c>
      <c r="BG132" t="str">
        <f>IF(OR(BG$23="",ISNA($B132)),"",IF(ISBLANK($B132),"",IFERROR(_xll.BDP(TICKER,"DEEP_MEASURE_PERIOD_BROKER_VALUE","DEEP_MEASURE_ID_OVERRIDE",$C132,"DEEP_BROKER_ID_OVERRIDE",BG$24,"DEEP_PERIOD_OVERRIDE",$H$19)*1,"")))</f>
        <v/>
      </c>
      <c r="BH132" t="str">
        <f>IF(OR(BH$23="",ISNA($B132)),"",IF(ISBLANK($B132),"",IFERROR(_xll.BDP(TICKER,"DEEP_MEASURE_PERIOD_BROKER_VALUE","DEEP_MEASURE_ID_OVERRIDE",$C132,"DEEP_BROKER_ID_OVERRIDE",BH$24,"DEEP_PERIOD_OVERRIDE",$H$19)*1,"")))</f>
        <v/>
      </c>
      <c r="BI132" t="str">
        <f>IF(OR(BI$23="",ISNA($B132)),"",IF(ISBLANK($B132),"",IFERROR(_xll.BDP(TICKER,"DEEP_MEASURE_PERIOD_BROKER_VALUE","DEEP_MEASURE_ID_OVERRIDE",$C132,"DEEP_BROKER_ID_OVERRIDE",BI$24,"DEEP_PERIOD_OVERRIDE",$H$19)*1,"")))</f>
        <v/>
      </c>
      <c r="BJ132" t="str">
        <f>IF(OR(BJ$23="",ISNA($B132)),"",IF(ISBLANK($B132),"",IFERROR(_xll.BDP(TICKER,"DEEP_MEASURE_PERIOD_BROKER_VALUE","DEEP_MEASURE_ID_OVERRIDE",$C132,"DEEP_BROKER_ID_OVERRIDE",BJ$24,"DEEP_PERIOD_OVERRIDE",$H$19)*1,"")))</f>
        <v/>
      </c>
      <c r="BK132" t="str">
        <f>IF(OR(BK$23="",ISNA($B132)),"",IF(ISBLANK($B132),"",IFERROR(_xll.BDP(TICKER,"DEEP_MEASURE_PERIOD_BROKER_VALUE","DEEP_MEASURE_ID_OVERRIDE",$C132,"DEEP_BROKER_ID_OVERRIDE",BK$24,"DEEP_PERIOD_OVERRIDE",$H$19)*1,"")))</f>
        <v/>
      </c>
      <c r="BL132" t="str">
        <f>IF(OR(BL$23="",ISNA($B132)),"",IF(ISBLANK($B132),"",IFERROR(_xll.BDP(TICKER,"DEEP_MEASURE_PERIOD_BROKER_VALUE","DEEP_MEASURE_ID_OVERRIDE",$C132,"DEEP_BROKER_ID_OVERRIDE",BL$24,"DEEP_PERIOD_OVERRIDE",$H$19)*1,"")))</f>
        <v/>
      </c>
      <c r="BM132" t="str">
        <f>IF(OR(BM$23="",ISNA($B132)),"",IF(ISBLANK($B132),"",IFERROR(_xll.BDP(TICKER,"DEEP_MEASURE_PERIOD_BROKER_VALUE","DEEP_MEASURE_ID_OVERRIDE",$C132,"DEEP_BROKER_ID_OVERRIDE",BM$24,"DEEP_PERIOD_OVERRIDE",$H$19)*1,"")))</f>
        <v/>
      </c>
      <c r="BN132" t="str">
        <f>IF(OR(BN$23="",ISNA($B132)),"",IF(ISBLANK($B132),"",IFERROR(_xll.BDP(TICKER,"DEEP_MEASURE_PERIOD_BROKER_VALUE","DEEP_MEASURE_ID_OVERRIDE",$C132,"DEEP_BROKER_ID_OVERRIDE",BN$24,"DEEP_PERIOD_OVERRIDE",$H$19)*1,"")))</f>
        <v/>
      </c>
      <c r="BO132" t="str">
        <f>IF(OR(BO$23="",ISNA($B132)),"",IF(ISBLANK($B132),"",IFERROR(_xll.BDP(TICKER,"DEEP_MEASURE_PERIOD_BROKER_VALUE","DEEP_MEASURE_ID_OVERRIDE",$C132,"DEEP_BROKER_ID_OVERRIDE",BO$24,"DEEP_PERIOD_OVERRIDE",$H$19)*1,"")))</f>
        <v/>
      </c>
      <c r="BP132" t="str">
        <f>IF(OR(BP$23="",ISNA($B132)),"",IF(ISBLANK($B132),"",IFERROR(_xll.BDP(TICKER,"DEEP_MEASURE_PERIOD_BROKER_VALUE","DEEP_MEASURE_ID_OVERRIDE",$C132,"DEEP_BROKER_ID_OVERRIDE",BP$24,"DEEP_PERIOD_OVERRIDE",$H$19)*1,"")))</f>
        <v/>
      </c>
      <c r="BQ132" t="str">
        <f>IF(OR(BQ$23="",ISNA($B132)),"",IF(ISBLANK($B132),"",IFERROR(_xll.BDP(TICKER,"DEEP_MEASURE_PERIOD_BROKER_VALUE","DEEP_MEASURE_ID_OVERRIDE",$C132,"DEEP_BROKER_ID_OVERRIDE",BQ$24,"DEEP_PERIOD_OVERRIDE",$H$19)*1,"")))</f>
        <v/>
      </c>
      <c r="BR132" t="str">
        <f>IF(OR(BR$23="",ISNA($B132)),"",IF(ISBLANK($B132),"",IFERROR(_xll.BDP(TICKER,"DEEP_MEASURE_PERIOD_BROKER_VALUE","DEEP_MEASURE_ID_OVERRIDE",$C132,"DEEP_BROKER_ID_OVERRIDE",BR$24,"DEEP_PERIOD_OVERRIDE",$H$19)*1,"")))</f>
        <v/>
      </c>
      <c r="BS132" t="str">
        <f>IF(OR(BS$23="",ISNA($B132)),"",IF(ISBLANK($B132),"",IFERROR(_xll.BDP(TICKER,"DEEP_MEASURE_PERIOD_BROKER_VALUE","DEEP_MEASURE_ID_OVERRIDE",$C132,"DEEP_BROKER_ID_OVERRIDE",BS$24,"DEEP_PERIOD_OVERRIDE",$H$19)*1,"")))</f>
        <v/>
      </c>
      <c r="BT132" t="str">
        <f>IF(OR(BT$23="",ISNA($B132)),"",IF(ISBLANK($B132),"",IFERROR(_xll.BDP(TICKER,"DEEP_MEASURE_PERIOD_BROKER_VALUE","DEEP_MEASURE_ID_OVERRIDE",$C132,"DEEP_BROKER_ID_OVERRIDE",BT$24,"DEEP_PERIOD_OVERRIDE",$H$19)*1,"")))</f>
        <v/>
      </c>
      <c r="BU132" t="str">
        <f>IF(OR(BU$23="",ISNA($B132)),"",IF(ISBLANK($B132),"",IFERROR(_xll.BDP(TICKER,"DEEP_MEASURE_PERIOD_BROKER_VALUE","DEEP_MEASURE_ID_OVERRIDE",$C132,"DEEP_BROKER_ID_OVERRIDE",BU$24,"DEEP_PERIOD_OVERRIDE",$H$19)*1,"")))</f>
        <v/>
      </c>
      <c r="BV132" t="str">
        <f>IF(OR(BV$23="",ISNA($B132)),"",IF(ISBLANK($B132),"",IFERROR(_xll.BDP(TICKER,"DEEP_MEASURE_PERIOD_BROKER_VALUE","DEEP_MEASURE_ID_OVERRIDE",$C132,"DEEP_BROKER_ID_OVERRIDE",BV$24,"DEEP_PERIOD_OVERRIDE",$H$19)*1,"")))</f>
        <v/>
      </c>
      <c r="BW132" t="str">
        <f>IF(OR(BW$23="",ISNA($B132)),"",IF(ISBLANK($B132),"",IFERROR(_xll.BDP(TICKER,"DEEP_MEASURE_PERIOD_BROKER_VALUE","DEEP_MEASURE_ID_OVERRIDE",$C132,"DEEP_BROKER_ID_OVERRIDE",BW$24,"DEEP_PERIOD_OVERRIDE",$H$19)*1,"")))</f>
        <v/>
      </c>
      <c r="BX132" t="str">
        <f>IF(OR(BX$23="",ISNA($B132)),"",IF(ISBLANK($B132),"",IFERROR(_xll.BDP(TICKER,"DEEP_MEASURE_PERIOD_BROKER_VALUE","DEEP_MEASURE_ID_OVERRIDE",$C132,"DEEP_BROKER_ID_OVERRIDE",BX$24,"DEEP_PERIOD_OVERRIDE",$H$19)*1,"")))</f>
        <v/>
      </c>
      <c r="BY132" t="str">
        <f>IF(OR(BY$23="",ISNA($B132)),"",IF(ISBLANK($B132),"",IFERROR(_xll.BDP(TICKER,"DEEP_MEASURE_PERIOD_BROKER_VALUE","DEEP_MEASURE_ID_OVERRIDE",$C132,"DEEP_BROKER_ID_OVERRIDE",BY$24,"DEEP_PERIOD_OVERRIDE",$H$19)*1,"")))</f>
        <v/>
      </c>
      <c r="BZ132" t="str">
        <f>IF(OR(BZ$23="",ISNA($B132)),"",IF(ISBLANK($B132),"",IFERROR(_xll.BDP(TICKER,"DEEP_MEASURE_PERIOD_BROKER_VALUE","DEEP_MEASURE_ID_OVERRIDE",$C132,"DEEP_BROKER_ID_OVERRIDE",BZ$24,"DEEP_PERIOD_OVERRIDE",$H$19)*1,"")))</f>
        <v/>
      </c>
    </row>
    <row r="133" spans="2:78" x14ac:dyDescent="0.25">
      <c r="B133" t="s">
        <v>18</v>
      </c>
      <c r="C133">
        <v>3219</v>
      </c>
      <c r="H133" t="str">
        <f t="shared" si="2"/>
        <v>EBITDA</v>
      </c>
      <c r="I133" t="str">
        <f>IF(OR(I$23="",ISNA($B133)),"",IF(ISBLANK($B133),"",IFERROR(_xll.BDP(TICKER,"DEEP_MEASURE_PERIOD_BROKER_VALUE","DEEP_MEASURE_ID_OVERRIDE",$C133,"DEEP_PERIOD_OVERRIDE",$H$19)*1,"")))</f>
        <v/>
      </c>
      <c r="J133" t="e">
        <f>IF(OR(J$23="",ISNA($B133)),"",IF(ISBLANK($B133),"",IFERROR(_xll.BDP(TICKER,"DEEP_MEASURE_PERIOD_BROKER_VALUE","DEEP_MEASURE_ID_OVERRIDE",$C133,"DEEP_BROKER_ID_OVERRIDE",J$24,"DEEP_PERIOD_OVERRIDE",$H$19)*1,"")))</f>
        <v>#REF!</v>
      </c>
      <c r="K133" t="str">
        <f>IF(OR(K$23="",ISNA($B133)),"",IF(ISBLANK($B133),"",IFERROR(_xll.BDP(TICKER,"DEEP_MEASURE_PERIOD_BROKER_VALUE","DEEP_MEASURE_ID_OVERRIDE",$C133,"DEEP_BROKER_ID_OVERRIDE",K$24,"DEEP_PERIOD_OVERRIDE",$H$19)*1,"")))</f>
        <v/>
      </c>
      <c r="L133" t="str">
        <f>IF(OR(L$23="",ISNA($B133)),"",IF(ISBLANK($B133),"",IFERROR(_xll.BDP(TICKER,"DEEP_MEASURE_PERIOD_BROKER_VALUE","DEEP_MEASURE_ID_OVERRIDE",$C133,"DEEP_BROKER_ID_OVERRIDE",L$24,"DEEP_PERIOD_OVERRIDE",$H$19)*1,"")))</f>
        <v/>
      </c>
      <c r="M133" t="str">
        <f>IF(OR(M$23="",ISNA($B133)),"",IF(ISBLANK($B133),"",IFERROR(_xll.BDP(TICKER,"DEEP_MEASURE_PERIOD_BROKER_VALUE","DEEP_MEASURE_ID_OVERRIDE",$C133,"DEEP_BROKER_ID_OVERRIDE",M$24,"DEEP_PERIOD_OVERRIDE",$H$19)*1,"")))</f>
        <v/>
      </c>
      <c r="N133" t="str">
        <f>IF(OR(N$23="",ISNA($B133)),"",IF(ISBLANK($B133),"",IFERROR(_xll.BDP(TICKER,"DEEP_MEASURE_PERIOD_BROKER_VALUE","DEEP_MEASURE_ID_OVERRIDE",$C133,"DEEP_BROKER_ID_OVERRIDE",N$24,"DEEP_PERIOD_OVERRIDE",$H$19)*1,"")))</f>
        <v/>
      </c>
      <c r="O133" t="str">
        <f>IF(OR(O$23="",ISNA($B133)),"",IF(ISBLANK($B133),"",IFERROR(_xll.BDP(TICKER,"DEEP_MEASURE_PERIOD_BROKER_VALUE","DEEP_MEASURE_ID_OVERRIDE",$C133,"DEEP_BROKER_ID_OVERRIDE",O$24,"DEEP_PERIOD_OVERRIDE",$H$19)*1,"")))</f>
        <v/>
      </c>
      <c r="P133" t="str">
        <f>IF(OR(P$23="",ISNA($B133)),"",IF(ISBLANK($B133),"",IFERROR(_xll.BDP(TICKER,"DEEP_MEASURE_PERIOD_BROKER_VALUE","DEEP_MEASURE_ID_OVERRIDE",$C133,"DEEP_BROKER_ID_OVERRIDE",P$24,"DEEP_PERIOD_OVERRIDE",$H$19)*1,"")))</f>
        <v/>
      </c>
      <c r="Q133" t="str">
        <f>IF(OR(Q$23="",ISNA($B133)),"",IF(ISBLANK($B133),"",IFERROR(_xll.BDP(TICKER,"DEEP_MEASURE_PERIOD_BROKER_VALUE","DEEP_MEASURE_ID_OVERRIDE",$C133,"DEEP_BROKER_ID_OVERRIDE",Q$24,"DEEP_PERIOD_OVERRIDE",$H$19)*1,"")))</f>
        <v/>
      </c>
      <c r="R133" t="str">
        <f>IF(OR(R$23="",ISNA($B133)),"",IF(ISBLANK($B133),"",IFERROR(_xll.BDP(TICKER,"DEEP_MEASURE_PERIOD_BROKER_VALUE","DEEP_MEASURE_ID_OVERRIDE",$C133,"DEEP_BROKER_ID_OVERRIDE",R$24,"DEEP_PERIOD_OVERRIDE",$H$19)*1,"")))</f>
        <v/>
      </c>
      <c r="S133" t="str">
        <f>IF(OR(S$23="",ISNA($B133)),"",IF(ISBLANK($B133),"",IFERROR(_xll.BDP(TICKER,"DEEP_MEASURE_PERIOD_BROKER_VALUE","DEEP_MEASURE_ID_OVERRIDE",$C133,"DEEP_BROKER_ID_OVERRIDE",S$24,"DEEP_PERIOD_OVERRIDE",$H$19)*1,"")))</f>
        <v/>
      </c>
      <c r="T133" t="str">
        <f>IF(OR(T$23="",ISNA($B133)),"",IF(ISBLANK($B133),"",IFERROR(_xll.BDP(TICKER,"DEEP_MEASURE_PERIOD_BROKER_VALUE","DEEP_MEASURE_ID_OVERRIDE",$C133,"DEEP_BROKER_ID_OVERRIDE",T$24,"DEEP_PERIOD_OVERRIDE",$H$19)*1,"")))</f>
        <v/>
      </c>
      <c r="U133" t="str">
        <f>IF(OR(U$23="",ISNA($B133)),"",IF(ISBLANK($B133),"",IFERROR(_xll.BDP(TICKER,"DEEP_MEASURE_PERIOD_BROKER_VALUE","DEEP_MEASURE_ID_OVERRIDE",$C133,"DEEP_BROKER_ID_OVERRIDE",U$24,"DEEP_PERIOD_OVERRIDE",$H$19)*1,"")))</f>
        <v/>
      </c>
      <c r="V133" t="str">
        <f>IF(OR(V$23="",ISNA($B133)),"",IF(ISBLANK($B133),"",IFERROR(_xll.BDP(TICKER,"DEEP_MEASURE_PERIOD_BROKER_VALUE","DEEP_MEASURE_ID_OVERRIDE",$C133,"DEEP_BROKER_ID_OVERRIDE",V$24,"DEEP_PERIOD_OVERRIDE",$H$19)*1,"")))</f>
        <v/>
      </c>
      <c r="W133" t="str">
        <f>IF(OR(W$23="",ISNA($B133)),"",IF(ISBLANK($B133),"",IFERROR(_xll.BDP(TICKER,"DEEP_MEASURE_PERIOD_BROKER_VALUE","DEEP_MEASURE_ID_OVERRIDE",$C133,"DEEP_BROKER_ID_OVERRIDE",W$24,"DEEP_PERIOD_OVERRIDE",$H$19)*1,"")))</f>
        <v/>
      </c>
      <c r="X133" t="str">
        <f>IF(OR(X$23="",ISNA($B133)),"",IF(ISBLANK($B133),"",IFERROR(_xll.BDP(TICKER,"DEEP_MEASURE_PERIOD_BROKER_VALUE","DEEP_MEASURE_ID_OVERRIDE",$C133,"DEEP_BROKER_ID_OVERRIDE",X$24,"DEEP_PERIOD_OVERRIDE",$H$19)*1,"")))</f>
        <v/>
      </c>
      <c r="Y133" t="str">
        <f>IF(OR(Y$23="",ISNA($B133)),"",IF(ISBLANK($B133),"",IFERROR(_xll.BDP(TICKER,"DEEP_MEASURE_PERIOD_BROKER_VALUE","DEEP_MEASURE_ID_OVERRIDE",$C133,"DEEP_BROKER_ID_OVERRIDE",Y$24,"DEEP_PERIOD_OVERRIDE",$H$19)*1,"")))</f>
        <v/>
      </c>
      <c r="Z133" t="str">
        <f>IF(OR(Z$23="",ISNA($B133)),"",IF(ISBLANK($B133),"",IFERROR(_xll.BDP(TICKER,"DEEP_MEASURE_PERIOD_BROKER_VALUE","DEEP_MEASURE_ID_OVERRIDE",$C133,"DEEP_BROKER_ID_OVERRIDE",Z$24,"DEEP_PERIOD_OVERRIDE",$H$19)*1,"")))</f>
        <v/>
      </c>
      <c r="AA133" t="str">
        <f>IF(OR(AA$23="",ISNA($B133)),"",IF(ISBLANK($B133),"",IFERROR(_xll.BDP(TICKER,"DEEP_MEASURE_PERIOD_BROKER_VALUE","DEEP_MEASURE_ID_OVERRIDE",$C133,"DEEP_BROKER_ID_OVERRIDE",AA$24,"DEEP_PERIOD_OVERRIDE",$H$19)*1,"")))</f>
        <v/>
      </c>
      <c r="AB133" t="str">
        <f>IF(OR(AB$23="",ISNA($B133)),"",IF(ISBLANK($B133),"",IFERROR(_xll.BDP(TICKER,"DEEP_MEASURE_PERIOD_BROKER_VALUE","DEEP_MEASURE_ID_OVERRIDE",$C133,"DEEP_BROKER_ID_OVERRIDE",AB$24,"DEEP_PERIOD_OVERRIDE",$H$19)*1,"")))</f>
        <v/>
      </c>
      <c r="AC133" t="str">
        <f>IF(OR(AC$23="",ISNA($B133)),"",IF(ISBLANK($B133),"",IFERROR(_xll.BDP(TICKER,"DEEP_MEASURE_PERIOD_BROKER_VALUE","DEEP_MEASURE_ID_OVERRIDE",$C133,"DEEP_BROKER_ID_OVERRIDE",AC$24,"DEEP_PERIOD_OVERRIDE",$H$19)*1,"")))</f>
        <v/>
      </c>
      <c r="AD133" t="str">
        <f>IF(OR(AD$23="",ISNA($B133)),"",IF(ISBLANK($B133),"",IFERROR(_xll.BDP(TICKER,"DEEP_MEASURE_PERIOD_BROKER_VALUE","DEEP_MEASURE_ID_OVERRIDE",$C133,"DEEP_BROKER_ID_OVERRIDE",AD$24,"DEEP_PERIOD_OVERRIDE",$H$19)*1,"")))</f>
        <v/>
      </c>
      <c r="AE133" t="str">
        <f>IF(OR(AE$23="",ISNA($B133)),"",IF(ISBLANK($B133),"",IFERROR(_xll.BDP(TICKER,"DEEP_MEASURE_PERIOD_BROKER_VALUE","DEEP_MEASURE_ID_OVERRIDE",$C133,"DEEP_BROKER_ID_OVERRIDE",AE$24,"DEEP_PERIOD_OVERRIDE",$H$19)*1,"")))</f>
        <v/>
      </c>
      <c r="AF133" t="str">
        <f>IF(OR(AF$23="",ISNA($B133)),"",IF(ISBLANK($B133),"",IFERROR(_xll.BDP(TICKER,"DEEP_MEASURE_PERIOD_BROKER_VALUE","DEEP_MEASURE_ID_OVERRIDE",$C133,"DEEP_BROKER_ID_OVERRIDE",AF$24,"DEEP_PERIOD_OVERRIDE",$H$19)*1,"")))</f>
        <v/>
      </c>
      <c r="AG133" t="str">
        <f>IF(OR(AG$23="",ISNA($B133)),"",IF(ISBLANK($B133),"",IFERROR(_xll.BDP(TICKER,"DEEP_MEASURE_PERIOD_BROKER_VALUE","DEEP_MEASURE_ID_OVERRIDE",$C133,"DEEP_BROKER_ID_OVERRIDE",AG$24,"DEEP_PERIOD_OVERRIDE",$H$19)*1,"")))</f>
        <v/>
      </c>
      <c r="AH133" t="str">
        <f>IF(OR(AH$23="",ISNA($B133)),"",IF(ISBLANK($B133),"",IFERROR(_xll.BDP(TICKER,"DEEP_MEASURE_PERIOD_BROKER_VALUE","DEEP_MEASURE_ID_OVERRIDE",$C133,"DEEP_BROKER_ID_OVERRIDE",AH$24,"DEEP_PERIOD_OVERRIDE",$H$19)*1,"")))</f>
        <v/>
      </c>
      <c r="AI133" t="str">
        <f>IF(OR(AI$23="",ISNA($B133)),"",IF(ISBLANK($B133),"",IFERROR(_xll.BDP(TICKER,"DEEP_MEASURE_PERIOD_BROKER_VALUE","DEEP_MEASURE_ID_OVERRIDE",$C133,"DEEP_BROKER_ID_OVERRIDE",AI$24,"DEEP_PERIOD_OVERRIDE",$H$19)*1,"")))</f>
        <v/>
      </c>
      <c r="AJ133" t="str">
        <f>IF(OR(AJ$23="",ISNA($B133)),"",IF(ISBLANK($B133),"",IFERROR(_xll.BDP(TICKER,"DEEP_MEASURE_PERIOD_BROKER_VALUE","DEEP_MEASURE_ID_OVERRIDE",$C133,"DEEP_BROKER_ID_OVERRIDE",AJ$24,"DEEP_PERIOD_OVERRIDE",$H$19)*1,"")))</f>
        <v/>
      </c>
      <c r="AK133" t="str">
        <f>IF(OR(AK$23="",ISNA($B133)),"",IF(ISBLANK($B133),"",IFERROR(_xll.BDP(TICKER,"DEEP_MEASURE_PERIOD_BROKER_VALUE","DEEP_MEASURE_ID_OVERRIDE",$C133,"DEEP_BROKER_ID_OVERRIDE",AK$24,"DEEP_PERIOD_OVERRIDE",$H$19)*1,"")))</f>
        <v/>
      </c>
      <c r="AL133" t="str">
        <f>IF(OR(AL$23="",ISNA($B133)),"",IF(ISBLANK($B133),"",IFERROR(_xll.BDP(TICKER,"DEEP_MEASURE_PERIOD_BROKER_VALUE","DEEP_MEASURE_ID_OVERRIDE",$C133,"DEEP_BROKER_ID_OVERRIDE",AL$24,"DEEP_PERIOD_OVERRIDE",$H$19)*1,"")))</f>
        <v/>
      </c>
      <c r="AM133" t="str">
        <f>IF(OR(AM$23="",ISNA($B133)),"",IF(ISBLANK($B133),"",IFERROR(_xll.BDP(TICKER,"DEEP_MEASURE_PERIOD_BROKER_VALUE","DEEP_MEASURE_ID_OVERRIDE",$C133,"DEEP_BROKER_ID_OVERRIDE",AM$24,"DEEP_PERIOD_OVERRIDE",$H$19)*1,"")))</f>
        <v/>
      </c>
      <c r="AN133" t="str">
        <f>IF(OR(AN$23="",ISNA($B133)),"",IF(ISBLANK($B133),"",IFERROR(_xll.BDP(TICKER,"DEEP_MEASURE_PERIOD_BROKER_VALUE","DEEP_MEASURE_ID_OVERRIDE",$C133,"DEEP_BROKER_ID_OVERRIDE",AN$24,"DEEP_PERIOD_OVERRIDE",$H$19)*1,"")))</f>
        <v/>
      </c>
      <c r="AO133" t="str">
        <f>IF(OR(AO$23="",ISNA($B133)),"",IF(ISBLANK($B133),"",IFERROR(_xll.BDP(TICKER,"DEEP_MEASURE_PERIOD_BROKER_VALUE","DEEP_MEASURE_ID_OVERRIDE",$C133,"DEEP_BROKER_ID_OVERRIDE",AO$24,"DEEP_PERIOD_OVERRIDE",$H$19)*1,"")))</f>
        <v/>
      </c>
      <c r="AP133" t="str">
        <f>IF(OR(AP$23="",ISNA($B133)),"",IF(ISBLANK($B133),"",IFERROR(_xll.BDP(TICKER,"DEEP_MEASURE_PERIOD_BROKER_VALUE","DEEP_MEASURE_ID_OVERRIDE",$C133,"DEEP_BROKER_ID_OVERRIDE",AP$24,"DEEP_PERIOD_OVERRIDE",$H$19)*1,"")))</f>
        <v/>
      </c>
      <c r="AQ133" t="str">
        <f>IF(OR(AQ$23="",ISNA($B133)),"",IF(ISBLANK($B133),"",IFERROR(_xll.BDP(TICKER,"DEEP_MEASURE_PERIOD_BROKER_VALUE","DEEP_MEASURE_ID_OVERRIDE",$C133,"DEEP_BROKER_ID_OVERRIDE",AQ$24,"DEEP_PERIOD_OVERRIDE",$H$19)*1,"")))</f>
        <v/>
      </c>
      <c r="AR133" t="str">
        <f>IF(OR(AR$23="",ISNA($B133)),"",IF(ISBLANK($B133),"",IFERROR(_xll.BDP(TICKER,"DEEP_MEASURE_PERIOD_BROKER_VALUE","DEEP_MEASURE_ID_OVERRIDE",$C133,"DEEP_BROKER_ID_OVERRIDE",AR$24,"DEEP_PERIOD_OVERRIDE",$H$19)*1,"")))</f>
        <v/>
      </c>
      <c r="AS133" t="str">
        <f>IF(OR(AS$23="",ISNA($B133)),"",IF(ISBLANK($B133),"",IFERROR(_xll.BDP(TICKER,"DEEP_MEASURE_PERIOD_BROKER_VALUE","DEEP_MEASURE_ID_OVERRIDE",$C133,"DEEP_BROKER_ID_OVERRIDE",AS$24,"DEEP_PERIOD_OVERRIDE",$H$19)*1,"")))</f>
        <v/>
      </c>
      <c r="AT133" t="str">
        <f>IF(OR(AT$23="",ISNA($B133)),"",IF(ISBLANK($B133),"",IFERROR(_xll.BDP(TICKER,"DEEP_MEASURE_PERIOD_BROKER_VALUE","DEEP_MEASURE_ID_OVERRIDE",$C133,"DEEP_BROKER_ID_OVERRIDE",AT$24,"DEEP_PERIOD_OVERRIDE",$H$19)*1,"")))</f>
        <v/>
      </c>
      <c r="AU133" t="str">
        <f>IF(OR(AU$23="",ISNA($B133)),"",IF(ISBLANK($B133),"",IFERROR(_xll.BDP(TICKER,"DEEP_MEASURE_PERIOD_BROKER_VALUE","DEEP_MEASURE_ID_OVERRIDE",$C133,"DEEP_BROKER_ID_OVERRIDE",AU$24,"DEEP_PERIOD_OVERRIDE",$H$19)*1,"")))</f>
        <v/>
      </c>
      <c r="AV133" t="str">
        <f>IF(OR(AV$23="",ISNA($B133)),"",IF(ISBLANK($B133),"",IFERROR(_xll.BDP(TICKER,"DEEP_MEASURE_PERIOD_BROKER_VALUE","DEEP_MEASURE_ID_OVERRIDE",$C133,"DEEP_BROKER_ID_OVERRIDE",AV$24,"DEEP_PERIOD_OVERRIDE",$H$19)*1,"")))</f>
        <v/>
      </c>
      <c r="AW133" t="str">
        <f>IF(OR(AW$23="",ISNA($B133)),"",IF(ISBLANK($B133),"",IFERROR(_xll.BDP(TICKER,"DEEP_MEASURE_PERIOD_BROKER_VALUE","DEEP_MEASURE_ID_OVERRIDE",$C133,"DEEP_BROKER_ID_OVERRIDE",AW$24,"DEEP_PERIOD_OVERRIDE",$H$19)*1,"")))</f>
        <v/>
      </c>
      <c r="AX133" t="str">
        <f>IF(OR(AX$23="",ISNA($B133)),"",IF(ISBLANK($B133),"",IFERROR(_xll.BDP(TICKER,"DEEP_MEASURE_PERIOD_BROKER_VALUE","DEEP_MEASURE_ID_OVERRIDE",$C133,"DEEP_BROKER_ID_OVERRIDE",AX$24,"DEEP_PERIOD_OVERRIDE",$H$19)*1,"")))</f>
        <v/>
      </c>
      <c r="AY133" t="str">
        <f>IF(OR(AY$23="",ISNA($B133)),"",IF(ISBLANK($B133),"",IFERROR(_xll.BDP(TICKER,"DEEP_MEASURE_PERIOD_BROKER_VALUE","DEEP_MEASURE_ID_OVERRIDE",$C133,"DEEP_BROKER_ID_OVERRIDE",AY$24,"DEEP_PERIOD_OVERRIDE",$H$19)*1,"")))</f>
        <v/>
      </c>
      <c r="AZ133" t="str">
        <f>IF(OR(AZ$23="",ISNA($B133)),"",IF(ISBLANK($B133),"",IFERROR(_xll.BDP(TICKER,"DEEP_MEASURE_PERIOD_BROKER_VALUE","DEEP_MEASURE_ID_OVERRIDE",$C133,"DEEP_BROKER_ID_OVERRIDE",AZ$24,"DEEP_PERIOD_OVERRIDE",$H$19)*1,"")))</f>
        <v/>
      </c>
      <c r="BA133" t="str">
        <f>IF(OR(BA$23="",ISNA($B133)),"",IF(ISBLANK($B133),"",IFERROR(_xll.BDP(TICKER,"DEEP_MEASURE_PERIOD_BROKER_VALUE","DEEP_MEASURE_ID_OVERRIDE",$C133,"DEEP_BROKER_ID_OVERRIDE",BA$24,"DEEP_PERIOD_OVERRIDE",$H$19)*1,"")))</f>
        <v/>
      </c>
      <c r="BB133" t="str">
        <f>IF(OR(BB$23="",ISNA($B133)),"",IF(ISBLANK($B133),"",IFERROR(_xll.BDP(TICKER,"DEEP_MEASURE_PERIOD_BROKER_VALUE","DEEP_MEASURE_ID_OVERRIDE",$C133,"DEEP_BROKER_ID_OVERRIDE",BB$24,"DEEP_PERIOD_OVERRIDE",$H$19)*1,"")))</f>
        <v/>
      </c>
      <c r="BC133" t="str">
        <f>IF(OR(BC$23="",ISNA($B133)),"",IF(ISBLANK($B133),"",IFERROR(_xll.BDP(TICKER,"DEEP_MEASURE_PERIOD_BROKER_VALUE","DEEP_MEASURE_ID_OVERRIDE",$C133,"DEEP_BROKER_ID_OVERRIDE",BC$24,"DEEP_PERIOD_OVERRIDE",$H$19)*1,"")))</f>
        <v/>
      </c>
      <c r="BD133" t="str">
        <f>IF(OR(BD$23="",ISNA($B133)),"",IF(ISBLANK($B133),"",IFERROR(_xll.BDP(TICKER,"DEEP_MEASURE_PERIOD_BROKER_VALUE","DEEP_MEASURE_ID_OVERRIDE",$C133,"DEEP_BROKER_ID_OVERRIDE",BD$24,"DEEP_PERIOD_OVERRIDE",$H$19)*1,"")))</f>
        <v/>
      </c>
      <c r="BE133" t="str">
        <f>IF(OR(BE$23="",ISNA($B133)),"",IF(ISBLANK($B133),"",IFERROR(_xll.BDP(TICKER,"DEEP_MEASURE_PERIOD_BROKER_VALUE","DEEP_MEASURE_ID_OVERRIDE",$C133,"DEEP_BROKER_ID_OVERRIDE",BE$24,"DEEP_PERIOD_OVERRIDE",$H$19)*1,"")))</f>
        <v/>
      </c>
      <c r="BF133" t="str">
        <f>IF(OR(BF$23="",ISNA($B133)),"",IF(ISBLANK($B133),"",IFERROR(_xll.BDP(TICKER,"DEEP_MEASURE_PERIOD_BROKER_VALUE","DEEP_MEASURE_ID_OVERRIDE",$C133,"DEEP_BROKER_ID_OVERRIDE",BF$24,"DEEP_PERIOD_OVERRIDE",$H$19)*1,"")))</f>
        <v/>
      </c>
      <c r="BG133" t="str">
        <f>IF(OR(BG$23="",ISNA($B133)),"",IF(ISBLANK($B133),"",IFERROR(_xll.BDP(TICKER,"DEEP_MEASURE_PERIOD_BROKER_VALUE","DEEP_MEASURE_ID_OVERRIDE",$C133,"DEEP_BROKER_ID_OVERRIDE",BG$24,"DEEP_PERIOD_OVERRIDE",$H$19)*1,"")))</f>
        <v/>
      </c>
      <c r="BH133" t="str">
        <f>IF(OR(BH$23="",ISNA($B133)),"",IF(ISBLANK($B133),"",IFERROR(_xll.BDP(TICKER,"DEEP_MEASURE_PERIOD_BROKER_VALUE","DEEP_MEASURE_ID_OVERRIDE",$C133,"DEEP_BROKER_ID_OVERRIDE",BH$24,"DEEP_PERIOD_OVERRIDE",$H$19)*1,"")))</f>
        <v/>
      </c>
      <c r="BI133" t="str">
        <f>IF(OR(BI$23="",ISNA($B133)),"",IF(ISBLANK($B133),"",IFERROR(_xll.BDP(TICKER,"DEEP_MEASURE_PERIOD_BROKER_VALUE","DEEP_MEASURE_ID_OVERRIDE",$C133,"DEEP_BROKER_ID_OVERRIDE",BI$24,"DEEP_PERIOD_OVERRIDE",$H$19)*1,"")))</f>
        <v/>
      </c>
      <c r="BJ133" t="str">
        <f>IF(OR(BJ$23="",ISNA($B133)),"",IF(ISBLANK($B133),"",IFERROR(_xll.BDP(TICKER,"DEEP_MEASURE_PERIOD_BROKER_VALUE","DEEP_MEASURE_ID_OVERRIDE",$C133,"DEEP_BROKER_ID_OVERRIDE",BJ$24,"DEEP_PERIOD_OVERRIDE",$H$19)*1,"")))</f>
        <v/>
      </c>
      <c r="BK133" t="str">
        <f>IF(OR(BK$23="",ISNA($B133)),"",IF(ISBLANK($B133),"",IFERROR(_xll.BDP(TICKER,"DEEP_MEASURE_PERIOD_BROKER_VALUE","DEEP_MEASURE_ID_OVERRIDE",$C133,"DEEP_BROKER_ID_OVERRIDE",BK$24,"DEEP_PERIOD_OVERRIDE",$H$19)*1,"")))</f>
        <v/>
      </c>
      <c r="BL133" t="str">
        <f>IF(OR(BL$23="",ISNA($B133)),"",IF(ISBLANK($B133),"",IFERROR(_xll.BDP(TICKER,"DEEP_MEASURE_PERIOD_BROKER_VALUE","DEEP_MEASURE_ID_OVERRIDE",$C133,"DEEP_BROKER_ID_OVERRIDE",BL$24,"DEEP_PERIOD_OVERRIDE",$H$19)*1,"")))</f>
        <v/>
      </c>
      <c r="BM133" t="str">
        <f>IF(OR(BM$23="",ISNA($B133)),"",IF(ISBLANK($B133),"",IFERROR(_xll.BDP(TICKER,"DEEP_MEASURE_PERIOD_BROKER_VALUE","DEEP_MEASURE_ID_OVERRIDE",$C133,"DEEP_BROKER_ID_OVERRIDE",BM$24,"DEEP_PERIOD_OVERRIDE",$H$19)*1,"")))</f>
        <v/>
      </c>
      <c r="BN133" t="str">
        <f>IF(OR(BN$23="",ISNA($B133)),"",IF(ISBLANK($B133),"",IFERROR(_xll.BDP(TICKER,"DEEP_MEASURE_PERIOD_BROKER_VALUE","DEEP_MEASURE_ID_OVERRIDE",$C133,"DEEP_BROKER_ID_OVERRIDE",BN$24,"DEEP_PERIOD_OVERRIDE",$H$19)*1,"")))</f>
        <v/>
      </c>
      <c r="BO133" t="str">
        <f>IF(OR(BO$23="",ISNA($B133)),"",IF(ISBLANK($B133),"",IFERROR(_xll.BDP(TICKER,"DEEP_MEASURE_PERIOD_BROKER_VALUE","DEEP_MEASURE_ID_OVERRIDE",$C133,"DEEP_BROKER_ID_OVERRIDE",BO$24,"DEEP_PERIOD_OVERRIDE",$H$19)*1,"")))</f>
        <v/>
      </c>
      <c r="BP133" t="str">
        <f>IF(OR(BP$23="",ISNA($B133)),"",IF(ISBLANK($B133),"",IFERROR(_xll.BDP(TICKER,"DEEP_MEASURE_PERIOD_BROKER_VALUE","DEEP_MEASURE_ID_OVERRIDE",$C133,"DEEP_BROKER_ID_OVERRIDE",BP$24,"DEEP_PERIOD_OVERRIDE",$H$19)*1,"")))</f>
        <v/>
      </c>
      <c r="BQ133" t="str">
        <f>IF(OR(BQ$23="",ISNA($B133)),"",IF(ISBLANK($B133),"",IFERROR(_xll.BDP(TICKER,"DEEP_MEASURE_PERIOD_BROKER_VALUE","DEEP_MEASURE_ID_OVERRIDE",$C133,"DEEP_BROKER_ID_OVERRIDE",BQ$24,"DEEP_PERIOD_OVERRIDE",$H$19)*1,"")))</f>
        <v/>
      </c>
      <c r="BR133" t="str">
        <f>IF(OR(BR$23="",ISNA($B133)),"",IF(ISBLANK($B133),"",IFERROR(_xll.BDP(TICKER,"DEEP_MEASURE_PERIOD_BROKER_VALUE","DEEP_MEASURE_ID_OVERRIDE",$C133,"DEEP_BROKER_ID_OVERRIDE",BR$24,"DEEP_PERIOD_OVERRIDE",$H$19)*1,"")))</f>
        <v/>
      </c>
      <c r="BS133" t="str">
        <f>IF(OR(BS$23="",ISNA($B133)),"",IF(ISBLANK($B133),"",IFERROR(_xll.BDP(TICKER,"DEEP_MEASURE_PERIOD_BROKER_VALUE","DEEP_MEASURE_ID_OVERRIDE",$C133,"DEEP_BROKER_ID_OVERRIDE",BS$24,"DEEP_PERIOD_OVERRIDE",$H$19)*1,"")))</f>
        <v/>
      </c>
      <c r="BT133" t="str">
        <f>IF(OR(BT$23="",ISNA($B133)),"",IF(ISBLANK($B133),"",IFERROR(_xll.BDP(TICKER,"DEEP_MEASURE_PERIOD_BROKER_VALUE","DEEP_MEASURE_ID_OVERRIDE",$C133,"DEEP_BROKER_ID_OVERRIDE",BT$24,"DEEP_PERIOD_OVERRIDE",$H$19)*1,"")))</f>
        <v/>
      </c>
      <c r="BU133" t="str">
        <f>IF(OR(BU$23="",ISNA($B133)),"",IF(ISBLANK($B133),"",IFERROR(_xll.BDP(TICKER,"DEEP_MEASURE_PERIOD_BROKER_VALUE","DEEP_MEASURE_ID_OVERRIDE",$C133,"DEEP_BROKER_ID_OVERRIDE",BU$24,"DEEP_PERIOD_OVERRIDE",$H$19)*1,"")))</f>
        <v/>
      </c>
      <c r="BV133" t="str">
        <f>IF(OR(BV$23="",ISNA($B133)),"",IF(ISBLANK($B133),"",IFERROR(_xll.BDP(TICKER,"DEEP_MEASURE_PERIOD_BROKER_VALUE","DEEP_MEASURE_ID_OVERRIDE",$C133,"DEEP_BROKER_ID_OVERRIDE",BV$24,"DEEP_PERIOD_OVERRIDE",$H$19)*1,"")))</f>
        <v/>
      </c>
      <c r="BW133" t="str">
        <f>IF(OR(BW$23="",ISNA($B133)),"",IF(ISBLANK($B133),"",IFERROR(_xll.BDP(TICKER,"DEEP_MEASURE_PERIOD_BROKER_VALUE","DEEP_MEASURE_ID_OVERRIDE",$C133,"DEEP_BROKER_ID_OVERRIDE",BW$24,"DEEP_PERIOD_OVERRIDE",$H$19)*1,"")))</f>
        <v/>
      </c>
      <c r="BX133" t="str">
        <f>IF(OR(BX$23="",ISNA($B133)),"",IF(ISBLANK($B133),"",IFERROR(_xll.BDP(TICKER,"DEEP_MEASURE_PERIOD_BROKER_VALUE","DEEP_MEASURE_ID_OVERRIDE",$C133,"DEEP_BROKER_ID_OVERRIDE",BX$24,"DEEP_PERIOD_OVERRIDE",$H$19)*1,"")))</f>
        <v/>
      </c>
      <c r="BY133" t="str">
        <f>IF(OR(BY$23="",ISNA($B133)),"",IF(ISBLANK($B133),"",IFERROR(_xll.BDP(TICKER,"DEEP_MEASURE_PERIOD_BROKER_VALUE","DEEP_MEASURE_ID_OVERRIDE",$C133,"DEEP_BROKER_ID_OVERRIDE",BY$24,"DEEP_PERIOD_OVERRIDE",$H$19)*1,"")))</f>
        <v/>
      </c>
      <c r="BZ133" t="str">
        <f>IF(OR(BZ$23="",ISNA($B133)),"",IF(ISBLANK($B133),"",IFERROR(_xll.BDP(TICKER,"DEEP_MEASURE_PERIOD_BROKER_VALUE","DEEP_MEASURE_ID_OVERRIDE",$C133,"DEEP_BROKER_ID_OVERRIDE",BZ$24,"DEEP_PERIOD_OVERRIDE",$H$19)*1,"")))</f>
        <v/>
      </c>
    </row>
    <row r="134" spans="2:78" x14ac:dyDescent="0.25">
      <c r="B134" t="s">
        <v>170</v>
      </c>
      <c r="C134">
        <v>9988</v>
      </c>
      <c r="H134" t="str">
        <f t="shared" si="2"/>
        <v>EBITDA &gt; YoY Growth (%)</v>
      </c>
      <c r="I134" t="str">
        <f>IF(OR(I$23="",ISNA($B134)),"",IF(ISBLANK($B134),"",IFERROR(_xll.BDP(TICKER,"DEEP_MEASURE_PERIOD_BROKER_VALUE","DEEP_MEASURE_ID_OVERRIDE",$C134,"DEEP_PERIOD_OVERRIDE",$H$19)*1,"")))</f>
        <v/>
      </c>
      <c r="J134" t="e">
        <f>IF(OR(J$23="",ISNA($B134)),"",IF(ISBLANK($B134),"",IFERROR(_xll.BDP(TICKER,"DEEP_MEASURE_PERIOD_BROKER_VALUE","DEEP_MEASURE_ID_OVERRIDE",$C134,"DEEP_BROKER_ID_OVERRIDE",J$24,"DEEP_PERIOD_OVERRIDE",$H$19)*1,"")))</f>
        <v>#REF!</v>
      </c>
      <c r="K134" t="str">
        <f>IF(OR(K$23="",ISNA($B134)),"",IF(ISBLANK($B134),"",IFERROR(_xll.BDP(TICKER,"DEEP_MEASURE_PERIOD_BROKER_VALUE","DEEP_MEASURE_ID_OVERRIDE",$C134,"DEEP_BROKER_ID_OVERRIDE",K$24,"DEEP_PERIOD_OVERRIDE",$H$19)*1,"")))</f>
        <v/>
      </c>
      <c r="L134" t="str">
        <f>IF(OR(L$23="",ISNA($B134)),"",IF(ISBLANK($B134),"",IFERROR(_xll.BDP(TICKER,"DEEP_MEASURE_PERIOD_BROKER_VALUE","DEEP_MEASURE_ID_OVERRIDE",$C134,"DEEP_BROKER_ID_OVERRIDE",L$24,"DEEP_PERIOD_OVERRIDE",$H$19)*1,"")))</f>
        <v/>
      </c>
      <c r="M134" t="str">
        <f>IF(OR(M$23="",ISNA($B134)),"",IF(ISBLANK($B134),"",IFERROR(_xll.BDP(TICKER,"DEEP_MEASURE_PERIOD_BROKER_VALUE","DEEP_MEASURE_ID_OVERRIDE",$C134,"DEEP_BROKER_ID_OVERRIDE",M$24,"DEEP_PERIOD_OVERRIDE",$H$19)*1,"")))</f>
        <v/>
      </c>
      <c r="N134" t="str">
        <f>IF(OR(N$23="",ISNA($B134)),"",IF(ISBLANK($B134),"",IFERROR(_xll.BDP(TICKER,"DEEP_MEASURE_PERIOD_BROKER_VALUE","DEEP_MEASURE_ID_OVERRIDE",$C134,"DEEP_BROKER_ID_OVERRIDE",N$24,"DEEP_PERIOD_OVERRIDE",$H$19)*1,"")))</f>
        <v/>
      </c>
      <c r="O134" t="str">
        <f>IF(OR(O$23="",ISNA($B134)),"",IF(ISBLANK($B134),"",IFERROR(_xll.BDP(TICKER,"DEEP_MEASURE_PERIOD_BROKER_VALUE","DEEP_MEASURE_ID_OVERRIDE",$C134,"DEEP_BROKER_ID_OVERRIDE",O$24,"DEEP_PERIOD_OVERRIDE",$H$19)*1,"")))</f>
        <v/>
      </c>
      <c r="P134" t="str">
        <f>IF(OR(P$23="",ISNA($B134)),"",IF(ISBLANK($B134),"",IFERROR(_xll.BDP(TICKER,"DEEP_MEASURE_PERIOD_BROKER_VALUE","DEEP_MEASURE_ID_OVERRIDE",$C134,"DEEP_BROKER_ID_OVERRIDE",P$24,"DEEP_PERIOD_OVERRIDE",$H$19)*1,"")))</f>
        <v/>
      </c>
      <c r="Q134" t="str">
        <f>IF(OR(Q$23="",ISNA($B134)),"",IF(ISBLANK($B134),"",IFERROR(_xll.BDP(TICKER,"DEEP_MEASURE_PERIOD_BROKER_VALUE","DEEP_MEASURE_ID_OVERRIDE",$C134,"DEEP_BROKER_ID_OVERRIDE",Q$24,"DEEP_PERIOD_OVERRIDE",$H$19)*1,"")))</f>
        <v/>
      </c>
      <c r="R134" t="str">
        <f>IF(OR(R$23="",ISNA($B134)),"",IF(ISBLANK($B134),"",IFERROR(_xll.BDP(TICKER,"DEEP_MEASURE_PERIOD_BROKER_VALUE","DEEP_MEASURE_ID_OVERRIDE",$C134,"DEEP_BROKER_ID_OVERRIDE",R$24,"DEEP_PERIOD_OVERRIDE",$H$19)*1,"")))</f>
        <v/>
      </c>
      <c r="S134" t="str">
        <f>IF(OR(S$23="",ISNA($B134)),"",IF(ISBLANK($B134),"",IFERROR(_xll.BDP(TICKER,"DEEP_MEASURE_PERIOD_BROKER_VALUE","DEEP_MEASURE_ID_OVERRIDE",$C134,"DEEP_BROKER_ID_OVERRIDE",S$24,"DEEP_PERIOD_OVERRIDE",$H$19)*1,"")))</f>
        <v/>
      </c>
      <c r="T134" t="str">
        <f>IF(OR(T$23="",ISNA($B134)),"",IF(ISBLANK($B134),"",IFERROR(_xll.BDP(TICKER,"DEEP_MEASURE_PERIOD_BROKER_VALUE","DEEP_MEASURE_ID_OVERRIDE",$C134,"DEEP_BROKER_ID_OVERRIDE",T$24,"DEEP_PERIOD_OVERRIDE",$H$19)*1,"")))</f>
        <v/>
      </c>
      <c r="U134" t="str">
        <f>IF(OR(U$23="",ISNA($B134)),"",IF(ISBLANK($B134),"",IFERROR(_xll.BDP(TICKER,"DEEP_MEASURE_PERIOD_BROKER_VALUE","DEEP_MEASURE_ID_OVERRIDE",$C134,"DEEP_BROKER_ID_OVERRIDE",U$24,"DEEP_PERIOD_OVERRIDE",$H$19)*1,"")))</f>
        <v/>
      </c>
      <c r="V134" t="str">
        <f>IF(OR(V$23="",ISNA($B134)),"",IF(ISBLANK($B134),"",IFERROR(_xll.BDP(TICKER,"DEEP_MEASURE_PERIOD_BROKER_VALUE","DEEP_MEASURE_ID_OVERRIDE",$C134,"DEEP_BROKER_ID_OVERRIDE",V$24,"DEEP_PERIOD_OVERRIDE",$H$19)*1,"")))</f>
        <v/>
      </c>
      <c r="W134" t="str">
        <f>IF(OR(W$23="",ISNA($B134)),"",IF(ISBLANK($B134),"",IFERROR(_xll.BDP(TICKER,"DEEP_MEASURE_PERIOD_BROKER_VALUE","DEEP_MEASURE_ID_OVERRIDE",$C134,"DEEP_BROKER_ID_OVERRIDE",W$24,"DEEP_PERIOD_OVERRIDE",$H$19)*1,"")))</f>
        <v/>
      </c>
      <c r="X134" t="str">
        <f>IF(OR(X$23="",ISNA($B134)),"",IF(ISBLANK($B134),"",IFERROR(_xll.BDP(TICKER,"DEEP_MEASURE_PERIOD_BROKER_VALUE","DEEP_MEASURE_ID_OVERRIDE",$C134,"DEEP_BROKER_ID_OVERRIDE",X$24,"DEEP_PERIOD_OVERRIDE",$H$19)*1,"")))</f>
        <v/>
      </c>
      <c r="Y134" t="str">
        <f>IF(OR(Y$23="",ISNA($B134)),"",IF(ISBLANK($B134),"",IFERROR(_xll.BDP(TICKER,"DEEP_MEASURE_PERIOD_BROKER_VALUE","DEEP_MEASURE_ID_OVERRIDE",$C134,"DEEP_BROKER_ID_OVERRIDE",Y$24,"DEEP_PERIOD_OVERRIDE",$H$19)*1,"")))</f>
        <v/>
      </c>
      <c r="Z134" t="str">
        <f>IF(OR(Z$23="",ISNA($B134)),"",IF(ISBLANK($B134),"",IFERROR(_xll.BDP(TICKER,"DEEP_MEASURE_PERIOD_BROKER_VALUE","DEEP_MEASURE_ID_OVERRIDE",$C134,"DEEP_BROKER_ID_OVERRIDE",Z$24,"DEEP_PERIOD_OVERRIDE",$H$19)*1,"")))</f>
        <v/>
      </c>
      <c r="AA134" t="str">
        <f>IF(OR(AA$23="",ISNA($B134)),"",IF(ISBLANK($B134),"",IFERROR(_xll.BDP(TICKER,"DEEP_MEASURE_PERIOD_BROKER_VALUE","DEEP_MEASURE_ID_OVERRIDE",$C134,"DEEP_BROKER_ID_OVERRIDE",AA$24,"DEEP_PERIOD_OVERRIDE",$H$19)*1,"")))</f>
        <v/>
      </c>
      <c r="AB134" t="str">
        <f>IF(OR(AB$23="",ISNA($B134)),"",IF(ISBLANK($B134),"",IFERROR(_xll.BDP(TICKER,"DEEP_MEASURE_PERIOD_BROKER_VALUE","DEEP_MEASURE_ID_OVERRIDE",$C134,"DEEP_BROKER_ID_OVERRIDE",AB$24,"DEEP_PERIOD_OVERRIDE",$H$19)*1,"")))</f>
        <v/>
      </c>
      <c r="AC134" t="str">
        <f>IF(OR(AC$23="",ISNA($B134)),"",IF(ISBLANK($B134),"",IFERROR(_xll.BDP(TICKER,"DEEP_MEASURE_PERIOD_BROKER_VALUE","DEEP_MEASURE_ID_OVERRIDE",$C134,"DEEP_BROKER_ID_OVERRIDE",AC$24,"DEEP_PERIOD_OVERRIDE",$H$19)*1,"")))</f>
        <v/>
      </c>
      <c r="AD134" t="str">
        <f>IF(OR(AD$23="",ISNA($B134)),"",IF(ISBLANK($B134),"",IFERROR(_xll.BDP(TICKER,"DEEP_MEASURE_PERIOD_BROKER_VALUE","DEEP_MEASURE_ID_OVERRIDE",$C134,"DEEP_BROKER_ID_OVERRIDE",AD$24,"DEEP_PERIOD_OVERRIDE",$H$19)*1,"")))</f>
        <v/>
      </c>
      <c r="AE134" t="str">
        <f>IF(OR(AE$23="",ISNA($B134)),"",IF(ISBLANK($B134),"",IFERROR(_xll.BDP(TICKER,"DEEP_MEASURE_PERIOD_BROKER_VALUE","DEEP_MEASURE_ID_OVERRIDE",$C134,"DEEP_BROKER_ID_OVERRIDE",AE$24,"DEEP_PERIOD_OVERRIDE",$H$19)*1,"")))</f>
        <v/>
      </c>
      <c r="AF134" t="str">
        <f>IF(OR(AF$23="",ISNA($B134)),"",IF(ISBLANK($B134),"",IFERROR(_xll.BDP(TICKER,"DEEP_MEASURE_PERIOD_BROKER_VALUE","DEEP_MEASURE_ID_OVERRIDE",$C134,"DEEP_BROKER_ID_OVERRIDE",AF$24,"DEEP_PERIOD_OVERRIDE",$H$19)*1,"")))</f>
        <v/>
      </c>
      <c r="AG134" t="str">
        <f>IF(OR(AG$23="",ISNA($B134)),"",IF(ISBLANK($B134),"",IFERROR(_xll.BDP(TICKER,"DEEP_MEASURE_PERIOD_BROKER_VALUE","DEEP_MEASURE_ID_OVERRIDE",$C134,"DEEP_BROKER_ID_OVERRIDE",AG$24,"DEEP_PERIOD_OVERRIDE",$H$19)*1,"")))</f>
        <v/>
      </c>
      <c r="AH134" t="str">
        <f>IF(OR(AH$23="",ISNA($B134)),"",IF(ISBLANK($B134),"",IFERROR(_xll.BDP(TICKER,"DEEP_MEASURE_PERIOD_BROKER_VALUE","DEEP_MEASURE_ID_OVERRIDE",$C134,"DEEP_BROKER_ID_OVERRIDE",AH$24,"DEEP_PERIOD_OVERRIDE",$H$19)*1,"")))</f>
        <v/>
      </c>
      <c r="AI134" t="str">
        <f>IF(OR(AI$23="",ISNA($B134)),"",IF(ISBLANK($B134),"",IFERROR(_xll.BDP(TICKER,"DEEP_MEASURE_PERIOD_BROKER_VALUE","DEEP_MEASURE_ID_OVERRIDE",$C134,"DEEP_BROKER_ID_OVERRIDE",AI$24,"DEEP_PERIOD_OVERRIDE",$H$19)*1,"")))</f>
        <v/>
      </c>
      <c r="AJ134" t="str">
        <f>IF(OR(AJ$23="",ISNA($B134)),"",IF(ISBLANK($B134),"",IFERROR(_xll.BDP(TICKER,"DEEP_MEASURE_PERIOD_BROKER_VALUE","DEEP_MEASURE_ID_OVERRIDE",$C134,"DEEP_BROKER_ID_OVERRIDE",AJ$24,"DEEP_PERIOD_OVERRIDE",$H$19)*1,"")))</f>
        <v/>
      </c>
      <c r="AK134" t="str">
        <f>IF(OR(AK$23="",ISNA($B134)),"",IF(ISBLANK($B134),"",IFERROR(_xll.BDP(TICKER,"DEEP_MEASURE_PERIOD_BROKER_VALUE","DEEP_MEASURE_ID_OVERRIDE",$C134,"DEEP_BROKER_ID_OVERRIDE",AK$24,"DEEP_PERIOD_OVERRIDE",$H$19)*1,"")))</f>
        <v/>
      </c>
      <c r="AL134" t="str">
        <f>IF(OR(AL$23="",ISNA($B134)),"",IF(ISBLANK($B134),"",IFERROR(_xll.BDP(TICKER,"DEEP_MEASURE_PERIOD_BROKER_VALUE","DEEP_MEASURE_ID_OVERRIDE",$C134,"DEEP_BROKER_ID_OVERRIDE",AL$24,"DEEP_PERIOD_OVERRIDE",$H$19)*1,"")))</f>
        <v/>
      </c>
      <c r="AM134" t="str">
        <f>IF(OR(AM$23="",ISNA($B134)),"",IF(ISBLANK($B134),"",IFERROR(_xll.BDP(TICKER,"DEEP_MEASURE_PERIOD_BROKER_VALUE","DEEP_MEASURE_ID_OVERRIDE",$C134,"DEEP_BROKER_ID_OVERRIDE",AM$24,"DEEP_PERIOD_OVERRIDE",$H$19)*1,"")))</f>
        <v/>
      </c>
      <c r="AN134" t="str">
        <f>IF(OR(AN$23="",ISNA($B134)),"",IF(ISBLANK($B134),"",IFERROR(_xll.BDP(TICKER,"DEEP_MEASURE_PERIOD_BROKER_VALUE","DEEP_MEASURE_ID_OVERRIDE",$C134,"DEEP_BROKER_ID_OVERRIDE",AN$24,"DEEP_PERIOD_OVERRIDE",$H$19)*1,"")))</f>
        <v/>
      </c>
      <c r="AO134" t="str">
        <f>IF(OR(AO$23="",ISNA($B134)),"",IF(ISBLANK($B134),"",IFERROR(_xll.BDP(TICKER,"DEEP_MEASURE_PERIOD_BROKER_VALUE","DEEP_MEASURE_ID_OVERRIDE",$C134,"DEEP_BROKER_ID_OVERRIDE",AO$24,"DEEP_PERIOD_OVERRIDE",$H$19)*1,"")))</f>
        <v/>
      </c>
      <c r="AP134" t="str">
        <f>IF(OR(AP$23="",ISNA($B134)),"",IF(ISBLANK($B134),"",IFERROR(_xll.BDP(TICKER,"DEEP_MEASURE_PERIOD_BROKER_VALUE","DEEP_MEASURE_ID_OVERRIDE",$C134,"DEEP_BROKER_ID_OVERRIDE",AP$24,"DEEP_PERIOD_OVERRIDE",$H$19)*1,"")))</f>
        <v/>
      </c>
      <c r="AQ134" t="str">
        <f>IF(OR(AQ$23="",ISNA($B134)),"",IF(ISBLANK($B134),"",IFERROR(_xll.BDP(TICKER,"DEEP_MEASURE_PERIOD_BROKER_VALUE","DEEP_MEASURE_ID_OVERRIDE",$C134,"DEEP_BROKER_ID_OVERRIDE",AQ$24,"DEEP_PERIOD_OVERRIDE",$H$19)*1,"")))</f>
        <v/>
      </c>
      <c r="AR134" t="str">
        <f>IF(OR(AR$23="",ISNA($B134)),"",IF(ISBLANK($B134),"",IFERROR(_xll.BDP(TICKER,"DEEP_MEASURE_PERIOD_BROKER_VALUE","DEEP_MEASURE_ID_OVERRIDE",$C134,"DEEP_BROKER_ID_OVERRIDE",AR$24,"DEEP_PERIOD_OVERRIDE",$H$19)*1,"")))</f>
        <v/>
      </c>
      <c r="AS134" t="str">
        <f>IF(OR(AS$23="",ISNA($B134)),"",IF(ISBLANK($B134),"",IFERROR(_xll.BDP(TICKER,"DEEP_MEASURE_PERIOD_BROKER_VALUE","DEEP_MEASURE_ID_OVERRIDE",$C134,"DEEP_BROKER_ID_OVERRIDE",AS$24,"DEEP_PERIOD_OVERRIDE",$H$19)*1,"")))</f>
        <v/>
      </c>
      <c r="AT134" t="str">
        <f>IF(OR(AT$23="",ISNA($B134)),"",IF(ISBLANK($B134),"",IFERROR(_xll.BDP(TICKER,"DEEP_MEASURE_PERIOD_BROKER_VALUE","DEEP_MEASURE_ID_OVERRIDE",$C134,"DEEP_BROKER_ID_OVERRIDE",AT$24,"DEEP_PERIOD_OVERRIDE",$H$19)*1,"")))</f>
        <v/>
      </c>
      <c r="AU134" t="str">
        <f>IF(OR(AU$23="",ISNA($B134)),"",IF(ISBLANK($B134),"",IFERROR(_xll.BDP(TICKER,"DEEP_MEASURE_PERIOD_BROKER_VALUE","DEEP_MEASURE_ID_OVERRIDE",$C134,"DEEP_BROKER_ID_OVERRIDE",AU$24,"DEEP_PERIOD_OVERRIDE",$H$19)*1,"")))</f>
        <v/>
      </c>
      <c r="AV134" t="str">
        <f>IF(OR(AV$23="",ISNA($B134)),"",IF(ISBLANK($B134),"",IFERROR(_xll.BDP(TICKER,"DEEP_MEASURE_PERIOD_BROKER_VALUE","DEEP_MEASURE_ID_OVERRIDE",$C134,"DEEP_BROKER_ID_OVERRIDE",AV$24,"DEEP_PERIOD_OVERRIDE",$H$19)*1,"")))</f>
        <v/>
      </c>
      <c r="AW134" t="str">
        <f>IF(OR(AW$23="",ISNA($B134)),"",IF(ISBLANK($B134),"",IFERROR(_xll.BDP(TICKER,"DEEP_MEASURE_PERIOD_BROKER_VALUE","DEEP_MEASURE_ID_OVERRIDE",$C134,"DEEP_BROKER_ID_OVERRIDE",AW$24,"DEEP_PERIOD_OVERRIDE",$H$19)*1,"")))</f>
        <v/>
      </c>
      <c r="AX134" t="str">
        <f>IF(OR(AX$23="",ISNA($B134)),"",IF(ISBLANK($B134),"",IFERROR(_xll.BDP(TICKER,"DEEP_MEASURE_PERIOD_BROKER_VALUE","DEEP_MEASURE_ID_OVERRIDE",$C134,"DEEP_BROKER_ID_OVERRIDE",AX$24,"DEEP_PERIOD_OVERRIDE",$H$19)*1,"")))</f>
        <v/>
      </c>
      <c r="AY134" t="str">
        <f>IF(OR(AY$23="",ISNA($B134)),"",IF(ISBLANK($B134),"",IFERROR(_xll.BDP(TICKER,"DEEP_MEASURE_PERIOD_BROKER_VALUE","DEEP_MEASURE_ID_OVERRIDE",$C134,"DEEP_BROKER_ID_OVERRIDE",AY$24,"DEEP_PERIOD_OVERRIDE",$H$19)*1,"")))</f>
        <v/>
      </c>
      <c r="AZ134" t="str">
        <f>IF(OR(AZ$23="",ISNA($B134)),"",IF(ISBLANK($B134),"",IFERROR(_xll.BDP(TICKER,"DEEP_MEASURE_PERIOD_BROKER_VALUE","DEEP_MEASURE_ID_OVERRIDE",$C134,"DEEP_BROKER_ID_OVERRIDE",AZ$24,"DEEP_PERIOD_OVERRIDE",$H$19)*1,"")))</f>
        <v/>
      </c>
      <c r="BA134" t="str">
        <f>IF(OR(BA$23="",ISNA($B134)),"",IF(ISBLANK($B134),"",IFERROR(_xll.BDP(TICKER,"DEEP_MEASURE_PERIOD_BROKER_VALUE","DEEP_MEASURE_ID_OVERRIDE",$C134,"DEEP_BROKER_ID_OVERRIDE",BA$24,"DEEP_PERIOD_OVERRIDE",$H$19)*1,"")))</f>
        <v/>
      </c>
      <c r="BB134" t="str">
        <f>IF(OR(BB$23="",ISNA($B134)),"",IF(ISBLANK($B134),"",IFERROR(_xll.BDP(TICKER,"DEEP_MEASURE_PERIOD_BROKER_VALUE","DEEP_MEASURE_ID_OVERRIDE",$C134,"DEEP_BROKER_ID_OVERRIDE",BB$24,"DEEP_PERIOD_OVERRIDE",$H$19)*1,"")))</f>
        <v/>
      </c>
      <c r="BC134" t="str">
        <f>IF(OR(BC$23="",ISNA($B134)),"",IF(ISBLANK($B134),"",IFERROR(_xll.BDP(TICKER,"DEEP_MEASURE_PERIOD_BROKER_VALUE","DEEP_MEASURE_ID_OVERRIDE",$C134,"DEEP_BROKER_ID_OVERRIDE",BC$24,"DEEP_PERIOD_OVERRIDE",$H$19)*1,"")))</f>
        <v/>
      </c>
      <c r="BD134" t="str">
        <f>IF(OR(BD$23="",ISNA($B134)),"",IF(ISBLANK($B134),"",IFERROR(_xll.BDP(TICKER,"DEEP_MEASURE_PERIOD_BROKER_VALUE","DEEP_MEASURE_ID_OVERRIDE",$C134,"DEEP_BROKER_ID_OVERRIDE",BD$24,"DEEP_PERIOD_OVERRIDE",$H$19)*1,"")))</f>
        <v/>
      </c>
      <c r="BE134" t="str">
        <f>IF(OR(BE$23="",ISNA($B134)),"",IF(ISBLANK($B134),"",IFERROR(_xll.BDP(TICKER,"DEEP_MEASURE_PERIOD_BROKER_VALUE","DEEP_MEASURE_ID_OVERRIDE",$C134,"DEEP_BROKER_ID_OVERRIDE",BE$24,"DEEP_PERIOD_OVERRIDE",$H$19)*1,"")))</f>
        <v/>
      </c>
      <c r="BF134" t="str">
        <f>IF(OR(BF$23="",ISNA($B134)),"",IF(ISBLANK($B134),"",IFERROR(_xll.BDP(TICKER,"DEEP_MEASURE_PERIOD_BROKER_VALUE","DEEP_MEASURE_ID_OVERRIDE",$C134,"DEEP_BROKER_ID_OVERRIDE",BF$24,"DEEP_PERIOD_OVERRIDE",$H$19)*1,"")))</f>
        <v/>
      </c>
      <c r="BG134" t="str">
        <f>IF(OR(BG$23="",ISNA($B134)),"",IF(ISBLANK($B134),"",IFERROR(_xll.BDP(TICKER,"DEEP_MEASURE_PERIOD_BROKER_VALUE","DEEP_MEASURE_ID_OVERRIDE",$C134,"DEEP_BROKER_ID_OVERRIDE",BG$24,"DEEP_PERIOD_OVERRIDE",$H$19)*1,"")))</f>
        <v/>
      </c>
      <c r="BH134" t="str">
        <f>IF(OR(BH$23="",ISNA($B134)),"",IF(ISBLANK($B134),"",IFERROR(_xll.BDP(TICKER,"DEEP_MEASURE_PERIOD_BROKER_VALUE","DEEP_MEASURE_ID_OVERRIDE",$C134,"DEEP_BROKER_ID_OVERRIDE",BH$24,"DEEP_PERIOD_OVERRIDE",$H$19)*1,"")))</f>
        <v/>
      </c>
      <c r="BI134" t="str">
        <f>IF(OR(BI$23="",ISNA($B134)),"",IF(ISBLANK($B134),"",IFERROR(_xll.BDP(TICKER,"DEEP_MEASURE_PERIOD_BROKER_VALUE","DEEP_MEASURE_ID_OVERRIDE",$C134,"DEEP_BROKER_ID_OVERRIDE",BI$24,"DEEP_PERIOD_OVERRIDE",$H$19)*1,"")))</f>
        <v/>
      </c>
      <c r="BJ134" t="str">
        <f>IF(OR(BJ$23="",ISNA($B134)),"",IF(ISBLANK($B134),"",IFERROR(_xll.BDP(TICKER,"DEEP_MEASURE_PERIOD_BROKER_VALUE","DEEP_MEASURE_ID_OVERRIDE",$C134,"DEEP_BROKER_ID_OVERRIDE",BJ$24,"DEEP_PERIOD_OVERRIDE",$H$19)*1,"")))</f>
        <v/>
      </c>
      <c r="BK134" t="str">
        <f>IF(OR(BK$23="",ISNA($B134)),"",IF(ISBLANK($B134),"",IFERROR(_xll.BDP(TICKER,"DEEP_MEASURE_PERIOD_BROKER_VALUE","DEEP_MEASURE_ID_OVERRIDE",$C134,"DEEP_BROKER_ID_OVERRIDE",BK$24,"DEEP_PERIOD_OVERRIDE",$H$19)*1,"")))</f>
        <v/>
      </c>
      <c r="BL134" t="str">
        <f>IF(OR(BL$23="",ISNA($B134)),"",IF(ISBLANK($B134),"",IFERROR(_xll.BDP(TICKER,"DEEP_MEASURE_PERIOD_BROKER_VALUE","DEEP_MEASURE_ID_OVERRIDE",$C134,"DEEP_BROKER_ID_OVERRIDE",BL$24,"DEEP_PERIOD_OVERRIDE",$H$19)*1,"")))</f>
        <v/>
      </c>
      <c r="BM134" t="str">
        <f>IF(OR(BM$23="",ISNA($B134)),"",IF(ISBLANK($B134),"",IFERROR(_xll.BDP(TICKER,"DEEP_MEASURE_PERIOD_BROKER_VALUE","DEEP_MEASURE_ID_OVERRIDE",$C134,"DEEP_BROKER_ID_OVERRIDE",BM$24,"DEEP_PERIOD_OVERRIDE",$H$19)*1,"")))</f>
        <v/>
      </c>
      <c r="BN134" t="str">
        <f>IF(OR(BN$23="",ISNA($B134)),"",IF(ISBLANK($B134),"",IFERROR(_xll.BDP(TICKER,"DEEP_MEASURE_PERIOD_BROKER_VALUE","DEEP_MEASURE_ID_OVERRIDE",$C134,"DEEP_BROKER_ID_OVERRIDE",BN$24,"DEEP_PERIOD_OVERRIDE",$H$19)*1,"")))</f>
        <v/>
      </c>
      <c r="BO134" t="str">
        <f>IF(OR(BO$23="",ISNA($B134)),"",IF(ISBLANK($B134),"",IFERROR(_xll.BDP(TICKER,"DEEP_MEASURE_PERIOD_BROKER_VALUE","DEEP_MEASURE_ID_OVERRIDE",$C134,"DEEP_BROKER_ID_OVERRIDE",BO$24,"DEEP_PERIOD_OVERRIDE",$H$19)*1,"")))</f>
        <v/>
      </c>
      <c r="BP134" t="str">
        <f>IF(OR(BP$23="",ISNA($B134)),"",IF(ISBLANK($B134),"",IFERROR(_xll.BDP(TICKER,"DEEP_MEASURE_PERIOD_BROKER_VALUE","DEEP_MEASURE_ID_OVERRIDE",$C134,"DEEP_BROKER_ID_OVERRIDE",BP$24,"DEEP_PERIOD_OVERRIDE",$H$19)*1,"")))</f>
        <v/>
      </c>
      <c r="BQ134" t="str">
        <f>IF(OR(BQ$23="",ISNA($B134)),"",IF(ISBLANK($B134),"",IFERROR(_xll.BDP(TICKER,"DEEP_MEASURE_PERIOD_BROKER_VALUE","DEEP_MEASURE_ID_OVERRIDE",$C134,"DEEP_BROKER_ID_OVERRIDE",BQ$24,"DEEP_PERIOD_OVERRIDE",$H$19)*1,"")))</f>
        <v/>
      </c>
      <c r="BR134" t="str">
        <f>IF(OR(BR$23="",ISNA($B134)),"",IF(ISBLANK($B134),"",IFERROR(_xll.BDP(TICKER,"DEEP_MEASURE_PERIOD_BROKER_VALUE","DEEP_MEASURE_ID_OVERRIDE",$C134,"DEEP_BROKER_ID_OVERRIDE",BR$24,"DEEP_PERIOD_OVERRIDE",$H$19)*1,"")))</f>
        <v/>
      </c>
      <c r="BS134" t="str">
        <f>IF(OR(BS$23="",ISNA($B134)),"",IF(ISBLANK($B134),"",IFERROR(_xll.BDP(TICKER,"DEEP_MEASURE_PERIOD_BROKER_VALUE","DEEP_MEASURE_ID_OVERRIDE",$C134,"DEEP_BROKER_ID_OVERRIDE",BS$24,"DEEP_PERIOD_OVERRIDE",$H$19)*1,"")))</f>
        <v/>
      </c>
      <c r="BT134" t="str">
        <f>IF(OR(BT$23="",ISNA($B134)),"",IF(ISBLANK($B134),"",IFERROR(_xll.BDP(TICKER,"DEEP_MEASURE_PERIOD_BROKER_VALUE","DEEP_MEASURE_ID_OVERRIDE",$C134,"DEEP_BROKER_ID_OVERRIDE",BT$24,"DEEP_PERIOD_OVERRIDE",$H$19)*1,"")))</f>
        <v/>
      </c>
      <c r="BU134" t="str">
        <f>IF(OR(BU$23="",ISNA($B134)),"",IF(ISBLANK($B134),"",IFERROR(_xll.BDP(TICKER,"DEEP_MEASURE_PERIOD_BROKER_VALUE","DEEP_MEASURE_ID_OVERRIDE",$C134,"DEEP_BROKER_ID_OVERRIDE",BU$24,"DEEP_PERIOD_OVERRIDE",$H$19)*1,"")))</f>
        <v/>
      </c>
      <c r="BV134" t="str">
        <f>IF(OR(BV$23="",ISNA($B134)),"",IF(ISBLANK($B134),"",IFERROR(_xll.BDP(TICKER,"DEEP_MEASURE_PERIOD_BROKER_VALUE","DEEP_MEASURE_ID_OVERRIDE",$C134,"DEEP_BROKER_ID_OVERRIDE",BV$24,"DEEP_PERIOD_OVERRIDE",$H$19)*1,"")))</f>
        <v/>
      </c>
      <c r="BW134" t="str">
        <f>IF(OR(BW$23="",ISNA($B134)),"",IF(ISBLANK($B134),"",IFERROR(_xll.BDP(TICKER,"DEEP_MEASURE_PERIOD_BROKER_VALUE","DEEP_MEASURE_ID_OVERRIDE",$C134,"DEEP_BROKER_ID_OVERRIDE",BW$24,"DEEP_PERIOD_OVERRIDE",$H$19)*1,"")))</f>
        <v/>
      </c>
      <c r="BX134" t="str">
        <f>IF(OR(BX$23="",ISNA($B134)),"",IF(ISBLANK($B134),"",IFERROR(_xll.BDP(TICKER,"DEEP_MEASURE_PERIOD_BROKER_VALUE","DEEP_MEASURE_ID_OVERRIDE",$C134,"DEEP_BROKER_ID_OVERRIDE",BX$24,"DEEP_PERIOD_OVERRIDE",$H$19)*1,"")))</f>
        <v/>
      </c>
      <c r="BY134" t="str">
        <f>IF(OR(BY$23="",ISNA($B134)),"",IF(ISBLANK($B134),"",IFERROR(_xll.BDP(TICKER,"DEEP_MEASURE_PERIOD_BROKER_VALUE","DEEP_MEASURE_ID_OVERRIDE",$C134,"DEEP_BROKER_ID_OVERRIDE",BY$24,"DEEP_PERIOD_OVERRIDE",$H$19)*1,"")))</f>
        <v/>
      </c>
      <c r="BZ134" t="str">
        <f>IF(OR(BZ$23="",ISNA($B134)),"",IF(ISBLANK($B134),"",IFERROR(_xll.BDP(TICKER,"DEEP_MEASURE_PERIOD_BROKER_VALUE","DEEP_MEASURE_ID_OVERRIDE",$C134,"DEEP_BROKER_ID_OVERRIDE",BZ$24,"DEEP_PERIOD_OVERRIDE",$H$19)*1,"")))</f>
        <v/>
      </c>
    </row>
    <row r="135" spans="2:78" x14ac:dyDescent="0.25">
      <c r="B135" t="s">
        <v>29</v>
      </c>
      <c r="C135">
        <v>3678</v>
      </c>
      <c r="H135" t="str">
        <f t="shared" si="2"/>
        <v>EBITDA &gt; EBITDA Margin (%)</v>
      </c>
      <c r="I135" t="str">
        <f>IF(OR(I$23="",ISNA($B135)),"",IF(ISBLANK($B135),"",IFERROR(_xll.BDP(TICKER,"DEEP_MEASURE_PERIOD_BROKER_VALUE","DEEP_MEASURE_ID_OVERRIDE",$C135,"DEEP_PERIOD_OVERRIDE",$H$19)*1,"")))</f>
        <v/>
      </c>
      <c r="J135" t="e">
        <f>IF(OR(J$23="",ISNA($B135)),"",IF(ISBLANK($B135),"",IFERROR(_xll.BDP(TICKER,"DEEP_MEASURE_PERIOD_BROKER_VALUE","DEEP_MEASURE_ID_OVERRIDE",$C135,"DEEP_BROKER_ID_OVERRIDE",J$24,"DEEP_PERIOD_OVERRIDE",$H$19)*1,"")))</f>
        <v>#REF!</v>
      </c>
      <c r="K135" t="str">
        <f>IF(OR(K$23="",ISNA($B135)),"",IF(ISBLANK($B135),"",IFERROR(_xll.BDP(TICKER,"DEEP_MEASURE_PERIOD_BROKER_VALUE","DEEP_MEASURE_ID_OVERRIDE",$C135,"DEEP_BROKER_ID_OVERRIDE",K$24,"DEEP_PERIOD_OVERRIDE",$H$19)*1,"")))</f>
        <v/>
      </c>
      <c r="L135" t="str">
        <f>IF(OR(L$23="",ISNA($B135)),"",IF(ISBLANK($B135),"",IFERROR(_xll.BDP(TICKER,"DEEP_MEASURE_PERIOD_BROKER_VALUE","DEEP_MEASURE_ID_OVERRIDE",$C135,"DEEP_BROKER_ID_OVERRIDE",L$24,"DEEP_PERIOD_OVERRIDE",$H$19)*1,"")))</f>
        <v/>
      </c>
      <c r="M135" t="str">
        <f>IF(OR(M$23="",ISNA($B135)),"",IF(ISBLANK($B135),"",IFERROR(_xll.BDP(TICKER,"DEEP_MEASURE_PERIOD_BROKER_VALUE","DEEP_MEASURE_ID_OVERRIDE",$C135,"DEEP_BROKER_ID_OVERRIDE",M$24,"DEEP_PERIOD_OVERRIDE",$H$19)*1,"")))</f>
        <v/>
      </c>
      <c r="N135" t="str">
        <f>IF(OR(N$23="",ISNA($B135)),"",IF(ISBLANK($B135),"",IFERROR(_xll.BDP(TICKER,"DEEP_MEASURE_PERIOD_BROKER_VALUE","DEEP_MEASURE_ID_OVERRIDE",$C135,"DEEP_BROKER_ID_OVERRIDE",N$24,"DEEP_PERIOD_OVERRIDE",$H$19)*1,"")))</f>
        <v/>
      </c>
      <c r="O135" t="str">
        <f>IF(OR(O$23="",ISNA($B135)),"",IF(ISBLANK($B135),"",IFERROR(_xll.BDP(TICKER,"DEEP_MEASURE_PERIOD_BROKER_VALUE","DEEP_MEASURE_ID_OVERRIDE",$C135,"DEEP_BROKER_ID_OVERRIDE",O$24,"DEEP_PERIOD_OVERRIDE",$H$19)*1,"")))</f>
        <v/>
      </c>
      <c r="P135" t="str">
        <f>IF(OR(P$23="",ISNA($B135)),"",IF(ISBLANK($B135),"",IFERROR(_xll.BDP(TICKER,"DEEP_MEASURE_PERIOD_BROKER_VALUE","DEEP_MEASURE_ID_OVERRIDE",$C135,"DEEP_BROKER_ID_OVERRIDE",P$24,"DEEP_PERIOD_OVERRIDE",$H$19)*1,"")))</f>
        <v/>
      </c>
      <c r="Q135" t="str">
        <f>IF(OR(Q$23="",ISNA($B135)),"",IF(ISBLANK($B135),"",IFERROR(_xll.BDP(TICKER,"DEEP_MEASURE_PERIOD_BROKER_VALUE","DEEP_MEASURE_ID_OVERRIDE",$C135,"DEEP_BROKER_ID_OVERRIDE",Q$24,"DEEP_PERIOD_OVERRIDE",$H$19)*1,"")))</f>
        <v/>
      </c>
      <c r="R135" t="str">
        <f>IF(OR(R$23="",ISNA($B135)),"",IF(ISBLANK($B135),"",IFERROR(_xll.BDP(TICKER,"DEEP_MEASURE_PERIOD_BROKER_VALUE","DEEP_MEASURE_ID_OVERRIDE",$C135,"DEEP_BROKER_ID_OVERRIDE",R$24,"DEEP_PERIOD_OVERRIDE",$H$19)*1,"")))</f>
        <v/>
      </c>
      <c r="S135" t="str">
        <f>IF(OR(S$23="",ISNA($B135)),"",IF(ISBLANK($B135),"",IFERROR(_xll.BDP(TICKER,"DEEP_MEASURE_PERIOD_BROKER_VALUE","DEEP_MEASURE_ID_OVERRIDE",$C135,"DEEP_BROKER_ID_OVERRIDE",S$24,"DEEP_PERIOD_OVERRIDE",$H$19)*1,"")))</f>
        <v/>
      </c>
      <c r="T135" t="str">
        <f>IF(OR(T$23="",ISNA($B135)),"",IF(ISBLANK($B135),"",IFERROR(_xll.BDP(TICKER,"DEEP_MEASURE_PERIOD_BROKER_VALUE","DEEP_MEASURE_ID_OVERRIDE",$C135,"DEEP_BROKER_ID_OVERRIDE",T$24,"DEEP_PERIOD_OVERRIDE",$H$19)*1,"")))</f>
        <v/>
      </c>
      <c r="U135" t="str">
        <f>IF(OR(U$23="",ISNA($B135)),"",IF(ISBLANK($B135),"",IFERROR(_xll.BDP(TICKER,"DEEP_MEASURE_PERIOD_BROKER_VALUE","DEEP_MEASURE_ID_OVERRIDE",$C135,"DEEP_BROKER_ID_OVERRIDE",U$24,"DEEP_PERIOD_OVERRIDE",$H$19)*1,"")))</f>
        <v/>
      </c>
      <c r="V135" t="str">
        <f>IF(OR(V$23="",ISNA($B135)),"",IF(ISBLANK($B135),"",IFERROR(_xll.BDP(TICKER,"DEEP_MEASURE_PERIOD_BROKER_VALUE","DEEP_MEASURE_ID_OVERRIDE",$C135,"DEEP_BROKER_ID_OVERRIDE",V$24,"DEEP_PERIOD_OVERRIDE",$H$19)*1,"")))</f>
        <v/>
      </c>
      <c r="W135" t="str">
        <f>IF(OR(W$23="",ISNA($B135)),"",IF(ISBLANK($B135),"",IFERROR(_xll.BDP(TICKER,"DEEP_MEASURE_PERIOD_BROKER_VALUE","DEEP_MEASURE_ID_OVERRIDE",$C135,"DEEP_BROKER_ID_OVERRIDE",W$24,"DEEP_PERIOD_OVERRIDE",$H$19)*1,"")))</f>
        <v/>
      </c>
      <c r="X135" t="str">
        <f>IF(OR(X$23="",ISNA($B135)),"",IF(ISBLANK($B135),"",IFERROR(_xll.BDP(TICKER,"DEEP_MEASURE_PERIOD_BROKER_VALUE","DEEP_MEASURE_ID_OVERRIDE",$C135,"DEEP_BROKER_ID_OVERRIDE",X$24,"DEEP_PERIOD_OVERRIDE",$H$19)*1,"")))</f>
        <v/>
      </c>
      <c r="Y135" t="str">
        <f>IF(OR(Y$23="",ISNA($B135)),"",IF(ISBLANK($B135),"",IFERROR(_xll.BDP(TICKER,"DEEP_MEASURE_PERIOD_BROKER_VALUE","DEEP_MEASURE_ID_OVERRIDE",$C135,"DEEP_BROKER_ID_OVERRIDE",Y$24,"DEEP_PERIOD_OVERRIDE",$H$19)*1,"")))</f>
        <v/>
      </c>
      <c r="Z135" t="str">
        <f>IF(OR(Z$23="",ISNA($B135)),"",IF(ISBLANK($B135),"",IFERROR(_xll.BDP(TICKER,"DEEP_MEASURE_PERIOD_BROKER_VALUE","DEEP_MEASURE_ID_OVERRIDE",$C135,"DEEP_BROKER_ID_OVERRIDE",Z$24,"DEEP_PERIOD_OVERRIDE",$H$19)*1,"")))</f>
        <v/>
      </c>
      <c r="AA135" t="str">
        <f>IF(OR(AA$23="",ISNA($B135)),"",IF(ISBLANK($B135),"",IFERROR(_xll.BDP(TICKER,"DEEP_MEASURE_PERIOD_BROKER_VALUE","DEEP_MEASURE_ID_OVERRIDE",$C135,"DEEP_BROKER_ID_OVERRIDE",AA$24,"DEEP_PERIOD_OVERRIDE",$H$19)*1,"")))</f>
        <v/>
      </c>
      <c r="AB135" t="str">
        <f>IF(OR(AB$23="",ISNA($B135)),"",IF(ISBLANK($B135),"",IFERROR(_xll.BDP(TICKER,"DEEP_MEASURE_PERIOD_BROKER_VALUE","DEEP_MEASURE_ID_OVERRIDE",$C135,"DEEP_BROKER_ID_OVERRIDE",AB$24,"DEEP_PERIOD_OVERRIDE",$H$19)*1,"")))</f>
        <v/>
      </c>
      <c r="AC135" t="str">
        <f>IF(OR(AC$23="",ISNA($B135)),"",IF(ISBLANK($B135),"",IFERROR(_xll.BDP(TICKER,"DEEP_MEASURE_PERIOD_BROKER_VALUE","DEEP_MEASURE_ID_OVERRIDE",$C135,"DEEP_BROKER_ID_OVERRIDE",AC$24,"DEEP_PERIOD_OVERRIDE",$H$19)*1,"")))</f>
        <v/>
      </c>
      <c r="AD135" t="str">
        <f>IF(OR(AD$23="",ISNA($B135)),"",IF(ISBLANK($B135),"",IFERROR(_xll.BDP(TICKER,"DEEP_MEASURE_PERIOD_BROKER_VALUE","DEEP_MEASURE_ID_OVERRIDE",$C135,"DEEP_BROKER_ID_OVERRIDE",AD$24,"DEEP_PERIOD_OVERRIDE",$H$19)*1,"")))</f>
        <v/>
      </c>
      <c r="AE135" t="str">
        <f>IF(OR(AE$23="",ISNA($B135)),"",IF(ISBLANK($B135),"",IFERROR(_xll.BDP(TICKER,"DEEP_MEASURE_PERIOD_BROKER_VALUE","DEEP_MEASURE_ID_OVERRIDE",$C135,"DEEP_BROKER_ID_OVERRIDE",AE$24,"DEEP_PERIOD_OVERRIDE",$H$19)*1,"")))</f>
        <v/>
      </c>
      <c r="AF135" t="str">
        <f>IF(OR(AF$23="",ISNA($B135)),"",IF(ISBLANK($B135),"",IFERROR(_xll.BDP(TICKER,"DEEP_MEASURE_PERIOD_BROKER_VALUE","DEEP_MEASURE_ID_OVERRIDE",$C135,"DEEP_BROKER_ID_OVERRIDE",AF$24,"DEEP_PERIOD_OVERRIDE",$H$19)*1,"")))</f>
        <v/>
      </c>
      <c r="AG135" t="str">
        <f>IF(OR(AG$23="",ISNA($B135)),"",IF(ISBLANK($B135),"",IFERROR(_xll.BDP(TICKER,"DEEP_MEASURE_PERIOD_BROKER_VALUE","DEEP_MEASURE_ID_OVERRIDE",$C135,"DEEP_BROKER_ID_OVERRIDE",AG$24,"DEEP_PERIOD_OVERRIDE",$H$19)*1,"")))</f>
        <v/>
      </c>
      <c r="AH135" t="str">
        <f>IF(OR(AH$23="",ISNA($B135)),"",IF(ISBLANK($B135),"",IFERROR(_xll.BDP(TICKER,"DEEP_MEASURE_PERIOD_BROKER_VALUE","DEEP_MEASURE_ID_OVERRIDE",$C135,"DEEP_BROKER_ID_OVERRIDE",AH$24,"DEEP_PERIOD_OVERRIDE",$H$19)*1,"")))</f>
        <v/>
      </c>
      <c r="AI135" t="str">
        <f>IF(OR(AI$23="",ISNA($B135)),"",IF(ISBLANK($B135),"",IFERROR(_xll.BDP(TICKER,"DEEP_MEASURE_PERIOD_BROKER_VALUE","DEEP_MEASURE_ID_OVERRIDE",$C135,"DEEP_BROKER_ID_OVERRIDE",AI$24,"DEEP_PERIOD_OVERRIDE",$H$19)*1,"")))</f>
        <v/>
      </c>
      <c r="AJ135" t="str">
        <f>IF(OR(AJ$23="",ISNA($B135)),"",IF(ISBLANK($B135),"",IFERROR(_xll.BDP(TICKER,"DEEP_MEASURE_PERIOD_BROKER_VALUE","DEEP_MEASURE_ID_OVERRIDE",$C135,"DEEP_BROKER_ID_OVERRIDE",AJ$24,"DEEP_PERIOD_OVERRIDE",$H$19)*1,"")))</f>
        <v/>
      </c>
      <c r="AK135" t="str">
        <f>IF(OR(AK$23="",ISNA($B135)),"",IF(ISBLANK($B135),"",IFERROR(_xll.BDP(TICKER,"DEEP_MEASURE_PERIOD_BROKER_VALUE","DEEP_MEASURE_ID_OVERRIDE",$C135,"DEEP_BROKER_ID_OVERRIDE",AK$24,"DEEP_PERIOD_OVERRIDE",$H$19)*1,"")))</f>
        <v/>
      </c>
      <c r="AL135" t="str">
        <f>IF(OR(AL$23="",ISNA($B135)),"",IF(ISBLANK($B135),"",IFERROR(_xll.BDP(TICKER,"DEEP_MEASURE_PERIOD_BROKER_VALUE","DEEP_MEASURE_ID_OVERRIDE",$C135,"DEEP_BROKER_ID_OVERRIDE",AL$24,"DEEP_PERIOD_OVERRIDE",$H$19)*1,"")))</f>
        <v/>
      </c>
      <c r="AM135" t="str">
        <f>IF(OR(AM$23="",ISNA($B135)),"",IF(ISBLANK($B135),"",IFERROR(_xll.BDP(TICKER,"DEEP_MEASURE_PERIOD_BROKER_VALUE","DEEP_MEASURE_ID_OVERRIDE",$C135,"DEEP_BROKER_ID_OVERRIDE",AM$24,"DEEP_PERIOD_OVERRIDE",$H$19)*1,"")))</f>
        <v/>
      </c>
      <c r="AN135" t="str">
        <f>IF(OR(AN$23="",ISNA($B135)),"",IF(ISBLANK($B135),"",IFERROR(_xll.BDP(TICKER,"DEEP_MEASURE_PERIOD_BROKER_VALUE","DEEP_MEASURE_ID_OVERRIDE",$C135,"DEEP_BROKER_ID_OVERRIDE",AN$24,"DEEP_PERIOD_OVERRIDE",$H$19)*1,"")))</f>
        <v/>
      </c>
      <c r="AO135" t="str">
        <f>IF(OR(AO$23="",ISNA($B135)),"",IF(ISBLANK($B135),"",IFERROR(_xll.BDP(TICKER,"DEEP_MEASURE_PERIOD_BROKER_VALUE","DEEP_MEASURE_ID_OVERRIDE",$C135,"DEEP_BROKER_ID_OVERRIDE",AO$24,"DEEP_PERIOD_OVERRIDE",$H$19)*1,"")))</f>
        <v/>
      </c>
      <c r="AP135" t="str">
        <f>IF(OR(AP$23="",ISNA($B135)),"",IF(ISBLANK($B135),"",IFERROR(_xll.BDP(TICKER,"DEEP_MEASURE_PERIOD_BROKER_VALUE","DEEP_MEASURE_ID_OVERRIDE",$C135,"DEEP_BROKER_ID_OVERRIDE",AP$24,"DEEP_PERIOD_OVERRIDE",$H$19)*1,"")))</f>
        <v/>
      </c>
      <c r="AQ135" t="str">
        <f>IF(OR(AQ$23="",ISNA($B135)),"",IF(ISBLANK($B135),"",IFERROR(_xll.BDP(TICKER,"DEEP_MEASURE_PERIOD_BROKER_VALUE","DEEP_MEASURE_ID_OVERRIDE",$C135,"DEEP_BROKER_ID_OVERRIDE",AQ$24,"DEEP_PERIOD_OVERRIDE",$H$19)*1,"")))</f>
        <v/>
      </c>
      <c r="AR135" t="str">
        <f>IF(OR(AR$23="",ISNA($B135)),"",IF(ISBLANK($B135),"",IFERROR(_xll.BDP(TICKER,"DEEP_MEASURE_PERIOD_BROKER_VALUE","DEEP_MEASURE_ID_OVERRIDE",$C135,"DEEP_BROKER_ID_OVERRIDE",AR$24,"DEEP_PERIOD_OVERRIDE",$H$19)*1,"")))</f>
        <v/>
      </c>
      <c r="AS135" t="str">
        <f>IF(OR(AS$23="",ISNA($B135)),"",IF(ISBLANK($B135),"",IFERROR(_xll.BDP(TICKER,"DEEP_MEASURE_PERIOD_BROKER_VALUE","DEEP_MEASURE_ID_OVERRIDE",$C135,"DEEP_BROKER_ID_OVERRIDE",AS$24,"DEEP_PERIOD_OVERRIDE",$H$19)*1,"")))</f>
        <v/>
      </c>
      <c r="AT135" t="str">
        <f>IF(OR(AT$23="",ISNA($B135)),"",IF(ISBLANK($B135),"",IFERROR(_xll.BDP(TICKER,"DEEP_MEASURE_PERIOD_BROKER_VALUE","DEEP_MEASURE_ID_OVERRIDE",$C135,"DEEP_BROKER_ID_OVERRIDE",AT$24,"DEEP_PERIOD_OVERRIDE",$H$19)*1,"")))</f>
        <v/>
      </c>
      <c r="AU135" t="str">
        <f>IF(OR(AU$23="",ISNA($B135)),"",IF(ISBLANK($B135),"",IFERROR(_xll.BDP(TICKER,"DEEP_MEASURE_PERIOD_BROKER_VALUE","DEEP_MEASURE_ID_OVERRIDE",$C135,"DEEP_BROKER_ID_OVERRIDE",AU$24,"DEEP_PERIOD_OVERRIDE",$H$19)*1,"")))</f>
        <v/>
      </c>
      <c r="AV135" t="str">
        <f>IF(OR(AV$23="",ISNA($B135)),"",IF(ISBLANK($B135),"",IFERROR(_xll.BDP(TICKER,"DEEP_MEASURE_PERIOD_BROKER_VALUE","DEEP_MEASURE_ID_OVERRIDE",$C135,"DEEP_BROKER_ID_OVERRIDE",AV$24,"DEEP_PERIOD_OVERRIDE",$H$19)*1,"")))</f>
        <v/>
      </c>
      <c r="AW135" t="str">
        <f>IF(OR(AW$23="",ISNA($B135)),"",IF(ISBLANK($B135),"",IFERROR(_xll.BDP(TICKER,"DEEP_MEASURE_PERIOD_BROKER_VALUE","DEEP_MEASURE_ID_OVERRIDE",$C135,"DEEP_BROKER_ID_OVERRIDE",AW$24,"DEEP_PERIOD_OVERRIDE",$H$19)*1,"")))</f>
        <v/>
      </c>
      <c r="AX135" t="str">
        <f>IF(OR(AX$23="",ISNA($B135)),"",IF(ISBLANK($B135),"",IFERROR(_xll.BDP(TICKER,"DEEP_MEASURE_PERIOD_BROKER_VALUE","DEEP_MEASURE_ID_OVERRIDE",$C135,"DEEP_BROKER_ID_OVERRIDE",AX$24,"DEEP_PERIOD_OVERRIDE",$H$19)*1,"")))</f>
        <v/>
      </c>
      <c r="AY135" t="str">
        <f>IF(OR(AY$23="",ISNA($B135)),"",IF(ISBLANK($B135),"",IFERROR(_xll.BDP(TICKER,"DEEP_MEASURE_PERIOD_BROKER_VALUE","DEEP_MEASURE_ID_OVERRIDE",$C135,"DEEP_BROKER_ID_OVERRIDE",AY$24,"DEEP_PERIOD_OVERRIDE",$H$19)*1,"")))</f>
        <v/>
      </c>
      <c r="AZ135" t="str">
        <f>IF(OR(AZ$23="",ISNA($B135)),"",IF(ISBLANK($B135),"",IFERROR(_xll.BDP(TICKER,"DEEP_MEASURE_PERIOD_BROKER_VALUE","DEEP_MEASURE_ID_OVERRIDE",$C135,"DEEP_BROKER_ID_OVERRIDE",AZ$24,"DEEP_PERIOD_OVERRIDE",$H$19)*1,"")))</f>
        <v/>
      </c>
      <c r="BA135" t="str">
        <f>IF(OR(BA$23="",ISNA($B135)),"",IF(ISBLANK($B135),"",IFERROR(_xll.BDP(TICKER,"DEEP_MEASURE_PERIOD_BROKER_VALUE","DEEP_MEASURE_ID_OVERRIDE",$C135,"DEEP_BROKER_ID_OVERRIDE",BA$24,"DEEP_PERIOD_OVERRIDE",$H$19)*1,"")))</f>
        <v/>
      </c>
      <c r="BB135" t="str">
        <f>IF(OR(BB$23="",ISNA($B135)),"",IF(ISBLANK($B135),"",IFERROR(_xll.BDP(TICKER,"DEEP_MEASURE_PERIOD_BROKER_VALUE","DEEP_MEASURE_ID_OVERRIDE",$C135,"DEEP_BROKER_ID_OVERRIDE",BB$24,"DEEP_PERIOD_OVERRIDE",$H$19)*1,"")))</f>
        <v/>
      </c>
      <c r="BC135" t="str">
        <f>IF(OR(BC$23="",ISNA($B135)),"",IF(ISBLANK($B135),"",IFERROR(_xll.BDP(TICKER,"DEEP_MEASURE_PERIOD_BROKER_VALUE","DEEP_MEASURE_ID_OVERRIDE",$C135,"DEEP_BROKER_ID_OVERRIDE",BC$24,"DEEP_PERIOD_OVERRIDE",$H$19)*1,"")))</f>
        <v/>
      </c>
      <c r="BD135" t="str">
        <f>IF(OR(BD$23="",ISNA($B135)),"",IF(ISBLANK($B135),"",IFERROR(_xll.BDP(TICKER,"DEEP_MEASURE_PERIOD_BROKER_VALUE","DEEP_MEASURE_ID_OVERRIDE",$C135,"DEEP_BROKER_ID_OVERRIDE",BD$24,"DEEP_PERIOD_OVERRIDE",$H$19)*1,"")))</f>
        <v/>
      </c>
      <c r="BE135" t="str">
        <f>IF(OR(BE$23="",ISNA($B135)),"",IF(ISBLANK($B135),"",IFERROR(_xll.BDP(TICKER,"DEEP_MEASURE_PERIOD_BROKER_VALUE","DEEP_MEASURE_ID_OVERRIDE",$C135,"DEEP_BROKER_ID_OVERRIDE",BE$24,"DEEP_PERIOD_OVERRIDE",$H$19)*1,"")))</f>
        <v/>
      </c>
      <c r="BF135" t="str">
        <f>IF(OR(BF$23="",ISNA($B135)),"",IF(ISBLANK($B135),"",IFERROR(_xll.BDP(TICKER,"DEEP_MEASURE_PERIOD_BROKER_VALUE","DEEP_MEASURE_ID_OVERRIDE",$C135,"DEEP_BROKER_ID_OVERRIDE",BF$24,"DEEP_PERIOD_OVERRIDE",$H$19)*1,"")))</f>
        <v/>
      </c>
      <c r="BG135" t="str">
        <f>IF(OR(BG$23="",ISNA($B135)),"",IF(ISBLANK($B135),"",IFERROR(_xll.BDP(TICKER,"DEEP_MEASURE_PERIOD_BROKER_VALUE","DEEP_MEASURE_ID_OVERRIDE",$C135,"DEEP_BROKER_ID_OVERRIDE",BG$24,"DEEP_PERIOD_OVERRIDE",$H$19)*1,"")))</f>
        <v/>
      </c>
      <c r="BH135" t="str">
        <f>IF(OR(BH$23="",ISNA($B135)),"",IF(ISBLANK($B135),"",IFERROR(_xll.BDP(TICKER,"DEEP_MEASURE_PERIOD_BROKER_VALUE","DEEP_MEASURE_ID_OVERRIDE",$C135,"DEEP_BROKER_ID_OVERRIDE",BH$24,"DEEP_PERIOD_OVERRIDE",$H$19)*1,"")))</f>
        <v/>
      </c>
      <c r="BI135" t="str">
        <f>IF(OR(BI$23="",ISNA($B135)),"",IF(ISBLANK($B135),"",IFERROR(_xll.BDP(TICKER,"DEEP_MEASURE_PERIOD_BROKER_VALUE","DEEP_MEASURE_ID_OVERRIDE",$C135,"DEEP_BROKER_ID_OVERRIDE",BI$24,"DEEP_PERIOD_OVERRIDE",$H$19)*1,"")))</f>
        <v/>
      </c>
      <c r="BJ135" t="str">
        <f>IF(OR(BJ$23="",ISNA($B135)),"",IF(ISBLANK($B135),"",IFERROR(_xll.BDP(TICKER,"DEEP_MEASURE_PERIOD_BROKER_VALUE","DEEP_MEASURE_ID_OVERRIDE",$C135,"DEEP_BROKER_ID_OVERRIDE",BJ$24,"DEEP_PERIOD_OVERRIDE",$H$19)*1,"")))</f>
        <v/>
      </c>
      <c r="BK135" t="str">
        <f>IF(OR(BK$23="",ISNA($B135)),"",IF(ISBLANK($B135),"",IFERROR(_xll.BDP(TICKER,"DEEP_MEASURE_PERIOD_BROKER_VALUE","DEEP_MEASURE_ID_OVERRIDE",$C135,"DEEP_BROKER_ID_OVERRIDE",BK$24,"DEEP_PERIOD_OVERRIDE",$H$19)*1,"")))</f>
        <v/>
      </c>
      <c r="BL135" t="str">
        <f>IF(OR(BL$23="",ISNA($B135)),"",IF(ISBLANK($B135),"",IFERROR(_xll.BDP(TICKER,"DEEP_MEASURE_PERIOD_BROKER_VALUE","DEEP_MEASURE_ID_OVERRIDE",$C135,"DEEP_BROKER_ID_OVERRIDE",BL$24,"DEEP_PERIOD_OVERRIDE",$H$19)*1,"")))</f>
        <v/>
      </c>
      <c r="BM135" t="str">
        <f>IF(OR(BM$23="",ISNA($B135)),"",IF(ISBLANK($B135),"",IFERROR(_xll.BDP(TICKER,"DEEP_MEASURE_PERIOD_BROKER_VALUE","DEEP_MEASURE_ID_OVERRIDE",$C135,"DEEP_BROKER_ID_OVERRIDE",BM$24,"DEEP_PERIOD_OVERRIDE",$H$19)*1,"")))</f>
        <v/>
      </c>
      <c r="BN135" t="str">
        <f>IF(OR(BN$23="",ISNA($B135)),"",IF(ISBLANK($B135),"",IFERROR(_xll.BDP(TICKER,"DEEP_MEASURE_PERIOD_BROKER_VALUE","DEEP_MEASURE_ID_OVERRIDE",$C135,"DEEP_BROKER_ID_OVERRIDE",BN$24,"DEEP_PERIOD_OVERRIDE",$H$19)*1,"")))</f>
        <v/>
      </c>
      <c r="BO135" t="str">
        <f>IF(OR(BO$23="",ISNA($B135)),"",IF(ISBLANK($B135),"",IFERROR(_xll.BDP(TICKER,"DEEP_MEASURE_PERIOD_BROKER_VALUE","DEEP_MEASURE_ID_OVERRIDE",$C135,"DEEP_BROKER_ID_OVERRIDE",BO$24,"DEEP_PERIOD_OVERRIDE",$H$19)*1,"")))</f>
        <v/>
      </c>
      <c r="BP135" t="str">
        <f>IF(OR(BP$23="",ISNA($B135)),"",IF(ISBLANK($B135),"",IFERROR(_xll.BDP(TICKER,"DEEP_MEASURE_PERIOD_BROKER_VALUE","DEEP_MEASURE_ID_OVERRIDE",$C135,"DEEP_BROKER_ID_OVERRIDE",BP$24,"DEEP_PERIOD_OVERRIDE",$H$19)*1,"")))</f>
        <v/>
      </c>
      <c r="BQ135" t="str">
        <f>IF(OR(BQ$23="",ISNA($B135)),"",IF(ISBLANK($B135),"",IFERROR(_xll.BDP(TICKER,"DEEP_MEASURE_PERIOD_BROKER_VALUE","DEEP_MEASURE_ID_OVERRIDE",$C135,"DEEP_BROKER_ID_OVERRIDE",BQ$24,"DEEP_PERIOD_OVERRIDE",$H$19)*1,"")))</f>
        <v/>
      </c>
      <c r="BR135" t="str">
        <f>IF(OR(BR$23="",ISNA($B135)),"",IF(ISBLANK($B135),"",IFERROR(_xll.BDP(TICKER,"DEEP_MEASURE_PERIOD_BROKER_VALUE","DEEP_MEASURE_ID_OVERRIDE",$C135,"DEEP_BROKER_ID_OVERRIDE",BR$24,"DEEP_PERIOD_OVERRIDE",$H$19)*1,"")))</f>
        <v/>
      </c>
      <c r="BS135" t="str">
        <f>IF(OR(BS$23="",ISNA($B135)),"",IF(ISBLANK($B135),"",IFERROR(_xll.BDP(TICKER,"DEEP_MEASURE_PERIOD_BROKER_VALUE","DEEP_MEASURE_ID_OVERRIDE",$C135,"DEEP_BROKER_ID_OVERRIDE",BS$24,"DEEP_PERIOD_OVERRIDE",$H$19)*1,"")))</f>
        <v/>
      </c>
      <c r="BT135" t="str">
        <f>IF(OR(BT$23="",ISNA($B135)),"",IF(ISBLANK($B135),"",IFERROR(_xll.BDP(TICKER,"DEEP_MEASURE_PERIOD_BROKER_VALUE","DEEP_MEASURE_ID_OVERRIDE",$C135,"DEEP_BROKER_ID_OVERRIDE",BT$24,"DEEP_PERIOD_OVERRIDE",$H$19)*1,"")))</f>
        <v/>
      </c>
      <c r="BU135" t="str">
        <f>IF(OR(BU$23="",ISNA($B135)),"",IF(ISBLANK($B135),"",IFERROR(_xll.BDP(TICKER,"DEEP_MEASURE_PERIOD_BROKER_VALUE","DEEP_MEASURE_ID_OVERRIDE",$C135,"DEEP_BROKER_ID_OVERRIDE",BU$24,"DEEP_PERIOD_OVERRIDE",$H$19)*1,"")))</f>
        <v/>
      </c>
      <c r="BV135" t="str">
        <f>IF(OR(BV$23="",ISNA($B135)),"",IF(ISBLANK($B135),"",IFERROR(_xll.BDP(TICKER,"DEEP_MEASURE_PERIOD_BROKER_VALUE","DEEP_MEASURE_ID_OVERRIDE",$C135,"DEEP_BROKER_ID_OVERRIDE",BV$24,"DEEP_PERIOD_OVERRIDE",$H$19)*1,"")))</f>
        <v/>
      </c>
      <c r="BW135" t="str">
        <f>IF(OR(BW$23="",ISNA($B135)),"",IF(ISBLANK($B135),"",IFERROR(_xll.BDP(TICKER,"DEEP_MEASURE_PERIOD_BROKER_VALUE","DEEP_MEASURE_ID_OVERRIDE",$C135,"DEEP_BROKER_ID_OVERRIDE",BW$24,"DEEP_PERIOD_OVERRIDE",$H$19)*1,"")))</f>
        <v/>
      </c>
      <c r="BX135" t="str">
        <f>IF(OR(BX$23="",ISNA($B135)),"",IF(ISBLANK($B135),"",IFERROR(_xll.BDP(TICKER,"DEEP_MEASURE_PERIOD_BROKER_VALUE","DEEP_MEASURE_ID_OVERRIDE",$C135,"DEEP_BROKER_ID_OVERRIDE",BX$24,"DEEP_PERIOD_OVERRIDE",$H$19)*1,"")))</f>
        <v/>
      </c>
      <c r="BY135" t="str">
        <f>IF(OR(BY$23="",ISNA($B135)),"",IF(ISBLANK($B135),"",IFERROR(_xll.BDP(TICKER,"DEEP_MEASURE_PERIOD_BROKER_VALUE","DEEP_MEASURE_ID_OVERRIDE",$C135,"DEEP_BROKER_ID_OVERRIDE",BY$24,"DEEP_PERIOD_OVERRIDE",$H$19)*1,"")))</f>
        <v/>
      </c>
      <c r="BZ135" t="str">
        <f>IF(OR(BZ$23="",ISNA($B135)),"",IF(ISBLANK($B135),"",IFERROR(_xll.BDP(TICKER,"DEEP_MEASURE_PERIOD_BROKER_VALUE","DEEP_MEASURE_ID_OVERRIDE",$C135,"DEEP_BROKER_ID_OVERRIDE",BZ$24,"DEEP_PERIOD_OVERRIDE",$H$19)*1,"")))</f>
        <v/>
      </c>
    </row>
    <row r="136" spans="2:78" x14ac:dyDescent="0.25">
      <c r="B136" t="s">
        <v>30</v>
      </c>
      <c r="C136">
        <v>3656</v>
      </c>
      <c r="H136" t="str">
        <f t="shared" si="2"/>
        <v>Interest Expense, Net</v>
      </c>
      <c r="I136" t="str">
        <f>IF(OR(I$23="",ISNA($B136)),"",IF(ISBLANK($B136),"",IFERROR(_xll.BDP(TICKER,"DEEP_MEASURE_PERIOD_BROKER_VALUE","DEEP_MEASURE_ID_OVERRIDE",$C136,"DEEP_PERIOD_OVERRIDE",$H$19)*1,"")))</f>
        <v/>
      </c>
      <c r="J136" t="e">
        <f>IF(OR(J$23="",ISNA($B136)),"",IF(ISBLANK($B136),"",IFERROR(_xll.BDP(TICKER,"DEEP_MEASURE_PERIOD_BROKER_VALUE","DEEP_MEASURE_ID_OVERRIDE",$C136,"DEEP_BROKER_ID_OVERRIDE",J$24,"DEEP_PERIOD_OVERRIDE",$H$19)*1,"")))</f>
        <v>#REF!</v>
      </c>
      <c r="K136" t="str">
        <f>IF(OR(K$23="",ISNA($B136)),"",IF(ISBLANK($B136),"",IFERROR(_xll.BDP(TICKER,"DEEP_MEASURE_PERIOD_BROKER_VALUE","DEEP_MEASURE_ID_OVERRIDE",$C136,"DEEP_BROKER_ID_OVERRIDE",K$24,"DEEP_PERIOD_OVERRIDE",$H$19)*1,"")))</f>
        <v/>
      </c>
      <c r="L136" t="str">
        <f>IF(OR(L$23="",ISNA($B136)),"",IF(ISBLANK($B136),"",IFERROR(_xll.BDP(TICKER,"DEEP_MEASURE_PERIOD_BROKER_VALUE","DEEP_MEASURE_ID_OVERRIDE",$C136,"DEEP_BROKER_ID_OVERRIDE",L$24,"DEEP_PERIOD_OVERRIDE",$H$19)*1,"")))</f>
        <v/>
      </c>
      <c r="M136" t="str">
        <f>IF(OR(M$23="",ISNA($B136)),"",IF(ISBLANK($B136),"",IFERROR(_xll.BDP(TICKER,"DEEP_MEASURE_PERIOD_BROKER_VALUE","DEEP_MEASURE_ID_OVERRIDE",$C136,"DEEP_BROKER_ID_OVERRIDE",M$24,"DEEP_PERIOD_OVERRIDE",$H$19)*1,"")))</f>
        <v/>
      </c>
      <c r="N136" t="str">
        <f>IF(OR(N$23="",ISNA($B136)),"",IF(ISBLANK($B136),"",IFERROR(_xll.BDP(TICKER,"DEEP_MEASURE_PERIOD_BROKER_VALUE","DEEP_MEASURE_ID_OVERRIDE",$C136,"DEEP_BROKER_ID_OVERRIDE",N$24,"DEEP_PERIOD_OVERRIDE",$H$19)*1,"")))</f>
        <v/>
      </c>
      <c r="O136" t="str">
        <f>IF(OR(O$23="",ISNA($B136)),"",IF(ISBLANK($B136),"",IFERROR(_xll.BDP(TICKER,"DEEP_MEASURE_PERIOD_BROKER_VALUE","DEEP_MEASURE_ID_OVERRIDE",$C136,"DEEP_BROKER_ID_OVERRIDE",O$24,"DEEP_PERIOD_OVERRIDE",$H$19)*1,"")))</f>
        <v/>
      </c>
      <c r="P136" t="str">
        <f>IF(OR(P$23="",ISNA($B136)),"",IF(ISBLANK($B136),"",IFERROR(_xll.BDP(TICKER,"DEEP_MEASURE_PERIOD_BROKER_VALUE","DEEP_MEASURE_ID_OVERRIDE",$C136,"DEEP_BROKER_ID_OVERRIDE",P$24,"DEEP_PERIOD_OVERRIDE",$H$19)*1,"")))</f>
        <v/>
      </c>
      <c r="Q136" t="str">
        <f>IF(OR(Q$23="",ISNA($B136)),"",IF(ISBLANK($B136),"",IFERROR(_xll.BDP(TICKER,"DEEP_MEASURE_PERIOD_BROKER_VALUE","DEEP_MEASURE_ID_OVERRIDE",$C136,"DEEP_BROKER_ID_OVERRIDE",Q$24,"DEEP_PERIOD_OVERRIDE",$H$19)*1,"")))</f>
        <v/>
      </c>
      <c r="R136" t="str">
        <f>IF(OR(R$23="",ISNA($B136)),"",IF(ISBLANK($B136),"",IFERROR(_xll.BDP(TICKER,"DEEP_MEASURE_PERIOD_BROKER_VALUE","DEEP_MEASURE_ID_OVERRIDE",$C136,"DEEP_BROKER_ID_OVERRIDE",R$24,"DEEP_PERIOD_OVERRIDE",$H$19)*1,"")))</f>
        <v/>
      </c>
      <c r="S136" t="str">
        <f>IF(OR(S$23="",ISNA($B136)),"",IF(ISBLANK($B136),"",IFERROR(_xll.BDP(TICKER,"DEEP_MEASURE_PERIOD_BROKER_VALUE","DEEP_MEASURE_ID_OVERRIDE",$C136,"DEEP_BROKER_ID_OVERRIDE",S$24,"DEEP_PERIOD_OVERRIDE",$H$19)*1,"")))</f>
        <v/>
      </c>
      <c r="T136" t="str">
        <f>IF(OR(T$23="",ISNA($B136)),"",IF(ISBLANK($B136),"",IFERROR(_xll.BDP(TICKER,"DEEP_MEASURE_PERIOD_BROKER_VALUE","DEEP_MEASURE_ID_OVERRIDE",$C136,"DEEP_BROKER_ID_OVERRIDE",T$24,"DEEP_PERIOD_OVERRIDE",$H$19)*1,"")))</f>
        <v/>
      </c>
      <c r="U136" t="str">
        <f>IF(OR(U$23="",ISNA($B136)),"",IF(ISBLANK($B136),"",IFERROR(_xll.BDP(TICKER,"DEEP_MEASURE_PERIOD_BROKER_VALUE","DEEP_MEASURE_ID_OVERRIDE",$C136,"DEEP_BROKER_ID_OVERRIDE",U$24,"DEEP_PERIOD_OVERRIDE",$H$19)*1,"")))</f>
        <v/>
      </c>
      <c r="V136" t="str">
        <f>IF(OR(V$23="",ISNA($B136)),"",IF(ISBLANK($B136),"",IFERROR(_xll.BDP(TICKER,"DEEP_MEASURE_PERIOD_BROKER_VALUE","DEEP_MEASURE_ID_OVERRIDE",$C136,"DEEP_BROKER_ID_OVERRIDE",V$24,"DEEP_PERIOD_OVERRIDE",$H$19)*1,"")))</f>
        <v/>
      </c>
      <c r="W136" t="str">
        <f>IF(OR(W$23="",ISNA($B136)),"",IF(ISBLANK($B136),"",IFERROR(_xll.BDP(TICKER,"DEEP_MEASURE_PERIOD_BROKER_VALUE","DEEP_MEASURE_ID_OVERRIDE",$C136,"DEEP_BROKER_ID_OVERRIDE",W$24,"DEEP_PERIOD_OVERRIDE",$H$19)*1,"")))</f>
        <v/>
      </c>
      <c r="X136" t="str">
        <f>IF(OR(X$23="",ISNA($B136)),"",IF(ISBLANK($B136),"",IFERROR(_xll.BDP(TICKER,"DEEP_MEASURE_PERIOD_BROKER_VALUE","DEEP_MEASURE_ID_OVERRIDE",$C136,"DEEP_BROKER_ID_OVERRIDE",X$24,"DEEP_PERIOD_OVERRIDE",$H$19)*1,"")))</f>
        <v/>
      </c>
      <c r="Y136" t="str">
        <f>IF(OR(Y$23="",ISNA($B136)),"",IF(ISBLANK($B136),"",IFERROR(_xll.BDP(TICKER,"DEEP_MEASURE_PERIOD_BROKER_VALUE","DEEP_MEASURE_ID_OVERRIDE",$C136,"DEEP_BROKER_ID_OVERRIDE",Y$24,"DEEP_PERIOD_OVERRIDE",$H$19)*1,"")))</f>
        <v/>
      </c>
      <c r="Z136" t="str">
        <f>IF(OR(Z$23="",ISNA($B136)),"",IF(ISBLANK($B136),"",IFERROR(_xll.BDP(TICKER,"DEEP_MEASURE_PERIOD_BROKER_VALUE","DEEP_MEASURE_ID_OVERRIDE",$C136,"DEEP_BROKER_ID_OVERRIDE",Z$24,"DEEP_PERIOD_OVERRIDE",$H$19)*1,"")))</f>
        <v/>
      </c>
      <c r="AA136" t="str">
        <f>IF(OR(AA$23="",ISNA($B136)),"",IF(ISBLANK($B136),"",IFERROR(_xll.BDP(TICKER,"DEEP_MEASURE_PERIOD_BROKER_VALUE","DEEP_MEASURE_ID_OVERRIDE",$C136,"DEEP_BROKER_ID_OVERRIDE",AA$24,"DEEP_PERIOD_OVERRIDE",$H$19)*1,"")))</f>
        <v/>
      </c>
      <c r="AB136" t="str">
        <f>IF(OR(AB$23="",ISNA($B136)),"",IF(ISBLANK($B136),"",IFERROR(_xll.BDP(TICKER,"DEEP_MEASURE_PERIOD_BROKER_VALUE","DEEP_MEASURE_ID_OVERRIDE",$C136,"DEEP_BROKER_ID_OVERRIDE",AB$24,"DEEP_PERIOD_OVERRIDE",$H$19)*1,"")))</f>
        <v/>
      </c>
      <c r="AC136" t="str">
        <f>IF(OR(AC$23="",ISNA($B136)),"",IF(ISBLANK($B136),"",IFERROR(_xll.BDP(TICKER,"DEEP_MEASURE_PERIOD_BROKER_VALUE","DEEP_MEASURE_ID_OVERRIDE",$C136,"DEEP_BROKER_ID_OVERRIDE",AC$24,"DEEP_PERIOD_OVERRIDE",$H$19)*1,"")))</f>
        <v/>
      </c>
      <c r="AD136" t="str">
        <f>IF(OR(AD$23="",ISNA($B136)),"",IF(ISBLANK($B136),"",IFERROR(_xll.BDP(TICKER,"DEEP_MEASURE_PERIOD_BROKER_VALUE","DEEP_MEASURE_ID_OVERRIDE",$C136,"DEEP_BROKER_ID_OVERRIDE",AD$24,"DEEP_PERIOD_OVERRIDE",$H$19)*1,"")))</f>
        <v/>
      </c>
      <c r="AE136" t="str">
        <f>IF(OR(AE$23="",ISNA($B136)),"",IF(ISBLANK($B136),"",IFERROR(_xll.BDP(TICKER,"DEEP_MEASURE_PERIOD_BROKER_VALUE","DEEP_MEASURE_ID_OVERRIDE",$C136,"DEEP_BROKER_ID_OVERRIDE",AE$24,"DEEP_PERIOD_OVERRIDE",$H$19)*1,"")))</f>
        <v/>
      </c>
      <c r="AF136" t="str">
        <f>IF(OR(AF$23="",ISNA($B136)),"",IF(ISBLANK($B136),"",IFERROR(_xll.BDP(TICKER,"DEEP_MEASURE_PERIOD_BROKER_VALUE","DEEP_MEASURE_ID_OVERRIDE",$C136,"DEEP_BROKER_ID_OVERRIDE",AF$24,"DEEP_PERIOD_OVERRIDE",$H$19)*1,"")))</f>
        <v/>
      </c>
      <c r="AG136" t="str">
        <f>IF(OR(AG$23="",ISNA($B136)),"",IF(ISBLANK($B136),"",IFERROR(_xll.BDP(TICKER,"DEEP_MEASURE_PERIOD_BROKER_VALUE","DEEP_MEASURE_ID_OVERRIDE",$C136,"DEEP_BROKER_ID_OVERRIDE",AG$24,"DEEP_PERIOD_OVERRIDE",$H$19)*1,"")))</f>
        <v/>
      </c>
      <c r="AH136" t="str">
        <f>IF(OR(AH$23="",ISNA($B136)),"",IF(ISBLANK($B136),"",IFERROR(_xll.BDP(TICKER,"DEEP_MEASURE_PERIOD_BROKER_VALUE","DEEP_MEASURE_ID_OVERRIDE",$C136,"DEEP_BROKER_ID_OVERRIDE",AH$24,"DEEP_PERIOD_OVERRIDE",$H$19)*1,"")))</f>
        <v/>
      </c>
      <c r="AI136" t="str">
        <f>IF(OR(AI$23="",ISNA($B136)),"",IF(ISBLANK($B136),"",IFERROR(_xll.BDP(TICKER,"DEEP_MEASURE_PERIOD_BROKER_VALUE","DEEP_MEASURE_ID_OVERRIDE",$C136,"DEEP_BROKER_ID_OVERRIDE",AI$24,"DEEP_PERIOD_OVERRIDE",$H$19)*1,"")))</f>
        <v/>
      </c>
      <c r="AJ136" t="str">
        <f>IF(OR(AJ$23="",ISNA($B136)),"",IF(ISBLANK($B136),"",IFERROR(_xll.BDP(TICKER,"DEEP_MEASURE_PERIOD_BROKER_VALUE","DEEP_MEASURE_ID_OVERRIDE",$C136,"DEEP_BROKER_ID_OVERRIDE",AJ$24,"DEEP_PERIOD_OVERRIDE",$H$19)*1,"")))</f>
        <v/>
      </c>
      <c r="AK136" t="str">
        <f>IF(OR(AK$23="",ISNA($B136)),"",IF(ISBLANK($B136),"",IFERROR(_xll.BDP(TICKER,"DEEP_MEASURE_PERIOD_BROKER_VALUE","DEEP_MEASURE_ID_OVERRIDE",$C136,"DEEP_BROKER_ID_OVERRIDE",AK$24,"DEEP_PERIOD_OVERRIDE",$H$19)*1,"")))</f>
        <v/>
      </c>
      <c r="AL136" t="str">
        <f>IF(OR(AL$23="",ISNA($B136)),"",IF(ISBLANK($B136),"",IFERROR(_xll.BDP(TICKER,"DEEP_MEASURE_PERIOD_BROKER_VALUE","DEEP_MEASURE_ID_OVERRIDE",$C136,"DEEP_BROKER_ID_OVERRIDE",AL$24,"DEEP_PERIOD_OVERRIDE",$H$19)*1,"")))</f>
        <v/>
      </c>
      <c r="AM136" t="str">
        <f>IF(OR(AM$23="",ISNA($B136)),"",IF(ISBLANK($B136),"",IFERROR(_xll.BDP(TICKER,"DEEP_MEASURE_PERIOD_BROKER_VALUE","DEEP_MEASURE_ID_OVERRIDE",$C136,"DEEP_BROKER_ID_OVERRIDE",AM$24,"DEEP_PERIOD_OVERRIDE",$H$19)*1,"")))</f>
        <v/>
      </c>
      <c r="AN136" t="str">
        <f>IF(OR(AN$23="",ISNA($B136)),"",IF(ISBLANK($B136),"",IFERROR(_xll.BDP(TICKER,"DEEP_MEASURE_PERIOD_BROKER_VALUE","DEEP_MEASURE_ID_OVERRIDE",$C136,"DEEP_BROKER_ID_OVERRIDE",AN$24,"DEEP_PERIOD_OVERRIDE",$H$19)*1,"")))</f>
        <v/>
      </c>
      <c r="AO136" t="str">
        <f>IF(OR(AO$23="",ISNA($B136)),"",IF(ISBLANK($B136),"",IFERROR(_xll.BDP(TICKER,"DEEP_MEASURE_PERIOD_BROKER_VALUE","DEEP_MEASURE_ID_OVERRIDE",$C136,"DEEP_BROKER_ID_OVERRIDE",AO$24,"DEEP_PERIOD_OVERRIDE",$H$19)*1,"")))</f>
        <v/>
      </c>
      <c r="AP136" t="str">
        <f>IF(OR(AP$23="",ISNA($B136)),"",IF(ISBLANK($B136),"",IFERROR(_xll.BDP(TICKER,"DEEP_MEASURE_PERIOD_BROKER_VALUE","DEEP_MEASURE_ID_OVERRIDE",$C136,"DEEP_BROKER_ID_OVERRIDE",AP$24,"DEEP_PERIOD_OVERRIDE",$H$19)*1,"")))</f>
        <v/>
      </c>
      <c r="AQ136" t="str">
        <f>IF(OR(AQ$23="",ISNA($B136)),"",IF(ISBLANK($B136),"",IFERROR(_xll.BDP(TICKER,"DEEP_MEASURE_PERIOD_BROKER_VALUE","DEEP_MEASURE_ID_OVERRIDE",$C136,"DEEP_BROKER_ID_OVERRIDE",AQ$24,"DEEP_PERIOD_OVERRIDE",$H$19)*1,"")))</f>
        <v/>
      </c>
      <c r="AR136" t="str">
        <f>IF(OR(AR$23="",ISNA($B136)),"",IF(ISBLANK($B136),"",IFERROR(_xll.BDP(TICKER,"DEEP_MEASURE_PERIOD_BROKER_VALUE","DEEP_MEASURE_ID_OVERRIDE",$C136,"DEEP_BROKER_ID_OVERRIDE",AR$24,"DEEP_PERIOD_OVERRIDE",$H$19)*1,"")))</f>
        <v/>
      </c>
      <c r="AS136" t="str">
        <f>IF(OR(AS$23="",ISNA($B136)),"",IF(ISBLANK($B136),"",IFERROR(_xll.BDP(TICKER,"DEEP_MEASURE_PERIOD_BROKER_VALUE","DEEP_MEASURE_ID_OVERRIDE",$C136,"DEEP_BROKER_ID_OVERRIDE",AS$24,"DEEP_PERIOD_OVERRIDE",$H$19)*1,"")))</f>
        <v/>
      </c>
      <c r="AT136" t="str">
        <f>IF(OR(AT$23="",ISNA($B136)),"",IF(ISBLANK($B136),"",IFERROR(_xll.BDP(TICKER,"DEEP_MEASURE_PERIOD_BROKER_VALUE","DEEP_MEASURE_ID_OVERRIDE",$C136,"DEEP_BROKER_ID_OVERRIDE",AT$24,"DEEP_PERIOD_OVERRIDE",$H$19)*1,"")))</f>
        <v/>
      </c>
      <c r="AU136" t="str">
        <f>IF(OR(AU$23="",ISNA($B136)),"",IF(ISBLANK($B136),"",IFERROR(_xll.BDP(TICKER,"DEEP_MEASURE_PERIOD_BROKER_VALUE","DEEP_MEASURE_ID_OVERRIDE",$C136,"DEEP_BROKER_ID_OVERRIDE",AU$24,"DEEP_PERIOD_OVERRIDE",$H$19)*1,"")))</f>
        <v/>
      </c>
      <c r="AV136" t="str">
        <f>IF(OR(AV$23="",ISNA($B136)),"",IF(ISBLANK($B136),"",IFERROR(_xll.BDP(TICKER,"DEEP_MEASURE_PERIOD_BROKER_VALUE","DEEP_MEASURE_ID_OVERRIDE",$C136,"DEEP_BROKER_ID_OVERRIDE",AV$24,"DEEP_PERIOD_OVERRIDE",$H$19)*1,"")))</f>
        <v/>
      </c>
      <c r="AW136" t="str">
        <f>IF(OR(AW$23="",ISNA($B136)),"",IF(ISBLANK($B136),"",IFERROR(_xll.BDP(TICKER,"DEEP_MEASURE_PERIOD_BROKER_VALUE","DEEP_MEASURE_ID_OVERRIDE",$C136,"DEEP_BROKER_ID_OVERRIDE",AW$24,"DEEP_PERIOD_OVERRIDE",$H$19)*1,"")))</f>
        <v/>
      </c>
      <c r="AX136" t="str">
        <f>IF(OR(AX$23="",ISNA($B136)),"",IF(ISBLANK($B136),"",IFERROR(_xll.BDP(TICKER,"DEEP_MEASURE_PERIOD_BROKER_VALUE","DEEP_MEASURE_ID_OVERRIDE",$C136,"DEEP_BROKER_ID_OVERRIDE",AX$24,"DEEP_PERIOD_OVERRIDE",$H$19)*1,"")))</f>
        <v/>
      </c>
      <c r="AY136" t="str">
        <f>IF(OR(AY$23="",ISNA($B136)),"",IF(ISBLANK($B136),"",IFERROR(_xll.BDP(TICKER,"DEEP_MEASURE_PERIOD_BROKER_VALUE","DEEP_MEASURE_ID_OVERRIDE",$C136,"DEEP_BROKER_ID_OVERRIDE",AY$24,"DEEP_PERIOD_OVERRIDE",$H$19)*1,"")))</f>
        <v/>
      </c>
      <c r="AZ136" t="str">
        <f>IF(OR(AZ$23="",ISNA($B136)),"",IF(ISBLANK($B136),"",IFERROR(_xll.BDP(TICKER,"DEEP_MEASURE_PERIOD_BROKER_VALUE","DEEP_MEASURE_ID_OVERRIDE",$C136,"DEEP_BROKER_ID_OVERRIDE",AZ$24,"DEEP_PERIOD_OVERRIDE",$H$19)*1,"")))</f>
        <v/>
      </c>
      <c r="BA136" t="str">
        <f>IF(OR(BA$23="",ISNA($B136)),"",IF(ISBLANK($B136),"",IFERROR(_xll.BDP(TICKER,"DEEP_MEASURE_PERIOD_BROKER_VALUE","DEEP_MEASURE_ID_OVERRIDE",$C136,"DEEP_BROKER_ID_OVERRIDE",BA$24,"DEEP_PERIOD_OVERRIDE",$H$19)*1,"")))</f>
        <v/>
      </c>
      <c r="BB136" t="str">
        <f>IF(OR(BB$23="",ISNA($B136)),"",IF(ISBLANK($B136),"",IFERROR(_xll.BDP(TICKER,"DEEP_MEASURE_PERIOD_BROKER_VALUE","DEEP_MEASURE_ID_OVERRIDE",$C136,"DEEP_BROKER_ID_OVERRIDE",BB$24,"DEEP_PERIOD_OVERRIDE",$H$19)*1,"")))</f>
        <v/>
      </c>
      <c r="BC136" t="str">
        <f>IF(OR(BC$23="",ISNA($B136)),"",IF(ISBLANK($B136),"",IFERROR(_xll.BDP(TICKER,"DEEP_MEASURE_PERIOD_BROKER_VALUE","DEEP_MEASURE_ID_OVERRIDE",$C136,"DEEP_BROKER_ID_OVERRIDE",BC$24,"DEEP_PERIOD_OVERRIDE",$H$19)*1,"")))</f>
        <v/>
      </c>
      <c r="BD136" t="str">
        <f>IF(OR(BD$23="",ISNA($B136)),"",IF(ISBLANK($B136),"",IFERROR(_xll.BDP(TICKER,"DEEP_MEASURE_PERIOD_BROKER_VALUE","DEEP_MEASURE_ID_OVERRIDE",$C136,"DEEP_BROKER_ID_OVERRIDE",BD$24,"DEEP_PERIOD_OVERRIDE",$H$19)*1,"")))</f>
        <v/>
      </c>
      <c r="BE136" t="str">
        <f>IF(OR(BE$23="",ISNA($B136)),"",IF(ISBLANK($B136),"",IFERROR(_xll.BDP(TICKER,"DEEP_MEASURE_PERIOD_BROKER_VALUE","DEEP_MEASURE_ID_OVERRIDE",$C136,"DEEP_BROKER_ID_OVERRIDE",BE$24,"DEEP_PERIOD_OVERRIDE",$H$19)*1,"")))</f>
        <v/>
      </c>
      <c r="BF136" t="str">
        <f>IF(OR(BF$23="",ISNA($B136)),"",IF(ISBLANK($B136),"",IFERROR(_xll.BDP(TICKER,"DEEP_MEASURE_PERIOD_BROKER_VALUE","DEEP_MEASURE_ID_OVERRIDE",$C136,"DEEP_BROKER_ID_OVERRIDE",BF$24,"DEEP_PERIOD_OVERRIDE",$H$19)*1,"")))</f>
        <v/>
      </c>
      <c r="BG136" t="str">
        <f>IF(OR(BG$23="",ISNA($B136)),"",IF(ISBLANK($B136),"",IFERROR(_xll.BDP(TICKER,"DEEP_MEASURE_PERIOD_BROKER_VALUE","DEEP_MEASURE_ID_OVERRIDE",$C136,"DEEP_BROKER_ID_OVERRIDE",BG$24,"DEEP_PERIOD_OVERRIDE",$H$19)*1,"")))</f>
        <v/>
      </c>
      <c r="BH136" t="str">
        <f>IF(OR(BH$23="",ISNA($B136)),"",IF(ISBLANK($B136),"",IFERROR(_xll.BDP(TICKER,"DEEP_MEASURE_PERIOD_BROKER_VALUE","DEEP_MEASURE_ID_OVERRIDE",$C136,"DEEP_BROKER_ID_OVERRIDE",BH$24,"DEEP_PERIOD_OVERRIDE",$H$19)*1,"")))</f>
        <v/>
      </c>
      <c r="BI136" t="str">
        <f>IF(OR(BI$23="",ISNA($B136)),"",IF(ISBLANK($B136),"",IFERROR(_xll.BDP(TICKER,"DEEP_MEASURE_PERIOD_BROKER_VALUE","DEEP_MEASURE_ID_OVERRIDE",$C136,"DEEP_BROKER_ID_OVERRIDE",BI$24,"DEEP_PERIOD_OVERRIDE",$H$19)*1,"")))</f>
        <v/>
      </c>
      <c r="BJ136" t="str">
        <f>IF(OR(BJ$23="",ISNA($B136)),"",IF(ISBLANK($B136),"",IFERROR(_xll.BDP(TICKER,"DEEP_MEASURE_PERIOD_BROKER_VALUE","DEEP_MEASURE_ID_OVERRIDE",$C136,"DEEP_BROKER_ID_OVERRIDE",BJ$24,"DEEP_PERIOD_OVERRIDE",$H$19)*1,"")))</f>
        <v/>
      </c>
      <c r="BK136" t="str">
        <f>IF(OR(BK$23="",ISNA($B136)),"",IF(ISBLANK($B136),"",IFERROR(_xll.BDP(TICKER,"DEEP_MEASURE_PERIOD_BROKER_VALUE","DEEP_MEASURE_ID_OVERRIDE",$C136,"DEEP_BROKER_ID_OVERRIDE",BK$24,"DEEP_PERIOD_OVERRIDE",$H$19)*1,"")))</f>
        <v/>
      </c>
      <c r="BL136" t="str">
        <f>IF(OR(BL$23="",ISNA($B136)),"",IF(ISBLANK($B136),"",IFERROR(_xll.BDP(TICKER,"DEEP_MEASURE_PERIOD_BROKER_VALUE","DEEP_MEASURE_ID_OVERRIDE",$C136,"DEEP_BROKER_ID_OVERRIDE",BL$24,"DEEP_PERIOD_OVERRIDE",$H$19)*1,"")))</f>
        <v/>
      </c>
      <c r="BM136" t="str">
        <f>IF(OR(BM$23="",ISNA($B136)),"",IF(ISBLANK($B136),"",IFERROR(_xll.BDP(TICKER,"DEEP_MEASURE_PERIOD_BROKER_VALUE","DEEP_MEASURE_ID_OVERRIDE",$C136,"DEEP_BROKER_ID_OVERRIDE",BM$24,"DEEP_PERIOD_OVERRIDE",$H$19)*1,"")))</f>
        <v/>
      </c>
      <c r="BN136" t="str">
        <f>IF(OR(BN$23="",ISNA($B136)),"",IF(ISBLANK($B136),"",IFERROR(_xll.BDP(TICKER,"DEEP_MEASURE_PERIOD_BROKER_VALUE","DEEP_MEASURE_ID_OVERRIDE",$C136,"DEEP_BROKER_ID_OVERRIDE",BN$24,"DEEP_PERIOD_OVERRIDE",$H$19)*1,"")))</f>
        <v/>
      </c>
      <c r="BO136" t="str">
        <f>IF(OR(BO$23="",ISNA($B136)),"",IF(ISBLANK($B136),"",IFERROR(_xll.BDP(TICKER,"DEEP_MEASURE_PERIOD_BROKER_VALUE","DEEP_MEASURE_ID_OVERRIDE",$C136,"DEEP_BROKER_ID_OVERRIDE",BO$24,"DEEP_PERIOD_OVERRIDE",$H$19)*1,"")))</f>
        <v/>
      </c>
      <c r="BP136" t="str">
        <f>IF(OR(BP$23="",ISNA($B136)),"",IF(ISBLANK($B136),"",IFERROR(_xll.BDP(TICKER,"DEEP_MEASURE_PERIOD_BROKER_VALUE","DEEP_MEASURE_ID_OVERRIDE",$C136,"DEEP_BROKER_ID_OVERRIDE",BP$24,"DEEP_PERIOD_OVERRIDE",$H$19)*1,"")))</f>
        <v/>
      </c>
      <c r="BQ136" t="str">
        <f>IF(OR(BQ$23="",ISNA($B136)),"",IF(ISBLANK($B136),"",IFERROR(_xll.BDP(TICKER,"DEEP_MEASURE_PERIOD_BROKER_VALUE","DEEP_MEASURE_ID_OVERRIDE",$C136,"DEEP_BROKER_ID_OVERRIDE",BQ$24,"DEEP_PERIOD_OVERRIDE",$H$19)*1,"")))</f>
        <v/>
      </c>
      <c r="BR136" t="str">
        <f>IF(OR(BR$23="",ISNA($B136)),"",IF(ISBLANK($B136),"",IFERROR(_xll.BDP(TICKER,"DEEP_MEASURE_PERIOD_BROKER_VALUE","DEEP_MEASURE_ID_OVERRIDE",$C136,"DEEP_BROKER_ID_OVERRIDE",BR$24,"DEEP_PERIOD_OVERRIDE",$H$19)*1,"")))</f>
        <v/>
      </c>
      <c r="BS136" t="str">
        <f>IF(OR(BS$23="",ISNA($B136)),"",IF(ISBLANK($B136),"",IFERROR(_xll.BDP(TICKER,"DEEP_MEASURE_PERIOD_BROKER_VALUE","DEEP_MEASURE_ID_OVERRIDE",$C136,"DEEP_BROKER_ID_OVERRIDE",BS$24,"DEEP_PERIOD_OVERRIDE",$H$19)*1,"")))</f>
        <v/>
      </c>
      <c r="BT136" t="str">
        <f>IF(OR(BT$23="",ISNA($B136)),"",IF(ISBLANK($B136),"",IFERROR(_xll.BDP(TICKER,"DEEP_MEASURE_PERIOD_BROKER_VALUE","DEEP_MEASURE_ID_OVERRIDE",$C136,"DEEP_BROKER_ID_OVERRIDE",BT$24,"DEEP_PERIOD_OVERRIDE",$H$19)*1,"")))</f>
        <v/>
      </c>
      <c r="BU136" t="str">
        <f>IF(OR(BU$23="",ISNA($B136)),"",IF(ISBLANK($B136),"",IFERROR(_xll.BDP(TICKER,"DEEP_MEASURE_PERIOD_BROKER_VALUE","DEEP_MEASURE_ID_OVERRIDE",$C136,"DEEP_BROKER_ID_OVERRIDE",BU$24,"DEEP_PERIOD_OVERRIDE",$H$19)*1,"")))</f>
        <v/>
      </c>
      <c r="BV136" t="str">
        <f>IF(OR(BV$23="",ISNA($B136)),"",IF(ISBLANK($B136),"",IFERROR(_xll.BDP(TICKER,"DEEP_MEASURE_PERIOD_BROKER_VALUE","DEEP_MEASURE_ID_OVERRIDE",$C136,"DEEP_BROKER_ID_OVERRIDE",BV$24,"DEEP_PERIOD_OVERRIDE",$H$19)*1,"")))</f>
        <v/>
      </c>
      <c r="BW136" t="str">
        <f>IF(OR(BW$23="",ISNA($B136)),"",IF(ISBLANK($B136),"",IFERROR(_xll.BDP(TICKER,"DEEP_MEASURE_PERIOD_BROKER_VALUE","DEEP_MEASURE_ID_OVERRIDE",$C136,"DEEP_BROKER_ID_OVERRIDE",BW$24,"DEEP_PERIOD_OVERRIDE",$H$19)*1,"")))</f>
        <v/>
      </c>
      <c r="BX136" t="str">
        <f>IF(OR(BX$23="",ISNA($B136)),"",IF(ISBLANK($B136),"",IFERROR(_xll.BDP(TICKER,"DEEP_MEASURE_PERIOD_BROKER_VALUE","DEEP_MEASURE_ID_OVERRIDE",$C136,"DEEP_BROKER_ID_OVERRIDE",BX$24,"DEEP_PERIOD_OVERRIDE",$H$19)*1,"")))</f>
        <v/>
      </c>
      <c r="BY136" t="str">
        <f>IF(OR(BY$23="",ISNA($B136)),"",IF(ISBLANK($B136),"",IFERROR(_xll.BDP(TICKER,"DEEP_MEASURE_PERIOD_BROKER_VALUE","DEEP_MEASURE_ID_OVERRIDE",$C136,"DEEP_BROKER_ID_OVERRIDE",BY$24,"DEEP_PERIOD_OVERRIDE",$H$19)*1,"")))</f>
        <v/>
      </c>
      <c r="BZ136" t="str">
        <f>IF(OR(BZ$23="",ISNA($B136)),"",IF(ISBLANK($B136),"",IFERROR(_xll.BDP(TICKER,"DEEP_MEASURE_PERIOD_BROKER_VALUE","DEEP_MEASURE_ID_OVERRIDE",$C136,"DEEP_BROKER_ID_OVERRIDE",BZ$24,"DEEP_PERIOD_OVERRIDE",$H$19)*1,"")))</f>
        <v/>
      </c>
    </row>
    <row r="137" spans="2:78" x14ac:dyDescent="0.25">
      <c r="B137" t="s">
        <v>48</v>
      </c>
      <c r="C137">
        <v>349</v>
      </c>
      <c r="H137" t="str">
        <f t="shared" si="2"/>
        <v>Interest Expense, Net &gt; Interest Expense</v>
      </c>
      <c r="I137" t="str">
        <f>IF(OR(I$23="",ISNA($B137)),"",IF(ISBLANK($B137),"",IFERROR(_xll.BDP(TICKER,"DEEP_MEASURE_PERIOD_BROKER_VALUE","DEEP_MEASURE_ID_OVERRIDE",$C137,"DEEP_PERIOD_OVERRIDE",$H$19)*1,"")))</f>
        <v/>
      </c>
      <c r="J137" t="e">
        <f>IF(OR(J$23="",ISNA($B137)),"",IF(ISBLANK($B137),"",IFERROR(_xll.BDP(TICKER,"DEEP_MEASURE_PERIOD_BROKER_VALUE","DEEP_MEASURE_ID_OVERRIDE",$C137,"DEEP_BROKER_ID_OVERRIDE",J$24,"DEEP_PERIOD_OVERRIDE",$H$19)*1,"")))</f>
        <v>#REF!</v>
      </c>
      <c r="K137" t="str">
        <f>IF(OR(K$23="",ISNA($B137)),"",IF(ISBLANK($B137),"",IFERROR(_xll.BDP(TICKER,"DEEP_MEASURE_PERIOD_BROKER_VALUE","DEEP_MEASURE_ID_OVERRIDE",$C137,"DEEP_BROKER_ID_OVERRIDE",K$24,"DEEP_PERIOD_OVERRIDE",$H$19)*1,"")))</f>
        <v/>
      </c>
      <c r="L137" t="str">
        <f>IF(OR(L$23="",ISNA($B137)),"",IF(ISBLANK($B137),"",IFERROR(_xll.BDP(TICKER,"DEEP_MEASURE_PERIOD_BROKER_VALUE","DEEP_MEASURE_ID_OVERRIDE",$C137,"DEEP_BROKER_ID_OVERRIDE",L$24,"DEEP_PERIOD_OVERRIDE",$H$19)*1,"")))</f>
        <v/>
      </c>
      <c r="M137" t="str">
        <f>IF(OR(M$23="",ISNA($B137)),"",IF(ISBLANK($B137),"",IFERROR(_xll.BDP(TICKER,"DEEP_MEASURE_PERIOD_BROKER_VALUE","DEEP_MEASURE_ID_OVERRIDE",$C137,"DEEP_BROKER_ID_OVERRIDE",M$24,"DEEP_PERIOD_OVERRIDE",$H$19)*1,"")))</f>
        <v/>
      </c>
      <c r="N137" t="str">
        <f>IF(OR(N$23="",ISNA($B137)),"",IF(ISBLANK($B137),"",IFERROR(_xll.BDP(TICKER,"DEEP_MEASURE_PERIOD_BROKER_VALUE","DEEP_MEASURE_ID_OVERRIDE",$C137,"DEEP_BROKER_ID_OVERRIDE",N$24,"DEEP_PERIOD_OVERRIDE",$H$19)*1,"")))</f>
        <v/>
      </c>
      <c r="O137" t="str">
        <f>IF(OR(O$23="",ISNA($B137)),"",IF(ISBLANK($B137),"",IFERROR(_xll.BDP(TICKER,"DEEP_MEASURE_PERIOD_BROKER_VALUE","DEEP_MEASURE_ID_OVERRIDE",$C137,"DEEP_BROKER_ID_OVERRIDE",O$24,"DEEP_PERIOD_OVERRIDE",$H$19)*1,"")))</f>
        <v/>
      </c>
      <c r="P137" t="str">
        <f>IF(OR(P$23="",ISNA($B137)),"",IF(ISBLANK($B137),"",IFERROR(_xll.BDP(TICKER,"DEEP_MEASURE_PERIOD_BROKER_VALUE","DEEP_MEASURE_ID_OVERRIDE",$C137,"DEEP_BROKER_ID_OVERRIDE",P$24,"DEEP_PERIOD_OVERRIDE",$H$19)*1,"")))</f>
        <v/>
      </c>
      <c r="Q137" t="str">
        <f>IF(OR(Q$23="",ISNA($B137)),"",IF(ISBLANK($B137),"",IFERROR(_xll.BDP(TICKER,"DEEP_MEASURE_PERIOD_BROKER_VALUE","DEEP_MEASURE_ID_OVERRIDE",$C137,"DEEP_BROKER_ID_OVERRIDE",Q$24,"DEEP_PERIOD_OVERRIDE",$H$19)*1,"")))</f>
        <v/>
      </c>
      <c r="R137" t="str">
        <f>IF(OR(R$23="",ISNA($B137)),"",IF(ISBLANK($B137),"",IFERROR(_xll.BDP(TICKER,"DEEP_MEASURE_PERIOD_BROKER_VALUE","DEEP_MEASURE_ID_OVERRIDE",$C137,"DEEP_BROKER_ID_OVERRIDE",R$24,"DEEP_PERIOD_OVERRIDE",$H$19)*1,"")))</f>
        <v/>
      </c>
      <c r="S137" t="str">
        <f>IF(OR(S$23="",ISNA($B137)),"",IF(ISBLANK($B137),"",IFERROR(_xll.BDP(TICKER,"DEEP_MEASURE_PERIOD_BROKER_VALUE","DEEP_MEASURE_ID_OVERRIDE",$C137,"DEEP_BROKER_ID_OVERRIDE",S$24,"DEEP_PERIOD_OVERRIDE",$H$19)*1,"")))</f>
        <v/>
      </c>
      <c r="T137" t="str">
        <f>IF(OR(T$23="",ISNA($B137)),"",IF(ISBLANK($B137),"",IFERROR(_xll.BDP(TICKER,"DEEP_MEASURE_PERIOD_BROKER_VALUE","DEEP_MEASURE_ID_OVERRIDE",$C137,"DEEP_BROKER_ID_OVERRIDE",T$24,"DEEP_PERIOD_OVERRIDE",$H$19)*1,"")))</f>
        <v/>
      </c>
      <c r="U137" t="str">
        <f>IF(OR(U$23="",ISNA($B137)),"",IF(ISBLANK($B137),"",IFERROR(_xll.BDP(TICKER,"DEEP_MEASURE_PERIOD_BROKER_VALUE","DEEP_MEASURE_ID_OVERRIDE",$C137,"DEEP_BROKER_ID_OVERRIDE",U$24,"DEEP_PERIOD_OVERRIDE",$H$19)*1,"")))</f>
        <v/>
      </c>
      <c r="V137" t="str">
        <f>IF(OR(V$23="",ISNA($B137)),"",IF(ISBLANK($B137),"",IFERROR(_xll.BDP(TICKER,"DEEP_MEASURE_PERIOD_BROKER_VALUE","DEEP_MEASURE_ID_OVERRIDE",$C137,"DEEP_BROKER_ID_OVERRIDE",V$24,"DEEP_PERIOD_OVERRIDE",$H$19)*1,"")))</f>
        <v/>
      </c>
      <c r="W137" t="str">
        <f>IF(OR(W$23="",ISNA($B137)),"",IF(ISBLANK($B137),"",IFERROR(_xll.BDP(TICKER,"DEEP_MEASURE_PERIOD_BROKER_VALUE","DEEP_MEASURE_ID_OVERRIDE",$C137,"DEEP_BROKER_ID_OVERRIDE",W$24,"DEEP_PERIOD_OVERRIDE",$H$19)*1,"")))</f>
        <v/>
      </c>
      <c r="X137" t="str">
        <f>IF(OR(X$23="",ISNA($B137)),"",IF(ISBLANK($B137),"",IFERROR(_xll.BDP(TICKER,"DEEP_MEASURE_PERIOD_BROKER_VALUE","DEEP_MEASURE_ID_OVERRIDE",$C137,"DEEP_BROKER_ID_OVERRIDE",X$24,"DEEP_PERIOD_OVERRIDE",$H$19)*1,"")))</f>
        <v/>
      </c>
      <c r="Y137" t="str">
        <f>IF(OR(Y$23="",ISNA($B137)),"",IF(ISBLANK($B137),"",IFERROR(_xll.BDP(TICKER,"DEEP_MEASURE_PERIOD_BROKER_VALUE","DEEP_MEASURE_ID_OVERRIDE",$C137,"DEEP_BROKER_ID_OVERRIDE",Y$24,"DEEP_PERIOD_OVERRIDE",$H$19)*1,"")))</f>
        <v/>
      </c>
      <c r="Z137" t="str">
        <f>IF(OR(Z$23="",ISNA($B137)),"",IF(ISBLANK($B137),"",IFERROR(_xll.BDP(TICKER,"DEEP_MEASURE_PERIOD_BROKER_VALUE","DEEP_MEASURE_ID_OVERRIDE",$C137,"DEEP_BROKER_ID_OVERRIDE",Z$24,"DEEP_PERIOD_OVERRIDE",$H$19)*1,"")))</f>
        <v/>
      </c>
      <c r="AA137" t="str">
        <f>IF(OR(AA$23="",ISNA($B137)),"",IF(ISBLANK($B137),"",IFERROR(_xll.BDP(TICKER,"DEEP_MEASURE_PERIOD_BROKER_VALUE","DEEP_MEASURE_ID_OVERRIDE",$C137,"DEEP_BROKER_ID_OVERRIDE",AA$24,"DEEP_PERIOD_OVERRIDE",$H$19)*1,"")))</f>
        <v/>
      </c>
      <c r="AB137" t="str">
        <f>IF(OR(AB$23="",ISNA($B137)),"",IF(ISBLANK($B137),"",IFERROR(_xll.BDP(TICKER,"DEEP_MEASURE_PERIOD_BROKER_VALUE","DEEP_MEASURE_ID_OVERRIDE",$C137,"DEEP_BROKER_ID_OVERRIDE",AB$24,"DEEP_PERIOD_OVERRIDE",$H$19)*1,"")))</f>
        <v/>
      </c>
      <c r="AC137" t="str">
        <f>IF(OR(AC$23="",ISNA($B137)),"",IF(ISBLANK($B137),"",IFERROR(_xll.BDP(TICKER,"DEEP_MEASURE_PERIOD_BROKER_VALUE","DEEP_MEASURE_ID_OVERRIDE",$C137,"DEEP_BROKER_ID_OVERRIDE",AC$24,"DEEP_PERIOD_OVERRIDE",$H$19)*1,"")))</f>
        <v/>
      </c>
      <c r="AD137" t="str">
        <f>IF(OR(AD$23="",ISNA($B137)),"",IF(ISBLANK($B137),"",IFERROR(_xll.BDP(TICKER,"DEEP_MEASURE_PERIOD_BROKER_VALUE","DEEP_MEASURE_ID_OVERRIDE",$C137,"DEEP_BROKER_ID_OVERRIDE",AD$24,"DEEP_PERIOD_OVERRIDE",$H$19)*1,"")))</f>
        <v/>
      </c>
      <c r="AE137" t="str">
        <f>IF(OR(AE$23="",ISNA($B137)),"",IF(ISBLANK($B137),"",IFERROR(_xll.BDP(TICKER,"DEEP_MEASURE_PERIOD_BROKER_VALUE","DEEP_MEASURE_ID_OVERRIDE",$C137,"DEEP_BROKER_ID_OVERRIDE",AE$24,"DEEP_PERIOD_OVERRIDE",$H$19)*1,"")))</f>
        <v/>
      </c>
      <c r="AF137" t="str">
        <f>IF(OR(AF$23="",ISNA($B137)),"",IF(ISBLANK($B137),"",IFERROR(_xll.BDP(TICKER,"DEEP_MEASURE_PERIOD_BROKER_VALUE","DEEP_MEASURE_ID_OVERRIDE",$C137,"DEEP_BROKER_ID_OVERRIDE",AF$24,"DEEP_PERIOD_OVERRIDE",$H$19)*1,"")))</f>
        <v/>
      </c>
      <c r="AG137" t="str">
        <f>IF(OR(AG$23="",ISNA($B137)),"",IF(ISBLANK($B137),"",IFERROR(_xll.BDP(TICKER,"DEEP_MEASURE_PERIOD_BROKER_VALUE","DEEP_MEASURE_ID_OVERRIDE",$C137,"DEEP_BROKER_ID_OVERRIDE",AG$24,"DEEP_PERIOD_OVERRIDE",$H$19)*1,"")))</f>
        <v/>
      </c>
      <c r="AH137" t="str">
        <f>IF(OR(AH$23="",ISNA($B137)),"",IF(ISBLANK($B137),"",IFERROR(_xll.BDP(TICKER,"DEEP_MEASURE_PERIOD_BROKER_VALUE","DEEP_MEASURE_ID_OVERRIDE",$C137,"DEEP_BROKER_ID_OVERRIDE",AH$24,"DEEP_PERIOD_OVERRIDE",$H$19)*1,"")))</f>
        <v/>
      </c>
      <c r="AI137" t="str">
        <f>IF(OR(AI$23="",ISNA($B137)),"",IF(ISBLANK($B137),"",IFERROR(_xll.BDP(TICKER,"DEEP_MEASURE_PERIOD_BROKER_VALUE","DEEP_MEASURE_ID_OVERRIDE",$C137,"DEEP_BROKER_ID_OVERRIDE",AI$24,"DEEP_PERIOD_OVERRIDE",$H$19)*1,"")))</f>
        <v/>
      </c>
      <c r="AJ137" t="str">
        <f>IF(OR(AJ$23="",ISNA($B137)),"",IF(ISBLANK($B137),"",IFERROR(_xll.BDP(TICKER,"DEEP_MEASURE_PERIOD_BROKER_VALUE","DEEP_MEASURE_ID_OVERRIDE",$C137,"DEEP_BROKER_ID_OVERRIDE",AJ$24,"DEEP_PERIOD_OVERRIDE",$H$19)*1,"")))</f>
        <v/>
      </c>
      <c r="AK137" t="str">
        <f>IF(OR(AK$23="",ISNA($B137)),"",IF(ISBLANK($B137),"",IFERROR(_xll.BDP(TICKER,"DEEP_MEASURE_PERIOD_BROKER_VALUE","DEEP_MEASURE_ID_OVERRIDE",$C137,"DEEP_BROKER_ID_OVERRIDE",AK$24,"DEEP_PERIOD_OVERRIDE",$H$19)*1,"")))</f>
        <v/>
      </c>
      <c r="AL137" t="str">
        <f>IF(OR(AL$23="",ISNA($B137)),"",IF(ISBLANK($B137),"",IFERROR(_xll.BDP(TICKER,"DEEP_MEASURE_PERIOD_BROKER_VALUE","DEEP_MEASURE_ID_OVERRIDE",$C137,"DEEP_BROKER_ID_OVERRIDE",AL$24,"DEEP_PERIOD_OVERRIDE",$H$19)*1,"")))</f>
        <v/>
      </c>
      <c r="AM137" t="str">
        <f>IF(OR(AM$23="",ISNA($B137)),"",IF(ISBLANK($B137),"",IFERROR(_xll.BDP(TICKER,"DEEP_MEASURE_PERIOD_BROKER_VALUE","DEEP_MEASURE_ID_OVERRIDE",$C137,"DEEP_BROKER_ID_OVERRIDE",AM$24,"DEEP_PERIOD_OVERRIDE",$H$19)*1,"")))</f>
        <v/>
      </c>
      <c r="AN137" t="str">
        <f>IF(OR(AN$23="",ISNA($B137)),"",IF(ISBLANK($B137),"",IFERROR(_xll.BDP(TICKER,"DEEP_MEASURE_PERIOD_BROKER_VALUE","DEEP_MEASURE_ID_OVERRIDE",$C137,"DEEP_BROKER_ID_OVERRIDE",AN$24,"DEEP_PERIOD_OVERRIDE",$H$19)*1,"")))</f>
        <v/>
      </c>
      <c r="AO137" t="str">
        <f>IF(OR(AO$23="",ISNA($B137)),"",IF(ISBLANK($B137),"",IFERROR(_xll.BDP(TICKER,"DEEP_MEASURE_PERIOD_BROKER_VALUE","DEEP_MEASURE_ID_OVERRIDE",$C137,"DEEP_BROKER_ID_OVERRIDE",AO$24,"DEEP_PERIOD_OVERRIDE",$H$19)*1,"")))</f>
        <v/>
      </c>
      <c r="AP137" t="str">
        <f>IF(OR(AP$23="",ISNA($B137)),"",IF(ISBLANK($B137),"",IFERROR(_xll.BDP(TICKER,"DEEP_MEASURE_PERIOD_BROKER_VALUE","DEEP_MEASURE_ID_OVERRIDE",$C137,"DEEP_BROKER_ID_OVERRIDE",AP$24,"DEEP_PERIOD_OVERRIDE",$H$19)*1,"")))</f>
        <v/>
      </c>
      <c r="AQ137" t="str">
        <f>IF(OR(AQ$23="",ISNA($B137)),"",IF(ISBLANK($B137),"",IFERROR(_xll.BDP(TICKER,"DEEP_MEASURE_PERIOD_BROKER_VALUE","DEEP_MEASURE_ID_OVERRIDE",$C137,"DEEP_BROKER_ID_OVERRIDE",AQ$24,"DEEP_PERIOD_OVERRIDE",$H$19)*1,"")))</f>
        <v/>
      </c>
      <c r="AR137" t="str">
        <f>IF(OR(AR$23="",ISNA($B137)),"",IF(ISBLANK($B137),"",IFERROR(_xll.BDP(TICKER,"DEEP_MEASURE_PERIOD_BROKER_VALUE","DEEP_MEASURE_ID_OVERRIDE",$C137,"DEEP_BROKER_ID_OVERRIDE",AR$24,"DEEP_PERIOD_OVERRIDE",$H$19)*1,"")))</f>
        <v/>
      </c>
      <c r="AS137" t="str">
        <f>IF(OR(AS$23="",ISNA($B137)),"",IF(ISBLANK($B137),"",IFERROR(_xll.BDP(TICKER,"DEEP_MEASURE_PERIOD_BROKER_VALUE","DEEP_MEASURE_ID_OVERRIDE",$C137,"DEEP_BROKER_ID_OVERRIDE",AS$24,"DEEP_PERIOD_OVERRIDE",$H$19)*1,"")))</f>
        <v/>
      </c>
      <c r="AT137" t="str">
        <f>IF(OR(AT$23="",ISNA($B137)),"",IF(ISBLANK($B137),"",IFERROR(_xll.BDP(TICKER,"DEEP_MEASURE_PERIOD_BROKER_VALUE","DEEP_MEASURE_ID_OVERRIDE",$C137,"DEEP_BROKER_ID_OVERRIDE",AT$24,"DEEP_PERIOD_OVERRIDE",$H$19)*1,"")))</f>
        <v/>
      </c>
      <c r="AU137" t="str">
        <f>IF(OR(AU$23="",ISNA($B137)),"",IF(ISBLANK($B137),"",IFERROR(_xll.BDP(TICKER,"DEEP_MEASURE_PERIOD_BROKER_VALUE","DEEP_MEASURE_ID_OVERRIDE",$C137,"DEEP_BROKER_ID_OVERRIDE",AU$24,"DEEP_PERIOD_OVERRIDE",$H$19)*1,"")))</f>
        <v/>
      </c>
      <c r="AV137" t="str">
        <f>IF(OR(AV$23="",ISNA($B137)),"",IF(ISBLANK($B137),"",IFERROR(_xll.BDP(TICKER,"DEEP_MEASURE_PERIOD_BROKER_VALUE","DEEP_MEASURE_ID_OVERRIDE",$C137,"DEEP_BROKER_ID_OVERRIDE",AV$24,"DEEP_PERIOD_OVERRIDE",$H$19)*1,"")))</f>
        <v/>
      </c>
      <c r="AW137" t="str">
        <f>IF(OR(AW$23="",ISNA($B137)),"",IF(ISBLANK($B137),"",IFERROR(_xll.BDP(TICKER,"DEEP_MEASURE_PERIOD_BROKER_VALUE","DEEP_MEASURE_ID_OVERRIDE",$C137,"DEEP_BROKER_ID_OVERRIDE",AW$24,"DEEP_PERIOD_OVERRIDE",$H$19)*1,"")))</f>
        <v/>
      </c>
      <c r="AX137" t="str">
        <f>IF(OR(AX$23="",ISNA($B137)),"",IF(ISBLANK($B137),"",IFERROR(_xll.BDP(TICKER,"DEEP_MEASURE_PERIOD_BROKER_VALUE","DEEP_MEASURE_ID_OVERRIDE",$C137,"DEEP_BROKER_ID_OVERRIDE",AX$24,"DEEP_PERIOD_OVERRIDE",$H$19)*1,"")))</f>
        <v/>
      </c>
      <c r="AY137" t="str">
        <f>IF(OR(AY$23="",ISNA($B137)),"",IF(ISBLANK($B137),"",IFERROR(_xll.BDP(TICKER,"DEEP_MEASURE_PERIOD_BROKER_VALUE","DEEP_MEASURE_ID_OVERRIDE",$C137,"DEEP_BROKER_ID_OVERRIDE",AY$24,"DEEP_PERIOD_OVERRIDE",$H$19)*1,"")))</f>
        <v/>
      </c>
      <c r="AZ137" t="str">
        <f>IF(OR(AZ$23="",ISNA($B137)),"",IF(ISBLANK($B137),"",IFERROR(_xll.BDP(TICKER,"DEEP_MEASURE_PERIOD_BROKER_VALUE","DEEP_MEASURE_ID_OVERRIDE",$C137,"DEEP_BROKER_ID_OVERRIDE",AZ$24,"DEEP_PERIOD_OVERRIDE",$H$19)*1,"")))</f>
        <v/>
      </c>
      <c r="BA137" t="str">
        <f>IF(OR(BA$23="",ISNA($B137)),"",IF(ISBLANK($B137),"",IFERROR(_xll.BDP(TICKER,"DEEP_MEASURE_PERIOD_BROKER_VALUE","DEEP_MEASURE_ID_OVERRIDE",$C137,"DEEP_BROKER_ID_OVERRIDE",BA$24,"DEEP_PERIOD_OVERRIDE",$H$19)*1,"")))</f>
        <v/>
      </c>
      <c r="BB137" t="str">
        <f>IF(OR(BB$23="",ISNA($B137)),"",IF(ISBLANK($B137),"",IFERROR(_xll.BDP(TICKER,"DEEP_MEASURE_PERIOD_BROKER_VALUE","DEEP_MEASURE_ID_OVERRIDE",$C137,"DEEP_BROKER_ID_OVERRIDE",BB$24,"DEEP_PERIOD_OVERRIDE",$H$19)*1,"")))</f>
        <v/>
      </c>
      <c r="BC137" t="str">
        <f>IF(OR(BC$23="",ISNA($B137)),"",IF(ISBLANK($B137),"",IFERROR(_xll.BDP(TICKER,"DEEP_MEASURE_PERIOD_BROKER_VALUE","DEEP_MEASURE_ID_OVERRIDE",$C137,"DEEP_BROKER_ID_OVERRIDE",BC$24,"DEEP_PERIOD_OVERRIDE",$H$19)*1,"")))</f>
        <v/>
      </c>
      <c r="BD137" t="str">
        <f>IF(OR(BD$23="",ISNA($B137)),"",IF(ISBLANK($B137),"",IFERROR(_xll.BDP(TICKER,"DEEP_MEASURE_PERIOD_BROKER_VALUE","DEEP_MEASURE_ID_OVERRIDE",$C137,"DEEP_BROKER_ID_OVERRIDE",BD$24,"DEEP_PERIOD_OVERRIDE",$H$19)*1,"")))</f>
        <v/>
      </c>
      <c r="BE137" t="str">
        <f>IF(OR(BE$23="",ISNA($B137)),"",IF(ISBLANK($B137),"",IFERROR(_xll.BDP(TICKER,"DEEP_MEASURE_PERIOD_BROKER_VALUE","DEEP_MEASURE_ID_OVERRIDE",$C137,"DEEP_BROKER_ID_OVERRIDE",BE$24,"DEEP_PERIOD_OVERRIDE",$H$19)*1,"")))</f>
        <v/>
      </c>
      <c r="BF137" t="str">
        <f>IF(OR(BF$23="",ISNA($B137)),"",IF(ISBLANK($B137),"",IFERROR(_xll.BDP(TICKER,"DEEP_MEASURE_PERIOD_BROKER_VALUE","DEEP_MEASURE_ID_OVERRIDE",$C137,"DEEP_BROKER_ID_OVERRIDE",BF$24,"DEEP_PERIOD_OVERRIDE",$H$19)*1,"")))</f>
        <v/>
      </c>
      <c r="BG137" t="str">
        <f>IF(OR(BG$23="",ISNA($B137)),"",IF(ISBLANK($B137),"",IFERROR(_xll.BDP(TICKER,"DEEP_MEASURE_PERIOD_BROKER_VALUE","DEEP_MEASURE_ID_OVERRIDE",$C137,"DEEP_BROKER_ID_OVERRIDE",BG$24,"DEEP_PERIOD_OVERRIDE",$H$19)*1,"")))</f>
        <v/>
      </c>
      <c r="BH137" t="str">
        <f>IF(OR(BH$23="",ISNA($B137)),"",IF(ISBLANK($B137),"",IFERROR(_xll.BDP(TICKER,"DEEP_MEASURE_PERIOD_BROKER_VALUE","DEEP_MEASURE_ID_OVERRIDE",$C137,"DEEP_BROKER_ID_OVERRIDE",BH$24,"DEEP_PERIOD_OVERRIDE",$H$19)*1,"")))</f>
        <v/>
      </c>
      <c r="BI137" t="str">
        <f>IF(OR(BI$23="",ISNA($B137)),"",IF(ISBLANK($B137),"",IFERROR(_xll.BDP(TICKER,"DEEP_MEASURE_PERIOD_BROKER_VALUE","DEEP_MEASURE_ID_OVERRIDE",$C137,"DEEP_BROKER_ID_OVERRIDE",BI$24,"DEEP_PERIOD_OVERRIDE",$H$19)*1,"")))</f>
        <v/>
      </c>
      <c r="BJ137" t="str">
        <f>IF(OR(BJ$23="",ISNA($B137)),"",IF(ISBLANK($B137),"",IFERROR(_xll.BDP(TICKER,"DEEP_MEASURE_PERIOD_BROKER_VALUE","DEEP_MEASURE_ID_OVERRIDE",$C137,"DEEP_BROKER_ID_OVERRIDE",BJ$24,"DEEP_PERIOD_OVERRIDE",$H$19)*1,"")))</f>
        <v/>
      </c>
      <c r="BK137" t="str">
        <f>IF(OR(BK$23="",ISNA($B137)),"",IF(ISBLANK($B137),"",IFERROR(_xll.BDP(TICKER,"DEEP_MEASURE_PERIOD_BROKER_VALUE","DEEP_MEASURE_ID_OVERRIDE",$C137,"DEEP_BROKER_ID_OVERRIDE",BK$24,"DEEP_PERIOD_OVERRIDE",$H$19)*1,"")))</f>
        <v/>
      </c>
      <c r="BL137" t="str">
        <f>IF(OR(BL$23="",ISNA($B137)),"",IF(ISBLANK($B137),"",IFERROR(_xll.BDP(TICKER,"DEEP_MEASURE_PERIOD_BROKER_VALUE","DEEP_MEASURE_ID_OVERRIDE",$C137,"DEEP_BROKER_ID_OVERRIDE",BL$24,"DEEP_PERIOD_OVERRIDE",$H$19)*1,"")))</f>
        <v/>
      </c>
      <c r="BM137" t="str">
        <f>IF(OR(BM$23="",ISNA($B137)),"",IF(ISBLANK($B137),"",IFERROR(_xll.BDP(TICKER,"DEEP_MEASURE_PERIOD_BROKER_VALUE","DEEP_MEASURE_ID_OVERRIDE",$C137,"DEEP_BROKER_ID_OVERRIDE",BM$24,"DEEP_PERIOD_OVERRIDE",$H$19)*1,"")))</f>
        <v/>
      </c>
      <c r="BN137" t="str">
        <f>IF(OR(BN$23="",ISNA($B137)),"",IF(ISBLANK($B137),"",IFERROR(_xll.BDP(TICKER,"DEEP_MEASURE_PERIOD_BROKER_VALUE","DEEP_MEASURE_ID_OVERRIDE",$C137,"DEEP_BROKER_ID_OVERRIDE",BN$24,"DEEP_PERIOD_OVERRIDE",$H$19)*1,"")))</f>
        <v/>
      </c>
      <c r="BO137" t="str">
        <f>IF(OR(BO$23="",ISNA($B137)),"",IF(ISBLANK($B137),"",IFERROR(_xll.BDP(TICKER,"DEEP_MEASURE_PERIOD_BROKER_VALUE","DEEP_MEASURE_ID_OVERRIDE",$C137,"DEEP_BROKER_ID_OVERRIDE",BO$24,"DEEP_PERIOD_OVERRIDE",$H$19)*1,"")))</f>
        <v/>
      </c>
      <c r="BP137" t="str">
        <f>IF(OR(BP$23="",ISNA($B137)),"",IF(ISBLANK($B137),"",IFERROR(_xll.BDP(TICKER,"DEEP_MEASURE_PERIOD_BROKER_VALUE","DEEP_MEASURE_ID_OVERRIDE",$C137,"DEEP_BROKER_ID_OVERRIDE",BP$24,"DEEP_PERIOD_OVERRIDE",$H$19)*1,"")))</f>
        <v/>
      </c>
      <c r="BQ137" t="str">
        <f>IF(OR(BQ$23="",ISNA($B137)),"",IF(ISBLANK($B137),"",IFERROR(_xll.BDP(TICKER,"DEEP_MEASURE_PERIOD_BROKER_VALUE","DEEP_MEASURE_ID_OVERRIDE",$C137,"DEEP_BROKER_ID_OVERRIDE",BQ$24,"DEEP_PERIOD_OVERRIDE",$H$19)*1,"")))</f>
        <v/>
      </c>
      <c r="BR137" t="str">
        <f>IF(OR(BR$23="",ISNA($B137)),"",IF(ISBLANK($B137),"",IFERROR(_xll.BDP(TICKER,"DEEP_MEASURE_PERIOD_BROKER_VALUE","DEEP_MEASURE_ID_OVERRIDE",$C137,"DEEP_BROKER_ID_OVERRIDE",BR$24,"DEEP_PERIOD_OVERRIDE",$H$19)*1,"")))</f>
        <v/>
      </c>
      <c r="BS137" t="str">
        <f>IF(OR(BS$23="",ISNA($B137)),"",IF(ISBLANK($B137),"",IFERROR(_xll.BDP(TICKER,"DEEP_MEASURE_PERIOD_BROKER_VALUE","DEEP_MEASURE_ID_OVERRIDE",$C137,"DEEP_BROKER_ID_OVERRIDE",BS$24,"DEEP_PERIOD_OVERRIDE",$H$19)*1,"")))</f>
        <v/>
      </c>
      <c r="BT137" t="str">
        <f>IF(OR(BT$23="",ISNA($B137)),"",IF(ISBLANK($B137),"",IFERROR(_xll.BDP(TICKER,"DEEP_MEASURE_PERIOD_BROKER_VALUE","DEEP_MEASURE_ID_OVERRIDE",$C137,"DEEP_BROKER_ID_OVERRIDE",BT$24,"DEEP_PERIOD_OVERRIDE",$H$19)*1,"")))</f>
        <v/>
      </c>
      <c r="BU137" t="str">
        <f>IF(OR(BU$23="",ISNA($B137)),"",IF(ISBLANK($B137),"",IFERROR(_xll.BDP(TICKER,"DEEP_MEASURE_PERIOD_BROKER_VALUE","DEEP_MEASURE_ID_OVERRIDE",$C137,"DEEP_BROKER_ID_OVERRIDE",BU$24,"DEEP_PERIOD_OVERRIDE",$H$19)*1,"")))</f>
        <v/>
      </c>
      <c r="BV137" t="str">
        <f>IF(OR(BV$23="",ISNA($B137)),"",IF(ISBLANK($B137),"",IFERROR(_xll.BDP(TICKER,"DEEP_MEASURE_PERIOD_BROKER_VALUE","DEEP_MEASURE_ID_OVERRIDE",$C137,"DEEP_BROKER_ID_OVERRIDE",BV$24,"DEEP_PERIOD_OVERRIDE",$H$19)*1,"")))</f>
        <v/>
      </c>
      <c r="BW137" t="str">
        <f>IF(OR(BW$23="",ISNA($B137)),"",IF(ISBLANK($B137),"",IFERROR(_xll.BDP(TICKER,"DEEP_MEASURE_PERIOD_BROKER_VALUE","DEEP_MEASURE_ID_OVERRIDE",$C137,"DEEP_BROKER_ID_OVERRIDE",BW$24,"DEEP_PERIOD_OVERRIDE",$H$19)*1,"")))</f>
        <v/>
      </c>
      <c r="BX137" t="str">
        <f>IF(OR(BX$23="",ISNA($B137)),"",IF(ISBLANK($B137),"",IFERROR(_xll.BDP(TICKER,"DEEP_MEASURE_PERIOD_BROKER_VALUE","DEEP_MEASURE_ID_OVERRIDE",$C137,"DEEP_BROKER_ID_OVERRIDE",BX$24,"DEEP_PERIOD_OVERRIDE",$H$19)*1,"")))</f>
        <v/>
      </c>
      <c r="BY137" t="str">
        <f>IF(OR(BY$23="",ISNA($B137)),"",IF(ISBLANK($B137),"",IFERROR(_xll.BDP(TICKER,"DEEP_MEASURE_PERIOD_BROKER_VALUE","DEEP_MEASURE_ID_OVERRIDE",$C137,"DEEP_BROKER_ID_OVERRIDE",BY$24,"DEEP_PERIOD_OVERRIDE",$H$19)*1,"")))</f>
        <v/>
      </c>
      <c r="BZ137" t="str">
        <f>IF(OR(BZ$23="",ISNA($B137)),"",IF(ISBLANK($B137),"",IFERROR(_xll.BDP(TICKER,"DEEP_MEASURE_PERIOD_BROKER_VALUE","DEEP_MEASURE_ID_OVERRIDE",$C137,"DEEP_BROKER_ID_OVERRIDE",BZ$24,"DEEP_PERIOD_OVERRIDE",$H$19)*1,"")))</f>
        <v/>
      </c>
    </row>
    <row r="138" spans="2:78" x14ac:dyDescent="0.25">
      <c r="B138" t="s">
        <v>31</v>
      </c>
      <c r="C138">
        <v>536</v>
      </c>
      <c r="H138" t="str">
        <f t="shared" si="2"/>
        <v>Pretax Income</v>
      </c>
      <c r="I138" t="str">
        <f>IF(OR(I$23="",ISNA($B138)),"",IF(ISBLANK($B138),"",IFERROR(_xll.BDP(TICKER,"DEEP_MEASURE_PERIOD_BROKER_VALUE","DEEP_MEASURE_ID_OVERRIDE",$C138,"DEEP_PERIOD_OVERRIDE",$H$19)*1,"")))</f>
        <v/>
      </c>
      <c r="J138" t="e">
        <f>IF(OR(J$23="",ISNA($B138)),"",IF(ISBLANK($B138),"",IFERROR(_xll.BDP(TICKER,"DEEP_MEASURE_PERIOD_BROKER_VALUE","DEEP_MEASURE_ID_OVERRIDE",$C138,"DEEP_BROKER_ID_OVERRIDE",J$24,"DEEP_PERIOD_OVERRIDE",$H$19)*1,"")))</f>
        <v>#REF!</v>
      </c>
      <c r="K138" t="str">
        <f>IF(OR(K$23="",ISNA($B138)),"",IF(ISBLANK($B138),"",IFERROR(_xll.BDP(TICKER,"DEEP_MEASURE_PERIOD_BROKER_VALUE","DEEP_MEASURE_ID_OVERRIDE",$C138,"DEEP_BROKER_ID_OVERRIDE",K$24,"DEEP_PERIOD_OVERRIDE",$H$19)*1,"")))</f>
        <v/>
      </c>
      <c r="L138" t="str">
        <f>IF(OR(L$23="",ISNA($B138)),"",IF(ISBLANK($B138),"",IFERROR(_xll.BDP(TICKER,"DEEP_MEASURE_PERIOD_BROKER_VALUE","DEEP_MEASURE_ID_OVERRIDE",$C138,"DEEP_BROKER_ID_OVERRIDE",L$24,"DEEP_PERIOD_OVERRIDE",$H$19)*1,"")))</f>
        <v/>
      </c>
      <c r="M138" t="str">
        <f>IF(OR(M$23="",ISNA($B138)),"",IF(ISBLANK($B138),"",IFERROR(_xll.BDP(TICKER,"DEEP_MEASURE_PERIOD_BROKER_VALUE","DEEP_MEASURE_ID_OVERRIDE",$C138,"DEEP_BROKER_ID_OVERRIDE",M$24,"DEEP_PERIOD_OVERRIDE",$H$19)*1,"")))</f>
        <v/>
      </c>
      <c r="N138" t="str">
        <f>IF(OR(N$23="",ISNA($B138)),"",IF(ISBLANK($B138),"",IFERROR(_xll.BDP(TICKER,"DEEP_MEASURE_PERIOD_BROKER_VALUE","DEEP_MEASURE_ID_OVERRIDE",$C138,"DEEP_BROKER_ID_OVERRIDE",N$24,"DEEP_PERIOD_OVERRIDE",$H$19)*1,"")))</f>
        <v/>
      </c>
      <c r="O138" t="str">
        <f>IF(OR(O$23="",ISNA($B138)),"",IF(ISBLANK($B138),"",IFERROR(_xll.BDP(TICKER,"DEEP_MEASURE_PERIOD_BROKER_VALUE","DEEP_MEASURE_ID_OVERRIDE",$C138,"DEEP_BROKER_ID_OVERRIDE",O$24,"DEEP_PERIOD_OVERRIDE",$H$19)*1,"")))</f>
        <v/>
      </c>
      <c r="P138" t="str">
        <f>IF(OR(P$23="",ISNA($B138)),"",IF(ISBLANK($B138),"",IFERROR(_xll.BDP(TICKER,"DEEP_MEASURE_PERIOD_BROKER_VALUE","DEEP_MEASURE_ID_OVERRIDE",$C138,"DEEP_BROKER_ID_OVERRIDE",P$24,"DEEP_PERIOD_OVERRIDE",$H$19)*1,"")))</f>
        <v/>
      </c>
      <c r="Q138" t="str">
        <f>IF(OR(Q$23="",ISNA($B138)),"",IF(ISBLANK($B138),"",IFERROR(_xll.BDP(TICKER,"DEEP_MEASURE_PERIOD_BROKER_VALUE","DEEP_MEASURE_ID_OVERRIDE",$C138,"DEEP_BROKER_ID_OVERRIDE",Q$24,"DEEP_PERIOD_OVERRIDE",$H$19)*1,"")))</f>
        <v/>
      </c>
      <c r="R138" t="str">
        <f>IF(OR(R$23="",ISNA($B138)),"",IF(ISBLANK($B138),"",IFERROR(_xll.BDP(TICKER,"DEEP_MEASURE_PERIOD_BROKER_VALUE","DEEP_MEASURE_ID_OVERRIDE",$C138,"DEEP_BROKER_ID_OVERRIDE",R$24,"DEEP_PERIOD_OVERRIDE",$H$19)*1,"")))</f>
        <v/>
      </c>
      <c r="S138" t="str">
        <f>IF(OR(S$23="",ISNA($B138)),"",IF(ISBLANK($B138),"",IFERROR(_xll.BDP(TICKER,"DEEP_MEASURE_PERIOD_BROKER_VALUE","DEEP_MEASURE_ID_OVERRIDE",$C138,"DEEP_BROKER_ID_OVERRIDE",S$24,"DEEP_PERIOD_OVERRIDE",$H$19)*1,"")))</f>
        <v/>
      </c>
      <c r="T138" t="str">
        <f>IF(OR(T$23="",ISNA($B138)),"",IF(ISBLANK($B138),"",IFERROR(_xll.BDP(TICKER,"DEEP_MEASURE_PERIOD_BROKER_VALUE","DEEP_MEASURE_ID_OVERRIDE",$C138,"DEEP_BROKER_ID_OVERRIDE",T$24,"DEEP_PERIOD_OVERRIDE",$H$19)*1,"")))</f>
        <v/>
      </c>
      <c r="U138" t="str">
        <f>IF(OR(U$23="",ISNA($B138)),"",IF(ISBLANK($B138),"",IFERROR(_xll.BDP(TICKER,"DEEP_MEASURE_PERIOD_BROKER_VALUE","DEEP_MEASURE_ID_OVERRIDE",$C138,"DEEP_BROKER_ID_OVERRIDE",U$24,"DEEP_PERIOD_OVERRIDE",$H$19)*1,"")))</f>
        <v/>
      </c>
      <c r="V138" t="str">
        <f>IF(OR(V$23="",ISNA($B138)),"",IF(ISBLANK($B138),"",IFERROR(_xll.BDP(TICKER,"DEEP_MEASURE_PERIOD_BROKER_VALUE","DEEP_MEASURE_ID_OVERRIDE",$C138,"DEEP_BROKER_ID_OVERRIDE",V$24,"DEEP_PERIOD_OVERRIDE",$H$19)*1,"")))</f>
        <v/>
      </c>
      <c r="W138" t="str">
        <f>IF(OR(W$23="",ISNA($B138)),"",IF(ISBLANK($B138),"",IFERROR(_xll.BDP(TICKER,"DEEP_MEASURE_PERIOD_BROKER_VALUE","DEEP_MEASURE_ID_OVERRIDE",$C138,"DEEP_BROKER_ID_OVERRIDE",W$24,"DEEP_PERIOD_OVERRIDE",$H$19)*1,"")))</f>
        <v/>
      </c>
      <c r="X138" t="str">
        <f>IF(OR(X$23="",ISNA($B138)),"",IF(ISBLANK($B138),"",IFERROR(_xll.BDP(TICKER,"DEEP_MEASURE_PERIOD_BROKER_VALUE","DEEP_MEASURE_ID_OVERRIDE",$C138,"DEEP_BROKER_ID_OVERRIDE",X$24,"DEEP_PERIOD_OVERRIDE",$H$19)*1,"")))</f>
        <v/>
      </c>
      <c r="Y138" t="str">
        <f>IF(OR(Y$23="",ISNA($B138)),"",IF(ISBLANK($B138),"",IFERROR(_xll.BDP(TICKER,"DEEP_MEASURE_PERIOD_BROKER_VALUE","DEEP_MEASURE_ID_OVERRIDE",$C138,"DEEP_BROKER_ID_OVERRIDE",Y$24,"DEEP_PERIOD_OVERRIDE",$H$19)*1,"")))</f>
        <v/>
      </c>
      <c r="Z138" t="str">
        <f>IF(OR(Z$23="",ISNA($B138)),"",IF(ISBLANK($B138),"",IFERROR(_xll.BDP(TICKER,"DEEP_MEASURE_PERIOD_BROKER_VALUE","DEEP_MEASURE_ID_OVERRIDE",$C138,"DEEP_BROKER_ID_OVERRIDE",Z$24,"DEEP_PERIOD_OVERRIDE",$H$19)*1,"")))</f>
        <v/>
      </c>
      <c r="AA138" t="str">
        <f>IF(OR(AA$23="",ISNA($B138)),"",IF(ISBLANK($B138),"",IFERROR(_xll.BDP(TICKER,"DEEP_MEASURE_PERIOD_BROKER_VALUE","DEEP_MEASURE_ID_OVERRIDE",$C138,"DEEP_BROKER_ID_OVERRIDE",AA$24,"DEEP_PERIOD_OVERRIDE",$H$19)*1,"")))</f>
        <v/>
      </c>
      <c r="AB138" t="str">
        <f>IF(OR(AB$23="",ISNA($B138)),"",IF(ISBLANK($B138),"",IFERROR(_xll.BDP(TICKER,"DEEP_MEASURE_PERIOD_BROKER_VALUE","DEEP_MEASURE_ID_OVERRIDE",$C138,"DEEP_BROKER_ID_OVERRIDE",AB$24,"DEEP_PERIOD_OVERRIDE",$H$19)*1,"")))</f>
        <v/>
      </c>
      <c r="AC138" t="str">
        <f>IF(OR(AC$23="",ISNA($B138)),"",IF(ISBLANK($B138),"",IFERROR(_xll.BDP(TICKER,"DEEP_MEASURE_PERIOD_BROKER_VALUE","DEEP_MEASURE_ID_OVERRIDE",$C138,"DEEP_BROKER_ID_OVERRIDE",AC$24,"DEEP_PERIOD_OVERRIDE",$H$19)*1,"")))</f>
        <v/>
      </c>
      <c r="AD138" t="str">
        <f>IF(OR(AD$23="",ISNA($B138)),"",IF(ISBLANK($B138),"",IFERROR(_xll.BDP(TICKER,"DEEP_MEASURE_PERIOD_BROKER_VALUE","DEEP_MEASURE_ID_OVERRIDE",$C138,"DEEP_BROKER_ID_OVERRIDE",AD$24,"DEEP_PERIOD_OVERRIDE",$H$19)*1,"")))</f>
        <v/>
      </c>
      <c r="AE138" t="str">
        <f>IF(OR(AE$23="",ISNA($B138)),"",IF(ISBLANK($B138),"",IFERROR(_xll.BDP(TICKER,"DEEP_MEASURE_PERIOD_BROKER_VALUE","DEEP_MEASURE_ID_OVERRIDE",$C138,"DEEP_BROKER_ID_OVERRIDE",AE$24,"DEEP_PERIOD_OVERRIDE",$H$19)*1,"")))</f>
        <v/>
      </c>
      <c r="AF138" t="str">
        <f>IF(OR(AF$23="",ISNA($B138)),"",IF(ISBLANK($B138),"",IFERROR(_xll.BDP(TICKER,"DEEP_MEASURE_PERIOD_BROKER_VALUE","DEEP_MEASURE_ID_OVERRIDE",$C138,"DEEP_BROKER_ID_OVERRIDE",AF$24,"DEEP_PERIOD_OVERRIDE",$H$19)*1,"")))</f>
        <v/>
      </c>
      <c r="AG138" t="str">
        <f>IF(OR(AG$23="",ISNA($B138)),"",IF(ISBLANK($B138),"",IFERROR(_xll.BDP(TICKER,"DEEP_MEASURE_PERIOD_BROKER_VALUE","DEEP_MEASURE_ID_OVERRIDE",$C138,"DEEP_BROKER_ID_OVERRIDE",AG$24,"DEEP_PERIOD_OVERRIDE",$H$19)*1,"")))</f>
        <v/>
      </c>
      <c r="AH138" t="str">
        <f>IF(OR(AH$23="",ISNA($B138)),"",IF(ISBLANK($B138),"",IFERROR(_xll.BDP(TICKER,"DEEP_MEASURE_PERIOD_BROKER_VALUE","DEEP_MEASURE_ID_OVERRIDE",$C138,"DEEP_BROKER_ID_OVERRIDE",AH$24,"DEEP_PERIOD_OVERRIDE",$H$19)*1,"")))</f>
        <v/>
      </c>
      <c r="AI138" t="str">
        <f>IF(OR(AI$23="",ISNA($B138)),"",IF(ISBLANK($B138),"",IFERROR(_xll.BDP(TICKER,"DEEP_MEASURE_PERIOD_BROKER_VALUE","DEEP_MEASURE_ID_OVERRIDE",$C138,"DEEP_BROKER_ID_OVERRIDE",AI$24,"DEEP_PERIOD_OVERRIDE",$H$19)*1,"")))</f>
        <v/>
      </c>
      <c r="AJ138" t="str">
        <f>IF(OR(AJ$23="",ISNA($B138)),"",IF(ISBLANK($B138),"",IFERROR(_xll.BDP(TICKER,"DEEP_MEASURE_PERIOD_BROKER_VALUE","DEEP_MEASURE_ID_OVERRIDE",$C138,"DEEP_BROKER_ID_OVERRIDE",AJ$24,"DEEP_PERIOD_OVERRIDE",$H$19)*1,"")))</f>
        <v/>
      </c>
      <c r="AK138" t="str">
        <f>IF(OR(AK$23="",ISNA($B138)),"",IF(ISBLANK($B138),"",IFERROR(_xll.BDP(TICKER,"DEEP_MEASURE_PERIOD_BROKER_VALUE","DEEP_MEASURE_ID_OVERRIDE",$C138,"DEEP_BROKER_ID_OVERRIDE",AK$24,"DEEP_PERIOD_OVERRIDE",$H$19)*1,"")))</f>
        <v/>
      </c>
      <c r="AL138" t="str">
        <f>IF(OR(AL$23="",ISNA($B138)),"",IF(ISBLANK($B138),"",IFERROR(_xll.BDP(TICKER,"DEEP_MEASURE_PERIOD_BROKER_VALUE","DEEP_MEASURE_ID_OVERRIDE",$C138,"DEEP_BROKER_ID_OVERRIDE",AL$24,"DEEP_PERIOD_OVERRIDE",$H$19)*1,"")))</f>
        <v/>
      </c>
      <c r="AM138" t="str">
        <f>IF(OR(AM$23="",ISNA($B138)),"",IF(ISBLANK($B138),"",IFERROR(_xll.BDP(TICKER,"DEEP_MEASURE_PERIOD_BROKER_VALUE","DEEP_MEASURE_ID_OVERRIDE",$C138,"DEEP_BROKER_ID_OVERRIDE",AM$24,"DEEP_PERIOD_OVERRIDE",$H$19)*1,"")))</f>
        <v/>
      </c>
      <c r="AN138" t="str">
        <f>IF(OR(AN$23="",ISNA($B138)),"",IF(ISBLANK($B138),"",IFERROR(_xll.BDP(TICKER,"DEEP_MEASURE_PERIOD_BROKER_VALUE","DEEP_MEASURE_ID_OVERRIDE",$C138,"DEEP_BROKER_ID_OVERRIDE",AN$24,"DEEP_PERIOD_OVERRIDE",$H$19)*1,"")))</f>
        <v/>
      </c>
      <c r="AO138" t="str">
        <f>IF(OR(AO$23="",ISNA($B138)),"",IF(ISBLANK($B138),"",IFERROR(_xll.BDP(TICKER,"DEEP_MEASURE_PERIOD_BROKER_VALUE","DEEP_MEASURE_ID_OVERRIDE",$C138,"DEEP_BROKER_ID_OVERRIDE",AO$24,"DEEP_PERIOD_OVERRIDE",$H$19)*1,"")))</f>
        <v/>
      </c>
      <c r="AP138" t="str">
        <f>IF(OR(AP$23="",ISNA($B138)),"",IF(ISBLANK($B138),"",IFERROR(_xll.BDP(TICKER,"DEEP_MEASURE_PERIOD_BROKER_VALUE","DEEP_MEASURE_ID_OVERRIDE",$C138,"DEEP_BROKER_ID_OVERRIDE",AP$24,"DEEP_PERIOD_OVERRIDE",$H$19)*1,"")))</f>
        <v/>
      </c>
      <c r="AQ138" t="str">
        <f>IF(OR(AQ$23="",ISNA($B138)),"",IF(ISBLANK($B138),"",IFERROR(_xll.BDP(TICKER,"DEEP_MEASURE_PERIOD_BROKER_VALUE","DEEP_MEASURE_ID_OVERRIDE",$C138,"DEEP_BROKER_ID_OVERRIDE",AQ$24,"DEEP_PERIOD_OVERRIDE",$H$19)*1,"")))</f>
        <v/>
      </c>
      <c r="AR138" t="str">
        <f>IF(OR(AR$23="",ISNA($B138)),"",IF(ISBLANK($B138),"",IFERROR(_xll.BDP(TICKER,"DEEP_MEASURE_PERIOD_BROKER_VALUE","DEEP_MEASURE_ID_OVERRIDE",$C138,"DEEP_BROKER_ID_OVERRIDE",AR$24,"DEEP_PERIOD_OVERRIDE",$H$19)*1,"")))</f>
        <v/>
      </c>
      <c r="AS138" t="str">
        <f>IF(OR(AS$23="",ISNA($B138)),"",IF(ISBLANK($B138),"",IFERROR(_xll.BDP(TICKER,"DEEP_MEASURE_PERIOD_BROKER_VALUE","DEEP_MEASURE_ID_OVERRIDE",$C138,"DEEP_BROKER_ID_OVERRIDE",AS$24,"DEEP_PERIOD_OVERRIDE",$H$19)*1,"")))</f>
        <v/>
      </c>
      <c r="AT138" t="str">
        <f>IF(OR(AT$23="",ISNA($B138)),"",IF(ISBLANK($B138),"",IFERROR(_xll.BDP(TICKER,"DEEP_MEASURE_PERIOD_BROKER_VALUE","DEEP_MEASURE_ID_OVERRIDE",$C138,"DEEP_BROKER_ID_OVERRIDE",AT$24,"DEEP_PERIOD_OVERRIDE",$H$19)*1,"")))</f>
        <v/>
      </c>
      <c r="AU138" t="str">
        <f>IF(OR(AU$23="",ISNA($B138)),"",IF(ISBLANK($B138),"",IFERROR(_xll.BDP(TICKER,"DEEP_MEASURE_PERIOD_BROKER_VALUE","DEEP_MEASURE_ID_OVERRIDE",$C138,"DEEP_BROKER_ID_OVERRIDE",AU$24,"DEEP_PERIOD_OVERRIDE",$H$19)*1,"")))</f>
        <v/>
      </c>
      <c r="AV138" t="str">
        <f>IF(OR(AV$23="",ISNA($B138)),"",IF(ISBLANK($B138),"",IFERROR(_xll.BDP(TICKER,"DEEP_MEASURE_PERIOD_BROKER_VALUE","DEEP_MEASURE_ID_OVERRIDE",$C138,"DEEP_BROKER_ID_OVERRIDE",AV$24,"DEEP_PERIOD_OVERRIDE",$H$19)*1,"")))</f>
        <v/>
      </c>
      <c r="AW138" t="str">
        <f>IF(OR(AW$23="",ISNA($B138)),"",IF(ISBLANK($B138),"",IFERROR(_xll.BDP(TICKER,"DEEP_MEASURE_PERIOD_BROKER_VALUE","DEEP_MEASURE_ID_OVERRIDE",$C138,"DEEP_BROKER_ID_OVERRIDE",AW$24,"DEEP_PERIOD_OVERRIDE",$H$19)*1,"")))</f>
        <v/>
      </c>
      <c r="AX138" t="str">
        <f>IF(OR(AX$23="",ISNA($B138)),"",IF(ISBLANK($B138),"",IFERROR(_xll.BDP(TICKER,"DEEP_MEASURE_PERIOD_BROKER_VALUE","DEEP_MEASURE_ID_OVERRIDE",$C138,"DEEP_BROKER_ID_OVERRIDE",AX$24,"DEEP_PERIOD_OVERRIDE",$H$19)*1,"")))</f>
        <v/>
      </c>
      <c r="AY138" t="str">
        <f>IF(OR(AY$23="",ISNA($B138)),"",IF(ISBLANK($B138),"",IFERROR(_xll.BDP(TICKER,"DEEP_MEASURE_PERIOD_BROKER_VALUE","DEEP_MEASURE_ID_OVERRIDE",$C138,"DEEP_BROKER_ID_OVERRIDE",AY$24,"DEEP_PERIOD_OVERRIDE",$H$19)*1,"")))</f>
        <v/>
      </c>
      <c r="AZ138" t="str">
        <f>IF(OR(AZ$23="",ISNA($B138)),"",IF(ISBLANK($B138),"",IFERROR(_xll.BDP(TICKER,"DEEP_MEASURE_PERIOD_BROKER_VALUE","DEEP_MEASURE_ID_OVERRIDE",$C138,"DEEP_BROKER_ID_OVERRIDE",AZ$24,"DEEP_PERIOD_OVERRIDE",$H$19)*1,"")))</f>
        <v/>
      </c>
      <c r="BA138" t="str">
        <f>IF(OR(BA$23="",ISNA($B138)),"",IF(ISBLANK($B138),"",IFERROR(_xll.BDP(TICKER,"DEEP_MEASURE_PERIOD_BROKER_VALUE","DEEP_MEASURE_ID_OVERRIDE",$C138,"DEEP_BROKER_ID_OVERRIDE",BA$24,"DEEP_PERIOD_OVERRIDE",$H$19)*1,"")))</f>
        <v/>
      </c>
      <c r="BB138" t="str">
        <f>IF(OR(BB$23="",ISNA($B138)),"",IF(ISBLANK($B138),"",IFERROR(_xll.BDP(TICKER,"DEEP_MEASURE_PERIOD_BROKER_VALUE","DEEP_MEASURE_ID_OVERRIDE",$C138,"DEEP_BROKER_ID_OVERRIDE",BB$24,"DEEP_PERIOD_OVERRIDE",$H$19)*1,"")))</f>
        <v/>
      </c>
      <c r="BC138" t="str">
        <f>IF(OR(BC$23="",ISNA($B138)),"",IF(ISBLANK($B138),"",IFERROR(_xll.BDP(TICKER,"DEEP_MEASURE_PERIOD_BROKER_VALUE","DEEP_MEASURE_ID_OVERRIDE",$C138,"DEEP_BROKER_ID_OVERRIDE",BC$24,"DEEP_PERIOD_OVERRIDE",$H$19)*1,"")))</f>
        <v/>
      </c>
      <c r="BD138" t="str">
        <f>IF(OR(BD$23="",ISNA($B138)),"",IF(ISBLANK($B138),"",IFERROR(_xll.BDP(TICKER,"DEEP_MEASURE_PERIOD_BROKER_VALUE","DEEP_MEASURE_ID_OVERRIDE",$C138,"DEEP_BROKER_ID_OVERRIDE",BD$24,"DEEP_PERIOD_OVERRIDE",$H$19)*1,"")))</f>
        <v/>
      </c>
      <c r="BE138" t="str">
        <f>IF(OR(BE$23="",ISNA($B138)),"",IF(ISBLANK($B138),"",IFERROR(_xll.BDP(TICKER,"DEEP_MEASURE_PERIOD_BROKER_VALUE","DEEP_MEASURE_ID_OVERRIDE",$C138,"DEEP_BROKER_ID_OVERRIDE",BE$24,"DEEP_PERIOD_OVERRIDE",$H$19)*1,"")))</f>
        <v/>
      </c>
      <c r="BF138" t="str">
        <f>IF(OR(BF$23="",ISNA($B138)),"",IF(ISBLANK($B138),"",IFERROR(_xll.BDP(TICKER,"DEEP_MEASURE_PERIOD_BROKER_VALUE","DEEP_MEASURE_ID_OVERRIDE",$C138,"DEEP_BROKER_ID_OVERRIDE",BF$24,"DEEP_PERIOD_OVERRIDE",$H$19)*1,"")))</f>
        <v/>
      </c>
      <c r="BG138" t="str">
        <f>IF(OR(BG$23="",ISNA($B138)),"",IF(ISBLANK($B138),"",IFERROR(_xll.BDP(TICKER,"DEEP_MEASURE_PERIOD_BROKER_VALUE","DEEP_MEASURE_ID_OVERRIDE",$C138,"DEEP_BROKER_ID_OVERRIDE",BG$24,"DEEP_PERIOD_OVERRIDE",$H$19)*1,"")))</f>
        <v/>
      </c>
      <c r="BH138" t="str">
        <f>IF(OR(BH$23="",ISNA($B138)),"",IF(ISBLANK($B138),"",IFERROR(_xll.BDP(TICKER,"DEEP_MEASURE_PERIOD_BROKER_VALUE","DEEP_MEASURE_ID_OVERRIDE",$C138,"DEEP_BROKER_ID_OVERRIDE",BH$24,"DEEP_PERIOD_OVERRIDE",$H$19)*1,"")))</f>
        <v/>
      </c>
      <c r="BI138" t="str">
        <f>IF(OR(BI$23="",ISNA($B138)),"",IF(ISBLANK($B138),"",IFERROR(_xll.BDP(TICKER,"DEEP_MEASURE_PERIOD_BROKER_VALUE","DEEP_MEASURE_ID_OVERRIDE",$C138,"DEEP_BROKER_ID_OVERRIDE",BI$24,"DEEP_PERIOD_OVERRIDE",$H$19)*1,"")))</f>
        <v/>
      </c>
      <c r="BJ138" t="str">
        <f>IF(OR(BJ$23="",ISNA($B138)),"",IF(ISBLANK($B138),"",IFERROR(_xll.BDP(TICKER,"DEEP_MEASURE_PERIOD_BROKER_VALUE","DEEP_MEASURE_ID_OVERRIDE",$C138,"DEEP_BROKER_ID_OVERRIDE",BJ$24,"DEEP_PERIOD_OVERRIDE",$H$19)*1,"")))</f>
        <v/>
      </c>
      <c r="BK138" t="str">
        <f>IF(OR(BK$23="",ISNA($B138)),"",IF(ISBLANK($B138),"",IFERROR(_xll.BDP(TICKER,"DEEP_MEASURE_PERIOD_BROKER_VALUE","DEEP_MEASURE_ID_OVERRIDE",$C138,"DEEP_BROKER_ID_OVERRIDE",BK$24,"DEEP_PERIOD_OVERRIDE",$H$19)*1,"")))</f>
        <v/>
      </c>
      <c r="BL138" t="str">
        <f>IF(OR(BL$23="",ISNA($B138)),"",IF(ISBLANK($B138),"",IFERROR(_xll.BDP(TICKER,"DEEP_MEASURE_PERIOD_BROKER_VALUE","DEEP_MEASURE_ID_OVERRIDE",$C138,"DEEP_BROKER_ID_OVERRIDE",BL$24,"DEEP_PERIOD_OVERRIDE",$H$19)*1,"")))</f>
        <v/>
      </c>
      <c r="BM138" t="str">
        <f>IF(OR(BM$23="",ISNA($B138)),"",IF(ISBLANK($B138),"",IFERROR(_xll.BDP(TICKER,"DEEP_MEASURE_PERIOD_BROKER_VALUE","DEEP_MEASURE_ID_OVERRIDE",$C138,"DEEP_BROKER_ID_OVERRIDE",BM$24,"DEEP_PERIOD_OVERRIDE",$H$19)*1,"")))</f>
        <v/>
      </c>
      <c r="BN138" t="str">
        <f>IF(OR(BN$23="",ISNA($B138)),"",IF(ISBLANK($B138),"",IFERROR(_xll.BDP(TICKER,"DEEP_MEASURE_PERIOD_BROKER_VALUE","DEEP_MEASURE_ID_OVERRIDE",$C138,"DEEP_BROKER_ID_OVERRIDE",BN$24,"DEEP_PERIOD_OVERRIDE",$H$19)*1,"")))</f>
        <v/>
      </c>
      <c r="BO138" t="str">
        <f>IF(OR(BO$23="",ISNA($B138)),"",IF(ISBLANK($B138),"",IFERROR(_xll.BDP(TICKER,"DEEP_MEASURE_PERIOD_BROKER_VALUE","DEEP_MEASURE_ID_OVERRIDE",$C138,"DEEP_BROKER_ID_OVERRIDE",BO$24,"DEEP_PERIOD_OVERRIDE",$H$19)*1,"")))</f>
        <v/>
      </c>
      <c r="BP138" t="str">
        <f>IF(OR(BP$23="",ISNA($B138)),"",IF(ISBLANK($B138),"",IFERROR(_xll.BDP(TICKER,"DEEP_MEASURE_PERIOD_BROKER_VALUE","DEEP_MEASURE_ID_OVERRIDE",$C138,"DEEP_BROKER_ID_OVERRIDE",BP$24,"DEEP_PERIOD_OVERRIDE",$H$19)*1,"")))</f>
        <v/>
      </c>
      <c r="BQ138" t="str">
        <f>IF(OR(BQ$23="",ISNA($B138)),"",IF(ISBLANK($B138),"",IFERROR(_xll.BDP(TICKER,"DEEP_MEASURE_PERIOD_BROKER_VALUE","DEEP_MEASURE_ID_OVERRIDE",$C138,"DEEP_BROKER_ID_OVERRIDE",BQ$24,"DEEP_PERIOD_OVERRIDE",$H$19)*1,"")))</f>
        <v/>
      </c>
      <c r="BR138" t="str">
        <f>IF(OR(BR$23="",ISNA($B138)),"",IF(ISBLANK($B138),"",IFERROR(_xll.BDP(TICKER,"DEEP_MEASURE_PERIOD_BROKER_VALUE","DEEP_MEASURE_ID_OVERRIDE",$C138,"DEEP_BROKER_ID_OVERRIDE",BR$24,"DEEP_PERIOD_OVERRIDE",$H$19)*1,"")))</f>
        <v/>
      </c>
      <c r="BS138" t="str">
        <f>IF(OR(BS$23="",ISNA($B138)),"",IF(ISBLANK($B138),"",IFERROR(_xll.BDP(TICKER,"DEEP_MEASURE_PERIOD_BROKER_VALUE","DEEP_MEASURE_ID_OVERRIDE",$C138,"DEEP_BROKER_ID_OVERRIDE",BS$24,"DEEP_PERIOD_OVERRIDE",$H$19)*1,"")))</f>
        <v/>
      </c>
      <c r="BT138" t="str">
        <f>IF(OR(BT$23="",ISNA($B138)),"",IF(ISBLANK($B138),"",IFERROR(_xll.BDP(TICKER,"DEEP_MEASURE_PERIOD_BROKER_VALUE","DEEP_MEASURE_ID_OVERRIDE",$C138,"DEEP_BROKER_ID_OVERRIDE",BT$24,"DEEP_PERIOD_OVERRIDE",$H$19)*1,"")))</f>
        <v/>
      </c>
      <c r="BU138" t="str">
        <f>IF(OR(BU$23="",ISNA($B138)),"",IF(ISBLANK($B138),"",IFERROR(_xll.BDP(TICKER,"DEEP_MEASURE_PERIOD_BROKER_VALUE","DEEP_MEASURE_ID_OVERRIDE",$C138,"DEEP_BROKER_ID_OVERRIDE",BU$24,"DEEP_PERIOD_OVERRIDE",$H$19)*1,"")))</f>
        <v/>
      </c>
      <c r="BV138" t="str">
        <f>IF(OR(BV$23="",ISNA($B138)),"",IF(ISBLANK($B138),"",IFERROR(_xll.BDP(TICKER,"DEEP_MEASURE_PERIOD_BROKER_VALUE","DEEP_MEASURE_ID_OVERRIDE",$C138,"DEEP_BROKER_ID_OVERRIDE",BV$24,"DEEP_PERIOD_OVERRIDE",$H$19)*1,"")))</f>
        <v/>
      </c>
      <c r="BW138" t="str">
        <f>IF(OR(BW$23="",ISNA($B138)),"",IF(ISBLANK($B138),"",IFERROR(_xll.BDP(TICKER,"DEEP_MEASURE_PERIOD_BROKER_VALUE","DEEP_MEASURE_ID_OVERRIDE",$C138,"DEEP_BROKER_ID_OVERRIDE",BW$24,"DEEP_PERIOD_OVERRIDE",$H$19)*1,"")))</f>
        <v/>
      </c>
      <c r="BX138" t="str">
        <f>IF(OR(BX$23="",ISNA($B138)),"",IF(ISBLANK($B138),"",IFERROR(_xll.BDP(TICKER,"DEEP_MEASURE_PERIOD_BROKER_VALUE","DEEP_MEASURE_ID_OVERRIDE",$C138,"DEEP_BROKER_ID_OVERRIDE",BX$24,"DEEP_PERIOD_OVERRIDE",$H$19)*1,"")))</f>
        <v/>
      </c>
      <c r="BY138" t="str">
        <f>IF(OR(BY$23="",ISNA($B138)),"",IF(ISBLANK($B138),"",IFERROR(_xll.BDP(TICKER,"DEEP_MEASURE_PERIOD_BROKER_VALUE","DEEP_MEASURE_ID_OVERRIDE",$C138,"DEEP_BROKER_ID_OVERRIDE",BY$24,"DEEP_PERIOD_OVERRIDE",$H$19)*1,"")))</f>
        <v/>
      </c>
      <c r="BZ138" t="str">
        <f>IF(OR(BZ$23="",ISNA($B138)),"",IF(ISBLANK($B138),"",IFERROR(_xll.BDP(TICKER,"DEEP_MEASURE_PERIOD_BROKER_VALUE","DEEP_MEASURE_ID_OVERRIDE",$C138,"DEEP_BROKER_ID_OVERRIDE",BZ$24,"DEEP_PERIOD_OVERRIDE",$H$19)*1,"")))</f>
        <v/>
      </c>
    </row>
    <row r="139" spans="2:78" x14ac:dyDescent="0.25">
      <c r="B139" t="s">
        <v>171</v>
      </c>
      <c r="C139">
        <v>3629</v>
      </c>
      <c r="H139" t="str">
        <f t="shared" si="2"/>
        <v>Pretax Income &gt; Pretax Income Margin (%)</v>
      </c>
      <c r="I139" t="str">
        <f>IF(OR(I$23="",ISNA($B139)),"",IF(ISBLANK($B139),"",IFERROR(_xll.BDP(TICKER,"DEEP_MEASURE_PERIOD_BROKER_VALUE","DEEP_MEASURE_ID_OVERRIDE",$C139,"DEEP_PERIOD_OVERRIDE",$H$19)*1,"")))</f>
        <v/>
      </c>
      <c r="J139" t="e">
        <f>IF(OR(J$23="",ISNA($B139)),"",IF(ISBLANK($B139),"",IFERROR(_xll.BDP(TICKER,"DEEP_MEASURE_PERIOD_BROKER_VALUE","DEEP_MEASURE_ID_OVERRIDE",$C139,"DEEP_BROKER_ID_OVERRIDE",J$24,"DEEP_PERIOD_OVERRIDE",$H$19)*1,"")))</f>
        <v>#REF!</v>
      </c>
      <c r="K139" t="str">
        <f>IF(OR(K$23="",ISNA($B139)),"",IF(ISBLANK($B139),"",IFERROR(_xll.BDP(TICKER,"DEEP_MEASURE_PERIOD_BROKER_VALUE","DEEP_MEASURE_ID_OVERRIDE",$C139,"DEEP_BROKER_ID_OVERRIDE",K$24,"DEEP_PERIOD_OVERRIDE",$H$19)*1,"")))</f>
        <v/>
      </c>
      <c r="L139" t="str">
        <f>IF(OR(L$23="",ISNA($B139)),"",IF(ISBLANK($B139),"",IFERROR(_xll.BDP(TICKER,"DEEP_MEASURE_PERIOD_BROKER_VALUE","DEEP_MEASURE_ID_OVERRIDE",$C139,"DEEP_BROKER_ID_OVERRIDE",L$24,"DEEP_PERIOD_OVERRIDE",$H$19)*1,"")))</f>
        <v/>
      </c>
      <c r="M139" t="str">
        <f>IF(OR(M$23="",ISNA($B139)),"",IF(ISBLANK($B139),"",IFERROR(_xll.BDP(TICKER,"DEEP_MEASURE_PERIOD_BROKER_VALUE","DEEP_MEASURE_ID_OVERRIDE",$C139,"DEEP_BROKER_ID_OVERRIDE",M$24,"DEEP_PERIOD_OVERRIDE",$H$19)*1,"")))</f>
        <v/>
      </c>
      <c r="N139" t="str">
        <f>IF(OR(N$23="",ISNA($B139)),"",IF(ISBLANK($B139),"",IFERROR(_xll.BDP(TICKER,"DEEP_MEASURE_PERIOD_BROKER_VALUE","DEEP_MEASURE_ID_OVERRIDE",$C139,"DEEP_BROKER_ID_OVERRIDE",N$24,"DEEP_PERIOD_OVERRIDE",$H$19)*1,"")))</f>
        <v/>
      </c>
      <c r="O139" t="str">
        <f>IF(OR(O$23="",ISNA($B139)),"",IF(ISBLANK($B139),"",IFERROR(_xll.BDP(TICKER,"DEEP_MEASURE_PERIOD_BROKER_VALUE","DEEP_MEASURE_ID_OVERRIDE",$C139,"DEEP_BROKER_ID_OVERRIDE",O$24,"DEEP_PERIOD_OVERRIDE",$H$19)*1,"")))</f>
        <v/>
      </c>
      <c r="P139" t="str">
        <f>IF(OR(P$23="",ISNA($B139)),"",IF(ISBLANK($B139),"",IFERROR(_xll.BDP(TICKER,"DEEP_MEASURE_PERIOD_BROKER_VALUE","DEEP_MEASURE_ID_OVERRIDE",$C139,"DEEP_BROKER_ID_OVERRIDE",P$24,"DEEP_PERIOD_OVERRIDE",$H$19)*1,"")))</f>
        <v/>
      </c>
      <c r="Q139" t="str">
        <f>IF(OR(Q$23="",ISNA($B139)),"",IF(ISBLANK($B139),"",IFERROR(_xll.BDP(TICKER,"DEEP_MEASURE_PERIOD_BROKER_VALUE","DEEP_MEASURE_ID_OVERRIDE",$C139,"DEEP_BROKER_ID_OVERRIDE",Q$24,"DEEP_PERIOD_OVERRIDE",$H$19)*1,"")))</f>
        <v/>
      </c>
      <c r="R139" t="str">
        <f>IF(OR(R$23="",ISNA($B139)),"",IF(ISBLANK($B139),"",IFERROR(_xll.BDP(TICKER,"DEEP_MEASURE_PERIOD_BROKER_VALUE","DEEP_MEASURE_ID_OVERRIDE",$C139,"DEEP_BROKER_ID_OVERRIDE",R$24,"DEEP_PERIOD_OVERRIDE",$H$19)*1,"")))</f>
        <v/>
      </c>
      <c r="S139" t="str">
        <f>IF(OR(S$23="",ISNA($B139)),"",IF(ISBLANK($B139),"",IFERROR(_xll.BDP(TICKER,"DEEP_MEASURE_PERIOD_BROKER_VALUE","DEEP_MEASURE_ID_OVERRIDE",$C139,"DEEP_BROKER_ID_OVERRIDE",S$24,"DEEP_PERIOD_OVERRIDE",$H$19)*1,"")))</f>
        <v/>
      </c>
      <c r="T139" t="str">
        <f>IF(OR(T$23="",ISNA($B139)),"",IF(ISBLANK($B139),"",IFERROR(_xll.BDP(TICKER,"DEEP_MEASURE_PERIOD_BROKER_VALUE","DEEP_MEASURE_ID_OVERRIDE",$C139,"DEEP_BROKER_ID_OVERRIDE",T$24,"DEEP_PERIOD_OVERRIDE",$H$19)*1,"")))</f>
        <v/>
      </c>
      <c r="U139" t="str">
        <f>IF(OR(U$23="",ISNA($B139)),"",IF(ISBLANK($B139),"",IFERROR(_xll.BDP(TICKER,"DEEP_MEASURE_PERIOD_BROKER_VALUE","DEEP_MEASURE_ID_OVERRIDE",$C139,"DEEP_BROKER_ID_OVERRIDE",U$24,"DEEP_PERIOD_OVERRIDE",$H$19)*1,"")))</f>
        <v/>
      </c>
      <c r="V139" t="str">
        <f>IF(OR(V$23="",ISNA($B139)),"",IF(ISBLANK($B139),"",IFERROR(_xll.BDP(TICKER,"DEEP_MEASURE_PERIOD_BROKER_VALUE","DEEP_MEASURE_ID_OVERRIDE",$C139,"DEEP_BROKER_ID_OVERRIDE",V$24,"DEEP_PERIOD_OVERRIDE",$H$19)*1,"")))</f>
        <v/>
      </c>
      <c r="W139" t="str">
        <f>IF(OR(W$23="",ISNA($B139)),"",IF(ISBLANK($B139),"",IFERROR(_xll.BDP(TICKER,"DEEP_MEASURE_PERIOD_BROKER_VALUE","DEEP_MEASURE_ID_OVERRIDE",$C139,"DEEP_BROKER_ID_OVERRIDE",W$24,"DEEP_PERIOD_OVERRIDE",$H$19)*1,"")))</f>
        <v/>
      </c>
      <c r="X139" t="str">
        <f>IF(OR(X$23="",ISNA($B139)),"",IF(ISBLANK($B139),"",IFERROR(_xll.BDP(TICKER,"DEEP_MEASURE_PERIOD_BROKER_VALUE","DEEP_MEASURE_ID_OVERRIDE",$C139,"DEEP_BROKER_ID_OVERRIDE",X$24,"DEEP_PERIOD_OVERRIDE",$H$19)*1,"")))</f>
        <v/>
      </c>
      <c r="Y139" t="str">
        <f>IF(OR(Y$23="",ISNA($B139)),"",IF(ISBLANK($B139),"",IFERROR(_xll.BDP(TICKER,"DEEP_MEASURE_PERIOD_BROKER_VALUE","DEEP_MEASURE_ID_OVERRIDE",$C139,"DEEP_BROKER_ID_OVERRIDE",Y$24,"DEEP_PERIOD_OVERRIDE",$H$19)*1,"")))</f>
        <v/>
      </c>
      <c r="Z139" t="str">
        <f>IF(OR(Z$23="",ISNA($B139)),"",IF(ISBLANK($B139),"",IFERROR(_xll.BDP(TICKER,"DEEP_MEASURE_PERIOD_BROKER_VALUE","DEEP_MEASURE_ID_OVERRIDE",$C139,"DEEP_BROKER_ID_OVERRIDE",Z$24,"DEEP_PERIOD_OVERRIDE",$H$19)*1,"")))</f>
        <v/>
      </c>
      <c r="AA139" t="str">
        <f>IF(OR(AA$23="",ISNA($B139)),"",IF(ISBLANK($B139),"",IFERROR(_xll.BDP(TICKER,"DEEP_MEASURE_PERIOD_BROKER_VALUE","DEEP_MEASURE_ID_OVERRIDE",$C139,"DEEP_BROKER_ID_OVERRIDE",AA$24,"DEEP_PERIOD_OVERRIDE",$H$19)*1,"")))</f>
        <v/>
      </c>
      <c r="AB139" t="str">
        <f>IF(OR(AB$23="",ISNA($B139)),"",IF(ISBLANK($B139),"",IFERROR(_xll.BDP(TICKER,"DEEP_MEASURE_PERIOD_BROKER_VALUE","DEEP_MEASURE_ID_OVERRIDE",$C139,"DEEP_BROKER_ID_OVERRIDE",AB$24,"DEEP_PERIOD_OVERRIDE",$H$19)*1,"")))</f>
        <v/>
      </c>
      <c r="AC139" t="str">
        <f>IF(OR(AC$23="",ISNA($B139)),"",IF(ISBLANK($B139),"",IFERROR(_xll.BDP(TICKER,"DEEP_MEASURE_PERIOD_BROKER_VALUE","DEEP_MEASURE_ID_OVERRIDE",$C139,"DEEP_BROKER_ID_OVERRIDE",AC$24,"DEEP_PERIOD_OVERRIDE",$H$19)*1,"")))</f>
        <v/>
      </c>
      <c r="AD139" t="str">
        <f>IF(OR(AD$23="",ISNA($B139)),"",IF(ISBLANK($B139),"",IFERROR(_xll.BDP(TICKER,"DEEP_MEASURE_PERIOD_BROKER_VALUE","DEEP_MEASURE_ID_OVERRIDE",$C139,"DEEP_BROKER_ID_OVERRIDE",AD$24,"DEEP_PERIOD_OVERRIDE",$H$19)*1,"")))</f>
        <v/>
      </c>
      <c r="AE139" t="str">
        <f>IF(OR(AE$23="",ISNA($B139)),"",IF(ISBLANK($B139),"",IFERROR(_xll.BDP(TICKER,"DEEP_MEASURE_PERIOD_BROKER_VALUE","DEEP_MEASURE_ID_OVERRIDE",$C139,"DEEP_BROKER_ID_OVERRIDE",AE$24,"DEEP_PERIOD_OVERRIDE",$H$19)*1,"")))</f>
        <v/>
      </c>
      <c r="AF139" t="str">
        <f>IF(OR(AF$23="",ISNA($B139)),"",IF(ISBLANK($B139),"",IFERROR(_xll.BDP(TICKER,"DEEP_MEASURE_PERIOD_BROKER_VALUE","DEEP_MEASURE_ID_OVERRIDE",$C139,"DEEP_BROKER_ID_OVERRIDE",AF$24,"DEEP_PERIOD_OVERRIDE",$H$19)*1,"")))</f>
        <v/>
      </c>
      <c r="AG139" t="str">
        <f>IF(OR(AG$23="",ISNA($B139)),"",IF(ISBLANK($B139),"",IFERROR(_xll.BDP(TICKER,"DEEP_MEASURE_PERIOD_BROKER_VALUE","DEEP_MEASURE_ID_OVERRIDE",$C139,"DEEP_BROKER_ID_OVERRIDE",AG$24,"DEEP_PERIOD_OVERRIDE",$H$19)*1,"")))</f>
        <v/>
      </c>
      <c r="AH139" t="str">
        <f>IF(OR(AH$23="",ISNA($B139)),"",IF(ISBLANK($B139),"",IFERROR(_xll.BDP(TICKER,"DEEP_MEASURE_PERIOD_BROKER_VALUE","DEEP_MEASURE_ID_OVERRIDE",$C139,"DEEP_BROKER_ID_OVERRIDE",AH$24,"DEEP_PERIOD_OVERRIDE",$H$19)*1,"")))</f>
        <v/>
      </c>
      <c r="AI139" t="str">
        <f>IF(OR(AI$23="",ISNA($B139)),"",IF(ISBLANK($B139),"",IFERROR(_xll.BDP(TICKER,"DEEP_MEASURE_PERIOD_BROKER_VALUE","DEEP_MEASURE_ID_OVERRIDE",$C139,"DEEP_BROKER_ID_OVERRIDE",AI$24,"DEEP_PERIOD_OVERRIDE",$H$19)*1,"")))</f>
        <v/>
      </c>
      <c r="AJ139" t="str">
        <f>IF(OR(AJ$23="",ISNA($B139)),"",IF(ISBLANK($B139),"",IFERROR(_xll.BDP(TICKER,"DEEP_MEASURE_PERIOD_BROKER_VALUE","DEEP_MEASURE_ID_OVERRIDE",$C139,"DEEP_BROKER_ID_OVERRIDE",AJ$24,"DEEP_PERIOD_OVERRIDE",$H$19)*1,"")))</f>
        <v/>
      </c>
      <c r="AK139" t="str">
        <f>IF(OR(AK$23="",ISNA($B139)),"",IF(ISBLANK($B139),"",IFERROR(_xll.BDP(TICKER,"DEEP_MEASURE_PERIOD_BROKER_VALUE","DEEP_MEASURE_ID_OVERRIDE",$C139,"DEEP_BROKER_ID_OVERRIDE",AK$24,"DEEP_PERIOD_OVERRIDE",$H$19)*1,"")))</f>
        <v/>
      </c>
      <c r="AL139" t="str">
        <f>IF(OR(AL$23="",ISNA($B139)),"",IF(ISBLANK($B139),"",IFERROR(_xll.BDP(TICKER,"DEEP_MEASURE_PERIOD_BROKER_VALUE","DEEP_MEASURE_ID_OVERRIDE",$C139,"DEEP_BROKER_ID_OVERRIDE",AL$24,"DEEP_PERIOD_OVERRIDE",$H$19)*1,"")))</f>
        <v/>
      </c>
      <c r="AM139" t="str">
        <f>IF(OR(AM$23="",ISNA($B139)),"",IF(ISBLANK($B139),"",IFERROR(_xll.BDP(TICKER,"DEEP_MEASURE_PERIOD_BROKER_VALUE","DEEP_MEASURE_ID_OVERRIDE",$C139,"DEEP_BROKER_ID_OVERRIDE",AM$24,"DEEP_PERIOD_OVERRIDE",$H$19)*1,"")))</f>
        <v/>
      </c>
      <c r="AN139" t="str">
        <f>IF(OR(AN$23="",ISNA($B139)),"",IF(ISBLANK($B139),"",IFERROR(_xll.BDP(TICKER,"DEEP_MEASURE_PERIOD_BROKER_VALUE","DEEP_MEASURE_ID_OVERRIDE",$C139,"DEEP_BROKER_ID_OVERRIDE",AN$24,"DEEP_PERIOD_OVERRIDE",$H$19)*1,"")))</f>
        <v/>
      </c>
      <c r="AO139" t="str">
        <f>IF(OR(AO$23="",ISNA($B139)),"",IF(ISBLANK($B139),"",IFERROR(_xll.BDP(TICKER,"DEEP_MEASURE_PERIOD_BROKER_VALUE","DEEP_MEASURE_ID_OVERRIDE",$C139,"DEEP_BROKER_ID_OVERRIDE",AO$24,"DEEP_PERIOD_OVERRIDE",$H$19)*1,"")))</f>
        <v/>
      </c>
      <c r="AP139" t="str">
        <f>IF(OR(AP$23="",ISNA($B139)),"",IF(ISBLANK($B139),"",IFERROR(_xll.BDP(TICKER,"DEEP_MEASURE_PERIOD_BROKER_VALUE","DEEP_MEASURE_ID_OVERRIDE",$C139,"DEEP_BROKER_ID_OVERRIDE",AP$24,"DEEP_PERIOD_OVERRIDE",$H$19)*1,"")))</f>
        <v/>
      </c>
      <c r="AQ139" t="str">
        <f>IF(OR(AQ$23="",ISNA($B139)),"",IF(ISBLANK($B139),"",IFERROR(_xll.BDP(TICKER,"DEEP_MEASURE_PERIOD_BROKER_VALUE","DEEP_MEASURE_ID_OVERRIDE",$C139,"DEEP_BROKER_ID_OVERRIDE",AQ$24,"DEEP_PERIOD_OVERRIDE",$H$19)*1,"")))</f>
        <v/>
      </c>
      <c r="AR139" t="str">
        <f>IF(OR(AR$23="",ISNA($B139)),"",IF(ISBLANK($B139),"",IFERROR(_xll.BDP(TICKER,"DEEP_MEASURE_PERIOD_BROKER_VALUE","DEEP_MEASURE_ID_OVERRIDE",$C139,"DEEP_BROKER_ID_OVERRIDE",AR$24,"DEEP_PERIOD_OVERRIDE",$H$19)*1,"")))</f>
        <v/>
      </c>
      <c r="AS139" t="str">
        <f>IF(OR(AS$23="",ISNA($B139)),"",IF(ISBLANK($B139),"",IFERROR(_xll.BDP(TICKER,"DEEP_MEASURE_PERIOD_BROKER_VALUE","DEEP_MEASURE_ID_OVERRIDE",$C139,"DEEP_BROKER_ID_OVERRIDE",AS$24,"DEEP_PERIOD_OVERRIDE",$H$19)*1,"")))</f>
        <v/>
      </c>
      <c r="AT139" t="str">
        <f>IF(OR(AT$23="",ISNA($B139)),"",IF(ISBLANK($B139),"",IFERROR(_xll.BDP(TICKER,"DEEP_MEASURE_PERIOD_BROKER_VALUE","DEEP_MEASURE_ID_OVERRIDE",$C139,"DEEP_BROKER_ID_OVERRIDE",AT$24,"DEEP_PERIOD_OVERRIDE",$H$19)*1,"")))</f>
        <v/>
      </c>
      <c r="AU139" t="str">
        <f>IF(OR(AU$23="",ISNA($B139)),"",IF(ISBLANK($B139),"",IFERROR(_xll.BDP(TICKER,"DEEP_MEASURE_PERIOD_BROKER_VALUE","DEEP_MEASURE_ID_OVERRIDE",$C139,"DEEP_BROKER_ID_OVERRIDE",AU$24,"DEEP_PERIOD_OVERRIDE",$H$19)*1,"")))</f>
        <v/>
      </c>
      <c r="AV139" t="str">
        <f>IF(OR(AV$23="",ISNA($B139)),"",IF(ISBLANK($B139),"",IFERROR(_xll.BDP(TICKER,"DEEP_MEASURE_PERIOD_BROKER_VALUE","DEEP_MEASURE_ID_OVERRIDE",$C139,"DEEP_BROKER_ID_OVERRIDE",AV$24,"DEEP_PERIOD_OVERRIDE",$H$19)*1,"")))</f>
        <v/>
      </c>
      <c r="AW139" t="str">
        <f>IF(OR(AW$23="",ISNA($B139)),"",IF(ISBLANK($B139),"",IFERROR(_xll.BDP(TICKER,"DEEP_MEASURE_PERIOD_BROKER_VALUE","DEEP_MEASURE_ID_OVERRIDE",$C139,"DEEP_BROKER_ID_OVERRIDE",AW$24,"DEEP_PERIOD_OVERRIDE",$H$19)*1,"")))</f>
        <v/>
      </c>
      <c r="AX139" t="str">
        <f>IF(OR(AX$23="",ISNA($B139)),"",IF(ISBLANK($B139),"",IFERROR(_xll.BDP(TICKER,"DEEP_MEASURE_PERIOD_BROKER_VALUE","DEEP_MEASURE_ID_OVERRIDE",$C139,"DEEP_BROKER_ID_OVERRIDE",AX$24,"DEEP_PERIOD_OVERRIDE",$H$19)*1,"")))</f>
        <v/>
      </c>
      <c r="AY139" t="str">
        <f>IF(OR(AY$23="",ISNA($B139)),"",IF(ISBLANK($B139),"",IFERROR(_xll.BDP(TICKER,"DEEP_MEASURE_PERIOD_BROKER_VALUE","DEEP_MEASURE_ID_OVERRIDE",$C139,"DEEP_BROKER_ID_OVERRIDE",AY$24,"DEEP_PERIOD_OVERRIDE",$H$19)*1,"")))</f>
        <v/>
      </c>
      <c r="AZ139" t="str">
        <f>IF(OR(AZ$23="",ISNA($B139)),"",IF(ISBLANK($B139),"",IFERROR(_xll.BDP(TICKER,"DEEP_MEASURE_PERIOD_BROKER_VALUE","DEEP_MEASURE_ID_OVERRIDE",$C139,"DEEP_BROKER_ID_OVERRIDE",AZ$24,"DEEP_PERIOD_OVERRIDE",$H$19)*1,"")))</f>
        <v/>
      </c>
      <c r="BA139" t="str">
        <f>IF(OR(BA$23="",ISNA($B139)),"",IF(ISBLANK($B139),"",IFERROR(_xll.BDP(TICKER,"DEEP_MEASURE_PERIOD_BROKER_VALUE","DEEP_MEASURE_ID_OVERRIDE",$C139,"DEEP_BROKER_ID_OVERRIDE",BA$24,"DEEP_PERIOD_OVERRIDE",$H$19)*1,"")))</f>
        <v/>
      </c>
      <c r="BB139" t="str">
        <f>IF(OR(BB$23="",ISNA($B139)),"",IF(ISBLANK($B139),"",IFERROR(_xll.BDP(TICKER,"DEEP_MEASURE_PERIOD_BROKER_VALUE","DEEP_MEASURE_ID_OVERRIDE",$C139,"DEEP_BROKER_ID_OVERRIDE",BB$24,"DEEP_PERIOD_OVERRIDE",$H$19)*1,"")))</f>
        <v/>
      </c>
      <c r="BC139" t="str">
        <f>IF(OR(BC$23="",ISNA($B139)),"",IF(ISBLANK($B139),"",IFERROR(_xll.BDP(TICKER,"DEEP_MEASURE_PERIOD_BROKER_VALUE","DEEP_MEASURE_ID_OVERRIDE",$C139,"DEEP_BROKER_ID_OVERRIDE",BC$24,"DEEP_PERIOD_OVERRIDE",$H$19)*1,"")))</f>
        <v/>
      </c>
      <c r="BD139" t="str">
        <f>IF(OR(BD$23="",ISNA($B139)),"",IF(ISBLANK($B139),"",IFERROR(_xll.BDP(TICKER,"DEEP_MEASURE_PERIOD_BROKER_VALUE","DEEP_MEASURE_ID_OVERRIDE",$C139,"DEEP_BROKER_ID_OVERRIDE",BD$24,"DEEP_PERIOD_OVERRIDE",$H$19)*1,"")))</f>
        <v/>
      </c>
      <c r="BE139" t="str">
        <f>IF(OR(BE$23="",ISNA($B139)),"",IF(ISBLANK($B139),"",IFERROR(_xll.BDP(TICKER,"DEEP_MEASURE_PERIOD_BROKER_VALUE","DEEP_MEASURE_ID_OVERRIDE",$C139,"DEEP_BROKER_ID_OVERRIDE",BE$24,"DEEP_PERIOD_OVERRIDE",$H$19)*1,"")))</f>
        <v/>
      </c>
      <c r="BF139" t="str">
        <f>IF(OR(BF$23="",ISNA($B139)),"",IF(ISBLANK($B139),"",IFERROR(_xll.BDP(TICKER,"DEEP_MEASURE_PERIOD_BROKER_VALUE","DEEP_MEASURE_ID_OVERRIDE",$C139,"DEEP_BROKER_ID_OVERRIDE",BF$24,"DEEP_PERIOD_OVERRIDE",$H$19)*1,"")))</f>
        <v/>
      </c>
      <c r="BG139" t="str">
        <f>IF(OR(BG$23="",ISNA($B139)),"",IF(ISBLANK($B139),"",IFERROR(_xll.BDP(TICKER,"DEEP_MEASURE_PERIOD_BROKER_VALUE","DEEP_MEASURE_ID_OVERRIDE",$C139,"DEEP_BROKER_ID_OVERRIDE",BG$24,"DEEP_PERIOD_OVERRIDE",$H$19)*1,"")))</f>
        <v/>
      </c>
      <c r="BH139" t="str">
        <f>IF(OR(BH$23="",ISNA($B139)),"",IF(ISBLANK($B139),"",IFERROR(_xll.BDP(TICKER,"DEEP_MEASURE_PERIOD_BROKER_VALUE","DEEP_MEASURE_ID_OVERRIDE",$C139,"DEEP_BROKER_ID_OVERRIDE",BH$24,"DEEP_PERIOD_OVERRIDE",$H$19)*1,"")))</f>
        <v/>
      </c>
      <c r="BI139" t="str">
        <f>IF(OR(BI$23="",ISNA($B139)),"",IF(ISBLANK($B139),"",IFERROR(_xll.BDP(TICKER,"DEEP_MEASURE_PERIOD_BROKER_VALUE","DEEP_MEASURE_ID_OVERRIDE",$C139,"DEEP_BROKER_ID_OVERRIDE",BI$24,"DEEP_PERIOD_OVERRIDE",$H$19)*1,"")))</f>
        <v/>
      </c>
      <c r="BJ139" t="str">
        <f>IF(OR(BJ$23="",ISNA($B139)),"",IF(ISBLANK($B139),"",IFERROR(_xll.BDP(TICKER,"DEEP_MEASURE_PERIOD_BROKER_VALUE","DEEP_MEASURE_ID_OVERRIDE",$C139,"DEEP_BROKER_ID_OVERRIDE",BJ$24,"DEEP_PERIOD_OVERRIDE",$H$19)*1,"")))</f>
        <v/>
      </c>
      <c r="BK139" t="str">
        <f>IF(OR(BK$23="",ISNA($B139)),"",IF(ISBLANK($B139),"",IFERROR(_xll.BDP(TICKER,"DEEP_MEASURE_PERIOD_BROKER_VALUE","DEEP_MEASURE_ID_OVERRIDE",$C139,"DEEP_BROKER_ID_OVERRIDE",BK$24,"DEEP_PERIOD_OVERRIDE",$H$19)*1,"")))</f>
        <v/>
      </c>
      <c r="BL139" t="str">
        <f>IF(OR(BL$23="",ISNA($B139)),"",IF(ISBLANK($B139),"",IFERROR(_xll.BDP(TICKER,"DEEP_MEASURE_PERIOD_BROKER_VALUE","DEEP_MEASURE_ID_OVERRIDE",$C139,"DEEP_BROKER_ID_OVERRIDE",BL$24,"DEEP_PERIOD_OVERRIDE",$H$19)*1,"")))</f>
        <v/>
      </c>
      <c r="BM139" t="str">
        <f>IF(OR(BM$23="",ISNA($B139)),"",IF(ISBLANK($B139),"",IFERROR(_xll.BDP(TICKER,"DEEP_MEASURE_PERIOD_BROKER_VALUE","DEEP_MEASURE_ID_OVERRIDE",$C139,"DEEP_BROKER_ID_OVERRIDE",BM$24,"DEEP_PERIOD_OVERRIDE",$H$19)*1,"")))</f>
        <v/>
      </c>
      <c r="BN139" t="str">
        <f>IF(OR(BN$23="",ISNA($B139)),"",IF(ISBLANK($B139),"",IFERROR(_xll.BDP(TICKER,"DEEP_MEASURE_PERIOD_BROKER_VALUE","DEEP_MEASURE_ID_OVERRIDE",$C139,"DEEP_BROKER_ID_OVERRIDE",BN$24,"DEEP_PERIOD_OVERRIDE",$H$19)*1,"")))</f>
        <v/>
      </c>
      <c r="BO139" t="str">
        <f>IF(OR(BO$23="",ISNA($B139)),"",IF(ISBLANK($B139),"",IFERROR(_xll.BDP(TICKER,"DEEP_MEASURE_PERIOD_BROKER_VALUE","DEEP_MEASURE_ID_OVERRIDE",$C139,"DEEP_BROKER_ID_OVERRIDE",BO$24,"DEEP_PERIOD_OVERRIDE",$H$19)*1,"")))</f>
        <v/>
      </c>
      <c r="BP139" t="str">
        <f>IF(OR(BP$23="",ISNA($B139)),"",IF(ISBLANK($B139),"",IFERROR(_xll.BDP(TICKER,"DEEP_MEASURE_PERIOD_BROKER_VALUE","DEEP_MEASURE_ID_OVERRIDE",$C139,"DEEP_BROKER_ID_OVERRIDE",BP$24,"DEEP_PERIOD_OVERRIDE",$H$19)*1,"")))</f>
        <v/>
      </c>
      <c r="BQ139" t="str">
        <f>IF(OR(BQ$23="",ISNA($B139)),"",IF(ISBLANK($B139),"",IFERROR(_xll.BDP(TICKER,"DEEP_MEASURE_PERIOD_BROKER_VALUE","DEEP_MEASURE_ID_OVERRIDE",$C139,"DEEP_BROKER_ID_OVERRIDE",BQ$24,"DEEP_PERIOD_OVERRIDE",$H$19)*1,"")))</f>
        <v/>
      </c>
      <c r="BR139" t="str">
        <f>IF(OR(BR$23="",ISNA($B139)),"",IF(ISBLANK($B139),"",IFERROR(_xll.BDP(TICKER,"DEEP_MEASURE_PERIOD_BROKER_VALUE","DEEP_MEASURE_ID_OVERRIDE",$C139,"DEEP_BROKER_ID_OVERRIDE",BR$24,"DEEP_PERIOD_OVERRIDE",$H$19)*1,"")))</f>
        <v/>
      </c>
      <c r="BS139" t="str">
        <f>IF(OR(BS$23="",ISNA($B139)),"",IF(ISBLANK($B139),"",IFERROR(_xll.BDP(TICKER,"DEEP_MEASURE_PERIOD_BROKER_VALUE","DEEP_MEASURE_ID_OVERRIDE",$C139,"DEEP_BROKER_ID_OVERRIDE",BS$24,"DEEP_PERIOD_OVERRIDE",$H$19)*1,"")))</f>
        <v/>
      </c>
      <c r="BT139" t="str">
        <f>IF(OR(BT$23="",ISNA($B139)),"",IF(ISBLANK($B139),"",IFERROR(_xll.BDP(TICKER,"DEEP_MEASURE_PERIOD_BROKER_VALUE","DEEP_MEASURE_ID_OVERRIDE",$C139,"DEEP_BROKER_ID_OVERRIDE",BT$24,"DEEP_PERIOD_OVERRIDE",$H$19)*1,"")))</f>
        <v/>
      </c>
      <c r="BU139" t="str">
        <f>IF(OR(BU$23="",ISNA($B139)),"",IF(ISBLANK($B139),"",IFERROR(_xll.BDP(TICKER,"DEEP_MEASURE_PERIOD_BROKER_VALUE","DEEP_MEASURE_ID_OVERRIDE",$C139,"DEEP_BROKER_ID_OVERRIDE",BU$24,"DEEP_PERIOD_OVERRIDE",$H$19)*1,"")))</f>
        <v/>
      </c>
      <c r="BV139" t="str">
        <f>IF(OR(BV$23="",ISNA($B139)),"",IF(ISBLANK($B139),"",IFERROR(_xll.BDP(TICKER,"DEEP_MEASURE_PERIOD_BROKER_VALUE","DEEP_MEASURE_ID_OVERRIDE",$C139,"DEEP_BROKER_ID_OVERRIDE",BV$24,"DEEP_PERIOD_OVERRIDE",$H$19)*1,"")))</f>
        <v/>
      </c>
      <c r="BW139" t="str">
        <f>IF(OR(BW$23="",ISNA($B139)),"",IF(ISBLANK($B139),"",IFERROR(_xll.BDP(TICKER,"DEEP_MEASURE_PERIOD_BROKER_VALUE","DEEP_MEASURE_ID_OVERRIDE",$C139,"DEEP_BROKER_ID_OVERRIDE",BW$24,"DEEP_PERIOD_OVERRIDE",$H$19)*1,"")))</f>
        <v/>
      </c>
      <c r="BX139" t="str">
        <f>IF(OR(BX$23="",ISNA($B139)),"",IF(ISBLANK($B139),"",IFERROR(_xll.BDP(TICKER,"DEEP_MEASURE_PERIOD_BROKER_VALUE","DEEP_MEASURE_ID_OVERRIDE",$C139,"DEEP_BROKER_ID_OVERRIDE",BX$24,"DEEP_PERIOD_OVERRIDE",$H$19)*1,"")))</f>
        <v/>
      </c>
      <c r="BY139" t="str">
        <f>IF(OR(BY$23="",ISNA($B139)),"",IF(ISBLANK($B139),"",IFERROR(_xll.BDP(TICKER,"DEEP_MEASURE_PERIOD_BROKER_VALUE","DEEP_MEASURE_ID_OVERRIDE",$C139,"DEEP_BROKER_ID_OVERRIDE",BY$24,"DEEP_PERIOD_OVERRIDE",$H$19)*1,"")))</f>
        <v/>
      </c>
      <c r="BZ139" t="str">
        <f>IF(OR(BZ$23="",ISNA($B139)),"",IF(ISBLANK($B139),"",IFERROR(_xll.BDP(TICKER,"DEEP_MEASURE_PERIOD_BROKER_VALUE","DEEP_MEASURE_ID_OVERRIDE",$C139,"DEEP_BROKER_ID_OVERRIDE",BZ$24,"DEEP_PERIOD_OVERRIDE",$H$19)*1,"")))</f>
        <v/>
      </c>
    </row>
    <row r="140" spans="2:78" x14ac:dyDescent="0.25">
      <c r="B140" t="s">
        <v>19</v>
      </c>
      <c r="C140">
        <v>351</v>
      </c>
      <c r="H140" t="str">
        <f t="shared" si="2"/>
        <v>Income Tax Expense</v>
      </c>
      <c r="I140" t="str">
        <f>IF(OR(I$23="",ISNA($B140)),"",IF(ISBLANK($B140),"",IFERROR(_xll.BDP(TICKER,"DEEP_MEASURE_PERIOD_BROKER_VALUE","DEEP_MEASURE_ID_OVERRIDE",$C140,"DEEP_PERIOD_OVERRIDE",$H$19)*1,"")))</f>
        <v/>
      </c>
      <c r="J140" t="e">
        <f>IF(OR(J$23="",ISNA($B140)),"",IF(ISBLANK($B140),"",IFERROR(_xll.BDP(TICKER,"DEEP_MEASURE_PERIOD_BROKER_VALUE","DEEP_MEASURE_ID_OVERRIDE",$C140,"DEEP_BROKER_ID_OVERRIDE",J$24,"DEEP_PERIOD_OVERRIDE",$H$19)*1,"")))</f>
        <v>#REF!</v>
      </c>
      <c r="K140" t="str">
        <f>IF(OR(K$23="",ISNA($B140)),"",IF(ISBLANK($B140),"",IFERROR(_xll.BDP(TICKER,"DEEP_MEASURE_PERIOD_BROKER_VALUE","DEEP_MEASURE_ID_OVERRIDE",$C140,"DEEP_BROKER_ID_OVERRIDE",K$24,"DEEP_PERIOD_OVERRIDE",$H$19)*1,"")))</f>
        <v/>
      </c>
      <c r="L140" t="str">
        <f>IF(OR(L$23="",ISNA($B140)),"",IF(ISBLANK($B140),"",IFERROR(_xll.BDP(TICKER,"DEEP_MEASURE_PERIOD_BROKER_VALUE","DEEP_MEASURE_ID_OVERRIDE",$C140,"DEEP_BROKER_ID_OVERRIDE",L$24,"DEEP_PERIOD_OVERRIDE",$H$19)*1,"")))</f>
        <v/>
      </c>
      <c r="M140" t="str">
        <f>IF(OR(M$23="",ISNA($B140)),"",IF(ISBLANK($B140),"",IFERROR(_xll.BDP(TICKER,"DEEP_MEASURE_PERIOD_BROKER_VALUE","DEEP_MEASURE_ID_OVERRIDE",$C140,"DEEP_BROKER_ID_OVERRIDE",M$24,"DEEP_PERIOD_OVERRIDE",$H$19)*1,"")))</f>
        <v/>
      </c>
      <c r="N140" t="str">
        <f>IF(OR(N$23="",ISNA($B140)),"",IF(ISBLANK($B140),"",IFERROR(_xll.BDP(TICKER,"DEEP_MEASURE_PERIOD_BROKER_VALUE","DEEP_MEASURE_ID_OVERRIDE",$C140,"DEEP_BROKER_ID_OVERRIDE",N$24,"DEEP_PERIOD_OVERRIDE",$H$19)*1,"")))</f>
        <v/>
      </c>
      <c r="O140" t="str">
        <f>IF(OR(O$23="",ISNA($B140)),"",IF(ISBLANK($B140),"",IFERROR(_xll.BDP(TICKER,"DEEP_MEASURE_PERIOD_BROKER_VALUE","DEEP_MEASURE_ID_OVERRIDE",$C140,"DEEP_BROKER_ID_OVERRIDE",O$24,"DEEP_PERIOD_OVERRIDE",$H$19)*1,"")))</f>
        <v/>
      </c>
      <c r="P140" t="str">
        <f>IF(OR(P$23="",ISNA($B140)),"",IF(ISBLANK($B140),"",IFERROR(_xll.BDP(TICKER,"DEEP_MEASURE_PERIOD_BROKER_VALUE","DEEP_MEASURE_ID_OVERRIDE",$C140,"DEEP_BROKER_ID_OVERRIDE",P$24,"DEEP_PERIOD_OVERRIDE",$H$19)*1,"")))</f>
        <v/>
      </c>
      <c r="Q140" t="str">
        <f>IF(OR(Q$23="",ISNA($B140)),"",IF(ISBLANK($B140),"",IFERROR(_xll.BDP(TICKER,"DEEP_MEASURE_PERIOD_BROKER_VALUE","DEEP_MEASURE_ID_OVERRIDE",$C140,"DEEP_BROKER_ID_OVERRIDE",Q$24,"DEEP_PERIOD_OVERRIDE",$H$19)*1,"")))</f>
        <v/>
      </c>
      <c r="R140" t="str">
        <f>IF(OR(R$23="",ISNA($B140)),"",IF(ISBLANK($B140),"",IFERROR(_xll.BDP(TICKER,"DEEP_MEASURE_PERIOD_BROKER_VALUE","DEEP_MEASURE_ID_OVERRIDE",$C140,"DEEP_BROKER_ID_OVERRIDE",R$24,"DEEP_PERIOD_OVERRIDE",$H$19)*1,"")))</f>
        <v/>
      </c>
      <c r="S140" t="str">
        <f>IF(OR(S$23="",ISNA($B140)),"",IF(ISBLANK($B140),"",IFERROR(_xll.BDP(TICKER,"DEEP_MEASURE_PERIOD_BROKER_VALUE","DEEP_MEASURE_ID_OVERRIDE",$C140,"DEEP_BROKER_ID_OVERRIDE",S$24,"DEEP_PERIOD_OVERRIDE",$H$19)*1,"")))</f>
        <v/>
      </c>
      <c r="T140" t="str">
        <f>IF(OR(T$23="",ISNA($B140)),"",IF(ISBLANK($B140),"",IFERROR(_xll.BDP(TICKER,"DEEP_MEASURE_PERIOD_BROKER_VALUE","DEEP_MEASURE_ID_OVERRIDE",$C140,"DEEP_BROKER_ID_OVERRIDE",T$24,"DEEP_PERIOD_OVERRIDE",$H$19)*1,"")))</f>
        <v/>
      </c>
      <c r="U140" t="str">
        <f>IF(OR(U$23="",ISNA($B140)),"",IF(ISBLANK($B140),"",IFERROR(_xll.BDP(TICKER,"DEEP_MEASURE_PERIOD_BROKER_VALUE","DEEP_MEASURE_ID_OVERRIDE",$C140,"DEEP_BROKER_ID_OVERRIDE",U$24,"DEEP_PERIOD_OVERRIDE",$H$19)*1,"")))</f>
        <v/>
      </c>
      <c r="V140" t="str">
        <f>IF(OR(V$23="",ISNA($B140)),"",IF(ISBLANK($B140),"",IFERROR(_xll.BDP(TICKER,"DEEP_MEASURE_PERIOD_BROKER_VALUE","DEEP_MEASURE_ID_OVERRIDE",$C140,"DEEP_BROKER_ID_OVERRIDE",V$24,"DEEP_PERIOD_OVERRIDE",$H$19)*1,"")))</f>
        <v/>
      </c>
      <c r="W140" t="str">
        <f>IF(OR(W$23="",ISNA($B140)),"",IF(ISBLANK($B140),"",IFERROR(_xll.BDP(TICKER,"DEEP_MEASURE_PERIOD_BROKER_VALUE","DEEP_MEASURE_ID_OVERRIDE",$C140,"DEEP_BROKER_ID_OVERRIDE",W$24,"DEEP_PERIOD_OVERRIDE",$H$19)*1,"")))</f>
        <v/>
      </c>
      <c r="X140" t="str">
        <f>IF(OR(X$23="",ISNA($B140)),"",IF(ISBLANK($B140),"",IFERROR(_xll.BDP(TICKER,"DEEP_MEASURE_PERIOD_BROKER_VALUE","DEEP_MEASURE_ID_OVERRIDE",$C140,"DEEP_BROKER_ID_OVERRIDE",X$24,"DEEP_PERIOD_OVERRIDE",$H$19)*1,"")))</f>
        <v/>
      </c>
      <c r="Y140" t="str">
        <f>IF(OR(Y$23="",ISNA($B140)),"",IF(ISBLANK($B140),"",IFERROR(_xll.BDP(TICKER,"DEEP_MEASURE_PERIOD_BROKER_VALUE","DEEP_MEASURE_ID_OVERRIDE",$C140,"DEEP_BROKER_ID_OVERRIDE",Y$24,"DEEP_PERIOD_OVERRIDE",$H$19)*1,"")))</f>
        <v/>
      </c>
      <c r="Z140" t="str">
        <f>IF(OR(Z$23="",ISNA($B140)),"",IF(ISBLANK($B140),"",IFERROR(_xll.BDP(TICKER,"DEEP_MEASURE_PERIOD_BROKER_VALUE","DEEP_MEASURE_ID_OVERRIDE",$C140,"DEEP_BROKER_ID_OVERRIDE",Z$24,"DEEP_PERIOD_OVERRIDE",$H$19)*1,"")))</f>
        <v/>
      </c>
      <c r="AA140" t="str">
        <f>IF(OR(AA$23="",ISNA($B140)),"",IF(ISBLANK($B140),"",IFERROR(_xll.BDP(TICKER,"DEEP_MEASURE_PERIOD_BROKER_VALUE","DEEP_MEASURE_ID_OVERRIDE",$C140,"DEEP_BROKER_ID_OVERRIDE",AA$24,"DEEP_PERIOD_OVERRIDE",$H$19)*1,"")))</f>
        <v/>
      </c>
      <c r="AB140" t="str">
        <f>IF(OR(AB$23="",ISNA($B140)),"",IF(ISBLANK($B140),"",IFERROR(_xll.BDP(TICKER,"DEEP_MEASURE_PERIOD_BROKER_VALUE","DEEP_MEASURE_ID_OVERRIDE",$C140,"DEEP_BROKER_ID_OVERRIDE",AB$24,"DEEP_PERIOD_OVERRIDE",$H$19)*1,"")))</f>
        <v/>
      </c>
      <c r="AC140" t="str">
        <f>IF(OR(AC$23="",ISNA($B140)),"",IF(ISBLANK($B140),"",IFERROR(_xll.BDP(TICKER,"DEEP_MEASURE_PERIOD_BROKER_VALUE","DEEP_MEASURE_ID_OVERRIDE",$C140,"DEEP_BROKER_ID_OVERRIDE",AC$24,"DEEP_PERIOD_OVERRIDE",$H$19)*1,"")))</f>
        <v/>
      </c>
      <c r="AD140" t="str">
        <f>IF(OR(AD$23="",ISNA($B140)),"",IF(ISBLANK($B140),"",IFERROR(_xll.BDP(TICKER,"DEEP_MEASURE_PERIOD_BROKER_VALUE","DEEP_MEASURE_ID_OVERRIDE",$C140,"DEEP_BROKER_ID_OVERRIDE",AD$24,"DEEP_PERIOD_OVERRIDE",$H$19)*1,"")))</f>
        <v/>
      </c>
      <c r="AE140" t="str">
        <f>IF(OR(AE$23="",ISNA($B140)),"",IF(ISBLANK($B140),"",IFERROR(_xll.BDP(TICKER,"DEEP_MEASURE_PERIOD_BROKER_VALUE","DEEP_MEASURE_ID_OVERRIDE",$C140,"DEEP_BROKER_ID_OVERRIDE",AE$24,"DEEP_PERIOD_OVERRIDE",$H$19)*1,"")))</f>
        <v/>
      </c>
      <c r="AF140" t="str">
        <f>IF(OR(AF$23="",ISNA($B140)),"",IF(ISBLANK($B140),"",IFERROR(_xll.BDP(TICKER,"DEEP_MEASURE_PERIOD_BROKER_VALUE","DEEP_MEASURE_ID_OVERRIDE",$C140,"DEEP_BROKER_ID_OVERRIDE",AF$24,"DEEP_PERIOD_OVERRIDE",$H$19)*1,"")))</f>
        <v/>
      </c>
      <c r="AG140" t="str">
        <f>IF(OR(AG$23="",ISNA($B140)),"",IF(ISBLANK($B140),"",IFERROR(_xll.BDP(TICKER,"DEEP_MEASURE_PERIOD_BROKER_VALUE","DEEP_MEASURE_ID_OVERRIDE",$C140,"DEEP_BROKER_ID_OVERRIDE",AG$24,"DEEP_PERIOD_OVERRIDE",$H$19)*1,"")))</f>
        <v/>
      </c>
      <c r="AH140" t="str">
        <f>IF(OR(AH$23="",ISNA($B140)),"",IF(ISBLANK($B140),"",IFERROR(_xll.BDP(TICKER,"DEEP_MEASURE_PERIOD_BROKER_VALUE","DEEP_MEASURE_ID_OVERRIDE",$C140,"DEEP_BROKER_ID_OVERRIDE",AH$24,"DEEP_PERIOD_OVERRIDE",$H$19)*1,"")))</f>
        <v/>
      </c>
      <c r="AI140" t="str">
        <f>IF(OR(AI$23="",ISNA($B140)),"",IF(ISBLANK($B140),"",IFERROR(_xll.BDP(TICKER,"DEEP_MEASURE_PERIOD_BROKER_VALUE","DEEP_MEASURE_ID_OVERRIDE",$C140,"DEEP_BROKER_ID_OVERRIDE",AI$24,"DEEP_PERIOD_OVERRIDE",$H$19)*1,"")))</f>
        <v/>
      </c>
      <c r="AJ140" t="str">
        <f>IF(OR(AJ$23="",ISNA($B140)),"",IF(ISBLANK($B140),"",IFERROR(_xll.BDP(TICKER,"DEEP_MEASURE_PERIOD_BROKER_VALUE","DEEP_MEASURE_ID_OVERRIDE",$C140,"DEEP_BROKER_ID_OVERRIDE",AJ$24,"DEEP_PERIOD_OVERRIDE",$H$19)*1,"")))</f>
        <v/>
      </c>
      <c r="AK140" t="str">
        <f>IF(OR(AK$23="",ISNA($B140)),"",IF(ISBLANK($B140),"",IFERROR(_xll.BDP(TICKER,"DEEP_MEASURE_PERIOD_BROKER_VALUE","DEEP_MEASURE_ID_OVERRIDE",$C140,"DEEP_BROKER_ID_OVERRIDE",AK$24,"DEEP_PERIOD_OVERRIDE",$H$19)*1,"")))</f>
        <v/>
      </c>
      <c r="AL140" t="str">
        <f>IF(OR(AL$23="",ISNA($B140)),"",IF(ISBLANK($B140),"",IFERROR(_xll.BDP(TICKER,"DEEP_MEASURE_PERIOD_BROKER_VALUE","DEEP_MEASURE_ID_OVERRIDE",$C140,"DEEP_BROKER_ID_OVERRIDE",AL$24,"DEEP_PERIOD_OVERRIDE",$H$19)*1,"")))</f>
        <v/>
      </c>
      <c r="AM140" t="str">
        <f>IF(OR(AM$23="",ISNA($B140)),"",IF(ISBLANK($B140),"",IFERROR(_xll.BDP(TICKER,"DEEP_MEASURE_PERIOD_BROKER_VALUE","DEEP_MEASURE_ID_OVERRIDE",$C140,"DEEP_BROKER_ID_OVERRIDE",AM$24,"DEEP_PERIOD_OVERRIDE",$H$19)*1,"")))</f>
        <v/>
      </c>
      <c r="AN140" t="str">
        <f>IF(OR(AN$23="",ISNA($B140)),"",IF(ISBLANK($B140),"",IFERROR(_xll.BDP(TICKER,"DEEP_MEASURE_PERIOD_BROKER_VALUE","DEEP_MEASURE_ID_OVERRIDE",$C140,"DEEP_BROKER_ID_OVERRIDE",AN$24,"DEEP_PERIOD_OVERRIDE",$H$19)*1,"")))</f>
        <v/>
      </c>
      <c r="AO140" t="str">
        <f>IF(OR(AO$23="",ISNA($B140)),"",IF(ISBLANK($B140),"",IFERROR(_xll.BDP(TICKER,"DEEP_MEASURE_PERIOD_BROKER_VALUE","DEEP_MEASURE_ID_OVERRIDE",$C140,"DEEP_BROKER_ID_OVERRIDE",AO$24,"DEEP_PERIOD_OVERRIDE",$H$19)*1,"")))</f>
        <v/>
      </c>
      <c r="AP140" t="str">
        <f>IF(OR(AP$23="",ISNA($B140)),"",IF(ISBLANK($B140),"",IFERROR(_xll.BDP(TICKER,"DEEP_MEASURE_PERIOD_BROKER_VALUE","DEEP_MEASURE_ID_OVERRIDE",$C140,"DEEP_BROKER_ID_OVERRIDE",AP$24,"DEEP_PERIOD_OVERRIDE",$H$19)*1,"")))</f>
        <v/>
      </c>
      <c r="AQ140" t="str">
        <f>IF(OR(AQ$23="",ISNA($B140)),"",IF(ISBLANK($B140),"",IFERROR(_xll.BDP(TICKER,"DEEP_MEASURE_PERIOD_BROKER_VALUE","DEEP_MEASURE_ID_OVERRIDE",$C140,"DEEP_BROKER_ID_OVERRIDE",AQ$24,"DEEP_PERIOD_OVERRIDE",$H$19)*1,"")))</f>
        <v/>
      </c>
      <c r="AR140" t="str">
        <f>IF(OR(AR$23="",ISNA($B140)),"",IF(ISBLANK($B140),"",IFERROR(_xll.BDP(TICKER,"DEEP_MEASURE_PERIOD_BROKER_VALUE","DEEP_MEASURE_ID_OVERRIDE",$C140,"DEEP_BROKER_ID_OVERRIDE",AR$24,"DEEP_PERIOD_OVERRIDE",$H$19)*1,"")))</f>
        <v/>
      </c>
      <c r="AS140" t="str">
        <f>IF(OR(AS$23="",ISNA($B140)),"",IF(ISBLANK($B140),"",IFERROR(_xll.BDP(TICKER,"DEEP_MEASURE_PERIOD_BROKER_VALUE","DEEP_MEASURE_ID_OVERRIDE",$C140,"DEEP_BROKER_ID_OVERRIDE",AS$24,"DEEP_PERIOD_OVERRIDE",$H$19)*1,"")))</f>
        <v/>
      </c>
      <c r="AT140" t="str">
        <f>IF(OR(AT$23="",ISNA($B140)),"",IF(ISBLANK($B140),"",IFERROR(_xll.BDP(TICKER,"DEEP_MEASURE_PERIOD_BROKER_VALUE","DEEP_MEASURE_ID_OVERRIDE",$C140,"DEEP_BROKER_ID_OVERRIDE",AT$24,"DEEP_PERIOD_OVERRIDE",$H$19)*1,"")))</f>
        <v/>
      </c>
      <c r="AU140" t="str">
        <f>IF(OR(AU$23="",ISNA($B140)),"",IF(ISBLANK($B140),"",IFERROR(_xll.BDP(TICKER,"DEEP_MEASURE_PERIOD_BROKER_VALUE","DEEP_MEASURE_ID_OVERRIDE",$C140,"DEEP_BROKER_ID_OVERRIDE",AU$24,"DEEP_PERIOD_OVERRIDE",$H$19)*1,"")))</f>
        <v/>
      </c>
      <c r="AV140" t="str">
        <f>IF(OR(AV$23="",ISNA($B140)),"",IF(ISBLANK($B140),"",IFERROR(_xll.BDP(TICKER,"DEEP_MEASURE_PERIOD_BROKER_VALUE","DEEP_MEASURE_ID_OVERRIDE",$C140,"DEEP_BROKER_ID_OVERRIDE",AV$24,"DEEP_PERIOD_OVERRIDE",$H$19)*1,"")))</f>
        <v/>
      </c>
      <c r="AW140" t="str">
        <f>IF(OR(AW$23="",ISNA($B140)),"",IF(ISBLANK($B140),"",IFERROR(_xll.BDP(TICKER,"DEEP_MEASURE_PERIOD_BROKER_VALUE","DEEP_MEASURE_ID_OVERRIDE",$C140,"DEEP_BROKER_ID_OVERRIDE",AW$24,"DEEP_PERIOD_OVERRIDE",$H$19)*1,"")))</f>
        <v/>
      </c>
      <c r="AX140" t="str">
        <f>IF(OR(AX$23="",ISNA($B140)),"",IF(ISBLANK($B140),"",IFERROR(_xll.BDP(TICKER,"DEEP_MEASURE_PERIOD_BROKER_VALUE","DEEP_MEASURE_ID_OVERRIDE",$C140,"DEEP_BROKER_ID_OVERRIDE",AX$24,"DEEP_PERIOD_OVERRIDE",$H$19)*1,"")))</f>
        <v/>
      </c>
      <c r="AY140" t="str">
        <f>IF(OR(AY$23="",ISNA($B140)),"",IF(ISBLANK($B140),"",IFERROR(_xll.BDP(TICKER,"DEEP_MEASURE_PERIOD_BROKER_VALUE","DEEP_MEASURE_ID_OVERRIDE",$C140,"DEEP_BROKER_ID_OVERRIDE",AY$24,"DEEP_PERIOD_OVERRIDE",$H$19)*1,"")))</f>
        <v/>
      </c>
      <c r="AZ140" t="str">
        <f>IF(OR(AZ$23="",ISNA($B140)),"",IF(ISBLANK($B140),"",IFERROR(_xll.BDP(TICKER,"DEEP_MEASURE_PERIOD_BROKER_VALUE","DEEP_MEASURE_ID_OVERRIDE",$C140,"DEEP_BROKER_ID_OVERRIDE",AZ$24,"DEEP_PERIOD_OVERRIDE",$H$19)*1,"")))</f>
        <v/>
      </c>
      <c r="BA140" t="str">
        <f>IF(OR(BA$23="",ISNA($B140)),"",IF(ISBLANK($B140),"",IFERROR(_xll.BDP(TICKER,"DEEP_MEASURE_PERIOD_BROKER_VALUE","DEEP_MEASURE_ID_OVERRIDE",$C140,"DEEP_BROKER_ID_OVERRIDE",BA$24,"DEEP_PERIOD_OVERRIDE",$H$19)*1,"")))</f>
        <v/>
      </c>
      <c r="BB140" t="str">
        <f>IF(OR(BB$23="",ISNA($B140)),"",IF(ISBLANK($B140),"",IFERROR(_xll.BDP(TICKER,"DEEP_MEASURE_PERIOD_BROKER_VALUE","DEEP_MEASURE_ID_OVERRIDE",$C140,"DEEP_BROKER_ID_OVERRIDE",BB$24,"DEEP_PERIOD_OVERRIDE",$H$19)*1,"")))</f>
        <v/>
      </c>
      <c r="BC140" t="str">
        <f>IF(OR(BC$23="",ISNA($B140)),"",IF(ISBLANK($B140),"",IFERROR(_xll.BDP(TICKER,"DEEP_MEASURE_PERIOD_BROKER_VALUE","DEEP_MEASURE_ID_OVERRIDE",$C140,"DEEP_BROKER_ID_OVERRIDE",BC$24,"DEEP_PERIOD_OVERRIDE",$H$19)*1,"")))</f>
        <v/>
      </c>
      <c r="BD140" t="str">
        <f>IF(OR(BD$23="",ISNA($B140)),"",IF(ISBLANK($B140),"",IFERROR(_xll.BDP(TICKER,"DEEP_MEASURE_PERIOD_BROKER_VALUE","DEEP_MEASURE_ID_OVERRIDE",$C140,"DEEP_BROKER_ID_OVERRIDE",BD$24,"DEEP_PERIOD_OVERRIDE",$H$19)*1,"")))</f>
        <v/>
      </c>
      <c r="BE140" t="str">
        <f>IF(OR(BE$23="",ISNA($B140)),"",IF(ISBLANK($B140),"",IFERROR(_xll.BDP(TICKER,"DEEP_MEASURE_PERIOD_BROKER_VALUE","DEEP_MEASURE_ID_OVERRIDE",$C140,"DEEP_BROKER_ID_OVERRIDE",BE$24,"DEEP_PERIOD_OVERRIDE",$H$19)*1,"")))</f>
        <v/>
      </c>
      <c r="BF140" t="str">
        <f>IF(OR(BF$23="",ISNA($B140)),"",IF(ISBLANK($B140),"",IFERROR(_xll.BDP(TICKER,"DEEP_MEASURE_PERIOD_BROKER_VALUE","DEEP_MEASURE_ID_OVERRIDE",$C140,"DEEP_BROKER_ID_OVERRIDE",BF$24,"DEEP_PERIOD_OVERRIDE",$H$19)*1,"")))</f>
        <v/>
      </c>
      <c r="BG140" t="str">
        <f>IF(OR(BG$23="",ISNA($B140)),"",IF(ISBLANK($B140),"",IFERROR(_xll.BDP(TICKER,"DEEP_MEASURE_PERIOD_BROKER_VALUE","DEEP_MEASURE_ID_OVERRIDE",$C140,"DEEP_BROKER_ID_OVERRIDE",BG$24,"DEEP_PERIOD_OVERRIDE",$H$19)*1,"")))</f>
        <v/>
      </c>
      <c r="BH140" t="str">
        <f>IF(OR(BH$23="",ISNA($B140)),"",IF(ISBLANK($B140),"",IFERROR(_xll.BDP(TICKER,"DEEP_MEASURE_PERIOD_BROKER_VALUE","DEEP_MEASURE_ID_OVERRIDE",$C140,"DEEP_BROKER_ID_OVERRIDE",BH$24,"DEEP_PERIOD_OVERRIDE",$H$19)*1,"")))</f>
        <v/>
      </c>
      <c r="BI140" t="str">
        <f>IF(OR(BI$23="",ISNA($B140)),"",IF(ISBLANK($B140),"",IFERROR(_xll.BDP(TICKER,"DEEP_MEASURE_PERIOD_BROKER_VALUE","DEEP_MEASURE_ID_OVERRIDE",$C140,"DEEP_BROKER_ID_OVERRIDE",BI$24,"DEEP_PERIOD_OVERRIDE",$H$19)*1,"")))</f>
        <v/>
      </c>
      <c r="BJ140" t="str">
        <f>IF(OR(BJ$23="",ISNA($B140)),"",IF(ISBLANK($B140),"",IFERROR(_xll.BDP(TICKER,"DEEP_MEASURE_PERIOD_BROKER_VALUE","DEEP_MEASURE_ID_OVERRIDE",$C140,"DEEP_BROKER_ID_OVERRIDE",BJ$24,"DEEP_PERIOD_OVERRIDE",$H$19)*1,"")))</f>
        <v/>
      </c>
      <c r="BK140" t="str">
        <f>IF(OR(BK$23="",ISNA($B140)),"",IF(ISBLANK($B140),"",IFERROR(_xll.BDP(TICKER,"DEEP_MEASURE_PERIOD_BROKER_VALUE","DEEP_MEASURE_ID_OVERRIDE",$C140,"DEEP_BROKER_ID_OVERRIDE",BK$24,"DEEP_PERIOD_OVERRIDE",$H$19)*1,"")))</f>
        <v/>
      </c>
      <c r="BL140" t="str">
        <f>IF(OR(BL$23="",ISNA($B140)),"",IF(ISBLANK($B140),"",IFERROR(_xll.BDP(TICKER,"DEEP_MEASURE_PERIOD_BROKER_VALUE","DEEP_MEASURE_ID_OVERRIDE",$C140,"DEEP_BROKER_ID_OVERRIDE",BL$24,"DEEP_PERIOD_OVERRIDE",$H$19)*1,"")))</f>
        <v/>
      </c>
      <c r="BM140" t="str">
        <f>IF(OR(BM$23="",ISNA($B140)),"",IF(ISBLANK($B140),"",IFERROR(_xll.BDP(TICKER,"DEEP_MEASURE_PERIOD_BROKER_VALUE","DEEP_MEASURE_ID_OVERRIDE",$C140,"DEEP_BROKER_ID_OVERRIDE",BM$24,"DEEP_PERIOD_OVERRIDE",$H$19)*1,"")))</f>
        <v/>
      </c>
      <c r="BN140" t="str">
        <f>IF(OR(BN$23="",ISNA($B140)),"",IF(ISBLANK($B140),"",IFERROR(_xll.BDP(TICKER,"DEEP_MEASURE_PERIOD_BROKER_VALUE","DEEP_MEASURE_ID_OVERRIDE",$C140,"DEEP_BROKER_ID_OVERRIDE",BN$24,"DEEP_PERIOD_OVERRIDE",$H$19)*1,"")))</f>
        <v/>
      </c>
      <c r="BO140" t="str">
        <f>IF(OR(BO$23="",ISNA($B140)),"",IF(ISBLANK($B140),"",IFERROR(_xll.BDP(TICKER,"DEEP_MEASURE_PERIOD_BROKER_VALUE","DEEP_MEASURE_ID_OVERRIDE",$C140,"DEEP_BROKER_ID_OVERRIDE",BO$24,"DEEP_PERIOD_OVERRIDE",$H$19)*1,"")))</f>
        <v/>
      </c>
      <c r="BP140" t="str">
        <f>IF(OR(BP$23="",ISNA($B140)),"",IF(ISBLANK($B140),"",IFERROR(_xll.BDP(TICKER,"DEEP_MEASURE_PERIOD_BROKER_VALUE","DEEP_MEASURE_ID_OVERRIDE",$C140,"DEEP_BROKER_ID_OVERRIDE",BP$24,"DEEP_PERIOD_OVERRIDE",$H$19)*1,"")))</f>
        <v/>
      </c>
      <c r="BQ140" t="str">
        <f>IF(OR(BQ$23="",ISNA($B140)),"",IF(ISBLANK($B140),"",IFERROR(_xll.BDP(TICKER,"DEEP_MEASURE_PERIOD_BROKER_VALUE","DEEP_MEASURE_ID_OVERRIDE",$C140,"DEEP_BROKER_ID_OVERRIDE",BQ$24,"DEEP_PERIOD_OVERRIDE",$H$19)*1,"")))</f>
        <v/>
      </c>
      <c r="BR140" t="str">
        <f>IF(OR(BR$23="",ISNA($B140)),"",IF(ISBLANK($B140),"",IFERROR(_xll.BDP(TICKER,"DEEP_MEASURE_PERIOD_BROKER_VALUE","DEEP_MEASURE_ID_OVERRIDE",$C140,"DEEP_BROKER_ID_OVERRIDE",BR$24,"DEEP_PERIOD_OVERRIDE",$H$19)*1,"")))</f>
        <v/>
      </c>
      <c r="BS140" t="str">
        <f>IF(OR(BS$23="",ISNA($B140)),"",IF(ISBLANK($B140),"",IFERROR(_xll.BDP(TICKER,"DEEP_MEASURE_PERIOD_BROKER_VALUE","DEEP_MEASURE_ID_OVERRIDE",$C140,"DEEP_BROKER_ID_OVERRIDE",BS$24,"DEEP_PERIOD_OVERRIDE",$H$19)*1,"")))</f>
        <v/>
      </c>
      <c r="BT140" t="str">
        <f>IF(OR(BT$23="",ISNA($B140)),"",IF(ISBLANK($B140),"",IFERROR(_xll.BDP(TICKER,"DEEP_MEASURE_PERIOD_BROKER_VALUE","DEEP_MEASURE_ID_OVERRIDE",$C140,"DEEP_BROKER_ID_OVERRIDE",BT$24,"DEEP_PERIOD_OVERRIDE",$H$19)*1,"")))</f>
        <v/>
      </c>
      <c r="BU140" t="str">
        <f>IF(OR(BU$23="",ISNA($B140)),"",IF(ISBLANK($B140),"",IFERROR(_xll.BDP(TICKER,"DEEP_MEASURE_PERIOD_BROKER_VALUE","DEEP_MEASURE_ID_OVERRIDE",$C140,"DEEP_BROKER_ID_OVERRIDE",BU$24,"DEEP_PERIOD_OVERRIDE",$H$19)*1,"")))</f>
        <v/>
      </c>
      <c r="BV140" t="str">
        <f>IF(OR(BV$23="",ISNA($B140)),"",IF(ISBLANK($B140),"",IFERROR(_xll.BDP(TICKER,"DEEP_MEASURE_PERIOD_BROKER_VALUE","DEEP_MEASURE_ID_OVERRIDE",$C140,"DEEP_BROKER_ID_OVERRIDE",BV$24,"DEEP_PERIOD_OVERRIDE",$H$19)*1,"")))</f>
        <v/>
      </c>
      <c r="BW140" t="str">
        <f>IF(OR(BW$23="",ISNA($B140)),"",IF(ISBLANK($B140),"",IFERROR(_xll.BDP(TICKER,"DEEP_MEASURE_PERIOD_BROKER_VALUE","DEEP_MEASURE_ID_OVERRIDE",$C140,"DEEP_BROKER_ID_OVERRIDE",BW$24,"DEEP_PERIOD_OVERRIDE",$H$19)*1,"")))</f>
        <v/>
      </c>
      <c r="BX140" t="str">
        <f>IF(OR(BX$23="",ISNA($B140)),"",IF(ISBLANK($B140),"",IFERROR(_xll.BDP(TICKER,"DEEP_MEASURE_PERIOD_BROKER_VALUE","DEEP_MEASURE_ID_OVERRIDE",$C140,"DEEP_BROKER_ID_OVERRIDE",BX$24,"DEEP_PERIOD_OVERRIDE",$H$19)*1,"")))</f>
        <v/>
      </c>
      <c r="BY140" t="str">
        <f>IF(OR(BY$23="",ISNA($B140)),"",IF(ISBLANK($B140),"",IFERROR(_xll.BDP(TICKER,"DEEP_MEASURE_PERIOD_BROKER_VALUE","DEEP_MEASURE_ID_OVERRIDE",$C140,"DEEP_BROKER_ID_OVERRIDE",BY$24,"DEEP_PERIOD_OVERRIDE",$H$19)*1,"")))</f>
        <v/>
      </c>
      <c r="BZ140" t="str">
        <f>IF(OR(BZ$23="",ISNA($B140)),"",IF(ISBLANK($B140),"",IFERROR(_xll.BDP(TICKER,"DEEP_MEASURE_PERIOD_BROKER_VALUE","DEEP_MEASURE_ID_OVERRIDE",$C140,"DEEP_BROKER_ID_OVERRIDE",BZ$24,"DEEP_PERIOD_OVERRIDE",$H$19)*1,"")))</f>
        <v/>
      </c>
    </row>
    <row r="141" spans="2:78" x14ac:dyDescent="0.25">
      <c r="B141" t="s">
        <v>22</v>
      </c>
      <c r="C141">
        <v>393</v>
      </c>
      <c r="H141" t="str">
        <f t="shared" si="2"/>
        <v>Income Tax Expense &gt; Effective Tax Rate (%)</v>
      </c>
      <c r="I141" t="str">
        <f>IF(OR(I$23="",ISNA($B141)),"",IF(ISBLANK($B141),"",IFERROR(_xll.BDP(TICKER,"DEEP_MEASURE_PERIOD_BROKER_VALUE","DEEP_MEASURE_ID_OVERRIDE",$C141,"DEEP_PERIOD_OVERRIDE",$H$19)*1,"")))</f>
        <v/>
      </c>
      <c r="J141" t="e">
        <f>IF(OR(J$23="",ISNA($B141)),"",IF(ISBLANK($B141),"",IFERROR(_xll.BDP(TICKER,"DEEP_MEASURE_PERIOD_BROKER_VALUE","DEEP_MEASURE_ID_OVERRIDE",$C141,"DEEP_BROKER_ID_OVERRIDE",J$24,"DEEP_PERIOD_OVERRIDE",$H$19)*1,"")))</f>
        <v>#REF!</v>
      </c>
      <c r="K141" t="str">
        <f>IF(OR(K$23="",ISNA($B141)),"",IF(ISBLANK($B141),"",IFERROR(_xll.BDP(TICKER,"DEEP_MEASURE_PERIOD_BROKER_VALUE","DEEP_MEASURE_ID_OVERRIDE",$C141,"DEEP_BROKER_ID_OVERRIDE",K$24,"DEEP_PERIOD_OVERRIDE",$H$19)*1,"")))</f>
        <v/>
      </c>
      <c r="L141" t="str">
        <f>IF(OR(L$23="",ISNA($B141)),"",IF(ISBLANK($B141),"",IFERROR(_xll.BDP(TICKER,"DEEP_MEASURE_PERIOD_BROKER_VALUE","DEEP_MEASURE_ID_OVERRIDE",$C141,"DEEP_BROKER_ID_OVERRIDE",L$24,"DEEP_PERIOD_OVERRIDE",$H$19)*1,"")))</f>
        <v/>
      </c>
      <c r="M141" t="str">
        <f>IF(OR(M$23="",ISNA($B141)),"",IF(ISBLANK($B141),"",IFERROR(_xll.BDP(TICKER,"DEEP_MEASURE_PERIOD_BROKER_VALUE","DEEP_MEASURE_ID_OVERRIDE",$C141,"DEEP_BROKER_ID_OVERRIDE",M$24,"DEEP_PERIOD_OVERRIDE",$H$19)*1,"")))</f>
        <v/>
      </c>
      <c r="N141" t="str">
        <f>IF(OR(N$23="",ISNA($B141)),"",IF(ISBLANK($B141),"",IFERROR(_xll.BDP(TICKER,"DEEP_MEASURE_PERIOD_BROKER_VALUE","DEEP_MEASURE_ID_OVERRIDE",$C141,"DEEP_BROKER_ID_OVERRIDE",N$24,"DEEP_PERIOD_OVERRIDE",$H$19)*1,"")))</f>
        <v/>
      </c>
      <c r="O141" t="str">
        <f>IF(OR(O$23="",ISNA($B141)),"",IF(ISBLANK($B141),"",IFERROR(_xll.BDP(TICKER,"DEEP_MEASURE_PERIOD_BROKER_VALUE","DEEP_MEASURE_ID_OVERRIDE",$C141,"DEEP_BROKER_ID_OVERRIDE",O$24,"DEEP_PERIOD_OVERRIDE",$H$19)*1,"")))</f>
        <v/>
      </c>
      <c r="P141" t="str">
        <f>IF(OR(P$23="",ISNA($B141)),"",IF(ISBLANK($B141),"",IFERROR(_xll.BDP(TICKER,"DEEP_MEASURE_PERIOD_BROKER_VALUE","DEEP_MEASURE_ID_OVERRIDE",$C141,"DEEP_BROKER_ID_OVERRIDE",P$24,"DEEP_PERIOD_OVERRIDE",$H$19)*1,"")))</f>
        <v/>
      </c>
      <c r="Q141" t="str">
        <f>IF(OR(Q$23="",ISNA($B141)),"",IF(ISBLANK($B141),"",IFERROR(_xll.BDP(TICKER,"DEEP_MEASURE_PERIOD_BROKER_VALUE","DEEP_MEASURE_ID_OVERRIDE",$C141,"DEEP_BROKER_ID_OVERRIDE",Q$24,"DEEP_PERIOD_OVERRIDE",$H$19)*1,"")))</f>
        <v/>
      </c>
      <c r="R141" t="str">
        <f>IF(OR(R$23="",ISNA($B141)),"",IF(ISBLANK($B141),"",IFERROR(_xll.BDP(TICKER,"DEEP_MEASURE_PERIOD_BROKER_VALUE","DEEP_MEASURE_ID_OVERRIDE",$C141,"DEEP_BROKER_ID_OVERRIDE",R$24,"DEEP_PERIOD_OVERRIDE",$H$19)*1,"")))</f>
        <v/>
      </c>
      <c r="S141" t="str">
        <f>IF(OR(S$23="",ISNA($B141)),"",IF(ISBLANK($B141),"",IFERROR(_xll.BDP(TICKER,"DEEP_MEASURE_PERIOD_BROKER_VALUE","DEEP_MEASURE_ID_OVERRIDE",$C141,"DEEP_BROKER_ID_OVERRIDE",S$24,"DEEP_PERIOD_OVERRIDE",$H$19)*1,"")))</f>
        <v/>
      </c>
      <c r="T141" t="str">
        <f>IF(OR(T$23="",ISNA($B141)),"",IF(ISBLANK($B141),"",IFERROR(_xll.BDP(TICKER,"DEEP_MEASURE_PERIOD_BROKER_VALUE","DEEP_MEASURE_ID_OVERRIDE",$C141,"DEEP_BROKER_ID_OVERRIDE",T$24,"DEEP_PERIOD_OVERRIDE",$H$19)*1,"")))</f>
        <v/>
      </c>
      <c r="U141" t="str">
        <f>IF(OR(U$23="",ISNA($B141)),"",IF(ISBLANK($B141),"",IFERROR(_xll.BDP(TICKER,"DEEP_MEASURE_PERIOD_BROKER_VALUE","DEEP_MEASURE_ID_OVERRIDE",$C141,"DEEP_BROKER_ID_OVERRIDE",U$24,"DEEP_PERIOD_OVERRIDE",$H$19)*1,"")))</f>
        <v/>
      </c>
      <c r="V141" t="str">
        <f>IF(OR(V$23="",ISNA($B141)),"",IF(ISBLANK($B141),"",IFERROR(_xll.BDP(TICKER,"DEEP_MEASURE_PERIOD_BROKER_VALUE","DEEP_MEASURE_ID_OVERRIDE",$C141,"DEEP_BROKER_ID_OVERRIDE",V$24,"DEEP_PERIOD_OVERRIDE",$H$19)*1,"")))</f>
        <v/>
      </c>
      <c r="W141" t="str">
        <f>IF(OR(W$23="",ISNA($B141)),"",IF(ISBLANK($B141),"",IFERROR(_xll.BDP(TICKER,"DEEP_MEASURE_PERIOD_BROKER_VALUE","DEEP_MEASURE_ID_OVERRIDE",$C141,"DEEP_BROKER_ID_OVERRIDE",W$24,"DEEP_PERIOD_OVERRIDE",$H$19)*1,"")))</f>
        <v/>
      </c>
      <c r="X141" t="str">
        <f>IF(OR(X$23="",ISNA($B141)),"",IF(ISBLANK($B141),"",IFERROR(_xll.BDP(TICKER,"DEEP_MEASURE_PERIOD_BROKER_VALUE","DEEP_MEASURE_ID_OVERRIDE",$C141,"DEEP_BROKER_ID_OVERRIDE",X$24,"DEEP_PERIOD_OVERRIDE",$H$19)*1,"")))</f>
        <v/>
      </c>
      <c r="Y141" t="str">
        <f>IF(OR(Y$23="",ISNA($B141)),"",IF(ISBLANK($B141),"",IFERROR(_xll.BDP(TICKER,"DEEP_MEASURE_PERIOD_BROKER_VALUE","DEEP_MEASURE_ID_OVERRIDE",$C141,"DEEP_BROKER_ID_OVERRIDE",Y$24,"DEEP_PERIOD_OVERRIDE",$H$19)*1,"")))</f>
        <v/>
      </c>
      <c r="Z141" t="str">
        <f>IF(OR(Z$23="",ISNA($B141)),"",IF(ISBLANK($B141),"",IFERROR(_xll.BDP(TICKER,"DEEP_MEASURE_PERIOD_BROKER_VALUE","DEEP_MEASURE_ID_OVERRIDE",$C141,"DEEP_BROKER_ID_OVERRIDE",Z$24,"DEEP_PERIOD_OVERRIDE",$H$19)*1,"")))</f>
        <v/>
      </c>
      <c r="AA141" t="str">
        <f>IF(OR(AA$23="",ISNA($B141)),"",IF(ISBLANK($B141),"",IFERROR(_xll.BDP(TICKER,"DEEP_MEASURE_PERIOD_BROKER_VALUE","DEEP_MEASURE_ID_OVERRIDE",$C141,"DEEP_BROKER_ID_OVERRIDE",AA$24,"DEEP_PERIOD_OVERRIDE",$H$19)*1,"")))</f>
        <v/>
      </c>
      <c r="AB141" t="str">
        <f>IF(OR(AB$23="",ISNA($B141)),"",IF(ISBLANK($B141),"",IFERROR(_xll.BDP(TICKER,"DEEP_MEASURE_PERIOD_BROKER_VALUE","DEEP_MEASURE_ID_OVERRIDE",$C141,"DEEP_BROKER_ID_OVERRIDE",AB$24,"DEEP_PERIOD_OVERRIDE",$H$19)*1,"")))</f>
        <v/>
      </c>
      <c r="AC141" t="str">
        <f>IF(OR(AC$23="",ISNA($B141)),"",IF(ISBLANK($B141),"",IFERROR(_xll.BDP(TICKER,"DEEP_MEASURE_PERIOD_BROKER_VALUE","DEEP_MEASURE_ID_OVERRIDE",$C141,"DEEP_BROKER_ID_OVERRIDE",AC$24,"DEEP_PERIOD_OVERRIDE",$H$19)*1,"")))</f>
        <v/>
      </c>
      <c r="AD141" t="str">
        <f>IF(OR(AD$23="",ISNA($B141)),"",IF(ISBLANK($B141),"",IFERROR(_xll.BDP(TICKER,"DEEP_MEASURE_PERIOD_BROKER_VALUE","DEEP_MEASURE_ID_OVERRIDE",$C141,"DEEP_BROKER_ID_OVERRIDE",AD$24,"DEEP_PERIOD_OVERRIDE",$H$19)*1,"")))</f>
        <v/>
      </c>
      <c r="AE141" t="str">
        <f>IF(OR(AE$23="",ISNA($B141)),"",IF(ISBLANK($B141),"",IFERROR(_xll.BDP(TICKER,"DEEP_MEASURE_PERIOD_BROKER_VALUE","DEEP_MEASURE_ID_OVERRIDE",$C141,"DEEP_BROKER_ID_OVERRIDE",AE$24,"DEEP_PERIOD_OVERRIDE",$H$19)*1,"")))</f>
        <v/>
      </c>
      <c r="AF141" t="str">
        <f>IF(OR(AF$23="",ISNA($B141)),"",IF(ISBLANK($B141),"",IFERROR(_xll.BDP(TICKER,"DEEP_MEASURE_PERIOD_BROKER_VALUE","DEEP_MEASURE_ID_OVERRIDE",$C141,"DEEP_BROKER_ID_OVERRIDE",AF$24,"DEEP_PERIOD_OVERRIDE",$H$19)*1,"")))</f>
        <v/>
      </c>
      <c r="AG141" t="str">
        <f>IF(OR(AG$23="",ISNA($B141)),"",IF(ISBLANK($B141),"",IFERROR(_xll.BDP(TICKER,"DEEP_MEASURE_PERIOD_BROKER_VALUE","DEEP_MEASURE_ID_OVERRIDE",$C141,"DEEP_BROKER_ID_OVERRIDE",AG$24,"DEEP_PERIOD_OVERRIDE",$H$19)*1,"")))</f>
        <v/>
      </c>
      <c r="AH141" t="str">
        <f>IF(OR(AH$23="",ISNA($B141)),"",IF(ISBLANK($B141),"",IFERROR(_xll.BDP(TICKER,"DEEP_MEASURE_PERIOD_BROKER_VALUE","DEEP_MEASURE_ID_OVERRIDE",$C141,"DEEP_BROKER_ID_OVERRIDE",AH$24,"DEEP_PERIOD_OVERRIDE",$H$19)*1,"")))</f>
        <v/>
      </c>
      <c r="AI141" t="str">
        <f>IF(OR(AI$23="",ISNA($B141)),"",IF(ISBLANK($B141),"",IFERROR(_xll.BDP(TICKER,"DEEP_MEASURE_PERIOD_BROKER_VALUE","DEEP_MEASURE_ID_OVERRIDE",$C141,"DEEP_BROKER_ID_OVERRIDE",AI$24,"DEEP_PERIOD_OVERRIDE",$H$19)*1,"")))</f>
        <v/>
      </c>
      <c r="AJ141" t="str">
        <f>IF(OR(AJ$23="",ISNA($B141)),"",IF(ISBLANK($B141),"",IFERROR(_xll.BDP(TICKER,"DEEP_MEASURE_PERIOD_BROKER_VALUE","DEEP_MEASURE_ID_OVERRIDE",$C141,"DEEP_BROKER_ID_OVERRIDE",AJ$24,"DEEP_PERIOD_OVERRIDE",$H$19)*1,"")))</f>
        <v/>
      </c>
      <c r="AK141" t="str">
        <f>IF(OR(AK$23="",ISNA($B141)),"",IF(ISBLANK($B141),"",IFERROR(_xll.BDP(TICKER,"DEEP_MEASURE_PERIOD_BROKER_VALUE","DEEP_MEASURE_ID_OVERRIDE",$C141,"DEEP_BROKER_ID_OVERRIDE",AK$24,"DEEP_PERIOD_OVERRIDE",$H$19)*1,"")))</f>
        <v/>
      </c>
      <c r="AL141" t="str">
        <f>IF(OR(AL$23="",ISNA($B141)),"",IF(ISBLANK($B141),"",IFERROR(_xll.BDP(TICKER,"DEEP_MEASURE_PERIOD_BROKER_VALUE","DEEP_MEASURE_ID_OVERRIDE",$C141,"DEEP_BROKER_ID_OVERRIDE",AL$24,"DEEP_PERIOD_OVERRIDE",$H$19)*1,"")))</f>
        <v/>
      </c>
      <c r="AM141" t="str">
        <f>IF(OR(AM$23="",ISNA($B141)),"",IF(ISBLANK($B141),"",IFERROR(_xll.BDP(TICKER,"DEEP_MEASURE_PERIOD_BROKER_VALUE","DEEP_MEASURE_ID_OVERRIDE",$C141,"DEEP_BROKER_ID_OVERRIDE",AM$24,"DEEP_PERIOD_OVERRIDE",$H$19)*1,"")))</f>
        <v/>
      </c>
      <c r="AN141" t="str">
        <f>IF(OR(AN$23="",ISNA($B141)),"",IF(ISBLANK($B141),"",IFERROR(_xll.BDP(TICKER,"DEEP_MEASURE_PERIOD_BROKER_VALUE","DEEP_MEASURE_ID_OVERRIDE",$C141,"DEEP_BROKER_ID_OVERRIDE",AN$24,"DEEP_PERIOD_OVERRIDE",$H$19)*1,"")))</f>
        <v/>
      </c>
      <c r="AO141" t="str">
        <f>IF(OR(AO$23="",ISNA($B141)),"",IF(ISBLANK($B141),"",IFERROR(_xll.BDP(TICKER,"DEEP_MEASURE_PERIOD_BROKER_VALUE","DEEP_MEASURE_ID_OVERRIDE",$C141,"DEEP_BROKER_ID_OVERRIDE",AO$24,"DEEP_PERIOD_OVERRIDE",$H$19)*1,"")))</f>
        <v/>
      </c>
      <c r="AP141" t="str">
        <f>IF(OR(AP$23="",ISNA($B141)),"",IF(ISBLANK($B141),"",IFERROR(_xll.BDP(TICKER,"DEEP_MEASURE_PERIOD_BROKER_VALUE","DEEP_MEASURE_ID_OVERRIDE",$C141,"DEEP_BROKER_ID_OVERRIDE",AP$24,"DEEP_PERIOD_OVERRIDE",$H$19)*1,"")))</f>
        <v/>
      </c>
      <c r="AQ141" t="str">
        <f>IF(OR(AQ$23="",ISNA($B141)),"",IF(ISBLANK($B141),"",IFERROR(_xll.BDP(TICKER,"DEEP_MEASURE_PERIOD_BROKER_VALUE","DEEP_MEASURE_ID_OVERRIDE",$C141,"DEEP_BROKER_ID_OVERRIDE",AQ$24,"DEEP_PERIOD_OVERRIDE",$H$19)*1,"")))</f>
        <v/>
      </c>
      <c r="AR141" t="str">
        <f>IF(OR(AR$23="",ISNA($B141)),"",IF(ISBLANK($B141),"",IFERROR(_xll.BDP(TICKER,"DEEP_MEASURE_PERIOD_BROKER_VALUE","DEEP_MEASURE_ID_OVERRIDE",$C141,"DEEP_BROKER_ID_OVERRIDE",AR$24,"DEEP_PERIOD_OVERRIDE",$H$19)*1,"")))</f>
        <v/>
      </c>
      <c r="AS141" t="str">
        <f>IF(OR(AS$23="",ISNA($B141)),"",IF(ISBLANK($B141),"",IFERROR(_xll.BDP(TICKER,"DEEP_MEASURE_PERIOD_BROKER_VALUE","DEEP_MEASURE_ID_OVERRIDE",$C141,"DEEP_BROKER_ID_OVERRIDE",AS$24,"DEEP_PERIOD_OVERRIDE",$H$19)*1,"")))</f>
        <v/>
      </c>
      <c r="AT141" t="str">
        <f>IF(OR(AT$23="",ISNA($B141)),"",IF(ISBLANK($B141),"",IFERROR(_xll.BDP(TICKER,"DEEP_MEASURE_PERIOD_BROKER_VALUE","DEEP_MEASURE_ID_OVERRIDE",$C141,"DEEP_BROKER_ID_OVERRIDE",AT$24,"DEEP_PERIOD_OVERRIDE",$H$19)*1,"")))</f>
        <v/>
      </c>
      <c r="AU141" t="str">
        <f>IF(OR(AU$23="",ISNA($B141)),"",IF(ISBLANK($B141),"",IFERROR(_xll.BDP(TICKER,"DEEP_MEASURE_PERIOD_BROKER_VALUE","DEEP_MEASURE_ID_OVERRIDE",$C141,"DEEP_BROKER_ID_OVERRIDE",AU$24,"DEEP_PERIOD_OVERRIDE",$H$19)*1,"")))</f>
        <v/>
      </c>
      <c r="AV141" t="str">
        <f>IF(OR(AV$23="",ISNA($B141)),"",IF(ISBLANK($B141),"",IFERROR(_xll.BDP(TICKER,"DEEP_MEASURE_PERIOD_BROKER_VALUE","DEEP_MEASURE_ID_OVERRIDE",$C141,"DEEP_BROKER_ID_OVERRIDE",AV$24,"DEEP_PERIOD_OVERRIDE",$H$19)*1,"")))</f>
        <v/>
      </c>
      <c r="AW141" t="str">
        <f>IF(OR(AW$23="",ISNA($B141)),"",IF(ISBLANK($B141),"",IFERROR(_xll.BDP(TICKER,"DEEP_MEASURE_PERIOD_BROKER_VALUE","DEEP_MEASURE_ID_OVERRIDE",$C141,"DEEP_BROKER_ID_OVERRIDE",AW$24,"DEEP_PERIOD_OVERRIDE",$H$19)*1,"")))</f>
        <v/>
      </c>
      <c r="AX141" t="str">
        <f>IF(OR(AX$23="",ISNA($B141)),"",IF(ISBLANK($B141),"",IFERROR(_xll.BDP(TICKER,"DEEP_MEASURE_PERIOD_BROKER_VALUE","DEEP_MEASURE_ID_OVERRIDE",$C141,"DEEP_BROKER_ID_OVERRIDE",AX$24,"DEEP_PERIOD_OVERRIDE",$H$19)*1,"")))</f>
        <v/>
      </c>
      <c r="AY141" t="str">
        <f>IF(OR(AY$23="",ISNA($B141)),"",IF(ISBLANK($B141),"",IFERROR(_xll.BDP(TICKER,"DEEP_MEASURE_PERIOD_BROKER_VALUE","DEEP_MEASURE_ID_OVERRIDE",$C141,"DEEP_BROKER_ID_OVERRIDE",AY$24,"DEEP_PERIOD_OVERRIDE",$H$19)*1,"")))</f>
        <v/>
      </c>
      <c r="AZ141" t="str">
        <f>IF(OR(AZ$23="",ISNA($B141)),"",IF(ISBLANK($B141),"",IFERROR(_xll.BDP(TICKER,"DEEP_MEASURE_PERIOD_BROKER_VALUE","DEEP_MEASURE_ID_OVERRIDE",$C141,"DEEP_BROKER_ID_OVERRIDE",AZ$24,"DEEP_PERIOD_OVERRIDE",$H$19)*1,"")))</f>
        <v/>
      </c>
      <c r="BA141" t="str">
        <f>IF(OR(BA$23="",ISNA($B141)),"",IF(ISBLANK($B141),"",IFERROR(_xll.BDP(TICKER,"DEEP_MEASURE_PERIOD_BROKER_VALUE","DEEP_MEASURE_ID_OVERRIDE",$C141,"DEEP_BROKER_ID_OVERRIDE",BA$24,"DEEP_PERIOD_OVERRIDE",$H$19)*1,"")))</f>
        <v/>
      </c>
      <c r="BB141" t="str">
        <f>IF(OR(BB$23="",ISNA($B141)),"",IF(ISBLANK($B141),"",IFERROR(_xll.BDP(TICKER,"DEEP_MEASURE_PERIOD_BROKER_VALUE","DEEP_MEASURE_ID_OVERRIDE",$C141,"DEEP_BROKER_ID_OVERRIDE",BB$24,"DEEP_PERIOD_OVERRIDE",$H$19)*1,"")))</f>
        <v/>
      </c>
      <c r="BC141" t="str">
        <f>IF(OR(BC$23="",ISNA($B141)),"",IF(ISBLANK($B141),"",IFERROR(_xll.BDP(TICKER,"DEEP_MEASURE_PERIOD_BROKER_VALUE","DEEP_MEASURE_ID_OVERRIDE",$C141,"DEEP_BROKER_ID_OVERRIDE",BC$24,"DEEP_PERIOD_OVERRIDE",$H$19)*1,"")))</f>
        <v/>
      </c>
      <c r="BD141" t="str">
        <f>IF(OR(BD$23="",ISNA($B141)),"",IF(ISBLANK($B141),"",IFERROR(_xll.BDP(TICKER,"DEEP_MEASURE_PERIOD_BROKER_VALUE","DEEP_MEASURE_ID_OVERRIDE",$C141,"DEEP_BROKER_ID_OVERRIDE",BD$24,"DEEP_PERIOD_OVERRIDE",$H$19)*1,"")))</f>
        <v/>
      </c>
      <c r="BE141" t="str">
        <f>IF(OR(BE$23="",ISNA($B141)),"",IF(ISBLANK($B141),"",IFERROR(_xll.BDP(TICKER,"DEEP_MEASURE_PERIOD_BROKER_VALUE","DEEP_MEASURE_ID_OVERRIDE",$C141,"DEEP_BROKER_ID_OVERRIDE",BE$24,"DEEP_PERIOD_OVERRIDE",$H$19)*1,"")))</f>
        <v/>
      </c>
      <c r="BF141" t="str">
        <f>IF(OR(BF$23="",ISNA($B141)),"",IF(ISBLANK($B141),"",IFERROR(_xll.BDP(TICKER,"DEEP_MEASURE_PERIOD_BROKER_VALUE","DEEP_MEASURE_ID_OVERRIDE",$C141,"DEEP_BROKER_ID_OVERRIDE",BF$24,"DEEP_PERIOD_OVERRIDE",$H$19)*1,"")))</f>
        <v/>
      </c>
      <c r="BG141" t="str">
        <f>IF(OR(BG$23="",ISNA($B141)),"",IF(ISBLANK($B141),"",IFERROR(_xll.BDP(TICKER,"DEEP_MEASURE_PERIOD_BROKER_VALUE","DEEP_MEASURE_ID_OVERRIDE",$C141,"DEEP_BROKER_ID_OVERRIDE",BG$24,"DEEP_PERIOD_OVERRIDE",$H$19)*1,"")))</f>
        <v/>
      </c>
      <c r="BH141" t="str">
        <f>IF(OR(BH$23="",ISNA($B141)),"",IF(ISBLANK($B141),"",IFERROR(_xll.BDP(TICKER,"DEEP_MEASURE_PERIOD_BROKER_VALUE","DEEP_MEASURE_ID_OVERRIDE",$C141,"DEEP_BROKER_ID_OVERRIDE",BH$24,"DEEP_PERIOD_OVERRIDE",$H$19)*1,"")))</f>
        <v/>
      </c>
      <c r="BI141" t="str">
        <f>IF(OR(BI$23="",ISNA($B141)),"",IF(ISBLANK($B141),"",IFERROR(_xll.BDP(TICKER,"DEEP_MEASURE_PERIOD_BROKER_VALUE","DEEP_MEASURE_ID_OVERRIDE",$C141,"DEEP_BROKER_ID_OVERRIDE",BI$24,"DEEP_PERIOD_OVERRIDE",$H$19)*1,"")))</f>
        <v/>
      </c>
      <c r="BJ141" t="str">
        <f>IF(OR(BJ$23="",ISNA($B141)),"",IF(ISBLANK($B141),"",IFERROR(_xll.BDP(TICKER,"DEEP_MEASURE_PERIOD_BROKER_VALUE","DEEP_MEASURE_ID_OVERRIDE",$C141,"DEEP_BROKER_ID_OVERRIDE",BJ$24,"DEEP_PERIOD_OVERRIDE",$H$19)*1,"")))</f>
        <v/>
      </c>
      <c r="BK141" t="str">
        <f>IF(OR(BK$23="",ISNA($B141)),"",IF(ISBLANK($B141),"",IFERROR(_xll.BDP(TICKER,"DEEP_MEASURE_PERIOD_BROKER_VALUE","DEEP_MEASURE_ID_OVERRIDE",$C141,"DEEP_BROKER_ID_OVERRIDE",BK$24,"DEEP_PERIOD_OVERRIDE",$H$19)*1,"")))</f>
        <v/>
      </c>
      <c r="BL141" t="str">
        <f>IF(OR(BL$23="",ISNA($B141)),"",IF(ISBLANK($B141),"",IFERROR(_xll.BDP(TICKER,"DEEP_MEASURE_PERIOD_BROKER_VALUE","DEEP_MEASURE_ID_OVERRIDE",$C141,"DEEP_BROKER_ID_OVERRIDE",BL$24,"DEEP_PERIOD_OVERRIDE",$H$19)*1,"")))</f>
        <v/>
      </c>
      <c r="BM141" t="str">
        <f>IF(OR(BM$23="",ISNA($B141)),"",IF(ISBLANK($B141),"",IFERROR(_xll.BDP(TICKER,"DEEP_MEASURE_PERIOD_BROKER_VALUE","DEEP_MEASURE_ID_OVERRIDE",$C141,"DEEP_BROKER_ID_OVERRIDE",BM$24,"DEEP_PERIOD_OVERRIDE",$H$19)*1,"")))</f>
        <v/>
      </c>
      <c r="BN141" t="str">
        <f>IF(OR(BN$23="",ISNA($B141)),"",IF(ISBLANK($B141),"",IFERROR(_xll.BDP(TICKER,"DEEP_MEASURE_PERIOD_BROKER_VALUE","DEEP_MEASURE_ID_OVERRIDE",$C141,"DEEP_BROKER_ID_OVERRIDE",BN$24,"DEEP_PERIOD_OVERRIDE",$H$19)*1,"")))</f>
        <v/>
      </c>
      <c r="BO141" t="str">
        <f>IF(OR(BO$23="",ISNA($B141)),"",IF(ISBLANK($B141),"",IFERROR(_xll.BDP(TICKER,"DEEP_MEASURE_PERIOD_BROKER_VALUE","DEEP_MEASURE_ID_OVERRIDE",$C141,"DEEP_BROKER_ID_OVERRIDE",BO$24,"DEEP_PERIOD_OVERRIDE",$H$19)*1,"")))</f>
        <v/>
      </c>
      <c r="BP141" t="str">
        <f>IF(OR(BP$23="",ISNA($B141)),"",IF(ISBLANK($B141),"",IFERROR(_xll.BDP(TICKER,"DEEP_MEASURE_PERIOD_BROKER_VALUE","DEEP_MEASURE_ID_OVERRIDE",$C141,"DEEP_BROKER_ID_OVERRIDE",BP$24,"DEEP_PERIOD_OVERRIDE",$H$19)*1,"")))</f>
        <v/>
      </c>
      <c r="BQ141" t="str">
        <f>IF(OR(BQ$23="",ISNA($B141)),"",IF(ISBLANK($B141),"",IFERROR(_xll.BDP(TICKER,"DEEP_MEASURE_PERIOD_BROKER_VALUE","DEEP_MEASURE_ID_OVERRIDE",$C141,"DEEP_BROKER_ID_OVERRIDE",BQ$24,"DEEP_PERIOD_OVERRIDE",$H$19)*1,"")))</f>
        <v/>
      </c>
      <c r="BR141" t="str">
        <f>IF(OR(BR$23="",ISNA($B141)),"",IF(ISBLANK($B141),"",IFERROR(_xll.BDP(TICKER,"DEEP_MEASURE_PERIOD_BROKER_VALUE","DEEP_MEASURE_ID_OVERRIDE",$C141,"DEEP_BROKER_ID_OVERRIDE",BR$24,"DEEP_PERIOD_OVERRIDE",$H$19)*1,"")))</f>
        <v/>
      </c>
      <c r="BS141" t="str">
        <f>IF(OR(BS$23="",ISNA($B141)),"",IF(ISBLANK($B141),"",IFERROR(_xll.BDP(TICKER,"DEEP_MEASURE_PERIOD_BROKER_VALUE","DEEP_MEASURE_ID_OVERRIDE",$C141,"DEEP_BROKER_ID_OVERRIDE",BS$24,"DEEP_PERIOD_OVERRIDE",$H$19)*1,"")))</f>
        <v/>
      </c>
      <c r="BT141" t="str">
        <f>IF(OR(BT$23="",ISNA($B141)),"",IF(ISBLANK($B141),"",IFERROR(_xll.BDP(TICKER,"DEEP_MEASURE_PERIOD_BROKER_VALUE","DEEP_MEASURE_ID_OVERRIDE",$C141,"DEEP_BROKER_ID_OVERRIDE",BT$24,"DEEP_PERIOD_OVERRIDE",$H$19)*1,"")))</f>
        <v/>
      </c>
      <c r="BU141" t="str">
        <f>IF(OR(BU$23="",ISNA($B141)),"",IF(ISBLANK($B141),"",IFERROR(_xll.BDP(TICKER,"DEEP_MEASURE_PERIOD_BROKER_VALUE","DEEP_MEASURE_ID_OVERRIDE",$C141,"DEEP_BROKER_ID_OVERRIDE",BU$24,"DEEP_PERIOD_OVERRIDE",$H$19)*1,"")))</f>
        <v/>
      </c>
      <c r="BV141" t="str">
        <f>IF(OR(BV$23="",ISNA($B141)),"",IF(ISBLANK($B141),"",IFERROR(_xll.BDP(TICKER,"DEEP_MEASURE_PERIOD_BROKER_VALUE","DEEP_MEASURE_ID_OVERRIDE",$C141,"DEEP_BROKER_ID_OVERRIDE",BV$24,"DEEP_PERIOD_OVERRIDE",$H$19)*1,"")))</f>
        <v/>
      </c>
      <c r="BW141" t="str">
        <f>IF(OR(BW$23="",ISNA($B141)),"",IF(ISBLANK($B141),"",IFERROR(_xll.BDP(TICKER,"DEEP_MEASURE_PERIOD_BROKER_VALUE","DEEP_MEASURE_ID_OVERRIDE",$C141,"DEEP_BROKER_ID_OVERRIDE",BW$24,"DEEP_PERIOD_OVERRIDE",$H$19)*1,"")))</f>
        <v/>
      </c>
      <c r="BX141" t="str">
        <f>IF(OR(BX$23="",ISNA($B141)),"",IF(ISBLANK($B141),"",IFERROR(_xll.BDP(TICKER,"DEEP_MEASURE_PERIOD_BROKER_VALUE","DEEP_MEASURE_ID_OVERRIDE",$C141,"DEEP_BROKER_ID_OVERRIDE",BX$24,"DEEP_PERIOD_OVERRIDE",$H$19)*1,"")))</f>
        <v/>
      </c>
      <c r="BY141" t="str">
        <f>IF(OR(BY$23="",ISNA($B141)),"",IF(ISBLANK($B141),"",IFERROR(_xll.BDP(TICKER,"DEEP_MEASURE_PERIOD_BROKER_VALUE","DEEP_MEASURE_ID_OVERRIDE",$C141,"DEEP_BROKER_ID_OVERRIDE",BY$24,"DEEP_PERIOD_OVERRIDE",$H$19)*1,"")))</f>
        <v/>
      </c>
      <c r="BZ141" t="str">
        <f>IF(OR(BZ$23="",ISNA($B141)),"",IF(ISBLANK($B141),"",IFERROR(_xll.BDP(TICKER,"DEEP_MEASURE_PERIOD_BROKER_VALUE","DEEP_MEASURE_ID_OVERRIDE",$C141,"DEEP_BROKER_ID_OVERRIDE",BZ$24,"DEEP_PERIOD_OVERRIDE",$H$19)*1,"")))</f>
        <v/>
      </c>
    </row>
    <row r="142" spans="2:78" x14ac:dyDescent="0.25">
      <c r="B142" t="s">
        <v>172</v>
      </c>
      <c r="C142">
        <v>352</v>
      </c>
      <c r="H142" t="str">
        <f t="shared" si="2"/>
        <v>Net Income</v>
      </c>
      <c r="I142" t="str">
        <f>IF(OR(I$23="",ISNA($B142)),"",IF(ISBLANK($B142),"",IFERROR(_xll.BDP(TICKER,"DEEP_MEASURE_PERIOD_BROKER_VALUE","DEEP_MEASURE_ID_OVERRIDE",$C142,"DEEP_PERIOD_OVERRIDE",$H$19)*1,"")))</f>
        <v/>
      </c>
      <c r="J142" t="e">
        <f>IF(OR(J$23="",ISNA($B142)),"",IF(ISBLANK($B142),"",IFERROR(_xll.BDP(TICKER,"DEEP_MEASURE_PERIOD_BROKER_VALUE","DEEP_MEASURE_ID_OVERRIDE",$C142,"DEEP_BROKER_ID_OVERRIDE",J$24,"DEEP_PERIOD_OVERRIDE",$H$19)*1,"")))</f>
        <v>#REF!</v>
      </c>
      <c r="K142" t="str">
        <f>IF(OR(K$23="",ISNA($B142)),"",IF(ISBLANK($B142),"",IFERROR(_xll.BDP(TICKER,"DEEP_MEASURE_PERIOD_BROKER_VALUE","DEEP_MEASURE_ID_OVERRIDE",$C142,"DEEP_BROKER_ID_OVERRIDE",K$24,"DEEP_PERIOD_OVERRIDE",$H$19)*1,"")))</f>
        <v/>
      </c>
      <c r="L142" t="str">
        <f>IF(OR(L$23="",ISNA($B142)),"",IF(ISBLANK($B142),"",IFERROR(_xll.BDP(TICKER,"DEEP_MEASURE_PERIOD_BROKER_VALUE","DEEP_MEASURE_ID_OVERRIDE",$C142,"DEEP_BROKER_ID_OVERRIDE",L$24,"DEEP_PERIOD_OVERRIDE",$H$19)*1,"")))</f>
        <v/>
      </c>
      <c r="M142" t="str">
        <f>IF(OR(M$23="",ISNA($B142)),"",IF(ISBLANK($B142),"",IFERROR(_xll.BDP(TICKER,"DEEP_MEASURE_PERIOD_BROKER_VALUE","DEEP_MEASURE_ID_OVERRIDE",$C142,"DEEP_BROKER_ID_OVERRIDE",M$24,"DEEP_PERIOD_OVERRIDE",$H$19)*1,"")))</f>
        <v/>
      </c>
      <c r="N142" t="str">
        <f>IF(OR(N$23="",ISNA($B142)),"",IF(ISBLANK($B142),"",IFERROR(_xll.BDP(TICKER,"DEEP_MEASURE_PERIOD_BROKER_VALUE","DEEP_MEASURE_ID_OVERRIDE",$C142,"DEEP_BROKER_ID_OVERRIDE",N$24,"DEEP_PERIOD_OVERRIDE",$H$19)*1,"")))</f>
        <v/>
      </c>
      <c r="O142" t="str">
        <f>IF(OR(O$23="",ISNA($B142)),"",IF(ISBLANK($B142),"",IFERROR(_xll.BDP(TICKER,"DEEP_MEASURE_PERIOD_BROKER_VALUE","DEEP_MEASURE_ID_OVERRIDE",$C142,"DEEP_BROKER_ID_OVERRIDE",O$24,"DEEP_PERIOD_OVERRIDE",$H$19)*1,"")))</f>
        <v/>
      </c>
      <c r="P142" t="str">
        <f>IF(OR(P$23="",ISNA($B142)),"",IF(ISBLANK($B142),"",IFERROR(_xll.BDP(TICKER,"DEEP_MEASURE_PERIOD_BROKER_VALUE","DEEP_MEASURE_ID_OVERRIDE",$C142,"DEEP_BROKER_ID_OVERRIDE",P$24,"DEEP_PERIOD_OVERRIDE",$H$19)*1,"")))</f>
        <v/>
      </c>
      <c r="Q142" t="str">
        <f>IF(OR(Q$23="",ISNA($B142)),"",IF(ISBLANK($B142),"",IFERROR(_xll.BDP(TICKER,"DEEP_MEASURE_PERIOD_BROKER_VALUE","DEEP_MEASURE_ID_OVERRIDE",$C142,"DEEP_BROKER_ID_OVERRIDE",Q$24,"DEEP_PERIOD_OVERRIDE",$H$19)*1,"")))</f>
        <v/>
      </c>
      <c r="R142" t="str">
        <f>IF(OR(R$23="",ISNA($B142)),"",IF(ISBLANK($B142),"",IFERROR(_xll.BDP(TICKER,"DEEP_MEASURE_PERIOD_BROKER_VALUE","DEEP_MEASURE_ID_OVERRIDE",$C142,"DEEP_BROKER_ID_OVERRIDE",R$24,"DEEP_PERIOD_OVERRIDE",$H$19)*1,"")))</f>
        <v/>
      </c>
      <c r="S142" t="str">
        <f>IF(OR(S$23="",ISNA($B142)),"",IF(ISBLANK($B142),"",IFERROR(_xll.BDP(TICKER,"DEEP_MEASURE_PERIOD_BROKER_VALUE","DEEP_MEASURE_ID_OVERRIDE",$C142,"DEEP_BROKER_ID_OVERRIDE",S$24,"DEEP_PERIOD_OVERRIDE",$H$19)*1,"")))</f>
        <v/>
      </c>
      <c r="T142" t="str">
        <f>IF(OR(T$23="",ISNA($B142)),"",IF(ISBLANK($B142),"",IFERROR(_xll.BDP(TICKER,"DEEP_MEASURE_PERIOD_BROKER_VALUE","DEEP_MEASURE_ID_OVERRIDE",$C142,"DEEP_BROKER_ID_OVERRIDE",T$24,"DEEP_PERIOD_OVERRIDE",$H$19)*1,"")))</f>
        <v/>
      </c>
      <c r="U142" t="str">
        <f>IF(OR(U$23="",ISNA($B142)),"",IF(ISBLANK($B142),"",IFERROR(_xll.BDP(TICKER,"DEEP_MEASURE_PERIOD_BROKER_VALUE","DEEP_MEASURE_ID_OVERRIDE",$C142,"DEEP_BROKER_ID_OVERRIDE",U$24,"DEEP_PERIOD_OVERRIDE",$H$19)*1,"")))</f>
        <v/>
      </c>
      <c r="V142" t="str">
        <f>IF(OR(V$23="",ISNA($B142)),"",IF(ISBLANK($B142),"",IFERROR(_xll.BDP(TICKER,"DEEP_MEASURE_PERIOD_BROKER_VALUE","DEEP_MEASURE_ID_OVERRIDE",$C142,"DEEP_BROKER_ID_OVERRIDE",V$24,"DEEP_PERIOD_OVERRIDE",$H$19)*1,"")))</f>
        <v/>
      </c>
      <c r="W142" t="str">
        <f>IF(OR(W$23="",ISNA($B142)),"",IF(ISBLANK($B142),"",IFERROR(_xll.BDP(TICKER,"DEEP_MEASURE_PERIOD_BROKER_VALUE","DEEP_MEASURE_ID_OVERRIDE",$C142,"DEEP_BROKER_ID_OVERRIDE",W$24,"DEEP_PERIOD_OVERRIDE",$H$19)*1,"")))</f>
        <v/>
      </c>
      <c r="X142" t="str">
        <f>IF(OR(X$23="",ISNA($B142)),"",IF(ISBLANK($B142),"",IFERROR(_xll.BDP(TICKER,"DEEP_MEASURE_PERIOD_BROKER_VALUE","DEEP_MEASURE_ID_OVERRIDE",$C142,"DEEP_BROKER_ID_OVERRIDE",X$24,"DEEP_PERIOD_OVERRIDE",$H$19)*1,"")))</f>
        <v/>
      </c>
      <c r="Y142" t="str">
        <f>IF(OR(Y$23="",ISNA($B142)),"",IF(ISBLANK($B142),"",IFERROR(_xll.BDP(TICKER,"DEEP_MEASURE_PERIOD_BROKER_VALUE","DEEP_MEASURE_ID_OVERRIDE",$C142,"DEEP_BROKER_ID_OVERRIDE",Y$24,"DEEP_PERIOD_OVERRIDE",$H$19)*1,"")))</f>
        <v/>
      </c>
      <c r="Z142" t="str">
        <f>IF(OR(Z$23="",ISNA($B142)),"",IF(ISBLANK($B142),"",IFERROR(_xll.BDP(TICKER,"DEEP_MEASURE_PERIOD_BROKER_VALUE","DEEP_MEASURE_ID_OVERRIDE",$C142,"DEEP_BROKER_ID_OVERRIDE",Z$24,"DEEP_PERIOD_OVERRIDE",$H$19)*1,"")))</f>
        <v/>
      </c>
      <c r="AA142" t="str">
        <f>IF(OR(AA$23="",ISNA($B142)),"",IF(ISBLANK($B142),"",IFERROR(_xll.BDP(TICKER,"DEEP_MEASURE_PERIOD_BROKER_VALUE","DEEP_MEASURE_ID_OVERRIDE",$C142,"DEEP_BROKER_ID_OVERRIDE",AA$24,"DEEP_PERIOD_OVERRIDE",$H$19)*1,"")))</f>
        <v/>
      </c>
      <c r="AB142" t="str">
        <f>IF(OR(AB$23="",ISNA($B142)),"",IF(ISBLANK($B142),"",IFERROR(_xll.BDP(TICKER,"DEEP_MEASURE_PERIOD_BROKER_VALUE","DEEP_MEASURE_ID_OVERRIDE",$C142,"DEEP_BROKER_ID_OVERRIDE",AB$24,"DEEP_PERIOD_OVERRIDE",$H$19)*1,"")))</f>
        <v/>
      </c>
      <c r="AC142" t="str">
        <f>IF(OR(AC$23="",ISNA($B142)),"",IF(ISBLANK($B142),"",IFERROR(_xll.BDP(TICKER,"DEEP_MEASURE_PERIOD_BROKER_VALUE","DEEP_MEASURE_ID_OVERRIDE",$C142,"DEEP_BROKER_ID_OVERRIDE",AC$24,"DEEP_PERIOD_OVERRIDE",$H$19)*1,"")))</f>
        <v/>
      </c>
      <c r="AD142" t="str">
        <f>IF(OR(AD$23="",ISNA($B142)),"",IF(ISBLANK($B142),"",IFERROR(_xll.BDP(TICKER,"DEEP_MEASURE_PERIOD_BROKER_VALUE","DEEP_MEASURE_ID_OVERRIDE",$C142,"DEEP_BROKER_ID_OVERRIDE",AD$24,"DEEP_PERIOD_OVERRIDE",$H$19)*1,"")))</f>
        <v/>
      </c>
      <c r="AE142" t="str">
        <f>IF(OR(AE$23="",ISNA($B142)),"",IF(ISBLANK($B142),"",IFERROR(_xll.BDP(TICKER,"DEEP_MEASURE_PERIOD_BROKER_VALUE","DEEP_MEASURE_ID_OVERRIDE",$C142,"DEEP_BROKER_ID_OVERRIDE",AE$24,"DEEP_PERIOD_OVERRIDE",$H$19)*1,"")))</f>
        <v/>
      </c>
      <c r="AF142" t="str">
        <f>IF(OR(AF$23="",ISNA($B142)),"",IF(ISBLANK($B142),"",IFERROR(_xll.BDP(TICKER,"DEEP_MEASURE_PERIOD_BROKER_VALUE","DEEP_MEASURE_ID_OVERRIDE",$C142,"DEEP_BROKER_ID_OVERRIDE",AF$24,"DEEP_PERIOD_OVERRIDE",$H$19)*1,"")))</f>
        <v/>
      </c>
      <c r="AG142" t="str">
        <f>IF(OR(AG$23="",ISNA($B142)),"",IF(ISBLANK($B142),"",IFERROR(_xll.BDP(TICKER,"DEEP_MEASURE_PERIOD_BROKER_VALUE","DEEP_MEASURE_ID_OVERRIDE",$C142,"DEEP_BROKER_ID_OVERRIDE",AG$24,"DEEP_PERIOD_OVERRIDE",$H$19)*1,"")))</f>
        <v/>
      </c>
      <c r="AH142" t="str">
        <f>IF(OR(AH$23="",ISNA($B142)),"",IF(ISBLANK($B142),"",IFERROR(_xll.BDP(TICKER,"DEEP_MEASURE_PERIOD_BROKER_VALUE","DEEP_MEASURE_ID_OVERRIDE",$C142,"DEEP_BROKER_ID_OVERRIDE",AH$24,"DEEP_PERIOD_OVERRIDE",$H$19)*1,"")))</f>
        <v/>
      </c>
      <c r="AI142" t="str">
        <f>IF(OR(AI$23="",ISNA($B142)),"",IF(ISBLANK($B142),"",IFERROR(_xll.BDP(TICKER,"DEEP_MEASURE_PERIOD_BROKER_VALUE","DEEP_MEASURE_ID_OVERRIDE",$C142,"DEEP_BROKER_ID_OVERRIDE",AI$24,"DEEP_PERIOD_OVERRIDE",$H$19)*1,"")))</f>
        <v/>
      </c>
      <c r="AJ142" t="str">
        <f>IF(OR(AJ$23="",ISNA($B142)),"",IF(ISBLANK($B142),"",IFERROR(_xll.BDP(TICKER,"DEEP_MEASURE_PERIOD_BROKER_VALUE","DEEP_MEASURE_ID_OVERRIDE",$C142,"DEEP_BROKER_ID_OVERRIDE",AJ$24,"DEEP_PERIOD_OVERRIDE",$H$19)*1,"")))</f>
        <v/>
      </c>
      <c r="AK142" t="str">
        <f>IF(OR(AK$23="",ISNA($B142)),"",IF(ISBLANK($B142),"",IFERROR(_xll.BDP(TICKER,"DEEP_MEASURE_PERIOD_BROKER_VALUE","DEEP_MEASURE_ID_OVERRIDE",$C142,"DEEP_BROKER_ID_OVERRIDE",AK$24,"DEEP_PERIOD_OVERRIDE",$H$19)*1,"")))</f>
        <v/>
      </c>
      <c r="AL142" t="str">
        <f>IF(OR(AL$23="",ISNA($B142)),"",IF(ISBLANK($B142),"",IFERROR(_xll.BDP(TICKER,"DEEP_MEASURE_PERIOD_BROKER_VALUE","DEEP_MEASURE_ID_OVERRIDE",$C142,"DEEP_BROKER_ID_OVERRIDE",AL$24,"DEEP_PERIOD_OVERRIDE",$H$19)*1,"")))</f>
        <v/>
      </c>
      <c r="AM142" t="str">
        <f>IF(OR(AM$23="",ISNA($B142)),"",IF(ISBLANK($B142),"",IFERROR(_xll.BDP(TICKER,"DEEP_MEASURE_PERIOD_BROKER_VALUE","DEEP_MEASURE_ID_OVERRIDE",$C142,"DEEP_BROKER_ID_OVERRIDE",AM$24,"DEEP_PERIOD_OVERRIDE",$H$19)*1,"")))</f>
        <v/>
      </c>
      <c r="AN142" t="str">
        <f>IF(OR(AN$23="",ISNA($B142)),"",IF(ISBLANK($B142),"",IFERROR(_xll.BDP(TICKER,"DEEP_MEASURE_PERIOD_BROKER_VALUE","DEEP_MEASURE_ID_OVERRIDE",$C142,"DEEP_BROKER_ID_OVERRIDE",AN$24,"DEEP_PERIOD_OVERRIDE",$H$19)*1,"")))</f>
        <v/>
      </c>
      <c r="AO142" t="str">
        <f>IF(OR(AO$23="",ISNA($B142)),"",IF(ISBLANK($B142),"",IFERROR(_xll.BDP(TICKER,"DEEP_MEASURE_PERIOD_BROKER_VALUE","DEEP_MEASURE_ID_OVERRIDE",$C142,"DEEP_BROKER_ID_OVERRIDE",AO$24,"DEEP_PERIOD_OVERRIDE",$H$19)*1,"")))</f>
        <v/>
      </c>
      <c r="AP142" t="str">
        <f>IF(OR(AP$23="",ISNA($B142)),"",IF(ISBLANK($B142),"",IFERROR(_xll.BDP(TICKER,"DEEP_MEASURE_PERIOD_BROKER_VALUE","DEEP_MEASURE_ID_OVERRIDE",$C142,"DEEP_BROKER_ID_OVERRIDE",AP$24,"DEEP_PERIOD_OVERRIDE",$H$19)*1,"")))</f>
        <v/>
      </c>
      <c r="AQ142" t="str">
        <f>IF(OR(AQ$23="",ISNA($B142)),"",IF(ISBLANK($B142),"",IFERROR(_xll.BDP(TICKER,"DEEP_MEASURE_PERIOD_BROKER_VALUE","DEEP_MEASURE_ID_OVERRIDE",$C142,"DEEP_BROKER_ID_OVERRIDE",AQ$24,"DEEP_PERIOD_OVERRIDE",$H$19)*1,"")))</f>
        <v/>
      </c>
      <c r="AR142" t="str">
        <f>IF(OR(AR$23="",ISNA($B142)),"",IF(ISBLANK($B142),"",IFERROR(_xll.BDP(TICKER,"DEEP_MEASURE_PERIOD_BROKER_VALUE","DEEP_MEASURE_ID_OVERRIDE",$C142,"DEEP_BROKER_ID_OVERRIDE",AR$24,"DEEP_PERIOD_OVERRIDE",$H$19)*1,"")))</f>
        <v/>
      </c>
      <c r="AS142" t="str">
        <f>IF(OR(AS$23="",ISNA($B142)),"",IF(ISBLANK($B142),"",IFERROR(_xll.BDP(TICKER,"DEEP_MEASURE_PERIOD_BROKER_VALUE","DEEP_MEASURE_ID_OVERRIDE",$C142,"DEEP_BROKER_ID_OVERRIDE",AS$24,"DEEP_PERIOD_OVERRIDE",$H$19)*1,"")))</f>
        <v/>
      </c>
      <c r="AT142" t="str">
        <f>IF(OR(AT$23="",ISNA($B142)),"",IF(ISBLANK($B142),"",IFERROR(_xll.BDP(TICKER,"DEEP_MEASURE_PERIOD_BROKER_VALUE","DEEP_MEASURE_ID_OVERRIDE",$C142,"DEEP_BROKER_ID_OVERRIDE",AT$24,"DEEP_PERIOD_OVERRIDE",$H$19)*1,"")))</f>
        <v/>
      </c>
      <c r="AU142" t="str">
        <f>IF(OR(AU$23="",ISNA($B142)),"",IF(ISBLANK($B142),"",IFERROR(_xll.BDP(TICKER,"DEEP_MEASURE_PERIOD_BROKER_VALUE","DEEP_MEASURE_ID_OVERRIDE",$C142,"DEEP_BROKER_ID_OVERRIDE",AU$24,"DEEP_PERIOD_OVERRIDE",$H$19)*1,"")))</f>
        <v/>
      </c>
      <c r="AV142" t="str">
        <f>IF(OR(AV$23="",ISNA($B142)),"",IF(ISBLANK($B142),"",IFERROR(_xll.BDP(TICKER,"DEEP_MEASURE_PERIOD_BROKER_VALUE","DEEP_MEASURE_ID_OVERRIDE",$C142,"DEEP_BROKER_ID_OVERRIDE",AV$24,"DEEP_PERIOD_OVERRIDE",$H$19)*1,"")))</f>
        <v/>
      </c>
      <c r="AW142" t="str">
        <f>IF(OR(AW$23="",ISNA($B142)),"",IF(ISBLANK($B142),"",IFERROR(_xll.BDP(TICKER,"DEEP_MEASURE_PERIOD_BROKER_VALUE","DEEP_MEASURE_ID_OVERRIDE",$C142,"DEEP_BROKER_ID_OVERRIDE",AW$24,"DEEP_PERIOD_OVERRIDE",$H$19)*1,"")))</f>
        <v/>
      </c>
      <c r="AX142" t="str">
        <f>IF(OR(AX$23="",ISNA($B142)),"",IF(ISBLANK($B142),"",IFERROR(_xll.BDP(TICKER,"DEEP_MEASURE_PERIOD_BROKER_VALUE","DEEP_MEASURE_ID_OVERRIDE",$C142,"DEEP_BROKER_ID_OVERRIDE",AX$24,"DEEP_PERIOD_OVERRIDE",$H$19)*1,"")))</f>
        <v/>
      </c>
      <c r="AY142" t="str">
        <f>IF(OR(AY$23="",ISNA($B142)),"",IF(ISBLANK($B142),"",IFERROR(_xll.BDP(TICKER,"DEEP_MEASURE_PERIOD_BROKER_VALUE","DEEP_MEASURE_ID_OVERRIDE",$C142,"DEEP_BROKER_ID_OVERRIDE",AY$24,"DEEP_PERIOD_OVERRIDE",$H$19)*1,"")))</f>
        <v/>
      </c>
      <c r="AZ142" t="str">
        <f>IF(OR(AZ$23="",ISNA($B142)),"",IF(ISBLANK($B142),"",IFERROR(_xll.BDP(TICKER,"DEEP_MEASURE_PERIOD_BROKER_VALUE","DEEP_MEASURE_ID_OVERRIDE",$C142,"DEEP_BROKER_ID_OVERRIDE",AZ$24,"DEEP_PERIOD_OVERRIDE",$H$19)*1,"")))</f>
        <v/>
      </c>
      <c r="BA142" t="str">
        <f>IF(OR(BA$23="",ISNA($B142)),"",IF(ISBLANK($B142),"",IFERROR(_xll.BDP(TICKER,"DEEP_MEASURE_PERIOD_BROKER_VALUE","DEEP_MEASURE_ID_OVERRIDE",$C142,"DEEP_BROKER_ID_OVERRIDE",BA$24,"DEEP_PERIOD_OVERRIDE",$H$19)*1,"")))</f>
        <v/>
      </c>
      <c r="BB142" t="str">
        <f>IF(OR(BB$23="",ISNA($B142)),"",IF(ISBLANK($B142),"",IFERROR(_xll.BDP(TICKER,"DEEP_MEASURE_PERIOD_BROKER_VALUE","DEEP_MEASURE_ID_OVERRIDE",$C142,"DEEP_BROKER_ID_OVERRIDE",BB$24,"DEEP_PERIOD_OVERRIDE",$H$19)*1,"")))</f>
        <v/>
      </c>
      <c r="BC142" t="str">
        <f>IF(OR(BC$23="",ISNA($B142)),"",IF(ISBLANK($B142),"",IFERROR(_xll.BDP(TICKER,"DEEP_MEASURE_PERIOD_BROKER_VALUE","DEEP_MEASURE_ID_OVERRIDE",$C142,"DEEP_BROKER_ID_OVERRIDE",BC$24,"DEEP_PERIOD_OVERRIDE",$H$19)*1,"")))</f>
        <v/>
      </c>
      <c r="BD142" t="str">
        <f>IF(OR(BD$23="",ISNA($B142)),"",IF(ISBLANK($B142),"",IFERROR(_xll.BDP(TICKER,"DEEP_MEASURE_PERIOD_BROKER_VALUE","DEEP_MEASURE_ID_OVERRIDE",$C142,"DEEP_BROKER_ID_OVERRIDE",BD$24,"DEEP_PERIOD_OVERRIDE",$H$19)*1,"")))</f>
        <v/>
      </c>
      <c r="BE142" t="str">
        <f>IF(OR(BE$23="",ISNA($B142)),"",IF(ISBLANK($B142),"",IFERROR(_xll.BDP(TICKER,"DEEP_MEASURE_PERIOD_BROKER_VALUE","DEEP_MEASURE_ID_OVERRIDE",$C142,"DEEP_BROKER_ID_OVERRIDE",BE$24,"DEEP_PERIOD_OVERRIDE",$H$19)*1,"")))</f>
        <v/>
      </c>
      <c r="BF142" t="str">
        <f>IF(OR(BF$23="",ISNA($B142)),"",IF(ISBLANK($B142),"",IFERROR(_xll.BDP(TICKER,"DEEP_MEASURE_PERIOD_BROKER_VALUE","DEEP_MEASURE_ID_OVERRIDE",$C142,"DEEP_BROKER_ID_OVERRIDE",BF$24,"DEEP_PERIOD_OVERRIDE",$H$19)*1,"")))</f>
        <v/>
      </c>
      <c r="BG142" t="str">
        <f>IF(OR(BG$23="",ISNA($B142)),"",IF(ISBLANK($B142),"",IFERROR(_xll.BDP(TICKER,"DEEP_MEASURE_PERIOD_BROKER_VALUE","DEEP_MEASURE_ID_OVERRIDE",$C142,"DEEP_BROKER_ID_OVERRIDE",BG$24,"DEEP_PERIOD_OVERRIDE",$H$19)*1,"")))</f>
        <v/>
      </c>
      <c r="BH142" t="str">
        <f>IF(OR(BH$23="",ISNA($B142)),"",IF(ISBLANK($B142),"",IFERROR(_xll.BDP(TICKER,"DEEP_MEASURE_PERIOD_BROKER_VALUE","DEEP_MEASURE_ID_OVERRIDE",$C142,"DEEP_BROKER_ID_OVERRIDE",BH$24,"DEEP_PERIOD_OVERRIDE",$H$19)*1,"")))</f>
        <v/>
      </c>
      <c r="BI142" t="str">
        <f>IF(OR(BI$23="",ISNA($B142)),"",IF(ISBLANK($B142),"",IFERROR(_xll.BDP(TICKER,"DEEP_MEASURE_PERIOD_BROKER_VALUE","DEEP_MEASURE_ID_OVERRIDE",$C142,"DEEP_BROKER_ID_OVERRIDE",BI$24,"DEEP_PERIOD_OVERRIDE",$H$19)*1,"")))</f>
        <v/>
      </c>
      <c r="BJ142" t="str">
        <f>IF(OR(BJ$23="",ISNA($B142)),"",IF(ISBLANK($B142),"",IFERROR(_xll.BDP(TICKER,"DEEP_MEASURE_PERIOD_BROKER_VALUE","DEEP_MEASURE_ID_OVERRIDE",$C142,"DEEP_BROKER_ID_OVERRIDE",BJ$24,"DEEP_PERIOD_OVERRIDE",$H$19)*1,"")))</f>
        <v/>
      </c>
      <c r="BK142" t="str">
        <f>IF(OR(BK$23="",ISNA($B142)),"",IF(ISBLANK($B142),"",IFERROR(_xll.BDP(TICKER,"DEEP_MEASURE_PERIOD_BROKER_VALUE","DEEP_MEASURE_ID_OVERRIDE",$C142,"DEEP_BROKER_ID_OVERRIDE",BK$24,"DEEP_PERIOD_OVERRIDE",$H$19)*1,"")))</f>
        <v/>
      </c>
      <c r="BL142" t="str">
        <f>IF(OR(BL$23="",ISNA($B142)),"",IF(ISBLANK($B142),"",IFERROR(_xll.BDP(TICKER,"DEEP_MEASURE_PERIOD_BROKER_VALUE","DEEP_MEASURE_ID_OVERRIDE",$C142,"DEEP_BROKER_ID_OVERRIDE",BL$24,"DEEP_PERIOD_OVERRIDE",$H$19)*1,"")))</f>
        <v/>
      </c>
      <c r="BM142" t="str">
        <f>IF(OR(BM$23="",ISNA($B142)),"",IF(ISBLANK($B142),"",IFERROR(_xll.BDP(TICKER,"DEEP_MEASURE_PERIOD_BROKER_VALUE","DEEP_MEASURE_ID_OVERRIDE",$C142,"DEEP_BROKER_ID_OVERRIDE",BM$24,"DEEP_PERIOD_OVERRIDE",$H$19)*1,"")))</f>
        <v/>
      </c>
      <c r="BN142" t="str">
        <f>IF(OR(BN$23="",ISNA($B142)),"",IF(ISBLANK($B142),"",IFERROR(_xll.BDP(TICKER,"DEEP_MEASURE_PERIOD_BROKER_VALUE","DEEP_MEASURE_ID_OVERRIDE",$C142,"DEEP_BROKER_ID_OVERRIDE",BN$24,"DEEP_PERIOD_OVERRIDE",$H$19)*1,"")))</f>
        <v/>
      </c>
      <c r="BO142" t="str">
        <f>IF(OR(BO$23="",ISNA($B142)),"",IF(ISBLANK($B142),"",IFERROR(_xll.BDP(TICKER,"DEEP_MEASURE_PERIOD_BROKER_VALUE","DEEP_MEASURE_ID_OVERRIDE",$C142,"DEEP_BROKER_ID_OVERRIDE",BO$24,"DEEP_PERIOD_OVERRIDE",$H$19)*1,"")))</f>
        <v/>
      </c>
      <c r="BP142" t="str">
        <f>IF(OR(BP$23="",ISNA($B142)),"",IF(ISBLANK($B142),"",IFERROR(_xll.BDP(TICKER,"DEEP_MEASURE_PERIOD_BROKER_VALUE","DEEP_MEASURE_ID_OVERRIDE",$C142,"DEEP_BROKER_ID_OVERRIDE",BP$24,"DEEP_PERIOD_OVERRIDE",$H$19)*1,"")))</f>
        <v/>
      </c>
      <c r="BQ142" t="str">
        <f>IF(OR(BQ$23="",ISNA($B142)),"",IF(ISBLANK($B142),"",IFERROR(_xll.BDP(TICKER,"DEEP_MEASURE_PERIOD_BROKER_VALUE","DEEP_MEASURE_ID_OVERRIDE",$C142,"DEEP_BROKER_ID_OVERRIDE",BQ$24,"DEEP_PERIOD_OVERRIDE",$H$19)*1,"")))</f>
        <v/>
      </c>
      <c r="BR142" t="str">
        <f>IF(OR(BR$23="",ISNA($B142)),"",IF(ISBLANK($B142),"",IFERROR(_xll.BDP(TICKER,"DEEP_MEASURE_PERIOD_BROKER_VALUE","DEEP_MEASURE_ID_OVERRIDE",$C142,"DEEP_BROKER_ID_OVERRIDE",BR$24,"DEEP_PERIOD_OVERRIDE",$H$19)*1,"")))</f>
        <v/>
      </c>
      <c r="BS142" t="str">
        <f>IF(OR(BS$23="",ISNA($B142)),"",IF(ISBLANK($B142),"",IFERROR(_xll.BDP(TICKER,"DEEP_MEASURE_PERIOD_BROKER_VALUE","DEEP_MEASURE_ID_OVERRIDE",$C142,"DEEP_BROKER_ID_OVERRIDE",BS$24,"DEEP_PERIOD_OVERRIDE",$H$19)*1,"")))</f>
        <v/>
      </c>
      <c r="BT142" t="str">
        <f>IF(OR(BT$23="",ISNA($B142)),"",IF(ISBLANK($B142),"",IFERROR(_xll.BDP(TICKER,"DEEP_MEASURE_PERIOD_BROKER_VALUE","DEEP_MEASURE_ID_OVERRIDE",$C142,"DEEP_BROKER_ID_OVERRIDE",BT$24,"DEEP_PERIOD_OVERRIDE",$H$19)*1,"")))</f>
        <v/>
      </c>
      <c r="BU142" t="str">
        <f>IF(OR(BU$23="",ISNA($B142)),"",IF(ISBLANK($B142),"",IFERROR(_xll.BDP(TICKER,"DEEP_MEASURE_PERIOD_BROKER_VALUE","DEEP_MEASURE_ID_OVERRIDE",$C142,"DEEP_BROKER_ID_OVERRIDE",BU$24,"DEEP_PERIOD_OVERRIDE",$H$19)*1,"")))</f>
        <v/>
      </c>
      <c r="BV142" t="str">
        <f>IF(OR(BV$23="",ISNA($B142)),"",IF(ISBLANK($B142),"",IFERROR(_xll.BDP(TICKER,"DEEP_MEASURE_PERIOD_BROKER_VALUE","DEEP_MEASURE_ID_OVERRIDE",$C142,"DEEP_BROKER_ID_OVERRIDE",BV$24,"DEEP_PERIOD_OVERRIDE",$H$19)*1,"")))</f>
        <v/>
      </c>
      <c r="BW142" t="str">
        <f>IF(OR(BW$23="",ISNA($B142)),"",IF(ISBLANK($B142),"",IFERROR(_xll.BDP(TICKER,"DEEP_MEASURE_PERIOD_BROKER_VALUE","DEEP_MEASURE_ID_OVERRIDE",$C142,"DEEP_BROKER_ID_OVERRIDE",BW$24,"DEEP_PERIOD_OVERRIDE",$H$19)*1,"")))</f>
        <v/>
      </c>
      <c r="BX142" t="str">
        <f>IF(OR(BX$23="",ISNA($B142)),"",IF(ISBLANK($B142),"",IFERROR(_xll.BDP(TICKER,"DEEP_MEASURE_PERIOD_BROKER_VALUE","DEEP_MEASURE_ID_OVERRIDE",$C142,"DEEP_BROKER_ID_OVERRIDE",BX$24,"DEEP_PERIOD_OVERRIDE",$H$19)*1,"")))</f>
        <v/>
      </c>
      <c r="BY142" t="str">
        <f>IF(OR(BY$23="",ISNA($B142)),"",IF(ISBLANK($B142),"",IFERROR(_xll.BDP(TICKER,"DEEP_MEASURE_PERIOD_BROKER_VALUE","DEEP_MEASURE_ID_OVERRIDE",$C142,"DEEP_BROKER_ID_OVERRIDE",BY$24,"DEEP_PERIOD_OVERRIDE",$H$19)*1,"")))</f>
        <v/>
      </c>
      <c r="BZ142" t="str">
        <f>IF(OR(BZ$23="",ISNA($B142)),"",IF(ISBLANK($B142),"",IFERROR(_xll.BDP(TICKER,"DEEP_MEASURE_PERIOD_BROKER_VALUE","DEEP_MEASURE_ID_OVERRIDE",$C142,"DEEP_BROKER_ID_OVERRIDE",BZ$24,"DEEP_PERIOD_OVERRIDE",$H$19)*1,"")))</f>
        <v/>
      </c>
    </row>
    <row r="143" spans="2:78" x14ac:dyDescent="0.25">
      <c r="B143" t="s">
        <v>173</v>
      </c>
      <c r="C143">
        <v>3630</v>
      </c>
      <c r="H143" t="str">
        <f t="shared" si="2"/>
        <v>Net Income &gt; Net Income Margin (%)</v>
      </c>
      <c r="I143" t="str">
        <f>IF(OR(I$23="",ISNA($B143)),"",IF(ISBLANK($B143),"",IFERROR(_xll.BDP(TICKER,"DEEP_MEASURE_PERIOD_BROKER_VALUE","DEEP_MEASURE_ID_OVERRIDE",$C143,"DEEP_PERIOD_OVERRIDE",$H$19)*1,"")))</f>
        <v/>
      </c>
      <c r="J143" t="e">
        <f>IF(OR(J$23="",ISNA($B143)),"",IF(ISBLANK($B143),"",IFERROR(_xll.BDP(TICKER,"DEEP_MEASURE_PERIOD_BROKER_VALUE","DEEP_MEASURE_ID_OVERRIDE",$C143,"DEEP_BROKER_ID_OVERRIDE",J$24,"DEEP_PERIOD_OVERRIDE",$H$19)*1,"")))</f>
        <v>#REF!</v>
      </c>
      <c r="K143" t="str">
        <f>IF(OR(K$23="",ISNA($B143)),"",IF(ISBLANK($B143),"",IFERROR(_xll.BDP(TICKER,"DEEP_MEASURE_PERIOD_BROKER_VALUE","DEEP_MEASURE_ID_OVERRIDE",$C143,"DEEP_BROKER_ID_OVERRIDE",K$24,"DEEP_PERIOD_OVERRIDE",$H$19)*1,"")))</f>
        <v/>
      </c>
      <c r="L143" t="str">
        <f>IF(OR(L$23="",ISNA($B143)),"",IF(ISBLANK($B143),"",IFERROR(_xll.BDP(TICKER,"DEEP_MEASURE_PERIOD_BROKER_VALUE","DEEP_MEASURE_ID_OVERRIDE",$C143,"DEEP_BROKER_ID_OVERRIDE",L$24,"DEEP_PERIOD_OVERRIDE",$H$19)*1,"")))</f>
        <v/>
      </c>
      <c r="M143" t="str">
        <f>IF(OR(M$23="",ISNA($B143)),"",IF(ISBLANK($B143),"",IFERROR(_xll.BDP(TICKER,"DEEP_MEASURE_PERIOD_BROKER_VALUE","DEEP_MEASURE_ID_OVERRIDE",$C143,"DEEP_BROKER_ID_OVERRIDE",M$24,"DEEP_PERIOD_OVERRIDE",$H$19)*1,"")))</f>
        <v/>
      </c>
      <c r="N143" t="str">
        <f>IF(OR(N$23="",ISNA($B143)),"",IF(ISBLANK($B143),"",IFERROR(_xll.BDP(TICKER,"DEEP_MEASURE_PERIOD_BROKER_VALUE","DEEP_MEASURE_ID_OVERRIDE",$C143,"DEEP_BROKER_ID_OVERRIDE",N$24,"DEEP_PERIOD_OVERRIDE",$H$19)*1,"")))</f>
        <v/>
      </c>
      <c r="O143" t="str">
        <f>IF(OR(O$23="",ISNA($B143)),"",IF(ISBLANK($B143),"",IFERROR(_xll.BDP(TICKER,"DEEP_MEASURE_PERIOD_BROKER_VALUE","DEEP_MEASURE_ID_OVERRIDE",$C143,"DEEP_BROKER_ID_OVERRIDE",O$24,"DEEP_PERIOD_OVERRIDE",$H$19)*1,"")))</f>
        <v/>
      </c>
      <c r="P143" t="str">
        <f>IF(OR(P$23="",ISNA($B143)),"",IF(ISBLANK($B143),"",IFERROR(_xll.BDP(TICKER,"DEEP_MEASURE_PERIOD_BROKER_VALUE","DEEP_MEASURE_ID_OVERRIDE",$C143,"DEEP_BROKER_ID_OVERRIDE",P$24,"DEEP_PERIOD_OVERRIDE",$H$19)*1,"")))</f>
        <v/>
      </c>
      <c r="Q143" t="str">
        <f>IF(OR(Q$23="",ISNA($B143)),"",IF(ISBLANK($B143),"",IFERROR(_xll.BDP(TICKER,"DEEP_MEASURE_PERIOD_BROKER_VALUE","DEEP_MEASURE_ID_OVERRIDE",$C143,"DEEP_BROKER_ID_OVERRIDE",Q$24,"DEEP_PERIOD_OVERRIDE",$H$19)*1,"")))</f>
        <v/>
      </c>
      <c r="R143" t="str">
        <f>IF(OR(R$23="",ISNA($B143)),"",IF(ISBLANK($B143),"",IFERROR(_xll.BDP(TICKER,"DEEP_MEASURE_PERIOD_BROKER_VALUE","DEEP_MEASURE_ID_OVERRIDE",$C143,"DEEP_BROKER_ID_OVERRIDE",R$24,"DEEP_PERIOD_OVERRIDE",$H$19)*1,"")))</f>
        <v/>
      </c>
      <c r="S143" t="str">
        <f>IF(OR(S$23="",ISNA($B143)),"",IF(ISBLANK($B143),"",IFERROR(_xll.BDP(TICKER,"DEEP_MEASURE_PERIOD_BROKER_VALUE","DEEP_MEASURE_ID_OVERRIDE",$C143,"DEEP_BROKER_ID_OVERRIDE",S$24,"DEEP_PERIOD_OVERRIDE",$H$19)*1,"")))</f>
        <v/>
      </c>
      <c r="T143" t="str">
        <f>IF(OR(T$23="",ISNA($B143)),"",IF(ISBLANK($B143),"",IFERROR(_xll.BDP(TICKER,"DEEP_MEASURE_PERIOD_BROKER_VALUE","DEEP_MEASURE_ID_OVERRIDE",$C143,"DEEP_BROKER_ID_OVERRIDE",T$24,"DEEP_PERIOD_OVERRIDE",$H$19)*1,"")))</f>
        <v/>
      </c>
      <c r="U143" t="str">
        <f>IF(OR(U$23="",ISNA($B143)),"",IF(ISBLANK($B143),"",IFERROR(_xll.BDP(TICKER,"DEEP_MEASURE_PERIOD_BROKER_VALUE","DEEP_MEASURE_ID_OVERRIDE",$C143,"DEEP_BROKER_ID_OVERRIDE",U$24,"DEEP_PERIOD_OVERRIDE",$H$19)*1,"")))</f>
        <v/>
      </c>
      <c r="V143" t="str">
        <f>IF(OR(V$23="",ISNA($B143)),"",IF(ISBLANK($B143),"",IFERROR(_xll.BDP(TICKER,"DEEP_MEASURE_PERIOD_BROKER_VALUE","DEEP_MEASURE_ID_OVERRIDE",$C143,"DEEP_BROKER_ID_OVERRIDE",V$24,"DEEP_PERIOD_OVERRIDE",$H$19)*1,"")))</f>
        <v/>
      </c>
      <c r="W143" t="str">
        <f>IF(OR(W$23="",ISNA($B143)),"",IF(ISBLANK($B143),"",IFERROR(_xll.BDP(TICKER,"DEEP_MEASURE_PERIOD_BROKER_VALUE","DEEP_MEASURE_ID_OVERRIDE",$C143,"DEEP_BROKER_ID_OVERRIDE",W$24,"DEEP_PERIOD_OVERRIDE",$H$19)*1,"")))</f>
        <v/>
      </c>
      <c r="X143" t="str">
        <f>IF(OR(X$23="",ISNA($B143)),"",IF(ISBLANK($B143),"",IFERROR(_xll.BDP(TICKER,"DEEP_MEASURE_PERIOD_BROKER_VALUE","DEEP_MEASURE_ID_OVERRIDE",$C143,"DEEP_BROKER_ID_OVERRIDE",X$24,"DEEP_PERIOD_OVERRIDE",$H$19)*1,"")))</f>
        <v/>
      </c>
      <c r="Y143" t="str">
        <f>IF(OR(Y$23="",ISNA($B143)),"",IF(ISBLANK($B143),"",IFERROR(_xll.BDP(TICKER,"DEEP_MEASURE_PERIOD_BROKER_VALUE","DEEP_MEASURE_ID_OVERRIDE",$C143,"DEEP_BROKER_ID_OVERRIDE",Y$24,"DEEP_PERIOD_OVERRIDE",$H$19)*1,"")))</f>
        <v/>
      </c>
      <c r="Z143" t="str">
        <f>IF(OR(Z$23="",ISNA($B143)),"",IF(ISBLANK($B143),"",IFERROR(_xll.BDP(TICKER,"DEEP_MEASURE_PERIOD_BROKER_VALUE","DEEP_MEASURE_ID_OVERRIDE",$C143,"DEEP_BROKER_ID_OVERRIDE",Z$24,"DEEP_PERIOD_OVERRIDE",$H$19)*1,"")))</f>
        <v/>
      </c>
      <c r="AA143" t="str">
        <f>IF(OR(AA$23="",ISNA($B143)),"",IF(ISBLANK($B143),"",IFERROR(_xll.BDP(TICKER,"DEEP_MEASURE_PERIOD_BROKER_VALUE","DEEP_MEASURE_ID_OVERRIDE",$C143,"DEEP_BROKER_ID_OVERRIDE",AA$24,"DEEP_PERIOD_OVERRIDE",$H$19)*1,"")))</f>
        <v/>
      </c>
      <c r="AB143" t="str">
        <f>IF(OR(AB$23="",ISNA($B143)),"",IF(ISBLANK($B143),"",IFERROR(_xll.BDP(TICKER,"DEEP_MEASURE_PERIOD_BROKER_VALUE","DEEP_MEASURE_ID_OVERRIDE",$C143,"DEEP_BROKER_ID_OVERRIDE",AB$24,"DEEP_PERIOD_OVERRIDE",$H$19)*1,"")))</f>
        <v/>
      </c>
      <c r="AC143" t="str">
        <f>IF(OR(AC$23="",ISNA($B143)),"",IF(ISBLANK($B143),"",IFERROR(_xll.BDP(TICKER,"DEEP_MEASURE_PERIOD_BROKER_VALUE","DEEP_MEASURE_ID_OVERRIDE",$C143,"DEEP_BROKER_ID_OVERRIDE",AC$24,"DEEP_PERIOD_OVERRIDE",$H$19)*1,"")))</f>
        <v/>
      </c>
      <c r="AD143" t="str">
        <f>IF(OR(AD$23="",ISNA($B143)),"",IF(ISBLANK($B143),"",IFERROR(_xll.BDP(TICKER,"DEEP_MEASURE_PERIOD_BROKER_VALUE","DEEP_MEASURE_ID_OVERRIDE",$C143,"DEEP_BROKER_ID_OVERRIDE",AD$24,"DEEP_PERIOD_OVERRIDE",$H$19)*1,"")))</f>
        <v/>
      </c>
      <c r="AE143" t="str">
        <f>IF(OR(AE$23="",ISNA($B143)),"",IF(ISBLANK($B143),"",IFERROR(_xll.BDP(TICKER,"DEEP_MEASURE_PERIOD_BROKER_VALUE","DEEP_MEASURE_ID_OVERRIDE",$C143,"DEEP_BROKER_ID_OVERRIDE",AE$24,"DEEP_PERIOD_OVERRIDE",$H$19)*1,"")))</f>
        <v/>
      </c>
      <c r="AF143" t="str">
        <f>IF(OR(AF$23="",ISNA($B143)),"",IF(ISBLANK($B143),"",IFERROR(_xll.BDP(TICKER,"DEEP_MEASURE_PERIOD_BROKER_VALUE","DEEP_MEASURE_ID_OVERRIDE",$C143,"DEEP_BROKER_ID_OVERRIDE",AF$24,"DEEP_PERIOD_OVERRIDE",$H$19)*1,"")))</f>
        <v/>
      </c>
      <c r="AG143" t="str">
        <f>IF(OR(AG$23="",ISNA($B143)),"",IF(ISBLANK($B143),"",IFERROR(_xll.BDP(TICKER,"DEEP_MEASURE_PERIOD_BROKER_VALUE","DEEP_MEASURE_ID_OVERRIDE",$C143,"DEEP_BROKER_ID_OVERRIDE",AG$24,"DEEP_PERIOD_OVERRIDE",$H$19)*1,"")))</f>
        <v/>
      </c>
      <c r="AH143" t="str">
        <f>IF(OR(AH$23="",ISNA($B143)),"",IF(ISBLANK($B143),"",IFERROR(_xll.BDP(TICKER,"DEEP_MEASURE_PERIOD_BROKER_VALUE","DEEP_MEASURE_ID_OVERRIDE",$C143,"DEEP_BROKER_ID_OVERRIDE",AH$24,"DEEP_PERIOD_OVERRIDE",$H$19)*1,"")))</f>
        <v/>
      </c>
      <c r="AI143" t="str">
        <f>IF(OR(AI$23="",ISNA($B143)),"",IF(ISBLANK($B143),"",IFERROR(_xll.BDP(TICKER,"DEEP_MEASURE_PERIOD_BROKER_VALUE","DEEP_MEASURE_ID_OVERRIDE",$C143,"DEEP_BROKER_ID_OVERRIDE",AI$24,"DEEP_PERIOD_OVERRIDE",$H$19)*1,"")))</f>
        <v/>
      </c>
      <c r="AJ143" t="str">
        <f>IF(OR(AJ$23="",ISNA($B143)),"",IF(ISBLANK($B143),"",IFERROR(_xll.BDP(TICKER,"DEEP_MEASURE_PERIOD_BROKER_VALUE","DEEP_MEASURE_ID_OVERRIDE",$C143,"DEEP_BROKER_ID_OVERRIDE",AJ$24,"DEEP_PERIOD_OVERRIDE",$H$19)*1,"")))</f>
        <v/>
      </c>
      <c r="AK143" t="str">
        <f>IF(OR(AK$23="",ISNA($B143)),"",IF(ISBLANK($B143),"",IFERROR(_xll.BDP(TICKER,"DEEP_MEASURE_PERIOD_BROKER_VALUE","DEEP_MEASURE_ID_OVERRIDE",$C143,"DEEP_BROKER_ID_OVERRIDE",AK$24,"DEEP_PERIOD_OVERRIDE",$H$19)*1,"")))</f>
        <v/>
      </c>
      <c r="AL143" t="str">
        <f>IF(OR(AL$23="",ISNA($B143)),"",IF(ISBLANK($B143),"",IFERROR(_xll.BDP(TICKER,"DEEP_MEASURE_PERIOD_BROKER_VALUE","DEEP_MEASURE_ID_OVERRIDE",$C143,"DEEP_BROKER_ID_OVERRIDE",AL$24,"DEEP_PERIOD_OVERRIDE",$H$19)*1,"")))</f>
        <v/>
      </c>
      <c r="AM143" t="str">
        <f>IF(OR(AM$23="",ISNA($B143)),"",IF(ISBLANK($B143),"",IFERROR(_xll.BDP(TICKER,"DEEP_MEASURE_PERIOD_BROKER_VALUE","DEEP_MEASURE_ID_OVERRIDE",$C143,"DEEP_BROKER_ID_OVERRIDE",AM$24,"DEEP_PERIOD_OVERRIDE",$H$19)*1,"")))</f>
        <v/>
      </c>
      <c r="AN143" t="str">
        <f>IF(OR(AN$23="",ISNA($B143)),"",IF(ISBLANK($B143),"",IFERROR(_xll.BDP(TICKER,"DEEP_MEASURE_PERIOD_BROKER_VALUE","DEEP_MEASURE_ID_OVERRIDE",$C143,"DEEP_BROKER_ID_OVERRIDE",AN$24,"DEEP_PERIOD_OVERRIDE",$H$19)*1,"")))</f>
        <v/>
      </c>
      <c r="AO143" t="str">
        <f>IF(OR(AO$23="",ISNA($B143)),"",IF(ISBLANK($B143),"",IFERROR(_xll.BDP(TICKER,"DEEP_MEASURE_PERIOD_BROKER_VALUE","DEEP_MEASURE_ID_OVERRIDE",$C143,"DEEP_BROKER_ID_OVERRIDE",AO$24,"DEEP_PERIOD_OVERRIDE",$H$19)*1,"")))</f>
        <v/>
      </c>
      <c r="AP143" t="str">
        <f>IF(OR(AP$23="",ISNA($B143)),"",IF(ISBLANK($B143),"",IFERROR(_xll.BDP(TICKER,"DEEP_MEASURE_PERIOD_BROKER_VALUE","DEEP_MEASURE_ID_OVERRIDE",$C143,"DEEP_BROKER_ID_OVERRIDE",AP$24,"DEEP_PERIOD_OVERRIDE",$H$19)*1,"")))</f>
        <v/>
      </c>
      <c r="AQ143" t="str">
        <f>IF(OR(AQ$23="",ISNA($B143)),"",IF(ISBLANK($B143),"",IFERROR(_xll.BDP(TICKER,"DEEP_MEASURE_PERIOD_BROKER_VALUE","DEEP_MEASURE_ID_OVERRIDE",$C143,"DEEP_BROKER_ID_OVERRIDE",AQ$24,"DEEP_PERIOD_OVERRIDE",$H$19)*1,"")))</f>
        <v/>
      </c>
      <c r="AR143" t="str">
        <f>IF(OR(AR$23="",ISNA($B143)),"",IF(ISBLANK($B143),"",IFERROR(_xll.BDP(TICKER,"DEEP_MEASURE_PERIOD_BROKER_VALUE","DEEP_MEASURE_ID_OVERRIDE",$C143,"DEEP_BROKER_ID_OVERRIDE",AR$24,"DEEP_PERIOD_OVERRIDE",$H$19)*1,"")))</f>
        <v/>
      </c>
      <c r="AS143" t="str">
        <f>IF(OR(AS$23="",ISNA($B143)),"",IF(ISBLANK($B143),"",IFERROR(_xll.BDP(TICKER,"DEEP_MEASURE_PERIOD_BROKER_VALUE","DEEP_MEASURE_ID_OVERRIDE",$C143,"DEEP_BROKER_ID_OVERRIDE",AS$24,"DEEP_PERIOD_OVERRIDE",$H$19)*1,"")))</f>
        <v/>
      </c>
      <c r="AT143" t="str">
        <f>IF(OR(AT$23="",ISNA($B143)),"",IF(ISBLANK($B143),"",IFERROR(_xll.BDP(TICKER,"DEEP_MEASURE_PERIOD_BROKER_VALUE","DEEP_MEASURE_ID_OVERRIDE",$C143,"DEEP_BROKER_ID_OVERRIDE",AT$24,"DEEP_PERIOD_OVERRIDE",$H$19)*1,"")))</f>
        <v/>
      </c>
      <c r="AU143" t="str">
        <f>IF(OR(AU$23="",ISNA($B143)),"",IF(ISBLANK($B143),"",IFERROR(_xll.BDP(TICKER,"DEEP_MEASURE_PERIOD_BROKER_VALUE","DEEP_MEASURE_ID_OVERRIDE",$C143,"DEEP_BROKER_ID_OVERRIDE",AU$24,"DEEP_PERIOD_OVERRIDE",$H$19)*1,"")))</f>
        <v/>
      </c>
      <c r="AV143" t="str">
        <f>IF(OR(AV$23="",ISNA($B143)),"",IF(ISBLANK($B143),"",IFERROR(_xll.BDP(TICKER,"DEEP_MEASURE_PERIOD_BROKER_VALUE","DEEP_MEASURE_ID_OVERRIDE",$C143,"DEEP_BROKER_ID_OVERRIDE",AV$24,"DEEP_PERIOD_OVERRIDE",$H$19)*1,"")))</f>
        <v/>
      </c>
      <c r="AW143" t="str">
        <f>IF(OR(AW$23="",ISNA($B143)),"",IF(ISBLANK($B143),"",IFERROR(_xll.BDP(TICKER,"DEEP_MEASURE_PERIOD_BROKER_VALUE","DEEP_MEASURE_ID_OVERRIDE",$C143,"DEEP_BROKER_ID_OVERRIDE",AW$24,"DEEP_PERIOD_OVERRIDE",$H$19)*1,"")))</f>
        <v/>
      </c>
      <c r="AX143" t="str">
        <f>IF(OR(AX$23="",ISNA($B143)),"",IF(ISBLANK($B143),"",IFERROR(_xll.BDP(TICKER,"DEEP_MEASURE_PERIOD_BROKER_VALUE","DEEP_MEASURE_ID_OVERRIDE",$C143,"DEEP_BROKER_ID_OVERRIDE",AX$24,"DEEP_PERIOD_OVERRIDE",$H$19)*1,"")))</f>
        <v/>
      </c>
      <c r="AY143" t="str">
        <f>IF(OR(AY$23="",ISNA($B143)),"",IF(ISBLANK($B143),"",IFERROR(_xll.BDP(TICKER,"DEEP_MEASURE_PERIOD_BROKER_VALUE","DEEP_MEASURE_ID_OVERRIDE",$C143,"DEEP_BROKER_ID_OVERRIDE",AY$24,"DEEP_PERIOD_OVERRIDE",$H$19)*1,"")))</f>
        <v/>
      </c>
      <c r="AZ143" t="str">
        <f>IF(OR(AZ$23="",ISNA($B143)),"",IF(ISBLANK($B143),"",IFERROR(_xll.BDP(TICKER,"DEEP_MEASURE_PERIOD_BROKER_VALUE","DEEP_MEASURE_ID_OVERRIDE",$C143,"DEEP_BROKER_ID_OVERRIDE",AZ$24,"DEEP_PERIOD_OVERRIDE",$H$19)*1,"")))</f>
        <v/>
      </c>
      <c r="BA143" t="str">
        <f>IF(OR(BA$23="",ISNA($B143)),"",IF(ISBLANK($B143),"",IFERROR(_xll.BDP(TICKER,"DEEP_MEASURE_PERIOD_BROKER_VALUE","DEEP_MEASURE_ID_OVERRIDE",$C143,"DEEP_BROKER_ID_OVERRIDE",BA$24,"DEEP_PERIOD_OVERRIDE",$H$19)*1,"")))</f>
        <v/>
      </c>
      <c r="BB143" t="str">
        <f>IF(OR(BB$23="",ISNA($B143)),"",IF(ISBLANK($B143),"",IFERROR(_xll.BDP(TICKER,"DEEP_MEASURE_PERIOD_BROKER_VALUE","DEEP_MEASURE_ID_OVERRIDE",$C143,"DEEP_BROKER_ID_OVERRIDE",BB$24,"DEEP_PERIOD_OVERRIDE",$H$19)*1,"")))</f>
        <v/>
      </c>
      <c r="BC143" t="str">
        <f>IF(OR(BC$23="",ISNA($B143)),"",IF(ISBLANK($B143),"",IFERROR(_xll.BDP(TICKER,"DEEP_MEASURE_PERIOD_BROKER_VALUE","DEEP_MEASURE_ID_OVERRIDE",$C143,"DEEP_BROKER_ID_OVERRIDE",BC$24,"DEEP_PERIOD_OVERRIDE",$H$19)*1,"")))</f>
        <v/>
      </c>
      <c r="BD143" t="str">
        <f>IF(OR(BD$23="",ISNA($B143)),"",IF(ISBLANK($B143),"",IFERROR(_xll.BDP(TICKER,"DEEP_MEASURE_PERIOD_BROKER_VALUE","DEEP_MEASURE_ID_OVERRIDE",$C143,"DEEP_BROKER_ID_OVERRIDE",BD$24,"DEEP_PERIOD_OVERRIDE",$H$19)*1,"")))</f>
        <v/>
      </c>
      <c r="BE143" t="str">
        <f>IF(OR(BE$23="",ISNA($B143)),"",IF(ISBLANK($B143),"",IFERROR(_xll.BDP(TICKER,"DEEP_MEASURE_PERIOD_BROKER_VALUE","DEEP_MEASURE_ID_OVERRIDE",$C143,"DEEP_BROKER_ID_OVERRIDE",BE$24,"DEEP_PERIOD_OVERRIDE",$H$19)*1,"")))</f>
        <v/>
      </c>
      <c r="BF143" t="str">
        <f>IF(OR(BF$23="",ISNA($B143)),"",IF(ISBLANK($B143),"",IFERROR(_xll.BDP(TICKER,"DEEP_MEASURE_PERIOD_BROKER_VALUE","DEEP_MEASURE_ID_OVERRIDE",$C143,"DEEP_BROKER_ID_OVERRIDE",BF$24,"DEEP_PERIOD_OVERRIDE",$H$19)*1,"")))</f>
        <v/>
      </c>
      <c r="BG143" t="str">
        <f>IF(OR(BG$23="",ISNA($B143)),"",IF(ISBLANK($B143),"",IFERROR(_xll.BDP(TICKER,"DEEP_MEASURE_PERIOD_BROKER_VALUE","DEEP_MEASURE_ID_OVERRIDE",$C143,"DEEP_BROKER_ID_OVERRIDE",BG$24,"DEEP_PERIOD_OVERRIDE",$H$19)*1,"")))</f>
        <v/>
      </c>
      <c r="BH143" t="str">
        <f>IF(OR(BH$23="",ISNA($B143)),"",IF(ISBLANK($B143),"",IFERROR(_xll.BDP(TICKER,"DEEP_MEASURE_PERIOD_BROKER_VALUE","DEEP_MEASURE_ID_OVERRIDE",$C143,"DEEP_BROKER_ID_OVERRIDE",BH$24,"DEEP_PERIOD_OVERRIDE",$H$19)*1,"")))</f>
        <v/>
      </c>
      <c r="BI143" t="str">
        <f>IF(OR(BI$23="",ISNA($B143)),"",IF(ISBLANK($B143),"",IFERROR(_xll.BDP(TICKER,"DEEP_MEASURE_PERIOD_BROKER_VALUE","DEEP_MEASURE_ID_OVERRIDE",$C143,"DEEP_BROKER_ID_OVERRIDE",BI$24,"DEEP_PERIOD_OVERRIDE",$H$19)*1,"")))</f>
        <v/>
      </c>
      <c r="BJ143" t="str">
        <f>IF(OR(BJ$23="",ISNA($B143)),"",IF(ISBLANK($B143),"",IFERROR(_xll.BDP(TICKER,"DEEP_MEASURE_PERIOD_BROKER_VALUE","DEEP_MEASURE_ID_OVERRIDE",$C143,"DEEP_BROKER_ID_OVERRIDE",BJ$24,"DEEP_PERIOD_OVERRIDE",$H$19)*1,"")))</f>
        <v/>
      </c>
      <c r="BK143" t="str">
        <f>IF(OR(BK$23="",ISNA($B143)),"",IF(ISBLANK($B143),"",IFERROR(_xll.BDP(TICKER,"DEEP_MEASURE_PERIOD_BROKER_VALUE","DEEP_MEASURE_ID_OVERRIDE",$C143,"DEEP_BROKER_ID_OVERRIDE",BK$24,"DEEP_PERIOD_OVERRIDE",$H$19)*1,"")))</f>
        <v/>
      </c>
      <c r="BL143" t="str">
        <f>IF(OR(BL$23="",ISNA($B143)),"",IF(ISBLANK($B143),"",IFERROR(_xll.BDP(TICKER,"DEEP_MEASURE_PERIOD_BROKER_VALUE","DEEP_MEASURE_ID_OVERRIDE",$C143,"DEEP_BROKER_ID_OVERRIDE",BL$24,"DEEP_PERIOD_OVERRIDE",$H$19)*1,"")))</f>
        <v/>
      </c>
      <c r="BM143" t="str">
        <f>IF(OR(BM$23="",ISNA($B143)),"",IF(ISBLANK($B143),"",IFERROR(_xll.BDP(TICKER,"DEEP_MEASURE_PERIOD_BROKER_VALUE","DEEP_MEASURE_ID_OVERRIDE",$C143,"DEEP_BROKER_ID_OVERRIDE",BM$24,"DEEP_PERIOD_OVERRIDE",$H$19)*1,"")))</f>
        <v/>
      </c>
      <c r="BN143" t="str">
        <f>IF(OR(BN$23="",ISNA($B143)),"",IF(ISBLANK($B143),"",IFERROR(_xll.BDP(TICKER,"DEEP_MEASURE_PERIOD_BROKER_VALUE","DEEP_MEASURE_ID_OVERRIDE",$C143,"DEEP_BROKER_ID_OVERRIDE",BN$24,"DEEP_PERIOD_OVERRIDE",$H$19)*1,"")))</f>
        <v/>
      </c>
      <c r="BO143" t="str">
        <f>IF(OR(BO$23="",ISNA($B143)),"",IF(ISBLANK($B143),"",IFERROR(_xll.BDP(TICKER,"DEEP_MEASURE_PERIOD_BROKER_VALUE","DEEP_MEASURE_ID_OVERRIDE",$C143,"DEEP_BROKER_ID_OVERRIDE",BO$24,"DEEP_PERIOD_OVERRIDE",$H$19)*1,"")))</f>
        <v/>
      </c>
      <c r="BP143" t="str">
        <f>IF(OR(BP$23="",ISNA($B143)),"",IF(ISBLANK($B143),"",IFERROR(_xll.BDP(TICKER,"DEEP_MEASURE_PERIOD_BROKER_VALUE","DEEP_MEASURE_ID_OVERRIDE",$C143,"DEEP_BROKER_ID_OVERRIDE",BP$24,"DEEP_PERIOD_OVERRIDE",$H$19)*1,"")))</f>
        <v/>
      </c>
      <c r="BQ143" t="str">
        <f>IF(OR(BQ$23="",ISNA($B143)),"",IF(ISBLANK($B143),"",IFERROR(_xll.BDP(TICKER,"DEEP_MEASURE_PERIOD_BROKER_VALUE","DEEP_MEASURE_ID_OVERRIDE",$C143,"DEEP_BROKER_ID_OVERRIDE",BQ$24,"DEEP_PERIOD_OVERRIDE",$H$19)*1,"")))</f>
        <v/>
      </c>
      <c r="BR143" t="str">
        <f>IF(OR(BR$23="",ISNA($B143)),"",IF(ISBLANK($B143),"",IFERROR(_xll.BDP(TICKER,"DEEP_MEASURE_PERIOD_BROKER_VALUE","DEEP_MEASURE_ID_OVERRIDE",$C143,"DEEP_BROKER_ID_OVERRIDE",BR$24,"DEEP_PERIOD_OVERRIDE",$H$19)*1,"")))</f>
        <v/>
      </c>
      <c r="BS143" t="str">
        <f>IF(OR(BS$23="",ISNA($B143)),"",IF(ISBLANK($B143),"",IFERROR(_xll.BDP(TICKER,"DEEP_MEASURE_PERIOD_BROKER_VALUE","DEEP_MEASURE_ID_OVERRIDE",$C143,"DEEP_BROKER_ID_OVERRIDE",BS$24,"DEEP_PERIOD_OVERRIDE",$H$19)*1,"")))</f>
        <v/>
      </c>
      <c r="BT143" t="str">
        <f>IF(OR(BT$23="",ISNA($B143)),"",IF(ISBLANK($B143),"",IFERROR(_xll.BDP(TICKER,"DEEP_MEASURE_PERIOD_BROKER_VALUE","DEEP_MEASURE_ID_OVERRIDE",$C143,"DEEP_BROKER_ID_OVERRIDE",BT$24,"DEEP_PERIOD_OVERRIDE",$H$19)*1,"")))</f>
        <v/>
      </c>
      <c r="BU143" t="str">
        <f>IF(OR(BU$23="",ISNA($B143)),"",IF(ISBLANK($B143),"",IFERROR(_xll.BDP(TICKER,"DEEP_MEASURE_PERIOD_BROKER_VALUE","DEEP_MEASURE_ID_OVERRIDE",$C143,"DEEP_BROKER_ID_OVERRIDE",BU$24,"DEEP_PERIOD_OVERRIDE",$H$19)*1,"")))</f>
        <v/>
      </c>
      <c r="BV143" t="str">
        <f>IF(OR(BV$23="",ISNA($B143)),"",IF(ISBLANK($B143),"",IFERROR(_xll.BDP(TICKER,"DEEP_MEASURE_PERIOD_BROKER_VALUE","DEEP_MEASURE_ID_OVERRIDE",$C143,"DEEP_BROKER_ID_OVERRIDE",BV$24,"DEEP_PERIOD_OVERRIDE",$H$19)*1,"")))</f>
        <v/>
      </c>
      <c r="BW143" t="str">
        <f>IF(OR(BW$23="",ISNA($B143)),"",IF(ISBLANK($B143),"",IFERROR(_xll.BDP(TICKER,"DEEP_MEASURE_PERIOD_BROKER_VALUE","DEEP_MEASURE_ID_OVERRIDE",$C143,"DEEP_BROKER_ID_OVERRIDE",BW$24,"DEEP_PERIOD_OVERRIDE",$H$19)*1,"")))</f>
        <v/>
      </c>
      <c r="BX143" t="str">
        <f>IF(OR(BX$23="",ISNA($B143)),"",IF(ISBLANK($B143),"",IFERROR(_xll.BDP(TICKER,"DEEP_MEASURE_PERIOD_BROKER_VALUE","DEEP_MEASURE_ID_OVERRIDE",$C143,"DEEP_BROKER_ID_OVERRIDE",BX$24,"DEEP_PERIOD_OVERRIDE",$H$19)*1,"")))</f>
        <v/>
      </c>
      <c r="BY143" t="str">
        <f>IF(OR(BY$23="",ISNA($B143)),"",IF(ISBLANK($B143),"",IFERROR(_xll.BDP(TICKER,"DEEP_MEASURE_PERIOD_BROKER_VALUE","DEEP_MEASURE_ID_OVERRIDE",$C143,"DEEP_BROKER_ID_OVERRIDE",BY$24,"DEEP_PERIOD_OVERRIDE",$H$19)*1,"")))</f>
        <v/>
      </c>
      <c r="BZ143" t="str">
        <f>IF(OR(BZ$23="",ISNA($B143)),"",IF(ISBLANK($B143),"",IFERROR(_xll.BDP(TICKER,"DEEP_MEASURE_PERIOD_BROKER_VALUE","DEEP_MEASURE_ID_OVERRIDE",$C143,"DEEP_BROKER_ID_OVERRIDE",BZ$24,"DEEP_PERIOD_OVERRIDE",$H$19)*1,"")))</f>
        <v/>
      </c>
    </row>
    <row r="144" spans="2:78" x14ac:dyDescent="0.25">
      <c r="B144" t="s">
        <v>174</v>
      </c>
      <c r="C144">
        <v>5912</v>
      </c>
      <c r="H144" t="str">
        <f t="shared" si="2"/>
        <v>Basic Shares Outstanding</v>
      </c>
      <c r="I144" t="str">
        <f>IF(OR(I$23="",ISNA($B144)),"",IF(ISBLANK($B144),"",IFERROR(_xll.BDP(TICKER,"DEEP_MEASURE_PERIOD_BROKER_VALUE","DEEP_MEASURE_ID_OVERRIDE",$C144,"DEEP_PERIOD_OVERRIDE",$H$19)*1,"")))</f>
        <v/>
      </c>
      <c r="J144" t="e">
        <f>IF(OR(J$23="",ISNA($B144)),"",IF(ISBLANK($B144),"",IFERROR(_xll.BDP(TICKER,"DEEP_MEASURE_PERIOD_BROKER_VALUE","DEEP_MEASURE_ID_OVERRIDE",$C144,"DEEP_BROKER_ID_OVERRIDE",J$24,"DEEP_PERIOD_OVERRIDE",$H$19)*1,"")))</f>
        <v>#REF!</v>
      </c>
      <c r="K144" t="str">
        <f>IF(OR(K$23="",ISNA($B144)),"",IF(ISBLANK($B144),"",IFERROR(_xll.BDP(TICKER,"DEEP_MEASURE_PERIOD_BROKER_VALUE","DEEP_MEASURE_ID_OVERRIDE",$C144,"DEEP_BROKER_ID_OVERRIDE",K$24,"DEEP_PERIOD_OVERRIDE",$H$19)*1,"")))</f>
        <v/>
      </c>
      <c r="L144" t="str">
        <f>IF(OR(L$23="",ISNA($B144)),"",IF(ISBLANK($B144),"",IFERROR(_xll.BDP(TICKER,"DEEP_MEASURE_PERIOD_BROKER_VALUE","DEEP_MEASURE_ID_OVERRIDE",$C144,"DEEP_BROKER_ID_OVERRIDE",L$24,"DEEP_PERIOD_OVERRIDE",$H$19)*1,"")))</f>
        <v/>
      </c>
      <c r="M144" t="str">
        <f>IF(OR(M$23="",ISNA($B144)),"",IF(ISBLANK($B144),"",IFERROR(_xll.BDP(TICKER,"DEEP_MEASURE_PERIOD_BROKER_VALUE","DEEP_MEASURE_ID_OVERRIDE",$C144,"DEEP_BROKER_ID_OVERRIDE",M$24,"DEEP_PERIOD_OVERRIDE",$H$19)*1,"")))</f>
        <v/>
      </c>
      <c r="N144" t="str">
        <f>IF(OR(N$23="",ISNA($B144)),"",IF(ISBLANK($B144),"",IFERROR(_xll.BDP(TICKER,"DEEP_MEASURE_PERIOD_BROKER_VALUE","DEEP_MEASURE_ID_OVERRIDE",$C144,"DEEP_BROKER_ID_OVERRIDE",N$24,"DEEP_PERIOD_OVERRIDE",$H$19)*1,"")))</f>
        <v/>
      </c>
      <c r="O144" t="str">
        <f>IF(OR(O$23="",ISNA($B144)),"",IF(ISBLANK($B144),"",IFERROR(_xll.BDP(TICKER,"DEEP_MEASURE_PERIOD_BROKER_VALUE","DEEP_MEASURE_ID_OVERRIDE",$C144,"DEEP_BROKER_ID_OVERRIDE",O$24,"DEEP_PERIOD_OVERRIDE",$H$19)*1,"")))</f>
        <v/>
      </c>
      <c r="P144" t="str">
        <f>IF(OR(P$23="",ISNA($B144)),"",IF(ISBLANK($B144),"",IFERROR(_xll.BDP(TICKER,"DEEP_MEASURE_PERIOD_BROKER_VALUE","DEEP_MEASURE_ID_OVERRIDE",$C144,"DEEP_BROKER_ID_OVERRIDE",P$24,"DEEP_PERIOD_OVERRIDE",$H$19)*1,"")))</f>
        <v/>
      </c>
      <c r="Q144" t="str">
        <f>IF(OR(Q$23="",ISNA($B144)),"",IF(ISBLANK($B144),"",IFERROR(_xll.BDP(TICKER,"DEEP_MEASURE_PERIOD_BROKER_VALUE","DEEP_MEASURE_ID_OVERRIDE",$C144,"DEEP_BROKER_ID_OVERRIDE",Q$24,"DEEP_PERIOD_OVERRIDE",$H$19)*1,"")))</f>
        <v/>
      </c>
      <c r="R144" t="str">
        <f>IF(OR(R$23="",ISNA($B144)),"",IF(ISBLANK($B144),"",IFERROR(_xll.BDP(TICKER,"DEEP_MEASURE_PERIOD_BROKER_VALUE","DEEP_MEASURE_ID_OVERRIDE",$C144,"DEEP_BROKER_ID_OVERRIDE",R$24,"DEEP_PERIOD_OVERRIDE",$H$19)*1,"")))</f>
        <v/>
      </c>
      <c r="S144" t="str">
        <f>IF(OR(S$23="",ISNA($B144)),"",IF(ISBLANK($B144),"",IFERROR(_xll.BDP(TICKER,"DEEP_MEASURE_PERIOD_BROKER_VALUE","DEEP_MEASURE_ID_OVERRIDE",$C144,"DEEP_BROKER_ID_OVERRIDE",S$24,"DEEP_PERIOD_OVERRIDE",$H$19)*1,"")))</f>
        <v/>
      </c>
      <c r="T144" t="str">
        <f>IF(OR(T$23="",ISNA($B144)),"",IF(ISBLANK($B144),"",IFERROR(_xll.BDP(TICKER,"DEEP_MEASURE_PERIOD_BROKER_VALUE","DEEP_MEASURE_ID_OVERRIDE",$C144,"DEEP_BROKER_ID_OVERRIDE",T$24,"DEEP_PERIOD_OVERRIDE",$H$19)*1,"")))</f>
        <v/>
      </c>
      <c r="U144" t="str">
        <f>IF(OR(U$23="",ISNA($B144)),"",IF(ISBLANK($B144),"",IFERROR(_xll.BDP(TICKER,"DEEP_MEASURE_PERIOD_BROKER_VALUE","DEEP_MEASURE_ID_OVERRIDE",$C144,"DEEP_BROKER_ID_OVERRIDE",U$24,"DEEP_PERIOD_OVERRIDE",$H$19)*1,"")))</f>
        <v/>
      </c>
      <c r="V144" t="str">
        <f>IF(OR(V$23="",ISNA($B144)),"",IF(ISBLANK($B144),"",IFERROR(_xll.BDP(TICKER,"DEEP_MEASURE_PERIOD_BROKER_VALUE","DEEP_MEASURE_ID_OVERRIDE",$C144,"DEEP_BROKER_ID_OVERRIDE",V$24,"DEEP_PERIOD_OVERRIDE",$H$19)*1,"")))</f>
        <v/>
      </c>
      <c r="W144" t="str">
        <f>IF(OR(W$23="",ISNA($B144)),"",IF(ISBLANK($B144),"",IFERROR(_xll.BDP(TICKER,"DEEP_MEASURE_PERIOD_BROKER_VALUE","DEEP_MEASURE_ID_OVERRIDE",$C144,"DEEP_BROKER_ID_OVERRIDE",W$24,"DEEP_PERIOD_OVERRIDE",$H$19)*1,"")))</f>
        <v/>
      </c>
      <c r="X144" t="str">
        <f>IF(OR(X$23="",ISNA($B144)),"",IF(ISBLANK($B144),"",IFERROR(_xll.BDP(TICKER,"DEEP_MEASURE_PERIOD_BROKER_VALUE","DEEP_MEASURE_ID_OVERRIDE",$C144,"DEEP_BROKER_ID_OVERRIDE",X$24,"DEEP_PERIOD_OVERRIDE",$H$19)*1,"")))</f>
        <v/>
      </c>
      <c r="Y144" t="str">
        <f>IF(OR(Y$23="",ISNA($B144)),"",IF(ISBLANK($B144),"",IFERROR(_xll.BDP(TICKER,"DEEP_MEASURE_PERIOD_BROKER_VALUE","DEEP_MEASURE_ID_OVERRIDE",$C144,"DEEP_BROKER_ID_OVERRIDE",Y$24,"DEEP_PERIOD_OVERRIDE",$H$19)*1,"")))</f>
        <v/>
      </c>
      <c r="Z144" t="str">
        <f>IF(OR(Z$23="",ISNA($B144)),"",IF(ISBLANK($B144),"",IFERROR(_xll.BDP(TICKER,"DEEP_MEASURE_PERIOD_BROKER_VALUE","DEEP_MEASURE_ID_OVERRIDE",$C144,"DEEP_BROKER_ID_OVERRIDE",Z$24,"DEEP_PERIOD_OVERRIDE",$H$19)*1,"")))</f>
        <v/>
      </c>
      <c r="AA144" t="str">
        <f>IF(OR(AA$23="",ISNA($B144)),"",IF(ISBLANK($B144),"",IFERROR(_xll.BDP(TICKER,"DEEP_MEASURE_PERIOD_BROKER_VALUE","DEEP_MEASURE_ID_OVERRIDE",$C144,"DEEP_BROKER_ID_OVERRIDE",AA$24,"DEEP_PERIOD_OVERRIDE",$H$19)*1,"")))</f>
        <v/>
      </c>
      <c r="AB144" t="str">
        <f>IF(OR(AB$23="",ISNA($B144)),"",IF(ISBLANK($B144),"",IFERROR(_xll.BDP(TICKER,"DEEP_MEASURE_PERIOD_BROKER_VALUE","DEEP_MEASURE_ID_OVERRIDE",$C144,"DEEP_BROKER_ID_OVERRIDE",AB$24,"DEEP_PERIOD_OVERRIDE",$H$19)*1,"")))</f>
        <v/>
      </c>
      <c r="AC144" t="str">
        <f>IF(OR(AC$23="",ISNA($B144)),"",IF(ISBLANK($B144),"",IFERROR(_xll.BDP(TICKER,"DEEP_MEASURE_PERIOD_BROKER_VALUE","DEEP_MEASURE_ID_OVERRIDE",$C144,"DEEP_BROKER_ID_OVERRIDE",AC$24,"DEEP_PERIOD_OVERRIDE",$H$19)*1,"")))</f>
        <v/>
      </c>
      <c r="AD144" t="str">
        <f>IF(OR(AD$23="",ISNA($B144)),"",IF(ISBLANK($B144),"",IFERROR(_xll.BDP(TICKER,"DEEP_MEASURE_PERIOD_BROKER_VALUE","DEEP_MEASURE_ID_OVERRIDE",$C144,"DEEP_BROKER_ID_OVERRIDE",AD$24,"DEEP_PERIOD_OVERRIDE",$H$19)*1,"")))</f>
        <v/>
      </c>
      <c r="AE144" t="str">
        <f>IF(OR(AE$23="",ISNA($B144)),"",IF(ISBLANK($B144),"",IFERROR(_xll.BDP(TICKER,"DEEP_MEASURE_PERIOD_BROKER_VALUE","DEEP_MEASURE_ID_OVERRIDE",$C144,"DEEP_BROKER_ID_OVERRIDE",AE$24,"DEEP_PERIOD_OVERRIDE",$H$19)*1,"")))</f>
        <v/>
      </c>
      <c r="AF144" t="str">
        <f>IF(OR(AF$23="",ISNA($B144)),"",IF(ISBLANK($B144),"",IFERROR(_xll.BDP(TICKER,"DEEP_MEASURE_PERIOD_BROKER_VALUE","DEEP_MEASURE_ID_OVERRIDE",$C144,"DEEP_BROKER_ID_OVERRIDE",AF$24,"DEEP_PERIOD_OVERRIDE",$H$19)*1,"")))</f>
        <v/>
      </c>
      <c r="AG144" t="str">
        <f>IF(OR(AG$23="",ISNA($B144)),"",IF(ISBLANK($B144),"",IFERROR(_xll.BDP(TICKER,"DEEP_MEASURE_PERIOD_BROKER_VALUE","DEEP_MEASURE_ID_OVERRIDE",$C144,"DEEP_BROKER_ID_OVERRIDE",AG$24,"DEEP_PERIOD_OVERRIDE",$H$19)*1,"")))</f>
        <v/>
      </c>
      <c r="AH144" t="str">
        <f>IF(OR(AH$23="",ISNA($B144)),"",IF(ISBLANK($B144),"",IFERROR(_xll.BDP(TICKER,"DEEP_MEASURE_PERIOD_BROKER_VALUE","DEEP_MEASURE_ID_OVERRIDE",$C144,"DEEP_BROKER_ID_OVERRIDE",AH$24,"DEEP_PERIOD_OVERRIDE",$H$19)*1,"")))</f>
        <v/>
      </c>
      <c r="AI144" t="str">
        <f>IF(OR(AI$23="",ISNA($B144)),"",IF(ISBLANK($B144),"",IFERROR(_xll.BDP(TICKER,"DEEP_MEASURE_PERIOD_BROKER_VALUE","DEEP_MEASURE_ID_OVERRIDE",$C144,"DEEP_BROKER_ID_OVERRIDE",AI$24,"DEEP_PERIOD_OVERRIDE",$H$19)*1,"")))</f>
        <v/>
      </c>
      <c r="AJ144" t="str">
        <f>IF(OR(AJ$23="",ISNA($B144)),"",IF(ISBLANK($B144),"",IFERROR(_xll.BDP(TICKER,"DEEP_MEASURE_PERIOD_BROKER_VALUE","DEEP_MEASURE_ID_OVERRIDE",$C144,"DEEP_BROKER_ID_OVERRIDE",AJ$24,"DEEP_PERIOD_OVERRIDE",$H$19)*1,"")))</f>
        <v/>
      </c>
      <c r="AK144" t="str">
        <f>IF(OR(AK$23="",ISNA($B144)),"",IF(ISBLANK($B144),"",IFERROR(_xll.BDP(TICKER,"DEEP_MEASURE_PERIOD_BROKER_VALUE","DEEP_MEASURE_ID_OVERRIDE",$C144,"DEEP_BROKER_ID_OVERRIDE",AK$24,"DEEP_PERIOD_OVERRIDE",$H$19)*1,"")))</f>
        <v/>
      </c>
      <c r="AL144" t="str">
        <f>IF(OR(AL$23="",ISNA($B144)),"",IF(ISBLANK($B144),"",IFERROR(_xll.BDP(TICKER,"DEEP_MEASURE_PERIOD_BROKER_VALUE","DEEP_MEASURE_ID_OVERRIDE",$C144,"DEEP_BROKER_ID_OVERRIDE",AL$24,"DEEP_PERIOD_OVERRIDE",$H$19)*1,"")))</f>
        <v/>
      </c>
      <c r="AM144" t="str">
        <f>IF(OR(AM$23="",ISNA($B144)),"",IF(ISBLANK($B144),"",IFERROR(_xll.BDP(TICKER,"DEEP_MEASURE_PERIOD_BROKER_VALUE","DEEP_MEASURE_ID_OVERRIDE",$C144,"DEEP_BROKER_ID_OVERRIDE",AM$24,"DEEP_PERIOD_OVERRIDE",$H$19)*1,"")))</f>
        <v/>
      </c>
      <c r="AN144" t="str">
        <f>IF(OR(AN$23="",ISNA($B144)),"",IF(ISBLANK($B144),"",IFERROR(_xll.BDP(TICKER,"DEEP_MEASURE_PERIOD_BROKER_VALUE","DEEP_MEASURE_ID_OVERRIDE",$C144,"DEEP_BROKER_ID_OVERRIDE",AN$24,"DEEP_PERIOD_OVERRIDE",$H$19)*1,"")))</f>
        <v/>
      </c>
      <c r="AO144" t="str">
        <f>IF(OR(AO$23="",ISNA($B144)),"",IF(ISBLANK($B144),"",IFERROR(_xll.BDP(TICKER,"DEEP_MEASURE_PERIOD_BROKER_VALUE","DEEP_MEASURE_ID_OVERRIDE",$C144,"DEEP_BROKER_ID_OVERRIDE",AO$24,"DEEP_PERIOD_OVERRIDE",$H$19)*1,"")))</f>
        <v/>
      </c>
      <c r="AP144" t="str">
        <f>IF(OR(AP$23="",ISNA($B144)),"",IF(ISBLANK($B144),"",IFERROR(_xll.BDP(TICKER,"DEEP_MEASURE_PERIOD_BROKER_VALUE","DEEP_MEASURE_ID_OVERRIDE",$C144,"DEEP_BROKER_ID_OVERRIDE",AP$24,"DEEP_PERIOD_OVERRIDE",$H$19)*1,"")))</f>
        <v/>
      </c>
      <c r="AQ144" t="str">
        <f>IF(OR(AQ$23="",ISNA($B144)),"",IF(ISBLANK($B144),"",IFERROR(_xll.BDP(TICKER,"DEEP_MEASURE_PERIOD_BROKER_VALUE","DEEP_MEASURE_ID_OVERRIDE",$C144,"DEEP_BROKER_ID_OVERRIDE",AQ$24,"DEEP_PERIOD_OVERRIDE",$H$19)*1,"")))</f>
        <v/>
      </c>
      <c r="AR144" t="str">
        <f>IF(OR(AR$23="",ISNA($B144)),"",IF(ISBLANK($B144),"",IFERROR(_xll.BDP(TICKER,"DEEP_MEASURE_PERIOD_BROKER_VALUE","DEEP_MEASURE_ID_OVERRIDE",$C144,"DEEP_BROKER_ID_OVERRIDE",AR$24,"DEEP_PERIOD_OVERRIDE",$H$19)*1,"")))</f>
        <v/>
      </c>
      <c r="AS144" t="str">
        <f>IF(OR(AS$23="",ISNA($B144)),"",IF(ISBLANK($B144),"",IFERROR(_xll.BDP(TICKER,"DEEP_MEASURE_PERIOD_BROKER_VALUE","DEEP_MEASURE_ID_OVERRIDE",$C144,"DEEP_BROKER_ID_OVERRIDE",AS$24,"DEEP_PERIOD_OVERRIDE",$H$19)*1,"")))</f>
        <v/>
      </c>
      <c r="AT144" t="str">
        <f>IF(OR(AT$23="",ISNA($B144)),"",IF(ISBLANK($B144),"",IFERROR(_xll.BDP(TICKER,"DEEP_MEASURE_PERIOD_BROKER_VALUE","DEEP_MEASURE_ID_OVERRIDE",$C144,"DEEP_BROKER_ID_OVERRIDE",AT$24,"DEEP_PERIOD_OVERRIDE",$H$19)*1,"")))</f>
        <v/>
      </c>
      <c r="AU144" t="str">
        <f>IF(OR(AU$23="",ISNA($B144)),"",IF(ISBLANK($B144),"",IFERROR(_xll.BDP(TICKER,"DEEP_MEASURE_PERIOD_BROKER_VALUE","DEEP_MEASURE_ID_OVERRIDE",$C144,"DEEP_BROKER_ID_OVERRIDE",AU$24,"DEEP_PERIOD_OVERRIDE",$H$19)*1,"")))</f>
        <v/>
      </c>
      <c r="AV144" t="str">
        <f>IF(OR(AV$23="",ISNA($B144)),"",IF(ISBLANK($B144),"",IFERROR(_xll.BDP(TICKER,"DEEP_MEASURE_PERIOD_BROKER_VALUE","DEEP_MEASURE_ID_OVERRIDE",$C144,"DEEP_BROKER_ID_OVERRIDE",AV$24,"DEEP_PERIOD_OVERRIDE",$H$19)*1,"")))</f>
        <v/>
      </c>
      <c r="AW144" t="str">
        <f>IF(OR(AW$23="",ISNA($B144)),"",IF(ISBLANK($B144),"",IFERROR(_xll.BDP(TICKER,"DEEP_MEASURE_PERIOD_BROKER_VALUE","DEEP_MEASURE_ID_OVERRIDE",$C144,"DEEP_BROKER_ID_OVERRIDE",AW$24,"DEEP_PERIOD_OVERRIDE",$H$19)*1,"")))</f>
        <v/>
      </c>
      <c r="AX144" t="str">
        <f>IF(OR(AX$23="",ISNA($B144)),"",IF(ISBLANK($B144),"",IFERROR(_xll.BDP(TICKER,"DEEP_MEASURE_PERIOD_BROKER_VALUE","DEEP_MEASURE_ID_OVERRIDE",$C144,"DEEP_BROKER_ID_OVERRIDE",AX$24,"DEEP_PERIOD_OVERRIDE",$H$19)*1,"")))</f>
        <v/>
      </c>
      <c r="AY144" t="str">
        <f>IF(OR(AY$23="",ISNA($B144)),"",IF(ISBLANK($B144),"",IFERROR(_xll.BDP(TICKER,"DEEP_MEASURE_PERIOD_BROKER_VALUE","DEEP_MEASURE_ID_OVERRIDE",$C144,"DEEP_BROKER_ID_OVERRIDE",AY$24,"DEEP_PERIOD_OVERRIDE",$H$19)*1,"")))</f>
        <v/>
      </c>
      <c r="AZ144" t="str">
        <f>IF(OR(AZ$23="",ISNA($B144)),"",IF(ISBLANK($B144),"",IFERROR(_xll.BDP(TICKER,"DEEP_MEASURE_PERIOD_BROKER_VALUE","DEEP_MEASURE_ID_OVERRIDE",$C144,"DEEP_BROKER_ID_OVERRIDE",AZ$24,"DEEP_PERIOD_OVERRIDE",$H$19)*1,"")))</f>
        <v/>
      </c>
      <c r="BA144" t="str">
        <f>IF(OR(BA$23="",ISNA($B144)),"",IF(ISBLANK($B144),"",IFERROR(_xll.BDP(TICKER,"DEEP_MEASURE_PERIOD_BROKER_VALUE","DEEP_MEASURE_ID_OVERRIDE",$C144,"DEEP_BROKER_ID_OVERRIDE",BA$24,"DEEP_PERIOD_OVERRIDE",$H$19)*1,"")))</f>
        <v/>
      </c>
      <c r="BB144" t="str">
        <f>IF(OR(BB$23="",ISNA($B144)),"",IF(ISBLANK($B144),"",IFERROR(_xll.BDP(TICKER,"DEEP_MEASURE_PERIOD_BROKER_VALUE","DEEP_MEASURE_ID_OVERRIDE",$C144,"DEEP_BROKER_ID_OVERRIDE",BB$24,"DEEP_PERIOD_OVERRIDE",$H$19)*1,"")))</f>
        <v/>
      </c>
      <c r="BC144" t="str">
        <f>IF(OR(BC$23="",ISNA($B144)),"",IF(ISBLANK($B144),"",IFERROR(_xll.BDP(TICKER,"DEEP_MEASURE_PERIOD_BROKER_VALUE","DEEP_MEASURE_ID_OVERRIDE",$C144,"DEEP_BROKER_ID_OVERRIDE",BC$24,"DEEP_PERIOD_OVERRIDE",$H$19)*1,"")))</f>
        <v/>
      </c>
      <c r="BD144" t="str">
        <f>IF(OR(BD$23="",ISNA($B144)),"",IF(ISBLANK($B144),"",IFERROR(_xll.BDP(TICKER,"DEEP_MEASURE_PERIOD_BROKER_VALUE","DEEP_MEASURE_ID_OVERRIDE",$C144,"DEEP_BROKER_ID_OVERRIDE",BD$24,"DEEP_PERIOD_OVERRIDE",$H$19)*1,"")))</f>
        <v/>
      </c>
      <c r="BE144" t="str">
        <f>IF(OR(BE$23="",ISNA($B144)),"",IF(ISBLANK($B144),"",IFERROR(_xll.BDP(TICKER,"DEEP_MEASURE_PERIOD_BROKER_VALUE","DEEP_MEASURE_ID_OVERRIDE",$C144,"DEEP_BROKER_ID_OVERRIDE",BE$24,"DEEP_PERIOD_OVERRIDE",$H$19)*1,"")))</f>
        <v/>
      </c>
      <c r="BF144" t="str">
        <f>IF(OR(BF$23="",ISNA($B144)),"",IF(ISBLANK($B144),"",IFERROR(_xll.BDP(TICKER,"DEEP_MEASURE_PERIOD_BROKER_VALUE","DEEP_MEASURE_ID_OVERRIDE",$C144,"DEEP_BROKER_ID_OVERRIDE",BF$24,"DEEP_PERIOD_OVERRIDE",$H$19)*1,"")))</f>
        <v/>
      </c>
      <c r="BG144" t="str">
        <f>IF(OR(BG$23="",ISNA($B144)),"",IF(ISBLANK($B144),"",IFERROR(_xll.BDP(TICKER,"DEEP_MEASURE_PERIOD_BROKER_VALUE","DEEP_MEASURE_ID_OVERRIDE",$C144,"DEEP_BROKER_ID_OVERRIDE",BG$24,"DEEP_PERIOD_OVERRIDE",$H$19)*1,"")))</f>
        <v/>
      </c>
      <c r="BH144" t="str">
        <f>IF(OR(BH$23="",ISNA($B144)),"",IF(ISBLANK($B144),"",IFERROR(_xll.BDP(TICKER,"DEEP_MEASURE_PERIOD_BROKER_VALUE","DEEP_MEASURE_ID_OVERRIDE",$C144,"DEEP_BROKER_ID_OVERRIDE",BH$24,"DEEP_PERIOD_OVERRIDE",$H$19)*1,"")))</f>
        <v/>
      </c>
      <c r="BI144" t="str">
        <f>IF(OR(BI$23="",ISNA($B144)),"",IF(ISBLANK($B144),"",IFERROR(_xll.BDP(TICKER,"DEEP_MEASURE_PERIOD_BROKER_VALUE","DEEP_MEASURE_ID_OVERRIDE",$C144,"DEEP_BROKER_ID_OVERRIDE",BI$24,"DEEP_PERIOD_OVERRIDE",$H$19)*1,"")))</f>
        <v/>
      </c>
      <c r="BJ144" t="str">
        <f>IF(OR(BJ$23="",ISNA($B144)),"",IF(ISBLANK($B144),"",IFERROR(_xll.BDP(TICKER,"DEEP_MEASURE_PERIOD_BROKER_VALUE","DEEP_MEASURE_ID_OVERRIDE",$C144,"DEEP_BROKER_ID_OVERRIDE",BJ$24,"DEEP_PERIOD_OVERRIDE",$H$19)*1,"")))</f>
        <v/>
      </c>
      <c r="BK144" t="str">
        <f>IF(OR(BK$23="",ISNA($B144)),"",IF(ISBLANK($B144),"",IFERROR(_xll.BDP(TICKER,"DEEP_MEASURE_PERIOD_BROKER_VALUE","DEEP_MEASURE_ID_OVERRIDE",$C144,"DEEP_BROKER_ID_OVERRIDE",BK$24,"DEEP_PERIOD_OVERRIDE",$H$19)*1,"")))</f>
        <v/>
      </c>
      <c r="BL144" t="str">
        <f>IF(OR(BL$23="",ISNA($B144)),"",IF(ISBLANK($B144),"",IFERROR(_xll.BDP(TICKER,"DEEP_MEASURE_PERIOD_BROKER_VALUE","DEEP_MEASURE_ID_OVERRIDE",$C144,"DEEP_BROKER_ID_OVERRIDE",BL$24,"DEEP_PERIOD_OVERRIDE",$H$19)*1,"")))</f>
        <v/>
      </c>
      <c r="BM144" t="str">
        <f>IF(OR(BM$23="",ISNA($B144)),"",IF(ISBLANK($B144),"",IFERROR(_xll.BDP(TICKER,"DEEP_MEASURE_PERIOD_BROKER_VALUE","DEEP_MEASURE_ID_OVERRIDE",$C144,"DEEP_BROKER_ID_OVERRIDE",BM$24,"DEEP_PERIOD_OVERRIDE",$H$19)*1,"")))</f>
        <v/>
      </c>
      <c r="BN144" t="str">
        <f>IF(OR(BN$23="",ISNA($B144)),"",IF(ISBLANK($B144),"",IFERROR(_xll.BDP(TICKER,"DEEP_MEASURE_PERIOD_BROKER_VALUE","DEEP_MEASURE_ID_OVERRIDE",$C144,"DEEP_BROKER_ID_OVERRIDE",BN$24,"DEEP_PERIOD_OVERRIDE",$H$19)*1,"")))</f>
        <v/>
      </c>
      <c r="BO144" t="str">
        <f>IF(OR(BO$23="",ISNA($B144)),"",IF(ISBLANK($B144),"",IFERROR(_xll.BDP(TICKER,"DEEP_MEASURE_PERIOD_BROKER_VALUE","DEEP_MEASURE_ID_OVERRIDE",$C144,"DEEP_BROKER_ID_OVERRIDE",BO$24,"DEEP_PERIOD_OVERRIDE",$H$19)*1,"")))</f>
        <v/>
      </c>
      <c r="BP144" t="str">
        <f>IF(OR(BP$23="",ISNA($B144)),"",IF(ISBLANK($B144),"",IFERROR(_xll.BDP(TICKER,"DEEP_MEASURE_PERIOD_BROKER_VALUE","DEEP_MEASURE_ID_OVERRIDE",$C144,"DEEP_BROKER_ID_OVERRIDE",BP$24,"DEEP_PERIOD_OVERRIDE",$H$19)*1,"")))</f>
        <v/>
      </c>
      <c r="BQ144" t="str">
        <f>IF(OR(BQ$23="",ISNA($B144)),"",IF(ISBLANK($B144),"",IFERROR(_xll.BDP(TICKER,"DEEP_MEASURE_PERIOD_BROKER_VALUE","DEEP_MEASURE_ID_OVERRIDE",$C144,"DEEP_BROKER_ID_OVERRIDE",BQ$24,"DEEP_PERIOD_OVERRIDE",$H$19)*1,"")))</f>
        <v/>
      </c>
      <c r="BR144" t="str">
        <f>IF(OR(BR$23="",ISNA($B144)),"",IF(ISBLANK($B144),"",IFERROR(_xll.BDP(TICKER,"DEEP_MEASURE_PERIOD_BROKER_VALUE","DEEP_MEASURE_ID_OVERRIDE",$C144,"DEEP_BROKER_ID_OVERRIDE",BR$24,"DEEP_PERIOD_OVERRIDE",$H$19)*1,"")))</f>
        <v/>
      </c>
      <c r="BS144" t="str">
        <f>IF(OR(BS$23="",ISNA($B144)),"",IF(ISBLANK($B144),"",IFERROR(_xll.BDP(TICKER,"DEEP_MEASURE_PERIOD_BROKER_VALUE","DEEP_MEASURE_ID_OVERRIDE",$C144,"DEEP_BROKER_ID_OVERRIDE",BS$24,"DEEP_PERIOD_OVERRIDE",$H$19)*1,"")))</f>
        <v/>
      </c>
      <c r="BT144" t="str">
        <f>IF(OR(BT$23="",ISNA($B144)),"",IF(ISBLANK($B144),"",IFERROR(_xll.BDP(TICKER,"DEEP_MEASURE_PERIOD_BROKER_VALUE","DEEP_MEASURE_ID_OVERRIDE",$C144,"DEEP_BROKER_ID_OVERRIDE",BT$24,"DEEP_PERIOD_OVERRIDE",$H$19)*1,"")))</f>
        <v/>
      </c>
      <c r="BU144" t="str">
        <f>IF(OR(BU$23="",ISNA($B144)),"",IF(ISBLANK($B144),"",IFERROR(_xll.BDP(TICKER,"DEEP_MEASURE_PERIOD_BROKER_VALUE","DEEP_MEASURE_ID_OVERRIDE",$C144,"DEEP_BROKER_ID_OVERRIDE",BU$24,"DEEP_PERIOD_OVERRIDE",$H$19)*1,"")))</f>
        <v/>
      </c>
      <c r="BV144" t="str">
        <f>IF(OR(BV$23="",ISNA($B144)),"",IF(ISBLANK($B144),"",IFERROR(_xll.BDP(TICKER,"DEEP_MEASURE_PERIOD_BROKER_VALUE","DEEP_MEASURE_ID_OVERRIDE",$C144,"DEEP_BROKER_ID_OVERRIDE",BV$24,"DEEP_PERIOD_OVERRIDE",$H$19)*1,"")))</f>
        <v/>
      </c>
      <c r="BW144" t="str">
        <f>IF(OR(BW$23="",ISNA($B144)),"",IF(ISBLANK($B144),"",IFERROR(_xll.BDP(TICKER,"DEEP_MEASURE_PERIOD_BROKER_VALUE","DEEP_MEASURE_ID_OVERRIDE",$C144,"DEEP_BROKER_ID_OVERRIDE",BW$24,"DEEP_PERIOD_OVERRIDE",$H$19)*1,"")))</f>
        <v/>
      </c>
      <c r="BX144" t="str">
        <f>IF(OR(BX$23="",ISNA($B144)),"",IF(ISBLANK($B144),"",IFERROR(_xll.BDP(TICKER,"DEEP_MEASURE_PERIOD_BROKER_VALUE","DEEP_MEASURE_ID_OVERRIDE",$C144,"DEEP_BROKER_ID_OVERRIDE",BX$24,"DEEP_PERIOD_OVERRIDE",$H$19)*1,"")))</f>
        <v/>
      </c>
      <c r="BY144" t="str">
        <f>IF(OR(BY$23="",ISNA($B144)),"",IF(ISBLANK($B144),"",IFERROR(_xll.BDP(TICKER,"DEEP_MEASURE_PERIOD_BROKER_VALUE","DEEP_MEASURE_ID_OVERRIDE",$C144,"DEEP_BROKER_ID_OVERRIDE",BY$24,"DEEP_PERIOD_OVERRIDE",$H$19)*1,"")))</f>
        <v/>
      </c>
      <c r="BZ144" t="str">
        <f>IF(OR(BZ$23="",ISNA($B144)),"",IF(ISBLANK($B144),"",IFERROR(_xll.BDP(TICKER,"DEEP_MEASURE_PERIOD_BROKER_VALUE","DEEP_MEASURE_ID_OVERRIDE",$C144,"DEEP_BROKER_ID_OVERRIDE",BZ$24,"DEEP_PERIOD_OVERRIDE",$H$19)*1,"")))</f>
        <v/>
      </c>
    </row>
    <row r="145" spans="2:78" x14ac:dyDescent="0.25">
      <c r="B145" t="s">
        <v>175</v>
      </c>
      <c r="C145">
        <v>1750</v>
      </c>
      <c r="H145" t="str">
        <f t="shared" si="2"/>
        <v>Basic EPS, GAAP</v>
      </c>
      <c r="I145" t="str">
        <f>IF(OR(I$23="",ISNA($B145)),"",IF(ISBLANK($B145),"",IFERROR(_xll.BDP(TICKER,"DEEP_MEASURE_PERIOD_BROKER_VALUE","DEEP_MEASURE_ID_OVERRIDE",$C145,"DEEP_PERIOD_OVERRIDE",$H$19)*1,"")))</f>
        <v/>
      </c>
      <c r="J145" t="e">
        <f>IF(OR(J$23="",ISNA($B145)),"",IF(ISBLANK($B145),"",IFERROR(_xll.BDP(TICKER,"DEEP_MEASURE_PERIOD_BROKER_VALUE","DEEP_MEASURE_ID_OVERRIDE",$C145,"DEEP_BROKER_ID_OVERRIDE",J$24,"DEEP_PERIOD_OVERRIDE",$H$19)*1,"")))</f>
        <v>#REF!</v>
      </c>
      <c r="K145" t="str">
        <f>IF(OR(K$23="",ISNA($B145)),"",IF(ISBLANK($B145),"",IFERROR(_xll.BDP(TICKER,"DEEP_MEASURE_PERIOD_BROKER_VALUE","DEEP_MEASURE_ID_OVERRIDE",$C145,"DEEP_BROKER_ID_OVERRIDE",K$24,"DEEP_PERIOD_OVERRIDE",$H$19)*1,"")))</f>
        <v/>
      </c>
      <c r="L145" t="str">
        <f>IF(OR(L$23="",ISNA($B145)),"",IF(ISBLANK($B145),"",IFERROR(_xll.BDP(TICKER,"DEEP_MEASURE_PERIOD_BROKER_VALUE","DEEP_MEASURE_ID_OVERRIDE",$C145,"DEEP_BROKER_ID_OVERRIDE",L$24,"DEEP_PERIOD_OVERRIDE",$H$19)*1,"")))</f>
        <v/>
      </c>
      <c r="M145" t="str">
        <f>IF(OR(M$23="",ISNA($B145)),"",IF(ISBLANK($B145),"",IFERROR(_xll.BDP(TICKER,"DEEP_MEASURE_PERIOD_BROKER_VALUE","DEEP_MEASURE_ID_OVERRIDE",$C145,"DEEP_BROKER_ID_OVERRIDE",M$24,"DEEP_PERIOD_OVERRIDE",$H$19)*1,"")))</f>
        <v/>
      </c>
      <c r="N145" t="str">
        <f>IF(OR(N$23="",ISNA($B145)),"",IF(ISBLANK($B145),"",IFERROR(_xll.BDP(TICKER,"DEEP_MEASURE_PERIOD_BROKER_VALUE","DEEP_MEASURE_ID_OVERRIDE",$C145,"DEEP_BROKER_ID_OVERRIDE",N$24,"DEEP_PERIOD_OVERRIDE",$H$19)*1,"")))</f>
        <v/>
      </c>
      <c r="O145" t="str">
        <f>IF(OR(O$23="",ISNA($B145)),"",IF(ISBLANK($B145),"",IFERROR(_xll.BDP(TICKER,"DEEP_MEASURE_PERIOD_BROKER_VALUE","DEEP_MEASURE_ID_OVERRIDE",$C145,"DEEP_BROKER_ID_OVERRIDE",O$24,"DEEP_PERIOD_OVERRIDE",$H$19)*1,"")))</f>
        <v/>
      </c>
      <c r="P145" t="str">
        <f>IF(OR(P$23="",ISNA($B145)),"",IF(ISBLANK($B145),"",IFERROR(_xll.BDP(TICKER,"DEEP_MEASURE_PERIOD_BROKER_VALUE","DEEP_MEASURE_ID_OVERRIDE",$C145,"DEEP_BROKER_ID_OVERRIDE",P$24,"DEEP_PERIOD_OVERRIDE",$H$19)*1,"")))</f>
        <v/>
      </c>
      <c r="Q145" t="str">
        <f>IF(OR(Q$23="",ISNA($B145)),"",IF(ISBLANK($B145),"",IFERROR(_xll.BDP(TICKER,"DEEP_MEASURE_PERIOD_BROKER_VALUE","DEEP_MEASURE_ID_OVERRIDE",$C145,"DEEP_BROKER_ID_OVERRIDE",Q$24,"DEEP_PERIOD_OVERRIDE",$H$19)*1,"")))</f>
        <v/>
      </c>
      <c r="R145" t="str">
        <f>IF(OR(R$23="",ISNA($B145)),"",IF(ISBLANK($B145),"",IFERROR(_xll.BDP(TICKER,"DEEP_MEASURE_PERIOD_BROKER_VALUE","DEEP_MEASURE_ID_OVERRIDE",$C145,"DEEP_BROKER_ID_OVERRIDE",R$24,"DEEP_PERIOD_OVERRIDE",$H$19)*1,"")))</f>
        <v/>
      </c>
      <c r="S145" t="str">
        <f>IF(OR(S$23="",ISNA($B145)),"",IF(ISBLANK($B145),"",IFERROR(_xll.BDP(TICKER,"DEEP_MEASURE_PERIOD_BROKER_VALUE","DEEP_MEASURE_ID_OVERRIDE",$C145,"DEEP_BROKER_ID_OVERRIDE",S$24,"DEEP_PERIOD_OVERRIDE",$H$19)*1,"")))</f>
        <v/>
      </c>
      <c r="T145" t="str">
        <f>IF(OR(T$23="",ISNA($B145)),"",IF(ISBLANK($B145),"",IFERROR(_xll.BDP(TICKER,"DEEP_MEASURE_PERIOD_BROKER_VALUE","DEEP_MEASURE_ID_OVERRIDE",$C145,"DEEP_BROKER_ID_OVERRIDE",T$24,"DEEP_PERIOD_OVERRIDE",$H$19)*1,"")))</f>
        <v/>
      </c>
      <c r="U145" t="str">
        <f>IF(OR(U$23="",ISNA($B145)),"",IF(ISBLANK($B145),"",IFERROR(_xll.BDP(TICKER,"DEEP_MEASURE_PERIOD_BROKER_VALUE","DEEP_MEASURE_ID_OVERRIDE",$C145,"DEEP_BROKER_ID_OVERRIDE",U$24,"DEEP_PERIOD_OVERRIDE",$H$19)*1,"")))</f>
        <v/>
      </c>
      <c r="V145" t="str">
        <f>IF(OR(V$23="",ISNA($B145)),"",IF(ISBLANK($B145),"",IFERROR(_xll.BDP(TICKER,"DEEP_MEASURE_PERIOD_BROKER_VALUE","DEEP_MEASURE_ID_OVERRIDE",$C145,"DEEP_BROKER_ID_OVERRIDE",V$24,"DEEP_PERIOD_OVERRIDE",$H$19)*1,"")))</f>
        <v/>
      </c>
      <c r="W145" t="str">
        <f>IF(OR(W$23="",ISNA($B145)),"",IF(ISBLANK($B145),"",IFERROR(_xll.BDP(TICKER,"DEEP_MEASURE_PERIOD_BROKER_VALUE","DEEP_MEASURE_ID_OVERRIDE",$C145,"DEEP_BROKER_ID_OVERRIDE",W$24,"DEEP_PERIOD_OVERRIDE",$H$19)*1,"")))</f>
        <v/>
      </c>
      <c r="X145" t="str">
        <f>IF(OR(X$23="",ISNA($B145)),"",IF(ISBLANK($B145),"",IFERROR(_xll.BDP(TICKER,"DEEP_MEASURE_PERIOD_BROKER_VALUE","DEEP_MEASURE_ID_OVERRIDE",$C145,"DEEP_BROKER_ID_OVERRIDE",X$24,"DEEP_PERIOD_OVERRIDE",$H$19)*1,"")))</f>
        <v/>
      </c>
      <c r="Y145" t="str">
        <f>IF(OR(Y$23="",ISNA($B145)),"",IF(ISBLANK($B145),"",IFERROR(_xll.BDP(TICKER,"DEEP_MEASURE_PERIOD_BROKER_VALUE","DEEP_MEASURE_ID_OVERRIDE",$C145,"DEEP_BROKER_ID_OVERRIDE",Y$24,"DEEP_PERIOD_OVERRIDE",$H$19)*1,"")))</f>
        <v/>
      </c>
      <c r="Z145" t="str">
        <f>IF(OR(Z$23="",ISNA($B145)),"",IF(ISBLANK($B145),"",IFERROR(_xll.BDP(TICKER,"DEEP_MEASURE_PERIOD_BROKER_VALUE","DEEP_MEASURE_ID_OVERRIDE",$C145,"DEEP_BROKER_ID_OVERRIDE",Z$24,"DEEP_PERIOD_OVERRIDE",$H$19)*1,"")))</f>
        <v/>
      </c>
      <c r="AA145" t="str">
        <f>IF(OR(AA$23="",ISNA($B145)),"",IF(ISBLANK($B145),"",IFERROR(_xll.BDP(TICKER,"DEEP_MEASURE_PERIOD_BROKER_VALUE","DEEP_MEASURE_ID_OVERRIDE",$C145,"DEEP_BROKER_ID_OVERRIDE",AA$24,"DEEP_PERIOD_OVERRIDE",$H$19)*1,"")))</f>
        <v/>
      </c>
      <c r="AB145" t="str">
        <f>IF(OR(AB$23="",ISNA($B145)),"",IF(ISBLANK($B145),"",IFERROR(_xll.BDP(TICKER,"DEEP_MEASURE_PERIOD_BROKER_VALUE","DEEP_MEASURE_ID_OVERRIDE",$C145,"DEEP_BROKER_ID_OVERRIDE",AB$24,"DEEP_PERIOD_OVERRIDE",$H$19)*1,"")))</f>
        <v/>
      </c>
      <c r="AC145" t="str">
        <f>IF(OR(AC$23="",ISNA($B145)),"",IF(ISBLANK($B145),"",IFERROR(_xll.BDP(TICKER,"DEEP_MEASURE_PERIOD_BROKER_VALUE","DEEP_MEASURE_ID_OVERRIDE",$C145,"DEEP_BROKER_ID_OVERRIDE",AC$24,"DEEP_PERIOD_OVERRIDE",$H$19)*1,"")))</f>
        <v/>
      </c>
      <c r="AD145" t="str">
        <f>IF(OR(AD$23="",ISNA($B145)),"",IF(ISBLANK($B145),"",IFERROR(_xll.BDP(TICKER,"DEEP_MEASURE_PERIOD_BROKER_VALUE","DEEP_MEASURE_ID_OVERRIDE",$C145,"DEEP_BROKER_ID_OVERRIDE",AD$24,"DEEP_PERIOD_OVERRIDE",$H$19)*1,"")))</f>
        <v/>
      </c>
      <c r="AE145" t="str">
        <f>IF(OR(AE$23="",ISNA($B145)),"",IF(ISBLANK($B145),"",IFERROR(_xll.BDP(TICKER,"DEEP_MEASURE_PERIOD_BROKER_VALUE","DEEP_MEASURE_ID_OVERRIDE",$C145,"DEEP_BROKER_ID_OVERRIDE",AE$24,"DEEP_PERIOD_OVERRIDE",$H$19)*1,"")))</f>
        <v/>
      </c>
      <c r="AF145" t="str">
        <f>IF(OR(AF$23="",ISNA($B145)),"",IF(ISBLANK($B145),"",IFERROR(_xll.BDP(TICKER,"DEEP_MEASURE_PERIOD_BROKER_VALUE","DEEP_MEASURE_ID_OVERRIDE",$C145,"DEEP_BROKER_ID_OVERRIDE",AF$24,"DEEP_PERIOD_OVERRIDE",$H$19)*1,"")))</f>
        <v/>
      </c>
      <c r="AG145" t="str">
        <f>IF(OR(AG$23="",ISNA($B145)),"",IF(ISBLANK($B145),"",IFERROR(_xll.BDP(TICKER,"DEEP_MEASURE_PERIOD_BROKER_VALUE","DEEP_MEASURE_ID_OVERRIDE",$C145,"DEEP_BROKER_ID_OVERRIDE",AG$24,"DEEP_PERIOD_OVERRIDE",$H$19)*1,"")))</f>
        <v/>
      </c>
      <c r="AH145" t="str">
        <f>IF(OR(AH$23="",ISNA($B145)),"",IF(ISBLANK($B145),"",IFERROR(_xll.BDP(TICKER,"DEEP_MEASURE_PERIOD_BROKER_VALUE","DEEP_MEASURE_ID_OVERRIDE",$C145,"DEEP_BROKER_ID_OVERRIDE",AH$24,"DEEP_PERIOD_OVERRIDE",$H$19)*1,"")))</f>
        <v/>
      </c>
      <c r="AI145" t="str">
        <f>IF(OR(AI$23="",ISNA($B145)),"",IF(ISBLANK($B145),"",IFERROR(_xll.BDP(TICKER,"DEEP_MEASURE_PERIOD_BROKER_VALUE","DEEP_MEASURE_ID_OVERRIDE",$C145,"DEEP_BROKER_ID_OVERRIDE",AI$24,"DEEP_PERIOD_OVERRIDE",$H$19)*1,"")))</f>
        <v/>
      </c>
      <c r="AJ145" t="str">
        <f>IF(OR(AJ$23="",ISNA($B145)),"",IF(ISBLANK($B145),"",IFERROR(_xll.BDP(TICKER,"DEEP_MEASURE_PERIOD_BROKER_VALUE","DEEP_MEASURE_ID_OVERRIDE",$C145,"DEEP_BROKER_ID_OVERRIDE",AJ$24,"DEEP_PERIOD_OVERRIDE",$H$19)*1,"")))</f>
        <v/>
      </c>
      <c r="AK145" t="str">
        <f>IF(OR(AK$23="",ISNA($B145)),"",IF(ISBLANK($B145),"",IFERROR(_xll.BDP(TICKER,"DEEP_MEASURE_PERIOD_BROKER_VALUE","DEEP_MEASURE_ID_OVERRIDE",$C145,"DEEP_BROKER_ID_OVERRIDE",AK$24,"DEEP_PERIOD_OVERRIDE",$H$19)*1,"")))</f>
        <v/>
      </c>
      <c r="AL145" t="str">
        <f>IF(OR(AL$23="",ISNA($B145)),"",IF(ISBLANK($B145),"",IFERROR(_xll.BDP(TICKER,"DEEP_MEASURE_PERIOD_BROKER_VALUE","DEEP_MEASURE_ID_OVERRIDE",$C145,"DEEP_BROKER_ID_OVERRIDE",AL$24,"DEEP_PERIOD_OVERRIDE",$H$19)*1,"")))</f>
        <v/>
      </c>
      <c r="AM145" t="str">
        <f>IF(OR(AM$23="",ISNA($B145)),"",IF(ISBLANK($B145),"",IFERROR(_xll.BDP(TICKER,"DEEP_MEASURE_PERIOD_BROKER_VALUE","DEEP_MEASURE_ID_OVERRIDE",$C145,"DEEP_BROKER_ID_OVERRIDE",AM$24,"DEEP_PERIOD_OVERRIDE",$H$19)*1,"")))</f>
        <v/>
      </c>
      <c r="AN145" t="str">
        <f>IF(OR(AN$23="",ISNA($B145)),"",IF(ISBLANK($B145),"",IFERROR(_xll.BDP(TICKER,"DEEP_MEASURE_PERIOD_BROKER_VALUE","DEEP_MEASURE_ID_OVERRIDE",$C145,"DEEP_BROKER_ID_OVERRIDE",AN$24,"DEEP_PERIOD_OVERRIDE",$H$19)*1,"")))</f>
        <v/>
      </c>
      <c r="AO145" t="str">
        <f>IF(OR(AO$23="",ISNA($B145)),"",IF(ISBLANK($B145),"",IFERROR(_xll.BDP(TICKER,"DEEP_MEASURE_PERIOD_BROKER_VALUE","DEEP_MEASURE_ID_OVERRIDE",$C145,"DEEP_BROKER_ID_OVERRIDE",AO$24,"DEEP_PERIOD_OVERRIDE",$H$19)*1,"")))</f>
        <v/>
      </c>
      <c r="AP145" t="str">
        <f>IF(OR(AP$23="",ISNA($B145)),"",IF(ISBLANK($B145),"",IFERROR(_xll.BDP(TICKER,"DEEP_MEASURE_PERIOD_BROKER_VALUE","DEEP_MEASURE_ID_OVERRIDE",$C145,"DEEP_BROKER_ID_OVERRIDE",AP$24,"DEEP_PERIOD_OVERRIDE",$H$19)*1,"")))</f>
        <v/>
      </c>
      <c r="AQ145" t="str">
        <f>IF(OR(AQ$23="",ISNA($B145)),"",IF(ISBLANK($B145),"",IFERROR(_xll.BDP(TICKER,"DEEP_MEASURE_PERIOD_BROKER_VALUE","DEEP_MEASURE_ID_OVERRIDE",$C145,"DEEP_BROKER_ID_OVERRIDE",AQ$24,"DEEP_PERIOD_OVERRIDE",$H$19)*1,"")))</f>
        <v/>
      </c>
      <c r="AR145" t="str">
        <f>IF(OR(AR$23="",ISNA($B145)),"",IF(ISBLANK($B145),"",IFERROR(_xll.BDP(TICKER,"DEEP_MEASURE_PERIOD_BROKER_VALUE","DEEP_MEASURE_ID_OVERRIDE",$C145,"DEEP_BROKER_ID_OVERRIDE",AR$24,"DEEP_PERIOD_OVERRIDE",$H$19)*1,"")))</f>
        <v/>
      </c>
      <c r="AS145" t="str">
        <f>IF(OR(AS$23="",ISNA($B145)),"",IF(ISBLANK($B145),"",IFERROR(_xll.BDP(TICKER,"DEEP_MEASURE_PERIOD_BROKER_VALUE","DEEP_MEASURE_ID_OVERRIDE",$C145,"DEEP_BROKER_ID_OVERRIDE",AS$24,"DEEP_PERIOD_OVERRIDE",$H$19)*1,"")))</f>
        <v/>
      </c>
      <c r="AT145" t="str">
        <f>IF(OR(AT$23="",ISNA($B145)),"",IF(ISBLANK($B145),"",IFERROR(_xll.BDP(TICKER,"DEEP_MEASURE_PERIOD_BROKER_VALUE","DEEP_MEASURE_ID_OVERRIDE",$C145,"DEEP_BROKER_ID_OVERRIDE",AT$24,"DEEP_PERIOD_OVERRIDE",$H$19)*1,"")))</f>
        <v/>
      </c>
      <c r="AU145" t="str">
        <f>IF(OR(AU$23="",ISNA($B145)),"",IF(ISBLANK($B145),"",IFERROR(_xll.BDP(TICKER,"DEEP_MEASURE_PERIOD_BROKER_VALUE","DEEP_MEASURE_ID_OVERRIDE",$C145,"DEEP_BROKER_ID_OVERRIDE",AU$24,"DEEP_PERIOD_OVERRIDE",$H$19)*1,"")))</f>
        <v/>
      </c>
      <c r="AV145" t="str">
        <f>IF(OR(AV$23="",ISNA($B145)),"",IF(ISBLANK($B145),"",IFERROR(_xll.BDP(TICKER,"DEEP_MEASURE_PERIOD_BROKER_VALUE","DEEP_MEASURE_ID_OVERRIDE",$C145,"DEEP_BROKER_ID_OVERRIDE",AV$24,"DEEP_PERIOD_OVERRIDE",$H$19)*1,"")))</f>
        <v/>
      </c>
      <c r="AW145" t="str">
        <f>IF(OR(AW$23="",ISNA($B145)),"",IF(ISBLANK($B145),"",IFERROR(_xll.BDP(TICKER,"DEEP_MEASURE_PERIOD_BROKER_VALUE","DEEP_MEASURE_ID_OVERRIDE",$C145,"DEEP_BROKER_ID_OVERRIDE",AW$24,"DEEP_PERIOD_OVERRIDE",$H$19)*1,"")))</f>
        <v/>
      </c>
      <c r="AX145" t="str">
        <f>IF(OR(AX$23="",ISNA($B145)),"",IF(ISBLANK($B145),"",IFERROR(_xll.BDP(TICKER,"DEEP_MEASURE_PERIOD_BROKER_VALUE","DEEP_MEASURE_ID_OVERRIDE",$C145,"DEEP_BROKER_ID_OVERRIDE",AX$24,"DEEP_PERIOD_OVERRIDE",$H$19)*1,"")))</f>
        <v/>
      </c>
      <c r="AY145" t="str">
        <f>IF(OR(AY$23="",ISNA($B145)),"",IF(ISBLANK($B145),"",IFERROR(_xll.BDP(TICKER,"DEEP_MEASURE_PERIOD_BROKER_VALUE","DEEP_MEASURE_ID_OVERRIDE",$C145,"DEEP_BROKER_ID_OVERRIDE",AY$24,"DEEP_PERIOD_OVERRIDE",$H$19)*1,"")))</f>
        <v/>
      </c>
      <c r="AZ145" t="str">
        <f>IF(OR(AZ$23="",ISNA($B145)),"",IF(ISBLANK($B145),"",IFERROR(_xll.BDP(TICKER,"DEEP_MEASURE_PERIOD_BROKER_VALUE","DEEP_MEASURE_ID_OVERRIDE",$C145,"DEEP_BROKER_ID_OVERRIDE",AZ$24,"DEEP_PERIOD_OVERRIDE",$H$19)*1,"")))</f>
        <v/>
      </c>
      <c r="BA145" t="str">
        <f>IF(OR(BA$23="",ISNA($B145)),"",IF(ISBLANK($B145),"",IFERROR(_xll.BDP(TICKER,"DEEP_MEASURE_PERIOD_BROKER_VALUE","DEEP_MEASURE_ID_OVERRIDE",$C145,"DEEP_BROKER_ID_OVERRIDE",BA$24,"DEEP_PERIOD_OVERRIDE",$H$19)*1,"")))</f>
        <v/>
      </c>
      <c r="BB145" t="str">
        <f>IF(OR(BB$23="",ISNA($B145)),"",IF(ISBLANK($B145),"",IFERROR(_xll.BDP(TICKER,"DEEP_MEASURE_PERIOD_BROKER_VALUE","DEEP_MEASURE_ID_OVERRIDE",$C145,"DEEP_BROKER_ID_OVERRIDE",BB$24,"DEEP_PERIOD_OVERRIDE",$H$19)*1,"")))</f>
        <v/>
      </c>
      <c r="BC145" t="str">
        <f>IF(OR(BC$23="",ISNA($B145)),"",IF(ISBLANK($B145),"",IFERROR(_xll.BDP(TICKER,"DEEP_MEASURE_PERIOD_BROKER_VALUE","DEEP_MEASURE_ID_OVERRIDE",$C145,"DEEP_BROKER_ID_OVERRIDE",BC$24,"DEEP_PERIOD_OVERRIDE",$H$19)*1,"")))</f>
        <v/>
      </c>
      <c r="BD145" t="str">
        <f>IF(OR(BD$23="",ISNA($B145)),"",IF(ISBLANK($B145),"",IFERROR(_xll.BDP(TICKER,"DEEP_MEASURE_PERIOD_BROKER_VALUE","DEEP_MEASURE_ID_OVERRIDE",$C145,"DEEP_BROKER_ID_OVERRIDE",BD$24,"DEEP_PERIOD_OVERRIDE",$H$19)*1,"")))</f>
        <v/>
      </c>
      <c r="BE145" t="str">
        <f>IF(OR(BE$23="",ISNA($B145)),"",IF(ISBLANK($B145),"",IFERROR(_xll.BDP(TICKER,"DEEP_MEASURE_PERIOD_BROKER_VALUE","DEEP_MEASURE_ID_OVERRIDE",$C145,"DEEP_BROKER_ID_OVERRIDE",BE$24,"DEEP_PERIOD_OVERRIDE",$H$19)*1,"")))</f>
        <v/>
      </c>
      <c r="BF145" t="str">
        <f>IF(OR(BF$23="",ISNA($B145)),"",IF(ISBLANK($B145),"",IFERROR(_xll.BDP(TICKER,"DEEP_MEASURE_PERIOD_BROKER_VALUE","DEEP_MEASURE_ID_OVERRIDE",$C145,"DEEP_BROKER_ID_OVERRIDE",BF$24,"DEEP_PERIOD_OVERRIDE",$H$19)*1,"")))</f>
        <v/>
      </c>
      <c r="BG145" t="str">
        <f>IF(OR(BG$23="",ISNA($B145)),"",IF(ISBLANK($B145),"",IFERROR(_xll.BDP(TICKER,"DEEP_MEASURE_PERIOD_BROKER_VALUE","DEEP_MEASURE_ID_OVERRIDE",$C145,"DEEP_BROKER_ID_OVERRIDE",BG$24,"DEEP_PERIOD_OVERRIDE",$H$19)*1,"")))</f>
        <v/>
      </c>
      <c r="BH145" t="str">
        <f>IF(OR(BH$23="",ISNA($B145)),"",IF(ISBLANK($B145),"",IFERROR(_xll.BDP(TICKER,"DEEP_MEASURE_PERIOD_BROKER_VALUE","DEEP_MEASURE_ID_OVERRIDE",$C145,"DEEP_BROKER_ID_OVERRIDE",BH$24,"DEEP_PERIOD_OVERRIDE",$H$19)*1,"")))</f>
        <v/>
      </c>
      <c r="BI145" t="str">
        <f>IF(OR(BI$23="",ISNA($B145)),"",IF(ISBLANK($B145),"",IFERROR(_xll.BDP(TICKER,"DEEP_MEASURE_PERIOD_BROKER_VALUE","DEEP_MEASURE_ID_OVERRIDE",$C145,"DEEP_BROKER_ID_OVERRIDE",BI$24,"DEEP_PERIOD_OVERRIDE",$H$19)*1,"")))</f>
        <v/>
      </c>
      <c r="BJ145" t="str">
        <f>IF(OR(BJ$23="",ISNA($B145)),"",IF(ISBLANK($B145),"",IFERROR(_xll.BDP(TICKER,"DEEP_MEASURE_PERIOD_BROKER_VALUE","DEEP_MEASURE_ID_OVERRIDE",$C145,"DEEP_BROKER_ID_OVERRIDE",BJ$24,"DEEP_PERIOD_OVERRIDE",$H$19)*1,"")))</f>
        <v/>
      </c>
      <c r="BK145" t="str">
        <f>IF(OR(BK$23="",ISNA($B145)),"",IF(ISBLANK($B145),"",IFERROR(_xll.BDP(TICKER,"DEEP_MEASURE_PERIOD_BROKER_VALUE","DEEP_MEASURE_ID_OVERRIDE",$C145,"DEEP_BROKER_ID_OVERRIDE",BK$24,"DEEP_PERIOD_OVERRIDE",$H$19)*1,"")))</f>
        <v/>
      </c>
      <c r="BL145" t="str">
        <f>IF(OR(BL$23="",ISNA($B145)),"",IF(ISBLANK($B145),"",IFERROR(_xll.BDP(TICKER,"DEEP_MEASURE_PERIOD_BROKER_VALUE","DEEP_MEASURE_ID_OVERRIDE",$C145,"DEEP_BROKER_ID_OVERRIDE",BL$24,"DEEP_PERIOD_OVERRIDE",$H$19)*1,"")))</f>
        <v/>
      </c>
      <c r="BM145" t="str">
        <f>IF(OR(BM$23="",ISNA($B145)),"",IF(ISBLANK($B145),"",IFERROR(_xll.BDP(TICKER,"DEEP_MEASURE_PERIOD_BROKER_VALUE","DEEP_MEASURE_ID_OVERRIDE",$C145,"DEEP_BROKER_ID_OVERRIDE",BM$24,"DEEP_PERIOD_OVERRIDE",$H$19)*1,"")))</f>
        <v/>
      </c>
      <c r="BN145" t="str">
        <f>IF(OR(BN$23="",ISNA($B145)),"",IF(ISBLANK($B145),"",IFERROR(_xll.BDP(TICKER,"DEEP_MEASURE_PERIOD_BROKER_VALUE","DEEP_MEASURE_ID_OVERRIDE",$C145,"DEEP_BROKER_ID_OVERRIDE",BN$24,"DEEP_PERIOD_OVERRIDE",$H$19)*1,"")))</f>
        <v/>
      </c>
      <c r="BO145" t="str">
        <f>IF(OR(BO$23="",ISNA($B145)),"",IF(ISBLANK($B145),"",IFERROR(_xll.BDP(TICKER,"DEEP_MEASURE_PERIOD_BROKER_VALUE","DEEP_MEASURE_ID_OVERRIDE",$C145,"DEEP_BROKER_ID_OVERRIDE",BO$24,"DEEP_PERIOD_OVERRIDE",$H$19)*1,"")))</f>
        <v/>
      </c>
      <c r="BP145" t="str">
        <f>IF(OR(BP$23="",ISNA($B145)),"",IF(ISBLANK($B145),"",IFERROR(_xll.BDP(TICKER,"DEEP_MEASURE_PERIOD_BROKER_VALUE","DEEP_MEASURE_ID_OVERRIDE",$C145,"DEEP_BROKER_ID_OVERRIDE",BP$24,"DEEP_PERIOD_OVERRIDE",$H$19)*1,"")))</f>
        <v/>
      </c>
      <c r="BQ145" t="str">
        <f>IF(OR(BQ$23="",ISNA($B145)),"",IF(ISBLANK($B145),"",IFERROR(_xll.BDP(TICKER,"DEEP_MEASURE_PERIOD_BROKER_VALUE","DEEP_MEASURE_ID_OVERRIDE",$C145,"DEEP_BROKER_ID_OVERRIDE",BQ$24,"DEEP_PERIOD_OVERRIDE",$H$19)*1,"")))</f>
        <v/>
      </c>
      <c r="BR145" t="str">
        <f>IF(OR(BR$23="",ISNA($B145)),"",IF(ISBLANK($B145),"",IFERROR(_xll.BDP(TICKER,"DEEP_MEASURE_PERIOD_BROKER_VALUE","DEEP_MEASURE_ID_OVERRIDE",$C145,"DEEP_BROKER_ID_OVERRIDE",BR$24,"DEEP_PERIOD_OVERRIDE",$H$19)*1,"")))</f>
        <v/>
      </c>
      <c r="BS145" t="str">
        <f>IF(OR(BS$23="",ISNA($B145)),"",IF(ISBLANK($B145),"",IFERROR(_xll.BDP(TICKER,"DEEP_MEASURE_PERIOD_BROKER_VALUE","DEEP_MEASURE_ID_OVERRIDE",$C145,"DEEP_BROKER_ID_OVERRIDE",BS$24,"DEEP_PERIOD_OVERRIDE",$H$19)*1,"")))</f>
        <v/>
      </c>
      <c r="BT145" t="str">
        <f>IF(OR(BT$23="",ISNA($B145)),"",IF(ISBLANK($B145),"",IFERROR(_xll.BDP(TICKER,"DEEP_MEASURE_PERIOD_BROKER_VALUE","DEEP_MEASURE_ID_OVERRIDE",$C145,"DEEP_BROKER_ID_OVERRIDE",BT$24,"DEEP_PERIOD_OVERRIDE",$H$19)*1,"")))</f>
        <v/>
      </c>
      <c r="BU145" t="str">
        <f>IF(OR(BU$23="",ISNA($B145)),"",IF(ISBLANK($B145),"",IFERROR(_xll.BDP(TICKER,"DEEP_MEASURE_PERIOD_BROKER_VALUE","DEEP_MEASURE_ID_OVERRIDE",$C145,"DEEP_BROKER_ID_OVERRIDE",BU$24,"DEEP_PERIOD_OVERRIDE",$H$19)*1,"")))</f>
        <v/>
      </c>
      <c r="BV145" t="str">
        <f>IF(OR(BV$23="",ISNA($B145)),"",IF(ISBLANK($B145),"",IFERROR(_xll.BDP(TICKER,"DEEP_MEASURE_PERIOD_BROKER_VALUE","DEEP_MEASURE_ID_OVERRIDE",$C145,"DEEP_BROKER_ID_OVERRIDE",BV$24,"DEEP_PERIOD_OVERRIDE",$H$19)*1,"")))</f>
        <v/>
      </c>
      <c r="BW145" t="str">
        <f>IF(OR(BW$23="",ISNA($B145)),"",IF(ISBLANK($B145),"",IFERROR(_xll.BDP(TICKER,"DEEP_MEASURE_PERIOD_BROKER_VALUE","DEEP_MEASURE_ID_OVERRIDE",$C145,"DEEP_BROKER_ID_OVERRIDE",BW$24,"DEEP_PERIOD_OVERRIDE",$H$19)*1,"")))</f>
        <v/>
      </c>
      <c r="BX145" t="str">
        <f>IF(OR(BX$23="",ISNA($B145)),"",IF(ISBLANK($B145),"",IFERROR(_xll.BDP(TICKER,"DEEP_MEASURE_PERIOD_BROKER_VALUE","DEEP_MEASURE_ID_OVERRIDE",$C145,"DEEP_BROKER_ID_OVERRIDE",BX$24,"DEEP_PERIOD_OVERRIDE",$H$19)*1,"")))</f>
        <v/>
      </c>
      <c r="BY145" t="str">
        <f>IF(OR(BY$23="",ISNA($B145)),"",IF(ISBLANK($B145),"",IFERROR(_xll.BDP(TICKER,"DEEP_MEASURE_PERIOD_BROKER_VALUE","DEEP_MEASURE_ID_OVERRIDE",$C145,"DEEP_BROKER_ID_OVERRIDE",BY$24,"DEEP_PERIOD_OVERRIDE",$H$19)*1,"")))</f>
        <v/>
      </c>
      <c r="BZ145" t="str">
        <f>IF(OR(BZ$23="",ISNA($B145)),"",IF(ISBLANK($B145),"",IFERROR(_xll.BDP(TICKER,"DEEP_MEASURE_PERIOD_BROKER_VALUE","DEEP_MEASURE_ID_OVERRIDE",$C145,"DEEP_BROKER_ID_OVERRIDE",BZ$24,"DEEP_PERIOD_OVERRIDE",$H$19)*1,"")))</f>
        <v/>
      </c>
    </row>
    <row r="146" spans="2:78" x14ac:dyDescent="0.25">
      <c r="B146" t="s">
        <v>32</v>
      </c>
      <c r="C146">
        <v>360</v>
      </c>
      <c r="H146" t="str">
        <f t="shared" si="2"/>
        <v>Diluted Shares Outstanding</v>
      </c>
      <c r="I146" t="str">
        <f>IF(OR(I$23="",ISNA($B146)),"",IF(ISBLANK($B146),"",IFERROR(_xll.BDP(TICKER,"DEEP_MEASURE_PERIOD_BROKER_VALUE","DEEP_MEASURE_ID_OVERRIDE",$C146,"DEEP_PERIOD_OVERRIDE",$H$19)*1,"")))</f>
        <v/>
      </c>
      <c r="J146" t="e">
        <f>IF(OR(J$23="",ISNA($B146)),"",IF(ISBLANK($B146),"",IFERROR(_xll.BDP(TICKER,"DEEP_MEASURE_PERIOD_BROKER_VALUE","DEEP_MEASURE_ID_OVERRIDE",$C146,"DEEP_BROKER_ID_OVERRIDE",J$24,"DEEP_PERIOD_OVERRIDE",$H$19)*1,"")))</f>
        <v>#REF!</v>
      </c>
      <c r="K146" t="str">
        <f>IF(OR(K$23="",ISNA($B146)),"",IF(ISBLANK($B146),"",IFERROR(_xll.BDP(TICKER,"DEEP_MEASURE_PERIOD_BROKER_VALUE","DEEP_MEASURE_ID_OVERRIDE",$C146,"DEEP_BROKER_ID_OVERRIDE",K$24,"DEEP_PERIOD_OVERRIDE",$H$19)*1,"")))</f>
        <v/>
      </c>
      <c r="L146" t="str">
        <f>IF(OR(L$23="",ISNA($B146)),"",IF(ISBLANK($B146),"",IFERROR(_xll.BDP(TICKER,"DEEP_MEASURE_PERIOD_BROKER_VALUE","DEEP_MEASURE_ID_OVERRIDE",$C146,"DEEP_BROKER_ID_OVERRIDE",L$24,"DEEP_PERIOD_OVERRIDE",$H$19)*1,"")))</f>
        <v/>
      </c>
      <c r="M146" t="str">
        <f>IF(OR(M$23="",ISNA($B146)),"",IF(ISBLANK($B146),"",IFERROR(_xll.BDP(TICKER,"DEEP_MEASURE_PERIOD_BROKER_VALUE","DEEP_MEASURE_ID_OVERRIDE",$C146,"DEEP_BROKER_ID_OVERRIDE",M$24,"DEEP_PERIOD_OVERRIDE",$H$19)*1,"")))</f>
        <v/>
      </c>
      <c r="N146" t="str">
        <f>IF(OR(N$23="",ISNA($B146)),"",IF(ISBLANK($B146),"",IFERROR(_xll.BDP(TICKER,"DEEP_MEASURE_PERIOD_BROKER_VALUE","DEEP_MEASURE_ID_OVERRIDE",$C146,"DEEP_BROKER_ID_OVERRIDE",N$24,"DEEP_PERIOD_OVERRIDE",$H$19)*1,"")))</f>
        <v/>
      </c>
      <c r="O146" t="str">
        <f>IF(OR(O$23="",ISNA($B146)),"",IF(ISBLANK($B146),"",IFERROR(_xll.BDP(TICKER,"DEEP_MEASURE_PERIOD_BROKER_VALUE","DEEP_MEASURE_ID_OVERRIDE",$C146,"DEEP_BROKER_ID_OVERRIDE",O$24,"DEEP_PERIOD_OVERRIDE",$H$19)*1,"")))</f>
        <v/>
      </c>
      <c r="P146" t="str">
        <f>IF(OR(P$23="",ISNA($B146)),"",IF(ISBLANK($B146),"",IFERROR(_xll.BDP(TICKER,"DEEP_MEASURE_PERIOD_BROKER_VALUE","DEEP_MEASURE_ID_OVERRIDE",$C146,"DEEP_BROKER_ID_OVERRIDE",P$24,"DEEP_PERIOD_OVERRIDE",$H$19)*1,"")))</f>
        <v/>
      </c>
      <c r="Q146" t="str">
        <f>IF(OR(Q$23="",ISNA($B146)),"",IF(ISBLANK($B146),"",IFERROR(_xll.BDP(TICKER,"DEEP_MEASURE_PERIOD_BROKER_VALUE","DEEP_MEASURE_ID_OVERRIDE",$C146,"DEEP_BROKER_ID_OVERRIDE",Q$24,"DEEP_PERIOD_OVERRIDE",$H$19)*1,"")))</f>
        <v/>
      </c>
      <c r="R146" t="str">
        <f>IF(OR(R$23="",ISNA($B146)),"",IF(ISBLANK($B146),"",IFERROR(_xll.BDP(TICKER,"DEEP_MEASURE_PERIOD_BROKER_VALUE","DEEP_MEASURE_ID_OVERRIDE",$C146,"DEEP_BROKER_ID_OVERRIDE",R$24,"DEEP_PERIOD_OVERRIDE",$H$19)*1,"")))</f>
        <v/>
      </c>
      <c r="S146" t="str">
        <f>IF(OR(S$23="",ISNA($B146)),"",IF(ISBLANK($B146),"",IFERROR(_xll.BDP(TICKER,"DEEP_MEASURE_PERIOD_BROKER_VALUE","DEEP_MEASURE_ID_OVERRIDE",$C146,"DEEP_BROKER_ID_OVERRIDE",S$24,"DEEP_PERIOD_OVERRIDE",$H$19)*1,"")))</f>
        <v/>
      </c>
      <c r="T146" t="str">
        <f>IF(OR(T$23="",ISNA($B146)),"",IF(ISBLANK($B146),"",IFERROR(_xll.BDP(TICKER,"DEEP_MEASURE_PERIOD_BROKER_VALUE","DEEP_MEASURE_ID_OVERRIDE",$C146,"DEEP_BROKER_ID_OVERRIDE",T$24,"DEEP_PERIOD_OVERRIDE",$H$19)*1,"")))</f>
        <v/>
      </c>
      <c r="U146" t="str">
        <f>IF(OR(U$23="",ISNA($B146)),"",IF(ISBLANK($B146),"",IFERROR(_xll.BDP(TICKER,"DEEP_MEASURE_PERIOD_BROKER_VALUE","DEEP_MEASURE_ID_OVERRIDE",$C146,"DEEP_BROKER_ID_OVERRIDE",U$24,"DEEP_PERIOD_OVERRIDE",$H$19)*1,"")))</f>
        <v/>
      </c>
      <c r="V146" t="str">
        <f>IF(OR(V$23="",ISNA($B146)),"",IF(ISBLANK($B146),"",IFERROR(_xll.BDP(TICKER,"DEEP_MEASURE_PERIOD_BROKER_VALUE","DEEP_MEASURE_ID_OVERRIDE",$C146,"DEEP_BROKER_ID_OVERRIDE",V$24,"DEEP_PERIOD_OVERRIDE",$H$19)*1,"")))</f>
        <v/>
      </c>
      <c r="W146" t="str">
        <f>IF(OR(W$23="",ISNA($B146)),"",IF(ISBLANK($B146),"",IFERROR(_xll.BDP(TICKER,"DEEP_MEASURE_PERIOD_BROKER_VALUE","DEEP_MEASURE_ID_OVERRIDE",$C146,"DEEP_BROKER_ID_OVERRIDE",W$24,"DEEP_PERIOD_OVERRIDE",$H$19)*1,"")))</f>
        <v/>
      </c>
      <c r="X146" t="str">
        <f>IF(OR(X$23="",ISNA($B146)),"",IF(ISBLANK($B146),"",IFERROR(_xll.BDP(TICKER,"DEEP_MEASURE_PERIOD_BROKER_VALUE","DEEP_MEASURE_ID_OVERRIDE",$C146,"DEEP_BROKER_ID_OVERRIDE",X$24,"DEEP_PERIOD_OVERRIDE",$H$19)*1,"")))</f>
        <v/>
      </c>
      <c r="Y146" t="str">
        <f>IF(OR(Y$23="",ISNA($B146)),"",IF(ISBLANK($B146),"",IFERROR(_xll.BDP(TICKER,"DEEP_MEASURE_PERIOD_BROKER_VALUE","DEEP_MEASURE_ID_OVERRIDE",$C146,"DEEP_BROKER_ID_OVERRIDE",Y$24,"DEEP_PERIOD_OVERRIDE",$H$19)*1,"")))</f>
        <v/>
      </c>
      <c r="Z146" t="str">
        <f>IF(OR(Z$23="",ISNA($B146)),"",IF(ISBLANK($B146),"",IFERROR(_xll.BDP(TICKER,"DEEP_MEASURE_PERIOD_BROKER_VALUE","DEEP_MEASURE_ID_OVERRIDE",$C146,"DEEP_BROKER_ID_OVERRIDE",Z$24,"DEEP_PERIOD_OVERRIDE",$H$19)*1,"")))</f>
        <v/>
      </c>
      <c r="AA146" t="str">
        <f>IF(OR(AA$23="",ISNA($B146)),"",IF(ISBLANK($B146),"",IFERROR(_xll.BDP(TICKER,"DEEP_MEASURE_PERIOD_BROKER_VALUE","DEEP_MEASURE_ID_OVERRIDE",$C146,"DEEP_BROKER_ID_OVERRIDE",AA$24,"DEEP_PERIOD_OVERRIDE",$H$19)*1,"")))</f>
        <v/>
      </c>
      <c r="AB146" t="str">
        <f>IF(OR(AB$23="",ISNA($B146)),"",IF(ISBLANK($B146),"",IFERROR(_xll.BDP(TICKER,"DEEP_MEASURE_PERIOD_BROKER_VALUE","DEEP_MEASURE_ID_OVERRIDE",$C146,"DEEP_BROKER_ID_OVERRIDE",AB$24,"DEEP_PERIOD_OVERRIDE",$H$19)*1,"")))</f>
        <v/>
      </c>
      <c r="AC146" t="str">
        <f>IF(OR(AC$23="",ISNA($B146)),"",IF(ISBLANK($B146),"",IFERROR(_xll.BDP(TICKER,"DEEP_MEASURE_PERIOD_BROKER_VALUE","DEEP_MEASURE_ID_OVERRIDE",$C146,"DEEP_BROKER_ID_OVERRIDE",AC$24,"DEEP_PERIOD_OVERRIDE",$H$19)*1,"")))</f>
        <v/>
      </c>
      <c r="AD146" t="str">
        <f>IF(OR(AD$23="",ISNA($B146)),"",IF(ISBLANK($B146),"",IFERROR(_xll.BDP(TICKER,"DEEP_MEASURE_PERIOD_BROKER_VALUE","DEEP_MEASURE_ID_OVERRIDE",$C146,"DEEP_BROKER_ID_OVERRIDE",AD$24,"DEEP_PERIOD_OVERRIDE",$H$19)*1,"")))</f>
        <v/>
      </c>
      <c r="AE146" t="str">
        <f>IF(OR(AE$23="",ISNA($B146)),"",IF(ISBLANK($B146),"",IFERROR(_xll.BDP(TICKER,"DEEP_MEASURE_PERIOD_BROKER_VALUE","DEEP_MEASURE_ID_OVERRIDE",$C146,"DEEP_BROKER_ID_OVERRIDE",AE$24,"DEEP_PERIOD_OVERRIDE",$H$19)*1,"")))</f>
        <v/>
      </c>
      <c r="AF146" t="str">
        <f>IF(OR(AF$23="",ISNA($B146)),"",IF(ISBLANK($B146),"",IFERROR(_xll.BDP(TICKER,"DEEP_MEASURE_PERIOD_BROKER_VALUE","DEEP_MEASURE_ID_OVERRIDE",$C146,"DEEP_BROKER_ID_OVERRIDE",AF$24,"DEEP_PERIOD_OVERRIDE",$H$19)*1,"")))</f>
        <v/>
      </c>
      <c r="AG146" t="str">
        <f>IF(OR(AG$23="",ISNA($B146)),"",IF(ISBLANK($B146),"",IFERROR(_xll.BDP(TICKER,"DEEP_MEASURE_PERIOD_BROKER_VALUE","DEEP_MEASURE_ID_OVERRIDE",$C146,"DEEP_BROKER_ID_OVERRIDE",AG$24,"DEEP_PERIOD_OVERRIDE",$H$19)*1,"")))</f>
        <v/>
      </c>
      <c r="AH146" t="str">
        <f>IF(OR(AH$23="",ISNA($B146)),"",IF(ISBLANK($B146),"",IFERROR(_xll.BDP(TICKER,"DEEP_MEASURE_PERIOD_BROKER_VALUE","DEEP_MEASURE_ID_OVERRIDE",$C146,"DEEP_BROKER_ID_OVERRIDE",AH$24,"DEEP_PERIOD_OVERRIDE",$H$19)*1,"")))</f>
        <v/>
      </c>
      <c r="AI146" t="str">
        <f>IF(OR(AI$23="",ISNA($B146)),"",IF(ISBLANK($B146),"",IFERROR(_xll.BDP(TICKER,"DEEP_MEASURE_PERIOD_BROKER_VALUE","DEEP_MEASURE_ID_OVERRIDE",$C146,"DEEP_BROKER_ID_OVERRIDE",AI$24,"DEEP_PERIOD_OVERRIDE",$H$19)*1,"")))</f>
        <v/>
      </c>
      <c r="AJ146" t="str">
        <f>IF(OR(AJ$23="",ISNA($B146)),"",IF(ISBLANK($B146),"",IFERROR(_xll.BDP(TICKER,"DEEP_MEASURE_PERIOD_BROKER_VALUE","DEEP_MEASURE_ID_OVERRIDE",$C146,"DEEP_BROKER_ID_OVERRIDE",AJ$24,"DEEP_PERIOD_OVERRIDE",$H$19)*1,"")))</f>
        <v/>
      </c>
      <c r="AK146" t="str">
        <f>IF(OR(AK$23="",ISNA($B146)),"",IF(ISBLANK($B146),"",IFERROR(_xll.BDP(TICKER,"DEEP_MEASURE_PERIOD_BROKER_VALUE","DEEP_MEASURE_ID_OVERRIDE",$C146,"DEEP_BROKER_ID_OVERRIDE",AK$24,"DEEP_PERIOD_OVERRIDE",$H$19)*1,"")))</f>
        <v/>
      </c>
      <c r="AL146" t="str">
        <f>IF(OR(AL$23="",ISNA($B146)),"",IF(ISBLANK($B146),"",IFERROR(_xll.BDP(TICKER,"DEEP_MEASURE_PERIOD_BROKER_VALUE","DEEP_MEASURE_ID_OVERRIDE",$C146,"DEEP_BROKER_ID_OVERRIDE",AL$24,"DEEP_PERIOD_OVERRIDE",$H$19)*1,"")))</f>
        <v/>
      </c>
      <c r="AM146" t="str">
        <f>IF(OR(AM$23="",ISNA($B146)),"",IF(ISBLANK($B146),"",IFERROR(_xll.BDP(TICKER,"DEEP_MEASURE_PERIOD_BROKER_VALUE","DEEP_MEASURE_ID_OVERRIDE",$C146,"DEEP_BROKER_ID_OVERRIDE",AM$24,"DEEP_PERIOD_OVERRIDE",$H$19)*1,"")))</f>
        <v/>
      </c>
      <c r="AN146" t="str">
        <f>IF(OR(AN$23="",ISNA($B146)),"",IF(ISBLANK($B146),"",IFERROR(_xll.BDP(TICKER,"DEEP_MEASURE_PERIOD_BROKER_VALUE","DEEP_MEASURE_ID_OVERRIDE",$C146,"DEEP_BROKER_ID_OVERRIDE",AN$24,"DEEP_PERIOD_OVERRIDE",$H$19)*1,"")))</f>
        <v/>
      </c>
      <c r="AO146" t="str">
        <f>IF(OR(AO$23="",ISNA($B146)),"",IF(ISBLANK($B146),"",IFERROR(_xll.BDP(TICKER,"DEEP_MEASURE_PERIOD_BROKER_VALUE","DEEP_MEASURE_ID_OVERRIDE",$C146,"DEEP_BROKER_ID_OVERRIDE",AO$24,"DEEP_PERIOD_OVERRIDE",$H$19)*1,"")))</f>
        <v/>
      </c>
      <c r="AP146" t="str">
        <f>IF(OR(AP$23="",ISNA($B146)),"",IF(ISBLANK($B146),"",IFERROR(_xll.BDP(TICKER,"DEEP_MEASURE_PERIOD_BROKER_VALUE","DEEP_MEASURE_ID_OVERRIDE",$C146,"DEEP_BROKER_ID_OVERRIDE",AP$24,"DEEP_PERIOD_OVERRIDE",$H$19)*1,"")))</f>
        <v/>
      </c>
      <c r="AQ146" t="str">
        <f>IF(OR(AQ$23="",ISNA($B146)),"",IF(ISBLANK($B146),"",IFERROR(_xll.BDP(TICKER,"DEEP_MEASURE_PERIOD_BROKER_VALUE","DEEP_MEASURE_ID_OVERRIDE",$C146,"DEEP_BROKER_ID_OVERRIDE",AQ$24,"DEEP_PERIOD_OVERRIDE",$H$19)*1,"")))</f>
        <v/>
      </c>
      <c r="AR146" t="str">
        <f>IF(OR(AR$23="",ISNA($B146)),"",IF(ISBLANK($B146),"",IFERROR(_xll.BDP(TICKER,"DEEP_MEASURE_PERIOD_BROKER_VALUE","DEEP_MEASURE_ID_OVERRIDE",$C146,"DEEP_BROKER_ID_OVERRIDE",AR$24,"DEEP_PERIOD_OVERRIDE",$H$19)*1,"")))</f>
        <v/>
      </c>
      <c r="AS146" t="str">
        <f>IF(OR(AS$23="",ISNA($B146)),"",IF(ISBLANK($B146),"",IFERROR(_xll.BDP(TICKER,"DEEP_MEASURE_PERIOD_BROKER_VALUE","DEEP_MEASURE_ID_OVERRIDE",$C146,"DEEP_BROKER_ID_OVERRIDE",AS$24,"DEEP_PERIOD_OVERRIDE",$H$19)*1,"")))</f>
        <v/>
      </c>
      <c r="AT146" t="str">
        <f>IF(OR(AT$23="",ISNA($B146)),"",IF(ISBLANK($B146),"",IFERROR(_xll.BDP(TICKER,"DEEP_MEASURE_PERIOD_BROKER_VALUE","DEEP_MEASURE_ID_OVERRIDE",$C146,"DEEP_BROKER_ID_OVERRIDE",AT$24,"DEEP_PERIOD_OVERRIDE",$H$19)*1,"")))</f>
        <v/>
      </c>
      <c r="AU146" t="str">
        <f>IF(OR(AU$23="",ISNA($B146)),"",IF(ISBLANK($B146),"",IFERROR(_xll.BDP(TICKER,"DEEP_MEASURE_PERIOD_BROKER_VALUE","DEEP_MEASURE_ID_OVERRIDE",$C146,"DEEP_BROKER_ID_OVERRIDE",AU$24,"DEEP_PERIOD_OVERRIDE",$H$19)*1,"")))</f>
        <v/>
      </c>
      <c r="AV146" t="str">
        <f>IF(OR(AV$23="",ISNA($B146)),"",IF(ISBLANK($B146),"",IFERROR(_xll.BDP(TICKER,"DEEP_MEASURE_PERIOD_BROKER_VALUE","DEEP_MEASURE_ID_OVERRIDE",$C146,"DEEP_BROKER_ID_OVERRIDE",AV$24,"DEEP_PERIOD_OVERRIDE",$H$19)*1,"")))</f>
        <v/>
      </c>
      <c r="AW146" t="str">
        <f>IF(OR(AW$23="",ISNA($B146)),"",IF(ISBLANK($B146),"",IFERROR(_xll.BDP(TICKER,"DEEP_MEASURE_PERIOD_BROKER_VALUE","DEEP_MEASURE_ID_OVERRIDE",$C146,"DEEP_BROKER_ID_OVERRIDE",AW$24,"DEEP_PERIOD_OVERRIDE",$H$19)*1,"")))</f>
        <v/>
      </c>
      <c r="AX146" t="str">
        <f>IF(OR(AX$23="",ISNA($B146)),"",IF(ISBLANK($B146),"",IFERROR(_xll.BDP(TICKER,"DEEP_MEASURE_PERIOD_BROKER_VALUE","DEEP_MEASURE_ID_OVERRIDE",$C146,"DEEP_BROKER_ID_OVERRIDE",AX$24,"DEEP_PERIOD_OVERRIDE",$H$19)*1,"")))</f>
        <v/>
      </c>
      <c r="AY146" t="str">
        <f>IF(OR(AY$23="",ISNA($B146)),"",IF(ISBLANK($B146),"",IFERROR(_xll.BDP(TICKER,"DEEP_MEASURE_PERIOD_BROKER_VALUE","DEEP_MEASURE_ID_OVERRIDE",$C146,"DEEP_BROKER_ID_OVERRIDE",AY$24,"DEEP_PERIOD_OVERRIDE",$H$19)*1,"")))</f>
        <v/>
      </c>
      <c r="AZ146" t="str">
        <f>IF(OR(AZ$23="",ISNA($B146)),"",IF(ISBLANK($B146),"",IFERROR(_xll.BDP(TICKER,"DEEP_MEASURE_PERIOD_BROKER_VALUE","DEEP_MEASURE_ID_OVERRIDE",$C146,"DEEP_BROKER_ID_OVERRIDE",AZ$24,"DEEP_PERIOD_OVERRIDE",$H$19)*1,"")))</f>
        <v/>
      </c>
      <c r="BA146" t="str">
        <f>IF(OR(BA$23="",ISNA($B146)),"",IF(ISBLANK($B146),"",IFERROR(_xll.BDP(TICKER,"DEEP_MEASURE_PERIOD_BROKER_VALUE","DEEP_MEASURE_ID_OVERRIDE",$C146,"DEEP_BROKER_ID_OVERRIDE",BA$24,"DEEP_PERIOD_OVERRIDE",$H$19)*1,"")))</f>
        <v/>
      </c>
      <c r="BB146" t="str">
        <f>IF(OR(BB$23="",ISNA($B146)),"",IF(ISBLANK($B146),"",IFERROR(_xll.BDP(TICKER,"DEEP_MEASURE_PERIOD_BROKER_VALUE","DEEP_MEASURE_ID_OVERRIDE",$C146,"DEEP_BROKER_ID_OVERRIDE",BB$24,"DEEP_PERIOD_OVERRIDE",$H$19)*1,"")))</f>
        <v/>
      </c>
      <c r="BC146" t="str">
        <f>IF(OR(BC$23="",ISNA($B146)),"",IF(ISBLANK($B146),"",IFERROR(_xll.BDP(TICKER,"DEEP_MEASURE_PERIOD_BROKER_VALUE","DEEP_MEASURE_ID_OVERRIDE",$C146,"DEEP_BROKER_ID_OVERRIDE",BC$24,"DEEP_PERIOD_OVERRIDE",$H$19)*1,"")))</f>
        <v/>
      </c>
      <c r="BD146" t="str">
        <f>IF(OR(BD$23="",ISNA($B146)),"",IF(ISBLANK($B146),"",IFERROR(_xll.BDP(TICKER,"DEEP_MEASURE_PERIOD_BROKER_VALUE","DEEP_MEASURE_ID_OVERRIDE",$C146,"DEEP_BROKER_ID_OVERRIDE",BD$24,"DEEP_PERIOD_OVERRIDE",$H$19)*1,"")))</f>
        <v/>
      </c>
      <c r="BE146" t="str">
        <f>IF(OR(BE$23="",ISNA($B146)),"",IF(ISBLANK($B146),"",IFERROR(_xll.BDP(TICKER,"DEEP_MEASURE_PERIOD_BROKER_VALUE","DEEP_MEASURE_ID_OVERRIDE",$C146,"DEEP_BROKER_ID_OVERRIDE",BE$24,"DEEP_PERIOD_OVERRIDE",$H$19)*1,"")))</f>
        <v/>
      </c>
      <c r="BF146" t="str">
        <f>IF(OR(BF$23="",ISNA($B146)),"",IF(ISBLANK($B146),"",IFERROR(_xll.BDP(TICKER,"DEEP_MEASURE_PERIOD_BROKER_VALUE","DEEP_MEASURE_ID_OVERRIDE",$C146,"DEEP_BROKER_ID_OVERRIDE",BF$24,"DEEP_PERIOD_OVERRIDE",$H$19)*1,"")))</f>
        <v/>
      </c>
      <c r="BG146" t="str">
        <f>IF(OR(BG$23="",ISNA($B146)),"",IF(ISBLANK($B146),"",IFERROR(_xll.BDP(TICKER,"DEEP_MEASURE_PERIOD_BROKER_VALUE","DEEP_MEASURE_ID_OVERRIDE",$C146,"DEEP_BROKER_ID_OVERRIDE",BG$24,"DEEP_PERIOD_OVERRIDE",$H$19)*1,"")))</f>
        <v/>
      </c>
      <c r="BH146" t="str">
        <f>IF(OR(BH$23="",ISNA($B146)),"",IF(ISBLANK($B146),"",IFERROR(_xll.BDP(TICKER,"DEEP_MEASURE_PERIOD_BROKER_VALUE","DEEP_MEASURE_ID_OVERRIDE",$C146,"DEEP_BROKER_ID_OVERRIDE",BH$24,"DEEP_PERIOD_OVERRIDE",$H$19)*1,"")))</f>
        <v/>
      </c>
      <c r="BI146" t="str">
        <f>IF(OR(BI$23="",ISNA($B146)),"",IF(ISBLANK($B146),"",IFERROR(_xll.BDP(TICKER,"DEEP_MEASURE_PERIOD_BROKER_VALUE","DEEP_MEASURE_ID_OVERRIDE",$C146,"DEEP_BROKER_ID_OVERRIDE",BI$24,"DEEP_PERIOD_OVERRIDE",$H$19)*1,"")))</f>
        <v/>
      </c>
      <c r="BJ146" t="str">
        <f>IF(OR(BJ$23="",ISNA($B146)),"",IF(ISBLANK($B146),"",IFERROR(_xll.BDP(TICKER,"DEEP_MEASURE_PERIOD_BROKER_VALUE","DEEP_MEASURE_ID_OVERRIDE",$C146,"DEEP_BROKER_ID_OVERRIDE",BJ$24,"DEEP_PERIOD_OVERRIDE",$H$19)*1,"")))</f>
        <v/>
      </c>
      <c r="BK146" t="str">
        <f>IF(OR(BK$23="",ISNA($B146)),"",IF(ISBLANK($B146),"",IFERROR(_xll.BDP(TICKER,"DEEP_MEASURE_PERIOD_BROKER_VALUE","DEEP_MEASURE_ID_OVERRIDE",$C146,"DEEP_BROKER_ID_OVERRIDE",BK$24,"DEEP_PERIOD_OVERRIDE",$H$19)*1,"")))</f>
        <v/>
      </c>
      <c r="BL146" t="str">
        <f>IF(OR(BL$23="",ISNA($B146)),"",IF(ISBLANK($B146),"",IFERROR(_xll.BDP(TICKER,"DEEP_MEASURE_PERIOD_BROKER_VALUE","DEEP_MEASURE_ID_OVERRIDE",$C146,"DEEP_BROKER_ID_OVERRIDE",BL$24,"DEEP_PERIOD_OVERRIDE",$H$19)*1,"")))</f>
        <v/>
      </c>
      <c r="BM146" t="str">
        <f>IF(OR(BM$23="",ISNA($B146)),"",IF(ISBLANK($B146),"",IFERROR(_xll.BDP(TICKER,"DEEP_MEASURE_PERIOD_BROKER_VALUE","DEEP_MEASURE_ID_OVERRIDE",$C146,"DEEP_BROKER_ID_OVERRIDE",BM$24,"DEEP_PERIOD_OVERRIDE",$H$19)*1,"")))</f>
        <v/>
      </c>
      <c r="BN146" t="str">
        <f>IF(OR(BN$23="",ISNA($B146)),"",IF(ISBLANK($B146),"",IFERROR(_xll.BDP(TICKER,"DEEP_MEASURE_PERIOD_BROKER_VALUE","DEEP_MEASURE_ID_OVERRIDE",$C146,"DEEP_BROKER_ID_OVERRIDE",BN$24,"DEEP_PERIOD_OVERRIDE",$H$19)*1,"")))</f>
        <v/>
      </c>
      <c r="BO146" t="str">
        <f>IF(OR(BO$23="",ISNA($B146)),"",IF(ISBLANK($B146),"",IFERROR(_xll.BDP(TICKER,"DEEP_MEASURE_PERIOD_BROKER_VALUE","DEEP_MEASURE_ID_OVERRIDE",$C146,"DEEP_BROKER_ID_OVERRIDE",BO$24,"DEEP_PERIOD_OVERRIDE",$H$19)*1,"")))</f>
        <v/>
      </c>
      <c r="BP146" t="str">
        <f>IF(OR(BP$23="",ISNA($B146)),"",IF(ISBLANK($B146),"",IFERROR(_xll.BDP(TICKER,"DEEP_MEASURE_PERIOD_BROKER_VALUE","DEEP_MEASURE_ID_OVERRIDE",$C146,"DEEP_BROKER_ID_OVERRIDE",BP$24,"DEEP_PERIOD_OVERRIDE",$H$19)*1,"")))</f>
        <v/>
      </c>
      <c r="BQ146" t="str">
        <f>IF(OR(BQ$23="",ISNA($B146)),"",IF(ISBLANK($B146),"",IFERROR(_xll.BDP(TICKER,"DEEP_MEASURE_PERIOD_BROKER_VALUE","DEEP_MEASURE_ID_OVERRIDE",$C146,"DEEP_BROKER_ID_OVERRIDE",BQ$24,"DEEP_PERIOD_OVERRIDE",$H$19)*1,"")))</f>
        <v/>
      </c>
      <c r="BR146" t="str">
        <f>IF(OR(BR$23="",ISNA($B146)),"",IF(ISBLANK($B146),"",IFERROR(_xll.BDP(TICKER,"DEEP_MEASURE_PERIOD_BROKER_VALUE","DEEP_MEASURE_ID_OVERRIDE",$C146,"DEEP_BROKER_ID_OVERRIDE",BR$24,"DEEP_PERIOD_OVERRIDE",$H$19)*1,"")))</f>
        <v/>
      </c>
      <c r="BS146" t="str">
        <f>IF(OR(BS$23="",ISNA($B146)),"",IF(ISBLANK($B146),"",IFERROR(_xll.BDP(TICKER,"DEEP_MEASURE_PERIOD_BROKER_VALUE","DEEP_MEASURE_ID_OVERRIDE",$C146,"DEEP_BROKER_ID_OVERRIDE",BS$24,"DEEP_PERIOD_OVERRIDE",$H$19)*1,"")))</f>
        <v/>
      </c>
      <c r="BT146" t="str">
        <f>IF(OR(BT$23="",ISNA($B146)),"",IF(ISBLANK($B146),"",IFERROR(_xll.BDP(TICKER,"DEEP_MEASURE_PERIOD_BROKER_VALUE","DEEP_MEASURE_ID_OVERRIDE",$C146,"DEEP_BROKER_ID_OVERRIDE",BT$24,"DEEP_PERIOD_OVERRIDE",$H$19)*1,"")))</f>
        <v/>
      </c>
      <c r="BU146" t="str">
        <f>IF(OR(BU$23="",ISNA($B146)),"",IF(ISBLANK($B146),"",IFERROR(_xll.BDP(TICKER,"DEEP_MEASURE_PERIOD_BROKER_VALUE","DEEP_MEASURE_ID_OVERRIDE",$C146,"DEEP_BROKER_ID_OVERRIDE",BU$24,"DEEP_PERIOD_OVERRIDE",$H$19)*1,"")))</f>
        <v/>
      </c>
      <c r="BV146" t="str">
        <f>IF(OR(BV$23="",ISNA($B146)),"",IF(ISBLANK($B146),"",IFERROR(_xll.BDP(TICKER,"DEEP_MEASURE_PERIOD_BROKER_VALUE","DEEP_MEASURE_ID_OVERRIDE",$C146,"DEEP_BROKER_ID_OVERRIDE",BV$24,"DEEP_PERIOD_OVERRIDE",$H$19)*1,"")))</f>
        <v/>
      </c>
      <c r="BW146" t="str">
        <f>IF(OR(BW$23="",ISNA($B146)),"",IF(ISBLANK($B146),"",IFERROR(_xll.BDP(TICKER,"DEEP_MEASURE_PERIOD_BROKER_VALUE","DEEP_MEASURE_ID_OVERRIDE",$C146,"DEEP_BROKER_ID_OVERRIDE",BW$24,"DEEP_PERIOD_OVERRIDE",$H$19)*1,"")))</f>
        <v/>
      </c>
      <c r="BX146" t="str">
        <f>IF(OR(BX$23="",ISNA($B146)),"",IF(ISBLANK($B146),"",IFERROR(_xll.BDP(TICKER,"DEEP_MEASURE_PERIOD_BROKER_VALUE","DEEP_MEASURE_ID_OVERRIDE",$C146,"DEEP_BROKER_ID_OVERRIDE",BX$24,"DEEP_PERIOD_OVERRIDE",$H$19)*1,"")))</f>
        <v/>
      </c>
      <c r="BY146" t="str">
        <f>IF(OR(BY$23="",ISNA($B146)),"",IF(ISBLANK($B146),"",IFERROR(_xll.BDP(TICKER,"DEEP_MEASURE_PERIOD_BROKER_VALUE","DEEP_MEASURE_ID_OVERRIDE",$C146,"DEEP_BROKER_ID_OVERRIDE",BY$24,"DEEP_PERIOD_OVERRIDE",$H$19)*1,"")))</f>
        <v/>
      </c>
      <c r="BZ146" t="str">
        <f>IF(OR(BZ$23="",ISNA($B146)),"",IF(ISBLANK($B146),"",IFERROR(_xll.BDP(TICKER,"DEEP_MEASURE_PERIOD_BROKER_VALUE","DEEP_MEASURE_ID_OVERRIDE",$C146,"DEEP_BROKER_ID_OVERRIDE",BZ$24,"DEEP_PERIOD_OVERRIDE",$H$19)*1,"")))</f>
        <v/>
      </c>
    </row>
    <row r="147" spans="2:78" x14ac:dyDescent="0.25">
      <c r="B147" t="s">
        <v>176</v>
      </c>
      <c r="C147">
        <v>362</v>
      </c>
      <c r="H147" t="str">
        <f t="shared" si="2"/>
        <v>Diluted EPS, GAAP</v>
      </c>
      <c r="I147" t="str">
        <f>IF(OR(I$23="",ISNA($B147)),"",IF(ISBLANK($B147),"",IFERROR(_xll.BDP(TICKER,"DEEP_MEASURE_PERIOD_BROKER_VALUE","DEEP_MEASURE_ID_OVERRIDE",$C147,"DEEP_PERIOD_OVERRIDE",$H$19)*1,"")))</f>
        <v/>
      </c>
      <c r="J147" t="e">
        <f>IF(OR(J$23="",ISNA($B147)),"",IF(ISBLANK($B147),"",IFERROR(_xll.BDP(TICKER,"DEEP_MEASURE_PERIOD_BROKER_VALUE","DEEP_MEASURE_ID_OVERRIDE",$C147,"DEEP_BROKER_ID_OVERRIDE",J$24,"DEEP_PERIOD_OVERRIDE",$H$19)*1,"")))</f>
        <v>#REF!</v>
      </c>
      <c r="K147" t="str">
        <f>IF(OR(K$23="",ISNA($B147)),"",IF(ISBLANK($B147),"",IFERROR(_xll.BDP(TICKER,"DEEP_MEASURE_PERIOD_BROKER_VALUE","DEEP_MEASURE_ID_OVERRIDE",$C147,"DEEP_BROKER_ID_OVERRIDE",K$24,"DEEP_PERIOD_OVERRIDE",$H$19)*1,"")))</f>
        <v/>
      </c>
      <c r="L147" t="str">
        <f>IF(OR(L$23="",ISNA($B147)),"",IF(ISBLANK($B147),"",IFERROR(_xll.BDP(TICKER,"DEEP_MEASURE_PERIOD_BROKER_VALUE","DEEP_MEASURE_ID_OVERRIDE",$C147,"DEEP_BROKER_ID_OVERRIDE",L$24,"DEEP_PERIOD_OVERRIDE",$H$19)*1,"")))</f>
        <v/>
      </c>
      <c r="M147" t="str">
        <f>IF(OR(M$23="",ISNA($B147)),"",IF(ISBLANK($B147),"",IFERROR(_xll.BDP(TICKER,"DEEP_MEASURE_PERIOD_BROKER_VALUE","DEEP_MEASURE_ID_OVERRIDE",$C147,"DEEP_BROKER_ID_OVERRIDE",M$24,"DEEP_PERIOD_OVERRIDE",$H$19)*1,"")))</f>
        <v/>
      </c>
      <c r="N147" t="str">
        <f>IF(OR(N$23="",ISNA($B147)),"",IF(ISBLANK($B147),"",IFERROR(_xll.BDP(TICKER,"DEEP_MEASURE_PERIOD_BROKER_VALUE","DEEP_MEASURE_ID_OVERRIDE",$C147,"DEEP_BROKER_ID_OVERRIDE",N$24,"DEEP_PERIOD_OVERRIDE",$H$19)*1,"")))</f>
        <v/>
      </c>
      <c r="O147" t="str">
        <f>IF(OR(O$23="",ISNA($B147)),"",IF(ISBLANK($B147),"",IFERROR(_xll.BDP(TICKER,"DEEP_MEASURE_PERIOD_BROKER_VALUE","DEEP_MEASURE_ID_OVERRIDE",$C147,"DEEP_BROKER_ID_OVERRIDE",O$24,"DEEP_PERIOD_OVERRIDE",$H$19)*1,"")))</f>
        <v/>
      </c>
      <c r="P147" t="str">
        <f>IF(OR(P$23="",ISNA($B147)),"",IF(ISBLANK($B147),"",IFERROR(_xll.BDP(TICKER,"DEEP_MEASURE_PERIOD_BROKER_VALUE","DEEP_MEASURE_ID_OVERRIDE",$C147,"DEEP_BROKER_ID_OVERRIDE",P$24,"DEEP_PERIOD_OVERRIDE",$H$19)*1,"")))</f>
        <v/>
      </c>
      <c r="Q147" t="str">
        <f>IF(OR(Q$23="",ISNA($B147)),"",IF(ISBLANK($B147),"",IFERROR(_xll.BDP(TICKER,"DEEP_MEASURE_PERIOD_BROKER_VALUE","DEEP_MEASURE_ID_OVERRIDE",$C147,"DEEP_BROKER_ID_OVERRIDE",Q$24,"DEEP_PERIOD_OVERRIDE",$H$19)*1,"")))</f>
        <v/>
      </c>
      <c r="R147" t="str">
        <f>IF(OR(R$23="",ISNA($B147)),"",IF(ISBLANK($B147),"",IFERROR(_xll.BDP(TICKER,"DEEP_MEASURE_PERIOD_BROKER_VALUE","DEEP_MEASURE_ID_OVERRIDE",$C147,"DEEP_BROKER_ID_OVERRIDE",R$24,"DEEP_PERIOD_OVERRIDE",$H$19)*1,"")))</f>
        <v/>
      </c>
      <c r="S147" t="str">
        <f>IF(OR(S$23="",ISNA($B147)),"",IF(ISBLANK($B147),"",IFERROR(_xll.BDP(TICKER,"DEEP_MEASURE_PERIOD_BROKER_VALUE","DEEP_MEASURE_ID_OVERRIDE",$C147,"DEEP_BROKER_ID_OVERRIDE",S$24,"DEEP_PERIOD_OVERRIDE",$H$19)*1,"")))</f>
        <v/>
      </c>
      <c r="T147" t="str">
        <f>IF(OR(T$23="",ISNA($B147)),"",IF(ISBLANK($B147),"",IFERROR(_xll.BDP(TICKER,"DEEP_MEASURE_PERIOD_BROKER_VALUE","DEEP_MEASURE_ID_OVERRIDE",$C147,"DEEP_BROKER_ID_OVERRIDE",T$24,"DEEP_PERIOD_OVERRIDE",$H$19)*1,"")))</f>
        <v/>
      </c>
      <c r="U147" t="str">
        <f>IF(OR(U$23="",ISNA($B147)),"",IF(ISBLANK($B147),"",IFERROR(_xll.BDP(TICKER,"DEEP_MEASURE_PERIOD_BROKER_VALUE","DEEP_MEASURE_ID_OVERRIDE",$C147,"DEEP_BROKER_ID_OVERRIDE",U$24,"DEEP_PERIOD_OVERRIDE",$H$19)*1,"")))</f>
        <v/>
      </c>
      <c r="V147" t="str">
        <f>IF(OR(V$23="",ISNA($B147)),"",IF(ISBLANK($B147),"",IFERROR(_xll.BDP(TICKER,"DEEP_MEASURE_PERIOD_BROKER_VALUE","DEEP_MEASURE_ID_OVERRIDE",$C147,"DEEP_BROKER_ID_OVERRIDE",V$24,"DEEP_PERIOD_OVERRIDE",$H$19)*1,"")))</f>
        <v/>
      </c>
      <c r="W147" t="str">
        <f>IF(OR(W$23="",ISNA($B147)),"",IF(ISBLANK($B147),"",IFERROR(_xll.BDP(TICKER,"DEEP_MEASURE_PERIOD_BROKER_VALUE","DEEP_MEASURE_ID_OVERRIDE",$C147,"DEEP_BROKER_ID_OVERRIDE",W$24,"DEEP_PERIOD_OVERRIDE",$H$19)*1,"")))</f>
        <v/>
      </c>
      <c r="X147" t="str">
        <f>IF(OR(X$23="",ISNA($B147)),"",IF(ISBLANK($B147),"",IFERROR(_xll.BDP(TICKER,"DEEP_MEASURE_PERIOD_BROKER_VALUE","DEEP_MEASURE_ID_OVERRIDE",$C147,"DEEP_BROKER_ID_OVERRIDE",X$24,"DEEP_PERIOD_OVERRIDE",$H$19)*1,"")))</f>
        <v/>
      </c>
      <c r="Y147" t="str">
        <f>IF(OR(Y$23="",ISNA($B147)),"",IF(ISBLANK($B147),"",IFERROR(_xll.BDP(TICKER,"DEEP_MEASURE_PERIOD_BROKER_VALUE","DEEP_MEASURE_ID_OVERRIDE",$C147,"DEEP_BROKER_ID_OVERRIDE",Y$24,"DEEP_PERIOD_OVERRIDE",$H$19)*1,"")))</f>
        <v/>
      </c>
      <c r="Z147" t="str">
        <f>IF(OR(Z$23="",ISNA($B147)),"",IF(ISBLANK($B147),"",IFERROR(_xll.BDP(TICKER,"DEEP_MEASURE_PERIOD_BROKER_VALUE","DEEP_MEASURE_ID_OVERRIDE",$C147,"DEEP_BROKER_ID_OVERRIDE",Z$24,"DEEP_PERIOD_OVERRIDE",$H$19)*1,"")))</f>
        <v/>
      </c>
      <c r="AA147" t="str">
        <f>IF(OR(AA$23="",ISNA($B147)),"",IF(ISBLANK($B147),"",IFERROR(_xll.BDP(TICKER,"DEEP_MEASURE_PERIOD_BROKER_VALUE","DEEP_MEASURE_ID_OVERRIDE",$C147,"DEEP_BROKER_ID_OVERRIDE",AA$24,"DEEP_PERIOD_OVERRIDE",$H$19)*1,"")))</f>
        <v/>
      </c>
      <c r="AB147" t="str">
        <f>IF(OR(AB$23="",ISNA($B147)),"",IF(ISBLANK($B147),"",IFERROR(_xll.BDP(TICKER,"DEEP_MEASURE_PERIOD_BROKER_VALUE","DEEP_MEASURE_ID_OVERRIDE",$C147,"DEEP_BROKER_ID_OVERRIDE",AB$24,"DEEP_PERIOD_OVERRIDE",$H$19)*1,"")))</f>
        <v/>
      </c>
      <c r="AC147" t="str">
        <f>IF(OR(AC$23="",ISNA($B147)),"",IF(ISBLANK($B147),"",IFERROR(_xll.BDP(TICKER,"DEEP_MEASURE_PERIOD_BROKER_VALUE","DEEP_MEASURE_ID_OVERRIDE",$C147,"DEEP_BROKER_ID_OVERRIDE",AC$24,"DEEP_PERIOD_OVERRIDE",$H$19)*1,"")))</f>
        <v/>
      </c>
      <c r="AD147" t="str">
        <f>IF(OR(AD$23="",ISNA($B147)),"",IF(ISBLANK($B147),"",IFERROR(_xll.BDP(TICKER,"DEEP_MEASURE_PERIOD_BROKER_VALUE","DEEP_MEASURE_ID_OVERRIDE",$C147,"DEEP_BROKER_ID_OVERRIDE",AD$24,"DEEP_PERIOD_OVERRIDE",$H$19)*1,"")))</f>
        <v/>
      </c>
      <c r="AE147" t="str">
        <f>IF(OR(AE$23="",ISNA($B147)),"",IF(ISBLANK($B147),"",IFERROR(_xll.BDP(TICKER,"DEEP_MEASURE_PERIOD_BROKER_VALUE","DEEP_MEASURE_ID_OVERRIDE",$C147,"DEEP_BROKER_ID_OVERRIDE",AE$24,"DEEP_PERIOD_OVERRIDE",$H$19)*1,"")))</f>
        <v/>
      </c>
      <c r="AF147" t="str">
        <f>IF(OR(AF$23="",ISNA($B147)),"",IF(ISBLANK($B147),"",IFERROR(_xll.BDP(TICKER,"DEEP_MEASURE_PERIOD_BROKER_VALUE","DEEP_MEASURE_ID_OVERRIDE",$C147,"DEEP_BROKER_ID_OVERRIDE",AF$24,"DEEP_PERIOD_OVERRIDE",$H$19)*1,"")))</f>
        <v/>
      </c>
      <c r="AG147" t="str">
        <f>IF(OR(AG$23="",ISNA($B147)),"",IF(ISBLANK($B147),"",IFERROR(_xll.BDP(TICKER,"DEEP_MEASURE_PERIOD_BROKER_VALUE","DEEP_MEASURE_ID_OVERRIDE",$C147,"DEEP_BROKER_ID_OVERRIDE",AG$24,"DEEP_PERIOD_OVERRIDE",$H$19)*1,"")))</f>
        <v/>
      </c>
      <c r="AH147" t="str">
        <f>IF(OR(AH$23="",ISNA($B147)),"",IF(ISBLANK($B147),"",IFERROR(_xll.BDP(TICKER,"DEEP_MEASURE_PERIOD_BROKER_VALUE","DEEP_MEASURE_ID_OVERRIDE",$C147,"DEEP_BROKER_ID_OVERRIDE",AH$24,"DEEP_PERIOD_OVERRIDE",$H$19)*1,"")))</f>
        <v/>
      </c>
      <c r="AI147" t="str">
        <f>IF(OR(AI$23="",ISNA($B147)),"",IF(ISBLANK($B147),"",IFERROR(_xll.BDP(TICKER,"DEEP_MEASURE_PERIOD_BROKER_VALUE","DEEP_MEASURE_ID_OVERRIDE",$C147,"DEEP_BROKER_ID_OVERRIDE",AI$24,"DEEP_PERIOD_OVERRIDE",$H$19)*1,"")))</f>
        <v/>
      </c>
      <c r="AJ147" t="str">
        <f>IF(OR(AJ$23="",ISNA($B147)),"",IF(ISBLANK($B147),"",IFERROR(_xll.BDP(TICKER,"DEEP_MEASURE_PERIOD_BROKER_VALUE","DEEP_MEASURE_ID_OVERRIDE",$C147,"DEEP_BROKER_ID_OVERRIDE",AJ$24,"DEEP_PERIOD_OVERRIDE",$H$19)*1,"")))</f>
        <v/>
      </c>
      <c r="AK147" t="str">
        <f>IF(OR(AK$23="",ISNA($B147)),"",IF(ISBLANK($B147),"",IFERROR(_xll.BDP(TICKER,"DEEP_MEASURE_PERIOD_BROKER_VALUE","DEEP_MEASURE_ID_OVERRIDE",$C147,"DEEP_BROKER_ID_OVERRIDE",AK$24,"DEEP_PERIOD_OVERRIDE",$H$19)*1,"")))</f>
        <v/>
      </c>
      <c r="AL147" t="str">
        <f>IF(OR(AL$23="",ISNA($B147)),"",IF(ISBLANK($B147),"",IFERROR(_xll.BDP(TICKER,"DEEP_MEASURE_PERIOD_BROKER_VALUE","DEEP_MEASURE_ID_OVERRIDE",$C147,"DEEP_BROKER_ID_OVERRIDE",AL$24,"DEEP_PERIOD_OVERRIDE",$H$19)*1,"")))</f>
        <v/>
      </c>
      <c r="AM147" t="str">
        <f>IF(OR(AM$23="",ISNA($B147)),"",IF(ISBLANK($B147),"",IFERROR(_xll.BDP(TICKER,"DEEP_MEASURE_PERIOD_BROKER_VALUE","DEEP_MEASURE_ID_OVERRIDE",$C147,"DEEP_BROKER_ID_OVERRIDE",AM$24,"DEEP_PERIOD_OVERRIDE",$H$19)*1,"")))</f>
        <v/>
      </c>
      <c r="AN147" t="str">
        <f>IF(OR(AN$23="",ISNA($B147)),"",IF(ISBLANK($B147),"",IFERROR(_xll.BDP(TICKER,"DEEP_MEASURE_PERIOD_BROKER_VALUE","DEEP_MEASURE_ID_OVERRIDE",$C147,"DEEP_BROKER_ID_OVERRIDE",AN$24,"DEEP_PERIOD_OVERRIDE",$H$19)*1,"")))</f>
        <v/>
      </c>
      <c r="AO147" t="str">
        <f>IF(OR(AO$23="",ISNA($B147)),"",IF(ISBLANK($B147),"",IFERROR(_xll.BDP(TICKER,"DEEP_MEASURE_PERIOD_BROKER_VALUE","DEEP_MEASURE_ID_OVERRIDE",$C147,"DEEP_BROKER_ID_OVERRIDE",AO$24,"DEEP_PERIOD_OVERRIDE",$H$19)*1,"")))</f>
        <v/>
      </c>
      <c r="AP147" t="str">
        <f>IF(OR(AP$23="",ISNA($B147)),"",IF(ISBLANK($B147),"",IFERROR(_xll.BDP(TICKER,"DEEP_MEASURE_PERIOD_BROKER_VALUE","DEEP_MEASURE_ID_OVERRIDE",$C147,"DEEP_BROKER_ID_OVERRIDE",AP$24,"DEEP_PERIOD_OVERRIDE",$H$19)*1,"")))</f>
        <v/>
      </c>
      <c r="AQ147" t="str">
        <f>IF(OR(AQ$23="",ISNA($B147)),"",IF(ISBLANK($B147),"",IFERROR(_xll.BDP(TICKER,"DEEP_MEASURE_PERIOD_BROKER_VALUE","DEEP_MEASURE_ID_OVERRIDE",$C147,"DEEP_BROKER_ID_OVERRIDE",AQ$24,"DEEP_PERIOD_OVERRIDE",$H$19)*1,"")))</f>
        <v/>
      </c>
      <c r="AR147" t="str">
        <f>IF(OR(AR$23="",ISNA($B147)),"",IF(ISBLANK($B147),"",IFERROR(_xll.BDP(TICKER,"DEEP_MEASURE_PERIOD_BROKER_VALUE","DEEP_MEASURE_ID_OVERRIDE",$C147,"DEEP_BROKER_ID_OVERRIDE",AR$24,"DEEP_PERIOD_OVERRIDE",$H$19)*1,"")))</f>
        <v/>
      </c>
      <c r="AS147" t="str">
        <f>IF(OR(AS$23="",ISNA($B147)),"",IF(ISBLANK($B147),"",IFERROR(_xll.BDP(TICKER,"DEEP_MEASURE_PERIOD_BROKER_VALUE","DEEP_MEASURE_ID_OVERRIDE",$C147,"DEEP_BROKER_ID_OVERRIDE",AS$24,"DEEP_PERIOD_OVERRIDE",$H$19)*1,"")))</f>
        <v/>
      </c>
      <c r="AT147" t="str">
        <f>IF(OR(AT$23="",ISNA($B147)),"",IF(ISBLANK($B147),"",IFERROR(_xll.BDP(TICKER,"DEEP_MEASURE_PERIOD_BROKER_VALUE","DEEP_MEASURE_ID_OVERRIDE",$C147,"DEEP_BROKER_ID_OVERRIDE",AT$24,"DEEP_PERIOD_OVERRIDE",$H$19)*1,"")))</f>
        <v/>
      </c>
      <c r="AU147" t="str">
        <f>IF(OR(AU$23="",ISNA($B147)),"",IF(ISBLANK($B147),"",IFERROR(_xll.BDP(TICKER,"DEEP_MEASURE_PERIOD_BROKER_VALUE","DEEP_MEASURE_ID_OVERRIDE",$C147,"DEEP_BROKER_ID_OVERRIDE",AU$24,"DEEP_PERIOD_OVERRIDE",$H$19)*1,"")))</f>
        <v/>
      </c>
      <c r="AV147" t="str">
        <f>IF(OR(AV$23="",ISNA($B147)),"",IF(ISBLANK($B147),"",IFERROR(_xll.BDP(TICKER,"DEEP_MEASURE_PERIOD_BROKER_VALUE","DEEP_MEASURE_ID_OVERRIDE",$C147,"DEEP_BROKER_ID_OVERRIDE",AV$24,"DEEP_PERIOD_OVERRIDE",$H$19)*1,"")))</f>
        <v/>
      </c>
      <c r="AW147" t="str">
        <f>IF(OR(AW$23="",ISNA($B147)),"",IF(ISBLANK($B147),"",IFERROR(_xll.BDP(TICKER,"DEEP_MEASURE_PERIOD_BROKER_VALUE","DEEP_MEASURE_ID_OVERRIDE",$C147,"DEEP_BROKER_ID_OVERRIDE",AW$24,"DEEP_PERIOD_OVERRIDE",$H$19)*1,"")))</f>
        <v/>
      </c>
      <c r="AX147" t="str">
        <f>IF(OR(AX$23="",ISNA($B147)),"",IF(ISBLANK($B147),"",IFERROR(_xll.BDP(TICKER,"DEEP_MEASURE_PERIOD_BROKER_VALUE","DEEP_MEASURE_ID_OVERRIDE",$C147,"DEEP_BROKER_ID_OVERRIDE",AX$24,"DEEP_PERIOD_OVERRIDE",$H$19)*1,"")))</f>
        <v/>
      </c>
      <c r="AY147" t="str">
        <f>IF(OR(AY$23="",ISNA($B147)),"",IF(ISBLANK($B147),"",IFERROR(_xll.BDP(TICKER,"DEEP_MEASURE_PERIOD_BROKER_VALUE","DEEP_MEASURE_ID_OVERRIDE",$C147,"DEEP_BROKER_ID_OVERRIDE",AY$24,"DEEP_PERIOD_OVERRIDE",$H$19)*1,"")))</f>
        <v/>
      </c>
      <c r="AZ147" t="str">
        <f>IF(OR(AZ$23="",ISNA($B147)),"",IF(ISBLANK($B147),"",IFERROR(_xll.BDP(TICKER,"DEEP_MEASURE_PERIOD_BROKER_VALUE","DEEP_MEASURE_ID_OVERRIDE",$C147,"DEEP_BROKER_ID_OVERRIDE",AZ$24,"DEEP_PERIOD_OVERRIDE",$H$19)*1,"")))</f>
        <v/>
      </c>
      <c r="BA147" t="str">
        <f>IF(OR(BA$23="",ISNA($B147)),"",IF(ISBLANK($B147),"",IFERROR(_xll.BDP(TICKER,"DEEP_MEASURE_PERIOD_BROKER_VALUE","DEEP_MEASURE_ID_OVERRIDE",$C147,"DEEP_BROKER_ID_OVERRIDE",BA$24,"DEEP_PERIOD_OVERRIDE",$H$19)*1,"")))</f>
        <v/>
      </c>
      <c r="BB147" t="str">
        <f>IF(OR(BB$23="",ISNA($B147)),"",IF(ISBLANK($B147),"",IFERROR(_xll.BDP(TICKER,"DEEP_MEASURE_PERIOD_BROKER_VALUE","DEEP_MEASURE_ID_OVERRIDE",$C147,"DEEP_BROKER_ID_OVERRIDE",BB$24,"DEEP_PERIOD_OVERRIDE",$H$19)*1,"")))</f>
        <v/>
      </c>
      <c r="BC147" t="str">
        <f>IF(OR(BC$23="",ISNA($B147)),"",IF(ISBLANK($B147),"",IFERROR(_xll.BDP(TICKER,"DEEP_MEASURE_PERIOD_BROKER_VALUE","DEEP_MEASURE_ID_OVERRIDE",$C147,"DEEP_BROKER_ID_OVERRIDE",BC$24,"DEEP_PERIOD_OVERRIDE",$H$19)*1,"")))</f>
        <v/>
      </c>
      <c r="BD147" t="str">
        <f>IF(OR(BD$23="",ISNA($B147)),"",IF(ISBLANK($B147),"",IFERROR(_xll.BDP(TICKER,"DEEP_MEASURE_PERIOD_BROKER_VALUE","DEEP_MEASURE_ID_OVERRIDE",$C147,"DEEP_BROKER_ID_OVERRIDE",BD$24,"DEEP_PERIOD_OVERRIDE",$H$19)*1,"")))</f>
        <v/>
      </c>
      <c r="BE147" t="str">
        <f>IF(OR(BE$23="",ISNA($B147)),"",IF(ISBLANK($B147),"",IFERROR(_xll.BDP(TICKER,"DEEP_MEASURE_PERIOD_BROKER_VALUE","DEEP_MEASURE_ID_OVERRIDE",$C147,"DEEP_BROKER_ID_OVERRIDE",BE$24,"DEEP_PERIOD_OVERRIDE",$H$19)*1,"")))</f>
        <v/>
      </c>
      <c r="BF147" t="str">
        <f>IF(OR(BF$23="",ISNA($B147)),"",IF(ISBLANK($B147),"",IFERROR(_xll.BDP(TICKER,"DEEP_MEASURE_PERIOD_BROKER_VALUE","DEEP_MEASURE_ID_OVERRIDE",$C147,"DEEP_BROKER_ID_OVERRIDE",BF$24,"DEEP_PERIOD_OVERRIDE",$H$19)*1,"")))</f>
        <v/>
      </c>
      <c r="BG147" t="str">
        <f>IF(OR(BG$23="",ISNA($B147)),"",IF(ISBLANK($B147),"",IFERROR(_xll.BDP(TICKER,"DEEP_MEASURE_PERIOD_BROKER_VALUE","DEEP_MEASURE_ID_OVERRIDE",$C147,"DEEP_BROKER_ID_OVERRIDE",BG$24,"DEEP_PERIOD_OVERRIDE",$H$19)*1,"")))</f>
        <v/>
      </c>
      <c r="BH147" t="str">
        <f>IF(OR(BH$23="",ISNA($B147)),"",IF(ISBLANK($B147),"",IFERROR(_xll.BDP(TICKER,"DEEP_MEASURE_PERIOD_BROKER_VALUE","DEEP_MEASURE_ID_OVERRIDE",$C147,"DEEP_BROKER_ID_OVERRIDE",BH$24,"DEEP_PERIOD_OVERRIDE",$H$19)*1,"")))</f>
        <v/>
      </c>
      <c r="BI147" t="str">
        <f>IF(OR(BI$23="",ISNA($B147)),"",IF(ISBLANK($B147),"",IFERROR(_xll.BDP(TICKER,"DEEP_MEASURE_PERIOD_BROKER_VALUE","DEEP_MEASURE_ID_OVERRIDE",$C147,"DEEP_BROKER_ID_OVERRIDE",BI$24,"DEEP_PERIOD_OVERRIDE",$H$19)*1,"")))</f>
        <v/>
      </c>
      <c r="BJ147" t="str">
        <f>IF(OR(BJ$23="",ISNA($B147)),"",IF(ISBLANK($B147),"",IFERROR(_xll.BDP(TICKER,"DEEP_MEASURE_PERIOD_BROKER_VALUE","DEEP_MEASURE_ID_OVERRIDE",$C147,"DEEP_BROKER_ID_OVERRIDE",BJ$24,"DEEP_PERIOD_OVERRIDE",$H$19)*1,"")))</f>
        <v/>
      </c>
      <c r="BK147" t="str">
        <f>IF(OR(BK$23="",ISNA($B147)),"",IF(ISBLANK($B147),"",IFERROR(_xll.BDP(TICKER,"DEEP_MEASURE_PERIOD_BROKER_VALUE","DEEP_MEASURE_ID_OVERRIDE",$C147,"DEEP_BROKER_ID_OVERRIDE",BK$24,"DEEP_PERIOD_OVERRIDE",$H$19)*1,"")))</f>
        <v/>
      </c>
      <c r="BL147" t="str">
        <f>IF(OR(BL$23="",ISNA($B147)),"",IF(ISBLANK($B147),"",IFERROR(_xll.BDP(TICKER,"DEEP_MEASURE_PERIOD_BROKER_VALUE","DEEP_MEASURE_ID_OVERRIDE",$C147,"DEEP_BROKER_ID_OVERRIDE",BL$24,"DEEP_PERIOD_OVERRIDE",$H$19)*1,"")))</f>
        <v/>
      </c>
      <c r="BM147" t="str">
        <f>IF(OR(BM$23="",ISNA($B147)),"",IF(ISBLANK($B147),"",IFERROR(_xll.BDP(TICKER,"DEEP_MEASURE_PERIOD_BROKER_VALUE","DEEP_MEASURE_ID_OVERRIDE",$C147,"DEEP_BROKER_ID_OVERRIDE",BM$24,"DEEP_PERIOD_OVERRIDE",$H$19)*1,"")))</f>
        <v/>
      </c>
      <c r="BN147" t="str">
        <f>IF(OR(BN$23="",ISNA($B147)),"",IF(ISBLANK($B147),"",IFERROR(_xll.BDP(TICKER,"DEEP_MEASURE_PERIOD_BROKER_VALUE","DEEP_MEASURE_ID_OVERRIDE",$C147,"DEEP_BROKER_ID_OVERRIDE",BN$24,"DEEP_PERIOD_OVERRIDE",$H$19)*1,"")))</f>
        <v/>
      </c>
      <c r="BO147" t="str">
        <f>IF(OR(BO$23="",ISNA($B147)),"",IF(ISBLANK($B147),"",IFERROR(_xll.BDP(TICKER,"DEEP_MEASURE_PERIOD_BROKER_VALUE","DEEP_MEASURE_ID_OVERRIDE",$C147,"DEEP_BROKER_ID_OVERRIDE",BO$24,"DEEP_PERIOD_OVERRIDE",$H$19)*1,"")))</f>
        <v/>
      </c>
      <c r="BP147" t="str">
        <f>IF(OR(BP$23="",ISNA($B147)),"",IF(ISBLANK($B147),"",IFERROR(_xll.BDP(TICKER,"DEEP_MEASURE_PERIOD_BROKER_VALUE","DEEP_MEASURE_ID_OVERRIDE",$C147,"DEEP_BROKER_ID_OVERRIDE",BP$24,"DEEP_PERIOD_OVERRIDE",$H$19)*1,"")))</f>
        <v/>
      </c>
      <c r="BQ147" t="str">
        <f>IF(OR(BQ$23="",ISNA($B147)),"",IF(ISBLANK($B147),"",IFERROR(_xll.BDP(TICKER,"DEEP_MEASURE_PERIOD_BROKER_VALUE","DEEP_MEASURE_ID_OVERRIDE",$C147,"DEEP_BROKER_ID_OVERRIDE",BQ$24,"DEEP_PERIOD_OVERRIDE",$H$19)*1,"")))</f>
        <v/>
      </c>
      <c r="BR147" t="str">
        <f>IF(OR(BR$23="",ISNA($B147)),"",IF(ISBLANK($B147),"",IFERROR(_xll.BDP(TICKER,"DEEP_MEASURE_PERIOD_BROKER_VALUE","DEEP_MEASURE_ID_OVERRIDE",$C147,"DEEP_BROKER_ID_OVERRIDE",BR$24,"DEEP_PERIOD_OVERRIDE",$H$19)*1,"")))</f>
        <v/>
      </c>
      <c r="BS147" t="str">
        <f>IF(OR(BS$23="",ISNA($B147)),"",IF(ISBLANK($B147),"",IFERROR(_xll.BDP(TICKER,"DEEP_MEASURE_PERIOD_BROKER_VALUE","DEEP_MEASURE_ID_OVERRIDE",$C147,"DEEP_BROKER_ID_OVERRIDE",BS$24,"DEEP_PERIOD_OVERRIDE",$H$19)*1,"")))</f>
        <v/>
      </c>
      <c r="BT147" t="str">
        <f>IF(OR(BT$23="",ISNA($B147)),"",IF(ISBLANK($B147),"",IFERROR(_xll.BDP(TICKER,"DEEP_MEASURE_PERIOD_BROKER_VALUE","DEEP_MEASURE_ID_OVERRIDE",$C147,"DEEP_BROKER_ID_OVERRIDE",BT$24,"DEEP_PERIOD_OVERRIDE",$H$19)*1,"")))</f>
        <v/>
      </c>
      <c r="BU147" t="str">
        <f>IF(OR(BU$23="",ISNA($B147)),"",IF(ISBLANK($B147),"",IFERROR(_xll.BDP(TICKER,"DEEP_MEASURE_PERIOD_BROKER_VALUE","DEEP_MEASURE_ID_OVERRIDE",$C147,"DEEP_BROKER_ID_OVERRIDE",BU$24,"DEEP_PERIOD_OVERRIDE",$H$19)*1,"")))</f>
        <v/>
      </c>
      <c r="BV147" t="str">
        <f>IF(OR(BV$23="",ISNA($B147)),"",IF(ISBLANK($B147),"",IFERROR(_xll.BDP(TICKER,"DEEP_MEASURE_PERIOD_BROKER_VALUE","DEEP_MEASURE_ID_OVERRIDE",$C147,"DEEP_BROKER_ID_OVERRIDE",BV$24,"DEEP_PERIOD_OVERRIDE",$H$19)*1,"")))</f>
        <v/>
      </c>
      <c r="BW147" t="str">
        <f>IF(OR(BW$23="",ISNA($B147)),"",IF(ISBLANK($B147),"",IFERROR(_xll.BDP(TICKER,"DEEP_MEASURE_PERIOD_BROKER_VALUE","DEEP_MEASURE_ID_OVERRIDE",$C147,"DEEP_BROKER_ID_OVERRIDE",BW$24,"DEEP_PERIOD_OVERRIDE",$H$19)*1,"")))</f>
        <v/>
      </c>
      <c r="BX147" t="str">
        <f>IF(OR(BX$23="",ISNA($B147)),"",IF(ISBLANK($B147),"",IFERROR(_xll.BDP(TICKER,"DEEP_MEASURE_PERIOD_BROKER_VALUE","DEEP_MEASURE_ID_OVERRIDE",$C147,"DEEP_BROKER_ID_OVERRIDE",BX$24,"DEEP_PERIOD_OVERRIDE",$H$19)*1,"")))</f>
        <v/>
      </c>
      <c r="BY147" t="str">
        <f>IF(OR(BY$23="",ISNA($B147)),"",IF(ISBLANK($B147),"",IFERROR(_xll.BDP(TICKER,"DEEP_MEASURE_PERIOD_BROKER_VALUE","DEEP_MEASURE_ID_OVERRIDE",$C147,"DEEP_BROKER_ID_OVERRIDE",BY$24,"DEEP_PERIOD_OVERRIDE",$H$19)*1,"")))</f>
        <v/>
      </c>
      <c r="BZ147" t="str">
        <f>IF(OR(BZ$23="",ISNA($B147)),"",IF(ISBLANK($B147),"",IFERROR(_xll.BDP(TICKER,"DEEP_MEASURE_PERIOD_BROKER_VALUE","DEEP_MEASURE_ID_OVERRIDE",$C147,"DEEP_BROKER_ID_OVERRIDE",BZ$24,"DEEP_PERIOD_OVERRIDE",$H$19)*1,"")))</f>
        <v/>
      </c>
    </row>
    <row r="148" spans="2:78" x14ac:dyDescent="0.25">
      <c r="B148" t="s">
        <v>177</v>
      </c>
      <c r="C148">
        <v>5763</v>
      </c>
      <c r="H148" t="str">
        <f t="shared" si="2"/>
        <v>Non-GAAP Metrics &gt; Total Operating Expenses</v>
      </c>
      <c r="I148" t="str">
        <f>IF(OR(I$23="",ISNA($B148)),"",IF(ISBLANK($B148),"",IFERROR(_xll.BDP(TICKER,"DEEP_MEASURE_PERIOD_BROKER_VALUE","DEEP_MEASURE_ID_OVERRIDE",$C148,"DEEP_PERIOD_OVERRIDE",$H$19)*1,"")))</f>
        <v/>
      </c>
      <c r="J148" t="e">
        <f>IF(OR(J$23="",ISNA($B148)),"",IF(ISBLANK($B148),"",IFERROR(_xll.BDP(TICKER,"DEEP_MEASURE_PERIOD_BROKER_VALUE","DEEP_MEASURE_ID_OVERRIDE",$C148,"DEEP_BROKER_ID_OVERRIDE",J$24,"DEEP_PERIOD_OVERRIDE",$H$19)*1,"")))</f>
        <v>#REF!</v>
      </c>
      <c r="K148" t="str">
        <f>IF(OR(K$23="",ISNA($B148)),"",IF(ISBLANK($B148),"",IFERROR(_xll.BDP(TICKER,"DEEP_MEASURE_PERIOD_BROKER_VALUE","DEEP_MEASURE_ID_OVERRIDE",$C148,"DEEP_BROKER_ID_OVERRIDE",K$24,"DEEP_PERIOD_OVERRIDE",$H$19)*1,"")))</f>
        <v/>
      </c>
      <c r="L148" t="str">
        <f>IF(OR(L$23="",ISNA($B148)),"",IF(ISBLANK($B148),"",IFERROR(_xll.BDP(TICKER,"DEEP_MEASURE_PERIOD_BROKER_VALUE","DEEP_MEASURE_ID_OVERRIDE",$C148,"DEEP_BROKER_ID_OVERRIDE",L$24,"DEEP_PERIOD_OVERRIDE",$H$19)*1,"")))</f>
        <v/>
      </c>
      <c r="M148" t="str">
        <f>IF(OR(M$23="",ISNA($B148)),"",IF(ISBLANK($B148),"",IFERROR(_xll.BDP(TICKER,"DEEP_MEASURE_PERIOD_BROKER_VALUE","DEEP_MEASURE_ID_OVERRIDE",$C148,"DEEP_BROKER_ID_OVERRIDE",M$24,"DEEP_PERIOD_OVERRIDE",$H$19)*1,"")))</f>
        <v/>
      </c>
      <c r="N148" t="str">
        <f>IF(OR(N$23="",ISNA($B148)),"",IF(ISBLANK($B148),"",IFERROR(_xll.BDP(TICKER,"DEEP_MEASURE_PERIOD_BROKER_VALUE","DEEP_MEASURE_ID_OVERRIDE",$C148,"DEEP_BROKER_ID_OVERRIDE",N$24,"DEEP_PERIOD_OVERRIDE",$H$19)*1,"")))</f>
        <v/>
      </c>
      <c r="O148" t="str">
        <f>IF(OR(O$23="",ISNA($B148)),"",IF(ISBLANK($B148),"",IFERROR(_xll.BDP(TICKER,"DEEP_MEASURE_PERIOD_BROKER_VALUE","DEEP_MEASURE_ID_OVERRIDE",$C148,"DEEP_BROKER_ID_OVERRIDE",O$24,"DEEP_PERIOD_OVERRIDE",$H$19)*1,"")))</f>
        <v/>
      </c>
      <c r="P148" t="str">
        <f>IF(OR(P$23="",ISNA($B148)),"",IF(ISBLANK($B148),"",IFERROR(_xll.BDP(TICKER,"DEEP_MEASURE_PERIOD_BROKER_VALUE","DEEP_MEASURE_ID_OVERRIDE",$C148,"DEEP_BROKER_ID_OVERRIDE",P$24,"DEEP_PERIOD_OVERRIDE",$H$19)*1,"")))</f>
        <v/>
      </c>
      <c r="Q148" t="str">
        <f>IF(OR(Q$23="",ISNA($B148)),"",IF(ISBLANK($B148),"",IFERROR(_xll.BDP(TICKER,"DEEP_MEASURE_PERIOD_BROKER_VALUE","DEEP_MEASURE_ID_OVERRIDE",$C148,"DEEP_BROKER_ID_OVERRIDE",Q$24,"DEEP_PERIOD_OVERRIDE",$H$19)*1,"")))</f>
        <v/>
      </c>
      <c r="R148" t="str">
        <f>IF(OR(R$23="",ISNA($B148)),"",IF(ISBLANK($B148),"",IFERROR(_xll.BDP(TICKER,"DEEP_MEASURE_PERIOD_BROKER_VALUE","DEEP_MEASURE_ID_OVERRIDE",$C148,"DEEP_BROKER_ID_OVERRIDE",R$24,"DEEP_PERIOD_OVERRIDE",$H$19)*1,"")))</f>
        <v/>
      </c>
      <c r="S148" t="str">
        <f>IF(OR(S$23="",ISNA($B148)),"",IF(ISBLANK($B148),"",IFERROR(_xll.BDP(TICKER,"DEEP_MEASURE_PERIOD_BROKER_VALUE","DEEP_MEASURE_ID_OVERRIDE",$C148,"DEEP_BROKER_ID_OVERRIDE",S$24,"DEEP_PERIOD_OVERRIDE",$H$19)*1,"")))</f>
        <v/>
      </c>
      <c r="T148" t="str">
        <f>IF(OR(T$23="",ISNA($B148)),"",IF(ISBLANK($B148),"",IFERROR(_xll.BDP(TICKER,"DEEP_MEASURE_PERIOD_BROKER_VALUE","DEEP_MEASURE_ID_OVERRIDE",$C148,"DEEP_BROKER_ID_OVERRIDE",T$24,"DEEP_PERIOD_OVERRIDE",$H$19)*1,"")))</f>
        <v/>
      </c>
      <c r="U148" t="str">
        <f>IF(OR(U$23="",ISNA($B148)),"",IF(ISBLANK($B148),"",IFERROR(_xll.BDP(TICKER,"DEEP_MEASURE_PERIOD_BROKER_VALUE","DEEP_MEASURE_ID_OVERRIDE",$C148,"DEEP_BROKER_ID_OVERRIDE",U$24,"DEEP_PERIOD_OVERRIDE",$H$19)*1,"")))</f>
        <v/>
      </c>
      <c r="V148" t="str">
        <f>IF(OR(V$23="",ISNA($B148)),"",IF(ISBLANK($B148),"",IFERROR(_xll.BDP(TICKER,"DEEP_MEASURE_PERIOD_BROKER_VALUE","DEEP_MEASURE_ID_OVERRIDE",$C148,"DEEP_BROKER_ID_OVERRIDE",V$24,"DEEP_PERIOD_OVERRIDE",$H$19)*1,"")))</f>
        <v/>
      </c>
      <c r="W148" t="str">
        <f>IF(OR(W$23="",ISNA($B148)),"",IF(ISBLANK($B148),"",IFERROR(_xll.BDP(TICKER,"DEEP_MEASURE_PERIOD_BROKER_VALUE","DEEP_MEASURE_ID_OVERRIDE",$C148,"DEEP_BROKER_ID_OVERRIDE",W$24,"DEEP_PERIOD_OVERRIDE",$H$19)*1,"")))</f>
        <v/>
      </c>
      <c r="X148" t="str">
        <f>IF(OR(X$23="",ISNA($B148)),"",IF(ISBLANK($B148),"",IFERROR(_xll.BDP(TICKER,"DEEP_MEASURE_PERIOD_BROKER_VALUE","DEEP_MEASURE_ID_OVERRIDE",$C148,"DEEP_BROKER_ID_OVERRIDE",X$24,"DEEP_PERIOD_OVERRIDE",$H$19)*1,"")))</f>
        <v/>
      </c>
      <c r="Y148" t="str">
        <f>IF(OR(Y$23="",ISNA($B148)),"",IF(ISBLANK($B148),"",IFERROR(_xll.BDP(TICKER,"DEEP_MEASURE_PERIOD_BROKER_VALUE","DEEP_MEASURE_ID_OVERRIDE",$C148,"DEEP_BROKER_ID_OVERRIDE",Y$24,"DEEP_PERIOD_OVERRIDE",$H$19)*1,"")))</f>
        <v/>
      </c>
      <c r="Z148" t="str">
        <f>IF(OR(Z$23="",ISNA($B148)),"",IF(ISBLANK($B148),"",IFERROR(_xll.BDP(TICKER,"DEEP_MEASURE_PERIOD_BROKER_VALUE","DEEP_MEASURE_ID_OVERRIDE",$C148,"DEEP_BROKER_ID_OVERRIDE",Z$24,"DEEP_PERIOD_OVERRIDE",$H$19)*1,"")))</f>
        <v/>
      </c>
      <c r="AA148" t="str">
        <f>IF(OR(AA$23="",ISNA($B148)),"",IF(ISBLANK($B148),"",IFERROR(_xll.BDP(TICKER,"DEEP_MEASURE_PERIOD_BROKER_VALUE","DEEP_MEASURE_ID_OVERRIDE",$C148,"DEEP_BROKER_ID_OVERRIDE",AA$24,"DEEP_PERIOD_OVERRIDE",$H$19)*1,"")))</f>
        <v/>
      </c>
      <c r="AB148" t="str">
        <f>IF(OR(AB$23="",ISNA($B148)),"",IF(ISBLANK($B148),"",IFERROR(_xll.BDP(TICKER,"DEEP_MEASURE_PERIOD_BROKER_VALUE","DEEP_MEASURE_ID_OVERRIDE",$C148,"DEEP_BROKER_ID_OVERRIDE",AB$24,"DEEP_PERIOD_OVERRIDE",$H$19)*1,"")))</f>
        <v/>
      </c>
      <c r="AC148" t="str">
        <f>IF(OR(AC$23="",ISNA($B148)),"",IF(ISBLANK($B148),"",IFERROR(_xll.BDP(TICKER,"DEEP_MEASURE_PERIOD_BROKER_VALUE","DEEP_MEASURE_ID_OVERRIDE",$C148,"DEEP_BROKER_ID_OVERRIDE",AC$24,"DEEP_PERIOD_OVERRIDE",$H$19)*1,"")))</f>
        <v/>
      </c>
      <c r="AD148" t="str">
        <f>IF(OR(AD$23="",ISNA($B148)),"",IF(ISBLANK($B148),"",IFERROR(_xll.BDP(TICKER,"DEEP_MEASURE_PERIOD_BROKER_VALUE","DEEP_MEASURE_ID_OVERRIDE",$C148,"DEEP_BROKER_ID_OVERRIDE",AD$24,"DEEP_PERIOD_OVERRIDE",$H$19)*1,"")))</f>
        <v/>
      </c>
      <c r="AE148" t="str">
        <f>IF(OR(AE$23="",ISNA($B148)),"",IF(ISBLANK($B148),"",IFERROR(_xll.BDP(TICKER,"DEEP_MEASURE_PERIOD_BROKER_VALUE","DEEP_MEASURE_ID_OVERRIDE",$C148,"DEEP_BROKER_ID_OVERRIDE",AE$24,"DEEP_PERIOD_OVERRIDE",$H$19)*1,"")))</f>
        <v/>
      </c>
      <c r="AF148" t="str">
        <f>IF(OR(AF$23="",ISNA($B148)),"",IF(ISBLANK($B148),"",IFERROR(_xll.BDP(TICKER,"DEEP_MEASURE_PERIOD_BROKER_VALUE","DEEP_MEASURE_ID_OVERRIDE",$C148,"DEEP_BROKER_ID_OVERRIDE",AF$24,"DEEP_PERIOD_OVERRIDE",$H$19)*1,"")))</f>
        <v/>
      </c>
      <c r="AG148" t="str">
        <f>IF(OR(AG$23="",ISNA($B148)),"",IF(ISBLANK($B148),"",IFERROR(_xll.BDP(TICKER,"DEEP_MEASURE_PERIOD_BROKER_VALUE","DEEP_MEASURE_ID_OVERRIDE",$C148,"DEEP_BROKER_ID_OVERRIDE",AG$24,"DEEP_PERIOD_OVERRIDE",$H$19)*1,"")))</f>
        <v/>
      </c>
      <c r="AH148" t="str">
        <f>IF(OR(AH$23="",ISNA($B148)),"",IF(ISBLANK($B148),"",IFERROR(_xll.BDP(TICKER,"DEEP_MEASURE_PERIOD_BROKER_VALUE","DEEP_MEASURE_ID_OVERRIDE",$C148,"DEEP_BROKER_ID_OVERRIDE",AH$24,"DEEP_PERIOD_OVERRIDE",$H$19)*1,"")))</f>
        <v/>
      </c>
      <c r="AI148" t="str">
        <f>IF(OR(AI$23="",ISNA($B148)),"",IF(ISBLANK($B148),"",IFERROR(_xll.BDP(TICKER,"DEEP_MEASURE_PERIOD_BROKER_VALUE","DEEP_MEASURE_ID_OVERRIDE",$C148,"DEEP_BROKER_ID_OVERRIDE",AI$24,"DEEP_PERIOD_OVERRIDE",$H$19)*1,"")))</f>
        <v/>
      </c>
      <c r="AJ148" t="str">
        <f>IF(OR(AJ$23="",ISNA($B148)),"",IF(ISBLANK($B148),"",IFERROR(_xll.BDP(TICKER,"DEEP_MEASURE_PERIOD_BROKER_VALUE","DEEP_MEASURE_ID_OVERRIDE",$C148,"DEEP_BROKER_ID_OVERRIDE",AJ$24,"DEEP_PERIOD_OVERRIDE",$H$19)*1,"")))</f>
        <v/>
      </c>
      <c r="AK148" t="str">
        <f>IF(OR(AK$23="",ISNA($B148)),"",IF(ISBLANK($B148),"",IFERROR(_xll.BDP(TICKER,"DEEP_MEASURE_PERIOD_BROKER_VALUE","DEEP_MEASURE_ID_OVERRIDE",$C148,"DEEP_BROKER_ID_OVERRIDE",AK$24,"DEEP_PERIOD_OVERRIDE",$H$19)*1,"")))</f>
        <v/>
      </c>
      <c r="AL148" t="str">
        <f>IF(OR(AL$23="",ISNA($B148)),"",IF(ISBLANK($B148),"",IFERROR(_xll.BDP(TICKER,"DEEP_MEASURE_PERIOD_BROKER_VALUE","DEEP_MEASURE_ID_OVERRIDE",$C148,"DEEP_BROKER_ID_OVERRIDE",AL$24,"DEEP_PERIOD_OVERRIDE",$H$19)*1,"")))</f>
        <v/>
      </c>
      <c r="AM148" t="str">
        <f>IF(OR(AM$23="",ISNA($B148)),"",IF(ISBLANK($B148),"",IFERROR(_xll.BDP(TICKER,"DEEP_MEASURE_PERIOD_BROKER_VALUE","DEEP_MEASURE_ID_OVERRIDE",$C148,"DEEP_BROKER_ID_OVERRIDE",AM$24,"DEEP_PERIOD_OVERRIDE",$H$19)*1,"")))</f>
        <v/>
      </c>
      <c r="AN148" t="str">
        <f>IF(OR(AN$23="",ISNA($B148)),"",IF(ISBLANK($B148),"",IFERROR(_xll.BDP(TICKER,"DEEP_MEASURE_PERIOD_BROKER_VALUE","DEEP_MEASURE_ID_OVERRIDE",$C148,"DEEP_BROKER_ID_OVERRIDE",AN$24,"DEEP_PERIOD_OVERRIDE",$H$19)*1,"")))</f>
        <v/>
      </c>
      <c r="AO148" t="str">
        <f>IF(OR(AO$23="",ISNA($B148)),"",IF(ISBLANK($B148),"",IFERROR(_xll.BDP(TICKER,"DEEP_MEASURE_PERIOD_BROKER_VALUE","DEEP_MEASURE_ID_OVERRIDE",$C148,"DEEP_BROKER_ID_OVERRIDE",AO$24,"DEEP_PERIOD_OVERRIDE",$H$19)*1,"")))</f>
        <v/>
      </c>
      <c r="AP148" t="str">
        <f>IF(OR(AP$23="",ISNA($B148)),"",IF(ISBLANK($B148),"",IFERROR(_xll.BDP(TICKER,"DEEP_MEASURE_PERIOD_BROKER_VALUE","DEEP_MEASURE_ID_OVERRIDE",$C148,"DEEP_BROKER_ID_OVERRIDE",AP$24,"DEEP_PERIOD_OVERRIDE",$H$19)*1,"")))</f>
        <v/>
      </c>
      <c r="AQ148" t="str">
        <f>IF(OR(AQ$23="",ISNA($B148)),"",IF(ISBLANK($B148),"",IFERROR(_xll.BDP(TICKER,"DEEP_MEASURE_PERIOD_BROKER_VALUE","DEEP_MEASURE_ID_OVERRIDE",$C148,"DEEP_BROKER_ID_OVERRIDE",AQ$24,"DEEP_PERIOD_OVERRIDE",$H$19)*1,"")))</f>
        <v/>
      </c>
      <c r="AR148" t="str">
        <f>IF(OR(AR$23="",ISNA($B148)),"",IF(ISBLANK($B148),"",IFERROR(_xll.BDP(TICKER,"DEEP_MEASURE_PERIOD_BROKER_VALUE","DEEP_MEASURE_ID_OVERRIDE",$C148,"DEEP_BROKER_ID_OVERRIDE",AR$24,"DEEP_PERIOD_OVERRIDE",$H$19)*1,"")))</f>
        <v/>
      </c>
      <c r="AS148" t="str">
        <f>IF(OR(AS$23="",ISNA($B148)),"",IF(ISBLANK($B148),"",IFERROR(_xll.BDP(TICKER,"DEEP_MEASURE_PERIOD_BROKER_VALUE","DEEP_MEASURE_ID_OVERRIDE",$C148,"DEEP_BROKER_ID_OVERRIDE",AS$24,"DEEP_PERIOD_OVERRIDE",$H$19)*1,"")))</f>
        <v/>
      </c>
      <c r="AT148" t="str">
        <f>IF(OR(AT$23="",ISNA($B148)),"",IF(ISBLANK($B148),"",IFERROR(_xll.BDP(TICKER,"DEEP_MEASURE_PERIOD_BROKER_VALUE","DEEP_MEASURE_ID_OVERRIDE",$C148,"DEEP_BROKER_ID_OVERRIDE",AT$24,"DEEP_PERIOD_OVERRIDE",$H$19)*1,"")))</f>
        <v/>
      </c>
      <c r="AU148" t="str">
        <f>IF(OR(AU$23="",ISNA($B148)),"",IF(ISBLANK($B148),"",IFERROR(_xll.BDP(TICKER,"DEEP_MEASURE_PERIOD_BROKER_VALUE","DEEP_MEASURE_ID_OVERRIDE",$C148,"DEEP_BROKER_ID_OVERRIDE",AU$24,"DEEP_PERIOD_OVERRIDE",$H$19)*1,"")))</f>
        <v/>
      </c>
      <c r="AV148" t="str">
        <f>IF(OR(AV$23="",ISNA($B148)),"",IF(ISBLANK($B148),"",IFERROR(_xll.BDP(TICKER,"DEEP_MEASURE_PERIOD_BROKER_VALUE","DEEP_MEASURE_ID_OVERRIDE",$C148,"DEEP_BROKER_ID_OVERRIDE",AV$24,"DEEP_PERIOD_OVERRIDE",$H$19)*1,"")))</f>
        <v/>
      </c>
      <c r="AW148" t="str">
        <f>IF(OR(AW$23="",ISNA($B148)),"",IF(ISBLANK($B148),"",IFERROR(_xll.BDP(TICKER,"DEEP_MEASURE_PERIOD_BROKER_VALUE","DEEP_MEASURE_ID_OVERRIDE",$C148,"DEEP_BROKER_ID_OVERRIDE",AW$24,"DEEP_PERIOD_OVERRIDE",$H$19)*1,"")))</f>
        <v/>
      </c>
      <c r="AX148" t="str">
        <f>IF(OR(AX$23="",ISNA($B148)),"",IF(ISBLANK($B148),"",IFERROR(_xll.BDP(TICKER,"DEEP_MEASURE_PERIOD_BROKER_VALUE","DEEP_MEASURE_ID_OVERRIDE",$C148,"DEEP_BROKER_ID_OVERRIDE",AX$24,"DEEP_PERIOD_OVERRIDE",$H$19)*1,"")))</f>
        <v/>
      </c>
      <c r="AY148" t="str">
        <f>IF(OR(AY$23="",ISNA($B148)),"",IF(ISBLANK($B148),"",IFERROR(_xll.BDP(TICKER,"DEEP_MEASURE_PERIOD_BROKER_VALUE","DEEP_MEASURE_ID_OVERRIDE",$C148,"DEEP_BROKER_ID_OVERRIDE",AY$24,"DEEP_PERIOD_OVERRIDE",$H$19)*1,"")))</f>
        <v/>
      </c>
      <c r="AZ148" t="str">
        <f>IF(OR(AZ$23="",ISNA($B148)),"",IF(ISBLANK($B148),"",IFERROR(_xll.BDP(TICKER,"DEEP_MEASURE_PERIOD_BROKER_VALUE","DEEP_MEASURE_ID_OVERRIDE",$C148,"DEEP_BROKER_ID_OVERRIDE",AZ$24,"DEEP_PERIOD_OVERRIDE",$H$19)*1,"")))</f>
        <v/>
      </c>
      <c r="BA148" t="str">
        <f>IF(OR(BA$23="",ISNA($B148)),"",IF(ISBLANK($B148),"",IFERROR(_xll.BDP(TICKER,"DEEP_MEASURE_PERIOD_BROKER_VALUE","DEEP_MEASURE_ID_OVERRIDE",$C148,"DEEP_BROKER_ID_OVERRIDE",BA$24,"DEEP_PERIOD_OVERRIDE",$H$19)*1,"")))</f>
        <v/>
      </c>
      <c r="BB148" t="str">
        <f>IF(OR(BB$23="",ISNA($B148)),"",IF(ISBLANK($B148),"",IFERROR(_xll.BDP(TICKER,"DEEP_MEASURE_PERIOD_BROKER_VALUE","DEEP_MEASURE_ID_OVERRIDE",$C148,"DEEP_BROKER_ID_OVERRIDE",BB$24,"DEEP_PERIOD_OVERRIDE",$H$19)*1,"")))</f>
        <v/>
      </c>
      <c r="BC148" t="str">
        <f>IF(OR(BC$23="",ISNA($B148)),"",IF(ISBLANK($B148),"",IFERROR(_xll.BDP(TICKER,"DEEP_MEASURE_PERIOD_BROKER_VALUE","DEEP_MEASURE_ID_OVERRIDE",$C148,"DEEP_BROKER_ID_OVERRIDE",BC$24,"DEEP_PERIOD_OVERRIDE",$H$19)*1,"")))</f>
        <v/>
      </c>
      <c r="BD148" t="str">
        <f>IF(OR(BD$23="",ISNA($B148)),"",IF(ISBLANK($B148),"",IFERROR(_xll.BDP(TICKER,"DEEP_MEASURE_PERIOD_BROKER_VALUE","DEEP_MEASURE_ID_OVERRIDE",$C148,"DEEP_BROKER_ID_OVERRIDE",BD$24,"DEEP_PERIOD_OVERRIDE",$H$19)*1,"")))</f>
        <v/>
      </c>
      <c r="BE148" t="str">
        <f>IF(OR(BE$23="",ISNA($B148)),"",IF(ISBLANK($B148),"",IFERROR(_xll.BDP(TICKER,"DEEP_MEASURE_PERIOD_BROKER_VALUE","DEEP_MEASURE_ID_OVERRIDE",$C148,"DEEP_BROKER_ID_OVERRIDE",BE$24,"DEEP_PERIOD_OVERRIDE",$H$19)*1,"")))</f>
        <v/>
      </c>
      <c r="BF148" t="str">
        <f>IF(OR(BF$23="",ISNA($B148)),"",IF(ISBLANK($B148),"",IFERROR(_xll.BDP(TICKER,"DEEP_MEASURE_PERIOD_BROKER_VALUE","DEEP_MEASURE_ID_OVERRIDE",$C148,"DEEP_BROKER_ID_OVERRIDE",BF$24,"DEEP_PERIOD_OVERRIDE",$H$19)*1,"")))</f>
        <v/>
      </c>
      <c r="BG148" t="str">
        <f>IF(OR(BG$23="",ISNA($B148)),"",IF(ISBLANK($B148),"",IFERROR(_xll.BDP(TICKER,"DEEP_MEASURE_PERIOD_BROKER_VALUE","DEEP_MEASURE_ID_OVERRIDE",$C148,"DEEP_BROKER_ID_OVERRIDE",BG$24,"DEEP_PERIOD_OVERRIDE",$H$19)*1,"")))</f>
        <v/>
      </c>
      <c r="BH148" t="str">
        <f>IF(OR(BH$23="",ISNA($B148)),"",IF(ISBLANK($B148),"",IFERROR(_xll.BDP(TICKER,"DEEP_MEASURE_PERIOD_BROKER_VALUE","DEEP_MEASURE_ID_OVERRIDE",$C148,"DEEP_BROKER_ID_OVERRIDE",BH$24,"DEEP_PERIOD_OVERRIDE",$H$19)*1,"")))</f>
        <v/>
      </c>
      <c r="BI148" t="str">
        <f>IF(OR(BI$23="",ISNA($B148)),"",IF(ISBLANK($B148),"",IFERROR(_xll.BDP(TICKER,"DEEP_MEASURE_PERIOD_BROKER_VALUE","DEEP_MEASURE_ID_OVERRIDE",$C148,"DEEP_BROKER_ID_OVERRIDE",BI$24,"DEEP_PERIOD_OVERRIDE",$H$19)*1,"")))</f>
        <v/>
      </c>
      <c r="BJ148" t="str">
        <f>IF(OR(BJ$23="",ISNA($B148)),"",IF(ISBLANK($B148),"",IFERROR(_xll.BDP(TICKER,"DEEP_MEASURE_PERIOD_BROKER_VALUE","DEEP_MEASURE_ID_OVERRIDE",$C148,"DEEP_BROKER_ID_OVERRIDE",BJ$24,"DEEP_PERIOD_OVERRIDE",$H$19)*1,"")))</f>
        <v/>
      </c>
      <c r="BK148" t="str">
        <f>IF(OR(BK$23="",ISNA($B148)),"",IF(ISBLANK($B148),"",IFERROR(_xll.BDP(TICKER,"DEEP_MEASURE_PERIOD_BROKER_VALUE","DEEP_MEASURE_ID_OVERRIDE",$C148,"DEEP_BROKER_ID_OVERRIDE",BK$24,"DEEP_PERIOD_OVERRIDE",$H$19)*1,"")))</f>
        <v/>
      </c>
      <c r="BL148" t="str">
        <f>IF(OR(BL$23="",ISNA($B148)),"",IF(ISBLANK($B148),"",IFERROR(_xll.BDP(TICKER,"DEEP_MEASURE_PERIOD_BROKER_VALUE","DEEP_MEASURE_ID_OVERRIDE",$C148,"DEEP_BROKER_ID_OVERRIDE",BL$24,"DEEP_PERIOD_OVERRIDE",$H$19)*1,"")))</f>
        <v/>
      </c>
      <c r="BM148" t="str">
        <f>IF(OR(BM$23="",ISNA($B148)),"",IF(ISBLANK($B148),"",IFERROR(_xll.BDP(TICKER,"DEEP_MEASURE_PERIOD_BROKER_VALUE","DEEP_MEASURE_ID_OVERRIDE",$C148,"DEEP_BROKER_ID_OVERRIDE",BM$24,"DEEP_PERIOD_OVERRIDE",$H$19)*1,"")))</f>
        <v/>
      </c>
      <c r="BN148" t="str">
        <f>IF(OR(BN$23="",ISNA($B148)),"",IF(ISBLANK($B148),"",IFERROR(_xll.BDP(TICKER,"DEEP_MEASURE_PERIOD_BROKER_VALUE","DEEP_MEASURE_ID_OVERRIDE",$C148,"DEEP_BROKER_ID_OVERRIDE",BN$24,"DEEP_PERIOD_OVERRIDE",$H$19)*1,"")))</f>
        <v/>
      </c>
      <c r="BO148" t="str">
        <f>IF(OR(BO$23="",ISNA($B148)),"",IF(ISBLANK($B148),"",IFERROR(_xll.BDP(TICKER,"DEEP_MEASURE_PERIOD_BROKER_VALUE","DEEP_MEASURE_ID_OVERRIDE",$C148,"DEEP_BROKER_ID_OVERRIDE",BO$24,"DEEP_PERIOD_OVERRIDE",$H$19)*1,"")))</f>
        <v/>
      </c>
      <c r="BP148" t="str">
        <f>IF(OR(BP$23="",ISNA($B148)),"",IF(ISBLANK($B148),"",IFERROR(_xll.BDP(TICKER,"DEEP_MEASURE_PERIOD_BROKER_VALUE","DEEP_MEASURE_ID_OVERRIDE",$C148,"DEEP_BROKER_ID_OVERRIDE",BP$24,"DEEP_PERIOD_OVERRIDE",$H$19)*1,"")))</f>
        <v/>
      </c>
      <c r="BQ148" t="str">
        <f>IF(OR(BQ$23="",ISNA($B148)),"",IF(ISBLANK($B148),"",IFERROR(_xll.BDP(TICKER,"DEEP_MEASURE_PERIOD_BROKER_VALUE","DEEP_MEASURE_ID_OVERRIDE",$C148,"DEEP_BROKER_ID_OVERRIDE",BQ$24,"DEEP_PERIOD_OVERRIDE",$H$19)*1,"")))</f>
        <v/>
      </c>
      <c r="BR148" t="str">
        <f>IF(OR(BR$23="",ISNA($B148)),"",IF(ISBLANK($B148),"",IFERROR(_xll.BDP(TICKER,"DEEP_MEASURE_PERIOD_BROKER_VALUE","DEEP_MEASURE_ID_OVERRIDE",$C148,"DEEP_BROKER_ID_OVERRIDE",BR$24,"DEEP_PERIOD_OVERRIDE",$H$19)*1,"")))</f>
        <v/>
      </c>
      <c r="BS148" t="str">
        <f>IF(OR(BS$23="",ISNA($B148)),"",IF(ISBLANK($B148),"",IFERROR(_xll.BDP(TICKER,"DEEP_MEASURE_PERIOD_BROKER_VALUE","DEEP_MEASURE_ID_OVERRIDE",$C148,"DEEP_BROKER_ID_OVERRIDE",BS$24,"DEEP_PERIOD_OVERRIDE",$H$19)*1,"")))</f>
        <v/>
      </c>
      <c r="BT148" t="str">
        <f>IF(OR(BT$23="",ISNA($B148)),"",IF(ISBLANK($B148),"",IFERROR(_xll.BDP(TICKER,"DEEP_MEASURE_PERIOD_BROKER_VALUE","DEEP_MEASURE_ID_OVERRIDE",$C148,"DEEP_BROKER_ID_OVERRIDE",BT$24,"DEEP_PERIOD_OVERRIDE",$H$19)*1,"")))</f>
        <v/>
      </c>
      <c r="BU148" t="str">
        <f>IF(OR(BU$23="",ISNA($B148)),"",IF(ISBLANK($B148),"",IFERROR(_xll.BDP(TICKER,"DEEP_MEASURE_PERIOD_BROKER_VALUE","DEEP_MEASURE_ID_OVERRIDE",$C148,"DEEP_BROKER_ID_OVERRIDE",BU$24,"DEEP_PERIOD_OVERRIDE",$H$19)*1,"")))</f>
        <v/>
      </c>
      <c r="BV148" t="str">
        <f>IF(OR(BV$23="",ISNA($B148)),"",IF(ISBLANK($B148),"",IFERROR(_xll.BDP(TICKER,"DEEP_MEASURE_PERIOD_BROKER_VALUE","DEEP_MEASURE_ID_OVERRIDE",$C148,"DEEP_BROKER_ID_OVERRIDE",BV$24,"DEEP_PERIOD_OVERRIDE",$H$19)*1,"")))</f>
        <v/>
      </c>
      <c r="BW148" t="str">
        <f>IF(OR(BW$23="",ISNA($B148)),"",IF(ISBLANK($B148),"",IFERROR(_xll.BDP(TICKER,"DEEP_MEASURE_PERIOD_BROKER_VALUE","DEEP_MEASURE_ID_OVERRIDE",$C148,"DEEP_BROKER_ID_OVERRIDE",BW$24,"DEEP_PERIOD_OVERRIDE",$H$19)*1,"")))</f>
        <v/>
      </c>
      <c r="BX148" t="str">
        <f>IF(OR(BX$23="",ISNA($B148)),"",IF(ISBLANK($B148),"",IFERROR(_xll.BDP(TICKER,"DEEP_MEASURE_PERIOD_BROKER_VALUE","DEEP_MEASURE_ID_OVERRIDE",$C148,"DEEP_BROKER_ID_OVERRIDE",BX$24,"DEEP_PERIOD_OVERRIDE",$H$19)*1,"")))</f>
        <v/>
      </c>
      <c r="BY148" t="str">
        <f>IF(OR(BY$23="",ISNA($B148)),"",IF(ISBLANK($B148),"",IFERROR(_xll.BDP(TICKER,"DEEP_MEASURE_PERIOD_BROKER_VALUE","DEEP_MEASURE_ID_OVERRIDE",$C148,"DEEP_BROKER_ID_OVERRIDE",BY$24,"DEEP_PERIOD_OVERRIDE",$H$19)*1,"")))</f>
        <v/>
      </c>
      <c r="BZ148" t="str">
        <f>IF(OR(BZ$23="",ISNA($B148)),"",IF(ISBLANK($B148),"",IFERROR(_xll.BDP(TICKER,"DEEP_MEASURE_PERIOD_BROKER_VALUE","DEEP_MEASURE_ID_OVERRIDE",$C148,"DEEP_BROKER_ID_OVERRIDE",BZ$24,"DEEP_PERIOD_OVERRIDE",$H$19)*1,"")))</f>
        <v/>
      </c>
    </row>
    <row r="149" spans="2:78" x14ac:dyDescent="0.25">
      <c r="B149" t="s">
        <v>178</v>
      </c>
      <c r="C149">
        <v>882</v>
      </c>
      <c r="H149" t="str">
        <f t="shared" si="2"/>
        <v>Non-GAAP Metrics &gt; Operating Income</v>
      </c>
      <c r="I149" t="str">
        <f>IF(OR(I$23="",ISNA($B149)),"",IF(ISBLANK($B149),"",IFERROR(_xll.BDP(TICKER,"DEEP_MEASURE_PERIOD_BROKER_VALUE","DEEP_MEASURE_ID_OVERRIDE",$C149,"DEEP_PERIOD_OVERRIDE",$H$19)*1,"")))</f>
        <v/>
      </c>
      <c r="J149" t="e">
        <f>IF(OR(J$23="",ISNA($B149)),"",IF(ISBLANK($B149),"",IFERROR(_xll.BDP(TICKER,"DEEP_MEASURE_PERIOD_BROKER_VALUE","DEEP_MEASURE_ID_OVERRIDE",$C149,"DEEP_BROKER_ID_OVERRIDE",J$24,"DEEP_PERIOD_OVERRIDE",$H$19)*1,"")))</f>
        <v>#REF!</v>
      </c>
      <c r="K149" t="str">
        <f>IF(OR(K$23="",ISNA($B149)),"",IF(ISBLANK($B149),"",IFERROR(_xll.BDP(TICKER,"DEEP_MEASURE_PERIOD_BROKER_VALUE","DEEP_MEASURE_ID_OVERRIDE",$C149,"DEEP_BROKER_ID_OVERRIDE",K$24,"DEEP_PERIOD_OVERRIDE",$H$19)*1,"")))</f>
        <v/>
      </c>
      <c r="L149" t="str">
        <f>IF(OR(L$23="",ISNA($B149)),"",IF(ISBLANK($B149),"",IFERROR(_xll.BDP(TICKER,"DEEP_MEASURE_PERIOD_BROKER_VALUE","DEEP_MEASURE_ID_OVERRIDE",$C149,"DEEP_BROKER_ID_OVERRIDE",L$24,"DEEP_PERIOD_OVERRIDE",$H$19)*1,"")))</f>
        <v/>
      </c>
      <c r="M149" t="str">
        <f>IF(OR(M$23="",ISNA($B149)),"",IF(ISBLANK($B149),"",IFERROR(_xll.BDP(TICKER,"DEEP_MEASURE_PERIOD_BROKER_VALUE","DEEP_MEASURE_ID_OVERRIDE",$C149,"DEEP_BROKER_ID_OVERRIDE",M$24,"DEEP_PERIOD_OVERRIDE",$H$19)*1,"")))</f>
        <v/>
      </c>
      <c r="N149" t="str">
        <f>IF(OR(N$23="",ISNA($B149)),"",IF(ISBLANK($B149),"",IFERROR(_xll.BDP(TICKER,"DEEP_MEASURE_PERIOD_BROKER_VALUE","DEEP_MEASURE_ID_OVERRIDE",$C149,"DEEP_BROKER_ID_OVERRIDE",N$24,"DEEP_PERIOD_OVERRIDE",$H$19)*1,"")))</f>
        <v/>
      </c>
      <c r="O149" t="str">
        <f>IF(OR(O$23="",ISNA($B149)),"",IF(ISBLANK($B149),"",IFERROR(_xll.BDP(TICKER,"DEEP_MEASURE_PERIOD_BROKER_VALUE","DEEP_MEASURE_ID_OVERRIDE",$C149,"DEEP_BROKER_ID_OVERRIDE",O$24,"DEEP_PERIOD_OVERRIDE",$H$19)*1,"")))</f>
        <v/>
      </c>
      <c r="P149" t="str">
        <f>IF(OR(P$23="",ISNA($B149)),"",IF(ISBLANK($B149),"",IFERROR(_xll.BDP(TICKER,"DEEP_MEASURE_PERIOD_BROKER_VALUE","DEEP_MEASURE_ID_OVERRIDE",$C149,"DEEP_BROKER_ID_OVERRIDE",P$24,"DEEP_PERIOD_OVERRIDE",$H$19)*1,"")))</f>
        <v/>
      </c>
      <c r="Q149" t="str">
        <f>IF(OR(Q$23="",ISNA($B149)),"",IF(ISBLANK($B149),"",IFERROR(_xll.BDP(TICKER,"DEEP_MEASURE_PERIOD_BROKER_VALUE","DEEP_MEASURE_ID_OVERRIDE",$C149,"DEEP_BROKER_ID_OVERRIDE",Q$24,"DEEP_PERIOD_OVERRIDE",$H$19)*1,"")))</f>
        <v/>
      </c>
      <c r="R149" t="str">
        <f>IF(OR(R$23="",ISNA($B149)),"",IF(ISBLANK($B149),"",IFERROR(_xll.BDP(TICKER,"DEEP_MEASURE_PERIOD_BROKER_VALUE","DEEP_MEASURE_ID_OVERRIDE",$C149,"DEEP_BROKER_ID_OVERRIDE",R$24,"DEEP_PERIOD_OVERRIDE",$H$19)*1,"")))</f>
        <v/>
      </c>
      <c r="S149" t="str">
        <f>IF(OR(S$23="",ISNA($B149)),"",IF(ISBLANK($B149),"",IFERROR(_xll.BDP(TICKER,"DEEP_MEASURE_PERIOD_BROKER_VALUE","DEEP_MEASURE_ID_OVERRIDE",$C149,"DEEP_BROKER_ID_OVERRIDE",S$24,"DEEP_PERIOD_OVERRIDE",$H$19)*1,"")))</f>
        <v/>
      </c>
      <c r="T149" t="str">
        <f>IF(OR(T$23="",ISNA($B149)),"",IF(ISBLANK($B149),"",IFERROR(_xll.BDP(TICKER,"DEEP_MEASURE_PERIOD_BROKER_VALUE","DEEP_MEASURE_ID_OVERRIDE",$C149,"DEEP_BROKER_ID_OVERRIDE",T$24,"DEEP_PERIOD_OVERRIDE",$H$19)*1,"")))</f>
        <v/>
      </c>
      <c r="U149" t="str">
        <f>IF(OR(U$23="",ISNA($B149)),"",IF(ISBLANK($B149),"",IFERROR(_xll.BDP(TICKER,"DEEP_MEASURE_PERIOD_BROKER_VALUE","DEEP_MEASURE_ID_OVERRIDE",$C149,"DEEP_BROKER_ID_OVERRIDE",U$24,"DEEP_PERIOD_OVERRIDE",$H$19)*1,"")))</f>
        <v/>
      </c>
      <c r="V149" t="str">
        <f>IF(OR(V$23="",ISNA($B149)),"",IF(ISBLANK($B149),"",IFERROR(_xll.BDP(TICKER,"DEEP_MEASURE_PERIOD_BROKER_VALUE","DEEP_MEASURE_ID_OVERRIDE",$C149,"DEEP_BROKER_ID_OVERRIDE",V$24,"DEEP_PERIOD_OVERRIDE",$H$19)*1,"")))</f>
        <v/>
      </c>
      <c r="W149" t="str">
        <f>IF(OR(W$23="",ISNA($B149)),"",IF(ISBLANK($B149),"",IFERROR(_xll.BDP(TICKER,"DEEP_MEASURE_PERIOD_BROKER_VALUE","DEEP_MEASURE_ID_OVERRIDE",$C149,"DEEP_BROKER_ID_OVERRIDE",W$24,"DEEP_PERIOD_OVERRIDE",$H$19)*1,"")))</f>
        <v/>
      </c>
      <c r="X149" t="str">
        <f>IF(OR(X$23="",ISNA($B149)),"",IF(ISBLANK($B149),"",IFERROR(_xll.BDP(TICKER,"DEEP_MEASURE_PERIOD_BROKER_VALUE","DEEP_MEASURE_ID_OVERRIDE",$C149,"DEEP_BROKER_ID_OVERRIDE",X$24,"DEEP_PERIOD_OVERRIDE",$H$19)*1,"")))</f>
        <v/>
      </c>
      <c r="Y149" t="str">
        <f>IF(OR(Y$23="",ISNA($B149)),"",IF(ISBLANK($B149),"",IFERROR(_xll.BDP(TICKER,"DEEP_MEASURE_PERIOD_BROKER_VALUE","DEEP_MEASURE_ID_OVERRIDE",$C149,"DEEP_BROKER_ID_OVERRIDE",Y$24,"DEEP_PERIOD_OVERRIDE",$H$19)*1,"")))</f>
        <v/>
      </c>
      <c r="Z149" t="str">
        <f>IF(OR(Z$23="",ISNA($B149)),"",IF(ISBLANK($B149),"",IFERROR(_xll.BDP(TICKER,"DEEP_MEASURE_PERIOD_BROKER_VALUE","DEEP_MEASURE_ID_OVERRIDE",$C149,"DEEP_BROKER_ID_OVERRIDE",Z$24,"DEEP_PERIOD_OVERRIDE",$H$19)*1,"")))</f>
        <v/>
      </c>
      <c r="AA149" t="str">
        <f>IF(OR(AA$23="",ISNA($B149)),"",IF(ISBLANK($B149),"",IFERROR(_xll.BDP(TICKER,"DEEP_MEASURE_PERIOD_BROKER_VALUE","DEEP_MEASURE_ID_OVERRIDE",$C149,"DEEP_BROKER_ID_OVERRIDE",AA$24,"DEEP_PERIOD_OVERRIDE",$H$19)*1,"")))</f>
        <v/>
      </c>
      <c r="AB149" t="str">
        <f>IF(OR(AB$23="",ISNA($B149)),"",IF(ISBLANK($B149),"",IFERROR(_xll.BDP(TICKER,"DEEP_MEASURE_PERIOD_BROKER_VALUE","DEEP_MEASURE_ID_OVERRIDE",$C149,"DEEP_BROKER_ID_OVERRIDE",AB$24,"DEEP_PERIOD_OVERRIDE",$H$19)*1,"")))</f>
        <v/>
      </c>
      <c r="AC149" t="str">
        <f>IF(OR(AC$23="",ISNA($B149)),"",IF(ISBLANK($B149),"",IFERROR(_xll.BDP(TICKER,"DEEP_MEASURE_PERIOD_BROKER_VALUE","DEEP_MEASURE_ID_OVERRIDE",$C149,"DEEP_BROKER_ID_OVERRIDE",AC$24,"DEEP_PERIOD_OVERRIDE",$H$19)*1,"")))</f>
        <v/>
      </c>
      <c r="AD149" t="str">
        <f>IF(OR(AD$23="",ISNA($B149)),"",IF(ISBLANK($B149),"",IFERROR(_xll.BDP(TICKER,"DEEP_MEASURE_PERIOD_BROKER_VALUE","DEEP_MEASURE_ID_OVERRIDE",$C149,"DEEP_BROKER_ID_OVERRIDE",AD$24,"DEEP_PERIOD_OVERRIDE",$H$19)*1,"")))</f>
        <v/>
      </c>
      <c r="AE149" t="str">
        <f>IF(OR(AE$23="",ISNA($B149)),"",IF(ISBLANK($B149),"",IFERROR(_xll.BDP(TICKER,"DEEP_MEASURE_PERIOD_BROKER_VALUE","DEEP_MEASURE_ID_OVERRIDE",$C149,"DEEP_BROKER_ID_OVERRIDE",AE$24,"DEEP_PERIOD_OVERRIDE",$H$19)*1,"")))</f>
        <v/>
      </c>
      <c r="AF149" t="str">
        <f>IF(OR(AF$23="",ISNA($B149)),"",IF(ISBLANK($B149),"",IFERROR(_xll.BDP(TICKER,"DEEP_MEASURE_PERIOD_BROKER_VALUE","DEEP_MEASURE_ID_OVERRIDE",$C149,"DEEP_BROKER_ID_OVERRIDE",AF$24,"DEEP_PERIOD_OVERRIDE",$H$19)*1,"")))</f>
        <v/>
      </c>
      <c r="AG149" t="str">
        <f>IF(OR(AG$23="",ISNA($B149)),"",IF(ISBLANK($B149),"",IFERROR(_xll.BDP(TICKER,"DEEP_MEASURE_PERIOD_BROKER_VALUE","DEEP_MEASURE_ID_OVERRIDE",$C149,"DEEP_BROKER_ID_OVERRIDE",AG$24,"DEEP_PERIOD_OVERRIDE",$H$19)*1,"")))</f>
        <v/>
      </c>
      <c r="AH149" t="str">
        <f>IF(OR(AH$23="",ISNA($B149)),"",IF(ISBLANK($B149),"",IFERROR(_xll.BDP(TICKER,"DEEP_MEASURE_PERIOD_BROKER_VALUE","DEEP_MEASURE_ID_OVERRIDE",$C149,"DEEP_BROKER_ID_OVERRIDE",AH$24,"DEEP_PERIOD_OVERRIDE",$H$19)*1,"")))</f>
        <v/>
      </c>
      <c r="AI149" t="str">
        <f>IF(OR(AI$23="",ISNA($B149)),"",IF(ISBLANK($B149),"",IFERROR(_xll.BDP(TICKER,"DEEP_MEASURE_PERIOD_BROKER_VALUE","DEEP_MEASURE_ID_OVERRIDE",$C149,"DEEP_BROKER_ID_OVERRIDE",AI$24,"DEEP_PERIOD_OVERRIDE",$H$19)*1,"")))</f>
        <v/>
      </c>
      <c r="AJ149" t="str">
        <f>IF(OR(AJ$23="",ISNA($B149)),"",IF(ISBLANK($B149),"",IFERROR(_xll.BDP(TICKER,"DEEP_MEASURE_PERIOD_BROKER_VALUE","DEEP_MEASURE_ID_OVERRIDE",$C149,"DEEP_BROKER_ID_OVERRIDE",AJ$24,"DEEP_PERIOD_OVERRIDE",$H$19)*1,"")))</f>
        <v/>
      </c>
      <c r="AK149" t="str">
        <f>IF(OR(AK$23="",ISNA($B149)),"",IF(ISBLANK($B149),"",IFERROR(_xll.BDP(TICKER,"DEEP_MEASURE_PERIOD_BROKER_VALUE","DEEP_MEASURE_ID_OVERRIDE",$C149,"DEEP_BROKER_ID_OVERRIDE",AK$24,"DEEP_PERIOD_OVERRIDE",$H$19)*1,"")))</f>
        <v/>
      </c>
      <c r="AL149" t="str">
        <f>IF(OR(AL$23="",ISNA($B149)),"",IF(ISBLANK($B149),"",IFERROR(_xll.BDP(TICKER,"DEEP_MEASURE_PERIOD_BROKER_VALUE","DEEP_MEASURE_ID_OVERRIDE",$C149,"DEEP_BROKER_ID_OVERRIDE",AL$24,"DEEP_PERIOD_OVERRIDE",$H$19)*1,"")))</f>
        <v/>
      </c>
      <c r="AM149" t="str">
        <f>IF(OR(AM$23="",ISNA($B149)),"",IF(ISBLANK($B149),"",IFERROR(_xll.BDP(TICKER,"DEEP_MEASURE_PERIOD_BROKER_VALUE","DEEP_MEASURE_ID_OVERRIDE",$C149,"DEEP_BROKER_ID_OVERRIDE",AM$24,"DEEP_PERIOD_OVERRIDE",$H$19)*1,"")))</f>
        <v/>
      </c>
      <c r="AN149" t="str">
        <f>IF(OR(AN$23="",ISNA($B149)),"",IF(ISBLANK($B149),"",IFERROR(_xll.BDP(TICKER,"DEEP_MEASURE_PERIOD_BROKER_VALUE","DEEP_MEASURE_ID_OVERRIDE",$C149,"DEEP_BROKER_ID_OVERRIDE",AN$24,"DEEP_PERIOD_OVERRIDE",$H$19)*1,"")))</f>
        <v/>
      </c>
      <c r="AO149" t="str">
        <f>IF(OR(AO$23="",ISNA($B149)),"",IF(ISBLANK($B149),"",IFERROR(_xll.BDP(TICKER,"DEEP_MEASURE_PERIOD_BROKER_VALUE","DEEP_MEASURE_ID_OVERRIDE",$C149,"DEEP_BROKER_ID_OVERRIDE",AO$24,"DEEP_PERIOD_OVERRIDE",$H$19)*1,"")))</f>
        <v/>
      </c>
      <c r="AP149" t="str">
        <f>IF(OR(AP$23="",ISNA($B149)),"",IF(ISBLANK($B149),"",IFERROR(_xll.BDP(TICKER,"DEEP_MEASURE_PERIOD_BROKER_VALUE","DEEP_MEASURE_ID_OVERRIDE",$C149,"DEEP_BROKER_ID_OVERRIDE",AP$24,"DEEP_PERIOD_OVERRIDE",$H$19)*1,"")))</f>
        <v/>
      </c>
      <c r="AQ149" t="str">
        <f>IF(OR(AQ$23="",ISNA($B149)),"",IF(ISBLANK($B149),"",IFERROR(_xll.BDP(TICKER,"DEEP_MEASURE_PERIOD_BROKER_VALUE","DEEP_MEASURE_ID_OVERRIDE",$C149,"DEEP_BROKER_ID_OVERRIDE",AQ$24,"DEEP_PERIOD_OVERRIDE",$H$19)*1,"")))</f>
        <v/>
      </c>
      <c r="AR149" t="str">
        <f>IF(OR(AR$23="",ISNA($B149)),"",IF(ISBLANK($B149),"",IFERROR(_xll.BDP(TICKER,"DEEP_MEASURE_PERIOD_BROKER_VALUE","DEEP_MEASURE_ID_OVERRIDE",$C149,"DEEP_BROKER_ID_OVERRIDE",AR$24,"DEEP_PERIOD_OVERRIDE",$H$19)*1,"")))</f>
        <v/>
      </c>
      <c r="AS149" t="str">
        <f>IF(OR(AS$23="",ISNA($B149)),"",IF(ISBLANK($B149),"",IFERROR(_xll.BDP(TICKER,"DEEP_MEASURE_PERIOD_BROKER_VALUE","DEEP_MEASURE_ID_OVERRIDE",$C149,"DEEP_BROKER_ID_OVERRIDE",AS$24,"DEEP_PERIOD_OVERRIDE",$H$19)*1,"")))</f>
        <v/>
      </c>
      <c r="AT149" t="str">
        <f>IF(OR(AT$23="",ISNA($B149)),"",IF(ISBLANK($B149),"",IFERROR(_xll.BDP(TICKER,"DEEP_MEASURE_PERIOD_BROKER_VALUE","DEEP_MEASURE_ID_OVERRIDE",$C149,"DEEP_BROKER_ID_OVERRIDE",AT$24,"DEEP_PERIOD_OVERRIDE",$H$19)*1,"")))</f>
        <v/>
      </c>
      <c r="AU149" t="str">
        <f>IF(OR(AU$23="",ISNA($B149)),"",IF(ISBLANK($B149),"",IFERROR(_xll.BDP(TICKER,"DEEP_MEASURE_PERIOD_BROKER_VALUE","DEEP_MEASURE_ID_OVERRIDE",$C149,"DEEP_BROKER_ID_OVERRIDE",AU$24,"DEEP_PERIOD_OVERRIDE",$H$19)*1,"")))</f>
        <v/>
      </c>
      <c r="AV149" t="str">
        <f>IF(OR(AV$23="",ISNA($B149)),"",IF(ISBLANK($B149),"",IFERROR(_xll.BDP(TICKER,"DEEP_MEASURE_PERIOD_BROKER_VALUE","DEEP_MEASURE_ID_OVERRIDE",$C149,"DEEP_BROKER_ID_OVERRIDE",AV$24,"DEEP_PERIOD_OVERRIDE",$H$19)*1,"")))</f>
        <v/>
      </c>
      <c r="AW149" t="str">
        <f>IF(OR(AW$23="",ISNA($B149)),"",IF(ISBLANK($B149),"",IFERROR(_xll.BDP(TICKER,"DEEP_MEASURE_PERIOD_BROKER_VALUE","DEEP_MEASURE_ID_OVERRIDE",$C149,"DEEP_BROKER_ID_OVERRIDE",AW$24,"DEEP_PERIOD_OVERRIDE",$H$19)*1,"")))</f>
        <v/>
      </c>
      <c r="AX149" t="str">
        <f>IF(OR(AX$23="",ISNA($B149)),"",IF(ISBLANK($B149),"",IFERROR(_xll.BDP(TICKER,"DEEP_MEASURE_PERIOD_BROKER_VALUE","DEEP_MEASURE_ID_OVERRIDE",$C149,"DEEP_BROKER_ID_OVERRIDE",AX$24,"DEEP_PERIOD_OVERRIDE",$H$19)*1,"")))</f>
        <v/>
      </c>
      <c r="AY149" t="str">
        <f>IF(OR(AY$23="",ISNA($B149)),"",IF(ISBLANK($B149),"",IFERROR(_xll.BDP(TICKER,"DEEP_MEASURE_PERIOD_BROKER_VALUE","DEEP_MEASURE_ID_OVERRIDE",$C149,"DEEP_BROKER_ID_OVERRIDE",AY$24,"DEEP_PERIOD_OVERRIDE",$H$19)*1,"")))</f>
        <v/>
      </c>
      <c r="AZ149" t="str">
        <f>IF(OR(AZ$23="",ISNA($B149)),"",IF(ISBLANK($B149),"",IFERROR(_xll.BDP(TICKER,"DEEP_MEASURE_PERIOD_BROKER_VALUE","DEEP_MEASURE_ID_OVERRIDE",$C149,"DEEP_BROKER_ID_OVERRIDE",AZ$24,"DEEP_PERIOD_OVERRIDE",$H$19)*1,"")))</f>
        <v/>
      </c>
      <c r="BA149" t="str">
        <f>IF(OR(BA$23="",ISNA($B149)),"",IF(ISBLANK($B149),"",IFERROR(_xll.BDP(TICKER,"DEEP_MEASURE_PERIOD_BROKER_VALUE","DEEP_MEASURE_ID_OVERRIDE",$C149,"DEEP_BROKER_ID_OVERRIDE",BA$24,"DEEP_PERIOD_OVERRIDE",$H$19)*1,"")))</f>
        <v/>
      </c>
      <c r="BB149" t="str">
        <f>IF(OR(BB$23="",ISNA($B149)),"",IF(ISBLANK($B149),"",IFERROR(_xll.BDP(TICKER,"DEEP_MEASURE_PERIOD_BROKER_VALUE","DEEP_MEASURE_ID_OVERRIDE",$C149,"DEEP_BROKER_ID_OVERRIDE",BB$24,"DEEP_PERIOD_OVERRIDE",$H$19)*1,"")))</f>
        <v/>
      </c>
      <c r="BC149" t="str">
        <f>IF(OR(BC$23="",ISNA($B149)),"",IF(ISBLANK($B149),"",IFERROR(_xll.BDP(TICKER,"DEEP_MEASURE_PERIOD_BROKER_VALUE","DEEP_MEASURE_ID_OVERRIDE",$C149,"DEEP_BROKER_ID_OVERRIDE",BC$24,"DEEP_PERIOD_OVERRIDE",$H$19)*1,"")))</f>
        <v/>
      </c>
      <c r="BD149" t="str">
        <f>IF(OR(BD$23="",ISNA($B149)),"",IF(ISBLANK($B149),"",IFERROR(_xll.BDP(TICKER,"DEEP_MEASURE_PERIOD_BROKER_VALUE","DEEP_MEASURE_ID_OVERRIDE",$C149,"DEEP_BROKER_ID_OVERRIDE",BD$24,"DEEP_PERIOD_OVERRIDE",$H$19)*1,"")))</f>
        <v/>
      </c>
      <c r="BE149" t="str">
        <f>IF(OR(BE$23="",ISNA($B149)),"",IF(ISBLANK($B149),"",IFERROR(_xll.BDP(TICKER,"DEEP_MEASURE_PERIOD_BROKER_VALUE","DEEP_MEASURE_ID_OVERRIDE",$C149,"DEEP_BROKER_ID_OVERRIDE",BE$24,"DEEP_PERIOD_OVERRIDE",$H$19)*1,"")))</f>
        <v/>
      </c>
      <c r="BF149" t="str">
        <f>IF(OR(BF$23="",ISNA($B149)),"",IF(ISBLANK($B149),"",IFERROR(_xll.BDP(TICKER,"DEEP_MEASURE_PERIOD_BROKER_VALUE","DEEP_MEASURE_ID_OVERRIDE",$C149,"DEEP_BROKER_ID_OVERRIDE",BF$24,"DEEP_PERIOD_OVERRIDE",$H$19)*1,"")))</f>
        <v/>
      </c>
      <c r="BG149" t="str">
        <f>IF(OR(BG$23="",ISNA($B149)),"",IF(ISBLANK($B149),"",IFERROR(_xll.BDP(TICKER,"DEEP_MEASURE_PERIOD_BROKER_VALUE","DEEP_MEASURE_ID_OVERRIDE",$C149,"DEEP_BROKER_ID_OVERRIDE",BG$24,"DEEP_PERIOD_OVERRIDE",$H$19)*1,"")))</f>
        <v/>
      </c>
      <c r="BH149" t="str">
        <f>IF(OR(BH$23="",ISNA($B149)),"",IF(ISBLANK($B149),"",IFERROR(_xll.BDP(TICKER,"DEEP_MEASURE_PERIOD_BROKER_VALUE","DEEP_MEASURE_ID_OVERRIDE",$C149,"DEEP_BROKER_ID_OVERRIDE",BH$24,"DEEP_PERIOD_OVERRIDE",$H$19)*1,"")))</f>
        <v/>
      </c>
      <c r="BI149" t="str">
        <f>IF(OR(BI$23="",ISNA($B149)),"",IF(ISBLANK($B149),"",IFERROR(_xll.BDP(TICKER,"DEEP_MEASURE_PERIOD_BROKER_VALUE","DEEP_MEASURE_ID_OVERRIDE",$C149,"DEEP_BROKER_ID_OVERRIDE",BI$24,"DEEP_PERIOD_OVERRIDE",$H$19)*1,"")))</f>
        <v/>
      </c>
      <c r="BJ149" t="str">
        <f>IF(OR(BJ$23="",ISNA($B149)),"",IF(ISBLANK($B149),"",IFERROR(_xll.BDP(TICKER,"DEEP_MEASURE_PERIOD_BROKER_VALUE","DEEP_MEASURE_ID_OVERRIDE",$C149,"DEEP_BROKER_ID_OVERRIDE",BJ$24,"DEEP_PERIOD_OVERRIDE",$H$19)*1,"")))</f>
        <v/>
      </c>
      <c r="BK149" t="str">
        <f>IF(OR(BK$23="",ISNA($B149)),"",IF(ISBLANK($B149),"",IFERROR(_xll.BDP(TICKER,"DEEP_MEASURE_PERIOD_BROKER_VALUE","DEEP_MEASURE_ID_OVERRIDE",$C149,"DEEP_BROKER_ID_OVERRIDE",BK$24,"DEEP_PERIOD_OVERRIDE",$H$19)*1,"")))</f>
        <v/>
      </c>
      <c r="BL149" t="str">
        <f>IF(OR(BL$23="",ISNA($B149)),"",IF(ISBLANK($B149),"",IFERROR(_xll.BDP(TICKER,"DEEP_MEASURE_PERIOD_BROKER_VALUE","DEEP_MEASURE_ID_OVERRIDE",$C149,"DEEP_BROKER_ID_OVERRIDE",BL$24,"DEEP_PERIOD_OVERRIDE",$H$19)*1,"")))</f>
        <v/>
      </c>
      <c r="BM149" t="str">
        <f>IF(OR(BM$23="",ISNA($B149)),"",IF(ISBLANK($B149),"",IFERROR(_xll.BDP(TICKER,"DEEP_MEASURE_PERIOD_BROKER_VALUE","DEEP_MEASURE_ID_OVERRIDE",$C149,"DEEP_BROKER_ID_OVERRIDE",BM$24,"DEEP_PERIOD_OVERRIDE",$H$19)*1,"")))</f>
        <v/>
      </c>
      <c r="BN149" t="str">
        <f>IF(OR(BN$23="",ISNA($B149)),"",IF(ISBLANK($B149),"",IFERROR(_xll.BDP(TICKER,"DEEP_MEASURE_PERIOD_BROKER_VALUE","DEEP_MEASURE_ID_OVERRIDE",$C149,"DEEP_BROKER_ID_OVERRIDE",BN$24,"DEEP_PERIOD_OVERRIDE",$H$19)*1,"")))</f>
        <v/>
      </c>
      <c r="BO149" t="str">
        <f>IF(OR(BO$23="",ISNA($B149)),"",IF(ISBLANK($B149),"",IFERROR(_xll.BDP(TICKER,"DEEP_MEASURE_PERIOD_BROKER_VALUE","DEEP_MEASURE_ID_OVERRIDE",$C149,"DEEP_BROKER_ID_OVERRIDE",BO$24,"DEEP_PERIOD_OVERRIDE",$H$19)*1,"")))</f>
        <v/>
      </c>
      <c r="BP149" t="str">
        <f>IF(OR(BP$23="",ISNA($B149)),"",IF(ISBLANK($B149),"",IFERROR(_xll.BDP(TICKER,"DEEP_MEASURE_PERIOD_BROKER_VALUE","DEEP_MEASURE_ID_OVERRIDE",$C149,"DEEP_BROKER_ID_OVERRIDE",BP$24,"DEEP_PERIOD_OVERRIDE",$H$19)*1,"")))</f>
        <v/>
      </c>
      <c r="BQ149" t="str">
        <f>IF(OR(BQ$23="",ISNA($B149)),"",IF(ISBLANK($B149),"",IFERROR(_xll.BDP(TICKER,"DEEP_MEASURE_PERIOD_BROKER_VALUE","DEEP_MEASURE_ID_OVERRIDE",$C149,"DEEP_BROKER_ID_OVERRIDE",BQ$24,"DEEP_PERIOD_OVERRIDE",$H$19)*1,"")))</f>
        <v/>
      </c>
      <c r="BR149" t="str">
        <f>IF(OR(BR$23="",ISNA($B149)),"",IF(ISBLANK($B149),"",IFERROR(_xll.BDP(TICKER,"DEEP_MEASURE_PERIOD_BROKER_VALUE","DEEP_MEASURE_ID_OVERRIDE",$C149,"DEEP_BROKER_ID_OVERRIDE",BR$24,"DEEP_PERIOD_OVERRIDE",$H$19)*1,"")))</f>
        <v/>
      </c>
      <c r="BS149" t="str">
        <f>IF(OR(BS$23="",ISNA($B149)),"",IF(ISBLANK($B149),"",IFERROR(_xll.BDP(TICKER,"DEEP_MEASURE_PERIOD_BROKER_VALUE","DEEP_MEASURE_ID_OVERRIDE",$C149,"DEEP_BROKER_ID_OVERRIDE",BS$24,"DEEP_PERIOD_OVERRIDE",$H$19)*1,"")))</f>
        <v/>
      </c>
      <c r="BT149" t="str">
        <f>IF(OR(BT$23="",ISNA($B149)),"",IF(ISBLANK($B149),"",IFERROR(_xll.BDP(TICKER,"DEEP_MEASURE_PERIOD_BROKER_VALUE","DEEP_MEASURE_ID_OVERRIDE",$C149,"DEEP_BROKER_ID_OVERRIDE",BT$24,"DEEP_PERIOD_OVERRIDE",$H$19)*1,"")))</f>
        <v/>
      </c>
      <c r="BU149" t="str">
        <f>IF(OR(BU$23="",ISNA($B149)),"",IF(ISBLANK($B149),"",IFERROR(_xll.BDP(TICKER,"DEEP_MEASURE_PERIOD_BROKER_VALUE","DEEP_MEASURE_ID_OVERRIDE",$C149,"DEEP_BROKER_ID_OVERRIDE",BU$24,"DEEP_PERIOD_OVERRIDE",$H$19)*1,"")))</f>
        <v/>
      </c>
      <c r="BV149" t="str">
        <f>IF(OR(BV$23="",ISNA($B149)),"",IF(ISBLANK($B149),"",IFERROR(_xll.BDP(TICKER,"DEEP_MEASURE_PERIOD_BROKER_VALUE","DEEP_MEASURE_ID_OVERRIDE",$C149,"DEEP_BROKER_ID_OVERRIDE",BV$24,"DEEP_PERIOD_OVERRIDE",$H$19)*1,"")))</f>
        <v/>
      </c>
      <c r="BW149" t="str">
        <f>IF(OR(BW$23="",ISNA($B149)),"",IF(ISBLANK($B149),"",IFERROR(_xll.BDP(TICKER,"DEEP_MEASURE_PERIOD_BROKER_VALUE","DEEP_MEASURE_ID_OVERRIDE",$C149,"DEEP_BROKER_ID_OVERRIDE",BW$24,"DEEP_PERIOD_OVERRIDE",$H$19)*1,"")))</f>
        <v/>
      </c>
      <c r="BX149" t="str">
        <f>IF(OR(BX$23="",ISNA($B149)),"",IF(ISBLANK($B149),"",IFERROR(_xll.BDP(TICKER,"DEEP_MEASURE_PERIOD_BROKER_VALUE","DEEP_MEASURE_ID_OVERRIDE",$C149,"DEEP_BROKER_ID_OVERRIDE",BX$24,"DEEP_PERIOD_OVERRIDE",$H$19)*1,"")))</f>
        <v/>
      </c>
      <c r="BY149" t="str">
        <f>IF(OR(BY$23="",ISNA($B149)),"",IF(ISBLANK($B149),"",IFERROR(_xll.BDP(TICKER,"DEEP_MEASURE_PERIOD_BROKER_VALUE","DEEP_MEASURE_ID_OVERRIDE",$C149,"DEEP_BROKER_ID_OVERRIDE",BY$24,"DEEP_PERIOD_OVERRIDE",$H$19)*1,"")))</f>
        <v/>
      </c>
      <c r="BZ149" t="str">
        <f>IF(OR(BZ$23="",ISNA($B149)),"",IF(ISBLANK($B149),"",IFERROR(_xll.BDP(TICKER,"DEEP_MEASURE_PERIOD_BROKER_VALUE","DEEP_MEASURE_ID_OVERRIDE",$C149,"DEEP_BROKER_ID_OVERRIDE",BZ$24,"DEEP_PERIOD_OVERRIDE",$H$19)*1,"")))</f>
        <v/>
      </c>
    </row>
    <row r="150" spans="2:78" x14ac:dyDescent="0.25">
      <c r="B150" t="s">
        <v>179</v>
      </c>
      <c r="C150">
        <v>288</v>
      </c>
      <c r="H150" t="str">
        <f t="shared" si="2"/>
        <v>Non-GAAP Metrics &gt; Operating Income &gt; Operating Margin (%)</v>
      </c>
      <c r="I150" t="str">
        <f>IF(OR(I$23="",ISNA($B150)),"",IF(ISBLANK($B150),"",IFERROR(_xll.BDP(TICKER,"DEEP_MEASURE_PERIOD_BROKER_VALUE","DEEP_MEASURE_ID_OVERRIDE",$C150,"DEEP_PERIOD_OVERRIDE",$H$19)*1,"")))</f>
        <v/>
      </c>
      <c r="J150" t="e">
        <f>IF(OR(J$23="",ISNA($B150)),"",IF(ISBLANK($B150),"",IFERROR(_xll.BDP(TICKER,"DEEP_MEASURE_PERIOD_BROKER_VALUE","DEEP_MEASURE_ID_OVERRIDE",$C150,"DEEP_BROKER_ID_OVERRIDE",J$24,"DEEP_PERIOD_OVERRIDE",$H$19)*1,"")))</f>
        <v>#REF!</v>
      </c>
      <c r="K150" t="str">
        <f>IF(OR(K$23="",ISNA($B150)),"",IF(ISBLANK($B150),"",IFERROR(_xll.BDP(TICKER,"DEEP_MEASURE_PERIOD_BROKER_VALUE","DEEP_MEASURE_ID_OVERRIDE",$C150,"DEEP_BROKER_ID_OVERRIDE",K$24,"DEEP_PERIOD_OVERRIDE",$H$19)*1,"")))</f>
        <v/>
      </c>
      <c r="L150" t="str">
        <f>IF(OR(L$23="",ISNA($B150)),"",IF(ISBLANK($B150),"",IFERROR(_xll.BDP(TICKER,"DEEP_MEASURE_PERIOD_BROKER_VALUE","DEEP_MEASURE_ID_OVERRIDE",$C150,"DEEP_BROKER_ID_OVERRIDE",L$24,"DEEP_PERIOD_OVERRIDE",$H$19)*1,"")))</f>
        <v/>
      </c>
      <c r="M150" t="str">
        <f>IF(OR(M$23="",ISNA($B150)),"",IF(ISBLANK($B150),"",IFERROR(_xll.BDP(TICKER,"DEEP_MEASURE_PERIOD_BROKER_VALUE","DEEP_MEASURE_ID_OVERRIDE",$C150,"DEEP_BROKER_ID_OVERRIDE",M$24,"DEEP_PERIOD_OVERRIDE",$H$19)*1,"")))</f>
        <v/>
      </c>
      <c r="N150" t="str">
        <f>IF(OR(N$23="",ISNA($B150)),"",IF(ISBLANK($B150),"",IFERROR(_xll.BDP(TICKER,"DEEP_MEASURE_PERIOD_BROKER_VALUE","DEEP_MEASURE_ID_OVERRIDE",$C150,"DEEP_BROKER_ID_OVERRIDE",N$24,"DEEP_PERIOD_OVERRIDE",$H$19)*1,"")))</f>
        <v/>
      </c>
      <c r="O150" t="str">
        <f>IF(OR(O$23="",ISNA($B150)),"",IF(ISBLANK($B150),"",IFERROR(_xll.BDP(TICKER,"DEEP_MEASURE_PERIOD_BROKER_VALUE","DEEP_MEASURE_ID_OVERRIDE",$C150,"DEEP_BROKER_ID_OVERRIDE",O$24,"DEEP_PERIOD_OVERRIDE",$H$19)*1,"")))</f>
        <v/>
      </c>
      <c r="P150" t="str">
        <f>IF(OR(P$23="",ISNA($B150)),"",IF(ISBLANK($B150),"",IFERROR(_xll.BDP(TICKER,"DEEP_MEASURE_PERIOD_BROKER_VALUE","DEEP_MEASURE_ID_OVERRIDE",$C150,"DEEP_BROKER_ID_OVERRIDE",P$24,"DEEP_PERIOD_OVERRIDE",$H$19)*1,"")))</f>
        <v/>
      </c>
      <c r="Q150" t="str">
        <f>IF(OR(Q$23="",ISNA($B150)),"",IF(ISBLANK($B150),"",IFERROR(_xll.BDP(TICKER,"DEEP_MEASURE_PERIOD_BROKER_VALUE","DEEP_MEASURE_ID_OVERRIDE",$C150,"DEEP_BROKER_ID_OVERRIDE",Q$24,"DEEP_PERIOD_OVERRIDE",$H$19)*1,"")))</f>
        <v/>
      </c>
      <c r="R150" t="str">
        <f>IF(OR(R$23="",ISNA($B150)),"",IF(ISBLANK($B150),"",IFERROR(_xll.BDP(TICKER,"DEEP_MEASURE_PERIOD_BROKER_VALUE","DEEP_MEASURE_ID_OVERRIDE",$C150,"DEEP_BROKER_ID_OVERRIDE",R$24,"DEEP_PERIOD_OVERRIDE",$H$19)*1,"")))</f>
        <v/>
      </c>
      <c r="S150" t="str">
        <f>IF(OR(S$23="",ISNA($B150)),"",IF(ISBLANK($B150),"",IFERROR(_xll.BDP(TICKER,"DEEP_MEASURE_PERIOD_BROKER_VALUE","DEEP_MEASURE_ID_OVERRIDE",$C150,"DEEP_BROKER_ID_OVERRIDE",S$24,"DEEP_PERIOD_OVERRIDE",$H$19)*1,"")))</f>
        <v/>
      </c>
      <c r="T150" t="str">
        <f>IF(OR(T$23="",ISNA($B150)),"",IF(ISBLANK($B150),"",IFERROR(_xll.BDP(TICKER,"DEEP_MEASURE_PERIOD_BROKER_VALUE","DEEP_MEASURE_ID_OVERRIDE",$C150,"DEEP_BROKER_ID_OVERRIDE",T$24,"DEEP_PERIOD_OVERRIDE",$H$19)*1,"")))</f>
        <v/>
      </c>
      <c r="U150" t="str">
        <f>IF(OR(U$23="",ISNA($B150)),"",IF(ISBLANK($B150),"",IFERROR(_xll.BDP(TICKER,"DEEP_MEASURE_PERIOD_BROKER_VALUE","DEEP_MEASURE_ID_OVERRIDE",$C150,"DEEP_BROKER_ID_OVERRIDE",U$24,"DEEP_PERIOD_OVERRIDE",$H$19)*1,"")))</f>
        <v/>
      </c>
      <c r="V150" t="str">
        <f>IF(OR(V$23="",ISNA($B150)),"",IF(ISBLANK($B150),"",IFERROR(_xll.BDP(TICKER,"DEEP_MEASURE_PERIOD_BROKER_VALUE","DEEP_MEASURE_ID_OVERRIDE",$C150,"DEEP_BROKER_ID_OVERRIDE",V$24,"DEEP_PERIOD_OVERRIDE",$H$19)*1,"")))</f>
        <v/>
      </c>
      <c r="W150" t="str">
        <f>IF(OR(W$23="",ISNA($B150)),"",IF(ISBLANK($B150),"",IFERROR(_xll.BDP(TICKER,"DEEP_MEASURE_PERIOD_BROKER_VALUE","DEEP_MEASURE_ID_OVERRIDE",$C150,"DEEP_BROKER_ID_OVERRIDE",W$24,"DEEP_PERIOD_OVERRIDE",$H$19)*1,"")))</f>
        <v/>
      </c>
      <c r="X150" t="str">
        <f>IF(OR(X$23="",ISNA($B150)),"",IF(ISBLANK($B150),"",IFERROR(_xll.BDP(TICKER,"DEEP_MEASURE_PERIOD_BROKER_VALUE","DEEP_MEASURE_ID_OVERRIDE",$C150,"DEEP_BROKER_ID_OVERRIDE",X$24,"DEEP_PERIOD_OVERRIDE",$H$19)*1,"")))</f>
        <v/>
      </c>
      <c r="Y150" t="str">
        <f>IF(OR(Y$23="",ISNA($B150)),"",IF(ISBLANK($B150),"",IFERROR(_xll.BDP(TICKER,"DEEP_MEASURE_PERIOD_BROKER_VALUE","DEEP_MEASURE_ID_OVERRIDE",$C150,"DEEP_BROKER_ID_OVERRIDE",Y$24,"DEEP_PERIOD_OVERRIDE",$H$19)*1,"")))</f>
        <v/>
      </c>
      <c r="Z150" t="str">
        <f>IF(OR(Z$23="",ISNA($B150)),"",IF(ISBLANK($B150),"",IFERROR(_xll.BDP(TICKER,"DEEP_MEASURE_PERIOD_BROKER_VALUE","DEEP_MEASURE_ID_OVERRIDE",$C150,"DEEP_BROKER_ID_OVERRIDE",Z$24,"DEEP_PERIOD_OVERRIDE",$H$19)*1,"")))</f>
        <v/>
      </c>
      <c r="AA150" t="str">
        <f>IF(OR(AA$23="",ISNA($B150)),"",IF(ISBLANK($B150),"",IFERROR(_xll.BDP(TICKER,"DEEP_MEASURE_PERIOD_BROKER_VALUE","DEEP_MEASURE_ID_OVERRIDE",$C150,"DEEP_BROKER_ID_OVERRIDE",AA$24,"DEEP_PERIOD_OVERRIDE",$H$19)*1,"")))</f>
        <v/>
      </c>
      <c r="AB150" t="str">
        <f>IF(OR(AB$23="",ISNA($B150)),"",IF(ISBLANK($B150),"",IFERROR(_xll.BDP(TICKER,"DEEP_MEASURE_PERIOD_BROKER_VALUE","DEEP_MEASURE_ID_OVERRIDE",$C150,"DEEP_BROKER_ID_OVERRIDE",AB$24,"DEEP_PERIOD_OVERRIDE",$H$19)*1,"")))</f>
        <v/>
      </c>
      <c r="AC150" t="str">
        <f>IF(OR(AC$23="",ISNA($B150)),"",IF(ISBLANK($B150),"",IFERROR(_xll.BDP(TICKER,"DEEP_MEASURE_PERIOD_BROKER_VALUE","DEEP_MEASURE_ID_OVERRIDE",$C150,"DEEP_BROKER_ID_OVERRIDE",AC$24,"DEEP_PERIOD_OVERRIDE",$H$19)*1,"")))</f>
        <v/>
      </c>
      <c r="AD150" t="str">
        <f>IF(OR(AD$23="",ISNA($B150)),"",IF(ISBLANK($B150),"",IFERROR(_xll.BDP(TICKER,"DEEP_MEASURE_PERIOD_BROKER_VALUE","DEEP_MEASURE_ID_OVERRIDE",$C150,"DEEP_BROKER_ID_OVERRIDE",AD$24,"DEEP_PERIOD_OVERRIDE",$H$19)*1,"")))</f>
        <v/>
      </c>
      <c r="AE150" t="str">
        <f>IF(OR(AE$23="",ISNA($B150)),"",IF(ISBLANK($B150),"",IFERROR(_xll.BDP(TICKER,"DEEP_MEASURE_PERIOD_BROKER_VALUE","DEEP_MEASURE_ID_OVERRIDE",$C150,"DEEP_BROKER_ID_OVERRIDE",AE$24,"DEEP_PERIOD_OVERRIDE",$H$19)*1,"")))</f>
        <v/>
      </c>
      <c r="AF150" t="str">
        <f>IF(OR(AF$23="",ISNA($B150)),"",IF(ISBLANK($B150),"",IFERROR(_xll.BDP(TICKER,"DEEP_MEASURE_PERIOD_BROKER_VALUE","DEEP_MEASURE_ID_OVERRIDE",$C150,"DEEP_BROKER_ID_OVERRIDE",AF$24,"DEEP_PERIOD_OVERRIDE",$H$19)*1,"")))</f>
        <v/>
      </c>
      <c r="AG150" t="str">
        <f>IF(OR(AG$23="",ISNA($B150)),"",IF(ISBLANK($B150),"",IFERROR(_xll.BDP(TICKER,"DEEP_MEASURE_PERIOD_BROKER_VALUE","DEEP_MEASURE_ID_OVERRIDE",$C150,"DEEP_BROKER_ID_OVERRIDE",AG$24,"DEEP_PERIOD_OVERRIDE",$H$19)*1,"")))</f>
        <v/>
      </c>
      <c r="AH150" t="str">
        <f>IF(OR(AH$23="",ISNA($B150)),"",IF(ISBLANK($B150),"",IFERROR(_xll.BDP(TICKER,"DEEP_MEASURE_PERIOD_BROKER_VALUE","DEEP_MEASURE_ID_OVERRIDE",$C150,"DEEP_BROKER_ID_OVERRIDE",AH$24,"DEEP_PERIOD_OVERRIDE",$H$19)*1,"")))</f>
        <v/>
      </c>
      <c r="AI150" t="str">
        <f>IF(OR(AI$23="",ISNA($B150)),"",IF(ISBLANK($B150),"",IFERROR(_xll.BDP(TICKER,"DEEP_MEASURE_PERIOD_BROKER_VALUE","DEEP_MEASURE_ID_OVERRIDE",$C150,"DEEP_BROKER_ID_OVERRIDE",AI$24,"DEEP_PERIOD_OVERRIDE",$H$19)*1,"")))</f>
        <v/>
      </c>
      <c r="AJ150" t="str">
        <f>IF(OR(AJ$23="",ISNA($B150)),"",IF(ISBLANK($B150),"",IFERROR(_xll.BDP(TICKER,"DEEP_MEASURE_PERIOD_BROKER_VALUE","DEEP_MEASURE_ID_OVERRIDE",$C150,"DEEP_BROKER_ID_OVERRIDE",AJ$24,"DEEP_PERIOD_OVERRIDE",$H$19)*1,"")))</f>
        <v/>
      </c>
      <c r="AK150" t="str">
        <f>IF(OR(AK$23="",ISNA($B150)),"",IF(ISBLANK($B150),"",IFERROR(_xll.BDP(TICKER,"DEEP_MEASURE_PERIOD_BROKER_VALUE","DEEP_MEASURE_ID_OVERRIDE",$C150,"DEEP_BROKER_ID_OVERRIDE",AK$24,"DEEP_PERIOD_OVERRIDE",$H$19)*1,"")))</f>
        <v/>
      </c>
      <c r="AL150" t="str">
        <f>IF(OR(AL$23="",ISNA($B150)),"",IF(ISBLANK($B150),"",IFERROR(_xll.BDP(TICKER,"DEEP_MEASURE_PERIOD_BROKER_VALUE","DEEP_MEASURE_ID_OVERRIDE",$C150,"DEEP_BROKER_ID_OVERRIDE",AL$24,"DEEP_PERIOD_OVERRIDE",$H$19)*1,"")))</f>
        <v/>
      </c>
      <c r="AM150" t="str">
        <f>IF(OR(AM$23="",ISNA($B150)),"",IF(ISBLANK($B150),"",IFERROR(_xll.BDP(TICKER,"DEEP_MEASURE_PERIOD_BROKER_VALUE","DEEP_MEASURE_ID_OVERRIDE",$C150,"DEEP_BROKER_ID_OVERRIDE",AM$24,"DEEP_PERIOD_OVERRIDE",$H$19)*1,"")))</f>
        <v/>
      </c>
      <c r="AN150" t="str">
        <f>IF(OR(AN$23="",ISNA($B150)),"",IF(ISBLANK($B150),"",IFERROR(_xll.BDP(TICKER,"DEEP_MEASURE_PERIOD_BROKER_VALUE","DEEP_MEASURE_ID_OVERRIDE",$C150,"DEEP_BROKER_ID_OVERRIDE",AN$24,"DEEP_PERIOD_OVERRIDE",$H$19)*1,"")))</f>
        <v/>
      </c>
      <c r="AO150" t="str">
        <f>IF(OR(AO$23="",ISNA($B150)),"",IF(ISBLANK($B150),"",IFERROR(_xll.BDP(TICKER,"DEEP_MEASURE_PERIOD_BROKER_VALUE","DEEP_MEASURE_ID_OVERRIDE",$C150,"DEEP_BROKER_ID_OVERRIDE",AO$24,"DEEP_PERIOD_OVERRIDE",$H$19)*1,"")))</f>
        <v/>
      </c>
      <c r="AP150" t="str">
        <f>IF(OR(AP$23="",ISNA($B150)),"",IF(ISBLANK($B150),"",IFERROR(_xll.BDP(TICKER,"DEEP_MEASURE_PERIOD_BROKER_VALUE","DEEP_MEASURE_ID_OVERRIDE",$C150,"DEEP_BROKER_ID_OVERRIDE",AP$24,"DEEP_PERIOD_OVERRIDE",$H$19)*1,"")))</f>
        <v/>
      </c>
      <c r="AQ150" t="str">
        <f>IF(OR(AQ$23="",ISNA($B150)),"",IF(ISBLANK($B150),"",IFERROR(_xll.BDP(TICKER,"DEEP_MEASURE_PERIOD_BROKER_VALUE","DEEP_MEASURE_ID_OVERRIDE",$C150,"DEEP_BROKER_ID_OVERRIDE",AQ$24,"DEEP_PERIOD_OVERRIDE",$H$19)*1,"")))</f>
        <v/>
      </c>
      <c r="AR150" t="str">
        <f>IF(OR(AR$23="",ISNA($B150)),"",IF(ISBLANK($B150),"",IFERROR(_xll.BDP(TICKER,"DEEP_MEASURE_PERIOD_BROKER_VALUE","DEEP_MEASURE_ID_OVERRIDE",$C150,"DEEP_BROKER_ID_OVERRIDE",AR$24,"DEEP_PERIOD_OVERRIDE",$H$19)*1,"")))</f>
        <v/>
      </c>
      <c r="AS150" t="str">
        <f>IF(OR(AS$23="",ISNA($B150)),"",IF(ISBLANK($B150),"",IFERROR(_xll.BDP(TICKER,"DEEP_MEASURE_PERIOD_BROKER_VALUE","DEEP_MEASURE_ID_OVERRIDE",$C150,"DEEP_BROKER_ID_OVERRIDE",AS$24,"DEEP_PERIOD_OVERRIDE",$H$19)*1,"")))</f>
        <v/>
      </c>
      <c r="AT150" t="str">
        <f>IF(OR(AT$23="",ISNA($B150)),"",IF(ISBLANK($B150),"",IFERROR(_xll.BDP(TICKER,"DEEP_MEASURE_PERIOD_BROKER_VALUE","DEEP_MEASURE_ID_OVERRIDE",$C150,"DEEP_BROKER_ID_OVERRIDE",AT$24,"DEEP_PERIOD_OVERRIDE",$H$19)*1,"")))</f>
        <v/>
      </c>
      <c r="AU150" t="str">
        <f>IF(OR(AU$23="",ISNA($B150)),"",IF(ISBLANK($B150),"",IFERROR(_xll.BDP(TICKER,"DEEP_MEASURE_PERIOD_BROKER_VALUE","DEEP_MEASURE_ID_OVERRIDE",$C150,"DEEP_BROKER_ID_OVERRIDE",AU$24,"DEEP_PERIOD_OVERRIDE",$H$19)*1,"")))</f>
        <v/>
      </c>
      <c r="AV150" t="str">
        <f>IF(OR(AV$23="",ISNA($B150)),"",IF(ISBLANK($B150),"",IFERROR(_xll.BDP(TICKER,"DEEP_MEASURE_PERIOD_BROKER_VALUE","DEEP_MEASURE_ID_OVERRIDE",$C150,"DEEP_BROKER_ID_OVERRIDE",AV$24,"DEEP_PERIOD_OVERRIDE",$H$19)*1,"")))</f>
        <v/>
      </c>
      <c r="AW150" t="str">
        <f>IF(OR(AW$23="",ISNA($B150)),"",IF(ISBLANK($B150),"",IFERROR(_xll.BDP(TICKER,"DEEP_MEASURE_PERIOD_BROKER_VALUE","DEEP_MEASURE_ID_OVERRIDE",$C150,"DEEP_BROKER_ID_OVERRIDE",AW$24,"DEEP_PERIOD_OVERRIDE",$H$19)*1,"")))</f>
        <v/>
      </c>
      <c r="AX150" t="str">
        <f>IF(OR(AX$23="",ISNA($B150)),"",IF(ISBLANK($B150),"",IFERROR(_xll.BDP(TICKER,"DEEP_MEASURE_PERIOD_BROKER_VALUE","DEEP_MEASURE_ID_OVERRIDE",$C150,"DEEP_BROKER_ID_OVERRIDE",AX$24,"DEEP_PERIOD_OVERRIDE",$H$19)*1,"")))</f>
        <v/>
      </c>
      <c r="AY150" t="str">
        <f>IF(OR(AY$23="",ISNA($B150)),"",IF(ISBLANK($B150),"",IFERROR(_xll.BDP(TICKER,"DEEP_MEASURE_PERIOD_BROKER_VALUE","DEEP_MEASURE_ID_OVERRIDE",$C150,"DEEP_BROKER_ID_OVERRIDE",AY$24,"DEEP_PERIOD_OVERRIDE",$H$19)*1,"")))</f>
        <v/>
      </c>
      <c r="AZ150" t="str">
        <f>IF(OR(AZ$23="",ISNA($B150)),"",IF(ISBLANK($B150),"",IFERROR(_xll.BDP(TICKER,"DEEP_MEASURE_PERIOD_BROKER_VALUE","DEEP_MEASURE_ID_OVERRIDE",$C150,"DEEP_BROKER_ID_OVERRIDE",AZ$24,"DEEP_PERIOD_OVERRIDE",$H$19)*1,"")))</f>
        <v/>
      </c>
      <c r="BA150" t="str">
        <f>IF(OR(BA$23="",ISNA($B150)),"",IF(ISBLANK($B150),"",IFERROR(_xll.BDP(TICKER,"DEEP_MEASURE_PERIOD_BROKER_VALUE","DEEP_MEASURE_ID_OVERRIDE",$C150,"DEEP_BROKER_ID_OVERRIDE",BA$24,"DEEP_PERIOD_OVERRIDE",$H$19)*1,"")))</f>
        <v/>
      </c>
      <c r="BB150" t="str">
        <f>IF(OR(BB$23="",ISNA($B150)),"",IF(ISBLANK($B150),"",IFERROR(_xll.BDP(TICKER,"DEEP_MEASURE_PERIOD_BROKER_VALUE","DEEP_MEASURE_ID_OVERRIDE",$C150,"DEEP_BROKER_ID_OVERRIDE",BB$24,"DEEP_PERIOD_OVERRIDE",$H$19)*1,"")))</f>
        <v/>
      </c>
      <c r="BC150" t="str">
        <f>IF(OR(BC$23="",ISNA($B150)),"",IF(ISBLANK($B150),"",IFERROR(_xll.BDP(TICKER,"DEEP_MEASURE_PERIOD_BROKER_VALUE","DEEP_MEASURE_ID_OVERRIDE",$C150,"DEEP_BROKER_ID_OVERRIDE",BC$24,"DEEP_PERIOD_OVERRIDE",$H$19)*1,"")))</f>
        <v/>
      </c>
      <c r="BD150" t="str">
        <f>IF(OR(BD$23="",ISNA($B150)),"",IF(ISBLANK($B150),"",IFERROR(_xll.BDP(TICKER,"DEEP_MEASURE_PERIOD_BROKER_VALUE","DEEP_MEASURE_ID_OVERRIDE",$C150,"DEEP_BROKER_ID_OVERRIDE",BD$24,"DEEP_PERIOD_OVERRIDE",$H$19)*1,"")))</f>
        <v/>
      </c>
      <c r="BE150" t="str">
        <f>IF(OR(BE$23="",ISNA($B150)),"",IF(ISBLANK($B150),"",IFERROR(_xll.BDP(TICKER,"DEEP_MEASURE_PERIOD_BROKER_VALUE","DEEP_MEASURE_ID_OVERRIDE",$C150,"DEEP_BROKER_ID_OVERRIDE",BE$24,"DEEP_PERIOD_OVERRIDE",$H$19)*1,"")))</f>
        <v/>
      </c>
      <c r="BF150" t="str">
        <f>IF(OR(BF$23="",ISNA($B150)),"",IF(ISBLANK($B150),"",IFERROR(_xll.BDP(TICKER,"DEEP_MEASURE_PERIOD_BROKER_VALUE","DEEP_MEASURE_ID_OVERRIDE",$C150,"DEEP_BROKER_ID_OVERRIDE",BF$24,"DEEP_PERIOD_OVERRIDE",$H$19)*1,"")))</f>
        <v/>
      </c>
      <c r="BG150" t="str">
        <f>IF(OR(BG$23="",ISNA($B150)),"",IF(ISBLANK($B150),"",IFERROR(_xll.BDP(TICKER,"DEEP_MEASURE_PERIOD_BROKER_VALUE","DEEP_MEASURE_ID_OVERRIDE",$C150,"DEEP_BROKER_ID_OVERRIDE",BG$24,"DEEP_PERIOD_OVERRIDE",$H$19)*1,"")))</f>
        <v/>
      </c>
      <c r="BH150" t="str">
        <f>IF(OR(BH$23="",ISNA($B150)),"",IF(ISBLANK($B150),"",IFERROR(_xll.BDP(TICKER,"DEEP_MEASURE_PERIOD_BROKER_VALUE","DEEP_MEASURE_ID_OVERRIDE",$C150,"DEEP_BROKER_ID_OVERRIDE",BH$24,"DEEP_PERIOD_OVERRIDE",$H$19)*1,"")))</f>
        <v/>
      </c>
      <c r="BI150" t="str">
        <f>IF(OR(BI$23="",ISNA($B150)),"",IF(ISBLANK($B150),"",IFERROR(_xll.BDP(TICKER,"DEEP_MEASURE_PERIOD_BROKER_VALUE","DEEP_MEASURE_ID_OVERRIDE",$C150,"DEEP_BROKER_ID_OVERRIDE",BI$24,"DEEP_PERIOD_OVERRIDE",$H$19)*1,"")))</f>
        <v/>
      </c>
      <c r="BJ150" t="str">
        <f>IF(OR(BJ$23="",ISNA($B150)),"",IF(ISBLANK($B150),"",IFERROR(_xll.BDP(TICKER,"DEEP_MEASURE_PERIOD_BROKER_VALUE","DEEP_MEASURE_ID_OVERRIDE",$C150,"DEEP_BROKER_ID_OVERRIDE",BJ$24,"DEEP_PERIOD_OVERRIDE",$H$19)*1,"")))</f>
        <v/>
      </c>
      <c r="BK150" t="str">
        <f>IF(OR(BK$23="",ISNA($B150)),"",IF(ISBLANK($B150),"",IFERROR(_xll.BDP(TICKER,"DEEP_MEASURE_PERIOD_BROKER_VALUE","DEEP_MEASURE_ID_OVERRIDE",$C150,"DEEP_BROKER_ID_OVERRIDE",BK$24,"DEEP_PERIOD_OVERRIDE",$H$19)*1,"")))</f>
        <v/>
      </c>
      <c r="BL150" t="str">
        <f>IF(OR(BL$23="",ISNA($B150)),"",IF(ISBLANK($B150),"",IFERROR(_xll.BDP(TICKER,"DEEP_MEASURE_PERIOD_BROKER_VALUE","DEEP_MEASURE_ID_OVERRIDE",$C150,"DEEP_BROKER_ID_OVERRIDE",BL$24,"DEEP_PERIOD_OVERRIDE",$H$19)*1,"")))</f>
        <v/>
      </c>
      <c r="BM150" t="str">
        <f>IF(OR(BM$23="",ISNA($B150)),"",IF(ISBLANK($B150),"",IFERROR(_xll.BDP(TICKER,"DEEP_MEASURE_PERIOD_BROKER_VALUE","DEEP_MEASURE_ID_OVERRIDE",$C150,"DEEP_BROKER_ID_OVERRIDE",BM$24,"DEEP_PERIOD_OVERRIDE",$H$19)*1,"")))</f>
        <v/>
      </c>
      <c r="BN150" t="str">
        <f>IF(OR(BN$23="",ISNA($B150)),"",IF(ISBLANK($B150),"",IFERROR(_xll.BDP(TICKER,"DEEP_MEASURE_PERIOD_BROKER_VALUE","DEEP_MEASURE_ID_OVERRIDE",$C150,"DEEP_BROKER_ID_OVERRIDE",BN$24,"DEEP_PERIOD_OVERRIDE",$H$19)*1,"")))</f>
        <v/>
      </c>
      <c r="BO150" t="str">
        <f>IF(OR(BO$23="",ISNA($B150)),"",IF(ISBLANK($B150),"",IFERROR(_xll.BDP(TICKER,"DEEP_MEASURE_PERIOD_BROKER_VALUE","DEEP_MEASURE_ID_OVERRIDE",$C150,"DEEP_BROKER_ID_OVERRIDE",BO$24,"DEEP_PERIOD_OVERRIDE",$H$19)*1,"")))</f>
        <v/>
      </c>
      <c r="BP150" t="str">
        <f>IF(OR(BP$23="",ISNA($B150)),"",IF(ISBLANK($B150),"",IFERROR(_xll.BDP(TICKER,"DEEP_MEASURE_PERIOD_BROKER_VALUE","DEEP_MEASURE_ID_OVERRIDE",$C150,"DEEP_BROKER_ID_OVERRIDE",BP$24,"DEEP_PERIOD_OVERRIDE",$H$19)*1,"")))</f>
        <v/>
      </c>
      <c r="BQ150" t="str">
        <f>IF(OR(BQ$23="",ISNA($B150)),"",IF(ISBLANK($B150),"",IFERROR(_xll.BDP(TICKER,"DEEP_MEASURE_PERIOD_BROKER_VALUE","DEEP_MEASURE_ID_OVERRIDE",$C150,"DEEP_BROKER_ID_OVERRIDE",BQ$24,"DEEP_PERIOD_OVERRIDE",$H$19)*1,"")))</f>
        <v/>
      </c>
      <c r="BR150" t="str">
        <f>IF(OR(BR$23="",ISNA($B150)),"",IF(ISBLANK($B150),"",IFERROR(_xll.BDP(TICKER,"DEEP_MEASURE_PERIOD_BROKER_VALUE","DEEP_MEASURE_ID_OVERRIDE",$C150,"DEEP_BROKER_ID_OVERRIDE",BR$24,"DEEP_PERIOD_OVERRIDE",$H$19)*1,"")))</f>
        <v/>
      </c>
      <c r="BS150" t="str">
        <f>IF(OR(BS$23="",ISNA($B150)),"",IF(ISBLANK($B150),"",IFERROR(_xll.BDP(TICKER,"DEEP_MEASURE_PERIOD_BROKER_VALUE","DEEP_MEASURE_ID_OVERRIDE",$C150,"DEEP_BROKER_ID_OVERRIDE",BS$24,"DEEP_PERIOD_OVERRIDE",$H$19)*1,"")))</f>
        <v/>
      </c>
      <c r="BT150" t="str">
        <f>IF(OR(BT$23="",ISNA($B150)),"",IF(ISBLANK($B150),"",IFERROR(_xll.BDP(TICKER,"DEEP_MEASURE_PERIOD_BROKER_VALUE","DEEP_MEASURE_ID_OVERRIDE",$C150,"DEEP_BROKER_ID_OVERRIDE",BT$24,"DEEP_PERIOD_OVERRIDE",$H$19)*1,"")))</f>
        <v/>
      </c>
      <c r="BU150" t="str">
        <f>IF(OR(BU$23="",ISNA($B150)),"",IF(ISBLANK($B150),"",IFERROR(_xll.BDP(TICKER,"DEEP_MEASURE_PERIOD_BROKER_VALUE","DEEP_MEASURE_ID_OVERRIDE",$C150,"DEEP_BROKER_ID_OVERRIDE",BU$24,"DEEP_PERIOD_OVERRIDE",$H$19)*1,"")))</f>
        <v/>
      </c>
      <c r="BV150" t="str">
        <f>IF(OR(BV$23="",ISNA($B150)),"",IF(ISBLANK($B150),"",IFERROR(_xll.BDP(TICKER,"DEEP_MEASURE_PERIOD_BROKER_VALUE","DEEP_MEASURE_ID_OVERRIDE",$C150,"DEEP_BROKER_ID_OVERRIDE",BV$24,"DEEP_PERIOD_OVERRIDE",$H$19)*1,"")))</f>
        <v/>
      </c>
      <c r="BW150" t="str">
        <f>IF(OR(BW$23="",ISNA($B150)),"",IF(ISBLANK($B150),"",IFERROR(_xll.BDP(TICKER,"DEEP_MEASURE_PERIOD_BROKER_VALUE","DEEP_MEASURE_ID_OVERRIDE",$C150,"DEEP_BROKER_ID_OVERRIDE",BW$24,"DEEP_PERIOD_OVERRIDE",$H$19)*1,"")))</f>
        <v/>
      </c>
      <c r="BX150" t="str">
        <f>IF(OR(BX$23="",ISNA($B150)),"",IF(ISBLANK($B150),"",IFERROR(_xll.BDP(TICKER,"DEEP_MEASURE_PERIOD_BROKER_VALUE","DEEP_MEASURE_ID_OVERRIDE",$C150,"DEEP_BROKER_ID_OVERRIDE",BX$24,"DEEP_PERIOD_OVERRIDE",$H$19)*1,"")))</f>
        <v/>
      </c>
      <c r="BY150" t="str">
        <f>IF(OR(BY$23="",ISNA($B150)),"",IF(ISBLANK($B150),"",IFERROR(_xll.BDP(TICKER,"DEEP_MEASURE_PERIOD_BROKER_VALUE","DEEP_MEASURE_ID_OVERRIDE",$C150,"DEEP_BROKER_ID_OVERRIDE",BY$24,"DEEP_PERIOD_OVERRIDE",$H$19)*1,"")))</f>
        <v/>
      </c>
      <c r="BZ150" t="str">
        <f>IF(OR(BZ$23="",ISNA($B150)),"",IF(ISBLANK($B150),"",IFERROR(_xll.BDP(TICKER,"DEEP_MEASURE_PERIOD_BROKER_VALUE","DEEP_MEASURE_ID_OVERRIDE",$C150,"DEEP_BROKER_ID_OVERRIDE",BZ$24,"DEEP_PERIOD_OVERRIDE",$H$19)*1,"")))</f>
        <v/>
      </c>
    </row>
    <row r="151" spans="2:78" x14ac:dyDescent="0.25">
      <c r="B151" t="s">
        <v>180</v>
      </c>
      <c r="C151">
        <v>562</v>
      </c>
      <c r="H151" t="str">
        <f t="shared" si="2"/>
        <v>Non-GAAP Metrics &gt; EBITDA</v>
      </c>
      <c r="I151" t="str">
        <f>IF(OR(I$23="",ISNA($B151)),"",IF(ISBLANK($B151),"",IFERROR(_xll.BDP(TICKER,"DEEP_MEASURE_PERIOD_BROKER_VALUE","DEEP_MEASURE_ID_OVERRIDE",$C151,"DEEP_PERIOD_OVERRIDE",$H$19)*1,"")))</f>
        <v/>
      </c>
      <c r="J151" t="e">
        <f>IF(OR(J$23="",ISNA($B151)),"",IF(ISBLANK($B151),"",IFERROR(_xll.BDP(TICKER,"DEEP_MEASURE_PERIOD_BROKER_VALUE","DEEP_MEASURE_ID_OVERRIDE",$C151,"DEEP_BROKER_ID_OVERRIDE",J$24,"DEEP_PERIOD_OVERRIDE",$H$19)*1,"")))</f>
        <v>#REF!</v>
      </c>
      <c r="K151" t="str">
        <f>IF(OR(K$23="",ISNA($B151)),"",IF(ISBLANK($B151),"",IFERROR(_xll.BDP(TICKER,"DEEP_MEASURE_PERIOD_BROKER_VALUE","DEEP_MEASURE_ID_OVERRIDE",$C151,"DEEP_BROKER_ID_OVERRIDE",K$24,"DEEP_PERIOD_OVERRIDE",$H$19)*1,"")))</f>
        <v/>
      </c>
      <c r="L151" t="str">
        <f>IF(OR(L$23="",ISNA($B151)),"",IF(ISBLANK($B151),"",IFERROR(_xll.BDP(TICKER,"DEEP_MEASURE_PERIOD_BROKER_VALUE","DEEP_MEASURE_ID_OVERRIDE",$C151,"DEEP_BROKER_ID_OVERRIDE",L$24,"DEEP_PERIOD_OVERRIDE",$H$19)*1,"")))</f>
        <v/>
      </c>
      <c r="M151" t="str">
        <f>IF(OR(M$23="",ISNA($B151)),"",IF(ISBLANK($B151),"",IFERROR(_xll.BDP(TICKER,"DEEP_MEASURE_PERIOD_BROKER_VALUE","DEEP_MEASURE_ID_OVERRIDE",$C151,"DEEP_BROKER_ID_OVERRIDE",M$24,"DEEP_PERIOD_OVERRIDE",$H$19)*1,"")))</f>
        <v/>
      </c>
      <c r="N151" t="str">
        <f>IF(OR(N$23="",ISNA($B151)),"",IF(ISBLANK($B151),"",IFERROR(_xll.BDP(TICKER,"DEEP_MEASURE_PERIOD_BROKER_VALUE","DEEP_MEASURE_ID_OVERRIDE",$C151,"DEEP_BROKER_ID_OVERRIDE",N$24,"DEEP_PERIOD_OVERRIDE",$H$19)*1,"")))</f>
        <v/>
      </c>
      <c r="O151" t="str">
        <f>IF(OR(O$23="",ISNA($B151)),"",IF(ISBLANK($B151),"",IFERROR(_xll.BDP(TICKER,"DEEP_MEASURE_PERIOD_BROKER_VALUE","DEEP_MEASURE_ID_OVERRIDE",$C151,"DEEP_BROKER_ID_OVERRIDE",O$24,"DEEP_PERIOD_OVERRIDE",$H$19)*1,"")))</f>
        <v/>
      </c>
      <c r="P151" t="str">
        <f>IF(OR(P$23="",ISNA($B151)),"",IF(ISBLANK($B151),"",IFERROR(_xll.BDP(TICKER,"DEEP_MEASURE_PERIOD_BROKER_VALUE","DEEP_MEASURE_ID_OVERRIDE",$C151,"DEEP_BROKER_ID_OVERRIDE",P$24,"DEEP_PERIOD_OVERRIDE",$H$19)*1,"")))</f>
        <v/>
      </c>
      <c r="Q151" t="str">
        <f>IF(OR(Q$23="",ISNA($B151)),"",IF(ISBLANK($B151),"",IFERROR(_xll.BDP(TICKER,"DEEP_MEASURE_PERIOD_BROKER_VALUE","DEEP_MEASURE_ID_OVERRIDE",$C151,"DEEP_BROKER_ID_OVERRIDE",Q$24,"DEEP_PERIOD_OVERRIDE",$H$19)*1,"")))</f>
        <v/>
      </c>
      <c r="R151" t="str">
        <f>IF(OR(R$23="",ISNA($B151)),"",IF(ISBLANK($B151),"",IFERROR(_xll.BDP(TICKER,"DEEP_MEASURE_PERIOD_BROKER_VALUE","DEEP_MEASURE_ID_OVERRIDE",$C151,"DEEP_BROKER_ID_OVERRIDE",R$24,"DEEP_PERIOD_OVERRIDE",$H$19)*1,"")))</f>
        <v/>
      </c>
      <c r="S151" t="str">
        <f>IF(OR(S$23="",ISNA($B151)),"",IF(ISBLANK($B151),"",IFERROR(_xll.BDP(TICKER,"DEEP_MEASURE_PERIOD_BROKER_VALUE","DEEP_MEASURE_ID_OVERRIDE",$C151,"DEEP_BROKER_ID_OVERRIDE",S$24,"DEEP_PERIOD_OVERRIDE",$H$19)*1,"")))</f>
        <v/>
      </c>
      <c r="T151" t="str">
        <f>IF(OR(T$23="",ISNA($B151)),"",IF(ISBLANK($B151),"",IFERROR(_xll.BDP(TICKER,"DEEP_MEASURE_PERIOD_BROKER_VALUE","DEEP_MEASURE_ID_OVERRIDE",$C151,"DEEP_BROKER_ID_OVERRIDE",T$24,"DEEP_PERIOD_OVERRIDE",$H$19)*1,"")))</f>
        <v/>
      </c>
      <c r="U151" t="str">
        <f>IF(OR(U$23="",ISNA($B151)),"",IF(ISBLANK($B151),"",IFERROR(_xll.BDP(TICKER,"DEEP_MEASURE_PERIOD_BROKER_VALUE","DEEP_MEASURE_ID_OVERRIDE",$C151,"DEEP_BROKER_ID_OVERRIDE",U$24,"DEEP_PERIOD_OVERRIDE",$H$19)*1,"")))</f>
        <v/>
      </c>
      <c r="V151" t="str">
        <f>IF(OR(V$23="",ISNA($B151)),"",IF(ISBLANK($B151),"",IFERROR(_xll.BDP(TICKER,"DEEP_MEASURE_PERIOD_BROKER_VALUE","DEEP_MEASURE_ID_OVERRIDE",$C151,"DEEP_BROKER_ID_OVERRIDE",V$24,"DEEP_PERIOD_OVERRIDE",$H$19)*1,"")))</f>
        <v/>
      </c>
      <c r="W151" t="str">
        <f>IF(OR(W$23="",ISNA($B151)),"",IF(ISBLANK($B151),"",IFERROR(_xll.BDP(TICKER,"DEEP_MEASURE_PERIOD_BROKER_VALUE","DEEP_MEASURE_ID_OVERRIDE",$C151,"DEEP_BROKER_ID_OVERRIDE",W$24,"DEEP_PERIOD_OVERRIDE",$H$19)*1,"")))</f>
        <v/>
      </c>
      <c r="X151" t="str">
        <f>IF(OR(X$23="",ISNA($B151)),"",IF(ISBLANK($B151),"",IFERROR(_xll.BDP(TICKER,"DEEP_MEASURE_PERIOD_BROKER_VALUE","DEEP_MEASURE_ID_OVERRIDE",$C151,"DEEP_BROKER_ID_OVERRIDE",X$24,"DEEP_PERIOD_OVERRIDE",$H$19)*1,"")))</f>
        <v/>
      </c>
      <c r="Y151" t="str">
        <f>IF(OR(Y$23="",ISNA($B151)),"",IF(ISBLANK($B151),"",IFERROR(_xll.BDP(TICKER,"DEEP_MEASURE_PERIOD_BROKER_VALUE","DEEP_MEASURE_ID_OVERRIDE",$C151,"DEEP_BROKER_ID_OVERRIDE",Y$24,"DEEP_PERIOD_OVERRIDE",$H$19)*1,"")))</f>
        <v/>
      </c>
      <c r="Z151" t="str">
        <f>IF(OR(Z$23="",ISNA($B151)),"",IF(ISBLANK($B151),"",IFERROR(_xll.BDP(TICKER,"DEEP_MEASURE_PERIOD_BROKER_VALUE","DEEP_MEASURE_ID_OVERRIDE",$C151,"DEEP_BROKER_ID_OVERRIDE",Z$24,"DEEP_PERIOD_OVERRIDE",$H$19)*1,"")))</f>
        <v/>
      </c>
      <c r="AA151" t="str">
        <f>IF(OR(AA$23="",ISNA($B151)),"",IF(ISBLANK($B151),"",IFERROR(_xll.BDP(TICKER,"DEEP_MEASURE_PERIOD_BROKER_VALUE","DEEP_MEASURE_ID_OVERRIDE",$C151,"DEEP_BROKER_ID_OVERRIDE",AA$24,"DEEP_PERIOD_OVERRIDE",$H$19)*1,"")))</f>
        <v/>
      </c>
      <c r="AB151" t="str">
        <f>IF(OR(AB$23="",ISNA($B151)),"",IF(ISBLANK($B151),"",IFERROR(_xll.BDP(TICKER,"DEEP_MEASURE_PERIOD_BROKER_VALUE","DEEP_MEASURE_ID_OVERRIDE",$C151,"DEEP_BROKER_ID_OVERRIDE",AB$24,"DEEP_PERIOD_OVERRIDE",$H$19)*1,"")))</f>
        <v/>
      </c>
      <c r="AC151" t="str">
        <f>IF(OR(AC$23="",ISNA($B151)),"",IF(ISBLANK($B151),"",IFERROR(_xll.BDP(TICKER,"DEEP_MEASURE_PERIOD_BROKER_VALUE","DEEP_MEASURE_ID_OVERRIDE",$C151,"DEEP_BROKER_ID_OVERRIDE",AC$24,"DEEP_PERIOD_OVERRIDE",$H$19)*1,"")))</f>
        <v/>
      </c>
      <c r="AD151" t="str">
        <f>IF(OR(AD$23="",ISNA($B151)),"",IF(ISBLANK($B151),"",IFERROR(_xll.BDP(TICKER,"DEEP_MEASURE_PERIOD_BROKER_VALUE","DEEP_MEASURE_ID_OVERRIDE",$C151,"DEEP_BROKER_ID_OVERRIDE",AD$24,"DEEP_PERIOD_OVERRIDE",$H$19)*1,"")))</f>
        <v/>
      </c>
      <c r="AE151" t="str">
        <f>IF(OR(AE$23="",ISNA($B151)),"",IF(ISBLANK($B151),"",IFERROR(_xll.BDP(TICKER,"DEEP_MEASURE_PERIOD_BROKER_VALUE","DEEP_MEASURE_ID_OVERRIDE",$C151,"DEEP_BROKER_ID_OVERRIDE",AE$24,"DEEP_PERIOD_OVERRIDE",$H$19)*1,"")))</f>
        <v/>
      </c>
      <c r="AF151" t="str">
        <f>IF(OR(AF$23="",ISNA($B151)),"",IF(ISBLANK($B151),"",IFERROR(_xll.BDP(TICKER,"DEEP_MEASURE_PERIOD_BROKER_VALUE","DEEP_MEASURE_ID_OVERRIDE",$C151,"DEEP_BROKER_ID_OVERRIDE",AF$24,"DEEP_PERIOD_OVERRIDE",$H$19)*1,"")))</f>
        <v/>
      </c>
      <c r="AG151" t="str">
        <f>IF(OR(AG$23="",ISNA($B151)),"",IF(ISBLANK($B151),"",IFERROR(_xll.BDP(TICKER,"DEEP_MEASURE_PERIOD_BROKER_VALUE","DEEP_MEASURE_ID_OVERRIDE",$C151,"DEEP_BROKER_ID_OVERRIDE",AG$24,"DEEP_PERIOD_OVERRIDE",$H$19)*1,"")))</f>
        <v/>
      </c>
      <c r="AH151" t="str">
        <f>IF(OR(AH$23="",ISNA($B151)),"",IF(ISBLANK($B151),"",IFERROR(_xll.BDP(TICKER,"DEEP_MEASURE_PERIOD_BROKER_VALUE","DEEP_MEASURE_ID_OVERRIDE",$C151,"DEEP_BROKER_ID_OVERRIDE",AH$24,"DEEP_PERIOD_OVERRIDE",$H$19)*1,"")))</f>
        <v/>
      </c>
      <c r="AI151" t="str">
        <f>IF(OR(AI$23="",ISNA($B151)),"",IF(ISBLANK($B151),"",IFERROR(_xll.BDP(TICKER,"DEEP_MEASURE_PERIOD_BROKER_VALUE","DEEP_MEASURE_ID_OVERRIDE",$C151,"DEEP_BROKER_ID_OVERRIDE",AI$24,"DEEP_PERIOD_OVERRIDE",$H$19)*1,"")))</f>
        <v/>
      </c>
      <c r="AJ151" t="str">
        <f>IF(OR(AJ$23="",ISNA($B151)),"",IF(ISBLANK($B151),"",IFERROR(_xll.BDP(TICKER,"DEEP_MEASURE_PERIOD_BROKER_VALUE","DEEP_MEASURE_ID_OVERRIDE",$C151,"DEEP_BROKER_ID_OVERRIDE",AJ$24,"DEEP_PERIOD_OVERRIDE",$H$19)*1,"")))</f>
        <v/>
      </c>
      <c r="AK151" t="str">
        <f>IF(OR(AK$23="",ISNA($B151)),"",IF(ISBLANK($B151),"",IFERROR(_xll.BDP(TICKER,"DEEP_MEASURE_PERIOD_BROKER_VALUE","DEEP_MEASURE_ID_OVERRIDE",$C151,"DEEP_BROKER_ID_OVERRIDE",AK$24,"DEEP_PERIOD_OVERRIDE",$H$19)*1,"")))</f>
        <v/>
      </c>
      <c r="AL151" t="str">
        <f>IF(OR(AL$23="",ISNA($B151)),"",IF(ISBLANK($B151),"",IFERROR(_xll.BDP(TICKER,"DEEP_MEASURE_PERIOD_BROKER_VALUE","DEEP_MEASURE_ID_OVERRIDE",$C151,"DEEP_BROKER_ID_OVERRIDE",AL$24,"DEEP_PERIOD_OVERRIDE",$H$19)*1,"")))</f>
        <v/>
      </c>
      <c r="AM151" t="str">
        <f>IF(OR(AM$23="",ISNA($B151)),"",IF(ISBLANK($B151),"",IFERROR(_xll.BDP(TICKER,"DEEP_MEASURE_PERIOD_BROKER_VALUE","DEEP_MEASURE_ID_OVERRIDE",$C151,"DEEP_BROKER_ID_OVERRIDE",AM$24,"DEEP_PERIOD_OVERRIDE",$H$19)*1,"")))</f>
        <v/>
      </c>
      <c r="AN151" t="str">
        <f>IF(OR(AN$23="",ISNA($B151)),"",IF(ISBLANK($B151),"",IFERROR(_xll.BDP(TICKER,"DEEP_MEASURE_PERIOD_BROKER_VALUE","DEEP_MEASURE_ID_OVERRIDE",$C151,"DEEP_BROKER_ID_OVERRIDE",AN$24,"DEEP_PERIOD_OVERRIDE",$H$19)*1,"")))</f>
        <v/>
      </c>
      <c r="AO151" t="str">
        <f>IF(OR(AO$23="",ISNA($B151)),"",IF(ISBLANK($B151),"",IFERROR(_xll.BDP(TICKER,"DEEP_MEASURE_PERIOD_BROKER_VALUE","DEEP_MEASURE_ID_OVERRIDE",$C151,"DEEP_BROKER_ID_OVERRIDE",AO$24,"DEEP_PERIOD_OVERRIDE",$H$19)*1,"")))</f>
        <v/>
      </c>
      <c r="AP151" t="str">
        <f>IF(OR(AP$23="",ISNA($B151)),"",IF(ISBLANK($B151),"",IFERROR(_xll.BDP(TICKER,"DEEP_MEASURE_PERIOD_BROKER_VALUE","DEEP_MEASURE_ID_OVERRIDE",$C151,"DEEP_BROKER_ID_OVERRIDE",AP$24,"DEEP_PERIOD_OVERRIDE",$H$19)*1,"")))</f>
        <v/>
      </c>
      <c r="AQ151" t="str">
        <f>IF(OR(AQ$23="",ISNA($B151)),"",IF(ISBLANK($B151),"",IFERROR(_xll.BDP(TICKER,"DEEP_MEASURE_PERIOD_BROKER_VALUE","DEEP_MEASURE_ID_OVERRIDE",$C151,"DEEP_BROKER_ID_OVERRIDE",AQ$24,"DEEP_PERIOD_OVERRIDE",$H$19)*1,"")))</f>
        <v/>
      </c>
      <c r="AR151" t="str">
        <f>IF(OR(AR$23="",ISNA($B151)),"",IF(ISBLANK($B151),"",IFERROR(_xll.BDP(TICKER,"DEEP_MEASURE_PERIOD_BROKER_VALUE","DEEP_MEASURE_ID_OVERRIDE",$C151,"DEEP_BROKER_ID_OVERRIDE",AR$24,"DEEP_PERIOD_OVERRIDE",$H$19)*1,"")))</f>
        <v/>
      </c>
      <c r="AS151" t="str">
        <f>IF(OR(AS$23="",ISNA($B151)),"",IF(ISBLANK($B151),"",IFERROR(_xll.BDP(TICKER,"DEEP_MEASURE_PERIOD_BROKER_VALUE","DEEP_MEASURE_ID_OVERRIDE",$C151,"DEEP_BROKER_ID_OVERRIDE",AS$24,"DEEP_PERIOD_OVERRIDE",$H$19)*1,"")))</f>
        <v/>
      </c>
      <c r="AT151" t="str">
        <f>IF(OR(AT$23="",ISNA($B151)),"",IF(ISBLANK($B151),"",IFERROR(_xll.BDP(TICKER,"DEEP_MEASURE_PERIOD_BROKER_VALUE","DEEP_MEASURE_ID_OVERRIDE",$C151,"DEEP_BROKER_ID_OVERRIDE",AT$24,"DEEP_PERIOD_OVERRIDE",$H$19)*1,"")))</f>
        <v/>
      </c>
      <c r="AU151" t="str">
        <f>IF(OR(AU$23="",ISNA($B151)),"",IF(ISBLANK($B151),"",IFERROR(_xll.BDP(TICKER,"DEEP_MEASURE_PERIOD_BROKER_VALUE","DEEP_MEASURE_ID_OVERRIDE",$C151,"DEEP_BROKER_ID_OVERRIDE",AU$24,"DEEP_PERIOD_OVERRIDE",$H$19)*1,"")))</f>
        <v/>
      </c>
      <c r="AV151" t="str">
        <f>IF(OR(AV$23="",ISNA($B151)),"",IF(ISBLANK($B151),"",IFERROR(_xll.BDP(TICKER,"DEEP_MEASURE_PERIOD_BROKER_VALUE","DEEP_MEASURE_ID_OVERRIDE",$C151,"DEEP_BROKER_ID_OVERRIDE",AV$24,"DEEP_PERIOD_OVERRIDE",$H$19)*1,"")))</f>
        <v/>
      </c>
      <c r="AW151" t="str">
        <f>IF(OR(AW$23="",ISNA($B151)),"",IF(ISBLANK($B151),"",IFERROR(_xll.BDP(TICKER,"DEEP_MEASURE_PERIOD_BROKER_VALUE","DEEP_MEASURE_ID_OVERRIDE",$C151,"DEEP_BROKER_ID_OVERRIDE",AW$24,"DEEP_PERIOD_OVERRIDE",$H$19)*1,"")))</f>
        <v/>
      </c>
      <c r="AX151" t="str">
        <f>IF(OR(AX$23="",ISNA($B151)),"",IF(ISBLANK($B151),"",IFERROR(_xll.BDP(TICKER,"DEEP_MEASURE_PERIOD_BROKER_VALUE","DEEP_MEASURE_ID_OVERRIDE",$C151,"DEEP_BROKER_ID_OVERRIDE",AX$24,"DEEP_PERIOD_OVERRIDE",$H$19)*1,"")))</f>
        <v/>
      </c>
      <c r="AY151" t="str">
        <f>IF(OR(AY$23="",ISNA($B151)),"",IF(ISBLANK($B151),"",IFERROR(_xll.BDP(TICKER,"DEEP_MEASURE_PERIOD_BROKER_VALUE","DEEP_MEASURE_ID_OVERRIDE",$C151,"DEEP_BROKER_ID_OVERRIDE",AY$24,"DEEP_PERIOD_OVERRIDE",$H$19)*1,"")))</f>
        <v/>
      </c>
      <c r="AZ151" t="str">
        <f>IF(OR(AZ$23="",ISNA($B151)),"",IF(ISBLANK($B151),"",IFERROR(_xll.BDP(TICKER,"DEEP_MEASURE_PERIOD_BROKER_VALUE","DEEP_MEASURE_ID_OVERRIDE",$C151,"DEEP_BROKER_ID_OVERRIDE",AZ$24,"DEEP_PERIOD_OVERRIDE",$H$19)*1,"")))</f>
        <v/>
      </c>
      <c r="BA151" t="str">
        <f>IF(OR(BA$23="",ISNA($B151)),"",IF(ISBLANK($B151),"",IFERROR(_xll.BDP(TICKER,"DEEP_MEASURE_PERIOD_BROKER_VALUE","DEEP_MEASURE_ID_OVERRIDE",$C151,"DEEP_BROKER_ID_OVERRIDE",BA$24,"DEEP_PERIOD_OVERRIDE",$H$19)*1,"")))</f>
        <v/>
      </c>
      <c r="BB151" t="str">
        <f>IF(OR(BB$23="",ISNA($B151)),"",IF(ISBLANK($B151),"",IFERROR(_xll.BDP(TICKER,"DEEP_MEASURE_PERIOD_BROKER_VALUE","DEEP_MEASURE_ID_OVERRIDE",$C151,"DEEP_BROKER_ID_OVERRIDE",BB$24,"DEEP_PERIOD_OVERRIDE",$H$19)*1,"")))</f>
        <v/>
      </c>
      <c r="BC151" t="str">
        <f>IF(OR(BC$23="",ISNA($B151)),"",IF(ISBLANK($B151),"",IFERROR(_xll.BDP(TICKER,"DEEP_MEASURE_PERIOD_BROKER_VALUE","DEEP_MEASURE_ID_OVERRIDE",$C151,"DEEP_BROKER_ID_OVERRIDE",BC$24,"DEEP_PERIOD_OVERRIDE",$H$19)*1,"")))</f>
        <v/>
      </c>
      <c r="BD151" t="str">
        <f>IF(OR(BD$23="",ISNA($B151)),"",IF(ISBLANK($B151),"",IFERROR(_xll.BDP(TICKER,"DEEP_MEASURE_PERIOD_BROKER_VALUE","DEEP_MEASURE_ID_OVERRIDE",$C151,"DEEP_BROKER_ID_OVERRIDE",BD$24,"DEEP_PERIOD_OVERRIDE",$H$19)*1,"")))</f>
        <v/>
      </c>
      <c r="BE151" t="str">
        <f>IF(OR(BE$23="",ISNA($B151)),"",IF(ISBLANK($B151),"",IFERROR(_xll.BDP(TICKER,"DEEP_MEASURE_PERIOD_BROKER_VALUE","DEEP_MEASURE_ID_OVERRIDE",$C151,"DEEP_BROKER_ID_OVERRIDE",BE$24,"DEEP_PERIOD_OVERRIDE",$H$19)*1,"")))</f>
        <v/>
      </c>
      <c r="BF151" t="str">
        <f>IF(OR(BF$23="",ISNA($B151)),"",IF(ISBLANK($B151),"",IFERROR(_xll.BDP(TICKER,"DEEP_MEASURE_PERIOD_BROKER_VALUE","DEEP_MEASURE_ID_OVERRIDE",$C151,"DEEP_BROKER_ID_OVERRIDE",BF$24,"DEEP_PERIOD_OVERRIDE",$H$19)*1,"")))</f>
        <v/>
      </c>
      <c r="BG151" t="str">
        <f>IF(OR(BG$23="",ISNA($B151)),"",IF(ISBLANK($B151),"",IFERROR(_xll.BDP(TICKER,"DEEP_MEASURE_PERIOD_BROKER_VALUE","DEEP_MEASURE_ID_OVERRIDE",$C151,"DEEP_BROKER_ID_OVERRIDE",BG$24,"DEEP_PERIOD_OVERRIDE",$H$19)*1,"")))</f>
        <v/>
      </c>
      <c r="BH151" t="str">
        <f>IF(OR(BH$23="",ISNA($B151)),"",IF(ISBLANK($B151),"",IFERROR(_xll.BDP(TICKER,"DEEP_MEASURE_PERIOD_BROKER_VALUE","DEEP_MEASURE_ID_OVERRIDE",$C151,"DEEP_BROKER_ID_OVERRIDE",BH$24,"DEEP_PERIOD_OVERRIDE",$H$19)*1,"")))</f>
        <v/>
      </c>
      <c r="BI151" t="str">
        <f>IF(OR(BI$23="",ISNA($B151)),"",IF(ISBLANK($B151),"",IFERROR(_xll.BDP(TICKER,"DEEP_MEASURE_PERIOD_BROKER_VALUE","DEEP_MEASURE_ID_OVERRIDE",$C151,"DEEP_BROKER_ID_OVERRIDE",BI$24,"DEEP_PERIOD_OVERRIDE",$H$19)*1,"")))</f>
        <v/>
      </c>
      <c r="BJ151" t="str">
        <f>IF(OR(BJ$23="",ISNA($B151)),"",IF(ISBLANK($B151),"",IFERROR(_xll.BDP(TICKER,"DEEP_MEASURE_PERIOD_BROKER_VALUE","DEEP_MEASURE_ID_OVERRIDE",$C151,"DEEP_BROKER_ID_OVERRIDE",BJ$24,"DEEP_PERIOD_OVERRIDE",$H$19)*1,"")))</f>
        <v/>
      </c>
      <c r="BK151" t="str">
        <f>IF(OR(BK$23="",ISNA($B151)),"",IF(ISBLANK($B151),"",IFERROR(_xll.BDP(TICKER,"DEEP_MEASURE_PERIOD_BROKER_VALUE","DEEP_MEASURE_ID_OVERRIDE",$C151,"DEEP_BROKER_ID_OVERRIDE",BK$24,"DEEP_PERIOD_OVERRIDE",$H$19)*1,"")))</f>
        <v/>
      </c>
      <c r="BL151" t="str">
        <f>IF(OR(BL$23="",ISNA($B151)),"",IF(ISBLANK($B151),"",IFERROR(_xll.BDP(TICKER,"DEEP_MEASURE_PERIOD_BROKER_VALUE","DEEP_MEASURE_ID_OVERRIDE",$C151,"DEEP_BROKER_ID_OVERRIDE",BL$24,"DEEP_PERIOD_OVERRIDE",$H$19)*1,"")))</f>
        <v/>
      </c>
      <c r="BM151" t="str">
        <f>IF(OR(BM$23="",ISNA($B151)),"",IF(ISBLANK($B151),"",IFERROR(_xll.BDP(TICKER,"DEEP_MEASURE_PERIOD_BROKER_VALUE","DEEP_MEASURE_ID_OVERRIDE",$C151,"DEEP_BROKER_ID_OVERRIDE",BM$24,"DEEP_PERIOD_OVERRIDE",$H$19)*1,"")))</f>
        <v/>
      </c>
      <c r="BN151" t="str">
        <f>IF(OR(BN$23="",ISNA($B151)),"",IF(ISBLANK($B151),"",IFERROR(_xll.BDP(TICKER,"DEEP_MEASURE_PERIOD_BROKER_VALUE","DEEP_MEASURE_ID_OVERRIDE",$C151,"DEEP_BROKER_ID_OVERRIDE",BN$24,"DEEP_PERIOD_OVERRIDE",$H$19)*1,"")))</f>
        <v/>
      </c>
      <c r="BO151" t="str">
        <f>IF(OR(BO$23="",ISNA($B151)),"",IF(ISBLANK($B151),"",IFERROR(_xll.BDP(TICKER,"DEEP_MEASURE_PERIOD_BROKER_VALUE","DEEP_MEASURE_ID_OVERRIDE",$C151,"DEEP_BROKER_ID_OVERRIDE",BO$24,"DEEP_PERIOD_OVERRIDE",$H$19)*1,"")))</f>
        <v/>
      </c>
      <c r="BP151" t="str">
        <f>IF(OR(BP$23="",ISNA($B151)),"",IF(ISBLANK($B151),"",IFERROR(_xll.BDP(TICKER,"DEEP_MEASURE_PERIOD_BROKER_VALUE","DEEP_MEASURE_ID_OVERRIDE",$C151,"DEEP_BROKER_ID_OVERRIDE",BP$24,"DEEP_PERIOD_OVERRIDE",$H$19)*1,"")))</f>
        <v/>
      </c>
      <c r="BQ151" t="str">
        <f>IF(OR(BQ$23="",ISNA($B151)),"",IF(ISBLANK($B151),"",IFERROR(_xll.BDP(TICKER,"DEEP_MEASURE_PERIOD_BROKER_VALUE","DEEP_MEASURE_ID_OVERRIDE",$C151,"DEEP_BROKER_ID_OVERRIDE",BQ$24,"DEEP_PERIOD_OVERRIDE",$H$19)*1,"")))</f>
        <v/>
      </c>
      <c r="BR151" t="str">
        <f>IF(OR(BR$23="",ISNA($B151)),"",IF(ISBLANK($B151),"",IFERROR(_xll.BDP(TICKER,"DEEP_MEASURE_PERIOD_BROKER_VALUE","DEEP_MEASURE_ID_OVERRIDE",$C151,"DEEP_BROKER_ID_OVERRIDE",BR$24,"DEEP_PERIOD_OVERRIDE",$H$19)*1,"")))</f>
        <v/>
      </c>
      <c r="BS151" t="str">
        <f>IF(OR(BS$23="",ISNA($B151)),"",IF(ISBLANK($B151),"",IFERROR(_xll.BDP(TICKER,"DEEP_MEASURE_PERIOD_BROKER_VALUE","DEEP_MEASURE_ID_OVERRIDE",$C151,"DEEP_BROKER_ID_OVERRIDE",BS$24,"DEEP_PERIOD_OVERRIDE",$H$19)*1,"")))</f>
        <v/>
      </c>
      <c r="BT151" t="str">
        <f>IF(OR(BT$23="",ISNA($B151)),"",IF(ISBLANK($B151),"",IFERROR(_xll.BDP(TICKER,"DEEP_MEASURE_PERIOD_BROKER_VALUE","DEEP_MEASURE_ID_OVERRIDE",$C151,"DEEP_BROKER_ID_OVERRIDE",BT$24,"DEEP_PERIOD_OVERRIDE",$H$19)*1,"")))</f>
        <v/>
      </c>
      <c r="BU151" t="str">
        <f>IF(OR(BU$23="",ISNA($B151)),"",IF(ISBLANK($B151),"",IFERROR(_xll.BDP(TICKER,"DEEP_MEASURE_PERIOD_BROKER_VALUE","DEEP_MEASURE_ID_OVERRIDE",$C151,"DEEP_BROKER_ID_OVERRIDE",BU$24,"DEEP_PERIOD_OVERRIDE",$H$19)*1,"")))</f>
        <v/>
      </c>
      <c r="BV151" t="str">
        <f>IF(OR(BV$23="",ISNA($B151)),"",IF(ISBLANK($B151),"",IFERROR(_xll.BDP(TICKER,"DEEP_MEASURE_PERIOD_BROKER_VALUE","DEEP_MEASURE_ID_OVERRIDE",$C151,"DEEP_BROKER_ID_OVERRIDE",BV$24,"DEEP_PERIOD_OVERRIDE",$H$19)*1,"")))</f>
        <v/>
      </c>
      <c r="BW151" t="str">
        <f>IF(OR(BW$23="",ISNA($B151)),"",IF(ISBLANK($B151),"",IFERROR(_xll.BDP(TICKER,"DEEP_MEASURE_PERIOD_BROKER_VALUE","DEEP_MEASURE_ID_OVERRIDE",$C151,"DEEP_BROKER_ID_OVERRIDE",BW$24,"DEEP_PERIOD_OVERRIDE",$H$19)*1,"")))</f>
        <v/>
      </c>
      <c r="BX151" t="str">
        <f>IF(OR(BX$23="",ISNA($B151)),"",IF(ISBLANK($B151),"",IFERROR(_xll.BDP(TICKER,"DEEP_MEASURE_PERIOD_BROKER_VALUE","DEEP_MEASURE_ID_OVERRIDE",$C151,"DEEP_BROKER_ID_OVERRIDE",BX$24,"DEEP_PERIOD_OVERRIDE",$H$19)*1,"")))</f>
        <v/>
      </c>
      <c r="BY151" t="str">
        <f>IF(OR(BY$23="",ISNA($B151)),"",IF(ISBLANK($B151),"",IFERROR(_xll.BDP(TICKER,"DEEP_MEASURE_PERIOD_BROKER_VALUE","DEEP_MEASURE_ID_OVERRIDE",$C151,"DEEP_BROKER_ID_OVERRIDE",BY$24,"DEEP_PERIOD_OVERRIDE",$H$19)*1,"")))</f>
        <v/>
      </c>
      <c r="BZ151" t="str">
        <f>IF(OR(BZ$23="",ISNA($B151)),"",IF(ISBLANK($B151),"",IFERROR(_xll.BDP(TICKER,"DEEP_MEASURE_PERIOD_BROKER_VALUE","DEEP_MEASURE_ID_OVERRIDE",$C151,"DEEP_BROKER_ID_OVERRIDE",BZ$24,"DEEP_PERIOD_OVERRIDE",$H$19)*1,"")))</f>
        <v/>
      </c>
    </row>
    <row r="152" spans="2:78" x14ac:dyDescent="0.25">
      <c r="B152" t="s">
        <v>181</v>
      </c>
      <c r="C152">
        <v>8448</v>
      </c>
      <c r="H152" t="str">
        <f t="shared" si="2"/>
        <v>Non-GAAP Metrics &gt; EBITDA &gt; YoY Growth (%)</v>
      </c>
      <c r="I152" t="str">
        <f>IF(OR(I$23="",ISNA($B152)),"",IF(ISBLANK($B152),"",IFERROR(_xll.BDP(TICKER,"DEEP_MEASURE_PERIOD_BROKER_VALUE","DEEP_MEASURE_ID_OVERRIDE",$C152,"DEEP_PERIOD_OVERRIDE",$H$19)*1,"")))</f>
        <v/>
      </c>
      <c r="J152" t="e">
        <f>IF(OR(J$23="",ISNA($B152)),"",IF(ISBLANK($B152),"",IFERROR(_xll.BDP(TICKER,"DEEP_MEASURE_PERIOD_BROKER_VALUE","DEEP_MEASURE_ID_OVERRIDE",$C152,"DEEP_BROKER_ID_OVERRIDE",J$24,"DEEP_PERIOD_OVERRIDE",$H$19)*1,"")))</f>
        <v>#REF!</v>
      </c>
      <c r="K152" t="str">
        <f>IF(OR(K$23="",ISNA($B152)),"",IF(ISBLANK($B152),"",IFERROR(_xll.BDP(TICKER,"DEEP_MEASURE_PERIOD_BROKER_VALUE","DEEP_MEASURE_ID_OVERRIDE",$C152,"DEEP_BROKER_ID_OVERRIDE",K$24,"DEEP_PERIOD_OVERRIDE",$H$19)*1,"")))</f>
        <v/>
      </c>
      <c r="L152" t="str">
        <f>IF(OR(L$23="",ISNA($B152)),"",IF(ISBLANK($B152),"",IFERROR(_xll.BDP(TICKER,"DEEP_MEASURE_PERIOD_BROKER_VALUE","DEEP_MEASURE_ID_OVERRIDE",$C152,"DEEP_BROKER_ID_OVERRIDE",L$24,"DEEP_PERIOD_OVERRIDE",$H$19)*1,"")))</f>
        <v/>
      </c>
      <c r="M152" t="str">
        <f>IF(OR(M$23="",ISNA($B152)),"",IF(ISBLANK($B152),"",IFERROR(_xll.BDP(TICKER,"DEEP_MEASURE_PERIOD_BROKER_VALUE","DEEP_MEASURE_ID_OVERRIDE",$C152,"DEEP_BROKER_ID_OVERRIDE",M$24,"DEEP_PERIOD_OVERRIDE",$H$19)*1,"")))</f>
        <v/>
      </c>
      <c r="N152" t="str">
        <f>IF(OR(N$23="",ISNA($B152)),"",IF(ISBLANK($B152),"",IFERROR(_xll.BDP(TICKER,"DEEP_MEASURE_PERIOD_BROKER_VALUE","DEEP_MEASURE_ID_OVERRIDE",$C152,"DEEP_BROKER_ID_OVERRIDE",N$24,"DEEP_PERIOD_OVERRIDE",$H$19)*1,"")))</f>
        <v/>
      </c>
      <c r="O152" t="str">
        <f>IF(OR(O$23="",ISNA($B152)),"",IF(ISBLANK($B152),"",IFERROR(_xll.BDP(TICKER,"DEEP_MEASURE_PERIOD_BROKER_VALUE","DEEP_MEASURE_ID_OVERRIDE",$C152,"DEEP_BROKER_ID_OVERRIDE",O$24,"DEEP_PERIOD_OVERRIDE",$H$19)*1,"")))</f>
        <v/>
      </c>
      <c r="P152" t="str">
        <f>IF(OR(P$23="",ISNA($B152)),"",IF(ISBLANK($B152),"",IFERROR(_xll.BDP(TICKER,"DEEP_MEASURE_PERIOD_BROKER_VALUE","DEEP_MEASURE_ID_OVERRIDE",$C152,"DEEP_BROKER_ID_OVERRIDE",P$24,"DEEP_PERIOD_OVERRIDE",$H$19)*1,"")))</f>
        <v/>
      </c>
      <c r="Q152" t="str">
        <f>IF(OR(Q$23="",ISNA($B152)),"",IF(ISBLANK($B152),"",IFERROR(_xll.BDP(TICKER,"DEEP_MEASURE_PERIOD_BROKER_VALUE","DEEP_MEASURE_ID_OVERRIDE",$C152,"DEEP_BROKER_ID_OVERRIDE",Q$24,"DEEP_PERIOD_OVERRIDE",$H$19)*1,"")))</f>
        <v/>
      </c>
      <c r="R152" t="str">
        <f>IF(OR(R$23="",ISNA($B152)),"",IF(ISBLANK($B152),"",IFERROR(_xll.BDP(TICKER,"DEEP_MEASURE_PERIOD_BROKER_VALUE","DEEP_MEASURE_ID_OVERRIDE",$C152,"DEEP_BROKER_ID_OVERRIDE",R$24,"DEEP_PERIOD_OVERRIDE",$H$19)*1,"")))</f>
        <v/>
      </c>
      <c r="S152" t="str">
        <f>IF(OR(S$23="",ISNA($B152)),"",IF(ISBLANK($B152),"",IFERROR(_xll.BDP(TICKER,"DEEP_MEASURE_PERIOD_BROKER_VALUE","DEEP_MEASURE_ID_OVERRIDE",$C152,"DEEP_BROKER_ID_OVERRIDE",S$24,"DEEP_PERIOD_OVERRIDE",$H$19)*1,"")))</f>
        <v/>
      </c>
      <c r="T152" t="str">
        <f>IF(OR(T$23="",ISNA($B152)),"",IF(ISBLANK($B152),"",IFERROR(_xll.BDP(TICKER,"DEEP_MEASURE_PERIOD_BROKER_VALUE","DEEP_MEASURE_ID_OVERRIDE",$C152,"DEEP_BROKER_ID_OVERRIDE",T$24,"DEEP_PERIOD_OVERRIDE",$H$19)*1,"")))</f>
        <v/>
      </c>
      <c r="U152" t="str">
        <f>IF(OR(U$23="",ISNA($B152)),"",IF(ISBLANK($B152),"",IFERROR(_xll.BDP(TICKER,"DEEP_MEASURE_PERIOD_BROKER_VALUE","DEEP_MEASURE_ID_OVERRIDE",$C152,"DEEP_BROKER_ID_OVERRIDE",U$24,"DEEP_PERIOD_OVERRIDE",$H$19)*1,"")))</f>
        <v/>
      </c>
      <c r="V152" t="str">
        <f>IF(OR(V$23="",ISNA($B152)),"",IF(ISBLANK($B152),"",IFERROR(_xll.BDP(TICKER,"DEEP_MEASURE_PERIOD_BROKER_VALUE","DEEP_MEASURE_ID_OVERRIDE",$C152,"DEEP_BROKER_ID_OVERRIDE",V$24,"DEEP_PERIOD_OVERRIDE",$H$19)*1,"")))</f>
        <v/>
      </c>
      <c r="W152" t="str">
        <f>IF(OR(W$23="",ISNA($B152)),"",IF(ISBLANK($B152),"",IFERROR(_xll.BDP(TICKER,"DEEP_MEASURE_PERIOD_BROKER_VALUE","DEEP_MEASURE_ID_OVERRIDE",$C152,"DEEP_BROKER_ID_OVERRIDE",W$24,"DEEP_PERIOD_OVERRIDE",$H$19)*1,"")))</f>
        <v/>
      </c>
      <c r="X152" t="str">
        <f>IF(OR(X$23="",ISNA($B152)),"",IF(ISBLANK($B152),"",IFERROR(_xll.BDP(TICKER,"DEEP_MEASURE_PERIOD_BROKER_VALUE","DEEP_MEASURE_ID_OVERRIDE",$C152,"DEEP_BROKER_ID_OVERRIDE",X$24,"DEEP_PERIOD_OVERRIDE",$H$19)*1,"")))</f>
        <v/>
      </c>
      <c r="Y152" t="str">
        <f>IF(OR(Y$23="",ISNA($B152)),"",IF(ISBLANK($B152),"",IFERROR(_xll.BDP(TICKER,"DEEP_MEASURE_PERIOD_BROKER_VALUE","DEEP_MEASURE_ID_OVERRIDE",$C152,"DEEP_BROKER_ID_OVERRIDE",Y$24,"DEEP_PERIOD_OVERRIDE",$H$19)*1,"")))</f>
        <v/>
      </c>
      <c r="Z152" t="str">
        <f>IF(OR(Z$23="",ISNA($B152)),"",IF(ISBLANK($B152),"",IFERROR(_xll.BDP(TICKER,"DEEP_MEASURE_PERIOD_BROKER_VALUE","DEEP_MEASURE_ID_OVERRIDE",$C152,"DEEP_BROKER_ID_OVERRIDE",Z$24,"DEEP_PERIOD_OVERRIDE",$H$19)*1,"")))</f>
        <v/>
      </c>
      <c r="AA152" t="str">
        <f>IF(OR(AA$23="",ISNA($B152)),"",IF(ISBLANK($B152),"",IFERROR(_xll.BDP(TICKER,"DEEP_MEASURE_PERIOD_BROKER_VALUE","DEEP_MEASURE_ID_OVERRIDE",$C152,"DEEP_BROKER_ID_OVERRIDE",AA$24,"DEEP_PERIOD_OVERRIDE",$H$19)*1,"")))</f>
        <v/>
      </c>
      <c r="AB152" t="str">
        <f>IF(OR(AB$23="",ISNA($B152)),"",IF(ISBLANK($B152),"",IFERROR(_xll.BDP(TICKER,"DEEP_MEASURE_PERIOD_BROKER_VALUE","DEEP_MEASURE_ID_OVERRIDE",$C152,"DEEP_BROKER_ID_OVERRIDE",AB$24,"DEEP_PERIOD_OVERRIDE",$H$19)*1,"")))</f>
        <v/>
      </c>
      <c r="AC152" t="str">
        <f>IF(OR(AC$23="",ISNA($B152)),"",IF(ISBLANK($B152),"",IFERROR(_xll.BDP(TICKER,"DEEP_MEASURE_PERIOD_BROKER_VALUE","DEEP_MEASURE_ID_OVERRIDE",$C152,"DEEP_BROKER_ID_OVERRIDE",AC$24,"DEEP_PERIOD_OVERRIDE",$H$19)*1,"")))</f>
        <v/>
      </c>
      <c r="AD152" t="str">
        <f>IF(OR(AD$23="",ISNA($B152)),"",IF(ISBLANK($B152),"",IFERROR(_xll.BDP(TICKER,"DEEP_MEASURE_PERIOD_BROKER_VALUE","DEEP_MEASURE_ID_OVERRIDE",$C152,"DEEP_BROKER_ID_OVERRIDE",AD$24,"DEEP_PERIOD_OVERRIDE",$H$19)*1,"")))</f>
        <v/>
      </c>
      <c r="AE152" t="str">
        <f>IF(OR(AE$23="",ISNA($B152)),"",IF(ISBLANK($B152),"",IFERROR(_xll.BDP(TICKER,"DEEP_MEASURE_PERIOD_BROKER_VALUE","DEEP_MEASURE_ID_OVERRIDE",$C152,"DEEP_BROKER_ID_OVERRIDE",AE$24,"DEEP_PERIOD_OVERRIDE",$H$19)*1,"")))</f>
        <v/>
      </c>
      <c r="AF152" t="str">
        <f>IF(OR(AF$23="",ISNA($B152)),"",IF(ISBLANK($B152),"",IFERROR(_xll.BDP(TICKER,"DEEP_MEASURE_PERIOD_BROKER_VALUE","DEEP_MEASURE_ID_OVERRIDE",$C152,"DEEP_BROKER_ID_OVERRIDE",AF$24,"DEEP_PERIOD_OVERRIDE",$H$19)*1,"")))</f>
        <v/>
      </c>
      <c r="AG152" t="str">
        <f>IF(OR(AG$23="",ISNA($B152)),"",IF(ISBLANK($B152),"",IFERROR(_xll.BDP(TICKER,"DEEP_MEASURE_PERIOD_BROKER_VALUE","DEEP_MEASURE_ID_OVERRIDE",$C152,"DEEP_BROKER_ID_OVERRIDE",AG$24,"DEEP_PERIOD_OVERRIDE",$H$19)*1,"")))</f>
        <v/>
      </c>
      <c r="AH152" t="str">
        <f>IF(OR(AH$23="",ISNA($B152)),"",IF(ISBLANK($B152),"",IFERROR(_xll.BDP(TICKER,"DEEP_MEASURE_PERIOD_BROKER_VALUE","DEEP_MEASURE_ID_OVERRIDE",$C152,"DEEP_BROKER_ID_OVERRIDE",AH$24,"DEEP_PERIOD_OVERRIDE",$H$19)*1,"")))</f>
        <v/>
      </c>
      <c r="AI152" t="str">
        <f>IF(OR(AI$23="",ISNA($B152)),"",IF(ISBLANK($B152),"",IFERROR(_xll.BDP(TICKER,"DEEP_MEASURE_PERIOD_BROKER_VALUE","DEEP_MEASURE_ID_OVERRIDE",$C152,"DEEP_BROKER_ID_OVERRIDE",AI$24,"DEEP_PERIOD_OVERRIDE",$H$19)*1,"")))</f>
        <v/>
      </c>
      <c r="AJ152" t="str">
        <f>IF(OR(AJ$23="",ISNA($B152)),"",IF(ISBLANK($B152),"",IFERROR(_xll.BDP(TICKER,"DEEP_MEASURE_PERIOD_BROKER_VALUE","DEEP_MEASURE_ID_OVERRIDE",$C152,"DEEP_BROKER_ID_OVERRIDE",AJ$24,"DEEP_PERIOD_OVERRIDE",$H$19)*1,"")))</f>
        <v/>
      </c>
      <c r="AK152" t="str">
        <f>IF(OR(AK$23="",ISNA($B152)),"",IF(ISBLANK($B152),"",IFERROR(_xll.BDP(TICKER,"DEEP_MEASURE_PERIOD_BROKER_VALUE","DEEP_MEASURE_ID_OVERRIDE",$C152,"DEEP_BROKER_ID_OVERRIDE",AK$24,"DEEP_PERIOD_OVERRIDE",$H$19)*1,"")))</f>
        <v/>
      </c>
      <c r="AL152" t="str">
        <f>IF(OR(AL$23="",ISNA($B152)),"",IF(ISBLANK($B152),"",IFERROR(_xll.BDP(TICKER,"DEEP_MEASURE_PERIOD_BROKER_VALUE","DEEP_MEASURE_ID_OVERRIDE",$C152,"DEEP_BROKER_ID_OVERRIDE",AL$24,"DEEP_PERIOD_OVERRIDE",$H$19)*1,"")))</f>
        <v/>
      </c>
      <c r="AM152" t="str">
        <f>IF(OR(AM$23="",ISNA($B152)),"",IF(ISBLANK($B152),"",IFERROR(_xll.BDP(TICKER,"DEEP_MEASURE_PERIOD_BROKER_VALUE","DEEP_MEASURE_ID_OVERRIDE",$C152,"DEEP_BROKER_ID_OVERRIDE",AM$24,"DEEP_PERIOD_OVERRIDE",$H$19)*1,"")))</f>
        <v/>
      </c>
      <c r="AN152" t="str">
        <f>IF(OR(AN$23="",ISNA($B152)),"",IF(ISBLANK($B152),"",IFERROR(_xll.BDP(TICKER,"DEEP_MEASURE_PERIOD_BROKER_VALUE","DEEP_MEASURE_ID_OVERRIDE",$C152,"DEEP_BROKER_ID_OVERRIDE",AN$24,"DEEP_PERIOD_OVERRIDE",$H$19)*1,"")))</f>
        <v/>
      </c>
      <c r="AO152" t="str">
        <f>IF(OR(AO$23="",ISNA($B152)),"",IF(ISBLANK($B152),"",IFERROR(_xll.BDP(TICKER,"DEEP_MEASURE_PERIOD_BROKER_VALUE","DEEP_MEASURE_ID_OVERRIDE",$C152,"DEEP_BROKER_ID_OVERRIDE",AO$24,"DEEP_PERIOD_OVERRIDE",$H$19)*1,"")))</f>
        <v/>
      </c>
      <c r="AP152" t="str">
        <f>IF(OR(AP$23="",ISNA($B152)),"",IF(ISBLANK($B152),"",IFERROR(_xll.BDP(TICKER,"DEEP_MEASURE_PERIOD_BROKER_VALUE","DEEP_MEASURE_ID_OVERRIDE",$C152,"DEEP_BROKER_ID_OVERRIDE",AP$24,"DEEP_PERIOD_OVERRIDE",$H$19)*1,"")))</f>
        <v/>
      </c>
      <c r="AQ152" t="str">
        <f>IF(OR(AQ$23="",ISNA($B152)),"",IF(ISBLANK($B152),"",IFERROR(_xll.BDP(TICKER,"DEEP_MEASURE_PERIOD_BROKER_VALUE","DEEP_MEASURE_ID_OVERRIDE",$C152,"DEEP_BROKER_ID_OVERRIDE",AQ$24,"DEEP_PERIOD_OVERRIDE",$H$19)*1,"")))</f>
        <v/>
      </c>
      <c r="AR152" t="str">
        <f>IF(OR(AR$23="",ISNA($B152)),"",IF(ISBLANK($B152),"",IFERROR(_xll.BDP(TICKER,"DEEP_MEASURE_PERIOD_BROKER_VALUE","DEEP_MEASURE_ID_OVERRIDE",$C152,"DEEP_BROKER_ID_OVERRIDE",AR$24,"DEEP_PERIOD_OVERRIDE",$H$19)*1,"")))</f>
        <v/>
      </c>
      <c r="AS152" t="str">
        <f>IF(OR(AS$23="",ISNA($B152)),"",IF(ISBLANK($B152),"",IFERROR(_xll.BDP(TICKER,"DEEP_MEASURE_PERIOD_BROKER_VALUE","DEEP_MEASURE_ID_OVERRIDE",$C152,"DEEP_BROKER_ID_OVERRIDE",AS$24,"DEEP_PERIOD_OVERRIDE",$H$19)*1,"")))</f>
        <v/>
      </c>
      <c r="AT152" t="str">
        <f>IF(OR(AT$23="",ISNA($B152)),"",IF(ISBLANK($B152),"",IFERROR(_xll.BDP(TICKER,"DEEP_MEASURE_PERIOD_BROKER_VALUE","DEEP_MEASURE_ID_OVERRIDE",$C152,"DEEP_BROKER_ID_OVERRIDE",AT$24,"DEEP_PERIOD_OVERRIDE",$H$19)*1,"")))</f>
        <v/>
      </c>
      <c r="AU152" t="str">
        <f>IF(OR(AU$23="",ISNA($B152)),"",IF(ISBLANK($B152),"",IFERROR(_xll.BDP(TICKER,"DEEP_MEASURE_PERIOD_BROKER_VALUE","DEEP_MEASURE_ID_OVERRIDE",$C152,"DEEP_BROKER_ID_OVERRIDE",AU$24,"DEEP_PERIOD_OVERRIDE",$H$19)*1,"")))</f>
        <v/>
      </c>
      <c r="AV152" t="str">
        <f>IF(OR(AV$23="",ISNA($B152)),"",IF(ISBLANK($B152),"",IFERROR(_xll.BDP(TICKER,"DEEP_MEASURE_PERIOD_BROKER_VALUE","DEEP_MEASURE_ID_OVERRIDE",$C152,"DEEP_BROKER_ID_OVERRIDE",AV$24,"DEEP_PERIOD_OVERRIDE",$H$19)*1,"")))</f>
        <v/>
      </c>
      <c r="AW152" t="str">
        <f>IF(OR(AW$23="",ISNA($B152)),"",IF(ISBLANK($B152),"",IFERROR(_xll.BDP(TICKER,"DEEP_MEASURE_PERIOD_BROKER_VALUE","DEEP_MEASURE_ID_OVERRIDE",$C152,"DEEP_BROKER_ID_OVERRIDE",AW$24,"DEEP_PERIOD_OVERRIDE",$H$19)*1,"")))</f>
        <v/>
      </c>
      <c r="AX152" t="str">
        <f>IF(OR(AX$23="",ISNA($B152)),"",IF(ISBLANK($B152),"",IFERROR(_xll.BDP(TICKER,"DEEP_MEASURE_PERIOD_BROKER_VALUE","DEEP_MEASURE_ID_OVERRIDE",$C152,"DEEP_BROKER_ID_OVERRIDE",AX$24,"DEEP_PERIOD_OVERRIDE",$H$19)*1,"")))</f>
        <v/>
      </c>
      <c r="AY152" t="str">
        <f>IF(OR(AY$23="",ISNA($B152)),"",IF(ISBLANK($B152),"",IFERROR(_xll.BDP(TICKER,"DEEP_MEASURE_PERIOD_BROKER_VALUE","DEEP_MEASURE_ID_OVERRIDE",$C152,"DEEP_BROKER_ID_OVERRIDE",AY$24,"DEEP_PERIOD_OVERRIDE",$H$19)*1,"")))</f>
        <v/>
      </c>
      <c r="AZ152" t="str">
        <f>IF(OR(AZ$23="",ISNA($B152)),"",IF(ISBLANK($B152),"",IFERROR(_xll.BDP(TICKER,"DEEP_MEASURE_PERIOD_BROKER_VALUE","DEEP_MEASURE_ID_OVERRIDE",$C152,"DEEP_BROKER_ID_OVERRIDE",AZ$24,"DEEP_PERIOD_OVERRIDE",$H$19)*1,"")))</f>
        <v/>
      </c>
      <c r="BA152" t="str">
        <f>IF(OR(BA$23="",ISNA($B152)),"",IF(ISBLANK($B152),"",IFERROR(_xll.BDP(TICKER,"DEEP_MEASURE_PERIOD_BROKER_VALUE","DEEP_MEASURE_ID_OVERRIDE",$C152,"DEEP_BROKER_ID_OVERRIDE",BA$24,"DEEP_PERIOD_OVERRIDE",$H$19)*1,"")))</f>
        <v/>
      </c>
      <c r="BB152" t="str">
        <f>IF(OR(BB$23="",ISNA($B152)),"",IF(ISBLANK($B152),"",IFERROR(_xll.BDP(TICKER,"DEEP_MEASURE_PERIOD_BROKER_VALUE","DEEP_MEASURE_ID_OVERRIDE",$C152,"DEEP_BROKER_ID_OVERRIDE",BB$24,"DEEP_PERIOD_OVERRIDE",$H$19)*1,"")))</f>
        <v/>
      </c>
      <c r="BC152" t="str">
        <f>IF(OR(BC$23="",ISNA($B152)),"",IF(ISBLANK($B152),"",IFERROR(_xll.BDP(TICKER,"DEEP_MEASURE_PERIOD_BROKER_VALUE","DEEP_MEASURE_ID_OVERRIDE",$C152,"DEEP_BROKER_ID_OVERRIDE",BC$24,"DEEP_PERIOD_OVERRIDE",$H$19)*1,"")))</f>
        <v/>
      </c>
      <c r="BD152" t="str">
        <f>IF(OR(BD$23="",ISNA($B152)),"",IF(ISBLANK($B152),"",IFERROR(_xll.BDP(TICKER,"DEEP_MEASURE_PERIOD_BROKER_VALUE","DEEP_MEASURE_ID_OVERRIDE",$C152,"DEEP_BROKER_ID_OVERRIDE",BD$24,"DEEP_PERIOD_OVERRIDE",$H$19)*1,"")))</f>
        <v/>
      </c>
      <c r="BE152" t="str">
        <f>IF(OR(BE$23="",ISNA($B152)),"",IF(ISBLANK($B152),"",IFERROR(_xll.BDP(TICKER,"DEEP_MEASURE_PERIOD_BROKER_VALUE","DEEP_MEASURE_ID_OVERRIDE",$C152,"DEEP_BROKER_ID_OVERRIDE",BE$24,"DEEP_PERIOD_OVERRIDE",$H$19)*1,"")))</f>
        <v/>
      </c>
      <c r="BF152" t="str">
        <f>IF(OR(BF$23="",ISNA($B152)),"",IF(ISBLANK($B152),"",IFERROR(_xll.BDP(TICKER,"DEEP_MEASURE_PERIOD_BROKER_VALUE","DEEP_MEASURE_ID_OVERRIDE",$C152,"DEEP_BROKER_ID_OVERRIDE",BF$24,"DEEP_PERIOD_OVERRIDE",$H$19)*1,"")))</f>
        <v/>
      </c>
      <c r="BG152" t="str">
        <f>IF(OR(BG$23="",ISNA($B152)),"",IF(ISBLANK($B152),"",IFERROR(_xll.BDP(TICKER,"DEEP_MEASURE_PERIOD_BROKER_VALUE","DEEP_MEASURE_ID_OVERRIDE",$C152,"DEEP_BROKER_ID_OVERRIDE",BG$24,"DEEP_PERIOD_OVERRIDE",$H$19)*1,"")))</f>
        <v/>
      </c>
      <c r="BH152" t="str">
        <f>IF(OR(BH$23="",ISNA($B152)),"",IF(ISBLANK($B152),"",IFERROR(_xll.BDP(TICKER,"DEEP_MEASURE_PERIOD_BROKER_VALUE","DEEP_MEASURE_ID_OVERRIDE",$C152,"DEEP_BROKER_ID_OVERRIDE",BH$24,"DEEP_PERIOD_OVERRIDE",$H$19)*1,"")))</f>
        <v/>
      </c>
      <c r="BI152" t="str">
        <f>IF(OR(BI$23="",ISNA($B152)),"",IF(ISBLANK($B152),"",IFERROR(_xll.BDP(TICKER,"DEEP_MEASURE_PERIOD_BROKER_VALUE","DEEP_MEASURE_ID_OVERRIDE",$C152,"DEEP_BROKER_ID_OVERRIDE",BI$24,"DEEP_PERIOD_OVERRIDE",$H$19)*1,"")))</f>
        <v/>
      </c>
      <c r="BJ152" t="str">
        <f>IF(OR(BJ$23="",ISNA($B152)),"",IF(ISBLANK($B152),"",IFERROR(_xll.BDP(TICKER,"DEEP_MEASURE_PERIOD_BROKER_VALUE","DEEP_MEASURE_ID_OVERRIDE",$C152,"DEEP_BROKER_ID_OVERRIDE",BJ$24,"DEEP_PERIOD_OVERRIDE",$H$19)*1,"")))</f>
        <v/>
      </c>
      <c r="BK152" t="str">
        <f>IF(OR(BK$23="",ISNA($B152)),"",IF(ISBLANK($B152),"",IFERROR(_xll.BDP(TICKER,"DEEP_MEASURE_PERIOD_BROKER_VALUE","DEEP_MEASURE_ID_OVERRIDE",$C152,"DEEP_BROKER_ID_OVERRIDE",BK$24,"DEEP_PERIOD_OVERRIDE",$H$19)*1,"")))</f>
        <v/>
      </c>
      <c r="BL152" t="str">
        <f>IF(OR(BL$23="",ISNA($B152)),"",IF(ISBLANK($B152),"",IFERROR(_xll.BDP(TICKER,"DEEP_MEASURE_PERIOD_BROKER_VALUE","DEEP_MEASURE_ID_OVERRIDE",$C152,"DEEP_BROKER_ID_OVERRIDE",BL$24,"DEEP_PERIOD_OVERRIDE",$H$19)*1,"")))</f>
        <v/>
      </c>
      <c r="BM152" t="str">
        <f>IF(OR(BM$23="",ISNA($B152)),"",IF(ISBLANK($B152),"",IFERROR(_xll.BDP(TICKER,"DEEP_MEASURE_PERIOD_BROKER_VALUE","DEEP_MEASURE_ID_OVERRIDE",$C152,"DEEP_BROKER_ID_OVERRIDE",BM$24,"DEEP_PERIOD_OVERRIDE",$H$19)*1,"")))</f>
        <v/>
      </c>
      <c r="BN152" t="str">
        <f>IF(OR(BN$23="",ISNA($B152)),"",IF(ISBLANK($B152),"",IFERROR(_xll.BDP(TICKER,"DEEP_MEASURE_PERIOD_BROKER_VALUE","DEEP_MEASURE_ID_OVERRIDE",$C152,"DEEP_BROKER_ID_OVERRIDE",BN$24,"DEEP_PERIOD_OVERRIDE",$H$19)*1,"")))</f>
        <v/>
      </c>
      <c r="BO152" t="str">
        <f>IF(OR(BO$23="",ISNA($B152)),"",IF(ISBLANK($B152),"",IFERROR(_xll.BDP(TICKER,"DEEP_MEASURE_PERIOD_BROKER_VALUE","DEEP_MEASURE_ID_OVERRIDE",$C152,"DEEP_BROKER_ID_OVERRIDE",BO$24,"DEEP_PERIOD_OVERRIDE",$H$19)*1,"")))</f>
        <v/>
      </c>
      <c r="BP152" t="str">
        <f>IF(OR(BP$23="",ISNA($B152)),"",IF(ISBLANK($B152),"",IFERROR(_xll.BDP(TICKER,"DEEP_MEASURE_PERIOD_BROKER_VALUE","DEEP_MEASURE_ID_OVERRIDE",$C152,"DEEP_BROKER_ID_OVERRIDE",BP$24,"DEEP_PERIOD_OVERRIDE",$H$19)*1,"")))</f>
        <v/>
      </c>
      <c r="BQ152" t="str">
        <f>IF(OR(BQ$23="",ISNA($B152)),"",IF(ISBLANK($B152),"",IFERROR(_xll.BDP(TICKER,"DEEP_MEASURE_PERIOD_BROKER_VALUE","DEEP_MEASURE_ID_OVERRIDE",$C152,"DEEP_BROKER_ID_OVERRIDE",BQ$24,"DEEP_PERIOD_OVERRIDE",$H$19)*1,"")))</f>
        <v/>
      </c>
      <c r="BR152" t="str">
        <f>IF(OR(BR$23="",ISNA($B152)),"",IF(ISBLANK($B152),"",IFERROR(_xll.BDP(TICKER,"DEEP_MEASURE_PERIOD_BROKER_VALUE","DEEP_MEASURE_ID_OVERRIDE",$C152,"DEEP_BROKER_ID_OVERRIDE",BR$24,"DEEP_PERIOD_OVERRIDE",$H$19)*1,"")))</f>
        <v/>
      </c>
      <c r="BS152" t="str">
        <f>IF(OR(BS$23="",ISNA($B152)),"",IF(ISBLANK($B152),"",IFERROR(_xll.BDP(TICKER,"DEEP_MEASURE_PERIOD_BROKER_VALUE","DEEP_MEASURE_ID_OVERRIDE",$C152,"DEEP_BROKER_ID_OVERRIDE",BS$24,"DEEP_PERIOD_OVERRIDE",$H$19)*1,"")))</f>
        <v/>
      </c>
      <c r="BT152" t="str">
        <f>IF(OR(BT$23="",ISNA($B152)),"",IF(ISBLANK($B152),"",IFERROR(_xll.BDP(TICKER,"DEEP_MEASURE_PERIOD_BROKER_VALUE","DEEP_MEASURE_ID_OVERRIDE",$C152,"DEEP_BROKER_ID_OVERRIDE",BT$24,"DEEP_PERIOD_OVERRIDE",$H$19)*1,"")))</f>
        <v/>
      </c>
      <c r="BU152" t="str">
        <f>IF(OR(BU$23="",ISNA($B152)),"",IF(ISBLANK($B152),"",IFERROR(_xll.BDP(TICKER,"DEEP_MEASURE_PERIOD_BROKER_VALUE","DEEP_MEASURE_ID_OVERRIDE",$C152,"DEEP_BROKER_ID_OVERRIDE",BU$24,"DEEP_PERIOD_OVERRIDE",$H$19)*1,"")))</f>
        <v/>
      </c>
      <c r="BV152" t="str">
        <f>IF(OR(BV$23="",ISNA($B152)),"",IF(ISBLANK($B152),"",IFERROR(_xll.BDP(TICKER,"DEEP_MEASURE_PERIOD_BROKER_VALUE","DEEP_MEASURE_ID_OVERRIDE",$C152,"DEEP_BROKER_ID_OVERRIDE",BV$24,"DEEP_PERIOD_OVERRIDE",$H$19)*1,"")))</f>
        <v/>
      </c>
      <c r="BW152" t="str">
        <f>IF(OR(BW$23="",ISNA($B152)),"",IF(ISBLANK($B152),"",IFERROR(_xll.BDP(TICKER,"DEEP_MEASURE_PERIOD_BROKER_VALUE","DEEP_MEASURE_ID_OVERRIDE",$C152,"DEEP_BROKER_ID_OVERRIDE",BW$24,"DEEP_PERIOD_OVERRIDE",$H$19)*1,"")))</f>
        <v/>
      </c>
      <c r="BX152" t="str">
        <f>IF(OR(BX$23="",ISNA($B152)),"",IF(ISBLANK($B152),"",IFERROR(_xll.BDP(TICKER,"DEEP_MEASURE_PERIOD_BROKER_VALUE","DEEP_MEASURE_ID_OVERRIDE",$C152,"DEEP_BROKER_ID_OVERRIDE",BX$24,"DEEP_PERIOD_OVERRIDE",$H$19)*1,"")))</f>
        <v/>
      </c>
      <c r="BY152" t="str">
        <f>IF(OR(BY$23="",ISNA($B152)),"",IF(ISBLANK($B152),"",IFERROR(_xll.BDP(TICKER,"DEEP_MEASURE_PERIOD_BROKER_VALUE","DEEP_MEASURE_ID_OVERRIDE",$C152,"DEEP_BROKER_ID_OVERRIDE",BY$24,"DEEP_PERIOD_OVERRIDE",$H$19)*1,"")))</f>
        <v/>
      </c>
      <c r="BZ152" t="str">
        <f>IF(OR(BZ$23="",ISNA($B152)),"",IF(ISBLANK($B152),"",IFERROR(_xll.BDP(TICKER,"DEEP_MEASURE_PERIOD_BROKER_VALUE","DEEP_MEASURE_ID_OVERRIDE",$C152,"DEEP_BROKER_ID_OVERRIDE",BZ$24,"DEEP_PERIOD_OVERRIDE",$H$19)*1,"")))</f>
        <v/>
      </c>
    </row>
    <row r="153" spans="2:78" x14ac:dyDescent="0.25">
      <c r="B153" t="s">
        <v>182</v>
      </c>
      <c r="C153">
        <v>400</v>
      </c>
      <c r="H153" t="str">
        <f t="shared" si="2"/>
        <v>Non-GAAP Metrics &gt; EBITDA &gt; EBITDA Margin (%)</v>
      </c>
      <c r="I153" t="str">
        <f>IF(OR(I$23="",ISNA($B153)),"",IF(ISBLANK($B153),"",IFERROR(_xll.BDP(TICKER,"DEEP_MEASURE_PERIOD_BROKER_VALUE","DEEP_MEASURE_ID_OVERRIDE",$C153,"DEEP_PERIOD_OVERRIDE",$H$19)*1,"")))</f>
        <v/>
      </c>
      <c r="J153" t="e">
        <f>IF(OR(J$23="",ISNA($B153)),"",IF(ISBLANK($B153),"",IFERROR(_xll.BDP(TICKER,"DEEP_MEASURE_PERIOD_BROKER_VALUE","DEEP_MEASURE_ID_OVERRIDE",$C153,"DEEP_BROKER_ID_OVERRIDE",J$24,"DEEP_PERIOD_OVERRIDE",$H$19)*1,"")))</f>
        <v>#REF!</v>
      </c>
      <c r="K153" t="str">
        <f>IF(OR(K$23="",ISNA($B153)),"",IF(ISBLANK($B153),"",IFERROR(_xll.BDP(TICKER,"DEEP_MEASURE_PERIOD_BROKER_VALUE","DEEP_MEASURE_ID_OVERRIDE",$C153,"DEEP_BROKER_ID_OVERRIDE",K$24,"DEEP_PERIOD_OVERRIDE",$H$19)*1,"")))</f>
        <v/>
      </c>
      <c r="L153" t="str">
        <f>IF(OR(L$23="",ISNA($B153)),"",IF(ISBLANK($B153),"",IFERROR(_xll.BDP(TICKER,"DEEP_MEASURE_PERIOD_BROKER_VALUE","DEEP_MEASURE_ID_OVERRIDE",$C153,"DEEP_BROKER_ID_OVERRIDE",L$24,"DEEP_PERIOD_OVERRIDE",$H$19)*1,"")))</f>
        <v/>
      </c>
      <c r="M153" t="str">
        <f>IF(OR(M$23="",ISNA($B153)),"",IF(ISBLANK($B153),"",IFERROR(_xll.BDP(TICKER,"DEEP_MEASURE_PERIOD_BROKER_VALUE","DEEP_MEASURE_ID_OVERRIDE",$C153,"DEEP_BROKER_ID_OVERRIDE",M$24,"DEEP_PERIOD_OVERRIDE",$H$19)*1,"")))</f>
        <v/>
      </c>
      <c r="N153" t="str">
        <f>IF(OR(N$23="",ISNA($B153)),"",IF(ISBLANK($B153),"",IFERROR(_xll.BDP(TICKER,"DEEP_MEASURE_PERIOD_BROKER_VALUE","DEEP_MEASURE_ID_OVERRIDE",$C153,"DEEP_BROKER_ID_OVERRIDE",N$24,"DEEP_PERIOD_OVERRIDE",$H$19)*1,"")))</f>
        <v/>
      </c>
      <c r="O153" t="str">
        <f>IF(OR(O$23="",ISNA($B153)),"",IF(ISBLANK($B153),"",IFERROR(_xll.BDP(TICKER,"DEEP_MEASURE_PERIOD_BROKER_VALUE","DEEP_MEASURE_ID_OVERRIDE",$C153,"DEEP_BROKER_ID_OVERRIDE",O$24,"DEEP_PERIOD_OVERRIDE",$H$19)*1,"")))</f>
        <v/>
      </c>
      <c r="P153" t="str">
        <f>IF(OR(P$23="",ISNA($B153)),"",IF(ISBLANK($B153),"",IFERROR(_xll.BDP(TICKER,"DEEP_MEASURE_PERIOD_BROKER_VALUE","DEEP_MEASURE_ID_OVERRIDE",$C153,"DEEP_BROKER_ID_OVERRIDE",P$24,"DEEP_PERIOD_OVERRIDE",$H$19)*1,"")))</f>
        <v/>
      </c>
      <c r="Q153" t="str">
        <f>IF(OR(Q$23="",ISNA($B153)),"",IF(ISBLANK($B153),"",IFERROR(_xll.BDP(TICKER,"DEEP_MEASURE_PERIOD_BROKER_VALUE","DEEP_MEASURE_ID_OVERRIDE",$C153,"DEEP_BROKER_ID_OVERRIDE",Q$24,"DEEP_PERIOD_OVERRIDE",$H$19)*1,"")))</f>
        <v/>
      </c>
      <c r="R153" t="str">
        <f>IF(OR(R$23="",ISNA($B153)),"",IF(ISBLANK($B153),"",IFERROR(_xll.BDP(TICKER,"DEEP_MEASURE_PERIOD_BROKER_VALUE","DEEP_MEASURE_ID_OVERRIDE",$C153,"DEEP_BROKER_ID_OVERRIDE",R$24,"DEEP_PERIOD_OVERRIDE",$H$19)*1,"")))</f>
        <v/>
      </c>
      <c r="S153" t="str">
        <f>IF(OR(S$23="",ISNA($B153)),"",IF(ISBLANK($B153),"",IFERROR(_xll.BDP(TICKER,"DEEP_MEASURE_PERIOD_BROKER_VALUE","DEEP_MEASURE_ID_OVERRIDE",$C153,"DEEP_BROKER_ID_OVERRIDE",S$24,"DEEP_PERIOD_OVERRIDE",$H$19)*1,"")))</f>
        <v/>
      </c>
      <c r="T153" t="str">
        <f>IF(OR(T$23="",ISNA($B153)),"",IF(ISBLANK($B153),"",IFERROR(_xll.BDP(TICKER,"DEEP_MEASURE_PERIOD_BROKER_VALUE","DEEP_MEASURE_ID_OVERRIDE",$C153,"DEEP_BROKER_ID_OVERRIDE",T$24,"DEEP_PERIOD_OVERRIDE",$H$19)*1,"")))</f>
        <v/>
      </c>
      <c r="U153" t="str">
        <f>IF(OR(U$23="",ISNA($B153)),"",IF(ISBLANK($B153),"",IFERROR(_xll.BDP(TICKER,"DEEP_MEASURE_PERIOD_BROKER_VALUE","DEEP_MEASURE_ID_OVERRIDE",$C153,"DEEP_BROKER_ID_OVERRIDE",U$24,"DEEP_PERIOD_OVERRIDE",$H$19)*1,"")))</f>
        <v/>
      </c>
      <c r="V153" t="str">
        <f>IF(OR(V$23="",ISNA($B153)),"",IF(ISBLANK($B153),"",IFERROR(_xll.BDP(TICKER,"DEEP_MEASURE_PERIOD_BROKER_VALUE","DEEP_MEASURE_ID_OVERRIDE",$C153,"DEEP_BROKER_ID_OVERRIDE",V$24,"DEEP_PERIOD_OVERRIDE",$H$19)*1,"")))</f>
        <v/>
      </c>
      <c r="W153" t="str">
        <f>IF(OR(W$23="",ISNA($B153)),"",IF(ISBLANK($B153),"",IFERROR(_xll.BDP(TICKER,"DEEP_MEASURE_PERIOD_BROKER_VALUE","DEEP_MEASURE_ID_OVERRIDE",$C153,"DEEP_BROKER_ID_OVERRIDE",W$24,"DEEP_PERIOD_OVERRIDE",$H$19)*1,"")))</f>
        <v/>
      </c>
      <c r="X153" t="str">
        <f>IF(OR(X$23="",ISNA($B153)),"",IF(ISBLANK($B153),"",IFERROR(_xll.BDP(TICKER,"DEEP_MEASURE_PERIOD_BROKER_VALUE","DEEP_MEASURE_ID_OVERRIDE",$C153,"DEEP_BROKER_ID_OVERRIDE",X$24,"DEEP_PERIOD_OVERRIDE",$H$19)*1,"")))</f>
        <v/>
      </c>
      <c r="Y153" t="str">
        <f>IF(OR(Y$23="",ISNA($B153)),"",IF(ISBLANK($B153),"",IFERROR(_xll.BDP(TICKER,"DEEP_MEASURE_PERIOD_BROKER_VALUE","DEEP_MEASURE_ID_OVERRIDE",$C153,"DEEP_BROKER_ID_OVERRIDE",Y$24,"DEEP_PERIOD_OVERRIDE",$H$19)*1,"")))</f>
        <v/>
      </c>
      <c r="Z153" t="str">
        <f>IF(OR(Z$23="",ISNA($B153)),"",IF(ISBLANK($B153),"",IFERROR(_xll.BDP(TICKER,"DEEP_MEASURE_PERIOD_BROKER_VALUE","DEEP_MEASURE_ID_OVERRIDE",$C153,"DEEP_BROKER_ID_OVERRIDE",Z$24,"DEEP_PERIOD_OVERRIDE",$H$19)*1,"")))</f>
        <v/>
      </c>
      <c r="AA153" t="str">
        <f>IF(OR(AA$23="",ISNA($B153)),"",IF(ISBLANK($B153),"",IFERROR(_xll.BDP(TICKER,"DEEP_MEASURE_PERIOD_BROKER_VALUE","DEEP_MEASURE_ID_OVERRIDE",$C153,"DEEP_BROKER_ID_OVERRIDE",AA$24,"DEEP_PERIOD_OVERRIDE",$H$19)*1,"")))</f>
        <v/>
      </c>
      <c r="AB153" t="str">
        <f>IF(OR(AB$23="",ISNA($B153)),"",IF(ISBLANK($B153),"",IFERROR(_xll.BDP(TICKER,"DEEP_MEASURE_PERIOD_BROKER_VALUE","DEEP_MEASURE_ID_OVERRIDE",$C153,"DEEP_BROKER_ID_OVERRIDE",AB$24,"DEEP_PERIOD_OVERRIDE",$H$19)*1,"")))</f>
        <v/>
      </c>
      <c r="AC153" t="str">
        <f>IF(OR(AC$23="",ISNA($B153)),"",IF(ISBLANK($B153),"",IFERROR(_xll.BDP(TICKER,"DEEP_MEASURE_PERIOD_BROKER_VALUE","DEEP_MEASURE_ID_OVERRIDE",$C153,"DEEP_BROKER_ID_OVERRIDE",AC$24,"DEEP_PERIOD_OVERRIDE",$H$19)*1,"")))</f>
        <v/>
      </c>
      <c r="AD153" t="str">
        <f>IF(OR(AD$23="",ISNA($B153)),"",IF(ISBLANK($B153),"",IFERROR(_xll.BDP(TICKER,"DEEP_MEASURE_PERIOD_BROKER_VALUE","DEEP_MEASURE_ID_OVERRIDE",$C153,"DEEP_BROKER_ID_OVERRIDE",AD$24,"DEEP_PERIOD_OVERRIDE",$H$19)*1,"")))</f>
        <v/>
      </c>
      <c r="AE153" t="str">
        <f>IF(OR(AE$23="",ISNA($B153)),"",IF(ISBLANK($B153),"",IFERROR(_xll.BDP(TICKER,"DEEP_MEASURE_PERIOD_BROKER_VALUE","DEEP_MEASURE_ID_OVERRIDE",$C153,"DEEP_BROKER_ID_OVERRIDE",AE$24,"DEEP_PERIOD_OVERRIDE",$H$19)*1,"")))</f>
        <v/>
      </c>
      <c r="AF153" t="str">
        <f>IF(OR(AF$23="",ISNA($B153)),"",IF(ISBLANK($B153),"",IFERROR(_xll.BDP(TICKER,"DEEP_MEASURE_PERIOD_BROKER_VALUE","DEEP_MEASURE_ID_OVERRIDE",$C153,"DEEP_BROKER_ID_OVERRIDE",AF$24,"DEEP_PERIOD_OVERRIDE",$H$19)*1,"")))</f>
        <v/>
      </c>
      <c r="AG153" t="str">
        <f>IF(OR(AG$23="",ISNA($B153)),"",IF(ISBLANK($B153),"",IFERROR(_xll.BDP(TICKER,"DEEP_MEASURE_PERIOD_BROKER_VALUE","DEEP_MEASURE_ID_OVERRIDE",$C153,"DEEP_BROKER_ID_OVERRIDE",AG$24,"DEEP_PERIOD_OVERRIDE",$H$19)*1,"")))</f>
        <v/>
      </c>
      <c r="AH153" t="str">
        <f>IF(OR(AH$23="",ISNA($B153)),"",IF(ISBLANK($B153),"",IFERROR(_xll.BDP(TICKER,"DEEP_MEASURE_PERIOD_BROKER_VALUE","DEEP_MEASURE_ID_OVERRIDE",$C153,"DEEP_BROKER_ID_OVERRIDE",AH$24,"DEEP_PERIOD_OVERRIDE",$H$19)*1,"")))</f>
        <v/>
      </c>
      <c r="AI153" t="str">
        <f>IF(OR(AI$23="",ISNA($B153)),"",IF(ISBLANK($B153),"",IFERROR(_xll.BDP(TICKER,"DEEP_MEASURE_PERIOD_BROKER_VALUE","DEEP_MEASURE_ID_OVERRIDE",$C153,"DEEP_BROKER_ID_OVERRIDE",AI$24,"DEEP_PERIOD_OVERRIDE",$H$19)*1,"")))</f>
        <v/>
      </c>
      <c r="AJ153" t="str">
        <f>IF(OR(AJ$23="",ISNA($B153)),"",IF(ISBLANK($B153),"",IFERROR(_xll.BDP(TICKER,"DEEP_MEASURE_PERIOD_BROKER_VALUE","DEEP_MEASURE_ID_OVERRIDE",$C153,"DEEP_BROKER_ID_OVERRIDE",AJ$24,"DEEP_PERIOD_OVERRIDE",$H$19)*1,"")))</f>
        <v/>
      </c>
      <c r="AK153" t="str">
        <f>IF(OR(AK$23="",ISNA($B153)),"",IF(ISBLANK($B153),"",IFERROR(_xll.BDP(TICKER,"DEEP_MEASURE_PERIOD_BROKER_VALUE","DEEP_MEASURE_ID_OVERRIDE",$C153,"DEEP_BROKER_ID_OVERRIDE",AK$24,"DEEP_PERIOD_OVERRIDE",$H$19)*1,"")))</f>
        <v/>
      </c>
      <c r="AL153" t="str">
        <f>IF(OR(AL$23="",ISNA($B153)),"",IF(ISBLANK($B153),"",IFERROR(_xll.BDP(TICKER,"DEEP_MEASURE_PERIOD_BROKER_VALUE","DEEP_MEASURE_ID_OVERRIDE",$C153,"DEEP_BROKER_ID_OVERRIDE",AL$24,"DEEP_PERIOD_OVERRIDE",$H$19)*1,"")))</f>
        <v/>
      </c>
      <c r="AM153" t="str">
        <f>IF(OR(AM$23="",ISNA($B153)),"",IF(ISBLANK($B153),"",IFERROR(_xll.BDP(TICKER,"DEEP_MEASURE_PERIOD_BROKER_VALUE","DEEP_MEASURE_ID_OVERRIDE",$C153,"DEEP_BROKER_ID_OVERRIDE",AM$24,"DEEP_PERIOD_OVERRIDE",$H$19)*1,"")))</f>
        <v/>
      </c>
      <c r="AN153" t="str">
        <f>IF(OR(AN$23="",ISNA($B153)),"",IF(ISBLANK($B153),"",IFERROR(_xll.BDP(TICKER,"DEEP_MEASURE_PERIOD_BROKER_VALUE","DEEP_MEASURE_ID_OVERRIDE",$C153,"DEEP_BROKER_ID_OVERRIDE",AN$24,"DEEP_PERIOD_OVERRIDE",$H$19)*1,"")))</f>
        <v/>
      </c>
      <c r="AO153" t="str">
        <f>IF(OR(AO$23="",ISNA($B153)),"",IF(ISBLANK($B153),"",IFERROR(_xll.BDP(TICKER,"DEEP_MEASURE_PERIOD_BROKER_VALUE","DEEP_MEASURE_ID_OVERRIDE",$C153,"DEEP_BROKER_ID_OVERRIDE",AO$24,"DEEP_PERIOD_OVERRIDE",$H$19)*1,"")))</f>
        <v/>
      </c>
      <c r="AP153" t="str">
        <f>IF(OR(AP$23="",ISNA($B153)),"",IF(ISBLANK($B153),"",IFERROR(_xll.BDP(TICKER,"DEEP_MEASURE_PERIOD_BROKER_VALUE","DEEP_MEASURE_ID_OVERRIDE",$C153,"DEEP_BROKER_ID_OVERRIDE",AP$24,"DEEP_PERIOD_OVERRIDE",$H$19)*1,"")))</f>
        <v/>
      </c>
      <c r="AQ153" t="str">
        <f>IF(OR(AQ$23="",ISNA($B153)),"",IF(ISBLANK($B153),"",IFERROR(_xll.BDP(TICKER,"DEEP_MEASURE_PERIOD_BROKER_VALUE","DEEP_MEASURE_ID_OVERRIDE",$C153,"DEEP_BROKER_ID_OVERRIDE",AQ$24,"DEEP_PERIOD_OVERRIDE",$H$19)*1,"")))</f>
        <v/>
      </c>
      <c r="AR153" t="str">
        <f>IF(OR(AR$23="",ISNA($B153)),"",IF(ISBLANK($B153),"",IFERROR(_xll.BDP(TICKER,"DEEP_MEASURE_PERIOD_BROKER_VALUE","DEEP_MEASURE_ID_OVERRIDE",$C153,"DEEP_BROKER_ID_OVERRIDE",AR$24,"DEEP_PERIOD_OVERRIDE",$H$19)*1,"")))</f>
        <v/>
      </c>
      <c r="AS153" t="str">
        <f>IF(OR(AS$23="",ISNA($B153)),"",IF(ISBLANK($B153),"",IFERROR(_xll.BDP(TICKER,"DEEP_MEASURE_PERIOD_BROKER_VALUE","DEEP_MEASURE_ID_OVERRIDE",$C153,"DEEP_BROKER_ID_OVERRIDE",AS$24,"DEEP_PERIOD_OVERRIDE",$H$19)*1,"")))</f>
        <v/>
      </c>
      <c r="AT153" t="str">
        <f>IF(OR(AT$23="",ISNA($B153)),"",IF(ISBLANK($B153),"",IFERROR(_xll.BDP(TICKER,"DEEP_MEASURE_PERIOD_BROKER_VALUE","DEEP_MEASURE_ID_OVERRIDE",$C153,"DEEP_BROKER_ID_OVERRIDE",AT$24,"DEEP_PERIOD_OVERRIDE",$H$19)*1,"")))</f>
        <v/>
      </c>
      <c r="AU153" t="str">
        <f>IF(OR(AU$23="",ISNA($B153)),"",IF(ISBLANK($B153),"",IFERROR(_xll.BDP(TICKER,"DEEP_MEASURE_PERIOD_BROKER_VALUE","DEEP_MEASURE_ID_OVERRIDE",$C153,"DEEP_BROKER_ID_OVERRIDE",AU$24,"DEEP_PERIOD_OVERRIDE",$H$19)*1,"")))</f>
        <v/>
      </c>
      <c r="AV153" t="str">
        <f>IF(OR(AV$23="",ISNA($B153)),"",IF(ISBLANK($B153),"",IFERROR(_xll.BDP(TICKER,"DEEP_MEASURE_PERIOD_BROKER_VALUE","DEEP_MEASURE_ID_OVERRIDE",$C153,"DEEP_BROKER_ID_OVERRIDE",AV$24,"DEEP_PERIOD_OVERRIDE",$H$19)*1,"")))</f>
        <v/>
      </c>
      <c r="AW153" t="str">
        <f>IF(OR(AW$23="",ISNA($B153)),"",IF(ISBLANK($B153),"",IFERROR(_xll.BDP(TICKER,"DEEP_MEASURE_PERIOD_BROKER_VALUE","DEEP_MEASURE_ID_OVERRIDE",$C153,"DEEP_BROKER_ID_OVERRIDE",AW$24,"DEEP_PERIOD_OVERRIDE",$H$19)*1,"")))</f>
        <v/>
      </c>
      <c r="AX153" t="str">
        <f>IF(OR(AX$23="",ISNA($B153)),"",IF(ISBLANK($B153),"",IFERROR(_xll.BDP(TICKER,"DEEP_MEASURE_PERIOD_BROKER_VALUE","DEEP_MEASURE_ID_OVERRIDE",$C153,"DEEP_BROKER_ID_OVERRIDE",AX$24,"DEEP_PERIOD_OVERRIDE",$H$19)*1,"")))</f>
        <v/>
      </c>
      <c r="AY153" t="str">
        <f>IF(OR(AY$23="",ISNA($B153)),"",IF(ISBLANK($B153),"",IFERROR(_xll.BDP(TICKER,"DEEP_MEASURE_PERIOD_BROKER_VALUE","DEEP_MEASURE_ID_OVERRIDE",$C153,"DEEP_BROKER_ID_OVERRIDE",AY$24,"DEEP_PERIOD_OVERRIDE",$H$19)*1,"")))</f>
        <v/>
      </c>
      <c r="AZ153" t="str">
        <f>IF(OR(AZ$23="",ISNA($B153)),"",IF(ISBLANK($B153),"",IFERROR(_xll.BDP(TICKER,"DEEP_MEASURE_PERIOD_BROKER_VALUE","DEEP_MEASURE_ID_OVERRIDE",$C153,"DEEP_BROKER_ID_OVERRIDE",AZ$24,"DEEP_PERIOD_OVERRIDE",$H$19)*1,"")))</f>
        <v/>
      </c>
      <c r="BA153" t="str">
        <f>IF(OR(BA$23="",ISNA($B153)),"",IF(ISBLANK($B153),"",IFERROR(_xll.BDP(TICKER,"DEEP_MEASURE_PERIOD_BROKER_VALUE","DEEP_MEASURE_ID_OVERRIDE",$C153,"DEEP_BROKER_ID_OVERRIDE",BA$24,"DEEP_PERIOD_OVERRIDE",$H$19)*1,"")))</f>
        <v/>
      </c>
      <c r="BB153" t="str">
        <f>IF(OR(BB$23="",ISNA($B153)),"",IF(ISBLANK($B153),"",IFERROR(_xll.BDP(TICKER,"DEEP_MEASURE_PERIOD_BROKER_VALUE","DEEP_MEASURE_ID_OVERRIDE",$C153,"DEEP_BROKER_ID_OVERRIDE",BB$24,"DEEP_PERIOD_OVERRIDE",$H$19)*1,"")))</f>
        <v/>
      </c>
      <c r="BC153" t="str">
        <f>IF(OR(BC$23="",ISNA($B153)),"",IF(ISBLANK($B153),"",IFERROR(_xll.BDP(TICKER,"DEEP_MEASURE_PERIOD_BROKER_VALUE","DEEP_MEASURE_ID_OVERRIDE",$C153,"DEEP_BROKER_ID_OVERRIDE",BC$24,"DEEP_PERIOD_OVERRIDE",$H$19)*1,"")))</f>
        <v/>
      </c>
      <c r="BD153" t="str">
        <f>IF(OR(BD$23="",ISNA($B153)),"",IF(ISBLANK($B153),"",IFERROR(_xll.BDP(TICKER,"DEEP_MEASURE_PERIOD_BROKER_VALUE","DEEP_MEASURE_ID_OVERRIDE",$C153,"DEEP_BROKER_ID_OVERRIDE",BD$24,"DEEP_PERIOD_OVERRIDE",$H$19)*1,"")))</f>
        <v/>
      </c>
      <c r="BE153" t="str">
        <f>IF(OR(BE$23="",ISNA($B153)),"",IF(ISBLANK($B153),"",IFERROR(_xll.BDP(TICKER,"DEEP_MEASURE_PERIOD_BROKER_VALUE","DEEP_MEASURE_ID_OVERRIDE",$C153,"DEEP_BROKER_ID_OVERRIDE",BE$24,"DEEP_PERIOD_OVERRIDE",$H$19)*1,"")))</f>
        <v/>
      </c>
      <c r="BF153" t="str">
        <f>IF(OR(BF$23="",ISNA($B153)),"",IF(ISBLANK($B153),"",IFERROR(_xll.BDP(TICKER,"DEEP_MEASURE_PERIOD_BROKER_VALUE","DEEP_MEASURE_ID_OVERRIDE",$C153,"DEEP_BROKER_ID_OVERRIDE",BF$24,"DEEP_PERIOD_OVERRIDE",$H$19)*1,"")))</f>
        <v/>
      </c>
      <c r="BG153" t="str">
        <f>IF(OR(BG$23="",ISNA($B153)),"",IF(ISBLANK($B153),"",IFERROR(_xll.BDP(TICKER,"DEEP_MEASURE_PERIOD_BROKER_VALUE","DEEP_MEASURE_ID_OVERRIDE",$C153,"DEEP_BROKER_ID_OVERRIDE",BG$24,"DEEP_PERIOD_OVERRIDE",$H$19)*1,"")))</f>
        <v/>
      </c>
      <c r="BH153" t="str">
        <f>IF(OR(BH$23="",ISNA($B153)),"",IF(ISBLANK($B153),"",IFERROR(_xll.BDP(TICKER,"DEEP_MEASURE_PERIOD_BROKER_VALUE","DEEP_MEASURE_ID_OVERRIDE",$C153,"DEEP_BROKER_ID_OVERRIDE",BH$24,"DEEP_PERIOD_OVERRIDE",$H$19)*1,"")))</f>
        <v/>
      </c>
      <c r="BI153" t="str">
        <f>IF(OR(BI$23="",ISNA($B153)),"",IF(ISBLANK($B153),"",IFERROR(_xll.BDP(TICKER,"DEEP_MEASURE_PERIOD_BROKER_VALUE","DEEP_MEASURE_ID_OVERRIDE",$C153,"DEEP_BROKER_ID_OVERRIDE",BI$24,"DEEP_PERIOD_OVERRIDE",$H$19)*1,"")))</f>
        <v/>
      </c>
      <c r="BJ153" t="str">
        <f>IF(OR(BJ$23="",ISNA($B153)),"",IF(ISBLANK($B153),"",IFERROR(_xll.BDP(TICKER,"DEEP_MEASURE_PERIOD_BROKER_VALUE","DEEP_MEASURE_ID_OVERRIDE",$C153,"DEEP_BROKER_ID_OVERRIDE",BJ$24,"DEEP_PERIOD_OVERRIDE",$H$19)*1,"")))</f>
        <v/>
      </c>
      <c r="BK153" t="str">
        <f>IF(OR(BK$23="",ISNA($B153)),"",IF(ISBLANK($B153),"",IFERROR(_xll.BDP(TICKER,"DEEP_MEASURE_PERIOD_BROKER_VALUE","DEEP_MEASURE_ID_OVERRIDE",$C153,"DEEP_BROKER_ID_OVERRIDE",BK$24,"DEEP_PERIOD_OVERRIDE",$H$19)*1,"")))</f>
        <v/>
      </c>
      <c r="BL153" t="str">
        <f>IF(OR(BL$23="",ISNA($B153)),"",IF(ISBLANK($B153),"",IFERROR(_xll.BDP(TICKER,"DEEP_MEASURE_PERIOD_BROKER_VALUE","DEEP_MEASURE_ID_OVERRIDE",$C153,"DEEP_BROKER_ID_OVERRIDE",BL$24,"DEEP_PERIOD_OVERRIDE",$H$19)*1,"")))</f>
        <v/>
      </c>
      <c r="BM153" t="str">
        <f>IF(OR(BM$23="",ISNA($B153)),"",IF(ISBLANK($B153),"",IFERROR(_xll.BDP(TICKER,"DEEP_MEASURE_PERIOD_BROKER_VALUE","DEEP_MEASURE_ID_OVERRIDE",$C153,"DEEP_BROKER_ID_OVERRIDE",BM$24,"DEEP_PERIOD_OVERRIDE",$H$19)*1,"")))</f>
        <v/>
      </c>
      <c r="BN153" t="str">
        <f>IF(OR(BN$23="",ISNA($B153)),"",IF(ISBLANK($B153),"",IFERROR(_xll.BDP(TICKER,"DEEP_MEASURE_PERIOD_BROKER_VALUE","DEEP_MEASURE_ID_OVERRIDE",$C153,"DEEP_BROKER_ID_OVERRIDE",BN$24,"DEEP_PERIOD_OVERRIDE",$H$19)*1,"")))</f>
        <v/>
      </c>
      <c r="BO153" t="str">
        <f>IF(OR(BO$23="",ISNA($B153)),"",IF(ISBLANK($B153),"",IFERROR(_xll.BDP(TICKER,"DEEP_MEASURE_PERIOD_BROKER_VALUE","DEEP_MEASURE_ID_OVERRIDE",$C153,"DEEP_BROKER_ID_OVERRIDE",BO$24,"DEEP_PERIOD_OVERRIDE",$H$19)*1,"")))</f>
        <v/>
      </c>
      <c r="BP153" t="str">
        <f>IF(OR(BP$23="",ISNA($B153)),"",IF(ISBLANK($B153),"",IFERROR(_xll.BDP(TICKER,"DEEP_MEASURE_PERIOD_BROKER_VALUE","DEEP_MEASURE_ID_OVERRIDE",$C153,"DEEP_BROKER_ID_OVERRIDE",BP$24,"DEEP_PERIOD_OVERRIDE",$H$19)*1,"")))</f>
        <v/>
      </c>
      <c r="BQ153" t="str">
        <f>IF(OR(BQ$23="",ISNA($B153)),"",IF(ISBLANK($B153),"",IFERROR(_xll.BDP(TICKER,"DEEP_MEASURE_PERIOD_BROKER_VALUE","DEEP_MEASURE_ID_OVERRIDE",$C153,"DEEP_BROKER_ID_OVERRIDE",BQ$24,"DEEP_PERIOD_OVERRIDE",$H$19)*1,"")))</f>
        <v/>
      </c>
      <c r="BR153" t="str">
        <f>IF(OR(BR$23="",ISNA($B153)),"",IF(ISBLANK($B153),"",IFERROR(_xll.BDP(TICKER,"DEEP_MEASURE_PERIOD_BROKER_VALUE","DEEP_MEASURE_ID_OVERRIDE",$C153,"DEEP_BROKER_ID_OVERRIDE",BR$24,"DEEP_PERIOD_OVERRIDE",$H$19)*1,"")))</f>
        <v/>
      </c>
      <c r="BS153" t="str">
        <f>IF(OR(BS$23="",ISNA($B153)),"",IF(ISBLANK($B153),"",IFERROR(_xll.BDP(TICKER,"DEEP_MEASURE_PERIOD_BROKER_VALUE","DEEP_MEASURE_ID_OVERRIDE",$C153,"DEEP_BROKER_ID_OVERRIDE",BS$24,"DEEP_PERIOD_OVERRIDE",$H$19)*1,"")))</f>
        <v/>
      </c>
      <c r="BT153" t="str">
        <f>IF(OR(BT$23="",ISNA($B153)),"",IF(ISBLANK($B153),"",IFERROR(_xll.BDP(TICKER,"DEEP_MEASURE_PERIOD_BROKER_VALUE","DEEP_MEASURE_ID_OVERRIDE",$C153,"DEEP_BROKER_ID_OVERRIDE",BT$24,"DEEP_PERIOD_OVERRIDE",$H$19)*1,"")))</f>
        <v/>
      </c>
      <c r="BU153" t="str">
        <f>IF(OR(BU$23="",ISNA($B153)),"",IF(ISBLANK($B153),"",IFERROR(_xll.BDP(TICKER,"DEEP_MEASURE_PERIOD_BROKER_VALUE","DEEP_MEASURE_ID_OVERRIDE",$C153,"DEEP_BROKER_ID_OVERRIDE",BU$24,"DEEP_PERIOD_OVERRIDE",$H$19)*1,"")))</f>
        <v/>
      </c>
      <c r="BV153" t="str">
        <f>IF(OR(BV$23="",ISNA($B153)),"",IF(ISBLANK($B153),"",IFERROR(_xll.BDP(TICKER,"DEEP_MEASURE_PERIOD_BROKER_VALUE","DEEP_MEASURE_ID_OVERRIDE",$C153,"DEEP_BROKER_ID_OVERRIDE",BV$24,"DEEP_PERIOD_OVERRIDE",$H$19)*1,"")))</f>
        <v/>
      </c>
      <c r="BW153" t="str">
        <f>IF(OR(BW$23="",ISNA($B153)),"",IF(ISBLANK($B153),"",IFERROR(_xll.BDP(TICKER,"DEEP_MEASURE_PERIOD_BROKER_VALUE","DEEP_MEASURE_ID_OVERRIDE",$C153,"DEEP_BROKER_ID_OVERRIDE",BW$24,"DEEP_PERIOD_OVERRIDE",$H$19)*1,"")))</f>
        <v/>
      </c>
      <c r="BX153" t="str">
        <f>IF(OR(BX$23="",ISNA($B153)),"",IF(ISBLANK($B153),"",IFERROR(_xll.BDP(TICKER,"DEEP_MEASURE_PERIOD_BROKER_VALUE","DEEP_MEASURE_ID_OVERRIDE",$C153,"DEEP_BROKER_ID_OVERRIDE",BX$24,"DEEP_PERIOD_OVERRIDE",$H$19)*1,"")))</f>
        <v/>
      </c>
      <c r="BY153" t="str">
        <f>IF(OR(BY$23="",ISNA($B153)),"",IF(ISBLANK($B153),"",IFERROR(_xll.BDP(TICKER,"DEEP_MEASURE_PERIOD_BROKER_VALUE","DEEP_MEASURE_ID_OVERRIDE",$C153,"DEEP_BROKER_ID_OVERRIDE",BY$24,"DEEP_PERIOD_OVERRIDE",$H$19)*1,"")))</f>
        <v/>
      </c>
      <c r="BZ153" t="str">
        <f>IF(OR(BZ$23="",ISNA($B153)),"",IF(ISBLANK($B153),"",IFERROR(_xll.BDP(TICKER,"DEEP_MEASURE_PERIOD_BROKER_VALUE","DEEP_MEASURE_ID_OVERRIDE",$C153,"DEEP_BROKER_ID_OVERRIDE",BZ$24,"DEEP_PERIOD_OVERRIDE",$H$19)*1,"")))</f>
        <v/>
      </c>
    </row>
    <row r="154" spans="2:78" x14ac:dyDescent="0.25">
      <c r="B154" t="s">
        <v>183</v>
      </c>
      <c r="C154">
        <v>1758</v>
      </c>
      <c r="H154" t="str">
        <f t="shared" ref="H154:H217" si="3">IF(ISNA($B154),"",IF(ISBLANK($B154),"",$B154))</f>
        <v>Non-GAAP Metrics &gt; EBITDA &gt; Incremental EBITDA Margin (%)</v>
      </c>
      <c r="I154" t="str">
        <f>IF(OR(I$23="",ISNA($B154)),"",IF(ISBLANK($B154),"",IFERROR(_xll.BDP(TICKER,"DEEP_MEASURE_PERIOD_BROKER_VALUE","DEEP_MEASURE_ID_OVERRIDE",$C154,"DEEP_PERIOD_OVERRIDE",$H$19)*1,"")))</f>
        <v/>
      </c>
      <c r="J154" t="e">
        <f>IF(OR(J$23="",ISNA($B154)),"",IF(ISBLANK($B154),"",IFERROR(_xll.BDP(TICKER,"DEEP_MEASURE_PERIOD_BROKER_VALUE","DEEP_MEASURE_ID_OVERRIDE",$C154,"DEEP_BROKER_ID_OVERRIDE",J$24,"DEEP_PERIOD_OVERRIDE",$H$19)*1,"")))</f>
        <v>#REF!</v>
      </c>
      <c r="K154" t="str">
        <f>IF(OR(K$23="",ISNA($B154)),"",IF(ISBLANK($B154),"",IFERROR(_xll.BDP(TICKER,"DEEP_MEASURE_PERIOD_BROKER_VALUE","DEEP_MEASURE_ID_OVERRIDE",$C154,"DEEP_BROKER_ID_OVERRIDE",K$24,"DEEP_PERIOD_OVERRIDE",$H$19)*1,"")))</f>
        <v/>
      </c>
      <c r="L154" t="str">
        <f>IF(OR(L$23="",ISNA($B154)),"",IF(ISBLANK($B154),"",IFERROR(_xll.BDP(TICKER,"DEEP_MEASURE_PERIOD_BROKER_VALUE","DEEP_MEASURE_ID_OVERRIDE",$C154,"DEEP_BROKER_ID_OVERRIDE",L$24,"DEEP_PERIOD_OVERRIDE",$H$19)*1,"")))</f>
        <v/>
      </c>
      <c r="M154" t="str">
        <f>IF(OR(M$23="",ISNA($B154)),"",IF(ISBLANK($B154),"",IFERROR(_xll.BDP(TICKER,"DEEP_MEASURE_PERIOD_BROKER_VALUE","DEEP_MEASURE_ID_OVERRIDE",$C154,"DEEP_BROKER_ID_OVERRIDE",M$24,"DEEP_PERIOD_OVERRIDE",$H$19)*1,"")))</f>
        <v/>
      </c>
      <c r="N154" t="str">
        <f>IF(OR(N$23="",ISNA($B154)),"",IF(ISBLANK($B154),"",IFERROR(_xll.BDP(TICKER,"DEEP_MEASURE_PERIOD_BROKER_VALUE","DEEP_MEASURE_ID_OVERRIDE",$C154,"DEEP_BROKER_ID_OVERRIDE",N$24,"DEEP_PERIOD_OVERRIDE",$H$19)*1,"")))</f>
        <v/>
      </c>
      <c r="O154" t="str">
        <f>IF(OR(O$23="",ISNA($B154)),"",IF(ISBLANK($B154),"",IFERROR(_xll.BDP(TICKER,"DEEP_MEASURE_PERIOD_BROKER_VALUE","DEEP_MEASURE_ID_OVERRIDE",$C154,"DEEP_BROKER_ID_OVERRIDE",O$24,"DEEP_PERIOD_OVERRIDE",$H$19)*1,"")))</f>
        <v/>
      </c>
      <c r="P154" t="str">
        <f>IF(OR(P$23="",ISNA($B154)),"",IF(ISBLANK($B154),"",IFERROR(_xll.BDP(TICKER,"DEEP_MEASURE_PERIOD_BROKER_VALUE","DEEP_MEASURE_ID_OVERRIDE",$C154,"DEEP_BROKER_ID_OVERRIDE",P$24,"DEEP_PERIOD_OVERRIDE",$H$19)*1,"")))</f>
        <v/>
      </c>
      <c r="Q154" t="str">
        <f>IF(OR(Q$23="",ISNA($B154)),"",IF(ISBLANK($B154),"",IFERROR(_xll.BDP(TICKER,"DEEP_MEASURE_PERIOD_BROKER_VALUE","DEEP_MEASURE_ID_OVERRIDE",$C154,"DEEP_BROKER_ID_OVERRIDE",Q$24,"DEEP_PERIOD_OVERRIDE",$H$19)*1,"")))</f>
        <v/>
      </c>
      <c r="R154" t="str">
        <f>IF(OR(R$23="",ISNA($B154)),"",IF(ISBLANK($B154),"",IFERROR(_xll.BDP(TICKER,"DEEP_MEASURE_PERIOD_BROKER_VALUE","DEEP_MEASURE_ID_OVERRIDE",$C154,"DEEP_BROKER_ID_OVERRIDE",R$24,"DEEP_PERIOD_OVERRIDE",$H$19)*1,"")))</f>
        <v/>
      </c>
      <c r="S154" t="str">
        <f>IF(OR(S$23="",ISNA($B154)),"",IF(ISBLANK($B154),"",IFERROR(_xll.BDP(TICKER,"DEEP_MEASURE_PERIOD_BROKER_VALUE","DEEP_MEASURE_ID_OVERRIDE",$C154,"DEEP_BROKER_ID_OVERRIDE",S$24,"DEEP_PERIOD_OVERRIDE",$H$19)*1,"")))</f>
        <v/>
      </c>
      <c r="T154" t="str">
        <f>IF(OR(T$23="",ISNA($B154)),"",IF(ISBLANK($B154),"",IFERROR(_xll.BDP(TICKER,"DEEP_MEASURE_PERIOD_BROKER_VALUE","DEEP_MEASURE_ID_OVERRIDE",$C154,"DEEP_BROKER_ID_OVERRIDE",T$24,"DEEP_PERIOD_OVERRIDE",$H$19)*1,"")))</f>
        <v/>
      </c>
      <c r="U154" t="str">
        <f>IF(OR(U$23="",ISNA($B154)),"",IF(ISBLANK($B154),"",IFERROR(_xll.BDP(TICKER,"DEEP_MEASURE_PERIOD_BROKER_VALUE","DEEP_MEASURE_ID_OVERRIDE",$C154,"DEEP_BROKER_ID_OVERRIDE",U$24,"DEEP_PERIOD_OVERRIDE",$H$19)*1,"")))</f>
        <v/>
      </c>
      <c r="V154" t="str">
        <f>IF(OR(V$23="",ISNA($B154)),"",IF(ISBLANK($B154),"",IFERROR(_xll.BDP(TICKER,"DEEP_MEASURE_PERIOD_BROKER_VALUE","DEEP_MEASURE_ID_OVERRIDE",$C154,"DEEP_BROKER_ID_OVERRIDE",V$24,"DEEP_PERIOD_OVERRIDE",$H$19)*1,"")))</f>
        <v/>
      </c>
      <c r="W154" t="str">
        <f>IF(OR(W$23="",ISNA($B154)),"",IF(ISBLANK($B154),"",IFERROR(_xll.BDP(TICKER,"DEEP_MEASURE_PERIOD_BROKER_VALUE","DEEP_MEASURE_ID_OVERRIDE",$C154,"DEEP_BROKER_ID_OVERRIDE",W$24,"DEEP_PERIOD_OVERRIDE",$H$19)*1,"")))</f>
        <v/>
      </c>
      <c r="X154" t="str">
        <f>IF(OR(X$23="",ISNA($B154)),"",IF(ISBLANK($B154),"",IFERROR(_xll.BDP(TICKER,"DEEP_MEASURE_PERIOD_BROKER_VALUE","DEEP_MEASURE_ID_OVERRIDE",$C154,"DEEP_BROKER_ID_OVERRIDE",X$24,"DEEP_PERIOD_OVERRIDE",$H$19)*1,"")))</f>
        <v/>
      </c>
      <c r="Y154" t="str">
        <f>IF(OR(Y$23="",ISNA($B154)),"",IF(ISBLANK($B154),"",IFERROR(_xll.BDP(TICKER,"DEEP_MEASURE_PERIOD_BROKER_VALUE","DEEP_MEASURE_ID_OVERRIDE",$C154,"DEEP_BROKER_ID_OVERRIDE",Y$24,"DEEP_PERIOD_OVERRIDE",$H$19)*1,"")))</f>
        <v/>
      </c>
      <c r="Z154" t="str">
        <f>IF(OR(Z$23="",ISNA($B154)),"",IF(ISBLANK($B154),"",IFERROR(_xll.BDP(TICKER,"DEEP_MEASURE_PERIOD_BROKER_VALUE","DEEP_MEASURE_ID_OVERRIDE",$C154,"DEEP_BROKER_ID_OVERRIDE",Z$24,"DEEP_PERIOD_OVERRIDE",$H$19)*1,"")))</f>
        <v/>
      </c>
      <c r="AA154" t="str">
        <f>IF(OR(AA$23="",ISNA($B154)),"",IF(ISBLANK($B154),"",IFERROR(_xll.BDP(TICKER,"DEEP_MEASURE_PERIOD_BROKER_VALUE","DEEP_MEASURE_ID_OVERRIDE",$C154,"DEEP_BROKER_ID_OVERRIDE",AA$24,"DEEP_PERIOD_OVERRIDE",$H$19)*1,"")))</f>
        <v/>
      </c>
      <c r="AB154" t="str">
        <f>IF(OR(AB$23="",ISNA($B154)),"",IF(ISBLANK($B154),"",IFERROR(_xll.BDP(TICKER,"DEEP_MEASURE_PERIOD_BROKER_VALUE","DEEP_MEASURE_ID_OVERRIDE",$C154,"DEEP_BROKER_ID_OVERRIDE",AB$24,"DEEP_PERIOD_OVERRIDE",$H$19)*1,"")))</f>
        <v/>
      </c>
      <c r="AC154" t="str">
        <f>IF(OR(AC$23="",ISNA($B154)),"",IF(ISBLANK($B154),"",IFERROR(_xll.BDP(TICKER,"DEEP_MEASURE_PERIOD_BROKER_VALUE","DEEP_MEASURE_ID_OVERRIDE",$C154,"DEEP_BROKER_ID_OVERRIDE",AC$24,"DEEP_PERIOD_OVERRIDE",$H$19)*1,"")))</f>
        <v/>
      </c>
      <c r="AD154" t="str">
        <f>IF(OR(AD$23="",ISNA($B154)),"",IF(ISBLANK($B154),"",IFERROR(_xll.BDP(TICKER,"DEEP_MEASURE_PERIOD_BROKER_VALUE","DEEP_MEASURE_ID_OVERRIDE",$C154,"DEEP_BROKER_ID_OVERRIDE",AD$24,"DEEP_PERIOD_OVERRIDE",$H$19)*1,"")))</f>
        <v/>
      </c>
      <c r="AE154" t="str">
        <f>IF(OR(AE$23="",ISNA($B154)),"",IF(ISBLANK($B154),"",IFERROR(_xll.BDP(TICKER,"DEEP_MEASURE_PERIOD_BROKER_VALUE","DEEP_MEASURE_ID_OVERRIDE",$C154,"DEEP_BROKER_ID_OVERRIDE",AE$24,"DEEP_PERIOD_OVERRIDE",$H$19)*1,"")))</f>
        <v/>
      </c>
      <c r="AF154" t="str">
        <f>IF(OR(AF$23="",ISNA($B154)),"",IF(ISBLANK($B154),"",IFERROR(_xll.BDP(TICKER,"DEEP_MEASURE_PERIOD_BROKER_VALUE","DEEP_MEASURE_ID_OVERRIDE",$C154,"DEEP_BROKER_ID_OVERRIDE",AF$24,"DEEP_PERIOD_OVERRIDE",$H$19)*1,"")))</f>
        <v/>
      </c>
      <c r="AG154" t="str">
        <f>IF(OR(AG$23="",ISNA($B154)),"",IF(ISBLANK($B154),"",IFERROR(_xll.BDP(TICKER,"DEEP_MEASURE_PERIOD_BROKER_VALUE","DEEP_MEASURE_ID_OVERRIDE",$C154,"DEEP_BROKER_ID_OVERRIDE",AG$24,"DEEP_PERIOD_OVERRIDE",$H$19)*1,"")))</f>
        <v/>
      </c>
      <c r="AH154" t="str">
        <f>IF(OR(AH$23="",ISNA($B154)),"",IF(ISBLANK($B154),"",IFERROR(_xll.BDP(TICKER,"DEEP_MEASURE_PERIOD_BROKER_VALUE","DEEP_MEASURE_ID_OVERRIDE",$C154,"DEEP_BROKER_ID_OVERRIDE",AH$24,"DEEP_PERIOD_OVERRIDE",$H$19)*1,"")))</f>
        <v/>
      </c>
      <c r="AI154" t="str">
        <f>IF(OR(AI$23="",ISNA($B154)),"",IF(ISBLANK($B154),"",IFERROR(_xll.BDP(TICKER,"DEEP_MEASURE_PERIOD_BROKER_VALUE","DEEP_MEASURE_ID_OVERRIDE",$C154,"DEEP_BROKER_ID_OVERRIDE",AI$24,"DEEP_PERIOD_OVERRIDE",$H$19)*1,"")))</f>
        <v/>
      </c>
      <c r="AJ154" t="str">
        <f>IF(OR(AJ$23="",ISNA($B154)),"",IF(ISBLANK($B154),"",IFERROR(_xll.BDP(TICKER,"DEEP_MEASURE_PERIOD_BROKER_VALUE","DEEP_MEASURE_ID_OVERRIDE",$C154,"DEEP_BROKER_ID_OVERRIDE",AJ$24,"DEEP_PERIOD_OVERRIDE",$H$19)*1,"")))</f>
        <v/>
      </c>
      <c r="AK154" t="str">
        <f>IF(OR(AK$23="",ISNA($B154)),"",IF(ISBLANK($B154),"",IFERROR(_xll.BDP(TICKER,"DEEP_MEASURE_PERIOD_BROKER_VALUE","DEEP_MEASURE_ID_OVERRIDE",$C154,"DEEP_BROKER_ID_OVERRIDE",AK$24,"DEEP_PERIOD_OVERRIDE",$H$19)*1,"")))</f>
        <v/>
      </c>
      <c r="AL154" t="str">
        <f>IF(OR(AL$23="",ISNA($B154)),"",IF(ISBLANK($B154),"",IFERROR(_xll.BDP(TICKER,"DEEP_MEASURE_PERIOD_BROKER_VALUE","DEEP_MEASURE_ID_OVERRIDE",$C154,"DEEP_BROKER_ID_OVERRIDE",AL$24,"DEEP_PERIOD_OVERRIDE",$H$19)*1,"")))</f>
        <v/>
      </c>
      <c r="AM154" t="str">
        <f>IF(OR(AM$23="",ISNA($B154)),"",IF(ISBLANK($B154),"",IFERROR(_xll.BDP(TICKER,"DEEP_MEASURE_PERIOD_BROKER_VALUE","DEEP_MEASURE_ID_OVERRIDE",$C154,"DEEP_BROKER_ID_OVERRIDE",AM$24,"DEEP_PERIOD_OVERRIDE",$H$19)*1,"")))</f>
        <v/>
      </c>
      <c r="AN154" t="str">
        <f>IF(OR(AN$23="",ISNA($B154)),"",IF(ISBLANK($B154),"",IFERROR(_xll.BDP(TICKER,"DEEP_MEASURE_PERIOD_BROKER_VALUE","DEEP_MEASURE_ID_OVERRIDE",$C154,"DEEP_BROKER_ID_OVERRIDE",AN$24,"DEEP_PERIOD_OVERRIDE",$H$19)*1,"")))</f>
        <v/>
      </c>
      <c r="AO154" t="str">
        <f>IF(OR(AO$23="",ISNA($B154)),"",IF(ISBLANK($B154),"",IFERROR(_xll.BDP(TICKER,"DEEP_MEASURE_PERIOD_BROKER_VALUE","DEEP_MEASURE_ID_OVERRIDE",$C154,"DEEP_BROKER_ID_OVERRIDE",AO$24,"DEEP_PERIOD_OVERRIDE",$H$19)*1,"")))</f>
        <v/>
      </c>
      <c r="AP154" t="str">
        <f>IF(OR(AP$23="",ISNA($B154)),"",IF(ISBLANK($B154),"",IFERROR(_xll.BDP(TICKER,"DEEP_MEASURE_PERIOD_BROKER_VALUE","DEEP_MEASURE_ID_OVERRIDE",$C154,"DEEP_BROKER_ID_OVERRIDE",AP$24,"DEEP_PERIOD_OVERRIDE",$H$19)*1,"")))</f>
        <v/>
      </c>
      <c r="AQ154" t="str">
        <f>IF(OR(AQ$23="",ISNA($B154)),"",IF(ISBLANK($B154),"",IFERROR(_xll.BDP(TICKER,"DEEP_MEASURE_PERIOD_BROKER_VALUE","DEEP_MEASURE_ID_OVERRIDE",$C154,"DEEP_BROKER_ID_OVERRIDE",AQ$24,"DEEP_PERIOD_OVERRIDE",$H$19)*1,"")))</f>
        <v/>
      </c>
      <c r="AR154" t="str">
        <f>IF(OR(AR$23="",ISNA($B154)),"",IF(ISBLANK($B154),"",IFERROR(_xll.BDP(TICKER,"DEEP_MEASURE_PERIOD_BROKER_VALUE","DEEP_MEASURE_ID_OVERRIDE",$C154,"DEEP_BROKER_ID_OVERRIDE",AR$24,"DEEP_PERIOD_OVERRIDE",$H$19)*1,"")))</f>
        <v/>
      </c>
      <c r="AS154" t="str">
        <f>IF(OR(AS$23="",ISNA($B154)),"",IF(ISBLANK($B154),"",IFERROR(_xll.BDP(TICKER,"DEEP_MEASURE_PERIOD_BROKER_VALUE","DEEP_MEASURE_ID_OVERRIDE",$C154,"DEEP_BROKER_ID_OVERRIDE",AS$24,"DEEP_PERIOD_OVERRIDE",$H$19)*1,"")))</f>
        <v/>
      </c>
      <c r="AT154" t="str">
        <f>IF(OR(AT$23="",ISNA($B154)),"",IF(ISBLANK($B154),"",IFERROR(_xll.BDP(TICKER,"DEEP_MEASURE_PERIOD_BROKER_VALUE","DEEP_MEASURE_ID_OVERRIDE",$C154,"DEEP_BROKER_ID_OVERRIDE",AT$24,"DEEP_PERIOD_OVERRIDE",$H$19)*1,"")))</f>
        <v/>
      </c>
      <c r="AU154" t="str">
        <f>IF(OR(AU$23="",ISNA($B154)),"",IF(ISBLANK($B154),"",IFERROR(_xll.BDP(TICKER,"DEEP_MEASURE_PERIOD_BROKER_VALUE","DEEP_MEASURE_ID_OVERRIDE",$C154,"DEEP_BROKER_ID_OVERRIDE",AU$24,"DEEP_PERIOD_OVERRIDE",$H$19)*1,"")))</f>
        <v/>
      </c>
      <c r="AV154" t="str">
        <f>IF(OR(AV$23="",ISNA($B154)),"",IF(ISBLANK($B154),"",IFERROR(_xll.BDP(TICKER,"DEEP_MEASURE_PERIOD_BROKER_VALUE","DEEP_MEASURE_ID_OVERRIDE",$C154,"DEEP_BROKER_ID_OVERRIDE",AV$24,"DEEP_PERIOD_OVERRIDE",$H$19)*1,"")))</f>
        <v/>
      </c>
      <c r="AW154" t="str">
        <f>IF(OR(AW$23="",ISNA($B154)),"",IF(ISBLANK($B154),"",IFERROR(_xll.BDP(TICKER,"DEEP_MEASURE_PERIOD_BROKER_VALUE","DEEP_MEASURE_ID_OVERRIDE",$C154,"DEEP_BROKER_ID_OVERRIDE",AW$24,"DEEP_PERIOD_OVERRIDE",$H$19)*1,"")))</f>
        <v/>
      </c>
      <c r="AX154" t="str">
        <f>IF(OR(AX$23="",ISNA($B154)),"",IF(ISBLANK($B154),"",IFERROR(_xll.BDP(TICKER,"DEEP_MEASURE_PERIOD_BROKER_VALUE","DEEP_MEASURE_ID_OVERRIDE",$C154,"DEEP_BROKER_ID_OVERRIDE",AX$24,"DEEP_PERIOD_OVERRIDE",$H$19)*1,"")))</f>
        <v/>
      </c>
      <c r="AY154" t="str">
        <f>IF(OR(AY$23="",ISNA($B154)),"",IF(ISBLANK($B154),"",IFERROR(_xll.BDP(TICKER,"DEEP_MEASURE_PERIOD_BROKER_VALUE","DEEP_MEASURE_ID_OVERRIDE",$C154,"DEEP_BROKER_ID_OVERRIDE",AY$24,"DEEP_PERIOD_OVERRIDE",$H$19)*1,"")))</f>
        <v/>
      </c>
      <c r="AZ154" t="str">
        <f>IF(OR(AZ$23="",ISNA($B154)),"",IF(ISBLANK($B154),"",IFERROR(_xll.BDP(TICKER,"DEEP_MEASURE_PERIOD_BROKER_VALUE","DEEP_MEASURE_ID_OVERRIDE",$C154,"DEEP_BROKER_ID_OVERRIDE",AZ$24,"DEEP_PERIOD_OVERRIDE",$H$19)*1,"")))</f>
        <v/>
      </c>
      <c r="BA154" t="str">
        <f>IF(OR(BA$23="",ISNA($B154)),"",IF(ISBLANK($B154),"",IFERROR(_xll.BDP(TICKER,"DEEP_MEASURE_PERIOD_BROKER_VALUE","DEEP_MEASURE_ID_OVERRIDE",$C154,"DEEP_BROKER_ID_OVERRIDE",BA$24,"DEEP_PERIOD_OVERRIDE",$H$19)*1,"")))</f>
        <v/>
      </c>
      <c r="BB154" t="str">
        <f>IF(OR(BB$23="",ISNA($B154)),"",IF(ISBLANK($B154),"",IFERROR(_xll.BDP(TICKER,"DEEP_MEASURE_PERIOD_BROKER_VALUE","DEEP_MEASURE_ID_OVERRIDE",$C154,"DEEP_BROKER_ID_OVERRIDE",BB$24,"DEEP_PERIOD_OVERRIDE",$H$19)*1,"")))</f>
        <v/>
      </c>
      <c r="BC154" t="str">
        <f>IF(OR(BC$23="",ISNA($B154)),"",IF(ISBLANK($B154),"",IFERROR(_xll.BDP(TICKER,"DEEP_MEASURE_PERIOD_BROKER_VALUE","DEEP_MEASURE_ID_OVERRIDE",$C154,"DEEP_BROKER_ID_OVERRIDE",BC$24,"DEEP_PERIOD_OVERRIDE",$H$19)*1,"")))</f>
        <v/>
      </c>
      <c r="BD154" t="str">
        <f>IF(OR(BD$23="",ISNA($B154)),"",IF(ISBLANK($B154),"",IFERROR(_xll.BDP(TICKER,"DEEP_MEASURE_PERIOD_BROKER_VALUE","DEEP_MEASURE_ID_OVERRIDE",$C154,"DEEP_BROKER_ID_OVERRIDE",BD$24,"DEEP_PERIOD_OVERRIDE",$H$19)*1,"")))</f>
        <v/>
      </c>
      <c r="BE154" t="str">
        <f>IF(OR(BE$23="",ISNA($B154)),"",IF(ISBLANK($B154),"",IFERROR(_xll.BDP(TICKER,"DEEP_MEASURE_PERIOD_BROKER_VALUE","DEEP_MEASURE_ID_OVERRIDE",$C154,"DEEP_BROKER_ID_OVERRIDE",BE$24,"DEEP_PERIOD_OVERRIDE",$H$19)*1,"")))</f>
        <v/>
      </c>
      <c r="BF154" t="str">
        <f>IF(OR(BF$23="",ISNA($B154)),"",IF(ISBLANK($B154),"",IFERROR(_xll.BDP(TICKER,"DEEP_MEASURE_PERIOD_BROKER_VALUE","DEEP_MEASURE_ID_OVERRIDE",$C154,"DEEP_BROKER_ID_OVERRIDE",BF$24,"DEEP_PERIOD_OVERRIDE",$H$19)*1,"")))</f>
        <v/>
      </c>
      <c r="BG154" t="str">
        <f>IF(OR(BG$23="",ISNA($B154)),"",IF(ISBLANK($B154),"",IFERROR(_xll.BDP(TICKER,"DEEP_MEASURE_PERIOD_BROKER_VALUE","DEEP_MEASURE_ID_OVERRIDE",$C154,"DEEP_BROKER_ID_OVERRIDE",BG$24,"DEEP_PERIOD_OVERRIDE",$H$19)*1,"")))</f>
        <v/>
      </c>
      <c r="BH154" t="str">
        <f>IF(OR(BH$23="",ISNA($B154)),"",IF(ISBLANK($B154),"",IFERROR(_xll.BDP(TICKER,"DEEP_MEASURE_PERIOD_BROKER_VALUE","DEEP_MEASURE_ID_OVERRIDE",$C154,"DEEP_BROKER_ID_OVERRIDE",BH$24,"DEEP_PERIOD_OVERRIDE",$H$19)*1,"")))</f>
        <v/>
      </c>
      <c r="BI154" t="str">
        <f>IF(OR(BI$23="",ISNA($B154)),"",IF(ISBLANK($B154),"",IFERROR(_xll.BDP(TICKER,"DEEP_MEASURE_PERIOD_BROKER_VALUE","DEEP_MEASURE_ID_OVERRIDE",$C154,"DEEP_BROKER_ID_OVERRIDE",BI$24,"DEEP_PERIOD_OVERRIDE",$H$19)*1,"")))</f>
        <v/>
      </c>
      <c r="BJ154" t="str">
        <f>IF(OR(BJ$23="",ISNA($B154)),"",IF(ISBLANK($B154),"",IFERROR(_xll.BDP(TICKER,"DEEP_MEASURE_PERIOD_BROKER_VALUE","DEEP_MEASURE_ID_OVERRIDE",$C154,"DEEP_BROKER_ID_OVERRIDE",BJ$24,"DEEP_PERIOD_OVERRIDE",$H$19)*1,"")))</f>
        <v/>
      </c>
      <c r="BK154" t="str">
        <f>IF(OR(BK$23="",ISNA($B154)),"",IF(ISBLANK($B154),"",IFERROR(_xll.BDP(TICKER,"DEEP_MEASURE_PERIOD_BROKER_VALUE","DEEP_MEASURE_ID_OVERRIDE",$C154,"DEEP_BROKER_ID_OVERRIDE",BK$24,"DEEP_PERIOD_OVERRIDE",$H$19)*1,"")))</f>
        <v/>
      </c>
      <c r="BL154" t="str">
        <f>IF(OR(BL$23="",ISNA($B154)),"",IF(ISBLANK($B154),"",IFERROR(_xll.BDP(TICKER,"DEEP_MEASURE_PERIOD_BROKER_VALUE","DEEP_MEASURE_ID_OVERRIDE",$C154,"DEEP_BROKER_ID_OVERRIDE",BL$24,"DEEP_PERIOD_OVERRIDE",$H$19)*1,"")))</f>
        <v/>
      </c>
      <c r="BM154" t="str">
        <f>IF(OR(BM$23="",ISNA($B154)),"",IF(ISBLANK($B154),"",IFERROR(_xll.BDP(TICKER,"DEEP_MEASURE_PERIOD_BROKER_VALUE","DEEP_MEASURE_ID_OVERRIDE",$C154,"DEEP_BROKER_ID_OVERRIDE",BM$24,"DEEP_PERIOD_OVERRIDE",$H$19)*1,"")))</f>
        <v/>
      </c>
      <c r="BN154" t="str">
        <f>IF(OR(BN$23="",ISNA($B154)),"",IF(ISBLANK($B154),"",IFERROR(_xll.BDP(TICKER,"DEEP_MEASURE_PERIOD_BROKER_VALUE","DEEP_MEASURE_ID_OVERRIDE",$C154,"DEEP_BROKER_ID_OVERRIDE",BN$24,"DEEP_PERIOD_OVERRIDE",$H$19)*1,"")))</f>
        <v/>
      </c>
      <c r="BO154" t="str">
        <f>IF(OR(BO$23="",ISNA($B154)),"",IF(ISBLANK($B154),"",IFERROR(_xll.BDP(TICKER,"DEEP_MEASURE_PERIOD_BROKER_VALUE","DEEP_MEASURE_ID_OVERRIDE",$C154,"DEEP_BROKER_ID_OVERRIDE",BO$24,"DEEP_PERIOD_OVERRIDE",$H$19)*1,"")))</f>
        <v/>
      </c>
      <c r="BP154" t="str">
        <f>IF(OR(BP$23="",ISNA($B154)),"",IF(ISBLANK($B154),"",IFERROR(_xll.BDP(TICKER,"DEEP_MEASURE_PERIOD_BROKER_VALUE","DEEP_MEASURE_ID_OVERRIDE",$C154,"DEEP_BROKER_ID_OVERRIDE",BP$24,"DEEP_PERIOD_OVERRIDE",$H$19)*1,"")))</f>
        <v/>
      </c>
      <c r="BQ154" t="str">
        <f>IF(OR(BQ$23="",ISNA($B154)),"",IF(ISBLANK($B154),"",IFERROR(_xll.BDP(TICKER,"DEEP_MEASURE_PERIOD_BROKER_VALUE","DEEP_MEASURE_ID_OVERRIDE",$C154,"DEEP_BROKER_ID_OVERRIDE",BQ$24,"DEEP_PERIOD_OVERRIDE",$H$19)*1,"")))</f>
        <v/>
      </c>
      <c r="BR154" t="str">
        <f>IF(OR(BR$23="",ISNA($B154)),"",IF(ISBLANK($B154),"",IFERROR(_xll.BDP(TICKER,"DEEP_MEASURE_PERIOD_BROKER_VALUE","DEEP_MEASURE_ID_OVERRIDE",$C154,"DEEP_BROKER_ID_OVERRIDE",BR$24,"DEEP_PERIOD_OVERRIDE",$H$19)*1,"")))</f>
        <v/>
      </c>
      <c r="BS154" t="str">
        <f>IF(OR(BS$23="",ISNA($B154)),"",IF(ISBLANK($B154),"",IFERROR(_xll.BDP(TICKER,"DEEP_MEASURE_PERIOD_BROKER_VALUE","DEEP_MEASURE_ID_OVERRIDE",$C154,"DEEP_BROKER_ID_OVERRIDE",BS$24,"DEEP_PERIOD_OVERRIDE",$H$19)*1,"")))</f>
        <v/>
      </c>
      <c r="BT154" t="str">
        <f>IF(OR(BT$23="",ISNA($B154)),"",IF(ISBLANK($B154),"",IFERROR(_xll.BDP(TICKER,"DEEP_MEASURE_PERIOD_BROKER_VALUE","DEEP_MEASURE_ID_OVERRIDE",$C154,"DEEP_BROKER_ID_OVERRIDE",BT$24,"DEEP_PERIOD_OVERRIDE",$H$19)*1,"")))</f>
        <v/>
      </c>
      <c r="BU154" t="str">
        <f>IF(OR(BU$23="",ISNA($B154)),"",IF(ISBLANK($B154),"",IFERROR(_xll.BDP(TICKER,"DEEP_MEASURE_PERIOD_BROKER_VALUE","DEEP_MEASURE_ID_OVERRIDE",$C154,"DEEP_BROKER_ID_OVERRIDE",BU$24,"DEEP_PERIOD_OVERRIDE",$H$19)*1,"")))</f>
        <v/>
      </c>
      <c r="BV154" t="str">
        <f>IF(OR(BV$23="",ISNA($B154)),"",IF(ISBLANK($B154),"",IFERROR(_xll.BDP(TICKER,"DEEP_MEASURE_PERIOD_BROKER_VALUE","DEEP_MEASURE_ID_OVERRIDE",$C154,"DEEP_BROKER_ID_OVERRIDE",BV$24,"DEEP_PERIOD_OVERRIDE",$H$19)*1,"")))</f>
        <v/>
      </c>
      <c r="BW154" t="str">
        <f>IF(OR(BW$23="",ISNA($B154)),"",IF(ISBLANK($B154),"",IFERROR(_xll.BDP(TICKER,"DEEP_MEASURE_PERIOD_BROKER_VALUE","DEEP_MEASURE_ID_OVERRIDE",$C154,"DEEP_BROKER_ID_OVERRIDE",BW$24,"DEEP_PERIOD_OVERRIDE",$H$19)*1,"")))</f>
        <v/>
      </c>
      <c r="BX154" t="str">
        <f>IF(OR(BX$23="",ISNA($B154)),"",IF(ISBLANK($B154),"",IFERROR(_xll.BDP(TICKER,"DEEP_MEASURE_PERIOD_BROKER_VALUE","DEEP_MEASURE_ID_OVERRIDE",$C154,"DEEP_BROKER_ID_OVERRIDE",BX$24,"DEEP_PERIOD_OVERRIDE",$H$19)*1,"")))</f>
        <v/>
      </c>
      <c r="BY154" t="str">
        <f>IF(OR(BY$23="",ISNA($B154)),"",IF(ISBLANK($B154),"",IFERROR(_xll.BDP(TICKER,"DEEP_MEASURE_PERIOD_BROKER_VALUE","DEEP_MEASURE_ID_OVERRIDE",$C154,"DEEP_BROKER_ID_OVERRIDE",BY$24,"DEEP_PERIOD_OVERRIDE",$H$19)*1,"")))</f>
        <v/>
      </c>
      <c r="BZ154" t="str">
        <f>IF(OR(BZ$23="",ISNA($B154)),"",IF(ISBLANK($B154),"",IFERROR(_xll.BDP(TICKER,"DEEP_MEASURE_PERIOD_BROKER_VALUE","DEEP_MEASURE_ID_OVERRIDE",$C154,"DEEP_BROKER_ID_OVERRIDE",BZ$24,"DEEP_PERIOD_OVERRIDE",$H$19)*1,"")))</f>
        <v/>
      </c>
    </row>
    <row r="155" spans="2:78" x14ac:dyDescent="0.25">
      <c r="B155" t="s">
        <v>184</v>
      </c>
      <c r="C155">
        <v>344</v>
      </c>
      <c r="H155" t="str">
        <f t="shared" si="3"/>
        <v>Non-GAAP Metrics &gt; Stock Based Compensation</v>
      </c>
      <c r="I155" t="str">
        <f>IF(OR(I$23="",ISNA($B155)),"",IF(ISBLANK($B155),"",IFERROR(_xll.BDP(TICKER,"DEEP_MEASURE_PERIOD_BROKER_VALUE","DEEP_MEASURE_ID_OVERRIDE",$C155,"DEEP_PERIOD_OVERRIDE",$H$19)*1,"")))</f>
        <v/>
      </c>
      <c r="J155" t="e">
        <f>IF(OR(J$23="",ISNA($B155)),"",IF(ISBLANK($B155),"",IFERROR(_xll.BDP(TICKER,"DEEP_MEASURE_PERIOD_BROKER_VALUE","DEEP_MEASURE_ID_OVERRIDE",$C155,"DEEP_BROKER_ID_OVERRIDE",J$24,"DEEP_PERIOD_OVERRIDE",$H$19)*1,"")))</f>
        <v>#REF!</v>
      </c>
      <c r="K155" t="str">
        <f>IF(OR(K$23="",ISNA($B155)),"",IF(ISBLANK($B155),"",IFERROR(_xll.BDP(TICKER,"DEEP_MEASURE_PERIOD_BROKER_VALUE","DEEP_MEASURE_ID_OVERRIDE",$C155,"DEEP_BROKER_ID_OVERRIDE",K$24,"DEEP_PERIOD_OVERRIDE",$H$19)*1,"")))</f>
        <v/>
      </c>
      <c r="L155" t="str">
        <f>IF(OR(L$23="",ISNA($B155)),"",IF(ISBLANK($B155),"",IFERROR(_xll.BDP(TICKER,"DEEP_MEASURE_PERIOD_BROKER_VALUE","DEEP_MEASURE_ID_OVERRIDE",$C155,"DEEP_BROKER_ID_OVERRIDE",L$24,"DEEP_PERIOD_OVERRIDE",$H$19)*1,"")))</f>
        <v/>
      </c>
      <c r="M155" t="str">
        <f>IF(OR(M$23="",ISNA($B155)),"",IF(ISBLANK($B155),"",IFERROR(_xll.BDP(TICKER,"DEEP_MEASURE_PERIOD_BROKER_VALUE","DEEP_MEASURE_ID_OVERRIDE",$C155,"DEEP_BROKER_ID_OVERRIDE",M$24,"DEEP_PERIOD_OVERRIDE",$H$19)*1,"")))</f>
        <v/>
      </c>
      <c r="N155" t="str">
        <f>IF(OR(N$23="",ISNA($B155)),"",IF(ISBLANK($B155),"",IFERROR(_xll.BDP(TICKER,"DEEP_MEASURE_PERIOD_BROKER_VALUE","DEEP_MEASURE_ID_OVERRIDE",$C155,"DEEP_BROKER_ID_OVERRIDE",N$24,"DEEP_PERIOD_OVERRIDE",$H$19)*1,"")))</f>
        <v/>
      </c>
      <c r="O155" t="str">
        <f>IF(OR(O$23="",ISNA($B155)),"",IF(ISBLANK($B155),"",IFERROR(_xll.BDP(TICKER,"DEEP_MEASURE_PERIOD_BROKER_VALUE","DEEP_MEASURE_ID_OVERRIDE",$C155,"DEEP_BROKER_ID_OVERRIDE",O$24,"DEEP_PERIOD_OVERRIDE",$H$19)*1,"")))</f>
        <v/>
      </c>
      <c r="P155" t="str">
        <f>IF(OR(P$23="",ISNA($B155)),"",IF(ISBLANK($B155),"",IFERROR(_xll.BDP(TICKER,"DEEP_MEASURE_PERIOD_BROKER_VALUE","DEEP_MEASURE_ID_OVERRIDE",$C155,"DEEP_BROKER_ID_OVERRIDE",P$24,"DEEP_PERIOD_OVERRIDE",$H$19)*1,"")))</f>
        <v/>
      </c>
      <c r="Q155" t="str">
        <f>IF(OR(Q$23="",ISNA($B155)),"",IF(ISBLANK($B155),"",IFERROR(_xll.BDP(TICKER,"DEEP_MEASURE_PERIOD_BROKER_VALUE","DEEP_MEASURE_ID_OVERRIDE",$C155,"DEEP_BROKER_ID_OVERRIDE",Q$24,"DEEP_PERIOD_OVERRIDE",$H$19)*1,"")))</f>
        <v/>
      </c>
      <c r="R155" t="str">
        <f>IF(OR(R$23="",ISNA($B155)),"",IF(ISBLANK($B155),"",IFERROR(_xll.BDP(TICKER,"DEEP_MEASURE_PERIOD_BROKER_VALUE","DEEP_MEASURE_ID_OVERRIDE",$C155,"DEEP_BROKER_ID_OVERRIDE",R$24,"DEEP_PERIOD_OVERRIDE",$H$19)*1,"")))</f>
        <v/>
      </c>
      <c r="S155" t="str">
        <f>IF(OR(S$23="",ISNA($B155)),"",IF(ISBLANK($B155),"",IFERROR(_xll.BDP(TICKER,"DEEP_MEASURE_PERIOD_BROKER_VALUE","DEEP_MEASURE_ID_OVERRIDE",$C155,"DEEP_BROKER_ID_OVERRIDE",S$24,"DEEP_PERIOD_OVERRIDE",$H$19)*1,"")))</f>
        <v/>
      </c>
      <c r="T155" t="str">
        <f>IF(OR(T$23="",ISNA($B155)),"",IF(ISBLANK($B155),"",IFERROR(_xll.BDP(TICKER,"DEEP_MEASURE_PERIOD_BROKER_VALUE","DEEP_MEASURE_ID_OVERRIDE",$C155,"DEEP_BROKER_ID_OVERRIDE",T$24,"DEEP_PERIOD_OVERRIDE",$H$19)*1,"")))</f>
        <v/>
      </c>
      <c r="U155" t="str">
        <f>IF(OR(U$23="",ISNA($B155)),"",IF(ISBLANK($B155),"",IFERROR(_xll.BDP(TICKER,"DEEP_MEASURE_PERIOD_BROKER_VALUE","DEEP_MEASURE_ID_OVERRIDE",$C155,"DEEP_BROKER_ID_OVERRIDE",U$24,"DEEP_PERIOD_OVERRIDE",$H$19)*1,"")))</f>
        <v/>
      </c>
      <c r="V155" t="str">
        <f>IF(OR(V$23="",ISNA($B155)),"",IF(ISBLANK($B155),"",IFERROR(_xll.BDP(TICKER,"DEEP_MEASURE_PERIOD_BROKER_VALUE","DEEP_MEASURE_ID_OVERRIDE",$C155,"DEEP_BROKER_ID_OVERRIDE",V$24,"DEEP_PERIOD_OVERRIDE",$H$19)*1,"")))</f>
        <v/>
      </c>
      <c r="W155" t="str">
        <f>IF(OR(W$23="",ISNA($B155)),"",IF(ISBLANK($B155),"",IFERROR(_xll.BDP(TICKER,"DEEP_MEASURE_PERIOD_BROKER_VALUE","DEEP_MEASURE_ID_OVERRIDE",$C155,"DEEP_BROKER_ID_OVERRIDE",W$24,"DEEP_PERIOD_OVERRIDE",$H$19)*1,"")))</f>
        <v/>
      </c>
      <c r="X155" t="str">
        <f>IF(OR(X$23="",ISNA($B155)),"",IF(ISBLANK($B155),"",IFERROR(_xll.BDP(TICKER,"DEEP_MEASURE_PERIOD_BROKER_VALUE","DEEP_MEASURE_ID_OVERRIDE",$C155,"DEEP_BROKER_ID_OVERRIDE",X$24,"DEEP_PERIOD_OVERRIDE",$H$19)*1,"")))</f>
        <v/>
      </c>
      <c r="Y155" t="str">
        <f>IF(OR(Y$23="",ISNA($B155)),"",IF(ISBLANK($B155),"",IFERROR(_xll.BDP(TICKER,"DEEP_MEASURE_PERIOD_BROKER_VALUE","DEEP_MEASURE_ID_OVERRIDE",$C155,"DEEP_BROKER_ID_OVERRIDE",Y$24,"DEEP_PERIOD_OVERRIDE",$H$19)*1,"")))</f>
        <v/>
      </c>
      <c r="Z155" t="str">
        <f>IF(OR(Z$23="",ISNA($B155)),"",IF(ISBLANK($B155),"",IFERROR(_xll.BDP(TICKER,"DEEP_MEASURE_PERIOD_BROKER_VALUE","DEEP_MEASURE_ID_OVERRIDE",$C155,"DEEP_BROKER_ID_OVERRIDE",Z$24,"DEEP_PERIOD_OVERRIDE",$H$19)*1,"")))</f>
        <v/>
      </c>
      <c r="AA155" t="str">
        <f>IF(OR(AA$23="",ISNA($B155)),"",IF(ISBLANK($B155),"",IFERROR(_xll.BDP(TICKER,"DEEP_MEASURE_PERIOD_BROKER_VALUE","DEEP_MEASURE_ID_OVERRIDE",$C155,"DEEP_BROKER_ID_OVERRIDE",AA$24,"DEEP_PERIOD_OVERRIDE",$H$19)*1,"")))</f>
        <v/>
      </c>
      <c r="AB155" t="str">
        <f>IF(OR(AB$23="",ISNA($B155)),"",IF(ISBLANK($B155),"",IFERROR(_xll.BDP(TICKER,"DEEP_MEASURE_PERIOD_BROKER_VALUE","DEEP_MEASURE_ID_OVERRIDE",$C155,"DEEP_BROKER_ID_OVERRIDE",AB$24,"DEEP_PERIOD_OVERRIDE",$H$19)*1,"")))</f>
        <v/>
      </c>
      <c r="AC155" t="str">
        <f>IF(OR(AC$23="",ISNA($B155)),"",IF(ISBLANK($B155),"",IFERROR(_xll.BDP(TICKER,"DEEP_MEASURE_PERIOD_BROKER_VALUE","DEEP_MEASURE_ID_OVERRIDE",$C155,"DEEP_BROKER_ID_OVERRIDE",AC$24,"DEEP_PERIOD_OVERRIDE",$H$19)*1,"")))</f>
        <v/>
      </c>
      <c r="AD155" t="str">
        <f>IF(OR(AD$23="",ISNA($B155)),"",IF(ISBLANK($B155),"",IFERROR(_xll.BDP(TICKER,"DEEP_MEASURE_PERIOD_BROKER_VALUE","DEEP_MEASURE_ID_OVERRIDE",$C155,"DEEP_BROKER_ID_OVERRIDE",AD$24,"DEEP_PERIOD_OVERRIDE",$H$19)*1,"")))</f>
        <v/>
      </c>
      <c r="AE155" t="str">
        <f>IF(OR(AE$23="",ISNA($B155)),"",IF(ISBLANK($B155),"",IFERROR(_xll.BDP(TICKER,"DEEP_MEASURE_PERIOD_BROKER_VALUE","DEEP_MEASURE_ID_OVERRIDE",$C155,"DEEP_BROKER_ID_OVERRIDE",AE$24,"DEEP_PERIOD_OVERRIDE",$H$19)*1,"")))</f>
        <v/>
      </c>
      <c r="AF155" t="str">
        <f>IF(OR(AF$23="",ISNA($B155)),"",IF(ISBLANK($B155),"",IFERROR(_xll.BDP(TICKER,"DEEP_MEASURE_PERIOD_BROKER_VALUE","DEEP_MEASURE_ID_OVERRIDE",$C155,"DEEP_BROKER_ID_OVERRIDE",AF$24,"DEEP_PERIOD_OVERRIDE",$H$19)*1,"")))</f>
        <v/>
      </c>
      <c r="AG155" t="str">
        <f>IF(OR(AG$23="",ISNA($B155)),"",IF(ISBLANK($B155),"",IFERROR(_xll.BDP(TICKER,"DEEP_MEASURE_PERIOD_BROKER_VALUE","DEEP_MEASURE_ID_OVERRIDE",$C155,"DEEP_BROKER_ID_OVERRIDE",AG$24,"DEEP_PERIOD_OVERRIDE",$H$19)*1,"")))</f>
        <v/>
      </c>
      <c r="AH155" t="str">
        <f>IF(OR(AH$23="",ISNA($B155)),"",IF(ISBLANK($B155),"",IFERROR(_xll.BDP(TICKER,"DEEP_MEASURE_PERIOD_BROKER_VALUE","DEEP_MEASURE_ID_OVERRIDE",$C155,"DEEP_BROKER_ID_OVERRIDE",AH$24,"DEEP_PERIOD_OVERRIDE",$H$19)*1,"")))</f>
        <v/>
      </c>
      <c r="AI155" t="str">
        <f>IF(OR(AI$23="",ISNA($B155)),"",IF(ISBLANK($B155),"",IFERROR(_xll.BDP(TICKER,"DEEP_MEASURE_PERIOD_BROKER_VALUE","DEEP_MEASURE_ID_OVERRIDE",$C155,"DEEP_BROKER_ID_OVERRIDE",AI$24,"DEEP_PERIOD_OVERRIDE",$H$19)*1,"")))</f>
        <v/>
      </c>
      <c r="AJ155" t="str">
        <f>IF(OR(AJ$23="",ISNA($B155)),"",IF(ISBLANK($B155),"",IFERROR(_xll.BDP(TICKER,"DEEP_MEASURE_PERIOD_BROKER_VALUE","DEEP_MEASURE_ID_OVERRIDE",$C155,"DEEP_BROKER_ID_OVERRIDE",AJ$24,"DEEP_PERIOD_OVERRIDE",$H$19)*1,"")))</f>
        <v/>
      </c>
      <c r="AK155" t="str">
        <f>IF(OR(AK$23="",ISNA($B155)),"",IF(ISBLANK($B155),"",IFERROR(_xll.BDP(TICKER,"DEEP_MEASURE_PERIOD_BROKER_VALUE","DEEP_MEASURE_ID_OVERRIDE",$C155,"DEEP_BROKER_ID_OVERRIDE",AK$24,"DEEP_PERIOD_OVERRIDE",$H$19)*1,"")))</f>
        <v/>
      </c>
      <c r="AL155" t="str">
        <f>IF(OR(AL$23="",ISNA($B155)),"",IF(ISBLANK($B155),"",IFERROR(_xll.BDP(TICKER,"DEEP_MEASURE_PERIOD_BROKER_VALUE","DEEP_MEASURE_ID_OVERRIDE",$C155,"DEEP_BROKER_ID_OVERRIDE",AL$24,"DEEP_PERIOD_OVERRIDE",$H$19)*1,"")))</f>
        <v/>
      </c>
      <c r="AM155" t="str">
        <f>IF(OR(AM$23="",ISNA($B155)),"",IF(ISBLANK($B155),"",IFERROR(_xll.BDP(TICKER,"DEEP_MEASURE_PERIOD_BROKER_VALUE","DEEP_MEASURE_ID_OVERRIDE",$C155,"DEEP_BROKER_ID_OVERRIDE",AM$24,"DEEP_PERIOD_OVERRIDE",$H$19)*1,"")))</f>
        <v/>
      </c>
      <c r="AN155" t="str">
        <f>IF(OR(AN$23="",ISNA($B155)),"",IF(ISBLANK($B155),"",IFERROR(_xll.BDP(TICKER,"DEEP_MEASURE_PERIOD_BROKER_VALUE","DEEP_MEASURE_ID_OVERRIDE",$C155,"DEEP_BROKER_ID_OVERRIDE",AN$24,"DEEP_PERIOD_OVERRIDE",$H$19)*1,"")))</f>
        <v/>
      </c>
      <c r="AO155" t="str">
        <f>IF(OR(AO$23="",ISNA($B155)),"",IF(ISBLANK($B155),"",IFERROR(_xll.BDP(TICKER,"DEEP_MEASURE_PERIOD_BROKER_VALUE","DEEP_MEASURE_ID_OVERRIDE",$C155,"DEEP_BROKER_ID_OVERRIDE",AO$24,"DEEP_PERIOD_OVERRIDE",$H$19)*1,"")))</f>
        <v/>
      </c>
      <c r="AP155" t="str">
        <f>IF(OR(AP$23="",ISNA($B155)),"",IF(ISBLANK($B155),"",IFERROR(_xll.BDP(TICKER,"DEEP_MEASURE_PERIOD_BROKER_VALUE","DEEP_MEASURE_ID_OVERRIDE",$C155,"DEEP_BROKER_ID_OVERRIDE",AP$24,"DEEP_PERIOD_OVERRIDE",$H$19)*1,"")))</f>
        <v/>
      </c>
      <c r="AQ155" t="str">
        <f>IF(OR(AQ$23="",ISNA($B155)),"",IF(ISBLANK($B155),"",IFERROR(_xll.BDP(TICKER,"DEEP_MEASURE_PERIOD_BROKER_VALUE","DEEP_MEASURE_ID_OVERRIDE",$C155,"DEEP_BROKER_ID_OVERRIDE",AQ$24,"DEEP_PERIOD_OVERRIDE",$H$19)*1,"")))</f>
        <v/>
      </c>
      <c r="AR155" t="str">
        <f>IF(OR(AR$23="",ISNA($B155)),"",IF(ISBLANK($B155),"",IFERROR(_xll.BDP(TICKER,"DEEP_MEASURE_PERIOD_BROKER_VALUE","DEEP_MEASURE_ID_OVERRIDE",$C155,"DEEP_BROKER_ID_OVERRIDE",AR$24,"DEEP_PERIOD_OVERRIDE",$H$19)*1,"")))</f>
        <v/>
      </c>
      <c r="AS155" t="str">
        <f>IF(OR(AS$23="",ISNA($B155)),"",IF(ISBLANK($B155),"",IFERROR(_xll.BDP(TICKER,"DEEP_MEASURE_PERIOD_BROKER_VALUE","DEEP_MEASURE_ID_OVERRIDE",$C155,"DEEP_BROKER_ID_OVERRIDE",AS$24,"DEEP_PERIOD_OVERRIDE",$H$19)*1,"")))</f>
        <v/>
      </c>
      <c r="AT155" t="str">
        <f>IF(OR(AT$23="",ISNA($B155)),"",IF(ISBLANK($B155),"",IFERROR(_xll.BDP(TICKER,"DEEP_MEASURE_PERIOD_BROKER_VALUE","DEEP_MEASURE_ID_OVERRIDE",$C155,"DEEP_BROKER_ID_OVERRIDE",AT$24,"DEEP_PERIOD_OVERRIDE",$H$19)*1,"")))</f>
        <v/>
      </c>
      <c r="AU155" t="str">
        <f>IF(OR(AU$23="",ISNA($B155)),"",IF(ISBLANK($B155),"",IFERROR(_xll.BDP(TICKER,"DEEP_MEASURE_PERIOD_BROKER_VALUE","DEEP_MEASURE_ID_OVERRIDE",$C155,"DEEP_BROKER_ID_OVERRIDE",AU$24,"DEEP_PERIOD_OVERRIDE",$H$19)*1,"")))</f>
        <v/>
      </c>
      <c r="AV155" t="str">
        <f>IF(OR(AV$23="",ISNA($B155)),"",IF(ISBLANK($B155),"",IFERROR(_xll.BDP(TICKER,"DEEP_MEASURE_PERIOD_BROKER_VALUE","DEEP_MEASURE_ID_OVERRIDE",$C155,"DEEP_BROKER_ID_OVERRIDE",AV$24,"DEEP_PERIOD_OVERRIDE",$H$19)*1,"")))</f>
        <v/>
      </c>
      <c r="AW155" t="str">
        <f>IF(OR(AW$23="",ISNA($B155)),"",IF(ISBLANK($B155),"",IFERROR(_xll.BDP(TICKER,"DEEP_MEASURE_PERIOD_BROKER_VALUE","DEEP_MEASURE_ID_OVERRIDE",$C155,"DEEP_BROKER_ID_OVERRIDE",AW$24,"DEEP_PERIOD_OVERRIDE",$H$19)*1,"")))</f>
        <v/>
      </c>
      <c r="AX155" t="str">
        <f>IF(OR(AX$23="",ISNA($B155)),"",IF(ISBLANK($B155),"",IFERROR(_xll.BDP(TICKER,"DEEP_MEASURE_PERIOD_BROKER_VALUE","DEEP_MEASURE_ID_OVERRIDE",$C155,"DEEP_BROKER_ID_OVERRIDE",AX$24,"DEEP_PERIOD_OVERRIDE",$H$19)*1,"")))</f>
        <v/>
      </c>
      <c r="AY155" t="str">
        <f>IF(OR(AY$23="",ISNA($B155)),"",IF(ISBLANK($B155),"",IFERROR(_xll.BDP(TICKER,"DEEP_MEASURE_PERIOD_BROKER_VALUE","DEEP_MEASURE_ID_OVERRIDE",$C155,"DEEP_BROKER_ID_OVERRIDE",AY$24,"DEEP_PERIOD_OVERRIDE",$H$19)*1,"")))</f>
        <v/>
      </c>
      <c r="AZ155" t="str">
        <f>IF(OR(AZ$23="",ISNA($B155)),"",IF(ISBLANK($B155),"",IFERROR(_xll.BDP(TICKER,"DEEP_MEASURE_PERIOD_BROKER_VALUE","DEEP_MEASURE_ID_OVERRIDE",$C155,"DEEP_BROKER_ID_OVERRIDE",AZ$24,"DEEP_PERIOD_OVERRIDE",$H$19)*1,"")))</f>
        <v/>
      </c>
      <c r="BA155" t="str">
        <f>IF(OR(BA$23="",ISNA($B155)),"",IF(ISBLANK($B155),"",IFERROR(_xll.BDP(TICKER,"DEEP_MEASURE_PERIOD_BROKER_VALUE","DEEP_MEASURE_ID_OVERRIDE",$C155,"DEEP_BROKER_ID_OVERRIDE",BA$24,"DEEP_PERIOD_OVERRIDE",$H$19)*1,"")))</f>
        <v/>
      </c>
      <c r="BB155" t="str">
        <f>IF(OR(BB$23="",ISNA($B155)),"",IF(ISBLANK($B155),"",IFERROR(_xll.BDP(TICKER,"DEEP_MEASURE_PERIOD_BROKER_VALUE","DEEP_MEASURE_ID_OVERRIDE",$C155,"DEEP_BROKER_ID_OVERRIDE",BB$24,"DEEP_PERIOD_OVERRIDE",$H$19)*1,"")))</f>
        <v/>
      </c>
      <c r="BC155" t="str">
        <f>IF(OR(BC$23="",ISNA($B155)),"",IF(ISBLANK($B155),"",IFERROR(_xll.BDP(TICKER,"DEEP_MEASURE_PERIOD_BROKER_VALUE","DEEP_MEASURE_ID_OVERRIDE",$C155,"DEEP_BROKER_ID_OVERRIDE",BC$24,"DEEP_PERIOD_OVERRIDE",$H$19)*1,"")))</f>
        <v/>
      </c>
      <c r="BD155" t="str">
        <f>IF(OR(BD$23="",ISNA($B155)),"",IF(ISBLANK($B155),"",IFERROR(_xll.BDP(TICKER,"DEEP_MEASURE_PERIOD_BROKER_VALUE","DEEP_MEASURE_ID_OVERRIDE",$C155,"DEEP_BROKER_ID_OVERRIDE",BD$24,"DEEP_PERIOD_OVERRIDE",$H$19)*1,"")))</f>
        <v/>
      </c>
      <c r="BE155" t="str">
        <f>IF(OR(BE$23="",ISNA($B155)),"",IF(ISBLANK($B155),"",IFERROR(_xll.BDP(TICKER,"DEEP_MEASURE_PERIOD_BROKER_VALUE","DEEP_MEASURE_ID_OVERRIDE",$C155,"DEEP_BROKER_ID_OVERRIDE",BE$24,"DEEP_PERIOD_OVERRIDE",$H$19)*1,"")))</f>
        <v/>
      </c>
      <c r="BF155" t="str">
        <f>IF(OR(BF$23="",ISNA($B155)),"",IF(ISBLANK($B155),"",IFERROR(_xll.BDP(TICKER,"DEEP_MEASURE_PERIOD_BROKER_VALUE","DEEP_MEASURE_ID_OVERRIDE",$C155,"DEEP_BROKER_ID_OVERRIDE",BF$24,"DEEP_PERIOD_OVERRIDE",$H$19)*1,"")))</f>
        <v/>
      </c>
      <c r="BG155" t="str">
        <f>IF(OR(BG$23="",ISNA($B155)),"",IF(ISBLANK($B155),"",IFERROR(_xll.BDP(TICKER,"DEEP_MEASURE_PERIOD_BROKER_VALUE","DEEP_MEASURE_ID_OVERRIDE",$C155,"DEEP_BROKER_ID_OVERRIDE",BG$24,"DEEP_PERIOD_OVERRIDE",$H$19)*1,"")))</f>
        <v/>
      </c>
      <c r="BH155" t="str">
        <f>IF(OR(BH$23="",ISNA($B155)),"",IF(ISBLANK($B155),"",IFERROR(_xll.BDP(TICKER,"DEEP_MEASURE_PERIOD_BROKER_VALUE","DEEP_MEASURE_ID_OVERRIDE",$C155,"DEEP_BROKER_ID_OVERRIDE",BH$24,"DEEP_PERIOD_OVERRIDE",$H$19)*1,"")))</f>
        <v/>
      </c>
      <c r="BI155" t="str">
        <f>IF(OR(BI$23="",ISNA($B155)),"",IF(ISBLANK($B155),"",IFERROR(_xll.BDP(TICKER,"DEEP_MEASURE_PERIOD_BROKER_VALUE","DEEP_MEASURE_ID_OVERRIDE",$C155,"DEEP_BROKER_ID_OVERRIDE",BI$24,"DEEP_PERIOD_OVERRIDE",$H$19)*1,"")))</f>
        <v/>
      </c>
      <c r="BJ155" t="str">
        <f>IF(OR(BJ$23="",ISNA($B155)),"",IF(ISBLANK($B155),"",IFERROR(_xll.BDP(TICKER,"DEEP_MEASURE_PERIOD_BROKER_VALUE","DEEP_MEASURE_ID_OVERRIDE",$C155,"DEEP_BROKER_ID_OVERRIDE",BJ$24,"DEEP_PERIOD_OVERRIDE",$H$19)*1,"")))</f>
        <v/>
      </c>
      <c r="BK155" t="str">
        <f>IF(OR(BK$23="",ISNA($B155)),"",IF(ISBLANK($B155),"",IFERROR(_xll.BDP(TICKER,"DEEP_MEASURE_PERIOD_BROKER_VALUE","DEEP_MEASURE_ID_OVERRIDE",$C155,"DEEP_BROKER_ID_OVERRIDE",BK$24,"DEEP_PERIOD_OVERRIDE",$H$19)*1,"")))</f>
        <v/>
      </c>
      <c r="BL155" t="str">
        <f>IF(OR(BL$23="",ISNA($B155)),"",IF(ISBLANK($B155),"",IFERROR(_xll.BDP(TICKER,"DEEP_MEASURE_PERIOD_BROKER_VALUE","DEEP_MEASURE_ID_OVERRIDE",$C155,"DEEP_BROKER_ID_OVERRIDE",BL$24,"DEEP_PERIOD_OVERRIDE",$H$19)*1,"")))</f>
        <v/>
      </c>
      <c r="BM155" t="str">
        <f>IF(OR(BM$23="",ISNA($B155)),"",IF(ISBLANK($B155),"",IFERROR(_xll.BDP(TICKER,"DEEP_MEASURE_PERIOD_BROKER_VALUE","DEEP_MEASURE_ID_OVERRIDE",$C155,"DEEP_BROKER_ID_OVERRIDE",BM$24,"DEEP_PERIOD_OVERRIDE",$H$19)*1,"")))</f>
        <v/>
      </c>
      <c r="BN155" t="str">
        <f>IF(OR(BN$23="",ISNA($B155)),"",IF(ISBLANK($B155),"",IFERROR(_xll.BDP(TICKER,"DEEP_MEASURE_PERIOD_BROKER_VALUE","DEEP_MEASURE_ID_OVERRIDE",$C155,"DEEP_BROKER_ID_OVERRIDE",BN$24,"DEEP_PERIOD_OVERRIDE",$H$19)*1,"")))</f>
        <v/>
      </c>
      <c r="BO155" t="str">
        <f>IF(OR(BO$23="",ISNA($B155)),"",IF(ISBLANK($B155),"",IFERROR(_xll.BDP(TICKER,"DEEP_MEASURE_PERIOD_BROKER_VALUE","DEEP_MEASURE_ID_OVERRIDE",$C155,"DEEP_BROKER_ID_OVERRIDE",BO$24,"DEEP_PERIOD_OVERRIDE",$H$19)*1,"")))</f>
        <v/>
      </c>
      <c r="BP155" t="str">
        <f>IF(OR(BP$23="",ISNA($B155)),"",IF(ISBLANK($B155),"",IFERROR(_xll.BDP(TICKER,"DEEP_MEASURE_PERIOD_BROKER_VALUE","DEEP_MEASURE_ID_OVERRIDE",$C155,"DEEP_BROKER_ID_OVERRIDE",BP$24,"DEEP_PERIOD_OVERRIDE",$H$19)*1,"")))</f>
        <v/>
      </c>
      <c r="BQ155" t="str">
        <f>IF(OR(BQ$23="",ISNA($B155)),"",IF(ISBLANK($B155),"",IFERROR(_xll.BDP(TICKER,"DEEP_MEASURE_PERIOD_BROKER_VALUE","DEEP_MEASURE_ID_OVERRIDE",$C155,"DEEP_BROKER_ID_OVERRIDE",BQ$24,"DEEP_PERIOD_OVERRIDE",$H$19)*1,"")))</f>
        <v/>
      </c>
      <c r="BR155" t="str">
        <f>IF(OR(BR$23="",ISNA($B155)),"",IF(ISBLANK($B155),"",IFERROR(_xll.BDP(TICKER,"DEEP_MEASURE_PERIOD_BROKER_VALUE","DEEP_MEASURE_ID_OVERRIDE",$C155,"DEEP_BROKER_ID_OVERRIDE",BR$24,"DEEP_PERIOD_OVERRIDE",$H$19)*1,"")))</f>
        <v/>
      </c>
      <c r="BS155" t="str">
        <f>IF(OR(BS$23="",ISNA($B155)),"",IF(ISBLANK($B155),"",IFERROR(_xll.BDP(TICKER,"DEEP_MEASURE_PERIOD_BROKER_VALUE","DEEP_MEASURE_ID_OVERRIDE",$C155,"DEEP_BROKER_ID_OVERRIDE",BS$24,"DEEP_PERIOD_OVERRIDE",$H$19)*1,"")))</f>
        <v/>
      </c>
      <c r="BT155" t="str">
        <f>IF(OR(BT$23="",ISNA($B155)),"",IF(ISBLANK($B155),"",IFERROR(_xll.BDP(TICKER,"DEEP_MEASURE_PERIOD_BROKER_VALUE","DEEP_MEASURE_ID_OVERRIDE",$C155,"DEEP_BROKER_ID_OVERRIDE",BT$24,"DEEP_PERIOD_OVERRIDE",$H$19)*1,"")))</f>
        <v/>
      </c>
      <c r="BU155" t="str">
        <f>IF(OR(BU$23="",ISNA($B155)),"",IF(ISBLANK($B155),"",IFERROR(_xll.BDP(TICKER,"DEEP_MEASURE_PERIOD_BROKER_VALUE","DEEP_MEASURE_ID_OVERRIDE",$C155,"DEEP_BROKER_ID_OVERRIDE",BU$24,"DEEP_PERIOD_OVERRIDE",$H$19)*1,"")))</f>
        <v/>
      </c>
      <c r="BV155" t="str">
        <f>IF(OR(BV$23="",ISNA($B155)),"",IF(ISBLANK($B155),"",IFERROR(_xll.BDP(TICKER,"DEEP_MEASURE_PERIOD_BROKER_VALUE","DEEP_MEASURE_ID_OVERRIDE",$C155,"DEEP_BROKER_ID_OVERRIDE",BV$24,"DEEP_PERIOD_OVERRIDE",$H$19)*1,"")))</f>
        <v/>
      </c>
      <c r="BW155" t="str">
        <f>IF(OR(BW$23="",ISNA($B155)),"",IF(ISBLANK($B155),"",IFERROR(_xll.BDP(TICKER,"DEEP_MEASURE_PERIOD_BROKER_VALUE","DEEP_MEASURE_ID_OVERRIDE",$C155,"DEEP_BROKER_ID_OVERRIDE",BW$24,"DEEP_PERIOD_OVERRIDE",$H$19)*1,"")))</f>
        <v/>
      </c>
      <c r="BX155" t="str">
        <f>IF(OR(BX$23="",ISNA($B155)),"",IF(ISBLANK($B155),"",IFERROR(_xll.BDP(TICKER,"DEEP_MEASURE_PERIOD_BROKER_VALUE","DEEP_MEASURE_ID_OVERRIDE",$C155,"DEEP_BROKER_ID_OVERRIDE",BX$24,"DEEP_PERIOD_OVERRIDE",$H$19)*1,"")))</f>
        <v/>
      </c>
      <c r="BY155" t="str">
        <f>IF(OR(BY$23="",ISNA($B155)),"",IF(ISBLANK($B155),"",IFERROR(_xll.BDP(TICKER,"DEEP_MEASURE_PERIOD_BROKER_VALUE","DEEP_MEASURE_ID_OVERRIDE",$C155,"DEEP_BROKER_ID_OVERRIDE",BY$24,"DEEP_PERIOD_OVERRIDE",$H$19)*1,"")))</f>
        <v/>
      </c>
      <c r="BZ155" t="str">
        <f>IF(OR(BZ$23="",ISNA($B155)),"",IF(ISBLANK($B155),"",IFERROR(_xll.BDP(TICKER,"DEEP_MEASURE_PERIOD_BROKER_VALUE","DEEP_MEASURE_ID_OVERRIDE",$C155,"DEEP_BROKER_ID_OVERRIDE",BZ$24,"DEEP_PERIOD_OVERRIDE",$H$19)*1,"")))</f>
        <v/>
      </c>
    </row>
    <row r="156" spans="2:78" x14ac:dyDescent="0.25">
      <c r="B156" t="s">
        <v>185</v>
      </c>
      <c r="C156">
        <v>2760</v>
      </c>
      <c r="H156" t="str">
        <f t="shared" si="3"/>
        <v>Non-GAAP Metrics &gt; Pre-Tax Income</v>
      </c>
      <c r="I156" t="str">
        <f>IF(OR(I$23="",ISNA($B156)),"",IF(ISBLANK($B156),"",IFERROR(_xll.BDP(TICKER,"DEEP_MEASURE_PERIOD_BROKER_VALUE","DEEP_MEASURE_ID_OVERRIDE",$C156,"DEEP_PERIOD_OVERRIDE",$H$19)*1,"")))</f>
        <v/>
      </c>
      <c r="J156" t="e">
        <f>IF(OR(J$23="",ISNA($B156)),"",IF(ISBLANK($B156),"",IFERROR(_xll.BDP(TICKER,"DEEP_MEASURE_PERIOD_BROKER_VALUE","DEEP_MEASURE_ID_OVERRIDE",$C156,"DEEP_BROKER_ID_OVERRIDE",J$24,"DEEP_PERIOD_OVERRIDE",$H$19)*1,"")))</f>
        <v>#REF!</v>
      </c>
      <c r="K156" t="str">
        <f>IF(OR(K$23="",ISNA($B156)),"",IF(ISBLANK($B156),"",IFERROR(_xll.BDP(TICKER,"DEEP_MEASURE_PERIOD_BROKER_VALUE","DEEP_MEASURE_ID_OVERRIDE",$C156,"DEEP_BROKER_ID_OVERRIDE",K$24,"DEEP_PERIOD_OVERRIDE",$H$19)*1,"")))</f>
        <v/>
      </c>
      <c r="L156" t="str">
        <f>IF(OR(L$23="",ISNA($B156)),"",IF(ISBLANK($B156),"",IFERROR(_xll.BDP(TICKER,"DEEP_MEASURE_PERIOD_BROKER_VALUE","DEEP_MEASURE_ID_OVERRIDE",$C156,"DEEP_BROKER_ID_OVERRIDE",L$24,"DEEP_PERIOD_OVERRIDE",$H$19)*1,"")))</f>
        <v/>
      </c>
      <c r="M156" t="str">
        <f>IF(OR(M$23="",ISNA($B156)),"",IF(ISBLANK($B156),"",IFERROR(_xll.BDP(TICKER,"DEEP_MEASURE_PERIOD_BROKER_VALUE","DEEP_MEASURE_ID_OVERRIDE",$C156,"DEEP_BROKER_ID_OVERRIDE",M$24,"DEEP_PERIOD_OVERRIDE",$H$19)*1,"")))</f>
        <v/>
      </c>
      <c r="N156" t="str">
        <f>IF(OR(N$23="",ISNA($B156)),"",IF(ISBLANK($B156),"",IFERROR(_xll.BDP(TICKER,"DEEP_MEASURE_PERIOD_BROKER_VALUE","DEEP_MEASURE_ID_OVERRIDE",$C156,"DEEP_BROKER_ID_OVERRIDE",N$24,"DEEP_PERIOD_OVERRIDE",$H$19)*1,"")))</f>
        <v/>
      </c>
      <c r="O156" t="str">
        <f>IF(OR(O$23="",ISNA($B156)),"",IF(ISBLANK($B156),"",IFERROR(_xll.BDP(TICKER,"DEEP_MEASURE_PERIOD_BROKER_VALUE","DEEP_MEASURE_ID_OVERRIDE",$C156,"DEEP_BROKER_ID_OVERRIDE",O$24,"DEEP_PERIOD_OVERRIDE",$H$19)*1,"")))</f>
        <v/>
      </c>
      <c r="P156" t="str">
        <f>IF(OR(P$23="",ISNA($B156)),"",IF(ISBLANK($B156),"",IFERROR(_xll.BDP(TICKER,"DEEP_MEASURE_PERIOD_BROKER_VALUE","DEEP_MEASURE_ID_OVERRIDE",$C156,"DEEP_BROKER_ID_OVERRIDE",P$24,"DEEP_PERIOD_OVERRIDE",$H$19)*1,"")))</f>
        <v/>
      </c>
      <c r="Q156" t="str">
        <f>IF(OR(Q$23="",ISNA($B156)),"",IF(ISBLANK($B156),"",IFERROR(_xll.BDP(TICKER,"DEEP_MEASURE_PERIOD_BROKER_VALUE","DEEP_MEASURE_ID_OVERRIDE",$C156,"DEEP_BROKER_ID_OVERRIDE",Q$24,"DEEP_PERIOD_OVERRIDE",$H$19)*1,"")))</f>
        <v/>
      </c>
      <c r="R156" t="str">
        <f>IF(OR(R$23="",ISNA($B156)),"",IF(ISBLANK($B156),"",IFERROR(_xll.BDP(TICKER,"DEEP_MEASURE_PERIOD_BROKER_VALUE","DEEP_MEASURE_ID_OVERRIDE",$C156,"DEEP_BROKER_ID_OVERRIDE",R$24,"DEEP_PERIOD_OVERRIDE",$H$19)*1,"")))</f>
        <v/>
      </c>
      <c r="S156" t="str">
        <f>IF(OR(S$23="",ISNA($B156)),"",IF(ISBLANK($B156),"",IFERROR(_xll.BDP(TICKER,"DEEP_MEASURE_PERIOD_BROKER_VALUE","DEEP_MEASURE_ID_OVERRIDE",$C156,"DEEP_BROKER_ID_OVERRIDE",S$24,"DEEP_PERIOD_OVERRIDE",$H$19)*1,"")))</f>
        <v/>
      </c>
      <c r="T156" t="str">
        <f>IF(OR(T$23="",ISNA($B156)),"",IF(ISBLANK($B156),"",IFERROR(_xll.BDP(TICKER,"DEEP_MEASURE_PERIOD_BROKER_VALUE","DEEP_MEASURE_ID_OVERRIDE",$C156,"DEEP_BROKER_ID_OVERRIDE",T$24,"DEEP_PERIOD_OVERRIDE",$H$19)*1,"")))</f>
        <v/>
      </c>
      <c r="U156" t="str">
        <f>IF(OR(U$23="",ISNA($B156)),"",IF(ISBLANK($B156),"",IFERROR(_xll.BDP(TICKER,"DEEP_MEASURE_PERIOD_BROKER_VALUE","DEEP_MEASURE_ID_OVERRIDE",$C156,"DEEP_BROKER_ID_OVERRIDE",U$24,"DEEP_PERIOD_OVERRIDE",$H$19)*1,"")))</f>
        <v/>
      </c>
      <c r="V156" t="str">
        <f>IF(OR(V$23="",ISNA($B156)),"",IF(ISBLANK($B156),"",IFERROR(_xll.BDP(TICKER,"DEEP_MEASURE_PERIOD_BROKER_VALUE","DEEP_MEASURE_ID_OVERRIDE",$C156,"DEEP_BROKER_ID_OVERRIDE",V$24,"DEEP_PERIOD_OVERRIDE",$H$19)*1,"")))</f>
        <v/>
      </c>
      <c r="W156" t="str">
        <f>IF(OR(W$23="",ISNA($B156)),"",IF(ISBLANK($B156),"",IFERROR(_xll.BDP(TICKER,"DEEP_MEASURE_PERIOD_BROKER_VALUE","DEEP_MEASURE_ID_OVERRIDE",$C156,"DEEP_BROKER_ID_OVERRIDE",W$24,"DEEP_PERIOD_OVERRIDE",$H$19)*1,"")))</f>
        <v/>
      </c>
      <c r="X156" t="str">
        <f>IF(OR(X$23="",ISNA($B156)),"",IF(ISBLANK($B156),"",IFERROR(_xll.BDP(TICKER,"DEEP_MEASURE_PERIOD_BROKER_VALUE","DEEP_MEASURE_ID_OVERRIDE",$C156,"DEEP_BROKER_ID_OVERRIDE",X$24,"DEEP_PERIOD_OVERRIDE",$H$19)*1,"")))</f>
        <v/>
      </c>
      <c r="Y156" t="str">
        <f>IF(OR(Y$23="",ISNA($B156)),"",IF(ISBLANK($B156),"",IFERROR(_xll.BDP(TICKER,"DEEP_MEASURE_PERIOD_BROKER_VALUE","DEEP_MEASURE_ID_OVERRIDE",$C156,"DEEP_BROKER_ID_OVERRIDE",Y$24,"DEEP_PERIOD_OVERRIDE",$H$19)*1,"")))</f>
        <v/>
      </c>
      <c r="Z156" t="str">
        <f>IF(OR(Z$23="",ISNA($B156)),"",IF(ISBLANK($B156),"",IFERROR(_xll.BDP(TICKER,"DEEP_MEASURE_PERIOD_BROKER_VALUE","DEEP_MEASURE_ID_OVERRIDE",$C156,"DEEP_BROKER_ID_OVERRIDE",Z$24,"DEEP_PERIOD_OVERRIDE",$H$19)*1,"")))</f>
        <v/>
      </c>
      <c r="AA156" t="str">
        <f>IF(OR(AA$23="",ISNA($B156)),"",IF(ISBLANK($B156),"",IFERROR(_xll.BDP(TICKER,"DEEP_MEASURE_PERIOD_BROKER_VALUE","DEEP_MEASURE_ID_OVERRIDE",$C156,"DEEP_BROKER_ID_OVERRIDE",AA$24,"DEEP_PERIOD_OVERRIDE",$H$19)*1,"")))</f>
        <v/>
      </c>
      <c r="AB156" t="str">
        <f>IF(OR(AB$23="",ISNA($B156)),"",IF(ISBLANK($B156),"",IFERROR(_xll.BDP(TICKER,"DEEP_MEASURE_PERIOD_BROKER_VALUE","DEEP_MEASURE_ID_OVERRIDE",$C156,"DEEP_BROKER_ID_OVERRIDE",AB$24,"DEEP_PERIOD_OVERRIDE",$H$19)*1,"")))</f>
        <v/>
      </c>
      <c r="AC156" t="str">
        <f>IF(OR(AC$23="",ISNA($B156)),"",IF(ISBLANK($B156),"",IFERROR(_xll.BDP(TICKER,"DEEP_MEASURE_PERIOD_BROKER_VALUE","DEEP_MEASURE_ID_OVERRIDE",$C156,"DEEP_BROKER_ID_OVERRIDE",AC$24,"DEEP_PERIOD_OVERRIDE",$H$19)*1,"")))</f>
        <v/>
      </c>
      <c r="AD156" t="str">
        <f>IF(OR(AD$23="",ISNA($B156)),"",IF(ISBLANK($B156),"",IFERROR(_xll.BDP(TICKER,"DEEP_MEASURE_PERIOD_BROKER_VALUE","DEEP_MEASURE_ID_OVERRIDE",$C156,"DEEP_BROKER_ID_OVERRIDE",AD$24,"DEEP_PERIOD_OVERRIDE",$H$19)*1,"")))</f>
        <v/>
      </c>
      <c r="AE156" t="str">
        <f>IF(OR(AE$23="",ISNA($B156)),"",IF(ISBLANK($B156),"",IFERROR(_xll.BDP(TICKER,"DEEP_MEASURE_PERIOD_BROKER_VALUE","DEEP_MEASURE_ID_OVERRIDE",$C156,"DEEP_BROKER_ID_OVERRIDE",AE$24,"DEEP_PERIOD_OVERRIDE",$H$19)*1,"")))</f>
        <v/>
      </c>
      <c r="AF156" t="str">
        <f>IF(OR(AF$23="",ISNA($B156)),"",IF(ISBLANK($B156),"",IFERROR(_xll.BDP(TICKER,"DEEP_MEASURE_PERIOD_BROKER_VALUE","DEEP_MEASURE_ID_OVERRIDE",$C156,"DEEP_BROKER_ID_OVERRIDE",AF$24,"DEEP_PERIOD_OVERRIDE",$H$19)*1,"")))</f>
        <v/>
      </c>
      <c r="AG156" t="str">
        <f>IF(OR(AG$23="",ISNA($B156)),"",IF(ISBLANK($B156),"",IFERROR(_xll.BDP(TICKER,"DEEP_MEASURE_PERIOD_BROKER_VALUE","DEEP_MEASURE_ID_OVERRIDE",$C156,"DEEP_BROKER_ID_OVERRIDE",AG$24,"DEEP_PERIOD_OVERRIDE",$H$19)*1,"")))</f>
        <v/>
      </c>
      <c r="AH156" t="str">
        <f>IF(OR(AH$23="",ISNA($B156)),"",IF(ISBLANK($B156),"",IFERROR(_xll.BDP(TICKER,"DEEP_MEASURE_PERIOD_BROKER_VALUE","DEEP_MEASURE_ID_OVERRIDE",$C156,"DEEP_BROKER_ID_OVERRIDE",AH$24,"DEEP_PERIOD_OVERRIDE",$H$19)*1,"")))</f>
        <v/>
      </c>
      <c r="AI156" t="str">
        <f>IF(OR(AI$23="",ISNA($B156)),"",IF(ISBLANK($B156),"",IFERROR(_xll.BDP(TICKER,"DEEP_MEASURE_PERIOD_BROKER_VALUE","DEEP_MEASURE_ID_OVERRIDE",$C156,"DEEP_BROKER_ID_OVERRIDE",AI$24,"DEEP_PERIOD_OVERRIDE",$H$19)*1,"")))</f>
        <v/>
      </c>
      <c r="AJ156" t="str">
        <f>IF(OR(AJ$23="",ISNA($B156)),"",IF(ISBLANK($B156),"",IFERROR(_xll.BDP(TICKER,"DEEP_MEASURE_PERIOD_BROKER_VALUE","DEEP_MEASURE_ID_OVERRIDE",$C156,"DEEP_BROKER_ID_OVERRIDE",AJ$24,"DEEP_PERIOD_OVERRIDE",$H$19)*1,"")))</f>
        <v/>
      </c>
      <c r="AK156" t="str">
        <f>IF(OR(AK$23="",ISNA($B156)),"",IF(ISBLANK($B156),"",IFERROR(_xll.BDP(TICKER,"DEEP_MEASURE_PERIOD_BROKER_VALUE","DEEP_MEASURE_ID_OVERRIDE",$C156,"DEEP_BROKER_ID_OVERRIDE",AK$24,"DEEP_PERIOD_OVERRIDE",$H$19)*1,"")))</f>
        <v/>
      </c>
      <c r="AL156" t="str">
        <f>IF(OR(AL$23="",ISNA($B156)),"",IF(ISBLANK($B156),"",IFERROR(_xll.BDP(TICKER,"DEEP_MEASURE_PERIOD_BROKER_VALUE","DEEP_MEASURE_ID_OVERRIDE",$C156,"DEEP_BROKER_ID_OVERRIDE",AL$24,"DEEP_PERIOD_OVERRIDE",$H$19)*1,"")))</f>
        <v/>
      </c>
      <c r="AM156" t="str">
        <f>IF(OR(AM$23="",ISNA($B156)),"",IF(ISBLANK($B156),"",IFERROR(_xll.BDP(TICKER,"DEEP_MEASURE_PERIOD_BROKER_VALUE","DEEP_MEASURE_ID_OVERRIDE",$C156,"DEEP_BROKER_ID_OVERRIDE",AM$24,"DEEP_PERIOD_OVERRIDE",$H$19)*1,"")))</f>
        <v/>
      </c>
      <c r="AN156" t="str">
        <f>IF(OR(AN$23="",ISNA($B156)),"",IF(ISBLANK($B156),"",IFERROR(_xll.BDP(TICKER,"DEEP_MEASURE_PERIOD_BROKER_VALUE","DEEP_MEASURE_ID_OVERRIDE",$C156,"DEEP_BROKER_ID_OVERRIDE",AN$24,"DEEP_PERIOD_OVERRIDE",$H$19)*1,"")))</f>
        <v/>
      </c>
      <c r="AO156" t="str">
        <f>IF(OR(AO$23="",ISNA($B156)),"",IF(ISBLANK($B156),"",IFERROR(_xll.BDP(TICKER,"DEEP_MEASURE_PERIOD_BROKER_VALUE","DEEP_MEASURE_ID_OVERRIDE",$C156,"DEEP_BROKER_ID_OVERRIDE",AO$24,"DEEP_PERIOD_OVERRIDE",$H$19)*1,"")))</f>
        <v/>
      </c>
      <c r="AP156" t="str">
        <f>IF(OR(AP$23="",ISNA($B156)),"",IF(ISBLANK($B156),"",IFERROR(_xll.BDP(TICKER,"DEEP_MEASURE_PERIOD_BROKER_VALUE","DEEP_MEASURE_ID_OVERRIDE",$C156,"DEEP_BROKER_ID_OVERRIDE",AP$24,"DEEP_PERIOD_OVERRIDE",$H$19)*1,"")))</f>
        <v/>
      </c>
      <c r="AQ156" t="str">
        <f>IF(OR(AQ$23="",ISNA($B156)),"",IF(ISBLANK($B156),"",IFERROR(_xll.BDP(TICKER,"DEEP_MEASURE_PERIOD_BROKER_VALUE","DEEP_MEASURE_ID_OVERRIDE",$C156,"DEEP_BROKER_ID_OVERRIDE",AQ$24,"DEEP_PERIOD_OVERRIDE",$H$19)*1,"")))</f>
        <v/>
      </c>
      <c r="AR156" t="str">
        <f>IF(OR(AR$23="",ISNA($B156)),"",IF(ISBLANK($B156),"",IFERROR(_xll.BDP(TICKER,"DEEP_MEASURE_PERIOD_BROKER_VALUE","DEEP_MEASURE_ID_OVERRIDE",$C156,"DEEP_BROKER_ID_OVERRIDE",AR$24,"DEEP_PERIOD_OVERRIDE",$H$19)*1,"")))</f>
        <v/>
      </c>
      <c r="AS156" t="str">
        <f>IF(OR(AS$23="",ISNA($B156)),"",IF(ISBLANK($B156),"",IFERROR(_xll.BDP(TICKER,"DEEP_MEASURE_PERIOD_BROKER_VALUE","DEEP_MEASURE_ID_OVERRIDE",$C156,"DEEP_BROKER_ID_OVERRIDE",AS$24,"DEEP_PERIOD_OVERRIDE",$H$19)*1,"")))</f>
        <v/>
      </c>
      <c r="AT156" t="str">
        <f>IF(OR(AT$23="",ISNA($B156)),"",IF(ISBLANK($B156),"",IFERROR(_xll.BDP(TICKER,"DEEP_MEASURE_PERIOD_BROKER_VALUE","DEEP_MEASURE_ID_OVERRIDE",$C156,"DEEP_BROKER_ID_OVERRIDE",AT$24,"DEEP_PERIOD_OVERRIDE",$H$19)*1,"")))</f>
        <v/>
      </c>
      <c r="AU156" t="str">
        <f>IF(OR(AU$23="",ISNA($B156)),"",IF(ISBLANK($B156),"",IFERROR(_xll.BDP(TICKER,"DEEP_MEASURE_PERIOD_BROKER_VALUE","DEEP_MEASURE_ID_OVERRIDE",$C156,"DEEP_BROKER_ID_OVERRIDE",AU$24,"DEEP_PERIOD_OVERRIDE",$H$19)*1,"")))</f>
        <v/>
      </c>
      <c r="AV156" t="str">
        <f>IF(OR(AV$23="",ISNA($B156)),"",IF(ISBLANK($B156),"",IFERROR(_xll.BDP(TICKER,"DEEP_MEASURE_PERIOD_BROKER_VALUE","DEEP_MEASURE_ID_OVERRIDE",$C156,"DEEP_BROKER_ID_OVERRIDE",AV$24,"DEEP_PERIOD_OVERRIDE",$H$19)*1,"")))</f>
        <v/>
      </c>
      <c r="AW156" t="str">
        <f>IF(OR(AW$23="",ISNA($B156)),"",IF(ISBLANK($B156),"",IFERROR(_xll.BDP(TICKER,"DEEP_MEASURE_PERIOD_BROKER_VALUE","DEEP_MEASURE_ID_OVERRIDE",$C156,"DEEP_BROKER_ID_OVERRIDE",AW$24,"DEEP_PERIOD_OVERRIDE",$H$19)*1,"")))</f>
        <v/>
      </c>
      <c r="AX156" t="str">
        <f>IF(OR(AX$23="",ISNA($B156)),"",IF(ISBLANK($B156),"",IFERROR(_xll.BDP(TICKER,"DEEP_MEASURE_PERIOD_BROKER_VALUE","DEEP_MEASURE_ID_OVERRIDE",$C156,"DEEP_BROKER_ID_OVERRIDE",AX$24,"DEEP_PERIOD_OVERRIDE",$H$19)*1,"")))</f>
        <v/>
      </c>
      <c r="AY156" t="str">
        <f>IF(OR(AY$23="",ISNA($B156)),"",IF(ISBLANK($B156),"",IFERROR(_xll.BDP(TICKER,"DEEP_MEASURE_PERIOD_BROKER_VALUE","DEEP_MEASURE_ID_OVERRIDE",$C156,"DEEP_BROKER_ID_OVERRIDE",AY$24,"DEEP_PERIOD_OVERRIDE",$H$19)*1,"")))</f>
        <v/>
      </c>
      <c r="AZ156" t="str">
        <f>IF(OR(AZ$23="",ISNA($B156)),"",IF(ISBLANK($B156),"",IFERROR(_xll.BDP(TICKER,"DEEP_MEASURE_PERIOD_BROKER_VALUE","DEEP_MEASURE_ID_OVERRIDE",$C156,"DEEP_BROKER_ID_OVERRIDE",AZ$24,"DEEP_PERIOD_OVERRIDE",$H$19)*1,"")))</f>
        <v/>
      </c>
      <c r="BA156" t="str">
        <f>IF(OR(BA$23="",ISNA($B156)),"",IF(ISBLANK($B156),"",IFERROR(_xll.BDP(TICKER,"DEEP_MEASURE_PERIOD_BROKER_VALUE","DEEP_MEASURE_ID_OVERRIDE",$C156,"DEEP_BROKER_ID_OVERRIDE",BA$24,"DEEP_PERIOD_OVERRIDE",$H$19)*1,"")))</f>
        <v/>
      </c>
      <c r="BB156" t="str">
        <f>IF(OR(BB$23="",ISNA($B156)),"",IF(ISBLANK($B156),"",IFERROR(_xll.BDP(TICKER,"DEEP_MEASURE_PERIOD_BROKER_VALUE","DEEP_MEASURE_ID_OVERRIDE",$C156,"DEEP_BROKER_ID_OVERRIDE",BB$24,"DEEP_PERIOD_OVERRIDE",$H$19)*1,"")))</f>
        <v/>
      </c>
      <c r="BC156" t="str">
        <f>IF(OR(BC$23="",ISNA($B156)),"",IF(ISBLANK($B156),"",IFERROR(_xll.BDP(TICKER,"DEEP_MEASURE_PERIOD_BROKER_VALUE","DEEP_MEASURE_ID_OVERRIDE",$C156,"DEEP_BROKER_ID_OVERRIDE",BC$24,"DEEP_PERIOD_OVERRIDE",$H$19)*1,"")))</f>
        <v/>
      </c>
      <c r="BD156" t="str">
        <f>IF(OR(BD$23="",ISNA($B156)),"",IF(ISBLANK($B156),"",IFERROR(_xll.BDP(TICKER,"DEEP_MEASURE_PERIOD_BROKER_VALUE","DEEP_MEASURE_ID_OVERRIDE",$C156,"DEEP_BROKER_ID_OVERRIDE",BD$24,"DEEP_PERIOD_OVERRIDE",$H$19)*1,"")))</f>
        <v/>
      </c>
      <c r="BE156" t="str">
        <f>IF(OR(BE$23="",ISNA($B156)),"",IF(ISBLANK($B156),"",IFERROR(_xll.BDP(TICKER,"DEEP_MEASURE_PERIOD_BROKER_VALUE","DEEP_MEASURE_ID_OVERRIDE",$C156,"DEEP_BROKER_ID_OVERRIDE",BE$24,"DEEP_PERIOD_OVERRIDE",$H$19)*1,"")))</f>
        <v/>
      </c>
      <c r="BF156" t="str">
        <f>IF(OR(BF$23="",ISNA($B156)),"",IF(ISBLANK($B156),"",IFERROR(_xll.BDP(TICKER,"DEEP_MEASURE_PERIOD_BROKER_VALUE","DEEP_MEASURE_ID_OVERRIDE",$C156,"DEEP_BROKER_ID_OVERRIDE",BF$24,"DEEP_PERIOD_OVERRIDE",$H$19)*1,"")))</f>
        <v/>
      </c>
      <c r="BG156" t="str">
        <f>IF(OR(BG$23="",ISNA($B156)),"",IF(ISBLANK($B156),"",IFERROR(_xll.BDP(TICKER,"DEEP_MEASURE_PERIOD_BROKER_VALUE","DEEP_MEASURE_ID_OVERRIDE",$C156,"DEEP_BROKER_ID_OVERRIDE",BG$24,"DEEP_PERIOD_OVERRIDE",$H$19)*1,"")))</f>
        <v/>
      </c>
      <c r="BH156" t="str">
        <f>IF(OR(BH$23="",ISNA($B156)),"",IF(ISBLANK($B156),"",IFERROR(_xll.BDP(TICKER,"DEEP_MEASURE_PERIOD_BROKER_VALUE","DEEP_MEASURE_ID_OVERRIDE",$C156,"DEEP_BROKER_ID_OVERRIDE",BH$24,"DEEP_PERIOD_OVERRIDE",$H$19)*1,"")))</f>
        <v/>
      </c>
      <c r="BI156" t="str">
        <f>IF(OR(BI$23="",ISNA($B156)),"",IF(ISBLANK($B156),"",IFERROR(_xll.BDP(TICKER,"DEEP_MEASURE_PERIOD_BROKER_VALUE","DEEP_MEASURE_ID_OVERRIDE",$C156,"DEEP_BROKER_ID_OVERRIDE",BI$24,"DEEP_PERIOD_OVERRIDE",$H$19)*1,"")))</f>
        <v/>
      </c>
      <c r="BJ156" t="str">
        <f>IF(OR(BJ$23="",ISNA($B156)),"",IF(ISBLANK($B156),"",IFERROR(_xll.BDP(TICKER,"DEEP_MEASURE_PERIOD_BROKER_VALUE","DEEP_MEASURE_ID_OVERRIDE",$C156,"DEEP_BROKER_ID_OVERRIDE",BJ$24,"DEEP_PERIOD_OVERRIDE",$H$19)*1,"")))</f>
        <v/>
      </c>
      <c r="BK156" t="str">
        <f>IF(OR(BK$23="",ISNA($B156)),"",IF(ISBLANK($B156),"",IFERROR(_xll.BDP(TICKER,"DEEP_MEASURE_PERIOD_BROKER_VALUE","DEEP_MEASURE_ID_OVERRIDE",$C156,"DEEP_BROKER_ID_OVERRIDE",BK$24,"DEEP_PERIOD_OVERRIDE",$H$19)*1,"")))</f>
        <v/>
      </c>
      <c r="BL156" t="str">
        <f>IF(OR(BL$23="",ISNA($B156)),"",IF(ISBLANK($B156),"",IFERROR(_xll.BDP(TICKER,"DEEP_MEASURE_PERIOD_BROKER_VALUE","DEEP_MEASURE_ID_OVERRIDE",$C156,"DEEP_BROKER_ID_OVERRIDE",BL$24,"DEEP_PERIOD_OVERRIDE",$H$19)*1,"")))</f>
        <v/>
      </c>
      <c r="BM156" t="str">
        <f>IF(OR(BM$23="",ISNA($B156)),"",IF(ISBLANK($B156),"",IFERROR(_xll.BDP(TICKER,"DEEP_MEASURE_PERIOD_BROKER_VALUE","DEEP_MEASURE_ID_OVERRIDE",$C156,"DEEP_BROKER_ID_OVERRIDE",BM$24,"DEEP_PERIOD_OVERRIDE",$H$19)*1,"")))</f>
        <v/>
      </c>
      <c r="BN156" t="str">
        <f>IF(OR(BN$23="",ISNA($B156)),"",IF(ISBLANK($B156),"",IFERROR(_xll.BDP(TICKER,"DEEP_MEASURE_PERIOD_BROKER_VALUE","DEEP_MEASURE_ID_OVERRIDE",$C156,"DEEP_BROKER_ID_OVERRIDE",BN$24,"DEEP_PERIOD_OVERRIDE",$H$19)*1,"")))</f>
        <v/>
      </c>
      <c r="BO156" t="str">
        <f>IF(OR(BO$23="",ISNA($B156)),"",IF(ISBLANK($B156),"",IFERROR(_xll.BDP(TICKER,"DEEP_MEASURE_PERIOD_BROKER_VALUE","DEEP_MEASURE_ID_OVERRIDE",$C156,"DEEP_BROKER_ID_OVERRIDE",BO$24,"DEEP_PERIOD_OVERRIDE",$H$19)*1,"")))</f>
        <v/>
      </c>
      <c r="BP156" t="str">
        <f>IF(OR(BP$23="",ISNA($B156)),"",IF(ISBLANK($B156),"",IFERROR(_xll.BDP(TICKER,"DEEP_MEASURE_PERIOD_BROKER_VALUE","DEEP_MEASURE_ID_OVERRIDE",$C156,"DEEP_BROKER_ID_OVERRIDE",BP$24,"DEEP_PERIOD_OVERRIDE",$H$19)*1,"")))</f>
        <v/>
      </c>
      <c r="BQ156" t="str">
        <f>IF(OR(BQ$23="",ISNA($B156)),"",IF(ISBLANK($B156),"",IFERROR(_xll.BDP(TICKER,"DEEP_MEASURE_PERIOD_BROKER_VALUE","DEEP_MEASURE_ID_OVERRIDE",$C156,"DEEP_BROKER_ID_OVERRIDE",BQ$24,"DEEP_PERIOD_OVERRIDE",$H$19)*1,"")))</f>
        <v/>
      </c>
      <c r="BR156" t="str">
        <f>IF(OR(BR$23="",ISNA($B156)),"",IF(ISBLANK($B156),"",IFERROR(_xll.BDP(TICKER,"DEEP_MEASURE_PERIOD_BROKER_VALUE","DEEP_MEASURE_ID_OVERRIDE",$C156,"DEEP_BROKER_ID_OVERRIDE",BR$24,"DEEP_PERIOD_OVERRIDE",$H$19)*1,"")))</f>
        <v/>
      </c>
      <c r="BS156" t="str">
        <f>IF(OR(BS$23="",ISNA($B156)),"",IF(ISBLANK($B156),"",IFERROR(_xll.BDP(TICKER,"DEEP_MEASURE_PERIOD_BROKER_VALUE","DEEP_MEASURE_ID_OVERRIDE",$C156,"DEEP_BROKER_ID_OVERRIDE",BS$24,"DEEP_PERIOD_OVERRIDE",$H$19)*1,"")))</f>
        <v/>
      </c>
      <c r="BT156" t="str">
        <f>IF(OR(BT$23="",ISNA($B156)),"",IF(ISBLANK($B156),"",IFERROR(_xll.BDP(TICKER,"DEEP_MEASURE_PERIOD_BROKER_VALUE","DEEP_MEASURE_ID_OVERRIDE",$C156,"DEEP_BROKER_ID_OVERRIDE",BT$24,"DEEP_PERIOD_OVERRIDE",$H$19)*1,"")))</f>
        <v/>
      </c>
      <c r="BU156" t="str">
        <f>IF(OR(BU$23="",ISNA($B156)),"",IF(ISBLANK($B156),"",IFERROR(_xll.BDP(TICKER,"DEEP_MEASURE_PERIOD_BROKER_VALUE","DEEP_MEASURE_ID_OVERRIDE",$C156,"DEEP_BROKER_ID_OVERRIDE",BU$24,"DEEP_PERIOD_OVERRIDE",$H$19)*1,"")))</f>
        <v/>
      </c>
      <c r="BV156" t="str">
        <f>IF(OR(BV$23="",ISNA($B156)),"",IF(ISBLANK($B156),"",IFERROR(_xll.BDP(TICKER,"DEEP_MEASURE_PERIOD_BROKER_VALUE","DEEP_MEASURE_ID_OVERRIDE",$C156,"DEEP_BROKER_ID_OVERRIDE",BV$24,"DEEP_PERIOD_OVERRIDE",$H$19)*1,"")))</f>
        <v/>
      </c>
      <c r="BW156" t="str">
        <f>IF(OR(BW$23="",ISNA($B156)),"",IF(ISBLANK($B156),"",IFERROR(_xll.BDP(TICKER,"DEEP_MEASURE_PERIOD_BROKER_VALUE","DEEP_MEASURE_ID_OVERRIDE",$C156,"DEEP_BROKER_ID_OVERRIDE",BW$24,"DEEP_PERIOD_OVERRIDE",$H$19)*1,"")))</f>
        <v/>
      </c>
      <c r="BX156" t="str">
        <f>IF(OR(BX$23="",ISNA($B156)),"",IF(ISBLANK($B156),"",IFERROR(_xll.BDP(TICKER,"DEEP_MEASURE_PERIOD_BROKER_VALUE","DEEP_MEASURE_ID_OVERRIDE",$C156,"DEEP_BROKER_ID_OVERRIDE",BX$24,"DEEP_PERIOD_OVERRIDE",$H$19)*1,"")))</f>
        <v/>
      </c>
      <c r="BY156" t="str">
        <f>IF(OR(BY$23="",ISNA($B156)),"",IF(ISBLANK($B156),"",IFERROR(_xll.BDP(TICKER,"DEEP_MEASURE_PERIOD_BROKER_VALUE","DEEP_MEASURE_ID_OVERRIDE",$C156,"DEEP_BROKER_ID_OVERRIDE",BY$24,"DEEP_PERIOD_OVERRIDE",$H$19)*1,"")))</f>
        <v/>
      </c>
      <c r="BZ156" t="str">
        <f>IF(OR(BZ$23="",ISNA($B156)),"",IF(ISBLANK($B156),"",IFERROR(_xll.BDP(TICKER,"DEEP_MEASURE_PERIOD_BROKER_VALUE","DEEP_MEASURE_ID_OVERRIDE",$C156,"DEEP_BROKER_ID_OVERRIDE",BZ$24,"DEEP_PERIOD_OVERRIDE",$H$19)*1,"")))</f>
        <v/>
      </c>
    </row>
    <row r="157" spans="2:78" x14ac:dyDescent="0.25">
      <c r="B157" t="s">
        <v>186</v>
      </c>
      <c r="C157">
        <v>356</v>
      </c>
      <c r="H157" t="str">
        <f t="shared" si="3"/>
        <v>Non-GAAP Metrics &gt; Tax Effect of Non-GAAP Adjustments</v>
      </c>
      <c r="I157" t="str">
        <f>IF(OR(I$23="",ISNA($B157)),"",IF(ISBLANK($B157),"",IFERROR(_xll.BDP(TICKER,"DEEP_MEASURE_PERIOD_BROKER_VALUE","DEEP_MEASURE_ID_OVERRIDE",$C157,"DEEP_PERIOD_OVERRIDE",$H$19)*1,"")))</f>
        <v/>
      </c>
      <c r="J157" t="e">
        <f>IF(OR(J$23="",ISNA($B157)),"",IF(ISBLANK($B157),"",IFERROR(_xll.BDP(TICKER,"DEEP_MEASURE_PERIOD_BROKER_VALUE","DEEP_MEASURE_ID_OVERRIDE",$C157,"DEEP_BROKER_ID_OVERRIDE",J$24,"DEEP_PERIOD_OVERRIDE",$H$19)*1,"")))</f>
        <v>#REF!</v>
      </c>
      <c r="K157" t="str">
        <f>IF(OR(K$23="",ISNA($B157)),"",IF(ISBLANK($B157),"",IFERROR(_xll.BDP(TICKER,"DEEP_MEASURE_PERIOD_BROKER_VALUE","DEEP_MEASURE_ID_OVERRIDE",$C157,"DEEP_BROKER_ID_OVERRIDE",K$24,"DEEP_PERIOD_OVERRIDE",$H$19)*1,"")))</f>
        <v/>
      </c>
      <c r="L157" t="str">
        <f>IF(OR(L$23="",ISNA($B157)),"",IF(ISBLANK($B157),"",IFERROR(_xll.BDP(TICKER,"DEEP_MEASURE_PERIOD_BROKER_VALUE","DEEP_MEASURE_ID_OVERRIDE",$C157,"DEEP_BROKER_ID_OVERRIDE",L$24,"DEEP_PERIOD_OVERRIDE",$H$19)*1,"")))</f>
        <v/>
      </c>
      <c r="M157" t="str">
        <f>IF(OR(M$23="",ISNA($B157)),"",IF(ISBLANK($B157),"",IFERROR(_xll.BDP(TICKER,"DEEP_MEASURE_PERIOD_BROKER_VALUE","DEEP_MEASURE_ID_OVERRIDE",$C157,"DEEP_BROKER_ID_OVERRIDE",M$24,"DEEP_PERIOD_OVERRIDE",$H$19)*1,"")))</f>
        <v/>
      </c>
      <c r="N157" t="str">
        <f>IF(OR(N$23="",ISNA($B157)),"",IF(ISBLANK($B157),"",IFERROR(_xll.BDP(TICKER,"DEEP_MEASURE_PERIOD_BROKER_VALUE","DEEP_MEASURE_ID_OVERRIDE",$C157,"DEEP_BROKER_ID_OVERRIDE",N$24,"DEEP_PERIOD_OVERRIDE",$H$19)*1,"")))</f>
        <v/>
      </c>
      <c r="O157" t="str">
        <f>IF(OR(O$23="",ISNA($B157)),"",IF(ISBLANK($B157),"",IFERROR(_xll.BDP(TICKER,"DEEP_MEASURE_PERIOD_BROKER_VALUE","DEEP_MEASURE_ID_OVERRIDE",$C157,"DEEP_BROKER_ID_OVERRIDE",O$24,"DEEP_PERIOD_OVERRIDE",$H$19)*1,"")))</f>
        <v/>
      </c>
      <c r="P157" t="str">
        <f>IF(OR(P$23="",ISNA($B157)),"",IF(ISBLANK($B157),"",IFERROR(_xll.BDP(TICKER,"DEEP_MEASURE_PERIOD_BROKER_VALUE","DEEP_MEASURE_ID_OVERRIDE",$C157,"DEEP_BROKER_ID_OVERRIDE",P$24,"DEEP_PERIOD_OVERRIDE",$H$19)*1,"")))</f>
        <v/>
      </c>
      <c r="Q157" t="str">
        <f>IF(OR(Q$23="",ISNA($B157)),"",IF(ISBLANK($B157),"",IFERROR(_xll.BDP(TICKER,"DEEP_MEASURE_PERIOD_BROKER_VALUE","DEEP_MEASURE_ID_OVERRIDE",$C157,"DEEP_BROKER_ID_OVERRIDE",Q$24,"DEEP_PERIOD_OVERRIDE",$H$19)*1,"")))</f>
        <v/>
      </c>
      <c r="R157" t="str">
        <f>IF(OR(R$23="",ISNA($B157)),"",IF(ISBLANK($B157),"",IFERROR(_xll.BDP(TICKER,"DEEP_MEASURE_PERIOD_BROKER_VALUE","DEEP_MEASURE_ID_OVERRIDE",$C157,"DEEP_BROKER_ID_OVERRIDE",R$24,"DEEP_PERIOD_OVERRIDE",$H$19)*1,"")))</f>
        <v/>
      </c>
      <c r="S157" t="str">
        <f>IF(OR(S$23="",ISNA($B157)),"",IF(ISBLANK($B157),"",IFERROR(_xll.BDP(TICKER,"DEEP_MEASURE_PERIOD_BROKER_VALUE","DEEP_MEASURE_ID_OVERRIDE",$C157,"DEEP_BROKER_ID_OVERRIDE",S$24,"DEEP_PERIOD_OVERRIDE",$H$19)*1,"")))</f>
        <v/>
      </c>
      <c r="T157" t="str">
        <f>IF(OR(T$23="",ISNA($B157)),"",IF(ISBLANK($B157),"",IFERROR(_xll.BDP(TICKER,"DEEP_MEASURE_PERIOD_BROKER_VALUE","DEEP_MEASURE_ID_OVERRIDE",$C157,"DEEP_BROKER_ID_OVERRIDE",T$24,"DEEP_PERIOD_OVERRIDE",$H$19)*1,"")))</f>
        <v/>
      </c>
      <c r="U157" t="str">
        <f>IF(OR(U$23="",ISNA($B157)),"",IF(ISBLANK($B157),"",IFERROR(_xll.BDP(TICKER,"DEEP_MEASURE_PERIOD_BROKER_VALUE","DEEP_MEASURE_ID_OVERRIDE",$C157,"DEEP_BROKER_ID_OVERRIDE",U$24,"DEEP_PERIOD_OVERRIDE",$H$19)*1,"")))</f>
        <v/>
      </c>
      <c r="V157" t="str">
        <f>IF(OR(V$23="",ISNA($B157)),"",IF(ISBLANK($B157),"",IFERROR(_xll.BDP(TICKER,"DEEP_MEASURE_PERIOD_BROKER_VALUE","DEEP_MEASURE_ID_OVERRIDE",$C157,"DEEP_BROKER_ID_OVERRIDE",V$24,"DEEP_PERIOD_OVERRIDE",$H$19)*1,"")))</f>
        <v/>
      </c>
      <c r="W157" t="str">
        <f>IF(OR(W$23="",ISNA($B157)),"",IF(ISBLANK($B157),"",IFERROR(_xll.BDP(TICKER,"DEEP_MEASURE_PERIOD_BROKER_VALUE","DEEP_MEASURE_ID_OVERRIDE",$C157,"DEEP_BROKER_ID_OVERRIDE",W$24,"DEEP_PERIOD_OVERRIDE",$H$19)*1,"")))</f>
        <v/>
      </c>
      <c r="X157" t="str">
        <f>IF(OR(X$23="",ISNA($B157)),"",IF(ISBLANK($B157),"",IFERROR(_xll.BDP(TICKER,"DEEP_MEASURE_PERIOD_BROKER_VALUE","DEEP_MEASURE_ID_OVERRIDE",$C157,"DEEP_BROKER_ID_OVERRIDE",X$24,"DEEP_PERIOD_OVERRIDE",$H$19)*1,"")))</f>
        <v/>
      </c>
      <c r="Y157" t="str">
        <f>IF(OR(Y$23="",ISNA($B157)),"",IF(ISBLANK($B157),"",IFERROR(_xll.BDP(TICKER,"DEEP_MEASURE_PERIOD_BROKER_VALUE","DEEP_MEASURE_ID_OVERRIDE",$C157,"DEEP_BROKER_ID_OVERRIDE",Y$24,"DEEP_PERIOD_OVERRIDE",$H$19)*1,"")))</f>
        <v/>
      </c>
      <c r="Z157" t="str">
        <f>IF(OR(Z$23="",ISNA($B157)),"",IF(ISBLANK($B157),"",IFERROR(_xll.BDP(TICKER,"DEEP_MEASURE_PERIOD_BROKER_VALUE","DEEP_MEASURE_ID_OVERRIDE",$C157,"DEEP_BROKER_ID_OVERRIDE",Z$24,"DEEP_PERIOD_OVERRIDE",$H$19)*1,"")))</f>
        <v/>
      </c>
      <c r="AA157" t="str">
        <f>IF(OR(AA$23="",ISNA($B157)),"",IF(ISBLANK($B157),"",IFERROR(_xll.BDP(TICKER,"DEEP_MEASURE_PERIOD_BROKER_VALUE","DEEP_MEASURE_ID_OVERRIDE",$C157,"DEEP_BROKER_ID_OVERRIDE",AA$24,"DEEP_PERIOD_OVERRIDE",$H$19)*1,"")))</f>
        <v/>
      </c>
      <c r="AB157" t="str">
        <f>IF(OR(AB$23="",ISNA($B157)),"",IF(ISBLANK($B157),"",IFERROR(_xll.BDP(TICKER,"DEEP_MEASURE_PERIOD_BROKER_VALUE","DEEP_MEASURE_ID_OVERRIDE",$C157,"DEEP_BROKER_ID_OVERRIDE",AB$24,"DEEP_PERIOD_OVERRIDE",$H$19)*1,"")))</f>
        <v/>
      </c>
      <c r="AC157" t="str">
        <f>IF(OR(AC$23="",ISNA($B157)),"",IF(ISBLANK($B157),"",IFERROR(_xll.BDP(TICKER,"DEEP_MEASURE_PERIOD_BROKER_VALUE","DEEP_MEASURE_ID_OVERRIDE",$C157,"DEEP_BROKER_ID_OVERRIDE",AC$24,"DEEP_PERIOD_OVERRIDE",$H$19)*1,"")))</f>
        <v/>
      </c>
      <c r="AD157" t="str">
        <f>IF(OR(AD$23="",ISNA($B157)),"",IF(ISBLANK($B157),"",IFERROR(_xll.BDP(TICKER,"DEEP_MEASURE_PERIOD_BROKER_VALUE","DEEP_MEASURE_ID_OVERRIDE",$C157,"DEEP_BROKER_ID_OVERRIDE",AD$24,"DEEP_PERIOD_OVERRIDE",$H$19)*1,"")))</f>
        <v/>
      </c>
      <c r="AE157" t="str">
        <f>IF(OR(AE$23="",ISNA($B157)),"",IF(ISBLANK($B157),"",IFERROR(_xll.BDP(TICKER,"DEEP_MEASURE_PERIOD_BROKER_VALUE","DEEP_MEASURE_ID_OVERRIDE",$C157,"DEEP_BROKER_ID_OVERRIDE",AE$24,"DEEP_PERIOD_OVERRIDE",$H$19)*1,"")))</f>
        <v/>
      </c>
      <c r="AF157" t="str">
        <f>IF(OR(AF$23="",ISNA($B157)),"",IF(ISBLANK($B157),"",IFERROR(_xll.BDP(TICKER,"DEEP_MEASURE_PERIOD_BROKER_VALUE","DEEP_MEASURE_ID_OVERRIDE",$C157,"DEEP_BROKER_ID_OVERRIDE",AF$24,"DEEP_PERIOD_OVERRIDE",$H$19)*1,"")))</f>
        <v/>
      </c>
      <c r="AG157" t="str">
        <f>IF(OR(AG$23="",ISNA($B157)),"",IF(ISBLANK($B157),"",IFERROR(_xll.BDP(TICKER,"DEEP_MEASURE_PERIOD_BROKER_VALUE","DEEP_MEASURE_ID_OVERRIDE",$C157,"DEEP_BROKER_ID_OVERRIDE",AG$24,"DEEP_PERIOD_OVERRIDE",$H$19)*1,"")))</f>
        <v/>
      </c>
      <c r="AH157" t="str">
        <f>IF(OR(AH$23="",ISNA($B157)),"",IF(ISBLANK($B157),"",IFERROR(_xll.BDP(TICKER,"DEEP_MEASURE_PERIOD_BROKER_VALUE","DEEP_MEASURE_ID_OVERRIDE",$C157,"DEEP_BROKER_ID_OVERRIDE",AH$24,"DEEP_PERIOD_OVERRIDE",$H$19)*1,"")))</f>
        <v/>
      </c>
      <c r="AI157" t="str">
        <f>IF(OR(AI$23="",ISNA($B157)),"",IF(ISBLANK($B157),"",IFERROR(_xll.BDP(TICKER,"DEEP_MEASURE_PERIOD_BROKER_VALUE","DEEP_MEASURE_ID_OVERRIDE",$C157,"DEEP_BROKER_ID_OVERRIDE",AI$24,"DEEP_PERIOD_OVERRIDE",$H$19)*1,"")))</f>
        <v/>
      </c>
      <c r="AJ157" t="str">
        <f>IF(OR(AJ$23="",ISNA($B157)),"",IF(ISBLANK($B157),"",IFERROR(_xll.BDP(TICKER,"DEEP_MEASURE_PERIOD_BROKER_VALUE","DEEP_MEASURE_ID_OVERRIDE",$C157,"DEEP_BROKER_ID_OVERRIDE",AJ$24,"DEEP_PERIOD_OVERRIDE",$H$19)*1,"")))</f>
        <v/>
      </c>
      <c r="AK157" t="str">
        <f>IF(OR(AK$23="",ISNA($B157)),"",IF(ISBLANK($B157),"",IFERROR(_xll.BDP(TICKER,"DEEP_MEASURE_PERIOD_BROKER_VALUE","DEEP_MEASURE_ID_OVERRIDE",$C157,"DEEP_BROKER_ID_OVERRIDE",AK$24,"DEEP_PERIOD_OVERRIDE",$H$19)*1,"")))</f>
        <v/>
      </c>
      <c r="AL157" t="str">
        <f>IF(OR(AL$23="",ISNA($B157)),"",IF(ISBLANK($B157),"",IFERROR(_xll.BDP(TICKER,"DEEP_MEASURE_PERIOD_BROKER_VALUE","DEEP_MEASURE_ID_OVERRIDE",$C157,"DEEP_BROKER_ID_OVERRIDE",AL$24,"DEEP_PERIOD_OVERRIDE",$H$19)*1,"")))</f>
        <v/>
      </c>
      <c r="AM157" t="str">
        <f>IF(OR(AM$23="",ISNA($B157)),"",IF(ISBLANK($B157),"",IFERROR(_xll.BDP(TICKER,"DEEP_MEASURE_PERIOD_BROKER_VALUE","DEEP_MEASURE_ID_OVERRIDE",$C157,"DEEP_BROKER_ID_OVERRIDE",AM$24,"DEEP_PERIOD_OVERRIDE",$H$19)*1,"")))</f>
        <v/>
      </c>
      <c r="AN157" t="str">
        <f>IF(OR(AN$23="",ISNA($B157)),"",IF(ISBLANK($B157),"",IFERROR(_xll.BDP(TICKER,"DEEP_MEASURE_PERIOD_BROKER_VALUE","DEEP_MEASURE_ID_OVERRIDE",$C157,"DEEP_BROKER_ID_OVERRIDE",AN$24,"DEEP_PERIOD_OVERRIDE",$H$19)*1,"")))</f>
        <v/>
      </c>
      <c r="AO157" t="str">
        <f>IF(OR(AO$23="",ISNA($B157)),"",IF(ISBLANK($B157),"",IFERROR(_xll.BDP(TICKER,"DEEP_MEASURE_PERIOD_BROKER_VALUE","DEEP_MEASURE_ID_OVERRIDE",$C157,"DEEP_BROKER_ID_OVERRIDE",AO$24,"DEEP_PERIOD_OVERRIDE",$H$19)*1,"")))</f>
        <v/>
      </c>
      <c r="AP157" t="str">
        <f>IF(OR(AP$23="",ISNA($B157)),"",IF(ISBLANK($B157),"",IFERROR(_xll.BDP(TICKER,"DEEP_MEASURE_PERIOD_BROKER_VALUE","DEEP_MEASURE_ID_OVERRIDE",$C157,"DEEP_BROKER_ID_OVERRIDE",AP$24,"DEEP_PERIOD_OVERRIDE",$H$19)*1,"")))</f>
        <v/>
      </c>
      <c r="AQ157" t="str">
        <f>IF(OR(AQ$23="",ISNA($B157)),"",IF(ISBLANK($B157),"",IFERROR(_xll.BDP(TICKER,"DEEP_MEASURE_PERIOD_BROKER_VALUE","DEEP_MEASURE_ID_OVERRIDE",$C157,"DEEP_BROKER_ID_OVERRIDE",AQ$24,"DEEP_PERIOD_OVERRIDE",$H$19)*1,"")))</f>
        <v/>
      </c>
      <c r="AR157" t="str">
        <f>IF(OR(AR$23="",ISNA($B157)),"",IF(ISBLANK($B157),"",IFERROR(_xll.BDP(TICKER,"DEEP_MEASURE_PERIOD_BROKER_VALUE","DEEP_MEASURE_ID_OVERRIDE",$C157,"DEEP_BROKER_ID_OVERRIDE",AR$24,"DEEP_PERIOD_OVERRIDE",$H$19)*1,"")))</f>
        <v/>
      </c>
      <c r="AS157" t="str">
        <f>IF(OR(AS$23="",ISNA($B157)),"",IF(ISBLANK($B157),"",IFERROR(_xll.BDP(TICKER,"DEEP_MEASURE_PERIOD_BROKER_VALUE","DEEP_MEASURE_ID_OVERRIDE",$C157,"DEEP_BROKER_ID_OVERRIDE",AS$24,"DEEP_PERIOD_OVERRIDE",$H$19)*1,"")))</f>
        <v/>
      </c>
      <c r="AT157" t="str">
        <f>IF(OR(AT$23="",ISNA($B157)),"",IF(ISBLANK($B157),"",IFERROR(_xll.BDP(TICKER,"DEEP_MEASURE_PERIOD_BROKER_VALUE","DEEP_MEASURE_ID_OVERRIDE",$C157,"DEEP_BROKER_ID_OVERRIDE",AT$24,"DEEP_PERIOD_OVERRIDE",$H$19)*1,"")))</f>
        <v/>
      </c>
      <c r="AU157" t="str">
        <f>IF(OR(AU$23="",ISNA($B157)),"",IF(ISBLANK($B157),"",IFERROR(_xll.BDP(TICKER,"DEEP_MEASURE_PERIOD_BROKER_VALUE","DEEP_MEASURE_ID_OVERRIDE",$C157,"DEEP_BROKER_ID_OVERRIDE",AU$24,"DEEP_PERIOD_OVERRIDE",$H$19)*1,"")))</f>
        <v/>
      </c>
      <c r="AV157" t="str">
        <f>IF(OR(AV$23="",ISNA($B157)),"",IF(ISBLANK($B157),"",IFERROR(_xll.BDP(TICKER,"DEEP_MEASURE_PERIOD_BROKER_VALUE","DEEP_MEASURE_ID_OVERRIDE",$C157,"DEEP_BROKER_ID_OVERRIDE",AV$24,"DEEP_PERIOD_OVERRIDE",$H$19)*1,"")))</f>
        <v/>
      </c>
      <c r="AW157" t="str">
        <f>IF(OR(AW$23="",ISNA($B157)),"",IF(ISBLANK($B157),"",IFERROR(_xll.BDP(TICKER,"DEEP_MEASURE_PERIOD_BROKER_VALUE","DEEP_MEASURE_ID_OVERRIDE",$C157,"DEEP_BROKER_ID_OVERRIDE",AW$24,"DEEP_PERIOD_OVERRIDE",$H$19)*1,"")))</f>
        <v/>
      </c>
      <c r="AX157" t="str">
        <f>IF(OR(AX$23="",ISNA($B157)),"",IF(ISBLANK($B157),"",IFERROR(_xll.BDP(TICKER,"DEEP_MEASURE_PERIOD_BROKER_VALUE","DEEP_MEASURE_ID_OVERRIDE",$C157,"DEEP_BROKER_ID_OVERRIDE",AX$24,"DEEP_PERIOD_OVERRIDE",$H$19)*1,"")))</f>
        <v/>
      </c>
      <c r="AY157" t="str">
        <f>IF(OR(AY$23="",ISNA($B157)),"",IF(ISBLANK($B157),"",IFERROR(_xll.BDP(TICKER,"DEEP_MEASURE_PERIOD_BROKER_VALUE","DEEP_MEASURE_ID_OVERRIDE",$C157,"DEEP_BROKER_ID_OVERRIDE",AY$24,"DEEP_PERIOD_OVERRIDE",$H$19)*1,"")))</f>
        <v/>
      </c>
      <c r="AZ157" t="str">
        <f>IF(OR(AZ$23="",ISNA($B157)),"",IF(ISBLANK($B157),"",IFERROR(_xll.BDP(TICKER,"DEEP_MEASURE_PERIOD_BROKER_VALUE","DEEP_MEASURE_ID_OVERRIDE",$C157,"DEEP_BROKER_ID_OVERRIDE",AZ$24,"DEEP_PERIOD_OVERRIDE",$H$19)*1,"")))</f>
        <v/>
      </c>
      <c r="BA157" t="str">
        <f>IF(OR(BA$23="",ISNA($B157)),"",IF(ISBLANK($B157),"",IFERROR(_xll.BDP(TICKER,"DEEP_MEASURE_PERIOD_BROKER_VALUE","DEEP_MEASURE_ID_OVERRIDE",$C157,"DEEP_BROKER_ID_OVERRIDE",BA$24,"DEEP_PERIOD_OVERRIDE",$H$19)*1,"")))</f>
        <v/>
      </c>
      <c r="BB157" t="str">
        <f>IF(OR(BB$23="",ISNA($B157)),"",IF(ISBLANK($B157),"",IFERROR(_xll.BDP(TICKER,"DEEP_MEASURE_PERIOD_BROKER_VALUE","DEEP_MEASURE_ID_OVERRIDE",$C157,"DEEP_BROKER_ID_OVERRIDE",BB$24,"DEEP_PERIOD_OVERRIDE",$H$19)*1,"")))</f>
        <v/>
      </c>
      <c r="BC157" t="str">
        <f>IF(OR(BC$23="",ISNA($B157)),"",IF(ISBLANK($B157),"",IFERROR(_xll.BDP(TICKER,"DEEP_MEASURE_PERIOD_BROKER_VALUE","DEEP_MEASURE_ID_OVERRIDE",$C157,"DEEP_BROKER_ID_OVERRIDE",BC$24,"DEEP_PERIOD_OVERRIDE",$H$19)*1,"")))</f>
        <v/>
      </c>
      <c r="BD157" t="str">
        <f>IF(OR(BD$23="",ISNA($B157)),"",IF(ISBLANK($B157),"",IFERROR(_xll.BDP(TICKER,"DEEP_MEASURE_PERIOD_BROKER_VALUE","DEEP_MEASURE_ID_OVERRIDE",$C157,"DEEP_BROKER_ID_OVERRIDE",BD$24,"DEEP_PERIOD_OVERRIDE",$H$19)*1,"")))</f>
        <v/>
      </c>
      <c r="BE157" t="str">
        <f>IF(OR(BE$23="",ISNA($B157)),"",IF(ISBLANK($B157),"",IFERROR(_xll.BDP(TICKER,"DEEP_MEASURE_PERIOD_BROKER_VALUE","DEEP_MEASURE_ID_OVERRIDE",$C157,"DEEP_BROKER_ID_OVERRIDE",BE$24,"DEEP_PERIOD_OVERRIDE",$H$19)*1,"")))</f>
        <v/>
      </c>
      <c r="BF157" t="str">
        <f>IF(OR(BF$23="",ISNA($B157)),"",IF(ISBLANK($B157),"",IFERROR(_xll.BDP(TICKER,"DEEP_MEASURE_PERIOD_BROKER_VALUE","DEEP_MEASURE_ID_OVERRIDE",$C157,"DEEP_BROKER_ID_OVERRIDE",BF$24,"DEEP_PERIOD_OVERRIDE",$H$19)*1,"")))</f>
        <v/>
      </c>
      <c r="BG157" t="str">
        <f>IF(OR(BG$23="",ISNA($B157)),"",IF(ISBLANK($B157),"",IFERROR(_xll.BDP(TICKER,"DEEP_MEASURE_PERIOD_BROKER_VALUE","DEEP_MEASURE_ID_OVERRIDE",$C157,"DEEP_BROKER_ID_OVERRIDE",BG$24,"DEEP_PERIOD_OVERRIDE",$H$19)*1,"")))</f>
        <v/>
      </c>
      <c r="BH157" t="str">
        <f>IF(OR(BH$23="",ISNA($B157)),"",IF(ISBLANK($B157),"",IFERROR(_xll.BDP(TICKER,"DEEP_MEASURE_PERIOD_BROKER_VALUE","DEEP_MEASURE_ID_OVERRIDE",$C157,"DEEP_BROKER_ID_OVERRIDE",BH$24,"DEEP_PERIOD_OVERRIDE",$H$19)*1,"")))</f>
        <v/>
      </c>
      <c r="BI157" t="str">
        <f>IF(OR(BI$23="",ISNA($B157)),"",IF(ISBLANK($B157),"",IFERROR(_xll.BDP(TICKER,"DEEP_MEASURE_PERIOD_BROKER_VALUE","DEEP_MEASURE_ID_OVERRIDE",$C157,"DEEP_BROKER_ID_OVERRIDE",BI$24,"DEEP_PERIOD_OVERRIDE",$H$19)*1,"")))</f>
        <v/>
      </c>
      <c r="BJ157" t="str">
        <f>IF(OR(BJ$23="",ISNA($B157)),"",IF(ISBLANK($B157),"",IFERROR(_xll.BDP(TICKER,"DEEP_MEASURE_PERIOD_BROKER_VALUE","DEEP_MEASURE_ID_OVERRIDE",$C157,"DEEP_BROKER_ID_OVERRIDE",BJ$24,"DEEP_PERIOD_OVERRIDE",$H$19)*1,"")))</f>
        <v/>
      </c>
      <c r="BK157" t="str">
        <f>IF(OR(BK$23="",ISNA($B157)),"",IF(ISBLANK($B157),"",IFERROR(_xll.BDP(TICKER,"DEEP_MEASURE_PERIOD_BROKER_VALUE","DEEP_MEASURE_ID_OVERRIDE",$C157,"DEEP_BROKER_ID_OVERRIDE",BK$24,"DEEP_PERIOD_OVERRIDE",$H$19)*1,"")))</f>
        <v/>
      </c>
      <c r="BL157" t="str">
        <f>IF(OR(BL$23="",ISNA($B157)),"",IF(ISBLANK($B157),"",IFERROR(_xll.BDP(TICKER,"DEEP_MEASURE_PERIOD_BROKER_VALUE","DEEP_MEASURE_ID_OVERRIDE",$C157,"DEEP_BROKER_ID_OVERRIDE",BL$24,"DEEP_PERIOD_OVERRIDE",$H$19)*1,"")))</f>
        <v/>
      </c>
      <c r="BM157" t="str">
        <f>IF(OR(BM$23="",ISNA($B157)),"",IF(ISBLANK($B157),"",IFERROR(_xll.BDP(TICKER,"DEEP_MEASURE_PERIOD_BROKER_VALUE","DEEP_MEASURE_ID_OVERRIDE",$C157,"DEEP_BROKER_ID_OVERRIDE",BM$24,"DEEP_PERIOD_OVERRIDE",$H$19)*1,"")))</f>
        <v/>
      </c>
      <c r="BN157" t="str">
        <f>IF(OR(BN$23="",ISNA($B157)),"",IF(ISBLANK($B157),"",IFERROR(_xll.BDP(TICKER,"DEEP_MEASURE_PERIOD_BROKER_VALUE","DEEP_MEASURE_ID_OVERRIDE",$C157,"DEEP_BROKER_ID_OVERRIDE",BN$24,"DEEP_PERIOD_OVERRIDE",$H$19)*1,"")))</f>
        <v/>
      </c>
      <c r="BO157" t="str">
        <f>IF(OR(BO$23="",ISNA($B157)),"",IF(ISBLANK($B157),"",IFERROR(_xll.BDP(TICKER,"DEEP_MEASURE_PERIOD_BROKER_VALUE","DEEP_MEASURE_ID_OVERRIDE",$C157,"DEEP_BROKER_ID_OVERRIDE",BO$24,"DEEP_PERIOD_OVERRIDE",$H$19)*1,"")))</f>
        <v/>
      </c>
      <c r="BP157" t="str">
        <f>IF(OR(BP$23="",ISNA($B157)),"",IF(ISBLANK($B157),"",IFERROR(_xll.BDP(TICKER,"DEEP_MEASURE_PERIOD_BROKER_VALUE","DEEP_MEASURE_ID_OVERRIDE",$C157,"DEEP_BROKER_ID_OVERRIDE",BP$24,"DEEP_PERIOD_OVERRIDE",$H$19)*1,"")))</f>
        <v/>
      </c>
      <c r="BQ157" t="str">
        <f>IF(OR(BQ$23="",ISNA($B157)),"",IF(ISBLANK($B157),"",IFERROR(_xll.BDP(TICKER,"DEEP_MEASURE_PERIOD_BROKER_VALUE","DEEP_MEASURE_ID_OVERRIDE",$C157,"DEEP_BROKER_ID_OVERRIDE",BQ$24,"DEEP_PERIOD_OVERRIDE",$H$19)*1,"")))</f>
        <v/>
      </c>
      <c r="BR157" t="str">
        <f>IF(OR(BR$23="",ISNA($B157)),"",IF(ISBLANK($B157),"",IFERROR(_xll.BDP(TICKER,"DEEP_MEASURE_PERIOD_BROKER_VALUE","DEEP_MEASURE_ID_OVERRIDE",$C157,"DEEP_BROKER_ID_OVERRIDE",BR$24,"DEEP_PERIOD_OVERRIDE",$H$19)*1,"")))</f>
        <v/>
      </c>
      <c r="BS157" t="str">
        <f>IF(OR(BS$23="",ISNA($B157)),"",IF(ISBLANK($B157),"",IFERROR(_xll.BDP(TICKER,"DEEP_MEASURE_PERIOD_BROKER_VALUE","DEEP_MEASURE_ID_OVERRIDE",$C157,"DEEP_BROKER_ID_OVERRIDE",BS$24,"DEEP_PERIOD_OVERRIDE",$H$19)*1,"")))</f>
        <v/>
      </c>
      <c r="BT157" t="str">
        <f>IF(OR(BT$23="",ISNA($B157)),"",IF(ISBLANK($B157),"",IFERROR(_xll.BDP(TICKER,"DEEP_MEASURE_PERIOD_BROKER_VALUE","DEEP_MEASURE_ID_OVERRIDE",$C157,"DEEP_BROKER_ID_OVERRIDE",BT$24,"DEEP_PERIOD_OVERRIDE",$H$19)*1,"")))</f>
        <v/>
      </c>
      <c r="BU157" t="str">
        <f>IF(OR(BU$23="",ISNA($B157)),"",IF(ISBLANK($B157),"",IFERROR(_xll.BDP(TICKER,"DEEP_MEASURE_PERIOD_BROKER_VALUE","DEEP_MEASURE_ID_OVERRIDE",$C157,"DEEP_BROKER_ID_OVERRIDE",BU$24,"DEEP_PERIOD_OVERRIDE",$H$19)*1,"")))</f>
        <v/>
      </c>
      <c r="BV157" t="str">
        <f>IF(OR(BV$23="",ISNA($B157)),"",IF(ISBLANK($B157),"",IFERROR(_xll.BDP(TICKER,"DEEP_MEASURE_PERIOD_BROKER_VALUE","DEEP_MEASURE_ID_OVERRIDE",$C157,"DEEP_BROKER_ID_OVERRIDE",BV$24,"DEEP_PERIOD_OVERRIDE",$H$19)*1,"")))</f>
        <v/>
      </c>
      <c r="BW157" t="str">
        <f>IF(OR(BW$23="",ISNA($B157)),"",IF(ISBLANK($B157),"",IFERROR(_xll.BDP(TICKER,"DEEP_MEASURE_PERIOD_BROKER_VALUE","DEEP_MEASURE_ID_OVERRIDE",$C157,"DEEP_BROKER_ID_OVERRIDE",BW$24,"DEEP_PERIOD_OVERRIDE",$H$19)*1,"")))</f>
        <v/>
      </c>
      <c r="BX157" t="str">
        <f>IF(OR(BX$23="",ISNA($B157)),"",IF(ISBLANK($B157),"",IFERROR(_xll.BDP(TICKER,"DEEP_MEASURE_PERIOD_BROKER_VALUE","DEEP_MEASURE_ID_OVERRIDE",$C157,"DEEP_BROKER_ID_OVERRIDE",BX$24,"DEEP_PERIOD_OVERRIDE",$H$19)*1,"")))</f>
        <v/>
      </c>
      <c r="BY157" t="str">
        <f>IF(OR(BY$23="",ISNA($B157)),"",IF(ISBLANK($B157),"",IFERROR(_xll.BDP(TICKER,"DEEP_MEASURE_PERIOD_BROKER_VALUE","DEEP_MEASURE_ID_OVERRIDE",$C157,"DEEP_BROKER_ID_OVERRIDE",BY$24,"DEEP_PERIOD_OVERRIDE",$H$19)*1,"")))</f>
        <v/>
      </c>
      <c r="BZ157" t="str">
        <f>IF(OR(BZ$23="",ISNA($B157)),"",IF(ISBLANK($B157),"",IFERROR(_xll.BDP(TICKER,"DEEP_MEASURE_PERIOD_BROKER_VALUE","DEEP_MEASURE_ID_OVERRIDE",$C157,"DEEP_BROKER_ID_OVERRIDE",BZ$24,"DEEP_PERIOD_OVERRIDE",$H$19)*1,"")))</f>
        <v/>
      </c>
    </row>
    <row r="158" spans="2:78" x14ac:dyDescent="0.25">
      <c r="B158" t="s">
        <v>187</v>
      </c>
      <c r="C158">
        <v>358</v>
      </c>
      <c r="H158" t="str">
        <f t="shared" si="3"/>
        <v>Non-GAAP Metrics &gt; Net Income</v>
      </c>
      <c r="I158" t="str">
        <f>IF(OR(I$23="",ISNA($B158)),"",IF(ISBLANK($B158),"",IFERROR(_xll.BDP(TICKER,"DEEP_MEASURE_PERIOD_BROKER_VALUE","DEEP_MEASURE_ID_OVERRIDE",$C158,"DEEP_PERIOD_OVERRIDE",$H$19)*1,"")))</f>
        <v/>
      </c>
      <c r="J158" t="e">
        <f>IF(OR(J$23="",ISNA($B158)),"",IF(ISBLANK($B158),"",IFERROR(_xll.BDP(TICKER,"DEEP_MEASURE_PERIOD_BROKER_VALUE","DEEP_MEASURE_ID_OVERRIDE",$C158,"DEEP_BROKER_ID_OVERRIDE",J$24,"DEEP_PERIOD_OVERRIDE",$H$19)*1,"")))</f>
        <v>#REF!</v>
      </c>
      <c r="K158" t="str">
        <f>IF(OR(K$23="",ISNA($B158)),"",IF(ISBLANK($B158),"",IFERROR(_xll.BDP(TICKER,"DEEP_MEASURE_PERIOD_BROKER_VALUE","DEEP_MEASURE_ID_OVERRIDE",$C158,"DEEP_BROKER_ID_OVERRIDE",K$24,"DEEP_PERIOD_OVERRIDE",$H$19)*1,"")))</f>
        <v/>
      </c>
      <c r="L158" t="str">
        <f>IF(OR(L$23="",ISNA($B158)),"",IF(ISBLANK($B158),"",IFERROR(_xll.BDP(TICKER,"DEEP_MEASURE_PERIOD_BROKER_VALUE","DEEP_MEASURE_ID_OVERRIDE",$C158,"DEEP_BROKER_ID_OVERRIDE",L$24,"DEEP_PERIOD_OVERRIDE",$H$19)*1,"")))</f>
        <v/>
      </c>
      <c r="M158" t="str">
        <f>IF(OR(M$23="",ISNA($B158)),"",IF(ISBLANK($B158),"",IFERROR(_xll.BDP(TICKER,"DEEP_MEASURE_PERIOD_BROKER_VALUE","DEEP_MEASURE_ID_OVERRIDE",$C158,"DEEP_BROKER_ID_OVERRIDE",M$24,"DEEP_PERIOD_OVERRIDE",$H$19)*1,"")))</f>
        <v/>
      </c>
      <c r="N158" t="str">
        <f>IF(OR(N$23="",ISNA($B158)),"",IF(ISBLANK($B158),"",IFERROR(_xll.BDP(TICKER,"DEEP_MEASURE_PERIOD_BROKER_VALUE","DEEP_MEASURE_ID_OVERRIDE",$C158,"DEEP_BROKER_ID_OVERRIDE",N$24,"DEEP_PERIOD_OVERRIDE",$H$19)*1,"")))</f>
        <v/>
      </c>
      <c r="O158" t="str">
        <f>IF(OR(O$23="",ISNA($B158)),"",IF(ISBLANK($B158),"",IFERROR(_xll.BDP(TICKER,"DEEP_MEASURE_PERIOD_BROKER_VALUE","DEEP_MEASURE_ID_OVERRIDE",$C158,"DEEP_BROKER_ID_OVERRIDE",O$24,"DEEP_PERIOD_OVERRIDE",$H$19)*1,"")))</f>
        <v/>
      </c>
      <c r="P158" t="str">
        <f>IF(OR(P$23="",ISNA($B158)),"",IF(ISBLANK($B158),"",IFERROR(_xll.BDP(TICKER,"DEEP_MEASURE_PERIOD_BROKER_VALUE","DEEP_MEASURE_ID_OVERRIDE",$C158,"DEEP_BROKER_ID_OVERRIDE",P$24,"DEEP_PERIOD_OVERRIDE",$H$19)*1,"")))</f>
        <v/>
      </c>
      <c r="Q158" t="str">
        <f>IF(OR(Q$23="",ISNA($B158)),"",IF(ISBLANK($B158),"",IFERROR(_xll.BDP(TICKER,"DEEP_MEASURE_PERIOD_BROKER_VALUE","DEEP_MEASURE_ID_OVERRIDE",$C158,"DEEP_BROKER_ID_OVERRIDE",Q$24,"DEEP_PERIOD_OVERRIDE",$H$19)*1,"")))</f>
        <v/>
      </c>
      <c r="R158" t="str">
        <f>IF(OR(R$23="",ISNA($B158)),"",IF(ISBLANK($B158),"",IFERROR(_xll.BDP(TICKER,"DEEP_MEASURE_PERIOD_BROKER_VALUE","DEEP_MEASURE_ID_OVERRIDE",$C158,"DEEP_BROKER_ID_OVERRIDE",R$24,"DEEP_PERIOD_OVERRIDE",$H$19)*1,"")))</f>
        <v/>
      </c>
      <c r="S158" t="str">
        <f>IF(OR(S$23="",ISNA($B158)),"",IF(ISBLANK($B158),"",IFERROR(_xll.BDP(TICKER,"DEEP_MEASURE_PERIOD_BROKER_VALUE","DEEP_MEASURE_ID_OVERRIDE",$C158,"DEEP_BROKER_ID_OVERRIDE",S$24,"DEEP_PERIOD_OVERRIDE",$H$19)*1,"")))</f>
        <v/>
      </c>
      <c r="T158" t="str">
        <f>IF(OR(T$23="",ISNA($B158)),"",IF(ISBLANK($B158),"",IFERROR(_xll.BDP(TICKER,"DEEP_MEASURE_PERIOD_BROKER_VALUE","DEEP_MEASURE_ID_OVERRIDE",$C158,"DEEP_BROKER_ID_OVERRIDE",T$24,"DEEP_PERIOD_OVERRIDE",$H$19)*1,"")))</f>
        <v/>
      </c>
      <c r="U158" t="str">
        <f>IF(OR(U$23="",ISNA($B158)),"",IF(ISBLANK($B158),"",IFERROR(_xll.BDP(TICKER,"DEEP_MEASURE_PERIOD_BROKER_VALUE","DEEP_MEASURE_ID_OVERRIDE",$C158,"DEEP_BROKER_ID_OVERRIDE",U$24,"DEEP_PERIOD_OVERRIDE",$H$19)*1,"")))</f>
        <v/>
      </c>
      <c r="V158" t="str">
        <f>IF(OR(V$23="",ISNA($B158)),"",IF(ISBLANK($B158),"",IFERROR(_xll.BDP(TICKER,"DEEP_MEASURE_PERIOD_BROKER_VALUE","DEEP_MEASURE_ID_OVERRIDE",$C158,"DEEP_BROKER_ID_OVERRIDE",V$24,"DEEP_PERIOD_OVERRIDE",$H$19)*1,"")))</f>
        <v/>
      </c>
      <c r="W158" t="str">
        <f>IF(OR(W$23="",ISNA($B158)),"",IF(ISBLANK($B158),"",IFERROR(_xll.BDP(TICKER,"DEEP_MEASURE_PERIOD_BROKER_VALUE","DEEP_MEASURE_ID_OVERRIDE",$C158,"DEEP_BROKER_ID_OVERRIDE",W$24,"DEEP_PERIOD_OVERRIDE",$H$19)*1,"")))</f>
        <v/>
      </c>
      <c r="X158" t="str">
        <f>IF(OR(X$23="",ISNA($B158)),"",IF(ISBLANK($B158),"",IFERROR(_xll.BDP(TICKER,"DEEP_MEASURE_PERIOD_BROKER_VALUE","DEEP_MEASURE_ID_OVERRIDE",$C158,"DEEP_BROKER_ID_OVERRIDE",X$24,"DEEP_PERIOD_OVERRIDE",$H$19)*1,"")))</f>
        <v/>
      </c>
      <c r="Y158" t="str">
        <f>IF(OR(Y$23="",ISNA($B158)),"",IF(ISBLANK($B158),"",IFERROR(_xll.BDP(TICKER,"DEEP_MEASURE_PERIOD_BROKER_VALUE","DEEP_MEASURE_ID_OVERRIDE",$C158,"DEEP_BROKER_ID_OVERRIDE",Y$24,"DEEP_PERIOD_OVERRIDE",$H$19)*1,"")))</f>
        <v/>
      </c>
      <c r="Z158" t="str">
        <f>IF(OR(Z$23="",ISNA($B158)),"",IF(ISBLANK($B158),"",IFERROR(_xll.BDP(TICKER,"DEEP_MEASURE_PERIOD_BROKER_VALUE","DEEP_MEASURE_ID_OVERRIDE",$C158,"DEEP_BROKER_ID_OVERRIDE",Z$24,"DEEP_PERIOD_OVERRIDE",$H$19)*1,"")))</f>
        <v/>
      </c>
      <c r="AA158" t="str">
        <f>IF(OR(AA$23="",ISNA($B158)),"",IF(ISBLANK($B158),"",IFERROR(_xll.BDP(TICKER,"DEEP_MEASURE_PERIOD_BROKER_VALUE","DEEP_MEASURE_ID_OVERRIDE",$C158,"DEEP_BROKER_ID_OVERRIDE",AA$24,"DEEP_PERIOD_OVERRIDE",$H$19)*1,"")))</f>
        <v/>
      </c>
      <c r="AB158" t="str">
        <f>IF(OR(AB$23="",ISNA($B158)),"",IF(ISBLANK($B158),"",IFERROR(_xll.BDP(TICKER,"DEEP_MEASURE_PERIOD_BROKER_VALUE","DEEP_MEASURE_ID_OVERRIDE",$C158,"DEEP_BROKER_ID_OVERRIDE",AB$24,"DEEP_PERIOD_OVERRIDE",$H$19)*1,"")))</f>
        <v/>
      </c>
      <c r="AC158" t="str">
        <f>IF(OR(AC$23="",ISNA($B158)),"",IF(ISBLANK($B158),"",IFERROR(_xll.BDP(TICKER,"DEEP_MEASURE_PERIOD_BROKER_VALUE","DEEP_MEASURE_ID_OVERRIDE",$C158,"DEEP_BROKER_ID_OVERRIDE",AC$24,"DEEP_PERIOD_OVERRIDE",$H$19)*1,"")))</f>
        <v/>
      </c>
      <c r="AD158" t="str">
        <f>IF(OR(AD$23="",ISNA($B158)),"",IF(ISBLANK($B158),"",IFERROR(_xll.BDP(TICKER,"DEEP_MEASURE_PERIOD_BROKER_VALUE","DEEP_MEASURE_ID_OVERRIDE",$C158,"DEEP_BROKER_ID_OVERRIDE",AD$24,"DEEP_PERIOD_OVERRIDE",$H$19)*1,"")))</f>
        <v/>
      </c>
      <c r="AE158" t="str">
        <f>IF(OR(AE$23="",ISNA($B158)),"",IF(ISBLANK($B158),"",IFERROR(_xll.BDP(TICKER,"DEEP_MEASURE_PERIOD_BROKER_VALUE","DEEP_MEASURE_ID_OVERRIDE",$C158,"DEEP_BROKER_ID_OVERRIDE",AE$24,"DEEP_PERIOD_OVERRIDE",$H$19)*1,"")))</f>
        <v/>
      </c>
      <c r="AF158" t="str">
        <f>IF(OR(AF$23="",ISNA($B158)),"",IF(ISBLANK($B158),"",IFERROR(_xll.BDP(TICKER,"DEEP_MEASURE_PERIOD_BROKER_VALUE","DEEP_MEASURE_ID_OVERRIDE",$C158,"DEEP_BROKER_ID_OVERRIDE",AF$24,"DEEP_PERIOD_OVERRIDE",$H$19)*1,"")))</f>
        <v/>
      </c>
      <c r="AG158" t="str">
        <f>IF(OR(AG$23="",ISNA($B158)),"",IF(ISBLANK($B158),"",IFERROR(_xll.BDP(TICKER,"DEEP_MEASURE_PERIOD_BROKER_VALUE","DEEP_MEASURE_ID_OVERRIDE",$C158,"DEEP_BROKER_ID_OVERRIDE",AG$24,"DEEP_PERIOD_OVERRIDE",$H$19)*1,"")))</f>
        <v/>
      </c>
      <c r="AH158" t="str">
        <f>IF(OR(AH$23="",ISNA($B158)),"",IF(ISBLANK($B158),"",IFERROR(_xll.BDP(TICKER,"DEEP_MEASURE_PERIOD_BROKER_VALUE","DEEP_MEASURE_ID_OVERRIDE",$C158,"DEEP_BROKER_ID_OVERRIDE",AH$24,"DEEP_PERIOD_OVERRIDE",$H$19)*1,"")))</f>
        <v/>
      </c>
      <c r="AI158" t="str">
        <f>IF(OR(AI$23="",ISNA($B158)),"",IF(ISBLANK($B158),"",IFERROR(_xll.BDP(TICKER,"DEEP_MEASURE_PERIOD_BROKER_VALUE","DEEP_MEASURE_ID_OVERRIDE",$C158,"DEEP_BROKER_ID_OVERRIDE",AI$24,"DEEP_PERIOD_OVERRIDE",$H$19)*1,"")))</f>
        <v/>
      </c>
      <c r="AJ158" t="str">
        <f>IF(OR(AJ$23="",ISNA($B158)),"",IF(ISBLANK($B158),"",IFERROR(_xll.BDP(TICKER,"DEEP_MEASURE_PERIOD_BROKER_VALUE","DEEP_MEASURE_ID_OVERRIDE",$C158,"DEEP_BROKER_ID_OVERRIDE",AJ$24,"DEEP_PERIOD_OVERRIDE",$H$19)*1,"")))</f>
        <v/>
      </c>
      <c r="AK158" t="str">
        <f>IF(OR(AK$23="",ISNA($B158)),"",IF(ISBLANK($B158),"",IFERROR(_xll.BDP(TICKER,"DEEP_MEASURE_PERIOD_BROKER_VALUE","DEEP_MEASURE_ID_OVERRIDE",$C158,"DEEP_BROKER_ID_OVERRIDE",AK$24,"DEEP_PERIOD_OVERRIDE",$H$19)*1,"")))</f>
        <v/>
      </c>
      <c r="AL158" t="str">
        <f>IF(OR(AL$23="",ISNA($B158)),"",IF(ISBLANK($B158),"",IFERROR(_xll.BDP(TICKER,"DEEP_MEASURE_PERIOD_BROKER_VALUE","DEEP_MEASURE_ID_OVERRIDE",$C158,"DEEP_BROKER_ID_OVERRIDE",AL$24,"DEEP_PERIOD_OVERRIDE",$H$19)*1,"")))</f>
        <v/>
      </c>
      <c r="AM158" t="str">
        <f>IF(OR(AM$23="",ISNA($B158)),"",IF(ISBLANK($B158),"",IFERROR(_xll.BDP(TICKER,"DEEP_MEASURE_PERIOD_BROKER_VALUE","DEEP_MEASURE_ID_OVERRIDE",$C158,"DEEP_BROKER_ID_OVERRIDE",AM$24,"DEEP_PERIOD_OVERRIDE",$H$19)*1,"")))</f>
        <v/>
      </c>
      <c r="AN158" t="str">
        <f>IF(OR(AN$23="",ISNA($B158)),"",IF(ISBLANK($B158),"",IFERROR(_xll.BDP(TICKER,"DEEP_MEASURE_PERIOD_BROKER_VALUE","DEEP_MEASURE_ID_OVERRIDE",$C158,"DEEP_BROKER_ID_OVERRIDE",AN$24,"DEEP_PERIOD_OVERRIDE",$H$19)*1,"")))</f>
        <v/>
      </c>
      <c r="AO158" t="str">
        <f>IF(OR(AO$23="",ISNA($B158)),"",IF(ISBLANK($B158),"",IFERROR(_xll.BDP(TICKER,"DEEP_MEASURE_PERIOD_BROKER_VALUE","DEEP_MEASURE_ID_OVERRIDE",$C158,"DEEP_BROKER_ID_OVERRIDE",AO$24,"DEEP_PERIOD_OVERRIDE",$H$19)*1,"")))</f>
        <v/>
      </c>
      <c r="AP158" t="str">
        <f>IF(OR(AP$23="",ISNA($B158)),"",IF(ISBLANK($B158),"",IFERROR(_xll.BDP(TICKER,"DEEP_MEASURE_PERIOD_BROKER_VALUE","DEEP_MEASURE_ID_OVERRIDE",$C158,"DEEP_BROKER_ID_OVERRIDE",AP$24,"DEEP_PERIOD_OVERRIDE",$H$19)*1,"")))</f>
        <v/>
      </c>
      <c r="AQ158" t="str">
        <f>IF(OR(AQ$23="",ISNA($B158)),"",IF(ISBLANK($B158),"",IFERROR(_xll.BDP(TICKER,"DEEP_MEASURE_PERIOD_BROKER_VALUE","DEEP_MEASURE_ID_OVERRIDE",$C158,"DEEP_BROKER_ID_OVERRIDE",AQ$24,"DEEP_PERIOD_OVERRIDE",$H$19)*1,"")))</f>
        <v/>
      </c>
      <c r="AR158" t="str">
        <f>IF(OR(AR$23="",ISNA($B158)),"",IF(ISBLANK($B158),"",IFERROR(_xll.BDP(TICKER,"DEEP_MEASURE_PERIOD_BROKER_VALUE","DEEP_MEASURE_ID_OVERRIDE",$C158,"DEEP_BROKER_ID_OVERRIDE",AR$24,"DEEP_PERIOD_OVERRIDE",$H$19)*1,"")))</f>
        <v/>
      </c>
      <c r="AS158" t="str">
        <f>IF(OR(AS$23="",ISNA($B158)),"",IF(ISBLANK($B158),"",IFERROR(_xll.BDP(TICKER,"DEEP_MEASURE_PERIOD_BROKER_VALUE","DEEP_MEASURE_ID_OVERRIDE",$C158,"DEEP_BROKER_ID_OVERRIDE",AS$24,"DEEP_PERIOD_OVERRIDE",$H$19)*1,"")))</f>
        <v/>
      </c>
      <c r="AT158" t="str">
        <f>IF(OR(AT$23="",ISNA($B158)),"",IF(ISBLANK($B158),"",IFERROR(_xll.BDP(TICKER,"DEEP_MEASURE_PERIOD_BROKER_VALUE","DEEP_MEASURE_ID_OVERRIDE",$C158,"DEEP_BROKER_ID_OVERRIDE",AT$24,"DEEP_PERIOD_OVERRIDE",$H$19)*1,"")))</f>
        <v/>
      </c>
      <c r="AU158" t="str">
        <f>IF(OR(AU$23="",ISNA($B158)),"",IF(ISBLANK($B158),"",IFERROR(_xll.BDP(TICKER,"DEEP_MEASURE_PERIOD_BROKER_VALUE","DEEP_MEASURE_ID_OVERRIDE",$C158,"DEEP_BROKER_ID_OVERRIDE",AU$24,"DEEP_PERIOD_OVERRIDE",$H$19)*1,"")))</f>
        <v/>
      </c>
      <c r="AV158" t="str">
        <f>IF(OR(AV$23="",ISNA($B158)),"",IF(ISBLANK($B158),"",IFERROR(_xll.BDP(TICKER,"DEEP_MEASURE_PERIOD_BROKER_VALUE","DEEP_MEASURE_ID_OVERRIDE",$C158,"DEEP_BROKER_ID_OVERRIDE",AV$24,"DEEP_PERIOD_OVERRIDE",$H$19)*1,"")))</f>
        <v/>
      </c>
      <c r="AW158" t="str">
        <f>IF(OR(AW$23="",ISNA($B158)),"",IF(ISBLANK($B158),"",IFERROR(_xll.BDP(TICKER,"DEEP_MEASURE_PERIOD_BROKER_VALUE","DEEP_MEASURE_ID_OVERRIDE",$C158,"DEEP_BROKER_ID_OVERRIDE",AW$24,"DEEP_PERIOD_OVERRIDE",$H$19)*1,"")))</f>
        <v/>
      </c>
      <c r="AX158" t="str">
        <f>IF(OR(AX$23="",ISNA($B158)),"",IF(ISBLANK($B158),"",IFERROR(_xll.BDP(TICKER,"DEEP_MEASURE_PERIOD_BROKER_VALUE","DEEP_MEASURE_ID_OVERRIDE",$C158,"DEEP_BROKER_ID_OVERRIDE",AX$24,"DEEP_PERIOD_OVERRIDE",$H$19)*1,"")))</f>
        <v/>
      </c>
      <c r="AY158" t="str">
        <f>IF(OR(AY$23="",ISNA($B158)),"",IF(ISBLANK($B158),"",IFERROR(_xll.BDP(TICKER,"DEEP_MEASURE_PERIOD_BROKER_VALUE","DEEP_MEASURE_ID_OVERRIDE",$C158,"DEEP_BROKER_ID_OVERRIDE",AY$24,"DEEP_PERIOD_OVERRIDE",$H$19)*1,"")))</f>
        <v/>
      </c>
      <c r="AZ158" t="str">
        <f>IF(OR(AZ$23="",ISNA($B158)),"",IF(ISBLANK($B158),"",IFERROR(_xll.BDP(TICKER,"DEEP_MEASURE_PERIOD_BROKER_VALUE","DEEP_MEASURE_ID_OVERRIDE",$C158,"DEEP_BROKER_ID_OVERRIDE",AZ$24,"DEEP_PERIOD_OVERRIDE",$H$19)*1,"")))</f>
        <v/>
      </c>
      <c r="BA158" t="str">
        <f>IF(OR(BA$23="",ISNA($B158)),"",IF(ISBLANK($B158),"",IFERROR(_xll.BDP(TICKER,"DEEP_MEASURE_PERIOD_BROKER_VALUE","DEEP_MEASURE_ID_OVERRIDE",$C158,"DEEP_BROKER_ID_OVERRIDE",BA$24,"DEEP_PERIOD_OVERRIDE",$H$19)*1,"")))</f>
        <v/>
      </c>
      <c r="BB158" t="str">
        <f>IF(OR(BB$23="",ISNA($B158)),"",IF(ISBLANK($B158),"",IFERROR(_xll.BDP(TICKER,"DEEP_MEASURE_PERIOD_BROKER_VALUE","DEEP_MEASURE_ID_OVERRIDE",$C158,"DEEP_BROKER_ID_OVERRIDE",BB$24,"DEEP_PERIOD_OVERRIDE",$H$19)*1,"")))</f>
        <v/>
      </c>
      <c r="BC158" t="str">
        <f>IF(OR(BC$23="",ISNA($B158)),"",IF(ISBLANK($B158),"",IFERROR(_xll.BDP(TICKER,"DEEP_MEASURE_PERIOD_BROKER_VALUE","DEEP_MEASURE_ID_OVERRIDE",$C158,"DEEP_BROKER_ID_OVERRIDE",BC$24,"DEEP_PERIOD_OVERRIDE",$H$19)*1,"")))</f>
        <v/>
      </c>
      <c r="BD158" t="str">
        <f>IF(OR(BD$23="",ISNA($B158)),"",IF(ISBLANK($B158),"",IFERROR(_xll.BDP(TICKER,"DEEP_MEASURE_PERIOD_BROKER_VALUE","DEEP_MEASURE_ID_OVERRIDE",$C158,"DEEP_BROKER_ID_OVERRIDE",BD$24,"DEEP_PERIOD_OVERRIDE",$H$19)*1,"")))</f>
        <v/>
      </c>
      <c r="BE158" t="str">
        <f>IF(OR(BE$23="",ISNA($B158)),"",IF(ISBLANK($B158),"",IFERROR(_xll.BDP(TICKER,"DEEP_MEASURE_PERIOD_BROKER_VALUE","DEEP_MEASURE_ID_OVERRIDE",$C158,"DEEP_BROKER_ID_OVERRIDE",BE$24,"DEEP_PERIOD_OVERRIDE",$H$19)*1,"")))</f>
        <v/>
      </c>
      <c r="BF158" t="str">
        <f>IF(OR(BF$23="",ISNA($B158)),"",IF(ISBLANK($B158),"",IFERROR(_xll.BDP(TICKER,"DEEP_MEASURE_PERIOD_BROKER_VALUE","DEEP_MEASURE_ID_OVERRIDE",$C158,"DEEP_BROKER_ID_OVERRIDE",BF$24,"DEEP_PERIOD_OVERRIDE",$H$19)*1,"")))</f>
        <v/>
      </c>
      <c r="BG158" t="str">
        <f>IF(OR(BG$23="",ISNA($B158)),"",IF(ISBLANK($B158),"",IFERROR(_xll.BDP(TICKER,"DEEP_MEASURE_PERIOD_BROKER_VALUE","DEEP_MEASURE_ID_OVERRIDE",$C158,"DEEP_BROKER_ID_OVERRIDE",BG$24,"DEEP_PERIOD_OVERRIDE",$H$19)*1,"")))</f>
        <v/>
      </c>
      <c r="BH158" t="str">
        <f>IF(OR(BH$23="",ISNA($B158)),"",IF(ISBLANK($B158),"",IFERROR(_xll.BDP(TICKER,"DEEP_MEASURE_PERIOD_BROKER_VALUE","DEEP_MEASURE_ID_OVERRIDE",$C158,"DEEP_BROKER_ID_OVERRIDE",BH$24,"DEEP_PERIOD_OVERRIDE",$H$19)*1,"")))</f>
        <v/>
      </c>
      <c r="BI158" t="str">
        <f>IF(OR(BI$23="",ISNA($B158)),"",IF(ISBLANK($B158),"",IFERROR(_xll.BDP(TICKER,"DEEP_MEASURE_PERIOD_BROKER_VALUE","DEEP_MEASURE_ID_OVERRIDE",$C158,"DEEP_BROKER_ID_OVERRIDE",BI$24,"DEEP_PERIOD_OVERRIDE",$H$19)*1,"")))</f>
        <v/>
      </c>
      <c r="BJ158" t="str">
        <f>IF(OR(BJ$23="",ISNA($B158)),"",IF(ISBLANK($B158),"",IFERROR(_xll.BDP(TICKER,"DEEP_MEASURE_PERIOD_BROKER_VALUE","DEEP_MEASURE_ID_OVERRIDE",$C158,"DEEP_BROKER_ID_OVERRIDE",BJ$24,"DEEP_PERIOD_OVERRIDE",$H$19)*1,"")))</f>
        <v/>
      </c>
      <c r="BK158" t="str">
        <f>IF(OR(BK$23="",ISNA($B158)),"",IF(ISBLANK($B158),"",IFERROR(_xll.BDP(TICKER,"DEEP_MEASURE_PERIOD_BROKER_VALUE","DEEP_MEASURE_ID_OVERRIDE",$C158,"DEEP_BROKER_ID_OVERRIDE",BK$24,"DEEP_PERIOD_OVERRIDE",$H$19)*1,"")))</f>
        <v/>
      </c>
      <c r="BL158" t="str">
        <f>IF(OR(BL$23="",ISNA($B158)),"",IF(ISBLANK($B158),"",IFERROR(_xll.BDP(TICKER,"DEEP_MEASURE_PERIOD_BROKER_VALUE","DEEP_MEASURE_ID_OVERRIDE",$C158,"DEEP_BROKER_ID_OVERRIDE",BL$24,"DEEP_PERIOD_OVERRIDE",$H$19)*1,"")))</f>
        <v/>
      </c>
      <c r="BM158" t="str">
        <f>IF(OR(BM$23="",ISNA($B158)),"",IF(ISBLANK($B158),"",IFERROR(_xll.BDP(TICKER,"DEEP_MEASURE_PERIOD_BROKER_VALUE","DEEP_MEASURE_ID_OVERRIDE",$C158,"DEEP_BROKER_ID_OVERRIDE",BM$24,"DEEP_PERIOD_OVERRIDE",$H$19)*1,"")))</f>
        <v/>
      </c>
      <c r="BN158" t="str">
        <f>IF(OR(BN$23="",ISNA($B158)),"",IF(ISBLANK($B158),"",IFERROR(_xll.BDP(TICKER,"DEEP_MEASURE_PERIOD_BROKER_VALUE","DEEP_MEASURE_ID_OVERRIDE",$C158,"DEEP_BROKER_ID_OVERRIDE",BN$24,"DEEP_PERIOD_OVERRIDE",$H$19)*1,"")))</f>
        <v/>
      </c>
      <c r="BO158" t="str">
        <f>IF(OR(BO$23="",ISNA($B158)),"",IF(ISBLANK($B158),"",IFERROR(_xll.BDP(TICKER,"DEEP_MEASURE_PERIOD_BROKER_VALUE","DEEP_MEASURE_ID_OVERRIDE",$C158,"DEEP_BROKER_ID_OVERRIDE",BO$24,"DEEP_PERIOD_OVERRIDE",$H$19)*1,"")))</f>
        <v/>
      </c>
      <c r="BP158" t="str">
        <f>IF(OR(BP$23="",ISNA($B158)),"",IF(ISBLANK($B158),"",IFERROR(_xll.BDP(TICKER,"DEEP_MEASURE_PERIOD_BROKER_VALUE","DEEP_MEASURE_ID_OVERRIDE",$C158,"DEEP_BROKER_ID_OVERRIDE",BP$24,"DEEP_PERIOD_OVERRIDE",$H$19)*1,"")))</f>
        <v/>
      </c>
      <c r="BQ158" t="str">
        <f>IF(OR(BQ$23="",ISNA($B158)),"",IF(ISBLANK($B158),"",IFERROR(_xll.BDP(TICKER,"DEEP_MEASURE_PERIOD_BROKER_VALUE","DEEP_MEASURE_ID_OVERRIDE",$C158,"DEEP_BROKER_ID_OVERRIDE",BQ$24,"DEEP_PERIOD_OVERRIDE",$H$19)*1,"")))</f>
        <v/>
      </c>
      <c r="BR158" t="str">
        <f>IF(OR(BR$23="",ISNA($B158)),"",IF(ISBLANK($B158),"",IFERROR(_xll.BDP(TICKER,"DEEP_MEASURE_PERIOD_BROKER_VALUE","DEEP_MEASURE_ID_OVERRIDE",$C158,"DEEP_BROKER_ID_OVERRIDE",BR$24,"DEEP_PERIOD_OVERRIDE",$H$19)*1,"")))</f>
        <v/>
      </c>
      <c r="BS158" t="str">
        <f>IF(OR(BS$23="",ISNA($B158)),"",IF(ISBLANK($B158),"",IFERROR(_xll.BDP(TICKER,"DEEP_MEASURE_PERIOD_BROKER_VALUE","DEEP_MEASURE_ID_OVERRIDE",$C158,"DEEP_BROKER_ID_OVERRIDE",BS$24,"DEEP_PERIOD_OVERRIDE",$H$19)*1,"")))</f>
        <v/>
      </c>
      <c r="BT158" t="str">
        <f>IF(OR(BT$23="",ISNA($B158)),"",IF(ISBLANK($B158),"",IFERROR(_xll.BDP(TICKER,"DEEP_MEASURE_PERIOD_BROKER_VALUE","DEEP_MEASURE_ID_OVERRIDE",$C158,"DEEP_BROKER_ID_OVERRIDE",BT$24,"DEEP_PERIOD_OVERRIDE",$H$19)*1,"")))</f>
        <v/>
      </c>
      <c r="BU158" t="str">
        <f>IF(OR(BU$23="",ISNA($B158)),"",IF(ISBLANK($B158),"",IFERROR(_xll.BDP(TICKER,"DEEP_MEASURE_PERIOD_BROKER_VALUE","DEEP_MEASURE_ID_OVERRIDE",$C158,"DEEP_BROKER_ID_OVERRIDE",BU$24,"DEEP_PERIOD_OVERRIDE",$H$19)*1,"")))</f>
        <v/>
      </c>
      <c r="BV158" t="str">
        <f>IF(OR(BV$23="",ISNA($B158)),"",IF(ISBLANK($B158),"",IFERROR(_xll.BDP(TICKER,"DEEP_MEASURE_PERIOD_BROKER_VALUE","DEEP_MEASURE_ID_OVERRIDE",$C158,"DEEP_BROKER_ID_OVERRIDE",BV$24,"DEEP_PERIOD_OVERRIDE",$H$19)*1,"")))</f>
        <v/>
      </c>
      <c r="BW158" t="str">
        <f>IF(OR(BW$23="",ISNA($B158)),"",IF(ISBLANK($B158),"",IFERROR(_xll.BDP(TICKER,"DEEP_MEASURE_PERIOD_BROKER_VALUE","DEEP_MEASURE_ID_OVERRIDE",$C158,"DEEP_BROKER_ID_OVERRIDE",BW$24,"DEEP_PERIOD_OVERRIDE",$H$19)*1,"")))</f>
        <v/>
      </c>
      <c r="BX158" t="str">
        <f>IF(OR(BX$23="",ISNA($B158)),"",IF(ISBLANK($B158),"",IFERROR(_xll.BDP(TICKER,"DEEP_MEASURE_PERIOD_BROKER_VALUE","DEEP_MEASURE_ID_OVERRIDE",$C158,"DEEP_BROKER_ID_OVERRIDE",BX$24,"DEEP_PERIOD_OVERRIDE",$H$19)*1,"")))</f>
        <v/>
      </c>
      <c r="BY158" t="str">
        <f>IF(OR(BY$23="",ISNA($B158)),"",IF(ISBLANK($B158),"",IFERROR(_xll.BDP(TICKER,"DEEP_MEASURE_PERIOD_BROKER_VALUE","DEEP_MEASURE_ID_OVERRIDE",$C158,"DEEP_BROKER_ID_OVERRIDE",BY$24,"DEEP_PERIOD_OVERRIDE",$H$19)*1,"")))</f>
        <v/>
      </c>
      <c r="BZ158" t="str">
        <f>IF(OR(BZ$23="",ISNA($B158)),"",IF(ISBLANK($B158),"",IFERROR(_xll.BDP(TICKER,"DEEP_MEASURE_PERIOD_BROKER_VALUE","DEEP_MEASURE_ID_OVERRIDE",$C158,"DEEP_BROKER_ID_OVERRIDE",BZ$24,"DEEP_PERIOD_OVERRIDE",$H$19)*1,"")))</f>
        <v/>
      </c>
    </row>
    <row r="159" spans="2:78" x14ac:dyDescent="0.25">
      <c r="B159" t="s">
        <v>188</v>
      </c>
      <c r="C159">
        <v>2769</v>
      </c>
      <c r="H159" t="str">
        <f t="shared" si="3"/>
        <v>Non-GAAP Metrics &gt; Net Income &gt; Net Income Margin (%)</v>
      </c>
      <c r="I159" t="str">
        <f>IF(OR(I$23="",ISNA($B159)),"",IF(ISBLANK($B159),"",IFERROR(_xll.BDP(TICKER,"DEEP_MEASURE_PERIOD_BROKER_VALUE","DEEP_MEASURE_ID_OVERRIDE",$C159,"DEEP_PERIOD_OVERRIDE",$H$19)*1,"")))</f>
        <v/>
      </c>
      <c r="J159" t="e">
        <f>IF(OR(J$23="",ISNA($B159)),"",IF(ISBLANK($B159),"",IFERROR(_xll.BDP(TICKER,"DEEP_MEASURE_PERIOD_BROKER_VALUE","DEEP_MEASURE_ID_OVERRIDE",$C159,"DEEP_BROKER_ID_OVERRIDE",J$24,"DEEP_PERIOD_OVERRIDE",$H$19)*1,"")))</f>
        <v>#REF!</v>
      </c>
      <c r="K159" t="str">
        <f>IF(OR(K$23="",ISNA($B159)),"",IF(ISBLANK($B159),"",IFERROR(_xll.BDP(TICKER,"DEEP_MEASURE_PERIOD_BROKER_VALUE","DEEP_MEASURE_ID_OVERRIDE",$C159,"DEEP_BROKER_ID_OVERRIDE",K$24,"DEEP_PERIOD_OVERRIDE",$H$19)*1,"")))</f>
        <v/>
      </c>
      <c r="L159" t="str">
        <f>IF(OR(L$23="",ISNA($B159)),"",IF(ISBLANK($B159),"",IFERROR(_xll.BDP(TICKER,"DEEP_MEASURE_PERIOD_BROKER_VALUE","DEEP_MEASURE_ID_OVERRIDE",$C159,"DEEP_BROKER_ID_OVERRIDE",L$24,"DEEP_PERIOD_OVERRIDE",$H$19)*1,"")))</f>
        <v/>
      </c>
      <c r="M159" t="str">
        <f>IF(OR(M$23="",ISNA($B159)),"",IF(ISBLANK($B159),"",IFERROR(_xll.BDP(TICKER,"DEEP_MEASURE_PERIOD_BROKER_VALUE","DEEP_MEASURE_ID_OVERRIDE",$C159,"DEEP_BROKER_ID_OVERRIDE",M$24,"DEEP_PERIOD_OVERRIDE",$H$19)*1,"")))</f>
        <v/>
      </c>
      <c r="N159" t="str">
        <f>IF(OR(N$23="",ISNA($B159)),"",IF(ISBLANK($B159),"",IFERROR(_xll.BDP(TICKER,"DEEP_MEASURE_PERIOD_BROKER_VALUE","DEEP_MEASURE_ID_OVERRIDE",$C159,"DEEP_BROKER_ID_OVERRIDE",N$24,"DEEP_PERIOD_OVERRIDE",$H$19)*1,"")))</f>
        <v/>
      </c>
      <c r="O159" t="str">
        <f>IF(OR(O$23="",ISNA($B159)),"",IF(ISBLANK($B159),"",IFERROR(_xll.BDP(TICKER,"DEEP_MEASURE_PERIOD_BROKER_VALUE","DEEP_MEASURE_ID_OVERRIDE",$C159,"DEEP_BROKER_ID_OVERRIDE",O$24,"DEEP_PERIOD_OVERRIDE",$H$19)*1,"")))</f>
        <v/>
      </c>
      <c r="P159" t="str">
        <f>IF(OR(P$23="",ISNA($B159)),"",IF(ISBLANK($B159),"",IFERROR(_xll.BDP(TICKER,"DEEP_MEASURE_PERIOD_BROKER_VALUE","DEEP_MEASURE_ID_OVERRIDE",$C159,"DEEP_BROKER_ID_OVERRIDE",P$24,"DEEP_PERIOD_OVERRIDE",$H$19)*1,"")))</f>
        <v/>
      </c>
      <c r="Q159" t="str">
        <f>IF(OR(Q$23="",ISNA($B159)),"",IF(ISBLANK($B159),"",IFERROR(_xll.BDP(TICKER,"DEEP_MEASURE_PERIOD_BROKER_VALUE","DEEP_MEASURE_ID_OVERRIDE",$C159,"DEEP_BROKER_ID_OVERRIDE",Q$24,"DEEP_PERIOD_OVERRIDE",$H$19)*1,"")))</f>
        <v/>
      </c>
      <c r="R159" t="str">
        <f>IF(OR(R$23="",ISNA($B159)),"",IF(ISBLANK($B159),"",IFERROR(_xll.BDP(TICKER,"DEEP_MEASURE_PERIOD_BROKER_VALUE","DEEP_MEASURE_ID_OVERRIDE",$C159,"DEEP_BROKER_ID_OVERRIDE",R$24,"DEEP_PERIOD_OVERRIDE",$H$19)*1,"")))</f>
        <v/>
      </c>
      <c r="S159" t="str">
        <f>IF(OR(S$23="",ISNA($B159)),"",IF(ISBLANK($B159),"",IFERROR(_xll.BDP(TICKER,"DEEP_MEASURE_PERIOD_BROKER_VALUE","DEEP_MEASURE_ID_OVERRIDE",$C159,"DEEP_BROKER_ID_OVERRIDE",S$24,"DEEP_PERIOD_OVERRIDE",$H$19)*1,"")))</f>
        <v/>
      </c>
      <c r="T159" t="str">
        <f>IF(OR(T$23="",ISNA($B159)),"",IF(ISBLANK($B159),"",IFERROR(_xll.BDP(TICKER,"DEEP_MEASURE_PERIOD_BROKER_VALUE","DEEP_MEASURE_ID_OVERRIDE",$C159,"DEEP_BROKER_ID_OVERRIDE",T$24,"DEEP_PERIOD_OVERRIDE",$H$19)*1,"")))</f>
        <v/>
      </c>
      <c r="U159" t="str">
        <f>IF(OR(U$23="",ISNA($B159)),"",IF(ISBLANK($B159),"",IFERROR(_xll.BDP(TICKER,"DEEP_MEASURE_PERIOD_BROKER_VALUE","DEEP_MEASURE_ID_OVERRIDE",$C159,"DEEP_BROKER_ID_OVERRIDE",U$24,"DEEP_PERIOD_OVERRIDE",$H$19)*1,"")))</f>
        <v/>
      </c>
      <c r="V159" t="str">
        <f>IF(OR(V$23="",ISNA($B159)),"",IF(ISBLANK($B159),"",IFERROR(_xll.BDP(TICKER,"DEEP_MEASURE_PERIOD_BROKER_VALUE","DEEP_MEASURE_ID_OVERRIDE",$C159,"DEEP_BROKER_ID_OVERRIDE",V$24,"DEEP_PERIOD_OVERRIDE",$H$19)*1,"")))</f>
        <v/>
      </c>
      <c r="W159" t="str">
        <f>IF(OR(W$23="",ISNA($B159)),"",IF(ISBLANK($B159),"",IFERROR(_xll.BDP(TICKER,"DEEP_MEASURE_PERIOD_BROKER_VALUE","DEEP_MEASURE_ID_OVERRIDE",$C159,"DEEP_BROKER_ID_OVERRIDE",W$24,"DEEP_PERIOD_OVERRIDE",$H$19)*1,"")))</f>
        <v/>
      </c>
      <c r="X159" t="str">
        <f>IF(OR(X$23="",ISNA($B159)),"",IF(ISBLANK($B159),"",IFERROR(_xll.BDP(TICKER,"DEEP_MEASURE_PERIOD_BROKER_VALUE","DEEP_MEASURE_ID_OVERRIDE",$C159,"DEEP_BROKER_ID_OVERRIDE",X$24,"DEEP_PERIOD_OVERRIDE",$H$19)*1,"")))</f>
        <v/>
      </c>
      <c r="Y159" t="str">
        <f>IF(OR(Y$23="",ISNA($B159)),"",IF(ISBLANK($B159),"",IFERROR(_xll.BDP(TICKER,"DEEP_MEASURE_PERIOD_BROKER_VALUE","DEEP_MEASURE_ID_OVERRIDE",$C159,"DEEP_BROKER_ID_OVERRIDE",Y$24,"DEEP_PERIOD_OVERRIDE",$H$19)*1,"")))</f>
        <v/>
      </c>
      <c r="Z159" t="str">
        <f>IF(OR(Z$23="",ISNA($B159)),"",IF(ISBLANK($B159),"",IFERROR(_xll.BDP(TICKER,"DEEP_MEASURE_PERIOD_BROKER_VALUE","DEEP_MEASURE_ID_OVERRIDE",$C159,"DEEP_BROKER_ID_OVERRIDE",Z$24,"DEEP_PERIOD_OVERRIDE",$H$19)*1,"")))</f>
        <v/>
      </c>
      <c r="AA159" t="str">
        <f>IF(OR(AA$23="",ISNA($B159)),"",IF(ISBLANK($B159),"",IFERROR(_xll.BDP(TICKER,"DEEP_MEASURE_PERIOD_BROKER_VALUE","DEEP_MEASURE_ID_OVERRIDE",$C159,"DEEP_BROKER_ID_OVERRIDE",AA$24,"DEEP_PERIOD_OVERRIDE",$H$19)*1,"")))</f>
        <v/>
      </c>
      <c r="AB159" t="str">
        <f>IF(OR(AB$23="",ISNA($B159)),"",IF(ISBLANK($B159),"",IFERROR(_xll.BDP(TICKER,"DEEP_MEASURE_PERIOD_BROKER_VALUE","DEEP_MEASURE_ID_OVERRIDE",$C159,"DEEP_BROKER_ID_OVERRIDE",AB$24,"DEEP_PERIOD_OVERRIDE",$H$19)*1,"")))</f>
        <v/>
      </c>
      <c r="AC159" t="str">
        <f>IF(OR(AC$23="",ISNA($B159)),"",IF(ISBLANK($B159),"",IFERROR(_xll.BDP(TICKER,"DEEP_MEASURE_PERIOD_BROKER_VALUE","DEEP_MEASURE_ID_OVERRIDE",$C159,"DEEP_BROKER_ID_OVERRIDE",AC$24,"DEEP_PERIOD_OVERRIDE",$H$19)*1,"")))</f>
        <v/>
      </c>
      <c r="AD159" t="str">
        <f>IF(OR(AD$23="",ISNA($B159)),"",IF(ISBLANK($B159),"",IFERROR(_xll.BDP(TICKER,"DEEP_MEASURE_PERIOD_BROKER_VALUE","DEEP_MEASURE_ID_OVERRIDE",$C159,"DEEP_BROKER_ID_OVERRIDE",AD$24,"DEEP_PERIOD_OVERRIDE",$H$19)*1,"")))</f>
        <v/>
      </c>
      <c r="AE159" t="str">
        <f>IF(OR(AE$23="",ISNA($B159)),"",IF(ISBLANK($B159),"",IFERROR(_xll.BDP(TICKER,"DEEP_MEASURE_PERIOD_BROKER_VALUE","DEEP_MEASURE_ID_OVERRIDE",$C159,"DEEP_BROKER_ID_OVERRIDE",AE$24,"DEEP_PERIOD_OVERRIDE",$H$19)*1,"")))</f>
        <v/>
      </c>
      <c r="AF159" t="str">
        <f>IF(OR(AF$23="",ISNA($B159)),"",IF(ISBLANK($B159),"",IFERROR(_xll.BDP(TICKER,"DEEP_MEASURE_PERIOD_BROKER_VALUE","DEEP_MEASURE_ID_OVERRIDE",$C159,"DEEP_BROKER_ID_OVERRIDE",AF$24,"DEEP_PERIOD_OVERRIDE",$H$19)*1,"")))</f>
        <v/>
      </c>
      <c r="AG159" t="str">
        <f>IF(OR(AG$23="",ISNA($B159)),"",IF(ISBLANK($B159),"",IFERROR(_xll.BDP(TICKER,"DEEP_MEASURE_PERIOD_BROKER_VALUE","DEEP_MEASURE_ID_OVERRIDE",$C159,"DEEP_BROKER_ID_OVERRIDE",AG$24,"DEEP_PERIOD_OVERRIDE",$H$19)*1,"")))</f>
        <v/>
      </c>
      <c r="AH159" t="str">
        <f>IF(OR(AH$23="",ISNA($B159)),"",IF(ISBLANK($B159),"",IFERROR(_xll.BDP(TICKER,"DEEP_MEASURE_PERIOD_BROKER_VALUE","DEEP_MEASURE_ID_OVERRIDE",$C159,"DEEP_BROKER_ID_OVERRIDE",AH$24,"DEEP_PERIOD_OVERRIDE",$H$19)*1,"")))</f>
        <v/>
      </c>
      <c r="AI159" t="str">
        <f>IF(OR(AI$23="",ISNA($B159)),"",IF(ISBLANK($B159),"",IFERROR(_xll.BDP(TICKER,"DEEP_MEASURE_PERIOD_BROKER_VALUE","DEEP_MEASURE_ID_OVERRIDE",$C159,"DEEP_BROKER_ID_OVERRIDE",AI$24,"DEEP_PERIOD_OVERRIDE",$H$19)*1,"")))</f>
        <v/>
      </c>
      <c r="AJ159" t="str">
        <f>IF(OR(AJ$23="",ISNA($B159)),"",IF(ISBLANK($B159),"",IFERROR(_xll.BDP(TICKER,"DEEP_MEASURE_PERIOD_BROKER_VALUE","DEEP_MEASURE_ID_OVERRIDE",$C159,"DEEP_BROKER_ID_OVERRIDE",AJ$24,"DEEP_PERIOD_OVERRIDE",$H$19)*1,"")))</f>
        <v/>
      </c>
      <c r="AK159" t="str">
        <f>IF(OR(AK$23="",ISNA($B159)),"",IF(ISBLANK($B159),"",IFERROR(_xll.BDP(TICKER,"DEEP_MEASURE_PERIOD_BROKER_VALUE","DEEP_MEASURE_ID_OVERRIDE",$C159,"DEEP_BROKER_ID_OVERRIDE",AK$24,"DEEP_PERIOD_OVERRIDE",$H$19)*1,"")))</f>
        <v/>
      </c>
      <c r="AL159" t="str">
        <f>IF(OR(AL$23="",ISNA($B159)),"",IF(ISBLANK($B159),"",IFERROR(_xll.BDP(TICKER,"DEEP_MEASURE_PERIOD_BROKER_VALUE","DEEP_MEASURE_ID_OVERRIDE",$C159,"DEEP_BROKER_ID_OVERRIDE",AL$24,"DEEP_PERIOD_OVERRIDE",$H$19)*1,"")))</f>
        <v/>
      </c>
      <c r="AM159" t="str">
        <f>IF(OR(AM$23="",ISNA($B159)),"",IF(ISBLANK($B159),"",IFERROR(_xll.BDP(TICKER,"DEEP_MEASURE_PERIOD_BROKER_VALUE","DEEP_MEASURE_ID_OVERRIDE",$C159,"DEEP_BROKER_ID_OVERRIDE",AM$24,"DEEP_PERIOD_OVERRIDE",$H$19)*1,"")))</f>
        <v/>
      </c>
      <c r="AN159" t="str">
        <f>IF(OR(AN$23="",ISNA($B159)),"",IF(ISBLANK($B159),"",IFERROR(_xll.BDP(TICKER,"DEEP_MEASURE_PERIOD_BROKER_VALUE","DEEP_MEASURE_ID_OVERRIDE",$C159,"DEEP_BROKER_ID_OVERRIDE",AN$24,"DEEP_PERIOD_OVERRIDE",$H$19)*1,"")))</f>
        <v/>
      </c>
      <c r="AO159" t="str">
        <f>IF(OR(AO$23="",ISNA($B159)),"",IF(ISBLANK($B159),"",IFERROR(_xll.BDP(TICKER,"DEEP_MEASURE_PERIOD_BROKER_VALUE","DEEP_MEASURE_ID_OVERRIDE",$C159,"DEEP_BROKER_ID_OVERRIDE",AO$24,"DEEP_PERIOD_OVERRIDE",$H$19)*1,"")))</f>
        <v/>
      </c>
      <c r="AP159" t="str">
        <f>IF(OR(AP$23="",ISNA($B159)),"",IF(ISBLANK($B159),"",IFERROR(_xll.BDP(TICKER,"DEEP_MEASURE_PERIOD_BROKER_VALUE","DEEP_MEASURE_ID_OVERRIDE",$C159,"DEEP_BROKER_ID_OVERRIDE",AP$24,"DEEP_PERIOD_OVERRIDE",$H$19)*1,"")))</f>
        <v/>
      </c>
      <c r="AQ159" t="str">
        <f>IF(OR(AQ$23="",ISNA($B159)),"",IF(ISBLANK($B159),"",IFERROR(_xll.BDP(TICKER,"DEEP_MEASURE_PERIOD_BROKER_VALUE","DEEP_MEASURE_ID_OVERRIDE",$C159,"DEEP_BROKER_ID_OVERRIDE",AQ$24,"DEEP_PERIOD_OVERRIDE",$H$19)*1,"")))</f>
        <v/>
      </c>
      <c r="AR159" t="str">
        <f>IF(OR(AR$23="",ISNA($B159)),"",IF(ISBLANK($B159),"",IFERROR(_xll.BDP(TICKER,"DEEP_MEASURE_PERIOD_BROKER_VALUE","DEEP_MEASURE_ID_OVERRIDE",$C159,"DEEP_BROKER_ID_OVERRIDE",AR$24,"DEEP_PERIOD_OVERRIDE",$H$19)*1,"")))</f>
        <v/>
      </c>
      <c r="AS159" t="str">
        <f>IF(OR(AS$23="",ISNA($B159)),"",IF(ISBLANK($B159),"",IFERROR(_xll.BDP(TICKER,"DEEP_MEASURE_PERIOD_BROKER_VALUE","DEEP_MEASURE_ID_OVERRIDE",$C159,"DEEP_BROKER_ID_OVERRIDE",AS$24,"DEEP_PERIOD_OVERRIDE",$H$19)*1,"")))</f>
        <v/>
      </c>
      <c r="AT159" t="str">
        <f>IF(OR(AT$23="",ISNA($B159)),"",IF(ISBLANK($B159),"",IFERROR(_xll.BDP(TICKER,"DEEP_MEASURE_PERIOD_BROKER_VALUE","DEEP_MEASURE_ID_OVERRIDE",$C159,"DEEP_BROKER_ID_OVERRIDE",AT$24,"DEEP_PERIOD_OVERRIDE",$H$19)*1,"")))</f>
        <v/>
      </c>
      <c r="AU159" t="str">
        <f>IF(OR(AU$23="",ISNA($B159)),"",IF(ISBLANK($B159),"",IFERROR(_xll.BDP(TICKER,"DEEP_MEASURE_PERIOD_BROKER_VALUE","DEEP_MEASURE_ID_OVERRIDE",$C159,"DEEP_BROKER_ID_OVERRIDE",AU$24,"DEEP_PERIOD_OVERRIDE",$H$19)*1,"")))</f>
        <v/>
      </c>
      <c r="AV159" t="str">
        <f>IF(OR(AV$23="",ISNA($B159)),"",IF(ISBLANK($B159),"",IFERROR(_xll.BDP(TICKER,"DEEP_MEASURE_PERIOD_BROKER_VALUE","DEEP_MEASURE_ID_OVERRIDE",$C159,"DEEP_BROKER_ID_OVERRIDE",AV$24,"DEEP_PERIOD_OVERRIDE",$H$19)*1,"")))</f>
        <v/>
      </c>
      <c r="AW159" t="str">
        <f>IF(OR(AW$23="",ISNA($B159)),"",IF(ISBLANK($B159),"",IFERROR(_xll.BDP(TICKER,"DEEP_MEASURE_PERIOD_BROKER_VALUE","DEEP_MEASURE_ID_OVERRIDE",$C159,"DEEP_BROKER_ID_OVERRIDE",AW$24,"DEEP_PERIOD_OVERRIDE",$H$19)*1,"")))</f>
        <v/>
      </c>
      <c r="AX159" t="str">
        <f>IF(OR(AX$23="",ISNA($B159)),"",IF(ISBLANK($B159),"",IFERROR(_xll.BDP(TICKER,"DEEP_MEASURE_PERIOD_BROKER_VALUE","DEEP_MEASURE_ID_OVERRIDE",$C159,"DEEP_BROKER_ID_OVERRIDE",AX$24,"DEEP_PERIOD_OVERRIDE",$H$19)*1,"")))</f>
        <v/>
      </c>
      <c r="AY159" t="str">
        <f>IF(OR(AY$23="",ISNA($B159)),"",IF(ISBLANK($B159),"",IFERROR(_xll.BDP(TICKER,"DEEP_MEASURE_PERIOD_BROKER_VALUE","DEEP_MEASURE_ID_OVERRIDE",$C159,"DEEP_BROKER_ID_OVERRIDE",AY$24,"DEEP_PERIOD_OVERRIDE",$H$19)*1,"")))</f>
        <v/>
      </c>
      <c r="AZ159" t="str">
        <f>IF(OR(AZ$23="",ISNA($B159)),"",IF(ISBLANK($B159),"",IFERROR(_xll.BDP(TICKER,"DEEP_MEASURE_PERIOD_BROKER_VALUE","DEEP_MEASURE_ID_OVERRIDE",$C159,"DEEP_BROKER_ID_OVERRIDE",AZ$24,"DEEP_PERIOD_OVERRIDE",$H$19)*1,"")))</f>
        <v/>
      </c>
      <c r="BA159" t="str">
        <f>IF(OR(BA$23="",ISNA($B159)),"",IF(ISBLANK($B159),"",IFERROR(_xll.BDP(TICKER,"DEEP_MEASURE_PERIOD_BROKER_VALUE","DEEP_MEASURE_ID_OVERRIDE",$C159,"DEEP_BROKER_ID_OVERRIDE",BA$24,"DEEP_PERIOD_OVERRIDE",$H$19)*1,"")))</f>
        <v/>
      </c>
      <c r="BB159" t="str">
        <f>IF(OR(BB$23="",ISNA($B159)),"",IF(ISBLANK($B159),"",IFERROR(_xll.BDP(TICKER,"DEEP_MEASURE_PERIOD_BROKER_VALUE","DEEP_MEASURE_ID_OVERRIDE",$C159,"DEEP_BROKER_ID_OVERRIDE",BB$24,"DEEP_PERIOD_OVERRIDE",$H$19)*1,"")))</f>
        <v/>
      </c>
      <c r="BC159" t="str">
        <f>IF(OR(BC$23="",ISNA($B159)),"",IF(ISBLANK($B159),"",IFERROR(_xll.BDP(TICKER,"DEEP_MEASURE_PERIOD_BROKER_VALUE","DEEP_MEASURE_ID_OVERRIDE",$C159,"DEEP_BROKER_ID_OVERRIDE",BC$24,"DEEP_PERIOD_OVERRIDE",$H$19)*1,"")))</f>
        <v/>
      </c>
      <c r="BD159" t="str">
        <f>IF(OR(BD$23="",ISNA($B159)),"",IF(ISBLANK($B159),"",IFERROR(_xll.BDP(TICKER,"DEEP_MEASURE_PERIOD_BROKER_VALUE","DEEP_MEASURE_ID_OVERRIDE",$C159,"DEEP_BROKER_ID_OVERRIDE",BD$24,"DEEP_PERIOD_OVERRIDE",$H$19)*1,"")))</f>
        <v/>
      </c>
      <c r="BE159" t="str">
        <f>IF(OR(BE$23="",ISNA($B159)),"",IF(ISBLANK($B159),"",IFERROR(_xll.BDP(TICKER,"DEEP_MEASURE_PERIOD_BROKER_VALUE","DEEP_MEASURE_ID_OVERRIDE",$C159,"DEEP_BROKER_ID_OVERRIDE",BE$24,"DEEP_PERIOD_OVERRIDE",$H$19)*1,"")))</f>
        <v/>
      </c>
      <c r="BF159" t="str">
        <f>IF(OR(BF$23="",ISNA($B159)),"",IF(ISBLANK($B159),"",IFERROR(_xll.BDP(TICKER,"DEEP_MEASURE_PERIOD_BROKER_VALUE","DEEP_MEASURE_ID_OVERRIDE",$C159,"DEEP_BROKER_ID_OVERRIDE",BF$24,"DEEP_PERIOD_OVERRIDE",$H$19)*1,"")))</f>
        <v/>
      </c>
      <c r="BG159" t="str">
        <f>IF(OR(BG$23="",ISNA($B159)),"",IF(ISBLANK($B159),"",IFERROR(_xll.BDP(TICKER,"DEEP_MEASURE_PERIOD_BROKER_VALUE","DEEP_MEASURE_ID_OVERRIDE",$C159,"DEEP_BROKER_ID_OVERRIDE",BG$24,"DEEP_PERIOD_OVERRIDE",$H$19)*1,"")))</f>
        <v/>
      </c>
      <c r="BH159" t="str">
        <f>IF(OR(BH$23="",ISNA($B159)),"",IF(ISBLANK($B159),"",IFERROR(_xll.BDP(TICKER,"DEEP_MEASURE_PERIOD_BROKER_VALUE","DEEP_MEASURE_ID_OVERRIDE",$C159,"DEEP_BROKER_ID_OVERRIDE",BH$24,"DEEP_PERIOD_OVERRIDE",$H$19)*1,"")))</f>
        <v/>
      </c>
      <c r="BI159" t="str">
        <f>IF(OR(BI$23="",ISNA($B159)),"",IF(ISBLANK($B159),"",IFERROR(_xll.BDP(TICKER,"DEEP_MEASURE_PERIOD_BROKER_VALUE","DEEP_MEASURE_ID_OVERRIDE",$C159,"DEEP_BROKER_ID_OVERRIDE",BI$24,"DEEP_PERIOD_OVERRIDE",$H$19)*1,"")))</f>
        <v/>
      </c>
      <c r="BJ159" t="str">
        <f>IF(OR(BJ$23="",ISNA($B159)),"",IF(ISBLANK($B159),"",IFERROR(_xll.BDP(TICKER,"DEEP_MEASURE_PERIOD_BROKER_VALUE","DEEP_MEASURE_ID_OVERRIDE",$C159,"DEEP_BROKER_ID_OVERRIDE",BJ$24,"DEEP_PERIOD_OVERRIDE",$H$19)*1,"")))</f>
        <v/>
      </c>
      <c r="BK159" t="str">
        <f>IF(OR(BK$23="",ISNA($B159)),"",IF(ISBLANK($B159),"",IFERROR(_xll.BDP(TICKER,"DEEP_MEASURE_PERIOD_BROKER_VALUE","DEEP_MEASURE_ID_OVERRIDE",$C159,"DEEP_BROKER_ID_OVERRIDE",BK$24,"DEEP_PERIOD_OVERRIDE",$H$19)*1,"")))</f>
        <v/>
      </c>
      <c r="BL159" t="str">
        <f>IF(OR(BL$23="",ISNA($B159)),"",IF(ISBLANK($B159),"",IFERROR(_xll.BDP(TICKER,"DEEP_MEASURE_PERIOD_BROKER_VALUE","DEEP_MEASURE_ID_OVERRIDE",$C159,"DEEP_BROKER_ID_OVERRIDE",BL$24,"DEEP_PERIOD_OVERRIDE",$H$19)*1,"")))</f>
        <v/>
      </c>
      <c r="BM159" t="str">
        <f>IF(OR(BM$23="",ISNA($B159)),"",IF(ISBLANK($B159),"",IFERROR(_xll.BDP(TICKER,"DEEP_MEASURE_PERIOD_BROKER_VALUE","DEEP_MEASURE_ID_OVERRIDE",$C159,"DEEP_BROKER_ID_OVERRIDE",BM$24,"DEEP_PERIOD_OVERRIDE",$H$19)*1,"")))</f>
        <v/>
      </c>
      <c r="BN159" t="str">
        <f>IF(OR(BN$23="",ISNA($B159)),"",IF(ISBLANK($B159),"",IFERROR(_xll.BDP(TICKER,"DEEP_MEASURE_PERIOD_BROKER_VALUE","DEEP_MEASURE_ID_OVERRIDE",$C159,"DEEP_BROKER_ID_OVERRIDE",BN$24,"DEEP_PERIOD_OVERRIDE",$H$19)*1,"")))</f>
        <v/>
      </c>
      <c r="BO159" t="str">
        <f>IF(OR(BO$23="",ISNA($B159)),"",IF(ISBLANK($B159),"",IFERROR(_xll.BDP(TICKER,"DEEP_MEASURE_PERIOD_BROKER_VALUE","DEEP_MEASURE_ID_OVERRIDE",$C159,"DEEP_BROKER_ID_OVERRIDE",BO$24,"DEEP_PERIOD_OVERRIDE",$H$19)*1,"")))</f>
        <v/>
      </c>
      <c r="BP159" t="str">
        <f>IF(OR(BP$23="",ISNA($B159)),"",IF(ISBLANK($B159),"",IFERROR(_xll.BDP(TICKER,"DEEP_MEASURE_PERIOD_BROKER_VALUE","DEEP_MEASURE_ID_OVERRIDE",$C159,"DEEP_BROKER_ID_OVERRIDE",BP$24,"DEEP_PERIOD_OVERRIDE",$H$19)*1,"")))</f>
        <v/>
      </c>
      <c r="BQ159" t="str">
        <f>IF(OR(BQ$23="",ISNA($B159)),"",IF(ISBLANK($B159),"",IFERROR(_xll.BDP(TICKER,"DEEP_MEASURE_PERIOD_BROKER_VALUE","DEEP_MEASURE_ID_OVERRIDE",$C159,"DEEP_BROKER_ID_OVERRIDE",BQ$24,"DEEP_PERIOD_OVERRIDE",$H$19)*1,"")))</f>
        <v/>
      </c>
      <c r="BR159" t="str">
        <f>IF(OR(BR$23="",ISNA($B159)),"",IF(ISBLANK($B159),"",IFERROR(_xll.BDP(TICKER,"DEEP_MEASURE_PERIOD_BROKER_VALUE","DEEP_MEASURE_ID_OVERRIDE",$C159,"DEEP_BROKER_ID_OVERRIDE",BR$24,"DEEP_PERIOD_OVERRIDE",$H$19)*1,"")))</f>
        <v/>
      </c>
      <c r="BS159" t="str">
        <f>IF(OR(BS$23="",ISNA($B159)),"",IF(ISBLANK($B159),"",IFERROR(_xll.BDP(TICKER,"DEEP_MEASURE_PERIOD_BROKER_VALUE","DEEP_MEASURE_ID_OVERRIDE",$C159,"DEEP_BROKER_ID_OVERRIDE",BS$24,"DEEP_PERIOD_OVERRIDE",$H$19)*1,"")))</f>
        <v/>
      </c>
      <c r="BT159" t="str">
        <f>IF(OR(BT$23="",ISNA($B159)),"",IF(ISBLANK($B159),"",IFERROR(_xll.BDP(TICKER,"DEEP_MEASURE_PERIOD_BROKER_VALUE","DEEP_MEASURE_ID_OVERRIDE",$C159,"DEEP_BROKER_ID_OVERRIDE",BT$24,"DEEP_PERIOD_OVERRIDE",$H$19)*1,"")))</f>
        <v/>
      </c>
      <c r="BU159" t="str">
        <f>IF(OR(BU$23="",ISNA($B159)),"",IF(ISBLANK($B159),"",IFERROR(_xll.BDP(TICKER,"DEEP_MEASURE_PERIOD_BROKER_VALUE","DEEP_MEASURE_ID_OVERRIDE",$C159,"DEEP_BROKER_ID_OVERRIDE",BU$24,"DEEP_PERIOD_OVERRIDE",$H$19)*1,"")))</f>
        <v/>
      </c>
      <c r="BV159" t="str">
        <f>IF(OR(BV$23="",ISNA($B159)),"",IF(ISBLANK($B159),"",IFERROR(_xll.BDP(TICKER,"DEEP_MEASURE_PERIOD_BROKER_VALUE","DEEP_MEASURE_ID_OVERRIDE",$C159,"DEEP_BROKER_ID_OVERRIDE",BV$24,"DEEP_PERIOD_OVERRIDE",$H$19)*1,"")))</f>
        <v/>
      </c>
      <c r="BW159" t="str">
        <f>IF(OR(BW$23="",ISNA($B159)),"",IF(ISBLANK($B159),"",IFERROR(_xll.BDP(TICKER,"DEEP_MEASURE_PERIOD_BROKER_VALUE","DEEP_MEASURE_ID_OVERRIDE",$C159,"DEEP_BROKER_ID_OVERRIDE",BW$24,"DEEP_PERIOD_OVERRIDE",$H$19)*1,"")))</f>
        <v/>
      </c>
      <c r="BX159" t="str">
        <f>IF(OR(BX$23="",ISNA($B159)),"",IF(ISBLANK($B159),"",IFERROR(_xll.BDP(TICKER,"DEEP_MEASURE_PERIOD_BROKER_VALUE","DEEP_MEASURE_ID_OVERRIDE",$C159,"DEEP_BROKER_ID_OVERRIDE",BX$24,"DEEP_PERIOD_OVERRIDE",$H$19)*1,"")))</f>
        <v/>
      </c>
      <c r="BY159" t="str">
        <f>IF(OR(BY$23="",ISNA($B159)),"",IF(ISBLANK($B159),"",IFERROR(_xll.BDP(TICKER,"DEEP_MEASURE_PERIOD_BROKER_VALUE","DEEP_MEASURE_ID_OVERRIDE",$C159,"DEEP_BROKER_ID_OVERRIDE",BY$24,"DEEP_PERIOD_OVERRIDE",$H$19)*1,"")))</f>
        <v/>
      </c>
      <c r="BZ159" t="str">
        <f>IF(OR(BZ$23="",ISNA($B159)),"",IF(ISBLANK($B159),"",IFERROR(_xll.BDP(TICKER,"DEEP_MEASURE_PERIOD_BROKER_VALUE","DEEP_MEASURE_ID_OVERRIDE",$C159,"DEEP_BROKER_ID_OVERRIDE",BZ$24,"DEEP_PERIOD_OVERRIDE",$H$19)*1,"")))</f>
        <v/>
      </c>
    </row>
    <row r="160" spans="2:78" x14ac:dyDescent="0.25">
      <c r="B160" t="s">
        <v>189</v>
      </c>
      <c r="C160">
        <v>359</v>
      </c>
      <c r="H160" t="str">
        <f t="shared" si="3"/>
        <v>Non-GAAP Metrics &gt; Diluted Shares Outstanding</v>
      </c>
      <c r="I160" t="str">
        <f>IF(OR(I$23="",ISNA($B160)),"",IF(ISBLANK($B160),"",IFERROR(_xll.BDP(TICKER,"DEEP_MEASURE_PERIOD_BROKER_VALUE","DEEP_MEASURE_ID_OVERRIDE",$C160,"DEEP_PERIOD_OVERRIDE",$H$19)*1,"")))</f>
        <v/>
      </c>
      <c r="J160" t="e">
        <f>IF(OR(J$23="",ISNA($B160)),"",IF(ISBLANK($B160),"",IFERROR(_xll.BDP(TICKER,"DEEP_MEASURE_PERIOD_BROKER_VALUE","DEEP_MEASURE_ID_OVERRIDE",$C160,"DEEP_BROKER_ID_OVERRIDE",J$24,"DEEP_PERIOD_OVERRIDE",$H$19)*1,"")))</f>
        <v>#REF!</v>
      </c>
      <c r="K160" t="str">
        <f>IF(OR(K$23="",ISNA($B160)),"",IF(ISBLANK($B160),"",IFERROR(_xll.BDP(TICKER,"DEEP_MEASURE_PERIOD_BROKER_VALUE","DEEP_MEASURE_ID_OVERRIDE",$C160,"DEEP_BROKER_ID_OVERRIDE",K$24,"DEEP_PERIOD_OVERRIDE",$H$19)*1,"")))</f>
        <v/>
      </c>
      <c r="L160" t="str">
        <f>IF(OR(L$23="",ISNA($B160)),"",IF(ISBLANK($B160),"",IFERROR(_xll.BDP(TICKER,"DEEP_MEASURE_PERIOD_BROKER_VALUE","DEEP_MEASURE_ID_OVERRIDE",$C160,"DEEP_BROKER_ID_OVERRIDE",L$24,"DEEP_PERIOD_OVERRIDE",$H$19)*1,"")))</f>
        <v/>
      </c>
      <c r="M160" t="str">
        <f>IF(OR(M$23="",ISNA($B160)),"",IF(ISBLANK($B160),"",IFERROR(_xll.BDP(TICKER,"DEEP_MEASURE_PERIOD_BROKER_VALUE","DEEP_MEASURE_ID_OVERRIDE",$C160,"DEEP_BROKER_ID_OVERRIDE",M$24,"DEEP_PERIOD_OVERRIDE",$H$19)*1,"")))</f>
        <v/>
      </c>
      <c r="N160" t="str">
        <f>IF(OR(N$23="",ISNA($B160)),"",IF(ISBLANK($B160),"",IFERROR(_xll.BDP(TICKER,"DEEP_MEASURE_PERIOD_BROKER_VALUE","DEEP_MEASURE_ID_OVERRIDE",$C160,"DEEP_BROKER_ID_OVERRIDE",N$24,"DEEP_PERIOD_OVERRIDE",$H$19)*1,"")))</f>
        <v/>
      </c>
      <c r="O160" t="str">
        <f>IF(OR(O$23="",ISNA($B160)),"",IF(ISBLANK($B160),"",IFERROR(_xll.BDP(TICKER,"DEEP_MEASURE_PERIOD_BROKER_VALUE","DEEP_MEASURE_ID_OVERRIDE",$C160,"DEEP_BROKER_ID_OVERRIDE",O$24,"DEEP_PERIOD_OVERRIDE",$H$19)*1,"")))</f>
        <v/>
      </c>
      <c r="P160" t="str">
        <f>IF(OR(P$23="",ISNA($B160)),"",IF(ISBLANK($B160),"",IFERROR(_xll.BDP(TICKER,"DEEP_MEASURE_PERIOD_BROKER_VALUE","DEEP_MEASURE_ID_OVERRIDE",$C160,"DEEP_BROKER_ID_OVERRIDE",P$24,"DEEP_PERIOD_OVERRIDE",$H$19)*1,"")))</f>
        <v/>
      </c>
      <c r="Q160" t="str">
        <f>IF(OR(Q$23="",ISNA($B160)),"",IF(ISBLANK($B160),"",IFERROR(_xll.BDP(TICKER,"DEEP_MEASURE_PERIOD_BROKER_VALUE","DEEP_MEASURE_ID_OVERRIDE",$C160,"DEEP_BROKER_ID_OVERRIDE",Q$24,"DEEP_PERIOD_OVERRIDE",$H$19)*1,"")))</f>
        <v/>
      </c>
      <c r="R160" t="str">
        <f>IF(OR(R$23="",ISNA($B160)),"",IF(ISBLANK($B160),"",IFERROR(_xll.BDP(TICKER,"DEEP_MEASURE_PERIOD_BROKER_VALUE","DEEP_MEASURE_ID_OVERRIDE",$C160,"DEEP_BROKER_ID_OVERRIDE",R$24,"DEEP_PERIOD_OVERRIDE",$H$19)*1,"")))</f>
        <v/>
      </c>
      <c r="S160" t="str">
        <f>IF(OR(S$23="",ISNA($B160)),"",IF(ISBLANK($B160),"",IFERROR(_xll.BDP(TICKER,"DEEP_MEASURE_PERIOD_BROKER_VALUE","DEEP_MEASURE_ID_OVERRIDE",$C160,"DEEP_BROKER_ID_OVERRIDE",S$24,"DEEP_PERIOD_OVERRIDE",$H$19)*1,"")))</f>
        <v/>
      </c>
      <c r="T160" t="str">
        <f>IF(OR(T$23="",ISNA($B160)),"",IF(ISBLANK($B160),"",IFERROR(_xll.BDP(TICKER,"DEEP_MEASURE_PERIOD_BROKER_VALUE","DEEP_MEASURE_ID_OVERRIDE",$C160,"DEEP_BROKER_ID_OVERRIDE",T$24,"DEEP_PERIOD_OVERRIDE",$H$19)*1,"")))</f>
        <v/>
      </c>
      <c r="U160" t="str">
        <f>IF(OR(U$23="",ISNA($B160)),"",IF(ISBLANK($B160),"",IFERROR(_xll.BDP(TICKER,"DEEP_MEASURE_PERIOD_BROKER_VALUE","DEEP_MEASURE_ID_OVERRIDE",$C160,"DEEP_BROKER_ID_OVERRIDE",U$24,"DEEP_PERIOD_OVERRIDE",$H$19)*1,"")))</f>
        <v/>
      </c>
      <c r="V160" t="str">
        <f>IF(OR(V$23="",ISNA($B160)),"",IF(ISBLANK($B160),"",IFERROR(_xll.BDP(TICKER,"DEEP_MEASURE_PERIOD_BROKER_VALUE","DEEP_MEASURE_ID_OVERRIDE",$C160,"DEEP_BROKER_ID_OVERRIDE",V$24,"DEEP_PERIOD_OVERRIDE",$H$19)*1,"")))</f>
        <v/>
      </c>
      <c r="W160" t="str">
        <f>IF(OR(W$23="",ISNA($B160)),"",IF(ISBLANK($B160),"",IFERROR(_xll.BDP(TICKER,"DEEP_MEASURE_PERIOD_BROKER_VALUE","DEEP_MEASURE_ID_OVERRIDE",$C160,"DEEP_BROKER_ID_OVERRIDE",W$24,"DEEP_PERIOD_OVERRIDE",$H$19)*1,"")))</f>
        <v/>
      </c>
      <c r="X160" t="str">
        <f>IF(OR(X$23="",ISNA($B160)),"",IF(ISBLANK($B160),"",IFERROR(_xll.BDP(TICKER,"DEEP_MEASURE_PERIOD_BROKER_VALUE","DEEP_MEASURE_ID_OVERRIDE",$C160,"DEEP_BROKER_ID_OVERRIDE",X$24,"DEEP_PERIOD_OVERRIDE",$H$19)*1,"")))</f>
        <v/>
      </c>
      <c r="Y160" t="str">
        <f>IF(OR(Y$23="",ISNA($B160)),"",IF(ISBLANK($B160),"",IFERROR(_xll.BDP(TICKER,"DEEP_MEASURE_PERIOD_BROKER_VALUE","DEEP_MEASURE_ID_OVERRIDE",$C160,"DEEP_BROKER_ID_OVERRIDE",Y$24,"DEEP_PERIOD_OVERRIDE",$H$19)*1,"")))</f>
        <v/>
      </c>
      <c r="Z160" t="str">
        <f>IF(OR(Z$23="",ISNA($B160)),"",IF(ISBLANK($B160),"",IFERROR(_xll.BDP(TICKER,"DEEP_MEASURE_PERIOD_BROKER_VALUE","DEEP_MEASURE_ID_OVERRIDE",$C160,"DEEP_BROKER_ID_OVERRIDE",Z$24,"DEEP_PERIOD_OVERRIDE",$H$19)*1,"")))</f>
        <v/>
      </c>
      <c r="AA160" t="str">
        <f>IF(OR(AA$23="",ISNA($B160)),"",IF(ISBLANK($B160),"",IFERROR(_xll.BDP(TICKER,"DEEP_MEASURE_PERIOD_BROKER_VALUE","DEEP_MEASURE_ID_OVERRIDE",$C160,"DEEP_BROKER_ID_OVERRIDE",AA$24,"DEEP_PERIOD_OVERRIDE",$H$19)*1,"")))</f>
        <v/>
      </c>
      <c r="AB160" t="str">
        <f>IF(OR(AB$23="",ISNA($B160)),"",IF(ISBLANK($B160),"",IFERROR(_xll.BDP(TICKER,"DEEP_MEASURE_PERIOD_BROKER_VALUE","DEEP_MEASURE_ID_OVERRIDE",$C160,"DEEP_BROKER_ID_OVERRIDE",AB$24,"DEEP_PERIOD_OVERRIDE",$H$19)*1,"")))</f>
        <v/>
      </c>
      <c r="AC160" t="str">
        <f>IF(OR(AC$23="",ISNA($B160)),"",IF(ISBLANK($B160),"",IFERROR(_xll.BDP(TICKER,"DEEP_MEASURE_PERIOD_BROKER_VALUE","DEEP_MEASURE_ID_OVERRIDE",$C160,"DEEP_BROKER_ID_OVERRIDE",AC$24,"DEEP_PERIOD_OVERRIDE",$H$19)*1,"")))</f>
        <v/>
      </c>
      <c r="AD160" t="str">
        <f>IF(OR(AD$23="",ISNA($B160)),"",IF(ISBLANK($B160),"",IFERROR(_xll.BDP(TICKER,"DEEP_MEASURE_PERIOD_BROKER_VALUE","DEEP_MEASURE_ID_OVERRIDE",$C160,"DEEP_BROKER_ID_OVERRIDE",AD$24,"DEEP_PERIOD_OVERRIDE",$H$19)*1,"")))</f>
        <v/>
      </c>
      <c r="AE160" t="str">
        <f>IF(OR(AE$23="",ISNA($B160)),"",IF(ISBLANK($B160),"",IFERROR(_xll.BDP(TICKER,"DEEP_MEASURE_PERIOD_BROKER_VALUE","DEEP_MEASURE_ID_OVERRIDE",$C160,"DEEP_BROKER_ID_OVERRIDE",AE$24,"DEEP_PERIOD_OVERRIDE",$H$19)*1,"")))</f>
        <v/>
      </c>
      <c r="AF160" t="str">
        <f>IF(OR(AF$23="",ISNA($B160)),"",IF(ISBLANK($B160),"",IFERROR(_xll.BDP(TICKER,"DEEP_MEASURE_PERIOD_BROKER_VALUE","DEEP_MEASURE_ID_OVERRIDE",$C160,"DEEP_BROKER_ID_OVERRIDE",AF$24,"DEEP_PERIOD_OVERRIDE",$H$19)*1,"")))</f>
        <v/>
      </c>
      <c r="AG160" t="str">
        <f>IF(OR(AG$23="",ISNA($B160)),"",IF(ISBLANK($B160),"",IFERROR(_xll.BDP(TICKER,"DEEP_MEASURE_PERIOD_BROKER_VALUE","DEEP_MEASURE_ID_OVERRIDE",$C160,"DEEP_BROKER_ID_OVERRIDE",AG$24,"DEEP_PERIOD_OVERRIDE",$H$19)*1,"")))</f>
        <v/>
      </c>
      <c r="AH160" t="str">
        <f>IF(OR(AH$23="",ISNA($B160)),"",IF(ISBLANK($B160),"",IFERROR(_xll.BDP(TICKER,"DEEP_MEASURE_PERIOD_BROKER_VALUE","DEEP_MEASURE_ID_OVERRIDE",$C160,"DEEP_BROKER_ID_OVERRIDE",AH$24,"DEEP_PERIOD_OVERRIDE",$H$19)*1,"")))</f>
        <v/>
      </c>
      <c r="AI160" t="str">
        <f>IF(OR(AI$23="",ISNA($B160)),"",IF(ISBLANK($B160),"",IFERROR(_xll.BDP(TICKER,"DEEP_MEASURE_PERIOD_BROKER_VALUE","DEEP_MEASURE_ID_OVERRIDE",$C160,"DEEP_BROKER_ID_OVERRIDE",AI$24,"DEEP_PERIOD_OVERRIDE",$H$19)*1,"")))</f>
        <v/>
      </c>
      <c r="AJ160" t="str">
        <f>IF(OR(AJ$23="",ISNA($B160)),"",IF(ISBLANK($B160),"",IFERROR(_xll.BDP(TICKER,"DEEP_MEASURE_PERIOD_BROKER_VALUE","DEEP_MEASURE_ID_OVERRIDE",$C160,"DEEP_BROKER_ID_OVERRIDE",AJ$24,"DEEP_PERIOD_OVERRIDE",$H$19)*1,"")))</f>
        <v/>
      </c>
      <c r="AK160" t="str">
        <f>IF(OR(AK$23="",ISNA($B160)),"",IF(ISBLANK($B160),"",IFERROR(_xll.BDP(TICKER,"DEEP_MEASURE_PERIOD_BROKER_VALUE","DEEP_MEASURE_ID_OVERRIDE",$C160,"DEEP_BROKER_ID_OVERRIDE",AK$24,"DEEP_PERIOD_OVERRIDE",$H$19)*1,"")))</f>
        <v/>
      </c>
      <c r="AL160" t="str">
        <f>IF(OR(AL$23="",ISNA($B160)),"",IF(ISBLANK($B160),"",IFERROR(_xll.BDP(TICKER,"DEEP_MEASURE_PERIOD_BROKER_VALUE","DEEP_MEASURE_ID_OVERRIDE",$C160,"DEEP_BROKER_ID_OVERRIDE",AL$24,"DEEP_PERIOD_OVERRIDE",$H$19)*1,"")))</f>
        <v/>
      </c>
      <c r="AM160" t="str">
        <f>IF(OR(AM$23="",ISNA($B160)),"",IF(ISBLANK($B160),"",IFERROR(_xll.BDP(TICKER,"DEEP_MEASURE_PERIOD_BROKER_VALUE","DEEP_MEASURE_ID_OVERRIDE",$C160,"DEEP_BROKER_ID_OVERRIDE",AM$24,"DEEP_PERIOD_OVERRIDE",$H$19)*1,"")))</f>
        <v/>
      </c>
      <c r="AN160" t="str">
        <f>IF(OR(AN$23="",ISNA($B160)),"",IF(ISBLANK($B160),"",IFERROR(_xll.BDP(TICKER,"DEEP_MEASURE_PERIOD_BROKER_VALUE","DEEP_MEASURE_ID_OVERRIDE",$C160,"DEEP_BROKER_ID_OVERRIDE",AN$24,"DEEP_PERIOD_OVERRIDE",$H$19)*1,"")))</f>
        <v/>
      </c>
      <c r="AO160" t="str">
        <f>IF(OR(AO$23="",ISNA($B160)),"",IF(ISBLANK($B160),"",IFERROR(_xll.BDP(TICKER,"DEEP_MEASURE_PERIOD_BROKER_VALUE","DEEP_MEASURE_ID_OVERRIDE",$C160,"DEEP_BROKER_ID_OVERRIDE",AO$24,"DEEP_PERIOD_OVERRIDE",$H$19)*1,"")))</f>
        <v/>
      </c>
      <c r="AP160" t="str">
        <f>IF(OR(AP$23="",ISNA($B160)),"",IF(ISBLANK($B160),"",IFERROR(_xll.BDP(TICKER,"DEEP_MEASURE_PERIOD_BROKER_VALUE","DEEP_MEASURE_ID_OVERRIDE",$C160,"DEEP_BROKER_ID_OVERRIDE",AP$24,"DEEP_PERIOD_OVERRIDE",$H$19)*1,"")))</f>
        <v/>
      </c>
      <c r="AQ160" t="str">
        <f>IF(OR(AQ$23="",ISNA($B160)),"",IF(ISBLANK($B160),"",IFERROR(_xll.BDP(TICKER,"DEEP_MEASURE_PERIOD_BROKER_VALUE","DEEP_MEASURE_ID_OVERRIDE",$C160,"DEEP_BROKER_ID_OVERRIDE",AQ$24,"DEEP_PERIOD_OVERRIDE",$H$19)*1,"")))</f>
        <v/>
      </c>
      <c r="AR160" t="str">
        <f>IF(OR(AR$23="",ISNA($B160)),"",IF(ISBLANK($B160),"",IFERROR(_xll.BDP(TICKER,"DEEP_MEASURE_PERIOD_BROKER_VALUE","DEEP_MEASURE_ID_OVERRIDE",$C160,"DEEP_BROKER_ID_OVERRIDE",AR$24,"DEEP_PERIOD_OVERRIDE",$H$19)*1,"")))</f>
        <v/>
      </c>
      <c r="AS160" t="str">
        <f>IF(OR(AS$23="",ISNA($B160)),"",IF(ISBLANK($B160),"",IFERROR(_xll.BDP(TICKER,"DEEP_MEASURE_PERIOD_BROKER_VALUE","DEEP_MEASURE_ID_OVERRIDE",$C160,"DEEP_BROKER_ID_OVERRIDE",AS$24,"DEEP_PERIOD_OVERRIDE",$H$19)*1,"")))</f>
        <v/>
      </c>
      <c r="AT160" t="str">
        <f>IF(OR(AT$23="",ISNA($B160)),"",IF(ISBLANK($B160),"",IFERROR(_xll.BDP(TICKER,"DEEP_MEASURE_PERIOD_BROKER_VALUE","DEEP_MEASURE_ID_OVERRIDE",$C160,"DEEP_BROKER_ID_OVERRIDE",AT$24,"DEEP_PERIOD_OVERRIDE",$H$19)*1,"")))</f>
        <v/>
      </c>
      <c r="AU160" t="str">
        <f>IF(OR(AU$23="",ISNA($B160)),"",IF(ISBLANK($B160),"",IFERROR(_xll.BDP(TICKER,"DEEP_MEASURE_PERIOD_BROKER_VALUE","DEEP_MEASURE_ID_OVERRIDE",$C160,"DEEP_BROKER_ID_OVERRIDE",AU$24,"DEEP_PERIOD_OVERRIDE",$H$19)*1,"")))</f>
        <v/>
      </c>
      <c r="AV160" t="str">
        <f>IF(OR(AV$23="",ISNA($B160)),"",IF(ISBLANK($B160),"",IFERROR(_xll.BDP(TICKER,"DEEP_MEASURE_PERIOD_BROKER_VALUE","DEEP_MEASURE_ID_OVERRIDE",$C160,"DEEP_BROKER_ID_OVERRIDE",AV$24,"DEEP_PERIOD_OVERRIDE",$H$19)*1,"")))</f>
        <v/>
      </c>
      <c r="AW160" t="str">
        <f>IF(OR(AW$23="",ISNA($B160)),"",IF(ISBLANK($B160),"",IFERROR(_xll.BDP(TICKER,"DEEP_MEASURE_PERIOD_BROKER_VALUE","DEEP_MEASURE_ID_OVERRIDE",$C160,"DEEP_BROKER_ID_OVERRIDE",AW$24,"DEEP_PERIOD_OVERRIDE",$H$19)*1,"")))</f>
        <v/>
      </c>
      <c r="AX160" t="str">
        <f>IF(OR(AX$23="",ISNA($B160)),"",IF(ISBLANK($B160),"",IFERROR(_xll.BDP(TICKER,"DEEP_MEASURE_PERIOD_BROKER_VALUE","DEEP_MEASURE_ID_OVERRIDE",$C160,"DEEP_BROKER_ID_OVERRIDE",AX$24,"DEEP_PERIOD_OVERRIDE",$H$19)*1,"")))</f>
        <v/>
      </c>
      <c r="AY160" t="str">
        <f>IF(OR(AY$23="",ISNA($B160)),"",IF(ISBLANK($B160),"",IFERROR(_xll.BDP(TICKER,"DEEP_MEASURE_PERIOD_BROKER_VALUE","DEEP_MEASURE_ID_OVERRIDE",$C160,"DEEP_BROKER_ID_OVERRIDE",AY$24,"DEEP_PERIOD_OVERRIDE",$H$19)*1,"")))</f>
        <v/>
      </c>
      <c r="AZ160" t="str">
        <f>IF(OR(AZ$23="",ISNA($B160)),"",IF(ISBLANK($B160),"",IFERROR(_xll.BDP(TICKER,"DEEP_MEASURE_PERIOD_BROKER_VALUE","DEEP_MEASURE_ID_OVERRIDE",$C160,"DEEP_BROKER_ID_OVERRIDE",AZ$24,"DEEP_PERIOD_OVERRIDE",$H$19)*1,"")))</f>
        <v/>
      </c>
      <c r="BA160" t="str">
        <f>IF(OR(BA$23="",ISNA($B160)),"",IF(ISBLANK($B160),"",IFERROR(_xll.BDP(TICKER,"DEEP_MEASURE_PERIOD_BROKER_VALUE","DEEP_MEASURE_ID_OVERRIDE",$C160,"DEEP_BROKER_ID_OVERRIDE",BA$24,"DEEP_PERIOD_OVERRIDE",$H$19)*1,"")))</f>
        <v/>
      </c>
      <c r="BB160" t="str">
        <f>IF(OR(BB$23="",ISNA($B160)),"",IF(ISBLANK($B160),"",IFERROR(_xll.BDP(TICKER,"DEEP_MEASURE_PERIOD_BROKER_VALUE","DEEP_MEASURE_ID_OVERRIDE",$C160,"DEEP_BROKER_ID_OVERRIDE",BB$24,"DEEP_PERIOD_OVERRIDE",$H$19)*1,"")))</f>
        <v/>
      </c>
      <c r="BC160" t="str">
        <f>IF(OR(BC$23="",ISNA($B160)),"",IF(ISBLANK($B160),"",IFERROR(_xll.BDP(TICKER,"DEEP_MEASURE_PERIOD_BROKER_VALUE","DEEP_MEASURE_ID_OVERRIDE",$C160,"DEEP_BROKER_ID_OVERRIDE",BC$24,"DEEP_PERIOD_OVERRIDE",$H$19)*1,"")))</f>
        <v/>
      </c>
      <c r="BD160" t="str">
        <f>IF(OR(BD$23="",ISNA($B160)),"",IF(ISBLANK($B160),"",IFERROR(_xll.BDP(TICKER,"DEEP_MEASURE_PERIOD_BROKER_VALUE","DEEP_MEASURE_ID_OVERRIDE",$C160,"DEEP_BROKER_ID_OVERRIDE",BD$24,"DEEP_PERIOD_OVERRIDE",$H$19)*1,"")))</f>
        <v/>
      </c>
      <c r="BE160" t="str">
        <f>IF(OR(BE$23="",ISNA($B160)),"",IF(ISBLANK($B160),"",IFERROR(_xll.BDP(TICKER,"DEEP_MEASURE_PERIOD_BROKER_VALUE","DEEP_MEASURE_ID_OVERRIDE",$C160,"DEEP_BROKER_ID_OVERRIDE",BE$24,"DEEP_PERIOD_OVERRIDE",$H$19)*1,"")))</f>
        <v/>
      </c>
      <c r="BF160" t="str">
        <f>IF(OR(BF$23="",ISNA($B160)),"",IF(ISBLANK($B160),"",IFERROR(_xll.BDP(TICKER,"DEEP_MEASURE_PERIOD_BROKER_VALUE","DEEP_MEASURE_ID_OVERRIDE",$C160,"DEEP_BROKER_ID_OVERRIDE",BF$24,"DEEP_PERIOD_OVERRIDE",$H$19)*1,"")))</f>
        <v/>
      </c>
      <c r="BG160" t="str">
        <f>IF(OR(BG$23="",ISNA($B160)),"",IF(ISBLANK($B160),"",IFERROR(_xll.BDP(TICKER,"DEEP_MEASURE_PERIOD_BROKER_VALUE","DEEP_MEASURE_ID_OVERRIDE",$C160,"DEEP_BROKER_ID_OVERRIDE",BG$24,"DEEP_PERIOD_OVERRIDE",$H$19)*1,"")))</f>
        <v/>
      </c>
      <c r="BH160" t="str">
        <f>IF(OR(BH$23="",ISNA($B160)),"",IF(ISBLANK($B160),"",IFERROR(_xll.BDP(TICKER,"DEEP_MEASURE_PERIOD_BROKER_VALUE","DEEP_MEASURE_ID_OVERRIDE",$C160,"DEEP_BROKER_ID_OVERRIDE",BH$24,"DEEP_PERIOD_OVERRIDE",$H$19)*1,"")))</f>
        <v/>
      </c>
      <c r="BI160" t="str">
        <f>IF(OR(BI$23="",ISNA($B160)),"",IF(ISBLANK($B160),"",IFERROR(_xll.BDP(TICKER,"DEEP_MEASURE_PERIOD_BROKER_VALUE","DEEP_MEASURE_ID_OVERRIDE",$C160,"DEEP_BROKER_ID_OVERRIDE",BI$24,"DEEP_PERIOD_OVERRIDE",$H$19)*1,"")))</f>
        <v/>
      </c>
      <c r="BJ160" t="str">
        <f>IF(OR(BJ$23="",ISNA($B160)),"",IF(ISBLANK($B160),"",IFERROR(_xll.BDP(TICKER,"DEEP_MEASURE_PERIOD_BROKER_VALUE","DEEP_MEASURE_ID_OVERRIDE",$C160,"DEEP_BROKER_ID_OVERRIDE",BJ$24,"DEEP_PERIOD_OVERRIDE",$H$19)*1,"")))</f>
        <v/>
      </c>
      <c r="BK160" t="str">
        <f>IF(OR(BK$23="",ISNA($B160)),"",IF(ISBLANK($B160),"",IFERROR(_xll.BDP(TICKER,"DEEP_MEASURE_PERIOD_BROKER_VALUE","DEEP_MEASURE_ID_OVERRIDE",$C160,"DEEP_BROKER_ID_OVERRIDE",BK$24,"DEEP_PERIOD_OVERRIDE",$H$19)*1,"")))</f>
        <v/>
      </c>
      <c r="BL160" t="str">
        <f>IF(OR(BL$23="",ISNA($B160)),"",IF(ISBLANK($B160),"",IFERROR(_xll.BDP(TICKER,"DEEP_MEASURE_PERIOD_BROKER_VALUE","DEEP_MEASURE_ID_OVERRIDE",$C160,"DEEP_BROKER_ID_OVERRIDE",BL$24,"DEEP_PERIOD_OVERRIDE",$H$19)*1,"")))</f>
        <v/>
      </c>
      <c r="BM160" t="str">
        <f>IF(OR(BM$23="",ISNA($B160)),"",IF(ISBLANK($B160),"",IFERROR(_xll.BDP(TICKER,"DEEP_MEASURE_PERIOD_BROKER_VALUE","DEEP_MEASURE_ID_OVERRIDE",$C160,"DEEP_BROKER_ID_OVERRIDE",BM$24,"DEEP_PERIOD_OVERRIDE",$H$19)*1,"")))</f>
        <v/>
      </c>
      <c r="BN160" t="str">
        <f>IF(OR(BN$23="",ISNA($B160)),"",IF(ISBLANK($B160),"",IFERROR(_xll.BDP(TICKER,"DEEP_MEASURE_PERIOD_BROKER_VALUE","DEEP_MEASURE_ID_OVERRIDE",$C160,"DEEP_BROKER_ID_OVERRIDE",BN$24,"DEEP_PERIOD_OVERRIDE",$H$19)*1,"")))</f>
        <v/>
      </c>
      <c r="BO160" t="str">
        <f>IF(OR(BO$23="",ISNA($B160)),"",IF(ISBLANK($B160),"",IFERROR(_xll.BDP(TICKER,"DEEP_MEASURE_PERIOD_BROKER_VALUE","DEEP_MEASURE_ID_OVERRIDE",$C160,"DEEP_BROKER_ID_OVERRIDE",BO$24,"DEEP_PERIOD_OVERRIDE",$H$19)*1,"")))</f>
        <v/>
      </c>
      <c r="BP160" t="str">
        <f>IF(OR(BP$23="",ISNA($B160)),"",IF(ISBLANK($B160),"",IFERROR(_xll.BDP(TICKER,"DEEP_MEASURE_PERIOD_BROKER_VALUE","DEEP_MEASURE_ID_OVERRIDE",$C160,"DEEP_BROKER_ID_OVERRIDE",BP$24,"DEEP_PERIOD_OVERRIDE",$H$19)*1,"")))</f>
        <v/>
      </c>
      <c r="BQ160" t="str">
        <f>IF(OR(BQ$23="",ISNA($B160)),"",IF(ISBLANK($B160),"",IFERROR(_xll.BDP(TICKER,"DEEP_MEASURE_PERIOD_BROKER_VALUE","DEEP_MEASURE_ID_OVERRIDE",$C160,"DEEP_BROKER_ID_OVERRIDE",BQ$24,"DEEP_PERIOD_OVERRIDE",$H$19)*1,"")))</f>
        <v/>
      </c>
      <c r="BR160" t="str">
        <f>IF(OR(BR$23="",ISNA($B160)),"",IF(ISBLANK($B160),"",IFERROR(_xll.BDP(TICKER,"DEEP_MEASURE_PERIOD_BROKER_VALUE","DEEP_MEASURE_ID_OVERRIDE",$C160,"DEEP_BROKER_ID_OVERRIDE",BR$24,"DEEP_PERIOD_OVERRIDE",$H$19)*1,"")))</f>
        <v/>
      </c>
      <c r="BS160" t="str">
        <f>IF(OR(BS$23="",ISNA($B160)),"",IF(ISBLANK($B160),"",IFERROR(_xll.BDP(TICKER,"DEEP_MEASURE_PERIOD_BROKER_VALUE","DEEP_MEASURE_ID_OVERRIDE",$C160,"DEEP_BROKER_ID_OVERRIDE",BS$24,"DEEP_PERIOD_OVERRIDE",$H$19)*1,"")))</f>
        <v/>
      </c>
      <c r="BT160" t="str">
        <f>IF(OR(BT$23="",ISNA($B160)),"",IF(ISBLANK($B160),"",IFERROR(_xll.BDP(TICKER,"DEEP_MEASURE_PERIOD_BROKER_VALUE","DEEP_MEASURE_ID_OVERRIDE",$C160,"DEEP_BROKER_ID_OVERRIDE",BT$24,"DEEP_PERIOD_OVERRIDE",$H$19)*1,"")))</f>
        <v/>
      </c>
      <c r="BU160" t="str">
        <f>IF(OR(BU$23="",ISNA($B160)),"",IF(ISBLANK($B160),"",IFERROR(_xll.BDP(TICKER,"DEEP_MEASURE_PERIOD_BROKER_VALUE","DEEP_MEASURE_ID_OVERRIDE",$C160,"DEEP_BROKER_ID_OVERRIDE",BU$24,"DEEP_PERIOD_OVERRIDE",$H$19)*1,"")))</f>
        <v/>
      </c>
      <c r="BV160" t="str">
        <f>IF(OR(BV$23="",ISNA($B160)),"",IF(ISBLANK($B160),"",IFERROR(_xll.BDP(TICKER,"DEEP_MEASURE_PERIOD_BROKER_VALUE","DEEP_MEASURE_ID_OVERRIDE",$C160,"DEEP_BROKER_ID_OVERRIDE",BV$24,"DEEP_PERIOD_OVERRIDE",$H$19)*1,"")))</f>
        <v/>
      </c>
      <c r="BW160" t="str">
        <f>IF(OR(BW$23="",ISNA($B160)),"",IF(ISBLANK($B160),"",IFERROR(_xll.BDP(TICKER,"DEEP_MEASURE_PERIOD_BROKER_VALUE","DEEP_MEASURE_ID_OVERRIDE",$C160,"DEEP_BROKER_ID_OVERRIDE",BW$24,"DEEP_PERIOD_OVERRIDE",$H$19)*1,"")))</f>
        <v/>
      </c>
      <c r="BX160" t="str">
        <f>IF(OR(BX$23="",ISNA($B160)),"",IF(ISBLANK($B160),"",IFERROR(_xll.BDP(TICKER,"DEEP_MEASURE_PERIOD_BROKER_VALUE","DEEP_MEASURE_ID_OVERRIDE",$C160,"DEEP_BROKER_ID_OVERRIDE",BX$24,"DEEP_PERIOD_OVERRIDE",$H$19)*1,"")))</f>
        <v/>
      </c>
      <c r="BY160" t="str">
        <f>IF(OR(BY$23="",ISNA($B160)),"",IF(ISBLANK($B160),"",IFERROR(_xll.BDP(TICKER,"DEEP_MEASURE_PERIOD_BROKER_VALUE","DEEP_MEASURE_ID_OVERRIDE",$C160,"DEEP_BROKER_ID_OVERRIDE",BY$24,"DEEP_PERIOD_OVERRIDE",$H$19)*1,"")))</f>
        <v/>
      </c>
      <c r="BZ160" t="str">
        <f>IF(OR(BZ$23="",ISNA($B160)),"",IF(ISBLANK($B160),"",IFERROR(_xll.BDP(TICKER,"DEEP_MEASURE_PERIOD_BROKER_VALUE","DEEP_MEASURE_ID_OVERRIDE",$C160,"DEEP_BROKER_ID_OVERRIDE",BZ$24,"DEEP_PERIOD_OVERRIDE",$H$19)*1,"")))</f>
        <v/>
      </c>
    </row>
    <row r="161" spans="2:78" x14ac:dyDescent="0.25">
      <c r="B161" t="s">
        <v>190</v>
      </c>
      <c r="C161">
        <v>364</v>
      </c>
      <c r="H161" t="str">
        <f t="shared" si="3"/>
        <v>Non-GAAP Metrics &gt; Diluted EPS</v>
      </c>
      <c r="I161" t="str">
        <f>IF(OR(I$23="",ISNA($B161)),"",IF(ISBLANK($B161),"",IFERROR(_xll.BDP(TICKER,"DEEP_MEASURE_PERIOD_BROKER_VALUE","DEEP_MEASURE_ID_OVERRIDE",$C161,"DEEP_PERIOD_OVERRIDE",$H$19)*1,"")))</f>
        <v/>
      </c>
      <c r="J161" t="e">
        <f>IF(OR(J$23="",ISNA($B161)),"",IF(ISBLANK($B161),"",IFERROR(_xll.BDP(TICKER,"DEEP_MEASURE_PERIOD_BROKER_VALUE","DEEP_MEASURE_ID_OVERRIDE",$C161,"DEEP_BROKER_ID_OVERRIDE",J$24,"DEEP_PERIOD_OVERRIDE",$H$19)*1,"")))</f>
        <v>#REF!</v>
      </c>
      <c r="K161" t="str">
        <f>IF(OR(K$23="",ISNA($B161)),"",IF(ISBLANK($B161),"",IFERROR(_xll.BDP(TICKER,"DEEP_MEASURE_PERIOD_BROKER_VALUE","DEEP_MEASURE_ID_OVERRIDE",$C161,"DEEP_BROKER_ID_OVERRIDE",K$24,"DEEP_PERIOD_OVERRIDE",$H$19)*1,"")))</f>
        <v/>
      </c>
      <c r="L161" t="str">
        <f>IF(OR(L$23="",ISNA($B161)),"",IF(ISBLANK($B161),"",IFERROR(_xll.BDP(TICKER,"DEEP_MEASURE_PERIOD_BROKER_VALUE","DEEP_MEASURE_ID_OVERRIDE",$C161,"DEEP_BROKER_ID_OVERRIDE",L$24,"DEEP_PERIOD_OVERRIDE",$H$19)*1,"")))</f>
        <v/>
      </c>
      <c r="M161" t="str">
        <f>IF(OR(M$23="",ISNA($B161)),"",IF(ISBLANK($B161),"",IFERROR(_xll.BDP(TICKER,"DEEP_MEASURE_PERIOD_BROKER_VALUE","DEEP_MEASURE_ID_OVERRIDE",$C161,"DEEP_BROKER_ID_OVERRIDE",M$24,"DEEP_PERIOD_OVERRIDE",$H$19)*1,"")))</f>
        <v/>
      </c>
      <c r="N161" t="str">
        <f>IF(OR(N$23="",ISNA($B161)),"",IF(ISBLANK($B161),"",IFERROR(_xll.BDP(TICKER,"DEEP_MEASURE_PERIOD_BROKER_VALUE","DEEP_MEASURE_ID_OVERRIDE",$C161,"DEEP_BROKER_ID_OVERRIDE",N$24,"DEEP_PERIOD_OVERRIDE",$H$19)*1,"")))</f>
        <v/>
      </c>
      <c r="O161" t="str">
        <f>IF(OR(O$23="",ISNA($B161)),"",IF(ISBLANK($B161),"",IFERROR(_xll.BDP(TICKER,"DEEP_MEASURE_PERIOD_BROKER_VALUE","DEEP_MEASURE_ID_OVERRIDE",$C161,"DEEP_BROKER_ID_OVERRIDE",O$24,"DEEP_PERIOD_OVERRIDE",$H$19)*1,"")))</f>
        <v/>
      </c>
      <c r="P161" t="str">
        <f>IF(OR(P$23="",ISNA($B161)),"",IF(ISBLANK($B161),"",IFERROR(_xll.BDP(TICKER,"DEEP_MEASURE_PERIOD_BROKER_VALUE","DEEP_MEASURE_ID_OVERRIDE",$C161,"DEEP_BROKER_ID_OVERRIDE",P$24,"DEEP_PERIOD_OVERRIDE",$H$19)*1,"")))</f>
        <v/>
      </c>
      <c r="Q161" t="str">
        <f>IF(OR(Q$23="",ISNA($B161)),"",IF(ISBLANK($B161),"",IFERROR(_xll.BDP(TICKER,"DEEP_MEASURE_PERIOD_BROKER_VALUE","DEEP_MEASURE_ID_OVERRIDE",$C161,"DEEP_BROKER_ID_OVERRIDE",Q$24,"DEEP_PERIOD_OVERRIDE",$H$19)*1,"")))</f>
        <v/>
      </c>
      <c r="R161" t="str">
        <f>IF(OR(R$23="",ISNA($B161)),"",IF(ISBLANK($B161),"",IFERROR(_xll.BDP(TICKER,"DEEP_MEASURE_PERIOD_BROKER_VALUE","DEEP_MEASURE_ID_OVERRIDE",$C161,"DEEP_BROKER_ID_OVERRIDE",R$24,"DEEP_PERIOD_OVERRIDE",$H$19)*1,"")))</f>
        <v/>
      </c>
      <c r="S161" t="str">
        <f>IF(OR(S$23="",ISNA($B161)),"",IF(ISBLANK($B161),"",IFERROR(_xll.BDP(TICKER,"DEEP_MEASURE_PERIOD_BROKER_VALUE","DEEP_MEASURE_ID_OVERRIDE",$C161,"DEEP_BROKER_ID_OVERRIDE",S$24,"DEEP_PERIOD_OVERRIDE",$H$19)*1,"")))</f>
        <v/>
      </c>
      <c r="T161" t="str">
        <f>IF(OR(T$23="",ISNA($B161)),"",IF(ISBLANK($B161),"",IFERROR(_xll.BDP(TICKER,"DEEP_MEASURE_PERIOD_BROKER_VALUE","DEEP_MEASURE_ID_OVERRIDE",$C161,"DEEP_BROKER_ID_OVERRIDE",T$24,"DEEP_PERIOD_OVERRIDE",$H$19)*1,"")))</f>
        <v/>
      </c>
      <c r="U161" t="str">
        <f>IF(OR(U$23="",ISNA($B161)),"",IF(ISBLANK($B161),"",IFERROR(_xll.BDP(TICKER,"DEEP_MEASURE_PERIOD_BROKER_VALUE","DEEP_MEASURE_ID_OVERRIDE",$C161,"DEEP_BROKER_ID_OVERRIDE",U$24,"DEEP_PERIOD_OVERRIDE",$H$19)*1,"")))</f>
        <v/>
      </c>
      <c r="V161" t="str">
        <f>IF(OR(V$23="",ISNA($B161)),"",IF(ISBLANK($B161),"",IFERROR(_xll.BDP(TICKER,"DEEP_MEASURE_PERIOD_BROKER_VALUE","DEEP_MEASURE_ID_OVERRIDE",$C161,"DEEP_BROKER_ID_OVERRIDE",V$24,"DEEP_PERIOD_OVERRIDE",$H$19)*1,"")))</f>
        <v/>
      </c>
      <c r="W161" t="str">
        <f>IF(OR(W$23="",ISNA($B161)),"",IF(ISBLANK($B161),"",IFERROR(_xll.BDP(TICKER,"DEEP_MEASURE_PERIOD_BROKER_VALUE","DEEP_MEASURE_ID_OVERRIDE",$C161,"DEEP_BROKER_ID_OVERRIDE",W$24,"DEEP_PERIOD_OVERRIDE",$H$19)*1,"")))</f>
        <v/>
      </c>
      <c r="X161" t="str">
        <f>IF(OR(X$23="",ISNA($B161)),"",IF(ISBLANK($B161),"",IFERROR(_xll.BDP(TICKER,"DEEP_MEASURE_PERIOD_BROKER_VALUE","DEEP_MEASURE_ID_OVERRIDE",$C161,"DEEP_BROKER_ID_OVERRIDE",X$24,"DEEP_PERIOD_OVERRIDE",$H$19)*1,"")))</f>
        <v/>
      </c>
      <c r="Y161" t="str">
        <f>IF(OR(Y$23="",ISNA($B161)),"",IF(ISBLANK($B161),"",IFERROR(_xll.BDP(TICKER,"DEEP_MEASURE_PERIOD_BROKER_VALUE","DEEP_MEASURE_ID_OVERRIDE",$C161,"DEEP_BROKER_ID_OVERRIDE",Y$24,"DEEP_PERIOD_OVERRIDE",$H$19)*1,"")))</f>
        <v/>
      </c>
      <c r="Z161" t="str">
        <f>IF(OR(Z$23="",ISNA($B161)),"",IF(ISBLANK($B161),"",IFERROR(_xll.BDP(TICKER,"DEEP_MEASURE_PERIOD_BROKER_VALUE","DEEP_MEASURE_ID_OVERRIDE",$C161,"DEEP_BROKER_ID_OVERRIDE",Z$24,"DEEP_PERIOD_OVERRIDE",$H$19)*1,"")))</f>
        <v/>
      </c>
      <c r="AA161" t="str">
        <f>IF(OR(AA$23="",ISNA($B161)),"",IF(ISBLANK($B161),"",IFERROR(_xll.BDP(TICKER,"DEEP_MEASURE_PERIOD_BROKER_VALUE","DEEP_MEASURE_ID_OVERRIDE",$C161,"DEEP_BROKER_ID_OVERRIDE",AA$24,"DEEP_PERIOD_OVERRIDE",$H$19)*1,"")))</f>
        <v/>
      </c>
      <c r="AB161" t="str">
        <f>IF(OR(AB$23="",ISNA($B161)),"",IF(ISBLANK($B161),"",IFERROR(_xll.BDP(TICKER,"DEEP_MEASURE_PERIOD_BROKER_VALUE","DEEP_MEASURE_ID_OVERRIDE",$C161,"DEEP_BROKER_ID_OVERRIDE",AB$24,"DEEP_PERIOD_OVERRIDE",$H$19)*1,"")))</f>
        <v/>
      </c>
      <c r="AC161" t="str">
        <f>IF(OR(AC$23="",ISNA($B161)),"",IF(ISBLANK($B161),"",IFERROR(_xll.BDP(TICKER,"DEEP_MEASURE_PERIOD_BROKER_VALUE","DEEP_MEASURE_ID_OVERRIDE",$C161,"DEEP_BROKER_ID_OVERRIDE",AC$24,"DEEP_PERIOD_OVERRIDE",$H$19)*1,"")))</f>
        <v/>
      </c>
      <c r="AD161" t="str">
        <f>IF(OR(AD$23="",ISNA($B161)),"",IF(ISBLANK($B161),"",IFERROR(_xll.BDP(TICKER,"DEEP_MEASURE_PERIOD_BROKER_VALUE","DEEP_MEASURE_ID_OVERRIDE",$C161,"DEEP_BROKER_ID_OVERRIDE",AD$24,"DEEP_PERIOD_OVERRIDE",$H$19)*1,"")))</f>
        <v/>
      </c>
      <c r="AE161" t="str">
        <f>IF(OR(AE$23="",ISNA($B161)),"",IF(ISBLANK($B161),"",IFERROR(_xll.BDP(TICKER,"DEEP_MEASURE_PERIOD_BROKER_VALUE","DEEP_MEASURE_ID_OVERRIDE",$C161,"DEEP_BROKER_ID_OVERRIDE",AE$24,"DEEP_PERIOD_OVERRIDE",$H$19)*1,"")))</f>
        <v/>
      </c>
      <c r="AF161" t="str">
        <f>IF(OR(AF$23="",ISNA($B161)),"",IF(ISBLANK($B161),"",IFERROR(_xll.BDP(TICKER,"DEEP_MEASURE_PERIOD_BROKER_VALUE","DEEP_MEASURE_ID_OVERRIDE",$C161,"DEEP_BROKER_ID_OVERRIDE",AF$24,"DEEP_PERIOD_OVERRIDE",$H$19)*1,"")))</f>
        <v/>
      </c>
      <c r="AG161" t="str">
        <f>IF(OR(AG$23="",ISNA($B161)),"",IF(ISBLANK($B161),"",IFERROR(_xll.BDP(TICKER,"DEEP_MEASURE_PERIOD_BROKER_VALUE","DEEP_MEASURE_ID_OVERRIDE",$C161,"DEEP_BROKER_ID_OVERRIDE",AG$24,"DEEP_PERIOD_OVERRIDE",$H$19)*1,"")))</f>
        <v/>
      </c>
      <c r="AH161" t="str">
        <f>IF(OR(AH$23="",ISNA($B161)),"",IF(ISBLANK($B161),"",IFERROR(_xll.BDP(TICKER,"DEEP_MEASURE_PERIOD_BROKER_VALUE","DEEP_MEASURE_ID_OVERRIDE",$C161,"DEEP_BROKER_ID_OVERRIDE",AH$24,"DEEP_PERIOD_OVERRIDE",$H$19)*1,"")))</f>
        <v/>
      </c>
      <c r="AI161" t="str">
        <f>IF(OR(AI$23="",ISNA($B161)),"",IF(ISBLANK($B161),"",IFERROR(_xll.BDP(TICKER,"DEEP_MEASURE_PERIOD_BROKER_VALUE","DEEP_MEASURE_ID_OVERRIDE",$C161,"DEEP_BROKER_ID_OVERRIDE",AI$24,"DEEP_PERIOD_OVERRIDE",$H$19)*1,"")))</f>
        <v/>
      </c>
      <c r="AJ161" t="str">
        <f>IF(OR(AJ$23="",ISNA($B161)),"",IF(ISBLANK($B161),"",IFERROR(_xll.BDP(TICKER,"DEEP_MEASURE_PERIOD_BROKER_VALUE","DEEP_MEASURE_ID_OVERRIDE",$C161,"DEEP_BROKER_ID_OVERRIDE",AJ$24,"DEEP_PERIOD_OVERRIDE",$H$19)*1,"")))</f>
        <v/>
      </c>
      <c r="AK161" t="str">
        <f>IF(OR(AK$23="",ISNA($B161)),"",IF(ISBLANK($B161),"",IFERROR(_xll.BDP(TICKER,"DEEP_MEASURE_PERIOD_BROKER_VALUE","DEEP_MEASURE_ID_OVERRIDE",$C161,"DEEP_BROKER_ID_OVERRIDE",AK$24,"DEEP_PERIOD_OVERRIDE",$H$19)*1,"")))</f>
        <v/>
      </c>
      <c r="AL161" t="str">
        <f>IF(OR(AL$23="",ISNA($B161)),"",IF(ISBLANK($B161),"",IFERROR(_xll.BDP(TICKER,"DEEP_MEASURE_PERIOD_BROKER_VALUE","DEEP_MEASURE_ID_OVERRIDE",$C161,"DEEP_BROKER_ID_OVERRIDE",AL$24,"DEEP_PERIOD_OVERRIDE",$H$19)*1,"")))</f>
        <v/>
      </c>
      <c r="AM161" t="str">
        <f>IF(OR(AM$23="",ISNA($B161)),"",IF(ISBLANK($B161),"",IFERROR(_xll.BDP(TICKER,"DEEP_MEASURE_PERIOD_BROKER_VALUE","DEEP_MEASURE_ID_OVERRIDE",$C161,"DEEP_BROKER_ID_OVERRIDE",AM$24,"DEEP_PERIOD_OVERRIDE",$H$19)*1,"")))</f>
        <v/>
      </c>
      <c r="AN161" t="str">
        <f>IF(OR(AN$23="",ISNA($B161)),"",IF(ISBLANK($B161),"",IFERROR(_xll.BDP(TICKER,"DEEP_MEASURE_PERIOD_BROKER_VALUE","DEEP_MEASURE_ID_OVERRIDE",$C161,"DEEP_BROKER_ID_OVERRIDE",AN$24,"DEEP_PERIOD_OVERRIDE",$H$19)*1,"")))</f>
        <v/>
      </c>
      <c r="AO161" t="str">
        <f>IF(OR(AO$23="",ISNA($B161)),"",IF(ISBLANK($B161),"",IFERROR(_xll.BDP(TICKER,"DEEP_MEASURE_PERIOD_BROKER_VALUE","DEEP_MEASURE_ID_OVERRIDE",$C161,"DEEP_BROKER_ID_OVERRIDE",AO$24,"DEEP_PERIOD_OVERRIDE",$H$19)*1,"")))</f>
        <v/>
      </c>
      <c r="AP161" t="str">
        <f>IF(OR(AP$23="",ISNA($B161)),"",IF(ISBLANK($B161),"",IFERROR(_xll.BDP(TICKER,"DEEP_MEASURE_PERIOD_BROKER_VALUE","DEEP_MEASURE_ID_OVERRIDE",$C161,"DEEP_BROKER_ID_OVERRIDE",AP$24,"DEEP_PERIOD_OVERRIDE",$H$19)*1,"")))</f>
        <v/>
      </c>
      <c r="AQ161" t="str">
        <f>IF(OR(AQ$23="",ISNA($B161)),"",IF(ISBLANK($B161),"",IFERROR(_xll.BDP(TICKER,"DEEP_MEASURE_PERIOD_BROKER_VALUE","DEEP_MEASURE_ID_OVERRIDE",$C161,"DEEP_BROKER_ID_OVERRIDE",AQ$24,"DEEP_PERIOD_OVERRIDE",$H$19)*1,"")))</f>
        <v/>
      </c>
      <c r="AR161" t="str">
        <f>IF(OR(AR$23="",ISNA($B161)),"",IF(ISBLANK($B161),"",IFERROR(_xll.BDP(TICKER,"DEEP_MEASURE_PERIOD_BROKER_VALUE","DEEP_MEASURE_ID_OVERRIDE",$C161,"DEEP_BROKER_ID_OVERRIDE",AR$24,"DEEP_PERIOD_OVERRIDE",$H$19)*1,"")))</f>
        <v/>
      </c>
      <c r="AS161" t="str">
        <f>IF(OR(AS$23="",ISNA($B161)),"",IF(ISBLANK($B161),"",IFERROR(_xll.BDP(TICKER,"DEEP_MEASURE_PERIOD_BROKER_VALUE","DEEP_MEASURE_ID_OVERRIDE",$C161,"DEEP_BROKER_ID_OVERRIDE",AS$24,"DEEP_PERIOD_OVERRIDE",$H$19)*1,"")))</f>
        <v/>
      </c>
      <c r="AT161" t="str">
        <f>IF(OR(AT$23="",ISNA($B161)),"",IF(ISBLANK($B161),"",IFERROR(_xll.BDP(TICKER,"DEEP_MEASURE_PERIOD_BROKER_VALUE","DEEP_MEASURE_ID_OVERRIDE",$C161,"DEEP_BROKER_ID_OVERRIDE",AT$24,"DEEP_PERIOD_OVERRIDE",$H$19)*1,"")))</f>
        <v/>
      </c>
      <c r="AU161" t="str">
        <f>IF(OR(AU$23="",ISNA($B161)),"",IF(ISBLANK($B161),"",IFERROR(_xll.BDP(TICKER,"DEEP_MEASURE_PERIOD_BROKER_VALUE","DEEP_MEASURE_ID_OVERRIDE",$C161,"DEEP_BROKER_ID_OVERRIDE",AU$24,"DEEP_PERIOD_OVERRIDE",$H$19)*1,"")))</f>
        <v/>
      </c>
      <c r="AV161" t="str">
        <f>IF(OR(AV$23="",ISNA($B161)),"",IF(ISBLANK($B161),"",IFERROR(_xll.BDP(TICKER,"DEEP_MEASURE_PERIOD_BROKER_VALUE","DEEP_MEASURE_ID_OVERRIDE",$C161,"DEEP_BROKER_ID_OVERRIDE",AV$24,"DEEP_PERIOD_OVERRIDE",$H$19)*1,"")))</f>
        <v/>
      </c>
      <c r="AW161" t="str">
        <f>IF(OR(AW$23="",ISNA($B161)),"",IF(ISBLANK($B161),"",IFERROR(_xll.BDP(TICKER,"DEEP_MEASURE_PERIOD_BROKER_VALUE","DEEP_MEASURE_ID_OVERRIDE",$C161,"DEEP_BROKER_ID_OVERRIDE",AW$24,"DEEP_PERIOD_OVERRIDE",$H$19)*1,"")))</f>
        <v/>
      </c>
      <c r="AX161" t="str">
        <f>IF(OR(AX$23="",ISNA($B161)),"",IF(ISBLANK($B161),"",IFERROR(_xll.BDP(TICKER,"DEEP_MEASURE_PERIOD_BROKER_VALUE","DEEP_MEASURE_ID_OVERRIDE",$C161,"DEEP_BROKER_ID_OVERRIDE",AX$24,"DEEP_PERIOD_OVERRIDE",$H$19)*1,"")))</f>
        <v/>
      </c>
      <c r="AY161" t="str">
        <f>IF(OR(AY$23="",ISNA($B161)),"",IF(ISBLANK($B161),"",IFERROR(_xll.BDP(TICKER,"DEEP_MEASURE_PERIOD_BROKER_VALUE","DEEP_MEASURE_ID_OVERRIDE",$C161,"DEEP_BROKER_ID_OVERRIDE",AY$24,"DEEP_PERIOD_OVERRIDE",$H$19)*1,"")))</f>
        <v/>
      </c>
      <c r="AZ161" t="str">
        <f>IF(OR(AZ$23="",ISNA($B161)),"",IF(ISBLANK($B161),"",IFERROR(_xll.BDP(TICKER,"DEEP_MEASURE_PERIOD_BROKER_VALUE","DEEP_MEASURE_ID_OVERRIDE",$C161,"DEEP_BROKER_ID_OVERRIDE",AZ$24,"DEEP_PERIOD_OVERRIDE",$H$19)*1,"")))</f>
        <v/>
      </c>
      <c r="BA161" t="str">
        <f>IF(OR(BA$23="",ISNA($B161)),"",IF(ISBLANK($B161),"",IFERROR(_xll.BDP(TICKER,"DEEP_MEASURE_PERIOD_BROKER_VALUE","DEEP_MEASURE_ID_OVERRIDE",$C161,"DEEP_BROKER_ID_OVERRIDE",BA$24,"DEEP_PERIOD_OVERRIDE",$H$19)*1,"")))</f>
        <v/>
      </c>
      <c r="BB161" t="str">
        <f>IF(OR(BB$23="",ISNA($B161)),"",IF(ISBLANK($B161),"",IFERROR(_xll.BDP(TICKER,"DEEP_MEASURE_PERIOD_BROKER_VALUE","DEEP_MEASURE_ID_OVERRIDE",$C161,"DEEP_BROKER_ID_OVERRIDE",BB$24,"DEEP_PERIOD_OVERRIDE",$H$19)*1,"")))</f>
        <v/>
      </c>
      <c r="BC161" t="str">
        <f>IF(OR(BC$23="",ISNA($B161)),"",IF(ISBLANK($B161),"",IFERROR(_xll.BDP(TICKER,"DEEP_MEASURE_PERIOD_BROKER_VALUE","DEEP_MEASURE_ID_OVERRIDE",$C161,"DEEP_BROKER_ID_OVERRIDE",BC$24,"DEEP_PERIOD_OVERRIDE",$H$19)*1,"")))</f>
        <v/>
      </c>
      <c r="BD161" t="str">
        <f>IF(OR(BD$23="",ISNA($B161)),"",IF(ISBLANK($B161),"",IFERROR(_xll.BDP(TICKER,"DEEP_MEASURE_PERIOD_BROKER_VALUE","DEEP_MEASURE_ID_OVERRIDE",$C161,"DEEP_BROKER_ID_OVERRIDE",BD$24,"DEEP_PERIOD_OVERRIDE",$H$19)*1,"")))</f>
        <v/>
      </c>
      <c r="BE161" t="str">
        <f>IF(OR(BE$23="",ISNA($B161)),"",IF(ISBLANK($B161),"",IFERROR(_xll.BDP(TICKER,"DEEP_MEASURE_PERIOD_BROKER_VALUE","DEEP_MEASURE_ID_OVERRIDE",$C161,"DEEP_BROKER_ID_OVERRIDE",BE$24,"DEEP_PERIOD_OVERRIDE",$H$19)*1,"")))</f>
        <v/>
      </c>
      <c r="BF161" t="str">
        <f>IF(OR(BF$23="",ISNA($B161)),"",IF(ISBLANK($B161),"",IFERROR(_xll.BDP(TICKER,"DEEP_MEASURE_PERIOD_BROKER_VALUE","DEEP_MEASURE_ID_OVERRIDE",$C161,"DEEP_BROKER_ID_OVERRIDE",BF$24,"DEEP_PERIOD_OVERRIDE",$H$19)*1,"")))</f>
        <v/>
      </c>
      <c r="BG161" t="str">
        <f>IF(OR(BG$23="",ISNA($B161)),"",IF(ISBLANK($B161),"",IFERROR(_xll.BDP(TICKER,"DEEP_MEASURE_PERIOD_BROKER_VALUE","DEEP_MEASURE_ID_OVERRIDE",$C161,"DEEP_BROKER_ID_OVERRIDE",BG$24,"DEEP_PERIOD_OVERRIDE",$H$19)*1,"")))</f>
        <v/>
      </c>
      <c r="BH161" t="str">
        <f>IF(OR(BH$23="",ISNA($B161)),"",IF(ISBLANK($B161),"",IFERROR(_xll.BDP(TICKER,"DEEP_MEASURE_PERIOD_BROKER_VALUE","DEEP_MEASURE_ID_OVERRIDE",$C161,"DEEP_BROKER_ID_OVERRIDE",BH$24,"DEEP_PERIOD_OVERRIDE",$H$19)*1,"")))</f>
        <v/>
      </c>
      <c r="BI161" t="str">
        <f>IF(OR(BI$23="",ISNA($B161)),"",IF(ISBLANK($B161),"",IFERROR(_xll.BDP(TICKER,"DEEP_MEASURE_PERIOD_BROKER_VALUE","DEEP_MEASURE_ID_OVERRIDE",$C161,"DEEP_BROKER_ID_OVERRIDE",BI$24,"DEEP_PERIOD_OVERRIDE",$H$19)*1,"")))</f>
        <v/>
      </c>
      <c r="BJ161" t="str">
        <f>IF(OR(BJ$23="",ISNA($B161)),"",IF(ISBLANK($B161),"",IFERROR(_xll.BDP(TICKER,"DEEP_MEASURE_PERIOD_BROKER_VALUE","DEEP_MEASURE_ID_OVERRIDE",$C161,"DEEP_BROKER_ID_OVERRIDE",BJ$24,"DEEP_PERIOD_OVERRIDE",$H$19)*1,"")))</f>
        <v/>
      </c>
      <c r="BK161" t="str">
        <f>IF(OR(BK$23="",ISNA($B161)),"",IF(ISBLANK($B161),"",IFERROR(_xll.BDP(TICKER,"DEEP_MEASURE_PERIOD_BROKER_VALUE","DEEP_MEASURE_ID_OVERRIDE",$C161,"DEEP_BROKER_ID_OVERRIDE",BK$24,"DEEP_PERIOD_OVERRIDE",$H$19)*1,"")))</f>
        <v/>
      </c>
      <c r="BL161" t="str">
        <f>IF(OR(BL$23="",ISNA($B161)),"",IF(ISBLANK($B161),"",IFERROR(_xll.BDP(TICKER,"DEEP_MEASURE_PERIOD_BROKER_VALUE","DEEP_MEASURE_ID_OVERRIDE",$C161,"DEEP_BROKER_ID_OVERRIDE",BL$24,"DEEP_PERIOD_OVERRIDE",$H$19)*1,"")))</f>
        <v/>
      </c>
      <c r="BM161" t="str">
        <f>IF(OR(BM$23="",ISNA($B161)),"",IF(ISBLANK($B161),"",IFERROR(_xll.BDP(TICKER,"DEEP_MEASURE_PERIOD_BROKER_VALUE","DEEP_MEASURE_ID_OVERRIDE",$C161,"DEEP_BROKER_ID_OVERRIDE",BM$24,"DEEP_PERIOD_OVERRIDE",$H$19)*1,"")))</f>
        <v/>
      </c>
      <c r="BN161" t="str">
        <f>IF(OR(BN$23="",ISNA($B161)),"",IF(ISBLANK($B161),"",IFERROR(_xll.BDP(TICKER,"DEEP_MEASURE_PERIOD_BROKER_VALUE","DEEP_MEASURE_ID_OVERRIDE",$C161,"DEEP_BROKER_ID_OVERRIDE",BN$24,"DEEP_PERIOD_OVERRIDE",$H$19)*1,"")))</f>
        <v/>
      </c>
      <c r="BO161" t="str">
        <f>IF(OR(BO$23="",ISNA($B161)),"",IF(ISBLANK($B161),"",IFERROR(_xll.BDP(TICKER,"DEEP_MEASURE_PERIOD_BROKER_VALUE","DEEP_MEASURE_ID_OVERRIDE",$C161,"DEEP_BROKER_ID_OVERRIDE",BO$24,"DEEP_PERIOD_OVERRIDE",$H$19)*1,"")))</f>
        <v/>
      </c>
      <c r="BP161" t="str">
        <f>IF(OR(BP$23="",ISNA($B161)),"",IF(ISBLANK($B161),"",IFERROR(_xll.BDP(TICKER,"DEEP_MEASURE_PERIOD_BROKER_VALUE","DEEP_MEASURE_ID_OVERRIDE",$C161,"DEEP_BROKER_ID_OVERRIDE",BP$24,"DEEP_PERIOD_OVERRIDE",$H$19)*1,"")))</f>
        <v/>
      </c>
      <c r="BQ161" t="str">
        <f>IF(OR(BQ$23="",ISNA($B161)),"",IF(ISBLANK($B161),"",IFERROR(_xll.BDP(TICKER,"DEEP_MEASURE_PERIOD_BROKER_VALUE","DEEP_MEASURE_ID_OVERRIDE",$C161,"DEEP_BROKER_ID_OVERRIDE",BQ$24,"DEEP_PERIOD_OVERRIDE",$H$19)*1,"")))</f>
        <v/>
      </c>
      <c r="BR161" t="str">
        <f>IF(OR(BR$23="",ISNA($B161)),"",IF(ISBLANK($B161),"",IFERROR(_xll.BDP(TICKER,"DEEP_MEASURE_PERIOD_BROKER_VALUE","DEEP_MEASURE_ID_OVERRIDE",$C161,"DEEP_BROKER_ID_OVERRIDE",BR$24,"DEEP_PERIOD_OVERRIDE",$H$19)*1,"")))</f>
        <v/>
      </c>
      <c r="BS161" t="str">
        <f>IF(OR(BS$23="",ISNA($B161)),"",IF(ISBLANK($B161),"",IFERROR(_xll.BDP(TICKER,"DEEP_MEASURE_PERIOD_BROKER_VALUE","DEEP_MEASURE_ID_OVERRIDE",$C161,"DEEP_BROKER_ID_OVERRIDE",BS$24,"DEEP_PERIOD_OVERRIDE",$H$19)*1,"")))</f>
        <v/>
      </c>
      <c r="BT161" t="str">
        <f>IF(OR(BT$23="",ISNA($B161)),"",IF(ISBLANK($B161),"",IFERROR(_xll.BDP(TICKER,"DEEP_MEASURE_PERIOD_BROKER_VALUE","DEEP_MEASURE_ID_OVERRIDE",$C161,"DEEP_BROKER_ID_OVERRIDE",BT$24,"DEEP_PERIOD_OVERRIDE",$H$19)*1,"")))</f>
        <v/>
      </c>
      <c r="BU161" t="str">
        <f>IF(OR(BU$23="",ISNA($B161)),"",IF(ISBLANK($B161),"",IFERROR(_xll.BDP(TICKER,"DEEP_MEASURE_PERIOD_BROKER_VALUE","DEEP_MEASURE_ID_OVERRIDE",$C161,"DEEP_BROKER_ID_OVERRIDE",BU$24,"DEEP_PERIOD_OVERRIDE",$H$19)*1,"")))</f>
        <v/>
      </c>
      <c r="BV161" t="str">
        <f>IF(OR(BV$23="",ISNA($B161)),"",IF(ISBLANK($B161),"",IFERROR(_xll.BDP(TICKER,"DEEP_MEASURE_PERIOD_BROKER_VALUE","DEEP_MEASURE_ID_OVERRIDE",$C161,"DEEP_BROKER_ID_OVERRIDE",BV$24,"DEEP_PERIOD_OVERRIDE",$H$19)*1,"")))</f>
        <v/>
      </c>
      <c r="BW161" t="str">
        <f>IF(OR(BW$23="",ISNA($B161)),"",IF(ISBLANK($B161),"",IFERROR(_xll.BDP(TICKER,"DEEP_MEASURE_PERIOD_BROKER_VALUE","DEEP_MEASURE_ID_OVERRIDE",$C161,"DEEP_BROKER_ID_OVERRIDE",BW$24,"DEEP_PERIOD_OVERRIDE",$H$19)*1,"")))</f>
        <v/>
      </c>
      <c r="BX161" t="str">
        <f>IF(OR(BX$23="",ISNA($B161)),"",IF(ISBLANK($B161),"",IFERROR(_xll.BDP(TICKER,"DEEP_MEASURE_PERIOD_BROKER_VALUE","DEEP_MEASURE_ID_OVERRIDE",$C161,"DEEP_BROKER_ID_OVERRIDE",BX$24,"DEEP_PERIOD_OVERRIDE",$H$19)*1,"")))</f>
        <v/>
      </c>
      <c r="BY161" t="str">
        <f>IF(OR(BY$23="",ISNA($B161)),"",IF(ISBLANK($B161),"",IFERROR(_xll.BDP(TICKER,"DEEP_MEASURE_PERIOD_BROKER_VALUE","DEEP_MEASURE_ID_OVERRIDE",$C161,"DEEP_BROKER_ID_OVERRIDE",BY$24,"DEEP_PERIOD_OVERRIDE",$H$19)*1,"")))</f>
        <v/>
      </c>
      <c r="BZ161" t="str">
        <f>IF(OR(BZ$23="",ISNA($B161)),"",IF(ISBLANK($B161),"",IFERROR(_xll.BDP(TICKER,"DEEP_MEASURE_PERIOD_BROKER_VALUE","DEEP_MEASURE_ID_OVERRIDE",$C161,"DEEP_BROKER_ID_OVERRIDE",BZ$24,"DEEP_PERIOD_OVERRIDE",$H$19)*1,"")))</f>
        <v/>
      </c>
    </row>
    <row r="162" spans="2:78" x14ac:dyDescent="0.25">
      <c r="B162" t="s">
        <v>23</v>
      </c>
      <c r="C162">
        <v>475</v>
      </c>
      <c r="H162" t="str">
        <f t="shared" si="3"/>
        <v>Assets &gt; Current Assets</v>
      </c>
      <c r="I162" t="str">
        <f>IF(OR(I$23="",ISNA($B162)),"",IF(ISBLANK($B162),"",IFERROR(_xll.BDP(TICKER,"DEEP_MEASURE_PERIOD_BROKER_VALUE","DEEP_MEASURE_ID_OVERRIDE",$C162,"DEEP_PERIOD_OVERRIDE",$H$19)*1,"")))</f>
        <v/>
      </c>
      <c r="J162" t="e">
        <f>IF(OR(J$23="",ISNA($B162)),"",IF(ISBLANK($B162),"",IFERROR(_xll.BDP(TICKER,"DEEP_MEASURE_PERIOD_BROKER_VALUE","DEEP_MEASURE_ID_OVERRIDE",$C162,"DEEP_BROKER_ID_OVERRIDE",J$24,"DEEP_PERIOD_OVERRIDE",$H$19)*1,"")))</f>
        <v>#REF!</v>
      </c>
      <c r="K162" t="str">
        <f>IF(OR(K$23="",ISNA($B162)),"",IF(ISBLANK($B162),"",IFERROR(_xll.BDP(TICKER,"DEEP_MEASURE_PERIOD_BROKER_VALUE","DEEP_MEASURE_ID_OVERRIDE",$C162,"DEEP_BROKER_ID_OVERRIDE",K$24,"DEEP_PERIOD_OVERRIDE",$H$19)*1,"")))</f>
        <v/>
      </c>
      <c r="L162" t="str">
        <f>IF(OR(L$23="",ISNA($B162)),"",IF(ISBLANK($B162),"",IFERROR(_xll.BDP(TICKER,"DEEP_MEASURE_PERIOD_BROKER_VALUE","DEEP_MEASURE_ID_OVERRIDE",$C162,"DEEP_BROKER_ID_OVERRIDE",L$24,"DEEP_PERIOD_OVERRIDE",$H$19)*1,"")))</f>
        <v/>
      </c>
      <c r="M162" t="str">
        <f>IF(OR(M$23="",ISNA($B162)),"",IF(ISBLANK($B162),"",IFERROR(_xll.BDP(TICKER,"DEEP_MEASURE_PERIOD_BROKER_VALUE","DEEP_MEASURE_ID_OVERRIDE",$C162,"DEEP_BROKER_ID_OVERRIDE",M$24,"DEEP_PERIOD_OVERRIDE",$H$19)*1,"")))</f>
        <v/>
      </c>
      <c r="N162" t="str">
        <f>IF(OR(N$23="",ISNA($B162)),"",IF(ISBLANK($B162),"",IFERROR(_xll.BDP(TICKER,"DEEP_MEASURE_PERIOD_BROKER_VALUE","DEEP_MEASURE_ID_OVERRIDE",$C162,"DEEP_BROKER_ID_OVERRIDE",N$24,"DEEP_PERIOD_OVERRIDE",$H$19)*1,"")))</f>
        <v/>
      </c>
      <c r="O162" t="str">
        <f>IF(OR(O$23="",ISNA($B162)),"",IF(ISBLANK($B162),"",IFERROR(_xll.BDP(TICKER,"DEEP_MEASURE_PERIOD_BROKER_VALUE","DEEP_MEASURE_ID_OVERRIDE",$C162,"DEEP_BROKER_ID_OVERRIDE",O$24,"DEEP_PERIOD_OVERRIDE",$H$19)*1,"")))</f>
        <v/>
      </c>
      <c r="P162" t="str">
        <f>IF(OR(P$23="",ISNA($B162)),"",IF(ISBLANK($B162),"",IFERROR(_xll.BDP(TICKER,"DEEP_MEASURE_PERIOD_BROKER_VALUE","DEEP_MEASURE_ID_OVERRIDE",$C162,"DEEP_BROKER_ID_OVERRIDE",P$24,"DEEP_PERIOD_OVERRIDE",$H$19)*1,"")))</f>
        <v/>
      </c>
      <c r="Q162" t="str">
        <f>IF(OR(Q$23="",ISNA($B162)),"",IF(ISBLANK($B162),"",IFERROR(_xll.BDP(TICKER,"DEEP_MEASURE_PERIOD_BROKER_VALUE","DEEP_MEASURE_ID_OVERRIDE",$C162,"DEEP_BROKER_ID_OVERRIDE",Q$24,"DEEP_PERIOD_OVERRIDE",$H$19)*1,"")))</f>
        <v/>
      </c>
      <c r="R162" t="str">
        <f>IF(OR(R$23="",ISNA($B162)),"",IF(ISBLANK($B162),"",IFERROR(_xll.BDP(TICKER,"DEEP_MEASURE_PERIOD_BROKER_VALUE","DEEP_MEASURE_ID_OVERRIDE",$C162,"DEEP_BROKER_ID_OVERRIDE",R$24,"DEEP_PERIOD_OVERRIDE",$H$19)*1,"")))</f>
        <v/>
      </c>
      <c r="S162" t="str">
        <f>IF(OR(S$23="",ISNA($B162)),"",IF(ISBLANK($B162),"",IFERROR(_xll.BDP(TICKER,"DEEP_MEASURE_PERIOD_BROKER_VALUE","DEEP_MEASURE_ID_OVERRIDE",$C162,"DEEP_BROKER_ID_OVERRIDE",S$24,"DEEP_PERIOD_OVERRIDE",$H$19)*1,"")))</f>
        <v/>
      </c>
      <c r="T162" t="str">
        <f>IF(OR(T$23="",ISNA($B162)),"",IF(ISBLANK($B162),"",IFERROR(_xll.BDP(TICKER,"DEEP_MEASURE_PERIOD_BROKER_VALUE","DEEP_MEASURE_ID_OVERRIDE",$C162,"DEEP_BROKER_ID_OVERRIDE",T$24,"DEEP_PERIOD_OVERRIDE",$H$19)*1,"")))</f>
        <v/>
      </c>
      <c r="U162" t="str">
        <f>IF(OR(U$23="",ISNA($B162)),"",IF(ISBLANK($B162),"",IFERROR(_xll.BDP(TICKER,"DEEP_MEASURE_PERIOD_BROKER_VALUE","DEEP_MEASURE_ID_OVERRIDE",$C162,"DEEP_BROKER_ID_OVERRIDE",U$24,"DEEP_PERIOD_OVERRIDE",$H$19)*1,"")))</f>
        <v/>
      </c>
      <c r="V162" t="str">
        <f>IF(OR(V$23="",ISNA($B162)),"",IF(ISBLANK($B162),"",IFERROR(_xll.BDP(TICKER,"DEEP_MEASURE_PERIOD_BROKER_VALUE","DEEP_MEASURE_ID_OVERRIDE",$C162,"DEEP_BROKER_ID_OVERRIDE",V$24,"DEEP_PERIOD_OVERRIDE",$H$19)*1,"")))</f>
        <v/>
      </c>
      <c r="W162" t="str">
        <f>IF(OR(W$23="",ISNA($B162)),"",IF(ISBLANK($B162),"",IFERROR(_xll.BDP(TICKER,"DEEP_MEASURE_PERIOD_BROKER_VALUE","DEEP_MEASURE_ID_OVERRIDE",$C162,"DEEP_BROKER_ID_OVERRIDE",W$24,"DEEP_PERIOD_OVERRIDE",$H$19)*1,"")))</f>
        <v/>
      </c>
      <c r="X162" t="str">
        <f>IF(OR(X$23="",ISNA($B162)),"",IF(ISBLANK($B162),"",IFERROR(_xll.BDP(TICKER,"DEEP_MEASURE_PERIOD_BROKER_VALUE","DEEP_MEASURE_ID_OVERRIDE",$C162,"DEEP_BROKER_ID_OVERRIDE",X$24,"DEEP_PERIOD_OVERRIDE",$H$19)*1,"")))</f>
        <v/>
      </c>
      <c r="Y162" t="str">
        <f>IF(OR(Y$23="",ISNA($B162)),"",IF(ISBLANK($B162),"",IFERROR(_xll.BDP(TICKER,"DEEP_MEASURE_PERIOD_BROKER_VALUE","DEEP_MEASURE_ID_OVERRIDE",$C162,"DEEP_BROKER_ID_OVERRIDE",Y$24,"DEEP_PERIOD_OVERRIDE",$H$19)*1,"")))</f>
        <v/>
      </c>
      <c r="Z162" t="str">
        <f>IF(OR(Z$23="",ISNA($B162)),"",IF(ISBLANK($B162),"",IFERROR(_xll.BDP(TICKER,"DEEP_MEASURE_PERIOD_BROKER_VALUE","DEEP_MEASURE_ID_OVERRIDE",$C162,"DEEP_BROKER_ID_OVERRIDE",Z$24,"DEEP_PERIOD_OVERRIDE",$H$19)*1,"")))</f>
        <v/>
      </c>
      <c r="AA162" t="str">
        <f>IF(OR(AA$23="",ISNA($B162)),"",IF(ISBLANK($B162),"",IFERROR(_xll.BDP(TICKER,"DEEP_MEASURE_PERIOD_BROKER_VALUE","DEEP_MEASURE_ID_OVERRIDE",$C162,"DEEP_BROKER_ID_OVERRIDE",AA$24,"DEEP_PERIOD_OVERRIDE",$H$19)*1,"")))</f>
        <v/>
      </c>
      <c r="AB162" t="str">
        <f>IF(OR(AB$23="",ISNA($B162)),"",IF(ISBLANK($B162),"",IFERROR(_xll.BDP(TICKER,"DEEP_MEASURE_PERIOD_BROKER_VALUE","DEEP_MEASURE_ID_OVERRIDE",$C162,"DEEP_BROKER_ID_OVERRIDE",AB$24,"DEEP_PERIOD_OVERRIDE",$H$19)*1,"")))</f>
        <v/>
      </c>
      <c r="AC162" t="str">
        <f>IF(OR(AC$23="",ISNA($B162)),"",IF(ISBLANK($B162),"",IFERROR(_xll.BDP(TICKER,"DEEP_MEASURE_PERIOD_BROKER_VALUE","DEEP_MEASURE_ID_OVERRIDE",$C162,"DEEP_BROKER_ID_OVERRIDE",AC$24,"DEEP_PERIOD_OVERRIDE",$H$19)*1,"")))</f>
        <v/>
      </c>
      <c r="AD162" t="str">
        <f>IF(OR(AD$23="",ISNA($B162)),"",IF(ISBLANK($B162),"",IFERROR(_xll.BDP(TICKER,"DEEP_MEASURE_PERIOD_BROKER_VALUE","DEEP_MEASURE_ID_OVERRIDE",$C162,"DEEP_BROKER_ID_OVERRIDE",AD$24,"DEEP_PERIOD_OVERRIDE",$H$19)*1,"")))</f>
        <v/>
      </c>
      <c r="AE162" t="str">
        <f>IF(OR(AE$23="",ISNA($B162)),"",IF(ISBLANK($B162),"",IFERROR(_xll.BDP(TICKER,"DEEP_MEASURE_PERIOD_BROKER_VALUE","DEEP_MEASURE_ID_OVERRIDE",$C162,"DEEP_BROKER_ID_OVERRIDE",AE$24,"DEEP_PERIOD_OVERRIDE",$H$19)*1,"")))</f>
        <v/>
      </c>
      <c r="AF162" t="str">
        <f>IF(OR(AF$23="",ISNA($B162)),"",IF(ISBLANK($B162),"",IFERROR(_xll.BDP(TICKER,"DEEP_MEASURE_PERIOD_BROKER_VALUE","DEEP_MEASURE_ID_OVERRIDE",$C162,"DEEP_BROKER_ID_OVERRIDE",AF$24,"DEEP_PERIOD_OVERRIDE",$H$19)*1,"")))</f>
        <v/>
      </c>
      <c r="AG162" t="str">
        <f>IF(OR(AG$23="",ISNA($B162)),"",IF(ISBLANK($B162),"",IFERROR(_xll.BDP(TICKER,"DEEP_MEASURE_PERIOD_BROKER_VALUE","DEEP_MEASURE_ID_OVERRIDE",$C162,"DEEP_BROKER_ID_OVERRIDE",AG$24,"DEEP_PERIOD_OVERRIDE",$H$19)*1,"")))</f>
        <v/>
      </c>
      <c r="AH162" t="str">
        <f>IF(OR(AH$23="",ISNA($B162)),"",IF(ISBLANK($B162),"",IFERROR(_xll.BDP(TICKER,"DEEP_MEASURE_PERIOD_BROKER_VALUE","DEEP_MEASURE_ID_OVERRIDE",$C162,"DEEP_BROKER_ID_OVERRIDE",AH$24,"DEEP_PERIOD_OVERRIDE",$H$19)*1,"")))</f>
        <v/>
      </c>
      <c r="AI162" t="str">
        <f>IF(OR(AI$23="",ISNA($B162)),"",IF(ISBLANK($B162),"",IFERROR(_xll.BDP(TICKER,"DEEP_MEASURE_PERIOD_BROKER_VALUE","DEEP_MEASURE_ID_OVERRIDE",$C162,"DEEP_BROKER_ID_OVERRIDE",AI$24,"DEEP_PERIOD_OVERRIDE",$H$19)*1,"")))</f>
        <v/>
      </c>
      <c r="AJ162" t="str">
        <f>IF(OR(AJ$23="",ISNA($B162)),"",IF(ISBLANK($B162),"",IFERROR(_xll.BDP(TICKER,"DEEP_MEASURE_PERIOD_BROKER_VALUE","DEEP_MEASURE_ID_OVERRIDE",$C162,"DEEP_BROKER_ID_OVERRIDE",AJ$24,"DEEP_PERIOD_OVERRIDE",$H$19)*1,"")))</f>
        <v/>
      </c>
      <c r="AK162" t="str">
        <f>IF(OR(AK$23="",ISNA($B162)),"",IF(ISBLANK($B162),"",IFERROR(_xll.BDP(TICKER,"DEEP_MEASURE_PERIOD_BROKER_VALUE","DEEP_MEASURE_ID_OVERRIDE",$C162,"DEEP_BROKER_ID_OVERRIDE",AK$24,"DEEP_PERIOD_OVERRIDE",$H$19)*1,"")))</f>
        <v/>
      </c>
      <c r="AL162" t="str">
        <f>IF(OR(AL$23="",ISNA($B162)),"",IF(ISBLANK($B162),"",IFERROR(_xll.BDP(TICKER,"DEEP_MEASURE_PERIOD_BROKER_VALUE","DEEP_MEASURE_ID_OVERRIDE",$C162,"DEEP_BROKER_ID_OVERRIDE",AL$24,"DEEP_PERIOD_OVERRIDE",$H$19)*1,"")))</f>
        <v/>
      </c>
      <c r="AM162" t="str">
        <f>IF(OR(AM$23="",ISNA($B162)),"",IF(ISBLANK($B162),"",IFERROR(_xll.BDP(TICKER,"DEEP_MEASURE_PERIOD_BROKER_VALUE","DEEP_MEASURE_ID_OVERRIDE",$C162,"DEEP_BROKER_ID_OVERRIDE",AM$24,"DEEP_PERIOD_OVERRIDE",$H$19)*1,"")))</f>
        <v/>
      </c>
      <c r="AN162" t="str">
        <f>IF(OR(AN$23="",ISNA($B162)),"",IF(ISBLANK($B162),"",IFERROR(_xll.BDP(TICKER,"DEEP_MEASURE_PERIOD_BROKER_VALUE","DEEP_MEASURE_ID_OVERRIDE",$C162,"DEEP_BROKER_ID_OVERRIDE",AN$24,"DEEP_PERIOD_OVERRIDE",$H$19)*1,"")))</f>
        <v/>
      </c>
      <c r="AO162" t="str">
        <f>IF(OR(AO$23="",ISNA($B162)),"",IF(ISBLANK($B162),"",IFERROR(_xll.BDP(TICKER,"DEEP_MEASURE_PERIOD_BROKER_VALUE","DEEP_MEASURE_ID_OVERRIDE",$C162,"DEEP_BROKER_ID_OVERRIDE",AO$24,"DEEP_PERIOD_OVERRIDE",$H$19)*1,"")))</f>
        <v/>
      </c>
      <c r="AP162" t="str">
        <f>IF(OR(AP$23="",ISNA($B162)),"",IF(ISBLANK($B162),"",IFERROR(_xll.BDP(TICKER,"DEEP_MEASURE_PERIOD_BROKER_VALUE","DEEP_MEASURE_ID_OVERRIDE",$C162,"DEEP_BROKER_ID_OVERRIDE",AP$24,"DEEP_PERIOD_OVERRIDE",$H$19)*1,"")))</f>
        <v/>
      </c>
      <c r="AQ162" t="str">
        <f>IF(OR(AQ$23="",ISNA($B162)),"",IF(ISBLANK($B162),"",IFERROR(_xll.BDP(TICKER,"DEEP_MEASURE_PERIOD_BROKER_VALUE","DEEP_MEASURE_ID_OVERRIDE",$C162,"DEEP_BROKER_ID_OVERRIDE",AQ$24,"DEEP_PERIOD_OVERRIDE",$H$19)*1,"")))</f>
        <v/>
      </c>
      <c r="AR162" t="str">
        <f>IF(OR(AR$23="",ISNA($B162)),"",IF(ISBLANK($B162),"",IFERROR(_xll.BDP(TICKER,"DEEP_MEASURE_PERIOD_BROKER_VALUE","DEEP_MEASURE_ID_OVERRIDE",$C162,"DEEP_BROKER_ID_OVERRIDE",AR$24,"DEEP_PERIOD_OVERRIDE",$H$19)*1,"")))</f>
        <v/>
      </c>
      <c r="AS162" t="str">
        <f>IF(OR(AS$23="",ISNA($B162)),"",IF(ISBLANK($B162),"",IFERROR(_xll.BDP(TICKER,"DEEP_MEASURE_PERIOD_BROKER_VALUE","DEEP_MEASURE_ID_OVERRIDE",$C162,"DEEP_BROKER_ID_OVERRIDE",AS$24,"DEEP_PERIOD_OVERRIDE",$H$19)*1,"")))</f>
        <v/>
      </c>
      <c r="AT162" t="str">
        <f>IF(OR(AT$23="",ISNA($B162)),"",IF(ISBLANK($B162),"",IFERROR(_xll.BDP(TICKER,"DEEP_MEASURE_PERIOD_BROKER_VALUE","DEEP_MEASURE_ID_OVERRIDE",$C162,"DEEP_BROKER_ID_OVERRIDE",AT$24,"DEEP_PERIOD_OVERRIDE",$H$19)*1,"")))</f>
        <v/>
      </c>
      <c r="AU162" t="str">
        <f>IF(OR(AU$23="",ISNA($B162)),"",IF(ISBLANK($B162),"",IFERROR(_xll.BDP(TICKER,"DEEP_MEASURE_PERIOD_BROKER_VALUE","DEEP_MEASURE_ID_OVERRIDE",$C162,"DEEP_BROKER_ID_OVERRIDE",AU$24,"DEEP_PERIOD_OVERRIDE",$H$19)*1,"")))</f>
        <v/>
      </c>
      <c r="AV162" t="str">
        <f>IF(OR(AV$23="",ISNA($B162)),"",IF(ISBLANK($B162),"",IFERROR(_xll.BDP(TICKER,"DEEP_MEASURE_PERIOD_BROKER_VALUE","DEEP_MEASURE_ID_OVERRIDE",$C162,"DEEP_BROKER_ID_OVERRIDE",AV$24,"DEEP_PERIOD_OVERRIDE",$H$19)*1,"")))</f>
        <v/>
      </c>
      <c r="AW162" t="str">
        <f>IF(OR(AW$23="",ISNA($B162)),"",IF(ISBLANK($B162),"",IFERROR(_xll.BDP(TICKER,"DEEP_MEASURE_PERIOD_BROKER_VALUE","DEEP_MEASURE_ID_OVERRIDE",$C162,"DEEP_BROKER_ID_OVERRIDE",AW$24,"DEEP_PERIOD_OVERRIDE",$H$19)*1,"")))</f>
        <v/>
      </c>
      <c r="AX162" t="str">
        <f>IF(OR(AX$23="",ISNA($B162)),"",IF(ISBLANK($B162),"",IFERROR(_xll.BDP(TICKER,"DEEP_MEASURE_PERIOD_BROKER_VALUE","DEEP_MEASURE_ID_OVERRIDE",$C162,"DEEP_BROKER_ID_OVERRIDE",AX$24,"DEEP_PERIOD_OVERRIDE",$H$19)*1,"")))</f>
        <v/>
      </c>
      <c r="AY162" t="str">
        <f>IF(OR(AY$23="",ISNA($B162)),"",IF(ISBLANK($B162),"",IFERROR(_xll.BDP(TICKER,"DEEP_MEASURE_PERIOD_BROKER_VALUE","DEEP_MEASURE_ID_OVERRIDE",$C162,"DEEP_BROKER_ID_OVERRIDE",AY$24,"DEEP_PERIOD_OVERRIDE",$H$19)*1,"")))</f>
        <v/>
      </c>
      <c r="AZ162" t="str">
        <f>IF(OR(AZ$23="",ISNA($B162)),"",IF(ISBLANK($B162),"",IFERROR(_xll.BDP(TICKER,"DEEP_MEASURE_PERIOD_BROKER_VALUE","DEEP_MEASURE_ID_OVERRIDE",$C162,"DEEP_BROKER_ID_OVERRIDE",AZ$24,"DEEP_PERIOD_OVERRIDE",$H$19)*1,"")))</f>
        <v/>
      </c>
      <c r="BA162" t="str">
        <f>IF(OR(BA$23="",ISNA($B162)),"",IF(ISBLANK($B162),"",IFERROR(_xll.BDP(TICKER,"DEEP_MEASURE_PERIOD_BROKER_VALUE","DEEP_MEASURE_ID_OVERRIDE",$C162,"DEEP_BROKER_ID_OVERRIDE",BA$24,"DEEP_PERIOD_OVERRIDE",$H$19)*1,"")))</f>
        <v/>
      </c>
      <c r="BB162" t="str">
        <f>IF(OR(BB$23="",ISNA($B162)),"",IF(ISBLANK($B162),"",IFERROR(_xll.BDP(TICKER,"DEEP_MEASURE_PERIOD_BROKER_VALUE","DEEP_MEASURE_ID_OVERRIDE",$C162,"DEEP_BROKER_ID_OVERRIDE",BB$24,"DEEP_PERIOD_OVERRIDE",$H$19)*1,"")))</f>
        <v/>
      </c>
      <c r="BC162" t="str">
        <f>IF(OR(BC$23="",ISNA($B162)),"",IF(ISBLANK($B162),"",IFERROR(_xll.BDP(TICKER,"DEEP_MEASURE_PERIOD_BROKER_VALUE","DEEP_MEASURE_ID_OVERRIDE",$C162,"DEEP_BROKER_ID_OVERRIDE",BC$24,"DEEP_PERIOD_OVERRIDE",$H$19)*1,"")))</f>
        <v/>
      </c>
      <c r="BD162" t="str">
        <f>IF(OR(BD$23="",ISNA($B162)),"",IF(ISBLANK($B162),"",IFERROR(_xll.BDP(TICKER,"DEEP_MEASURE_PERIOD_BROKER_VALUE","DEEP_MEASURE_ID_OVERRIDE",$C162,"DEEP_BROKER_ID_OVERRIDE",BD$24,"DEEP_PERIOD_OVERRIDE",$H$19)*1,"")))</f>
        <v/>
      </c>
      <c r="BE162" t="str">
        <f>IF(OR(BE$23="",ISNA($B162)),"",IF(ISBLANK($B162),"",IFERROR(_xll.BDP(TICKER,"DEEP_MEASURE_PERIOD_BROKER_VALUE","DEEP_MEASURE_ID_OVERRIDE",$C162,"DEEP_BROKER_ID_OVERRIDE",BE$24,"DEEP_PERIOD_OVERRIDE",$H$19)*1,"")))</f>
        <v/>
      </c>
      <c r="BF162" t="str">
        <f>IF(OR(BF$23="",ISNA($B162)),"",IF(ISBLANK($B162),"",IFERROR(_xll.BDP(TICKER,"DEEP_MEASURE_PERIOD_BROKER_VALUE","DEEP_MEASURE_ID_OVERRIDE",$C162,"DEEP_BROKER_ID_OVERRIDE",BF$24,"DEEP_PERIOD_OVERRIDE",$H$19)*1,"")))</f>
        <v/>
      </c>
      <c r="BG162" t="str">
        <f>IF(OR(BG$23="",ISNA($B162)),"",IF(ISBLANK($B162),"",IFERROR(_xll.BDP(TICKER,"DEEP_MEASURE_PERIOD_BROKER_VALUE","DEEP_MEASURE_ID_OVERRIDE",$C162,"DEEP_BROKER_ID_OVERRIDE",BG$24,"DEEP_PERIOD_OVERRIDE",$H$19)*1,"")))</f>
        <v/>
      </c>
      <c r="BH162" t="str">
        <f>IF(OR(BH$23="",ISNA($B162)),"",IF(ISBLANK($B162),"",IFERROR(_xll.BDP(TICKER,"DEEP_MEASURE_PERIOD_BROKER_VALUE","DEEP_MEASURE_ID_OVERRIDE",$C162,"DEEP_BROKER_ID_OVERRIDE",BH$24,"DEEP_PERIOD_OVERRIDE",$H$19)*1,"")))</f>
        <v/>
      </c>
      <c r="BI162" t="str">
        <f>IF(OR(BI$23="",ISNA($B162)),"",IF(ISBLANK($B162),"",IFERROR(_xll.BDP(TICKER,"DEEP_MEASURE_PERIOD_BROKER_VALUE","DEEP_MEASURE_ID_OVERRIDE",$C162,"DEEP_BROKER_ID_OVERRIDE",BI$24,"DEEP_PERIOD_OVERRIDE",$H$19)*1,"")))</f>
        <v/>
      </c>
      <c r="BJ162" t="str">
        <f>IF(OR(BJ$23="",ISNA($B162)),"",IF(ISBLANK($B162),"",IFERROR(_xll.BDP(TICKER,"DEEP_MEASURE_PERIOD_BROKER_VALUE","DEEP_MEASURE_ID_OVERRIDE",$C162,"DEEP_BROKER_ID_OVERRIDE",BJ$24,"DEEP_PERIOD_OVERRIDE",$H$19)*1,"")))</f>
        <v/>
      </c>
      <c r="BK162" t="str">
        <f>IF(OR(BK$23="",ISNA($B162)),"",IF(ISBLANK($B162),"",IFERROR(_xll.BDP(TICKER,"DEEP_MEASURE_PERIOD_BROKER_VALUE","DEEP_MEASURE_ID_OVERRIDE",$C162,"DEEP_BROKER_ID_OVERRIDE",BK$24,"DEEP_PERIOD_OVERRIDE",$H$19)*1,"")))</f>
        <v/>
      </c>
      <c r="BL162" t="str">
        <f>IF(OR(BL$23="",ISNA($B162)),"",IF(ISBLANK($B162),"",IFERROR(_xll.BDP(TICKER,"DEEP_MEASURE_PERIOD_BROKER_VALUE","DEEP_MEASURE_ID_OVERRIDE",$C162,"DEEP_BROKER_ID_OVERRIDE",BL$24,"DEEP_PERIOD_OVERRIDE",$H$19)*1,"")))</f>
        <v/>
      </c>
      <c r="BM162" t="str">
        <f>IF(OR(BM$23="",ISNA($B162)),"",IF(ISBLANK($B162),"",IFERROR(_xll.BDP(TICKER,"DEEP_MEASURE_PERIOD_BROKER_VALUE","DEEP_MEASURE_ID_OVERRIDE",$C162,"DEEP_BROKER_ID_OVERRIDE",BM$24,"DEEP_PERIOD_OVERRIDE",$H$19)*1,"")))</f>
        <v/>
      </c>
      <c r="BN162" t="str">
        <f>IF(OR(BN$23="",ISNA($B162)),"",IF(ISBLANK($B162),"",IFERROR(_xll.BDP(TICKER,"DEEP_MEASURE_PERIOD_BROKER_VALUE","DEEP_MEASURE_ID_OVERRIDE",$C162,"DEEP_BROKER_ID_OVERRIDE",BN$24,"DEEP_PERIOD_OVERRIDE",$H$19)*1,"")))</f>
        <v/>
      </c>
      <c r="BO162" t="str">
        <f>IF(OR(BO$23="",ISNA($B162)),"",IF(ISBLANK($B162),"",IFERROR(_xll.BDP(TICKER,"DEEP_MEASURE_PERIOD_BROKER_VALUE","DEEP_MEASURE_ID_OVERRIDE",$C162,"DEEP_BROKER_ID_OVERRIDE",BO$24,"DEEP_PERIOD_OVERRIDE",$H$19)*1,"")))</f>
        <v/>
      </c>
      <c r="BP162" t="str">
        <f>IF(OR(BP$23="",ISNA($B162)),"",IF(ISBLANK($B162),"",IFERROR(_xll.BDP(TICKER,"DEEP_MEASURE_PERIOD_BROKER_VALUE","DEEP_MEASURE_ID_OVERRIDE",$C162,"DEEP_BROKER_ID_OVERRIDE",BP$24,"DEEP_PERIOD_OVERRIDE",$H$19)*1,"")))</f>
        <v/>
      </c>
      <c r="BQ162" t="str">
        <f>IF(OR(BQ$23="",ISNA($B162)),"",IF(ISBLANK($B162),"",IFERROR(_xll.BDP(TICKER,"DEEP_MEASURE_PERIOD_BROKER_VALUE","DEEP_MEASURE_ID_OVERRIDE",$C162,"DEEP_BROKER_ID_OVERRIDE",BQ$24,"DEEP_PERIOD_OVERRIDE",$H$19)*1,"")))</f>
        <v/>
      </c>
      <c r="BR162" t="str">
        <f>IF(OR(BR$23="",ISNA($B162)),"",IF(ISBLANK($B162),"",IFERROR(_xll.BDP(TICKER,"DEEP_MEASURE_PERIOD_BROKER_VALUE","DEEP_MEASURE_ID_OVERRIDE",$C162,"DEEP_BROKER_ID_OVERRIDE",BR$24,"DEEP_PERIOD_OVERRIDE",$H$19)*1,"")))</f>
        <v/>
      </c>
      <c r="BS162" t="str">
        <f>IF(OR(BS$23="",ISNA($B162)),"",IF(ISBLANK($B162),"",IFERROR(_xll.BDP(TICKER,"DEEP_MEASURE_PERIOD_BROKER_VALUE","DEEP_MEASURE_ID_OVERRIDE",$C162,"DEEP_BROKER_ID_OVERRIDE",BS$24,"DEEP_PERIOD_OVERRIDE",$H$19)*1,"")))</f>
        <v/>
      </c>
      <c r="BT162" t="str">
        <f>IF(OR(BT$23="",ISNA($B162)),"",IF(ISBLANK($B162),"",IFERROR(_xll.BDP(TICKER,"DEEP_MEASURE_PERIOD_BROKER_VALUE","DEEP_MEASURE_ID_OVERRIDE",$C162,"DEEP_BROKER_ID_OVERRIDE",BT$24,"DEEP_PERIOD_OVERRIDE",$H$19)*1,"")))</f>
        <v/>
      </c>
      <c r="BU162" t="str">
        <f>IF(OR(BU$23="",ISNA($B162)),"",IF(ISBLANK($B162),"",IFERROR(_xll.BDP(TICKER,"DEEP_MEASURE_PERIOD_BROKER_VALUE","DEEP_MEASURE_ID_OVERRIDE",$C162,"DEEP_BROKER_ID_OVERRIDE",BU$24,"DEEP_PERIOD_OVERRIDE",$H$19)*1,"")))</f>
        <v/>
      </c>
      <c r="BV162" t="str">
        <f>IF(OR(BV$23="",ISNA($B162)),"",IF(ISBLANK($B162),"",IFERROR(_xll.BDP(TICKER,"DEEP_MEASURE_PERIOD_BROKER_VALUE","DEEP_MEASURE_ID_OVERRIDE",$C162,"DEEP_BROKER_ID_OVERRIDE",BV$24,"DEEP_PERIOD_OVERRIDE",$H$19)*1,"")))</f>
        <v/>
      </c>
      <c r="BW162" t="str">
        <f>IF(OR(BW$23="",ISNA($B162)),"",IF(ISBLANK($B162),"",IFERROR(_xll.BDP(TICKER,"DEEP_MEASURE_PERIOD_BROKER_VALUE","DEEP_MEASURE_ID_OVERRIDE",$C162,"DEEP_BROKER_ID_OVERRIDE",BW$24,"DEEP_PERIOD_OVERRIDE",$H$19)*1,"")))</f>
        <v/>
      </c>
      <c r="BX162" t="str">
        <f>IF(OR(BX$23="",ISNA($B162)),"",IF(ISBLANK($B162),"",IFERROR(_xll.BDP(TICKER,"DEEP_MEASURE_PERIOD_BROKER_VALUE","DEEP_MEASURE_ID_OVERRIDE",$C162,"DEEP_BROKER_ID_OVERRIDE",BX$24,"DEEP_PERIOD_OVERRIDE",$H$19)*1,"")))</f>
        <v/>
      </c>
      <c r="BY162" t="str">
        <f>IF(OR(BY$23="",ISNA($B162)),"",IF(ISBLANK($B162),"",IFERROR(_xll.BDP(TICKER,"DEEP_MEASURE_PERIOD_BROKER_VALUE","DEEP_MEASURE_ID_OVERRIDE",$C162,"DEEP_BROKER_ID_OVERRIDE",BY$24,"DEEP_PERIOD_OVERRIDE",$H$19)*1,"")))</f>
        <v/>
      </c>
      <c r="BZ162" t="str">
        <f>IF(OR(BZ$23="",ISNA($B162)),"",IF(ISBLANK($B162),"",IFERROR(_xll.BDP(TICKER,"DEEP_MEASURE_PERIOD_BROKER_VALUE","DEEP_MEASURE_ID_OVERRIDE",$C162,"DEEP_BROKER_ID_OVERRIDE",BZ$24,"DEEP_PERIOD_OVERRIDE",$H$19)*1,"")))</f>
        <v/>
      </c>
    </row>
    <row r="163" spans="2:78" x14ac:dyDescent="0.25">
      <c r="B163" t="s">
        <v>24</v>
      </c>
      <c r="C163">
        <v>462</v>
      </c>
      <c r="H163" t="str">
        <f t="shared" si="3"/>
        <v>Assets &gt; Current Assets &gt; Cash and Cash Equivalents</v>
      </c>
      <c r="I163" t="str">
        <f>IF(OR(I$23="",ISNA($B163)),"",IF(ISBLANK($B163),"",IFERROR(_xll.BDP(TICKER,"DEEP_MEASURE_PERIOD_BROKER_VALUE","DEEP_MEASURE_ID_OVERRIDE",$C163,"DEEP_PERIOD_OVERRIDE",$H$19)*1,"")))</f>
        <v/>
      </c>
      <c r="J163" t="e">
        <f>IF(OR(J$23="",ISNA($B163)),"",IF(ISBLANK($B163),"",IFERROR(_xll.BDP(TICKER,"DEEP_MEASURE_PERIOD_BROKER_VALUE","DEEP_MEASURE_ID_OVERRIDE",$C163,"DEEP_BROKER_ID_OVERRIDE",J$24,"DEEP_PERIOD_OVERRIDE",$H$19)*1,"")))</f>
        <v>#REF!</v>
      </c>
      <c r="K163" t="str">
        <f>IF(OR(K$23="",ISNA($B163)),"",IF(ISBLANK($B163),"",IFERROR(_xll.BDP(TICKER,"DEEP_MEASURE_PERIOD_BROKER_VALUE","DEEP_MEASURE_ID_OVERRIDE",$C163,"DEEP_BROKER_ID_OVERRIDE",K$24,"DEEP_PERIOD_OVERRIDE",$H$19)*1,"")))</f>
        <v/>
      </c>
      <c r="L163" t="str">
        <f>IF(OR(L$23="",ISNA($B163)),"",IF(ISBLANK($B163),"",IFERROR(_xll.BDP(TICKER,"DEEP_MEASURE_PERIOD_BROKER_VALUE","DEEP_MEASURE_ID_OVERRIDE",$C163,"DEEP_BROKER_ID_OVERRIDE",L$24,"DEEP_PERIOD_OVERRIDE",$H$19)*1,"")))</f>
        <v/>
      </c>
      <c r="M163" t="str">
        <f>IF(OR(M$23="",ISNA($B163)),"",IF(ISBLANK($B163),"",IFERROR(_xll.BDP(TICKER,"DEEP_MEASURE_PERIOD_BROKER_VALUE","DEEP_MEASURE_ID_OVERRIDE",$C163,"DEEP_BROKER_ID_OVERRIDE",M$24,"DEEP_PERIOD_OVERRIDE",$H$19)*1,"")))</f>
        <v/>
      </c>
      <c r="N163" t="str">
        <f>IF(OR(N$23="",ISNA($B163)),"",IF(ISBLANK($B163),"",IFERROR(_xll.BDP(TICKER,"DEEP_MEASURE_PERIOD_BROKER_VALUE","DEEP_MEASURE_ID_OVERRIDE",$C163,"DEEP_BROKER_ID_OVERRIDE",N$24,"DEEP_PERIOD_OVERRIDE",$H$19)*1,"")))</f>
        <v/>
      </c>
      <c r="O163" t="str">
        <f>IF(OR(O$23="",ISNA($B163)),"",IF(ISBLANK($B163),"",IFERROR(_xll.BDP(TICKER,"DEEP_MEASURE_PERIOD_BROKER_VALUE","DEEP_MEASURE_ID_OVERRIDE",$C163,"DEEP_BROKER_ID_OVERRIDE",O$24,"DEEP_PERIOD_OVERRIDE",$H$19)*1,"")))</f>
        <v/>
      </c>
      <c r="P163" t="str">
        <f>IF(OR(P$23="",ISNA($B163)),"",IF(ISBLANK($B163),"",IFERROR(_xll.BDP(TICKER,"DEEP_MEASURE_PERIOD_BROKER_VALUE","DEEP_MEASURE_ID_OVERRIDE",$C163,"DEEP_BROKER_ID_OVERRIDE",P$24,"DEEP_PERIOD_OVERRIDE",$H$19)*1,"")))</f>
        <v/>
      </c>
      <c r="Q163" t="str">
        <f>IF(OR(Q$23="",ISNA($B163)),"",IF(ISBLANK($B163),"",IFERROR(_xll.BDP(TICKER,"DEEP_MEASURE_PERIOD_BROKER_VALUE","DEEP_MEASURE_ID_OVERRIDE",$C163,"DEEP_BROKER_ID_OVERRIDE",Q$24,"DEEP_PERIOD_OVERRIDE",$H$19)*1,"")))</f>
        <v/>
      </c>
      <c r="R163" t="str">
        <f>IF(OR(R$23="",ISNA($B163)),"",IF(ISBLANK($B163),"",IFERROR(_xll.BDP(TICKER,"DEEP_MEASURE_PERIOD_BROKER_VALUE","DEEP_MEASURE_ID_OVERRIDE",$C163,"DEEP_BROKER_ID_OVERRIDE",R$24,"DEEP_PERIOD_OVERRIDE",$H$19)*1,"")))</f>
        <v/>
      </c>
      <c r="S163" t="str">
        <f>IF(OR(S$23="",ISNA($B163)),"",IF(ISBLANK($B163),"",IFERROR(_xll.BDP(TICKER,"DEEP_MEASURE_PERIOD_BROKER_VALUE","DEEP_MEASURE_ID_OVERRIDE",$C163,"DEEP_BROKER_ID_OVERRIDE",S$24,"DEEP_PERIOD_OVERRIDE",$H$19)*1,"")))</f>
        <v/>
      </c>
      <c r="T163" t="str">
        <f>IF(OR(T$23="",ISNA($B163)),"",IF(ISBLANK($B163),"",IFERROR(_xll.BDP(TICKER,"DEEP_MEASURE_PERIOD_BROKER_VALUE","DEEP_MEASURE_ID_OVERRIDE",$C163,"DEEP_BROKER_ID_OVERRIDE",T$24,"DEEP_PERIOD_OVERRIDE",$H$19)*1,"")))</f>
        <v/>
      </c>
      <c r="U163" t="str">
        <f>IF(OR(U$23="",ISNA($B163)),"",IF(ISBLANK($B163),"",IFERROR(_xll.BDP(TICKER,"DEEP_MEASURE_PERIOD_BROKER_VALUE","DEEP_MEASURE_ID_OVERRIDE",$C163,"DEEP_BROKER_ID_OVERRIDE",U$24,"DEEP_PERIOD_OVERRIDE",$H$19)*1,"")))</f>
        <v/>
      </c>
      <c r="V163" t="str">
        <f>IF(OR(V$23="",ISNA($B163)),"",IF(ISBLANK($B163),"",IFERROR(_xll.BDP(TICKER,"DEEP_MEASURE_PERIOD_BROKER_VALUE","DEEP_MEASURE_ID_OVERRIDE",$C163,"DEEP_BROKER_ID_OVERRIDE",V$24,"DEEP_PERIOD_OVERRIDE",$H$19)*1,"")))</f>
        <v/>
      </c>
      <c r="W163" t="str">
        <f>IF(OR(W$23="",ISNA($B163)),"",IF(ISBLANK($B163),"",IFERROR(_xll.BDP(TICKER,"DEEP_MEASURE_PERIOD_BROKER_VALUE","DEEP_MEASURE_ID_OVERRIDE",$C163,"DEEP_BROKER_ID_OVERRIDE",W$24,"DEEP_PERIOD_OVERRIDE",$H$19)*1,"")))</f>
        <v/>
      </c>
      <c r="X163" t="str">
        <f>IF(OR(X$23="",ISNA($B163)),"",IF(ISBLANK($B163),"",IFERROR(_xll.BDP(TICKER,"DEEP_MEASURE_PERIOD_BROKER_VALUE","DEEP_MEASURE_ID_OVERRIDE",$C163,"DEEP_BROKER_ID_OVERRIDE",X$24,"DEEP_PERIOD_OVERRIDE",$H$19)*1,"")))</f>
        <v/>
      </c>
      <c r="Y163" t="str">
        <f>IF(OR(Y$23="",ISNA($B163)),"",IF(ISBLANK($B163),"",IFERROR(_xll.BDP(TICKER,"DEEP_MEASURE_PERIOD_BROKER_VALUE","DEEP_MEASURE_ID_OVERRIDE",$C163,"DEEP_BROKER_ID_OVERRIDE",Y$24,"DEEP_PERIOD_OVERRIDE",$H$19)*1,"")))</f>
        <v/>
      </c>
      <c r="Z163" t="str">
        <f>IF(OR(Z$23="",ISNA($B163)),"",IF(ISBLANK($B163),"",IFERROR(_xll.BDP(TICKER,"DEEP_MEASURE_PERIOD_BROKER_VALUE","DEEP_MEASURE_ID_OVERRIDE",$C163,"DEEP_BROKER_ID_OVERRIDE",Z$24,"DEEP_PERIOD_OVERRIDE",$H$19)*1,"")))</f>
        <v/>
      </c>
      <c r="AA163" t="str">
        <f>IF(OR(AA$23="",ISNA($B163)),"",IF(ISBLANK($B163),"",IFERROR(_xll.BDP(TICKER,"DEEP_MEASURE_PERIOD_BROKER_VALUE","DEEP_MEASURE_ID_OVERRIDE",$C163,"DEEP_BROKER_ID_OVERRIDE",AA$24,"DEEP_PERIOD_OVERRIDE",$H$19)*1,"")))</f>
        <v/>
      </c>
      <c r="AB163" t="str">
        <f>IF(OR(AB$23="",ISNA($B163)),"",IF(ISBLANK($B163),"",IFERROR(_xll.BDP(TICKER,"DEEP_MEASURE_PERIOD_BROKER_VALUE","DEEP_MEASURE_ID_OVERRIDE",$C163,"DEEP_BROKER_ID_OVERRIDE",AB$24,"DEEP_PERIOD_OVERRIDE",$H$19)*1,"")))</f>
        <v/>
      </c>
      <c r="AC163" t="str">
        <f>IF(OR(AC$23="",ISNA($B163)),"",IF(ISBLANK($B163),"",IFERROR(_xll.BDP(TICKER,"DEEP_MEASURE_PERIOD_BROKER_VALUE","DEEP_MEASURE_ID_OVERRIDE",$C163,"DEEP_BROKER_ID_OVERRIDE",AC$24,"DEEP_PERIOD_OVERRIDE",$H$19)*1,"")))</f>
        <v/>
      </c>
      <c r="AD163" t="str">
        <f>IF(OR(AD$23="",ISNA($B163)),"",IF(ISBLANK($B163),"",IFERROR(_xll.BDP(TICKER,"DEEP_MEASURE_PERIOD_BROKER_VALUE","DEEP_MEASURE_ID_OVERRIDE",$C163,"DEEP_BROKER_ID_OVERRIDE",AD$24,"DEEP_PERIOD_OVERRIDE",$H$19)*1,"")))</f>
        <v/>
      </c>
      <c r="AE163" t="str">
        <f>IF(OR(AE$23="",ISNA($B163)),"",IF(ISBLANK($B163),"",IFERROR(_xll.BDP(TICKER,"DEEP_MEASURE_PERIOD_BROKER_VALUE","DEEP_MEASURE_ID_OVERRIDE",$C163,"DEEP_BROKER_ID_OVERRIDE",AE$24,"DEEP_PERIOD_OVERRIDE",$H$19)*1,"")))</f>
        <v/>
      </c>
      <c r="AF163" t="str">
        <f>IF(OR(AF$23="",ISNA($B163)),"",IF(ISBLANK($B163),"",IFERROR(_xll.BDP(TICKER,"DEEP_MEASURE_PERIOD_BROKER_VALUE","DEEP_MEASURE_ID_OVERRIDE",$C163,"DEEP_BROKER_ID_OVERRIDE",AF$24,"DEEP_PERIOD_OVERRIDE",$H$19)*1,"")))</f>
        <v/>
      </c>
      <c r="AG163" t="str">
        <f>IF(OR(AG$23="",ISNA($B163)),"",IF(ISBLANK($B163),"",IFERROR(_xll.BDP(TICKER,"DEEP_MEASURE_PERIOD_BROKER_VALUE","DEEP_MEASURE_ID_OVERRIDE",$C163,"DEEP_BROKER_ID_OVERRIDE",AG$24,"DEEP_PERIOD_OVERRIDE",$H$19)*1,"")))</f>
        <v/>
      </c>
      <c r="AH163" t="str">
        <f>IF(OR(AH$23="",ISNA($B163)),"",IF(ISBLANK($B163),"",IFERROR(_xll.BDP(TICKER,"DEEP_MEASURE_PERIOD_BROKER_VALUE","DEEP_MEASURE_ID_OVERRIDE",$C163,"DEEP_BROKER_ID_OVERRIDE",AH$24,"DEEP_PERIOD_OVERRIDE",$H$19)*1,"")))</f>
        <v/>
      </c>
      <c r="AI163" t="str">
        <f>IF(OR(AI$23="",ISNA($B163)),"",IF(ISBLANK($B163),"",IFERROR(_xll.BDP(TICKER,"DEEP_MEASURE_PERIOD_BROKER_VALUE","DEEP_MEASURE_ID_OVERRIDE",$C163,"DEEP_BROKER_ID_OVERRIDE",AI$24,"DEEP_PERIOD_OVERRIDE",$H$19)*1,"")))</f>
        <v/>
      </c>
      <c r="AJ163" t="str">
        <f>IF(OR(AJ$23="",ISNA($B163)),"",IF(ISBLANK($B163),"",IFERROR(_xll.BDP(TICKER,"DEEP_MEASURE_PERIOD_BROKER_VALUE","DEEP_MEASURE_ID_OVERRIDE",$C163,"DEEP_BROKER_ID_OVERRIDE",AJ$24,"DEEP_PERIOD_OVERRIDE",$H$19)*1,"")))</f>
        <v/>
      </c>
      <c r="AK163" t="str">
        <f>IF(OR(AK$23="",ISNA($B163)),"",IF(ISBLANK($B163),"",IFERROR(_xll.BDP(TICKER,"DEEP_MEASURE_PERIOD_BROKER_VALUE","DEEP_MEASURE_ID_OVERRIDE",$C163,"DEEP_BROKER_ID_OVERRIDE",AK$24,"DEEP_PERIOD_OVERRIDE",$H$19)*1,"")))</f>
        <v/>
      </c>
      <c r="AL163" t="str">
        <f>IF(OR(AL$23="",ISNA($B163)),"",IF(ISBLANK($B163),"",IFERROR(_xll.BDP(TICKER,"DEEP_MEASURE_PERIOD_BROKER_VALUE","DEEP_MEASURE_ID_OVERRIDE",$C163,"DEEP_BROKER_ID_OVERRIDE",AL$24,"DEEP_PERIOD_OVERRIDE",$H$19)*1,"")))</f>
        <v/>
      </c>
      <c r="AM163" t="str">
        <f>IF(OR(AM$23="",ISNA($B163)),"",IF(ISBLANK($B163),"",IFERROR(_xll.BDP(TICKER,"DEEP_MEASURE_PERIOD_BROKER_VALUE","DEEP_MEASURE_ID_OVERRIDE",$C163,"DEEP_BROKER_ID_OVERRIDE",AM$24,"DEEP_PERIOD_OVERRIDE",$H$19)*1,"")))</f>
        <v/>
      </c>
      <c r="AN163" t="str">
        <f>IF(OR(AN$23="",ISNA($B163)),"",IF(ISBLANK($B163),"",IFERROR(_xll.BDP(TICKER,"DEEP_MEASURE_PERIOD_BROKER_VALUE","DEEP_MEASURE_ID_OVERRIDE",$C163,"DEEP_BROKER_ID_OVERRIDE",AN$24,"DEEP_PERIOD_OVERRIDE",$H$19)*1,"")))</f>
        <v/>
      </c>
      <c r="AO163" t="str">
        <f>IF(OR(AO$23="",ISNA($B163)),"",IF(ISBLANK($B163),"",IFERROR(_xll.BDP(TICKER,"DEEP_MEASURE_PERIOD_BROKER_VALUE","DEEP_MEASURE_ID_OVERRIDE",$C163,"DEEP_BROKER_ID_OVERRIDE",AO$24,"DEEP_PERIOD_OVERRIDE",$H$19)*1,"")))</f>
        <v/>
      </c>
      <c r="AP163" t="str">
        <f>IF(OR(AP$23="",ISNA($B163)),"",IF(ISBLANK($B163),"",IFERROR(_xll.BDP(TICKER,"DEEP_MEASURE_PERIOD_BROKER_VALUE","DEEP_MEASURE_ID_OVERRIDE",$C163,"DEEP_BROKER_ID_OVERRIDE",AP$24,"DEEP_PERIOD_OVERRIDE",$H$19)*1,"")))</f>
        <v/>
      </c>
      <c r="AQ163" t="str">
        <f>IF(OR(AQ$23="",ISNA($B163)),"",IF(ISBLANK($B163),"",IFERROR(_xll.BDP(TICKER,"DEEP_MEASURE_PERIOD_BROKER_VALUE","DEEP_MEASURE_ID_OVERRIDE",$C163,"DEEP_BROKER_ID_OVERRIDE",AQ$24,"DEEP_PERIOD_OVERRIDE",$H$19)*1,"")))</f>
        <v/>
      </c>
      <c r="AR163" t="str">
        <f>IF(OR(AR$23="",ISNA($B163)),"",IF(ISBLANK($B163),"",IFERROR(_xll.BDP(TICKER,"DEEP_MEASURE_PERIOD_BROKER_VALUE","DEEP_MEASURE_ID_OVERRIDE",$C163,"DEEP_BROKER_ID_OVERRIDE",AR$24,"DEEP_PERIOD_OVERRIDE",$H$19)*1,"")))</f>
        <v/>
      </c>
      <c r="AS163" t="str">
        <f>IF(OR(AS$23="",ISNA($B163)),"",IF(ISBLANK($B163),"",IFERROR(_xll.BDP(TICKER,"DEEP_MEASURE_PERIOD_BROKER_VALUE","DEEP_MEASURE_ID_OVERRIDE",$C163,"DEEP_BROKER_ID_OVERRIDE",AS$24,"DEEP_PERIOD_OVERRIDE",$H$19)*1,"")))</f>
        <v/>
      </c>
      <c r="AT163" t="str">
        <f>IF(OR(AT$23="",ISNA($B163)),"",IF(ISBLANK($B163),"",IFERROR(_xll.BDP(TICKER,"DEEP_MEASURE_PERIOD_BROKER_VALUE","DEEP_MEASURE_ID_OVERRIDE",$C163,"DEEP_BROKER_ID_OVERRIDE",AT$24,"DEEP_PERIOD_OVERRIDE",$H$19)*1,"")))</f>
        <v/>
      </c>
      <c r="AU163" t="str">
        <f>IF(OR(AU$23="",ISNA($B163)),"",IF(ISBLANK($B163),"",IFERROR(_xll.BDP(TICKER,"DEEP_MEASURE_PERIOD_BROKER_VALUE","DEEP_MEASURE_ID_OVERRIDE",$C163,"DEEP_BROKER_ID_OVERRIDE",AU$24,"DEEP_PERIOD_OVERRIDE",$H$19)*1,"")))</f>
        <v/>
      </c>
      <c r="AV163" t="str">
        <f>IF(OR(AV$23="",ISNA($B163)),"",IF(ISBLANK($B163),"",IFERROR(_xll.BDP(TICKER,"DEEP_MEASURE_PERIOD_BROKER_VALUE","DEEP_MEASURE_ID_OVERRIDE",$C163,"DEEP_BROKER_ID_OVERRIDE",AV$24,"DEEP_PERIOD_OVERRIDE",$H$19)*1,"")))</f>
        <v/>
      </c>
      <c r="AW163" t="str">
        <f>IF(OR(AW$23="",ISNA($B163)),"",IF(ISBLANK($B163),"",IFERROR(_xll.BDP(TICKER,"DEEP_MEASURE_PERIOD_BROKER_VALUE","DEEP_MEASURE_ID_OVERRIDE",$C163,"DEEP_BROKER_ID_OVERRIDE",AW$24,"DEEP_PERIOD_OVERRIDE",$H$19)*1,"")))</f>
        <v/>
      </c>
      <c r="AX163" t="str">
        <f>IF(OR(AX$23="",ISNA($B163)),"",IF(ISBLANK($B163),"",IFERROR(_xll.BDP(TICKER,"DEEP_MEASURE_PERIOD_BROKER_VALUE","DEEP_MEASURE_ID_OVERRIDE",$C163,"DEEP_BROKER_ID_OVERRIDE",AX$24,"DEEP_PERIOD_OVERRIDE",$H$19)*1,"")))</f>
        <v/>
      </c>
      <c r="AY163" t="str">
        <f>IF(OR(AY$23="",ISNA($B163)),"",IF(ISBLANK($B163),"",IFERROR(_xll.BDP(TICKER,"DEEP_MEASURE_PERIOD_BROKER_VALUE","DEEP_MEASURE_ID_OVERRIDE",$C163,"DEEP_BROKER_ID_OVERRIDE",AY$24,"DEEP_PERIOD_OVERRIDE",$H$19)*1,"")))</f>
        <v/>
      </c>
      <c r="AZ163" t="str">
        <f>IF(OR(AZ$23="",ISNA($B163)),"",IF(ISBLANK($B163),"",IFERROR(_xll.BDP(TICKER,"DEEP_MEASURE_PERIOD_BROKER_VALUE","DEEP_MEASURE_ID_OVERRIDE",$C163,"DEEP_BROKER_ID_OVERRIDE",AZ$24,"DEEP_PERIOD_OVERRIDE",$H$19)*1,"")))</f>
        <v/>
      </c>
      <c r="BA163" t="str">
        <f>IF(OR(BA$23="",ISNA($B163)),"",IF(ISBLANK($B163),"",IFERROR(_xll.BDP(TICKER,"DEEP_MEASURE_PERIOD_BROKER_VALUE","DEEP_MEASURE_ID_OVERRIDE",$C163,"DEEP_BROKER_ID_OVERRIDE",BA$24,"DEEP_PERIOD_OVERRIDE",$H$19)*1,"")))</f>
        <v/>
      </c>
      <c r="BB163" t="str">
        <f>IF(OR(BB$23="",ISNA($B163)),"",IF(ISBLANK($B163),"",IFERROR(_xll.BDP(TICKER,"DEEP_MEASURE_PERIOD_BROKER_VALUE","DEEP_MEASURE_ID_OVERRIDE",$C163,"DEEP_BROKER_ID_OVERRIDE",BB$24,"DEEP_PERIOD_OVERRIDE",$H$19)*1,"")))</f>
        <v/>
      </c>
      <c r="BC163" t="str">
        <f>IF(OR(BC$23="",ISNA($B163)),"",IF(ISBLANK($B163),"",IFERROR(_xll.BDP(TICKER,"DEEP_MEASURE_PERIOD_BROKER_VALUE","DEEP_MEASURE_ID_OVERRIDE",$C163,"DEEP_BROKER_ID_OVERRIDE",BC$24,"DEEP_PERIOD_OVERRIDE",$H$19)*1,"")))</f>
        <v/>
      </c>
      <c r="BD163" t="str">
        <f>IF(OR(BD$23="",ISNA($B163)),"",IF(ISBLANK($B163),"",IFERROR(_xll.BDP(TICKER,"DEEP_MEASURE_PERIOD_BROKER_VALUE","DEEP_MEASURE_ID_OVERRIDE",$C163,"DEEP_BROKER_ID_OVERRIDE",BD$24,"DEEP_PERIOD_OVERRIDE",$H$19)*1,"")))</f>
        <v/>
      </c>
      <c r="BE163" t="str">
        <f>IF(OR(BE$23="",ISNA($B163)),"",IF(ISBLANK($B163),"",IFERROR(_xll.BDP(TICKER,"DEEP_MEASURE_PERIOD_BROKER_VALUE","DEEP_MEASURE_ID_OVERRIDE",$C163,"DEEP_BROKER_ID_OVERRIDE",BE$24,"DEEP_PERIOD_OVERRIDE",$H$19)*1,"")))</f>
        <v/>
      </c>
      <c r="BF163" t="str">
        <f>IF(OR(BF$23="",ISNA($B163)),"",IF(ISBLANK($B163),"",IFERROR(_xll.BDP(TICKER,"DEEP_MEASURE_PERIOD_BROKER_VALUE","DEEP_MEASURE_ID_OVERRIDE",$C163,"DEEP_BROKER_ID_OVERRIDE",BF$24,"DEEP_PERIOD_OVERRIDE",$H$19)*1,"")))</f>
        <v/>
      </c>
      <c r="BG163" t="str">
        <f>IF(OR(BG$23="",ISNA($B163)),"",IF(ISBLANK($B163),"",IFERROR(_xll.BDP(TICKER,"DEEP_MEASURE_PERIOD_BROKER_VALUE","DEEP_MEASURE_ID_OVERRIDE",$C163,"DEEP_BROKER_ID_OVERRIDE",BG$24,"DEEP_PERIOD_OVERRIDE",$H$19)*1,"")))</f>
        <v/>
      </c>
      <c r="BH163" t="str">
        <f>IF(OR(BH$23="",ISNA($B163)),"",IF(ISBLANK($B163),"",IFERROR(_xll.BDP(TICKER,"DEEP_MEASURE_PERIOD_BROKER_VALUE","DEEP_MEASURE_ID_OVERRIDE",$C163,"DEEP_BROKER_ID_OVERRIDE",BH$24,"DEEP_PERIOD_OVERRIDE",$H$19)*1,"")))</f>
        <v/>
      </c>
      <c r="BI163" t="str">
        <f>IF(OR(BI$23="",ISNA($B163)),"",IF(ISBLANK($B163),"",IFERROR(_xll.BDP(TICKER,"DEEP_MEASURE_PERIOD_BROKER_VALUE","DEEP_MEASURE_ID_OVERRIDE",$C163,"DEEP_BROKER_ID_OVERRIDE",BI$24,"DEEP_PERIOD_OVERRIDE",$H$19)*1,"")))</f>
        <v/>
      </c>
      <c r="BJ163" t="str">
        <f>IF(OR(BJ$23="",ISNA($B163)),"",IF(ISBLANK($B163),"",IFERROR(_xll.BDP(TICKER,"DEEP_MEASURE_PERIOD_BROKER_VALUE","DEEP_MEASURE_ID_OVERRIDE",$C163,"DEEP_BROKER_ID_OVERRIDE",BJ$24,"DEEP_PERIOD_OVERRIDE",$H$19)*1,"")))</f>
        <v/>
      </c>
      <c r="BK163" t="str">
        <f>IF(OR(BK$23="",ISNA($B163)),"",IF(ISBLANK($B163),"",IFERROR(_xll.BDP(TICKER,"DEEP_MEASURE_PERIOD_BROKER_VALUE","DEEP_MEASURE_ID_OVERRIDE",$C163,"DEEP_BROKER_ID_OVERRIDE",BK$24,"DEEP_PERIOD_OVERRIDE",$H$19)*1,"")))</f>
        <v/>
      </c>
      <c r="BL163" t="str">
        <f>IF(OR(BL$23="",ISNA($B163)),"",IF(ISBLANK($B163),"",IFERROR(_xll.BDP(TICKER,"DEEP_MEASURE_PERIOD_BROKER_VALUE","DEEP_MEASURE_ID_OVERRIDE",$C163,"DEEP_BROKER_ID_OVERRIDE",BL$24,"DEEP_PERIOD_OVERRIDE",$H$19)*1,"")))</f>
        <v/>
      </c>
      <c r="BM163" t="str">
        <f>IF(OR(BM$23="",ISNA($B163)),"",IF(ISBLANK($B163),"",IFERROR(_xll.BDP(TICKER,"DEEP_MEASURE_PERIOD_BROKER_VALUE","DEEP_MEASURE_ID_OVERRIDE",$C163,"DEEP_BROKER_ID_OVERRIDE",BM$24,"DEEP_PERIOD_OVERRIDE",$H$19)*1,"")))</f>
        <v/>
      </c>
      <c r="BN163" t="str">
        <f>IF(OR(BN$23="",ISNA($B163)),"",IF(ISBLANK($B163),"",IFERROR(_xll.BDP(TICKER,"DEEP_MEASURE_PERIOD_BROKER_VALUE","DEEP_MEASURE_ID_OVERRIDE",$C163,"DEEP_BROKER_ID_OVERRIDE",BN$24,"DEEP_PERIOD_OVERRIDE",$H$19)*1,"")))</f>
        <v/>
      </c>
      <c r="BO163" t="str">
        <f>IF(OR(BO$23="",ISNA($B163)),"",IF(ISBLANK($B163),"",IFERROR(_xll.BDP(TICKER,"DEEP_MEASURE_PERIOD_BROKER_VALUE","DEEP_MEASURE_ID_OVERRIDE",$C163,"DEEP_BROKER_ID_OVERRIDE",BO$24,"DEEP_PERIOD_OVERRIDE",$H$19)*1,"")))</f>
        <v/>
      </c>
      <c r="BP163" t="str">
        <f>IF(OR(BP$23="",ISNA($B163)),"",IF(ISBLANK($B163),"",IFERROR(_xll.BDP(TICKER,"DEEP_MEASURE_PERIOD_BROKER_VALUE","DEEP_MEASURE_ID_OVERRIDE",$C163,"DEEP_BROKER_ID_OVERRIDE",BP$24,"DEEP_PERIOD_OVERRIDE",$H$19)*1,"")))</f>
        <v/>
      </c>
      <c r="BQ163" t="str">
        <f>IF(OR(BQ$23="",ISNA($B163)),"",IF(ISBLANK($B163),"",IFERROR(_xll.BDP(TICKER,"DEEP_MEASURE_PERIOD_BROKER_VALUE","DEEP_MEASURE_ID_OVERRIDE",$C163,"DEEP_BROKER_ID_OVERRIDE",BQ$24,"DEEP_PERIOD_OVERRIDE",$H$19)*1,"")))</f>
        <v/>
      </c>
      <c r="BR163" t="str">
        <f>IF(OR(BR$23="",ISNA($B163)),"",IF(ISBLANK($B163),"",IFERROR(_xll.BDP(TICKER,"DEEP_MEASURE_PERIOD_BROKER_VALUE","DEEP_MEASURE_ID_OVERRIDE",$C163,"DEEP_BROKER_ID_OVERRIDE",BR$24,"DEEP_PERIOD_OVERRIDE",$H$19)*1,"")))</f>
        <v/>
      </c>
      <c r="BS163" t="str">
        <f>IF(OR(BS$23="",ISNA($B163)),"",IF(ISBLANK($B163),"",IFERROR(_xll.BDP(TICKER,"DEEP_MEASURE_PERIOD_BROKER_VALUE","DEEP_MEASURE_ID_OVERRIDE",$C163,"DEEP_BROKER_ID_OVERRIDE",BS$24,"DEEP_PERIOD_OVERRIDE",$H$19)*1,"")))</f>
        <v/>
      </c>
      <c r="BT163" t="str">
        <f>IF(OR(BT$23="",ISNA($B163)),"",IF(ISBLANK($B163),"",IFERROR(_xll.BDP(TICKER,"DEEP_MEASURE_PERIOD_BROKER_VALUE","DEEP_MEASURE_ID_OVERRIDE",$C163,"DEEP_BROKER_ID_OVERRIDE",BT$24,"DEEP_PERIOD_OVERRIDE",$H$19)*1,"")))</f>
        <v/>
      </c>
      <c r="BU163" t="str">
        <f>IF(OR(BU$23="",ISNA($B163)),"",IF(ISBLANK($B163),"",IFERROR(_xll.BDP(TICKER,"DEEP_MEASURE_PERIOD_BROKER_VALUE","DEEP_MEASURE_ID_OVERRIDE",$C163,"DEEP_BROKER_ID_OVERRIDE",BU$24,"DEEP_PERIOD_OVERRIDE",$H$19)*1,"")))</f>
        <v/>
      </c>
      <c r="BV163" t="str">
        <f>IF(OR(BV$23="",ISNA($B163)),"",IF(ISBLANK($B163),"",IFERROR(_xll.BDP(TICKER,"DEEP_MEASURE_PERIOD_BROKER_VALUE","DEEP_MEASURE_ID_OVERRIDE",$C163,"DEEP_BROKER_ID_OVERRIDE",BV$24,"DEEP_PERIOD_OVERRIDE",$H$19)*1,"")))</f>
        <v/>
      </c>
      <c r="BW163" t="str">
        <f>IF(OR(BW$23="",ISNA($B163)),"",IF(ISBLANK($B163),"",IFERROR(_xll.BDP(TICKER,"DEEP_MEASURE_PERIOD_BROKER_VALUE","DEEP_MEASURE_ID_OVERRIDE",$C163,"DEEP_BROKER_ID_OVERRIDE",BW$24,"DEEP_PERIOD_OVERRIDE",$H$19)*1,"")))</f>
        <v/>
      </c>
      <c r="BX163" t="str">
        <f>IF(OR(BX$23="",ISNA($B163)),"",IF(ISBLANK($B163),"",IFERROR(_xll.BDP(TICKER,"DEEP_MEASURE_PERIOD_BROKER_VALUE","DEEP_MEASURE_ID_OVERRIDE",$C163,"DEEP_BROKER_ID_OVERRIDE",BX$24,"DEEP_PERIOD_OVERRIDE",$H$19)*1,"")))</f>
        <v/>
      </c>
      <c r="BY163" t="str">
        <f>IF(OR(BY$23="",ISNA($B163)),"",IF(ISBLANK($B163),"",IFERROR(_xll.BDP(TICKER,"DEEP_MEASURE_PERIOD_BROKER_VALUE","DEEP_MEASURE_ID_OVERRIDE",$C163,"DEEP_BROKER_ID_OVERRIDE",BY$24,"DEEP_PERIOD_OVERRIDE",$H$19)*1,"")))</f>
        <v/>
      </c>
      <c r="BZ163" t="str">
        <f>IF(OR(BZ$23="",ISNA($B163)),"",IF(ISBLANK($B163),"",IFERROR(_xll.BDP(TICKER,"DEEP_MEASURE_PERIOD_BROKER_VALUE","DEEP_MEASURE_ID_OVERRIDE",$C163,"DEEP_BROKER_ID_OVERRIDE",BZ$24,"DEEP_PERIOD_OVERRIDE",$H$19)*1,"")))</f>
        <v/>
      </c>
    </row>
    <row r="164" spans="2:78" x14ac:dyDescent="0.25">
      <c r="B164" t="s">
        <v>49</v>
      </c>
      <c r="C164">
        <v>471</v>
      </c>
      <c r="H164" t="str">
        <f t="shared" si="3"/>
        <v>Assets &gt; Current Assets &gt; Accounts Receivable</v>
      </c>
      <c r="I164" t="str">
        <f>IF(OR(I$23="",ISNA($B164)),"",IF(ISBLANK($B164),"",IFERROR(_xll.BDP(TICKER,"DEEP_MEASURE_PERIOD_BROKER_VALUE","DEEP_MEASURE_ID_OVERRIDE",$C164,"DEEP_PERIOD_OVERRIDE",$H$19)*1,"")))</f>
        <v/>
      </c>
      <c r="J164" t="e">
        <f>IF(OR(J$23="",ISNA($B164)),"",IF(ISBLANK($B164),"",IFERROR(_xll.BDP(TICKER,"DEEP_MEASURE_PERIOD_BROKER_VALUE","DEEP_MEASURE_ID_OVERRIDE",$C164,"DEEP_BROKER_ID_OVERRIDE",J$24,"DEEP_PERIOD_OVERRIDE",$H$19)*1,"")))</f>
        <v>#REF!</v>
      </c>
      <c r="K164" t="str">
        <f>IF(OR(K$23="",ISNA($B164)),"",IF(ISBLANK($B164),"",IFERROR(_xll.BDP(TICKER,"DEEP_MEASURE_PERIOD_BROKER_VALUE","DEEP_MEASURE_ID_OVERRIDE",$C164,"DEEP_BROKER_ID_OVERRIDE",K$24,"DEEP_PERIOD_OVERRIDE",$H$19)*1,"")))</f>
        <v/>
      </c>
      <c r="L164" t="str">
        <f>IF(OR(L$23="",ISNA($B164)),"",IF(ISBLANK($B164),"",IFERROR(_xll.BDP(TICKER,"DEEP_MEASURE_PERIOD_BROKER_VALUE","DEEP_MEASURE_ID_OVERRIDE",$C164,"DEEP_BROKER_ID_OVERRIDE",L$24,"DEEP_PERIOD_OVERRIDE",$H$19)*1,"")))</f>
        <v/>
      </c>
      <c r="M164" t="str">
        <f>IF(OR(M$23="",ISNA($B164)),"",IF(ISBLANK($B164),"",IFERROR(_xll.BDP(TICKER,"DEEP_MEASURE_PERIOD_BROKER_VALUE","DEEP_MEASURE_ID_OVERRIDE",$C164,"DEEP_BROKER_ID_OVERRIDE",M$24,"DEEP_PERIOD_OVERRIDE",$H$19)*1,"")))</f>
        <v/>
      </c>
      <c r="N164" t="str">
        <f>IF(OR(N$23="",ISNA($B164)),"",IF(ISBLANK($B164),"",IFERROR(_xll.BDP(TICKER,"DEEP_MEASURE_PERIOD_BROKER_VALUE","DEEP_MEASURE_ID_OVERRIDE",$C164,"DEEP_BROKER_ID_OVERRIDE",N$24,"DEEP_PERIOD_OVERRIDE",$H$19)*1,"")))</f>
        <v/>
      </c>
      <c r="O164" t="str">
        <f>IF(OR(O$23="",ISNA($B164)),"",IF(ISBLANK($B164),"",IFERROR(_xll.BDP(TICKER,"DEEP_MEASURE_PERIOD_BROKER_VALUE","DEEP_MEASURE_ID_OVERRIDE",$C164,"DEEP_BROKER_ID_OVERRIDE",O$24,"DEEP_PERIOD_OVERRIDE",$H$19)*1,"")))</f>
        <v/>
      </c>
      <c r="P164" t="str">
        <f>IF(OR(P$23="",ISNA($B164)),"",IF(ISBLANK($B164),"",IFERROR(_xll.BDP(TICKER,"DEEP_MEASURE_PERIOD_BROKER_VALUE","DEEP_MEASURE_ID_OVERRIDE",$C164,"DEEP_BROKER_ID_OVERRIDE",P$24,"DEEP_PERIOD_OVERRIDE",$H$19)*1,"")))</f>
        <v/>
      </c>
      <c r="Q164" t="str">
        <f>IF(OR(Q$23="",ISNA($B164)),"",IF(ISBLANK($B164),"",IFERROR(_xll.BDP(TICKER,"DEEP_MEASURE_PERIOD_BROKER_VALUE","DEEP_MEASURE_ID_OVERRIDE",$C164,"DEEP_BROKER_ID_OVERRIDE",Q$24,"DEEP_PERIOD_OVERRIDE",$H$19)*1,"")))</f>
        <v/>
      </c>
      <c r="R164" t="str">
        <f>IF(OR(R$23="",ISNA($B164)),"",IF(ISBLANK($B164),"",IFERROR(_xll.BDP(TICKER,"DEEP_MEASURE_PERIOD_BROKER_VALUE","DEEP_MEASURE_ID_OVERRIDE",$C164,"DEEP_BROKER_ID_OVERRIDE",R$24,"DEEP_PERIOD_OVERRIDE",$H$19)*1,"")))</f>
        <v/>
      </c>
      <c r="S164" t="str">
        <f>IF(OR(S$23="",ISNA($B164)),"",IF(ISBLANK($B164),"",IFERROR(_xll.BDP(TICKER,"DEEP_MEASURE_PERIOD_BROKER_VALUE","DEEP_MEASURE_ID_OVERRIDE",$C164,"DEEP_BROKER_ID_OVERRIDE",S$24,"DEEP_PERIOD_OVERRIDE",$H$19)*1,"")))</f>
        <v/>
      </c>
      <c r="T164" t="str">
        <f>IF(OR(T$23="",ISNA($B164)),"",IF(ISBLANK($B164),"",IFERROR(_xll.BDP(TICKER,"DEEP_MEASURE_PERIOD_BROKER_VALUE","DEEP_MEASURE_ID_OVERRIDE",$C164,"DEEP_BROKER_ID_OVERRIDE",T$24,"DEEP_PERIOD_OVERRIDE",$H$19)*1,"")))</f>
        <v/>
      </c>
      <c r="U164" t="str">
        <f>IF(OR(U$23="",ISNA($B164)),"",IF(ISBLANK($B164),"",IFERROR(_xll.BDP(TICKER,"DEEP_MEASURE_PERIOD_BROKER_VALUE","DEEP_MEASURE_ID_OVERRIDE",$C164,"DEEP_BROKER_ID_OVERRIDE",U$24,"DEEP_PERIOD_OVERRIDE",$H$19)*1,"")))</f>
        <v/>
      </c>
      <c r="V164" t="str">
        <f>IF(OR(V$23="",ISNA($B164)),"",IF(ISBLANK($B164),"",IFERROR(_xll.BDP(TICKER,"DEEP_MEASURE_PERIOD_BROKER_VALUE","DEEP_MEASURE_ID_OVERRIDE",$C164,"DEEP_BROKER_ID_OVERRIDE",V$24,"DEEP_PERIOD_OVERRIDE",$H$19)*1,"")))</f>
        <v/>
      </c>
      <c r="W164" t="str">
        <f>IF(OR(W$23="",ISNA($B164)),"",IF(ISBLANK($B164),"",IFERROR(_xll.BDP(TICKER,"DEEP_MEASURE_PERIOD_BROKER_VALUE","DEEP_MEASURE_ID_OVERRIDE",$C164,"DEEP_BROKER_ID_OVERRIDE",W$24,"DEEP_PERIOD_OVERRIDE",$H$19)*1,"")))</f>
        <v/>
      </c>
      <c r="X164" t="str">
        <f>IF(OR(X$23="",ISNA($B164)),"",IF(ISBLANK($B164),"",IFERROR(_xll.BDP(TICKER,"DEEP_MEASURE_PERIOD_BROKER_VALUE","DEEP_MEASURE_ID_OVERRIDE",$C164,"DEEP_BROKER_ID_OVERRIDE",X$24,"DEEP_PERIOD_OVERRIDE",$H$19)*1,"")))</f>
        <v/>
      </c>
      <c r="Y164" t="str">
        <f>IF(OR(Y$23="",ISNA($B164)),"",IF(ISBLANK($B164),"",IFERROR(_xll.BDP(TICKER,"DEEP_MEASURE_PERIOD_BROKER_VALUE","DEEP_MEASURE_ID_OVERRIDE",$C164,"DEEP_BROKER_ID_OVERRIDE",Y$24,"DEEP_PERIOD_OVERRIDE",$H$19)*1,"")))</f>
        <v/>
      </c>
      <c r="Z164" t="str">
        <f>IF(OR(Z$23="",ISNA($B164)),"",IF(ISBLANK($B164),"",IFERROR(_xll.BDP(TICKER,"DEEP_MEASURE_PERIOD_BROKER_VALUE","DEEP_MEASURE_ID_OVERRIDE",$C164,"DEEP_BROKER_ID_OVERRIDE",Z$24,"DEEP_PERIOD_OVERRIDE",$H$19)*1,"")))</f>
        <v/>
      </c>
      <c r="AA164" t="str">
        <f>IF(OR(AA$23="",ISNA($B164)),"",IF(ISBLANK($B164),"",IFERROR(_xll.BDP(TICKER,"DEEP_MEASURE_PERIOD_BROKER_VALUE","DEEP_MEASURE_ID_OVERRIDE",$C164,"DEEP_BROKER_ID_OVERRIDE",AA$24,"DEEP_PERIOD_OVERRIDE",$H$19)*1,"")))</f>
        <v/>
      </c>
      <c r="AB164" t="str">
        <f>IF(OR(AB$23="",ISNA($B164)),"",IF(ISBLANK($B164),"",IFERROR(_xll.BDP(TICKER,"DEEP_MEASURE_PERIOD_BROKER_VALUE","DEEP_MEASURE_ID_OVERRIDE",$C164,"DEEP_BROKER_ID_OVERRIDE",AB$24,"DEEP_PERIOD_OVERRIDE",$H$19)*1,"")))</f>
        <v/>
      </c>
      <c r="AC164" t="str">
        <f>IF(OR(AC$23="",ISNA($B164)),"",IF(ISBLANK($B164),"",IFERROR(_xll.BDP(TICKER,"DEEP_MEASURE_PERIOD_BROKER_VALUE","DEEP_MEASURE_ID_OVERRIDE",$C164,"DEEP_BROKER_ID_OVERRIDE",AC$24,"DEEP_PERIOD_OVERRIDE",$H$19)*1,"")))</f>
        <v/>
      </c>
      <c r="AD164" t="str">
        <f>IF(OR(AD$23="",ISNA($B164)),"",IF(ISBLANK($B164),"",IFERROR(_xll.BDP(TICKER,"DEEP_MEASURE_PERIOD_BROKER_VALUE","DEEP_MEASURE_ID_OVERRIDE",$C164,"DEEP_BROKER_ID_OVERRIDE",AD$24,"DEEP_PERIOD_OVERRIDE",$H$19)*1,"")))</f>
        <v/>
      </c>
      <c r="AE164" t="str">
        <f>IF(OR(AE$23="",ISNA($B164)),"",IF(ISBLANK($B164),"",IFERROR(_xll.BDP(TICKER,"DEEP_MEASURE_PERIOD_BROKER_VALUE","DEEP_MEASURE_ID_OVERRIDE",$C164,"DEEP_BROKER_ID_OVERRIDE",AE$24,"DEEP_PERIOD_OVERRIDE",$H$19)*1,"")))</f>
        <v/>
      </c>
      <c r="AF164" t="str">
        <f>IF(OR(AF$23="",ISNA($B164)),"",IF(ISBLANK($B164),"",IFERROR(_xll.BDP(TICKER,"DEEP_MEASURE_PERIOD_BROKER_VALUE","DEEP_MEASURE_ID_OVERRIDE",$C164,"DEEP_BROKER_ID_OVERRIDE",AF$24,"DEEP_PERIOD_OVERRIDE",$H$19)*1,"")))</f>
        <v/>
      </c>
      <c r="AG164" t="str">
        <f>IF(OR(AG$23="",ISNA($B164)),"",IF(ISBLANK($B164),"",IFERROR(_xll.BDP(TICKER,"DEEP_MEASURE_PERIOD_BROKER_VALUE","DEEP_MEASURE_ID_OVERRIDE",$C164,"DEEP_BROKER_ID_OVERRIDE",AG$24,"DEEP_PERIOD_OVERRIDE",$H$19)*1,"")))</f>
        <v/>
      </c>
      <c r="AH164" t="str">
        <f>IF(OR(AH$23="",ISNA($B164)),"",IF(ISBLANK($B164),"",IFERROR(_xll.BDP(TICKER,"DEEP_MEASURE_PERIOD_BROKER_VALUE","DEEP_MEASURE_ID_OVERRIDE",$C164,"DEEP_BROKER_ID_OVERRIDE",AH$24,"DEEP_PERIOD_OVERRIDE",$H$19)*1,"")))</f>
        <v/>
      </c>
      <c r="AI164" t="str">
        <f>IF(OR(AI$23="",ISNA($B164)),"",IF(ISBLANK($B164),"",IFERROR(_xll.BDP(TICKER,"DEEP_MEASURE_PERIOD_BROKER_VALUE","DEEP_MEASURE_ID_OVERRIDE",$C164,"DEEP_BROKER_ID_OVERRIDE",AI$24,"DEEP_PERIOD_OVERRIDE",$H$19)*1,"")))</f>
        <v/>
      </c>
      <c r="AJ164" t="str">
        <f>IF(OR(AJ$23="",ISNA($B164)),"",IF(ISBLANK($B164),"",IFERROR(_xll.BDP(TICKER,"DEEP_MEASURE_PERIOD_BROKER_VALUE","DEEP_MEASURE_ID_OVERRIDE",$C164,"DEEP_BROKER_ID_OVERRIDE",AJ$24,"DEEP_PERIOD_OVERRIDE",$H$19)*1,"")))</f>
        <v/>
      </c>
      <c r="AK164" t="str">
        <f>IF(OR(AK$23="",ISNA($B164)),"",IF(ISBLANK($B164),"",IFERROR(_xll.BDP(TICKER,"DEEP_MEASURE_PERIOD_BROKER_VALUE","DEEP_MEASURE_ID_OVERRIDE",$C164,"DEEP_BROKER_ID_OVERRIDE",AK$24,"DEEP_PERIOD_OVERRIDE",$H$19)*1,"")))</f>
        <v/>
      </c>
      <c r="AL164" t="str">
        <f>IF(OR(AL$23="",ISNA($B164)),"",IF(ISBLANK($B164),"",IFERROR(_xll.BDP(TICKER,"DEEP_MEASURE_PERIOD_BROKER_VALUE","DEEP_MEASURE_ID_OVERRIDE",$C164,"DEEP_BROKER_ID_OVERRIDE",AL$24,"DEEP_PERIOD_OVERRIDE",$H$19)*1,"")))</f>
        <v/>
      </c>
      <c r="AM164" t="str">
        <f>IF(OR(AM$23="",ISNA($B164)),"",IF(ISBLANK($B164),"",IFERROR(_xll.BDP(TICKER,"DEEP_MEASURE_PERIOD_BROKER_VALUE","DEEP_MEASURE_ID_OVERRIDE",$C164,"DEEP_BROKER_ID_OVERRIDE",AM$24,"DEEP_PERIOD_OVERRIDE",$H$19)*1,"")))</f>
        <v/>
      </c>
      <c r="AN164" t="str">
        <f>IF(OR(AN$23="",ISNA($B164)),"",IF(ISBLANK($B164),"",IFERROR(_xll.BDP(TICKER,"DEEP_MEASURE_PERIOD_BROKER_VALUE","DEEP_MEASURE_ID_OVERRIDE",$C164,"DEEP_BROKER_ID_OVERRIDE",AN$24,"DEEP_PERIOD_OVERRIDE",$H$19)*1,"")))</f>
        <v/>
      </c>
      <c r="AO164" t="str">
        <f>IF(OR(AO$23="",ISNA($B164)),"",IF(ISBLANK($B164),"",IFERROR(_xll.BDP(TICKER,"DEEP_MEASURE_PERIOD_BROKER_VALUE","DEEP_MEASURE_ID_OVERRIDE",$C164,"DEEP_BROKER_ID_OVERRIDE",AO$24,"DEEP_PERIOD_OVERRIDE",$H$19)*1,"")))</f>
        <v/>
      </c>
      <c r="AP164" t="str">
        <f>IF(OR(AP$23="",ISNA($B164)),"",IF(ISBLANK($B164),"",IFERROR(_xll.BDP(TICKER,"DEEP_MEASURE_PERIOD_BROKER_VALUE","DEEP_MEASURE_ID_OVERRIDE",$C164,"DEEP_BROKER_ID_OVERRIDE",AP$24,"DEEP_PERIOD_OVERRIDE",$H$19)*1,"")))</f>
        <v/>
      </c>
      <c r="AQ164" t="str">
        <f>IF(OR(AQ$23="",ISNA($B164)),"",IF(ISBLANK($B164),"",IFERROR(_xll.BDP(TICKER,"DEEP_MEASURE_PERIOD_BROKER_VALUE","DEEP_MEASURE_ID_OVERRIDE",$C164,"DEEP_BROKER_ID_OVERRIDE",AQ$24,"DEEP_PERIOD_OVERRIDE",$H$19)*1,"")))</f>
        <v/>
      </c>
      <c r="AR164" t="str">
        <f>IF(OR(AR$23="",ISNA($B164)),"",IF(ISBLANK($B164),"",IFERROR(_xll.BDP(TICKER,"DEEP_MEASURE_PERIOD_BROKER_VALUE","DEEP_MEASURE_ID_OVERRIDE",$C164,"DEEP_BROKER_ID_OVERRIDE",AR$24,"DEEP_PERIOD_OVERRIDE",$H$19)*1,"")))</f>
        <v/>
      </c>
      <c r="AS164" t="str">
        <f>IF(OR(AS$23="",ISNA($B164)),"",IF(ISBLANK($B164),"",IFERROR(_xll.BDP(TICKER,"DEEP_MEASURE_PERIOD_BROKER_VALUE","DEEP_MEASURE_ID_OVERRIDE",$C164,"DEEP_BROKER_ID_OVERRIDE",AS$24,"DEEP_PERIOD_OVERRIDE",$H$19)*1,"")))</f>
        <v/>
      </c>
      <c r="AT164" t="str">
        <f>IF(OR(AT$23="",ISNA($B164)),"",IF(ISBLANK($B164),"",IFERROR(_xll.BDP(TICKER,"DEEP_MEASURE_PERIOD_BROKER_VALUE","DEEP_MEASURE_ID_OVERRIDE",$C164,"DEEP_BROKER_ID_OVERRIDE",AT$24,"DEEP_PERIOD_OVERRIDE",$H$19)*1,"")))</f>
        <v/>
      </c>
      <c r="AU164" t="str">
        <f>IF(OR(AU$23="",ISNA($B164)),"",IF(ISBLANK($B164),"",IFERROR(_xll.BDP(TICKER,"DEEP_MEASURE_PERIOD_BROKER_VALUE","DEEP_MEASURE_ID_OVERRIDE",$C164,"DEEP_BROKER_ID_OVERRIDE",AU$24,"DEEP_PERIOD_OVERRIDE",$H$19)*1,"")))</f>
        <v/>
      </c>
      <c r="AV164" t="str">
        <f>IF(OR(AV$23="",ISNA($B164)),"",IF(ISBLANK($B164),"",IFERROR(_xll.BDP(TICKER,"DEEP_MEASURE_PERIOD_BROKER_VALUE","DEEP_MEASURE_ID_OVERRIDE",$C164,"DEEP_BROKER_ID_OVERRIDE",AV$24,"DEEP_PERIOD_OVERRIDE",$H$19)*1,"")))</f>
        <v/>
      </c>
      <c r="AW164" t="str">
        <f>IF(OR(AW$23="",ISNA($B164)),"",IF(ISBLANK($B164),"",IFERROR(_xll.BDP(TICKER,"DEEP_MEASURE_PERIOD_BROKER_VALUE","DEEP_MEASURE_ID_OVERRIDE",$C164,"DEEP_BROKER_ID_OVERRIDE",AW$24,"DEEP_PERIOD_OVERRIDE",$H$19)*1,"")))</f>
        <v/>
      </c>
      <c r="AX164" t="str">
        <f>IF(OR(AX$23="",ISNA($B164)),"",IF(ISBLANK($B164),"",IFERROR(_xll.BDP(TICKER,"DEEP_MEASURE_PERIOD_BROKER_VALUE","DEEP_MEASURE_ID_OVERRIDE",$C164,"DEEP_BROKER_ID_OVERRIDE",AX$24,"DEEP_PERIOD_OVERRIDE",$H$19)*1,"")))</f>
        <v/>
      </c>
      <c r="AY164" t="str">
        <f>IF(OR(AY$23="",ISNA($B164)),"",IF(ISBLANK($B164),"",IFERROR(_xll.BDP(TICKER,"DEEP_MEASURE_PERIOD_BROKER_VALUE","DEEP_MEASURE_ID_OVERRIDE",$C164,"DEEP_BROKER_ID_OVERRIDE",AY$24,"DEEP_PERIOD_OVERRIDE",$H$19)*1,"")))</f>
        <v/>
      </c>
      <c r="AZ164" t="str">
        <f>IF(OR(AZ$23="",ISNA($B164)),"",IF(ISBLANK($B164),"",IFERROR(_xll.BDP(TICKER,"DEEP_MEASURE_PERIOD_BROKER_VALUE","DEEP_MEASURE_ID_OVERRIDE",$C164,"DEEP_BROKER_ID_OVERRIDE",AZ$24,"DEEP_PERIOD_OVERRIDE",$H$19)*1,"")))</f>
        <v/>
      </c>
      <c r="BA164" t="str">
        <f>IF(OR(BA$23="",ISNA($B164)),"",IF(ISBLANK($B164),"",IFERROR(_xll.BDP(TICKER,"DEEP_MEASURE_PERIOD_BROKER_VALUE","DEEP_MEASURE_ID_OVERRIDE",$C164,"DEEP_BROKER_ID_OVERRIDE",BA$24,"DEEP_PERIOD_OVERRIDE",$H$19)*1,"")))</f>
        <v/>
      </c>
      <c r="BB164" t="str">
        <f>IF(OR(BB$23="",ISNA($B164)),"",IF(ISBLANK($B164),"",IFERROR(_xll.BDP(TICKER,"DEEP_MEASURE_PERIOD_BROKER_VALUE","DEEP_MEASURE_ID_OVERRIDE",$C164,"DEEP_BROKER_ID_OVERRIDE",BB$24,"DEEP_PERIOD_OVERRIDE",$H$19)*1,"")))</f>
        <v/>
      </c>
      <c r="BC164" t="str">
        <f>IF(OR(BC$23="",ISNA($B164)),"",IF(ISBLANK($B164),"",IFERROR(_xll.BDP(TICKER,"DEEP_MEASURE_PERIOD_BROKER_VALUE","DEEP_MEASURE_ID_OVERRIDE",$C164,"DEEP_BROKER_ID_OVERRIDE",BC$24,"DEEP_PERIOD_OVERRIDE",$H$19)*1,"")))</f>
        <v/>
      </c>
      <c r="BD164" t="str">
        <f>IF(OR(BD$23="",ISNA($B164)),"",IF(ISBLANK($B164),"",IFERROR(_xll.BDP(TICKER,"DEEP_MEASURE_PERIOD_BROKER_VALUE","DEEP_MEASURE_ID_OVERRIDE",$C164,"DEEP_BROKER_ID_OVERRIDE",BD$24,"DEEP_PERIOD_OVERRIDE",$H$19)*1,"")))</f>
        <v/>
      </c>
      <c r="BE164" t="str">
        <f>IF(OR(BE$23="",ISNA($B164)),"",IF(ISBLANK($B164),"",IFERROR(_xll.BDP(TICKER,"DEEP_MEASURE_PERIOD_BROKER_VALUE","DEEP_MEASURE_ID_OVERRIDE",$C164,"DEEP_BROKER_ID_OVERRIDE",BE$24,"DEEP_PERIOD_OVERRIDE",$H$19)*1,"")))</f>
        <v/>
      </c>
      <c r="BF164" t="str">
        <f>IF(OR(BF$23="",ISNA($B164)),"",IF(ISBLANK($B164),"",IFERROR(_xll.BDP(TICKER,"DEEP_MEASURE_PERIOD_BROKER_VALUE","DEEP_MEASURE_ID_OVERRIDE",$C164,"DEEP_BROKER_ID_OVERRIDE",BF$24,"DEEP_PERIOD_OVERRIDE",$H$19)*1,"")))</f>
        <v/>
      </c>
      <c r="BG164" t="str">
        <f>IF(OR(BG$23="",ISNA($B164)),"",IF(ISBLANK($B164),"",IFERROR(_xll.BDP(TICKER,"DEEP_MEASURE_PERIOD_BROKER_VALUE","DEEP_MEASURE_ID_OVERRIDE",$C164,"DEEP_BROKER_ID_OVERRIDE",BG$24,"DEEP_PERIOD_OVERRIDE",$H$19)*1,"")))</f>
        <v/>
      </c>
      <c r="BH164" t="str">
        <f>IF(OR(BH$23="",ISNA($B164)),"",IF(ISBLANK($B164),"",IFERROR(_xll.BDP(TICKER,"DEEP_MEASURE_PERIOD_BROKER_VALUE","DEEP_MEASURE_ID_OVERRIDE",$C164,"DEEP_BROKER_ID_OVERRIDE",BH$24,"DEEP_PERIOD_OVERRIDE",$H$19)*1,"")))</f>
        <v/>
      </c>
      <c r="BI164" t="str">
        <f>IF(OR(BI$23="",ISNA($B164)),"",IF(ISBLANK($B164),"",IFERROR(_xll.BDP(TICKER,"DEEP_MEASURE_PERIOD_BROKER_VALUE","DEEP_MEASURE_ID_OVERRIDE",$C164,"DEEP_BROKER_ID_OVERRIDE",BI$24,"DEEP_PERIOD_OVERRIDE",$H$19)*1,"")))</f>
        <v/>
      </c>
      <c r="BJ164" t="str">
        <f>IF(OR(BJ$23="",ISNA($B164)),"",IF(ISBLANK($B164),"",IFERROR(_xll.BDP(TICKER,"DEEP_MEASURE_PERIOD_BROKER_VALUE","DEEP_MEASURE_ID_OVERRIDE",$C164,"DEEP_BROKER_ID_OVERRIDE",BJ$24,"DEEP_PERIOD_OVERRIDE",$H$19)*1,"")))</f>
        <v/>
      </c>
      <c r="BK164" t="str">
        <f>IF(OR(BK$23="",ISNA($B164)),"",IF(ISBLANK($B164),"",IFERROR(_xll.BDP(TICKER,"DEEP_MEASURE_PERIOD_BROKER_VALUE","DEEP_MEASURE_ID_OVERRIDE",$C164,"DEEP_BROKER_ID_OVERRIDE",BK$24,"DEEP_PERIOD_OVERRIDE",$H$19)*1,"")))</f>
        <v/>
      </c>
      <c r="BL164" t="str">
        <f>IF(OR(BL$23="",ISNA($B164)),"",IF(ISBLANK($B164),"",IFERROR(_xll.BDP(TICKER,"DEEP_MEASURE_PERIOD_BROKER_VALUE","DEEP_MEASURE_ID_OVERRIDE",$C164,"DEEP_BROKER_ID_OVERRIDE",BL$24,"DEEP_PERIOD_OVERRIDE",$H$19)*1,"")))</f>
        <v/>
      </c>
      <c r="BM164" t="str">
        <f>IF(OR(BM$23="",ISNA($B164)),"",IF(ISBLANK($B164),"",IFERROR(_xll.BDP(TICKER,"DEEP_MEASURE_PERIOD_BROKER_VALUE","DEEP_MEASURE_ID_OVERRIDE",$C164,"DEEP_BROKER_ID_OVERRIDE",BM$24,"DEEP_PERIOD_OVERRIDE",$H$19)*1,"")))</f>
        <v/>
      </c>
      <c r="BN164" t="str">
        <f>IF(OR(BN$23="",ISNA($B164)),"",IF(ISBLANK($B164),"",IFERROR(_xll.BDP(TICKER,"DEEP_MEASURE_PERIOD_BROKER_VALUE","DEEP_MEASURE_ID_OVERRIDE",$C164,"DEEP_BROKER_ID_OVERRIDE",BN$24,"DEEP_PERIOD_OVERRIDE",$H$19)*1,"")))</f>
        <v/>
      </c>
      <c r="BO164" t="str">
        <f>IF(OR(BO$23="",ISNA($B164)),"",IF(ISBLANK($B164),"",IFERROR(_xll.BDP(TICKER,"DEEP_MEASURE_PERIOD_BROKER_VALUE","DEEP_MEASURE_ID_OVERRIDE",$C164,"DEEP_BROKER_ID_OVERRIDE",BO$24,"DEEP_PERIOD_OVERRIDE",$H$19)*1,"")))</f>
        <v/>
      </c>
      <c r="BP164" t="str">
        <f>IF(OR(BP$23="",ISNA($B164)),"",IF(ISBLANK($B164),"",IFERROR(_xll.BDP(TICKER,"DEEP_MEASURE_PERIOD_BROKER_VALUE","DEEP_MEASURE_ID_OVERRIDE",$C164,"DEEP_BROKER_ID_OVERRIDE",BP$24,"DEEP_PERIOD_OVERRIDE",$H$19)*1,"")))</f>
        <v/>
      </c>
      <c r="BQ164" t="str">
        <f>IF(OR(BQ$23="",ISNA($B164)),"",IF(ISBLANK($B164),"",IFERROR(_xll.BDP(TICKER,"DEEP_MEASURE_PERIOD_BROKER_VALUE","DEEP_MEASURE_ID_OVERRIDE",$C164,"DEEP_BROKER_ID_OVERRIDE",BQ$24,"DEEP_PERIOD_OVERRIDE",$H$19)*1,"")))</f>
        <v/>
      </c>
      <c r="BR164" t="str">
        <f>IF(OR(BR$23="",ISNA($B164)),"",IF(ISBLANK($B164),"",IFERROR(_xll.BDP(TICKER,"DEEP_MEASURE_PERIOD_BROKER_VALUE","DEEP_MEASURE_ID_OVERRIDE",$C164,"DEEP_BROKER_ID_OVERRIDE",BR$24,"DEEP_PERIOD_OVERRIDE",$H$19)*1,"")))</f>
        <v/>
      </c>
      <c r="BS164" t="str">
        <f>IF(OR(BS$23="",ISNA($B164)),"",IF(ISBLANK($B164),"",IFERROR(_xll.BDP(TICKER,"DEEP_MEASURE_PERIOD_BROKER_VALUE","DEEP_MEASURE_ID_OVERRIDE",$C164,"DEEP_BROKER_ID_OVERRIDE",BS$24,"DEEP_PERIOD_OVERRIDE",$H$19)*1,"")))</f>
        <v/>
      </c>
      <c r="BT164" t="str">
        <f>IF(OR(BT$23="",ISNA($B164)),"",IF(ISBLANK($B164),"",IFERROR(_xll.BDP(TICKER,"DEEP_MEASURE_PERIOD_BROKER_VALUE","DEEP_MEASURE_ID_OVERRIDE",$C164,"DEEP_BROKER_ID_OVERRIDE",BT$24,"DEEP_PERIOD_OVERRIDE",$H$19)*1,"")))</f>
        <v/>
      </c>
      <c r="BU164" t="str">
        <f>IF(OR(BU$23="",ISNA($B164)),"",IF(ISBLANK($B164),"",IFERROR(_xll.BDP(TICKER,"DEEP_MEASURE_PERIOD_BROKER_VALUE","DEEP_MEASURE_ID_OVERRIDE",$C164,"DEEP_BROKER_ID_OVERRIDE",BU$24,"DEEP_PERIOD_OVERRIDE",$H$19)*1,"")))</f>
        <v/>
      </c>
      <c r="BV164" t="str">
        <f>IF(OR(BV$23="",ISNA($B164)),"",IF(ISBLANK($B164),"",IFERROR(_xll.BDP(TICKER,"DEEP_MEASURE_PERIOD_BROKER_VALUE","DEEP_MEASURE_ID_OVERRIDE",$C164,"DEEP_BROKER_ID_OVERRIDE",BV$24,"DEEP_PERIOD_OVERRIDE",$H$19)*1,"")))</f>
        <v/>
      </c>
      <c r="BW164" t="str">
        <f>IF(OR(BW$23="",ISNA($B164)),"",IF(ISBLANK($B164),"",IFERROR(_xll.BDP(TICKER,"DEEP_MEASURE_PERIOD_BROKER_VALUE","DEEP_MEASURE_ID_OVERRIDE",$C164,"DEEP_BROKER_ID_OVERRIDE",BW$24,"DEEP_PERIOD_OVERRIDE",$H$19)*1,"")))</f>
        <v/>
      </c>
      <c r="BX164" t="str">
        <f>IF(OR(BX$23="",ISNA($B164)),"",IF(ISBLANK($B164),"",IFERROR(_xll.BDP(TICKER,"DEEP_MEASURE_PERIOD_BROKER_VALUE","DEEP_MEASURE_ID_OVERRIDE",$C164,"DEEP_BROKER_ID_OVERRIDE",BX$24,"DEEP_PERIOD_OVERRIDE",$H$19)*1,"")))</f>
        <v/>
      </c>
      <c r="BY164" t="str">
        <f>IF(OR(BY$23="",ISNA($B164)),"",IF(ISBLANK($B164),"",IFERROR(_xll.BDP(TICKER,"DEEP_MEASURE_PERIOD_BROKER_VALUE","DEEP_MEASURE_ID_OVERRIDE",$C164,"DEEP_BROKER_ID_OVERRIDE",BY$24,"DEEP_PERIOD_OVERRIDE",$H$19)*1,"")))</f>
        <v/>
      </c>
      <c r="BZ164" t="str">
        <f>IF(OR(BZ$23="",ISNA($B164)),"",IF(ISBLANK($B164),"",IFERROR(_xll.BDP(TICKER,"DEEP_MEASURE_PERIOD_BROKER_VALUE","DEEP_MEASURE_ID_OVERRIDE",$C164,"DEEP_BROKER_ID_OVERRIDE",BZ$24,"DEEP_PERIOD_OVERRIDE",$H$19)*1,"")))</f>
        <v/>
      </c>
    </row>
    <row r="165" spans="2:78" x14ac:dyDescent="0.25">
      <c r="B165" t="s">
        <v>50</v>
      </c>
      <c r="C165">
        <v>469</v>
      </c>
      <c r="H165" t="str">
        <f t="shared" si="3"/>
        <v>Assets &gt; Current Assets &gt; Short-Term Investment</v>
      </c>
      <c r="I165" t="str">
        <f>IF(OR(I$23="",ISNA($B165)),"",IF(ISBLANK($B165),"",IFERROR(_xll.BDP(TICKER,"DEEP_MEASURE_PERIOD_BROKER_VALUE","DEEP_MEASURE_ID_OVERRIDE",$C165,"DEEP_PERIOD_OVERRIDE",$H$19)*1,"")))</f>
        <v/>
      </c>
      <c r="J165" t="e">
        <f>IF(OR(J$23="",ISNA($B165)),"",IF(ISBLANK($B165),"",IFERROR(_xll.BDP(TICKER,"DEEP_MEASURE_PERIOD_BROKER_VALUE","DEEP_MEASURE_ID_OVERRIDE",$C165,"DEEP_BROKER_ID_OVERRIDE",J$24,"DEEP_PERIOD_OVERRIDE",$H$19)*1,"")))</f>
        <v>#REF!</v>
      </c>
      <c r="K165" t="str">
        <f>IF(OR(K$23="",ISNA($B165)),"",IF(ISBLANK($B165),"",IFERROR(_xll.BDP(TICKER,"DEEP_MEASURE_PERIOD_BROKER_VALUE","DEEP_MEASURE_ID_OVERRIDE",$C165,"DEEP_BROKER_ID_OVERRIDE",K$24,"DEEP_PERIOD_OVERRIDE",$H$19)*1,"")))</f>
        <v/>
      </c>
      <c r="L165" t="str">
        <f>IF(OR(L$23="",ISNA($B165)),"",IF(ISBLANK($B165),"",IFERROR(_xll.BDP(TICKER,"DEEP_MEASURE_PERIOD_BROKER_VALUE","DEEP_MEASURE_ID_OVERRIDE",$C165,"DEEP_BROKER_ID_OVERRIDE",L$24,"DEEP_PERIOD_OVERRIDE",$H$19)*1,"")))</f>
        <v/>
      </c>
      <c r="M165" t="str">
        <f>IF(OR(M$23="",ISNA($B165)),"",IF(ISBLANK($B165),"",IFERROR(_xll.BDP(TICKER,"DEEP_MEASURE_PERIOD_BROKER_VALUE","DEEP_MEASURE_ID_OVERRIDE",$C165,"DEEP_BROKER_ID_OVERRIDE",M$24,"DEEP_PERIOD_OVERRIDE",$H$19)*1,"")))</f>
        <v/>
      </c>
      <c r="N165" t="str">
        <f>IF(OR(N$23="",ISNA($B165)),"",IF(ISBLANK($B165),"",IFERROR(_xll.BDP(TICKER,"DEEP_MEASURE_PERIOD_BROKER_VALUE","DEEP_MEASURE_ID_OVERRIDE",$C165,"DEEP_BROKER_ID_OVERRIDE",N$24,"DEEP_PERIOD_OVERRIDE",$H$19)*1,"")))</f>
        <v/>
      </c>
      <c r="O165" t="str">
        <f>IF(OR(O$23="",ISNA($B165)),"",IF(ISBLANK($B165),"",IFERROR(_xll.BDP(TICKER,"DEEP_MEASURE_PERIOD_BROKER_VALUE","DEEP_MEASURE_ID_OVERRIDE",$C165,"DEEP_BROKER_ID_OVERRIDE",O$24,"DEEP_PERIOD_OVERRIDE",$H$19)*1,"")))</f>
        <v/>
      </c>
      <c r="P165" t="str">
        <f>IF(OR(P$23="",ISNA($B165)),"",IF(ISBLANK($B165),"",IFERROR(_xll.BDP(TICKER,"DEEP_MEASURE_PERIOD_BROKER_VALUE","DEEP_MEASURE_ID_OVERRIDE",$C165,"DEEP_BROKER_ID_OVERRIDE",P$24,"DEEP_PERIOD_OVERRIDE",$H$19)*1,"")))</f>
        <v/>
      </c>
      <c r="Q165" t="str">
        <f>IF(OR(Q$23="",ISNA($B165)),"",IF(ISBLANK($B165),"",IFERROR(_xll.BDP(TICKER,"DEEP_MEASURE_PERIOD_BROKER_VALUE","DEEP_MEASURE_ID_OVERRIDE",$C165,"DEEP_BROKER_ID_OVERRIDE",Q$24,"DEEP_PERIOD_OVERRIDE",$H$19)*1,"")))</f>
        <v/>
      </c>
      <c r="R165" t="str">
        <f>IF(OR(R$23="",ISNA($B165)),"",IF(ISBLANK($B165),"",IFERROR(_xll.BDP(TICKER,"DEEP_MEASURE_PERIOD_BROKER_VALUE","DEEP_MEASURE_ID_OVERRIDE",$C165,"DEEP_BROKER_ID_OVERRIDE",R$24,"DEEP_PERIOD_OVERRIDE",$H$19)*1,"")))</f>
        <v/>
      </c>
      <c r="S165" t="str">
        <f>IF(OR(S$23="",ISNA($B165)),"",IF(ISBLANK($B165),"",IFERROR(_xll.BDP(TICKER,"DEEP_MEASURE_PERIOD_BROKER_VALUE","DEEP_MEASURE_ID_OVERRIDE",$C165,"DEEP_BROKER_ID_OVERRIDE",S$24,"DEEP_PERIOD_OVERRIDE",$H$19)*1,"")))</f>
        <v/>
      </c>
      <c r="T165" t="str">
        <f>IF(OR(T$23="",ISNA($B165)),"",IF(ISBLANK($B165),"",IFERROR(_xll.BDP(TICKER,"DEEP_MEASURE_PERIOD_BROKER_VALUE","DEEP_MEASURE_ID_OVERRIDE",$C165,"DEEP_BROKER_ID_OVERRIDE",T$24,"DEEP_PERIOD_OVERRIDE",$H$19)*1,"")))</f>
        <v/>
      </c>
      <c r="U165" t="str">
        <f>IF(OR(U$23="",ISNA($B165)),"",IF(ISBLANK($B165),"",IFERROR(_xll.BDP(TICKER,"DEEP_MEASURE_PERIOD_BROKER_VALUE","DEEP_MEASURE_ID_OVERRIDE",$C165,"DEEP_BROKER_ID_OVERRIDE",U$24,"DEEP_PERIOD_OVERRIDE",$H$19)*1,"")))</f>
        <v/>
      </c>
      <c r="V165" t="str">
        <f>IF(OR(V$23="",ISNA($B165)),"",IF(ISBLANK($B165),"",IFERROR(_xll.BDP(TICKER,"DEEP_MEASURE_PERIOD_BROKER_VALUE","DEEP_MEASURE_ID_OVERRIDE",$C165,"DEEP_BROKER_ID_OVERRIDE",V$24,"DEEP_PERIOD_OVERRIDE",$H$19)*1,"")))</f>
        <v/>
      </c>
      <c r="W165" t="str">
        <f>IF(OR(W$23="",ISNA($B165)),"",IF(ISBLANK($B165),"",IFERROR(_xll.BDP(TICKER,"DEEP_MEASURE_PERIOD_BROKER_VALUE","DEEP_MEASURE_ID_OVERRIDE",$C165,"DEEP_BROKER_ID_OVERRIDE",W$24,"DEEP_PERIOD_OVERRIDE",$H$19)*1,"")))</f>
        <v/>
      </c>
      <c r="X165" t="str">
        <f>IF(OR(X$23="",ISNA($B165)),"",IF(ISBLANK($B165),"",IFERROR(_xll.BDP(TICKER,"DEEP_MEASURE_PERIOD_BROKER_VALUE","DEEP_MEASURE_ID_OVERRIDE",$C165,"DEEP_BROKER_ID_OVERRIDE",X$24,"DEEP_PERIOD_OVERRIDE",$H$19)*1,"")))</f>
        <v/>
      </c>
      <c r="Y165" t="str">
        <f>IF(OR(Y$23="",ISNA($B165)),"",IF(ISBLANK($B165),"",IFERROR(_xll.BDP(TICKER,"DEEP_MEASURE_PERIOD_BROKER_VALUE","DEEP_MEASURE_ID_OVERRIDE",$C165,"DEEP_BROKER_ID_OVERRIDE",Y$24,"DEEP_PERIOD_OVERRIDE",$H$19)*1,"")))</f>
        <v/>
      </c>
      <c r="Z165" t="str">
        <f>IF(OR(Z$23="",ISNA($B165)),"",IF(ISBLANK($B165),"",IFERROR(_xll.BDP(TICKER,"DEEP_MEASURE_PERIOD_BROKER_VALUE","DEEP_MEASURE_ID_OVERRIDE",$C165,"DEEP_BROKER_ID_OVERRIDE",Z$24,"DEEP_PERIOD_OVERRIDE",$H$19)*1,"")))</f>
        <v/>
      </c>
      <c r="AA165" t="str">
        <f>IF(OR(AA$23="",ISNA($B165)),"",IF(ISBLANK($B165),"",IFERROR(_xll.BDP(TICKER,"DEEP_MEASURE_PERIOD_BROKER_VALUE","DEEP_MEASURE_ID_OVERRIDE",$C165,"DEEP_BROKER_ID_OVERRIDE",AA$24,"DEEP_PERIOD_OVERRIDE",$H$19)*1,"")))</f>
        <v/>
      </c>
      <c r="AB165" t="str">
        <f>IF(OR(AB$23="",ISNA($B165)),"",IF(ISBLANK($B165),"",IFERROR(_xll.BDP(TICKER,"DEEP_MEASURE_PERIOD_BROKER_VALUE","DEEP_MEASURE_ID_OVERRIDE",$C165,"DEEP_BROKER_ID_OVERRIDE",AB$24,"DEEP_PERIOD_OVERRIDE",$H$19)*1,"")))</f>
        <v/>
      </c>
      <c r="AC165" t="str">
        <f>IF(OR(AC$23="",ISNA($B165)),"",IF(ISBLANK($B165),"",IFERROR(_xll.BDP(TICKER,"DEEP_MEASURE_PERIOD_BROKER_VALUE","DEEP_MEASURE_ID_OVERRIDE",$C165,"DEEP_BROKER_ID_OVERRIDE",AC$24,"DEEP_PERIOD_OVERRIDE",$H$19)*1,"")))</f>
        <v/>
      </c>
      <c r="AD165" t="str">
        <f>IF(OR(AD$23="",ISNA($B165)),"",IF(ISBLANK($B165),"",IFERROR(_xll.BDP(TICKER,"DEEP_MEASURE_PERIOD_BROKER_VALUE","DEEP_MEASURE_ID_OVERRIDE",$C165,"DEEP_BROKER_ID_OVERRIDE",AD$24,"DEEP_PERIOD_OVERRIDE",$H$19)*1,"")))</f>
        <v/>
      </c>
      <c r="AE165" t="str">
        <f>IF(OR(AE$23="",ISNA($B165)),"",IF(ISBLANK($B165),"",IFERROR(_xll.BDP(TICKER,"DEEP_MEASURE_PERIOD_BROKER_VALUE","DEEP_MEASURE_ID_OVERRIDE",$C165,"DEEP_BROKER_ID_OVERRIDE",AE$24,"DEEP_PERIOD_OVERRIDE",$H$19)*1,"")))</f>
        <v/>
      </c>
      <c r="AF165" t="str">
        <f>IF(OR(AF$23="",ISNA($B165)),"",IF(ISBLANK($B165),"",IFERROR(_xll.BDP(TICKER,"DEEP_MEASURE_PERIOD_BROKER_VALUE","DEEP_MEASURE_ID_OVERRIDE",$C165,"DEEP_BROKER_ID_OVERRIDE",AF$24,"DEEP_PERIOD_OVERRIDE",$H$19)*1,"")))</f>
        <v/>
      </c>
      <c r="AG165" t="str">
        <f>IF(OR(AG$23="",ISNA($B165)),"",IF(ISBLANK($B165),"",IFERROR(_xll.BDP(TICKER,"DEEP_MEASURE_PERIOD_BROKER_VALUE","DEEP_MEASURE_ID_OVERRIDE",$C165,"DEEP_BROKER_ID_OVERRIDE",AG$24,"DEEP_PERIOD_OVERRIDE",$H$19)*1,"")))</f>
        <v/>
      </c>
      <c r="AH165" t="str">
        <f>IF(OR(AH$23="",ISNA($B165)),"",IF(ISBLANK($B165),"",IFERROR(_xll.BDP(TICKER,"DEEP_MEASURE_PERIOD_BROKER_VALUE","DEEP_MEASURE_ID_OVERRIDE",$C165,"DEEP_BROKER_ID_OVERRIDE",AH$24,"DEEP_PERIOD_OVERRIDE",$H$19)*1,"")))</f>
        <v/>
      </c>
      <c r="AI165" t="str">
        <f>IF(OR(AI$23="",ISNA($B165)),"",IF(ISBLANK($B165),"",IFERROR(_xll.BDP(TICKER,"DEEP_MEASURE_PERIOD_BROKER_VALUE","DEEP_MEASURE_ID_OVERRIDE",$C165,"DEEP_BROKER_ID_OVERRIDE",AI$24,"DEEP_PERIOD_OVERRIDE",$H$19)*1,"")))</f>
        <v/>
      </c>
      <c r="AJ165" t="str">
        <f>IF(OR(AJ$23="",ISNA($B165)),"",IF(ISBLANK($B165),"",IFERROR(_xll.BDP(TICKER,"DEEP_MEASURE_PERIOD_BROKER_VALUE","DEEP_MEASURE_ID_OVERRIDE",$C165,"DEEP_BROKER_ID_OVERRIDE",AJ$24,"DEEP_PERIOD_OVERRIDE",$H$19)*1,"")))</f>
        <v/>
      </c>
      <c r="AK165" t="str">
        <f>IF(OR(AK$23="",ISNA($B165)),"",IF(ISBLANK($B165),"",IFERROR(_xll.BDP(TICKER,"DEEP_MEASURE_PERIOD_BROKER_VALUE","DEEP_MEASURE_ID_OVERRIDE",$C165,"DEEP_BROKER_ID_OVERRIDE",AK$24,"DEEP_PERIOD_OVERRIDE",$H$19)*1,"")))</f>
        <v/>
      </c>
      <c r="AL165" t="str">
        <f>IF(OR(AL$23="",ISNA($B165)),"",IF(ISBLANK($B165),"",IFERROR(_xll.BDP(TICKER,"DEEP_MEASURE_PERIOD_BROKER_VALUE","DEEP_MEASURE_ID_OVERRIDE",$C165,"DEEP_BROKER_ID_OVERRIDE",AL$24,"DEEP_PERIOD_OVERRIDE",$H$19)*1,"")))</f>
        <v/>
      </c>
      <c r="AM165" t="str">
        <f>IF(OR(AM$23="",ISNA($B165)),"",IF(ISBLANK($B165),"",IFERROR(_xll.BDP(TICKER,"DEEP_MEASURE_PERIOD_BROKER_VALUE","DEEP_MEASURE_ID_OVERRIDE",$C165,"DEEP_BROKER_ID_OVERRIDE",AM$24,"DEEP_PERIOD_OVERRIDE",$H$19)*1,"")))</f>
        <v/>
      </c>
      <c r="AN165" t="str">
        <f>IF(OR(AN$23="",ISNA($B165)),"",IF(ISBLANK($B165),"",IFERROR(_xll.BDP(TICKER,"DEEP_MEASURE_PERIOD_BROKER_VALUE","DEEP_MEASURE_ID_OVERRIDE",$C165,"DEEP_BROKER_ID_OVERRIDE",AN$24,"DEEP_PERIOD_OVERRIDE",$H$19)*1,"")))</f>
        <v/>
      </c>
      <c r="AO165" t="str">
        <f>IF(OR(AO$23="",ISNA($B165)),"",IF(ISBLANK($B165),"",IFERROR(_xll.BDP(TICKER,"DEEP_MEASURE_PERIOD_BROKER_VALUE","DEEP_MEASURE_ID_OVERRIDE",$C165,"DEEP_BROKER_ID_OVERRIDE",AO$24,"DEEP_PERIOD_OVERRIDE",$H$19)*1,"")))</f>
        <v/>
      </c>
      <c r="AP165" t="str">
        <f>IF(OR(AP$23="",ISNA($B165)),"",IF(ISBLANK($B165),"",IFERROR(_xll.BDP(TICKER,"DEEP_MEASURE_PERIOD_BROKER_VALUE","DEEP_MEASURE_ID_OVERRIDE",$C165,"DEEP_BROKER_ID_OVERRIDE",AP$24,"DEEP_PERIOD_OVERRIDE",$H$19)*1,"")))</f>
        <v/>
      </c>
      <c r="AQ165" t="str">
        <f>IF(OR(AQ$23="",ISNA($B165)),"",IF(ISBLANK($B165),"",IFERROR(_xll.BDP(TICKER,"DEEP_MEASURE_PERIOD_BROKER_VALUE","DEEP_MEASURE_ID_OVERRIDE",$C165,"DEEP_BROKER_ID_OVERRIDE",AQ$24,"DEEP_PERIOD_OVERRIDE",$H$19)*1,"")))</f>
        <v/>
      </c>
      <c r="AR165" t="str">
        <f>IF(OR(AR$23="",ISNA($B165)),"",IF(ISBLANK($B165),"",IFERROR(_xll.BDP(TICKER,"DEEP_MEASURE_PERIOD_BROKER_VALUE","DEEP_MEASURE_ID_OVERRIDE",$C165,"DEEP_BROKER_ID_OVERRIDE",AR$24,"DEEP_PERIOD_OVERRIDE",$H$19)*1,"")))</f>
        <v/>
      </c>
      <c r="AS165" t="str">
        <f>IF(OR(AS$23="",ISNA($B165)),"",IF(ISBLANK($B165),"",IFERROR(_xll.BDP(TICKER,"DEEP_MEASURE_PERIOD_BROKER_VALUE","DEEP_MEASURE_ID_OVERRIDE",$C165,"DEEP_BROKER_ID_OVERRIDE",AS$24,"DEEP_PERIOD_OVERRIDE",$H$19)*1,"")))</f>
        <v/>
      </c>
      <c r="AT165" t="str">
        <f>IF(OR(AT$23="",ISNA($B165)),"",IF(ISBLANK($B165),"",IFERROR(_xll.BDP(TICKER,"DEEP_MEASURE_PERIOD_BROKER_VALUE","DEEP_MEASURE_ID_OVERRIDE",$C165,"DEEP_BROKER_ID_OVERRIDE",AT$24,"DEEP_PERIOD_OVERRIDE",$H$19)*1,"")))</f>
        <v/>
      </c>
      <c r="AU165" t="str">
        <f>IF(OR(AU$23="",ISNA($B165)),"",IF(ISBLANK($B165),"",IFERROR(_xll.BDP(TICKER,"DEEP_MEASURE_PERIOD_BROKER_VALUE","DEEP_MEASURE_ID_OVERRIDE",$C165,"DEEP_BROKER_ID_OVERRIDE",AU$24,"DEEP_PERIOD_OVERRIDE",$H$19)*1,"")))</f>
        <v/>
      </c>
      <c r="AV165" t="str">
        <f>IF(OR(AV$23="",ISNA($B165)),"",IF(ISBLANK($B165),"",IFERROR(_xll.BDP(TICKER,"DEEP_MEASURE_PERIOD_BROKER_VALUE","DEEP_MEASURE_ID_OVERRIDE",$C165,"DEEP_BROKER_ID_OVERRIDE",AV$24,"DEEP_PERIOD_OVERRIDE",$H$19)*1,"")))</f>
        <v/>
      </c>
      <c r="AW165" t="str">
        <f>IF(OR(AW$23="",ISNA($B165)),"",IF(ISBLANK($B165),"",IFERROR(_xll.BDP(TICKER,"DEEP_MEASURE_PERIOD_BROKER_VALUE","DEEP_MEASURE_ID_OVERRIDE",$C165,"DEEP_BROKER_ID_OVERRIDE",AW$24,"DEEP_PERIOD_OVERRIDE",$H$19)*1,"")))</f>
        <v/>
      </c>
      <c r="AX165" t="str">
        <f>IF(OR(AX$23="",ISNA($B165)),"",IF(ISBLANK($B165),"",IFERROR(_xll.BDP(TICKER,"DEEP_MEASURE_PERIOD_BROKER_VALUE","DEEP_MEASURE_ID_OVERRIDE",$C165,"DEEP_BROKER_ID_OVERRIDE",AX$24,"DEEP_PERIOD_OVERRIDE",$H$19)*1,"")))</f>
        <v/>
      </c>
      <c r="AY165" t="str">
        <f>IF(OR(AY$23="",ISNA($B165)),"",IF(ISBLANK($B165),"",IFERROR(_xll.BDP(TICKER,"DEEP_MEASURE_PERIOD_BROKER_VALUE","DEEP_MEASURE_ID_OVERRIDE",$C165,"DEEP_BROKER_ID_OVERRIDE",AY$24,"DEEP_PERIOD_OVERRIDE",$H$19)*1,"")))</f>
        <v/>
      </c>
      <c r="AZ165" t="str">
        <f>IF(OR(AZ$23="",ISNA($B165)),"",IF(ISBLANK($B165),"",IFERROR(_xll.BDP(TICKER,"DEEP_MEASURE_PERIOD_BROKER_VALUE","DEEP_MEASURE_ID_OVERRIDE",$C165,"DEEP_BROKER_ID_OVERRIDE",AZ$24,"DEEP_PERIOD_OVERRIDE",$H$19)*1,"")))</f>
        <v/>
      </c>
      <c r="BA165" t="str">
        <f>IF(OR(BA$23="",ISNA($B165)),"",IF(ISBLANK($B165),"",IFERROR(_xll.BDP(TICKER,"DEEP_MEASURE_PERIOD_BROKER_VALUE","DEEP_MEASURE_ID_OVERRIDE",$C165,"DEEP_BROKER_ID_OVERRIDE",BA$24,"DEEP_PERIOD_OVERRIDE",$H$19)*1,"")))</f>
        <v/>
      </c>
      <c r="BB165" t="str">
        <f>IF(OR(BB$23="",ISNA($B165)),"",IF(ISBLANK($B165),"",IFERROR(_xll.BDP(TICKER,"DEEP_MEASURE_PERIOD_BROKER_VALUE","DEEP_MEASURE_ID_OVERRIDE",$C165,"DEEP_BROKER_ID_OVERRIDE",BB$24,"DEEP_PERIOD_OVERRIDE",$H$19)*1,"")))</f>
        <v/>
      </c>
      <c r="BC165" t="str">
        <f>IF(OR(BC$23="",ISNA($B165)),"",IF(ISBLANK($B165),"",IFERROR(_xll.BDP(TICKER,"DEEP_MEASURE_PERIOD_BROKER_VALUE","DEEP_MEASURE_ID_OVERRIDE",$C165,"DEEP_BROKER_ID_OVERRIDE",BC$24,"DEEP_PERIOD_OVERRIDE",$H$19)*1,"")))</f>
        <v/>
      </c>
      <c r="BD165" t="str">
        <f>IF(OR(BD$23="",ISNA($B165)),"",IF(ISBLANK($B165),"",IFERROR(_xll.BDP(TICKER,"DEEP_MEASURE_PERIOD_BROKER_VALUE","DEEP_MEASURE_ID_OVERRIDE",$C165,"DEEP_BROKER_ID_OVERRIDE",BD$24,"DEEP_PERIOD_OVERRIDE",$H$19)*1,"")))</f>
        <v/>
      </c>
      <c r="BE165" t="str">
        <f>IF(OR(BE$23="",ISNA($B165)),"",IF(ISBLANK($B165),"",IFERROR(_xll.BDP(TICKER,"DEEP_MEASURE_PERIOD_BROKER_VALUE","DEEP_MEASURE_ID_OVERRIDE",$C165,"DEEP_BROKER_ID_OVERRIDE",BE$24,"DEEP_PERIOD_OVERRIDE",$H$19)*1,"")))</f>
        <v/>
      </c>
      <c r="BF165" t="str">
        <f>IF(OR(BF$23="",ISNA($B165)),"",IF(ISBLANK($B165),"",IFERROR(_xll.BDP(TICKER,"DEEP_MEASURE_PERIOD_BROKER_VALUE","DEEP_MEASURE_ID_OVERRIDE",$C165,"DEEP_BROKER_ID_OVERRIDE",BF$24,"DEEP_PERIOD_OVERRIDE",$H$19)*1,"")))</f>
        <v/>
      </c>
      <c r="BG165" t="str">
        <f>IF(OR(BG$23="",ISNA($B165)),"",IF(ISBLANK($B165),"",IFERROR(_xll.BDP(TICKER,"DEEP_MEASURE_PERIOD_BROKER_VALUE","DEEP_MEASURE_ID_OVERRIDE",$C165,"DEEP_BROKER_ID_OVERRIDE",BG$24,"DEEP_PERIOD_OVERRIDE",$H$19)*1,"")))</f>
        <v/>
      </c>
      <c r="BH165" t="str">
        <f>IF(OR(BH$23="",ISNA($B165)),"",IF(ISBLANK($B165),"",IFERROR(_xll.BDP(TICKER,"DEEP_MEASURE_PERIOD_BROKER_VALUE","DEEP_MEASURE_ID_OVERRIDE",$C165,"DEEP_BROKER_ID_OVERRIDE",BH$24,"DEEP_PERIOD_OVERRIDE",$H$19)*1,"")))</f>
        <v/>
      </c>
      <c r="BI165" t="str">
        <f>IF(OR(BI$23="",ISNA($B165)),"",IF(ISBLANK($B165),"",IFERROR(_xll.BDP(TICKER,"DEEP_MEASURE_PERIOD_BROKER_VALUE","DEEP_MEASURE_ID_OVERRIDE",$C165,"DEEP_BROKER_ID_OVERRIDE",BI$24,"DEEP_PERIOD_OVERRIDE",$H$19)*1,"")))</f>
        <v/>
      </c>
      <c r="BJ165" t="str">
        <f>IF(OR(BJ$23="",ISNA($B165)),"",IF(ISBLANK($B165),"",IFERROR(_xll.BDP(TICKER,"DEEP_MEASURE_PERIOD_BROKER_VALUE","DEEP_MEASURE_ID_OVERRIDE",$C165,"DEEP_BROKER_ID_OVERRIDE",BJ$24,"DEEP_PERIOD_OVERRIDE",$H$19)*1,"")))</f>
        <v/>
      </c>
      <c r="BK165" t="str">
        <f>IF(OR(BK$23="",ISNA($B165)),"",IF(ISBLANK($B165),"",IFERROR(_xll.BDP(TICKER,"DEEP_MEASURE_PERIOD_BROKER_VALUE","DEEP_MEASURE_ID_OVERRIDE",$C165,"DEEP_BROKER_ID_OVERRIDE",BK$24,"DEEP_PERIOD_OVERRIDE",$H$19)*1,"")))</f>
        <v/>
      </c>
      <c r="BL165" t="str">
        <f>IF(OR(BL$23="",ISNA($B165)),"",IF(ISBLANK($B165),"",IFERROR(_xll.BDP(TICKER,"DEEP_MEASURE_PERIOD_BROKER_VALUE","DEEP_MEASURE_ID_OVERRIDE",$C165,"DEEP_BROKER_ID_OVERRIDE",BL$24,"DEEP_PERIOD_OVERRIDE",$H$19)*1,"")))</f>
        <v/>
      </c>
      <c r="BM165" t="str">
        <f>IF(OR(BM$23="",ISNA($B165)),"",IF(ISBLANK($B165),"",IFERROR(_xll.BDP(TICKER,"DEEP_MEASURE_PERIOD_BROKER_VALUE","DEEP_MEASURE_ID_OVERRIDE",$C165,"DEEP_BROKER_ID_OVERRIDE",BM$24,"DEEP_PERIOD_OVERRIDE",$H$19)*1,"")))</f>
        <v/>
      </c>
      <c r="BN165" t="str">
        <f>IF(OR(BN$23="",ISNA($B165)),"",IF(ISBLANK($B165),"",IFERROR(_xll.BDP(TICKER,"DEEP_MEASURE_PERIOD_BROKER_VALUE","DEEP_MEASURE_ID_OVERRIDE",$C165,"DEEP_BROKER_ID_OVERRIDE",BN$24,"DEEP_PERIOD_OVERRIDE",$H$19)*1,"")))</f>
        <v/>
      </c>
      <c r="BO165" t="str">
        <f>IF(OR(BO$23="",ISNA($B165)),"",IF(ISBLANK($B165),"",IFERROR(_xll.BDP(TICKER,"DEEP_MEASURE_PERIOD_BROKER_VALUE","DEEP_MEASURE_ID_OVERRIDE",$C165,"DEEP_BROKER_ID_OVERRIDE",BO$24,"DEEP_PERIOD_OVERRIDE",$H$19)*1,"")))</f>
        <v/>
      </c>
      <c r="BP165" t="str">
        <f>IF(OR(BP$23="",ISNA($B165)),"",IF(ISBLANK($B165),"",IFERROR(_xll.BDP(TICKER,"DEEP_MEASURE_PERIOD_BROKER_VALUE","DEEP_MEASURE_ID_OVERRIDE",$C165,"DEEP_BROKER_ID_OVERRIDE",BP$24,"DEEP_PERIOD_OVERRIDE",$H$19)*1,"")))</f>
        <v/>
      </c>
      <c r="BQ165" t="str">
        <f>IF(OR(BQ$23="",ISNA($B165)),"",IF(ISBLANK($B165),"",IFERROR(_xll.BDP(TICKER,"DEEP_MEASURE_PERIOD_BROKER_VALUE","DEEP_MEASURE_ID_OVERRIDE",$C165,"DEEP_BROKER_ID_OVERRIDE",BQ$24,"DEEP_PERIOD_OVERRIDE",$H$19)*1,"")))</f>
        <v/>
      </c>
      <c r="BR165" t="str">
        <f>IF(OR(BR$23="",ISNA($B165)),"",IF(ISBLANK($B165),"",IFERROR(_xll.BDP(TICKER,"DEEP_MEASURE_PERIOD_BROKER_VALUE","DEEP_MEASURE_ID_OVERRIDE",$C165,"DEEP_BROKER_ID_OVERRIDE",BR$24,"DEEP_PERIOD_OVERRIDE",$H$19)*1,"")))</f>
        <v/>
      </c>
      <c r="BS165" t="str">
        <f>IF(OR(BS$23="",ISNA($B165)),"",IF(ISBLANK($B165),"",IFERROR(_xll.BDP(TICKER,"DEEP_MEASURE_PERIOD_BROKER_VALUE","DEEP_MEASURE_ID_OVERRIDE",$C165,"DEEP_BROKER_ID_OVERRIDE",BS$24,"DEEP_PERIOD_OVERRIDE",$H$19)*1,"")))</f>
        <v/>
      </c>
      <c r="BT165" t="str">
        <f>IF(OR(BT$23="",ISNA($B165)),"",IF(ISBLANK($B165),"",IFERROR(_xll.BDP(TICKER,"DEEP_MEASURE_PERIOD_BROKER_VALUE","DEEP_MEASURE_ID_OVERRIDE",$C165,"DEEP_BROKER_ID_OVERRIDE",BT$24,"DEEP_PERIOD_OVERRIDE",$H$19)*1,"")))</f>
        <v/>
      </c>
      <c r="BU165" t="str">
        <f>IF(OR(BU$23="",ISNA($B165)),"",IF(ISBLANK($B165),"",IFERROR(_xll.BDP(TICKER,"DEEP_MEASURE_PERIOD_BROKER_VALUE","DEEP_MEASURE_ID_OVERRIDE",$C165,"DEEP_BROKER_ID_OVERRIDE",BU$24,"DEEP_PERIOD_OVERRIDE",$H$19)*1,"")))</f>
        <v/>
      </c>
      <c r="BV165" t="str">
        <f>IF(OR(BV$23="",ISNA($B165)),"",IF(ISBLANK($B165),"",IFERROR(_xll.BDP(TICKER,"DEEP_MEASURE_PERIOD_BROKER_VALUE","DEEP_MEASURE_ID_OVERRIDE",$C165,"DEEP_BROKER_ID_OVERRIDE",BV$24,"DEEP_PERIOD_OVERRIDE",$H$19)*1,"")))</f>
        <v/>
      </c>
      <c r="BW165" t="str">
        <f>IF(OR(BW$23="",ISNA($B165)),"",IF(ISBLANK($B165),"",IFERROR(_xll.BDP(TICKER,"DEEP_MEASURE_PERIOD_BROKER_VALUE","DEEP_MEASURE_ID_OVERRIDE",$C165,"DEEP_BROKER_ID_OVERRIDE",BW$24,"DEEP_PERIOD_OVERRIDE",$H$19)*1,"")))</f>
        <v/>
      </c>
      <c r="BX165" t="str">
        <f>IF(OR(BX$23="",ISNA($B165)),"",IF(ISBLANK($B165),"",IFERROR(_xll.BDP(TICKER,"DEEP_MEASURE_PERIOD_BROKER_VALUE","DEEP_MEASURE_ID_OVERRIDE",$C165,"DEEP_BROKER_ID_OVERRIDE",BX$24,"DEEP_PERIOD_OVERRIDE",$H$19)*1,"")))</f>
        <v/>
      </c>
      <c r="BY165" t="str">
        <f>IF(OR(BY$23="",ISNA($B165)),"",IF(ISBLANK($B165),"",IFERROR(_xll.BDP(TICKER,"DEEP_MEASURE_PERIOD_BROKER_VALUE","DEEP_MEASURE_ID_OVERRIDE",$C165,"DEEP_BROKER_ID_OVERRIDE",BY$24,"DEEP_PERIOD_OVERRIDE",$H$19)*1,"")))</f>
        <v/>
      </c>
      <c r="BZ165" t="str">
        <f>IF(OR(BZ$23="",ISNA($B165)),"",IF(ISBLANK($B165),"",IFERROR(_xll.BDP(TICKER,"DEEP_MEASURE_PERIOD_BROKER_VALUE","DEEP_MEASURE_ID_OVERRIDE",$C165,"DEEP_BROKER_ID_OVERRIDE",BZ$24,"DEEP_PERIOD_OVERRIDE",$H$19)*1,"")))</f>
        <v/>
      </c>
    </row>
    <row r="166" spans="2:78" x14ac:dyDescent="0.25">
      <c r="B166" t="s">
        <v>191</v>
      </c>
      <c r="C166">
        <v>474</v>
      </c>
      <c r="H166" t="str">
        <f t="shared" si="3"/>
        <v>Assets &gt; Current Assets &gt; Prepaid Expenses &amp; Other Current Assets</v>
      </c>
      <c r="I166" t="str">
        <f>IF(OR(I$23="",ISNA($B166)),"",IF(ISBLANK($B166),"",IFERROR(_xll.BDP(TICKER,"DEEP_MEASURE_PERIOD_BROKER_VALUE","DEEP_MEASURE_ID_OVERRIDE",$C166,"DEEP_PERIOD_OVERRIDE",$H$19)*1,"")))</f>
        <v/>
      </c>
      <c r="J166" t="e">
        <f>IF(OR(J$23="",ISNA($B166)),"",IF(ISBLANK($B166),"",IFERROR(_xll.BDP(TICKER,"DEEP_MEASURE_PERIOD_BROKER_VALUE","DEEP_MEASURE_ID_OVERRIDE",$C166,"DEEP_BROKER_ID_OVERRIDE",J$24,"DEEP_PERIOD_OVERRIDE",$H$19)*1,"")))</f>
        <v>#REF!</v>
      </c>
      <c r="K166" t="str">
        <f>IF(OR(K$23="",ISNA($B166)),"",IF(ISBLANK($B166),"",IFERROR(_xll.BDP(TICKER,"DEEP_MEASURE_PERIOD_BROKER_VALUE","DEEP_MEASURE_ID_OVERRIDE",$C166,"DEEP_BROKER_ID_OVERRIDE",K$24,"DEEP_PERIOD_OVERRIDE",$H$19)*1,"")))</f>
        <v/>
      </c>
      <c r="L166" t="str">
        <f>IF(OR(L$23="",ISNA($B166)),"",IF(ISBLANK($B166),"",IFERROR(_xll.BDP(TICKER,"DEEP_MEASURE_PERIOD_BROKER_VALUE","DEEP_MEASURE_ID_OVERRIDE",$C166,"DEEP_BROKER_ID_OVERRIDE",L$24,"DEEP_PERIOD_OVERRIDE",$H$19)*1,"")))</f>
        <v/>
      </c>
      <c r="M166" t="str">
        <f>IF(OR(M$23="",ISNA($B166)),"",IF(ISBLANK($B166),"",IFERROR(_xll.BDP(TICKER,"DEEP_MEASURE_PERIOD_BROKER_VALUE","DEEP_MEASURE_ID_OVERRIDE",$C166,"DEEP_BROKER_ID_OVERRIDE",M$24,"DEEP_PERIOD_OVERRIDE",$H$19)*1,"")))</f>
        <v/>
      </c>
      <c r="N166" t="str">
        <f>IF(OR(N$23="",ISNA($B166)),"",IF(ISBLANK($B166),"",IFERROR(_xll.BDP(TICKER,"DEEP_MEASURE_PERIOD_BROKER_VALUE","DEEP_MEASURE_ID_OVERRIDE",$C166,"DEEP_BROKER_ID_OVERRIDE",N$24,"DEEP_PERIOD_OVERRIDE",$H$19)*1,"")))</f>
        <v/>
      </c>
      <c r="O166" t="str">
        <f>IF(OR(O$23="",ISNA($B166)),"",IF(ISBLANK($B166),"",IFERROR(_xll.BDP(TICKER,"DEEP_MEASURE_PERIOD_BROKER_VALUE","DEEP_MEASURE_ID_OVERRIDE",$C166,"DEEP_BROKER_ID_OVERRIDE",O$24,"DEEP_PERIOD_OVERRIDE",$H$19)*1,"")))</f>
        <v/>
      </c>
      <c r="P166" t="str">
        <f>IF(OR(P$23="",ISNA($B166)),"",IF(ISBLANK($B166),"",IFERROR(_xll.BDP(TICKER,"DEEP_MEASURE_PERIOD_BROKER_VALUE","DEEP_MEASURE_ID_OVERRIDE",$C166,"DEEP_BROKER_ID_OVERRIDE",P$24,"DEEP_PERIOD_OVERRIDE",$H$19)*1,"")))</f>
        <v/>
      </c>
      <c r="Q166" t="str">
        <f>IF(OR(Q$23="",ISNA($B166)),"",IF(ISBLANK($B166),"",IFERROR(_xll.BDP(TICKER,"DEEP_MEASURE_PERIOD_BROKER_VALUE","DEEP_MEASURE_ID_OVERRIDE",$C166,"DEEP_BROKER_ID_OVERRIDE",Q$24,"DEEP_PERIOD_OVERRIDE",$H$19)*1,"")))</f>
        <v/>
      </c>
      <c r="R166" t="str">
        <f>IF(OR(R$23="",ISNA($B166)),"",IF(ISBLANK($B166),"",IFERROR(_xll.BDP(TICKER,"DEEP_MEASURE_PERIOD_BROKER_VALUE","DEEP_MEASURE_ID_OVERRIDE",$C166,"DEEP_BROKER_ID_OVERRIDE",R$24,"DEEP_PERIOD_OVERRIDE",$H$19)*1,"")))</f>
        <v/>
      </c>
      <c r="S166" t="str">
        <f>IF(OR(S$23="",ISNA($B166)),"",IF(ISBLANK($B166),"",IFERROR(_xll.BDP(TICKER,"DEEP_MEASURE_PERIOD_BROKER_VALUE","DEEP_MEASURE_ID_OVERRIDE",$C166,"DEEP_BROKER_ID_OVERRIDE",S$24,"DEEP_PERIOD_OVERRIDE",$H$19)*1,"")))</f>
        <v/>
      </c>
      <c r="T166" t="str">
        <f>IF(OR(T$23="",ISNA($B166)),"",IF(ISBLANK($B166),"",IFERROR(_xll.BDP(TICKER,"DEEP_MEASURE_PERIOD_BROKER_VALUE","DEEP_MEASURE_ID_OVERRIDE",$C166,"DEEP_BROKER_ID_OVERRIDE",T$24,"DEEP_PERIOD_OVERRIDE",$H$19)*1,"")))</f>
        <v/>
      </c>
      <c r="U166" t="str">
        <f>IF(OR(U$23="",ISNA($B166)),"",IF(ISBLANK($B166),"",IFERROR(_xll.BDP(TICKER,"DEEP_MEASURE_PERIOD_BROKER_VALUE","DEEP_MEASURE_ID_OVERRIDE",$C166,"DEEP_BROKER_ID_OVERRIDE",U$24,"DEEP_PERIOD_OVERRIDE",$H$19)*1,"")))</f>
        <v/>
      </c>
      <c r="V166" t="str">
        <f>IF(OR(V$23="",ISNA($B166)),"",IF(ISBLANK($B166),"",IFERROR(_xll.BDP(TICKER,"DEEP_MEASURE_PERIOD_BROKER_VALUE","DEEP_MEASURE_ID_OVERRIDE",$C166,"DEEP_BROKER_ID_OVERRIDE",V$24,"DEEP_PERIOD_OVERRIDE",$H$19)*1,"")))</f>
        <v/>
      </c>
      <c r="W166" t="str">
        <f>IF(OR(W$23="",ISNA($B166)),"",IF(ISBLANK($B166),"",IFERROR(_xll.BDP(TICKER,"DEEP_MEASURE_PERIOD_BROKER_VALUE","DEEP_MEASURE_ID_OVERRIDE",$C166,"DEEP_BROKER_ID_OVERRIDE",W$24,"DEEP_PERIOD_OVERRIDE",$H$19)*1,"")))</f>
        <v/>
      </c>
      <c r="X166" t="str">
        <f>IF(OR(X$23="",ISNA($B166)),"",IF(ISBLANK($B166),"",IFERROR(_xll.BDP(TICKER,"DEEP_MEASURE_PERIOD_BROKER_VALUE","DEEP_MEASURE_ID_OVERRIDE",$C166,"DEEP_BROKER_ID_OVERRIDE",X$24,"DEEP_PERIOD_OVERRIDE",$H$19)*1,"")))</f>
        <v/>
      </c>
      <c r="Y166" t="str">
        <f>IF(OR(Y$23="",ISNA($B166)),"",IF(ISBLANK($B166),"",IFERROR(_xll.BDP(TICKER,"DEEP_MEASURE_PERIOD_BROKER_VALUE","DEEP_MEASURE_ID_OVERRIDE",$C166,"DEEP_BROKER_ID_OVERRIDE",Y$24,"DEEP_PERIOD_OVERRIDE",$H$19)*1,"")))</f>
        <v/>
      </c>
      <c r="Z166" t="str">
        <f>IF(OR(Z$23="",ISNA($B166)),"",IF(ISBLANK($B166),"",IFERROR(_xll.BDP(TICKER,"DEEP_MEASURE_PERIOD_BROKER_VALUE","DEEP_MEASURE_ID_OVERRIDE",$C166,"DEEP_BROKER_ID_OVERRIDE",Z$24,"DEEP_PERIOD_OVERRIDE",$H$19)*1,"")))</f>
        <v/>
      </c>
      <c r="AA166" t="str">
        <f>IF(OR(AA$23="",ISNA($B166)),"",IF(ISBLANK($B166),"",IFERROR(_xll.BDP(TICKER,"DEEP_MEASURE_PERIOD_BROKER_VALUE","DEEP_MEASURE_ID_OVERRIDE",$C166,"DEEP_BROKER_ID_OVERRIDE",AA$24,"DEEP_PERIOD_OVERRIDE",$H$19)*1,"")))</f>
        <v/>
      </c>
      <c r="AB166" t="str">
        <f>IF(OR(AB$23="",ISNA($B166)),"",IF(ISBLANK($B166),"",IFERROR(_xll.BDP(TICKER,"DEEP_MEASURE_PERIOD_BROKER_VALUE","DEEP_MEASURE_ID_OVERRIDE",$C166,"DEEP_BROKER_ID_OVERRIDE",AB$24,"DEEP_PERIOD_OVERRIDE",$H$19)*1,"")))</f>
        <v/>
      </c>
      <c r="AC166" t="str">
        <f>IF(OR(AC$23="",ISNA($B166)),"",IF(ISBLANK($B166),"",IFERROR(_xll.BDP(TICKER,"DEEP_MEASURE_PERIOD_BROKER_VALUE","DEEP_MEASURE_ID_OVERRIDE",$C166,"DEEP_BROKER_ID_OVERRIDE",AC$24,"DEEP_PERIOD_OVERRIDE",$H$19)*1,"")))</f>
        <v/>
      </c>
      <c r="AD166" t="str">
        <f>IF(OR(AD$23="",ISNA($B166)),"",IF(ISBLANK($B166),"",IFERROR(_xll.BDP(TICKER,"DEEP_MEASURE_PERIOD_BROKER_VALUE","DEEP_MEASURE_ID_OVERRIDE",$C166,"DEEP_BROKER_ID_OVERRIDE",AD$24,"DEEP_PERIOD_OVERRIDE",$H$19)*1,"")))</f>
        <v/>
      </c>
      <c r="AE166" t="str">
        <f>IF(OR(AE$23="",ISNA($B166)),"",IF(ISBLANK($B166),"",IFERROR(_xll.BDP(TICKER,"DEEP_MEASURE_PERIOD_BROKER_VALUE","DEEP_MEASURE_ID_OVERRIDE",$C166,"DEEP_BROKER_ID_OVERRIDE",AE$24,"DEEP_PERIOD_OVERRIDE",$H$19)*1,"")))</f>
        <v/>
      </c>
      <c r="AF166" t="str">
        <f>IF(OR(AF$23="",ISNA($B166)),"",IF(ISBLANK($B166),"",IFERROR(_xll.BDP(TICKER,"DEEP_MEASURE_PERIOD_BROKER_VALUE","DEEP_MEASURE_ID_OVERRIDE",$C166,"DEEP_BROKER_ID_OVERRIDE",AF$24,"DEEP_PERIOD_OVERRIDE",$H$19)*1,"")))</f>
        <v/>
      </c>
      <c r="AG166" t="str">
        <f>IF(OR(AG$23="",ISNA($B166)),"",IF(ISBLANK($B166),"",IFERROR(_xll.BDP(TICKER,"DEEP_MEASURE_PERIOD_BROKER_VALUE","DEEP_MEASURE_ID_OVERRIDE",$C166,"DEEP_BROKER_ID_OVERRIDE",AG$24,"DEEP_PERIOD_OVERRIDE",$H$19)*1,"")))</f>
        <v/>
      </c>
      <c r="AH166" t="str">
        <f>IF(OR(AH$23="",ISNA($B166)),"",IF(ISBLANK($B166),"",IFERROR(_xll.BDP(TICKER,"DEEP_MEASURE_PERIOD_BROKER_VALUE","DEEP_MEASURE_ID_OVERRIDE",$C166,"DEEP_BROKER_ID_OVERRIDE",AH$24,"DEEP_PERIOD_OVERRIDE",$H$19)*1,"")))</f>
        <v/>
      </c>
      <c r="AI166" t="str">
        <f>IF(OR(AI$23="",ISNA($B166)),"",IF(ISBLANK($B166),"",IFERROR(_xll.BDP(TICKER,"DEEP_MEASURE_PERIOD_BROKER_VALUE","DEEP_MEASURE_ID_OVERRIDE",$C166,"DEEP_BROKER_ID_OVERRIDE",AI$24,"DEEP_PERIOD_OVERRIDE",$H$19)*1,"")))</f>
        <v/>
      </c>
      <c r="AJ166" t="str">
        <f>IF(OR(AJ$23="",ISNA($B166)),"",IF(ISBLANK($B166),"",IFERROR(_xll.BDP(TICKER,"DEEP_MEASURE_PERIOD_BROKER_VALUE","DEEP_MEASURE_ID_OVERRIDE",$C166,"DEEP_BROKER_ID_OVERRIDE",AJ$24,"DEEP_PERIOD_OVERRIDE",$H$19)*1,"")))</f>
        <v/>
      </c>
      <c r="AK166" t="str">
        <f>IF(OR(AK$23="",ISNA($B166)),"",IF(ISBLANK($B166),"",IFERROR(_xll.BDP(TICKER,"DEEP_MEASURE_PERIOD_BROKER_VALUE","DEEP_MEASURE_ID_OVERRIDE",$C166,"DEEP_BROKER_ID_OVERRIDE",AK$24,"DEEP_PERIOD_OVERRIDE",$H$19)*1,"")))</f>
        <v/>
      </c>
      <c r="AL166" t="str">
        <f>IF(OR(AL$23="",ISNA($B166)),"",IF(ISBLANK($B166),"",IFERROR(_xll.BDP(TICKER,"DEEP_MEASURE_PERIOD_BROKER_VALUE","DEEP_MEASURE_ID_OVERRIDE",$C166,"DEEP_BROKER_ID_OVERRIDE",AL$24,"DEEP_PERIOD_OVERRIDE",$H$19)*1,"")))</f>
        <v/>
      </c>
      <c r="AM166" t="str">
        <f>IF(OR(AM$23="",ISNA($B166)),"",IF(ISBLANK($B166),"",IFERROR(_xll.BDP(TICKER,"DEEP_MEASURE_PERIOD_BROKER_VALUE","DEEP_MEASURE_ID_OVERRIDE",$C166,"DEEP_BROKER_ID_OVERRIDE",AM$24,"DEEP_PERIOD_OVERRIDE",$H$19)*1,"")))</f>
        <v/>
      </c>
      <c r="AN166" t="str">
        <f>IF(OR(AN$23="",ISNA($B166)),"",IF(ISBLANK($B166),"",IFERROR(_xll.BDP(TICKER,"DEEP_MEASURE_PERIOD_BROKER_VALUE","DEEP_MEASURE_ID_OVERRIDE",$C166,"DEEP_BROKER_ID_OVERRIDE",AN$24,"DEEP_PERIOD_OVERRIDE",$H$19)*1,"")))</f>
        <v/>
      </c>
      <c r="AO166" t="str">
        <f>IF(OR(AO$23="",ISNA($B166)),"",IF(ISBLANK($B166),"",IFERROR(_xll.BDP(TICKER,"DEEP_MEASURE_PERIOD_BROKER_VALUE","DEEP_MEASURE_ID_OVERRIDE",$C166,"DEEP_BROKER_ID_OVERRIDE",AO$24,"DEEP_PERIOD_OVERRIDE",$H$19)*1,"")))</f>
        <v/>
      </c>
      <c r="AP166" t="str">
        <f>IF(OR(AP$23="",ISNA($B166)),"",IF(ISBLANK($B166),"",IFERROR(_xll.BDP(TICKER,"DEEP_MEASURE_PERIOD_BROKER_VALUE","DEEP_MEASURE_ID_OVERRIDE",$C166,"DEEP_BROKER_ID_OVERRIDE",AP$24,"DEEP_PERIOD_OVERRIDE",$H$19)*1,"")))</f>
        <v/>
      </c>
      <c r="AQ166" t="str">
        <f>IF(OR(AQ$23="",ISNA($B166)),"",IF(ISBLANK($B166),"",IFERROR(_xll.BDP(TICKER,"DEEP_MEASURE_PERIOD_BROKER_VALUE","DEEP_MEASURE_ID_OVERRIDE",$C166,"DEEP_BROKER_ID_OVERRIDE",AQ$24,"DEEP_PERIOD_OVERRIDE",$H$19)*1,"")))</f>
        <v/>
      </c>
      <c r="AR166" t="str">
        <f>IF(OR(AR$23="",ISNA($B166)),"",IF(ISBLANK($B166),"",IFERROR(_xll.BDP(TICKER,"DEEP_MEASURE_PERIOD_BROKER_VALUE","DEEP_MEASURE_ID_OVERRIDE",$C166,"DEEP_BROKER_ID_OVERRIDE",AR$24,"DEEP_PERIOD_OVERRIDE",$H$19)*1,"")))</f>
        <v/>
      </c>
      <c r="AS166" t="str">
        <f>IF(OR(AS$23="",ISNA($B166)),"",IF(ISBLANK($B166),"",IFERROR(_xll.BDP(TICKER,"DEEP_MEASURE_PERIOD_BROKER_VALUE","DEEP_MEASURE_ID_OVERRIDE",$C166,"DEEP_BROKER_ID_OVERRIDE",AS$24,"DEEP_PERIOD_OVERRIDE",$H$19)*1,"")))</f>
        <v/>
      </c>
      <c r="AT166" t="str">
        <f>IF(OR(AT$23="",ISNA($B166)),"",IF(ISBLANK($B166),"",IFERROR(_xll.BDP(TICKER,"DEEP_MEASURE_PERIOD_BROKER_VALUE","DEEP_MEASURE_ID_OVERRIDE",$C166,"DEEP_BROKER_ID_OVERRIDE",AT$24,"DEEP_PERIOD_OVERRIDE",$H$19)*1,"")))</f>
        <v/>
      </c>
      <c r="AU166" t="str">
        <f>IF(OR(AU$23="",ISNA($B166)),"",IF(ISBLANK($B166),"",IFERROR(_xll.BDP(TICKER,"DEEP_MEASURE_PERIOD_BROKER_VALUE","DEEP_MEASURE_ID_OVERRIDE",$C166,"DEEP_BROKER_ID_OVERRIDE",AU$24,"DEEP_PERIOD_OVERRIDE",$H$19)*1,"")))</f>
        <v/>
      </c>
      <c r="AV166" t="str">
        <f>IF(OR(AV$23="",ISNA($B166)),"",IF(ISBLANK($B166),"",IFERROR(_xll.BDP(TICKER,"DEEP_MEASURE_PERIOD_BROKER_VALUE","DEEP_MEASURE_ID_OVERRIDE",$C166,"DEEP_BROKER_ID_OVERRIDE",AV$24,"DEEP_PERIOD_OVERRIDE",$H$19)*1,"")))</f>
        <v/>
      </c>
      <c r="AW166" t="str">
        <f>IF(OR(AW$23="",ISNA($B166)),"",IF(ISBLANK($B166),"",IFERROR(_xll.BDP(TICKER,"DEEP_MEASURE_PERIOD_BROKER_VALUE","DEEP_MEASURE_ID_OVERRIDE",$C166,"DEEP_BROKER_ID_OVERRIDE",AW$24,"DEEP_PERIOD_OVERRIDE",$H$19)*1,"")))</f>
        <v/>
      </c>
      <c r="AX166" t="str">
        <f>IF(OR(AX$23="",ISNA($B166)),"",IF(ISBLANK($B166),"",IFERROR(_xll.BDP(TICKER,"DEEP_MEASURE_PERIOD_BROKER_VALUE","DEEP_MEASURE_ID_OVERRIDE",$C166,"DEEP_BROKER_ID_OVERRIDE",AX$24,"DEEP_PERIOD_OVERRIDE",$H$19)*1,"")))</f>
        <v/>
      </c>
      <c r="AY166" t="str">
        <f>IF(OR(AY$23="",ISNA($B166)),"",IF(ISBLANK($B166),"",IFERROR(_xll.BDP(TICKER,"DEEP_MEASURE_PERIOD_BROKER_VALUE","DEEP_MEASURE_ID_OVERRIDE",$C166,"DEEP_BROKER_ID_OVERRIDE",AY$24,"DEEP_PERIOD_OVERRIDE",$H$19)*1,"")))</f>
        <v/>
      </c>
      <c r="AZ166" t="str">
        <f>IF(OR(AZ$23="",ISNA($B166)),"",IF(ISBLANK($B166),"",IFERROR(_xll.BDP(TICKER,"DEEP_MEASURE_PERIOD_BROKER_VALUE","DEEP_MEASURE_ID_OVERRIDE",$C166,"DEEP_BROKER_ID_OVERRIDE",AZ$24,"DEEP_PERIOD_OVERRIDE",$H$19)*1,"")))</f>
        <v/>
      </c>
      <c r="BA166" t="str">
        <f>IF(OR(BA$23="",ISNA($B166)),"",IF(ISBLANK($B166),"",IFERROR(_xll.BDP(TICKER,"DEEP_MEASURE_PERIOD_BROKER_VALUE","DEEP_MEASURE_ID_OVERRIDE",$C166,"DEEP_BROKER_ID_OVERRIDE",BA$24,"DEEP_PERIOD_OVERRIDE",$H$19)*1,"")))</f>
        <v/>
      </c>
      <c r="BB166" t="str">
        <f>IF(OR(BB$23="",ISNA($B166)),"",IF(ISBLANK($B166),"",IFERROR(_xll.BDP(TICKER,"DEEP_MEASURE_PERIOD_BROKER_VALUE","DEEP_MEASURE_ID_OVERRIDE",$C166,"DEEP_BROKER_ID_OVERRIDE",BB$24,"DEEP_PERIOD_OVERRIDE",$H$19)*1,"")))</f>
        <v/>
      </c>
      <c r="BC166" t="str">
        <f>IF(OR(BC$23="",ISNA($B166)),"",IF(ISBLANK($B166),"",IFERROR(_xll.BDP(TICKER,"DEEP_MEASURE_PERIOD_BROKER_VALUE","DEEP_MEASURE_ID_OVERRIDE",$C166,"DEEP_BROKER_ID_OVERRIDE",BC$24,"DEEP_PERIOD_OVERRIDE",$H$19)*1,"")))</f>
        <v/>
      </c>
      <c r="BD166" t="str">
        <f>IF(OR(BD$23="",ISNA($B166)),"",IF(ISBLANK($B166),"",IFERROR(_xll.BDP(TICKER,"DEEP_MEASURE_PERIOD_BROKER_VALUE","DEEP_MEASURE_ID_OVERRIDE",$C166,"DEEP_BROKER_ID_OVERRIDE",BD$24,"DEEP_PERIOD_OVERRIDE",$H$19)*1,"")))</f>
        <v/>
      </c>
      <c r="BE166" t="str">
        <f>IF(OR(BE$23="",ISNA($B166)),"",IF(ISBLANK($B166),"",IFERROR(_xll.BDP(TICKER,"DEEP_MEASURE_PERIOD_BROKER_VALUE","DEEP_MEASURE_ID_OVERRIDE",$C166,"DEEP_BROKER_ID_OVERRIDE",BE$24,"DEEP_PERIOD_OVERRIDE",$H$19)*1,"")))</f>
        <v/>
      </c>
      <c r="BF166" t="str">
        <f>IF(OR(BF$23="",ISNA($B166)),"",IF(ISBLANK($B166),"",IFERROR(_xll.BDP(TICKER,"DEEP_MEASURE_PERIOD_BROKER_VALUE","DEEP_MEASURE_ID_OVERRIDE",$C166,"DEEP_BROKER_ID_OVERRIDE",BF$24,"DEEP_PERIOD_OVERRIDE",$H$19)*1,"")))</f>
        <v/>
      </c>
      <c r="BG166" t="str">
        <f>IF(OR(BG$23="",ISNA($B166)),"",IF(ISBLANK($B166),"",IFERROR(_xll.BDP(TICKER,"DEEP_MEASURE_PERIOD_BROKER_VALUE","DEEP_MEASURE_ID_OVERRIDE",$C166,"DEEP_BROKER_ID_OVERRIDE",BG$24,"DEEP_PERIOD_OVERRIDE",$H$19)*1,"")))</f>
        <v/>
      </c>
      <c r="BH166" t="str">
        <f>IF(OR(BH$23="",ISNA($B166)),"",IF(ISBLANK($B166),"",IFERROR(_xll.BDP(TICKER,"DEEP_MEASURE_PERIOD_BROKER_VALUE","DEEP_MEASURE_ID_OVERRIDE",$C166,"DEEP_BROKER_ID_OVERRIDE",BH$24,"DEEP_PERIOD_OVERRIDE",$H$19)*1,"")))</f>
        <v/>
      </c>
      <c r="BI166" t="str">
        <f>IF(OR(BI$23="",ISNA($B166)),"",IF(ISBLANK($B166),"",IFERROR(_xll.BDP(TICKER,"DEEP_MEASURE_PERIOD_BROKER_VALUE","DEEP_MEASURE_ID_OVERRIDE",$C166,"DEEP_BROKER_ID_OVERRIDE",BI$24,"DEEP_PERIOD_OVERRIDE",$H$19)*1,"")))</f>
        <v/>
      </c>
      <c r="BJ166" t="str">
        <f>IF(OR(BJ$23="",ISNA($B166)),"",IF(ISBLANK($B166),"",IFERROR(_xll.BDP(TICKER,"DEEP_MEASURE_PERIOD_BROKER_VALUE","DEEP_MEASURE_ID_OVERRIDE",$C166,"DEEP_BROKER_ID_OVERRIDE",BJ$24,"DEEP_PERIOD_OVERRIDE",$H$19)*1,"")))</f>
        <v/>
      </c>
      <c r="BK166" t="str">
        <f>IF(OR(BK$23="",ISNA($B166)),"",IF(ISBLANK($B166),"",IFERROR(_xll.BDP(TICKER,"DEEP_MEASURE_PERIOD_BROKER_VALUE","DEEP_MEASURE_ID_OVERRIDE",$C166,"DEEP_BROKER_ID_OVERRIDE",BK$24,"DEEP_PERIOD_OVERRIDE",$H$19)*1,"")))</f>
        <v/>
      </c>
      <c r="BL166" t="str">
        <f>IF(OR(BL$23="",ISNA($B166)),"",IF(ISBLANK($B166),"",IFERROR(_xll.BDP(TICKER,"DEEP_MEASURE_PERIOD_BROKER_VALUE","DEEP_MEASURE_ID_OVERRIDE",$C166,"DEEP_BROKER_ID_OVERRIDE",BL$24,"DEEP_PERIOD_OVERRIDE",$H$19)*1,"")))</f>
        <v/>
      </c>
      <c r="BM166" t="str">
        <f>IF(OR(BM$23="",ISNA($B166)),"",IF(ISBLANK($B166),"",IFERROR(_xll.BDP(TICKER,"DEEP_MEASURE_PERIOD_BROKER_VALUE","DEEP_MEASURE_ID_OVERRIDE",$C166,"DEEP_BROKER_ID_OVERRIDE",BM$24,"DEEP_PERIOD_OVERRIDE",$H$19)*1,"")))</f>
        <v/>
      </c>
      <c r="BN166" t="str">
        <f>IF(OR(BN$23="",ISNA($B166)),"",IF(ISBLANK($B166),"",IFERROR(_xll.BDP(TICKER,"DEEP_MEASURE_PERIOD_BROKER_VALUE","DEEP_MEASURE_ID_OVERRIDE",$C166,"DEEP_BROKER_ID_OVERRIDE",BN$24,"DEEP_PERIOD_OVERRIDE",$H$19)*1,"")))</f>
        <v/>
      </c>
      <c r="BO166" t="str">
        <f>IF(OR(BO$23="",ISNA($B166)),"",IF(ISBLANK($B166),"",IFERROR(_xll.BDP(TICKER,"DEEP_MEASURE_PERIOD_BROKER_VALUE","DEEP_MEASURE_ID_OVERRIDE",$C166,"DEEP_BROKER_ID_OVERRIDE",BO$24,"DEEP_PERIOD_OVERRIDE",$H$19)*1,"")))</f>
        <v/>
      </c>
      <c r="BP166" t="str">
        <f>IF(OR(BP$23="",ISNA($B166)),"",IF(ISBLANK($B166),"",IFERROR(_xll.BDP(TICKER,"DEEP_MEASURE_PERIOD_BROKER_VALUE","DEEP_MEASURE_ID_OVERRIDE",$C166,"DEEP_BROKER_ID_OVERRIDE",BP$24,"DEEP_PERIOD_OVERRIDE",$H$19)*1,"")))</f>
        <v/>
      </c>
      <c r="BQ166" t="str">
        <f>IF(OR(BQ$23="",ISNA($B166)),"",IF(ISBLANK($B166),"",IFERROR(_xll.BDP(TICKER,"DEEP_MEASURE_PERIOD_BROKER_VALUE","DEEP_MEASURE_ID_OVERRIDE",$C166,"DEEP_BROKER_ID_OVERRIDE",BQ$24,"DEEP_PERIOD_OVERRIDE",$H$19)*1,"")))</f>
        <v/>
      </c>
      <c r="BR166" t="str">
        <f>IF(OR(BR$23="",ISNA($B166)),"",IF(ISBLANK($B166),"",IFERROR(_xll.BDP(TICKER,"DEEP_MEASURE_PERIOD_BROKER_VALUE","DEEP_MEASURE_ID_OVERRIDE",$C166,"DEEP_BROKER_ID_OVERRIDE",BR$24,"DEEP_PERIOD_OVERRIDE",$H$19)*1,"")))</f>
        <v/>
      </c>
      <c r="BS166" t="str">
        <f>IF(OR(BS$23="",ISNA($B166)),"",IF(ISBLANK($B166),"",IFERROR(_xll.BDP(TICKER,"DEEP_MEASURE_PERIOD_BROKER_VALUE","DEEP_MEASURE_ID_OVERRIDE",$C166,"DEEP_BROKER_ID_OVERRIDE",BS$24,"DEEP_PERIOD_OVERRIDE",$H$19)*1,"")))</f>
        <v/>
      </c>
      <c r="BT166" t="str">
        <f>IF(OR(BT$23="",ISNA($B166)),"",IF(ISBLANK($B166),"",IFERROR(_xll.BDP(TICKER,"DEEP_MEASURE_PERIOD_BROKER_VALUE","DEEP_MEASURE_ID_OVERRIDE",$C166,"DEEP_BROKER_ID_OVERRIDE",BT$24,"DEEP_PERIOD_OVERRIDE",$H$19)*1,"")))</f>
        <v/>
      </c>
      <c r="BU166" t="str">
        <f>IF(OR(BU$23="",ISNA($B166)),"",IF(ISBLANK($B166),"",IFERROR(_xll.BDP(TICKER,"DEEP_MEASURE_PERIOD_BROKER_VALUE","DEEP_MEASURE_ID_OVERRIDE",$C166,"DEEP_BROKER_ID_OVERRIDE",BU$24,"DEEP_PERIOD_OVERRIDE",$H$19)*1,"")))</f>
        <v/>
      </c>
      <c r="BV166" t="str">
        <f>IF(OR(BV$23="",ISNA($B166)),"",IF(ISBLANK($B166),"",IFERROR(_xll.BDP(TICKER,"DEEP_MEASURE_PERIOD_BROKER_VALUE","DEEP_MEASURE_ID_OVERRIDE",$C166,"DEEP_BROKER_ID_OVERRIDE",BV$24,"DEEP_PERIOD_OVERRIDE",$H$19)*1,"")))</f>
        <v/>
      </c>
      <c r="BW166" t="str">
        <f>IF(OR(BW$23="",ISNA($B166)),"",IF(ISBLANK($B166),"",IFERROR(_xll.BDP(TICKER,"DEEP_MEASURE_PERIOD_BROKER_VALUE","DEEP_MEASURE_ID_OVERRIDE",$C166,"DEEP_BROKER_ID_OVERRIDE",BW$24,"DEEP_PERIOD_OVERRIDE",$H$19)*1,"")))</f>
        <v/>
      </c>
      <c r="BX166" t="str">
        <f>IF(OR(BX$23="",ISNA($B166)),"",IF(ISBLANK($B166),"",IFERROR(_xll.BDP(TICKER,"DEEP_MEASURE_PERIOD_BROKER_VALUE","DEEP_MEASURE_ID_OVERRIDE",$C166,"DEEP_BROKER_ID_OVERRIDE",BX$24,"DEEP_PERIOD_OVERRIDE",$H$19)*1,"")))</f>
        <v/>
      </c>
      <c r="BY166" t="str">
        <f>IF(OR(BY$23="",ISNA($B166)),"",IF(ISBLANK($B166),"",IFERROR(_xll.BDP(TICKER,"DEEP_MEASURE_PERIOD_BROKER_VALUE","DEEP_MEASURE_ID_OVERRIDE",$C166,"DEEP_BROKER_ID_OVERRIDE",BY$24,"DEEP_PERIOD_OVERRIDE",$H$19)*1,"")))</f>
        <v/>
      </c>
      <c r="BZ166" t="str">
        <f>IF(OR(BZ$23="",ISNA($B166)),"",IF(ISBLANK($B166),"",IFERROR(_xll.BDP(TICKER,"DEEP_MEASURE_PERIOD_BROKER_VALUE","DEEP_MEASURE_ID_OVERRIDE",$C166,"DEEP_BROKER_ID_OVERRIDE",BZ$24,"DEEP_PERIOD_OVERRIDE",$H$19)*1,"")))</f>
        <v/>
      </c>
    </row>
    <row r="167" spans="2:78" x14ac:dyDescent="0.25">
      <c r="B167" t="s">
        <v>192</v>
      </c>
      <c r="C167">
        <v>501</v>
      </c>
      <c r="H167" t="str">
        <f t="shared" si="3"/>
        <v>Assets &gt; Current Assets &gt; Prepaid Expenses &amp; Other Current Assets &gt; As % of Revenue</v>
      </c>
      <c r="I167" t="str">
        <f>IF(OR(I$23="",ISNA($B167)),"",IF(ISBLANK($B167),"",IFERROR(_xll.BDP(TICKER,"DEEP_MEASURE_PERIOD_BROKER_VALUE","DEEP_MEASURE_ID_OVERRIDE",$C167,"DEEP_PERIOD_OVERRIDE",$H$19)*1,"")))</f>
        <v/>
      </c>
      <c r="J167" t="e">
        <f>IF(OR(J$23="",ISNA($B167)),"",IF(ISBLANK($B167),"",IFERROR(_xll.BDP(TICKER,"DEEP_MEASURE_PERIOD_BROKER_VALUE","DEEP_MEASURE_ID_OVERRIDE",$C167,"DEEP_BROKER_ID_OVERRIDE",J$24,"DEEP_PERIOD_OVERRIDE",$H$19)*1,"")))</f>
        <v>#REF!</v>
      </c>
      <c r="K167" t="str">
        <f>IF(OR(K$23="",ISNA($B167)),"",IF(ISBLANK($B167),"",IFERROR(_xll.BDP(TICKER,"DEEP_MEASURE_PERIOD_BROKER_VALUE","DEEP_MEASURE_ID_OVERRIDE",$C167,"DEEP_BROKER_ID_OVERRIDE",K$24,"DEEP_PERIOD_OVERRIDE",$H$19)*1,"")))</f>
        <v/>
      </c>
      <c r="L167" t="str">
        <f>IF(OR(L$23="",ISNA($B167)),"",IF(ISBLANK($B167),"",IFERROR(_xll.BDP(TICKER,"DEEP_MEASURE_PERIOD_BROKER_VALUE","DEEP_MEASURE_ID_OVERRIDE",$C167,"DEEP_BROKER_ID_OVERRIDE",L$24,"DEEP_PERIOD_OVERRIDE",$H$19)*1,"")))</f>
        <v/>
      </c>
      <c r="M167" t="str">
        <f>IF(OR(M$23="",ISNA($B167)),"",IF(ISBLANK($B167),"",IFERROR(_xll.BDP(TICKER,"DEEP_MEASURE_PERIOD_BROKER_VALUE","DEEP_MEASURE_ID_OVERRIDE",$C167,"DEEP_BROKER_ID_OVERRIDE",M$24,"DEEP_PERIOD_OVERRIDE",$H$19)*1,"")))</f>
        <v/>
      </c>
      <c r="N167" t="str">
        <f>IF(OR(N$23="",ISNA($B167)),"",IF(ISBLANK($B167),"",IFERROR(_xll.BDP(TICKER,"DEEP_MEASURE_PERIOD_BROKER_VALUE","DEEP_MEASURE_ID_OVERRIDE",$C167,"DEEP_BROKER_ID_OVERRIDE",N$24,"DEEP_PERIOD_OVERRIDE",$H$19)*1,"")))</f>
        <v/>
      </c>
      <c r="O167" t="str">
        <f>IF(OR(O$23="",ISNA($B167)),"",IF(ISBLANK($B167),"",IFERROR(_xll.BDP(TICKER,"DEEP_MEASURE_PERIOD_BROKER_VALUE","DEEP_MEASURE_ID_OVERRIDE",$C167,"DEEP_BROKER_ID_OVERRIDE",O$24,"DEEP_PERIOD_OVERRIDE",$H$19)*1,"")))</f>
        <v/>
      </c>
      <c r="P167" t="str">
        <f>IF(OR(P$23="",ISNA($B167)),"",IF(ISBLANK($B167),"",IFERROR(_xll.BDP(TICKER,"DEEP_MEASURE_PERIOD_BROKER_VALUE","DEEP_MEASURE_ID_OVERRIDE",$C167,"DEEP_BROKER_ID_OVERRIDE",P$24,"DEEP_PERIOD_OVERRIDE",$H$19)*1,"")))</f>
        <v/>
      </c>
      <c r="Q167" t="str">
        <f>IF(OR(Q$23="",ISNA($B167)),"",IF(ISBLANK($B167),"",IFERROR(_xll.BDP(TICKER,"DEEP_MEASURE_PERIOD_BROKER_VALUE","DEEP_MEASURE_ID_OVERRIDE",$C167,"DEEP_BROKER_ID_OVERRIDE",Q$24,"DEEP_PERIOD_OVERRIDE",$H$19)*1,"")))</f>
        <v/>
      </c>
      <c r="R167" t="str">
        <f>IF(OR(R$23="",ISNA($B167)),"",IF(ISBLANK($B167),"",IFERROR(_xll.BDP(TICKER,"DEEP_MEASURE_PERIOD_BROKER_VALUE","DEEP_MEASURE_ID_OVERRIDE",$C167,"DEEP_BROKER_ID_OVERRIDE",R$24,"DEEP_PERIOD_OVERRIDE",$H$19)*1,"")))</f>
        <v/>
      </c>
      <c r="S167" t="str">
        <f>IF(OR(S$23="",ISNA($B167)),"",IF(ISBLANK($B167),"",IFERROR(_xll.BDP(TICKER,"DEEP_MEASURE_PERIOD_BROKER_VALUE","DEEP_MEASURE_ID_OVERRIDE",$C167,"DEEP_BROKER_ID_OVERRIDE",S$24,"DEEP_PERIOD_OVERRIDE",$H$19)*1,"")))</f>
        <v/>
      </c>
      <c r="T167" t="str">
        <f>IF(OR(T$23="",ISNA($B167)),"",IF(ISBLANK($B167),"",IFERROR(_xll.BDP(TICKER,"DEEP_MEASURE_PERIOD_BROKER_VALUE","DEEP_MEASURE_ID_OVERRIDE",$C167,"DEEP_BROKER_ID_OVERRIDE",T$24,"DEEP_PERIOD_OVERRIDE",$H$19)*1,"")))</f>
        <v/>
      </c>
      <c r="U167" t="str">
        <f>IF(OR(U$23="",ISNA($B167)),"",IF(ISBLANK($B167),"",IFERROR(_xll.BDP(TICKER,"DEEP_MEASURE_PERIOD_BROKER_VALUE","DEEP_MEASURE_ID_OVERRIDE",$C167,"DEEP_BROKER_ID_OVERRIDE",U$24,"DEEP_PERIOD_OVERRIDE",$H$19)*1,"")))</f>
        <v/>
      </c>
      <c r="V167" t="str">
        <f>IF(OR(V$23="",ISNA($B167)),"",IF(ISBLANK($B167),"",IFERROR(_xll.BDP(TICKER,"DEEP_MEASURE_PERIOD_BROKER_VALUE","DEEP_MEASURE_ID_OVERRIDE",$C167,"DEEP_BROKER_ID_OVERRIDE",V$24,"DEEP_PERIOD_OVERRIDE",$H$19)*1,"")))</f>
        <v/>
      </c>
      <c r="W167" t="str">
        <f>IF(OR(W$23="",ISNA($B167)),"",IF(ISBLANK($B167),"",IFERROR(_xll.BDP(TICKER,"DEEP_MEASURE_PERIOD_BROKER_VALUE","DEEP_MEASURE_ID_OVERRIDE",$C167,"DEEP_BROKER_ID_OVERRIDE",W$24,"DEEP_PERIOD_OVERRIDE",$H$19)*1,"")))</f>
        <v/>
      </c>
      <c r="X167" t="str">
        <f>IF(OR(X$23="",ISNA($B167)),"",IF(ISBLANK($B167),"",IFERROR(_xll.BDP(TICKER,"DEEP_MEASURE_PERIOD_BROKER_VALUE","DEEP_MEASURE_ID_OVERRIDE",$C167,"DEEP_BROKER_ID_OVERRIDE",X$24,"DEEP_PERIOD_OVERRIDE",$H$19)*1,"")))</f>
        <v/>
      </c>
      <c r="Y167" t="str">
        <f>IF(OR(Y$23="",ISNA($B167)),"",IF(ISBLANK($B167),"",IFERROR(_xll.BDP(TICKER,"DEEP_MEASURE_PERIOD_BROKER_VALUE","DEEP_MEASURE_ID_OVERRIDE",$C167,"DEEP_BROKER_ID_OVERRIDE",Y$24,"DEEP_PERIOD_OVERRIDE",$H$19)*1,"")))</f>
        <v/>
      </c>
      <c r="Z167" t="str">
        <f>IF(OR(Z$23="",ISNA($B167)),"",IF(ISBLANK($B167),"",IFERROR(_xll.BDP(TICKER,"DEEP_MEASURE_PERIOD_BROKER_VALUE","DEEP_MEASURE_ID_OVERRIDE",$C167,"DEEP_BROKER_ID_OVERRIDE",Z$24,"DEEP_PERIOD_OVERRIDE",$H$19)*1,"")))</f>
        <v/>
      </c>
      <c r="AA167" t="str">
        <f>IF(OR(AA$23="",ISNA($B167)),"",IF(ISBLANK($B167),"",IFERROR(_xll.BDP(TICKER,"DEEP_MEASURE_PERIOD_BROKER_VALUE","DEEP_MEASURE_ID_OVERRIDE",$C167,"DEEP_BROKER_ID_OVERRIDE",AA$24,"DEEP_PERIOD_OVERRIDE",$H$19)*1,"")))</f>
        <v/>
      </c>
      <c r="AB167" t="str">
        <f>IF(OR(AB$23="",ISNA($B167)),"",IF(ISBLANK($B167),"",IFERROR(_xll.BDP(TICKER,"DEEP_MEASURE_PERIOD_BROKER_VALUE","DEEP_MEASURE_ID_OVERRIDE",$C167,"DEEP_BROKER_ID_OVERRIDE",AB$24,"DEEP_PERIOD_OVERRIDE",$H$19)*1,"")))</f>
        <v/>
      </c>
      <c r="AC167" t="str">
        <f>IF(OR(AC$23="",ISNA($B167)),"",IF(ISBLANK($B167),"",IFERROR(_xll.BDP(TICKER,"DEEP_MEASURE_PERIOD_BROKER_VALUE","DEEP_MEASURE_ID_OVERRIDE",$C167,"DEEP_BROKER_ID_OVERRIDE",AC$24,"DEEP_PERIOD_OVERRIDE",$H$19)*1,"")))</f>
        <v/>
      </c>
      <c r="AD167" t="str">
        <f>IF(OR(AD$23="",ISNA($B167)),"",IF(ISBLANK($B167),"",IFERROR(_xll.BDP(TICKER,"DEEP_MEASURE_PERIOD_BROKER_VALUE","DEEP_MEASURE_ID_OVERRIDE",$C167,"DEEP_BROKER_ID_OVERRIDE",AD$24,"DEEP_PERIOD_OVERRIDE",$H$19)*1,"")))</f>
        <v/>
      </c>
      <c r="AE167" t="str">
        <f>IF(OR(AE$23="",ISNA($B167)),"",IF(ISBLANK($B167),"",IFERROR(_xll.BDP(TICKER,"DEEP_MEASURE_PERIOD_BROKER_VALUE","DEEP_MEASURE_ID_OVERRIDE",$C167,"DEEP_BROKER_ID_OVERRIDE",AE$24,"DEEP_PERIOD_OVERRIDE",$H$19)*1,"")))</f>
        <v/>
      </c>
      <c r="AF167" t="str">
        <f>IF(OR(AF$23="",ISNA($B167)),"",IF(ISBLANK($B167),"",IFERROR(_xll.BDP(TICKER,"DEEP_MEASURE_PERIOD_BROKER_VALUE","DEEP_MEASURE_ID_OVERRIDE",$C167,"DEEP_BROKER_ID_OVERRIDE",AF$24,"DEEP_PERIOD_OVERRIDE",$H$19)*1,"")))</f>
        <v/>
      </c>
      <c r="AG167" t="str">
        <f>IF(OR(AG$23="",ISNA($B167)),"",IF(ISBLANK($B167),"",IFERROR(_xll.BDP(TICKER,"DEEP_MEASURE_PERIOD_BROKER_VALUE","DEEP_MEASURE_ID_OVERRIDE",$C167,"DEEP_BROKER_ID_OVERRIDE",AG$24,"DEEP_PERIOD_OVERRIDE",$H$19)*1,"")))</f>
        <v/>
      </c>
      <c r="AH167" t="str">
        <f>IF(OR(AH$23="",ISNA($B167)),"",IF(ISBLANK($B167),"",IFERROR(_xll.BDP(TICKER,"DEEP_MEASURE_PERIOD_BROKER_VALUE","DEEP_MEASURE_ID_OVERRIDE",$C167,"DEEP_BROKER_ID_OVERRIDE",AH$24,"DEEP_PERIOD_OVERRIDE",$H$19)*1,"")))</f>
        <v/>
      </c>
      <c r="AI167" t="str">
        <f>IF(OR(AI$23="",ISNA($B167)),"",IF(ISBLANK($B167),"",IFERROR(_xll.BDP(TICKER,"DEEP_MEASURE_PERIOD_BROKER_VALUE","DEEP_MEASURE_ID_OVERRIDE",$C167,"DEEP_BROKER_ID_OVERRIDE",AI$24,"DEEP_PERIOD_OVERRIDE",$H$19)*1,"")))</f>
        <v/>
      </c>
      <c r="AJ167" t="str">
        <f>IF(OR(AJ$23="",ISNA($B167)),"",IF(ISBLANK($B167),"",IFERROR(_xll.BDP(TICKER,"DEEP_MEASURE_PERIOD_BROKER_VALUE","DEEP_MEASURE_ID_OVERRIDE",$C167,"DEEP_BROKER_ID_OVERRIDE",AJ$24,"DEEP_PERIOD_OVERRIDE",$H$19)*1,"")))</f>
        <v/>
      </c>
      <c r="AK167" t="str">
        <f>IF(OR(AK$23="",ISNA($B167)),"",IF(ISBLANK($B167),"",IFERROR(_xll.BDP(TICKER,"DEEP_MEASURE_PERIOD_BROKER_VALUE","DEEP_MEASURE_ID_OVERRIDE",$C167,"DEEP_BROKER_ID_OVERRIDE",AK$24,"DEEP_PERIOD_OVERRIDE",$H$19)*1,"")))</f>
        <v/>
      </c>
      <c r="AL167" t="str">
        <f>IF(OR(AL$23="",ISNA($B167)),"",IF(ISBLANK($B167),"",IFERROR(_xll.BDP(TICKER,"DEEP_MEASURE_PERIOD_BROKER_VALUE","DEEP_MEASURE_ID_OVERRIDE",$C167,"DEEP_BROKER_ID_OVERRIDE",AL$24,"DEEP_PERIOD_OVERRIDE",$H$19)*1,"")))</f>
        <v/>
      </c>
      <c r="AM167" t="str">
        <f>IF(OR(AM$23="",ISNA($B167)),"",IF(ISBLANK($B167),"",IFERROR(_xll.BDP(TICKER,"DEEP_MEASURE_PERIOD_BROKER_VALUE","DEEP_MEASURE_ID_OVERRIDE",$C167,"DEEP_BROKER_ID_OVERRIDE",AM$24,"DEEP_PERIOD_OVERRIDE",$H$19)*1,"")))</f>
        <v/>
      </c>
      <c r="AN167" t="str">
        <f>IF(OR(AN$23="",ISNA($B167)),"",IF(ISBLANK($B167),"",IFERROR(_xll.BDP(TICKER,"DEEP_MEASURE_PERIOD_BROKER_VALUE","DEEP_MEASURE_ID_OVERRIDE",$C167,"DEEP_BROKER_ID_OVERRIDE",AN$24,"DEEP_PERIOD_OVERRIDE",$H$19)*1,"")))</f>
        <v/>
      </c>
      <c r="AO167" t="str">
        <f>IF(OR(AO$23="",ISNA($B167)),"",IF(ISBLANK($B167),"",IFERROR(_xll.BDP(TICKER,"DEEP_MEASURE_PERIOD_BROKER_VALUE","DEEP_MEASURE_ID_OVERRIDE",$C167,"DEEP_BROKER_ID_OVERRIDE",AO$24,"DEEP_PERIOD_OVERRIDE",$H$19)*1,"")))</f>
        <v/>
      </c>
      <c r="AP167" t="str">
        <f>IF(OR(AP$23="",ISNA($B167)),"",IF(ISBLANK($B167),"",IFERROR(_xll.BDP(TICKER,"DEEP_MEASURE_PERIOD_BROKER_VALUE","DEEP_MEASURE_ID_OVERRIDE",$C167,"DEEP_BROKER_ID_OVERRIDE",AP$24,"DEEP_PERIOD_OVERRIDE",$H$19)*1,"")))</f>
        <v/>
      </c>
      <c r="AQ167" t="str">
        <f>IF(OR(AQ$23="",ISNA($B167)),"",IF(ISBLANK($B167),"",IFERROR(_xll.BDP(TICKER,"DEEP_MEASURE_PERIOD_BROKER_VALUE","DEEP_MEASURE_ID_OVERRIDE",$C167,"DEEP_BROKER_ID_OVERRIDE",AQ$24,"DEEP_PERIOD_OVERRIDE",$H$19)*1,"")))</f>
        <v/>
      </c>
      <c r="AR167" t="str">
        <f>IF(OR(AR$23="",ISNA($B167)),"",IF(ISBLANK($B167),"",IFERROR(_xll.BDP(TICKER,"DEEP_MEASURE_PERIOD_BROKER_VALUE","DEEP_MEASURE_ID_OVERRIDE",$C167,"DEEP_BROKER_ID_OVERRIDE",AR$24,"DEEP_PERIOD_OVERRIDE",$H$19)*1,"")))</f>
        <v/>
      </c>
      <c r="AS167" t="str">
        <f>IF(OR(AS$23="",ISNA($B167)),"",IF(ISBLANK($B167),"",IFERROR(_xll.BDP(TICKER,"DEEP_MEASURE_PERIOD_BROKER_VALUE","DEEP_MEASURE_ID_OVERRIDE",$C167,"DEEP_BROKER_ID_OVERRIDE",AS$24,"DEEP_PERIOD_OVERRIDE",$H$19)*1,"")))</f>
        <v/>
      </c>
      <c r="AT167" t="str">
        <f>IF(OR(AT$23="",ISNA($B167)),"",IF(ISBLANK($B167),"",IFERROR(_xll.BDP(TICKER,"DEEP_MEASURE_PERIOD_BROKER_VALUE","DEEP_MEASURE_ID_OVERRIDE",$C167,"DEEP_BROKER_ID_OVERRIDE",AT$24,"DEEP_PERIOD_OVERRIDE",$H$19)*1,"")))</f>
        <v/>
      </c>
      <c r="AU167" t="str">
        <f>IF(OR(AU$23="",ISNA($B167)),"",IF(ISBLANK($B167),"",IFERROR(_xll.BDP(TICKER,"DEEP_MEASURE_PERIOD_BROKER_VALUE","DEEP_MEASURE_ID_OVERRIDE",$C167,"DEEP_BROKER_ID_OVERRIDE",AU$24,"DEEP_PERIOD_OVERRIDE",$H$19)*1,"")))</f>
        <v/>
      </c>
      <c r="AV167" t="str">
        <f>IF(OR(AV$23="",ISNA($B167)),"",IF(ISBLANK($B167),"",IFERROR(_xll.BDP(TICKER,"DEEP_MEASURE_PERIOD_BROKER_VALUE","DEEP_MEASURE_ID_OVERRIDE",$C167,"DEEP_BROKER_ID_OVERRIDE",AV$24,"DEEP_PERIOD_OVERRIDE",$H$19)*1,"")))</f>
        <v/>
      </c>
      <c r="AW167" t="str">
        <f>IF(OR(AW$23="",ISNA($B167)),"",IF(ISBLANK($B167),"",IFERROR(_xll.BDP(TICKER,"DEEP_MEASURE_PERIOD_BROKER_VALUE","DEEP_MEASURE_ID_OVERRIDE",$C167,"DEEP_BROKER_ID_OVERRIDE",AW$24,"DEEP_PERIOD_OVERRIDE",$H$19)*1,"")))</f>
        <v/>
      </c>
      <c r="AX167" t="str">
        <f>IF(OR(AX$23="",ISNA($B167)),"",IF(ISBLANK($B167),"",IFERROR(_xll.BDP(TICKER,"DEEP_MEASURE_PERIOD_BROKER_VALUE","DEEP_MEASURE_ID_OVERRIDE",$C167,"DEEP_BROKER_ID_OVERRIDE",AX$24,"DEEP_PERIOD_OVERRIDE",$H$19)*1,"")))</f>
        <v/>
      </c>
      <c r="AY167" t="str">
        <f>IF(OR(AY$23="",ISNA($B167)),"",IF(ISBLANK($B167),"",IFERROR(_xll.BDP(TICKER,"DEEP_MEASURE_PERIOD_BROKER_VALUE","DEEP_MEASURE_ID_OVERRIDE",$C167,"DEEP_BROKER_ID_OVERRIDE",AY$24,"DEEP_PERIOD_OVERRIDE",$H$19)*1,"")))</f>
        <v/>
      </c>
      <c r="AZ167" t="str">
        <f>IF(OR(AZ$23="",ISNA($B167)),"",IF(ISBLANK($B167),"",IFERROR(_xll.BDP(TICKER,"DEEP_MEASURE_PERIOD_BROKER_VALUE","DEEP_MEASURE_ID_OVERRIDE",$C167,"DEEP_BROKER_ID_OVERRIDE",AZ$24,"DEEP_PERIOD_OVERRIDE",$H$19)*1,"")))</f>
        <v/>
      </c>
      <c r="BA167" t="str">
        <f>IF(OR(BA$23="",ISNA($B167)),"",IF(ISBLANK($B167),"",IFERROR(_xll.BDP(TICKER,"DEEP_MEASURE_PERIOD_BROKER_VALUE","DEEP_MEASURE_ID_OVERRIDE",$C167,"DEEP_BROKER_ID_OVERRIDE",BA$24,"DEEP_PERIOD_OVERRIDE",$H$19)*1,"")))</f>
        <v/>
      </c>
      <c r="BB167" t="str">
        <f>IF(OR(BB$23="",ISNA($B167)),"",IF(ISBLANK($B167),"",IFERROR(_xll.BDP(TICKER,"DEEP_MEASURE_PERIOD_BROKER_VALUE","DEEP_MEASURE_ID_OVERRIDE",$C167,"DEEP_BROKER_ID_OVERRIDE",BB$24,"DEEP_PERIOD_OVERRIDE",$H$19)*1,"")))</f>
        <v/>
      </c>
      <c r="BC167" t="str">
        <f>IF(OR(BC$23="",ISNA($B167)),"",IF(ISBLANK($B167),"",IFERROR(_xll.BDP(TICKER,"DEEP_MEASURE_PERIOD_BROKER_VALUE","DEEP_MEASURE_ID_OVERRIDE",$C167,"DEEP_BROKER_ID_OVERRIDE",BC$24,"DEEP_PERIOD_OVERRIDE",$H$19)*1,"")))</f>
        <v/>
      </c>
      <c r="BD167" t="str">
        <f>IF(OR(BD$23="",ISNA($B167)),"",IF(ISBLANK($B167),"",IFERROR(_xll.BDP(TICKER,"DEEP_MEASURE_PERIOD_BROKER_VALUE","DEEP_MEASURE_ID_OVERRIDE",$C167,"DEEP_BROKER_ID_OVERRIDE",BD$24,"DEEP_PERIOD_OVERRIDE",$H$19)*1,"")))</f>
        <v/>
      </c>
      <c r="BE167" t="str">
        <f>IF(OR(BE$23="",ISNA($B167)),"",IF(ISBLANK($B167),"",IFERROR(_xll.BDP(TICKER,"DEEP_MEASURE_PERIOD_BROKER_VALUE","DEEP_MEASURE_ID_OVERRIDE",$C167,"DEEP_BROKER_ID_OVERRIDE",BE$24,"DEEP_PERIOD_OVERRIDE",$H$19)*1,"")))</f>
        <v/>
      </c>
      <c r="BF167" t="str">
        <f>IF(OR(BF$23="",ISNA($B167)),"",IF(ISBLANK($B167),"",IFERROR(_xll.BDP(TICKER,"DEEP_MEASURE_PERIOD_BROKER_VALUE","DEEP_MEASURE_ID_OVERRIDE",$C167,"DEEP_BROKER_ID_OVERRIDE",BF$24,"DEEP_PERIOD_OVERRIDE",$H$19)*1,"")))</f>
        <v/>
      </c>
      <c r="BG167" t="str">
        <f>IF(OR(BG$23="",ISNA($B167)),"",IF(ISBLANK($B167),"",IFERROR(_xll.BDP(TICKER,"DEEP_MEASURE_PERIOD_BROKER_VALUE","DEEP_MEASURE_ID_OVERRIDE",$C167,"DEEP_BROKER_ID_OVERRIDE",BG$24,"DEEP_PERIOD_OVERRIDE",$H$19)*1,"")))</f>
        <v/>
      </c>
      <c r="BH167" t="str">
        <f>IF(OR(BH$23="",ISNA($B167)),"",IF(ISBLANK($B167),"",IFERROR(_xll.BDP(TICKER,"DEEP_MEASURE_PERIOD_BROKER_VALUE","DEEP_MEASURE_ID_OVERRIDE",$C167,"DEEP_BROKER_ID_OVERRIDE",BH$24,"DEEP_PERIOD_OVERRIDE",$H$19)*1,"")))</f>
        <v/>
      </c>
      <c r="BI167" t="str">
        <f>IF(OR(BI$23="",ISNA($B167)),"",IF(ISBLANK($B167),"",IFERROR(_xll.BDP(TICKER,"DEEP_MEASURE_PERIOD_BROKER_VALUE","DEEP_MEASURE_ID_OVERRIDE",$C167,"DEEP_BROKER_ID_OVERRIDE",BI$24,"DEEP_PERIOD_OVERRIDE",$H$19)*1,"")))</f>
        <v/>
      </c>
      <c r="BJ167" t="str">
        <f>IF(OR(BJ$23="",ISNA($B167)),"",IF(ISBLANK($B167),"",IFERROR(_xll.BDP(TICKER,"DEEP_MEASURE_PERIOD_BROKER_VALUE","DEEP_MEASURE_ID_OVERRIDE",$C167,"DEEP_BROKER_ID_OVERRIDE",BJ$24,"DEEP_PERIOD_OVERRIDE",$H$19)*1,"")))</f>
        <v/>
      </c>
      <c r="BK167" t="str">
        <f>IF(OR(BK$23="",ISNA($B167)),"",IF(ISBLANK($B167),"",IFERROR(_xll.BDP(TICKER,"DEEP_MEASURE_PERIOD_BROKER_VALUE","DEEP_MEASURE_ID_OVERRIDE",$C167,"DEEP_BROKER_ID_OVERRIDE",BK$24,"DEEP_PERIOD_OVERRIDE",$H$19)*1,"")))</f>
        <v/>
      </c>
      <c r="BL167" t="str">
        <f>IF(OR(BL$23="",ISNA($B167)),"",IF(ISBLANK($B167),"",IFERROR(_xll.BDP(TICKER,"DEEP_MEASURE_PERIOD_BROKER_VALUE","DEEP_MEASURE_ID_OVERRIDE",$C167,"DEEP_BROKER_ID_OVERRIDE",BL$24,"DEEP_PERIOD_OVERRIDE",$H$19)*1,"")))</f>
        <v/>
      </c>
      <c r="BM167" t="str">
        <f>IF(OR(BM$23="",ISNA($B167)),"",IF(ISBLANK($B167),"",IFERROR(_xll.BDP(TICKER,"DEEP_MEASURE_PERIOD_BROKER_VALUE","DEEP_MEASURE_ID_OVERRIDE",$C167,"DEEP_BROKER_ID_OVERRIDE",BM$24,"DEEP_PERIOD_OVERRIDE",$H$19)*1,"")))</f>
        <v/>
      </c>
      <c r="BN167" t="str">
        <f>IF(OR(BN$23="",ISNA($B167)),"",IF(ISBLANK($B167),"",IFERROR(_xll.BDP(TICKER,"DEEP_MEASURE_PERIOD_BROKER_VALUE","DEEP_MEASURE_ID_OVERRIDE",$C167,"DEEP_BROKER_ID_OVERRIDE",BN$24,"DEEP_PERIOD_OVERRIDE",$H$19)*1,"")))</f>
        <v/>
      </c>
      <c r="BO167" t="str">
        <f>IF(OR(BO$23="",ISNA($B167)),"",IF(ISBLANK($B167),"",IFERROR(_xll.BDP(TICKER,"DEEP_MEASURE_PERIOD_BROKER_VALUE","DEEP_MEASURE_ID_OVERRIDE",$C167,"DEEP_BROKER_ID_OVERRIDE",BO$24,"DEEP_PERIOD_OVERRIDE",$H$19)*1,"")))</f>
        <v/>
      </c>
      <c r="BP167" t="str">
        <f>IF(OR(BP$23="",ISNA($B167)),"",IF(ISBLANK($B167),"",IFERROR(_xll.BDP(TICKER,"DEEP_MEASURE_PERIOD_BROKER_VALUE","DEEP_MEASURE_ID_OVERRIDE",$C167,"DEEP_BROKER_ID_OVERRIDE",BP$24,"DEEP_PERIOD_OVERRIDE",$H$19)*1,"")))</f>
        <v/>
      </c>
      <c r="BQ167" t="str">
        <f>IF(OR(BQ$23="",ISNA($B167)),"",IF(ISBLANK($B167),"",IFERROR(_xll.BDP(TICKER,"DEEP_MEASURE_PERIOD_BROKER_VALUE","DEEP_MEASURE_ID_OVERRIDE",$C167,"DEEP_BROKER_ID_OVERRIDE",BQ$24,"DEEP_PERIOD_OVERRIDE",$H$19)*1,"")))</f>
        <v/>
      </c>
      <c r="BR167" t="str">
        <f>IF(OR(BR$23="",ISNA($B167)),"",IF(ISBLANK($B167),"",IFERROR(_xll.BDP(TICKER,"DEEP_MEASURE_PERIOD_BROKER_VALUE","DEEP_MEASURE_ID_OVERRIDE",$C167,"DEEP_BROKER_ID_OVERRIDE",BR$24,"DEEP_PERIOD_OVERRIDE",$H$19)*1,"")))</f>
        <v/>
      </c>
      <c r="BS167" t="str">
        <f>IF(OR(BS$23="",ISNA($B167)),"",IF(ISBLANK($B167),"",IFERROR(_xll.BDP(TICKER,"DEEP_MEASURE_PERIOD_BROKER_VALUE","DEEP_MEASURE_ID_OVERRIDE",$C167,"DEEP_BROKER_ID_OVERRIDE",BS$24,"DEEP_PERIOD_OVERRIDE",$H$19)*1,"")))</f>
        <v/>
      </c>
      <c r="BT167" t="str">
        <f>IF(OR(BT$23="",ISNA($B167)),"",IF(ISBLANK($B167),"",IFERROR(_xll.BDP(TICKER,"DEEP_MEASURE_PERIOD_BROKER_VALUE","DEEP_MEASURE_ID_OVERRIDE",$C167,"DEEP_BROKER_ID_OVERRIDE",BT$24,"DEEP_PERIOD_OVERRIDE",$H$19)*1,"")))</f>
        <v/>
      </c>
      <c r="BU167" t="str">
        <f>IF(OR(BU$23="",ISNA($B167)),"",IF(ISBLANK($B167),"",IFERROR(_xll.BDP(TICKER,"DEEP_MEASURE_PERIOD_BROKER_VALUE","DEEP_MEASURE_ID_OVERRIDE",$C167,"DEEP_BROKER_ID_OVERRIDE",BU$24,"DEEP_PERIOD_OVERRIDE",$H$19)*1,"")))</f>
        <v/>
      </c>
      <c r="BV167" t="str">
        <f>IF(OR(BV$23="",ISNA($B167)),"",IF(ISBLANK($B167),"",IFERROR(_xll.BDP(TICKER,"DEEP_MEASURE_PERIOD_BROKER_VALUE","DEEP_MEASURE_ID_OVERRIDE",$C167,"DEEP_BROKER_ID_OVERRIDE",BV$24,"DEEP_PERIOD_OVERRIDE",$H$19)*1,"")))</f>
        <v/>
      </c>
      <c r="BW167" t="str">
        <f>IF(OR(BW$23="",ISNA($B167)),"",IF(ISBLANK($B167),"",IFERROR(_xll.BDP(TICKER,"DEEP_MEASURE_PERIOD_BROKER_VALUE","DEEP_MEASURE_ID_OVERRIDE",$C167,"DEEP_BROKER_ID_OVERRIDE",BW$24,"DEEP_PERIOD_OVERRIDE",$H$19)*1,"")))</f>
        <v/>
      </c>
      <c r="BX167" t="str">
        <f>IF(OR(BX$23="",ISNA($B167)),"",IF(ISBLANK($B167),"",IFERROR(_xll.BDP(TICKER,"DEEP_MEASURE_PERIOD_BROKER_VALUE","DEEP_MEASURE_ID_OVERRIDE",$C167,"DEEP_BROKER_ID_OVERRIDE",BX$24,"DEEP_PERIOD_OVERRIDE",$H$19)*1,"")))</f>
        <v/>
      </c>
      <c r="BY167" t="str">
        <f>IF(OR(BY$23="",ISNA($B167)),"",IF(ISBLANK($B167),"",IFERROR(_xll.BDP(TICKER,"DEEP_MEASURE_PERIOD_BROKER_VALUE","DEEP_MEASURE_ID_OVERRIDE",$C167,"DEEP_BROKER_ID_OVERRIDE",BY$24,"DEEP_PERIOD_OVERRIDE",$H$19)*1,"")))</f>
        <v/>
      </c>
      <c r="BZ167" t="str">
        <f>IF(OR(BZ$23="",ISNA($B167)),"",IF(ISBLANK($B167),"",IFERROR(_xll.BDP(TICKER,"DEEP_MEASURE_PERIOD_BROKER_VALUE","DEEP_MEASURE_ID_OVERRIDE",$C167,"DEEP_BROKER_ID_OVERRIDE",BZ$24,"DEEP_PERIOD_OVERRIDE",$H$19)*1,"")))</f>
        <v/>
      </c>
    </row>
    <row r="168" spans="2:78" x14ac:dyDescent="0.25">
      <c r="B168" t="s">
        <v>193</v>
      </c>
      <c r="C168">
        <v>478</v>
      </c>
      <c r="H168" t="str">
        <f t="shared" si="3"/>
        <v>Assets &gt; Non-Current Assets &gt; Plant, Property &amp; Equipment</v>
      </c>
      <c r="I168" t="str">
        <f>IF(OR(I$23="",ISNA($B168)),"",IF(ISBLANK($B168),"",IFERROR(_xll.BDP(TICKER,"DEEP_MEASURE_PERIOD_BROKER_VALUE","DEEP_MEASURE_ID_OVERRIDE",$C168,"DEEP_PERIOD_OVERRIDE",$H$19)*1,"")))</f>
        <v/>
      </c>
      <c r="J168" t="e">
        <f>IF(OR(J$23="",ISNA($B168)),"",IF(ISBLANK($B168),"",IFERROR(_xll.BDP(TICKER,"DEEP_MEASURE_PERIOD_BROKER_VALUE","DEEP_MEASURE_ID_OVERRIDE",$C168,"DEEP_BROKER_ID_OVERRIDE",J$24,"DEEP_PERIOD_OVERRIDE",$H$19)*1,"")))</f>
        <v>#REF!</v>
      </c>
      <c r="K168" t="str">
        <f>IF(OR(K$23="",ISNA($B168)),"",IF(ISBLANK($B168),"",IFERROR(_xll.BDP(TICKER,"DEEP_MEASURE_PERIOD_BROKER_VALUE","DEEP_MEASURE_ID_OVERRIDE",$C168,"DEEP_BROKER_ID_OVERRIDE",K$24,"DEEP_PERIOD_OVERRIDE",$H$19)*1,"")))</f>
        <v/>
      </c>
      <c r="L168" t="str">
        <f>IF(OR(L$23="",ISNA($B168)),"",IF(ISBLANK($B168),"",IFERROR(_xll.BDP(TICKER,"DEEP_MEASURE_PERIOD_BROKER_VALUE","DEEP_MEASURE_ID_OVERRIDE",$C168,"DEEP_BROKER_ID_OVERRIDE",L$24,"DEEP_PERIOD_OVERRIDE",$H$19)*1,"")))</f>
        <v/>
      </c>
      <c r="M168" t="str">
        <f>IF(OR(M$23="",ISNA($B168)),"",IF(ISBLANK($B168),"",IFERROR(_xll.BDP(TICKER,"DEEP_MEASURE_PERIOD_BROKER_VALUE","DEEP_MEASURE_ID_OVERRIDE",$C168,"DEEP_BROKER_ID_OVERRIDE",M$24,"DEEP_PERIOD_OVERRIDE",$H$19)*1,"")))</f>
        <v/>
      </c>
      <c r="N168" t="str">
        <f>IF(OR(N$23="",ISNA($B168)),"",IF(ISBLANK($B168),"",IFERROR(_xll.BDP(TICKER,"DEEP_MEASURE_PERIOD_BROKER_VALUE","DEEP_MEASURE_ID_OVERRIDE",$C168,"DEEP_BROKER_ID_OVERRIDE",N$24,"DEEP_PERIOD_OVERRIDE",$H$19)*1,"")))</f>
        <v/>
      </c>
      <c r="O168" t="str">
        <f>IF(OR(O$23="",ISNA($B168)),"",IF(ISBLANK($B168),"",IFERROR(_xll.BDP(TICKER,"DEEP_MEASURE_PERIOD_BROKER_VALUE","DEEP_MEASURE_ID_OVERRIDE",$C168,"DEEP_BROKER_ID_OVERRIDE",O$24,"DEEP_PERIOD_OVERRIDE",$H$19)*1,"")))</f>
        <v/>
      </c>
      <c r="P168" t="str">
        <f>IF(OR(P$23="",ISNA($B168)),"",IF(ISBLANK($B168),"",IFERROR(_xll.BDP(TICKER,"DEEP_MEASURE_PERIOD_BROKER_VALUE","DEEP_MEASURE_ID_OVERRIDE",$C168,"DEEP_BROKER_ID_OVERRIDE",P$24,"DEEP_PERIOD_OVERRIDE",$H$19)*1,"")))</f>
        <v/>
      </c>
      <c r="Q168" t="str">
        <f>IF(OR(Q$23="",ISNA($B168)),"",IF(ISBLANK($B168),"",IFERROR(_xll.BDP(TICKER,"DEEP_MEASURE_PERIOD_BROKER_VALUE","DEEP_MEASURE_ID_OVERRIDE",$C168,"DEEP_BROKER_ID_OVERRIDE",Q$24,"DEEP_PERIOD_OVERRIDE",$H$19)*1,"")))</f>
        <v/>
      </c>
      <c r="R168" t="str">
        <f>IF(OR(R$23="",ISNA($B168)),"",IF(ISBLANK($B168),"",IFERROR(_xll.BDP(TICKER,"DEEP_MEASURE_PERIOD_BROKER_VALUE","DEEP_MEASURE_ID_OVERRIDE",$C168,"DEEP_BROKER_ID_OVERRIDE",R$24,"DEEP_PERIOD_OVERRIDE",$H$19)*1,"")))</f>
        <v/>
      </c>
      <c r="S168" t="str">
        <f>IF(OR(S$23="",ISNA($B168)),"",IF(ISBLANK($B168),"",IFERROR(_xll.BDP(TICKER,"DEEP_MEASURE_PERIOD_BROKER_VALUE","DEEP_MEASURE_ID_OVERRIDE",$C168,"DEEP_BROKER_ID_OVERRIDE",S$24,"DEEP_PERIOD_OVERRIDE",$H$19)*1,"")))</f>
        <v/>
      </c>
      <c r="T168" t="str">
        <f>IF(OR(T$23="",ISNA($B168)),"",IF(ISBLANK($B168),"",IFERROR(_xll.BDP(TICKER,"DEEP_MEASURE_PERIOD_BROKER_VALUE","DEEP_MEASURE_ID_OVERRIDE",$C168,"DEEP_BROKER_ID_OVERRIDE",T$24,"DEEP_PERIOD_OVERRIDE",$H$19)*1,"")))</f>
        <v/>
      </c>
      <c r="U168" t="str">
        <f>IF(OR(U$23="",ISNA($B168)),"",IF(ISBLANK($B168),"",IFERROR(_xll.BDP(TICKER,"DEEP_MEASURE_PERIOD_BROKER_VALUE","DEEP_MEASURE_ID_OVERRIDE",$C168,"DEEP_BROKER_ID_OVERRIDE",U$24,"DEEP_PERIOD_OVERRIDE",$H$19)*1,"")))</f>
        <v/>
      </c>
      <c r="V168" t="str">
        <f>IF(OR(V$23="",ISNA($B168)),"",IF(ISBLANK($B168),"",IFERROR(_xll.BDP(TICKER,"DEEP_MEASURE_PERIOD_BROKER_VALUE","DEEP_MEASURE_ID_OVERRIDE",$C168,"DEEP_BROKER_ID_OVERRIDE",V$24,"DEEP_PERIOD_OVERRIDE",$H$19)*1,"")))</f>
        <v/>
      </c>
      <c r="W168" t="str">
        <f>IF(OR(W$23="",ISNA($B168)),"",IF(ISBLANK($B168),"",IFERROR(_xll.BDP(TICKER,"DEEP_MEASURE_PERIOD_BROKER_VALUE","DEEP_MEASURE_ID_OVERRIDE",$C168,"DEEP_BROKER_ID_OVERRIDE",W$24,"DEEP_PERIOD_OVERRIDE",$H$19)*1,"")))</f>
        <v/>
      </c>
      <c r="X168" t="str">
        <f>IF(OR(X$23="",ISNA($B168)),"",IF(ISBLANK($B168),"",IFERROR(_xll.BDP(TICKER,"DEEP_MEASURE_PERIOD_BROKER_VALUE","DEEP_MEASURE_ID_OVERRIDE",$C168,"DEEP_BROKER_ID_OVERRIDE",X$24,"DEEP_PERIOD_OVERRIDE",$H$19)*1,"")))</f>
        <v/>
      </c>
      <c r="Y168" t="str">
        <f>IF(OR(Y$23="",ISNA($B168)),"",IF(ISBLANK($B168),"",IFERROR(_xll.BDP(TICKER,"DEEP_MEASURE_PERIOD_BROKER_VALUE","DEEP_MEASURE_ID_OVERRIDE",$C168,"DEEP_BROKER_ID_OVERRIDE",Y$24,"DEEP_PERIOD_OVERRIDE",$H$19)*1,"")))</f>
        <v/>
      </c>
      <c r="Z168" t="str">
        <f>IF(OR(Z$23="",ISNA($B168)),"",IF(ISBLANK($B168),"",IFERROR(_xll.BDP(TICKER,"DEEP_MEASURE_PERIOD_BROKER_VALUE","DEEP_MEASURE_ID_OVERRIDE",$C168,"DEEP_BROKER_ID_OVERRIDE",Z$24,"DEEP_PERIOD_OVERRIDE",$H$19)*1,"")))</f>
        <v/>
      </c>
      <c r="AA168" t="str">
        <f>IF(OR(AA$23="",ISNA($B168)),"",IF(ISBLANK($B168),"",IFERROR(_xll.BDP(TICKER,"DEEP_MEASURE_PERIOD_BROKER_VALUE","DEEP_MEASURE_ID_OVERRIDE",$C168,"DEEP_BROKER_ID_OVERRIDE",AA$24,"DEEP_PERIOD_OVERRIDE",$H$19)*1,"")))</f>
        <v/>
      </c>
      <c r="AB168" t="str">
        <f>IF(OR(AB$23="",ISNA($B168)),"",IF(ISBLANK($B168),"",IFERROR(_xll.BDP(TICKER,"DEEP_MEASURE_PERIOD_BROKER_VALUE","DEEP_MEASURE_ID_OVERRIDE",$C168,"DEEP_BROKER_ID_OVERRIDE",AB$24,"DEEP_PERIOD_OVERRIDE",$H$19)*1,"")))</f>
        <v/>
      </c>
      <c r="AC168" t="str">
        <f>IF(OR(AC$23="",ISNA($B168)),"",IF(ISBLANK($B168),"",IFERROR(_xll.BDP(TICKER,"DEEP_MEASURE_PERIOD_BROKER_VALUE","DEEP_MEASURE_ID_OVERRIDE",$C168,"DEEP_BROKER_ID_OVERRIDE",AC$24,"DEEP_PERIOD_OVERRIDE",$H$19)*1,"")))</f>
        <v/>
      </c>
      <c r="AD168" t="str">
        <f>IF(OR(AD$23="",ISNA($B168)),"",IF(ISBLANK($B168),"",IFERROR(_xll.BDP(TICKER,"DEEP_MEASURE_PERIOD_BROKER_VALUE","DEEP_MEASURE_ID_OVERRIDE",$C168,"DEEP_BROKER_ID_OVERRIDE",AD$24,"DEEP_PERIOD_OVERRIDE",$H$19)*1,"")))</f>
        <v/>
      </c>
      <c r="AE168" t="str">
        <f>IF(OR(AE$23="",ISNA($B168)),"",IF(ISBLANK($B168),"",IFERROR(_xll.BDP(TICKER,"DEEP_MEASURE_PERIOD_BROKER_VALUE","DEEP_MEASURE_ID_OVERRIDE",$C168,"DEEP_BROKER_ID_OVERRIDE",AE$24,"DEEP_PERIOD_OVERRIDE",$H$19)*1,"")))</f>
        <v/>
      </c>
      <c r="AF168" t="str">
        <f>IF(OR(AF$23="",ISNA($B168)),"",IF(ISBLANK($B168),"",IFERROR(_xll.BDP(TICKER,"DEEP_MEASURE_PERIOD_BROKER_VALUE","DEEP_MEASURE_ID_OVERRIDE",$C168,"DEEP_BROKER_ID_OVERRIDE",AF$24,"DEEP_PERIOD_OVERRIDE",$H$19)*1,"")))</f>
        <v/>
      </c>
      <c r="AG168" t="str">
        <f>IF(OR(AG$23="",ISNA($B168)),"",IF(ISBLANK($B168),"",IFERROR(_xll.BDP(TICKER,"DEEP_MEASURE_PERIOD_BROKER_VALUE","DEEP_MEASURE_ID_OVERRIDE",$C168,"DEEP_BROKER_ID_OVERRIDE",AG$24,"DEEP_PERIOD_OVERRIDE",$H$19)*1,"")))</f>
        <v/>
      </c>
      <c r="AH168" t="str">
        <f>IF(OR(AH$23="",ISNA($B168)),"",IF(ISBLANK($B168),"",IFERROR(_xll.BDP(TICKER,"DEEP_MEASURE_PERIOD_BROKER_VALUE","DEEP_MEASURE_ID_OVERRIDE",$C168,"DEEP_BROKER_ID_OVERRIDE",AH$24,"DEEP_PERIOD_OVERRIDE",$H$19)*1,"")))</f>
        <v/>
      </c>
      <c r="AI168" t="str">
        <f>IF(OR(AI$23="",ISNA($B168)),"",IF(ISBLANK($B168),"",IFERROR(_xll.BDP(TICKER,"DEEP_MEASURE_PERIOD_BROKER_VALUE","DEEP_MEASURE_ID_OVERRIDE",$C168,"DEEP_BROKER_ID_OVERRIDE",AI$24,"DEEP_PERIOD_OVERRIDE",$H$19)*1,"")))</f>
        <v/>
      </c>
      <c r="AJ168" t="str">
        <f>IF(OR(AJ$23="",ISNA($B168)),"",IF(ISBLANK($B168),"",IFERROR(_xll.BDP(TICKER,"DEEP_MEASURE_PERIOD_BROKER_VALUE","DEEP_MEASURE_ID_OVERRIDE",$C168,"DEEP_BROKER_ID_OVERRIDE",AJ$24,"DEEP_PERIOD_OVERRIDE",$H$19)*1,"")))</f>
        <v/>
      </c>
      <c r="AK168" t="str">
        <f>IF(OR(AK$23="",ISNA($B168)),"",IF(ISBLANK($B168),"",IFERROR(_xll.BDP(TICKER,"DEEP_MEASURE_PERIOD_BROKER_VALUE","DEEP_MEASURE_ID_OVERRIDE",$C168,"DEEP_BROKER_ID_OVERRIDE",AK$24,"DEEP_PERIOD_OVERRIDE",$H$19)*1,"")))</f>
        <v/>
      </c>
      <c r="AL168" t="str">
        <f>IF(OR(AL$23="",ISNA($B168)),"",IF(ISBLANK($B168),"",IFERROR(_xll.BDP(TICKER,"DEEP_MEASURE_PERIOD_BROKER_VALUE","DEEP_MEASURE_ID_OVERRIDE",$C168,"DEEP_BROKER_ID_OVERRIDE",AL$24,"DEEP_PERIOD_OVERRIDE",$H$19)*1,"")))</f>
        <v/>
      </c>
      <c r="AM168" t="str">
        <f>IF(OR(AM$23="",ISNA($B168)),"",IF(ISBLANK($B168),"",IFERROR(_xll.BDP(TICKER,"DEEP_MEASURE_PERIOD_BROKER_VALUE","DEEP_MEASURE_ID_OVERRIDE",$C168,"DEEP_BROKER_ID_OVERRIDE",AM$24,"DEEP_PERIOD_OVERRIDE",$H$19)*1,"")))</f>
        <v/>
      </c>
      <c r="AN168" t="str">
        <f>IF(OR(AN$23="",ISNA($B168)),"",IF(ISBLANK($B168),"",IFERROR(_xll.BDP(TICKER,"DEEP_MEASURE_PERIOD_BROKER_VALUE","DEEP_MEASURE_ID_OVERRIDE",$C168,"DEEP_BROKER_ID_OVERRIDE",AN$24,"DEEP_PERIOD_OVERRIDE",$H$19)*1,"")))</f>
        <v/>
      </c>
      <c r="AO168" t="str">
        <f>IF(OR(AO$23="",ISNA($B168)),"",IF(ISBLANK($B168),"",IFERROR(_xll.BDP(TICKER,"DEEP_MEASURE_PERIOD_BROKER_VALUE","DEEP_MEASURE_ID_OVERRIDE",$C168,"DEEP_BROKER_ID_OVERRIDE",AO$24,"DEEP_PERIOD_OVERRIDE",$H$19)*1,"")))</f>
        <v/>
      </c>
      <c r="AP168" t="str">
        <f>IF(OR(AP$23="",ISNA($B168)),"",IF(ISBLANK($B168),"",IFERROR(_xll.BDP(TICKER,"DEEP_MEASURE_PERIOD_BROKER_VALUE","DEEP_MEASURE_ID_OVERRIDE",$C168,"DEEP_BROKER_ID_OVERRIDE",AP$24,"DEEP_PERIOD_OVERRIDE",$H$19)*1,"")))</f>
        <v/>
      </c>
      <c r="AQ168" t="str">
        <f>IF(OR(AQ$23="",ISNA($B168)),"",IF(ISBLANK($B168),"",IFERROR(_xll.BDP(TICKER,"DEEP_MEASURE_PERIOD_BROKER_VALUE","DEEP_MEASURE_ID_OVERRIDE",$C168,"DEEP_BROKER_ID_OVERRIDE",AQ$24,"DEEP_PERIOD_OVERRIDE",$H$19)*1,"")))</f>
        <v/>
      </c>
      <c r="AR168" t="str">
        <f>IF(OR(AR$23="",ISNA($B168)),"",IF(ISBLANK($B168),"",IFERROR(_xll.BDP(TICKER,"DEEP_MEASURE_PERIOD_BROKER_VALUE","DEEP_MEASURE_ID_OVERRIDE",$C168,"DEEP_BROKER_ID_OVERRIDE",AR$24,"DEEP_PERIOD_OVERRIDE",$H$19)*1,"")))</f>
        <v/>
      </c>
      <c r="AS168" t="str">
        <f>IF(OR(AS$23="",ISNA($B168)),"",IF(ISBLANK($B168),"",IFERROR(_xll.BDP(TICKER,"DEEP_MEASURE_PERIOD_BROKER_VALUE","DEEP_MEASURE_ID_OVERRIDE",$C168,"DEEP_BROKER_ID_OVERRIDE",AS$24,"DEEP_PERIOD_OVERRIDE",$H$19)*1,"")))</f>
        <v/>
      </c>
      <c r="AT168" t="str">
        <f>IF(OR(AT$23="",ISNA($B168)),"",IF(ISBLANK($B168),"",IFERROR(_xll.BDP(TICKER,"DEEP_MEASURE_PERIOD_BROKER_VALUE","DEEP_MEASURE_ID_OVERRIDE",$C168,"DEEP_BROKER_ID_OVERRIDE",AT$24,"DEEP_PERIOD_OVERRIDE",$H$19)*1,"")))</f>
        <v/>
      </c>
      <c r="AU168" t="str">
        <f>IF(OR(AU$23="",ISNA($B168)),"",IF(ISBLANK($B168),"",IFERROR(_xll.BDP(TICKER,"DEEP_MEASURE_PERIOD_BROKER_VALUE","DEEP_MEASURE_ID_OVERRIDE",$C168,"DEEP_BROKER_ID_OVERRIDE",AU$24,"DEEP_PERIOD_OVERRIDE",$H$19)*1,"")))</f>
        <v/>
      </c>
      <c r="AV168" t="str">
        <f>IF(OR(AV$23="",ISNA($B168)),"",IF(ISBLANK($B168),"",IFERROR(_xll.BDP(TICKER,"DEEP_MEASURE_PERIOD_BROKER_VALUE","DEEP_MEASURE_ID_OVERRIDE",$C168,"DEEP_BROKER_ID_OVERRIDE",AV$24,"DEEP_PERIOD_OVERRIDE",$H$19)*1,"")))</f>
        <v/>
      </c>
      <c r="AW168" t="str">
        <f>IF(OR(AW$23="",ISNA($B168)),"",IF(ISBLANK($B168),"",IFERROR(_xll.BDP(TICKER,"DEEP_MEASURE_PERIOD_BROKER_VALUE","DEEP_MEASURE_ID_OVERRIDE",$C168,"DEEP_BROKER_ID_OVERRIDE",AW$24,"DEEP_PERIOD_OVERRIDE",$H$19)*1,"")))</f>
        <v/>
      </c>
      <c r="AX168" t="str">
        <f>IF(OR(AX$23="",ISNA($B168)),"",IF(ISBLANK($B168),"",IFERROR(_xll.BDP(TICKER,"DEEP_MEASURE_PERIOD_BROKER_VALUE","DEEP_MEASURE_ID_OVERRIDE",$C168,"DEEP_BROKER_ID_OVERRIDE",AX$24,"DEEP_PERIOD_OVERRIDE",$H$19)*1,"")))</f>
        <v/>
      </c>
      <c r="AY168" t="str">
        <f>IF(OR(AY$23="",ISNA($B168)),"",IF(ISBLANK($B168),"",IFERROR(_xll.BDP(TICKER,"DEEP_MEASURE_PERIOD_BROKER_VALUE","DEEP_MEASURE_ID_OVERRIDE",$C168,"DEEP_BROKER_ID_OVERRIDE",AY$24,"DEEP_PERIOD_OVERRIDE",$H$19)*1,"")))</f>
        <v/>
      </c>
      <c r="AZ168" t="str">
        <f>IF(OR(AZ$23="",ISNA($B168)),"",IF(ISBLANK($B168),"",IFERROR(_xll.BDP(TICKER,"DEEP_MEASURE_PERIOD_BROKER_VALUE","DEEP_MEASURE_ID_OVERRIDE",$C168,"DEEP_BROKER_ID_OVERRIDE",AZ$24,"DEEP_PERIOD_OVERRIDE",$H$19)*1,"")))</f>
        <v/>
      </c>
      <c r="BA168" t="str">
        <f>IF(OR(BA$23="",ISNA($B168)),"",IF(ISBLANK($B168),"",IFERROR(_xll.BDP(TICKER,"DEEP_MEASURE_PERIOD_BROKER_VALUE","DEEP_MEASURE_ID_OVERRIDE",$C168,"DEEP_BROKER_ID_OVERRIDE",BA$24,"DEEP_PERIOD_OVERRIDE",$H$19)*1,"")))</f>
        <v/>
      </c>
      <c r="BB168" t="str">
        <f>IF(OR(BB$23="",ISNA($B168)),"",IF(ISBLANK($B168),"",IFERROR(_xll.BDP(TICKER,"DEEP_MEASURE_PERIOD_BROKER_VALUE","DEEP_MEASURE_ID_OVERRIDE",$C168,"DEEP_BROKER_ID_OVERRIDE",BB$24,"DEEP_PERIOD_OVERRIDE",$H$19)*1,"")))</f>
        <v/>
      </c>
      <c r="BC168" t="str">
        <f>IF(OR(BC$23="",ISNA($B168)),"",IF(ISBLANK($B168),"",IFERROR(_xll.BDP(TICKER,"DEEP_MEASURE_PERIOD_BROKER_VALUE","DEEP_MEASURE_ID_OVERRIDE",$C168,"DEEP_BROKER_ID_OVERRIDE",BC$24,"DEEP_PERIOD_OVERRIDE",$H$19)*1,"")))</f>
        <v/>
      </c>
      <c r="BD168" t="str">
        <f>IF(OR(BD$23="",ISNA($B168)),"",IF(ISBLANK($B168),"",IFERROR(_xll.BDP(TICKER,"DEEP_MEASURE_PERIOD_BROKER_VALUE","DEEP_MEASURE_ID_OVERRIDE",$C168,"DEEP_BROKER_ID_OVERRIDE",BD$24,"DEEP_PERIOD_OVERRIDE",$H$19)*1,"")))</f>
        <v/>
      </c>
      <c r="BE168" t="str">
        <f>IF(OR(BE$23="",ISNA($B168)),"",IF(ISBLANK($B168),"",IFERROR(_xll.BDP(TICKER,"DEEP_MEASURE_PERIOD_BROKER_VALUE","DEEP_MEASURE_ID_OVERRIDE",$C168,"DEEP_BROKER_ID_OVERRIDE",BE$24,"DEEP_PERIOD_OVERRIDE",$H$19)*1,"")))</f>
        <v/>
      </c>
      <c r="BF168" t="str">
        <f>IF(OR(BF$23="",ISNA($B168)),"",IF(ISBLANK($B168),"",IFERROR(_xll.BDP(TICKER,"DEEP_MEASURE_PERIOD_BROKER_VALUE","DEEP_MEASURE_ID_OVERRIDE",$C168,"DEEP_BROKER_ID_OVERRIDE",BF$24,"DEEP_PERIOD_OVERRIDE",$H$19)*1,"")))</f>
        <v/>
      </c>
      <c r="BG168" t="str">
        <f>IF(OR(BG$23="",ISNA($B168)),"",IF(ISBLANK($B168),"",IFERROR(_xll.BDP(TICKER,"DEEP_MEASURE_PERIOD_BROKER_VALUE","DEEP_MEASURE_ID_OVERRIDE",$C168,"DEEP_BROKER_ID_OVERRIDE",BG$24,"DEEP_PERIOD_OVERRIDE",$H$19)*1,"")))</f>
        <v/>
      </c>
      <c r="BH168" t="str">
        <f>IF(OR(BH$23="",ISNA($B168)),"",IF(ISBLANK($B168),"",IFERROR(_xll.BDP(TICKER,"DEEP_MEASURE_PERIOD_BROKER_VALUE","DEEP_MEASURE_ID_OVERRIDE",$C168,"DEEP_BROKER_ID_OVERRIDE",BH$24,"DEEP_PERIOD_OVERRIDE",$H$19)*1,"")))</f>
        <v/>
      </c>
      <c r="BI168" t="str">
        <f>IF(OR(BI$23="",ISNA($B168)),"",IF(ISBLANK($B168),"",IFERROR(_xll.BDP(TICKER,"DEEP_MEASURE_PERIOD_BROKER_VALUE","DEEP_MEASURE_ID_OVERRIDE",$C168,"DEEP_BROKER_ID_OVERRIDE",BI$24,"DEEP_PERIOD_OVERRIDE",$H$19)*1,"")))</f>
        <v/>
      </c>
      <c r="BJ168" t="str">
        <f>IF(OR(BJ$23="",ISNA($B168)),"",IF(ISBLANK($B168),"",IFERROR(_xll.BDP(TICKER,"DEEP_MEASURE_PERIOD_BROKER_VALUE","DEEP_MEASURE_ID_OVERRIDE",$C168,"DEEP_BROKER_ID_OVERRIDE",BJ$24,"DEEP_PERIOD_OVERRIDE",$H$19)*1,"")))</f>
        <v/>
      </c>
      <c r="BK168" t="str">
        <f>IF(OR(BK$23="",ISNA($B168)),"",IF(ISBLANK($B168),"",IFERROR(_xll.BDP(TICKER,"DEEP_MEASURE_PERIOD_BROKER_VALUE","DEEP_MEASURE_ID_OVERRIDE",$C168,"DEEP_BROKER_ID_OVERRIDE",BK$24,"DEEP_PERIOD_OVERRIDE",$H$19)*1,"")))</f>
        <v/>
      </c>
      <c r="BL168" t="str">
        <f>IF(OR(BL$23="",ISNA($B168)),"",IF(ISBLANK($B168),"",IFERROR(_xll.BDP(TICKER,"DEEP_MEASURE_PERIOD_BROKER_VALUE","DEEP_MEASURE_ID_OVERRIDE",$C168,"DEEP_BROKER_ID_OVERRIDE",BL$24,"DEEP_PERIOD_OVERRIDE",$H$19)*1,"")))</f>
        <v/>
      </c>
      <c r="BM168" t="str">
        <f>IF(OR(BM$23="",ISNA($B168)),"",IF(ISBLANK($B168),"",IFERROR(_xll.BDP(TICKER,"DEEP_MEASURE_PERIOD_BROKER_VALUE","DEEP_MEASURE_ID_OVERRIDE",$C168,"DEEP_BROKER_ID_OVERRIDE",BM$24,"DEEP_PERIOD_OVERRIDE",$H$19)*1,"")))</f>
        <v/>
      </c>
      <c r="BN168" t="str">
        <f>IF(OR(BN$23="",ISNA($B168)),"",IF(ISBLANK($B168),"",IFERROR(_xll.BDP(TICKER,"DEEP_MEASURE_PERIOD_BROKER_VALUE","DEEP_MEASURE_ID_OVERRIDE",$C168,"DEEP_BROKER_ID_OVERRIDE",BN$24,"DEEP_PERIOD_OVERRIDE",$H$19)*1,"")))</f>
        <v/>
      </c>
      <c r="BO168" t="str">
        <f>IF(OR(BO$23="",ISNA($B168)),"",IF(ISBLANK($B168),"",IFERROR(_xll.BDP(TICKER,"DEEP_MEASURE_PERIOD_BROKER_VALUE","DEEP_MEASURE_ID_OVERRIDE",$C168,"DEEP_BROKER_ID_OVERRIDE",BO$24,"DEEP_PERIOD_OVERRIDE",$H$19)*1,"")))</f>
        <v/>
      </c>
      <c r="BP168" t="str">
        <f>IF(OR(BP$23="",ISNA($B168)),"",IF(ISBLANK($B168),"",IFERROR(_xll.BDP(TICKER,"DEEP_MEASURE_PERIOD_BROKER_VALUE","DEEP_MEASURE_ID_OVERRIDE",$C168,"DEEP_BROKER_ID_OVERRIDE",BP$24,"DEEP_PERIOD_OVERRIDE",$H$19)*1,"")))</f>
        <v/>
      </c>
      <c r="BQ168" t="str">
        <f>IF(OR(BQ$23="",ISNA($B168)),"",IF(ISBLANK($B168),"",IFERROR(_xll.BDP(TICKER,"DEEP_MEASURE_PERIOD_BROKER_VALUE","DEEP_MEASURE_ID_OVERRIDE",$C168,"DEEP_BROKER_ID_OVERRIDE",BQ$24,"DEEP_PERIOD_OVERRIDE",$H$19)*1,"")))</f>
        <v/>
      </c>
      <c r="BR168" t="str">
        <f>IF(OR(BR$23="",ISNA($B168)),"",IF(ISBLANK($B168),"",IFERROR(_xll.BDP(TICKER,"DEEP_MEASURE_PERIOD_BROKER_VALUE","DEEP_MEASURE_ID_OVERRIDE",$C168,"DEEP_BROKER_ID_OVERRIDE",BR$24,"DEEP_PERIOD_OVERRIDE",$H$19)*1,"")))</f>
        <v/>
      </c>
      <c r="BS168" t="str">
        <f>IF(OR(BS$23="",ISNA($B168)),"",IF(ISBLANK($B168),"",IFERROR(_xll.BDP(TICKER,"DEEP_MEASURE_PERIOD_BROKER_VALUE","DEEP_MEASURE_ID_OVERRIDE",$C168,"DEEP_BROKER_ID_OVERRIDE",BS$24,"DEEP_PERIOD_OVERRIDE",$H$19)*1,"")))</f>
        <v/>
      </c>
      <c r="BT168" t="str">
        <f>IF(OR(BT$23="",ISNA($B168)),"",IF(ISBLANK($B168),"",IFERROR(_xll.BDP(TICKER,"DEEP_MEASURE_PERIOD_BROKER_VALUE","DEEP_MEASURE_ID_OVERRIDE",$C168,"DEEP_BROKER_ID_OVERRIDE",BT$24,"DEEP_PERIOD_OVERRIDE",$H$19)*1,"")))</f>
        <v/>
      </c>
      <c r="BU168" t="str">
        <f>IF(OR(BU$23="",ISNA($B168)),"",IF(ISBLANK($B168),"",IFERROR(_xll.BDP(TICKER,"DEEP_MEASURE_PERIOD_BROKER_VALUE","DEEP_MEASURE_ID_OVERRIDE",$C168,"DEEP_BROKER_ID_OVERRIDE",BU$24,"DEEP_PERIOD_OVERRIDE",$H$19)*1,"")))</f>
        <v/>
      </c>
      <c r="BV168" t="str">
        <f>IF(OR(BV$23="",ISNA($B168)),"",IF(ISBLANK($B168),"",IFERROR(_xll.BDP(TICKER,"DEEP_MEASURE_PERIOD_BROKER_VALUE","DEEP_MEASURE_ID_OVERRIDE",$C168,"DEEP_BROKER_ID_OVERRIDE",BV$24,"DEEP_PERIOD_OVERRIDE",$H$19)*1,"")))</f>
        <v/>
      </c>
      <c r="BW168" t="str">
        <f>IF(OR(BW$23="",ISNA($B168)),"",IF(ISBLANK($B168),"",IFERROR(_xll.BDP(TICKER,"DEEP_MEASURE_PERIOD_BROKER_VALUE","DEEP_MEASURE_ID_OVERRIDE",$C168,"DEEP_BROKER_ID_OVERRIDE",BW$24,"DEEP_PERIOD_OVERRIDE",$H$19)*1,"")))</f>
        <v/>
      </c>
      <c r="BX168" t="str">
        <f>IF(OR(BX$23="",ISNA($B168)),"",IF(ISBLANK($B168),"",IFERROR(_xll.BDP(TICKER,"DEEP_MEASURE_PERIOD_BROKER_VALUE","DEEP_MEASURE_ID_OVERRIDE",$C168,"DEEP_BROKER_ID_OVERRIDE",BX$24,"DEEP_PERIOD_OVERRIDE",$H$19)*1,"")))</f>
        <v/>
      </c>
      <c r="BY168" t="str">
        <f>IF(OR(BY$23="",ISNA($B168)),"",IF(ISBLANK($B168),"",IFERROR(_xll.BDP(TICKER,"DEEP_MEASURE_PERIOD_BROKER_VALUE","DEEP_MEASURE_ID_OVERRIDE",$C168,"DEEP_BROKER_ID_OVERRIDE",BY$24,"DEEP_PERIOD_OVERRIDE",$H$19)*1,"")))</f>
        <v/>
      </c>
      <c r="BZ168" t="str">
        <f>IF(OR(BZ$23="",ISNA($B168)),"",IF(ISBLANK($B168),"",IFERROR(_xll.BDP(TICKER,"DEEP_MEASURE_PERIOD_BROKER_VALUE","DEEP_MEASURE_ID_OVERRIDE",$C168,"DEEP_BROKER_ID_OVERRIDE",BZ$24,"DEEP_PERIOD_OVERRIDE",$H$19)*1,"")))</f>
        <v/>
      </c>
    </row>
    <row r="169" spans="2:78" x14ac:dyDescent="0.25">
      <c r="B169" t="s">
        <v>194</v>
      </c>
      <c r="C169">
        <v>480</v>
      </c>
      <c r="H169" t="str">
        <f t="shared" si="3"/>
        <v>Assets &gt; Non-Current Assets &gt; Intangible Assets, net</v>
      </c>
      <c r="I169" t="str">
        <f>IF(OR(I$23="",ISNA($B169)),"",IF(ISBLANK($B169),"",IFERROR(_xll.BDP(TICKER,"DEEP_MEASURE_PERIOD_BROKER_VALUE","DEEP_MEASURE_ID_OVERRIDE",$C169,"DEEP_PERIOD_OVERRIDE",$H$19)*1,"")))</f>
        <v/>
      </c>
      <c r="J169" t="e">
        <f>IF(OR(J$23="",ISNA($B169)),"",IF(ISBLANK($B169),"",IFERROR(_xll.BDP(TICKER,"DEEP_MEASURE_PERIOD_BROKER_VALUE","DEEP_MEASURE_ID_OVERRIDE",$C169,"DEEP_BROKER_ID_OVERRIDE",J$24,"DEEP_PERIOD_OVERRIDE",$H$19)*1,"")))</f>
        <v>#REF!</v>
      </c>
      <c r="K169" t="str">
        <f>IF(OR(K$23="",ISNA($B169)),"",IF(ISBLANK($B169),"",IFERROR(_xll.BDP(TICKER,"DEEP_MEASURE_PERIOD_BROKER_VALUE","DEEP_MEASURE_ID_OVERRIDE",$C169,"DEEP_BROKER_ID_OVERRIDE",K$24,"DEEP_PERIOD_OVERRIDE",$H$19)*1,"")))</f>
        <v/>
      </c>
      <c r="L169" t="str">
        <f>IF(OR(L$23="",ISNA($B169)),"",IF(ISBLANK($B169),"",IFERROR(_xll.BDP(TICKER,"DEEP_MEASURE_PERIOD_BROKER_VALUE","DEEP_MEASURE_ID_OVERRIDE",$C169,"DEEP_BROKER_ID_OVERRIDE",L$24,"DEEP_PERIOD_OVERRIDE",$H$19)*1,"")))</f>
        <v/>
      </c>
      <c r="M169" t="str">
        <f>IF(OR(M$23="",ISNA($B169)),"",IF(ISBLANK($B169),"",IFERROR(_xll.BDP(TICKER,"DEEP_MEASURE_PERIOD_BROKER_VALUE","DEEP_MEASURE_ID_OVERRIDE",$C169,"DEEP_BROKER_ID_OVERRIDE",M$24,"DEEP_PERIOD_OVERRIDE",$H$19)*1,"")))</f>
        <v/>
      </c>
      <c r="N169" t="str">
        <f>IF(OR(N$23="",ISNA($B169)),"",IF(ISBLANK($B169),"",IFERROR(_xll.BDP(TICKER,"DEEP_MEASURE_PERIOD_BROKER_VALUE","DEEP_MEASURE_ID_OVERRIDE",$C169,"DEEP_BROKER_ID_OVERRIDE",N$24,"DEEP_PERIOD_OVERRIDE",$H$19)*1,"")))</f>
        <v/>
      </c>
      <c r="O169" t="str">
        <f>IF(OR(O$23="",ISNA($B169)),"",IF(ISBLANK($B169),"",IFERROR(_xll.BDP(TICKER,"DEEP_MEASURE_PERIOD_BROKER_VALUE","DEEP_MEASURE_ID_OVERRIDE",$C169,"DEEP_BROKER_ID_OVERRIDE",O$24,"DEEP_PERIOD_OVERRIDE",$H$19)*1,"")))</f>
        <v/>
      </c>
      <c r="P169" t="str">
        <f>IF(OR(P$23="",ISNA($B169)),"",IF(ISBLANK($B169),"",IFERROR(_xll.BDP(TICKER,"DEEP_MEASURE_PERIOD_BROKER_VALUE","DEEP_MEASURE_ID_OVERRIDE",$C169,"DEEP_BROKER_ID_OVERRIDE",P$24,"DEEP_PERIOD_OVERRIDE",$H$19)*1,"")))</f>
        <v/>
      </c>
      <c r="Q169" t="str">
        <f>IF(OR(Q$23="",ISNA($B169)),"",IF(ISBLANK($B169),"",IFERROR(_xll.BDP(TICKER,"DEEP_MEASURE_PERIOD_BROKER_VALUE","DEEP_MEASURE_ID_OVERRIDE",$C169,"DEEP_BROKER_ID_OVERRIDE",Q$24,"DEEP_PERIOD_OVERRIDE",$H$19)*1,"")))</f>
        <v/>
      </c>
      <c r="R169" t="str">
        <f>IF(OR(R$23="",ISNA($B169)),"",IF(ISBLANK($B169),"",IFERROR(_xll.BDP(TICKER,"DEEP_MEASURE_PERIOD_BROKER_VALUE","DEEP_MEASURE_ID_OVERRIDE",$C169,"DEEP_BROKER_ID_OVERRIDE",R$24,"DEEP_PERIOD_OVERRIDE",$H$19)*1,"")))</f>
        <v/>
      </c>
      <c r="S169" t="str">
        <f>IF(OR(S$23="",ISNA($B169)),"",IF(ISBLANK($B169),"",IFERROR(_xll.BDP(TICKER,"DEEP_MEASURE_PERIOD_BROKER_VALUE","DEEP_MEASURE_ID_OVERRIDE",$C169,"DEEP_BROKER_ID_OVERRIDE",S$24,"DEEP_PERIOD_OVERRIDE",$H$19)*1,"")))</f>
        <v/>
      </c>
      <c r="T169" t="str">
        <f>IF(OR(T$23="",ISNA($B169)),"",IF(ISBLANK($B169),"",IFERROR(_xll.BDP(TICKER,"DEEP_MEASURE_PERIOD_BROKER_VALUE","DEEP_MEASURE_ID_OVERRIDE",$C169,"DEEP_BROKER_ID_OVERRIDE",T$24,"DEEP_PERIOD_OVERRIDE",$H$19)*1,"")))</f>
        <v/>
      </c>
      <c r="U169" t="str">
        <f>IF(OR(U$23="",ISNA($B169)),"",IF(ISBLANK($B169),"",IFERROR(_xll.BDP(TICKER,"DEEP_MEASURE_PERIOD_BROKER_VALUE","DEEP_MEASURE_ID_OVERRIDE",$C169,"DEEP_BROKER_ID_OVERRIDE",U$24,"DEEP_PERIOD_OVERRIDE",$H$19)*1,"")))</f>
        <v/>
      </c>
      <c r="V169" t="str">
        <f>IF(OR(V$23="",ISNA($B169)),"",IF(ISBLANK($B169),"",IFERROR(_xll.BDP(TICKER,"DEEP_MEASURE_PERIOD_BROKER_VALUE","DEEP_MEASURE_ID_OVERRIDE",$C169,"DEEP_BROKER_ID_OVERRIDE",V$24,"DEEP_PERIOD_OVERRIDE",$H$19)*1,"")))</f>
        <v/>
      </c>
      <c r="W169" t="str">
        <f>IF(OR(W$23="",ISNA($B169)),"",IF(ISBLANK($B169),"",IFERROR(_xll.BDP(TICKER,"DEEP_MEASURE_PERIOD_BROKER_VALUE","DEEP_MEASURE_ID_OVERRIDE",$C169,"DEEP_BROKER_ID_OVERRIDE",W$24,"DEEP_PERIOD_OVERRIDE",$H$19)*1,"")))</f>
        <v/>
      </c>
      <c r="X169" t="str">
        <f>IF(OR(X$23="",ISNA($B169)),"",IF(ISBLANK($B169),"",IFERROR(_xll.BDP(TICKER,"DEEP_MEASURE_PERIOD_BROKER_VALUE","DEEP_MEASURE_ID_OVERRIDE",$C169,"DEEP_BROKER_ID_OVERRIDE",X$24,"DEEP_PERIOD_OVERRIDE",$H$19)*1,"")))</f>
        <v/>
      </c>
      <c r="Y169" t="str">
        <f>IF(OR(Y$23="",ISNA($B169)),"",IF(ISBLANK($B169),"",IFERROR(_xll.BDP(TICKER,"DEEP_MEASURE_PERIOD_BROKER_VALUE","DEEP_MEASURE_ID_OVERRIDE",$C169,"DEEP_BROKER_ID_OVERRIDE",Y$24,"DEEP_PERIOD_OVERRIDE",$H$19)*1,"")))</f>
        <v/>
      </c>
      <c r="Z169" t="str">
        <f>IF(OR(Z$23="",ISNA($B169)),"",IF(ISBLANK($B169),"",IFERROR(_xll.BDP(TICKER,"DEEP_MEASURE_PERIOD_BROKER_VALUE","DEEP_MEASURE_ID_OVERRIDE",$C169,"DEEP_BROKER_ID_OVERRIDE",Z$24,"DEEP_PERIOD_OVERRIDE",$H$19)*1,"")))</f>
        <v/>
      </c>
      <c r="AA169" t="str">
        <f>IF(OR(AA$23="",ISNA($B169)),"",IF(ISBLANK($B169),"",IFERROR(_xll.BDP(TICKER,"DEEP_MEASURE_PERIOD_BROKER_VALUE","DEEP_MEASURE_ID_OVERRIDE",$C169,"DEEP_BROKER_ID_OVERRIDE",AA$24,"DEEP_PERIOD_OVERRIDE",$H$19)*1,"")))</f>
        <v/>
      </c>
      <c r="AB169" t="str">
        <f>IF(OR(AB$23="",ISNA($B169)),"",IF(ISBLANK($B169),"",IFERROR(_xll.BDP(TICKER,"DEEP_MEASURE_PERIOD_BROKER_VALUE","DEEP_MEASURE_ID_OVERRIDE",$C169,"DEEP_BROKER_ID_OVERRIDE",AB$24,"DEEP_PERIOD_OVERRIDE",$H$19)*1,"")))</f>
        <v/>
      </c>
      <c r="AC169" t="str">
        <f>IF(OR(AC$23="",ISNA($B169)),"",IF(ISBLANK($B169),"",IFERROR(_xll.BDP(TICKER,"DEEP_MEASURE_PERIOD_BROKER_VALUE","DEEP_MEASURE_ID_OVERRIDE",$C169,"DEEP_BROKER_ID_OVERRIDE",AC$24,"DEEP_PERIOD_OVERRIDE",$H$19)*1,"")))</f>
        <v/>
      </c>
      <c r="AD169" t="str">
        <f>IF(OR(AD$23="",ISNA($B169)),"",IF(ISBLANK($B169),"",IFERROR(_xll.BDP(TICKER,"DEEP_MEASURE_PERIOD_BROKER_VALUE","DEEP_MEASURE_ID_OVERRIDE",$C169,"DEEP_BROKER_ID_OVERRIDE",AD$24,"DEEP_PERIOD_OVERRIDE",$H$19)*1,"")))</f>
        <v/>
      </c>
      <c r="AE169" t="str">
        <f>IF(OR(AE$23="",ISNA($B169)),"",IF(ISBLANK($B169),"",IFERROR(_xll.BDP(TICKER,"DEEP_MEASURE_PERIOD_BROKER_VALUE","DEEP_MEASURE_ID_OVERRIDE",$C169,"DEEP_BROKER_ID_OVERRIDE",AE$24,"DEEP_PERIOD_OVERRIDE",$H$19)*1,"")))</f>
        <v/>
      </c>
      <c r="AF169" t="str">
        <f>IF(OR(AF$23="",ISNA($B169)),"",IF(ISBLANK($B169),"",IFERROR(_xll.BDP(TICKER,"DEEP_MEASURE_PERIOD_BROKER_VALUE","DEEP_MEASURE_ID_OVERRIDE",$C169,"DEEP_BROKER_ID_OVERRIDE",AF$24,"DEEP_PERIOD_OVERRIDE",$H$19)*1,"")))</f>
        <v/>
      </c>
      <c r="AG169" t="str">
        <f>IF(OR(AG$23="",ISNA($B169)),"",IF(ISBLANK($B169),"",IFERROR(_xll.BDP(TICKER,"DEEP_MEASURE_PERIOD_BROKER_VALUE","DEEP_MEASURE_ID_OVERRIDE",$C169,"DEEP_BROKER_ID_OVERRIDE",AG$24,"DEEP_PERIOD_OVERRIDE",$H$19)*1,"")))</f>
        <v/>
      </c>
      <c r="AH169" t="str">
        <f>IF(OR(AH$23="",ISNA($B169)),"",IF(ISBLANK($B169),"",IFERROR(_xll.BDP(TICKER,"DEEP_MEASURE_PERIOD_BROKER_VALUE","DEEP_MEASURE_ID_OVERRIDE",$C169,"DEEP_BROKER_ID_OVERRIDE",AH$24,"DEEP_PERIOD_OVERRIDE",$H$19)*1,"")))</f>
        <v/>
      </c>
      <c r="AI169" t="str">
        <f>IF(OR(AI$23="",ISNA($B169)),"",IF(ISBLANK($B169),"",IFERROR(_xll.BDP(TICKER,"DEEP_MEASURE_PERIOD_BROKER_VALUE","DEEP_MEASURE_ID_OVERRIDE",$C169,"DEEP_BROKER_ID_OVERRIDE",AI$24,"DEEP_PERIOD_OVERRIDE",$H$19)*1,"")))</f>
        <v/>
      </c>
      <c r="AJ169" t="str">
        <f>IF(OR(AJ$23="",ISNA($B169)),"",IF(ISBLANK($B169),"",IFERROR(_xll.BDP(TICKER,"DEEP_MEASURE_PERIOD_BROKER_VALUE","DEEP_MEASURE_ID_OVERRIDE",$C169,"DEEP_BROKER_ID_OVERRIDE",AJ$24,"DEEP_PERIOD_OVERRIDE",$H$19)*1,"")))</f>
        <v/>
      </c>
      <c r="AK169" t="str">
        <f>IF(OR(AK$23="",ISNA($B169)),"",IF(ISBLANK($B169),"",IFERROR(_xll.BDP(TICKER,"DEEP_MEASURE_PERIOD_BROKER_VALUE","DEEP_MEASURE_ID_OVERRIDE",$C169,"DEEP_BROKER_ID_OVERRIDE",AK$24,"DEEP_PERIOD_OVERRIDE",$H$19)*1,"")))</f>
        <v/>
      </c>
      <c r="AL169" t="str">
        <f>IF(OR(AL$23="",ISNA($B169)),"",IF(ISBLANK($B169),"",IFERROR(_xll.BDP(TICKER,"DEEP_MEASURE_PERIOD_BROKER_VALUE","DEEP_MEASURE_ID_OVERRIDE",$C169,"DEEP_BROKER_ID_OVERRIDE",AL$24,"DEEP_PERIOD_OVERRIDE",$H$19)*1,"")))</f>
        <v/>
      </c>
      <c r="AM169" t="str">
        <f>IF(OR(AM$23="",ISNA($B169)),"",IF(ISBLANK($B169),"",IFERROR(_xll.BDP(TICKER,"DEEP_MEASURE_PERIOD_BROKER_VALUE","DEEP_MEASURE_ID_OVERRIDE",$C169,"DEEP_BROKER_ID_OVERRIDE",AM$24,"DEEP_PERIOD_OVERRIDE",$H$19)*1,"")))</f>
        <v/>
      </c>
      <c r="AN169" t="str">
        <f>IF(OR(AN$23="",ISNA($B169)),"",IF(ISBLANK($B169),"",IFERROR(_xll.BDP(TICKER,"DEEP_MEASURE_PERIOD_BROKER_VALUE","DEEP_MEASURE_ID_OVERRIDE",$C169,"DEEP_BROKER_ID_OVERRIDE",AN$24,"DEEP_PERIOD_OVERRIDE",$H$19)*1,"")))</f>
        <v/>
      </c>
      <c r="AO169" t="str">
        <f>IF(OR(AO$23="",ISNA($B169)),"",IF(ISBLANK($B169),"",IFERROR(_xll.BDP(TICKER,"DEEP_MEASURE_PERIOD_BROKER_VALUE","DEEP_MEASURE_ID_OVERRIDE",$C169,"DEEP_BROKER_ID_OVERRIDE",AO$24,"DEEP_PERIOD_OVERRIDE",$H$19)*1,"")))</f>
        <v/>
      </c>
      <c r="AP169" t="str">
        <f>IF(OR(AP$23="",ISNA($B169)),"",IF(ISBLANK($B169),"",IFERROR(_xll.BDP(TICKER,"DEEP_MEASURE_PERIOD_BROKER_VALUE","DEEP_MEASURE_ID_OVERRIDE",$C169,"DEEP_BROKER_ID_OVERRIDE",AP$24,"DEEP_PERIOD_OVERRIDE",$H$19)*1,"")))</f>
        <v/>
      </c>
      <c r="AQ169" t="str">
        <f>IF(OR(AQ$23="",ISNA($B169)),"",IF(ISBLANK($B169),"",IFERROR(_xll.BDP(TICKER,"DEEP_MEASURE_PERIOD_BROKER_VALUE","DEEP_MEASURE_ID_OVERRIDE",$C169,"DEEP_BROKER_ID_OVERRIDE",AQ$24,"DEEP_PERIOD_OVERRIDE",$H$19)*1,"")))</f>
        <v/>
      </c>
      <c r="AR169" t="str">
        <f>IF(OR(AR$23="",ISNA($B169)),"",IF(ISBLANK($B169),"",IFERROR(_xll.BDP(TICKER,"DEEP_MEASURE_PERIOD_BROKER_VALUE","DEEP_MEASURE_ID_OVERRIDE",$C169,"DEEP_BROKER_ID_OVERRIDE",AR$24,"DEEP_PERIOD_OVERRIDE",$H$19)*1,"")))</f>
        <v/>
      </c>
      <c r="AS169" t="str">
        <f>IF(OR(AS$23="",ISNA($B169)),"",IF(ISBLANK($B169),"",IFERROR(_xll.BDP(TICKER,"DEEP_MEASURE_PERIOD_BROKER_VALUE","DEEP_MEASURE_ID_OVERRIDE",$C169,"DEEP_BROKER_ID_OVERRIDE",AS$24,"DEEP_PERIOD_OVERRIDE",$H$19)*1,"")))</f>
        <v/>
      </c>
      <c r="AT169" t="str">
        <f>IF(OR(AT$23="",ISNA($B169)),"",IF(ISBLANK($B169),"",IFERROR(_xll.BDP(TICKER,"DEEP_MEASURE_PERIOD_BROKER_VALUE","DEEP_MEASURE_ID_OVERRIDE",$C169,"DEEP_BROKER_ID_OVERRIDE",AT$24,"DEEP_PERIOD_OVERRIDE",$H$19)*1,"")))</f>
        <v/>
      </c>
      <c r="AU169" t="str">
        <f>IF(OR(AU$23="",ISNA($B169)),"",IF(ISBLANK($B169),"",IFERROR(_xll.BDP(TICKER,"DEEP_MEASURE_PERIOD_BROKER_VALUE","DEEP_MEASURE_ID_OVERRIDE",$C169,"DEEP_BROKER_ID_OVERRIDE",AU$24,"DEEP_PERIOD_OVERRIDE",$H$19)*1,"")))</f>
        <v/>
      </c>
      <c r="AV169" t="str">
        <f>IF(OR(AV$23="",ISNA($B169)),"",IF(ISBLANK($B169),"",IFERROR(_xll.BDP(TICKER,"DEEP_MEASURE_PERIOD_BROKER_VALUE","DEEP_MEASURE_ID_OVERRIDE",$C169,"DEEP_BROKER_ID_OVERRIDE",AV$24,"DEEP_PERIOD_OVERRIDE",$H$19)*1,"")))</f>
        <v/>
      </c>
      <c r="AW169" t="str">
        <f>IF(OR(AW$23="",ISNA($B169)),"",IF(ISBLANK($B169),"",IFERROR(_xll.BDP(TICKER,"DEEP_MEASURE_PERIOD_BROKER_VALUE","DEEP_MEASURE_ID_OVERRIDE",$C169,"DEEP_BROKER_ID_OVERRIDE",AW$24,"DEEP_PERIOD_OVERRIDE",$H$19)*1,"")))</f>
        <v/>
      </c>
      <c r="AX169" t="str">
        <f>IF(OR(AX$23="",ISNA($B169)),"",IF(ISBLANK($B169),"",IFERROR(_xll.BDP(TICKER,"DEEP_MEASURE_PERIOD_BROKER_VALUE","DEEP_MEASURE_ID_OVERRIDE",$C169,"DEEP_BROKER_ID_OVERRIDE",AX$24,"DEEP_PERIOD_OVERRIDE",$H$19)*1,"")))</f>
        <v/>
      </c>
      <c r="AY169" t="str">
        <f>IF(OR(AY$23="",ISNA($B169)),"",IF(ISBLANK($B169),"",IFERROR(_xll.BDP(TICKER,"DEEP_MEASURE_PERIOD_BROKER_VALUE","DEEP_MEASURE_ID_OVERRIDE",$C169,"DEEP_BROKER_ID_OVERRIDE",AY$24,"DEEP_PERIOD_OVERRIDE",$H$19)*1,"")))</f>
        <v/>
      </c>
      <c r="AZ169" t="str">
        <f>IF(OR(AZ$23="",ISNA($B169)),"",IF(ISBLANK($B169),"",IFERROR(_xll.BDP(TICKER,"DEEP_MEASURE_PERIOD_BROKER_VALUE","DEEP_MEASURE_ID_OVERRIDE",$C169,"DEEP_BROKER_ID_OVERRIDE",AZ$24,"DEEP_PERIOD_OVERRIDE",$H$19)*1,"")))</f>
        <v/>
      </c>
      <c r="BA169" t="str">
        <f>IF(OR(BA$23="",ISNA($B169)),"",IF(ISBLANK($B169),"",IFERROR(_xll.BDP(TICKER,"DEEP_MEASURE_PERIOD_BROKER_VALUE","DEEP_MEASURE_ID_OVERRIDE",$C169,"DEEP_BROKER_ID_OVERRIDE",BA$24,"DEEP_PERIOD_OVERRIDE",$H$19)*1,"")))</f>
        <v/>
      </c>
      <c r="BB169" t="str">
        <f>IF(OR(BB$23="",ISNA($B169)),"",IF(ISBLANK($B169),"",IFERROR(_xll.BDP(TICKER,"DEEP_MEASURE_PERIOD_BROKER_VALUE","DEEP_MEASURE_ID_OVERRIDE",$C169,"DEEP_BROKER_ID_OVERRIDE",BB$24,"DEEP_PERIOD_OVERRIDE",$H$19)*1,"")))</f>
        <v/>
      </c>
      <c r="BC169" t="str">
        <f>IF(OR(BC$23="",ISNA($B169)),"",IF(ISBLANK($B169),"",IFERROR(_xll.BDP(TICKER,"DEEP_MEASURE_PERIOD_BROKER_VALUE","DEEP_MEASURE_ID_OVERRIDE",$C169,"DEEP_BROKER_ID_OVERRIDE",BC$24,"DEEP_PERIOD_OVERRIDE",$H$19)*1,"")))</f>
        <v/>
      </c>
      <c r="BD169" t="str">
        <f>IF(OR(BD$23="",ISNA($B169)),"",IF(ISBLANK($B169),"",IFERROR(_xll.BDP(TICKER,"DEEP_MEASURE_PERIOD_BROKER_VALUE","DEEP_MEASURE_ID_OVERRIDE",$C169,"DEEP_BROKER_ID_OVERRIDE",BD$24,"DEEP_PERIOD_OVERRIDE",$H$19)*1,"")))</f>
        <v/>
      </c>
      <c r="BE169" t="str">
        <f>IF(OR(BE$23="",ISNA($B169)),"",IF(ISBLANK($B169),"",IFERROR(_xll.BDP(TICKER,"DEEP_MEASURE_PERIOD_BROKER_VALUE","DEEP_MEASURE_ID_OVERRIDE",$C169,"DEEP_BROKER_ID_OVERRIDE",BE$24,"DEEP_PERIOD_OVERRIDE",$H$19)*1,"")))</f>
        <v/>
      </c>
      <c r="BF169" t="str">
        <f>IF(OR(BF$23="",ISNA($B169)),"",IF(ISBLANK($B169),"",IFERROR(_xll.BDP(TICKER,"DEEP_MEASURE_PERIOD_BROKER_VALUE","DEEP_MEASURE_ID_OVERRIDE",$C169,"DEEP_BROKER_ID_OVERRIDE",BF$24,"DEEP_PERIOD_OVERRIDE",$H$19)*1,"")))</f>
        <v/>
      </c>
      <c r="BG169" t="str">
        <f>IF(OR(BG$23="",ISNA($B169)),"",IF(ISBLANK($B169),"",IFERROR(_xll.BDP(TICKER,"DEEP_MEASURE_PERIOD_BROKER_VALUE","DEEP_MEASURE_ID_OVERRIDE",$C169,"DEEP_BROKER_ID_OVERRIDE",BG$24,"DEEP_PERIOD_OVERRIDE",$H$19)*1,"")))</f>
        <v/>
      </c>
      <c r="BH169" t="str">
        <f>IF(OR(BH$23="",ISNA($B169)),"",IF(ISBLANK($B169),"",IFERROR(_xll.BDP(TICKER,"DEEP_MEASURE_PERIOD_BROKER_VALUE","DEEP_MEASURE_ID_OVERRIDE",$C169,"DEEP_BROKER_ID_OVERRIDE",BH$24,"DEEP_PERIOD_OVERRIDE",$H$19)*1,"")))</f>
        <v/>
      </c>
      <c r="BI169" t="str">
        <f>IF(OR(BI$23="",ISNA($B169)),"",IF(ISBLANK($B169),"",IFERROR(_xll.BDP(TICKER,"DEEP_MEASURE_PERIOD_BROKER_VALUE","DEEP_MEASURE_ID_OVERRIDE",$C169,"DEEP_BROKER_ID_OVERRIDE",BI$24,"DEEP_PERIOD_OVERRIDE",$H$19)*1,"")))</f>
        <v/>
      </c>
      <c r="BJ169" t="str">
        <f>IF(OR(BJ$23="",ISNA($B169)),"",IF(ISBLANK($B169),"",IFERROR(_xll.BDP(TICKER,"DEEP_MEASURE_PERIOD_BROKER_VALUE","DEEP_MEASURE_ID_OVERRIDE",$C169,"DEEP_BROKER_ID_OVERRIDE",BJ$24,"DEEP_PERIOD_OVERRIDE",$H$19)*1,"")))</f>
        <v/>
      </c>
      <c r="BK169" t="str">
        <f>IF(OR(BK$23="",ISNA($B169)),"",IF(ISBLANK($B169),"",IFERROR(_xll.BDP(TICKER,"DEEP_MEASURE_PERIOD_BROKER_VALUE","DEEP_MEASURE_ID_OVERRIDE",$C169,"DEEP_BROKER_ID_OVERRIDE",BK$24,"DEEP_PERIOD_OVERRIDE",$H$19)*1,"")))</f>
        <v/>
      </c>
      <c r="BL169" t="str">
        <f>IF(OR(BL$23="",ISNA($B169)),"",IF(ISBLANK($B169),"",IFERROR(_xll.BDP(TICKER,"DEEP_MEASURE_PERIOD_BROKER_VALUE","DEEP_MEASURE_ID_OVERRIDE",$C169,"DEEP_BROKER_ID_OVERRIDE",BL$24,"DEEP_PERIOD_OVERRIDE",$H$19)*1,"")))</f>
        <v/>
      </c>
      <c r="BM169" t="str">
        <f>IF(OR(BM$23="",ISNA($B169)),"",IF(ISBLANK($B169),"",IFERROR(_xll.BDP(TICKER,"DEEP_MEASURE_PERIOD_BROKER_VALUE","DEEP_MEASURE_ID_OVERRIDE",$C169,"DEEP_BROKER_ID_OVERRIDE",BM$24,"DEEP_PERIOD_OVERRIDE",$H$19)*1,"")))</f>
        <v/>
      </c>
      <c r="BN169" t="str">
        <f>IF(OR(BN$23="",ISNA($B169)),"",IF(ISBLANK($B169),"",IFERROR(_xll.BDP(TICKER,"DEEP_MEASURE_PERIOD_BROKER_VALUE","DEEP_MEASURE_ID_OVERRIDE",$C169,"DEEP_BROKER_ID_OVERRIDE",BN$24,"DEEP_PERIOD_OVERRIDE",$H$19)*1,"")))</f>
        <v/>
      </c>
      <c r="BO169" t="str">
        <f>IF(OR(BO$23="",ISNA($B169)),"",IF(ISBLANK($B169),"",IFERROR(_xll.BDP(TICKER,"DEEP_MEASURE_PERIOD_BROKER_VALUE","DEEP_MEASURE_ID_OVERRIDE",$C169,"DEEP_BROKER_ID_OVERRIDE",BO$24,"DEEP_PERIOD_OVERRIDE",$H$19)*1,"")))</f>
        <v/>
      </c>
      <c r="BP169" t="str">
        <f>IF(OR(BP$23="",ISNA($B169)),"",IF(ISBLANK($B169),"",IFERROR(_xll.BDP(TICKER,"DEEP_MEASURE_PERIOD_BROKER_VALUE","DEEP_MEASURE_ID_OVERRIDE",$C169,"DEEP_BROKER_ID_OVERRIDE",BP$24,"DEEP_PERIOD_OVERRIDE",$H$19)*1,"")))</f>
        <v/>
      </c>
      <c r="BQ169" t="str">
        <f>IF(OR(BQ$23="",ISNA($B169)),"",IF(ISBLANK($B169),"",IFERROR(_xll.BDP(TICKER,"DEEP_MEASURE_PERIOD_BROKER_VALUE","DEEP_MEASURE_ID_OVERRIDE",$C169,"DEEP_BROKER_ID_OVERRIDE",BQ$24,"DEEP_PERIOD_OVERRIDE",$H$19)*1,"")))</f>
        <v/>
      </c>
      <c r="BR169" t="str">
        <f>IF(OR(BR$23="",ISNA($B169)),"",IF(ISBLANK($B169),"",IFERROR(_xll.BDP(TICKER,"DEEP_MEASURE_PERIOD_BROKER_VALUE","DEEP_MEASURE_ID_OVERRIDE",$C169,"DEEP_BROKER_ID_OVERRIDE",BR$24,"DEEP_PERIOD_OVERRIDE",$H$19)*1,"")))</f>
        <v/>
      </c>
      <c r="BS169" t="str">
        <f>IF(OR(BS$23="",ISNA($B169)),"",IF(ISBLANK($B169),"",IFERROR(_xll.BDP(TICKER,"DEEP_MEASURE_PERIOD_BROKER_VALUE","DEEP_MEASURE_ID_OVERRIDE",$C169,"DEEP_BROKER_ID_OVERRIDE",BS$24,"DEEP_PERIOD_OVERRIDE",$H$19)*1,"")))</f>
        <v/>
      </c>
      <c r="BT169" t="str">
        <f>IF(OR(BT$23="",ISNA($B169)),"",IF(ISBLANK($B169),"",IFERROR(_xll.BDP(TICKER,"DEEP_MEASURE_PERIOD_BROKER_VALUE","DEEP_MEASURE_ID_OVERRIDE",$C169,"DEEP_BROKER_ID_OVERRIDE",BT$24,"DEEP_PERIOD_OVERRIDE",$H$19)*1,"")))</f>
        <v/>
      </c>
      <c r="BU169" t="str">
        <f>IF(OR(BU$23="",ISNA($B169)),"",IF(ISBLANK($B169),"",IFERROR(_xll.BDP(TICKER,"DEEP_MEASURE_PERIOD_BROKER_VALUE","DEEP_MEASURE_ID_OVERRIDE",$C169,"DEEP_BROKER_ID_OVERRIDE",BU$24,"DEEP_PERIOD_OVERRIDE",$H$19)*1,"")))</f>
        <v/>
      </c>
      <c r="BV169" t="str">
        <f>IF(OR(BV$23="",ISNA($B169)),"",IF(ISBLANK($B169),"",IFERROR(_xll.BDP(TICKER,"DEEP_MEASURE_PERIOD_BROKER_VALUE","DEEP_MEASURE_ID_OVERRIDE",$C169,"DEEP_BROKER_ID_OVERRIDE",BV$24,"DEEP_PERIOD_OVERRIDE",$H$19)*1,"")))</f>
        <v/>
      </c>
      <c r="BW169" t="str">
        <f>IF(OR(BW$23="",ISNA($B169)),"",IF(ISBLANK($B169),"",IFERROR(_xll.BDP(TICKER,"DEEP_MEASURE_PERIOD_BROKER_VALUE","DEEP_MEASURE_ID_OVERRIDE",$C169,"DEEP_BROKER_ID_OVERRIDE",BW$24,"DEEP_PERIOD_OVERRIDE",$H$19)*1,"")))</f>
        <v/>
      </c>
      <c r="BX169" t="str">
        <f>IF(OR(BX$23="",ISNA($B169)),"",IF(ISBLANK($B169),"",IFERROR(_xll.BDP(TICKER,"DEEP_MEASURE_PERIOD_BROKER_VALUE","DEEP_MEASURE_ID_OVERRIDE",$C169,"DEEP_BROKER_ID_OVERRIDE",BX$24,"DEEP_PERIOD_OVERRIDE",$H$19)*1,"")))</f>
        <v/>
      </c>
      <c r="BY169" t="str">
        <f>IF(OR(BY$23="",ISNA($B169)),"",IF(ISBLANK($B169),"",IFERROR(_xll.BDP(TICKER,"DEEP_MEASURE_PERIOD_BROKER_VALUE","DEEP_MEASURE_ID_OVERRIDE",$C169,"DEEP_BROKER_ID_OVERRIDE",BY$24,"DEEP_PERIOD_OVERRIDE",$H$19)*1,"")))</f>
        <v/>
      </c>
      <c r="BZ169" t="str">
        <f>IF(OR(BZ$23="",ISNA($B169)),"",IF(ISBLANK($B169),"",IFERROR(_xll.BDP(TICKER,"DEEP_MEASURE_PERIOD_BROKER_VALUE","DEEP_MEASURE_ID_OVERRIDE",$C169,"DEEP_BROKER_ID_OVERRIDE",BZ$24,"DEEP_PERIOD_OVERRIDE",$H$19)*1,"")))</f>
        <v/>
      </c>
    </row>
    <row r="170" spans="2:78" x14ac:dyDescent="0.25">
      <c r="B170" t="s">
        <v>195</v>
      </c>
      <c r="C170">
        <v>481</v>
      </c>
      <c r="H170" t="str">
        <f t="shared" si="3"/>
        <v>Assets &gt; Non-Current Assets &gt; Goodwill</v>
      </c>
      <c r="I170" t="str">
        <f>IF(OR(I$23="",ISNA($B170)),"",IF(ISBLANK($B170),"",IFERROR(_xll.BDP(TICKER,"DEEP_MEASURE_PERIOD_BROKER_VALUE","DEEP_MEASURE_ID_OVERRIDE",$C170,"DEEP_PERIOD_OVERRIDE",$H$19)*1,"")))</f>
        <v/>
      </c>
      <c r="J170" t="e">
        <f>IF(OR(J$23="",ISNA($B170)),"",IF(ISBLANK($B170),"",IFERROR(_xll.BDP(TICKER,"DEEP_MEASURE_PERIOD_BROKER_VALUE","DEEP_MEASURE_ID_OVERRIDE",$C170,"DEEP_BROKER_ID_OVERRIDE",J$24,"DEEP_PERIOD_OVERRIDE",$H$19)*1,"")))</f>
        <v>#REF!</v>
      </c>
      <c r="K170" t="str">
        <f>IF(OR(K$23="",ISNA($B170)),"",IF(ISBLANK($B170),"",IFERROR(_xll.BDP(TICKER,"DEEP_MEASURE_PERIOD_BROKER_VALUE","DEEP_MEASURE_ID_OVERRIDE",$C170,"DEEP_BROKER_ID_OVERRIDE",K$24,"DEEP_PERIOD_OVERRIDE",$H$19)*1,"")))</f>
        <v/>
      </c>
      <c r="L170" t="str">
        <f>IF(OR(L$23="",ISNA($B170)),"",IF(ISBLANK($B170),"",IFERROR(_xll.BDP(TICKER,"DEEP_MEASURE_PERIOD_BROKER_VALUE","DEEP_MEASURE_ID_OVERRIDE",$C170,"DEEP_BROKER_ID_OVERRIDE",L$24,"DEEP_PERIOD_OVERRIDE",$H$19)*1,"")))</f>
        <v/>
      </c>
      <c r="M170" t="str">
        <f>IF(OR(M$23="",ISNA($B170)),"",IF(ISBLANK($B170),"",IFERROR(_xll.BDP(TICKER,"DEEP_MEASURE_PERIOD_BROKER_VALUE","DEEP_MEASURE_ID_OVERRIDE",$C170,"DEEP_BROKER_ID_OVERRIDE",M$24,"DEEP_PERIOD_OVERRIDE",$H$19)*1,"")))</f>
        <v/>
      </c>
      <c r="N170" t="str">
        <f>IF(OR(N$23="",ISNA($B170)),"",IF(ISBLANK($B170),"",IFERROR(_xll.BDP(TICKER,"DEEP_MEASURE_PERIOD_BROKER_VALUE","DEEP_MEASURE_ID_OVERRIDE",$C170,"DEEP_BROKER_ID_OVERRIDE",N$24,"DEEP_PERIOD_OVERRIDE",$H$19)*1,"")))</f>
        <v/>
      </c>
      <c r="O170" t="str">
        <f>IF(OR(O$23="",ISNA($B170)),"",IF(ISBLANK($B170),"",IFERROR(_xll.BDP(TICKER,"DEEP_MEASURE_PERIOD_BROKER_VALUE","DEEP_MEASURE_ID_OVERRIDE",$C170,"DEEP_BROKER_ID_OVERRIDE",O$24,"DEEP_PERIOD_OVERRIDE",$H$19)*1,"")))</f>
        <v/>
      </c>
      <c r="P170" t="str">
        <f>IF(OR(P$23="",ISNA($B170)),"",IF(ISBLANK($B170),"",IFERROR(_xll.BDP(TICKER,"DEEP_MEASURE_PERIOD_BROKER_VALUE","DEEP_MEASURE_ID_OVERRIDE",$C170,"DEEP_BROKER_ID_OVERRIDE",P$24,"DEEP_PERIOD_OVERRIDE",$H$19)*1,"")))</f>
        <v/>
      </c>
      <c r="Q170" t="str">
        <f>IF(OR(Q$23="",ISNA($B170)),"",IF(ISBLANK($B170),"",IFERROR(_xll.BDP(TICKER,"DEEP_MEASURE_PERIOD_BROKER_VALUE","DEEP_MEASURE_ID_OVERRIDE",$C170,"DEEP_BROKER_ID_OVERRIDE",Q$24,"DEEP_PERIOD_OVERRIDE",$H$19)*1,"")))</f>
        <v/>
      </c>
      <c r="R170" t="str">
        <f>IF(OR(R$23="",ISNA($B170)),"",IF(ISBLANK($B170),"",IFERROR(_xll.BDP(TICKER,"DEEP_MEASURE_PERIOD_BROKER_VALUE","DEEP_MEASURE_ID_OVERRIDE",$C170,"DEEP_BROKER_ID_OVERRIDE",R$24,"DEEP_PERIOD_OVERRIDE",$H$19)*1,"")))</f>
        <v/>
      </c>
      <c r="S170" t="str">
        <f>IF(OR(S$23="",ISNA($B170)),"",IF(ISBLANK($B170),"",IFERROR(_xll.BDP(TICKER,"DEEP_MEASURE_PERIOD_BROKER_VALUE","DEEP_MEASURE_ID_OVERRIDE",$C170,"DEEP_BROKER_ID_OVERRIDE",S$24,"DEEP_PERIOD_OVERRIDE",$H$19)*1,"")))</f>
        <v/>
      </c>
      <c r="T170" t="str">
        <f>IF(OR(T$23="",ISNA($B170)),"",IF(ISBLANK($B170),"",IFERROR(_xll.BDP(TICKER,"DEEP_MEASURE_PERIOD_BROKER_VALUE","DEEP_MEASURE_ID_OVERRIDE",$C170,"DEEP_BROKER_ID_OVERRIDE",T$24,"DEEP_PERIOD_OVERRIDE",$H$19)*1,"")))</f>
        <v/>
      </c>
      <c r="U170" t="str">
        <f>IF(OR(U$23="",ISNA($B170)),"",IF(ISBLANK($B170),"",IFERROR(_xll.BDP(TICKER,"DEEP_MEASURE_PERIOD_BROKER_VALUE","DEEP_MEASURE_ID_OVERRIDE",$C170,"DEEP_BROKER_ID_OVERRIDE",U$24,"DEEP_PERIOD_OVERRIDE",$H$19)*1,"")))</f>
        <v/>
      </c>
      <c r="V170" t="str">
        <f>IF(OR(V$23="",ISNA($B170)),"",IF(ISBLANK($B170),"",IFERROR(_xll.BDP(TICKER,"DEEP_MEASURE_PERIOD_BROKER_VALUE","DEEP_MEASURE_ID_OVERRIDE",$C170,"DEEP_BROKER_ID_OVERRIDE",V$24,"DEEP_PERIOD_OVERRIDE",$H$19)*1,"")))</f>
        <v/>
      </c>
      <c r="W170" t="str">
        <f>IF(OR(W$23="",ISNA($B170)),"",IF(ISBLANK($B170),"",IFERROR(_xll.BDP(TICKER,"DEEP_MEASURE_PERIOD_BROKER_VALUE","DEEP_MEASURE_ID_OVERRIDE",$C170,"DEEP_BROKER_ID_OVERRIDE",W$24,"DEEP_PERIOD_OVERRIDE",$H$19)*1,"")))</f>
        <v/>
      </c>
      <c r="X170" t="str">
        <f>IF(OR(X$23="",ISNA($B170)),"",IF(ISBLANK($B170),"",IFERROR(_xll.BDP(TICKER,"DEEP_MEASURE_PERIOD_BROKER_VALUE","DEEP_MEASURE_ID_OVERRIDE",$C170,"DEEP_BROKER_ID_OVERRIDE",X$24,"DEEP_PERIOD_OVERRIDE",$H$19)*1,"")))</f>
        <v/>
      </c>
      <c r="Y170" t="str">
        <f>IF(OR(Y$23="",ISNA($B170)),"",IF(ISBLANK($B170),"",IFERROR(_xll.BDP(TICKER,"DEEP_MEASURE_PERIOD_BROKER_VALUE","DEEP_MEASURE_ID_OVERRIDE",$C170,"DEEP_BROKER_ID_OVERRIDE",Y$24,"DEEP_PERIOD_OVERRIDE",$H$19)*1,"")))</f>
        <v/>
      </c>
      <c r="Z170" t="str">
        <f>IF(OR(Z$23="",ISNA($B170)),"",IF(ISBLANK($B170),"",IFERROR(_xll.BDP(TICKER,"DEEP_MEASURE_PERIOD_BROKER_VALUE","DEEP_MEASURE_ID_OVERRIDE",$C170,"DEEP_BROKER_ID_OVERRIDE",Z$24,"DEEP_PERIOD_OVERRIDE",$H$19)*1,"")))</f>
        <v/>
      </c>
      <c r="AA170" t="str">
        <f>IF(OR(AA$23="",ISNA($B170)),"",IF(ISBLANK($B170),"",IFERROR(_xll.BDP(TICKER,"DEEP_MEASURE_PERIOD_BROKER_VALUE","DEEP_MEASURE_ID_OVERRIDE",$C170,"DEEP_BROKER_ID_OVERRIDE",AA$24,"DEEP_PERIOD_OVERRIDE",$H$19)*1,"")))</f>
        <v/>
      </c>
      <c r="AB170" t="str">
        <f>IF(OR(AB$23="",ISNA($B170)),"",IF(ISBLANK($B170),"",IFERROR(_xll.BDP(TICKER,"DEEP_MEASURE_PERIOD_BROKER_VALUE","DEEP_MEASURE_ID_OVERRIDE",$C170,"DEEP_BROKER_ID_OVERRIDE",AB$24,"DEEP_PERIOD_OVERRIDE",$H$19)*1,"")))</f>
        <v/>
      </c>
      <c r="AC170" t="str">
        <f>IF(OR(AC$23="",ISNA($B170)),"",IF(ISBLANK($B170),"",IFERROR(_xll.BDP(TICKER,"DEEP_MEASURE_PERIOD_BROKER_VALUE","DEEP_MEASURE_ID_OVERRIDE",$C170,"DEEP_BROKER_ID_OVERRIDE",AC$24,"DEEP_PERIOD_OVERRIDE",$H$19)*1,"")))</f>
        <v/>
      </c>
      <c r="AD170" t="str">
        <f>IF(OR(AD$23="",ISNA($B170)),"",IF(ISBLANK($B170),"",IFERROR(_xll.BDP(TICKER,"DEEP_MEASURE_PERIOD_BROKER_VALUE","DEEP_MEASURE_ID_OVERRIDE",$C170,"DEEP_BROKER_ID_OVERRIDE",AD$24,"DEEP_PERIOD_OVERRIDE",$H$19)*1,"")))</f>
        <v/>
      </c>
      <c r="AE170" t="str">
        <f>IF(OR(AE$23="",ISNA($B170)),"",IF(ISBLANK($B170),"",IFERROR(_xll.BDP(TICKER,"DEEP_MEASURE_PERIOD_BROKER_VALUE","DEEP_MEASURE_ID_OVERRIDE",$C170,"DEEP_BROKER_ID_OVERRIDE",AE$24,"DEEP_PERIOD_OVERRIDE",$H$19)*1,"")))</f>
        <v/>
      </c>
      <c r="AF170" t="str">
        <f>IF(OR(AF$23="",ISNA($B170)),"",IF(ISBLANK($B170),"",IFERROR(_xll.BDP(TICKER,"DEEP_MEASURE_PERIOD_BROKER_VALUE","DEEP_MEASURE_ID_OVERRIDE",$C170,"DEEP_BROKER_ID_OVERRIDE",AF$24,"DEEP_PERIOD_OVERRIDE",$H$19)*1,"")))</f>
        <v/>
      </c>
      <c r="AG170" t="str">
        <f>IF(OR(AG$23="",ISNA($B170)),"",IF(ISBLANK($B170),"",IFERROR(_xll.BDP(TICKER,"DEEP_MEASURE_PERIOD_BROKER_VALUE","DEEP_MEASURE_ID_OVERRIDE",$C170,"DEEP_BROKER_ID_OVERRIDE",AG$24,"DEEP_PERIOD_OVERRIDE",$H$19)*1,"")))</f>
        <v/>
      </c>
      <c r="AH170" t="str">
        <f>IF(OR(AH$23="",ISNA($B170)),"",IF(ISBLANK($B170),"",IFERROR(_xll.BDP(TICKER,"DEEP_MEASURE_PERIOD_BROKER_VALUE","DEEP_MEASURE_ID_OVERRIDE",$C170,"DEEP_BROKER_ID_OVERRIDE",AH$24,"DEEP_PERIOD_OVERRIDE",$H$19)*1,"")))</f>
        <v/>
      </c>
      <c r="AI170" t="str">
        <f>IF(OR(AI$23="",ISNA($B170)),"",IF(ISBLANK($B170),"",IFERROR(_xll.BDP(TICKER,"DEEP_MEASURE_PERIOD_BROKER_VALUE","DEEP_MEASURE_ID_OVERRIDE",$C170,"DEEP_BROKER_ID_OVERRIDE",AI$24,"DEEP_PERIOD_OVERRIDE",$H$19)*1,"")))</f>
        <v/>
      </c>
      <c r="AJ170" t="str">
        <f>IF(OR(AJ$23="",ISNA($B170)),"",IF(ISBLANK($B170),"",IFERROR(_xll.BDP(TICKER,"DEEP_MEASURE_PERIOD_BROKER_VALUE","DEEP_MEASURE_ID_OVERRIDE",$C170,"DEEP_BROKER_ID_OVERRIDE",AJ$24,"DEEP_PERIOD_OVERRIDE",$H$19)*1,"")))</f>
        <v/>
      </c>
      <c r="AK170" t="str">
        <f>IF(OR(AK$23="",ISNA($B170)),"",IF(ISBLANK($B170),"",IFERROR(_xll.BDP(TICKER,"DEEP_MEASURE_PERIOD_BROKER_VALUE","DEEP_MEASURE_ID_OVERRIDE",$C170,"DEEP_BROKER_ID_OVERRIDE",AK$24,"DEEP_PERIOD_OVERRIDE",$H$19)*1,"")))</f>
        <v/>
      </c>
      <c r="AL170" t="str">
        <f>IF(OR(AL$23="",ISNA($B170)),"",IF(ISBLANK($B170),"",IFERROR(_xll.BDP(TICKER,"DEEP_MEASURE_PERIOD_BROKER_VALUE","DEEP_MEASURE_ID_OVERRIDE",$C170,"DEEP_BROKER_ID_OVERRIDE",AL$24,"DEEP_PERIOD_OVERRIDE",$H$19)*1,"")))</f>
        <v/>
      </c>
      <c r="AM170" t="str">
        <f>IF(OR(AM$23="",ISNA($B170)),"",IF(ISBLANK($B170),"",IFERROR(_xll.BDP(TICKER,"DEEP_MEASURE_PERIOD_BROKER_VALUE","DEEP_MEASURE_ID_OVERRIDE",$C170,"DEEP_BROKER_ID_OVERRIDE",AM$24,"DEEP_PERIOD_OVERRIDE",$H$19)*1,"")))</f>
        <v/>
      </c>
      <c r="AN170" t="str">
        <f>IF(OR(AN$23="",ISNA($B170)),"",IF(ISBLANK($B170),"",IFERROR(_xll.BDP(TICKER,"DEEP_MEASURE_PERIOD_BROKER_VALUE","DEEP_MEASURE_ID_OVERRIDE",$C170,"DEEP_BROKER_ID_OVERRIDE",AN$24,"DEEP_PERIOD_OVERRIDE",$H$19)*1,"")))</f>
        <v/>
      </c>
      <c r="AO170" t="str">
        <f>IF(OR(AO$23="",ISNA($B170)),"",IF(ISBLANK($B170),"",IFERROR(_xll.BDP(TICKER,"DEEP_MEASURE_PERIOD_BROKER_VALUE","DEEP_MEASURE_ID_OVERRIDE",$C170,"DEEP_BROKER_ID_OVERRIDE",AO$24,"DEEP_PERIOD_OVERRIDE",$H$19)*1,"")))</f>
        <v/>
      </c>
      <c r="AP170" t="str">
        <f>IF(OR(AP$23="",ISNA($B170)),"",IF(ISBLANK($B170),"",IFERROR(_xll.BDP(TICKER,"DEEP_MEASURE_PERIOD_BROKER_VALUE","DEEP_MEASURE_ID_OVERRIDE",$C170,"DEEP_BROKER_ID_OVERRIDE",AP$24,"DEEP_PERIOD_OVERRIDE",$H$19)*1,"")))</f>
        <v/>
      </c>
      <c r="AQ170" t="str">
        <f>IF(OR(AQ$23="",ISNA($B170)),"",IF(ISBLANK($B170),"",IFERROR(_xll.BDP(TICKER,"DEEP_MEASURE_PERIOD_BROKER_VALUE","DEEP_MEASURE_ID_OVERRIDE",$C170,"DEEP_BROKER_ID_OVERRIDE",AQ$24,"DEEP_PERIOD_OVERRIDE",$H$19)*1,"")))</f>
        <v/>
      </c>
      <c r="AR170" t="str">
        <f>IF(OR(AR$23="",ISNA($B170)),"",IF(ISBLANK($B170),"",IFERROR(_xll.BDP(TICKER,"DEEP_MEASURE_PERIOD_BROKER_VALUE","DEEP_MEASURE_ID_OVERRIDE",$C170,"DEEP_BROKER_ID_OVERRIDE",AR$24,"DEEP_PERIOD_OVERRIDE",$H$19)*1,"")))</f>
        <v/>
      </c>
      <c r="AS170" t="str">
        <f>IF(OR(AS$23="",ISNA($B170)),"",IF(ISBLANK($B170),"",IFERROR(_xll.BDP(TICKER,"DEEP_MEASURE_PERIOD_BROKER_VALUE","DEEP_MEASURE_ID_OVERRIDE",$C170,"DEEP_BROKER_ID_OVERRIDE",AS$24,"DEEP_PERIOD_OVERRIDE",$H$19)*1,"")))</f>
        <v/>
      </c>
      <c r="AT170" t="str">
        <f>IF(OR(AT$23="",ISNA($B170)),"",IF(ISBLANK($B170),"",IFERROR(_xll.BDP(TICKER,"DEEP_MEASURE_PERIOD_BROKER_VALUE","DEEP_MEASURE_ID_OVERRIDE",$C170,"DEEP_BROKER_ID_OVERRIDE",AT$24,"DEEP_PERIOD_OVERRIDE",$H$19)*1,"")))</f>
        <v/>
      </c>
      <c r="AU170" t="str">
        <f>IF(OR(AU$23="",ISNA($B170)),"",IF(ISBLANK($B170),"",IFERROR(_xll.BDP(TICKER,"DEEP_MEASURE_PERIOD_BROKER_VALUE","DEEP_MEASURE_ID_OVERRIDE",$C170,"DEEP_BROKER_ID_OVERRIDE",AU$24,"DEEP_PERIOD_OVERRIDE",$H$19)*1,"")))</f>
        <v/>
      </c>
      <c r="AV170" t="str">
        <f>IF(OR(AV$23="",ISNA($B170)),"",IF(ISBLANK($B170),"",IFERROR(_xll.BDP(TICKER,"DEEP_MEASURE_PERIOD_BROKER_VALUE","DEEP_MEASURE_ID_OVERRIDE",$C170,"DEEP_BROKER_ID_OVERRIDE",AV$24,"DEEP_PERIOD_OVERRIDE",$H$19)*1,"")))</f>
        <v/>
      </c>
      <c r="AW170" t="str">
        <f>IF(OR(AW$23="",ISNA($B170)),"",IF(ISBLANK($B170),"",IFERROR(_xll.BDP(TICKER,"DEEP_MEASURE_PERIOD_BROKER_VALUE","DEEP_MEASURE_ID_OVERRIDE",$C170,"DEEP_BROKER_ID_OVERRIDE",AW$24,"DEEP_PERIOD_OVERRIDE",$H$19)*1,"")))</f>
        <v/>
      </c>
      <c r="AX170" t="str">
        <f>IF(OR(AX$23="",ISNA($B170)),"",IF(ISBLANK($B170),"",IFERROR(_xll.BDP(TICKER,"DEEP_MEASURE_PERIOD_BROKER_VALUE","DEEP_MEASURE_ID_OVERRIDE",$C170,"DEEP_BROKER_ID_OVERRIDE",AX$24,"DEEP_PERIOD_OVERRIDE",$H$19)*1,"")))</f>
        <v/>
      </c>
      <c r="AY170" t="str">
        <f>IF(OR(AY$23="",ISNA($B170)),"",IF(ISBLANK($B170),"",IFERROR(_xll.BDP(TICKER,"DEEP_MEASURE_PERIOD_BROKER_VALUE","DEEP_MEASURE_ID_OVERRIDE",$C170,"DEEP_BROKER_ID_OVERRIDE",AY$24,"DEEP_PERIOD_OVERRIDE",$H$19)*1,"")))</f>
        <v/>
      </c>
      <c r="AZ170" t="str">
        <f>IF(OR(AZ$23="",ISNA($B170)),"",IF(ISBLANK($B170),"",IFERROR(_xll.BDP(TICKER,"DEEP_MEASURE_PERIOD_BROKER_VALUE","DEEP_MEASURE_ID_OVERRIDE",$C170,"DEEP_BROKER_ID_OVERRIDE",AZ$24,"DEEP_PERIOD_OVERRIDE",$H$19)*1,"")))</f>
        <v/>
      </c>
      <c r="BA170" t="str">
        <f>IF(OR(BA$23="",ISNA($B170)),"",IF(ISBLANK($B170),"",IFERROR(_xll.BDP(TICKER,"DEEP_MEASURE_PERIOD_BROKER_VALUE","DEEP_MEASURE_ID_OVERRIDE",$C170,"DEEP_BROKER_ID_OVERRIDE",BA$24,"DEEP_PERIOD_OVERRIDE",$H$19)*1,"")))</f>
        <v/>
      </c>
      <c r="BB170" t="str">
        <f>IF(OR(BB$23="",ISNA($B170)),"",IF(ISBLANK($B170),"",IFERROR(_xll.BDP(TICKER,"DEEP_MEASURE_PERIOD_BROKER_VALUE","DEEP_MEASURE_ID_OVERRIDE",$C170,"DEEP_BROKER_ID_OVERRIDE",BB$24,"DEEP_PERIOD_OVERRIDE",$H$19)*1,"")))</f>
        <v/>
      </c>
      <c r="BC170" t="str">
        <f>IF(OR(BC$23="",ISNA($B170)),"",IF(ISBLANK($B170),"",IFERROR(_xll.BDP(TICKER,"DEEP_MEASURE_PERIOD_BROKER_VALUE","DEEP_MEASURE_ID_OVERRIDE",$C170,"DEEP_BROKER_ID_OVERRIDE",BC$24,"DEEP_PERIOD_OVERRIDE",$H$19)*1,"")))</f>
        <v/>
      </c>
      <c r="BD170" t="str">
        <f>IF(OR(BD$23="",ISNA($B170)),"",IF(ISBLANK($B170),"",IFERROR(_xll.BDP(TICKER,"DEEP_MEASURE_PERIOD_BROKER_VALUE","DEEP_MEASURE_ID_OVERRIDE",$C170,"DEEP_BROKER_ID_OVERRIDE",BD$24,"DEEP_PERIOD_OVERRIDE",$H$19)*1,"")))</f>
        <v/>
      </c>
      <c r="BE170" t="str">
        <f>IF(OR(BE$23="",ISNA($B170)),"",IF(ISBLANK($B170),"",IFERROR(_xll.BDP(TICKER,"DEEP_MEASURE_PERIOD_BROKER_VALUE","DEEP_MEASURE_ID_OVERRIDE",$C170,"DEEP_BROKER_ID_OVERRIDE",BE$24,"DEEP_PERIOD_OVERRIDE",$H$19)*1,"")))</f>
        <v/>
      </c>
      <c r="BF170" t="str">
        <f>IF(OR(BF$23="",ISNA($B170)),"",IF(ISBLANK($B170),"",IFERROR(_xll.BDP(TICKER,"DEEP_MEASURE_PERIOD_BROKER_VALUE","DEEP_MEASURE_ID_OVERRIDE",$C170,"DEEP_BROKER_ID_OVERRIDE",BF$24,"DEEP_PERIOD_OVERRIDE",$H$19)*1,"")))</f>
        <v/>
      </c>
      <c r="BG170" t="str">
        <f>IF(OR(BG$23="",ISNA($B170)),"",IF(ISBLANK($B170),"",IFERROR(_xll.BDP(TICKER,"DEEP_MEASURE_PERIOD_BROKER_VALUE","DEEP_MEASURE_ID_OVERRIDE",$C170,"DEEP_BROKER_ID_OVERRIDE",BG$24,"DEEP_PERIOD_OVERRIDE",$H$19)*1,"")))</f>
        <v/>
      </c>
      <c r="BH170" t="str">
        <f>IF(OR(BH$23="",ISNA($B170)),"",IF(ISBLANK($B170),"",IFERROR(_xll.BDP(TICKER,"DEEP_MEASURE_PERIOD_BROKER_VALUE","DEEP_MEASURE_ID_OVERRIDE",$C170,"DEEP_BROKER_ID_OVERRIDE",BH$24,"DEEP_PERIOD_OVERRIDE",$H$19)*1,"")))</f>
        <v/>
      </c>
      <c r="BI170" t="str">
        <f>IF(OR(BI$23="",ISNA($B170)),"",IF(ISBLANK($B170),"",IFERROR(_xll.BDP(TICKER,"DEEP_MEASURE_PERIOD_BROKER_VALUE","DEEP_MEASURE_ID_OVERRIDE",$C170,"DEEP_BROKER_ID_OVERRIDE",BI$24,"DEEP_PERIOD_OVERRIDE",$H$19)*1,"")))</f>
        <v/>
      </c>
      <c r="BJ170" t="str">
        <f>IF(OR(BJ$23="",ISNA($B170)),"",IF(ISBLANK($B170),"",IFERROR(_xll.BDP(TICKER,"DEEP_MEASURE_PERIOD_BROKER_VALUE","DEEP_MEASURE_ID_OVERRIDE",$C170,"DEEP_BROKER_ID_OVERRIDE",BJ$24,"DEEP_PERIOD_OVERRIDE",$H$19)*1,"")))</f>
        <v/>
      </c>
      <c r="BK170" t="str">
        <f>IF(OR(BK$23="",ISNA($B170)),"",IF(ISBLANK($B170),"",IFERROR(_xll.BDP(TICKER,"DEEP_MEASURE_PERIOD_BROKER_VALUE","DEEP_MEASURE_ID_OVERRIDE",$C170,"DEEP_BROKER_ID_OVERRIDE",BK$24,"DEEP_PERIOD_OVERRIDE",$H$19)*1,"")))</f>
        <v/>
      </c>
      <c r="BL170" t="str">
        <f>IF(OR(BL$23="",ISNA($B170)),"",IF(ISBLANK($B170),"",IFERROR(_xll.BDP(TICKER,"DEEP_MEASURE_PERIOD_BROKER_VALUE","DEEP_MEASURE_ID_OVERRIDE",$C170,"DEEP_BROKER_ID_OVERRIDE",BL$24,"DEEP_PERIOD_OVERRIDE",$H$19)*1,"")))</f>
        <v/>
      </c>
      <c r="BM170" t="str">
        <f>IF(OR(BM$23="",ISNA($B170)),"",IF(ISBLANK($B170),"",IFERROR(_xll.BDP(TICKER,"DEEP_MEASURE_PERIOD_BROKER_VALUE","DEEP_MEASURE_ID_OVERRIDE",$C170,"DEEP_BROKER_ID_OVERRIDE",BM$24,"DEEP_PERIOD_OVERRIDE",$H$19)*1,"")))</f>
        <v/>
      </c>
      <c r="BN170" t="str">
        <f>IF(OR(BN$23="",ISNA($B170)),"",IF(ISBLANK($B170),"",IFERROR(_xll.BDP(TICKER,"DEEP_MEASURE_PERIOD_BROKER_VALUE","DEEP_MEASURE_ID_OVERRIDE",$C170,"DEEP_BROKER_ID_OVERRIDE",BN$24,"DEEP_PERIOD_OVERRIDE",$H$19)*1,"")))</f>
        <v/>
      </c>
      <c r="BO170" t="str">
        <f>IF(OR(BO$23="",ISNA($B170)),"",IF(ISBLANK($B170),"",IFERROR(_xll.BDP(TICKER,"DEEP_MEASURE_PERIOD_BROKER_VALUE","DEEP_MEASURE_ID_OVERRIDE",$C170,"DEEP_BROKER_ID_OVERRIDE",BO$24,"DEEP_PERIOD_OVERRIDE",$H$19)*1,"")))</f>
        <v/>
      </c>
      <c r="BP170" t="str">
        <f>IF(OR(BP$23="",ISNA($B170)),"",IF(ISBLANK($B170),"",IFERROR(_xll.BDP(TICKER,"DEEP_MEASURE_PERIOD_BROKER_VALUE","DEEP_MEASURE_ID_OVERRIDE",$C170,"DEEP_BROKER_ID_OVERRIDE",BP$24,"DEEP_PERIOD_OVERRIDE",$H$19)*1,"")))</f>
        <v/>
      </c>
      <c r="BQ170" t="str">
        <f>IF(OR(BQ$23="",ISNA($B170)),"",IF(ISBLANK($B170),"",IFERROR(_xll.BDP(TICKER,"DEEP_MEASURE_PERIOD_BROKER_VALUE","DEEP_MEASURE_ID_OVERRIDE",$C170,"DEEP_BROKER_ID_OVERRIDE",BQ$24,"DEEP_PERIOD_OVERRIDE",$H$19)*1,"")))</f>
        <v/>
      </c>
      <c r="BR170" t="str">
        <f>IF(OR(BR$23="",ISNA($B170)),"",IF(ISBLANK($B170),"",IFERROR(_xll.BDP(TICKER,"DEEP_MEASURE_PERIOD_BROKER_VALUE","DEEP_MEASURE_ID_OVERRIDE",$C170,"DEEP_BROKER_ID_OVERRIDE",BR$24,"DEEP_PERIOD_OVERRIDE",$H$19)*1,"")))</f>
        <v/>
      </c>
      <c r="BS170" t="str">
        <f>IF(OR(BS$23="",ISNA($B170)),"",IF(ISBLANK($B170),"",IFERROR(_xll.BDP(TICKER,"DEEP_MEASURE_PERIOD_BROKER_VALUE","DEEP_MEASURE_ID_OVERRIDE",$C170,"DEEP_BROKER_ID_OVERRIDE",BS$24,"DEEP_PERIOD_OVERRIDE",$H$19)*1,"")))</f>
        <v/>
      </c>
      <c r="BT170" t="str">
        <f>IF(OR(BT$23="",ISNA($B170)),"",IF(ISBLANK($B170),"",IFERROR(_xll.BDP(TICKER,"DEEP_MEASURE_PERIOD_BROKER_VALUE","DEEP_MEASURE_ID_OVERRIDE",$C170,"DEEP_BROKER_ID_OVERRIDE",BT$24,"DEEP_PERIOD_OVERRIDE",$H$19)*1,"")))</f>
        <v/>
      </c>
      <c r="BU170" t="str">
        <f>IF(OR(BU$23="",ISNA($B170)),"",IF(ISBLANK($B170),"",IFERROR(_xll.BDP(TICKER,"DEEP_MEASURE_PERIOD_BROKER_VALUE","DEEP_MEASURE_ID_OVERRIDE",$C170,"DEEP_BROKER_ID_OVERRIDE",BU$24,"DEEP_PERIOD_OVERRIDE",$H$19)*1,"")))</f>
        <v/>
      </c>
      <c r="BV170" t="str">
        <f>IF(OR(BV$23="",ISNA($B170)),"",IF(ISBLANK($B170),"",IFERROR(_xll.BDP(TICKER,"DEEP_MEASURE_PERIOD_BROKER_VALUE","DEEP_MEASURE_ID_OVERRIDE",$C170,"DEEP_BROKER_ID_OVERRIDE",BV$24,"DEEP_PERIOD_OVERRIDE",$H$19)*1,"")))</f>
        <v/>
      </c>
      <c r="BW170" t="str">
        <f>IF(OR(BW$23="",ISNA($B170)),"",IF(ISBLANK($B170),"",IFERROR(_xll.BDP(TICKER,"DEEP_MEASURE_PERIOD_BROKER_VALUE","DEEP_MEASURE_ID_OVERRIDE",$C170,"DEEP_BROKER_ID_OVERRIDE",BW$24,"DEEP_PERIOD_OVERRIDE",$H$19)*1,"")))</f>
        <v/>
      </c>
      <c r="BX170" t="str">
        <f>IF(OR(BX$23="",ISNA($B170)),"",IF(ISBLANK($B170),"",IFERROR(_xll.BDP(TICKER,"DEEP_MEASURE_PERIOD_BROKER_VALUE","DEEP_MEASURE_ID_OVERRIDE",$C170,"DEEP_BROKER_ID_OVERRIDE",BX$24,"DEEP_PERIOD_OVERRIDE",$H$19)*1,"")))</f>
        <v/>
      </c>
      <c r="BY170" t="str">
        <f>IF(OR(BY$23="",ISNA($B170)),"",IF(ISBLANK($B170),"",IFERROR(_xll.BDP(TICKER,"DEEP_MEASURE_PERIOD_BROKER_VALUE","DEEP_MEASURE_ID_OVERRIDE",$C170,"DEEP_BROKER_ID_OVERRIDE",BY$24,"DEEP_PERIOD_OVERRIDE",$H$19)*1,"")))</f>
        <v/>
      </c>
      <c r="BZ170" t="str">
        <f>IF(OR(BZ$23="",ISNA($B170)),"",IF(ISBLANK($B170),"",IFERROR(_xll.BDP(TICKER,"DEEP_MEASURE_PERIOD_BROKER_VALUE","DEEP_MEASURE_ID_OVERRIDE",$C170,"DEEP_BROKER_ID_OVERRIDE",BZ$24,"DEEP_PERIOD_OVERRIDE",$H$19)*1,"")))</f>
        <v/>
      </c>
    </row>
    <row r="171" spans="2:78" x14ac:dyDescent="0.25">
      <c r="B171" t="s">
        <v>196</v>
      </c>
      <c r="C171">
        <v>477</v>
      </c>
      <c r="H171" t="str">
        <f t="shared" si="3"/>
        <v>Assets &gt; Non-Current Assets &gt; Deferred Income Taxes, net</v>
      </c>
      <c r="I171" t="str">
        <f>IF(OR(I$23="",ISNA($B171)),"",IF(ISBLANK($B171),"",IFERROR(_xll.BDP(TICKER,"DEEP_MEASURE_PERIOD_BROKER_VALUE","DEEP_MEASURE_ID_OVERRIDE",$C171,"DEEP_PERIOD_OVERRIDE",$H$19)*1,"")))</f>
        <v/>
      </c>
      <c r="J171" t="e">
        <f>IF(OR(J$23="",ISNA($B171)),"",IF(ISBLANK($B171),"",IFERROR(_xll.BDP(TICKER,"DEEP_MEASURE_PERIOD_BROKER_VALUE","DEEP_MEASURE_ID_OVERRIDE",$C171,"DEEP_BROKER_ID_OVERRIDE",J$24,"DEEP_PERIOD_OVERRIDE",$H$19)*1,"")))</f>
        <v>#REF!</v>
      </c>
      <c r="K171" t="str">
        <f>IF(OR(K$23="",ISNA($B171)),"",IF(ISBLANK($B171),"",IFERROR(_xll.BDP(TICKER,"DEEP_MEASURE_PERIOD_BROKER_VALUE","DEEP_MEASURE_ID_OVERRIDE",$C171,"DEEP_BROKER_ID_OVERRIDE",K$24,"DEEP_PERIOD_OVERRIDE",$H$19)*1,"")))</f>
        <v/>
      </c>
      <c r="L171" t="str">
        <f>IF(OR(L$23="",ISNA($B171)),"",IF(ISBLANK($B171),"",IFERROR(_xll.BDP(TICKER,"DEEP_MEASURE_PERIOD_BROKER_VALUE","DEEP_MEASURE_ID_OVERRIDE",$C171,"DEEP_BROKER_ID_OVERRIDE",L$24,"DEEP_PERIOD_OVERRIDE",$H$19)*1,"")))</f>
        <v/>
      </c>
      <c r="M171" t="str">
        <f>IF(OR(M$23="",ISNA($B171)),"",IF(ISBLANK($B171),"",IFERROR(_xll.BDP(TICKER,"DEEP_MEASURE_PERIOD_BROKER_VALUE","DEEP_MEASURE_ID_OVERRIDE",$C171,"DEEP_BROKER_ID_OVERRIDE",M$24,"DEEP_PERIOD_OVERRIDE",$H$19)*1,"")))</f>
        <v/>
      </c>
      <c r="N171" t="str">
        <f>IF(OR(N$23="",ISNA($B171)),"",IF(ISBLANK($B171),"",IFERROR(_xll.BDP(TICKER,"DEEP_MEASURE_PERIOD_BROKER_VALUE","DEEP_MEASURE_ID_OVERRIDE",$C171,"DEEP_BROKER_ID_OVERRIDE",N$24,"DEEP_PERIOD_OVERRIDE",$H$19)*1,"")))</f>
        <v/>
      </c>
      <c r="O171" t="str">
        <f>IF(OR(O$23="",ISNA($B171)),"",IF(ISBLANK($B171),"",IFERROR(_xll.BDP(TICKER,"DEEP_MEASURE_PERIOD_BROKER_VALUE","DEEP_MEASURE_ID_OVERRIDE",$C171,"DEEP_BROKER_ID_OVERRIDE",O$24,"DEEP_PERIOD_OVERRIDE",$H$19)*1,"")))</f>
        <v/>
      </c>
      <c r="P171" t="str">
        <f>IF(OR(P$23="",ISNA($B171)),"",IF(ISBLANK($B171),"",IFERROR(_xll.BDP(TICKER,"DEEP_MEASURE_PERIOD_BROKER_VALUE","DEEP_MEASURE_ID_OVERRIDE",$C171,"DEEP_BROKER_ID_OVERRIDE",P$24,"DEEP_PERIOD_OVERRIDE",$H$19)*1,"")))</f>
        <v/>
      </c>
      <c r="Q171" t="str">
        <f>IF(OR(Q$23="",ISNA($B171)),"",IF(ISBLANK($B171),"",IFERROR(_xll.BDP(TICKER,"DEEP_MEASURE_PERIOD_BROKER_VALUE","DEEP_MEASURE_ID_OVERRIDE",$C171,"DEEP_BROKER_ID_OVERRIDE",Q$24,"DEEP_PERIOD_OVERRIDE",$H$19)*1,"")))</f>
        <v/>
      </c>
      <c r="R171" t="str">
        <f>IF(OR(R$23="",ISNA($B171)),"",IF(ISBLANK($B171),"",IFERROR(_xll.BDP(TICKER,"DEEP_MEASURE_PERIOD_BROKER_VALUE","DEEP_MEASURE_ID_OVERRIDE",$C171,"DEEP_BROKER_ID_OVERRIDE",R$24,"DEEP_PERIOD_OVERRIDE",$H$19)*1,"")))</f>
        <v/>
      </c>
      <c r="S171" t="str">
        <f>IF(OR(S$23="",ISNA($B171)),"",IF(ISBLANK($B171),"",IFERROR(_xll.BDP(TICKER,"DEEP_MEASURE_PERIOD_BROKER_VALUE","DEEP_MEASURE_ID_OVERRIDE",$C171,"DEEP_BROKER_ID_OVERRIDE",S$24,"DEEP_PERIOD_OVERRIDE",$H$19)*1,"")))</f>
        <v/>
      </c>
      <c r="T171" t="str">
        <f>IF(OR(T$23="",ISNA($B171)),"",IF(ISBLANK($B171),"",IFERROR(_xll.BDP(TICKER,"DEEP_MEASURE_PERIOD_BROKER_VALUE","DEEP_MEASURE_ID_OVERRIDE",$C171,"DEEP_BROKER_ID_OVERRIDE",T$24,"DEEP_PERIOD_OVERRIDE",$H$19)*1,"")))</f>
        <v/>
      </c>
      <c r="U171" t="str">
        <f>IF(OR(U$23="",ISNA($B171)),"",IF(ISBLANK($B171),"",IFERROR(_xll.BDP(TICKER,"DEEP_MEASURE_PERIOD_BROKER_VALUE","DEEP_MEASURE_ID_OVERRIDE",$C171,"DEEP_BROKER_ID_OVERRIDE",U$24,"DEEP_PERIOD_OVERRIDE",$H$19)*1,"")))</f>
        <v/>
      </c>
      <c r="V171" t="str">
        <f>IF(OR(V$23="",ISNA($B171)),"",IF(ISBLANK($B171),"",IFERROR(_xll.BDP(TICKER,"DEEP_MEASURE_PERIOD_BROKER_VALUE","DEEP_MEASURE_ID_OVERRIDE",$C171,"DEEP_BROKER_ID_OVERRIDE",V$24,"DEEP_PERIOD_OVERRIDE",$H$19)*1,"")))</f>
        <v/>
      </c>
      <c r="W171" t="str">
        <f>IF(OR(W$23="",ISNA($B171)),"",IF(ISBLANK($B171),"",IFERROR(_xll.BDP(TICKER,"DEEP_MEASURE_PERIOD_BROKER_VALUE","DEEP_MEASURE_ID_OVERRIDE",$C171,"DEEP_BROKER_ID_OVERRIDE",W$24,"DEEP_PERIOD_OVERRIDE",$H$19)*1,"")))</f>
        <v/>
      </c>
      <c r="X171" t="str">
        <f>IF(OR(X$23="",ISNA($B171)),"",IF(ISBLANK($B171),"",IFERROR(_xll.BDP(TICKER,"DEEP_MEASURE_PERIOD_BROKER_VALUE","DEEP_MEASURE_ID_OVERRIDE",$C171,"DEEP_BROKER_ID_OVERRIDE",X$24,"DEEP_PERIOD_OVERRIDE",$H$19)*1,"")))</f>
        <v/>
      </c>
      <c r="Y171" t="str">
        <f>IF(OR(Y$23="",ISNA($B171)),"",IF(ISBLANK($B171),"",IFERROR(_xll.BDP(TICKER,"DEEP_MEASURE_PERIOD_BROKER_VALUE","DEEP_MEASURE_ID_OVERRIDE",$C171,"DEEP_BROKER_ID_OVERRIDE",Y$24,"DEEP_PERIOD_OVERRIDE",$H$19)*1,"")))</f>
        <v/>
      </c>
      <c r="Z171" t="str">
        <f>IF(OR(Z$23="",ISNA($B171)),"",IF(ISBLANK($B171),"",IFERROR(_xll.BDP(TICKER,"DEEP_MEASURE_PERIOD_BROKER_VALUE","DEEP_MEASURE_ID_OVERRIDE",$C171,"DEEP_BROKER_ID_OVERRIDE",Z$24,"DEEP_PERIOD_OVERRIDE",$H$19)*1,"")))</f>
        <v/>
      </c>
      <c r="AA171" t="str">
        <f>IF(OR(AA$23="",ISNA($B171)),"",IF(ISBLANK($B171),"",IFERROR(_xll.BDP(TICKER,"DEEP_MEASURE_PERIOD_BROKER_VALUE","DEEP_MEASURE_ID_OVERRIDE",$C171,"DEEP_BROKER_ID_OVERRIDE",AA$24,"DEEP_PERIOD_OVERRIDE",$H$19)*1,"")))</f>
        <v/>
      </c>
      <c r="AB171" t="str">
        <f>IF(OR(AB$23="",ISNA($B171)),"",IF(ISBLANK($B171),"",IFERROR(_xll.BDP(TICKER,"DEEP_MEASURE_PERIOD_BROKER_VALUE","DEEP_MEASURE_ID_OVERRIDE",$C171,"DEEP_BROKER_ID_OVERRIDE",AB$24,"DEEP_PERIOD_OVERRIDE",$H$19)*1,"")))</f>
        <v/>
      </c>
      <c r="AC171" t="str">
        <f>IF(OR(AC$23="",ISNA($B171)),"",IF(ISBLANK($B171),"",IFERROR(_xll.BDP(TICKER,"DEEP_MEASURE_PERIOD_BROKER_VALUE","DEEP_MEASURE_ID_OVERRIDE",$C171,"DEEP_BROKER_ID_OVERRIDE",AC$24,"DEEP_PERIOD_OVERRIDE",$H$19)*1,"")))</f>
        <v/>
      </c>
      <c r="AD171" t="str">
        <f>IF(OR(AD$23="",ISNA($B171)),"",IF(ISBLANK($B171),"",IFERROR(_xll.BDP(TICKER,"DEEP_MEASURE_PERIOD_BROKER_VALUE","DEEP_MEASURE_ID_OVERRIDE",$C171,"DEEP_BROKER_ID_OVERRIDE",AD$24,"DEEP_PERIOD_OVERRIDE",$H$19)*1,"")))</f>
        <v/>
      </c>
      <c r="AE171" t="str">
        <f>IF(OR(AE$23="",ISNA($B171)),"",IF(ISBLANK($B171),"",IFERROR(_xll.BDP(TICKER,"DEEP_MEASURE_PERIOD_BROKER_VALUE","DEEP_MEASURE_ID_OVERRIDE",$C171,"DEEP_BROKER_ID_OVERRIDE",AE$24,"DEEP_PERIOD_OVERRIDE",$H$19)*1,"")))</f>
        <v/>
      </c>
      <c r="AF171" t="str">
        <f>IF(OR(AF$23="",ISNA($B171)),"",IF(ISBLANK($B171),"",IFERROR(_xll.BDP(TICKER,"DEEP_MEASURE_PERIOD_BROKER_VALUE","DEEP_MEASURE_ID_OVERRIDE",$C171,"DEEP_BROKER_ID_OVERRIDE",AF$24,"DEEP_PERIOD_OVERRIDE",$H$19)*1,"")))</f>
        <v/>
      </c>
      <c r="AG171" t="str">
        <f>IF(OR(AG$23="",ISNA($B171)),"",IF(ISBLANK($B171),"",IFERROR(_xll.BDP(TICKER,"DEEP_MEASURE_PERIOD_BROKER_VALUE","DEEP_MEASURE_ID_OVERRIDE",$C171,"DEEP_BROKER_ID_OVERRIDE",AG$24,"DEEP_PERIOD_OVERRIDE",$H$19)*1,"")))</f>
        <v/>
      </c>
      <c r="AH171" t="str">
        <f>IF(OR(AH$23="",ISNA($B171)),"",IF(ISBLANK($B171),"",IFERROR(_xll.BDP(TICKER,"DEEP_MEASURE_PERIOD_BROKER_VALUE","DEEP_MEASURE_ID_OVERRIDE",$C171,"DEEP_BROKER_ID_OVERRIDE",AH$24,"DEEP_PERIOD_OVERRIDE",$H$19)*1,"")))</f>
        <v/>
      </c>
      <c r="AI171" t="str">
        <f>IF(OR(AI$23="",ISNA($B171)),"",IF(ISBLANK($B171),"",IFERROR(_xll.BDP(TICKER,"DEEP_MEASURE_PERIOD_BROKER_VALUE","DEEP_MEASURE_ID_OVERRIDE",$C171,"DEEP_BROKER_ID_OVERRIDE",AI$24,"DEEP_PERIOD_OVERRIDE",$H$19)*1,"")))</f>
        <v/>
      </c>
      <c r="AJ171" t="str">
        <f>IF(OR(AJ$23="",ISNA($B171)),"",IF(ISBLANK($B171),"",IFERROR(_xll.BDP(TICKER,"DEEP_MEASURE_PERIOD_BROKER_VALUE","DEEP_MEASURE_ID_OVERRIDE",$C171,"DEEP_BROKER_ID_OVERRIDE",AJ$24,"DEEP_PERIOD_OVERRIDE",$H$19)*1,"")))</f>
        <v/>
      </c>
      <c r="AK171" t="str">
        <f>IF(OR(AK$23="",ISNA($B171)),"",IF(ISBLANK($B171),"",IFERROR(_xll.BDP(TICKER,"DEEP_MEASURE_PERIOD_BROKER_VALUE","DEEP_MEASURE_ID_OVERRIDE",$C171,"DEEP_BROKER_ID_OVERRIDE",AK$24,"DEEP_PERIOD_OVERRIDE",$H$19)*1,"")))</f>
        <v/>
      </c>
      <c r="AL171" t="str">
        <f>IF(OR(AL$23="",ISNA($B171)),"",IF(ISBLANK($B171),"",IFERROR(_xll.BDP(TICKER,"DEEP_MEASURE_PERIOD_BROKER_VALUE","DEEP_MEASURE_ID_OVERRIDE",$C171,"DEEP_BROKER_ID_OVERRIDE",AL$24,"DEEP_PERIOD_OVERRIDE",$H$19)*1,"")))</f>
        <v/>
      </c>
      <c r="AM171" t="str">
        <f>IF(OR(AM$23="",ISNA($B171)),"",IF(ISBLANK($B171),"",IFERROR(_xll.BDP(TICKER,"DEEP_MEASURE_PERIOD_BROKER_VALUE","DEEP_MEASURE_ID_OVERRIDE",$C171,"DEEP_BROKER_ID_OVERRIDE",AM$24,"DEEP_PERIOD_OVERRIDE",$H$19)*1,"")))</f>
        <v/>
      </c>
      <c r="AN171" t="str">
        <f>IF(OR(AN$23="",ISNA($B171)),"",IF(ISBLANK($B171),"",IFERROR(_xll.BDP(TICKER,"DEEP_MEASURE_PERIOD_BROKER_VALUE","DEEP_MEASURE_ID_OVERRIDE",$C171,"DEEP_BROKER_ID_OVERRIDE",AN$24,"DEEP_PERIOD_OVERRIDE",$H$19)*1,"")))</f>
        <v/>
      </c>
      <c r="AO171" t="str">
        <f>IF(OR(AO$23="",ISNA($B171)),"",IF(ISBLANK($B171),"",IFERROR(_xll.BDP(TICKER,"DEEP_MEASURE_PERIOD_BROKER_VALUE","DEEP_MEASURE_ID_OVERRIDE",$C171,"DEEP_BROKER_ID_OVERRIDE",AO$24,"DEEP_PERIOD_OVERRIDE",$H$19)*1,"")))</f>
        <v/>
      </c>
      <c r="AP171" t="str">
        <f>IF(OR(AP$23="",ISNA($B171)),"",IF(ISBLANK($B171),"",IFERROR(_xll.BDP(TICKER,"DEEP_MEASURE_PERIOD_BROKER_VALUE","DEEP_MEASURE_ID_OVERRIDE",$C171,"DEEP_BROKER_ID_OVERRIDE",AP$24,"DEEP_PERIOD_OVERRIDE",$H$19)*1,"")))</f>
        <v/>
      </c>
      <c r="AQ171" t="str">
        <f>IF(OR(AQ$23="",ISNA($B171)),"",IF(ISBLANK($B171),"",IFERROR(_xll.BDP(TICKER,"DEEP_MEASURE_PERIOD_BROKER_VALUE","DEEP_MEASURE_ID_OVERRIDE",$C171,"DEEP_BROKER_ID_OVERRIDE",AQ$24,"DEEP_PERIOD_OVERRIDE",$H$19)*1,"")))</f>
        <v/>
      </c>
      <c r="AR171" t="str">
        <f>IF(OR(AR$23="",ISNA($B171)),"",IF(ISBLANK($B171),"",IFERROR(_xll.BDP(TICKER,"DEEP_MEASURE_PERIOD_BROKER_VALUE","DEEP_MEASURE_ID_OVERRIDE",$C171,"DEEP_BROKER_ID_OVERRIDE",AR$24,"DEEP_PERIOD_OVERRIDE",$H$19)*1,"")))</f>
        <v/>
      </c>
      <c r="AS171" t="str">
        <f>IF(OR(AS$23="",ISNA($B171)),"",IF(ISBLANK($B171),"",IFERROR(_xll.BDP(TICKER,"DEEP_MEASURE_PERIOD_BROKER_VALUE","DEEP_MEASURE_ID_OVERRIDE",$C171,"DEEP_BROKER_ID_OVERRIDE",AS$24,"DEEP_PERIOD_OVERRIDE",$H$19)*1,"")))</f>
        <v/>
      </c>
      <c r="AT171" t="str">
        <f>IF(OR(AT$23="",ISNA($B171)),"",IF(ISBLANK($B171),"",IFERROR(_xll.BDP(TICKER,"DEEP_MEASURE_PERIOD_BROKER_VALUE","DEEP_MEASURE_ID_OVERRIDE",$C171,"DEEP_BROKER_ID_OVERRIDE",AT$24,"DEEP_PERIOD_OVERRIDE",$H$19)*1,"")))</f>
        <v/>
      </c>
      <c r="AU171" t="str">
        <f>IF(OR(AU$23="",ISNA($B171)),"",IF(ISBLANK($B171),"",IFERROR(_xll.BDP(TICKER,"DEEP_MEASURE_PERIOD_BROKER_VALUE","DEEP_MEASURE_ID_OVERRIDE",$C171,"DEEP_BROKER_ID_OVERRIDE",AU$24,"DEEP_PERIOD_OVERRIDE",$H$19)*1,"")))</f>
        <v/>
      </c>
      <c r="AV171" t="str">
        <f>IF(OR(AV$23="",ISNA($B171)),"",IF(ISBLANK($B171),"",IFERROR(_xll.BDP(TICKER,"DEEP_MEASURE_PERIOD_BROKER_VALUE","DEEP_MEASURE_ID_OVERRIDE",$C171,"DEEP_BROKER_ID_OVERRIDE",AV$24,"DEEP_PERIOD_OVERRIDE",$H$19)*1,"")))</f>
        <v/>
      </c>
      <c r="AW171" t="str">
        <f>IF(OR(AW$23="",ISNA($B171)),"",IF(ISBLANK($B171),"",IFERROR(_xll.BDP(TICKER,"DEEP_MEASURE_PERIOD_BROKER_VALUE","DEEP_MEASURE_ID_OVERRIDE",$C171,"DEEP_BROKER_ID_OVERRIDE",AW$24,"DEEP_PERIOD_OVERRIDE",$H$19)*1,"")))</f>
        <v/>
      </c>
      <c r="AX171" t="str">
        <f>IF(OR(AX$23="",ISNA($B171)),"",IF(ISBLANK($B171),"",IFERROR(_xll.BDP(TICKER,"DEEP_MEASURE_PERIOD_BROKER_VALUE","DEEP_MEASURE_ID_OVERRIDE",$C171,"DEEP_BROKER_ID_OVERRIDE",AX$24,"DEEP_PERIOD_OVERRIDE",$H$19)*1,"")))</f>
        <v/>
      </c>
      <c r="AY171" t="str">
        <f>IF(OR(AY$23="",ISNA($B171)),"",IF(ISBLANK($B171),"",IFERROR(_xll.BDP(TICKER,"DEEP_MEASURE_PERIOD_BROKER_VALUE","DEEP_MEASURE_ID_OVERRIDE",$C171,"DEEP_BROKER_ID_OVERRIDE",AY$24,"DEEP_PERIOD_OVERRIDE",$H$19)*1,"")))</f>
        <v/>
      </c>
      <c r="AZ171" t="str">
        <f>IF(OR(AZ$23="",ISNA($B171)),"",IF(ISBLANK($B171),"",IFERROR(_xll.BDP(TICKER,"DEEP_MEASURE_PERIOD_BROKER_VALUE","DEEP_MEASURE_ID_OVERRIDE",$C171,"DEEP_BROKER_ID_OVERRIDE",AZ$24,"DEEP_PERIOD_OVERRIDE",$H$19)*1,"")))</f>
        <v/>
      </c>
      <c r="BA171" t="str">
        <f>IF(OR(BA$23="",ISNA($B171)),"",IF(ISBLANK($B171),"",IFERROR(_xll.BDP(TICKER,"DEEP_MEASURE_PERIOD_BROKER_VALUE","DEEP_MEASURE_ID_OVERRIDE",$C171,"DEEP_BROKER_ID_OVERRIDE",BA$24,"DEEP_PERIOD_OVERRIDE",$H$19)*1,"")))</f>
        <v/>
      </c>
      <c r="BB171" t="str">
        <f>IF(OR(BB$23="",ISNA($B171)),"",IF(ISBLANK($B171),"",IFERROR(_xll.BDP(TICKER,"DEEP_MEASURE_PERIOD_BROKER_VALUE","DEEP_MEASURE_ID_OVERRIDE",$C171,"DEEP_BROKER_ID_OVERRIDE",BB$24,"DEEP_PERIOD_OVERRIDE",$H$19)*1,"")))</f>
        <v/>
      </c>
      <c r="BC171" t="str">
        <f>IF(OR(BC$23="",ISNA($B171)),"",IF(ISBLANK($B171),"",IFERROR(_xll.BDP(TICKER,"DEEP_MEASURE_PERIOD_BROKER_VALUE","DEEP_MEASURE_ID_OVERRIDE",$C171,"DEEP_BROKER_ID_OVERRIDE",BC$24,"DEEP_PERIOD_OVERRIDE",$H$19)*1,"")))</f>
        <v/>
      </c>
      <c r="BD171" t="str">
        <f>IF(OR(BD$23="",ISNA($B171)),"",IF(ISBLANK($B171),"",IFERROR(_xll.BDP(TICKER,"DEEP_MEASURE_PERIOD_BROKER_VALUE","DEEP_MEASURE_ID_OVERRIDE",$C171,"DEEP_BROKER_ID_OVERRIDE",BD$24,"DEEP_PERIOD_OVERRIDE",$H$19)*1,"")))</f>
        <v/>
      </c>
      <c r="BE171" t="str">
        <f>IF(OR(BE$23="",ISNA($B171)),"",IF(ISBLANK($B171),"",IFERROR(_xll.BDP(TICKER,"DEEP_MEASURE_PERIOD_BROKER_VALUE","DEEP_MEASURE_ID_OVERRIDE",$C171,"DEEP_BROKER_ID_OVERRIDE",BE$24,"DEEP_PERIOD_OVERRIDE",$H$19)*1,"")))</f>
        <v/>
      </c>
      <c r="BF171" t="str">
        <f>IF(OR(BF$23="",ISNA($B171)),"",IF(ISBLANK($B171),"",IFERROR(_xll.BDP(TICKER,"DEEP_MEASURE_PERIOD_BROKER_VALUE","DEEP_MEASURE_ID_OVERRIDE",$C171,"DEEP_BROKER_ID_OVERRIDE",BF$24,"DEEP_PERIOD_OVERRIDE",$H$19)*1,"")))</f>
        <v/>
      </c>
      <c r="BG171" t="str">
        <f>IF(OR(BG$23="",ISNA($B171)),"",IF(ISBLANK($B171),"",IFERROR(_xll.BDP(TICKER,"DEEP_MEASURE_PERIOD_BROKER_VALUE","DEEP_MEASURE_ID_OVERRIDE",$C171,"DEEP_BROKER_ID_OVERRIDE",BG$24,"DEEP_PERIOD_OVERRIDE",$H$19)*1,"")))</f>
        <v/>
      </c>
      <c r="BH171" t="str">
        <f>IF(OR(BH$23="",ISNA($B171)),"",IF(ISBLANK($B171),"",IFERROR(_xll.BDP(TICKER,"DEEP_MEASURE_PERIOD_BROKER_VALUE","DEEP_MEASURE_ID_OVERRIDE",$C171,"DEEP_BROKER_ID_OVERRIDE",BH$24,"DEEP_PERIOD_OVERRIDE",$H$19)*1,"")))</f>
        <v/>
      </c>
      <c r="BI171" t="str">
        <f>IF(OR(BI$23="",ISNA($B171)),"",IF(ISBLANK($B171),"",IFERROR(_xll.BDP(TICKER,"DEEP_MEASURE_PERIOD_BROKER_VALUE","DEEP_MEASURE_ID_OVERRIDE",$C171,"DEEP_BROKER_ID_OVERRIDE",BI$24,"DEEP_PERIOD_OVERRIDE",$H$19)*1,"")))</f>
        <v/>
      </c>
      <c r="BJ171" t="str">
        <f>IF(OR(BJ$23="",ISNA($B171)),"",IF(ISBLANK($B171),"",IFERROR(_xll.BDP(TICKER,"DEEP_MEASURE_PERIOD_BROKER_VALUE","DEEP_MEASURE_ID_OVERRIDE",$C171,"DEEP_BROKER_ID_OVERRIDE",BJ$24,"DEEP_PERIOD_OVERRIDE",$H$19)*1,"")))</f>
        <v/>
      </c>
      <c r="BK171" t="str">
        <f>IF(OR(BK$23="",ISNA($B171)),"",IF(ISBLANK($B171),"",IFERROR(_xll.BDP(TICKER,"DEEP_MEASURE_PERIOD_BROKER_VALUE","DEEP_MEASURE_ID_OVERRIDE",$C171,"DEEP_BROKER_ID_OVERRIDE",BK$24,"DEEP_PERIOD_OVERRIDE",$H$19)*1,"")))</f>
        <v/>
      </c>
      <c r="BL171" t="str">
        <f>IF(OR(BL$23="",ISNA($B171)),"",IF(ISBLANK($B171),"",IFERROR(_xll.BDP(TICKER,"DEEP_MEASURE_PERIOD_BROKER_VALUE","DEEP_MEASURE_ID_OVERRIDE",$C171,"DEEP_BROKER_ID_OVERRIDE",BL$24,"DEEP_PERIOD_OVERRIDE",$H$19)*1,"")))</f>
        <v/>
      </c>
      <c r="BM171" t="str">
        <f>IF(OR(BM$23="",ISNA($B171)),"",IF(ISBLANK($B171),"",IFERROR(_xll.BDP(TICKER,"DEEP_MEASURE_PERIOD_BROKER_VALUE","DEEP_MEASURE_ID_OVERRIDE",$C171,"DEEP_BROKER_ID_OVERRIDE",BM$24,"DEEP_PERIOD_OVERRIDE",$H$19)*1,"")))</f>
        <v/>
      </c>
      <c r="BN171" t="str">
        <f>IF(OR(BN$23="",ISNA($B171)),"",IF(ISBLANK($B171),"",IFERROR(_xll.BDP(TICKER,"DEEP_MEASURE_PERIOD_BROKER_VALUE","DEEP_MEASURE_ID_OVERRIDE",$C171,"DEEP_BROKER_ID_OVERRIDE",BN$24,"DEEP_PERIOD_OVERRIDE",$H$19)*1,"")))</f>
        <v/>
      </c>
      <c r="BO171" t="str">
        <f>IF(OR(BO$23="",ISNA($B171)),"",IF(ISBLANK($B171),"",IFERROR(_xll.BDP(TICKER,"DEEP_MEASURE_PERIOD_BROKER_VALUE","DEEP_MEASURE_ID_OVERRIDE",$C171,"DEEP_BROKER_ID_OVERRIDE",BO$24,"DEEP_PERIOD_OVERRIDE",$H$19)*1,"")))</f>
        <v/>
      </c>
      <c r="BP171" t="str">
        <f>IF(OR(BP$23="",ISNA($B171)),"",IF(ISBLANK($B171),"",IFERROR(_xll.BDP(TICKER,"DEEP_MEASURE_PERIOD_BROKER_VALUE","DEEP_MEASURE_ID_OVERRIDE",$C171,"DEEP_BROKER_ID_OVERRIDE",BP$24,"DEEP_PERIOD_OVERRIDE",$H$19)*1,"")))</f>
        <v/>
      </c>
      <c r="BQ171" t="str">
        <f>IF(OR(BQ$23="",ISNA($B171)),"",IF(ISBLANK($B171),"",IFERROR(_xll.BDP(TICKER,"DEEP_MEASURE_PERIOD_BROKER_VALUE","DEEP_MEASURE_ID_OVERRIDE",$C171,"DEEP_BROKER_ID_OVERRIDE",BQ$24,"DEEP_PERIOD_OVERRIDE",$H$19)*1,"")))</f>
        <v/>
      </c>
      <c r="BR171" t="str">
        <f>IF(OR(BR$23="",ISNA($B171)),"",IF(ISBLANK($B171),"",IFERROR(_xll.BDP(TICKER,"DEEP_MEASURE_PERIOD_BROKER_VALUE","DEEP_MEASURE_ID_OVERRIDE",$C171,"DEEP_BROKER_ID_OVERRIDE",BR$24,"DEEP_PERIOD_OVERRIDE",$H$19)*1,"")))</f>
        <v/>
      </c>
      <c r="BS171" t="str">
        <f>IF(OR(BS$23="",ISNA($B171)),"",IF(ISBLANK($B171),"",IFERROR(_xll.BDP(TICKER,"DEEP_MEASURE_PERIOD_BROKER_VALUE","DEEP_MEASURE_ID_OVERRIDE",$C171,"DEEP_BROKER_ID_OVERRIDE",BS$24,"DEEP_PERIOD_OVERRIDE",$H$19)*1,"")))</f>
        <v/>
      </c>
      <c r="BT171" t="str">
        <f>IF(OR(BT$23="",ISNA($B171)),"",IF(ISBLANK($B171),"",IFERROR(_xll.BDP(TICKER,"DEEP_MEASURE_PERIOD_BROKER_VALUE","DEEP_MEASURE_ID_OVERRIDE",$C171,"DEEP_BROKER_ID_OVERRIDE",BT$24,"DEEP_PERIOD_OVERRIDE",$H$19)*1,"")))</f>
        <v/>
      </c>
      <c r="BU171" t="str">
        <f>IF(OR(BU$23="",ISNA($B171)),"",IF(ISBLANK($B171),"",IFERROR(_xll.BDP(TICKER,"DEEP_MEASURE_PERIOD_BROKER_VALUE","DEEP_MEASURE_ID_OVERRIDE",$C171,"DEEP_BROKER_ID_OVERRIDE",BU$24,"DEEP_PERIOD_OVERRIDE",$H$19)*1,"")))</f>
        <v/>
      </c>
      <c r="BV171" t="str">
        <f>IF(OR(BV$23="",ISNA($B171)),"",IF(ISBLANK($B171),"",IFERROR(_xll.BDP(TICKER,"DEEP_MEASURE_PERIOD_BROKER_VALUE","DEEP_MEASURE_ID_OVERRIDE",$C171,"DEEP_BROKER_ID_OVERRIDE",BV$24,"DEEP_PERIOD_OVERRIDE",$H$19)*1,"")))</f>
        <v/>
      </c>
      <c r="BW171" t="str">
        <f>IF(OR(BW$23="",ISNA($B171)),"",IF(ISBLANK($B171),"",IFERROR(_xll.BDP(TICKER,"DEEP_MEASURE_PERIOD_BROKER_VALUE","DEEP_MEASURE_ID_OVERRIDE",$C171,"DEEP_BROKER_ID_OVERRIDE",BW$24,"DEEP_PERIOD_OVERRIDE",$H$19)*1,"")))</f>
        <v/>
      </c>
      <c r="BX171" t="str">
        <f>IF(OR(BX$23="",ISNA($B171)),"",IF(ISBLANK($B171),"",IFERROR(_xll.BDP(TICKER,"DEEP_MEASURE_PERIOD_BROKER_VALUE","DEEP_MEASURE_ID_OVERRIDE",$C171,"DEEP_BROKER_ID_OVERRIDE",BX$24,"DEEP_PERIOD_OVERRIDE",$H$19)*1,"")))</f>
        <v/>
      </c>
      <c r="BY171" t="str">
        <f>IF(OR(BY$23="",ISNA($B171)),"",IF(ISBLANK($B171),"",IFERROR(_xll.BDP(TICKER,"DEEP_MEASURE_PERIOD_BROKER_VALUE","DEEP_MEASURE_ID_OVERRIDE",$C171,"DEEP_BROKER_ID_OVERRIDE",BY$24,"DEEP_PERIOD_OVERRIDE",$H$19)*1,"")))</f>
        <v/>
      </c>
      <c r="BZ171" t="str">
        <f>IF(OR(BZ$23="",ISNA($B171)),"",IF(ISBLANK($B171),"",IFERROR(_xll.BDP(TICKER,"DEEP_MEASURE_PERIOD_BROKER_VALUE","DEEP_MEASURE_ID_OVERRIDE",$C171,"DEEP_BROKER_ID_OVERRIDE",BZ$24,"DEEP_PERIOD_OVERRIDE",$H$19)*1,"")))</f>
        <v/>
      </c>
    </row>
    <row r="172" spans="2:78" x14ac:dyDescent="0.25">
      <c r="B172" t="s">
        <v>197</v>
      </c>
      <c r="C172">
        <v>479</v>
      </c>
      <c r="H172" t="str">
        <f t="shared" si="3"/>
        <v>Assets &gt; Non-Current Assets &gt; Other Long-Term Investments</v>
      </c>
      <c r="I172" t="str">
        <f>IF(OR(I$23="",ISNA($B172)),"",IF(ISBLANK($B172),"",IFERROR(_xll.BDP(TICKER,"DEEP_MEASURE_PERIOD_BROKER_VALUE","DEEP_MEASURE_ID_OVERRIDE",$C172,"DEEP_PERIOD_OVERRIDE",$H$19)*1,"")))</f>
        <v/>
      </c>
      <c r="J172" t="e">
        <f>IF(OR(J$23="",ISNA($B172)),"",IF(ISBLANK($B172),"",IFERROR(_xll.BDP(TICKER,"DEEP_MEASURE_PERIOD_BROKER_VALUE","DEEP_MEASURE_ID_OVERRIDE",$C172,"DEEP_BROKER_ID_OVERRIDE",J$24,"DEEP_PERIOD_OVERRIDE",$H$19)*1,"")))</f>
        <v>#REF!</v>
      </c>
      <c r="K172" t="str">
        <f>IF(OR(K$23="",ISNA($B172)),"",IF(ISBLANK($B172),"",IFERROR(_xll.BDP(TICKER,"DEEP_MEASURE_PERIOD_BROKER_VALUE","DEEP_MEASURE_ID_OVERRIDE",$C172,"DEEP_BROKER_ID_OVERRIDE",K$24,"DEEP_PERIOD_OVERRIDE",$H$19)*1,"")))</f>
        <v/>
      </c>
      <c r="L172" t="str">
        <f>IF(OR(L$23="",ISNA($B172)),"",IF(ISBLANK($B172),"",IFERROR(_xll.BDP(TICKER,"DEEP_MEASURE_PERIOD_BROKER_VALUE","DEEP_MEASURE_ID_OVERRIDE",$C172,"DEEP_BROKER_ID_OVERRIDE",L$24,"DEEP_PERIOD_OVERRIDE",$H$19)*1,"")))</f>
        <v/>
      </c>
      <c r="M172" t="str">
        <f>IF(OR(M$23="",ISNA($B172)),"",IF(ISBLANK($B172),"",IFERROR(_xll.BDP(TICKER,"DEEP_MEASURE_PERIOD_BROKER_VALUE","DEEP_MEASURE_ID_OVERRIDE",$C172,"DEEP_BROKER_ID_OVERRIDE",M$24,"DEEP_PERIOD_OVERRIDE",$H$19)*1,"")))</f>
        <v/>
      </c>
      <c r="N172" t="str">
        <f>IF(OR(N$23="",ISNA($B172)),"",IF(ISBLANK($B172),"",IFERROR(_xll.BDP(TICKER,"DEEP_MEASURE_PERIOD_BROKER_VALUE","DEEP_MEASURE_ID_OVERRIDE",$C172,"DEEP_BROKER_ID_OVERRIDE",N$24,"DEEP_PERIOD_OVERRIDE",$H$19)*1,"")))</f>
        <v/>
      </c>
      <c r="O172" t="str">
        <f>IF(OR(O$23="",ISNA($B172)),"",IF(ISBLANK($B172),"",IFERROR(_xll.BDP(TICKER,"DEEP_MEASURE_PERIOD_BROKER_VALUE","DEEP_MEASURE_ID_OVERRIDE",$C172,"DEEP_BROKER_ID_OVERRIDE",O$24,"DEEP_PERIOD_OVERRIDE",$H$19)*1,"")))</f>
        <v/>
      </c>
      <c r="P172" t="str">
        <f>IF(OR(P$23="",ISNA($B172)),"",IF(ISBLANK($B172),"",IFERROR(_xll.BDP(TICKER,"DEEP_MEASURE_PERIOD_BROKER_VALUE","DEEP_MEASURE_ID_OVERRIDE",$C172,"DEEP_BROKER_ID_OVERRIDE",P$24,"DEEP_PERIOD_OVERRIDE",$H$19)*1,"")))</f>
        <v/>
      </c>
      <c r="Q172" t="str">
        <f>IF(OR(Q$23="",ISNA($B172)),"",IF(ISBLANK($B172),"",IFERROR(_xll.BDP(TICKER,"DEEP_MEASURE_PERIOD_BROKER_VALUE","DEEP_MEASURE_ID_OVERRIDE",$C172,"DEEP_BROKER_ID_OVERRIDE",Q$24,"DEEP_PERIOD_OVERRIDE",$H$19)*1,"")))</f>
        <v/>
      </c>
      <c r="R172" t="str">
        <f>IF(OR(R$23="",ISNA($B172)),"",IF(ISBLANK($B172),"",IFERROR(_xll.BDP(TICKER,"DEEP_MEASURE_PERIOD_BROKER_VALUE","DEEP_MEASURE_ID_OVERRIDE",$C172,"DEEP_BROKER_ID_OVERRIDE",R$24,"DEEP_PERIOD_OVERRIDE",$H$19)*1,"")))</f>
        <v/>
      </c>
      <c r="S172" t="str">
        <f>IF(OR(S$23="",ISNA($B172)),"",IF(ISBLANK($B172),"",IFERROR(_xll.BDP(TICKER,"DEEP_MEASURE_PERIOD_BROKER_VALUE","DEEP_MEASURE_ID_OVERRIDE",$C172,"DEEP_BROKER_ID_OVERRIDE",S$24,"DEEP_PERIOD_OVERRIDE",$H$19)*1,"")))</f>
        <v/>
      </c>
      <c r="T172" t="str">
        <f>IF(OR(T$23="",ISNA($B172)),"",IF(ISBLANK($B172),"",IFERROR(_xll.BDP(TICKER,"DEEP_MEASURE_PERIOD_BROKER_VALUE","DEEP_MEASURE_ID_OVERRIDE",$C172,"DEEP_BROKER_ID_OVERRIDE",T$24,"DEEP_PERIOD_OVERRIDE",$H$19)*1,"")))</f>
        <v/>
      </c>
      <c r="U172" t="str">
        <f>IF(OR(U$23="",ISNA($B172)),"",IF(ISBLANK($B172),"",IFERROR(_xll.BDP(TICKER,"DEEP_MEASURE_PERIOD_BROKER_VALUE","DEEP_MEASURE_ID_OVERRIDE",$C172,"DEEP_BROKER_ID_OVERRIDE",U$24,"DEEP_PERIOD_OVERRIDE",$H$19)*1,"")))</f>
        <v/>
      </c>
      <c r="V172" t="str">
        <f>IF(OR(V$23="",ISNA($B172)),"",IF(ISBLANK($B172),"",IFERROR(_xll.BDP(TICKER,"DEEP_MEASURE_PERIOD_BROKER_VALUE","DEEP_MEASURE_ID_OVERRIDE",$C172,"DEEP_BROKER_ID_OVERRIDE",V$24,"DEEP_PERIOD_OVERRIDE",$H$19)*1,"")))</f>
        <v/>
      </c>
      <c r="W172" t="str">
        <f>IF(OR(W$23="",ISNA($B172)),"",IF(ISBLANK($B172),"",IFERROR(_xll.BDP(TICKER,"DEEP_MEASURE_PERIOD_BROKER_VALUE","DEEP_MEASURE_ID_OVERRIDE",$C172,"DEEP_BROKER_ID_OVERRIDE",W$24,"DEEP_PERIOD_OVERRIDE",$H$19)*1,"")))</f>
        <v/>
      </c>
      <c r="X172" t="str">
        <f>IF(OR(X$23="",ISNA($B172)),"",IF(ISBLANK($B172),"",IFERROR(_xll.BDP(TICKER,"DEEP_MEASURE_PERIOD_BROKER_VALUE","DEEP_MEASURE_ID_OVERRIDE",$C172,"DEEP_BROKER_ID_OVERRIDE",X$24,"DEEP_PERIOD_OVERRIDE",$H$19)*1,"")))</f>
        <v/>
      </c>
      <c r="Y172" t="str">
        <f>IF(OR(Y$23="",ISNA($B172)),"",IF(ISBLANK($B172),"",IFERROR(_xll.BDP(TICKER,"DEEP_MEASURE_PERIOD_BROKER_VALUE","DEEP_MEASURE_ID_OVERRIDE",$C172,"DEEP_BROKER_ID_OVERRIDE",Y$24,"DEEP_PERIOD_OVERRIDE",$H$19)*1,"")))</f>
        <v/>
      </c>
      <c r="Z172" t="str">
        <f>IF(OR(Z$23="",ISNA($B172)),"",IF(ISBLANK($B172),"",IFERROR(_xll.BDP(TICKER,"DEEP_MEASURE_PERIOD_BROKER_VALUE","DEEP_MEASURE_ID_OVERRIDE",$C172,"DEEP_BROKER_ID_OVERRIDE",Z$24,"DEEP_PERIOD_OVERRIDE",$H$19)*1,"")))</f>
        <v/>
      </c>
      <c r="AA172" t="str">
        <f>IF(OR(AA$23="",ISNA($B172)),"",IF(ISBLANK($B172),"",IFERROR(_xll.BDP(TICKER,"DEEP_MEASURE_PERIOD_BROKER_VALUE","DEEP_MEASURE_ID_OVERRIDE",$C172,"DEEP_BROKER_ID_OVERRIDE",AA$24,"DEEP_PERIOD_OVERRIDE",$H$19)*1,"")))</f>
        <v/>
      </c>
      <c r="AB172" t="str">
        <f>IF(OR(AB$23="",ISNA($B172)),"",IF(ISBLANK($B172),"",IFERROR(_xll.BDP(TICKER,"DEEP_MEASURE_PERIOD_BROKER_VALUE","DEEP_MEASURE_ID_OVERRIDE",$C172,"DEEP_BROKER_ID_OVERRIDE",AB$24,"DEEP_PERIOD_OVERRIDE",$H$19)*1,"")))</f>
        <v/>
      </c>
      <c r="AC172" t="str">
        <f>IF(OR(AC$23="",ISNA($B172)),"",IF(ISBLANK($B172),"",IFERROR(_xll.BDP(TICKER,"DEEP_MEASURE_PERIOD_BROKER_VALUE","DEEP_MEASURE_ID_OVERRIDE",$C172,"DEEP_BROKER_ID_OVERRIDE",AC$24,"DEEP_PERIOD_OVERRIDE",$H$19)*1,"")))</f>
        <v/>
      </c>
      <c r="AD172" t="str">
        <f>IF(OR(AD$23="",ISNA($B172)),"",IF(ISBLANK($B172),"",IFERROR(_xll.BDP(TICKER,"DEEP_MEASURE_PERIOD_BROKER_VALUE","DEEP_MEASURE_ID_OVERRIDE",$C172,"DEEP_BROKER_ID_OVERRIDE",AD$24,"DEEP_PERIOD_OVERRIDE",$H$19)*1,"")))</f>
        <v/>
      </c>
      <c r="AE172" t="str">
        <f>IF(OR(AE$23="",ISNA($B172)),"",IF(ISBLANK($B172),"",IFERROR(_xll.BDP(TICKER,"DEEP_MEASURE_PERIOD_BROKER_VALUE","DEEP_MEASURE_ID_OVERRIDE",$C172,"DEEP_BROKER_ID_OVERRIDE",AE$24,"DEEP_PERIOD_OVERRIDE",$H$19)*1,"")))</f>
        <v/>
      </c>
      <c r="AF172" t="str">
        <f>IF(OR(AF$23="",ISNA($B172)),"",IF(ISBLANK($B172),"",IFERROR(_xll.BDP(TICKER,"DEEP_MEASURE_PERIOD_BROKER_VALUE","DEEP_MEASURE_ID_OVERRIDE",$C172,"DEEP_BROKER_ID_OVERRIDE",AF$24,"DEEP_PERIOD_OVERRIDE",$H$19)*1,"")))</f>
        <v/>
      </c>
      <c r="AG172" t="str">
        <f>IF(OR(AG$23="",ISNA($B172)),"",IF(ISBLANK($B172),"",IFERROR(_xll.BDP(TICKER,"DEEP_MEASURE_PERIOD_BROKER_VALUE","DEEP_MEASURE_ID_OVERRIDE",$C172,"DEEP_BROKER_ID_OVERRIDE",AG$24,"DEEP_PERIOD_OVERRIDE",$H$19)*1,"")))</f>
        <v/>
      </c>
      <c r="AH172" t="str">
        <f>IF(OR(AH$23="",ISNA($B172)),"",IF(ISBLANK($B172),"",IFERROR(_xll.BDP(TICKER,"DEEP_MEASURE_PERIOD_BROKER_VALUE","DEEP_MEASURE_ID_OVERRIDE",$C172,"DEEP_BROKER_ID_OVERRIDE",AH$24,"DEEP_PERIOD_OVERRIDE",$H$19)*1,"")))</f>
        <v/>
      </c>
      <c r="AI172" t="str">
        <f>IF(OR(AI$23="",ISNA($B172)),"",IF(ISBLANK($B172),"",IFERROR(_xll.BDP(TICKER,"DEEP_MEASURE_PERIOD_BROKER_VALUE","DEEP_MEASURE_ID_OVERRIDE",$C172,"DEEP_BROKER_ID_OVERRIDE",AI$24,"DEEP_PERIOD_OVERRIDE",$H$19)*1,"")))</f>
        <v/>
      </c>
      <c r="AJ172" t="str">
        <f>IF(OR(AJ$23="",ISNA($B172)),"",IF(ISBLANK($B172),"",IFERROR(_xll.BDP(TICKER,"DEEP_MEASURE_PERIOD_BROKER_VALUE","DEEP_MEASURE_ID_OVERRIDE",$C172,"DEEP_BROKER_ID_OVERRIDE",AJ$24,"DEEP_PERIOD_OVERRIDE",$H$19)*1,"")))</f>
        <v/>
      </c>
      <c r="AK172" t="str">
        <f>IF(OR(AK$23="",ISNA($B172)),"",IF(ISBLANK($B172),"",IFERROR(_xll.BDP(TICKER,"DEEP_MEASURE_PERIOD_BROKER_VALUE","DEEP_MEASURE_ID_OVERRIDE",$C172,"DEEP_BROKER_ID_OVERRIDE",AK$24,"DEEP_PERIOD_OVERRIDE",$H$19)*1,"")))</f>
        <v/>
      </c>
      <c r="AL172" t="str">
        <f>IF(OR(AL$23="",ISNA($B172)),"",IF(ISBLANK($B172),"",IFERROR(_xll.BDP(TICKER,"DEEP_MEASURE_PERIOD_BROKER_VALUE","DEEP_MEASURE_ID_OVERRIDE",$C172,"DEEP_BROKER_ID_OVERRIDE",AL$24,"DEEP_PERIOD_OVERRIDE",$H$19)*1,"")))</f>
        <v/>
      </c>
      <c r="AM172" t="str">
        <f>IF(OR(AM$23="",ISNA($B172)),"",IF(ISBLANK($B172),"",IFERROR(_xll.BDP(TICKER,"DEEP_MEASURE_PERIOD_BROKER_VALUE","DEEP_MEASURE_ID_OVERRIDE",$C172,"DEEP_BROKER_ID_OVERRIDE",AM$24,"DEEP_PERIOD_OVERRIDE",$H$19)*1,"")))</f>
        <v/>
      </c>
      <c r="AN172" t="str">
        <f>IF(OR(AN$23="",ISNA($B172)),"",IF(ISBLANK($B172),"",IFERROR(_xll.BDP(TICKER,"DEEP_MEASURE_PERIOD_BROKER_VALUE","DEEP_MEASURE_ID_OVERRIDE",$C172,"DEEP_BROKER_ID_OVERRIDE",AN$24,"DEEP_PERIOD_OVERRIDE",$H$19)*1,"")))</f>
        <v/>
      </c>
      <c r="AO172" t="str">
        <f>IF(OR(AO$23="",ISNA($B172)),"",IF(ISBLANK($B172),"",IFERROR(_xll.BDP(TICKER,"DEEP_MEASURE_PERIOD_BROKER_VALUE","DEEP_MEASURE_ID_OVERRIDE",$C172,"DEEP_BROKER_ID_OVERRIDE",AO$24,"DEEP_PERIOD_OVERRIDE",$H$19)*1,"")))</f>
        <v/>
      </c>
      <c r="AP172" t="str">
        <f>IF(OR(AP$23="",ISNA($B172)),"",IF(ISBLANK($B172),"",IFERROR(_xll.BDP(TICKER,"DEEP_MEASURE_PERIOD_BROKER_VALUE","DEEP_MEASURE_ID_OVERRIDE",$C172,"DEEP_BROKER_ID_OVERRIDE",AP$24,"DEEP_PERIOD_OVERRIDE",$H$19)*1,"")))</f>
        <v/>
      </c>
      <c r="AQ172" t="str">
        <f>IF(OR(AQ$23="",ISNA($B172)),"",IF(ISBLANK($B172),"",IFERROR(_xll.BDP(TICKER,"DEEP_MEASURE_PERIOD_BROKER_VALUE","DEEP_MEASURE_ID_OVERRIDE",$C172,"DEEP_BROKER_ID_OVERRIDE",AQ$24,"DEEP_PERIOD_OVERRIDE",$H$19)*1,"")))</f>
        <v/>
      </c>
      <c r="AR172" t="str">
        <f>IF(OR(AR$23="",ISNA($B172)),"",IF(ISBLANK($B172),"",IFERROR(_xll.BDP(TICKER,"DEEP_MEASURE_PERIOD_BROKER_VALUE","DEEP_MEASURE_ID_OVERRIDE",$C172,"DEEP_BROKER_ID_OVERRIDE",AR$24,"DEEP_PERIOD_OVERRIDE",$H$19)*1,"")))</f>
        <v/>
      </c>
      <c r="AS172" t="str">
        <f>IF(OR(AS$23="",ISNA($B172)),"",IF(ISBLANK($B172),"",IFERROR(_xll.BDP(TICKER,"DEEP_MEASURE_PERIOD_BROKER_VALUE","DEEP_MEASURE_ID_OVERRIDE",$C172,"DEEP_BROKER_ID_OVERRIDE",AS$24,"DEEP_PERIOD_OVERRIDE",$H$19)*1,"")))</f>
        <v/>
      </c>
      <c r="AT172" t="str">
        <f>IF(OR(AT$23="",ISNA($B172)),"",IF(ISBLANK($B172),"",IFERROR(_xll.BDP(TICKER,"DEEP_MEASURE_PERIOD_BROKER_VALUE","DEEP_MEASURE_ID_OVERRIDE",$C172,"DEEP_BROKER_ID_OVERRIDE",AT$24,"DEEP_PERIOD_OVERRIDE",$H$19)*1,"")))</f>
        <v/>
      </c>
      <c r="AU172" t="str">
        <f>IF(OR(AU$23="",ISNA($B172)),"",IF(ISBLANK($B172),"",IFERROR(_xll.BDP(TICKER,"DEEP_MEASURE_PERIOD_BROKER_VALUE","DEEP_MEASURE_ID_OVERRIDE",$C172,"DEEP_BROKER_ID_OVERRIDE",AU$24,"DEEP_PERIOD_OVERRIDE",$H$19)*1,"")))</f>
        <v/>
      </c>
      <c r="AV172" t="str">
        <f>IF(OR(AV$23="",ISNA($B172)),"",IF(ISBLANK($B172),"",IFERROR(_xll.BDP(TICKER,"DEEP_MEASURE_PERIOD_BROKER_VALUE","DEEP_MEASURE_ID_OVERRIDE",$C172,"DEEP_BROKER_ID_OVERRIDE",AV$24,"DEEP_PERIOD_OVERRIDE",$H$19)*1,"")))</f>
        <v/>
      </c>
      <c r="AW172" t="str">
        <f>IF(OR(AW$23="",ISNA($B172)),"",IF(ISBLANK($B172),"",IFERROR(_xll.BDP(TICKER,"DEEP_MEASURE_PERIOD_BROKER_VALUE","DEEP_MEASURE_ID_OVERRIDE",$C172,"DEEP_BROKER_ID_OVERRIDE",AW$24,"DEEP_PERIOD_OVERRIDE",$H$19)*1,"")))</f>
        <v/>
      </c>
      <c r="AX172" t="str">
        <f>IF(OR(AX$23="",ISNA($B172)),"",IF(ISBLANK($B172),"",IFERROR(_xll.BDP(TICKER,"DEEP_MEASURE_PERIOD_BROKER_VALUE","DEEP_MEASURE_ID_OVERRIDE",$C172,"DEEP_BROKER_ID_OVERRIDE",AX$24,"DEEP_PERIOD_OVERRIDE",$H$19)*1,"")))</f>
        <v/>
      </c>
      <c r="AY172" t="str">
        <f>IF(OR(AY$23="",ISNA($B172)),"",IF(ISBLANK($B172),"",IFERROR(_xll.BDP(TICKER,"DEEP_MEASURE_PERIOD_BROKER_VALUE","DEEP_MEASURE_ID_OVERRIDE",$C172,"DEEP_BROKER_ID_OVERRIDE",AY$24,"DEEP_PERIOD_OVERRIDE",$H$19)*1,"")))</f>
        <v/>
      </c>
      <c r="AZ172" t="str">
        <f>IF(OR(AZ$23="",ISNA($B172)),"",IF(ISBLANK($B172),"",IFERROR(_xll.BDP(TICKER,"DEEP_MEASURE_PERIOD_BROKER_VALUE","DEEP_MEASURE_ID_OVERRIDE",$C172,"DEEP_BROKER_ID_OVERRIDE",AZ$24,"DEEP_PERIOD_OVERRIDE",$H$19)*1,"")))</f>
        <v/>
      </c>
      <c r="BA172" t="str">
        <f>IF(OR(BA$23="",ISNA($B172)),"",IF(ISBLANK($B172),"",IFERROR(_xll.BDP(TICKER,"DEEP_MEASURE_PERIOD_BROKER_VALUE","DEEP_MEASURE_ID_OVERRIDE",$C172,"DEEP_BROKER_ID_OVERRIDE",BA$24,"DEEP_PERIOD_OVERRIDE",$H$19)*1,"")))</f>
        <v/>
      </c>
      <c r="BB172" t="str">
        <f>IF(OR(BB$23="",ISNA($B172)),"",IF(ISBLANK($B172),"",IFERROR(_xll.BDP(TICKER,"DEEP_MEASURE_PERIOD_BROKER_VALUE","DEEP_MEASURE_ID_OVERRIDE",$C172,"DEEP_BROKER_ID_OVERRIDE",BB$24,"DEEP_PERIOD_OVERRIDE",$H$19)*1,"")))</f>
        <v/>
      </c>
      <c r="BC172" t="str">
        <f>IF(OR(BC$23="",ISNA($B172)),"",IF(ISBLANK($B172),"",IFERROR(_xll.BDP(TICKER,"DEEP_MEASURE_PERIOD_BROKER_VALUE","DEEP_MEASURE_ID_OVERRIDE",$C172,"DEEP_BROKER_ID_OVERRIDE",BC$24,"DEEP_PERIOD_OVERRIDE",$H$19)*1,"")))</f>
        <v/>
      </c>
      <c r="BD172" t="str">
        <f>IF(OR(BD$23="",ISNA($B172)),"",IF(ISBLANK($B172),"",IFERROR(_xll.BDP(TICKER,"DEEP_MEASURE_PERIOD_BROKER_VALUE","DEEP_MEASURE_ID_OVERRIDE",$C172,"DEEP_BROKER_ID_OVERRIDE",BD$24,"DEEP_PERIOD_OVERRIDE",$H$19)*1,"")))</f>
        <v/>
      </c>
      <c r="BE172" t="str">
        <f>IF(OR(BE$23="",ISNA($B172)),"",IF(ISBLANK($B172),"",IFERROR(_xll.BDP(TICKER,"DEEP_MEASURE_PERIOD_BROKER_VALUE","DEEP_MEASURE_ID_OVERRIDE",$C172,"DEEP_BROKER_ID_OVERRIDE",BE$24,"DEEP_PERIOD_OVERRIDE",$H$19)*1,"")))</f>
        <v/>
      </c>
      <c r="BF172" t="str">
        <f>IF(OR(BF$23="",ISNA($B172)),"",IF(ISBLANK($B172),"",IFERROR(_xll.BDP(TICKER,"DEEP_MEASURE_PERIOD_BROKER_VALUE","DEEP_MEASURE_ID_OVERRIDE",$C172,"DEEP_BROKER_ID_OVERRIDE",BF$24,"DEEP_PERIOD_OVERRIDE",$H$19)*1,"")))</f>
        <v/>
      </c>
      <c r="BG172" t="str">
        <f>IF(OR(BG$23="",ISNA($B172)),"",IF(ISBLANK($B172),"",IFERROR(_xll.BDP(TICKER,"DEEP_MEASURE_PERIOD_BROKER_VALUE","DEEP_MEASURE_ID_OVERRIDE",$C172,"DEEP_BROKER_ID_OVERRIDE",BG$24,"DEEP_PERIOD_OVERRIDE",$H$19)*1,"")))</f>
        <v/>
      </c>
      <c r="BH172" t="str">
        <f>IF(OR(BH$23="",ISNA($B172)),"",IF(ISBLANK($B172),"",IFERROR(_xll.BDP(TICKER,"DEEP_MEASURE_PERIOD_BROKER_VALUE","DEEP_MEASURE_ID_OVERRIDE",$C172,"DEEP_BROKER_ID_OVERRIDE",BH$24,"DEEP_PERIOD_OVERRIDE",$H$19)*1,"")))</f>
        <v/>
      </c>
      <c r="BI172" t="str">
        <f>IF(OR(BI$23="",ISNA($B172)),"",IF(ISBLANK($B172),"",IFERROR(_xll.BDP(TICKER,"DEEP_MEASURE_PERIOD_BROKER_VALUE","DEEP_MEASURE_ID_OVERRIDE",$C172,"DEEP_BROKER_ID_OVERRIDE",BI$24,"DEEP_PERIOD_OVERRIDE",$H$19)*1,"")))</f>
        <v/>
      </c>
      <c r="BJ172" t="str">
        <f>IF(OR(BJ$23="",ISNA($B172)),"",IF(ISBLANK($B172),"",IFERROR(_xll.BDP(TICKER,"DEEP_MEASURE_PERIOD_BROKER_VALUE","DEEP_MEASURE_ID_OVERRIDE",$C172,"DEEP_BROKER_ID_OVERRIDE",BJ$24,"DEEP_PERIOD_OVERRIDE",$H$19)*1,"")))</f>
        <v/>
      </c>
      <c r="BK172" t="str">
        <f>IF(OR(BK$23="",ISNA($B172)),"",IF(ISBLANK($B172),"",IFERROR(_xll.BDP(TICKER,"DEEP_MEASURE_PERIOD_BROKER_VALUE","DEEP_MEASURE_ID_OVERRIDE",$C172,"DEEP_BROKER_ID_OVERRIDE",BK$24,"DEEP_PERIOD_OVERRIDE",$H$19)*1,"")))</f>
        <v/>
      </c>
      <c r="BL172" t="str">
        <f>IF(OR(BL$23="",ISNA($B172)),"",IF(ISBLANK($B172),"",IFERROR(_xll.BDP(TICKER,"DEEP_MEASURE_PERIOD_BROKER_VALUE","DEEP_MEASURE_ID_OVERRIDE",$C172,"DEEP_BROKER_ID_OVERRIDE",BL$24,"DEEP_PERIOD_OVERRIDE",$H$19)*1,"")))</f>
        <v/>
      </c>
      <c r="BM172" t="str">
        <f>IF(OR(BM$23="",ISNA($B172)),"",IF(ISBLANK($B172),"",IFERROR(_xll.BDP(TICKER,"DEEP_MEASURE_PERIOD_BROKER_VALUE","DEEP_MEASURE_ID_OVERRIDE",$C172,"DEEP_BROKER_ID_OVERRIDE",BM$24,"DEEP_PERIOD_OVERRIDE",$H$19)*1,"")))</f>
        <v/>
      </c>
      <c r="BN172" t="str">
        <f>IF(OR(BN$23="",ISNA($B172)),"",IF(ISBLANK($B172),"",IFERROR(_xll.BDP(TICKER,"DEEP_MEASURE_PERIOD_BROKER_VALUE","DEEP_MEASURE_ID_OVERRIDE",$C172,"DEEP_BROKER_ID_OVERRIDE",BN$24,"DEEP_PERIOD_OVERRIDE",$H$19)*1,"")))</f>
        <v/>
      </c>
      <c r="BO172" t="str">
        <f>IF(OR(BO$23="",ISNA($B172)),"",IF(ISBLANK($B172),"",IFERROR(_xll.BDP(TICKER,"DEEP_MEASURE_PERIOD_BROKER_VALUE","DEEP_MEASURE_ID_OVERRIDE",$C172,"DEEP_BROKER_ID_OVERRIDE",BO$24,"DEEP_PERIOD_OVERRIDE",$H$19)*1,"")))</f>
        <v/>
      </c>
      <c r="BP172" t="str">
        <f>IF(OR(BP$23="",ISNA($B172)),"",IF(ISBLANK($B172),"",IFERROR(_xll.BDP(TICKER,"DEEP_MEASURE_PERIOD_BROKER_VALUE","DEEP_MEASURE_ID_OVERRIDE",$C172,"DEEP_BROKER_ID_OVERRIDE",BP$24,"DEEP_PERIOD_OVERRIDE",$H$19)*1,"")))</f>
        <v/>
      </c>
      <c r="BQ172" t="str">
        <f>IF(OR(BQ$23="",ISNA($B172)),"",IF(ISBLANK($B172),"",IFERROR(_xll.BDP(TICKER,"DEEP_MEASURE_PERIOD_BROKER_VALUE","DEEP_MEASURE_ID_OVERRIDE",$C172,"DEEP_BROKER_ID_OVERRIDE",BQ$24,"DEEP_PERIOD_OVERRIDE",$H$19)*1,"")))</f>
        <v/>
      </c>
      <c r="BR172" t="str">
        <f>IF(OR(BR$23="",ISNA($B172)),"",IF(ISBLANK($B172),"",IFERROR(_xll.BDP(TICKER,"DEEP_MEASURE_PERIOD_BROKER_VALUE","DEEP_MEASURE_ID_OVERRIDE",$C172,"DEEP_BROKER_ID_OVERRIDE",BR$24,"DEEP_PERIOD_OVERRIDE",$H$19)*1,"")))</f>
        <v/>
      </c>
      <c r="BS172" t="str">
        <f>IF(OR(BS$23="",ISNA($B172)),"",IF(ISBLANK($B172),"",IFERROR(_xll.BDP(TICKER,"DEEP_MEASURE_PERIOD_BROKER_VALUE","DEEP_MEASURE_ID_OVERRIDE",$C172,"DEEP_BROKER_ID_OVERRIDE",BS$24,"DEEP_PERIOD_OVERRIDE",$H$19)*1,"")))</f>
        <v/>
      </c>
      <c r="BT172" t="str">
        <f>IF(OR(BT$23="",ISNA($B172)),"",IF(ISBLANK($B172),"",IFERROR(_xll.BDP(TICKER,"DEEP_MEASURE_PERIOD_BROKER_VALUE","DEEP_MEASURE_ID_OVERRIDE",$C172,"DEEP_BROKER_ID_OVERRIDE",BT$24,"DEEP_PERIOD_OVERRIDE",$H$19)*1,"")))</f>
        <v/>
      </c>
      <c r="BU172" t="str">
        <f>IF(OR(BU$23="",ISNA($B172)),"",IF(ISBLANK($B172),"",IFERROR(_xll.BDP(TICKER,"DEEP_MEASURE_PERIOD_BROKER_VALUE","DEEP_MEASURE_ID_OVERRIDE",$C172,"DEEP_BROKER_ID_OVERRIDE",BU$24,"DEEP_PERIOD_OVERRIDE",$H$19)*1,"")))</f>
        <v/>
      </c>
      <c r="BV172" t="str">
        <f>IF(OR(BV$23="",ISNA($B172)),"",IF(ISBLANK($B172),"",IFERROR(_xll.BDP(TICKER,"DEEP_MEASURE_PERIOD_BROKER_VALUE","DEEP_MEASURE_ID_OVERRIDE",$C172,"DEEP_BROKER_ID_OVERRIDE",BV$24,"DEEP_PERIOD_OVERRIDE",$H$19)*1,"")))</f>
        <v/>
      </c>
      <c r="BW172" t="str">
        <f>IF(OR(BW$23="",ISNA($B172)),"",IF(ISBLANK($B172),"",IFERROR(_xll.BDP(TICKER,"DEEP_MEASURE_PERIOD_BROKER_VALUE","DEEP_MEASURE_ID_OVERRIDE",$C172,"DEEP_BROKER_ID_OVERRIDE",BW$24,"DEEP_PERIOD_OVERRIDE",$H$19)*1,"")))</f>
        <v/>
      </c>
      <c r="BX172" t="str">
        <f>IF(OR(BX$23="",ISNA($B172)),"",IF(ISBLANK($B172),"",IFERROR(_xll.BDP(TICKER,"DEEP_MEASURE_PERIOD_BROKER_VALUE","DEEP_MEASURE_ID_OVERRIDE",$C172,"DEEP_BROKER_ID_OVERRIDE",BX$24,"DEEP_PERIOD_OVERRIDE",$H$19)*1,"")))</f>
        <v/>
      </c>
      <c r="BY172" t="str">
        <f>IF(OR(BY$23="",ISNA($B172)),"",IF(ISBLANK($B172),"",IFERROR(_xll.BDP(TICKER,"DEEP_MEASURE_PERIOD_BROKER_VALUE","DEEP_MEASURE_ID_OVERRIDE",$C172,"DEEP_BROKER_ID_OVERRIDE",BY$24,"DEEP_PERIOD_OVERRIDE",$H$19)*1,"")))</f>
        <v/>
      </c>
      <c r="BZ172" t="str">
        <f>IF(OR(BZ$23="",ISNA($B172)),"",IF(ISBLANK($B172),"",IFERROR(_xll.BDP(TICKER,"DEEP_MEASURE_PERIOD_BROKER_VALUE","DEEP_MEASURE_ID_OVERRIDE",$C172,"DEEP_BROKER_ID_OVERRIDE",BZ$24,"DEEP_PERIOD_OVERRIDE",$H$19)*1,"")))</f>
        <v/>
      </c>
    </row>
    <row r="173" spans="2:78" x14ac:dyDescent="0.25">
      <c r="B173" t="s">
        <v>198</v>
      </c>
      <c r="C173">
        <v>757</v>
      </c>
      <c r="H173" t="str">
        <f t="shared" si="3"/>
        <v>Total Assets</v>
      </c>
      <c r="I173" t="str">
        <f>IF(OR(I$23="",ISNA($B173)),"",IF(ISBLANK($B173),"",IFERROR(_xll.BDP(TICKER,"DEEP_MEASURE_PERIOD_BROKER_VALUE","DEEP_MEASURE_ID_OVERRIDE",$C173,"DEEP_PERIOD_OVERRIDE",$H$19)*1,"")))</f>
        <v/>
      </c>
      <c r="J173" t="e">
        <f>IF(OR(J$23="",ISNA($B173)),"",IF(ISBLANK($B173),"",IFERROR(_xll.BDP(TICKER,"DEEP_MEASURE_PERIOD_BROKER_VALUE","DEEP_MEASURE_ID_OVERRIDE",$C173,"DEEP_BROKER_ID_OVERRIDE",J$24,"DEEP_PERIOD_OVERRIDE",$H$19)*1,"")))</f>
        <v>#REF!</v>
      </c>
      <c r="K173" t="str">
        <f>IF(OR(K$23="",ISNA($B173)),"",IF(ISBLANK($B173),"",IFERROR(_xll.BDP(TICKER,"DEEP_MEASURE_PERIOD_BROKER_VALUE","DEEP_MEASURE_ID_OVERRIDE",$C173,"DEEP_BROKER_ID_OVERRIDE",K$24,"DEEP_PERIOD_OVERRIDE",$H$19)*1,"")))</f>
        <v/>
      </c>
      <c r="L173" t="str">
        <f>IF(OR(L$23="",ISNA($B173)),"",IF(ISBLANK($B173),"",IFERROR(_xll.BDP(TICKER,"DEEP_MEASURE_PERIOD_BROKER_VALUE","DEEP_MEASURE_ID_OVERRIDE",$C173,"DEEP_BROKER_ID_OVERRIDE",L$24,"DEEP_PERIOD_OVERRIDE",$H$19)*1,"")))</f>
        <v/>
      </c>
      <c r="M173" t="str">
        <f>IF(OR(M$23="",ISNA($B173)),"",IF(ISBLANK($B173),"",IFERROR(_xll.BDP(TICKER,"DEEP_MEASURE_PERIOD_BROKER_VALUE","DEEP_MEASURE_ID_OVERRIDE",$C173,"DEEP_BROKER_ID_OVERRIDE",M$24,"DEEP_PERIOD_OVERRIDE",$H$19)*1,"")))</f>
        <v/>
      </c>
      <c r="N173" t="str">
        <f>IF(OR(N$23="",ISNA($B173)),"",IF(ISBLANK($B173),"",IFERROR(_xll.BDP(TICKER,"DEEP_MEASURE_PERIOD_BROKER_VALUE","DEEP_MEASURE_ID_OVERRIDE",$C173,"DEEP_BROKER_ID_OVERRIDE",N$24,"DEEP_PERIOD_OVERRIDE",$H$19)*1,"")))</f>
        <v/>
      </c>
      <c r="O173" t="str">
        <f>IF(OR(O$23="",ISNA($B173)),"",IF(ISBLANK($B173),"",IFERROR(_xll.BDP(TICKER,"DEEP_MEASURE_PERIOD_BROKER_VALUE","DEEP_MEASURE_ID_OVERRIDE",$C173,"DEEP_BROKER_ID_OVERRIDE",O$24,"DEEP_PERIOD_OVERRIDE",$H$19)*1,"")))</f>
        <v/>
      </c>
      <c r="P173" t="str">
        <f>IF(OR(P$23="",ISNA($B173)),"",IF(ISBLANK($B173),"",IFERROR(_xll.BDP(TICKER,"DEEP_MEASURE_PERIOD_BROKER_VALUE","DEEP_MEASURE_ID_OVERRIDE",$C173,"DEEP_BROKER_ID_OVERRIDE",P$24,"DEEP_PERIOD_OVERRIDE",$H$19)*1,"")))</f>
        <v/>
      </c>
      <c r="Q173" t="str">
        <f>IF(OR(Q$23="",ISNA($B173)),"",IF(ISBLANK($B173),"",IFERROR(_xll.BDP(TICKER,"DEEP_MEASURE_PERIOD_BROKER_VALUE","DEEP_MEASURE_ID_OVERRIDE",$C173,"DEEP_BROKER_ID_OVERRIDE",Q$24,"DEEP_PERIOD_OVERRIDE",$H$19)*1,"")))</f>
        <v/>
      </c>
      <c r="R173" t="str">
        <f>IF(OR(R$23="",ISNA($B173)),"",IF(ISBLANK($B173),"",IFERROR(_xll.BDP(TICKER,"DEEP_MEASURE_PERIOD_BROKER_VALUE","DEEP_MEASURE_ID_OVERRIDE",$C173,"DEEP_BROKER_ID_OVERRIDE",R$24,"DEEP_PERIOD_OVERRIDE",$H$19)*1,"")))</f>
        <v/>
      </c>
      <c r="S173" t="str">
        <f>IF(OR(S$23="",ISNA($B173)),"",IF(ISBLANK($B173),"",IFERROR(_xll.BDP(TICKER,"DEEP_MEASURE_PERIOD_BROKER_VALUE","DEEP_MEASURE_ID_OVERRIDE",$C173,"DEEP_BROKER_ID_OVERRIDE",S$24,"DEEP_PERIOD_OVERRIDE",$H$19)*1,"")))</f>
        <v/>
      </c>
      <c r="T173" t="str">
        <f>IF(OR(T$23="",ISNA($B173)),"",IF(ISBLANK($B173),"",IFERROR(_xll.BDP(TICKER,"DEEP_MEASURE_PERIOD_BROKER_VALUE","DEEP_MEASURE_ID_OVERRIDE",$C173,"DEEP_BROKER_ID_OVERRIDE",T$24,"DEEP_PERIOD_OVERRIDE",$H$19)*1,"")))</f>
        <v/>
      </c>
      <c r="U173" t="str">
        <f>IF(OR(U$23="",ISNA($B173)),"",IF(ISBLANK($B173),"",IFERROR(_xll.BDP(TICKER,"DEEP_MEASURE_PERIOD_BROKER_VALUE","DEEP_MEASURE_ID_OVERRIDE",$C173,"DEEP_BROKER_ID_OVERRIDE",U$24,"DEEP_PERIOD_OVERRIDE",$H$19)*1,"")))</f>
        <v/>
      </c>
      <c r="V173" t="str">
        <f>IF(OR(V$23="",ISNA($B173)),"",IF(ISBLANK($B173),"",IFERROR(_xll.BDP(TICKER,"DEEP_MEASURE_PERIOD_BROKER_VALUE","DEEP_MEASURE_ID_OVERRIDE",$C173,"DEEP_BROKER_ID_OVERRIDE",V$24,"DEEP_PERIOD_OVERRIDE",$H$19)*1,"")))</f>
        <v/>
      </c>
      <c r="W173" t="str">
        <f>IF(OR(W$23="",ISNA($B173)),"",IF(ISBLANK($B173),"",IFERROR(_xll.BDP(TICKER,"DEEP_MEASURE_PERIOD_BROKER_VALUE","DEEP_MEASURE_ID_OVERRIDE",$C173,"DEEP_BROKER_ID_OVERRIDE",W$24,"DEEP_PERIOD_OVERRIDE",$H$19)*1,"")))</f>
        <v/>
      </c>
      <c r="X173" t="str">
        <f>IF(OR(X$23="",ISNA($B173)),"",IF(ISBLANK($B173),"",IFERROR(_xll.BDP(TICKER,"DEEP_MEASURE_PERIOD_BROKER_VALUE","DEEP_MEASURE_ID_OVERRIDE",$C173,"DEEP_BROKER_ID_OVERRIDE",X$24,"DEEP_PERIOD_OVERRIDE",$H$19)*1,"")))</f>
        <v/>
      </c>
      <c r="Y173" t="str">
        <f>IF(OR(Y$23="",ISNA($B173)),"",IF(ISBLANK($B173),"",IFERROR(_xll.BDP(TICKER,"DEEP_MEASURE_PERIOD_BROKER_VALUE","DEEP_MEASURE_ID_OVERRIDE",$C173,"DEEP_BROKER_ID_OVERRIDE",Y$24,"DEEP_PERIOD_OVERRIDE",$H$19)*1,"")))</f>
        <v/>
      </c>
      <c r="Z173" t="str">
        <f>IF(OR(Z$23="",ISNA($B173)),"",IF(ISBLANK($B173),"",IFERROR(_xll.BDP(TICKER,"DEEP_MEASURE_PERIOD_BROKER_VALUE","DEEP_MEASURE_ID_OVERRIDE",$C173,"DEEP_BROKER_ID_OVERRIDE",Z$24,"DEEP_PERIOD_OVERRIDE",$H$19)*1,"")))</f>
        <v/>
      </c>
      <c r="AA173" t="str">
        <f>IF(OR(AA$23="",ISNA($B173)),"",IF(ISBLANK($B173),"",IFERROR(_xll.BDP(TICKER,"DEEP_MEASURE_PERIOD_BROKER_VALUE","DEEP_MEASURE_ID_OVERRIDE",$C173,"DEEP_BROKER_ID_OVERRIDE",AA$24,"DEEP_PERIOD_OVERRIDE",$H$19)*1,"")))</f>
        <v/>
      </c>
      <c r="AB173" t="str">
        <f>IF(OR(AB$23="",ISNA($B173)),"",IF(ISBLANK($B173),"",IFERROR(_xll.BDP(TICKER,"DEEP_MEASURE_PERIOD_BROKER_VALUE","DEEP_MEASURE_ID_OVERRIDE",$C173,"DEEP_BROKER_ID_OVERRIDE",AB$24,"DEEP_PERIOD_OVERRIDE",$H$19)*1,"")))</f>
        <v/>
      </c>
      <c r="AC173" t="str">
        <f>IF(OR(AC$23="",ISNA($B173)),"",IF(ISBLANK($B173),"",IFERROR(_xll.BDP(TICKER,"DEEP_MEASURE_PERIOD_BROKER_VALUE","DEEP_MEASURE_ID_OVERRIDE",$C173,"DEEP_BROKER_ID_OVERRIDE",AC$24,"DEEP_PERIOD_OVERRIDE",$H$19)*1,"")))</f>
        <v/>
      </c>
      <c r="AD173" t="str">
        <f>IF(OR(AD$23="",ISNA($B173)),"",IF(ISBLANK($B173),"",IFERROR(_xll.BDP(TICKER,"DEEP_MEASURE_PERIOD_BROKER_VALUE","DEEP_MEASURE_ID_OVERRIDE",$C173,"DEEP_BROKER_ID_OVERRIDE",AD$24,"DEEP_PERIOD_OVERRIDE",$H$19)*1,"")))</f>
        <v/>
      </c>
      <c r="AE173" t="str">
        <f>IF(OR(AE$23="",ISNA($B173)),"",IF(ISBLANK($B173),"",IFERROR(_xll.BDP(TICKER,"DEEP_MEASURE_PERIOD_BROKER_VALUE","DEEP_MEASURE_ID_OVERRIDE",$C173,"DEEP_BROKER_ID_OVERRIDE",AE$24,"DEEP_PERIOD_OVERRIDE",$H$19)*1,"")))</f>
        <v/>
      </c>
      <c r="AF173" t="str">
        <f>IF(OR(AF$23="",ISNA($B173)),"",IF(ISBLANK($B173),"",IFERROR(_xll.BDP(TICKER,"DEEP_MEASURE_PERIOD_BROKER_VALUE","DEEP_MEASURE_ID_OVERRIDE",$C173,"DEEP_BROKER_ID_OVERRIDE",AF$24,"DEEP_PERIOD_OVERRIDE",$H$19)*1,"")))</f>
        <v/>
      </c>
      <c r="AG173" t="str">
        <f>IF(OR(AG$23="",ISNA($B173)),"",IF(ISBLANK($B173),"",IFERROR(_xll.BDP(TICKER,"DEEP_MEASURE_PERIOD_BROKER_VALUE","DEEP_MEASURE_ID_OVERRIDE",$C173,"DEEP_BROKER_ID_OVERRIDE",AG$24,"DEEP_PERIOD_OVERRIDE",$H$19)*1,"")))</f>
        <v/>
      </c>
      <c r="AH173" t="str">
        <f>IF(OR(AH$23="",ISNA($B173)),"",IF(ISBLANK($B173),"",IFERROR(_xll.BDP(TICKER,"DEEP_MEASURE_PERIOD_BROKER_VALUE","DEEP_MEASURE_ID_OVERRIDE",$C173,"DEEP_BROKER_ID_OVERRIDE",AH$24,"DEEP_PERIOD_OVERRIDE",$H$19)*1,"")))</f>
        <v/>
      </c>
      <c r="AI173" t="str">
        <f>IF(OR(AI$23="",ISNA($B173)),"",IF(ISBLANK($B173),"",IFERROR(_xll.BDP(TICKER,"DEEP_MEASURE_PERIOD_BROKER_VALUE","DEEP_MEASURE_ID_OVERRIDE",$C173,"DEEP_BROKER_ID_OVERRIDE",AI$24,"DEEP_PERIOD_OVERRIDE",$H$19)*1,"")))</f>
        <v/>
      </c>
      <c r="AJ173" t="str">
        <f>IF(OR(AJ$23="",ISNA($B173)),"",IF(ISBLANK($B173),"",IFERROR(_xll.BDP(TICKER,"DEEP_MEASURE_PERIOD_BROKER_VALUE","DEEP_MEASURE_ID_OVERRIDE",$C173,"DEEP_BROKER_ID_OVERRIDE",AJ$24,"DEEP_PERIOD_OVERRIDE",$H$19)*1,"")))</f>
        <v/>
      </c>
      <c r="AK173" t="str">
        <f>IF(OR(AK$23="",ISNA($B173)),"",IF(ISBLANK($B173),"",IFERROR(_xll.BDP(TICKER,"DEEP_MEASURE_PERIOD_BROKER_VALUE","DEEP_MEASURE_ID_OVERRIDE",$C173,"DEEP_BROKER_ID_OVERRIDE",AK$24,"DEEP_PERIOD_OVERRIDE",$H$19)*1,"")))</f>
        <v/>
      </c>
      <c r="AL173" t="str">
        <f>IF(OR(AL$23="",ISNA($B173)),"",IF(ISBLANK($B173),"",IFERROR(_xll.BDP(TICKER,"DEEP_MEASURE_PERIOD_BROKER_VALUE","DEEP_MEASURE_ID_OVERRIDE",$C173,"DEEP_BROKER_ID_OVERRIDE",AL$24,"DEEP_PERIOD_OVERRIDE",$H$19)*1,"")))</f>
        <v/>
      </c>
      <c r="AM173" t="str">
        <f>IF(OR(AM$23="",ISNA($B173)),"",IF(ISBLANK($B173),"",IFERROR(_xll.BDP(TICKER,"DEEP_MEASURE_PERIOD_BROKER_VALUE","DEEP_MEASURE_ID_OVERRIDE",$C173,"DEEP_BROKER_ID_OVERRIDE",AM$24,"DEEP_PERIOD_OVERRIDE",$H$19)*1,"")))</f>
        <v/>
      </c>
      <c r="AN173" t="str">
        <f>IF(OR(AN$23="",ISNA($B173)),"",IF(ISBLANK($B173),"",IFERROR(_xll.BDP(TICKER,"DEEP_MEASURE_PERIOD_BROKER_VALUE","DEEP_MEASURE_ID_OVERRIDE",$C173,"DEEP_BROKER_ID_OVERRIDE",AN$24,"DEEP_PERIOD_OVERRIDE",$H$19)*1,"")))</f>
        <v/>
      </c>
      <c r="AO173" t="str">
        <f>IF(OR(AO$23="",ISNA($B173)),"",IF(ISBLANK($B173),"",IFERROR(_xll.BDP(TICKER,"DEEP_MEASURE_PERIOD_BROKER_VALUE","DEEP_MEASURE_ID_OVERRIDE",$C173,"DEEP_BROKER_ID_OVERRIDE",AO$24,"DEEP_PERIOD_OVERRIDE",$H$19)*1,"")))</f>
        <v/>
      </c>
      <c r="AP173" t="str">
        <f>IF(OR(AP$23="",ISNA($B173)),"",IF(ISBLANK($B173),"",IFERROR(_xll.BDP(TICKER,"DEEP_MEASURE_PERIOD_BROKER_VALUE","DEEP_MEASURE_ID_OVERRIDE",$C173,"DEEP_BROKER_ID_OVERRIDE",AP$24,"DEEP_PERIOD_OVERRIDE",$H$19)*1,"")))</f>
        <v/>
      </c>
      <c r="AQ173" t="str">
        <f>IF(OR(AQ$23="",ISNA($B173)),"",IF(ISBLANK($B173),"",IFERROR(_xll.BDP(TICKER,"DEEP_MEASURE_PERIOD_BROKER_VALUE","DEEP_MEASURE_ID_OVERRIDE",$C173,"DEEP_BROKER_ID_OVERRIDE",AQ$24,"DEEP_PERIOD_OVERRIDE",$H$19)*1,"")))</f>
        <v/>
      </c>
      <c r="AR173" t="str">
        <f>IF(OR(AR$23="",ISNA($B173)),"",IF(ISBLANK($B173),"",IFERROR(_xll.BDP(TICKER,"DEEP_MEASURE_PERIOD_BROKER_VALUE","DEEP_MEASURE_ID_OVERRIDE",$C173,"DEEP_BROKER_ID_OVERRIDE",AR$24,"DEEP_PERIOD_OVERRIDE",$H$19)*1,"")))</f>
        <v/>
      </c>
      <c r="AS173" t="str">
        <f>IF(OR(AS$23="",ISNA($B173)),"",IF(ISBLANK($B173),"",IFERROR(_xll.BDP(TICKER,"DEEP_MEASURE_PERIOD_BROKER_VALUE","DEEP_MEASURE_ID_OVERRIDE",$C173,"DEEP_BROKER_ID_OVERRIDE",AS$24,"DEEP_PERIOD_OVERRIDE",$H$19)*1,"")))</f>
        <v/>
      </c>
      <c r="AT173" t="str">
        <f>IF(OR(AT$23="",ISNA($B173)),"",IF(ISBLANK($B173),"",IFERROR(_xll.BDP(TICKER,"DEEP_MEASURE_PERIOD_BROKER_VALUE","DEEP_MEASURE_ID_OVERRIDE",$C173,"DEEP_BROKER_ID_OVERRIDE",AT$24,"DEEP_PERIOD_OVERRIDE",$H$19)*1,"")))</f>
        <v/>
      </c>
      <c r="AU173" t="str">
        <f>IF(OR(AU$23="",ISNA($B173)),"",IF(ISBLANK($B173),"",IFERROR(_xll.BDP(TICKER,"DEEP_MEASURE_PERIOD_BROKER_VALUE","DEEP_MEASURE_ID_OVERRIDE",$C173,"DEEP_BROKER_ID_OVERRIDE",AU$24,"DEEP_PERIOD_OVERRIDE",$H$19)*1,"")))</f>
        <v/>
      </c>
      <c r="AV173" t="str">
        <f>IF(OR(AV$23="",ISNA($B173)),"",IF(ISBLANK($B173),"",IFERROR(_xll.BDP(TICKER,"DEEP_MEASURE_PERIOD_BROKER_VALUE","DEEP_MEASURE_ID_OVERRIDE",$C173,"DEEP_BROKER_ID_OVERRIDE",AV$24,"DEEP_PERIOD_OVERRIDE",$H$19)*1,"")))</f>
        <v/>
      </c>
      <c r="AW173" t="str">
        <f>IF(OR(AW$23="",ISNA($B173)),"",IF(ISBLANK($B173),"",IFERROR(_xll.BDP(TICKER,"DEEP_MEASURE_PERIOD_BROKER_VALUE","DEEP_MEASURE_ID_OVERRIDE",$C173,"DEEP_BROKER_ID_OVERRIDE",AW$24,"DEEP_PERIOD_OVERRIDE",$H$19)*1,"")))</f>
        <v/>
      </c>
      <c r="AX173" t="str">
        <f>IF(OR(AX$23="",ISNA($B173)),"",IF(ISBLANK($B173),"",IFERROR(_xll.BDP(TICKER,"DEEP_MEASURE_PERIOD_BROKER_VALUE","DEEP_MEASURE_ID_OVERRIDE",$C173,"DEEP_BROKER_ID_OVERRIDE",AX$24,"DEEP_PERIOD_OVERRIDE",$H$19)*1,"")))</f>
        <v/>
      </c>
      <c r="AY173" t="str">
        <f>IF(OR(AY$23="",ISNA($B173)),"",IF(ISBLANK($B173),"",IFERROR(_xll.BDP(TICKER,"DEEP_MEASURE_PERIOD_BROKER_VALUE","DEEP_MEASURE_ID_OVERRIDE",$C173,"DEEP_BROKER_ID_OVERRIDE",AY$24,"DEEP_PERIOD_OVERRIDE",$H$19)*1,"")))</f>
        <v/>
      </c>
      <c r="AZ173" t="str">
        <f>IF(OR(AZ$23="",ISNA($B173)),"",IF(ISBLANK($B173),"",IFERROR(_xll.BDP(TICKER,"DEEP_MEASURE_PERIOD_BROKER_VALUE","DEEP_MEASURE_ID_OVERRIDE",$C173,"DEEP_BROKER_ID_OVERRIDE",AZ$24,"DEEP_PERIOD_OVERRIDE",$H$19)*1,"")))</f>
        <v/>
      </c>
      <c r="BA173" t="str">
        <f>IF(OR(BA$23="",ISNA($B173)),"",IF(ISBLANK($B173),"",IFERROR(_xll.BDP(TICKER,"DEEP_MEASURE_PERIOD_BROKER_VALUE","DEEP_MEASURE_ID_OVERRIDE",$C173,"DEEP_BROKER_ID_OVERRIDE",BA$24,"DEEP_PERIOD_OVERRIDE",$H$19)*1,"")))</f>
        <v/>
      </c>
      <c r="BB173" t="str">
        <f>IF(OR(BB$23="",ISNA($B173)),"",IF(ISBLANK($B173),"",IFERROR(_xll.BDP(TICKER,"DEEP_MEASURE_PERIOD_BROKER_VALUE","DEEP_MEASURE_ID_OVERRIDE",$C173,"DEEP_BROKER_ID_OVERRIDE",BB$24,"DEEP_PERIOD_OVERRIDE",$H$19)*1,"")))</f>
        <v/>
      </c>
      <c r="BC173" t="str">
        <f>IF(OR(BC$23="",ISNA($B173)),"",IF(ISBLANK($B173),"",IFERROR(_xll.BDP(TICKER,"DEEP_MEASURE_PERIOD_BROKER_VALUE","DEEP_MEASURE_ID_OVERRIDE",$C173,"DEEP_BROKER_ID_OVERRIDE",BC$24,"DEEP_PERIOD_OVERRIDE",$H$19)*1,"")))</f>
        <v/>
      </c>
      <c r="BD173" t="str">
        <f>IF(OR(BD$23="",ISNA($B173)),"",IF(ISBLANK($B173),"",IFERROR(_xll.BDP(TICKER,"DEEP_MEASURE_PERIOD_BROKER_VALUE","DEEP_MEASURE_ID_OVERRIDE",$C173,"DEEP_BROKER_ID_OVERRIDE",BD$24,"DEEP_PERIOD_OVERRIDE",$H$19)*1,"")))</f>
        <v/>
      </c>
      <c r="BE173" t="str">
        <f>IF(OR(BE$23="",ISNA($B173)),"",IF(ISBLANK($B173),"",IFERROR(_xll.BDP(TICKER,"DEEP_MEASURE_PERIOD_BROKER_VALUE","DEEP_MEASURE_ID_OVERRIDE",$C173,"DEEP_BROKER_ID_OVERRIDE",BE$24,"DEEP_PERIOD_OVERRIDE",$H$19)*1,"")))</f>
        <v/>
      </c>
      <c r="BF173" t="str">
        <f>IF(OR(BF$23="",ISNA($B173)),"",IF(ISBLANK($B173),"",IFERROR(_xll.BDP(TICKER,"DEEP_MEASURE_PERIOD_BROKER_VALUE","DEEP_MEASURE_ID_OVERRIDE",$C173,"DEEP_BROKER_ID_OVERRIDE",BF$24,"DEEP_PERIOD_OVERRIDE",$H$19)*1,"")))</f>
        <v/>
      </c>
      <c r="BG173" t="str">
        <f>IF(OR(BG$23="",ISNA($B173)),"",IF(ISBLANK($B173),"",IFERROR(_xll.BDP(TICKER,"DEEP_MEASURE_PERIOD_BROKER_VALUE","DEEP_MEASURE_ID_OVERRIDE",$C173,"DEEP_BROKER_ID_OVERRIDE",BG$24,"DEEP_PERIOD_OVERRIDE",$H$19)*1,"")))</f>
        <v/>
      </c>
      <c r="BH173" t="str">
        <f>IF(OR(BH$23="",ISNA($B173)),"",IF(ISBLANK($B173),"",IFERROR(_xll.BDP(TICKER,"DEEP_MEASURE_PERIOD_BROKER_VALUE","DEEP_MEASURE_ID_OVERRIDE",$C173,"DEEP_BROKER_ID_OVERRIDE",BH$24,"DEEP_PERIOD_OVERRIDE",$H$19)*1,"")))</f>
        <v/>
      </c>
      <c r="BI173" t="str">
        <f>IF(OR(BI$23="",ISNA($B173)),"",IF(ISBLANK($B173),"",IFERROR(_xll.BDP(TICKER,"DEEP_MEASURE_PERIOD_BROKER_VALUE","DEEP_MEASURE_ID_OVERRIDE",$C173,"DEEP_BROKER_ID_OVERRIDE",BI$24,"DEEP_PERIOD_OVERRIDE",$H$19)*1,"")))</f>
        <v/>
      </c>
      <c r="BJ173" t="str">
        <f>IF(OR(BJ$23="",ISNA($B173)),"",IF(ISBLANK($B173),"",IFERROR(_xll.BDP(TICKER,"DEEP_MEASURE_PERIOD_BROKER_VALUE","DEEP_MEASURE_ID_OVERRIDE",$C173,"DEEP_BROKER_ID_OVERRIDE",BJ$24,"DEEP_PERIOD_OVERRIDE",$H$19)*1,"")))</f>
        <v/>
      </c>
      <c r="BK173" t="str">
        <f>IF(OR(BK$23="",ISNA($B173)),"",IF(ISBLANK($B173),"",IFERROR(_xll.BDP(TICKER,"DEEP_MEASURE_PERIOD_BROKER_VALUE","DEEP_MEASURE_ID_OVERRIDE",$C173,"DEEP_BROKER_ID_OVERRIDE",BK$24,"DEEP_PERIOD_OVERRIDE",$H$19)*1,"")))</f>
        <v/>
      </c>
      <c r="BL173" t="str">
        <f>IF(OR(BL$23="",ISNA($B173)),"",IF(ISBLANK($B173),"",IFERROR(_xll.BDP(TICKER,"DEEP_MEASURE_PERIOD_BROKER_VALUE","DEEP_MEASURE_ID_OVERRIDE",$C173,"DEEP_BROKER_ID_OVERRIDE",BL$24,"DEEP_PERIOD_OVERRIDE",$H$19)*1,"")))</f>
        <v/>
      </c>
      <c r="BM173" t="str">
        <f>IF(OR(BM$23="",ISNA($B173)),"",IF(ISBLANK($B173),"",IFERROR(_xll.BDP(TICKER,"DEEP_MEASURE_PERIOD_BROKER_VALUE","DEEP_MEASURE_ID_OVERRIDE",$C173,"DEEP_BROKER_ID_OVERRIDE",BM$24,"DEEP_PERIOD_OVERRIDE",$H$19)*1,"")))</f>
        <v/>
      </c>
      <c r="BN173" t="str">
        <f>IF(OR(BN$23="",ISNA($B173)),"",IF(ISBLANK($B173),"",IFERROR(_xll.BDP(TICKER,"DEEP_MEASURE_PERIOD_BROKER_VALUE","DEEP_MEASURE_ID_OVERRIDE",$C173,"DEEP_BROKER_ID_OVERRIDE",BN$24,"DEEP_PERIOD_OVERRIDE",$H$19)*1,"")))</f>
        <v/>
      </c>
      <c r="BO173" t="str">
        <f>IF(OR(BO$23="",ISNA($B173)),"",IF(ISBLANK($B173),"",IFERROR(_xll.BDP(TICKER,"DEEP_MEASURE_PERIOD_BROKER_VALUE","DEEP_MEASURE_ID_OVERRIDE",$C173,"DEEP_BROKER_ID_OVERRIDE",BO$24,"DEEP_PERIOD_OVERRIDE",$H$19)*1,"")))</f>
        <v/>
      </c>
      <c r="BP173" t="str">
        <f>IF(OR(BP$23="",ISNA($B173)),"",IF(ISBLANK($B173),"",IFERROR(_xll.BDP(TICKER,"DEEP_MEASURE_PERIOD_BROKER_VALUE","DEEP_MEASURE_ID_OVERRIDE",$C173,"DEEP_BROKER_ID_OVERRIDE",BP$24,"DEEP_PERIOD_OVERRIDE",$H$19)*1,"")))</f>
        <v/>
      </c>
      <c r="BQ173" t="str">
        <f>IF(OR(BQ$23="",ISNA($B173)),"",IF(ISBLANK($B173),"",IFERROR(_xll.BDP(TICKER,"DEEP_MEASURE_PERIOD_BROKER_VALUE","DEEP_MEASURE_ID_OVERRIDE",$C173,"DEEP_BROKER_ID_OVERRIDE",BQ$24,"DEEP_PERIOD_OVERRIDE",$H$19)*1,"")))</f>
        <v/>
      </c>
      <c r="BR173" t="str">
        <f>IF(OR(BR$23="",ISNA($B173)),"",IF(ISBLANK($B173),"",IFERROR(_xll.BDP(TICKER,"DEEP_MEASURE_PERIOD_BROKER_VALUE","DEEP_MEASURE_ID_OVERRIDE",$C173,"DEEP_BROKER_ID_OVERRIDE",BR$24,"DEEP_PERIOD_OVERRIDE",$H$19)*1,"")))</f>
        <v/>
      </c>
      <c r="BS173" t="str">
        <f>IF(OR(BS$23="",ISNA($B173)),"",IF(ISBLANK($B173),"",IFERROR(_xll.BDP(TICKER,"DEEP_MEASURE_PERIOD_BROKER_VALUE","DEEP_MEASURE_ID_OVERRIDE",$C173,"DEEP_BROKER_ID_OVERRIDE",BS$24,"DEEP_PERIOD_OVERRIDE",$H$19)*1,"")))</f>
        <v/>
      </c>
      <c r="BT173" t="str">
        <f>IF(OR(BT$23="",ISNA($B173)),"",IF(ISBLANK($B173),"",IFERROR(_xll.BDP(TICKER,"DEEP_MEASURE_PERIOD_BROKER_VALUE","DEEP_MEASURE_ID_OVERRIDE",$C173,"DEEP_BROKER_ID_OVERRIDE",BT$24,"DEEP_PERIOD_OVERRIDE",$H$19)*1,"")))</f>
        <v/>
      </c>
      <c r="BU173" t="str">
        <f>IF(OR(BU$23="",ISNA($B173)),"",IF(ISBLANK($B173),"",IFERROR(_xll.BDP(TICKER,"DEEP_MEASURE_PERIOD_BROKER_VALUE","DEEP_MEASURE_ID_OVERRIDE",$C173,"DEEP_BROKER_ID_OVERRIDE",BU$24,"DEEP_PERIOD_OVERRIDE",$H$19)*1,"")))</f>
        <v/>
      </c>
      <c r="BV173" t="str">
        <f>IF(OR(BV$23="",ISNA($B173)),"",IF(ISBLANK($B173),"",IFERROR(_xll.BDP(TICKER,"DEEP_MEASURE_PERIOD_BROKER_VALUE","DEEP_MEASURE_ID_OVERRIDE",$C173,"DEEP_BROKER_ID_OVERRIDE",BV$24,"DEEP_PERIOD_OVERRIDE",$H$19)*1,"")))</f>
        <v/>
      </c>
      <c r="BW173" t="str">
        <f>IF(OR(BW$23="",ISNA($B173)),"",IF(ISBLANK($B173),"",IFERROR(_xll.BDP(TICKER,"DEEP_MEASURE_PERIOD_BROKER_VALUE","DEEP_MEASURE_ID_OVERRIDE",$C173,"DEEP_BROKER_ID_OVERRIDE",BW$24,"DEEP_PERIOD_OVERRIDE",$H$19)*1,"")))</f>
        <v/>
      </c>
      <c r="BX173" t="str">
        <f>IF(OR(BX$23="",ISNA($B173)),"",IF(ISBLANK($B173),"",IFERROR(_xll.BDP(TICKER,"DEEP_MEASURE_PERIOD_BROKER_VALUE","DEEP_MEASURE_ID_OVERRIDE",$C173,"DEEP_BROKER_ID_OVERRIDE",BX$24,"DEEP_PERIOD_OVERRIDE",$H$19)*1,"")))</f>
        <v/>
      </c>
      <c r="BY173" t="str">
        <f>IF(OR(BY$23="",ISNA($B173)),"",IF(ISBLANK($B173),"",IFERROR(_xll.BDP(TICKER,"DEEP_MEASURE_PERIOD_BROKER_VALUE","DEEP_MEASURE_ID_OVERRIDE",$C173,"DEEP_BROKER_ID_OVERRIDE",BY$24,"DEEP_PERIOD_OVERRIDE",$H$19)*1,"")))</f>
        <v/>
      </c>
      <c r="BZ173" t="str">
        <f>IF(OR(BZ$23="",ISNA($B173)),"",IF(ISBLANK($B173),"",IFERROR(_xll.BDP(TICKER,"DEEP_MEASURE_PERIOD_BROKER_VALUE","DEEP_MEASURE_ID_OVERRIDE",$C173,"DEEP_BROKER_ID_OVERRIDE",BZ$24,"DEEP_PERIOD_OVERRIDE",$H$19)*1,"")))</f>
        <v/>
      </c>
    </row>
    <row r="174" spans="2:78" x14ac:dyDescent="0.25">
      <c r="B174" t="s">
        <v>51</v>
      </c>
      <c r="C174">
        <v>493</v>
      </c>
      <c r="H174" t="str">
        <f t="shared" si="3"/>
        <v>Liabilities &amp; Shareholders' Equity &gt; Current Liabilities</v>
      </c>
      <c r="I174" t="str">
        <f>IF(OR(I$23="",ISNA($B174)),"",IF(ISBLANK($B174),"",IFERROR(_xll.BDP(TICKER,"DEEP_MEASURE_PERIOD_BROKER_VALUE","DEEP_MEASURE_ID_OVERRIDE",$C174,"DEEP_PERIOD_OVERRIDE",$H$19)*1,"")))</f>
        <v/>
      </c>
      <c r="J174" t="e">
        <f>IF(OR(J$23="",ISNA($B174)),"",IF(ISBLANK($B174),"",IFERROR(_xll.BDP(TICKER,"DEEP_MEASURE_PERIOD_BROKER_VALUE","DEEP_MEASURE_ID_OVERRIDE",$C174,"DEEP_BROKER_ID_OVERRIDE",J$24,"DEEP_PERIOD_OVERRIDE",$H$19)*1,"")))</f>
        <v>#REF!</v>
      </c>
      <c r="K174" t="str">
        <f>IF(OR(K$23="",ISNA($B174)),"",IF(ISBLANK($B174),"",IFERROR(_xll.BDP(TICKER,"DEEP_MEASURE_PERIOD_BROKER_VALUE","DEEP_MEASURE_ID_OVERRIDE",$C174,"DEEP_BROKER_ID_OVERRIDE",K$24,"DEEP_PERIOD_OVERRIDE",$H$19)*1,"")))</f>
        <v/>
      </c>
      <c r="L174" t="str">
        <f>IF(OR(L$23="",ISNA($B174)),"",IF(ISBLANK($B174),"",IFERROR(_xll.BDP(TICKER,"DEEP_MEASURE_PERIOD_BROKER_VALUE","DEEP_MEASURE_ID_OVERRIDE",$C174,"DEEP_BROKER_ID_OVERRIDE",L$24,"DEEP_PERIOD_OVERRIDE",$H$19)*1,"")))</f>
        <v/>
      </c>
      <c r="M174" t="str">
        <f>IF(OR(M$23="",ISNA($B174)),"",IF(ISBLANK($B174),"",IFERROR(_xll.BDP(TICKER,"DEEP_MEASURE_PERIOD_BROKER_VALUE","DEEP_MEASURE_ID_OVERRIDE",$C174,"DEEP_BROKER_ID_OVERRIDE",M$24,"DEEP_PERIOD_OVERRIDE",$H$19)*1,"")))</f>
        <v/>
      </c>
      <c r="N174" t="str">
        <f>IF(OR(N$23="",ISNA($B174)),"",IF(ISBLANK($B174),"",IFERROR(_xll.BDP(TICKER,"DEEP_MEASURE_PERIOD_BROKER_VALUE","DEEP_MEASURE_ID_OVERRIDE",$C174,"DEEP_BROKER_ID_OVERRIDE",N$24,"DEEP_PERIOD_OVERRIDE",$H$19)*1,"")))</f>
        <v/>
      </c>
      <c r="O174" t="str">
        <f>IF(OR(O$23="",ISNA($B174)),"",IF(ISBLANK($B174),"",IFERROR(_xll.BDP(TICKER,"DEEP_MEASURE_PERIOD_BROKER_VALUE","DEEP_MEASURE_ID_OVERRIDE",$C174,"DEEP_BROKER_ID_OVERRIDE",O$24,"DEEP_PERIOD_OVERRIDE",$H$19)*1,"")))</f>
        <v/>
      </c>
      <c r="P174" t="str">
        <f>IF(OR(P$23="",ISNA($B174)),"",IF(ISBLANK($B174),"",IFERROR(_xll.BDP(TICKER,"DEEP_MEASURE_PERIOD_BROKER_VALUE","DEEP_MEASURE_ID_OVERRIDE",$C174,"DEEP_BROKER_ID_OVERRIDE",P$24,"DEEP_PERIOD_OVERRIDE",$H$19)*1,"")))</f>
        <v/>
      </c>
      <c r="Q174" t="str">
        <f>IF(OR(Q$23="",ISNA($B174)),"",IF(ISBLANK($B174),"",IFERROR(_xll.BDP(TICKER,"DEEP_MEASURE_PERIOD_BROKER_VALUE","DEEP_MEASURE_ID_OVERRIDE",$C174,"DEEP_BROKER_ID_OVERRIDE",Q$24,"DEEP_PERIOD_OVERRIDE",$H$19)*1,"")))</f>
        <v/>
      </c>
      <c r="R174" t="str">
        <f>IF(OR(R$23="",ISNA($B174)),"",IF(ISBLANK($B174),"",IFERROR(_xll.BDP(TICKER,"DEEP_MEASURE_PERIOD_BROKER_VALUE","DEEP_MEASURE_ID_OVERRIDE",$C174,"DEEP_BROKER_ID_OVERRIDE",R$24,"DEEP_PERIOD_OVERRIDE",$H$19)*1,"")))</f>
        <v/>
      </c>
      <c r="S174" t="str">
        <f>IF(OR(S$23="",ISNA($B174)),"",IF(ISBLANK($B174),"",IFERROR(_xll.BDP(TICKER,"DEEP_MEASURE_PERIOD_BROKER_VALUE","DEEP_MEASURE_ID_OVERRIDE",$C174,"DEEP_BROKER_ID_OVERRIDE",S$24,"DEEP_PERIOD_OVERRIDE",$H$19)*1,"")))</f>
        <v/>
      </c>
      <c r="T174" t="str">
        <f>IF(OR(T$23="",ISNA($B174)),"",IF(ISBLANK($B174),"",IFERROR(_xll.BDP(TICKER,"DEEP_MEASURE_PERIOD_BROKER_VALUE","DEEP_MEASURE_ID_OVERRIDE",$C174,"DEEP_BROKER_ID_OVERRIDE",T$24,"DEEP_PERIOD_OVERRIDE",$H$19)*1,"")))</f>
        <v/>
      </c>
      <c r="U174" t="str">
        <f>IF(OR(U$23="",ISNA($B174)),"",IF(ISBLANK($B174),"",IFERROR(_xll.BDP(TICKER,"DEEP_MEASURE_PERIOD_BROKER_VALUE","DEEP_MEASURE_ID_OVERRIDE",$C174,"DEEP_BROKER_ID_OVERRIDE",U$24,"DEEP_PERIOD_OVERRIDE",$H$19)*1,"")))</f>
        <v/>
      </c>
      <c r="V174" t="str">
        <f>IF(OR(V$23="",ISNA($B174)),"",IF(ISBLANK($B174),"",IFERROR(_xll.BDP(TICKER,"DEEP_MEASURE_PERIOD_BROKER_VALUE","DEEP_MEASURE_ID_OVERRIDE",$C174,"DEEP_BROKER_ID_OVERRIDE",V$24,"DEEP_PERIOD_OVERRIDE",$H$19)*1,"")))</f>
        <v/>
      </c>
      <c r="W174" t="str">
        <f>IF(OR(W$23="",ISNA($B174)),"",IF(ISBLANK($B174),"",IFERROR(_xll.BDP(TICKER,"DEEP_MEASURE_PERIOD_BROKER_VALUE","DEEP_MEASURE_ID_OVERRIDE",$C174,"DEEP_BROKER_ID_OVERRIDE",W$24,"DEEP_PERIOD_OVERRIDE",$H$19)*1,"")))</f>
        <v/>
      </c>
      <c r="X174" t="str">
        <f>IF(OR(X$23="",ISNA($B174)),"",IF(ISBLANK($B174),"",IFERROR(_xll.BDP(TICKER,"DEEP_MEASURE_PERIOD_BROKER_VALUE","DEEP_MEASURE_ID_OVERRIDE",$C174,"DEEP_BROKER_ID_OVERRIDE",X$24,"DEEP_PERIOD_OVERRIDE",$H$19)*1,"")))</f>
        <v/>
      </c>
      <c r="Y174" t="str">
        <f>IF(OR(Y$23="",ISNA($B174)),"",IF(ISBLANK($B174),"",IFERROR(_xll.BDP(TICKER,"DEEP_MEASURE_PERIOD_BROKER_VALUE","DEEP_MEASURE_ID_OVERRIDE",$C174,"DEEP_BROKER_ID_OVERRIDE",Y$24,"DEEP_PERIOD_OVERRIDE",$H$19)*1,"")))</f>
        <v/>
      </c>
      <c r="Z174" t="str">
        <f>IF(OR(Z$23="",ISNA($B174)),"",IF(ISBLANK($B174),"",IFERROR(_xll.BDP(TICKER,"DEEP_MEASURE_PERIOD_BROKER_VALUE","DEEP_MEASURE_ID_OVERRIDE",$C174,"DEEP_BROKER_ID_OVERRIDE",Z$24,"DEEP_PERIOD_OVERRIDE",$H$19)*1,"")))</f>
        <v/>
      </c>
      <c r="AA174" t="str">
        <f>IF(OR(AA$23="",ISNA($B174)),"",IF(ISBLANK($B174),"",IFERROR(_xll.BDP(TICKER,"DEEP_MEASURE_PERIOD_BROKER_VALUE","DEEP_MEASURE_ID_OVERRIDE",$C174,"DEEP_BROKER_ID_OVERRIDE",AA$24,"DEEP_PERIOD_OVERRIDE",$H$19)*1,"")))</f>
        <v/>
      </c>
      <c r="AB174" t="str">
        <f>IF(OR(AB$23="",ISNA($B174)),"",IF(ISBLANK($B174),"",IFERROR(_xll.BDP(TICKER,"DEEP_MEASURE_PERIOD_BROKER_VALUE","DEEP_MEASURE_ID_OVERRIDE",$C174,"DEEP_BROKER_ID_OVERRIDE",AB$24,"DEEP_PERIOD_OVERRIDE",$H$19)*1,"")))</f>
        <v/>
      </c>
      <c r="AC174" t="str">
        <f>IF(OR(AC$23="",ISNA($B174)),"",IF(ISBLANK($B174),"",IFERROR(_xll.BDP(TICKER,"DEEP_MEASURE_PERIOD_BROKER_VALUE","DEEP_MEASURE_ID_OVERRIDE",$C174,"DEEP_BROKER_ID_OVERRIDE",AC$24,"DEEP_PERIOD_OVERRIDE",$H$19)*1,"")))</f>
        <v/>
      </c>
      <c r="AD174" t="str">
        <f>IF(OR(AD$23="",ISNA($B174)),"",IF(ISBLANK($B174),"",IFERROR(_xll.BDP(TICKER,"DEEP_MEASURE_PERIOD_BROKER_VALUE","DEEP_MEASURE_ID_OVERRIDE",$C174,"DEEP_BROKER_ID_OVERRIDE",AD$24,"DEEP_PERIOD_OVERRIDE",$H$19)*1,"")))</f>
        <v/>
      </c>
      <c r="AE174" t="str">
        <f>IF(OR(AE$23="",ISNA($B174)),"",IF(ISBLANK($B174),"",IFERROR(_xll.BDP(TICKER,"DEEP_MEASURE_PERIOD_BROKER_VALUE","DEEP_MEASURE_ID_OVERRIDE",$C174,"DEEP_BROKER_ID_OVERRIDE",AE$24,"DEEP_PERIOD_OVERRIDE",$H$19)*1,"")))</f>
        <v/>
      </c>
      <c r="AF174" t="str">
        <f>IF(OR(AF$23="",ISNA($B174)),"",IF(ISBLANK($B174),"",IFERROR(_xll.BDP(TICKER,"DEEP_MEASURE_PERIOD_BROKER_VALUE","DEEP_MEASURE_ID_OVERRIDE",$C174,"DEEP_BROKER_ID_OVERRIDE",AF$24,"DEEP_PERIOD_OVERRIDE",$H$19)*1,"")))</f>
        <v/>
      </c>
      <c r="AG174" t="str">
        <f>IF(OR(AG$23="",ISNA($B174)),"",IF(ISBLANK($B174),"",IFERROR(_xll.BDP(TICKER,"DEEP_MEASURE_PERIOD_BROKER_VALUE","DEEP_MEASURE_ID_OVERRIDE",$C174,"DEEP_BROKER_ID_OVERRIDE",AG$24,"DEEP_PERIOD_OVERRIDE",$H$19)*1,"")))</f>
        <v/>
      </c>
      <c r="AH174" t="str">
        <f>IF(OR(AH$23="",ISNA($B174)),"",IF(ISBLANK($B174),"",IFERROR(_xll.BDP(TICKER,"DEEP_MEASURE_PERIOD_BROKER_VALUE","DEEP_MEASURE_ID_OVERRIDE",$C174,"DEEP_BROKER_ID_OVERRIDE",AH$24,"DEEP_PERIOD_OVERRIDE",$H$19)*1,"")))</f>
        <v/>
      </c>
      <c r="AI174" t="str">
        <f>IF(OR(AI$23="",ISNA($B174)),"",IF(ISBLANK($B174),"",IFERROR(_xll.BDP(TICKER,"DEEP_MEASURE_PERIOD_BROKER_VALUE","DEEP_MEASURE_ID_OVERRIDE",$C174,"DEEP_BROKER_ID_OVERRIDE",AI$24,"DEEP_PERIOD_OVERRIDE",$H$19)*1,"")))</f>
        <v/>
      </c>
      <c r="AJ174" t="str">
        <f>IF(OR(AJ$23="",ISNA($B174)),"",IF(ISBLANK($B174),"",IFERROR(_xll.BDP(TICKER,"DEEP_MEASURE_PERIOD_BROKER_VALUE","DEEP_MEASURE_ID_OVERRIDE",$C174,"DEEP_BROKER_ID_OVERRIDE",AJ$24,"DEEP_PERIOD_OVERRIDE",$H$19)*1,"")))</f>
        <v/>
      </c>
      <c r="AK174" t="str">
        <f>IF(OR(AK$23="",ISNA($B174)),"",IF(ISBLANK($B174),"",IFERROR(_xll.BDP(TICKER,"DEEP_MEASURE_PERIOD_BROKER_VALUE","DEEP_MEASURE_ID_OVERRIDE",$C174,"DEEP_BROKER_ID_OVERRIDE",AK$24,"DEEP_PERIOD_OVERRIDE",$H$19)*1,"")))</f>
        <v/>
      </c>
      <c r="AL174" t="str">
        <f>IF(OR(AL$23="",ISNA($B174)),"",IF(ISBLANK($B174),"",IFERROR(_xll.BDP(TICKER,"DEEP_MEASURE_PERIOD_BROKER_VALUE","DEEP_MEASURE_ID_OVERRIDE",$C174,"DEEP_BROKER_ID_OVERRIDE",AL$24,"DEEP_PERIOD_OVERRIDE",$H$19)*1,"")))</f>
        <v/>
      </c>
      <c r="AM174" t="str">
        <f>IF(OR(AM$23="",ISNA($B174)),"",IF(ISBLANK($B174),"",IFERROR(_xll.BDP(TICKER,"DEEP_MEASURE_PERIOD_BROKER_VALUE","DEEP_MEASURE_ID_OVERRIDE",$C174,"DEEP_BROKER_ID_OVERRIDE",AM$24,"DEEP_PERIOD_OVERRIDE",$H$19)*1,"")))</f>
        <v/>
      </c>
      <c r="AN174" t="str">
        <f>IF(OR(AN$23="",ISNA($B174)),"",IF(ISBLANK($B174),"",IFERROR(_xll.BDP(TICKER,"DEEP_MEASURE_PERIOD_BROKER_VALUE","DEEP_MEASURE_ID_OVERRIDE",$C174,"DEEP_BROKER_ID_OVERRIDE",AN$24,"DEEP_PERIOD_OVERRIDE",$H$19)*1,"")))</f>
        <v/>
      </c>
      <c r="AO174" t="str">
        <f>IF(OR(AO$23="",ISNA($B174)),"",IF(ISBLANK($B174),"",IFERROR(_xll.BDP(TICKER,"DEEP_MEASURE_PERIOD_BROKER_VALUE","DEEP_MEASURE_ID_OVERRIDE",$C174,"DEEP_BROKER_ID_OVERRIDE",AO$24,"DEEP_PERIOD_OVERRIDE",$H$19)*1,"")))</f>
        <v/>
      </c>
      <c r="AP174" t="str">
        <f>IF(OR(AP$23="",ISNA($B174)),"",IF(ISBLANK($B174),"",IFERROR(_xll.BDP(TICKER,"DEEP_MEASURE_PERIOD_BROKER_VALUE","DEEP_MEASURE_ID_OVERRIDE",$C174,"DEEP_BROKER_ID_OVERRIDE",AP$24,"DEEP_PERIOD_OVERRIDE",$H$19)*1,"")))</f>
        <v/>
      </c>
      <c r="AQ174" t="str">
        <f>IF(OR(AQ$23="",ISNA($B174)),"",IF(ISBLANK($B174),"",IFERROR(_xll.BDP(TICKER,"DEEP_MEASURE_PERIOD_BROKER_VALUE","DEEP_MEASURE_ID_OVERRIDE",$C174,"DEEP_BROKER_ID_OVERRIDE",AQ$24,"DEEP_PERIOD_OVERRIDE",$H$19)*1,"")))</f>
        <v/>
      </c>
      <c r="AR174" t="str">
        <f>IF(OR(AR$23="",ISNA($B174)),"",IF(ISBLANK($B174),"",IFERROR(_xll.BDP(TICKER,"DEEP_MEASURE_PERIOD_BROKER_VALUE","DEEP_MEASURE_ID_OVERRIDE",$C174,"DEEP_BROKER_ID_OVERRIDE",AR$24,"DEEP_PERIOD_OVERRIDE",$H$19)*1,"")))</f>
        <v/>
      </c>
      <c r="AS174" t="str">
        <f>IF(OR(AS$23="",ISNA($B174)),"",IF(ISBLANK($B174),"",IFERROR(_xll.BDP(TICKER,"DEEP_MEASURE_PERIOD_BROKER_VALUE","DEEP_MEASURE_ID_OVERRIDE",$C174,"DEEP_BROKER_ID_OVERRIDE",AS$24,"DEEP_PERIOD_OVERRIDE",$H$19)*1,"")))</f>
        <v/>
      </c>
      <c r="AT174" t="str">
        <f>IF(OR(AT$23="",ISNA($B174)),"",IF(ISBLANK($B174),"",IFERROR(_xll.BDP(TICKER,"DEEP_MEASURE_PERIOD_BROKER_VALUE","DEEP_MEASURE_ID_OVERRIDE",$C174,"DEEP_BROKER_ID_OVERRIDE",AT$24,"DEEP_PERIOD_OVERRIDE",$H$19)*1,"")))</f>
        <v/>
      </c>
      <c r="AU174" t="str">
        <f>IF(OR(AU$23="",ISNA($B174)),"",IF(ISBLANK($B174),"",IFERROR(_xll.BDP(TICKER,"DEEP_MEASURE_PERIOD_BROKER_VALUE","DEEP_MEASURE_ID_OVERRIDE",$C174,"DEEP_BROKER_ID_OVERRIDE",AU$24,"DEEP_PERIOD_OVERRIDE",$H$19)*1,"")))</f>
        <v/>
      </c>
      <c r="AV174" t="str">
        <f>IF(OR(AV$23="",ISNA($B174)),"",IF(ISBLANK($B174),"",IFERROR(_xll.BDP(TICKER,"DEEP_MEASURE_PERIOD_BROKER_VALUE","DEEP_MEASURE_ID_OVERRIDE",$C174,"DEEP_BROKER_ID_OVERRIDE",AV$24,"DEEP_PERIOD_OVERRIDE",$H$19)*1,"")))</f>
        <v/>
      </c>
      <c r="AW174" t="str">
        <f>IF(OR(AW$23="",ISNA($B174)),"",IF(ISBLANK($B174),"",IFERROR(_xll.BDP(TICKER,"DEEP_MEASURE_PERIOD_BROKER_VALUE","DEEP_MEASURE_ID_OVERRIDE",$C174,"DEEP_BROKER_ID_OVERRIDE",AW$24,"DEEP_PERIOD_OVERRIDE",$H$19)*1,"")))</f>
        <v/>
      </c>
      <c r="AX174" t="str">
        <f>IF(OR(AX$23="",ISNA($B174)),"",IF(ISBLANK($B174),"",IFERROR(_xll.BDP(TICKER,"DEEP_MEASURE_PERIOD_BROKER_VALUE","DEEP_MEASURE_ID_OVERRIDE",$C174,"DEEP_BROKER_ID_OVERRIDE",AX$24,"DEEP_PERIOD_OVERRIDE",$H$19)*1,"")))</f>
        <v/>
      </c>
      <c r="AY174" t="str">
        <f>IF(OR(AY$23="",ISNA($B174)),"",IF(ISBLANK($B174),"",IFERROR(_xll.BDP(TICKER,"DEEP_MEASURE_PERIOD_BROKER_VALUE","DEEP_MEASURE_ID_OVERRIDE",$C174,"DEEP_BROKER_ID_OVERRIDE",AY$24,"DEEP_PERIOD_OVERRIDE",$H$19)*1,"")))</f>
        <v/>
      </c>
      <c r="AZ174" t="str">
        <f>IF(OR(AZ$23="",ISNA($B174)),"",IF(ISBLANK($B174),"",IFERROR(_xll.BDP(TICKER,"DEEP_MEASURE_PERIOD_BROKER_VALUE","DEEP_MEASURE_ID_OVERRIDE",$C174,"DEEP_BROKER_ID_OVERRIDE",AZ$24,"DEEP_PERIOD_OVERRIDE",$H$19)*1,"")))</f>
        <v/>
      </c>
      <c r="BA174" t="str">
        <f>IF(OR(BA$23="",ISNA($B174)),"",IF(ISBLANK($B174),"",IFERROR(_xll.BDP(TICKER,"DEEP_MEASURE_PERIOD_BROKER_VALUE","DEEP_MEASURE_ID_OVERRIDE",$C174,"DEEP_BROKER_ID_OVERRIDE",BA$24,"DEEP_PERIOD_OVERRIDE",$H$19)*1,"")))</f>
        <v/>
      </c>
      <c r="BB174" t="str">
        <f>IF(OR(BB$23="",ISNA($B174)),"",IF(ISBLANK($B174),"",IFERROR(_xll.BDP(TICKER,"DEEP_MEASURE_PERIOD_BROKER_VALUE","DEEP_MEASURE_ID_OVERRIDE",$C174,"DEEP_BROKER_ID_OVERRIDE",BB$24,"DEEP_PERIOD_OVERRIDE",$H$19)*1,"")))</f>
        <v/>
      </c>
      <c r="BC174" t="str">
        <f>IF(OR(BC$23="",ISNA($B174)),"",IF(ISBLANK($B174),"",IFERROR(_xll.BDP(TICKER,"DEEP_MEASURE_PERIOD_BROKER_VALUE","DEEP_MEASURE_ID_OVERRIDE",$C174,"DEEP_BROKER_ID_OVERRIDE",BC$24,"DEEP_PERIOD_OVERRIDE",$H$19)*1,"")))</f>
        <v/>
      </c>
      <c r="BD174" t="str">
        <f>IF(OR(BD$23="",ISNA($B174)),"",IF(ISBLANK($B174),"",IFERROR(_xll.BDP(TICKER,"DEEP_MEASURE_PERIOD_BROKER_VALUE","DEEP_MEASURE_ID_OVERRIDE",$C174,"DEEP_BROKER_ID_OVERRIDE",BD$24,"DEEP_PERIOD_OVERRIDE",$H$19)*1,"")))</f>
        <v/>
      </c>
      <c r="BE174" t="str">
        <f>IF(OR(BE$23="",ISNA($B174)),"",IF(ISBLANK($B174),"",IFERROR(_xll.BDP(TICKER,"DEEP_MEASURE_PERIOD_BROKER_VALUE","DEEP_MEASURE_ID_OVERRIDE",$C174,"DEEP_BROKER_ID_OVERRIDE",BE$24,"DEEP_PERIOD_OVERRIDE",$H$19)*1,"")))</f>
        <v/>
      </c>
      <c r="BF174" t="str">
        <f>IF(OR(BF$23="",ISNA($B174)),"",IF(ISBLANK($B174),"",IFERROR(_xll.BDP(TICKER,"DEEP_MEASURE_PERIOD_BROKER_VALUE","DEEP_MEASURE_ID_OVERRIDE",$C174,"DEEP_BROKER_ID_OVERRIDE",BF$24,"DEEP_PERIOD_OVERRIDE",$H$19)*1,"")))</f>
        <v/>
      </c>
      <c r="BG174" t="str">
        <f>IF(OR(BG$23="",ISNA($B174)),"",IF(ISBLANK($B174),"",IFERROR(_xll.BDP(TICKER,"DEEP_MEASURE_PERIOD_BROKER_VALUE","DEEP_MEASURE_ID_OVERRIDE",$C174,"DEEP_BROKER_ID_OVERRIDE",BG$24,"DEEP_PERIOD_OVERRIDE",$H$19)*1,"")))</f>
        <v/>
      </c>
      <c r="BH174" t="str">
        <f>IF(OR(BH$23="",ISNA($B174)),"",IF(ISBLANK($B174),"",IFERROR(_xll.BDP(TICKER,"DEEP_MEASURE_PERIOD_BROKER_VALUE","DEEP_MEASURE_ID_OVERRIDE",$C174,"DEEP_BROKER_ID_OVERRIDE",BH$24,"DEEP_PERIOD_OVERRIDE",$H$19)*1,"")))</f>
        <v/>
      </c>
      <c r="BI174" t="str">
        <f>IF(OR(BI$23="",ISNA($B174)),"",IF(ISBLANK($B174),"",IFERROR(_xll.BDP(TICKER,"DEEP_MEASURE_PERIOD_BROKER_VALUE","DEEP_MEASURE_ID_OVERRIDE",$C174,"DEEP_BROKER_ID_OVERRIDE",BI$24,"DEEP_PERIOD_OVERRIDE",$H$19)*1,"")))</f>
        <v/>
      </c>
      <c r="BJ174" t="str">
        <f>IF(OR(BJ$23="",ISNA($B174)),"",IF(ISBLANK($B174),"",IFERROR(_xll.BDP(TICKER,"DEEP_MEASURE_PERIOD_BROKER_VALUE","DEEP_MEASURE_ID_OVERRIDE",$C174,"DEEP_BROKER_ID_OVERRIDE",BJ$24,"DEEP_PERIOD_OVERRIDE",$H$19)*1,"")))</f>
        <v/>
      </c>
      <c r="BK174" t="str">
        <f>IF(OR(BK$23="",ISNA($B174)),"",IF(ISBLANK($B174),"",IFERROR(_xll.BDP(TICKER,"DEEP_MEASURE_PERIOD_BROKER_VALUE","DEEP_MEASURE_ID_OVERRIDE",$C174,"DEEP_BROKER_ID_OVERRIDE",BK$24,"DEEP_PERIOD_OVERRIDE",$H$19)*1,"")))</f>
        <v/>
      </c>
      <c r="BL174" t="str">
        <f>IF(OR(BL$23="",ISNA($B174)),"",IF(ISBLANK($B174),"",IFERROR(_xll.BDP(TICKER,"DEEP_MEASURE_PERIOD_BROKER_VALUE","DEEP_MEASURE_ID_OVERRIDE",$C174,"DEEP_BROKER_ID_OVERRIDE",BL$24,"DEEP_PERIOD_OVERRIDE",$H$19)*1,"")))</f>
        <v/>
      </c>
      <c r="BM174" t="str">
        <f>IF(OR(BM$23="",ISNA($B174)),"",IF(ISBLANK($B174),"",IFERROR(_xll.BDP(TICKER,"DEEP_MEASURE_PERIOD_BROKER_VALUE","DEEP_MEASURE_ID_OVERRIDE",$C174,"DEEP_BROKER_ID_OVERRIDE",BM$24,"DEEP_PERIOD_OVERRIDE",$H$19)*1,"")))</f>
        <v/>
      </c>
      <c r="BN174" t="str">
        <f>IF(OR(BN$23="",ISNA($B174)),"",IF(ISBLANK($B174),"",IFERROR(_xll.BDP(TICKER,"DEEP_MEASURE_PERIOD_BROKER_VALUE","DEEP_MEASURE_ID_OVERRIDE",$C174,"DEEP_BROKER_ID_OVERRIDE",BN$24,"DEEP_PERIOD_OVERRIDE",$H$19)*1,"")))</f>
        <v/>
      </c>
      <c r="BO174" t="str">
        <f>IF(OR(BO$23="",ISNA($B174)),"",IF(ISBLANK($B174),"",IFERROR(_xll.BDP(TICKER,"DEEP_MEASURE_PERIOD_BROKER_VALUE","DEEP_MEASURE_ID_OVERRIDE",$C174,"DEEP_BROKER_ID_OVERRIDE",BO$24,"DEEP_PERIOD_OVERRIDE",$H$19)*1,"")))</f>
        <v/>
      </c>
      <c r="BP174" t="str">
        <f>IF(OR(BP$23="",ISNA($B174)),"",IF(ISBLANK($B174),"",IFERROR(_xll.BDP(TICKER,"DEEP_MEASURE_PERIOD_BROKER_VALUE","DEEP_MEASURE_ID_OVERRIDE",$C174,"DEEP_BROKER_ID_OVERRIDE",BP$24,"DEEP_PERIOD_OVERRIDE",$H$19)*1,"")))</f>
        <v/>
      </c>
      <c r="BQ174" t="str">
        <f>IF(OR(BQ$23="",ISNA($B174)),"",IF(ISBLANK($B174),"",IFERROR(_xll.BDP(TICKER,"DEEP_MEASURE_PERIOD_BROKER_VALUE","DEEP_MEASURE_ID_OVERRIDE",$C174,"DEEP_BROKER_ID_OVERRIDE",BQ$24,"DEEP_PERIOD_OVERRIDE",$H$19)*1,"")))</f>
        <v/>
      </c>
      <c r="BR174" t="str">
        <f>IF(OR(BR$23="",ISNA($B174)),"",IF(ISBLANK($B174),"",IFERROR(_xll.BDP(TICKER,"DEEP_MEASURE_PERIOD_BROKER_VALUE","DEEP_MEASURE_ID_OVERRIDE",$C174,"DEEP_BROKER_ID_OVERRIDE",BR$24,"DEEP_PERIOD_OVERRIDE",$H$19)*1,"")))</f>
        <v/>
      </c>
      <c r="BS174" t="str">
        <f>IF(OR(BS$23="",ISNA($B174)),"",IF(ISBLANK($B174),"",IFERROR(_xll.BDP(TICKER,"DEEP_MEASURE_PERIOD_BROKER_VALUE","DEEP_MEASURE_ID_OVERRIDE",$C174,"DEEP_BROKER_ID_OVERRIDE",BS$24,"DEEP_PERIOD_OVERRIDE",$H$19)*1,"")))</f>
        <v/>
      </c>
      <c r="BT174" t="str">
        <f>IF(OR(BT$23="",ISNA($B174)),"",IF(ISBLANK($B174),"",IFERROR(_xll.BDP(TICKER,"DEEP_MEASURE_PERIOD_BROKER_VALUE","DEEP_MEASURE_ID_OVERRIDE",$C174,"DEEP_BROKER_ID_OVERRIDE",BT$24,"DEEP_PERIOD_OVERRIDE",$H$19)*1,"")))</f>
        <v/>
      </c>
      <c r="BU174" t="str">
        <f>IF(OR(BU$23="",ISNA($B174)),"",IF(ISBLANK($B174),"",IFERROR(_xll.BDP(TICKER,"DEEP_MEASURE_PERIOD_BROKER_VALUE","DEEP_MEASURE_ID_OVERRIDE",$C174,"DEEP_BROKER_ID_OVERRIDE",BU$24,"DEEP_PERIOD_OVERRIDE",$H$19)*1,"")))</f>
        <v/>
      </c>
      <c r="BV174" t="str">
        <f>IF(OR(BV$23="",ISNA($B174)),"",IF(ISBLANK($B174),"",IFERROR(_xll.BDP(TICKER,"DEEP_MEASURE_PERIOD_BROKER_VALUE","DEEP_MEASURE_ID_OVERRIDE",$C174,"DEEP_BROKER_ID_OVERRIDE",BV$24,"DEEP_PERIOD_OVERRIDE",$H$19)*1,"")))</f>
        <v/>
      </c>
      <c r="BW174" t="str">
        <f>IF(OR(BW$23="",ISNA($B174)),"",IF(ISBLANK($B174),"",IFERROR(_xll.BDP(TICKER,"DEEP_MEASURE_PERIOD_BROKER_VALUE","DEEP_MEASURE_ID_OVERRIDE",$C174,"DEEP_BROKER_ID_OVERRIDE",BW$24,"DEEP_PERIOD_OVERRIDE",$H$19)*1,"")))</f>
        <v/>
      </c>
      <c r="BX174" t="str">
        <f>IF(OR(BX$23="",ISNA($B174)),"",IF(ISBLANK($B174),"",IFERROR(_xll.BDP(TICKER,"DEEP_MEASURE_PERIOD_BROKER_VALUE","DEEP_MEASURE_ID_OVERRIDE",$C174,"DEEP_BROKER_ID_OVERRIDE",BX$24,"DEEP_PERIOD_OVERRIDE",$H$19)*1,"")))</f>
        <v/>
      </c>
      <c r="BY174" t="str">
        <f>IF(OR(BY$23="",ISNA($B174)),"",IF(ISBLANK($B174),"",IFERROR(_xll.BDP(TICKER,"DEEP_MEASURE_PERIOD_BROKER_VALUE","DEEP_MEASURE_ID_OVERRIDE",$C174,"DEEP_BROKER_ID_OVERRIDE",BY$24,"DEEP_PERIOD_OVERRIDE",$H$19)*1,"")))</f>
        <v/>
      </c>
      <c r="BZ174" t="str">
        <f>IF(OR(BZ$23="",ISNA($B174)),"",IF(ISBLANK($B174),"",IFERROR(_xll.BDP(TICKER,"DEEP_MEASURE_PERIOD_BROKER_VALUE","DEEP_MEASURE_ID_OVERRIDE",$C174,"DEEP_BROKER_ID_OVERRIDE",BZ$24,"DEEP_PERIOD_OVERRIDE",$H$19)*1,"")))</f>
        <v/>
      </c>
    </row>
    <row r="175" spans="2:78" x14ac:dyDescent="0.25">
      <c r="B175" t="s">
        <v>52</v>
      </c>
      <c r="C175">
        <v>485</v>
      </c>
      <c r="H175" t="str">
        <f t="shared" si="3"/>
        <v>Liabilities &amp; Shareholders' Equity &gt; Current Liabilities &gt; Accounts Payable and Other Accrued Expenses</v>
      </c>
      <c r="I175" t="str">
        <f>IF(OR(I$23="",ISNA($B175)),"",IF(ISBLANK($B175),"",IFERROR(_xll.BDP(TICKER,"DEEP_MEASURE_PERIOD_BROKER_VALUE","DEEP_MEASURE_ID_OVERRIDE",$C175,"DEEP_PERIOD_OVERRIDE",$H$19)*1,"")))</f>
        <v/>
      </c>
      <c r="J175" t="e">
        <f>IF(OR(J$23="",ISNA($B175)),"",IF(ISBLANK($B175),"",IFERROR(_xll.BDP(TICKER,"DEEP_MEASURE_PERIOD_BROKER_VALUE","DEEP_MEASURE_ID_OVERRIDE",$C175,"DEEP_BROKER_ID_OVERRIDE",J$24,"DEEP_PERIOD_OVERRIDE",$H$19)*1,"")))</f>
        <v>#REF!</v>
      </c>
      <c r="K175" t="str">
        <f>IF(OR(K$23="",ISNA($B175)),"",IF(ISBLANK($B175),"",IFERROR(_xll.BDP(TICKER,"DEEP_MEASURE_PERIOD_BROKER_VALUE","DEEP_MEASURE_ID_OVERRIDE",$C175,"DEEP_BROKER_ID_OVERRIDE",K$24,"DEEP_PERIOD_OVERRIDE",$H$19)*1,"")))</f>
        <v/>
      </c>
      <c r="L175" t="str">
        <f>IF(OR(L$23="",ISNA($B175)),"",IF(ISBLANK($B175),"",IFERROR(_xll.BDP(TICKER,"DEEP_MEASURE_PERIOD_BROKER_VALUE","DEEP_MEASURE_ID_OVERRIDE",$C175,"DEEP_BROKER_ID_OVERRIDE",L$24,"DEEP_PERIOD_OVERRIDE",$H$19)*1,"")))</f>
        <v/>
      </c>
      <c r="M175" t="str">
        <f>IF(OR(M$23="",ISNA($B175)),"",IF(ISBLANK($B175),"",IFERROR(_xll.BDP(TICKER,"DEEP_MEASURE_PERIOD_BROKER_VALUE","DEEP_MEASURE_ID_OVERRIDE",$C175,"DEEP_BROKER_ID_OVERRIDE",M$24,"DEEP_PERIOD_OVERRIDE",$H$19)*1,"")))</f>
        <v/>
      </c>
      <c r="N175" t="str">
        <f>IF(OR(N$23="",ISNA($B175)),"",IF(ISBLANK($B175),"",IFERROR(_xll.BDP(TICKER,"DEEP_MEASURE_PERIOD_BROKER_VALUE","DEEP_MEASURE_ID_OVERRIDE",$C175,"DEEP_BROKER_ID_OVERRIDE",N$24,"DEEP_PERIOD_OVERRIDE",$H$19)*1,"")))</f>
        <v/>
      </c>
      <c r="O175" t="str">
        <f>IF(OR(O$23="",ISNA($B175)),"",IF(ISBLANK($B175),"",IFERROR(_xll.BDP(TICKER,"DEEP_MEASURE_PERIOD_BROKER_VALUE","DEEP_MEASURE_ID_OVERRIDE",$C175,"DEEP_BROKER_ID_OVERRIDE",O$24,"DEEP_PERIOD_OVERRIDE",$H$19)*1,"")))</f>
        <v/>
      </c>
      <c r="P175" t="str">
        <f>IF(OR(P$23="",ISNA($B175)),"",IF(ISBLANK($B175),"",IFERROR(_xll.BDP(TICKER,"DEEP_MEASURE_PERIOD_BROKER_VALUE","DEEP_MEASURE_ID_OVERRIDE",$C175,"DEEP_BROKER_ID_OVERRIDE",P$24,"DEEP_PERIOD_OVERRIDE",$H$19)*1,"")))</f>
        <v/>
      </c>
      <c r="Q175" t="str">
        <f>IF(OR(Q$23="",ISNA($B175)),"",IF(ISBLANK($B175),"",IFERROR(_xll.BDP(TICKER,"DEEP_MEASURE_PERIOD_BROKER_VALUE","DEEP_MEASURE_ID_OVERRIDE",$C175,"DEEP_BROKER_ID_OVERRIDE",Q$24,"DEEP_PERIOD_OVERRIDE",$H$19)*1,"")))</f>
        <v/>
      </c>
      <c r="R175" t="str">
        <f>IF(OR(R$23="",ISNA($B175)),"",IF(ISBLANK($B175),"",IFERROR(_xll.BDP(TICKER,"DEEP_MEASURE_PERIOD_BROKER_VALUE","DEEP_MEASURE_ID_OVERRIDE",$C175,"DEEP_BROKER_ID_OVERRIDE",R$24,"DEEP_PERIOD_OVERRIDE",$H$19)*1,"")))</f>
        <v/>
      </c>
      <c r="S175" t="str">
        <f>IF(OR(S$23="",ISNA($B175)),"",IF(ISBLANK($B175),"",IFERROR(_xll.BDP(TICKER,"DEEP_MEASURE_PERIOD_BROKER_VALUE","DEEP_MEASURE_ID_OVERRIDE",$C175,"DEEP_BROKER_ID_OVERRIDE",S$24,"DEEP_PERIOD_OVERRIDE",$H$19)*1,"")))</f>
        <v/>
      </c>
      <c r="T175" t="str">
        <f>IF(OR(T$23="",ISNA($B175)),"",IF(ISBLANK($B175),"",IFERROR(_xll.BDP(TICKER,"DEEP_MEASURE_PERIOD_BROKER_VALUE","DEEP_MEASURE_ID_OVERRIDE",$C175,"DEEP_BROKER_ID_OVERRIDE",T$24,"DEEP_PERIOD_OVERRIDE",$H$19)*1,"")))</f>
        <v/>
      </c>
      <c r="U175" t="str">
        <f>IF(OR(U$23="",ISNA($B175)),"",IF(ISBLANK($B175),"",IFERROR(_xll.BDP(TICKER,"DEEP_MEASURE_PERIOD_BROKER_VALUE","DEEP_MEASURE_ID_OVERRIDE",$C175,"DEEP_BROKER_ID_OVERRIDE",U$24,"DEEP_PERIOD_OVERRIDE",$H$19)*1,"")))</f>
        <v/>
      </c>
      <c r="V175" t="str">
        <f>IF(OR(V$23="",ISNA($B175)),"",IF(ISBLANK($B175),"",IFERROR(_xll.BDP(TICKER,"DEEP_MEASURE_PERIOD_BROKER_VALUE","DEEP_MEASURE_ID_OVERRIDE",$C175,"DEEP_BROKER_ID_OVERRIDE",V$24,"DEEP_PERIOD_OVERRIDE",$H$19)*1,"")))</f>
        <v/>
      </c>
      <c r="W175" t="str">
        <f>IF(OR(W$23="",ISNA($B175)),"",IF(ISBLANK($B175),"",IFERROR(_xll.BDP(TICKER,"DEEP_MEASURE_PERIOD_BROKER_VALUE","DEEP_MEASURE_ID_OVERRIDE",$C175,"DEEP_BROKER_ID_OVERRIDE",W$24,"DEEP_PERIOD_OVERRIDE",$H$19)*1,"")))</f>
        <v/>
      </c>
      <c r="X175" t="str">
        <f>IF(OR(X$23="",ISNA($B175)),"",IF(ISBLANK($B175),"",IFERROR(_xll.BDP(TICKER,"DEEP_MEASURE_PERIOD_BROKER_VALUE","DEEP_MEASURE_ID_OVERRIDE",$C175,"DEEP_BROKER_ID_OVERRIDE",X$24,"DEEP_PERIOD_OVERRIDE",$H$19)*1,"")))</f>
        <v/>
      </c>
      <c r="Y175" t="str">
        <f>IF(OR(Y$23="",ISNA($B175)),"",IF(ISBLANK($B175),"",IFERROR(_xll.BDP(TICKER,"DEEP_MEASURE_PERIOD_BROKER_VALUE","DEEP_MEASURE_ID_OVERRIDE",$C175,"DEEP_BROKER_ID_OVERRIDE",Y$24,"DEEP_PERIOD_OVERRIDE",$H$19)*1,"")))</f>
        <v/>
      </c>
      <c r="Z175" t="str">
        <f>IF(OR(Z$23="",ISNA($B175)),"",IF(ISBLANK($B175),"",IFERROR(_xll.BDP(TICKER,"DEEP_MEASURE_PERIOD_BROKER_VALUE","DEEP_MEASURE_ID_OVERRIDE",$C175,"DEEP_BROKER_ID_OVERRIDE",Z$24,"DEEP_PERIOD_OVERRIDE",$H$19)*1,"")))</f>
        <v/>
      </c>
      <c r="AA175" t="str">
        <f>IF(OR(AA$23="",ISNA($B175)),"",IF(ISBLANK($B175),"",IFERROR(_xll.BDP(TICKER,"DEEP_MEASURE_PERIOD_BROKER_VALUE","DEEP_MEASURE_ID_OVERRIDE",$C175,"DEEP_BROKER_ID_OVERRIDE",AA$24,"DEEP_PERIOD_OVERRIDE",$H$19)*1,"")))</f>
        <v/>
      </c>
      <c r="AB175" t="str">
        <f>IF(OR(AB$23="",ISNA($B175)),"",IF(ISBLANK($B175),"",IFERROR(_xll.BDP(TICKER,"DEEP_MEASURE_PERIOD_BROKER_VALUE","DEEP_MEASURE_ID_OVERRIDE",$C175,"DEEP_BROKER_ID_OVERRIDE",AB$24,"DEEP_PERIOD_OVERRIDE",$H$19)*1,"")))</f>
        <v/>
      </c>
      <c r="AC175" t="str">
        <f>IF(OR(AC$23="",ISNA($B175)),"",IF(ISBLANK($B175),"",IFERROR(_xll.BDP(TICKER,"DEEP_MEASURE_PERIOD_BROKER_VALUE","DEEP_MEASURE_ID_OVERRIDE",$C175,"DEEP_BROKER_ID_OVERRIDE",AC$24,"DEEP_PERIOD_OVERRIDE",$H$19)*1,"")))</f>
        <v/>
      </c>
      <c r="AD175" t="str">
        <f>IF(OR(AD$23="",ISNA($B175)),"",IF(ISBLANK($B175),"",IFERROR(_xll.BDP(TICKER,"DEEP_MEASURE_PERIOD_BROKER_VALUE","DEEP_MEASURE_ID_OVERRIDE",$C175,"DEEP_BROKER_ID_OVERRIDE",AD$24,"DEEP_PERIOD_OVERRIDE",$H$19)*1,"")))</f>
        <v/>
      </c>
      <c r="AE175" t="str">
        <f>IF(OR(AE$23="",ISNA($B175)),"",IF(ISBLANK($B175),"",IFERROR(_xll.BDP(TICKER,"DEEP_MEASURE_PERIOD_BROKER_VALUE","DEEP_MEASURE_ID_OVERRIDE",$C175,"DEEP_BROKER_ID_OVERRIDE",AE$24,"DEEP_PERIOD_OVERRIDE",$H$19)*1,"")))</f>
        <v/>
      </c>
      <c r="AF175" t="str">
        <f>IF(OR(AF$23="",ISNA($B175)),"",IF(ISBLANK($B175),"",IFERROR(_xll.BDP(TICKER,"DEEP_MEASURE_PERIOD_BROKER_VALUE","DEEP_MEASURE_ID_OVERRIDE",$C175,"DEEP_BROKER_ID_OVERRIDE",AF$24,"DEEP_PERIOD_OVERRIDE",$H$19)*1,"")))</f>
        <v/>
      </c>
      <c r="AG175" t="str">
        <f>IF(OR(AG$23="",ISNA($B175)),"",IF(ISBLANK($B175),"",IFERROR(_xll.BDP(TICKER,"DEEP_MEASURE_PERIOD_BROKER_VALUE","DEEP_MEASURE_ID_OVERRIDE",$C175,"DEEP_BROKER_ID_OVERRIDE",AG$24,"DEEP_PERIOD_OVERRIDE",$H$19)*1,"")))</f>
        <v/>
      </c>
      <c r="AH175" t="str">
        <f>IF(OR(AH$23="",ISNA($B175)),"",IF(ISBLANK($B175),"",IFERROR(_xll.BDP(TICKER,"DEEP_MEASURE_PERIOD_BROKER_VALUE","DEEP_MEASURE_ID_OVERRIDE",$C175,"DEEP_BROKER_ID_OVERRIDE",AH$24,"DEEP_PERIOD_OVERRIDE",$H$19)*1,"")))</f>
        <v/>
      </c>
      <c r="AI175" t="str">
        <f>IF(OR(AI$23="",ISNA($B175)),"",IF(ISBLANK($B175),"",IFERROR(_xll.BDP(TICKER,"DEEP_MEASURE_PERIOD_BROKER_VALUE","DEEP_MEASURE_ID_OVERRIDE",$C175,"DEEP_BROKER_ID_OVERRIDE",AI$24,"DEEP_PERIOD_OVERRIDE",$H$19)*1,"")))</f>
        <v/>
      </c>
      <c r="AJ175" t="str">
        <f>IF(OR(AJ$23="",ISNA($B175)),"",IF(ISBLANK($B175),"",IFERROR(_xll.BDP(TICKER,"DEEP_MEASURE_PERIOD_BROKER_VALUE","DEEP_MEASURE_ID_OVERRIDE",$C175,"DEEP_BROKER_ID_OVERRIDE",AJ$24,"DEEP_PERIOD_OVERRIDE",$H$19)*1,"")))</f>
        <v/>
      </c>
      <c r="AK175" t="str">
        <f>IF(OR(AK$23="",ISNA($B175)),"",IF(ISBLANK($B175),"",IFERROR(_xll.BDP(TICKER,"DEEP_MEASURE_PERIOD_BROKER_VALUE","DEEP_MEASURE_ID_OVERRIDE",$C175,"DEEP_BROKER_ID_OVERRIDE",AK$24,"DEEP_PERIOD_OVERRIDE",$H$19)*1,"")))</f>
        <v/>
      </c>
      <c r="AL175" t="str">
        <f>IF(OR(AL$23="",ISNA($B175)),"",IF(ISBLANK($B175),"",IFERROR(_xll.BDP(TICKER,"DEEP_MEASURE_PERIOD_BROKER_VALUE","DEEP_MEASURE_ID_OVERRIDE",$C175,"DEEP_BROKER_ID_OVERRIDE",AL$24,"DEEP_PERIOD_OVERRIDE",$H$19)*1,"")))</f>
        <v/>
      </c>
      <c r="AM175" t="str">
        <f>IF(OR(AM$23="",ISNA($B175)),"",IF(ISBLANK($B175),"",IFERROR(_xll.BDP(TICKER,"DEEP_MEASURE_PERIOD_BROKER_VALUE","DEEP_MEASURE_ID_OVERRIDE",$C175,"DEEP_BROKER_ID_OVERRIDE",AM$24,"DEEP_PERIOD_OVERRIDE",$H$19)*1,"")))</f>
        <v/>
      </c>
      <c r="AN175" t="str">
        <f>IF(OR(AN$23="",ISNA($B175)),"",IF(ISBLANK($B175),"",IFERROR(_xll.BDP(TICKER,"DEEP_MEASURE_PERIOD_BROKER_VALUE","DEEP_MEASURE_ID_OVERRIDE",$C175,"DEEP_BROKER_ID_OVERRIDE",AN$24,"DEEP_PERIOD_OVERRIDE",$H$19)*1,"")))</f>
        <v/>
      </c>
      <c r="AO175" t="str">
        <f>IF(OR(AO$23="",ISNA($B175)),"",IF(ISBLANK($B175),"",IFERROR(_xll.BDP(TICKER,"DEEP_MEASURE_PERIOD_BROKER_VALUE","DEEP_MEASURE_ID_OVERRIDE",$C175,"DEEP_BROKER_ID_OVERRIDE",AO$24,"DEEP_PERIOD_OVERRIDE",$H$19)*1,"")))</f>
        <v/>
      </c>
      <c r="AP175" t="str">
        <f>IF(OR(AP$23="",ISNA($B175)),"",IF(ISBLANK($B175),"",IFERROR(_xll.BDP(TICKER,"DEEP_MEASURE_PERIOD_BROKER_VALUE","DEEP_MEASURE_ID_OVERRIDE",$C175,"DEEP_BROKER_ID_OVERRIDE",AP$24,"DEEP_PERIOD_OVERRIDE",$H$19)*1,"")))</f>
        <v/>
      </c>
      <c r="AQ175" t="str">
        <f>IF(OR(AQ$23="",ISNA($B175)),"",IF(ISBLANK($B175),"",IFERROR(_xll.BDP(TICKER,"DEEP_MEASURE_PERIOD_BROKER_VALUE","DEEP_MEASURE_ID_OVERRIDE",$C175,"DEEP_BROKER_ID_OVERRIDE",AQ$24,"DEEP_PERIOD_OVERRIDE",$H$19)*1,"")))</f>
        <v/>
      </c>
      <c r="AR175" t="str">
        <f>IF(OR(AR$23="",ISNA($B175)),"",IF(ISBLANK($B175),"",IFERROR(_xll.BDP(TICKER,"DEEP_MEASURE_PERIOD_BROKER_VALUE","DEEP_MEASURE_ID_OVERRIDE",$C175,"DEEP_BROKER_ID_OVERRIDE",AR$24,"DEEP_PERIOD_OVERRIDE",$H$19)*1,"")))</f>
        <v/>
      </c>
      <c r="AS175" t="str">
        <f>IF(OR(AS$23="",ISNA($B175)),"",IF(ISBLANK($B175),"",IFERROR(_xll.BDP(TICKER,"DEEP_MEASURE_PERIOD_BROKER_VALUE","DEEP_MEASURE_ID_OVERRIDE",$C175,"DEEP_BROKER_ID_OVERRIDE",AS$24,"DEEP_PERIOD_OVERRIDE",$H$19)*1,"")))</f>
        <v/>
      </c>
      <c r="AT175" t="str">
        <f>IF(OR(AT$23="",ISNA($B175)),"",IF(ISBLANK($B175),"",IFERROR(_xll.BDP(TICKER,"DEEP_MEASURE_PERIOD_BROKER_VALUE","DEEP_MEASURE_ID_OVERRIDE",$C175,"DEEP_BROKER_ID_OVERRIDE",AT$24,"DEEP_PERIOD_OVERRIDE",$H$19)*1,"")))</f>
        <v/>
      </c>
      <c r="AU175" t="str">
        <f>IF(OR(AU$23="",ISNA($B175)),"",IF(ISBLANK($B175),"",IFERROR(_xll.BDP(TICKER,"DEEP_MEASURE_PERIOD_BROKER_VALUE","DEEP_MEASURE_ID_OVERRIDE",$C175,"DEEP_BROKER_ID_OVERRIDE",AU$24,"DEEP_PERIOD_OVERRIDE",$H$19)*1,"")))</f>
        <v/>
      </c>
      <c r="AV175" t="str">
        <f>IF(OR(AV$23="",ISNA($B175)),"",IF(ISBLANK($B175),"",IFERROR(_xll.BDP(TICKER,"DEEP_MEASURE_PERIOD_BROKER_VALUE","DEEP_MEASURE_ID_OVERRIDE",$C175,"DEEP_BROKER_ID_OVERRIDE",AV$24,"DEEP_PERIOD_OVERRIDE",$H$19)*1,"")))</f>
        <v/>
      </c>
      <c r="AW175" t="str">
        <f>IF(OR(AW$23="",ISNA($B175)),"",IF(ISBLANK($B175),"",IFERROR(_xll.BDP(TICKER,"DEEP_MEASURE_PERIOD_BROKER_VALUE","DEEP_MEASURE_ID_OVERRIDE",$C175,"DEEP_BROKER_ID_OVERRIDE",AW$24,"DEEP_PERIOD_OVERRIDE",$H$19)*1,"")))</f>
        <v/>
      </c>
      <c r="AX175" t="str">
        <f>IF(OR(AX$23="",ISNA($B175)),"",IF(ISBLANK($B175),"",IFERROR(_xll.BDP(TICKER,"DEEP_MEASURE_PERIOD_BROKER_VALUE","DEEP_MEASURE_ID_OVERRIDE",$C175,"DEEP_BROKER_ID_OVERRIDE",AX$24,"DEEP_PERIOD_OVERRIDE",$H$19)*1,"")))</f>
        <v/>
      </c>
      <c r="AY175" t="str">
        <f>IF(OR(AY$23="",ISNA($B175)),"",IF(ISBLANK($B175),"",IFERROR(_xll.BDP(TICKER,"DEEP_MEASURE_PERIOD_BROKER_VALUE","DEEP_MEASURE_ID_OVERRIDE",$C175,"DEEP_BROKER_ID_OVERRIDE",AY$24,"DEEP_PERIOD_OVERRIDE",$H$19)*1,"")))</f>
        <v/>
      </c>
      <c r="AZ175" t="str">
        <f>IF(OR(AZ$23="",ISNA($B175)),"",IF(ISBLANK($B175),"",IFERROR(_xll.BDP(TICKER,"DEEP_MEASURE_PERIOD_BROKER_VALUE","DEEP_MEASURE_ID_OVERRIDE",$C175,"DEEP_BROKER_ID_OVERRIDE",AZ$24,"DEEP_PERIOD_OVERRIDE",$H$19)*1,"")))</f>
        <v/>
      </c>
      <c r="BA175" t="str">
        <f>IF(OR(BA$23="",ISNA($B175)),"",IF(ISBLANK($B175),"",IFERROR(_xll.BDP(TICKER,"DEEP_MEASURE_PERIOD_BROKER_VALUE","DEEP_MEASURE_ID_OVERRIDE",$C175,"DEEP_BROKER_ID_OVERRIDE",BA$24,"DEEP_PERIOD_OVERRIDE",$H$19)*1,"")))</f>
        <v/>
      </c>
      <c r="BB175" t="str">
        <f>IF(OR(BB$23="",ISNA($B175)),"",IF(ISBLANK($B175),"",IFERROR(_xll.BDP(TICKER,"DEEP_MEASURE_PERIOD_BROKER_VALUE","DEEP_MEASURE_ID_OVERRIDE",$C175,"DEEP_BROKER_ID_OVERRIDE",BB$24,"DEEP_PERIOD_OVERRIDE",$H$19)*1,"")))</f>
        <v/>
      </c>
      <c r="BC175" t="str">
        <f>IF(OR(BC$23="",ISNA($B175)),"",IF(ISBLANK($B175),"",IFERROR(_xll.BDP(TICKER,"DEEP_MEASURE_PERIOD_BROKER_VALUE","DEEP_MEASURE_ID_OVERRIDE",$C175,"DEEP_BROKER_ID_OVERRIDE",BC$24,"DEEP_PERIOD_OVERRIDE",$H$19)*1,"")))</f>
        <v/>
      </c>
      <c r="BD175" t="str">
        <f>IF(OR(BD$23="",ISNA($B175)),"",IF(ISBLANK($B175),"",IFERROR(_xll.BDP(TICKER,"DEEP_MEASURE_PERIOD_BROKER_VALUE","DEEP_MEASURE_ID_OVERRIDE",$C175,"DEEP_BROKER_ID_OVERRIDE",BD$24,"DEEP_PERIOD_OVERRIDE",$H$19)*1,"")))</f>
        <v/>
      </c>
      <c r="BE175" t="str">
        <f>IF(OR(BE$23="",ISNA($B175)),"",IF(ISBLANK($B175),"",IFERROR(_xll.BDP(TICKER,"DEEP_MEASURE_PERIOD_BROKER_VALUE","DEEP_MEASURE_ID_OVERRIDE",$C175,"DEEP_BROKER_ID_OVERRIDE",BE$24,"DEEP_PERIOD_OVERRIDE",$H$19)*1,"")))</f>
        <v/>
      </c>
      <c r="BF175" t="str">
        <f>IF(OR(BF$23="",ISNA($B175)),"",IF(ISBLANK($B175),"",IFERROR(_xll.BDP(TICKER,"DEEP_MEASURE_PERIOD_BROKER_VALUE","DEEP_MEASURE_ID_OVERRIDE",$C175,"DEEP_BROKER_ID_OVERRIDE",BF$24,"DEEP_PERIOD_OVERRIDE",$H$19)*1,"")))</f>
        <v/>
      </c>
      <c r="BG175" t="str">
        <f>IF(OR(BG$23="",ISNA($B175)),"",IF(ISBLANK($B175),"",IFERROR(_xll.BDP(TICKER,"DEEP_MEASURE_PERIOD_BROKER_VALUE","DEEP_MEASURE_ID_OVERRIDE",$C175,"DEEP_BROKER_ID_OVERRIDE",BG$24,"DEEP_PERIOD_OVERRIDE",$H$19)*1,"")))</f>
        <v/>
      </c>
      <c r="BH175" t="str">
        <f>IF(OR(BH$23="",ISNA($B175)),"",IF(ISBLANK($B175),"",IFERROR(_xll.BDP(TICKER,"DEEP_MEASURE_PERIOD_BROKER_VALUE","DEEP_MEASURE_ID_OVERRIDE",$C175,"DEEP_BROKER_ID_OVERRIDE",BH$24,"DEEP_PERIOD_OVERRIDE",$H$19)*1,"")))</f>
        <v/>
      </c>
      <c r="BI175" t="str">
        <f>IF(OR(BI$23="",ISNA($B175)),"",IF(ISBLANK($B175),"",IFERROR(_xll.BDP(TICKER,"DEEP_MEASURE_PERIOD_BROKER_VALUE","DEEP_MEASURE_ID_OVERRIDE",$C175,"DEEP_BROKER_ID_OVERRIDE",BI$24,"DEEP_PERIOD_OVERRIDE",$H$19)*1,"")))</f>
        <v/>
      </c>
      <c r="BJ175" t="str">
        <f>IF(OR(BJ$23="",ISNA($B175)),"",IF(ISBLANK($B175),"",IFERROR(_xll.BDP(TICKER,"DEEP_MEASURE_PERIOD_BROKER_VALUE","DEEP_MEASURE_ID_OVERRIDE",$C175,"DEEP_BROKER_ID_OVERRIDE",BJ$24,"DEEP_PERIOD_OVERRIDE",$H$19)*1,"")))</f>
        <v/>
      </c>
      <c r="BK175" t="str">
        <f>IF(OR(BK$23="",ISNA($B175)),"",IF(ISBLANK($B175),"",IFERROR(_xll.BDP(TICKER,"DEEP_MEASURE_PERIOD_BROKER_VALUE","DEEP_MEASURE_ID_OVERRIDE",$C175,"DEEP_BROKER_ID_OVERRIDE",BK$24,"DEEP_PERIOD_OVERRIDE",$H$19)*1,"")))</f>
        <v/>
      </c>
      <c r="BL175" t="str">
        <f>IF(OR(BL$23="",ISNA($B175)),"",IF(ISBLANK($B175),"",IFERROR(_xll.BDP(TICKER,"DEEP_MEASURE_PERIOD_BROKER_VALUE","DEEP_MEASURE_ID_OVERRIDE",$C175,"DEEP_BROKER_ID_OVERRIDE",BL$24,"DEEP_PERIOD_OVERRIDE",$H$19)*1,"")))</f>
        <v/>
      </c>
      <c r="BM175" t="str">
        <f>IF(OR(BM$23="",ISNA($B175)),"",IF(ISBLANK($B175),"",IFERROR(_xll.BDP(TICKER,"DEEP_MEASURE_PERIOD_BROKER_VALUE","DEEP_MEASURE_ID_OVERRIDE",$C175,"DEEP_BROKER_ID_OVERRIDE",BM$24,"DEEP_PERIOD_OVERRIDE",$H$19)*1,"")))</f>
        <v/>
      </c>
      <c r="BN175" t="str">
        <f>IF(OR(BN$23="",ISNA($B175)),"",IF(ISBLANK($B175),"",IFERROR(_xll.BDP(TICKER,"DEEP_MEASURE_PERIOD_BROKER_VALUE","DEEP_MEASURE_ID_OVERRIDE",$C175,"DEEP_BROKER_ID_OVERRIDE",BN$24,"DEEP_PERIOD_OVERRIDE",$H$19)*1,"")))</f>
        <v/>
      </c>
      <c r="BO175" t="str">
        <f>IF(OR(BO$23="",ISNA($B175)),"",IF(ISBLANK($B175),"",IFERROR(_xll.BDP(TICKER,"DEEP_MEASURE_PERIOD_BROKER_VALUE","DEEP_MEASURE_ID_OVERRIDE",$C175,"DEEP_BROKER_ID_OVERRIDE",BO$24,"DEEP_PERIOD_OVERRIDE",$H$19)*1,"")))</f>
        <v/>
      </c>
      <c r="BP175" t="str">
        <f>IF(OR(BP$23="",ISNA($B175)),"",IF(ISBLANK($B175),"",IFERROR(_xll.BDP(TICKER,"DEEP_MEASURE_PERIOD_BROKER_VALUE","DEEP_MEASURE_ID_OVERRIDE",$C175,"DEEP_BROKER_ID_OVERRIDE",BP$24,"DEEP_PERIOD_OVERRIDE",$H$19)*1,"")))</f>
        <v/>
      </c>
      <c r="BQ175" t="str">
        <f>IF(OR(BQ$23="",ISNA($B175)),"",IF(ISBLANK($B175),"",IFERROR(_xll.BDP(TICKER,"DEEP_MEASURE_PERIOD_BROKER_VALUE","DEEP_MEASURE_ID_OVERRIDE",$C175,"DEEP_BROKER_ID_OVERRIDE",BQ$24,"DEEP_PERIOD_OVERRIDE",$H$19)*1,"")))</f>
        <v/>
      </c>
      <c r="BR175" t="str">
        <f>IF(OR(BR$23="",ISNA($B175)),"",IF(ISBLANK($B175),"",IFERROR(_xll.BDP(TICKER,"DEEP_MEASURE_PERIOD_BROKER_VALUE","DEEP_MEASURE_ID_OVERRIDE",$C175,"DEEP_BROKER_ID_OVERRIDE",BR$24,"DEEP_PERIOD_OVERRIDE",$H$19)*1,"")))</f>
        <v/>
      </c>
      <c r="BS175" t="str">
        <f>IF(OR(BS$23="",ISNA($B175)),"",IF(ISBLANK($B175),"",IFERROR(_xll.BDP(TICKER,"DEEP_MEASURE_PERIOD_BROKER_VALUE","DEEP_MEASURE_ID_OVERRIDE",$C175,"DEEP_BROKER_ID_OVERRIDE",BS$24,"DEEP_PERIOD_OVERRIDE",$H$19)*1,"")))</f>
        <v/>
      </c>
      <c r="BT175" t="str">
        <f>IF(OR(BT$23="",ISNA($B175)),"",IF(ISBLANK($B175),"",IFERROR(_xll.BDP(TICKER,"DEEP_MEASURE_PERIOD_BROKER_VALUE","DEEP_MEASURE_ID_OVERRIDE",$C175,"DEEP_BROKER_ID_OVERRIDE",BT$24,"DEEP_PERIOD_OVERRIDE",$H$19)*1,"")))</f>
        <v/>
      </c>
      <c r="BU175" t="str">
        <f>IF(OR(BU$23="",ISNA($B175)),"",IF(ISBLANK($B175),"",IFERROR(_xll.BDP(TICKER,"DEEP_MEASURE_PERIOD_BROKER_VALUE","DEEP_MEASURE_ID_OVERRIDE",$C175,"DEEP_BROKER_ID_OVERRIDE",BU$24,"DEEP_PERIOD_OVERRIDE",$H$19)*1,"")))</f>
        <v/>
      </c>
      <c r="BV175" t="str">
        <f>IF(OR(BV$23="",ISNA($B175)),"",IF(ISBLANK($B175),"",IFERROR(_xll.BDP(TICKER,"DEEP_MEASURE_PERIOD_BROKER_VALUE","DEEP_MEASURE_ID_OVERRIDE",$C175,"DEEP_BROKER_ID_OVERRIDE",BV$24,"DEEP_PERIOD_OVERRIDE",$H$19)*1,"")))</f>
        <v/>
      </c>
      <c r="BW175" t="str">
        <f>IF(OR(BW$23="",ISNA($B175)),"",IF(ISBLANK($B175),"",IFERROR(_xll.BDP(TICKER,"DEEP_MEASURE_PERIOD_BROKER_VALUE","DEEP_MEASURE_ID_OVERRIDE",$C175,"DEEP_BROKER_ID_OVERRIDE",BW$24,"DEEP_PERIOD_OVERRIDE",$H$19)*1,"")))</f>
        <v/>
      </c>
      <c r="BX175" t="str">
        <f>IF(OR(BX$23="",ISNA($B175)),"",IF(ISBLANK($B175),"",IFERROR(_xll.BDP(TICKER,"DEEP_MEASURE_PERIOD_BROKER_VALUE","DEEP_MEASURE_ID_OVERRIDE",$C175,"DEEP_BROKER_ID_OVERRIDE",BX$24,"DEEP_PERIOD_OVERRIDE",$H$19)*1,"")))</f>
        <v/>
      </c>
      <c r="BY175" t="str">
        <f>IF(OR(BY$23="",ISNA($B175)),"",IF(ISBLANK($B175),"",IFERROR(_xll.BDP(TICKER,"DEEP_MEASURE_PERIOD_BROKER_VALUE","DEEP_MEASURE_ID_OVERRIDE",$C175,"DEEP_BROKER_ID_OVERRIDE",BY$24,"DEEP_PERIOD_OVERRIDE",$H$19)*1,"")))</f>
        <v/>
      </c>
      <c r="BZ175" t="str">
        <f>IF(OR(BZ$23="",ISNA($B175)),"",IF(ISBLANK($B175),"",IFERROR(_xll.BDP(TICKER,"DEEP_MEASURE_PERIOD_BROKER_VALUE","DEEP_MEASURE_ID_OVERRIDE",$C175,"DEEP_BROKER_ID_OVERRIDE",BZ$24,"DEEP_PERIOD_OVERRIDE",$H$19)*1,"")))</f>
        <v/>
      </c>
    </row>
    <row r="176" spans="2:78" x14ac:dyDescent="0.25">
      <c r="B176" t="s">
        <v>53</v>
      </c>
      <c r="C176">
        <v>3226</v>
      </c>
      <c r="H176" t="str">
        <f t="shared" si="3"/>
        <v>Liabilities &amp; Shareholders' Equity &gt; Current Liabilities &gt; Deferred Merchant Payable</v>
      </c>
      <c r="I176" t="str">
        <f>IF(OR(I$23="",ISNA($B176)),"",IF(ISBLANK($B176),"",IFERROR(_xll.BDP(TICKER,"DEEP_MEASURE_PERIOD_BROKER_VALUE","DEEP_MEASURE_ID_OVERRIDE",$C176,"DEEP_PERIOD_OVERRIDE",$H$19)*1,"")))</f>
        <v/>
      </c>
      <c r="J176" t="e">
        <f>IF(OR(J$23="",ISNA($B176)),"",IF(ISBLANK($B176),"",IFERROR(_xll.BDP(TICKER,"DEEP_MEASURE_PERIOD_BROKER_VALUE","DEEP_MEASURE_ID_OVERRIDE",$C176,"DEEP_BROKER_ID_OVERRIDE",J$24,"DEEP_PERIOD_OVERRIDE",$H$19)*1,"")))</f>
        <v>#REF!</v>
      </c>
      <c r="K176" t="str">
        <f>IF(OR(K$23="",ISNA($B176)),"",IF(ISBLANK($B176),"",IFERROR(_xll.BDP(TICKER,"DEEP_MEASURE_PERIOD_BROKER_VALUE","DEEP_MEASURE_ID_OVERRIDE",$C176,"DEEP_BROKER_ID_OVERRIDE",K$24,"DEEP_PERIOD_OVERRIDE",$H$19)*1,"")))</f>
        <v/>
      </c>
      <c r="L176" t="str">
        <f>IF(OR(L$23="",ISNA($B176)),"",IF(ISBLANK($B176),"",IFERROR(_xll.BDP(TICKER,"DEEP_MEASURE_PERIOD_BROKER_VALUE","DEEP_MEASURE_ID_OVERRIDE",$C176,"DEEP_BROKER_ID_OVERRIDE",L$24,"DEEP_PERIOD_OVERRIDE",$H$19)*1,"")))</f>
        <v/>
      </c>
      <c r="M176" t="str">
        <f>IF(OR(M$23="",ISNA($B176)),"",IF(ISBLANK($B176),"",IFERROR(_xll.BDP(TICKER,"DEEP_MEASURE_PERIOD_BROKER_VALUE","DEEP_MEASURE_ID_OVERRIDE",$C176,"DEEP_BROKER_ID_OVERRIDE",M$24,"DEEP_PERIOD_OVERRIDE",$H$19)*1,"")))</f>
        <v/>
      </c>
      <c r="N176" t="str">
        <f>IF(OR(N$23="",ISNA($B176)),"",IF(ISBLANK($B176),"",IFERROR(_xll.BDP(TICKER,"DEEP_MEASURE_PERIOD_BROKER_VALUE","DEEP_MEASURE_ID_OVERRIDE",$C176,"DEEP_BROKER_ID_OVERRIDE",N$24,"DEEP_PERIOD_OVERRIDE",$H$19)*1,"")))</f>
        <v/>
      </c>
      <c r="O176" t="str">
        <f>IF(OR(O$23="",ISNA($B176)),"",IF(ISBLANK($B176),"",IFERROR(_xll.BDP(TICKER,"DEEP_MEASURE_PERIOD_BROKER_VALUE","DEEP_MEASURE_ID_OVERRIDE",$C176,"DEEP_BROKER_ID_OVERRIDE",O$24,"DEEP_PERIOD_OVERRIDE",$H$19)*1,"")))</f>
        <v/>
      </c>
      <c r="P176" t="str">
        <f>IF(OR(P$23="",ISNA($B176)),"",IF(ISBLANK($B176),"",IFERROR(_xll.BDP(TICKER,"DEEP_MEASURE_PERIOD_BROKER_VALUE","DEEP_MEASURE_ID_OVERRIDE",$C176,"DEEP_BROKER_ID_OVERRIDE",P$24,"DEEP_PERIOD_OVERRIDE",$H$19)*1,"")))</f>
        <v/>
      </c>
      <c r="Q176" t="str">
        <f>IF(OR(Q$23="",ISNA($B176)),"",IF(ISBLANK($B176),"",IFERROR(_xll.BDP(TICKER,"DEEP_MEASURE_PERIOD_BROKER_VALUE","DEEP_MEASURE_ID_OVERRIDE",$C176,"DEEP_BROKER_ID_OVERRIDE",Q$24,"DEEP_PERIOD_OVERRIDE",$H$19)*1,"")))</f>
        <v/>
      </c>
      <c r="R176" t="str">
        <f>IF(OR(R$23="",ISNA($B176)),"",IF(ISBLANK($B176),"",IFERROR(_xll.BDP(TICKER,"DEEP_MEASURE_PERIOD_BROKER_VALUE","DEEP_MEASURE_ID_OVERRIDE",$C176,"DEEP_BROKER_ID_OVERRIDE",R$24,"DEEP_PERIOD_OVERRIDE",$H$19)*1,"")))</f>
        <v/>
      </c>
      <c r="S176" t="str">
        <f>IF(OR(S$23="",ISNA($B176)),"",IF(ISBLANK($B176),"",IFERROR(_xll.BDP(TICKER,"DEEP_MEASURE_PERIOD_BROKER_VALUE","DEEP_MEASURE_ID_OVERRIDE",$C176,"DEEP_BROKER_ID_OVERRIDE",S$24,"DEEP_PERIOD_OVERRIDE",$H$19)*1,"")))</f>
        <v/>
      </c>
      <c r="T176" t="str">
        <f>IF(OR(T$23="",ISNA($B176)),"",IF(ISBLANK($B176),"",IFERROR(_xll.BDP(TICKER,"DEEP_MEASURE_PERIOD_BROKER_VALUE","DEEP_MEASURE_ID_OVERRIDE",$C176,"DEEP_BROKER_ID_OVERRIDE",T$24,"DEEP_PERIOD_OVERRIDE",$H$19)*1,"")))</f>
        <v/>
      </c>
      <c r="U176" t="str">
        <f>IF(OR(U$23="",ISNA($B176)),"",IF(ISBLANK($B176),"",IFERROR(_xll.BDP(TICKER,"DEEP_MEASURE_PERIOD_BROKER_VALUE","DEEP_MEASURE_ID_OVERRIDE",$C176,"DEEP_BROKER_ID_OVERRIDE",U$24,"DEEP_PERIOD_OVERRIDE",$H$19)*1,"")))</f>
        <v/>
      </c>
      <c r="V176" t="str">
        <f>IF(OR(V$23="",ISNA($B176)),"",IF(ISBLANK($B176),"",IFERROR(_xll.BDP(TICKER,"DEEP_MEASURE_PERIOD_BROKER_VALUE","DEEP_MEASURE_ID_OVERRIDE",$C176,"DEEP_BROKER_ID_OVERRIDE",V$24,"DEEP_PERIOD_OVERRIDE",$H$19)*1,"")))</f>
        <v/>
      </c>
      <c r="W176" t="str">
        <f>IF(OR(W$23="",ISNA($B176)),"",IF(ISBLANK($B176),"",IFERROR(_xll.BDP(TICKER,"DEEP_MEASURE_PERIOD_BROKER_VALUE","DEEP_MEASURE_ID_OVERRIDE",$C176,"DEEP_BROKER_ID_OVERRIDE",W$24,"DEEP_PERIOD_OVERRIDE",$H$19)*1,"")))</f>
        <v/>
      </c>
      <c r="X176" t="str">
        <f>IF(OR(X$23="",ISNA($B176)),"",IF(ISBLANK($B176),"",IFERROR(_xll.BDP(TICKER,"DEEP_MEASURE_PERIOD_BROKER_VALUE","DEEP_MEASURE_ID_OVERRIDE",$C176,"DEEP_BROKER_ID_OVERRIDE",X$24,"DEEP_PERIOD_OVERRIDE",$H$19)*1,"")))</f>
        <v/>
      </c>
      <c r="Y176" t="str">
        <f>IF(OR(Y$23="",ISNA($B176)),"",IF(ISBLANK($B176),"",IFERROR(_xll.BDP(TICKER,"DEEP_MEASURE_PERIOD_BROKER_VALUE","DEEP_MEASURE_ID_OVERRIDE",$C176,"DEEP_BROKER_ID_OVERRIDE",Y$24,"DEEP_PERIOD_OVERRIDE",$H$19)*1,"")))</f>
        <v/>
      </c>
      <c r="Z176" t="str">
        <f>IF(OR(Z$23="",ISNA($B176)),"",IF(ISBLANK($B176),"",IFERROR(_xll.BDP(TICKER,"DEEP_MEASURE_PERIOD_BROKER_VALUE","DEEP_MEASURE_ID_OVERRIDE",$C176,"DEEP_BROKER_ID_OVERRIDE",Z$24,"DEEP_PERIOD_OVERRIDE",$H$19)*1,"")))</f>
        <v/>
      </c>
      <c r="AA176" t="str">
        <f>IF(OR(AA$23="",ISNA($B176)),"",IF(ISBLANK($B176),"",IFERROR(_xll.BDP(TICKER,"DEEP_MEASURE_PERIOD_BROKER_VALUE","DEEP_MEASURE_ID_OVERRIDE",$C176,"DEEP_BROKER_ID_OVERRIDE",AA$24,"DEEP_PERIOD_OVERRIDE",$H$19)*1,"")))</f>
        <v/>
      </c>
      <c r="AB176" t="str">
        <f>IF(OR(AB$23="",ISNA($B176)),"",IF(ISBLANK($B176),"",IFERROR(_xll.BDP(TICKER,"DEEP_MEASURE_PERIOD_BROKER_VALUE","DEEP_MEASURE_ID_OVERRIDE",$C176,"DEEP_BROKER_ID_OVERRIDE",AB$24,"DEEP_PERIOD_OVERRIDE",$H$19)*1,"")))</f>
        <v/>
      </c>
      <c r="AC176" t="str">
        <f>IF(OR(AC$23="",ISNA($B176)),"",IF(ISBLANK($B176),"",IFERROR(_xll.BDP(TICKER,"DEEP_MEASURE_PERIOD_BROKER_VALUE","DEEP_MEASURE_ID_OVERRIDE",$C176,"DEEP_BROKER_ID_OVERRIDE",AC$24,"DEEP_PERIOD_OVERRIDE",$H$19)*1,"")))</f>
        <v/>
      </c>
      <c r="AD176" t="str">
        <f>IF(OR(AD$23="",ISNA($B176)),"",IF(ISBLANK($B176),"",IFERROR(_xll.BDP(TICKER,"DEEP_MEASURE_PERIOD_BROKER_VALUE","DEEP_MEASURE_ID_OVERRIDE",$C176,"DEEP_BROKER_ID_OVERRIDE",AD$24,"DEEP_PERIOD_OVERRIDE",$H$19)*1,"")))</f>
        <v/>
      </c>
      <c r="AE176" t="str">
        <f>IF(OR(AE$23="",ISNA($B176)),"",IF(ISBLANK($B176),"",IFERROR(_xll.BDP(TICKER,"DEEP_MEASURE_PERIOD_BROKER_VALUE","DEEP_MEASURE_ID_OVERRIDE",$C176,"DEEP_BROKER_ID_OVERRIDE",AE$24,"DEEP_PERIOD_OVERRIDE",$H$19)*1,"")))</f>
        <v/>
      </c>
      <c r="AF176" t="str">
        <f>IF(OR(AF$23="",ISNA($B176)),"",IF(ISBLANK($B176),"",IFERROR(_xll.BDP(TICKER,"DEEP_MEASURE_PERIOD_BROKER_VALUE","DEEP_MEASURE_ID_OVERRIDE",$C176,"DEEP_BROKER_ID_OVERRIDE",AF$24,"DEEP_PERIOD_OVERRIDE",$H$19)*1,"")))</f>
        <v/>
      </c>
      <c r="AG176" t="str">
        <f>IF(OR(AG$23="",ISNA($B176)),"",IF(ISBLANK($B176),"",IFERROR(_xll.BDP(TICKER,"DEEP_MEASURE_PERIOD_BROKER_VALUE","DEEP_MEASURE_ID_OVERRIDE",$C176,"DEEP_BROKER_ID_OVERRIDE",AG$24,"DEEP_PERIOD_OVERRIDE",$H$19)*1,"")))</f>
        <v/>
      </c>
      <c r="AH176" t="str">
        <f>IF(OR(AH$23="",ISNA($B176)),"",IF(ISBLANK($B176),"",IFERROR(_xll.BDP(TICKER,"DEEP_MEASURE_PERIOD_BROKER_VALUE","DEEP_MEASURE_ID_OVERRIDE",$C176,"DEEP_BROKER_ID_OVERRIDE",AH$24,"DEEP_PERIOD_OVERRIDE",$H$19)*1,"")))</f>
        <v/>
      </c>
      <c r="AI176" t="str">
        <f>IF(OR(AI$23="",ISNA($B176)),"",IF(ISBLANK($B176),"",IFERROR(_xll.BDP(TICKER,"DEEP_MEASURE_PERIOD_BROKER_VALUE","DEEP_MEASURE_ID_OVERRIDE",$C176,"DEEP_BROKER_ID_OVERRIDE",AI$24,"DEEP_PERIOD_OVERRIDE",$H$19)*1,"")))</f>
        <v/>
      </c>
      <c r="AJ176" t="str">
        <f>IF(OR(AJ$23="",ISNA($B176)),"",IF(ISBLANK($B176),"",IFERROR(_xll.BDP(TICKER,"DEEP_MEASURE_PERIOD_BROKER_VALUE","DEEP_MEASURE_ID_OVERRIDE",$C176,"DEEP_BROKER_ID_OVERRIDE",AJ$24,"DEEP_PERIOD_OVERRIDE",$H$19)*1,"")))</f>
        <v/>
      </c>
      <c r="AK176" t="str">
        <f>IF(OR(AK$23="",ISNA($B176)),"",IF(ISBLANK($B176),"",IFERROR(_xll.BDP(TICKER,"DEEP_MEASURE_PERIOD_BROKER_VALUE","DEEP_MEASURE_ID_OVERRIDE",$C176,"DEEP_BROKER_ID_OVERRIDE",AK$24,"DEEP_PERIOD_OVERRIDE",$H$19)*1,"")))</f>
        <v/>
      </c>
      <c r="AL176" t="str">
        <f>IF(OR(AL$23="",ISNA($B176)),"",IF(ISBLANK($B176),"",IFERROR(_xll.BDP(TICKER,"DEEP_MEASURE_PERIOD_BROKER_VALUE","DEEP_MEASURE_ID_OVERRIDE",$C176,"DEEP_BROKER_ID_OVERRIDE",AL$24,"DEEP_PERIOD_OVERRIDE",$H$19)*1,"")))</f>
        <v/>
      </c>
      <c r="AM176" t="str">
        <f>IF(OR(AM$23="",ISNA($B176)),"",IF(ISBLANK($B176),"",IFERROR(_xll.BDP(TICKER,"DEEP_MEASURE_PERIOD_BROKER_VALUE","DEEP_MEASURE_ID_OVERRIDE",$C176,"DEEP_BROKER_ID_OVERRIDE",AM$24,"DEEP_PERIOD_OVERRIDE",$H$19)*1,"")))</f>
        <v/>
      </c>
      <c r="AN176" t="str">
        <f>IF(OR(AN$23="",ISNA($B176)),"",IF(ISBLANK($B176),"",IFERROR(_xll.BDP(TICKER,"DEEP_MEASURE_PERIOD_BROKER_VALUE","DEEP_MEASURE_ID_OVERRIDE",$C176,"DEEP_BROKER_ID_OVERRIDE",AN$24,"DEEP_PERIOD_OVERRIDE",$H$19)*1,"")))</f>
        <v/>
      </c>
      <c r="AO176" t="str">
        <f>IF(OR(AO$23="",ISNA($B176)),"",IF(ISBLANK($B176),"",IFERROR(_xll.BDP(TICKER,"DEEP_MEASURE_PERIOD_BROKER_VALUE","DEEP_MEASURE_ID_OVERRIDE",$C176,"DEEP_BROKER_ID_OVERRIDE",AO$24,"DEEP_PERIOD_OVERRIDE",$H$19)*1,"")))</f>
        <v/>
      </c>
      <c r="AP176" t="str">
        <f>IF(OR(AP$23="",ISNA($B176)),"",IF(ISBLANK($B176),"",IFERROR(_xll.BDP(TICKER,"DEEP_MEASURE_PERIOD_BROKER_VALUE","DEEP_MEASURE_ID_OVERRIDE",$C176,"DEEP_BROKER_ID_OVERRIDE",AP$24,"DEEP_PERIOD_OVERRIDE",$H$19)*1,"")))</f>
        <v/>
      </c>
      <c r="AQ176" t="str">
        <f>IF(OR(AQ$23="",ISNA($B176)),"",IF(ISBLANK($B176),"",IFERROR(_xll.BDP(TICKER,"DEEP_MEASURE_PERIOD_BROKER_VALUE","DEEP_MEASURE_ID_OVERRIDE",$C176,"DEEP_BROKER_ID_OVERRIDE",AQ$24,"DEEP_PERIOD_OVERRIDE",$H$19)*1,"")))</f>
        <v/>
      </c>
      <c r="AR176" t="str">
        <f>IF(OR(AR$23="",ISNA($B176)),"",IF(ISBLANK($B176),"",IFERROR(_xll.BDP(TICKER,"DEEP_MEASURE_PERIOD_BROKER_VALUE","DEEP_MEASURE_ID_OVERRIDE",$C176,"DEEP_BROKER_ID_OVERRIDE",AR$24,"DEEP_PERIOD_OVERRIDE",$H$19)*1,"")))</f>
        <v/>
      </c>
      <c r="AS176" t="str">
        <f>IF(OR(AS$23="",ISNA($B176)),"",IF(ISBLANK($B176),"",IFERROR(_xll.BDP(TICKER,"DEEP_MEASURE_PERIOD_BROKER_VALUE","DEEP_MEASURE_ID_OVERRIDE",$C176,"DEEP_BROKER_ID_OVERRIDE",AS$24,"DEEP_PERIOD_OVERRIDE",$H$19)*1,"")))</f>
        <v/>
      </c>
      <c r="AT176" t="str">
        <f>IF(OR(AT$23="",ISNA($B176)),"",IF(ISBLANK($B176),"",IFERROR(_xll.BDP(TICKER,"DEEP_MEASURE_PERIOD_BROKER_VALUE","DEEP_MEASURE_ID_OVERRIDE",$C176,"DEEP_BROKER_ID_OVERRIDE",AT$24,"DEEP_PERIOD_OVERRIDE",$H$19)*1,"")))</f>
        <v/>
      </c>
      <c r="AU176" t="str">
        <f>IF(OR(AU$23="",ISNA($B176)),"",IF(ISBLANK($B176),"",IFERROR(_xll.BDP(TICKER,"DEEP_MEASURE_PERIOD_BROKER_VALUE","DEEP_MEASURE_ID_OVERRIDE",$C176,"DEEP_BROKER_ID_OVERRIDE",AU$24,"DEEP_PERIOD_OVERRIDE",$H$19)*1,"")))</f>
        <v/>
      </c>
      <c r="AV176" t="str">
        <f>IF(OR(AV$23="",ISNA($B176)),"",IF(ISBLANK($B176),"",IFERROR(_xll.BDP(TICKER,"DEEP_MEASURE_PERIOD_BROKER_VALUE","DEEP_MEASURE_ID_OVERRIDE",$C176,"DEEP_BROKER_ID_OVERRIDE",AV$24,"DEEP_PERIOD_OVERRIDE",$H$19)*1,"")))</f>
        <v/>
      </c>
      <c r="AW176" t="str">
        <f>IF(OR(AW$23="",ISNA($B176)),"",IF(ISBLANK($B176),"",IFERROR(_xll.BDP(TICKER,"DEEP_MEASURE_PERIOD_BROKER_VALUE","DEEP_MEASURE_ID_OVERRIDE",$C176,"DEEP_BROKER_ID_OVERRIDE",AW$24,"DEEP_PERIOD_OVERRIDE",$H$19)*1,"")))</f>
        <v/>
      </c>
      <c r="AX176" t="str">
        <f>IF(OR(AX$23="",ISNA($B176)),"",IF(ISBLANK($B176),"",IFERROR(_xll.BDP(TICKER,"DEEP_MEASURE_PERIOD_BROKER_VALUE","DEEP_MEASURE_ID_OVERRIDE",$C176,"DEEP_BROKER_ID_OVERRIDE",AX$24,"DEEP_PERIOD_OVERRIDE",$H$19)*1,"")))</f>
        <v/>
      </c>
      <c r="AY176" t="str">
        <f>IF(OR(AY$23="",ISNA($B176)),"",IF(ISBLANK($B176),"",IFERROR(_xll.BDP(TICKER,"DEEP_MEASURE_PERIOD_BROKER_VALUE","DEEP_MEASURE_ID_OVERRIDE",$C176,"DEEP_BROKER_ID_OVERRIDE",AY$24,"DEEP_PERIOD_OVERRIDE",$H$19)*1,"")))</f>
        <v/>
      </c>
      <c r="AZ176" t="str">
        <f>IF(OR(AZ$23="",ISNA($B176)),"",IF(ISBLANK($B176),"",IFERROR(_xll.BDP(TICKER,"DEEP_MEASURE_PERIOD_BROKER_VALUE","DEEP_MEASURE_ID_OVERRIDE",$C176,"DEEP_BROKER_ID_OVERRIDE",AZ$24,"DEEP_PERIOD_OVERRIDE",$H$19)*1,"")))</f>
        <v/>
      </c>
      <c r="BA176" t="str">
        <f>IF(OR(BA$23="",ISNA($B176)),"",IF(ISBLANK($B176),"",IFERROR(_xll.BDP(TICKER,"DEEP_MEASURE_PERIOD_BROKER_VALUE","DEEP_MEASURE_ID_OVERRIDE",$C176,"DEEP_BROKER_ID_OVERRIDE",BA$24,"DEEP_PERIOD_OVERRIDE",$H$19)*1,"")))</f>
        <v/>
      </c>
      <c r="BB176" t="str">
        <f>IF(OR(BB$23="",ISNA($B176)),"",IF(ISBLANK($B176),"",IFERROR(_xll.BDP(TICKER,"DEEP_MEASURE_PERIOD_BROKER_VALUE","DEEP_MEASURE_ID_OVERRIDE",$C176,"DEEP_BROKER_ID_OVERRIDE",BB$24,"DEEP_PERIOD_OVERRIDE",$H$19)*1,"")))</f>
        <v/>
      </c>
      <c r="BC176" t="str">
        <f>IF(OR(BC$23="",ISNA($B176)),"",IF(ISBLANK($B176),"",IFERROR(_xll.BDP(TICKER,"DEEP_MEASURE_PERIOD_BROKER_VALUE","DEEP_MEASURE_ID_OVERRIDE",$C176,"DEEP_BROKER_ID_OVERRIDE",BC$24,"DEEP_PERIOD_OVERRIDE",$H$19)*1,"")))</f>
        <v/>
      </c>
      <c r="BD176" t="str">
        <f>IF(OR(BD$23="",ISNA($B176)),"",IF(ISBLANK($B176),"",IFERROR(_xll.BDP(TICKER,"DEEP_MEASURE_PERIOD_BROKER_VALUE","DEEP_MEASURE_ID_OVERRIDE",$C176,"DEEP_BROKER_ID_OVERRIDE",BD$24,"DEEP_PERIOD_OVERRIDE",$H$19)*1,"")))</f>
        <v/>
      </c>
      <c r="BE176" t="str">
        <f>IF(OR(BE$23="",ISNA($B176)),"",IF(ISBLANK($B176),"",IFERROR(_xll.BDP(TICKER,"DEEP_MEASURE_PERIOD_BROKER_VALUE","DEEP_MEASURE_ID_OVERRIDE",$C176,"DEEP_BROKER_ID_OVERRIDE",BE$24,"DEEP_PERIOD_OVERRIDE",$H$19)*1,"")))</f>
        <v/>
      </c>
      <c r="BF176" t="str">
        <f>IF(OR(BF$23="",ISNA($B176)),"",IF(ISBLANK($B176),"",IFERROR(_xll.BDP(TICKER,"DEEP_MEASURE_PERIOD_BROKER_VALUE","DEEP_MEASURE_ID_OVERRIDE",$C176,"DEEP_BROKER_ID_OVERRIDE",BF$24,"DEEP_PERIOD_OVERRIDE",$H$19)*1,"")))</f>
        <v/>
      </c>
      <c r="BG176" t="str">
        <f>IF(OR(BG$23="",ISNA($B176)),"",IF(ISBLANK($B176),"",IFERROR(_xll.BDP(TICKER,"DEEP_MEASURE_PERIOD_BROKER_VALUE","DEEP_MEASURE_ID_OVERRIDE",$C176,"DEEP_BROKER_ID_OVERRIDE",BG$24,"DEEP_PERIOD_OVERRIDE",$H$19)*1,"")))</f>
        <v/>
      </c>
      <c r="BH176" t="str">
        <f>IF(OR(BH$23="",ISNA($B176)),"",IF(ISBLANK($B176),"",IFERROR(_xll.BDP(TICKER,"DEEP_MEASURE_PERIOD_BROKER_VALUE","DEEP_MEASURE_ID_OVERRIDE",$C176,"DEEP_BROKER_ID_OVERRIDE",BH$24,"DEEP_PERIOD_OVERRIDE",$H$19)*1,"")))</f>
        <v/>
      </c>
      <c r="BI176" t="str">
        <f>IF(OR(BI$23="",ISNA($B176)),"",IF(ISBLANK($B176),"",IFERROR(_xll.BDP(TICKER,"DEEP_MEASURE_PERIOD_BROKER_VALUE","DEEP_MEASURE_ID_OVERRIDE",$C176,"DEEP_BROKER_ID_OVERRIDE",BI$24,"DEEP_PERIOD_OVERRIDE",$H$19)*1,"")))</f>
        <v/>
      </c>
      <c r="BJ176" t="str">
        <f>IF(OR(BJ$23="",ISNA($B176)),"",IF(ISBLANK($B176),"",IFERROR(_xll.BDP(TICKER,"DEEP_MEASURE_PERIOD_BROKER_VALUE","DEEP_MEASURE_ID_OVERRIDE",$C176,"DEEP_BROKER_ID_OVERRIDE",BJ$24,"DEEP_PERIOD_OVERRIDE",$H$19)*1,"")))</f>
        <v/>
      </c>
      <c r="BK176" t="str">
        <f>IF(OR(BK$23="",ISNA($B176)),"",IF(ISBLANK($B176),"",IFERROR(_xll.BDP(TICKER,"DEEP_MEASURE_PERIOD_BROKER_VALUE","DEEP_MEASURE_ID_OVERRIDE",$C176,"DEEP_BROKER_ID_OVERRIDE",BK$24,"DEEP_PERIOD_OVERRIDE",$H$19)*1,"")))</f>
        <v/>
      </c>
      <c r="BL176" t="str">
        <f>IF(OR(BL$23="",ISNA($B176)),"",IF(ISBLANK($B176),"",IFERROR(_xll.BDP(TICKER,"DEEP_MEASURE_PERIOD_BROKER_VALUE","DEEP_MEASURE_ID_OVERRIDE",$C176,"DEEP_BROKER_ID_OVERRIDE",BL$24,"DEEP_PERIOD_OVERRIDE",$H$19)*1,"")))</f>
        <v/>
      </c>
      <c r="BM176" t="str">
        <f>IF(OR(BM$23="",ISNA($B176)),"",IF(ISBLANK($B176),"",IFERROR(_xll.BDP(TICKER,"DEEP_MEASURE_PERIOD_BROKER_VALUE","DEEP_MEASURE_ID_OVERRIDE",$C176,"DEEP_BROKER_ID_OVERRIDE",BM$24,"DEEP_PERIOD_OVERRIDE",$H$19)*1,"")))</f>
        <v/>
      </c>
      <c r="BN176" t="str">
        <f>IF(OR(BN$23="",ISNA($B176)),"",IF(ISBLANK($B176),"",IFERROR(_xll.BDP(TICKER,"DEEP_MEASURE_PERIOD_BROKER_VALUE","DEEP_MEASURE_ID_OVERRIDE",$C176,"DEEP_BROKER_ID_OVERRIDE",BN$24,"DEEP_PERIOD_OVERRIDE",$H$19)*1,"")))</f>
        <v/>
      </c>
      <c r="BO176" t="str">
        <f>IF(OR(BO$23="",ISNA($B176)),"",IF(ISBLANK($B176),"",IFERROR(_xll.BDP(TICKER,"DEEP_MEASURE_PERIOD_BROKER_VALUE","DEEP_MEASURE_ID_OVERRIDE",$C176,"DEEP_BROKER_ID_OVERRIDE",BO$24,"DEEP_PERIOD_OVERRIDE",$H$19)*1,"")))</f>
        <v/>
      </c>
      <c r="BP176" t="str">
        <f>IF(OR(BP$23="",ISNA($B176)),"",IF(ISBLANK($B176),"",IFERROR(_xll.BDP(TICKER,"DEEP_MEASURE_PERIOD_BROKER_VALUE","DEEP_MEASURE_ID_OVERRIDE",$C176,"DEEP_BROKER_ID_OVERRIDE",BP$24,"DEEP_PERIOD_OVERRIDE",$H$19)*1,"")))</f>
        <v/>
      </c>
      <c r="BQ176" t="str">
        <f>IF(OR(BQ$23="",ISNA($B176)),"",IF(ISBLANK($B176),"",IFERROR(_xll.BDP(TICKER,"DEEP_MEASURE_PERIOD_BROKER_VALUE","DEEP_MEASURE_ID_OVERRIDE",$C176,"DEEP_BROKER_ID_OVERRIDE",BQ$24,"DEEP_PERIOD_OVERRIDE",$H$19)*1,"")))</f>
        <v/>
      </c>
      <c r="BR176" t="str">
        <f>IF(OR(BR$23="",ISNA($B176)),"",IF(ISBLANK($B176),"",IFERROR(_xll.BDP(TICKER,"DEEP_MEASURE_PERIOD_BROKER_VALUE","DEEP_MEASURE_ID_OVERRIDE",$C176,"DEEP_BROKER_ID_OVERRIDE",BR$24,"DEEP_PERIOD_OVERRIDE",$H$19)*1,"")))</f>
        <v/>
      </c>
      <c r="BS176" t="str">
        <f>IF(OR(BS$23="",ISNA($B176)),"",IF(ISBLANK($B176),"",IFERROR(_xll.BDP(TICKER,"DEEP_MEASURE_PERIOD_BROKER_VALUE","DEEP_MEASURE_ID_OVERRIDE",$C176,"DEEP_BROKER_ID_OVERRIDE",BS$24,"DEEP_PERIOD_OVERRIDE",$H$19)*1,"")))</f>
        <v/>
      </c>
      <c r="BT176" t="str">
        <f>IF(OR(BT$23="",ISNA($B176)),"",IF(ISBLANK($B176),"",IFERROR(_xll.BDP(TICKER,"DEEP_MEASURE_PERIOD_BROKER_VALUE","DEEP_MEASURE_ID_OVERRIDE",$C176,"DEEP_BROKER_ID_OVERRIDE",BT$24,"DEEP_PERIOD_OVERRIDE",$H$19)*1,"")))</f>
        <v/>
      </c>
      <c r="BU176" t="str">
        <f>IF(OR(BU$23="",ISNA($B176)),"",IF(ISBLANK($B176),"",IFERROR(_xll.BDP(TICKER,"DEEP_MEASURE_PERIOD_BROKER_VALUE","DEEP_MEASURE_ID_OVERRIDE",$C176,"DEEP_BROKER_ID_OVERRIDE",BU$24,"DEEP_PERIOD_OVERRIDE",$H$19)*1,"")))</f>
        <v/>
      </c>
      <c r="BV176" t="str">
        <f>IF(OR(BV$23="",ISNA($B176)),"",IF(ISBLANK($B176),"",IFERROR(_xll.BDP(TICKER,"DEEP_MEASURE_PERIOD_BROKER_VALUE","DEEP_MEASURE_ID_OVERRIDE",$C176,"DEEP_BROKER_ID_OVERRIDE",BV$24,"DEEP_PERIOD_OVERRIDE",$H$19)*1,"")))</f>
        <v/>
      </c>
      <c r="BW176" t="str">
        <f>IF(OR(BW$23="",ISNA($B176)),"",IF(ISBLANK($B176),"",IFERROR(_xll.BDP(TICKER,"DEEP_MEASURE_PERIOD_BROKER_VALUE","DEEP_MEASURE_ID_OVERRIDE",$C176,"DEEP_BROKER_ID_OVERRIDE",BW$24,"DEEP_PERIOD_OVERRIDE",$H$19)*1,"")))</f>
        <v/>
      </c>
      <c r="BX176" t="str">
        <f>IF(OR(BX$23="",ISNA($B176)),"",IF(ISBLANK($B176),"",IFERROR(_xll.BDP(TICKER,"DEEP_MEASURE_PERIOD_BROKER_VALUE","DEEP_MEASURE_ID_OVERRIDE",$C176,"DEEP_BROKER_ID_OVERRIDE",BX$24,"DEEP_PERIOD_OVERRIDE",$H$19)*1,"")))</f>
        <v/>
      </c>
      <c r="BY176" t="str">
        <f>IF(OR(BY$23="",ISNA($B176)),"",IF(ISBLANK($B176),"",IFERROR(_xll.BDP(TICKER,"DEEP_MEASURE_PERIOD_BROKER_VALUE","DEEP_MEASURE_ID_OVERRIDE",$C176,"DEEP_BROKER_ID_OVERRIDE",BY$24,"DEEP_PERIOD_OVERRIDE",$H$19)*1,"")))</f>
        <v/>
      </c>
      <c r="BZ176" t="str">
        <f>IF(OR(BZ$23="",ISNA($B176)),"",IF(ISBLANK($B176),"",IFERROR(_xll.BDP(TICKER,"DEEP_MEASURE_PERIOD_BROKER_VALUE","DEEP_MEASURE_ID_OVERRIDE",$C176,"DEEP_BROKER_ID_OVERRIDE",BZ$24,"DEEP_PERIOD_OVERRIDE",$H$19)*1,"")))</f>
        <v/>
      </c>
    </row>
    <row r="177" spans="2:78" x14ac:dyDescent="0.25">
      <c r="B177" t="s">
        <v>54</v>
      </c>
      <c r="C177">
        <v>488</v>
      </c>
      <c r="H177" t="str">
        <f t="shared" si="3"/>
        <v>Liabilities &amp; Shareholders' Equity &gt; Current Liabilities &gt; Deferred Revenue</v>
      </c>
      <c r="I177" t="str">
        <f>IF(OR(I$23="",ISNA($B177)),"",IF(ISBLANK($B177),"",IFERROR(_xll.BDP(TICKER,"DEEP_MEASURE_PERIOD_BROKER_VALUE","DEEP_MEASURE_ID_OVERRIDE",$C177,"DEEP_PERIOD_OVERRIDE",$H$19)*1,"")))</f>
        <v/>
      </c>
      <c r="J177" t="e">
        <f>IF(OR(J$23="",ISNA($B177)),"",IF(ISBLANK($B177),"",IFERROR(_xll.BDP(TICKER,"DEEP_MEASURE_PERIOD_BROKER_VALUE","DEEP_MEASURE_ID_OVERRIDE",$C177,"DEEP_BROKER_ID_OVERRIDE",J$24,"DEEP_PERIOD_OVERRIDE",$H$19)*1,"")))</f>
        <v>#REF!</v>
      </c>
      <c r="K177" t="str">
        <f>IF(OR(K$23="",ISNA($B177)),"",IF(ISBLANK($B177),"",IFERROR(_xll.BDP(TICKER,"DEEP_MEASURE_PERIOD_BROKER_VALUE","DEEP_MEASURE_ID_OVERRIDE",$C177,"DEEP_BROKER_ID_OVERRIDE",K$24,"DEEP_PERIOD_OVERRIDE",$H$19)*1,"")))</f>
        <v/>
      </c>
      <c r="L177" t="str">
        <f>IF(OR(L$23="",ISNA($B177)),"",IF(ISBLANK($B177),"",IFERROR(_xll.BDP(TICKER,"DEEP_MEASURE_PERIOD_BROKER_VALUE","DEEP_MEASURE_ID_OVERRIDE",$C177,"DEEP_BROKER_ID_OVERRIDE",L$24,"DEEP_PERIOD_OVERRIDE",$H$19)*1,"")))</f>
        <v/>
      </c>
      <c r="M177" t="str">
        <f>IF(OR(M$23="",ISNA($B177)),"",IF(ISBLANK($B177),"",IFERROR(_xll.BDP(TICKER,"DEEP_MEASURE_PERIOD_BROKER_VALUE","DEEP_MEASURE_ID_OVERRIDE",$C177,"DEEP_BROKER_ID_OVERRIDE",M$24,"DEEP_PERIOD_OVERRIDE",$H$19)*1,"")))</f>
        <v/>
      </c>
      <c r="N177" t="str">
        <f>IF(OR(N$23="",ISNA($B177)),"",IF(ISBLANK($B177),"",IFERROR(_xll.BDP(TICKER,"DEEP_MEASURE_PERIOD_BROKER_VALUE","DEEP_MEASURE_ID_OVERRIDE",$C177,"DEEP_BROKER_ID_OVERRIDE",N$24,"DEEP_PERIOD_OVERRIDE",$H$19)*1,"")))</f>
        <v/>
      </c>
      <c r="O177" t="str">
        <f>IF(OR(O$23="",ISNA($B177)),"",IF(ISBLANK($B177),"",IFERROR(_xll.BDP(TICKER,"DEEP_MEASURE_PERIOD_BROKER_VALUE","DEEP_MEASURE_ID_OVERRIDE",$C177,"DEEP_BROKER_ID_OVERRIDE",O$24,"DEEP_PERIOD_OVERRIDE",$H$19)*1,"")))</f>
        <v/>
      </c>
      <c r="P177" t="str">
        <f>IF(OR(P$23="",ISNA($B177)),"",IF(ISBLANK($B177),"",IFERROR(_xll.BDP(TICKER,"DEEP_MEASURE_PERIOD_BROKER_VALUE","DEEP_MEASURE_ID_OVERRIDE",$C177,"DEEP_BROKER_ID_OVERRIDE",P$24,"DEEP_PERIOD_OVERRIDE",$H$19)*1,"")))</f>
        <v/>
      </c>
      <c r="Q177" t="str">
        <f>IF(OR(Q$23="",ISNA($B177)),"",IF(ISBLANK($B177),"",IFERROR(_xll.BDP(TICKER,"DEEP_MEASURE_PERIOD_BROKER_VALUE","DEEP_MEASURE_ID_OVERRIDE",$C177,"DEEP_BROKER_ID_OVERRIDE",Q$24,"DEEP_PERIOD_OVERRIDE",$H$19)*1,"")))</f>
        <v/>
      </c>
      <c r="R177" t="str">
        <f>IF(OR(R$23="",ISNA($B177)),"",IF(ISBLANK($B177),"",IFERROR(_xll.BDP(TICKER,"DEEP_MEASURE_PERIOD_BROKER_VALUE","DEEP_MEASURE_ID_OVERRIDE",$C177,"DEEP_BROKER_ID_OVERRIDE",R$24,"DEEP_PERIOD_OVERRIDE",$H$19)*1,"")))</f>
        <v/>
      </c>
      <c r="S177" t="str">
        <f>IF(OR(S$23="",ISNA($B177)),"",IF(ISBLANK($B177),"",IFERROR(_xll.BDP(TICKER,"DEEP_MEASURE_PERIOD_BROKER_VALUE","DEEP_MEASURE_ID_OVERRIDE",$C177,"DEEP_BROKER_ID_OVERRIDE",S$24,"DEEP_PERIOD_OVERRIDE",$H$19)*1,"")))</f>
        <v/>
      </c>
      <c r="T177" t="str">
        <f>IF(OR(T$23="",ISNA($B177)),"",IF(ISBLANK($B177),"",IFERROR(_xll.BDP(TICKER,"DEEP_MEASURE_PERIOD_BROKER_VALUE","DEEP_MEASURE_ID_OVERRIDE",$C177,"DEEP_BROKER_ID_OVERRIDE",T$24,"DEEP_PERIOD_OVERRIDE",$H$19)*1,"")))</f>
        <v/>
      </c>
      <c r="U177" t="str">
        <f>IF(OR(U$23="",ISNA($B177)),"",IF(ISBLANK($B177),"",IFERROR(_xll.BDP(TICKER,"DEEP_MEASURE_PERIOD_BROKER_VALUE","DEEP_MEASURE_ID_OVERRIDE",$C177,"DEEP_BROKER_ID_OVERRIDE",U$24,"DEEP_PERIOD_OVERRIDE",$H$19)*1,"")))</f>
        <v/>
      </c>
      <c r="V177" t="str">
        <f>IF(OR(V$23="",ISNA($B177)),"",IF(ISBLANK($B177),"",IFERROR(_xll.BDP(TICKER,"DEEP_MEASURE_PERIOD_BROKER_VALUE","DEEP_MEASURE_ID_OVERRIDE",$C177,"DEEP_BROKER_ID_OVERRIDE",V$24,"DEEP_PERIOD_OVERRIDE",$H$19)*1,"")))</f>
        <v/>
      </c>
      <c r="W177" t="str">
        <f>IF(OR(W$23="",ISNA($B177)),"",IF(ISBLANK($B177),"",IFERROR(_xll.BDP(TICKER,"DEEP_MEASURE_PERIOD_BROKER_VALUE","DEEP_MEASURE_ID_OVERRIDE",$C177,"DEEP_BROKER_ID_OVERRIDE",W$24,"DEEP_PERIOD_OVERRIDE",$H$19)*1,"")))</f>
        <v/>
      </c>
      <c r="X177" t="str">
        <f>IF(OR(X$23="",ISNA($B177)),"",IF(ISBLANK($B177),"",IFERROR(_xll.BDP(TICKER,"DEEP_MEASURE_PERIOD_BROKER_VALUE","DEEP_MEASURE_ID_OVERRIDE",$C177,"DEEP_BROKER_ID_OVERRIDE",X$24,"DEEP_PERIOD_OVERRIDE",$H$19)*1,"")))</f>
        <v/>
      </c>
      <c r="Y177" t="str">
        <f>IF(OR(Y$23="",ISNA($B177)),"",IF(ISBLANK($B177),"",IFERROR(_xll.BDP(TICKER,"DEEP_MEASURE_PERIOD_BROKER_VALUE","DEEP_MEASURE_ID_OVERRIDE",$C177,"DEEP_BROKER_ID_OVERRIDE",Y$24,"DEEP_PERIOD_OVERRIDE",$H$19)*1,"")))</f>
        <v/>
      </c>
      <c r="Z177" t="str">
        <f>IF(OR(Z$23="",ISNA($B177)),"",IF(ISBLANK($B177),"",IFERROR(_xll.BDP(TICKER,"DEEP_MEASURE_PERIOD_BROKER_VALUE","DEEP_MEASURE_ID_OVERRIDE",$C177,"DEEP_BROKER_ID_OVERRIDE",Z$24,"DEEP_PERIOD_OVERRIDE",$H$19)*1,"")))</f>
        <v/>
      </c>
      <c r="AA177" t="str">
        <f>IF(OR(AA$23="",ISNA($B177)),"",IF(ISBLANK($B177),"",IFERROR(_xll.BDP(TICKER,"DEEP_MEASURE_PERIOD_BROKER_VALUE","DEEP_MEASURE_ID_OVERRIDE",$C177,"DEEP_BROKER_ID_OVERRIDE",AA$24,"DEEP_PERIOD_OVERRIDE",$H$19)*1,"")))</f>
        <v/>
      </c>
      <c r="AB177" t="str">
        <f>IF(OR(AB$23="",ISNA($B177)),"",IF(ISBLANK($B177),"",IFERROR(_xll.BDP(TICKER,"DEEP_MEASURE_PERIOD_BROKER_VALUE","DEEP_MEASURE_ID_OVERRIDE",$C177,"DEEP_BROKER_ID_OVERRIDE",AB$24,"DEEP_PERIOD_OVERRIDE",$H$19)*1,"")))</f>
        <v/>
      </c>
      <c r="AC177" t="str">
        <f>IF(OR(AC$23="",ISNA($B177)),"",IF(ISBLANK($B177),"",IFERROR(_xll.BDP(TICKER,"DEEP_MEASURE_PERIOD_BROKER_VALUE","DEEP_MEASURE_ID_OVERRIDE",$C177,"DEEP_BROKER_ID_OVERRIDE",AC$24,"DEEP_PERIOD_OVERRIDE",$H$19)*1,"")))</f>
        <v/>
      </c>
      <c r="AD177" t="str">
        <f>IF(OR(AD$23="",ISNA($B177)),"",IF(ISBLANK($B177),"",IFERROR(_xll.BDP(TICKER,"DEEP_MEASURE_PERIOD_BROKER_VALUE","DEEP_MEASURE_ID_OVERRIDE",$C177,"DEEP_BROKER_ID_OVERRIDE",AD$24,"DEEP_PERIOD_OVERRIDE",$H$19)*1,"")))</f>
        <v/>
      </c>
      <c r="AE177" t="str">
        <f>IF(OR(AE$23="",ISNA($B177)),"",IF(ISBLANK($B177),"",IFERROR(_xll.BDP(TICKER,"DEEP_MEASURE_PERIOD_BROKER_VALUE","DEEP_MEASURE_ID_OVERRIDE",$C177,"DEEP_BROKER_ID_OVERRIDE",AE$24,"DEEP_PERIOD_OVERRIDE",$H$19)*1,"")))</f>
        <v/>
      </c>
      <c r="AF177" t="str">
        <f>IF(OR(AF$23="",ISNA($B177)),"",IF(ISBLANK($B177),"",IFERROR(_xll.BDP(TICKER,"DEEP_MEASURE_PERIOD_BROKER_VALUE","DEEP_MEASURE_ID_OVERRIDE",$C177,"DEEP_BROKER_ID_OVERRIDE",AF$24,"DEEP_PERIOD_OVERRIDE",$H$19)*1,"")))</f>
        <v/>
      </c>
      <c r="AG177" t="str">
        <f>IF(OR(AG$23="",ISNA($B177)),"",IF(ISBLANK($B177),"",IFERROR(_xll.BDP(TICKER,"DEEP_MEASURE_PERIOD_BROKER_VALUE","DEEP_MEASURE_ID_OVERRIDE",$C177,"DEEP_BROKER_ID_OVERRIDE",AG$24,"DEEP_PERIOD_OVERRIDE",$H$19)*1,"")))</f>
        <v/>
      </c>
      <c r="AH177" t="str">
        <f>IF(OR(AH$23="",ISNA($B177)),"",IF(ISBLANK($B177),"",IFERROR(_xll.BDP(TICKER,"DEEP_MEASURE_PERIOD_BROKER_VALUE","DEEP_MEASURE_ID_OVERRIDE",$C177,"DEEP_BROKER_ID_OVERRIDE",AH$24,"DEEP_PERIOD_OVERRIDE",$H$19)*1,"")))</f>
        <v/>
      </c>
      <c r="AI177" t="str">
        <f>IF(OR(AI$23="",ISNA($B177)),"",IF(ISBLANK($B177),"",IFERROR(_xll.BDP(TICKER,"DEEP_MEASURE_PERIOD_BROKER_VALUE","DEEP_MEASURE_ID_OVERRIDE",$C177,"DEEP_BROKER_ID_OVERRIDE",AI$24,"DEEP_PERIOD_OVERRIDE",$H$19)*1,"")))</f>
        <v/>
      </c>
      <c r="AJ177" t="str">
        <f>IF(OR(AJ$23="",ISNA($B177)),"",IF(ISBLANK($B177),"",IFERROR(_xll.BDP(TICKER,"DEEP_MEASURE_PERIOD_BROKER_VALUE","DEEP_MEASURE_ID_OVERRIDE",$C177,"DEEP_BROKER_ID_OVERRIDE",AJ$24,"DEEP_PERIOD_OVERRIDE",$H$19)*1,"")))</f>
        <v/>
      </c>
      <c r="AK177" t="str">
        <f>IF(OR(AK$23="",ISNA($B177)),"",IF(ISBLANK($B177),"",IFERROR(_xll.BDP(TICKER,"DEEP_MEASURE_PERIOD_BROKER_VALUE","DEEP_MEASURE_ID_OVERRIDE",$C177,"DEEP_BROKER_ID_OVERRIDE",AK$24,"DEEP_PERIOD_OVERRIDE",$H$19)*1,"")))</f>
        <v/>
      </c>
      <c r="AL177" t="str">
        <f>IF(OR(AL$23="",ISNA($B177)),"",IF(ISBLANK($B177),"",IFERROR(_xll.BDP(TICKER,"DEEP_MEASURE_PERIOD_BROKER_VALUE","DEEP_MEASURE_ID_OVERRIDE",$C177,"DEEP_BROKER_ID_OVERRIDE",AL$24,"DEEP_PERIOD_OVERRIDE",$H$19)*1,"")))</f>
        <v/>
      </c>
      <c r="AM177" t="str">
        <f>IF(OR(AM$23="",ISNA($B177)),"",IF(ISBLANK($B177),"",IFERROR(_xll.BDP(TICKER,"DEEP_MEASURE_PERIOD_BROKER_VALUE","DEEP_MEASURE_ID_OVERRIDE",$C177,"DEEP_BROKER_ID_OVERRIDE",AM$24,"DEEP_PERIOD_OVERRIDE",$H$19)*1,"")))</f>
        <v/>
      </c>
      <c r="AN177" t="str">
        <f>IF(OR(AN$23="",ISNA($B177)),"",IF(ISBLANK($B177),"",IFERROR(_xll.BDP(TICKER,"DEEP_MEASURE_PERIOD_BROKER_VALUE","DEEP_MEASURE_ID_OVERRIDE",$C177,"DEEP_BROKER_ID_OVERRIDE",AN$24,"DEEP_PERIOD_OVERRIDE",$H$19)*1,"")))</f>
        <v/>
      </c>
      <c r="AO177" t="str">
        <f>IF(OR(AO$23="",ISNA($B177)),"",IF(ISBLANK($B177),"",IFERROR(_xll.BDP(TICKER,"DEEP_MEASURE_PERIOD_BROKER_VALUE","DEEP_MEASURE_ID_OVERRIDE",$C177,"DEEP_BROKER_ID_OVERRIDE",AO$24,"DEEP_PERIOD_OVERRIDE",$H$19)*1,"")))</f>
        <v/>
      </c>
      <c r="AP177" t="str">
        <f>IF(OR(AP$23="",ISNA($B177)),"",IF(ISBLANK($B177),"",IFERROR(_xll.BDP(TICKER,"DEEP_MEASURE_PERIOD_BROKER_VALUE","DEEP_MEASURE_ID_OVERRIDE",$C177,"DEEP_BROKER_ID_OVERRIDE",AP$24,"DEEP_PERIOD_OVERRIDE",$H$19)*1,"")))</f>
        <v/>
      </c>
      <c r="AQ177" t="str">
        <f>IF(OR(AQ$23="",ISNA($B177)),"",IF(ISBLANK($B177),"",IFERROR(_xll.BDP(TICKER,"DEEP_MEASURE_PERIOD_BROKER_VALUE","DEEP_MEASURE_ID_OVERRIDE",$C177,"DEEP_BROKER_ID_OVERRIDE",AQ$24,"DEEP_PERIOD_OVERRIDE",$H$19)*1,"")))</f>
        <v/>
      </c>
      <c r="AR177" t="str">
        <f>IF(OR(AR$23="",ISNA($B177)),"",IF(ISBLANK($B177),"",IFERROR(_xll.BDP(TICKER,"DEEP_MEASURE_PERIOD_BROKER_VALUE","DEEP_MEASURE_ID_OVERRIDE",$C177,"DEEP_BROKER_ID_OVERRIDE",AR$24,"DEEP_PERIOD_OVERRIDE",$H$19)*1,"")))</f>
        <v/>
      </c>
      <c r="AS177" t="str">
        <f>IF(OR(AS$23="",ISNA($B177)),"",IF(ISBLANK($B177),"",IFERROR(_xll.BDP(TICKER,"DEEP_MEASURE_PERIOD_BROKER_VALUE","DEEP_MEASURE_ID_OVERRIDE",$C177,"DEEP_BROKER_ID_OVERRIDE",AS$24,"DEEP_PERIOD_OVERRIDE",$H$19)*1,"")))</f>
        <v/>
      </c>
      <c r="AT177" t="str">
        <f>IF(OR(AT$23="",ISNA($B177)),"",IF(ISBLANK($B177),"",IFERROR(_xll.BDP(TICKER,"DEEP_MEASURE_PERIOD_BROKER_VALUE","DEEP_MEASURE_ID_OVERRIDE",$C177,"DEEP_BROKER_ID_OVERRIDE",AT$24,"DEEP_PERIOD_OVERRIDE",$H$19)*1,"")))</f>
        <v/>
      </c>
      <c r="AU177" t="str">
        <f>IF(OR(AU$23="",ISNA($B177)),"",IF(ISBLANK($B177),"",IFERROR(_xll.BDP(TICKER,"DEEP_MEASURE_PERIOD_BROKER_VALUE","DEEP_MEASURE_ID_OVERRIDE",$C177,"DEEP_BROKER_ID_OVERRIDE",AU$24,"DEEP_PERIOD_OVERRIDE",$H$19)*1,"")))</f>
        <v/>
      </c>
      <c r="AV177" t="str">
        <f>IF(OR(AV$23="",ISNA($B177)),"",IF(ISBLANK($B177),"",IFERROR(_xll.BDP(TICKER,"DEEP_MEASURE_PERIOD_BROKER_VALUE","DEEP_MEASURE_ID_OVERRIDE",$C177,"DEEP_BROKER_ID_OVERRIDE",AV$24,"DEEP_PERIOD_OVERRIDE",$H$19)*1,"")))</f>
        <v/>
      </c>
      <c r="AW177" t="str">
        <f>IF(OR(AW$23="",ISNA($B177)),"",IF(ISBLANK($B177),"",IFERROR(_xll.BDP(TICKER,"DEEP_MEASURE_PERIOD_BROKER_VALUE","DEEP_MEASURE_ID_OVERRIDE",$C177,"DEEP_BROKER_ID_OVERRIDE",AW$24,"DEEP_PERIOD_OVERRIDE",$H$19)*1,"")))</f>
        <v/>
      </c>
      <c r="AX177" t="str">
        <f>IF(OR(AX$23="",ISNA($B177)),"",IF(ISBLANK($B177),"",IFERROR(_xll.BDP(TICKER,"DEEP_MEASURE_PERIOD_BROKER_VALUE","DEEP_MEASURE_ID_OVERRIDE",$C177,"DEEP_BROKER_ID_OVERRIDE",AX$24,"DEEP_PERIOD_OVERRIDE",$H$19)*1,"")))</f>
        <v/>
      </c>
      <c r="AY177" t="str">
        <f>IF(OR(AY$23="",ISNA($B177)),"",IF(ISBLANK($B177),"",IFERROR(_xll.BDP(TICKER,"DEEP_MEASURE_PERIOD_BROKER_VALUE","DEEP_MEASURE_ID_OVERRIDE",$C177,"DEEP_BROKER_ID_OVERRIDE",AY$24,"DEEP_PERIOD_OVERRIDE",$H$19)*1,"")))</f>
        <v/>
      </c>
      <c r="AZ177" t="str">
        <f>IF(OR(AZ$23="",ISNA($B177)),"",IF(ISBLANK($B177),"",IFERROR(_xll.BDP(TICKER,"DEEP_MEASURE_PERIOD_BROKER_VALUE","DEEP_MEASURE_ID_OVERRIDE",$C177,"DEEP_BROKER_ID_OVERRIDE",AZ$24,"DEEP_PERIOD_OVERRIDE",$H$19)*1,"")))</f>
        <v/>
      </c>
      <c r="BA177" t="str">
        <f>IF(OR(BA$23="",ISNA($B177)),"",IF(ISBLANK($B177),"",IFERROR(_xll.BDP(TICKER,"DEEP_MEASURE_PERIOD_BROKER_VALUE","DEEP_MEASURE_ID_OVERRIDE",$C177,"DEEP_BROKER_ID_OVERRIDE",BA$24,"DEEP_PERIOD_OVERRIDE",$H$19)*1,"")))</f>
        <v/>
      </c>
      <c r="BB177" t="str">
        <f>IF(OR(BB$23="",ISNA($B177)),"",IF(ISBLANK($B177),"",IFERROR(_xll.BDP(TICKER,"DEEP_MEASURE_PERIOD_BROKER_VALUE","DEEP_MEASURE_ID_OVERRIDE",$C177,"DEEP_BROKER_ID_OVERRIDE",BB$24,"DEEP_PERIOD_OVERRIDE",$H$19)*1,"")))</f>
        <v/>
      </c>
      <c r="BC177" t="str">
        <f>IF(OR(BC$23="",ISNA($B177)),"",IF(ISBLANK($B177),"",IFERROR(_xll.BDP(TICKER,"DEEP_MEASURE_PERIOD_BROKER_VALUE","DEEP_MEASURE_ID_OVERRIDE",$C177,"DEEP_BROKER_ID_OVERRIDE",BC$24,"DEEP_PERIOD_OVERRIDE",$H$19)*1,"")))</f>
        <v/>
      </c>
      <c r="BD177" t="str">
        <f>IF(OR(BD$23="",ISNA($B177)),"",IF(ISBLANK($B177),"",IFERROR(_xll.BDP(TICKER,"DEEP_MEASURE_PERIOD_BROKER_VALUE","DEEP_MEASURE_ID_OVERRIDE",$C177,"DEEP_BROKER_ID_OVERRIDE",BD$24,"DEEP_PERIOD_OVERRIDE",$H$19)*1,"")))</f>
        <v/>
      </c>
      <c r="BE177" t="str">
        <f>IF(OR(BE$23="",ISNA($B177)),"",IF(ISBLANK($B177),"",IFERROR(_xll.BDP(TICKER,"DEEP_MEASURE_PERIOD_BROKER_VALUE","DEEP_MEASURE_ID_OVERRIDE",$C177,"DEEP_BROKER_ID_OVERRIDE",BE$24,"DEEP_PERIOD_OVERRIDE",$H$19)*1,"")))</f>
        <v/>
      </c>
      <c r="BF177" t="str">
        <f>IF(OR(BF$23="",ISNA($B177)),"",IF(ISBLANK($B177),"",IFERROR(_xll.BDP(TICKER,"DEEP_MEASURE_PERIOD_BROKER_VALUE","DEEP_MEASURE_ID_OVERRIDE",$C177,"DEEP_BROKER_ID_OVERRIDE",BF$24,"DEEP_PERIOD_OVERRIDE",$H$19)*1,"")))</f>
        <v/>
      </c>
      <c r="BG177" t="str">
        <f>IF(OR(BG$23="",ISNA($B177)),"",IF(ISBLANK($B177),"",IFERROR(_xll.BDP(TICKER,"DEEP_MEASURE_PERIOD_BROKER_VALUE","DEEP_MEASURE_ID_OVERRIDE",$C177,"DEEP_BROKER_ID_OVERRIDE",BG$24,"DEEP_PERIOD_OVERRIDE",$H$19)*1,"")))</f>
        <v/>
      </c>
      <c r="BH177" t="str">
        <f>IF(OR(BH$23="",ISNA($B177)),"",IF(ISBLANK($B177),"",IFERROR(_xll.BDP(TICKER,"DEEP_MEASURE_PERIOD_BROKER_VALUE","DEEP_MEASURE_ID_OVERRIDE",$C177,"DEEP_BROKER_ID_OVERRIDE",BH$24,"DEEP_PERIOD_OVERRIDE",$H$19)*1,"")))</f>
        <v/>
      </c>
      <c r="BI177" t="str">
        <f>IF(OR(BI$23="",ISNA($B177)),"",IF(ISBLANK($B177),"",IFERROR(_xll.BDP(TICKER,"DEEP_MEASURE_PERIOD_BROKER_VALUE","DEEP_MEASURE_ID_OVERRIDE",$C177,"DEEP_BROKER_ID_OVERRIDE",BI$24,"DEEP_PERIOD_OVERRIDE",$H$19)*1,"")))</f>
        <v/>
      </c>
      <c r="BJ177" t="str">
        <f>IF(OR(BJ$23="",ISNA($B177)),"",IF(ISBLANK($B177),"",IFERROR(_xll.BDP(TICKER,"DEEP_MEASURE_PERIOD_BROKER_VALUE","DEEP_MEASURE_ID_OVERRIDE",$C177,"DEEP_BROKER_ID_OVERRIDE",BJ$24,"DEEP_PERIOD_OVERRIDE",$H$19)*1,"")))</f>
        <v/>
      </c>
      <c r="BK177" t="str">
        <f>IF(OR(BK$23="",ISNA($B177)),"",IF(ISBLANK($B177),"",IFERROR(_xll.BDP(TICKER,"DEEP_MEASURE_PERIOD_BROKER_VALUE","DEEP_MEASURE_ID_OVERRIDE",$C177,"DEEP_BROKER_ID_OVERRIDE",BK$24,"DEEP_PERIOD_OVERRIDE",$H$19)*1,"")))</f>
        <v/>
      </c>
      <c r="BL177" t="str">
        <f>IF(OR(BL$23="",ISNA($B177)),"",IF(ISBLANK($B177),"",IFERROR(_xll.BDP(TICKER,"DEEP_MEASURE_PERIOD_BROKER_VALUE","DEEP_MEASURE_ID_OVERRIDE",$C177,"DEEP_BROKER_ID_OVERRIDE",BL$24,"DEEP_PERIOD_OVERRIDE",$H$19)*1,"")))</f>
        <v/>
      </c>
      <c r="BM177" t="str">
        <f>IF(OR(BM$23="",ISNA($B177)),"",IF(ISBLANK($B177),"",IFERROR(_xll.BDP(TICKER,"DEEP_MEASURE_PERIOD_BROKER_VALUE","DEEP_MEASURE_ID_OVERRIDE",$C177,"DEEP_BROKER_ID_OVERRIDE",BM$24,"DEEP_PERIOD_OVERRIDE",$H$19)*1,"")))</f>
        <v/>
      </c>
      <c r="BN177" t="str">
        <f>IF(OR(BN$23="",ISNA($B177)),"",IF(ISBLANK($B177),"",IFERROR(_xll.BDP(TICKER,"DEEP_MEASURE_PERIOD_BROKER_VALUE","DEEP_MEASURE_ID_OVERRIDE",$C177,"DEEP_BROKER_ID_OVERRIDE",BN$24,"DEEP_PERIOD_OVERRIDE",$H$19)*1,"")))</f>
        <v/>
      </c>
      <c r="BO177" t="str">
        <f>IF(OR(BO$23="",ISNA($B177)),"",IF(ISBLANK($B177),"",IFERROR(_xll.BDP(TICKER,"DEEP_MEASURE_PERIOD_BROKER_VALUE","DEEP_MEASURE_ID_OVERRIDE",$C177,"DEEP_BROKER_ID_OVERRIDE",BO$24,"DEEP_PERIOD_OVERRIDE",$H$19)*1,"")))</f>
        <v/>
      </c>
      <c r="BP177" t="str">
        <f>IF(OR(BP$23="",ISNA($B177)),"",IF(ISBLANK($B177),"",IFERROR(_xll.BDP(TICKER,"DEEP_MEASURE_PERIOD_BROKER_VALUE","DEEP_MEASURE_ID_OVERRIDE",$C177,"DEEP_BROKER_ID_OVERRIDE",BP$24,"DEEP_PERIOD_OVERRIDE",$H$19)*1,"")))</f>
        <v/>
      </c>
      <c r="BQ177" t="str">
        <f>IF(OR(BQ$23="",ISNA($B177)),"",IF(ISBLANK($B177),"",IFERROR(_xll.BDP(TICKER,"DEEP_MEASURE_PERIOD_BROKER_VALUE","DEEP_MEASURE_ID_OVERRIDE",$C177,"DEEP_BROKER_ID_OVERRIDE",BQ$24,"DEEP_PERIOD_OVERRIDE",$H$19)*1,"")))</f>
        <v/>
      </c>
      <c r="BR177" t="str">
        <f>IF(OR(BR$23="",ISNA($B177)),"",IF(ISBLANK($B177),"",IFERROR(_xll.BDP(TICKER,"DEEP_MEASURE_PERIOD_BROKER_VALUE","DEEP_MEASURE_ID_OVERRIDE",$C177,"DEEP_BROKER_ID_OVERRIDE",BR$24,"DEEP_PERIOD_OVERRIDE",$H$19)*1,"")))</f>
        <v/>
      </c>
      <c r="BS177" t="str">
        <f>IF(OR(BS$23="",ISNA($B177)),"",IF(ISBLANK($B177),"",IFERROR(_xll.BDP(TICKER,"DEEP_MEASURE_PERIOD_BROKER_VALUE","DEEP_MEASURE_ID_OVERRIDE",$C177,"DEEP_BROKER_ID_OVERRIDE",BS$24,"DEEP_PERIOD_OVERRIDE",$H$19)*1,"")))</f>
        <v/>
      </c>
      <c r="BT177" t="str">
        <f>IF(OR(BT$23="",ISNA($B177)),"",IF(ISBLANK($B177),"",IFERROR(_xll.BDP(TICKER,"DEEP_MEASURE_PERIOD_BROKER_VALUE","DEEP_MEASURE_ID_OVERRIDE",$C177,"DEEP_BROKER_ID_OVERRIDE",BT$24,"DEEP_PERIOD_OVERRIDE",$H$19)*1,"")))</f>
        <v/>
      </c>
      <c r="BU177" t="str">
        <f>IF(OR(BU$23="",ISNA($B177)),"",IF(ISBLANK($B177),"",IFERROR(_xll.BDP(TICKER,"DEEP_MEASURE_PERIOD_BROKER_VALUE","DEEP_MEASURE_ID_OVERRIDE",$C177,"DEEP_BROKER_ID_OVERRIDE",BU$24,"DEEP_PERIOD_OVERRIDE",$H$19)*1,"")))</f>
        <v/>
      </c>
      <c r="BV177" t="str">
        <f>IF(OR(BV$23="",ISNA($B177)),"",IF(ISBLANK($B177),"",IFERROR(_xll.BDP(TICKER,"DEEP_MEASURE_PERIOD_BROKER_VALUE","DEEP_MEASURE_ID_OVERRIDE",$C177,"DEEP_BROKER_ID_OVERRIDE",BV$24,"DEEP_PERIOD_OVERRIDE",$H$19)*1,"")))</f>
        <v/>
      </c>
      <c r="BW177" t="str">
        <f>IF(OR(BW$23="",ISNA($B177)),"",IF(ISBLANK($B177),"",IFERROR(_xll.BDP(TICKER,"DEEP_MEASURE_PERIOD_BROKER_VALUE","DEEP_MEASURE_ID_OVERRIDE",$C177,"DEEP_BROKER_ID_OVERRIDE",BW$24,"DEEP_PERIOD_OVERRIDE",$H$19)*1,"")))</f>
        <v/>
      </c>
      <c r="BX177" t="str">
        <f>IF(OR(BX$23="",ISNA($B177)),"",IF(ISBLANK($B177),"",IFERROR(_xll.BDP(TICKER,"DEEP_MEASURE_PERIOD_BROKER_VALUE","DEEP_MEASURE_ID_OVERRIDE",$C177,"DEEP_BROKER_ID_OVERRIDE",BX$24,"DEEP_PERIOD_OVERRIDE",$H$19)*1,"")))</f>
        <v/>
      </c>
      <c r="BY177" t="str">
        <f>IF(OR(BY$23="",ISNA($B177)),"",IF(ISBLANK($B177),"",IFERROR(_xll.BDP(TICKER,"DEEP_MEASURE_PERIOD_BROKER_VALUE","DEEP_MEASURE_ID_OVERRIDE",$C177,"DEEP_BROKER_ID_OVERRIDE",BY$24,"DEEP_PERIOD_OVERRIDE",$H$19)*1,"")))</f>
        <v/>
      </c>
      <c r="BZ177" t="str">
        <f>IF(OR(BZ$23="",ISNA($B177)),"",IF(ISBLANK($B177),"",IFERROR(_xll.BDP(TICKER,"DEEP_MEASURE_PERIOD_BROKER_VALUE","DEEP_MEASURE_ID_OVERRIDE",$C177,"DEEP_BROKER_ID_OVERRIDE",BZ$24,"DEEP_PERIOD_OVERRIDE",$H$19)*1,"")))</f>
        <v/>
      </c>
    </row>
    <row r="178" spans="2:78" x14ac:dyDescent="0.25">
      <c r="B178" t="s">
        <v>199</v>
      </c>
      <c r="C178">
        <v>505</v>
      </c>
      <c r="H178" t="str">
        <f t="shared" si="3"/>
        <v>Liabilities &amp; Shareholders' Equity &gt; Current Liabilities &gt; Deferred Revenue &gt; As % of Revenue</v>
      </c>
      <c r="I178" t="str">
        <f>IF(OR(I$23="",ISNA($B178)),"",IF(ISBLANK($B178),"",IFERROR(_xll.BDP(TICKER,"DEEP_MEASURE_PERIOD_BROKER_VALUE","DEEP_MEASURE_ID_OVERRIDE",$C178,"DEEP_PERIOD_OVERRIDE",$H$19)*1,"")))</f>
        <v/>
      </c>
      <c r="J178" t="e">
        <f>IF(OR(J$23="",ISNA($B178)),"",IF(ISBLANK($B178),"",IFERROR(_xll.BDP(TICKER,"DEEP_MEASURE_PERIOD_BROKER_VALUE","DEEP_MEASURE_ID_OVERRIDE",$C178,"DEEP_BROKER_ID_OVERRIDE",J$24,"DEEP_PERIOD_OVERRIDE",$H$19)*1,"")))</f>
        <v>#REF!</v>
      </c>
      <c r="K178" t="str">
        <f>IF(OR(K$23="",ISNA($B178)),"",IF(ISBLANK($B178),"",IFERROR(_xll.BDP(TICKER,"DEEP_MEASURE_PERIOD_BROKER_VALUE","DEEP_MEASURE_ID_OVERRIDE",$C178,"DEEP_BROKER_ID_OVERRIDE",K$24,"DEEP_PERIOD_OVERRIDE",$H$19)*1,"")))</f>
        <v/>
      </c>
      <c r="L178" t="str">
        <f>IF(OR(L$23="",ISNA($B178)),"",IF(ISBLANK($B178),"",IFERROR(_xll.BDP(TICKER,"DEEP_MEASURE_PERIOD_BROKER_VALUE","DEEP_MEASURE_ID_OVERRIDE",$C178,"DEEP_BROKER_ID_OVERRIDE",L$24,"DEEP_PERIOD_OVERRIDE",$H$19)*1,"")))</f>
        <v/>
      </c>
      <c r="M178" t="str">
        <f>IF(OR(M$23="",ISNA($B178)),"",IF(ISBLANK($B178),"",IFERROR(_xll.BDP(TICKER,"DEEP_MEASURE_PERIOD_BROKER_VALUE","DEEP_MEASURE_ID_OVERRIDE",$C178,"DEEP_BROKER_ID_OVERRIDE",M$24,"DEEP_PERIOD_OVERRIDE",$H$19)*1,"")))</f>
        <v/>
      </c>
      <c r="N178" t="str">
        <f>IF(OR(N$23="",ISNA($B178)),"",IF(ISBLANK($B178),"",IFERROR(_xll.BDP(TICKER,"DEEP_MEASURE_PERIOD_BROKER_VALUE","DEEP_MEASURE_ID_OVERRIDE",$C178,"DEEP_BROKER_ID_OVERRIDE",N$24,"DEEP_PERIOD_OVERRIDE",$H$19)*1,"")))</f>
        <v/>
      </c>
      <c r="O178" t="str">
        <f>IF(OR(O$23="",ISNA($B178)),"",IF(ISBLANK($B178),"",IFERROR(_xll.BDP(TICKER,"DEEP_MEASURE_PERIOD_BROKER_VALUE","DEEP_MEASURE_ID_OVERRIDE",$C178,"DEEP_BROKER_ID_OVERRIDE",O$24,"DEEP_PERIOD_OVERRIDE",$H$19)*1,"")))</f>
        <v/>
      </c>
      <c r="P178" t="str">
        <f>IF(OR(P$23="",ISNA($B178)),"",IF(ISBLANK($B178),"",IFERROR(_xll.BDP(TICKER,"DEEP_MEASURE_PERIOD_BROKER_VALUE","DEEP_MEASURE_ID_OVERRIDE",$C178,"DEEP_BROKER_ID_OVERRIDE",P$24,"DEEP_PERIOD_OVERRIDE",$H$19)*1,"")))</f>
        <v/>
      </c>
      <c r="Q178" t="str">
        <f>IF(OR(Q$23="",ISNA($B178)),"",IF(ISBLANK($B178),"",IFERROR(_xll.BDP(TICKER,"DEEP_MEASURE_PERIOD_BROKER_VALUE","DEEP_MEASURE_ID_OVERRIDE",$C178,"DEEP_BROKER_ID_OVERRIDE",Q$24,"DEEP_PERIOD_OVERRIDE",$H$19)*1,"")))</f>
        <v/>
      </c>
      <c r="R178" t="str">
        <f>IF(OR(R$23="",ISNA($B178)),"",IF(ISBLANK($B178),"",IFERROR(_xll.BDP(TICKER,"DEEP_MEASURE_PERIOD_BROKER_VALUE","DEEP_MEASURE_ID_OVERRIDE",$C178,"DEEP_BROKER_ID_OVERRIDE",R$24,"DEEP_PERIOD_OVERRIDE",$H$19)*1,"")))</f>
        <v/>
      </c>
      <c r="S178" t="str">
        <f>IF(OR(S$23="",ISNA($B178)),"",IF(ISBLANK($B178),"",IFERROR(_xll.BDP(TICKER,"DEEP_MEASURE_PERIOD_BROKER_VALUE","DEEP_MEASURE_ID_OVERRIDE",$C178,"DEEP_BROKER_ID_OVERRIDE",S$24,"DEEP_PERIOD_OVERRIDE",$H$19)*1,"")))</f>
        <v/>
      </c>
      <c r="T178" t="str">
        <f>IF(OR(T$23="",ISNA($B178)),"",IF(ISBLANK($B178),"",IFERROR(_xll.BDP(TICKER,"DEEP_MEASURE_PERIOD_BROKER_VALUE","DEEP_MEASURE_ID_OVERRIDE",$C178,"DEEP_BROKER_ID_OVERRIDE",T$24,"DEEP_PERIOD_OVERRIDE",$H$19)*1,"")))</f>
        <v/>
      </c>
      <c r="U178" t="str">
        <f>IF(OR(U$23="",ISNA($B178)),"",IF(ISBLANK($B178),"",IFERROR(_xll.BDP(TICKER,"DEEP_MEASURE_PERIOD_BROKER_VALUE","DEEP_MEASURE_ID_OVERRIDE",$C178,"DEEP_BROKER_ID_OVERRIDE",U$24,"DEEP_PERIOD_OVERRIDE",$H$19)*1,"")))</f>
        <v/>
      </c>
      <c r="V178" t="str">
        <f>IF(OR(V$23="",ISNA($B178)),"",IF(ISBLANK($B178),"",IFERROR(_xll.BDP(TICKER,"DEEP_MEASURE_PERIOD_BROKER_VALUE","DEEP_MEASURE_ID_OVERRIDE",$C178,"DEEP_BROKER_ID_OVERRIDE",V$24,"DEEP_PERIOD_OVERRIDE",$H$19)*1,"")))</f>
        <v/>
      </c>
      <c r="W178" t="str">
        <f>IF(OR(W$23="",ISNA($B178)),"",IF(ISBLANK($B178),"",IFERROR(_xll.BDP(TICKER,"DEEP_MEASURE_PERIOD_BROKER_VALUE","DEEP_MEASURE_ID_OVERRIDE",$C178,"DEEP_BROKER_ID_OVERRIDE",W$24,"DEEP_PERIOD_OVERRIDE",$H$19)*1,"")))</f>
        <v/>
      </c>
      <c r="X178" t="str">
        <f>IF(OR(X$23="",ISNA($B178)),"",IF(ISBLANK($B178),"",IFERROR(_xll.BDP(TICKER,"DEEP_MEASURE_PERIOD_BROKER_VALUE","DEEP_MEASURE_ID_OVERRIDE",$C178,"DEEP_BROKER_ID_OVERRIDE",X$24,"DEEP_PERIOD_OVERRIDE",$H$19)*1,"")))</f>
        <v/>
      </c>
      <c r="Y178" t="str">
        <f>IF(OR(Y$23="",ISNA($B178)),"",IF(ISBLANK($B178),"",IFERROR(_xll.BDP(TICKER,"DEEP_MEASURE_PERIOD_BROKER_VALUE","DEEP_MEASURE_ID_OVERRIDE",$C178,"DEEP_BROKER_ID_OVERRIDE",Y$24,"DEEP_PERIOD_OVERRIDE",$H$19)*1,"")))</f>
        <v/>
      </c>
      <c r="Z178" t="str">
        <f>IF(OR(Z$23="",ISNA($B178)),"",IF(ISBLANK($B178),"",IFERROR(_xll.BDP(TICKER,"DEEP_MEASURE_PERIOD_BROKER_VALUE","DEEP_MEASURE_ID_OVERRIDE",$C178,"DEEP_BROKER_ID_OVERRIDE",Z$24,"DEEP_PERIOD_OVERRIDE",$H$19)*1,"")))</f>
        <v/>
      </c>
      <c r="AA178" t="str">
        <f>IF(OR(AA$23="",ISNA($B178)),"",IF(ISBLANK($B178),"",IFERROR(_xll.BDP(TICKER,"DEEP_MEASURE_PERIOD_BROKER_VALUE","DEEP_MEASURE_ID_OVERRIDE",$C178,"DEEP_BROKER_ID_OVERRIDE",AA$24,"DEEP_PERIOD_OVERRIDE",$H$19)*1,"")))</f>
        <v/>
      </c>
      <c r="AB178" t="str">
        <f>IF(OR(AB$23="",ISNA($B178)),"",IF(ISBLANK($B178),"",IFERROR(_xll.BDP(TICKER,"DEEP_MEASURE_PERIOD_BROKER_VALUE","DEEP_MEASURE_ID_OVERRIDE",$C178,"DEEP_BROKER_ID_OVERRIDE",AB$24,"DEEP_PERIOD_OVERRIDE",$H$19)*1,"")))</f>
        <v/>
      </c>
      <c r="AC178" t="str">
        <f>IF(OR(AC$23="",ISNA($B178)),"",IF(ISBLANK($B178),"",IFERROR(_xll.BDP(TICKER,"DEEP_MEASURE_PERIOD_BROKER_VALUE","DEEP_MEASURE_ID_OVERRIDE",$C178,"DEEP_BROKER_ID_OVERRIDE",AC$24,"DEEP_PERIOD_OVERRIDE",$H$19)*1,"")))</f>
        <v/>
      </c>
      <c r="AD178" t="str">
        <f>IF(OR(AD$23="",ISNA($B178)),"",IF(ISBLANK($B178),"",IFERROR(_xll.BDP(TICKER,"DEEP_MEASURE_PERIOD_BROKER_VALUE","DEEP_MEASURE_ID_OVERRIDE",$C178,"DEEP_BROKER_ID_OVERRIDE",AD$24,"DEEP_PERIOD_OVERRIDE",$H$19)*1,"")))</f>
        <v/>
      </c>
      <c r="AE178" t="str">
        <f>IF(OR(AE$23="",ISNA($B178)),"",IF(ISBLANK($B178),"",IFERROR(_xll.BDP(TICKER,"DEEP_MEASURE_PERIOD_BROKER_VALUE","DEEP_MEASURE_ID_OVERRIDE",$C178,"DEEP_BROKER_ID_OVERRIDE",AE$24,"DEEP_PERIOD_OVERRIDE",$H$19)*1,"")))</f>
        <v/>
      </c>
      <c r="AF178" t="str">
        <f>IF(OR(AF$23="",ISNA($B178)),"",IF(ISBLANK($B178),"",IFERROR(_xll.BDP(TICKER,"DEEP_MEASURE_PERIOD_BROKER_VALUE","DEEP_MEASURE_ID_OVERRIDE",$C178,"DEEP_BROKER_ID_OVERRIDE",AF$24,"DEEP_PERIOD_OVERRIDE",$H$19)*1,"")))</f>
        <v/>
      </c>
      <c r="AG178" t="str">
        <f>IF(OR(AG$23="",ISNA($B178)),"",IF(ISBLANK($B178),"",IFERROR(_xll.BDP(TICKER,"DEEP_MEASURE_PERIOD_BROKER_VALUE","DEEP_MEASURE_ID_OVERRIDE",$C178,"DEEP_BROKER_ID_OVERRIDE",AG$24,"DEEP_PERIOD_OVERRIDE",$H$19)*1,"")))</f>
        <v/>
      </c>
      <c r="AH178" t="str">
        <f>IF(OR(AH$23="",ISNA($B178)),"",IF(ISBLANK($B178),"",IFERROR(_xll.BDP(TICKER,"DEEP_MEASURE_PERIOD_BROKER_VALUE","DEEP_MEASURE_ID_OVERRIDE",$C178,"DEEP_BROKER_ID_OVERRIDE",AH$24,"DEEP_PERIOD_OVERRIDE",$H$19)*1,"")))</f>
        <v/>
      </c>
      <c r="AI178" t="str">
        <f>IF(OR(AI$23="",ISNA($B178)),"",IF(ISBLANK($B178),"",IFERROR(_xll.BDP(TICKER,"DEEP_MEASURE_PERIOD_BROKER_VALUE","DEEP_MEASURE_ID_OVERRIDE",$C178,"DEEP_BROKER_ID_OVERRIDE",AI$24,"DEEP_PERIOD_OVERRIDE",$H$19)*1,"")))</f>
        <v/>
      </c>
      <c r="AJ178" t="str">
        <f>IF(OR(AJ$23="",ISNA($B178)),"",IF(ISBLANK($B178),"",IFERROR(_xll.BDP(TICKER,"DEEP_MEASURE_PERIOD_BROKER_VALUE","DEEP_MEASURE_ID_OVERRIDE",$C178,"DEEP_BROKER_ID_OVERRIDE",AJ$24,"DEEP_PERIOD_OVERRIDE",$H$19)*1,"")))</f>
        <v/>
      </c>
      <c r="AK178" t="str">
        <f>IF(OR(AK$23="",ISNA($B178)),"",IF(ISBLANK($B178),"",IFERROR(_xll.BDP(TICKER,"DEEP_MEASURE_PERIOD_BROKER_VALUE","DEEP_MEASURE_ID_OVERRIDE",$C178,"DEEP_BROKER_ID_OVERRIDE",AK$24,"DEEP_PERIOD_OVERRIDE",$H$19)*1,"")))</f>
        <v/>
      </c>
      <c r="AL178" t="str">
        <f>IF(OR(AL$23="",ISNA($B178)),"",IF(ISBLANK($B178),"",IFERROR(_xll.BDP(TICKER,"DEEP_MEASURE_PERIOD_BROKER_VALUE","DEEP_MEASURE_ID_OVERRIDE",$C178,"DEEP_BROKER_ID_OVERRIDE",AL$24,"DEEP_PERIOD_OVERRIDE",$H$19)*1,"")))</f>
        <v/>
      </c>
      <c r="AM178" t="str">
        <f>IF(OR(AM$23="",ISNA($B178)),"",IF(ISBLANK($B178),"",IFERROR(_xll.BDP(TICKER,"DEEP_MEASURE_PERIOD_BROKER_VALUE","DEEP_MEASURE_ID_OVERRIDE",$C178,"DEEP_BROKER_ID_OVERRIDE",AM$24,"DEEP_PERIOD_OVERRIDE",$H$19)*1,"")))</f>
        <v/>
      </c>
      <c r="AN178" t="str">
        <f>IF(OR(AN$23="",ISNA($B178)),"",IF(ISBLANK($B178),"",IFERROR(_xll.BDP(TICKER,"DEEP_MEASURE_PERIOD_BROKER_VALUE","DEEP_MEASURE_ID_OVERRIDE",$C178,"DEEP_BROKER_ID_OVERRIDE",AN$24,"DEEP_PERIOD_OVERRIDE",$H$19)*1,"")))</f>
        <v/>
      </c>
      <c r="AO178" t="str">
        <f>IF(OR(AO$23="",ISNA($B178)),"",IF(ISBLANK($B178),"",IFERROR(_xll.BDP(TICKER,"DEEP_MEASURE_PERIOD_BROKER_VALUE","DEEP_MEASURE_ID_OVERRIDE",$C178,"DEEP_BROKER_ID_OVERRIDE",AO$24,"DEEP_PERIOD_OVERRIDE",$H$19)*1,"")))</f>
        <v/>
      </c>
      <c r="AP178" t="str">
        <f>IF(OR(AP$23="",ISNA($B178)),"",IF(ISBLANK($B178),"",IFERROR(_xll.BDP(TICKER,"DEEP_MEASURE_PERIOD_BROKER_VALUE","DEEP_MEASURE_ID_OVERRIDE",$C178,"DEEP_BROKER_ID_OVERRIDE",AP$24,"DEEP_PERIOD_OVERRIDE",$H$19)*1,"")))</f>
        <v/>
      </c>
      <c r="AQ178" t="str">
        <f>IF(OR(AQ$23="",ISNA($B178)),"",IF(ISBLANK($B178),"",IFERROR(_xll.BDP(TICKER,"DEEP_MEASURE_PERIOD_BROKER_VALUE","DEEP_MEASURE_ID_OVERRIDE",$C178,"DEEP_BROKER_ID_OVERRIDE",AQ$24,"DEEP_PERIOD_OVERRIDE",$H$19)*1,"")))</f>
        <v/>
      </c>
      <c r="AR178" t="str">
        <f>IF(OR(AR$23="",ISNA($B178)),"",IF(ISBLANK($B178),"",IFERROR(_xll.BDP(TICKER,"DEEP_MEASURE_PERIOD_BROKER_VALUE","DEEP_MEASURE_ID_OVERRIDE",$C178,"DEEP_BROKER_ID_OVERRIDE",AR$24,"DEEP_PERIOD_OVERRIDE",$H$19)*1,"")))</f>
        <v/>
      </c>
      <c r="AS178" t="str">
        <f>IF(OR(AS$23="",ISNA($B178)),"",IF(ISBLANK($B178),"",IFERROR(_xll.BDP(TICKER,"DEEP_MEASURE_PERIOD_BROKER_VALUE","DEEP_MEASURE_ID_OVERRIDE",$C178,"DEEP_BROKER_ID_OVERRIDE",AS$24,"DEEP_PERIOD_OVERRIDE",$H$19)*1,"")))</f>
        <v/>
      </c>
      <c r="AT178" t="str">
        <f>IF(OR(AT$23="",ISNA($B178)),"",IF(ISBLANK($B178),"",IFERROR(_xll.BDP(TICKER,"DEEP_MEASURE_PERIOD_BROKER_VALUE","DEEP_MEASURE_ID_OVERRIDE",$C178,"DEEP_BROKER_ID_OVERRIDE",AT$24,"DEEP_PERIOD_OVERRIDE",$H$19)*1,"")))</f>
        <v/>
      </c>
      <c r="AU178" t="str">
        <f>IF(OR(AU$23="",ISNA($B178)),"",IF(ISBLANK($B178),"",IFERROR(_xll.BDP(TICKER,"DEEP_MEASURE_PERIOD_BROKER_VALUE","DEEP_MEASURE_ID_OVERRIDE",$C178,"DEEP_BROKER_ID_OVERRIDE",AU$24,"DEEP_PERIOD_OVERRIDE",$H$19)*1,"")))</f>
        <v/>
      </c>
      <c r="AV178" t="str">
        <f>IF(OR(AV$23="",ISNA($B178)),"",IF(ISBLANK($B178),"",IFERROR(_xll.BDP(TICKER,"DEEP_MEASURE_PERIOD_BROKER_VALUE","DEEP_MEASURE_ID_OVERRIDE",$C178,"DEEP_BROKER_ID_OVERRIDE",AV$24,"DEEP_PERIOD_OVERRIDE",$H$19)*1,"")))</f>
        <v/>
      </c>
      <c r="AW178" t="str">
        <f>IF(OR(AW$23="",ISNA($B178)),"",IF(ISBLANK($B178),"",IFERROR(_xll.BDP(TICKER,"DEEP_MEASURE_PERIOD_BROKER_VALUE","DEEP_MEASURE_ID_OVERRIDE",$C178,"DEEP_BROKER_ID_OVERRIDE",AW$24,"DEEP_PERIOD_OVERRIDE",$H$19)*1,"")))</f>
        <v/>
      </c>
      <c r="AX178" t="str">
        <f>IF(OR(AX$23="",ISNA($B178)),"",IF(ISBLANK($B178),"",IFERROR(_xll.BDP(TICKER,"DEEP_MEASURE_PERIOD_BROKER_VALUE","DEEP_MEASURE_ID_OVERRIDE",$C178,"DEEP_BROKER_ID_OVERRIDE",AX$24,"DEEP_PERIOD_OVERRIDE",$H$19)*1,"")))</f>
        <v/>
      </c>
      <c r="AY178" t="str">
        <f>IF(OR(AY$23="",ISNA($B178)),"",IF(ISBLANK($B178),"",IFERROR(_xll.BDP(TICKER,"DEEP_MEASURE_PERIOD_BROKER_VALUE","DEEP_MEASURE_ID_OVERRIDE",$C178,"DEEP_BROKER_ID_OVERRIDE",AY$24,"DEEP_PERIOD_OVERRIDE",$H$19)*1,"")))</f>
        <v/>
      </c>
      <c r="AZ178" t="str">
        <f>IF(OR(AZ$23="",ISNA($B178)),"",IF(ISBLANK($B178),"",IFERROR(_xll.BDP(TICKER,"DEEP_MEASURE_PERIOD_BROKER_VALUE","DEEP_MEASURE_ID_OVERRIDE",$C178,"DEEP_BROKER_ID_OVERRIDE",AZ$24,"DEEP_PERIOD_OVERRIDE",$H$19)*1,"")))</f>
        <v/>
      </c>
      <c r="BA178" t="str">
        <f>IF(OR(BA$23="",ISNA($B178)),"",IF(ISBLANK($B178),"",IFERROR(_xll.BDP(TICKER,"DEEP_MEASURE_PERIOD_BROKER_VALUE","DEEP_MEASURE_ID_OVERRIDE",$C178,"DEEP_BROKER_ID_OVERRIDE",BA$24,"DEEP_PERIOD_OVERRIDE",$H$19)*1,"")))</f>
        <v/>
      </c>
      <c r="BB178" t="str">
        <f>IF(OR(BB$23="",ISNA($B178)),"",IF(ISBLANK($B178),"",IFERROR(_xll.BDP(TICKER,"DEEP_MEASURE_PERIOD_BROKER_VALUE","DEEP_MEASURE_ID_OVERRIDE",$C178,"DEEP_BROKER_ID_OVERRIDE",BB$24,"DEEP_PERIOD_OVERRIDE",$H$19)*1,"")))</f>
        <v/>
      </c>
      <c r="BC178" t="str">
        <f>IF(OR(BC$23="",ISNA($B178)),"",IF(ISBLANK($B178),"",IFERROR(_xll.BDP(TICKER,"DEEP_MEASURE_PERIOD_BROKER_VALUE","DEEP_MEASURE_ID_OVERRIDE",$C178,"DEEP_BROKER_ID_OVERRIDE",BC$24,"DEEP_PERIOD_OVERRIDE",$H$19)*1,"")))</f>
        <v/>
      </c>
      <c r="BD178" t="str">
        <f>IF(OR(BD$23="",ISNA($B178)),"",IF(ISBLANK($B178),"",IFERROR(_xll.BDP(TICKER,"DEEP_MEASURE_PERIOD_BROKER_VALUE","DEEP_MEASURE_ID_OVERRIDE",$C178,"DEEP_BROKER_ID_OVERRIDE",BD$24,"DEEP_PERIOD_OVERRIDE",$H$19)*1,"")))</f>
        <v/>
      </c>
      <c r="BE178" t="str">
        <f>IF(OR(BE$23="",ISNA($B178)),"",IF(ISBLANK($B178),"",IFERROR(_xll.BDP(TICKER,"DEEP_MEASURE_PERIOD_BROKER_VALUE","DEEP_MEASURE_ID_OVERRIDE",$C178,"DEEP_BROKER_ID_OVERRIDE",BE$24,"DEEP_PERIOD_OVERRIDE",$H$19)*1,"")))</f>
        <v/>
      </c>
      <c r="BF178" t="str">
        <f>IF(OR(BF$23="",ISNA($B178)),"",IF(ISBLANK($B178),"",IFERROR(_xll.BDP(TICKER,"DEEP_MEASURE_PERIOD_BROKER_VALUE","DEEP_MEASURE_ID_OVERRIDE",$C178,"DEEP_BROKER_ID_OVERRIDE",BF$24,"DEEP_PERIOD_OVERRIDE",$H$19)*1,"")))</f>
        <v/>
      </c>
      <c r="BG178" t="str">
        <f>IF(OR(BG$23="",ISNA($B178)),"",IF(ISBLANK($B178),"",IFERROR(_xll.BDP(TICKER,"DEEP_MEASURE_PERIOD_BROKER_VALUE","DEEP_MEASURE_ID_OVERRIDE",$C178,"DEEP_BROKER_ID_OVERRIDE",BG$24,"DEEP_PERIOD_OVERRIDE",$H$19)*1,"")))</f>
        <v/>
      </c>
      <c r="BH178" t="str">
        <f>IF(OR(BH$23="",ISNA($B178)),"",IF(ISBLANK($B178),"",IFERROR(_xll.BDP(TICKER,"DEEP_MEASURE_PERIOD_BROKER_VALUE","DEEP_MEASURE_ID_OVERRIDE",$C178,"DEEP_BROKER_ID_OVERRIDE",BH$24,"DEEP_PERIOD_OVERRIDE",$H$19)*1,"")))</f>
        <v/>
      </c>
      <c r="BI178" t="str">
        <f>IF(OR(BI$23="",ISNA($B178)),"",IF(ISBLANK($B178),"",IFERROR(_xll.BDP(TICKER,"DEEP_MEASURE_PERIOD_BROKER_VALUE","DEEP_MEASURE_ID_OVERRIDE",$C178,"DEEP_BROKER_ID_OVERRIDE",BI$24,"DEEP_PERIOD_OVERRIDE",$H$19)*1,"")))</f>
        <v/>
      </c>
      <c r="BJ178" t="str">
        <f>IF(OR(BJ$23="",ISNA($B178)),"",IF(ISBLANK($B178),"",IFERROR(_xll.BDP(TICKER,"DEEP_MEASURE_PERIOD_BROKER_VALUE","DEEP_MEASURE_ID_OVERRIDE",$C178,"DEEP_BROKER_ID_OVERRIDE",BJ$24,"DEEP_PERIOD_OVERRIDE",$H$19)*1,"")))</f>
        <v/>
      </c>
      <c r="BK178" t="str">
        <f>IF(OR(BK$23="",ISNA($B178)),"",IF(ISBLANK($B178),"",IFERROR(_xll.BDP(TICKER,"DEEP_MEASURE_PERIOD_BROKER_VALUE","DEEP_MEASURE_ID_OVERRIDE",$C178,"DEEP_BROKER_ID_OVERRIDE",BK$24,"DEEP_PERIOD_OVERRIDE",$H$19)*1,"")))</f>
        <v/>
      </c>
      <c r="BL178" t="str">
        <f>IF(OR(BL$23="",ISNA($B178)),"",IF(ISBLANK($B178),"",IFERROR(_xll.BDP(TICKER,"DEEP_MEASURE_PERIOD_BROKER_VALUE","DEEP_MEASURE_ID_OVERRIDE",$C178,"DEEP_BROKER_ID_OVERRIDE",BL$24,"DEEP_PERIOD_OVERRIDE",$H$19)*1,"")))</f>
        <v/>
      </c>
      <c r="BM178" t="str">
        <f>IF(OR(BM$23="",ISNA($B178)),"",IF(ISBLANK($B178),"",IFERROR(_xll.BDP(TICKER,"DEEP_MEASURE_PERIOD_BROKER_VALUE","DEEP_MEASURE_ID_OVERRIDE",$C178,"DEEP_BROKER_ID_OVERRIDE",BM$24,"DEEP_PERIOD_OVERRIDE",$H$19)*1,"")))</f>
        <v/>
      </c>
      <c r="BN178" t="str">
        <f>IF(OR(BN$23="",ISNA($B178)),"",IF(ISBLANK($B178),"",IFERROR(_xll.BDP(TICKER,"DEEP_MEASURE_PERIOD_BROKER_VALUE","DEEP_MEASURE_ID_OVERRIDE",$C178,"DEEP_BROKER_ID_OVERRIDE",BN$24,"DEEP_PERIOD_OVERRIDE",$H$19)*1,"")))</f>
        <v/>
      </c>
      <c r="BO178" t="str">
        <f>IF(OR(BO$23="",ISNA($B178)),"",IF(ISBLANK($B178),"",IFERROR(_xll.BDP(TICKER,"DEEP_MEASURE_PERIOD_BROKER_VALUE","DEEP_MEASURE_ID_OVERRIDE",$C178,"DEEP_BROKER_ID_OVERRIDE",BO$24,"DEEP_PERIOD_OVERRIDE",$H$19)*1,"")))</f>
        <v/>
      </c>
      <c r="BP178" t="str">
        <f>IF(OR(BP$23="",ISNA($B178)),"",IF(ISBLANK($B178),"",IFERROR(_xll.BDP(TICKER,"DEEP_MEASURE_PERIOD_BROKER_VALUE","DEEP_MEASURE_ID_OVERRIDE",$C178,"DEEP_BROKER_ID_OVERRIDE",BP$24,"DEEP_PERIOD_OVERRIDE",$H$19)*1,"")))</f>
        <v/>
      </c>
      <c r="BQ178" t="str">
        <f>IF(OR(BQ$23="",ISNA($B178)),"",IF(ISBLANK($B178),"",IFERROR(_xll.BDP(TICKER,"DEEP_MEASURE_PERIOD_BROKER_VALUE","DEEP_MEASURE_ID_OVERRIDE",$C178,"DEEP_BROKER_ID_OVERRIDE",BQ$24,"DEEP_PERIOD_OVERRIDE",$H$19)*1,"")))</f>
        <v/>
      </c>
      <c r="BR178" t="str">
        <f>IF(OR(BR$23="",ISNA($B178)),"",IF(ISBLANK($B178),"",IFERROR(_xll.BDP(TICKER,"DEEP_MEASURE_PERIOD_BROKER_VALUE","DEEP_MEASURE_ID_OVERRIDE",$C178,"DEEP_BROKER_ID_OVERRIDE",BR$24,"DEEP_PERIOD_OVERRIDE",$H$19)*1,"")))</f>
        <v/>
      </c>
      <c r="BS178" t="str">
        <f>IF(OR(BS$23="",ISNA($B178)),"",IF(ISBLANK($B178),"",IFERROR(_xll.BDP(TICKER,"DEEP_MEASURE_PERIOD_BROKER_VALUE","DEEP_MEASURE_ID_OVERRIDE",$C178,"DEEP_BROKER_ID_OVERRIDE",BS$24,"DEEP_PERIOD_OVERRIDE",$H$19)*1,"")))</f>
        <v/>
      </c>
      <c r="BT178" t="str">
        <f>IF(OR(BT$23="",ISNA($B178)),"",IF(ISBLANK($B178),"",IFERROR(_xll.BDP(TICKER,"DEEP_MEASURE_PERIOD_BROKER_VALUE","DEEP_MEASURE_ID_OVERRIDE",$C178,"DEEP_BROKER_ID_OVERRIDE",BT$24,"DEEP_PERIOD_OVERRIDE",$H$19)*1,"")))</f>
        <v/>
      </c>
      <c r="BU178" t="str">
        <f>IF(OR(BU$23="",ISNA($B178)),"",IF(ISBLANK($B178),"",IFERROR(_xll.BDP(TICKER,"DEEP_MEASURE_PERIOD_BROKER_VALUE","DEEP_MEASURE_ID_OVERRIDE",$C178,"DEEP_BROKER_ID_OVERRIDE",BU$24,"DEEP_PERIOD_OVERRIDE",$H$19)*1,"")))</f>
        <v/>
      </c>
      <c r="BV178" t="str">
        <f>IF(OR(BV$23="",ISNA($B178)),"",IF(ISBLANK($B178),"",IFERROR(_xll.BDP(TICKER,"DEEP_MEASURE_PERIOD_BROKER_VALUE","DEEP_MEASURE_ID_OVERRIDE",$C178,"DEEP_BROKER_ID_OVERRIDE",BV$24,"DEEP_PERIOD_OVERRIDE",$H$19)*1,"")))</f>
        <v/>
      </c>
      <c r="BW178" t="str">
        <f>IF(OR(BW$23="",ISNA($B178)),"",IF(ISBLANK($B178),"",IFERROR(_xll.BDP(TICKER,"DEEP_MEASURE_PERIOD_BROKER_VALUE","DEEP_MEASURE_ID_OVERRIDE",$C178,"DEEP_BROKER_ID_OVERRIDE",BW$24,"DEEP_PERIOD_OVERRIDE",$H$19)*1,"")))</f>
        <v/>
      </c>
      <c r="BX178" t="str">
        <f>IF(OR(BX$23="",ISNA($B178)),"",IF(ISBLANK($B178),"",IFERROR(_xll.BDP(TICKER,"DEEP_MEASURE_PERIOD_BROKER_VALUE","DEEP_MEASURE_ID_OVERRIDE",$C178,"DEEP_BROKER_ID_OVERRIDE",BX$24,"DEEP_PERIOD_OVERRIDE",$H$19)*1,"")))</f>
        <v/>
      </c>
      <c r="BY178" t="str">
        <f>IF(OR(BY$23="",ISNA($B178)),"",IF(ISBLANK($B178),"",IFERROR(_xll.BDP(TICKER,"DEEP_MEASURE_PERIOD_BROKER_VALUE","DEEP_MEASURE_ID_OVERRIDE",$C178,"DEEP_BROKER_ID_OVERRIDE",BY$24,"DEEP_PERIOD_OVERRIDE",$H$19)*1,"")))</f>
        <v/>
      </c>
      <c r="BZ178" t="str">
        <f>IF(OR(BZ$23="",ISNA($B178)),"",IF(ISBLANK($B178),"",IFERROR(_xll.BDP(TICKER,"DEEP_MEASURE_PERIOD_BROKER_VALUE","DEEP_MEASURE_ID_OVERRIDE",$C178,"DEEP_BROKER_ID_OVERRIDE",BZ$24,"DEEP_PERIOD_OVERRIDE",$H$19)*1,"")))</f>
        <v/>
      </c>
    </row>
    <row r="179" spans="2:78" x14ac:dyDescent="0.25">
      <c r="B179" t="s">
        <v>200</v>
      </c>
      <c r="C179">
        <v>492</v>
      </c>
      <c r="H179" t="str">
        <f t="shared" si="3"/>
        <v>Liabilities &amp; Shareholders' Equity &gt; Current Liabilities &gt; Accured Expense &amp; Other Current Liabilities</v>
      </c>
      <c r="I179" t="str">
        <f>IF(OR(I$23="",ISNA($B179)),"",IF(ISBLANK($B179),"",IFERROR(_xll.BDP(TICKER,"DEEP_MEASURE_PERIOD_BROKER_VALUE","DEEP_MEASURE_ID_OVERRIDE",$C179,"DEEP_PERIOD_OVERRIDE",$H$19)*1,"")))</f>
        <v/>
      </c>
      <c r="J179" t="e">
        <f>IF(OR(J$23="",ISNA($B179)),"",IF(ISBLANK($B179),"",IFERROR(_xll.BDP(TICKER,"DEEP_MEASURE_PERIOD_BROKER_VALUE","DEEP_MEASURE_ID_OVERRIDE",$C179,"DEEP_BROKER_ID_OVERRIDE",J$24,"DEEP_PERIOD_OVERRIDE",$H$19)*1,"")))</f>
        <v>#REF!</v>
      </c>
      <c r="K179" t="str">
        <f>IF(OR(K$23="",ISNA($B179)),"",IF(ISBLANK($B179),"",IFERROR(_xll.BDP(TICKER,"DEEP_MEASURE_PERIOD_BROKER_VALUE","DEEP_MEASURE_ID_OVERRIDE",$C179,"DEEP_BROKER_ID_OVERRIDE",K$24,"DEEP_PERIOD_OVERRIDE",$H$19)*1,"")))</f>
        <v/>
      </c>
      <c r="L179" t="str">
        <f>IF(OR(L$23="",ISNA($B179)),"",IF(ISBLANK($B179),"",IFERROR(_xll.BDP(TICKER,"DEEP_MEASURE_PERIOD_BROKER_VALUE","DEEP_MEASURE_ID_OVERRIDE",$C179,"DEEP_BROKER_ID_OVERRIDE",L$24,"DEEP_PERIOD_OVERRIDE",$H$19)*1,"")))</f>
        <v/>
      </c>
      <c r="M179" t="str">
        <f>IF(OR(M$23="",ISNA($B179)),"",IF(ISBLANK($B179),"",IFERROR(_xll.BDP(TICKER,"DEEP_MEASURE_PERIOD_BROKER_VALUE","DEEP_MEASURE_ID_OVERRIDE",$C179,"DEEP_BROKER_ID_OVERRIDE",M$24,"DEEP_PERIOD_OVERRIDE",$H$19)*1,"")))</f>
        <v/>
      </c>
      <c r="N179" t="str">
        <f>IF(OR(N$23="",ISNA($B179)),"",IF(ISBLANK($B179),"",IFERROR(_xll.BDP(TICKER,"DEEP_MEASURE_PERIOD_BROKER_VALUE","DEEP_MEASURE_ID_OVERRIDE",$C179,"DEEP_BROKER_ID_OVERRIDE",N$24,"DEEP_PERIOD_OVERRIDE",$H$19)*1,"")))</f>
        <v/>
      </c>
      <c r="O179" t="str">
        <f>IF(OR(O$23="",ISNA($B179)),"",IF(ISBLANK($B179),"",IFERROR(_xll.BDP(TICKER,"DEEP_MEASURE_PERIOD_BROKER_VALUE","DEEP_MEASURE_ID_OVERRIDE",$C179,"DEEP_BROKER_ID_OVERRIDE",O$24,"DEEP_PERIOD_OVERRIDE",$H$19)*1,"")))</f>
        <v/>
      </c>
      <c r="P179" t="str">
        <f>IF(OR(P$23="",ISNA($B179)),"",IF(ISBLANK($B179),"",IFERROR(_xll.BDP(TICKER,"DEEP_MEASURE_PERIOD_BROKER_VALUE","DEEP_MEASURE_ID_OVERRIDE",$C179,"DEEP_BROKER_ID_OVERRIDE",P$24,"DEEP_PERIOD_OVERRIDE",$H$19)*1,"")))</f>
        <v/>
      </c>
      <c r="Q179" t="str">
        <f>IF(OR(Q$23="",ISNA($B179)),"",IF(ISBLANK($B179),"",IFERROR(_xll.BDP(TICKER,"DEEP_MEASURE_PERIOD_BROKER_VALUE","DEEP_MEASURE_ID_OVERRIDE",$C179,"DEEP_BROKER_ID_OVERRIDE",Q$24,"DEEP_PERIOD_OVERRIDE",$H$19)*1,"")))</f>
        <v/>
      </c>
      <c r="R179" t="str">
        <f>IF(OR(R$23="",ISNA($B179)),"",IF(ISBLANK($B179),"",IFERROR(_xll.BDP(TICKER,"DEEP_MEASURE_PERIOD_BROKER_VALUE","DEEP_MEASURE_ID_OVERRIDE",$C179,"DEEP_BROKER_ID_OVERRIDE",R$24,"DEEP_PERIOD_OVERRIDE",$H$19)*1,"")))</f>
        <v/>
      </c>
      <c r="S179" t="str">
        <f>IF(OR(S$23="",ISNA($B179)),"",IF(ISBLANK($B179),"",IFERROR(_xll.BDP(TICKER,"DEEP_MEASURE_PERIOD_BROKER_VALUE","DEEP_MEASURE_ID_OVERRIDE",$C179,"DEEP_BROKER_ID_OVERRIDE",S$24,"DEEP_PERIOD_OVERRIDE",$H$19)*1,"")))</f>
        <v/>
      </c>
      <c r="T179" t="str">
        <f>IF(OR(T$23="",ISNA($B179)),"",IF(ISBLANK($B179),"",IFERROR(_xll.BDP(TICKER,"DEEP_MEASURE_PERIOD_BROKER_VALUE","DEEP_MEASURE_ID_OVERRIDE",$C179,"DEEP_BROKER_ID_OVERRIDE",T$24,"DEEP_PERIOD_OVERRIDE",$H$19)*1,"")))</f>
        <v/>
      </c>
      <c r="U179" t="str">
        <f>IF(OR(U$23="",ISNA($B179)),"",IF(ISBLANK($B179),"",IFERROR(_xll.BDP(TICKER,"DEEP_MEASURE_PERIOD_BROKER_VALUE","DEEP_MEASURE_ID_OVERRIDE",$C179,"DEEP_BROKER_ID_OVERRIDE",U$24,"DEEP_PERIOD_OVERRIDE",$H$19)*1,"")))</f>
        <v/>
      </c>
      <c r="V179" t="str">
        <f>IF(OR(V$23="",ISNA($B179)),"",IF(ISBLANK($B179),"",IFERROR(_xll.BDP(TICKER,"DEEP_MEASURE_PERIOD_BROKER_VALUE","DEEP_MEASURE_ID_OVERRIDE",$C179,"DEEP_BROKER_ID_OVERRIDE",V$24,"DEEP_PERIOD_OVERRIDE",$H$19)*1,"")))</f>
        <v/>
      </c>
      <c r="W179" t="str">
        <f>IF(OR(W$23="",ISNA($B179)),"",IF(ISBLANK($B179),"",IFERROR(_xll.BDP(TICKER,"DEEP_MEASURE_PERIOD_BROKER_VALUE","DEEP_MEASURE_ID_OVERRIDE",$C179,"DEEP_BROKER_ID_OVERRIDE",W$24,"DEEP_PERIOD_OVERRIDE",$H$19)*1,"")))</f>
        <v/>
      </c>
      <c r="X179" t="str">
        <f>IF(OR(X$23="",ISNA($B179)),"",IF(ISBLANK($B179),"",IFERROR(_xll.BDP(TICKER,"DEEP_MEASURE_PERIOD_BROKER_VALUE","DEEP_MEASURE_ID_OVERRIDE",$C179,"DEEP_BROKER_ID_OVERRIDE",X$24,"DEEP_PERIOD_OVERRIDE",$H$19)*1,"")))</f>
        <v/>
      </c>
      <c r="Y179" t="str">
        <f>IF(OR(Y$23="",ISNA($B179)),"",IF(ISBLANK($B179),"",IFERROR(_xll.BDP(TICKER,"DEEP_MEASURE_PERIOD_BROKER_VALUE","DEEP_MEASURE_ID_OVERRIDE",$C179,"DEEP_BROKER_ID_OVERRIDE",Y$24,"DEEP_PERIOD_OVERRIDE",$H$19)*1,"")))</f>
        <v/>
      </c>
      <c r="Z179" t="str">
        <f>IF(OR(Z$23="",ISNA($B179)),"",IF(ISBLANK($B179),"",IFERROR(_xll.BDP(TICKER,"DEEP_MEASURE_PERIOD_BROKER_VALUE","DEEP_MEASURE_ID_OVERRIDE",$C179,"DEEP_BROKER_ID_OVERRIDE",Z$24,"DEEP_PERIOD_OVERRIDE",$H$19)*1,"")))</f>
        <v/>
      </c>
      <c r="AA179" t="str">
        <f>IF(OR(AA$23="",ISNA($B179)),"",IF(ISBLANK($B179),"",IFERROR(_xll.BDP(TICKER,"DEEP_MEASURE_PERIOD_BROKER_VALUE","DEEP_MEASURE_ID_OVERRIDE",$C179,"DEEP_BROKER_ID_OVERRIDE",AA$24,"DEEP_PERIOD_OVERRIDE",$H$19)*1,"")))</f>
        <v/>
      </c>
      <c r="AB179" t="str">
        <f>IF(OR(AB$23="",ISNA($B179)),"",IF(ISBLANK($B179),"",IFERROR(_xll.BDP(TICKER,"DEEP_MEASURE_PERIOD_BROKER_VALUE","DEEP_MEASURE_ID_OVERRIDE",$C179,"DEEP_BROKER_ID_OVERRIDE",AB$24,"DEEP_PERIOD_OVERRIDE",$H$19)*1,"")))</f>
        <v/>
      </c>
      <c r="AC179" t="str">
        <f>IF(OR(AC$23="",ISNA($B179)),"",IF(ISBLANK($B179),"",IFERROR(_xll.BDP(TICKER,"DEEP_MEASURE_PERIOD_BROKER_VALUE","DEEP_MEASURE_ID_OVERRIDE",$C179,"DEEP_BROKER_ID_OVERRIDE",AC$24,"DEEP_PERIOD_OVERRIDE",$H$19)*1,"")))</f>
        <v/>
      </c>
      <c r="AD179" t="str">
        <f>IF(OR(AD$23="",ISNA($B179)),"",IF(ISBLANK($B179),"",IFERROR(_xll.BDP(TICKER,"DEEP_MEASURE_PERIOD_BROKER_VALUE","DEEP_MEASURE_ID_OVERRIDE",$C179,"DEEP_BROKER_ID_OVERRIDE",AD$24,"DEEP_PERIOD_OVERRIDE",$H$19)*1,"")))</f>
        <v/>
      </c>
      <c r="AE179" t="str">
        <f>IF(OR(AE$23="",ISNA($B179)),"",IF(ISBLANK($B179),"",IFERROR(_xll.BDP(TICKER,"DEEP_MEASURE_PERIOD_BROKER_VALUE","DEEP_MEASURE_ID_OVERRIDE",$C179,"DEEP_BROKER_ID_OVERRIDE",AE$24,"DEEP_PERIOD_OVERRIDE",$H$19)*1,"")))</f>
        <v/>
      </c>
      <c r="AF179" t="str">
        <f>IF(OR(AF$23="",ISNA($B179)),"",IF(ISBLANK($B179),"",IFERROR(_xll.BDP(TICKER,"DEEP_MEASURE_PERIOD_BROKER_VALUE","DEEP_MEASURE_ID_OVERRIDE",$C179,"DEEP_BROKER_ID_OVERRIDE",AF$24,"DEEP_PERIOD_OVERRIDE",$H$19)*1,"")))</f>
        <v/>
      </c>
      <c r="AG179" t="str">
        <f>IF(OR(AG$23="",ISNA($B179)),"",IF(ISBLANK($B179),"",IFERROR(_xll.BDP(TICKER,"DEEP_MEASURE_PERIOD_BROKER_VALUE","DEEP_MEASURE_ID_OVERRIDE",$C179,"DEEP_BROKER_ID_OVERRIDE",AG$24,"DEEP_PERIOD_OVERRIDE",$H$19)*1,"")))</f>
        <v/>
      </c>
      <c r="AH179" t="str">
        <f>IF(OR(AH$23="",ISNA($B179)),"",IF(ISBLANK($B179),"",IFERROR(_xll.BDP(TICKER,"DEEP_MEASURE_PERIOD_BROKER_VALUE","DEEP_MEASURE_ID_OVERRIDE",$C179,"DEEP_BROKER_ID_OVERRIDE",AH$24,"DEEP_PERIOD_OVERRIDE",$H$19)*1,"")))</f>
        <v/>
      </c>
      <c r="AI179" t="str">
        <f>IF(OR(AI$23="",ISNA($B179)),"",IF(ISBLANK($B179),"",IFERROR(_xll.BDP(TICKER,"DEEP_MEASURE_PERIOD_BROKER_VALUE","DEEP_MEASURE_ID_OVERRIDE",$C179,"DEEP_BROKER_ID_OVERRIDE",AI$24,"DEEP_PERIOD_OVERRIDE",$H$19)*1,"")))</f>
        <v/>
      </c>
      <c r="AJ179" t="str">
        <f>IF(OR(AJ$23="",ISNA($B179)),"",IF(ISBLANK($B179),"",IFERROR(_xll.BDP(TICKER,"DEEP_MEASURE_PERIOD_BROKER_VALUE","DEEP_MEASURE_ID_OVERRIDE",$C179,"DEEP_BROKER_ID_OVERRIDE",AJ$24,"DEEP_PERIOD_OVERRIDE",$H$19)*1,"")))</f>
        <v/>
      </c>
      <c r="AK179" t="str">
        <f>IF(OR(AK$23="",ISNA($B179)),"",IF(ISBLANK($B179),"",IFERROR(_xll.BDP(TICKER,"DEEP_MEASURE_PERIOD_BROKER_VALUE","DEEP_MEASURE_ID_OVERRIDE",$C179,"DEEP_BROKER_ID_OVERRIDE",AK$24,"DEEP_PERIOD_OVERRIDE",$H$19)*1,"")))</f>
        <v/>
      </c>
      <c r="AL179" t="str">
        <f>IF(OR(AL$23="",ISNA($B179)),"",IF(ISBLANK($B179),"",IFERROR(_xll.BDP(TICKER,"DEEP_MEASURE_PERIOD_BROKER_VALUE","DEEP_MEASURE_ID_OVERRIDE",$C179,"DEEP_BROKER_ID_OVERRIDE",AL$24,"DEEP_PERIOD_OVERRIDE",$H$19)*1,"")))</f>
        <v/>
      </c>
      <c r="AM179" t="str">
        <f>IF(OR(AM$23="",ISNA($B179)),"",IF(ISBLANK($B179),"",IFERROR(_xll.BDP(TICKER,"DEEP_MEASURE_PERIOD_BROKER_VALUE","DEEP_MEASURE_ID_OVERRIDE",$C179,"DEEP_BROKER_ID_OVERRIDE",AM$24,"DEEP_PERIOD_OVERRIDE",$H$19)*1,"")))</f>
        <v/>
      </c>
      <c r="AN179" t="str">
        <f>IF(OR(AN$23="",ISNA($B179)),"",IF(ISBLANK($B179),"",IFERROR(_xll.BDP(TICKER,"DEEP_MEASURE_PERIOD_BROKER_VALUE","DEEP_MEASURE_ID_OVERRIDE",$C179,"DEEP_BROKER_ID_OVERRIDE",AN$24,"DEEP_PERIOD_OVERRIDE",$H$19)*1,"")))</f>
        <v/>
      </c>
      <c r="AO179" t="str">
        <f>IF(OR(AO$23="",ISNA($B179)),"",IF(ISBLANK($B179),"",IFERROR(_xll.BDP(TICKER,"DEEP_MEASURE_PERIOD_BROKER_VALUE","DEEP_MEASURE_ID_OVERRIDE",$C179,"DEEP_BROKER_ID_OVERRIDE",AO$24,"DEEP_PERIOD_OVERRIDE",$H$19)*1,"")))</f>
        <v/>
      </c>
      <c r="AP179" t="str">
        <f>IF(OR(AP$23="",ISNA($B179)),"",IF(ISBLANK($B179),"",IFERROR(_xll.BDP(TICKER,"DEEP_MEASURE_PERIOD_BROKER_VALUE","DEEP_MEASURE_ID_OVERRIDE",$C179,"DEEP_BROKER_ID_OVERRIDE",AP$24,"DEEP_PERIOD_OVERRIDE",$H$19)*1,"")))</f>
        <v/>
      </c>
      <c r="AQ179" t="str">
        <f>IF(OR(AQ$23="",ISNA($B179)),"",IF(ISBLANK($B179),"",IFERROR(_xll.BDP(TICKER,"DEEP_MEASURE_PERIOD_BROKER_VALUE","DEEP_MEASURE_ID_OVERRIDE",$C179,"DEEP_BROKER_ID_OVERRIDE",AQ$24,"DEEP_PERIOD_OVERRIDE",$H$19)*1,"")))</f>
        <v/>
      </c>
      <c r="AR179" t="str">
        <f>IF(OR(AR$23="",ISNA($B179)),"",IF(ISBLANK($B179),"",IFERROR(_xll.BDP(TICKER,"DEEP_MEASURE_PERIOD_BROKER_VALUE","DEEP_MEASURE_ID_OVERRIDE",$C179,"DEEP_BROKER_ID_OVERRIDE",AR$24,"DEEP_PERIOD_OVERRIDE",$H$19)*1,"")))</f>
        <v/>
      </c>
      <c r="AS179" t="str">
        <f>IF(OR(AS$23="",ISNA($B179)),"",IF(ISBLANK($B179),"",IFERROR(_xll.BDP(TICKER,"DEEP_MEASURE_PERIOD_BROKER_VALUE","DEEP_MEASURE_ID_OVERRIDE",$C179,"DEEP_BROKER_ID_OVERRIDE",AS$24,"DEEP_PERIOD_OVERRIDE",$H$19)*1,"")))</f>
        <v/>
      </c>
      <c r="AT179" t="str">
        <f>IF(OR(AT$23="",ISNA($B179)),"",IF(ISBLANK($B179),"",IFERROR(_xll.BDP(TICKER,"DEEP_MEASURE_PERIOD_BROKER_VALUE","DEEP_MEASURE_ID_OVERRIDE",$C179,"DEEP_BROKER_ID_OVERRIDE",AT$24,"DEEP_PERIOD_OVERRIDE",$H$19)*1,"")))</f>
        <v/>
      </c>
      <c r="AU179" t="str">
        <f>IF(OR(AU$23="",ISNA($B179)),"",IF(ISBLANK($B179),"",IFERROR(_xll.BDP(TICKER,"DEEP_MEASURE_PERIOD_BROKER_VALUE","DEEP_MEASURE_ID_OVERRIDE",$C179,"DEEP_BROKER_ID_OVERRIDE",AU$24,"DEEP_PERIOD_OVERRIDE",$H$19)*1,"")))</f>
        <v/>
      </c>
      <c r="AV179" t="str">
        <f>IF(OR(AV$23="",ISNA($B179)),"",IF(ISBLANK($B179),"",IFERROR(_xll.BDP(TICKER,"DEEP_MEASURE_PERIOD_BROKER_VALUE","DEEP_MEASURE_ID_OVERRIDE",$C179,"DEEP_BROKER_ID_OVERRIDE",AV$24,"DEEP_PERIOD_OVERRIDE",$H$19)*1,"")))</f>
        <v/>
      </c>
      <c r="AW179" t="str">
        <f>IF(OR(AW$23="",ISNA($B179)),"",IF(ISBLANK($B179),"",IFERROR(_xll.BDP(TICKER,"DEEP_MEASURE_PERIOD_BROKER_VALUE","DEEP_MEASURE_ID_OVERRIDE",$C179,"DEEP_BROKER_ID_OVERRIDE",AW$24,"DEEP_PERIOD_OVERRIDE",$H$19)*1,"")))</f>
        <v/>
      </c>
      <c r="AX179" t="str">
        <f>IF(OR(AX$23="",ISNA($B179)),"",IF(ISBLANK($B179),"",IFERROR(_xll.BDP(TICKER,"DEEP_MEASURE_PERIOD_BROKER_VALUE","DEEP_MEASURE_ID_OVERRIDE",$C179,"DEEP_BROKER_ID_OVERRIDE",AX$24,"DEEP_PERIOD_OVERRIDE",$H$19)*1,"")))</f>
        <v/>
      </c>
      <c r="AY179" t="str">
        <f>IF(OR(AY$23="",ISNA($B179)),"",IF(ISBLANK($B179),"",IFERROR(_xll.BDP(TICKER,"DEEP_MEASURE_PERIOD_BROKER_VALUE","DEEP_MEASURE_ID_OVERRIDE",$C179,"DEEP_BROKER_ID_OVERRIDE",AY$24,"DEEP_PERIOD_OVERRIDE",$H$19)*1,"")))</f>
        <v/>
      </c>
      <c r="AZ179" t="str">
        <f>IF(OR(AZ$23="",ISNA($B179)),"",IF(ISBLANK($B179),"",IFERROR(_xll.BDP(TICKER,"DEEP_MEASURE_PERIOD_BROKER_VALUE","DEEP_MEASURE_ID_OVERRIDE",$C179,"DEEP_BROKER_ID_OVERRIDE",AZ$24,"DEEP_PERIOD_OVERRIDE",$H$19)*1,"")))</f>
        <v/>
      </c>
      <c r="BA179" t="str">
        <f>IF(OR(BA$23="",ISNA($B179)),"",IF(ISBLANK($B179),"",IFERROR(_xll.BDP(TICKER,"DEEP_MEASURE_PERIOD_BROKER_VALUE","DEEP_MEASURE_ID_OVERRIDE",$C179,"DEEP_BROKER_ID_OVERRIDE",BA$24,"DEEP_PERIOD_OVERRIDE",$H$19)*1,"")))</f>
        <v/>
      </c>
      <c r="BB179" t="str">
        <f>IF(OR(BB$23="",ISNA($B179)),"",IF(ISBLANK($B179),"",IFERROR(_xll.BDP(TICKER,"DEEP_MEASURE_PERIOD_BROKER_VALUE","DEEP_MEASURE_ID_OVERRIDE",$C179,"DEEP_BROKER_ID_OVERRIDE",BB$24,"DEEP_PERIOD_OVERRIDE",$H$19)*1,"")))</f>
        <v/>
      </c>
      <c r="BC179" t="str">
        <f>IF(OR(BC$23="",ISNA($B179)),"",IF(ISBLANK($B179),"",IFERROR(_xll.BDP(TICKER,"DEEP_MEASURE_PERIOD_BROKER_VALUE","DEEP_MEASURE_ID_OVERRIDE",$C179,"DEEP_BROKER_ID_OVERRIDE",BC$24,"DEEP_PERIOD_OVERRIDE",$H$19)*1,"")))</f>
        <v/>
      </c>
      <c r="BD179" t="str">
        <f>IF(OR(BD$23="",ISNA($B179)),"",IF(ISBLANK($B179),"",IFERROR(_xll.BDP(TICKER,"DEEP_MEASURE_PERIOD_BROKER_VALUE","DEEP_MEASURE_ID_OVERRIDE",$C179,"DEEP_BROKER_ID_OVERRIDE",BD$24,"DEEP_PERIOD_OVERRIDE",$H$19)*1,"")))</f>
        <v/>
      </c>
      <c r="BE179" t="str">
        <f>IF(OR(BE$23="",ISNA($B179)),"",IF(ISBLANK($B179),"",IFERROR(_xll.BDP(TICKER,"DEEP_MEASURE_PERIOD_BROKER_VALUE","DEEP_MEASURE_ID_OVERRIDE",$C179,"DEEP_BROKER_ID_OVERRIDE",BE$24,"DEEP_PERIOD_OVERRIDE",$H$19)*1,"")))</f>
        <v/>
      </c>
      <c r="BF179" t="str">
        <f>IF(OR(BF$23="",ISNA($B179)),"",IF(ISBLANK($B179),"",IFERROR(_xll.BDP(TICKER,"DEEP_MEASURE_PERIOD_BROKER_VALUE","DEEP_MEASURE_ID_OVERRIDE",$C179,"DEEP_BROKER_ID_OVERRIDE",BF$24,"DEEP_PERIOD_OVERRIDE",$H$19)*1,"")))</f>
        <v/>
      </c>
      <c r="BG179" t="str">
        <f>IF(OR(BG$23="",ISNA($B179)),"",IF(ISBLANK($B179),"",IFERROR(_xll.BDP(TICKER,"DEEP_MEASURE_PERIOD_BROKER_VALUE","DEEP_MEASURE_ID_OVERRIDE",$C179,"DEEP_BROKER_ID_OVERRIDE",BG$24,"DEEP_PERIOD_OVERRIDE",$H$19)*1,"")))</f>
        <v/>
      </c>
      <c r="BH179" t="str">
        <f>IF(OR(BH$23="",ISNA($B179)),"",IF(ISBLANK($B179),"",IFERROR(_xll.BDP(TICKER,"DEEP_MEASURE_PERIOD_BROKER_VALUE","DEEP_MEASURE_ID_OVERRIDE",$C179,"DEEP_BROKER_ID_OVERRIDE",BH$24,"DEEP_PERIOD_OVERRIDE",$H$19)*1,"")))</f>
        <v/>
      </c>
      <c r="BI179" t="str">
        <f>IF(OR(BI$23="",ISNA($B179)),"",IF(ISBLANK($B179),"",IFERROR(_xll.BDP(TICKER,"DEEP_MEASURE_PERIOD_BROKER_VALUE","DEEP_MEASURE_ID_OVERRIDE",$C179,"DEEP_BROKER_ID_OVERRIDE",BI$24,"DEEP_PERIOD_OVERRIDE",$H$19)*1,"")))</f>
        <v/>
      </c>
      <c r="BJ179" t="str">
        <f>IF(OR(BJ$23="",ISNA($B179)),"",IF(ISBLANK($B179),"",IFERROR(_xll.BDP(TICKER,"DEEP_MEASURE_PERIOD_BROKER_VALUE","DEEP_MEASURE_ID_OVERRIDE",$C179,"DEEP_BROKER_ID_OVERRIDE",BJ$24,"DEEP_PERIOD_OVERRIDE",$H$19)*1,"")))</f>
        <v/>
      </c>
      <c r="BK179" t="str">
        <f>IF(OR(BK$23="",ISNA($B179)),"",IF(ISBLANK($B179),"",IFERROR(_xll.BDP(TICKER,"DEEP_MEASURE_PERIOD_BROKER_VALUE","DEEP_MEASURE_ID_OVERRIDE",$C179,"DEEP_BROKER_ID_OVERRIDE",BK$24,"DEEP_PERIOD_OVERRIDE",$H$19)*1,"")))</f>
        <v/>
      </c>
      <c r="BL179" t="str">
        <f>IF(OR(BL$23="",ISNA($B179)),"",IF(ISBLANK($B179),"",IFERROR(_xll.BDP(TICKER,"DEEP_MEASURE_PERIOD_BROKER_VALUE","DEEP_MEASURE_ID_OVERRIDE",$C179,"DEEP_BROKER_ID_OVERRIDE",BL$24,"DEEP_PERIOD_OVERRIDE",$H$19)*1,"")))</f>
        <v/>
      </c>
      <c r="BM179" t="str">
        <f>IF(OR(BM$23="",ISNA($B179)),"",IF(ISBLANK($B179),"",IFERROR(_xll.BDP(TICKER,"DEEP_MEASURE_PERIOD_BROKER_VALUE","DEEP_MEASURE_ID_OVERRIDE",$C179,"DEEP_BROKER_ID_OVERRIDE",BM$24,"DEEP_PERIOD_OVERRIDE",$H$19)*1,"")))</f>
        <v/>
      </c>
      <c r="BN179" t="str">
        <f>IF(OR(BN$23="",ISNA($B179)),"",IF(ISBLANK($B179),"",IFERROR(_xll.BDP(TICKER,"DEEP_MEASURE_PERIOD_BROKER_VALUE","DEEP_MEASURE_ID_OVERRIDE",$C179,"DEEP_BROKER_ID_OVERRIDE",BN$24,"DEEP_PERIOD_OVERRIDE",$H$19)*1,"")))</f>
        <v/>
      </c>
      <c r="BO179" t="str">
        <f>IF(OR(BO$23="",ISNA($B179)),"",IF(ISBLANK($B179),"",IFERROR(_xll.BDP(TICKER,"DEEP_MEASURE_PERIOD_BROKER_VALUE","DEEP_MEASURE_ID_OVERRIDE",$C179,"DEEP_BROKER_ID_OVERRIDE",BO$24,"DEEP_PERIOD_OVERRIDE",$H$19)*1,"")))</f>
        <v/>
      </c>
      <c r="BP179" t="str">
        <f>IF(OR(BP$23="",ISNA($B179)),"",IF(ISBLANK($B179),"",IFERROR(_xll.BDP(TICKER,"DEEP_MEASURE_PERIOD_BROKER_VALUE","DEEP_MEASURE_ID_OVERRIDE",$C179,"DEEP_BROKER_ID_OVERRIDE",BP$24,"DEEP_PERIOD_OVERRIDE",$H$19)*1,"")))</f>
        <v/>
      </c>
      <c r="BQ179" t="str">
        <f>IF(OR(BQ$23="",ISNA($B179)),"",IF(ISBLANK($B179),"",IFERROR(_xll.BDP(TICKER,"DEEP_MEASURE_PERIOD_BROKER_VALUE","DEEP_MEASURE_ID_OVERRIDE",$C179,"DEEP_BROKER_ID_OVERRIDE",BQ$24,"DEEP_PERIOD_OVERRIDE",$H$19)*1,"")))</f>
        <v/>
      </c>
      <c r="BR179" t="str">
        <f>IF(OR(BR$23="",ISNA($B179)),"",IF(ISBLANK($B179),"",IFERROR(_xll.BDP(TICKER,"DEEP_MEASURE_PERIOD_BROKER_VALUE","DEEP_MEASURE_ID_OVERRIDE",$C179,"DEEP_BROKER_ID_OVERRIDE",BR$24,"DEEP_PERIOD_OVERRIDE",$H$19)*1,"")))</f>
        <v/>
      </c>
      <c r="BS179" t="str">
        <f>IF(OR(BS$23="",ISNA($B179)),"",IF(ISBLANK($B179),"",IFERROR(_xll.BDP(TICKER,"DEEP_MEASURE_PERIOD_BROKER_VALUE","DEEP_MEASURE_ID_OVERRIDE",$C179,"DEEP_BROKER_ID_OVERRIDE",BS$24,"DEEP_PERIOD_OVERRIDE",$H$19)*1,"")))</f>
        <v/>
      </c>
      <c r="BT179" t="str">
        <f>IF(OR(BT$23="",ISNA($B179)),"",IF(ISBLANK($B179),"",IFERROR(_xll.BDP(TICKER,"DEEP_MEASURE_PERIOD_BROKER_VALUE","DEEP_MEASURE_ID_OVERRIDE",$C179,"DEEP_BROKER_ID_OVERRIDE",BT$24,"DEEP_PERIOD_OVERRIDE",$H$19)*1,"")))</f>
        <v/>
      </c>
      <c r="BU179" t="str">
        <f>IF(OR(BU$23="",ISNA($B179)),"",IF(ISBLANK($B179),"",IFERROR(_xll.BDP(TICKER,"DEEP_MEASURE_PERIOD_BROKER_VALUE","DEEP_MEASURE_ID_OVERRIDE",$C179,"DEEP_BROKER_ID_OVERRIDE",BU$24,"DEEP_PERIOD_OVERRIDE",$H$19)*1,"")))</f>
        <v/>
      </c>
      <c r="BV179" t="str">
        <f>IF(OR(BV$23="",ISNA($B179)),"",IF(ISBLANK($B179),"",IFERROR(_xll.BDP(TICKER,"DEEP_MEASURE_PERIOD_BROKER_VALUE","DEEP_MEASURE_ID_OVERRIDE",$C179,"DEEP_BROKER_ID_OVERRIDE",BV$24,"DEEP_PERIOD_OVERRIDE",$H$19)*1,"")))</f>
        <v/>
      </c>
      <c r="BW179" t="str">
        <f>IF(OR(BW$23="",ISNA($B179)),"",IF(ISBLANK($B179),"",IFERROR(_xll.BDP(TICKER,"DEEP_MEASURE_PERIOD_BROKER_VALUE","DEEP_MEASURE_ID_OVERRIDE",$C179,"DEEP_BROKER_ID_OVERRIDE",BW$24,"DEEP_PERIOD_OVERRIDE",$H$19)*1,"")))</f>
        <v/>
      </c>
      <c r="BX179" t="str">
        <f>IF(OR(BX$23="",ISNA($B179)),"",IF(ISBLANK($B179),"",IFERROR(_xll.BDP(TICKER,"DEEP_MEASURE_PERIOD_BROKER_VALUE","DEEP_MEASURE_ID_OVERRIDE",$C179,"DEEP_BROKER_ID_OVERRIDE",BX$24,"DEEP_PERIOD_OVERRIDE",$H$19)*1,"")))</f>
        <v/>
      </c>
      <c r="BY179" t="str">
        <f>IF(OR(BY$23="",ISNA($B179)),"",IF(ISBLANK($B179),"",IFERROR(_xll.BDP(TICKER,"DEEP_MEASURE_PERIOD_BROKER_VALUE","DEEP_MEASURE_ID_OVERRIDE",$C179,"DEEP_BROKER_ID_OVERRIDE",BY$24,"DEEP_PERIOD_OVERRIDE",$H$19)*1,"")))</f>
        <v/>
      </c>
      <c r="BZ179" t="str">
        <f>IF(OR(BZ$23="",ISNA($B179)),"",IF(ISBLANK($B179),"",IFERROR(_xll.BDP(TICKER,"DEEP_MEASURE_PERIOD_BROKER_VALUE","DEEP_MEASURE_ID_OVERRIDE",$C179,"DEEP_BROKER_ID_OVERRIDE",BZ$24,"DEEP_PERIOD_OVERRIDE",$H$19)*1,"")))</f>
        <v/>
      </c>
    </row>
    <row r="180" spans="2:78" x14ac:dyDescent="0.25">
      <c r="B180" t="s">
        <v>201</v>
      </c>
      <c r="C180">
        <v>506</v>
      </c>
      <c r="H180" t="str">
        <f t="shared" si="3"/>
        <v>Liabilities &amp; Shareholders' Equity &gt; Current Liabilities &gt; Accured Expense &amp; Other Current Liabilities &gt; As % of Revenue</v>
      </c>
      <c r="I180" t="str">
        <f>IF(OR(I$23="",ISNA($B180)),"",IF(ISBLANK($B180),"",IFERROR(_xll.BDP(TICKER,"DEEP_MEASURE_PERIOD_BROKER_VALUE","DEEP_MEASURE_ID_OVERRIDE",$C180,"DEEP_PERIOD_OVERRIDE",$H$19)*1,"")))</f>
        <v/>
      </c>
      <c r="J180" t="e">
        <f>IF(OR(J$23="",ISNA($B180)),"",IF(ISBLANK($B180),"",IFERROR(_xll.BDP(TICKER,"DEEP_MEASURE_PERIOD_BROKER_VALUE","DEEP_MEASURE_ID_OVERRIDE",$C180,"DEEP_BROKER_ID_OVERRIDE",J$24,"DEEP_PERIOD_OVERRIDE",$H$19)*1,"")))</f>
        <v>#REF!</v>
      </c>
      <c r="K180" t="str">
        <f>IF(OR(K$23="",ISNA($B180)),"",IF(ISBLANK($B180),"",IFERROR(_xll.BDP(TICKER,"DEEP_MEASURE_PERIOD_BROKER_VALUE","DEEP_MEASURE_ID_OVERRIDE",$C180,"DEEP_BROKER_ID_OVERRIDE",K$24,"DEEP_PERIOD_OVERRIDE",$H$19)*1,"")))</f>
        <v/>
      </c>
      <c r="L180" t="str">
        <f>IF(OR(L$23="",ISNA($B180)),"",IF(ISBLANK($B180),"",IFERROR(_xll.BDP(TICKER,"DEEP_MEASURE_PERIOD_BROKER_VALUE","DEEP_MEASURE_ID_OVERRIDE",$C180,"DEEP_BROKER_ID_OVERRIDE",L$24,"DEEP_PERIOD_OVERRIDE",$H$19)*1,"")))</f>
        <v/>
      </c>
      <c r="M180" t="str">
        <f>IF(OR(M$23="",ISNA($B180)),"",IF(ISBLANK($B180),"",IFERROR(_xll.BDP(TICKER,"DEEP_MEASURE_PERIOD_BROKER_VALUE","DEEP_MEASURE_ID_OVERRIDE",$C180,"DEEP_BROKER_ID_OVERRIDE",M$24,"DEEP_PERIOD_OVERRIDE",$H$19)*1,"")))</f>
        <v/>
      </c>
      <c r="N180" t="str">
        <f>IF(OR(N$23="",ISNA($B180)),"",IF(ISBLANK($B180),"",IFERROR(_xll.BDP(TICKER,"DEEP_MEASURE_PERIOD_BROKER_VALUE","DEEP_MEASURE_ID_OVERRIDE",$C180,"DEEP_BROKER_ID_OVERRIDE",N$24,"DEEP_PERIOD_OVERRIDE",$H$19)*1,"")))</f>
        <v/>
      </c>
      <c r="O180" t="str">
        <f>IF(OR(O$23="",ISNA($B180)),"",IF(ISBLANK($B180),"",IFERROR(_xll.BDP(TICKER,"DEEP_MEASURE_PERIOD_BROKER_VALUE","DEEP_MEASURE_ID_OVERRIDE",$C180,"DEEP_BROKER_ID_OVERRIDE",O$24,"DEEP_PERIOD_OVERRIDE",$H$19)*1,"")))</f>
        <v/>
      </c>
      <c r="P180" t="str">
        <f>IF(OR(P$23="",ISNA($B180)),"",IF(ISBLANK($B180),"",IFERROR(_xll.BDP(TICKER,"DEEP_MEASURE_PERIOD_BROKER_VALUE","DEEP_MEASURE_ID_OVERRIDE",$C180,"DEEP_BROKER_ID_OVERRIDE",P$24,"DEEP_PERIOD_OVERRIDE",$H$19)*1,"")))</f>
        <v/>
      </c>
      <c r="Q180" t="str">
        <f>IF(OR(Q$23="",ISNA($B180)),"",IF(ISBLANK($B180),"",IFERROR(_xll.BDP(TICKER,"DEEP_MEASURE_PERIOD_BROKER_VALUE","DEEP_MEASURE_ID_OVERRIDE",$C180,"DEEP_BROKER_ID_OVERRIDE",Q$24,"DEEP_PERIOD_OVERRIDE",$H$19)*1,"")))</f>
        <v/>
      </c>
      <c r="R180" t="str">
        <f>IF(OR(R$23="",ISNA($B180)),"",IF(ISBLANK($B180),"",IFERROR(_xll.BDP(TICKER,"DEEP_MEASURE_PERIOD_BROKER_VALUE","DEEP_MEASURE_ID_OVERRIDE",$C180,"DEEP_BROKER_ID_OVERRIDE",R$24,"DEEP_PERIOD_OVERRIDE",$H$19)*1,"")))</f>
        <v/>
      </c>
      <c r="S180" t="str">
        <f>IF(OR(S$23="",ISNA($B180)),"",IF(ISBLANK($B180),"",IFERROR(_xll.BDP(TICKER,"DEEP_MEASURE_PERIOD_BROKER_VALUE","DEEP_MEASURE_ID_OVERRIDE",$C180,"DEEP_BROKER_ID_OVERRIDE",S$24,"DEEP_PERIOD_OVERRIDE",$H$19)*1,"")))</f>
        <v/>
      </c>
      <c r="T180" t="str">
        <f>IF(OR(T$23="",ISNA($B180)),"",IF(ISBLANK($B180),"",IFERROR(_xll.BDP(TICKER,"DEEP_MEASURE_PERIOD_BROKER_VALUE","DEEP_MEASURE_ID_OVERRIDE",$C180,"DEEP_BROKER_ID_OVERRIDE",T$24,"DEEP_PERIOD_OVERRIDE",$H$19)*1,"")))</f>
        <v/>
      </c>
      <c r="U180" t="str">
        <f>IF(OR(U$23="",ISNA($B180)),"",IF(ISBLANK($B180),"",IFERROR(_xll.BDP(TICKER,"DEEP_MEASURE_PERIOD_BROKER_VALUE","DEEP_MEASURE_ID_OVERRIDE",$C180,"DEEP_BROKER_ID_OVERRIDE",U$24,"DEEP_PERIOD_OVERRIDE",$H$19)*1,"")))</f>
        <v/>
      </c>
      <c r="V180" t="str">
        <f>IF(OR(V$23="",ISNA($B180)),"",IF(ISBLANK($B180),"",IFERROR(_xll.BDP(TICKER,"DEEP_MEASURE_PERIOD_BROKER_VALUE","DEEP_MEASURE_ID_OVERRIDE",$C180,"DEEP_BROKER_ID_OVERRIDE",V$24,"DEEP_PERIOD_OVERRIDE",$H$19)*1,"")))</f>
        <v/>
      </c>
      <c r="W180" t="str">
        <f>IF(OR(W$23="",ISNA($B180)),"",IF(ISBLANK($B180),"",IFERROR(_xll.BDP(TICKER,"DEEP_MEASURE_PERIOD_BROKER_VALUE","DEEP_MEASURE_ID_OVERRIDE",$C180,"DEEP_BROKER_ID_OVERRIDE",W$24,"DEEP_PERIOD_OVERRIDE",$H$19)*1,"")))</f>
        <v/>
      </c>
      <c r="X180" t="str">
        <f>IF(OR(X$23="",ISNA($B180)),"",IF(ISBLANK($B180),"",IFERROR(_xll.BDP(TICKER,"DEEP_MEASURE_PERIOD_BROKER_VALUE","DEEP_MEASURE_ID_OVERRIDE",$C180,"DEEP_BROKER_ID_OVERRIDE",X$24,"DEEP_PERIOD_OVERRIDE",$H$19)*1,"")))</f>
        <v/>
      </c>
      <c r="Y180" t="str">
        <f>IF(OR(Y$23="",ISNA($B180)),"",IF(ISBLANK($B180),"",IFERROR(_xll.BDP(TICKER,"DEEP_MEASURE_PERIOD_BROKER_VALUE","DEEP_MEASURE_ID_OVERRIDE",$C180,"DEEP_BROKER_ID_OVERRIDE",Y$24,"DEEP_PERIOD_OVERRIDE",$H$19)*1,"")))</f>
        <v/>
      </c>
      <c r="Z180" t="str">
        <f>IF(OR(Z$23="",ISNA($B180)),"",IF(ISBLANK($B180),"",IFERROR(_xll.BDP(TICKER,"DEEP_MEASURE_PERIOD_BROKER_VALUE","DEEP_MEASURE_ID_OVERRIDE",$C180,"DEEP_BROKER_ID_OVERRIDE",Z$24,"DEEP_PERIOD_OVERRIDE",$H$19)*1,"")))</f>
        <v/>
      </c>
      <c r="AA180" t="str">
        <f>IF(OR(AA$23="",ISNA($B180)),"",IF(ISBLANK($B180),"",IFERROR(_xll.BDP(TICKER,"DEEP_MEASURE_PERIOD_BROKER_VALUE","DEEP_MEASURE_ID_OVERRIDE",$C180,"DEEP_BROKER_ID_OVERRIDE",AA$24,"DEEP_PERIOD_OVERRIDE",$H$19)*1,"")))</f>
        <v/>
      </c>
      <c r="AB180" t="str">
        <f>IF(OR(AB$23="",ISNA($B180)),"",IF(ISBLANK($B180),"",IFERROR(_xll.BDP(TICKER,"DEEP_MEASURE_PERIOD_BROKER_VALUE","DEEP_MEASURE_ID_OVERRIDE",$C180,"DEEP_BROKER_ID_OVERRIDE",AB$24,"DEEP_PERIOD_OVERRIDE",$H$19)*1,"")))</f>
        <v/>
      </c>
      <c r="AC180" t="str">
        <f>IF(OR(AC$23="",ISNA($B180)),"",IF(ISBLANK($B180),"",IFERROR(_xll.BDP(TICKER,"DEEP_MEASURE_PERIOD_BROKER_VALUE","DEEP_MEASURE_ID_OVERRIDE",$C180,"DEEP_BROKER_ID_OVERRIDE",AC$24,"DEEP_PERIOD_OVERRIDE",$H$19)*1,"")))</f>
        <v/>
      </c>
      <c r="AD180" t="str">
        <f>IF(OR(AD$23="",ISNA($B180)),"",IF(ISBLANK($B180),"",IFERROR(_xll.BDP(TICKER,"DEEP_MEASURE_PERIOD_BROKER_VALUE","DEEP_MEASURE_ID_OVERRIDE",$C180,"DEEP_BROKER_ID_OVERRIDE",AD$24,"DEEP_PERIOD_OVERRIDE",$H$19)*1,"")))</f>
        <v/>
      </c>
      <c r="AE180" t="str">
        <f>IF(OR(AE$23="",ISNA($B180)),"",IF(ISBLANK($B180),"",IFERROR(_xll.BDP(TICKER,"DEEP_MEASURE_PERIOD_BROKER_VALUE","DEEP_MEASURE_ID_OVERRIDE",$C180,"DEEP_BROKER_ID_OVERRIDE",AE$24,"DEEP_PERIOD_OVERRIDE",$H$19)*1,"")))</f>
        <v/>
      </c>
      <c r="AF180" t="str">
        <f>IF(OR(AF$23="",ISNA($B180)),"",IF(ISBLANK($B180),"",IFERROR(_xll.BDP(TICKER,"DEEP_MEASURE_PERIOD_BROKER_VALUE","DEEP_MEASURE_ID_OVERRIDE",$C180,"DEEP_BROKER_ID_OVERRIDE",AF$24,"DEEP_PERIOD_OVERRIDE",$H$19)*1,"")))</f>
        <v/>
      </c>
      <c r="AG180" t="str">
        <f>IF(OR(AG$23="",ISNA($B180)),"",IF(ISBLANK($B180),"",IFERROR(_xll.BDP(TICKER,"DEEP_MEASURE_PERIOD_BROKER_VALUE","DEEP_MEASURE_ID_OVERRIDE",$C180,"DEEP_BROKER_ID_OVERRIDE",AG$24,"DEEP_PERIOD_OVERRIDE",$H$19)*1,"")))</f>
        <v/>
      </c>
      <c r="AH180" t="str">
        <f>IF(OR(AH$23="",ISNA($B180)),"",IF(ISBLANK($B180),"",IFERROR(_xll.BDP(TICKER,"DEEP_MEASURE_PERIOD_BROKER_VALUE","DEEP_MEASURE_ID_OVERRIDE",$C180,"DEEP_BROKER_ID_OVERRIDE",AH$24,"DEEP_PERIOD_OVERRIDE",$H$19)*1,"")))</f>
        <v/>
      </c>
      <c r="AI180" t="str">
        <f>IF(OR(AI$23="",ISNA($B180)),"",IF(ISBLANK($B180),"",IFERROR(_xll.BDP(TICKER,"DEEP_MEASURE_PERIOD_BROKER_VALUE","DEEP_MEASURE_ID_OVERRIDE",$C180,"DEEP_BROKER_ID_OVERRIDE",AI$24,"DEEP_PERIOD_OVERRIDE",$H$19)*1,"")))</f>
        <v/>
      </c>
      <c r="AJ180" t="str">
        <f>IF(OR(AJ$23="",ISNA($B180)),"",IF(ISBLANK($B180),"",IFERROR(_xll.BDP(TICKER,"DEEP_MEASURE_PERIOD_BROKER_VALUE","DEEP_MEASURE_ID_OVERRIDE",$C180,"DEEP_BROKER_ID_OVERRIDE",AJ$24,"DEEP_PERIOD_OVERRIDE",$H$19)*1,"")))</f>
        <v/>
      </c>
      <c r="AK180" t="str">
        <f>IF(OR(AK$23="",ISNA($B180)),"",IF(ISBLANK($B180),"",IFERROR(_xll.BDP(TICKER,"DEEP_MEASURE_PERIOD_BROKER_VALUE","DEEP_MEASURE_ID_OVERRIDE",$C180,"DEEP_BROKER_ID_OVERRIDE",AK$24,"DEEP_PERIOD_OVERRIDE",$H$19)*1,"")))</f>
        <v/>
      </c>
      <c r="AL180" t="str">
        <f>IF(OR(AL$23="",ISNA($B180)),"",IF(ISBLANK($B180),"",IFERROR(_xll.BDP(TICKER,"DEEP_MEASURE_PERIOD_BROKER_VALUE","DEEP_MEASURE_ID_OVERRIDE",$C180,"DEEP_BROKER_ID_OVERRIDE",AL$24,"DEEP_PERIOD_OVERRIDE",$H$19)*1,"")))</f>
        <v/>
      </c>
      <c r="AM180" t="str">
        <f>IF(OR(AM$23="",ISNA($B180)),"",IF(ISBLANK($B180),"",IFERROR(_xll.BDP(TICKER,"DEEP_MEASURE_PERIOD_BROKER_VALUE","DEEP_MEASURE_ID_OVERRIDE",$C180,"DEEP_BROKER_ID_OVERRIDE",AM$24,"DEEP_PERIOD_OVERRIDE",$H$19)*1,"")))</f>
        <v/>
      </c>
      <c r="AN180" t="str">
        <f>IF(OR(AN$23="",ISNA($B180)),"",IF(ISBLANK($B180),"",IFERROR(_xll.BDP(TICKER,"DEEP_MEASURE_PERIOD_BROKER_VALUE","DEEP_MEASURE_ID_OVERRIDE",$C180,"DEEP_BROKER_ID_OVERRIDE",AN$24,"DEEP_PERIOD_OVERRIDE",$H$19)*1,"")))</f>
        <v/>
      </c>
      <c r="AO180" t="str">
        <f>IF(OR(AO$23="",ISNA($B180)),"",IF(ISBLANK($B180),"",IFERROR(_xll.BDP(TICKER,"DEEP_MEASURE_PERIOD_BROKER_VALUE","DEEP_MEASURE_ID_OVERRIDE",$C180,"DEEP_BROKER_ID_OVERRIDE",AO$24,"DEEP_PERIOD_OVERRIDE",$H$19)*1,"")))</f>
        <v/>
      </c>
      <c r="AP180" t="str">
        <f>IF(OR(AP$23="",ISNA($B180)),"",IF(ISBLANK($B180),"",IFERROR(_xll.BDP(TICKER,"DEEP_MEASURE_PERIOD_BROKER_VALUE","DEEP_MEASURE_ID_OVERRIDE",$C180,"DEEP_BROKER_ID_OVERRIDE",AP$24,"DEEP_PERIOD_OVERRIDE",$H$19)*1,"")))</f>
        <v/>
      </c>
      <c r="AQ180" t="str">
        <f>IF(OR(AQ$23="",ISNA($B180)),"",IF(ISBLANK($B180),"",IFERROR(_xll.BDP(TICKER,"DEEP_MEASURE_PERIOD_BROKER_VALUE","DEEP_MEASURE_ID_OVERRIDE",$C180,"DEEP_BROKER_ID_OVERRIDE",AQ$24,"DEEP_PERIOD_OVERRIDE",$H$19)*1,"")))</f>
        <v/>
      </c>
      <c r="AR180" t="str">
        <f>IF(OR(AR$23="",ISNA($B180)),"",IF(ISBLANK($B180),"",IFERROR(_xll.BDP(TICKER,"DEEP_MEASURE_PERIOD_BROKER_VALUE","DEEP_MEASURE_ID_OVERRIDE",$C180,"DEEP_BROKER_ID_OVERRIDE",AR$24,"DEEP_PERIOD_OVERRIDE",$H$19)*1,"")))</f>
        <v/>
      </c>
      <c r="AS180" t="str">
        <f>IF(OR(AS$23="",ISNA($B180)),"",IF(ISBLANK($B180),"",IFERROR(_xll.BDP(TICKER,"DEEP_MEASURE_PERIOD_BROKER_VALUE","DEEP_MEASURE_ID_OVERRIDE",$C180,"DEEP_BROKER_ID_OVERRIDE",AS$24,"DEEP_PERIOD_OVERRIDE",$H$19)*1,"")))</f>
        <v/>
      </c>
      <c r="AT180" t="str">
        <f>IF(OR(AT$23="",ISNA($B180)),"",IF(ISBLANK($B180),"",IFERROR(_xll.BDP(TICKER,"DEEP_MEASURE_PERIOD_BROKER_VALUE","DEEP_MEASURE_ID_OVERRIDE",$C180,"DEEP_BROKER_ID_OVERRIDE",AT$24,"DEEP_PERIOD_OVERRIDE",$H$19)*1,"")))</f>
        <v/>
      </c>
      <c r="AU180" t="str">
        <f>IF(OR(AU$23="",ISNA($B180)),"",IF(ISBLANK($B180),"",IFERROR(_xll.BDP(TICKER,"DEEP_MEASURE_PERIOD_BROKER_VALUE","DEEP_MEASURE_ID_OVERRIDE",$C180,"DEEP_BROKER_ID_OVERRIDE",AU$24,"DEEP_PERIOD_OVERRIDE",$H$19)*1,"")))</f>
        <v/>
      </c>
      <c r="AV180" t="str">
        <f>IF(OR(AV$23="",ISNA($B180)),"",IF(ISBLANK($B180),"",IFERROR(_xll.BDP(TICKER,"DEEP_MEASURE_PERIOD_BROKER_VALUE","DEEP_MEASURE_ID_OVERRIDE",$C180,"DEEP_BROKER_ID_OVERRIDE",AV$24,"DEEP_PERIOD_OVERRIDE",$H$19)*1,"")))</f>
        <v/>
      </c>
      <c r="AW180" t="str">
        <f>IF(OR(AW$23="",ISNA($B180)),"",IF(ISBLANK($B180),"",IFERROR(_xll.BDP(TICKER,"DEEP_MEASURE_PERIOD_BROKER_VALUE","DEEP_MEASURE_ID_OVERRIDE",$C180,"DEEP_BROKER_ID_OVERRIDE",AW$24,"DEEP_PERIOD_OVERRIDE",$H$19)*1,"")))</f>
        <v/>
      </c>
      <c r="AX180" t="str">
        <f>IF(OR(AX$23="",ISNA($B180)),"",IF(ISBLANK($B180),"",IFERROR(_xll.BDP(TICKER,"DEEP_MEASURE_PERIOD_BROKER_VALUE","DEEP_MEASURE_ID_OVERRIDE",$C180,"DEEP_BROKER_ID_OVERRIDE",AX$24,"DEEP_PERIOD_OVERRIDE",$H$19)*1,"")))</f>
        <v/>
      </c>
      <c r="AY180" t="str">
        <f>IF(OR(AY$23="",ISNA($B180)),"",IF(ISBLANK($B180),"",IFERROR(_xll.BDP(TICKER,"DEEP_MEASURE_PERIOD_BROKER_VALUE","DEEP_MEASURE_ID_OVERRIDE",$C180,"DEEP_BROKER_ID_OVERRIDE",AY$24,"DEEP_PERIOD_OVERRIDE",$H$19)*1,"")))</f>
        <v/>
      </c>
      <c r="AZ180" t="str">
        <f>IF(OR(AZ$23="",ISNA($B180)),"",IF(ISBLANK($B180),"",IFERROR(_xll.BDP(TICKER,"DEEP_MEASURE_PERIOD_BROKER_VALUE","DEEP_MEASURE_ID_OVERRIDE",$C180,"DEEP_BROKER_ID_OVERRIDE",AZ$24,"DEEP_PERIOD_OVERRIDE",$H$19)*1,"")))</f>
        <v/>
      </c>
      <c r="BA180" t="str">
        <f>IF(OR(BA$23="",ISNA($B180)),"",IF(ISBLANK($B180),"",IFERROR(_xll.BDP(TICKER,"DEEP_MEASURE_PERIOD_BROKER_VALUE","DEEP_MEASURE_ID_OVERRIDE",$C180,"DEEP_BROKER_ID_OVERRIDE",BA$24,"DEEP_PERIOD_OVERRIDE",$H$19)*1,"")))</f>
        <v/>
      </c>
      <c r="BB180" t="str">
        <f>IF(OR(BB$23="",ISNA($B180)),"",IF(ISBLANK($B180),"",IFERROR(_xll.BDP(TICKER,"DEEP_MEASURE_PERIOD_BROKER_VALUE","DEEP_MEASURE_ID_OVERRIDE",$C180,"DEEP_BROKER_ID_OVERRIDE",BB$24,"DEEP_PERIOD_OVERRIDE",$H$19)*1,"")))</f>
        <v/>
      </c>
      <c r="BC180" t="str">
        <f>IF(OR(BC$23="",ISNA($B180)),"",IF(ISBLANK($B180),"",IFERROR(_xll.BDP(TICKER,"DEEP_MEASURE_PERIOD_BROKER_VALUE","DEEP_MEASURE_ID_OVERRIDE",$C180,"DEEP_BROKER_ID_OVERRIDE",BC$24,"DEEP_PERIOD_OVERRIDE",$H$19)*1,"")))</f>
        <v/>
      </c>
      <c r="BD180" t="str">
        <f>IF(OR(BD$23="",ISNA($B180)),"",IF(ISBLANK($B180),"",IFERROR(_xll.BDP(TICKER,"DEEP_MEASURE_PERIOD_BROKER_VALUE","DEEP_MEASURE_ID_OVERRIDE",$C180,"DEEP_BROKER_ID_OVERRIDE",BD$24,"DEEP_PERIOD_OVERRIDE",$H$19)*1,"")))</f>
        <v/>
      </c>
      <c r="BE180" t="str">
        <f>IF(OR(BE$23="",ISNA($B180)),"",IF(ISBLANK($B180),"",IFERROR(_xll.BDP(TICKER,"DEEP_MEASURE_PERIOD_BROKER_VALUE","DEEP_MEASURE_ID_OVERRIDE",$C180,"DEEP_BROKER_ID_OVERRIDE",BE$24,"DEEP_PERIOD_OVERRIDE",$H$19)*1,"")))</f>
        <v/>
      </c>
      <c r="BF180" t="str">
        <f>IF(OR(BF$23="",ISNA($B180)),"",IF(ISBLANK($B180),"",IFERROR(_xll.BDP(TICKER,"DEEP_MEASURE_PERIOD_BROKER_VALUE","DEEP_MEASURE_ID_OVERRIDE",$C180,"DEEP_BROKER_ID_OVERRIDE",BF$24,"DEEP_PERIOD_OVERRIDE",$H$19)*1,"")))</f>
        <v/>
      </c>
      <c r="BG180" t="str">
        <f>IF(OR(BG$23="",ISNA($B180)),"",IF(ISBLANK($B180),"",IFERROR(_xll.BDP(TICKER,"DEEP_MEASURE_PERIOD_BROKER_VALUE","DEEP_MEASURE_ID_OVERRIDE",$C180,"DEEP_BROKER_ID_OVERRIDE",BG$24,"DEEP_PERIOD_OVERRIDE",$H$19)*1,"")))</f>
        <v/>
      </c>
      <c r="BH180" t="str">
        <f>IF(OR(BH$23="",ISNA($B180)),"",IF(ISBLANK($B180),"",IFERROR(_xll.BDP(TICKER,"DEEP_MEASURE_PERIOD_BROKER_VALUE","DEEP_MEASURE_ID_OVERRIDE",$C180,"DEEP_BROKER_ID_OVERRIDE",BH$24,"DEEP_PERIOD_OVERRIDE",$H$19)*1,"")))</f>
        <v/>
      </c>
      <c r="BI180" t="str">
        <f>IF(OR(BI$23="",ISNA($B180)),"",IF(ISBLANK($B180),"",IFERROR(_xll.BDP(TICKER,"DEEP_MEASURE_PERIOD_BROKER_VALUE","DEEP_MEASURE_ID_OVERRIDE",$C180,"DEEP_BROKER_ID_OVERRIDE",BI$24,"DEEP_PERIOD_OVERRIDE",$H$19)*1,"")))</f>
        <v/>
      </c>
      <c r="BJ180" t="str">
        <f>IF(OR(BJ$23="",ISNA($B180)),"",IF(ISBLANK($B180),"",IFERROR(_xll.BDP(TICKER,"DEEP_MEASURE_PERIOD_BROKER_VALUE","DEEP_MEASURE_ID_OVERRIDE",$C180,"DEEP_BROKER_ID_OVERRIDE",BJ$24,"DEEP_PERIOD_OVERRIDE",$H$19)*1,"")))</f>
        <v/>
      </c>
      <c r="BK180" t="str">
        <f>IF(OR(BK$23="",ISNA($B180)),"",IF(ISBLANK($B180),"",IFERROR(_xll.BDP(TICKER,"DEEP_MEASURE_PERIOD_BROKER_VALUE","DEEP_MEASURE_ID_OVERRIDE",$C180,"DEEP_BROKER_ID_OVERRIDE",BK$24,"DEEP_PERIOD_OVERRIDE",$H$19)*1,"")))</f>
        <v/>
      </c>
      <c r="BL180" t="str">
        <f>IF(OR(BL$23="",ISNA($B180)),"",IF(ISBLANK($B180),"",IFERROR(_xll.BDP(TICKER,"DEEP_MEASURE_PERIOD_BROKER_VALUE","DEEP_MEASURE_ID_OVERRIDE",$C180,"DEEP_BROKER_ID_OVERRIDE",BL$24,"DEEP_PERIOD_OVERRIDE",$H$19)*1,"")))</f>
        <v/>
      </c>
      <c r="BM180" t="str">
        <f>IF(OR(BM$23="",ISNA($B180)),"",IF(ISBLANK($B180),"",IFERROR(_xll.BDP(TICKER,"DEEP_MEASURE_PERIOD_BROKER_VALUE","DEEP_MEASURE_ID_OVERRIDE",$C180,"DEEP_BROKER_ID_OVERRIDE",BM$24,"DEEP_PERIOD_OVERRIDE",$H$19)*1,"")))</f>
        <v/>
      </c>
      <c r="BN180" t="str">
        <f>IF(OR(BN$23="",ISNA($B180)),"",IF(ISBLANK($B180),"",IFERROR(_xll.BDP(TICKER,"DEEP_MEASURE_PERIOD_BROKER_VALUE","DEEP_MEASURE_ID_OVERRIDE",$C180,"DEEP_BROKER_ID_OVERRIDE",BN$24,"DEEP_PERIOD_OVERRIDE",$H$19)*1,"")))</f>
        <v/>
      </c>
      <c r="BO180" t="str">
        <f>IF(OR(BO$23="",ISNA($B180)),"",IF(ISBLANK($B180),"",IFERROR(_xll.BDP(TICKER,"DEEP_MEASURE_PERIOD_BROKER_VALUE","DEEP_MEASURE_ID_OVERRIDE",$C180,"DEEP_BROKER_ID_OVERRIDE",BO$24,"DEEP_PERIOD_OVERRIDE",$H$19)*1,"")))</f>
        <v/>
      </c>
      <c r="BP180" t="str">
        <f>IF(OR(BP$23="",ISNA($B180)),"",IF(ISBLANK($B180),"",IFERROR(_xll.BDP(TICKER,"DEEP_MEASURE_PERIOD_BROKER_VALUE","DEEP_MEASURE_ID_OVERRIDE",$C180,"DEEP_BROKER_ID_OVERRIDE",BP$24,"DEEP_PERIOD_OVERRIDE",$H$19)*1,"")))</f>
        <v/>
      </c>
      <c r="BQ180" t="str">
        <f>IF(OR(BQ$23="",ISNA($B180)),"",IF(ISBLANK($B180),"",IFERROR(_xll.BDP(TICKER,"DEEP_MEASURE_PERIOD_BROKER_VALUE","DEEP_MEASURE_ID_OVERRIDE",$C180,"DEEP_BROKER_ID_OVERRIDE",BQ$24,"DEEP_PERIOD_OVERRIDE",$H$19)*1,"")))</f>
        <v/>
      </c>
      <c r="BR180" t="str">
        <f>IF(OR(BR$23="",ISNA($B180)),"",IF(ISBLANK($B180),"",IFERROR(_xll.BDP(TICKER,"DEEP_MEASURE_PERIOD_BROKER_VALUE","DEEP_MEASURE_ID_OVERRIDE",$C180,"DEEP_BROKER_ID_OVERRIDE",BR$24,"DEEP_PERIOD_OVERRIDE",$H$19)*1,"")))</f>
        <v/>
      </c>
      <c r="BS180" t="str">
        <f>IF(OR(BS$23="",ISNA($B180)),"",IF(ISBLANK($B180),"",IFERROR(_xll.BDP(TICKER,"DEEP_MEASURE_PERIOD_BROKER_VALUE","DEEP_MEASURE_ID_OVERRIDE",$C180,"DEEP_BROKER_ID_OVERRIDE",BS$24,"DEEP_PERIOD_OVERRIDE",$H$19)*1,"")))</f>
        <v/>
      </c>
      <c r="BT180" t="str">
        <f>IF(OR(BT$23="",ISNA($B180)),"",IF(ISBLANK($B180),"",IFERROR(_xll.BDP(TICKER,"DEEP_MEASURE_PERIOD_BROKER_VALUE","DEEP_MEASURE_ID_OVERRIDE",$C180,"DEEP_BROKER_ID_OVERRIDE",BT$24,"DEEP_PERIOD_OVERRIDE",$H$19)*1,"")))</f>
        <v/>
      </c>
      <c r="BU180" t="str">
        <f>IF(OR(BU$23="",ISNA($B180)),"",IF(ISBLANK($B180),"",IFERROR(_xll.BDP(TICKER,"DEEP_MEASURE_PERIOD_BROKER_VALUE","DEEP_MEASURE_ID_OVERRIDE",$C180,"DEEP_BROKER_ID_OVERRIDE",BU$24,"DEEP_PERIOD_OVERRIDE",$H$19)*1,"")))</f>
        <v/>
      </c>
      <c r="BV180" t="str">
        <f>IF(OR(BV$23="",ISNA($B180)),"",IF(ISBLANK($B180),"",IFERROR(_xll.BDP(TICKER,"DEEP_MEASURE_PERIOD_BROKER_VALUE","DEEP_MEASURE_ID_OVERRIDE",$C180,"DEEP_BROKER_ID_OVERRIDE",BV$24,"DEEP_PERIOD_OVERRIDE",$H$19)*1,"")))</f>
        <v/>
      </c>
      <c r="BW180" t="str">
        <f>IF(OR(BW$23="",ISNA($B180)),"",IF(ISBLANK($B180),"",IFERROR(_xll.BDP(TICKER,"DEEP_MEASURE_PERIOD_BROKER_VALUE","DEEP_MEASURE_ID_OVERRIDE",$C180,"DEEP_BROKER_ID_OVERRIDE",BW$24,"DEEP_PERIOD_OVERRIDE",$H$19)*1,"")))</f>
        <v/>
      </c>
      <c r="BX180" t="str">
        <f>IF(OR(BX$23="",ISNA($B180)),"",IF(ISBLANK($B180),"",IFERROR(_xll.BDP(TICKER,"DEEP_MEASURE_PERIOD_BROKER_VALUE","DEEP_MEASURE_ID_OVERRIDE",$C180,"DEEP_BROKER_ID_OVERRIDE",BX$24,"DEEP_PERIOD_OVERRIDE",$H$19)*1,"")))</f>
        <v/>
      </c>
      <c r="BY180" t="str">
        <f>IF(OR(BY$23="",ISNA($B180)),"",IF(ISBLANK($B180),"",IFERROR(_xll.BDP(TICKER,"DEEP_MEASURE_PERIOD_BROKER_VALUE","DEEP_MEASURE_ID_OVERRIDE",$C180,"DEEP_BROKER_ID_OVERRIDE",BY$24,"DEEP_PERIOD_OVERRIDE",$H$19)*1,"")))</f>
        <v/>
      </c>
      <c r="BZ180" t="str">
        <f>IF(OR(BZ$23="",ISNA($B180)),"",IF(ISBLANK($B180),"",IFERROR(_xll.BDP(TICKER,"DEEP_MEASURE_PERIOD_BROKER_VALUE","DEEP_MEASURE_ID_OVERRIDE",$C180,"DEEP_BROKER_ID_OVERRIDE",BZ$24,"DEEP_PERIOD_OVERRIDE",$H$19)*1,"")))</f>
        <v/>
      </c>
    </row>
    <row r="181" spans="2:78" x14ac:dyDescent="0.25">
      <c r="B181" t="s">
        <v>202</v>
      </c>
      <c r="C181">
        <v>495</v>
      </c>
      <c r="H181" t="str">
        <f t="shared" si="3"/>
        <v>Liabilities &amp; Shareholders' Equity &gt; Non-Current Liabilities &gt; Deferred income taxes, net</v>
      </c>
      <c r="I181" t="str">
        <f>IF(OR(I$23="",ISNA($B181)),"",IF(ISBLANK($B181),"",IFERROR(_xll.BDP(TICKER,"DEEP_MEASURE_PERIOD_BROKER_VALUE","DEEP_MEASURE_ID_OVERRIDE",$C181,"DEEP_PERIOD_OVERRIDE",$H$19)*1,"")))</f>
        <v/>
      </c>
      <c r="J181" t="e">
        <f>IF(OR(J$23="",ISNA($B181)),"",IF(ISBLANK($B181),"",IFERROR(_xll.BDP(TICKER,"DEEP_MEASURE_PERIOD_BROKER_VALUE","DEEP_MEASURE_ID_OVERRIDE",$C181,"DEEP_BROKER_ID_OVERRIDE",J$24,"DEEP_PERIOD_OVERRIDE",$H$19)*1,"")))</f>
        <v>#REF!</v>
      </c>
      <c r="K181" t="str">
        <f>IF(OR(K$23="",ISNA($B181)),"",IF(ISBLANK($B181),"",IFERROR(_xll.BDP(TICKER,"DEEP_MEASURE_PERIOD_BROKER_VALUE","DEEP_MEASURE_ID_OVERRIDE",$C181,"DEEP_BROKER_ID_OVERRIDE",K$24,"DEEP_PERIOD_OVERRIDE",$H$19)*1,"")))</f>
        <v/>
      </c>
      <c r="L181" t="str">
        <f>IF(OR(L$23="",ISNA($B181)),"",IF(ISBLANK($B181),"",IFERROR(_xll.BDP(TICKER,"DEEP_MEASURE_PERIOD_BROKER_VALUE","DEEP_MEASURE_ID_OVERRIDE",$C181,"DEEP_BROKER_ID_OVERRIDE",L$24,"DEEP_PERIOD_OVERRIDE",$H$19)*1,"")))</f>
        <v/>
      </c>
      <c r="M181" t="str">
        <f>IF(OR(M$23="",ISNA($B181)),"",IF(ISBLANK($B181),"",IFERROR(_xll.BDP(TICKER,"DEEP_MEASURE_PERIOD_BROKER_VALUE","DEEP_MEASURE_ID_OVERRIDE",$C181,"DEEP_BROKER_ID_OVERRIDE",M$24,"DEEP_PERIOD_OVERRIDE",$H$19)*1,"")))</f>
        <v/>
      </c>
      <c r="N181" t="str">
        <f>IF(OR(N$23="",ISNA($B181)),"",IF(ISBLANK($B181),"",IFERROR(_xll.BDP(TICKER,"DEEP_MEASURE_PERIOD_BROKER_VALUE","DEEP_MEASURE_ID_OVERRIDE",$C181,"DEEP_BROKER_ID_OVERRIDE",N$24,"DEEP_PERIOD_OVERRIDE",$H$19)*1,"")))</f>
        <v/>
      </c>
      <c r="O181" t="str">
        <f>IF(OR(O$23="",ISNA($B181)),"",IF(ISBLANK($B181),"",IFERROR(_xll.BDP(TICKER,"DEEP_MEASURE_PERIOD_BROKER_VALUE","DEEP_MEASURE_ID_OVERRIDE",$C181,"DEEP_BROKER_ID_OVERRIDE",O$24,"DEEP_PERIOD_OVERRIDE",$H$19)*1,"")))</f>
        <v/>
      </c>
      <c r="P181" t="str">
        <f>IF(OR(P$23="",ISNA($B181)),"",IF(ISBLANK($B181),"",IFERROR(_xll.BDP(TICKER,"DEEP_MEASURE_PERIOD_BROKER_VALUE","DEEP_MEASURE_ID_OVERRIDE",$C181,"DEEP_BROKER_ID_OVERRIDE",P$24,"DEEP_PERIOD_OVERRIDE",$H$19)*1,"")))</f>
        <v/>
      </c>
      <c r="Q181" t="str">
        <f>IF(OR(Q$23="",ISNA($B181)),"",IF(ISBLANK($B181),"",IFERROR(_xll.BDP(TICKER,"DEEP_MEASURE_PERIOD_BROKER_VALUE","DEEP_MEASURE_ID_OVERRIDE",$C181,"DEEP_BROKER_ID_OVERRIDE",Q$24,"DEEP_PERIOD_OVERRIDE",$H$19)*1,"")))</f>
        <v/>
      </c>
      <c r="R181" t="str">
        <f>IF(OR(R$23="",ISNA($B181)),"",IF(ISBLANK($B181),"",IFERROR(_xll.BDP(TICKER,"DEEP_MEASURE_PERIOD_BROKER_VALUE","DEEP_MEASURE_ID_OVERRIDE",$C181,"DEEP_BROKER_ID_OVERRIDE",R$24,"DEEP_PERIOD_OVERRIDE",$H$19)*1,"")))</f>
        <v/>
      </c>
      <c r="S181" t="str">
        <f>IF(OR(S$23="",ISNA($B181)),"",IF(ISBLANK($B181),"",IFERROR(_xll.BDP(TICKER,"DEEP_MEASURE_PERIOD_BROKER_VALUE","DEEP_MEASURE_ID_OVERRIDE",$C181,"DEEP_BROKER_ID_OVERRIDE",S$24,"DEEP_PERIOD_OVERRIDE",$H$19)*1,"")))</f>
        <v/>
      </c>
      <c r="T181" t="str">
        <f>IF(OR(T$23="",ISNA($B181)),"",IF(ISBLANK($B181),"",IFERROR(_xll.BDP(TICKER,"DEEP_MEASURE_PERIOD_BROKER_VALUE","DEEP_MEASURE_ID_OVERRIDE",$C181,"DEEP_BROKER_ID_OVERRIDE",T$24,"DEEP_PERIOD_OVERRIDE",$H$19)*1,"")))</f>
        <v/>
      </c>
      <c r="U181" t="str">
        <f>IF(OR(U$23="",ISNA($B181)),"",IF(ISBLANK($B181),"",IFERROR(_xll.BDP(TICKER,"DEEP_MEASURE_PERIOD_BROKER_VALUE","DEEP_MEASURE_ID_OVERRIDE",$C181,"DEEP_BROKER_ID_OVERRIDE",U$24,"DEEP_PERIOD_OVERRIDE",$H$19)*1,"")))</f>
        <v/>
      </c>
      <c r="V181" t="str">
        <f>IF(OR(V$23="",ISNA($B181)),"",IF(ISBLANK($B181),"",IFERROR(_xll.BDP(TICKER,"DEEP_MEASURE_PERIOD_BROKER_VALUE","DEEP_MEASURE_ID_OVERRIDE",$C181,"DEEP_BROKER_ID_OVERRIDE",V$24,"DEEP_PERIOD_OVERRIDE",$H$19)*1,"")))</f>
        <v/>
      </c>
      <c r="W181" t="str">
        <f>IF(OR(W$23="",ISNA($B181)),"",IF(ISBLANK($B181),"",IFERROR(_xll.BDP(TICKER,"DEEP_MEASURE_PERIOD_BROKER_VALUE","DEEP_MEASURE_ID_OVERRIDE",$C181,"DEEP_BROKER_ID_OVERRIDE",W$24,"DEEP_PERIOD_OVERRIDE",$H$19)*1,"")))</f>
        <v/>
      </c>
      <c r="X181" t="str">
        <f>IF(OR(X$23="",ISNA($B181)),"",IF(ISBLANK($B181),"",IFERROR(_xll.BDP(TICKER,"DEEP_MEASURE_PERIOD_BROKER_VALUE","DEEP_MEASURE_ID_OVERRIDE",$C181,"DEEP_BROKER_ID_OVERRIDE",X$24,"DEEP_PERIOD_OVERRIDE",$H$19)*1,"")))</f>
        <v/>
      </c>
      <c r="Y181" t="str">
        <f>IF(OR(Y$23="",ISNA($B181)),"",IF(ISBLANK($B181),"",IFERROR(_xll.BDP(TICKER,"DEEP_MEASURE_PERIOD_BROKER_VALUE","DEEP_MEASURE_ID_OVERRIDE",$C181,"DEEP_BROKER_ID_OVERRIDE",Y$24,"DEEP_PERIOD_OVERRIDE",$H$19)*1,"")))</f>
        <v/>
      </c>
      <c r="Z181" t="str">
        <f>IF(OR(Z$23="",ISNA($B181)),"",IF(ISBLANK($B181),"",IFERROR(_xll.BDP(TICKER,"DEEP_MEASURE_PERIOD_BROKER_VALUE","DEEP_MEASURE_ID_OVERRIDE",$C181,"DEEP_BROKER_ID_OVERRIDE",Z$24,"DEEP_PERIOD_OVERRIDE",$H$19)*1,"")))</f>
        <v/>
      </c>
      <c r="AA181" t="str">
        <f>IF(OR(AA$23="",ISNA($B181)),"",IF(ISBLANK($B181),"",IFERROR(_xll.BDP(TICKER,"DEEP_MEASURE_PERIOD_BROKER_VALUE","DEEP_MEASURE_ID_OVERRIDE",$C181,"DEEP_BROKER_ID_OVERRIDE",AA$24,"DEEP_PERIOD_OVERRIDE",$H$19)*1,"")))</f>
        <v/>
      </c>
      <c r="AB181" t="str">
        <f>IF(OR(AB$23="",ISNA($B181)),"",IF(ISBLANK($B181),"",IFERROR(_xll.BDP(TICKER,"DEEP_MEASURE_PERIOD_BROKER_VALUE","DEEP_MEASURE_ID_OVERRIDE",$C181,"DEEP_BROKER_ID_OVERRIDE",AB$24,"DEEP_PERIOD_OVERRIDE",$H$19)*1,"")))</f>
        <v/>
      </c>
      <c r="AC181" t="str">
        <f>IF(OR(AC$23="",ISNA($B181)),"",IF(ISBLANK($B181),"",IFERROR(_xll.BDP(TICKER,"DEEP_MEASURE_PERIOD_BROKER_VALUE","DEEP_MEASURE_ID_OVERRIDE",$C181,"DEEP_BROKER_ID_OVERRIDE",AC$24,"DEEP_PERIOD_OVERRIDE",$H$19)*1,"")))</f>
        <v/>
      </c>
      <c r="AD181" t="str">
        <f>IF(OR(AD$23="",ISNA($B181)),"",IF(ISBLANK($B181),"",IFERROR(_xll.BDP(TICKER,"DEEP_MEASURE_PERIOD_BROKER_VALUE","DEEP_MEASURE_ID_OVERRIDE",$C181,"DEEP_BROKER_ID_OVERRIDE",AD$24,"DEEP_PERIOD_OVERRIDE",$H$19)*1,"")))</f>
        <v/>
      </c>
      <c r="AE181" t="str">
        <f>IF(OR(AE$23="",ISNA($B181)),"",IF(ISBLANK($B181),"",IFERROR(_xll.BDP(TICKER,"DEEP_MEASURE_PERIOD_BROKER_VALUE","DEEP_MEASURE_ID_OVERRIDE",$C181,"DEEP_BROKER_ID_OVERRIDE",AE$24,"DEEP_PERIOD_OVERRIDE",$H$19)*1,"")))</f>
        <v/>
      </c>
      <c r="AF181" t="str">
        <f>IF(OR(AF$23="",ISNA($B181)),"",IF(ISBLANK($B181),"",IFERROR(_xll.BDP(TICKER,"DEEP_MEASURE_PERIOD_BROKER_VALUE","DEEP_MEASURE_ID_OVERRIDE",$C181,"DEEP_BROKER_ID_OVERRIDE",AF$24,"DEEP_PERIOD_OVERRIDE",$H$19)*1,"")))</f>
        <v/>
      </c>
      <c r="AG181" t="str">
        <f>IF(OR(AG$23="",ISNA($B181)),"",IF(ISBLANK($B181),"",IFERROR(_xll.BDP(TICKER,"DEEP_MEASURE_PERIOD_BROKER_VALUE","DEEP_MEASURE_ID_OVERRIDE",$C181,"DEEP_BROKER_ID_OVERRIDE",AG$24,"DEEP_PERIOD_OVERRIDE",$H$19)*1,"")))</f>
        <v/>
      </c>
      <c r="AH181" t="str">
        <f>IF(OR(AH$23="",ISNA($B181)),"",IF(ISBLANK($B181),"",IFERROR(_xll.BDP(TICKER,"DEEP_MEASURE_PERIOD_BROKER_VALUE","DEEP_MEASURE_ID_OVERRIDE",$C181,"DEEP_BROKER_ID_OVERRIDE",AH$24,"DEEP_PERIOD_OVERRIDE",$H$19)*1,"")))</f>
        <v/>
      </c>
      <c r="AI181" t="str">
        <f>IF(OR(AI$23="",ISNA($B181)),"",IF(ISBLANK($B181),"",IFERROR(_xll.BDP(TICKER,"DEEP_MEASURE_PERIOD_BROKER_VALUE","DEEP_MEASURE_ID_OVERRIDE",$C181,"DEEP_BROKER_ID_OVERRIDE",AI$24,"DEEP_PERIOD_OVERRIDE",$H$19)*1,"")))</f>
        <v/>
      </c>
      <c r="AJ181" t="str">
        <f>IF(OR(AJ$23="",ISNA($B181)),"",IF(ISBLANK($B181),"",IFERROR(_xll.BDP(TICKER,"DEEP_MEASURE_PERIOD_BROKER_VALUE","DEEP_MEASURE_ID_OVERRIDE",$C181,"DEEP_BROKER_ID_OVERRIDE",AJ$24,"DEEP_PERIOD_OVERRIDE",$H$19)*1,"")))</f>
        <v/>
      </c>
      <c r="AK181" t="str">
        <f>IF(OR(AK$23="",ISNA($B181)),"",IF(ISBLANK($B181),"",IFERROR(_xll.BDP(TICKER,"DEEP_MEASURE_PERIOD_BROKER_VALUE","DEEP_MEASURE_ID_OVERRIDE",$C181,"DEEP_BROKER_ID_OVERRIDE",AK$24,"DEEP_PERIOD_OVERRIDE",$H$19)*1,"")))</f>
        <v/>
      </c>
      <c r="AL181" t="str">
        <f>IF(OR(AL$23="",ISNA($B181)),"",IF(ISBLANK($B181),"",IFERROR(_xll.BDP(TICKER,"DEEP_MEASURE_PERIOD_BROKER_VALUE","DEEP_MEASURE_ID_OVERRIDE",$C181,"DEEP_BROKER_ID_OVERRIDE",AL$24,"DEEP_PERIOD_OVERRIDE",$H$19)*1,"")))</f>
        <v/>
      </c>
      <c r="AM181" t="str">
        <f>IF(OR(AM$23="",ISNA($B181)),"",IF(ISBLANK($B181),"",IFERROR(_xll.BDP(TICKER,"DEEP_MEASURE_PERIOD_BROKER_VALUE","DEEP_MEASURE_ID_OVERRIDE",$C181,"DEEP_BROKER_ID_OVERRIDE",AM$24,"DEEP_PERIOD_OVERRIDE",$H$19)*1,"")))</f>
        <v/>
      </c>
      <c r="AN181" t="str">
        <f>IF(OR(AN$23="",ISNA($B181)),"",IF(ISBLANK($B181),"",IFERROR(_xll.BDP(TICKER,"DEEP_MEASURE_PERIOD_BROKER_VALUE","DEEP_MEASURE_ID_OVERRIDE",$C181,"DEEP_BROKER_ID_OVERRIDE",AN$24,"DEEP_PERIOD_OVERRIDE",$H$19)*1,"")))</f>
        <v/>
      </c>
      <c r="AO181" t="str">
        <f>IF(OR(AO$23="",ISNA($B181)),"",IF(ISBLANK($B181),"",IFERROR(_xll.BDP(TICKER,"DEEP_MEASURE_PERIOD_BROKER_VALUE","DEEP_MEASURE_ID_OVERRIDE",$C181,"DEEP_BROKER_ID_OVERRIDE",AO$24,"DEEP_PERIOD_OVERRIDE",$H$19)*1,"")))</f>
        <v/>
      </c>
      <c r="AP181" t="str">
        <f>IF(OR(AP$23="",ISNA($B181)),"",IF(ISBLANK($B181),"",IFERROR(_xll.BDP(TICKER,"DEEP_MEASURE_PERIOD_BROKER_VALUE","DEEP_MEASURE_ID_OVERRIDE",$C181,"DEEP_BROKER_ID_OVERRIDE",AP$24,"DEEP_PERIOD_OVERRIDE",$H$19)*1,"")))</f>
        <v/>
      </c>
      <c r="AQ181" t="str">
        <f>IF(OR(AQ$23="",ISNA($B181)),"",IF(ISBLANK($B181),"",IFERROR(_xll.BDP(TICKER,"DEEP_MEASURE_PERIOD_BROKER_VALUE","DEEP_MEASURE_ID_OVERRIDE",$C181,"DEEP_BROKER_ID_OVERRIDE",AQ$24,"DEEP_PERIOD_OVERRIDE",$H$19)*1,"")))</f>
        <v/>
      </c>
      <c r="AR181" t="str">
        <f>IF(OR(AR$23="",ISNA($B181)),"",IF(ISBLANK($B181),"",IFERROR(_xll.BDP(TICKER,"DEEP_MEASURE_PERIOD_BROKER_VALUE","DEEP_MEASURE_ID_OVERRIDE",$C181,"DEEP_BROKER_ID_OVERRIDE",AR$24,"DEEP_PERIOD_OVERRIDE",$H$19)*1,"")))</f>
        <v/>
      </c>
      <c r="AS181" t="str">
        <f>IF(OR(AS$23="",ISNA($B181)),"",IF(ISBLANK($B181),"",IFERROR(_xll.BDP(TICKER,"DEEP_MEASURE_PERIOD_BROKER_VALUE","DEEP_MEASURE_ID_OVERRIDE",$C181,"DEEP_BROKER_ID_OVERRIDE",AS$24,"DEEP_PERIOD_OVERRIDE",$H$19)*1,"")))</f>
        <v/>
      </c>
      <c r="AT181" t="str">
        <f>IF(OR(AT$23="",ISNA($B181)),"",IF(ISBLANK($B181),"",IFERROR(_xll.BDP(TICKER,"DEEP_MEASURE_PERIOD_BROKER_VALUE","DEEP_MEASURE_ID_OVERRIDE",$C181,"DEEP_BROKER_ID_OVERRIDE",AT$24,"DEEP_PERIOD_OVERRIDE",$H$19)*1,"")))</f>
        <v/>
      </c>
      <c r="AU181" t="str">
        <f>IF(OR(AU$23="",ISNA($B181)),"",IF(ISBLANK($B181),"",IFERROR(_xll.BDP(TICKER,"DEEP_MEASURE_PERIOD_BROKER_VALUE","DEEP_MEASURE_ID_OVERRIDE",$C181,"DEEP_BROKER_ID_OVERRIDE",AU$24,"DEEP_PERIOD_OVERRIDE",$H$19)*1,"")))</f>
        <v/>
      </c>
      <c r="AV181" t="str">
        <f>IF(OR(AV$23="",ISNA($B181)),"",IF(ISBLANK($B181),"",IFERROR(_xll.BDP(TICKER,"DEEP_MEASURE_PERIOD_BROKER_VALUE","DEEP_MEASURE_ID_OVERRIDE",$C181,"DEEP_BROKER_ID_OVERRIDE",AV$24,"DEEP_PERIOD_OVERRIDE",$H$19)*1,"")))</f>
        <v/>
      </c>
      <c r="AW181" t="str">
        <f>IF(OR(AW$23="",ISNA($B181)),"",IF(ISBLANK($B181),"",IFERROR(_xll.BDP(TICKER,"DEEP_MEASURE_PERIOD_BROKER_VALUE","DEEP_MEASURE_ID_OVERRIDE",$C181,"DEEP_BROKER_ID_OVERRIDE",AW$24,"DEEP_PERIOD_OVERRIDE",$H$19)*1,"")))</f>
        <v/>
      </c>
      <c r="AX181" t="str">
        <f>IF(OR(AX$23="",ISNA($B181)),"",IF(ISBLANK($B181),"",IFERROR(_xll.BDP(TICKER,"DEEP_MEASURE_PERIOD_BROKER_VALUE","DEEP_MEASURE_ID_OVERRIDE",$C181,"DEEP_BROKER_ID_OVERRIDE",AX$24,"DEEP_PERIOD_OVERRIDE",$H$19)*1,"")))</f>
        <v/>
      </c>
      <c r="AY181" t="str">
        <f>IF(OR(AY$23="",ISNA($B181)),"",IF(ISBLANK($B181),"",IFERROR(_xll.BDP(TICKER,"DEEP_MEASURE_PERIOD_BROKER_VALUE","DEEP_MEASURE_ID_OVERRIDE",$C181,"DEEP_BROKER_ID_OVERRIDE",AY$24,"DEEP_PERIOD_OVERRIDE",$H$19)*1,"")))</f>
        <v/>
      </c>
      <c r="AZ181" t="str">
        <f>IF(OR(AZ$23="",ISNA($B181)),"",IF(ISBLANK($B181),"",IFERROR(_xll.BDP(TICKER,"DEEP_MEASURE_PERIOD_BROKER_VALUE","DEEP_MEASURE_ID_OVERRIDE",$C181,"DEEP_BROKER_ID_OVERRIDE",AZ$24,"DEEP_PERIOD_OVERRIDE",$H$19)*1,"")))</f>
        <v/>
      </c>
      <c r="BA181" t="str">
        <f>IF(OR(BA$23="",ISNA($B181)),"",IF(ISBLANK($B181),"",IFERROR(_xll.BDP(TICKER,"DEEP_MEASURE_PERIOD_BROKER_VALUE","DEEP_MEASURE_ID_OVERRIDE",$C181,"DEEP_BROKER_ID_OVERRIDE",BA$24,"DEEP_PERIOD_OVERRIDE",$H$19)*1,"")))</f>
        <v/>
      </c>
      <c r="BB181" t="str">
        <f>IF(OR(BB$23="",ISNA($B181)),"",IF(ISBLANK($B181),"",IFERROR(_xll.BDP(TICKER,"DEEP_MEASURE_PERIOD_BROKER_VALUE","DEEP_MEASURE_ID_OVERRIDE",$C181,"DEEP_BROKER_ID_OVERRIDE",BB$24,"DEEP_PERIOD_OVERRIDE",$H$19)*1,"")))</f>
        <v/>
      </c>
      <c r="BC181" t="str">
        <f>IF(OR(BC$23="",ISNA($B181)),"",IF(ISBLANK($B181),"",IFERROR(_xll.BDP(TICKER,"DEEP_MEASURE_PERIOD_BROKER_VALUE","DEEP_MEASURE_ID_OVERRIDE",$C181,"DEEP_BROKER_ID_OVERRIDE",BC$24,"DEEP_PERIOD_OVERRIDE",$H$19)*1,"")))</f>
        <v/>
      </c>
      <c r="BD181" t="str">
        <f>IF(OR(BD$23="",ISNA($B181)),"",IF(ISBLANK($B181),"",IFERROR(_xll.BDP(TICKER,"DEEP_MEASURE_PERIOD_BROKER_VALUE","DEEP_MEASURE_ID_OVERRIDE",$C181,"DEEP_BROKER_ID_OVERRIDE",BD$24,"DEEP_PERIOD_OVERRIDE",$H$19)*1,"")))</f>
        <v/>
      </c>
      <c r="BE181" t="str">
        <f>IF(OR(BE$23="",ISNA($B181)),"",IF(ISBLANK($B181),"",IFERROR(_xll.BDP(TICKER,"DEEP_MEASURE_PERIOD_BROKER_VALUE","DEEP_MEASURE_ID_OVERRIDE",$C181,"DEEP_BROKER_ID_OVERRIDE",BE$24,"DEEP_PERIOD_OVERRIDE",$H$19)*1,"")))</f>
        <v/>
      </c>
      <c r="BF181" t="str">
        <f>IF(OR(BF$23="",ISNA($B181)),"",IF(ISBLANK($B181),"",IFERROR(_xll.BDP(TICKER,"DEEP_MEASURE_PERIOD_BROKER_VALUE","DEEP_MEASURE_ID_OVERRIDE",$C181,"DEEP_BROKER_ID_OVERRIDE",BF$24,"DEEP_PERIOD_OVERRIDE",$H$19)*1,"")))</f>
        <v/>
      </c>
      <c r="BG181" t="str">
        <f>IF(OR(BG$23="",ISNA($B181)),"",IF(ISBLANK($B181),"",IFERROR(_xll.BDP(TICKER,"DEEP_MEASURE_PERIOD_BROKER_VALUE","DEEP_MEASURE_ID_OVERRIDE",$C181,"DEEP_BROKER_ID_OVERRIDE",BG$24,"DEEP_PERIOD_OVERRIDE",$H$19)*1,"")))</f>
        <v/>
      </c>
      <c r="BH181" t="str">
        <f>IF(OR(BH$23="",ISNA($B181)),"",IF(ISBLANK($B181),"",IFERROR(_xll.BDP(TICKER,"DEEP_MEASURE_PERIOD_BROKER_VALUE","DEEP_MEASURE_ID_OVERRIDE",$C181,"DEEP_BROKER_ID_OVERRIDE",BH$24,"DEEP_PERIOD_OVERRIDE",$H$19)*1,"")))</f>
        <v/>
      </c>
      <c r="BI181" t="str">
        <f>IF(OR(BI$23="",ISNA($B181)),"",IF(ISBLANK($B181),"",IFERROR(_xll.BDP(TICKER,"DEEP_MEASURE_PERIOD_BROKER_VALUE","DEEP_MEASURE_ID_OVERRIDE",$C181,"DEEP_BROKER_ID_OVERRIDE",BI$24,"DEEP_PERIOD_OVERRIDE",$H$19)*1,"")))</f>
        <v/>
      </c>
      <c r="BJ181" t="str">
        <f>IF(OR(BJ$23="",ISNA($B181)),"",IF(ISBLANK($B181),"",IFERROR(_xll.BDP(TICKER,"DEEP_MEASURE_PERIOD_BROKER_VALUE","DEEP_MEASURE_ID_OVERRIDE",$C181,"DEEP_BROKER_ID_OVERRIDE",BJ$24,"DEEP_PERIOD_OVERRIDE",$H$19)*1,"")))</f>
        <v/>
      </c>
      <c r="BK181" t="str">
        <f>IF(OR(BK$23="",ISNA($B181)),"",IF(ISBLANK($B181),"",IFERROR(_xll.BDP(TICKER,"DEEP_MEASURE_PERIOD_BROKER_VALUE","DEEP_MEASURE_ID_OVERRIDE",$C181,"DEEP_BROKER_ID_OVERRIDE",BK$24,"DEEP_PERIOD_OVERRIDE",$H$19)*1,"")))</f>
        <v/>
      </c>
      <c r="BL181" t="str">
        <f>IF(OR(BL$23="",ISNA($B181)),"",IF(ISBLANK($B181),"",IFERROR(_xll.BDP(TICKER,"DEEP_MEASURE_PERIOD_BROKER_VALUE","DEEP_MEASURE_ID_OVERRIDE",$C181,"DEEP_BROKER_ID_OVERRIDE",BL$24,"DEEP_PERIOD_OVERRIDE",$H$19)*1,"")))</f>
        <v/>
      </c>
      <c r="BM181" t="str">
        <f>IF(OR(BM$23="",ISNA($B181)),"",IF(ISBLANK($B181),"",IFERROR(_xll.BDP(TICKER,"DEEP_MEASURE_PERIOD_BROKER_VALUE","DEEP_MEASURE_ID_OVERRIDE",$C181,"DEEP_BROKER_ID_OVERRIDE",BM$24,"DEEP_PERIOD_OVERRIDE",$H$19)*1,"")))</f>
        <v/>
      </c>
      <c r="BN181" t="str">
        <f>IF(OR(BN$23="",ISNA($B181)),"",IF(ISBLANK($B181),"",IFERROR(_xll.BDP(TICKER,"DEEP_MEASURE_PERIOD_BROKER_VALUE","DEEP_MEASURE_ID_OVERRIDE",$C181,"DEEP_BROKER_ID_OVERRIDE",BN$24,"DEEP_PERIOD_OVERRIDE",$H$19)*1,"")))</f>
        <v/>
      </c>
      <c r="BO181" t="str">
        <f>IF(OR(BO$23="",ISNA($B181)),"",IF(ISBLANK($B181),"",IFERROR(_xll.BDP(TICKER,"DEEP_MEASURE_PERIOD_BROKER_VALUE","DEEP_MEASURE_ID_OVERRIDE",$C181,"DEEP_BROKER_ID_OVERRIDE",BO$24,"DEEP_PERIOD_OVERRIDE",$H$19)*1,"")))</f>
        <v/>
      </c>
      <c r="BP181" t="str">
        <f>IF(OR(BP$23="",ISNA($B181)),"",IF(ISBLANK($B181),"",IFERROR(_xll.BDP(TICKER,"DEEP_MEASURE_PERIOD_BROKER_VALUE","DEEP_MEASURE_ID_OVERRIDE",$C181,"DEEP_BROKER_ID_OVERRIDE",BP$24,"DEEP_PERIOD_OVERRIDE",$H$19)*1,"")))</f>
        <v/>
      </c>
      <c r="BQ181" t="str">
        <f>IF(OR(BQ$23="",ISNA($B181)),"",IF(ISBLANK($B181),"",IFERROR(_xll.BDP(TICKER,"DEEP_MEASURE_PERIOD_BROKER_VALUE","DEEP_MEASURE_ID_OVERRIDE",$C181,"DEEP_BROKER_ID_OVERRIDE",BQ$24,"DEEP_PERIOD_OVERRIDE",$H$19)*1,"")))</f>
        <v/>
      </c>
      <c r="BR181" t="str">
        <f>IF(OR(BR$23="",ISNA($B181)),"",IF(ISBLANK($B181),"",IFERROR(_xll.BDP(TICKER,"DEEP_MEASURE_PERIOD_BROKER_VALUE","DEEP_MEASURE_ID_OVERRIDE",$C181,"DEEP_BROKER_ID_OVERRIDE",BR$24,"DEEP_PERIOD_OVERRIDE",$H$19)*1,"")))</f>
        <v/>
      </c>
      <c r="BS181" t="str">
        <f>IF(OR(BS$23="",ISNA($B181)),"",IF(ISBLANK($B181),"",IFERROR(_xll.BDP(TICKER,"DEEP_MEASURE_PERIOD_BROKER_VALUE","DEEP_MEASURE_ID_OVERRIDE",$C181,"DEEP_BROKER_ID_OVERRIDE",BS$24,"DEEP_PERIOD_OVERRIDE",$H$19)*1,"")))</f>
        <v/>
      </c>
      <c r="BT181" t="str">
        <f>IF(OR(BT$23="",ISNA($B181)),"",IF(ISBLANK($B181),"",IFERROR(_xll.BDP(TICKER,"DEEP_MEASURE_PERIOD_BROKER_VALUE","DEEP_MEASURE_ID_OVERRIDE",$C181,"DEEP_BROKER_ID_OVERRIDE",BT$24,"DEEP_PERIOD_OVERRIDE",$H$19)*1,"")))</f>
        <v/>
      </c>
      <c r="BU181" t="str">
        <f>IF(OR(BU$23="",ISNA($B181)),"",IF(ISBLANK($B181),"",IFERROR(_xll.BDP(TICKER,"DEEP_MEASURE_PERIOD_BROKER_VALUE","DEEP_MEASURE_ID_OVERRIDE",$C181,"DEEP_BROKER_ID_OVERRIDE",BU$24,"DEEP_PERIOD_OVERRIDE",$H$19)*1,"")))</f>
        <v/>
      </c>
      <c r="BV181" t="str">
        <f>IF(OR(BV$23="",ISNA($B181)),"",IF(ISBLANK($B181),"",IFERROR(_xll.BDP(TICKER,"DEEP_MEASURE_PERIOD_BROKER_VALUE","DEEP_MEASURE_ID_OVERRIDE",$C181,"DEEP_BROKER_ID_OVERRIDE",BV$24,"DEEP_PERIOD_OVERRIDE",$H$19)*1,"")))</f>
        <v/>
      </c>
      <c r="BW181" t="str">
        <f>IF(OR(BW$23="",ISNA($B181)),"",IF(ISBLANK($B181),"",IFERROR(_xll.BDP(TICKER,"DEEP_MEASURE_PERIOD_BROKER_VALUE","DEEP_MEASURE_ID_OVERRIDE",$C181,"DEEP_BROKER_ID_OVERRIDE",BW$24,"DEEP_PERIOD_OVERRIDE",$H$19)*1,"")))</f>
        <v/>
      </c>
      <c r="BX181" t="str">
        <f>IF(OR(BX$23="",ISNA($B181)),"",IF(ISBLANK($B181),"",IFERROR(_xll.BDP(TICKER,"DEEP_MEASURE_PERIOD_BROKER_VALUE","DEEP_MEASURE_ID_OVERRIDE",$C181,"DEEP_BROKER_ID_OVERRIDE",BX$24,"DEEP_PERIOD_OVERRIDE",$H$19)*1,"")))</f>
        <v/>
      </c>
      <c r="BY181" t="str">
        <f>IF(OR(BY$23="",ISNA($B181)),"",IF(ISBLANK($B181),"",IFERROR(_xll.BDP(TICKER,"DEEP_MEASURE_PERIOD_BROKER_VALUE","DEEP_MEASURE_ID_OVERRIDE",$C181,"DEEP_BROKER_ID_OVERRIDE",BY$24,"DEEP_PERIOD_OVERRIDE",$H$19)*1,"")))</f>
        <v/>
      </c>
      <c r="BZ181" t="str">
        <f>IF(OR(BZ$23="",ISNA($B181)),"",IF(ISBLANK($B181),"",IFERROR(_xll.BDP(TICKER,"DEEP_MEASURE_PERIOD_BROKER_VALUE","DEEP_MEASURE_ID_OVERRIDE",$C181,"DEEP_BROKER_ID_OVERRIDE",BZ$24,"DEEP_PERIOD_OVERRIDE",$H$19)*1,"")))</f>
        <v/>
      </c>
    </row>
    <row r="182" spans="2:78" x14ac:dyDescent="0.25">
      <c r="B182" t="s">
        <v>203</v>
      </c>
      <c r="C182">
        <v>496</v>
      </c>
      <c r="H182" t="str">
        <f t="shared" si="3"/>
        <v>Liabilities &amp; Shareholders' Equity &gt; Non-Current Liabilities &gt; Other Long-Term Liabilities</v>
      </c>
      <c r="I182" t="str">
        <f>IF(OR(I$23="",ISNA($B182)),"",IF(ISBLANK($B182),"",IFERROR(_xll.BDP(TICKER,"DEEP_MEASURE_PERIOD_BROKER_VALUE","DEEP_MEASURE_ID_OVERRIDE",$C182,"DEEP_PERIOD_OVERRIDE",$H$19)*1,"")))</f>
        <v/>
      </c>
      <c r="J182" t="e">
        <f>IF(OR(J$23="",ISNA($B182)),"",IF(ISBLANK($B182),"",IFERROR(_xll.BDP(TICKER,"DEEP_MEASURE_PERIOD_BROKER_VALUE","DEEP_MEASURE_ID_OVERRIDE",$C182,"DEEP_BROKER_ID_OVERRIDE",J$24,"DEEP_PERIOD_OVERRIDE",$H$19)*1,"")))</f>
        <v>#REF!</v>
      </c>
      <c r="K182" t="str">
        <f>IF(OR(K$23="",ISNA($B182)),"",IF(ISBLANK($B182),"",IFERROR(_xll.BDP(TICKER,"DEEP_MEASURE_PERIOD_BROKER_VALUE","DEEP_MEASURE_ID_OVERRIDE",$C182,"DEEP_BROKER_ID_OVERRIDE",K$24,"DEEP_PERIOD_OVERRIDE",$H$19)*1,"")))</f>
        <v/>
      </c>
      <c r="L182" t="str">
        <f>IF(OR(L$23="",ISNA($B182)),"",IF(ISBLANK($B182),"",IFERROR(_xll.BDP(TICKER,"DEEP_MEASURE_PERIOD_BROKER_VALUE","DEEP_MEASURE_ID_OVERRIDE",$C182,"DEEP_BROKER_ID_OVERRIDE",L$24,"DEEP_PERIOD_OVERRIDE",$H$19)*1,"")))</f>
        <v/>
      </c>
      <c r="M182" t="str">
        <f>IF(OR(M$23="",ISNA($B182)),"",IF(ISBLANK($B182),"",IFERROR(_xll.BDP(TICKER,"DEEP_MEASURE_PERIOD_BROKER_VALUE","DEEP_MEASURE_ID_OVERRIDE",$C182,"DEEP_BROKER_ID_OVERRIDE",M$24,"DEEP_PERIOD_OVERRIDE",$H$19)*1,"")))</f>
        <v/>
      </c>
      <c r="N182" t="str">
        <f>IF(OR(N$23="",ISNA($B182)),"",IF(ISBLANK($B182),"",IFERROR(_xll.BDP(TICKER,"DEEP_MEASURE_PERIOD_BROKER_VALUE","DEEP_MEASURE_ID_OVERRIDE",$C182,"DEEP_BROKER_ID_OVERRIDE",N$24,"DEEP_PERIOD_OVERRIDE",$H$19)*1,"")))</f>
        <v/>
      </c>
      <c r="O182" t="str">
        <f>IF(OR(O$23="",ISNA($B182)),"",IF(ISBLANK($B182),"",IFERROR(_xll.BDP(TICKER,"DEEP_MEASURE_PERIOD_BROKER_VALUE","DEEP_MEASURE_ID_OVERRIDE",$C182,"DEEP_BROKER_ID_OVERRIDE",O$24,"DEEP_PERIOD_OVERRIDE",$H$19)*1,"")))</f>
        <v/>
      </c>
      <c r="P182" t="str">
        <f>IF(OR(P$23="",ISNA($B182)),"",IF(ISBLANK($B182),"",IFERROR(_xll.BDP(TICKER,"DEEP_MEASURE_PERIOD_BROKER_VALUE","DEEP_MEASURE_ID_OVERRIDE",$C182,"DEEP_BROKER_ID_OVERRIDE",P$24,"DEEP_PERIOD_OVERRIDE",$H$19)*1,"")))</f>
        <v/>
      </c>
      <c r="Q182" t="str">
        <f>IF(OR(Q$23="",ISNA($B182)),"",IF(ISBLANK($B182),"",IFERROR(_xll.BDP(TICKER,"DEEP_MEASURE_PERIOD_BROKER_VALUE","DEEP_MEASURE_ID_OVERRIDE",$C182,"DEEP_BROKER_ID_OVERRIDE",Q$24,"DEEP_PERIOD_OVERRIDE",$H$19)*1,"")))</f>
        <v/>
      </c>
      <c r="R182" t="str">
        <f>IF(OR(R$23="",ISNA($B182)),"",IF(ISBLANK($B182),"",IFERROR(_xll.BDP(TICKER,"DEEP_MEASURE_PERIOD_BROKER_VALUE","DEEP_MEASURE_ID_OVERRIDE",$C182,"DEEP_BROKER_ID_OVERRIDE",R$24,"DEEP_PERIOD_OVERRIDE",$H$19)*1,"")))</f>
        <v/>
      </c>
      <c r="S182" t="str">
        <f>IF(OR(S$23="",ISNA($B182)),"",IF(ISBLANK($B182),"",IFERROR(_xll.BDP(TICKER,"DEEP_MEASURE_PERIOD_BROKER_VALUE","DEEP_MEASURE_ID_OVERRIDE",$C182,"DEEP_BROKER_ID_OVERRIDE",S$24,"DEEP_PERIOD_OVERRIDE",$H$19)*1,"")))</f>
        <v/>
      </c>
      <c r="T182" t="str">
        <f>IF(OR(T$23="",ISNA($B182)),"",IF(ISBLANK($B182),"",IFERROR(_xll.BDP(TICKER,"DEEP_MEASURE_PERIOD_BROKER_VALUE","DEEP_MEASURE_ID_OVERRIDE",$C182,"DEEP_BROKER_ID_OVERRIDE",T$24,"DEEP_PERIOD_OVERRIDE",$H$19)*1,"")))</f>
        <v/>
      </c>
      <c r="U182" t="str">
        <f>IF(OR(U$23="",ISNA($B182)),"",IF(ISBLANK($B182),"",IFERROR(_xll.BDP(TICKER,"DEEP_MEASURE_PERIOD_BROKER_VALUE","DEEP_MEASURE_ID_OVERRIDE",$C182,"DEEP_BROKER_ID_OVERRIDE",U$24,"DEEP_PERIOD_OVERRIDE",$H$19)*1,"")))</f>
        <v/>
      </c>
      <c r="V182" t="str">
        <f>IF(OR(V$23="",ISNA($B182)),"",IF(ISBLANK($B182),"",IFERROR(_xll.BDP(TICKER,"DEEP_MEASURE_PERIOD_BROKER_VALUE","DEEP_MEASURE_ID_OVERRIDE",$C182,"DEEP_BROKER_ID_OVERRIDE",V$24,"DEEP_PERIOD_OVERRIDE",$H$19)*1,"")))</f>
        <v/>
      </c>
      <c r="W182" t="str">
        <f>IF(OR(W$23="",ISNA($B182)),"",IF(ISBLANK($B182),"",IFERROR(_xll.BDP(TICKER,"DEEP_MEASURE_PERIOD_BROKER_VALUE","DEEP_MEASURE_ID_OVERRIDE",$C182,"DEEP_BROKER_ID_OVERRIDE",W$24,"DEEP_PERIOD_OVERRIDE",$H$19)*1,"")))</f>
        <v/>
      </c>
      <c r="X182" t="str">
        <f>IF(OR(X$23="",ISNA($B182)),"",IF(ISBLANK($B182),"",IFERROR(_xll.BDP(TICKER,"DEEP_MEASURE_PERIOD_BROKER_VALUE","DEEP_MEASURE_ID_OVERRIDE",$C182,"DEEP_BROKER_ID_OVERRIDE",X$24,"DEEP_PERIOD_OVERRIDE",$H$19)*1,"")))</f>
        <v/>
      </c>
      <c r="Y182" t="str">
        <f>IF(OR(Y$23="",ISNA($B182)),"",IF(ISBLANK($B182),"",IFERROR(_xll.BDP(TICKER,"DEEP_MEASURE_PERIOD_BROKER_VALUE","DEEP_MEASURE_ID_OVERRIDE",$C182,"DEEP_BROKER_ID_OVERRIDE",Y$24,"DEEP_PERIOD_OVERRIDE",$H$19)*1,"")))</f>
        <v/>
      </c>
      <c r="Z182" t="str">
        <f>IF(OR(Z$23="",ISNA($B182)),"",IF(ISBLANK($B182),"",IFERROR(_xll.BDP(TICKER,"DEEP_MEASURE_PERIOD_BROKER_VALUE","DEEP_MEASURE_ID_OVERRIDE",$C182,"DEEP_BROKER_ID_OVERRIDE",Z$24,"DEEP_PERIOD_OVERRIDE",$H$19)*1,"")))</f>
        <v/>
      </c>
      <c r="AA182" t="str">
        <f>IF(OR(AA$23="",ISNA($B182)),"",IF(ISBLANK($B182),"",IFERROR(_xll.BDP(TICKER,"DEEP_MEASURE_PERIOD_BROKER_VALUE","DEEP_MEASURE_ID_OVERRIDE",$C182,"DEEP_BROKER_ID_OVERRIDE",AA$24,"DEEP_PERIOD_OVERRIDE",$H$19)*1,"")))</f>
        <v/>
      </c>
      <c r="AB182" t="str">
        <f>IF(OR(AB$23="",ISNA($B182)),"",IF(ISBLANK($B182),"",IFERROR(_xll.BDP(TICKER,"DEEP_MEASURE_PERIOD_BROKER_VALUE","DEEP_MEASURE_ID_OVERRIDE",$C182,"DEEP_BROKER_ID_OVERRIDE",AB$24,"DEEP_PERIOD_OVERRIDE",$H$19)*1,"")))</f>
        <v/>
      </c>
      <c r="AC182" t="str">
        <f>IF(OR(AC$23="",ISNA($B182)),"",IF(ISBLANK($B182),"",IFERROR(_xll.BDP(TICKER,"DEEP_MEASURE_PERIOD_BROKER_VALUE","DEEP_MEASURE_ID_OVERRIDE",$C182,"DEEP_BROKER_ID_OVERRIDE",AC$24,"DEEP_PERIOD_OVERRIDE",$H$19)*1,"")))</f>
        <v/>
      </c>
      <c r="AD182" t="str">
        <f>IF(OR(AD$23="",ISNA($B182)),"",IF(ISBLANK($B182),"",IFERROR(_xll.BDP(TICKER,"DEEP_MEASURE_PERIOD_BROKER_VALUE","DEEP_MEASURE_ID_OVERRIDE",$C182,"DEEP_BROKER_ID_OVERRIDE",AD$24,"DEEP_PERIOD_OVERRIDE",$H$19)*1,"")))</f>
        <v/>
      </c>
      <c r="AE182" t="str">
        <f>IF(OR(AE$23="",ISNA($B182)),"",IF(ISBLANK($B182),"",IFERROR(_xll.BDP(TICKER,"DEEP_MEASURE_PERIOD_BROKER_VALUE","DEEP_MEASURE_ID_OVERRIDE",$C182,"DEEP_BROKER_ID_OVERRIDE",AE$24,"DEEP_PERIOD_OVERRIDE",$H$19)*1,"")))</f>
        <v/>
      </c>
      <c r="AF182" t="str">
        <f>IF(OR(AF$23="",ISNA($B182)),"",IF(ISBLANK($B182),"",IFERROR(_xll.BDP(TICKER,"DEEP_MEASURE_PERIOD_BROKER_VALUE","DEEP_MEASURE_ID_OVERRIDE",$C182,"DEEP_BROKER_ID_OVERRIDE",AF$24,"DEEP_PERIOD_OVERRIDE",$H$19)*1,"")))</f>
        <v/>
      </c>
      <c r="AG182" t="str">
        <f>IF(OR(AG$23="",ISNA($B182)),"",IF(ISBLANK($B182),"",IFERROR(_xll.BDP(TICKER,"DEEP_MEASURE_PERIOD_BROKER_VALUE","DEEP_MEASURE_ID_OVERRIDE",$C182,"DEEP_BROKER_ID_OVERRIDE",AG$24,"DEEP_PERIOD_OVERRIDE",$H$19)*1,"")))</f>
        <v/>
      </c>
      <c r="AH182" t="str">
        <f>IF(OR(AH$23="",ISNA($B182)),"",IF(ISBLANK($B182),"",IFERROR(_xll.BDP(TICKER,"DEEP_MEASURE_PERIOD_BROKER_VALUE","DEEP_MEASURE_ID_OVERRIDE",$C182,"DEEP_BROKER_ID_OVERRIDE",AH$24,"DEEP_PERIOD_OVERRIDE",$H$19)*1,"")))</f>
        <v/>
      </c>
      <c r="AI182" t="str">
        <f>IF(OR(AI$23="",ISNA($B182)),"",IF(ISBLANK($B182),"",IFERROR(_xll.BDP(TICKER,"DEEP_MEASURE_PERIOD_BROKER_VALUE","DEEP_MEASURE_ID_OVERRIDE",$C182,"DEEP_BROKER_ID_OVERRIDE",AI$24,"DEEP_PERIOD_OVERRIDE",$H$19)*1,"")))</f>
        <v/>
      </c>
      <c r="AJ182" t="str">
        <f>IF(OR(AJ$23="",ISNA($B182)),"",IF(ISBLANK($B182),"",IFERROR(_xll.BDP(TICKER,"DEEP_MEASURE_PERIOD_BROKER_VALUE","DEEP_MEASURE_ID_OVERRIDE",$C182,"DEEP_BROKER_ID_OVERRIDE",AJ$24,"DEEP_PERIOD_OVERRIDE",$H$19)*1,"")))</f>
        <v/>
      </c>
      <c r="AK182" t="str">
        <f>IF(OR(AK$23="",ISNA($B182)),"",IF(ISBLANK($B182),"",IFERROR(_xll.BDP(TICKER,"DEEP_MEASURE_PERIOD_BROKER_VALUE","DEEP_MEASURE_ID_OVERRIDE",$C182,"DEEP_BROKER_ID_OVERRIDE",AK$24,"DEEP_PERIOD_OVERRIDE",$H$19)*1,"")))</f>
        <v/>
      </c>
      <c r="AL182" t="str">
        <f>IF(OR(AL$23="",ISNA($B182)),"",IF(ISBLANK($B182),"",IFERROR(_xll.BDP(TICKER,"DEEP_MEASURE_PERIOD_BROKER_VALUE","DEEP_MEASURE_ID_OVERRIDE",$C182,"DEEP_BROKER_ID_OVERRIDE",AL$24,"DEEP_PERIOD_OVERRIDE",$H$19)*1,"")))</f>
        <v/>
      </c>
      <c r="AM182" t="str">
        <f>IF(OR(AM$23="",ISNA($B182)),"",IF(ISBLANK($B182),"",IFERROR(_xll.BDP(TICKER,"DEEP_MEASURE_PERIOD_BROKER_VALUE","DEEP_MEASURE_ID_OVERRIDE",$C182,"DEEP_BROKER_ID_OVERRIDE",AM$24,"DEEP_PERIOD_OVERRIDE",$H$19)*1,"")))</f>
        <v/>
      </c>
      <c r="AN182" t="str">
        <f>IF(OR(AN$23="",ISNA($B182)),"",IF(ISBLANK($B182),"",IFERROR(_xll.BDP(TICKER,"DEEP_MEASURE_PERIOD_BROKER_VALUE","DEEP_MEASURE_ID_OVERRIDE",$C182,"DEEP_BROKER_ID_OVERRIDE",AN$24,"DEEP_PERIOD_OVERRIDE",$H$19)*1,"")))</f>
        <v/>
      </c>
      <c r="AO182" t="str">
        <f>IF(OR(AO$23="",ISNA($B182)),"",IF(ISBLANK($B182),"",IFERROR(_xll.BDP(TICKER,"DEEP_MEASURE_PERIOD_BROKER_VALUE","DEEP_MEASURE_ID_OVERRIDE",$C182,"DEEP_BROKER_ID_OVERRIDE",AO$24,"DEEP_PERIOD_OVERRIDE",$H$19)*1,"")))</f>
        <v/>
      </c>
      <c r="AP182" t="str">
        <f>IF(OR(AP$23="",ISNA($B182)),"",IF(ISBLANK($B182),"",IFERROR(_xll.BDP(TICKER,"DEEP_MEASURE_PERIOD_BROKER_VALUE","DEEP_MEASURE_ID_OVERRIDE",$C182,"DEEP_BROKER_ID_OVERRIDE",AP$24,"DEEP_PERIOD_OVERRIDE",$H$19)*1,"")))</f>
        <v/>
      </c>
      <c r="AQ182" t="str">
        <f>IF(OR(AQ$23="",ISNA($B182)),"",IF(ISBLANK($B182),"",IFERROR(_xll.BDP(TICKER,"DEEP_MEASURE_PERIOD_BROKER_VALUE","DEEP_MEASURE_ID_OVERRIDE",$C182,"DEEP_BROKER_ID_OVERRIDE",AQ$24,"DEEP_PERIOD_OVERRIDE",$H$19)*1,"")))</f>
        <v/>
      </c>
      <c r="AR182" t="str">
        <f>IF(OR(AR$23="",ISNA($B182)),"",IF(ISBLANK($B182),"",IFERROR(_xll.BDP(TICKER,"DEEP_MEASURE_PERIOD_BROKER_VALUE","DEEP_MEASURE_ID_OVERRIDE",$C182,"DEEP_BROKER_ID_OVERRIDE",AR$24,"DEEP_PERIOD_OVERRIDE",$H$19)*1,"")))</f>
        <v/>
      </c>
      <c r="AS182" t="str">
        <f>IF(OR(AS$23="",ISNA($B182)),"",IF(ISBLANK($B182),"",IFERROR(_xll.BDP(TICKER,"DEEP_MEASURE_PERIOD_BROKER_VALUE","DEEP_MEASURE_ID_OVERRIDE",$C182,"DEEP_BROKER_ID_OVERRIDE",AS$24,"DEEP_PERIOD_OVERRIDE",$H$19)*1,"")))</f>
        <v/>
      </c>
      <c r="AT182" t="str">
        <f>IF(OR(AT$23="",ISNA($B182)),"",IF(ISBLANK($B182),"",IFERROR(_xll.BDP(TICKER,"DEEP_MEASURE_PERIOD_BROKER_VALUE","DEEP_MEASURE_ID_OVERRIDE",$C182,"DEEP_BROKER_ID_OVERRIDE",AT$24,"DEEP_PERIOD_OVERRIDE",$H$19)*1,"")))</f>
        <v/>
      </c>
      <c r="AU182" t="str">
        <f>IF(OR(AU$23="",ISNA($B182)),"",IF(ISBLANK($B182),"",IFERROR(_xll.BDP(TICKER,"DEEP_MEASURE_PERIOD_BROKER_VALUE","DEEP_MEASURE_ID_OVERRIDE",$C182,"DEEP_BROKER_ID_OVERRIDE",AU$24,"DEEP_PERIOD_OVERRIDE",$H$19)*1,"")))</f>
        <v/>
      </c>
      <c r="AV182" t="str">
        <f>IF(OR(AV$23="",ISNA($B182)),"",IF(ISBLANK($B182),"",IFERROR(_xll.BDP(TICKER,"DEEP_MEASURE_PERIOD_BROKER_VALUE","DEEP_MEASURE_ID_OVERRIDE",$C182,"DEEP_BROKER_ID_OVERRIDE",AV$24,"DEEP_PERIOD_OVERRIDE",$H$19)*1,"")))</f>
        <v/>
      </c>
      <c r="AW182" t="str">
        <f>IF(OR(AW$23="",ISNA($B182)),"",IF(ISBLANK($B182),"",IFERROR(_xll.BDP(TICKER,"DEEP_MEASURE_PERIOD_BROKER_VALUE","DEEP_MEASURE_ID_OVERRIDE",$C182,"DEEP_BROKER_ID_OVERRIDE",AW$24,"DEEP_PERIOD_OVERRIDE",$H$19)*1,"")))</f>
        <v/>
      </c>
      <c r="AX182" t="str">
        <f>IF(OR(AX$23="",ISNA($B182)),"",IF(ISBLANK($B182),"",IFERROR(_xll.BDP(TICKER,"DEEP_MEASURE_PERIOD_BROKER_VALUE","DEEP_MEASURE_ID_OVERRIDE",$C182,"DEEP_BROKER_ID_OVERRIDE",AX$24,"DEEP_PERIOD_OVERRIDE",$H$19)*1,"")))</f>
        <v/>
      </c>
      <c r="AY182" t="str">
        <f>IF(OR(AY$23="",ISNA($B182)),"",IF(ISBLANK($B182),"",IFERROR(_xll.BDP(TICKER,"DEEP_MEASURE_PERIOD_BROKER_VALUE","DEEP_MEASURE_ID_OVERRIDE",$C182,"DEEP_BROKER_ID_OVERRIDE",AY$24,"DEEP_PERIOD_OVERRIDE",$H$19)*1,"")))</f>
        <v/>
      </c>
      <c r="AZ182" t="str">
        <f>IF(OR(AZ$23="",ISNA($B182)),"",IF(ISBLANK($B182),"",IFERROR(_xll.BDP(TICKER,"DEEP_MEASURE_PERIOD_BROKER_VALUE","DEEP_MEASURE_ID_OVERRIDE",$C182,"DEEP_BROKER_ID_OVERRIDE",AZ$24,"DEEP_PERIOD_OVERRIDE",$H$19)*1,"")))</f>
        <v/>
      </c>
      <c r="BA182" t="str">
        <f>IF(OR(BA$23="",ISNA($B182)),"",IF(ISBLANK($B182),"",IFERROR(_xll.BDP(TICKER,"DEEP_MEASURE_PERIOD_BROKER_VALUE","DEEP_MEASURE_ID_OVERRIDE",$C182,"DEEP_BROKER_ID_OVERRIDE",BA$24,"DEEP_PERIOD_OVERRIDE",$H$19)*1,"")))</f>
        <v/>
      </c>
      <c r="BB182" t="str">
        <f>IF(OR(BB$23="",ISNA($B182)),"",IF(ISBLANK($B182),"",IFERROR(_xll.BDP(TICKER,"DEEP_MEASURE_PERIOD_BROKER_VALUE","DEEP_MEASURE_ID_OVERRIDE",$C182,"DEEP_BROKER_ID_OVERRIDE",BB$24,"DEEP_PERIOD_OVERRIDE",$H$19)*1,"")))</f>
        <v/>
      </c>
      <c r="BC182" t="str">
        <f>IF(OR(BC$23="",ISNA($B182)),"",IF(ISBLANK($B182),"",IFERROR(_xll.BDP(TICKER,"DEEP_MEASURE_PERIOD_BROKER_VALUE","DEEP_MEASURE_ID_OVERRIDE",$C182,"DEEP_BROKER_ID_OVERRIDE",BC$24,"DEEP_PERIOD_OVERRIDE",$H$19)*1,"")))</f>
        <v/>
      </c>
      <c r="BD182" t="str">
        <f>IF(OR(BD$23="",ISNA($B182)),"",IF(ISBLANK($B182),"",IFERROR(_xll.BDP(TICKER,"DEEP_MEASURE_PERIOD_BROKER_VALUE","DEEP_MEASURE_ID_OVERRIDE",$C182,"DEEP_BROKER_ID_OVERRIDE",BD$24,"DEEP_PERIOD_OVERRIDE",$H$19)*1,"")))</f>
        <v/>
      </c>
      <c r="BE182" t="str">
        <f>IF(OR(BE$23="",ISNA($B182)),"",IF(ISBLANK($B182),"",IFERROR(_xll.BDP(TICKER,"DEEP_MEASURE_PERIOD_BROKER_VALUE","DEEP_MEASURE_ID_OVERRIDE",$C182,"DEEP_BROKER_ID_OVERRIDE",BE$24,"DEEP_PERIOD_OVERRIDE",$H$19)*1,"")))</f>
        <v/>
      </c>
      <c r="BF182" t="str">
        <f>IF(OR(BF$23="",ISNA($B182)),"",IF(ISBLANK($B182),"",IFERROR(_xll.BDP(TICKER,"DEEP_MEASURE_PERIOD_BROKER_VALUE","DEEP_MEASURE_ID_OVERRIDE",$C182,"DEEP_BROKER_ID_OVERRIDE",BF$24,"DEEP_PERIOD_OVERRIDE",$H$19)*1,"")))</f>
        <v/>
      </c>
      <c r="BG182" t="str">
        <f>IF(OR(BG$23="",ISNA($B182)),"",IF(ISBLANK($B182),"",IFERROR(_xll.BDP(TICKER,"DEEP_MEASURE_PERIOD_BROKER_VALUE","DEEP_MEASURE_ID_OVERRIDE",$C182,"DEEP_BROKER_ID_OVERRIDE",BG$24,"DEEP_PERIOD_OVERRIDE",$H$19)*1,"")))</f>
        <v/>
      </c>
      <c r="BH182" t="str">
        <f>IF(OR(BH$23="",ISNA($B182)),"",IF(ISBLANK($B182),"",IFERROR(_xll.BDP(TICKER,"DEEP_MEASURE_PERIOD_BROKER_VALUE","DEEP_MEASURE_ID_OVERRIDE",$C182,"DEEP_BROKER_ID_OVERRIDE",BH$24,"DEEP_PERIOD_OVERRIDE",$H$19)*1,"")))</f>
        <v/>
      </c>
      <c r="BI182" t="str">
        <f>IF(OR(BI$23="",ISNA($B182)),"",IF(ISBLANK($B182),"",IFERROR(_xll.BDP(TICKER,"DEEP_MEASURE_PERIOD_BROKER_VALUE","DEEP_MEASURE_ID_OVERRIDE",$C182,"DEEP_BROKER_ID_OVERRIDE",BI$24,"DEEP_PERIOD_OVERRIDE",$H$19)*1,"")))</f>
        <v/>
      </c>
      <c r="BJ182" t="str">
        <f>IF(OR(BJ$23="",ISNA($B182)),"",IF(ISBLANK($B182),"",IFERROR(_xll.BDP(TICKER,"DEEP_MEASURE_PERIOD_BROKER_VALUE","DEEP_MEASURE_ID_OVERRIDE",$C182,"DEEP_BROKER_ID_OVERRIDE",BJ$24,"DEEP_PERIOD_OVERRIDE",$H$19)*1,"")))</f>
        <v/>
      </c>
      <c r="BK182" t="str">
        <f>IF(OR(BK$23="",ISNA($B182)),"",IF(ISBLANK($B182),"",IFERROR(_xll.BDP(TICKER,"DEEP_MEASURE_PERIOD_BROKER_VALUE","DEEP_MEASURE_ID_OVERRIDE",$C182,"DEEP_BROKER_ID_OVERRIDE",BK$24,"DEEP_PERIOD_OVERRIDE",$H$19)*1,"")))</f>
        <v/>
      </c>
      <c r="BL182" t="str">
        <f>IF(OR(BL$23="",ISNA($B182)),"",IF(ISBLANK($B182),"",IFERROR(_xll.BDP(TICKER,"DEEP_MEASURE_PERIOD_BROKER_VALUE","DEEP_MEASURE_ID_OVERRIDE",$C182,"DEEP_BROKER_ID_OVERRIDE",BL$24,"DEEP_PERIOD_OVERRIDE",$H$19)*1,"")))</f>
        <v/>
      </c>
      <c r="BM182" t="str">
        <f>IF(OR(BM$23="",ISNA($B182)),"",IF(ISBLANK($B182),"",IFERROR(_xll.BDP(TICKER,"DEEP_MEASURE_PERIOD_BROKER_VALUE","DEEP_MEASURE_ID_OVERRIDE",$C182,"DEEP_BROKER_ID_OVERRIDE",BM$24,"DEEP_PERIOD_OVERRIDE",$H$19)*1,"")))</f>
        <v/>
      </c>
      <c r="BN182" t="str">
        <f>IF(OR(BN$23="",ISNA($B182)),"",IF(ISBLANK($B182),"",IFERROR(_xll.BDP(TICKER,"DEEP_MEASURE_PERIOD_BROKER_VALUE","DEEP_MEASURE_ID_OVERRIDE",$C182,"DEEP_BROKER_ID_OVERRIDE",BN$24,"DEEP_PERIOD_OVERRIDE",$H$19)*1,"")))</f>
        <v/>
      </c>
      <c r="BO182" t="str">
        <f>IF(OR(BO$23="",ISNA($B182)),"",IF(ISBLANK($B182),"",IFERROR(_xll.BDP(TICKER,"DEEP_MEASURE_PERIOD_BROKER_VALUE","DEEP_MEASURE_ID_OVERRIDE",$C182,"DEEP_BROKER_ID_OVERRIDE",BO$24,"DEEP_PERIOD_OVERRIDE",$H$19)*1,"")))</f>
        <v/>
      </c>
      <c r="BP182" t="str">
        <f>IF(OR(BP$23="",ISNA($B182)),"",IF(ISBLANK($B182),"",IFERROR(_xll.BDP(TICKER,"DEEP_MEASURE_PERIOD_BROKER_VALUE","DEEP_MEASURE_ID_OVERRIDE",$C182,"DEEP_BROKER_ID_OVERRIDE",BP$24,"DEEP_PERIOD_OVERRIDE",$H$19)*1,"")))</f>
        <v/>
      </c>
      <c r="BQ182" t="str">
        <f>IF(OR(BQ$23="",ISNA($B182)),"",IF(ISBLANK($B182),"",IFERROR(_xll.BDP(TICKER,"DEEP_MEASURE_PERIOD_BROKER_VALUE","DEEP_MEASURE_ID_OVERRIDE",$C182,"DEEP_BROKER_ID_OVERRIDE",BQ$24,"DEEP_PERIOD_OVERRIDE",$H$19)*1,"")))</f>
        <v/>
      </c>
      <c r="BR182" t="str">
        <f>IF(OR(BR$23="",ISNA($B182)),"",IF(ISBLANK($B182),"",IFERROR(_xll.BDP(TICKER,"DEEP_MEASURE_PERIOD_BROKER_VALUE","DEEP_MEASURE_ID_OVERRIDE",$C182,"DEEP_BROKER_ID_OVERRIDE",BR$24,"DEEP_PERIOD_OVERRIDE",$H$19)*1,"")))</f>
        <v/>
      </c>
      <c r="BS182" t="str">
        <f>IF(OR(BS$23="",ISNA($B182)),"",IF(ISBLANK($B182),"",IFERROR(_xll.BDP(TICKER,"DEEP_MEASURE_PERIOD_BROKER_VALUE","DEEP_MEASURE_ID_OVERRIDE",$C182,"DEEP_BROKER_ID_OVERRIDE",BS$24,"DEEP_PERIOD_OVERRIDE",$H$19)*1,"")))</f>
        <v/>
      </c>
      <c r="BT182" t="str">
        <f>IF(OR(BT$23="",ISNA($B182)),"",IF(ISBLANK($B182),"",IFERROR(_xll.BDP(TICKER,"DEEP_MEASURE_PERIOD_BROKER_VALUE","DEEP_MEASURE_ID_OVERRIDE",$C182,"DEEP_BROKER_ID_OVERRIDE",BT$24,"DEEP_PERIOD_OVERRIDE",$H$19)*1,"")))</f>
        <v/>
      </c>
      <c r="BU182" t="str">
        <f>IF(OR(BU$23="",ISNA($B182)),"",IF(ISBLANK($B182),"",IFERROR(_xll.BDP(TICKER,"DEEP_MEASURE_PERIOD_BROKER_VALUE","DEEP_MEASURE_ID_OVERRIDE",$C182,"DEEP_BROKER_ID_OVERRIDE",BU$24,"DEEP_PERIOD_OVERRIDE",$H$19)*1,"")))</f>
        <v/>
      </c>
      <c r="BV182" t="str">
        <f>IF(OR(BV$23="",ISNA($B182)),"",IF(ISBLANK($B182),"",IFERROR(_xll.BDP(TICKER,"DEEP_MEASURE_PERIOD_BROKER_VALUE","DEEP_MEASURE_ID_OVERRIDE",$C182,"DEEP_BROKER_ID_OVERRIDE",BV$24,"DEEP_PERIOD_OVERRIDE",$H$19)*1,"")))</f>
        <v/>
      </c>
      <c r="BW182" t="str">
        <f>IF(OR(BW$23="",ISNA($B182)),"",IF(ISBLANK($B182),"",IFERROR(_xll.BDP(TICKER,"DEEP_MEASURE_PERIOD_BROKER_VALUE","DEEP_MEASURE_ID_OVERRIDE",$C182,"DEEP_BROKER_ID_OVERRIDE",BW$24,"DEEP_PERIOD_OVERRIDE",$H$19)*1,"")))</f>
        <v/>
      </c>
      <c r="BX182" t="str">
        <f>IF(OR(BX$23="",ISNA($B182)),"",IF(ISBLANK($B182),"",IFERROR(_xll.BDP(TICKER,"DEEP_MEASURE_PERIOD_BROKER_VALUE","DEEP_MEASURE_ID_OVERRIDE",$C182,"DEEP_BROKER_ID_OVERRIDE",BX$24,"DEEP_PERIOD_OVERRIDE",$H$19)*1,"")))</f>
        <v/>
      </c>
      <c r="BY182" t="str">
        <f>IF(OR(BY$23="",ISNA($B182)),"",IF(ISBLANK($B182),"",IFERROR(_xll.BDP(TICKER,"DEEP_MEASURE_PERIOD_BROKER_VALUE","DEEP_MEASURE_ID_OVERRIDE",$C182,"DEEP_BROKER_ID_OVERRIDE",BY$24,"DEEP_PERIOD_OVERRIDE",$H$19)*1,"")))</f>
        <v/>
      </c>
      <c r="BZ182" t="str">
        <f>IF(OR(BZ$23="",ISNA($B182)),"",IF(ISBLANK($B182),"",IFERROR(_xll.BDP(TICKER,"DEEP_MEASURE_PERIOD_BROKER_VALUE","DEEP_MEASURE_ID_OVERRIDE",$C182,"DEEP_BROKER_ID_OVERRIDE",BZ$24,"DEEP_PERIOD_OVERRIDE",$H$19)*1,"")))</f>
        <v/>
      </c>
    </row>
    <row r="183" spans="2:78" x14ac:dyDescent="0.25">
      <c r="B183" t="s">
        <v>55</v>
      </c>
      <c r="C183">
        <v>7422</v>
      </c>
      <c r="H183" t="str">
        <f t="shared" si="3"/>
        <v>Liabilities &amp; Shareholders' Equity &gt; Total Liabilities</v>
      </c>
      <c r="I183" t="str">
        <f>IF(OR(I$23="",ISNA($B183)),"",IF(ISBLANK($B183),"",IFERROR(_xll.BDP(TICKER,"DEEP_MEASURE_PERIOD_BROKER_VALUE","DEEP_MEASURE_ID_OVERRIDE",$C183,"DEEP_PERIOD_OVERRIDE",$H$19)*1,"")))</f>
        <v/>
      </c>
      <c r="J183" t="e">
        <f>IF(OR(J$23="",ISNA($B183)),"",IF(ISBLANK($B183),"",IFERROR(_xll.BDP(TICKER,"DEEP_MEASURE_PERIOD_BROKER_VALUE","DEEP_MEASURE_ID_OVERRIDE",$C183,"DEEP_BROKER_ID_OVERRIDE",J$24,"DEEP_PERIOD_OVERRIDE",$H$19)*1,"")))</f>
        <v>#REF!</v>
      </c>
      <c r="K183" t="str">
        <f>IF(OR(K$23="",ISNA($B183)),"",IF(ISBLANK($B183),"",IFERROR(_xll.BDP(TICKER,"DEEP_MEASURE_PERIOD_BROKER_VALUE","DEEP_MEASURE_ID_OVERRIDE",$C183,"DEEP_BROKER_ID_OVERRIDE",K$24,"DEEP_PERIOD_OVERRIDE",$H$19)*1,"")))</f>
        <v/>
      </c>
      <c r="L183" t="str">
        <f>IF(OR(L$23="",ISNA($B183)),"",IF(ISBLANK($B183),"",IFERROR(_xll.BDP(TICKER,"DEEP_MEASURE_PERIOD_BROKER_VALUE","DEEP_MEASURE_ID_OVERRIDE",$C183,"DEEP_BROKER_ID_OVERRIDE",L$24,"DEEP_PERIOD_OVERRIDE",$H$19)*1,"")))</f>
        <v/>
      </c>
      <c r="M183" t="str">
        <f>IF(OR(M$23="",ISNA($B183)),"",IF(ISBLANK($B183),"",IFERROR(_xll.BDP(TICKER,"DEEP_MEASURE_PERIOD_BROKER_VALUE","DEEP_MEASURE_ID_OVERRIDE",$C183,"DEEP_BROKER_ID_OVERRIDE",M$24,"DEEP_PERIOD_OVERRIDE",$H$19)*1,"")))</f>
        <v/>
      </c>
      <c r="N183" t="str">
        <f>IF(OR(N$23="",ISNA($B183)),"",IF(ISBLANK($B183),"",IFERROR(_xll.BDP(TICKER,"DEEP_MEASURE_PERIOD_BROKER_VALUE","DEEP_MEASURE_ID_OVERRIDE",$C183,"DEEP_BROKER_ID_OVERRIDE",N$24,"DEEP_PERIOD_OVERRIDE",$H$19)*1,"")))</f>
        <v/>
      </c>
      <c r="O183" t="str">
        <f>IF(OR(O$23="",ISNA($B183)),"",IF(ISBLANK($B183),"",IFERROR(_xll.BDP(TICKER,"DEEP_MEASURE_PERIOD_BROKER_VALUE","DEEP_MEASURE_ID_OVERRIDE",$C183,"DEEP_BROKER_ID_OVERRIDE",O$24,"DEEP_PERIOD_OVERRIDE",$H$19)*1,"")))</f>
        <v/>
      </c>
      <c r="P183" t="str">
        <f>IF(OR(P$23="",ISNA($B183)),"",IF(ISBLANK($B183),"",IFERROR(_xll.BDP(TICKER,"DEEP_MEASURE_PERIOD_BROKER_VALUE","DEEP_MEASURE_ID_OVERRIDE",$C183,"DEEP_BROKER_ID_OVERRIDE",P$24,"DEEP_PERIOD_OVERRIDE",$H$19)*1,"")))</f>
        <v/>
      </c>
      <c r="Q183" t="str">
        <f>IF(OR(Q$23="",ISNA($B183)),"",IF(ISBLANK($B183),"",IFERROR(_xll.BDP(TICKER,"DEEP_MEASURE_PERIOD_BROKER_VALUE","DEEP_MEASURE_ID_OVERRIDE",$C183,"DEEP_BROKER_ID_OVERRIDE",Q$24,"DEEP_PERIOD_OVERRIDE",$H$19)*1,"")))</f>
        <v/>
      </c>
      <c r="R183" t="str">
        <f>IF(OR(R$23="",ISNA($B183)),"",IF(ISBLANK($B183),"",IFERROR(_xll.BDP(TICKER,"DEEP_MEASURE_PERIOD_BROKER_VALUE","DEEP_MEASURE_ID_OVERRIDE",$C183,"DEEP_BROKER_ID_OVERRIDE",R$24,"DEEP_PERIOD_OVERRIDE",$H$19)*1,"")))</f>
        <v/>
      </c>
      <c r="S183" t="str">
        <f>IF(OR(S$23="",ISNA($B183)),"",IF(ISBLANK($B183),"",IFERROR(_xll.BDP(TICKER,"DEEP_MEASURE_PERIOD_BROKER_VALUE","DEEP_MEASURE_ID_OVERRIDE",$C183,"DEEP_BROKER_ID_OVERRIDE",S$24,"DEEP_PERIOD_OVERRIDE",$H$19)*1,"")))</f>
        <v/>
      </c>
      <c r="T183" t="str">
        <f>IF(OR(T$23="",ISNA($B183)),"",IF(ISBLANK($B183),"",IFERROR(_xll.BDP(TICKER,"DEEP_MEASURE_PERIOD_BROKER_VALUE","DEEP_MEASURE_ID_OVERRIDE",$C183,"DEEP_BROKER_ID_OVERRIDE",T$24,"DEEP_PERIOD_OVERRIDE",$H$19)*1,"")))</f>
        <v/>
      </c>
      <c r="U183" t="str">
        <f>IF(OR(U$23="",ISNA($B183)),"",IF(ISBLANK($B183),"",IFERROR(_xll.BDP(TICKER,"DEEP_MEASURE_PERIOD_BROKER_VALUE","DEEP_MEASURE_ID_OVERRIDE",$C183,"DEEP_BROKER_ID_OVERRIDE",U$24,"DEEP_PERIOD_OVERRIDE",$H$19)*1,"")))</f>
        <v/>
      </c>
      <c r="V183" t="str">
        <f>IF(OR(V$23="",ISNA($B183)),"",IF(ISBLANK($B183),"",IFERROR(_xll.BDP(TICKER,"DEEP_MEASURE_PERIOD_BROKER_VALUE","DEEP_MEASURE_ID_OVERRIDE",$C183,"DEEP_BROKER_ID_OVERRIDE",V$24,"DEEP_PERIOD_OVERRIDE",$H$19)*1,"")))</f>
        <v/>
      </c>
      <c r="W183" t="str">
        <f>IF(OR(W$23="",ISNA($B183)),"",IF(ISBLANK($B183),"",IFERROR(_xll.BDP(TICKER,"DEEP_MEASURE_PERIOD_BROKER_VALUE","DEEP_MEASURE_ID_OVERRIDE",$C183,"DEEP_BROKER_ID_OVERRIDE",W$24,"DEEP_PERIOD_OVERRIDE",$H$19)*1,"")))</f>
        <v/>
      </c>
      <c r="X183" t="str">
        <f>IF(OR(X$23="",ISNA($B183)),"",IF(ISBLANK($B183),"",IFERROR(_xll.BDP(TICKER,"DEEP_MEASURE_PERIOD_BROKER_VALUE","DEEP_MEASURE_ID_OVERRIDE",$C183,"DEEP_BROKER_ID_OVERRIDE",X$24,"DEEP_PERIOD_OVERRIDE",$H$19)*1,"")))</f>
        <v/>
      </c>
      <c r="Y183" t="str">
        <f>IF(OR(Y$23="",ISNA($B183)),"",IF(ISBLANK($B183),"",IFERROR(_xll.BDP(TICKER,"DEEP_MEASURE_PERIOD_BROKER_VALUE","DEEP_MEASURE_ID_OVERRIDE",$C183,"DEEP_BROKER_ID_OVERRIDE",Y$24,"DEEP_PERIOD_OVERRIDE",$H$19)*1,"")))</f>
        <v/>
      </c>
      <c r="Z183" t="str">
        <f>IF(OR(Z$23="",ISNA($B183)),"",IF(ISBLANK($B183),"",IFERROR(_xll.BDP(TICKER,"DEEP_MEASURE_PERIOD_BROKER_VALUE","DEEP_MEASURE_ID_OVERRIDE",$C183,"DEEP_BROKER_ID_OVERRIDE",Z$24,"DEEP_PERIOD_OVERRIDE",$H$19)*1,"")))</f>
        <v/>
      </c>
      <c r="AA183" t="str">
        <f>IF(OR(AA$23="",ISNA($B183)),"",IF(ISBLANK($B183),"",IFERROR(_xll.BDP(TICKER,"DEEP_MEASURE_PERIOD_BROKER_VALUE","DEEP_MEASURE_ID_OVERRIDE",$C183,"DEEP_BROKER_ID_OVERRIDE",AA$24,"DEEP_PERIOD_OVERRIDE",$H$19)*1,"")))</f>
        <v/>
      </c>
      <c r="AB183" t="str">
        <f>IF(OR(AB$23="",ISNA($B183)),"",IF(ISBLANK($B183),"",IFERROR(_xll.BDP(TICKER,"DEEP_MEASURE_PERIOD_BROKER_VALUE","DEEP_MEASURE_ID_OVERRIDE",$C183,"DEEP_BROKER_ID_OVERRIDE",AB$24,"DEEP_PERIOD_OVERRIDE",$H$19)*1,"")))</f>
        <v/>
      </c>
      <c r="AC183" t="str">
        <f>IF(OR(AC$23="",ISNA($B183)),"",IF(ISBLANK($B183),"",IFERROR(_xll.BDP(TICKER,"DEEP_MEASURE_PERIOD_BROKER_VALUE","DEEP_MEASURE_ID_OVERRIDE",$C183,"DEEP_BROKER_ID_OVERRIDE",AC$24,"DEEP_PERIOD_OVERRIDE",$H$19)*1,"")))</f>
        <v/>
      </c>
      <c r="AD183" t="str">
        <f>IF(OR(AD$23="",ISNA($B183)),"",IF(ISBLANK($B183),"",IFERROR(_xll.BDP(TICKER,"DEEP_MEASURE_PERIOD_BROKER_VALUE","DEEP_MEASURE_ID_OVERRIDE",$C183,"DEEP_BROKER_ID_OVERRIDE",AD$24,"DEEP_PERIOD_OVERRIDE",$H$19)*1,"")))</f>
        <v/>
      </c>
      <c r="AE183" t="str">
        <f>IF(OR(AE$23="",ISNA($B183)),"",IF(ISBLANK($B183),"",IFERROR(_xll.BDP(TICKER,"DEEP_MEASURE_PERIOD_BROKER_VALUE","DEEP_MEASURE_ID_OVERRIDE",$C183,"DEEP_BROKER_ID_OVERRIDE",AE$24,"DEEP_PERIOD_OVERRIDE",$H$19)*1,"")))</f>
        <v/>
      </c>
      <c r="AF183" t="str">
        <f>IF(OR(AF$23="",ISNA($B183)),"",IF(ISBLANK($B183),"",IFERROR(_xll.BDP(TICKER,"DEEP_MEASURE_PERIOD_BROKER_VALUE","DEEP_MEASURE_ID_OVERRIDE",$C183,"DEEP_BROKER_ID_OVERRIDE",AF$24,"DEEP_PERIOD_OVERRIDE",$H$19)*1,"")))</f>
        <v/>
      </c>
      <c r="AG183" t="str">
        <f>IF(OR(AG$23="",ISNA($B183)),"",IF(ISBLANK($B183),"",IFERROR(_xll.BDP(TICKER,"DEEP_MEASURE_PERIOD_BROKER_VALUE","DEEP_MEASURE_ID_OVERRIDE",$C183,"DEEP_BROKER_ID_OVERRIDE",AG$24,"DEEP_PERIOD_OVERRIDE",$H$19)*1,"")))</f>
        <v/>
      </c>
      <c r="AH183" t="str">
        <f>IF(OR(AH$23="",ISNA($B183)),"",IF(ISBLANK($B183),"",IFERROR(_xll.BDP(TICKER,"DEEP_MEASURE_PERIOD_BROKER_VALUE","DEEP_MEASURE_ID_OVERRIDE",$C183,"DEEP_BROKER_ID_OVERRIDE",AH$24,"DEEP_PERIOD_OVERRIDE",$H$19)*1,"")))</f>
        <v/>
      </c>
      <c r="AI183" t="str">
        <f>IF(OR(AI$23="",ISNA($B183)),"",IF(ISBLANK($B183),"",IFERROR(_xll.BDP(TICKER,"DEEP_MEASURE_PERIOD_BROKER_VALUE","DEEP_MEASURE_ID_OVERRIDE",$C183,"DEEP_BROKER_ID_OVERRIDE",AI$24,"DEEP_PERIOD_OVERRIDE",$H$19)*1,"")))</f>
        <v/>
      </c>
      <c r="AJ183" t="str">
        <f>IF(OR(AJ$23="",ISNA($B183)),"",IF(ISBLANK($B183),"",IFERROR(_xll.BDP(TICKER,"DEEP_MEASURE_PERIOD_BROKER_VALUE","DEEP_MEASURE_ID_OVERRIDE",$C183,"DEEP_BROKER_ID_OVERRIDE",AJ$24,"DEEP_PERIOD_OVERRIDE",$H$19)*1,"")))</f>
        <v/>
      </c>
      <c r="AK183" t="str">
        <f>IF(OR(AK$23="",ISNA($B183)),"",IF(ISBLANK($B183),"",IFERROR(_xll.BDP(TICKER,"DEEP_MEASURE_PERIOD_BROKER_VALUE","DEEP_MEASURE_ID_OVERRIDE",$C183,"DEEP_BROKER_ID_OVERRIDE",AK$24,"DEEP_PERIOD_OVERRIDE",$H$19)*1,"")))</f>
        <v/>
      </c>
      <c r="AL183" t="str">
        <f>IF(OR(AL$23="",ISNA($B183)),"",IF(ISBLANK($B183),"",IFERROR(_xll.BDP(TICKER,"DEEP_MEASURE_PERIOD_BROKER_VALUE","DEEP_MEASURE_ID_OVERRIDE",$C183,"DEEP_BROKER_ID_OVERRIDE",AL$24,"DEEP_PERIOD_OVERRIDE",$H$19)*1,"")))</f>
        <v/>
      </c>
      <c r="AM183" t="str">
        <f>IF(OR(AM$23="",ISNA($B183)),"",IF(ISBLANK($B183),"",IFERROR(_xll.BDP(TICKER,"DEEP_MEASURE_PERIOD_BROKER_VALUE","DEEP_MEASURE_ID_OVERRIDE",$C183,"DEEP_BROKER_ID_OVERRIDE",AM$24,"DEEP_PERIOD_OVERRIDE",$H$19)*1,"")))</f>
        <v/>
      </c>
      <c r="AN183" t="str">
        <f>IF(OR(AN$23="",ISNA($B183)),"",IF(ISBLANK($B183),"",IFERROR(_xll.BDP(TICKER,"DEEP_MEASURE_PERIOD_BROKER_VALUE","DEEP_MEASURE_ID_OVERRIDE",$C183,"DEEP_BROKER_ID_OVERRIDE",AN$24,"DEEP_PERIOD_OVERRIDE",$H$19)*1,"")))</f>
        <v/>
      </c>
      <c r="AO183" t="str">
        <f>IF(OR(AO$23="",ISNA($B183)),"",IF(ISBLANK($B183),"",IFERROR(_xll.BDP(TICKER,"DEEP_MEASURE_PERIOD_BROKER_VALUE","DEEP_MEASURE_ID_OVERRIDE",$C183,"DEEP_BROKER_ID_OVERRIDE",AO$24,"DEEP_PERIOD_OVERRIDE",$H$19)*1,"")))</f>
        <v/>
      </c>
      <c r="AP183" t="str">
        <f>IF(OR(AP$23="",ISNA($B183)),"",IF(ISBLANK($B183),"",IFERROR(_xll.BDP(TICKER,"DEEP_MEASURE_PERIOD_BROKER_VALUE","DEEP_MEASURE_ID_OVERRIDE",$C183,"DEEP_BROKER_ID_OVERRIDE",AP$24,"DEEP_PERIOD_OVERRIDE",$H$19)*1,"")))</f>
        <v/>
      </c>
      <c r="AQ183" t="str">
        <f>IF(OR(AQ$23="",ISNA($B183)),"",IF(ISBLANK($B183),"",IFERROR(_xll.BDP(TICKER,"DEEP_MEASURE_PERIOD_BROKER_VALUE","DEEP_MEASURE_ID_OVERRIDE",$C183,"DEEP_BROKER_ID_OVERRIDE",AQ$24,"DEEP_PERIOD_OVERRIDE",$H$19)*1,"")))</f>
        <v/>
      </c>
      <c r="AR183" t="str">
        <f>IF(OR(AR$23="",ISNA($B183)),"",IF(ISBLANK($B183),"",IFERROR(_xll.BDP(TICKER,"DEEP_MEASURE_PERIOD_BROKER_VALUE","DEEP_MEASURE_ID_OVERRIDE",$C183,"DEEP_BROKER_ID_OVERRIDE",AR$24,"DEEP_PERIOD_OVERRIDE",$H$19)*1,"")))</f>
        <v/>
      </c>
      <c r="AS183" t="str">
        <f>IF(OR(AS$23="",ISNA($B183)),"",IF(ISBLANK($B183),"",IFERROR(_xll.BDP(TICKER,"DEEP_MEASURE_PERIOD_BROKER_VALUE","DEEP_MEASURE_ID_OVERRIDE",$C183,"DEEP_BROKER_ID_OVERRIDE",AS$24,"DEEP_PERIOD_OVERRIDE",$H$19)*1,"")))</f>
        <v/>
      </c>
      <c r="AT183" t="str">
        <f>IF(OR(AT$23="",ISNA($B183)),"",IF(ISBLANK($B183),"",IFERROR(_xll.BDP(TICKER,"DEEP_MEASURE_PERIOD_BROKER_VALUE","DEEP_MEASURE_ID_OVERRIDE",$C183,"DEEP_BROKER_ID_OVERRIDE",AT$24,"DEEP_PERIOD_OVERRIDE",$H$19)*1,"")))</f>
        <v/>
      </c>
      <c r="AU183" t="str">
        <f>IF(OR(AU$23="",ISNA($B183)),"",IF(ISBLANK($B183),"",IFERROR(_xll.BDP(TICKER,"DEEP_MEASURE_PERIOD_BROKER_VALUE","DEEP_MEASURE_ID_OVERRIDE",$C183,"DEEP_BROKER_ID_OVERRIDE",AU$24,"DEEP_PERIOD_OVERRIDE",$H$19)*1,"")))</f>
        <v/>
      </c>
      <c r="AV183" t="str">
        <f>IF(OR(AV$23="",ISNA($B183)),"",IF(ISBLANK($B183),"",IFERROR(_xll.BDP(TICKER,"DEEP_MEASURE_PERIOD_BROKER_VALUE","DEEP_MEASURE_ID_OVERRIDE",$C183,"DEEP_BROKER_ID_OVERRIDE",AV$24,"DEEP_PERIOD_OVERRIDE",$H$19)*1,"")))</f>
        <v/>
      </c>
      <c r="AW183" t="str">
        <f>IF(OR(AW$23="",ISNA($B183)),"",IF(ISBLANK($B183),"",IFERROR(_xll.BDP(TICKER,"DEEP_MEASURE_PERIOD_BROKER_VALUE","DEEP_MEASURE_ID_OVERRIDE",$C183,"DEEP_BROKER_ID_OVERRIDE",AW$24,"DEEP_PERIOD_OVERRIDE",$H$19)*1,"")))</f>
        <v/>
      </c>
      <c r="AX183" t="str">
        <f>IF(OR(AX$23="",ISNA($B183)),"",IF(ISBLANK($B183),"",IFERROR(_xll.BDP(TICKER,"DEEP_MEASURE_PERIOD_BROKER_VALUE","DEEP_MEASURE_ID_OVERRIDE",$C183,"DEEP_BROKER_ID_OVERRIDE",AX$24,"DEEP_PERIOD_OVERRIDE",$H$19)*1,"")))</f>
        <v/>
      </c>
      <c r="AY183" t="str">
        <f>IF(OR(AY$23="",ISNA($B183)),"",IF(ISBLANK($B183),"",IFERROR(_xll.BDP(TICKER,"DEEP_MEASURE_PERIOD_BROKER_VALUE","DEEP_MEASURE_ID_OVERRIDE",$C183,"DEEP_BROKER_ID_OVERRIDE",AY$24,"DEEP_PERIOD_OVERRIDE",$H$19)*1,"")))</f>
        <v/>
      </c>
      <c r="AZ183" t="str">
        <f>IF(OR(AZ$23="",ISNA($B183)),"",IF(ISBLANK($B183),"",IFERROR(_xll.BDP(TICKER,"DEEP_MEASURE_PERIOD_BROKER_VALUE","DEEP_MEASURE_ID_OVERRIDE",$C183,"DEEP_BROKER_ID_OVERRIDE",AZ$24,"DEEP_PERIOD_OVERRIDE",$H$19)*1,"")))</f>
        <v/>
      </c>
      <c r="BA183" t="str">
        <f>IF(OR(BA$23="",ISNA($B183)),"",IF(ISBLANK($B183),"",IFERROR(_xll.BDP(TICKER,"DEEP_MEASURE_PERIOD_BROKER_VALUE","DEEP_MEASURE_ID_OVERRIDE",$C183,"DEEP_BROKER_ID_OVERRIDE",BA$24,"DEEP_PERIOD_OVERRIDE",$H$19)*1,"")))</f>
        <v/>
      </c>
      <c r="BB183" t="str">
        <f>IF(OR(BB$23="",ISNA($B183)),"",IF(ISBLANK($B183),"",IFERROR(_xll.BDP(TICKER,"DEEP_MEASURE_PERIOD_BROKER_VALUE","DEEP_MEASURE_ID_OVERRIDE",$C183,"DEEP_BROKER_ID_OVERRIDE",BB$24,"DEEP_PERIOD_OVERRIDE",$H$19)*1,"")))</f>
        <v/>
      </c>
      <c r="BC183" t="str">
        <f>IF(OR(BC$23="",ISNA($B183)),"",IF(ISBLANK($B183),"",IFERROR(_xll.BDP(TICKER,"DEEP_MEASURE_PERIOD_BROKER_VALUE","DEEP_MEASURE_ID_OVERRIDE",$C183,"DEEP_BROKER_ID_OVERRIDE",BC$24,"DEEP_PERIOD_OVERRIDE",$H$19)*1,"")))</f>
        <v/>
      </c>
      <c r="BD183" t="str">
        <f>IF(OR(BD$23="",ISNA($B183)),"",IF(ISBLANK($B183),"",IFERROR(_xll.BDP(TICKER,"DEEP_MEASURE_PERIOD_BROKER_VALUE","DEEP_MEASURE_ID_OVERRIDE",$C183,"DEEP_BROKER_ID_OVERRIDE",BD$24,"DEEP_PERIOD_OVERRIDE",$H$19)*1,"")))</f>
        <v/>
      </c>
      <c r="BE183" t="str">
        <f>IF(OR(BE$23="",ISNA($B183)),"",IF(ISBLANK($B183),"",IFERROR(_xll.BDP(TICKER,"DEEP_MEASURE_PERIOD_BROKER_VALUE","DEEP_MEASURE_ID_OVERRIDE",$C183,"DEEP_BROKER_ID_OVERRIDE",BE$24,"DEEP_PERIOD_OVERRIDE",$H$19)*1,"")))</f>
        <v/>
      </c>
      <c r="BF183" t="str">
        <f>IF(OR(BF$23="",ISNA($B183)),"",IF(ISBLANK($B183),"",IFERROR(_xll.BDP(TICKER,"DEEP_MEASURE_PERIOD_BROKER_VALUE","DEEP_MEASURE_ID_OVERRIDE",$C183,"DEEP_BROKER_ID_OVERRIDE",BF$24,"DEEP_PERIOD_OVERRIDE",$H$19)*1,"")))</f>
        <v/>
      </c>
      <c r="BG183" t="str">
        <f>IF(OR(BG$23="",ISNA($B183)),"",IF(ISBLANK($B183),"",IFERROR(_xll.BDP(TICKER,"DEEP_MEASURE_PERIOD_BROKER_VALUE","DEEP_MEASURE_ID_OVERRIDE",$C183,"DEEP_BROKER_ID_OVERRIDE",BG$24,"DEEP_PERIOD_OVERRIDE",$H$19)*1,"")))</f>
        <v/>
      </c>
      <c r="BH183" t="str">
        <f>IF(OR(BH$23="",ISNA($B183)),"",IF(ISBLANK($B183),"",IFERROR(_xll.BDP(TICKER,"DEEP_MEASURE_PERIOD_BROKER_VALUE","DEEP_MEASURE_ID_OVERRIDE",$C183,"DEEP_BROKER_ID_OVERRIDE",BH$24,"DEEP_PERIOD_OVERRIDE",$H$19)*1,"")))</f>
        <v/>
      </c>
      <c r="BI183" t="str">
        <f>IF(OR(BI$23="",ISNA($B183)),"",IF(ISBLANK($B183),"",IFERROR(_xll.BDP(TICKER,"DEEP_MEASURE_PERIOD_BROKER_VALUE","DEEP_MEASURE_ID_OVERRIDE",$C183,"DEEP_BROKER_ID_OVERRIDE",BI$24,"DEEP_PERIOD_OVERRIDE",$H$19)*1,"")))</f>
        <v/>
      </c>
      <c r="BJ183" t="str">
        <f>IF(OR(BJ$23="",ISNA($B183)),"",IF(ISBLANK($B183),"",IFERROR(_xll.BDP(TICKER,"DEEP_MEASURE_PERIOD_BROKER_VALUE","DEEP_MEASURE_ID_OVERRIDE",$C183,"DEEP_BROKER_ID_OVERRIDE",BJ$24,"DEEP_PERIOD_OVERRIDE",$H$19)*1,"")))</f>
        <v/>
      </c>
      <c r="BK183" t="str">
        <f>IF(OR(BK$23="",ISNA($B183)),"",IF(ISBLANK($B183),"",IFERROR(_xll.BDP(TICKER,"DEEP_MEASURE_PERIOD_BROKER_VALUE","DEEP_MEASURE_ID_OVERRIDE",$C183,"DEEP_BROKER_ID_OVERRIDE",BK$24,"DEEP_PERIOD_OVERRIDE",$H$19)*1,"")))</f>
        <v/>
      </c>
      <c r="BL183" t="str">
        <f>IF(OR(BL$23="",ISNA($B183)),"",IF(ISBLANK($B183),"",IFERROR(_xll.BDP(TICKER,"DEEP_MEASURE_PERIOD_BROKER_VALUE","DEEP_MEASURE_ID_OVERRIDE",$C183,"DEEP_BROKER_ID_OVERRIDE",BL$24,"DEEP_PERIOD_OVERRIDE",$H$19)*1,"")))</f>
        <v/>
      </c>
      <c r="BM183" t="str">
        <f>IF(OR(BM$23="",ISNA($B183)),"",IF(ISBLANK($B183),"",IFERROR(_xll.BDP(TICKER,"DEEP_MEASURE_PERIOD_BROKER_VALUE","DEEP_MEASURE_ID_OVERRIDE",$C183,"DEEP_BROKER_ID_OVERRIDE",BM$24,"DEEP_PERIOD_OVERRIDE",$H$19)*1,"")))</f>
        <v/>
      </c>
      <c r="BN183" t="str">
        <f>IF(OR(BN$23="",ISNA($B183)),"",IF(ISBLANK($B183),"",IFERROR(_xll.BDP(TICKER,"DEEP_MEASURE_PERIOD_BROKER_VALUE","DEEP_MEASURE_ID_OVERRIDE",$C183,"DEEP_BROKER_ID_OVERRIDE",BN$24,"DEEP_PERIOD_OVERRIDE",$H$19)*1,"")))</f>
        <v/>
      </c>
      <c r="BO183" t="str">
        <f>IF(OR(BO$23="",ISNA($B183)),"",IF(ISBLANK($B183),"",IFERROR(_xll.BDP(TICKER,"DEEP_MEASURE_PERIOD_BROKER_VALUE","DEEP_MEASURE_ID_OVERRIDE",$C183,"DEEP_BROKER_ID_OVERRIDE",BO$24,"DEEP_PERIOD_OVERRIDE",$H$19)*1,"")))</f>
        <v/>
      </c>
      <c r="BP183" t="str">
        <f>IF(OR(BP$23="",ISNA($B183)),"",IF(ISBLANK($B183),"",IFERROR(_xll.BDP(TICKER,"DEEP_MEASURE_PERIOD_BROKER_VALUE","DEEP_MEASURE_ID_OVERRIDE",$C183,"DEEP_BROKER_ID_OVERRIDE",BP$24,"DEEP_PERIOD_OVERRIDE",$H$19)*1,"")))</f>
        <v/>
      </c>
      <c r="BQ183" t="str">
        <f>IF(OR(BQ$23="",ISNA($B183)),"",IF(ISBLANK($B183),"",IFERROR(_xll.BDP(TICKER,"DEEP_MEASURE_PERIOD_BROKER_VALUE","DEEP_MEASURE_ID_OVERRIDE",$C183,"DEEP_BROKER_ID_OVERRIDE",BQ$24,"DEEP_PERIOD_OVERRIDE",$H$19)*1,"")))</f>
        <v/>
      </c>
      <c r="BR183" t="str">
        <f>IF(OR(BR$23="",ISNA($B183)),"",IF(ISBLANK($B183),"",IFERROR(_xll.BDP(TICKER,"DEEP_MEASURE_PERIOD_BROKER_VALUE","DEEP_MEASURE_ID_OVERRIDE",$C183,"DEEP_BROKER_ID_OVERRIDE",BR$24,"DEEP_PERIOD_OVERRIDE",$H$19)*1,"")))</f>
        <v/>
      </c>
      <c r="BS183" t="str">
        <f>IF(OR(BS$23="",ISNA($B183)),"",IF(ISBLANK($B183),"",IFERROR(_xll.BDP(TICKER,"DEEP_MEASURE_PERIOD_BROKER_VALUE","DEEP_MEASURE_ID_OVERRIDE",$C183,"DEEP_BROKER_ID_OVERRIDE",BS$24,"DEEP_PERIOD_OVERRIDE",$H$19)*1,"")))</f>
        <v/>
      </c>
      <c r="BT183" t="str">
        <f>IF(OR(BT$23="",ISNA($B183)),"",IF(ISBLANK($B183),"",IFERROR(_xll.BDP(TICKER,"DEEP_MEASURE_PERIOD_BROKER_VALUE","DEEP_MEASURE_ID_OVERRIDE",$C183,"DEEP_BROKER_ID_OVERRIDE",BT$24,"DEEP_PERIOD_OVERRIDE",$H$19)*1,"")))</f>
        <v/>
      </c>
      <c r="BU183" t="str">
        <f>IF(OR(BU$23="",ISNA($B183)),"",IF(ISBLANK($B183),"",IFERROR(_xll.BDP(TICKER,"DEEP_MEASURE_PERIOD_BROKER_VALUE","DEEP_MEASURE_ID_OVERRIDE",$C183,"DEEP_BROKER_ID_OVERRIDE",BU$24,"DEEP_PERIOD_OVERRIDE",$H$19)*1,"")))</f>
        <v/>
      </c>
      <c r="BV183" t="str">
        <f>IF(OR(BV$23="",ISNA($B183)),"",IF(ISBLANK($B183),"",IFERROR(_xll.BDP(TICKER,"DEEP_MEASURE_PERIOD_BROKER_VALUE","DEEP_MEASURE_ID_OVERRIDE",$C183,"DEEP_BROKER_ID_OVERRIDE",BV$24,"DEEP_PERIOD_OVERRIDE",$H$19)*1,"")))</f>
        <v/>
      </c>
      <c r="BW183" t="str">
        <f>IF(OR(BW$23="",ISNA($B183)),"",IF(ISBLANK($B183),"",IFERROR(_xll.BDP(TICKER,"DEEP_MEASURE_PERIOD_BROKER_VALUE","DEEP_MEASURE_ID_OVERRIDE",$C183,"DEEP_BROKER_ID_OVERRIDE",BW$24,"DEEP_PERIOD_OVERRIDE",$H$19)*1,"")))</f>
        <v/>
      </c>
      <c r="BX183" t="str">
        <f>IF(OR(BX$23="",ISNA($B183)),"",IF(ISBLANK($B183),"",IFERROR(_xll.BDP(TICKER,"DEEP_MEASURE_PERIOD_BROKER_VALUE","DEEP_MEASURE_ID_OVERRIDE",$C183,"DEEP_BROKER_ID_OVERRIDE",BX$24,"DEEP_PERIOD_OVERRIDE",$H$19)*1,"")))</f>
        <v/>
      </c>
      <c r="BY183" t="str">
        <f>IF(OR(BY$23="",ISNA($B183)),"",IF(ISBLANK($B183),"",IFERROR(_xll.BDP(TICKER,"DEEP_MEASURE_PERIOD_BROKER_VALUE","DEEP_MEASURE_ID_OVERRIDE",$C183,"DEEP_BROKER_ID_OVERRIDE",BY$24,"DEEP_PERIOD_OVERRIDE",$H$19)*1,"")))</f>
        <v/>
      </c>
      <c r="BZ183" t="str">
        <f>IF(OR(BZ$23="",ISNA($B183)),"",IF(ISBLANK($B183),"",IFERROR(_xll.BDP(TICKER,"DEEP_MEASURE_PERIOD_BROKER_VALUE","DEEP_MEASURE_ID_OVERRIDE",$C183,"DEEP_BROKER_ID_OVERRIDE",BZ$24,"DEEP_PERIOD_OVERRIDE",$H$19)*1,"")))</f>
        <v/>
      </c>
    </row>
    <row r="184" spans="2:78" x14ac:dyDescent="0.25">
      <c r="B184" t="s">
        <v>56</v>
      </c>
      <c r="C184">
        <v>956</v>
      </c>
      <c r="H184" t="str">
        <f t="shared" si="3"/>
        <v>Liabilities &amp; Shareholders' Equity &gt; Shareholder's Equity &gt; Additional Paid-in Capital</v>
      </c>
      <c r="I184" t="str">
        <f>IF(OR(I$23="",ISNA($B184)),"",IF(ISBLANK($B184),"",IFERROR(_xll.BDP(TICKER,"DEEP_MEASURE_PERIOD_BROKER_VALUE","DEEP_MEASURE_ID_OVERRIDE",$C184,"DEEP_PERIOD_OVERRIDE",$H$19)*1,"")))</f>
        <v/>
      </c>
      <c r="J184" t="e">
        <f>IF(OR(J$23="",ISNA($B184)),"",IF(ISBLANK($B184),"",IFERROR(_xll.BDP(TICKER,"DEEP_MEASURE_PERIOD_BROKER_VALUE","DEEP_MEASURE_ID_OVERRIDE",$C184,"DEEP_BROKER_ID_OVERRIDE",J$24,"DEEP_PERIOD_OVERRIDE",$H$19)*1,"")))</f>
        <v>#REF!</v>
      </c>
      <c r="K184" t="str">
        <f>IF(OR(K$23="",ISNA($B184)),"",IF(ISBLANK($B184),"",IFERROR(_xll.BDP(TICKER,"DEEP_MEASURE_PERIOD_BROKER_VALUE","DEEP_MEASURE_ID_OVERRIDE",$C184,"DEEP_BROKER_ID_OVERRIDE",K$24,"DEEP_PERIOD_OVERRIDE",$H$19)*1,"")))</f>
        <v/>
      </c>
      <c r="L184" t="str">
        <f>IF(OR(L$23="",ISNA($B184)),"",IF(ISBLANK($B184),"",IFERROR(_xll.BDP(TICKER,"DEEP_MEASURE_PERIOD_BROKER_VALUE","DEEP_MEASURE_ID_OVERRIDE",$C184,"DEEP_BROKER_ID_OVERRIDE",L$24,"DEEP_PERIOD_OVERRIDE",$H$19)*1,"")))</f>
        <v/>
      </c>
      <c r="M184" t="str">
        <f>IF(OR(M$23="",ISNA($B184)),"",IF(ISBLANK($B184),"",IFERROR(_xll.BDP(TICKER,"DEEP_MEASURE_PERIOD_BROKER_VALUE","DEEP_MEASURE_ID_OVERRIDE",$C184,"DEEP_BROKER_ID_OVERRIDE",M$24,"DEEP_PERIOD_OVERRIDE",$H$19)*1,"")))</f>
        <v/>
      </c>
      <c r="N184" t="str">
        <f>IF(OR(N$23="",ISNA($B184)),"",IF(ISBLANK($B184),"",IFERROR(_xll.BDP(TICKER,"DEEP_MEASURE_PERIOD_BROKER_VALUE","DEEP_MEASURE_ID_OVERRIDE",$C184,"DEEP_BROKER_ID_OVERRIDE",N$24,"DEEP_PERIOD_OVERRIDE",$H$19)*1,"")))</f>
        <v/>
      </c>
      <c r="O184" t="str">
        <f>IF(OR(O$23="",ISNA($B184)),"",IF(ISBLANK($B184),"",IFERROR(_xll.BDP(TICKER,"DEEP_MEASURE_PERIOD_BROKER_VALUE","DEEP_MEASURE_ID_OVERRIDE",$C184,"DEEP_BROKER_ID_OVERRIDE",O$24,"DEEP_PERIOD_OVERRIDE",$H$19)*1,"")))</f>
        <v/>
      </c>
      <c r="P184" t="str">
        <f>IF(OR(P$23="",ISNA($B184)),"",IF(ISBLANK($B184),"",IFERROR(_xll.BDP(TICKER,"DEEP_MEASURE_PERIOD_BROKER_VALUE","DEEP_MEASURE_ID_OVERRIDE",$C184,"DEEP_BROKER_ID_OVERRIDE",P$24,"DEEP_PERIOD_OVERRIDE",$H$19)*1,"")))</f>
        <v/>
      </c>
      <c r="Q184" t="str">
        <f>IF(OR(Q$23="",ISNA($B184)),"",IF(ISBLANK($B184),"",IFERROR(_xll.BDP(TICKER,"DEEP_MEASURE_PERIOD_BROKER_VALUE","DEEP_MEASURE_ID_OVERRIDE",$C184,"DEEP_BROKER_ID_OVERRIDE",Q$24,"DEEP_PERIOD_OVERRIDE",$H$19)*1,"")))</f>
        <v/>
      </c>
      <c r="R184" t="str">
        <f>IF(OR(R$23="",ISNA($B184)),"",IF(ISBLANK($B184),"",IFERROR(_xll.BDP(TICKER,"DEEP_MEASURE_PERIOD_BROKER_VALUE","DEEP_MEASURE_ID_OVERRIDE",$C184,"DEEP_BROKER_ID_OVERRIDE",R$24,"DEEP_PERIOD_OVERRIDE",$H$19)*1,"")))</f>
        <v/>
      </c>
      <c r="S184" t="str">
        <f>IF(OR(S$23="",ISNA($B184)),"",IF(ISBLANK($B184),"",IFERROR(_xll.BDP(TICKER,"DEEP_MEASURE_PERIOD_BROKER_VALUE","DEEP_MEASURE_ID_OVERRIDE",$C184,"DEEP_BROKER_ID_OVERRIDE",S$24,"DEEP_PERIOD_OVERRIDE",$H$19)*1,"")))</f>
        <v/>
      </c>
      <c r="T184" t="str">
        <f>IF(OR(T$23="",ISNA($B184)),"",IF(ISBLANK($B184),"",IFERROR(_xll.BDP(TICKER,"DEEP_MEASURE_PERIOD_BROKER_VALUE","DEEP_MEASURE_ID_OVERRIDE",$C184,"DEEP_BROKER_ID_OVERRIDE",T$24,"DEEP_PERIOD_OVERRIDE",$H$19)*1,"")))</f>
        <v/>
      </c>
      <c r="U184" t="str">
        <f>IF(OR(U$23="",ISNA($B184)),"",IF(ISBLANK($B184),"",IFERROR(_xll.BDP(TICKER,"DEEP_MEASURE_PERIOD_BROKER_VALUE","DEEP_MEASURE_ID_OVERRIDE",$C184,"DEEP_BROKER_ID_OVERRIDE",U$24,"DEEP_PERIOD_OVERRIDE",$H$19)*1,"")))</f>
        <v/>
      </c>
      <c r="V184" t="str">
        <f>IF(OR(V$23="",ISNA($B184)),"",IF(ISBLANK($B184),"",IFERROR(_xll.BDP(TICKER,"DEEP_MEASURE_PERIOD_BROKER_VALUE","DEEP_MEASURE_ID_OVERRIDE",$C184,"DEEP_BROKER_ID_OVERRIDE",V$24,"DEEP_PERIOD_OVERRIDE",$H$19)*1,"")))</f>
        <v/>
      </c>
      <c r="W184" t="str">
        <f>IF(OR(W$23="",ISNA($B184)),"",IF(ISBLANK($B184),"",IFERROR(_xll.BDP(TICKER,"DEEP_MEASURE_PERIOD_BROKER_VALUE","DEEP_MEASURE_ID_OVERRIDE",$C184,"DEEP_BROKER_ID_OVERRIDE",W$24,"DEEP_PERIOD_OVERRIDE",$H$19)*1,"")))</f>
        <v/>
      </c>
      <c r="X184" t="str">
        <f>IF(OR(X$23="",ISNA($B184)),"",IF(ISBLANK($B184),"",IFERROR(_xll.BDP(TICKER,"DEEP_MEASURE_PERIOD_BROKER_VALUE","DEEP_MEASURE_ID_OVERRIDE",$C184,"DEEP_BROKER_ID_OVERRIDE",X$24,"DEEP_PERIOD_OVERRIDE",$H$19)*1,"")))</f>
        <v/>
      </c>
      <c r="Y184" t="str">
        <f>IF(OR(Y$23="",ISNA($B184)),"",IF(ISBLANK($B184),"",IFERROR(_xll.BDP(TICKER,"DEEP_MEASURE_PERIOD_BROKER_VALUE","DEEP_MEASURE_ID_OVERRIDE",$C184,"DEEP_BROKER_ID_OVERRIDE",Y$24,"DEEP_PERIOD_OVERRIDE",$H$19)*1,"")))</f>
        <v/>
      </c>
      <c r="Z184" t="str">
        <f>IF(OR(Z$23="",ISNA($B184)),"",IF(ISBLANK($B184),"",IFERROR(_xll.BDP(TICKER,"DEEP_MEASURE_PERIOD_BROKER_VALUE","DEEP_MEASURE_ID_OVERRIDE",$C184,"DEEP_BROKER_ID_OVERRIDE",Z$24,"DEEP_PERIOD_OVERRIDE",$H$19)*1,"")))</f>
        <v/>
      </c>
      <c r="AA184" t="str">
        <f>IF(OR(AA$23="",ISNA($B184)),"",IF(ISBLANK($B184),"",IFERROR(_xll.BDP(TICKER,"DEEP_MEASURE_PERIOD_BROKER_VALUE","DEEP_MEASURE_ID_OVERRIDE",$C184,"DEEP_BROKER_ID_OVERRIDE",AA$24,"DEEP_PERIOD_OVERRIDE",$H$19)*1,"")))</f>
        <v/>
      </c>
      <c r="AB184" t="str">
        <f>IF(OR(AB$23="",ISNA($B184)),"",IF(ISBLANK($B184),"",IFERROR(_xll.BDP(TICKER,"DEEP_MEASURE_PERIOD_BROKER_VALUE","DEEP_MEASURE_ID_OVERRIDE",$C184,"DEEP_BROKER_ID_OVERRIDE",AB$24,"DEEP_PERIOD_OVERRIDE",$H$19)*1,"")))</f>
        <v/>
      </c>
      <c r="AC184" t="str">
        <f>IF(OR(AC$23="",ISNA($B184)),"",IF(ISBLANK($B184),"",IFERROR(_xll.BDP(TICKER,"DEEP_MEASURE_PERIOD_BROKER_VALUE","DEEP_MEASURE_ID_OVERRIDE",$C184,"DEEP_BROKER_ID_OVERRIDE",AC$24,"DEEP_PERIOD_OVERRIDE",$H$19)*1,"")))</f>
        <v/>
      </c>
      <c r="AD184" t="str">
        <f>IF(OR(AD$23="",ISNA($B184)),"",IF(ISBLANK($B184),"",IFERROR(_xll.BDP(TICKER,"DEEP_MEASURE_PERIOD_BROKER_VALUE","DEEP_MEASURE_ID_OVERRIDE",$C184,"DEEP_BROKER_ID_OVERRIDE",AD$24,"DEEP_PERIOD_OVERRIDE",$H$19)*1,"")))</f>
        <v/>
      </c>
      <c r="AE184" t="str">
        <f>IF(OR(AE$23="",ISNA($B184)),"",IF(ISBLANK($B184),"",IFERROR(_xll.BDP(TICKER,"DEEP_MEASURE_PERIOD_BROKER_VALUE","DEEP_MEASURE_ID_OVERRIDE",$C184,"DEEP_BROKER_ID_OVERRIDE",AE$24,"DEEP_PERIOD_OVERRIDE",$H$19)*1,"")))</f>
        <v/>
      </c>
      <c r="AF184" t="str">
        <f>IF(OR(AF$23="",ISNA($B184)),"",IF(ISBLANK($B184),"",IFERROR(_xll.BDP(TICKER,"DEEP_MEASURE_PERIOD_BROKER_VALUE","DEEP_MEASURE_ID_OVERRIDE",$C184,"DEEP_BROKER_ID_OVERRIDE",AF$24,"DEEP_PERIOD_OVERRIDE",$H$19)*1,"")))</f>
        <v/>
      </c>
      <c r="AG184" t="str">
        <f>IF(OR(AG$23="",ISNA($B184)),"",IF(ISBLANK($B184),"",IFERROR(_xll.BDP(TICKER,"DEEP_MEASURE_PERIOD_BROKER_VALUE","DEEP_MEASURE_ID_OVERRIDE",$C184,"DEEP_BROKER_ID_OVERRIDE",AG$24,"DEEP_PERIOD_OVERRIDE",$H$19)*1,"")))</f>
        <v/>
      </c>
      <c r="AH184" t="str">
        <f>IF(OR(AH$23="",ISNA($B184)),"",IF(ISBLANK($B184),"",IFERROR(_xll.BDP(TICKER,"DEEP_MEASURE_PERIOD_BROKER_VALUE","DEEP_MEASURE_ID_OVERRIDE",$C184,"DEEP_BROKER_ID_OVERRIDE",AH$24,"DEEP_PERIOD_OVERRIDE",$H$19)*1,"")))</f>
        <v/>
      </c>
      <c r="AI184" t="str">
        <f>IF(OR(AI$23="",ISNA($B184)),"",IF(ISBLANK($B184),"",IFERROR(_xll.BDP(TICKER,"DEEP_MEASURE_PERIOD_BROKER_VALUE","DEEP_MEASURE_ID_OVERRIDE",$C184,"DEEP_BROKER_ID_OVERRIDE",AI$24,"DEEP_PERIOD_OVERRIDE",$H$19)*1,"")))</f>
        <v/>
      </c>
      <c r="AJ184" t="str">
        <f>IF(OR(AJ$23="",ISNA($B184)),"",IF(ISBLANK($B184),"",IFERROR(_xll.BDP(TICKER,"DEEP_MEASURE_PERIOD_BROKER_VALUE","DEEP_MEASURE_ID_OVERRIDE",$C184,"DEEP_BROKER_ID_OVERRIDE",AJ$24,"DEEP_PERIOD_OVERRIDE",$H$19)*1,"")))</f>
        <v/>
      </c>
      <c r="AK184" t="str">
        <f>IF(OR(AK$23="",ISNA($B184)),"",IF(ISBLANK($B184),"",IFERROR(_xll.BDP(TICKER,"DEEP_MEASURE_PERIOD_BROKER_VALUE","DEEP_MEASURE_ID_OVERRIDE",$C184,"DEEP_BROKER_ID_OVERRIDE",AK$24,"DEEP_PERIOD_OVERRIDE",$H$19)*1,"")))</f>
        <v/>
      </c>
      <c r="AL184" t="str">
        <f>IF(OR(AL$23="",ISNA($B184)),"",IF(ISBLANK($B184),"",IFERROR(_xll.BDP(TICKER,"DEEP_MEASURE_PERIOD_BROKER_VALUE","DEEP_MEASURE_ID_OVERRIDE",$C184,"DEEP_BROKER_ID_OVERRIDE",AL$24,"DEEP_PERIOD_OVERRIDE",$H$19)*1,"")))</f>
        <v/>
      </c>
      <c r="AM184" t="str">
        <f>IF(OR(AM$23="",ISNA($B184)),"",IF(ISBLANK($B184),"",IFERROR(_xll.BDP(TICKER,"DEEP_MEASURE_PERIOD_BROKER_VALUE","DEEP_MEASURE_ID_OVERRIDE",$C184,"DEEP_BROKER_ID_OVERRIDE",AM$24,"DEEP_PERIOD_OVERRIDE",$H$19)*1,"")))</f>
        <v/>
      </c>
      <c r="AN184" t="str">
        <f>IF(OR(AN$23="",ISNA($B184)),"",IF(ISBLANK($B184),"",IFERROR(_xll.BDP(TICKER,"DEEP_MEASURE_PERIOD_BROKER_VALUE","DEEP_MEASURE_ID_OVERRIDE",$C184,"DEEP_BROKER_ID_OVERRIDE",AN$24,"DEEP_PERIOD_OVERRIDE",$H$19)*1,"")))</f>
        <v/>
      </c>
      <c r="AO184" t="str">
        <f>IF(OR(AO$23="",ISNA($B184)),"",IF(ISBLANK($B184),"",IFERROR(_xll.BDP(TICKER,"DEEP_MEASURE_PERIOD_BROKER_VALUE","DEEP_MEASURE_ID_OVERRIDE",$C184,"DEEP_BROKER_ID_OVERRIDE",AO$24,"DEEP_PERIOD_OVERRIDE",$H$19)*1,"")))</f>
        <v/>
      </c>
      <c r="AP184" t="str">
        <f>IF(OR(AP$23="",ISNA($B184)),"",IF(ISBLANK($B184),"",IFERROR(_xll.BDP(TICKER,"DEEP_MEASURE_PERIOD_BROKER_VALUE","DEEP_MEASURE_ID_OVERRIDE",$C184,"DEEP_BROKER_ID_OVERRIDE",AP$24,"DEEP_PERIOD_OVERRIDE",$H$19)*1,"")))</f>
        <v/>
      </c>
      <c r="AQ184" t="str">
        <f>IF(OR(AQ$23="",ISNA($B184)),"",IF(ISBLANK($B184),"",IFERROR(_xll.BDP(TICKER,"DEEP_MEASURE_PERIOD_BROKER_VALUE","DEEP_MEASURE_ID_OVERRIDE",$C184,"DEEP_BROKER_ID_OVERRIDE",AQ$24,"DEEP_PERIOD_OVERRIDE",$H$19)*1,"")))</f>
        <v/>
      </c>
      <c r="AR184" t="str">
        <f>IF(OR(AR$23="",ISNA($B184)),"",IF(ISBLANK($B184),"",IFERROR(_xll.BDP(TICKER,"DEEP_MEASURE_PERIOD_BROKER_VALUE","DEEP_MEASURE_ID_OVERRIDE",$C184,"DEEP_BROKER_ID_OVERRIDE",AR$24,"DEEP_PERIOD_OVERRIDE",$H$19)*1,"")))</f>
        <v/>
      </c>
      <c r="AS184" t="str">
        <f>IF(OR(AS$23="",ISNA($B184)),"",IF(ISBLANK($B184),"",IFERROR(_xll.BDP(TICKER,"DEEP_MEASURE_PERIOD_BROKER_VALUE","DEEP_MEASURE_ID_OVERRIDE",$C184,"DEEP_BROKER_ID_OVERRIDE",AS$24,"DEEP_PERIOD_OVERRIDE",$H$19)*1,"")))</f>
        <v/>
      </c>
      <c r="AT184" t="str">
        <f>IF(OR(AT$23="",ISNA($B184)),"",IF(ISBLANK($B184),"",IFERROR(_xll.BDP(TICKER,"DEEP_MEASURE_PERIOD_BROKER_VALUE","DEEP_MEASURE_ID_OVERRIDE",$C184,"DEEP_BROKER_ID_OVERRIDE",AT$24,"DEEP_PERIOD_OVERRIDE",$H$19)*1,"")))</f>
        <v/>
      </c>
      <c r="AU184" t="str">
        <f>IF(OR(AU$23="",ISNA($B184)),"",IF(ISBLANK($B184),"",IFERROR(_xll.BDP(TICKER,"DEEP_MEASURE_PERIOD_BROKER_VALUE","DEEP_MEASURE_ID_OVERRIDE",$C184,"DEEP_BROKER_ID_OVERRIDE",AU$24,"DEEP_PERIOD_OVERRIDE",$H$19)*1,"")))</f>
        <v/>
      </c>
      <c r="AV184" t="str">
        <f>IF(OR(AV$23="",ISNA($B184)),"",IF(ISBLANK($B184),"",IFERROR(_xll.BDP(TICKER,"DEEP_MEASURE_PERIOD_BROKER_VALUE","DEEP_MEASURE_ID_OVERRIDE",$C184,"DEEP_BROKER_ID_OVERRIDE",AV$24,"DEEP_PERIOD_OVERRIDE",$H$19)*1,"")))</f>
        <v/>
      </c>
      <c r="AW184" t="str">
        <f>IF(OR(AW$23="",ISNA($B184)),"",IF(ISBLANK($B184),"",IFERROR(_xll.BDP(TICKER,"DEEP_MEASURE_PERIOD_BROKER_VALUE","DEEP_MEASURE_ID_OVERRIDE",$C184,"DEEP_BROKER_ID_OVERRIDE",AW$24,"DEEP_PERIOD_OVERRIDE",$H$19)*1,"")))</f>
        <v/>
      </c>
      <c r="AX184" t="str">
        <f>IF(OR(AX$23="",ISNA($B184)),"",IF(ISBLANK($B184),"",IFERROR(_xll.BDP(TICKER,"DEEP_MEASURE_PERIOD_BROKER_VALUE","DEEP_MEASURE_ID_OVERRIDE",$C184,"DEEP_BROKER_ID_OVERRIDE",AX$24,"DEEP_PERIOD_OVERRIDE",$H$19)*1,"")))</f>
        <v/>
      </c>
      <c r="AY184" t="str">
        <f>IF(OR(AY$23="",ISNA($B184)),"",IF(ISBLANK($B184),"",IFERROR(_xll.BDP(TICKER,"DEEP_MEASURE_PERIOD_BROKER_VALUE","DEEP_MEASURE_ID_OVERRIDE",$C184,"DEEP_BROKER_ID_OVERRIDE",AY$24,"DEEP_PERIOD_OVERRIDE",$H$19)*1,"")))</f>
        <v/>
      </c>
      <c r="AZ184" t="str">
        <f>IF(OR(AZ$23="",ISNA($B184)),"",IF(ISBLANK($B184),"",IFERROR(_xll.BDP(TICKER,"DEEP_MEASURE_PERIOD_BROKER_VALUE","DEEP_MEASURE_ID_OVERRIDE",$C184,"DEEP_BROKER_ID_OVERRIDE",AZ$24,"DEEP_PERIOD_OVERRIDE",$H$19)*1,"")))</f>
        <v/>
      </c>
      <c r="BA184" t="str">
        <f>IF(OR(BA$23="",ISNA($B184)),"",IF(ISBLANK($B184),"",IFERROR(_xll.BDP(TICKER,"DEEP_MEASURE_PERIOD_BROKER_VALUE","DEEP_MEASURE_ID_OVERRIDE",$C184,"DEEP_BROKER_ID_OVERRIDE",BA$24,"DEEP_PERIOD_OVERRIDE",$H$19)*1,"")))</f>
        <v/>
      </c>
      <c r="BB184" t="str">
        <f>IF(OR(BB$23="",ISNA($B184)),"",IF(ISBLANK($B184),"",IFERROR(_xll.BDP(TICKER,"DEEP_MEASURE_PERIOD_BROKER_VALUE","DEEP_MEASURE_ID_OVERRIDE",$C184,"DEEP_BROKER_ID_OVERRIDE",BB$24,"DEEP_PERIOD_OVERRIDE",$H$19)*1,"")))</f>
        <v/>
      </c>
      <c r="BC184" t="str">
        <f>IF(OR(BC$23="",ISNA($B184)),"",IF(ISBLANK($B184),"",IFERROR(_xll.BDP(TICKER,"DEEP_MEASURE_PERIOD_BROKER_VALUE","DEEP_MEASURE_ID_OVERRIDE",$C184,"DEEP_BROKER_ID_OVERRIDE",BC$24,"DEEP_PERIOD_OVERRIDE",$H$19)*1,"")))</f>
        <v/>
      </c>
      <c r="BD184" t="str">
        <f>IF(OR(BD$23="",ISNA($B184)),"",IF(ISBLANK($B184),"",IFERROR(_xll.BDP(TICKER,"DEEP_MEASURE_PERIOD_BROKER_VALUE","DEEP_MEASURE_ID_OVERRIDE",$C184,"DEEP_BROKER_ID_OVERRIDE",BD$24,"DEEP_PERIOD_OVERRIDE",$H$19)*1,"")))</f>
        <v/>
      </c>
      <c r="BE184" t="str">
        <f>IF(OR(BE$23="",ISNA($B184)),"",IF(ISBLANK($B184),"",IFERROR(_xll.BDP(TICKER,"DEEP_MEASURE_PERIOD_BROKER_VALUE","DEEP_MEASURE_ID_OVERRIDE",$C184,"DEEP_BROKER_ID_OVERRIDE",BE$24,"DEEP_PERIOD_OVERRIDE",$H$19)*1,"")))</f>
        <v/>
      </c>
      <c r="BF184" t="str">
        <f>IF(OR(BF$23="",ISNA($B184)),"",IF(ISBLANK($B184),"",IFERROR(_xll.BDP(TICKER,"DEEP_MEASURE_PERIOD_BROKER_VALUE","DEEP_MEASURE_ID_OVERRIDE",$C184,"DEEP_BROKER_ID_OVERRIDE",BF$24,"DEEP_PERIOD_OVERRIDE",$H$19)*1,"")))</f>
        <v/>
      </c>
      <c r="BG184" t="str">
        <f>IF(OR(BG$23="",ISNA($B184)),"",IF(ISBLANK($B184),"",IFERROR(_xll.BDP(TICKER,"DEEP_MEASURE_PERIOD_BROKER_VALUE","DEEP_MEASURE_ID_OVERRIDE",$C184,"DEEP_BROKER_ID_OVERRIDE",BG$24,"DEEP_PERIOD_OVERRIDE",$H$19)*1,"")))</f>
        <v/>
      </c>
      <c r="BH184" t="str">
        <f>IF(OR(BH$23="",ISNA($B184)),"",IF(ISBLANK($B184),"",IFERROR(_xll.BDP(TICKER,"DEEP_MEASURE_PERIOD_BROKER_VALUE","DEEP_MEASURE_ID_OVERRIDE",$C184,"DEEP_BROKER_ID_OVERRIDE",BH$24,"DEEP_PERIOD_OVERRIDE",$H$19)*1,"")))</f>
        <v/>
      </c>
      <c r="BI184" t="str">
        <f>IF(OR(BI$23="",ISNA($B184)),"",IF(ISBLANK($B184),"",IFERROR(_xll.BDP(TICKER,"DEEP_MEASURE_PERIOD_BROKER_VALUE","DEEP_MEASURE_ID_OVERRIDE",$C184,"DEEP_BROKER_ID_OVERRIDE",BI$24,"DEEP_PERIOD_OVERRIDE",$H$19)*1,"")))</f>
        <v/>
      </c>
      <c r="BJ184" t="str">
        <f>IF(OR(BJ$23="",ISNA($B184)),"",IF(ISBLANK($B184),"",IFERROR(_xll.BDP(TICKER,"DEEP_MEASURE_PERIOD_BROKER_VALUE","DEEP_MEASURE_ID_OVERRIDE",$C184,"DEEP_BROKER_ID_OVERRIDE",BJ$24,"DEEP_PERIOD_OVERRIDE",$H$19)*1,"")))</f>
        <v/>
      </c>
      <c r="BK184" t="str">
        <f>IF(OR(BK$23="",ISNA($B184)),"",IF(ISBLANK($B184),"",IFERROR(_xll.BDP(TICKER,"DEEP_MEASURE_PERIOD_BROKER_VALUE","DEEP_MEASURE_ID_OVERRIDE",$C184,"DEEP_BROKER_ID_OVERRIDE",BK$24,"DEEP_PERIOD_OVERRIDE",$H$19)*1,"")))</f>
        <v/>
      </c>
      <c r="BL184" t="str">
        <f>IF(OR(BL$23="",ISNA($B184)),"",IF(ISBLANK($B184),"",IFERROR(_xll.BDP(TICKER,"DEEP_MEASURE_PERIOD_BROKER_VALUE","DEEP_MEASURE_ID_OVERRIDE",$C184,"DEEP_BROKER_ID_OVERRIDE",BL$24,"DEEP_PERIOD_OVERRIDE",$H$19)*1,"")))</f>
        <v/>
      </c>
      <c r="BM184" t="str">
        <f>IF(OR(BM$23="",ISNA($B184)),"",IF(ISBLANK($B184),"",IFERROR(_xll.BDP(TICKER,"DEEP_MEASURE_PERIOD_BROKER_VALUE","DEEP_MEASURE_ID_OVERRIDE",$C184,"DEEP_BROKER_ID_OVERRIDE",BM$24,"DEEP_PERIOD_OVERRIDE",$H$19)*1,"")))</f>
        <v/>
      </c>
      <c r="BN184" t="str">
        <f>IF(OR(BN$23="",ISNA($B184)),"",IF(ISBLANK($B184),"",IFERROR(_xll.BDP(TICKER,"DEEP_MEASURE_PERIOD_BROKER_VALUE","DEEP_MEASURE_ID_OVERRIDE",$C184,"DEEP_BROKER_ID_OVERRIDE",BN$24,"DEEP_PERIOD_OVERRIDE",$H$19)*1,"")))</f>
        <v/>
      </c>
      <c r="BO184" t="str">
        <f>IF(OR(BO$23="",ISNA($B184)),"",IF(ISBLANK($B184),"",IFERROR(_xll.BDP(TICKER,"DEEP_MEASURE_PERIOD_BROKER_VALUE","DEEP_MEASURE_ID_OVERRIDE",$C184,"DEEP_BROKER_ID_OVERRIDE",BO$24,"DEEP_PERIOD_OVERRIDE",$H$19)*1,"")))</f>
        <v/>
      </c>
      <c r="BP184" t="str">
        <f>IF(OR(BP$23="",ISNA($B184)),"",IF(ISBLANK($B184),"",IFERROR(_xll.BDP(TICKER,"DEEP_MEASURE_PERIOD_BROKER_VALUE","DEEP_MEASURE_ID_OVERRIDE",$C184,"DEEP_BROKER_ID_OVERRIDE",BP$24,"DEEP_PERIOD_OVERRIDE",$H$19)*1,"")))</f>
        <v/>
      </c>
      <c r="BQ184" t="str">
        <f>IF(OR(BQ$23="",ISNA($B184)),"",IF(ISBLANK($B184),"",IFERROR(_xll.BDP(TICKER,"DEEP_MEASURE_PERIOD_BROKER_VALUE","DEEP_MEASURE_ID_OVERRIDE",$C184,"DEEP_BROKER_ID_OVERRIDE",BQ$24,"DEEP_PERIOD_OVERRIDE",$H$19)*1,"")))</f>
        <v/>
      </c>
      <c r="BR184" t="str">
        <f>IF(OR(BR$23="",ISNA($B184)),"",IF(ISBLANK($B184),"",IFERROR(_xll.BDP(TICKER,"DEEP_MEASURE_PERIOD_BROKER_VALUE","DEEP_MEASURE_ID_OVERRIDE",$C184,"DEEP_BROKER_ID_OVERRIDE",BR$24,"DEEP_PERIOD_OVERRIDE",$H$19)*1,"")))</f>
        <v/>
      </c>
      <c r="BS184" t="str">
        <f>IF(OR(BS$23="",ISNA($B184)),"",IF(ISBLANK($B184),"",IFERROR(_xll.BDP(TICKER,"DEEP_MEASURE_PERIOD_BROKER_VALUE","DEEP_MEASURE_ID_OVERRIDE",$C184,"DEEP_BROKER_ID_OVERRIDE",BS$24,"DEEP_PERIOD_OVERRIDE",$H$19)*1,"")))</f>
        <v/>
      </c>
      <c r="BT184" t="str">
        <f>IF(OR(BT$23="",ISNA($B184)),"",IF(ISBLANK($B184),"",IFERROR(_xll.BDP(TICKER,"DEEP_MEASURE_PERIOD_BROKER_VALUE","DEEP_MEASURE_ID_OVERRIDE",$C184,"DEEP_BROKER_ID_OVERRIDE",BT$24,"DEEP_PERIOD_OVERRIDE",$H$19)*1,"")))</f>
        <v/>
      </c>
      <c r="BU184" t="str">
        <f>IF(OR(BU$23="",ISNA($B184)),"",IF(ISBLANK($B184),"",IFERROR(_xll.BDP(TICKER,"DEEP_MEASURE_PERIOD_BROKER_VALUE","DEEP_MEASURE_ID_OVERRIDE",$C184,"DEEP_BROKER_ID_OVERRIDE",BU$24,"DEEP_PERIOD_OVERRIDE",$H$19)*1,"")))</f>
        <v/>
      </c>
      <c r="BV184" t="str">
        <f>IF(OR(BV$23="",ISNA($B184)),"",IF(ISBLANK($B184),"",IFERROR(_xll.BDP(TICKER,"DEEP_MEASURE_PERIOD_BROKER_VALUE","DEEP_MEASURE_ID_OVERRIDE",$C184,"DEEP_BROKER_ID_OVERRIDE",BV$24,"DEEP_PERIOD_OVERRIDE",$H$19)*1,"")))</f>
        <v/>
      </c>
      <c r="BW184" t="str">
        <f>IF(OR(BW$23="",ISNA($B184)),"",IF(ISBLANK($B184),"",IFERROR(_xll.BDP(TICKER,"DEEP_MEASURE_PERIOD_BROKER_VALUE","DEEP_MEASURE_ID_OVERRIDE",$C184,"DEEP_BROKER_ID_OVERRIDE",BW$24,"DEEP_PERIOD_OVERRIDE",$H$19)*1,"")))</f>
        <v/>
      </c>
      <c r="BX184" t="str">
        <f>IF(OR(BX$23="",ISNA($B184)),"",IF(ISBLANK($B184),"",IFERROR(_xll.BDP(TICKER,"DEEP_MEASURE_PERIOD_BROKER_VALUE","DEEP_MEASURE_ID_OVERRIDE",$C184,"DEEP_BROKER_ID_OVERRIDE",BX$24,"DEEP_PERIOD_OVERRIDE",$H$19)*1,"")))</f>
        <v/>
      </c>
      <c r="BY184" t="str">
        <f>IF(OR(BY$23="",ISNA($B184)),"",IF(ISBLANK($B184),"",IFERROR(_xll.BDP(TICKER,"DEEP_MEASURE_PERIOD_BROKER_VALUE","DEEP_MEASURE_ID_OVERRIDE",$C184,"DEEP_BROKER_ID_OVERRIDE",BY$24,"DEEP_PERIOD_OVERRIDE",$H$19)*1,"")))</f>
        <v/>
      </c>
      <c r="BZ184" t="str">
        <f>IF(OR(BZ$23="",ISNA($B184)),"",IF(ISBLANK($B184),"",IFERROR(_xll.BDP(TICKER,"DEEP_MEASURE_PERIOD_BROKER_VALUE","DEEP_MEASURE_ID_OVERRIDE",$C184,"DEEP_BROKER_ID_OVERRIDE",BZ$24,"DEEP_PERIOD_OVERRIDE",$H$19)*1,"")))</f>
        <v/>
      </c>
    </row>
    <row r="185" spans="2:78" x14ac:dyDescent="0.25">
      <c r="B185" t="s">
        <v>57</v>
      </c>
      <c r="C185">
        <v>958</v>
      </c>
      <c r="H185" t="str">
        <f t="shared" si="3"/>
        <v>Liabilities &amp; Shareholders' Equity &gt; Shareholder's Equity &gt; Retained Earnings</v>
      </c>
      <c r="I185" t="str">
        <f>IF(OR(I$23="",ISNA($B185)),"",IF(ISBLANK($B185),"",IFERROR(_xll.BDP(TICKER,"DEEP_MEASURE_PERIOD_BROKER_VALUE","DEEP_MEASURE_ID_OVERRIDE",$C185,"DEEP_PERIOD_OVERRIDE",$H$19)*1,"")))</f>
        <v/>
      </c>
      <c r="J185" t="e">
        <f>IF(OR(J$23="",ISNA($B185)),"",IF(ISBLANK($B185),"",IFERROR(_xll.BDP(TICKER,"DEEP_MEASURE_PERIOD_BROKER_VALUE","DEEP_MEASURE_ID_OVERRIDE",$C185,"DEEP_BROKER_ID_OVERRIDE",J$24,"DEEP_PERIOD_OVERRIDE",$H$19)*1,"")))</f>
        <v>#REF!</v>
      </c>
      <c r="K185" t="str">
        <f>IF(OR(K$23="",ISNA($B185)),"",IF(ISBLANK($B185),"",IFERROR(_xll.BDP(TICKER,"DEEP_MEASURE_PERIOD_BROKER_VALUE","DEEP_MEASURE_ID_OVERRIDE",$C185,"DEEP_BROKER_ID_OVERRIDE",K$24,"DEEP_PERIOD_OVERRIDE",$H$19)*1,"")))</f>
        <v/>
      </c>
      <c r="L185" t="str">
        <f>IF(OR(L$23="",ISNA($B185)),"",IF(ISBLANK($B185),"",IFERROR(_xll.BDP(TICKER,"DEEP_MEASURE_PERIOD_BROKER_VALUE","DEEP_MEASURE_ID_OVERRIDE",$C185,"DEEP_BROKER_ID_OVERRIDE",L$24,"DEEP_PERIOD_OVERRIDE",$H$19)*1,"")))</f>
        <v/>
      </c>
      <c r="M185" t="str">
        <f>IF(OR(M$23="",ISNA($B185)),"",IF(ISBLANK($B185),"",IFERROR(_xll.BDP(TICKER,"DEEP_MEASURE_PERIOD_BROKER_VALUE","DEEP_MEASURE_ID_OVERRIDE",$C185,"DEEP_BROKER_ID_OVERRIDE",M$24,"DEEP_PERIOD_OVERRIDE",$H$19)*1,"")))</f>
        <v/>
      </c>
      <c r="N185" t="str">
        <f>IF(OR(N$23="",ISNA($B185)),"",IF(ISBLANK($B185),"",IFERROR(_xll.BDP(TICKER,"DEEP_MEASURE_PERIOD_BROKER_VALUE","DEEP_MEASURE_ID_OVERRIDE",$C185,"DEEP_BROKER_ID_OVERRIDE",N$24,"DEEP_PERIOD_OVERRIDE",$H$19)*1,"")))</f>
        <v/>
      </c>
      <c r="O185" t="str">
        <f>IF(OR(O$23="",ISNA($B185)),"",IF(ISBLANK($B185),"",IFERROR(_xll.BDP(TICKER,"DEEP_MEASURE_PERIOD_BROKER_VALUE","DEEP_MEASURE_ID_OVERRIDE",$C185,"DEEP_BROKER_ID_OVERRIDE",O$24,"DEEP_PERIOD_OVERRIDE",$H$19)*1,"")))</f>
        <v/>
      </c>
      <c r="P185" t="str">
        <f>IF(OR(P$23="",ISNA($B185)),"",IF(ISBLANK($B185),"",IFERROR(_xll.BDP(TICKER,"DEEP_MEASURE_PERIOD_BROKER_VALUE","DEEP_MEASURE_ID_OVERRIDE",$C185,"DEEP_BROKER_ID_OVERRIDE",P$24,"DEEP_PERIOD_OVERRIDE",$H$19)*1,"")))</f>
        <v/>
      </c>
      <c r="Q185" t="str">
        <f>IF(OR(Q$23="",ISNA($B185)),"",IF(ISBLANK($B185),"",IFERROR(_xll.BDP(TICKER,"DEEP_MEASURE_PERIOD_BROKER_VALUE","DEEP_MEASURE_ID_OVERRIDE",$C185,"DEEP_BROKER_ID_OVERRIDE",Q$24,"DEEP_PERIOD_OVERRIDE",$H$19)*1,"")))</f>
        <v/>
      </c>
      <c r="R185" t="str">
        <f>IF(OR(R$23="",ISNA($B185)),"",IF(ISBLANK($B185),"",IFERROR(_xll.BDP(TICKER,"DEEP_MEASURE_PERIOD_BROKER_VALUE","DEEP_MEASURE_ID_OVERRIDE",$C185,"DEEP_BROKER_ID_OVERRIDE",R$24,"DEEP_PERIOD_OVERRIDE",$H$19)*1,"")))</f>
        <v/>
      </c>
      <c r="S185" t="str">
        <f>IF(OR(S$23="",ISNA($B185)),"",IF(ISBLANK($B185),"",IFERROR(_xll.BDP(TICKER,"DEEP_MEASURE_PERIOD_BROKER_VALUE","DEEP_MEASURE_ID_OVERRIDE",$C185,"DEEP_BROKER_ID_OVERRIDE",S$24,"DEEP_PERIOD_OVERRIDE",$H$19)*1,"")))</f>
        <v/>
      </c>
      <c r="T185" t="str">
        <f>IF(OR(T$23="",ISNA($B185)),"",IF(ISBLANK($B185),"",IFERROR(_xll.BDP(TICKER,"DEEP_MEASURE_PERIOD_BROKER_VALUE","DEEP_MEASURE_ID_OVERRIDE",$C185,"DEEP_BROKER_ID_OVERRIDE",T$24,"DEEP_PERIOD_OVERRIDE",$H$19)*1,"")))</f>
        <v/>
      </c>
      <c r="U185" t="str">
        <f>IF(OR(U$23="",ISNA($B185)),"",IF(ISBLANK($B185),"",IFERROR(_xll.BDP(TICKER,"DEEP_MEASURE_PERIOD_BROKER_VALUE","DEEP_MEASURE_ID_OVERRIDE",$C185,"DEEP_BROKER_ID_OVERRIDE",U$24,"DEEP_PERIOD_OVERRIDE",$H$19)*1,"")))</f>
        <v/>
      </c>
      <c r="V185" t="str">
        <f>IF(OR(V$23="",ISNA($B185)),"",IF(ISBLANK($B185),"",IFERROR(_xll.BDP(TICKER,"DEEP_MEASURE_PERIOD_BROKER_VALUE","DEEP_MEASURE_ID_OVERRIDE",$C185,"DEEP_BROKER_ID_OVERRIDE",V$24,"DEEP_PERIOD_OVERRIDE",$H$19)*1,"")))</f>
        <v/>
      </c>
      <c r="W185" t="str">
        <f>IF(OR(W$23="",ISNA($B185)),"",IF(ISBLANK($B185),"",IFERROR(_xll.BDP(TICKER,"DEEP_MEASURE_PERIOD_BROKER_VALUE","DEEP_MEASURE_ID_OVERRIDE",$C185,"DEEP_BROKER_ID_OVERRIDE",W$24,"DEEP_PERIOD_OVERRIDE",$H$19)*1,"")))</f>
        <v/>
      </c>
      <c r="X185" t="str">
        <f>IF(OR(X$23="",ISNA($B185)),"",IF(ISBLANK($B185),"",IFERROR(_xll.BDP(TICKER,"DEEP_MEASURE_PERIOD_BROKER_VALUE","DEEP_MEASURE_ID_OVERRIDE",$C185,"DEEP_BROKER_ID_OVERRIDE",X$24,"DEEP_PERIOD_OVERRIDE",$H$19)*1,"")))</f>
        <v/>
      </c>
      <c r="Y185" t="str">
        <f>IF(OR(Y$23="",ISNA($B185)),"",IF(ISBLANK($B185),"",IFERROR(_xll.BDP(TICKER,"DEEP_MEASURE_PERIOD_BROKER_VALUE","DEEP_MEASURE_ID_OVERRIDE",$C185,"DEEP_BROKER_ID_OVERRIDE",Y$24,"DEEP_PERIOD_OVERRIDE",$H$19)*1,"")))</f>
        <v/>
      </c>
      <c r="Z185" t="str">
        <f>IF(OR(Z$23="",ISNA($B185)),"",IF(ISBLANK($B185),"",IFERROR(_xll.BDP(TICKER,"DEEP_MEASURE_PERIOD_BROKER_VALUE","DEEP_MEASURE_ID_OVERRIDE",$C185,"DEEP_BROKER_ID_OVERRIDE",Z$24,"DEEP_PERIOD_OVERRIDE",$H$19)*1,"")))</f>
        <v/>
      </c>
      <c r="AA185" t="str">
        <f>IF(OR(AA$23="",ISNA($B185)),"",IF(ISBLANK($B185),"",IFERROR(_xll.BDP(TICKER,"DEEP_MEASURE_PERIOD_BROKER_VALUE","DEEP_MEASURE_ID_OVERRIDE",$C185,"DEEP_BROKER_ID_OVERRIDE",AA$24,"DEEP_PERIOD_OVERRIDE",$H$19)*1,"")))</f>
        <v/>
      </c>
      <c r="AB185" t="str">
        <f>IF(OR(AB$23="",ISNA($B185)),"",IF(ISBLANK($B185),"",IFERROR(_xll.BDP(TICKER,"DEEP_MEASURE_PERIOD_BROKER_VALUE","DEEP_MEASURE_ID_OVERRIDE",$C185,"DEEP_BROKER_ID_OVERRIDE",AB$24,"DEEP_PERIOD_OVERRIDE",$H$19)*1,"")))</f>
        <v/>
      </c>
      <c r="AC185" t="str">
        <f>IF(OR(AC$23="",ISNA($B185)),"",IF(ISBLANK($B185),"",IFERROR(_xll.BDP(TICKER,"DEEP_MEASURE_PERIOD_BROKER_VALUE","DEEP_MEASURE_ID_OVERRIDE",$C185,"DEEP_BROKER_ID_OVERRIDE",AC$24,"DEEP_PERIOD_OVERRIDE",$H$19)*1,"")))</f>
        <v/>
      </c>
      <c r="AD185" t="str">
        <f>IF(OR(AD$23="",ISNA($B185)),"",IF(ISBLANK($B185),"",IFERROR(_xll.BDP(TICKER,"DEEP_MEASURE_PERIOD_BROKER_VALUE","DEEP_MEASURE_ID_OVERRIDE",$C185,"DEEP_BROKER_ID_OVERRIDE",AD$24,"DEEP_PERIOD_OVERRIDE",$H$19)*1,"")))</f>
        <v/>
      </c>
      <c r="AE185" t="str">
        <f>IF(OR(AE$23="",ISNA($B185)),"",IF(ISBLANK($B185),"",IFERROR(_xll.BDP(TICKER,"DEEP_MEASURE_PERIOD_BROKER_VALUE","DEEP_MEASURE_ID_OVERRIDE",$C185,"DEEP_BROKER_ID_OVERRIDE",AE$24,"DEEP_PERIOD_OVERRIDE",$H$19)*1,"")))</f>
        <v/>
      </c>
      <c r="AF185" t="str">
        <f>IF(OR(AF$23="",ISNA($B185)),"",IF(ISBLANK($B185),"",IFERROR(_xll.BDP(TICKER,"DEEP_MEASURE_PERIOD_BROKER_VALUE","DEEP_MEASURE_ID_OVERRIDE",$C185,"DEEP_BROKER_ID_OVERRIDE",AF$24,"DEEP_PERIOD_OVERRIDE",$H$19)*1,"")))</f>
        <v/>
      </c>
      <c r="AG185" t="str">
        <f>IF(OR(AG$23="",ISNA($B185)),"",IF(ISBLANK($B185),"",IFERROR(_xll.BDP(TICKER,"DEEP_MEASURE_PERIOD_BROKER_VALUE","DEEP_MEASURE_ID_OVERRIDE",$C185,"DEEP_BROKER_ID_OVERRIDE",AG$24,"DEEP_PERIOD_OVERRIDE",$H$19)*1,"")))</f>
        <v/>
      </c>
      <c r="AH185" t="str">
        <f>IF(OR(AH$23="",ISNA($B185)),"",IF(ISBLANK($B185),"",IFERROR(_xll.BDP(TICKER,"DEEP_MEASURE_PERIOD_BROKER_VALUE","DEEP_MEASURE_ID_OVERRIDE",$C185,"DEEP_BROKER_ID_OVERRIDE",AH$24,"DEEP_PERIOD_OVERRIDE",$H$19)*1,"")))</f>
        <v/>
      </c>
      <c r="AI185" t="str">
        <f>IF(OR(AI$23="",ISNA($B185)),"",IF(ISBLANK($B185),"",IFERROR(_xll.BDP(TICKER,"DEEP_MEASURE_PERIOD_BROKER_VALUE","DEEP_MEASURE_ID_OVERRIDE",$C185,"DEEP_BROKER_ID_OVERRIDE",AI$24,"DEEP_PERIOD_OVERRIDE",$H$19)*1,"")))</f>
        <v/>
      </c>
      <c r="AJ185" t="str">
        <f>IF(OR(AJ$23="",ISNA($B185)),"",IF(ISBLANK($B185),"",IFERROR(_xll.BDP(TICKER,"DEEP_MEASURE_PERIOD_BROKER_VALUE","DEEP_MEASURE_ID_OVERRIDE",$C185,"DEEP_BROKER_ID_OVERRIDE",AJ$24,"DEEP_PERIOD_OVERRIDE",$H$19)*1,"")))</f>
        <v/>
      </c>
      <c r="AK185" t="str">
        <f>IF(OR(AK$23="",ISNA($B185)),"",IF(ISBLANK($B185),"",IFERROR(_xll.BDP(TICKER,"DEEP_MEASURE_PERIOD_BROKER_VALUE","DEEP_MEASURE_ID_OVERRIDE",$C185,"DEEP_BROKER_ID_OVERRIDE",AK$24,"DEEP_PERIOD_OVERRIDE",$H$19)*1,"")))</f>
        <v/>
      </c>
      <c r="AL185" t="str">
        <f>IF(OR(AL$23="",ISNA($B185)),"",IF(ISBLANK($B185),"",IFERROR(_xll.BDP(TICKER,"DEEP_MEASURE_PERIOD_BROKER_VALUE","DEEP_MEASURE_ID_OVERRIDE",$C185,"DEEP_BROKER_ID_OVERRIDE",AL$24,"DEEP_PERIOD_OVERRIDE",$H$19)*1,"")))</f>
        <v/>
      </c>
      <c r="AM185" t="str">
        <f>IF(OR(AM$23="",ISNA($B185)),"",IF(ISBLANK($B185),"",IFERROR(_xll.BDP(TICKER,"DEEP_MEASURE_PERIOD_BROKER_VALUE","DEEP_MEASURE_ID_OVERRIDE",$C185,"DEEP_BROKER_ID_OVERRIDE",AM$24,"DEEP_PERIOD_OVERRIDE",$H$19)*1,"")))</f>
        <v/>
      </c>
      <c r="AN185" t="str">
        <f>IF(OR(AN$23="",ISNA($B185)),"",IF(ISBLANK($B185),"",IFERROR(_xll.BDP(TICKER,"DEEP_MEASURE_PERIOD_BROKER_VALUE","DEEP_MEASURE_ID_OVERRIDE",$C185,"DEEP_BROKER_ID_OVERRIDE",AN$24,"DEEP_PERIOD_OVERRIDE",$H$19)*1,"")))</f>
        <v/>
      </c>
      <c r="AO185" t="str">
        <f>IF(OR(AO$23="",ISNA($B185)),"",IF(ISBLANK($B185),"",IFERROR(_xll.BDP(TICKER,"DEEP_MEASURE_PERIOD_BROKER_VALUE","DEEP_MEASURE_ID_OVERRIDE",$C185,"DEEP_BROKER_ID_OVERRIDE",AO$24,"DEEP_PERIOD_OVERRIDE",$H$19)*1,"")))</f>
        <v/>
      </c>
      <c r="AP185" t="str">
        <f>IF(OR(AP$23="",ISNA($B185)),"",IF(ISBLANK($B185),"",IFERROR(_xll.BDP(TICKER,"DEEP_MEASURE_PERIOD_BROKER_VALUE","DEEP_MEASURE_ID_OVERRIDE",$C185,"DEEP_BROKER_ID_OVERRIDE",AP$24,"DEEP_PERIOD_OVERRIDE",$H$19)*1,"")))</f>
        <v/>
      </c>
      <c r="AQ185" t="str">
        <f>IF(OR(AQ$23="",ISNA($B185)),"",IF(ISBLANK($B185),"",IFERROR(_xll.BDP(TICKER,"DEEP_MEASURE_PERIOD_BROKER_VALUE","DEEP_MEASURE_ID_OVERRIDE",$C185,"DEEP_BROKER_ID_OVERRIDE",AQ$24,"DEEP_PERIOD_OVERRIDE",$H$19)*1,"")))</f>
        <v/>
      </c>
      <c r="AR185" t="str">
        <f>IF(OR(AR$23="",ISNA($B185)),"",IF(ISBLANK($B185),"",IFERROR(_xll.BDP(TICKER,"DEEP_MEASURE_PERIOD_BROKER_VALUE","DEEP_MEASURE_ID_OVERRIDE",$C185,"DEEP_BROKER_ID_OVERRIDE",AR$24,"DEEP_PERIOD_OVERRIDE",$H$19)*1,"")))</f>
        <v/>
      </c>
      <c r="AS185" t="str">
        <f>IF(OR(AS$23="",ISNA($B185)),"",IF(ISBLANK($B185),"",IFERROR(_xll.BDP(TICKER,"DEEP_MEASURE_PERIOD_BROKER_VALUE","DEEP_MEASURE_ID_OVERRIDE",$C185,"DEEP_BROKER_ID_OVERRIDE",AS$24,"DEEP_PERIOD_OVERRIDE",$H$19)*1,"")))</f>
        <v/>
      </c>
      <c r="AT185" t="str">
        <f>IF(OR(AT$23="",ISNA($B185)),"",IF(ISBLANK($B185),"",IFERROR(_xll.BDP(TICKER,"DEEP_MEASURE_PERIOD_BROKER_VALUE","DEEP_MEASURE_ID_OVERRIDE",$C185,"DEEP_BROKER_ID_OVERRIDE",AT$24,"DEEP_PERIOD_OVERRIDE",$H$19)*1,"")))</f>
        <v/>
      </c>
      <c r="AU185" t="str">
        <f>IF(OR(AU$23="",ISNA($B185)),"",IF(ISBLANK($B185),"",IFERROR(_xll.BDP(TICKER,"DEEP_MEASURE_PERIOD_BROKER_VALUE","DEEP_MEASURE_ID_OVERRIDE",$C185,"DEEP_BROKER_ID_OVERRIDE",AU$24,"DEEP_PERIOD_OVERRIDE",$H$19)*1,"")))</f>
        <v/>
      </c>
      <c r="AV185" t="str">
        <f>IF(OR(AV$23="",ISNA($B185)),"",IF(ISBLANK($B185),"",IFERROR(_xll.BDP(TICKER,"DEEP_MEASURE_PERIOD_BROKER_VALUE","DEEP_MEASURE_ID_OVERRIDE",$C185,"DEEP_BROKER_ID_OVERRIDE",AV$24,"DEEP_PERIOD_OVERRIDE",$H$19)*1,"")))</f>
        <v/>
      </c>
      <c r="AW185" t="str">
        <f>IF(OR(AW$23="",ISNA($B185)),"",IF(ISBLANK($B185),"",IFERROR(_xll.BDP(TICKER,"DEEP_MEASURE_PERIOD_BROKER_VALUE","DEEP_MEASURE_ID_OVERRIDE",$C185,"DEEP_BROKER_ID_OVERRIDE",AW$24,"DEEP_PERIOD_OVERRIDE",$H$19)*1,"")))</f>
        <v/>
      </c>
      <c r="AX185" t="str">
        <f>IF(OR(AX$23="",ISNA($B185)),"",IF(ISBLANK($B185),"",IFERROR(_xll.BDP(TICKER,"DEEP_MEASURE_PERIOD_BROKER_VALUE","DEEP_MEASURE_ID_OVERRIDE",$C185,"DEEP_BROKER_ID_OVERRIDE",AX$24,"DEEP_PERIOD_OVERRIDE",$H$19)*1,"")))</f>
        <v/>
      </c>
      <c r="AY185" t="str">
        <f>IF(OR(AY$23="",ISNA($B185)),"",IF(ISBLANK($B185),"",IFERROR(_xll.BDP(TICKER,"DEEP_MEASURE_PERIOD_BROKER_VALUE","DEEP_MEASURE_ID_OVERRIDE",$C185,"DEEP_BROKER_ID_OVERRIDE",AY$24,"DEEP_PERIOD_OVERRIDE",$H$19)*1,"")))</f>
        <v/>
      </c>
      <c r="AZ185" t="str">
        <f>IF(OR(AZ$23="",ISNA($B185)),"",IF(ISBLANK($B185),"",IFERROR(_xll.BDP(TICKER,"DEEP_MEASURE_PERIOD_BROKER_VALUE","DEEP_MEASURE_ID_OVERRIDE",$C185,"DEEP_BROKER_ID_OVERRIDE",AZ$24,"DEEP_PERIOD_OVERRIDE",$H$19)*1,"")))</f>
        <v/>
      </c>
      <c r="BA185" t="str">
        <f>IF(OR(BA$23="",ISNA($B185)),"",IF(ISBLANK($B185),"",IFERROR(_xll.BDP(TICKER,"DEEP_MEASURE_PERIOD_BROKER_VALUE","DEEP_MEASURE_ID_OVERRIDE",$C185,"DEEP_BROKER_ID_OVERRIDE",BA$24,"DEEP_PERIOD_OVERRIDE",$H$19)*1,"")))</f>
        <v/>
      </c>
      <c r="BB185" t="str">
        <f>IF(OR(BB$23="",ISNA($B185)),"",IF(ISBLANK($B185),"",IFERROR(_xll.BDP(TICKER,"DEEP_MEASURE_PERIOD_BROKER_VALUE","DEEP_MEASURE_ID_OVERRIDE",$C185,"DEEP_BROKER_ID_OVERRIDE",BB$24,"DEEP_PERIOD_OVERRIDE",$H$19)*1,"")))</f>
        <v/>
      </c>
      <c r="BC185" t="str">
        <f>IF(OR(BC$23="",ISNA($B185)),"",IF(ISBLANK($B185),"",IFERROR(_xll.BDP(TICKER,"DEEP_MEASURE_PERIOD_BROKER_VALUE","DEEP_MEASURE_ID_OVERRIDE",$C185,"DEEP_BROKER_ID_OVERRIDE",BC$24,"DEEP_PERIOD_OVERRIDE",$H$19)*1,"")))</f>
        <v/>
      </c>
      <c r="BD185" t="str">
        <f>IF(OR(BD$23="",ISNA($B185)),"",IF(ISBLANK($B185),"",IFERROR(_xll.BDP(TICKER,"DEEP_MEASURE_PERIOD_BROKER_VALUE","DEEP_MEASURE_ID_OVERRIDE",$C185,"DEEP_BROKER_ID_OVERRIDE",BD$24,"DEEP_PERIOD_OVERRIDE",$H$19)*1,"")))</f>
        <v/>
      </c>
      <c r="BE185" t="str">
        <f>IF(OR(BE$23="",ISNA($B185)),"",IF(ISBLANK($B185),"",IFERROR(_xll.BDP(TICKER,"DEEP_MEASURE_PERIOD_BROKER_VALUE","DEEP_MEASURE_ID_OVERRIDE",$C185,"DEEP_BROKER_ID_OVERRIDE",BE$24,"DEEP_PERIOD_OVERRIDE",$H$19)*1,"")))</f>
        <v/>
      </c>
      <c r="BF185" t="str">
        <f>IF(OR(BF$23="",ISNA($B185)),"",IF(ISBLANK($B185),"",IFERROR(_xll.BDP(TICKER,"DEEP_MEASURE_PERIOD_BROKER_VALUE","DEEP_MEASURE_ID_OVERRIDE",$C185,"DEEP_BROKER_ID_OVERRIDE",BF$24,"DEEP_PERIOD_OVERRIDE",$H$19)*1,"")))</f>
        <v/>
      </c>
      <c r="BG185" t="str">
        <f>IF(OR(BG$23="",ISNA($B185)),"",IF(ISBLANK($B185),"",IFERROR(_xll.BDP(TICKER,"DEEP_MEASURE_PERIOD_BROKER_VALUE","DEEP_MEASURE_ID_OVERRIDE",$C185,"DEEP_BROKER_ID_OVERRIDE",BG$24,"DEEP_PERIOD_OVERRIDE",$H$19)*1,"")))</f>
        <v/>
      </c>
      <c r="BH185" t="str">
        <f>IF(OR(BH$23="",ISNA($B185)),"",IF(ISBLANK($B185),"",IFERROR(_xll.BDP(TICKER,"DEEP_MEASURE_PERIOD_BROKER_VALUE","DEEP_MEASURE_ID_OVERRIDE",$C185,"DEEP_BROKER_ID_OVERRIDE",BH$24,"DEEP_PERIOD_OVERRIDE",$H$19)*1,"")))</f>
        <v/>
      </c>
      <c r="BI185" t="str">
        <f>IF(OR(BI$23="",ISNA($B185)),"",IF(ISBLANK($B185),"",IFERROR(_xll.BDP(TICKER,"DEEP_MEASURE_PERIOD_BROKER_VALUE","DEEP_MEASURE_ID_OVERRIDE",$C185,"DEEP_BROKER_ID_OVERRIDE",BI$24,"DEEP_PERIOD_OVERRIDE",$H$19)*1,"")))</f>
        <v/>
      </c>
      <c r="BJ185" t="str">
        <f>IF(OR(BJ$23="",ISNA($B185)),"",IF(ISBLANK($B185),"",IFERROR(_xll.BDP(TICKER,"DEEP_MEASURE_PERIOD_BROKER_VALUE","DEEP_MEASURE_ID_OVERRIDE",$C185,"DEEP_BROKER_ID_OVERRIDE",BJ$24,"DEEP_PERIOD_OVERRIDE",$H$19)*1,"")))</f>
        <v/>
      </c>
      <c r="BK185" t="str">
        <f>IF(OR(BK$23="",ISNA($B185)),"",IF(ISBLANK($B185),"",IFERROR(_xll.BDP(TICKER,"DEEP_MEASURE_PERIOD_BROKER_VALUE","DEEP_MEASURE_ID_OVERRIDE",$C185,"DEEP_BROKER_ID_OVERRIDE",BK$24,"DEEP_PERIOD_OVERRIDE",$H$19)*1,"")))</f>
        <v/>
      </c>
      <c r="BL185" t="str">
        <f>IF(OR(BL$23="",ISNA($B185)),"",IF(ISBLANK($B185),"",IFERROR(_xll.BDP(TICKER,"DEEP_MEASURE_PERIOD_BROKER_VALUE","DEEP_MEASURE_ID_OVERRIDE",$C185,"DEEP_BROKER_ID_OVERRIDE",BL$24,"DEEP_PERIOD_OVERRIDE",$H$19)*1,"")))</f>
        <v/>
      </c>
      <c r="BM185" t="str">
        <f>IF(OR(BM$23="",ISNA($B185)),"",IF(ISBLANK($B185),"",IFERROR(_xll.BDP(TICKER,"DEEP_MEASURE_PERIOD_BROKER_VALUE","DEEP_MEASURE_ID_OVERRIDE",$C185,"DEEP_BROKER_ID_OVERRIDE",BM$24,"DEEP_PERIOD_OVERRIDE",$H$19)*1,"")))</f>
        <v/>
      </c>
      <c r="BN185" t="str">
        <f>IF(OR(BN$23="",ISNA($B185)),"",IF(ISBLANK($B185),"",IFERROR(_xll.BDP(TICKER,"DEEP_MEASURE_PERIOD_BROKER_VALUE","DEEP_MEASURE_ID_OVERRIDE",$C185,"DEEP_BROKER_ID_OVERRIDE",BN$24,"DEEP_PERIOD_OVERRIDE",$H$19)*1,"")))</f>
        <v/>
      </c>
      <c r="BO185" t="str">
        <f>IF(OR(BO$23="",ISNA($B185)),"",IF(ISBLANK($B185),"",IFERROR(_xll.BDP(TICKER,"DEEP_MEASURE_PERIOD_BROKER_VALUE","DEEP_MEASURE_ID_OVERRIDE",$C185,"DEEP_BROKER_ID_OVERRIDE",BO$24,"DEEP_PERIOD_OVERRIDE",$H$19)*1,"")))</f>
        <v/>
      </c>
      <c r="BP185" t="str">
        <f>IF(OR(BP$23="",ISNA($B185)),"",IF(ISBLANK($B185),"",IFERROR(_xll.BDP(TICKER,"DEEP_MEASURE_PERIOD_BROKER_VALUE","DEEP_MEASURE_ID_OVERRIDE",$C185,"DEEP_BROKER_ID_OVERRIDE",BP$24,"DEEP_PERIOD_OVERRIDE",$H$19)*1,"")))</f>
        <v/>
      </c>
      <c r="BQ185" t="str">
        <f>IF(OR(BQ$23="",ISNA($B185)),"",IF(ISBLANK($B185),"",IFERROR(_xll.BDP(TICKER,"DEEP_MEASURE_PERIOD_BROKER_VALUE","DEEP_MEASURE_ID_OVERRIDE",$C185,"DEEP_BROKER_ID_OVERRIDE",BQ$24,"DEEP_PERIOD_OVERRIDE",$H$19)*1,"")))</f>
        <v/>
      </c>
      <c r="BR185" t="str">
        <f>IF(OR(BR$23="",ISNA($B185)),"",IF(ISBLANK($B185),"",IFERROR(_xll.BDP(TICKER,"DEEP_MEASURE_PERIOD_BROKER_VALUE","DEEP_MEASURE_ID_OVERRIDE",$C185,"DEEP_BROKER_ID_OVERRIDE",BR$24,"DEEP_PERIOD_OVERRIDE",$H$19)*1,"")))</f>
        <v/>
      </c>
      <c r="BS185" t="str">
        <f>IF(OR(BS$23="",ISNA($B185)),"",IF(ISBLANK($B185),"",IFERROR(_xll.BDP(TICKER,"DEEP_MEASURE_PERIOD_BROKER_VALUE","DEEP_MEASURE_ID_OVERRIDE",$C185,"DEEP_BROKER_ID_OVERRIDE",BS$24,"DEEP_PERIOD_OVERRIDE",$H$19)*1,"")))</f>
        <v/>
      </c>
      <c r="BT185" t="str">
        <f>IF(OR(BT$23="",ISNA($B185)),"",IF(ISBLANK($B185),"",IFERROR(_xll.BDP(TICKER,"DEEP_MEASURE_PERIOD_BROKER_VALUE","DEEP_MEASURE_ID_OVERRIDE",$C185,"DEEP_BROKER_ID_OVERRIDE",BT$24,"DEEP_PERIOD_OVERRIDE",$H$19)*1,"")))</f>
        <v/>
      </c>
      <c r="BU185" t="str">
        <f>IF(OR(BU$23="",ISNA($B185)),"",IF(ISBLANK($B185),"",IFERROR(_xll.BDP(TICKER,"DEEP_MEASURE_PERIOD_BROKER_VALUE","DEEP_MEASURE_ID_OVERRIDE",$C185,"DEEP_BROKER_ID_OVERRIDE",BU$24,"DEEP_PERIOD_OVERRIDE",$H$19)*1,"")))</f>
        <v/>
      </c>
      <c r="BV185" t="str">
        <f>IF(OR(BV$23="",ISNA($B185)),"",IF(ISBLANK($B185),"",IFERROR(_xll.BDP(TICKER,"DEEP_MEASURE_PERIOD_BROKER_VALUE","DEEP_MEASURE_ID_OVERRIDE",$C185,"DEEP_BROKER_ID_OVERRIDE",BV$24,"DEEP_PERIOD_OVERRIDE",$H$19)*1,"")))</f>
        <v/>
      </c>
      <c r="BW185" t="str">
        <f>IF(OR(BW$23="",ISNA($B185)),"",IF(ISBLANK($B185),"",IFERROR(_xll.BDP(TICKER,"DEEP_MEASURE_PERIOD_BROKER_VALUE","DEEP_MEASURE_ID_OVERRIDE",$C185,"DEEP_BROKER_ID_OVERRIDE",BW$24,"DEEP_PERIOD_OVERRIDE",$H$19)*1,"")))</f>
        <v/>
      </c>
      <c r="BX185" t="str">
        <f>IF(OR(BX$23="",ISNA($B185)),"",IF(ISBLANK($B185),"",IFERROR(_xll.BDP(TICKER,"DEEP_MEASURE_PERIOD_BROKER_VALUE","DEEP_MEASURE_ID_OVERRIDE",$C185,"DEEP_BROKER_ID_OVERRIDE",BX$24,"DEEP_PERIOD_OVERRIDE",$H$19)*1,"")))</f>
        <v/>
      </c>
      <c r="BY185" t="str">
        <f>IF(OR(BY$23="",ISNA($B185)),"",IF(ISBLANK($B185),"",IFERROR(_xll.BDP(TICKER,"DEEP_MEASURE_PERIOD_BROKER_VALUE","DEEP_MEASURE_ID_OVERRIDE",$C185,"DEEP_BROKER_ID_OVERRIDE",BY$24,"DEEP_PERIOD_OVERRIDE",$H$19)*1,"")))</f>
        <v/>
      </c>
      <c r="BZ185" t="str">
        <f>IF(OR(BZ$23="",ISNA($B185)),"",IF(ISBLANK($B185),"",IFERROR(_xll.BDP(TICKER,"DEEP_MEASURE_PERIOD_BROKER_VALUE","DEEP_MEASURE_ID_OVERRIDE",$C185,"DEEP_BROKER_ID_OVERRIDE",BZ$24,"DEEP_PERIOD_OVERRIDE",$H$19)*1,"")))</f>
        <v/>
      </c>
    </row>
    <row r="186" spans="2:78" x14ac:dyDescent="0.25">
      <c r="B186" t="s">
        <v>58</v>
      </c>
      <c r="C186">
        <v>5888</v>
      </c>
      <c r="H186" t="str">
        <f t="shared" si="3"/>
        <v>Liabilities &amp; Shareholders' Equity &gt; Shareholder's Equity &gt; Treasury Stock</v>
      </c>
      <c r="I186" t="str">
        <f>IF(OR(I$23="",ISNA($B186)),"",IF(ISBLANK($B186),"",IFERROR(_xll.BDP(TICKER,"DEEP_MEASURE_PERIOD_BROKER_VALUE","DEEP_MEASURE_ID_OVERRIDE",$C186,"DEEP_PERIOD_OVERRIDE",$H$19)*1,"")))</f>
        <v/>
      </c>
      <c r="J186" t="e">
        <f>IF(OR(J$23="",ISNA($B186)),"",IF(ISBLANK($B186),"",IFERROR(_xll.BDP(TICKER,"DEEP_MEASURE_PERIOD_BROKER_VALUE","DEEP_MEASURE_ID_OVERRIDE",$C186,"DEEP_BROKER_ID_OVERRIDE",J$24,"DEEP_PERIOD_OVERRIDE",$H$19)*1,"")))</f>
        <v>#REF!</v>
      </c>
      <c r="K186" t="str">
        <f>IF(OR(K$23="",ISNA($B186)),"",IF(ISBLANK($B186),"",IFERROR(_xll.BDP(TICKER,"DEEP_MEASURE_PERIOD_BROKER_VALUE","DEEP_MEASURE_ID_OVERRIDE",$C186,"DEEP_BROKER_ID_OVERRIDE",K$24,"DEEP_PERIOD_OVERRIDE",$H$19)*1,"")))</f>
        <v/>
      </c>
      <c r="L186" t="str">
        <f>IF(OR(L$23="",ISNA($B186)),"",IF(ISBLANK($B186),"",IFERROR(_xll.BDP(TICKER,"DEEP_MEASURE_PERIOD_BROKER_VALUE","DEEP_MEASURE_ID_OVERRIDE",$C186,"DEEP_BROKER_ID_OVERRIDE",L$24,"DEEP_PERIOD_OVERRIDE",$H$19)*1,"")))</f>
        <v/>
      </c>
      <c r="M186" t="str">
        <f>IF(OR(M$23="",ISNA($B186)),"",IF(ISBLANK($B186),"",IFERROR(_xll.BDP(TICKER,"DEEP_MEASURE_PERIOD_BROKER_VALUE","DEEP_MEASURE_ID_OVERRIDE",$C186,"DEEP_BROKER_ID_OVERRIDE",M$24,"DEEP_PERIOD_OVERRIDE",$H$19)*1,"")))</f>
        <v/>
      </c>
      <c r="N186" t="str">
        <f>IF(OR(N$23="",ISNA($B186)),"",IF(ISBLANK($B186),"",IFERROR(_xll.BDP(TICKER,"DEEP_MEASURE_PERIOD_BROKER_VALUE","DEEP_MEASURE_ID_OVERRIDE",$C186,"DEEP_BROKER_ID_OVERRIDE",N$24,"DEEP_PERIOD_OVERRIDE",$H$19)*1,"")))</f>
        <v/>
      </c>
      <c r="O186" t="str">
        <f>IF(OR(O$23="",ISNA($B186)),"",IF(ISBLANK($B186),"",IFERROR(_xll.BDP(TICKER,"DEEP_MEASURE_PERIOD_BROKER_VALUE","DEEP_MEASURE_ID_OVERRIDE",$C186,"DEEP_BROKER_ID_OVERRIDE",O$24,"DEEP_PERIOD_OVERRIDE",$H$19)*1,"")))</f>
        <v/>
      </c>
      <c r="P186" t="str">
        <f>IF(OR(P$23="",ISNA($B186)),"",IF(ISBLANK($B186),"",IFERROR(_xll.BDP(TICKER,"DEEP_MEASURE_PERIOD_BROKER_VALUE","DEEP_MEASURE_ID_OVERRIDE",$C186,"DEEP_BROKER_ID_OVERRIDE",P$24,"DEEP_PERIOD_OVERRIDE",$H$19)*1,"")))</f>
        <v/>
      </c>
      <c r="Q186" t="str">
        <f>IF(OR(Q$23="",ISNA($B186)),"",IF(ISBLANK($B186),"",IFERROR(_xll.BDP(TICKER,"DEEP_MEASURE_PERIOD_BROKER_VALUE","DEEP_MEASURE_ID_OVERRIDE",$C186,"DEEP_BROKER_ID_OVERRIDE",Q$24,"DEEP_PERIOD_OVERRIDE",$H$19)*1,"")))</f>
        <v/>
      </c>
      <c r="R186" t="str">
        <f>IF(OR(R$23="",ISNA($B186)),"",IF(ISBLANK($B186),"",IFERROR(_xll.BDP(TICKER,"DEEP_MEASURE_PERIOD_BROKER_VALUE","DEEP_MEASURE_ID_OVERRIDE",$C186,"DEEP_BROKER_ID_OVERRIDE",R$24,"DEEP_PERIOD_OVERRIDE",$H$19)*1,"")))</f>
        <v/>
      </c>
      <c r="S186" t="str">
        <f>IF(OR(S$23="",ISNA($B186)),"",IF(ISBLANK($B186),"",IFERROR(_xll.BDP(TICKER,"DEEP_MEASURE_PERIOD_BROKER_VALUE","DEEP_MEASURE_ID_OVERRIDE",$C186,"DEEP_BROKER_ID_OVERRIDE",S$24,"DEEP_PERIOD_OVERRIDE",$H$19)*1,"")))</f>
        <v/>
      </c>
      <c r="T186" t="str">
        <f>IF(OR(T$23="",ISNA($B186)),"",IF(ISBLANK($B186),"",IFERROR(_xll.BDP(TICKER,"DEEP_MEASURE_PERIOD_BROKER_VALUE","DEEP_MEASURE_ID_OVERRIDE",$C186,"DEEP_BROKER_ID_OVERRIDE",T$24,"DEEP_PERIOD_OVERRIDE",$H$19)*1,"")))</f>
        <v/>
      </c>
      <c r="U186" t="str">
        <f>IF(OR(U$23="",ISNA($B186)),"",IF(ISBLANK($B186),"",IFERROR(_xll.BDP(TICKER,"DEEP_MEASURE_PERIOD_BROKER_VALUE","DEEP_MEASURE_ID_OVERRIDE",$C186,"DEEP_BROKER_ID_OVERRIDE",U$24,"DEEP_PERIOD_OVERRIDE",$H$19)*1,"")))</f>
        <v/>
      </c>
      <c r="V186" t="str">
        <f>IF(OR(V$23="",ISNA($B186)),"",IF(ISBLANK($B186),"",IFERROR(_xll.BDP(TICKER,"DEEP_MEASURE_PERIOD_BROKER_VALUE","DEEP_MEASURE_ID_OVERRIDE",$C186,"DEEP_BROKER_ID_OVERRIDE",V$24,"DEEP_PERIOD_OVERRIDE",$H$19)*1,"")))</f>
        <v/>
      </c>
      <c r="W186" t="str">
        <f>IF(OR(W$23="",ISNA($B186)),"",IF(ISBLANK($B186),"",IFERROR(_xll.BDP(TICKER,"DEEP_MEASURE_PERIOD_BROKER_VALUE","DEEP_MEASURE_ID_OVERRIDE",$C186,"DEEP_BROKER_ID_OVERRIDE",W$24,"DEEP_PERIOD_OVERRIDE",$H$19)*1,"")))</f>
        <v/>
      </c>
      <c r="X186" t="str">
        <f>IF(OR(X$23="",ISNA($B186)),"",IF(ISBLANK($B186),"",IFERROR(_xll.BDP(TICKER,"DEEP_MEASURE_PERIOD_BROKER_VALUE","DEEP_MEASURE_ID_OVERRIDE",$C186,"DEEP_BROKER_ID_OVERRIDE",X$24,"DEEP_PERIOD_OVERRIDE",$H$19)*1,"")))</f>
        <v/>
      </c>
      <c r="Y186" t="str">
        <f>IF(OR(Y$23="",ISNA($B186)),"",IF(ISBLANK($B186),"",IFERROR(_xll.BDP(TICKER,"DEEP_MEASURE_PERIOD_BROKER_VALUE","DEEP_MEASURE_ID_OVERRIDE",$C186,"DEEP_BROKER_ID_OVERRIDE",Y$24,"DEEP_PERIOD_OVERRIDE",$H$19)*1,"")))</f>
        <v/>
      </c>
      <c r="Z186" t="str">
        <f>IF(OR(Z$23="",ISNA($B186)),"",IF(ISBLANK($B186),"",IFERROR(_xll.BDP(TICKER,"DEEP_MEASURE_PERIOD_BROKER_VALUE","DEEP_MEASURE_ID_OVERRIDE",$C186,"DEEP_BROKER_ID_OVERRIDE",Z$24,"DEEP_PERIOD_OVERRIDE",$H$19)*1,"")))</f>
        <v/>
      </c>
      <c r="AA186" t="str">
        <f>IF(OR(AA$23="",ISNA($B186)),"",IF(ISBLANK($B186),"",IFERROR(_xll.BDP(TICKER,"DEEP_MEASURE_PERIOD_BROKER_VALUE","DEEP_MEASURE_ID_OVERRIDE",$C186,"DEEP_BROKER_ID_OVERRIDE",AA$24,"DEEP_PERIOD_OVERRIDE",$H$19)*1,"")))</f>
        <v/>
      </c>
      <c r="AB186" t="str">
        <f>IF(OR(AB$23="",ISNA($B186)),"",IF(ISBLANK($B186),"",IFERROR(_xll.BDP(TICKER,"DEEP_MEASURE_PERIOD_BROKER_VALUE","DEEP_MEASURE_ID_OVERRIDE",$C186,"DEEP_BROKER_ID_OVERRIDE",AB$24,"DEEP_PERIOD_OVERRIDE",$H$19)*1,"")))</f>
        <v/>
      </c>
      <c r="AC186" t="str">
        <f>IF(OR(AC$23="",ISNA($B186)),"",IF(ISBLANK($B186),"",IFERROR(_xll.BDP(TICKER,"DEEP_MEASURE_PERIOD_BROKER_VALUE","DEEP_MEASURE_ID_OVERRIDE",$C186,"DEEP_BROKER_ID_OVERRIDE",AC$24,"DEEP_PERIOD_OVERRIDE",$H$19)*1,"")))</f>
        <v/>
      </c>
      <c r="AD186" t="str">
        <f>IF(OR(AD$23="",ISNA($B186)),"",IF(ISBLANK($B186),"",IFERROR(_xll.BDP(TICKER,"DEEP_MEASURE_PERIOD_BROKER_VALUE","DEEP_MEASURE_ID_OVERRIDE",$C186,"DEEP_BROKER_ID_OVERRIDE",AD$24,"DEEP_PERIOD_OVERRIDE",$H$19)*1,"")))</f>
        <v/>
      </c>
      <c r="AE186" t="str">
        <f>IF(OR(AE$23="",ISNA($B186)),"",IF(ISBLANK($B186),"",IFERROR(_xll.BDP(TICKER,"DEEP_MEASURE_PERIOD_BROKER_VALUE","DEEP_MEASURE_ID_OVERRIDE",$C186,"DEEP_BROKER_ID_OVERRIDE",AE$24,"DEEP_PERIOD_OVERRIDE",$H$19)*1,"")))</f>
        <v/>
      </c>
      <c r="AF186" t="str">
        <f>IF(OR(AF$23="",ISNA($B186)),"",IF(ISBLANK($B186),"",IFERROR(_xll.BDP(TICKER,"DEEP_MEASURE_PERIOD_BROKER_VALUE","DEEP_MEASURE_ID_OVERRIDE",$C186,"DEEP_BROKER_ID_OVERRIDE",AF$24,"DEEP_PERIOD_OVERRIDE",$H$19)*1,"")))</f>
        <v/>
      </c>
      <c r="AG186" t="str">
        <f>IF(OR(AG$23="",ISNA($B186)),"",IF(ISBLANK($B186),"",IFERROR(_xll.BDP(TICKER,"DEEP_MEASURE_PERIOD_BROKER_VALUE","DEEP_MEASURE_ID_OVERRIDE",$C186,"DEEP_BROKER_ID_OVERRIDE",AG$24,"DEEP_PERIOD_OVERRIDE",$H$19)*1,"")))</f>
        <v/>
      </c>
      <c r="AH186" t="str">
        <f>IF(OR(AH$23="",ISNA($B186)),"",IF(ISBLANK($B186),"",IFERROR(_xll.BDP(TICKER,"DEEP_MEASURE_PERIOD_BROKER_VALUE","DEEP_MEASURE_ID_OVERRIDE",$C186,"DEEP_BROKER_ID_OVERRIDE",AH$24,"DEEP_PERIOD_OVERRIDE",$H$19)*1,"")))</f>
        <v/>
      </c>
      <c r="AI186" t="str">
        <f>IF(OR(AI$23="",ISNA($B186)),"",IF(ISBLANK($B186),"",IFERROR(_xll.BDP(TICKER,"DEEP_MEASURE_PERIOD_BROKER_VALUE","DEEP_MEASURE_ID_OVERRIDE",$C186,"DEEP_BROKER_ID_OVERRIDE",AI$24,"DEEP_PERIOD_OVERRIDE",$H$19)*1,"")))</f>
        <v/>
      </c>
      <c r="AJ186" t="str">
        <f>IF(OR(AJ$23="",ISNA($B186)),"",IF(ISBLANK($B186),"",IFERROR(_xll.BDP(TICKER,"DEEP_MEASURE_PERIOD_BROKER_VALUE","DEEP_MEASURE_ID_OVERRIDE",$C186,"DEEP_BROKER_ID_OVERRIDE",AJ$24,"DEEP_PERIOD_OVERRIDE",$H$19)*1,"")))</f>
        <v/>
      </c>
      <c r="AK186" t="str">
        <f>IF(OR(AK$23="",ISNA($B186)),"",IF(ISBLANK($B186),"",IFERROR(_xll.BDP(TICKER,"DEEP_MEASURE_PERIOD_BROKER_VALUE","DEEP_MEASURE_ID_OVERRIDE",$C186,"DEEP_BROKER_ID_OVERRIDE",AK$24,"DEEP_PERIOD_OVERRIDE",$H$19)*1,"")))</f>
        <v/>
      </c>
      <c r="AL186" t="str">
        <f>IF(OR(AL$23="",ISNA($B186)),"",IF(ISBLANK($B186),"",IFERROR(_xll.BDP(TICKER,"DEEP_MEASURE_PERIOD_BROKER_VALUE","DEEP_MEASURE_ID_OVERRIDE",$C186,"DEEP_BROKER_ID_OVERRIDE",AL$24,"DEEP_PERIOD_OVERRIDE",$H$19)*1,"")))</f>
        <v/>
      </c>
      <c r="AM186" t="str">
        <f>IF(OR(AM$23="",ISNA($B186)),"",IF(ISBLANK($B186),"",IFERROR(_xll.BDP(TICKER,"DEEP_MEASURE_PERIOD_BROKER_VALUE","DEEP_MEASURE_ID_OVERRIDE",$C186,"DEEP_BROKER_ID_OVERRIDE",AM$24,"DEEP_PERIOD_OVERRIDE",$H$19)*1,"")))</f>
        <v/>
      </c>
      <c r="AN186" t="str">
        <f>IF(OR(AN$23="",ISNA($B186)),"",IF(ISBLANK($B186),"",IFERROR(_xll.BDP(TICKER,"DEEP_MEASURE_PERIOD_BROKER_VALUE","DEEP_MEASURE_ID_OVERRIDE",$C186,"DEEP_BROKER_ID_OVERRIDE",AN$24,"DEEP_PERIOD_OVERRIDE",$H$19)*1,"")))</f>
        <v/>
      </c>
      <c r="AO186" t="str">
        <f>IF(OR(AO$23="",ISNA($B186)),"",IF(ISBLANK($B186),"",IFERROR(_xll.BDP(TICKER,"DEEP_MEASURE_PERIOD_BROKER_VALUE","DEEP_MEASURE_ID_OVERRIDE",$C186,"DEEP_BROKER_ID_OVERRIDE",AO$24,"DEEP_PERIOD_OVERRIDE",$H$19)*1,"")))</f>
        <v/>
      </c>
      <c r="AP186" t="str">
        <f>IF(OR(AP$23="",ISNA($B186)),"",IF(ISBLANK($B186),"",IFERROR(_xll.BDP(TICKER,"DEEP_MEASURE_PERIOD_BROKER_VALUE","DEEP_MEASURE_ID_OVERRIDE",$C186,"DEEP_BROKER_ID_OVERRIDE",AP$24,"DEEP_PERIOD_OVERRIDE",$H$19)*1,"")))</f>
        <v/>
      </c>
      <c r="AQ186" t="str">
        <f>IF(OR(AQ$23="",ISNA($B186)),"",IF(ISBLANK($B186),"",IFERROR(_xll.BDP(TICKER,"DEEP_MEASURE_PERIOD_BROKER_VALUE","DEEP_MEASURE_ID_OVERRIDE",$C186,"DEEP_BROKER_ID_OVERRIDE",AQ$24,"DEEP_PERIOD_OVERRIDE",$H$19)*1,"")))</f>
        <v/>
      </c>
      <c r="AR186" t="str">
        <f>IF(OR(AR$23="",ISNA($B186)),"",IF(ISBLANK($B186),"",IFERROR(_xll.BDP(TICKER,"DEEP_MEASURE_PERIOD_BROKER_VALUE","DEEP_MEASURE_ID_OVERRIDE",$C186,"DEEP_BROKER_ID_OVERRIDE",AR$24,"DEEP_PERIOD_OVERRIDE",$H$19)*1,"")))</f>
        <v/>
      </c>
      <c r="AS186" t="str">
        <f>IF(OR(AS$23="",ISNA($B186)),"",IF(ISBLANK($B186),"",IFERROR(_xll.BDP(TICKER,"DEEP_MEASURE_PERIOD_BROKER_VALUE","DEEP_MEASURE_ID_OVERRIDE",$C186,"DEEP_BROKER_ID_OVERRIDE",AS$24,"DEEP_PERIOD_OVERRIDE",$H$19)*1,"")))</f>
        <v/>
      </c>
      <c r="AT186" t="str">
        <f>IF(OR(AT$23="",ISNA($B186)),"",IF(ISBLANK($B186),"",IFERROR(_xll.BDP(TICKER,"DEEP_MEASURE_PERIOD_BROKER_VALUE","DEEP_MEASURE_ID_OVERRIDE",$C186,"DEEP_BROKER_ID_OVERRIDE",AT$24,"DEEP_PERIOD_OVERRIDE",$H$19)*1,"")))</f>
        <v/>
      </c>
      <c r="AU186" t="str">
        <f>IF(OR(AU$23="",ISNA($B186)),"",IF(ISBLANK($B186),"",IFERROR(_xll.BDP(TICKER,"DEEP_MEASURE_PERIOD_BROKER_VALUE","DEEP_MEASURE_ID_OVERRIDE",$C186,"DEEP_BROKER_ID_OVERRIDE",AU$24,"DEEP_PERIOD_OVERRIDE",$H$19)*1,"")))</f>
        <v/>
      </c>
      <c r="AV186" t="str">
        <f>IF(OR(AV$23="",ISNA($B186)),"",IF(ISBLANK($B186),"",IFERROR(_xll.BDP(TICKER,"DEEP_MEASURE_PERIOD_BROKER_VALUE","DEEP_MEASURE_ID_OVERRIDE",$C186,"DEEP_BROKER_ID_OVERRIDE",AV$24,"DEEP_PERIOD_OVERRIDE",$H$19)*1,"")))</f>
        <v/>
      </c>
      <c r="AW186" t="str">
        <f>IF(OR(AW$23="",ISNA($B186)),"",IF(ISBLANK($B186),"",IFERROR(_xll.BDP(TICKER,"DEEP_MEASURE_PERIOD_BROKER_VALUE","DEEP_MEASURE_ID_OVERRIDE",$C186,"DEEP_BROKER_ID_OVERRIDE",AW$24,"DEEP_PERIOD_OVERRIDE",$H$19)*1,"")))</f>
        <v/>
      </c>
      <c r="AX186" t="str">
        <f>IF(OR(AX$23="",ISNA($B186)),"",IF(ISBLANK($B186),"",IFERROR(_xll.BDP(TICKER,"DEEP_MEASURE_PERIOD_BROKER_VALUE","DEEP_MEASURE_ID_OVERRIDE",$C186,"DEEP_BROKER_ID_OVERRIDE",AX$24,"DEEP_PERIOD_OVERRIDE",$H$19)*1,"")))</f>
        <v/>
      </c>
      <c r="AY186" t="str">
        <f>IF(OR(AY$23="",ISNA($B186)),"",IF(ISBLANK($B186),"",IFERROR(_xll.BDP(TICKER,"DEEP_MEASURE_PERIOD_BROKER_VALUE","DEEP_MEASURE_ID_OVERRIDE",$C186,"DEEP_BROKER_ID_OVERRIDE",AY$24,"DEEP_PERIOD_OVERRIDE",$H$19)*1,"")))</f>
        <v/>
      </c>
      <c r="AZ186" t="str">
        <f>IF(OR(AZ$23="",ISNA($B186)),"",IF(ISBLANK($B186),"",IFERROR(_xll.BDP(TICKER,"DEEP_MEASURE_PERIOD_BROKER_VALUE","DEEP_MEASURE_ID_OVERRIDE",$C186,"DEEP_BROKER_ID_OVERRIDE",AZ$24,"DEEP_PERIOD_OVERRIDE",$H$19)*1,"")))</f>
        <v/>
      </c>
      <c r="BA186" t="str">
        <f>IF(OR(BA$23="",ISNA($B186)),"",IF(ISBLANK($B186),"",IFERROR(_xll.BDP(TICKER,"DEEP_MEASURE_PERIOD_BROKER_VALUE","DEEP_MEASURE_ID_OVERRIDE",$C186,"DEEP_BROKER_ID_OVERRIDE",BA$24,"DEEP_PERIOD_OVERRIDE",$H$19)*1,"")))</f>
        <v/>
      </c>
      <c r="BB186" t="str">
        <f>IF(OR(BB$23="",ISNA($B186)),"",IF(ISBLANK($B186),"",IFERROR(_xll.BDP(TICKER,"DEEP_MEASURE_PERIOD_BROKER_VALUE","DEEP_MEASURE_ID_OVERRIDE",$C186,"DEEP_BROKER_ID_OVERRIDE",BB$24,"DEEP_PERIOD_OVERRIDE",$H$19)*1,"")))</f>
        <v/>
      </c>
      <c r="BC186" t="str">
        <f>IF(OR(BC$23="",ISNA($B186)),"",IF(ISBLANK($B186),"",IFERROR(_xll.BDP(TICKER,"DEEP_MEASURE_PERIOD_BROKER_VALUE","DEEP_MEASURE_ID_OVERRIDE",$C186,"DEEP_BROKER_ID_OVERRIDE",BC$24,"DEEP_PERIOD_OVERRIDE",$H$19)*1,"")))</f>
        <v/>
      </c>
      <c r="BD186" t="str">
        <f>IF(OR(BD$23="",ISNA($B186)),"",IF(ISBLANK($B186),"",IFERROR(_xll.BDP(TICKER,"DEEP_MEASURE_PERIOD_BROKER_VALUE","DEEP_MEASURE_ID_OVERRIDE",$C186,"DEEP_BROKER_ID_OVERRIDE",BD$24,"DEEP_PERIOD_OVERRIDE",$H$19)*1,"")))</f>
        <v/>
      </c>
      <c r="BE186" t="str">
        <f>IF(OR(BE$23="",ISNA($B186)),"",IF(ISBLANK($B186),"",IFERROR(_xll.BDP(TICKER,"DEEP_MEASURE_PERIOD_BROKER_VALUE","DEEP_MEASURE_ID_OVERRIDE",$C186,"DEEP_BROKER_ID_OVERRIDE",BE$24,"DEEP_PERIOD_OVERRIDE",$H$19)*1,"")))</f>
        <v/>
      </c>
      <c r="BF186" t="str">
        <f>IF(OR(BF$23="",ISNA($B186)),"",IF(ISBLANK($B186),"",IFERROR(_xll.BDP(TICKER,"DEEP_MEASURE_PERIOD_BROKER_VALUE","DEEP_MEASURE_ID_OVERRIDE",$C186,"DEEP_BROKER_ID_OVERRIDE",BF$24,"DEEP_PERIOD_OVERRIDE",$H$19)*1,"")))</f>
        <v/>
      </c>
      <c r="BG186" t="str">
        <f>IF(OR(BG$23="",ISNA($B186)),"",IF(ISBLANK($B186),"",IFERROR(_xll.BDP(TICKER,"DEEP_MEASURE_PERIOD_BROKER_VALUE","DEEP_MEASURE_ID_OVERRIDE",$C186,"DEEP_BROKER_ID_OVERRIDE",BG$24,"DEEP_PERIOD_OVERRIDE",$H$19)*1,"")))</f>
        <v/>
      </c>
      <c r="BH186" t="str">
        <f>IF(OR(BH$23="",ISNA($B186)),"",IF(ISBLANK($B186),"",IFERROR(_xll.BDP(TICKER,"DEEP_MEASURE_PERIOD_BROKER_VALUE","DEEP_MEASURE_ID_OVERRIDE",$C186,"DEEP_BROKER_ID_OVERRIDE",BH$24,"DEEP_PERIOD_OVERRIDE",$H$19)*1,"")))</f>
        <v/>
      </c>
      <c r="BI186" t="str">
        <f>IF(OR(BI$23="",ISNA($B186)),"",IF(ISBLANK($B186),"",IFERROR(_xll.BDP(TICKER,"DEEP_MEASURE_PERIOD_BROKER_VALUE","DEEP_MEASURE_ID_OVERRIDE",$C186,"DEEP_BROKER_ID_OVERRIDE",BI$24,"DEEP_PERIOD_OVERRIDE",$H$19)*1,"")))</f>
        <v/>
      </c>
      <c r="BJ186" t="str">
        <f>IF(OR(BJ$23="",ISNA($B186)),"",IF(ISBLANK($B186),"",IFERROR(_xll.BDP(TICKER,"DEEP_MEASURE_PERIOD_BROKER_VALUE","DEEP_MEASURE_ID_OVERRIDE",$C186,"DEEP_BROKER_ID_OVERRIDE",BJ$24,"DEEP_PERIOD_OVERRIDE",$H$19)*1,"")))</f>
        <v/>
      </c>
      <c r="BK186" t="str">
        <f>IF(OR(BK$23="",ISNA($B186)),"",IF(ISBLANK($B186),"",IFERROR(_xll.BDP(TICKER,"DEEP_MEASURE_PERIOD_BROKER_VALUE","DEEP_MEASURE_ID_OVERRIDE",$C186,"DEEP_BROKER_ID_OVERRIDE",BK$24,"DEEP_PERIOD_OVERRIDE",$H$19)*1,"")))</f>
        <v/>
      </c>
      <c r="BL186" t="str">
        <f>IF(OR(BL$23="",ISNA($B186)),"",IF(ISBLANK($B186),"",IFERROR(_xll.BDP(TICKER,"DEEP_MEASURE_PERIOD_BROKER_VALUE","DEEP_MEASURE_ID_OVERRIDE",$C186,"DEEP_BROKER_ID_OVERRIDE",BL$24,"DEEP_PERIOD_OVERRIDE",$H$19)*1,"")))</f>
        <v/>
      </c>
      <c r="BM186" t="str">
        <f>IF(OR(BM$23="",ISNA($B186)),"",IF(ISBLANK($B186),"",IFERROR(_xll.BDP(TICKER,"DEEP_MEASURE_PERIOD_BROKER_VALUE","DEEP_MEASURE_ID_OVERRIDE",$C186,"DEEP_BROKER_ID_OVERRIDE",BM$24,"DEEP_PERIOD_OVERRIDE",$H$19)*1,"")))</f>
        <v/>
      </c>
      <c r="BN186" t="str">
        <f>IF(OR(BN$23="",ISNA($B186)),"",IF(ISBLANK($B186),"",IFERROR(_xll.BDP(TICKER,"DEEP_MEASURE_PERIOD_BROKER_VALUE","DEEP_MEASURE_ID_OVERRIDE",$C186,"DEEP_BROKER_ID_OVERRIDE",BN$24,"DEEP_PERIOD_OVERRIDE",$H$19)*1,"")))</f>
        <v/>
      </c>
      <c r="BO186" t="str">
        <f>IF(OR(BO$23="",ISNA($B186)),"",IF(ISBLANK($B186),"",IFERROR(_xll.BDP(TICKER,"DEEP_MEASURE_PERIOD_BROKER_VALUE","DEEP_MEASURE_ID_OVERRIDE",$C186,"DEEP_BROKER_ID_OVERRIDE",BO$24,"DEEP_PERIOD_OVERRIDE",$H$19)*1,"")))</f>
        <v/>
      </c>
      <c r="BP186" t="str">
        <f>IF(OR(BP$23="",ISNA($B186)),"",IF(ISBLANK($B186),"",IFERROR(_xll.BDP(TICKER,"DEEP_MEASURE_PERIOD_BROKER_VALUE","DEEP_MEASURE_ID_OVERRIDE",$C186,"DEEP_BROKER_ID_OVERRIDE",BP$24,"DEEP_PERIOD_OVERRIDE",$H$19)*1,"")))</f>
        <v/>
      </c>
      <c r="BQ186" t="str">
        <f>IF(OR(BQ$23="",ISNA($B186)),"",IF(ISBLANK($B186),"",IFERROR(_xll.BDP(TICKER,"DEEP_MEASURE_PERIOD_BROKER_VALUE","DEEP_MEASURE_ID_OVERRIDE",$C186,"DEEP_BROKER_ID_OVERRIDE",BQ$24,"DEEP_PERIOD_OVERRIDE",$H$19)*1,"")))</f>
        <v/>
      </c>
      <c r="BR186" t="str">
        <f>IF(OR(BR$23="",ISNA($B186)),"",IF(ISBLANK($B186),"",IFERROR(_xll.BDP(TICKER,"DEEP_MEASURE_PERIOD_BROKER_VALUE","DEEP_MEASURE_ID_OVERRIDE",$C186,"DEEP_BROKER_ID_OVERRIDE",BR$24,"DEEP_PERIOD_OVERRIDE",$H$19)*1,"")))</f>
        <v/>
      </c>
      <c r="BS186" t="str">
        <f>IF(OR(BS$23="",ISNA($B186)),"",IF(ISBLANK($B186),"",IFERROR(_xll.BDP(TICKER,"DEEP_MEASURE_PERIOD_BROKER_VALUE","DEEP_MEASURE_ID_OVERRIDE",$C186,"DEEP_BROKER_ID_OVERRIDE",BS$24,"DEEP_PERIOD_OVERRIDE",$H$19)*1,"")))</f>
        <v/>
      </c>
      <c r="BT186" t="str">
        <f>IF(OR(BT$23="",ISNA($B186)),"",IF(ISBLANK($B186),"",IFERROR(_xll.BDP(TICKER,"DEEP_MEASURE_PERIOD_BROKER_VALUE","DEEP_MEASURE_ID_OVERRIDE",$C186,"DEEP_BROKER_ID_OVERRIDE",BT$24,"DEEP_PERIOD_OVERRIDE",$H$19)*1,"")))</f>
        <v/>
      </c>
      <c r="BU186" t="str">
        <f>IF(OR(BU$23="",ISNA($B186)),"",IF(ISBLANK($B186),"",IFERROR(_xll.BDP(TICKER,"DEEP_MEASURE_PERIOD_BROKER_VALUE","DEEP_MEASURE_ID_OVERRIDE",$C186,"DEEP_BROKER_ID_OVERRIDE",BU$24,"DEEP_PERIOD_OVERRIDE",$H$19)*1,"")))</f>
        <v/>
      </c>
      <c r="BV186" t="str">
        <f>IF(OR(BV$23="",ISNA($B186)),"",IF(ISBLANK($B186),"",IFERROR(_xll.BDP(TICKER,"DEEP_MEASURE_PERIOD_BROKER_VALUE","DEEP_MEASURE_ID_OVERRIDE",$C186,"DEEP_BROKER_ID_OVERRIDE",BV$24,"DEEP_PERIOD_OVERRIDE",$H$19)*1,"")))</f>
        <v/>
      </c>
      <c r="BW186" t="str">
        <f>IF(OR(BW$23="",ISNA($B186)),"",IF(ISBLANK($B186),"",IFERROR(_xll.BDP(TICKER,"DEEP_MEASURE_PERIOD_BROKER_VALUE","DEEP_MEASURE_ID_OVERRIDE",$C186,"DEEP_BROKER_ID_OVERRIDE",BW$24,"DEEP_PERIOD_OVERRIDE",$H$19)*1,"")))</f>
        <v/>
      </c>
      <c r="BX186" t="str">
        <f>IF(OR(BX$23="",ISNA($B186)),"",IF(ISBLANK($B186),"",IFERROR(_xll.BDP(TICKER,"DEEP_MEASURE_PERIOD_BROKER_VALUE","DEEP_MEASURE_ID_OVERRIDE",$C186,"DEEP_BROKER_ID_OVERRIDE",BX$24,"DEEP_PERIOD_OVERRIDE",$H$19)*1,"")))</f>
        <v/>
      </c>
      <c r="BY186" t="str">
        <f>IF(OR(BY$23="",ISNA($B186)),"",IF(ISBLANK($B186),"",IFERROR(_xll.BDP(TICKER,"DEEP_MEASURE_PERIOD_BROKER_VALUE","DEEP_MEASURE_ID_OVERRIDE",$C186,"DEEP_BROKER_ID_OVERRIDE",BY$24,"DEEP_PERIOD_OVERRIDE",$H$19)*1,"")))</f>
        <v/>
      </c>
      <c r="BZ186" t="str">
        <f>IF(OR(BZ$23="",ISNA($B186)),"",IF(ISBLANK($B186),"",IFERROR(_xll.BDP(TICKER,"DEEP_MEASURE_PERIOD_BROKER_VALUE","DEEP_MEASURE_ID_OVERRIDE",$C186,"DEEP_BROKER_ID_OVERRIDE",BZ$24,"DEEP_PERIOD_OVERRIDE",$H$19)*1,"")))</f>
        <v/>
      </c>
    </row>
    <row r="187" spans="2:78" x14ac:dyDescent="0.25">
      <c r="B187" t="s">
        <v>59</v>
      </c>
      <c r="C187">
        <v>5932</v>
      </c>
      <c r="H187" t="str">
        <f t="shared" si="3"/>
        <v>Liabilities &amp; Shareholders' Equity &gt; Shareholder's Equity &gt; Other Equity</v>
      </c>
      <c r="I187" t="str">
        <f>IF(OR(I$23="",ISNA($B187)),"",IF(ISBLANK($B187),"",IFERROR(_xll.BDP(TICKER,"DEEP_MEASURE_PERIOD_BROKER_VALUE","DEEP_MEASURE_ID_OVERRIDE",$C187,"DEEP_PERIOD_OVERRIDE",$H$19)*1,"")))</f>
        <v/>
      </c>
      <c r="J187" t="e">
        <f>IF(OR(J$23="",ISNA($B187)),"",IF(ISBLANK($B187),"",IFERROR(_xll.BDP(TICKER,"DEEP_MEASURE_PERIOD_BROKER_VALUE","DEEP_MEASURE_ID_OVERRIDE",$C187,"DEEP_BROKER_ID_OVERRIDE",J$24,"DEEP_PERIOD_OVERRIDE",$H$19)*1,"")))</f>
        <v>#REF!</v>
      </c>
      <c r="K187" t="str">
        <f>IF(OR(K$23="",ISNA($B187)),"",IF(ISBLANK($B187),"",IFERROR(_xll.BDP(TICKER,"DEEP_MEASURE_PERIOD_BROKER_VALUE","DEEP_MEASURE_ID_OVERRIDE",$C187,"DEEP_BROKER_ID_OVERRIDE",K$24,"DEEP_PERIOD_OVERRIDE",$H$19)*1,"")))</f>
        <v/>
      </c>
      <c r="L187" t="str">
        <f>IF(OR(L$23="",ISNA($B187)),"",IF(ISBLANK($B187),"",IFERROR(_xll.BDP(TICKER,"DEEP_MEASURE_PERIOD_BROKER_VALUE","DEEP_MEASURE_ID_OVERRIDE",$C187,"DEEP_BROKER_ID_OVERRIDE",L$24,"DEEP_PERIOD_OVERRIDE",$H$19)*1,"")))</f>
        <v/>
      </c>
      <c r="M187" t="str">
        <f>IF(OR(M$23="",ISNA($B187)),"",IF(ISBLANK($B187),"",IFERROR(_xll.BDP(TICKER,"DEEP_MEASURE_PERIOD_BROKER_VALUE","DEEP_MEASURE_ID_OVERRIDE",$C187,"DEEP_BROKER_ID_OVERRIDE",M$24,"DEEP_PERIOD_OVERRIDE",$H$19)*1,"")))</f>
        <v/>
      </c>
      <c r="N187" t="str">
        <f>IF(OR(N$23="",ISNA($B187)),"",IF(ISBLANK($B187),"",IFERROR(_xll.BDP(TICKER,"DEEP_MEASURE_PERIOD_BROKER_VALUE","DEEP_MEASURE_ID_OVERRIDE",$C187,"DEEP_BROKER_ID_OVERRIDE",N$24,"DEEP_PERIOD_OVERRIDE",$H$19)*1,"")))</f>
        <v/>
      </c>
      <c r="O187" t="str">
        <f>IF(OR(O$23="",ISNA($B187)),"",IF(ISBLANK($B187),"",IFERROR(_xll.BDP(TICKER,"DEEP_MEASURE_PERIOD_BROKER_VALUE","DEEP_MEASURE_ID_OVERRIDE",$C187,"DEEP_BROKER_ID_OVERRIDE",O$24,"DEEP_PERIOD_OVERRIDE",$H$19)*1,"")))</f>
        <v/>
      </c>
      <c r="P187" t="str">
        <f>IF(OR(P$23="",ISNA($B187)),"",IF(ISBLANK($B187),"",IFERROR(_xll.BDP(TICKER,"DEEP_MEASURE_PERIOD_BROKER_VALUE","DEEP_MEASURE_ID_OVERRIDE",$C187,"DEEP_BROKER_ID_OVERRIDE",P$24,"DEEP_PERIOD_OVERRIDE",$H$19)*1,"")))</f>
        <v/>
      </c>
      <c r="Q187" t="str">
        <f>IF(OR(Q$23="",ISNA($B187)),"",IF(ISBLANK($B187),"",IFERROR(_xll.BDP(TICKER,"DEEP_MEASURE_PERIOD_BROKER_VALUE","DEEP_MEASURE_ID_OVERRIDE",$C187,"DEEP_BROKER_ID_OVERRIDE",Q$24,"DEEP_PERIOD_OVERRIDE",$H$19)*1,"")))</f>
        <v/>
      </c>
      <c r="R187" t="str">
        <f>IF(OR(R$23="",ISNA($B187)),"",IF(ISBLANK($B187),"",IFERROR(_xll.BDP(TICKER,"DEEP_MEASURE_PERIOD_BROKER_VALUE","DEEP_MEASURE_ID_OVERRIDE",$C187,"DEEP_BROKER_ID_OVERRIDE",R$24,"DEEP_PERIOD_OVERRIDE",$H$19)*1,"")))</f>
        <v/>
      </c>
      <c r="S187" t="str">
        <f>IF(OR(S$23="",ISNA($B187)),"",IF(ISBLANK($B187),"",IFERROR(_xll.BDP(TICKER,"DEEP_MEASURE_PERIOD_BROKER_VALUE","DEEP_MEASURE_ID_OVERRIDE",$C187,"DEEP_BROKER_ID_OVERRIDE",S$24,"DEEP_PERIOD_OVERRIDE",$H$19)*1,"")))</f>
        <v/>
      </c>
      <c r="T187" t="str">
        <f>IF(OR(T$23="",ISNA($B187)),"",IF(ISBLANK($B187),"",IFERROR(_xll.BDP(TICKER,"DEEP_MEASURE_PERIOD_BROKER_VALUE","DEEP_MEASURE_ID_OVERRIDE",$C187,"DEEP_BROKER_ID_OVERRIDE",T$24,"DEEP_PERIOD_OVERRIDE",$H$19)*1,"")))</f>
        <v/>
      </c>
      <c r="U187" t="str">
        <f>IF(OR(U$23="",ISNA($B187)),"",IF(ISBLANK($B187),"",IFERROR(_xll.BDP(TICKER,"DEEP_MEASURE_PERIOD_BROKER_VALUE","DEEP_MEASURE_ID_OVERRIDE",$C187,"DEEP_BROKER_ID_OVERRIDE",U$24,"DEEP_PERIOD_OVERRIDE",$H$19)*1,"")))</f>
        <v/>
      </c>
      <c r="V187" t="str">
        <f>IF(OR(V$23="",ISNA($B187)),"",IF(ISBLANK($B187),"",IFERROR(_xll.BDP(TICKER,"DEEP_MEASURE_PERIOD_BROKER_VALUE","DEEP_MEASURE_ID_OVERRIDE",$C187,"DEEP_BROKER_ID_OVERRIDE",V$24,"DEEP_PERIOD_OVERRIDE",$H$19)*1,"")))</f>
        <v/>
      </c>
      <c r="W187" t="str">
        <f>IF(OR(W$23="",ISNA($B187)),"",IF(ISBLANK($B187),"",IFERROR(_xll.BDP(TICKER,"DEEP_MEASURE_PERIOD_BROKER_VALUE","DEEP_MEASURE_ID_OVERRIDE",$C187,"DEEP_BROKER_ID_OVERRIDE",W$24,"DEEP_PERIOD_OVERRIDE",$H$19)*1,"")))</f>
        <v/>
      </c>
      <c r="X187" t="str">
        <f>IF(OR(X$23="",ISNA($B187)),"",IF(ISBLANK($B187),"",IFERROR(_xll.BDP(TICKER,"DEEP_MEASURE_PERIOD_BROKER_VALUE","DEEP_MEASURE_ID_OVERRIDE",$C187,"DEEP_BROKER_ID_OVERRIDE",X$24,"DEEP_PERIOD_OVERRIDE",$H$19)*1,"")))</f>
        <v/>
      </c>
      <c r="Y187" t="str">
        <f>IF(OR(Y$23="",ISNA($B187)),"",IF(ISBLANK($B187),"",IFERROR(_xll.BDP(TICKER,"DEEP_MEASURE_PERIOD_BROKER_VALUE","DEEP_MEASURE_ID_OVERRIDE",$C187,"DEEP_BROKER_ID_OVERRIDE",Y$24,"DEEP_PERIOD_OVERRIDE",$H$19)*1,"")))</f>
        <v/>
      </c>
      <c r="Z187" t="str">
        <f>IF(OR(Z$23="",ISNA($B187)),"",IF(ISBLANK($B187),"",IFERROR(_xll.BDP(TICKER,"DEEP_MEASURE_PERIOD_BROKER_VALUE","DEEP_MEASURE_ID_OVERRIDE",$C187,"DEEP_BROKER_ID_OVERRIDE",Z$24,"DEEP_PERIOD_OVERRIDE",$H$19)*1,"")))</f>
        <v/>
      </c>
      <c r="AA187" t="str">
        <f>IF(OR(AA$23="",ISNA($B187)),"",IF(ISBLANK($B187),"",IFERROR(_xll.BDP(TICKER,"DEEP_MEASURE_PERIOD_BROKER_VALUE","DEEP_MEASURE_ID_OVERRIDE",$C187,"DEEP_BROKER_ID_OVERRIDE",AA$24,"DEEP_PERIOD_OVERRIDE",$H$19)*1,"")))</f>
        <v/>
      </c>
      <c r="AB187" t="str">
        <f>IF(OR(AB$23="",ISNA($B187)),"",IF(ISBLANK($B187),"",IFERROR(_xll.BDP(TICKER,"DEEP_MEASURE_PERIOD_BROKER_VALUE","DEEP_MEASURE_ID_OVERRIDE",$C187,"DEEP_BROKER_ID_OVERRIDE",AB$24,"DEEP_PERIOD_OVERRIDE",$H$19)*1,"")))</f>
        <v/>
      </c>
      <c r="AC187" t="str">
        <f>IF(OR(AC$23="",ISNA($B187)),"",IF(ISBLANK($B187),"",IFERROR(_xll.BDP(TICKER,"DEEP_MEASURE_PERIOD_BROKER_VALUE","DEEP_MEASURE_ID_OVERRIDE",$C187,"DEEP_BROKER_ID_OVERRIDE",AC$24,"DEEP_PERIOD_OVERRIDE",$H$19)*1,"")))</f>
        <v/>
      </c>
      <c r="AD187" t="str">
        <f>IF(OR(AD$23="",ISNA($B187)),"",IF(ISBLANK($B187),"",IFERROR(_xll.BDP(TICKER,"DEEP_MEASURE_PERIOD_BROKER_VALUE","DEEP_MEASURE_ID_OVERRIDE",$C187,"DEEP_BROKER_ID_OVERRIDE",AD$24,"DEEP_PERIOD_OVERRIDE",$H$19)*1,"")))</f>
        <v/>
      </c>
      <c r="AE187" t="str">
        <f>IF(OR(AE$23="",ISNA($B187)),"",IF(ISBLANK($B187),"",IFERROR(_xll.BDP(TICKER,"DEEP_MEASURE_PERIOD_BROKER_VALUE","DEEP_MEASURE_ID_OVERRIDE",$C187,"DEEP_BROKER_ID_OVERRIDE",AE$24,"DEEP_PERIOD_OVERRIDE",$H$19)*1,"")))</f>
        <v/>
      </c>
      <c r="AF187" t="str">
        <f>IF(OR(AF$23="",ISNA($B187)),"",IF(ISBLANK($B187),"",IFERROR(_xll.BDP(TICKER,"DEEP_MEASURE_PERIOD_BROKER_VALUE","DEEP_MEASURE_ID_OVERRIDE",$C187,"DEEP_BROKER_ID_OVERRIDE",AF$24,"DEEP_PERIOD_OVERRIDE",$H$19)*1,"")))</f>
        <v/>
      </c>
      <c r="AG187" t="str">
        <f>IF(OR(AG$23="",ISNA($B187)),"",IF(ISBLANK($B187),"",IFERROR(_xll.BDP(TICKER,"DEEP_MEASURE_PERIOD_BROKER_VALUE","DEEP_MEASURE_ID_OVERRIDE",$C187,"DEEP_BROKER_ID_OVERRIDE",AG$24,"DEEP_PERIOD_OVERRIDE",$H$19)*1,"")))</f>
        <v/>
      </c>
      <c r="AH187" t="str">
        <f>IF(OR(AH$23="",ISNA($B187)),"",IF(ISBLANK($B187),"",IFERROR(_xll.BDP(TICKER,"DEEP_MEASURE_PERIOD_BROKER_VALUE","DEEP_MEASURE_ID_OVERRIDE",$C187,"DEEP_BROKER_ID_OVERRIDE",AH$24,"DEEP_PERIOD_OVERRIDE",$H$19)*1,"")))</f>
        <v/>
      </c>
      <c r="AI187" t="str">
        <f>IF(OR(AI$23="",ISNA($B187)),"",IF(ISBLANK($B187),"",IFERROR(_xll.BDP(TICKER,"DEEP_MEASURE_PERIOD_BROKER_VALUE","DEEP_MEASURE_ID_OVERRIDE",$C187,"DEEP_BROKER_ID_OVERRIDE",AI$24,"DEEP_PERIOD_OVERRIDE",$H$19)*1,"")))</f>
        <v/>
      </c>
      <c r="AJ187" t="str">
        <f>IF(OR(AJ$23="",ISNA($B187)),"",IF(ISBLANK($B187),"",IFERROR(_xll.BDP(TICKER,"DEEP_MEASURE_PERIOD_BROKER_VALUE","DEEP_MEASURE_ID_OVERRIDE",$C187,"DEEP_BROKER_ID_OVERRIDE",AJ$24,"DEEP_PERIOD_OVERRIDE",$H$19)*1,"")))</f>
        <v/>
      </c>
      <c r="AK187" t="str">
        <f>IF(OR(AK$23="",ISNA($B187)),"",IF(ISBLANK($B187),"",IFERROR(_xll.BDP(TICKER,"DEEP_MEASURE_PERIOD_BROKER_VALUE","DEEP_MEASURE_ID_OVERRIDE",$C187,"DEEP_BROKER_ID_OVERRIDE",AK$24,"DEEP_PERIOD_OVERRIDE",$H$19)*1,"")))</f>
        <v/>
      </c>
      <c r="AL187" t="str">
        <f>IF(OR(AL$23="",ISNA($B187)),"",IF(ISBLANK($B187),"",IFERROR(_xll.BDP(TICKER,"DEEP_MEASURE_PERIOD_BROKER_VALUE","DEEP_MEASURE_ID_OVERRIDE",$C187,"DEEP_BROKER_ID_OVERRIDE",AL$24,"DEEP_PERIOD_OVERRIDE",$H$19)*1,"")))</f>
        <v/>
      </c>
      <c r="AM187" t="str">
        <f>IF(OR(AM$23="",ISNA($B187)),"",IF(ISBLANK($B187),"",IFERROR(_xll.BDP(TICKER,"DEEP_MEASURE_PERIOD_BROKER_VALUE","DEEP_MEASURE_ID_OVERRIDE",$C187,"DEEP_BROKER_ID_OVERRIDE",AM$24,"DEEP_PERIOD_OVERRIDE",$H$19)*1,"")))</f>
        <v/>
      </c>
      <c r="AN187" t="str">
        <f>IF(OR(AN$23="",ISNA($B187)),"",IF(ISBLANK($B187),"",IFERROR(_xll.BDP(TICKER,"DEEP_MEASURE_PERIOD_BROKER_VALUE","DEEP_MEASURE_ID_OVERRIDE",$C187,"DEEP_BROKER_ID_OVERRIDE",AN$24,"DEEP_PERIOD_OVERRIDE",$H$19)*1,"")))</f>
        <v/>
      </c>
      <c r="AO187" t="str">
        <f>IF(OR(AO$23="",ISNA($B187)),"",IF(ISBLANK($B187),"",IFERROR(_xll.BDP(TICKER,"DEEP_MEASURE_PERIOD_BROKER_VALUE","DEEP_MEASURE_ID_OVERRIDE",$C187,"DEEP_BROKER_ID_OVERRIDE",AO$24,"DEEP_PERIOD_OVERRIDE",$H$19)*1,"")))</f>
        <v/>
      </c>
      <c r="AP187" t="str">
        <f>IF(OR(AP$23="",ISNA($B187)),"",IF(ISBLANK($B187),"",IFERROR(_xll.BDP(TICKER,"DEEP_MEASURE_PERIOD_BROKER_VALUE","DEEP_MEASURE_ID_OVERRIDE",$C187,"DEEP_BROKER_ID_OVERRIDE",AP$24,"DEEP_PERIOD_OVERRIDE",$H$19)*1,"")))</f>
        <v/>
      </c>
      <c r="AQ187" t="str">
        <f>IF(OR(AQ$23="",ISNA($B187)),"",IF(ISBLANK($B187),"",IFERROR(_xll.BDP(TICKER,"DEEP_MEASURE_PERIOD_BROKER_VALUE","DEEP_MEASURE_ID_OVERRIDE",$C187,"DEEP_BROKER_ID_OVERRIDE",AQ$24,"DEEP_PERIOD_OVERRIDE",$H$19)*1,"")))</f>
        <v/>
      </c>
      <c r="AR187" t="str">
        <f>IF(OR(AR$23="",ISNA($B187)),"",IF(ISBLANK($B187),"",IFERROR(_xll.BDP(TICKER,"DEEP_MEASURE_PERIOD_BROKER_VALUE","DEEP_MEASURE_ID_OVERRIDE",$C187,"DEEP_BROKER_ID_OVERRIDE",AR$24,"DEEP_PERIOD_OVERRIDE",$H$19)*1,"")))</f>
        <v/>
      </c>
      <c r="AS187" t="str">
        <f>IF(OR(AS$23="",ISNA($B187)),"",IF(ISBLANK($B187),"",IFERROR(_xll.BDP(TICKER,"DEEP_MEASURE_PERIOD_BROKER_VALUE","DEEP_MEASURE_ID_OVERRIDE",$C187,"DEEP_BROKER_ID_OVERRIDE",AS$24,"DEEP_PERIOD_OVERRIDE",$H$19)*1,"")))</f>
        <v/>
      </c>
      <c r="AT187" t="str">
        <f>IF(OR(AT$23="",ISNA($B187)),"",IF(ISBLANK($B187),"",IFERROR(_xll.BDP(TICKER,"DEEP_MEASURE_PERIOD_BROKER_VALUE","DEEP_MEASURE_ID_OVERRIDE",$C187,"DEEP_BROKER_ID_OVERRIDE",AT$24,"DEEP_PERIOD_OVERRIDE",$H$19)*1,"")))</f>
        <v/>
      </c>
      <c r="AU187" t="str">
        <f>IF(OR(AU$23="",ISNA($B187)),"",IF(ISBLANK($B187),"",IFERROR(_xll.BDP(TICKER,"DEEP_MEASURE_PERIOD_BROKER_VALUE","DEEP_MEASURE_ID_OVERRIDE",$C187,"DEEP_BROKER_ID_OVERRIDE",AU$24,"DEEP_PERIOD_OVERRIDE",$H$19)*1,"")))</f>
        <v/>
      </c>
      <c r="AV187" t="str">
        <f>IF(OR(AV$23="",ISNA($B187)),"",IF(ISBLANK($B187),"",IFERROR(_xll.BDP(TICKER,"DEEP_MEASURE_PERIOD_BROKER_VALUE","DEEP_MEASURE_ID_OVERRIDE",$C187,"DEEP_BROKER_ID_OVERRIDE",AV$24,"DEEP_PERIOD_OVERRIDE",$H$19)*1,"")))</f>
        <v/>
      </c>
      <c r="AW187" t="str">
        <f>IF(OR(AW$23="",ISNA($B187)),"",IF(ISBLANK($B187),"",IFERROR(_xll.BDP(TICKER,"DEEP_MEASURE_PERIOD_BROKER_VALUE","DEEP_MEASURE_ID_OVERRIDE",$C187,"DEEP_BROKER_ID_OVERRIDE",AW$24,"DEEP_PERIOD_OVERRIDE",$H$19)*1,"")))</f>
        <v/>
      </c>
      <c r="AX187" t="str">
        <f>IF(OR(AX$23="",ISNA($B187)),"",IF(ISBLANK($B187),"",IFERROR(_xll.BDP(TICKER,"DEEP_MEASURE_PERIOD_BROKER_VALUE","DEEP_MEASURE_ID_OVERRIDE",$C187,"DEEP_BROKER_ID_OVERRIDE",AX$24,"DEEP_PERIOD_OVERRIDE",$H$19)*1,"")))</f>
        <v/>
      </c>
      <c r="AY187" t="str">
        <f>IF(OR(AY$23="",ISNA($B187)),"",IF(ISBLANK($B187),"",IFERROR(_xll.BDP(TICKER,"DEEP_MEASURE_PERIOD_BROKER_VALUE","DEEP_MEASURE_ID_OVERRIDE",$C187,"DEEP_BROKER_ID_OVERRIDE",AY$24,"DEEP_PERIOD_OVERRIDE",$H$19)*1,"")))</f>
        <v/>
      </c>
      <c r="AZ187" t="str">
        <f>IF(OR(AZ$23="",ISNA($B187)),"",IF(ISBLANK($B187),"",IFERROR(_xll.BDP(TICKER,"DEEP_MEASURE_PERIOD_BROKER_VALUE","DEEP_MEASURE_ID_OVERRIDE",$C187,"DEEP_BROKER_ID_OVERRIDE",AZ$24,"DEEP_PERIOD_OVERRIDE",$H$19)*1,"")))</f>
        <v/>
      </c>
      <c r="BA187" t="str">
        <f>IF(OR(BA$23="",ISNA($B187)),"",IF(ISBLANK($B187),"",IFERROR(_xll.BDP(TICKER,"DEEP_MEASURE_PERIOD_BROKER_VALUE","DEEP_MEASURE_ID_OVERRIDE",$C187,"DEEP_BROKER_ID_OVERRIDE",BA$24,"DEEP_PERIOD_OVERRIDE",$H$19)*1,"")))</f>
        <v/>
      </c>
      <c r="BB187" t="str">
        <f>IF(OR(BB$23="",ISNA($B187)),"",IF(ISBLANK($B187),"",IFERROR(_xll.BDP(TICKER,"DEEP_MEASURE_PERIOD_BROKER_VALUE","DEEP_MEASURE_ID_OVERRIDE",$C187,"DEEP_BROKER_ID_OVERRIDE",BB$24,"DEEP_PERIOD_OVERRIDE",$H$19)*1,"")))</f>
        <v/>
      </c>
      <c r="BC187" t="str">
        <f>IF(OR(BC$23="",ISNA($B187)),"",IF(ISBLANK($B187),"",IFERROR(_xll.BDP(TICKER,"DEEP_MEASURE_PERIOD_BROKER_VALUE","DEEP_MEASURE_ID_OVERRIDE",$C187,"DEEP_BROKER_ID_OVERRIDE",BC$24,"DEEP_PERIOD_OVERRIDE",$H$19)*1,"")))</f>
        <v/>
      </c>
      <c r="BD187" t="str">
        <f>IF(OR(BD$23="",ISNA($B187)),"",IF(ISBLANK($B187),"",IFERROR(_xll.BDP(TICKER,"DEEP_MEASURE_PERIOD_BROKER_VALUE","DEEP_MEASURE_ID_OVERRIDE",$C187,"DEEP_BROKER_ID_OVERRIDE",BD$24,"DEEP_PERIOD_OVERRIDE",$H$19)*1,"")))</f>
        <v/>
      </c>
      <c r="BE187" t="str">
        <f>IF(OR(BE$23="",ISNA($B187)),"",IF(ISBLANK($B187),"",IFERROR(_xll.BDP(TICKER,"DEEP_MEASURE_PERIOD_BROKER_VALUE","DEEP_MEASURE_ID_OVERRIDE",$C187,"DEEP_BROKER_ID_OVERRIDE",BE$24,"DEEP_PERIOD_OVERRIDE",$H$19)*1,"")))</f>
        <v/>
      </c>
      <c r="BF187" t="str">
        <f>IF(OR(BF$23="",ISNA($B187)),"",IF(ISBLANK($B187),"",IFERROR(_xll.BDP(TICKER,"DEEP_MEASURE_PERIOD_BROKER_VALUE","DEEP_MEASURE_ID_OVERRIDE",$C187,"DEEP_BROKER_ID_OVERRIDE",BF$24,"DEEP_PERIOD_OVERRIDE",$H$19)*1,"")))</f>
        <v/>
      </c>
      <c r="BG187" t="str">
        <f>IF(OR(BG$23="",ISNA($B187)),"",IF(ISBLANK($B187),"",IFERROR(_xll.BDP(TICKER,"DEEP_MEASURE_PERIOD_BROKER_VALUE","DEEP_MEASURE_ID_OVERRIDE",$C187,"DEEP_BROKER_ID_OVERRIDE",BG$24,"DEEP_PERIOD_OVERRIDE",$H$19)*1,"")))</f>
        <v/>
      </c>
      <c r="BH187" t="str">
        <f>IF(OR(BH$23="",ISNA($B187)),"",IF(ISBLANK($B187),"",IFERROR(_xll.BDP(TICKER,"DEEP_MEASURE_PERIOD_BROKER_VALUE","DEEP_MEASURE_ID_OVERRIDE",$C187,"DEEP_BROKER_ID_OVERRIDE",BH$24,"DEEP_PERIOD_OVERRIDE",$H$19)*1,"")))</f>
        <v/>
      </c>
      <c r="BI187" t="str">
        <f>IF(OR(BI$23="",ISNA($B187)),"",IF(ISBLANK($B187),"",IFERROR(_xll.BDP(TICKER,"DEEP_MEASURE_PERIOD_BROKER_VALUE","DEEP_MEASURE_ID_OVERRIDE",$C187,"DEEP_BROKER_ID_OVERRIDE",BI$24,"DEEP_PERIOD_OVERRIDE",$H$19)*1,"")))</f>
        <v/>
      </c>
      <c r="BJ187" t="str">
        <f>IF(OR(BJ$23="",ISNA($B187)),"",IF(ISBLANK($B187),"",IFERROR(_xll.BDP(TICKER,"DEEP_MEASURE_PERIOD_BROKER_VALUE","DEEP_MEASURE_ID_OVERRIDE",$C187,"DEEP_BROKER_ID_OVERRIDE",BJ$24,"DEEP_PERIOD_OVERRIDE",$H$19)*1,"")))</f>
        <v/>
      </c>
      <c r="BK187" t="str">
        <f>IF(OR(BK$23="",ISNA($B187)),"",IF(ISBLANK($B187),"",IFERROR(_xll.BDP(TICKER,"DEEP_MEASURE_PERIOD_BROKER_VALUE","DEEP_MEASURE_ID_OVERRIDE",$C187,"DEEP_BROKER_ID_OVERRIDE",BK$24,"DEEP_PERIOD_OVERRIDE",$H$19)*1,"")))</f>
        <v/>
      </c>
      <c r="BL187" t="str">
        <f>IF(OR(BL$23="",ISNA($B187)),"",IF(ISBLANK($B187),"",IFERROR(_xll.BDP(TICKER,"DEEP_MEASURE_PERIOD_BROKER_VALUE","DEEP_MEASURE_ID_OVERRIDE",$C187,"DEEP_BROKER_ID_OVERRIDE",BL$24,"DEEP_PERIOD_OVERRIDE",$H$19)*1,"")))</f>
        <v/>
      </c>
      <c r="BM187" t="str">
        <f>IF(OR(BM$23="",ISNA($B187)),"",IF(ISBLANK($B187),"",IFERROR(_xll.BDP(TICKER,"DEEP_MEASURE_PERIOD_BROKER_VALUE","DEEP_MEASURE_ID_OVERRIDE",$C187,"DEEP_BROKER_ID_OVERRIDE",BM$24,"DEEP_PERIOD_OVERRIDE",$H$19)*1,"")))</f>
        <v/>
      </c>
      <c r="BN187" t="str">
        <f>IF(OR(BN$23="",ISNA($B187)),"",IF(ISBLANK($B187),"",IFERROR(_xll.BDP(TICKER,"DEEP_MEASURE_PERIOD_BROKER_VALUE","DEEP_MEASURE_ID_OVERRIDE",$C187,"DEEP_BROKER_ID_OVERRIDE",BN$24,"DEEP_PERIOD_OVERRIDE",$H$19)*1,"")))</f>
        <v/>
      </c>
      <c r="BO187" t="str">
        <f>IF(OR(BO$23="",ISNA($B187)),"",IF(ISBLANK($B187),"",IFERROR(_xll.BDP(TICKER,"DEEP_MEASURE_PERIOD_BROKER_VALUE","DEEP_MEASURE_ID_OVERRIDE",$C187,"DEEP_BROKER_ID_OVERRIDE",BO$24,"DEEP_PERIOD_OVERRIDE",$H$19)*1,"")))</f>
        <v/>
      </c>
      <c r="BP187" t="str">
        <f>IF(OR(BP$23="",ISNA($B187)),"",IF(ISBLANK($B187),"",IFERROR(_xll.BDP(TICKER,"DEEP_MEASURE_PERIOD_BROKER_VALUE","DEEP_MEASURE_ID_OVERRIDE",$C187,"DEEP_BROKER_ID_OVERRIDE",BP$24,"DEEP_PERIOD_OVERRIDE",$H$19)*1,"")))</f>
        <v/>
      </c>
      <c r="BQ187" t="str">
        <f>IF(OR(BQ$23="",ISNA($B187)),"",IF(ISBLANK($B187),"",IFERROR(_xll.BDP(TICKER,"DEEP_MEASURE_PERIOD_BROKER_VALUE","DEEP_MEASURE_ID_OVERRIDE",$C187,"DEEP_BROKER_ID_OVERRIDE",BQ$24,"DEEP_PERIOD_OVERRIDE",$H$19)*1,"")))</f>
        <v/>
      </c>
      <c r="BR187" t="str">
        <f>IF(OR(BR$23="",ISNA($B187)),"",IF(ISBLANK($B187),"",IFERROR(_xll.BDP(TICKER,"DEEP_MEASURE_PERIOD_BROKER_VALUE","DEEP_MEASURE_ID_OVERRIDE",$C187,"DEEP_BROKER_ID_OVERRIDE",BR$24,"DEEP_PERIOD_OVERRIDE",$H$19)*1,"")))</f>
        <v/>
      </c>
      <c r="BS187" t="str">
        <f>IF(OR(BS$23="",ISNA($B187)),"",IF(ISBLANK($B187),"",IFERROR(_xll.BDP(TICKER,"DEEP_MEASURE_PERIOD_BROKER_VALUE","DEEP_MEASURE_ID_OVERRIDE",$C187,"DEEP_BROKER_ID_OVERRIDE",BS$24,"DEEP_PERIOD_OVERRIDE",$H$19)*1,"")))</f>
        <v/>
      </c>
      <c r="BT187" t="str">
        <f>IF(OR(BT$23="",ISNA($B187)),"",IF(ISBLANK($B187),"",IFERROR(_xll.BDP(TICKER,"DEEP_MEASURE_PERIOD_BROKER_VALUE","DEEP_MEASURE_ID_OVERRIDE",$C187,"DEEP_BROKER_ID_OVERRIDE",BT$24,"DEEP_PERIOD_OVERRIDE",$H$19)*1,"")))</f>
        <v/>
      </c>
      <c r="BU187" t="str">
        <f>IF(OR(BU$23="",ISNA($B187)),"",IF(ISBLANK($B187),"",IFERROR(_xll.BDP(TICKER,"DEEP_MEASURE_PERIOD_BROKER_VALUE","DEEP_MEASURE_ID_OVERRIDE",$C187,"DEEP_BROKER_ID_OVERRIDE",BU$24,"DEEP_PERIOD_OVERRIDE",$H$19)*1,"")))</f>
        <v/>
      </c>
      <c r="BV187" t="str">
        <f>IF(OR(BV$23="",ISNA($B187)),"",IF(ISBLANK($B187),"",IFERROR(_xll.BDP(TICKER,"DEEP_MEASURE_PERIOD_BROKER_VALUE","DEEP_MEASURE_ID_OVERRIDE",$C187,"DEEP_BROKER_ID_OVERRIDE",BV$24,"DEEP_PERIOD_OVERRIDE",$H$19)*1,"")))</f>
        <v/>
      </c>
      <c r="BW187" t="str">
        <f>IF(OR(BW$23="",ISNA($B187)),"",IF(ISBLANK($B187),"",IFERROR(_xll.BDP(TICKER,"DEEP_MEASURE_PERIOD_BROKER_VALUE","DEEP_MEASURE_ID_OVERRIDE",$C187,"DEEP_BROKER_ID_OVERRIDE",BW$24,"DEEP_PERIOD_OVERRIDE",$H$19)*1,"")))</f>
        <v/>
      </c>
      <c r="BX187" t="str">
        <f>IF(OR(BX$23="",ISNA($B187)),"",IF(ISBLANK($B187),"",IFERROR(_xll.BDP(TICKER,"DEEP_MEASURE_PERIOD_BROKER_VALUE","DEEP_MEASURE_ID_OVERRIDE",$C187,"DEEP_BROKER_ID_OVERRIDE",BX$24,"DEEP_PERIOD_OVERRIDE",$H$19)*1,"")))</f>
        <v/>
      </c>
      <c r="BY187" t="str">
        <f>IF(OR(BY$23="",ISNA($B187)),"",IF(ISBLANK($B187),"",IFERROR(_xll.BDP(TICKER,"DEEP_MEASURE_PERIOD_BROKER_VALUE","DEEP_MEASURE_ID_OVERRIDE",$C187,"DEEP_BROKER_ID_OVERRIDE",BY$24,"DEEP_PERIOD_OVERRIDE",$H$19)*1,"")))</f>
        <v/>
      </c>
      <c r="BZ187" t="str">
        <f>IF(OR(BZ$23="",ISNA($B187)),"",IF(ISBLANK($B187),"",IFERROR(_xll.BDP(TICKER,"DEEP_MEASURE_PERIOD_BROKER_VALUE","DEEP_MEASURE_ID_OVERRIDE",$C187,"DEEP_BROKER_ID_OVERRIDE",BZ$24,"DEEP_PERIOD_OVERRIDE",$H$19)*1,"")))</f>
        <v/>
      </c>
    </row>
    <row r="188" spans="2:78" x14ac:dyDescent="0.25">
      <c r="B188" t="s">
        <v>60</v>
      </c>
      <c r="C188">
        <v>497</v>
      </c>
      <c r="H188" t="str">
        <f t="shared" si="3"/>
        <v>Liabilities &amp; Shareholders' Equity &gt; Total Shareholder Equity</v>
      </c>
      <c r="I188" t="str">
        <f>IF(OR(I$23="",ISNA($B188)),"",IF(ISBLANK($B188),"",IFERROR(_xll.BDP(TICKER,"DEEP_MEASURE_PERIOD_BROKER_VALUE","DEEP_MEASURE_ID_OVERRIDE",$C188,"DEEP_PERIOD_OVERRIDE",$H$19)*1,"")))</f>
        <v/>
      </c>
      <c r="J188" t="e">
        <f>IF(OR(J$23="",ISNA($B188)),"",IF(ISBLANK($B188),"",IFERROR(_xll.BDP(TICKER,"DEEP_MEASURE_PERIOD_BROKER_VALUE","DEEP_MEASURE_ID_OVERRIDE",$C188,"DEEP_BROKER_ID_OVERRIDE",J$24,"DEEP_PERIOD_OVERRIDE",$H$19)*1,"")))</f>
        <v>#REF!</v>
      </c>
      <c r="K188" t="str">
        <f>IF(OR(K$23="",ISNA($B188)),"",IF(ISBLANK($B188),"",IFERROR(_xll.BDP(TICKER,"DEEP_MEASURE_PERIOD_BROKER_VALUE","DEEP_MEASURE_ID_OVERRIDE",$C188,"DEEP_BROKER_ID_OVERRIDE",K$24,"DEEP_PERIOD_OVERRIDE",$H$19)*1,"")))</f>
        <v/>
      </c>
      <c r="L188" t="str">
        <f>IF(OR(L$23="",ISNA($B188)),"",IF(ISBLANK($B188),"",IFERROR(_xll.BDP(TICKER,"DEEP_MEASURE_PERIOD_BROKER_VALUE","DEEP_MEASURE_ID_OVERRIDE",$C188,"DEEP_BROKER_ID_OVERRIDE",L$24,"DEEP_PERIOD_OVERRIDE",$H$19)*1,"")))</f>
        <v/>
      </c>
      <c r="M188" t="str">
        <f>IF(OR(M$23="",ISNA($B188)),"",IF(ISBLANK($B188),"",IFERROR(_xll.BDP(TICKER,"DEEP_MEASURE_PERIOD_BROKER_VALUE","DEEP_MEASURE_ID_OVERRIDE",$C188,"DEEP_BROKER_ID_OVERRIDE",M$24,"DEEP_PERIOD_OVERRIDE",$H$19)*1,"")))</f>
        <v/>
      </c>
      <c r="N188" t="str">
        <f>IF(OR(N$23="",ISNA($B188)),"",IF(ISBLANK($B188),"",IFERROR(_xll.BDP(TICKER,"DEEP_MEASURE_PERIOD_BROKER_VALUE","DEEP_MEASURE_ID_OVERRIDE",$C188,"DEEP_BROKER_ID_OVERRIDE",N$24,"DEEP_PERIOD_OVERRIDE",$H$19)*1,"")))</f>
        <v/>
      </c>
      <c r="O188" t="str">
        <f>IF(OR(O$23="",ISNA($B188)),"",IF(ISBLANK($B188),"",IFERROR(_xll.BDP(TICKER,"DEEP_MEASURE_PERIOD_BROKER_VALUE","DEEP_MEASURE_ID_OVERRIDE",$C188,"DEEP_BROKER_ID_OVERRIDE",O$24,"DEEP_PERIOD_OVERRIDE",$H$19)*1,"")))</f>
        <v/>
      </c>
      <c r="P188" t="str">
        <f>IF(OR(P$23="",ISNA($B188)),"",IF(ISBLANK($B188),"",IFERROR(_xll.BDP(TICKER,"DEEP_MEASURE_PERIOD_BROKER_VALUE","DEEP_MEASURE_ID_OVERRIDE",$C188,"DEEP_BROKER_ID_OVERRIDE",P$24,"DEEP_PERIOD_OVERRIDE",$H$19)*1,"")))</f>
        <v/>
      </c>
      <c r="Q188" t="str">
        <f>IF(OR(Q$23="",ISNA($B188)),"",IF(ISBLANK($B188),"",IFERROR(_xll.BDP(TICKER,"DEEP_MEASURE_PERIOD_BROKER_VALUE","DEEP_MEASURE_ID_OVERRIDE",$C188,"DEEP_BROKER_ID_OVERRIDE",Q$24,"DEEP_PERIOD_OVERRIDE",$H$19)*1,"")))</f>
        <v/>
      </c>
      <c r="R188" t="str">
        <f>IF(OR(R$23="",ISNA($B188)),"",IF(ISBLANK($B188),"",IFERROR(_xll.BDP(TICKER,"DEEP_MEASURE_PERIOD_BROKER_VALUE","DEEP_MEASURE_ID_OVERRIDE",$C188,"DEEP_BROKER_ID_OVERRIDE",R$24,"DEEP_PERIOD_OVERRIDE",$H$19)*1,"")))</f>
        <v/>
      </c>
      <c r="S188" t="str">
        <f>IF(OR(S$23="",ISNA($B188)),"",IF(ISBLANK($B188),"",IFERROR(_xll.BDP(TICKER,"DEEP_MEASURE_PERIOD_BROKER_VALUE","DEEP_MEASURE_ID_OVERRIDE",$C188,"DEEP_BROKER_ID_OVERRIDE",S$24,"DEEP_PERIOD_OVERRIDE",$H$19)*1,"")))</f>
        <v/>
      </c>
      <c r="T188" t="str">
        <f>IF(OR(T$23="",ISNA($B188)),"",IF(ISBLANK($B188),"",IFERROR(_xll.BDP(TICKER,"DEEP_MEASURE_PERIOD_BROKER_VALUE","DEEP_MEASURE_ID_OVERRIDE",$C188,"DEEP_BROKER_ID_OVERRIDE",T$24,"DEEP_PERIOD_OVERRIDE",$H$19)*1,"")))</f>
        <v/>
      </c>
      <c r="U188" t="str">
        <f>IF(OR(U$23="",ISNA($B188)),"",IF(ISBLANK($B188),"",IFERROR(_xll.BDP(TICKER,"DEEP_MEASURE_PERIOD_BROKER_VALUE","DEEP_MEASURE_ID_OVERRIDE",$C188,"DEEP_BROKER_ID_OVERRIDE",U$24,"DEEP_PERIOD_OVERRIDE",$H$19)*1,"")))</f>
        <v/>
      </c>
      <c r="V188" t="str">
        <f>IF(OR(V$23="",ISNA($B188)),"",IF(ISBLANK($B188),"",IFERROR(_xll.BDP(TICKER,"DEEP_MEASURE_PERIOD_BROKER_VALUE","DEEP_MEASURE_ID_OVERRIDE",$C188,"DEEP_BROKER_ID_OVERRIDE",V$24,"DEEP_PERIOD_OVERRIDE",$H$19)*1,"")))</f>
        <v/>
      </c>
      <c r="W188" t="str">
        <f>IF(OR(W$23="",ISNA($B188)),"",IF(ISBLANK($B188),"",IFERROR(_xll.BDP(TICKER,"DEEP_MEASURE_PERIOD_BROKER_VALUE","DEEP_MEASURE_ID_OVERRIDE",$C188,"DEEP_BROKER_ID_OVERRIDE",W$24,"DEEP_PERIOD_OVERRIDE",$H$19)*1,"")))</f>
        <v/>
      </c>
      <c r="X188" t="str">
        <f>IF(OR(X$23="",ISNA($B188)),"",IF(ISBLANK($B188),"",IFERROR(_xll.BDP(TICKER,"DEEP_MEASURE_PERIOD_BROKER_VALUE","DEEP_MEASURE_ID_OVERRIDE",$C188,"DEEP_BROKER_ID_OVERRIDE",X$24,"DEEP_PERIOD_OVERRIDE",$H$19)*1,"")))</f>
        <v/>
      </c>
      <c r="Y188" t="str">
        <f>IF(OR(Y$23="",ISNA($B188)),"",IF(ISBLANK($B188),"",IFERROR(_xll.BDP(TICKER,"DEEP_MEASURE_PERIOD_BROKER_VALUE","DEEP_MEASURE_ID_OVERRIDE",$C188,"DEEP_BROKER_ID_OVERRIDE",Y$24,"DEEP_PERIOD_OVERRIDE",$H$19)*1,"")))</f>
        <v/>
      </c>
      <c r="Z188" t="str">
        <f>IF(OR(Z$23="",ISNA($B188)),"",IF(ISBLANK($B188),"",IFERROR(_xll.BDP(TICKER,"DEEP_MEASURE_PERIOD_BROKER_VALUE","DEEP_MEASURE_ID_OVERRIDE",$C188,"DEEP_BROKER_ID_OVERRIDE",Z$24,"DEEP_PERIOD_OVERRIDE",$H$19)*1,"")))</f>
        <v/>
      </c>
      <c r="AA188" t="str">
        <f>IF(OR(AA$23="",ISNA($B188)),"",IF(ISBLANK($B188),"",IFERROR(_xll.BDP(TICKER,"DEEP_MEASURE_PERIOD_BROKER_VALUE","DEEP_MEASURE_ID_OVERRIDE",$C188,"DEEP_BROKER_ID_OVERRIDE",AA$24,"DEEP_PERIOD_OVERRIDE",$H$19)*1,"")))</f>
        <v/>
      </c>
      <c r="AB188" t="str">
        <f>IF(OR(AB$23="",ISNA($B188)),"",IF(ISBLANK($B188),"",IFERROR(_xll.BDP(TICKER,"DEEP_MEASURE_PERIOD_BROKER_VALUE","DEEP_MEASURE_ID_OVERRIDE",$C188,"DEEP_BROKER_ID_OVERRIDE",AB$24,"DEEP_PERIOD_OVERRIDE",$H$19)*1,"")))</f>
        <v/>
      </c>
      <c r="AC188" t="str">
        <f>IF(OR(AC$23="",ISNA($B188)),"",IF(ISBLANK($B188),"",IFERROR(_xll.BDP(TICKER,"DEEP_MEASURE_PERIOD_BROKER_VALUE","DEEP_MEASURE_ID_OVERRIDE",$C188,"DEEP_BROKER_ID_OVERRIDE",AC$24,"DEEP_PERIOD_OVERRIDE",$H$19)*1,"")))</f>
        <v/>
      </c>
      <c r="AD188" t="str">
        <f>IF(OR(AD$23="",ISNA($B188)),"",IF(ISBLANK($B188),"",IFERROR(_xll.BDP(TICKER,"DEEP_MEASURE_PERIOD_BROKER_VALUE","DEEP_MEASURE_ID_OVERRIDE",$C188,"DEEP_BROKER_ID_OVERRIDE",AD$24,"DEEP_PERIOD_OVERRIDE",$H$19)*1,"")))</f>
        <v/>
      </c>
      <c r="AE188" t="str">
        <f>IF(OR(AE$23="",ISNA($B188)),"",IF(ISBLANK($B188),"",IFERROR(_xll.BDP(TICKER,"DEEP_MEASURE_PERIOD_BROKER_VALUE","DEEP_MEASURE_ID_OVERRIDE",$C188,"DEEP_BROKER_ID_OVERRIDE",AE$24,"DEEP_PERIOD_OVERRIDE",$H$19)*1,"")))</f>
        <v/>
      </c>
      <c r="AF188" t="str">
        <f>IF(OR(AF$23="",ISNA($B188)),"",IF(ISBLANK($B188),"",IFERROR(_xll.BDP(TICKER,"DEEP_MEASURE_PERIOD_BROKER_VALUE","DEEP_MEASURE_ID_OVERRIDE",$C188,"DEEP_BROKER_ID_OVERRIDE",AF$24,"DEEP_PERIOD_OVERRIDE",$H$19)*1,"")))</f>
        <v/>
      </c>
      <c r="AG188" t="str">
        <f>IF(OR(AG$23="",ISNA($B188)),"",IF(ISBLANK($B188),"",IFERROR(_xll.BDP(TICKER,"DEEP_MEASURE_PERIOD_BROKER_VALUE","DEEP_MEASURE_ID_OVERRIDE",$C188,"DEEP_BROKER_ID_OVERRIDE",AG$24,"DEEP_PERIOD_OVERRIDE",$H$19)*1,"")))</f>
        <v/>
      </c>
      <c r="AH188" t="str">
        <f>IF(OR(AH$23="",ISNA($B188)),"",IF(ISBLANK($B188),"",IFERROR(_xll.BDP(TICKER,"DEEP_MEASURE_PERIOD_BROKER_VALUE","DEEP_MEASURE_ID_OVERRIDE",$C188,"DEEP_BROKER_ID_OVERRIDE",AH$24,"DEEP_PERIOD_OVERRIDE",$H$19)*1,"")))</f>
        <v/>
      </c>
      <c r="AI188" t="str">
        <f>IF(OR(AI$23="",ISNA($B188)),"",IF(ISBLANK($B188),"",IFERROR(_xll.BDP(TICKER,"DEEP_MEASURE_PERIOD_BROKER_VALUE","DEEP_MEASURE_ID_OVERRIDE",$C188,"DEEP_BROKER_ID_OVERRIDE",AI$24,"DEEP_PERIOD_OVERRIDE",$H$19)*1,"")))</f>
        <v/>
      </c>
      <c r="AJ188" t="str">
        <f>IF(OR(AJ$23="",ISNA($B188)),"",IF(ISBLANK($B188),"",IFERROR(_xll.BDP(TICKER,"DEEP_MEASURE_PERIOD_BROKER_VALUE","DEEP_MEASURE_ID_OVERRIDE",$C188,"DEEP_BROKER_ID_OVERRIDE",AJ$24,"DEEP_PERIOD_OVERRIDE",$H$19)*1,"")))</f>
        <v/>
      </c>
      <c r="AK188" t="str">
        <f>IF(OR(AK$23="",ISNA($B188)),"",IF(ISBLANK($B188),"",IFERROR(_xll.BDP(TICKER,"DEEP_MEASURE_PERIOD_BROKER_VALUE","DEEP_MEASURE_ID_OVERRIDE",$C188,"DEEP_BROKER_ID_OVERRIDE",AK$24,"DEEP_PERIOD_OVERRIDE",$H$19)*1,"")))</f>
        <v/>
      </c>
      <c r="AL188" t="str">
        <f>IF(OR(AL$23="",ISNA($B188)),"",IF(ISBLANK($B188),"",IFERROR(_xll.BDP(TICKER,"DEEP_MEASURE_PERIOD_BROKER_VALUE","DEEP_MEASURE_ID_OVERRIDE",$C188,"DEEP_BROKER_ID_OVERRIDE",AL$24,"DEEP_PERIOD_OVERRIDE",$H$19)*1,"")))</f>
        <v/>
      </c>
      <c r="AM188" t="str">
        <f>IF(OR(AM$23="",ISNA($B188)),"",IF(ISBLANK($B188),"",IFERROR(_xll.BDP(TICKER,"DEEP_MEASURE_PERIOD_BROKER_VALUE","DEEP_MEASURE_ID_OVERRIDE",$C188,"DEEP_BROKER_ID_OVERRIDE",AM$24,"DEEP_PERIOD_OVERRIDE",$H$19)*1,"")))</f>
        <v/>
      </c>
      <c r="AN188" t="str">
        <f>IF(OR(AN$23="",ISNA($B188)),"",IF(ISBLANK($B188),"",IFERROR(_xll.BDP(TICKER,"DEEP_MEASURE_PERIOD_BROKER_VALUE","DEEP_MEASURE_ID_OVERRIDE",$C188,"DEEP_BROKER_ID_OVERRIDE",AN$24,"DEEP_PERIOD_OVERRIDE",$H$19)*1,"")))</f>
        <v/>
      </c>
      <c r="AO188" t="str">
        <f>IF(OR(AO$23="",ISNA($B188)),"",IF(ISBLANK($B188),"",IFERROR(_xll.BDP(TICKER,"DEEP_MEASURE_PERIOD_BROKER_VALUE","DEEP_MEASURE_ID_OVERRIDE",$C188,"DEEP_BROKER_ID_OVERRIDE",AO$24,"DEEP_PERIOD_OVERRIDE",$H$19)*1,"")))</f>
        <v/>
      </c>
      <c r="AP188" t="str">
        <f>IF(OR(AP$23="",ISNA($B188)),"",IF(ISBLANK($B188),"",IFERROR(_xll.BDP(TICKER,"DEEP_MEASURE_PERIOD_BROKER_VALUE","DEEP_MEASURE_ID_OVERRIDE",$C188,"DEEP_BROKER_ID_OVERRIDE",AP$24,"DEEP_PERIOD_OVERRIDE",$H$19)*1,"")))</f>
        <v/>
      </c>
      <c r="AQ188" t="str">
        <f>IF(OR(AQ$23="",ISNA($B188)),"",IF(ISBLANK($B188),"",IFERROR(_xll.BDP(TICKER,"DEEP_MEASURE_PERIOD_BROKER_VALUE","DEEP_MEASURE_ID_OVERRIDE",$C188,"DEEP_BROKER_ID_OVERRIDE",AQ$24,"DEEP_PERIOD_OVERRIDE",$H$19)*1,"")))</f>
        <v/>
      </c>
      <c r="AR188" t="str">
        <f>IF(OR(AR$23="",ISNA($B188)),"",IF(ISBLANK($B188),"",IFERROR(_xll.BDP(TICKER,"DEEP_MEASURE_PERIOD_BROKER_VALUE","DEEP_MEASURE_ID_OVERRIDE",$C188,"DEEP_BROKER_ID_OVERRIDE",AR$24,"DEEP_PERIOD_OVERRIDE",$H$19)*1,"")))</f>
        <v/>
      </c>
      <c r="AS188" t="str">
        <f>IF(OR(AS$23="",ISNA($B188)),"",IF(ISBLANK($B188),"",IFERROR(_xll.BDP(TICKER,"DEEP_MEASURE_PERIOD_BROKER_VALUE","DEEP_MEASURE_ID_OVERRIDE",$C188,"DEEP_BROKER_ID_OVERRIDE",AS$24,"DEEP_PERIOD_OVERRIDE",$H$19)*1,"")))</f>
        <v/>
      </c>
      <c r="AT188" t="str">
        <f>IF(OR(AT$23="",ISNA($B188)),"",IF(ISBLANK($B188),"",IFERROR(_xll.BDP(TICKER,"DEEP_MEASURE_PERIOD_BROKER_VALUE","DEEP_MEASURE_ID_OVERRIDE",$C188,"DEEP_BROKER_ID_OVERRIDE",AT$24,"DEEP_PERIOD_OVERRIDE",$H$19)*1,"")))</f>
        <v/>
      </c>
      <c r="AU188" t="str">
        <f>IF(OR(AU$23="",ISNA($B188)),"",IF(ISBLANK($B188),"",IFERROR(_xll.BDP(TICKER,"DEEP_MEASURE_PERIOD_BROKER_VALUE","DEEP_MEASURE_ID_OVERRIDE",$C188,"DEEP_BROKER_ID_OVERRIDE",AU$24,"DEEP_PERIOD_OVERRIDE",$H$19)*1,"")))</f>
        <v/>
      </c>
      <c r="AV188" t="str">
        <f>IF(OR(AV$23="",ISNA($B188)),"",IF(ISBLANK($B188),"",IFERROR(_xll.BDP(TICKER,"DEEP_MEASURE_PERIOD_BROKER_VALUE","DEEP_MEASURE_ID_OVERRIDE",$C188,"DEEP_BROKER_ID_OVERRIDE",AV$24,"DEEP_PERIOD_OVERRIDE",$H$19)*1,"")))</f>
        <v/>
      </c>
      <c r="AW188" t="str">
        <f>IF(OR(AW$23="",ISNA($B188)),"",IF(ISBLANK($B188),"",IFERROR(_xll.BDP(TICKER,"DEEP_MEASURE_PERIOD_BROKER_VALUE","DEEP_MEASURE_ID_OVERRIDE",$C188,"DEEP_BROKER_ID_OVERRIDE",AW$24,"DEEP_PERIOD_OVERRIDE",$H$19)*1,"")))</f>
        <v/>
      </c>
      <c r="AX188" t="str">
        <f>IF(OR(AX$23="",ISNA($B188)),"",IF(ISBLANK($B188),"",IFERROR(_xll.BDP(TICKER,"DEEP_MEASURE_PERIOD_BROKER_VALUE","DEEP_MEASURE_ID_OVERRIDE",$C188,"DEEP_BROKER_ID_OVERRIDE",AX$24,"DEEP_PERIOD_OVERRIDE",$H$19)*1,"")))</f>
        <v/>
      </c>
      <c r="AY188" t="str">
        <f>IF(OR(AY$23="",ISNA($B188)),"",IF(ISBLANK($B188),"",IFERROR(_xll.BDP(TICKER,"DEEP_MEASURE_PERIOD_BROKER_VALUE","DEEP_MEASURE_ID_OVERRIDE",$C188,"DEEP_BROKER_ID_OVERRIDE",AY$24,"DEEP_PERIOD_OVERRIDE",$H$19)*1,"")))</f>
        <v/>
      </c>
      <c r="AZ188" t="str">
        <f>IF(OR(AZ$23="",ISNA($B188)),"",IF(ISBLANK($B188),"",IFERROR(_xll.BDP(TICKER,"DEEP_MEASURE_PERIOD_BROKER_VALUE","DEEP_MEASURE_ID_OVERRIDE",$C188,"DEEP_BROKER_ID_OVERRIDE",AZ$24,"DEEP_PERIOD_OVERRIDE",$H$19)*1,"")))</f>
        <v/>
      </c>
      <c r="BA188" t="str">
        <f>IF(OR(BA$23="",ISNA($B188)),"",IF(ISBLANK($B188),"",IFERROR(_xll.BDP(TICKER,"DEEP_MEASURE_PERIOD_BROKER_VALUE","DEEP_MEASURE_ID_OVERRIDE",$C188,"DEEP_BROKER_ID_OVERRIDE",BA$24,"DEEP_PERIOD_OVERRIDE",$H$19)*1,"")))</f>
        <v/>
      </c>
      <c r="BB188" t="str">
        <f>IF(OR(BB$23="",ISNA($B188)),"",IF(ISBLANK($B188),"",IFERROR(_xll.BDP(TICKER,"DEEP_MEASURE_PERIOD_BROKER_VALUE","DEEP_MEASURE_ID_OVERRIDE",$C188,"DEEP_BROKER_ID_OVERRIDE",BB$24,"DEEP_PERIOD_OVERRIDE",$H$19)*1,"")))</f>
        <v/>
      </c>
      <c r="BC188" t="str">
        <f>IF(OR(BC$23="",ISNA($B188)),"",IF(ISBLANK($B188),"",IFERROR(_xll.BDP(TICKER,"DEEP_MEASURE_PERIOD_BROKER_VALUE","DEEP_MEASURE_ID_OVERRIDE",$C188,"DEEP_BROKER_ID_OVERRIDE",BC$24,"DEEP_PERIOD_OVERRIDE",$H$19)*1,"")))</f>
        <v/>
      </c>
      <c r="BD188" t="str">
        <f>IF(OR(BD$23="",ISNA($B188)),"",IF(ISBLANK($B188),"",IFERROR(_xll.BDP(TICKER,"DEEP_MEASURE_PERIOD_BROKER_VALUE","DEEP_MEASURE_ID_OVERRIDE",$C188,"DEEP_BROKER_ID_OVERRIDE",BD$24,"DEEP_PERIOD_OVERRIDE",$H$19)*1,"")))</f>
        <v/>
      </c>
      <c r="BE188" t="str">
        <f>IF(OR(BE$23="",ISNA($B188)),"",IF(ISBLANK($B188),"",IFERROR(_xll.BDP(TICKER,"DEEP_MEASURE_PERIOD_BROKER_VALUE","DEEP_MEASURE_ID_OVERRIDE",$C188,"DEEP_BROKER_ID_OVERRIDE",BE$24,"DEEP_PERIOD_OVERRIDE",$H$19)*1,"")))</f>
        <v/>
      </c>
      <c r="BF188" t="str">
        <f>IF(OR(BF$23="",ISNA($B188)),"",IF(ISBLANK($B188),"",IFERROR(_xll.BDP(TICKER,"DEEP_MEASURE_PERIOD_BROKER_VALUE","DEEP_MEASURE_ID_OVERRIDE",$C188,"DEEP_BROKER_ID_OVERRIDE",BF$24,"DEEP_PERIOD_OVERRIDE",$H$19)*1,"")))</f>
        <v/>
      </c>
      <c r="BG188" t="str">
        <f>IF(OR(BG$23="",ISNA($B188)),"",IF(ISBLANK($B188),"",IFERROR(_xll.BDP(TICKER,"DEEP_MEASURE_PERIOD_BROKER_VALUE","DEEP_MEASURE_ID_OVERRIDE",$C188,"DEEP_BROKER_ID_OVERRIDE",BG$24,"DEEP_PERIOD_OVERRIDE",$H$19)*1,"")))</f>
        <v/>
      </c>
      <c r="BH188" t="str">
        <f>IF(OR(BH$23="",ISNA($B188)),"",IF(ISBLANK($B188),"",IFERROR(_xll.BDP(TICKER,"DEEP_MEASURE_PERIOD_BROKER_VALUE","DEEP_MEASURE_ID_OVERRIDE",$C188,"DEEP_BROKER_ID_OVERRIDE",BH$24,"DEEP_PERIOD_OVERRIDE",$H$19)*1,"")))</f>
        <v/>
      </c>
      <c r="BI188" t="str">
        <f>IF(OR(BI$23="",ISNA($B188)),"",IF(ISBLANK($B188),"",IFERROR(_xll.BDP(TICKER,"DEEP_MEASURE_PERIOD_BROKER_VALUE","DEEP_MEASURE_ID_OVERRIDE",$C188,"DEEP_BROKER_ID_OVERRIDE",BI$24,"DEEP_PERIOD_OVERRIDE",$H$19)*1,"")))</f>
        <v/>
      </c>
      <c r="BJ188" t="str">
        <f>IF(OR(BJ$23="",ISNA($B188)),"",IF(ISBLANK($B188),"",IFERROR(_xll.BDP(TICKER,"DEEP_MEASURE_PERIOD_BROKER_VALUE","DEEP_MEASURE_ID_OVERRIDE",$C188,"DEEP_BROKER_ID_OVERRIDE",BJ$24,"DEEP_PERIOD_OVERRIDE",$H$19)*1,"")))</f>
        <v/>
      </c>
      <c r="BK188" t="str">
        <f>IF(OR(BK$23="",ISNA($B188)),"",IF(ISBLANK($B188),"",IFERROR(_xll.BDP(TICKER,"DEEP_MEASURE_PERIOD_BROKER_VALUE","DEEP_MEASURE_ID_OVERRIDE",$C188,"DEEP_BROKER_ID_OVERRIDE",BK$24,"DEEP_PERIOD_OVERRIDE",$H$19)*1,"")))</f>
        <v/>
      </c>
      <c r="BL188" t="str">
        <f>IF(OR(BL$23="",ISNA($B188)),"",IF(ISBLANK($B188),"",IFERROR(_xll.BDP(TICKER,"DEEP_MEASURE_PERIOD_BROKER_VALUE","DEEP_MEASURE_ID_OVERRIDE",$C188,"DEEP_BROKER_ID_OVERRIDE",BL$24,"DEEP_PERIOD_OVERRIDE",$H$19)*1,"")))</f>
        <v/>
      </c>
      <c r="BM188" t="str">
        <f>IF(OR(BM$23="",ISNA($B188)),"",IF(ISBLANK($B188),"",IFERROR(_xll.BDP(TICKER,"DEEP_MEASURE_PERIOD_BROKER_VALUE","DEEP_MEASURE_ID_OVERRIDE",$C188,"DEEP_BROKER_ID_OVERRIDE",BM$24,"DEEP_PERIOD_OVERRIDE",$H$19)*1,"")))</f>
        <v/>
      </c>
      <c r="BN188" t="str">
        <f>IF(OR(BN$23="",ISNA($B188)),"",IF(ISBLANK($B188),"",IFERROR(_xll.BDP(TICKER,"DEEP_MEASURE_PERIOD_BROKER_VALUE","DEEP_MEASURE_ID_OVERRIDE",$C188,"DEEP_BROKER_ID_OVERRIDE",BN$24,"DEEP_PERIOD_OVERRIDE",$H$19)*1,"")))</f>
        <v/>
      </c>
      <c r="BO188" t="str">
        <f>IF(OR(BO$23="",ISNA($B188)),"",IF(ISBLANK($B188),"",IFERROR(_xll.BDP(TICKER,"DEEP_MEASURE_PERIOD_BROKER_VALUE","DEEP_MEASURE_ID_OVERRIDE",$C188,"DEEP_BROKER_ID_OVERRIDE",BO$24,"DEEP_PERIOD_OVERRIDE",$H$19)*1,"")))</f>
        <v/>
      </c>
      <c r="BP188" t="str">
        <f>IF(OR(BP$23="",ISNA($B188)),"",IF(ISBLANK($B188),"",IFERROR(_xll.BDP(TICKER,"DEEP_MEASURE_PERIOD_BROKER_VALUE","DEEP_MEASURE_ID_OVERRIDE",$C188,"DEEP_BROKER_ID_OVERRIDE",BP$24,"DEEP_PERIOD_OVERRIDE",$H$19)*1,"")))</f>
        <v/>
      </c>
      <c r="BQ188" t="str">
        <f>IF(OR(BQ$23="",ISNA($B188)),"",IF(ISBLANK($B188),"",IFERROR(_xll.BDP(TICKER,"DEEP_MEASURE_PERIOD_BROKER_VALUE","DEEP_MEASURE_ID_OVERRIDE",$C188,"DEEP_BROKER_ID_OVERRIDE",BQ$24,"DEEP_PERIOD_OVERRIDE",$H$19)*1,"")))</f>
        <v/>
      </c>
      <c r="BR188" t="str">
        <f>IF(OR(BR$23="",ISNA($B188)),"",IF(ISBLANK($B188),"",IFERROR(_xll.BDP(TICKER,"DEEP_MEASURE_PERIOD_BROKER_VALUE","DEEP_MEASURE_ID_OVERRIDE",$C188,"DEEP_BROKER_ID_OVERRIDE",BR$24,"DEEP_PERIOD_OVERRIDE",$H$19)*1,"")))</f>
        <v/>
      </c>
      <c r="BS188" t="str">
        <f>IF(OR(BS$23="",ISNA($B188)),"",IF(ISBLANK($B188),"",IFERROR(_xll.BDP(TICKER,"DEEP_MEASURE_PERIOD_BROKER_VALUE","DEEP_MEASURE_ID_OVERRIDE",$C188,"DEEP_BROKER_ID_OVERRIDE",BS$24,"DEEP_PERIOD_OVERRIDE",$H$19)*1,"")))</f>
        <v/>
      </c>
      <c r="BT188" t="str">
        <f>IF(OR(BT$23="",ISNA($B188)),"",IF(ISBLANK($B188),"",IFERROR(_xll.BDP(TICKER,"DEEP_MEASURE_PERIOD_BROKER_VALUE","DEEP_MEASURE_ID_OVERRIDE",$C188,"DEEP_BROKER_ID_OVERRIDE",BT$24,"DEEP_PERIOD_OVERRIDE",$H$19)*1,"")))</f>
        <v/>
      </c>
      <c r="BU188" t="str">
        <f>IF(OR(BU$23="",ISNA($B188)),"",IF(ISBLANK($B188),"",IFERROR(_xll.BDP(TICKER,"DEEP_MEASURE_PERIOD_BROKER_VALUE","DEEP_MEASURE_ID_OVERRIDE",$C188,"DEEP_BROKER_ID_OVERRIDE",BU$24,"DEEP_PERIOD_OVERRIDE",$H$19)*1,"")))</f>
        <v/>
      </c>
      <c r="BV188" t="str">
        <f>IF(OR(BV$23="",ISNA($B188)),"",IF(ISBLANK($B188),"",IFERROR(_xll.BDP(TICKER,"DEEP_MEASURE_PERIOD_BROKER_VALUE","DEEP_MEASURE_ID_OVERRIDE",$C188,"DEEP_BROKER_ID_OVERRIDE",BV$24,"DEEP_PERIOD_OVERRIDE",$H$19)*1,"")))</f>
        <v/>
      </c>
      <c r="BW188" t="str">
        <f>IF(OR(BW$23="",ISNA($B188)),"",IF(ISBLANK($B188),"",IFERROR(_xll.BDP(TICKER,"DEEP_MEASURE_PERIOD_BROKER_VALUE","DEEP_MEASURE_ID_OVERRIDE",$C188,"DEEP_BROKER_ID_OVERRIDE",BW$24,"DEEP_PERIOD_OVERRIDE",$H$19)*1,"")))</f>
        <v/>
      </c>
      <c r="BX188" t="str">
        <f>IF(OR(BX$23="",ISNA($B188)),"",IF(ISBLANK($B188),"",IFERROR(_xll.BDP(TICKER,"DEEP_MEASURE_PERIOD_BROKER_VALUE","DEEP_MEASURE_ID_OVERRIDE",$C188,"DEEP_BROKER_ID_OVERRIDE",BX$24,"DEEP_PERIOD_OVERRIDE",$H$19)*1,"")))</f>
        <v/>
      </c>
      <c r="BY188" t="str">
        <f>IF(OR(BY$23="",ISNA($B188)),"",IF(ISBLANK($B188),"",IFERROR(_xll.BDP(TICKER,"DEEP_MEASURE_PERIOD_BROKER_VALUE","DEEP_MEASURE_ID_OVERRIDE",$C188,"DEEP_BROKER_ID_OVERRIDE",BY$24,"DEEP_PERIOD_OVERRIDE",$H$19)*1,"")))</f>
        <v/>
      </c>
      <c r="BZ188" t="str">
        <f>IF(OR(BZ$23="",ISNA($B188)),"",IF(ISBLANK($B188),"",IFERROR(_xll.BDP(TICKER,"DEEP_MEASURE_PERIOD_BROKER_VALUE","DEEP_MEASURE_ID_OVERRIDE",$C188,"DEEP_BROKER_ID_OVERRIDE",BZ$24,"DEEP_PERIOD_OVERRIDE",$H$19)*1,"")))</f>
        <v/>
      </c>
    </row>
    <row r="189" spans="2:78" x14ac:dyDescent="0.25">
      <c r="B189" t="s">
        <v>61</v>
      </c>
      <c r="C189">
        <v>10380</v>
      </c>
      <c r="H189" t="str">
        <f t="shared" si="3"/>
        <v>Total Liabilities and Shareholder Equity</v>
      </c>
      <c r="I189" t="str">
        <f>IF(OR(I$23="",ISNA($B189)),"",IF(ISBLANK($B189),"",IFERROR(_xll.BDP(TICKER,"DEEP_MEASURE_PERIOD_BROKER_VALUE","DEEP_MEASURE_ID_OVERRIDE",$C189,"DEEP_PERIOD_OVERRIDE",$H$19)*1,"")))</f>
        <v/>
      </c>
      <c r="J189" t="e">
        <f>IF(OR(J$23="",ISNA($B189)),"",IF(ISBLANK($B189),"",IFERROR(_xll.BDP(TICKER,"DEEP_MEASURE_PERIOD_BROKER_VALUE","DEEP_MEASURE_ID_OVERRIDE",$C189,"DEEP_BROKER_ID_OVERRIDE",J$24,"DEEP_PERIOD_OVERRIDE",$H$19)*1,"")))</f>
        <v>#REF!</v>
      </c>
      <c r="K189" t="str">
        <f>IF(OR(K$23="",ISNA($B189)),"",IF(ISBLANK($B189),"",IFERROR(_xll.BDP(TICKER,"DEEP_MEASURE_PERIOD_BROKER_VALUE","DEEP_MEASURE_ID_OVERRIDE",$C189,"DEEP_BROKER_ID_OVERRIDE",K$24,"DEEP_PERIOD_OVERRIDE",$H$19)*1,"")))</f>
        <v/>
      </c>
      <c r="L189" t="str">
        <f>IF(OR(L$23="",ISNA($B189)),"",IF(ISBLANK($B189),"",IFERROR(_xll.BDP(TICKER,"DEEP_MEASURE_PERIOD_BROKER_VALUE","DEEP_MEASURE_ID_OVERRIDE",$C189,"DEEP_BROKER_ID_OVERRIDE",L$24,"DEEP_PERIOD_OVERRIDE",$H$19)*1,"")))</f>
        <v/>
      </c>
      <c r="M189" t="str">
        <f>IF(OR(M$23="",ISNA($B189)),"",IF(ISBLANK($B189),"",IFERROR(_xll.BDP(TICKER,"DEEP_MEASURE_PERIOD_BROKER_VALUE","DEEP_MEASURE_ID_OVERRIDE",$C189,"DEEP_BROKER_ID_OVERRIDE",M$24,"DEEP_PERIOD_OVERRIDE",$H$19)*1,"")))</f>
        <v/>
      </c>
      <c r="N189" t="str">
        <f>IF(OR(N$23="",ISNA($B189)),"",IF(ISBLANK($B189),"",IFERROR(_xll.BDP(TICKER,"DEEP_MEASURE_PERIOD_BROKER_VALUE","DEEP_MEASURE_ID_OVERRIDE",$C189,"DEEP_BROKER_ID_OVERRIDE",N$24,"DEEP_PERIOD_OVERRIDE",$H$19)*1,"")))</f>
        <v/>
      </c>
      <c r="O189" t="str">
        <f>IF(OR(O$23="",ISNA($B189)),"",IF(ISBLANK($B189),"",IFERROR(_xll.BDP(TICKER,"DEEP_MEASURE_PERIOD_BROKER_VALUE","DEEP_MEASURE_ID_OVERRIDE",$C189,"DEEP_BROKER_ID_OVERRIDE",O$24,"DEEP_PERIOD_OVERRIDE",$H$19)*1,"")))</f>
        <v/>
      </c>
      <c r="P189" t="str">
        <f>IF(OR(P$23="",ISNA($B189)),"",IF(ISBLANK($B189),"",IFERROR(_xll.BDP(TICKER,"DEEP_MEASURE_PERIOD_BROKER_VALUE","DEEP_MEASURE_ID_OVERRIDE",$C189,"DEEP_BROKER_ID_OVERRIDE",P$24,"DEEP_PERIOD_OVERRIDE",$H$19)*1,"")))</f>
        <v/>
      </c>
      <c r="Q189" t="str">
        <f>IF(OR(Q$23="",ISNA($B189)),"",IF(ISBLANK($B189),"",IFERROR(_xll.BDP(TICKER,"DEEP_MEASURE_PERIOD_BROKER_VALUE","DEEP_MEASURE_ID_OVERRIDE",$C189,"DEEP_BROKER_ID_OVERRIDE",Q$24,"DEEP_PERIOD_OVERRIDE",$H$19)*1,"")))</f>
        <v/>
      </c>
      <c r="R189" t="str">
        <f>IF(OR(R$23="",ISNA($B189)),"",IF(ISBLANK($B189),"",IFERROR(_xll.BDP(TICKER,"DEEP_MEASURE_PERIOD_BROKER_VALUE","DEEP_MEASURE_ID_OVERRIDE",$C189,"DEEP_BROKER_ID_OVERRIDE",R$24,"DEEP_PERIOD_OVERRIDE",$H$19)*1,"")))</f>
        <v/>
      </c>
      <c r="S189" t="str">
        <f>IF(OR(S$23="",ISNA($B189)),"",IF(ISBLANK($B189),"",IFERROR(_xll.BDP(TICKER,"DEEP_MEASURE_PERIOD_BROKER_VALUE","DEEP_MEASURE_ID_OVERRIDE",$C189,"DEEP_BROKER_ID_OVERRIDE",S$24,"DEEP_PERIOD_OVERRIDE",$H$19)*1,"")))</f>
        <v/>
      </c>
      <c r="T189" t="str">
        <f>IF(OR(T$23="",ISNA($B189)),"",IF(ISBLANK($B189),"",IFERROR(_xll.BDP(TICKER,"DEEP_MEASURE_PERIOD_BROKER_VALUE","DEEP_MEASURE_ID_OVERRIDE",$C189,"DEEP_BROKER_ID_OVERRIDE",T$24,"DEEP_PERIOD_OVERRIDE",$H$19)*1,"")))</f>
        <v/>
      </c>
      <c r="U189" t="str">
        <f>IF(OR(U$23="",ISNA($B189)),"",IF(ISBLANK($B189),"",IFERROR(_xll.BDP(TICKER,"DEEP_MEASURE_PERIOD_BROKER_VALUE","DEEP_MEASURE_ID_OVERRIDE",$C189,"DEEP_BROKER_ID_OVERRIDE",U$24,"DEEP_PERIOD_OVERRIDE",$H$19)*1,"")))</f>
        <v/>
      </c>
      <c r="V189" t="str">
        <f>IF(OR(V$23="",ISNA($B189)),"",IF(ISBLANK($B189),"",IFERROR(_xll.BDP(TICKER,"DEEP_MEASURE_PERIOD_BROKER_VALUE","DEEP_MEASURE_ID_OVERRIDE",$C189,"DEEP_BROKER_ID_OVERRIDE",V$24,"DEEP_PERIOD_OVERRIDE",$H$19)*1,"")))</f>
        <v/>
      </c>
      <c r="W189" t="str">
        <f>IF(OR(W$23="",ISNA($B189)),"",IF(ISBLANK($B189),"",IFERROR(_xll.BDP(TICKER,"DEEP_MEASURE_PERIOD_BROKER_VALUE","DEEP_MEASURE_ID_OVERRIDE",$C189,"DEEP_BROKER_ID_OVERRIDE",W$24,"DEEP_PERIOD_OVERRIDE",$H$19)*1,"")))</f>
        <v/>
      </c>
      <c r="X189" t="str">
        <f>IF(OR(X$23="",ISNA($B189)),"",IF(ISBLANK($B189),"",IFERROR(_xll.BDP(TICKER,"DEEP_MEASURE_PERIOD_BROKER_VALUE","DEEP_MEASURE_ID_OVERRIDE",$C189,"DEEP_BROKER_ID_OVERRIDE",X$24,"DEEP_PERIOD_OVERRIDE",$H$19)*1,"")))</f>
        <v/>
      </c>
      <c r="Y189" t="str">
        <f>IF(OR(Y$23="",ISNA($B189)),"",IF(ISBLANK($B189),"",IFERROR(_xll.BDP(TICKER,"DEEP_MEASURE_PERIOD_BROKER_VALUE","DEEP_MEASURE_ID_OVERRIDE",$C189,"DEEP_BROKER_ID_OVERRIDE",Y$24,"DEEP_PERIOD_OVERRIDE",$H$19)*1,"")))</f>
        <v/>
      </c>
      <c r="Z189" t="str">
        <f>IF(OR(Z$23="",ISNA($B189)),"",IF(ISBLANK($B189),"",IFERROR(_xll.BDP(TICKER,"DEEP_MEASURE_PERIOD_BROKER_VALUE","DEEP_MEASURE_ID_OVERRIDE",$C189,"DEEP_BROKER_ID_OVERRIDE",Z$24,"DEEP_PERIOD_OVERRIDE",$H$19)*1,"")))</f>
        <v/>
      </c>
      <c r="AA189" t="str">
        <f>IF(OR(AA$23="",ISNA($B189)),"",IF(ISBLANK($B189),"",IFERROR(_xll.BDP(TICKER,"DEEP_MEASURE_PERIOD_BROKER_VALUE","DEEP_MEASURE_ID_OVERRIDE",$C189,"DEEP_BROKER_ID_OVERRIDE",AA$24,"DEEP_PERIOD_OVERRIDE",$H$19)*1,"")))</f>
        <v/>
      </c>
      <c r="AB189" t="str">
        <f>IF(OR(AB$23="",ISNA($B189)),"",IF(ISBLANK($B189),"",IFERROR(_xll.BDP(TICKER,"DEEP_MEASURE_PERIOD_BROKER_VALUE","DEEP_MEASURE_ID_OVERRIDE",$C189,"DEEP_BROKER_ID_OVERRIDE",AB$24,"DEEP_PERIOD_OVERRIDE",$H$19)*1,"")))</f>
        <v/>
      </c>
      <c r="AC189" t="str">
        <f>IF(OR(AC$23="",ISNA($B189)),"",IF(ISBLANK($B189),"",IFERROR(_xll.BDP(TICKER,"DEEP_MEASURE_PERIOD_BROKER_VALUE","DEEP_MEASURE_ID_OVERRIDE",$C189,"DEEP_BROKER_ID_OVERRIDE",AC$24,"DEEP_PERIOD_OVERRIDE",$H$19)*1,"")))</f>
        <v/>
      </c>
      <c r="AD189" t="str">
        <f>IF(OR(AD$23="",ISNA($B189)),"",IF(ISBLANK($B189),"",IFERROR(_xll.BDP(TICKER,"DEEP_MEASURE_PERIOD_BROKER_VALUE","DEEP_MEASURE_ID_OVERRIDE",$C189,"DEEP_BROKER_ID_OVERRIDE",AD$24,"DEEP_PERIOD_OVERRIDE",$H$19)*1,"")))</f>
        <v/>
      </c>
      <c r="AE189" t="str">
        <f>IF(OR(AE$23="",ISNA($B189)),"",IF(ISBLANK($B189),"",IFERROR(_xll.BDP(TICKER,"DEEP_MEASURE_PERIOD_BROKER_VALUE","DEEP_MEASURE_ID_OVERRIDE",$C189,"DEEP_BROKER_ID_OVERRIDE",AE$24,"DEEP_PERIOD_OVERRIDE",$H$19)*1,"")))</f>
        <v/>
      </c>
      <c r="AF189" t="str">
        <f>IF(OR(AF$23="",ISNA($B189)),"",IF(ISBLANK($B189),"",IFERROR(_xll.BDP(TICKER,"DEEP_MEASURE_PERIOD_BROKER_VALUE","DEEP_MEASURE_ID_OVERRIDE",$C189,"DEEP_BROKER_ID_OVERRIDE",AF$24,"DEEP_PERIOD_OVERRIDE",$H$19)*1,"")))</f>
        <v/>
      </c>
      <c r="AG189" t="str">
        <f>IF(OR(AG$23="",ISNA($B189)),"",IF(ISBLANK($B189),"",IFERROR(_xll.BDP(TICKER,"DEEP_MEASURE_PERIOD_BROKER_VALUE","DEEP_MEASURE_ID_OVERRIDE",$C189,"DEEP_BROKER_ID_OVERRIDE",AG$24,"DEEP_PERIOD_OVERRIDE",$H$19)*1,"")))</f>
        <v/>
      </c>
      <c r="AH189" t="str">
        <f>IF(OR(AH$23="",ISNA($B189)),"",IF(ISBLANK($B189),"",IFERROR(_xll.BDP(TICKER,"DEEP_MEASURE_PERIOD_BROKER_VALUE","DEEP_MEASURE_ID_OVERRIDE",$C189,"DEEP_BROKER_ID_OVERRIDE",AH$24,"DEEP_PERIOD_OVERRIDE",$H$19)*1,"")))</f>
        <v/>
      </c>
      <c r="AI189" t="str">
        <f>IF(OR(AI$23="",ISNA($B189)),"",IF(ISBLANK($B189),"",IFERROR(_xll.BDP(TICKER,"DEEP_MEASURE_PERIOD_BROKER_VALUE","DEEP_MEASURE_ID_OVERRIDE",$C189,"DEEP_BROKER_ID_OVERRIDE",AI$24,"DEEP_PERIOD_OVERRIDE",$H$19)*1,"")))</f>
        <v/>
      </c>
      <c r="AJ189" t="str">
        <f>IF(OR(AJ$23="",ISNA($B189)),"",IF(ISBLANK($B189),"",IFERROR(_xll.BDP(TICKER,"DEEP_MEASURE_PERIOD_BROKER_VALUE","DEEP_MEASURE_ID_OVERRIDE",$C189,"DEEP_BROKER_ID_OVERRIDE",AJ$24,"DEEP_PERIOD_OVERRIDE",$H$19)*1,"")))</f>
        <v/>
      </c>
      <c r="AK189" t="str">
        <f>IF(OR(AK$23="",ISNA($B189)),"",IF(ISBLANK($B189),"",IFERROR(_xll.BDP(TICKER,"DEEP_MEASURE_PERIOD_BROKER_VALUE","DEEP_MEASURE_ID_OVERRIDE",$C189,"DEEP_BROKER_ID_OVERRIDE",AK$24,"DEEP_PERIOD_OVERRIDE",$H$19)*1,"")))</f>
        <v/>
      </c>
      <c r="AL189" t="str">
        <f>IF(OR(AL$23="",ISNA($B189)),"",IF(ISBLANK($B189),"",IFERROR(_xll.BDP(TICKER,"DEEP_MEASURE_PERIOD_BROKER_VALUE","DEEP_MEASURE_ID_OVERRIDE",$C189,"DEEP_BROKER_ID_OVERRIDE",AL$24,"DEEP_PERIOD_OVERRIDE",$H$19)*1,"")))</f>
        <v/>
      </c>
      <c r="AM189" t="str">
        <f>IF(OR(AM$23="",ISNA($B189)),"",IF(ISBLANK($B189),"",IFERROR(_xll.BDP(TICKER,"DEEP_MEASURE_PERIOD_BROKER_VALUE","DEEP_MEASURE_ID_OVERRIDE",$C189,"DEEP_BROKER_ID_OVERRIDE",AM$24,"DEEP_PERIOD_OVERRIDE",$H$19)*1,"")))</f>
        <v/>
      </c>
      <c r="AN189" t="str">
        <f>IF(OR(AN$23="",ISNA($B189)),"",IF(ISBLANK($B189),"",IFERROR(_xll.BDP(TICKER,"DEEP_MEASURE_PERIOD_BROKER_VALUE","DEEP_MEASURE_ID_OVERRIDE",$C189,"DEEP_BROKER_ID_OVERRIDE",AN$24,"DEEP_PERIOD_OVERRIDE",$H$19)*1,"")))</f>
        <v/>
      </c>
      <c r="AO189" t="str">
        <f>IF(OR(AO$23="",ISNA($B189)),"",IF(ISBLANK($B189),"",IFERROR(_xll.BDP(TICKER,"DEEP_MEASURE_PERIOD_BROKER_VALUE","DEEP_MEASURE_ID_OVERRIDE",$C189,"DEEP_BROKER_ID_OVERRIDE",AO$24,"DEEP_PERIOD_OVERRIDE",$H$19)*1,"")))</f>
        <v/>
      </c>
      <c r="AP189" t="str">
        <f>IF(OR(AP$23="",ISNA($B189)),"",IF(ISBLANK($B189),"",IFERROR(_xll.BDP(TICKER,"DEEP_MEASURE_PERIOD_BROKER_VALUE","DEEP_MEASURE_ID_OVERRIDE",$C189,"DEEP_BROKER_ID_OVERRIDE",AP$24,"DEEP_PERIOD_OVERRIDE",$H$19)*1,"")))</f>
        <v/>
      </c>
      <c r="AQ189" t="str">
        <f>IF(OR(AQ$23="",ISNA($B189)),"",IF(ISBLANK($B189),"",IFERROR(_xll.BDP(TICKER,"DEEP_MEASURE_PERIOD_BROKER_VALUE","DEEP_MEASURE_ID_OVERRIDE",$C189,"DEEP_BROKER_ID_OVERRIDE",AQ$24,"DEEP_PERIOD_OVERRIDE",$H$19)*1,"")))</f>
        <v/>
      </c>
      <c r="AR189" t="str">
        <f>IF(OR(AR$23="",ISNA($B189)),"",IF(ISBLANK($B189),"",IFERROR(_xll.BDP(TICKER,"DEEP_MEASURE_PERIOD_BROKER_VALUE","DEEP_MEASURE_ID_OVERRIDE",$C189,"DEEP_BROKER_ID_OVERRIDE",AR$24,"DEEP_PERIOD_OVERRIDE",$H$19)*1,"")))</f>
        <v/>
      </c>
      <c r="AS189" t="str">
        <f>IF(OR(AS$23="",ISNA($B189)),"",IF(ISBLANK($B189),"",IFERROR(_xll.BDP(TICKER,"DEEP_MEASURE_PERIOD_BROKER_VALUE","DEEP_MEASURE_ID_OVERRIDE",$C189,"DEEP_BROKER_ID_OVERRIDE",AS$24,"DEEP_PERIOD_OVERRIDE",$H$19)*1,"")))</f>
        <v/>
      </c>
      <c r="AT189" t="str">
        <f>IF(OR(AT$23="",ISNA($B189)),"",IF(ISBLANK($B189),"",IFERROR(_xll.BDP(TICKER,"DEEP_MEASURE_PERIOD_BROKER_VALUE","DEEP_MEASURE_ID_OVERRIDE",$C189,"DEEP_BROKER_ID_OVERRIDE",AT$24,"DEEP_PERIOD_OVERRIDE",$H$19)*1,"")))</f>
        <v/>
      </c>
      <c r="AU189" t="str">
        <f>IF(OR(AU$23="",ISNA($B189)),"",IF(ISBLANK($B189),"",IFERROR(_xll.BDP(TICKER,"DEEP_MEASURE_PERIOD_BROKER_VALUE","DEEP_MEASURE_ID_OVERRIDE",$C189,"DEEP_BROKER_ID_OVERRIDE",AU$24,"DEEP_PERIOD_OVERRIDE",$H$19)*1,"")))</f>
        <v/>
      </c>
      <c r="AV189" t="str">
        <f>IF(OR(AV$23="",ISNA($B189)),"",IF(ISBLANK($B189),"",IFERROR(_xll.BDP(TICKER,"DEEP_MEASURE_PERIOD_BROKER_VALUE","DEEP_MEASURE_ID_OVERRIDE",$C189,"DEEP_BROKER_ID_OVERRIDE",AV$24,"DEEP_PERIOD_OVERRIDE",$H$19)*1,"")))</f>
        <v/>
      </c>
      <c r="AW189" t="str">
        <f>IF(OR(AW$23="",ISNA($B189)),"",IF(ISBLANK($B189),"",IFERROR(_xll.BDP(TICKER,"DEEP_MEASURE_PERIOD_BROKER_VALUE","DEEP_MEASURE_ID_OVERRIDE",$C189,"DEEP_BROKER_ID_OVERRIDE",AW$24,"DEEP_PERIOD_OVERRIDE",$H$19)*1,"")))</f>
        <v/>
      </c>
      <c r="AX189" t="str">
        <f>IF(OR(AX$23="",ISNA($B189)),"",IF(ISBLANK($B189),"",IFERROR(_xll.BDP(TICKER,"DEEP_MEASURE_PERIOD_BROKER_VALUE","DEEP_MEASURE_ID_OVERRIDE",$C189,"DEEP_BROKER_ID_OVERRIDE",AX$24,"DEEP_PERIOD_OVERRIDE",$H$19)*1,"")))</f>
        <v/>
      </c>
      <c r="AY189" t="str">
        <f>IF(OR(AY$23="",ISNA($B189)),"",IF(ISBLANK($B189),"",IFERROR(_xll.BDP(TICKER,"DEEP_MEASURE_PERIOD_BROKER_VALUE","DEEP_MEASURE_ID_OVERRIDE",$C189,"DEEP_BROKER_ID_OVERRIDE",AY$24,"DEEP_PERIOD_OVERRIDE",$H$19)*1,"")))</f>
        <v/>
      </c>
      <c r="AZ189" t="str">
        <f>IF(OR(AZ$23="",ISNA($B189)),"",IF(ISBLANK($B189),"",IFERROR(_xll.BDP(TICKER,"DEEP_MEASURE_PERIOD_BROKER_VALUE","DEEP_MEASURE_ID_OVERRIDE",$C189,"DEEP_BROKER_ID_OVERRIDE",AZ$24,"DEEP_PERIOD_OVERRIDE",$H$19)*1,"")))</f>
        <v/>
      </c>
      <c r="BA189" t="str">
        <f>IF(OR(BA$23="",ISNA($B189)),"",IF(ISBLANK($B189),"",IFERROR(_xll.BDP(TICKER,"DEEP_MEASURE_PERIOD_BROKER_VALUE","DEEP_MEASURE_ID_OVERRIDE",$C189,"DEEP_BROKER_ID_OVERRIDE",BA$24,"DEEP_PERIOD_OVERRIDE",$H$19)*1,"")))</f>
        <v/>
      </c>
      <c r="BB189" t="str">
        <f>IF(OR(BB$23="",ISNA($B189)),"",IF(ISBLANK($B189),"",IFERROR(_xll.BDP(TICKER,"DEEP_MEASURE_PERIOD_BROKER_VALUE","DEEP_MEASURE_ID_OVERRIDE",$C189,"DEEP_BROKER_ID_OVERRIDE",BB$24,"DEEP_PERIOD_OVERRIDE",$H$19)*1,"")))</f>
        <v/>
      </c>
      <c r="BC189" t="str">
        <f>IF(OR(BC$23="",ISNA($B189)),"",IF(ISBLANK($B189),"",IFERROR(_xll.BDP(TICKER,"DEEP_MEASURE_PERIOD_BROKER_VALUE","DEEP_MEASURE_ID_OVERRIDE",$C189,"DEEP_BROKER_ID_OVERRIDE",BC$24,"DEEP_PERIOD_OVERRIDE",$H$19)*1,"")))</f>
        <v/>
      </c>
      <c r="BD189" t="str">
        <f>IF(OR(BD$23="",ISNA($B189)),"",IF(ISBLANK($B189),"",IFERROR(_xll.BDP(TICKER,"DEEP_MEASURE_PERIOD_BROKER_VALUE","DEEP_MEASURE_ID_OVERRIDE",$C189,"DEEP_BROKER_ID_OVERRIDE",BD$24,"DEEP_PERIOD_OVERRIDE",$H$19)*1,"")))</f>
        <v/>
      </c>
      <c r="BE189" t="str">
        <f>IF(OR(BE$23="",ISNA($B189)),"",IF(ISBLANK($B189),"",IFERROR(_xll.BDP(TICKER,"DEEP_MEASURE_PERIOD_BROKER_VALUE","DEEP_MEASURE_ID_OVERRIDE",$C189,"DEEP_BROKER_ID_OVERRIDE",BE$24,"DEEP_PERIOD_OVERRIDE",$H$19)*1,"")))</f>
        <v/>
      </c>
      <c r="BF189" t="str">
        <f>IF(OR(BF$23="",ISNA($B189)),"",IF(ISBLANK($B189),"",IFERROR(_xll.BDP(TICKER,"DEEP_MEASURE_PERIOD_BROKER_VALUE","DEEP_MEASURE_ID_OVERRIDE",$C189,"DEEP_BROKER_ID_OVERRIDE",BF$24,"DEEP_PERIOD_OVERRIDE",$H$19)*1,"")))</f>
        <v/>
      </c>
      <c r="BG189" t="str">
        <f>IF(OR(BG$23="",ISNA($B189)),"",IF(ISBLANK($B189),"",IFERROR(_xll.BDP(TICKER,"DEEP_MEASURE_PERIOD_BROKER_VALUE","DEEP_MEASURE_ID_OVERRIDE",$C189,"DEEP_BROKER_ID_OVERRIDE",BG$24,"DEEP_PERIOD_OVERRIDE",$H$19)*1,"")))</f>
        <v/>
      </c>
      <c r="BH189" t="str">
        <f>IF(OR(BH$23="",ISNA($B189)),"",IF(ISBLANK($B189),"",IFERROR(_xll.BDP(TICKER,"DEEP_MEASURE_PERIOD_BROKER_VALUE","DEEP_MEASURE_ID_OVERRIDE",$C189,"DEEP_BROKER_ID_OVERRIDE",BH$24,"DEEP_PERIOD_OVERRIDE",$H$19)*1,"")))</f>
        <v/>
      </c>
      <c r="BI189" t="str">
        <f>IF(OR(BI$23="",ISNA($B189)),"",IF(ISBLANK($B189),"",IFERROR(_xll.BDP(TICKER,"DEEP_MEASURE_PERIOD_BROKER_VALUE","DEEP_MEASURE_ID_OVERRIDE",$C189,"DEEP_BROKER_ID_OVERRIDE",BI$24,"DEEP_PERIOD_OVERRIDE",$H$19)*1,"")))</f>
        <v/>
      </c>
      <c r="BJ189" t="str">
        <f>IF(OR(BJ$23="",ISNA($B189)),"",IF(ISBLANK($B189),"",IFERROR(_xll.BDP(TICKER,"DEEP_MEASURE_PERIOD_BROKER_VALUE","DEEP_MEASURE_ID_OVERRIDE",$C189,"DEEP_BROKER_ID_OVERRIDE",BJ$24,"DEEP_PERIOD_OVERRIDE",$H$19)*1,"")))</f>
        <v/>
      </c>
      <c r="BK189" t="str">
        <f>IF(OR(BK$23="",ISNA($B189)),"",IF(ISBLANK($B189),"",IFERROR(_xll.BDP(TICKER,"DEEP_MEASURE_PERIOD_BROKER_VALUE","DEEP_MEASURE_ID_OVERRIDE",$C189,"DEEP_BROKER_ID_OVERRIDE",BK$24,"DEEP_PERIOD_OVERRIDE",$H$19)*1,"")))</f>
        <v/>
      </c>
      <c r="BL189" t="str">
        <f>IF(OR(BL$23="",ISNA($B189)),"",IF(ISBLANK($B189),"",IFERROR(_xll.BDP(TICKER,"DEEP_MEASURE_PERIOD_BROKER_VALUE","DEEP_MEASURE_ID_OVERRIDE",$C189,"DEEP_BROKER_ID_OVERRIDE",BL$24,"DEEP_PERIOD_OVERRIDE",$H$19)*1,"")))</f>
        <v/>
      </c>
      <c r="BM189" t="str">
        <f>IF(OR(BM$23="",ISNA($B189)),"",IF(ISBLANK($B189),"",IFERROR(_xll.BDP(TICKER,"DEEP_MEASURE_PERIOD_BROKER_VALUE","DEEP_MEASURE_ID_OVERRIDE",$C189,"DEEP_BROKER_ID_OVERRIDE",BM$24,"DEEP_PERIOD_OVERRIDE",$H$19)*1,"")))</f>
        <v/>
      </c>
      <c r="BN189" t="str">
        <f>IF(OR(BN$23="",ISNA($B189)),"",IF(ISBLANK($B189),"",IFERROR(_xll.BDP(TICKER,"DEEP_MEASURE_PERIOD_BROKER_VALUE","DEEP_MEASURE_ID_OVERRIDE",$C189,"DEEP_BROKER_ID_OVERRIDE",BN$24,"DEEP_PERIOD_OVERRIDE",$H$19)*1,"")))</f>
        <v/>
      </c>
      <c r="BO189" t="str">
        <f>IF(OR(BO$23="",ISNA($B189)),"",IF(ISBLANK($B189),"",IFERROR(_xll.BDP(TICKER,"DEEP_MEASURE_PERIOD_BROKER_VALUE","DEEP_MEASURE_ID_OVERRIDE",$C189,"DEEP_BROKER_ID_OVERRIDE",BO$24,"DEEP_PERIOD_OVERRIDE",$H$19)*1,"")))</f>
        <v/>
      </c>
      <c r="BP189" t="str">
        <f>IF(OR(BP$23="",ISNA($B189)),"",IF(ISBLANK($B189),"",IFERROR(_xll.BDP(TICKER,"DEEP_MEASURE_PERIOD_BROKER_VALUE","DEEP_MEASURE_ID_OVERRIDE",$C189,"DEEP_BROKER_ID_OVERRIDE",BP$24,"DEEP_PERIOD_OVERRIDE",$H$19)*1,"")))</f>
        <v/>
      </c>
      <c r="BQ189" t="str">
        <f>IF(OR(BQ$23="",ISNA($B189)),"",IF(ISBLANK($B189),"",IFERROR(_xll.BDP(TICKER,"DEEP_MEASURE_PERIOD_BROKER_VALUE","DEEP_MEASURE_ID_OVERRIDE",$C189,"DEEP_BROKER_ID_OVERRIDE",BQ$24,"DEEP_PERIOD_OVERRIDE",$H$19)*1,"")))</f>
        <v/>
      </c>
      <c r="BR189" t="str">
        <f>IF(OR(BR$23="",ISNA($B189)),"",IF(ISBLANK($B189),"",IFERROR(_xll.BDP(TICKER,"DEEP_MEASURE_PERIOD_BROKER_VALUE","DEEP_MEASURE_ID_OVERRIDE",$C189,"DEEP_BROKER_ID_OVERRIDE",BR$24,"DEEP_PERIOD_OVERRIDE",$H$19)*1,"")))</f>
        <v/>
      </c>
      <c r="BS189" t="str">
        <f>IF(OR(BS$23="",ISNA($B189)),"",IF(ISBLANK($B189),"",IFERROR(_xll.BDP(TICKER,"DEEP_MEASURE_PERIOD_BROKER_VALUE","DEEP_MEASURE_ID_OVERRIDE",$C189,"DEEP_BROKER_ID_OVERRIDE",BS$24,"DEEP_PERIOD_OVERRIDE",$H$19)*1,"")))</f>
        <v/>
      </c>
      <c r="BT189" t="str">
        <f>IF(OR(BT$23="",ISNA($B189)),"",IF(ISBLANK($B189),"",IFERROR(_xll.BDP(TICKER,"DEEP_MEASURE_PERIOD_BROKER_VALUE","DEEP_MEASURE_ID_OVERRIDE",$C189,"DEEP_BROKER_ID_OVERRIDE",BT$24,"DEEP_PERIOD_OVERRIDE",$H$19)*1,"")))</f>
        <v/>
      </c>
      <c r="BU189" t="str">
        <f>IF(OR(BU$23="",ISNA($B189)),"",IF(ISBLANK($B189),"",IFERROR(_xll.BDP(TICKER,"DEEP_MEASURE_PERIOD_BROKER_VALUE","DEEP_MEASURE_ID_OVERRIDE",$C189,"DEEP_BROKER_ID_OVERRIDE",BU$24,"DEEP_PERIOD_OVERRIDE",$H$19)*1,"")))</f>
        <v/>
      </c>
      <c r="BV189" t="str">
        <f>IF(OR(BV$23="",ISNA($B189)),"",IF(ISBLANK($B189),"",IFERROR(_xll.BDP(TICKER,"DEEP_MEASURE_PERIOD_BROKER_VALUE","DEEP_MEASURE_ID_OVERRIDE",$C189,"DEEP_BROKER_ID_OVERRIDE",BV$24,"DEEP_PERIOD_OVERRIDE",$H$19)*1,"")))</f>
        <v/>
      </c>
      <c r="BW189" t="str">
        <f>IF(OR(BW$23="",ISNA($B189)),"",IF(ISBLANK($B189),"",IFERROR(_xll.BDP(TICKER,"DEEP_MEASURE_PERIOD_BROKER_VALUE","DEEP_MEASURE_ID_OVERRIDE",$C189,"DEEP_BROKER_ID_OVERRIDE",BW$24,"DEEP_PERIOD_OVERRIDE",$H$19)*1,"")))</f>
        <v/>
      </c>
      <c r="BX189" t="str">
        <f>IF(OR(BX$23="",ISNA($B189)),"",IF(ISBLANK($B189),"",IFERROR(_xll.BDP(TICKER,"DEEP_MEASURE_PERIOD_BROKER_VALUE","DEEP_MEASURE_ID_OVERRIDE",$C189,"DEEP_BROKER_ID_OVERRIDE",BX$24,"DEEP_PERIOD_OVERRIDE",$H$19)*1,"")))</f>
        <v/>
      </c>
      <c r="BY189" t="str">
        <f>IF(OR(BY$23="",ISNA($B189)),"",IF(ISBLANK($B189),"",IFERROR(_xll.BDP(TICKER,"DEEP_MEASURE_PERIOD_BROKER_VALUE","DEEP_MEASURE_ID_OVERRIDE",$C189,"DEEP_BROKER_ID_OVERRIDE",BY$24,"DEEP_PERIOD_OVERRIDE",$H$19)*1,"")))</f>
        <v/>
      </c>
      <c r="BZ189" t="str">
        <f>IF(OR(BZ$23="",ISNA($B189)),"",IF(ISBLANK($B189),"",IFERROR(_xll.BDP(TICKER,"DEEP_MEASURE_PERIOD_BROKER_VALUE","DEEP_MEASURE_ID_OVERRIDE",$C189,"DEEP_BROKER_ID_OVERRIDE",BZ$24,"DEEP_PERIOD_OVERRIDE",$H$19)*1,"")))</f>
        <v/>
      </c>
    </row>
    <row r="190" spans="2:78" x14ac:dyDescent="0.25">
      <c r="B190" t="s">
        <v>62</v>
      </c>
      <c r="C190">
        <v>1599</v>
      </c>
      <c r="H190" t="str">
        <f t="shared" si="3"/>
        <v>Net Debt (Cash)</v>
      </c>
      <c r="I190" t="str">
        <f>IF(OR(I$23="",ISNA($B190)),"",IF(ISBLANK($B190),"",IFERROR(_xll.BDP(TICKER,"DEEP_MEASURE_PERIOD_BROKER_VALUE","DEEP_MEASURE_ID_OVERRIDE",$C190,"DEEP_PERIOD_OVERRIDE",$H$19)*1,"")))</f>
        <v/>
      </c>
      <c r="J190" t="e">
        <f>IF(OR(J$23="",ISNA($B190)),"",IF(ISBLANK($B190),"",IFERROR(_xll.BDP(TICKER,"DEEP_MEASURE_PERIOD_BROKER_VALUE","DEEP_MEASURE_ID_OVERRIDE",$C190,"DEEP_BROKER_ID_OVERRIDE",J$24,"DEEP_PERIOD_OVERRIDE",$H$19)*1,"")))</f>
        <v>#REF!</v>
      </c>
      <c r="K190" t="str">
        <f>IF(OR(K$23="",ISNA($B190)),"",IF(ISBLANK($B190),"",IFERROR(_xll.BDP(TICKER,"DEEP_MEASURE_PERIOD_BROKER_VALUE","DEEP_MEASURE_ID_OVERRIDE",$C190,"DEEP_BROKER_ID_OVERRIDE",K$24,"DEEP_PERIOD_OVERRIDE",$H$19)*1,"")))</f>
        <v/>
      </c>
      <c r="L190" t="str">
        <f>IF(OR(L$23="",ISNA($B190)),"",IF(ISBLANK($B190),"",IFERROR(_xll.BDP(TICKER,"DEEP_MEASURE_PERIOD_BROKER_VALUE","DEEP_MEASURE_ID_OVERRIDE",$C190,"DEEP_BROKER_ID_OVERRIDE",L$24,"DEEP_PERIOD_OVERRIDE",$H$19)*1,"")))</f>
        <v/>
      </c>
      <c r="M190" t="str">
        <f>IF(OR(M$23="",ISNA($B190)),"",IF(ISBLANK($B190),"",IFERROR(_xll.BDP(TICKER,"DEEP_MEASURE_PERIOD_BROKER_VALUE","DEEP_MEASURE_ID_OVERRIDE",$C190,"DEEP_BROKER_ID_OVERRIDE",M$24,"DEEP_PERIOD_OVERRIDE",$H$19)*1,"")))</f>
        <v/>
      </c>
      <c r="N190" t="str">
        <f>IF(OR(N$23="",ISNA($B190)),"",IF(ISBLANK($B190),"",IFERROR(_xll.BDP(TICKER,"DEEP_MEASURE_PERIOD_BROKER_VALUE","DEEP_MEASURE_ID_OVERRIDE",$C190,"DEEP_BROKER_ID_OVERRIDE",N$24,"DEEP_PERIOD_OVERRIDE",$H$19)*1,"")))</f>
        <v/>
      </c>
      <c r="O190" t="str">
        <f>IF(OR(O$23="",ISNA($B190)),"",IF(ISBLANK($B190),"",IFERROR(_xll.BDP(TICKER,"DEEP_MEASURE_PERIOD_BROKER_VALUE","DEEP_MEASURE_ID_OVERRIDE",$C190,"DEEP_BROKER_ID_OVERRIDE",O$24,"DEEP_PERIOD_OVERRIDE",$H$19)*1,"")))</f>
        <v/>
      </c>
      <c r="P190" t="str">
        <f>IF(OR(P$23="",ISNA($B190)),"",IF(ISBLANK($B190),"",IFERROR(_xll.BDP(TICKER,"DEEP_MEASURE_PERIOD_BROKER_VALUE","DEEP_MEASURE_ID_OVERRIDE",$C190,"DEEP_BROKER_ID_OVERRIDE",P$24,"DEEP_PERIOD_OVERRIDE",$H$19)*1,"")))</f>
        <v/>
      </c>
      <c r="Q190" t="str">
        <f>IF(OR(Q$23="",ISNA($B190)),"",IF(ISBLANK($B190),"",IFERROR(_xll.BDP(TICKER,"DEEP_MEASURE_PERIOD_BROKER_VALUE","DEEP_MEASURE_ID_OVERRIDE",$C190,"DEEP_BROKER_ID_OVERRIDE",Q$24,"DEEP_PERIOD_OVERRIDE",$H$19)*1,"")))</f>
        <v/>
      </c>
      <c r="R190" t="str">
        <f>IF(OR(R$23="",ISNA($B190)),"",IF(ISBLANK($B190),"",IFERROR(_xll.BDP(TICKER,"DEEP_MEASURE_PERIOD_BROKER_VALUE","DEEP_MEASURE_ID_OVERRIDE",$C190,"DEEP_BROKER_ID_OVERRIDE",R$24,"DEEP_PERIOD_OVERRIDE",$H$19)*1,"")))</f>
        <v/>
      </c>
      <c r="S190" t="str">
        <f>IF(OR(S$23="",ISNA($B190)),"",IF(ISBLANK($B190),"",IFERROR(_xll.BDP(TICKER,"DEEP_MEASURE_PERIOD_BROKER_VALUE","DEEP_MEASURE_ID_OVERRIDE",$C190,"DEEP_BROKER_ID_OVERRIDE",S$24,"DEEP_PERIOD_OVERRIDE",$H$19)*1,"")))</f>
        <v/>
      </c>
      <c r="T190" t="str">
        <f>IF(OR(T$23="",ISNA($B190)),"",IF(ISBLANK($B190),"",IFERROR(_xll.BDP(TICKER,"DEEP_MEASURE_PERIOD_BROKER_VALUE","DEEP_MEASURE_ID_OVERRIDE",$C190,"DEEP_BROKER_ID_OVERRIDE",T$24,"DEEP_PERIOD_OVERRIDE",$H$19)*1,"")))</f>
        <v/>
      </c>
      <c r="U190" t="str">
        <f>IF(OR(U$23="",ISNA($B190)),"",IF(ISBLANK($B190),"",IFERROR(_xll.BDP(TICKER,"DEEP_MEASURE_PERIOD_BROKER_VALUE","DEEP_MEASURE_ID_OVERRIDE",$C190,"DEEP_BROKER_ID_OVERRIDE",U$24,"DEEP_PERIOD_OVERRIDE",$H$19)*1,"")))</f>
        <v/>
      </c>
      <c r="V190" t="str">
        <f>IF(OR(V$23="",ISNA($B190)),"",IF(ISBLANK($B190),"",IFERROR(_xll.BDP(TICKER,"DEEP_MEASURE_PERIOD_BROKER_VALUE","DEEP_MEASURE_ID_OVERRIDE",$C190,"DEEP_BROKER_ID_OVERRIDE",V$24,"DEEP_PERIOD_OVERRIDE",$H$19)*1,"")))</f>
        <v/>
      </c>
      <c r="W190" t="str">
        <f>IF(OR(W$23="",ISNA($B190)),"",IF(ISBLANK($B190),"",IFERROR(_xll.BDP(TICKER,"DEEP_MEASURE_PERIOD_BROKER_VALUE","DEEP_MEASURE_ID_OVERRIDE",$C190,"DEEP_BROKER_ID_OVERRIDE",W$24,"DEEP_PERIOD_OVERRIDE",$H$19)*1,"")))</f>
        <v/>
      </c>
      <c r="X190" t="str">
        <f>IF(OR(X$23="",ISNA($B190)),"",IF(ISBLANK($B190),"",IFERROR(_xll.BDP(TICKER,"DEEP_MEASURE_PERIOD_BROKER_VALUE","DEEP_MEASURE_ID_OVERRIDE",$C190,"DEEP_BROKER_ID_OVERRIDE",X$24,"DEEP_PERIOD_OVERRIDE",$H$19)*1,"")))</f>
        <v/>
      </c>
      <c r="Y190" t="str">
        <f>IF(OR(Y$23="",ISNA($B190)),"",IF(ISBLANK($B190),"",IFERROR(_xll.BDP(TICKER,"DEEP_MEASURE_PERIOD_BROKER_VALUE","DEEP_MEASURE_ID_OVERRIDE",$C190,"DEEP_BROKER_ID_OVERRIDE",Y$24,"DEEP_PERIOD_OVERRIDE",$H$19)*1,"")))</f>
        <v/>
      </c>
      <c r="Z190" t="str">
        <f>IF(OR(Z$23="",ISNA($B190)),"",IF(ISBLANK($B190),"",IFERROR(_xll.BDP(TICKER,"DEEP_MEASURE_PERIOD_BROKER_VALUE","DEEP_MEASURE_ID_OVERRIDE",$C190,"DEEP_BROKER_ID_OVERRIDE",Z$24,"DEEP_PERIOD_OVERRIDE",$H$19)*1,"")))</f>
        <v/>
      </c>
      <c r="AA190" t="str">
        <f>IF(OR(AA$23="",ISNA($B190)),"",IF(ISBLANK($B190),"",IFERROR(_xll.BDP(TICKER,"DEEP_MEASURE_PERIOD_BROKER_VALUE","DEEP_MEASURE_ID_OVERRIDE",$C190,"DEEP_BROKER_ID_OVERRIDE",AA$24,"DEEP_PERIOD_OVERRIDE",$H$19)*1,"")))</f>
        <v/>
      </c>
      <c r="AB190" t="str">
        <f>IF(OR(AB$23="",ISNA($B190)),"",IF(ISBLANK($B190),"",IFERROR(_xll.BDP(TICKER,"DEEP_MEASURE_PERIOD_BROKER_VALUE","DEEP_MEASURE_ID_OVERRIDE",$C190,"DEEP_BROKER_ID_OVERRIDE",AB$24,"DEEP_PERIOD_OVERRIDE",$H$19)*1,"")))</f>
        <v/>
      </c>
      <c r="AC190" t="str">
        <f>IF(OR(AC$23="",ISNA($B190)),"",IF(ISBLANK($B190),"",IFERROR(_xll.BDP(TICKER,"DEEP_MEASURE_PERIOD_BROKER_VALUE","DEEP_MEASURE_ID_OVERRIDE",$C190,"DEEP_BROKER_ID_OVERRIDE",AC$24,"DEEP_PERIOD_OVERRIDE",$H$19)*1,"")))</f>
        <v/>
      </c>
      <c r="AD190" t="str">
        <f>IF(OR(AD$23="",ISNA($B190)),"",IF(ISBLANK($B190),"",IFERROR(_xll.BDP(TICKER,"DEEP_MEASURE_PERIOD_BROKER_VALUE","DEEP_MEASURE_ID_OVERRIDE",$C190,"DEEP_BROKER_ID_OVERRIDE",AD$24,"DEEP_PERIOD_OVERRIDE",$H$19)*1,"")))</f>
        <v/>
      </c>
      <c r="AE190" t="str">
        <f>IF(OR(AE$23="",ISNA($B190)),"",IF(ISBLANK($B190),"",IFERROR(_xll.BDP(TICKER,"DEEP_MEASURE_PERIOD_BROKER_VALUE","DEEP_MEASURE_ID_OVERRIDE",$C190,"DEEP_BROKER_ID_OVERRIDE",AE$24,"DEEP_PERIOD_OVERRIDE",$H$19)*1,"")))</f>
        <v/>
      </c>
      <c r="AF190" t="str">
        <f>IF(OR(AF$23="",ISNA($B190)),"",IF(ISBLANK($B190),"",IFERROR(_xll.BDP(TICKER,"DEEP_MEASURE_PERIOD_BROKER_VALUE","DEEP_MEASURE_ID_OVERRIDE",$C190,"DEEP_BROKER_ID_OVERRIDE",AF$24,"DEEP_PERIOD_OVERRIDE",$H$19)*1,"")))</f>
        <v/>
      </c>
      <c r="AG190" t="str">
        <f>IF(OR(AG$23="",ISNA($B190)),"",IF(ISBLANK($B190),"",IFERROR(_xll.BDP(TICKER,"DEEP_MEASURE_PERIOD_BROKER_VALUE","DEEP_MEASURE_ID_OVERRIDE",$C190,"DEEP_BROKER_ID_OVERRIDE",AG$24,"DEEP_PERIOD_OVERRIDE",$H$19)*1,"")))</f>
        <v/>
      </c>
      <c r="AH190" t="str">
        <f>IF(OR(AH$23="",ISNA($B190)),"",IF(ISBLANK($B190),"",IFERROR(_xll.BDP(TICKER,"DEEP_MEASURE_PERIOD_BROKER_VALUE","DEEP_MEASURE_ID_OVERRIDE",$C190,"DEEP_BROKER_ID_OVERRIDE",AH$24,"DEEP_PERIOD_OVERRIDE",$H$19)*1,"")))</f>
        <v/>
      </c>
      <c r="AI190" t="str">
        <f>IF(OR(AI$23="",ISNA($B190)),"",IF(ISBLANK($B190),"",IFERROR(_xll.BDP(TICKER,"DEEP_MEASURE_PERIOD_BROKER_VALUE","DEEP_MEASURE_ID_OVERRIDE",$C190,"DEEP_BROKER_ID_OVERRIDE",AI$24,"DEEP_PERIOD_OVERRIDE",$H$19)*1,"")))</f>
        <v/>
      </c>
      <c r="AJ190" t="str">
        <f>IF(OR(AJ$23="",ISNA($B190)),"",IF(ISBLANK($B190),"",IFERROR(_xll.BDP(TICKER,"DEEP_MEASURE_PERIOD_BROKER_VALUE","DEEP_MEASURE_ID_OVERRIDE",$C190,"DEEP_BROKER_ID_OVERRIDE",AJ$24,"DEEP_PERIOD_OVERRIDE",$H$19)*1,"")))</f>
        <v/>
      </c>
      <c r="AK190" t="str">
        <f>IF(OR(AK$23="",ISNA($B190)),"",IF(ISBLANK($B190),"",IFERROR(_xll.BDP(TICKER,"DEEP_MEASURE_PERIOD_BROKER_VALUE","DEEP_MEASURE_ID_OVERRIDE",$C190,"DEEP_BROKER_ID_OVERRIDE",AK$24,"DEEP_PERIOD_OVERRIDE",$H$19)*1,"")))</f>
        <v/>
      </c>
      <c r="AL190" t="str">
        <f>IF(OR(AL$23="",ISNA($B190)),"",IF(ISBLANK($B190),"",IFERROR(_xll.BDP(TICKER,"DEEP_MEASURE_PERIOD_BROKER_VALUE","DEEP_MEASURE_ID_OVERRIDE",$C190,"DEEP_BROKER_ID_OVERRIDE",AL$24,"DEEP_PERIOD_OVERRIDE",$H$19)*1,"")))</f>
        <v/>
      </c>
      <c r="AM190" t="str">
        <f>IF(OR(AM$23="",ISNA($B190)),"",IF(ISBLANK($B190),"",IFERROR(_xll.BDP(TICKER,"DEEP_MEASURE_PERIOD_BROKER_VALUE","DEEP_MEASURE_ID_OVERRIDE",$C190,"DEEP_BROKER_ID_OVERRIDE",AM$24,"DEEP_PERIOD_OVERRIDE",$H$19)*1,"")))</f>
        <v/>
      </c>
      <c r="AN190" t="str">
        <f>IF(OR(AN$23="",ISNA($B190)),"",IF(ISBLANK($B190),"",IFERROR(_xll.BDP(TICKER,"DEEP_MEASURE_PERIOD_BROKER_VALUE","DEEP_MEASURE_ID_OVERRIDE",$C190,"DEEP_BROKER_ID_OVERRIDE",AN$24,"DEEP_PERIOD_OVERRIDE",$H$19)*1,"")))</f>
        <v/>
      </c>
      <c r="AO190" t="str">
        <f>IF(OR(AO$23="",ISNA($B190)),"",IF(ISBLANK($B190),"",IFERROR(_xll.BDP(TICKER,"DEEP_MEASURE_PERIOD_BROKER_VALUE","DEEP_MEASURE_ID_OVERRIDE",$C190,"DEEP_BROKER_ID_OVERRIDE",AO$24,"DEEP_PERIOD_OVERRIDE",$H$19)*1,"")))</f>
        <v/>
      </c>
      <c r="AP190" t="str">
        <f>IF(OR(AP$23="",ISNA($B190)),"",IF(ISBLANK($B190),"",IFERROR(_xll.BDP(TICKER,"DEEP_MEASURE_PERIOD_BROKER_VALUE","DEEP_MEASURE_ID_OVERRIDE",$C190,"DEEP_BROKER_ID_OVERRIDE",AP$24,"DEEP_PERIOD_OVERRIDE",$H$19)*1,"")))</f>
        <v/>
      </c>
      <c r="AQ190" t="str">
        <f>IF(OR(AQ$23="",ISNA($B190)),"",IF(ISBLANK($B190),"",IFERROR(_xll.BDP(TICKER,"DEEP_MEASURE_PERIOD_BROKER_VALUE","DEEP_MEASURE_ID_OVERRIDE",$C190,"DEEP_BROKER_ID_OVERRIDE",AQ$24,"DEEP_PERIOD_OVERRIDE",$H$19)*1,"")))</f>
        <v/>
      </c>
      <c r="AR190" t="str">
        <f>IF(OR(AR$23="",ISNA($B190)),"",IF(ISBLANK($B190),"",IFERROR(_xll.BDP(TICKER,"DEEP_MEASURE_PERIOD_BROKER_VALUE","DEEP_MEASURE_ID_OVERRIDE",$C190,"DEEP_BROKER_ID_OVERRIDE",AR$24,"DEEP_PERIOD_OVERRIDE",$H$19)*1,"")))</f>
        <v/>
      </c>
      <c r="AS190" t="str">
        <f>IF(OR(AS$23="",ISNA($B190)),"",IF(ISBLANK($B190),"",IFERROR(_xll.BDP(TICKER,"DEEP_MEASURE_PERIOD_BROKER_VALUE","DEEP_MEASURE_ID_OVERRIDE",$C190,"DEEP_BROKER_ID_OVERRIDE",AS$24,"DEEP_PERIOD_OVERRIDE",$H$19)*1,"")))</f>
        <v/>
      </c>
      <c r="AT190" t="str">
        <f>IF(OR(AT$23="",ISNA($B190)),"",IF(ISBLANK($B190),"",IFERROR(_xll.BDP(TICKER,"DEEP_MEASURE_PERIOD_BROKER_VALUE","DEEP_MEASURE_ID_OVERRIDE",$C190,"DEEP_BROKER_ID_OVERRIDE",AT$24,"DEEP_PERIOD_OVERRIDE",$H$19)*1,"")))</f>
        <v/>
      </c>
      <c r="AU190" t="str">
        <f>IF(OR(AU$23="",ISNA($B190)),"",IF(ISBLANK($B190),"",IFERROR(_xll.BDP(TICKER,"DEEP_MEASURE_PERIOD_BROKER_VALUE","DEEP_MEASURE_ID_OVERRIDE",$C190,"DEEP_BROKER_ID_OVERRIDE",AU$24,"DEEP_PERIOD_OVERRIDE",$H$19)*1,"")))</f>
        <v/>
      </c>
      <c r="AV190" t="str">
        <f>IF(OR(AV$23="",ISNA($B190)),"",IF(ISBLANK($B190),"",IFERROR(_xll.BDP(TICKER,"DEEP_MEASURE_PERIOD_BROKER_VALUE","DEEP_MEASURE_ID_OVERRIDE",$C190,"DEEP_BROKER_ID_OVERRIDE",AV$24,"DEEP_PERIOD_OVERRIDE",$H$19)*1,"")))</f>
        <v/>
      </c>
      <c r="AW190" t="str">
        <f>IF(OR(AW$23="",ISNA($B190)),"",IF(ISBLANK($B190),"",IFERROR(_xll.BDP(TICKER,"DEEP_MEASURE_PERIOD_BROKER_VALUE","DEEP_MEASURE_ID_OVERRIDE",$C190,"DEEP_BROKER_ID_OVERRIDE",AW$24,"DEEP_PERIOD_OVERRIDE",$H$19)*1,"")))</f>
        <v/>
      </c>
      <c r="AX190" t="str">
        <f>IF(OR(AX$23="",ISNA($B190)),"",IF(ISBLANK($B190),"",IFERROR(_xll.BDP(TICKER,"DEEP_MEASURE_PERIOD_BROKER_VALUE","DEEP_MEASURE_ID_OVERRIDE",$C190,"DEEP_BROKER_ID_OVERRIDE",AX$24,"DEEP_PERIOD_OVERRIDE",$H$19)*1,"")))</f>
        <v/>
      </c>
      <c r="AY190" t="str">
        <f>IF(OR(AY$23="",ISNA($B190)),"",IF(ISBLANK($B190),"",IFERROR(_xll.BDP(TICKER,"DEEP_MEASURE_PERIOD_BROKER_VALUE","DEEP_MEASURE_ID_OVERRIDE",$C190,"DEEP_BROKER_ID_OVERRIDE",AY$24,"DEEP_PERIOD_OVERRIDE",$H$19)*1,"")))</f>
        <v/>
      </c>
      <c r="AZ190" t="str">
        <f>IF(OR(AZ$23="",ISNA($B190)),"",IF(ISBLANK($B190),"",IFERROR(_xll.BDP(TICKER,"DEEP_MEASURE_PERIOD_BROKER_VALUE","DEEP_MEASURE_ID_OVERRIDE",$C190,"DEEP_BROKER_ID_OVERRIDE",AZ$24,"DEEP_PERIOD_OVERRIDE",$H$19)*1,"")))</f>
        <v/>
      </c>
      <c r="BA190" t="str">
        <f>IF(OR(BA$23="",ISNA($B190)),"",IF(ISBLANK($B190),"",IFERROR(_xll.BDP(TICKER,"DEEP_MEASURE_PERIOD_BROKER_VALUE","DEEP_MEASURE_ID_OVERRIDE",$C190,"DEEP_BROKER_ID_OVERRIDE",BA$24,"DEEP_PERIOD_OVERRIDE",$H$19)*1,"")))</f>
        <v/>
      </c>
      <c r="BB190" t="str">
        <f>IF(OR(BB$23="",ISNA($B190)),"",IF(ISBLANK($B190),"",IFERROR(_xll.BDP(TICKER,"DEEP_MEASURE_PERIOD_BROKER_VALUE","DEEP_MEASURE_ID_OVERRIDE",$C190,"DEEP_BROKER_ID_OVERRIDE",BB$24,"DEEP_PERIOD_OVERRIDE",$H$19)*1,"")))</f>
        <v/>
      </c>
      <c r="BC190" t="str">
        <f>IF(OR(BC$23="",ISNA($B190)),"",IF(ISBLANK($B190),"",IFERROR(_xll.BDP(TICKER,"DEEP_MEASURE_PERIOD_BROKER_VALUE","DEEP_MEASURE_ID_OVERRIDE",$C190,"DEEP_BROKER_ID_OVERRIDE",BC$24,"DEEP_PERIOD_OVERRIDE",$H$19)*1,"")))</f>
        <v/>
      </c>
      <c r="BD190" t="str">
        <f>IF(OR(BD$23="",ISNA($B190)),"",IF(ISBLANK($B190),"",IFERROR(_xll.BDP(TICKER,"DEEP_MEASURE_PERIOD_BROKER_VALUE","DEEP_MEASURE_ID_OVERRIDE",$C190,"DEEP_BROKER_ID_OVERRIDE",BD$24,"DEEP_PERIOD_OVERRIDE",$H$19)*1,"")))</f>
        <v/>
      </c>
      <c r="BE190" t="str">
        <f>IF(OR(BE$23="",ISNA($B190)),"",IF(ISBLANK($B190),"",IFERROR(_xll.BDP(TICKER,"DEEP_MEASURE_PERIOD_BROKER_VALUE","DEEP_MEASURE_ID_OVERRIDE",$C190,"DEEP_BROKER_ID_OVERRIDE",BE$24,"DEEP_PERIOD_OVERRIDE",$H$19)*1,"")))</f>
        <v/>
      </c>
      <c r="BF190" t="str">
        <f>IF(OR(BF$23="",ISNA($B190)),"",IF(ISBLANK($B190),"",IFERROR(_xll.BDP(TICKER,"DEEP_MEASURE_PERIOD_BROKER_VALUE","DEEP_MEASURE_ID_OVERRIDE",$C190,"DEEP_BROKER_ID_OVERRIDE",BF$24,"DEEP_PERIOD_OVERRIDE",$H$19)*1,"")))</f>
        <v/>
      </c>
      <c r="BG190" t="str">
        <f>IF(OR(BG$23="",ISNA($B190)),"",IF(ISBLANK($B190),"",IFERROR(_xll.BDP(TICKER,"DEEP_MEASURE_PERIOD_BROKER_VALUE","DEEP_MEASURE_ID_OVERRIDE",$C190,"DEEP_BROKER_ID_OVERRIDE",BG$24,"DEEP_PERIOD_OVERRIDE",$H$19)*1,"")))</f>
        <v/>
      </c>
      <c r="BH190" t="str">
        <f>IF(OR(BH$23="",ISNA($B190)),"",IF(ISBLANK($B190),"",IFERROR(_xll.BDP(TICKER,"DEEP_MEASURE_PERIOD_BROKER_VALUE","DEEP_MEASURE_ID_OVERRIDE",$C190,"DEEP_BROKER_ID_OVERRIDE",BH$24,"DEEP_PERIOD_OVERRIDE",$H$19)*1,"")))</f>
        <v/>
      </c>
      <c r="BI190" t="str">
        <f>IF(OR(BI$23="",ISNA($B190)),"",IF(ISBLANK($B190),"",IFERROR(_xll.BDP(TICKER,"DEEP_MEASURE_PERIOD_BROKER_VALUE","DEEP_MEASURE_ID_OVERRIDE",$C190,"DEEP_BROKER_ID_OVERRIDE",BI$24,"DEEP_PERIOD_OVERRIDE",$H$19)*1,"")))</f>
        <v/>
      </c>
      <c r="BJ190" t="str">
        <f>IF(OR(BJ$23="",ISNA($B190)),"",IF(ISBLANK($B190),"",IFERROR(_xll.BDP(TICKER,"DEEP_MEASURE_PERIOD_BROKER_VALUE","DEEP_MEASURE_ID_OVERRIDE",$C190,"DEEP_BROKER_ID_OVERRIDE",BJ$24,"DEEP_PERIOD_OVERRIDE",$H$19)*1,"")))</f>
        <v/>
      </c>
      <c r="BK190" t="str">
        <f>IF(OR(BK$23="",ISNA($B190)),"",IF(ISBLANK($B190),"",IFERROR(_xll.BDP(TICKER,"DEEP_MEASURE_PERIOD_BROKER_VALUE","DEEP_MEASURE_ID_OVERRIDE",$C190,"DEEP_BROKER_ID_OVERRIDE",BK$24,"DEEP_PERIOD_OVERRIDE",$H$19)*1,"")))</f>
        <v/>
      </c>
      <c r="BL190" t="str">
        <f>IF(OR(BL$23="",ISNA($B190)),"",IF(ISBLANK($B190),"",IFERROR(_xll.BDP(TICKER,"DEEP_MEASURE_PERIOD_BROKER_VALUE","DEEP_MEASURE_ID_OVERRIDE",$C190,"DEEP_BROKER_ID_OVERRIDE",BL$24,"DEEP_PERIOD_OVERRIDE",$H$19)*1,"")))</f>
        <v/>
      </c>
      <c r="BM190" t="str">
        <f>IF(OR(BM$23="",ISNA($B190)),"",IF(ISBLANK($B190),"",IFERROR(_xll.BDP(TICKER,"DEEP_MEASURE_PERIOD_BROKER_VALUE","DEEP_MEASURE_ID_OVERRIDE",$C190,"DEEP_BROKER_ID_OVERRIDE",BM$24,"DEEP_PERIOD_OVERRIDE",$H$19)*1,"")))</f>
        <v/>
      </c>
      <c r="BN190" t="str">
        <f>IF(OR(BN$23="",ISNA($B190)),"",IF(ISBLANK($B190),"",IFERROR(_xll.BDP(TICKER,"DEEP_MEASURE_PERIOD_BROKER_VALUE","DEEP_MEASURE_ID_OVERRIDE",$C190,"DEEP_BROKER_ID_OVERRIDE",BN$24,"DEEP_PERIOD_OVERRIDE",$H$19)*1,"")))</f>
        <v/>
      </c>
      <c r="BO190" t="str">
        <f>IF(OR(BO$23="",ISNA($B190)),"",IF(ISBLANK($B190),"",IFERROR(_xll.BDP(TICKER,"DEEP_MEASURE_PERIOD_BROKER_VALUE","DEEP_MEASURE_ID_OVERRIDE",$C190,"DEEP_BROKER_ID_OVERRIDE",BO$24,"DEEP_PERIOD_OVERRIDE",$H$19)*1,"")))</f>
        <v/>
      </c>
      <c r="BP190" t="str">
        <f>IF(OR(BP$23="",ISNA($B190)),"",IF(ISBLANK($B190),"",IFERROR(_xll.BDP(TICKER,"DEEP_MEASURE_PERIOD_BROKER_VALUE","DEEP_MEASURE_ID_OVERRIDE",$C190,"DEEP_BROKER_ID_OVERRIDE",BP$24,"DEEP_PERIOD_OVERRIDE",$H$19)*1,"")))</f>
        <v/>
      </c>
      <c r="BQ190" t="str">
        <f>IF(OR(BQ$23="",ISNA($B190)),"",IF(ISBLANK($B190),"",IFERROR(_xll.BDP(TICKER,"DEEP_MEASURE_PERIOD_BROKER_VALUE","DEEP_MEASURE_ID_OVERRIDE",$C190,"DEEP_BROKER_ID_OVERRIDE",BQ$24,"DEEP_PERIOD_OVERRIDE",$H$19)*1,"")))</f>
        <v/>
      </c>
      <c r="BR190" t="str">
        <f>IF(OR(BR$23="",ISNA($B190)),"",IF(ISBLANK($B190),"",IFERROR(_xll.BDP(TICKER,"DEEP_MEASURE_PERIOD_BROKER_VALUE","DEEP_MEASURE_ID_OVERRIDE",$C190,"DEEP_BROKER_ID_OVERRIDE",BR$24,"DEEP_PERIOD_OVERRIDE",$H$19)*1,"")))</f>
        <v/>
      </c>
      <c r="BS190" t="str">
        <f>IF(OR(BS$23="",ISNA($B190)),"",IF(ISBLANK($B190),"",IFERROR(_xll.BDP(TICKER,"DEEP_MEASURE_PERIOD_BROKER_VALUE","DEEP_MEASURE_ID_OVERRIDE",$C190,"DEEP_BROKER_ID_OVERRIDE",BS$24,"DEEP_PERIOD_OVERRIDE",$H$19)*1,"")))</f>
        <v/>
      </c>
      <c r="BT190" t="str">
        <f>IF(OR(BT$23="",ISNA($B190)),"",IF(ISBLANK($B190),"",IFERROR(_xll.BDP(TICKER,"DEEP_MEASURE_PERIOD_BROKER_VALUE","DEEP_MEASURE_ID_OVERRIDE",$C190,"DEEP_BROKER_ID_OVERRIDE",BT$24,"DEEP_PERIOD_OVERRIDE",$H$19)*1,"")))</f>
        <v/>
      </c>
      <c r="BU190" t="str">
        <f>IF(OR(BU$23="",ISNA($B190)),"",IF(ISBLANK($B190),"",IFERROR(_xll.BDP(TICKER,"DEEP_MEASURE_PERIOD_BROKER_VALUE","DEEP_MEASURE_ID_OVERRIDE",$C190,"DEEP_BROKER_ID_OVERRIDE",BU$24,"DEEP_PERIOD_OVERRIDE",$H$19)*1,"")))</f>
        <v/>
      </c>
      <c r="BV190" t="str">
        <f>IF(OR(BV$23="",ISNA($B190)),"",IF(ISBLANK($B190),"",IFERROR(_xll.BDP(TICKER,"DEEP_MEASURE_PERIOD_BROKER_VALUE","DEEP_MEASURE_ID_OVERRIDE",$C190,"DEEP_BROKER_ID_OVERRIDE",BV$24,"DEEP_PERIOD_OVERRIDE",$H$19)*1,"")))</f>
        <v/>
      </c>
      <c r="BW190" t="str">
        <f>IF(OR(BW$23="",ISNA($B190)),"",IF(ISBLANK($B190),"",IFERROR(_xll.BDP(TICKER,"DEEP_MEASURE_PERIOD_BROKER_VALUE","DEEP_MEASURE_ID_OVERRIDE",$C190,"DEEP_BROKER_ID_OVERRIDE",BW$24,"DEEP_PERIOD_OVERRIDE",$H$19)*1,"")))</f>
        <v/>
      </c>
      <c r="BX190" t="str">
        <f>IF(OR(BX$23="",ISNA($B190)),"",IF(ISBLANK($B190),"",IFERROR(_xll.BDP(TICKER,"DEEP_MEASURE_PERIOD_BROKER_VALUE","DEEP_MEASURE_ID_OVERRIDE",$C190,"DEEP_BROKER_ID_OVERRIDE",BX$24,"DEEP_PERIOD_OVERRIDE",$H$19)*1,"")))</f>
        <v/>
      </c>
      <c r="BY190" t="str">
        <f>IF(OR(BY$23="",ISNA($B190)),"",IF(ISBLANK($B190),"",IFERROR(_xll.BDP(TICKER,"DEEP_MEASURE_PERIOD_BROKER_VALUE","DEEP_MEASURE_ID_OVERRIDE",$C190,"DEEP_BROKER_ID_OVERRIDE",BY$24,"DEEP_PERIOD_OVERRIDE",$H$19)*1,"")))</f>
        <v/>
      </c>
      <c r="BZ190" t="str">
        <f>IF(OR(BZ$23="",ISNA($B190)),"",IF(ISBLANK($B190),"",IFERROR(_xll.BDP(TICKER,"DEEP_MEASURE_PERIOD_BROKER_VALUE","DEEP_MEASURE_ID_OVERRIDE",$C190,"DEEP_BROKER_ID_OVERRIDE",BZ$24,"DEEP_PERIOD_OVERRIDE",$H$19)*1,"")))</f>
        <v/>
      </c>
    </row>
    <row r="191" spans="2:78" x14ac:dyDescent="0.25">
      <c r="B191" t="s">
        <v>63</v>
      </c>
      <c r="C191">
        <v>3242</v>
      </c>
      <c r="H191" t="str">
        <f t="shared" si="3"/>
        <v>Total Debt to Capital</v>
      </c>
      <c r="I191" t="str">
        <f>IF(OR(I$23="",ISNA($B191)),"",IF(ISBLANK($B191),"",IFERROR(_xll.BDP(TICKER,"DEEP_MEASURE_PERIOD_BROKER_VALUE","DEEP_MEASURE_ID_OVERRIDE",$C191,"DEEP_PERIOD_OVERRIDE",$H$19)*1,"")))</f>
        <v/>
      </c>
      <c r="J191" t="e">
        <f>IF(OR(J$23="",ISNA($B191)),"",IF(ISBLANK($B191),"",IFERROR(_xll.BDP(TICKER,"DEEP_MEASURE_PERIOD_BROKER_VALUE","DEEP_MEASURE_ID_OVERRIDE",$C191,"DEEP_BROKER_ID_OVERRIDE",J$24,"DEEP_PERIOD_OVERRIDE",$H$19)*1,"")))</f>
        <v>#REF!</v>
      </c>
      <c r="K191" t="str">
        <f>IF(OR(K$23="",ISNA($B191)),"",IF(ISBLANK($B191),"",IFERROR(_xll.BDP(TICKER,"DEEP_MEASURE_PERIOD_BROKER_VALUE","DEEP_MEASURE_ID_OVERRIDE",$C191,"DEEP_BROKER_ID_OVERRIDE",K$24,"DEEP_PERIOD_OVERRIDE",$H$19)*1,"")))</f>
        <v/>
      </c>
      <c r="L191" t="str">
        <f>IF(OR(L$23="",ISNA($B191)),"",IF(ISBLANK($B191),"",IFERROR(_xll.BDP(TICKER,"DEEP_MEASURE_PERIOD_BROKER_VALUE","DEEP_MEASURE_ID_OVERRIDE",$C191,"DEEP_BROKER_ID_OVERRIDE",L$24,"DEEP_PERIOD_OVERRIDE",$H$19)*1,"")))</f>
        <v/>
      </c>
      <c r="M191" t="str">
        <f>IF(OR(M$23="",ISNA($B191)),"",IF(ISBLANK($B191),"",IFERROR(_xll.BDP(TICKER,"DEEP_MEASURE_PERIOD_BROKER_VALUE","DEEP_MEASURE_ID_OVERRIDE",$C191,"DEEP_BROKER_ID_OVERRIDE",M$24,"DEEP_PERIOD_OVERRIDE",$H$19)*1,"")))</f>
        <v/>
      </c>
      <c r="N191" t="str">
        <f>IF(OR(N$23="",ISNA($B191)),"",IF(ISBLANK($B191),"",IFERROR(_xll.BDP(TICKER,"DEEP_MEASURE_PERIOD_BROKER_VALUE","DEEP_MEASURE_ID_OVERRIDE",$C191,"DEEP_BROKER_ID_OVERRIDE",N$24,"DEEP_PERIOD_OVERRIDE",$H$19)*1,"")))</f>
        <v/>
      </c>
      <c r="O191" t="str">
        <f>IF(OR(O$23="",ISNA($B191)),"",IF(ISBLANK($B191),"",IFERROR(_xll.BDP(TICKER,"DEEP_MEASURE_PERIOD_BROKER_VALUE","DEEP_MEASURE_ID_OVERRIDE",$C191,"DEEP_BROKER_ID_OVERRIDE",O$24,"DEEP_PERIOD_OVERRIDE",$H$19)*1,"")))</f>
        <v/>
      </c>
      <c r="P191" t="str">
        <f>IF(OR(P$23="",ISNA($B191)),"",IF(ISBLANK($B191),"",IFERROR(_xll.BDP(TICKER,"DEEP_MEASURE_PERIOD_BROKER_VALUE","DEEP_MEASURE_ID_OVERRIDE",$C191,"DEEP_BROKER_ID_OVERRIDE",P$24,"DEEP_PERIOD_OVERRIDE",$H$19)*1,"")))</f>
        <v/>
      </c>
      <c r="Q191" t="str">
        <f>IF(OR(Q$23="",ISNA($B191)),"",IF(ISBLANK($B191),"",IFERROR(_xll.BDP(TICKER,"DEEP_MEASURE_PERIOD_BROKER_VALUE","DEEP_MEASURE_ID_OVERRIDE",$C191,"DEEP_BROKER_ID_OVERRIDE",Q$24,"DEEP_PERIOD_OVERRIDE",$H$19)*1,"")))</f>
        <v/>
      </c>
      <c r="R191" t="str">
        <f>IF(OR(R$23="",ISNA($B191)),"",IF(ISBLANK($B191),"",IFERROR(_xll.BDP(TICKER,"DEEP_MEASURE_PERIOD_BROKER_VALUE","DEEP_MEASURE_ID_OVERRIDE",$C191,"DEEP_BROKER_ID_OVERRIDE",R$24,"DEEP_PERIOD_OVERRIDE",$H$19)*1,"")))</f>
        <v/>
      </c>
      <c r="S191" t="str">
        <f>IF(OR(S$23="",ISNA($B191)),"",IF(ISBLANK($B191),"",IFERROR(_xll.BDP(TICKER,"DEEP_MEASURE_PERIOD_BROKER_VALUE","DEEP_MEASURE_ID_OVERRIDE",$C191,"DEEP_BROKER_ID_OVERRIDE",S$24,"DEEP_PERIOD_OVERRIDE",$H$19)*1,"")))</f>
        <v/>
      </c>
      <c r="T191" t="str">
        <f>IF(OR(T$23="",ISNA($B191)),"",IF(ISBLANK($B191),"",IFERROR(_xll.BDP(TICKER,"DEEP_MEASURE_PERIOD_BROKER_VALUE","DEEP_MEASURE_ID_OVERRIDE",$C191,"DEEP_BROKER_ID_OVERRIDE",T$24,"DEEP_PERIOD_OVERRIDE",$H$19)*1,"")))</f>
        <v/>
      </c>
      <c r="U191" t="str">
        <f>IF(OR(U$23="",ISNA($B191)),"",IF(ISBLANK($B191),"",IFERROR(_xll.BDP(TICKER,"DEEP_MEASURE_PERIOD_BROKER_VALUE","DEEP_MEASURE_ID_OVERRIDE",$C191,"DEEP_BROKER_ID_OVERRIDE",U$24,"DEEP_PERIOD_OVERRIDE",$H$19)*1,"")))</f>
        <v/>
      </c>
      <c r="V191" t="str">
        <f>IF(OR(V$23="",ISNA($B191)),"",IF(ISBLANK($B191),"",IFERROR(_xll.BDP(TICKER,"DEEP_MEASURE_PERIOD_BROKER_VALUE","DEEP_MEASURE_ID_OVERRIDE",$C191,"DEEP_BROKER_ID_OVERRIDE",V$24,"DEEP_PERIOD_OVERRIDE",$H$19)*1,"")))</f>
        <v/>
      </c>
      <c r="W191" t="str">
        <f>IF(OR(W$23="",ISNA($B191)),"",IF(ISBLANK($B191),"",IFERROR(_xll.BDP(TICKER,"DEEP_MEASURE_PERIOD_BROKER_VALUE","DEEP_MEASURE_ID_OVERRIDE",$C191,"DEEP_BROKER_ID_OVERRIDE",W$24,"DEEP_PERIOD_OVERRIDE",$H$19)*1,"")))</f>
        <v/>
      </c>
      <c r="X191" t="str">
        <f>IF(OR(X$23="",ISNA($B191)),"",IF(ISBLANK($B191),"",IFERROR(_xll.BDP(TICKER,"DEEP_MEASURE_PERIOD_BROKER_VALUE","DEEP_MEASURE_ID_OVERRIDE",$C191,"DEEP_BROKER_ID_OVERRIDE",X$24,"DEEP_PERIOD_OVERRIDE",$H$19)*1,"")))</f>
        <v/>
      </c>
      <c r="Y191" t="str">
        <f>IF(OR(Y$23="",ISNA($B191)),"",IF(ISBLANK($B191),"",IFERROR(_xll.BDP(TICKER,"DEEP_MEASURE_PERIOD_BROKER_VALUE","DEEP_MEASURE_ID_OVERRIDE",$C191,"DEEP_BROKER_ID_OVERRIDE",Y$24,"DEEP_PERIOD_OVERRIDE",$H$19)*1,"")))</f>
        <v/>
      </c>
      <c r="Z191" t="str">
        <f>IF(OR(Z$23="",ISNA($B191)),"",IF(ISBLANK($B191),"",IFERROR(_xll.BDP(TICKER,"DEEP_MEASURE_PERIOD_BROKER_VALUE","DEEP_MEASURE_ID_OVERRIDE",$C191,"DEEP_BROKER_ID_OVERRIDE",Z$24,"DEEP_PERIOD_OVERRIDE",$H$19)*1,"")))</f>
        <v/>
      </c>
      <c r="AA191" t="str">
        <f>IF(OR(AA$23="",ISNA($B191)),"",IF(ISBLANK($B191),"",IFERROR(_xll.BDP(TICKER,"DEEP_MEASURE_PERIOD_BROKER_VALUE","DEEP_MEASURE_ID_OVERRIDE",$C191,"DEEP_BROKER_ID_OVERRIDE",AA$24,"DEEP_PERIOD_OVERRIDE",$H$19)*1,"")))</f>
        <v/>
      </c>
      <c r="AB191" t="str">
        <f>IF(OR(AB$23="",ISNA($B191)),"",IF(ISBLANK($B191),"",IFERROR(_xll.BDP(TICKER,"DEEP_MEASURE_PERIOD_BROKER_VALUE","DEEP_MEASURE_ID_OVERRIDE",$C191,"DEEP_BROKER_ID_OVERRIDE",AB$24,"DEEP_PERIOD_OVERRIDE",$H$19)*1,"")))</f>
        <v/>
      </c>
      <c r="AC191" t="str">
        <f>IF(OR(AC$23="",ISNA($B191)),"",IF(ISBLANK($B191),"",IFERROR(_xll.BDP(TICKER,"DEEP_MEASURE_PERIOD_BROKER_VALUE","DEEP_MEASURE_ID_OVERRIDE",$C191,"DEEP_BROKER_ID_OVERRIDE",AC$24,"DEEP_PERIOD_OVERRIDE",$H$19)*1,"")))</f>
        <v/>
      </c>
      <c r="AD191" t="str">
        <f>IF(OR(AD$23="",ISNA($B191)),"",IF(ISBLANK($B191),"",IFERROR(_xll.BDP(TICKER,"DEEP_MEASURE_PERIOD_BROKER_VALUE","DEEP_MEASURE_ID_OVERRIDE",$C191,"DEEP_BROKER_ID_OVERRIDE",AD$24,"DEEP_PERIOD_OVERRIDE",$H$19)*1,"")))</f>
        <v/>
      </c>
      <c r="AE191" t="str">
        <f>IF(OR(AE$23="",ISNA($B191)),"",IF(ISBLANK($B191),"",IFERROR(_xll.BDP(TICKER,"DEEP_MEASURE_PERIOD_BROKER_VALUE","DEEP_MEASURE_ID_OVERRIDE",$C191,"DEEP_BROKER_ID_OVERRIDE",AE$24,"DEEP_PERIOD_OVERRIDE",$H$19)*1,"")))</f>
        <v/>
      </c>
      <c r="AF191" t="str">
        <f>IF(OR(AF$23="",ISNA($B191)),"",IF(ISBLANK($B191),"",IFERROR(_xll.BDP(TICKER,"DEEP_MEASURE_PERIOD_BROKER_VALUE","DEEP_MEASURE_ID_OVERRIDE",$C191,"DEEP_BROKER_ID_OVERRIDE",AF$24,"DEEP_PERIOD_OVERRIDE",$H$19)*1,"")))</f>
        <v/>
      </c>
      <c r="AG191" t="str">
        <f>IF(OR(AG$23="",ISNA($B191)),"",IF(ISBLANK($B191),"",IFERROR(_xll.BDP(TICKER,"DEEP_MEASURE_PERIOD_BROKER_VALUE","DEEP_MEASURE_ID_OVERRIDE",$C191,"DEEP_BROKER_ID_OVERRIDE",AG$24,"DEEP_PERIOD_OVERRIDE",$H$19)*1,"")))</f>
        <v/>
      </c>
      <c r="AH191" t="str">
        <f>IF(OR(AH$23="",ISNA($B191)),"",IF(ISBLANK($B191),"",IFERROR(_xll.BDP(TICKER,"DEEP_MEASURE_PERIOD_BROKER_VALUE","DEEP_MEASURE_ID_OVERRIDE",$C191,"DEEP_BROKER_ID_OVERRIDE",AH$24,"DEEP_PERIOD_OVERRIDE",$H$19)*1,"")))</f>
        <v/>
      </c>
      <c r="AI191" t="str">
        <f>IF(OR(AI$23="",ISNA($B191)),"",IF(ISBLANK($B191),"",IFERROR(_xll.BDP(TICKER,"DEEP_MEASURE_PERIOD_BROKER_VALUE","DEEP_MEASURE_ID_OVERRIDE",$C191,"DEEP_BROKER_ID_OVERRIDE",AI$24,"DEEP_PERIOD_OVERRIDE",$H$19)*1,"")))</f>
        <v/>
      </c>
      <c r="AJ191" t="str">
        <f>IF(OR(AJ$23="",ISNA($B191)),"",IF(ISBLANK($B191),"",IFERROR(_xll.BDP(TICKER,"DEEP_MEASURE_PERIOD_BROKER_VALUE","DEEP_MEASURE_ID_OVERRIDE",$C191,"DEEP_BROKER_ID_OVERRIDE",AJ$24,"DEEP_PERIOD_OVERRIDE",$H$19)*1,"")))</f>
        <v/>
      </c>
      <c r="AK191" t="str">
        <f>IF(OR(AK$23="",ISNA($B191)),"",IF(ISBLANK($B191),"",IFERROR(_xll.BDP(TICKER,"DEEP_MEASURE_PERIOD_BROKER_VALUE","DEEP_MEASURE_ID_OVERRIDE",$C191,"DEEP_BROKER_ID_OVERRIDE",AK$24,"DEEP_PERIOD_OVERRIDE",$H$19)*1,"")))</f>
        <v/>
      </c>
      <c r="AL191" t="str">
        <f>IF(OR(AL$23="",ISNA($B191)),"",IF(ISBLANK($B191),"",IFERROR(_xll.BDP(TICKER,"DEEP_MEASURE_PERIOD_BROKER_VALUE","DEEP_MEASURE_ID_OVERRIDE",$C191,"DEEP_BROKER_ID_OVERRIDE",AL$24,"DEEP_PERIOD_OVERRIDE",$H$19)*1,"")))</f>
        <v/>
      </c>
      <c r="AM191" t="str">
        <f>IF(OR(AM$23="",ISNA($B191)),"",IF(ISBLANK($B191),"",IFERROR(_xll.BDP(TICKER,"DEEP_MEASURE_PERIOD_BROKER_VALUE","DEEP_MEASURE_ID_OVERRIDE",$C191,"DEEP_BROKER_ID_OVERRIDE",AM$24,"DEEP_PERIOD_OVERRIDE",$H$19)*1,"")))</f>
        <v/>
      </c>
      <c r="AN191" t="str">
        <f>IF(OR(AN$23="",ISNA($B191)),"",IF(ISBLANK($B191),"",IFERROR(_xll.BDP(TICKER,"DEEP_MEASURE_PERIOD_BROKER_VALUE","DEEP_MEASURE_ID_OVERRIDE",$C191,"DEEP_BROKER_ID_OVERRIDE",AN$24,"DEEP_PERIOD_OVERRIDE",$H$19)*1,"")))</f>
        <v/>
      </c>
      <c r="AO191" t="str">
        <f>IF(OR(AO$23="",ISNA($B191)),"",IF(ISBLANK($B191),"",IFERROR(_xll.BDP(TICKER,"DEEP_MEASURE_PERIOD_BROKER_VALUE","DEEP_MEASURE_ID_OVERRIDE",$C191,"DEEP_BROKER_ID_OVERRIDE",AO$24,"DEEP_PERIOD_OVERRIDE",$H$19)*1,"")))</f>
        <v/>
      </c>
      <c r="AP191" t="str">
        <f>IF(OR(AP$23="",ISNA($B191)),"",IF(ISBLANK($B191),"",IFERROR(_xll.BDP(TICKER,"DEEP_MEASURE_PERIOD_BROKER_VALUE","DEEP_MEASURE_ID_OVERRIDE",$C191,"DEEP_BROKER_ID_OVERRIDE",AP$24,"DEEP_PERIOD_OVERRIDE",$H$19)*1,"")))</f>
        <v/>
      </c>
      <c r="AQ191" t="str">
        <f>IF(OR(AQ$23="",ISNA($B191)),"",IF(ISBLANK($B191),"",IFERROR(_xll.BDP(TICKER,"DEEP_MEASURE_PERIOD_BROKER_VALUE","DEEP_MEASURE_ID_OVERRIDE",$C191,"DEEP_BROKER_ID_OVERRIDE",AQ$24,"DEEP_PERIOD_OVERRIDE",$H$19)*1,"")))</f>
        <v/>
      </c>
      <c r="AR191" t="str">
        <f>IF(OR(AR$23="",ISNA($B191)),"",IF(ISBLANK($B191),"",IFERROR(_xll.BDP(TICKER,"DEEP_MEASURE_PERIOD_BROKER_VALUE","DEEP_MEASURE_ID_OVERRIDE",$C191,"DEEP_BROKER_ID_OVERRIDE",AR$24,"DEEP_PERIOD_OVERRIDE",$H$19)*1,"")))</f>
        <v/>
      </c>
      <c r="AS191" t="str">
        <f>IF(OR(AS$23="",ISNA($B191)),"",IF(ISBLANK($B191),"",IFERROR(_xll.BDP(TICKER,"DEEP_MEASURE_PERIOD_BROKER_VALUE","DEEP_MEASURE_ID_OVERRIDE",$C191,"DEEP_BROKER_ID_OVERRIDE",AS$24,"DEEP_PERIOD_OVERRIDE",$H$19)*1,"")))</f>
        <v/>
      </c>
      <c r="AT191" t="str">
        <f>IF(OR(AT$23="",ISNA($B191)),"",IF(ISBLANK($B191),"",IFERROR(_xll.BDP(TICKER,"DEEP_MEASURE_PERIOD_BROKER_VALUE","DEEP_MEASURE_ID_OVERRIDE",$C191,"DEEP_BROKER_ID_OVERRIDE",AT$24,"DEEP_PERIOD_OVERRIDE",$H$19)*1,"")))</f>
        <v/>
      </c>
      <c r="AU191" t="str">
        <f>IF(OR(AU$23="",ISNA($B191)),"",IF(ISBLANK($B191),"",IFERROR(_xll.BDP(TICKER,"DEEP_MEASURE_PERIOD_BROKER_VALUE","DEEP_MEASURE_ID_OVERRIDE",$C191,"DEEP_BROKER_ID_OVERRIDE",AU$24,"DEEP_PERIOD_OVERRIDE",$H$19)*1,"")))</f>
        <v/>
      </c>
      <c r="AV191" t="str">
        <f>IF(OR(AV$23="",ISNA($B191)),"",IF(ISBLANK($B191),"",IFERROR(_xll.BDP(TICKER,"DEEP_MEASURE_PERIOD_BROKER_VALUE","DEEP_MEASURE_ID_OVERRIDE",$C191,"DEEP_BROKER_ID_OVERRIDE",AV$24,"DEEP_PERIOD_OVERRIDE",$H$19)*1,"")))</f>
        <v/>
      </c>
      <c r="AW191" t="str">
        <f>IF(OR(AW$23="",ISNA($B191)),"",IF(ISBLANK($B191),"",IFERROR(_xll.BDP(TICKER,"DEEP_MEASURE_PERIOD_BROKER_VALUE","DEEP_MEASURE_ID_OVERRIDE",$C191,"DEEP_BROKER_ID_OVERRIDE",AW$24,"DEEP_PERIOD_OVERRIDE",$H$19)*1,"")))</f>
        <v/>
      </c>
      <c r="AX191" t="str">
        <f>IF(OR(AX$23="",ISNA($B191)),"",IF(ISBLANK($B191),"",IFERROR(_xll.BDP(TICKER,"DEEP_MEASURE_PERIOD_BROKER_VALUE","DEEP_MEASURE_ID_OVERRIDE",$C191,"DEEP_BROKER_ID_OVERRIDE",AX$24,"DEEP_PERIOD_OVERRIDE",$H$19)*1,"")))</f>
        <v/>
      </c>
      <c r="AY191" t="str">
        <f>IF(OR(AY$23="",ISNA($B191)),"",IF(ISBLANK($B191),"",IFERROR(_xll.BDP(TICKER,"DEEP_MEASURE_PERIOD_BROKER_VALUE","DEEP_MEASURE_ID_OVERRIDE",$C191,"DEEP_BROKER_ID_OVERRIDE",AY$24,"DEEP_PERIOD_OVERRIDE",$H$19)*1,"")))</f>
        <v/>
      </c>
      <c r="AZ191" t="str">
        <f>IF(OR(AZ$23="",ISNA($B191)),"",IF(ISBLANK($B191),"",IFERROR(_xll.BDP(TICKER,"DEEP_MEASURE_PERIOD_BROKER_VALUE","DEEP_MEASURE_ID_OVERRIDE",$C191,"DEEP_BROKER_ID_OVERRIDE",AZ$24,"DEEP_PERIOD_OVERRIDE",$H$19)*1,"")))</f>
        <v/>
      </c>
      <c r="BA191" t="str">
        <f>IF(OR(BA$23="",ISNA($B191)),"",IF(ISBLANK($B191),"",IFERROR(_xll.BDP(TICKER,"DEEP_MEASURE_PERIOD_BROKER_VALUE","DEEP_MEASURE_ID_OVERRIDE",$C191,"DEEP_BROKER_ID_OVERRIDE",BA$24,"DEEP_PERIOD_OVERRIDE",$H$19)*1,"")))</f>
        <v/>
      </c>
      <c r="BB191" t="str">
        <f>IF(OR(BB$23="",ISNA($B191)),"",IF(ISBLANK($B191),"",IFERROR(_xll.BDP(TICKER,"DEEP_MEASURE_PERIOD_BROKER_VALUE","DEEP_MEASURE_ID_OVERRIDE",$C191,"DEEP_BROKER_ID_OVERRIDE",BB$24,"DEEP_PERIOD_OVERRIDE",$H$19)*1,"")))</f>
        <v/>
      </c>
      <c r="BC191" t="str">
        <f>IF(OR(BC$23="",ISNA($B191)),"",IF(ISBLANK($B191),"",IFERROR(_xll.BDP(TICKER,"DEEP_MEASURE_PERIOD_BROKER_VALUE","DEEP_MEASURE_ID_OVERRIDE",$C191,"DEEP_BROKER_ID_OVERRIDE",BC$24,"DEEP_PERIOD_OVERRIDE",$H$19)*1,"")))</f>
        <v/>
      </c>
      <c r="BD191" t="str">
        <f>IF(OR(BD$23="",ISNA($B191)),"",IF(ISBLANK($B191),"",IFERROR(_xll.BDP(TICKER,"DEEP_MEASURE_PERIOD_BROKER_VALUE","DEEP_MEASURE_ID_OVERRIDE",$C191,"DEEP_BROKER_ID_OVERRIDE",BD$24,"DEEP_PERIOD_OVERRIDE",$H$19)*1,"")))</f>
        <v/>
      </c>
      <c r="BE191" t="str">
        <f>IF(OR(BE$23="",ISNA($B191)),"",IF(ISBLANK($B191),"",IFERROR(_xll.BDP(TICKER,"DEEP_MEASURE_PERIOD_BROKER_VALUE","DEEP_MEASURE_ID_OVERRIDE",$C191,"DEEP_BROKER_ID_OVERRIDE",BE$24,"DEEP_PERIOD_OVERRIDE",$H$19)*1,"")))</f>
        <v/>
      </c>
      <c r="BF191" t="str">
        <f>IF(OR(BF$23="",ISNA($B191)),"",IF(ISBLANK($B191),"",IFERROR(_xll.BDP(TICKER,"DEEP_MEASURE_PERIOD_BROKER_VALUE","DEEP_MEASURE_ID_OVERRIDE",$C191,"DEEP_BROKER_ID_OVERRIDE",BF$24,"DEEP_PERIOD_OVERRIDE",$H$19)*1,"")))</f>
        <v/>
      </c>
      <c r="BG191" t="str">
        <f>IF(OR(BG$23="",ISNA($B191)),"",IF(ISBLANK($B191),"",IFERROR(_xll.BDP(TICKER,"DEEP_MEASURE_PERIOD_BROKER_VALUE","DEEP_MEASURE_ID_OVERRIDE",$C191,"DEEP_BROKER_ID_OVERRIDE",BG$24,"DEEP_PERIOD_OVERRIDE",$H$19)*1,"")))</f>
        <v/>
      </c>
      <c r="BH191" t="str">
        <f>IF(OR(BH$23="",ISNA($B191)),"",IF(ISBLANK($B191),"",IFERROR(_xll.BDP(TICKER,"DEEP_MEASURE_PERIOD_BROKER_VALUE","DEEP_MEASURE_ID_OVERRIDE",$C191,"DEEP_BROKER_ID_OVERRIDE",BH$24,"DEEP_PERIOD_OVERRIDE",$H$19)*1,"")))</f>
        <v/>
      </c>
      <c r="BI191" t="str">
        <f>IF(OR(BI$23="",ISNA($B191)),"",IF(ISBLANK($B191),"",IFERROR(_xll.BDP(TICKER,"DEEP_MEASURE_PERIOD_BROKER_VALUE","DEEP_MEASURE_ID_OVERRIDE",$C191,"DEEP_BROKER_ID_OVERRIDE",BI$24,"DEEP_PERIOD_OVERRIDE",$H$19)*1,"")))</f>
        <v/>
      </c>
      <c r="BJ191" t="str">
        <f>IF(OR(BJ$23="",ISNA($B191)),"",IF(ISBLANK($B191),"",IFERROR(_xll.BDP(TICKER,"DEEP_MEASURE_PERIOD_BROKER_VALUE","DEEP_MEASURE_ID_OVERRIDE",$C191,"DEEP_BROKER_ID_OVERRIDE",BJ$24,"DEEP_PERIOD_OVERRIDE",$H$19)*1,"")))</f>
        <v/>
      </c>
      <c r="BK191" t="str">
        <f>IF(OR(BK$23="",ISNA($B191)),"",IF(ISBLANK($B191),"",IFERROR(_xll.BDP(TICKER,"DEEP_MEASURE_PERIOD_BROKER_VALUE","DEEP_MEASURE_ID_OVERRIDE",$C191,"DEEP_BROKER_ID_OVERRIDE",BK$24,"DEEP_PERIOD_OVERRIDE",$H$19)*1,"")))</f>
        <v/>
      </c>
      <c r="BL191" t="str">
        <f>IF(OR(BL$23="",ISNA($B191)),"",IF(ISBLANK($B191),"",IFERROR(_xll.BDP(TICKER,"DEEP_MEASURE_PERIOD_BROKER_VALUE","DEEP_MEASURE_ID_OVERRIDE",$C191,"DEEP_BROKER_ID_OVERRIDE",BL$24,"DEEP_PERIOD_OVERRIDE",$H$19)*1,"")))</f>
        <v/>
      </c>
      <c r="BM191" t="str">
        <f>IF(OR(BM$23="",ISNA($B191)),"",IF(ISBLANK($B191),"",IFERROR(_xll.BDP(TICKER,"DEEP_MEASURE_PERIOD_BROKER_VALUE","DEEP_MEASURE_ID_OVERRIDE",$C191,"DEEP_BROKER_ID_OVERRIDE",BM$24,"DEEP_PERIOD_OVERRIDE",$H$19)*1,"")))</f>
        <v/>
      </c>
      <c r="BN191" t="str">
        <f>IF(OR(BN$23="",ISNA($B191)),"",IF(ISBLANK($B191),"",IFERROR(_xll.BDP(TICKER,"DEEP_MEASURE_PERIOD_BROKER_VALUE","DEEP_MEASURE_ID_OVERRIDE",$C191,"DEEP_BROKER_ID_OVERRIDE",BN$24,"DEEP_PERIOD_OVERRIDE",$H$19)*1,"")))</f>
        <v/>
      </c>
      <c r="BO191" t="str">
        <f>IF(OR(BO$23="",ISNA($B191)),"",IF(ISBLANK($B191),"",IFERROR(_xll.BDP(TICKER,"DEEP_MEASURE_PERIOD_BROKER_VALUE","DEEP_MEASURE_ID_OVERRIDE",$C191,"DEEP_BROKER_ID_OVERRIDE",BO$24,"DEEP_PERIOD_OVERRIDE",$H$19)*1,"")))</f>
        <v/>
      </c>
      <c r="BP191" t="str">
        <f>IF(OR(BP$23="",ISNA($B191)),"",IF(ISBLANK($B191),"",IFERROR(_xll.BDP(TICKER,"DEEP_MEASURE_PERIOD_BROKER_VALUE","DEEP_MEASURE_ID_OVERRIDE",$C191,"DEEP_BROKER_ID_OVERRIDE",BP$24,"DEEP_PERIOD_OVERRIDE",$H$19)*1,"")))</f>
        <v/>
      </c>
      <c r="BQ191" t="str">
        <f>IF(OR(BQ$23="",ISNA($B191)),"",IF(ISBLANK($B191),"",IFERROR(_xll.BDP(TICKER,"DEEP_MEASURE_PERIOD_BROKER_VALUE","DEEP_MEASURE_ID_OVERRIDE",$C191,"DEEP_BROKER_ID_OVERRIDE",BQ$24,"DEEP_PERIOD_OVERRIDE",$H$19)*1,"")))</f>
        <v/>
      </c>
      <c r="BR191" t="str">
        <f>IF(OR(BR$23="",ISNA($B191)),"",IF(ISBLANK($B191),"",IFERROR(_xll.BDP(TICKER,"DEEP_MEASURE_PERIOD_BROKER_VALUE","DEEP_MEASURE_ID_OVERRIDE",$C191,"DEEP_BROKER_ID_OVERRIDE",BR$24,"DEEP_PERIOD_OVERRIDE",$H$19)*1,"")))</f>
        <v/>
      </c>
      <c r="BS191" t="str">
        <f>IF(OR(BS$23="",ISNA($B191)),"",IF(ISBLANK($B191),"",IFERROR(_xll.BDP(TICKER,"DEEP_MEASURE_PERIOD_BROKER_VALUE","DEEP_MEASURE_ID_OVERRIDE",$C191,"DEEP_BROKER_ID_OVERRIDE",BS$24,"DEEP_PERIOD_OVERRIDE",$H$19)*1,"")))</f>
        <v/>
      </c>
      <c r="BT191" t="str">
        <f>IF(OR(BT$23="",ISNA($B191)),"",IF(ISBLANK($B191),"",IFERROR(_xll.BDP(TICKER,"DEEP_MEASURE_PERIOD_BROKER_VALUE","DEEP_MEASURE_ID_OVERRIDE",$C191,"DEEP_BROKER_ID_OVERRIDE",BT$24,"DEEP_PERIOD_OVERRIDE",$H$19)*1,"")))</f>
        <v/>
      </c>
      <c r="BU191" t="str">
        <f>IF(OR(BU$23="",ISNA($B191)),"",IF(ISBLANK($B191),"",IFERROR(_xll.BDP(TICKER,"DEEP_MEASURE_PERIOD_BROKER_VALUE","DEEP_MEASURE_ID_OVERRIDE",$C191,"DEEP_BROKER_ID_OVERRIDE",BU$24,"DEEP_PERIOD_OVERRIDE",$H$19)*1,"")))</f>
        <v/>
      </c>
      <c r="BV191" t="str">
        <f>IF(OR(BV$23="",ISNA($B191)),"",IF(ISBLANK($B191),"",IFERROR(_xll.BDP(TICKER,"DEEP_MEASURE_PERIOD_BROKER_VALUE","DEEP_MEASURE_ID_OVERRIDE",$C191,"DEEP_BROKER_ID_OVERRIDE",BV$24,"DEEP_PERIOD_OVERRIDE",$H$19)*1,"")))</f>
        <v/>
      </c>
      <c r="BW191" t="str">
        <f>IF(OR(BW$23="",ISNA($B191)),"",IF(ISBLANK($B191),"",IFERROR(_xll.BDP(TICKER,"DEEP_MEASURE_PERIOD_BROKER_VALUE","DEEP_MEASURE_ID_OVERRIDE",$C191,"DEEP_BROKER_ID_OVERRIDE",BW$24,"DEEP_PERIOD_OVERRIDE",$H$19)*1,"")))</f>
        <v/>
      </c>
      <c r="BX191" t="str">
        <f>IF(OR(BX$23="",ISNA($B191)),"",IF(ISBLANK($B191),"",IFERROR(_xll.BDP(TICKER,"DEEP_MEASURE_PERIOD_BROKER_VALUE","DEEP_MEASURE_ID_OVERRIDE",$C191,"DEEP_BROKER_ID_OVERRIDE",BX$24,"DEEP_PERIOD_OVERRIDE",$H$19)*1,"")))</f>
        <v/>
      </c>
      <c r="BY191" t="str">
        <f>IF(OR(BY$23="",ISNA($B191)),"",IF(ISBLANK($B191),"",IFERROR(_xll.BDP(TICKER,"DEEP_MEASURE_PERIOD_BROKER_VALUE","DEEP_MEASURE_ID_OVERRIDE",$C191,"DEEP_BROKER_ID_OVERRIDE",BY$24,"DEEP_PERIOD_OVERRIDE",$H$19)*1,"")))</f>
        <v/>
      </c>
      <c r="BZ191" t="str">
        <f>IF(OR(BZ$23="",ISNA($B191)),"",IF(ISBLANK($B191),"",IFERROR(_xll.BDP(TICKER,"DEEP_MEASURE_PERIOD_BROKER_VALUE","DEEP_MEASURE_ID_OVERRIDE",$C191,"DEEP_BROKER_ID_OVERRIDE",BZ$24,"DEEP_PERIOD_OVERRIDE",$H$19)*1,"")))</f>
        <v/>
      </c>
    </row>
    <row r="192" spans="2:78" x14ac:dyDescent="0.25">
      <c r="B192" t="s">
        <v>64</v>
      </c>
      <c r="C192">
        <v>352</v>
      </c>
      <c r="H192" t="str">
        <f t="shared" si="3"/>
        <v>Cash from Operations Activities &gt; Net Income, GAAP</v>
      </c>
      <c r="I192" t="str">
        <f>IF(OR(I$23="",ISNA($B192)),"",IF(ISBLANK($B192),"",IFERROR(_xll.BDP(TICKER,"DEEP_MEASURE_PERIOD_BROKER_VALUE","DEEP_MEASURE_ID_OVERRIDE",$C192,"DEEP_PERIOD_OVERRIDE",$H$19)*1,"")))</f>
        <v/>
      </c>
      <c r="J192" t="e">
        <f>IF(OR(J$23="",ISNA($B192)),"",IF(ISBLANK($B192),"",IFERROR(_xll.BDP(TICKER,"DEEP_MEASURE_PERIOD_BROKER_VALUE","DEEP_MEASURE_ID_OVERRIDE",$C192,"DEEP_BROKER_ID_OVERRIDE",J$24,"DEEP_PERIOD_OVERRIDE",$H$19)*1,"")))</f>
        <v>#REF!</v>
      </c>
      <c r="K192" t="str">
        <f>IF(OR(K$23="",ISNA($B192)),"",IF(ISBLANK($B192),"",IFERROR(_xll.BDP(TICKER,"DEEP_MEASURE_PERIOD_BROKER_VALUE","DEEP_MEASURE_ID_OVERRIDE",$C192,"DEEP_BROKER_ID_OVERRIDE",K$24,"DEEP_PERIOD_OVERRIDE",$H$19)*1,"")))</f>
        <v/>
      </c>
      <c r="L192" t="str">
        <f>IF(OR(L$23="",ISNA($B192)),"",IF(ISBLANK($B192),"",IFERROR(_xll.BDP(TICKER,"DEEP_MEASURE_PERIOD_BROKER_VALUE","DEEP_MEASURE_ID_OVERRIDE",$C192,"DEEP_BROKER_ID_OVERRIDE",L$24,"DEEP_PERIOD_OVERRIDE",$H$19)*1,"")))</f>
        <v/>
      </c>
      <c r="M192" t="str">
        <f>IF(OR(M$23="",ISNA($B192)),"",IF(ISBLANK($B192),"",IFERROR(_xll.BDP(TICKER,"DEEP_MEASURE_PERIOD_BROKER_VALUE","DEEP_MEASURE_ID_OVERRIDE",$C192,"DEEP_BROKER_ID_OVERRIDE",M$24,"DEEP_PERIOD_OVERRIDE",$H$19)*1,"")))</f>
        <v/>
      </c>
      <c r="N192" t="str">
        <f>IF(OR(N$23="",ISNA($B192)),"",IF(ISBLANK($B192),"",IFERROR(_xll.BDP(TICKER,"DEEP_MEASURE_PERIOD_BROKER_VALUE","DEEP_MEASURE_ID_OVERRIDE",$C192,"DEEP_BROKER_ID_OVERRIDE",N$24,"DEEP_PERIOD_OVERRIDE",$H$19)*1,"")))</f>
        <v/>
      </c>
      <c r="O192" t="str">
        <f>IF(OR(O$23="",ISNA($B192)),"",IF(ISBLANK($B192),"",IFERROR(_xll.BDP(TICKER,"DEEP_MEASURE_PERIOD_BROKER_VALUE","DEEP_MEASURE_ID_OVERRIDE",$C192,"DEEP_BROKER_ID_OVERRIDE",O$24,"DEEP_PERIOD_OVERRIDE",$H$19)*1,"")))</f>
        <v/>
      </c>
      <c r="P192" t="str">
        <f>IF(OR(P$23="",ISNA($B192)),"",IF(ISBLANK($B192),"",IFERROR(_xll.BDP(TICKER,"DEEP_MEASURE_PERIOD_BROKER_VALUE","DEEP_MEASURE_ID_OVERRIDE",$C192,"DEEP_BROKER_ID_OVERRIDE",P$24,"DEEP_PERIOD_OVERRIDE",$H$19)*1,"")))</f>
        <v/>
      </c>
      <c r="Q192" t="str">
        <f>IF(OR(Q$23="",ISNA($B192)),"",IF(ISBLANK($B192),"",IFERROR(_xll.BDP(TICKER,"DEEP_MEASURE_PERIOD_BROKER_VALUE","DEEP_MEASURE_ID_OVERRIDE",$C192,"DEEP_BROKER_ID_OVERRIDE",Q$24,"DEEP_PERIOD_OVERRIDE",$H$19)*1,"")))</f>
        <v/>
      </c>
      <c r="R192" t="str">
        <f>IF(OR(R$23="",ISNA($B192)),"",IF(ISBLANK($B192),"",IFERROR(_xll.BDP(TICKER,"DEEP_MEASURE_PERIOD_BROKER_VALUE","DEEP_MEASURE_ID_OVERRIDE",$C192,"DEEP_BROKER_ID_OVERRIDE",R$24,"DEEP_PERIOD_OVERRIDE",$H$19)*1,"")))</f>
        <v/>
      </c>
      <c r="S192" t="str">
        <f>IF(OR(S$23="",ISNA($B192)),"",IF(ISBLANK($B192),"",IFERROR(_xll.BDP(TICKER,"DEEP_MEASURE_PERIOD_BROKER_VALUE","DEEP_MEASURE_ID_OVERRIDE",$C192,"DEEP_BROKER_ID_OVERRIDE",S$24,"DEEP_PERIOD_OVERRIDE",$H$19)*1,"")))</f>
        <v/>
      </c>
      <c r="T192" t="str">
        <f>IF(OR(T$23="",ISNA($B192)),"",IF(ISBLANK($B192),"",IFERROR(_xll.BDP(TICKER,"DEEP_MEASURE_PERIOD_BROKER_VALUE","DEEP_MEASURE_ID_OVERRIDE",$C192,"DEEP_BROKER_ID_OVERRIDE",T$24,"DEEP_PERIOD_OVERRIDE",$H$19)*1,"")))</f>
        <v/>
      </c>
      <c r="U192" t="str">
        <f>IF(OR(U$23="",ISNA($B192)),"",IF(ISBLANK($B192),"",IFERROR(_xll.BDP(TICKER,"DEEP_MEASURE_PERIOD_BROKER_VALUE","DEEP_MEASURE_ID_OVERRIDE",$C192,"DEEP_BROKER_ID_OVERRIDE",U$24,"DEEP_PERIOD_OVERRIDE",$H$19)*1,"")))</f>
        <v/>
      </c>
      <c r="V192" t="str">
        <f>IF(OR(V$23="",ISNA($B192)),"",IF(ISBLANK($B192),"",IFERROR(_xll.BDP(TICKER,"DEEP_MEASURE_PERIOD_BROKER_VALUE","DEEP_MEASURE_ID_OVERRIDE",$C192,"DEEP_BROKER_ID_OVERRIDE",V$24,"DEEP_PERIOD_OVERRIDE",$H$19)*1,"")))</f>
        <v/>
      </c>
      <c r="W192" t="str">
        <f>IF(OR(W$23="",ISNA($B192)),"",IF(ISBLANK($B192),"",IFERROR(_xll.BDP(TICKER,"DEEP_MEASURE_PERIOD_BROKER_VALUE","DEEP_MEASURE_ID_OVERRIDE",$C192,"DEEP_BROKER_ID_OVERRIDE",W$24,"DEEP_PERIOD_OVERRIDE",$H$19)*1,"")))</f>
        <v/>
      </c>
      <c r="X192" t="str">
        <f>IF(OR(X$23="",ISNA($B192)),"",IF(ISBLANK($B192),"",IFERROR(_xll.BDP(TICKER,"DEEP_MEASURE_PERIOD_BROKER_VALUE","DEEP_MEASURE_ID_OVERRIDE",$C192,"DEEP_BROKER_ID_OVERRIDE",X$24,"DEEP_PERIOD_OVERRIDE",$H$19)*1,"")))</f>
        <v/>
      </c>
      <c r="Y192" t="str">
        <f>IF(OR(Y$23="",ISNA($B192)),"",IF(ISBLANK($B192),"",IFERROR(_xll.BDP(TICKER,"DEEP_MEASURE_PERIOD_BROKER_VALUE","DEEP_MEASURE_ID_OVERRIDE",$C192,"DEEP_BROKER_ID_OVERRIDE",Y$24,"DEEP_PERIOD_OVERRIDE",$H$19)*1,"")))</f>
        <v/>
      </c>
      <c r="Z192" t="str">
        <f>IF(OR(Z$23="",ISNA($B192)),"",IF(ISBLANK($B192),"",IFERROR(_xll.BDP(TICKER,"DEEP_MEASURE_PERIOD_BROKER_VALUE","DEEP_MEASURE_ID_OVERRIDE",$C192,"DEEP_BROKER_ID_OVERRIDE",Z$24,"DEEP_PERIOD_OVERRIDE",$H$19)*1,"")))</f>
        <v/>
      </c>
      <c r="AA192" t="str">
        <f>IF(OR(AA$23="",ISNA($B192)),"",IF(ISBLANK($B192),"",IFERROR(_xll.BDP(TICKER,"DEEP_MEASURE_PERIOD_BROKER_VALUE","DEEP_MEASURE_ID_OVERRIDE",$C192,"DEEP_BROKER_ID_OVERRIDE",AA$24,"DEEP_PERIOD_OVERRIDE",$H$19)*1,"")))</f>
        <v/>
      </c>
      <c r="AB192" t="str">
        <f>IF(OR(AB$23="",ISNA($B192)),"",IF(ISBLANK($B192),"",IFERROR(_xll.BDP(TICKER,"DEEP_MEASURE_PERIOD_BROKER_VALUE","DEEP_MEASURE_ID_OVERRIDE",$C192,"DEEP_BROKER_ID_OVERRIDE",AB$24,"DEEP_PERIOD_OVERRIDE",$H$19)*1,"")))</f>
        <v/>
      </c>
      <c r="AC192" t="str">
        <f>IF(OR(AC$23="",ISNA($B192)),"",IF(ISBLANK($B192),"",IFERROR(_xll.BDP(TICKER,"DEEP_MEASURE_PERIOD_BROKER_VALUE","DEEP_MEASURE_ID_OVERRIDE",$C192,"DEEP_BROKER_ID_OVERRIDE",AC$24,"DEEP_PERIOD_OVERRIDE",$H$19)*1,"")))</f>
        <v/>
      </c>
      <c r="AD192" t="str">
        <f>IF(OR(AD$23="",ISNA($B192)),"",IF(ISBLANK($B192),"",IFERROR(_xll.BDP(TICKER,"DEEP_MEASURE_PERIOD_BROKER_VALUE","DEEP_MEASURE_ID_OVERRIDE",$C192,"DEEP_BROKER_ID_OVERRIDE",AD$24,"DEEP_PERIOD_OVERRIDE",$H$19)*1,"")))</f>
        <v/>
      </c>
      <c r="AE192" t="str">
        <f>IF(OR(AE$23="",ISNA($B192)),"",IF(ISBLANK($B192),"",IFERROR(_xll.BDP(TICKER,"DEEP_MEASURE_PERIOD_BROKER_VALUE","DEEP_MEASURE_ID_OVERRIDE",$C192,"DEEP_BROKER_ID_OVERRIDE",AE$24,"DEEP_PERIOD_OVERRIDE",$H$19)*1,"")))</f>
        <v/>
      </c>
      <c r="AF192" t="str">
        <f>IF(OR(AF$23="",ISNA($B192)),"",IF(ISBLANK($B192),"",IFERROR(_xll.BDP(TICKER,"DEEP_MEASURE_PERIOD_BROKER_VALUE","DEEP_MEASURE_ID_OVERRIDE",$C192,"DEEP_BROKER_ID_OVERRIDE",AF$24,"DEEP_PERIOD_OVERRIDE",$H$19)*1,"")))</f>
        <v/>
      </c>
      <c r="AG192" t="str">
        <f>IF(OR(AG$23="",ISNA($B192)),"",IF(ISBLANK($B192),"",IFERROR(_xll.BDP(TICKER,"DEEP_MEASURE_PERIOD_BROKER_VALUE","DEEP_MEASURE_ID_OVERRIDE",$C192,"DEEP_BROKER_ID_OVERRIDE",AG$24,"DEEP_PERIOD_OVERRIDE",$H$19)*1,"")))</f>
        <v/>
      </c>
      <c r="AH192" t="str">
        <f>IF(OR(AH$23="",ISNA($B192)),"",IF(ISBLANK($B192),"",IFERROR(_xll.BDP(TICKER,"DEEP_MEASURE_PERIOD_BROKER_VALUE","DEEP_MEASURE_ID_OVERRIDE",$C192,"DEEP_BROKER_ID_OVERRIDE",AH$24,"DEEP_PERIOD_OVERRIDE",$H$19)*1,"")))</f>
        <v/>
      </c>
      <c r="AI192" t="str">
        <f>IF(OR(AI$23="",ISNA($B192)),"",IF(ISBLANK($B192),"",IFERROR(_xll.BDP(TICKER,"DEEP_MEASURE_PERIOD_BROKER_VALUE","DEEP_MEASURE_ID_OVERRIDE",$C192,"DEEP_BROKER_ID_OVERRIDE",AI$24,"DEEP_PERIOD_OVERRIDE",$H$19)*1,"")))</f>
        <v/>
      </c>
      <c r="AJ192" t="str">
        <f>IF(OR(AJ$23="",ISNA($B192)),"",IF(ISBLANK($B192),"",IFERROR(_xll.BDP(TICKER,"DEEP_MEASURE_PERIOD_BROKER_VALUE","DEEP_MEASURE_ID_OVERRIDE",$C192,"DEEP_BROKER_ID_OVERRIDE",AJ$24,"DEEP_PERIOD_OVERRIDE",$H$19)*1,"")))</f>
        <v/>
      </c>
      <c r="AK192" t="str">
        <f>IF(OR(AK$23="",ISNA($B192)),"",IF(ISBLANK($B192),"",IFERROR(_xll.BDP(TICKER,"DEEP_MEASURE_PERIOD_BROKER_VALUE","DEEP_MEASURE_ID_OVERRIDE",$C192,"DEEP_BROKER_ID_OVERRIDE",AK$24,"DEEP_PERIOD_OVERRIDE",$H$19)*1,"")))</f>
        <v/>
      </c>
      <c r="AL192" t="str">
        <f>IF(OR(AL$23="",ISNA($B192)),"",IF(ISBLANK($B192),"",IFERROR(_xll.BDP(TICKER,"DEEP_MEASURE_PERIOD_BROKER_VALUE","DEEP_MEASURE_ID_OVERRIDE",$C192,"DEEP_BROKER_ID_OVERRIDE",AL$24,"DEEP_PERIOD_OVERRIDE",$H$19)*1,"")))</f>
        <v/>
      </c>
      <c r="AM192" t="str">
        <f>IF(OR(AM$23="",ISNA($B192)),"",IF(ISBLANK($B192),"",IFERROR(_xll.BDP(TICKER,"DEEP_MEASURE_PERIOD_BROKER_VALUE","DEEP_MEASURE_ID_OVERRIDE",$C192,"DEEP_BROKER_ID_OVERRIDE",AM$24,"DEEP_PERIOD_OVERRIDE",$H$19)*1,"")))</f>
        <v/>
      </c>
      <c r="AN192" t="str">
        <f>IF(OR(AN$23="",ISNA($B192)),"",IF(ISBLANK($B192),"",IFERROR(_xll.BDP(TICKER,"DEEP_MEASURE_PERIOD_BROKER_VALUE","DEEP_MEASURE_ID_OVERRIDE",$C192,"DEEP_BROKER_ID_OVERRIDE",AN$24,"DEEP_PERIOD_OVERRIDE",$H$19)*1,"")))</f>
        <v/>
      </c>
      <c r="AO192" t="str">
        <f>IF(OR(AO$23="",ISNA($B192)),"",IF(ISBLANK($B192),"",IFERROR(_xll.BDP(TICKER,"DEEP_MEASURE_PERIOD_BROKER_VALUE","DEEP_MEASURE_ID_OVERRIDE",$C192,"DEEP_BROKER_ID_OVERRIDE",AO$24,"DEEP_PERIOD_OVERRIDE",$H$19)*1,"")))</f>
        <v/>
      </c>
      <c r="AP192" t="str">
        <f>IF(OR(AP$23="",ISNA($B192)),"",IF(ISBLANK($B192),"",IFERROR(_xll.BDP(TICKER,"DEEP_MEASURE_PERIOD_BROKER_VALUE","DEEP_MEASURE_ID_OVERRIDE",$C192,"DEEP_BROKER_ID_OVERRIDE",AP$24,"DEEP_PERIOD_OVERRIDE",$H$19)*1,"")))</f>
        <v/>
      </c>
      <c r="AQ192" t="str">
        <f>IF(OR(AQ$23="",ISNA($B192)),"",IF(ISBLANK($B192),"",IFERROR(_xll.BDP(TICKER,"DEEP_MEASURE_PERIOD_BROKER_VALUE","DEEP_MEASURE_ID_OVERRIDE",$C192,"DEEP_BROKER_ID_OVERRIDE",AQ$24,"DEEP_PERIOD_OVERRIDE",$H$19)*1,"")))</f>
        <v/>
      </c>
      <c r="AR192" t="str">
        <f>IF(OR(AR$23="",ISNA($B192)),"",IF(ISBLANK($B192),"",IFERROR(_xll.BDP(TICKER,"DEEP_MEASURE_PERIOD_BROKER_VALUE","DEEP_MEASURE_ID_OVERRIDE",$C192,"DEEP_BROKER_ID_OVERRIDE",AR$24,"DEEP_PERIOD_OVERRIDE",$H$19)*1,"")))</f>
        <v/>
      </c>
      <c r="AS192" t="str">
        <f>IF(OR(AS$23="",ISNA($B192)),"",IF(ISBLANK($B192),"",IFERROR(_xll.BDP(TICKER,"DEEP_MEASURE_PERIOD_BROKER_VALUE","DEEP_MEASURE_ID_OVERRIDE",$C192,"DEEP_BROKER_ID_OVERRIDE",AS$24,"DEEP_PERIOD_OVERRIDE",$H$19)*1,"")))</f>
        <v/>
      </c>
      <c r="AT192" t="str">
        <f>IF(OR(AT$23="",ISNA($B192)),"",IF(ISBLANK($B192),"",IFERROR(_xll.BDP(TICKER,"DEEP_MEASURE_PERIOD_BROKER_VALUE","DEEP_MEASURE_ID_OVERRIDE",$C192,"DEEP_BROKER_ID_OVERRIDE",AT$24,"DEEP_PERIOD_OVERRIDE",$H$19)*1,"")))</f>
        <v/>
      </c>
      <c r="AU192" t="str">
        <f>IF(OR(AU$23="",ISNA($B192)),"",IF(ISBLANK($B192),"",IFERROR(_xll.BDP(TICKER,"DEEP_MEASURE_PERIOD_BROKER_VALUE","DEEP_MEASURE_ID_OVERRIDE",$C192,"DEEP_BROKER_ID_OVERRIDE",AU$24,"DEEP_PERIOD_OVERRIDE",$H$19)*1,"")))</f>
        <v/>
      </c>
      <c r="AV192" t="str">
        <f>IF(OR(AV$23="",ISNA($B192)),"",IF(ISBLANK($B192),"",IFERROR(_xll.BDP(TICKER,"DEEP_MEASURE_PERIOD_BROKER_VALUE","DEEP_MEASURE_ID_OVERRIDE",$C192,"DEEP_BROKER_ID_OVERRIDE",AV$24,"DEEP_PERIOD_OVERRIDE",$H$19)*1,"")))</f>
        <v/>
      </c>
      <c r="AW192" t="str">
        <f>IF(OR(AW$23="",ISNA($B192)),"",IF(ISBLANK($B192),"",IFERROR(_xll.BDP(TICKER,"DEEP_MEASURE_PERIOD_BROKER_VALUE","DEEP_MEASURE_ID_OVERRIDE",$C192,"DEEP_BROKER_ID_OVERRIDE",AW$24,"DEEP_PERIOD_OVERRIDE",$H$19)*1,"")))</f>
        <v/>
      </c>
      <c r="AX192" t="str">
        <f>IF(OR(AX$23="",ISNA($B192)),"",IF(ISBLANK($B192),"",IFERROR(_xll.BDP(TICKER,"DEEP_MEASURE_PERIOD_BROKER_VALUE","DEEP_MEASURE_ID_OVERRIDE",$C192,"DEEP_BROKER_ID_OVERRIDE",AX$24,"DEEP_PERIOD_OVERRIDE",$H$19)*1,"")))</f>
        <v/>
      </c>
      <c r="AY192" t="str">
        <f>IF(OR(AY$23="",ISNA($B192)),"",IF(ISBLANK($B192),"",IFERROR(_xll.BDP(TICKER,"DEEP_MEASURE_PERIOD_BROKER_VALUE","DEEP_MEASURE_ID_OVERRIDE",$C192,"DEEP_BROKER_ID_OVERRIDE",AY$24,"DEEP_PERIOD_OVERRIDE",$H$19)*1,"")))</f>
        <v/>
      </c>
      <c r="AZ192" t="str">
        <f>IF(OR(AZ$23="",ISNA($B192)),"",IF(ISBLANK($B192),"",IFERROR(_xll.BDP(TICKER,"DEEP_MEASURE_PERIOD_BROKER_VALUE","DEEP_MEASURE_ID_OVERRIDE",$C192,"DEEP_BROKER_ID_OVERRIDE",AZ$24,"DEEP_PERIOD_OVERRIDE",$H$19)*1,"")))</f>
        <v/>
      </c>
      <c r="BA192" t="str">
        <f>IF(OR(BA$23="",ISNA($B192)),"",IF(ISBLANK($B192),"",IFERROR(_xll.BDP(TICKER,"DEEP_MEASURE_PERIOD_BROKER_VALUE","DEEP_MEASURE_ID_OVERRIDE",$C192,"DEEP_BROKER_ID_OVERRIDE",BA$24,"DEEP_PERIOD_OVERRIDE",$H$19)*1,"")))</f>
        <v/>
      </c>
      <c r="BB192" t="str">
        <f>IF(OR(BB$23="",ISNA($B192)),"",IF(ISBLANK($B192),"",IFERROR(_xll.BDP(TICKER,"DEEP_MEASURE_PERIOD_BROKER_VALUE","DEEP_MEASURE_ID_OVERRIDE",$C192,"DEEP_BROKER_ID_OVERRIDE",BB$24,"DEEP_PERIOD_OVERRIDE",$H$19)*1,"")))</f>
        <v/>
      </c>
      <c r="BC192" t="str">
        <f>IF(OR(BC$23="",ISNA($B192)),"",IF(ISBLANK($B192),"",IFERROR(_xll.BDP(TICKER,"DEEP_MEASURE_PERIOD_BROKER_VALUE","DEEP_MEASURE_ID_OVERRIDE",$C192,"DEEP_BROKER_ID_OVERRIDE",BC$24,"DEEP_PERIOD_OVERRIDE",$H$19)*1,"")))</f>
        <v/>
      </c>
      <c r="BD192" t="str">
        <f>IF(OR(BD$23="",ISNA($B192)),"",IF(ISBLANK($B192),"",IFERROR(_xll.BDP(TICKER,"DEEP_MEASURE_PERIOD_BROKER_VALUE","DEEP_MEASURE_ID_OVERRIDE",$C192,"DEEP_BROKER_ID_OVERRIDE",BD$24,"DEEP_PERIOD_OVERRIDE",$H$19)*1,"")))</f>
        <v/>
      </c>
      <c r="BE192" t="str">
        <f>IF(OR(BE$23="",ISNA($B192)),"",IF(ISBLANK($B192),"",IFERROR(_xll.BDP(TICKER,"DEEP_MEASURE_PERIOD_BROKER_VALUE","DEEP_MEASURE_ID_OVERRIDE",$C192,"DEEP_BROKER_ID_OVERRIDE",BE$24,"DEEP_PERIOD_OVERRIDE",$H$19)*1,"")))</f>
        <v/>
      </c>
      <c r="BF192" t="str">
        <f>IF(OR(BF$23="",ISNA($B192)),"",IF(ISBLANK($B192),"",IFERROR(_xll.BDP(TICKER,"DEEP_MEASURE_PERIOD_BROKER_VALUE","DEEP_MEASURE_ID_OVERRIDE",$C192,"DEEP_BROKER_ID_OVERRIDE",BF$24,"DEEP_PERIOD_OVERRIDE",$H$19)*1,"")))</f>
        <v/>
      </c>
      <c r="BG192" t="str">
        <f>IF(OR(BG$23="",ISNA($B192)),"",IF(ISBLANK($B192),"",IFERROR(_xll.BDP(TICKER,"DEEP_MEASURE_PERIOD_BROKER_VALUE","DEEP_MEASURE_ID_OVERRIDE",$C192,"DEEP_BROKER_ID_OVERRIDE",BG$24,"DEEP_PERIOD_OVERRIDE",$H$19)*1,"")))</f>
        <v/>
      </c>
      <c r="BH192" t="str">
        <f>IF(OR(BH$23="",ISNA($B192)),"",IF(ISBLANK($B192),"",IFERROR(_xll.BDP(TICKER,"DEEP_MEASURE_PERIOD_BROKER_VALUE","DEEP_MEASURE_ID_OVERRIDE",$C192,"DEEP_BROKER_ID_OVERRIDE",BH$24,"DEEP_PERIOD_OVERRIDE",$H$19)*1,"")))</f>
        <v/>
      </c>
      <c r="BI192" t="str">
        <f>IF(OR(BI$23="",ISNA($B192)),"",IF(ISBLANK($B192),"",IFERROR(_xll.BDP(TICKER,"DEEP_MEASURE_PERIOD_BROKER_VALUE","DEEP_MEASURE_ID_OVERRIDE",$C192,"DEEP_BROKER_ID_OVERRIDE",BI$24,"DEEP_PERIOD_OVERRIDE",$H$19)*1,"")))</f>
        <v/>
      </c>
      <c r="BJ192" t="str">
        <f>IF(OR(BJ$23="",ISNA($B192)),"",IF(ISBLANK($B192),"",IFERROR(_xll.BDP(TICKER,"DEEP_MEASURE_PERIOD_BROKER_VALUE","DEEP_MEASURE_ID_OVERRIDE",$C192,"DEEP_BROKER_ID_OVERRIDE",BJ$24,"DEEP_PERIOD_OVERRIDE",$H$19)*1,"")))</f>
        <v/>
      </c>
      <c r="BK192" t="str">
        <f>IF(OR(BK$23="",ISNA($B192)),"",IF(ISBLANK($B192),"",IFERROR(_xll.BDP(TICKER,"DEEP_MEASURE_PERIOD_BROKER_VALUE","DEEP_MEASURE_ID_OVERRIDE",$C192,"DEEP_BROKER_ID_OVERRIDE",BK$24,"DEEP_PERIOD_OVERRIDE",$H$19)*1,"")))</f>
        <v/>
      </c>
      <c r="BL192" t="str">
        <f>IF(OR(BL$23="",ISNA($B192)),"",IF(ISBLANK($B192),"",IFERROR(_xll.BDP(TICKER,"DEEP_MEASURE_PERIOD_BROKER_VALUE","DEEP_MEASURE_ID_OVERRIDE",$C192,"DEEP_BROKER_ID_OVERRIDE",BL$24,"DEEP_PERIOD_OVERRIDE",$H$19)*1,"")))</f>
        <v/>
      </c>
      <c r="BM192" t="str">
        <f>IF(OR(BM$23="",ISNA($B192)),"",IF(ISBLANK($B192),"",IFERROR(_xll.BDP(TICKER,"DEEP_MEASURE_PERIOD_BROKER_VALUE","DEEP_MEASURE_ID_OVERRIDE",$C192,"DEEP_BROKER_ID_OVERRIDE",BM$24,"DEEP_PERIOD_OVERRIDE",$H$19)*1,"")))</f>
        <v/>
      </c>
      <c r="BN192" t="str">
        <f>IF(OR(BN$23="",ISNA($B192)),"",IF(ISBLANK($B192),"",IFERROR(_xll.BDP(TICKER,"DEEP_MEASURE_PERIOD_BROKER_VALUE","DEEP_MEASURE_ID_OVERRIDE",$C192,"DEEP_BROKER_ID_OVERRIDE",BN$24,"DEEP_PERIOD_OVERRIDE",$H$19)*1,"")))</f>
        <v/>
      </c>
      <c r="BO192" t="str">
        <f>IF(OR(BO$23="",ISNA($B192)),"",IF(ISBLANK($B192),"",IFERROR(_xll.BDP(TICKER,"DEEP_MEASURE_PERIOD_BROKER_VALUE","DEEP_MEASURE_ID_OVERRIDE",$C192,"DEEP_BROKER_ID_OVERRIDE",BO$24,"DEEP_PERIOD_OVERRIDE",$H$19)*1,"")))</f>
        <v/>
      </c>
      <c r="BP192" t="str">
        <f>IF(OR(BP$23="",ISNA($B192)),"",IF(ISBLANK($B192),"",IFERROR(_xll.BDP(TICKER,"DEEP_MEASURE_PERIOD_BROKER_VALUE","DEEP_MEASURE_ID_OVERRIDE",$C192,"DEEP_BROKER_ID_OVERRIDE",BP$24,"DEEP_PERIOD_OVERRIDE",$H$19)*1,"")))</f>
        <v/>
      </c>
      <c r="BQ192" t="str">
        <f>IF(OR(BQ$23="",ISNA($B192)),"",IF(ISBLANK($B192),"",IFERROR(_xll.BDP(TICKER,"DEEP_MEASURE_PERIOD_BROKER_VALUE","DEEP_MEASURE_ID_OVERRIDE",$C192,"DEEP_BROKER_ID_OVERRIDE",BQ$24,"DEEP_PERIOD_OVERRIDE",$H$19)*1,"")))</f>
        <v/>
      </c>
      <c r="BR192" t="str">
        <f>IF(OR(BR$23="",ISNA($B192)),"",IF(ISBLANK($B192),"",IFERROR(_xll.BDP(TICKER,"DEEP_MEASURE_PERIOD_BROKER_VALUE","DEEP_MEASURE_ID_OVERRIDE",$C192,"DEEP_BROKER_ID_OVERRIDE",BR$24,"DEEP_PERIOD_OVERRIDE",$H$19)*1,"")))</f>
        <v/>
      </c>
      <c r="BS192" t="str">
        <f>IF(OR(BS$23="",ISNA($B192)),"",IF(ISBLANK($B192),"",IFERROR(_xll.BDP(TICKER,"DEEP_MEASURE_PERIOD_BROKER_VALUE","DEEP_MEASURE_ID_OVERRIDE",$C192,"DEEP_BROKER_ID_OVERRIDE",BS$24,"DEEP_PERIOD_OVERRIDE",$H$19)*1,"")))</f>
        <v/>
      </c>
      <c r="BT192" t="str">
        <f>IF(OR(BT$23="",ISNA($B192)),"",IF(ISBLANK($B192),"",IFERROR(_xll.BDP(TICKER,"DEEP_MEASURE_PERIOD_BROKER_VALUE","DEEP_MEASURE_ID_OVERRIDE",$C192,"DEEP_BROKER_ID_OVERRIDE",BT$24,"DEEP_PERIOD_OVERRIDE",$H$19)*1,"")))</f>
        <v/>
      </c>
      <c r="BU192" t="str">
        <f>IF(OR(BU$23="",ISNA($B192)),"",IF(ISBLANK($B192),"",IFERROR(_xll.BDP(TICKER,"DEEP_MEASURE_PERIOD_BROKER_VALUE","DEEP_MEASURE_ID_OVERRIDE",$C192,"DEEP_BROKER_ID_OVERRIDE",BU$24,"DEEP_PERIOD_OVERRIDE",$H$19)*1,"")))</f>
        <v/>
      </c>
      <c r="BV192" t="str">
        <f>IF(OR(BV$23="",ISNA($B192)),"",IF(ISBLANK($B192),"",IFERROR(_xll.BDP(TICKER,"DEEP_MEASURE_PERIOD_BROKER_VALUE","DEEP_MEASURE_ID_OVERRIDE",$C192,"DEEP_BROKER_ID_OVERRIDE",BV$24,"DEEP_PERIOD_OVERRIDE",$H$19)*1,"")))</f>
        <v/>
      </c>
      <c r="BW192" t="str">
        <f>IF(OR(BW$23="",ISNA($B192)),"",IF(ISBLANK($B192),"",IFERROR(_xll.BDP(TICKER,"DEEP_MEASURE_PERIOD_BROKER_VALUE","DEEP_MEASURE_ID_OVERRIDE",$C192,"DEEP_BROKER_ID_OVERRIDE",BW$24,"DEEP_PERIOD_OVERRIDE",$H$19)*1,"")))</f>
        <v/>
      </c>
      <c r="BX192" t="str">
        <f>IF(OR(BX$23="",ISNA($B192)),"",IF(ISBLANK($B192),"",IFERROR(_xll.BDP(TICKER,"DEEP_MEASURE_PERIOD_BROKER_VALUE","DEEP_MEASURE_ID_OVERRIDE",$C192,"DEEP_BROKER_ID_OVERRIDE",BX$24,"DEEP_PERIOD_OVERRIDE",$H$19)*1,"")))</f>
        <v/>
      </c>
      <c r="BY192" t="str">
        <f>IF(OR(BY$23="",ISNA($B192)),"",IF(ISBLANK($B192),"",IFERROR(_xll.BDP(TICKER,"DEEP_MEASURE_PERIOD_BROKER_VALUE","DEEP_MEASURE_ID_OVERRIDE",$C192,"DEEP_BROKER_ID_OVERRIDE",BY$24,"DEEP_PERIOD_OVERRIDE",$H$19)*1,"")))</f>
        <v/>
      </c>
      <c r="BZ192" t="str">
        <f>IF(OR(BZ$23="",ISNA($B192)),"",IF(ISBLANK($B192),"",IFERROR(_xll.BDP(TICKER,"DEEP_MEASURE_PERIOD_BROKER_VALUE","DEEP_MEASURE_ID_OVERRIDE",$C192,"DEEP_BROKER_ID_OVERRIDE",BZ$24,"DEEP_PERIOD_OVERRIDE",$H$19)*1,"")))</f>
        <v/>
      </c>
    </row>
    <row r="193" spans="2:78" x14ac:dyDescent="0.25">
      <c r="B193" t="s">
        <v>65</v>
      </c>
      <c r="C193">
        <v>3675</v>
      </c>
      <c r="H193" t="str">
        <f t="shared" si="3"/>
        <v>Cash from Operations Activities &gt; Depreciation and Amortization</v>
      </c>
      <c r="I193" t="str">
        <f>IF(OR(I$23="",ISNA($B193)),"",IF(ISBLANK($B193),"",IFERROR(_xll.BDP(TICKER,"DEEP_MEASURE_PERIOD_BROKER_VALUE","DEEP_MEASURE_ID_OVERRIDE",$C193,"DEEP_PERIOD_OVERRIDE",$H$19)*1,"")))</f>
        <v/>
      </c>
      <c r="J193" t="e">
        <f>IF(OR(J$23="",ISNA($B193)),"",IF(ISBLANK($B193),"",IFERROR(_xll.BDP(TICKER,"DEEP_MEASURE_PERIOD_BROKER_VALUE","DEEP_MEASURE_ID_OVERRIDE",$C193,"DEEP_BROKER_ID_OVERRIDE",J$24,"DEEP_PERIOD_OVERRIDE",$H$19)*1,"")))</f>
        <v>#REF!</v>
      </c>
      <c r="K193" t="str">
        <f>IF(OR(K$23="",ISNA($B193)),"",IF(ISBLANK($B193),"",IFERROR(_xll.BDP(TICKER,"DEEP_MEASURE_PERIOD_BROKER_VALUE","DEEP_MEASURE_ID_OVERRIDE",$C193,"DEEP_BROKER_ID_OVERRIDE",K$24,"DEEP_PERIOD_OVERRIDE",$H$19)*1,"")))</f>
        <v/>
      </c>
      <c r="L193" t="str">
        <f>IF(OR(L$23="",ISNA($B193)),"",IF(ISBLANK($B193),"",IFERROR(_xll.BDP(TICKER,"DEEP_MEASURE_PERIOD_BROKER_VALUE","DEEP_MEASURE_ID_OVERRIDE",$C193,"DEEP_BROKER_ID_OVERRIDE",L$24,"DEEP_PERIOD_OVERRIDE",$H$19)*1,"")))</f>
        <v/>
      </c>
      <c r="M193" t="str">
        <f>IF(OR(M$23="",ISNA($B193)),"",IF(ISBLANK($B193),"",IFERROR(_xll.BDP(TICKER,"DEEP_MEASURE_PERIOD_BROKER_VALUE","DEEP_MEASURE_ID_OVERRIDE",$C193,"DEEP_BROKER_ID_OVERRIDE",M$24,"DEEP_PERIOD_OVERRIDE",$H$19)*1,"")))</f>
        <v/>
      </c>
      <c r="N193" t="str">
        <f>IF(OR(N$23="",ISNA($B193)),"",IF(ISBLANK($B193),"",IFERROR(_xll.BDP(TICKER,"DEEP_MEASURE_PERIOD_BROKER_VALUE","DEEP_MEASURE_ID_OVERRIDE",$C193,"DEEP_BROKER_ID_OVERRIDE",N$24,"DEEP_PERIOD_OVERRIDE",$H$19)*1,"")))</f>
        <v/>
      </c>
      <c r="O193" t="str">
        <f>IF(OR(O$23="",ISNA($B193)),"",IF(ISBLANK($B193),"",IFERROR(_xll.BDP(TICKER,"DEEP_MEASURE_PERIOD_BROKER_VALUE","DEEP_MEASURE_ID_OVERRIDE",$C193,"DEEP_BROKER_ID_OVERRIDE",O$24,"DEEP_PERIOD_OVERRIDE",$H$19)*1,"")))</f>
        <v/>
      </c>
      <c r="P193" t="str">
        <f>IF(OR(P$23="",ISNA($B193)),"",IF(ISBLANK($B193),"",IFERROR(_xll.BDP(TICKER,"DEEP_MEASURE_PERIOD_BROKER_VALUE","DEEP_MEASURE_ID_OVERRIDE",$C193,"DEEP_BROKER_ID_OVERRIDE",P$24,"DEEP_PERIOD_OVERRIDE",$H$19)*1,"")))</f>
        <v/>
      </c>
      <c r="Q193" t="str">
        <f>IF(OR(Q$23="",ISNA($B193)),"",IF(ISBLANK($B193),"",IFERROR(_xll.BDP(TICKER,"DEEP_MEASURE_PERIOD_BROKER_VALUE","DEEP_MEASURE_ID_OVERRIDE",$C193,"DEEP_BROKER_ID_OVERRIDE",Q$24,"DEEP_PERIOD_OVERRIDE",$H$19)*1,"")))</f>
        <v/>
      </c>
      <c r="R193" t="str">
        <f>IF(OR(R$23="",ISNA($B193)),"",IF(ISBLANK($B193),"",IFERROR(_xll.BDP(TICKER,"DEEP_MEASURE_PERIOD_BROKER_VALUE","DEEP_MEASURE_ID_OVERRIDE",$C193,"DEEP_BROKER_ID_OVERRIDE",R$24,"DEEP_PERIOD_OVERRIDE",$H$19)*1,"")))</f>
        <v/>
      </c>
      <c r="S193" t="str">
        <f>IF(OR(S$23="",ISNA($B193)),"",IF(ISBLANK($B193),"",IFERROR(_xll.BDP(TICKER,"DEEP_MEASURE_PERIOD_BROKER_VALUE","DEEP_MEASURE_ID_OVERRIDE",$C193,"DEEP_BROKER_ID_OVERRIDE",S$24,"DEEP_PERIOD_OVERRIDE",$H$19)*1,"")))</f>
        <v/>
      </c>
      <c r="T193" t="str">
        <f>IF(OR(T$23="",ISNA($B193)),"",IF(ISBLANK($B193),"",IFERROR(_xll.BDP(TICKER,"DEEP_MEASURE_PERIOD_BROKER_VALUE","DEEP_MEASURE_ID_OVERRIDE",$C193,"DEEP_BROKER_ID_OVERRIDE",T$24,"DEEP_PERIOD_OVERRIDE",$H$19)*1,"")))</f>
        <v/>
      </c>
      <c r="U193" t="str">
        <f>IF(OR(U$23="",ISNA($B193)),"",IF(ISBLANK($B193),"",IFERROR(_xll.BDP(TICKER,"DEEP_MEASURE_PERIOD_BROKER_VALUE","DEEP_MEASURE_ID_OVERRIDE",$C193,"DEEP_BROKER_ID_OVERRIDE",U$24,"DEEP_PERIOD_OVERRIDE",$H$19)*1,"")))</f>
        <v/>
      </c>
      <c r="V193" t="str">
        <f>IF(OR(V$23="",ISNA($B193)),"",IF(ISBLANK($B193),"",IFERROR(_xll.BDP(TICKER,"DEEP_MEASURE_PERIOD_BROKER_VALUE","DEEP_MEASURE_ID_OVERRIDE",$C193,"DEEP_BROKER_ID_OVERRIDE",V$24,"DEEP_PERIOD_OVERRIDE",$H$19)*1,"")))</f>
        <v/>
      </c>
      <c r="W193" t="str">
        <f>IF(OR(W$23="",ISNA($B193)),"",IF(ISBLANK($B193),"",IFERROR(_xll.BDP(TICKER,"DEEP_MEASURE_PERIOD_BROKER_VALUE","DEEP_MEASURE_ID_OVERRIDE",$C193,"DEEP_BROKER_ID_OVERRIDE",W$24,"DEEP_PERIOD_OVERRIDE",$H$19)*1,"")))</f>
        <v/>
      </c>
      <c r="X193" t="str">
        <f>IF(OR(X$23="",ISNA($B193)),"",IF(ISBLANK($B193),"",IFERROR(_xll.BDP(TICKER,"DEEP_MEASURE_PERIOD_BROKER_VALUE","DEEP_MEASURE_ID_OVERRIDE",$C193,"DEEP_BROKER_ID_OVERRIDE",X$24,"DEEP_PERIOD_OVERRIDE",$H$19)*1,"")))</f>
        <v/>
      </c>
      <c r="Y193" t="str">
        <f>IF(OR(Y$23="",ISNA($B193)),"",IF(ISBLANK($B193),"",IFERROR(_xll.BDP(TICKER,"DEEP_MEASURE_PERIOD_BROKER_VALUE","DEEP_MEASURE_ID_OVERRIDE",$C193,"DEEP_BROKER_ID_OVERRIDE",Y$24,"DEEP_PERIOD_OVERRIDE",$H$19)*1,"")))</f>
        <v/>
      </c>
      <c r="Z193" t="str">
        <f>IF(OR(Z$23="",ISNA($B193)),"",IF(ISBLANK($B193),"",IFERROR(_xll.BDP(TICKER,"DEEP_MEASURE_PERIOD_BROKER_VALUE","DEEP_MEASURE_ID_OVERRIDE",$C193,"DEEP_BROKER_ID_OVERRIDE",Z$24,"DEEP_PERIOD_OVERRIDE",$H$19)*1,"")))</f>
        <v/>
      </c>
      <c r="AA193" t="str">
        <f>IF(OR(AA$23="",ISNA($B193)),"",IF(ISBLANK($B193),"",IFERROR(_xll.BDP(TICKER,"DEEP_MEASURE_PERIOD_BROKER_VALUE","DEEP_MEASURE_ID_OVERRIDE",$C193,"DEEP_BROKER_ID_OVERRIDE",AA$24,"DEEP_PERIOD_OVERRIDE",$H$19)*1,"")))</f>
        <v/>
      </c>
      <c r="AB193" t="str">
        <f>IF(OR(AB$23="",ISNA($B193)),"",IF(ISBLANK($B193),"",IFERROR(_xll.BDP(TICKER,"DEEP_MEASURE_PERIOD_BROKER_VALUE","DEEP_MEASURE_ID_OVERRIDE",$C193,"DEEP_BROKER_ID_OVERRIDE",AB$24,"DEEP_PERIOD_OVERRIDE",$H$19)*1,"")))</f>
        <v/>
      </c>
      <c r="AC193" t="str">
        <f>IF(OR(AC$23="",ISNA($B193)),"",IF(ISBLANK($B193),"",IFERROR(_xll.BDP(TICKER,"DEEP_MEASURE_PERIOD_BROKER_VALUE","DEEP_MEASURE_ID_OVERRIDE",$C193,"DEEP_BROKER_ID_OVERRIDE",AC$24,"DEEP_PERIOD_OVERRIDE",$H$19)*1,"")))</f>
        <v/>
      </c>
      <c r="AD193" t="str">
        <f>IF(OR(AD$23="",ISNA($B193)),"",IF(ISBLANK($B193),"",IFERROR(_xll.BDP(TICKER,"DEEP_MEASURE_PERIOD_BROKER_VALUE","DEEP_MEASURE_ID_OVERRIDE",$C193,"DEEP_BROKER_ID_OVERRIDE",AD$24,"DEEP_PERIOD_OVERRIDE",$H$19)*1,"")))</f>
        <v/>
      </c>
      <c r="AE193" t="str">
        <f>IF(OR(AE$23="",ISNA($B193)),"",IF(ISBLANK($B193),"",IFERROR(_xll.BDP(TICKER,"DEEP_MEASURE_PERIOD_BROKER_VALUE","DEEP_MEASURE_ID_OVERRIDE",$C193,"DEEP_BROKER_ID_OVERRIDE",AE$24,"DEEP_PERIOD_OVERRIDE",$H$19)*1,"")))</f>
        <v/>
      </c>
      <c r="AF193" t="str">
        <f>IF(OR(AF$23="",ISNA($B193)),"",IF(ISBLANK($B193),"",IFERROR(_xll.BDP(TICKER,"DEEP_MEASURE_PERIOD_BROKER_VALUE","DEEP_MEASURE_ID_OVERRIDE",$C193,"DEEP_BROKER_ID_OVERRIDE",AF$24,"DEEP_PERIOD_OVERRIDE",$H$19)*1,"")))</f>
        <v/>
      </c>
      <c r="AG193" t="str">
        <f>IF(OR(AG$23="",ISNA($B193)),"",IF(ISBLANK($B193),"",IFERROR(_xll.BDP(TICKER,"DEEP_MEASURE_PERIOD_BROKER_VALUE","DEEP_MEASURE_ID_OVERRIDE",$C193,"DEEP_BROKER_ID_OVERRIDE",AG$24,"DEEP_PERIOD_OVERRIDE",$H$19)*1,"")))</f>
        <v/>
      </c>
      <c r="AH193" t="str">
        <f>IF(OR(AH$23="",ISNA($B193)),"",IF(ISBLANK($B193),"",IFERROR(_xll.BDP(TICKER,"DEEP_MEASURE_PERIOD_BROKER_VALUE","DEEP_MEASURE_ID_OVERRIDE",$C193,"DEEP_BROKER_ID_OVERRIDE",AH$24,"DEEP_PERIOD_OVERRIDE",$H$19)*1,"")))</f>
        <v/>
      </c>
      <c r="AI193" t="str">
        <f>IF(OR(AI$23="",ISNA($B193)),"",IF(ISBLANK($B193),"",IFERROR(_xll.BDP(TICKER,"DEEP_MEASURE_PERIOD_BROKER_VALUE","DEEP_MEASURE_ID_OVERRIDE",$C193,"DEEP_BROKER_ID_OVERRIDE",AI$24,"DEEP_PERIOD_OVERRIDE",$H$19)*1,"")))</f>
        <v/>
      </c>
      <c r="AJ193" t="str">
        <f>IF(OR(AJ$23="",ISNA($B193)),"",IF(ISBLANK($B193),"",IFERROR(_xll.BDP(TICKER,"DEEP_MEASURE_PERIOD_BROKER_VALUE","DEEP_MEASURE_ID_OVERRIDE",$C193,"DEEP_BROKER_ID_OVERRIDE",AJ$24,"DEEP_PERIOD_OVERRIDE",$H$19)*1,"")))</f>
        <v/>
      </c>
      <c r="AK193" t="str">
        <f>IF(OR(AK$23="",ISNA($B193)),"",IF(ISBLANK($B193),"",IFERROR(_xll.BDP(TICKER,"DEEP_MEASURE_PERIOD_BROKER_VALUE","DEEP_MEASURE_ID_OVERRIDE",$C193,"DEEP_BROKER_ID_OVERRIDE",AK$24,"DEEP_PERIOD_OVERRIDE",$H$19)*1,"")))</f>
        <v/>
      </c>
      <c r="AL193" t="str">
        <f>IF(OR(AL$23="",ISNA($B193)),"",IF(ISBLANK($B193),"",IFERROR(_xll.BDP(TICKER,"DEEP_MEASURE_PERIOD_BROKER_VALUE","DEEP_MEASURE_ID_OVERRIDE",$C193,"DEEP_BROKER_ID_OVERRIDE",AL$24,"DEEP_PERIOD_OVERRIDE",$H$19)*1,"")))</f>
        <v/>
      </c>
      <c r="AM193" t="str">
        <f>IF(OR(AM$23="",ISNA($B193)),"",IF(ISBLANK($B193),"",IFERROR(_xll.BDP(TICKER,"DEEP_MEASURE_PERIOD_BROKER_VALUE","DEEP_MEASURE_ID_OVERRIDE",$C193,"DEEP_BROKER_ID_OVERRIDE",AM$24,"DEEP_PERIOD_OVERRIDE",$H$19)*1,"")))</f>
        <v/>
      </c>
      <c r="AN193" t="str">
        <f>IF(OR(AN$23="",ISNA($B193)),"",IF(ISBLANK($B193),"",IFERROR(_xll.BDP(TICKER,"DEEP_MEASURE_PERIOD_BROKER_VALUE","DEEP_MEASURE_ID_OVERRIDE",$C193,"DEEP_BROKER_ID_OVERRIDE",AN$24,"DEEP_PERIOD_OVERRIDE",$H$19)*1,"")))</f>
        <v/>
      </c>
      <c r="AO193" t="str">
        <f>IF(OR(AO$23="",ISNA($B193)),"",IF(ISBLANK($B193),"",IFERROR(_xll.BDP(TICKER,"DEEP_MEASURE_PERIOD_BROKER_VALUE","DEEP_MEASURE_ID_OVERRIDE",$C193,"DEEP_BROKER_ID_OVERRIDE",AO$24,"DEEP_PERIOD_OVERRIDE",$H$19)*1,"")))</f>
        <v/>
      </c>
      <c r="AP193" t="str">
        <f>IF(OR(AP$23="",ISNA($B193)),"",IF(ISBLANK($B193),"",IFERROR(_xll.BDP(TICKER,"DEEP_MEASURE_PERIOD_BROKER_VALUE","DEEP_MEASURE_ID_OVERRIDE",$C193,"DEEP_BROKER_ID_OVERRIDE",AP$24,"DEEP_PERIOD_OVERRIDE",$H$19)*1,"")))</f>
        <v/>
      </c>
      <c r="AQ193" t="str">
        <f>IF(OR(AQ$23="",ISNA($B193)),"",IF(ISBLANK($B193),"",IFERROR(_xll.BDP(TICKER,"DEEP_MEASURE_PERIOD_BROKER_VALUE","DEEP_MEASURE_ID_OVERRIDE",$C193,"DEEP_BROKER_ID_OVERRIDE",AQ$24,"DEEP_PERIOD_OVERRIDE",$H$19)*1,"")))</f>
        <v/>
      </c>
      <c r="AR193" t="str">
        <f>IF(OR(AR$23="",ISNA($B193)),"",IF(ISBLANK($B193),"",IFERROR(_xll.BDP(TICKER,"DEEP_MEASURE_PERIOD_BROKER_VALUE","DEEP_MEASURE_ID_OVERRIDE",$C193,"DEEP_BROKER_ID_OVERRIDE",AR$24,"DEEP_PERIOD_OVERRIDE",$H$19)*1,"")))</f>
        <v/>
      </c>
      <c r="AS193" t="str">
        <f>IF(OR(AS$23="",ISNA($B193)),"",IF(ISBLANK($B193),"",IFERROR(_xll.BDP(TICKER,"DEEP_MEASURE_PERIOD_BROKER_VALUE","DEEP_MEASURE_ID_OVERRIDE",$C193,"DEEP_BROKER_ID_OVERRIDE",AS$24,"DEEP_PERIOD_OVERRIDE",$H$19)*1,"")))</f>
        <v/>
      </c>
      <c r="AT193" t="str">
        <f>IF(OR(AT$23="",ISNA($B193)),"",IF(ISBLANK($B193),"",IFERROR(_xll.BDP(TICKER,"DEEP_MEASURE_PERIOD_BROKER_VALUE","DEEP_MEASURE_ID_OVERRIDE",$C193,"DEEP_BROKER_ID_OVERRIDE",AT$24,"DEEP_PERIOD_OVERRIDE",$H$19)*1,"")))</f>
        <v/>
      </c>
      <c r="AU193" t="str">
        <f>IF(OR(AU$23="",ISNA($B193)),"",IF(ISBLANK($B193),"",IFERROR(_xll.BDP(TICKER,"DEEP_MEASURE_PERIOD_BROKER_VALUE","DEEP_MEASURE_ID_OVERRIDE",$C193,"DEEP_BROKER_ID_OVERRIDE",AU$24,"DEEP_PERIOD_OVERRIDE",$H$19)*1,"")))</f>
        <v/>
      </c>
      <c r="AV193" t="str">
        <f>IF(OR(AV$23="",ISNA($B193)),"",IF(ISBLANK($B193),"",IFERROR(_xll.BDP(TICKER,"DEEP_MEASURE_PERIOD_BROKER_VALUE","DEEP_MEASURE_ID_OVERRIDE",$C193,"DEEP_BROKER_ID_OVERRIDE",AV$24,"DEEP_PERIOD_OVERRIDE",$H$19)*1,"")))</f>
        <v/>
      </c>
      <c r="AW193" t="str">
        <f>IF(OR(AW$23="",ISNA($B193)),"",IF(ISBLANK($B193),"",IFERROR(_xll.BDP(TICKER,"DEEP_MEASURE_PERIOD_BROKER_VALUE","DEEP_MEASURE_ID_OVERRIDE",$C193,"DEEP_BROKER_ID_OVERRIDE",AW$24,"DEEP_PERIOD_OVERRIDE",$H$19)*1,"")))</f>
        <v/>
      </c>
      <c r="AX193" t="str">
        <f>IF(OR(AX$23="",ISNA($B193)),"",IF(ISBLANK($B193),"",IFERROR(_xll.BDP(TICKER,"DEEP_MEASURE_PERIOD_BROKER_VALUE","DEEP_MEASURE_ID_OVERRIDE",$C193,"DEEP_BROKER_ID_OVERRIDE",AX$24,"DEEP_PERIOD_OVERRIDE",$H$19)*1,"")))</f>
        <v/>
      </c>
      <c r="AY193" t="str">
        <f>IF(OR(AY$23="",ISNA($B193)),"",IF(ISBLANK($B193),"",IFERROR(_xll.BDP(TICKER,"DEEP_MEASURE_PERIOD_BROKER_VALUE","DEEP_MEASURE_ID_OVERRIDE",$C193,"DEEP_BROKER_ID_OVERRIDE",AY$24,"DEEP_PERIOD_OVERRIDE",$H$19)*1,"")))</f>
        <v/>
      </c>
      <c r="AZ193" t="str">
        <f>IF(OR(AZ$23="",ISNA($B193)),"",IF(ISBLANK($B193),"",IFERROR(_xll.BDP(TICKER,"DEEP_MEASURE_PERIOD_BROKER_VALUE","DEEP_MEASURE_ID_OVERRIDE",$C193,"DEEP_BROKER_ID_OVERRIDE",AZ$24,"DEEP_PERIOD_OVERRIDE",$H$19)*1,"")))</f>
        <v/>
      </c>
      <c r="BA193" t="str">
        <f>IF(OR(BA$23="",ISNA($B193)),"",IF(ISBLANK($B193),"",IFERROR(_xll.BDP(TICKER,"DEEP_MEASURE_PERIOD_BROKER_VALUE","DEEP_MEASURE_ID_OVERRIDE",$C193,"DEEP_BROKER_ID_OVERRIDE",BA$24,"DEEP_PERIOD_OVERRIDE",$H$19)*1,"")))</f>
        <v/>
      </c>
      <c r="BB193" t="str">
        <f>IF(OR(BB$23="",ISNA($B193)),"",IF(ISBLANK($B193),"",IFERROR(_xll.BDP(TICKER,"DEEP_MEASURE_PERIOD_BROKER_VALUE","DEEP_MEASURE_ID_OVERRIDE",$C193,"DEEP_BROKER_ID_OVERRIDE",BB$24,"DEEP_PERIOD_OVERRIDE",$H$19)*1,"")))</f>
        <v/>
      </c>
      <c r="BC193" t="str">
        <f>IF(OR(BC$23="",ISNA($B193)),"",IF(ISBLANK($B193),"",IFERROR(_xll.BDP(TICKER,"DEEP_MEASURE_PERIOD_BROKER_VALUE","DEEP_MEASURE_ID_OVERRIDE",$C193,"DEEP_BROKER_ID_OVERRIDE",BC$24,"DEEP_PERIOD_OVERRIDE",$H$19)*1,"")))</f>
        <v/>
      </c>
      <c r="BD193" t="str">
        <f>IF(OR(BD$23="",ISNA($B193)),"",IF(ISBLANK($B193),"",IFERROR(_xll.BDP(TICKER,"DEEP_MEASURE_PERIOD_BROKER_VALUE","DEEP_MEASURE_ID_OVERRIDE",$C193,"DEEP_BROKER_ID_OVERRIDE",BD$24,"DEEP_PERIOD_OVERRIDE",$H$19)*1,"")))</f>
        <v/>
      </c>
      <c r="BE193" t="str">
        <f>IF(OR(BE$23="",ISNA($B193)),"",IF(ISBLANK($B193),"",IFERROR(_xll.BDP(TICKER,"DEEP_MEASURE_PERIOD_BROKER_VALUE","DEEP_MEASURE_ID_OVERRIDE",$C193,"DEEP_BROKER_ID_OVERRIDE",BE$24,"DEEP_PERIOD_OVERRIDE",$H$19)*1,"")))</f>
        <v/>
      </c>
      <c r="BF193" t="str">
        <f>IF(OR(BF$23="",ISNA($B193)),"",IF(ISBLANK($B193),"",IFERROR(_xll.BDP(TICKER,"DEEP_MEASURE_PERIOD_BROKER_VALUE","DEEP_MEASURE_ID_OVERRIDE",$C193,"DEEP_BROKER_ID_OVERRIDE",BF$24,"DEEP_PERIOD_OVERRIDE",$H$19)*1,"")))</f>
        <v/>
      </c>
      <c r="BG193" t="str">
        <f>IF(OR(BG$23="",ISNA($B193)),"",IF(ISBLANK($B193),"",IFERROR(_xll.BDP(TICKER,"DEEP_MEASURE_PERIOD_BROKER_VALUE","DEEP_MEASURE_ID_OVERRIDE",$C193,"DEEP_BROKER_ID_OVERRIDE",BG$24,"DEEP_PERIOD_OVERRIDE",$H$19)*1,"")))</f>
        <v/>
      </c>
      <c r="BH193" t="str">
        <f>IF(OR(BH$23="",ISNA($B193)),"",IF(ISBLANK($B193),"",IFERROR(_xll.BDP(TICKER,"DEEP_MEASURE_PERIOD_BROKER_VALUE","DEEP_MEASURE_ID_OVERRIDE",$C193,"DEEP_BROKER_ID_OVERRIDE",BH$24,"DEEP_PERIOD_OVERRIDE",$H$19)*1,"")))</f>
        <v/>
      </c>
      <c r="BI193" t="str">
        <f>IF(OR(BI$23="",ISNA($B193)),"",IF(ISBLANK($B193),"",IFERROR(_xll.BDP(TICKER,"DEEP_MEASURE_PERIOD_BROKER_VALUE","DEEP_MEASURE_ID_OVERRIDE",$C193,"DEEP_BROKER_ID_OVERRIDE",BI$24,"DEEP_PERIOD_OVERRIDE",$H$19)*1,"")))</f>
        <v/>
      </c>
      <c r="BJ193" t="str">
        <f>IF(OR(BJ$23="",ISNA($B193)),"",IF(ISBLANK($B193),"",IFERROR(_xll.BDP(TICKER,"DEEP_MEASURE_PERIOD_BROKER_VALUE","DEEP_MEASURE_ID_OVERRIDE",$C193,"DEEP_BROKER_ID_OVERRIDE",BJ$24,"DEEP_PERIOD_OVERRIDE",$H$19)*1,"")))</f>
        <v/>
      </c>
      <c r="BK193" t="str">
        <f>IF(OR(BK$23="",ISNA($B193)),"",IF(ISBLANK($B193),"",IFERROR(_xll.BDP(TICKER,"DEEP_MEASURE_PERIOD_BROKER_VALUE","DEEP_MEASURE_ID_OVERRIDE",$C193,"DEEP_BROKER_ID_OVERRIDE",BK$24,"DEEP_PERIOD_OVERRIDE",$H$19)*1,"")))</f>
        <v/>
      </c>
      <c r="BL193" t="str">
        <f>IF(OR(BL$23="",ISNA($B193)),"",IF(ISBLANK($B193),"",IFERROR(_xll.BDP(TICKER,"DEEP_MEASURE_PERIOD_BROKER_VALUE","DEEP_MEASURE_ID_OVERRIDE",$C193,"DEEP_BROKER_ID_OVERRIDE",BL$24,"DEEP_PERIOD_OVERRIDE",$H$19)*1,"")))</f>
        <v/>
      </c>
      <c r="BM193" t="str">
        <f>IF(OR(BM$23="",ISNA($B193)),"",IF(ISBLANK($B193),"",IFERROR(_xll.BDP(TICKER,"DEEP_MEASURE_PERIOD_BROKER_VALUE","DEEP_MEASURE_ID_OVERRIDE",$C193,"DEEP_BROKER_ID_OVERRIDE",BM$24,"DEEP_PERIOD_OVERRIDE",$H$19)*1,"")))</f>
        <v/>
      </c>
      <c r="BN193" t="str">
        <f>IF(OR(BN$23="",ISNA($B193)),"",IF(ISBLANK($B193),"",IFERROR(_xll.BDP(TICKER,"DEEP_MEASURE_PERIOD_BROKER_VALUE","DEEP_MEASURE_ID_OVERRIDE",$C193,"DEEP_BROKER_ID_OVERRIDE",BN$24,"DEEP_PERIOD_OVERRIDE",$H$19)*1,"")))</f>
        <v/>
      </c>
      <c r="BO193" t="str">
        <f>IF(OR(BO$23="",ISNA($B193)),"",IF(ISBLANK($B193),"",IFERROR(_xll.BDP(TICKER,"DEEP_MEASURE_PERIOD_BROKER_VALUE","DEEP_MEASURE_ID_OVERRIDE",$C193,"DEEP_BROKER_ID_OVERRIDE",BO$24,"DEEP_PERIOD_OVERRIDE",$H$19)*1,"")))</f>
        <v/>
      </c>
      <c r="BP193" t="str">
        <f>IF(OR(BP$23="",ISNA($B193)),"",IF(ISBLANK($B193),"",IFERROR(_xll.BDP(TICKER,"DEEP_MEASURE_PERIOD_BROKER_VALUE","DEEP_MEASURE_ID_OVERRIDE",$C193,"DEEP_BROKER_ID_OVERRIDE",BP$24,"DEEP_PERIOD_OVERRIDE",$H$19)*1,"")))</f>
        <v/>
      </c>
      <c r="BQ193" t="str">
        <f>IF(OR(BQ$23="",ISNA($B193)),"",IF(ISBLANK($B193),"",IFERROR(_xll.BDP(TICKER,"DEEP_MEASURE_PERIOD_BROKER_VALUE","DEEP_MEASURE_ID_OVERRIDE",$C193,"DEEP_BROKER_ID_OVERRIDE",BQ$24,"DEEP_PERIOD_OVERRIDE",$H$19)*1,"")))</f>
        <v/>
      </c>
      <c r="BR193" t="str">
        <f>IF(OR(BR$23="",ISNA($B193)),"",IF(ISBLANK($B193),"",IFERROR(_xll.BDP(TICKER,"DEEP_MEASURE_PERIOD_BROKER_VALUE","DEEP_MEASURE_ID_OVERRIDE",$C193,"DEEP_BROKER_ID_OVERRIDE",BR$24,"DEEP_PERIOD_OVERRIDE",$H$19)*1,"")))</f>
        <v/>
      </c>
      <c r="BS193" t="str">
        <f>IF(OR(BS$23="",ISNA($B193)),"",IF(ISBLANK($B193),"",IFERROR(_xll.BDP(TICKER,"DEEP_MEASURE_PERIOD_BROKER_VALUE","DEEP_MEASURE_ID_OVERRIDE",$C193,"DEEP_BROKER_ID_OVERRIDE",BS$24,"DEEP_PERIOD_OVERRIDE",$H$19)*1,"")))</f>
        <v/>
      </c>
      <c r="BT193" t="str">
        <f>IF(OR(BT$23="",ISNA($B193)),"",IF(ISBLANK($B193),"",IFERROR(_xll.BDP(TICKER,"DEEP_MEASURE_PERIOD_BROKER_VALUE","DEEP_MEASURE_ID_OVERRIDE",$C193,"DEEP_BROKER_ID_OVERRIDE",BT$24,"DEEP_PERIOD_OVERRIDE",$H$19)*1,"")))</f>
        <v/>
      </c>
      <c r="BU193" t="str">
        <f>IF(OR(BU$23="",ISNA($B193)),"",IF(ISBLANK($B193),"",IFERROR(_xll.BDP(TICKER,"DEEP_MEASURE_PERIOD_BROKER_VALUE","DEEP_MEASURE_ID_OVERRIDE",$C193,"DEEP_BROKER_ID_OVERRIDE",BU$24,"DEEP_PERIOD_OVERRIDE",$H$19)*1,"")))</f>
        <v/>
      </c>
      <c r="BV193" t="str">
        <f>IF(OR(BV$23="",ISNA($B193)),"",IF(ISBLANK($B193),"",IFERROR(_xll.BDP(TICKER,"DEEP_MEASURE_PERIOD_BROKER_VALUE","DEEP_MEASURE_ID_OVERRIDE",$C193,"DEEP_BROKER_ID_OVERRIDE",BV$24,"DEEP_PERIOD_OVERRIDE",$H$19)*1,"")))</f>
        <v/>
      </c>
      <c r="BW193" t="str">
        <f>IF(OR(BW$23="",ISNA($B193)),"",IF(ISBLANK($B193),"",IFERROR(_xll.BDP(TICKER,"DEEP_MEASURE_PERIOD_BROKER_VALUE","DEEP_MEASURE_ID_OVERRIDE",$C193,"DEEP_BROKER_ID_OVERRIDE",BW$24,"DEEP_PERIOD_OVERRIDE",$H$19)*1,"")))</f>
        <v/>
      </c>
      <c r="BX193" t="str">
        <f>IF(OR(BX$23="",ISNA($B193)),"",IF(ISBLANK($B193),"",IFERROR(_xll.BDP(TICKER,"DEEP_MEASURE_PERIOD_BROKER_VALUE","DEEP_MEASURE_ID_OVERRIDE",$C193,"DEEP_BROKER_ID_OVERRIDE",BX$24,"DEEP_PERIOD_OVERRIDE",$H$19)*1,"")))</f>
        <v/>
      </c>
      <c r="BY193" t="str">
        <f>IF(OR(BY$23="",ISNA($B193)),"",IF(ISBLANK($B193),"",IFERROR(_xll.BDP(TICKER,"DEEP_MEASURE_PERIOD_BROKER_VALUE","DEEP_MEASURE_ID_OVERRIDE",$C193,"DEEP_BROKER_ID_OVERRIDE",BY$24,"DEEP_PERIOD_OVERRIDE",$H$19)*1,"")))</f>
        <v/>
      </c>
      <c r="BZ193" t="str">
        <f>IF(OR(BZ$23="",ISNA($B193)),"",IF(ISBLANK($B193),"",IFERROR(_xll.BDP(TICKER,"DEEP_MEASURE_PERIOD_BROKER_VALUE","DEEP_MEASURE_ID_OVERRIDE",$C193,"DEEP_BROKER_ID_OVERRIDE",BZ$24,"DEEP_PERIOD_OVERRIDE",$H$19)*1,"")))</f>
        <v/>
      </c>
    </row>
    <row r="194" spans="2:78" x14ac:dyDescent="0.25">
      <c r="B194" t="s">
        <v>66</v>
      </c>
      <c r="C194">
        <v>344</v>
      </c>
      <c r="H194" t="str">
        <f t="shared" si="3"/>
        <v>Cash from Operations Activities &gt; Stock Based Compensation</v>
      </c>
      <c r="I194" t="str">
        <f>IF(OR(I$23="",ISNA($B194)),"",IF(ISBLANK($B194),"",IFERROR(_xll.BDP(TICKER,"DEEP_MEASURE_PERIOD_BROKER_VALUE","DEEP_MEASURE_ID_OVERRIDE",$C194,"DEEP_PERIOD_OVERRIDE",$H$19)*1,"")))</f>
        <v/>
      </c>
      <c r="J194" t="e">
        <f>IF(OR(J$23="",ISNA($B194)),"",IF(ISBLANK($B194),"",IFERROR(_xll.BDP(TICKER,"DEEP_MEASURE_PERIOD_BROKER_VALUE","DEEP_MEASURE_ID_OVERRIDE",$C194,"DEEP_BROKER_ID_OVERRIDE",J$24,"DEEP_PERIOD_OVERRIDE",$H$19)*1,"")))</f>
        <v>#REF!</v>
      </c>
      <c r="K194" t="str">
        <f>IF(OR(K$23="",ISNA($B194)),"",IF(ISBLANK($B194),"",IFERROR(_xll.BDP(TICKER,"DEEP_MEASURE_PERIOD_BROKER_VALUE","DEEP_MEASURE_ID_OVERRIDE",$C194,"DEEP_BROKER_ID_OVERRIDE",K$24,"DEEP_PERIOD_OVERRIDE",$H$19)*1,"")))</f>
        <v/>
      </c>
      <c r="L194" t="str">
        <f>IF(OR(L$23="",ISNA($B194)),"",IF(ISBLANK($B194),"",IFERROR(_xll.BDP(TICKER,"DEEP_MEASURE_PERIOD_BROKER_VALUE","DEEP_MEASURE_ID_OVERRIDE",$C194,"DEEP_BROKER_ID_OVERRIDE",L$24,"DEEP_PERIOD_OVERRIDE",$H$19)*1,"")))</f>
        <v/>
      </c>
      <c r="M194" t="str">
        <f>IF(OR(M$23="",ISNA($B194)),"",IF(ISBLANK($B194),"",IFERROR(_xll.BDP(TICKER,"DEEP_MEASURE_PERIOD_BROKER_VALUE","DEEP_MEASURE_ID_OVERRIDE",$C194,"DEEP_BROKER_ID_OVERRIDE",M$24,"DEEP_PERIOD_OVERRIDE",$H$19)*1,"")))</f>
        <v/>
      </c>
      <c r="N194" t="str">
        <f>IF(OR(N$23="",ISNA($B194)),"",IF(ISBLANK($B194),"",IFERROR(_xll.BDP(TICKER,"DEEP_MEASURE_PERIOD_BROKER_VALUE","DEEP_MEASURE_ID_OVERRIDE",$C194,"DEEP_BROKER_ID_OVERRIDE",N$24,"DEEP_PERIOD_OVERRIDE",$H$19)*1,"")))</f>
        <v/>
      </c>
      <c r="O194" t="str">
        <f>IF(OR(O$23="",ISNA($B194)),"",IF(ISBLANK($B194),"",IFERROR(_xll.BDP(TICKER,"DEEP_MEASURE_PERIOD_BROKER_VALUE","DEEP_MEASURE_ID_OVERRIDE",$C194,"DEEP_BROKER_ID_OVERRIDE",O$24,"DEEP_PERIOD_OVERRIDE",$H$19)*1,"")))</f>
        <v/>
      </c>
      <c r="P194" t="str">
        <f>IF(OR(P$23="",ISNA($B194)),"",IF(ISBLANK($B194),"",IFERROR(_xll.BDP(TICKER,"DEEP_MEASURE_PERIOD_BROKER_VALUE","DEEP_MEASURE_ID_OVERRIDE",$C194,"DEEP_BROKER_ID_OVERRIDE",P$24,"DEEP_PERIOD_OVERRIDE",$H$19)*1,"")))</f>
        <v/>
      </c>
      <c r="Q194" t="str">
        <f>IF(OR(Q$23="",ISNA($B194)),"",IF(ISBLANK($B194),"",IFERROR(_xll.BDP(TICKER,"DEEP_MEASURE_PERIOD_BROKER_VALUE","DEEP_MEASURE_ID_OVERRIDE",$C194,"DEEP_BROKER_ID_OVERRIDE",Q$24,"DEEP_PERIOD_OVERRIDE",$H$19)*1,"")))</f>
        <v/>
      </c>
      <c r="R194" t="str">
        <f>IF(OR(R$23="",ISNA($B194)),"",IF(ISBLANK($B194),"",IFERROR(_xll.BDP(TICKER,"DEEP_MEASURE_PERIOD_BROKER_VALUE","DEEP_MEASURE_ID_OVERRIDE",$C194,"DEEP_BROKER_ID_OVERRIDE",R$24,"DEEP_PERIOD_OVERRIDE",$H$19)*1,"")))</f>
        <v/>
      </c>
      <c r="S194" t="str">
        <f>IF(OR(S$23="",ISNA($B194)),"",IF(ISBLANK($B194),"",IFERROR(_xll.BDP(TICKER,"DEEP_MEASURE_PERIOD_BROKER_VALUE","DEEP_MEASURE_ID_OVERRIDE",$C194,"DEEP_BROKER_ID_OVERRIDE",S$24,"DEEP_PERIOD_OVERRIDE",$H$19)*1,"")))</f>
        <v/>
      </c>
      <c r="T194" t="str">
        <f>IF(OR(T$23="",ISNA($B194)),"",IF(ISBLANK($B194),"",IFERROR(_xll.BDP(TICKER,"DEEP_MEASURE_PERIOD_BROKER_VALUE","DEEP_MEASURE_ID_OVERRIDE",$C194,"DEEP_BROKER_ID_OVERRIDE",T$24,"DEEP_PERIOD_OVERRIDE",$H$19)*1,"")))</f>
        <v/>
      </c>
      <c r="U194" t="str">
        <f>IF(OR(U$23="",ISNA($B194)),"",IF(ISBLANK($B194),"",IFERROR(_xll.BDP(TICKER,"DEEP_MEASURE_PERIOD_BROKER_VALUE","DEEP_MEASURE_ID_OVERRIDE",$C194,"DEEP_BROKER_ID_OVERRIDE",U$24,"DEEP_PERIOD_OVERRIDE",$H$19)*1,"")))</f>
        <v/>
      </c>
      <c r="V194" t="str">
        <f>IF(OR(V$23="",ISNA($B194)),"",IF(ISBLANK($B194),"",IFERROR(_xll.BDP(TICKER,"DEEP_MEASURE_PERIOD_BROKER_VALUE","DEEP_MEASURE_ID_OVERRIDE",$C194,"DEEP_BROKER_ID_OVERRIDE",V$24,"DEEP_PERIOD_OVERRIDE",$H$19)*1,"")))</f>
        <v/>
      </c>
      <c r="W194" t="str">
        <f>IF(OR(W$23="",ISNA($B194)),"",IF(ISBLANK($B194),"",IFERROR(_xll.BDP(TICKER,"DEEP_MEASURE_PERIOD_BROKER_VALUE","DEEP_MEASURE_ID_OVERRIDE",$C194,"DEEP_BROKER_ID_OVERRIDE",W$24,"DEEP_PERIOD_OVERRIDE",$H$19)*1,"")))</f>
        <v/>
      </c>
      <c r="X194" t="str">
        <f>IF(OR(X$23="",ISNA($B194)),"",IF(ISBLANK($B194),"",IFERROR(_xll.BDP(TICKER,"DEEP_MEASURE_PERIOD_BROKER_VALUE","DEEP_MEASURE_ID_OVERRIDE",$C194,"DEEP_BROKER_ID_OVERRIDE",X$24,"DEEP_PERIOD_OVERRIDE",$H$19)*1,"")))</f>
        <v/>
      </c>
      <c r="Y194" t="str">
        <f>IF(OR(Y$23="",ISNA($B194)),"",IF(ISBLANK($B194),"",IFERROR(_xll.BDP(TICKER,"DEEP_MEASURE_PERIOD_BROKER_VALUE","DEEP_MEASURE_ID_OVERRIDE",$C194,"DEEP_BROKER_ID_OVERRIDE",Y$24,"DEEP_PERIOD_OVERRIDE",$H$19)*1,"")))</f>
        <v/>
      </c>
      <c r="Z194" t="str">
        <f>IF(OR(Z$23="",ISNA($B194)),"",IF(ISBLANK($B194),"",IFERROR(_xll.BDP(TICKER,"DEEP_MEASURE_PERIOD_BROKER_VALUE","DEEP_MEASURE_ID_OVERRIDE",$C194,"DEEP_BROKER_ID_OVERRIDE",Z$24,"DEEP_PERIOD_OVERRIDE",$H$19)*1,"")))</f>
        <v/>
      </c>
      <c r="AA194" t="str">
        <f>IF(OR(AA$23="",ISNA($B194)),"",IF(ISBLANK($B194),"",IFERROR(_xll.BDP(TICKER,"DEEP_MEASURE_PERIOD_BROKER_VALUE","DEEP_MEASURE_ID_OVERRIDE",$C194,"DEEP_BROKER_ID_OVERRIDE",AA$24,"DEEP_PERIOD_OVERRIDE",$H$19)*1,"")))</f>
        <v/>
      </c>
      <c r="AB194" t="str">
        <f>IF(OR(AB$23="",ISNA($B194)),"",IF(ISBLANK($B194),"",IFERROR(_xll.BDP(TICKER,"DEEP_MEASURE_PERIOD_BROKER_VALUE","DEEP_MEASURE_ID_OVERRIDE",$C194,"DEEP_BROKER_ID_OVERRIDE",AB$24,"DEEP_PERIOD_OVERRIDE",$H$19)*1,"")))</f>
        <v/>
      </c>
      <c r="AC194" t="str">
        <f>IF(OR(AC$23="",ISNA($B194)),"",IF(ISBLANK($B194),"",IFERROR(_xll.BDP(TICKER,"DEEP_MEASURE_PERIOD_BROKER_VALUE","DEEP_MEASURE_ID_OVERRIDE",$C194,"DEEP_BROKER_ID_OVERRIDE",AC$24,"DEEP_PERIOD_OVERRIDE",$H$19)*1,"")))</f>
        <v/>
      </c>
      <c r="AD194" t="str">
        <f>IF(OR(AD$23="",ISNA($B194)),"",IF(ISBLANK($B194),"",IFERROR(_xll.BDP(TICKER,"DEEP_MEASURE_PERIOD_BROKER_VALUE","DEEP_MEASURE_ID_OVERRIDE",$C194,"DEEP_BROKER_ID_OVERRIDE",AD$24,"DEEP_PERIOD_OVERRIDE",$H$19)*1,"")))</f>
        <v/>
      </c>
      <c r="AE194" t="str">
        <f>IF(OR(AE$23="",ISNA($B194)),"",IF(ISBLANK($B194),"",IFERROR(_xll.BDP(TICKER,"DEEP_MEASURE_PERIOD_BROKER_VALUE","DEEP_MEASURE_ID_OVERRIDE",$C194,"DEEP_BROKER_ID_OVERRIDE",AE$24,"DEEP_PERIOD_OVERRIDE",$H$19)*1,"")))</f>
        <v/>
      </c>
      <c r="AF194" t="str">
        <f>IF(OR(AF$23="",ISNA($B194)),"",IF(ISBLANK($B194),"",IFERROR(_xll.BDP(TICKER,"DEEP_MEASURE_PERIOD_BROKER_VALUE","DEEP_MEASURE_ID_OVERRIDE",$C194,"DEEP_BROKER_ID_OVERRIDE",AF$24,"DEEP_PERIOD_OVERRIDE",$H$19)*1,"")))</f>
        <v/>
      </c>
      <c r="AG194" t="str">
        <f>IF(OR(AG$23="",ISNA($B194)),"",IF(ISBLANK($B194),"",IFERROR(_xll.BDP(TICKER,"DEEP_MEASURE_PERIOD_BROKER_VALUE","DEEP_MEASURE_ID_OVERRIDE",$C194,"DEEP_BROKER_ID_OVERRIDE",AG$24,"DEEP_PERIOD_OVERRIDE",$H$19)*1,"")))</f>
        <v/>
      </c>
      <c r="AH194" t="str">
        <f>IF(OR(AH$23="",ISNA($B194)),"",IF(ISBLANK($B194),"",IFERROR(_xll.BDP(TICKER,"DEEP_MEASURE_PERIOD_BROKER_VALUE","DEEP_MEASURE_ID_OVERRIDE",$C194,"DEEP_BROKER_ID_OVERRIDE",AH$24,"DEEP_PERIOD_OVERRIDE",$H$19)*1,"")))</f>
        <v/>
      </c>
      <c r="AI194" t="str">
        <f>IF(OR(AI$23="",ISNA($B194)),"",IF(ISBLANK($B194),"",IFERROR(_xll.BDP(TICKER,"DEEP_MEASURE_PERIOD_BROKER_VALUE","DEEP_MEASURE_ID_OVERRIDE",$C194,"DEEP_BROKER_ID_OVERRIDE",AI$24,"DEEP_PERIOD_OVERRIDE",$H$19)*1,"")))</f>
        <v/>
      </c>
      <c r="AJ194" t="str">
        <f>IF(OR(AJ$23="",ISNA($B194)),"",IF(ISBLANK($B194),"",IFERROR(_xll.BDP(TICKER,"DEEP_MEASURE_PERIOD_BROKER_VALUE","DEEP_MEASURE_ID_OVERRIDE",$C194,"DEEP_BROKER_ID_OVERRIDE",AJ$24,"DEEP_PERIOD_OVERRIDE",$H$19)*1,"")))</f>
        <v/>
      </c>
      <c r="AK194" t="str">
        <f>IF(OR(AK$23="",ISNA($B194)),"",IF(ISBLANK($B194),"",IFERROR(_xll.BDP(TICKER,"DEEP_MEASURE_PERIOD_BROKER_VALUE","DEEP_MEASURE_ID_OVERRIDE",$C194,"DEEP_BROKER_ID_OVERRIDE",AK$24,"DEEP_PERIOD_OVERRIDE",$H$19)*1,"")))</f>
        <v/>
      </c>
      <c r="AL194" t="str">
        <f>IF(OR(AL$23="",ISNA($B194)),"",IF(ISBLANK($B194),"",IFERROR(_xll.BDP(TICKER,"DEEP_MEASURE_PERIOD_BROKER_VALUE","DEEP_MEASURE_ID_OVERRIDE",$C194,"DEEP_BROKER_ID_OVERRIDE",AL$24,"DEEP_PERIOD_OVERRIDE",$H$19)*1,"")))</f>
        <v/>
      </c>
      <c r="AM194" t="str">
        <f>IF(OR(AM$23="",ISNA($B194)),"",IF(ISBLANK($B194),"",IFERROR(_xll.BDP(TICKER,"DEEP_MEASURE_PERIOD_BROKER_VALUE","DEEP_MEASURE_ID_OVERRIDE",$C194,"DEEP_BROKER_ID_OVERRIDE",AM$24,"DEEP_PERIOD_OVERRIDE",$H$19)*1,"")))</f>
        <v/>
      </c>
      <c r="AN194" t="str">
        <f>IF(OR(AN$23="",ISNA($B194)),"",IF(ISBLANK($B194),"",IFERROR(_xll.BDP(TICKER,"DEEP_MEASURE_PERIOD_BROKER_VALUE","DEEP_MEASURE_ID_OVERRIDE",$C194,"DEEP_BROKER_ID_OVERRIDE",AN$24,"DEEP_PERIOD_OVERRIDE",$H$19)*1,"")))</f>
        <v/>
      </c>
      <c r="AO194" t="str">
        <f>IF(OR(AO$23="",ISNA($B194)),"",IF(ISBLANK($B194),"",IFERROR(_xll.BDP(TICKER,"DEEP_MEASURE_PERIOD_BROKER_VALUE","DEEP_MEASURE_ID_OVERRIDE",$C194,"DEEP_BROKER_ID_OVERRIDE",AO$24,"DEEP_PERIOD_OVERRIDE",$H$19)*1,"")))</f>
        <v/>
      </c>
      <c r="AP194" t="str">
        <f>IF(OR(AP$23="",ISNA($B194)),"",IF(ISBLANK($B194),"",IFERROR(_xll.BDP(TICKER,"DEEP_MEASURE_PERIOD_BROKER_VALUE","DEEP_MEASURE_ID_OVERRIDE",$C194,"DEEP_BROKER_ID_OVERRIDE",AP$24,"DEEP_PERIOD_OVERRIDE",$H$19)*1,"")))</f>
        <v/>
      </c>
      <c r="AQ194" t="str">
        <f>IF(OR(AQ$23="",ISNA($B194)),"",IF(ISBLANK($B194),"",IFERROR(_xll.BDP(TICKER,"DEEP_MEASURE_PERIOD_BROKER_VALUE","DEEP_MEASURE_ID_OVERRIDE",$C194,"DEEP_BROKER_ID_OVERRIDE",AQ$24,"DEEP_PERIOD_OVERRIDE",$H$19)*1,"")))</f>
        <v/>
      </c>
      <c r="AR194" t="str">
        <f>IF(OR(AR$23="",ISNA($B194)),"",IF(ISBLANK($B194),"",IFERROR(_xll.BDP(TICKER,"DEEP_MEASURE_PERIOD_BROKER_VALUE","DEEP_MEASURE_ID_OVERRIDE",$C194,"DEEP_BROKER_ID_OVERRIDE",AR$24,"DEEP_PERIOD_OVERRIDE",$H$19)*1,"")))</f>
        <v/>
      </c>
      <c r="AS194" t="str">
        <f>IF(OR(AS$23="",ISNA($B194)),"",IF(ISBLANK($B194),"",IFERROR(_xll.BDP(TICKER,"DEEP_MEASURE_PERIOD_BROKER_VALUE","DEEP_MEASURE_ID_OVERRIDE",$C194,"DEEP_BROKER_ID_OVERRIDE",AS$24,"DEEP_PERIOD_OVERRIDE",$H$19)*1,"")))</f>
        <v/>
      </c>
      <c r="AT194" t="str">
        <f>IF(OR(AT$23="",ISNA($B194)),"",IF(ISBLANK($B194),"",IFERROR(_xll.BDP(TICKER,"DEEP_MEASURE_PERIOD_BROKER_VALUE","DEEP_MEASURE_ID_OVERRIDE",$C194,"DEEP_BROKER_ID_OVERRIDE",AT$24,"DEEP_PERIOD_OVERRIDE",$H$19)*1,"")))</f>
        <v/>
      </c>
      <c r="AU194" t="str">
        <f>IF(OR(AU$23="",ISNA($B194)),"",IF(ISBLANK($B194),"",IFERROR(_xll.BDP(TICKER,"DEEP_MEASURE_PERIOD_BROKER_VALUE","DEEP_MEASURE_ID_OVERRIDE",$C194,"DEEP_BROKER_ID_OVERRIDE",AU$24,"DEEP_PERIOD_OVERRIDE",$H$19)*1,"")))</f>
        <v/>
      </c>
      <c r="AV194" t="str">
        <f>IF(OR(AV$23="",ISNA($B194)),"",IF(ISBLANK($B194),"",IFERROR(_xll.BDP(TICKER,"DEEP_MEASURE_PERIOD_BROKER_VALUE","DEEP_MEASURE_ID_OVERRIDE",$C194,"DEEP_BROKER_ID_OVERRIDE",AV$24,"DEEP_PERIOD_OVERRIDE",$H$19)*1,"")))</f>
        <v/>
      </c>
      <c r="AW194" t="str">
        <f>IF(OR(AW$23="",ISNA($B194)),"",IF(ISBLANK($B194),"",IFERROR(_xll.BDP(TICKER,"DEEP_MEASURE_PERIOD_BROKER_VALUE","DEEP_MEASURE_ID_OVERRIDE",$C194,"DEEP_BROKER_ID_OVERRIDE",AW$24,"DEEP_PERIOD_OVERRIDE",$H$19)*1,"")))</f>
        <v/>
      </c>
      <c r="AX194" t="str">
        <f>IF(OR(AX$23="",ISNA($B194)),"",IF(ISBLANK($B194),"",IFERROR(_xll.BDP(TICKER,"DEEP_MEASURE_PERIOD_BROKER_VALUE","DEEP_MEASURE_ID_OVERRIDE",$C194,"DEEP_BROKER_ID_OVERRIDE",AX$24,"DEEP_PERIOD_OVERRIDE",$H$19)*1,"")))</f>
        <v/>
      </c>
      <c r="AY194" t="str">
        <f>IF(OR(AY$23="",ISNA($B194)),"",IF(ISBLANK($B194),"",IFERROR(_xll.BDP(TICKER,"DEEP_MEASURE_PERIOD_BROKER_VALUE","DEEP_MEASURE_ID_OVERRIDE",$C194,"DEEP_BROKER_ID_OVERRIDE",AY$24,"DEEP_PERIOD_OVERRIDE",$H$19)*1,"")))</f>
        <v/>
      </c>
      <c r="AZ194" t="str">
        <f>IF(OR(AZ$23="",ISNA($B194)),"",IF(ISBLANK($B194),"",IFERROR(_xll.BDP(TICKER,"DEEP_MEASURE_PERIOD_BROKER_VALUE","DEEP_MEASURE_ID_OVERRIDE",$C194,"DEEP_BROKER_ID_OVERRIDE",AZ$24,"DEEP_PERIOD_OVERRIDE",$H$19)*1,"")))</f>
        <v/>
      </c>
      <c r="BA194" t="str">
        <f>IF(OR(BA$23="",ISNA($B194)),"",IF(ISBLANK($B194),"",IFERROR(_xll.BDP(TICKER,"DEEP_MEASURE_PERIOD_BROKER_VALUE","DEEP_MEASURE_ID_OVERRIDE",$C194,"DEEP_BROKER_ID_OVERRIDE",BA$24,"DEEP_PERIOD_OVERRIDE",$H$19)*1,"")))</f>
        <v/>
      </c>
      <c r="BB194" t="str">
        <f>IF(OR(BB$23="",ISNA($B194)),"",IF(ISBLANK($B194),"",IFERROR(_xll.BDP(TICKER,"DEEP_MEASURE_PERIOD_BROKER_VALUE","DEEP_MEASURE_ID_OVERRIDE",$C194,"DEEP_BROKER_ID_OVERRIDE",BB$24,"DEEP_PERIOD_OVERRIDE",$H$19)*1,"")))</f>
        <v/>
      </c>
      <c r="BC194" t="str">
        <f>IF(OR(BC$23="",ISNA($B194)),"",IF(ISBLANK($B194),"",IFERROR(_xll.BDP(TICKER,"DEEP_MEASURE_PERIOD_BROKER_VALUE","DEEP_MEASURE_ID_OVERRIDE",$C194,"DEEP_BROKER_ID_OVERRIDE",BC$24,"DEEP_PERIOD_OVERRIDE",$H$19)*1,"")))</f>
        <v/>
      </c>
      <c r="BD194" t="str">
        <f>IF(OR(BD$23="",ISNA($B194)),"",IF(ISBLANK($B194),"",IFERROR(_xll.BDP(TICKER,"DEEP_MEASURE_PERIOD_BROKER_VALUE","DEEP_MEASURE_ID_OVERRIDE",$C194,"DEEP_BROKER_ID_OVERRIDE",BD$24,"DEEP_PERIOD_OVERRIDE",$H$19)*1,"")))</f>
        <v/>
      </c>
      <c r="BE194" t="str">
        <f>IF(OR(BE$23="",ISNA($B194)),"",IF(ISBLANK($B194),"",IFERROR(_xll.BDP(TICKER,"DEEP_MEASURE_PERIOD_BROKER_VALUE","DEEP_MEASURE_ID_OVERRIDE",$C194,"DEEP_BROKER_ID_OVERRIDE",BE$24,"DEEP_PERIOD_OVERRIDE",$H$19)*1,"")))</f>
        <v/>
      </c>
      <c r="BF194" t="str">
        <f>IF(OR(BF$23="",ISNA($B194)),"",IF(ISBLANK($B194),"",IFERROR(_xll.BDP(TICKER,"DEEP_MEASURE_PERIOD_BROKER_VALUE","DEEP_MEASURE_ID_OVERRIDE",$C194,"DEEP_BROKER_ID_OVERRIDE",BF$24,"DEEP_PERIOD_OVERRIDE",$H$19)*1,"")))</f>
        <v/>
      </c>
      <c r="BG194" t="str">
        <f>IF(OR(BG$23="",ISNA($B194)),"",IF(ISBLANK($B194),"",IFERROR(_xll.BDP(TICKER,"DEEP_MEASURE_PERIOD_BROKER_VALUE","DEEP_MEASURE_ID_OVERRIDE",$C194,"DEEP_BROKER_ID_OVERRIDE",BG$24,"DEEP_PERIOD_OVERRIDE",$H$19)*1,"")))</f>
        <v/>
      </c>
      <c r="BH194" t="str">
        <f>IF(OR(BH$23="",ISNA($B194)),"",IF(ISBLANK($B194),"",IFERROR(_xll.BDP(TICKER,"DEEP_MEASURE_PERIOD_BROKER_VALUE","DEEP_MEASURE_ID_OVERRIDE",$C194,"DEEP_BROKER_ID_OVERRIDE",BH$24,"DEEP_PERIOD_OVERRIDE",$H$19)*1,"")))</f>
        <v/>
      </c>
      <c r="BI194" t="str">
        <f>IF(OR(BI$23="",ISNA($B194)),"",IF(ISBLANK($B194),"",IFERROR(_xll.BDP(TICKER,"DEEP_MEASURE_PERIOD_BROKER_VALUE","DEEP_MEASURE_ID_OVERRIDE",$C194,"DEEP_BROKER_ID_OVERRIDE",BI$24,"DEEP_PERIOD_OVERRIDE",$H$19)*1,"")))</f>
        <v/>
      </c>
      <c r="BJ194" t="str">
        <f>IF(OR(BJ$23="",ISNA($B194)),"",IF(ISBLANK($B194),"",IFERROR(_xll.BDP(TICKER,"DEEP_MEASURE_PERIOD_BROKER_VALUE","DEEP_MEASURE_ID_OVERRIDE",$C194,"DEEP_BROKER_ID_OVERRIDE",BJ$24,"DEEP_PERIOD_OVERRIDE",$H$19)*1,"")))</f>
        <v/>
      </c>
      <c r="BK194" t="str">
        <f>IF(OR(BK$23="",ISNA($B194)),"",IF(ISBLANK($B194),"",IFERROR(_xll.BDP(TICKER,"DEEP_MEASURE_PERIOD_BROKER_VALUE","DEEP_MEASURE_ID_OVERRIDE",$C194,"DEEP_BROKER_ID_OVERRIDE",BK$24,"DEEP_PERIOD_OVERRIDE",$H$19)*1,"")))</f>
        <v/>
      </c>
      <c r="BL194" t="str">
        <f>IF(OR(BL$23="",ISNA($B194)),"",IF(ISBLANK($B194),"",IFERROR(_xll.BDP(TICKER,"DEEP_MEASURE_PERIOD_BROKER_VALUE","DEEP_MEASURE_ID_OVERRIDE",$C194,"DEEP_BROKER_ID_OVERRIDE",BL$24,"DEEP_PERIOD_OVERRIDE",$H$19)*1,"")))</f>
        <v/>
      </c>
      <c r="BM194" t="str">
        <f>IF(OR(BM$23="",ISNA($B194)),"",IF(ISBLANK($B194),"",IFERROR(_xll.BDP(TICKER,"DEEP_MEASURE_PERIOD_BROKER_VALUE","DEEP_MEASURE_ID_OVERRIDE",$C194,"DEEP_BROKER_ID_OVERRIDE",BM$24,"DEEP_PERIOD_OVERRIDE",$H$19)*1,"")))</f>
        <v/>
      </c>
      <c r="BN194" t="str">
        <f>IF(OR(BN$23="",ISNA($B194)),"",IF(ISBLANK($B194),"",IFERROR(_xll.BDP(TICKER,"DEEP_MEASURE_PERIOD_BROKER_VALUE","DEEP_MEASURE_ID_OVERRIDE",$C194,"DEEP_BROKER_ID_OVERRIDE",BN$24,"DEEP_PERIOD_OVERRIDE",$H$19)*1,"")))</f>
        <v/>
      </c>
      <c r="BO194" t="str">
        <f>IF(OR(BO$23="",ISNA($B194)),"",IF(ISBLANK($B194),"",IFERROR(_xll.BDP(TICKER,"DEEP_MEASURE_PERIOD_BROKER_VALUE","DEEP_MEASURE_ID_OVERRIDE",$C194,"DEEP_BROKER_ID_OVERRIDE",BO$24,"DEEP_PERIOD_OVERRIDE",$H$19)*1,"")))</f>
        <v/>
      </c>
      <c r="BP194" t="str">
        <f>IF(OR(BP$23="",ISNA($B194)),"",IF(ISBLANK($B194),"",IFERROR(_xll.BDP(TICKER,"DEEP_MEASURE_PERIOD_BROKER_VALUE","DEEP_MEASURE_ID_OVERRIDE",$C194,"DEEP_BROKER_ID_OVERRIDE",BP$24,"DEEP_PERIOD_OVERRIDE",$H$19)*1,"")))</f>
        <v/>
      </c>
      <c r="BQ194" t="str">
        <f>IF(OR(BQ$23="",ISNA($B194)),"",IF(ISBLANK($B194),"",IFERROR(_xll.BDP(TICKER,"DEEP_MEASURE_PERIOD_BROKER_VALUE","DEEP_MEASURE_ID_OVERRIDE",$C194,"DEEP_BROKER_ID_OVERRIDE",BQ$24,"DEEP_PERIOD_OVERRIDE",$H$19)*1,"")))</f>
        <v/>
      </c>
      <c r="BR194" t="str">
        <f>IF(OR(BR$23="",ISNA($B194)),"",IF(ISBLANK($B194),"",IFERROR(_xll.BDP(TICKER,"DEEP_MEASURE_PERIOD_BROKER_VALUE","DEEP_MEASURE_ID_OVERRIDE",$C194,"DEEP_BROKER_ID_OVERRIDE",BR$24,"DEEP_PERIOD_OVERRIDE",$H$19)*1,"")))</f>
        <v/>
      </c>
      <c r="BS194" t="str">
        <f>IF(OR(BS$23="",ISNA($B194)),"",IF(ISBLANK($B194),"",IFERROR(_xll.BDP(TICKER,"DEEP_MEASURE_PERIOD_BROKER_VALUE","DEEP_MEASURE_ID_OVERRIDE",$C194,"DEEP_BROKER_ID_OVERRIDE",BS$24,"DEEP_PERIOD_OVERRIDE",$H$19)*1,"")))</f>
        <v/>
      </c>
      <c r="BT194" t="str">
        <f>IF(OR(BT$23="",ISNA($B194)),"",IF(ISBLANK($B194),"",IFERROR(_xll.BDP(TICKER,"DEEP_MEASURE_PERIOD_BROKER_VALUE","DEEP_MEASURE_ID_OVERRIDE",$C194,"DEEP_BROKER_ID_OVERRIDE",BT$24,"DEEP_PERIOD_OVERRIDE",$H$19)*1,"")))</f>
        <v/>
      </c>
      <c r="BU194" t="str">
        <f>IF(OR(BU$23="",ISNA($B194)),"",IF(ISBLANK($B194),"",IFERROR(_xll.BDP(TICKER,"DEEP_MEASURE_PERIOD_BROKER_VALUE","DEEP_MEASURE_ID_OVERRIDE",$C194,"DEEP_BROKER_ID_OVERRIDE",BU$24,"DEEP_PERIOD_OVERRIDE",$H$19)*1,"")))</f>
        <v/>
      </c>
      <c r="BV194" t="str">
        <f>IF(OR(BV$23="",ISNA($B194)),"",IF(ISBLANK($B194),"",IFERROR(_xll.BDP(TICKER,"DEEP_MEASURE_PERIOD_BROKER_VALUE","DEEP_MEASURE_ID_OVERRIDE",$C194,"DEEP_BROKER_ID_OVERRIDE",BV$24,"DEEP_PERIOD_OVERRIDE",$H$19)*1,"")))</f>
        <v/>
      </c>
      <c r="BW194" t="str">
        <f>IF(OR(BW$23="",ISNA($B194)),"",IF(ISBLANK($B194),"",IFERROR(_xll.BDP(TICKER,"DEEP_MEASURE_PERIOD_BROKER_VALUE","DEEP_MEASURE_ID_OVERRIDE",$C194,"DEEP_BROKER_ID_OVERRIDE",BW$24,"DEEP_PERIOD_OVERRIDE",$H$19)*1,"")))</f>
        <v/>
      </c>
      <c r="BX194" t="str">
        <f>IF(OR(BX$23="",ISNA($B194)),"",IF(ISBLANK($B194),"",IFERROR(_xll.BDP(TICKER,"DEEP_MEASURE_PERIOD_BROKER_VALUE","DEEP_MEASURE_ID_OVERRIDE",$C194,"DEEP_BROKER_ID_OVERRIDE",BX$24,"DEEP_PERIOD_OVERRIDE",$H$19)*1,"")))</f>
        <v/>
      </c>
      <c r="BY194" t="str">
        <f>IF(OR(BY$23="",ISNA($B194)),"",IF(ISBLANK($B194),"",IFERROR(_xll.BDP(TICKER,"DEEP_MEASURE_PERIOD_BROKER_VALUE","DEEP_MEASURE_ID_OVERRIDE",$C194,"DEEP_BROKER_ID_OVERRIDE",BY$24,"DEEP_PERIOD_OVERRIDE",$H$19)*1,"")))</f>
        <v/>
      </c>
      <c r="BZ194" t="str">
        <f>IF(OR(BZ$23="",ISNA($B194)),"",IF(ISBLANK($B194),"",IFERROR(_xll.BDP(TICKER,"DEEP_MEASURE_PERIOD_BROKER_VALUE","DEEP_MEASURE_ID_OVERRIDE",$C194,"DEEP_BROKER_ID_OVERRIDE",BZ$24,"DEEP_PERIOD_OVERRIDE",$H$19)*1,"")))</f>
        <v/>
      </c>
    </row>
    <row r="195" spans="2:78" x14ac:dyDescent="0.25">
      <c r="B195" t="s">
        <v>204</v>
      </c>
      <c r="C195">
        <v>390</v>
      </c>
      <c r="H195" t="str">
        <f t="shared" si="3"/>
        <v>Cash from Operations Activities &gt; Stock Based Compensation &gt; As % of Revenue</v>
      </c>
      <c r="I195" t="str">
        <f>IF(OR(I$23="",ISNA($B195)),"",IF(ISBLANK($B195),"",IFERROR(_xll.BDP(TICKER,"DEEP_MEASURE_PERIOD_BROKER_VALUE","DEEP_MEASURE_ID_OVERRIDE",$C195,"DEEP_PERIOD_OVERRIDE",$H$19)*1,"")))</f>
        <v/>
      </c>
      <c r="J195" t="e">
        <f>IF(OR(J$23="",ISNA($B195)),"",IF(ISBLANK($B195),"",IFERROR(_xll.BDP(TICKER,"DEEP_MEASURE_PERIOD_BROKER_VALUE","DEEP_MEASURE_ID_OVERRIDE",$C195,"DEEP_BROKER_ID_OVERRIDE",J$24,"DEEP_PERIOD_OVERRIDE",$H$19)*1,"")))</f>
        <v>#REF!</v>
      </c>
      <c r="K195" t="str">
        <f>IF(OR(K$23="",ISNA($B195)),"",IF(ISBLANK($B195),"",IFERROR(_xll.BDP(TICKER,"DEEP_MEASURE_PERIOD_BROKER_VALUE","DEEP_MEASURE_ID_OVERRIDE",$C195,"DEEP_BROKER_ID_OVERRIDE",K$24,"DEEP_PERIOD_OVERRIDE",$H$19)*1,"")))</f>
        <v/>
      </c>
      <c r="L195" t="str">
        <f>IF(OR(L$23="",ISNA($B195)),"",IF(ISBLANK($B195),"",IFERROR(_xll.BDP(TICKER,"DEEP_MEASURE_PERIOD_BROKER_VALUE","DEEP_MEASURE_ID_OVERRIDE",$C195,"DEEP_BROKER_ID_OVERRIDE",L$24,"DEEP_PERIOD_OVERRIDE",$H$19)*1,"")))</f>
        <v/>
      </c>
      <c r="M195" t="str">
        <f>IF(OR(M$23="",ISNA($B195)),"",IF(ISBLANK($B195),"",IFERROR(_xll.BDP(TICKER,"DEEP_MEASURE_PERIOD_BROKER_VALUE","DEEP_MEASURE_ID_OVERRIDE",$C195,"DEEP_BROKER_ID_OVERRIDE",M$24,"DEEP_PERIOD_OVERRIDE",$H$19)*1,"")))</f>
        <v/>
      </c>
      <c r="N195" t="str">
        <f>IF(OR(N$23="",ISNA($B195)),"",IF(ISBLANK($B195),"",IFERROR(_xll.BDP(TICKER,"DEEP_MEASURE_PERIOD_BROKER_VALUE","DEEP_MEASURE_ID_OVERRIDE",$C195,"DEEP_BROKER_ID_OVERRIDE",N$24,"DEEP_PERIOD_OVERRIDE",$H$19)*1,"")))</f>
        <v/>
      </c>
      <c r="O195" t="str">
        <f>IF(OR(O$23="",ISNA($B195)),"",IF(ISBLANK($B195),"",IFERROR(_xll.BDP(TICKER,"DEEP_MEASURE_PERIOD_BROKER_VALUE","DEEP_MEASURE_ID_OVERRIDE",$C195,"DEEP_BROKER_ID_OVERRIDE",O$24,"DEEP_PERIOD_OVERRIDE",$H$19)*1,"")))</f>
        <v/>
      </c>
      <c r="P195" t="str">
        <f>IF(OR(P$23="",ISNA($B195)),"",IF(ISBLANK($B195),"",IFERROR(_xll.BDP(TICKER,"DEEP_MEASURE_PERIOD_BROKER_VALUE","DEEP_MEASURE_ID_OVERRIDE",$C195,"DEEP_BROKER_ID_OVERRIDE",P$24,"DEEP_PERIOD_OVERRIDE",$H$19)*1,"")))</f>
        <v/>
      </c>
      <c r="Q195" t="str">
        <f>IF(OR(Q$23="",ISNA($B195)),"",IF(ISBLANK($B195),"",IFERROR(_xll.BDP(TICKER,"DEEP_MEASURE_PERIOD_BROKER_VALUE","DEEP_MEASURE_ID_OVERRIDE",$C195,"DEEP_BROKER_ID_OVERRIDE",Q$24,"DEEP_PERIOD_OVERRIDE",$H$19)*1,"")))</f>
        <v/>
      </c>
      <c r="R195" t="str">
        <f>IF(OR(R$23="",ISNA($B195)),"",IF(ISBLANK($B195),"",IFERROR(_xll.BDP(TICKER,"DEEP_MEASURE_PERIOD_BROKER_VALUE","DEEP_MEASURE_ID_OVERRIDE",$C195,"DEEP_BROKER_ID_OVERRIDE",R$24,"DEEP_PERIOD_OVERRIDE",$H$19)*1,"")))</f>
        <v/>
      </c>
      <c r="S195" t="str">
        <f>IF(OR(S$23="",ISNA($B195)),"",IF(ISBLANK($B195),"",IFERROR(_xll.BDP(TICKER,"DEEP_MEASURE_PERIOD_BROKER_VALUE","DEEP_MEASURE_ID_OVERRIDE",$C195,"DEEP_BROKER_ID_OVERRIDE",S$24,"DEEP_PERIOD_OVERRIDE",$H$19)*1,"")))</f>
        <v/>
      </c>
      <c r="T195" t="str">
        <f>IF(OR(T$23="",ISNA($B195)),"",IF(ISBLANK($B195),"",IFERROR(_xll.BDP(TICKER,"DEEP_MEASURE_PERIOD_BROKER_VALUE","DEEP_MEASURE_ID_OVERRIDE",$C195,"DEEP_BROKER_ID_OVERRIDE",T$24,"DEEP_PERIOD_OVERRIDE",$H$19)*1,"")))</f>
        <v/>
      </c>
      <c r="U195" t="str">
        <f>IF(OR(U$23="",ISNA($B195)),"",IF(ISBLANK($B195),"",IFERROR(_xll.BDP(TICKER,"DEEP_MEASURE_PERIOD_BROKER_VALUE","DEEP_MEASURE_ID_OVERRIDE",$C195,"DEEP_BROKER_ID_OVERRIDE",U$24,"DEEP_PERIOD_OVERRIDE",$H$19)*1,"")))</f>
        <v/>
      </c>
      <c r="V195" t="str">
        <f>IF(OR(V$23="",ISNA($B195)),"",IF(ISBLANK($B195),"",IFERROR(_xll.BDP(TICKER,"DEEP_MEASURE_PERIOD_BROKER_VALUE","DEEP_MEASURE_ID_OVERRIDE",$C195,"DEEP_BROKER_ID_OVERRIDE",V$24,"DEEP_PERIOD_OVERRIDE",$H$19)*1,"")))</f>
        <v/>
      </c>
      <c r="W195" t="str">
        <f>IF(OR(W$23="",ISNA($B195)),"",IF(ISBLANK($B195),"",IFERROR(_xll.BDP(TICKER,"DEEP_MEASURE_PERIOD_BROKER_VALUE","DEEP_MEASURE_ID_OVERRIDE",$C195,"DEEP_BROKER_ID_OVERRIDE",W$24,"DEEP_PERIOD_OVERRIDE",$H$19)*1,"")))</f>
        <v/>
      </c>
      <c r="X195" t="str">
        <f>IF(OR(X$23="",ISNA($B195)),"",IF(ISBLANK($B195),"",IFERROR(_xll.BDP(TICKER,"DEEP_MEASURE_PERIOD_BROKER_VALUE","DEEP_MEASURE_ID_OVERRIDE",$C195,"DEEP_BROKER_ID_OVERRIDE",X$24,"DEEP_PERIOD_OVERRIDE",$H$19)*1,"")))</f>
        <v/>
      </c>
      <c r="Y195" t="str">
        <f>IF(OR(Y$23="",ISNA($B195)),"",IF(ISBLANK($B195),"",IFERROR(_xll.BDP(TICKER,"DEEP_MEASURE_PERIOD_BROKER_VALUE","DEEP_MEASURE_ID_OVERRIDE",$C195,"DEEP_BROKER_ID_OVERRIDE",Y$24,"DEEP_PERIOD_OVERRIDE",$H$19)*1,"")))</f>
        <v/>
      </c>
      <c r="Z195" t="str">
        <f>IF(OR(Z$23="",ISNA($B195)),"",IF(ISBLANK($B195),"",IFERROR(_xll.BDP(TICKER,"DEEP_MEASURE_PERIOD_BROKER_VALUE","DEEP_MEASURE_ID_OVERRIDE",$C195,"DEEP_BROKER_ID_OVERRIDE",Z$24,"DEEP_PERIOD_OVERRIDE",$H$19)*1,"")))</f>
        <v/>
      </c>
      <c r="AA195" t="str">
        <f>IF(OR(AA$23="",ISNA($B195)),"",IF(ISBLANK($B195),"",IFERROR(_xll.BDP(TICKER,"DEEP_MEASURE_PERIOD_BROKER_VALUE","DEEP_MEASURE_ID_OVERRIDE",$C195,"DEEP_BROKER_ID_OVERRIDE",AA$24,"DEEP_PERIOD_OVERRIDE",$H$19)*1,"")))</f>
        <v/>
      </c>
      <c r="AB195" t="str">
        <f>IF(OR(AB$23="",ISNA($B195)),"",IF(ISBLANK($B195),"",IFERROR(_xll.BDP(TICKER,"DEEP_MEASURE_PERIOD_BROKER_VALUE","DEEP_MEASURE_ID_OVERRIDE",$C195,"DEEP_BROKER_ID_OVERRIDE",AB$24,"DEEP_PERIOD_OVERRIDE",$H$19)*1,"")))</f>
        <v/>
      </c>
      <c r="AC195" t="str">
        <f>IF(OR(AC$23="",ISNA($B195)),"",IF(ISBLANK($B195),"",IFERROR(_xll.BDP(TICKER,"DEEP_MEASURE_PERIOD_BROKER_VALUE","DEEP_MEASURE_ID_OVERRIDE",$C195,"DEEP_BROKER_ID_OVERRIDE",AC$24,"DEEP_PERIOD_OVERRIDE",$H$19)*1,"")))</f>
        <v/>
      </c>
      <c r="AD195" t="str">
        <f>IF(OR(AD$23="",ISNA($B195)),"",IF(ISBLANK($B195),"",IFERROR(_xll.BDP(TICKER,"DEEP_MEASURE_PERIOD_BROKER_VALUE","DEEP_MEASURE_ID_OVERRIDE",$C195,"DEEP_BROKER_ID_OVERRIDE",AD$24,"DEEP_PERIOD_OVERRIDE",$H$19)*1,"")))</f>
        <v/>
      </c>
      <c r="AE195" t="str">
        <f>IF(OR(AE$23="",ISNA($B195)),"",IF(ISBLANK($B195),"",IFERROR(_xll.BDP(TICKER,"DEEP_MEASURE_PERIOD_BROKER_VALUE","DEEP_MEASURE_ID_OVERRIDE",$C195,"DEEP_BROKER_ID_OVERRIDE",AE$24,"DEEP_PERIOD_OVERRIDE",$H$19)*1,"")))</f>
        <v/>
      </c>
      <c r="AF195" t="str">
        <f>IF(OR(AF$23="",ISNA($B195)),"",IF(ISBLANK($B195),"",IFERROR(_xll.BDP(TICKER,"DEEP_MEASURE_PERIOD_BROKER_VALUE","DEEP_MEASURE_ID_OVERRIDE",$C195,"DEEP_BROKER_ID_OVERRIDE",AF$24,"DEEP_PERIOD_OVERRIDE",$H$19)*1,"")))</f>
        <v/>
      </c>
      <c r="AG195" t="str">
        <f>IF(OR(AG$23="",ISNA($B195)),"",IF(ISBLANK($B195),"",IFERROR(_xll.BDP(TICKER,"DEEP_MEASURE_PERIOD_BROKER_VALUE","DEEP_MEASURE_ID_OVERRIDE",$C195,"DEEP_BROKER_ID_OVERRIDE",AG$24,"DEEP_PERIOD_OVERRIDE",$H$19)*1,"")))</f>
        <v/>
      </c>
      <c r="AH195" t="str">
        <f>IF(OR(AH$23="",ISNA($B195)),"",IF(ISBLANK($B195),"",IFERROR(_xll.BDP(TICKER,"DEEP_MEASURE_PERIOD_BROKER_VALUE","DEEP_MEASURE_ID_OVERRIDE",$C195,"DEEP_BROKER_ID_OVERRIDE",AH$24,"DEEP_PERIOD_OVERRIDE",$H$19)*1,"")))</f>
        <v/>
      </c>
      <c r="AI195" t="str">
        <f>IF(OR(AI$23="",ISNA($B195)),"",IF(ISBLANK($B195),"",IFERROR(_xll.BDP(TICKER,"DEEP_MEASURE_PERIOD_BROKER_VALUE","DEEP_MEASURE_ID_OVERRIDE",$C195,"DEEP_BROKER_ID_OVERRIDE",AI$24,"DEEP_PERIOD_OVERRIDE",$H$19)*1,"")))</f>
        <v/>
      </c>
      <c r="AJ195" t="str">
        <f>IF(OR(AJ$23="",ISNA($B195)),"",IF(ISBLANK($B195),"",IFERROR(_xll.BDP(TICKER,"DEEP_MEASURE_PERIOD_BROKER_VALUE","DEEP_MEASURE_ID_OVERRIDE",$C195,"DEEP_BROKER_ID_OVERRIDE",AJ$24,"DEEP_PERIOD_OVERRIDE",$H$19)*1,"")))</f>
        <v/>
      </c>
      <c r="AK195" t="str">
        <f>IF(OR(AK$23="",ISNA($B195)),"",IF(ISBLANK($B195),"",IFERROR(_xll.BDP(TICKER,"DEEP_MEASURE_PERIOD_BROKER_VALUE","DEEP_MEASURE_ID_OVERRIDE",$C195,"DEEP_BROKER_ID_OVERRIDE",AK$24,"DEEP_PERIOD_OVERRIDE",$H$19)*1,"")))</f>
        <v/>
      </c>
      <c r="AL195" t="str">
        <f>IF(OR(AL$23="",ISNA($B195)),"",IF(ISBLANK($B195),"",IFERROR(_xll.BDP(TICKER,"DEEP_MEASURE_PERIOD_BROKER_VALUE","DEEP_MEASURE_ID_OVERRIDE",$C195,"DEEP_BROKER_ID_OVERRIDE",AL$24,"DEEP_PERIOD_OVERRIDE",$H$19)*1,"")))</f>
        <v/>
      </c>
      <c r="AM195" t="str">
        <f>IF(OR(AM$23="",ISNA($B195)),"",IF(ISBLANK($B195),"",IFERROR(_xll.BDP(TICKER,"DEEP_MEASURE_PERIOD_BROKER_VALUE","DEEP_MEASURE_ID_OVERRIDE",$C195,"DEEP_BROKER_ID_OVERRIDE",AM$24,"DEEP_PERIOD_OVERRIDE",$H$19)*1,"")))</f>
        <v/>
      </c>
      <c r="AN195" t="str">
        <f>IF(OR(AN$23="",ISNA($B195)),"",IF(ISBLANK($B195),"",IFERROR(_xll.BDP(TICKER,"DEEP_MEASURE_PERIOD_BROKER_VALUE","DEEP_MEASURE_ID_OVERRIDE",$C195,"DEEP_BROKER_ID_OVERRIDE",AN$24,"DEEP_PERIOD_OVERRIDE",$H$19)*1,"")))</f>
        <v/>
      </c>
      <c r="AO195" t="str">
        <f>IF(OR(AO$23="",ISNA($B195)),"",IF(ISBLANK($B195),"",IFERROR(_xll.BDP(TICKER,"DEEP_MEASURE_PERIOD_BROKER_VALUE","DEEP_MEASURE_ID_OVERRIDE",$C195,"DEEP_BROKER_ID_OVERRIDE",AO$24,"DEEP_PERIOD_OVERRIDE",$H$19)*1,"")))</f>
        <v/>
      </c>
      <c r="AP195" t="str">
        <f>IF(OR(AP$23="",ISNA($B195)),"",IF(ISBLANK($B195),"",IFERROR(_xll.BDP(TICKER,"DEEP_MEASURE_PERIOD_BROKER_VALUE","DEEP_MEASURE_ID_OVERRIDE",$C195,"DEEP_BROKER_ID_OVERRIDE",AP$24,"DEEP_PERIOD_OVERRIDE",$H$19)*1,"")))</f>
        <v/>
      </c>
      <c r="AQ195" t="str">
        <f>IF(OR(AQ$23="",ISNA($B195)),"",IF(ISBLANK($B195),"",IFERROR(_xll.BDP(TICKER,"DEEP_MEASURE_PERIOD_BROKER_VALUE","DEEP_MEASURE_ID_OVERRIDE",$C195,"DEEP_BROKER_ID_OVERRIDE",AQ$24,"DEEP_PERIOD_OVERRIDE",$H$19)*1,"")))</f>
        <v/>
      </c>
      <c r="AR195" t="str">
        <f>IF(OR(AR$23="",ISNA($B195)),"",IF(ISBLANK($B195),"",IFERROR(_xll.BDP(TICKER,"DEEP_MEASURE_PERIOD_BROKER_VALUE","DEEP_MEASURE_ID_OVERRIDE",$C195,"DEEP_BROKER_ID_OVERRIDE",AR$24,"DEEP_PERIOD_OVERRIDE",$H$19)*1,"")))</f>
        <v/>
      </c>
      <c r="AS195" t="str">
        <f>IF(OR(AS$23="",ISNA($B195)),"",IF(ISBLANK($B195),"",IFERROR(_xll.BDP(TICKER,"DEEP_MEASURE_PERIOD_BROKER_VALUE","DEEP_MEASURE_ID_OVERRIDE",$C195,"DEEP_BROKER_ID_OVERRIDE",AS$24,"DEEP_PERIOD_OVERRIDE",$H$19)*1,"")))</f>
        <v/>
      </c>
      <c r="AT195" t="str">
        <f>IF(OR(AT$23="",ISNA($B195)),"",IF(ISBLANK($B195),"",IFERROR(_xll.BDP(TICKER,"DEEP_MEASURE_PERIOD_BROKER_VALUE","DEEP_MEASURE_ID_OVERRIDE",$C195,"DEEP_BROKER_ID_OVERRIDE",AT$24,"DEEP_PERIOD_OVERRIDE",$H$19)*1,"")))</f>
        <v/>
      </c>
      <c r="AU195" t="str">
        <f>IF(OR(AU$23="",ISNA($B195)),"",IF(ISBLANK($B195),"",IFERROR(_xll.BDP(TICKER,"DEEP_MEASURE_PERIOD_BROKER_VALUE","DEEP_MEASURE_ID_OVERRIDE",$C195,"DEEP_BROKER_ID_OVERRIDE",AU$24,"DEEP_PERIOD_OVERRIDE",$H$19)*1,"")))</f>
        <v/>
      </c>
      <c r="AV195" t="str">
        <f>IF(OR(AV$23="",ISNA($B195)),"",IF(ISBLANK($B195),"",IFERROR(_xll.BDP(TICKER,"DEEP_MEASURE_PERIOD_BROKER_VALUE","DEEP_MEASURE_ID_OVERRIDE",$C195,"DEEP_BROKER_ID_OVERRIDE",AV$24,"DEEP_PERIOD_OVERRIDE",$H$19)*1,"")))</f>
        <v/>
      </c>
      <c r="AW195" t="str">
        <f>IF(OR(AW$23="",ISNA($B195)),"",IF(ISBLANK($B195),"",IFERROR(_xll.BDP(TICKER,"DEEP_MEASURE_PERIOD_BROKER_VALUE","DEEP_MEASURE_ID_OVERRIDE",$C195,"DEEP_BROKER_ID_OVERRIDE",AW$24,"DEEP_PERIOD_OVERRIDE",$H$19)*1,"")))</f>
        <v/>
      </c>
      <c r="AX195" t="str">
        <f>IF(OR(AX$23="",ISNA($B195)),"",IF(ISBLANK($B195),"",IFERROR(_xll.BDP(TICKER,"DEEP_MEASURE_PERIOD_BROKER_VALUE","DEEP_MEASURE_ID_OVERRIDE",$C195,"DEEP_BROKER_ID_OVERRIDE",AX$24,"DEEP_PERIOD_OVERRIDE",$H$19)*1,"")))</f>
        <v/>
      </c>
      <c r="AY195" t="str">
        <f>IF(OR(AY$23="",ISNA($B195)),"",IF(ISBLANK($B195),"",IFERROR(_xll.BDP(TICKER,"DEEP_MEASURE_PERIOD_BROKER_VALUE","DEEP_MEASURE_ID_OVERRIDE",$C195,"DEEP_BROKER_ID_OVERRIDE",AY$24,"DEEP_PERIOD_OVERRIDE",$H$19)*1,"")))</f>
        <v/>
      </c>
      <c r="AZ195" t="str">
        <f>IF(OR(AZ$23="",ISNA($B195)),"",IF(ISBLANK($B195),"",IFERROR(_xll.BDP(TICKER,"DEEP_MEASURE_PERIOD_BROKER_VALUE","DEEP_MEASURE_ID_OVERRIDE",$C195,"DEEP_BROKER_ID_OVERRIDE",AZ$24,"DEEP_PERIOD_OVERRIDE",$H$19)*1,"")))</f>
        <v/>
      </c>
      <c r="BA195" t="str">
        <f>IF(OR(BA$23="",ISNA($B195)),"",IF(ISBLANK($B195),"",IFERROR(_xll.BDP(TICKER,"DEEP_MEASURE_PERIOD_BROKER_VALUE","DEEP_MEASURE_ID_OVERRIDE",$C195,"DEEP_BROKER_ID_OVERRIDE",BA$24,"DEEP_PERIOD_OVERRIDE",$H$19)*1,"")))</f>
        <v/>
      </c>
      <c r="BB195" t="str">
        <f>IF(OR(BB$23="",ISNA($B195)),"",IF(ISBLANK($B195),"",IFERROR(_xll.BDP(TICKER,"DEEP_MEASURE_PERIOD_BROKER_VALUE","DEEP_MEASURE_ID_OVERRIDE",$C195,"DEEP_BROKER_ID_OVERRIDE",BB$24,"DEEP_PERIOD_OVERRIDE",$H$19)*1,"")))</f>
        <v/>
      </c>
      <c r="BC195" t="str">
        <f>IF(OR(BC$23="",ISNA($B195)),"",IF(ISBLANK($B195),"",IFERROR(_xll.BDP(TICKER,"DEEP_MEASURE_PERIOD_BROKER_VALUE","DEEP_MEASURE_ID_OVERRIDE",$C195,"DEEP_BROKER_ID_OVERRIDE",BC$24,"DEEP_PERIOD_OVERRIDE",$H$19)*1,"")))</f>
        <v/>
      </c>
      <c r="BD195" t="str">
        <f>IF(OR(BD$23="",ISNA($B195)),"",IF(ISBLANK($B195),"",IFERROR(_xll.BDP(TICKER,"DEEP_MEASURE_PERIOD_BROKER_VALUE","DEEP_MEASURE_ID_OVERRIDE",$C195,"DEEP_BROKER_ID_OVERRIDE",BD$24,"DEEP_PERIOD_OVERRIDE",$H$19)*1,"")))</f>
        <v/>
      </c>
      <c r="BE195" t="str">
        <f>IF(OR(BE$23="",ISNA($B195)),"",IF(ISBLANK($B195),"",IFERROR(_xll.BDP(TICKER,"DEEP_MEASURE_PERIOD_BROKER_VALUE","DEEP_MEASURE_ID_OVERRIDE",$C195,"DEEP_BROKER_ID_OVERRIDE",BE$24,"DEEP_PERIOD_OVERRIDE",$H$19)*1,"")))</f>
        <v/>
      </c>
      <c r="BF195" t="str">
        <f>IF(OR(BF$23="",ISNA($B195)),"",IF(ISBLANK($B195),"",IFERROR(_xll.BDP(TICKER,"DEEP_MEASURE_PERIOD_BROKER_VALUE","DEEP_MEASURE_ID_OVERRIDE",$C195,"DEEP_BROKER_ID_OVERRIDE",BF$24,"DEEP_PERIOD_OVERRIDE",$H$19)*1,"")))</f>
        <v/>
      </c>
      <c r="BG195" t="str">
        <f>IF(OR(BG$23="",ISNA($B195)),"",IF(ISBLANK($B195),"",IFERROR(_xll.BDP(TICKER,"DEEP_MEASURE_PERIOD_BROKER_VALUE","DEEP_MEASURE_ID_OVERRIDE",$C195,"DEEP_BROKER_ID_OVERRIDE",BG$24,"DEEP_PERIOD_OVERRIDE",$H$19)*1,"")))</f>
        <v/>
      </c>
      <c r="BH195" t="str">
        <f>IF(OR(BH$23="",ISNA($B195)),"",IF(ISBLANK($B195),"",IFERROR(_xll.BDP(TICKER,"DEEP_MEASURE_PERIOD_BROKER_VALUE","DEEP_MEASURE_ID_OVERRIDE",$C195,"DEEP_BROKER_ID_OVERRIDE",BH$24,"DEEP_PERIOD_OVERRIDE",$H$19)*1,"")))</f>
        <v/>
      </c>
      <c r="BI195" t="str">
        <f>IF(OR(BI$23="",ISNA($B195)),"",IF(ISBLANK($B195),"",IFERROR(_xll.BDP(TICKER,"DEEP_MEASURE_PERIOD_BROKER_VALUE","DEEP_MEASURE_ID_OVERRIDE",$C195,"DEEP_BROKER_ID_OVERRIDE",BI$24,"DEEP_PERIOD_OVERRIDE",$H$19)*1,"")))</f>
        <v/>
      </c>
      <c r="BJ195" t="str">
        <f>IF(OR(BJ$23="",ISNA($B195)),"",IF(ISBLANK($B195),"",IFERROR(_xll.BDP(TICKER,"DEEP_MEASURE_PERIOD_BROKER_VALUE","DEEP_MEASURE_ID_OVERRIDE",$C195,"DEEP_BROKER_ID_OVERRIDE",BJ$24,"DEEP_PERIOD_OVERRIDE",$H$19)*1,"")))</f>
        <v/>
      </c>
      <c r="BK195" t="str">
        <f>IF(OR(BK$23="",ISNA($B195)),"",IF(ISBLANK($B195),"",IFERROR(_xll.BDP(TICKER,"DEEP_MEASURE_PERIOD_BROKER_VALUE","DEEP_MEASURE_ID_OVERRIDE",$C195,"DEEP_BROKER_ID_OVERRIDE",BK$24,"DEEP_PERIOD_OVERRIDE",$H$19)*1,"")))</f>
        <v/>
      </c>
      <c r="BL195" t="str">
        <f>IF(OR(BL$23="",ISNA($B195)),"",IF(ISBLANK($B195),"",IFERROR(_xll.BDP(TICKER,"DEEP_MEASURE_PERIOD_BROKER_VALUE","DEEP_MEASURE_ID_OVERRIDE",$C195,"DEEP_BROKER_ID_OVERRIDE",BL$24,"DEEP_PERIOD_OVERRIDE",$H$19)*1,"")))</f>
        <v/>
      </c>
      <c r="BM195" t="str">
        <f>IF(OR(BM$23="",ISNA($B195)),"",IF(ISBLANK($B195),"",IFERROR(_xll.BDP(TICKER,"DEEP_MEASURE_PERIOD_BROKER_VALUE","DEEP_MEASURE_ID_OVERRIDE",$C195,"DEEP_BROKER_ID_OVERRIDE",BM$24,"DEEP_PERIOD_OVERRIDE",$H$19)*1,"")))</f>
        <v/>
      </c>
      <c r="BN195" t="str">
        <f>IF(OR(BN$23="",ISNA($B195)),"",IF(ISBLANK($B195),"",IFERROR(_xll.BDP(TICKER,"DEEP_MEASURE_PERIOD_BROKER_VALUE","DEEP_MEASURE_ID_OVERRIDE",$C195,"DEEP_BROKER_ID_OVERRIDE",BN$24,"DEEP_PERIOD_OVERRIDE",$H$19)*1,"")))</f>
        <v/>
      </c>
      <c r="BO195" t="str">
        <f>IF(OR(BO$23="",ISNA($B195)),"",IF(ISBLANK($B195),"",IFERROR(_xll.BDP(TICKER,"DEEP_MEASURE_PERIOD_BROKER_VALUE","DEEP_MEASURE_ID_OVERRIDE",$C195,"DEEP_BROKER_ID_OVERRIDE",BO$24,"DEEP_PERIOD_OVERRIDE",$H$19)*1,"")))</f>
        <v/>
      </c>
      <c r="BP195" t="str">
        <f>IF(OR(BP$23="",ISNA($B195)),"",IF(ISBLANK($B195),"",IFERROR(_xll.BDP(TICKER,"DEEP_MEASURE_PERIOD_BROKER_VALUE","DEEP_MEASURE_ID_OVERRIDE",$C195,"DEEP_BROKER_ID_OVERRIDE",BP$24,"DEEP_PERIOD_OVERRIDE",$H$19)*1,"")))</f>
        <v/>
      </c>
      <c r="BQ195" t="str">
        <f>IF(OR(BQ$23="",ISNA($B195)),"",IF(ISBLANK($B195),"",IFERROR(_xll.BDP(TICKER,"DEEP_MEASURE_PERIOD_BROKER_VALUE","DEEP_MEASURE_ID_OVERRIDE",$C195,"DEEP_BROKER_ID_OVERRIDE",BQ$24,"DEEP_PERIOD_OVERRIDE",$H$19)*1,"")))</f>
        <v/>
      </c>
      <c r="BR195" t="str">
        <f>IF(OR(BR$23="",ISNA($B195)),"",IF(ISBLANK($B195),"",IFERROR(_xll.BDP(TICKER,"DEEP_MEASURE_PERIOD_BROKER_VALUE","DEEP_MEASURE_ID_OVERRIDE",$C195,"DEEP_BROKER_ID_OVERRIDE",BR$24,"DEEP_PERIOD_OVERRIDE",$H$19)*1,"")))</f>
        <v/>
      </c>
      <c r="BS195" t="str">
        <f>IF(OR(BS$23="",ISNA($B195)),"",IF(ISBLANK($B195),"",IFERROR(_xll.BDP(TICKER,"DEEP_MEASURE_PERIOD_BROKER_VALUE","DEEP_MEASURE_ID_OVERRIDE",$C195,"DEEP_BROKER_ID_OVERRIDE",BS$24,"DEEP_PERIOD_OVERRIDE",$H$19)*1,"")))</f>
        <v/>
      </c>
      <c r="BT195" t="str">
        <f>IF(OR(BT$23="",ISNA($B195)),"",IF(ISBLANK($B195),"",IFERROR(_xll.BDP(TICKER,"DEEP_MEASURE_PERIOD_BROKER_VALUE","DEEP_MEASURE_ID_OVERRIDE",$C195,"DEEP_BROKER_ID_OVERRIDE",BT$24,"DEEP_PERIOD_OVERRIDE",$H$19)*1,"")))</f>
        <v/>
      </c>
      <c r="BU195" t="str">
        <f>IF(OR(BU$23="",ISNA($B195)),"",IF(ISBLANK($B195),"",IFERROR(_xll.BDP(TICKER,"DEEP_MEASURE_PERIOD_BROKER_VALUE","DEEP_MEASURE_ID_OVERRIDE",$C195,"DEEP_BROKER_ID_OVERRIDE",BU$24,"DEEP_PERIOD_OVERRIDE",$H$19)*1,"")))</f>
        <v/>
      </c>
      <c r="BV195" t="str">
        <f>IF(OR(BV$23="",ISNA($B195)),"",IF(ISBLANK($B195),"",IFERROR(_xll.BDP(TICKER,"DEEP_MEASURE_PERIOD_BROKER_VALUE","DEEP_MEASURE_ID_OVERRIDE",$C195,"DEEP_BROKER_ID_OVERRIDE",BV$24,"DEEP_PERIOD_OVERRIDE",$H$19)*1,"")))</f>
        <v/>
      </c>
      <c r="BW195" t="str">
        <f>IF(OR(BW$23="",ISNA($B195)),"",IF(ISBLANK($B195),"",IFERROR(_xll.BDP(TICKER,"DEEP_MEASURE_PERIOD_BROKER_VALUE","DEEP_MEASURE_ID_OVERRIDE",$C195,"DEEP_BROKER_ID_OVERRIDE",BW$24,"DEEP_PERIOD_OVERRIDE",$H$19)*1,"")))</f>
        <v/>
      </c>
      <c r="BX195" t="str">
        <f>IF(OR(BX$23="",ISNA($B195)),"",IF(ISBLANK($B195),"",IFERROR(_xll.BDP(TICKER,"DEEP_MEASURE_PERIOD_BROKER_VALUE","DEEP_MEASURE_ID_OVERRIDE",$C195,"DEEP_BROKER_ID_OVERRIDE",BX$24,"DEEP_PERIOD_OVERRIDE",$H$19)*1,"")))</f>
        <v/>
      </c>
      <c r="BY195" t="str">
        <f>IF(OR(BY$23="",ISNA($B195)),"",IF(ISBLANK($B195),"",IFERROR(_xll.BDP(TICKER,"DEEP_MEASURE_PERIOD_BROKER_VALUE","DEEP_MEASURE_ID_OVERRIDE",$C195,"DEEP_BROKER_ID_OVERRIDE",BY$24,"DEEP_PERIOD_OVERRIDE",$H$19)*1,"")))</f>
        <v/>
      </c>
      <c r="BZ195" t="str">
        <f>IF(OR(BZ$23="",ISNA($B195)),"",IF(ISBLANK($B195),"",IFERROR(_xll.BDP(TICKER,"DEEP_MEASURE_PERIOD_BROKER_VALUE","DEEP_MEASURE_ID_OVERRIDE",$C195,"DEEP_BROKER_ID_OVERRIDE",BZ$24,"DEEP_PERIOD_OVERRIDE",$H$19)*1,"")))</f>
        <v/>
      </c>
    </row>
    <row r="196" spans="2:78" x14ac:dyDescent="0.25">
      <c r="B196" t="s">
        <v>205</v>
      </c>
      <c r="C196">
        <v>3635</v>
      </c>
      <c r="H196" t="str">
        <f t="shared" si="3"/>
        <v>Cash from Operations Activities &gt; Stock Based Compensation &gt; YoY Growth (%)</v>
      </c>
      <c r="I196" t="str">
        <f>IF(OR(I$23="",ISNA($B196)),"",IF(ISBLANK($B196),"",IFERROR(_xll.BDP(TICKER,"DEEP_MEASURE_PERIOD_BROKER_VALUE","DEEP_MEASURE_ID_OVERRIDE",$C196,"DEEP_PERIOD_OVERRIDE",$H$19)*1,"")))</f>
        <v/>
      </c>
      <c r="J196" t="e">
        <f>IF(OR(J$23="",ISNA($B196)),"",IF(ISBLANK($B196),"",IFERROR(_xll.BDP(TICKER,"DEEP_MEASURE_PERIOD_BROKER_VALUE","DEEP_MEASURE_ID_OVERRIDE",$C196,"DEEP_BROKER_ID_OVERRIDE",J$24,"DEEP_PERIOD_OVERRIDE",$H$19)*1,"")))</f>
        <v>#REF!</v>
      </c>
      <c r="K196" t="str">
        <f>IF(OR(K$23="",ISNA($B196)),"",IF(ISBLANK($B196),"",IFERROR(_xll.BDP(TICKER,"DEEP_MEASURE_PERIOD_BROKER_VALUE","DEEP_MEASURE_ID_OVERRIDE",$C196,"DEEP_BROKER_ID_OVERRIDE",K$24,"DEEP_PERIOD_OVERRIDE",$H$19)*1,"")))</f>
        <v/>
      </c>
      <c r="L196" t="str">
        <f>IF(OR(L$23="",ISNA($B196)),"",IF(ISBLANK($B196),"",IFERROR(_xll.BDP(TICKER,"DEEP_MEASURE_PERIOD_BROKER_VALUE","DEEP_MEASURE_ID_OVERRIDE",$C196,"DEEP_BROKER_ID_OVERRIDE",L$24,"DEEP_PERIOD_OVERRIDE",$H$19)*1,"")))</f>
        <v/>
      </c>
      <c r="M196" t="str">
        <f>IF(OR(M$23="",ISNA($B196)),"",IF(ISBLANK($B196),"",IFERROR(_xll.BDP(TICKER,"DEEP_MEASURE_PERIOD_BROKER_VALUE","DEEP_MEASURE_ID_OVERRIDE",$C196,"DEEP_BROKER_ID_OVERRIDE",M$24,"DEEP_PERIOD_OVERRIDE",$H$19)*1,"")))</f>
        <v/>
      </c>
      <c r="N196" t="str">
        <f>IF(OR(N$23="",ISNA($B196)),"",IF(ISBLANK($B196),"",IFERROR(_xll.BDP(TICKER,"DEEP_MEASURE_PERIOD_BROKER_VALUE","DEEP_MEASURE_ID_OVERRIDE",$C196,"DEEP_BROKER_ID_OVERRIDE",N$24,"DEEP_PERIOD_OVERRIDE",$H$19)*1,"")))</f>
        <v/>
      </c>
      <c r="O196" t="str">
        <f>IF(OR(O$23="",ISNA($B196)),"",IF(ISBLANK($B196),"",IFERROR(_xll.BDP(TICKER,"DEEP_MEASURE_PERIOD_BROKER_VALUE","DEEP_MEASURE_ID_OVERRIDE",$C196,"DEEP_BROKER_ID_OVERRIDE",O$24,"DEEP_PERIOD_OVERRIDE",$H$19)*1,"")))</f>
        <v/>
      </c>
      <c r="P196" t="str">
        <f>IF(OR(P$23="",ISNA($B196)),"",IF(ISBLANK($B196),"",IFERROR(_xll.BDP(TICKER,"DEEP_MEASURE_PERIOD_BROKER_VALUE","DEEP_MEASURE_ID_OVERRIDE",$C196,"DEEP_BROKER_ID_OVERRIDE",P$24,"DEEP_PERIOD_OVERRIDE",$H$19)*1,"")))</f>
        <v/>
      </c>
      <c r="Q196" t="str">
        <f>IF(OR(Q$23="",ISNA($B196)),"",IF(ISBLANK($B196),"",IFERROR(_xll.BDP(TICKER,"DEEP_MEASURE_PERIOD_BROKER_VALUE","DEEP_MEASURE_ID_OVERRIDE",$C196,"DEEP_BROKER_ID_OVERRIDE",Q$24,"DEEP_PERIOD_OVERRIDE",$H$19)*1,"")))</f>
        <v/>
      </c>
      <c r="R196" t="str">
        <f>IF(OR(R$23="",ISNA($B196)),"",IF(ISBLANK($B196),"",IFERROR(_xll.BDP(TICKER,"DEEP_MEASURE_PERIOD_BROKER_VALUE","DEEP_MEASURE_ID_OVERRIDE",$C196,"DEEP_BROKER_ID_OVERRIDE",R$24,"DEEP_PERIOD_OVERRIDE",$H$19)*1,"")))</f>
        <v/>
      </c>
      <c r="S196" t="str">
        <f>IF(OR(S$23="",ISNA($B196)),"",IF(ISBLANK($B196),"",IFERROR(_xll.BDP(TICKER,"DEEP_MEASURE_PERIOD_BROKER_VALUE","DEEP_MEASURE_ID_OVERRIDE",$C196,"DEEP_BROKER_ID_OVERRIDE",S$24,"DEEP_PERIOD_OVERRIDE",$H$19)*1,"")))</f>
        <v/>
      </c>
      <c r="T196" t="str">
        <f>IF(OR(T$23="",ISNA($B196)),"",IF(ISBLANK($B196),"",IFERROR(_xll.BDP(TICKER,"DEEP_MEASURE_PERIOD_BROKER_VALUE","DEEP_MEASURE_ID_OVERRIDE",$C196,"DEEP_BROKER_ID_OVERRIDE",T$24,"DEEP_PERIOD_OVERRIDE",$H$19)*1,"")))</f>
        <v/>
      </c>
      <c r="U196" t="str">
        <f>IF(OR(U$23="",ISNA($B196)),"",IF(ISBLANK($B196),"",IFERROR(_xll.BDP(TICKER,"DEEP_MEASURE_PERIOD_BROKER_VALUE","DEEP_MEASURE_ID_OVERRIDE",$C196,"DEEP_BROKER_ID_OVERRIDE",U$24,"DEEP_PERIOD_OVERRIDE",$H$19)*1,"")))</f>
        <v/>
      </c>
      <c r="V196" t="str">
        <f>IF(OR(V$23="",ISNA($B196)),"",IF(ISBLANK($B196),"",IFERROR(_xll.BDP(TICKER,"DEEP_MEASURE_PERIOD_BROKER_VALUE","DEEP_MEASURE_ID_OVERRIDE",$C196,"DEEP_BROKER_ID_OVERRIDE",V$24,"DEEP_PERIOD_OVERRIDE",$H$19)*1,"")))</f>
        <v/>
      </c>
      <c r="W196" t="str">
        <f>IF(OR(W$23="",ISNA($B196)),"",IF(ISBLANK($B196),"",IFERROR(_xll.BDP(TICKER,"DEEP_MEASURE_PERIOD_BROKER_VALUE","DEEP_MEASURE_ID_OVERRIDE",$C196,"DEEP_BROKER_ID_OVERRIDE",W$24,"DEEP_PERIOD_OVERRIDE",$H$19)*1,"")))</f>
        <v/>
      </c>
      <c r="X196" t="str">
        <f>IF(OR(X$23="",ISNA($B196)),"",IF(ISBLANK($B196),"",IFERROR(_xll.BDP(TICKER,"DEEP_MEASURE_PERIOD_BROKER_VALUE","DEEP_MEASURE_ID_OVERRIDE",$C196,"DEEP_BROKER_ID_OVERRIDE",X$24,"DEEP_PERIOD_OVERRIDE",$H$19)*1,"")))</f>
        <v/>
      </c>
      <c r="Y196" t="str">
        <f>IF(OR(Y$23="",ISNA($B196)),"",IF(ISBLANK($B196),"",IFERROR(_xll.BDP(TICKER,"DEEP_MEASURE_PERIOD_BROKER_VALUE","DEEP_MEASURE_ID_OVERRIDE",$C196,"DEEP_BROKER_ID_OVERRIDE",Y$24,"DEEP_PERIOD_OVERRIDE",$H$19)*1,"")))</f>
        <v/>
      </c>
      <c r="Z196" t="str">
        <f>IF(OR(Z$23="",ISNA($B196)),"",IF(ISBLANK($B196),"",IFERROR(_xll.BDP(TICKER,"DEEP_MEASURE_PERIOD_BROKER_VALUE","DEEP_MEASURE_ID_OVERRIDE",$C196,"DEEP_BROKER_ID_OVERRIDE",Z$24,"DEEP_PERIOD_OVERRIDE",$H$19)*1,"")))</f>
        <v/>
      </c>
      <c r="AA196" t="str">
        <f>IF(OR(AA$23="",ISNA($B196)),"",IF(ISBLANK($B196),"",IFERROR(_xll.BDP(TICKER,"DEEP_MEASURE_PERIOD_BROKER_VALUE","DEEP_MEASURE_ID_OVERRIDE",$C196,"DEEP_BROKER_ID_OVERRIDE",AA$24,"DEEP_PERIOD_OVERRIDE",$H$19)*1,"")))</f>
        <v/>
      </c>
      <c r="AB196" t="str">
        <f>IF(OR(AB$23="",ISNA($B196)),"",IF(ISBLANK($B196),"",IFERROR(_xll.BDP(TICKER,"DEEP_MEASURE_PERIOD_BROKER_VALUE","DEEP_MEASURE_ID_OVERRIDE",$C196,"DEEP_BROKER_ID_OVERRIDE",AB$24,"DEEP_PERIOD_OVERRIDE",$H$19)*1,"")))</f>
        <v/>
      </c>
      <c r="AC196" t="str">
        <f>IF(OR(AC$23="",ISNA($B196)),"",IF(ISBLANK($B196),"",IFERROR(_xll.BDP(TICKER,"DEEP_MEASURE_PERIOD_BROKER_VALUE","DEEP_MEASURE_ID_OVERRIDE",$C196,"DEEP_BROKER_ID_OVERRIDE",AC$24,"DEEP_PERIOD_OVERRIDE",$H$19)*1,"")))</f>
        <v/>
      </c>
      <c r="AD196" t="str">
        <f>IF(OR(AD$23="",ISNA($B196)),"",IF(ISBLANK($B196),"",IFERROR(_xll.BDP(TICKER,"DEEP_MEASURE_PERIOD_BROKER_VALUE","DEEP_MEASURE_ID_OVERRIDE",$C196,"DEEP_BROKER_ID_OVERRIDE",AD$24,"DEEP_PERIOD_OVERRIDE",$H$19)*1,"")))</f>
        <v/>
      </c>
      <c r="AE196" t="str">
        <f>IF(OR(AE$23="",ISNA($B196)),"",IF(ISBLANK($B196),"",IFERROR(_xll.BDP(TICKER,"DEEP_MEASURE_PERIOD_BROKER_VALUE","DEEP_MEASURE_ID_OVERRIDE",$C196,"DEEP_BROKER_ID_OVERRIDE",AE$24,"DEEP_PERIOD_OVERRIDE",$H$19)*1,"")))</f>
        <v/>
      </c>
      <c r="AF196" t="str">
        <f>IF(OR(AF$23="",ISNA($B196)),"",IF(ISBLANK($B196),"",IFERROR(_xll.BDP(TICKER,"DEEP_MEASURE_PERIOD_BROKER_VALUE","DEEP_MEASURE_ID_OVERRIDE",$C196,"DEEP_BROKER_ID_OVERRIDE",AF$24,"DEEP_PERIOD_OVERRIDE",$H$19)*1,"")))</f>
        <v/>
      </c>
      <c r="AG196" t="str">
        <f>IF(OR(AG$23="",ISNA($B196)),"",IF(ISBLANK($B196),"",IFERROR(_xll.BDP(TICKER,"DEEP_MEASURE_PERIOD_BROKER_VALUE","DEEP_MEASURE_ID_OVERRIDE",$C196,"DEEP_BROKER_ID_OVERRIDE",AG$24,"DEEP_PERIOD_OVERRIDE",$H$19)*1,"")))</f>
        <v/>
      </c>
      <c r="AH196" t="str">
        <f>IF(OR(AH$23="",ISNA($B196)),"",IF(ISBLANK($B196),"",IFERROR(_xll.BDP(TICKER,"DEEP_MEASURE_PERIOD_BROKER_VALUE","DEEP_MEASURE_ID_OVERRIDE",$C196,"DEEP_BROKER_ID_OVERRIDE",AH$24,"DEEP_PERIOD_OVERRIDE",$H$19)*1,"")))</f>
        <v/>
      </c>
      <c r="AI196" t="str">
        <f>IF(OR(AI$23="",ISNA($B196)),"",IF(ISBLANK($B196),"",IFERROR(_xll.BDP(TICKER,"DEEP_MEASURE_PERIOD_BROKER_VALUE","DEEP_MEASURE_ID_OVERRIDE",$C196,"DEEP_BROKER_ID_OVERRIDE",AI$24,"DEEP_PERIOD_OVERRIDE",$H$19)*1,"")))</f>
        <v/>
      </c>
      <c r="AJ196" t="str">
        <f>IF(OR(AJ$23="",ISNA($B196)),"",IF(ISBLANK($B196),"",IFERROR(_xll.BDP(TICKER,"DEEP_MEASURE_PERIOD_BROKER_VALUE","DEEP_MEASURE_ID_OVERRIDE",$C196,"DEEP_BROKER_ID_OVERRIDE",AJ$24,"DEEP_PERIOD_OVERRIDE",$H$19)*1,"")))</f>
        <v/>
      </c>
      <c r="AK196" t="str">
        <f>IF(OR(AK$23="",ISNA($B196)),"",IF(ISBLANK($B196),"",IFERROR(_xll.BDP(TICKER,"DEEP_MEASURE_PERIOD_BROKER_VALUE","DEEP_MEASURE_ID_OVERRIDE",$C196,"DEEP_BROKER_ID_OVERRIDE",AK$24,"DEEP_PERIOD_OVERRIDE",$H$19)*1,"")))</f>
        <v/>
      </c>
      <c r="AL196" t="str">
        <f>IF(OR(AL$23="",ISNA($B196)),"",IF(ISBLANK($B196),"",IFERROR(_xll.BDP(TICKER,"DEEP_MEASURE_PERIOD_BROKER_VALUE","DEEP_MEASURE_ID_OVERRIDE",$C196,"DEEP_BROKER_ID_OVERRIDE",AL$24,"DEEP_PERIOD_OVERRIDE",$H$19)*1,"")))</f>
        <v/>
      </c>
      <c r="AM196" t="str">
        <f>IF(OR(AM$23="",ISNA($B196)),"",IF(ISBLANK($B196),"",IFERROR(_xll.BDP(TICKER,"DEEP_MEASURE_PERIOD_BROKER_VALUE","DEEP_MEASURE_ID_OVERRIDE",$C196,"DEEP_BROKER_ID_OVERRIDE",AM$24,"DEEP_PERIOD_OVERRIDE",$H$19)*1,"")))</f>
        <v/>
      </c>
      <c r="AN196" t="str">
        <f>IF(OR(AN$23="",ISNA($B196)),"",IF(ISBLANK($B196),"",IFERROR(_xll.BDP(TICKER,"DEEP_MEASURE_PERIOD_BROKER_VALUE","DEEP_MEASURE_ID_OVERRIDE",$C196,"DEEP_BROKER_ID_OVERRIDE",AN$24,"DEEP_PERIOD_OVERRIDE",$H$19)*1,"")))</f>
        <v/>
      </c>
      <c r="AO196" t="str">
        <f>IF(OR(AO$23="",ISNA($B196)),"",IF(ISBLANK($B196),"",IFERROR(_xll.BDP(TICKER,"DEEP_MEASURE_PERIOD_BROKER_VALUE","DEEP_MEASURE_ID_OVERRIDE",$C196,"DEEP_BROKER_ID_OVERRIDE",AO$24,"DEEP_PERIOD_OVERRIDE",$H$19)*1,"")))</f>
        <v/>
      </c>
      <c r="AP196" t="str">
        <f>IF(OR(AP$23="",ISNA($B196)),"",IF(ISBLANK($B196),"",IFERROR(_xll.BDP(TICKER,"DEEP_MEASURE_PERIOD_BROKER_VALUE","DEEP_MEASURE_ID_OVERRIDE",$C196,"DEEP_BROKER_ID_OVERRIDE",AP$24,"DEEP_PERIOD_OVERRIDE",$H$19)*1,"")))</f>
        <v/>
      </c>
      <c r="AQ196" t="str">
        <f>IF(OR(AQ$23="",ISNA($B196)),"",IF(ISBLANK($B196),"",IFERROR(_xll.BDP(TICKER,"DEEP_MEASURE_PERIOD_BROKER_VALUE","DEEP_MEASURE_ID_OVERRIDE",$C196,"DEEP_BROKER_ID_OVERRIDE",AQ$24,"DEEP_PERIOD_OVERRIDE",$H$19)*1,"")))</f>
        <v/>
      </c>
      <c r="AR196" t="str">
        <f>IF(OR(AR$23="",ISNA($B196)),"",IF(ISBLANK($B196),"",IFERROR(_xll.BDP(TICKER,"DEEP_MEASURE_PERIOD_BROKER_VALUE","DEEP_MEASURE_ID_OVERRIDE",$C196,"DEEP_BROKER_ID_OVERRIDE",AR$24,"DEEP_PERIOD_OVERRIDE",$H$19)*1,"")))</f>
        <v/>
      </c>
      <c r="AS196" t="str">
        <f>IF(OR(AS$23="",ISNA($B196)),"",IF(ISBLANK($B196),"",IFERROR(_xll.BDP(TICKER,"DEEP_MEASURE_PERIOD_BROKER_VALUE","DEEP_MEASURE_ID_OVERRIDE",$C196,"DEEP_BROKER_ID_OVERRIDE",AS$24,"DEEP_PERIOD_OVERRIDE",$H$19)*1,"")))</f>
        <v/>
      </c>
      <c r="AT196" t="str">
        <f>IF(OR(AT$23="",ISNA($B196)),"",IF(ISBLANK($B196),"",IFERROR(_xll.BDP(TICKER,"DEEP_MEASURE_PERIOD_BROKER_VALUE","DEEP_MEASURE_ID_OVERRIDE",$C196,"DEEP_BROKER_ID_OVERRIDE",AT$24,"DEEP_PERIOD_OVERRIDE",$H$19)*1,"")))</f>
        <v/>
      </c>
      <c r="AU196" t="str">
        <f>IF(OR(AU$23="",ISNA($B196)),"",IF(ISBLANK($B196),"",IFERROR(_xll.BDP(TICKER,"DEEP_MEASURE_PERIOD_BROKER_VALUE","DEEP_MEASURE_ID_OVERRIDE",$C196,"DEEP_BROKER_ID_OVERRIDE",AU$24,"DEEP_PERIOD_OVERRIDE",$H$19)*1,"")))</f>
        <v/>
      </c>
      <c r="AV196" t="str">
        <f>IF(OR(AV$23="",ISNA($B196)),"",IF(ISBLANK($B196),"",IFERROR(_xll.BDP(TICKER,"DEEP_MEASURE_PERIOD_BROKER_VALUE","DEEP_MEASURE_ID_OVERRIDE",$C196,"DEEP_BROKER_ID_OVERRIDE",AV$24,"DEEP_PERIOD_OVERRIDE",$H$19)*1,"")))</f>
        <v/>
      </c>
      <c r="AW196" t="str">
        <f>IF(OR(AW$23="",ISNA($B196)),"",IF(ISBLANK($B196),"",IFERROR(_xll.BDP(TICKER,"DEEP_MEASURE_PERIOD_BROKER_VALUE","DEEP_MEASURE_ID_OVERRIDE",$C196,"DEEP_BROKER_ID_OVERRIDE",AW$24,"DEEP_PERIOD_OVERRIDE",$H$19)*1,"")))</f>
        <v/>
      </c>
      <c r="AX196" t="str">
        <f>IF(OR(AX$23="",ISNA($B196)),"",IF(ISBLANK($B196),"",IFERROR(_xll.BDP(TICKER,"DEEP_MEASURE_PERIOD_BROKER_VALUE","DEEP_MEASURE_ID_OVERRIDE",$C196,"DEEP_BROKER_ID_OVERRIDE",AX$24,"DEEP_PERIOD_OVERRIDE",$H$19)*1,"")))</f>
        <v/>
      </c>
      <c r="AY196" t="str">
        <f>IF(OR(AY$23="",ISNA($B196)),"",IF(ISBLANK($B196),"",IFERROR(_xll.BDP(TICKER,"DEEP_MEASURE_PERIOD_BROKER_VALUE","DEEP_MEASURE_ID_OVERRIDE",$C196,"DEEP_BROKER_ID_OVERRIDE",AY$24,"DEEP_PERIOD_OVERRIDE",$H$19)*1,"")))</f>
        <v/>
      </c>
      <c r="AZ196" t="str">
        <f>IF(OR(AZ$23="",ISNA($B196)),"",IF(ISBLANK($B196),"",IFERROR(_xll.BDP(TICKER,"DEEP_MEASURE_PERIOD_BROKER_VALUE","DEEP_MEASURE_ID_OVERRIDE",$C196,"DEEP_BROKER_ID_OVERRIDE",AZ$24,"DEEP_PERIOD_OVERRIDE",$H$19)*1,"")))</f>
        <v/>
      </c>
      <c r="BA196" t="str">
        <f>IF(OR(BA$23="",ISNA($B196)),"",IF(ISBLANK($B196),"",IFERROR(_xll.BDP(TICKER,"DEEP_MEASURE_PERIOD_BROKER_VALUE","DEEP_MEASURE_ID_OVERRIDE",$C196,"DEEP_BROKER_ID_OVERRIDE",BA$24,"DEEP_PERIOD_OVERRIDE",$H$19)*1,"")))</f>
        <v/>
      </c>
      <c r="BB196" t="str">
        <f>IF(OR(BB$23="",ISNA($B196)),"",IF(ISBLANK($B196),"",IFERROR(_xll.BDP(TICKER,"DEEP_MEASURE_PERIOD_BROKER_VALUE","DEEP_MEASURE_ID_OVERRIDE",$C196,"DEEP_BROKER_ID_OVERRIDE",BB$24,"DEEP_PERIOD_OVERRIDE",$H$19)*1,"")))</f>
        <v/>
      </c>
      <c r="BC196" t="str">
        <f>IF(OR(BC$23="",ISNA($B196)),"",IF(ISBLANK($B196),"",IFERROR(_xll.BDP(TICKER,"DEEP_MEASURE_PERIOD_BROKER_VALUE","DEEP_MEASURE_ID_OVERRIDE",$C196,"DEEP_BROKER_ID_OVERRIDE",BC$24,"DEEP_PERIOD_OVERRIDE",$H$19)*1,"")))</f>
        <v/>
      </c>
      <c r="BD196" t="str">
        <f>IF(OR(BD$23="",ISNA($B196)),"",IF(ISBLANK($B196),"",IFERROR(_xll.BDP(TICKER,"DEEP_MEASURE_PERIOD_BROKER_VALUE","DEEP_MEASURE_ID_OVERRIDE",$C196,"DEEP_BROKER_ID_OVERRIDE",BD$24,"DEEP_PERIOD_OVERRIDE",$H$19)*1,"")))</f>
        <v/>
      </c>
      <c r="BE196" t="str">
        <f>IF(OR(BE$23="",ISNA($B196)),"",IF(ISBLANK($B196),"",IFERROR(_xll.BDP(TICKER,"DEEP_MEASURE_PERIOD_BROKER_VALUE","DEEP_MEASURE_ID_OVERRIDE",$C196,"DEEP_BROKER_ID_OVERRIDE",BE$24,"DEEP_PERIOD_OVERRIDE",$H$19)*1,"")))</f>
        <v/>
      </c>
      <c r="BF196" t="str">
        <f>IF(OR(BF$23="",ISNA($B196)),"",IF(ISBLANK($B196),"",IFERROR(_xll.BDP(TICKER,"DEEP_MEASURE_PERIOD_BROKER_VALUE","DEEP_MEASURE_ID_OVERRIDE",$C196,"DEEP_BROKER_ID_OVERRIDE",BF$24,"DEEP_PERIOD_OVERRIDE",$H$19)*1,"")))</f>
        <v/>
      </c>
      <c r="BG196" t="str">
        <f>IF(OR(BG$23="",ISNA($B196)),"",IF(ISBLANK($B196),"",IFERROR(_xll.BDP(TICKER,"DEEP_MEASURE_PERIOD_BROKER_VALUE","DEEP_MEASURE_ID_OVERRIDE",$C196,"DEEP_BROKER_ID_OVERRIDE",BG$24,"DEEP_PERIOD_OVERRIDE",$H$19)*1,"")))</f>
        <v/>
      </c>
      <c r="BH196" t="str">
        <f>IF(OR(BH$23="",ISNA($B196)),"",IF(ISBLANK($B196),"",IFERROR(_xll.BDP(TICKER,"DEEP_MEASURE_PERIOD_BROKER_VALUE","DEEP_MEASURE_ID_OVERRIDE",$C196,"DEEP_BROKER_ID_OVERRIDE",BH$24,"DEEP_PERIOD_OVERRIDE",$H$19)*1,"")))</f>
        <v/>
      </c>
      <c r="BI196" t="str">
        <f>IF(OR(BI$23="",ISNA($B196)),"",IF(ISBLANK($B196),"",IFERROR(_xll.BDP(TICKER,"DEEP_MEASURE_PERIOD_BROKER_VALUE","DEEP_MEASURE_ID_OVERRIDE",$C196,"DEEP_BROKER_ID_OVERRIDE",BI$24,"DEEP_PERIOD_OVERRIDE",$H$19)*1,"")))</f>
        <v/>
      </c>
      <c r="BJ196" t="str">
        <f>IF(OR(BJ$23="",ISNA($B196)),"",IF(ISBLANK($B196),"",IFERROR(_xll.BDP(TICKER,"DEEP_MEASURE_PERIOD_BROKER_VALUE","DEEP_MEASURE_ID_OVERRIDE",$C196,"DEEP_BROKER_ID_OVERRIDE",BJ$24,"DEEP_PERIOD_OVERRIDE",$H$19)*1,"")))</f>
        <v/>
      </c>
      <c r="BK196" t="str">
        <f>IF(OR(BK$23="",ISNA($B196)),"",IF(ISBLANK($B196),"",IFERROR(_xll.BDP(TICKER,"DEEP_MEASURE_PERIOD_BROKER_VALUE","DEEP_MEASURE_ID_OVERRIDE",$C196,"DEEP_BROKER_ID_OVERRIDE",BK$24,"DEEP_PERIOD_OVERRIDE",$H$19)*1,"")))</f>
        <v/>
      </c>
      <c r="BL196" t="str">
        <f>IF(OR(BL$23="",ISNA($B196)),"",IF(ISBLANK($B196),"",IFERROR(_xll.BDP(TICKER,"DEEP_MEASURE_PERIOD_BROKER_VALUE","DEEP_MEASURE_ID_OVERRIDE",$C196,"DEEP_BROKER_ID_OVERRIDE",BL$24,"DEEP_PERIOD_OVERRIDE",$H$19)*1,"")))</f>
        <v/>
      </c>
      <c r="BM196" t="str">
        <f>IF(OR(BM$23="",ISNA($B196)),"",IF(ISBLANK($B196),"",IFERROR(_xll.BDP(TICKER,"DEEP_MEASURE_PERIOD_BROKER_VALUE","DEEP_MEASURE_ID_OVERRIDE",$C196,"DEEP_BROKER_ID_OVERRIDE",BM$24,"DEEP_PERIOD_OVERRIDE",$H$19)*1,"")))</f>
        <v/>
      </c>
      <c r="BN196" t="str">
        <f>IF(OR(BN$23="",ISNA($B196)),"",IF(ISBLANK($B196),"",IFERROR(_xll.BDP(TICKER,"DEEP_MEASURE_PERIOD_BROKER_VALUE","DEEP_MEASURE_ID_OVERRIDE",$C196,"DEEP_BROKER_ID_OVERRIDE",BN$24,"DEEP_PERIOD_OVERRIDE",$H$19)*1,"")))</f>
        <v/>
      </c>
      <c r="BO196" t="str">
        <f>IF(OR(BO$23="",ISNA($B196)),"",IF(ISBLANK($B196),"",IFERROR(_xll.BDP(TICKER,"DEEP_MEASURE_PERIOD_BROKER_VALUE","DEEP_MEASURE_ID_OVERRIDE",$C196,"DEEP_BROKER_ID_OVERRIDE",BO$24,"DEEP_PERIOD_OVERRIDE",$H$19)*1,"")))</f>
        <v/>
      </c>
      <c r="BP196" t="str">
        <f>IF(OR(BP$23="",ISNA($B196)),"",IF(ISBLANK($B196),"",IFERROR(_xll.BDP(TICKER,"DEEP_MEASURE_PERIOD_BROKER_VALUE","DEEP_MEASURE_ID_OVERRIDE",$C196,"DEEP_BROKER_ID_OVERRIDE",BP$24,"DEEP_PERIOD_OVERRIDE",$H$19)*1,"")))</f>
        <v/>
      </c>
      <c r="BQ196" t="str">
        <f>IF(OR(BQ$23="",ISNA($B196)),"",IF(ISBLANK($B196),"",IFERROR(_xll.BDP(TICKER,"DEEP_MEASURE_PERIOD_BROKER_VALUE","DEEP_MEASURE_ID_OVERRIDE",$C196,"DEEP_BROKER_ID_OVERRIDE",BQ$24,"DEEP_PERIOD_OVERRIDE",$H$19)*1,"")))</f>
        <v/>
      </c>
      <c r="BR196" t="str">
        <f>IF(OR(BR$23="",ISNA($B196)),"",IF(ISBLANK($B196),"",IFERROR(_xll.BDP(TICKER,"DEEP_MEASURE_PERIOD_BROKER_VALUE","DEEP_MEASURE_ID_OVERRIDE",$C196,"DEEP_BROKER_ID_OVERRIDE",BR$24,"DEEP_PERIOD_OVERRIDE",$H$19)*1,"")))</f>
        <v/>
      </c>
      <c r="BS196" t="str">
        <f>IF(OR(BS$23="",ISNA($B196)),"",IF(ISBLANK($B196),"",IFERROR(_xll.BDP(TICKER,"DEEP_MEASURE_PERIOD_BROKER_VALUE","DEEP_MEASURE_ID_OVERRIDE",$C196,"DEEP_BROKER_ID_OVERRIDE",BS$24,"DEEP_PERIOD_OVERRIDE",$H$19)*1,"")))</f>
        <v/>
      </c>
      <c r="BT196" t="str">
        <f>IF(OR(BT$23="",ISNA($B196)),"",IF(ISBLANK($B196),"",IFERROR(_xll.BDP(TICKER,"DEEP_MEASURE_PERIOD_BROKER_VALUE","DEEP_MEASURE_ID_OVERRIDE",$C196,"DEEP_BROKER_ID_OVERRIDE",BT$24,"DEEP_PERIOD_OVERRIDE",$H$19)*1,"")))</f>
        <v/>
      </c>
      <c r="BU196" t="str">
        <f>IF(OR(BU$23="",ISNA($B196)),"",IF(ISBLANK($B196),"",IFERROR(_xll.BDP(TICKER,"DEEP_MEASURE_PERIOD_BROKER_VALUE","DEEP_MEASURE_ID_OVERRIDE",$C196,"DEEP_BROKER_ID_OVERRIDE",BU$24,"DEEP_PERIOD_OVERRIDE",$H$19)*1,"")))</f>
        <v/>
      </c>
      <c r="BV196" t="str">
        <f>IF(OR(BV$23="",ISNA($B196)),"",IF(ISBLANK($B196),"",IFERROR(_xll.BDP(TICKER,"DEEP_MEASURE_PERIOD_BROKER_VALUE","DEEP_MEASURE_ID_OVERRIDE",$C196,"DEEP_BROKER_ID_OVERRIDE",BV$24,"DEEP_PERIOD_OVERRIDE",$H$19)*1,"")))</f>
        <v/>
      </c>
      <c r="BW196" t="str">
        <f>IF(OR(BW$23="",ISNA($B196)),"",IF(ISBLANK($B196),"",IFERROR(_xll.BDP(TICKER,"DEEP_MEASURE_PERIOD_BROKER_VALUE","DEEP_MEASURE_ID_OVERRIDE",$C196,"DEEP_BROKER_ID_OVERRIDE",BW$24,"DEEP_PERIOD_OVERRIDE",$H$19)*1,"")))</f>
        <v/>
      </c>
      <c r="BX196" t="str">
        <f>IF(OR(BX$23="",ISNA($B196)),"",IF(ISBLANK($B196),"",IFERROR(_xll.BDP(TICKER,"DEEP_MEASURE_PERIOD_BROKER_VALUE","DEEP_MEASURE_ID_OVERRIDE",$C196,"DEEP_BROKER_ID_OVERRIDE",BX$24,"DEEP_PERIOD_OVERRIDE",$H$19)*1,"")))</f>
        <v/>
      </c>
      <c r="BY196" t="str">
        <f>IF(OR(BY$23="",ISNA($B196)),"",IF(ISBLANK($B196),"",IFERROR(_xll.BDP(TICKER,"DEEP_MEASURE_PERIOD_BROKER_VALUE","DEEP_MEASURE_ID_OVERRIDE",$C196,"DEEP_BROKER_ID_OVERRIDE",BY$24,"DEEP_PERIOD_OVERRIDE",$H$19)*1,"")))</f>
        <v/>
      </c>
      <c r="BZ196" t="str">
        <f>IF(OR(BZ$23="",ISNA($B196)),"",IF(ISBLANK($B196),"",IFERROR(_xll.BDP(TICKER,"DEEP_MEASURE_PERIOD_BROKER_VALUE","DEEP_MEASURE_ID_OVERRIDE",$C196,"DEEP_BROKER_ID_OVERRIDE",BZ$24,"DEEP_PERIOD_OVERRIDE",$H$19)*1,"")))</f>
        <v/>
      </c>
    </row>
    <row r="197" spans="2:78" x14ac:dyDescent="0.25">
      <c r="B197" t="s">
        <v>67</v>
      </c>
      <c r="C197">
        <v>8253</v>
      </c>
      <c r="H197" t="str">
        <f t="shared" si="3"/>
        <v>Cash from Operations Activities &gt; Deferred Income Taxes</v>
      </c>
      <c r="I197" t="str">
        <f>IF(OR(I$23="",ISNA($B197)),"",IF(ISBLANK($B197),"",IFERROR(_xll.BDP(TICKER,"DEEP_MEASURE_PERIOD_BROKER_VALUE","DEEP_MEASURE_ID_OVERRIDE",$C197,"DEEP_PERIOD_OVERRIDE",$H$19)*1,"")))</f>
        <v/>
      </c>
      <c r="J197" t="e">
        <f>IF(OR(J$23="",ISNA($B197)),"",IF(ISBLANK($B197),"",IFERROR(_xll.BDP(TICKER,"DEEP_MEASURE_PERIOD_BROKER_VALUE","DEEP_MEASURE_ID_OVERRIDE",$C197,"DEEP_BROKER_ID_OVERRIDE",J$24,"DEEP_PERIOD_OVERRIDE",$H$19)*1,"")))</f>
        <v>#REF!</v>
      </c>
      <c r="K197" t="str">
        <f>IF(OR(K$23="",ISNA($B197)),"",IF(ISBLANK($B197),"",IFERROR(_xll.BDP(TICKER,"DEEP_MEASURE_PERIOD_BROKER_VALUE","DEEP_MEASURE_ID_OVERRIDE",$C197,"DEEP_BROKER_ID_OVERRIDE",K$24,"DEEP_PERIOD_OVERRIDE",$H$19)*1,"")))</f>
        <v/>
      </c>
      <c r="L197" t="str">
        <f>IF(OR(L$23="",ISNA($B197)),"",IF(ISBLANK($B197),"",IFERROR(_xll.BDP(TICKER,"DEEP_MEASURE_PERIOD_BROKER_VALUE","DEEP_MEASURE_ID_OVERRIDE",$C197,"DEEP_BROKER_ID_OVERRIDE",L$24,"DEEP_PERIOD_OVERRIDE",$H$19)*1,"")))</f>
        <v/>
      </c>
      <c r="M197" t="str">
        <f>IF(OR(M$23="",ISNA($B197)),"",IF(ISBLANK($B197),"",IFERROR(_xll.BDP(TICKER,"DEEP_MEASURE_PERIOD_BROKER_VALUE","DEEP_MEASURE_ID_OVERRIDE",$C197,"DEEP_BROKER_ID_OVERRIDE",M$24,"DEEP_PERIOD_OVERRIDE",$H$19)*1,"")))</f>
        <v/>
      </c>
      <c r="N197" t="str">
        <f>IF(OR(N$23="",ISNA($B197)),"",IF(ISBLANK($B197),"",IFERROR(_xll.BDP(TICKER,"DEEP_MEASURE_PERIOD_BROKER_VALUE","DEEP_MEASURE_ID_OVERRIDE",$C197,"DEEP_BROKER_ID_OVERRIDE",N$24,"DEEP_PERIOD_OVERRIDE",$H$19)*1,"")))</f>
        <v/>
      </c>
      <c r="O197" t="str">
        <f>IF(OR(O$23="",ISNA($B197)),"",IF(ISBLANK($B197),"",IFERROR(_xll.BDP(TICKER,"DEEP_MEASURE_PERIOD_BROKER_VALUE","DEEP_MEASURE_ID_OVERRIDE",$C197,"DEEP_BROKER_ID_OVERRIDE",O$24,"DEEP_PERIOD_OVERRIDE",$H$19)*1,"")))</f>
        <v/>
      </c>
      <c r="P197" t="str">
        <f>IF(OR(P$23="",ISNA($B197)),"",IF(ISBLANK($B197),"",IFERROR(_xll.BDP(TICKER,"DEEP_MEASURE_PERIOD_BROKER_VALUE","DEEP_MEASURE_ID_OVERRIDE",$C197,"DEEP_BROKER_ID_OVERRIDE",P$24,"DEEP_PERIOD_OVERRIDE",$H$19)*1,"")))</f>
        <v/>
      </c>
      <c r="Q197" t="str">
        <f>IF(OR(Q$23="",ISNA($B197)),"",IF(ISBLANK($B197),"",IFERROR(_xll.BDP(TICKER,"DEEP_MEASURE_PERIOD_BROKER_VALUE","DEEP_MEASURE_ID_OVERRIDE",$C197,"DEEP_BROKER_ID_OVERRIDE",Q$24,"DEEP_PERIOD_OVERRIDE",$H$19)*1,"")))</f>
        <v/>
      </c>
      <c r="R197" t="str">
        <f>IF(OR(R$23="",ISNA($B197)),"",IF(ISBLANK($B197),"",IFERROR(_xll.BDP(TICKER,"DEEP_MEASURE_PERIOD_BROKER_VALUE","DEEP_MEASURE_ID_OVERRIDE",$C197,"DEEP_BROKER_ID_OVERRIDE",R$24,"DEEP_PERIOD_OVERRIDE",$H$19)*1,"")))</f>
        <v/>
      </c>
      <c r="S197" t="str">
        <f>IF(OR(S$23="",ISNA($B197)),"",IF(ISBLANK($B197),"",IFERROR(_xll.BDP(TICKER,"DEEP_MEASURE_PERIOD_BROKER_VALUE","DEEP_MEASURE_ID_OVERRIDE",$C197,"DEEP_BROKER_ID_OVERRIDE",S$24,"DEEP_PERIOD_OVERRIDE",$H$19)*1,"")))</f>
        <v/>
      </c>
      <c r="T197" t="str">
        <f>IF(OR(T$23="",ISNA($B197)),"",IF(ISBLANK($B197),"",IFERROR(_xll.BDP(TICKER,"DEEP_MEASURE_PERIOD_BROKER_VALUE","DEEP_MEASURE_ID_OVERRIDE",$C197,"DEEP_BROKER_ID_OVERRIDE",T$24,"DEEP_PERIOD_OVERRIDE",$H$19)*1,"")))</f>
        <v/>
      </c>
      <c r="U197" t="str">
        <f>IF(OR(U$23="",ISNA($B197)),"",IF(ISBLANK($B197),"",IFERROR(_xll.BDP(TICKER,"DEEP_MEASURE_PERIOD_BROKER_VALUE","DEEP_MEASURE_ID_OVERRIDE",$C197,"DEEP_BROKER_ID_OVERRIDE",U$24,"DEEP_PERIOD_OVERRIDE",$H$19)*1,"")))</f>
        <v/>
      </c>
      <c r="V197" t="str">
        <f>IF(OR(V$23="",ISNA($B197)),"",IF(ISBLANK($B197),"",IFERROR(_xll.BDP(TICKER,"DEEP_MEASURE_PERIOD_BROKER_VALUE","DEEP_MEASURE_ID_OVERRIDE",$C197,"DEEP_BROKER_ID_OVERRIDE",V$24,"DEEP_PERIOD_OVERRIDE",$H$19)*1,"")))</f>
        <v/>
      </c>
      <c r="W197" t="str">
        <f>IF(OR(W$23="",ISNA($B197)),"",IF(ISBLANK($B197),"",IFERROR(_xll.BDP(TICKER,"DEEP_MEASURE_PERIOD_BROKER_VALUE","DEEP_MEASURE_ID_OVERRIDE",$C197,"DEEP_BROKER_ID_OVERRIDE",W$24,"DEEP_PERIOD_OVERRIDE",$H$19)*1,"")))</f>
        <v/>
      </c>
      <c r="X197" t="str">
        <f>IF(OR(X$23="",ISNA($B197)),"",IF(ISBLANK($B197),"",IFERROR(_xll.BDP(TICKER,"DEEP_MEASURE_PERIOD_BROKER_VALUE","DEEP_MEASURE_ID_OVERRIDE",$C197,"DEEP_BROKER_ID_OVERRIDE",X$24,"DEEP_PERIOD_OVERRIDE",$H$19)*1,"")))</f>
        <v/>
      </c>
      <c r="Y197" t="str">
        <f>IF(OR(Y$23="",ISNA($B197)),"",IF(ISBLANK($B197),"",IFERROR(_xll.BDP(TICKER,"DEEP_MEASURE_PERIOD_BROKER_VALUE","DEEP_MEASURE_ID_OVERRIDE",$C197,"DEEP_BROKER_ID_OVERRIDE",Y$24,"DEEP_PERIOD_OVERRIDE",$H$19)*1,"")))</f>
        <v/>
      </c>
      <c r="Z197" t="str">
        <f>IF(OR(Z$23="",ISNA($B197)),"",IF(ISBLANK($B197),"",IFERROR(_xll.BDP(TICKER,"DEEP_MEASURE_PERIOD_BROKER_VALUE","DEEP_MEASURE_ID_OVERRIDE",$C197,"DEEP_BROKER_ID_OVERRIDE",Z$24,"DEEP_PERIOD_OVERRIDE",$H$19)*1,"")))</f>
        <v/>
      </c>
      <c r="AA197" t="str">
        <f>IF(OR(AA$23="",ISNA($B197)),"",IF(ISBLANK($B197),"",IFERROR(_xll.BDP(TICKER,"DEEP_MEASURE_PERIOD_BROKER_VALUE","DEEP_MEASURE_ID_OVERRIDE",$C197,"DEEP_BROKER_ID_OVERRIDE",AA$24,"DEEP_PERIOD_OVERRIDE",$H$19)*1,"")))</f>
        <v/>
      </c>
      <c r="AB197" t="str">
        <f>IF(OR(AB$23="",ISNA($B197)),"",IF(ISBLANK($B197),"",IFERROR(_xll.BDP(TICKER,"DEEP_MEASURE_PERIOD_BROKER_VALUE","DEEP_MEASURE_ID_OVERRIDE",$C197,"DEEP_BROKER_ID_OVERRIDE",AB$24,"DEEP_PERIOD_OVERRIDE",$H$19)*1,"")))</f>
        <v/>
      </c>
      <c r="AC197" t="str">
        <f>IF(OR(AC$23="",ISNA($B197)),"",IF(ISBLANK($B197),"",IFERROR(_xll.BDP(TICKER,"DEEP_MEASURE_PERIOD_BROKER_VALUE","DEEP_MEASURE_ID_OVERRIDE",$C197,"DEEP_BROKER_ID_OVERRIDE",AC$24,"DEEP_PERIOD_OVERRIDE",$H$19)*1,"")))</f>
        <v/>
      </c>
      <c r="AD197" t="str">
        <f>IF(OR(AD$23="",ISNA($B197)),"",IF(ISBLANK($B197),"",IFERROR(_xll.BDP(TICKER,"DEEP_MEASURE_PERIOD_BROKER_VALUE","DEEP_MEASURE_ID_OVERRIDE",$C197,"DEEP_BROKER_ID_OVERRIDE",AD$24,"DEEP_PERIOD_OVERRIDE",$H$19)*1,"")))</f>
        <v/>
      </c>
      <c r="AE197" t="str">
        <f>IF(OR(AE$23="",ISNA($B197)),"",IF(ISBLANK($B197),"",IFERROR(_xll.BDP(TICKER,"DEEP_MEASURE_PERIOD_BROKER_VALUE","DEEP_MEASURE_ID_OVERRIDE",$C197,"DEEP_BROKER_ID_OVERRIDE",AE$24,"DEEP_PERIOD_OVERRIDE",$H$19)*1,"")))</f>
        <v/>
      </c>
      <c r="AF197" t="str">
        <f>IF(OR(AF$23="",ISNA($B197)),"",IF(ISBLANK($B197),"",IFERROR(_xll.BDP(TICKER,"DEEP_MEASURE_PERIOD_BROKER_VALUE","DEEP_MEASURE_ID_OVERRIDE",$C197,"DEEP_BROKER_ID_OVERRIDE",AF$24,"DEEP_PERIOD_OVERRIDE",$H$19)*1,"")))</f>
        <v/>
      </c>
      <c r="AG197" t="str">
        <f>IF(OR(AG$23="",ISNA($B197)),"",IF(ISBLANK($B197),"",IFERROR(_xll.BDP(TICKER,"DEEP_MEASURE_PERIOD_BROKER_VALUE","DEEP_MEASURE_ID_OVERRIDE",$C197,"DEEP_BROKER_ID_OVERRIDE",AG$24,"DEEP_PERIOD_OVERRIDE",$H$19)*1,"")))</f>
        <v/>
      </c>
      <c r="AH197" t="str">
        <f>IF(OR(AH$23="",ISNA($B197)),"",IF(ISBLANK($B197),"",IFERROR(_xll.BDP(TICKER,"DEEP_MEASURE_PERIOD_BROKER_VALUE","DEEP_MEASURE_ID_OVERRIDE",$C197,"DEEP_BROKER_ID_OVERRIDE",AH$24,"DEEP_PERIOD_OVERRIDE",$H$19)*1,"")))</f>
        <v/>
      </c>
      <c r="AI197" t="str">
        <f>IF(OR(AI$23="",ISNA($B197)),"",IF(ISBLANK($B197),"",IFERROR(_xll.BDP(TICKER,"DEEP_MEASURE_PERIOD_BROKER_VALUE","DEEP_MEASURE_ID_OVERRIDE",$C197,"DEEP_BROKER_ID_OVERRIDE",AI$24,"DEEP_PERIOD_OVERRIDE",$H$19)*1,"")))</f>
        <v/>
      </c>
      <c r="AJ197" t="str">
        <f>IF(OR(AJ$23="",ISNA($B197)),"",IF(ISBLANK($B197),"",IFERROR(_xll.BDP(TICKER,"DEEP_MEASURE_PERIOD_BROKER_VALUE","DEEP_MEASURE_ID_OVERRIDE",$C197,"DEEP_BROKER_ID_OVERRIDE",AJ$24,"DEEP_PERIOD_OVERRIDE",$H$19)*1,"")))</f>
        <v/>
      </c>
      <c r="AK197" t="str">
        <f>IF(OR(AK$23="",ISNA($B197)),"",IF(ISBLANK($B197),"",IFERROR(_xll.BDP(TICKER,"DEEP_MEASURE_PERIOD_BROKER_VALUE","DEEP_MEASURE_ID_OVERRIDE",$C197,"DEEP_BROKER_ID_OVERRIDE",AK$24,"DEEP_PERIOD_OVERRIDE",$H$19)*1,"")))</f>
        <v/>
      </c>
      <c r="AL197" t="str">
        <f>IF(OR(AL$23="",ISNA($B197)),"",IF(ISBLANK($B197),"",IFERROR(_xll.BDP(TICKER,"DEEP_MEASURE_PERIOD_BROKER_VALUE","DEEP_MEASURE_ID_OVERRIDE",$C197,"DEEP_BROKER_ID_OVERRIDE",AL$24,"DEEP_PERIOD_OVERRIDE",$H$19)*1,"")))</f>
        <v/>
      </c>
      <c r="AM197" t="str">
        <f>IF(OR(AM$23="",ISNA($B197)),"",IF(ISBLANK($B197),"",IFERROR(_xll.BDP(TICKER,"DEEP_MEASURE_PERIOD_BROKER_VALUE","DEEP_MEASURE_ID_OVERRIDE",$C197,"DEEP_BROKER_ID_OVERRIDE",AM$24,"DEEP_PERIOD_OVERRIDE",$H$19)*1,"")))</f>
        <v/>
      </c>
      <c r="AN197" t="str">
        <f>IF(OR(AN$23="",ISNA($B197)),"",IF(ISBLANK($B197),"",IFERROR(_xll.BDP(TICKER,"DEEP_MEASURE_PERIOD_BROKER_VALUE","DEEP_MEASURE_ID_OVERRIDE",$C197,"DEEP_BROKER_ID_OVERRIDE",AN$24,"DEEP_PERIOD_OVERRIDE",$H$19)*1,"")))</f>
        <v/>
      </c>
      <c r="AO197" t="str">
        <f>IF(OR(AO$23="",ISNA($B197)),"",IF(ISBLANK($B197),"",IFERROR(_xll.BDP(TICKER,"DEEP_MEASURE_PERIOD_BROKER_VALUE","DEEP_MEASURE_ID_OVERRIDE",$C197,"DEEP_BROKER_ID_OVERRIDE",AO$24,"DEEP_PERIOD_OVERRIDE",$H$19)*1,"")))</f>
        <v/>
      </c>
      <c r="AP197" t="str">
        <f>IF(OR(AP$23="",ISNA($B197)),"",IF(ISBLANK($B197),"",IFERROR(_xll.BDP(TICKER,"DEEP_MEASURE_PERIOD_BROKER_VALUE","DEEP_MEASURE_ID_OVERRIDE",$C197,"DEEP_BROKER_ID_OVERRIDE",AP$24,"DEEP_PERIOD_OVERRIDE",$H$19)*1,"")))</f>
        <v/>
      </c>
      <c r="AQ197" t="str">
        <f>IF(OR(AQ$23="",ISNA($B197)),"",IF(ISBLANK($B197),"",IFERROR(_xll.BDP(TICKER,"DEEP_MEASURE_PERIOD_BROKER_VALUE","DEEP_MEASURE_ID_OVERRIDE",$C197,"DEEP_BROKER_ID_OVERRIDE",AQ$24,"DEEP_PERIOD_OVERRIDE",$H$19)*1,"")))</f>
        <v/>
      </c>
      <c r="AR197" t="str">
        <f>IF(OR(AR$23="",ISNA($B197)),"",IF(ISBLANK($B197),"",IFERROR(_xll.BDP(TICKER,"DEEP_MEASURE_PERIOD_BROKER_VALUE","DEEP_MEASURE_ID_OVERRIDE",$C197,"DEEP_BROKER_ID_OVERRIDE",AR$24,"DEEP_PERIOD_OVERRIDE",$H$19)*1,"")))</f>
        <v/>
      </c>
      <c r="AS197" t="str">
        <f>IF(OR(AS$23="",ISNA($B197)),"",IF(ISBLANK($B197),"",IFERROR(_xll.BDP(TICKER,"DEEP_MEASURE_PERIOD_BROKER_VALUE","DEEP_MEASURE_ID_OVERRIDE",$C197,"DEEP_BROKER_ID_OVERRIDE",AS$24,"DEEP_PERIOD_OVERRIDE",$H$19)*1,"")))</f>
        <v/>
      </c>
      <c r="AT197" t="str">
        <f>IF(OR(AT$23="",ISNA($B197)),"",IF(ISBLANK($B197),"",IFERROR(_xll.BDP(TICKER,"DEEP_MEASURE_PERIOD_BROKER_VALUE","DEEP_MEASURE_ID_OVERRIDE",$C197,"DEEP_BROKER_ID_OVERRIDE",AT$24,"DEEP_PERIOD_OVERRIDE",$H$19)*1,"")))</f>
        <v/>
      </c>
      <c r="AU197" t="str">
        <f>IF(OR(AU$23="",ISNA($B197)),"",IF(ISBLANK($B197),"",IFERROR(_xll.BDP(TICKER,"DEEP_MEASURE_PERIOD_BROKER_VALUE","DEEP_MEASURE_ID_OVERRIDE",$C197,"DEEP_BROKER_ID_OVERRIDE",AU$24,"DEEP_PERIOD_OVERRIDE",$H$19)*1,"")))</f>
        <v/>
      </c>
      <c r="AV197" t="str">
        <f>IF(OR(AV$23="",ISNA($B197)),"",IF(ISBLANK($B197),"",IFERROR(_xll.BDP(TICKER,"DEEP_MEASURE_PERIOD_BROKER_VALUE","DEEP_MEASURE_ID_OVERRIDE",$C197,"DEEP_BROKER_ID_OVERRIDE",AV$24,"DEEP_PERIOD_OVERRIDE",$H$19)*1,"")))</f>
        <v/>
      </c>
      <c r="AW197" t="str">
        <f>IF(OR(AW$23="",ISNA($B197)),"",IF(ISBLANK($B197),"",IFERROR(_xll.BDP(TICKER,"DEEP_MEASURE_PERIOD_BROKER_VALUE","DEEP_MEASURE_ID_OVERRIDE",$C197,"DEEP_BROKER_ID_OVERRIDE",AW$24,"DEEP_PERIOD_OVERRIDE",$H$19)*1,"")))</f>
        <v/>
      </c>
      <c r="AX197" t="str">
        <f>IF(OR(AX$23="",ISNA($B197)),"",IF(ISBLANK($B197),"",IFERROR(_xll.BDP(TICKER,"DEEP_MEASURE_PERIOD_BROKER_VALUE","DEEP_MEASURE_ID_OVERRIDE",$C197,"DEEP_BROKER_ID_OVERRIDE",AX$24,"DEEP_PERIOD_OVERRIDE",$H$19)*1,"")))</f>
        <v/>
      </c>
      <c r="AY197" t="str">
        <f>IF(OR(AY$23="",ISNA($B197)),"",IF(ISBLANK($B197),"",IFERROR(_xll.BDP(TICKER,"DEEP_MEASURE_PERIOD_BROKER_VALUE","DEEP_MEASURE_ID_OVERRIDE",$C197,"DEEP_BROKER_ID_OVERRIDE",AY$24,"DEEP_PERIOD_OVERRIDE",$H$19)*1,"")))</f>
        <v/>
      </c>
      <c r="AZ197" t="str">
        <f>IF(OR(AZ$23="",ISNA($B197)),"",IF(ISBLANK($B197),"",IFERROR(_xll.BDP(TICKER,"DEEP_MEASURE_PERIOD_BROKER_VALUE","DEEP_MEASURE_ID_OVERRIDE",$C197,"DEEP_BROKER_ID_OVERRIDE",AZ$24,"DEEP_PERIOD_OVERRIDE",$H$19)*1,"")))</f>
        <v/>
      </c>
      <c r="BA197" t="str">
        <f>IF(OR(BA$23="",ISNA($B197)),"",IF(ISBLANK($B197),"",IFERROR(_xll.BDP(TICKER,"DEEP_MEASURE_PERIOD_BROKER_VALUE","DEEP_MEASURE_ID_OVERRIDE",$C197,"DEEP_BROKER_ID_OVERRIDE",BA$24,"DEEP_PERIOD_OVERRIDE",$H$19)*1,"")))</f>
        <v/>
      </c>
      <c r="BB197" t="str">
        <f>IF(OR(BB$23="",ISNA($B197)),"",IF(ISBLANK($B197),"",IFERROR(_xll.BDP(TICKER,"DEEP_MEASURE_PERIOD_BROKER_VALUE","DEEP_MEASURE_ID_OVERRIDE",$C197,"DEEP_BROKER_ID_OVERRIDE",BB$24,"DEEP_PERIOD_OVERRIDE",$H$19)*1,"")))</f>
        <v/>
      </c>
      <c r="BC197" t="str">
        <f>IF(OR(BC$23="",ISNA($B197)),"",IF(ISBLANK($B197),"",IFERROR(_xll.BDP(TICKER,"DEEP_MEASURE_PERIOD_BROKER_VALUE","DEEP_MEASURE_ID_OVERRIDE",$C197,"DEEP_BROKER_ID_OVERRIDE",BC$24,"DEEP_PERIOD_OVERRIDE",$H$19)*1,"")))</f>
        <v/>
      </c>
      <c r="BD197" t="str">
        <f>IF(OR(BD$23="",ISNA($B197)),"",IF(ISBLANK($B197),"",IFERROR(_xll.BDP(TICKER,"DEEP_MEASURE_PERIOD_BROKER_VALUE","DEEP_MEASURE_ID_OVERRIDE",$C197,"DEEP_BROKER_ID_OVERRIDE",BD$24,"DEEP_PERIOD_OVERRIDE",$H$19)*1,"")))</f>
        <v/>
      </c>
      <c r="BE197" t="str">
        <f>IF(OR(BE$23="",ISNA($B197)),"",IF(ISBLANK($B197),"",IFERROR(_xll.BDP(TICKER,"DEEP_MEASURE_PERIOD_BROKER_VALUE","DEEP_MEASURE_ID_OVERRIDE",$C197,"DEEP_BROKER_ID_OVERRIDE",BE$24,"DEEP_PERIOD_OVERRIDE",$H$19)*1,"")))</f>
        <v/>
      </c>
      <c r="BF197" t="str">
        <f>IF(OR(BF$23="",ISNA($B197)),"",IF(ISBLANK($B197),"",IFERROR(_xll.BDP(TICKER,"DEEP_MEASURE_PERIOD_BROKER_VALUE","DEEP_MEASURE_ID_OVERRIDE",$C197,"DEEP_BROKER_ID_OVERRIDE",BF$24,"DEEP_PERIOD_OVERRIDE",$H$19)*1,"")))</f>
        <v/>
      </c>
      <c r="BG197" t="str">
        <f>IF(OR(BG$23="",ISNA($B197)),"",IF(ISBLANK($B197),"",IFERROR(_xll.BDP(TICKER,"DEEP_MEASURE_PERIOD_BROKER_VALUE","DEEP_MEASURE_ID_OVERRIDE",$C197,"DEEP_BROKER_ID_OVERRIDE",BG$24,"DEEP_PERIOD_OVERRIDE",$H$19)*1,"")))</f>
        <v/>
      </c>
      <c r="BH197" t="str">
        <f>IF(OR(BH$23="",ISNA($B197)),"",IF(ISBLANK($B197),"",IFERROR(_xll.BDP(TICKER,"DEEP_MEASURE_PERIOD_BROKER_VALUE","DEEP_MEASURE_ID_OVERRIDE",$C197,"DEEP_BROKER_ID_OVERRIDE",BH$24,"DEEP_PERIOD_OVERRIDE",$H$19)*1,"")))</f>
        <v/>
      </c>
      <c r="BI197" t="str">
        <f>IF(OR(BI$23="",ISNA($B197)),"",IF(ISBLANK($B197),"",IFERROR(_xll.BDP(TICKER,"DEEP_MEASURE_PERIOD_BROKER_VALUE","DEEP_MEASURE_ID_OVERRIDE",$C197,"DEEP_BROKER_ID_OVERRIDE",BI$24,"DEEP_PERIOD_OVERRIDE",$H$19)*1,"")))</f>
        <v/>
      </c>
      <c r="BJ197" t="str">
        <f>IF(OR(BJ$23="",ISNA($B197)),"",IF(ISBLANK($B197),"",IFERROR(_xll.BDP(TICKER,"DEEP_MEASURE_PERIOD_BROKER_VALUE","DEEP_MEASURE_ID_OVERRIDE",$C197,"DEEP_BROKER_ID_OVERRIDE",BJ$24,"DEEP_PERIOD_OVERRIDE",$H$19)*1,"")))</f>
        <v/>
      </c>
      <c r="BK197" t="str">
        <f>IF(OR(BK$23="",ISNA($B197)),"",IF(ISBLANK($B197),"",IFERROR(_xll.BDP(TICKER,"DEEP_MEASURE_PERIOD_BROKER_VALUE","DEEP_MEASURE_ID_OVERRIDE",$C197,"DEEP_BROKER_ID_OVERRIDE",BK$24,"DEEP_PERIOD_OVERRIDE",$H$19)*1,"")))</f>
        <v/>
      </c>
      <c r="BL197" t="str">
        <f>IF(OR(BL$23="",ISNA($B197)),"",IF(ISBLANK($B197),"",IFERROR(_xll.BDP(TICKER,"DEEP_MEASURE_PERIOD_BROKER_VALUE","DEEP_MEASURE_ID_OVERRIDE",$C197,"DEEP_BROKER_ID_OVERRIDE",BL$24,"DEEP_PERIOD_OVERRIDE",$H$19)*1,"")))</f>
        <v/>
      </c>
      <c r="BM197" t="str">
        <f>IF(OR(BM$23="",ISNA($B197)),"",IF(ISBLANK($B197),"",IFERROR(_xll.BDP(TICKER,"DEEP_MEASURE_PERIOD_BROKER_VALUE","DEEP_MEASURE_ID_OVERRIDE",$C197,"DEEP_BROKER_ID_OVERRIDE",BM$24,"DEEP_PERIOD_OVERRIDE",$H$19)*1,"")))</f>
        <v/>
      </c>
      <c r="BN197" t="str">
        <f>IF(OR(BN$23="",ISNA($B197)),"",IF(ISBLANK($B197),"",IFERROR(_xll.BDP(TICKER,"DEEP_MEASURE_PERIOD_BROKER_VALUE","DEEP_MEASURE_ID_OVERRIDE",$C197,"DEEP_BROKER_ID_OVERRIDE",BN$24,"DEEP_PERIOD_OVERRIDE",$H$19)*1,"")))</f>
        <v/>
      </c>
      <c r="BO197" t="str">
        <f>IF(OR(BO$23="",ISNA($B197)),"",IF(ISBLANK($B197),"",IFERROR(_xll.BDP(TICKER,"DEEP_MEASURE_PERIOD_BROKER_VALUE","DEEP_MEASURE_ID_OVERRIDE",$C197,"DEEP_BROKER_ID_OVERRIDE",BO$24,"DEEP_PERIOD_OVERRIDE",$H$19)*1,"")))</f>
        <v/>
      </c>
      <c r="BP197" t="str">
        <f>IF(OR(BP$23="",ISNA($B197)),"",IF(ISBLANK($B197),"",IFERROR(_xll.BDP(TICKER,"DEEP_MEASURE_PERIOD_BROKER_VALUE","DEEP_MEASURE_ID_OVERRIDE",$C197,"DEEP_BROKER_ID_OVERRIDE",BP$24,"DEEP_PERIOD_OVERRIDE",$H$19)*1,"")))</f>
        <v/>
      </c>
      <c r="BQ197" t="str">
        <f>IF(OR(BQ$23="",ISNA($B197)),"",IF(ISBLANK($B197),"",IFERROR(_xll.BDP(TICKER,"DEEP_MEASURE_PERIOD_BROKER_VALUE","DEEP_MEASURE_ID_OVERRIDE",$C197,"DEEP_BROKER_ID_OVERRIDE",BQ$24,"DEEP_PERIOD_OVERRIDE",$H$19)*1,"")))</f>
        <v/>
      </c>
      <c r="BR197" t="str">
        <f>IF(OR(BR$23="",ISNA($B197)),"",IF(ISBLANK($B197),"",IFERROR(_xll.BDP(TICKER,"DEEP_MEASURE_PERIOD_BROKER_VALUE","DEEP_MEASURE_ID_OVERRIDE",$C197,"DEEP_BROKER_ID_OVERRIDE",BR$24,"DEEP_PERIOD_OVERRIDE",$H$19)*1,"")))</f>
        <v/>
      </c>
      <c r="BS197" t="str">
        <f>IF(OR(BS$23="",ISNA($B197)),"",IF(ISBLANK($B197),"",IFERROR(_xll.BDP(TICKER,"DEEP_MEASURE_PERIOD_BROKER_VALUE","DEEP_MEASURE_ID_OVERRIDE",$C197,"DEEP_BROKER_ID_OVERRIDE",BS$24,"DEEP_PERIOD_OVERRIDE",$H$19)*1,"")))</f>
        <v/>
      </c>
      <c r="BT197" t="str">
        <f>IF(OR(BT$23="",ISNA($B197)),"",IF(ISBLANK($B197),"",IFERROR(_xll.BDP(TICKER,"DEEP_MEASURE_PERIOD_BROKER_VALUE","DEEP_MEASURE_ID_OVERRIDE",$C197,"DEEP_BROKER_ID_OVERRIDE",BT$24,"DEEP_PERIOD_OVERRIDE",$H$19)*1,"")))</f>
        <v/>
      </c>
      <c r="BU197" t="str">
        <f>IF(OR(BU$23="",ISNA($B197)),"",IF(ISBLANK($B197),"",IFERROR(_xll.BDP(TICKER,"DEEP_MEASURE_PERIOD_BROKER_VALUE","DEEP_MEASURE_ID_OVERRIDE",$C197,"DEEP_BROKER_ID_OVERRIDE",BU$24,"DEEP_PERIOD_OVERRIDE",$H$19)*1,"")))</f>
        <v/>
      </c>
      <c r="BV197" t="str">
        <f>IF(OR(BV$23="",ISNA($B197)),"",IF(ISBLANK($B197),"",IFERROR(_xll.BDP(TICKER,"DEEP_MEASURE_PERIOD_BROKER_VALUE","DEEP_MEASURE_ID_OVERRIDE",$C197,"DEEP_BROKER_ID_OVERRIDE",BV$24,"DEEP_PERIOD_OVERRIDE",$H$19)*1,"")))</f>
        <v/>
      </c>
      <c r="BW197" t="str">
        <f>IF(OR(BW$23="",ISNA($B197)),"",IF(ISBLANK($B197),"",IFERROR(_xll.BDP(TICKER,"DEEP_MEASURE_PERIOD_BROKER_VALUE","DEEP_MEASURE_ID_OVERRIDE",$C197,"DEEP_BROKER_ID_OVERRIDE",BW$24,"DEEP_PERIOD_OVERRIDE",$H$19)*1,"")))</f>
        <v/>
      </c>
      <c r="BX197" t="str">
        <f>IF(OR(BX$23="",ISNA($B197)),"",IF(ISBLANK($B197),"",IFERROR(_xll.BDP(TICKER,"DEEP_MEASURE_PERIOD_BROKER_VALUE","DEEP_MEASURE_ID_OVERRIDE",$C197,"DEEP_BROKER_ID_OVERRIDE",BX$24,"DEEP_PERIOD_OVERRIDE",$H$19)*1,"")))</f>
        <v/>
      </c>
      <c r="BY197" t="str">
        <f>IF(OR(BY$23="",ISNA($B197)),"",IF(ISBLANK($B197),"",IFERROR(_xll.BDP(TICKER,"DEEP_MEASURE_PERIOD_BROKER_VALUE","DEEP_MEASURE_ID_OVERRIDE",$C197,"DEEP_BROKER_ID_OVERRIDE",BY$24,"DEEP_PERIOD_OVERRIDE",$H$19)*1,"")))</f>
        <v/>
      </c>
      <c r="BZ197" t="str">
        <f>IF(OR(BZ$23="",ISNA($B197)),"",IF(ISBLANK($B197),"",IFERROR(_xll.BDP(TICKER,"DEEP_MEASURE_PERIOD_BROKER_VALUE","DEEP_MEASURE_ID_OVERRIDE",$C197,"DEEP_BROKER_ID_OVERRIDE",BZ$24,"DEEP_PERIOD_OVERRIDE",$H$19)*1,"")))</f>
        <v/>
      </c>
    </row>
    <row r="198" spans="2:78" x14ac:dyDescent="0.25">
      <c r="B198" t="s">
        <v>68</v>
      </c>
      <c r="C198">
        <v>3250</v>
      </c>
      <c r="H198" t="str">
        <f t="shared" si="3"/>
        <v>Cash from Operations Activities &gt; Other Non-Cash Adjustments</v>
      </c>
      <c r="I198" t="str">
        <f>IF(OR(I$23="",ISNA($B198)),"",IF(ISBLANK($B198),"",IFERROR(_xll.BDP(TICKER,"DEEP_MEASURE_PERIOD_BROKER_VALUE","DEEP_MEASURE_ID_OVERRIDE",$C198,"DEEP_PERIOD_OVERRIDE",$H$19)*1,"")))</f>
        <v/>
      </c>
      <c r="J198" t="e">
        <f>IF(OR(J$23="",ISNA($B198)),"",IF(ISBLANK($B198),"",IFERROR(_xll.BDP(TICKER,"DEEP_MEASURE_PERIOD_BROKER_VALUE","DEEP_MEASURE_ID_OVERRIDE",$C198,"DEEP_BROKER_ID_OVERRIDE",J$24,"DEEP_PERIOD_OVERRIDE",$H$19)*1,"")))</f>
        <v>#REF!</v>
      </c>
      <c r="K198" t="str">
        <f>IF(OR(K$23="",ISNA($B198)),"",IF(ISBLANK($B198),"",IFERROR(_xll.BDP(TICKER,"DEEP_MEASURE_PERIOD_BROKER_VALUE","DEEP_MEASURE_ID_OVERRIDE",$C198,"DEEP_BROKER_ID_OVERRIDE",K$24,"DEEP_PERIOD_OVERRIDE",$H$19)*1,"")))</f>
        <v/>
      </c>
      <c r="L198" t="str">
        <f>IF(OR(L$23="",ISNA($B198)),"",IF(ISBLANK($B198),"",IFERROR(_xll.BDP(TICKER,"DEEP_MEASURE_PERIOD_BROKER_VALUE","DEEP_MEASURE_ID_OVERRIDE",$C198,"DEEP_BROKER_ID_OVERRIDE",L$24,"DEEP_PERIOD_OVERRIDE",$H$19)*1,"")))</f>
        <v/>
      </c>
      <c r="M198" t="str">
        <f>IF(OR(M$23="",ISNA($B198)),"",IF(ISBLANK($B198),"",IFERROR(_xll.BDP(TICKER,"DEEP_MEASURE_PERIOD_BROKER_VALUE","DEEP_MEASURE_ID_OVERRIDE",$C198,"DEEP_BROKER_ID_OVERRIDE",M$24,"DEEP_PERIOD_OVERRIDE",$H$19)*1,"")))</f>
        <v/>
      </c>
      <c r="N198" t="str">
        <f>IF(OR(N$23="",ISNA($B198)),"",IF(ISBLANK($B198),"",IFERROR(_xll.BDP(TICKER,"DEEP_MEASURE_PERIOD_BROKER_VALUE","DEEP_MEASURE_ID_OVERRIDE",$C198,"DEEP_BROKER_ID_OVERRIDE",N$24,"DEEP_PERIOD_OVERRIDE",$H$19)*1,"")))</f>
        <v/>
      </c>
      <c r="O198" t="str">
        <f>IF(OR(O$23="",ISNA($B198)),"",IF(ISBLANK($B198),"",IFERROR(_xll.BDP(TICKER,"DEEP_MEASURE_PERIOD_BROKER_VALUE","DEEP_MEASURE_ID_OVERRIDE",$C198,"DEEP_BROKER_ID_OVERRIDE",O$24,"DEEP_PERIOD_OVERRIDE",$H$19)*1,"")))</f>
        <v/>
      </c>
      <c r="P198" t="str">
        <f>IF(OR(P$23="",ISNA($B198)),"",IF(ISBLANK($B198),"",IFERROR(_xll.BDP(TICKER,"DEEP_MEASURE_PERIOD_BROKER_VALUE","DEEP_MEASURE_ID_OVERRIDE",$C198,"DEEP_BROKER_ID_OVERRIDE",P$24,"DEEP_PERIOD_OVERRIDE",$H$19)*1,"")))</f>
        <v/>
      </c>
      <c r="Q198" t="str">
        <f>IF(OR(Q$23="",ISNA($B198)),"",IF(ISBLANK($B198),"",IFERROR(_xll.BDP(TICKER,"DEEP_MEASURE_PERIOD_BROKER_VALUE","DEEP_MEASURE_ID_OVERRIDE",$C198,"DEEP_BROKER_ID_OVERRIDE",Q$24,"DEEP_PERIOD_OVERRIDE",$H$19)*1,"")))</f>
        <v/>
      </c>
      <c r="R198" t="str">
        <f>IF(OR(R$23="",ISNA($B198)),"",IF(ISBLANK($B198),"",IFERROR(_xll.BDP(TICKER,"DEEP_MEASURE_PERIOD_BROKER_VALUE","DEEP_MEASURE_ID_OVERRIDE",$C198,"DEEP_BROKER_ID_OVERRIDE",R$24,"DEEP_PERIOD_OVERRIDE",$H$19)*1,"")))</f>
        <v/>
      </c>
      <c r="S198" t="str">
        <f>IF(OR(S$23="",ISNA($B198)),"",IF(ISBLANK($B198),"",IFERROR(_xll.BDP(TICKER,"DEEP_MEASURE_PERIOD_BROKER_VALUE","DEEP_MEASURE_ID_OVERRIDE",$C198,"DEEP_BROKER_ID_OVERRIDE",S$24,"DEEP_PERIOD_OVERRIDE",$H$19)*1,"")))</f>
        <v/>
      </c>
      <c r="T198" t="str">
        <f>IF(OR(T$23="",ISNA($B198)),"",IF(ISBLANK($B198),"",IFERROR(_xll.BDP(TICKER,"DEEP_MEASURE_PERIOD_BROKER_VALUE","DEEP_MEASURE_ID_OVERRIDE",$C198,"DEEP_BROKER_ID_OVERRIDE",T$24,"DEEP_PERIOD_OVERRIDE",$H$19)*1,"")))</f>
        <v/>
      </c>
      <c r="U198" t="str">
        <f>IF(OR(U$23="",ISNA($B198)),"",IF(ISBLANK($B198),"",IFERROR(_xll.BDP(TICKER,"DEEP_MEASURE_PERIOD_BROKER_VALUE","DEEP_MEASURE_ID_OVERRIDE",$C198,"DEEP_BROKER_ID_OVERRIDE",U$24,"DEEP_PERIOD_OVERRIDE",$H$19)*1,"")))</f>
        <v/>
      </c>
      <c r="V198" t="str">
        <f>IF(OR(V$23="",ISNA($B198)),"",IF(ISBLANK($B198),"",IFERROR(_xll.BDP(TICKER,"DEEP_MEASURE_PERIOD_BROKER_VALUE","DEEP_MEASURE_ID_OVERRIDE",$C198,"DEEP_BROKER_ID_OVERRIDE",V$24,"DEEP_PERIOD_OVERRIDE",$H$19)*1,"")))</f>
        <v/>
      </c>
      <c r="W198" t="str">
        <f>IF(OR(W$23="",ISNA($B198)),"",IF(ISBLANK($B198),"",IFERROR(_xll.BDP(TICKER,"DEEP_MEASURE_PERIOD_BROKER_VALUE","DEEP_MEASURE_ID_OVERRIDE",$C198,"DEEP_BROKER_ID_OVERRIDE",W$24,"DEEP_PERIOD_OVERRIDE",$H$19)*1,"")))</f>
        <v/>
      </c>
      <c r="X198" t="str">
        <f>IF(OR(X$23="",ISNA($B198)),"",IF(ISBLANK($B198),"",IFERROR(_xll.BDP(TICKER,"DEEP_MEASURE_PERIOD_BROKER_VALUE","DEEP_MEASURE_ID_OVERRIDE",$C198,"DEEP_BROKER_ID_OVERRIDE",X$24,"DEEP_PERIOD_OVERRIDE",$H$19)*1,"")))</f>
        <v/>
      </c>
      <c r="Y198" t="str">
        <f>IF(OR(Y$23="",ISNA($B198)),"",IF(ISBLANK($B198),"",IFERROR(_xll.BDP(TICKER,"DEEP_MEASURE_PERIOD_BROKER_VALUE","DEEP_MEASURE_ID_OVERRIDE",$C198,"DEEP_BROKER_ID_OVERRIDE",Y$24,"DEEP_PERIOD_OVERRIDE",$H$19)*1,"")))</f>
        <v/>
      </c>
      <c r="Z198" t="str">
        <f>IF(OR(Z$23="",ISNA($B198)),"",IF(ISBLANK($B198),"",IFERROR(_xll.BDP(TICKER,"DEEP_MEASURE_PERIOD_BROKER_VALUE","DEEP_MEASURE_ID_OVERRIDE",$C198,"DEEP_BROKER_ID_OVERRIDE",Z$24,"DEEP_PERIOD_OVERRIDE",$H$19)*1,"")))</f>
        <v/>
      </c>
      <c r="AA198" t="str">
        <f>IF(OR(AA$23="",ISNA($B198)),"",IF(ISBLANK($B198),"",IFERROR(_xll.BDP(TICKER,"DEEP_MEASURE_PERIOD_BROKER_VALUE","DEEP_MEASURE_ID_OVERRIDE",$C198,"DEEP_BROKER_ID_OVERRIDE",AA$24,"DEEP_PERIOD_OVERRIDE",$H$19)*1,"")))</f>
        <v/>
      </c>
      <c r="AB198" t="str">
        <f>IF(OR(AB$23="",ISNA($B198)),"",IF(ISBLANK($B198),"",IFERROR(_xll.BDP(TICKER,"DEEP_MEASURE_PERIOD_BROKER_VALUE","DEEP_MEASURE_ID_OVERRIDE",$C198,"DEEP_BROKER_ID_OVERRIDE",AB$24,"DEEP_PERIOD_OVERRIDE",$H$19)*1,"")))</f>
        <v/>
      </c>
      <c r="AC198" t="str">
        <f>IF(OR(AC$23="",ISNA($B198)),"",IF(ISBLANK($B198),"",IFERROR(_xll.BDP(TICKER,"DEEP_MEASURE_PERIOD_BROKER_VALUE","DEEP_MEASURE_ID_OVERRIDE",$C198,"DEEP_BROKER_ID_OVERRIDE",AC$24,"DEEP_PERIOD_OVERRIDE",$H$19)*1,"")))</f>
        <v/>
      </c>
      <c r="AD198" t="str">
        <f>IF(OR(AD$23="",ISNA($B198)),"",IF(ISBLANK($B198),"",IFERROR(_xll.BDP(TICKER,"DEEP_MEASURE_PERIOD_BROKER_VALUE","DEEP_MEASURE_ID_OVERRIDE",$C198,"DEEP_BROKER_ID_OVERRIDE",AD$24,"DEEP_PERIOD_OVERRIDE",$H$19)*1,"")))</f>
        <v/>
      </c>
      <c r="AE198" t="str">
        <f>IF(OR(AE$23="",ISNA($B198)),"",IF(ISBLANK($B198),"",IFERROR(_xll.BDP(TICKER,"DEEP_MEASURE_PERIOD_BROKER_VALUE","DEEP_MEASURE_ID_OVERRIDE",$C198,"DEEP_BROKER_ID_OVERRIDE",AE$24,"DEEP_PERIOD_OVERRIDE",$H$19)*1,"")))</f>
        <v/>
      </c>
      <c r="AF198" t="str">
        <f>IF(OR(AF$23="",ISNA($B198)),"",IF(ISBLANK($B198),"",IFERROR(_xll.BDP(TICKER,"DEEP_MEASURE_PERIOD_BROKER_VALUE","DEEP_MEASURE_ID_OVERRIDE",$C198,"DEEP_BROKER_ID_OVERRIDE",AF$24,"DEEP_PERIOD_OVERRIDE",$H$19)*1,"")))</f>
        <v/>
      </c>
      <c r="AG198" t="str">
        <f>IF(OR(AG$23="",ISNA($B198)),"",IF(ISBLANK($B198),"",IFERROR(_xll.BDP(TICKER,"DEEP_MEASURE_PERIOD_BROKER_VALUE","DEEP_MEASURE_ID_OVERRIDE",$C198,"DEEP_BROKER_ID_OVERRIDE",AG$24,"DEEP_PERIOD_OVERRIDE",$H$19)*1,"")))</f>
        <v/>
      </c>
      <c r="AH198" t="str">
        <f>IF(OR(AH$23="",ISNA($B198)),"",IF(ISBLANK($B198),"",IFERROR(_xll.BDP(TICKER,"DEEP_MEASURE_PERIOD_BROKER_VALUE","DEEP_MEASURE_ID_OVERRIDE",$C198,"DEEP_BROKER_ID_OVERRIDE",AH$24,"DEEP_PERIOD_OVERRIDE",$H$19)*1,"")))</f>
        <v/>
      </c>
      <c r="AI198" t="str">
        <f>IF(OR(AI$23="",ISNA($B198)),"",IF(ISBLANK($B198),"",IFERROR(_xll.BDP(TICKER,"DEEP_MEASURE_PERIOD_BROKER_VALUE","DEEP_MEASURE_ID_OVERRIDE",$C198,"DEEP_BROKER_ID_OVERRIDE",AI$24,"DEEP_PERIOD_OVERRIDE",$H$19)*1,"")))</f>
        <v/>
      </c>
      <c r="AJ198" t="str">
        <f>IF(OR(AJ$23="",ISNA($B198)),"",IF(ISBLANK($B198),"",IFERROR(_xll.BDP(TICKER,"DEEP_MEASURE_PERIOD_BROKER_VALUE","DEEP_MEASURE_ID_OVERRIDE",$C198,"DEEP_BROKER_ID_OVERRIDE",AJ$24,"DEEP_PERIOD_OVERRIDE",$H$19)*1,"")))</f>
        <v/>
      </c>
      <c r="AK198" t="str">
        <f>IF(OR(AK$23="",ISNA($B198)),"",IF(ISBLANK($B198),"",IFERROR(_xll.BDP(TICKER,"DEEP_MEASURE_PERIOD_BROKER_VALUE","DEEP_MEASURE_ID_OVERRIDE",$C198,"DEEP_BROKER_ID_OVERRIDE",AK$24,"DEEP_PERIOD_OVERRIDE",$H$19)*1,"")))</f>
        <v/>
      </c>
      <c r="AL198" t="str">
        <f>IF(OR(AL$23="",ISNA($B198)),"",IF(ISBLANK($B198),"",IFERROR(_xll.BDP(TICKER,"DEEP_MEASURE_PERIOD_BROKER_VALUE","DEEP_MEASURE_ID_OVERRIDE",$C198,"DEEP_BROKER_ID_OVERRIDE",AL$24,"DEEP_PERIOD_OVERRIDE",$H$19)*1,"")))</f>
        <v/>
      </c>
      <c r="AM198" t="str">
        <f>IF(OR(AM$23="",ISNA($B198)),"",IF(ISBLANK($B198),"",IFERROR(_xll.BDP(TICKER,"DEEP_MEASURE_PERIOD_BROKER_VALUE","DEEP_MEASURE_ID_OVERRIDE",$C198,"DEEP_BROKER_ID_OVERRIDE",AM$24,"DEEP_PERIOD_OVERRIDE",$H$19)*1,"")))</f>
        <v/>
      </c>
      <c r="AN198" t="str">
        <f>IF(OR(AN$23="",ISNA($B198)),"",IF(ISBLANK($B198),"",IFERROR(_xll.BDP(TICKER,"DEEP_MEASURE_PERIOD_BROKER_VALUE","DEEP_MEASURE_ID_OVERRIDE",$C198,"DEEP_BROKER_ID_OVERRIDE",AN$24,"DEEP_PERIOD_OVERRIDE",$H$19)*1,"")))</f>
        <v/>
      </c>
      <c r="AO198" t="str">
        <f>IF(OR(AO$23="",ISNA($B198)),"",IF(ISBLANK($B198),"",IFERROR(_xll.BDP(TICKER,"DEEP_MEASURE_PERIOD_BROKER_VALUE","DEEP_MEASURE_ID_OVERRIDE",$C198,"DEEP_BROKER_ID_OVERRIDE",AO$24,"DEEP_PERIOD_OVERRIDE",$H$19)*1,"")))</f>
        <v/>
      </c>
      <c r="AP198" t="str">
        <f>IF(OR(AP$23="",ISNA($B198)),"",IF(ISBLANK($B198),"",IFERROR(_xll.BDP(TICKER,"DEEP_MEASURE_PERIOD_BROKER_VALUE","DEEP_MEASURE_ID_OVERRIDE",$C198,"DEEP_BROKER_ID_OVERRIDE",AP$24,"DEEP_PERIOD_OVERRIDE",$H$19)*1,"")))</f>
        <v/>
      </c>
      <c r="AQ198" t="str">
        <f>IF(OR(AQ$23="",ISNA($B198)),"",IF(ISBLANK($B198),"",IFERROR(_xll.BDP(TICKER,"DEEP_MEASURE_PERIOD_BROKER_VALUE","DEEP_MEASURE_ID_OVERRIDE",$C198,"DEEP_BROKER_ID_OVERRIDE",AQ$24,"DEEP_PERIOD_OVERRIDE",$H$19)*1,"")))</f>
        <v/>
      </c>
      <c r="AR198" t="str">
        <f>IF(OR(AR$23="",ISNA($B198)),"",IF(ISBLANK($B198),"",IFERROR(_xll.BDP(TICKER,"DEEP_MEASURE_PERIOD_BROKER_VALUE","DEEP_MEASURE_ID_OVERRIDE",$C198,"DEEP_BROKER_ID_OVERRIDE",AR$24,"DEEP_PERIOD_OVERRIDE",$H$19)*1,"")))</f>
        <v/>
      </c>
      <c r="AS198" t="str">
        <f>IF(OR(AS$23="",ISNA($B198)),"",IF(ISBLANK($B198),"",IFERROR(_xll.BDP(TICKER,"DEEP_MEASURE_PERIOD_BROKER_VALUE","DEEP_MEASURE_ID_OVERRIDE",$C198,"DEEP_BROKER_ID_OVERRIDE",AS$24,"DEEP_PERIOD_OVERRIDE",$H$19)*1,"")))</f>
        <v/>
      </c>
      <c r="AT198" t="str">
        <f>IF(OR(AT$23="",ISNA($B198)),"",IF(ISBLANK($B198),"",IFERROR(_xll.BDP(TICKER,"DEEP_MEASURE_PERIOD_BROKER_VALUE","DEEP_MEASURE_ID_OVERRIDE",$C198,"DEEP_BROKER_ID_OVERRIDE",AT$24,"DEEP_PERIOD_OVERRIDE",$H$19)*1,"")))</f>
        <v/>
      </c>
      <c r="AU198" t="str">
        <f>IF(OR(AU$23="",ISNA($B198)),"",IF(ISBLANK($B198),"",IFERROR(_xll.BDP(TICKER,"DEEP_MEASURE_PERIOD_BROKER_VALUE","DEEP_MEASURE_ID_OVERRIDE",$C198,"DEEP_BROKER_ID_OVERRIDE",AU$24,"DEEP_PERIOD_OVERRIDE",$H$19)*1,"")))</f>
        <v/>
      </c>
      <c r="AV198" t="str">
        <f>IF(OR(AV$23="",ISNA($B198)),"",IF(ISBLANK($B198),"",IFERROR(_xll.BDP(TICKER,"DEEP_MEASURE_PERIOD_BROKER_VALUE","DEEP_MEASURE_ID_OVERRIDE",$C198,"DEEP_BROKER_ID_OVERRIDE",AV$24,"DEEP_PERIOD_OVERRIDE",$H$19)*1,"")))</f>
        <v/>
      </c>
      <c r="AW198" t="str">
        <f>IF(OR(AW$23="",ISNA($B198)),"",IF(ISBLANK($B198),"",IFERROR(_xll.BDP(TICKER,"DEEP_MEASURE_PERIOD_BROKER_VALUE","DEEP_MEASURE_ID_OVERRIDE",$C198,"DEEP_BROKER_ID_OVERRIDE",AW$24,"DEEP_PERIOD_OVERRIDE",$H$19)*1,"")))</f>
        <v/>
      </c>
      <c r="AX198" t="str">
        <f>IF(OR(AX$23="",ISNA($B198)),"",IF(ISBLANK($B198),"",IFERROR(_xll.BDP(TICKER,"DEEP_MEASURE_PERIOD_BROKER_VALUE","DEEP_MEASURE_ID_OVERRIDE",$C198,"DEEP_BROKER_ID_OVERRIDE",AX$24,"DEEP_PERIOD_OVERRIDE",$H$19)*1,"")))</f>
        <v/>
      </c>
      <c r="AY198" t="str">
        <f>IF(OR(AY$23="",ISNA($B198)),"",IF(ISBLANK($B198),"",IFERROR(_xll.BDP(TICKER,"DEEP_MEASURE_PERIOD_BROKER_VALUE","DEEP_MEASURE_ID_OVERRIDE",$C198,"DEEP_BROKER_ID_OVERRIDE",AY$24,"DEEP_PERIOD_OVERRIDE",$H$19)*1,"")))</f>
        <v/>
      </c>
      <c r="AZ198" t="str">
        <f>IF(OR(AZ$23="",ISNA($B198)),"",IF(ISBLANK($B198),"",IFERROR(_xll.BDP(TICKER,"DEEP_MEASURE_PERIOD_BROKER_VALUE","DEEP_MEASURE_ID_OVERRIDE",$C198,"DEEP_BROKER_ID_OVERRIDE",AZ$24,"DEEP_PERIOD_OVERRIDE",$H$19)*1,"")))</f>
        <v/>
      </c>
      <c r="BA198" t="str">
        <f>IF(OR(BA$23="",ISNA($B198)),"",IF(ISBLANK($B198),"",IFERROR(_xll.BDP(TICKER,"DEEP_MEASURE_PERIOD_BROKER_VALUE","DEEP_MEASURE_ID_OVERRIDE",$C198,"DEEP_BROKER_ID_OVERRIDE",BA$24,"DEEP_PERIOD_OVERRIDE",$H$19)*1,"")))</f>
        <v/>
      </c>
      <c r="BB198" t="str">
        <f>IF(OR(BB$23="",ISNA($B198)),"",IF(ISBLANK($B198),"",IFERROR(_xll.BDP(TICKER,"DEEP_MEASURE_PERIOD_BROKER_VALUE","DEEP_MEASURE_ID_OVERRIDE",$C198,"DEEP_BROKER_ID_OVERRIDE",BB$24,"DEEP_PERIOD_OVERRIDE",$H$19)*1,"")))</f>
        <v/>
      </c>
      <c r="BC198" t="str">
        <f>IF(OR(BC$23="",ISNA($B198)),"",IF(ISBLANK($B198),"",IFERROR(_xll.BDP(TICKER,"DEEP_MEASURE_PERIOD_BROKER_VALUE","DEEP_MEASURE_ID_OVERRIDE",$C198,"DEEP_BROKER_ID_OVERRIDE",BC$24,"DEEP_PERIOD_OVERRIDE",$H$19)*1,"")))</f>
        <v/>
      </c>
      <c r="BD198" t="str">
        <f>IF(OR(BD$23="",ISNA($B198)),"",IF(ISBLANK($B198),"",IFERROR(_xll.BDP(TICKER,"DEEP_MEASURE_PERIOD_BROKER_VALUE","DEEP_MEASURE_ID_OVERRIDE",$C198,"DEEP_BROKER_ID_OVERRIDE",BD$24,"DEEP_PERIOD_OVERRIDE",$H$19)*1,"")))</f>
        <v/>
      </c>
      <c r="BE198" t="str">
        <f>IF(OR(BE$23="",ISNA($B198)),"",IF(ISBLANK($B198),"",IFERROR(_xll.BDP(TICKER,"DEEP_MEASURE_PERIOD_BROKER_VALUE","DEEP_MEASURE_ID_OVERRIDE",$C198,"DEEP_BROKER_ID_OVERRIDE",BE$24,"DEEP_PERIOD_OVERRIDE",$H$19)*1,"")))</f>
        <v/>
      </c>
      <c r="BF198" t="str">
        <f>IF(OR(BF$23="",ISNA($B198)),"",IF(ISBLANK($B198),"",IFERROR(_xll.BDP(TICKER,"DEEP_MEASURE_PERIOD_BROKER_VALUE","DEEP_MEASURE_ID_OVERRIDE",$C198,"DEEP_BROKER_ID_OVERRIDE",BF$24,"DEEP_PERIOD_OVERRIDE",$H$19)*1,"")))</f>
        <v/>
      </c>
      <c r="BG198" t="str">
        <f>IF(OR(BG$23="",ISNA($B198)),"",IF(ISBLANK($B198),"",IFERROR(_xll.BDP(TICKER,"DEEP_MEASURE_PERIOD_BROKER_VALUE","DEEP_MEASURE_ID_OVERRIDE",$C198,"DEEP_BROKER_ID_OVERRIDE",BG$24,"DEEP_PERIOD_OVERRIDE",$H$19)*1,"")))</f>
        <v/>
      </c>
      <c r="BH198" t="str">
        <f>IF(OR(BH$23="",ISNA($B198)),"",IF(ISBLANK($B198),"",IFERROR(_xll.BDP(TICKER,"DEEP_MEASURE_PERIOD_BROKER_VALUE","DEEP_MEASURE_ID_OVERRIDE",$C198,"DEEP_BROKER_ID_OVERRIDE",BH$24,"DEEP_PERIOD_OVERRIDE",$H$19)*1,"")))</f>
        <v/>
      </c>
      <c r="BI198" t="str">
        <f>IF(OR(BI$23="",ISNA($B198)),"",IF(ISBLANK($B198),"",IFERROR(_xll.BDP(TICKER,"DEEP_MEASURE_PERIOD_BROKER_VALUE","DEEP_MEASURE_ID_OVERRIDE",$C198,"DEEP_BROKER_ID_OVERRIDE",BI$24,"DEEP_PERIOD_OVERRIDE",$H$19)*1,"")))</f>
        <v/>
      </c>
      <c r="BJ198" t="str">
        <f>IF(OR(BJ$23="",ISNA($B198)),"",IF(ISBLANK($B198),"",IFERROR(_xll.BDP(TICKER,"DEEP_MEASURE_PERIOD_BROKER_VALUE","DEEP_MEASURE_ID_OVERRIDE",$C198,"DEEP_BROKER_ID_OVERRIDE",BJ$24,"DEEP_PERIOD_OVERRIDE",$H$19)*1,"")))</f>
        <v/>
      </c>
      <c r="BK198" t="str">
        <f>IF(OR(BK$23="",ISNA($B198)),"",IF(ISBLANK($B198),"",IFERROR(_xll.BDP(TICKER,"DEEP_MEASURE_PERIOD_BROKER_VALUE","DEEP_MEASURE_ID_OVERRIDE",$C198,"DEEP_BROKER_ID_OVERRIDE",BK$24,"DEEP_PERIOD_OVERRIDE",$H$19)*1,"")))</f>
        <v/>
      </c>
      <c r="BL198" t="str">
        <f>IF(OR(BL$23="",ISNA($B198)),"",IF(ISBLANK($B198),"",IFERROR(_xll.BDP(TICKER,"DEEP_MEASURE_PERIOD_BROKER_VALUE","DEEP_MEASURE_ID_OVERRIDE",$C198,"DEEP_BROKER_ID_OVERRIDE",BL$24,"DEEP_PERIOD_OVERRIDE",$H$19)*1,"")))</f>
        <v/>
      </c>
      <c r="BM198" t="str">
        <f>IF(OR(BM$23="",ISNA($B198)),"",IF(ISBLANK($B198),"",IFERROR(_xll.BDP(TICKER,"DEEP_MEASURE_PERIOD_BROKER_VALUE","DEEP_MEASURE_ID_OVERRIDE",$C198,"DEEP_BROKER_ID_OVERRIDE",BM$24,"DEEP_PERIOD_OVERRIDE",$H$19)*1,"")))</f>
        <v/>
      </c>
      <c r="BN198" t="str">
        <f>IF(OR(BN$23="",ISNA($B198)),"",IF(ISBLANK($B198),"",IFERROR(_xll.BDP(TICKER,"DEEP_MEASURE_PERIOD_BROKER_VALUE","DEEP_MEASURE_ID_OVERRIDE",$C198,"DEEP_BROKER_ID_OVERRIDE",BN$24,"DEEP_PERIOD_OVERRIDE",$H$19)*1,"")))</f>
        <v/>
      </c>
      <c r="BO198" t="str">
        <f>IF(OR(BO$23="",ISNA($B198)),"",IF(ISBLANK($B198),"",IFERROR(_xll.BDP(TICKER,"DEEP_MEASURE_PERIOD_BROKER_VALUE","DEEP_MEASURE_ID_OVERRIDE",$C198,"DEEP_BROKER_ID_OVERRIDE",BO$24,"DEEP_PERIOD_OVERRIDE",$H$19)*1,"")))</f>
        <v/>
      </c>
      <c r="BP198" t="str">
        <f>IF(OR(BP$23="",ISNA($B198)),"",IF(ISBLANK($B198),"",IFERROR(_xll.BDP(TICKER,"DEEP_MEASURE_PERIOD_BROKER_VALUE","DEEP_MEASURE_ID_OVERRIDE",$C198,"DEEP_BROKER_ID_OVERRIDE",BP$24,"DEEP_PERIOD_OVERRIDE",$H$19)*1,"")))</f>
        <v/>
      </c>
      <c r="BQ198" t="str">
        <f>IF(OR(BQ$23="",ISNA($B198)),"",IF(ISBLANK($B198),"",IFERROR(_xll.BDP(TICKER,"DEEP_MEASURE_PERIOD_BROKER_VALUE","DEEP_MEASURE_ID_OVERRIDE",$C198,"DEEP_BROKER_ID_OVERRIDE",BQ$24,"DEEP_PERIOD_OVERRIDE",$H$19)*1,"")))</f>
        <v/>
      </c>
      <c r="BR198" t="str">
        <f>IF(OR(BR$23="",ISNA($B198)),"",IF(ISBLANK($B198),"",IFERROR(_xll.BDP(TICKER,"DEEP_MEASURE_PERIOD_BROKER_VALUE","DEEP_MEASURE_ID_OVERRIDE",$C198,"DEEP_BROKER_ID_OVERRIDE",BR$24,"DEEP_PERIOD_OVERRIDE",$H$19)*1,"")))</f>
        <v/>
      </c>
      <c r="BS198" t="str">
        <f>IF(OR(BS$23="",ISNA($B198)),"",IF(ISBLANK($B198),"",IFERROR(_xll.BDP(TICKER,"DEEP_MEASURE_PERIOD_BROKER_VALUE","DEEP_MEASURE_ID_OVERRIDE",$C198,"DEEP_BROKER_ID_OVERRIDE",BS$24,"DEEP_PERIOD_OVERRIDE",$H$19)*1,"")))</f>
        <v/>
      </c>
      <c r="BT198" t="str">
        <f>IF(OR(BT$23="",ISNA($B198)),"",IF(ISBLANK($B198),"",IFERROR(_xll.BDP(TICKER,"DEEP_MEASURE_PERIOD_BROKER_VALUE","DEEP_MEASURE_ID_OVERRIDE",$C198,"DEEP_BROKER_ID_OVERRIDE",BT$24,"DEEP_PERIOD_OVERRIDE",$H$19)*1,"")))</f>
        <v/>
      </c>
      <c r="BU198" t="str">
        <f>IF(OR(BU$23="",ISNA($B198)),"",IF(ISBLANK($B198),"",IFERROR(_xll.BDP(TICKER,"DEEP_MEASURE_PERIOD_BROKER_VALUE","DEEP_MEASURE_ID_OVERRIDE",$C198,"DEEP_BROKER_ID_OVERRIDE",BU$24,"DEEP_PERIOD_OVERRIDE",$H$19)*1,"")))</f>
        <v/>
      </c>
      <c r="BV198" t="str">
        <f>IF(OR(BV$23="",ISNA($B198)),"",IF(ISBLANK($B198),"",IFERROR(_xll.BDP(TICKER,"DEEP_MEASURE_PERIOD_BROKER_VALUE","DEEP_MEASURE_ID_OVERRIDE",$C198,"DEEP_BROKER_ID_OVERRIDE",BV$24,"DEEP_PERIOD_OVERRIDE",$H$19)*1,"")))</f>
        <v/>
      </c>
      <c r="BW198" t="str">
        <f>IF(OR(BW$23="",ISNA($B198)),"",IF(ISBLANK($B198),"",IFERROR(_xll.BDP(TICKER,"DEEP_MEASURE_PERIOD_BROKER_VALUE","DEEP_MEASURE_ID_OVERRIDE",$C198,"DEEP_BROKER_ID_OVERRIDE",BW$24,"DEEP_PERIOD_OVERRIDE",$H$19)*1,"")))</f>
        <v/>
      </c>
      <c r="BX198" t="str">
        <f>IF(OR(BX$23="",ISNA($B198)),"",IF(ISBLANK($B198),"",IFERROR(_xll.BDP(TICKER,"DEEP_MEASURE_PERIOD_BROKER_VALUE","DEEP_MEASURE_ID_OVERRIDE",$C198,"DEEP_BROKER_ID_OVERRIDE",BX$24,"DEEP_PERIOD_OVERRIDE",$H$19)*1,"")))</f>
        <v/>
      </c>
      <c r="BY198" t="str">
        <f>IF(OR(BY$23="",ISNA($B198)),"",IF(ISBLANK($B198),"",IFERROR(_xll.BDP(TICKER,"DEEP_MEASURE_PERIOD_BROKER_VALUE","DEEP_MEASURE_ID_OVERRIDE",$C198,"DEEP_BROKER_ID_OVERRIDE",BY$24,"DEEP_PERIOD_OVERRIDE",$H$19)*1,"")))</f>
        <v/>
      </c>
      <c r="BZ198" t="str">
        <f>IF(OR(BZ$23="",ISNA($B198)),"",IF(ISBLANK($B198),"",IFERROR(_xll.BDP(TICKER,"DEEP_MEASURE_PERIOD_BROKER_VALUE","DEEP_MEASURE_ID_OVERRIDE",$C198,"DEEP_BROKER_ID_OVERRIDE",BZ$24,"DEEP_PERIOD_OVERRIDE",$H$19)*1,"")))</f>
        <v/>
      </c>
    </row>
    <row r="199" spans="2:78" x14ac:dyDescent="0.25">
      <c r="B199" t="s">
        <v>206</v>
      </c>
      <c r="C199">
        <v>11271</v>
      </c>
      <c r="H199" t="str">
        <f t="shared" si="3"/>
        <v>Cash from Operations Activities &gt; Changes in Working Capital</v>
      </c>
      <c r="I199" t="str">
        <f>IF(OR(I$23="",ISNA($B199)),"",IF(ISBLANK($B199),"",IFERROR(_xll.BDP(TICKER,"DEEP_MEASURE_PERIOD_BROKER_VALUE","DEEP_MEASURE_ID_OVERRIDE",$C199,"DEEP_PERIOD_OVERRIDE",$H$19)*1,"")))</f>
        <v/>
      </c>
      <c r="J199" t="e">
        <f>IF(OR(J$23="",ISNA($B199)),"",IF(ISBLANK($B199),"",IFERROR(_xll.BDP(TICKER,"DEEP_MEASURE_PERIOD_BROKER_VALUE","DEEP_MEASURE_ID_OVERRIDE",$C199,"DEEP_BROKER_ID_OVERRIDE",J$24,"DEEP_PERIOD_OVERRIDE",$H$19)*1,"")))</f>
        <v>#REF!</v>
      </c>
      <c r="K199" t="str">
        <f>IF(OR(K$23="",ISNA($B199)),"",IF(ISBLANK($B199),"",IFERROR(_xll.BDP(TICKER,"DEEP_MEASURE_PERIOD_BROKER_VALUE","DEEP_MEASURE_ID_OVERRIDE",$C199,"DEEP_BROKER_ID_OVERRIDE",K$24,"DEEP_PERIOD_OVERRIDE",$H$19)*1,"")))</f>
        <v/>
      </c>
      <c r="L199" t="str">
        <f>IF(OR(L$23="",ISNA($B199)),"",IF(ISBLANK($B199),"",IFERROR(_xll.BDP(TICKER,"DEEP_MEASURE_PERIOD_BROKER_VALUE","DEEP_MEASURE_ID_OVERRIDE",$C199,"DEEP_BROKER_ID_OVERRIDE",L$24,"DEEP_PERIOD_OVERRIDE",$H$19)*1,"")))</f>
        <v/>
      </c>
      <c r="M199" t="str">
        <f>IF(OR(M$23="",ISNA($B199)),"",IF(ISBLANK($B199),"",IFERROR(_xll.BDP(TICKER,"DEEP_MEASURE_PERIOD_BROKER_VALUE","DEEP_MEASURE_ID_OVERRIDE",$C199,"DEEP_BROKER_ID_OVERRIDE",M$24,"DEEP_PERIOD_OVERRIDE",$H$19)*1,"")))</f>
        <v/>
      </c>
      <c r="N199" t="str">
        <f>IF(OR(N$23="",ISNA($B199)),"",IF(ISBLANK($B199),"",IFERROR(_xll.BDP(TICKER,"DEEP_MEASURE_PERIOD_BROKER_VALUE","DEEP_MEASURE_ID_OVERRIDE",$C199,"DEEP_BROKER_ID_OVERRIDE",N$24,"DEEP_PERIOD_OVERRIDE",$H$19)*1,"")))</f>
        <v/>
      </c>
      <c r="O199" t="str">
        <f>IF(OR(O$23="",ISNA($B199)),"",IF(ISBLANK($B199),"",IFERROR(_xll.BDP(TICKER,"DEEP_MEASURE_PERIOD_BROKER_VALUE","DEEP_MEASURE_ID_OVERRIDE",$C199,"DEEP_BROKER_ID_OVERRIDE",O$24,"DEEP_PERIOD_OVERRIDE",$H$19)*1,"")))</f>
        <v/>
      </c>
      <c r="P199" t="str">
        <f>IF(OR(P$23="",ISNA($B199)),"",IF(ISBLANK($B199),"",IFERROR(_xll.BDP(TICKER,"DEEP_MEASURE_PERIOD_BROKER_VALUE","DEEP_MEASURE_ID_OVERRIDE",$C199,"DEEP_BROKER_ID_OVERRIDE",P$24,"DEEP_PERIOD_OVERRIDE",$H$19)*1,"")))</f>
        <v/>
      </c>
      <c r="Q199" t="str">
        <f>IF(OR(Q$23="",ISNA($B199)),"",IF(ISBLANK($B199),"",IFERROR(_xll.BDP(TICKER,"DEEP_MEASURE_PERIOD_BROKER_VALUE","DEEP_MEASURE_ID_OVERRIDE",$C199,"DEEP_BROKER_ID_OVERRIDE",Q$24,"DEEP_PERIOD_OVERRIDE",$H$19)*1,"")))</f>
        <v/>
      </c>
      <c r="R199" t="str">
        <f>IF(OR(R$23="",ISNA($B199)),"",IF(ISBLANK($B199),"",IFERROR(_xll.BDP(TICKER,"DEEP_MEASURE_PERIOD_BROKER_VALUE","DEEP_MEASURE_ID_OVERRIDE",$C199,"DEEP_BROKER_ID_OVERRIDE",R$24,"DEEP_PERIOD_OVERRIDE",$H$19)*1,"")))</f>
        <v/>
      </c>
      <c r="S199" t="str">
        <f>IF(OR(S$23="",ISNA($B199)),"",IF(ISBLANK($B199),"",IFERROR(_xll.BDP(TICKER,"DEEP_MEASURE_PERIOD_BROKER_VALUE","DEEP_MEASURE_ID_OVERRIDE",$C199,"DEEP_BROKER_ID_OVERRIDE",S$24,"DEEP_PERIOD_OVERRIDE",$H$19)*1,"")))</f>
        <v/>
      </c>
      <c r="T199" t="str">
        <f>IF(OR(T$23="",ISNA($B199)),"",IF(ISBLANK($B199),"",IFERROR(_xll.BDP(TICKER,"DEEP_MEASURE_PERIOD_BROKER_VALUE","DEEP_MEASURE_ID_OVERRIDE",$C199,"DEEP_BROKER_ID_OVERRIDE",T$24,"DEEP_PERIOD_OVERRIDE",$H$19)*1,"")))</f>
        <v/>
      </c>
      <c r="U199" t="str">
        <f>IF(OR(U$23="",ISNA($B199)),"",IF(ISBLANK($B199),"",IFERROR(_xll.BDP(TICKER,"DEEP_MEASURE_PERIOD_BROKER_VALUE","DEEP_MEASURE_ID_OVERRIDE",$C199,"DEEP_BROKER_ID_OVERRIDE",U$24,"DEEP_PERIOD_OVERRIDE",$H$19)*1,"")))</f>
        <v/>
      </c>
      <c r="V199" t="str">
        <f>IF(OR(V$23="",ISNA($B199)),"",IF(ISBLANK($B199),"",IFERROR(_xll.BDP(TICKER,"DEEP_MEASURE_PERIOD_BROKER_VALUE","DEEP_MEASURE_ID_OVERRIDE",$C199,"DEEP_BROKER_ID_OVERRIDE",V$24,"DEEP_PERIOD_OVERRIDE",$H$19)*1,"")))</f>
        <v/>
      </c>
      <c r="W199" t="str">
        <f>IF(OR(W$23="",ISNA($B199)),"",IF(ISBLANK($B199),"",IFERROR(_xll.BDP(TICKER,"DEEP_MEASURE_PERIOD_BROKER_VALUE","DEEP_MEASURE_ID_OVERRIDE",$C199,"DEEP_BROKER_ID_OVERRIDE",W$24,"DEEP_PERIOD_OVERRIDE",$H$19)*1,"")))</f>
        <v/>
      </c>
      <c r="X199" t="str">
        <f>IF(OR(X$23="",ISNA($B199)),"",IF(ISBLANK($B199),"",IFERROR(_xll.BDP(TICKER,"DEEP_MEASURE_PERIOD_BROKER_VALUE","DEEP_MEASURE_ID_OVERRIDE",$C199,"DEEP_BROKER_ID_OVERRIDE",X$24,"DEEP_PERIOD_OVERRIDE",$H$19)*1,"")))</f>
        <v/>
      </c>
      <c r="Y199" t="str">
        <f>IF(OR(Y$23="",ISNA($B199)),"",IF(ISBLANK($B199),"",IFERROR(_xll.BDP(TICKER,"DEEP_MEASURE_PERIOD_BROKER_VALUE","DEEP_MEASURE_ID_OVERRIDE",$C199,"DEEP_BROKER_ID_OVERRIDE",Y$24,"DEEP_PERIOD_OVERRIDE",$H$19)*1,"")))</f>
        <v/>
      </c>
      <c r="Z199" t="str">
        <f>IF(OR(Z$23="",ISNA($B199)),"",IF(ISBLANK($B199),"",IFERROR(_xll.BDP(TICKER,"DEEP_MEASURE_PERIOD_BROKER_VALUE","DEEP_MEASURE_ID_OVERRIDE",$C199,"DEEP_BROKER_ID_OVERRIDE",Z$24,"DEEP_PERIOD_OVERRIDE",$H$19)*1,"")))</f>
        <v/>
      </c>
      <c r="AA199" t="str">
        <f>IF(OR(AA$23="",ISNA($B199)),"",IF(ISBLANK($B199),"",IFERROR(_xll.BDP(TICKER,"DEEP_MEASURE_PERIOD_BROKER_VALUE","DEEP_MEASURE_ID_OVERRIDE",$C199,"DEEP_BROKER_ID_OVERRIDE",AA$24,"DEEP_PERIOD_OVERRIDE",$H$19)*1,"")))</f>
        <v/>
      </c>
      <c r="AB199" t="str">
        <f>IF(OR(AB$23="",ISNA($B199)),"",IF(ISBLANK($B199),"",IFERROR(_xll.BDP(TICKER,"DEEP_MEASURE_PERIOD_BROKER_VALUE","DEEP_MEASURE_ID_OVERRIDE",$C199,"DEEP_BROKER_ID_OVERRIDE",AB$24,"DEEP_PERIOD_OVERRIDE",$H$19)*1,"")))</f>
        <v/>
      </c>
      <c r="AC199" t="str">
        <f>IF(OR(AC$23="",ISNA($B199)),"",IF(ISBLANK($B199),"",IFERROR(_xll.BDP(TICKER,"DEEP_MEASURE_PERIOD_BROKER_VALUE","DEEP_MEASURE_ID_OVERRIDE",$C199,"DEEP_BROKER_ID_OVERRIDE",AC$24,"DEEP_PERIOD_OVERRIDE",$H$19)*1,"")))</f>
        <v/>
      </c>
      <c r="AD199" t="str">
        <f>IF(OR(AD$23="",ISNA($B199)),"",IF(ISBLANK($B199),"",IFERROR(_xll.BDP(TICKER,"DEEP_MEASURE_PERIOD_BROKER_VALUE","DEEP_MEASURE_ID_OVERRIDE",$C199,"DEEP_BROKER_ID_OVERRIDE",AD$24,"DEEP_PERIOD_OVERRIDE",$H$19)*1,"")))</f>
        <v/>
      </c>
      <c r="AE199" t="str">
        <f>IF(OR(AE$23="",ISNA($B199)),"",IF(ISBLANK($B199),"",IFERROR(_xll.BDP(TICKER,"DEEP_MEASURE_PERIOD_BROKER_VALUE","DEEP_MEASURE_ID_OVERRIDE",$C199,"DEEP_BROKER_ID_OVERRIDE",AE$24,"DEEP_PERIOD_OVERRIDE",$H$19)*1,"")))</f>
        <v/>
      </c>
      <c r="AF199" t="str">
        <f>IF(OR(AF$23="",ISNA($B199)),"",IF(ISBLANK($B199),"",IFERROR(_xll.BDP(TICKER,"DEEP_MEASURE_PERIOD_BROKER_VALUE","DEEP_MEASURE_ID_OVERRIDE",$C199,"DEEP_BROKER_ID_OVERRIDE",AF$24,"DEEP_PERIOD_OVERRIDE",$H$19)*1,"")))</f>
        <v/>
      </c>
      <c r="AG199" t="str">
        <f>IF(OR(AG$23="",ISNA($B199)),"",IF(ISBLANK($B199),"",IFERROR(_xll.BDP(TICKER,"DEEP_MEASURE_PERIOD_BROKER_VALUE","DEEP_MEASURE_ID_OVERRIDE",$C199,"DEEP_BROKER_ID_OVERRIDE",AG$24,"DEEP_PERIOD_OVERRIDE",$H$19)*1,"")))</f>
        <v/>
      </c>
      <c r="AH199" t="str">
        <f>IF(OR(AH$23="",ISNA($B199)),"",IF(ISBLANK($B199),"",IFERROR(_xll.BDP(TICKER,"DEEP_MEASURE_PERIOD_BROKER_VALUE","DEEP_MEASURE_ID_OVERRIDE",$C199,"DEEP_BROKER_ID_OVERRIDE",AH$24,"DEEP_PERIOD_OVERRIDE",$H$19)*1,"")))</f>
        <v/>
      </c>
      <c r="AI199" t="str">
        <f>IF(OR(AI$23="",ISNA($B199)),"",IF(ISBLANK($B199),"",IFERROR(_xll.BDP(TICKER,"DEEP_MEASURE_PERIOD_BROKER_VALUE","DEEP_MEASURE_ID_OVERRIDE",$C199,"DEEP_BROKER_ID_OVERRIDE",AI$24,"DEEP_PERIOD_OVERRIDE",$H$19)*1,"")))</f>
        <v/>
      </c>
      <c r="AJ199" t="str">
        <f>IF(OR(AJ$23="",ISNA($B199)),"",IF(ISBLANK($B199),"",IFERROR(_xll.BDP(TICKER,"DEEP_MEASURE_PERIOD_BROKER_VALUE","DEEP_MEASURE_ID_OVERRIDE",$C199,"DEEP_BROKER_ID_OVERRIDE",AJ$24,"DEEP_PERIOD_OVERRIDE",$H$19)*1,"")))</f>
        <v/>
      </c>
      <c r="AK199" t="str">
        <f>IF(OR(AK$23="",ISNA($B199)),"",IF(ISBLANK($B199),"",IFERROR(_xll.BDP(TICKER,"DEEP_MEASURE_PERIOD_BROKER_VALUE","DEEP_MEASURE_ID_OVERRIDE",$C199,"DEEP_BROKER_ID_OVERRIDE",AK$24,"DEEP_PERIOD_OVERRIDE",$H$19)*1,"")))</f>
        <v/>
      </c>
      <c r="AL199" t="str">
        <f>IF(OR(AL$23="",ISNA($B199)),"",IF(ISBLANK($B199),"",IFERROR(_xll.BDP(TICKER,"DEEP_MEASURE_PERIOD_BROKER_VALUE","DEEP_MEASURE_ID_OVERRIDE",$C199,"DEEP_BROKER_ID_OVERRIDE",AL$24,"DEEP_PERIOD_OVERRIDE",$H$19)*1,"")))</f>
        <v/>
      </c>
      <c r="AM199" t="str">
        <f>IF(OR(AM$23="",ISNA($B199)),"",IF(ISBLANK($B199),"",IFERROR(_xll.BDP(TICKER,"DEEP_MEASURE_PERIOD_BROKER_VALUE","DEEP_MEASURE_ID_OVERRIDE",$C199,"DEEP_BROKER_ID_OVERRIDE",AM$24,"DEEP_PERIOD_OVERRIDE",$H$19)*1,"")))</f>
        <v/>
      </c>
      <c r="AN199" t="str">
        <f>IF(OR(AN$23="",ISNA($B199)),"",IF(ISBLANK($B199),"",IFERROR(_xll.BDP(TICKER,"DEEP_MEASURE_PERIOD_BROKER_VALUE","DEEP_MEASURE_ID_OVERRIDE",$C199,"DEEP_BROKER_ID_OVERRIDE",AN$24,"DEEP_PERIOD_OVERRIDE",$H$19)*1,"")))</f>
        <v/>
      </c>
      <c r="AO199" t="str">
        <f>IF(OR(AO$23="",ISNA($B199)),"",IF(ISBLANK($B199),"",IFERROR(_xll.BDP(TICKER,"DEEP_MEASURE_PERIOD_BROKER_VALUE","DEEP_MEASURE_ID_OVERRIDE",$C199,"DEEP_BROKER_ID_OVERRIDE",AO$24,"DEEP_PERIOD_OVERRIDE",$H$19)*1,"")))</f>
        <v/>
      </c>
      <c r="AP199" t="str">
        <f>IF(OR(AP$23="",ISNA($B199)),"",IF(ISBLANK($B199),"",IFERROR(_xll.BDP(TICKER,"DEEP_MEASURE_PERIOD_BROKER_VALUE","DEEP_MEASURE_ID_OVERRIDE",$C199,"DEEP_BROKER_ID_OVERRIDE",AP$24,"DEEP_PERIOD_OVERRIDE",$H$19)*1,"")))</f>
        <v/>
      </c>
      <c r="AQ199" t="str">
        <f>IF(OR(AQ$23="",ISNA($B199)),"",IF(ISBLANK($B199),"",IFERROR(_xll.BDP(TICKER,"DEEP_MEASURE_PERIOD_BROKER_VALUE","DEEP_MEASURE_ID_OVERRIDE",$C199,"DEEP_BROKER_ID_OVERRIDE",AQ$24,"DEEP_PERIOD_OVERRIDE",$H$19)*1,"")))</f>
        <v/>
      </c>
      <c r="AR199" t="str">
        <f>IF(OR(AR$23="",ISNA($B199)),"",IF(ISBLANK($B199),"",IFERROR(_xll.BDP(TICKER,"DEEP_MEASURE_PERIOD_BROKER_VALUE","DEEP_MEASURE_ID_OVERRIDE",$C199,"DEEP_BROKER_ID_OVERRIDE",AR$24,"DEEP_PERIOD_OVERRIDE",$H$19)*1,"")))</f>
        <v/>
      </c>
      <c r="AS199" t="str">
        <f>IF(OR(AS$23="",ISNA($B199)),"",IF(ISBLANK($B199),"",IFERROR(_xll.BDP(TICKER,"DEEP_MEASURE_PERIOD_BROKER_VALUE","DEEP_MEASURE_ID_OVERRIDE",$C199,"DEEP_BROKER_ID_OVERRIDE",AS$24,"DEEP_PERIOD_OVERRIDE",$H$19)*1,"")))</f>
        <v/>
      </c>
      <c r="AT199" t="str">
        <f>IF(OR(AT$23="",ISNA($B199)),"",IF(ISBLANK($B199),"",IFERROR(_xll.BDP(TICKER,"DEEP_MEASURE_PERIOD_BROKER_VALUE","DEEP_MEASURE_ID_OVERRIDE",$C199,"DEEP_BROKER_ID_OVERRIDE",AT$24,"DEEP_PERIOD_OVERRIDE",$H$19)*1,"")))</f>
        <v/>
      </c>
      <c r="AU199" t="str">
        <f>IF(OR(AU$23="",ISNA($B199)),"",IF(ISBLANK($B199),"",IFERROR(_xll.BDP(TICKER,"DEEP_MEASURE_PERIOD_BROKER_VALUE","DEEP_MEASURE_ID_OVERRIDE",$C199,"DEEP_BROKER_ID_OVERRIDE",AU$24,"DEEP_PERIOD_OVERRIDE",$H$19)*1,"")))</f>
        <v/>
      </c>
      <c r="AV199" t="str">
        <f>IF(OR(AV$23="",ISNA($B199)),"",IF(ISBLANK($B199),"",IFERROR(_xll.BDP(TICKER,"DEEP_MEASURE_PERIOD_BROKER_VALUE","DEEP_MEASURE_ID_OVERRIDE",$C199,"DEEP_BROKER_ID_OVERRIDE",AV$24,"DEEP_PERIOD_OVERRIDE",$H$19)*1,"")))</f>
        <v/>
      </c>
      <c r="AW199" t="str">
        <f>IF(OR(AW$23="",ISNA($B199)),"",IF(ISBLANK($B199),"",IFERROR(_xll.BDP(TICKER,"DEEP_MEASURE_PERIOD_BROKER_VALUE","DEEP_MEASURE_ID_OVERRIDE",$C199,"DEEP_BROKER_ID_OVERRIDE",AW$24,"DEEP_PERIOD_OVERRIDE",$H$19)*1,"")))</f>
        <v/>
      </c>
      <c r="AX199" t="str">
        <f>IF(OR(AX$23="",ISNA($B199)),"",IF(ISBLANK($B199),"",IFERROR(_xll.BDP(TICKER,"DEEP_MEASURE_PERIOD_BROKER_VALUE","DEEP_MEASURE_ID_OVERRIDE",$C199,"DEEP_BROKER_ID_OVERRIDE",AX$24,"DEEP_PERIOD_OVERRIDE",$H$19)*1,"")))</f>
        <v/>
      </c>
      <c r="AY199" t="str">
        <f>IF(OR(AY$23="",ISNA($B199)),"",IF(ISBLANK($B199),"",IFERROR(_xll.BDP(TICKER,"DEEP_MEASURE_PERIOD_BROKER_VALUE","DEEP_MEASURE_ID_OVERRIDE",$C199,"DEEP_BROKER_ID_OVERRIDE",AY$24,"DEEP_PERIOD_OVERRIDE",$H$19)*1,"")))</f>
        <v/>
      </c>
      <c r="AZ199" t="str">
        <f>IF(OR(AZ$23="",ISNA($B199)),"",IF(ISBLANK($B199),"",IFERROR(_xll.BDP(TICKER,"DEEP_MEASURE_PERIOD_BROKER_VALUE","DEEP_MEASURE_ID_OVERRIDE",$C199,"DEEP_BROKER_ID_OVERRIDE",AZ$24,"DEEP_PERIOD_OVERRIDE",$H$19)*1,"")))</f>
        <v/>
      </c>
      <c r="BA199" t="str">
        <f>IF(OR(BA$23="",ISNA($B199)),"",IF(ISBLANK($B199),"",IFERROR(_xll.BDP(TICKER,"DEEP_MEASURE_PERIOD_BROKER_VALUE","DEEP_MEASURE_ID_OVERRIDE",$C199,"DEEP_BROKER_ID_OVERRIDE",BA$24,"DEEP_PERIOD_OVERRIDE",$H$19)*1,"")))</f>
        <v/>
      </c>
      <c r="BB199" t="str">
        <f>IF(OR(BB$23="",ISNA($B199)),"",IF(ISBLANK($B199),"",IFERROR(_xll.BDP(TICKER,"DEEP_MEASURE_PERIOD_BROKER_VALUE","DEEP_MEASURE_ID_OVERRIDE",$C199,"DEEP_BROKER_ID_OVERRIDE",BB$24,"DEEP_PERIOD_OVERRIDE",$H$19)*1,"")))</f>
        <v/>
      </c>
      <c r="BC199" t="str">
        <f>IF(OR(BC$23="",ISNA($B199)),"",IF(ISBLANK($B199),"",IFERROR(_xll.BDP(TICKER,"DEEP_MEASURE_PERIOD_BROKER_VALUE","DEEP_MEASURE_ID_OVERRIDE",$C199,"DEEP_BROKER_ID_OVERRIDE",BC$24,"DEEP_PERIOD_OVERRIDE",$H$19)*1,"")))</f>
        <v/>
      </c>
      <c r="BD199" t="str">
        <f>IF(OR(BD$23="",ISNA($B199)),"",IF(ISBLANK($B199),"",IFERROR(_xll.BDP(TICKER,"DEEP_MEASURE_PERIOD_BROKER_VALUE","DEEP_MEASURE_ID_OVERRIDE",$C199,"DEEP_BROKER_ID_OVERRIDE",BD$24,"DEEP_PERIOD_OVERRIDE",$H$19)*1,"")))</f>
        <v/>
      </c>
      <c r="BE199" t="str">
        <f>IF(OR(BE$23="",ISNA($B199)),"",IF(ISBLANK($B199),"",IFERROR(_xll.BDP(TICKER,"DEEP_MEASURE_PERIOD_BROKER_VALUE","DEEP_MEASURE_ID_OVERRIDE",$C199,"DEEP_BROKER_ID_OVERRIDE",BE$24,"DEEP_PERIOD_OVERRIDE",$H$19)*1,"")))</f>
        <v/>
      </c>
      <c r="BF199" t="str">
        <f>IF(OR(BF$23="",ISNA($B199)),"",IF(ISBLANK($B199),"",IFERROR(_xll.BDP(TICKER,"DEEP_MEASURE_PERIOD_BROKER_VALUE","DEEP_MEASURE_ID_OVERRIDE",$C199,"DEEP_BROKER_ID_OVERRIDE",BF$24,"DEEP_PERIOD_OVERRIDE",$H$19)*1,"")))</f>
        <v/>
      </c>
      <c r="BG199" t="str">
        <f>IF(OR(BG$23="",ISNA($B199)),"",IF(ISBLANK($B199),"",IFERROR(_xll.BDP(TICKER,"DEEP_MEASURE_PERIOD_BROKER_VALUE","DEEP_MEASURE_ID_OVERRIDE",$C199,"DEEP_BROKER_ID_OVERRIDE",BG$24,"DEEP_PERIOD_OVERRIDE",$H$19)*1,"")))</f>
        <v/>
      </c>
      <c r="BH199" t="str">
        <f>IF(OR(BH$23="",ISNA($B199)),"",IF(ISBLANK($B199),"",IFERROR(_xll.BDP(TICKER,"DEEP_MEASURE_PERIOD_BROKER_VALUE","DEEP_MEASURE_ID_OVERRIDE",$C199,"DEEP_BROKER_ID_OVERRIDE",BH$24,"DEEP_PERIOD_OVERRIDE",$H$19)*1,"")))</f>
        <v/>
      </c>
      <c r="BI199" t="str">
        <f>IF(OR(BI$23="",ISNA($B199)),"",IF(ISBLANK($B199),"",IFERROR(_xll.BDP(TICKER,"DEEP_MEASURE_PERIOD_BROKER_VALUE","DEEP_MEASURE_ID_OVERRIDE",$C199,"DEEP_BROKER_ID_OVERRIDE",BI$24,"DEEP_PERIOD_OVERRIDE",$H$19)*1,"")))</f>
        <v/>
      </c>
      <c r="BJ199" t="str">
        <f>IF(OR(BJ$23="",ISNA($B199)),"",IF(ISBLANK($B199),"",IFERROR(_xll.BDP(TICKER,"DEEP_MEASURE_PERIOD_BROKER_VALUE","DEEP_MEASURE_ID_OVERRIDE",$C199,"DEEP_BROKER_ID_OVERRIDE",BJ$24,"DEEP_PERIOD_OVERRIDE",$H$19)*1,"")))</f>
        <v/>
      </c>
      <c r="BK199" t="str">
        <f>IF(OR(BK$23="",ISNA($B199)),"",IF(ISBLANK($B199),"",IFERROR(_xll.BDP(TICKER,"DEEP_MEASURE_PERIOD_BROKER_VALUE","DEEP_MEASURE_ID_OVERRIDE",$C199,"DEEP_BROKER_ID_OVERRIDE",BK$24,"DEEP_PERIOD_OVERRIDE",$H$19)*1,"")))</f>
        <v/>
      </c>
      <c r="BL199" t="str">
        <f>IF(OR(BL$23="",ISNA($B199)),"",IF(ISBLANK($B199),"",IFERROR(_xll.BDP(TICKER,"DEEP_MEASURE_PERIOD_BROKER_VALUE","DEEP_MEASURE_ID_OVERRIDE",$C199,"DEEP_BROKER_ID_OVERRIDE",BL$24,"DEEP_PERIOD_OVERRIDE",$H$19)*1,"")))</f>
        <v/>
      </c>
      <c r="BM199" t="str">
        <f>IF(OR(BM$23="",ISNA($B199)),"",IF(ISBLANK($B199),"",IFERROR(_xll.BDP(TICKER,"DEEP_MEASURE_PERIOD_BROKER_VALUE","DEEP_MEASURE_ID_OVERRIDE",$C199,"DEEP_BROKER_ID_OVERRIDE",BM$24,"DEEP_PERIOD_OVERRIDE",$H$19)*1,"")))</f>
        <v/>
      </c>
      <c r="BN199" t="str">
        <f>IF(OR(BN$23="",ISNA($B199)),"",IF(ISBLANK($B199),"",IFERROR(_xll.BDP(TICKER,"DEEP_MEASURE_PERIOD_BROKER_VALUE","DEEP_MEASURE_ID_OVERRIDE",$C199,"DEEP_BROKER_ID_OVERRIDE",BN$24,"DEEP_PERIOD_OVERRIDE",$H$19)*1,"")))</f>
        <v/>
      </c>
      <c r="BO199" t="str">
        <f>IF(OR(BO$23="",ISNA($B199)),"",IF(ISBLANK($B199),"",IFERROR(_xll.BDP(TICKER,"DEEP_MEASURE_PERIOD_BROKER_VALUE","DEEP_MEASURE_ID_OVERRIDE",$C199,"DEEP_BROKER_ID_OVERRIDE",BO$24,"DEEP_PERIOD_OVERRIDE",$H$19)*1,"")))</f>
        <v/>
      </c>
      <c r="BP199" t="str">
        <f>IF(OR(BP$23="",ISNA($B199)),"",IF(ISBLANK($B199),"",IFERROR(_xll.BDP(TICKER,"DEEP_MEASURE_PERIOD_BROKER_VALUE","DEEP_MEASURE_ID_OVERRIDE",$C199,"DEEP_BROKER_ID_OVERRIDE",BP$24,"DEEP_PERIOD_OVERRIDE",$H$19)*1,"")))</f>
        <v/>
      </c>
      <c r="BQ199" t="str">
        <f>IF(OR(BQ$23="",ISNA($B199)),"",IF(ISBLANK($B199),"",IFERROR(_xll.BDP(TICKER,"DEEP_MEASURE_PERIOD_BROKER_VALUE","DEEP_MEASURE_ID_OVERRIDE",$C199,"DEEP_BROKER_ID_OVERRIDE",BQ$24,"DEEP_PERIOD_OVERRIDE",$H$19)*1,"")))</f>
        <v/>
      </c>
      <c r="BR199" t="str">
        <f>IF(OR(BR$23="",ISNA($B199)),"",IF(ISBLANK($B199),"",IFERROR(_xll.BDP(TICKER,"DEEP_MEASURE_PERIOD_BROKER_VALUE","DEEP_MEASURE_ID_OVERRIDE",$C199,"DEEP_BROKER_ID_OVERRIDE",BR$24,"DEEP_PERIOD_OVERRIDE",$H$19)*1,"")))</f>
        <v/>
      </c>
      <c r="BS199" t="str">
        <f>IF(OR(BS$23="",ISNA($B199)),"",IF(ISBLANK($B199),"",IFERROR(_xll.BDP(TICKER,"DEEP_MEASURE_PERIOD_BROKER_VALUE","DEEP_MEASURE_ID_OVERRIDE",$C199,"DEEP_BROKER_ID_OVERRIDE",BS$24,"DEEP_PERIOD_OVERRIDE",$H$19)*1,"")))</f>
        <v/>
      </c>
      <c r="BT199" t="str">
        <f>IF(OR(BT$23="",ISNA($B199)),"",IF(ISBLANK($B199),"",IFERROR(_xll.BDP(TICKER,"DEEP_MEASURE_PERIOD_BROKER_VALUE","DEEP_MEASURE_ID_OVERRIDE",$C199,"DEEP_BROKER_ID_OVERRIDE",BT$24,"DEEP_PERIOD_OVERRIDE",$H$19)*1,"")))</f>
        <v/>
      </c>
      <c r="BU199" t="str">
        <f>IF(OR(BU$23="",ISNA($B199)),"",IF(ISBLANK($B199),"",IFERROR(_xll.BDP(TICKER,"DEEP_MEASURE_PERIOD_BROKER_VALUE","DEEP_MEASURE_ID_OVERRIDE",$C199,"DEEP_BROKER_ID_OVERRIDE",BU$24,"DEEP_PERIOD_OVERRIDE",$H$19)*1,"")))</f>
        <v/>
      </c>
      <c r="BV199" t="str">
        <f>IF(OR(BV$23="",ISNA($B199)),"",IF(ISBLANK($B199),"",IFERROR(_xll.BDP(TICKER,"DEEP_MEASURE_PERIOD_BROKER_VALUE","DEEP_MEASURE_ID_OVERRIDE",$C199,"DEEP_BROKER_ID_OVERRIDE",BV$24,"DEEP_PERIOD_OVERRIDE",$H$19)*1,"")))</f>
        <v/>
      </c>
      <c r="BW199" t="str">
        <f>IF(OR(BW$23="",ISNA($B199)),"",IF(ISBLANK($B199),"",IFERROR(_xll.BDP(TICKER,"DEEP_MEASURE_PERIOD_BROKER_VALUE","DEEP_MEASURE_ID_OVERRIDE",$C199,"DEEP_BROKER_ID_OVERRIDE",BW$24,"DEEP_PERIOD_OVERRIDE",$H$19)*1,"")))</f>
        <v/>
      </c>
      <c r="BX199" t="str">
        <f>IF(OR(BX$23="",ISNA($B199)),"",IF(ISBLANK($B199),"",IFERROR(_xll.BDP(TICKER,"DEEP_MEASURE_PERIOD_BROKER_VALUE","DEEP_MEASURE_ID_OVERRIDE",$C199,"DEEP_BROKER_ID_OVERRIDE",BX$24,"DEEP_PERIOD_OVERRIDE",$H$19)*1,"")))</f>
        <v/>
      </c>
      <c r="BY199" t="str">
        <f>IF(OR(BY$23="",ISNA($B199)),"",IF(ISBLANK($B199),"",IFERROR(_xll.BDP(TICKER,"DEEP_MEASURE_PERIOD_BROKER_VALUE","DEEP_MEASURE_ID_OVERRIDE",$C199,"DEEP_BROKER_ID_OVERRIDE",BY$24,"DEEP_PERIOD_OVERRIDE",$H$19)*1,"")))</f>
        <v/>
      </c>
      <c r="BZ199" t="str">
        <f>IF(OR(BZ$23="",ISNA($B199)),"",IF(ISBLANK($B199),"",IFERROR(_xll.BDP(TICKER,"DEEP_MEASURE_PERIOD_BROKER_VALUE","DEEP_MEASURE_ID_OVERRIDE",$C199,"DEEP_BROKER_ID_OVERRIDE",BZ$24,"DEEP_PERIOD_OVERRIDE",$H$19)*1,"")))</f>
        <v/>
      </c>
    </row>
    <row r="200" spans="2:78" x14ac:dyDescent="0.25">
      <c r="B200" t="s">
        <v>207</v>
      </c>
      <c r="C200">
        <v>1858</v>
      </c>
      <c r="H200" t="str">
        <f t="shared" si="3"/>
        <v>Cash from Operations Activities &gt; Changes in Working Capital &gt; Accounts Receivable</v>
      </c>
      <c r="I200" t="str">
        <f>IF(OR(I$23="",ISNA($B200)),"",IF(ISBLANK($B200),"",IFERROR(_xll.BDP(TICKER,"DEEP_MEASURE_PERIOD_BROKER_VALUE","DEEP_MEASURE_ID_OVERRIDE",$C200,"DEEP_PERIOD_OVERRIDE",$H$19)*1,"")))</f>
        <v/>
      </c>
      <c r="J200" t="e">
        <f>IF(OR(J$23="",ISNA($B200)),"",IF(ISBLANK($B200),"",IFERROR(_xll.BDP(TICKER,"DEEP_MEASURE_PERIOD_BROKER_VALUE","DEEP_MEASURE_ID_OVERRIDE",$C200,"DEEP_BROKER_ID_OVERRIDE",J$24,"DEEP_PERIOD_OVERRIDE",$H$19)*1,"")))</f>
        <v>#REF!</v>
      </c>
      <c r="K200" t="str">
        <f>IF(OR(K$23="",ISNA($B200)),"",IF(ISBLANK($B200),"",IFERROR(_xll.BDP(TICKER,"DEEP_MEASURE_PERIOD_BROKER_VALUE","DEEP_MEASURE_ID_OVERRIDE",$C200,"DEEP_BROKER_ID_OVERRIDE",K$24,"DEEP_PERIOD_OVERRIDE",$H$19)*1,"")))</f>
        <v/>
      </c>
      <c r="L200" t="str">
        <f>IF(OR(L$23="",ISNA($B200)),"",IF(ISBLANK($B200),"",IFERROR(_xll.BDP(TICKER,"DEEP_MEASURE_PERIOD_BROKER_VALUE","DEEP_MEASURE_ID_OVERRIDE",$C200,"DEEP_BROKER_ID_OVERRIDE",L$24,"DEEP_PERIOD_OVERRIDE",$H$19)*1,"")))</f>
        <v/>
      </c>
      <c r="M200" t="str">
        <f>IF(OR(M$23="",ISNA($B200)),"",IF(ISBLANK($B200),"",IFERROR(_xll.BDP(TICKER,"DEEP_MEASURE_PERIOD_BROKER_VALUE","DEEP_MEASURE_ID_OVERRIDE",$C200,"DEEP_BROKER_ID_OVERRIDE",M$24,"DEEP_PERIOD_OVERRIDE",$H$19)*1,"")))</f>
        <v/>
      </c>
      <c r="N200" t="str">
        <f>IF(OR(N$23="",ISNA($B200)),"",IF(ISBLANK($B200),"",IFERROR(_xll.BDP(TICKER,"DEEP_MEASURE_PERIOD_BROKER_VALUE","DEEP_MEASURE_ID_OVERRIDE",$C200,"DEEP_BROKER_ID_OVERRIDE",N$24,"DEEP_PERIOD_OVERRIDE",$H$19)*1,"")))</f>
        <v/>
      </c>
      <c r="O200" t="str">
        <f>IF(OR(O$23="",ISNA($B200)),"",IF(ISBLANK($B200),"",IFERROR(_xll.BDP(TICKER,"DEEP_MEASURE_PERIOD_BROKER_VALUE","DEEP_MEASURE_ID_OVERRIDE",$C200,"DEEP_BROKER_ID_OVERRIDE",O$24,"DEEP_PERIOD_OVERRIDE",$H$19)*1,"")))</f>
        <v/>
      </c>
      <c r="P200" t="str">
        <f>IF(OR(P$23="",ISNA($B200)),"",IF(ISBLANK($B200),"",IFERROR(_xll.BDP(TICKER,"DEEP_MEASURE_PERIOD_BROKER_VALUE","DEEP_MEASURE_ID_OVERRIDE",$C200,"DEEP_BROKER_ID_OVERRIDE",P$24,"DEEP_PERIOD_OVERRIDE",$H$19)*1,"")))</f>
        <v/>
      </c>
      <c r="Q200" t="str">
        <f>IF(OR(Q$23="",ISNA($B200)),"",IF(ISBLANK($B200),"",IFERROR(_xll.BDP(TICKER,"DEEP_MEASURE_PERIOD_BROKER_VALUE","DEEP_MEASURE_ID_OVERRIDE",$C200,"DEEP_BROKER_ID_OVERRIDE",Q$24,"DEEP_PERIOD_OVERRIDE",$H$19)*1,"")))</f>
        <v/>
      </c>
      <c r="R200" t="str">
        <f>IF(OR(R$23="",ISNA($B200)),"",IF(ISBLANK($B200),"",IFERROR(_xll.BDP(TICKER,"DEEP_MEASURE_PERIOD_BROKER_VALUE","DEEP_MEASURE_ID_OVERRIDE",$C200,"DEEP_BROKER_ID_OVERRIDE",R$24,"DEEP_PERIOD_OVERRIDE",$H$19)*1,"")))</f>
        <v/>
      </c>
      <c r="S200" t="str">
        <f>IF(OR(S$23="",ISNA($B200)),"",IF(ISBLANK($B200),"",IFERROR(_xll.BDP(TICKER,"DEEP_MEASURE_PERIOD_BROKER_VALUE","DEEP_MEASURE_ID_OVERRIDE",$C200,"DEEP_BROKER_ID_OVERRIDE",S$24,"DEEP_PERIOD_OVERRIDE",$H$19)*1,"")))</f>
        <v/>
      </c>
      <c r="T200" t="str">
        <f>IF(OR(T$23="",ISNA($B200)),"",IF(ISBLANK($B200),"",IFERROR(_xll.BDP(TICKER,"DEEP_MEASURE_PERIOD_BROKER_VALUE","DEEP_MEASURE_ID_OVERRIDE",$C200,"DEEP_BROKER_ID_OVERRIDE",T$24,"DEEP_PERIOD_OVERRIDE",$H$19)*1,"")))</f>
        <v/>
      </c>
      <c r="U200" t="str">
        <f>IF(OR(U$23="",ISNA($B200)),"",IF(ISBLANK($B200),"",IFERROR(_xll.BDP(TICKER,"DEEP_MEASURE_PERIOD_BROKER_VALUE","DEEP_MEASURE_ID_OVERRIDE",$C200,"DEEP_BROKER_ID_OVERRIDE",U$24,"DEEP_PERIOD_OVERRIDE",$H$19)*1,"")))</f>
        <v/>
      </c>
      <c r="V200" t="str">
        <f>IF(OR(V$23="",ISNA($B200)),"",IF(ISBLANK($B200),"",IFERROR(_xll.BDP(TICKER,"DEEP_MEASURE_PERIOD_BROKER_VALUE","DEEP_MEASURE_ID_OVERRIDE",$C200,"DEEP_BROKER_ID_OVERRIDE",V$24,"DEEP_PERIOD_OVERRIDE",$H$19)*1,"")))</f>
        <v/>
      </c>
      <c r="W200" t="str">
        <f>IF(OR(W$23="",ISNA($B200)),"",IF(ISBLANK($B200),"",IFERROR(_xll.BDP(TICKER,"DEEP_MEASURE_PERIOD_BROKER_VALUE","DEEP_MEASURE_ID_OVERRIDE",$C200,"DEEP_BROKER_ID_OVERRIDE",W$24,"DEEP_PERIOD_OVERRIDE",$H$19)*1,"")))</f>
        <v/>
      </c>
      <c r="X200" t="str">
        <f>IF(OR(X$23="",ISNA($B200)),"",IF(ISBLANK($B200),"",IFERROR(_xll.BDP(TICKER,"DEEP_MEASURE_PERIOD_BROKER_VALUE","DEEP_MEASURE_ID_OVERRIDE",$C200,"DEEP_BROKER_ID_OVERRIDE",X$24,"DEEP_PERIOD_OVERRIDE",$H$19)*1,"")))</f>
        <v/>
      </c>
      <c r="Y200" t="str">
        <f>IF(OR(Y$23="",ISNA($B200)),"",IF(ISBLANK($B200),"",IFERROR(_xll.BDP(TICKER,"DEEP_MEASURE_PERIOD_BROKER_VALUE","DEEP_MEASURE_ID_OVERRIDE",$C200,"DEEP_BROKER_ID_OVERRIDE",Y$24,"DEEP_PERIOD_OVERRIDE",$H$19)*1,"")))</f>
        <v/>
      </c>
      <c r="Z200" t="str">
        <f>IF(OR(Z$23="",ISNA($B200)),"",IF(ISBLANK($B200),"",IFERROR(_xll.BDP(TICKER,"DEEP_MEASURE_PERIOD_BROKER_VALUE","DEEP_MEASURE_ID_OVERRIDE",$C200,"DEEP_BROKER_ID_OVERRIDE",Z$24,"DEEP_PERIOD_OVERRIDE",$H$19)*1,"")))</f>
        <v/>
      </c>
      <c r="AA200" t="str">
        <f>IF(OR(AA$23="",ISNA($B200)),"",IF(ISBLANK($B200),"",IFERROR(_xll.BDP(TICKER,"DEEP_MEASURE_PERIOD_BROKER_VALUE","DEEP_MEASURE_ID_OVERRIDE",$C200,"DEEP_BROKER_ID_OVERRIDE",AA$24,"DEEP_PERIOD_OVERRIDE",$H$19)*1,"")))</f>
        <v/>
      </c>
      <c r="AB200" t="str">
        <f>IF(OR(AB$23="",ISNA($B200)),"",IF(ISBLANK($B200),"",IFERROR(_xll.BDP(TICKER,"DEEP_MEASURE_PERIOD_BROKER_VALUE","DEEP_MEASURE_ID_OVERRIDE",$C200,"DEEP_BROKER_ID_OVERRIDE",AB$24,"DEEP_PERIOD_OVERRIDE",$H$19)*1,"")))</f>
        <v/>
      </c>
      <c r="AC200" t="str">
        <f>IF(OR(AC$23="",ISNA($B200)),"",IF(ISBLANK($B200),"",IFERROR(_xll.BDP(TICKER,"DEEP_MEASURE_PERIOD_BROKER_VALUE","DEEP_MEASURE_ID_OVERRIDE",$C200,"DEEP_BROKER_ID_OVERRIDE",AC$24,"DEEP_PERIOD_OVERRIDE",$H$19)*1,"")))</f>
        <v/>
      </c>
      <c r="AD200" t="str">
        <f>IF(OR(AD$23="",ISNA($B200)),"",IF(ISBLANK($B200),"",IFERROR(_xll.BDP(TICKER,"DEEP_MEASURE_PERIOD_BROKER_VALUE","DEEP_MEASURE_ID_OVERRIDE",$C200,"DEEP_BROKER_ID_OVERRIDE",AD$24,"DEEP_PERIOD_OVERRIDE",$H$19)*1,"")))</f>
        <v/>
      </c>
      <c r="AE200" t="str">
        <f>IF(OR(AE$23="",ISNA($B200)),"",IF(ISBLANK($B200),"",IFERROR(_xll.BDP(TICKER,"DEEP_MEASURE_PERIOD_BROKER_VALUE","DEEP_MEASURE_ID_OVERRIDE",$C200,"DEEP_BROKER_ID_OVERRIDE",AE$24,"DEEP_PERIOD_OVERRIDE",$H$19)*1,"")))</f>
        <v/>
      </c>
      <c r="AF200" t="str">
        <f>IF(OR(AF$23="",ISNA($B200)),"",IF(ISBLANK($B200),"",IFERROR(_xll.BDP(TICKER,"DEEP_MEASURE_PERIOD_BROKER_VALUE","DEEP_MEASURE_ID_OVERRIDE",$C200,"DEEP_BROKER_ID_OVERRIDE",AF$24,"DEEP_PERIOD_OVERRIDE",$H$19)*1,"")))</f>
        <v/>
      </c>
      <c r="AG200" t="str">
        <f>IF(OR(AG$23="",ISNA($B200)),"",IF(ISBLANK($B200),"",IFERROR(_xll.BDP(TICKER,"DEEP_MEASURE_PERIOD_BROKER_VALUE","DEEP_MEASURE_ID_OVERRIDE",$C200,"DEEP_BROKER_ID_OVERRIDE",AG$24,"DEEP_PERIOD_OVERRIDE",$H$19)*1,"")))</f>
        <v/>
      </c>
      <c r="AH200" t="str">
        <f>IF(OR(AH$23="",ISNA($B200)),"",IF(ISBLANK($B200),"",IFERROR(_xll.BDP(TICKER,"DEEP_MEASURE_PERIOD_BROKER_VALUE","DEEP_MEASURE_ID_OVERRIDE",$C200,"DEEP_BROKER_ID_OVERRIDE",AH$24,"DEEP_PERIOD_OVERRIDE",$H$19)*1,"")))</f>
        <v/>
      </c>
      <c r="AI200" t="str">
        <f>IF(OR(AI$23="",ISNA($B200)),"",IF(ISBLANK($B200),"",IFERROR(_xll.BDP(TICKER,"DEEP_MEASURE_PERIOD_BROKER_VALUE","DEEP_MEASURE_ID_OVERRIDE",$C200,"DEEP_BROKER_ID_OVERRIDE",AI$24,"DEEP_PERIOD_OVERRIDE",$H$19)*1,"")))</f>
        <v/>
      </c>
      <c r="AJ200" t="str">
        <f>IF(OR(AJ$23="",ISNA($B200)),"",IF(ISBLANK($B200),"",IFERROR(_xll.BDP(TICKER,"DEEP_MEASURE_PERIOD_BROKER_VALUE","DEEP_MEASURE_ID_OVERRIDE",$C200,"DEEP_BROKER_ID_OVERRIDE",AJ$24,"DEEP_PERIOD_OVERRIDE",$H$19)*1,"")))</f>
        <v/>
      </c>
      <c r="AK200" t="str">
        <f>IF(OR(AK$23="",ISNA($B200)),"",IF(ISBLANK($B200),"",IFERROR(_xll.BDP(TICKER,"DEEP_MEASURE_PERIOD_BROKER_VALUE","DEEP_MEASURE_ID_OVERRIDE",$C200,"DEEP_BROKER_ID_OVERRIDE",AK$24,"DEEP_PERIOD_OVERRIDE",$H$19)*1,"")))</f>
        <v/>
      </c>
      <c r="AL200" t="str">
        <f>IF(OR(AL$23="",ISNA($B200)),"",IF(ISBLANK($B200),"",IFERROR(_xll.BDP(TICKER,"DEEP_MEASURE_PERIOD_BROKER_VALUE","DEEP_MEASURE_ID_OVERRIDE",$C200,"DEEP_BROKER_ID_OVERRIDE",AL$24,"DEEP_PERIOD_OVERRIDE",$H$19)*1,"")))</f>
        <v/>
      </c>
      <c r="AM200" t="str">
        <f>IF(OR(AM$23="",ISNA($B200)),"",IF(ISBLANK($B200),"",IFERROR(_xll.BDP(TICKER,"DEEP_MEASURE_PERIOD_BROKER_VALUE","DEEP_MEASURE_ID_OVERRIDE",$C200,"DEEP_BROKER_ID_OVERRIDE",AM$24,"DEEP_PERIOD_OVERRIDE",$H$19)*1,"")))</f>
        <v/>
      </c>
      <c r="AN200" t="str">
        <f>IF(OR(AN$23="",ISNA($B200)),"",IF(ISBLANK($B200),"",IFERROR(_xll.BDP(TICKER,"DEEP_MEASURE_PERIOD_BROKER_VALUE","DEEP_MEASURE_ID_OVERRIDE",$C200,"DEEP_BROKER_ID_OVERRIDE",AN$24,"DEEP_PERIOD_OVERRIDE",$H$19)*1,"")))</f>
        <v/>
      </c>
      <c r="AO200" t="str">
        <f>IF(OR(AO$23="",ISNA($B200)),"",IF(ISBLANK($B200),"",IFERROR(_xll.BDP(TICKER,"DEEP_MEASURE_PERIOD_BROKER_VALUE","DEEP_MEASURE_ID_OVERRIDE",$C200,"DEEP_BROKER_ID_OVERRIDE",AO$24,"DEEP_PERIOD_OVERRIDE",$H$19)*1,"")))</f>
        <v/>
      </c>
      <c r="AP200" t="str">
        <f>IF(OR(AP$23="",ISNA($B200)),"",IF(ISBLANK($B200),"",IFERROR(_xll.BDP(TICKER,"DEEP_MEASURE_PERIOD_BROKER_VALUE","DEEP_MEASURE_ID_OVERRIDE",$C200,"DEEP_BROKER_ID_OVERRIDE",AP$24,"DEEP_PERIOD_OVERRIDE",$H$19)*1,"")))</f>
        <v/>
      </c>
      <c r="AQ200" t="str">
        <f>IF(OR(AQ$23="",ISNA($B200)),"",IF(ISBLANK($B200),"",IFERROR(_xll.BDP(TICKER,"DEEP_MEASURE_PERIOD_BROKER_VALUE","DEEP_MEASURE_ID_OVERRIDE",$C200,"DEEP_BROKER_ID_OVERRIDE",AQ$24,"DEEP_PERIOD_OVERRIDE",$H$19)*1,"")))</f>
        <v/>
      </c>
      <c r="AR200" t="str">
        <f>IF(OR(AR$23="",ISNA($B200)),"",IF(ISBLANK($B200),"",IFERROR(_xll.BDP(TICKER,"DEEP_MEASURE_PERIOD_BROKER_VALUE","DEEP_MEASURE_ID_OVERRIDE",$C200,"DEEP_BROKER_ID_OVERRIDE",AR$24,"DEEP_PERIOD_OVERRIDE",$H$19)*1,"")))</f>
        <v/>
      </c>
      <c r="AS200" t="str">
        <f>IF(OR(AS$23="",ISNA($B200)),"",IF(ISBLANK($B200),"",IFERROR(_xll.BDP(TICKER,"DEEP_MEASURE_PERIOD_BROKER_VALUE","DEEP_MEASURE_ID_OVERRIDE",$C200,"DEEP_BROKER_ID_OVERRIDE",AS$24,"DEEP_PERIOD_OVERRIDE",$H$19)*1,"")))</f>
        <v/>
      </c>
      <c r="AT200" t="str">
        <f>IF(OR(AT$23="",ISNA($B200)),"",IF(ISBLANK($B200),"",IFERROR(_xll.BDP(TICKER,"DEEP_MEASURE_PERIOD_BROKER_VALUE","DEEP_MEASURE_ID_OVERRIDE",$C200,"DEEP_BROKER_ID_OVERRIDE",AT$24,"DEEP_PERIOD_OVERRIDE",$H$19)*1,"")))</f>
        <v/>
      </c>
      <c r="AU200" t="str">
        <f>IF(OR(AU$23="",ISNA($B200)),"",IF(ISBLANK($B200),"",IFERROR(_xll.BDP(TICKER,"DEEP_MEASURE_PERIOD_BROKER_VALUE","DEEP_MEASURE_ID_OVERRIDE",$C200,"DEEP_BROKER_ID_OVERRIDE",AU$24,"DEEP_PERIOD_OVERRIDE",$H$19)*1,"")))</f>
        <v/>
      </c>
      <c r="AV200" t="str">
        <f>IF(OR(AV$23="",ISNA($B200)),"",IF(ISBLANK($B200),"",IFERROR(_xll.BDP(TICKER,"DEEP_MEASURE_PERIOD_BROKER_VALUE","DEEP_MEASURE_ID_OVERRIDE",$C200,"DEEP_BROKER_ID_OVERRIDE",AV$24,"DEEP_PERIOD_OVERRIDE",$H$19)*1,"")))</f>
        <v/>
      </c>
      <c r="AW200" t="str">
        <f>IF(OR(AW$23="",ISNA($B200)),"",IF(ISBLANK($B200),"",IFERROR(_xll.BDP(TICKER,"DEEP_MEASURE_PERIOD_BROKER_VALUE","DEEP_MEASURE_ID_OVERRIDE",$C200,"DEEP_BROKER_ID_OVERRIDE",AW$24,"DEEP_PERIOD_OVERRIDE",$H$19)*1,"")))</f>
        <v/>
      </c>
      <c r="AX200" t="str">
        <f>IF(OR(AX$23="",ISNA($B200)),"",IF(ISBLANK($B200),"",IFERROR(_xll.BDP(TICKER,"DEEP_MEASURE_PERIOD_BROKER_VALUE","DEEP_MEASURE_ID_OVERRIDE",$C200,"DEEP_BROKER_ID_OVERRIDE",AX$24,"DEEP_PERIOD_OVERRIDE",$H$19)*1,"")))</f>
        <v/>
      </c>
      <c r="AY200" t="str">
        <f>IF(OR(AY$23="",ISNA($B200)),"",IF(ISBLANK($B200),"",IFERROR(_xll.BDP(TICKER,"DEEP_MEASURE_PERIOD_BROKER_VALUE","DEEP_MEASURE_ID_OVERRIDE",$C200,"DEEP_BROKER_ID_OVERRIDE",AY$24,"DEEP_PERIOD_OVERRIDE",$H$19)*1,"")))</f>
        <v/>
      </c>
      <c r="AZ200" t="str">
        <f>IF(OR(AZ$23="",ISNA($B200)),"",IF(ISBLANK($B200),"",IFERROR(_xll.BDP(TICKER,"DEEP_MEASURE_PERIOD_BROKER_VALUE","DEEP_MEASURE_ID_OVERRIDE",$C200,"DEEP_BROKER_ID_OVERRIDE",AZ$24,"DEEP_PERIOD_OVERRIDE",$H$19)*1,"")))</f>
        <v/>
      </c>
      <c r="BA200" t="str">
        <f>IF(OR(BA$23="",ISNA($B200)),"",IF(ISBLANK($B200),"",IFERROR(_xll.BDP(TICKER,"DEEP_MEASURE_PERIOD_BROKER_VALUE","DEEP_MEASURE_ID_OVERRIDE",$C200,"DEEP_BROKER_ID_OVERRIDE",BA$24,"DEEP_PERIOD_OVERRIDE",$H$19)*1,"")))</f>
        <v/>
      </c>
      <c r="BB200" t="str">
        <f>IF(OR(BB$23="",ISNA($B200)),"",IF(ISBLANK($B200),"",IFERROR(_xll.BDP(TICKER,"DEEP_MEASURE_PERIOD_BROKER_VALUE","DEEP_MEASURE_ID_OVERRIDE",$C200,"DEEP_BROKER_ID_OVERRIDE",BB$24,"DEEP_PERIOD_OVERRIDE",$H$19)*1,"")))</f>
        <v/>
      </c>
      <c r="BC200" t="str">
        <f>IF(OR(BC$23="",ISNA($B200)),"",IF(ISBLANK($B200),"",IFERROR(_xll.BDP(TICKER,"DEEP_MEASURE_PERIOD_BROKER_VALUE","DEEP_MEASURE_ID_OVERRIDE",$C200,"DEEP_BROKER_ID_OVERRIDE",BC$24,"DEEP_PERIOD_OVERRIDE",$H$19)*1,"")))</f>
        <v/>
      </c>
      <c r="BD200" t="str">
        <f>IF(OR(BD$23="",ISNA($B200)),"",IF(ISBLANK($B200),"",IFERROR(_xll.BDP(TICKER,"DEEP_MEASURE_PERIOD_BROKER_VALUE","DEEP_MEASURE_ID_OVERRIDE",$C200,"DEEP_BROKER_ID_OVERRIDE",BD$24,"DEEP_PERIOD_OVERRIDE",$H$19)*1,"")))</f>
        <v/>
      </c>
      <c r="BE200" t="str">
        <f>IF(OR(BE$23="",ISNA($B200)),"",IF(ISBLANK($B200),"",IFERROR(_xll.BDP(TICKER,"DEEP_MEASURE_PERIOD_BROKER_VALUE","DEEP_MEASURE_ID_OVERRIDE",$C200,"DEEP_BROKER_ID_OVERRIDE",BE$24,"DEEP_PERIOD_OVERRIDE",$H$19)*1,"")))</f>
        <v/>
      </c>
      <c r="BF200" t="str">
        <f>IF(OR(BF$23="",ISNA($B200)),"",IF(ISBLANK($B200),"",IFERROR(_xll.BDP(TICKER,"DEEP_MEASURE_PERIOD_BROKER_VALUE","DEEP_MEASURE_ID_OVERRIDE",$C200,"DEEP_BROKER_ID_OVERRIDE",BF$24,"DEEP_PERIOD_OVERRIDE",$H$19)*1,"")))</f>
        <v/>
      </c>
      <c r="BG200" t="str">
        <f>IF(OR(BG$23="",ISNA($B200)),"",IF(ISBLANK($B200),"",IFERROR(_xll.BDP(TICKER,"DEEP_MEASURE_PERIOD_BROKER_VALUE","DEEP_MEASURE_ID_OVERRIDE",$C200,"DEEP_BROKER_ID_OVERRIDE",BG$24,"DEEP_PERIOD_OVERRIDE",$H$19)*1,"")))</f>
        <v/>
      </c>
      <c r="BH200" t="str">
        <f>IF(OR(BH$23="",ISNA($B200)),"",IF(ISBLANK($B200),"",IFERROR(_xll.BDP(TICKER,"DEEP_MEASURE_PERIOD_BROKER_VALUE","DEEP_MEASURE_ID_OVERRIDE",$C200,"DEEP_BROKER_ID_OVERRIDE",BH$24,"DEEP_PERIOD_OVERRIDE",$H$19)*1,"")))</f>
        <v/>
      </c>
      <c r="BI200" t="str">
        <f>IF(OR(BI$23="",ISNA($B200)),"",IF(ISBLANK($B200),"",IFERROR(_xll.BDP(TICKER,"DEEP_MEASURE_PERIOD_BROKER_VALUE","DEEP_MEASURE_ID_OVERRIDE",$C200,"DEEP_BROKER_ID_OVERRIDE",BI$24,"DEEP_PERIOD_OVERRIDE",$H$19)*1,"")))</f>
        <v/>
      </c>
      <c r="BJ200" t="str">
        <f>IF(OR(BJ$23="",ISNA($B200)),"",IF(ISBLANK($B200),"",IFERROR(_xll.BDP(TICKER,"DEEP_MEASURE_PERIOD_BROKER_VALUE","DEEP_MEASURE_ID_OVERRIDE",$C200,"DEEP_BROKER_ID_OVERRIDE",BJ$24,"DEEP_PERIOD_OVERRIDE",$H$19)*1,"")))</f>
        <v/>
      </c>
      <c r="BK200" t="str">
        <f>IF(OR(BK$23="",ISNA($B200)),"",IF(ISBLANK($B200),"",IFERROR(_xll.BDP(TICKER,"DEEP_MEASURE_PERIOD_BROKER_VALUE","DEEP_MEASURE_ID_OVERRIDE",$C200,"DEEP_BROKER_ID_OVERRIDE",BK$24,"DEEP_PERIOD_OVERRIDE",$H$19)*1,"")))</f>
        <v/>
      </c>
      <c r="BL200" t="str">
        <f>IF(OR(BL$23="",ISNA($B200)),"",IF(ISBLANK($B200),"",IFERROR(_xll.BDP(TICKER,"DEEP_MEASURE_PERIOD_BROKER_VALUE","DEEP_MEASURE_ID_OVERRIDE",$C200,"DEEP_BROKER_ID_OVERRIDE",BL$24,"DEEP_PERIOD_OVERRIDE",$H$19)*1,"")))</f>
        <v/>
      </c>
      <c r="BM200" t="str">
        <f>IF(OR(BM$23="",ISNA($B200)),"",IF(ISBLANK($B200),"",IFERROR(_xll.BDP(TICKER,"DEEP_MEASURE_PERIOD_BROKER_VALUE","DEEP_MEASURE_ID_OVERRIDE",$C200,"DEEP_BROKER_ID_OVERRIDE",BM$24,"DEEP_PERIOD_OVERRIDE",$H$19)*1,"")))</f>
        <v/>
      </c>
      <c r="BN200" t="str">
        <f>IF(OR(BN$23="",ISNA($B200)),"",IF(ISBLANK($B200),"",IFERROR(_xll.BDP(TICKER,"DEEP_MEASURE_PERIOD_BROKER_VALUE","DEEP_MEASURE_ID_OVERRIDE",$C200,"DEEP_BROKER_ID_OVERRIDE",BN$24,"DEEP_PERIOD_OVERRIDE",$H$19)*1,"")))</f>
        <v/>
      </c>
      <c r="BO200" t="str">
        <f>IF(OR(BO$23="",ISNA($B200)),"",IF(ISBLANK($B200),"",IFERROR(_xll.BDP(TICKER,"DEEP_MEASURE_PERIOD_BROKER_VALUE","DEEP_MEASURE_ID_OVERRIDE",$C200,"DEEP_BROKER_ID_OVERRIDE",BO$24,"DEEP_PERIOD_OVERRIDE",$H$19)*1,"")))</f>
        <v/>
      </c>
      <c r="BP200" t="str">
        <f>IF(OR(BP$23="",ISNA($B200)),"",IF(ISBLANK($B200),"",IFERROR(_xll.BDP(TICKER,"DEEP_MEASURE_PERIOD_BROKER_VALUE","DEEP_MEASURE_ID_OVERRIDE",$C200,"DEEP_BROKER_ID_OVERRIDE",BP$24,"DEEP_PERIOD_OVERRIDE",$H$19)*1,"")))</f>
        <v/>
      </c>
      <c r="BQ200" t="str">
        <f>IF(OR(BQ$23="",ISNA($B200)),"",IF(ISBLANK($B200),"",IFERROR(_xll.BDP(TICKER,"DEEP_MEASURE_PERIOD_BROKER_VALUE","DEEP_MEASURE_ID_OVERRIDE",$C200,"DEEP_BROKER_ID_OVERRIDE",BQ$24,"DEEP_PERIOD_OVERRIDE",$H$19)*1,"")))</f>
        <v/>
      </c>
      <c r="BR200" t="str">
        <f>IF(OR(BR$23="",ISNA($B200)),"",IF(ISBLANK($B200),"",IFERROR(_xll.BDP(TICKER,"DEEP_MEASURE_PERIOD_BROKER_VALUE","DEEP_MEASURE_ID_OVERRIDE",$C200,"DEEP_BROKER_ID_OVERRIDE",BR$24,"DEEP_PERIOD_OVERRIDE",$H$19)*1,"")))</f>
        <v/>
      </c>
      <c r="BS200" t="str">
        <f>IF(OR(BS$23="",ISNA($B200)),"",IF(ISBLANK($B200),"",IFERROR(_xll.BDP(TICKER,"DEEP_MEASURE_PERIOD_BROKER_VALUE","DEEP_MEASURE_ID_OVERRIDE",$C200,"DEEP_BROKER_ID_OVERRIDE",BS$24,"DEEP_PERIOD_OVERRIDE",$H$19)*1,"")))</f>
        <v/>
      </c>
      <c r="BT200" t="str">
        <f>IF(OR(BT$23="",ISNA($B200)),"",IF(ISBLANK($B200),"",IFERROR(_xll.BDP(TICKER,"DEEP_MEASURE_PERIOD_BROKER_VALUE","DEEP_MEASURE_ID_OVERRIDE",$C200,"DEEP_BROKER_ID_OVERRIDE",BT$24,"DEEP_PERIOD_OVERRIDE",$H$19)*1,"")))</f>
        <v/>
      </c>
      <c r="BU200" t="str">
        <f>IF(OR(BU$23="",ISNA($B200)),"",IF(ISBLANK($B200),"",IFERROR(_xll.BDP(TICKER,"DEEP_MEASURE_PERIOD_BROKER_VALUE","DEEP_MEASURE_ID_OVERRIDE",$C200,"DEEP_BROKER_ID_OVERRIDE",BU$24,"DEEP_PERIOD_OVERRIDE",$H$19)*1,"")))</f>
        <v/>
      </c>
      <c r="BV200" t="str">
        <f>IF(OR(BV$23="",ISNA($B200)),"",IF(ISBLANK($B200),"",IFERROR(_xll.BDP(TICKER,"DEEP_MEASURE_PERIOD_BROKER_VALUE","DEEP_MEASURE_ID_OVERRIDE",$C200,"DEEP_BROKER_ID_OVERRIDE",BV$24,"DEEP_PERIOD_OVERRIDE",$H$19)*1,"")))</f>
        <v/>
      </c>
      <c r="BW200" t="str">
        <f>IF(OR(BW$23="",ISNA($B200)),"",IF(ISBLANK($B200),"",IFERROR(_xll.BDP(TICKER,"DEEP_MEASURE_PERIOD_BROKER_VALUE","DEEP_MEASURE_ID_OVERRIDE",$C200,"DEEP_BROKER_ID_OVERRIDE",BW$24,"DEEP_PERIOD_OVERRIDE",$H$19)*1,"")))</f>
        <v/>
      </c>
      <c r="BX200" t="str">
        <f>IF(OR(BX$23="",ISNA($B200)),"",IF(ISBLANK($B200),"",IFERROR(_xll.BDP(TICKER,"DEEP_MEASURE_PERIOD_BROKER_VALUE","DEEP_MEASURE_ID_OVERRIDE",$C200,"DEEP_BROKER_ID_OVERRIDE",BX$24,"DEEP_PERIOD_OVERRIDE",$H$19)*1,"")))</f>
        <v/>
      </c>
      <c r="BY200" t="str">
        <f>IF(OR(BY$23="",ISNA($B200)),"",IF(ISBLANK($B200),"",IFERROR(_xll.BDP(TICKER,"DEEP_MEASURE_PERIOD_BROKER_VALUE","DEEP_MEASURE_ID_OVERRIDE",$C200,"DEEP_BROKER_ID_OVERRIDE",BY$24,"DEEP_PERIOD_OVERRIDE",$H$19)*1,"")))</f>
        <v/>
      </c>
      <c r="BZ200" t="str">
        <f>IF(OR(BZ$23="",ISNA($B200)),"",IF(ISBLANK($B200),"",IFERROR(_xll.BDP(TICKER,"DEEP_MEASURE_PERIOD_BROKER_VALUE","DEEP_MEASURE_ID_OVERRIDE",$C200,"DEEP_BROKER_ID_OVERRIDE",BZ$24,"DEEP_PERIOD_OVERRIDE",$H$19)*1,"")))</f>
        <v/>
      </c>
    </row>
    <row r="201" spans="2:78" x14ac:dyDescent="0.25">
      <c r="B201" t="s">
        <v>208</v>
      </c>
      <c r="C201">
        <v>3255</v>
      </c>
      <c r="H201" t="str">
        <f t="shared" si="3"/>
        <v>Cash from Operations Activities &gt; Changes in Working Capital &gt; Accrued Expenses &amp; other Current Liabilities</v>
      </c>
      <c r="I201" t="str">
        <f>IF(OR(I$23="",ISNA($B201)),"",IF(ISBLANK($B201),"",IFERROR(_xll.BDP(TICKER,"DEEP_MEASURE_PERIOD_BROKER_VALUE","DEEP_MEASURE_ID_OVERRIDE",$C201,"DEEP_PERIOD_OVERRIDE",$H$19)*1,"")))</f>
        <v/>
      </c>
      <c r="J201" t="e">
        <f>IF(OR(J$23="",ISNA($B201)),"",IF(ISBLANK($B201),"",IFERROR(_xll.BDP(TICKER,"DEEP_MEASURE_PERIOD_BROKER_VALUE","DEEP_MEASURE_ID_OVERRIDE",$C201,"DEEP_BROKER_ID_OVERRIDE",J$24,"DEEP_PERIOD_OVERRIDE",$H$19)*1,"")))</f>
        <v>#REF!</v>
      </c>
      <c r="K201" t="str">
        <f>IF(OR(K$23="",ISNA($B201)),"",IF(ISBLANK($B201),"",IFERROR(_xll.BDP(TICKER,"DEEP_MEASURE_PERIOD_BROKER_VALUE","DEEP_MEASURE_ID_OVERRIDE",$C201,"DEEP_BROKER_ID_OVERRIDE",K$24,"DEEP_PERIOD_OVERRIDE",$H$19)*1,"")))</f>
        <v/>
      </c>
      <c r="L201" t="str">
        <f>IF(OR(L$23="",ISNA($B201)),"",IF(ISBLANK($B201),"",IFERROR(_xll.BDP(TICKER,"DEEP_MEASURE_PERIOD_BROKER_VALUE","DEEP_MEASURE_ID_OVERRIDE",$C201,"DEEP_BROKER_ID_OVERRIDE",L$24,"DEEP_PERIOD_OVERRIDE",$H$19)*1,"")))</f>
        <v/>
      </c>
      <c r="M201" t="str">
        <f>IF(OR(M$23="",ISNA($B201)),"",IF(ISBLANK($B201),"",IFERROR(_xll.BDP(TICKER,"DEEP_MEASURE_PERIOD_BROKER_VALUE","DEEP_MEASURE_ID_OVERRIDE",$C201,"DEEP_BROKER_ID_OVERRIDE",M$24,"DEEP_PERIOD_OVERRIDE",$H$19)*1,"")))</f>
        <v/>
      </c>
      <c r="N201" t="str">
        <f>IF(OR(N$23="",ISNA($B201)),"",IF(ISBLANK($B201),"",IFERROR(_xll.BDP(TICKER,"DEEP_MEASURE_PERIOD_BROKER_VALUE","DEEP_MEASURE_ID_OVERRIDE",$C201,"DEEP_BROKER_ID_OVERRIDE",N$24,"DEEP_PERIOD_OVERRIDE",$H$19)*1,"")))</f>
        <v/>
      </c>
      <c r="O201" t="str">
        <f>IF(OR(O$23="",ISNA($B201)),"",IF(ISBLANK($B201),"",IFERROR(_xll.BDP(TICKER,"DEEP_MEASURE_PERIOD_BROKER_VALUE","DEEP_MEASURE_ID_OVERRIDE",$C201,"DEEP_BROKER_ID_OVERRIDE",O$24,"DEEP_PERIOD_OVERRIDE",$H$19)*1,"")))</f>
        <v/>
      </c>
      <c r="P201" t="str">
        <f>IF(OR(P$23="",ISNA($B201)),"",IF(ISBLANK($B201),"",IFERROR(_xll.BDP(TICKER,"DEEP_MEASURE_PERIOD_BROKER_VALUE","DEEP_MEASURE_ID_OVERRIDE",$C201,"DEEP_BROKER_ID_OVERRIDE",P$24,"DEEP_PERIOD_OVERRIDE",$H$19)*1,"")))</f>
        <v/>
      </c>
      <c r="Q201" t="str">
        <f>IF(OR(Q$23="",ISNA($B201)),"",IF(ISBLANK($B201),"",IFERROR(_xll.BDP(TICKER,"DEEP_MEASURE_PERIOD_BROKER_VALUE","DEEP_MEASURE_ID_OVERRIDE",$C201,"DEEP_BROKER_ID_OVERRIDE",Q$24,"DEEP_PERIOD_OVERRIDE",$H$19)*1,"")))</f>
        <v/>
      </c>
      <c r="R201" t="str">
        <f>IF(OR(R$23="",ISNA($B201)),"",IF(ISBLANK($B201),"",IFERROR(_xll.BDP(TICKER,"DEEP_MEASURE_PERIOD_BROKER_VALUE","DEEP_MEASURE_ID_OVERRIDE",$C201,"DEEP_BROKER_ID_OVERRIDE",R$24,"DEEP_PERIOD_OVERRIDE",$H$19)*1,"")))</f>
        <v/>
      </c>
      <c r="S201" t="str">
        <f>IF(OR(S$23="",ISNA($B201)),"",IF(ISBLANK($B201),"",IFERROR(_xll.BDP(TICKER,"DEEP_MEASURE_PERIOD_BROKER_VALUE","DEEP_MEASURE_ID_OVERRIDE",$C201,"DEEP_BROKER_ID_OVERRIDE",S$24,"DEEP_PERIOD_OVERRIDE",$H$19)*1,"")))</f>
        <v/>
      </c>
      <c r="T201" t="str">
        <f>IF(OR(T$23="",ISNA($B201)),"",IF(ISBLANK($B201),"",IFERROR(_xll.BDP(TICKER,"DEEP_MEASURE_PERIOD_BROKER_VALUE","DEEP_MEASURE_ID_OVERRIDE",$C201,"DEEP_BROKER_ID_OVERRIDE",T$24,"DEEP_PERIOD_OVERRIDE",$H$19)*1,"")))</f>
        <v/>
      </c>
      <c r="U201" t="str">
        <f>IF(OR(U$23="",ISNA($B201)),"",IF(ISBLANK($B201),"",IFERROR(_xll.BDP(TICKER,"DEEP_MEASURE_PERIOD_BROKER_VALUE","DEEP_MEASURE_ID_OVERRIDE",$C201,"DEEP_BROKER_ID_OVERRIDE",U$24,"DEEP_PERIOD_OVERRIDE",$H$19)*1,"")))</f>
        <v/>
      </c>
      <c r="V201" t="str">
        <f>IF(OR(V$23="",ISNA($B201)),"",IF(ISBLANK($B201),"",IFERROR(_xll.BDP(TICKER,"DEEP_MEASURE_PERIOD_BROKER_VALUE","DEEP_MEASURE_ID_OVERRIDE",$C201,"DEEP_BROKER_ID_OVERRIDE",V$24,"DEEP_PERIOD_OVERRIDE",$H$19)*1,"")))</f>
        <v/>
      </c>
      <c r="W201" t="str">
        <f>IF(OR(W$23="",ISNA($B201)),"",IF(ISBLANK($B201),"",IFERROR(_xll.BDP(TICKER,"DEEP_MEASURE_PERIOD_BROKER_VALUE","DEEP_MEASURE_ID_OVERRIDE",$C201,"DEEP_BROKER_ID_OVERRIDE",W$24,"DEEP_PERIOD_OVERRIDE",$H$19)*1,"")))</f>
        <v/>
      </c>
      <c r="X201" t="str">
        <f>IF(OR(X$23="",ISNA($B201)),"",IF(ISBLANK($B201),"",IFERROR(_xll.BDP(TICKER,"DEEP_MEASURE_PERIOD_BROKER_VALUE","DEEP_MEASURE_ID_OVERRIDE",$C201,"DEEP_BROKER_ID_OVERRIDE",X$24,"DEEP_PERIOD_OVERRIDE",$H$19)*1,"")))</f>
        <v/>
      </c>
      <c r="Y201" t="str">
        <f>IF(OR(Y$23="",ISNA($B201)),"",IF(ISBLANK($B201),"",IFERROR(_xll.BDP(TICKER,"DEEP_MEASURE_PERIOD_BROKER_VALUE","DEEP_MEASURE_ID_OVERRIDE",$C201,"DEEP_BROKER_ID_OVERRIDE",Y$24,"DEEP_PERIOD_OVERRIDE",$H$19)*1,"")))</f>
        <v/>
      </c>
      <c r="Z201" t="str">
        <f>IF(OR(Z$23="",ISNA($B201)),"",IF(ISBLANK($B201),"",IFERROR(_xll.BDP(TICKER,"DEEP_MEASURE_PERIOD_BROKER_VALUE","DEEP_MEASURE_ID_OVERRIDE",$C201,"DEEP_BROKER_ID_OVERRIDE",Z$24,"DEEP_PERIOD_OVERRIDE",$H$19)*1,"")))</f>
        <v/>
      </c>
      <c r="AA201" t="str">
        <f>IF(OR(AA$23="",ISNA($B201)),"",IF(ISBLANK($B201),"",IFERROR(_xll.BDP(TICKER,"DEEP_MEASURE_PERIOD_BROKER_VALUE","DEEP_MEASURE_ID_OVERRIDE",$C201,"DEEP_BROKER_ID_OVERRIDE",AA$24,"DEEP_PERIOD_OVERRIDE",$H$19)*1,"")))</f>
        <v/>
      </c>
      <c r="AB201" t="str">
        <f>IF(OR(AB$23="",ISNA($B201)),"",IF(ISBLANK($B201),"",IFERROR(_xll.BDP(TICKER,"DEEP_MEASURE_PERIOD_BROKER_VALUE","DEEP_MEASURE_ID_OVERRIDE",$C201,"DEEP_BROKER_ID_OVERRIDE",AB$24,"DEEP_PERIOD_OVERRIDE",$H$19)*1,"")))</f>
        <v/>
      </c>
      <c r="AC201" t="str">
        <f>IF(OR(AC$23="",ISNA($B201)),"",IF(ISBLANK($B201),"",IFERROR(_xll.BDP(TICKER,"DEEP_MEASURE_PERIOD_BROKER_VALUE","DEEP_MEASURE_ID_OVERRIDE",$C201,"DEEP_BROKER_ID_OVERRIDE",AC$24,"DEEP_PERIOD_OVERRIDE",$H$19)*1,"")))</f>
        <v/>
      </c>
      <c r="AD201" t="str">
        <f>IF(OR(AD$23="",ISNA($B201)),"",IF(ISBLANK($B201),"",IFERROR(_xll.BDP(TICKER,"DEEP_MEASURE_PERIOD_BROKER_VALUE","DEEP_MEASURE_ID_OVERRIDE",$C201,"DEEP_BROKER_ID_OVERRIDE",AD$24,"DEEP_PERIOD_OVERRIDE",$H$19)*1,"")))</f>
        <v/>
      </c>
      <c r="AE201" t="str">
        <f>IF(OR(AE$23="",ISNA($B201)),"",IF(ISBLANK($B201),"",IFERROR(_xll.BDP(TICKER,"DEEP_MEASURE_PERIOD_BROKER_VALUE","DEEP_MEASURE_ID_OVERRIDE",$C201,"DEEP_BROKER_ID_OVERRIDE",AE$24,"DEEP_PERIOD_OVERRIDE",$H$19)*1,"")))</f>
        <v/>
      </c>
      <c r="AF201" t="str">
        <f>IF(OR(AF$23="",ISNA($B201)),"",IF(ISBLANK($B201),"",IFERROR(_xll.BDP(TICKER,"DEEP_MEASURE_PERIOD_BROKER_VALUE","DEEP_MEASURE_ID_OVERRIDE",$C201,"DEEP_BROKER_ID_OVERRIDE",AF$24,"DEEP_PERIOD_OVERRIDE",$H$19)*1,"")))</f>
        <v/>
      </c>
      <c r="AG201" t="str">
        <f>IF(OR(AG$23="",ISNA($B201)),"",IF(ISBLANK($B201),"",IFERROR(_xll.BDP(TICKER,"DEEP_MEASURE_PERIOD_BROKER_VALUE","DEEP_MEASURE_ID_OVERRIDE",$C201,"DEEP_BROKER_ID_OVERRIDE",AG$24,"DEEP_PERIOD_OVERRIDE",$H$19)*1,"")))</f>
        <v/>
      </c>
      <c r="AH201" t="str">
        <f>IF(OR(AH$23="",ISNA($B201)),"",IF(ISBLANK($B201),"",IFERROR(_xll.BDP(TICKER,"DEEP_MEASURE_PERIOD_BROKER_VALUE","DEEP_MEASURE_ID_OVERRIDE",$C201,"DEEP_BROKER_ID_OVERRIDE",AH$24,"DEEP_PERIOD_OVERRIDE",$H$19)*1,"")))</f>
        <v/>
      </c>
      <c r="AI201" t="str">
        <f>IF(OR(AI$23="",ISNA($B201)),"",IF(ISBLANK($B201),"",IFERROR(_xll.BDP(TICKER,"DEEP_MEASURE_PERIOD_BROKER_VALUE","DEEP_MEASURE_ID_OVERRIDE",$C201,"DEEP_BROKER_ID_OVERRIDE",AI$24,"DEEP_PERIOD_OVERRIDE",$H$19)*1,"")))</f>
        <v/>
      </c>
      <c r="AJ201" t="str">
        <f>IF(OR(AJ$23="",ISNA($B201)),"",IF(ISBLANK($B201),"",IFERROR(_xll.BDP(TICKER,"DEEP_MEASURE_PERIOD_BROKER_VALUE","DEEP_MEASURE_ID_OVERRIDE",$C201,"DEEP_BROKER_ID_OVERRIDE",AJ$24,"DEEP_PERIOD_OVERRIDE",$H$19)*1,"")))</f>
        <v/>
      </c>
      <c r="AK201" t="str">
        <f>IF(OR(AK$23="",ISNA($B201)),"",IF(ISBLANK($B201),"",IFERROR(_xll.BDP(TICKER,"DEEP_MEASURE_PERIOD_BROKER_VALUE","DEEP_MEASURE_ID_OVERRIDE",$C201,"DEEP_BROKER_ID_OVERRIDE",AK$24,"DEEP_PERIOD_OVERRIDE",$H$19)*1,"")))</f>
        <v/>
      </c>
      <c r="AL201" t="str">
        <f>IF(OR(AL$23="",ISNA($B201)),"",IF(ISBLANK($B201),"",IFERROR(_xll.BDP(TICKER,"DEEP_MEASURE_PERIOD_BROKER_VALUE","DEEP_MEASURE_ID_OVERRIDE",$C201,"DEEP_BROKER_ID_OVERRIDE",AL$24,"DEEP_PERIOD_OVERRIDE",$H$19)*1,"")))</f>
        <v/>
      </c>
      <c r="AM201" t="str">
        <f>IF(OR(AM$23="",ISNA($B201)),"",IF(ISBLANK($B201),"",IFERROR(_xll.BDP(TICKER,"DEEP_MEASURE_PERIOD_BROKER_VALUE","DEEP_MEASURE_ID_OVERRIDE",$C201,"DEEP_BROKER_ID_OVERRIDE",AM$24,"DEEP_PERIOD_OVERRIDE",$H$19)*1,"")))</f>
        <v/>
      </c>
      <c r="AN201" t="str">
        <f>IF(OR(AN$23="",ISNA($B201)),"",IF(ISBLANK($B201),"",IFERROR(_xll.BDP(TICKER,"DEEP_MEASURE_PERIOD_BROKER_VALUE","DEEP_MEASURE_ID_OVERRIDE",$C201,"DEEP_BROKER_ID_OVERRIDE",AN$24,"DEEP_PERIOD_OVERRIDE",$H$19)*1,"")))</f>
        <v/>
      </c>
      <c r="AO201" t="str">
        <f>IF(OR(AO$23="",ISNA($B201)),"",IF(ISBLANK($B201),"",IFERROR(_xll.BDP(TICKER,"DEEP_MEASURE_PERIOD_BROKER_VALUE","DEEP_MEASURE_ID_OVERRIDE",$C201,"DEEP_BROKER_ID_OVERRIDE",AO$24,"DEEP_PERIOD_OVERRIDE",$H$19)*1,"")))</f>
        <v/>
      </c>
      <c r="AP201" t="str">
        <f>IF(OR(AP$23="",ISNA($B201)),"",IF(ISBLANK($B201),"",IFERROR(_xll.BDP(TICKER,"DEEP_MEASURE_PERIOD_BROKER_VALUE","DEEP_MEASURE_ID_OVERRIDE",$C201,"DEEP_BROKER_ID_OVERRIDE",AP$24,"DEEP_PERIOD_OVERRIDE",$H$19)*1,"")))</f>
        <v/>
      </c>
      <c r="AQ201" t="str">
        <f>IF(OR(AQ$23="",ISNA($B201)),"",IF(ISBLANK($B201),"",IFERROR(_xll.BDP(TICKER,"DEEP_MEASURE_PERIOD_BROKER_VALUE","DEEP_MEASURE_ID_OVERRIDE",$C201,"DEEP_BROKER_ID_OVERRIDE",AQ$24,"DEEP_PERIOD_OVERRIDE",$H$19)*1,"")))</f>
        <v/>
      </c>
      <c r="AR201" t="str">
        <f>IF(OR(AR$23="",ISNA($B201)),"",IF(ISBLANK($B201),"",IFERROR(_xll.BDP(TICKER,"DEEP_MEASURE_PERIOD_BROKER_VALUE","DEEP_MEASURE_ID_OVERRIDE",$C201,"DEEP_BROKER_ID_OVERRIDE",AR$24,"DEEP_PERIOD_OVERRIDE",$H$19)*1,"")))</f>
        <v/>
      </c>
      <c r="AS201" t="str">
        <f>IF(OR(AS$23="",ISNA($B201)),"",IF(ISBLANK($B201),"",IFERROR(_xll.BDP(TICKER,"DEEP_MEASURE_PERIOD_BROKER_VALUE","DEEP_MEASURE_ID_OVERRIDE",$C201,"DEEP_BROKER_ID_OVERRIDE",AS$24,"DEEP_PERIOD_OVERRIDE",$H$19)*1,"")))</f>
        <v/>
      </c>
      <c r="AT201" t="str">
        <f>IF(OR(AT$23="",ISNA($B201)),"",IF(ISBLANK($B201),"",IFERROR(_xll.BDP(TICKER,"DEEP_MEASURE_PERIOD_BROKER_VALUE","DEEP_MEASURE_ID_OVERRIDE",$C201,"DEEP_BROKER_ID_OVERRIDE",AT$24,"DEEP_PERIOD_OVERRIDE",$H$19)*1,"")))</f>
        <v/>
      </c>
      <c r="AU201" t="str">
        <f>IF(OR(AU$23="",ISNA($B201)),"",IF(ISBLANK($B201),"",IFERROR(_xll.BDP(TICKER,"DEEP_MEASURE_PERIOD_BROKER_VALUE","DEEP_MEASURE_ID_OVERRIDE",$C201,"DEEP_BROKER_ID_OVERRIDE",AU$24,"DEEP_PERIOD_OVERRIDE",$H$19)*1,"")))</f>
        <v/>
      </c>
      <c r="AV201" t="str">
        <f>IF(OR(AV$23="",ISNA($B201)),"",IF(ISBLANK($B201),"",IFERROR(_xll.BDP(TICKER,"DEEP_MEASURE_PERIOD_BROKER_VALUE","DEEP_MEASURE_ID_OVERRIDE",$C201,"DEEP_BROKER_ID_OVERRIDE",AV$24,"DEEP_PERIOD_OVERRIDE",$H$19)*1,"")))</f>
        <v/>
      </c>
      <c r="AW201" t="str">
        <f>IF(OR(AW$23="",ISNA($B201)),"",IF(ISBLANK($B201),"",IFERROR(_xll.BDP(TICKER,"DEEP_MEASURE_PERIOD_BROKER_VALUE","DEEP_MEASURE_ID_OVERRIDE",$C201,"DEEP_BROKER_ID_OVERRIDE",AW$24,"DEEP_PERIOD_OVERRIDE",$H$19)*1,"")))</f>
        <v/>
      </c>
      <c r="AX201" t="str">
        <f>IF(OR(AX$23="",ISNA($B201)),"",IF(ISBLANK($B201),"",IFERROR(_xll.BDP(TICKER,"DEEP_MEASURE_PERIOD_BROKER_VALUE","DEEP_MEASURE_ID_OVERRIDE",$C201,"DEEP_BROKER_ID_OVERRIDE",AX$24,"DEEP_PERIOD_OVERRIDE",$H$19)*1,"")))</f>
        <v/>
      </c>
      <c r="AY201" t="str">
        <f>IF(OR(AY$23="",ISNA($B201)),"",IF(ISBLANK($B201),"",IFERROR(_xll.BDP(TICKER,"DEEP_MEASURE_PERIOD_BROKER_VALUE","DEEP_MEASURE_ID_OVERRIDE",$C201,"DEEP_BROKER_ID_OVERRIDE",AY$24,"DEEP_PERIOD_OVERRIDE",$H$19)*1,"")))</f>
        <v/>
      </c>
      <c r="AZ201" t="str">
        <f>IF(OR(AZ$23="",ISNA($B201)),"",IF(ISBLANK($B201),"",IFERROR(_xll.BDP(TICKER,"DEEP_MEASURE_PERIOD_BROKER_VALUE","DEEP_MEASURE_ID_OVERRIDE",$C201,"DEEP_BROKER_ID_OVERRIDE",AZ$24,"DEEP_PERIOD_OVERRIDE",$H$19)*1,"")))</f>
        <v/>
      </c>
      <c r="BA201" t="str">
        <f>IF(OR(BA$23="",ISNA($B201)),"",IF(ISBLANK($B201),"",IFERROR(_xll.BDP(TICKER,"DEEP_MEASURE_PERIOD_BROKER_VALUE","DEEP_MEASURE_ID_OVERRIDE",$C201,"DEEP_BROKER_ID_OVERRIDE",BA$24,"DEEP_PERIOD_OVERRIDE",$H$19)*1,"")))</f>
        <v/>
      </c>
      <c r="BB201" t="str">
        <f>IF(OR(BB$23="",ISNA($B201)),"",IF(ISBLANK($B201),"",IFERROR(_xll.BDP(TICKER,"DEEP_MEASURE_PERIOD_BROKER_VALUE","DEEP_MEASURE_ID_OVERRIDE",$C201,"DEEP_BROKER_ID_OVERRIDE",BB$24,"DEEP_PERIOD_OVERRIDE",$H$19)*1,"")))</f>
        <v/>
      </c>
      <c r="BC201" t="str">
        <f>IF(OR(BC$23="",ISNA($B201)),"",IF(ISBLANK($B201),"",IFERROR(_xll.BDP(TICKER,"DEEP_MEASURE_PERIOD_BROKER_VALUE","DEEP_MEASURE_ID_OVERRIDE",$C201,"DEEP_BROKER_ID_OVERRIDE",BC$24,"DEEP_PERIOD_OVERRIDE",$H$19)*1,"")))</f>
        <v/>
      </c>
      <c r="BD201" t="str">
        <f>IF(OR(BD$23="",ISNA($B201)),"",IF(ISBLANK($B201),"",IFERROR(_xll.BDP(TICKER,"DEEP_MEASURE_PERIOD_BROKER_VALUE","DEEP_MEASURE_ID_OVERRIDE",$C201,"DEEP_BROKER_ID_OVERRIDE",BD$24,"DEEP_PERIOD_OVERRIDE",$H$19)*1,"")))</f>
        <v/>
      </c>
      <c r="BE201" t="str">
        <f>IF(OR(BE$23="",ISNA($B201)),"",IF(ISBLANK($B201),"",IFERROR(_xll.BDP(TICKER,"DEEP_MEASURE_PERIOD_BROKER_VALUE","DEEP_MEASURE_ID_OVERRIDE",$C201,"DEEP_BROKER_ID_OVERRIDE",BE$24,"DEEP_PERIOD_OVERRIDE",$H$19)*1,"")))</f>
        <v/>
      </c>
      <c r="BF201" t="str">
        <f>IF(OR(BF$23="",ISNA($B201)),"",IF(ISBLANK($B201),"",IFERROR(_xll.BDP(TICKER,"DEEP_MEASURE_PERIOD_BROKER_VALUE","DEEP_MEASURE_ID_OVERRIDE",$C201,"DEEP_BROKER_ID_OVERRIDE",BF$24,"DEEP_PERIOD_OVERRIDE",$H$19)*1,"")))</f>
        <v/>
      </c>
      <c r="BG201" t="str">
        <f>IF(OR(BG$23="",ISNA($B201)),"",IF(ISBLANK($B201),"",IFERROR(_xll.BDP(TICKER,"DEEP_MEASURE_PERIOD_BROKER_VALUE","DEEP_MEASURE_ID_OVERRIDE",$C201,"DEEP_BROKER_ID_OVERRIDE",BG$24,"DEEP_PERIOD_OVERRIDE",$H$19)*1,"")))</f>
        <v/>
      </c>
      <c r="BH201" t="str">
        <f>IF(OR(BH$23="",ISNA($B201)),"",IF(ISBLANK($B201),"",IFERROR(_xll.BDP(TICKER,"DEEP_MEASURE_PERIOD_BROKER_VALUE","DEEP_MEASURE_ID_OVERRIDE",$C201,"DEEP_BROKER_ID_OVERRIDE",BH$24,"DEEP_PERIOD_OVERRIDE",$H$19)*1,"")))</f>
        <v/>
      </c>
      <c r="BI201" t="str">
        <f>IF(OR(BI$23="",ISNA($B201)),"",IF(ISBLANK($B201),"",IFERROR(_xll.BDP(TICKER,"DEEP_MEASURE_PERIOD_BROKER_VALUE","DEEP_MEASURE_ID_OVERRIDE",$C201,"DEEP_BROKER_ID_OVERRIDE",BI$24,"DEEP_PERIOD_OVERRIDE",$H$19)*1,"")))</f>
        <v/>
      </c>
      <c r="BJ201" t="str">
        <f>IF(OR(BJ$23="",ISNA($B201)),"",IF(ISBLANK($B201),"",IFERROR(_xll.BDP(TICKER,"DEEP_MEASURE_PERIOD_BROKER_VALUE","DEEP_MEASURE_ID_OVERRIDE",$C201,"DEEP_BROKER_ID_OVERRIDE",BJ$24,"DEEP_PERIOD_OVERRIDE",$H$19)*1,"")))</f>
        <v/>
      </c>
      <c r="BK201" t="str">
        <f>IF(OR(BK$23="",ISNA($B201)),"",IF(ISBLANK($B201),"",IFERROR(_xll.BDP(TICKER,"DEEP_MEASURE_PERIOD_BROKER_VALUE","DEEP_MEASURE_ID_OVERRIDE",$C201,"DEEP_BROKER_ID_OVERRIDE",BK$24,"DEEP_PERIOD_OVERRIDE",$H$19)*1,"")))</f>
        <v/>
      </c>
      <c r="BL201" t="str">
        <f>IF(OR(BL$23="",ISNA($B201)),"",IF(ISBLANK($B201),"",IFERROR(_xll.BDP(TICKER,"DEEP_MEASURE_PERIOD_BROKER_VALUE","DEEP_MEASURE_ID_OVERRIDE",$C201,"DEEP_BROKER_ID_OVERRIDE",BL$24,"DEEP_PERIOD_OVERRIDE",$H$19)*1,"")))</f>
        <v/>
      </c>
      <c r="BM201" t="str">
        <f>IF(OR(BM$23="",ISNA($B201)),"",IF(ISBLANK($B201),"",IFERROR(_xll.BDP(TICKER,"DEEP_MEASURE_PERIOD_BROKER_VALUE","DEEP_MEASURE_ID_OVERRIDE",$C201,"DEEP_BROKER_ID_OVERRIDE",BM$24,"DEEP_PERIOD_OVERRIDE",$H$19)*1,"")))</f>
        <v/>
      </c>
      <c r="BN201" t="str">
        <f>IF(OR(BN$23="",ISNA($B201)),"",IF(ISBLANK($B201),"",IFERROR(_xll.BDP(TICKER,"DEEP_MEASURE_PERIOD_BROKER_VALUE","DEEP_MEASURE_ID_OVERRIDE",$C201,"DEEP_BROKER_ID_OVERRIDE",BN$24,"DEEP_PERIOD_OVERRIDE",$H$19)*1,"")))</f>
        <v/>
      </c>
      <c r="BO201" t="str">
        <f>IF(OR(BO$23="",ISNA($B201)),"",IF(ISBLANK($B201),"",IFERROR(_xll.BDP(TICKER,"DEEP_MEASURE_PERIOD_BROKER_VALUE","DEEP_MEASURE_ID_OVERRIDE",$C201,"DEEP_BROKER_ID_OVERRIDE",BO$24,"DEEP_PERIOD_OVERRIDE",$H$19)*1,"")))</f>
        <v/>
      </c>
      <c r="BP201" t="str">
        <f>IF(OR(BP$23="",ISNA($B201)),"",IF(ISBLANK($B201),"",IFERROR(_xll.BDP(TICKER,"DEEP_MEASURE_PERIOD_BROKER_VALUE","DEEP_MEASURE_ID_OVERRIDE",$C201,"DEEP_BROKER_ID_OVERRIDE",BP$24,"DEEP_PERIOD_OVERRIDE",$H$19)*1,"")))</f>
        <v/>
      </c>
      <c r="BQ201" t="str">
        <f>IF(OR(BQ$23="",ISNA($B201)),"",IF(ISBLANK($B201),"",IFERROR(_xll.BDP(TICKER,"DEEP_MEASURE_PERIOD_BROKER_VALUE","DEEP_MEASURE_ID_OVERRIDE",$C201,"DEEP_BROKER_ID_OVERRIDE",BQ$24,"DEEP_PERIOD_OVERRIDE",$H$19)*1,"")))</f>
        <v/>
      </c>
      <c r="BR201" t="str">
        <f>IF(OR(BR$23="",ISNA($B201)),"",IF(ISBLANK($B201),"",IFERROR(_xll.BDP(TICKER,"DEEP_MEASURE_PERIOD_BROKER_VALUE","DEEP_MEASURE_ID_OVERRIDE",$C201,"DEEP_BROKER_ID_OVERRIDE",BR$24,"DEEP_PERIOD_OVERRIDE",$H$19)*1,"")))</f>
        <v/>
      </c>
      <c r="BS201" t="str">
        <f>IF(OR(BS$23="",ISNA($B201)),"",IF(ISBLANK($B201),"",IFERROR(_xll.BDP(TICKER,"DEEP_MEASURE_PERIOD_BROKER_VALUE","DEEP_MEASURE_ID_OVERRIDE",$C201,"DEEP_BROKER_ID_OVERRIDE",BS$24,"DEEP_PERIOD_OVERRIDE",$H$19)*1,"")))</f>
        <v/>
      </c>
      <c r="BT201" t="str">
        <f>IF(OR(BT$23="",ISNA($B201)),"",IF(ISBLANK($B201),"",IFERROR(_xll.BDP(TICKER,"DEEP_MEASURE_PERIOD_BROKER_VALUE","DEEP_MEASURE_ID_OVERRIDE",$C201,"DEEP_BROKER_ID_OVERRIDE",BT$24,"DEEP_PERIOD_OVERRIDE",$H$19)*1,"")))</f>
        <v/>
      </c>
      <c r="BU201" t="str">
        <f>IF(OR(BU$23="",ISNA($B201)),"",IF(ISBLANK($B201),"",IFERROR(_xll.BDP(TICKER,"DEEP_MEASURE_PERIOD_BROKER_VALUE","DEEP_MEASURE_ID_OVERRIDE",$C201,"DEEP_BROKER_ID_OVERRIDE",BU$24,"DEEP_PERIOD_OVERRIDE",$H$19)*1,"")))</f>
        <v/>
      </c>
      <c r="BV201" t="str">
        <f>IF(OR(BV$23="",ISNA($B201)),"",IF(ISBLANK($B201),"",IFERROR(_xll.BDP(TICKER,"DEEP_MEASURE_PERIOD_BROKER_VALUE","DEEP_MEASURE_ID_OVERRIDE",$C201,"DEEP_BROKER_ID_OVERRIDE",BV$24,"DEEP_PERIOD_OVERRIDE",$H$19)*1,"")))</f>
        <v/>
      </c>
      <c r="BW201" t="str">
        <f>IF(OR(BW$23="",ISNA($B201)),"",IF(ISBLANK($B201),"",IFERROR(_xll.BDP(TICKER,"DEEP_MEASURE_PERIOD_BROKER_VALUE","DEEP_MEASURE_ID_OVERRIDE",$C201,"DEEP_BROKER_ID_OVERRIDE",BW$24,"DEEP_PERIOD_OVERRIDE",$H$19)*1,"")))</f>
        <v/>
      </c>
      <c r="BX201" t="str">
        <f>IF(OR(BX$23="",ISNA($B201)),"",IF(ISBLANK($B201),"",IFERROR(_xll.BDP(TICKER,"DEEP_MEASURE_PERIOD_BROKER_VALUE","DEEP_MEASURE_ID_OVERRIDE",$C201,"DEEP_BROKER_ID_OVERRIDE",BX$24,"DEEP_PERIOD_OVERRIDE",$H$19)*1,"")))</f>
        <v/>
      </c>
      <c r="BY201" t="str">
        <f>IF(OR(BY$23="",ISNA($B201)),"",IF(ISBLANK($B201),"",IFERROR(_xll.BDP(TICKER,"DEEP_MEASURE_PERIOD_BROKER_VALUE","DEEP_MEASURE_ID_OVERRIDE",$C201,"DEEP_BROKER_ID_OVERRIDE",BY$24,"DEEP_PERIOD_OVERRIDE",$H$19)*1,"")))</f>
        <v/>
      </c>
      <c r="BZ201" t="str">
        <f>IF(OR(BZ$23="",ISNA($B201)),"",IF(ISBLANK($B201),"",IFERROR(_xll.BDP(TICKER,"DEEP_MEASURE_PERIOD_BROKER_VALUE","DEEP_MEASURE_ID_OVERRIDE",$C201,"DEEP_BROKER_ID_OVERRIDE",BZ$24,"DEEP_PERIOD_OVERRIDE",$H$19)*1,"")))</f>
        <v/>
      </c>
    </row>
    <row r="202" spans="2:78" x14ac:dyDescent="0.25">
      <c r="B202" t="s">
        <v>209</v>
      </c>
      <c r="C202">
        <v>419</v>
      </c>
      <c r="H202" t="str">
        <f t="shared" si="3"/>
        <v>Cash Flow from Operating</v>
      </c>
      <c r="I202" t="str">
        <f>IF(OR(I$23="",ISNA($B202)),"",IF(ISBLANK($B202),"",IFERROR(_xll.BDP(TICKER,"DEEP_MEASURE_PERIOD_BROKER_VALUE","DEEP_MEASURE_ID_OVERRIDE",$C202,"DEEP_PERIOD_OVERRIDE",$H$19)*1,"")))</f>
        <v/>
      </c>
      <c r="J202" t="e">
        <f>IF(OR(J$23="",ISNA($B202)),"",IF(ISBLANK($B202),"",IFERROR(_xll.BDP(TICKER,"DEEP_MEASURE_PERIOD_BROKER_VALUE","DEEP_MEASURE_ID_OVERRIDE",$C202,"DEEP_BROKER_ID_OVERRIDE",J$24,"DEEP_PERIOD_OVERRIDE",$H$19)*1,"")))</f>
        <v>#REF!</v>
      </c>
      <c r="K202" t="str">
        <f>IF(OR(K$23="",ISNA($B202)),"",IF(ISBLANK($B202),"",IFERROR(_xll.BDP(TICKER,"DEEP_MEASURE_PERIOD_BROKER_VALUE","DEEP_MEASURE_ID_OVERRIDE",$C202,"DEEP_BROKER_ID_OVERRIDE",K$24,"DEEP_PERIOD_OVERRIDE",$H$19)*1,"")))</f>
        <v/>
      </c>
      <c r="L202" t="str">
        <f>IF(OR(L$23="",ISNA($B202)),"",IF(ISBLANK($B202),"",IFERROR(_xll.BDP(TICKER,"DEEP_MEASURE_PERIOD_BROKER_VALUE","DEEP_MEASURE_ID_OVERRIDE",$C202,"DEEP_BROKER_ID_OVERRIDE",L$24,"DEEP_PERIOD_OVERRIDE",$H$19)*1,"")))</f>
        <v/>
      </c>
      <c r="M202" t="str">
        <f>IF(OR(M$23="",ISNA($B202)),"",IF(ISBLANK($B202),"",IFERROR(_xll.BDP(TICKER,"DEEP_MEASURE_PERIOD_BROKER_VALUE","DEEP_MEASURE_ID_OVERRIDE",$C202,"DEEP_BROKER_ID_OVERRIDE",M$24,"DEEP_PERIOD_OVERRIDE",$H$19)*1,"")))</f>
        <v/>
      </c>
      <c r="N202" t="str">
        <f>IF(OR(N$23="",ISNA($B202)),"",IF(ISBLANK($B202),"",IFERROR(_xll.BDP(TICKER,"DEEP_MEASURE_PERIOD_BROKER_VALUE","DEEP_MEASURE_ID_OVERRIDE",$C202,"DEEP_BROKER_ID_OVERRIDE",N$24,"DEEP_PERIOD_OVERRIDE",$H$19)*1,"")))</f>
        <v/>
      </c>
      <c r="O202" t="str">
        <f>IF(OR(O$23="",ISNA($B202)),"",IF(ISBLANK($B202),"",IFERROR(_xll.BDP(TICKER,"DEEP_MEASURE_PERIOD_BROKER_VALUE","DEEP_MEASURE_ID_OVERRIDE",$C202,"DEEP_BROKER_ID_OVERRIDE",O$24,"DEEP_PERIOD_OVERRIDE",$H$19)*1,"")))</f>
        <v/>
      </c>
      <c r="P202" t="str">
        <f>IF(OR(P$23="",ISNA($B202)),"",IF(ISBLANK($B202),"",IFERROR(_xll.BDP(TICKER,"DEEP_MEASURE_PERIOD_BROKER_VALUE","DEEP_MEASURE_ID_OVERRIDE",$C202,"DEEP_BROKER_ID_OVERRIDE",P$24,"DEEP_PERIOD_OVERRIDE",$H$19)*1,"")))</f>
        <v/>
      </c>
      <c r="Q202" t="str">
        <f>IF(OR(Q$23="",ISNA($B202)),"",IF(ISBLANK($B202),"",IFERROR(_xll.BDP(TICKER,"DEEP_MEASURE_PERIOD_BROKER_VALUE","DEEP_MEASURE_ID_OVERRIDE",$C202,"DEEP_BROKER_ID_OVERRIDE",Q$24,"DEEP_PERIOD_OVERRIDE",$H$19)*1,"")))</f>
        <v/>
      </c>
      <c r="R202" t="str">
        <f>IF(OR(R$23="",ISNA($B202)),"",IF(ISBLANK($B202),"",IFERROR(_xll.BDP(TICKER,"DEEP_MEASURE_PERIOD_BROKER_VALUE","DEEP_MEASURE_ID_OVERRIDE",$C202,"DEEP_BROKER_ID_OVERRIDE",R$24,"DEEP_PERIOD_OVERRIDE",$H$19)*1,"")))</f>
        <v/>
      </c>
      <c r="S202" t="str">
        <f>IF(OR(S$23="",ISNA($B202)),"",IF(ISBLANK($B202),"",IFERROR(_xll.BDP(TICKER,"DEEP_MEASURE_PERIOD_BROKER_VALUE","DEEP_MEASURE_ID_OVERRIDE",$C202,"DEEP_BROKER_ID_OVERRIDE",S$24,"DEEP_PERIOD_OVERRIDE",$H$19)*1,"")))</f>
        <v/>
      </c>
      <c r="T202" t="str">
        <f>IF(OR(T$23="",ISNA($B202)),"",IF(ISBLANK($B202),"",IFERROR(_xll.BDP(TICKER,"DEEP_MEASURE_PERIOD_BROKER_VALUE","DEEP_MEASURE_ID_OVERRIDE",$C202,"DEEP_BROKER_ID_OVERRIDE",T$24,"DEEP_PERIOD_OVERRIDE",$H$19)*1,"")))</f>
        <v/>
      </c>
      <c r="U202" t="str">
        <f>IF(OR(U$23="",ISNA($B202)),"",IF(ISBLANK($B202),"",IFERROR(_xll.BDP(TICKER,"DEEP_MEASURE_PERIOD_BROKER_VALUE","DEEP_MEASURE_ID_OVERRIDE",$C202,"DEEP_BROKER_ID_OVERRIDE",U$24,"DEEP_PERIOD_OVERRIDE",$H$19)*1,"")))</f>
        <v/>
      </c>
      <c r="V202" t="str">
        <f>IF(OR(V$23="",ISNA($B202)),"",IF(ISBLANK($B202),"",IFERROR(_xll.BDP(TICKER,"DEEP_MEASURE_PERIOD_BROKER_VALUE","DEEP_MEASURE_ID_OVERRIDE",$C202,"DEEP_BROKER_ID_OVERRIDE",V$24,"DEEP_PERIOD_OVERRIDE",$H$19)*1,"")))</f>
        <v/>
      </c>
      <c r="W202" t="str">
        <f>IF(OR(W$23="",ISNA($B202)),"",IF(ISBLANK($B202),"",IFERROR(_xll.BDP(TICKER,"DEEP_MEASURE_PERIOD_BROKER_VALUE","DEEP_MEASURE_ID_OVERRIDE",$C202,"DEEP_BROKER_ID_OVERRIDE",W$24,"DEEP_PERIOD_OVERRIDE",$H$19)*1,"")))</f>
        <v/>
      </c>
      <c r="X202" t="str">
        <f>IF(OR(X$23="",ISNA($B202)),"",IF(ISBLANK($B202),"",IFERROR(_xll.BDP(TICKER,"DEEP_MEASURE_PERIOD_BROKER_VALUE","DEEP_MEASURE_ID_OVERRIDE",$C202,"DEEP_BROKER_ID_OVERRIDE",X$24,"DEEP_PERIOD_OVERRIDE",$H$19)*1,"")))</f>
        <v/>
      </c>
      <c r="Y202" t="str">
        <f>IF(OR(Y$23="",ISNA($B202)),"",IF(ISBLANK($B202),"",IFERROR(_xll.BDP(TICKER,"DEEP_MEASURE_PERIOD_BROKER_VALUE","DEEP_MEASURE_ID_OVERRIDE",$C202,"DEEP_BROKER_ID_OVERRIDE",Y$24,"DEEP_PERIOD_OVERRIDE",$H$19)*1,"")))</f>
        <v/>
      </c>
      <c r="Z202" t="str">
        <f>IF(OR(Z$23="",ISNA($B202)),"",IF(ISBLANK($B202),"",IFERROR(_xll.BDP(TICKER,"DEEP_MEASURE_PERIOD_BROKER_VALUE","DEEP_MEASURE_ID_OVERRIDE",$C202,"DEEP_BROKER_ID_OVERRIDE",Z$24,"DEEP_PERIOD_OVERRIDE",$H$19)*1,"")))</f>
        <v/>
      </c>
      <c r="AA202" t="str">
        <f>IF(OR(AA$23="",ISNA($B202)),"",IF(ISBLANK($B202),"",IFERROR(_xll.BDP(TICKER,"DEEP_MEASURE_PERIOD_BROKER_VALUE","DEEP_MEASURE_ID_OVERRIDE",$C202,"DEEP_BROKER_ID_OVERRIDE",AA$24,"DEEP_PERIOD_OVERRIDE",$H$19)*1,"")))</f>
        <v/>
      </c>
      <c r="AB202" t="str">
        <f>IF(OR(AB$23="",ISNA($B202)),"",IF(ISBLANK($B202),"",IFERROR(_xll.BDP(TICKER,"DEEP_MEASURE_PERIOD_BROKER_VALUE","DEEP_MEASURE_ID_OVERRIDE",$C202,"DEEP_BROKER_ID_OVERRIDE",AB$24,"DEEP_PERIOD_OVERRIDE",$H$19)*1,"")))</f>
        <v/>
      </c>
      <c r="AC202" t="str">
        <f>IF(OR(AC$23="",ISNA($B202)),"",IF(ISBLANK($B202),"",IFERROR(_xll.BDP(TICKER,"DEEP_MEASURE_PERIOD_BROKER_VALUE","DEEP_MEASURE_ID_OVERRIDE",$C202,"DEEP_BROKER_ID_OVERRIDE",AC$24,"DEEP_PERIOD_OVERRIDE",$H$19)*1,"")))</f>
        <v/>
      </c>
      <c r="AD202" t="str">
        <f>IF(OR(AD$23="",ISNA($B202)),"",IF(ISBLANK($B202),"",IFERROR(_xll.BDP(TICKER,"DEEP_MEASURE_PERIOD_BROKER_VALUE","DEEP_MEASURE_ID_OVERRIDE",$C202,"DEEP_BROKER_ID_OVERRIDE",AD$24,"DEEP_PERIOD_OVERRIDE",$H$19)*1,"")))</f>
        <v/>
      </c>
      <c r="AE202" t="str">
        <f>IF(OR(AE$23="",ISNA($B202)),"",IF(ISBLANK($B202),"",IFERROR(_xll.BDP(TICKER,"DEEP_MEASURE_PERIOD_BROKER_VALUE","DEEP_MEASURE_ID_OVERRIDE",$C202,"DEEP_BROKER_ID_OVERRIDE",AE$24,"DEEP_PERIOD_OVERRIDE",$H$19)*1,"")))</f>
        <v/>
      </c>
      <c r="AF202" t="str">
        <f>IF(OR(AF$23="",ISNA($B202)),"",IF(ISBLANK($B202),"",IFERROR(_xll.BDP(TICKER,"DEEP_MEASURE_PERIOD_BROKER_VALUE","DEEP_MEASURE_ID_OVERRIDE",$C202,"DEEP_BROKER_ID_OVERRIDE",AF$24,"DEEP_PERIOD_OVERRIDE",$H$19)*1,"")))</f>
        <v/>
      </c>
      <c r="AG202" t="str">
        <f>IF(OR(AG$23="",ISNA($B202)),"",IF(ISBLANK($B202),"",IFERROR(_xll.BDP(TICKER,"DEEP_MEASURE_PERIOD_BROKER_VALUE","DEEP_MEASURE_ID_OVERRIDE",$C202,"DEEP_BROKER_ID_OVERRIDE",AG$24,"DEEP_PERIOD_OVERRIDE",$H$19)*1,"")))</f>
        <v/>
      </c>
      <c r="AH202" t="str">
        <f>IF(OR(AH$23="",ISNA($B202)),"",IF(ISBLANK($B202),"",IFERROR(_xll.BDP(TICKER,"DEEP_MEASURE_PERIOD_BROKER_VALUE","DEEP_MEASURE_ID_OVERRIDE",$C202,"DEEP_BROKER_ID_OVERRIDE",AH$24,"DEEP_PERIOD_OVERRIDE",$H$19)*1,"")))</f>
        <v/>
      </c>
      <c r="AI202" t="str">
        <f>IF(OR(AI$23="",ISNA($B202)),"",IF(ISBLANK($B202),"",IFERROR(_xll.BDP(TICKER,"DEEP_MEASURE_PERIOD_BROKER_VALUE","DEEP_MEASURE_ID_OVERRIDE",$C202,"DEEP_BROKER_ID_OVERRIDE",AI$24,"DEEP_PERIOD_OVERRIDE",$H$19)*1,"")))</f>
        <v/>
      </c>
      <c r="AJ202" t="str">
        <f>IF(OR(AJ$23="",ISNA($B202)),"",IF(ISBLANK($B202),"",IFERROR(_xll.BDP(TICKER,"DEEP_MEASURE_PERIOD_BROKER_VALUE","DEEP_MEASURE_ID_OVERRIDE",$C202,"DEEP_BROKER_ID_OVERRIDE",AJ$24,"DEEP_PERIOD_OVERRIDE",$H$19)*1,"")))</f>
        <v/>
      </c>
      <c r="AK202" t="str">
        <f>IF(OR(AK$23="",ISNA($B202)),"",IF(ISBLANK($B202),"",IFERROR(_xll.BDP(TICKER,"DEEP_MEASURE_PERIOD_BROKER_VALUE","DEEP_MEASURE_ID_OVERRIDE",$C202,"DEEP_BROKER_ID_OVERRIDE",AK$24,"DEEP_PERIOD_OVERRIDE",$H$19)*1,"")))</f>
        <v/>
      </c>
      <c r="AL202" t="str">
        <f>IF(OR(AL$23="",ISNA($B202)),"",IF(ISBLANK($B202),"",IFERROR(_xll.BDP(TICKER,"DEEP_MEASURE_PERIOD_BROKER_VALUE","DEEP_MEASURE_ID_OVERRIDE",$C202,"DEEP_BROKER_ID_OVERRIDE",AL$24,"DEEP_PERIOD_OVERRIDE",$H$19)*1,"")))</f>
        <v/>
      </c>
      <c r="AM202" t="str">
        <f>IF(OR(AM$23="",ISNA($B202)),"",IF(ISBLANK($B202),"",IFERROR(_xll.BDP(TICKER,"DEEP_MEASURE_PERIOD_BROKER_VALUE","DEEP_MEASURE_ID_OVERRIDE",$C202,"DEEP_BROKER_ID_OVERRIDE",AM$24,"DEEP_PERIOD_OVERRIDE",$H$19)*1,"")))</f>
        <v/>
      </c>
      <c r="AN202" t="str">
        <f>IF(OR(AN$23="",ISNA($B202)),"",IF(ISBLANK($B202),"",IFERROR(_xll.BDP(TICKER,"DEEP_MEASURE_PERIOD_BROKER_VALUE","DEEP_MEASURE_ID_OVERRIDE",$C202,"DEEP_BROKER_ID_OVERRIDE",AN$24,"DEEP_PERIOD_OVERRIDE",$H$19)*1,"")))</f>
        <v/>
      </c>
      <c r="AO202" t="str">
        <f>IF(OR(AO$23="",ISNA($B202)),"",IF(ISBLANK($B202),"",IFERROR(_xll.BDP(TICKER,"DEEP_MEASURE_PERIOD_BROKER_VALUE","DEEP_MEASURE_ID_OVERRIDE",$C202,"DEEP_BROKER_ID_OVERRIDE",AO$24,"DEEP_PERIOD_OVERRIDE",$H$19)*1,"")))</f>
        <v/>
      </c>
      <c r="AP202" t="str">
        <f>IF(OR(AP$23="",ISNA($B202)),"",IF(ISBLANK($B202),"",IFERROR(_xll.BDP(TICKER,"DEEP_MEASURE_PERIOD_BROKER_VALUE","DEEP_MEASURE_ID_OVERRIDE",$C202,"DEEP_BROKER_ID_OVERRIDE",AP$24,"DEEP_PERIOD_OVERRIDE",$H$19)*1,"")))</f>
        <v/>
      </c>
      <c r="AQ202" t="str">
        <f>IF(OR(AQ$23="",ISNA($B202)),"",IF(ISBLANK($B202),"",IFERROR(_xll.BDP(TICKER,"DEEP_MEASURE_PERIOD_BROKER_VALUE","DEEP_MEASURE_ID_OVERRIDE",$C202,"DEEP_BROKER_ID_OVERRIDE",AQ$24,"DEEP_PERIOD_OVERRIDE",$H$19)*1,"")))</f>
        <v/>
      </c>
      <c r="AR202" t="str">
        <f>IF(OR(AR$23="",ISNA($B202)),"",IF(ISBLANK($B202),"",IFERROR(_xll.BDP(TICKER,"DEEP_MEASURE_PERIOD_BROKER_VALUE","DEEP_MEASURE_ID_OVERRIDE",$C202,"DEEP_BROKER_ID_OVERRIDE",AR$24,"DEEP_PERIOD_OVERRIDE",$H$19)*1,"")))</f>
        <v/>
      </c>
      <c r="AS202" t="str">
        <f>IF(OR(AS$23="",ISNA($B202)),"",IF(ISBLANK($B202),"",IFERROR(_xll.BDP(TICKER,"DEEP_MEASURE_PERIOD_BROKER_VALUE","DEEP_MEASURE_ID_OVERRIDE",$C202,"DEEP_BROKER_ID_OVERRIDE",AS$24,"DEEP_PERIOD_OVERRIDE",$H$19)*1,"")))</f>
        <v/>
      </c>
      <c r="AT202" t="str">
        <f>IF(OR(AT$23="",ISNA($B202)),"",IF(ISBLANK($B202),"",IFERROR(_xll.BDP(TICKER,"DEEP_MEASURE_PERIOD_BROKER_VALUE","DEEP_MEASURE_ID_OVERRIDE",$C202,"DEEP_BROKER_ID_OVERRIDE",AT$24,"DEEP_PERIOD_OVERRIDE",$H$19)*1,"")))</f>
        <v/>
      </c>
      <c r="AU202" t="str">
        <f>IF(OR(AU$23="",ISNA($B202)),"",IF(ISBLANK($B202),"",IFERROR(_xll.BDP(TICKER,"DEEP_MEASURE_PERIOD_BROKER_VALUE","DEEP_MEASURE_ID_OVERRIDE",$C202,"DEEP_BROKER_ID_OVERRIDE",AU$24,"DEEP_PERIOD_OVERRIDE",$H$19)*1,"")))</f>
        <v/>
      </c>
      <c r="AV202" t="str">
        <f>IF(OR(AV$23="",ISNA($B202)),"",IF(ISBLANK($B202),"",IFERROR(_xll.BDP(TICKER,"DEEP_MEASURE_PERIOD_BROKER_VALUE","DEEP_MEASURE_ID_OVERRIDE",$C202,"DEEP_BROKER_ID_OVERRIDE",AV$24,"DEEP_PERIOD_OVERRIDE",$H$19)*1,"")))</f>
        <v/>
      </c>
      <c r="AW202" t="str">
        <f>IF(OR(AW$23="",ISNA($B202)),"",IF(ISBLANK($B202),"",IFERROR(_xll.BDP(TICKER,"DEEP_MEASURE_PERIOD_BROKER_VALUE","DEEP_MEASURE_ID_OVERRIDE",$C202,"DEEP_BROKER_ID_OVERRIDE",AW$24,"DEEP_PERIOD_OVERRIDE",$H$19)*1,"")))</f>
        <v/>
      </c>
      <c r="AX202" t="str">
        <f>IF(OR(AX$23="",ISNA($B202)),"",IF(ISBLANK($B202),"",IFERROR(_xll.BDP(TICKER,"DEEP_MEASURE_PERIOD_BROKER_VALUE","DEEP_MEASURE_ID_OVERRIDE",$C202,"DEEP_BROKER_ID_OVERRIDE",AX$24,"DEEP_PERIOD_OVERRIDE",$H$19)*1,"")))</f>
        <v/>
      </c>
      <c r="AY202" t="str">
        <f>IF(OR(AY$23="",ISNA($B202)),"",IF(ISBLANK($B202),"",IFERROR(_xll.BDP(TICKER,"DEEP_MEASURE_PERIOD_BROKER_VALUE","DEEP_MEASURE_ID_OVERRIDE",$C202,"DEEP_BROKER_ID_OVERRIDE",AY$24,"DEEP_PERIOD_OVERRIDE",$H$19)*1,"")))</f>
        <v/>
      </c>
      <c r="AZ202" t="str">
        <f>IF(OR(AZ$23="",ISNA($B202)),"",IF(ISBLANK($B202),"",IFERROR(_xll.BDP(TICKER,"DEEP_MEASURE_PERIOD_BROKER_VALUE","DEEP_MEASURE_ID_OVERRIDE",$C202,"DEEP_BROKER_ID_OVERRIDE",AZ$24,"DEEP_PERIOD_OVERRIDE",$H$19)*1,"")))</f>
        <v/>
      </c>
      <c r="BA202" t="str">
        <f>IF(OR(BA$23="",ISNA($B202)),"",IF(ISBLANK($B202),"",IFERROR(_xll.BDP(TICKER,"DEEP_MEASURE_PERIOD_BROKER_VALUE","DEEP_MEASURE_ID_OVERRIDE",$C202,"DEEP_BROKER_ID_OVERRIDE",BA$24,"DEEP_PERIOD_OVERRIDE",$H$19)*1,"")))</f>
        <v/>
      </c>
      <c r="BB202" t="str">
        <f>IF(OR(BB$23="",ISNA($B202)),"",IF(ISBLANK($B202),"",IFERROR(_xll.BDP(TICKER,"DEEP_MEASURE_PERIOD_BROKER_VALUE","DEEP_MEASURE_ID_OVERRIDE",$C202,"DEEP_BROKER_ID_OVERRIDE",BB$24,"DEEP_PERIOD_OVERRIDE",$H$19)*1,"")))</f>
        <v/>
      </c>
      <c r="BC202" t="str">
        <f>IF(OR(BC$23="",ISNA($B202)),"",IF(ISBLANK($B202),"",IFERROR(_xll.BDP(TICKER,"DEEP_MEASURE_PERIOD_BROKER_VALUE","DEEP_MEASURE_ID_OVERRIDE",$C202,"DEEP_BROKER_ID_OVERRIDE",BC$24,"DEEP_PERIOD_OVERRIDE",$H$19)*1,"")))</f>
        <v/>
      </c>
      <c r="BD202" t="str">
        <f>IF(OR(BD$23="",ISNA($B202)),"",IF(ISBLANK($B202),"",IFERROR(_xll.BDP(TICKER,"DEEP_MEASURE_PERIOD_BROKER_VALUE","DEEP_MEASURE_ID_OVERRIDE",$C202,"DEEP_BROKER_ID_OVERRIDE",BD$24,"DEEP_PERIOD_OVERRIDE",$H$19)*1,"")))</f>
        <v/>
      </c>
      <c r="BE202" t="str">
        <f>IF(OR(BE$23="",ISNA($B202)),"",IF(ISBLANK($B202),"",IFERROR(_xll.BDP(TICKER,"DEEP_MEASURE_PERIOD_BROKER_VALUE","DEEP_MEASURE_ID_OVERRIDE",$C202,"DEEP_BROKER_ID_OVERRIDE",BE$24,"DEEP_PERIOD_OVERRIDE",$H$19)*1,"")))</f>
        <v/>
      </c>
      <c r="BF202" t="str">
        <f>IF(OR(BF$23="",ISNA($B202)),"",IF(ISBLANK($B202),"",IFERROR(_xll.BDP(TICKER,"DEEP_MEASURE_PERIOD_BROKER_VALUE","DEEP_MEASURE_ID_OVERRIDE",$C202,"DEEP_BROKER_ID_OVERRIDE",BF$24,"DEEP_PERIOD_OVERRIDE",$H$19)*1,"")))</f>
        <v/>
      </c>
      <c r="BG202" t="str">
        <f>IF(OR(BG$23="",ISNA($B202)),"",IF(ISBLANK($B202),"",IFERROR(_xll.BDP(TICKER,"DEEP_MEASURE_PERIOD_BROKER_VALUE","DEEP_MEASURE_ID_OVERRIDE",$C202,"DEEP_BROKER_ID_OVERRIDE",BG$24,"DEEP_PERIOD_OVERRIDE",$H$19)*1,"")))</f>
        <v/>
      </c>
      <c r="BH202" t="str">
        <f>IF(OR(BH$23="",ISNA($B202)),"",IF(ISBLANK($B202),"",IFERROR(_xll.BDP(TICKER,"DEEP_MEASURE_PERIOD_BROKER_VALUE","DEEP_MEASURE_ID_OVERRIDE",$C202,"DEEP_BROKER_ID_OVERRIDE",BH$24,"DEEP_PERIOD_OVERRIDE",$H$19)*1,"")))</f>
        <v/>
      </c>
      <c r="BI202" t="str">
        <f>IF(OR(BI$23="",ISNA($B202)),"",IF(ISBLANK($B202),"",IFERROR(_xll.BDP(TICKER,"DEEP_MEASURE_PERIOD_BROKER_VALUE","DEEP_MEASURE_ID_OVERRIDE",$C202,"DEEP_BROKER_ID_OVERRIDE",BI$24,"DEEP_PERIOD_OVERRIDE",$H$19)*1,"")))</f>
        <v/>
      </c>
      <c r="BJ202" t="str">
        <f>IF(OR(BJ$23="",ISNA($B202)),"",IF(ISBLANK($B202),"",IFERROR(_xll.BDP(TICKER,"DEEP_MEASURE_PERIOD_BROKER_VALUE","DEEP_MEASURE_ID_OVERRIDE",$C202,"DEEP_BROKER_ID_OVERRIDE",BJ$24,"DEEP_PERIOD_OVERRIDE",$H$19)*1,"")))</f>
        <v/>
      </c>
      <c r="BK202" t="str">
        <f>IF(OR(BK$23="",ISNA($B202)),"",IF(ISBLANK($B202),"",IFERROR(_xll.BDP(TICKER,"DEEP_MEASURE_PERIOD_BROKER_VALUE","DEEP_MEASURE_ID_OVERRIDE",$C202,"DEEP_BROKER_ID_OVERRIDE",BK$24,"DEEP_PERIOD_OVERRIDE",$H$19)*1,"")))</f>
        <v/>
      </c>
      <c r="BL202" t="str">
        <f>IF(OR(BL$23="",ISNA($B202)),"",IF(ISBLANK($B202),"",IFERROR(_xll.BDP(TICKER,"DEEP_MEASURE_PERIOD_BROKER_VALUE","DEEP_MEASURE_ID_OVERRIDE",$C202,"DEEP_BROKER_ID_OVERRIDE",BL$24,"DEEP_PERIOD_OVERRIDE",$H$19)*1,"")))</f>
        <v/>
      </c>
      <c r="BM202" t="str">
        <f>IF(OR(BM$23="",ISNA($B202)),"",IF(ISBLANK($B202),"",IFERROR(_xll.BDP(TICKER,"DEEP_MEASURE_PERIOD_BROKER_VALUE","DEEP_MEASURE_ID_OVERRIDE",$C202,"DEEP_BROKER_ID_OVERRIDE",BM$24,"DEEP_PERIOD_OVERRIDE",$H$19)*1,"")))</f>
        <v/>
      </c>
      <c r="BN202" t="str">
        <f>IF(OR(BN$23="",ISNA($B202)),"",IF(ISBLANK($B202),"",IFERROR(_xll.BDP(TICKER,"DEEP_MEASURE_PERIOD_BROKER_VALUE","DEEP_MEASURE_ID_OVERRIDE",$C202,"DEEP_BROKER_ID_OVERRIDE",BN$24,"DEEP_PERIOD_OVERRIDE",$H$19)*1,"")))</f>
        <v/>
      </c>
      <c r="BO202" t="str">
        <f>IF(OR(BO$23="",ISNA($B202)),"",IF(ISBLANK($B202),"",IFERROR(_xll.BDP(TICKER,"DEEP_MEASURE_PERIOD_BROKER_VALUE","DEEP_MEASURE_ID_OVERRIDE",$C202,"DEEP_BROKER_ID_OVERRIDE",BO$24,"DEEP_PERIOD_OVERRIDE",$H$19)*1,"")))</f>
        <v/>
      </c>
      <c r="BP202" t="str">
        <f>IF(OR(BP$23="",ISNA($B202)),"",IF(ISBLANK($B202),"",IFERROR(_xll.BDP(TICKER,"DEEP_MEASURE_PERIOD_BROKER_VALUE","DEEP_MEASURE_ID_OVERRIDE",$C202,"DEEP_BROKER_ID_OVERRIDE",BP$24,"DEEP_PERIOD_OVERRIDE",$H$19)*1,"")))</f>
        <v/>
      </c>
      <c r="BQ202" t="str">
        <f>IF(OR(BQ$23="",ISNA($B202)),"",IF(ISBLANK($B202),"",IFERROR(_xll.BDP(TICKER,"DEEP_MEASURE_PERIOD_BROKER_VALUE","DEEP_MEASURE_ID_OVERRIDE",$C202,"DEEP_BROKER_ID_OVERRIDE",BQ$24,"DEEP_PERIOD_OVERRIDE",$H$19)*1,"")))</f>
        <v/>
      </c>
      <c r="BR202" t="str">
        <f>IF(OR(BR$23="",ISNA($B202)),"",IF(ISBLANK($B202),"",IFERROR(_xll.BDP(TICKER,"DEEP_MEASURE_PERIOD_BROKER_VALUE","DEEP_MEASURE_ID_OVERRIDE",$C202,"DEEP_BROKER_ID_OVERRIDE",BR$24,"DEEP_PERIOD_OVERRIDE",$H$19)*1,"")))</f>
        <v/>
      </c>
      <c r="BS202" t="str">
        <f>IF(OR(BS$23="",ISNA($B202)),"",IF(ISBLANK($B202),"",IFERROR(_xll.BDP(TICKER,"DEEP_MEASURE_PERIOD_BROKER_VALUE","DEEP_MEASURE_ID_OVERRIDE",$C202,"DEEP_BROKER_ID_OVERRIDE",BS$24,"DEEP_PERIOD_OVERRIDE",$H$19)*1,"")))</f>
        <v/>
      </c>
      <c r="BT202" t="str">
        <f>IF(OR(BT$23="",ISNA($B202)),"",IF(ISBLANK($B202),"",IFERROR(_xll.BDP(TICKER,"DEEP_MEASURE_PERIOD_BROKER_VALUE","DEEP_MEASURE_ID_OVERRIDE",$C202,"DEEP_BROKER_ID_OVERRIDE",BT$24,"DEEP_PERIOD_OVERRIDE",$H$19)*1,"")))</f>
        <v/>
      </c>
      <c r="BU202" t="str">
        <f>IF(OR(BU$23="",ISNA($B202)),"",IF(ISBLANK($B202),"",IFERROR(_xll.BDP(TICKER,"DEEP_MEASURE_PERIOD_BROKER_VALUE","DEEP_MEASURE_ID_OVERRIDE",$C202,"DEEP_BROKER_ID_OVERRIDE",BU$24,"DEEP_PERIOD_OVERRIDE",$H$19)*1,"")))</f>
        <v/>
      </c>
      <c r="BV202" t="str">
        <f>IF(OR(BV$23="",ISNA($B202)),"",IF(ISBLANK($B202),"",IFERROR(_xll.BDP(TICKER,"DEEP_MEASURE_PERIOD_BROKER_VALUE","DEEP_MEASURE_ID_OVERRIDE",$C202,"DEEP_BROKER_ID_OVERRIDE",BV$24,"DEEP_PERIOD_OVERRIDE",$H$19)*1,"")))</f>
        <v/>
      </c>
      <c r="BW202" t="str">
        <f>IF(OR(BW$23="",ISNA($B202)),"",IF(ISBLANK($B202),"",IFERROR(_xll.BDP(TICKER,"DEEP_MEASURE_PERIOD_BROKER_VALUE","DEEP_MEASURE_ID_OVERRIDE",$C202,"DEEP_BROKER_ID_OVERRIDE",BW$24,"DEEP_PERIOD_OVERRIDE",$H$19)*1,"")))</f>
        <v/>
      </c>
      <c r="BX202" t="str">
        <f>IF(OR(BX$23="",ISNA($B202)),"",IF(ISBLANK($B202),"",IFERROR(_xll.BDP(TICKER,"DEEP_MEASURE_PERIOD_BROKER_VALUE","DEEP_MEASURE_ID_OVERRIDE",$C202,"DEEP_BROKER_ID_OVERRIDE",BX$24,"DEEP_PERIOD_OVERRIDE",$H$19)*1,"")))</f>
        <v/>
      </c>
      <c r="BY202" t="str">
        <f>IF(OR(BY$23="",ISNA($B202)),"",IF(ISBLANK($B202),"",IFERROR(_xll.BDP(TICKER,"DEEP_MEASURE_PERIOD_BROKER_VALUE","DEEP_MEASURE_ID_OVERRIDE",$C202,"DEEP_BROKER_ID_OVERRIDE",BY$24,"DEEP_PERIOD_OVERRIDE",$H$19)*1,"")))</f>
        <v/>
      </c>
      <c r="BZ202" t="str">
        <f>IF(OR(BZ$23="",ISNA($B202)),"",IF(ISBLANK($B202),"",IFERROR(_xll.BDP(TICKER,"DEEP_MEASURE_PERIOD_BROKER_VALUE","DEEP_MEASURE_ID_OVERRIDE",$C202,"DEEP_BROKER_ID_OVERRIDE",BZ$24,"DEEP_PERIOD_OVERRIDE",$H$19)*1,"")))</f>
        <v/>
      </c>
    </row>
    <row r="203" spans="2:78" x14ac:dyDescent="0.25">
      <c r="B203" t="s">
        <v>25</v>
      </c>
      <c r="C203">
        <v>426</v>
      </c>
      <c r="H203" t="str">
        <f t="shared" si="3"/>
        <v>Cash from Investing Activities &gt; Capital Expenditures</v>
      </c>
      <c r="I203" t="str">
        <f>IF(OR(I$23="",ISNA($B203)),"",IF(ISBLANK($B203),"",IFERROR(_xll.BDP(TICKER,"DEEP_MEASURE_PERIOD_BROKER_VALUE","DEEP_MEASURE_ID_OVERRIDE",$C203,"DEEP_PERIOD_OVERRIDE",$H$19)*1,"")))</f>
        <v/>
      </c>
      <c r="J203" t="e">
        <f>IF(OR(J$23="",ISNA($B203)),"",IF(ISBLANK($B203),"",IFERROR(_xll.BDP(TICKER,"DEEP_MEASURE_PERIOD_BROKER_VALUE","DEEP_MEASURE_ID_OVERRIDE",$C203,"DEEP_BROKER_ID_OVERRIDE",J$24,"DEEP_PERIOD_OVERRIDE",$H$19)*1,"")))</f>
        <v>#REF!</v>
      </c>
      <c r="K203" t="str">
        <f>IF(OR(K$23="",ISNA($B203)),"",IF(ISBLANK($B203),"",IFERROR(_xll.BDP(TICKER,"DEEP_MEASURE_PERIOD_BROKER_VALUE","DEEP_MEASURE_ID_OVERRIDE",$C203,"DEEP_BROKER_ID_OVERRIDE",K$24,"DEEP_PERIOD_OVERRIDE",$H$19)*1,"")))</f>
        <v/>
      </c>
      <c r="L203" t="str">
        <f>IF(OR(L$23="",ISNA($B203)),"",IF(ISBLANK($B203),"",IFERROR(_xll.BDP(TICKER,"DEEP_MEASURE_PERIOD_BROKER_VALUE","DEEP_MEASURE_ID_OVERRIDE",$C203,"DEEP_BROKER_ID_OVERRIDE",L$24,"DEEP_PERIOD_OVERRIDE",$H$19)*1,"")))</f>
        <v/>
      </c>
      <c r="M203" t="str">
        <f>IF(OR(M$23="",ISNA($B203)),"",IF(ISBLANK($B203),"",IFERROR(_xll.BDP(TICKER,"DEEP_MEASURE_PERIOD_BROKER_VALUE","DEEP_MEASURE_ID_OVERRIDE",$C203,"DEEP_BROKER_ID_OVERRIDE",M$24,"DEEP_PERIOD_OVERRIDE",$H$19)*1,"")))</f>
        <v/>
      </c>
      <c r="N203" t="str">
        <f>IF(OR(N$23="",ISNA($B203)),"",IF(ISBLANK($B203),"",IFERROR(_xll.BDP(TICKER,"DEEP_MEASURE_PERIOD_BROKER_VALUE","DEEP_MEASURE_ID_OVERRIDE",$C203,"DEEP_BROKER_ID_OVERRIDE",N$24,"DEEP_PERIOD_OVERRIDE",$H$19)*1,"")))</f>
        <v/>
      </c>
      <c r="O203" t="str">
        <f>IF(OR(O$23="",ISNA($B203)),"",IF(ISBLANK($B203),"",IFERROR(_xll.BDP(TICKER,"DEEP_MEASURE_PERIOD_BROKER_VALUE","DEEP_MEASURE_ID_OVERRIDE",$C203,"DEEP_BROKER_ID_OVERRIDE",O$24,"DEEP_PERIOD_OVERRIDE",$H$19)*1,"")))</f>
        <v/>
      </c>
      <c r="P203" t="str">
        <f>IF(OR(P$23="",ISNA($B203)),"",IF(ISBLANK($B203),"",IFERROR(_xll.BDP(TICKER,"DEEP_MEASURE_PERIOD_BROKER_VALUE","DEEP_MEASURE_ID_OVERRIDE",$C203,"DEEP_BROKER_ID_OVERRIDE",P$24,"DEEP_PERIOD_OVERRIDE",$H$19)*1,"")))</f>
        <v/>
      </c>
      <c r="Q203" t="str">
        <f>IF(OR(Q$23="",ISNA($B203)),"",IF(ISBLANK($B203),"",IFERROR(_xll.BDP(TICKER,"DEEP_MEASURE_PERIOD_BROKER_VALUE","DEEP_MEASURE_ID_OVERRIDE",$C203,"DEEP_BROKER_ID_OVERRIDE",Q$24,"DEEP_PERIOD_OVERRIDE",$H$19)*1,"")))</f>
        <v/>
      </c>
      <c r="R203" t="str">
        <f>IF(OR(R$23="",ISNA($B203)),"",IF(ISBLANK($B203),"",IFERROR(_xll.BDP(TICKER,"DEEP_MEASURE_PERIOD_BROKER_VALUE","DEEP_MEASURE_ID_OVERRIDE",$C203,"DEEP_BROKER_ID_OVERRIDE",R$24,"DEEP_PERIOD_OVERRIDE",$H$19)*1,"")))</f>
        <v/>
      </c>
      <c r="S203" t="str">
        <f>IF(OR(S$23="",ISNA($B203)),"",IF(ISBLANK($B203),"",IFERROR(_xll.BDP(TICKER,"DEEP_MEASURE_PERIOD_BROKER_VALUE","DEEP_MEASURE_ID_OVERRIDE",$C203,"DEEP_BROKER_ID_OVERRIDE",S$24,"DEEP_PERIOD_OVERRIDE",$H$19)*1,"")))</f>
        <v/>
      </c>
      <c r="T203" t="str">
        <f>IF(OR(T$23="",ISNA($B203)),"",IF(ISBLANK($B203),"",IFERROR(_xll.BDP(TICKER,"DEEP_MEASURE_PERIOD_BROKER_VALUE","DEEP_MEASURE_ID_OVERRIDE",$C203,"DEEP_BROKER_ID_OVERRIDE",T$24,"DEEP_PERIOD_OVERRIDE",$H$19)*1,"")))</f>
        <v/>
      </c>
      <c r="U203" t="str">
        <f>IF(OR(U$23="",ISNA($B203)),"",IF(ISBLANK($B203),"",IFERROR(_xll.BDP(TICKER,"DEEP_MEASURE_PERIOD_BROKER_VALUE","DEEP_MEASURE_ID_OVERRIDE",$C203,"DEEP_BROKER_ID_OVERRIDE",U$24,"DEEP_PERIOD_OVERRIDE",$H$19)*1,"")))</f>
        <v/>
      </c>
      <c r="V203" t="str">
        <f>IF(OR(V$23="",ISNA($B203)),"",IF(ISBLANK($B203),"",IFERROR(_xll.BDP(TICKER,"DEEP_MEASURE_PERIOD_BROKER_VALUE","DEEP_MEASURE_ID_OVERRIDE",$C203,"DEEP_BROKER_ID_OVERRIDE",V$24,"DEEP_PERIOD_OVERRIDE",$H$19)*1,"")))</f>
        <v/>
      </c>
      <c r="W203" t="str">
        <f>IF(OR(W$23="",ISNA($B203)),"",IF(ISBLANK($B203),"",IFERROR(_xll.BDP(TICKER,"DEEP_MEASURE_PERIOD_BROKER_VALUE","DEEP_MEASURE_ID_OVERRIDE",$C203,"DEEP_BROKER_ID_OVERRIDE",W$24,"DEEP_PERIOD_OVERRIDE",$H$19)*1,"")))</f>
        <v/>
      </c>
      <c r="X203" t="str">
        <f>IF(OR(X$23="",ISNA($B203)),"",IF(ISBLANK($B203),"",IFERROR(_xll.BDP(TICKER,"DEEP_MEASURE_PERIOD_BROKER_VALUE","DEEP_MEASURE_ID_OVERRIDE",$C203,"DEEP_BROKER_ID_OVERRIDE",X$24,"DEEP_PERIOD_OVERRIDE",$H$19)*1,"")))</f>
        <v/>
      </c>
      <c r="Y203" t="str">
        <f>IF(OR(Y$23="",ISNA($B203)),"",IF(ISBLANK($B203),"",IFERROR(_xll.BDP(TICKER,"DEEP_MEASURE_PERIOD_BROKER_VALUE","DEEP_MEASURE_ID_OVERRIDE",$C203,"DEEP_BROKER_ID_OVERRIDE",Y$24,"DEEP_PERIOD_OVERRIDE",$H$19)*1,"")))</f>
        <v/>
      </c>
      <c r="Z203" t="str">
        <f>IF(OR(Z$23="",ISNA($B203)),"",IF(ISBLANK($B203),"",IFERROR(_xll.BDP(TICKER,"DEEP_MEASURE_PERIOD_BROKER_VALUE","DEEP_MEASURE_ID_OVERRIDE",$C203,"DEEP_BROKER_ID_OVERRIDE",Z$24,"DEEP_PERIOD_OVERRIDE",$H$19)*1,"")))</f>
        <v/>
      </c>
      <c r="AA203" t="str">
        <f>IF(OR(AA$23="",ISNA($B203)),"",IF(ISBLANK($B203),"",IFERROR(_xll.BDP(TICKER,"DEEP_MEASURE_PERIOD_BROKER_VALUE","DEEP_MEASURE_ID_OVERRIDE",$C203,"DEEP_BROKER_ID_OVERRIDE",AA$24,"DEEP_PERIOD_OVERRIDE",$H$19)*1,"")))</f>
        <v/>
      </c>
      <c r="AB203" t="str">
        <f>IF(OR(AB$23="",ISNA($B203)),"",IF(ISBLANK($B203),"",IFERROR(_xll.BDP(TICKER,"DEEP_MEASURE_PERIOD_BROKER_VALUE","DEEP_MEASURE_ID_OVERRIDE",$C203,"DEEP_BROKER_ID_OVERRIDE",AB$24,"DEEP_PERIOD_OVERRIDE",$H$19)*1,"")))</f>
        <v/>
      </c>
      <c r="AC203" t="str">
        <f>IF(OR(AC$23="",ISNA($B203)),"",IF(ISBLANK($B203),"",IFERROR(_xll.BDP(TICKER,"DEEP_MEASURE_PERIOD_BROKER_VALUE","DEEP_MEASURE_ID_OVERRIDE",$C203,"DEEP_BROKER_ID_OVERRIDE",AC$24,"DEEP_PERIOD_OVERRIDE",$H$19)*1,"")))</f>
        <v/>
      </c>
      <c r="AD203" t="str">
        <f>IF(OR(AD$23="",ISNA($B203)),"",IF(ISBLANK($B203),"",IFERROR(_xll.BDP(TICKER,"DEEP_MEASURE_PERIOD_BROKER_VALUE","DEEP_MEASURE_ID_OVERRIDE",$C203,"DEEP_BROKER_ID_OVERRIDE",AD$24,"DEEP_PERIOD_OVERRIDE",$H$19)*1,"")))</f>
        <v/>
      </c>
      <c r="AE203" t="str">
        <f>IF(OR(AE$23="",ISNA($B203)),"",IF(ISBLANK($B203),"",IFERROR(_xll.BDP(TICKER,"DEEP_MEASURE_PERIOD_BROKER_VALUE","DEEP_MEASURE_ID_OVERRIDE",$C203,"DEEP_BROKER_ID_OVERRIDE",AE$24,"DEEP_PERIOD_OVERRIDE",$H$19)*1,"")))</f>
        <v/>
      </c>
      <c r="AF203" t="str">
        <f>IF(OR(AF$23="",ISNA($B203)),"",IF(ISBLANK($B203),"",IFERROR(_xll.BDP(TICKER,"DEEP_MEASURE_PERIOD_BROKER_VALUE","DEEP_MEASURE_ID_OVERRIDE",$C203,"DEEP_BROKER_ID_OVERRIDE",AF$24,"DEEP_PERIOD_OVERRIDE",$H$19)*1,"")))</f>
        <v/>
      </c>
      <c r="AG203" t="str">
        <f>IF(OR(AG$23="",ISNA($B203)),"",IF(ISBLANK($B203),"",IFERROR(_xll.BDP(TICKER,"DEEP_MEASURE_PERIOD_BROKER_VALUE","DEEP_MEASURE_ID_OVERRIDE",$C203,"DEEP_BROKER_ID_OVERRIDE",AG$24,"DEEP_PERIOD_OVERRIDE",$H$19)*1,"")))</f>
        <v/>
      </c>
      <c r="AH203" t="str">
        <f>IF(OR(AH$23="",ISNA($B203)),"",IF(ISBLANK($B203),"",IFERROR(_xll.BDP(TICKER,"DEEP_MEASURE_PERIOD_BROKER_VALUE","DEEP_MEASURE_ID_OVERRIDE",$C203,"DEEP_BROKER_ID_OVERRIDE",AH$24,"DEEP_PERIOD_OVERRIDE",$H$19)*1,"")))</f>
        <v/>
      </c>
      <c r="AI203" t="str">
        <f>IF(OR(AI$23="",ISNA($B203)),"",IF(ISBLANK($B203),"",IFERROR(_xll.BDP(TICKER,"DEEP_MEASURE_PERIOD_BROKER_VALUE","DEEP_MEASURE_ID_OVERRIDE",$C203,"DEEP_BROKER_ID_OVERRIDE",AI$24,"DEEP_PERIOD_OVERRIDE",$H$19)*1,"")))</f>
        <v/>
      </c>
      <c r="AJ203" t="str">
        <f>IF(OR(AJ$23="",ISNA($B203)),"",IF(ISBLANK($B203),"",IFERROR(_xll.BDP(TICKER,"DEEP_MEASURE_PERIOD_BROKER_VALUE","DEEP_MEASURE_ID_OVERRIDE",$C203,"DEEP_BROKER_ID_OVERRIDE",AJ$24,"DEEP_PERIOD_OVERRIDE",$H$19)*1,"")))</f>
        <v/>
      </c>
      <c r="AK203" t="str">
        <f>IF(OR(AK$23="",ISNA($B203)),"",IF(ISBLANK($B203),"",IFERROR(_xll.BDP(TICKER,"DEEP_MEASURE_PERIOD_BROKER_VALUE","DEEP_MEASURE_ID_OVERRIDE",$C203,"DEEP_BROKER_ID_OVERRIDE",AK$24,"DEEP_PERIOD_OVERRIDE",$H$19)*1,"")))</f>
        <v/>
      </c>
      <c r="AL203" t="str">
        <f>IF(OR(AL$23="",ISNA($B203)),"",IF(ISBLANK($B203),"",IFERROR(_xll.BDP(TICKER,"DEEP_MEASURE_PERIOD_BROKER_VALUE","DEEP_MEASURE_ID_OVERRIDE",$C203,"DEEP_BROKER_ID_OVERRIDE",AL$24,"DEEP_PERIOD_OVERRIDE",$H$19)*1,"")))</f>
        <v/>
      </c>
      <c r="AM203" t="str">
        <f>IF(OR(AM$23="",ISNA($B203)),"",IF(ISBLANK($B203),"",IFERROR(_xll.BDP(TICKER,"DEEP_MEASURE_PERIOD_BROKER_VALUE","DEEP_MEASURE_ID_OVERRIDE",$C203,"DEEP_BROKER_ID_OVERRIDE",AM$24,"DEEP_PERIOD_OVERRIDE",$H$19)*1,"")))</f>
        <v/>
      </c>
      <c r="AN203" t="str">
        <f>IF(OR(AN$23="",ISNA($B203)),"",IF(ISBLANK($B203),"",IFERROR(_xll.BDP(TICKER,"DEEP_MEASURE_PERIOD_BROKER_VALUE","DEEP_MEASURE_ID_OVERRIDE",$C203,"DEEP_BROKER_ID_OVERRIDE",AN$24,"DEEP_PERIOD_OVERRIDE",$H$19)*1,"")))</f>
        <v/>
      </c>
      <c r="AO203" t="str">
        <f>IF(OR(AO$23="",ISNA($B203)),"",IF(ISBLANK($B203),"",IFERROR(_xll.BDP(TICKER,"DEEP_MEASURE_PERIOD_BROKER_VALUE","DEEP_MEASURE_ID_OVERRIDE",$C203,"DEEP_BROKER_ID_OVERRIDE",AO$24,"DEEP_PERIOD_OVERRIDE",$H$19)*1,"")))</f>
        <v/>
      </c>
      <c r="AP203" t="str">
        <f>IF(OR(AP$23="",ISNA($B203)),"",IF(ISBLANK($B203),"",IFERROR(_xll.BDP(TICKER,"DEEP_MEASURE_PERIOD_BROKER_VALUE","DEEP_MEASURE_ID_OVERRIDE",$C203,"DEEP_BROKER_ID_OVERRIDE",AP$24,"DEEP_PERIOD_OVERRIDE",$H$19)*1,"")))</f>
        <v/>
      </c>
      <c r="AQ203" t="str">
        <f>IF(OR(AQ$23="",ISNA($B203)),"",IF(ISBLANK($B203),"",IFERROR(_xll.BDP(TICKER,"DEEP_MEASURE_PERIOD_BROKER_VALUE","DEEP_MEASURE_ID_OVERRIDE",$C203,"DEEP_BROKER_ID_OVERRIDE",AQ$24,"DEEP_PERIOD_OVERRIDE",$H$19)*1,"")))</f>
        <v/>
      </c>
      <c r="AR203" t="str">
        <f>IF(OR(AR$23="",ISNA($B203)),"",IF(ISBLANK($B203),"",IFERROR(_xll.BDP(TICKER,"DEEP_MEASURE_PERIOD_BROKER_VALUE","DEEP_MEASURE_ID_OVERRIDE",$C203,"DEEP_BROKER_ID_OVERRIDE",AR$24,"DEEP_PERIOD_OVERRIDE",$H$19)*1,"")))</f>
        <v/>
      </c>
      <c r="AS203" t="str">
        <f>IF(OR(AS$23="",ISNA($B203)),"",IF(ISBLANK($B203),"",IFERROR(_xll.BDP(TICKER,"DEEP_MEASURE_PERIOD_BROKER_VALUE","DEEP_MEASURE_ID_OVERRIDE",$C203,"DEEP_BROKER_ID_OVERRIDE",AS$24,"DEEP_PERIOD_OVERRIDE",$H$19)*1,"")))</f>
        <v/>
      </c>
      <c r="AT203" t="str">
        <f>IF(OR(AT$23="",ISNA($B203)),"",IF(ISBLANK($B203),"",IFERROR(_xll.BDP(TICKER,"DEEP_MEASURE_PERIOD_BROKER_VALUE","DEEP_MEASURE_ID_OVERRIDE",$C203,"DEEP_BROKER_ID_OVERRIDE",AT$24,"DEEP_PERIOD_OVERRIDE",$H$19)*1,"")))</f>
        <v/>
      </c>
      <c r="AU203" t="str">
        <f>IF(OR(AU$23="",ISNA($B203)),"",IF(ISBLANK($B203),"",IFERROR(_xll.BDP(TICKER,"DEEP_MEASURE_PERIOD_BROKER_VALUE","DEEP_MEASURE_ID_OVERRIDE",$C203,"DEEP_BROKER_ID_OVERRIDE",AU$24,"DEEP_PERIOD_OVERRIDE",$H$19)*1,"")))</f>
        <v/>
      </c>
      <c r="AV203" t="str">
        <f>IF(OR(AV$23="",ISNA($B203)),"",IF(ISBLANK($B203),"",IFERROR(_xll.BDP(TICKER,"DEEP_MEASURE_PERIOD_BROKER_VALUE","DEEP_MEASURE_ID_OVERRIDE",$C203,"DEEP_BROKER_ID_OVERRIDE",AV$24,"DEEP_PERIOD_OVERRIDE",$H$19)*1,"")))</f>
        <v/>
      </c>
      <c r="AW203" t="str">
        <f>IF(OR(AW$23="",ISNA($B203)),"",IF(ISBLANK($B203),"",IFERROR(_xll.BDP(TICKER,"DEEP_MEASURE_PERIOD_BROKER_VALUE","DEEP_MEASURE_ID_OVERRIDE",$C203,"DEEP_BROKER_ID_OVERRIDE",AW$24,"DEEP_PERIOD_OVERRIDE",$H$19)*1,"")))</f>
        <v/>
      </c>
      <c r="AX203" t="str">
        <f>IF(OR(AX$23="",ISNA($B203)),"",IF(ISBLANK($B203),"",IFERROR(_xll.BDP(TICKER,"DEEP_MEASURE_PERIOD_BROKER_VALUE","DEEP_MEASURE_ID_OVERRIDE",$C203,"DEEP_BROKER_ID_OVERRIDE",AX$24,"DEEP_PERIOD_OVERRIDE",$H$19)*1,"")))</f>
        <v/>
      </c>
      <c r="AY203" t="str">
        <f>IF(OR(AY$23="",ISNA($B203)),"",IF(ISBLANK($B203),"",IFERROR(_xll.BDP(TICKER,"DEEP_MEASURE_PERIOD_BROKER_VALUE","DEEP_MEASURE_ID_OVERRIDE",$C203,"DEEP_BROKER_ID_OVERRIDE",AY$24,"DEEP_PERIOD_OVERRIDE",$H$19)*1,"")))</f>
        <v/>
      </c>
      <c r="AZ203" t="str">
        <f>IF(OR(AZ$23="",ISNA($B203)),"",IF(ISBLANK($B203),"",IFERROR(_xll.BDP(TICKER,"DEEP_MEASURE_PERIOD_BROKER_VALUE","DEEP_MEASURE_ID_OVERRIDE",$C203,"DEEP_BROKER_ID_OVERRIDE",AZ$24,"DEEP_PERIOD_OVERRIDE",$H$19)*1,"")))</f>
        <v/>
      </c>
      <c r="BA203" t="str">
        <f>IF(OR(BA$23="",ISNA($B203)),"",IF(ISBLANK($B203),"",IFERROR(_xll.BDP(TICKER,"DEEP_MEASURE_PERIOD_BROKER_VALUE","DEEP_MEASURE_ID_OVERRIDE",$C203,"DEEP_BROKER_ID_OVERRIDE",BA$24,"DEEP_PERIOD_OVERRIDE",$H$19)*1,"")))</f>
        <v/>
      </c>
      <c r="BB203" t="str">
        <f>IF(OR(BB$23="",ISNA($B203)),"",IF(ISBLANK($B203),"",IFERROR(_xll.BDP(TICKER,"DEEP_MEASURE_PERIOD_BROKER_VALUE","DEEP_MEASURE_ID_OVERRIDE",$C203,"DEEP_BROKER_ID_OVERRIDE",BB$24,"DEEP_PERIOD_OVERRIDE",$H$19)*1,"")))</f>
        <v/>
      </c>
      <c r="BC203" t="str">
        <f>IF(OR(BC$23="",ISNA($B203)),"",IF(ISBLANK($B203),"",IFERROR(_xll.BDP(TICKER,"DEEP_MEASURE_PERIOD_BROKER_VALUE","DEEP_MEASURE_ID_OVERRIDE",$C203,"DEEP_BROKER_ID_OVERRIDE",BC$24,"DEEP_PERIOD_OVERRIDE",$H$19)*1,"")))</f>
        <v/>
      </c>
      <c r="BD203" t="str">
        <f>IF(OR(BD$23="",ISNA($B203)),"",IF(ISBLANK($B203),"",IFERROR(_xll.BDP(TICKER,"DEEP_MEASURE_PERIOD_BROKER_VALUE","DEEP_MEASURE_ID_OVERRIDE",$C203,"DEEP_BROKER_ID_OVERRIDE",BD$24,"DEEP_PERIOD_OVERRIDE",$H$19)*1,"")))</f>
        <v/>
      </c>
      <c r="BE203" t="str">
        <f>IF(OR(BE$23="",ISNA($B203)),"",IF(ISBLANK($B203),"",IFERROR(_xll.BDP(TICKER,"DEEP_MEASURE_PERIOD_BROKER_VALUE","DEEP_MEASURE_ID_OVERRIDE",$C203,"DEEP_BROKER_ID_OVERRIDE",BE$24,"DEEP_PERIOD_OVERRIDE",$H$19)*1,"")))</f>
        <v/>
      </c>
      <c r="BF203" t="str">
        <f>IF(OR(BF$23="",ISNA($B203)),"",IF(ISBLANK($B203),"",IFERROR(_xll.BDP(TICKER,"DEEP_MEASURE_PERIOD_BROKER_VALUE","DEEP_MEASURE_ID_OVERRIDE",$C203,"DEEP_BROKER_ID_OVERRIDE",BF$24,"DEEP_PERIOD_OVERRIDE",$H$19)*1,"")))</f>
        <v/>
      </c>
      <c r="BG203" t="str">
        <f>IF(OR(BG$23="",ISNA($B203)),"",IF(ISBLANK($B203),"",IFERROR(_xll.BDP(TICKER,"DEEP_MEASURE_PERIOD_BROKER_VALUE","DEEP_MEASURE_ID_OVERRIDE",$C203,"DEEP_BROKER_ID_OVERRIDE",BG$24,"DEEP_PERIOD_OVERRIDE",$H$19)*1,"")))</f>
        <v/>
      </c>
      <c r="BH203" t="str">
        <f>IF(OR(BH$23="",ISNA($B203)),"",IF(ISBLANK($B203),"",IFERROR(_xll.BDP(TICKER,"DEEP_MEASURE_PERIOD_BROKER_VALUE","DEEP_MEASURE_ID_OVERRIDE",$C203,"DEEP_BROKER_ID_OVERRIDE",BH$24,"DEEP_PERIOD_OVERRIDE",$H$19)*1,"")))</f>
        <v/>
      </c>
      <c r="BI203" t="str">
        <f>IF(OR(BI$23="",ISNA($B203)),"",IF(ISBLANK($B203),"",IFERROR(_xll.BDP(TICKER,"DEEP_MEASURE_PERIOD_BROKER_VALUE","DEEP_MEASURE_ID_OVERRIDE",$C203,"DEEP_BROKER_ID_OVERRIDE",BI$24,"DEEP_PERIOD_OVERRIDE",$H$19)*1,"")))</f>
        <v/>
      </c>
      <c r="BJ203" t="str">
        <f>IF(OR(BJ$23="",ISNA($B203)),"",IF(ISBLANK($B203),"",IFERROR(_xll.BDP(TICKER,"DEEP_MEASURE_PERIOD_BROKER_VALUE","DEEP_MEASURE_ID_OVERRIDE",$C203,"DEEP_BROKER_ID_OVERRIDE",BJ$24,"DEEP_PERIOD_OVERRIDE",$H$19)*1,"")))</f>
        <v/>
      </c>
      <c r="BK203" t="str">
        <f>IF(OR(BK$23="",ISNA($B203)),"",IF(ISBLANK($B203),"",IFERROR(_xll.BDP(TICKER,"DEEP_MEASURE_PERIOD_BROKER_VALUE","DEEP_MEASURE_ID_OVERRIDE",$C203,"DEEP_BROKER_ID_OVERRIDE",BK$24,"DEEP_PERIOD_OVERRIDE",$H$19)*1,"")))</f>
        <v/>
      </c>
      <c r="BL203" t="str">
        <f>IF(OR(BL$23="",ISNA($B203)),"",IF(ISBLANK($B203),"",IFERROR(_xll.BDP(TICKER,"DEEP_MEASURE_PERIOD_BROKER_VALUE","DEEP_MEASURE_ID_OVERRIDE",$C203,"DEEP_BROKER_ID_OVERRIDE",BL$24,"DEEP_PERIOD_OVERRIDE",$H$19)*1,"")))</f>
        <v/>
      </c>
      <c r="BM203" t="str">
        <f>IF(OR(BM$23="",ISNA($B203)),"",IF(ISBLANK($B203),"",IFERROR(_xll.BDP(TICKER,"DEEP_MEASURE_PERIOD_BROKER_VALUE","DEEP_MEASURE_ID_OVERRIDE",$C203,"DEEP_BROKER_ID_OVERRIDE",BM$24,"DEEP_PERIOD_OVERRIDE",$H$19)*1,"")))</f>
        <v/>
      </c>
      <c r="BN203" t="str">
        <f>IF(OR(BN$23="",ISNA($B203)),"",IF(ISBLANK($B203),"",IFERROR(_xll.BDP(TICKER,"DEEP_MEASURE_PERIOD_BROKER_VALUE","DEEP_MEASURE_ID_OVERRIDE",$C203,"DEEP_BROKER_ID_OVERRIDE",BN$24,"DEEP_PERIOD_OVERRIDE",$H$19)*1,"")))</f>
        <v/>
      </c>
      <c r="BO203" t="str">
        <f>IF(OR(BO$23="",ISNA($B203)),"",IF(ISBLANK($B203),"",IFERROR(_xll.BDP(TICKER,"DEEP_MEASURE_PERIOD_BROKER_VALUE","DEEP_MEASURE_ID_OVERRIDE",$C203,"DEEP_BROKER_ID_OVERRIDE",BO$24,"DEEP_PERIOD_OVERRIDE",$H$19)*1,"")))</f>
        <v/>
      </c>
      <c r="BP203" t="str">
        <f>IF(OR(BP$23="",ISNA($B203)),"",IF(ISBLANK($B203),"",IFERROR(_xll.BDP(TICKER,"DEEP_MEASURE_PERIOD_BROKER_VALUE","DEEP_MEASURE_ID_OVERRIDE",$C203,"DEEP_BROKER_ID_OVERRIDE",BP$24,"DEEP_PERIOD_OVERRIDE",$H$19)*1,"")))</f>
        <v/>
      </c>
      <c r="BQ203" t="str">
        <f>IF(OR(BQ$23="",ISNA($B203)),"",IF(ISBLANK($B203),"",IFERROR(_xll.BDP(TICKER,"DEEP_MEASURE_PERIOD_BROKER_VALUE","DEEP_MEASURE_ID_OVERRIDE",$C203,"DEEP_BROKER_ID_OVERRIDE",BQ$24,"DEEP_PERIOD_OVERRIDE",$H$19)*1,"")))</f>
        <v/>
      </c>
      <c r="BR203" t="str">
        <f>IF(OR(BR$23="",ISNA($B203)),"",IF(ISBLANK($B203),"",IFERROR(_xll.BDP(TICKER,"DEEP_MEASURE_PERIOD_BROKER_VALUE","DEEP_MEASURE_ID_OVERRIDE",$C203,"DEEP_BROKER_ID_OVERRIDE",BR$24,"DEEP_PERIOD_OVERRIDE",$H$19)*1,"")))</f>
        <v/>
      </c>
      <c r="BS203" t="str">
        <f>IF(OR(BS$23="",ISNA($B203)),"",IF(ISBLANK($B203),"",IFERROR(_xll.BDP(TICKER,"DEEP_MEASURE_PERIOD_BROKER_VALUE","DEEP_MEASURE_ID_OVERRIDE",$C203,"DEEP_BROKER_ID_OVERRIDE",BS$24,"DEEP_PERIOD_OVERRIDE",$H$19)*1,"")))</f>
        <v/>
      </c>
      <c r="BT203" t="str">
        <f>IF(OR(BT$23="",ISNA($B203)),"",IF(ISBLANK($B203),"",IFERROR(_xll.BDP(TICKER,"DEEP_MEASURE_PERIOD_BROKER_VALUE","DEEP_MEASURE_ID_OVERRIDE",$C203,"DEEP_BROKER_ID_OVERRIDE",BT$24,"DEEP_PERIOD_OVERRIDE",$H$19)*1,"")))</f>
        <v/>
      </c>
      <c r="BU203" t="str">
        <f>IF(OR(BU$23="",ISNA($B203)),"",IF(ISBLANK($B203),"",IFERROR(_xll.BDP(TICKER,"DEEP_MEASURE_PERIOD_BROKER_VALUE","DEEP_MEASURE_ID_OVERRIDE",$C203,"DEEP_BROKER_ID_OVERRIDE",BU$24,"DEEP_PERIOD_OVERRIDE",$H$19)*1,"")))</f>
        <v/>
      </c>
      <c r="BV203" t="str">
        <f>IF(OR(BV$23="",ISNA($B203)),"",IF(ISBLANK($B203),"",IFERROR(_xll.BDP(TICKER,"DEEP_MEASURE_PERIOD_BROKER_VALUE","DEEP_MEASURE_ID_OVERRIDE",$C203,"DEEP_BROKER_ID_OVERRIDE",BV$24,"DEEP_PERIOD_OVERRIDE",$H$19)*1,"")))</f>
        <v/>
      </c>
      <c r="BW203" t="str">
        <f>IF(OR(BW$23="",ISNA($B203)),"",IF(ISBLANK($B203),"",IFERROR(_xll.BDP(TICKER,"DEEP_MEASURE_PERIOD_BROKER_VALUE","DEEP_MEASURE_ID_OVERRIDE",$C203,"DEEP_BROKER_ID_OVERRIDE",BW$24,"DEEP_PERIOD_OVERRIDE",$H$19)*1,"")))</f>
        <v/>
      </c>
      <c r="BX203" t="str">
        <f>IF(OR(BX$23="",ISNA($B203)),"",IF(ISBLANK($B203),"",IFERROR(_xll.BDP(TICKER,"DEEP_MEASURE_PERIOD_BROKER_VALUE","DEEP_MEASURE_ID_OVERRIDE",$C203,"DEEP_BROKER_ID_OVERRIDE",BX$24,"DEEP_PERIOD_OVERRIDE",$H$19)*1,"")))</f>
        <v/>
      </c>
      <c r="BY203" t="str">
        <f>IF(OR(BY$23="",ISNA($B203)),"",IF(ISBLANK($B203),"",IFERROR(_xll.BDP(TICKER,"DEEP_MEASURE_PERIOD_BROKER_VALUE","DEEP_MEASURE_ID_OVERRIDE",$C203,"DEEP_BROKER_ID_OVERRIDE",BY$24,"DEEP_PERIOD_OVERRIDE",$H$19)*1,"")))</f>
        <v/>
      </c>
      <c r="BZ203" t="str">
        <f>IF(OR(BZ$23="",ISNA($B203)),"",IF(ISBLANK($B203),"",IFERROR(_xll.BDP(TICKER,"DEEP_MEASURE_PERIOD_BROKER_VALUE","DEEP_MEASURE_ID_OVERRIDE",$C203,"DEEP_BROKER_ID_OVERRIDE",BZ$24,"DEEP_PERIOD_OVERRIDE",$H$19)*1,"")))</f>
        <v/>
      </c>
    </row>
    <row r="204" spans="2:78" x14ac:dyDescent="0.25">
      <c r="B204" t="s">
        <v>210</v>
      </c>
      <c r="C204">
        <v>4976</v>
      </c>
      <c r="H204" t="str">
        <f t="shared" si="3"/>
        <v>Cash from Investing Activities &gt; Capital Expenditures &gt; As % of Revenue</v>
      </c>
      <c r="I204" t="str">
        <f>IF(OR(I$23="",ISNA($B204)),"",IF(ISBLANK($B204),"",IFERROR(_xll.BDP(TICKER,"DEEP_MEASURE_PERIOD_BROKER_VALUE","DEEP_MEASURE_ID_OVERRIDE",$C204,"DEEP_PERIOD_OVERRIDE",$H$19)*1,"")))</f>
        <v/>
      </c>
      <c r="J204" t="e">
        <f>IF(OR(J$23="",ISNA($B204)),"",IF(ISBLANK($B204),"",IFERROR(_xll.BDP(TICKER,"DEEP_MEASURE_PERIOD_BROKER_VALUE","DEEP_MEASURE_ID_OVERRIDE",$C204,"DEEP_BROKER_ID_OVERRIDE",J$24,"DEEP_PERIOD_OVERRIDE",$H$19)*1,"")))</f>
        <v>#REF!</v>
      </c>
      <c r="K204" t="str">
        <f>IF(OR(K$23="",ISNA($B204)),"",IF(ISBLANK($B204),"",IFERROR(_xll.BDP(TICKER,"DEEP_MEASURE_PERIOD_BROKER_VALUE","DEEP_MEASURE_ID_OVERRIDE",$C204,"DEEP_BROKER_ID_OVERRIDE",K$24,"DEEP_PERIOD_OVERRIDE",$H$19)*1,"")))</f>
        <v/>
      </c>
      <c r="L204" t="str">
        <f>IF(OR(L$23="",ISNA($B204)),"",IF(ISBLANK($B204),"",IFERROR(_xll.BDP(TICKER,"DEEP_MEASURE_PERIOD_BROKER_VALUE","DEEP_MEASURE_ID_OVERRIDE",$C204,"DEEP_BROKER_ID_OVERRIDE",L$24,"DEEP_PERIOD_OVERRIDE",$H$19)*1,"")))</f>
        <v/>
      </c>
      <c r="M204" t="str">
        <f>IF(OR(M$23="",ISNA($B204)),"",IF(ISBLANK($B204),"",IFERROR(_xll.BDP(TICKER,"DEEP_MEASURE_PERIOD_BROKER_VALUE","DEEP_MEASURE_ID_OVERRIDE",$C204,"DEEP_BROKER_ID_OVERRIDE",M$24,"DEEP_PERIOD_OVERRIDE",$H$19)*1,"")))</f>
        <v/>
      </c>
      <c r="N204" t="str">
        <f>IF(OR(N$23="",ISNA($B204)),"",IF(ISBLANK($B204),"",IFERROR(_xll.BDP(TICKER,"DEEP_MEASURE_PERIOD_BROKER_VALUE","DEEP_MEASURE_ID_OVERRIDE",$C204,"DEEP_BROKER_ID_OVERRIDE",N$24,"DEEP_PERIOD_OVERRIDE",$H$19)*1,"")))</f>
        <v/>
      </c>
      <c r="O204" t="str">
        <f>IF(OR(O$23="",ISNA($B204)),"",IF(ISBLANK($B204),"",IFERROR(_xll.BDP(TICKER,"DEEP_MEASURE_PERIOD_BROKER_VALUE","DEEP_MEASURE_ID_OVERRIDE",$C204,"DEEP_BROKER_ID_OVERRIDE",O$24,"DEEP_PERIOD_OVERRIDE",$H$19)*1,"")))</f>
        <v/>
      </c>
      <c r="P204" t="str">
        <f>IF(OR(P$23="",ISNA($B204)),"",IF(ISBLANK($B204),"",IFERROR(_xll.BDP(TICKER,"DEEP_MEASURE_PERIOD_BROKER_VALUE","DEEP_MEASURE_ID_OVERRIDE",$C204,"DEEP_BROKER_ID_OVERRIDE",P$24,"DEEP_PERIOD_OVERRIDE",$H$19)*1,"")))</f>
        <v/>
      </c>
      <c r="Q204" t="str">
        <f>IF(OR(Q$23="",ISNA($B204)),"",IF(ISBLANK($B204),"",IFERROR(_xll.BDP(TICKER,"DEEP_MEASURE_PERIOD_BROKER_VALUE","DEEP_MEASURE_ID_OVERRIDE",$C204,"DEEP_BROKER_ID_OVERRIDE",Q$24,"DEEP_PERIOD_OVERRIDE",$H$19)*1,"")))</f>
        <v/>
      </c>
      <c r="R204" t="str">
        <f>IF(OR(R$23="",ISNA($B204)),"",IF(ISBLANK($B204),"",IFERROR(_xll.BDP(TICKER,"DEEP_MEASURE_PERIOD_BROKER_VALUE","DEEP_MEASURE_ID_OVERRIDE",$C204,"DEEP_BROKER_ID_OVERRIDE",R$24,"DEEP_PERIOD_OVERRIDE",$H$19)*1,"")))</f>
        <v/>
      </c>
      <c r="S204" t="str">
        <f>IF(OR(S$23="",ISNA($B204)),"",IF(ISBLANK($B204),"",IFERROR(_xll.BDP(TICKER,"DEEP_MEASURE_PERIOD_BROKER_VALUE","DEEP_MEASURE_ID_OVERRIDE",$C204,"DEEP_BROKER_ID_OVERRIDE",S$24,"DEEP_PERIOD_OVERRIDE",$H$19)*1,"")))</f>
        <v/>
      </c>
      <c r="T204" t="str">
        <f>IF(OR(T$23="",ISNA($B204)),"",IF(ISBLANK($B204),"",IFERROR(_xll.BDP(TICKER,"DEEP_MEASURE_PERIOD_BROKER_VALUE","DEEP_MEASURE_ID_OVERRIDE",$C204,"DEEP_BROKER_ID_OVERRIDE",T$24,"DEEP_PERIOD_OVERRIDE",$H$19)*1,"")))</f>
        <v/>
      </c>
      <c r="U204" t="str">
        <f>IF(OR(U$23="",ISNA($B204)),"",IF(ISBLANK($B204),"",IFERROR(_xll.BDP(TICKER,"DEEP_MEASURE_PERIOD_BROKER_VALUE","DEEP_MEASURE_ID_OVERRIDE",$C204,"DEEP_BROKER_ID_OVERRIDE",U$24,"DEEP_PERIOD_OVERRIDE",$H$19)*1,"")))</f>
        <v/>
      </c>
      <c r="V204" t="str">
        <f>IF(OR(V$23="",ISNA($B204)),"",IF(ISBLANK($B204),"",IFERROR(_xll.BDP(TICKER,"DEEP_MEASURE_PERIOD_BROKER_VALUE","DEEP_MEASURE_ID_OVERRIDE",$C204,"DEEP_BROKER_ID_OVERRIDE",V$24,"DEEP_PERIOD_OVERRIDE",$H$19)*1,"")))</f>
        <v/>
      </c>
      <c r="W204" t="str">
        <f>IF(OR(W$23="",ISNA($B204)),"",IF(ISBLANK($B204),"",IFERROR(_xll.BDP(TICKER,"DEEP_MEASURE_PERIOD_BROKER_VALUE","DEEP_MEASURE_ID_OVERRIDE",$C204,"DEEP_BROKER_ID_OVERRIDE",W$24,"DEEP_PERIOD_OVERRIDE",$H$19)*1,"")))</f>
        <v/>
      </c>
      <c r="X204" t="str">
        <f>IF(OR(X$23="",ISNA($B204)),"",IF(ISBLANK($B204),"",IFERROR(_xll.BDP(TICKER,"DEEP_MEASURE_PERIOD_BROKER_VALUE","DEEP_MEASURE_ID_OVERRIDE",$C204,"DEEP_BROKER_ID_OVERRIDE",X$24,"DEEP_PERIOD_OVERRIDE",$H$19)*1,"")))</f>
        <v/>
      </c>
      <c r="Y204" t="str">
        <f>IF(OR(Y$23="",ISNA($B204)),"",IF(ISBLANK($B204),"",IFERROR(_xll.BDP(TICKER,"DEEP_MEASURE_PERIOD_BROKER_VALUE","DEEP_MEASURE_ID_OVERRIDE",$C204,"DEEP_BROKER_ID_OVERRIDE",Y$24,"DEEP_PERIOD_OVERRIDE",$H$19)*1,"")))</f>
        <v/>
      </c>
      <c r="Z204" t="str">
        <f>IF(OR(Z$23="",ISNA($B204)),"",IF(ISBLANK($B204),"",IFERROR(_xll.BDP(TICKER,"DEEP_MEASURE_PERIOD_BROKER_VALUE","DEEP_MEASURE_ID_OVERRIDE",$C204,"DEEP_BROKER_ID_OVERRIDE",Z$24,"DEEP_PERIOD_OVERRIDE",$H$19)*1,"")))</f>
        <v/>
      </c>
      <c r="AA204" t="str">
        <f>IF(OR(AA$23="",ISNA($B204)),"",IF(ISBLANK($B204),"",IFERROR(_xll.BDP(TICKER,"DEEP_MEASURE_PERIOD_BROKER_VALUE","DEEP_MEASURE_ID_OVERRIDE",$C204,"DEEP_BROKER_ID_OVERRIDE",AA$24,"DEEP_PERIOD_OVERRIDE",$H$19)*1,"")))</f>
        <v/>
      </c>
      <c r="AB204" t="str">
        <f>IF(OR(AB$23="",ISNA($B204)),"",IF(ISBLANK($B204),"",IFERROR(_xll.BDP(TICKER,"DEEP_MEASURE_PERIOD_BROKER_VALUE","DEEP_MEASURE_ID_OVERRIDE",$C204,"DEEP_BROKER_ID_OVERRIDE",AB$24,"DEEP_PERIOD_OVERRIDE",$H$19)*1,"")))</f>
        <v/>
      </c>
      <c r="AC204" t="str">
        <f>IF(OR(AC$23="",ISNA($B204)),"",IF(ISBLANK($B204),"",IFERROR(_xll.BDP(TICKER,"DEEP_MEASURE_PERIOD_BROKER_VALUE","DEEP_MEASURE_ID_OVERRIDE",$C204,"DEEP_BROKER_ID_OVERRIDE",AC$24,"DEEP_PERIOD_OVERRIDE",$H$19)*1,"")))</f>
        <v/>
      </c>
      <c r="AD204" t="str">
        <f>IF(OR(AD$23="",ISNA($B204)),"",IF(ISBLANK($B204),"",IFERROR(_xll.BDP(TICKER,"DEEP_MEASURE_PERIOD_BROKER_VALUE","DEEP_MEASURE_ID_OVERRIDE",$C204,"DEEP_BROKER_ID_OVERRIDE",AD$24,"DEEP_PERIOD_OVERRIDE",$H$19)*1,"")))</f>
        <v/>
      </c>
      <c r="AE204" t="str">
        <f>IF(OR(AE$23="",ISNA($B204)),"",IF(ISBLANK($B204),"",IFERROR(_xll.BDP(TICKER,"DEEP_MEASURE_PERIOD_BROKER_VALUE","DEEP_MEASURE_ID_OVERRIDE",$C204,"DEEP_BROKER_ID_OVERRIDE",AE$24,"DEEP_PERIOD_OVERRIDE",$H$19)*1,"")))</f>
        <v/>
      </c>
      <c r="AF204" t="str">
        <f>IF(OR(AF$23="",ISNA($B204)),"",IF(ISBLANK($B204),"",IFERROR(_xll.BDP(TICKER,"DEEP_MEASURE_PERIOD_BROKER_VALUE","DEEP_MEASURE_ID_OVERRIDE",$C204,"DEEP_BROKER_ID_OVERRIDE",AF$24,"DEEP_PERIOD_OVERRIDE",$H$19)*1,"")))</f>
        <v/>
      </c>
      <c r="AG204" t="str">
        <f>IF(OR(AG$23="",ISNA($B204)),"",IF(ISBLANK($B204),"",IFERROR(_xll.BDP(TICKER,"DEEP_MEASURE_PERIOD_BROKER_VALUE","DEEP_MEASURE_ID_OVERRIDE",$C204,"DEEP_BROKER_ID_OVERRIDE",AG$24,"DEEP_PERIOD_OVERRIDE",$H$19)*1,"")))</f>
        <v/>
      </c>
      <c r="AH204" t="str">
        <f>IF(OR(AH$23="",ISNA($B204)),"",IF(ISBLANK($B204),"",IFERROR(_xll.BDP(TICKER,"DEEP_MEASURE_PERIOD_BROKER_VALUE","DEEP_MEASURE_ID_OVERRIDE",$C204,"DEEP_BROKER_ID_OVERRIDE",AH$24,"DEEP_PERIOD_OVERRIDE",$H$19)*1,"")))</f>
        <v/>
      </c>
      <c r="AI204" t="str">
        <f>IF(OR(AI$23="",ISNA($B204)),"",IF(ISBLANK($B204),"",IFERROR(_xll.BDP(TICKER,"DEEP_MEASURE_PERIOD_BROKER_VALUE","DEEP_MEASURE_ID_OVERRIDE",$C204,"DEEP_BROKER_ID_OVERRIDE",AI$24,"DEEP_PERIOD_OVERRIDE",$H$19)*1,"")))</f>
        <v/>
      </c>
      <c r="AJ204" t="str">
        <f>IF(OR(AJ$23="",ISNA($B204)),"",IF(ISBLANK($B204),"",IFERROR(_xll.BDP(TICKER,"DEEP_MEASURE_PERIOD_BROKER_VALUE","DEEP_MEASURE_ID_OVERRIDE",$C204,"DEEP_BROKER_ID_OVERRIDE",AJ$24,"DEEP_PERIOD_OVERRIDE",$H$19)*1,"")))</f>
        <v/>
      </c>
      <c r="AK204" t="str">
        <f>IF(OR(AK$23="",ISNA($B204)),"",IF(ISBLANK($B204),"",IFERROR(_xll.BDP(TICKER,"DEEP_MEASURE_PERIOD_BROKER_VALUE","DEEP_MEASURE_ID_OVERRIDE",$C204,"DEEP_BROKER_ID_OVERRIDE",AK$24,"DEEP_PERIOD_OVERRIDE",$H$19)*1,"")))</f>
        <v/>
      </c>
      <c r="AL204" t="str">
        <f>IF(OR(AL$23="",ISNA($B204)),"",IF(ISBLANK($B204),"",IFERROR(_xll.BDP(TICKER,"DEEP_MEASURE_PERIOD_BROKER_VALUE","DEEP_MEASURE_ID_OVERRIDE",$C204,"DEEP_BROKER_ID_OVERRIDE",AL$24,"DEEP_PERIOD_OVERRIDE",$H$19)*1,"")))</f>
        <v/>
      </c>
      <c r="AM204" t="str">
        <f>IF(OR(AM$23="",ISNA($B204)),"",IF(ISBLANK($B204),"",IFERROR(_xll.BDP(TICKER,"DEEP_MEASURE_PERIOD_BROKER_VALUE","DEEP_MEASURE_ID_OVERRIDE",$C204,"DEEP_BROKER_ID_OVERRIDE",AM$24,"DEEP_PERIOD_OVERRIDE",$H$19)*1,"")))</f>
        <v/>
      </c>
      <c r="AN204" t="str">
        <f>IF(OR(AN$23="",ISNA($B204)),"",IF(ISBLANK($B204),"",IFERROR(_xll.BDP(TICKER,"DEEP_MEASURE_PERIOD_BROKER_VALUE","DEEP_MEASURE_ID_OVERRIDE",$C204,"DEEP_BROKER_ID_OVERRIDE",AN$24,"DEEP_PERIOD_OVERRIDE",$H$19)*1,"")))</f>
        <v/>
      </c>
      <c r="AO204" t="str">
        <f>IF(OR(AO$23="",ISNA($B204)),"",IF(ISBLANK($B204),"",IFERROR(_xll.BDP(TICKER,"DEEP_MEASURE_PERIOD_BROKER_VALUE","DEEP_MEASURE_ID_OVERRIDE",$C204,"DEEP_BROKER_ID_OVERRIDE",AO$24,"DEEP_PERIOD_OVERRIDE",$H$19)*1,"")))</f>
        <v/>
      </c>
      <c r="AP204" t="str">
        <f>IF(OR(AP$23="",ISNA($B204)),"",IF(ISBLANK($B204),"",IFERROR(_xll.BDP(TICKER,"DEEP_MEASURE_PERIOD_BROKER_VALUE","DEEP_MEASURE_ID_OVERRIDE",$C204,"DEEP_BROKER_ID_OVERRIDE",AP$24,"DEEP_PERIOD_OVERRIDE",$H$19)*1,"")))</f>
        <v/>
      </c>
      <c r="AQ204" t="str">
        <f>IF(OR(AQ$23="",ISNA($B204)),"",IF(ISBLANK($B204),"",IFERROR(_xll.BDP(TICKER,"DEEP_MEASURE_PERIOD_BROKER_VALUE","DEEP_MEASURE_ID_OVERRIDE",$C204,"DEEP_BROKER_ID_OVERRIDE",AQ$24,"DEEP_PERIOD_OVERRIDE",$H$19)*1,"")))</f>
        <v/>
      </c>
      <c r="AR204" t="str">
        <f>IF(OR(AR$23="",ISNA($B204)),"",IF(ISBLANK($B204),"",IFERROR(_xll.BDP(TICKER,"DEEP_MEASURE_PERIOD_BROKER_VALUE","DEEP_MEASURE_ID_OVERRIDE",$C204,"DEEP_BROKER_ID_OVERRIDE",AR$24,"DEEP_PERIOD_OVERRIDE",$H$19)*1,"")))</f>
        <v/>
      </c>
      <c r="AS204" t="str">
        <f>IF(OR(AS$23="",ISNA($B204)),"",IF(ISBLANK($B204),"",IFERROR(_xll.BDP(TICKER,"DEEP_MEASURE_PERIOD_BROKER_VALUE","DEEP_MEASURE_ID_OVERRIDE",$C204,"DEEP_BROKER_ID_OVERRIDE",AS$24,"DEEP_PERIOD_OVERRIDE",$H$19)*1,"")))</f>
        <v/>
      </c>
      <c r="AT204" t="str">
        <f>IF(OR(AT$23="",ISNA($B204)),"",IF(ISBLANK($B204),"",IFERROR(_xll.BDP(TICKER,"DEEP_MEASURE_PERIOD_BROKER_VALUE","DEEP_MEASURE_ID_OVERRIDE",$C204,"DEEP_BROKER_ID_OVERRIDE",AT$24,"DEEP_PERIOD_OVERRIDE",$H$19)*1,"")))</f>
        <v/>
      </c>
      <c r="AU204" t="str">
        <f>IF(OR(AU$23="",ISNA($B204)),"",IF(ISBLANK($B204),"",IFERROR(_xll.BDP(TICKER,"DEEP_MEASURE_PERIOD_BROKER_VALUE","DEEP_MEASURE_ID_OVERRIDE",$C204,"DEEP_BROKER_ID_OVERRIDE",AU$24,"DEEP_PERIOD_OVERRIDE",$H$19)*1,"")))</f>
        <v/>
      </c>
      <c r="AV204" t="str">
        <f>IF(OR(AV$23="",ISNA($B204)),"",IF(ISBLANK($B204),"",IFERROR(_xll.BDP(TICKER,"DEEP_MEASURE_PERIOD_BROKER_VALUE","DEEP_MEASURE_ID_OVERRIDE",$C204,"DEEP_BROKER_ID_OVERRIDE",AV$24,"DEEP_PERIOD_OVERRIDE",$H$19)*1,"")))</f>
        <v/>
      </c>
      <c r="AW204" t="str">
        <f>IF(OR(AW$23="",ISNA($B204)),"",IF(ISBLANK($B204),"",IFERROR(_xll.BDP(TICKER,"DEEP_MEASURE_PERIOD_BROKER_VALUE","DEEP_MEASURE_ID_OVERRIDE",$C204,"DEEP_BROKER_ID_OVERRIDE",AW$24,"DEEP_PERIOD_OVERRIDE",$H$19)*1,"")))</f>
        <v/>
      </c>
      <c r="AX204" t="str">
        <f>IF(OR(AX$23="",ISNA($B204)),"",IF(ISBLANK($B204),"",IFERROR(_xll.BDP(TICKER,"DEEP_MEASURE_PERIOD_BROKER_VALUE","DEEP_MEASURE_ID_OVERRIDE",$C204,"DEEP_BROKER_ID_OVERRIDE",AX$24,"DEEP_PERIOD_OVERRIDE",$H$19)*1,"")))</f>
        <v/>
      </c>
      <c r="AY204" t="str">
        <f>IF(OR(AY$23="",ISNA($B204)),"",IF(ISBLANK($B204),"",IFERROR(_xll.BDP(TICKER,"DEEP_MEASURE_PERIOD_BROKER_VALUE","DEEP_MEASURE_ID_OVERRIDE",$C204,"DEEP_BROKER_ID_OVERRIDE",AY$24,"DEEP_PERIOD_OVERRIDE",$H$19)*1,"")))</f>
        <v/>
      </c>
      <c r="AZ204" t="str">
        <f>IF(OR(AZ$23="",ISNA($B204)),"",IF(ISBLANK($B204),"",IFERROR(_xll.BDP(TICKER,"DEEP_MEASURE_PERIOD_BROKER_VALUE","DEEP_MEASURE_ID_OVERRIDE",$C204,"DEEP_BROKER_ID_OVERRIDE",AZ$24,"DEEP_PERIOD_OVERRIDE",$H$19)*1,"")))</f>
        <v/>
      </c>
      <c r="BA204" t="str">
        <f>IF(OR(BA$23="",ISNA($B204)),"",IF(ISBLANK($B204),"",IFERROR(_xll.BDP(TICKER,"DEEP_MEASURE_PERIOD_BROKER_VALUE","DEEP_MEASURE_ID_OVERRIDE",$C204,"DEEP_BROKER_ID_OVERRIDE",BA$24,"DEEP_PERIOD_OVERRIDE",$H$19)*1,"")))</f>
        <v/>
      </c>
      <c r="BB204" t="str">
        <f>IF(OR(BB$23="",ISNA($B204)),"",IF(ISBLANK($B204),"",IFERROR(_xll.BDP(TICKER,"DEEP_MEASURE_PERIOD_BROKER_VALUE","DEEP_MEASURE_ID_OVERRIDE",$C204,"DEEP_BROKER_ID_OVERRIDE",BB$24,"DEEP_PERIOD_OVERRIDE",$H$19)*1,"")))</f>
        <v/>
      </c>
      <c r="BC204" t="str">
        <f>IF(OR(BC$23="",ISNA($B204)),"",IF(ISBLANK($B204),"",IFERROR(_xll.BDP(TICKER,"DEEP_MEASURE_PERIOD_BROKER_VALUE","DEEP_MEASURE_ID_OVERRIDE",$C204,"DEEP_BROKER_ID_OVERRIDE",BC$24,"DEEP_PERIOD_OVERRIDE",$H$19)*1,"")))</f>
        <v/>
      </c>
      <c r="BD204" t="str">
        <f>IF(OR(BD$23="",ISNA($B204)),"",IF(ISBLANK($B204),"",IFERROR(_xll.BDP(TICKER,"DEEP_MEASURE_PERIOD_BROKER_VALUE","DEEP_MEASURE_ID_OVERRIDE",$C204,"DEEP_BROKER_ID_OVERRIDE",BD$24,"DEEP_PERIOD_OVERRIDE",$H$19)*1,"")))</f>
        <v/>
      </c>
      <c r="BE204" t="str">
        <f>IF(OR(BE$23="",ISNA($B204)),"",IF(ISBLANK($B204),"",IFERROR(_xll.BDP(TICKER,"DEEP_MEASURE_PERIOD_BROKER_VALUE","DEEP_MEASURE_ID_OVERRIDE",$C204,"DEEP_BROKER_ID_OVERRIDE",BE$24,"DEEP_PERIOD_OVERRIDE",$H$19)*1,"")))</f>
        <v/>
      </c>
      <c r="BF204" t="str">
        <f>IF(OR(BF$23="",ISNA($B204)),"",IF(ISBLANK($B204),"",IFERROR(_xll.BDP(TICKER,"DEEP_MEASURE_PERIOD_BROKER_VALUE","DEEP_MEASURE_ID_OVERRIDE",$C204,"DEEP_BROKER_ID_OVERRIDE",BF$24,"DEEP_PERIOD_OVERRIDE",$H$19)*1,"")))</f>
        <v/>
      </c>
      <c r="BG204" t="str">
        <f>IF(OR(BG$23="",ISNA($B204)),"",IF(ISBLANK($B204),"",IFERROR(_xll.BDP(TICKER,"DEEP_MEASURE_PERIOD_BROKER_VALUE","DEEP_MEASURE_ID_OVERRIDE",$C204,"DEEP_BROKER_ID_OVERRIDE",BG$24,"DEEP_PERIOD_OVERRIDE",$H$19)*1,"")))</f>
        <v/>
      </c>
      <c r="BH204" t="str">
        <f>IF(OR(BH$23="",ISNA($B204)),"",IF(ISBLANK($B204),"",IFERROR(_xll.BDP(TICKER,"DEEP_MEASURE_PERIOD_BROKER_VALUE","DEEP_MEASURE_ID_OVERRIDE",$C204,"DEEP_BROKER_ID_OVERRIDE",BH$24,"DEEP_PERIOD_OVERRIDE",$H$19)*1,"")))</f>
        <v/>
      </c>
      <c r="BI204" t="str">
        <f>IF(OR(BI$23="",ISNA($B204)),"",IF(ISBLANK($B204),"",IFERROR(_xll.BDP(TICKER,"DEEP_MEASURE_PERIOD_BROKER_VALUE","DEEP_MEASURE_ID_OVERRIDE",$C204,"DEEP_BROKER_ID_OVERRIDE",BI$24,"DEEP_PERIOD_OVERRIDE",$H$19)*1,"")))</f>
        <v/>
      </c>
      <c r="BJ204" t="str">
        <f>IF(OR(BJ$23="",ISNA($B204)),"",IF(ISBLANK($B204),"",IFERROR(_xll.BDP(TICKER,"DEEP_MEASURE_PERIOD_BROKER_VALUE","DEEP_MEASURE_ID_OVERRIDE",$C204,"DEEP_BROKER_ID_OVERRIDE",BJ$24,"DEEP_PERIOD_OVERRIDE",$H$19)*1,"")))</f>
        <v/>
      </c>
      <c r="BK204" t="str">
        <f>IF(OR(BK$23="",ISNA($B204)),"",IF(ISBLANK($B204),"",IFERROR(_xll.BDP(TICKER,"DEEP_MEASURE_PERIOD_BROKER_VALUE","DEEP_MEASURE_ID_OVERRIDE",$C204,"DEEP_BROKER_ID_OVERRIDE",BK$24,"DEEP_PERIOD_OVERRIDE",$H$19)*1,"")))</f>
        <v/>
      </c>
      <c r="BL204" t="str">
        <f>IF(OR(BL$23="",ISNA($B204)),"",IF(ISBLANK($B204),"",IFERROR(_xll.BDP(TICKER,"DEEP_MEASURE_PERIOD_BROKER_VALUE","DEEP_MEASURE_ID_OVERRIDE",$C204,"DEEP_BROKER_ID_OVERRIDE",BL$24,"DEEP_PERIOD_OVERRIDE",$H$19)*1,"")))</f>
        <v/>
      </c>
      <c r="BM204" t="str">
        <f>IF(OR(BM$23="",ISNA($B204)),"",IF(ISBLANK($B204),"",IFERROR(_xll.BDP(TICKER,"DEEP_MEASURE_PERIOD_BROKER_VALUE","DEEP_MEASURE_ID_OVERRIDE",$C204,"DEEP_BROKER_ID_OVERRIDE",BM$24,"DEEP_PERIOD_OVERRIDE",$H$19)*1,"")))</f>
        <v/>
      </c>
      <c r="BN204" t="str">
        <f>IF(OR(BN$23="",ISNA($B204)),"",IF(ISBLANK($B204),"",IFERROR(_xll.BDP(TICKER,"DEEP_MEASURE_PERIOD_BROKER_VALUE","DEEP_MEASURE_ID_OVERRIDE",$C204,"DEEP_BROKER_ID_OVERRIDE",BN$24,"DEEP_PERIOD_OVERRIDE",$H$19)*1,"")))</f>
        <v/>
      </c>
      <c r="BO204" t="str">
        <f>IF(OR(BO$23="",ISNA($B204)),"",IF(ISBLANK($B204),"",IFERROR(_xll.BDP(TICKER,"DEEP_MEASURE_PERIOD_BROKER_VALUE","DEEP_MEASURE_ID_OVERRIDE",$C204,"DEEP_BROKER_ID_OVERRIDE",BO$24,"DEEP_PERIOD_OVERRIDE",$H$19)*1,"")))</f>
        <v/>
      </c>
      <c r="BP204" t="str">
        <f>IF(OR(BP$23="",ISNA($B204)),"",IF(ISBLANK($B204),"",IFERROR(_xll.BDP(TICKER,"DEEP_MEASURE_PERIOD_BROKER_VALUE","DEEP_MEASURE_ID_OVERRIDE",$C204,"DEEP_BROKER_ID_OVERRIDE",BP$24,"DEEP_PERIOD_OVERRIDE",$H$19)*1,"")))</f>
        <v/>
      </c>
      <c r="BQ204" t="str">
        <f>IF(OR(BQ$23="",ISNA($B204)),"",IF(ISBLANK($B204),"",IFERROR(_xll.BDP(TICKER,"DEEP_MEASURE_PERIOD_BROKER_VALUE","DEEP_MEASURE_ID_OVERRIDE",$C204,"DEEP_BROKER_ID_OVERRIDE",BQ$24,"DEEP_PERIOD_OVERRIDE",$H$19)*1,"")))</f>
        <v/>
      </c>
      <c r="BR204" t="str">
        <f>IF(OR(BR$23="",ISNA($B204)),"",IF(ISBLANK($B204),"",IFERROR(_xll.BDP(TICKER,"DEEP_MEASURE_PERIOD_BROKER_VALUE","DEEP_MEASURE_ID_OVERRIDE",$C204,"DEEP_BROKER_ID_OVERRIDE",BR$24,"DEEP_PERIOD_OVERRIDE",$H$19)*1,"")))</f>
        <v/>
      </c>
      <c r="BS204" t="str">
        <f>IF(OR(BS$23="",ISNA($B204)),"",IF(ISBLANK($B204),"",IFERROR(_xll.BDP(TICKER,"DEEP_MEASURE_PERIOD_BROKER_VALUE","DEEP_MEASURE_ID_OVERRIDE",$C204,"DEEP_BROKER_ID_OVERRIDE",BS$24,"DEEP_PERIOD_OVERRIDE",$H$19)*1,"")))</f>
        <v/>
      </c>
      <c r="BT204" t="str">
        <f>IF(OR(BT$23="",ISNA($B204)),"",IF(ISBLANK($B204),"",IFERROR(_xll.BDP(TICKER,"DEEP_MEASURE_PERIOD_BROKER_VALUE","DEEP_MEASURE_ID_OVERRIDE",$C204,"DEEP_BROKER_ID_OVERRIDE",BT$24,"DEEP_PERIOD_OVERRIDE",$H$19)*1,"")))</f>
        <v/>
      </c>
      <c r="BU204" t="str">
        <f>IF(OR(BU$23="",ISNA($B204)),"",IF(ISBLANK($B204),"",IFERROR(_xll.BDP(TICKER,"DEEP_MEASURE_PERIOD_BROKER_VALUE","DEEP_MEASURE_ID_OVERRIDE",$C204,"DEEP_BROKER_ID_OVERRIDE",BU$24,"DEEP_PERIOD_OVERRIDE",$H$19)*1,"")))</f>
        <v/>
      </c>
      <c r="BV204" t="str">
        <f>IF(OR(BV$23="",ISNA($B204)),"",IF(ISBLANK($B204),"",IFERROR(_xll.BDP(TICKER,"DEEP_MEASURE_PERIOD_BROKER_VALUE","DEEP_MEASURE_ID_OVERRIDE",$C204,"DEEP_BROKER_ID_OVERRIDE",BV$24,"DEEP_PERIOD_OVERRIDE",$H$19)*1,"")))</f>
        <v/>
      </c>
      <c r="BW204" t="str">
        <f>IF(OR(BW$23="",ISNA($B204)),"",IF(ISBLANK($B204),"",IFERROR(_xll.BDP(TICKER,"DEEP_MEASURE_PERIOD_BROKER_VALUE","DEEP_MEASURE_ID_OVERRIDE",$C204,"DEEP_BROKER_ID_OVERRIDE",BW$24,"DEEP_PERIOD_OVERRIDE",$H$19)*1,"")))</f>
        <v/>
      </c>
      <c r="BX204" t="str">
        <f>IF(OR(BX$23="",ISNA($B204)),"",IF(ISBLANK($B204),"",IFERROR(_xll.BDP(TICKER,"DEEP_MEASURE_PERIOD_BROKER_VALUE","DEEP_MEASURE_ID_OVERRIDE",$C204,"DEEP_BROKER_ID_OVERRIDE",BX$24,"DEEP_PERIOD_OVERRIDE",$H$19)*1,"")))</f>
        <v/>
      </c>
      <c r="BY204" t="str">
        <f>IF(OR(BY$23="",ISNA($B204)),"",IF(ISBLANK($B204),"",IFERROR(_xll.BDP(TICKER,"DEEP_MEASURE_PERIOD_BROKER_VALUE","DEEP_MEASURE_ID_OVERRIDE",$C204,"DEEP_BROKER_ID_OVERRIDE",BY$24,"DEEP_PERIOD_OVERRIDE",$H$19)*1,"")))</f>
        <v/>
      </c>
      <c r="BZ204" t="str">
        <f>IF(OR(BZ$23="",ISNA($B204)),"",IF(ISBLANK($B204),"",IFERROR(_xll.BDP(TICKER,"DEEP_MEASURE_PERIOD_BROKER_VALUE","DEEP_MEASURE_ID_OVERRIDE",$C204,"DEEP_BROKER_ID_OVERRIDE",BZ$24,"DEEP_PERIOD_OVERRIDE",$H$19)*1,"")))</f>
        <v/>
      </c>
    </row>
    <row r="205" spans="2:78" x14ac:dyDescent="0.25">
      <c r="B205" t="s">
        <v>69</v>
      </c>
      <c r="C205">
        <v>785</v>
      </c>
      <c r="H205" t="str">
        <f t="shared" si="3"/>
        <v>Cash from Investing Activities &gt; Purchases of marketable securities</v>
      </c>
      <c r="I205" t="str">
        <f>IF(OR(I$23="",ISNA($B205)),"",IF(ISBLANK($B205),"",IFERROR(_xll.BDP(TICKER,"DEEP_MEASURE_PERIOD_BROKER_VALUE","DEEP_MEASURE_ID_OVERRIDE",$C205,"DEEP_PERIOD_OVERRIDE",$H$19)*1,"")))</f>
        <v/>
      </c>
      <c r="J205" t="e">
        <f>IF(OR(J$23="",ISNA($B205)),"",IF(ISBLANK($B205),"",IFERROR(_xll.BDP(TICKER,"DEEP_MEASURE_PERIOD_BROKER_VALUE","DEEP_MEASURE_ID_OVERRIDE",$C205,"DEEP_BROKER_ID_OVERRIDE",J$24,"DEEP_PERIOD_OVERRIDE",$H$19)*1,"")))</f>
        <v>#REF!</v>
      </c>
      <c r="K205" t="str">
        <f>IF(OR(K$23="",ISNA($B205)),"",IF(ISBLANK($B205),"",IFERROR(_xll.BDP(TICKER,"DEEP_MEASURE_PERIOD_BROKER_VALUE","DEEP_MEASURE_ID_OVERRIDE",$C205,"DEEP_BROKER_ID_OVERRIDE",K$24,"DEEP_PERIOD_OVERRIDE",$H$19)*1,"")))</f>
        <v/>
      </c>
      <c r="L205" t="str">
        <f>IF(OR(L$23="",ISNA($B205)),"",IF(ISBLANK($B205),"",IFERROR(_xll.BDP(TICKER,"DEEP_MEASURE_PERIOD_BROKER_VALUE","DEEP_MEASURE_ID_OVERRIDE",$C205,"DEEP_BROKER_ID_OVERRIDE",L$24,"DEEP_PERIOD_OVERRIDE",$H$19)*1,"")))</f>
        <v/>
      </c>
      <c r="M205" t="str">
        <f>IF(OR(M$23="",ISNA($B205)),"",IF(ISBLANK($B205),"",IFERROR(_xll.BDP(TICKER,"DEEP_MEASURE_PERIOD_BROKER_VALUE","DEEP_MEASURE_ID_OVERRIDE",$C205,"DEEP_BROKER_ID_OVERRIDE",M$24,"DEEP_PERIOD_OVERRIDE",$H$19)*1,"")))</f>
        <v/>
      </c>
      <c r="N205" t="str">
        <f>IF(OR(N$23="",ISNA($B205)),"",IF(ISBLANK($B205),"",IFERROR(_xll.BDP(TICKER,"DEEP_MEASURE_PERIOD_BROKER_VALUE","DEEP_MEASURE_ID_OVERRIDE",$C205,"DEEP_BROKER_ID_OVERRIDE",N$24,"DEEP_PERIOD_OVERRIDE",$H$19)*1,"")))</f>
        <v/>
      </c>
      <c r="O205" t="str">
        <f>IF(OR(O$23="",ISNA($B205)),"",IF(ISBLANK($B205),"",IFERROR(_xll.BDP(TICKER,"DEEP_MEASURE_PERIOD_BROKER_VALUE","DEEP_MEASURE_ID_OVERRIDE",$C205,"DEEP_BROKER_ID_OVERRIDE",O$24,"DEEP_PERIOD_OVERRIDE",$H$19)*1,"")))</f>
        <v/>
      </c>
      <c r="P205" t="str">
        <f>IF(OR(P$23="",ISNA($B205)),"",IF(ISBLANK($B205),"",IFERROR(_xll.BDP(TICKER,"DEEP_MEASURE_PERIOD_BROKER_VALUE","DEEP_MEASURE_ID_OVERRIDE",$C205,"DEEP_BROKER_ID_OVERRIDE",P$24,"DEEP_PERIOD_OVERRIDE",$H$19)*1,"")))</f>
        <v/>
      </c>
      <c r="Q205" t="str">
        <f>IF(OR(Q$23="",ISNA($B205)),"",IF(ISBLANK($B205),"",IFERROR(_xll.BDP(TICKER,"DEEP_MEASURE_PERIOD_BROKER_VALUE","DEEP_MEASURE_ID_OVERRIDE",$C205,"DEEP_BROKER_ID_OVERRIDE",Q$24,"DEEP_PERIOD_OVERRIDE",$H$19)*1,"")))</f>
        <v/>
      </c>
      <c r="R205" t="str">
        <f>IF(OR(R$23="",ISNA($B205)),"",IF(ISBLANK($B205),"",IFERROR(_xll.BDP(TICKER,"DEEP_MEASURE_PERIOD_BROKER_VALUE","DEEP_MEASURE_ID_OVERRIDE",$C205,"DEEP_BROKER_ID_OVERRIDE",R$24,"DEEP_PERIOD_OVERRIDE",$H$19)*1,"")))</f>
        <v/>
      </c>
      <c r="S205" t="str">
        <f>IF(OR(S$23="",ISNA($B205)),"",IF(ISBLANK($B205),"",IFERROR(_xll.BDP(TICKER,"DEEP_MEASURE_PERIOD_BROKER_VALUE","DEEP_MEASURE_ID_OVERRIDE",$C205,"DEEP_BROKER_ID_OVERRIDE",S$24,"DEEP_PERIOD_OVERRIDE",$H$19)*1,"")))</f>
        <v/>
      </c>
      <c r="T205" t="str">
        <f>IF(OR(T$23="",ISNA($B205)),"",IF(ISBLANK($B205),"",IFERROR(_xll.BDP(TICKER,"DEEP_MEASURE_PERIOD_BROKER_VALUE","DEEP_MEASURE_ID_OVERRIDE",$C205,"DEEP_BROKER_ID_OVERRIDE",T$24,"DEEP_PERIOD_OVERRIDE",$H$19)*1,"")))</f>
        <v/>
      </c>
      <c r="U205" t="str">
        <f>IF(OR(U$23="",ISNA($B205)),"",IF(ISBLANK($B205),"",IFERROR(_xll.BDP(TICKER,"DEEP_MEASURE_PERIOD_BROKER_VALUE","DEEP_MEASURE_ID_OVERRIDE",$C205,"DEEP_BROKER_ID_OVERRIDE",U$24,"DEEP_PERIOD_OVERRIDE",$H$19)*1,"")))</f>
        <v/>
      </c>
      <c r="V205" t="str">
        <f>IF(OR(V$23="",ISNA($B205)),"",IF(ISBLANK($B205),"",IFERROR(_xll.BDP(TICKER,"DEEP_MEASURE_PERIOD_BROKER_VALUE","DEEP_MEASURE_ID_OVERRIDE",$C205,"DEEP_BROKER_ID_OVERRIDE",V$24,"DEEP_PERIOD_OVERRIDE",$H$19)*1,"")))</f>
        <v/>
      </c>
      <c r="W205" t="str">
        <f>IF(OR(W$23="",ISNA($B205)),"",IF(ISBLANK($B205),"",IFERROR(_xll.BDP(TICKER,"DEEP_MEASURE_PERIOD_BROKER_VALUE","DEEP_MEASURE_ID_OVERRIDE",$C205,"DEEP_BROKER_ID_OVERRIDE",W$24,"DEEP_PERIOD_OVERRIDE",$H$19)*1,"")))</f>
        <v/>
      </c>
      <c r="X205" t="str">
        <f>IF(OR(X$23="",ISNA($B205)),"",IF(ISBLANK($B205),"",IFERROR(_xll.BDP(TICKER,"DEEP_MEASURE_PERIOD_BROKER_VALUE","DEEP_MEASURE_ID_OVERRIDE",$C205,"DEEP_BROKER_ID_OVERRIDE",X$24,"DEEP_PERIOD_OVERRIDE",$H$19)*1,"")))</f>
        <v/>
      </c>
      <c r="Y205" t="str">
        <f>IF(OR(Y$23="",ISNA($B205)),"",IF(ISBLANK($B205),"",IFERROR(_xll.BDP(TICKER,"DEEP_MEASURE_PERIOD_BROKER_VALUE","DEEP_MEASURE_ID_OVERRIDE",$C205,"DEEP_BROKER_ID_OVERRIDE",Y$24,"DEEP_PERIOD_OVERRIDE",$H$19)*1,"")))</f>
        <v/>
      </c>
      <c r="Z205" t="str">
        <f>IF(OR(Z$23="",ISNA($B205)),"",IF(ISBLANK($B205),"",IFERROR(_xll.BDP(TICKER,"DEEP_MEASURE_PERIOD_BROKER_VALUE","DEEP_MEASURE_ID_OVERRIDE",$C205,"DEEP_BROKER_ID_OVERRIDE",Z$24,"DEEP_PERIOD_OVERRIDE",$H$19)*1,"")))</f>
        <v/>
      </c>
      <c r="AA205" t="str">
        <f>IF(OR(AA$23="",ISNA($B205)),"",IF(ISBLANK($B205),"",IFERROR(_xll.BDP(TICKER,"DEEP_MEASURE_PERIOD_BROKER_VALUE","DEEP_MEASURE_ID_OVERRIDE",$C205,"DEEP_BROKER_ID_OVERRIDE",AA$24,"DEEP_PERIOD_OVERRIDE",$H$19)*1,"")))</f>
        <v/>
      </c>
      <c r="AB205" t="str">
        <f>IF(OR(AB$23="",ISNA($B205)),"",IF(ISBLANK($B205),"",IFERROR(_xll.BDP(TICKER,"DEEP_MEASURE_PERIOD_BROKER_VALUE","DEEP_MEASURE_ID_OVERRIDE",$C205,"DEEP_BROKER_ID_OVERRIDE",AB$24,"DEEP_PERIOD_OVERRIDE",$H$19)*1,"")))</f>
        <v/>
      </c>
      <c r="AC205" t="str">
        <f>IF(OR(AC$23="",ISNA($B205)),"",IF(ISBLANK($B205),"",IFERROR(_xll.BDP(TICKER,"DEEP_MEASURE_PERIOD_BROKER_VALUE","DEEP_MEASURE_ID_OVERRIDE",$C205,"DEEP_BROKER_ID_OVERRIDE",AC$24,"DEEP_PERIOD_OVERRIDE",$H$19)*1,"")))</f>
        <v/>
      </c>
      <c r="AD205" t="str">
        <f>IF(OR(AD$23="",ISNA($B205)),"",IF(ISBLANK($B205),"",IFERROR(_xll.BDP(TICKER,"DEEP_MEASURE_PERIOD_BROKER_VALUE","DEEP_MEASURE_ID_OVERRIDE",$C205,"DEEP_BROKER_ID_OVERRIDE",AD$24,"DEEP_PERIOD_OVERRIDE",$H$19)*1,"")))</f>
        <v/>
      </c>
      <c r="AE205" t="str">
        <f>IF(OR(AE$23="",ISNA($B205)),"",IF(ISBLANK($B205),"",IFERROR(_xll.BDP(TICKER,"DEEP_MEASURE_PERIOD_BROKER_VALUE","DEEP_MEASURE_ID_OVERRIDE",$C205,"DEEP_BROKER_ID_OVERRIDE",AE$24,"DEEP_PERIOD_OVERRIDE",$H$19)*1,"")))</f>
        <v/>
      </c>
      <c r="AF205" t="str">
        <f>IF(OR(AF$23="",ISNA($B205)),"",IF(ISBLANK($B205),"",IFERROR(_xll.BDP(TICKER,"DEEP_MEASURE_PERIOD_BROKER_VALUE","DEEP_MEASURE_ID_OVERRIDE",$C205,"DEEP_BROKER_ID_OVERRIDE",AF$24,"DEEP_PERIOD_OVERRIDE",$H$19)*1,"")))</f>
        <v/>
      </c>
      <c r="AG205" t="str">
        <f>IF(OR(AG$23="",ISNA($B205)),"",IF(ISBLANK($B205),"",IFERROR(_xll.BDP(TICKER,"DEEP_MEASURE_PERIOD_BROKER_VALUE","DEEP_MEASURE_ID_OVERRIDE",$C205,"DEEP_BROKER_ID_OVERRIDE",AG$24,"DEEP_PERIOD_OVERRIDE",$H$19)*1,"")))</f>
        <v/>
      </c>
      <c r="AH205" t="str">
        <f>IF(OR(AH$23="",ISNA($B205)),"",IF(ISBLANK($B205),"",IFERROR(_xll.BDP(TICKER,"DEEP_MEASURE_PERIOD_BROKER_VALUE","DEEP_MEASURE_ID_OVERRIDE",$C205,"DEEP_BROKER_ID_OVERRIDE",AH$24,"DEEP_PERIOD_OVERRIDE",$H$19)*1,"")))</f>
        <v/>
      </c>
      <c r="AI205" t="str">
        <f>IF(OR(AI$23="",ISNA($B205)),"",IF(ISBLANK($B205),"",IFERROR(_xll.BDP(TICKER,"DEEP_MEASURE_PERIOD_BROKER_VALUE","DEEP_MEASURE_ID_OVERRIDE",$C205,"DEEP_BROKER_ID_OVERRIDE",AI$24,"DEEP_PERIOD_OVERRIDE",$H$19)*1,"")))</f>
        <v/>
      </c>
      <c r="AJ205" t="str">
        <f>IF(OR(AJ$23="",ISNA($B205)),"",IF(ISBLANK($B205),"",IFERROR(_xll.BDP(TICKER,"DEEP_MEASURE_PERIOD_BROKER_VALUE","DEEP_MEASURE_ID_OVERRIDE",$C205,"DEEP_BROKER_ID_OVERRIDE",AJ$24,"DEEP_PERIOD_OVERRIDE",$H$19)*1,"")))</f>
        <v/>
      </c>
      <c r="AK205" t="str">
        <f>IF(OR(AK$23="",ISNA($B205)),"",IF(ISBLANK($B205),"",IFERROR(_xll.BDP(TICKER,"DEEP_MEASURE_PERIOD_BROKER_VALUE","DEEP_MEASURE_ID_OVERRIDE",$C205,"DEEP_BROKER_ID_OVERRIDE",AK$24,"DEEP_PERIOD_OVERRIDE",$H$19)*1,"")))</f>
        <v/>
      </c>
      <c r="AL205" t="str">
        <f>IF(OR(AL$23="",ISNA($B205)),"",IF(ISBLANK($B205),"",IFERROR(_xll.BDP(TICKER,"DEEP_MEASURE_PERIOD_BROKER_VALUE","DEEP_MEASURE_ID_OVERRIDE",$C205,"DEEP_BROKER_ID_OVERRIDE",AL$24,"DEEP_PERIOD_OVERRIDE",$H$19)*1,"")))</f>
        <v/>
      </c>
      <c r="AM205" t="str">
        <f>IF(OR(AM$23="",ISNA($B205)),"",IF(ISBLANK($B205),"",IFERROR(_xll.BDP(TICKER,"DEEP_MEASURE_PERIOD_BROKER_VALUE","DEEP_MEASURE_ID_OVERRIDE",$C205,"DEEP_BROKER_ID_OVERRIDE",AM$24,"DEEP_PERIOD_OVERRIDE",$H$19)*1,"")))</f>
        <v/>
      </c>
      <c r="AN205" t="str">
        <f>IF(OR(AN$23="",ISNA($B205)),"",IF(ISBLANK($B205),"",IFERROR(_xll.BDP(TICKER,"DEEP_MEASURE_PERIOD_BROKER_VALUE","DEEP_MEASURE_ID_OVERRIDE",$C205,"DEEP_BROKER_ID_OVERRIDE",AN$24,"DEEP_PERIOD_OVERRIDE",$H$19)*1,"")))</f>
        <v/>
      </c>
      <c r="AO205" t="str">
        <f>IF(OR(AO$23="",ISNA($B205)),"",IF(ISBLANK($B205),"",IFERROR(_xll.BDP(TICKER,"DEEP_MEASURE_PERIOD_BROKER_VALUE","DEEP_MEASURE_ID_OVERRIDE",$C205,"DEEP_BROKER_ID_OVERRIDE",AO$24,"DEEP_PERIOD_OVERRIDE",$H$19)*1,"")))</f>
        <v/>
      </c>
      <c r="AP205" t="str">
        <f>IF(OR(AP$23="",ISNA($B205)),"",IF(ISBLANK($B205),"",IFERROR(_xll.BDP(TICKER,"DEEP_MEASURE_PERIOD_BROKER_VALUE","DEEP_MEASURE_ID_OVERRIDE",$C205,"DEEP_BROKER_ID_OVERRIDE",AP$24,"DEEP_PERIOD_OVERRIDE",$H$19)*1,"")))</f>
        <v/>
      </c>
      <c r="AQ205" t="str">
        <f>IF(OR(AQ$23="",ISNA($B205)),"",IF(ISBLANK($B205),"",IFERROR(_xll.BDP(TICKER,"DEEP_MEASURE_PERIOD_BROKER_VALUE","DEEP_MEASURE_ID_OVERRIDE",$C205,"DEEP_BROKER_ID_OVERRIDE",AQ$24,"DEEP_PERIOD_OVERRIDE",$H$19)*1,"")))</f>
        <v/>
      </c>
      <c r="AR205" t="str">
        <f>IF(OR(AR$23="",ISNA($B205)),"",IF(ISBLANK($B205),"",IFERROR(_xll.BDP(TICKER,"DEEP_MEASURE_PERIOD_BROKER_VALUE","DEEP_MEASURE_ID_OVERRIDE",$C205,"DEEP_BROKER_ID_OVERRIDE",AR$24,"DEEP_PERIOD_OVERRIDE",$H$19)*1,"")))</f>
        <v/>
      </c>
      <c r="AS205" t="str">
        <f>IF(OR(AS$23="",ISNA($B205)),"",IF(ISBLANK($B205),"",IFERROR(_xll.BDP(TICKER,"DEEP_MEASURE_PERIOD_BROKER_VALUE","DEEP_MEASURE_ID_OVERRIDE",$C205,"DEEP_BROKER_ID_OVERRIDE",AS$24,"DEEP_PERIOD_OVERRIDE",$H$19)*1,"")))</f>
        <v/>
      </c>
      <c r="AT205" t="str">
        <f>IF(OR(AT$23="",ISNA($B205)),"",IF(ISBLANK($B205),"",IFERROR(_xll.BDP(TICKER,"DEEP_MEASURE_PERIOD_BROKER_VALUE","DEEP_MEASURE_ID_OVERRIDE",$C205,"DEEP_BROKER_ID_OVERRIDE",AT$24,"DEEP_PERIOD_OVERRIDE",$H$19)*1,"")))</f>
        <v/>
      </c>
      <c r="AU205" t="str">
        <f>IF(OR(AU$23="",ISNA($B205)),"",IF(ISBLANK($B205),"",IFERROR(_xll.BDP(TICKER,"DEEP_MEASURE_PERIOD_BROKER_VALUE","DEEP_MEASURE_ID_OVERRIDE",$C205,"DEEP_BROKER_ID_OVERRIDE",AU$24,"DEEP_PERIOD_OVERRIDE",$H$19)*1,"")))</f>
        <v/>
      </c>
      <c r="AV205" t="str">
        <f>IF(OR(AV$23="",ISNA($B205)),"",IF(ISBLANK($B205),"",IFERROR(_xll.BDP(TICKER,"DEEP_MEASURE_PERIOD_BROKER_VALUE","DEEP_MEASURE_ID_OVERRIDE",$C205,"DEEP_BROKER_ID_OVERRIDE",AV$24,"DEEP_PERIOD_OVERRIDE",$H$19)*1,"")))</f>
        <v/>
      </c>
      <c r="AW205" t="str">
        <f>IF(OR(AW$23="",ISNA($B205)),"",IF(ISBLANK($B205),"",IFERROR(_xll.BDP(TICKER,"DEEP_MEASURE_PERIOD_BROKER_VALUE","DEEP_MEASURE_ID_OVERRIDE",$C205,"DEEP_BROKER_ID_OVERRIDE",AW$24,"DEEP_PERIOD_OVERRIDE",$H$19)*1,"")))</f>
        <v/>
      </c>
      <c r="AX205" t="str">
        <f>IF(OR(AX$23="",ISNA($B205)),"",IF(ISBLANK($B205),"",IFERROR(_xll.BDP(TICKER,"DEEP_MEASURE_PERIOD_BROKER_VALUE","DEEP_MEASURE_ID_OVERRIDE",$C205,"DEEP_BROKER_ID_OVERRIDE",AX$24,"DEEP_PERIOD_OVERRIDE",$H$19)*1,"")))</f>
        <v/>
      </c>
      <c r="AY205" t="str">
        <f>IF(OR(AY$23="",ISNA($B205)),"",IF(ISBLANK($B205),"",IFERROR(_xll.BDP(TICKER,"DEEP_MEASURE_PERIOD_BROKER_VALUE","DEEP_MEASURE_ID_OVERRIDE",$C205,"DEEP_BROKER_ID_OVERRIDE",AY$24,"DEEP_PERIOD_OVERRIDE",$H$19)*1,"")))</f>
        <v/>
      </c>
      <c r="AZ205" t="str">
        <f>IF(OR(AZ$23="",ISNA($B205)),"",IF(ISBLANK($B205),"",IFERROR(_xll.BDP(TICKER,"DEEP_MEASURE_PERIOD_BROKER_VALUE","DEEP_MEASURE_ID_OVERRIDE",$C205,"DEEP_BROKER_ID_OVERRIDE",AZ$24,"DEEP_PERIOD_OVERRIDE",$H$19)*1,"")))</f>
        <v/>
      </c>
      <c r="BA205" t="str">
        <f>IF(OR(BA$23="",ISNA($B205)),"",IF(ISBLANK($B205),"",IFERROR(_xll.BDP(TICKER,"DEEP_MEASURE_PERIOD_BROKER_VALUE","DEEP_MEASURE_ID_OVERRIDE",$C205,"DEEP_BROKER_ID_OVERRIDE",BA$24,"DEEP_PERIOD_OVERRIDE",$H$19)*1,"")))</f>
        <v/>
      </c>
      <c r="BB205" t="str">
        <f>IF(OR(BB$23="",ISNA($B205)),"",IF(ISBLANK($B205),"",IFERROR(_xll.BDP(TICKER,"DEEP_MEASURE_PERIOD_BROKER_VALUE","DEEP_MEASURE_ID_OVERRIDE",$C205,"DEEP_BROKER_ID_OVERRIDE",BB$24,"DEEP_PERIOD_OVERRIDE",$H$19)*1,"")))</f>
        <v/>
      </c>
      <c r="BC205" t="str">
        <f>IF(OR(BC$23="",ISNA($B205)),"",IF(ISBLANK($B205),"",IFERROR(_xll.BDP(TICKER,"DEEP_MEASURE_PERIOD_BROKER_VALUE","DEEP_MEASURE_ID_OVERRIDE",$C205,"DEEP_BROKER_ID_OVERRIDE",BC$24,"DEEP_PERIOD_OVERRIDE",$H$19)*1,"")))</f>
        <v/>
      </c>
      <c r="BD205" t="str">
        <f>IF(OR(BD$23="",ISNA($B205)),"",IF(ISBLANK($B205),"",IFERROR(_xll.BDP(TICKER,"DEEP_MEASURE_PERIOD_BROKER_VALUE","DEEP_MEASURE_ID_OVERRIDE",$C205,"DEEP_BROKER_ID_OVERRIDE",BD$24,"DEEP_PERIOD_OVERRIDE",$H$19)*1,"")))</f>
        <v/>
      </c>
      <c r="BE205" t="str">
        <f>IF(OR(BE$23="",ISNA($B205)),"",IF(ISBLANK($B205),"",IFERROR(_xll.BDP(TICKER,"DEEP_MEASURE_PERIOD_BROKER_VALUE","DEEP_MEASURE_ID_OVERRIDE",$C205,"DEEP_BROKER_ID_OVERRIDE",BE$24,"DEEP_PERIOD_OVERRIDE",$H$19)*1,"")))</f>
        <v/>
      </c>
      <c r="BF205" t="str">
        <f>IF(OR(BF$23="",ISNA($B205)),"",IF(ISBLANK($B205),"",IFERROR(_xll.BDP(TICKER,"DEEP_MEASURE_PERIOD_BROKER_VALUE","DEEP_MEASURE_ID_OVERRIDE",$C205,"DEEP_BROKER_ID_OVERRIDE",BF$24,"DEEP_PERIOD_OVERRIDE",$H$19)*1,"")))</f>
        <v/>
      </c>
      <c r="BG205" t="str">
        <f>IF(OR(BG$23="",ISNA($B205)),"",IF(ISBLANK($B205),"",IFERROR(_xll.BDP(TICKER,"DEEP_MEASURE_PERIOD_BROKER_VALUE","DEEP_MEASURE_ID_OVERRIDE",$C205,"DEEP_BROKER_ID_OVERRIDE",BG$24,"DEEP_PERIOD_OVERRIDE",$H$19)*1,"")))</f>
        <v/>
      </c>
      <c r="BH205" t="str">
        <f>IF(OR(BH$23="",ISNA($B205)),"",IF(ISBLANK($B205),"",IFERROR(_xll.BDP(TICKER,"DEEP_MEASURE_PERIOD_BROKER_VALUE","DEEP_MEASURE_ID_OVERRIDE",$C205,"DEEP_BROKER_ID_OVERRIDE",BH$24,"DEEP_PERIOD_OVERRIDE",$H$19)*1,"")))</f>
        <v/>
      </c>
      <c r="BI205" t="str">
        <f>IF(OR(BI$23="",ISNA($B205)),"",IF(ISBLANK($B205),"",IFERROR(_xll.BDP(TICKER,"DEEP_MEASURE_PERIOD_BROKER_VALUE","DEEP_MEASURE_ID_OVERRIDE",$C205,"DEEP_BROKER_ID_OVERRIDE",BI$24,"DEEP_PERIOD_OVERRIDE",$H$19)*1,"")))</f>
        <v/>
      </c>
      <c r="BJ205" t="str">
        <f>IF(OR(BJ$23="",ISNA($B205)),"",IF(ISBLANK($B205),"",IFERROR(_xll.BDP(TICKER,"DEEP_MEASURE_PERIOD_BROKER_VALUE","DEEP_MEASURE_ID_OVERRIDE",$C205,"DEEP_BROKER_ID_OVERRIDE",BJ$24,"DEEP_PERIOD_OVERRIDE",$H$19)*1,"")))</f>
        <v/>
      </c>
      <c r="BK205" t="str">
        <f>IF(OR(BK$23="",ISNA($B205)),"",IF(ISBLANK($B205),"",IFERROR(_xll.BDP(TICKER,"DEEP_MEASURE_PERIOD_BROKER_VALUE","DEEP_MEASURE_ID_OVERRIDE",$C205,"DEEP_BROKER_ID_OVERRIDE",BK$24,"DEEP_PERIOD_OVERRIDE",$H$19)*1,"")))</f>
        <v/>
      </c>
      <c r="BL205" t="str">
        <f>IF(OR(BL$23="",ISNA($B205)),"",IF(ISBLANK($B205),"",IFERROR(_xll.BDP(TICKER,"DEEP_MEASURE_PERIOD_BROKER_VALUE","DEEP_MEASURE_ID_OVERRIDE",$C205,"DEEP_BROKER_ID_OVERRIDE",BL$24,"DEEP_PERIOD_OVERRIDE",$H$19)*1,"")))</f>
        <v/>
      </c>
      <c r="BM205" t="str">
        <f>IF(OR(BM$23="",ISNA($B205)),"",IF(ISBLANK($B205),"",IFERROR(_xll.BDP(TICKER,"DEEP_MEASURE_PERIOD_BROKER_VALUE","DEEP_MEASURE_ID_OVERRIDE",$C205,"DEEP_BROKER_ID_OVERRIDE",BM$24,"DEEP_PERIOD_OVERRIDE",$H$19)*1,"")))</f>
        <v/>
      </c>
      <c r="BN205" t="str">
        <f>IF(OR(BN$23="",ISNA($B205)),"",IF(ISBLANK($B205),"",IFERROR(_xll.BDP(TICKER,"DEEP_MEASURE_PERIOD_BROKER_VALUE","DEEP_MEASURE_ID_OVERRIDE",$C205,"DEEP_BROKER_ID_OVERRIDE",BN$24,"DEEP_PERIOD_OVERRIDE",$H$19)*1,"")))</f>
        <v/>
      </c>
      <c r="BO205" t="str">
        <f>IF(OR(BO$23="",ISNA($B205)),"",IF(ISBLANK($B205),"",IFERROR(_xll.BDP(TICKER,"DEEP_MEASURE_PERIOD_BROKER_VALUE","DEEP_MEASURE_ID_OVERRIDE",$C205,"DEEP_BROKER_ID_OVERRIDE",BO$24,"DEEP_PERIOD_OVERRIDE",$H$19)*1,"")))</f>
        <v/>
      </c>
      <c r="BP205" t="str">
        <f>IF(OR(BP$23="",ISNA($B205)),"",IF(ISBLANK($B205),"",IFERROR(_xll.BDP(TICKER,"DEEP_MEASURE_PERIOD_BROKER_VALUE","DEEP_MEASURE_ID_OVERRIDE",$C205,"DEEP_BROKER_ID_OVERRIDE",BP$24,"DEEP_PERIOD_OVERRIDE",$H$19)*1,"")))</f>
        <v/>
      </c>
      <c r="BQ205" t="str">
        <f>IF(OR(BQ$23="",ISNA($B205)),"",IF(ISBLANK($B205),"",IFERROR(_xll.BDP(TICKER,"DEEP_MEASURE_PERIOD_BROKER_VALUE","DEEP_MEASURE_ID_OVERRIDE",$C205,"DEEP_BROKER_ID_OVERRIDE",BQ$24,"DEEP_PERIOD_OVERRIDE",$H$19)*1,"")))</f>
        <v/>
      </c>
      <c r="BR205" t="str">
        <f>IF(OR(BR$23="",ISNA($B205)),"",IF(ISBLANK($B205),"",IFERROR(_xll.BDP(TICKER,"DEEP_MEASURE_PERIOD_BROKER_VALUE","DEEP_MEASURE_ID_OVERRIDE",$C205,"DEEP_BROKER_ID_OVERRIDE",BR$24,"DEEP_PERIOD_OVERRIDE",$H$19)*1,"")))</f>
        <v/>
      </c>
      <c r="BS205" t="str">
        <f>IF(OR(BS$23="",ISNA($B205)),"",IF(ISBLANK($B205),"",IFERROR(_xll.BDP(TICKER,"DEEP_MEASURE_PERIOD_BROKER_VALUE","DEEP_MEASURE_ID_OVERRIDE",$C205,"DEEP_BROKER_ID_OVERRIDE",BS$24,"DEEP_PERIOD_OVERRIDE",$H$19)*1,"")))</f>
        <v/>
      </c>
      <c r="BT205" t="str">
        <f>IF(OR(BT$23="",ISNA($B205)),"",IF(ISBLANK($B205),"",IFERROR(_xll.BDP(TICKER,"DEEP_MEASURE_PERIOD_BROKER_VALUE","DEEP_MEASURE_ID_OVERRIDE",$C205,"DEEP_BROKER_ID_OVERRIDE",BT$24,"DEEP_PERIOD_OVERRIDE",$H$19)*1,"")))</f>
        <v/>
      </c>
      <c r="BU205" t="str">
        <f>IF(OR(BU$23="",ISNA($B205)),"",IF(ISBLANK($B205),"",IFERROR(_xll.BDP(TICKER,"DEEP_MEASURE_PERIOD_BROKER_VALUE","DEEP_MEASURE_ID_OVERRIDE",$C205,"DEEP_BROKER_ID_OVERRIDE",BU$24,"DEEP_PERIOD_OVERRIDE",$H$19)*1,"")))</f>
        <v/>
      </c>
      <c r="BV205" t="str">
        <f>IF(OR(BV$23="",ISNA($B205)),"",IF(ISBLANK($B205),"",IFERROR(_xll.BDP(TICKER,"DEEP_MEASURE_PERIOD_BROKER_VALUE","DEEP_MEASURE_ID_OVERRIDE",$C205,"DEEP_BROKER_ID_OVERRIDE",BV$24,"DEEP_PERIOD_OVERRIDE",$H$19)*1,"")))</f>
        <v/>
      </c>
      <c r="BW205" t="str">
        <f>IF(OR(BW$23="",ISNA($B205)),"",IF(ISBLANK($B205),"",IFERROR(_xll.BDP(TICKER,"DEEP_MEASURE_PERIOD_BROKER_VALUE","DEEP_MEASURE_ID_OVERRIDE",$C205,"DEEP_BROKER_ID_OVERRIDE",BW$24,"DEEP_PERIOD_OVERRIDE",$H$19)*1,"")))</f>
        <v/>
      </c>
      <c r="BX205" t="str">
        <f>IF(OR(BX$23="",ISNA($B205)),"",IF(ISBLANK($B205),"",IFERROR(_xll.BDP(TICKER,"DEEP_MEASURE_PERIOD_BROKER_VALUE","DEEP_MEASURE_ID_OVERRIDE",$C205,"DEEP_BROKER_ID_OVERRIDE",BX$24,"DEEP_PERIOD_OVERRIDE",$H$19)*1,"")))</f>
        <v/>
      </c>
      <c r="BY205" t="str">
        <f>IF(OR(BY$23="",ISNA($B205)),"",IF(ISBLANK($B205),"",IFERROR(_xll.BDP(TICKER,"DEEP_MEASURE_PERIOD_BROKER_VALUE","DEEP_MEASURE_ID_OVERRIDE",$C205,"DEEP_BROKER_ID_OVERRIDE",BY$24,"DEEP_PERIOD_OVERRIDE",$H$19)*1,"")))</f>
        <v/>
      </c>
      <c r="BZ205" t="str">
        <f>IF(OR(BZ$23="",ISNA($B205)),"",IF(ISBLANK($B205),"",IFERROR(_xll.BDP(TICKER,"DEEP_MEASURE_PERIOD_BROKER_VALUE","DEEP_MEASURE_ID_OVERRIDE",$C205,"DEEP_BROKER_ID_OVERRIDE",BZ$24,"DEEP_PERIOD_OVERRIDE",$H$19)*1,"")))</f>
        <v/>
      </c>
    </row>
    <row r="206" spans="2:78" x14ac:dyDescent="0.25">
      <c r="B206" t="s">
        <v>70</v>
      </c>
      <c r="C206">
        <v>1435</v>
      </c>
      <c r="H206" t="str">
        <f t="shared" si="3"/>
        <v>Cash from Investing Activities &gt; Maturities of marketable securities</v>
      </c>
      <c r="I206" t="str">
        <f>IF(OR(I$23="",ISNA($B206)),"",IF(ISBLANK($B206),"",IFERROR(_xll.BDP(TICKER,"DEEP_MEASURE_PERIOD_BROKER_VALUE","DEEP_MEASURE_ID_OVERRIDE",$C206,"DEEP_PERIOD_OVERRIDE",$H$19)*1,"")))</f>
        <v/>
      </c>
      <c r="J206" t="e">
        <f>IF(OR(J$23="",ISNA($B206)),"",IF(ISBLANK($B206),"",IFERROR(_xll.BDP(TICKER,"DEEP_MEASURE_PERIOD_BROKER_VALUE","DEEP_MEASURE_ID_OVERRIDE",$C206,"DEEP_BROKER_ID_OVERRIDE",J$24,"DEEP_PERIOD_OVERRIDE",$H$19)*1,"")))</f>
        <v>#REF!</v>
      </c>
      <c r="K206" t="str">
        <f>IF(OR(K$23="",ISNA($B206)),"",IF(ISBLANK($B206),"",IFERROR(_xll.BDP(TICKER,"DEEP_MEASURE_PERIOD_BROKER_VALUE","DEEP_MEASURE_ID_OVERRIDE",$C206,"DEEP_BROKER_ID_OVERRIDE",K$24,"DEEP_PERIOD_OVERRIDE",$H$19)*1,"")))</f>
        <v/>
      </c>
      <c r="L206" t="str">
        <f>IF(OR(L$23="",ISNA($B206)),"",IF(ISBLANK($B206),"",IFERROR(_xll.BDP(TICKER,"DEEP_MEASURE_PERIOD_BROKER_VALUE","DEEP_MEASURE_ID_OVERRIDE",$C206,"DEEP_BROKER_ID_OVERRIDE",L$24,"DEEP_PERIOD_OVERRIDE",$H$19)*1,"")))</f>
        <v/>
      </c>
      <c r="M206" t="str">
        <f>IF(OR(M$23="",ISNA($B206)),"",IF(ISBLANK($B206),"",IFERROR(_xll.BDP(TICKER,"DEEP_MEASURE_PERIOD_BROKER_VALUE","DEEP_MEASURE_ID_OVERRIDE",$C206,"DEEP_BROKER_ID_OVERRIDE",M$24,"DEEP_PERIOD_OVERRIDE",$H$19)*1,"")))</f>
        <v/>
      </c>
      <c r="N206" t="str">
        <f>IF(OR(N$23="",ISNA($B206)),"",IF(ISBLANK($B206),"",IFERROR(_xll.BDP(TICKER,"DEEP_MEASURE_PERIOD_BROKER_VALUE","DEEP_MEASURE_ID_OVERRIDE",$C206,"DEEP_BROKER_ID_OVERRIDE",N$24,"DEEP_PERIOD_OVERRIDE",$H$19)*1,"")))</f>
        <v/>
      </c>
      <c r="O206" t="str">
        <f>IF(OR(O$23="",ISNA($B206)),"",IF(ISBLANK($B206),"",IFERROR(_xll.BDP(TICKER,"DEEP_MEASURE_PERIOD_BROKER_VALUE","DEEP_MEASURE_ID_OVERRIDE",$C206,"DEEP_BROKER_ID_OVERRIDE",O$24,"DEEP_PERIOD_OVERRIDE",$H$19)*1,"")))</f>
        <v/>
      </c>
      <c r="P206" t="str">
        <f>IF(OR(P$23="",ISNA($B206)),"",IF(ISBLANK($B206),"",IFERROR(_xll.BDP(TICKER,"DEEP_MEASURE_PERIOD_BROKER_VALUE","DEEP_MEASURE_ID_OVERRIDE",$C206,"DEEP_BROKER_ID_OVERRIDE",P$24,"DEEP_PERIOD_OVERRIDE",$H$19)*1,"")))</f>
        <v/>
      </c>
      <c r="Q206" t="str">
        <f>IF(OR(Q$23="",ISNA($B206)),"",IF(ISBLANK($B206),"",IFERROR(_xll.BDP(TICKER,"DEEP_MEASURE_PERIOD_BROKER_VALUE","DEEP_MEASURE_ID_OVERRIDE",$C206,"DEEP_BROKER_ID_OVERRIDE",Q$24,"DEEP_PERIOD_OVERRIDE",$H$19)*1,"")))</f>
        <v/>
      </c>
      <c r="R206" t="str">
        <f>IF(OR(R$23="",ISNA($B206)),"",IF(ISBLANK($B206),"",IFERROR(_xll.BDP(TICKER,"DEEP_MEASURE_PERIOD_BROKER_VALUE","DEEP_MEASURE_ID_OVERRIDE",$C206,"DEEP_BROKER_ID_OVERRIDE",R$24,"DEEP_PERIOD_OVERRIDE",$H$19)*1,"")))</f>
        <v/>
      </c>
      <c r="S206" t="str">
        <f>IF(OR(S$23="",ISNA($B206)),"",IF(ISBLANK($B206),"",IFERROR(_xll.BDP(TICKER,"DEEP_MEASURE_PERIOD_BROKER_VALUE","DEEP_MEASURE_ID_OVERRIDE",$C206,"DEEP_BROKER_ID_OVERRIDE",S$24,"DEEP_PERIOD_OVERRIDE",$H$19)*1,"")))</f>
        <v/>
      </c>
      <c r="T206" t="str">
        <f>IF(OR(T$23="",ISNA($B206)),"",IF(ISBLANK($B206),"",IFERROR(_xll.BDP(TICKER,"DEEP_MEASURE_PERIOD_BROKER_VALUE","DEEP_MEASURE_ID_OVERRIDE",$C206,"DEEP_BROKER_ID_OVERRIDE",T$24,"DEEP_PERIOD_OVERRIDE",$H$19)*1,"")))</f>
        <v/>
      </c>
      <c r="U206" t="str">
        <f>IF(OR(U$23="",ISNA($B206)),"",IF(ISBLANK($B206),"",IFERROR(_xll.BDP(TICKER,"DEEP_MEASURE_PERIOD_BROKER_VALUE","DEEP_MEASURE_ID_OVERRIDE",$C206,"DEEP_BROKER_ID_OVERRIDE",U$24,"DEEP_PERIOD_OVERRIDE",$H$19)*1,"")))</f>
        <v/>
      </c>
      <c r="V206" t="str">
        <f>IF(OR(V$23="",ISNA($B206)),"",IF(ISBLANK($B206),"",IFERROR(_xll.BDP(TICKER,"DEEP_MEASURE_PERIOD_BROKER_VALUE","DEEP_MEASURE_ID_OVERRIDE",$C206,"DEEP_BROKER_ID_OVERRIDE",V$24,"DEEP_PERIOD_OVERRIDE",$H$19)*1,"")))</f>
        <v/>
      </c>
      <c r="W206" t="str">
        <f>IF(OR(W$23="",ISNA($B206)),"",IF(ISBLANK($B206),"",IFERROR(_xll.BDP(TICKER,"DEEP_MEASURE_PERIOD_BROKER_VALUE","DEEP_MEASURE_ID_OVERRIDE",$C206,"DEEP_BROKER_ID_OVERRIDE",W$24,"DEEP_PERIOD_OVERRIDE",$H$19)*1,"")))</f>
        <v/>
      </c>
      <c r="X206" t="str">
        <f>IF(OR(X$23="",ISNA($B206)),"",IF(ISBLANK($B206),"",IFERROR(_xll.BDP(TICKER,"DEEP_MEASURE_PERIOD_BROKER_VALUE","DEEP_MEASURE_ID_OVERRIDE",$C206,"DEEP_BROKER_ID_OVERRIDE",X$24,"DEEP_PERIOD_OVERRIDE",$H$19)*1,"")))</f>
        <v/>
      </c>
      <c r="Y206" t="str">
        <f>IF(OR(Y$23="",ISNA($B206)),"",IF(ISBLANK($B206),"",IFERROR(_xll.BDP(TICKER,"DEEP_MEASURE_PERIOD_BROKER_VALUE","DEEP_MEASURE_ID_OVERRIDE",$C206,"DEEP_BROKER_ID_OVERRIDE",Y$24,"DEEP_PERIOD_OVERRIDE",$H$19)*1,"")))</f>
        <v/>
      </c>
      <c r="Z206" t="str">
        <f>IF(OR(Z$23="",ISNA($B206)),"",IF(ISBLANK($B206),"",IFERROR(_xll.BDP(TICKER,"DEEP_MEASURE_PERIOD_BROKER_VALUE","DEEP_MEASURE_ID_OVERRIDE",$C206,"DEEP_BROKER_ID_OVERRIDE",Z$24,"DEEP_PERIOD_OVERRIDE",$H$19)*1,"")))</f>
        <v/>
      </c>
      <c r="AA206" t="str">
        <f>IF(OR(AA$23="",ISNA($B206)),"",IF(ISBLANK($B206),"",IFERROR(_xll.BDP(TICKER,"DEEP_MEASURE_PERIOD_BROKER_VALUE","DEEP_MEASURE_ID_OVERRIDE",$C206,"DEEP_BROKER_ID_OVERRIDE",AA$24,"DEEP_PERIOD_OVERRIDE",$H$19)*1,"")))</f>
        <v/>
      </c>
      <c r="AB206" t="str">
        <f>IF(OR(AB$23="",ISNA($B206)),"",IF(ISBLANK($B206),"",IFERROR(_xll.BDP(TICKER,"DEEP_MEASURE_PERIOD_BROKER_VALUE","DEEP_MEASURE_ID_OVERRIDE",$C206,"DEEP_BROKER_ID_OVERRIDE",AB$24,"DEEP_PERIOD_OVERRIDE",$H$19)*1,"")))</f>
        <v/>
      </c>
      <c r="AC206" t="str">
        <f>IF(OR(AC$23="",ISNA($B206)),"",IF(ISBLANK($B206),"",IFERROR(_xll.BDP(TICKER,"DEEP_MEASURE_PERIOD_BROKER_VALUE","DEEP_MEASURE_ID_OVERRIDE",$C206,"DEEP_BROKER_ID_OVERRIDE",AC$24,"DEEP_PERIOD_OVERRIDE",$H$19)*1,"")))</f>
        <v/>
      </c>
      <c r="AD206" t="str">
        <f>IF(OR(AD$23="",ISNA($B206)),"",IF(ISBLANK($B206),"",IFERROR(_xll.BDP(TICKER,"DEEP_MEASURE_PERIOD_BROKER_VALUE","DEEP_MEASURE_ID_OVERRIDE",$C206,"DEEP_BROKER_ID_OVERRIDE",AD$24,"DEEP_PERIOD_OVERRIDE",$H$19)*1,"")))</f>
        <v/>
      </c>
      <c r="AE206" t="str">
        <f>IF(OR(AE$23="",ISNA($B206)),"",IF(ISBLANK($B206),"",IFERROR(_xll.BDP(TICKER,"DEEP_MEASURE_PERIOD_BROKER_VALUE","DEEP_MEASURE_ID_OVERRIDE",$C206,"DEEP_BROKER_ID_OVERRIDE",AE$24,"DEEP_PERIOD_OVERRIDE",$H$19)*1,"")))</f>
        <v/>
      </c>
      <c r="AF206" t="str">
        <f>IF(OR(AF$23="",ISNA($B206)),"",IF(ISBLANK($B206),"",IFERROR(_xll.BDP(TICKER,"DEEP_MEASURE_PERIOD_BROKER_VALUE","DEEP_MEASURE_ID_OVERRIDE",$C206,"DEEP_BROKER_ID_OVERRIDE",AF$24,"DEEP_PERIOD_OVERRIDE",$H$19)*1,"")))</f>
        <v/>
      </c>
      <c r="AG206" t="str">
        <f>IF(OR(AG$23="",ISNA($B206)),"",IF(ISBLANK($B206),"",IFERROR(_xll.BDP(TICKER,"DEEP_MEASURE_PERIOD_BROKER_VALUE","DEEP_MEASURE_ID_OVERRIDE",$C206,"DEEP_BROKER_ID_OVERRIDE",AG$24,"DEEP_PERIOD_OVERRIDE",$H$19)*1,"")))</f>
        <v/>
      </c>
      <c r="AH206" t="str">
        <f>IF(OR(AH$23="",ISNA($B206)),"",IF(ISBLANK($B206),"",IFERROR(_xll.BDP(TICKER,"DEEP_MEASURE_PERIOD_BROKER_VALUE","DEEP_MEASURE_ID_OVERRIDE",$C206,"DEEP_BROKER_ID_OVERRIDE",AH$24,"DEEP_PERIOD_OVERRIDE",$H$19)*1,"")))</f>
        <v/>
      </c>
      <c r="AI206" t="str">
        <f>IF(OR(AI$23="",ISNA($B206)),"",IF(ISBLANK($B206),"",IFERROR(_xll.BDP(TICKER,"DEEP_MEASURE_PERIOD_BROKER_VALUE","DEEP_MEASURE_ID_OVERRIDE",$C206,"DEEP_BROKER_ID_OVERRIDE",AI$24,"DEEP_PERIOD_OVERRIDE",$H$19)*1,"")))</f>
        <v/>
      </c>
      <c r="AJ206" t="str">
        <f>IF(OR(AJ$23="",ISNA($B206)),"",IF(ISBLANK($B206),"",IFERROR(_xll.BDP(TICKER,"DEEP_MEASURE_PERIOD_BROKER_VALUE","DEEP_MEASURE_ID_OVERRIDE",$C206,"DEEP_BROKER_ID_OVERRIDE",AJ$24,"DEEP_PERIOD_OVERRIDE",$H$19)*1,"")))</f>
        <v/>
      </c>
      <c r="AK206" t="str">
        <f>IF(OR(AK$23="",ISNA($B206)),"",IF(ISBLANK($B206),"",IFERROR(_xll.BDP(TICKER,"DEEP_MEASURE_PERIOD_BROKER_VALUE","DEEP_MEASURE_ID_OVERRIDE",$C206,"DEEP_BROKER_ID_OVERRIDE",AK$24,"DEEP_PERIOD_OVERRIDE",$H$19)*1,"")))</f>
        <v/>
      </c>
      <c r="AL206" t="str">
        <f>IF(OR(AL$23="",ISNA($B206)),"",IF(ISBLANK($B206),"",IFERROR(_xll.BDP(TICKER,"DEEP_MEASURE_PERIOD_BROKER_VALUE","DEEP_MEASURE_ID_OVERRIDE",$C206,"DEEP_BROKER_ID_OVERRIDE",AL$24,"DEEP_PERIOD_OVERRIDE",$H$19)*1,"")))</f>
        <v/>
      </c>
      <c r="AM206" t="str">
        <f>IF(OR(AM$23="",ISNA($B206)),"",IF(ISBLANK($B206),"",IFERROR(_xll.BDP(TICKER,"DEEP_MEASURE_PERIOD_BROKER_VALUE","DEEP_MEASURE_ID_OVERRIDE",$C206,"DEEP_BROKER_ID_OVERRIDE",AM$24,"DEEP_PERIOD_OVERRIDE",$H$19)*1,"")))</f>
        <v/>
      </c>
      <c r="AN206" t="str">
        <f>IF(OR(AN$23="",ISNA($B206)),"",IF(ISBLANK($B206),"",IFERROR(_xll.BDP(TICKER,"DEEP_MEASURE_PERIOD_BROKER_VALUE","DEEP_MEASURE_ID_OVERRIDE",$C206,"DEEP_BROKER_ID_OVERRIDE",AN$24,"DEEP_PERIOD_OVERRIDE",$H$19)*1,"")))</f>
        <v/>
      </c>
      <c r="AO206" t="str">
        <f>IF(OR(AO$23="",ISNA($B206)),"",IF(ISBLANK($B206),"",IFERROR(_xll.BDP(TICKER,"DEEP_MEASURE_PERIOD_BROKER_VALUE","DEEP_MEASURE_ID_OVERRIDE",$C206,"DEEP_BROKER_ID_OVERRIDE",AO$24,"DEEP_PERIOD_OVERRIDE",$H$19)*1,"")))</f>
        <v/>
      </c>
      <c r="AP206" t="str">
        <f>IF(OR(AP$23="",ISNA($B206)),"",IF(ISBLANK($B206),"",IFERROR(_xll.BDP(TICKER,"DEEP_MEASURE_PERIOD_BROKER_VALUE","DEEP_MEASURE_ID_OVERRIDE",$C206,"DEEP_BROKER_ID_OVERRIDE",AP$24,"DEEP_PERIOD_OVERRIDE",$H$19)*1,"")))</f>
        <v/>
      </c>
      <c r="AQ206" t="str">
        <f>IF(OR(AQ$23="",ISNA($B206)),"",IF(ISBLANK($B206),"",IFERROR(_xll.BDP(TICKER,"DEEP_MEASURE_PERIOD_BROKER_VALUE","DEEP_MEASURE_ID_OVERRIDE",$C206,"DEEP_BROKER_ID_OVERRIDE",AQ$24,"DEEP_PERIOD_OVERRIDE",$H$19)*1,"")))</f>
        <v/>
      </c>
      <c r="AR206" t="str">
        <f>IF(OR(AR$23="",ISNA($B206)),"",IF(ISBLANK($B206),"",IFERROR(_xll.BDP(TICKER,"DEEP_MEASURE_PERIOD_BROKER_VALUE","DEEP_MEASURE_ID_OVERRIDE",$C206,"DEEP_BROKER_ID_OVERRIDE",AR$24,"DEEP_PERIOD_OVERRIDE",$H$19)*1,"")))</f>
        <v/>
      </c>
      <c r="AS206" t="str">
        <f>IF(OR(AS$23="",ISNA($B206)),"",IF(ISBLANK($B206),"",IFERROR(_xll.BDP(TICKER,"DEEP_MEASURE_PERIOD_BROKER_VALUE","DEEP_MEASURE_ID_OVERRIDE",$C206,"DEEP_BROKER_ID_OVERRIDE",AS$24,"DEEP_PERIOD_OVERRIDE",$H$19)*1,"")))</f>
        <v/>
      </c>
      <c r="AT206" t="str">
        <f>IF(OR(AT$23="",ISNA($B206)),"",IF(ISBLANK($B206),"",IFERROR(_xll.BDP(TICKER,"DEEP_MEASURE_PERIOD_BROKER_VALUE","DEEP_MEASURE_ID_OVERRIDE",$C206,"DEEP_BROKER_ID_OVERRIDE",AT$24,"DEEP_PERIOD_OVERRIDE",$H$19)*1,"")))</f>
        <v/>
      </c>
      <c r="AU206" t="str">
        <f>IF(OR(AU$23="",ISNA($B206)),"",IF(ISBLANK($B206),"",IFERROR(_xll.BDP(TICKER,"DEEP_MEASURE_PERIOD_BROKER_VALUE","DEEP_MEASURE_ID_OVERRIDE",$C206,"DEEP_BROKER_ID_OVERRIDE",AU$24,"DEEP_PERIOD_OVERRIDE",$H$19)*1,"")))</f>
        <v/>
      </c>
      <c r="AV206" t="str">
        <f>IF(OR(AV$23="",ISNA($B206)),"",IF(ISBLANK($B206),"",IFERROR(_xll.BDP(TICKER,"DEEP_MEASURE_PERIOD_BROKER_VALUE","DEEP_MEASURE_ID_OVERRIDE",$C206,"DEEP_BROKER_ID_OVERRIDE",AV$24,"DEEP_PERIOD_OVERRIDE",$H$19)*1,"")))</f>
        <v/>
      </c>
      <c r="AW206" t="str">
        <f>IF(OR(AW$23="",ISNA($B206)),"",IF(ISBLANK($B206),"",IFERROR(_xll.BDP(TICKER,"DEEP_MEASURE_PERIOD_BROKER_VALUE","DEEP_MEASURE_ID_OVERRIDE",$C206,"DEEP_BROKER_ID_OVERRIDE",AW$24,"DEEP_PERIOD_OVERRIDE",$H$19)*1,"")))</f>
        <v/>
      </c>
      <c r="AX206" t="str">
        <f>IF(OR(AX$23="",ISNA($B206)),"",IF(ISBLANK($B206),"",IFERROR(_xll.BDP(TICKER,"DEEP_MEASURE_PERIOD_BROKER_VALUE","DEEP_MEASURE_ID_OVERRIDE",$C206,"DEEP_BROKER_ID_OVERRIDE",AX$24,"DEEP_PERIOD_OVERRIDE",$H$19)*1,"")))</f>
        <v/>
      </c>
      <c r="AY206" t="str">
        <f>IF(OR(AY$23="",ISNA($B206)),"",IF(ISBLANK($B206),"",IFERROR(_xll.BDP(TICKER,"DEEP_MEASURE_PERIOD_BROKER_VALUE","DEEP_MEASURE_ID_OVERRIDE",$C206,"DEEP_BROKER_ID_OVERRIDE",AY$24,"DEEP_PERIOD_OVERRIDE",$H$19)*1,"")))</f>
        <v/>
      </c>
      <c r="AZ206" t="str">
        <f>IF(OR(AZ$23="",ISNA($B206)),"",IF(ISBLANK($B206),"",IFERROR(_xll.BDP(TICKER,"DEEP_MEASURE_PERIOD_BROKER_VALUE","DEEP_MEASURE_ID_OVERRIDE",$C206,"DEEP_BROKER_ID_OVERRIDE",AZ$24,"DEEP_PERIOD_OVERRIDE",$H$19)*1,"")))</f>
        <v/>
      </c>
      <c r="BA206" t="str">
        <f>IF(OR(BA$23="",ISNA($B206)),"",IF(ISBLANK($B206),"",IFERROR(_xll.BDP(TICKER,"DEEP_MEASURE_PERIOD_BROKER_VALUE","DEEP_MEASURE_ID_OVERRIDE",$C206,"DEEP_BROKER_ID_OVERRIDE",BA$24,"DEEP_PERIOD_OVERRIDE",$H$19)*1,"")))</f>
        <v/>
      </c>
      <c r="BB206" t="str">
        <f>IF(OR(BB$23="",ISNA($B206)),"",IF(ISBLANK($B206),"",IFERROR(_xll.BDP(TICKER,"DEEP_MEASURE_PERIOD_BROKER_VALUE","DEEP_MEASURE_ID_OVERRIDE",$C206,"DEEP_BROKER_ID_OVERRIDE",BB$24,"DEEP_PERIOD_OVERRIDE",$H$19)*1,"")))</f>
        <v/>
      </c>
      <c r="BC206" t="str">
        <f>IF(OR(BC$23="",ISNA($B206)),"",IF(ISBLANK($B206),"",IFERROR(_xll.BDP(TICKER,"DEEP_MEASURE_PERIOD_BROKER_VALUE","DEEP_MEASURE_ID_OVERRIDE",$C206,"DEEP_BROKER_ID_OVERRIDE",BC$24,"DEEP_PERIOD_OVERRIDE",$H$19)*1,"")))</f>
        <v/>
      </c>
      <c r="BD206" t="str">
        <f>IF(OR(BD$23="",ISNA($B206)),"",IF(ISBLANK($B206),"",IFERROR(_xll.BDP(TICKER,"DEEP_MEASURE_PERIOD_BROKER_VALUE","DEEP_MEASURE_ID_OVERRIDE",$C206,"DEEP_BROKER_ID_OVERRIDE",BD$24,"DEEP_PERIOD_OVERRIDE",$H$19)*1,"")))</f>
        <v/>
      </c>
      <c r="BE206" t="str">
        <f>IF(OR(BE$23="",ISNA($B206)),"",IF(ISBLANK($B206),"",IFERROR(_xll.BDP(TICKER,"DEEP_MEASURE_PERIOD_BROKER_VALUE","DEEP_MEASURE_ID_OVERRIDE",$C206,"DEEP_BROKER_ID_OVERRIDE",BE$24,"DEEP_PERIOD_OVERRIDE",$H$19)*1,"")))</f>
        <v/>
      </c>
      <c r="BF206" t="str">
        <f>IF(OR(BF$23="",ISNA($B206)),"",IF(ISBLANK($B206),"",IFERROR(_xll.BDP(TICKER,"DEEP_MEASURE_PERIOD_BROKER_VALUE","DEEP_MEASURE_ID_OVERRIDE",$C206,"DEEP_BROKER_ID_OVERRIDE",BF$24,"DEEP_PERIOD_OVERRIDE",$H$19)*1,"")))</f>
        <v/>
      </c>
      <c r="BG206" t="str">
        <f>IF(OR(BG$23="",ISNA($B206)),"",IF(ISBLANK($B206),"",IFERROR(_xll.BDP(TICKER,"DEEP_MEASURE_PERIOD_BROKER_VALUE","DEEP_MEASURE_ID_OVERRIDE",$C206,"DEEP_BROKER_ID_OVERRIDE",BG$24,"DEEP_PERIOD_OVERRIDE",$H$19)*1,"")))</f>
        <v/>
      </c>
      <c r="BH206" t="str">
        <f>IF(OR(BH$23="",ISNA($B206)),"",IF(ISBLANK($B206),"",IFERROR(_xll.BDP(TICKER,"DEEP_MEASURE_PERIOD_BROKER_VALUE","DEEP_MEASURE_ID_OVERRIDE",$C206,"DEEP_BROKER_ID_OVERRIDE",BH$24,"DEEP_PERIOD_OVERRIDE",$H$19)*1,"")))</f>
        <v/>
      </c>
      <c r="BI206" t="str">
        <f>IF(OR(BI$23="",ISNA($B206)),"",IF(ISBLANK($B206),"",IFERROR(_xll.BDP(TICKER,"DEEP_MEASURE_PERIOD_BROKER_VALUE","DEEP_MEASURE_ID_OVERRIDE",$C206,"DEEP_BROKER_ID_OVERRIDE",BI$24,"DEEP_PERIOD_OVERRIDE",$H$19)*1,"")))</f>
        <v/>
      </c>
      <c r="BJ206" t="str">
        <f>IF(OR(BJ$23="",ISNA($B206)),"",IF(ISBLANK($B206),"",IFERROR(_xll.BDP(TICKER,"DEEP_MEASURE_PERIOD_BROKER_VALUE","DEEP_MEASURE_ID_OVERRIDE",$C206,"DEEP_BROKER_ID_OVERRIDE",BJ$24,"DEEP_PERIOD_OVERRIDE",$H$19)*1,"")))</f>
        <v/>
      </c>
      <c r="BK206" t="str">
        <f>IF(OR(BK$23="",ISNA($B206)),"",IF(ISBLANK($B206),"",IFERROR(_xll.BDP(TICKER,"DEEP_MEASURE_PERIOD_BROKER_VALUE","DEEP_MEASURE_ID_OVERRIDE",$C206,"DEEP_BROKER_ID_OVERRIDE",BK$24,"DEEP_PERIOD_OVERRIDE",$H$19)*1,"")))</f>
        <v/>
      </c>
      <c r="BL206" t="str">
        <f>IF(OR(BL$23="",ISNA($B206)),"",IF(ISBLANK($B206),"",IFERROR(_xll.BDP(TICKER,"DEEP_MEASURE_PERIOD_BROKER_VALUE","DEEP_MEASURE_ID_OVERRIDE",$C206,"DEEP_BROKER_ID_OVERRIDE",BL$24,"DEEP_PERIOD_OVERRIDE",$H$19)*1,"")))</f>
        <v/>
      </c>
      <c r="BM206" t="str">
        <f>IF(OR(BM$23="",ISNA($B206)),"",IF(ISBLANK($B206),"",IFERROR(_xll.BDP(TICKER,"DEEP_MEASURE_PERIOD_BROKER_VALUE","DEEP_MEASURE_ID_OVERRIDE",$C206,"DEEP_BROKER_ID_OVERRIDE",BM$24,"DEEP_PERIOD_OVERRIDE",$H$19)*1,"")))</f>
        <v/>
      </c>
      <c r="BN206" t="str">
        <f>IF(OR(BN$23="",ISNA($B206)),"",IF(ISBLANK($B206),"",IFERROR(_xll.BDP(TICKER,"DEEP_MEASURE_PERIOD_BROKER_VALUE","DEEP_MEASURE_ID_OVERRIDE",$C206,"DEEP_BROKER_ID_OVERRIDE",BN$24,"DEEP_PERIOD_OVERRIDE",$H$19)*1,"")))</f>
        <v/>
      </c>
      <c r="BO206" t="str">
        <f>IF(OR(BO$23="",ISNA($B206)),"",IF(ISBLANK($B206),"",IFERROR(_xll.BDP(TICKER,"DEEP_MEASURE_PERIOD_BROKER_VALUE","DEEP_MEASURE_ID_OVERRIDE",$C206,"DEEP_BROKER_ID_OVERRIDE",BO$24,"DEEP_PERIOD_OVERRIDE",$H$19)*1,"")))</f>
        <v/>
      </c>
      <c r="BP206" t="str">
        <f>IF(OR(BP$23="",ISNA($B206)),"",IF(ISBLANK($B206),"",IFERROR(_xll.BDP(TICKER,"DEEP_MEASURE_PERIOD_BROKER_VALUE","DEEP_MEASURE_ID_OVERRIDE",$C206,"DEEP_BROKER_ID_OVERRIDE",BP$24,"DEEP_PERIOD_OVERRIDE",$H$19)*1,"")))</f>
        <v/>
      </c>
      <c r="BQ206" t="str">
        <f>IF(OR(BQ$23="",ISNA($B206)),"",IF(ISBLANK($B206),"",IFERROR(_xll.BDP(TICKER,"DEEP_MEASURE_PERIOD_BROKER_VALUE","DEEP_MEASURE_ID_OVERRIDE",$C206,"DEEP_BROKER_ID_OVERRIDE",BQ$24,"DEEP_PERIOD_OVERRIDE",$H$19)*1,"")))</f>
        <v/>
      </c>
      <c r="BR206" t="str">
        <f>IF(OR(BR$23="",ISNA($B206)),"",IF(ISBLANK($B206),"",IFERROR(_xll.BDP(TICKER,"DEEP_MEASURE_PERIOD_BROKER_VALUE","DEEP_MEASURE_ID_OVERRIDE",$C206,"DEEP_BROKER_ID_OVERRIDE",BR$24,"DEEP_PERIOD_OVERRIDE",$H$19)*1,"")))</f>
        <v/>
      </c>
      <c r="BS206" t="str">
        <f>IF(OR(BS$23="",ISNA($B206)),"",IF(ISBLANK($B206),"",IFERROR(_xll.BDP(TICKER,"DEEP_MEASURE_PERIOD_BROKER_VALUE","DEEP_MEASURE_ID_OVERRIDE",$C206,"DEEP_BROKER_ID_OVERRIDE",BS$24,"DEEP_PERIOD_OVERRIDE",$H$19)*1,"")))</f>
        <v/>
      </c>
      <c r="BT206" t="str">
        <f>IF(OR(BT$23="",ISNA($B206)),"",IF(ISBLANK($B206),"",IFERROR(_xll.BDP(TICKER,"DEEP_MEASURE_PERIOD_BROKER_VALUE","DEEP_MEASURE_ID_OVERRIDE",$C206,"DEEP_BROKER_ID_OVERRIDE",BT$24,"DEEP_PERIOD_OVERRIDE",$H$19)*1,"")))</f>
        <v/>
      </c>
      <c r="BU206" t="str">
        <f>IF(OR(BU$23="",ISNA($B206)),"",IF(ISBLANK($B206),"",IFERROR(_xll.BDP(TICKER,"DEEP_MEASURE_PERIOD_BROKER_VALUE","DEEP_MEASURE_ID_OVERRIDE",$C206,"DEEP_BROKER_ID_OVERRIDE",BU$24,"DEEP_PERIOD_OVERRIDE",$H$19)*1,"")))</f>
        <v/>
      </c>
      <c r="BV206" t="str">
        <f>IF(OR(BV$23="",ISNA($B206)),"",IF(ISBLANK($B206),"",IFERROR(_xll.BDP(TICKER,"DEEP_MEASURE_PERIOD_BROKER_VALUE","DEEP_MEASURE_ID_OVERRIDE",$C206,"DEEP_BROKER_ID_OVERRIDE",BV$24,"DEEP_PERIOD_OVERRIDE",$H$19)*1,"")))</f>
        <v/>
      </c>
      <c r="BW206" t="str">
        <f>IF(OR(BW$23="",ISNA($B206)),"",IF(ISBLANK($B206),"",IFERROR(_xll.BDP(TICKER,"DEEP_MEASURE_PERIOD_BROKER_VALUE","DEEP_MEASURE_ID_OVERRIDE",$C206,"DEEP_BROKER_ID_OVERRIDE",BW$24,"DEEP_PERIOD_OVERRIDE",$H$19)*1,"")))</f>
        <v/>
      </c>
      <c r="BX206" t="str">
        <f>IF(OR(BX$23="",ISNA($B206)),"",IF(ISBLANK($B206),"",IFERROR(_xll.BDP(TICKER,"DEEP_MEASURE_PERIOD_BROKER_VALUE","DEEP_MEASURE_ID_OVERRIDE",$C206,"DEEP_BROKER_ID_OVERRIDE",BX$24,"DEEP_PERIOD_OVERRIDE",$H$19)*1,"")))</f>
        <v/>
      </c>
      <c r="BY206" t="str">
        <f>IF(OR(BY$23="",ISNA($B206)),"",IF(ISBLANK($B206),"",IFERROR(_xll.BDP(TICKER,"DEEP_MEASURE_PERIOD_BROKER_VALUE","DEEP_MEASURE_ID_OVERRIDE",$C206,"DEEP_BROKER_ID_OVERRIDE",BY$24,"DEEP_PERIOD_OVERRIDE",$H$19)*1,"")))</f>
        <v/>
      </c>
      <c r="BZ206" t="str">
        <f>IF(OR(BZ$23="",ISNA($B206)),"",IF(ISBLANK($B206),"",IFERROR(_xll.BDP(TICKER,"DEEP_MEASURE_PERIOD_BROKER_VALUE","DEEP_MEASURE_ID_OVERRIDE",$C206,"DEEP_BROKER_ID_OVERRIDE",BZ$24,"DEEP_PERIOD_OVERRIDE",$H$19)*1,"")))</f>
        <v/>
      </c>
    </row>
    <row r="207" spans="2:78" x14ac:dyDescent="0.25">
      <c r="B207" t="s">
        <v>211</v>
      </c>
      <c r="C207">
        <v>3262</v>
      </c>
      <c r="H207" t="str">
        <f t="shared" si="3"/>
        <v>Cash Flow from Investing</v>
      </c>
      <c r="I207" t="str">
        <f>IF(OR(I$23="",ISNA($B207)),"",IF(ISBLANK($B207),"",IFERROR(_xll.BDP(TICKER,"DEEP_MEASURE_PERIOD_BROKER_VALUE","DEEP_MEASURE_ID_OVERRIDE",$C207,"DEEP_PERIOD_OVERRIDE",$H$19)*1,"")))</f>
        <v/>
      </c>
      <c r="J207" t="e">
        <f>IF(OR(J$23="",ISNA($B207)),"",IF(ISBLANK($B207),"",IFERROR(_xll.BDP(TICKER,"DEEP_MEASURE_PERIOD_BROKER_VALUE","DEEP_MEASURE_ID_OVERRIDE",$C207,"DEEP_BROKER_ID_OVERRIDE",J$24,"DEEP_PERIOD_OVERRIDE",$H$19)*1,"")))</f>
        <v>#REF!</v>
      </c>
      <c r="K207" t="str">
        <f>IF(OR(K$23="",ISNA($B207)),"",IF(ISBLANK($B207),"",IFERROR(_xll.BDP(TICKER,"DEEP_MEASURE_PERIOD_BROKER_VALUE","DEEP_MEASURE_ID_OVERRIDE",$C207,"DEEP_BROKER_ID_OVERRIDE",K$24,"DEEP_PERIOD_OVERRIDE",$H$19)*1,"")))</f>
        <v/>
      </c>
      <c r="L207" t="str">
        <f>IF(OR(L$23="",ISNA($B207)),"",IF(ISBLANK($B207),"",IFERROR(_xll.BDP(TICKER,"DEEP_MEASURE_PERIOD_BROKER_VALUE","DEEP_MEASURE_ID_OVERRIDE",$C207,"DEEP_BROKER_ID_OVERRIDE",L$24,"DEEP_PERIOD_OVERRIDE",$H$19)*1,"")))</f>
        <v/>
      </c>
      <c r="M207" t="str">
        <f>IF(OR(M$23="",ISNA($B207)),"",IF(ISBLANK($B207),"",IFERROR(_xll.BDP(TICKER,"DEEP_MEASURE_PERIOD_BROKER_VALUE","DEEP_MEASURE_ID_OVERRIDE",$C207,"DEEP_BROKER_ID_OVERRIDE",M$24,"DEEP_PERIOD_OVERRIDE",$H$19)*1,"")))</f>
        <v/>
      </c>
      <c r="N207" t="str">
        <f>IF(OR(N$23="",ISNA($B207)),"",IF(ISBLANK($B207),"",IFERROR(_xll.BDP(TICKER,"DEEP_MEASURE_PERIOD_BROKER_VALUE","DEEP_MEASURE_ID_OVERRIDE",$C207,"DEEP_BROKER_ID_OVERRIDE",N$24,"DEEP_PERIOD_OVERRIDE",$H$19)*1,"")))</f>
        <v/>
      </c>
      <c r="O207" t="str">
        <f>IF(OR(O$23="",ISNA($B207)),"",IF(ISBLANK($B207),"",IFERROR(_xll.BDP(TICKER,"DEEP_MEASURE_PERIOD_BROKER_VALUE","DEEP_MEASURE_ID_OVERRIDE",$C207,"DEEP_BROKER_ID_OVERRIDE",O$24,"DEEP_PERIOD_OVERRIDE",$H$19)*1,"")))</f>
        <v/>
      </c>
      <c r="P207" t="str">
        <f>IF(OR(P$23="",ISNA($B207)),"",IF(ISBLANK($B207),"",IFERROR(_xll.BDP(TICKER,"DEEP_MEASURE_PERIOD_BROKER_VALUE","DEEP_MEASURE_ID_OVERRIDE",$C207,"DEEP_BROKER_ID_OVERRIDE",P$24,"DEEP_PERIOD_OVERRIDE",$H$19)*1,"")))</f>
        <v/>
      </c>
      <c r="Q207" t="str">
        <f>IF(OR(Q$23="",ISNA($B207)),"",IF(ISBLANK($B207),"",IFERROR(_xll.BDP(TICKER,"DEEP_MEASURE_PERIOD_BROKER_VALUE","DEEP_MEASURE_ID_OVERRIDE",$C207,"DEEP_BROKER_ID_OVERRIDE",Q$24,"DEEP_PERIOD_OVERRIDE",$H$19)*1,"")))</f>
        <v/>
      </c>
      <c r="R207" t="str">
        <f>IF(OR(R$23="",ISNA($B207)),"",IF(ISBLANK($B207),"",IFERROR(_xll.BDP(TICKER,"DEEP_MEASURE_PERIOD_BROKER_VALUE","DEEP_MEASURE_ID_OVERRIDE",$C207,"DEEP_BROKER_ID_OVERRIDE",R$24,"DEEP_PERIOD_OVERRIDE",$H$19)*1,"")))</f>
        <v/>
      </c>
      <c r="S207" t="str">
        <f>IF(OR(S$23="",ISNA($B207)),"",IF(ISBLANK($B207),"",IFERROR(_xll.BDP(TICKER,"DEEP_MEASURE_PERIOD_BROKER_VALUE","DEEP_MEASURE_ID_OVERRIDE",$C207,"DEEP_BROKER_ID_OVERRIDE",S$24,"DEEP_PERIOD_OVERRIDE",$H$19)*1,"")))</f>
        <v/>
      </c>
      <c r="T207" t="str">
        <f>IF(OR(T$23="",ISNA($B207)),"",IF(ISBLANK($B207),"",IFERROR(_xll.BDP(TICKER,"DEEP_MEASURE_PERIOD_BROKER_VALUE","DEEP_MEASURE_ID_OVERRIDE",$C207,"DEEP_BROKER_ID_OVERRIDE",T$24,"DEEP_PERIOD_OVERRIDE",$H$19)*1,"")))</f>
        <v/>
      </c>
      <c r="U207" t="str">
        <f>IF(OR(U$23="",ISNA($B207)),"",IF(ISBLANK($B207),"",IFERROR(_xll.BDP(TICKER,"DEEP_MEASURE_PERIOD_BROKER_VALUE","DEEP_MEASURE_ID_OVERRIDE",$C207,"DEEP_BROKER_ID_OVERRIDE",U$24,"DEEP_PERIOD_OVERRIDE",$H$19)*1,"")))</f>
        <v/>
      </c>
      <c r="V207" t="str">
        <f>IF(OR(V$23="",ISNA($B207)),"",IF(ISBLANK($B207),"",IFERROR(_xll.BDP(TICKER,"DEEP_MEASURE_PERIOD_BROKER_VALUE","DEEP_MEASURE_ID_OVERRIDE",$C207,"DEEP_BROKER_ID_OVERRIDE",V$24,"DEEP_PERIOD_OVERRIDE",$H$19)*1,"")))</f>
        <v/>
      </c>
      <c r="W207" t="str">
        <f>IF(OR(W$23="",ISNA($B207)),"",IF(ISBLANK($B207),"",IFERROR(_xll.BDP(TICKER,"DEEP_MEASURE_PERIOD_BROKER_VALUE","DEEP_MEASURE_ID_OVERRIDE",$C207,"DEEP_BROKER_ID_OVERRIDE",W$24,"DEEP_PERIOD_OVERRIDE",$H$19)*1,"")))</f>
        <v/>
      </c>
      <c r="X207" t="str">
        <f>IF(OR(X$23="",ISNA($B207)),"",IF(ISBLANK($B207),"",IFERROR(_xll.BDP(TICKER,"DEEP_MEASURE_PERIOD_BROKER_VALUE","DEEP_MEASURE_ID_OVERRIDE",$C207,"DEEP_BROKER_ID_OVERRIDE",X$24,"DEEP_PERIOD_OVERRIDE",$H$19)*1,"")))</f>
        <v/>
      </c>
      <c r="Y207" t="str">
        <f>IF(OR(Y$23="",ISNA($B207)),"",IF(ISBLANK($B207),"",IFERROR(_xll.BDP(TICKER,"DEEP_MEASURE_PERIOD_BROKER_VALUE","DEEP_MEASURE_ID_OVERRIDE",$C207,"DEEP_BROKER_ID_OVERRIDE",Y$24,"DEEP_PERIOD_OVERRIDE",$H$19)*1,"")))</f>
        <v/>
      </c>
      <c r="Z207" t="str">
        <f>IF(OR(Z$23="",ISNA($B207)),"",IF(ISBLANK($B207),"",IFERROR(_xll.BDP(TICKER,"DEEP_MEASURE_PERIOD_BROKER_VALUE","DEEP_MEASURE_ID_OVERRIDE",$C207,"DEEP_BROKER_ID_OVERRIDE",Z$24,"DEEP_PERIOD_OVERRIDE",$H$19)*1,"")))</f>
        <v/>
      </c>
      <c r="AA207" t="str">
        <f>IF(OR(AA$23="",ISNA($B207)),"",IF(ISBLANK($B207),"",IFERROR(_xll.BDP(TICKER,"DEEP_MEASURE_PERIOD_BROKER_VALUE","DEEP_MEASURE_ID_OVERRIDE",$C207,"DEEP_BROKER_ID_OVERRIDE",AA$24,"DEEP_PERIOD_OVERRIDE",$H$19)*1,"")))</f>
        <v/>
      </c>
      <c r="AB207" t="str">
        <f>IF(OR(AB$23="",ISNA($B207)),"",IF(ISBLANK($B207),"",IFERROR(_xll.BDP(TICKER,"DEEP_MEASURE_PERIOD_BROKER_VALUE","DEEP_MEASURE_ID_OVERRIDE",$C207,"DEEP_BROKER_ID_OVERRIDE",AB$24,"DEEP_PERIOD_OVERRIDE",$H$19)*1,"")))</f>
        <v/>
      </c>
      <c r="AC207" t="str">
        <f>IF(OR(AC$23="",ISNA($B207)),"",IF(ISBLANK($B207),"",IFERROR(_xll.BDP(TICKER,"DEEP_MEASURE_PERIOD_BROKER_VALUE","DEEP_MEASURE_ID_OVERRIDE",$C207,"DEEP_BROKER_ID_OVERRIDE",AC$24,"DEEP_PERIOD_OVERRIDE",$H$19)*1,"")))</f>
        <v/>
      </c>
      <c r="AD207" t="str">
        <f>IF(OR(AD$23="",ISNA($B207)),"",IF(ISBLANK($B207),"",IFERROR(_xll.BDP(TICKER,"DEEP_MEASURE_PERIOD_BROKER_VALUE","DEEP_MEASURE_ID_OVERRIDE",$C207,"DEEP_BROKER_ID_OVERRIDE",AD$24,"DEEP_PERIOD_OVERRIDE",$H$19)*1,"")))</f>
        <v/>
      </c>
      <c r="AE207" t="str">
        <f>IF(OR(AE$23="",ISNA($B207)),"",IF(ISBLANK($B207),"",IFERROR(_xll.BDP(TICKER,"DEEP_MEASURE_PERIOD_BROKER_VALUE","DEEP_MEASURE_ID_OVERRIDE",$C207,"DEEP_BROKER_ID_OVERRIDE",AE$24,"DEEP_PERIOD_OVERRIDE",$H$19)*1,"")))</f>
        <v/>
      </c>
      <c r="AF207" t="str">
        <f>IF(OR(AF$23="",ISNA($B207)),"",IF(ISBLANK($B207),"",IFERROR(_xll.BDP(TICKER,"DEEP_MEASURE_PERIOD_BROKER_VALUE","DEEP_MEASURE_ID_OVERRIDE",$C207,"DEEP_BROKER_ID_OVERRIDE",AF$24,"DEEP_PERIOD_OVERRIDE",$H$19)*1,"")))</f>
        <v/>
      </c>
      <c r="AG207" t="str">
        <f>IF(OR(AG$23="",ISNA($B207)),"",IF(ISBLANK($B207),"",IFERROR(_xll.BDP(TICKER,"DEEP_MEASURE_PERIOD_BROKER_VALUE","DEEP_MEASURE_ID_OVERRIDE",$C207,"DEEP_BROKER_ID_OVERRIDE",AG$24,"DEEP_PERIOD_OVERRIDE",$H$19)*1,"")))</f>
        <v/>
      </c>
      <c r="AH207" t="str">
        <f>IF(OR(AH$23="",ISNA($B207)),"",IF(ISBLANK($B207),"",IFERROR(_xll.BDP(TICKER,"DEEP_MEASURE_PERIOD_BROKER_VALUE","DEEP_MEASURE_ID_OVERRIDE",$C207,"DEEP_BROKER_ID_OVERRIDE",AH$24,"DEEP_PERIOD_OVERRIDE",$H$19)*1,"")))</f>
        <v/>
      </c>
      <c r="AI207" t="str">
        <f>IF(OR(AI$23="",ISNA($B207)),"",IF(ISBLANK($B207),"",IFERROR(_xll.BDP(TICKER,"DEEP_MEASURE_PERIOD_BROKER_VALUE","DEEP_MEASURE_ID_OVERRIDE",$C207,"DEEP_BROKER_ID_OVERRIDE",AI$24,"DEEP_PERIOD_OVERRIDE",$H$19)*1,"")))</f>
        <v/>
      </c>
      <c r="AJ207" t="str">
        <f>IF(OR(AJ$23="",ISNA($B207)),"",IF(ISBLANK($B207),"",IFERROR(_xll.BDP(TICKER,"DEEP_MEASURE_PERIOD_BROKER_VALUE","DEEP_MEASURE_ID_OVERRIDE",$C207,"DEEP_BROKER_ID_OVERRIDE",AJ$24,"DEEP_PERIOD_OVERRIDE",$H$19)*1,"")))</f>
        <v/>
      </c>
      <c r="AK207" t="str">
        <f>IF(OR(AK$23="",ISNA($B207)),"",IF(ISBLANK($B207),"",IFERROR(_xll.BDP(TICKER,"DEEP_MEASURE_PERIOD_BROKER_VALUE","DEEP_MEASURE_ID_OVERRIDE",$C207,"DEEP_BROKER_ID_OVERRIDE",AK$24,"DEEP_PERIOD_OVERRIDE",$H$19)*1,"")))</f>
        <v/>
      </c>
      <c r="AL207" t="str">
        <f>IF(OR(AL$23="",ISNA($B207)),"",IF(ISBLANK($B207),"",IFERROR(_xll.BDP(TICKER,"DEEP_MEASURE_PERIOD_BROKER_VALUE","DEEP_MEASURE_ID_OVERRIDE",$C207,"DEEP_BROKER_ID_OVERRIDE",AL$24,"DEEP_PERIOD_OVERRIDE",$H$19)*1,"")))</f>
        <v/>
      </c>
      <c r="AM207" t="str">
        <f>IF(OR(AM$23="",ISNA($B207)),"",IF(ISBLANK($B207),"",IFERROR(_xll.BDP(TICKER,"DEEP_MEASURE_PERIOD_BROKER_VALUE","DEEP_MEASURE_ID_OVERRIDE",$C207,"DEEP_BROKER_ID_OVERRIDE",AM$24,"DEEP_PERIOD_OVERRIDE",$H$19)*1,"")))</f>
        <v/>
      </c>
      <c r="AN207" t="str">
        <f>IF(OR(AN$23="",ISNA($B207)),"",IF(ISBLANK($B207),"",IFERROR(_xll.BDP(TICKER,"DEEP_MEASURE_PERIOD_BROKER_VALUE","DEEP_MEASURE_ID_OVERRIDE",$C207,"DEEP_BROKER_ID_OVERRIDE",AN$24,"DEEP_PERIOD_OVERRIDE",$H$19)*1,"")))</f>
        <v/>
      </c>
      <c r="AO207" t="str">
        <f>IF(OR(AO$23="",ISNA($B207)),"",IF(ISBLANK($B207),"",IFERROR(_xll.BDP(TICKER,"DEEP_MEASURE_PERIOD_BROKER_VALUE","DEEP_MEASURE_ID_OVERRIDE",$C207,"DEEP_BROKER_ID_OVERRIDE",AO$24,"DEEP_PERIOD_OVERRIDE",$H$19)*1,"")))</f>
        <v/>
      </c>
      <c r="AP207" t="str">
        <f>IF(OR(AP$23="",ISNA($B207)),"",IF(ISBLANK($B207),"",IFERROR(_xll.BDP(TICKER,"DEEP_MEASURE_PERIOD_BROKER_VALUE","DEEP_MEASURE_ID_OVERRIDE",$C207,"DEEP_BROKER_ID_OVERRIDE",AP$24,"DEEP_PERIOD_OVERRIDE",$H$19)*1,"")))</f>
        <v/>
      </c>
      <c r="AQ207" t="str">
        <f>IF(OR(AQ$23="",ISNA($B207)),"",IF(ISBLANK($B207),"",IFERROR(_xll.BDP(TICKER,"DEEP_MEASURE_PERIOD_BROKER_VALUE","DEEP_MEASURE_ID_OVERRIDE",$C207,"DEEP_BROKER_ID_OVERRIDE",AQ$24,"DEEP_PERIOD_OVERRIDE",$H$19)*1,"")))</f>
        <v/>
      </c>
      <c r="AR207" t="str">
        <f>IF(OR(AR$23="",ISNA($B207)),"",IF(ISBLANK($B207),"",IFERROR(_xll.BDP(TICKER,"DEEP_MEASURE_PERIOD_BROKER_VALUE","DEEP_MEASURE_ID_OVERRIDE",$C207,"DEEP_BROKER_ID_OVERRIDE",AR$24,"DEEP_PERIOD_OVERRIDE",$H$19)*1,"")))</f>
        <v/>
      </c>
      <c r="AS207" t="str">
        <f>IF(OR(AS$23="",ISNA($B207)),"",IF(ISBLANK($B207),"",IFERROR(_xll.BDP(TICKER,"DEEP_MEASURE_PERIOD_BROKER_VALUE","DEEP_MEASURE_ID_OVERRIDE",$C207,"DEEP_BROKER_ID_OVERRIDE",AS$24,"DEEP_PERIOD_OVERRIDE",$H$19)*1,"")))</f>
        <v/>
      </c>
      <c r="AT207" t="str">
        <f>IF(OR(AT$23="",ISNA($B207)),"",IF(ISBLANK($B207),"",IFERROR(_xll.BDP(TICKER,"DEEP_MEASURE_PERIOD_BROKER_VALUE","DEEP_MEASURE_ID_OVERRIDE",$C207,"DEEP_BROKER_ID_OVERRIDE",AT$24,"DEEP_PERIOD_OVERRIDE",$H$19)*1,"")))</f>
        <v/>
      </c>
      <c r="AU207" t="str">
        <f>IF(OR(AU$23="",ISNA($B207)),"",IF(ISBLANK($B207),"",IFERROR(_xll.BDP(TICKER,"DEEP_MEASURE_PERIOD_BROKER_VALUE","DEEP_MEASURE_ID_OVERRIDE",$C207,"DEEP_BROKER_ID_OVERRIDE",AU$24,"DEEP_PERIOD_OVERRIDE",$H$19)*1,"")))</f>
        <v/>
      </c>
      <c r="AV207" t="str">
        <f>IF(OR(AV$23="",ISNA($B207)),"",IF(ISBLANK($B207),"",IFERROR(_xll.BDP(TICKER,"DEEP_MEASURE_PERIOD_BROKER_VALUE","DEEP_MEASURE_ID_OVERRIDE",$C207,"DEEP_BROKER_ID_OVERRIDE",AV$24,"DEEP_PERIOD_OVERRIDE",$H$19)*1,"")))</f>
        <v/>
      </c>
      <c r="AW207" t="str">
        <f>IF(OR(AW$23="",ISNA($B207)),"",IF(ISBLANK($B207),"",IFERROR(_xll.BDP(TICKER,"DEEP_MEASURE_PERIOD_BROKER_VALUE","DEEP_MEASURE_ID_OVERRIDE",$C207,"DEEP_BROKER_ID_OVERRIDE",AW$24,"DEEP_PERIOD_OVERRIDE",$H$19)*1,"")))</f>
        <v/>
      </c>
      <c r="AX207" t="str">
        <f>IF(OR(AX$23="",ISNA($B207)),"",IF(ISBLANK($B207),"",IFERROR(_xll.BDP(TICKER,"DEEP_MEASURE_PERIOD_BROKER_VALUE","DEEP_MEASURE_ID_OVERRIDE",$C207,"DEEP_BROKER_ID_OVERRIDE",AX$24,"DEEP_PERIOD_OVERRIDE",$H$19)*1,"")))</f>
        <v/>
      </c>
      <c r="AY207" t="str">
        <f>IF(OR(AY$23="",ISNA($B207)),"",IF(ISBLANK($B207),"",IFERROR(_xll.BDP(TICKER,"DEEP_MEASURE_PERIOD_BROKER_VALUE","DEEP_MEASURE_ID_OVERRIDE",$C207,"DEEP_BROKER_ID_OVERRIDE",AY$24,"DEEP_PERIOD_OVERRIDE",$H$19)*1,"")))</f>
        <v/>
      </c>
      <c r="AZ207" t="str">
        <f>IF(OR(AZ$23="",ISNA($B207)),"",IF(ISBLANK($B207),"",IFERROR(_xll.BDP(TICKER,"DEEP_MEASURE_PERIOD_BROKER_VALUE","DEEP_MEASURE_ID_OVERRIDE",$C207,"DEEP_BROKER_ID_OVERRIDE",AZ$24,"DEEP_PERIOD_OVERRIDE",$H$19)*1,"")))</f>
        <v/>
      </c>
      <c r="BA207" t="str">
        <f>IF(OR(BA$23="",ISNA($B207)),"",IF(ISBLANK($B207),"",IFERROR(_xll.BDP(TICKER,"DEEP_MEASURE_PERIOD_BROKER_VALUE","DEEP_MEASURE_ID_OVERRIDE",$C207,"DEEP_BROKER_ID_OVERRIDE",BA$24,"DEEP_PERIOD_OVERRIDE",$H$19)*1,"")))</f>
        <v/>
      </c>
      <c r="BB207" t="str">
        <f>IF(OR(BB$23="",ISNA($B207)),"",IF(ISBLANK($B207),"",IFERROR(_xll.BDP(TICKER,"DEEP_MEASURE_PERIOD_BROKER_VALUE","DEEP_MEASURE_ID_OVERRIDE",$C207,"DEEP_BROKER_ID_OVERRIDE",BB$24,"DEEP_PERIOD_OVERRIDE",$H$19)*1,"")))</f>
        <v/>
      </c>
      <c r="BC207" t="str">
        <f>IF(OR(BC$23="",ISNA($B207)),"",IF(ISBLANK($B207),"",IFERROR(_xll.BDP(TICKER,"DEEP_MEASURE_PERIOD_BROKER_VALUE","DEEP_MEASURE_ID_OVERRIDE",$C207,"DEEP_BROKER_ID_OVERRIDE",BC$24,"DEEP_PERIOD_OVERRIDE",$H$19)*1,"")))</f>
        <v/>
      </c>
      <c r="BD207" t="str">
        <f>IF(OR(BD$23="",ISNA($B207)),"",IF(ISBLANK($B207),"",IFERROR(_xll.BDP(TICKER,"DEEP_MEASURE_PERIOD_BROKER_VALUE","DEEP_MEASURE_ID_OVERRIDE",$C207,"DEEP_BROKER_ID_OVERRIDE",BD$24,"DEEP_PERIOD_OVERRIDE",$H$19)*1,"")))</f>
        <v/>
      </c>
      <c r="BE207" t="str">
        <f>IF(OR(BE$23="",ISNA($B207)),"",IF(ISBLANK($B207),"",IFERROR(_xll.BDP(TICKER,"DEEP_MEASURE_PERIOD_BROKER_VALUE","DEEP_MEASURE_ID_OVERRIDE",$C207,"DEEP_BROKER_ID_OVERRIDE",BE$24,"DEEP_PERIOD_OVERRIDE",$H$19)*1,"")))</f>
        <v/>
      </c>
      <c r="BF207" t="str">
        <f>IF(OR(BF$23="",ISNA($B207)),"",IF(ISBLANK($B207),"",IFERROR(_xll.BDP(TICKER,"DEEP_MEASURE_PERIOD_BROKER_VALUE","DEEP_MEASURE_ID_OVERRIDE",$C207,"DEEP_BROKER_ID_OVERRIDE",BF$24,"DEEP_PERIOD_OVERRIDE",$H$19)*1,"")))</f>
        <v/>
      </c>
      <c r="BG207" t="str">
        <f>IF(OR(BG$23="",ISNA($B207)),"",IF(ISBLANK($B207),"",IFERROR(_xll.BDP(TICKER,"DEEP_MEASURE_PERIOD_BROKER_VALUE","DEEP_MEASURE_ID_OVERRIDE",$C207,"DEEP_BROKER_ID_OVERRIDE",BG$24,"DEEP_PERIOD_OVERRIDE",$H$19)*1,"")))</f>
        <v/>
      </c>
      <c r="BH207" t="str">
        <f>IF(OR(BH$23="",ISNA($B207)),"",IF(ISBLANK($B207),"",IFERROR(_xll.BDP(TICKER,"DEEP_MEASURE_PERIOD_BROKER_VALUE","DEEP_MEASURE_ID_OVERRIDE",$C207,"DEEP_BROKER_ID_OVERRIDE",BH$24,"DEEP_PERIOD_OVERRIDE",$H$19)*1,"")))</f>
        <v/>
      </c>
      <c r="BI207" t="str">
        <f>IF(OR(BI$23="",ISNA($B207)),"",IF(ISBLANK($B207),"",IFERROR(_xll.BDP(TICKER,"DEEP_MEASURE_PERIOD_BROKER_VALUE","DEEP_MEASURE_ID_OVERRIDE",$C207,"DEEP_BROKER_ID_OVERRIDE",BI$24,"DEEP_PERIOD_OVERRIDE",$H$19)*1,"")))</f>
        <v/>
      </c>
      <c r="BJ207" t="str">
        <f>IF(OR(BJ$23="",ISNA($B207)),"",IF(ISBLANK($B207),"",IFERROR(_xll.BDP(TICKER,"DEEP_MEASURE_PERIOD_BROKER_VALUE","DEEP_MEASURE_ID_OVERRIDE",$C207,"DEEP_BROKER_ID_OVERRIDE",BJ$24,"DEEP_PERIOD_OVERRIDE",$H$19)*1,"")))</f>
        <v/>
      </c>
      <c r="BK207" t="str">
        <f>IF(OR(BK$23="",ISNA($B207)),"",IF(ISBLANK($B207),"",IFERROR(_xll.BDP(TICKER,"DEEP_MEASURE_PERIOD_BROKER_VALUE","DEEP_MEASURE_ID_OVERRIDE",$C207,"DEEP_BROKER_ID_OVERRIDE",BK$24,"DEEP_PERIOD_OVERRIDE",$H$19)*1,"")))</f>
        <v/>
      </c>
      <c r="BL207" t="str">
        <f>IF(OR(BL$23="",ISNA($B207)),"",IF(ISBLANK($B207),"",IFERROR(_xll.BDP(TICKER,"DEEP_MEASURE_PERIOD_BROKER_VALUE","DEEP_MEASURE_ID_OVERRIDE",$C207,"DEEP_BROKER_ID_OVERRIDE",BL$24,"DEEP_PERIOD_OVERRIDE",$H$19)*1,"")))</f>
        <v/>
      </c>
      <c r="BM207" t="str">
        <f>IF(OR(BM$23="",ISNA($B207)),"",IF(ISBLANK($B207),"",IFERROR(_xll.BDP(TICKER,"DEEP_MEASURE_PERIOD_BROKER_VALUE","DEEP_MEASURE_ID_OVERRIDE",$C207,"DEEP_BROKER_ID_OVERRIDE",BM$24,"DEEP_PERIOD_OVERRIDE",$H$19)*1,"")))</f>
        <v/>
      </c>
      <c r="BN207" t="str">
        <f>IF(OR(BN$23="",ISNA($B207)),"",IF(ISBLANK($B207),"",IFERROR(_xll.BDP(TICKER,"DEEP_MEASURE_PERIOD_BROKER_VALUE","DEEP_MEASURE_ID_OVERRIDE",$C207,"DEEP_BROKER_ID_OVERRIDE",BN$24,"DEEP_PERIOD_OVERRIDE",$H$19)*1,"")))</f>
        <v/>
      </c>
      <c r="BO207" t="str">
        <f>IF(OR(BO$23="",ISNA($B207)),"",IF(ISBLANK($B207),"",IFERROR(_xll.BDP(TICKER,"DEEP_MEASURE_PERIOD_BROKER_VALUE","DEEP_MEASURE_ID_OVERRIDE",$C207,"DEEP_BROKER_ID_OVERRIDE",BO$24,"DEEP_PERIOD_OVERRIDE",$H$19)*1,"")))</f>
        <v/>
      </c>
      <c r="BP207" t="str">
        <f>IF(OR(BP$23="",ISNA($B207)),"",IF(ISBLANK($B207),"",IFERROR(_xll.BDP(TICKER,"DEEP_MEASURE_PERIOD_BROKER_VALUE","DEEP_MEASURE_ID_OVERRIDE",$C207,"DEEP_BROKER_ID_OVERRIDE",BP$24,"DEEP_PERIOD_OVERRIDE",$H$19)*1,"")))</f>
        <v/>
      </c>
      <c r="BQ207" t="str">
        <f>IF(OR(BQ$23="",ISNA($B207)),"",IF(ISBLANK($B207),"",IFERROR(_xll.BDP(TICKER,"DEEP_MEASURE_PERIOD_BROKER_VALUE","DEEP_MEASURE_ID_OVERRIDE",$C207,"DEEP_BROKER_ID_OVERRIDE",BQ$24,"DEEP_PERIOD_OVERRIDE",$H$19)*1,"")))</f>
        <v/>
      </c>
      <c r="BR207" t="str">
        <f>IF(OR(BR$23="",ISNA($B207)),"",IF(ISBLANK($B207),"",IFERROR(_xll.BDP(TICKER,"DEEP_MEASURE_PERIOD_BROKER_VALUE","DEEP_MEASURE_ID_OVERRIDE",$C207,"DEEP_BROKER_ID_OVERRIDE",BR$24,"DEEP_PERIOD_OVERRIDE",$H$19)*1,"")))</f>
        <v/>
      </c>
      <c r="BS207" t="str">
        <f>IF(OR(BS$23="",ISNA($B207)),"",IF(ISBLANK($B207),"",IFERROR(_xll.BDP(TICKER,"DEEP_MEASURE_PERIOD_BROKER_VALUE","DEEP_MEASURE_ID_OVERRIDE",$C207,"DEEP_BROKER_ID_OVERRIDE",BS$24,"DEEP_PERIOD_OVERRIDE",$H$19)*1,"")))</f>
        <v/>
      </c>
      <c r="BT207" t="str">
        <f>IF(OR(BT$23="",ISNA($B207)),"",IF(ISBLANK($B207),"",IFERROR(_xll.BDP(TICKER,"DEEP_MEASURE_PERIOD_BROKER_VALUE","DEEP_MEASURE_ID_OVERRIDE",$C207,"DEEP_BROKER_ID_OVERRIDE",BT$24,"DEEP_PERIOD_OVERRIDE",$H$19)*1,"")))</f>
        <v/>
      </c>
      <c r="BU207" t="str">
        <f>IF(OR(BU$23="",ISNA($B207)),"",IF(ISBLANK($B207),"",IFERROR(_xll.BDP(TICKER,"DEEP_MEASURE_PERIOD_BROKER_VALUE","DEEP_MEASURE_ID_OVERRIDE",$C207,"DEEP_BROKER_ID_OVERRIDE",BU$24,"DEEP_PERIOD_OVERRIDE",$H$19)*1,"")))</f>
        <v/>
      </c>
      <c r="BV207" t="str">
        <f>IF(OR(BV$23="",ISNA($B207)),"",IF(ISBLANK($B207),"",IFERROR(_xll.BDP(TICKER,"DEEP_MEASURE_PERIOD_BROKER_VALUE","DEEP_MEASURE_ID_OVERRIDE",$C207,"DEEP_BROKER_ID_OVERRIDE",BV$24,"DEEP_PERIOD_OVERRIDE",$H$19)*1,"")))</f>
        <v/>
      </c>
      <c r="BW207" t="str">
        <f>IF(OR(BW$23="",ISNA($B207)),"",IF(ISBLANK($B207),"",IFERROR(_xll.BDP(TICKER,"DEEP_MEASURE_PERIOD_BROKER_VALUE","DEEP_MEASURE_ID_OVERRIDE",$C207,"DEEP_BROKER_ID_OVERRIDE",BW$24,"DEEP_PERIOD_OVERRIDE",$H$19)*1,"")))</f>
        <v/>
      </c>
      <c r="BX207" t="str">
        <f>IF(OR(BX$23="",ISNA($B207)),"",IF(ISBLANK($B207),"",IFERROR(_xll.BDP(TICKER,"DEEP_MEASURE_PERIOD_BROKER_VALUE","DEEP_MEASURE_ID_OVERRIDE",$C207,"DEEP_BROKER_ID_OVERRIDE",BX$24,"DEEP_PERIOD_OVERRIDE",$H$19)*1,"")))</f>
        <v/>
      </c>
      <c r="BY207" t="str">
        <f>IF(OR(BY$23="",ISNA($B207)),"",IF(ISBLANK($B207),"",IFERROR(_xll.BDP(TICKER,"DEEP_MEASURE_PERIOD_BROKER_VALUE","DEEP_MEASURE_ID_OVERRIDE",$C207,"DEEP_BROKER_ID_OVERRIDE",BY$24,"DEEP_PERIOD_OVERRIDE",$H$19)*1,"")))</f>
        <v/>
      </c>
      <c r="BZ207" t="str">
        <f>IF(OR(BZ$23="",ISNA($B207)),"",IF(ISBLANK($B207),"",IFERROR(_xll.BDP(TICKER,"DEEP_MEASURE_PERIOD_BROKER_VALUE","DEEP_MEASURE_ID_OVERRIDE",$C207,"DEEP_BROKER_ID_OVERRIDE",BZ$24,"DEEP_PERIOD_OVERRIDE",$H$19)*1,"")))</f>
        <v/>
      </c>
    </row>
    <row r="208" spans="2:78" x14ac:dyDescent="0.25">
      <c r="B208" t="s">
        <v>71</v>
      </c>
      <c r="C208">
        <v>10334</v>
      </c>
      <c r="H208" t="str">
        <f t="shared" si="3"/>
        <v>Cash from Financing Activities &gt; Cash from (Repayment) Issuance of Debt</v>
      </c>
      <c r="I208" t="str">
        <f>IF(OR(I$23="",ISNA($B208)),"",IF(ISBLANK($B208),"",IFERROR(_xll.BDP(TICKER,"DEEP_MEASURE_PERIOD_BROKER_VALUE","DEEP_MEASURE_ID_OVERRIDE",$C208,"DEEP_PERIOD_OVERRIDE",$H$19)*1,"")))</f>
        <v/>
      </c>
      <c r="J208" t="e">
        <f>IF(OR(J$23="",ISNA($B208)),"",IF(ISBLANK($B208),"",IFERROR(_xll.BDP(TICKER,"DEEP_MEASURE_PERIOD_BROKER_VALUE","DEEP_MEASURE_ID_OVERRIDE",$C208,"DEEP_BROKER_ID_OVERRIDE",J$24,"DEEP_PERIOD_OVERRIDE",$H$19)*1,"")))</f>
        <v>#REF!</v>
      </c>
      <c r="K208" t="str">
        <f>IF(OR(K$23="",ISNA($B208)),"",IF(ISBLANK($B208),"",IFERROR(_xll.BDP(TICKER,"DEEP_MEASURE_PERIOD_BROKER_VALUE","DEEP_MEASURE_ID_OVERRIDE",$C208,"DEEP_BROKER_ID_OVERRIDE",K$24,"DEEP_PERIOD_OVERRIDE",$H$19)*1,"")))</f>
        <v/>
      </c>
      <c r="L208" t="str">
        <f>IF(OR(L$23="",ISNA($B208)),"",IF(ISBLANK($B208),"",IFERROR(_xll.BDP(TICKER,"DEEP_MEASURE_PERIOD_BROKER_VALUE","DEEP_MEASURE_ID_OVERRIDE",$C208,"DEEP_BROKER_ID_OVERRIDE",L$24,"DEEP_PERIOD_OVERRIDE",$H$19)*1,"")))</f>
        <v/>
      </c>
      <c r="M208" t="str">
        <f>IF(OR(M$23="",ISNA($B208)),"",IF(ISBLANK($B208),"",IFERROR(_xll.BDP(TICKER,"DEEP_MEASURE_PERIOD_BROKER_VALUE","DEEP_MEASURE_ID_OVERRIDE",$C208,"DEEP_BROKER_ID_OVERRIDE",M$24,"DEEP_PERIOD_OVERRIDE",$H$19)*1,"")))</f>
        <v/>
      </c>
      <c r="N208" t="str">
        <f>IF(OR(N$23="",ISNA($B208)),"",IF(ISBLANK($B208),"",IFERROR(_xll.BDP(TICKER,"DEEP_MEASURE_PERIOD_BROKER_VALUE","DEEP_MEASURE_ID_OVERRIDE",$C208,"DEEP_BROKER_ID_OVERRIDE",N$24,"DEEP_PERIOD_OVERRIDE",$H$19)*1,"")))</f>
        <v/>
      </c>
      <c r="O208" t="str">
        <f>IF(OR(O$23="",ISNA($B208)),"",IF(ISBLANK($B208),"",IFERROR(_xll.BDP(TICKER,"DEEP_MEASURE_PERIOD_BROKER_VALUE","DEEP_MEASURE_ID_OVERRIDE",$C208,"DEEP_BROKER_ID_OVERRIDE",O$24,"DEEP_PERIOD_OVERRIDE",$H$19)*1,"")))</f>
        <v/>
      </c>
      <c r="P208" t="str">
        <f>IF(OR(P$23="",ISNA($B208)),"",IF(ISBLANK($B208),"",IFERROR(_xll.BDP(TICKER,"DEEP_MEASURE_PERIOD_BROKER_VALUE","DEEP_MEASURE_ID_OVERRIDE",$C208,"DEEP_BROKER_ID_OVERRIDE",P$24,"DEEP_PERIOD_OVERRIDE",$H$19)*1,"")))</f>
        <v/>
      </c>
      <c r="Q208" t="str">
        <f>IF(OR(Q$23="",ISNA($B208)),"",IF(ISBLANK($B208),"",IFERROR(_xll.BDP(TICKER,"DEEP_MEASURE_PERIOD_BROKER_VALUE","DEEP_MEASURE_ID_OVERRIDE",$C208,"DEEP_BROKER_ID_OVERRIDE",Q$24,"DEEP_PERIOD_OVERRIDE",$H$19)*1,"")))</f>
        <v/>
      </c>
      <c r="R208" t="str">
        <f>IF(OR(R$23="",ISNA($B208)),"",IF(ISBLANK($B208),"",IFERROR(_xll.BDP(TICKER,"DEEP_MEASURE_PERIOD_BROKER_VALUE","DEEP_MEASURE_ID_OVERRIDE",$C208,"DEEP_BROKER_ID_OVERRIDE",R$24,"DEEP_PERIOD_OVERRIDE",$H$19)*1,"")))</f>
        <v/>
      </c>
      <c r="S208" t="str">
        <f>IF(OR(S$23="",ISNA($B208)),"",IF(ISBLANK($B208),"",IFERROR(_xll.BDP(TICKER,"DEEP_MEASURE_PERIOD_BROKER_VALUE","DEEP_MEASURE_ID_OVERRIDE",$C208,"DEEP_BROKER_ID_OVERRIDE",S$24,"DEEP_PERIOD_OVERRIDE",$H$19)*1,"")))</f>
        <v/>
      </c>
      <c r="T208" t="str">
        <f>IF(OR(T$23="",ISNA($B208)),"",IF(ISBLANK($B208),"",IFERROR(_xll.BDP(TICKER,"DEEP_MEASURE_PERIOD_BROKER_VALUE","DEEP_MEASURE_ID_OVERRIDE",$C208,"DEEP_BROKER_ID_OVERRIDE",T$24,"DEEP_PERIOD_OVERRIDE",$H$19)*1,"")))</f>
        <v/>
      </c>
      <c r="U208" t="str">
        <f>IF(OR(U$23="",ISNA($B208)),"",IF(ISBLANK($B208),"",IFERROR(_xll.BDP(TICKER,"DEEP_MEASURE_PERIOD_BROKER_VALUE","DEEP_MEASURE_ID_OVERRIDE",$C208,"DEEP_BROKER_ID_OVERRIDE",U$24,"DEEP_PERIOD_OVERRIDE",$H$19)*1,"")))</f>
        <v/>
      </c>
      <c r="V208" t="str">
        <f>IF(OR(V$23="",ISNA($B208)),"",IF(ISBLANK($B208),"",IFERROR(_xll.BDP(TICKER,"DEEP_MEASURE_PERIOD_BROKER_VALUE","DEEP_MEASURE_ID_OVERRIDE",$C208,"DEEP_BROKER_ID_OVERRIDE",V$24,"DEEP_PERIOD_OVERRIDE",$H$19)*1,"")))</f>
        <v/>
      </c>
      <c r="W208" t="str">
        <f>IF(OR(W$23="",ISNA($B208)),"",IF(ISBLANK($B208),"",IFERROR(_xll.BDP(TICKER,"DEEP_MEASURE_PERIOD_BROKER_VALUE","DEEP_MEASURE_ID_OVERRIDE",$C208,"DEEP_BROKER_ID_OVERRIDE",W$24,"DEEP_PERIOD_OVERRIDE",$H$19)*1,"")))</f>
        <v/>
      </c>
      <c r="X208" t="str">
        <f>IF(OR(X$23="",ISNA($B208)),"",IF(ISBLANK($B208),"",IFERROR(_xll.BDP(TICKER,"DEEP_MEASURE_PERIOD_BROKER_VALUE","DEEP_MEASURE_ID_OVERRIDE",$C208,"DEEP_BROKER_ID_OVERRIDE",X$24,"DEEP_PERIOD_OVERRIDE",$H$19)*1,"")))</f>
        <v/>
      </c>
      <c r="Y208" t="str">
        <f>IF(OR(Y$23="",ISNA($B208)),"",IF(ISBLANK($B208),"",IFERROR(_xll.BDP(TICKER,"DEEP_MEASURE_PERIOD_BROKER_VALUE","DEEP_MEASURE_ID_OVERRIDE",$C208,"DEEP_BROKER_ID_OVERRIDE",Y$24,"DEEP_PERIOD_OVERRIDE",$H$19)*1,"")))</f>
        <v/>
      </c>
      <c r="Z208" t="str">
        <f>IF(OR(Z$23="",ISNA($B208)),"",IF(ISBLANK($B208),"",IFERROR(_xll.BDP(TICKER,"DEEP_MEASURE_PERIOD_BROKER_VALUE","DEEP_MEASURE_ID_OVERRIDE",$C208,"DEEP_BROKER_ID_OVERRIDE",Z$24,"DEEP_PERIOD_OVERRIDE",$H$19)*1,"")))</f>
        <v/>
      </c>
      <c r="AA208" t="str">
        <f>IF(OR(AA$23="",ISNA($B208)),"",IF(ISBLANK($B208),"",IFERROR(_xll.BDP(TICKER,"DEEP_MEASURE_PERIOD_BROKER_VALUE","DEEP_MEASURE_ID_OVERRIDE",$C208,"DEEP_BROKER_ID_OVERRIDE",AA$24,"DEEP_PERIOD_OVERRIDE",$H$19)*1,"")))</f>
        <v/>
      </c>
      <c r="AB208" t="str">
        <f>IF(OR(AB$23="",ISNA($B208)),"",IF(ISBLANK($B208),"",IFERROR(_xll.BDP(TICKER,"DEEP_MEASURE_PERIOD_BROKER_VALUE","DEEP_MEASURE_ID_OVERRIDE",$C208,"DEEP_BROKER_ID_OVERRIDE",AB$24,"DEEP_PERIOD_OVERRIDE",$H$19)*1,"")))</f>
        <v/>
      </c>
      <c r="AC208" t="str">
        <f>IF(OR(AC$23="",ISNA($B208)),"",IF(ISBLANK($B208),"",IFERROR(_xll.BDP(TICKER,"DEEP_MEASURE_PERIOD_BROKER_VALUE","DEEP_MEASURE_ID_OVERRIDE",$C208,"DEEP_BROKER_ID_OVERRIDE",AC$24,"DEEP_PERIOD_OVERRIDE",$H$19)*1,"")))</f>
        <v/>
      </c>
      <c r="AD208" t="str">
        <f>IF(OR(AD$23="",ISNA($B208)),"",IF(ISBLANK($B208),"",IFERROR(_xll.BDP(TICKER,"DEEP_MEASURE_PERIOD_BROKER_VALUE","DEEP_MEASURE_ID_OVERRIDE",$C208,"DEEP_BROKER_ID_OVERRIDE",AD$24,"DEEP_PERIOD_OVERRIDE",$H$19)*1,"")))</f>
        <v/>
      </c>
      <c r="AE208" t="str">
        <f>IF(OR(AE$23="",ISNA($B208)),"",IF(ISBLANK($B208),"",IFERROR(_xll.BDP(TICKER,"DEEP_MEASURE_PERIOD_BROKER_VALUE","DEEP_MEASURE_ID_OVERRIDE",$C208,"DEEP_BROKER_ID_OVERRIDE",AE$24,"DEEP_PERIOD_OVERRIDE",$H$19)*1,"")))</f>
        <v/>
      </c>
      <c r="AF208" t="str">
        <f>IF(OR(AF$23="",ISNA($B208)),"",IF(ISBLANK($B208),"",IFERROR(_xll.BDP(TICKER,"DEEP_MEASURE_PERIOD_BROKER_VALUE","DEEP_MEASURE_ID_OVERRIDE",$C208,"DEEP_BROKER_ID_OVERRIDE",AF$24,"DEEP_PERIOD_OVERRIDE",$H$19)*1,"")))</f>
        <v/>
      </c>
      <c r="AG208" t="str">
        <f>IF(OR(AG$23="",ISNA($B208)),"",IF(ISBLANK($B208),"",IFERROR(_xll.BDP(TICKER,"DEEP_MEASURE_PERIOD_BROKER_VALUE","DEEP_MEASURE_ID_OVERRIDE",$C208,"DEEP_BROKER_ID_OVERRIDE",AG$24,"DEEP_PERIOD_OVERRIDE",$H$19)*1,"")))</f>
        <v/>
      </c>
      <c r="AH208" t="str">
        <f>IF(OR(AH$23="",ISNA($B208)),"",IF(ISBLANK($B208),"",IFERROR(_xll.BDP(TICKER,"DEEP_MEASURE_PERIOD_BROKER_VALUE","DEEP_MEASURE_ID_OVERRIDE",$C208,"DEEP_BROKER_ID_OVERRIDE",AH$24,"DEEP_PERIOD_OVERRIDE",$H$19)*1,"")))</f>
        <v/>
      </c>
      <c r="AI208" t="str">
        <f>IF(OR(AI$23="",ISNA($B208)),"",IF(ISBLANK($B208),"",IFERROR(_xll.BDP(TICKER,"DEEP_MEASURE_PERIOD_BROKER_VALUE","DEEP_MEASURE_ID_OVERRIDE",$C208,"DEEP_BROKER_ID_OVERRIDE",AI$24,"DEEP_PERIOD_OVERRIDE",$H$19)*1,"")))</f>
        <v/>
      </c>
      <c r="AJ208" t="str">
        <f>IF(OR(AJ$23="",ISNA($B208)),"",IF(ISBLANK($B208),"",IFERROR(_xll.BDP(TICKER,"DEEP_MEASURE_PERIOD_BROKER_VALUE","DEEP_MEASURE_ID_OVERRIDE",$C208,"DEEP_BROKER_ID_OVERRIDE",AJ$24,"DEEP_PERIOD_OVERRIDE",$H$19)*1,"")))</f>
        <v/>
      </c>
      <c r="AK208" t="str">
        <f>IF(OR(AK$23="",ISNA($B208)),"",IF(ISBLANK($B208),"",IFERROR(_xll.BDP(TICKER,"DEEP_MEASURE_PERIOD_BROKER_VALUE","DEEP_MEASURE_ID_OVERRIDE",$C208,"DEEP_BROKER_ID_OVERRIDE",AK$24,"DEEP_PERIOD_OVERRIDE",$H$19)*1,"")))</f>
        <v/>
      </c>
      <c r="AL208" t="str">
        <f>IF(OR(AL$23="",ISNA($B208)),"",IF(ISBLANK($B208),"",IFERROR(_xll.BDP(TICKER,"DEEP_MEASURE_PERIOD_BROKER_VALUE","DEEP_MEASURE_ID_OVERRIDE",$C208,"DEEP_BROKER_ID_OVERRIDE",AL$24,"DEEP_PERIOD_OVERRIDE",$H$19)*1,"")))</f>
        <v/>
      </c>
      <c r="AM208" t="str">
        <f>IF(OR(AM$23="",ISNA($B208)),"",IF(ISBLANK($B208),"",IFERROR(_xll.BDP(TICKER,"DEEP_MEASURE_PERIOD_BROKER_VALUE","DEEP_MEASURE_ID_OVERRIDE",$C208,"DEEP_BROKER_ID_OVERRIDE",AM$24,"DEEP_PERIOD_OVERRIDE",$H$19)*1,"")))</f>
        <v/>
      </c>
      <c r="AN208" t="str">
        <f>IF(OR(AN$23="",ISNA($B208)),"",IF(ISBLANK($B208),"",IFERROR(_xll.BDP(TICKER,"DEEP_MEASURE_PERIOD_BROKER_VALUE","DEEP_MEASURE_ID_OVERRIDE",$C208,"DEEP_BROKER_ID_OVERRIDE",AN$24,"DEEP_PERIOD_OVERRIDE",$H$19)*1,"")))</f>
        <v/>
      </c>
      <c r="AO208" t="str">
        <f>IF(OR(AO$23="",ISNA($B208)),"",IF(ISBLANK($B208),"",IFERROR(_xll.BDP(TICKER,"DEEP_MEASURE_PERIOD_BROKER_VALUE","DEEP_MEASURE_ID_OVERRIDE",$C208,"DEEP_BROKER_ID_OVERRIDE",AO$24,"DEEP_PERIOD_OVERRIDE",$H$19)*1,"")))</f>
        <v/>
      </c>
      <c r="AP208" t="str">
        <f>IF(OR(AP$23="",ISNA($B208)),"",IF(ISBLANK($B208),"",IFERROR(_xll.BDP(TICKER,"DEEP_MEASURE_PERIOD_BROKER_VALUE","DEEP_MEASURE_ID_OVERRIDE",$C208,"DEEP_BROKER_ID_OVERRIDE",AP$24,"DEEP_PERIOD_OVERRIDE",$H$19)*1,"")))</f>
        <v/>
      </c>
      <c r="AQ208" t="str">
        <f>IF(OR(AQ$23="",ISNA($B208)),"",IF(ISBLANK($B208),"",IFERROR(_xll.BDP(TICKER,"DEEP_MEASURE_PERIOD_BROKER_VALUE","DEEP_MEASURE_ID_OVERRIDE",$C208,"DEEP_BROKER_ID_OVERRIDE",AQ$24,"DEEP_PERIOD_OVERRIDE",$H$19)*1,"")))</f>
        <v/>
      </c>
      <c r="AR208" t="str">
        <f>IF(OR(AR$23="",ISNA($B208)),"",IF(ISBLANK($B208),"",IFERROR(_xll.BDP(TICKER,"DEEP_MEASURE_PERIOD_BROKER_VALUE","DEEP_MEASURE_ID_OVERRIDE",$C208,"DEEP_BROKER_ID_OVERRIDE",AR$24,"DEEP_PERIOD_OVERRIDE",$H$19)*1,"")))</f>
        <v/>
      </c>
      <c r="AS208" t="str">
        <f>IF(OR(AS$23="",ISNA($B208)),"",IF(ISBLANK($B208),"",IFERROR(_xll.BDP(TICKER,"DEEP_MEASURE_PERIOD_BROKER_VALUE","DEEP_MEASURE_ID_OVERRIDE",$C208,"DEEP_BROKER_ID_OVERRIDE",AS$24,"DEEP_PERIOD_OVERRIDE",$H$19)*1,"")))</f>
        <v/>
      </c>
      <c r="AT208" t="str">
        <f>IF(OR(AT$23="",ISNA($B208)),"",IF(ISBLANK($B208),"",IFERROR(_xll.BDP(TICKER,"DEEP_MEASURE_PERIOD_BROKER_VALUE","DEEP_MEASURE_ID_OVERRIDE",$C208,"DEEP_BROKER_ID_OVERRIDE",AT$24,"DEEP_PERIOD_OVERRIDE",$H$19)*1,"")))</f>
        <v/>
      </c>
      <c r="AU208" t="str">
        <f>IF(OR(AU$23="",ISNA($B208)),"",IF(ISBLANK($B208),"",IFERROR(_xll.BDP(TICKER,"DEEP_MEASURE_PERIOD_BROKER_VALUE","DEEP_MEASURE_ID_OVERRIDE",$C208,"DEEP_BROKER_ID_OVERRIDE",AU$24,"DEEP_PERIOD_OVERRIDE",$H$19)*1,"")))</f>
        <v/>
      </c>
      <c r="AV208" t="str">
        <f>IF(OR(AV$23="",ISNA($B208)),"",IF(ISBLANK($B208),"",IFERROR(_xll.BDP(TICKER,"DEEP_MEASURE_PERIOD_BROKER_VALUE","DEEP_MEASURE_ID_OVERRIDE",$C208,"DEEP_BROKER_ID_OVERRIDE",AV$24,"DEEP_PERIOD_OVERRIDE",$H$19)*1,"")))</f>
        <v/>
      </c>
      <c r="AW208" t="str">
        <f>IF(OR(AW$23="",ISNA($B208)),"",IF(ISBLANK($B208),"",IFERROR(_xll.BDP(TICKER,"DEEP_MEASURE_PERIOD_BROKER_VALUE","DEEP_MEASURE_ID_OVERRIDE",$C208,"DEEP_BROKER_ID_OVERRIDE",AW$24,"DEEP_PERIOD_OVERRIDE",$H$19)*1,"")))</f>
        <v/>
      </c>
      <c r="AX208" t="str">
        <f>IF(OR(AX$23="",ISNA($B208)),"",IF(ISBLANK($B208),"",IFERROR(_xll.BDP(TICKER,"DEEP_MEASURE_PERIOD_BROKER_VALUE","DEEP_MEASURE_ID_OVERRIDE",$C208,"DEEP_BROKER_ID_OVERRIDE",AX$24,"DEEP_PERIOD_OVERRIDE",$H$19)*1,"")))</f>
        <v/>
      </c>
      <c r="AY208" t="str">
        <f>IF(OR(AY$23="",ISNA($B208)),"",IF(ISBLANK($B208),"",IFERROR(_xll.BDP(TICKER,"DEEP_MEASURE_PERIOD_BROKER_VALUE","DEEP_MEASURE_ID_OVERRIDE",$C208,"DEEP_BROKER_ID_OVERRIDE",AY$24,"DEEP_PERIOD_OVERRIDE",$H$19)*1,"")))</f>
        <v/>
      </c>
      <c r="AZ208" t="str">
        <f>IF(OR(AZ$23="",ISNA($B208)),"",IF(ISBLANK($B208),"",IFERROR(_xll.BDP(TICKER,"DEEP_MEASURE_PERIOD_BROKER_VALUE","DEEP_MEASURE_ID_OVERRIDE",$C208,"DEEP_BROKER_ID_OVERRIDE",AZ$24,"DEEP_PERIOD_OVERRIDE",$H$19)*1,"")))</f>
        <v/>
      </c>
      <c r="BA208" t="str">
        <f>IF(OR(BA$23="",ISNA($B208)),"",IF(ISBLANK($B208),"",IFERROR(_xll.BDP(TICKER,"DEEP_MEASURE_PERIOD_BROKER_VALUE","DEEP_MEASURE_ID_OVERRIDE",$C208,"DEEP_BROKER_ID_OVERRIDE",BA$24,"DEEP_PERIOD_OVERRIDE",$H$19)*1,"")))</f>
        <v/>
      </c>
      <c r="BB208" t="str">
        <f>IF(OR(BB$23="",ISNA($B208)),"",IF(ISBLANK($B208),"",IFERROR(_xll.BDP(TICKER,"DEEP_MEASURE_PERIOD_BROKER_VALUE","DEEP_MEASURE_ID_OVERRIDE",$C208,"DEEP_BROKER_ID_OVERRIDE",BB$24,"DEEP_PERIOD_OVERRIDE",$H$19)*1,"")))</f>
        <v/>
      </c>
      <c r="BC208" t="str">
        <f>IF(OR(BC$23="",ISNA($B208)),"",IF(ISBLANK($B208),"",IFERROR(_xll.BDP(TICKER,"DEEP_MEASURE_PERIOD_BROKER_VALUE","DEEP_MEASURE_ID_OVERRIDE",$C208,"DEEP_BROKER_ID_OVERRIDE",BC$24,"DEEP_PERIOD_OVERRIDE",$H$19)*1,"")))</f>
        <v/>
      </c>
      <c r="BD208" t="str">
        <f>IF(OR(BD$23="",ISNA($B208)),"",IF(ISBLANK($B208),"",IFERROR(_xll.BDP(TICKER,"DEEP_MEASURE_PERIOD_BROKER_VALUE","DEEP_MEASURE_ID_OVERRIDE",$C208,"DEEP_BROKER_ID_OVERRIDE",BD$24,"DEEP_PERIOD_OVERRIDE",$H$19)*1,"")))</f>
        <v/>
      </c>
      <c r="BE208" t="str">
        <f>IF(OR(BE$23="",ISNA($B208)),"",IF(ISBLANK($B208),"",IFERROR(_xll.BDP(TICKER,"DEEP_MEASURE_PERIOD_BROKER_VALUE","DEEP_MEASURE_ID_OVERRIDE",$C208,"DEEP_BROKER_ID_OVERRIDE",BE$24,"DEEP_PERIOD_OVERRIDE",$H$19)*1,"")))</f>
        <v/>
      </c>
      <c r="BF208" t="str">
        <f>IF(OR(BF$23="",ISNA($B208)),"",IF(ISBLANK($B208),"",IFERROR(_xll.BDP(TICKER,"DEEP_MEASURE_PERIOD_BROKER_VALUE","DEEP_MEASURE_ID_OVERRIDE",$C208,"DEEP_BROKER_ID_OVERRIDE",BF$24,"DEEP_PERIOD_OVERRIDE",$H$19)*1,"")))</f>
        <v/>
      </c>
      <c r="BG208" t="str">
        <f>IF(OR(BG$23="",ISNA($B208)),"",IF(ISBLANK($B208),"",IFERROR(_xll.BDP(TICKER,"DEEP_MEASURE_PERIOD_BROKER_VALUE","DEEP_MEASURE_ID_OVERRIDE",$C208,"DEEP_BROKER_ID_OVERRIDE",BG$24,"DEEP_PERIOD_OVERRIDE",$H$19)*1,"")))</f>
        <v/>
      </c>
      <c r="BH208" t="str">
        <f>IF(OR(BH$23="",ISNA($B208)),"",IF(ISBLANK($B208),"",IFERROR(_xll.BDP(TICKER,"DEEP_MEASURE_PERIOD_BROKER_VALUE","DEEP_MEASURE_ID_OVERRIDE",$C208,"DEEP_BROKER_ID_OVERRIDE",BH$24,"DEEP_PERIOD_OVERRIDE",$H$19)*1,"")))</f>
        <v/>
      </c>
      <c r="BI208" t="str">
        <f>IF(OR(BI$23="",ISNA($B208)),"",IF(ISBLANK($B208),"",IFERROR(_xll.BDP(TICKER,"DEEP_MEASURE_PERIOD_BROKER_VALUE","DEEP_MEASURE_ID_OVERRIDE",$C208,"DEEP_BROKER_ID_OVERRIDE",BI$24,"DEEP_PERIOD_OVERRIDE",$H$19)*1,"")))</f>
        <v/>
      </c>
      <c r="BJ208" t="str">
        <f>IF(OR(BJ$23="",ISNA($B208)),"",IF(ISBLANK($B208),"",IFERROR(_xll.BDP(TICKER,"DEEP_MEASURE_PERIOD_BROKER_VALUE","DEEP_MEASURE_ID_OVERRIDE",$C208,"DEEP_BROKER_ID_OVERRIDE",BJ$24,"DEEP_PERIOD_OVERRIDE",$H$19)*1,"")))</f>
        <v/>
      </c>
      <c r="BK208" t="str">
        <f>IF(OR(BK$23="",ISNA($B208)),"",IF(ISBLANK($B208),"",IFERROR(_xll.BDP(TICKER,"DEEP_MEASURE_PERIOD_BROKER_VALUE","DEEP_MEASURE_ID_OVERRIDE",$C208,"DEEP_BROKER_ID_OVERRIDE",BK$24,"DEEP_PERIOD_OVERRIDE",$H$19)*1,"")))</f>
        <v/>
      </c>
      <c r="BL208" t="str">
        <f>IF(OR(BL$23="",ISNA($B208)),"",IF(ISBLANK($B208),"",IFERROR(_xll.BDP(TICKER,"DEEP_MEASURE_PERIOD_BROKER_VALUE","DEEP_MEASURE_ID_OVERRIDE",$C208,"DEEP_BROKER_ID_OVERRIDE",BL$24,"DEEP_PERIOD_OVERRIDE",$H$19)*1,"")))</f>
        <v/>
      </c>
      <c r="BM208" t="str">
        <f>IF(OR(BM$23="",ISNA($B208)),"",IF(ISBLANK($B208),"",IFERROR(_xll.BDP(TICKER,"DEEP_MEASURE_PERIOD_BROKER_VALUE","DEEP_MEASURE_ID_OVERRIDE",$C208,"DEEP_BROKER_ID_OVERRIDE",BM$24,"DEEP_PERIOD_OVERRIDE",$H$19)*1,"")))</f>
        <v/>
      </c>
      <c r="BN208" t="str">
        <f>IF(OR(BN$23="",ISNA($B208)),"",IF(ISBLANK($B208),"",IFERROR(_xll.BDP(TICKER,"DEEP_MEASURE_PERIOD_BROKER_VALUE","DEEP_MEASURE_ID_OVERRIDE",$C208,"DEEP_BROKER_ID_OVERRIDE",BN$24,"DEEP_PERIOD_OVERRIDE",$H$19)*1,"")))</f>
        <v/>
      </c>
      <c r="BO208" t="str">
        <f>IF(OR(BO$23="",ISNA($B208)),"",IF(ISBLANK($B208),"",IFERROR(_xll.BDP(TICKER,"DEEP_MEASURE_PERIOD_BROKER_VALUE","DEEP_MEASURE_ID_OVERRIDE",$C208,"DEEP_BROKER_ID_OVERRIDE",BO$24,"DEEP_PERIOD_OVERRIDE",$H$19)*1,"")))</f>
        <v/>
      </c>
      <c r="BP208" t="str">
        <f>IF(OR(BP$23="",ISNA($B208)),"",IF(ISBLANK($B208),"",IFERROR(_xll.BDP(TICKER,"DEEP_MEASURE_PERIOD_BROKER_VALUE","DEEP_MEASURE_ID_OVERRIDE",$C208,"DEEP_BROKER_ID_OVERRIDE",BP$24,"DEEP_PERIOD_OVERRIDE",$H$19)*1,"")))</f>
        <v/>
      </c>
      <c r="BQ208" t="str">
        <f>IF(OR(BQ$23="",ISNA($B208)),"",IF(ISBLANK($B208),"",IFERROR(_xll.BDP(TICKER,"DEEP_MEASURE_PERIOD_BROKER_VALUE","DEEP_MEASURE_ID_OVERRIDE",$C208,"DEEP_BROKER_ID_OVERRIDE",BQ$24,"DEEP_PERIOD_OVERRIDE",$H$19)*1,"")))</f>
        <v/>
      </c>
      <c r="BR208" t="str">
        <f>IF(OR(BR$23="",ISNA($B208)),"",IF(ISBLANK($B208),"",IFERROR(_xll.BDP(TICKER,"DEEP_MEASURE_PERIOD_BROKER_VALUE","DEEP_MEASURE_ID_OVERRIDE",$C208,"DEEP_BROKER_ID_OVERRIDE",BR$24,"DEEP_PERIOD_OVERRIDE",$H$19)*1,"")))</f>
        <v/>
      </c>
      <c r="BS208" t="str">
        <f>IF(OR(BS$23="",ISNA($B208)),"",IF(ISBLANK($B208),"",IFERROR(_xll.BDP(TICKER,"DEEP_MEASURE_PERIOD_BROKER_VALUE","DEEP_MEASURE_ID_OVERRIDE",$C208,"DEEP_BROKER_ID_OVERRIDE",BS$24,"DEEP_PERIOD_OVERRIDE",$H$19)*1,"")))</f>
        <v/>
      </c>
      <c r="BT208" t="str">
        <f>IF(OR(BT$23="",ISNA($B208)),"",IF(ISBLANK($B208),"",IFERROR(_xll.BDP(TICKER,"DEEP_MEASURE_PERIOD_BROKER_VALUE","DEEP_MEASURE_ID_OVERRIDE",$C208,"DEEP_BROKER_ID_OVERRIDE",BT$24,"DEEP_PERIOD_OVERRIDE",$H$19)*1,"")))</f>
        <v/>
      </c>
      <c r="BU208" t="str">
        <f>IF(OR(BU$23="",ISNA($B208)),"",IF(ISBLANK($B208),"",IFERROR(_xll.BDP(TICKER,"DEEP_MEASURE_PERIOD_BROKER_VALUE","DEEP_MEASURE_ID_OVERRIDE",$C208,"DEEP_BROKER_ID_OVERRIDE",BU$24,"DEEP_PERIOD_OVERRIDE",$H$19)*1,"")))</f>
        <v/>
      </c>
      <c r="BV208" t="str">
        <f>IF(OR(BV$23="",ISNA($B208)),"",IF(ISBLANK($B208),"",IFERROR(_xll.BDP(TICKER,"DEEP_MEASURE_PERIOD_BROKER_VALUE","DEEP_MEASURE_ID_OVERRIDE",$C208,"DEEP_BROKER_ID_OVERRIDE",BV$24,"DEEP_PERIOD_OVERRIDE",$H$19)*1,"")))</f>
        <v/>
      </c>
      <c r="BW208" t="str">
        <f>IF(OR(BW$23="",ISNA($B208)),"",IF(ISBLANK($B208),"",IFERROR(_xll.BDP(TICKER,"DEEP_MEASURE_PERIOD_BROKER_VALUE","DEEP_MEASURE_ID_OVERRIDE",$C208,"DEEP_BROKER_ID_OVERRIDE",BW$24,"DEEP_PERIOD_OVERRIDE",$H$19)*1,"")))</f>
        <v/>
      </c>
      <c r="BX208" t="str">
        <f>IF(OR(BX$23="",ISNA($B208)),"",IF(ISBLANK($B208),"",IFERROR(_xll.BDP(TICKER,"DEEP_MEASURE_PERIOD_BROKER_VALUE","DEEP_MEASURE_ID_OVERRIDE",$C208,"DEEP_BROKER_ID_OVERRIDE",BX$24,"DEEP_PERIOD_OVERRIDE",$H$19)*1,"")))</f>
        <v/>
      </c>
      <c r="BY208" t="str">
        <f>IF(OR(BY$23="",ISNA($B208)),"",IF(ISBLANK($B208),"",IFERROR(_xll.BDP(TICKER,"DEEP_MEASURE_PERIOD_BROKER_VALUE","DEEP_MEASURE_ID_OVERRIDE",$C208,"DEEP_BROKER_ID_OVERRIDE",BY$24,"DEEP_PERIOD_OVERRIDE",$H$19)*1,"")))</f>
        <v/>
      </c>
      <c r="BZ208" t="str">
        <f>IF(OR(BZ$23="",ISNA($B208)),"",IF(ISBLANK($B208),"",IFERROR(_xll.BDP(TICKER,"DEEP_MEASURE_PERIOD_BROKER_VALUE","DEEP_MEASURE_ID_OVERRIDE",$C208,"DEEP_BROKER_ID_OVERRIDE",BZ$24,"DEEP_PERIOD_OVERRIDE",$H$19)*1,"")))</f>
        <v/>
      </c>
    </row>
    <row r="209" spans="2:78" x14ac:dyDescent="0.25">
      <c r="B209" t="s">
        <v>72</v>
      </c>
      <c r="C209">
        <v>8272</v>
      </c>
      <c r="H209" t="str">
        <f t="shared" si="3"/>
        <v>Cash from Financing Activities &gt; Cash from Issuance (Repurchase) of Equity</v>
      </c>
      <c r="I209" t="str">
        <f>IF(OR(I$23="",ISNA($B209)),"",IF(ISBLANK($B209),"",IFERROR(_xll.BDP(TICKER,"DEEP_MEASURE_PERIOD_BROKER_VALUE","DEEP_MEASURE_ID_OVERRIDE",$C209,"DEEP_PERIOD_OVERRIDE",$H$19)*1,"")))</f>
        <v/>
      </c>
      <c r="J209" t="e">
        <f>IF(OR(J$23="",ISNA($B209)),"",IF(ISBLANK($B209),"",IFERROR(_xll.BDP(TICKER,"DEEP_MEASURE_PERIOD_BROKER_VALUE","DEEP_MEASURE_ID_OVERRIDE",$C209,"DEEP_BROKER_ID_OVERRIDE",J$24,"DEEP_PERIOD_OVERRIDE",$H$19)*1,"")))</f>
        <v>#REF!</v>
      </c>
      <c r="K209" t="str">
        <f>IF(OR(K$23="",ISNA($B209)),"",IF(ISBLANK($B209),"",IFERROR(_xll.BDP(TICKER,"DEEP_MEASURE_PERIOD_BROKER_VALUE","DEEP_MEASURE_ID_OVERRIDE",$C209,"DEEP_BROKER_ID_OVERRIDE",K$24,"DEEP_PERIOD_OVERRIDE",$H$19)*1,"")))</f>
        <v/>
      </c>
      <c r="L209" t="str">
        <f>IF(OR(L$23="",ISNA($B209)),"",IF(ISBLANK($B209),"",IFERROR(_xll.BDP(TICKER,"DEEP_MEASURE_PERIOD_BROKER_VALUE","DEEP_MEASURE_ID_OVERRIDE",$C209,"DEEP_BROKER_ID_OVERRIDE",L$24,"DEEP_PERIOD_OVERRIDE",$H$19)*1,"")))</f>
        <v/>
      </c>
      <c r="M209" t="str">
        <f>IF(OR(M$23="",ISNA($B209)),"",IF(ISBLANK($B209),"",IFERROR(_xll.BDP(TICKER,"DEEP_MEASURE_PERIOD_BROKER_VALUE","DEEP_MEASURE_ID_OVERRIDE",$C209,"DEEP_BROKER_ID_OVERRIDE",M$24,"DEEP_PERIOD_OVERRIDE",$H$19)*1,"")))</f>
        <v/>
      </c>
      <c r="N209" t="str">
        <f>IF(OR(N$23="",ISNA($B209)),"",IF(ISBLANK($B209),"",IFERROR(_xll.BDP(TICKER,"DEEP_MEASURE_PERIOD_BROKER_VALUE","DEEP_MEASURE_ID_OVERRIDE",$C209,"DEEP_BROKER_ID_OVERRIDE",N$24,"DEEP_PERIOD_OVERRIDE",$H$19)*1,"")))</f>
        <v/>
      </c>
      <c r="O209" t="str">
        <f>IF(OR(O$23="",ISNA($B209)),"",IF(ISBLANK($B209),"",IFERROR(_xll.BDP(TICKER,"DEEP_MEASURE_PERIOD_BROKER_VALUE","DEEP_MEASURE_ID_OVERRIDE",$C209,"DEEP_BROKER_ID_OVERRIDE",O$24,"DEEP_PERIOD_OVERRIDE",$H$19)*1,"")))</f>
        <v/>
      </c>
      <c r="P209" t="str">
        <f>IF(OR(P$23="",ISNA($B209)),"",IF(ISBLANK($B209),"",IFERROR(_xll.BDP(TICKER,"DEEP_MEASURE_PERIOD_BROKER_VALUE","DEEP_MEASURE_ID_OVERRIDE",$C209,"DEEP_BROKER_ID_OVERRIDE",P$24,"DEEP_PERIOD_OVERRIDE",$H$19)*1,"")))</f>
        <v/>
      </c>
      <c r="Q209" t="str">
        <f>IF(OR(Q$23="",ISNA($B209)),"",IF(ISBLANK($B209),"",IFERROR(_xll.BDP(TICKER,"DEEP_MEASURE_PERIOD_BROKER_VALUE","DEEP_MEASURE_ID_OVERRIDE",$C209,"DEEP_BROKER_ID_OVERRIDE",Q$24,"DEEP_PERIOD_OVERRIDE",$H$19)*1,"")))</f>
        <v/>
      </c>
      <c r="R209" t="str">
        <f>IF(OR(R$23="",ISNA($B209)),"",IF(ISBLANK($B209),"",IFERROR(_xll.BDP(TICKER,"DEEP_MEASURE_PERIOD_BROKER_VALUE","DEEP_MEASURE_ID_OVERRIDE",$C209,"DEEP_BROKER_ID_OVERRIDE",R$24,"DEEP_PERIOD_OVERRIDE",$H$19)*1,"")))</f>
        <v/>
      </c>
      <c r="S209" t="str">
        <f>IF(OR(S$23="",ISNA($B209)),"",IF(ISBLANK($B209),"",IFERROR(_xll.BDP(TICKER,"DEEP_MEASURE_PERIOD_BROKER_VALUE","DEEP_MEASURE_ID_OVERRIDE",$C209,"DEEP_BROKER_ID_OVERRIDE",S$24,"DEEP_PERIOD_OVERRIDE",$H$19)*1,"")))</f>
        <v/>
      </c>
      <c r="T209" t="str">
        <f>IF(OR(T$23="",ISNA($B209)),"",IF(ISBLANK($B209),"",IFERROR(_xll.BDP(TICKER,"DEEP_MEASURE_PERIOD_BROKER_VALUE","DEEP_MEASURE_ID_OVERRIDE",$C209,"DEEP_BROKER_ID_OVERRIDE",T$24,"DEEP_PERIOD_OVERRIDE",$H$19)*1,"")))</f>
        <v/>
      </c>
      <c r="U209" t="str">
        <f>IF(OR(U$23="",ISNA($B209)),"",IF(ISBLANK($B209),"",IFERROR(_xll.BDP(TICKER,"DEEP_MEASURE_PERIOD_BROKER_VALUE","DEEP_MEASURE_ID_OVERRIDE",$C209,"DEEP_BROKER_ID_OVERRIDE",U$24,"DEEP_PERIOD_OVERRIDE",$H$19)*1,"")))</f>
        <v/>
      </c>
      <c r="V209" t="str">
        <f>IF(OR(V$23="",ISNA($B209)),"",IF(ISBLANK($B209),"",IFERROR(_xll.BDP(TICKER,"DEEP_MEASURE_PERIOD_BROKER_VALUE","DEEP_MEASURE_ID_OVERRIDE",$C209,"DEEP_BROKER_ID_OVERRIDE",V$24,"DEEP_PERIOD_OVERRIDE",$H$19)*1,"")))</f>
        <v/>
      </c>
      <c r="W209" t="str">
        <f>IF(OR(W$23="",ISNA($B209)),"",IF(ISBLANK($B209),"",IFERROR(_xll.BDP(TICKER,"DEEP_MEASURE_PERIOD_BROKER_VALUE","DEEP_MEASURE_ID_OVERRIDE",$C209,"DEEP_BROKER_ID_OVERRIDE",W$24,"DEEP_PERIOD_OVERRIDE",$H$19)*1,"")))</f>
        <v/>
      </c>
      <c r="X209" t="str">
        <f>IF(OR(X$23="",ISNA($B209)),"",IF(ISBLANK($B209),"",IFERROR(_xll.BDP(TICKER,"DEEP_MEASURE_PERIOD_BROKER_VALUE","DEEP_MEASURE_ID_OVERRIDE",$C209,"DEEP_BROKER_ID_OVERRIDE",X$24,"DEEP_PERIOD_OVERRIDE",$H$19)*1,"")))</f>
        <v/>
      </c>
      <c r="Y209" t="str">
        <f>IF(OR(Y$23="",ISNA($B209)),"",IF(ISBLANK($B209),"",IFERROR(_xll.BDP(TICKER,"DEEP_MEASURE_PERIOD_BROKER_VALUE","DEEP_MEASURE_ID_OVERRIDE",$C209,"DEEP_BROKER_ID_OVERRIDE",Y$24,"DEEP_PERIOD_OVERRIDE",$H$19)*1,"")))</f>
        <v/>
      </c>
      <c r="Z209" t="str">
        <f>IF(OR(Z$23="",ISNA($B209)),"",IF(ISBLANK($B209),"",IFERROR(_xll.BDP(TICKER,"DEEP_MEASURE_PERIOD_BROKER_VALUE","DEEP_MEASURE_ID_OVERRIDE",$C209,"DEEP_BROKER_ID_OVERRIDE",Z$24,"DEEP_PERIOD_OVERRIDE",$H$19)*1,"")))</f>
        <v/>
      </c>
      <c r="AA209" t="str">
        <f>IF(OR(AA$23="",ISNA($B209)),"",IF(ISBLANK($B209),"",IFERROR(_xll.BDP(TICKER,"DEEP_MEASURE_PERIOD_BROKER_VALUE","DEEP_MEASURE_ID_OVERRIDE",$C209,"DEEP_BROKER_ID_OVERRIDE",AA$24,"DEEP_PERIOD_OVERRIDE",$H$19)*1,"")))</f>
        <v/>
      </c>
      <c r="AB209" t="str">
        <f>IF(OR(AB$23="",ISNA($B209)),"",IF(ISBLANK($B209),"",IFERROR(_xll.BDP(TICKER,"DEEP_MEASURE_PERIOD_BROKER_VALUE","DEEP_MEASURE_ID_OVERRIDE",$C209,"DEEP_BROKER_ID_OVERRIDE",AB$24,"DEEP_PERIOD_OVERRIDE",$H$19)*1,"")))</f>
        <v/>
      </c>
      <c r="AC209" t="str">
        <f>IF(OR(AC$23="",ISNA($B209)),"",IF(ISBLANK($B209),"",IFERROR(_xll.BDP(TICKER,"DEEP_MEASURE_PERIOD_BROKER_VALUE","DEEP_MEASURE_ID_OVERRIDE",$C209,"DEEP_BROKER_ID_OVERRIDE",AC$24,"DEEP_PERIOD_OVERRIDE",$H$19)*1,"")))</f>
        <v/>
      </c>
      <c r="AD209" t="str">
        <f>IF(OR(AD$23="",ISNA($B209)),"",IF(ISBLANK($B209),"",IFERROR(_xll.BDP(TICKER,"DEEP_MEASURE_PERIOD_BROKER_VALUE","DEEP_MEASURE_ID_OVERRIDE",$C209,"DEEP_BROKER_ID_OVERRIDE",AD$24,"DEEP_PERIOD_OVERRIDE",$H$19)*1,"")))</f>
        <v/>
      </c>
      <c r="AE209" t="str">
        <f>IF(OR(AE$23="",ISNA($B209)),"",IF(ISBLANK($B209),"",IFERROR(_xll.BDP(TICKER,"DEEP_MEASURE_PERIOD_BROKER_VALUE","DEEP_MEASURE_ID_OVERRIDE",$C209,"DEEP_BROKER_ID_OVERRIDE",AE$24,"DEEP_PERIOD_OVERRIDE",$H$19)*1,"")))</f>
        <v/>
      </c>
      <c r="AF209" t="str">
        <f>IF(OR(AF$23="",ISNA($B209)),"",IF(ISBLANK($B209),"",IFERROR(_xll.BDP(TICKER,"DEEP_MEASURE_PERIOD_BROKER_VALUE","DEEP_MEASURE_ID_OVERRIDE",$C209,"DEEP_BROKER_ID_OVERRIDE",AF$24,"DEEP_PERIOD_OVERRIDE",$H$19)*1,"")))</f>
        <v/>
      </c>
      <c r="AG209" t="str">
        <f>IF(OR(AG$23="",ISNA($B209)),"",IF(ISBLANK($B209),"",IFERROR(_xll.BDP(TICKER,"DEEP_MEASURE_PERIOD_BROKER_VALUE","DEEP_MEASURE_ID_OVERRIDE",$C209,"DEEP_BROKER_ID_OVERRIDE",AG$24,"DEEP_PERIOD_OVERRIDE",$H$19)*1,"")))</f>
        <v/>
      </c>
      <c r="AH209" t="str">
        <f>IF(OR(AH$23="",ISNA($B209)),"",IF(ISBLANK($B209),"",IFERROR(_xll.BDP(TICKER,"DEEP_MEASURE_PERIOD_BROKER_VALUE","DEEP_MEASURE_ID_OVERRIDE",$C209,"DEEP_BROKER_ID_OVERRIDE",AH$24,"DEEP_PERIOD_OVERRIDE",$H$19)*1,"")))</f>
        <v/>
      </c>
      <c r="AI209" t="str">
        <f>IF(OR(AI$23="",ISNA($B209)),"",IF(ISBLANK($B209),"",IFERROR(_xll.BDP(TICKER,"DEEP_MEASURE_PERIOD_BROKER_VALUE","DEEP_MEASURE_ID_OVERRIDE",$C209,"DEEP_BROKER_ID_OVERRIDE",AI$24,"DEEP_PERIOD_OVERRIDE",$H$19)*1,"")))</f>
        <v/>
      </c>
      <c r="AJ209" t="str">
        <f>IF(OR(AJ$23="",ISNA($B209)),"",IF(ISBLANK($B209),"",IFERROR(_xll.BDP(TICKER,"DEEP_MEASURE_PERIOD_BROKER_VALUE","DEEP_MEASURE_ID_OVERRIDE",$C209,"DEEP_BROKER_ID_OVERRIDE",AJ$24,"DEEP_PERIOD_OVERRIDE",$H$19)*1,"")))</f>
        <v/>
      </c>
      <c r="AK209" t="str">
        <f>IF(OR(AK$23="",ISNA($B209)),"",IF(ISBLANK($B209),"",IFERROR(_xll.BDP(TICKER,"DEEP_MEASURE_PERIOD_BROKER_VALUE","DEEP_MEASURE_ID_OVERRIDE",$C209,"DEEP_BROKER_ID_OVERRIDE",AK$24,"DEEP_PERIOD_OVERRIDE",$H$19)*1,"")))</f>
        <v/>
      </c>
      <c r="AL209" t="str">
        <f>IF(OR(AL$23="",ISNA($B209)),"",IF(ISBLANK($B209),"",IFERROR(_xll.BDP(TICKER,"DEEP_MEASURE_PERIOD_BROKER_VALUE","DEEP_MEASURE_ID_OVERRIDE",$C209,"DEEP_BROKER_ID_OVERRIDE",AL$24,"DEEP_PERIOD_OVERRIDE",$H$19)*1,"")))</f>
        <v/>
      </c>
      <c r="AM209" t="str">
        <f>IF(OR(AM$23="",ISNA($B209)),"",IF(ISBLANK($B209),"",IFERROR(_xll.BDP(TICKER,"DEEP_MEASURE_PERIOD_BROKER_VALUE","DEEP_MEASURE_ID_OVERRIDE",$C209,"DEEP_BROKER_ID_OVERRIDE",AM$24,"DEEP_PERIOD_OVERRIDE",$H$19)*1,"")))</f>
        <v/>
      </c>
      <c r="AN209" t="str">
        <f>IF(OR(AN$23="",ISNA($B209)),"",IF(ISBLANK($B209),"",IFERROR(_xll.BDP(TICKER,"DEEP_MEASURE_PERIOD_BROKER_VALUE","DEEP_MEASURE_ID_OVERRIDE",$C209,"DEEP_BROKER_ID_OVERRIDE",AN$24,"DEEP_PERIOD_OVERRIDE",$H$19)*1,"")))</f>
        <v/>
      </c>
      <c r="AO209" t="str">
        <f>IF(OR(AO$23="",ISNA($B209)),"",IF(ISBLANK($B209),"",IFERROR(_xll.BDP(TICKER,"DEEP_MEASURE_PERIOD_BROKER_VALUE","DEEP_MEASURE_ID_OVERRIDE",$C209,"DEEP_BROKER_ID_OVERRIDE",AO$24,"DEEP_PERIOD_OVERRIDE",$H$19)*1,"")))</f>
        <v/>
      </c>
      <c r="AP209" t="str">
        <f>IF(OR(AP$23="",ISNA($B209)),"",IF(ISBLANK($B209),"",IFERROR(_xll.BDP(TICKER,"DEEP_MEASURE_PERIOD_BROKER_VALUE","DEEP_MEASURE_ID_OVERRIDE",$C209,"DEEP_BROKER_ID_OVERRIDE",AP$24,"DEEP_PERIOD_OVERRIDE",$H$19)*1,"")))</f>
        <v/>
      </c>
      <c r="AQ209" t="str">
        <f>IF(OR(AQ$23="",ISNA($B209)),"",IF(ISBLANK($B209),"",IFERROR(_xll.BDP(TICKER,"DEEP_MEASURE_PERIOD_BROKER_VALUE","DEEP_MEASURE_ID_OVERRIDE",$C209,"DEEP_BROKER_ID_OVERRIDE",AQ$24,"DEEP_PERIOD_OVERRIDE",$H$19)*1,"")))</f>
        <v/>
      </c>
      <c r="AR209" t="str">
        <f>IF(OR(AR$23="",ISNA($B209)),"",IF(ISBLANK($B209),"",IFERROR(_xll.BDP(TICKER,"DEEP_MEASURE_PERIOD_BROKER_VALUE","DEEP_MEASURE_ID_OVERRIDE",$C209,"DEEP_BROKER_ID_OVERRIDE",AR$24,"DEEP_PERIOD_OVERRIDE",$H$19)*1,"")))</f>
        <v/>
      </c>
      <c r="AS209" t="str">
        <f>IF(OR(AS$23="",ISNA($B209)),"",IF(ISBLANK($B209),"",IFERROR(_xll.BDP(TICKER,"DEEP_MEASURE_PERIOD_BROKER_VALUE","DEEP_MEASURE_ID_OVERRIDE",$C209,"DEEP_BROKER_ID_OVERRIDE",AS$24,"DEEP_PERIOD_OVERRIDE",$H$19)*1,"")))</f>
        <v/>
      </c>
      <c r="AT209" t="str">
        <f>IF(OR(AT$23="",ISNA($B209)),"",IF(ISBLANK($B209),"",IFERROR(_xll.BDP(TICKER,"DEEP_MEASURE_PERIOD_BROKER_VALUE","DEEP_MEASURE_ID_OVERRIDE",$C209,"DEEP_BROKER_ID_OVERRIDE",AT$24,"DEEP_PERIOD_OVERRIDE",$H$19)*1,"")))</f>
        <v/>
      </c>
      <c r="AU209" t="str">
        <f>IF(OR(AU$23="",ISNA($B209)),"",IF(ISBLANK($B209),"",IFERROR(_xll.BDP(TICKER,"DEEP_MEASURE_PERIOD_BROKER_VALUE","DEEP_MEASURE_ID_OVERRIDE",$C209,"DEEP_BROKER_ID_OVERRIDE",AU$24,"DEEP_PERIOD_OVERRIDE",$H$19)*1,"")))</f>
        <v/>
      </c>
      <c r="AV209" t="str">
        <f>IF(OR(AV$23="",ISNA($B209)),"",IF(ISBLANK($B209),"",IFERROR(_xll.BDP(TICKER,"DEEP_MEASURE_PERIOD_BROKER_VALUE","DEEP_MEASURE_ID_OVERRIDE",$C209,"DEEP_BROKER_ID_OVERRIDE",AV$24,"DEEP_PERIOD_OVERRIDE",$H$19)*1,"")))</f>
        <v/>
      </c>
      <c r="AW209" t="str">
        <f>IF(OR(AW$23="",ISNA($B209)),"",IF(ISBLANK($B209),"",IFERROR(_xll.BDP(TICKER,"DEEP_MEASURE_PERIOD_BROKER_VALUE","DEEP_MEASURE_ID_OVERRIDE",$C209,"DEEP_BROKER_ID_OVERRIDE",AW$24,"DEEP_PERIOD_OVERRIDE",$H$19)*1,"")))</f>
        <v/>
      </c>
      <c r="AX209" t="str">
        <f>IF(OR(AX$23="",ISNA($B209)),"",IF(ISBLANK($B209),"",IFERROR(_xll.BDP(TICKER,"DEEP_MEASURE_PERIOD_BROKER_VALUE","DEEP_MEASURE_ID_OVERRIDE",$C209,"DEEP_BROKER_ID_OVERRIDE",AX$24,"DEEP_PERIOD_OVERRIDE",$H$19)*1,"")))</f>
        <v/>
      </c>
      <c r="AY209" t="str">
        <f>IF(OR(AY$23="",ISNA($B209)),"",IF(ISBLANK($B209),"",IFERROR(_xll.BDP(TICKER,"DEEP_MEASURE_PERIOD_BROKER_VALUE","DEEP_MEASURE_ID_OVERRIDE",$C209,"DEEP_BROKER_ID_OVERRIDE",AY$24,"DEEP_PERIOD_OVERRIDE",$H$19)*1,"")))</f>
        <v/>
      </c>
      <c r="AZ209" t="str">
        <f>IF(OR(AZ$23="",ISNA($B209)),"",IF(ISBLANK($B209),"",IFERROR(_xll.BDP(TICKER,"DEEP_MEASURE_PERIOD_BROKER_VALUE","DEEP_MEASURE_ID_OVERRIDE",$C209,"DEEP_BROKER_ID_OVERRIDE",AZ$24,"DEEP_PERIOD_OVERRIDE",$H$19)*1,"")))</f>
        <v/>
      </c>
      <c r="BA209" t="str">
        <f>IF(OR(BA$23="",ISNA($B209)),"",IF(ISBLANK($B209),"",IFERROR(_xll.BDP(TICKER,"DEEP_MEASURE_PERIOD_BROKER_VALUE","DEEP_MEASURE_ID_OVERRIDE",$C209,"DEEP_BROKER_ID_OVERRIDE",BA$24,"DEEP_PERIOD_OVERRIDE",$H$19)*1,"")))</f>
        <v/>
      </c>
      <c r="BB209" t="str">
        <f>IF(OR(BB$23="",ISNA($B209)),"",IF(ISBLANK($B209),"",IFERROR(_xll.BDP(TICKER,"DEEP_MEASURE_PERIOD_BROKER_VALUE","DEEP_MEASURE_ID_OVERRIDE",$C209,"DEEP_BROKER_ID_OVERRIDE",BB$24,"DEEP_PERIOD_OVERRIDE",$H$19)*1,"")))</f>
        <v/>
      </c>
      <c r="BC209" t="str">
        <f>IF(OR(BC$23="",ISNA($B209)),"",IF(ISBLANK($B209),"",IFERROR(_xll.BDP(TICKER,"DEEP_MEASURE_PERIOD_BROKER_VALUE","DEEP_MEASURE_ID_OVERRIDE",$C209,"DEEP_BROKER_ID_OVERRIDE",BC$24,"DEEP_PERIOD_OVERRIDE",$H$19)*1,"")))</f>
        <v/>
      </c>
      <c r="BD209" t="str">
        <f>IF(OR(BD$23="",ISNA($B209)),"",IF(ISBLANK($B209),"",IFERROR(_xll.BDP(TICKER,"DEEP_MEASURE_PERIOD_BROKER_VALUE","DEEP_MEASURE_ID_OVERRIDE",$C209,"DEEP_BROKER_ID_OVERRIDE",BD$24,"DEEP_PERIOD_OVERRIDE",$H$19)*1,"")))</f>
        <v/>
      </c>
      <c r="BE209" t="str">
        <f>IF(OR(BE$23="",ISNA($B209)),"",IF(ISBLANK($B209),"",IFERROR(_xll.BDP(TICKER,"DEEP_MEASURE_PERIOD_BROKER_VALUE","DEEP_MEASURE_ID_OVERRIDE",$C209,"DEEP_BROKER_ID_OVERRIDE",BE$24,"DEEP_PERIOD_OVERRIDE",$H$19)*1,"")))</f>
        <v/>
      </c>
      <c r="BF209" t="str">
        <f>IF(OR(BF$23="",ISNA($B209)),"",IF(ISBLANK($B209),"",IFERROR(_xll.BDP(TICKER,"DEEP_MEASURE_PERIOD_BROKER_VALUE","DEEP_MEASURE_ID_OVERRIDE",$C209,"DEEP_BROKER_ID_OVERRIDE",BF$24,"DEEP_PERIOD_OVERRIDE",$H$19)*1,"")))</f>
        <v/>
      </c>
      <c r="BG209" t="str">
        <f>IF(OR(BG$23="",ISNA($B209)),"",IF(ISBLANK($B209),"",IFERROR(_xll.BDP(TICKER,"DEEP_MEASURE_PERIOD_BROKER_VALUE","DEEP_MEASURE_ID_OVERRIDE",$C209,"DEEP_BROKER_ID_OVERRIDE",BG$24,"DEEP_PERIOD_OVERRIDE",$H$19)*1,"")))</f>
        <v/>
      </c>
      <c r="BH209" t="str">
        <f>IF(OR(BH$23="",ISNA($B209)),"",IF(ISBLANK($B209),"",IFERROR(_xll.BDP(TICKER,"DEEP_MEASURE_PERIOD_BROKER_VALUE","DEEP_MEASURE_ID_OVERRIDE",$C209,"DEEP_BROKER_ID_OVERRIDE",BH$24,"DEEP_PERIOD_OVERRIDE",$H$19)*1,"")))</f>
        <v/>
      </c>
      <c r="BI209" t="str">
        <f>IF(OR(BI$23="",ISNA($B209)),"",IF(ISBLANK($B209),"",IFERROR(_xll.BDP(TICKER,"DEEP_MEASURE_PERIOD_BROKER_VALUE","DEEP_MEASURE_ID_OVERRIDE",$C209,"DEEP_BROKER_ID_OVERRIDE",BI$24,"DEEP_PERIOD_OVERRIDE",$H$19)*1,"")))</f>
        <v/>
      </c>
      <c r="BJ209" t="str">
        <f>IF(OR(BJ$23="",ISNA($B209)),"",IF(ISBLANK($B209),"",IFERROR(_xll.BDP(TICKER,"DEEP_MEASURE_PERIOD_BROKER_VALUE","DEEP_MEASURE_ID_OVERRIDE",$C209,"DEEP_BROKER_ID_OVERRIDE",BJ$24,"DEEP_PERIOD_OVERRIDE",$H$19)*1,"")))</f>
        <v/>
      </c>
      <c r="BK209" t="str">
        <f>IF(OR(BK$23="",ISNA($B209)),"",IF(ISBLANK($B209),"",IFERROR(_xll.BDP(TICKER,"DEEP_MEASURE_PERIOD_BROKER_VALUE","DEEP_MEASURE_ID_OVERRIDE",$C209,"DEEP_BROKER_ID_OVERRIDE",BK$24,"DEEP_PERIOD_OVERRIDE",$H$19)*1,"")))</f>
        <v/>
      </c>
      <c r="BL209" t="str">
        <f>IF(OR(BL$23="",ISNA($B209)),"",IF(ISBLANK($B209),"",IFERROR(_xll.BDP(TICKER,"DEEP_MEASURE_PERIOD_BROKER_VALUE","DEEP_MEASURE_ID_OVERRIDE",$C209,"DEEP_BROKER_ID_OVERRIDE",BL$24,"DEEP_PERIOD_OVERRIDE",$H$19)*1,"")))</f>
        <v/>
      </c>
      <c r="BM209" t="str">
        <f>IF(OR(BM$23="",ISNA($B209)),"",IF(ISBLANK($B209),"",IFERROR(_xll.BDP(TICKER,"DEEP_MEASURE_PERIOD_BROKER_VALUE","DEEP_MEASURE_ID_OVERRIDE",$C209,"DEEP_BROKER_ID_OVERRIDE",BM$24,"DEEP_PERIOD_OVERRIDE",$H$19)*1,"")))</f>
        <v/>
      </c>
      <c r="BN209" t="str">
        <f>IF(OR(BN$23="",ISNA($B209)),"",IF(ISBLANK($B209),"",IFERROR(_xll.BDP(TICKER,"DEEP_MEASURE_PERIOD_BROKER_VALUE","DEEP_MEASURE_ID_OVERRIDE",$C209,"DEEP_BROKER_ID_OVERRIDE",BN$24,"DEEP_PERIOD_OVERRIDE",$H$19)*1,"")))</f>
        <v/>
      </c>
      <c r="BO209" t="str">
        <f>IF(OR(BO$23="",ISNA($B209)),"",IF(ISBLANK($B209),"",IFERROR(_xll.BDP(TICKER,"DEEP_MEASURE_PERIOD_BROKER_VALUE","DEEP_MEASURE_ID_OVERRIDE",$C209,"DEEP_BROKER_ID_OVERRIDE",BO$24,"DEEP_PERIOD_OVERRIDE",$H$19)*1,"")))</f>
        <v/>
      </c>
      <c r="BP209" t="str">
        <f>IF(OR(BP$23="",ISNA($B209)),"",IF(ISBLANK($B209),"",IFERROR(_xll.BDP(TICKER,"DEEP_MEASURE_PERIOD_BROKER_VALUE","DEEP_MEASURE_ID_OVERRIDE",$C209,"DEEP_BROKER_ID_OVERRIDE",BP$24,"DEEP_PERIOD_OVERRIDE",$H$19)*1,"")))</f>
        <v/>
      </c>
      <c r="BQ209" t="str">
        <f>IF(OR(BQ$23="",ISNA($B209)),"",IF(ISBLANK($B209),"",IFERROR(_xll.BDP(TICKER,"DEEP_MEASURE_PERIOD_BROKER_VALUE","DEEP_MEASURE_ID_OVERRIDE",$C209,"DEEP_BROKER_ID_OVERRIDE",BQ$24,"DEEP_PERIOD_OVERRIDE",$H$19)*1,"")))</f>
        <v/>
      </c>
      <c r="BR209" t="str">
        <f>IF(OR(BR$23="",ISNA($B209)),"",IF(ISBLANK($B209),"",IFERROR(_xll.BDP(TICKER,"DEEP_MEASURE_PERIOD_BROKER_VALUE","DEEP_MEASURE_ID_OVERRIDE",$C209,"DEEP_BROKER_ID_OVERRIDE",BR$24,"DEEP_PERIOD_OVERRIDE",$H$19)*1,"")))</f>
        <v/>
      </c>
      <c r="BS209" t="str">
        <f>IF(OR(BS$23="",ISNA($B209)),"",IF(ISBLANK($B209),"",IFERROR(_xll.BDP(TICKER,"DEEP_MEASURE_PERIOD_BROKER_VALUE","DEEP_MEASURE_ID_OVERRIDE",$C209,"DEEP_BROKER_ID_OVERRIDE",BS$24,"DEEP_PERIOD_OVERRIDE",$H$19)*1,"")))</f>
        <v/>
      </c>
      <c r="BT209" t="str">
        <f>IF(OR(BT$23="",ISNA($B209)),"",IF(ISBLANK($B209),"",IFERROR(_xll.BDP(TICKER,"DEEP_MEASURE_PERIOD_BROKER_VALUE","DEEP_MEASURE_ID_OVERRIDE",$C209,"DEEP_BROKER_ID_OVERRIDE",BT$24,"DEEP_PERIOD_OVERRIDE",$H$19)*1,"")))</f>
        <v/>
      </c>
      <c r="BU209" t="str">
        <f>IF(OR(BU$23="",ISNA($B209)),"",IF(ISBLANK($B209),"",IFERROR(_xll.BDP(TICKER,"DEEP_MEASURE_PERIOD_BROKER_VALUE","DEEP_MEASURE_ID_OVERRIDE",$C209,"DEEP_BROKER_ID_OVERRIDE",BU$24,"DEEP_PERIOD_OVERRIDE",$H$19)*1,"")))</f>
        <v/>
      </c>
      <c r="BV209" t="str">
        <f>IF(OR(BV$23="",ISNA($B209)),"",IF(ISBLANK($B209),"",IFERROR(_xll.BDP(TICKER,"DEEP_MEASURE_PERIOD_BROKER_VALUE","DEEP_MEASURE_ID_OVERRIDE",$C209,"DEEP_BROKER_ID_OVERRIDE",BV$24,"DEEP_PERIOD_OVERRIDE",$H$19)*1,"")))</f>
        <v/>
      </c>
      <c r="BW209" t="str">
        <f>IF(OR(BW$23="",ISNA($B209)),"",IF(ISBLANK($B209),"",IFERROR(_xll.BDP(TICKER,"DEEP_MEASURE_PERIOD_BROKER_VALUE","DEEP_MEASURE_ID_OVERRIDE",$C209,"DEEP_BROKER_ID_OVERRIDE",BW$24,"DEEP_PERIOD_OVERRIDE",$H$19)*1,"")))</f>
        <v/>
      </c>
      <c r="BX209" t="str">
        <f>IF(OR(BX$23="",ISNA($B209)),"",IF(ISBLANK($B209),"",IFERROR(_xll.BDP(TICKER,"DEEP_MEASURE_PERIOD_BROKER_VALUE","DEEP_MEASURE_ID_OVERRIDE",$C209,"DEEP_BROKER_ID_OVERRIDE",BX$24,"DEEP_PERIOD_OVERRIDE",$H$19)*1,"")))</f>
        <v/>
      </c>
      <c r="BY209" t="str">
        <f>IF(OR(BY$23="",ISNA($B209)),"",IF(ISBLANK($B209),"",IFERROR(_xll.BDP(TICKER,"DEEP_MEASURE_PERIOD_BROKER_VALUE","DEEP_MEASURE_ID_OVERRIDE",$C209,"DEEP_BROKER_ID_OVERRIDE",BY$24,"DEEP_PERIOD_OVERRIDE",$H$19)*1,"")))</f>
        <v/>
      </c>
      <c r="BZ209" t="str">
        <f>IF(OR(BZ$23="",ISNA($B209)),"",IF(ISBLANK($B209),"",IFERROR(_xll.BDP(TICKER,"DEEP_MEASURE_PERIOD_BROKER_VALUE","DEEP_MEASURE_ID_OVERRIDE",$C209,"DEEP_BROKER_ID_OVERRIDE",BZ$24,"DEEP_PERIOD_OVERRIDE",$H$19)*1,"")))</f>
        <v/>
      </c>
    </row>
    <row r="210" spans="2:78" x14ac:dyDescent="0.25">
      <c r="B210" t="s">
        <v>73</v>
      </c>
      <c r="C210">
        <v>989</v>
      </c>
      <c r="H210" t="str">
        <f t="shared" si="3"/>
        <v>Cash from Financing Activities &gt; Cash Flows from Other Financing Activity</v>
      </c>
      <c r="I210" t="str">
        <f>IF(OR(I$23="",ISNA($B210)),"",IF(ISBLANK($B210),"",IFERROR(_xll.BDP(TICKER,"DEEP_MEASURE_PERIOD_BROKER_VALUE","DEEP_MEASURE_ID_OVERRIDE",$C210,"DEEP_PERIOD_OVERRIDE",$H$19)*1,"")))</f>
        <v/>
      </c>
      <c r="J210" t="e">
        <f>IF(OR(J$23="",ISNA($B210)),"",IF(ISBLANK($B210),"",IFERROR(_xll.BDP(TICKER,"DEEP_MEASURE_PERIOD_BROKER_VALUE","DEEP_MEASURE_ID_OVERRIDE",$C210,"DEEP_BROKER_ID_OVERRIDE",J$24,"DEEP_PERIOD_OVERRIDE",$H$19)*1,"")))</f>
        <v>#REF!</v>
      </c>
      <c r="K210" t="str">
        <f>IF(OR(K$23="",ISNA($B210)),"",IF(ISBLANK($B210),"",IFERROR(_xll.BDP(TICKER,"DEEP_MEASURE_PERIOD_BROKER_VALUE","DEEP_MEASURE_ID_OVERRIDE",$C210,"DEEP_BROKER_ID_OVERRIDE",K$24,"DEEP_PERIOD_OVERRIDE",$H$19)*1,"")))</f>
        <v/>
      </c>
      <c r="L210" t="str">
        <f>IF(OR(L$23="",ISNA($B210)),"",IF(ISBLANK($B210),"",IFERROR(_xll.BDP(TICKER,"DEEP_MEASURE_PERIOD_BROKER_VALUE","DEEP_MEASURE_ID_OVERRIDE",$C210,"DEEP_BROKER_ID_OVERRIDE",L$24,"DEEP_PERIOD_OVERRIDE",$H$19)*1,"")))</f>
        <v/>
      </c>
      <c r="M210" t="str">
        <f>IF(OR(M$23="",ISNA($B210)),"",IF(ISBLANK($B210),"",IFERROR(_xll.BDP(TICKER,"DEEP_MEASURE_PERIOD_BROKER_VALUE","DEEP_MEASURE_ID_OVERRIDE",$C210,"DEEP_BROKER_ID_OVERRIDE",M$24,"DEEP_PERIOD_OVERRIDE",$H$19)*1,"")))</f>
        <v/>
      </c>
      <c r="N210" t="str">
        <f>IF(OR(N$23="",ISNA($B210)),"",IF(ISBLANK($B210),"",IFERROR(_xll.BDP(TICKER,"DEEP_MEASURE_PERIOD_BROKER_VALUE","DEEP_MEASURE_ID_OVERRIDE",$C210,"DEEP_BROKER_ID_OVERRIDE",N$24,"DEEP_PERIOD_OVERRIDE",$H$19)*1,"")))</f>
        <v/>
      </c>
      <c r="O210" t="str">
        <f>IF(OR(O$23="",ISNA($B210)),"",IF(ISBLANK($B210),"",IFERROR(_xll.BDP(TICKER,"DEEP_MEASURE_PERIOD_BROKER_VALUE","DEEP_MEASURE_ID_OVERRIDE",$C210,"DEEP_BROKER_ID_OVERRIDE",O$24,"DEEP_PERIOD_OVERRIDE",$H$19)*1,"")))</f>
        <v/>
      </c>
      <c r="P210" t="str">
        <f>IF(OR(P$23="",ISNA($B210)),"",IF(ISBLANK($B210),"",IFERROR(_xll.BDP(TICKER,"DEEP_MEASURE_PERIOD_BROKER_VALUE","DEEP_MEASURE_ID_OVERRIDE",$C210,"DEEP_BROKER_ID_OVERRIDE",P$24,"DEEP_PERIOD_OVERRIDE",$H$19)*1,"")))</f>
        <v/>
      </c>
      <c r="Q210" t="str">
        <f>IF(OR(Q$23="",ISNA($B210)),"",IF(ISBLANK($B210),"",IFERROR(_xll.BDP(TICKER,"DEEP_MEASURE_PERIOD_BROKER_VALUE","DEEP_MEASURE_ID_OVERRIDE",$C210,"DEEP_BROKER_ID_OVERRIDE",Q$24,"DEEP_PERIOD_OVERRIDE",$H$19)*1,"")))</f>
        <v/>
      </c>
      <c r="R210" t="str">
        <f>IF(OR(R$23="",ISNA($B210)),"",IF(ISBLANK($B210),"",IFERROR(_xll.BDP(TICKER,"DEEP_MEASURE_PERIOD_BROKER_VALUE","DEEP_MEASURE_ID_OVERRIDE",$C210,"DEEP_BROKER_ID_OVERRIDE",R$24,"DEEP_PERIOD_OVERRIDE",$H$19)*1,"")))</f>
        <v/>
      </c>
      <c r="S210" t="str">
        <f>IF(OR(S$23="",ISNA($B210)),"",IF(ISBLANK($B210),"",IFERROR(_xll.BDP(TICKER,"DEEP_MEASURE_PERIOD_BROKER_VALUE","DEEP_MEASURE_ID_OVERRIDE",$C210,"DEEP_BROKER_ID_OVERRIDE",S$24,"DEEP_PERIOD_OVERRIDE",$H$19)*1,"")))</f>
        <v/>
      </c>
      <c r="T210" t="str">
        <f>IF(OR(T$23="",ISNA($B210)),"",IF(ISBLANK($B210),"",IFERROR(_xll.BDP(TICKER,"DEEP_MEASURE_PERIOD_BROKER_VALUE","DEEP_MEASURE_ID_OVERRIDE",$C210,"DEEP_BROKER_ID_OVERRIDE",T$24,"DEEP_PERIOD_OVERRIDE",$H$19)*1,"")))</f>
        <v/>
      </c>
      <c r="U210" t="str">
        <f>IF(OR(U$23="",ISNA($B210)),"",IF(ISBLANK($B210),"",IFERROR(_xll.BDP(TICKER,"DEEP_MEASURE_PERIOD_BROKER_VALUE","DEEP_MEASURE_ID_OVERRIDE",$C210,"DEEP_BROKER_ID_OVERRIDE",U$24,"DEEP_PERIOD_OVERRIDE",$H$19)*1,"")))</f>
        <v/>
      </c>
      <c r="V210" t="str">
        <f>IF(OR(V$23="",ISNA($B210)),"",IF(ISBLANK($B210),"",IFERROR(_xll.BDP(TICKER,"DEEP_MEASURE_PERIOD_BROKER_VALUE","DEEP_MEASURE_ID_OVERRIDE",$C210,"DEEP_BROKER_ID_OVERRIDE",V$24,"DEEP_PERIOD_OVERRIDE",$H$19)*1,"")))</f>
        <v/>
      </c>
      <c r="W210" t="str">
        <f>IF(OR(W$23="",ISNA($B210)),"",IF(ISBLANK($B210),"",IFERROR(_xll.BDP(TICKER,"DEEP_MEASURE_PERIOD_BROKER_VALUE","DEEP_MEASURE_ID_OVERRIDE",$C210,"DEEP_BROKER_ID_OVERRIDE",W$24,"DEEP_PERIOD_OVERRIDE",$H$19)*1,"")))</f>
        <v/>
      </c>
      <c r="X210" t="str">
        <f>IF(OR(X$23="",ISNA($B210)),"",IF(ISBLANK($B210),"",IFERROR(_xll.BDP(TICKER,"DEEP_MEASURE_PERIOD_BROKER_VALUE","DEEP_MEASURE_ID_OVERRIDE",$C210,"DEEP_BROKER_ID_OVERRIDE",X$24,"DEEP_PERIOD_OVERRIDE",$H$19)*1,"")))</f>
        <v/>
      </c>
      <c r="Y210" t="str">
        <f>IF(OR(Y$23="",ISNA($B210)),"",IF(ISBLANK($B210),"",IFERROR(_xll.BDP(TICKER,"DEEP_MEASURE_PERIOD_BROKER_VALUE","DEEP_MEASURE_ID_OVERRIDE",$C210,"DEEP_BROKER_ID_OVERRIDE",Y$24,"DEEP_PERIOD_OVERRIDE",$H$19)*1,"")))</f>
        <v/>
      </c>
      <c r="Z210" t="str">
        <f>IF(OR(Z$23="",ISNA($B210)),"",IF(ISBLANK($B210),"",IFERROR(_xll.BDP(TICKER,"DEEP_MEASURE_PERIOD_BROKER_VALUE","DEEP_MEASURE_ID_OVERRIDE",$C210,"DEEP_BROKER_ID_OVERRIDE",Z$24,"DEEP_PERIOD_OVERRIDE",$H$19)*1,"")))</f>
        <v/>
      </c>
      <c r="AA210" t="str">
        <f>IF(OR(AA$23="",ISNA($B210)),"",IF(ISBLANK($B210),"",IFERROR(_xll.BDP(TICKER,"DEEP_MEASURE_PERIOD_BROKER_VALUE","DEEP_MEASURE_ID_OVERRIDE",$C210,"DEEP_BROKER_ID_OVERRIDE",AA$24,"DEEP_PERIOD_OVERRIDE",$H$19)*1,"")))</f>
        <v/>
      </c>
      <c r="AB210" t="str">
        <f>IF(OR(AB$23="",ISNA($B210)),"",IF(ISBLANK($B210),"",IFERROR(_xll.BDP(TICKER,"DEEP_MEASURE_PERIOD_BROKER_VALUE","DEEP_MEASURE_ID_OVERRIDE",$C210,"DEEP_BROKER_ID_OVERRIDE",AB$24,"DEEP_PERIOD_OVERRIDE",$H$19)*1,"")))</f>
        <v/>
      </c>
      <c r="AC210" t="str">
        <f>IF(OR(AC$23="",ISNA($B210)),"",IF(ISBLANK($B210),"",IFERROR(_xll.BDP(TICKER,"DEEP_MEASURE_PERIOD_BROKER_VALUE","DEEP_MEASURE_ID_OVERRIDE",$C210,"DEEP_BROKER_ID_OVERRIDE",AC$24,"DEEP_PERIOD_OVERRIDE",$H$19)*1,"")))</f>
        <v/>
      </c>
      <c r="AD210" t="str">
        <f>IF(OR(AD$23="",ISNA($B210)),"",IF(ISBLANK($B210),"",IFERROR(_xll.BDP(TICKER,"DEEP_MEASURE_PERIOD_BROKER_VALUE","DEEP_MEASURE_ID_OVERRIDE",$C210,"DEEP_BROKER_ID_OVERRIDE",AD$24,"DEEP_PERIOD_OVERRIDE",$H$19)*1,"")))</f>
        <v/>
      </c>
      <c r="AE210" t="str">
        <f>IF(OR(AE$23="",ISNA($B210)),"",IF(ISBLANK($B210),"",IFERROR(_xll.BDP(TICKER,"DEEP_MEASURE_PERIOD_BROKER_VALUE","DEEP_MEASURE_ID_OVERRIDE",$C210,"DEEP_BROKER_ID_OVERRIDE",AE$24,"DEEP_PERIOD_OVERRIDE",$H$19)*1,"")))</f>
        <v/>
      </c>
      <c r="AF210" t="str">
        <f>IF(OR(AF$23="",ISNA($B210)),"",IF(ISBLANK($B210),"",IFERROR(_xll.BDP(TICKER,"DEEP_MEASURE_PERIOD_BROKER_VALUE","DEEP_MEASURE_ID_OVERRIDE",$C210,"DEEP_BROKER_ID_OVERRIDE",AF$24,"DEEP_PERIOD_OVERRIDE",$H$19)*1,"")))</f>
        <v/>
      </c>
      <c r="AG210" t="str">
        <f>IF(OR(AG$23="",ISNA($B210)),"",IF(ISBLANK($B210),"",IFERROR(_xll.BDP(TICKER,"DEEP_MEASURE_PERIOD_BROKER_VALUE","DEEP_MEASURE_ID_OVERRIDE",$C210,"DEEP_BROKER_ID_OVERRIDE",AG$24,"DEEP_PERIOD_OVERRIDE",$H$19)*1,"")))</f>
        <v/>
      </c>
      <c r="AH210" t="str">
        <f>IF(OR(AH$23="",ISNA($B210)),"",IF(ISBLANK($B210),"",IFERROR(_xll.BDP(TICKER,"DEEP_MEASURE_PERIOD_BROKER_VALUE","DEEP_MEASURE_ID_OVERRIDE",$C210,"DEEP_BROKER_ID_OVERRIDE",AH$24,"DEEP_PERIOD_OVERRIDE",$H$19)*1,"")))</f>
        <v/>
      </c>
      <c r="AI210" t="str">
        <f>IF(OR(AI$23="",ISNA($B210)),"",IF(ISBLANK($B210),"",IFERROR(_xll.BDP(TICKER,"DEEP_MEASURE_PERIOD_BROKER_VALUE","DEEP_MEASURE_ID_OVERRIDE",$C210,"DEEP_BROKER_ID_OVERRIDE",AI$24,"DEEP_PERIOD_OVERRIDE",$H$19)*1,"")))</f>
        <v/>
      </c>
      <c r="AJ210" t="str">
        <f>IF(OR(AJ$23="",ISNA($B210)),"",IF(ISBLANK($B210),"",IFERROR(_xll.BDP(TICKER,"DEEP_MEASURE_PERIOD_BROKER_VALUE","DEEP_MEASURE_ID_OVERRIDE",$C210,"DEEP_BROKER_ID_OVERRIDE",AJ$24,"DEEP_PERIOD_OVERRIDE",$H$19)*1,"")))</f>
        <v/>
      </c>
      <c r="AK210" t="str">
        <f>IF(OR(AK$23="",ISNA($B210)),"",IF(ISBLANK($B210),"",IFERROR(_xll.BDP(TICKER,"DEEP_MEASURE_PERIOD_BROKER_VALUE","DEEP_MEASURE_ID_OVERRIDE",$C210,"DEEP_BROKER_ID_OVERRIDE",AK$24,"DEEP_PERIOD_OVERRIDE",$H$19)*1,"")))</f>
        <v/>
      </c>
      <c r="AL210" t="str">
        <f>IF(OR(AL$23="",ISNA($B210)),"",IF(ISBLANK($B210),"",IFERROR(_xll.BDP(TICKER,"DEEP_MEASURE_PERIOD_BROKER_VALUE","DEEP_MEASURE_ID_OVERRIDE",$C210,"DEEP_BROKER_ID_OVERRIDE",AL$24,"DEEP_PERIOD_OVERRIDE",$H$19)*1,"")))</f>
        <v/>
      </c>
      <c r="AM210" t="str">
        <f>IF(OR(AM$23="",ISNA($B210)),"",IF(ISBLANK($B210),"",IFERROR(_xll.BDP(TICKER,"DEEP_MEASURE_PERIOD_BROKER_VALUE","DEEP_MEASURE_ID_OVERRIDE",$C210,"DEEP_BROKER_ID_OVERRIDE",AM$24,"DEEP_PERIOD_OVERRIDE",$H$19)*1,"")))</f>
        <v/>
      </c>
      <c r="AN210" t="str">
        <f>IF(OR(AN$23="",ISNA($B210)),"",IF(ISBLANK($B210),"",IFERROR(_xll.BDP(TICKER,"DEEP_MEASURE_PERIOD_BROKER_VALUE","DEEP_MEASURE_ID_OVERRIDE",$C210,"DEEP_BROKER_ID_OVERRIDE",AN$24,"DEEP_PERIOD_OVERRIDE",$H$19)*1,"")))</f>
        <v/>
      </c>
      <c r="AO210" t="str">
        <f>IF(OR(AO$23="",ISNA($B210)),"",IF(ISBLANK($B210),"",IFERROR(_xll.BDP(TICKER,"DEEP_MEASURE_PERIOD_BROKER_VALUE","DEEP_MEASURE_ID_OVERRIDE",$C210,"DEEP_BROKER_ID_OVERRIDE",AO$24,"DEEP_PERIOD_OVERRIDE",$H$19)*1,"")))</f>
        <v/>
      </c>
      <c r="AP210" t="str">
        <f>IF(OR(AP$23="",ISNA($B210)),"",IF(ISBLANK($B210),"",IFERROR(_xll.BDP(TICKER,"DEEP_MEASURE_PERIOD_BROKER_VALUE","DEEP_MEASURE_ID_OVERRIDE",$C210,"DEEP_BROKER_ID_OVERRIDE",AP$24,"DEEP_PERIOD_OVERRIDE",$H$19)*1,"")))</f>
        <v/>
      </c>
      <c r="AQ210" t="str">
        <f>IF(OR(AQ$23="",ISNA($B210)),"",IF(ISBLANK($B210),"",IFERROR(_xll.BDP(TICKER,"DEEP_MEASURE_PERIOD_BROKER_VALUE","DEEP_MEASURE_ID_OVERRIDE",$C210,"DEEP_BROKER_ID_OVERRIDE",AQ$24,"DEEP_PERIOD_OVERRIDE",$H$19)*1,"")))</f>
        <v/>
      </c>
      <c r="AR210" t="str">
        <f>IF(OR(AR$23="",ISNA($B210)),"",IF(ISBLANK($B210),"",IFERROR(_xll.BDP(TICKER,"DEEP_MEASURE_PERIOD_BROKER_VALUE","DEEP_MEASURE_ID_OVERRIDE",$C210,"DEEP_BROKER_ID_OVERRIDE",AR$24,"DEEP_PERIOD_OVERRIDE",$H$19)*1,"")))</f>
        <v/>
      </c>
      <c r="AS210" t="str">
        <f>IF(OR(AS$23="",ISNA($B210)),"",IF(ISBLANK($B210),"",IFERROR(_xll.BDP(TICKER,"DEEP_MEASURE_PERIOD_BROKER_VALUE","DEEP_MEASURE_ID_OVERRIDE",$C210,"DEEP_BROKER_ID_OVERRIDE",AS$24,"DEEP_PERIOD_OVERRIDE",$H$19)*1,"")))</f>
        <v/>
      </c>
      <c r="AT210" t="str">
        <f>IF(OR(AT$23="",ISNA($B210)),"",IF(ISBLANK($B210),"",IFERROR(_xll.BDP(TICKER,"DEEP_MEASURE_PERIOD_BROKER_VALUE","DEEP_MEASURE_ID_OVERRIDE",$C210,"DEEP_BROKER_ID_OVERRIDE",AT$24,"DEEP_PERIOD_OVERRIDE",$H$19)*1,"")))</f>
        <v/>
      </c>
      <c r="AU210" t="str">
        <f>IF(OR(AU$23="",ISNA($B210)),"",IF(ISBLANK($B210),"",IFERROR(_xll.BDP(TICKER,"DEEP_MEASURE_PERIOD_BROKER_VALUE","DEEP_MEASURE_ID_OVERRIDE",$C210,"DEEP_BROKER_ID_OVERRIDE",AU$24,"DEEP_PERIOD_OVERRIDE",$H$19)*1,"")))</f>
        <v/>
      </c>
      <c r="AV210" t="str">
        <f>IF(OR(AV$23="",ISNA($B210)),"",IF(ISBLANK($B210),"",IFERROR(_xll.BDP(TICKER,"DEEP_MEASURE_PERIOD_BROKER_VALUE","DEEP_MEASURE_ID_OVERRIDE",$C210,"DEEP_BROKER_ID_OVERRIDE",AV$24,"DEEP_PERIOD_OVERRIDE",$H$19)*1,"")))</f>
        <v/>
      </c>
      <c r="AW210" t="str">
        <f>IF(OR(AW$23="",ISNA($B210)),"",IF(ISBLANK($B210),"",IFERROR(_xll.BDP(TICKER,"DEEP_MEASURE_PERIOD_BROKER_VALUE","DEEP_MEASURE_ID_OVERRIDE",$C210,"DEEP_BROKER_ID_OVERRIDE",AW$24,"DEEP_PERIOD_OVERRIDE",$H$19)*1,"")))</f>
        <v/>
      </c>
      <c r="AX210" t="str">
        <f>IF(OR(AX$23="",ISNA($B210)),"",IF(ISBLANK($B210),"",IFERROR(_xll.BDP(TICKER,"DEEP_MEASURE_PERIOD_BROKER_VALUE","DEEP_MEASURE_ID_OVERRIDE",$C210,"DEEP_BROKER_ID_OVERRIDE",AX$24,"DEEP_PERIOD_OVERRIDE",$H$19)*1,"")))</f>
        <v/>
      </c>
      <c r="AY210" t="str">
        <f>IF(OR(AY$23="",ISNA($B210)),"",IF(ISBLANK($B210),"",IFERROR(_xll.BDP(TICKER,"DEEP_MEASURE_PERIOD_BROKER_VALUE","DEEP_MEASURE_ID_OVERRIDE",$C210,"DEEP_BROKER_ID_OVERRIDE",AY$24,"DEEP_PERIOD_OVERRIDE",$H$19)*1,"")))</f>
        <v/>
      </c>
      <c r="AZ210" t="str">
        <f>IF(OR(AZ$23="",ISNA($B210)),"",IF(ISBLANK($B210),"",IFERROR(_xll.BDP(TICKER,"DEEP_MEASURE_PERIOD_BROKER_VALUE","DEEP_MEASURE_ID_OVERRIDE",$C210,"DEEP_BROKER_ID_OVERRIDE",AZ$24,"DEEP_PERIOD_OVERRIDE",$H$19)*1,"")))</f>
        <v/>
      </c>
      <c r="BA210" t="str">
        <f>IF(OR(BA$23="",ISNA($B210)),"",IF(ISBLANK($B210),"",IFERROR(_xll.BDP(TICKER,"DEEP_MEASURE_PERIOD_BROKER_VALUE","DEEP_MEASURE_ID_OVERRIDE",$C210,"DEEP_BROKER_ID_OVERRIDE",BA$24,"DEEP_PERIOD_OVERRIDE",$H$19)*1,"")))</f>
        <v/>
      </c>
      <c r="BB210" t="str">
        <f>IF(OR(BB$23="",ISNA($B210)),"",IF(ISBLANK($B210),"",IFERROR(_xll.BDP(TICKER,"DEEP_MEASURE_PERIOD_BROKER_VALUE","DEEP_MEASURE_ID_OVERRIDE",$C210,"DEEP_BROKER_ID_OVERRIDE",BB$24,"DEEP_PERIOD_OVERRIDE",$H$19)*1,"")))</f>
        <v/>
      </c>
      <c r="BC210" t="str">
        <f>IF(OR(BC$23="",ISNA($B210)),"",IF(ISBLANK($B210),"",IFERROR(_xll.BDP(TICKER,"DEEP_MEASURE_PERIOD_BROKER_VALUE","DEEP_MEASURE_ID_OVERRIDE",$C210,"DEEP_BROKER_ID_OVERRIDE",BC$24,"DEEP_PERIOD_OVERRIDE",$H$19)*1,"")))</f>
        <v/>
      </c>
      <c r="BD210" t="str">
        <f>IF(OR(BD$23="",ISNA($B210)),"",IF(ISBLANK($B210),"",IFERROR(_xll.BDP(TICKER,"DEEP_MEASURE_PERIOD_BROKER_VALUE","DEEP_MEASURE_ID_OVERRIDE",$C210,"DEEP_BROKER_ID_OVERRIDE",BD$24,"DEEP_PERIOD_OVERRIDE",$H$19)*1,"")))</f>
        <v/>
      </c>
      <c r="BE210" t="str">
        <f>IF(OR(BE$23="",ISNA($B210)),"",IF(ISBLANK($B210),"",IFERROR(_xll.BDP(TICKER,"DEEP_MEASURE_PERIOD_BROKER_VALUE","DEEP_MEASURE_ID_OVERRIDE",$C210,"DEEP_BROKER_ID_OVERRIDE",BE$24,"DEEP_PERIOD_OVERRIDE",$H$19)*1,"")))</f>
        <v/>
      </c>
      <c r="BF210" t="str">
        <f>IF(OR(BF$23="",ISNA($B210)),"",IF(ISBLANK($B210),"",IFERROR(_xll.BDP(TICKER,"DEEP_MEASURE_PERIOD_BROKER_VALUE","DEEP_MEASURE_ID_OVERRIDE",$C210,"DEEP_BROKER_ID_OVERRIDE",BF$24,"DEEP_PERIOD_OVERRIDE",$H$19)*1,"")))</f>
        <v/>
      </c>
      <c r="BG210" t="str">
        <f>IF(OR(BG$23="",ISNA($B210)),"",IF(ISBLANK($B210),"",IFERROR(_xll.BDP(TICKER,"DEEP_MEASURE_PERIOD_BROKER_VALUE","DEEP_MEASURE_ID_OVERRIDE",$C210,"DEEP_BROKER_ID_OVERRIDE",BG$24,"DEEP_PERIOD_OVERRIDE",$H$19)*1,"")))</f>
        <v/>
      </c>
      <c r="BH210" t="str">
        <f>IF(OR(BH$23="",ISNA($B210)),"",IF(ISBLANK($B210),"",IFERROR(_xll.BDP(TICKER,"DEEP_MEASURE_PERIOD_BROKER_VALUE","DEEP_MEASURE_ID_OVERRIDE",$C210,"DEEP_BROKER_ID_OVERRIDE",BH$24,"DEEP_PERIOD_OVERRIDE",$H$19)*1,"")))</f>
        <v/>
      </c>
      <c r="BI210" t="str">
        <f>IF(OR(BI$23="",ISNA($B210)),"",IF(ISBLANK($B210),"",IFERROR(_xll.BDP(TICKER,"DEEP_MEASURE_PERIOD_BROKER_VALUE","DEEP_MEASURE_ID_OVERRIDE",$C210,"DEEP_BROKER_ID_OVERRIDE",BI$24,"DEEP_PERIOD_OVERRIDE",$H$19)*1,"")))</f>
        <v/>
      </c>
      <c r="BJ210" t="str">
        <f>IF(OR(BJ$23="",ISNA($B210)),"",IF(ISBLANK($B210),"",IFERROR(_xll.BDP(TICKER,"DEEP_MEASURE_PERIOD_BROKER_VALUE","DEEP_MEASURE_ID_OVERRIDE",$C210,"DEEP_BROKER_ID_OVERRIDE",BJ$24,"DEEP_PERIOD_OVERRIDE",$H$19)*1,"")))</f>
        <v/>
      </c>
      <c r="BK210" t="str">
        <f>IF(OR(BK$23="",ISNA($B210)),"",IF(ISBLANK($B210),"",IFERROR(_xll.BDP(TICKER,"DEEP_MEASURE_PERIOD_BROKER_VALUE","DEEP_MEASURE_ID_OVERRIDE",$C210,"DEEP_BROKER_ID_OVERRIDE",BK$24,"DEEP_PERIOD_OVERRIDE",$H$19)*1,"")))</f>
        <v/>
      </c>
      <c r="BL210" t="str">
        <f>IF(OR(BL$23="",ISNA($B210)),"",IF(ISBLANK($B210),"",IFERROR(_xll.BDP(TICKER,"DEEP_MEASURE_PERIOD_BROKER_VALUE","DEEP_MEASURE_ID_OVERRIDE",$C210,"DEEP_BROKER_ID_OVERRIDE",BL$24,"DEEP_PERIOD_OVERRIDE",$H$19)*1,"")))</f>
        <v/>
      </c>
      <c r="BM210" t="str">
        <f>IF(OR(BM$23="",ISNA($B210)),"",IF(ISBLANK($B210),"",IFERROR(_xll.BDP(TICKER,"DEEP_MEASURE_PERIOD_BROKER_VALUE","DEEP_MEASURE_ID_OVERRIDE",$C210,"DEEP_BROKER_ID_OVERRIDE",BM$24,"DEEP_PERIOD_OVERRIDE",$H$19)*1,"")))</f>
        <v/>
      </c>
      <c r="BN210" t="str">
        <f>IF(OR(BN$23="",ISNA($B210)),"",IF(ISBLANK($B210),"",IFERROR(_xll.BDP(TICKER,"DEEP_MEASURE_PERIOD_BROKER_VALUE","DEEP_MEASURE_ID_OVERRIDE",$C210,"DEEP_BROKER_ID_OVERRIDE",BN$24,"DEEP_PERIOD_OVERRIDE",$H$19)*1,"")))</f>
        <v/>
      </c>
      <c r="BO210" t="str">
        <f>IF(OR(BO$23="",ISNA($B210)),"",IF(ISBLANK($B210),"",IFERROR(_xll.BDP(TICKER,"DEEP_MEASURE_PERIOD_BROKER_VALUE","DEEP_MEASURE_ID_OVERRIDE",$C210,"DEEP_BROKER_ID_OVERRIDE",BO$24,"DEEP_PERIOD_OVERRIDE",$H$19)*1,"")))</f>
        <v/>
      </c>
      <c r="BP210" t="str">
        <f>IF(OR(BP$23="",ISNA($B210)),"",IF(ISBLANK($B210),"",IFERROR(_xll.BDP(TICKER,"DEEP_MEASURE_PERIOD_BROKER_VALUE","DEEP_MEASURE_ID_OVERRIDE",$C210,"DEEP_BROKER_ID_OVERRIDE",BP$24,"DEEP_PERIOD_OVERRIDE",$H$19)*1,"")))</f>
        <v/>
      </c>
      <c r="BQ210" t="str">
        <f>IF(OR(BQ$23="",ISNA($B210)),"",IF(ISBLANK($B210),"",IFERROR(_xll.BDP(TICKER,"DEEP_MEASURE_PERIOD_BROKER_VALUE","DEEP_MEASURE_ID_OVERRIDE",$C210,"DEEP_BROKER_ID_OVERRIDE",BQ$24,"DEEP_PERIOD_OVERRIDE",$H$19)*1,"")))</f>
        <v/>
      </c>
      <c r="BR210" t="str">
        <f>IF(OR(BR$23="",ISNA($B210)),"",IF(ISBLANK($B210),"",IFERROR(_xll.BDP(TICKER,"DEEP_MEASURE_PERIOD_BROKER_VALUE","DEEP_MEASURE_ID_OVERRIDE",$C210,"DEEP_BROKER_ID_OVERRIDE",BR$24,"DEEP_PERIOD_OVERRIDE",$H$19)*1,"")))</f>
        <v/>
      </c>
      <c r="BS210" t="str">
        <f>IF(OR(BS$23="",ISNA($B210)),"",IF(ISBLANK($B210),"",IFERROR(_xll.BDP(TICKER,"DEEP_MEASURE_PERIOD_BROKER_VALUE","DEEP_MEASURE_ID_OVERRIDE",$C210,"DEEP_BROKER_ID_OVERRIDE",BS$24,"DEEP_PERIOD_OVERRIDE",$H$19)*1,"")))</f>
        <v/>
      </c>
      <c r="BT210" t="str">
        <f>IF(OR(BT$23="",ISNA($B210)),"",IF(ISBLANK($B210),"",IFERROR(_xll.BDP(TICKER,"DEEP_MEASURE_PERIOD_BROKER_VALUE","DEEP_MEASURE_ID_OVERRIDE",$C210,"DEEP_BROKER_ID_OVERRIDE",BT$24,"DEEP_PERIOD_OVERRIDE",$H$19)*1,"")))</f>
        <v/>
      </c>
      <c r="BU210" t="str">
        <f>IF(OR(BU$23="",ISNA($B210)),"",IF(ISBLANK($B210),"",IFERROR(_xll.BDP(TICKER,"DEEP_MEASURE_PERIOD_BROKER_VALUE","DEEP_MEASURE_ID_OVERRIDE",$C210,"DEEP_BROKER_ID_OVERRIDE",BU$24,"DEEP_PERIOD_OVERRIDE",$H$19)*1,"")))</f>
        <v/>
      </c>
      <c r="BV210" t="str">
        <f>IF(OR(BV$23="",ISNA($B210)),"",IF(ISBLANK($B210),"",IFERROR(_xll.BDP(TICKER,"DEEP_MEASURE_PERIOD_BROKER_VALUE","DEEP_MEASURE_ID_OVERRIDE",$C210,"DEEP_BROKER_ID_OVERRIDE",BV$24,"DEEP_PERIOD_OVERRIDE",$H$19)*1,"")))</f>
        <v/>
      </c>
      <c r="BW210" t="str">
        <f>IF(OR(BW$23="",ISNA($B210)),"",IF(ISBLANK($B210),"",IFERROR(_xll.BDP(TICKER,"DEEP_MEASURE_PERIOD_BROKER_VALUE","DEEP_MEASURE_ID_OVERRIDE",$C210,"DEEP_BROKER_ID_OVERRIDE",BW$24,"DEEP_PERIOD_OVERRIDE",$H$19)*1,"")))</f>
        <v/>
      </c>
      <c r="BX210" t="str">
        <f>IF(OR(BX$23="",ISNA($B210)),"",IF(ISBLANK($B210),"",IFERROR(_xll.BDP(TICKER,"DEEP_MEASURE_PERIOD_BROKER_VALUE","DEEP_MEASURE_ID_OVERRIDE",$C210,"DEEP_BROKER_ID_OVERRIDE",BX$24,"DEEP_PERIOD_OVERRIDE",$H$19)*1,"")))</f>
        <v/>
      </c>
      <c r="BY210" t="str">
        <f>IF(OR(BY$23="",ISNA($B210)),"",IF(ISBLANK($B210),"",IFERROR(_xll.BDP(TICKER,"DEEP_MEASURE_PERIOD_BROKER_VALUE","DEEP_MEASURE_ID_OVERRIDE",$C210,"DEEP_BROKER_ID_OVERRIDE",BY$24,"DEEP_PERIOD_OVERRIDE",$H$19)*1,"")))</f>
        <v/>
      </c>
      <c r="BZ210" t="str">
        <f>IF(OR(BZ$23="",ISNA($B210)),"",IF(ISBLANK($B210),"",IFERROR(_xll.BDP(TICKER,"DEEP_MEASURE_PERIOD_BROKER_VALUE","DEEP_MEASURE_ID_OVERRIDE",$C210,"DEEP_BROKER_ID_OVERRIDE",BZ$24,"DEEP_PERIOD_OVERRIDE",$H$19)*1,"")))</f>
        <v/>
      </c>
    </row>
    <row r="211" spans="2:78" x14ac:dyDescent="0.25">
      <c r="B211" t="s">
        <v>212</v>
      </c>
      <c r="C211">
        <v>988</v>
      </c>
      <c r="H211" t="str">
        <f t="shared" si="3"/>
        <v>Cash from Financing Activities &gt; Proceeds from Exercise of Stock Options</v>
      </c>
      <c r="I211" t="str">
        <f>IF(OR(I$23="",ISNA($B211)),"",IF(ISBLANK($B211),"",IFERROR(_xll.BDP(TICKER,"DEEP_MEASURE_PERIOD_BROKER_VALUE","DEEP_MEASURE_ID_OVERRIDE",$C211,"DEEP_PERIOD_OVERRIDE",$H$19)*1,"")))</f>
        <v/>
      </c>
      <c r="J211" t="e">
        <f>IF(OR(J$23="",ISNA($B211)),"",IF(ISBLANK($B211),"",IFERROR(_xll.BDP(TICKER,"DEEP_MEASURE_PERIOD_BROKER_VALUE","DEEP_MEASURE_ID_OVERRIDE",$C211,"DEEP_BROKER_ID_OVERRIDE",J$24,"DEEP_PERIOD_OVERRIDE",$H$19)*1,"")))</f>
        <v>#REF!</v>
      </c>
      <c r="K211" t="str">
        <f>IF(OR(K$23="",ISNA($B211)),"",IF(ISBLANK($B211),"",IFERROR(_xll.BDP(TICKER,"DEEP_MEASURE_PERIOD_BROKER_VALUE","DEEP_MEASURE_ID_OVERRIDE",$C211,"DEEP_BROKER_ID_OVERRIDE",K$24,"DEEP_PERIOD_OVERRIDE",$H$19)*1,"")))</f>
        <v/>
      </c>
      <c r="L211" t="str">
        <f>IF(OR(L$23="",ISNA($B211)),"",IF(ISBLANK($B211),"",IFERROR(_xll.BDP(TICKER,"DEEP_MEASURE_PERIOD_BROKER_VALUE","DEEP_MEASURE_ID_OVERRIDE",$C211,"DEEP_BROKER_ID_OVERRIDE",L$24,"DEEP_PERIOD_OVERRIDE",$H$19)*1,"")))</f>
        <v/>
      </c>
      <c r="M211" t="str">
        <f>IF(OR(M$23="",ISNA($B211)),"",IF(ISBLANK($B211),"",IFERROR(_xll.BDP(TICKER,"DEEP_MEASURE_PERIOD_BROKER_VALUE","DEEP_MEASURE_ID_OVERRIDE",$C211,"DEEP_BROKER_ID_OVERRIDE",M$24,"DEEP_PERIOD_OVERRIDE",$H$19)*1,"")))</f>
        <v/>
      </c>
      <c r="N211" t="str">
        <f>IF(OR(N$23="",ISNA($B211)),"",IF(ISBLANK($B211),"",IFERROR(_xll.BDP(TICKER,"DEEP_MEASURE_PERIOD_BROKER_VALUE","DEEP_MEASURE_ID_OVERRIDE",$C211,"DEEP_BROKER_ID_OVERRIDE",N$24,"DEEP_PERIOD_OVERRIDE",$H$19)*1,"")))</f>
        <v/>
      </c>
      <c r="O211" t="str">
        <f>IF(OR(O$23="",ISNA($B211)),"",IF(ISBLANK($B211),"",IFERROR(_xll.BDP(TICKER,"DEEP_MEASURE_PERIOD_BROKER_VALUE","DEEP_MEASURE_ID_OVERRIDE",$C211,"DEEP_BROKER_ID_OVERRIDE",O$24,"DEEP_PERIOD_OVERRIDE",$H$19)*1,"")))</f>
        <v/>
      </c>
      <c r="P211" t="str">
        <f>IF(OR(P$23="",ISNA($B211)),"",IF(ISBLANK($B211),"",IFERROR(_xll.BDP(TICKER,"DEEP_MEASURE_PERIOD_BROKER_VALUE","DEEP_MEASURE_ID_OVERRIDE",$C211,"DEEP_BROKER_ID_OVERRIDE",P$24,"DEEP_PERIOD_OVERRIDE",$H$19)*1,"")))</f>
        <v/>
      </c>
      <c r="Q211" t="str">
        <f>IF(OR(Q$23="",ISNA($B211)),"",IF(ISBLANK($B211),"",IFERROR(_xll.BDP(TICKER,"DEEP_MEASURE_PERIOD_BROKER_VALUE","DEEP_MEASURE_ID_OVERRIDE",$C211,"DEEP_BROKER_ID_OVERRIDE",Q$24,"DEEP_PERIOD_OVERRIDE",$H$19)*1,"")))</f>
        <v/>
      </c>
      <c r="R211" t="str">
        <f>IF(OR(R$23="",ISNA($B211)),"",IF(ISBLANK($B211),"",IFERROR(_xll.BDP(TICKER,"DEEP_MEASURE_PERIOD_BROKER_VALUE","DEEP_MEASURE_ID_OVERRIDE",$C211,"DEEP_BROKER_ID_OVERRIDE",R$24,"DEEP_PERIOD_OVERRIDE",$H$19)*1,"")))</f>
        <v/>
      </c>
      <c r="S211" t="str">
        <f>IF(OR(S$23="",ISNA($B211)),"",IF(ISBLANK($B211),"",IFERROR(_xll.BDP(TICKER,"DEEP_MEASURE_PERIOD_BROKER_VALUE","DEEP_MEASURE_ID_OVERRIDE",$C211,"DEEP_BROKER_ID_OVERRIDE",S$24,"DEEP_PERIOD_OVERRIDE",$H$19)*1,"")))</f>
        <v/>
      </c>
      <c r="T211" t="str">
        <f>IF(OR(T$23="",ISNA($B211)),"",IF(ISBLANK($B211),"",IFERROR(_xll.BDP(TICKER,"DEEP_MEASURE_PERIOD_BROKER_VALUE","DEEP_MEASURE_ID_OVERRIDE",$C211,"DEEP_BROKER_ID_OVERRIDE",T$24,"DEEP_PERIOD_OVERRIDE",$H$19)*1,"")))</f>
        <v/>
      </c>
      <c r="U211" t="str">
        <f>IF(OR(U$23="",ISNA($B211)),"",IF(ISBLANK($B211),"",IFERROR(_xll.BDP(TICKER,"DEEP_MEASURE_PERIOD_BROKER_VALUE","DEEP_MEASURE_ID_OVERRIDE",$C211,"DEEP_BROKER_ID_OVERRIDE",U$24,"DEEP_PERIOD_OVERRIDE",$H$19)*1,"")))</f>
        <v/>
      </c>
      <c r="V211" t="str">
        <f>IF(OR(V$23="",ISNA($B211)),"",IF(ISBLANK($B211),"",IFERROR(_xll.BDP(TICKER,"DEEP_MEASURE_PERIOD_BROKER_VALUE","DEEP_MEASURE_ID_OVERRIDE",$C211,"DEEP_BROKER_ID_OVERRIDE",V$24,"DEEP_PERIOD_OVERRIDE",$H$19)*1,"")))</f>
        <v/>
      </c>
      <c r="W211" t="str">
        <f>IF(OR(W$23="",ISNA($B211)),"",IF(ISBLANK($B211),"",IFERROR(_xll.BDP(TICKER,"DEEP_MEASURE_PERIOD_BROKER_VALUE","DEEP_MEASURE_ID_OVERRIDE",$C211,"DEEP_BROKER_ID_OVERRIDE",W$24,"DEEP_PERIOD_OVERRIDE",$H$19)*1,"")))</f>
        <v/>
      </c>
      <c r="X211" t="str">
        <f>IF(OR(X$23="",ISNA($B211)),"",IF(ISBLANK($B211),"",IFERROR(_xll.BDP(TICKER,"DEEP_MEASURE_PERIOD_BROKER_VALUE","DEEP_MEASURE_ID_OVERRIDE",$C211,"DEEP_BROKER_ID_OVERRIDE",X$24,"DEEP_PERIOD_OVERRIDE",$H$19)*1,"")))</f>
        <v/>
      </c>
      <c r="Y211" t="str">
        <f>IF(OR(Y$23="",ISNA($B211)),"",IF(ISBLANK($B211),"",IFERROR(_xll.BDP(TICKER,"DEEP_MEASURE_PERIOD_BROKER_VALUE","DEEP_MEASURE_ID_OVERRIDE",$C211,"DEEP_BROKER_ID_OVERRIDE",Y$24,"DEEP_PERIOD_OVERRIDE",$H$19)*1,"")))</f>
        <v/>
      </c>
      <c r="Z211" t="str">
        <f>IF(OR(Z$23="",ISNA($B211)),"",IF(ISBLANK($B211),"",IFERROR(_xll.BDP(TICKER,"DEEP_MEASURE_PERIOD_BROKER_VALUE","DEEP_MEASURE_ID_OVERRIDE",$C211,"DEEP_BROKER_ID_OVERRIDE",Z$24,"DEEP_PERIOD_OVERRIDE",$H$19)*1,"")))</f>
        <v/>
      </c>
      <c r="AA211" t="str">
        <f>IF(OR(AA$23="",ISNA($B211)),"",IF(ISBLANK($B211),"",IFERROR(_xll.BDP(TICKER,"DEEP_MEASURE_PERIOD_BROKER_VALUE","DEEP_MEASURE_ID_OVERRIDE",$C211,"DEEP_BROKER_ID_OVERRIDE",AA$24,"DEEP_PERIOD_OVERRIDE",$H$19)*1,"")))</f>
        <v/>
      </c>
      <c r="AB211" t="str">
        <f>IF(OR(AB$23="",ISNA($B211)),"",IF(ISBLANK($B211),"",IFERROR(_xll.BDP(TICKER,"DEEP_MEASURE_PERIOD_BROKER_VALUE","DEEP_MEASURE_ID_OVERRIDE",$C211,"DEEP_BROKER_ID_OVERRIDE",AB$24,"DEEP_PERIOD_OVERRIDE",$H$19)*1,"")))</f>
        <v/>
      </c>
      <c r="AC211" t="str">
        <f>IF(OR(AC$23="",ISNA($B211)),"",IF(ISBLANK($B211),"",IFERROR(_xll.BDP(TICKER,"DEEP_MEASURE_PERIOD_BROKER_VALUE","DEEP_MEASURE_ID_OVERRIDE",$C211,"DEEP_BROKER_ID_OVERRIDE",AC$24,"DEEP_PERIOD_OVERRIDE",$H$19)*1,"")))</f>
        <v/>
      </c>
      <c r="AD211" t="str">
        <f>IF(OR(AD$23="",ISNA($B211)),"",IF(ISBLANK($B211),"",IFERROR(_xll.BDP(TICKER,"DEEP_MEASURE_PERIOD_BROKER_VALUE","DEEP_MEASURE_ID_OVERRIDE",$C211,"DEEP_BROKER_ID_OVERRIDE",AD$24,"DEEP_PERIOD_OVERRIDE",$H$19)*1,"")))</f>
        <v/>
      </c>
      <c r="AE211" t="str">
        <f>IF(OR(AE$23="",ISNA($B211)),"",IF(ISBLANK($B211),"",IFERROR(_xll.BDP(TICKER,"DEEP_MEASURE_PERIOD_BROKER_VALUE","DEEP_MEASURE_ID_OVERRIDE",$C211,"DEEP_BROKER_ID_OVERRIDE",AE$24,"DEEP_PERIOD_OVERRIDE",$H$19)*1,"")))</f>
        <v/>
      </c>
      <c r="AF211" t="str">
        <f>IF(OR(AF$23="",ISNA($B211)),"",IF(ISBLANK($B211),"",IFERROR(_xll.BDP(TICKER,"DEEP_MEASURE_PERIOD_BROKER_VALUE","DEEP_MEASURE_ID_OVERRIDE",$C211,"DEEP_BROKER_ID_OVERRIDE",AF$24,"DEEP_PERIOD_OVERRIDE",$H$19)*1,"")))</f>
        <v/>
      </c>
      <c r="AG211" t="str">
        <f>IF(OR(AG$23="",ISNA($B211)),"",IF(ISBLANK($B211),"",IFERROR(_xll.BDP(TICKER,"DEEP_MEASURE_PERIOD_BROKER_VALUE","DEEP_MEASURE_ID_OVERRIDE",$C211,"DEEP_BROKER_ID_OVERRIDE",AG$24,"DEEP_PERIOD_OVERRIDE",$H$19)*1,"")))</f>
        <v/>
      </c>
      <c r="AH211" t="str">
        <f>IF(OR(AH$23="",ISNA($B211)),"",IF(ISBLANK($B211),"",IFERROR(_xll.BDP(TICKER,"DEEP_MEASURE_PERIOD_BROKER_VALUE","DEEP_MEASURE_ID_OVERRIDE",$C211,"DEEP_BROKER_ID_OVERRIDE",AH$24,"DEEP_PERIOD_OVERRIDE",$H$19)*1,"")))</f>
        <v/>
      </c>
      <c r="AI211" t="str">
        <f>IF(OR(AI$23="",ISNA($B211)),"",IF(ISBLANK($B211),"",IFERROR(_xll.BDP(TICKER,"DEEP_MEASURE_PERIOD_BROKER_VALUE","DEEP_MEASURE_ID_OVERRIDE",$C211,"DEEP_BROKER_ID_OVERRIDE",AI$24,"DEEP_PERIOD_OVERRIDE",$H$19)*1,"")))</f>
        <v/>
      </c>
      <c r="AJ211" t="str">
        <f>IF(OR(AJ$23="",ISNA($B211)),"",IF(ISBLANK($B211),"",IFERROR(_xll.BDP(TICKER,"DEEP_MEASURE_PERIOD_BROKER_VALUE","DEEP_MEASURE_ID_OVERRIDE",$C211,"DEEP_BROKER_ID_OVERRIDE",AJ$24,"DEEP_PERIOD_OVERRIDE",$H$19)*1,"")))</f>
        <v/>
      </c>
      <c r="AK211" t="str">
        <f>IF(OR(AK$23="",ISNA($B211)),"",IF(ISBLANK($B211),"",IFERROR(_xll.BDP(TICKER,"DEEP_MEASURE_PERIOD_BROKER_VALUE","DEEP_MEASURE_ID_OVERRIDE",$C211,"DEEP_BROKER_ID_OVERRIDE",AK$24,"DEEP_PERIOD_OVERRIDE",$H$19)*1,"")))</f>
        <v/>
      </c>
      <c r="AL211" t="str">
        <f>IF(OR(AL$23="",ISNA($B211)),"",IF(ISBLANK($B211),"",IFERROR(_xll.BDP(TICKER,"DEEP_MEASURE_PERIOD_BROKER_VALUE","DEEP_MEASURE_ID_OVERRIDE",$C211,"DEEP_BROKER_ID_OVERRIDE",AL$24,"DEEP_PERIOD_OVERRIDE",$H$19)*1,"")))</f>
        <v/>
      </c>
      <c r="AM211" t="str">
        <f>IF(OR(AM$23="",ISNA($B211)),"",IF(ISBLANK($B211),"",IFERROR(_xll.BDP(TICKER,"DEEP_MEASURE_PERIOD_BROKER_VALUE","DEEP_MEASURE_ID_OVERRIDE",$C211,"DEEP_BROKER_ID_OVERRIDE",AM$24,"DEEP_PERIOD_OVERRIDE",$H$19)*1,"")))</f>
        <v/>
      </c>
      <c r="AN211" t="str">
        <f>IF(OR(AN$23="",ISNA($B211)),"",IF(ISBLANK($B211),"",IFERROR(_xll.BDP(TICKER,"DEEP_MEASURE_PERIOD_BROKER_VALUE","DEEP_MEASURE_ID_OVERRIDE",$C211,"DEEP_BROKER_ID_OVERRIDE",AN$24,"DEEP_PERIOD_OVERRIDE",$H$19)*1,"")))</f>
        <v/>
      </c>
      <c r="AO211" t="str">
        <f>IF(OR(AO$23="",ISNA($B211)),"",IF(ISBLANK($B211),"",IFERROR(_xll.BDP(TICKER,"DEEP_MEASURE_PERIOD_BROKER_VALUE","DEEP_MEASURE_ID_OVERRIDE",$C211,"DEEP_BROKER_ID_OVERRIDE",AO$24,"DEEP_PERIOD_OVERRIDE",$H$19)*1,"")))</f>
        <v/>
      </c>
      <c r="AP211" t="str">
        <f>IF(OR(AP$23="",ISNA($B211)),"",IF(ISBLANK($B211),"",IFERROR(_xll.BDP(TICKER,"DEEP_MEASURE_PERIOD_BROKER_VALUE","DEEP_MEASURE_ID_OVERRIDE",$C211,"DEEP_BROKER_ID_OVERRIDE",AP$24,"DEEP_PERIOD_OVERRIDE",$H$19)*1,"")))</f>
        <v/>
      </c>
      <c r="AQ211" t="str">
        <f>IF(OR(AQ$23="",ISNA($B211)),"",IF(ISBLANK($B211),"",IFERROR(_xll.BDP(TICKER,"DEEP_MEASURE_PERIOD_BROKER_VALUE","DEEP_MEASURE_ID_OVERRIDE",$C211,"DEEP_BROKER_ID_OVERRIDE",AQ$24,"DEEP_PERIOD_OVERRIDE",$H$19)*1,"")))</f>
        <v/>
      </c>
      <c r="AR211" t="str">
        <f>IF(OR(AR$23="",ISNA($B211)),"",IF(ISBLANK($B211),"",IFERROR(_xll.BDP(TICKER,"DEEP_MEASURE_PERIOD_BROKER_VALUE","DEEP_MEASURE_ID_OVERRIDE",$C211,"DEEP_BROKER_ID_OVERRIDE",AR$24,"DEEP_PERIOD_OVERRIDE",$H$19)*1,"")))</f>
        <v/>
      </c>
      <c r="AS211" t="str">
        <f>IF(OR(AS$23="",ISNA($B211)),"",IF(ISBLANK($B211),"",IFERROR(_xll.BDP(TICKER,"DEEP_MEASURE_PERIOD_BROKER_VALUE","DEEP_MEASURE_ID_OVERRIDE",$C211,"DEEP_BROKER_ID_OVERRIDE",AS$24,"DEEP_PERIOD_OVERRIDE",$H$19)*1,"")))</f>
        <v/>
      </c>
      <c r="AT211" t="str">
        <f>IF(OR(AT$23="",ISNA($B211)),"",IF(ISBLANK($B211),"",IFERROR(_xll.BDP(TICKER,"DEEP_MEASURE_PERIOD_BROKER_VALUE","DEEP_MEASURE_ID_OVERRIDE",$C211,"DEEP_BROKER_ID_OVERRIDE",AT$24,"DEEP_PERIOD_OVERRIDE",$H$19)*1,"")))</f>
        <v/>
      </c>
      <c r="AU211" t="str">
        <f>IF(OR(AU$23="",ISNA($B211)),"",IF(ISBLANK($B211),"",IFERROR(_xll.BDP(TICKER,"DEEP_MEASURE_PERIOD_BROKER_VALUE","DEEP_MEASURE_ID_OVERRIDE",$C211,"DEEP_BROKER_ID_OVERRIDE",AU$24,"DEEP_PERIOD_OVERRIDE",$H$19)*1,"")))</f>
        <v/>
      </c>
      <c r="AV211" t="str">
        <f>IF(OR(AV$23="",ISNA($B211)),"",IF(ISBLANK($B211),"",IFERROR(_xll.BDP(TICKER,"DEEP_MEASURE_PERIOD_BROKER_VALUE","DEEP_MEASURE_ID_OVERRIDE",$C211,"DEEP_BROKER_ID_OVERRIDE",AV$24,"DEEP_PERIOD_OVERRIDE",$H$19)*1,"")))</f>
        <v/>
      </c>
      <c r="AW211" t="str">
        <f>IF(OR(AW$23="",ISNA($B211)),"",IF(ISBLANK($B211),"",IFERROR(_xll.BDP(TICKER,"DEEP_MEASURE_PERIOD_BROKER_VALUE","DEEP_MEASURE_ID_OVERRIDE",$C211,"DEEP_BROKER_ID_OVERRIDE",AW$24,"DEEP_PERIOD_OVERRIDE",$H$19)*1,"")))</f>
        <v/>
      </c>
      <c r="AX211" t="str">
        <f>IF(OR(AX$23="",ISNA($B211)),"",IF(ISBLANK($B211),"",IFERROR(_xll.BDP(TICKER,"DEEP_MEASURE_PERIOD_BROKER_VALUE","DEEP_MEASURE_ID_OVERRIDE",$C211,"DEEP_BROKER_ID_OVERRIDE",AX$24,"DEEP_PERIOD_OVERRIDE",$H$19)*1,"")))</f>
        <v/>
      </c>
      <c r="AY211" t="str">
        <f>IF(OR(AY$23="",ISNA($B211)),"",IF(ISBLANK($B211),"",IFERROR(_xll.BDP(TICKER,"DEEP_MEASURE_PERIOD_BROKER_VALUE","DEEP_MEASURE_ID_OVERRIDE",$C211,"DEEP_BROKER_ID_OVERRIDE",AY$24,"DEEP_PERIOD_OVERRIDE",$H$19)*1,"")))</f>
        <v/>
      </c>
      <c r="AZ211" t="str">
        <f>IF(OR(AZ$23="",ISNA($B211)),"",IF(ISBLANK($B211),"",IFERROR(_xll.BDP(TICKER,"DEEP_MEASURE_PERIOD_BROKER_VALUE","DEEP_MEASURE_ID_OVERRIDE",$C211,"DEEP_BROKER_ID_OVERRIDE",AZ$24,"DEEP_PERIOD_OVERRIDE",$H$19)*1,"")))</f>
        <v/>
      </c>
      <c r="BA211" t="str">
        <f>IF(OR(BA$23="",ISNA($B211)),"",IF(ISBLANK($B211),"",IFERROR(_xll.BDP(TICKER,"DEEP_MEASURE_PERIOD_BROKER_VALUE","DEEP_MEASURE_ID_OVERRIDE",$C211,"DEEP_BROKER_ID_OVERRIDE",BA$24,"DEEP_PERIOD_OVERRIDE",$H$19)*1,"")))</f>
        <v/>
      </c>
      <c r="BB211" t="str">
        <f>IF(OR(BB$23="",ISNA($B211)),"",IF(ISBLANK($B211),"",IFERROR(_xll.BDP(TICKER,"DEEP_MEASURE_PERIOD_BROKER_VALUE","DEEP_MEASURE_ID_OVERRIDE",$C211,"DEEP_BROKER_ID_OVERRIDE",BB$24,"DEEP_PERIOD_OVERRIDE",$H$19)*1,"")))</f>
        <v/>
      </c>
      <c r="BC211" t="str">
        <f>IF(OR(BC$23="",ISNA($B211)),"",IF(ISBLANK($B211),"",IFERROR(_xll.BDP(TICKER,"DEEP_MEASURE_PERIOD_BROKER_VALUE","DEEP_MEASURE_ID_OVERRIDE",$C211,"DEEP_BROKER_ID_OVERRIDE",BC$24,"DEEP_PERIOD_OVERRIDE",$H$19)*1,"")))</f>
        <v/>
      </c>
      <c r="BD211" t="str">
        <f>IF(OR(BD$23="",ISNA($B211)),"",IF(ISBLANK($B211),"",IFERROR(_xll.BDP(TICKER,"DEEP_MEASURE_PERIOD_BROKER_VALUE","DEEP_MEASURE_ID_OVERRIDE",$C211,"DEEP_BROKER_ID_OVERRIDE",BD$24,"DEEP_PERIOD_OVERRIDE",$H$19)*1,"")))</f>
        <v/>
      </c>
      <c r="BE211" t="str">
        <f>IF(OR(BE$23="",ISNA($B211)),"",IF(ISBLANK($B211),"",IFERROR(_xll.BDP(TICKER,"DEEP_MEASURE_PERIOD_BROKER_VALUE","DEEP_MEASURE_ID_OVERRIDE",$C211,"DEEP_BROKER_ID_OVERRIDE",BE$24,"DEEP_PERIOD_OVERRIDE",$H$19)*1,"")))</f>
        <v/>
      </c>
      <c r="BF211" t="str">
        <f>IF(OR(BF$23="",ISNA($B211)),"",IF(ISBLANK($B211),"",IFERROR(_xll.BDP(TICKER,"DEEP_MEASURE_PERIOD_BROKER_VALUE","DEEP_MEASURE_ID_OVERRIDE",$C211,"DEEP_BROKER_ID_OVERRIDE",BF$24,"DEEP_PERIOD_OVERRIDE",$H$19)*1,"")))</f>
        <v/>
      </c>
      <c r="BG211" t="str">
        <f>IF(OR(BG$23="",ISNA($B211)),"",IF(ISBLANK($B211),"",IFERROR(_xll.BDP(TICKER,"DEEP_MEASURE_PERIOD_BROKER_VALUE","DEEP_MEASURE_ID_OVERRIDE",$C211,"DEEP_BROKER_ID_OVERRIDE",BG$24,"DEEP_PERIOD_OVERRIDE",$H$19)*1,"")))</f>
        <v/>
      </c>
      <c r="BH211" t="str">
        <f>IF(OR(BH$23="",ISNA($B211)),"",IF(ISBLANK($B211),"",IFERROR(_xll.BDP(TICKER,"DEEP_MEASURE_PERIOD_BROKER_VALUE","DEEP_MEASURE_ID_OVERRIDE",$C211,"DEEP_BROKER_ID_OVERRIDE",BH$24,"DEEP_PERIOD_OVERRIDE",$H$19)*1,"")))</f>
        <v/>
      </c>
      <c r="BI211" t="str">
        <f>IF(OR(BI$23="",ISNA($B211)),"",IF(ISBLANK($B211),"",IFERROR(_xll.BDP(TICKER,"DEEP_MEASURE_PERIOD_BROKER_VALUE","DEEP_MEASURE_ID_OVERRIDE",$C211,"DEEP_BROKER_ID_OVERRIDE",BI$24,"DEEP_PERIOD_OVERRIDE",$H$19)*1,"")))</f>
        <v/>
      </c>
      <c r="BJ211" t="str">
        <f>IF(OR(BJ$23="",ISNA($B211)),"",IF(ISBLANK($B211),"",IFERROR(_xll.BDP(TICKER,"DEEP_MEASURE_PERIOD_BROKER_VALUE","DEEP_MEASURE_ID_OVERRIDE",$C211,"DEEP_BROKER_ID_OVERRIDE",BJ$24,"DEEP_PERIOD_OVERRIDE",$H$19)*1,"")))</f>
        <v/>
      </c>
      <c r="BK211" t="str">
        <f>IF(OR(BK$23="",ISNA($B211)),"",IF(ISBLANK($B211),"",IFERROR(_xll.BDP(TICKER,"DEEP_MEASURE_PERIOD_BROKER_VALUE","DEEP_MEASURE_ID_OVERRIDE",$C211,"DEEP_BROKER_ID_OVERRIDE",BK$24,"DEEP_PERIOD_OVERRIDE",$H$19)*1,"")))</f>
        <v/>
      </c>
      <c r="BL211" t="str">
        <f>IF(OR(BL$23="",ISNA($B211)),"",IF(ISBLANK($B211),"",IFERROR(_xll.BDP(TICKER,"DEEP_MEASURE_PERIOD_BROKER_VALUE","DEEP_MEASURE_ID_OVERRIDE",$C211,"DEEP_BROKER_ID_OVERRIDE",BL$24,"DEEP_PERIOD_OVERRIDE",$H$19)*1,"")))</f>
        <v/>
      </c>
      <c r="BM211" t="str">
        <f>IF(OR(BM$23="",ISNA($B211)),"",IF(ISBLANK($B211),"",IFERROR(_xll.BDP(TICKER,"DEEP_MEASURE_PERIOD_BROKER_VALUE","DEEP_MEASURE_ID_OVERRIDE",$C211,"DEEP_BROKER_ID_OVERRIDE",BM$24,"DEEP_PERIOD_OVERRIDE",$H$19)*1,"")))</f>
        <v/>
      </c>
      <c r="BN211" t="str">
        <f>IF(OR(BN$23="",ISNA($B211)),"",IF(ISBLANK($B211),"",IFERROR(_xll.BDP(TICKER,"DEEP_MEASURE_PERIOD_BROKER_VALUE","DEEP_MEASURE_ID_OVERRIDE",$C211,"DEEP_BROKER_ID_OVERRIDE",BN$24,"DEEP_PERIOD_OVERRIDE",$H$19)*1,"")))</f>
        <v/>
      </c>
      <c r="BO211" t="str">
        <f>IF(OR(BO$23="",ISNA($B211)),"",IF(ISBLANK($B211),"",IFERROR(_xll.BDP(TICKER,"DEEP_MEASURE_PERIOD_BROKER_VALUE","DEEP_MEASURE_ID_OVERRIDE",$C211,"DEEP_BROKER_ID_OVERRIDE",BO$24,"DEEP_PERIOD_OVERRIDE",$H$19)*1,"")))</f>
        <v/>
      </c>
      <c r="BP211" t="str">
        <f>IF(OR(BP$23="",ISNA($B211)),"",IF(ISBLANK($B211),"",IFERROR(_xll.BDP(TICKER,"DEEP_MEASURE_PERIOD_BROKER_VALUE","DEEP_MEASURE_ID_OVERRIDE",$C211,"DEEP_BROKER_ID_OVERRIDE",BP$24,"DEEP_PERIOD_OVERRIDE",$H$19)*1,"")))</f>
        <v/>
      </c>
      <c r="BQ211" t="str">
        <f>IF(OR(BQ$23="",ISNA($B211)),"",IF(ISBLANK($B211),"",IFERROR(_xll.BDP(TICKER,"DEEP_MEASURE_PERIOD_BROKER_VALUE","DEEP_MEASURE_ID_OVERRIDE",$C211,"DEEP_BROKER_ID_OVERRIDE",BQ$24,"DEEP_PERIOD_OVERRIDE",$H$19)*1,"")))</f>
        <v/>
      </c>
      <c r="BR211" t="str">
        <f>IF(OR(BR$23="",ISNA($B211)),"",IF(ISBLANK($B211),"",IFERROR(_xll.BDP(TICKER,"DEEP_MEASURE_PERIOD_BROKER_VALUE","DEEP_MEASURE_ID_OVERRIDE",$C211,"DEEP_BROKER_ID_OVERRIDE",BR$24,"DEEP_PERIOD_OVERRIDE",$H$19)*1,"")))</f>
        <v/>
      </c>
      <c r="BS211" t="str">
        <f>IF(OR(BS$23="",ISNA($B211)),"",IF(ISBLANK($B211),"",IFERROR(_xll.BDP(TICKER,"DEEP_MEASURE_PERIOD_BROKER_VALUE","DEEP_MEASURE_ID_OVERRIDE",$C211,"DEEP_BROKER_ID_OVERRIDE",BS$24,"DEEP_PERIOD_OVERRIDE",$H$19)*1,"")))</f>
        <v/>
      </c>
      <c r="BT211" t="str">
        <f>IF(OR(BT$23="",ISNA($B211)),"",IF(ISBLANK($B211),"",IFERROR(_xll.BDP(TICKER,"DEEP_MEASURE_PERIOD_BROKER_VALUE","DEEP_MEASURE_ID_OVERRIDE",$C211,"DEEP_BROKER_ID_OVERRIDE",BT$24,"DEEP_PERIOD_OVERRIDE",$H$19)*1,"")))</f>
        <v/>
      </c>
      <c r="BU211" t="str">
        <f>IF(OR(BU$23="",ISNA($B211)),"",IF(ISBLANK($B211),"",IFERROR(_xll.BDP(TICKER,"DEEP_MEASURE_PERIOD_BROKER_VALUE","DEEP_MEASURE_ID_OVERRIDE",$C211,"DEEP_BROKER_ID_OVERRIDE",BU$24,"DEEP_PERIOD_OVERRIDE",$H$19)*1,"")))</f>
        <v/>
      </c>
      <c r="BV211" t="str">
        <f>IF(OR(BV$23="",ISNA($B211)),"",IF(ISBLANK($B211),"",IFERROR(_xll.BDP(TICKER,"DEEP_MEASURE_PERIOD_BROKER_VALUE","DEEP_MEASURE_ID_OVERRIDE",$C211,"DEEP_BROKER_ID_OVERRIDE",BV$24,"DEEP_PERIOD_OVERRIDE",$H$19)*1,"")))</f>
        <v/>
      </c>
      <c r="BW211" t="str">
        <f>IF(OR(BW$23="",ISNA($B211)),"",IF(ISBLANK($B211),"",IFERROR(_xll.BDP(TICKER,"DEEP_MEASURE_PERIOD_BROKER_VALUE","DEEP_MEASURE_ID_OVERRIDE",$C211,"DEEP_BROKER_ID_OVERRIDE",BW$24,"DEEP_PERIOD_OVERRIDE",$H$19)*1,"")))</f>
        <v/>
      </c>
      <c r="BX211" t="str">
        <f>IF(OR(BX$23="",ISNA($B211)),"",IF(ISBLANK($B211),"",IFERROR(_xll.BDP(TICKER,"DEEP_MEASURE_PERIOD_BROKER_VALUE","DEEP_MEASURE_ID_OVERRIDE",$C211,"DEEP_BROKER_ID_OVERRIDE",BX$24,"DEEP_PERIOD_OVERRIDE",$H$19)*1,"")))</f>
        <v/>
      </c>
      <c r="BY211" t="str">
        <f>IF(OR(BY$23="",ISNA($B211)),"",IF(ISBLANK($B211),"",IFERROR(_xll.BDP(TICKER,"DEEP_MEASURE_PERIOD_BROKER_VALUE","DEEP_MEASURE_ID_OVERRIDE",$C211,"DEEP_BROKER_ID_OVERRIDE",BY$24,"DEEP_PERIOD_OVERRIDE",$H$19)*1,"")))</f>
        <v/>
      </c>
      <c r="BZ211" t="str">
        <f>IF(OR(BZ$23="",ISNA($B211)),"",IF(ISBLANK($B211),"",IFERROR(_xll.BDP(TICKER,"DEEP_MEASURE_PERIOD_BROKER_VALUE","DEEP_MEASURE_ID_OVERRIDE",$C211,"DEEP_BROKER_ID_OVERRIDE",BZ$24,"DEEP_PERIOD_OVERRIDE",$H$19)*1,"")))</f>
        <v/>
      </c>
    </row>
    <row r="212" spans="2:78" x14ac:dyDescent="0.25">
      <c r="B212" t="s">
        <v>213</v>
      </c>
      <c r="C212">
        <v>5681</v>
      </c>
      <c r="H212" t="str">
        <f t="shared" si="3"/>
        <v>Cash from Financing Activities &gt; Purchases of Marketable Securities</v>
      </c>
      <c r="I212" t="str">
        <f>IF(OR(I$23="",ISNA($B212)),"",IF(ISBLANK($B212),"",IFERROR(_xll.BDP(TICKER,"DEEP_MEASURE_PERIOD_BROKER_VALUE","DEEP_MEASURE_ID_OVERRIDE",$C212,"DEEP_PERIOD_OVERRIDE",$H$19)*1,"")))</f>
        <v/>
      </c>
      <c r="J212" t="e">
        <f>IF(OR(J$23="",ISNA($B212)),"",IF(ISBLANK($B212),"",IFERROR(_xll.BDP(TICKER,"DEEP_MEASURE_PERIOD_BROKER_VALUE","DEEP_MEASURE_ID_OVERRIDE",$C212,"DEEP_BROKER_ID_OVERRIDE",J$24,"DEEP_PERIOD_OVERRIDE",$H$19)*1,"")))</f>
        <v>#REF!</v>
      </c>
      <c r="K212" t="str">
        <f>IF(OR(K$23="",ISNA($B212)),"",IF(ISBLANK($B212),"",IFERROR(_xll.BDP(TICKER,"DEEP_MEASURE_PERIOD_BROKER_VALUE","DEEP_MEASURE_ID_OVERRIDE",$C212,"DEEP_BROKER_ID_OVERRIDE",K$24,"DEEP_PERIOD_OVERRIDE",$H$19)*1,"")))</f>
        <v/>
      </c>
      <c r="L212" t="str">
        <f>IF(OR(L$23="",ISNA($B212)),"",IF(ISBLANK($B212),"",IFERROR(_xll.BDP(TICKER,"DEEP_MEASURE_PERIOD_BROKER_VALUE","DEEP_MEASURE_ID_OVERRIDE",$C212,"DEEP_BROKER_ID_OVERRIDE",L$24,"DEEP_PERIOD_OVERRIDE",$H$19)*1,"")))</f>
        <v/>
      </c>
      <c r="M212" t="str">
        <f>IF(OR(M$23="",ISNA($B212)),"",IF(ISBLANK($B212),"",IFERROR(_xll.BDP(TICKER,"DEEP_MEASURE_PERIOD_BROKER_VALUE","DEEP_MEASURE_ID_OVERRIDE",$C212,"DEEP_BROKER_ID_OVERRIDE",M$24,"DEEP_PERIOD_OVERRIDE",$H$19)*1,"")))</f>
        <v/>
      </c>
      <c r="N212" t="str">
        <f>IF(OR(N$23="",ISNA($B212)),"",IF(ISBLANK($B212),"",IFERROR(_xll.BDP(TICKER,"DEEP_MEASURE_PERIOD_BROKER_VALUE","DEEP_MEASURE_ID_OVERRIDE",$C212,"DEEP_BROKER_ID_OVERRIDE",N$24,"DEEP_PERIOD_OVERRIDE",$H$19)*1,"")))</f>
        <v/>
      </c>
      <c r="O212" t="str">
        <f>IF(OR(O$23="",ISNA($B212)),"",IF(ISBLANK($B212),"",IFERROR(_xll.BDP(TICKER,"DEEP_MEASURE_PERIOD_BROKER_VALUE","DEEP_MEASURE_ID_OVERRIDE",$C212,"DEEP_BROKER_ID_OVERRIDE",O$24,"DEEP_PERIOD_OVERRIDE",$H$19)*1,"")))</f>
        <v/>
      </c>
      <c r="P212" t="str">
        <f>IF(OR(P$23="",ISNA($B212)),"",IF(ISBLANK($B212),"",IFERROR(_xll.BDP(TICKER,"DEEP_MEASURE_PERIOD_BROKER_VALUE","DEEP_MEASURE_ID_OVERRIDE",$C212,"DEEP_BROKER_ID_OVERRIDE",P$24,"DEEP_PERIOD_OVERRIDE",$H$19)*1,"")))</f>
        <v/>
      </c>
      <c r="Q212" t="str">
        <f>IF(OR(Q$23="",ISNA($B212)),"",IF(ISBLANK($B212),"",IFERROR(_xll.BDP(TICKER,"DEEP_MEASURE_PERIOD_BROKER_VALUE","DEEP_MEASURE_ID_OVERRIDE",$C212,"DEEP_BROKER_ID_OVERRIDE",Q$24,"DEEP_PERIOD_OVERRIDE",$H$19)*1,"")))</f>
        <v/>
      </c>
      <c r="R212" t="str">
        <f>IF(OR(R$23="",ISNA($B212)),"",IF(ISBLANK($B212),"",IFERROR(_xll.BDP(TICKER,"DEEP_MEASURE_PERIOD_BROKER_VALUE","DEEP_MEASURE_ID_OVERRIDE",$C212,"DEEP_BROKER_ID_OVERRIDE",R$24,"DEEP_PERIOD_OVERRIDE",$H$19)*1,"")))</f>
        <v/>
      </c>
      <c r="S212" t="str">
        <f>IF(OR(S$23="",ISNA($B212)),"",IF(ISBLANK($B212),"",IFERROR(_xll.BDP(TICKER,"DEEP_MEASURE_PERIOD_BROKER_VALUE","DEEP_MEASURE_ID_OVERRIDE",$C212,"DEEP_BROKER_ID_OVERRIDE",S$24,"DEEP_PERIOD_OVERRIDE",$H$19)*1,"")))</f>
        <v/>
      </c>
      <c r="T212" t="str">
        <f>IF(OR(T$23="",ISNA($B212)),"",IF(ISBLANK($B212),"",IFERROR(_xll.BDP(TICKER,"DEEP_MEASURE_PERIOD_BROKER_VALUE","DEEP_MEASURE_ID_OVERRIDE",$C212,"DEEP_BROKER_ID_OVERRIDE",T$24,"DEEP_PERIOD_OVERRIDE",$H$19)*1,"")))</f>
        <v/>
      </c>
      <c r="U212" t="str">
        <f>IF(OR(U$23="",ISNA($B212)),"",IF(ISBLANK($B212),"",IFERROR(_xll.BDP(TICKER,"DEEP_MEASURE_PERIOD_BROKER_VALUE","DEEP_MEASURE_ID_OVERRIDE",$C212,"DEEP_BROKER_ID_OVERRIDE",U$24,"DEEP_PERIOD_OVERRIDE",$H$19)*1,"")))</f>
        <v/>
      </c>
      <c r="V212" t="str">
        <f>IF(OR(V$23="",ISNA($B212)),"",IF(ISBLANK($B212),"",IFERROR(_xll.BDP(TICKER,"DEEP_MEASURE_PERIOD_BROKER_VALUE","DEEP_MEASURE_ID_OVERRIDE",$C212,"DEEP_BROKER_ID_OVERRIDE",V$24,"DEEP_PERIOD_OVERRIDE",$H$19)*1,"")))</f>
        <v/>
      </c>
      <c r="W212" t="str">
        <f>IF(OR(W$23="",ISNA($B212)),"",IF(ISBLANK($B212),"",IFERROR(_xll.BDP(TICKER,"DEEP_MEASURE_PERIOD_BROKER_VALUE","DEEP_MEASURE_ID_OVERRIDE",$C212,"DEEP_BROKER_ID_OVERRIDE",W$24,"DEEP_PERIOD_OVERRIDE",$H$19)*1,"")))</f>
        <v/>
      </c>
      <c r="X212" t="str">
        <f>IF(OR(X$23="",ISNA($B212)),"",IF(ISBLANK($B212),"",IFERROR(_xll.BDP(TICKER,"DEEP_MEASURE_PERIOD_BROKER_VALUE","DEEP_MEASURE_ID_OVERRIDE",$C212,"DEEP_BROKER_ID_OVERRIDE",X$24,"DEEP_PERIOD_OVERRIDE",$H$19)*1,"")))</f>
        <v/>
      </c>
      <c r="Y212" t="str">
        <f>IF(OR(Y$23="",ISNA($B212)),"",IF(ISBLANK($B212),"",IFERROR(_xll.BDP(TICKER,"DEEP_MEASURE_PERIOD_BROKER_VALUE","DEEP_MEASURE_ID_OVERRIDE",$C212,"DEEP_BROKER_ID_OVERRIDE",Y$24,"DEEP_PERIOD_OVERRIDE",$H$19)*1,"")))</f>
        <v/>
      </c>
      <c r="Z212" t="str">
        <f>IF(OR(Z$23="",ISNA($B212)),"",IF(ISBLANK($B212),"",IFERROR(_xll.BDP(TICKER,"DEEP_MEASURE_PERIOD_BROKER_VALUE","DEEP_MEASURE_ID_OVERRIDE",$C212,"DEEP_BROKER_ID_OVERRIDE",Z$24,"DEEP_PERIOD_OVERRIDE",$H$19)*1,"")))</f>
        <v/>
      </c>
      <c r="AA212" t="str">
        <f>IF(OR(AA$23="",ISNA($B212)),"",IF(ISBLANK($B212),"",IFERROR(_xll.BDP(TICKER,"DEEP_MEASURE_PERIOD_BROKER_VALUE","DEEP_MEASURE_ID_OVERRIDE",$C212,"DEEP_BROKER_ID_OVERRIDE",AA$24,"DEEP_PERIOD_OVERRIDE",$H$19)*1,"")))</f>
        <v/>
      </c>
      <c r="AB212" t="str">
        <f>IF(OR(AB$23="",ISNA($B212)),"",IF(ISBLANK($B212),"",IFERROR(_xll.BDP(TICKER,"DEEP_MEASURE_PERIOD_BROKER_VALUE","DEEP_MEASURE_ID_OVERRIDE",$C212,"DEEP_BROKER_ID_OVERRIDE",AB$24,"DEEP_PERIOD_OVERRIDE",$H$19)*1,"")))</f>
        <v/>
      </c>
      <c r="AC212" t="str">
        <f>IF(OR(AC$23="",ISNA($B212)),"",IF(ISBLANK($B212),"",IFERROR(_xll.BDP(TICKER,"DEEP_MEASURE_PERIOD_BROKER_VALUE","DEEP_MEASURE_ID_OVERRIDE",$C212,"DEEP_BROKER_ID_OVERRIDE",AC$24,"DEEP_PERIOD_OVERRIDE",$H$19)*1,"")))</f>
        <v/>
      </c>
      <c r="AD212" t="str">
        <f>IF(OR(AD$23="",ISNA($B212)),"",IF(ISBLANK($B212),"",IFERROR(_xll.BDP(TICKER,"DEEP_MEASURE_PERIOD_BROKER_VALUE","DEEP_MEASURE_ID_OVERRIDE",$C212,"DEEP_BROKER_ID_OVERRIDE",AD$24,"DEEP_PERIOD_OVERRIDE",$H$19)*1,"")))</f>
        <v/>
      </c>
      <c r="AE212" t="str">
        <f>IF(OR(AE$23="",ISNA($B212)),"",IF(ISBLANK($B212),"",IFERROR(_xll.BDP(TICKER,"DEEP_MEASURE_PERIOD_BROKER_VALUE","DEEP_MEASURE_ID_OVERRIDE",$C212,"DEEP_BROKER_ID_OVERRIDE",AE$24,"DEEP_PERIOD_OVERRIDE",$H$19)*1,"")))</f>
        <v/>
      </c>
      <c r="AF212" t="str">
        <f>IF(OR(AF$23="",ISNA($B212)),"",IF(ISBLANK($B212),"",IFERROR(_xll.BDP(TICKER,"DEEP_MEASURE_PERIOD_BROKER_VALUE","DEEP_MEASURE_ID_OVERRIDE",$C212,"DEEP_BROKER_ID_OVERRIDE",AF$24,"DEEP_PERIOD_OVERRIDE",$H$19)*1,"")))</f>
        <v/>
      </c>
      <c r="AG212" t="str">
        <f>IF(OR(AG$23="",ISNA($B212)),"",IF(ISBLANK($B212),"",IFERROR(_xll.BDP(TICKER,"DEEP_MEASURE_PERIOD_BROKER_VALUE","DEEP_MEASURE_ID_OVERRIDE",$C212,"DEEP_BROKER_ID_OVERRIDE",AG$24,"DEEP_PERIOD_OVERRIDE",$H$19)*1,"")))</f>
        <v/>
      </c>
      <c r="AH212" t="str">
        <f>IF(OR(AH$23="",ISNA($B212)),"",IF(ISBLANK($B212),"",IFERROR(_xll.BDP(TICKER,"DEEP_MEASURE_PERIOD_BROKER_VALUE","DEEP_MEASURE_ID_OVERRIDE",$C212,"DEEP_BROKER_ID_OVERRIDE",AH$24,"DEEP_PERIOD_OVERRIDE",$H$19)*1,"")))</f>
        <v/>
      </c>
      <c r="AI212" t="str">
        <f>IF(OR(AI$23="",ISNA($B212)),"",IF(ISBLANK($B212),"",IFERROR(_xll.BDP(TICKER,"DEEP_MEASURE_PERIOD_BROKER_VALUE","DEEP_MEASURE_ID_OVERRIDE",$C212,"DEEP_BROKER_ID_OVERRIDE",AI$24,"DEEP_PERIOD_OVERRIDE",$H$19)*1,"")))</f>
        <v/>
      </c>
      <c r="AJ212" t="str">
        <f>IF(OR(AJ$23="",ISNA($B212)),"",IF(ISBLANK($B212),"",IFERROR(_xll.BDP(TICKER,"DEEP_MEASURE_PERIOD_BROKER_VALUE","DEEP_MEASURE_ID_OVERRIDE",$C212,"DEEP_BROKER_ID_OVERRIDE",AJ$24,"DEEP_PERIOD_OVERRIDE",$H$19)*1,"")))</f>
        <v/>
      </c>
      <c r="AK212" t="str">
        <f>IF(OR(AK$23="",ISNA($B212)),"",IF(ISBLANK($B212),"",IFERROR(_xll.BDP(TICKER,"DEEP_MEASURE_PERIOD_BROKER_VALUE","DEEP_MEASURE_ID_OVERRIDE",$C212,"DEEP_BROKER_ID_OVERRIDE",AK$24,"DEEP_PERIOD_OVERRIDE",$H$19)*1,"")))</f>
        <v/>
      </c>
      <c r="AL212" t="str">
        <f>IF(OR(AL$23="",ISNA($B212)),"",IF(ISBLANK($B212),"",IFERROR(_xll.BDP(TICKER,"DEEP_MEASURE_PERIOD_BROKER_VALUE","DEEP_MEASURE_ID_OVERRIDE",$C212,"DEEP_BROKER_ID_OVERRIDE",AL$24,"DEEP_PERIOD_OVERRIDE",$H$19)*1,"")))</f>
        <v/>
      </c>
      <c r="AM212" t="str">
        <f>IF(OR(AM$23="",ISNA($B212)),"",IF(ISBLANK($B212),"",IFERROR(_xll.BDP(TICKER,"DEEP_MEASURE_PERIOD_BROKER_VALUE","DEEP_MEASURE_ID_OVERRIDE",$C212,"DEEP_BROKER_ID_OVERRIDE",AM$24,"DEEP_PERIOD_OVERRIDE",$H$19)*1,"")))</f>
        <v/>
      </c>
      <c r="AN212" t="str">
        <f>IF(OR(AN$23="",ISNA($B212)),"",IF(ISBLANK($B212),"",IFERROR(_xll.BDP(TICKER,"DEEP_MEASURE_PERIOD_BROKER_VALUE","DEEP_MEASURE_ID_OVERRIDE",$C212,"DEEP_BROKER_ID_OVERRIDE",AN$24,"DEEP_PERIOD_OVERRIDE",$H$19)*1,"")))</f>
        <v/>
      </c>
      <c r="AO212" t="str">
        <f>IF(OR(AO$23="",ISNA($B212)),"",IF(ISBLANK($B212),"",IFERROR(_xll.BDP(TICKER,"DEEP_MEASURE_PERIOD_BROKER_VALUE","DEEP_MEASURE_ID_OVERRIDE",$C212,"DEEP_BROKER_ID_OVERRIDE",AO$24,"DEEP_PERIOD_OVERRIDE",$H$19)*1,"")))</f>
        <v/>
      </c>
      <c r="AP212" t="str">
        <f>IF(OR(AP$23="",ISNA($B212)),"",IF(ISBLANK($B212),"",IFERROR(_xll.BDP(TICKER,"DEEP_MEASURE_PERIOD_BROKER_VALUE","DEEP_MEASURE_ID_OVERRIDE",$C212,"DEEP_BROKER_ID_OVERRIDE",AP$24,"DEEP_PERIOD_OVERRIDE",$H$19)*1,"")))</f>
        <v/>
      </c>
      <c r="AQ212" t="str">
        <f>IF(OR(AQ$23="",ISNA($B212)),"",IF(ISBLANK($B212),"",IFERROR(_xll.BDP(TICKER,"DEEP_MEASURE_PERIOD_BROKER_VALUE","DEEP_MEASURE_ID_OVERRIDE",$C212,"DEEP_BROKER_ID_OVERRIDE",AQ$24,"DEEP_PERIOD_OVERRIDE",$H$19)*1,"")))</f>
        <v/>
      </c>
      <c r="AR212" t="str">
        <f>IF(OR(AR$23="",ISNA($B212)),"",IF(ISBLANK($B212),"",IFERROR(_xll.BDP(TICKER,"DEEP_MEASURE_PERIOD_BROKER_VALUE","DEEP_MEASURE_ID_OVERRIDE",$C212,"DEEP_BROKER_ID_OVERRIDE",AR$24,"DEEP_PERIOD_OVERRIDE",$H$19)*1,"")))</f>
        <v/>
      </c>
      <c r="AS212" t="str">
        <f>IF(OR(AS$23="",ISNA($B212)),"",IF(ISBLANK($B212),"",IFERROR(_xll.BDP(TICKER,"DEEP_MEASURE_PERIOD_BROKER_VALUE","DEEP_MEASURE_ID_OVERRIDE",$C212,"DEEP_BROKER_ID_OVERRIDE",AS$24,"DEEP_PERIOD_OVERRIDE",$H$19)*1,"")))</f>
        <v/>
      </c>
      <c r="AT212" t="str">
        <f>IF(OR(AT$23="",ISNA($B212)),"",IF(ISBLANK($B212),"",IFERROR(_xll.BDP(TICKER,"DEEP_MEASURE_PERIOD_BROKER_VALUE","DEEP_MEASURE_ID_OVERRIDE",$C212,"DEEP_BROKER_ID_OVERRIDE",AT$24,"DEEP_PERIOD_OVERRIDE",$H$19)*1,"")))</f>
        <v/>
      </c>
      <c r="AU212" t="str">
        <f>IF(OR(AU$23="",ISNA($B212)),"",IF(ISBLANK($B212),"",IFERROR(_xll.BDP(TICKER,"DEEP_MEASURE_PERIOD_BROKER_VALUE","DEEP_MEASURE_ID_OVERRIDE",$C212,"DEEP_BROKER_ID_OVERRIDE",AU$24,"DEEP_PERIOD_OVERRIDE",$H$19)*1,"")))</f>
        <v/>
      </c>
      <c r="AV212" t="str">
        <f>IF(OR(AV$23="",ISNA($B212)),"",IF(ISBLANK($B212),"",IFERROR(_xll.BDP(TICKER,"DEEP_MEASURE_PERIOD_BROKER_VALUE","DEEP_MEASURE_ID_OVERRIDE",$C212,"DEEP_BROKER_ID_OVERRIDE",AV$24,"DEEP_PERIOD_OVERRIDE",$H$19)*1,"")))</f>
        <v/>
      </c>
      <c r="AW212" t="str">
        <f>IF(OR(AW$23="",ISNA($B212)),"",IF(ISBLANK($B212),"",IFERROR(_xll.BDP(TICKER,"DEEP_MEASURE_PERIOD_BROKER_VALUE","DEEP_MEASURE_ID_OVERRIDE",$C212,"DEEP_BROKER_ID_OVERRIDE",AW$24,"DEEP_PERIOD_OVERRIDE",$H$19)*1,"")))</f>
        <v/>
      </c>
      <c r="AX212" t="str">
        <f>IF(OR(AX$23="",ISNA($B212)),"",IF(ISBLANK($B212),"",IFERROR(_xll.BDP(TICKER,"DEEP_MEASURE_PERIOD_BROKER_VALUE","DEEP_MEASURE_ID_OVERRIDE",$C212,"DEEP_BROKER_ID_OVERRIDE",AX$24,"DEEP_PERIOD_OVERRIDE",$H$19)*1,"")))</f>
        <v/>
      </c>
      <c r="AY212" t="str">
        <f>IF(OR(AY$23="",ISNA($B212)),"",IF(ISBLANK($B212),"",IFERROR(_xll.BDP(TICKER,"DEEP_MEASURE_PERIOD_BROKER_VALUE","DEEP_MEASURE_ID_OVERRIDE",$C212,"DEEP_BROKER_ID_OVERRIDE",AY$24,"DEEP_PERIOD_OVERRIDE",$H$19)*1,"")))</f>
        <v/>
      </c>
      <c r="AZ212" t="str">
        <f>IF(OR(AZ$23="",ISNA($B212)),"",IF(ISBLANK($B212),"",IFERROR(_xll.BDP(TICKER,"DEEP_MEASURE_PERIOD_BROKER_VALUE","DEEP_MEASURE_ID_OVERRIDE",$C212,"DEEP_BROKER_ID_OVERRIDE",AZ$24,"DEEP_PERIOD_OVERRIDE",$H$19)*1,"")))</f>
        <v/>
      </c>
      <c r="BA212" t="str">
        <f>IF(OR(BA$23="",ISNA($B212)),"",IF(ISBLANK($B212),"",IFERROR(_xll.BDP(TICKER,"DEEP_MEASURE_PERIOD_BROKER_VALUE","DEEP_MEASURE_ID_OVERRIDE",$C212,"DEEP_BROKER_ID_OVERRIDE",BA$24,"DEEP_PERIOD_OVERRIDE",$H$19)*1,"")))</f>
        <v/>
      </c>
      <c r="BB212" t="str">
        <f>IF(OR(BB$23="",ISNA($B212)),"",IF(ISBLANK($B212),"",IFERROR(_xll.BDP(TICKER,"DEEP_MEASURE_PERIOD_BROKER_VALUE","DEEP_MEASURE_ID_OVERRIDE",$C212,"DEEP_BROKER_ID_OVERRIDE",BB$24,"DEEP_PERIOD_OVERRIDE",$H$19)*1,"")))</f>
        <v/>
      </c>
      <c r="BC212" t="str">
        <f>IF(OR(BC$23="",ISNA($B212)),"",IF(ISBLANK($B212),"",IFERROR(_xll.BDP(TICKER,"DEEP_MEASURE_PERIOD_BROKER_VALUE","DEEP_MEASURE_ID_OVERRIDE",$C212,"DEEP_BROKER_ID_OVERRIDE",BC$24,"DEEP_PERIOD_OVERRIDE",$H$19)*1,"")))</f>
        <v/>
      </c>
      <c r="BD212" t="str">
        <f>IF(OR(BD$23="",ISNA($B212)),"",IF(ISBLANK($B212),"",IFERROR(_xll.BDP(TICKER,"DEEP_MEASURE_PERIOD_BROKER_VALUE","DEEP_MEASURE_ID_OVERRIDE",$C212,"DEEP_BROKER_ID_OVERRIDE",BD$24,"DEEP_PERIOD_OVERRIDE",$H$19)*1,"")))</f>
        <v/>
      </c>
      <c r="BE212" t="str">
        <f>IF(OR(BE$23="",ISNA($B212)),"",IF(ISBLANK($B212),"",IFERROR(_xll.BDP(TICKER,"DEEP_MEASURE_PERIOD_BROKER_VALUE","DEEP_MEASURE_ID_OVERRIDE",$C212,"DEEP_BROKER_ID_OVERRIDE",BE$24,"DEEP_PERIOD_OVERRIDE",$H$19)*1,"")))</f>
        <v/>
      </c>
      <c r="BF212" t="str">
        <f>IF(OR(BF$23="",ISNA($B212)),"",IF(ISBLANK($B212),"",IFERROR(_xll.BDP(TICKER,"DEEP_MEASURE_PERIOD_BROKER_VALUE","DEEP_MEASURE_ID_OVERRIDE",$C212,"DEEP_BROKER_ID_OVERRIDE",BF$24,"DEEP_PERIOD_OVERRIDE",$H$19)*1,"")))</f>
        <v/>
      </c>
      <c r="BG212" t="str">
        <f>IF(OR(BG$23="",ISNA($B212)),"",IF(ISBLANK($B212),"",IFERROR(_xll.BDP(TICKER,"DEEP_MEASURE_PERIOD_BROKER_VALUE","DEEP_MEASURE_ID_OVERRIDE",$C212,"DEEP_BROKER_ID_OVERRIDE",BG$24,"DEEP_PERIOD_OVERRIDE",$H$19)*1,"")))</f>
        <v/>
      </c>
      <c r="BH212" t="str">
        <f>IF(OR(BH$23="",ISNA($B212)),"",IF(ISBLANK($B212),"",IFERROR(_xll.BDP(TICKER,"DEEP_MEASURE_PERIOD_BROKER_VALUE","DEEP_MEASURE_ID_OVERRIDE",$C212,"DEEP_BROKER_ID_OVERRIDE",BH$24,"DEEP_PERIOD_OVERRIDE",$H$19)*1,"")))</f>
        <v/>
      </c>
      <c r="BI212" t="str">
        <f>IF(OR(BI$23="",ISNA($B212)),"",IF(ISBLANK($B212),"",IFERROR(_xll.BDP(TICKER,"DEEP_MEASURE_PERIOD_BROKER_VALUE","DEEP_MEASURE_ID_OVERRIDE",$C212,"DEEP_BROKER_ID_OVERRIDE",BI$24,"DEEP_PERIOD_OVERRIDE",$H$19)*1,"")))</f>
        <v/>
      </c>
      <c r="BJ212" t="str">
        <f>IF(OR(BJ$23="",ISNA($B212)),"",IF(ISBLANK($B212),"",IFERROR(_xll.BDP(TICKER,"DEEP_MEASURE_PERIOD_BROKER_VALUE","DEEP_MEASURE_ID_OVERRIDE",$C212,"DEEP_BROKER_ID_OVERRIDE",BJ$24,"DEEP_PERIOD_OVERRIDE",$H$19)*1,"")))</f>
        <v/>
      </c>
      <c r="BK212" t="str">
        <f>IF(OR(BK$23="",ISNA($B212)),"",IF(ISBLANK($B212),"",IFERROR(_xll.BDP(TICKER,"DEEP_MEASURE_PERIOD_BROKER_VALUE","DEEP_MEASURE_ID_OVERRIDE",$C212,"DEEP_BROKER_ID_OVERRIDE",BK$24,"DEEP_PERIOD_OVERRIDE",$H$19)*1,"")))</f>
        <v/>
      </c>
      <c r="BL212" t="str">
        <f>IF(OR(BL$23="",ISNA($B212)),"",IF(ISBLANK($B212),"",IFERROR(_xll.BDP(TICKER,"DEEP_MEASURE_PERIOD_BROKER_VALUE","DEEP_MEASURE_ID_OVERRIDE",$C212,"DEEP_BROKER_ID_OVERRIDE",BL$24,"DEEP_PERIOD_OVERRIDE",$H$19)*1,"")))</f>
        <v/>
      </c>
      <c r="BM212" t="str">
        <f>IF(OR(BM$23="",ISNA($B212)),"",IF(ISBLANK($B212),"",IFERROR(_xll.BDP(TICKER,"DEEP_MEASURE_PERIOD_BROKER_VALUE","DEEP_MEASURE_ID_OVERRIDE",$C212,"DEEP_BROKER_ID_OVERRIDE",BM$24,"DEEP_PERIOD_OVERRIDE",$H$19)*1,"")))</f>
        <v/>
      </c>
      <c r="BN212" t="str">
        <f>IF(OR(BN$23="",ISNA($B212)),"",IF(ISBLANK($B212),"",IFERROR(_xll.BDP(TICKER,"DEEP_MEASURE_PERIOD_BROKER_VALUE","DEEP_MEASURE_ID_OVERRIDE",$C212,"DEEP_BROKER_ID_OVERRIDE",BN$24,"DEEP_PERIOD_OVERRIDE",$H$19)*1,"")))</f>
        <v/>
      </c>
      <c r="BO212" t="str">
        <f>IF(OR(BO$23="",ISNA($B212)),"",IF(ISBLANK($B212),"",IFERROR(_xll.BDP(TICKER,"DEEP_MEASURE_PERIOD_BROKER_VALUE","DEEP_MEASURE_ID_OVERRIDE",$C212,"DEEP_BROKER_ID_OVERRIDE",BO$24,"DEEP_PERIOD_OVERRIDE",$H$19)*1,"")))</f>
        <v/>
      </c>
      <c r="BP212" t="str">
        <f>IF(OR(BP$23="",ISNA($B212)),"",IF(ISBLANK($B212),"",IFERROR(_xll.BDP(TICKER,"DEEP_MEASURE_PERIOD_BROKER_VALUE","DEEP_MEASURE_ID_OVERRIDE",$C212,"DEEP_BROKER_ID_OVERRIDE",BP$24,"DEEP_PERIOD_OVERRIDE",$H$19)*1,"")))</f>
        <v/>
      </c>
      <c r="BQ212" t="str">
        <f>IF(OR(BQ$23="",ISNA($B212)),"",IF(ISBLANK($B212),"",IFERROR(_xll.BDP(TICKER,"DEEP_MEASURE_PERIOD_BROKER_VALUE","DEEP_MEASURE_ID_OVERRIDE",$C212,"DEEP_BROKER_ID_OVERRIDE",BQ$24,"DEEP_PERIOD_OVERRIDE",$H$19)*1,"")))</f>
        <v/>
      </c>
      <c r="BR212" t="str">
        <f>IF(OR(BR$23="",ISNA($B212)),"",IF(ISBLANK($B212),"",IFERROR(_xll.BDP(TICKER,"DEEP_MEASURE_PERIOD_BROKER_VALUE","DEEP_MEASURE_ID_OVERRIDE",$C212,"DEEP_BROKER_ID_OVERRIDE",BR$24,"DEEP_PERIOD_OVERRIDE",$H$19)*1,"")))</f>
        <v/>
      </c>
      <c r="BS212" t="str">
        <f>IF(OR(BS$23="",ISNA($B212)),"",IF(ISBLANK($B212),"",IFERROR(_xll.BDP(TICKER,"DEEP_MEASURE_PERIOD_BROKER_VALUE","DEEP_MEASURE_ID_OVERRIDE",$C212,"DEEP_BROKER_ID_OVERRIDE",BS$24,"DEEP_PERIOD_OVERRIDE",$H$19)*1,"")))</f>
        <v/>
      </c>
      <c r="BT212" t="str">
        <f>IF(OR(BT$23="",ISNA($B212)),"",IF(ISBLANK($B212),"",IFERROR(_xll.BDP(TICKER,"DEEP_MEASURE_PERIOD_BROKER_VALUE","DEEP_MEASURE_ID_OVERRIDE",$C212,"DEEP_BROKER_ID_OVERRIDE",BT$24,"DEEP_PERIOD_OVERRIDE",$H$19)*1,"")))</f>
        <v/>
      </c>
      <c r="BU212" t="str">
        <f>IF(OR(BU$23="",ISNA($B212)),"",IF(ISBLANK($B212),"",IFERROR(_xll.BDP(TICKER,"DEEP_MEASURE_PERIOD_BROKER_VALUE","DEEP_MEASURE_ID_OVERRIDE",$C212,"DEEP_BROKER_ID_OVERRIDE",BU$24,"DEEP_PERIOD_OVERRIDE",$H$19)*1,"")))</f>
        <v/>
      </c>
      <c r="BV212" t="str">
        <f>IF(OR(BV$23="",ISNA($B212)),"",IF(ISBLANK($B212),"",IFERROR(_xll.BDP(TICKER,"DEEP_MEASURE_PERIOD_BROKER_VALUE","DEEP_MEASURE_ID_OVERRIDE",$C212,"DEEP_BROKER_ID_OVERRIDE",BV$24,"DEEP_PERIOD_OVERRIDE",$H$19)*1,"")))</f>
        <v/>
      </c>
      <c r="BW212" t="str">
        <f>IF(OR(BW$23="",ISNA($B212)),"",IF(ISBLANK($B212),"",IFERROR(_xll.BDP(TICKER,"DEEP_MEASURE_PERIOD_BROKER_VALUE","DEEP_MEASURE_ID_OVERRIDE",$C212,"DEEP_BROKER_ID_OVERRIDE",BW$24,"DEEP_PERIOD_OVERRIDE",$H$19)*1,"")))</f>
        <v/>
      </c>
      <c r="BX212" t="str">
        <f>IF(OR(BX$23="",ISNA($B212)),"",IF(ISBLANK($B212),"",IFERROR(_xll.BDP(TICKER,"DEEP_MEASURE_PERIOD_BROKER_VALUE","DEEP_MEASURE_ID_OVERRIDE",$C212,"DEEP_BROKER_ID_OVERRIDE",BX$24,"DEEP_PERIOD_OVERRIDE",$H$19)*1,"")))</f>
        <v/>
      </c>
      <c r="BY212" t="str">
        <f>IF(OR(BY$23="",ISNA($B212)),"",IF(ISBLANK($B212),"",IFERROR(_xll.BDP(TICKER,"DEEP_MEASURE_PERIOD_BROKER_VALUE","DEEP_MEASURE_ID_OVERRIDE",$C212,"DEEP_BROKER_ID_OVERRIDE",BY$24,"DEEP_PERIOD_OVERRIDE",$H$19)*1,"")))</f>
        <v/>
      </c>
      <c r="BZ212" t="str">
        <f>IF(OR(BZ$23="",ISNA($B212)),"",IF(ISBLANK($B212),"",IFERROR(_xll.BDP(TICKER,"DEEP_MEASURE_PERIOD_BROKER_VALUE","DEEP_MEASURE_ID_OVERRIDE",$C212,"DEEP_BROKER_ID_OVERRIDE",BZ$24,"DEEP_PERIOD_OVERRIDE",$H$19)*1,"")))</f>
        <v/>
      </c>
    </row>
    <row r="213" spans="2:78" x14ac:dyDescent="0.25">
      <c r="B213" t="s">
        <v>214</v>
      </c>
      <c r="C213">
        <v>407</v>
      </c>
      <c r="H213" t="str">
        <f t="shared" si="3"/>
        <v>Cash from Financing Activities &gt; Payment of Withholding Taxes on Net Share Settlements of Equity Awards</v>
      </c>
      <c r="I213" t="str">
        <f>IF(OR(I$23="",ISNA($B213)),"",IF(ISBLANK($B213),"",IFERROR(_xll.BDP(TICKER,"DEEP_MEASURE_PERIOD_BROKER_VALUE","DEEP_MEASURE_ID_OVERRIDE",$C213,"DEEP_PERIOD_OVERRIDE",$H$19)*1,"")))</f>
        <v/>
      </c>
      <c r="J213" t="e">
        <f>IF(OR(J$23="",ISNA($B213)),"",IF(ISBLANK($B213),"",IFERROR(_xll.BDP(TICKER,"DEEP_MEASURE_PERIOD_BROKER_VALUE","DEEP_MEASURE_ID_OVERRIDE",$C213,"DEEP_BROKER_ID_OVERRIDE",J$24,"DEEP_PERIOD_OVERRIDE",$H$19)*1,"")))</f>
        <v>#REF!</v>
      </c>
      <c r="K213" t="str">
        <f>IF(OR(K$23="",ISNA($B213)),"",IF(ISBLANK($B213),"",IFERROR(_xll.BDP(TICKER,"DEEP_MEASURE_PERIOD_BROKER_VALUE","DEEP_MEASURE_ID_OVERRIDE",$C213,"DEEP_BROKER_ID_OVERRIDE",K$24,"DEEP_PERIOD_OVERRIDE",$H$19)*1,"")))</f>
        <v/>
      </c>
      <c r="L213" t="str">
        <f>IF(OR(L$23="",ISNA($B213)),"",IF(ISBLANK($B213),"",IFERROR(_xll.BDP(TICKER,"DEEP_MEASURE_PERIOD_BROKER_VALUE","DEEP_MEASURE_ID_OVERRIDE",$C213,"DEEP_BROKER_ID_OVERRIDE",L$24,"DEEP_PERIOD_OVERRIDE",$H$19)*1,"")))</f>
        <v/>
      </c>
      <c r="M213" t="str">
        <f>IF(OR(M$23="",ISNA($B213)),"",IF(ISBLANK($B213),"",IFERROR(_xll.BDP(TICKER,"DEEP_MEASURE_PERIOD_BROKER_VALUE","DEEP_MEASURE_ID_OVERRIDE",$C213,"DEEP_BROKER_ID_OVERRIDE",M$24,"DEEP_PERIOD_OVERRIDE",$H$19)*1,"")))</f>
        <v/>
      </c>
      <c r="N213" t="str">
        <f>IF(OR(N$23="",ISNA($B213)),"",IF(ISBLANK($B213),"",IFERROR(_xll.BDP(TICKER,"DEEP_MEASURE_PERIOD_BROKER_VALUE","DEEP_MEASURE_ID_OVERRIDE",$C213,"DEEP_BROKER_ID_OVERRIDE",N$24,"DEEP_PERIOD_OVERRIDE",$H$19)*1,"")))</f>
        <v/>
      </c>
      <c r="O213" t="str">
        <f>IF(OR(O$23="",ISNA($B213)),"",IF(ISBLANK($B213),"",IFERROR(_xll.BDP(TICKER,"DEEP_MEASURE_PERIOD_BROKER_VALUE","DEEP_MEASURE_ID_OVERRIDE",$C213,"DEEP_BROKER_ID_OVERRIDE",O$24,"DEEP_PERIOD_OVERRIDE",$H$19)*1,"")))</f>
        <v/>
      </c>
      <c r="P213" t="str">
        <f>IF(OR(P$23="",ISNA($B213)),"",IF(ISBLANK($B213),"",IFERROR(_xll.BDP(TICKER,"DEEP_MEASURE_PERIOD_BROKER_VALUE","DEEP_MEASURE_ID_OVERRIDE",$C213,"DEEP_BROKER_ID_OVERRIDE",P$24,"DEEP_PERIOD_OVERRIDE",$H$19)*1,"")))</f>
        <v/>
      </c>
      <c r="Q213" t="str">
        <f>IF(OR(Q$23="",ISNA($B213)),"",IF(ISBLANK($B213),"",IFERROR(_xll.BDP(TICKER,"DEEP_MEASURE_PERIOD_BROKER_VALUE","DEEP_MEASURE_ID_OVERRIDE",$C213,"DEEP_BROKER_ID_OVERRIDE",Q$24,"DEEP_PERIOD_OVERRIDE",$H$19)*1,"")))</f>
        <v/>
      </c>
      <c r="R213" t="str">
        <f>IF(OR(R$23="",ISNA($B213)),"",IF(ISBLANK($B213),"",IFERROR(_xll.BDP(TICKER,"DEEP_MEASURE_PERIOD_BROKER_VALUE","DEEP_MEASURE_ID_OVERRIDE",$C213,"DEEP_BROKER_ID_OVERRIDE",R$24,"DEEP_PERIOD_OVERRIDE",$H$19)*1,"")))</f>
        <v/>
      </c>
      <c r="S213" t="str">
        <f>IF(OR(S$23="",ISNA($B213)),"",IF(ISBLANK($B213),"",IFERROR(_xll.BDP(TICKER,"DEEP_MEASURE_PERIOD_BROKER_VALUE","DEEP_MEASURE_ID_OVERRIDE",$C213,"DEEP_BROKER_ID_OVERRIDE",S$24,"DEEP_PERIOD_OVERRIDE",$H$19)*1,"")))</f>
        <v/>
      </c>
      <c r="T213" t="str">
        <f>IF(OR(T$23="",ISNA($B213)),"",IF(ISBLANK($B213),"",IFERROR(_xll.BDP(TICKER,"DEEP_MEASURE_PERIOD_BROKER_VALUE","DEEP_MEASURE_ID_OVERRIDE",$C213,"DEEP_BROKER_ID_OVERRIDE",T$24,"DEEP_PERIOD_OVERRIDE",$H$19)*1,"")))</f>
        <v/>
      </c>
      <c r="U213" t="str">
        <f>IF(OR(U$23="",ISNA($B213)),"",IF(ISBLANK($B213),"",IFERROR(_xll.BDP(TICKER,"DEEP_MEASURE_PERIOD_BROKER_VALUE","DEEP_MEASURE_ID_OVERRIDE",$C213,"DEEP_BROKER_ID_OVERRIDE",U$24,"DEEP_PERIOD_OVERRIDE",$H$19)*1,"")))</f>
        <v/>
      </c>
      <c r="V213" t="str">
        <f>IF(OR(V$23="",ISNA($B213)),"",IF(ISBLANK($B213),"",IFERROR(_xll.BDP(TICKER,"DEEP_MEASURE_PERIOD_BROKER_VALUE","DEEP_MEASURE_ID_OVERRIDE",$C213,"DEEP_BROKER_ID_OVERRIDE",V$24,"DEEP_PERIOD_OVERRIDE",$H$19)*1,"")))</f>
        <v/>
      </c>
      <c r="W213" t="str">
        <f>IF(OR(W$23="",ISNA($B213)),"",IF(ISBLANK($B213),"",IFERROR(_xll.BDP(TICKER,"DEEP_MEASURE_PERIOD_BROKER_VALUE","DEEP_MEASURE_ID_OVERRIDE",$C213,"DEEP_BROKER_ID_OVERRIDE",W$24,"DEEP_PERIOD_OVERRIDE",$H$19)*1,"")))</f>
        <v/>
      </c>
      <c r="X213" t="str">
        <f>IF(OR(X$23="",ISNA($B213)),"",IF(ISBLANK($B213),"",IFERROR(_xll.BDP(TICKER,"DEEP_MEASURE_PERIOD_BROKER_VALUE","DEEP_MEASURE_ID_OVERRIDE",$C213,"DEEP_BROKER_ID_OVERRIDE",X$24,"DEEP_PERIOD_OVERRIDE",$H$19)*1,"")))</f>
        <v/>
      </c>
      <c r="Y213" t="str">
        <f>IF(OR(Y$23="",ISNA($B213)),"",IF(ISBLANK($B213),"",IFERROR(_xll.BDP(TICKER,"DEEP_MEASURE_PERIOD_BROKER_VALUE","DEEP_MEASURE_ID_OVERRIDE",$C213,"DEEP_BROKER_ID_OVERRIDE",Y$24,"DEEP_PERIOD_OVERRIDE",$H$19)*1,"")))</f>
        <v/>
      </c>
      <c r="Z213" t="str">
        <f>IF(OR(Z$23="",ISNA($B213)),"",IF(ISBLANK($B213),"",IFERROR(_xll.BDP(TICKER,"DEEP_MEASURE_PERIOD_BROKER_VALUE","DEEP_MEASURE_ID_OVERRIDE",$C213,"DEEP_BROKER_ID_OVERRIDE",Z$24,"DEEP_PERIOD_OVERRIDE",$H$19)*1,"")))</f>
        <v/>
      </c>
      <c r="AA213" t="str">
        <f>IF(OR(AA$23="",ISNA($B213)),"",IF(ISBLANK($B213),"",IFERROR(_xll.BDP(TICKER,"DEEP_MEASURE_PERIOD_BROKER_VALUE","DEEP_MEASURE_ID_OVERRIDE",$C213,"DEEP_BROKER_ID_OVERRIDE",AA$24,"DEEP_PERIOD_OVERRIDE",$H$19)*1,"")))</f>
        <v/>
      </c>
      <c r="AB213" t="str">
        <f>IF(OR(AB$23="",ISNA($B213)),"",IF(ISBLANK($B213),"",IFERROR(_xll.BDP(TICKER,"DEEP_MEASURE_PERIOD_BROKER_VALUE","DEEP_MEASURE_ID_OVERRIDE",$C213,"DEEP_BROKER_ID_OVERRIDE",AB$24,"DEEP_PERIOD_OVERRIDE",$H$19)*1,"")))</f>
        <v/>
      </c>
      <c r="AC213" t="str">
        <f>IF(OR(AC$23="",ISNA($B213)),"",IF(ISBLANK($B213),"",IFERROR(_xll.BDP(TICKER,"DEEP_MEASURE_PERIOD_BROKER_VALUE","DEEP_MEASURE_ID_OVERRIDE",$C213,"DEEP_BROKER_ID_OVERRIDE",AC$24,"DEEP_PERIOD_OVERRIDE",$H$19)*1,"")))</f>
        <v/>
      </c>
      <c r="AD213" t="str">
        <f>IF(OR(AD$23="",ISNA($B213)),"",IF(ISBLANK($B213),"",IFERROR(_xll.BDP(TICKER,"DEEP_MEASURE_PERIOD_BROKER_VALUE","DEEP_MEASURE_ID_OVERRIDE",$C213,"DEEP_BROKER_ID_OVERRIDE",AD$24,"DEEP_PERIOD_OVERRIDE",$H$19)*1,"")))</f>
        <v/>
      </c>
      <c r="AE213" t="str">
        <f>IF(OR(AE$23="",ISNA($B213)),"",IF(ISBLANK($B213),"",IFERROR(_xll.BDP(TICKER,"DEEP_MEASURE_PERIOD_BROKER_VALUE","DEEP_MEASURE_ID_OVERRIDE",$C213,"DEEP_BROKER_ID_OVERRIDE",AE$24,"DEEP_PERIOD_OVERRIDE",$H$19)*1,"")))</f>
        <v/>
      </c>
      <c r="AF213" t="str">
        <f>IF(OR(AF$23="",ISNA($B213)),"",IF(ISBLANK($B213),"",IFERROR(_xll.BDP(TICKER,"DEEP_MEASURE_PERIOD_BROKER_VALUE","DEEP_MEASURE_ID_OVERRIDE",$C213,"DEEP_BROKER_ID_OVERRIDE",AF$24,"DEEP_PERIOD_OVERRIDE",$H$19)*1,"")))</f>
        <v/>
      </c>
      <c r="AG213" t="str">
        <f>IF(OR(AG$23="",ISNA($B213)),"",IF(ISBLANK($B213),"",IFERROR(_xll.BDP(TICKER,"DEEP_MEASURE_PERIOD_BROKER_VALUE","DEEP_MEASURE_ID_OVERRIDE",$C213,"DEEP_BROKER_ID_OVERRIDE",AG$24,"DEEP_PERIOD_OVERRIDE",$H$19)*1,"")))</f>
        <v/>
      </c>
      <c r="AH213" t="str">
        <f>IF(OR(AH$23="",ISNA($B213)),"",IF(ISBLANK($B213),"",IFERROR(_xll.BDP(TICKER,"DEEP_MEASURE_PERIOD_BROKER_VALUE","DEEP_MEASURE_ID_OVERRIDE",$C213,"DEEP_BROKER_ID_OVERRIDE",AH$24,"DEEP_PERIOD_OVERRIDE",$H$19)*1,"")))</f>
        <v/>
      </c>
      <c r="AI213" t="str">
        <f>IF(OR(AI$23="",ISNA($B213)),"",IF(ISBLANK($B213),"",IFERROR(_xll.BDP(TICKER,"DEEP_MEASURE_PERIOD_BROKER_VALUE","DEEP_MEASURE_ID_OVERRIDE",$C213,"DEEP_BROKER_ID_OVERRIDE",AI$24,"DEEP_PERIOD_OVERRIDE",$H$19)*1,"")))</f>
        <v/>
      </c>
      <c r="AJ213" t="str">
        <f>IF(OR(AJ$23="",ISNA($B213)),"",IF(ISBLANK($B213),"",IFERROR(_xll.BDP(TICKER,"DEEP_MEASURE_PERIOD_BROKER_VALUE","DEEP_MEASURE_ID_OVERRIDE",$C213,"DEEP_BROKER_ID_OVERRIDE",AJ$24,"DEEP_PERIOD_OVERRIDE",$H$19)*1,"")))</f>
        <v/>
      </c>
      <c r="AK213" t="str">
        <f>IF(OR(AK$23="",ISNA($B213)),"",IF(ISBLANK($B213),"",IFERROR(_xll.BDP(TICKER,"DEEP_MEASURE_PERIOD_BROKER_VALUE","DEEP_MEASURE_ID_OVERRIDE",$C213,"DEEP_BROKER_ID_OVERRIDE",AK$24,"DEEP_PERIOD_OVERRIDE",$H$19)*1,"")))</f>
        <v/>
      </c>
      <c r="AL213" t="str">
        <f>IF(OR(AL$23="",ISNA($B213)),"",IF(ISBLANK($B213),"",IFERROR(_xll.BDP(TICKER,"DEEP_MEASURE_PERIOD_BROKER_VALUE","DEEP_MEASURE_ID_OVERRIDE",$C213,"DEEP_BROKER_ID_OVERRIDE",AL$24,"DEEP_PERIOD_OVERRIDE",$H$19)*1,"")))</f>
        <v/>
      </c>
      <c r="AM213" t="str">
        <f>IF(OR(AM$23="",ISNA($B213)),"",IF(ISBLANK($B213),"",IFERROR(_xll.BDP(TICKER,"DEEP_MEASURE_PERIOD_BROKER_VALUE","DEEP_MEASURE_ID_OVERRIDE",$C213,"DEEP_BROKER_ID_OVERRIDE",AM$24,"DEEP_PERIOD_OVERRIDE",$H$19)*1,"")))</f>
        <v/>
      </c>
      <c r="AN213" t="str">
        <f>IF(OR(AN$23="",ISNA($B213)),"",IF(ISBLANK($B213),"",IFERROR(_xll.BDP(TICKER,"DEEP_MEASURE_PERIOD_BROKER_VALUE","DEEP_MEASURE_ID_OVERRIDE",$C213,"DEEP_BROKER_ID_OVERRIDE",AN$24,"DEEP_PERIOD_OVERRIDE",$H$19)*1,"")))</f>
        <v/>
      </c>
      <c r="AO213" t="str">
        <f>IF(OR(AO$23="",ISNA($B213)),"",IF(ISBLANK($B213),"",IFERROR(_xll.BDP(TICKER,"DEEP_MEASURE_PERIOD_BROKER_VALUE","DEEP_MEASURE_ID_OVERRIDE",$C213,"DEEP_BROKER_ID_OVERRIDE",AO$24,"DEEP_PERIOD_OVERRIDE",$H$19)*1,"")))</f>
        <v/>
      </c>
      <c r="AP213" t="str">
        <f>IF(OR(AP$23="",ISNA($B213)),"",IF(ISBLANK($B213),"",IFERROR(_xll.BDP(TICKER,"DEEP_MEASURE_PERIOD_BROKER_VALUE","DEEP_MEASURE_ID_OVERRIDE",$C213,"DEEP_BROKER_ID_OVERRIDE",AP$24,"DEEP_PERIOD_OVERRIDE",$H$19)*1,"")))</f>
        <v/>
      </c>
      <c r="AQ213" t="str">
        <f>IF(OR(AQ$23="",ISNA($B213)),"",IF(ISBLANK($B213),"",IFERROR(_xll.BDP(TICKER,"DEEP_MEASURE_PERIOD_BROKER_VALUE","DEEP_MEASURE_ID_OVERRIDE",$C213,"DEEP_BROKER_ID_OVERRIDE",AQ$24,"DEEP_PERIOD_OVERRIDE",$H$19)*1,"")))</f>
        <v/>
      </c>
      <c r="AR213" t="str">
        <f>IF(OR(AR$23="",ISNA($B213)),"",IF(ISBLANK($B213),"",IFERROR(_xll.BDP(TICKER,"DEEP_MEASURE_PERIOD_BROKER_VALUE","DEEP_MEASURE_ID_OVERRIDE",$C213,"DEEP_BROKER_ID_OVERRIDE",AR$24,"DEEP_PERIOD_OVERRIDE",$H$19)*1,"")))</f>
        <v/>
      </c>
      <c r="AS213" t="str">
        <f>IF(OR(AS$23="",ISNA($B213)),"",IF(ISBLANK($B213),"",IFERROR(_xll.BDP(TICKER,"DEEP_MEASURE_PERIOD_BROKER_VALUE","DEEP_MEASURE_ID_OVERRIDE",$C213,"DEEP_BROKER_ID_OVERRIDE",AS$24,"DEEP_PERIOD_OVERRIDE",$H$19)*1,"")))</f>
        <v/>
      </c>
      <c r="AT213" t="str">
        <f>IF(OR(AT$23="",ISNA($B213)),"",IF(ISBLANK($B213),"",IFERROR(_xll.BDP(TICKER,"DEEP_MEASURE_PERIOD_BROKER_VALUE","DEEP_MEASURE_ID_OVERRIDE",$C213,"DEEP_BROKER_ID_OVERRIDE",AT$24,"DEEP_PERIOD_OVERRIDE",$H$19)*1,"")))</f>
        <v/>
      </c>
      <c r="AU213" t="str">
        <f>IF(OR(AU$23="",ISNA($B213)),"",IF(ISBLANK($B213),"",IFERROR(_xll.BDP(TICKER,"DEEP_MEASURE_PERIOD_BROKER_VALUE","DEEP_MEASURE_ID_OVERRIDE",$C213,"DEEP_BROKER_ID_OVERRIDE",AU$24,"DEEP_PERIOD_OVERRIDE",$H$19)*1,"")))</f>
        <v/>
      </c>
      <c r="AV213" t="str">
        <f>IF(OR(AV$23="",ISNA($B213)),"",IF(ISBLANK($B213),"",IFERROR(_xll.BDP(TICKER,"DEEP_MEASURE_PERIOD_BROKER_VALUE","DEEP_MEASURE_ID_OVERRIDE",$C213,"DEEP_BROKER_ID_OVERRIDE",AV$24,"DEEP_PERIOD_OVERRIDE",$H$19)*1,"")))</f>
        <v/>
      </c>
      <c r="AW213" t="str">
        <f>IF(OR(AW$23="",ISNA($B213)),"",IF(ISBLANK($B213),"",IFERROR(_xll.BDP(TICKER,"DEEP_MEASURE_PERIOD_BROKER_VALUE","DEEP_MEASURE_ID_OVERRIDE",$C213,"DEEP_BROKER_ID_OVERRIDE",AW$24,"DEEP_PERIOD_OVERRIDE",$H$19)*1,"")))</f>
        <v/>
      </c>
      <c r="AX213" t="str">
        <f>IF(OR(AX$23="",ISNA($B213)),"",IF(ISBLANK($B213),"",IFERROR(_xll.BDP(TICKER,"DEEP_MEASURE_PERIOD_BROKER_VALUE","DEEP_MEASURE_ID_OVERRIDE",$C213,"DEEP_BROKER_ID_OVERRIDE",AX$24,"DEEP_PERIOD_OVERRIDE",$H$19)*1,"")))</f>
        <v/>
      </c>
      <c r="AY213" t="str">
        <f>IF(OR(AY$23="",ISNA($B213)),"",IF(ISBLANK($B213),"",IFERROR(_xll.BDP(TICKER,"DEEP_MEASURE_PERIOD_BROKER_VALUE","DEEP_MEASURE_ID_OVERRIDE",$C213,"DEEP_BROKER_ID_OVERRIDE",AY$24,"DEEP_PERIOD_OVERRIDE",$H$19)*1,"")))</f>
        <v/>
      </c>
      <c r="AZ213" t="str">
        <f>IF(OR(AZ$23="",ISNA($B213)),"",IF(ISBLANK($B213),"",IFERROR(_xll.BDP(TICKER,"DEEP_MEASURE_PERIOD_BROKER_VALUE","DEEP_MEASURE_ID_OVERRIDE",$C213,"DEEP_BROKER_ID_OVERRIDE",AZ$24,"DEEP_PERIOD_OVERRIDE",$H$19)*1,"")))</f>
        <v/>
      </c>
      <c r="BA213" t="str">
        <f>IF(OR(BA$23="",ISNA($B213)),"",IF(ISBLANK($B213),"",IFERROR(_xll.BDP(TICKER,"DEEP_MEASURE_PERIOD_BROKER_VALUE","DEEP_MEASURE_ID_OVERRIDE",$C213,"DEEP_BROKER_ID_OVERRIDE",BA$24,"DEEP_PERIOD_OVERRIDE",$H$19)*1,"")))</f>
        <v/>
      </c>
      <c r="BB213" t="str">
        <f>IF(OR(BB$23="",ISNA($B213)),"",IF(ISBLANK($B213),"",IFERROR(_xll.BDP(TICKER,"DEEP_MEASURE_PERIOD_BROKER_VALUE","DEEP_MEASURE_ID_OVERRIDE",$C213,"DEEP_BROKER_ID_OVERRIDE",BB$24,"DEEP_PERIOD_OVERRIDE",$H$19)*1,"")))</f>
        <v/>
      </c>
      <c r="BC213" t="str">
        <f>IF(OR(BC$23="",ISNA($B213)),"",IF(ISBLANK($B213),"",IFERROR(_xll.BDP(TICKER,"DEEP_MEASURE_PERIOD_BROKER_VALUE","DEEP_MEASURE_ID_OVERRIDE",$C213,"DEEP_BROKER_ID_OVERRIDE",BC$24,"DEEP_PERIOD_OVERRIDE",$H$19)*1,"")))</f>
        <v/>
      </c>
      <c r="BD213" t="str">
        <f>IF(OR(BD$23="",ISNA($B213)),"",IF(ISBLANK($B213),"",IFERROR(_xll.BDP(TICKER,"DEEP_MEASURE_PERIOD_BROKER_VALUE","DEEP_MEASURE_ID_OVERRIDE",$C213,"DEEP_BROKER_ID_OVERRIDE",BD$24,"DEEP_PERIOD_OVERRIDE",$H$19)*1,"")))</f>
        <v/>
      </c>
      <c r="BE213" t="str">
        <f>IF(OR(BE$23="",ISNA($B213)),"",IF(ISBLANK($B213),"",IFERROR(_xll.BDP(TICKER,"DEEP_MEASURE_PERIOD_BROKER_VALUE","DEEP_MEASURE_ID_OVERRIDE",$C213,"DEEP_BROKER_ID_OVERRIDE",BE$24,"DEEP_PERIOD_OVERRIDE",$H$19)*1,"")))</f>
        <v/>
      </c>
      <c r="BF213" t="str">
        <f>IF(OR(BF$23="",ISNA($B213)),"",IF(ISBLANK($B213),"",IFERROR(_xll.BDP(TICKER,"DEEP_MEASURE_PERIOD_BROKER_VALUE","DEEP_MEASURE_ID_OVERRIDE",$C213,"DEEP_BROKER_ID_OVERRIDE",BF$24,"DEEP_PERIOD_OVERRIDE",$H$19)*1,"")))</f>
        <v/>
      </c>
      <c r="BG213" t="str">
        <f>IF(OR(BG$23="",ISNA($B213)),"",IF(ISBLANK($B213),"",IFERROR(_xll.BDP(TICKER,"DEEP_MEASURE_PERIOD_BROKER_VALUE","DEEP_MEASURE_ID_OVERRIDE",$C213,"DEEP_BROKER_ID_OVERRIDE",BG$24,"DEEP_PERIOD_OVERRIDE",$H$19)*1,"")))</f>
        <v/>
      </c>
      <c r="BH213" t="str">
        <f>IF(OR(BH$23="",ISNA($B213)),"",IF(ISBLANK($B213),"",IFERROR(_xll.BDP(TICKER,"DEEP_MEASURE_PERIOD_BROKER_VALUE","DEEP_MEASURE_ID_OVERRIDE",$C213,"DEEP_BROKER_ID_OVERRIDE",BH$24,"DEEP_PERIOD_OVERRIDE",$H$19)*1,"")))</f>
        <v/>
      </c>
      <c r="BI213" t="str">
        <f>IF(OR(BI$23="",ISNA($B213)),"",IF(ISBLANK($B213),"",IFERROR(_xll.BDP(TICKER,"DEEP_MEASURE_PERIOD_BROKER_VALUE","DEEP_MEASURE_ID_OVERRIDE",$C213,"DEEP_BROKER_ID_OVERRIDE",BI$24,"DEEP_PERIOD_OVERRIDE",$H$19)*1,"")))</f>
        <v/>
      </c>
      <c r="BJ213" t="str">
        <f>IF(OR(BJ$23="",ISNA($B213)),"",IF(ISBLANK($B213),"",IFERROR(_xll.BDP(TICKER,"DEEP_MEASURE_PERIOD_BROKER_VALUE","DEEP_MEASURE_ID_OVERRIDE",$C213,"DEEP_BROKER_ID_OVERRIDE",BJ$24,"DEEP_PERIOD_OVERRIDE",$H$19)*1,"")))</f>
        <v/>
      </c>
      <c r="BK213" t="str">
        <f>IF(OR(BK$23="",ISNA($B213)),"",IF(ISBLANK($B213),"",IFERROR(_xll.BDP(TICKER,"DEEP_MEASURE_PERIOD_BROKER_VALUE","DEEP_MEASURE_ID_OVERRIDE",$C213,"DEEP_BROKER_ID_OVERRIDE",BK$24,"DEEP_PERIOD_OVERRIDE",$H$19)*1,"")))</f>
        <v/>
      </c>
      <c r="BL213" t="str">
        <f>IF(OR(BL$23="",ISNA($B213)),"",IF(ISBLANK($B213),"",IFERROR(_xll.BDP(TICKER,"DEEP_MEASURE_PERIOD_BROKER_VALUE","DEEP_MEASURE_ID_OVERRIDE",$C213,"DEEP_BROKER_ID_OVERRIDE",BL$24,"DEEP_PERIOD_OVERRIDE",$H$19)*1,"")))</f>
        <v/>
      </c>
      <c r="BM213" t="str">
        <f>IF(OR(BM$23="",ISNA($B213)),"",IF(ISBLANK($B213),"",IFERROR(_xll.BDP(TICKER,"DEEP_MEASURE_PERIOD_BROKER_VALUE","DEEP_MEASURE_ID_OVERRIDE",$C213,"DEEP_BROKER_ID_OVERRIDE",BM$24,"DEEP_PERIOD_OVERRIDE",$H$19)*1,"")))</f>
        <v/>
      </c>
      <c r="BN213" t="str">
        <f>IF(OR(BN$23="",ISNA($B213)),"",IF(ISBLANK($B213),"",IFERROR(_xll.BDP(TICKER,"DEEP_MEASURE_PERIOD_BROKER_VALUE","DEEP_MEASURE_ID_OVERRIDE",$C213,"DEEP_BROKER_ID_OVERRIDE",BN$24,"DEEP_PERIOD_OVERRIDE",$H$19)*1,"")))</f>
        <v/>
      </c>
      <c r="BO213" t="str">
        <f>IF(OR(BO$23="",ISNA($B213)),"",IF(ISBLANK($B213),"",IFERROR(_xll.BDP(TICKER,"DEEP_MEASURE_PERIOD_BROKER_VALUE","DEEP_MEASURE_ID_OVERRIDE",$C213,"DEEP_BROKER_ID_OVERRIDE",BO$24,"DEEP_PERIOD_OVERRIDE",$H$19)*1,"")))</f>
        <v/>
      </c>
      <c r="BP213" t="str">
        <f>IF(OR(BP$23="",ISNA($B213)),"",IF(ISBLANK($B213),"",IFERROR(_xll.BDP(TICKER,"DEEP_MEASURE_PERIOD_BROKER_VALUE","DEEP_MEASURE_ID_OVERRIDE",$C213,"DEEP_BROKER_ID_OVERRIDE",BP$24,"DEEP_PERIOD_OVERRIDE",$H$19)*1,"")))</f>
        <v/>
      </c>
      <c r="BQ213" t="str">
        <f>IF(OR(BQ$23="",ISNA($B213)),"",IF(ISBLANK($B213),"",IFERROR(_xll.BDP(TICKER,"DEEP_MEASURE_PERIOD_BROKER_VALUE","DEEP_MEASURE_ID_OVERRIDE",$C213,"DEEP_BROKER_ID_OVERRIDE",BQ$24,"DEEP_PERIOD_OVERRIDE",$H$19)*1,"")))</f>
        <v/>
      </c>
      <c r="BR213" t="str">
        <f>IF(OR(BR$23="",ISNA($B213)),"",IF(ISBLANK($B213),"",IFERROR(_xll.BDP(TICKER,"DEEP_MEASURE_PERIOD_BROKER_VALUE","DEEP_MEASURE_ID_OVERRIDE",$C213,"DEEP_BROKER_ID_OVERRIDE",BR$24,"DEEP_PERIOD_OVERRIDE",$H$19)*1,"")))</f>
        <v/>
      </c>
      <c r="BS213" t="str">
        <f>IF(OR(BS$23="",ISNA($B213)),"",IF(ISBLANK($B213),"",IFERROR(_xll.BDP(TICKER,"DEEP_MEASURE_PERIOD_BROKER_VALUE","DEEP_MEASURE_ID_OVERRIDE",$C213,"DEEP_BROKER_ID_OVERRIDE",BS$24,"DEEP_PERIOD_OVERRIDE",$H$19)*1,"")))</f>
        <v/>
      </c>
      <c r="BT213" t="str">
        <f>IF(OR(BT$23="",ISNA($B213)),"",IF(ISBLANK($B213),"",IFERROR(_xll.BDP(TICKER,"DEEP_MEASURE_PERIOD_BROKER_VALUE","DEEP_MEASURE_ID_OVERRIDE",$C213,"DEEP_BROKER_ID_OVERRIDE",BT$24,"DEEP_PERIOD_OVERRIDE",$H$19)*1,"")))</f>
        <v/>
      </c>
      <c r="BU213" t="str">
        <f>IF(OR(BU$23="",ISNA($B213)),"",IF(ISBLANK($B213),"",IFERROR(_xll.BDP(TICKER,"DEEP_MEASURE_PERIOD_BROKER_VALUE","DEEP_MEASURE_ID_OVERRIDE",$C213,"DEEP_BROKER_ID_OVERRIDE",BU$24,"DEEP_PERIOD_OVERRIDE",$H$19)*1,"")))</f>
        <v/>
      </c>
      <c r="BV213" t="str">
        <f>IF(OR(BV$23="",ISNA($B213)),"",IF(ISBLANK($B213),"",IFERROR(_xll.BDP(TICKER,"DEEP_MEASURE_PERIOD_BROKER_VALUE","DEEP_MEASURE_ID_OVERRIDE",$C213,"DEEP_BROKER_ID_OVERRIDE",BV$24,"DEEP_PERIOD_OVERRIDE",$H$19)*1,"")))</f>
        <v/>
      </c>
      <c r="BW213" t="str">
        <f>IF(OR(BW$23="",ISNA($B213)),"",IF(ISBLANK($B213),"",IFERROR(_xll.BDP(TICKER,"DEEP_MEASURE_PERIOD_BROKER_VALUE","DEEP_MEASURE_ID_OVERRIDE",$C213,"DEEP_BROKER_ID_OVERRIDE",BW$24,"DEEP_PERIOD_OVERRIDE",$H$19)*1,"")))</f>
        <v/>
      </c>
      <c r="BX213" t="str">
        <f>IF(OR(BX$23="",ISNA($B213)),"",IF(ISBLANK($B213),"",IFERROR(_xll.BDP(TICKER,"DEEP_MEASURE_PERIOD_BROKER_VALUE","DEEP_MEASURE_ID_OVERRIDE",$C213,"DEEP_BROKER_ID_OVERRIDE",BX$24,"DEEP_PERIOD_OVERRIDE",$H$19)*1,"")))</f>
        <v/>
      </c>
      <c r="BY213" t="str">
        <f>IF(OR(BY$23="",ISNA($B213)),"",IF(ISBLANK($B213),"",IFERROR(_xll.BDP(TICKER,"DEEP_MEASURE_PERIOD_BROKER_VALUE","DEEP_MEASURE_ID_OVERRIDE",$C213,"DEEP_BROKER_ID_OVERRIDE",BY$24,"DEEP_PERIOD_OVERRIDE",$H$19)*1,"")))</f>
        <v/>
      </c>
      <c r="BZ213" t="str">
        <f>IF(OR(BZ$23="",ISNA($B213)),"",IF(ISBLANK($B213),"",IFERROR(_xll.BDP(TICKER,"DEEP_MEASURE_PERIOD_BROKER_VALUE","DEEP_MEASURE_ID_OVERRIDE",$C213,"DEEP_BROKER_ID_OVERRIDE",BZ$24,"DEEP_PERIOD_OVERRIDE",$H$19)*1,"")))</f>
        <v/>
      </c>
    </row>
    <row r="214" spans="2:78" x14ac:dyDescent="0.25">
      <c r="B214" t="s">
        <v>26</v>
      </c>
      <c r="C214">
        <v>494</v>
      </c>
      <c r="H214" t="str">
        <f t="shared" si="3"/>
        <v>Cash Flow from Financing</v>
      </c>
      <c r="I214" t="str">
        <f>IF(OR(I$23="",ISNA($B214)),"",IF(ISBLANK($B214),"",IFERROR(_xll.BDP(TICKER,"DEEP_MEASURE_PERIOD_BROKER_VALUE","DEEP_MEASURE_ID_OVERRIDE",$C214,"DEEP_PERIOD_OVERRIDE",$H$19)*1,"")))</f>
        <v/>
      </c>
      <c r="J214" t="e">
        <f>IF(OR(J$23="",ISNA($B214)),"",IF(ISBLANK($B214),"",IFERROR(_xll.BDP(TICKER,"DEEP_MEASURE_PERIOD_BROKER_VALUE","DEEP_MEASURE_ID_OVERRIDE",$C214,"DEEP_BROKER_ID_OVERRIDE",J$24,"DEEP_PERIOD_OVERRIDE",$H$19)*1,"")))</f>
        <v>#REF!</v>
      </c>
      <c r="K214" t="str">
        <f>IF(OR(K$23="",ISNA($B214)),"",IF(ISBLANK($B214),"",IFERROR(_xll.BDP(TICKER,"DEEP_MEASURE_PERIOD_BROKER_VALUE","DEEP_MEASURE_ID_OVERRIDE",$C214,"DEEP_BROKER_ID_OVERRIDE",K$24,"DEEP_PERIOD_OVERRIDE",$H$19)*1,"")))</f>
        <v/>
      </c>
      <c r="L214" t="str">
        <f>IF(OR(L$23="",ISNA($B214)),"",IF(ISBLANK($B214),"",IFERROR(_xll.BDP(TICKER,"DEEP_MEASURE_PERIOD_BROKER_VALUE","DEEP_MEASURE_ID_OVERRIDE",$C214,"DEEP_BROKER_ID_OVERRIDE",L$24,"DEEP_PERIOD_OVERRIDE",$H$19)*1,"")))</f>
        <v/>
      </c>
      <c r="M214" t="str">
        <f>IF(OR(M$23="",ISNA($B214)),"",IF(ISBLANK($B214),"",IFERROR(_xll.BDP(TICKER,"DEEP_MEASURE_PERIOD_BROKER_VALUE","DEEP_MEASURE_ID_OVERRIDE",$C214,"DEEP_BROKER_ID_OVERRIDE",M$24,"DEEP_PERIOD_OVERRIDE",$H$19)*1,"")))</f>
        <v/>
      </c>
      <c r="N214" t="str">
        <f>IF(OR(N$23="",ISNA($B214)),"",IF(ISBLANK($B214),"",IFERROR(_xll.BDP(TICKER,"DEEP_MEASURE_PERIOD_BROKER_VALUE","DEEP_MEASURE_ID_OVERRIDE",$C214,"DEEP_BROKER_ID_OVERRIDE",N$24,"DEEP_PERIOD_OVERRIDE",$H$19)*1,"")))</f>
        <v/>
      </c>
      <c r="O214" t="str">
        <f>IF(OR(O$23="",ISNA($B214)),"",IF(ISBLANK($B214),"",IFERROR(_xll.BDP(TICKER,"DEEP_MEASURE_PERIOD_BROKER_VALUE","DEEP_MEASURE_ID_OVERRIDE",$C214,"DEEP_BROKER_ID_OVERRIDE",O$24,"DEEP_PERIOD_OVERRIDE",$H$19)*1,"")))</f>
        <v/>
      </c>
      <c r="P214" t="str">
        <f>IF(OR(P$23="",ISNA($B214)),"",IF(ISBLANK($B214),"",IFERROR(_xll.BDP(TICKER,"DEEP_MEASURE_PERIOD_BROKER_VALUE","DEEP_MEASURE_ID_OVERRIDE",$C214,"DEEP_BROKER_ID_OVERRIDE",P$24,"DEEP_PERIOD_OVERRIDE",$H$19)*1,"")))</f>
        <v/>
      </c>
      <c r="Q214" t="str">
        <f>IF(OR(Q$23="",ISNA($B214)),"",IF(ISBLANK($B214),"",IFERROR(_xll.BDP(TICKER,"DEEP_MEASURE_PERIOD_BROKER_VALUE","DEEP_MEASURE_ID_OVERRIDE",$C214,"DEEP_BROKER_ID_OVERRIDE",Q$24,"DEEP_PERIOD_OVERRIDE",$H$19)*1,"")))</f>
        <v/>
      </c>
      <c r="R214" t="str">
        <f>IF(OR(R$23="",ISNA($B214)),"",IF(ISBLANK($B214),"",IFERROR(_xll.BDP(TICKER,"DEEP_MEASURE_PERIOD_BROKER_VALUE","DEEP_MEASURE_ID_OVERRIDE",$C214,"DEEP_BROKER_ID_OVERRIDE",R$24,"DEEP_PERIOD_OVERRIDE",$H$19)*1,"")))</f>
        <v/>
      </c>
      <c r="S214" t="str">
        <f>IF(OR(S$23="",ISNA($B214)),"",IF(ISBLANK($B214),"",IFERROR(_xll.BDP(TICKER,"DEEP_MEASURE_PERIOD_BROKER_VALUE","DEEP_MEASURE_ID_OVERRIDE",$C214,"DEEP_BROKER_ID_OVERRIDE",S$24,"DEEP_PERIOD_OVERRIDE",$H$19)*1,"")))</f>
        <v/>
      </c>
      <c r="T214" t="str">
        <f>IF(OR(T$23="",ISNA($B214)),"",IF(ISBLANK($B214),"",IFERROR(_xll.BDP(TICKER,"DEEP_MEASURE_PERIOD_BROKER_VALUE","DEEP_MEASURE_ID_OVERRIDE",$C214,"DEEP_BROKER_ID_OVERRIDE",T$24,"DEEP_PERIOD_OVERRIDE",$H$19)*1,"")))</f>
        <v/>
      </c>
      <c r="U214" t="str">
        <f>IF(OR(U$23="",ISNA($B214)),"",IF(ISBLANK($B214),"",IFERROR(_xll.BDP(TICKER,"DEEP_MEASURE_PERIOD_BROKER_VALUE","DEEP_MEASURE_ID_OVERRIDE",$C214,"DEEP_BROKER_ID_OVERRIDE",U$24,"DEEP_PERIOD_OVERRIDE",$H$19)*1,"")))</f>
        <v/>
      </c>
      <c r="V214" t="str">
        <f>IF(OR(V$23="",ISNA($B214)),"",IF(ISBLANK($B214),"",IFERROR(_xll.BDP(TICKER,"DEEP_MEASURE_PERIOD_BROKER_VALUE","DEEP_MEASURE_ID_OVERRIDE",$C214,"DEEP_BROKER_ID_OVERRIDE",V$24,"DEEP_PERIOD_OVERRIDE",$H$19)*1,"")))</f>
        <v/>
      </c>
      <c r="W214" t="str">
        <f>IF(OR(W$23="",ISNA($B214)),"",IF(ISBLANK($B214),"",IFERROR(_xll.BDP(TICKER,"DEEP_MEASURE_PERIOD_BROKER_VALUE","DEEP_MEASURE_ID_OVERRIDE",$C214,"DEEP_BROKER_ID_OVERRIDE",W$24,"DEEP_PERIOD_OVERRIDE",$H$19)*1,"")))</f>
        <v/>
      </c>
      <c r="X214" t="str">
        <f>IF(OR(X$23="",ISNA($B214)),"",IF(ISBLANK($B214),"",IFERROR(_xll.BDP(TICKER,"DEEP_MEASURE_PERIOD_BROKER_VALUE","DEEP_MEASURE_ID_OVERRIDE",$C214,"DEEP_BROKER_ID_OVERRIDE",X$24,"DEEP_PERIOD_OVERRIDE",$H$19)*1,"")))</f>
        <v/>
      </c>
      <c r="Y214" t="str">
        <f>IF(OR(Y$23="",ISNA($B214)),"",IF(ISBLANK($B214),"",IFERROR(_xll.BDP(TICKER,"DEEP_MEASURE_PERIOD_BROKER_VALUE","DEEP_MEASURE_ID_OVERRIDE",$C214,"DEEP_BROKER_ID_OVERRIDE",Y$24,"DEEP_PERIOD_OVERRIDE",$H$19)*1,"")))</f>
        <v/>
      </c>
      <c r="Z214" t="str">
        <f>IF(OR(Z$23="",ISNA($B214)),"",IF(ISBLANK($B214),"",IFERROR(_xll.BDP(TICKER,"DEEP_MEASURE_PERIOD_BROKER_VALUE","DEEP_MEASURE_ID_OVERRIDE",$C214,"DEEP_BROKER_ID_OVERRIDE",Z$24,"DEEP_PERIOD_OVERRIDE",$H$19)*1,"")))</f>
        <v/>
      </c>
      <c r="AA214" t="str">
        <f>IF(OR(AA$23="",ISNA($B214)),"",IF(ISBLANK($B214),"",IFERROR(_xll.BDP(TICKER,"DEEP_MEASURE_PERIOD_BROKER_VALUE","DEEP_MEASURE_ID_OVERRIDE",$C214,"DEEP_BROKER_ID_OVERRIDE",AA$24,"DEEP_PERIOD_OVERRIDE",$H$19)*1,"")))</f>
        <v/>
      </c>
      <c r="AB214" t="str">
        <f>IF(OR(AB$23="",ISNA($B214)),"",IF(ISBLANK($B214),"",IFERROR(_xll.BDP(TICKER,"DEEP_MEASURE_PERIOD_BROKER_VALUE","DEEP_MEASURE_ID_OVERRIDE",$C214,"DEEP_BROKER_ID_OVERRIDE",AB$24,"DEEP_PERIOD_OVERRIDE",$H$19)*1,"")))</f>
        <v/>
      </c>
      <c r="AC214" t="str">
        <f>IF(OR(AC$23="",ISNA($B214)),"",IF(ISBLANK($B214),"",IFERROR(_xll.BDP(TICKER,"DEEP_MEASURE_PERIOD_BROKER_VALUE","DEEP_MEASURE_ID_OVERRIDE",$C214,"DEEP_BROKER_ID_OVERRIDE",AC$24,"DEEP_PERIOD_OVERRIDE",$H$19)*1,"")))</f>
        <v/>
      </c>
      <c r="AD214" t="str">
        <f>IF(OR(AD$23="",ISNA($B214)),"",IF(ISBLANK($B214),"",IFERROR(_xll.BDP(TICKER,"DEEP_MEASURE_PERIOD_BROKER_VALUE","DEEP_MEASURE_ID_OVERRIDE",$C214,"DEEP_BROKER_ID_OVERRIDE",AD$24,"DEEP_PERIOD_OVERRIDE",$H$19)*1,"")))</f>
        <v/>
      </c>
      <c r="AE214" t="str">
        <f>IF(OR(AE$23="",ISNA($B214)),"",IF(ISBLANK($B214),"",IFERROR(_xll.BDP(TICKER,"DEEP_MEASURE_PERIOD_BROKER_VALUE","DEEP_MEASURE_ID_OVERRIDE",$C214,"DEEP_BROKER_ID_OVERRIDE",AE$24,"DEEP_PERIOD_OVERRIDE",$H$19)*1,"")))</f>
        <v/>
      </c>
      <c r="AF214" t="str">
        <f>IF(OR(AF$23="",ISNA($B214)),"",IF(ISBLANK($B214),"",IFERROR(_xll.BDP(TICKER,"DEEP_MEASURE_PERIOD_BROKER_VALUE","DEEP_MEASURE_ID_OVERRIDE",$C214,"DEEP_BROKER_ID_OVERRIDE",AF$24,"DEEP_PERIOD_OVERRIDE",$H$19)*1,"")))</f>
        <v/>
      </c>
      <c r="AG214" t="str">
        <f>IF(OR(AG$23="",ISNA($B214)),"",IF(ISBLANK($B214),"",IFERROR(_xll.BDP(TICKER,"DEEP_MEASURE_PERIOD_BROKER_VALUE","DEEP_MEASURE_ID_OVERRIDE",$C214,"DEEP_BROKER_ID_OVERRIDE",AG$24,"DEEP_PERIOD_OVERRIDE",$H$19)*1,"")))</f>
        <v/>
      </c>
      <c r="AH214" t="str">
        <f>IF(OR(AH$23="",ISNA($B214)),"",IF(ISBLANK($B214),"",IFERROR(_xll.BDP(TICKER,"DEEP_MEASURE_PERIOD_BROKER_VALUE","DEEP_MEASURE_ID_OVERRIDE",$C214,"DEEP_BROKER_ID_OVERRIDE",AH$24,"DEEP_PERIOD_OVERRIDE",$H$19)*1,"")))</f>
        <v/>
      </c>
      <c r="AI214" t="str">
        <f>IF(OR(AI$23="",ISNA($B214)),"",IF(ISBLANK($B214),"",IFERROR(_xll.BDP(TICKER,"DEEP_MEASURE_PERIOD_BROKER_VALUE","DEEP_MEASURE_ID_OVERRIDE",$C214,"DEEP_BROKER_ID_OVERRIDE",AI$24,"DEEP_PERIOD_OVERRIDE",$H$19)*1,"")))</f>
        <v/>
      </c>
      <c r="AJ214" t="str">
        <f>IF(OR(AJ$23="",ISNA($B214)),"",IF(ISBLANK($B214),"",IFERROR(_xll.BDP(TICKER,"DEEP_MEASURE_PERIOD_BROKER_VALUE","DEEP_MEASURE_ID_OVERRIDE",$C214,"DEEP_BROKER_ID_OVERRIDE",AJ$24,"DEEP_PERIOD_OVERRIDE",$H$19)*1,"")))</f>
        <v/>
      </c>
      <c r="AK214" t="str">
        <f>IF(OR(AK$23="",ISNA($B214)),"",IF(ISBLANK($B214),"",IFERROR(_xll.BDP(TICKER,"DEEP_MEASURE_PERIOD_BROKER_VALUE","DEEP_MEASURE_ID_OVERRIDE",$C214,"DEEP_BROKER_ID_OVERRIDE",AK$24,"DEEP_PERIOD_OVERRIDE",$H$19)*1,"")))</f>
        <v/>
      </c>
      <c r="AL214" t="str">
        <f>IF(OR(AL$23="",ISNA($B214)),"",IF(ISBLANK($B214),"",IFERROR(_xll.BDP(TICKER,"DEEP_MEASURE_PERIOD_BROKER_VALUE","DEEP_MEASURE_ID_OVERRIDE",$C214,"DEEP_BROKER_ID_OVERRIDE",AL$24,"DEEP_PERIOD_OVERRIDE",$H$19)*1,"")))</f>
        <v/>
      </c>
      <c r="AM214" t="str">
        <f>IF(OR(AM$23="",ISNA($B214)),"",IF(ISBLANK($B214),"",IFERROR(_xll.BDP(TICKER,"DEEP_MEASURE_PERIOD_BROKER_VALUE","DEEP_MEASURE_ID_OVERRIDE",$C214,"DEEP_BROKER_ID_OVERRIDE",AM$24,"DEEP_PERIOD_OVERRIDE",$H$19)*1,"")))</f>
        <v/>
      </c>
      <c r="AN214" t="str">
        <f>IF(OR(AN$23="",ISNA($B214)),"",IF(ISBLANK($B214),"",IFERROR(_xll.BDP(TICKER,"DEEP_MEASURE_PERIOD_BROKER_VALUE","DEEP_MEASURE_ID_OVERRIDE",$C214,"DEEP_BROKER_ID_OVERRIDE",AN$24,"DEEP_PERIOD_OVERRIDE",$H$19)*1,"")))</f>
        <v/>
      </c>
      <c r="AO214" t="str">
        <f>IF(OR(AO$23="",ISNA($B214)),"",IF(ISBLANK($B214),"",IFERROR(_xll.BDP(TICKER,"DEEP_MEASURE_PERIOD_BROKER_VALUE","DEEP_MEASURE_ID_OVERRIDE",$C214,"DEEP_BROKER_ID_OVERRIDE",AO$24,"DEEP_PERIOD_OVERRIDE",$H$19)*1,"")))</f>
        <v/>
      </c>
      <c r="AP214" t="str">
        <f>IF(OR(AP$23="",ISNA($B214)),"",IF(ISBLANK($B214),"",IFERROR(_xll.BDP(TICKER,"DEEP_MEASURE_PERIOD_BROKER_VALUE","DEEP_MEASURE_ID_OVERRIDE",$C214,"DEEP_BROKER_ID_OVERRIDE",AP$24,"DEEP_PERIOD_OVERRIDE",$H$19)*1,"")))</f>
        <v/>
      </c>
      <c r="AQ214" t="str">
        <f>IF(OR(AQ$23="",ISNA($B214)),"",IF(ISBLANK($B214),"",IFERROR(_xll.BDP(TICKER,"DEEP_MEASURE_PERIOD_BROKER_VALUE","DEEP_MEASURE_ID_OVERRIDE",$C214,"DEEP_BROKER_ID_OVERRIDE",AQ$24,"DEEP_PERIOD_OVERRIDE",$H$19)*1,"")))</f>
        <v/>
      </c>
      <c r="AR214" t="str">
        <f>IF(OR(AR$23="",ISNA($B214)),"",IF(ISBLANK($B214),"",IFERROR(_xll.BDP(TICKER,"DEEP_MEASURE_PERIOD_BROKER_VALUE","DEEP_MEASURE_ID_OVERRIDE",$C214,"DEEP_BROKER_ID_OVERRIDE",AR$24,"DEEP_PERIOD_OVERRIDE",$H$19)*1,"")))</f>
        <v/>
      </c>
      <c r="AS214" t="str">
        <f>IF(OR(AS$23="",ISNA($B214)),"",IF(ISBLANK($B214),"",IFERROR(_xll.BDP(TICKER,"DEEP_MEASURE_PERIOD_BROKER_VALUE","DEEP_MEASURE_ID_OVERRIDE",$C214,"DEEP_BROKER_ID_OVERRIDE",AS$24,"DEEP_PERIOD_OVERRIDE",$H$19)*1,"")))</f>
        <v/>
      </c>
      <c r="AT214" t="str">
        <f>IF(OR(AT$23="",ISNA($B214)),"",IF(ISBLANK($B214),"",IFERROR(_xll.BDP(TICKER,"DEEP_MEASURE_PERIOD_BROKER_VALUE","DEEP_MEASURE_ID_OVERRIDE",$C214,"DEEP_BROKER_ID_OVERRIDE",AT$24,"DEEP_PERIOD_OVERRIDE",$H$19)*1,"")))</f>
        <v/>
      </c>
      <c r="AU214" t="str">
        <f>IF(OR(AU$23="",ISNA($B214)),"",IF(ISBLANK($B214),"",IFERROR(_xll.BDP(TICKER,"DEEP_MEASURE_PERIOD_BROKER_VALUE","DEEP_MEASURE_ID_OVERRIDE",$C214,"DEEP_BROKER_ID_OVERRIDE",AU$24,"DEEP_PERIOD_OVERRIDE",$H$19)*1,"")))</f>
        <v/>
      </c>
      <c r="AV214" t="str">
        <f>IF(OR(AV$23="",ISNA($B214)),"",IF(ISBLANK($B214),"",IFERROR(_xll.BDP(TICKER,"DEEP_MEASURE_PERIOD_BROKER_VALUE","DEEP_MEASURE_ID_OVERRIDE",$C214,"DEEP_BROKER_ID_OVERRIDE",AV$24,"DEEP_PERIOD_OVERRIDE",$H$19)*1,"")))</f>
        <v/>
      </c>
      <c r="AW214" t="str">
        <f>IF(OR(AW$23="",ISNA($B214)),"",IF(ISBLANK($B214),"",IFERROR(_xll.BDP(TICKER,"DEEP_MEASURE_PERIOD_BROKER_VALUE","DEEP_MEASURE_ID_OVERRIDE",$C214,"DEEP_BROKER_ID_OVERRIDE",AW$24,"DEEP_PERIOD_OVERRIDE",$H$19)*1,"")))</f>
        <v/>
      </c>
      <c r="AX214" t="str">
        <f>IF(OR(AX$23="",ISNA($B214)),"",IF(ISBLANK($B214),"",IFERROR(_xll.BDP(TICKER,"DEEP_MEASURE_PERIOD_BROKER_VALUE","DEEP_MEASURE_ID_OVERRIDE",$C214,"DEEP_BROKER_ID_OVERRIDE",AX$24,"DEEP_PERIOD_OVERRIDE",$H$19)*1,"")))</f>
        <v/>
      </c>
      <c r="AY214" t="str">
        <f>IF(OR(AY$23="",ISNA($B214)),"",IF(ISBLANK($B214),"",IFERROR(_xll.BDP(TICKER,"DEEP_MEASURE_PERIOD_BROKER_VALUE","DEEP_MEASURE_ID_OVERRIDE",$C214,"DEEP_BROKER_ID_OVERRIDE",AY$24,"DEEP_PERIOD_OVERRIDE",$H$19)*1,"")))</f>
        <v/>
      </c>
      <c r="AZ214" t="str">
        <f>IF(OR(AZ$23="",ISNA($B214)),"",IF(ISBLANK($B214),"",IFERROR(_xll.BDP(TICKER,"DEEP_MEASURE_PERIOD_BROKER_VALUE","DEEP_MEASURE_ID_OVERRIDE",$C214,"DEEP_BROKER_ID_OVERRIDE",AZ$24,"DEEP_PERIOD_OVERRIDE",$H$19)*1,"")))</f>
        <v/>
      </c>
      <c r="BA214" t="str">
        <f>IF(OR(BA$23="",ISNA($B214)),"",IF(ISBLANK($B214),"",IFERROR(_xll.BDP(TICKER,"DEEP_MEASURE_PERIOD_BROKER_VALUE","DEEP_MEASURE_ID_OVERRIDE",$C214,"DEEP_BROKER_ID_OVERRIDE",BA$24,"DEEP_PERIOD_OVERRIDE",$H$19)*1,"")))</f>
        <v/>
      </c>
      <c r="BB214" t="str">
        <f>IF(OR(BB$23="",ISNA($B214)),"",IF(ISBLANK($B214),"",IFERROR(_xll.BDP(TICKER,"DEEP_MEASURE_PERIOD_BROKER_VALUE","DEEP_MEASURE_ID_OVERRIDE",$C214,"DEEP_BROKER_ID_OVERRIDE",BB$24,"DEEP_PERIOD_OVERRIDE",$H$19)*1,"")))</f>
        <v/>
      </c>
      <c r="BC214" t="str">
        <f>IF(OR(BC$23="",ISNA($B214)),"",IF(ISBLANK($B214),"",IFERROR(_xll.BDP(TICKER,"DEEP_MEASURE_PERIOD_BROKER_VALUE","DEEP_MEASURE_ID_OVERRIDE",$C214,"DEEP_BROKER_ID_OVERRIDE",BC$24,"DEEP_PERIOD_OVERRIDE",$H$19)*1,"")))</f>
        <v/>
      </c>
      <c r="BD214" t="str">
        <f>IF(OR(BD$23="",ISNA($B214)),"",IF(ISBLANK($B214),"",IFERROR(_xll.BDP(TICKER,"DEEP_MEASURE_PERIOD_BROKER_VALUE","DEEP_MEASURE_ID_OVERRIDE",$C214,"DEEP_BROKER_ID_OVERRIDE",BD$24,"DEEP_PERIOD_OVERRIDE",$H$19)*1,"")))</f>
        <v/>
      </c>
      <c r="BE214" t="str">
        <f>IF(OR(BE$23="",ISNA($B214)),"",IF(ISBLANK($B214),"",IFERROR(_xll.BDP(TICKER,"DEEP_MEASURE_PERIOD_BROKER_VALUE","DEEP_MEASURE_ID_OVERRIDE",$C214,"DEEP_BROKER_ID_OVERRIDE",BE$24,"DEEP_PERIOD_OVERRIDE",$H$19)*1,"")))</f>
        <v/>
      </c>
      <c r="BF214" t="str">
        <f>IF(OR(BF$23="",ISNA($B214)),"",IF(ISBLANK($B214),"",IFERROR(_xll.BDP(TICKER,"DEEP_MEASURE_PERIOD_BROKER_VALUE","DEEP_MEASURE_ID_OVERRIDE",$C214,"DEEP_BROKER_ID_OVERRIDE",BF$24,"DEEP_PERIOD_OVERRIDE",$H$19)*1,"")))</f>
        <v/>
      </c>
      <c r="BG214" t="str">
        <f>IF(OR(BG$23="",ISNA($B214)),"",IF(ISBLANK($B214),"",IFERROR(_xll.BDP(TICKER,"DEEP_MEASURE_PERIOD_BROKER_VALUE","DEEP_MEASURE_ID_OVERRIDE",$C214,"DEEP_BROKER_ID_OVERRIDE",BG$24,"DEEP_PERIOD_OVERRIDE",$H$19)*1,"")))</f>
        <v/>
      </c>
      <c r="BH214" t="str">
        <f>IF(OR(BH$23="",ISNA($B214)),"",IF(ISBLANK($B214),"",IFERROR(_xll.BDP(TICKER,"DEEP_MEASURE_PERIOD_BROKER_VALUE","DEEP_MEASURE_ID_OVERRIDE",$C214,"DEEP_BROKER_ID_OVERRIDE",BH$24,"DEEP_PERIOD_OVERRIDE",$H$19)*1,"")))</f>
        <v/>
      </c>
      <c r="BI214" t="str">
        <f>IF(OR(BI$23="",ISNA($B214)),"",IF(ISBLANK($B214),"",IFERROR(_xll.BDP(TICKER,"DEEP_MEASURE_PERIOD_BROKER_VALUE","DEEP_MEASURE_ID_OVERRIDE",$C214,"DEEP_BROKER_ID_OVERRIDE",BI$24,"DEEP_PERIOD_OVERRIDE",$H$19)*1,"")))</f>
        <v/>
      </c>
      <c r="BJ214" t="str">
        <f>IF(OR(BJ$23="",ISNA($B214)),"",IF(ISBLANK($B214),"",IFERROR(_xll.BDP(TICKER,"DEEP_MEASURE_PERIOD_BROKER_VALUE","DEEP_MEASURE_ID_OVERRIDE",$C214,"DEEP_BROKER_ID_OVERRIDE",BJ$24,"DEEP_PERIOD_OVERRIDE",$H$19)*1,"")))</f>
        <v/>
      </c>
      <c r="BK214" t="str">
        <f>IF(OR(BK$23="",ISNA($B214)),"",IF(ISBLANK($B214),"",IFERROR(_xll.BDP(TICKER,"DEEP_MEASURE_PERIOD_BROKER_VALUE","DEEP_MEASURE_ID_OVERRIDE",$C214,"DEEP_BROKER_ID_OVERRIDE",BK$24,"DEEP_PERIOD_OVERRIDE",$H$19)*1,"")))</f>
        <v/>
      </c>
      <c r="BL214" t="str">
        <f>IF(OR(BL$23="",ISNA($B214)),"",IF(ISBLANK($B214),"",IFERROR(_xll.BDP(TICKER,"DEEP_MEASURE_PERIOD_BROKER_VALUE","DEEP_MEASURE_ID_OVERRIDE",$C214,"DEEP_BROKER_ID_OVERRIDE",BL$24,"DEEP_PERIOD_OVERRIDE",$H$19)*1,"")))</f>
        <v/>
      </c>
      <c r="BM214" t="str">
        <f>IF(OR(BM$23="",ISNA($B214)),"",IF(ISBLANK($B214),"",IFERROR(_xll.BDP(TICKER,"DEEP_MEASURE_PERIOD_BROKER_VALUE","DEEP_MEASURE_ID_OVERRIDE",$C214,"DEEP_BROKER_ID_OVERRIDE",BM$24,"DEEP_PERIOD_OVERRIDE",$H$19)*1,"")))</f>
        <v/>
      </c>
      <c r="BN214" t="str">
        <f>IF(OR(BN$23="",ISNA($B214)),"",IF(ISBLANK($B214),"",IFERROR(_xll.BDP(TICKER,"DEEP_MEASURE_PERIOD_BROKER_VALUE","DEEP_MEASURE_ID_OVERRIDE",$C214,"DEEP_BROKER_ID_OVERRIDE",BN$24,"DEEP_PERIOD_OVERRIDE",$H$19)*1,"")))</f>
        <v/>
      </c>
      <c r="BO214" t="str">
        <f>IF(OR(BO$23="",ISNA($B214)),"",IF(ISBLANK($B214),"",IFERROR(_xll.BDP(TICKER,"DEEP_MEASURE_PERIOD_BROKER_VALUE","DEEP_MEASURE_ID_OVERRIDE",$C214,"DEEP_BROKER_ID_OVERRIDE",BO$24,"DEEP_PERIOD_OVERRIDE",$H$19)*1,"")))</f>
        <v/>
      </c>
      <c r="BP214" t="str">
        <f>IF(OR(BP$23="",ISNA($B214)),"",IF(ISBLANK($B214),"",IFERROR(_xll.BDP(TICKER,"DEEP_MEASURE_PERIOD_BROKER_VALUE","DEEP_MEASURE_ID_OVERRIDE",$C214,"DEEP_BROKER_ID_OVERRIDE",BP$24,"DEEP_PERIOD_OVERRIDE",$H$19)*1,"")))</f>
        <v/>
      </c>
      <c r="BQ214" t="str">
        <f>IF(OR(BQ$23="",ISNA($B214)),"",IF(ISBLANK($B214),"",IFERROR(_xll.BDP(TICKER,"DEEP_MEASURE_PERIOD_BROKER_VALUE","DEEP_MEASURE_ID_OVERRIDE",$C214,"DEEP_BROKER_ID_OVERRIDE",BQ$24,"DEEP_PERIOD_OVERRIDE",$H$19)*1,"")))</f>
        <v/>
      </c>
      <c r="BR214" t="str">
        <f>IF(OR(BR$23="",ISNA($B214)),"",IF(ISBLANK($B214),"",IFERROR(_xll.BDP(TICKER,"DEEP_MEASURE_PERIOD_BROKER_VALUE","DEEP_MEASURE_ID_OVERRIDE",$C214,"DEEP_BROKER_ID_OVERRIDE",BR$24,"DEEP_PERIOD_OVERRIDE",$H$19)*1,"")))</f>
        <v/>
      </c>
      <c r="BS214" t="str">
        <f>IF(OR(BS$23="",ISNA($B214)),"",IF(ISBLANK($B214),"",IFERROR(_xll.BDP(TICKER,"DEEP_MEASURE_PERIOD_BROKER_VALUE","DEEP_MEASURE_ID_OVERRIDE",$C214,"DEEP_BROKER_ID_OVERRIDE",BS$24,"DEEP_PERIOD_OVERRIDE",$H$19)*1,"")))</f>
        <v/>
      </c>
      <c r="BT214" t="str">
        <f>IF(OR(BT$23="",ISNA($B214)),"",IF(ISBLANK($B214),"",IFERROR(_xll.BDP(TICKER,"DEEP_MEASURE_PERIOD_BROKER_VALUE","DEEP_MEASURE_ID_OVERRIDE",$C214,"DEEP_BROKER_ID_OVERRIDE",BT$24,"DEEP_PERIOD_OVERRIDE",$H$19)*1,"")))</f>
        <v/>
      </c>
      <c r="BU214" t="str">
        <f>IF(OR(BU$23="",ISNA($B214)),"",IF(ISBLANK($B214),"",IFERROR(_xll.BDP(TICKER,"DEEP_MEASURE_PERIOD_BROKER_VALUE","DEEP_MEASURE_ID_OVERRIDE",$C214,"DEEP_BROKER_ID_OVERRIDE",BU$24,"DEEP_PERIOD_OVERRIDE",$H$19)*1,"")))</f>
        <v/>
      </c>
      <c r="BV214" t="str">
        <f>IF(OR(BV$23="",ISNA($B214)),"",IF(ISBLANK($B214),"",IFERROR(_xll.BDP(TICKER,"DEEP_MEASURE_PERIOD_BROKER_VALUE","DEEP_MEASURE_ID_OVERRIDE",$C214,"DEEP_BROKER_ID_OVERRIDE",BV$24,"DEEP_PERIOD_OVERRIDE",$H$19)*1,"")))</f>
        <v/>
      </c>
      <c r="BW214" t="str">
        <f>IF(OR(BW$23="",ISNA($B214)),"",IF(ISBLANK($B214),"",IFERROR(_xll.BDP(TICKER,"DEEP_MEASURE_PERIOD_BROKER_VALUE","DEEP_MEASURE_ID_OVERRIDE",$C214,"DEEP_BROKER_ID_OVERRIDE",BW$24,"DEEP_PERIOD_OVERRIDE",$H$19)*1,"")))</f>
        <v/>
      </c>
      <c r="BX214" t="str">
        <f>IF(OR(BX$23="",ISNA($B214)),"",IF(ISBLANK($B214),"",IFERROR(_xll.BDP(TICKER,"DEEP_MEASURE_PERIOD_BROKER_VALUE","DEEP_MEASURE_ID_OVERRIDE",$C214,"DEEP_BROKER_ID_OVERRIDE",BX$24,"DEEP_PERIOD_OVERRIDE",$H$19)*1,"")))</f>
        <v/>
      </c>
      <c r="BY214" t="str">
        <f>IF(OR(BY$23="",ISNA($B214)),"",IF(ISBLANK($B214),"",IFERROR(_xll.BDP(TICKER,"DEEP_MEASURE_PERIOD_BROKER_VALUE","DEEP_MEASURE_ID_OVERRIDE",$C214,"DEEP_BROKER_ID_OVERRIDE",BY$24,"DEEP_PERIOD_OVERRIDE",$H$19)*1,"")))</f>
        <v/>
      </c>
      <c r="BZ214" t="str">
        <f>IF(OR(BZ$23="",ISNA($B214)),"",IF(ISBLANK($B214),"",IFERROR(_xll.BDP(TICKER,"DEEP_MEASURE_PERIOD_BROKER_VALUE","DEEP_MEASURE_ID_OVERRIDE",$C214,"DEEP_BROKER_ID_OVERRIDE",BZ$24,"DEEP_PERIOD_OVERRIDE",$H$19)*1,"")))</f>
        <v/>
      </c>
    </row>
    <row r="215" spans="2:78" x14ac:dyDescent="0.25">
      <c r="B215" t="s">
        <v>33</v>
      </c>
      <c r="C215">
        <v>990</v>
      </c>
      <c r="H215" t="str">
        <f t="shared" si="3"/>
        <v>Net Change in Cash</v>
      </c>
      <c r="I215" t="str">
        <f>IF(OR(I$23="",ISNA($B215)),"",IF(ISBLANK($B215),"",IFERROR(_xll.BDP(TICKER,"DEEP_MEASURE_PERIOD_BROKER_VALUE","DEEP_MEASURE_ID_OVERRIDE",$C215,"DEEP_PERIOD_OVERRIDE",$H$19)*1,"")))</f>
        <v/>
      </c>
      <c r="J215" t="e">
        <f>IF(OR(J$23="",ISNA($B215)),"",IF(ISBLANK($B215),"",IFERROR(_xll.BDP(TICKER,"DEEP_MEASURE_PERIOD_BROKER_VALUE","DEEP_MEASURE_ID_OVERRIDE",$C215,"DEEP_BROKER_ID_OVERRIDE",J$24,"DEEP_PERIOD_OVERRIDE",$H$19)*1,"")))</f>
        <v>#REF!</v>
      </c>
      <c r="K215" t="str">
        <f>IF(OR(K$23="",ISNA($B215)),"",IF(ISBLANK($B215),"",IFERROR(_xll.BDP(TICKER,"DEEP_MEASURE_PERIOD_BROKER_VALUE","DEEP_MEASURE_ID_OVERRIDE",$C215,"DEEP_BROKER_ID_OVERRIDE",K$24,"DEEP_PERIOD_OVERRIDE",$H$19)*1,"")))</f>
        <v/>
      </c>
      <c r="L215" t="str">
        <f>IF(OR(L$23="",ISNA($B215)),"",IF(ISBLANK($B215),"",IFERROR(_xll.BDP(TICKER,"DEEP_MEASURE_PERIOD_BROKER_VALUE","DEEP_MEASURE_ID_OVERRIDE",$C215,"DEEP_BROKER_ID_OVERRIDE",L$24,"DEEP_PERIOD_OVERRIDE",$H$19)*1,"")))</f>
        <v/>
      </c>
      <c r="M215" t="str">
        <f>IF(OR(M$23="",ISNA($B215)),"",IF(ISBLANK($B215),"",IFERROR(_xll.BDP(TICKER,"DEEP_MEASURE_PERIOD_BROKER_VALUE","DEEP_MEASURE_ID_OVERRIDE",$C215,"DEEP_BROKER_ID_OVERRIDE",M$24,"DEEP_PERIOD_OVERRIDE",$H$19)*1,"")))</f>
        <v/>
      </c>
      <c r="N215" t="str">
        <f>IF(OR(N$23="",ISNA($B215)),"",IF(ISBLANK($B215),"",IFERROR(_xll.BDP(TICKER,"DEEP_MEASURE_PERIOD_BROKER_VALUE","DEEP_MEASURE_ID_OVERRIDE",$C215,"DEEP_BROKER_ID_OVERRIDE",N$24,"DEEP_PERIOD_OVERRIDE",$H$19)*1,"")))</f>
        <v/>
      </c>
      <c r="O215" t="str">
        <f>IF(OR(O$23="",ISNA($B215)),"",IF(ISBLANK($B215),"",IFERROR(_xll.BDP(TICKER,"DEEP_MEASURE_PERIOD_BROKER_VALUE","DEEP_MEASURE_ID_OVERRIDE",$C215,"DEEP_BROKER_ID_OVERRIDE",O$24,"DEEP_PERIOD_OVERRIDE",$H$19)*1,"")))</f>
        <v/>
      </c>
      <c r="P215" t="str">
        <f>IF(OR(P$23="",ISNA($B215)),"",IF(ISBLANK($B215),"",IFERROR(_xll.BDP(TICKER,"DEEP_MEASURE_PERIOD_BROKER_VALUE","DEEP_MEASURE_ID_OVERRIDE",$C215,"DEEP_BROKER_ID_OVERRIDE",P$24,"DEEP_PERIOD_OVERRIDE",$H$19)*1,"")))</f>
        <v/>
      </c>
      <c r="Q215" t="str">
        <f>IF(OR(Q$23="",ISNA($B215)),"",IF(ISBLANK($B215),"",IFERROR(_xll.BDP(TICKER,"DEEP_MEASURE_PERIOD_BROKER_VALUE","DEEP_MEASURE_ID_OVERRIDE",$C215,"DEEP_BROKER_ID_OVERRIDE",Q$24,"DEEP_PERIOD_OVERRIDE",$H$19)*1,"")))</f>
        <v/>
      </c>
      <c r="R215" t="str">
        <f>IF(OR(R$23="",ISNA($B215)),"",IF(ISBLANK($B215),"",IFERROR(_xll.BDP(TICKER,"DEEP_MEASURE_PERIOD_BROKER_VALUE","DEEP_MEASURE_ID_OVERRIDE",$C215,"DEEP_BROKER_ID_OVERRIDE",R$24,"DEEP_PERIOD_OVERRIDE",$H$19)*1,"")))</f>
        <v/>
      </c>
      <c r="S215" t="str">
        <f>IF(OR(S$23="",ISNA($B215)),"",IF(ISBLANK($B215),"",IFERROR(_xll.BDP(TICKER,"DEEP_MEASURE_PERIOD_BROKER_VALUE","DEEP_MEASURE_ID_OVERRIDE",$C215,"DEEP_BROKER_ID_OVERRIDE",S$24,"DEEP_PERIOD_OVERRIDE",$H$19)*1,"")))</f>
        <v/>
      </c>
      <c r="T215" t="str">
        <f>IF(OR(T$23="",ISNA($B215)),"",IF(ISBLANK($B215),"",IFERROR(_xll.BDP(TICKER,"DEEP_MEASURE_PERIOD_BROKER_VALUE","DEEP_MEASURE_ID_OVERRIDE",$C215,"DEEP_BROKER_ID_OVERRIDE",T$24,"DEEP_PERIOD_OVERRIDE",$H$19)*1,"")))</f>
        <v/>
      </c>
      <c r="U215" t="str">
        <f>IF(OR(U$23="",ISNA($B215)),"",IF(ISBLANK($B215),"",IFERROR(_xll.BDP(TICKER,"DEEP_MEASURE_PERIOD_BROKER_VALUE","DEEP_MEASURE_ID_OVERRIDE",$C215,"DEEP_BROKER_ID_OVERRIDE",U$24,"DEEP_PERIOD_OVERRIDE",$H$19)*1,"")))</f>
        <v/>
      </c>
      <c r="V215" t="str">
        <f>IF(OR(V$23="",ISNA($B215)),"",IF(ISBLANK($B215),"",IFERROR(_xll.BDP(TICKER,"DEEP_MEASURE_PERIOD_BROKER_VALUE","DEEP_MEASURE_ID_OVERRIDE",$C215,"DEEP_BROKER_ID_OVERRIDE",V$24,"DEEP_PERIOD_OVERRIDE",$H$19)*1,"")))</f>
        <v/>
      </c>
      <c r="W215" t="str">
        <f>IF(OR(W$23="",ISNA($B215)),"",IF(ISBLANK($B215),"",IFERROR(_xll.BDP(TICKER,"DEEP_MEASURE_PERIOD_BROKER_VALUE","DEEP_MEASURE_ID_OVERRIDE",$C215,"DEEP_BROKER_ID_OVERRIDE",W$24,"DEEP_PERIOD_OVERRIDE",$H$19)*1,"")))</f>
        <v/>
      </c>
      <c r="X215" t="str">
        <f>IF(OR(X$23="",ISNA($B215)),"",IF(ISBLANK($B215),"",IFERROR(_xll.BDP(TICKER,"DEEP_MEASURE_PERIOD_BROKER_VALUE","DEEP_MEASURE_ID_OVERRIDE",$C215,"DEEP_BROKER_ID_OVERRIDE",X$24,"DEEP_PERIOD_OVERRIDE",$H$19)*1,"")))</f>
        <v/>
      </c>
      <c r="Y215" t="str">
        <f>IF(OR(Y$23="",ISNA($B215)),"",IF(ISBLANK($B215),"",IFERROR(_xll.BDP(TICKER,"DEEP_MEASURE_PERIOD_BROKER_VALUE","DEEP_MEASURE_ID_OVERRIDE",$C215,"DEEP_BROKER_ID_OVERRIDE",Y$24,"DEEP_PERIOD_OVERRIDE",$H$19)*1,"")))</f>
        <v/>
      </c>
      <c r="Z215" t="str">
        <f>IF(OR(Z$23="",ISNA($B215)),"",IF(ISBLANK($B215),"",IFERROR(_xll.BDP(TICKER,"DEEP_MEASURE_PERIOD_BROKER_VALUE","DEEP_MEASURE_ID_OVERRIDE",$C215,"DEEP_BROKER_ID_OVERRIDE",Z$24,"DEEP_PERIOD_OVERRIDE",$H$19)*1,"")))</f>
        <v/>
      </c>
      <c r="AA215" t="str">
        <f>IF(OR(AA$23="",ISNA($B215)),"",IF(ISBLANK($B215),"",IFERROR(_xll.BDP(TICKER,"DEEP_MEASURE_PERIOD_BROKER_VALUE","DEEP_MEASURE_ID_OVERRIDE",$C215,"DEEP_BROKER_ID_OVERRIDE",AA$24,"DEEP_PERIOD_OVERRIDE",$H$19)*1,"")))</f>
        <v/>
      </c>
      <c r="AB215" t="str">
        <f>IF(OR(AB$23="",ISNA($B215)),"",IF(ISBLANK($B215),"",IFERROR(_xll.BDP(TICKER,"DEEP_MEASURE_PERIOD_BROKER_VALUE","DEEP_MEASURE_ID_OVERRIDE",$C215,"DEEP_BROKER_ID_OVERRIDE",AB$24,"DEEP_PERIOD_OVERRIDE",$H$19)*1,"")))</f>
        <v/>
      </c>
      <c r="AC215" t="str">
        <f>IF(OR(AC$23="",ISNA($B215)),"",IF(ISBLANK($B215),"",IFERROR(_xll.BDP(TICKER,"DEEP_MEASURE_PERIOD_BROKER_VALUE","DEEP_MEASURE_ID_OVERRIDE",$C215,"DEEP_BROKER_ID_OVERRIDE",AC$24,"DEEP_PERIOD_OVERRIDE",$H$19)*1,"")))</f>
        <v/>
      </c>
      <c r="AD215" t="str">
        <f>IF(OR(AD$23="",ISNA($B215)),"",IF(ISBLANK($B215),"",IFERROR(_xll.BDP(TICKER,"DEEP_MEASURE_PERIOD_BROKER_VALUE","DEEP_MEASURE_ID_OVERRIDE",$C215,"DEEP_BROKER_ID_OVERRIDE",AD$24,"DEEP_PERIOD_OVERRIDE",$H$19)*1,"")))</f>
        <v/>
      </c>
      <c r="AE215" t="str">
        <f>IF(OR(AE$23="",ISNA($B215)),"",IF(ISBLANK($B215),"",IFERROR(_xll.BDP(TICKER,"DEEP_MEASURE_PERIOD_BROKER_VALUE","DEEP_MEASURE_ID_OVERRIDE",$C215,"DEEP_BROKER_ID_OVERRIDE",AE$24,"DEEP_PERIOD_OVERRIDE",$H$19)*1,"")))</f>
        <v/>
      </c>
      <c r="AF215" t="str">
        <f>IF(OR(AF$23="",ISNA($B215)),"",IF(ISBLANK($B215),"",IFERROR(_xll.BDP(TICKER,"DEEP_MEASURE_PERIOD_BROKER_VALUE","DEEP_MEASURE_ID_OVERRIDE",$C215,"DEEP_BROKER_ID_OVERRIDE",AF$24,"DEEP_PERIOD_OVERRIDE",$H$19)*1,"")))</f>
        <v/>
      </c>
      <c r="AG215" t="str">
        <f>IF(OR(AG$23="",ISNA($B215)),"",IF(ISBLANK($B215),"",IFERROR(_xll.BDP(TICKER,"DEEP_MEASURE_PERIOD_BROKER_VALUE","DEEP_MEASURE_ID_OVERRIDE",$C215,"DEEP_BROKER_ID_OVERRIDE",AG$24,"DEEP_PERIOD_OVERRIDE",$H$19)*1,"")))</f>
        <v/>
      </c>
      <c r="AH215" t="str">
        <f>IF(OR(AH$23="",ISNA($B215)),"",IF(ISBLANK($B215),"",IFERROR(_xll.BDP(TICKER,"DEEP_MEASURE_PERIOD_BROKER_VALUE","DEEP_MEASURE_ID_OVERRIDE",$C215,"DEEP_BROKER_ID_OVERRIDE",AH$24,"DEEP_PERIOD_OVERRIDE",$H$19)*1,"")))</f>
        <v/>
      </c>
      <c r="AI215" t="str">
        <f>IF(OR(AI$23="",ISNA($B215)),"",IF(ISBLANK($B215),"",IFERROR(_xll.BDP(TICKER,"DEEP_MEASURE_PERIOD_BROKER_VALUE","DEEP_MEASURE_ID_OVERRIDE",$C215,"DEEP_BROKER_ID_OVERRIDE",AI$24,"DEEP_PERIOD_OVERRIDE",$H$19)*1,"")))</f>
        <v/>
      </c>
      <c r="AJ215" t="str">
        <f>IF(OR(AJ$23="",ISNA($B215)),"",IF(ISBLANK($B215),"",IFERROR(_xll.BDP(TICKER,"DEEP_MEASURE_PERIOD_BROKER_VALUE","DEEP_MEASURE_ID_OVERRIDE",$C215,"DEEP_BROKER_ID_OVERRIDE",AJ$24,"DEEP_PERIOD_OVERRIDE",$H$19)*1,"")))</f>
        <v/>
      </c>
      <c r="AK215" t="str">
        <f>IF(OR(AK$23="",ISNA($B215)),"",IF(ISBLANK($B215),"",IFERROR(_xll.BDP(TICKER,"DEEP_MEASURE_PERIOD_BROKER_VALUE","DEEP_MEASURE_ID_OVERRIDE",$C215,"DEEP_BROKER_ID_OVERRIDE",AK$24,"DEEP_PERIOD_OVERRIDE",$H$19)*1,"")))</f>
        <v/>
      </c>
      <c r="AL215" t="str">
        <f>IF(OR(AL$23="",ISNA($B215)),"",IF(ISBLANK($B215),"",IFERROR(_xll.BDP(TICKER,"DEEP_MEASURE_PERIOD_BROKER_VALUE","DEEP_MEASURE_ID_OVERRIDE",$C215,"DEEP_BROKER_ID_OVERRIDE",AL$24,"DEEP_PERIOD_OVERRIDE",$H$19)*1,"")))</f>
        <v/>
      </c>
      <c r="AM215" t="str">
        <f>IF(OR(AM$23="",ISNA($B215)),"",IF(ISBLANK($B215),"",IFERROR(_xll.BDP(TICKER,"DEEP_MEASURE_PERIOD_BROKER_VALUE","DEEP_MEASURE_ID_OVERRIDE",$C215,"DEEP_BROKER_ID_OVERRIDE",AM$24,"DEEP_PERIOD_OVERRIDE",$H$19)*1,"")))</f>
        <v/>
      </c>
      <c r="AN215" t="str">
        <f>IF(OR(AN$23="",ISNA($B215)),"",IF(ISBLANK($B215),"",IFERROR(_xll.BDP(TICKER,"DEEP_MEASURE_PERIOD_BROKER_VALUE","DEEP_MEASURE_ID_OVERRIDE",$C215,"DEEP_BROKER_ID_OVERRIDE",AN$24,"DEEP_PERIOD_OVERRIDE",$H$19)*1,"")))</f>
        <v/>
      </c>
      <c r="AO215" t="str">
        <f>IF(OR(AO$23="",ISNA($B215)),"",IF(ISBLANK($B215),"",IFERROR(_xll.BDP(TICKER,"DEEP_MEASURE_PERIOD_BROKER_VALUE","DEEP_MEASURE_ID_OVERRIDE",$C215,"DEEP_BROKER_ID_OVERRIDE",AO$24,"DEEP_PERIOD_OVERRIDE",$H$19)*1,"")))</f>
        <v/>
      </c>
      <c r="AP215" t="str">
        <f>IF(OR(AP$23="",ISNA($B215)),"",IF(ISBLANK($B215),"",IFERROR(_xll.BDP(TICKER,"DEEP_MEASURE_PERIOD_BROKER_VALUE","DEEP_MEASURE_ID_OVERRIDE",$C215,"DEEP_BROKER_ID_OVERRIDE",AP$24,"DEEP_PERIOD_OVERRIDE",$H$19)*1,"")))</f>
        <v/>
      </c>
      <c r="AQ215" t="str">
        <f>IF(OR(AQ$23="",ISNA($B215)),"",IF(ISBLANK($B215),"",IFERROR(_xll.BDP(TICKER,"DEEP_MEASURE_PERIOD_BROKER_VALUE","DEEP_MEASURE_ID_OVERRIDE",$C215,"DEEP_BROKER_ID_OVERRIDE",AQ$24,"DEEP_PERIOD_OVERRIDE",$H$19)*1,"")))</f>
        <v/>
      </c>
      <c r="AR215" t="str">
        <f>IF(OR(AR$23="",ISNA($B215)),"",IF(ISBLANK($B215),"",IFERROR(_xll.BDP(TICKER,"DEEP_MEASURE_PERIOD_BROKER_VALUE","DEEP_MEASURE_ID_OVERRIDE",$C215,"DEEP_BROKER_ID_OVERRIDE",AR$24,"DEEP_PERIOD_OVERRIDE",$H$19)*1,"")))</f>
        <v/>
      </c>
      <c r="AS215" t="str">
        <f>IF(OR(AS$23="",ISNA($B215)),"",IF(ISBLANK($B215),"",IFERROR(_xll.BDP(TICKER,"DEEP_MEASURE_PERIOD_BROKER_VALUE","DEEP_MEASURE_ID_OVERRIDE",$C215,"DEEP_BROKER_ID_OVERRIDE",AS$24,"DEEP_PERIOD_OVERRIDE",$H$19)*1,"")))</f>
        <v/>
      </c>
      <c r="AT215" t="str">
        <f>IF(OR(AT$23="",ISNA($B215)),"",IF(ISBLANK($B215),"",IFERROR(_xll.BDP(TICKER,"DEEP_MEASURE_PERIOD_BROKER_VALUE","DEEP_MEASURE_ID_OVERRIDE",$C215,"DEEP_BROKER_ID_OVERRIDE",AT$24,"DEEP_PERIOD_OVERRIDE",$H$19)*1,"")))</f>
        <v/>
      </c>
      <c r="AU215" t="str">
        <f>IF(OR(AU$23="",ISNA($B215)),"",IF(ISBLANK($B215),"",IFERROR(_xll.BDP(TICKER,"DEEP_MEASURE_PERIOD_BROKER_VALUE","DEEP_MEASURE_ID_OVERRIDE",$C215,"DEEP_BROKER_ID_OVERRIDE",AU$24,"DEEP_PERIOD_OVERRIDE",$H$19)*1,"")))</f>
        <v/>
      </c>
      <c r="AV215" t="str">
        <f>IF(OR(AV$23="",ISNA($B215)),"",IF(ISBLANK($B215),"",IFERROR(_xll.BDP(TICKER,"DEEP_MEASURE_PERIOD_BROKER_VALUE","DEEP_MEASURE_ID_OVERRIDE",$C215,"DEEP_BROKER_ID_OVERRIDE",AV$24,"DEEP_PERIOD_OVERRIDE",$H$19)*1,"")))</f>
        <v/>
      </c>
      <c r="AW215" t="str">
        <f>IF(OR(AW$23="",ISNA($B215)),"",IF(ISBLANK($B215),"",IFERROR(_xll.BDP(TICKER,"DEEP_MEASURE_PERIOD_BROKER_VALUE","DEEP_MEASURE_ID_OVERRIDE",$C215,"DEEP_BROKER_ID_OVERRIDE",AW$24,"DEEP_PERIOD_OVERRIDE",$H$19)*1,"")))</f>
        <v/>
      </c>
      <c r="AX215" t="str">
        <f>IF(OR(AX$23="",ISNA($B215)),"",IF(ISBLANK($B215),"",IFERROR(_xll.BDP(TICKER,"DEEP_MEASURE_PERIOD_BROKER_VALUE","DEEP_MEASURE_ID_OVERRIDE",$C215,"DEEP_BROKER_ID_OVERRIDE",AX$24,"DEEP_PERIOD_OVERRIDE",$H$19)*1,"")))</f>
        <v/>
      </c>
      <c r="AY215" t="str">
        <f>IF(OR(AY$23="",ISNA($B215)),"",IF(ISBLANK($B215),"",IFERROR(_xll.BDP(TICKER,"DEEP_MEASURE_PERIOD_BROKER_VALUE","DEEP_MEASURE_ID_OVERRIDE",$C215,"DEEP_BROKER_ID_OVERRIDE",AY$24,"DEEP_PERIOD_OVERRIDE",$H$19)*1,"")))</f>
        <v/>
      </c>
      <c r="AZ215" t="str">
        <f>IF(OR(AZ$23="",ISNA($B215)),"",IF(ISBLANK($B215),"",IFERROR(_xll.BDP(TICKER,"DEEP_MEASURE_PERIOD_BROKER_VALUE","DEEP_MEASURE_ID_OVERRIDE",$C215,"DEEP_BROKER_ID_OVERRIDE",AZ$24,"DEEP_PERIOD_OVERRIDE",$H$19)*1,"")))</f>
        <v/>
      </c>
      <c r="BA215" t="str">
        <f>IF(OR(BA$23="",ISNA($B215)),"",IF(ISBLANK($B215),"",IFERROR(_xll.BDP(TICKER,"DEEP_MEASURE_PERIOD_BROKER_VALUE","DEEP_MEASURE_ID_OVERRIDE",$C215,"DEEP_BROKER_ID_OVERRIDE",BA$24,"DEEP_PERIOD_OVERRIDE",$H$19)*1,"")))</f>
        <v/>
      </c>
      <c r="BB215" t="str">
        <f>IF(OR(BB$23="",ISNA($B215)),"",IF(ISBLANK($B215),"",IFERROR(_xll.BDP(TICKER,"DEEP_MEASURE_PERIOD_BROKER_VALUE","DEEP_MEASURE_ID_OVERRIDE",$C215,"DEEP_BROKER_ID_OVERRIDE",BB$24,"DEEP_PERIOD_OVERRIDE",$H$19)*1,"")))</f>
        <v/>
      </c>
      <c r="BC215" t="str">
        <f>IF(OR(BC$23="",ISNA($B215)),"",IF(ISBLANK($B215),"",IFERROR(_xll.BDP(TICKER,"DEEP_MEASURE_PERIOD_BROKER_VALUE","DEEP_MEASURE_ID_OVERRIDE",$C215,"DEEP_BROKER_ID_OVERRIDE",BC$24,"DEEP_PERIOD_OVERRIDE",$H$19)*1,"")))</f>
        <v/>
      </c>
      <c r="BD215" t="str">
        <f>IF(OR(BD$23="",ISNA($B215)),"",IF(ISBLANK($B215),"",IFERROR(_xll.BDP(TICKER,"DEEP_MEASURE_PERIOD_BROKER_VALUE","DEEP_MEASURE_ID_OVERRIDE",$C215,"DEEP_BROKER_ID_OVERRIDE",BD$24,"DEEP_PERIOD_OVERRIDE",$H$19)*1,"")))</f>
        <v/>
      </c>
      <c r="BE215" t="str">
        <f>IF(OR(BE$23="",ISNA($B215)),"",IF(ISBLANK($B215),"",IFERROR(_xll.BDP(TICKER,"DEEP_MEASURE_PERIOD_BROKER_VALUE","DEEP_MEASURE_ID_OVERRIDE",$C215,"DEEP_BROKER_ID_OVERRIDE",BE$24,"DEEP_PERIOD_OVERRIDE",$H$19)*1,"")))</f>
        <v/>
      </c>
      <c r="BF215" t="str">
        <f>IF(OR(BF$23="",ISNA($B215)),"",IF(ISBLANK($B215),"",IFERROR(_xll.BDP(TICKER,"DEEP_MEASURE_PERIOD_BROKER_VALUE","DEEP_MEASURE_ID_OVERRIDE",$C215,"DEEP_BROKER_ID_OVERRIDE",BF$24,"DEEP_PERIOD_OVERRIDE",$H$19)*1,"")))</f>
        <v/>
      </c>
      <c r="BG215" t="str">
        <f>IF(OR(BG$23="",ISNA($B215)),"",IF(ISBLANK($B215),"",IFERROR(_xll.BDP(TICKER,"DEEP_MEASURE_PERIOD_BROKER_VALUE","DEEP_MEASURE_ID_OVERRIDE",$C215,"DEEP_BROKER_ID_OVERRIDE",BG$24,"DEEP_PERIOD_OVERRIDE",$H$19)*1,"")))</f>
        <v/>
      </c>
      <c r="BH215" t="str">
        <f>IF(OR(BH$23="",ISNA($B215)),"",IF(ISBLANK($B215),"",IFERROR(_xll.BDP(TICKER,"DEEP_MEASURE_PERIOD_BROKER_VALUE","DEEP_MEASURE_ID_OVERRIDE",$C215,"DEEP_BROKER_ID_OVERRIDE",BH$24,"DEEP_PERIOD_OVERRIDE",$H$19)*1,"")))</f>
        <v/>
      </c>
      <c r="BI215" t="str">
        <f>IF(OR(BI$23="",ISNA($B215)),"",IF(ISBLANK($B215),"",IFERROR(_xll.BDP(TICKER,"DEEP_MEASURE_PERIOD_BROKER_VALUE","DEEP_MEASURE_ID_OVERRIDE",$C215,"DEEP_BROKER_ID_OVERRIDE",BI$24,"DEEP_PERIOD_OVERRIDE",$H$19)*1,"")))</f>
        <v/>
      </c>
      <c r="BJ215" t="str">
        <f>IF(OR(BJ$23="",ISNA($B215)),"",IF(ISBLANK($B215),"",IFERROR(_xll.BDP(TICKER,"DEEP_MEASURE_PERIOD_BROKER_VALUE","DEEP_MEASURE_ID_OVERRIDE",$C215,"DEEP_BROKER_ID_OVERRIDE",BJ$24,"DEEP_PERIOD_OVERRIDE",$H$19)*1,"")))</f>
        <v/>
      </c>
      <c r="BK215" t="str">
        <f>IF(OR(BK$23="",ISNA($B215)),"",IF(ISBLANK($B215),"",IFERROR(_xll.BDP(TICKER,"DEEP_MEASURE_PERIOD_BROKER_VALUE","DEEP_MEASURE_ID_OVERRIDE",$C215,"DEEP_BROKER_ID_OVERRIDE",BK$24,"DEEP_PERIOD_OVERRIDE",$H$19)*1,"")))</f>
        <v/>
      </c>
      <c r="BL215" t="str">
        <f>IF(OR(BL$23="",ISNA($B215)),"",IF(ISBLANK($B215),"",IFERROR(_xll.BDP(TICKER,"DEEP_MEASURE_PERIOD_BROKER_VALUE","DEEP_MEASURE_ID_OVERRIDE",$C215,"DEEP_BROKER_ID_OVERRIDE",BL$24,"DEEP_PERIOD_OVERRIDE",$H$19)*1,"")))</f>
        <v/>
      </c>
      <c r="BM215" t="str">
        <f>IF(OR(BM$23="",ISNA($B215)),"",IF(ISBLANK($B215),"",IFERROR(_xll.BDP(TICKER,"DEEP_MEASURE_PERIOD_BROKER_VALUE","DEEP_MEASURE_ID_OVERRIDE",$C215,"DEEP_BROKER_ID_OVERRIDE",BM$24,"DEEP_PERIOD_OVERRIDE",$H$19)*1,"")))</f>
        <v/>
      </c>
      <c r="BN215" t="str">
        <f>IF(OR(BN$23="",ISNA($B215)),"",IF(ISBLANK($B215),"",IFERROR(_xll.BDP(TICKER,"DEEP_MEASURE_PERIOD_BROKER_VALUE","DEEP_MEASURE_ID_OVERRIDE",$C215,"DEEP_BROKER_ID_OVERRIDE",BN$24,"DEEP_PERIOD_OVERRIDE",$H$19)*1,"")))</f>
        <v/>
      </c>
      <c r="BO215" t="str">
        <f>IF(OR(BO$23="",ISNA($B215)),"",IF(ISBLANK($B215),"",IFERROR(_xll.BDP(TICKER,"DEEP_MEASURE_PERIOD_BROKER_VALUE","DEEP_MEASURE_ID_OVERRIDE",$C215,"DEEP_BROKER_ID_OVERRIDE",BO$24,"DEEP_PERIOD_OVERRIDE",$H$19)*1,"")))</f>
        <v/>
      </c>
      <c r="BP215" t="str">
        <f>IF(OR(BP$23="",ISNA($B215)),"",IF(ISBLANK($B215),"",IFERROR(_xll.BDP(TICKER,"DEEP_MEASURE_PERIOD_BROKER_VALUE","DEEP_MEASURE_ID_OVERRIDE",$C215,"DEEP_BROKER_ID_OVERRIDE",BP$24,"DEEP_PERIOD_OVERRIDE",$H$19)*1,"")))</f>
        <v/>
      </c>
      <c r="BQ215" t="str">
        <f>IF(OR(BQ$23="",ISNA($B215)),"",IF(ISBLANK($B215),"",IFERROR(_xll.BDP(TICKER,"DEEP_MEASURE_PERIOD_BROKER_VALUE","DEEP_MEASURE_ID_OVERRIDE",$C215,"DEEP_BROKER_ID_OVERRIDE",BQ$24,"DEEP_PERIOD_OVERRIDE",$H$19)*1,"")))</f>
        <v/>
      </c>
      <c r="BR215" t="str">
        <f>IF(OR(BR$23="",ISNA($B215)),"",IF(ISBLANK($B215),"",IFERROR(_xll.BDP(TICKER,"DEEP_MEASURE_PERIOD_BROKER_VALUE","DEEP_MEASURE_ID_OVERRIDE",$C215,"DEEP_BROKER_ID_OVERRIDE",BR$24,"DEEP_PERIOD_OVERRIDE",$H$19)*1,"")))</f>
        <v/>
      </c>
      <c r="BS215" t="str">
        <f>IF(OR(BS$23="",ISNA($B215)),"",IF(ISBLANK($B215),"",IFERROR(_xll.BDP(TICKER,"DEEP_MEASURE_PERIOD_BROKER_VALUE","DEEP_MEASURE_ID_OVERRIDE",$C215,"DEEP_BROKER_ID_OVERRIDE",BS$24,"DEEP_PERIOD_OVERRIDE",$H$19)*1,"")))</f>
        <v/>
      </c>
      <c r="BT215" t="str">
        <f>IF(OR(BT$23="",ISNA($B215)),"",IF(ISBLANK($B215),"",IFERROR(_xll.BDP(TICKER,"DEEP_MEASURE_PERIOD_BROKER_VALUE","DEEP_MEASURE_ID_OVERRIDE",$C215,"DEEP_BROKER_ID_OVERRIDE",BT$24,"DEEP_PERIOD_OVERRIDE",$H$19)*1,"")))</f>
        <v/>
      </c>
      <c r="BU215" t="str">
        <f>IF(OR(BU$23="",ISNA($B215)),"",IF(ISBLANK($B215),"",IFERROR(_xll.BDP(TICKER,"DEEP_MEASURE_PERIOD_BROKER_VALUE","DEEP_MEASURE_ID_OVERRIDE",$C215,"DEEP_BROKER_ID_OVERRIDE",BU$24,"DEEP_PERIOD_OVERRIDE",$H$19)*1,"")))</f>
        <v/>
      </c>
      <c r="BV215" t="str">
        <f>IF(OR(BV$23="",ISNA($B215)),"",IF(ISBLANK($B215),"",IFERROR(_xll.BDP(TICKER,"DEEP_MEASURE_PERIOD_BROKER_VALUE","DEEP_MEASURE_ID_OVERRIDE",$C215,"DEEP_BROKER_ID_OVERRIDE",BV$24,"DEEP_PERIOD_OVERRIDE",$H$19)*1,"")))</f>
        <v/>
      </c>
      <c r="BW215" t="str">
        <f>IF(OR(BW$23="",ISNA($B215)),"",IF(ISBLANK($B215),"",IFERROR(_xll.BDP(TICKER,"DEEP_MEASURE_PERIOD_BROKER_VALUE","DEEP_MEASURE_ID_OVERRIDE",$C215,"DEEP_BROKER_ID_OVERRIDE",BW$24,"DEEP_PERIOD_OVERRIDE",$H$19)*1,"")))</f>
        <v/>
      </c>
      <c r="BX215" t="str">
        <f>IF(OR(BX$23="",ISNA($B215)),"",IF(ISBLANK($B215),"",IFERROR(_xll.BDP(TICKER,"DEEP_MEASURE_PERIOD_BROKER_VALUE","DEEP_MEASURE_ID_OVERRIDE",$C215,"DEEP_BROKER_ID_OVERRIDE",BX$24,"DEEP_PERIOD_OVERRIDE",$H$19)*1,"")))</f>
        <v/>
      </c>
      <c r="BY215" t="str">
        <f>IF(OR(BY$23="",ISNA($B215)),"",IF(ISBLANK($B215),"",IFERROR(_xll.BDP(TICKER,"DEEP_MEASURE_PERIOD_BROKER_VALUE","DEEP_MEASURE_ID_OVERRIDE",$C215,"DEEP_BROKER_ID_OVERRIDE",BY$24,"DEEP_PERIOD_OVERRIDE",$H$19)*1,"")))</f>
        <v/>
      </c>
      <c r="BZ215" t="str">
        <f>IF(OR(BZ$23="",ISNA($B215)),"",IF(ISBLANK($B215),"",IFERROR(_xll.BDP(TICKER,"DEEP_MEASURE_PERIOD_BROKER_VALUE","DEEP_MEASURE_ID_OVERRIDE",$C215,"DEEP_BROKER_ID_OVERRIDE",BZ$24,"DEEP_PERIOD_OVERRIDE",$H$19)*1,"")))</f>
        <v/>
      </c>
    </row>
    <row r="216" spans="2:78" x14ac:dyDescent="0.25">
      <c r="B216" t="s">
        <v>215</v>
      </c>
      <c r="C216">
        <v>462</v>
      </c>
      <c r="H216" t="str">
        <f t="shared" si="3"/>
        <v>Net Change in Cash &gt; Cash &amp; Cash Equivalents (End of Period)</v>
      </c>
      <c r="I216" t="str">
        <f>IF(OR(I$23="",ISNA($B216)),"",IF(ISBLANK($B216),"",IFERROR(_xll.BDP(TICKER,"DEEP_MEASURE_PERIOD_BROKER_VALUE","DEEP_MEASURE_ID_OVERRIDE",$C216,"DEEP_PERIOD_OVERRIDE",$H$19)*1,"")))</f>
        <v/>
      </c>
      <c r="J216" t="e">
        <f>IF(OR(J$23="",ISNA($B216)),"",IF(ISBLANK($B216),"",IFERROR(_xll.BDP(TICKER,"DEEP_MEASURE_PERIOD_BROKER_VALUE","DEEP_MEASURE_ID_OVERRIDE",$C216,"DEEP_BROKER_ID_OVERRIDE",J$24,"DEEP_PERIOD_OVERRIDE",$H$19)*1,"")))</f>
        <v>#REF!</v>
      </c>
      <c r="K216" t="str">
        <f>IF(OR(K$23="",ISNA($B216)),"",IF(ISBLANK($B216),"",IFERROR(_xll.BDP(TICKER,"DEEP_MEASURE_PERIOD_BROKER_VALUE","DEEP_MEASURE_ID_OVERRIDE",$C216,"DEEP_BROKER_ID_OVERRIDE",K$24,"DEEP_PERIOD_OVERRIDE",$H$19)*1,"")))</f>
        <v/>
      </c>
      <c r="L216" t="str">
        <f>IF(OR(L$23="",ISNA($B216)),"",IF(ISBLANK($B216),"",IFERROR(_xll.BDP(TICKER,"DEEP_MEASURE_PERIOD_BROKER_VALUE","DEEP_MEASURE_ID_OVERRIDE",$C216,"DEEP_BROKER_ID_OVERRIDE",L$24,"DEEP_PERIOD_OVERRIDE",$H$19)*1,"")))</f>
        <v/>
      </c>
      <c r="M216" t="str">
        <f>IF(OR(M$23="",ISNA($B216)),"",IF(ISBLANK($B216),"",IFERROR(_xll.BDP(TICKER,"DEEP_MEASURE_PERIOD_BROKER_VALUE","DEEP_MEASURE_ID_OVERRIDE",$C216,"DEEP_BROKER_ID_OVERRIDE",M$24,"DEEP_PERIOD_OVERRIDE",$H$19)*1,"")))</f>
        <v/>
      </c>
      <c r="N216" t="str">
        <f>IF(OR(N$23="",ISNA($B216)),"",IF(ISBLANK($B216),"",IFERROR(_xll.BDP(TICKER,"DEEP_MEASURE_PERIOD_BROKER_VALUE","DEEP_MEASURE_ID_OVERRIDE",$C216,"DEEP_BROKER_ID_OVERRIDE",N$24,"DEEP_PERIOD_OVERRIDE",$H$19)*1,"")))</f>
        <v/>
      </c>
      <c r="O216" t="str">
        <f>IF(OR(O$23="",ISNA($B216)),"",IF(ISBLANK($B216),"",IFERROR(_xll.BDP(TICKER,"DEEP_MEASURE_PERIOD_BROKER_VALUE","DEEP_MEASURE_ID_OVERRIDE",$C216,"DEEP_BROKER_ID_OVERRIDE",O$24,"DEEP_PERIOD_OVERRIDE",$H$19)*1,"")))</f>
        <v/>
      </c>
      <c r="P216" t="str">
        <f>IF(OR(P$23="",ISNA($B216)),"",IF(ISBLANK($B216),"",IFERROR(_xll.BDP(TICKER,"DEEP_MEASURE_PERIOD_BROKER_VALUE","DEEP_MEASURE_ID_OVERRIDE",$C216,"DEEP_BROKER_ID_OVERRIDE",P$24,"DEEP_PERIOD_OVERRIDE",$H$19)*1,"")))</f>
        <v/>
      </c>
      <c r="Q216" t="str">
        <f>IF(OR(Q$23="",ISNA($B216)),"",IF(ISBLANK($B216),"",IFERROR(_xll.BDP(TICKER,"DEEP_MEASURE_PERIOD_BROKER_VALUE","DEEP_MEASURE_ID_OVERRIDE",$C216,"DEEP_BROKER_ID_OVERRIDE",Q$24,"DEEP_PERIOD_OVERRIDE",$H$19)*1,"")))</f>
        <v/>
      </c>
      <c r="R216" t="str">
        <f>IF(OR(R$23="",ISNA($B216)),"",IF(ISBLANK($B216),"",IFERROR(_xll.BDP(TICKER,"DEEP_MEASURE_PERIOD_BROKER_VALUE","DEEP_MEASURE_ID_OVERRIDE",$C216,"DEEP_BROKER_ID_OVERRIDE",R$24,"DEEP_PERIOD_OVERRIDE",$H$19)*1,"")))</f>
        <v/>
      </c>
      <c r="S216" t="str">
        <f>IF(OR(S$23="",ISNA($B216)),"",IF(ISBLANK($B216),"",IFERROR(_xll.BDP(TICKER,"DEEP_MEASURE_PERIOD_BROKER_VALUE","DEEP_MEASURE_ID_OVERRIDE",$C216,"DEEP_BROKER_ID_OVERRIDE",S$24,"DEEP_PERIOD_OVERRIDE",$H$19)*1,"")))</f>
        <v/>
      </c>
      <c r="T216" t="str">
        <f>IF(OR(T$23="",ISNA($B216)),"",IF(ISBLANK($B216),"",IFERROR(_xll.BDP(TICKER,"DEEP_MEASURE_PERIOD_BROKER_VALUE","DEEP_MEASURE_ID_OVERRIDE",$C216,"DEEP_BROKER_ID_OVERRIDE",T$24,"DEEP_PERIOD_OVERRIDE",$H$19)*1,"")))</f>
        <v/>
      </c>
      <c r="U216" t="str">
        <f>IF(OR(U$23="",ISNA($B216)),"",IF(ISBLANK($B216),"",IFERROR(_xll.BDP(TICKER,"DEEP_MEASURE_PERIOD_BROKER_VALUE","DEEP_MEASURE_ID_OVERRIDE",$C216,"DEEP_BROKER_ID_OVERRIDE",U$24,"DEEP_PERIOD_OVERRIDE",$H$19)*1,"")))</f>
        <v/>
      </c>
      <c r="V216" t="str">
        <f>IF(OR(V$23="",ISNA($B216)),"",IF(ISBLANK($B216),"",IFERROR(_xll.BDP(TICKER,"DEEP_MEASURE_PERIOD_BROKER_VALUE","DEEP_MEASURE_ID_OVERRIDE",$C216,"DEEP_BROKER_ID_OVERRIDE",V$24,"DEEP_PERIOD_OVERRIDE",$H$19)*1,"")))</f>
        <v/>
      </c>
      <c r="W216" t="str">
        <f>IF(OR(W$23="",ISNA($B216)),"",IF(ISBLANK($B216),"",IFERROR(_xll.BDP(TICKER,"DEEP_MEASURE_PERIOD_BROKER_VALUE","DEEP_MEASURE_ID_OVERRIDE",$C216,"DEEP_BROKER_ID_OVERRIDE",W$24,"DEEP_PERIOD_OVERRIDE",$H$19)*1,"")))</f>
        <v/>
      </c>
      <c r="X216" t="str">
        <f>IF(OR(X$23="",ISNA($B216)),"",IF(ISBLANK($B216),"",IFERROR(_xll.BDP(TICKER,"DEEP_MEASURE_PERIOD_BROKER_VALUE","DEEP_MEASURE_ID_OVERRIDE",$C216,"DEEP_BROKER_ID_OVERRIDE",X$24,"DEEP_PERIOD_OVERRIDE",$H$19)*1,"")))</f>
        <v/>
      </c>
      <c r="Y216" t="str">
        <f>IF(OR(Y$23="",ISNA($B216)),"",IF(ISBLANK($B216),"",IFERROR(_xll.BDP(TICKER,"DEEP_MEASURE_PERIOD_BROKER_VALUE","DEEP_MEASURE_ID_OVERRIDE",$C216,"DEEP_BROKER_ID_OVERRIDE",Y$24,"DEEP_PERIOD_OVERRIDE",$H$19)*1,"")))</f>
        <v/>
      </c>
      <c r="Z216" t="str">
        <f>IF(OR(Z$23="",ISNA($B216)),"",IF(ISBLANK($B216),"",IFERROR(_xll.BDP(TICKER,"DEEP_MEASURE_PERIOD_BROKER_VALUE","DEEP_MEASURE_ID_OVERRIDE",$C216,"DEEP_BROKER_ID_OVERRIDE",Z$24,"DEEP_PERIOD_OVERRIDE",$H$19)*1,"")))</f>
        <v/>
      </c>
      <c r="AA216" t="str">
        <f>IF(OR(AA$23="",ISNA($B216)),"",IF(ISBLANK($B216),"",IFERROR(_xll.BDP(TICKER,"DEEP_MEASURE_PERIOD_BROKER_VALUE","DEEP_MEASURE_ID_OVERRIDE",$C216,"DEEP_BROKER_ID_OVERRIDE",AA$24,"DEEP_PERIOD_OVERRIDE",$H$19)*1,"")))</f>
        <v/>
      </c>
      <c r="AB216" t="str">
        <f>IF(OR(AB$23="",ISNA($B216)),"",IF(ISBLANK($B216),"",IFERROR(_xll.BDP(TICKER,"DEEP_MEASURE_PERIOD_BROKER_VALUE","DEEP_MEASURE_ID_OVERRIDE",$C216,"DEEP_BROKER_ID_OVERRIDE",AB$24,"DEEP_PERIOD_OVERRIDE",$H$19)*1,"")))</f>
        <v/>
      </c>
      <c r="AC216" t="str">
        <f>IF(OR(AC$23="",ISNA($B216)),"",IF(ISBLANK($B216),"",IFERROR(_xll.BDP(TICKER,"DEEP_MEASURE_PERIOD_BROKER_VALUE","DEEP_MEASURE_ID_OVERRIDE",$C216,"DEEP_BROKER_ID_OVERRIDE",AC$24,"DEEP_PERIOD_OVERRIDE",$H$19)*1,"")))</f>
        <v/>
      </c>
      <c r="AD216" t="str">
        <f>IF(OR(AD$23="",ISNA($B216)),"",IF(ISBLANK($B216),"",IFERROR(_xll.BDP(TICKER,"DEEP_MEASURE_PERIOD_BROKER_VALUE","DEEP_MEASURE_ID_OVERRIDE",$C216,"DEEP_BROKER_ID_OVERRIDE",AD$24,"DEEP_PERIOD_OVERRIDE",$H$19)*1,"")))</f>
        <v/>
      </c>
      <c r="AE216" t="str">
        <f>IF(OR(AE$23="",ISNA($B216)),"",IF(ISBLANK($B216),"",IFERROR(_xll.BDP(TICKER,"DEEP_MEASURE_PERIOD_BROKER_VALUE","DEEP_MEASURE_ID_OVERRIDE",$C216,"DEEP_BROKER_ID_OVERRIDE",AE$24,"DEEP_PERIOD_OVERRIDE",$H$19)*1,"")))</f>
        <v/>
      </c>
      <c r="AF216" t="str">
        <f>IF(OR(AF$23="",ISNA($B216)),"",IF(ISBLANK($B216),"",IFERROR(_xll.BDP(TICKER,"DEEP_MEASURE_PERIOD_BROKER_VALUE","DEEP_MEASURE_ID_OVERRIDE",$C216,"DEEP_BROKER_ID_OVERRIDE",AF$24,"DEEP_PERIOD_OVERRIDE",$H$19)*1,"")))</f>
        <v/>
      </c>
      <c r="AG216" t="str">
        <f>IF(OR(AG$23="",ISNA($B216)),"",IF(ISBLANK($B216),"",IFERROR(_xll.BDP(TICKER,"DEEP_MEASURE_PERIOD_BROKER_VALUE","DEEP_MEASURE_ID_OVERRIDE",$C216,"DEEP_BROKER_ID_OVERRIDE",AG$24,"DEEP_PERIOD_OVERRIDE",$H$19)*1,"")))</f>
        <v/>
      </c>
      <c r="AH216" t="str">
        <f>IF(OR(AH$23="",ISNA($B216)),"",IF(ISBLANK($B216),"",IFERROR(_xll.BDP(TICKER,"DEEP_MEASURE_PERIOD_BROKER_VALUE","DEEP_MEASURE_ID_OVERRIDE",$C216,"DEEP_BROKER_ID_OVERRIDE",AH$24,"DEEP_PERIOD_OVERRIDE",$H$19)*1,"")))</f>
        <v/>
      </c>
      <c r="AI216" t="str">
        <f>IF(OR(AI$23="",ISNA($B216)),"",IF(ISBLANK($B216),"",IFERROR(_xll.BDP(TICKER,"DEEP_MEASURE_PERIOD_BROKER_VALUE","DEEP_MEASURE_ID_OVERRIDE",$C216,"DEEP_BROKER_ID_OVERRIDE",AI$24,"DEEP_PERIOD_OVERRIDE",$H$19)*1,"")))</f>
        <v/>
      </c>
      <c r="AJ216" t="str">
        <f>IF(OR(AJ$23="",ISNA($B216)),"",IF(ISBLANK($B216),"",IFERROR(_xll.BDP(TICKER,"DEEP_MEASURE_PERIOD_BROKER_VALUE","DEEP_MEASURE_ID_OVERRIDE",$C216,"DEEP_BROKER_ID_OVERRIDE",AJ$24,"DEEP_PERIOD_OVERRIDE",$H$19)*1,"")))</f>
        <v/>
      </c>
      <c r="AK216" t="str">
        <f>IF(OR(AK$23="",ISNA($B216)),"",IF(ISBLANK($B216),"",IFERROR(_xll.BDP(TICKER,"DEEP_MEASURE_PERIOD_BROKER_VALUE","DEEP_MEASURE_ID_OVERRIDE",$C216,"DEEP_BROKER_ID_OVERRIDE",AK$24,"DEEP_PERIOD_OVERRIDE",$H$19)*1,"")))</f>
        <v/>
      </c>
      <c r="AL216" t="str">
        <f>IF(OR(AL$23="",ISNA($B216)),"",IF(ISBLANK($B216),"",IFERROR(_xll.BDP(TICKER,"DEEP_MEASURE_PERIOD_BROKER_VALUE","DEEP_MEASURE_ID_OVERRIDE",$C216,"DEEP_BROKER_ID_OVERRIDE",AL$24,"DEEP_PERIOD_OVERRIDE",$H$19)*1,"")))</f>
        <v/>
      </c>
      <c r="AM216" t="str">
        <f>IF(OR(AM$23="",ISNA($B216)),"",IF(ISBLANK($B216),"",IFERROR(_xll.BDP(TICKER,"DEEP_MEASURE_PERIOD_BROKER_VALUE","DEEP_MEASURE_ID_OVERRIDE",$C216,"DEEP_BROKER_ID_OVERRIDE",AM$24,"DEEP_PERIOD_OVERRIDE",$H$19)*1,"")))</f>
        <v/>
      </c>
      <c r="AN216" t="str">
        <f>IF(OR(AN$23="",ISNA($B216)),"",IF(ISBLANK($B216),"",IFERROR(_xll.BDP(TICKER,"DEEP_MEASURE_PERIOD_BROKER_VALUE","DEEP_MEASURE_ID_OVERRIDE",$C216,"DEEP_BROKER_ID_OVERRIDE",AN$24,"DEEP_PERIOD_OVERRIDE",$H$19)*1,"")))</f>
        <v/>
      </c>
      <c r="AO216" t="str">
        <f>IF(OR(AO$23="",ISNA($B216)),"",IF(ISBLANK($B216),"",IFERROR(_xll.BDP(TICKER,"DEEP_MEASURE_PERIOD_BROKER_VALUE","DEEP_MEASURE_ID_OVERRIDE",$C216,"DEEP_BROKER_ID_OVERRIDE",AO$24,"DEEP_PERIOD_OVERRIDE",$H$19)*1,"")))</f>
        <v/>
      </c>
      <c r="AP216" t="str">
        <f>IF(OR(AP$23="",ISNA($B216)),"",IF(ISBLANK($B216),"",IFERROR(_xll.BDP(TICKER,"DEEP_MEASURE_PERIOD_BROKER_VALUE","DEEP_MEASURE_ID_OVERRIDE",$C216,"DEEP_BROKER_ID_OVERRIDE",AP$24,"DEEP_PERIOD_OVERRIDE",$H$19)*1,"")))</f>
        <v/>
      </c>
      <c r="AQ216" t="str">
        <f>IF(OR(AQ$23="",ISNA($B216)),"",IF(ISBLANK($B216),"",IFERROR(_xll.BDP(TICKER,"DEEP_MEASURE_PERIOD_BROKER_VALUE","DEEP_MEASURE_ID_OVERRIDE",$C216,"DEEP_BROKER_ID_OVERRIDE",AQ$24,"DEEP_PERIOD_OVERRIDE",$H$19)*1,"")))</f>
        <v/>
      </c>
      <c r="AR216" t="str">
        <f>IF(OR(AR$23="",ISNA($B216)),"",IF(ISBLANK($B216),"",IFERROR(_xll.BDP(TICKER,"DEEP_MEASURE_PERIOD_BROKER_VALUE","DEEP_MEASURE_ID_OVERRIDE",$C216,"DEEP_BROKER_ID_OVERRIDE",AR$24,"DEEP_PERIOD_OVERRIDE",$H$19)*1,"")))</f>
        <v/>
      </c>
      <c r="AS216" t="str">
        <f>IF(OR(AS$23="",ISNA($B216)),"",IF(ISBLANK($B216),"",IFERROR(_xll.BDP(TICKER,"DEEP_MEASURE_PERIOD_BROKER_VALUE","DEEP_MEASURE_ID_OVERRIDE",$C216,"DEEP_BROKER_ID_OVERRIDE",AS$24,"DEEP_PERIOD_OVERRIDE",$H$19)*1,"")))</f>
        <v/>
      </c>
      <c r="AT216" t="str">
        <f>IF(OR(AT$23="",ISNA($B216)),"",IF(ISBLANK($B216),"",IFERROR(_xll.BDP(TICKER,"DEEP_MEASURE_PERIOD_BROKER_VALUE","DEEP_MEASURE_ID_OVERRIDE",$C216,"DEEP_BROKER_ID_OVERRIDE",AT$24,"DEEP_PERIOD_OVERRIDE",$H$19)*1,"")))</f>
        <v/>
      </c>
      <c r="AU216" t="str">
        <f>IF(OR(AU$23="",ISNA($B216)),"",IF(ISBLANK($B216),"",IFERROR(_xll.BDP(TICKER,"DEEP_MEASURE_PERIOD_BROKER_VALUE","DEEP_MEASURE_ID_OVERRIDE",$C216,"DEEP_BROKER_ID_OVERRIDE",AU$24,"DEEP_PERIOD_OVERRIDE",$H$19)*1,"")))</f>
        <v/>
      </c>
      <c r="AV216" t="str">
        <f>IF(OR(AV$23="",ISNA($B216)),"",IF(ISBLANK($B216),"",IFERROR(_xll.BDP(TICKER,"DEEP_MEASURE_PERIOD_BROKER_VALUE","DEEP_MEASURE_ID_OVERRIDE",$C216,"DEEP_BROKER_ID_OVERRIDE",AV$24,"DEEP_PERIOD_OVERRIDE",$H$19)*1,"")))</f>
        <v/>
      </c>
      <c r="AW216" t="str">
        <f>IF(OR(AW$23="",ISNA($B216)),"",IF(ISBLANK($B216),"",IFERROR(_xll.BDP(TICKER,"DEEP_MEASURE_PERIOD_BROKER_VALUE","DEEP_MEASURE_ID_OVERRIDE",$C216,"DEEP_BROKER_ID_OVERRIDE",AW$24,"DEEP_PERIOD_OVERRIDE",$H$19)*1,"")))</f>
        <v/>
      </c>
      <c r="AX216" t="str">
        <f>IF(OR(AX$23="",ISNA($B216)),"",IF(ISBLANK($B216),"",IFERROR(_xll.BDP(TICKER,"DEEP_MEASURE_PERIOD_BROKER_VALUE","DEEP_MEASURE_ID_OVERRIDE",$C216,"DEEP_BROKER_ID_OVERRIDE",AX$24,"DEEP_PERIOD_OVERRIDE",$H$19)*1,"")))</f>
        <v/>
      </c>
      <c r="AY216" t="str">
        <f>IF(OR(AY$23="",ISNA($B216)),"",IF(ISBLANK($B216),"",IFERROR(_xll.BDP(TICKER,"DEEP_MEASURE_PERIOD_BROKER_VALUE","DEEP_MEASURE_ID_OVERRIDE",$C216,"DEEP_BROKER_ID_OVERRIDE",AY$24,"DEEP_PERIOD_OVERRIDE",$H$19)*1,"")))</f>
        <v/>
      </c>
      <c r="AZ216" t="str">
        <f>IF(OR(AZ$23="",ISNA($B216)),"",IF(ISBLANK($B216),"",IFERROR(_xll.BDP(TICKER,"DEEP_MEASURE_PERIOD_BROKER_VALUE","DEEP_MEASURE_ID_OVERRIDE",$C216,"DEEP_BROKER_ID_OVERRIDE",AZ$24,"DEEP_PERIOD_OVERRIDE",$H$19)*1,"")))</f>
        <v/>
      </c>
      <c r="BA216" t="str">
        <f>IF(OR(BA$23="",ISNA($B216)),"",IF(ISBLANK($B216),"",IFERROR(_xll.BDP(TICKER,"DEEP_MEASURE_PERIOD_BROKER_VALUE","DEEP_MEASURE_ID_OVERRIDE",$C216,"DEEP_BROKER_ID_OVERRIDE",BA$24,"DEEP_PERIOD_OVERRIDE",$H$19)*1,"")))</f>
        <v/>
      </c>
      <c r="BB216" t="str">
        <f>IF(OR(BB$23="",ISNA($B216)),"",IF(ISBLANK($B216),"",IFERROR(_xll.BDP(TICKER,"DEEP_MEASURE_PERIOD_BROKER_VALUE","DEEP_MEASURE_ID_OVERRIDE",$C216,"DEEP_BROKER_ID_OVERRIDE",BB$24,"DEEP_PERIOD_OVERRIDE",$H$19)*1,"")))</f>
        <v/>
      </c>
      <c r="BC216" t="str">
        <f>IF(OR(BC$23="",ISNA($B216)),"",IF(ISBLANK($B216),"",IFERROR(_xll.BDP(TICKER,"DEEP_MEASURE_PERIOD_BROKER_VALUE","DEEP_MEASURE_ID_OVERRIDE",$C216,"DEEP_BROKER_ID_OVERRIDE",BC$24,"DEEP_PERIOD_OVERRIDE",$H$19)*1,"")))</f>
        <v/>
      </c>
      <c r="BD216" t="str">
        <f>IF(OR(BD$23="",ISNA($B216)),"",IF(ISBLANK($B216),"",IFERROR(_xll.BDP(TICKER,"DEEP_MEASURE_PERIOD_BROKER_VALUE","DEEP_MEASURE_ID_OVERRIDE",$C216,"DEEP_BROKER_ID_OVERRIDE",BD$24,"DEEP_PERIOD_OVERRIDE",$H$19)*1,"")))</f>
        <v/>
      </c>
      <c r="BE216" t="str">
        <f>IF(OR(BE$23="",ISNA($B216)),"",IF(ISBLANK($B216),"",IFERROR(_xll.BDP(TICKER,"DEEP_MEASURE_PERIOD_BROKER_VALUE","DEEP_MEASURE_ID_OVERRIDE",$C216,"DEEP_BROKER_ID_OVERRIDE",BE$24,"DEEP_PERIOD_OVERRIDE",$H$19)*1,"")))</f>
        <v/>
      </c>
      <c r="BF216" t="str">
        <f>IF(OR(BF$23="",ISNA($B216)),"",IF(ISBLANK($B216),"",IFERROR(_xll.BDP(TICKER,"DEEP_MEASURE_PERIOD_BROKER_VALUE","DEEP_MEASURE_ID_OVERRIDE",$C216,"DEEP_BROKER_ID_OVERRIDE",BF$24,"DEEP_PERIOD_OVERRIDE",$H$19)*1,"")))</f>
        <v/>
      </c>
      <c r="BG216" t="str">
        <f>IF(OR(BG$23="",ISNA($B216)),"",IF(ISBLANK($B216),"",IFERROR(_xll.BDP(TICKER,"DEEP_MEASURE_PERIOD_BROKER_VALUE","DEEP_MEASURE_ID_OVERRIDE",$C216,"DEEP_BROKER_ID_OVERRIDE",BG$24,"DEEP_PERIOD_OVERRIDE",$H$19)*1,"")))</f>
        <v/>
      </c>
      <c r="BH216" t="str">
        <f>IF(OR(BH$23="",ISNA($B216)),"",IF(ISBLANK($B216),"",IFERROR(_xll.BDP(TICKER,"DEEP_MEASURE_PERIOD_BROKER_VALUE","DEEP_MEASURE_ID_OVERRIDE",$C216,"DEEP_BROKER_ID_OVERRIDE",BH$24,"DEEP_PERIOD_OVERRIDE",$H$19)*1,"")))</f>
        <v/>
      </c>
      <c r="BI216" t="str">
        <f>IF(OR(BI$23="",ISNA($B216)),"",IF(ISBLANK($B216),"",IFERROR(_xll.BDP(TICKER,"DEEP_MEASURE_PERIOD_BROKER_VALUE","DEEP_MEASURE_ID_OVERRIDE",$C216,"DEEP_BROKER_ID_OVERRIDE",BI$24,"DEEP_PERIOD_OVERRIDE",$H$19)*1,"")))</f>
        <v/>
      </c>
      <c r="BJ216" t="str">
        <f>IF(OR(BJ$23="",ISNA($B216)),"",IF(ISBLANK($B216),"",IFERROR(_xll.BDP(TICKER,"DEEP_MEASURE_PERIOD_BROKER_VALUE","DEEP_MEASURE_ID_OVERRIDE",$C216,"DEEP_BROKER_ID_OVERRIDE",BJ$24,"DEEP_PERIOD_OVERRIDE",$H$19)*1,"")))</f>
        <v/>
      </c>
      <c r="BK216" t="str">
        <f>IF(OR(BK$23="",ISNA($B216)),"",IF(ISBLANK($B216),"",IFERROR(_xll.BDP(TICKER,"DEEP_MEASURE_PERIOD_BROKER_VALUE","DEEP_MEASURE_ID_OVERRIDE",$C216,"DEEP_BROKER_ID_OVERRIDE",BK$24,"DEEP_PERIOD_OVERRIDE",$H$19)*1,"")))</f>
        <v/>
      </c>
      <c r="BL216" t="str">
        <f>IF(OR(BL$23="",ISNA($B216)),"",IF(ISBLANK($B216),"",IFERROR(_xll.BDP(TICKER,"DEEP_MEASURE_PERIOD_BROKER_VALUE","DEEP_MEASURE_ID_OVERRIDE",$C216,"DEEP_BROKER_ID_OVERRIDE",BL$24,"DEEP_PERIOD_OVERRIDE",$H$19)*1,"")))</f>
        <v/>
      </c>
      <c r="BM216" t="str">
        <f>IF(OR(BM$23="",ISNA($B216)),"",IF(ISBLANK($B216),"",IFERROR(_xll.BDP(TICKER,"DEEP_MEASURE_PERIOD_BROKER_VALUE","DEEP_MEASURE_ID_OVERRIDE",$C216,"DEEP_BROKER_ID_OVERRIDE",BM$24,"DEEP_PERIOD_OVERRIDE",$H$19)*1,"")))</f>
        <v/>
      </c>
      <c r="BN216" t="str">
        <f>IF(OR(BN$23="",ISNA($B216)),"",IF(ISBLANK($B216),"",IFERROR(_xll.BDP(TICKER,"DEEP_MEASURE_PERIOD_BROKER_VALUE","DEEP_MEASURE_ID_OVERRIDE",$C216,"DEEP_BROKER_ID_OVERRIDE",BN$24,"DEEP_PERIOD_OVERRIDE",$H$19)*1,"")))</f>
        <v/>
      </c>
      <c r="BO216" t="str">
        <f>IF(OR(BO$23="",ISNA($B216)),"",IF(ISBLANK($B216),"",IFERROR(_xll.BDP(TICKER,"DEEP_MEASURE_PERIOD_BROKER_VALUE","DEEP_MEASURE_ID_OVERRIDE",$C216,"DEEP_BROKER_ID_OVERRIDE",BO$24,"DEEP_PERIOD_OVERRIDE",$H$19)*1,"")))</f>
        <v/>
      </c>
      <c r="BP216" t="str">
        <f>IF(OR(BP$23="",ISNA($B216)),"",IF(ISBLANK($B216),"",IFERROR(_xll.BDP(TICKER,"DEEP_MEASURE_PERIOD_BROKER_VALUE","DEEP_MEASURE_ID_OVERRIDE",$C216,"DEEP_BROKER_ID_OVERRIDE",BP$24,"DEEP_PERIOD_OVERRIDE",$H$19)*1,"")))</f>
        <v/>
      </c>
      <c r="BQ216" t="str">
        <f>IF(OR(BQ$23="",ISNA($B216)),"",IF(ISBLANK($B216),"",IFERROR(_xll.BDP(TICKER,"DEEP_MEASURE_PERIOD_BROKER_VALUE","DEEP_MEASURE_ID_OVERRIDE",$C216,"DEEP_BROKER_ID_OVERRIDE",BQ$24,"DEEP_PERIOD_OVERRIDE",$H$19)*1,"")))</f>
        <v/>
      </c>
      <c r="BR216" t="str">
        <f>IF(OR(BR$23="",ISNA($B216)),"",IF(ISBLANK($B216),"",IFERROR(_xll.BDP(TICKER,"DEEP_MEASURE_PERIOD_BROKER_VALUE","DEEP_MEASURE_ID_OVERRIDE",$C216,"DEEP_BROKER_ID_OVERRIDE",BR$24,"DEEP_PERIOD_OVERRIDE",$H$19)*1,"")))</f>
        <v/>
      </c>
      <c r="BS216" t="str">
        <f>IF(OR(BS$23="",ISNA($B216)),"",IF(ISBLANK($B216),"",IFERROR(_xll.BDP(TICKER,"DEEP_MEASURE_PERIOD_BROKER_VALUE","DEEP_MEASURE_ID_OVERRIDE",$C216,"DEEP_BROKER_ID_OVERRIDE",BS$24,"DEEP_PERIOD_OVERRIDE",$H$19)*1,"")))</f>
        <v/>
      </c>
      <c r="BT216" t="str">
        <f>IF(OR(BT$23="",ISNA($B216)),"",IF(ISBLANK($B216),"",IFERROR(_xll.BDP(TICKER,"DEEP_MEASURE_PERIOD_BROKER_VALUE","DEEP_MEASURE_ID_OVERRIDE",$C216,"DEEP_BROKER_ID_OVERRIDE",BT$24,"DEEP_PERIOD_OVERRIDE",$H$19)*1,"")))</f>
        <v/>
      </c>
      <c r="BU216" t="str">
        <f>IF(OR(BU$23="",ISNA($B216)),"",IF(ISBLANK($B216),"",IFERROR(_xll.BDP(TICKER,"DEEP_MEASURE_PERIOD_BROKER_VALUE","DEEP_MEASURE_ID_OVERRIDE",$C216,"DEEP_BROKER_ID_OVERRIDE",BU$24,"DEEP_PERIOD_OVERRIDE",$H$19)*1,"")))</f>
        <v/>
      </c>
      <c r="BV216" t="str">
        <f>IF(OR(BV$23="",ISNA($B216)),"",IF(ISBLANK($B216),"",IFERROR(_xll.BDP(TICKER,"DEEP_MEASURE_PERIOD_BROKER_VALUE","DEEP_MEASURE_ID_OVERRIDE",$C216,"DEEP_BROKER_ID_OVERRIDE",BV$24,"DEEP_PERIOD_OVERRIDE",$H$19)*1,"")))</f>
        <v/>
      </c>
      <c r="BW216" t="str">
        <f>IF(OR(BW$23="",ISNA($B216)),"",IF(ISBLANK($B216),"",IFERROR(_xll.BDP(TICKER,"DEEP_MEASURE_PERIOD_BROKER_VALUE","DEEP_MEASURE_ID_OVERRIDE",$C216,"DEEP_BROKER_ID_OVERRIDE",BW$24,"DEEP_PERIOD_OVERRIDE",$H$19)*1,"")))</f>
        <v/>
      </c>
      <c r="BX216" t="str">
        <f>IF(OR(BX$23="",ISNA($B216)),"",IF(ISBLANK($B216),"",IFERROR(_xll.BDP(TICKER,"DEEP_MEASURE_PERIOD_BROKER_VALUE","DEEP_MEASURE_ID_OVERRIDE",$C216,"DEEP_BROKER_ID_OVERRIDE",BX$24,"DEEP_PERIOD_OVERRIDE",$H$19)*1,"")))</f>
        <v/>
      </c>
      <c r="BY216" t="str">
        <f>IF(OR(BY$23="",ISNA($B216)),"",IF(ISBLANK($B216),"",IFERROR(_xll.BDP(TICKER,"DEEP_MEASURE_PERIOD_BROKER_VALUE","DEEP_MEASURE_ID_OVERRIDE",$C216,"DEEP_BROKER_ID_OVERRIDE",BY$24,"DEEP_PERIOD_OVERRIDE",$H$19)*1,"")))</f>
        <v/>
      </c>
      <c r="BZ216" t="str">
        <f>IF(OR(BZ$23="",ISNA($B216)),"",IF(ISBLANK($B216),"",IFERROR(_xll.BDP(TICKER,"DEEP_MEASURE_PERIOD_BROKER_VALUE","DEEP_MEASURE_ID_OVERRIDE",$C216,"DEEP_BROKER_ID_OVERRIDE",BZ$24,"DEEP_PERIOD_OVERRIDE",$H$19)*1,"")))</f>
        <v/>
      </c>
    </row>
    <row r="217" spans="2:78" x14ac:dyDescent="0.25">
      <c r="B217" t="s">
        <v>216</v>
      </c>
      <c r="C217">
        <v>3271</v>
      </c>
      <c r="H217" t="str">
        <f t="shared" si="3"/>
        <v>Net Change in Cash &gt; Cash &amp; Cash Equivalents (Beg of Period)</v>
      </c>
      <c r="I217" t="str">
        <f>IF(OR(I$23="",ISNA($B217)),"",IF(ISBLANK($B217),"",IFERROR(_xll.BDP(TICKER,"DEEP_MEASURE_PERIOD_BROKER_VALUE","DEEP_MEASURE_ID_OVERRIDE",$C217,"DEEP_PERIOD_OVERRIDE",$H$19)*1,"")))</f>
        <v/>
      </c>
      <c r="J217" t="e">
        <f>IF(OR(J$23="",ISNA($B217)),"",IF(ISBLANK($B217),"",IFERROR(_xll.BDP(TICKER,"DEEP_MEASURE_PERIOD_BROKER_VALUE","DEEP_MEASURE_ID_OVERRIDE",$C217,"DEEP_BROKER_ID_OVERRIDE",J$24,"DEEP_PERIOD_OVERRIDE",$H$19)*1,"")))</f>
        <v>#REF!</v>
      </c>
      <c r="K217" t="str">
        <f>IF(OR(K$23="",ISNA($B217)),"",IF(ISBLANK($B217),"",IFERROR(_xll.BDP(TICKER,"DEEP_MEASURE_PERIOD_BROKER_VALUE","DEEP_MEASURE_ID_OVERRIDE",$C217,"DEEP_BROKER_ID_OVERRIDE",K$24,"DEEP_PERIOD_OVERRIDE",$H$19)*1,"")))</f>
        <v/>
      </c>
      <c r="L217" t="str">
        <f>IF(OR(L$23="",ISNA($B217)),"",IF(ISBLANK($B217),"",IFERROR(_xll.BDP(TICKER,"DEEP_MEASURE_PERIOD_BROKER_VALUE","DEEP_MEASURE_ID_OVERRIDE",$C217,"DEEP_BROKER_ID_OVERRIDE",L$24,"DEEP_PERIOD_OVERRIDE",$H$19)*1,"")))</f>
        <v/>
      </c>
      <c r="M217" t="str">
        <f>IF(OR(M$23="",ISNA($B217)),"",IF(ISBLANK($B217),"",IFERROR(_xll.BDP(TICKER,"DEEP_MEASURE_PERIOD_BROKER_VALUE","DEEP_MEASURE_ID_OVERRIDE",$C217,"DEEP_BROKER_ID_OVERRIDE",M$24,"DEEP_PERIOD_OVERRIDE",$H$19)*1,"")))</f>
        <v/>
      </c>
      <c r="N217" t="str">
        <f>IF(OR(N$23="",ISNA($B217)),"",IF(ISBLANK($B217),"",IFERROR(_xll.BDP(TICKER,"DEEP_MEASURE_PERIOD_BROKER_VALUE","DEEP_MEASURE_ID_OVERRIDE",$C217,"DEEP_BROKER_ID_OVERRIDE",N$24,"DEEP_PERIOD_OVERRIDE",$H$19)*1,"")))</f>
        <v/>
      </c>
      <c r="O217" t="str">
        <f>IF(OR(O$23="",ISNA($B217)),"",IF(ISBLANK($B217),"",IFERROR(_xll.BDP(TICKER,"DEEP_MEASURE_PERIOD_BROKER_VALUE","DEEP_MEASURE_ID_OVERRIDE",$C217,"DEEP_BROKER_ID_OVERRIDE",O$24,"DEEP_PERIOD_OVERRIDE",$H$19)*1,"")))</f>
        <v/>
      </c>
      <c r="P217" t="str">
        <f>IF(OR(P$23="",ISNA($B217)),"",IF(ISBLANK($B217),"",IFERROR(_xll.BDP(TICKER,"DEEP_MEASURE_PERIOD_BROKER_VALUE","DEEP_MEASURE_ID_OVERRIDE",$C217,"DEEP_BROKER_ID_OVERRIDE",P$24,"DEEP_PERIOD_OVERRIDE",$H$19)*1,"")))</f>
        <v/>
      </c>
      <c r="Q217" t="str">
        <f>IF(OR(Q$23="",ISNA($B217)),"",IF(ISBLANK($B217),"",IFERROR(_xll.BDP(TICKER,"DEEP_MEASURE_PERIOD_BROKER_VALUE","DEEP_MEASURE_ID_OVERRIDE",$C217,"DEEP_BROKER_ID_OVERRIDE",Q$24,"DEEP_PERIOD_OVERRIDE",$H$19)*1,"")))</f>
        <v/>
      </c>
      <c r="R217" t="str">
        <f>IF(OR(R$23="",ISNA($B217)),"",IF(ISBLANK($B217),"",IFERROR(_xll.BDP(TICKER,"DEEP_MEASURE_PERIOD_BROKER_VALUE","DEEP_MEASURE_ID_OVERRIDE",$C217,"DEEP_BROKER_ID_OVERRIDE",R$24,"DEEP_PERIOD_OVERRIDE",$H$19)*1,"")))</f>
        <v/>
      </c>
      <c r="S217" t="str">
        <f>IF(OR(S$23="",ISNA($B217)),"",IF(ISBLANK($B217),"",IFERROR(_xll.BDP(TICKER,"DEEP_MEASURE_PERIOD_BROKER_VALUE","DEEP_MEASURE_ID_OVERRIDE",$C217,"DEEP_BROKER_ID_OVERRIDE",S$24,"DEEP_PERIOD_OVERRIDE",$H$19)*1,"")))</f>
        <v/>
      </c>
      <c r="T217" t="str">
        <f>IF(OR(T$23="",ISNA($B217)),"",IF(ISBLANK($B217),"",IFERROR(_xll.BDP(TICKER,"DEEP_MEASURE_PERIOD_BROKER_VALUE","DEEP_MEASURE_ID_OVERRIDE",$C217,"DEEP_BROKER_ID_OVERRIDE",T$24,"DEEP_PERIOD_OVERRIDE",$H$19)*1,"")))</f>
        <v/>
      </c>
      <c r="U217" t="str">
        <f>IF(OR(U$23="",ISNA($B217)),"",IF(ISBLANK($B217),"",IFERROR(_xll.BDP(TICKER,"DEEP_MEASURE_PERIOD_BROKER_VALUE","DEEP_MEASURE_ID_OVERRIDE",$C217,"DEEP_BROKER_ID_OVERRIDE",U$24,"DEEP_PERIOD_OVERRIDE",$H$19)*1,"")))</f>
        <v/>
      </c>
      <c r="V217" t="str">
        <f>IF(OR(V$23="",ISNA($B217)),"",IF(ISBLANK($B217),"",IFERROR(_xll.BDP(TICKER,"DEEP_MEASURE_PERIOD_BROKER_VALUE","DEEP_MEASURE_ID_OVERRIDE",$C217,"DEEP_BROKER_ID_OVERRIDE",V$24,"DEEP_PERIOD_OVERRIDE",$H$19)*1,"")))</f>
        <v/>
      </c>
      <c r="W217" t="str">
        <f>IF(OR(W$23="",ISNA($B217)),"",IF(ISBLANK($B217),"",IFERROR(_xll.BDP(TICKER,"DEEP_MEASURE_PERIOD_BROKER_VALUE","DEEP_MEASURE_ID_OVERRIDE",$C217,"DEEP_BROKER_ID_OVERRIDE",W$24,"DEEP_PERIOD_OVERRIDE",$H$19)*1,"")))</f>
        <v/>
      </c>
      <c r="X217" t="str">
        <f>IF(OR(X$23="",ISNA($B217)),"",IF(ISBLANK($B217),"",IFERROR(_xll.BDP(TICKER,"DEEP_MEASURE_PERIOD_BROKER_VALUE","DEEP_MEASURE_ID_OVERRIDE",$C217,"DEEP_BROKER_ID_OVERRIDE",X$24,"DEEP_PERIOD_OVERRIDE",$H$19)*1,"")))</f>
        <v/>
      </c>
      <c r="Y217" t="str">
        <f>IF(OR(Y$23="",ISNA($B217)),"",IF(ISBLANK($B217),"",IFERROR(_xll.BDP(TICKER,"DEEP_MEASURE_PERIOD_BROKER_VALUE","DEEP_MEASURE_ID_OVERRIDE",$C217,"DEEP_BROKER_ID_OVERRIDE",Y$24,"DEEP_PERIOD_OVERRIDE",$H$19)*1,"")))</f>
        <v/>
      </c>
      <c r="Z217" t="str">
        <f>IF(OR(Z$23="",ISNA($B217)),"",IF(ISBLANK($B217),"",IFERROR(_xll.BDP(TICKER,"DEEP_MEASURE_PERIOD_BROKER_VALUE","DEEP_MEASURE_ID_OVERRIDE",$C217,"DEEP_BROKER_ID_OVERRIDE",Z$24,"DEEP_PERIOD_OVERRIDE",$H$19)*1,"")))</f>
        <v/>
      </c>
      <c r="AA217" t="str">
        <f>IF(OR(AA$23="",ISNA($B217)),"",IF(ISBLANK($B217),"",IFERROR(_xll.BDP(TICKER,"DEEP_MEASURE_PERIOD_BROKER_VALUE","DEEP_MEASURE_ID_OVERRIDE",$C217,"DEEP_BROKER_ID_OVERRIDE",AA$24,"DEEP_PERIOD_OVERRIDE",$H$19)*1,"")))</f>
        <v/>
      </c>
      <c r="AB217" t="str">
        <f>IF(OR(AB$23="",ISNA($B217)),"",IF(ISBLANK($B217),"",IFERROR(_xll.BDP(TICKER,"DEEP_MEASURE_PERIOD_BROKER_VALUE","DEEP_MEASURE_ID_OVERRIDE",$C217,"DEEP_BROKER_ID_OVERRIDE",AB$24,"DEEP_PERIOD_OVERRIDE",$H$19)*1,"")))</f>
        <v/>
      </c>
      <c r="AC217" t="str">
        <f>IF(OR(AC$23="",ISNA($B217)),"",IF(ISBLANK($B217),"",IFERROR(_xll.BDP(TICKER,"DEEP_MEASURE_PERIOD_BROKER_VALUE","DEEP_MEASURE_ID_OVERRIDE",$C217,"DEEP_BROKER_ID_OVERRIDE",AC$24,"DEEP_PERIOD_OVERRIDE",$H$19)*1,"")))</f>
        <v/>
      </c>
      <c r="AD217" t="str">
        <f>IF(OR(AD$23="",ISNA($B217)),"",IF(ISBLANK($B217),"",IFERROR(_xll.BDP(TICKER,"DEEP_MEASURE_PERIOD_BROKER_VALUE","DEEP_MEASURE_ID_OVERRIDE",$C217,"DEEP_BROKER_ID_OVERRIDE",AD$24,"DEEP_PERIOD_OVERRIDE",$H$19)*1,"")))</f>
        <v/>
      </c>
      <c r="AE217" t="str">
        <f>IF(OR(AE$23="",ISNA($B217)),"",IF(ISBLANK($B217),"",IFERROR(_xll.BDP(TICKER,"DEEP_MEASURE_PERIOD_BROKER_VALUE","DEEP_MEASURE_ID_OVERRIDE",$C217,"DEEP_BROKER_ID_OVERRIDE",AE$24,"DEEP_PERIOD_OVERRIDE",$H$19)*1,"")))</f>
        <v/>
      </c>
      <c r="AF217" t="str">
        <f>IF(OR(AF$23="",ISNA($B217)),"",IF(ISBLANK($B217),"",IFERROR(_xll.BDP(TICKER,"DEEP_MEASURE_PERIOD_BROKER_VALUE","DEEP_MEASURE_ID_OVERRIDE",$C217,"DEEP_BROKER_ID_OVERRIDE",AF$24,"DEEP_PERIOD_OVERRIDE",$H$19)*1,"")))</f>
        <v/>
      </c>
      <c r="AG217" t="str">
        <f>IF(OR(AG$23="",ISNA($B217)),"",IF(ISBLANK($B217),"",IFERROR(_xll.BDP(TICKER,"DEEP_MEASURE_PERIOD_BROKER_VALUE","DEEP_MEASURE_ID_OVERRIDE",$C217,"DEEP_BROKER_ID_OVERRIDE",AG$24,"DEEP_PERIOD_OVERRIDE",$H$19)*1,"")))</f>
        <v/>
      </c>
      <c r="AH217" t="str">
        <f>IF(OR(AH$23="",ISNA($B217)),"",IF(ISBLANK($B217),"",IFERROR(_xll.BDP(TICKER,"DEEP_MEASURE_PERIOD_BROKER_VALUE","DEEP_MEASURE_ID_OVERRIDE",$C217,"DEEP_BROKER_ID_OVERRIDE",AH$24,"DEEP_PERIOD_OVERRIDE",$H$19)*1,"")))</f>
        <v/>
      </c>
      <c r="AI217" t="str">
        <f>IF(OR(AI$23="",ISNA($B217)),"",IF(ISBLANK($B217),"",IFERROR(_xll.BDP(TICKER,"DEEP_MEASURE_PERIOD_BROKER_VALUE","DEEP_MEASURE_ID_OVERRIDE",$C217,"DEEP_BROKER_ID_OVERRIDE",AI$24,"DEEP_PERIOD_OVERRIDE",$H$19)*1,"")))</f>
        <v/>
      </c>
      <c r="AJ217" t="str">
        <f>IF(OR(AJ$23="",ISNA($B217)),"",IF(ISBLANK($B217),"",IFERROR(_xll.BDP(TICKER,"DEEP_MEASURE_PERIOD_BROKER_VALUE","DEEP_MEASURE_ID_OVERRIDE",$C217,"DEEP_BROKER_ID_OVERRIDE",AJ$24,"DEEP_PERIOD_OVERRIDE",$H$19)*1,"")))</f>
        <v/>
      </c>
      <c r="AK217" t="str">
        <f>IF(OR(AK$23="",ISNA($B217)),"",IF(ISBLANK($B217),"",IFERROR(_xll.BDP(TICKER,"DEEP_MEASURE_PERIOD_BROKER_VALUE","DEEP_MEASURE_ID_OVERRIDE",$C217,"DEEP_BROKER_ID_OVERRIDE",AK$24,"DEEP_PERIOD_OVERRIDE",$H$19)*1,"")))</f>
        <v/>
      </c>
      <c r="AL217" t="str">
        <f>IF(OR(AL$23="",ISNA($B217)),"",IF(ISBLANK($B217),"",IFERROR(_xll.BDP(TICKER,"DEEP_MEASURE_PERIOD_BROKER_VALUE","DEEP_MEASURE_ID_OVERRIDE",$C217,"DEEP_BROKER_ID_OVERRIDE",AL$24,"DEEP_PERIOD_OVERRIDE",$H$19)*1,"")))</f>
        <v/>
      </c>
      <c r="AM217" t="str">
        <f>IF(OR(AM$23="",ISNA($B217)),"",IF(ISBLANK($B217),"",IFERROR(_xll.BDP(TICKER,"DEEP_MEASURE_PERIOD_BROKER_VALUE","DEEP_MEASURE_ID_OVERRIDE",$C217,"DEEP_BROKER_ID_OVERRIDE",AM$24,"DEEP_PERIOD_OVERRIDE",$H$19)*1,"")))</f>
        <v/>
      </c>
      <c r="AN217" t="str">
        <f>IF(OR(AN$23="",ISNA($B217)),"",IF(ISBLANK($B217),"",IFERROR(_xll.BDP(TICKER,"DEEP_MEASURE_PERIOD_BROKER_VALUE","DEEP_MEASURE_ID_OVERRIDE",$C217,"DEEP_BROKER_ID_OVERRIDE",AN$24,"DEEP_PERIOD_OVERRIDE",$H$19)*1,"")))</f>
        <v/>
      </c>
      <c r="AO217" t="str">
        <f>IF(OR(AO$23="",ISNA($B217)),"",IF(ISBLANK($B217),"",IFERROR(_xll.BDP(TICKER,"DEEP_MEASURE_PERIOD_BROKER_VALUE","DEEP_MEASURE_ID_OVERRIDE",$C217,"DEEP_BROKER_ID_OVERRIDE",AO$24,"DEEP_PERIOD_OVERRIDE",$H$19)*1,"")))</f>
        <v/>
      </c>
      <c r="AP217" t="str">
        <f>IF(OR(AP$23="",ISNA($B217)),"",IF(ISBLANK($B217),"",IFERROR(_xll.BDP(TICKER,"DEEP_MEASURE_PERIOD_BROKER_VALUE","DEEP_MEASURE_ID_OVERRIDE",$C217,"DEEP_BROKER_ID_OVERRIDE",AP$24,"DEEP_PERIOD_OVERRIDE",$H$19)*1,"")))</f>
        <v/>
      </c>
      <c r="AQ217" t="str">
        <f>IF(OR(AQ$23="",ISNA($B217)),"",IF(ISBLANK($B217),"",IFERROR(_xll.BDP(TICKER,"DEEP_MEASURE_PERIOD_BROKER_VALUE","DEEP_MEASURE_ID_OVERRIDE",$C217,"DEEP_BROKER_ID_OVERRIDE",AQ$24,"DEEP_PERIOD_OVERRIDE",$H$19)*1,"")))</f>
        <v/>
      </c>
      <c r="AR217" t="str">
        <f>IF(OR(AR$23="",ISNA($B217)),"",IF(ISBLANK($B217),"",IFERROR(_xll.BDP(TICKER,"DEEP_MEASURE_PERIOD_BROKER_VALUE","DEEP_MEASURE_ID_OVERRIDE",$C217,"DEEP_BROKER_ID_OVERRIDE",AR$24,"DEEP_PERIOD_OVERRIDE",$H$19)*1,"")))</f>
        <v/>
      </c>
      <c r="AS217" t="str">
        <f>IF(OR(AS$23="",ISNA($B217)),"",IF(ISBLANK($B217),"",IFERROR(_xll.BDP(TICKER,"DEEP_MEASURE_PERIOD_BROKER_VALUE","DEEP_MEASURE_ID_OVERRIDE",$C217,"DEEP_BROKER_ID_OVERRIDE",AS$24,"DEEP_PERIOD_OVERRIDE",$H$19)*1,"")))</f>
        <v/>
      </c>
      <c r="AT217" t="str">
        <f>IF(OR(AT$23="",ISNA($B217)),"",IF(ISBLANK($B217),"",IFERROR(_xll.BDP(TICKER,"DEEP_MEASURE_PERIOD_BROKER_VALUE","DEEP_MEASURE_ID_OVERRIDE",$C217,"DEEP_BROKER_ID_OVERRIDE",AT$24,"DEEP_PERIOD_OVERRIDE",$H$19)*1,"")))</f>
        <v/>
      </c>
      <c r="AU217" t="str">
        <f>IF(OR(AU$23="",ISNA($B217)),"",IF(ISBLANK($B217),"",IFERROR(_xll.BDP(TICKER,"DEEP_MEASURE_PERIOD_BROKER_VALUE","DEEP_MEASURE_ID_OVERRIDE",$C217,"DEEP_BROKER_ID_OVERRIDE",AU$24,"DEEP_PERIOD_OVERRIDE",$H$19)*1,"")))</f>
        <v/>
      </c>
      <c r="AV217" t="str">
        <f>IF(OR(AV$23="",ISNA($B217)),"",IF(ISBLANK($B217),"",IFERROR(_xll.BDP(TICKER,"DEEP_MEASURE_PERIOD_BROKER_VALUE","DEEP_MEASURE_ID_OVERRIDE",$C217,"DEEP_BROKER_ID_OVERRIDE",AV$24,"DEEP_PERIOD_OVERRIDE",$H$19)*1,"")))</f>
        <v/>
      </c>
      <c r="AW217" t="str">
        <f>IF(OR(AW$23="",ISNA($B217)),"",IF(ISBLANK($B217),"",IFERROR(_xll.BDP(TICKER,"DEEP_MEASURE_PERIOD_BROKER_VALUE","DEEP_MEASURE_ID_OVERRIDE",$C217,"DEEP_BROKER_ID_OVERRIDE",AW$24,"DEEP_PERIOD_OVERRIDE",$H$19)*1,"")))</f>
        <v/>
      </c>
      <c r="AX217" t="str">
        <f>IF(OR(AX$23="",ISNA($B217)),"",IF(ISBLANK($B217),"",IFERROR(_xll.BDP(TICKER,"DEEP_MEASURE_PERIOD_BROKER_VALUE","DEEP_MEASURE_ID_OVERRIDE",$C217,"DEEP_BROKER_ID_OVERRIDE",AX$24,"DEEP_PERIOD_OVERRIDE",$H$19)*1,"")))</f>
        <v/>
      </c>
      <c r="AY217" t="str">
        <f>IF(OR(AY$23="",ISNA($B217)),"",IF(ISBLANK($B217),"",IFERROR(_xll.BDP(TICKER,"DEEP_MEASURE_PERIOD_BROKER_VALUE","DEEP_MEASURE_ID_OVERRIDE",$C217,"DEEP_BROKER_ID_OVERRIDE",AY$24,"DEEP_PERIOD_OVERRIDE",$H$19)*1,"")))</f>
        <v/>
      </c>
      <c r="AZ217" t="str">
        <f>IF(OR(AZ$23="",ISNA($B217)),"",IF(ISBLANK($B217),"",IFERROR(_xll.BDP(TICKER,"DEEP_MEASURE_PERIOD_BROKER_VALUE","DEEP_MEASURE_ID_OVERRIDE",$C217,"DEEP_BROKER_ID_OVERRIDE",AZ$24,"DEEP_PERIOD_OVERRIDE",$H$19)*1,"")))</f>
        <v/>
      </c>
      <c r="BA217" t="str">
        <f>IF(OR(BA$23="",ISNA($B217)),"",IF(ISBLANK($B217),"",IFERROR(_xll.BDP(TICKER,"DEEP_MEASURE_PERIOD_BROKER_VALUE","DEEP_MEASURE_ID_OVERRIDE",$C217,"DEEP_BROKER_ID_OVERRIDE",BA$24,"DEEP_PERIOD_OVERRIDE",$H$19)*1,"")))</f>
        <v/>
      </c>
      <c r="BB217" t="str">
        <f>IF(OR(BB$23="",ISNA($B217)),"",IF(ISBLANK($B217),"",IFERROR(_xll.BDP(TICKER,"DEEP_MEASURE_PERIOD_BROKER_VALUE","DEEP_MEASURE_ID_OVERRIDE",$C217,"DEEP_BROKER_ID_OVERRIDE",BB$24,"DEEP_PERIOD_OVERRIDE",$H$19)*1,"")))</f>
        <v/>
      </c>
      <c r="BC217" t="str">
        <f>IF(OR(BC$23="",ISNA($B217)),"",IF(ISBLANK($B217),"",IFERROR(_xll.BDP(TICKER,"DEEP_MEASURE_PERIOD_BROKER_VALUE","DEEP_MEASURE_ID_OVERRIDE",$C217,"DEEP_BROKER_ID_OVERRIDE",BC$24,"DEEP_PERIOD_OVERRIDE",$H$19)*1,"")))</f>
        <v/>
      </c>
      <c r="BD217" t="str">
        <f>IF(OR(BD$23="",ISNA($B217)),"",IF(ISBLANK($B217),"",IFERROR(_xll.BDP(TICKER,"DEEP_MEASURE_PERIOD_BROKER_VALUE","DEEP_MEASURE_ID_OVERRIDE",$C217,"DEEP_BROKER_ID_OVERRIDE",BD$24,"DEEP_PERIOD_OVERRIDE",$H$19)*1,"")))</f>
        <v/>
      </c>
      <c r="BE217" t="str">
        <f>IF(OR(BE$23="",ISNA($B217)),"",IF(ISBLANK($B217),"",IFERROR(_xll.BDP(TICKER,"DEEP_MEASURE_PERIOD_BROKER_VALUE","DEEP_MEASURE_ID_OVERRIDE",$C217,"DEEP_BROKER_ID_OVERRIDE",BE$24,"DEEP_PERIOD_OVERRIDE",$H$19)*1,"")))</f>
        <v/>
      </c>
      <c r="BF217" t="str">
        <f>IF(OR(BF$23="",ISNA($B217)),"",IF(ISBLANK($B217),"",IFERROR(_xll.BDP(TICKER,"DEEP_MEASURE_PERIOD_BROKER_VALUE","DEEP_MEASURE_ID_OVERRIDE",$C217,"DEEP_BROKER_ID_OVERRIDE",BF$24,"DEEP_PERIOD_OVERRIDE",$H$19)*1,"")))</f>
        <v/>
      </c>
      <c r="BG217" t="str">
        <f>IF(OR(BG$23="",ISNA($B217)),"",IF(ISBLANK($B217),"",IFERROR(_xll.BDP(TICKER,"DEEP_MEASURE_PERIOD_BROKER_VALUE","DEEP_MEASURE_ID_OVERRIDE",$C217,"DEEP_BROKER_ID_OVERRIDE",BG$24,"DEEP_PERIOD_OVERRIDE",$H$19)*1,"")))</f>
        <v/>
      </c>
      <c r="BH217" t="str">
        <f>IF(OR(BH$23="",ISNA($B217)),"",IF(ISBLANK($B217),"",IFERROR(_xll.BDP(TICKER,"DEEP_MEASURE_PERIOD_BROKER_VALUE","DEEP_MEASURE_ID_OVERRIDE",$C217,"DEEP_BROKER_ID_OVERRIDE",BH$24,"DEEP_PERIOD_OVERRIDE",$H$19)*1,"")))</f>
        <v/>
      </c>
      <c r="BI217" t="str">
        <f>IF(OR(BI$23="",ISNA($B217)),"",IF(ISBLANK($B217),"",IFERROR(_xll.BDP(TICKER,"DEEP_MEASURE_PERIOD_BROKER_VALUE","DEEP_MEASURE_ID_OVERRIDE",$C217,"DEEP_BROKER_ID_OVERRIDE",BI$24,"DEEP_PERIOD_OVERRIDE",$H$19)*1,"")))</f>
        <v/>
      </c>
      <c r="BJ217" t="str">
        <f>IF(OR(BJ$23="",ISNA($B217)),"",IF(ISBLANK($B217),"",IFERROR(_xll.BDP(TICKER,"DEEP_MEASURE_PERIOD_BROKER_VALUE","DEEP_MEASURE_ID_OVERRIDE",$C217,"DEEP_BROKER_ID_OVERRIDE",BJ$24,"DEEP_PERIOD_OVERRIDE",$H$19)*1,"")))</f>
        <v/>
      </c>
      <c r="BK217" t="str">
        <f>IF(OR(BK$23="",ISNA($B217)),"",IF(ISBLANK($B217),"",IFERROR(_xll.BDP(TICKER,"DEEP_MEASURE_PERIOD_BROKER_VALUE","DEEP_MEASURE_ID_OVERRIDE",$C217,"DEEP_BROKER_ID_OVERRIDE",BK$24,"DEEP_PERIOD_OVERRIDE",$H$19)*1,"")))</f>
        <v/>
      </c>
      <c r="BL217" t="str">
        <f>IF(OR(BL$23="",ISNA($B217)),"",IF(ISBLANK($B217),"",IFERROR(_xll.BDP(TICKER,"DEEP_MEASURE_PERIOD_BROKER_VALUE","DEEP_MEASURE_ID_OVERRIDE",$C217,"DEEP_BROKER_ID_OVERRIDE",BL$24,"DEEP_PERIOD_OVERRIDE",$H$19)*1,"")))</f>
        <v/>
      </c>
      <c r="BM217" t="str">
        <f>IF(OR(BM$23="",ISNA($B217)),"",IF(ISBLANK($B217),"",IFERROR(_xll.BDP(TICKER,"DEEP_MEASURE_PERIOD_BROKER_VALUE","DEEP_MEASURE_ID_OVERRIDE",$C217,"DEEP_BROKER_ID_OVERRIDE",BM$24,"DEEP_PERIOD_OVERRIDE",$H$19)*1,"")))</f>
        <v/>
      </c>
      <c r="BN217" t="str">
        <f>IF(OR(BN$23="",ISNA($B217)),"",IF(ISBLANK($B217),"",IFERROR(_xll.BDP(TICKER,"DEEP_MEASURE_PERIOD_BROKER_VALUE","DEEP_MEASURE_ID_OVERRIDE",$C217,"DEEP_BROKER_ID_OVERRIDE",BN$24,"DEEP_PERIOD_OVERRIDE",$H$19)*1,"")))</f>
        <v/>
      </c>
      <c r="BO217" t="str">
        <f>IF(OR(BO$23="",ISNA($B217)),"",IF(ISBLANK($B217),"",IFERROR(_xll.BDP(TICKER,"DEEP_MEASURE_PERIOD_BROKER_VALUE","DEEP_MEASURE_ID_OVERRIDE",$C217,"DEEP_BROKER_ID_OVERRIDE",BO$24,"DEEP_PERIOD_OVERRIDE",$H$19)*1,"")))</f>
        <v/>
      </c>
      <c r="BP217" t="str">
        <f>IF(OR(BP$23="",ISNA($B217)),"",IF(ISBLANK($B217),"",IFERROR(_xll.BDP(TICKER,"DEEP_MEASURE_PERIOD_BROKER_VALUE","DEEP_MEASURE_ID_OVERRIDE",$C217,"DEEP_BROKER_ID_OVERRIDE",BP$24,"DEEP_PERIOD_OVERRIDE",$H$19)*1,"")))</f>
        <v/>
      </c>
      <c r="BQ217" t="str">
        <f>IF(OR(BQ$23="",ISNA($B217)),"",IF(ISBLANK($B217),"",IFERROR(_xll.BDP(TICKER,"DEEP_MEASURE_PERIOD_BROKER_VALUE","DEEP_MEASURE_ID_OVERRIDE",$C217,"DEEP_BROKER_ID_OVERRIDE",BQ$24,"DEEP_PERIOD_OVERRIDE",$H$19)*1,"")))</f>
        <v/>
      </c>
      <c r="BR217" t="str">
        <f>IF(OR(BR$23="",ISNA($B217)),"",IF(ISBLANK($B217),"",IFERROR(_xll.BDP(TICKER,"DEEP_MEASURE_PERIOD_BROKER_VALUE","DEEP_MEASURE_ID_OVERRIDE",$C217,"DEEP_BROKER_ID_OVERRIDE",BR$24,"DEEP_PERIOD_OVERRIDE",$H$19)*1,"")))</f>
        <v/>
      </c>
      <c r="BS217" t="str">
        <f>IF(OR(BS$23="",ISNA($B217)),"",IF(ISBLANK($B217),"",IFERROR(_xll.BDP(TICKER,"DEEP_MEASURE_PERIOD_BROKER_VALUE","DEEP_MEASURE_ID_OVERRIDE",$C217,"DEEP_BROKER_ID_OVERRIDE",BS$24,"DEEP_PERIOD_OVERRIDE",$H$19)*1,"")))</f>
        <v/>
      </c>
      <c r="BT217" t="str">
        <f>IF(OR(BT$23="",ISNA($B217)),"",IF(ISBLANK($B217),"",IFERROR(_xll.BDP(TICKER,"DEEP_MEASURE_PERIOD_BROKER_VALUE","DEEP_MEASURE_ID_OVERRIDE",$C217,"DEEP_BROKER_ID_OVERRIDE",BT$24,"DEEP_PERIOD_OVERRIDE",$H$19)*1,"")))</f>
        <v/>
      </c>
      <c r="BU217" t="str">
        <f>IF(OR(BU$23="",ISNA($B217)),"",IF(ISBLANK($B217),"",IFERROR(_xll.BDP(TICKER,"DEEP_MEASURE_PERIOD_BROKER_VALUE","DEEP_MEASURE_ID_OVERRIDE",$C217,"DEEP_BROKER_ID_OVERRIDE",BU$24,"DEEP_PERIOD_OVERRIDE",$H$19)*1,"")))</f>
        <v/>
      </c>
      <c r="BV217" t="str">
        <f>IF(OR(BV$23="",ISNA($B217)),"",IF(ISBLANK($B217),"",IFERROR(_xll.BDP(TICKER,"DEEP_MEASURE_PERIOD_BROKER_VALUE","DEEP_MEASURE_ID_OVERRIDE",$C217,"DEEP_BROKER_ID_OVERRIDE",BV$24,"DEEP_PERIOD_OVERRIDE",$H$19)*1,"")))</f>
        <v/>
      </c>
      <c r="BW217" t="str">
        <f>IF(OR(BW$23="",ISNA($B217)),"",IF(ISBLANK($B217),"",IFERROR(_xll.BDP(TICKER,"DEEP_MEASURE_PERIOD_BROKER_VALUE","DEEP_MEASURE_ID_OVERRIDE",$C217,"DEEP_BROKER_ID_OVERRIDE",BW$24,"DEEP_PERIOD_OVERRIDE",$H$19)*1,"")))</f>
        <v/>
      </c>
      <c r="BX217" t="str">
        <f>IF(OR(BX$23="",ISNA($B217)),"",IF(ISBLANK($B217),"",IFERROR(_xll.BDP(TICKER,"DEEP_MEASURE_PERIOD_BROKER_VALUE","DEEP_MEASURE_ID_OVERRIDE",$C217,"DEEP_BROKER_ID_OVERRIDE",BX$24,"DEEP_PERIOD_OVERRIDE",$H$19)*1,"")))</f>
        <v/>
      </c>
      <c r="BY217" t="str">
        <f>IF(OR(BY$23="",ISNA($B217)),"",IF(ISBLANK($B217),"",IFERROR(_xll.BDP(TICKER,"DEEP_MEASURE_PERIOD_BROKER_VALUE","DEEP_MEASURE_ID_OVERRIDE",$C217,"DEEP_BROKER_ID_OVERRIDE",BY$24,"DEEP_PERIOD_OVERRIDE",$H$19)*1,"")))</f>
        <v/>
      </c>
      <c r="BZ217" t="str">
        <f>IF(OR(BZ$23="",ISNA($B217)),"",IF(ISBLANK($B217),"",IFERROR(_xll.BDP(TICKER,"DEEP_MEASURE_PERIOD_BROKER_VALUE","DEEP_MEASURE_ID_OVERRIDE",$C217,"DEEP_BROKER_ID_OVERRIDE",BZ$24,"DEEP_PERIOD_OVERRIDE",$H$19)*1,"")))</f>
        <v/>
      </c>
    </row>
    <row r="218" spans="2:78" x14ac:dyDescent="0.25">
      <c r="B218" t="s">
        <v>74</v>
      </c>
      <c r="C218">
        <v>444</v>
      </c>
      <c r="H218" t="str">
        <f t="shared" ref="H218:H281" si="4">IF(ISNA($B218),"",IF(ISBLANK($B218),"",$B218))</f>
        <v>Net Effect of Foreign Exchange Rates on Cash</v>
      </c>
      <c r="I218" t="str">
        <f>IF(OR(I$23="",ISNA($B218)),"",IF(ISBLANK($B218),"",IFERROR(_xll.BDP(TICKER,"DEEP_MEASURE_PERIOD_BROKER_VALUE","DEEP_MEASURE_ID_OVERRIDE",$C218,"DEEP_PERIOD_OVERRIDE",$H$19)*1,"")))</f>
        <v/>
      </c>
      <c r="J218" t="e">
        <f>IF(OR(J$23="",ISNA($B218)),"",IF(ISBLANK($B218),"",IFERROR(_xll.BDP(TICKER,"DEEP_MEASURE_PERIOD_BROKER_VALUE","DEEP_MEASURE_ID_OVERRIDE",$C218,"DEEP_BROKER_ID_OVERRIDE",J$24,"DEEP_PERIOD_OVERRIDE",$H$19)*1,"")))</f>
        <v>#REF!</v>
      </c>
      <c r="K218" t="str">
        <f>IF(OR(K$23="",ISNA($B218)),"",IF(ISBLANK($B218),"",IFERROR(_xll.BDP(TICKER,"DEEP_MEASURE_PERIOD_BROKER_VALUE","DEEP_MEASURE_ID_OVERRIDE",$C218,"DEEP_BROKER_ID_OVERRIDE",K$24,"DEEP_PERIOD_OVERRIDE",$H$19)*1,"")))</f>
        <v/>
      </c>
      <c r="L218" t="str">
        <f>IF(OR(L$23="",ISNA($B218)),"",IF(ISBLANK($B218),"",IFERROR(_xll.BDP(TICKER,"DEEP_MEASURE_PERIOD_BROKER_VALUE","DEEP_MEASURE_ID_OVERRIDE",$C218,"DEEP_BROKER_ID_OVERRIDE",L$24,"DEEP_PERIOD_OVERRIDE",$H$19)*1,"")))</f>
        <v/>
      </c>
      <c r="M218" t="str">
        <f>IF(OR(M$23="",ISNA($B218)),"",IF(ISBLANK($B218),"",IFERROR(_xll.BDP(TICKER,"DEEP_MEASURE_PERIOD_BROKER_VALUE","DEEP_MEASURE_ID_OVERRIDE",$C218,"DEEP_BROKER_ID_OVERRIDE",M$24,"DEEP_PERIOD_OVERRIDE",$H$19)*1,"")))</f>
        <v/>
      </c>
      <c r="N218" t="str">
        <f>IF(OR(N$23="",ISNA($B218)),"",IF(ISBLANK($B218),"",IFERROR(_xll.BDP(TICKER,"DEEP_MEASURE_PERIOD_BROKER_VALUE","DEEP_MEASURE_ID_OVERRIDE",$C218,"DEEP_BROKER_ID_OVERRIDE",N$24,"DEEP_PERIOD_OVERRIDE",$H$19)*1,"")))</f>
        <v/>
      </c>
      <c r="O218" t="str">
        <f>IF(OR(O$23="",ISNA($B218)),"",IF(ISBLANK($B218),"",IFERROR(_xll.BDP(TICKER,"DEEP_MEASURE_PERIOD_BROKER_VALUE","DEEP_MEASURE_ID_OVERRIDE",$C218,"DEEP_BROKER_ID_OVERRIDE",O$24,"DEEP_PERIOD_OVERRIDE",$H$19)*1,"")))</f>
        <v/>
      </c>
      <c r="P218" t="str">
        <f>IF(OR(P$23="",ISNA($B218)),"",IF(ISBLANK($B218),"",IFERROR(_xll.BDP(TICKER,"DEEP_MEASURE_PERIOD_BROKER_VALUE","DEEP_MEASURE_ID_OVERRIDE",$C218,"DEEP_BROKER_ID_OVERRIDE",P$24,"DEEP_PERIOD_OVERRIDE",$H$19)*1,"")))</f>
        <v/>
      </c>
      <c r="Q218" t="str">
        <f>IF(OR(Q$23="",ISNA($B218)),"",IF(ISBLANK($B218),"",IFERROR(_xll.BDP(TICKER,"DEEP_MEASURE_PERIOD_BROKER_VALUE","DEEP_MEASURE_ID_OVERRIDE",$C218,"DEEP_BROKER_ID_OVERRIDE",Q$24,"DEEP_PERIOD_OVERRIDE",$H$19)*1,"")))</f>
        <v/>
      </c>
      <c r="R218" t="str">
        <f>IF(OR(R$23="",ISNA($B218)),"",IF(ISBLANK($B218),"",IFERROR(_xll.BDP(TICKER,"DEEP_MEASURE_PERIOD_BROKER_VALUE","DEEP_MEASURE_ID_OVERRIDE",$C218,"DEEP_BROKER_ID_OVERRIDE",R$24,"DEEP_PERIOD_OVERRIDE",$H$19)*1,"")))</f>
        <v/>
      </c>
      <c r="S218" t="str">
        <f>IF(OR(S$23="",ISNA($B218)),"",IF(ISBLANK($B218),"",IFERROR(_xll.BDP(TICKER,"DEEP_MEASURE_PERIOD_BROKER_VALUE","DEEP_MEASURE_ID_OVERRIDE",$C218,"DEEP_BROKER_ID_OVERRIDE",S$24,"DEEP_PERIOD_OVERRIDE",$H$19)*1,"")))</f>
        <v/>
      </c>
      <c r="T218" t="str">
        <f>IF(OR(T$23="",ISNA($B218)),"",IF(ISBLANK($B218),"",IFERROR(_xll.BDP(TICKER,"DEEP_MEASURE_PERIOD_BROKER_VALUE","DEEP_MEASURE_ID_OVERRIDE",$C218,"DEEP_BROKER_ID_OVERRIDE",T$24,"DEEP_PERIOD_OVERRIDE",$H$19)*1,"")))</f>
        <v/>
      </c>
      <c r="U218" t="str">
        <f>IF(OR(U$23="",ISNA($B218)),"",IF(ISBLANK($B218),"",IFERROR(_xll.BDP(TICKER,"DEEP_MEASURE_PERIOD_BROKER_VALUE","DEEP_MEASURE_ID_OVERRIDE",$C218,"DEEP_BROKER_ID_OVERRIDE",U$24,"DEEP_PERIOD_OVERRIDE",$H$19)*1,"")))</f>
        <v/>
      </c>
      <c r="V218" t="str">
        <f>IF(OR(V$23="",ISNA($B218)),"",IF(ISBLANK($B218),"",IFERROR(_xll.BDP(TICKER,"DEEP_MEASURE_PERIOD_BROKER_VALUE","DEEP_MEASURE_ID_OVERRIDE",$C218,"DEEP_BROKER_ID_OVERRIDE",V$24,"DEEP_PERIOD_OVERRIDE",$H$19)*1,"")))</f>
        <v/>
      </c>
      <c r="W218" t="str">
        <f>IF(OR(W$23="",ISNA($B218)),"",IF(ISBLANK($B218),"",IFERROR(_xll.BDP(TICKER,"DEEP_MEASURE_PERIOD_BROKER_VALUE","DEEP_MEASURE_ID_OVERRIDE",$C218,"DEEP_BROKER_ID_OVERRIDE",W$24,"DEEP_PERIOD_OVERRIDE",$H$19)*1,"")))</f>
        <v/>
      </c>
      <c r="X218" t="str">
        <f>IF(OR(X$23="",ISNA($B218)),"",IF(ISBLANK($B218),"",IFERROR(_xll.BDP(TICKER,"DEEP_MEASURE_PERIOD_BROKER_VALUE","DEEP_MEASURE_ID_OVERRIDE",$C218,"DEEP_BROKER_ID_OVERRIDE",X$24,"DEEP_PERIOD_OVERRIDE",$H$19)*1,"")))</f>
        <v/>
      </c>
      <c r="Y218" t="str">
        <f>IF(OR(Y$23="",ISNA($B218)),"",IF(ISBLANK($B218),"",IFERROR(_xll.BDP(TICKER,"DEEP_MEASURE_PERIOD_BROKER_VALUE","DEEP_MEASURE_ID_OVERRIDE",$C218,"DEEP_BROKER_ID_OVERRIDE",Y$24,"DEEP_PERIOD_OVERRIDE",$H$19)*1,"")))</f>
        <v/>
      </c>
      <c r="Z218" t="str">
        <f>IF(OR(Z$23="",ISNA($B218)),"",IF(ISBLANK($B218),"",IFERROR(_xll.BDP(TICKER,"DEEP_MEASURE_PERIOD_BROKER_VALUE","DEEP_MEASURE_ID_OVERRIDE",$C218,"DEEP_BROKER_ID_OVERRIDE",Z$24,"DEEP_PERIOD_OVERRIDE",$H$19)*1,"")))</f>
        <v/>
      </c>
      <c r="AA218" t="str">
        <f>IF(OR(AA$23="",ISNA($B218)),"",IF(ISBLANK($B218),"",IFERROR(_xll.BDP(TICKER,"DEEP_MEASURE_PERIOD_BROKER_VALUE","DEEP_MEASURE_ID_OVERRIDE",$C218,"DEEP_BROKER_ID_OVERRIDE",AA$24,"DEEP_PERIOD_OVERRIDE",$H$19)*1,"")))</f>
        <v/>
      </c>
      <c r="AB218" t="str">
        <f>IF(OR(AB$23="",ISNA($B218)),"",IF(ISBLANK($B218),"",IFERROR(_xll.BDP(TICKER,"DEEP_MEASURE_PERIOD_BROKER_VALUE","DEEP_MEASURE_ID_OVERRIDE",$C218,"DEEP_BROKER_ID_OVERRIDE",AB$24,"DEEP_PERIOD_OVERRIDE",$H$19)*1,"")))</f>
        <v/>
      </c>
      <c r="AC218" t="str">
        <f>IF(OR(AC$23="",ISNA($B218)),"",IF(ISBLANK($B218),"",IFERROR(_xll.BDP(TICKER,"DEEP_MEASURE_PERIOD_BROKER_VALUE","DEEP_MEASURE_ID_OVERRIDE",$C218,"DEEP_BROKER_ID_OVERRIDE",AC$24,"DEEP_PERIOD_OVERRIDE",$H$19)*1,"")))</f>
        <v/>
      </c>
      <c r="AD218" t="str">
        <f>IF(OR(AD$23="",ISNA($B218)),"",IF(ISBLANK($B218),"",IFERROR(_xll.BDP(TICKER,"DEEP_MEASURE_PERIOD_BROKER_VALUE","DEEP_MEASURE_ID_OVERRIDE",$C218,"DEEP_BROKER_ID_OVERRIDE",AD$24,"DEEP_PERIOD_OVERRIDE",$H$19)*1,"")))</f>
        <v/>
      </c>
      <c r="AE218" t="str">
        <f>IF(OR(AE$23="",ISNA($B218)),"",IF(ISBLANK($B218),"",IFERROR(_xll.BDP(TICKER,"DEEP_MEASURE_PERIOD_BROKER_VALUE","DEEP_MEASURE_ID_OVERRIDE",$C218,"DEEP_BROKER_ID_OVERRIDE",AE$24,"DEEP_PERIOD_OVERRIDE",$H$19)*1,"")))</f>
        <v/>
      </c>
      <c r="AF218" t="str">
        <f>IF(OR(AF$23="",ISNA($B218)),"",IF(ISBLANK($B218),"",IFERROR(_xll.BDP(TICKER,"DEEP_MEASURE_PERIOD_BROKER_VALUE","DEEP_MEASURE_ID_OVERRIDE",$C218,"DEEP_BROKER_ID_OVERRIDE",AF$24,"DEEP_PERIOD_OVERRIDE",$H$19)*1,"")))</f>
        <v/>
      </c>
      <c r="AG218" t="str">
        <f>IF(OR(AG$23="",ISNA($B218)),"",IF(ISBLANK($B218),"",IFERROR(_xll.BDP(TICKER,"DEEP_MEASURE_PERIOD_BROKER_VALUE","DEEP_MEASURE_ID_OVERRIDE",$C218,"DEEP_BROKER_ID_OVERRIDE",AG$24,"DEEP_PERIOD_OVERRIDE",$H$19)*1,"")))</f>
        <v/>
      </c>
      <c r="AH218" t="str">
        <f>IF(OR(AH$23="",ISNA($B218)),"",IF(ISBLANK($B218),"",IFERROR(_xll.BDP(TICKER,"DEEP_MEASURE_PERIOD_BROKER_VALUE","DEEP_MEASURE_ID_OVERRIDE",$C218,"DEEP_BROKER_ID_OVERRIDE",AH$24,"DEEP_PERIOD_OVERRIDE",$H$19)*1,"")))</f>
        <v/>
      </c>
      <c r="AI218" t="str">
        <f>IF(OR(AI$23="",ISNA($B218)),"",IF(ISBLANK($B218),"",IFERROR(_xll.BDP(TICKER,"DEEP_MEASURE_PERIOD_BROKER_VALUE","DEEP_MEASURE_ID_OVERRIDE",$C218,"DEEP_BROKER_ID_OVERRIDE",AI$24,"DEEP_PERIOD_OVERRIDE",$H$19)*1,"")))</f>
        <v/>
      </c>
      <c r="AJ218" t="str">
        <f>IF(OR(AJ$23="",ISNA($B218)),"",IF(ISBLANK($B218),"",IFERROR(_xll.BDP(TICKER,"DEEP_MEASURE_PERIOD_BROKER_VALUE","DEEP_MEASURE_ID_OVERRIDE",$C218,"DEEP_BROKER_ID_OVERRIDE",AJ$24,"DEEP_PERIOD_OVERRIDE",$H$19)*1,"")))</f>
        <v/>
      </c>
      <c r="AK218" t="str">
        <f>IF(OR(AK$23="",ISNA($B218)),"",IF(ISBLANK($B218),"",IFERROR(_xll.BDP(TICKER,"DEEP_MEASURE_PERIOD_BROKER_VALUE","DEEP_MEASURE_ID_OVERRIDE",$C218,"DEEP_BROKER_ID_OVERRIDE",AK$24,"DEEP_PERIOD_OVERRIDE",$H$19)*1,"")))</f>
        <v/>
      </c>
      <c r="AL218" t="str">
        <f>IF(OR(AL$23="",ISNA($B218)),"",IF(ISBLANK($B218),"",IFERROR(_xll.BDP(TICKER,"DEEP_MEASURE_PERIOD_BROKER_VALUE","DEEP_MEASURE_ID_OVERRIDE",$C218,"DEEP_BROKER_ID_OVERRIDE",AL$24,"DEEP_PERIOD_OVERRIDE",$H$19)*1,"")))</f>
        <v/>
      </c>
      <c r="AM218" t="str">
        <f>IF(OR(AM$23="",ISNA($B218)),"",IF(ISBLANK($B218),"",IFERROR(_xll.BDP(TICKER,"DEEP_MEASURE_PERIOD_BROKER_VALUE","DEEP_MEASURE_ID_OVERRIDE",$C218,"DEEP_BROKER_ID_OVERRIDE",AM$24,"DEEP_PERIOD_OVERRIDE",$H$19)*1,"")))</f>
        <v/>
      </c>
      <c r="AN218" t="str">
        <f>IF(OR(AN$23="",ISNA($B218)),"",IF(ISBLANK($B218),"",IFERROR(_xll.BDP(TICKER,"DEEP_MEASURE_PERIOD_BROKER_VALUE","DEEP_MEASURE_ID_OVERRIDE",$C218,"DEEP_BROKER_ID_OVERRIDE",AN$24,"DEEP_PERIOD_OVERRIDE",$H$19)*1,"")))</f>
        <v/>
      </c>
      <c r="AO218" t="str">
        <f>IF(OR(AO$23="",ISNA($B218)),"",IF(ISBLANK($B218),"",IFERROR(_xll.BDP(TICKER,"DEEP_MEASURE_PERIOD_BROKER_VALUE","DEEP_MEASURE_ID_OVERRIDE",$C218,"DEEP_BROKER_ID_OVERRIDE",AO$24,"DEEP_PERIOD_OVERRIDE",$H$19)*1,"")))</f>
        <v/>
      </c>
      <c r="AP218" t="str">
        <f>IF(OR(AP$23="",ISNA($B218)),"",IF(ISBLANK($B218),"",IFERROR(_xll.BDP(TICKER,"DEEP_MEASURE_PERIOD_BROKER_VALUE","DEEP_MEASURE_ID_OVERRIDE",$C218,"DEEP_BROKER_ID_OVERRIDE",AP$24,"DEEP_PERIOD_OVERRIDE",$H$19)*1,"")))</f>
        <v/>
      </c>
      <c r="AQ218" t="str">
        <f>IF(OR(AQ$23="",ISNA($B218)),"",IF(ISBLANK($B218),"",IFERROR(_xll.BDP(TICKER,"DEEP_MEASURE_PERIOD_BROKER_VALUE","DEEP_MEASURE_ID_OVERRIDE",$C218,"DEEP_BROKER_ID_OVERRIDE",AQ$24,"DEEP_PERIOD_OVERRIDE",$H$19)*1,"")))</f>
        <v/>
      </c>
      <c r="AR218" t="str">
        <f>IF(OR(AR$23="",ISNA($B218)),"",IF(ISBLANK($B218),"",IFERROR(_xll.BDP(TICKER,"DEEP_MEASURE_PERIOD_BROKER_VALUE","DEEP_MEASURE_ID_OVERRIDE",$C218,"DEEP_BROKER_ID_OVERRIDE",AR$24,"DEEP_PERIOD_OVERRIDE",$H$19)*1,"")))</f>
        <v/>
      </c>
      <c r="AS218" t="str">
        <f>IF(OR(AS$23="",ISNA($B218)),"",IF(ISBLANK($B218),"",IFERROR(_xll.BDP(TICKER,"DEEP_MEASURE_PERIOD_BROKER_VALUE","DEEP_MEASURE_ID_OVERRIDE",$C218,"DEEP_BROKER_ID_OVERRIDE",AS$24,"DEEP_PERIOD_OVERRIDE",$H$19)*1,"")))</f>
        <v/>
      </c>
      <c r="AT218" t="str">
        <f>IF(OR(AT$23="",ISNA($B218)),"",IF(ISBLANK($B218),"",IFERROR(_xll.BDP(TICKER,"DEEP_MEASURE_PERIOD_BROKER_VALUE","DEEP_MEASURE_ID_OVERRIDE",$C218,"DEEP_BROKER_ID_OVERRIDE",AT$24,"DEEP_PERIOD_OVERRIDE",$H$19)*1,"")))</f>
        <v/>
      </c>
      <c r="AU218" t="str">
        <f>IF(OR(AU$23="",ISNA($B218)),"",IF(ISBLANK($B218),"",IFERROR(_xll.BDP(TICKER,"DEEP_MEASURE_PERIOD_BROKER_VALUE","DEEP_MEASURE_ID_OVERRIDE",$C218,"DEEP_BROKER_ID_OVERRIDE",AU$24,"DEEP_PERIOD_OVERRIDE",$H$19)*1,"")))</f>
        <v/>
      </c>
      <c r="AV218" t="str">
        <f>IF(OR(AV$23="",ISNA($B218)),"",IF(ISBLANK($B218),"",IFERROR(_xll.BDP(TICKER,"DEEP_MEASURE_PERIOD_BROKER_VALUE","DEEP_MEASURE_ID_OVERRIDE",$C218,"DEEP_BROKER_ID_OVERRIDE",AV$24,"DEEP_PERIOD_OVERRIDE",$H$19)*1,"")))</f>
        <v/>
      </c>
      <c r="AW218" t="str">
        <f>IF(OR(AW$23="",ISNA($B218)),"",IF(ISBLANK($B218),"",IFERROR(_xll.BDP(TICKER,"DEEP_MEASURE_PERIOD_BROKER_VALUE","DEEP_MEASURE_ID_OVERRIDE",$C218,"DEEP_BROKER_ID_OVERRIDE",AW$24,"DEEP_PERIOD_OVERRIDE",$H$19)*1,"")))</f>
        <v/>
      </c>
      <c r="AX218" t="str">
        <f>IF(OR(AX$23="",ISNA($B218)),"",IF(ISBLANK($B218),"",IFERROR(_xll.BDP(TICKER,"DEEP_MEASURE_PERIOD_BROKER_VALUE","DEEP_MEASURE_ID_OVERRIDE",$C218,"DEEP_BROKER_ID_OVERRIDE",AX$24,"DEEP_PERIOD_OVERRIDE",$H$19)*1,"")))</f>
        <v/>
      </c>
      <c r="AY218" t="str">
        <f>IF(OR(AY$23="",ISNA($B218)),"",IF(ISBLANK($B218),"",IFERROR(_xll.BDP(TICKER,"DEEP_MEASURE_PERIOD_BROKER_VALUE","DEEP_MEASURE_ID_OVERRIDE",$C218,"DEEP_BROKER_ID_OVERRIDE",AY$24,"DEEP_PERIOD_OVERRIDE",$H$19)*1,"")))</f>
        <v/>
      </c>
      <c r="AZ218" t="str">
        <f>IF(OR(AZ$23="",ISNA($B218)),"",IF(ISBLANK($B218),"",IFERROR(_xll.BDP(TICKER,"DEEP_MEASURE_PERIOD_BROKER_VALUE","DEEP_MEASURE_ID_OVERRIDE",$C218,"DEEP_BROKER_ID_OVERRIDE",AZ$24,"DEEP_PERIOD_OVERRIDE",$H$19)*1,"")))</f>
        <v/>
      </c>
      <c r="BA218" t="str">
        <f>IF(OR(BA$23="",ISNA($B218)),"",IF(ISBLANK($B218),"",IFERROR(_xll.BDP(TICKER,"DEEP_MEASURE_PERIOD_BROKER_VALUE","DEEP_MEASURE_ID_OVERRIDE",$C218,"DEEP_BROKER_ID_OVERRIDE",BA$24,"DEEP_PERIOD_OVERRIDE",$H$19)*1,"")))</f>
        <v/>
      </c>
      <c r="BB218" t="str">
        <f>IF(OR(BB$23="",ISNA($B218)),"",IF(ISBLANK($B218),"",IFERROR(_xll.BDP(TICKER,"DEEP_MEASURE_PERIOD_BROKER_VALUE","DEEP_MEASURE_ID_OVERRIDE",$C218,"DEEP_BROKER_ID_OVERRIDE",BB$24,"DEEP_PERIOD_OVERRIDE",$H$19)*1,"")))</f>
        <v/>
      </c>
      <c r="BC218" t="str">
        <f>IF(OR(BC$23="",ISNA($B218)),"",IF(ISBLANK($B218),"",IFERROR(_xll.BDP(TICKER,"DEEP_MEASURE_PERIOD_BROKER_VALUE","DEEP_MEASURE_ID_OVERRIDE",$C218,"DEEP_BROKER_ID_OVERRIDE",BC$24,"DEEP_PERIOD_OVERRIDE",$H$19)*1,"")))</f>
        <v/>
      </c>
      <c r="BD218" t="str">
        <f>IF(OR(BD$23="",ISNA($B218)),"",IF(ISBLANK($B218),"",IFERROR(_xll.BDP(TICKER,"DEEP_MEASURE_PERIOD_BROKER_VALUE","DEEP_MEASURE_ID_OVERRIDE",$C218,"DEEP_BROKER_ID_OVERRIDE",BD$24,"DEEP_PERIOD_OVERRIDE",$H$19)*1,"")))</f>
        <v/>
      </c>
      <c r="BE218" t="str">
        <f>IF(OR(BE$23="",ISNA($B218)),"",IF(ISBLANK($B218),"",IFERROR(_xll.BDP(TICKER,"DEEP_MEASURE_PERIOD_BROKER_VALUE","DEEP_MEASURE_ID_OVERRIDE",$C218,"DEEP_BROKER_ID_OVERRIDE",BE$24,"DEEP_PERIOD_OVERRIDE",$H$19)*1,"")))</f>
        <v/>
      </c>
      <c r="BF218" t="str">
        <f>IF(OR(BF$23="",ISNA($B218)),"",IF(ISBLANK($B218),"",IFERROR(_xll.BDP(TICKER,"DEEP_MEASURE_PERIOD_BROKER_VALUE","DEEP_MEASURE_ID_OVERRIDE",$C218,"DEEP_BROKER_ID_OVERRIDE",BF$24,"DEEP_PERIOD_OVERRIDE",$H$19)*1,"")))</f>
        <v/>
      </c>
      <c r="BG218" t="str">
        <f>IF(OR(BG$23="",ISNA($B218)),"",IF(ISBLANK($B218),"",IFERROR(_xll.BDP(TICKER,"DEEP_MEASURE_PERIOD_BROKER_VALUE","DEEP_MEASURE_ID_OVERRIDE",$C218,"DEEP_BROKER_ID_OVERRIDE",BG$24,"DEEP_PERIOD_OVERRIDE",$H$19)*1,"")))</f>
        <v/>
      </c>
      <c r="BH218" t="str">
        <f>IF(OR(BH$23="",ISNA($B218)),"",IF(ISBLANK($B218),"",IFERROR(_xll.BDP(TICKER,"DEEP_MEASURE_PERIOD_BROKER_VALUE","DEEP_MEASURE_ID_OVERRIDE",$C218,"DEEP_BROKER_ID_OVERRIDE",BH$24,"DEEP_PERIOD_OVERRIDE",$H$19)*1,"")))</f>
        <v/>
      </c>
      <c r="BI218" t="str">
        <f>IF(OR(BI$23="",ISNA($B218)),"",IF(ISBLANK($B218),"",IFERROR(_xll.BDP(TICKER,"DEEP_MEASURE_PERIOD_BROKER_VALUE","DEEP_MEASURE_ID_OVERRIDE",$C218,"DEEP_BROKER_ID_OVERRIDE",BI$24,"DEEP_PERIOD_OVERRIDE",$H$19)*1,"")))</f>
        <v/>
      </c>
      <c r="BJ218" t="str">
        <f>IF(OR(BJ$23="",ISNA($B218)),"",IF(ISBLANK($B218),"",IFERROR(_xll.BDP(TICKER,"DEEP_MEASURE_PERIOD_BROKER_VALUE","DEEP_MEASURE_ID_OVERRIDE",$C218,"DEEP_BROKER_ID_OVERRIDE",BJ$24,"DEEP_PERIOD_OVERRIDE",$H$19)*1,"")))</f>
        <v/>
      </c>
      <c r="BK218" t="str">
        <f>IF(OR(BK$23="",ISNA($B218)),"",IF(ISBLANK($B218),"",IFERROR(_xll.BDP(TICKER,"DEEP_MEASURE_PERIOD_BROKER_VALUE","DEEP_MEASURE_ID_OVERRIDE",$C218,"DEEP_BROKER_ID_OVERRIDE",BK$24,"DEEP_PERIOD_OVERRIDE",$H$19)*1,"")))</f>
        <v/>
      </c>
      <c r="BL218" t="str">
        <f>IF(OR(BL$23="",ISNA($B218)),"",IF(ISBLANK($B218),"",IFERROR(_xll.BDP(TICKER,"DEEP_MEASURE_PERIOD_BROKER_VALUE","DEEP_MEASURE_ID_OVERRIDE",$C218,"DEEP_BROKER_ID_OVERRIDE",BL$24,"DEEP_PERIOD_OVERRIDE",$H$19)*1,"")))</f>
        <v/>
      </c>
      <c r="BM218" t="str">
        <f>IF(OR(BM$23="",ISNA($B218)),"",IF(ISBLANK($B218),"",IFERROR(_xll.BDP(TICKER,"DEEP_MEASURE_PERIOD_BROKER_VALUE","DEEP_MEASURE_ID_OVERRIDE",$C218,"DEEP_BROKER_ID_OVERRIDE",BM$24,"DEEP_PERIOD_OVERRIDE",$H$19)*1,"")))</f>
        <v/>
      </c>
      <c r="BN218" t="str">
        <f>IF(OR(BN$23="",ISNA($B218)),"",IF(ISBLANK($B218),"",IFERROR(_xll.BDP(TICKER,"DEEP_MEASURE_PERIOD_BROKER_VALUE","DEEP_MEASURE_ID_OVERRIDE",$C218,"DEEP_BROKER_ID_OVERRIDE",BN$24,"DEEP_PERIOD_OVERRIDE",$H$19)*1,"")))</f>
        <v/>
      </c>
      <c r="BO218" t="str">
        <f>IF(OR(BO$23="",ISNA($B218)),"",IF(ISBLANK($B218),"",IFERROR(_xll.BDP(TICKER,"DEEP_MEASURE_PERIOD_BROKER_VALUE","DEEP_MEASURE_ID_OVERRIDE",$C218,"DEEP_BROKER_ID_OVERRIDE",BO$24,"DEEP_PERIOD_OVERRIDE",$H$19)*1,"")))</f>
        <v/>
      </c>
      <c r="BP218" t="str">
        <f>IF(OR(BP$23="",ISNA($B218)),"",IF(ISBLANK($B218),"",IFERROR(_xll.BDP(TICKER,"DEEP_MEASURE_PERIOD_BROKER_VALUE","DEEP_MEASURE_ID_OVERRIDE",$C218,"DEEP_BROKER_ID_OVERRIDE",BP$24,"DEEP_PERIOD_OVERRIDE",$H$19)*1,"")))</f>
        <v/>
      </c>
      <c r="BQ218" t="str">
        <f>IF(OR(BQ$23="",ISNA($B218)),"",IF(ISBLANK($B218),"",IFERROR(_xll.BDP(TICKER,"DEEP_MEASURE_PERIOD_BROKER_VALUE","DEEP_MEASURE_ID_OVERRIDE",$C218,"DEEP_BROKER_ID_OVERRIDE",BQ$24,"DEEP_PERIOD_OVERRIDE",$H$19)*1,"")))</f>
        <v/>
      </c>
      <c r="BR218" t="str">
        <f>IF(OR(BR$23="",ISNA($B218)),"",IF(ISBLANK($B218),"",IFERROR(_xll.BDP(TICKER,"DEEP_MEASURE_PERIOD_BROKER_VALUE","DEEP_MEASURE_ID_OVERRIDE",$C218,"DEEP_BROKER_ID_OVERRIDE",BR$24,"DEEP_PERIOD_OVERRIDE",$H$19)*1,"")))</f>
        <v/>
      </c>
      <c r="BS218" t="str">
        <f>IF(OR(BS$23="",ISNA($B218)),"",IF(ISBLANK($B218),"",IFERROR(_xll.BDP(TICKER,"DEEP_MEASURE_PERIOD_BROKER_VALUE","DEEP_MEASURE_ID_OVERRIDE",$C218,"DEEP_BROKER_ID_OVERRIDE",BS$24,"DEEP_PERIOD_OVERRIDE",$H$19)*1,"")))</f>
        <v/>
      </c>
      <c r="BT218" t="str">
        <f>IF(OR(BT$23="",ISNA($B218)),"",IF(ISBLANK($B218),"",IFERROR(_xll.BDP(TICKER,"DEEP_MEASURE_PERIOD_BROKER_VALUE","DEEP_MEASURE_ID_OVERRIDE",$C218,"DEEP_BROKER_ID_OVERRIDE",BT$24,"DEEP_PERIOD_OVERRIDE",$H$19)*1,"")))</f>
        <v/>
      </c>
      <c r="BU218" t="str">
        <f>IF(OR(BU$23="",ISNA($B218)),"",IF(ISBLANK($B218),"",IFERROR(_xll.BDP(TICKER,"DEEP_MEASURE_PERIOD_BROKER_VALUE","DEEP_MEASURE_ID_OVERRIDE",$C218,"DEEP_BROKER_ID_OVERRIDE",BU$24,"DEEP_PERIOD_OVERRIDE",$H$19)*1,"")))</f>
        <v/>
      </c>
      <c r="BV218" t="str">
        <f>IF(OR(BV$23="",ISNA($B218)),"",IF(ISBLANK($B218),"",IFERROR(_xll.BDP(TICKER,"DEEP_MEASURE_PERIOD_BROKER_VALUE","DEEP_MEASURE_ID_OVERRIDE",$C218,"DEEP_BROKER_ID_OVERRIDE",BV$24,"DEEP_PERIOD_OVERRIDE",$H$19)*1,"")))</f>
        <v/>
      </c>
      <c r="BW218" t="str">
        <f>IF(OR(BW$23="",ISNA($B218)),"",IF(ISBLANK($B218),"",IFERROR(_xll.BDP(TICKER,"DEEP_MEASURE_PERIOD_BROKER_VALUE","DEEP_MEASURE_ID_OVERRIDE",$C218,"DEEP_BROKER_ID_OVERRIDE",BW$24,"DEEP_PERIOD_OVERRIDE",$H$19)*1,"")))</f>
        <v/>
      </c>
      <c r="BX218" t="str">
        <f>IF(OR(BX$23="",ISNA($B218)),"",IF(ISBLANK($B218),"",IFERROR(_xll.BDP(TICKER,"DEEP_MEASURE_PERIOD_BROKER_VALUE","DEEP_MEASURE_ID_OVERRIDE",$C218,"DEEP_BROKER_ID_OVERRIDE",BX$24,"DEEP_PERIOD_OVERRIDE",$H$19)*1,"")))</f>
        <v/>
      </c>
      <c r="BY218" t="str">
        <f>IF(OR(BY$23="",ISNA($B218)),"",IF(ISBLANK($B218),"",IFERROR(_xll.BDP(TICKER,"DEEP_MEASURE_PERIOD_BROKER_VALUE","DEEP_MEASURE_ID_OVERRIDE",$C218,"DEEP_BROKER_ID_OVERRIDE",BY$24,"DEEP_PERIOD_OVERRIDE",$H$19)*1,"")))</f>
        <v/>
      </c>
      <c r="BZ218" t="str">
        <f>IF(OR(BZ$23="",ISNA($B218)),"",IF(ISBLANK($B218),"",IFERROR(_xll.BDP(TICKER,"DEEP_MEASURE_PERIOD_BROKER_VALUE","DEEP_MEASURE_ID_OVERRIDE",$C218,"DEEP_BROKER_ID_OVERRIDE",BZ$24,"DEEP_PERIOD_OVERRIDE",$H$19)*1,"")))</f>
        <v/>
      </c>
    </row>
    <row r="219" spans="2:78" x14ac:dyDescent="0.25">
      <c r="B219" t="s">
        <v>34</v>
      </c>
      <c r="C219">
        <v>451</v>
      </c>
      <c r="H219" t="str">
        <f t="shared" si="4"/>
        <v>Free Cash Flow</v>
      </c>
      <c r="I219" t="str">
        <f>IF(OR(I$23="",ISNA($B219)),"",IF(ISBLANK($B219),"",IFERROR(_xll.BDP(TICKER,"DEEP_MEASURE_PERIOD_BROKER_VALUE","DEEP_MEASURE_ID_OVERRIDE",$C219,"DEEP_PERIOD_OVERRIDE",$H$19)*1,"")))</f>
        <v/>
      </c>
      <c r="J219" t="e">
        <f>IF(OR(J$23="",ISNA($B219)),"",IF(ISBLANK($B219),"",IFERROR(_xll.BDP(TICKER,"DEEP_MEASURE_PERIOD_BROKER_VALUE","DEEP_MEASURE_ID_OVERRIDE",$C219,"DEEP_BROKER_ID_OVERRIDE",J$24,"DEEP_PERIOD_OVERRIDE",$H$19)*1,"")))</f>
        <v>#REF!</v>
      </c>
      <c r="K219" t="str">
        <f>IF(OR(K$23="",ISNA($B219)),"",IF(ISBLANK($B219),"",IFERROR(_xll.BDP(TICKER,"DEEP_MEASURE_PERIOD_BROKER_VALUE","DEEP_MEASURE_ID_OVERRIDE",$C219,"DEEP_BROKER_ID_OVERRIDE",K$24,"DEEP_PERIOD_OVERRIDE",$H$19)*1,"")))</f>
        <v/>
      </c>
      <c r="L219" t="str">
        <f>IF(OR(L$23="",ISNA($B219)),"",IF(ISBLANK($B219),"",IFERROR(_xll.BDP(TICKER,"DEEP_MEASURE_PERIOD_BROKER_VALUE","DEEP_MEASURE_ID_OVERRIDE",$C219,"DEEP_BROKER_ID_OVERRIDE",L$24,"DEEP_PERIOD_OVERRIDE",$H$19)*1,"")))</f>
        <v/>
      </c>
      <c r="M219" t="str">
        <f>IF(OR(M$23="",ISNA($B219)),"",IF(ISBLANK($B219),"",IFERROR(_xll.BDP(TICKER,"DEEP_MEASURE_PERIOD_BROKER_VALUE","DEEP_MEASURE_ID_OVERRIDE",$C219,"DEEP_BROKER_ID_OVERRIDE",M$24,"DEEP_PERIOD_OVERRIDE",$H$19)*1,"")))</f>
        <v/>
      </c>
      <c r="N219" t="str">
        <f>IF(OR(N$23="",ISNA($B219)),"",IF(ISBLANK($B219),"",IFERROR(_xll.BDP(TICKER,"DEEP_MEASURE_PERIOD_BROKER_VALUE","DEEP_MEASURE_ID_OVERRIDE",$C219,"DEEP_BROKER_ID_OVERRIDE",N$24,"DEEP_PERIOD_OVERRIDE",$H$19)*1,"")))</f>
        <v/>
      </c>
      <c r="O219" t="str">
        <f>IF(OR(O$23="",ISNA($B219)),"",IF(ISBLANK($B219),"",IFERROR(_xll.BDP(TICKER,"DEEP_MEASURE_PERIOD_BROKER_VALUE","DEEP_MEASURE_ID_OVERRIDE",$C219,"DEEP_BROKER_ID_OVERRIDE",O$24,"DEEP_PERIOD_OVERRIDE",$H$19)*1,"")))</f>
        <v/>
      </c>
      <c r="P219" t="str">
        <f>IF(OR(P$23="",ISNA($B219)),"",IF(ISBLANK($B219),"",IFERROR(_xll.BDP(TICKER,"DEEP_MEASURE_PERIOD_BROKER_VALUE","DEEP_MEASURE_ID_OVERRIDE",$C219,"DEEP_BROKER_ID_OVERRIDE",P$24,"DEEP_PERIOD_OVERRIDE",$H$19)*1,"")))</f>
        <v/>
      </c>
      <c r="Q219" t="str">
        <f>IF(OR(Q$23="",ISNA($B219)),"",IF(ISBLANK($B219),"",IFERROR(_xll.BDP(TICKER,"DEEP_MEASURE_PERIOD_BROKER_VALUE","DEEP_MEASURE_ID_OVERRIDE",$C219,"DEEP_BROKER_ID_OVERRIDE",Q$24,"DEEP_PERIOD_OVERRIDE",$H$19)*1,"")))</f>
        <v/>
      </c>
      <c r="R219" t="str">
        <f>IF(OR(R$23="",ISNA($B219)),"",IF(ISBLANK($B219),"",IFERROR(_xll.BDP(TICKER,"DEEP_MEASURE_PERIOD_BROKER_VALUE","DEEP_MEASURE_ID_OVERRIDE",$C219,"DEEP_BROKER_ID_OVERRIDE",R$24,"DEEP_PERIOD_OVERRIDE",$H$19)*1,"")))</f>
        <v/>
      </c>
      <c r="S219" t="str">
        <f>IF(OR(S$23="",ISNA($B219)),"",IF(ISBLANK($B219),"",IFERROR(_xll.BDP(TICKER,"DEEP_MEASURE_PERIOD_BROKER_VALUE","DEEP_MEASURE_ID_OVERRIDE",$C219,"DEEP_BROKER_ID_OVERRIDE",S$24,"DEEP_PERIOD_OVERRIDE",$H$19)*1,"")))</f>
        <v/>
      </c>
      <c r="T219" t="str">
        <f>IF(OR(T$23="",ISNA($B219)),"",IF(ISBLANK($B219),"",IFERROR(_xll.BDP(TICKER,"DEEP_MEASURE_PERIOD_BROKER_VALUE","DEEP_MEASURE_ID_OVERRIDE",$C219,"DEEP_BROKER_ID_OVERRIDE",T$24,"DEEP_PERIOD_OVERRIDE",$H$19)*1,"")))</f>
        <v/>
      </c>
      <c r="U219" t="str">
        <f>IF(OR(U$23="",ISNA($B219)),"",IF(ISBLANK($B219),"",IFERROR(_xll.BDP(TICKER,"DEEP_MEASURE_PERIOD_BROKER_VALUE","DEEP_MEASURE_ID_OVERRIDE",$C219,"DEEP_BROKER_ID_OVERRIDE",U$24,"DEEP_PERIOD_OVERRIDE",$H$19)*1,"")))</f>
        <v/>
      </c>
      <c r="V219" t="str">
        <f>IF(OR(V$23="",ISNA($B219)),"",IF(ISBLANK($B219),"",IFERROR(_xll.BDP(TICKER,"DEEP_MEASURE_PERIOD_BROKER_VALUE","DEEP_MEASURE_ID_OVERRIDE",$C219,"DEEP_BROKER_ID_OVERRIDE",V$24,"DEEP_PERIOD_OVERRIDE",$H$19)*1,"")))</f>
        <v/>
      </c>
      <c r="W219" t="str">
        <f>IF(OR(W$23="",ISNA($B219)),"",IF(ISBLANK($B219),"",IFERROR(_xll.BDP(TICKER,"DEEP_MEASURE_PERIOD_BROKER_VALUE","DEEP_MEASURE_ID_OVERRIDE",$C219,"DEEP_BROKER_ID_OVERRIDE",W$24,"DEEP_PERIOD_OVERRIDE",$H$19)*1,"")))</f>
        <v/>
      </c>
      <c r="X219" t="str">
        <f>IF(OR(X$23="",ISNA($B219)),"",IF(ISBLANK($B219),"",IFERROR(_xll.BDP(TICKER,"DEEP_MEASURE_PERIOD_BROKER_VALUE","DEEP_MEASURE_ID_OVERRIDE",$C219,"DEEP_BROKER_ID_OVERRIDE",X$24,"DEEP_PERIOD_OVERRIDE",$H$19)*1,"")))</f>
        <v/>
      </c>
      <c r="Y219" t="str">
        <f>IF(OR(Y$23="",ISNA($B219)),"",IF(ISBLANK($B219),"",IFERROR(_xll.BDP(TICKER,"DEEP_MEASURE_PERIOD_BROKER_VALUE","DEEP_MEASURE_ID_OVERRIDE",$C219,"DEEP_BROKER_ID_OVERRIDE",Y$24,"DEEP_PERIOD_OVERRIDE",$H$19)*1,"")))</f>
        <v/>
      </c>
      <c r="Z219" t="str">
        <f>IF(OR(Z$23="",ISNA($B219)),"",IF(ISBLANK($B219),"",IFERROR(_xll.BDP(TICKER,"DEEP_MEASURE_PERIOD_BROKER_VALUE","DEEP_MEASURE_ID_OVERRIDE",$C219,"DEEP_BROKER_ID_OVERRIDE",Z$24,"DEEP_PERIOD_OVERRIDE",$H$19)*1,"")))</f>
        <v/>
      </c>
      <c r="AA219" t="str">
        <f>IF(OR(AA$23="",ISNA($B219)),"",IF(ISBLANK($B219),"",IFERROR(_xll.BDP(TICKER,"DEEP_MEASURE_PERIOD_BROKER_VALUE","DEEP_MEASURE_ID_OVERRIDE",$C219,"DEEP_BROKER_ID_OVERRIDE",AA$24,"DEEP_PERIOD_OVERRIDE",$H$19)*1,"")))</f>
        <v/>
      </c>
      <c r="AB219" t="str">
        <f>IF(OR(AB$23="",ISNA($B219)),"",IF(ISBLANK($B219),"",IFERROR(_xll.BDP(TICKER,"DEEP_MEASURE_PERIOD_BROKER_VALUE","DEEP_MEASURE_ID_OVERRIDE",$C219,"DEEP_BROKER_ID_OVERRIDE",AB$24,"DEEP_PERIOD_OVERRIDE",$H$19)*1,"")))</f>
        <v/>
      </c>
      <c r="AC219" t="str">
        <f>IF(OR(AC$23="",ISNA($B219)),"",IF(ISBLANK($B219),"",IFERROR(_xll.BDP(TICKER,"DEEP_MEASURE_PERIOD_BROKER_VALUE","DEEP_MEASURE_ID_OVERRIDE",$C219,"DEEP_BROKER_ID_OVERRIDE",AC$24,"DEEP_PERIOD_OVERRIDE",$H$19)*1,"")))</f>
        <v/>
      </c>
      <c r="AD219" t="str">
        <f>IF(OR(AD$23="",ISNA($B219)),"",IF(ISBLANK($B219),"",IFERROR(_xll.BDP(TICKER,"DEEP_MEASURE_PERIOD_BROKER_VALUE","DEEP_MEASURE_ID_OVERRIDE",$C219,"DEEP_BROKER_ID_OVERRIDE",AD$24,"DEEP_PERIOD_OVERRIDE",$H$19)*1,"")))</f>
        <v/>
      </c>
      <c r="AE219" t="str">
        <f>IF(OR(AE$23="",ISNA($B219)),"",IF(ISBLANK($B219),"",IFERROR(_xll.BDP(TICKER,"DEEP_MEASURE_PERIOD_BROKER_VALUE","DEEP_MEASURE_ID_OVERRIDE",$C219,"DEEP_BROKER_ID_OVERRIDE",AE$24,"DEEP_PERIOD_OVERRIDE",$H$19)*1,"")))</f>
        <v/>
      </c>
      <c r="AF219" t="str">
        <f>IF(OR(AF$23="",ISNA($B219)),"",IF(ISBLANK($B219),"",IFERROR(_xll.BDP(TICKER,"DEEP_MEASURE_PERIOD_BROKER_VALUE","DEEP_MEASURE_ID_OVERRIDE",$C219,"DEEP_BROKER_ID_OVERRIDE",AF$24,"DEEP_PERIOD_OVERRIDE",$H$19)*1,"")))</f>
        <v/>
      </c>
      <c r="AG219" t="str">
        <f>IF(OR(AG$23="",ISNA($B219)),"",IF(ISBLANK($B219),"",IFERROR(_xll.BDP(TICKER,"DEEP_MEASURE_PERIOD_BROKER_VALUE","DEEP_MEASURE_ID_OVERRIDE",$C219,"DEEP_BROKER_ID_OVERRIDE",AG$24,"DEEP_PERIOD_OVERRIDE",$H$19)*1,"")))</f>
        <v/>
      </c>
      <c r="AH219" t="str">
        <f>IF(OR(AH$23="",ISNA($B219)),"",IF(ISBLANK($B219),"",IFERROR(_xll.BDP(TICKER,"DEEP_MEASURE_PERIOD_BROKER_VALUE","DEEP_MEASURE_ID_OVERRIDE",$C219,"DEEP_BROKER_ID_OVERRIDE",AH$24,"DEEP_PERIOD_OVERRIDE",$H$19)*1,"")))</f>
        <v/>
      </c>
      <c r="AI219" t="str">
        <f>IF(OR(AI$23="",ISNA($B219)),"",IF(ISBLANK($B219),"",IFERROR(_xll.BDP(TICKER,"DEEP_MEASURE_PERIOD_BROKER_VALUE","DEEP_MEASURE_ID_OVERRIDE",$C219,"DEEP_BROKER_ID_OVERRIDE",AI$24,"DEEP_PERIOD_OVERRIDE",$H$19)*1,"")))</f>
        <v/>
      </c>
      <c r="AJ219" t="str">
        <f>IF(OR(AJ$23="",ISNA($B219)),"",IF(ISBLANK($B219),"",IFERROR(_xll.BDP(TICKER,"DEEP_MEASURE_PERIOD_BROKER_VALUE","DEEP_MEASURE_ID_OVERRIDE",$C219,"DEEP_BROKER_ID_OVERRIDE",AJ$24,"DEEP_PERIOD_OVERRIDE",$H$19)*1,"")))</f>
        <v/>
      </c>
      <c r="AK219" t="str">
        <f>IF(OR(AK$23="",ISNA($B219)),"",IF(ISBLANK($B219),"",IFERROR(_xll.BDP(TICKER,"DEEP_MEASURE_PERIOD_BROKER_VALUE","DEEP_MEASURE_ID_OVERRIDE",$C219,"DEEP_BROKER_ID_OVERRIDE",AK$24,"DEEP_PERIOD_OVERRIDE",$H$19)*1,"")))</f>
        <v/>
      </c>
      <c r="AL219" t="str">
        <f>IF(OR(AL$23="",ISNA($B219)),"",IF(ISBLANK($B219),"",IFERROR(_xll.BDP(TICKER,"DEEP_MEASURE_PERIOD_BROKER_VALUE","DEEP_MEASURE_ID_OVERRIDE",$C219,"DEEP_BROKER_ID_OVERRIDE",AL$24,"DEEP_PERIOD_OVERRIDE",$H$19)*1,"")))</f>
        <v/>
      </c>
      <c r="AM219" t="str">
        <f>IF(OR(AM$23="",ISNA($B219)),"",IF(ISBLANK($B219),"",IFERROR(_xll.BDP(TICKER,"DEEP_MEASURE_PERIOD_BROKER_VALUE","DEEP_MEASURE_ID_OVERRIDE",$C219,"DEEP_BROKER_ID_OVERRIDE",AM$24,"DEEP_PERIOD_OVERRIDE",$H$19)*1,"")))</f>
        <v/>
      </c>
      <c r="AN219" t="str">
        <f>IF(OR(AN$23="",ISNA($B219)),"",IF(ISBLANK($B219),"",IFERROR(_xll.BDP(TICKER,"DEEP_MEASURE_PERIOD_BROKER_VALUE","DEEP_MEASURE_ID_OVERRIDE",$C219,"DEEP_BROKER_ID_OVERRIDE",AN$24,"DEEP_PERIOD_OVERRIDE",$H$19)*1,"")))</f>
        <v/>
      </c>
      <c r="AO219" t="str">
        <f>IF(OR(AO$23="",ISNA($B219)),"",IF(ISBLANK($B219),"",IFERROR(_xll.BDP(TICKER,"DEEP_MEASURE_PERIOD_BROKER_VALUE","DEEP_MEASURE_ID_OVERRIDE",$C219,"DEEP_BROKER_ID_OVERRIDE",AO$24,"DEEP_PERIOD_OVERRIDE",$H$19)*1,"")))</f>
        <v/>
      </c>
      <c r="AP219" t="str">
        <f>IF(OR(AP$23="",ISNA($B219)),"",IF(ISBLANK($B219),"",IFERROR(_xll.BDP(TICKER,"DEEP_MEASURE_PERIOD_BROKER_VALUE","DEEP_MEASURE_ID_OVERRIDE",$C219,"DEEP_BROKER_ID_OVERRIDE",AP$24,"DEEP_PERIOD_OVERRIDE",$H$19)*1,"")))</f>
        <v/>
      </c>
      <c r="AQ219" t="str">
        <f>IF(OR(AQ$23="",ISNA($B219)),"",IF(ISBLANK($B219),"",IFERROR(_xll.BDP(TICKER,"DEEP_MEASURE_PERIOD_BROKER_VALUE","DEEP_MEASURE_ID_OVERRIDE",$C219,"DEEP_BROKER_ID_OVERRIDE",AQ$24,"DEEP_PERIOD_OVERRIDE",$H$19)*1,"")))</f>
        <v/>
      </c>
      <c r="AR219" t="str">
        <f>IF(OR(AR$23="",ISNA($B219)),"",IF(ISBLANK($B219),"",IFERROR(_xll.BDP(TICKER,"DEEP_MEASURE_PERIOD_BROKER_VALUE","DEEP_MEASURE_ID_OVERRIDE",$C219,"DEEP_BROKER_ID_OVERRIDE",AR$24,"DEEP_PERIOD_OVERRIDE",$H$19)*1,"")))</f>
        <v/>
      </c>
      <c r="AS219" t="str">
        <f>IF(OR(AS$23="",ISNA($B219)),"",IF(ISBLANK($B219),"",IFERROR(_xll.BDP(TICKER,"DEEP_MEASURE_PERIOD_BROKER_VALUE","DEEP_MEASURE_ID_OVERRIDE",$C219,"DEEP_BROKER_ID_OVERRIDE",AS$24,"DEEP_PERIOD_OVERRIDE",$H$19)*1,"")))</f>
        <v/>
      </c>
      <c r="AT219" t="str">
        <f>IF(OR(AT$23="",ISNA($B219)),"",IF(ISBLANK($B219),"",IFERROR(_xll.BDP(TICKER,"DEEP_MEASURE_PERIOD_BROKER_VALUE","DEEP_MEASURE_ID_OVERRIDE",$C219,"DEEP_BROKER_ID_OVERRIDE",AT$24,"DEEP_PERIOD_OVERRIDE",$H$19)*1,"")))</f>
        <v/>
      </c>
      <c r="AU219" t="str">
        <f>IF(OR(AU$23="",ISNA($B219)),"",IF(ISBLANK($B219),"",IFERROR(_xll.BDP(TICKER,"DEEP_MEASURE_PERIOD_BROKER_VALUE","DEEP_MEASURE_ID_OVERRIDE",$C219,"DEEP_BROKER_ID_OVERRIDE",AU$24,"DEEP_PERIOD_OVERRIDE",$H$19)*1,"")))</f>
        <v/>
      </c>
      <c r="AV219" t="str">
        <f>IF(OR(AV$23="",ISNA($B219)),"",IF(ISBLANK($B219),"",IFERROR(_xll.BDP(TICKER,"DEEP_MEASURE_PERIOD_BROKER_VALUE","DEEP_MEASURE_ID_OVERRIDE",$C219,"DEEP_BROKER_ID_OVERRIDE",AV$24,"DEEP_PERIOD_OVERRIDE",$H$19)*1,"")))</f>
        <v/>
      </c>
      <c r="AW219" t="str">
        <f>IF(OR(AW$23="",ISNA($B219)),"",IF(ISBLANK($B219),"",IFERROR(_xll.BDP(TICKER,"DEEP_MEASURE_PERIOD_BROKER_VALUE","DEEP_MEASURE_ID_OVERRIDE",$C219,"DEEP_BROKER_ID_OVERRIDE",AW$24,"DEEP_PERIOD_OVERRIDE",$H$19)*1,"")))</f>
        <v/>
      </c>
      <c r="AX219" t="str">
        <f>IF(OR(AX$23="",ISNA($B219)),"",IF(ISBLANK($B219),"",IFERROR(_xll.BDP(TICKER,"DEEP_MEASURE_PERIOD_BROKER_VALUE","DEEP_MEASURE_ID_OVERRIDE",$C219,"DEEP_BROKER_ID_OVERRIDE",AX$24,"DEEP_PERIOD_OVERRIDE",$H$19)*1,"")))</f>
        <v/>
      </c>
      <c r="AY219" t="str">
        <f>IF(OR(AY$23="",ISNA($B219)),"",IF(ISBLANK($B219),"",IFERROR(_xll.BDP(TICKER,"DEEP_MEASURE_PERIOD_BROKER_VALUE","DEEP_MEASURE_ID_OVERRIDE",$C219,"DEEP_BROKER_ID_OVERRIDE",AY$24,"DEEP_PERIOD_OVERRIDE",$H$19)*1,"")))</f>
        <v/>
      </c>
      <c r="AZ219" t="str">
        <f>IF(OR(AZ$23="",ISNA($B219)),"",IF(ISBLANK($B219),"",IFERROR(_xll.BDP(TICKER,"DEEP_MEASURE_PERIOD_BROKER_VALUE","DEEP_MEASURE_ID_OVERRIDE",$C219,"DEEP_BROKER_ID_OVERRIDE",AZ$24,"DEEP_PERIOD_OVERRIDE",$H$19)*1,"")))</f>
        <v/>
      </c>
      <c r="BA219" t="str">
        <f>IF(OR(BA$23="",ISNA($B219)),"",IF(ISBLANK($B219),"",IFERROR(_xll.BDP(TICKER,"DEEP_MEASURE_PERIOD_BROKER_VALUE","DEEP_MEASURE_ID_OVERRIDE",$C219,"DEEP_BROKER_ID_OVERRIDE",BA$24,"DEEP_PERIOD_OVERRIDE",$H$19)*1,"")))</f>
        <v/>
      </c>
      <c r="BB219" t="str">
        <f>IF(OR(BB$23="",ISNA($B219)),"",IF(ISBLANK($B219),"",IFERROR(_xll.BDP(TICKER,"DEEP_MEASURE_PERIOD_BROKER_VALUE","DEEP_MEASURE_ID_OVERRIDE",$C219,"DEEP_BROKER_ID_OVERRIDE",BB$24,"DEEP_PERIOD_OVERRIDE",$H$19)*1,"")))</f>
        <v/>
      </c>
      <c r="BC219" t="str">
        <f>IF(OR(BC$23="",ISNA($B219)),"",IF(ISBLANK($B219),"",IFERROR(_xll.BDP(TICKER,"DEEP_MEASURE_PERIOD_BROKER_VALUE","DEEP_MEASURE_ID_OVERRIDE",$C219,"DEEP_BROKER_ID_OVERRIDE",BC$24,"DEEP_PERIOD_OVERRIDE",$H$19)*1,"")))</f>
        <v/>
      </c>
      <c r="BD219" t="str">
        <f>IF(OR(BD$23="",ISNA($B219)),"",IF(ISBLANK($B219),"",IFERROR(_xll.BDP(TICKER,"DEEP_MEASURE_PERIOD_BROKER_VALUE","DEEP_MEASURE_ID_OVERRIDE",$C219,"DEEP_BROKER_ID_OVERRIDE",BD$24,"DEEP_PERIOD_OVERRIDE",$H$19)*1,"")))</f>
        <v/>
      </c>
      <c r="BE219" t="str">
        <f>IF(OR(BE$23="",ISNA($B219)),"",IF(ISBLANK($B219),"",IFERROR(_xll.BDP(TICKER,"DEEP_MEASURE_PERIOD_BROKER_VALUE","DEEP_MEASURE_ID_OVERRIDE",$C219,"DEEP_BROKER_ID_OVERRIDE",BE$24,"DEEP_PERIOD_OVERRIDE",$H$19)*1,"")))</f>
        <v/>
      </c>
      <c r="BF219" t="str">
        <f>IF(OR(BF$23="",ISNA($B219)),"",IF(ISBLANK($B219),"",IFERROR(_xll.BDP(TICKER,"DEEP_MEASURE_PERIOD_BROKER_VALUE","DEEP_MEASURE_ID_OVERRIDE",$C219,"DEEP_BROKER_ID_OVERRIDE",BF$24,"DEEP_PERIOD_OVERRIDE",$H$19)*1,"")))</f>
        <v/>
      </c>
      <c r="BG219" t="str">
        <f>IF(OR(BG$23="",ISNA($B219)),"",IF(ISBLANK($B219),"",IFERROR(_xll.BDP(TICKER,"DEEP_MEASURE_PERIOD_BROKER_VALUE","DEEP_MEASURE_ID_OVERRIDE",$C219,"DEEP_BROKER_ID_OVERRIDE",BG$24,"DEEP_PERIOD_OVERRIDE",$H$19)*1,"")))</f>
        <v/>
      </c>
      <c r="BH219" t="str">
        <f>IF(OR(BH$23="",ISNA($B219)),"",IF(ISBLANK($B219),"",IFERROR(_xll.BDP(TICKER,"DEEP_MEASURE_PERIOD_BROKER_VALUE","DEEP_MEASURE_ID_OVERRIDE",$C219,"DEEP_BROKER_ID_OVERRIDE",BH$24,"DEEP_PERIOD_OVERRIDE",$H$19)*1,"")))</f>
        <v/>
      </c>
      <c r="BI219" t="str">
        <f>IF(OR(BI$23="",ISNA($B219)),"",IF(ISBLANK($B219),"",IFERROR(_xll.BDP(TICKER,"DEEP_MEASURE_PERIOD_BROKER_VALUE","DEEP_MEASURE_ID_OVERRIDE",$C219,"DEEP_BROKER_ID_OVERRIDE",BI$24,"DEEP_PERIOD_OVERRIDE",$H$19)*1,"")))</f>
        <v/>
      </c>
      <c r="BJ219" t="str">
        <f>IF(OR(BJ$23="",ISNA($B219)),"",IF(ISBLANK($B219),"",IFERROR(_xll.BDP(TICKER,"DEEP_MEASURE_PERIOD_BROKER_VALUE","DEEP_MEASURE_ID_OVERRIDE",$C219,"DEEP_BROKER_ID_OVERRIDE",BJ$24,"DEEP_PERIOD_OVERRIDE",$H$19)*1,"")))</f>
        <v/>
      </c>
      <c r="BK219" t="str">
        <f>IF(OR(BK$23="",ISNA($B219)),"",IF(ISBLANK($B219),"",IFERROR(_xll.BDP(TICKER,"DEEP_MEASURE_PERIOD_BROKER_VALUE","DEEP_MEASURE_ID_OVERRIDE",$C219,"DEEP_BROKER_ID_OVERRIDE",BK$24,"DEEP_PERIOD_OVERRIDE",$H$19)*1,"")))</f>
        <v/>
      </c>
      <c r="BL219" t="str">
        <f>IF(OR(BL$23="",ISNA($B219)),"",IF(ISBLANK($B219),"",IFERROR(_xll.BDP(TICKER,"DEEP_MEASURE_PERIOD_BROKER_VALUE","DEEP_MEASURE_ID_OVERRIDE",$C219,"DEEP_BROKER_ID_OVERRIDE",BL$24,"DEEP_PERIOD_OVERRIDE",$H$19)*1,"")))</f>
        <v/>
      </c>
      <c r="BM219" t="str">
        <f>IF(OR(BM$23="",ISNA($B219)),"",IF(ISBLANK($B219),"",IFERROR(_xll.BDP(TICKER,"DEEP_MEASURE_PERIOD_BROKER_VALUE","DEEP_MEASURE_ID_OVERRIDE",$C219,"DEEP_BROKER_ID_OVERRIDE",BM$24,"DEEP_PERIOD_OVERRIDE",$H$19)*1,"")))</f>
        <v/>
      </c>
      <c r="BN219" t="str">
        <f>IF(OR(BN$23="",ISNA($B219)),"",IF(ISBLANK($B219),"",IFERROR(_xll.BDP(TICKER,"DEEP_MEASURE_PERIOD_BROKER_VALUE","DEEP_MEASURE_ID_OVERRIDE",$C219,"DEEP_BROKER_ID_OVERRIDE",BN$24,"DEEP_PERIOD_OVERRIDE",$H$19)*1,"")))</f>
        <v/>
      </c>
      <c r="BO219" t="str">
        <f>IF(OR(BO$23="",ISNA($B219)),"",IF(ISBLANK($B219),"",IFERROR(_xll.BDP(TICKER,"DEEP_MEASURE_PERIOD_BROKER_VALUE","DEEP_MEASURE_ID_OVERRIDE",$C219,"DEEP_BROKER_ID_OVERRIDE",BO$24,"DEEP_PERIOD_OVERRIDE",$H$19)*1,"")))</f>
        <v/>
      </c>
      <c r="BP219" t="str">
        <f>IF(OR(BP$23="",ISNA($B219)),"",IF(ISBLANK($B219),"",IFERROR(_xll.BDP(TICKER,"DEEP_MEASURE_PERIOD_BROKER_VALUE","DEEP_MEASURE_ID_OVERRIDE",$C219,"DEEP_BROKER_ID_OVERRIDE",BP$24,"DEEP_PERIOD_OVERRIDE",$H$19)*1,"")))</f>
        <v/>
      </c>
      <c r="BQ219" t="str">
        <f>IF(OR(BQ$23="",ISNA($B219)),"",IF(ISBLANK($B219),"",IFERROR(_xll.BDP(TICKER,"DEEP_MEASURE_PERIOD_BROKER_VALUE","DEEP_MEASURE_ID_OVERRIDE",$C219,"DEEP_BROKER_ID_OVERRIDE",BQ$24,"DEEP_PERIOD_OVERRIDE",$H$19)*1,"")))</f>
        <v/>
      </c>
      <c r="BR219" t="str">
        <f>IF(OR(BR$23="",ISNA($B219)),"",IF(ISBLANK($B219),"",IFERROR(_xll.BDP(TICKER,"DEEP_MEASURE_PERIOD_BROKER_VALUE","DEEP_MEASURE_ID_OVERRIDE",$C219,"DEEP_BROKER_ID_OVERRIDE",BR$24,"DEEP_PERIOD_OVERRIDE",$H$19)*1,"")))</f>
        <v/>
      </c>
      <c r="BS219" t="str">
        <f>IF(OR(BS$23="",ISNA($B219)),"",IF(ISBLANK($B219),"",IFERROR(_xll.BDP(TICKER,"DEEP_MEASURE_PERIOD_BROKER_VALUE","DEEP_MEASURE_ID_OVERRIDE",$C219,"DEEP_BROKER_ID_OVERRIDE",BS$24,"DEEP_PERIOD_OVERRIDE",$H$19)*1,"")))</f>
        <v/>
      </c>
      <c r="BT219" t="str">
        <f>IF(OR(BT$23="",ISNA($B219)),"",IF(ISBLANK($B219),"",IFERROR(_xll.BDP(TICKER,"DEEP_MEASURE_PERIOD_BROKER_VALUE","DEEP_MEASURE_ID_OVERRIDE",$C219,"DEEP_BROKER_ID_OVERRIDE",BT$24,"DEEP_PERIOD_OVERRIDE",$H$19)*1,"")))</f>
        <v/>
      </c>
      <c r="BU219" t="str">
        <f>IF(OR(BU$23="",ISNA($B219)),"",IF(ISBLANK($B219),"",IFERROR(_xll.BDP(TICKER,"DEEP_MEASURE_PERIOD_BROKER_VALUE","DEEP_MEASURE_ID_OVERRIDE",$C219,"DEEP_BROKER_ID_OVERRIDE",BU$24,"DEEP_PERIOD_OVERRIDE",$H$19)*1,"")))</f>
        <v/>
      </c>
      <c r="BV219" t="str">
        <f>IF(OR(BV$23="",ISNA($B219)),"",IF(ISBLANK($B219),"",IFERROR(_xll.BDP(TICKER,"DEEP_MEASURE_PERIOD_BROKER_VALUE","DEEP_MEASURE_ID_OVERRIDE",$C219,"DEEP_BROKER_ID_OVERRIDE",BV$24,"DEEP_PERIOD_OVERRIDE",$H$19)*1,"")))</f>
        <v/>
      </c>
      <c r="BW219" t="str">
        <f>IF(OR(BW$23="",ISNA($B219)),"",IF(ISBLANK($B219),"",IFERROR(_xll.BDP(TICKER,"DEEP_MEASURE_PERIOD_BROKER_VALUE","DEEP_MEASURE_ID_OVERRIDE",$C219,"DEEP_BROKER_ID_OVERRIDE",BW$24,"DEEP_PERIOD_OVERRIDE",$H$19)*1,"")))</f>
        <v/>
      </c>
      <c r="BX219" t="str">
        <f>IF(OR(BX$23="",ISNA($B219)),"",IF(ISBLANK($B219),"",IFERROR(_xll.BDP(TICKER,"DEEP_MEASURE_PERIOD_BROKER_VALUE","DEEP_MEASURE_ID_OVERRIDE",$C219,"DEEP_BROKER_ID_OVERRIDE",BX$24,"DEEP_PERIOD_OVERRIDE",$H$19)*1,"")))</f>
        <v/>
      </c>
      <c r="BY219" t="str">
        <f>IF(OR(BY$23="",ISNA($B219)),"",IF(ISBLANK($B219),"",IFERROR(_xll.BDP(TICKER,"DEEP_MEASURE_PERIOD_BROKER_VALUE","DEEP_MEASURE_ID_OVERRIDE",$C219,"DEEP_BROKER_ID_OVERRIDE",BY$24,"DEEP_PERIOD_OVERRIDE",$H$19)*1,"")))</f>
        <v/>
      </c>
      <c r="BZ219" t="str">
        <f>IF(OR(BZ$23="",ISNA($B219)),"",IF(ISBLANK($B219),"",IFERROR(_xll.BDP(TICKER,"DEEP_MEASURE_PERIOD_BROKER_VALUE","DEEP_MEASURE_ID_OVERRIDE",$C219,"DEEP_BROKER_ID_OVERRIDE",BZ$24,"DEEP_PERIOD_OVERRIDE",$H$19)*1,"")))</f>
        <v/>
      </c>
    </row>
    <row r="220" spans="2:78" x14ac:dyDescent="0.25">
      <c r="B220" t="s">
        <v>217</v>
      </c>
      <c r="C220">
        <v>1974</v>
      </c>
      <c r="H220" t="str">
        <f t="shared" si="4"/>
        <v>Free Cash Flow &gt; YoY Growth (%)</v>
      </c>
      <c r="I220" t="str">
        <f>IF(OR(I$23="",ISNA($B220)),"",IF(ISBLANK($B220),"",IFERROR(_xll.BDP(TICKER,"DEEP_MEASURE_PERIOD_BROKER_VALUE","DEEP_MEASURE_ID_OVERRIDE",$C220,"DEEP_PERIOD_OVERRIDE",$H$19)*1,"")))</f>
        <v/>
      </c>
      <c r="J220" t="e">
        <f>IF(OR(J$23="",ISNA($B220)),"",IF(ISBLANK($B220),"",IFERROR(_xll.BDP(TICKER,"DEEP_MEASURE_PERIOD_BROKER_VALUE","DEEP_MEASURE_ID_OVERRIDE",$C220,"DEEP_BROKER_ID_OVERRIDE",J$24,"DEEP_PERIOD_OVERRIDE",$H$19)*1,"")))</f>
        <v>#REF!</v>
      </c>
      <c r="K220" t="str">
        <f>IF(OR(K$23="",ISNA($B220)),"",IF(ISBLANK($B220),"",IFERROR(_xll.BDP(TICKER,"DEEP_MEASURE_PERIOD_BROKER_VALUE","DEEP_MEASURE_ID_OVERRIDE",$C220,"DEEP_BROKER_ID_OVERRIDE",K$24,"DEEP_PERIOD_OVERRIDE",$H$19)*1,"")))</f>
        <v/>
      </c>
      <c r="L220" t="str">
        <f>IF(OR(L$23="",ISNA($B220)),"",IF(ISBLANK($B220),"",IFERROR(_xll.BDP(TICKER,"DEEP_MEASURE_PERIOD_BROKER_VALUE","DEEP_MEASURE_ID_OVERRIDE",$C220,"DEEP_BROKER_ID_OVERRIDE",L$24,"DEEP_PERIOD_OVERRIDE",$H$19)*1,"")))</f>
        <v/>
      </c>
      <c r="M220" t="str">
        <f>IF(OR(M$23="",ISNA($B220)),"",IF(ISBLANK($B220),"",IFERROR(_xll.BDP(TICKER,"DEEP_MEASURE_PERIOD_BROKER_VALUE","DEEP_MEASURE_ID_OVERRIDE",$C220,"DEEP_BROKER_ID_OVERRIDE",M$24,"DEEP_PERIOD_OVERRIDE",$H$19)*1,"")))</f>
        <v/>
      </c>
      <c r="N220" t="str">
        <f>IF(OR(N$23="",ISNA($B220)),"",IF(ISBLANK($B220),"",IFERROR(_xll.BDP(TICKER,"DEEP_MEASURE_PERIOD_BROKER_VALUE","DEEP_MEASURE_ID_OVERRIDE",$C220,"DEEP_BROKER_ID_OVERRIDE",N$24,"DEEP_PERIOD_OVERRIDE",$H$19)*1,"")))</f>
        <v/>
      </c>
      <c r="O220" t="str">
        <f>IF(OR(O$23="",ISNA($B220)),"",IF(ISBLANK($B220),"",IFERROR(_xll.BDP(TICKER,"DEEP_MEASURE_PERIOD_BROKER_VALUE","DEEP_MEASURE_ID_OVERRIDE",$C220,"DEEP_BROKER_ID_OVERRIDE",O$24,"DEEP_PERIOD_OVERRIDE",$H$19)*1,"")))</f>
        <v/>
      </c>
      <c r="P220" t="str">
        <f>IF(OR(P$23="",ISNA($B220)),"",IF(ISBLANK($B220),"",IFERROR(_xll.BDP(TICKER,"DEEP_MEASURE_PERIOD_BROKER_VALUE","DEEP_MEASURE_ID_OVERRIDE",$C220,"DEEP_BROKER_ID_OVERRIDE",P$24,"DEEP_PERIOD_OVERRIDE",$H$19)*1,"")))</f>
        <v/>
      </c>
      <c r="Q220" t="str">
        <f>IF(OR(Q$23="",ISNA($B220)),"",IF(ISBLANK($B220),"",IFERROR(_xll.BDP(TICKER,"DEEP_MEASURE_PERIOD_BROKER_VALUE","DEEP_MEASURE_ID_OVERRIDE",$C220,"DEEP_BROKER_ID_OVERRIDE",Q$24,"DEEP_PERIOD_OVERRIDE",$H$19)*1,"")))</f>
        <v/>
      </c>
      <c r="R220" t="str">
        <f>IF(OR(R$23="",ISNA($B220)),"",IF(ISBLANK($B220),"",IFERROR(_xll.BDP(TICKER,"DEEP_MEASURE_PERIOD_BROKER_VALUE","DEEP_MEASURE_ID_OVERRIDE",$C220,"DEEP_BROKER_ID_OVERRIDE",R$24,"DEEP_PERIOD_OVERRIDE",$H$19)*1,"")))</f>
        <v/>
      </c>
      <c r="S220" t="str">
        <f>IF(OR(S$23="",ISNA($B220)),"",IF(ISBLANK($B220),"",IFERROR(_xll.BDP(TICKER,"DEEP_MEASURE_PERIOD_BROKER_VALUE","DEEP_MEASURE_ID_OVERRIDE",$C220,"DEEP_BROKER_ID_OVERRIDE",S$24,"DEEP_PERIOD_OVERRIDE",$H$19)*1,"")))</f>
        <v/>
      </c>
      <c r="T220" t="str">
        <f>IF(OR(T$23="",ISNA($B220)),"",IF(ISBLANK($B220),"",IFERROR(_xll.BDP(TICKER,"DEEP_MEASURE_PERIOD_BROKER_VALUE","DEEP_MEASURE_ID_OVERRIDE",$C220,"DEEP_BROKER_ID_OVERRIDE",T$24,"DEEP_PERIOD_OVERRIDE",$H$19)*1,"")))</f>
        <v/>
      </c>
      <c r="U220" t="str">
        <f>IF(OR(U$23="",ISNA($B220)),"",IF(ISBLANK($B220),"",IFERROR(_xll.BDP(TICKER,"DEEP_MEASURE_PERIOD_BROKER_VALUE","DEEP_MEASURE_ID_OVERRIDE",$C220,"DEEP_BROKER_ID_OVERRIDE",U$24,"DEEP_PERIOD_OVERRIDE",$H$19)*1,"")))</f>
        <v/>
      </c>
      <c r="V220" t="str">
        <f>IF(OR(V$23="",ISNA($B220)),"",IF(ISBLANK($B220),"",IFERROR(_xll.BDP(TICKER,"DEEP_MEASURE_PERIOD_BROKER_VALUE","DEEP_MEASURE_ID_OVERRIDE",$C220,"DEEP_BROKER_ID_OVERRIDE",V$24,"DEEP_PERIOD_OVERRIDE",$H$19)*1,"")))</f>
        <v/>
      </c>
      <c r="W220" t="str">
        <f>IF(OR(W$23="",ISNA($B220)),"",IF(ISBLANK($B220),"",IFERROR(_xll.BDP(TICKER,"DEEP_MEASURE_PERIOD_BROKER_VALUE","DEEP_MEASURE_ID_OVERRIDE",$C220,"DEEP_BROKER_ID_OVERRIDE",W$24,"DEEP_PERIOD_OVERRIDE",$H$19)*1,"")))</f>
        <v/>
      </c>
      <c r="X220" t="str">
        <f>IF(OR(X$23="",ISNA($B220)),"",IF(ISBLANK($B220),"",IFERROR(_xll.BDP(TICKER,"DEEP_MEASURE_PERIOD_BROKER_VALUE","DEEP_MEASURE_ID_OVERRIDE",$C220,"DEEP_BROKER_ID_OVERRIDE",X$24,"DEEP_PERIOD_OVERRIDE",$H$19)*1,"")))</f>
        <v/>
      </c>
      <c r="Y220" t="str">
        <f>IF(OR(Y$23="",ISNA($B220)),"",IF(ISBLANK($B220),"",IFERROR(_xll.BDP(TICKER,"DEEP_MEASURE_PERIOD_BROKER_VALUE","DEEP_MEASURE_ID_OVERRIDE",$C220,"DEEP_BROKER_ID_OVERRIDE",Y$24,"DEEP_PERIOD_OVERRIDE",$H$19)*1,"")))</f>
        <v/>
      </c>
      <c r="Z220" t="str">
        <f>IF(OR(Z$23="",ISNA($B220)),"",IF(ISBLANK($B220),"",IFERROR(_xll.BDP(TICKER,"DEEP_MEASURE_PERIOD_BROKER_VALUE","DEEP_MEASURE_ID_OVERRIDE",$C220,"DEEP_BROKER_ID_OVERRIDE",Z$24,"DEEP_PERIOD_OVERRIDE",$H$19)*1,"")))</f>
        <v/>
      </c>
      <c r="AA220" t="str">
        <f>IF(OR(AA$23="",ISNA($B220)),"",IF(ISBLANK($B220),"",IFERROR(_xll.BDP(TICKER,"DEEP_MEASURE_PERIOD_BROKER_VALUE","DEEP_MEASURE_ID_OVERRIDE",$C220,"DEEP_BROKER_ID_OVERRIDE",AA$24,"DEEP_PERIOD_OVERRIDE",$H$19)*1,"")))</f>
        <v/>
      </c>
      <c r="AB220" t="str">
        <f>IF(OR(AB$23="",ISNA($B220)),"",IF(ISBLANK($B220),"",IFERROR(_xll.BDP(TICKER,"DEEP_MEASURE_PERIOD_BROKER_VALUE","DEEP_MEASURE_ID_OVERRIDE",$C220,"DEEP_BROKER_ID_OVERRIDE",AB$24,"DEEP_PERIOD_OVERRIDE",$H$19)*1,"")))</f>
        <v/>
      </c>
      <c r="AC220" t="str">
        <f>IF(OR(AC$23="",ISNA($B220)),"",IF(ISBLANK($B220),"",IFERROR(_xll.BDP(TICKER,"DEEP_MEASURE_PERIOD_BROKER_VALUE","DEEP_MEASURE_ID_OVERRIDE",$C220,"DEEP_BROKER_ID_OVERRIDE",AC$24,"DEEP_PERIOD_OVERRIDE",$H$19)*1,"")))</f>
        <v/>
      </c>
      <c r="AD220" t="str">
        <f>IF(OR(AD$23="",ISNA($B220)),"",IF(ISBLANK($B220),"",IFERROR(_xll.BDP(TICKER,"DEEP_MEASURE_PERIOD_BROKER_VALUE","DEEP_MEASURE_ID_OVERRIDE",$C220,"DEEP_BROKER_ID_OVERRIDE",AD$24,"DEEP_PERIOD_OVERRIDE",$H$19)*1,"")))</f>
        <v/>
      </c>
      <c r="AE220" t="str">
        <f>IF(OR(AE$23="",ISNA($B220)),"",IF(ISBLANK($B220),"",IFERROR(_xll.BDP(TICKER,"DEEP_MEASURE_PERIOD_BROKER_VALUE","DEEP_MEASURE_ID_OVERRIDE",$C220,"DEEP_BROKER_ID_OVERRIDE",AE$24,"DEEP_PERIOD_OVERRIDE",$H$19)*1,"")))</f>
        <v/>
      </c>
      <c r="AF220" t="str">
        <f>IF(OR(AF$23="",ISNA($B220)),"",IF(ISBLANK($B220),"",IFERROR(_xll.BDP(TICKER,"DEEP_MEASURE_PERIOD_BROKER_VALUE","DEEP_MEASURE_ID_OVERRIDE",$C220,"DEEP_BROKER_ID_OVERRIDE",AF$24,"DEEP_PERIOD_OVERRIDE",$H$19)*1,"")))</f>
        <v/>
      </c>
      <c r="AG220" t="str">
        <f>IF(OR(AG$23="",ISNA($B220)),"",IF(ISBLANK($B220),"",IFERROR(_xll.BDP(TICKER,"DEEP_MEASURE_PERIOD_BROKER_VALUE","DEEP_MEASURE_ID_OVERRIDE",$C220,"DEEP_BROKER_ID_OVERRIDE",AG$24,"DEEP_PERIOD_OVERRIDE",$H$19)*1,"")))</f>
        <v/>
      </c>
      <c r="AH220" t="str">
        <f>IF(OR(AH$23="",ISNA($B220)),"",IF(ISBLANK($B220),"",IFERROR(_xll.BDP(TICKER,"DEEP_MEASURE_PERIOD_BROKER_VALUE","DEEP_MEASURE_ID_OVERRIDE",$C220,"DEEP_BROKER_ID_OVERRIDE",AH$24,"DEEP_PERIOD_OVERRIDE",$H$19)*1,"")))</f>
        <v/>
      </c>
      <c r="AI220" t="str">
        <f>IF(OR(AI$23="",ISNA($B220)),"",IF(ISBLANK($B220),"",IFERROR(_xll.BDP(TICKER,"DEEP_MEASURE_PERIOD_BROKER_VALUE","DEEP_MEASURE_ID_OVERRIDE",$C220,"DEEP_BROKER_ID_OVERRIDE",AI$24,"DEEP_PERIOD_OVERRIDE",$H$19)*1,"")))</f>
        <v/>
      </c>
      <c r="AJ220" t="str">
        <f>IF(OR(AJ$23="",ISNA($B220)),"",IF(ISBLANK($B220),"",IFERROR(_xll.BDP(TICKER,"DEEP_MEASURE_PERIOD_BROKER_VALUE","DEEP_MEASURE_ID_OVERRIDE",$C220,"DEEP_BROKER_ID_OVERRIDE",AJ$24,"DEEP_PERIOD_OVERRIDE",$H$19)*1,"")))</f>
        <v/>
      </c>
      <c r="AK220" t="str">
        <f>IF(OR(AK$23="",ISNA($B220)),"",IF(ISBLANK($B220),"",IFERROR(_xll.BDP(TICKER,"DEEP_MEASURE_PERIOD_BROKER_VALUE","DEEP_MEASURE_ID_OVERRIDE",$C220,"DEEP_BROKER_ID_OVERRIDE",AK$24,"DEEP_PERIOD_OVERRIDE",$H$19)*1,"")))</f>
        <v/>
      </c>
      <c r="AL220" t="str">
        <f>IF(OR(AL$23="",ISNA($B220)),"",IF(ISBLANK($B220),"",IFERROR(_xll.BDP(TICKER,"DEEP_MEASURE_PERIOD_BROKER_VALUE","DEEP_MEASURE_ID_OVERRIDE",$C220,"DEEP_BROKER_ID_OVERRIDE",AL$24,"DEEP_PERIOD_OVERRIDE",$H$19)*1,"")))</f>
        <v/>
      </c>
      <c r="AM220" t="str">
        <f>IF(OR(AM$23="",ISNA($B220)),"",IF(ISBLANK($B220),"",IFERROR(_xll.BDP(TICKER,"DEEP_MEASURE_PERIOD_BROKER_VALUE","DEEP_MEASURE_ID_OVERRIDE",$C220,"DEEP_BROKER_ID_OVERRIDE",AM$24,"DEEP_PERIOD_OVERRIDE",$H$19)*1,"")))</f>
        <v/>
      </c>
      <c r="AN220" t="str">
        <f>IF(OR(AN$23="",ISNA($B220)),"",IF(ISBLANK($B220),"",IFERROR(_xll.BDP(TICKER,"DEEP_MEASURE_PERIOD_BROKER_VALUE","DEEP_MEASURE_ID_OVERRIDE",$C220,"DEEP_BROKER_ID_OVERRIDE",AN$24,"DEEP_PERIOD_OVERRIDE",$H$19)*1,"")))</f>
        <v/>
      </c>
      <c r="AO220" t="str">
        <f>IF(OR(AO$23="",ISNA($B220)),"",IF(ISBLANK($B220),"",IFERROR(_xll.BDP(TICKER,"DEEP_MEASURE_PERIOD_BROKER_VALUE","DEEP_MEASURE_ID_OVERRIDE",$C220,"DEEP_BROKER_ID_OVERRIDE",AO$24,"DEEP_PERIOD_OVERRIDE",$H$19)*1,"")))</f>
        <v/>
      </c>
      <c r="AP220" t="str">
        <f>IF(OR(AP$23="",ISNA($B220)),"",IF(ISBLANK($B220),"",IFERROR(_xll.BDP(TICKER,"DEEP_MEASURE_PERIOD_BROKER_VALUE","DEEP_MEASURE_ID_OVERRIDE",$C220,"DEEP_BROKER_ID_OVERRIDE",AP$24,"DEEP_PERIOD_OVERRIDE",$H$19)*1,"")))</f>
        <v/>
      </c>
      <c r="AQ220" t="str">
        <f>IF(OR(AQ$23="",ISNA($B220)),"",IF(ISBLANK($B220),"",IFERROR(_xll.BDP(TICKER,"DEEP_MEASURE_PERIOD_BROKER_VALUE","DEEP_MEASURE_ID_OVERRIDE",$C220,"DEEP_BROKER_ID_OVERRIDE",AQ$24,"DEEP_PERIOD_OVERRIDE",$H$19)*1,"")))</f>
        <v/>
      </c>
      <c r="AR220" t="str">
        <f>IF(OR(AR$23="",ISNA($B220)),"",IF(ISBLANK($B220),"",IFERROR(_xll.BDP(TICKER,"DEEP_MEASURE_PERIOD_BROKER_VALUE","DEEP_MEASURE_ID_OVERRIDE",$C220,"DEEP_BROKER_ID_OVERRIDE",AR$24,"DEEP_PERIOD_OVERRIDE",$H$19)*1,"")))</f>
        <v/>
      </c>
      <c r="AS220" t="str">
        <f>IF(OR(AS$23="",ISNA($B220)),"",IF(ISBLANK($B220),"",IFERROR(_xll.BDP(TICKER,"DEEP_MEASURE_PERIOD_BROKER_VALUE","DEEP_MEASURE_ID_OVERRIDE",$C220,"DEEP_BROKER_ID_OVERRIDE",AS$24,"DEEP_PERIOD_OVERRIDE",$H$19)*1,"")))</f>
        <v/>
      </c>
      <c r="AT220" t="str">
        <f>IF(OR(AT$23="",ISNA($B220)),"",IF(ISBLANK($B220),"",IFERROR(_xll.BDP(TICKER,"DEEP_MEASURE_PERIOD_BROKER_VALUE","DEEP_MEASURE_ID_OVERRIDE",$C220,"DEEP_BROKER_ID_OVERRIDE",AT$24,"DEEP_PERIOD_OVERRIDE",$H$19)*1,"")))</f>
        <v/>
      </c>
      <c r="AU220" t="str">
        <f>IF(OR(AU$23="",ISNA($B220)),"",IF(ISBLANK($B220),"",IFERROR(_xll.BDP(TICKER,"DEEP_MEASURE_PERIOD_BROKER_VALUE","DEEP_MEASURE_ID_OVERRIDE",$C220,"DEEP_BROKER_ID_OVERRIDE",AU$24,"DEEP_PERIOD_OVERRIDE",$H$19)*1,"")))</f>
        <v/>
      </c>
      <c r="AV220" t="str">
        <f>IF(OR(AV$23="",ISNA($B220)),"",IF(ISBLANK($B220),"",IFERROR(_xll.BDP(TICKER,"DEEP_MEASURE_PERIOD_BROKER_VALUE","DEEP_MEASURE_ID_OVERRIDE",$C220,"DEEP_BROKER_ID_OVERRIDE",AV$24,"DEEP_PERIOD_OVERRIDE",$H$19)*1,"")))</f>
        <v/>
      </c>
      <c r="AW220" t="str">
        <f>IF(OR(AW$23="",ISNA($B220)),"",IF(ISBLANK($B220),"",IFERROR(_xll.BDP(TICKER,"DEEP_MEASURE_PERIOD_BROKER_VALUE","DEEP_MEASURE_ID_OVERRIDE",$C220,"DEEP_BROKER_ID_OVERRIDE",AW$24,"DEEP_PERIOD_OVERRIDE",$H$19)*1,"")))</f>
        <v/>
      </c>
      <c r="AX220" t="str">
        <f>IF(OR(AX$23="",ISNA($B220)),"",IF(ISBLANK($B220),"",IFERROR(_xll.BDP(TICKER,"DEEP_MEASURE_PERIOD_BROKER_VALUE","DEEP_MEASURE_ID_OVERRIDE",$C220,"DEEP_BROKER_ID_OVERRIDE",AX$24,"DEEP_PERIOD_OVERRIDE",$H$19)*1,"")))</f>
        <v/>
      </c>
      <c r="AY220" t="str">
        <f>IF(OR(AY$23="",ISNA($B220)),"",IF(ISBLANK($B220),"",IFERROR(_xll.BDP(TICKER,"DEEP_MEASURE_PERIOD_BROKER_VALUE","DEEP_MEASURE_ID_OVERRIDE",$C220,"DEEP_BROKER_ID_OVERRIDE",AY$24,"DEEP_PERIOD_OVERRIDE",$H$19)*1,"")))</f>
        <v/>
      </c>
      <c r="AZ220" t="str">
        <f>IF(OR(AZ$23="",ISNA($B220)),"",IF(ISBLANK($B220),"",IFERROR(_xll.BDP(TICKER,"DEEP_MEASURE_PERIOD_BROKER_VALUE","DEEP_MEASURE_ID_OVERRIDE",$C220,"DEEP_BROKER_ID_OVERRIDE",AZ$24,"DEEP_PERIOD_OVERRIDE",$H$19)*1,"")))</f>
        <v/>
      </c>
      <c r="BA220" t="str">
        <f>IF(OR(BA$23="",ISNA($B220)),"",IF(ISBLANK($B220),"",IFERROR(_xll.BDP(TICKER,"DEEP_MEASURE_PERIOD_BROKER_VALUE","DEEP_MEASURE_ID_OVERRIDE",$C220,"DEEP_BROKER_ID_OVERRIDE",BA$24,"DEEP_PERIOD_OVERRIDE",$H$19)*1,"")))</f>
        <v/>
      </c>
      <c r="BB220" t="str">
        <f>IF(OR(BB$23="",ISNA($B220)),"",IF(ISBLANK($B220),"",IFERROR(_xll.BDP(TICKER,"DEEP_MEASURE_PERIOD_BROKER_VALUE","DEEP_MEASURE_ID_OVERRIDE",$C220,"DEEP_BROKER_ID_OVERRIDE",BB$24,"DEEP_PERIOD_OVERRIDE",$H$19)*1,"")))</f>
        <v/>
      </c>
      <c r="BC220" t="str">
        <f>IF(OR(BC$23="",ISNA($B220)),"",IF(ISBLANK($B220),"",IFERROR(_xll.BDP(TICKER,"DEEP_MEASURE_PERIOD_BROKER_VALUE","DEEP_MEASURE_ID_OVERRIDE",$C220,"DEEP_BROKER_ID_OVERRIDE",BC$24,"DEEP_PERIOD_OVERRIDE",$H$19)*1,"")))</f>
        <v/>
      </c>
      <c r="BD220" t="str">
        <f>IF(OR(BD$23="",ISNA($B220)),"",IF(ISBLANK($B220),"",IFERROR(_xll.BDP(TICKER,"DEEP_MEASURE_PERIOD_BROKER_VALUE","DEEP_MEASURE_ID_OVERRIDE",$C220,"DEEP_BROKER_ID_OVERRIDE",BD$24,"DEEP_PERIOD_OVERRIDE",$H$19)*1,"")))</f>
        <v/>
      </c>
      <c r="BE220" t="str">
        <f>IF(OR(BE$23="",ISNA($B220)),"",IF(ISBLANK($B220),"",IFERROR(_xll.BDP(TICKER,"DEEP_MEASURE_PERIOD_BROKER_VALUE","DEEP_MEASURE_ID_OVERRIDE",$C220,"DEEP_BROKER_ID_OVERRIDE",BE$24,"DEEP_PERIOD_OVERRIDE",$H$19)*1,"")))</f>
        <v/>
      </c>
      <c r="BF220" t="str">
        <f>IF(OR(BF$23="",ISNA($B220)),"",IF(ISBLANK($B220),"",IFERROR(_xll.BDP(TICKER,"DEEP_MEASURE_PERIOD_BROKER_VALUE","DEEP_MEASURE_ID_OVERRIDE",$C220,"DEEP_BROKER_ID_OVERRIDE",BF$24,"DEEP_PERIOD_OVERRIDE",$H$19)*1,"")))</f>
        <v/>
      </c>
      <c r="BG220" t="str">
        <f>IF(OR(BG$23="",ISNA($B220)),"",IF(ISBLANK($B220),"",IFERROR(_xll.BDP(TICKER,"DEEP_MEASURE_PERIOD_BROKER_VALUE","DEEP_MEASURE_ID_OVERRIDE",$C220,"DEEP_BROKER_ID_OVERRIDE",BG$24,"DEEP_PERIOD_OVERRIDE",$H$19)*1,"")))</f>
        <v/>
      </c>
      <c r="BH220" t="str">
        <f>IF(OR(BH$23="",ISNA($B220)),"",IF(ISBLANK($B220),"",IFERROR(_xll.BDP(TICKER,"DEEP_MEASURE_PERIOD_BROKER_VALUE","DEEP_MEASURE_ID_OVERRIDE",$C220,"DEEP_BROKER_ID_OVERRIDE",BH$24,"DEEP_PERIOD_OVERRIDE",$H$19)*1,"")))</f>
        <v/>
      </c>
      <c r="BI220" t="str">
        <f>IF(OR(BI$23="",ISNA($B220)),"",IF(ISBLANK($B220),"",IFERROR(_xll.BDP(TICKER,"DEEP_MEASURE_PERIOD_BROKER_VALUE","DEEP_MEASURE_ID_OVERRIDE",$C220,"DEEP_BROKER_ID_OVERRIDE",BI$24,"DEEP_PERIOD_OVERRIDE",$H$19)*1,"")))</f>
        <v/>
      </c>
      <c r="BJ220" t="str">
        <f>IF(OR(BJ$23="",ISNA($B220)),"",IF(ISBLANK($B220),"",IFERROR(_xll.BDP(TICKER,"DEEP_MEASURE_PERIOD_BROKER_VALUE","DEEP_MEASURE_ID_OVERRIDE",$C220,"DEEP_BROKER_ID_OVERRIDE",BJ$24,"DEEP_PERIOD_OVERRIDE",$H$19)*1,"")))</f>
        <v/>
      </c>
      <c r="BK220" t="str">
        <f>IF(OR(BK$23="",ISNA($B220)),"",IF(ISBLANK($B220),"",IFERROR(_xll.BDP(TICKER,"DEEP_MEASURE_PERIOD_BROKER_VALUE","DEEP_MEASURE_ID_OVERRIDE",$C220,"DEEP_BROKER_ID_OVERRIDE",BK$24,"DEEP_PERIOD_OVERRIDE",$H$19)*1,"")))</f>
        <v/>
      </c>
      <c r="BL220" t="str">
        <f>IF(OR(BL$23="",ISNA($B220)),"",IF(ISBLANK($B220),"",IFERROR(_xll.BDP(TICKER,"DEEP_MEASURE_PERIOD_BROKER_VALUE","DEEP_MEASURE_ID_OVERRIDE",$C220,"DEEP_BROKER_ID_OVERRIDE",BL$24,"DEEP_PERIOD_OVERRIDE",$H$19)*1,"")))</f>
        <v/>
      </c>
      <c r="BM220" t="str">
        <f>IF(OR(BM$23="",ISNA($B220)),"",IF(ISBLANK($B220),"",IFERROR(_xll.BDP(TICKER,"DEEP_MEASURE_PERIOD_BROKER_VALUE","DEEP_MEASURE_ID_OVERRIDE",$C220,"DEEP_BROKER_ID_OVERRIDE",BM$24,"DEEP_PERIOD_OVERRIDE",$H$19)*1,"")))</f>
        <v/>
      </c>
      <c r="BN220" t="str">
        <f>IF(OR(BN$23="",ISNA($B220)),"",IF(ISBLANK($B220),"",IFERROR(_xll.BDP(TICKER,"DEEP_MEASURE_PERIOD_BROKER_VALUE","DEEP_MEASURE_ID_OVERRIDE",$C220,"DEEP_BROKER_ID_OVERRIDE",BN$24,"DEEP_PERIOD_OVERRIDE",$H$19)*1,"")))</f>
        <v/>
      </c>
      <c r="BO220" t="str">
        <f>IF(OR(BO$23="",ISNA($B220)),"",IF(ISBLANK($B220),"",IFERROR(_xll.BDP(TICKER,"DEEP_MEASURE_PERIOD_BROKER_VALUE","DEEP_MEASURE_ID_OVERRIDE",$C220,"DEEP_BROKER_ID_OVERRIDE",BO$24,"DEEP_PERIOD_OVERRIDE",$H$19)*1,"")))</f>
        <v/>
      </c>
      <c r="BP220" t="str">
        <f>IF(OR(BP$23="",ISNA($B220)),"",IF(ISBLANK($B220),"",IFERROR(_xll.BDP(TICKER,"DEEP_MEASURE_PERIOD_BROKER_VALUE","DEEP_MEASURE_ID_OVERRIDE",$C220,"DEEP_BROKER_ID_OVERRIDE",BP$24,"DEEP_PERIOD_OVERRIDE",$H$19)*1,"")))</f>
        <v/>
      </c>
      <c r="BQ220" t="str">
        <f>IF(OR(BQ$23="",ISNA($B220)),"",IF(ISBLANK($B220),"",IFERROR(_xll.BDP(TICKER,"DEEP_MEASURE_PERIOD_BROKER_VALUE","DEEP_MEASURE_ID_OVERRIDE",$C220,"DEEP_BROKER_ID_OVERRIDE",BQ$24,"DEEP_PERIOD_OVERRIDE",$H$19)*1,"")))</f>
        <v/>
      </c>
      <c r="BR220" t="str">
        <f>IF(OR(BR$23="",ISNA($B220)),"",IF(ISBLANK($B220),"",IFERROR(_xll.BDP(TICKER,"DEEP_MEASURE_PERIOD_BROKER_VALUE","DEEP_MEASURE_ID_OVERRIDE",$C220,"DEEP_BROKER_ID_OVERRIDE",BR$24,"DEEP_PERIOD_OVERRIDE",$H$19)*1,"")))</f>
        <v/>
      </c>
      <c r="BS220" t="str">
        <f>IF(OR(BS$23="",ISNA($B220)),"",IF(ISBLANK($B220),"",IFERROR(_xll.BDP(TICKER,"DEEP_MEASURE_PERIOD_BROKER_VALUE","DEEP_MEASURE_ID_OVERRIDE",$C220,"DEEP_BROKER_ID_OVERRIDE",BS$24,"DEEP_PERIOD_OVERRIDE",$H$19)*1,"")))</f>
        <v/>
      </c>
      <c r="BT220" t="str">
        <f>IF(OR(BT$23="",ISNA($B220)),"",IF(ISBLANK($B220),"",IFERROR(_xll.BDP(TICKER,"DEEP_MEASURE_PERIOD_BROKER_VALUE","DEEP_MEASURE_ID_OVERRIDE",$C220,"DEEP_BROKER_ID_OVERRIDE",BT$24,"DEEP_PERIOD_OVERRIDE",$H$19)*1,"")))</f>
        <v/>
      </c>
      <c r="BU220" t="str">
        <f>IF(OR(BU$23="",ISNA($B220)),"",IF(ISBLANK($B220),"",IFERROR(_xll.BDP(TICKER,"DEEP_MEASURE_PERIOD_BROKER_VALUE","DEEP_MEASURE_ID_OVERRIDE",$C220,"DEEP_BROKER_ID_OVERRIDE",BU$24,"DEEP_PERIOD_OVERRIDE",$H$19)*1,"")))</f>
        <v/>
      </c>
      <c r="BV220" t="str">
        <f>IF(OR(BV$23="",ISNA($B220)),"",IF(ISBLANK($B220),"",IFERROR(_xll.BDP(TICKER,"DEEP_MEASURE_PERIOD_BROKER_VALUE","DEEP_MEASURE_ID_OVERRIDE",$C220,"DEEP_BROKER_ID_OVERRIDE",BV$24,"DEEP_PERIOD_OVERRIDE",$H$19)*1,"")))</f>
        <v/>
      </c>
      <c r="BW220" t="str">
        <f>IF(OR(BW$23="",ISNA($B220)),"",IF(ISBLANK($B220),"",IFERROR(_xll.BDP(TICKER,"DEEP_MEASURE_PERIOD_BROKER_VALUE","DEEP_MEASURE_ID_OVERRIDE",$C220,"DEEP_BROKER_ID_OVERRIDE",BW$24,"DEEP_PERIOD_OVERRIDE",$H$19)*1,"")))</f>
        <v/>
      </c>
      <c r="BX220" t="str">
        <f>IF(OR(BX$23="",ISNA($B220)),"",IF(ISBLANK($B220),"",IFERROR(_xll.BDP(TICKER,"DEEP_MEASURE_PERIOD_BROKER_VALUE","DEEP_MEASURE_ID_OVERRIDE",$C220,"DEEP_BROKER_ID_OVERRIDE",BX$24,"DEEP_PERIOD_OVERRIDE",$H$19)*1,"")))</f>
        <v/>
      </c>
      <c r="BY220" t="str">
        <f>IF(OR(BY$23="",ISNA($B220)),"",IF(ISBLANK($B220),"",IFERROR(_xll.BDP(TICKER,"DEEP_MEASURE_PERIOD_BROKER_VALUE","DEEP_MEASURE_ID_OVERRIDE",$C220,"DEEP_BROKER_ID_OVERRIDE",BY$24,"DEEP_PERIOD_OVERRIDE",$H$19)*1,"")))</f>
        <v/>
      </c>
      <c r="BZ220" t="str">
        <f>IF(OR(BZ$23="",ISNA($B220)),"",IF(ISBLANK($B220),"",IFERROR(_xll.BDP(TICKER,"DEEP_MEASURE_PERIOD_BROKER_VALUE","DEEP_MEASURE_ID_OVERRIDE",$C220,"DEEP_BROKER_ID_OVERRIDE",BZ$24,"DEEP_PERIOD_OVERRIDE",$H$19)*1,"")))</f>
        <v/>
      </c>
    </row>
    <row r="221" spans="2:78" x14ac:dyDescent="0.25">
      <c r="B221" t="s">
        <v>75</v>
      </c>
      <c r="C221">
        <v>455</v>
      </c>
      <c r="H221" t="str">
        <f t="shared" si="4"/>
        <v>Free Cash Flow Per Basic Share</v>
      </c>
      <c r="I221" t="str">
        <f>IF(OR(I$23="",ISNA($B221)),"",IF(ISBLANK($B221),"",IFERROR(_xll.BDP(TICKER,"DEEP_MEASURE_PERIOD_BROKER_VALUE","DEEP_MEASURE_ID_OVERRIDE",$C221,"DEEP_PERIOD_OVERRIDE",$H$19)*1,"")))</f>
        <v/>
      </c>
      <c r="J221" t="e">
        <f>IF(OR(J$23="",ISNA($B221)),"",IF(ISBLANK($B221),"",IFERROR(_xll.BDP(TICKER,"DEEP_MEASURE_PERIOD_BROKER_VALUE","DEEP_MEASURE_ID_OVERRIDE",$C221,"DEEP_BROKER_ID_OVERRIDE",J$24,"DEEP_PERIOD_OVERRIDE",$H$19)*1,"")))</f>
        <v>#REF!</v>
      </c>
      <c r="K221" t="str">
        <f>IF(OR(K$23="",ISNA($B221)),"",IF(ISBLANK($B221),"",IFERROR(_xll.BDP(TICKER,"DEEP_MEASURE_PERIOD_BROKER_VALUE","DEEP_MEASURE_ID_OVERRIDE",$C221,"DEEP_BROKER_ID_OVERRIDE",K$24,"DEEP_PERIOD_OVERRIDE",$H$19)*1,"")))</f>
        <v/>
      </c>
      <c r="L221" t="str">
        <f>IF(OR(L$23="",ISNA($B221)),"",IF(ISBLANK($B221),"",IFERROR(_xll.BDP(TICKER,"DEEP_MEASURE_PERIOD_BROKER_VALUE","DEEP_MEASURE_ID_OVERRIDE",$C221,"DEEP_BROKER_ID_OVERRIDE",L$24,"DEEP_PERIOD_OVERRIDE",$H$19)*1,"")))</f>
        <v/>
      </c>
      <c r="M221" t="str">
        <f>IF(OR(M$23="",ISNA($B221)),"",IF(ISBLANK($B221),"",IFERROR(_xll.BDP(TICKER,"DEEP_MEASURE_PERIOD_BROKER_VALUE","DEEP_MEASURE_ID_OVERRIDE",$C221,"DEEP_BROKER_ID_OVERRIDE",M$24,"DEEP_PERIOD_OVERRIDE",$H$19)*1,"")))</f>
        <v/>
      </c>
      <c r="N221" t="str">
        <f>IF(OR(N$23="",ISNA($B221)),"",IF(ISBLANK($B221),"",IFERROR(_xll.BDP(TICKER,"DEEP_MEASURE_PERIOD_BROKER_VALUE","DEEP_MEASURE_ID_OVERRIDE",$C221,"DEEP_BROKER_ID_OVERRIDE",N$24,"DEEP_PERIOD_OVERRIDE",$H$19)*1,"")))</f>
        <v/>
      </c>
      <c r="O221" t="str">
        <f>IF(OR(O$23="",ISNA($B221)),"",IF(ISBLANK($B221),"",IFERROR(_xll.BDP(TICKER,"DEEP_MEASURE_PERIOD_BROKER_VALUE","DEEP_MEASURE_ID_OVERRIDE",$C221,"DEEP_BROKER_ID_OVERRIDE",O$24,"DEEP_PERIOD_OVERRIDE",$H$19)*1,"")))</f>
        <v/>
      </c>
      <c r="P221" t="str">
        <f>IF(OR(P$23="",ISNA($B221)),"",IF(ISBLANK($B221),"",IFERROR(_xll.BDP(TICKER,"DEEP_MEASURE_PERIOD_BROKER_VALUE","DEEP_MEASURE_ID_OVERRIDE",$C221,"DEEP_BROKER_ID_OVERRIDE",P$24,"DEEP_PERIOD_OVERRIDE",$H$19)*1,"")))</f>
        <v/>
      </c>
      <c r="Q221" t="str">
        <f>IF(OR(Q$23="",ISNA($B221)),"",IF(ISBLANK($B221),"",IFERROR(_xll.BDP(TICKER,"DEEP_MEASURE_PERIOD_BROKER_VALUE","DEEP_MEASURE_ID_OVERRIDE",$C221,"DEEP_BROKER_ID_OVERRIDE",Q$24,"DEEP_PERIOD_OVERRIDE",$H$19)*1,"")))</f>
        <v/>
      </c>
      <c r="R221" t="str">
        <f>IF(OR(R$23="",ISNA($B221)),"",IF(ISBLANK($B221),"",IFERROR(_xll.BDP(TICKER,"DEEP_MEASURE_PERIOD_BROKER_VALUE","DEEP_MEASURE_ID_OVERRIDE",$C221,"DEEP_BROKER_ID_OVERRIDE",R$24,"DEEP_PERIOD_OVERRIDE",$H$19)*1,"")))</f>
        <v/>
      </c>
      <c r="S221" t="str">
        <f>IF(OR(S$23="",ISNA($B221)),"",IF(ISBLANK($B221),"",IFERROR(_xll.BDP(TICKER,"DEEP_MEASURE_PERIOD_BROKER_VALUE","DEEP_MEASURE_ID_OVERRIDE",$C221,"DEEP_BROKER_ID_OVERRIDE",S$24,"DEEP_PERIOD_OVERRIDE",$H$19)*1,"")))</f>
        <v/>
      </c>
      <c r="T221" t="str">
        <f>IF(OR(T$23="",ISNA($B221)),"",IF(ISBLANK($B221),"",IFERROR(_xll.BDP(TICKER,"DEEP_MEASURE_PERIOD_BROKER_VALUE","DEEP_MEASURE_ID_OVERRIDE",$C221,"DEEP_BROKER_ID_OVERRIDE",T$24,"DEEP_PERIOD_OVERRIDE",$H$19)*1,"")))</f>
        <v/>
      </c>
      <c r="U221" t="str">
        <f>IF(OR(U$23="",ISNA($B221)),"",IF(ISBLANK($B221),"",IFERROR(_xll.BDP(TICKER,"DEEP_MEASURE_PERIOD_BROKER_VALUE","DEEP_MEASURE_ID_OVERRIDE",$C221,"DEEP_BROKER_ID_OVERRIDE",U$24,"DEEP_PERIOD_OVERRIDE",$H$19)*1,"")))</f>
        <v/>
      </c>
      <c r="V221" t="str">
        <f>IF(OR(V$23="",ISNA($B221)),"",IF(ISBLANK($B221),"",IFERROR(_xll.BDP(TICKER,"DEEP_MEASURE_PERIOD_BROKER_VALUE","DEEP_MEASURE_ID_OVERRIDE",$C221,"DEEP_BROKER_ID_OVERRIDE",V$24,"DEEP_PERIOD_OVERRIDE",$H$19)*1,"")))</f>
        <v/>
      </c>
      <c r="W221" t="str">
        <f>IF(OR(W$23="",ISNA($B221)),"",IF(ISBLANK($B221),"",IFERROR(_xll.BDP(TICKER,"DEEP_MEASURE_PERIOD_BROKER_VALUE","DEEP_MEASURE_ID_OVERRIDE",$C221,"DEEP_BROKER_ID_OVERRIDE",W$24,"DEEP_PERIOD_OVERRIDE",$H$19)*1,"")))</f>
        <v/>
      </c>
      <c r="X221" t="str">
        <f>IF(OR(X$23="",ISNA($B221)),"",IF(ISBLANK($B221),"",IFERROR(_xll.BDP(TICKER,"DEEP_MEASURE_PERIOD_BROKER_VALUE","DEEP_MEASURE_ID_OVERRIDE",$C221,"DEEP_BROKER_ID_OVERRIDE",X$24,"DEEP_PERIOD_OVERRIDE",$H$19)*1,"")))</f>
        <v/>
      </c>
      <c r="Y221" t="str">
        <f>IF(OR(Y$23="",ISNA($B221)),"",IF(ISBLANK($B221),"",IFERROR(_xll.BDP(TICKER,"DEEP_MEASURE_PERIOD_BROKER_VALUE","DEEP_MEASURE_ID_OVERRIDE",$C221,"DEEP_BROKER_ID_OVERRIDE",Y$24,"DEEP_PERIOD_OVERRIDE",$H$19)*1,"")))</f>
        <v/>
      </c>
      <c r="Z221" t="str">
        <f>IF(OR(Z$23="",ISNA($B221)),"",IF(ISBLANK($B221),"",IFERROR(_xll.BDP(TICKER,"DEEP_MEASURE_PERIOD_BROKER_VALUE","DEEP_MEASURE_ID_OVERRIDE",$C221,"DEEP_BROKER_ID_OVERRIDE",Z$24,"DEEP_PERIOD_OVERRIDE",$H$19)*1,"")))</f>
        <v/>
      </c>
      <c r="AA221" t="str">
        <f>IF(OR(AA$23="",ISNA($B221)),"",IF(ISBLANK($B221),"",IFERROR(_xll.BDP(TICKER,"DEEP_MEASURE_PERIOD_BROKER_VALUE","DEEP_MEASURE_ID_OVERRIDE",$C221,"DEEP_BROKER_ID_OVERRIDE",AA$24,"DEEP_PERIOD_OVERRIDE",$H$19)*1,"")))</f>
        <v/>
      </c>
      <c r="AB221" t="str">
        <f>IF(OR(AB$23="",ISNA($B221)),"",IF(ISBLANK($B221),"",IFERROR(_xll.BDP(TICKER,"DEEP_MEASURE_PERIOD_BROKER_VALUE","DEEP_MEASURE_ID_OVERRIDE",$C221,"DEEP_BROKER_ID_OVERRIDE",AB$24,"DEEP_PERIOD_OVERRIDE",$H$19)*1,"")))</f>
        <v/>
      </c>
      <c r="AC221" t="str">
        <f>IF(OR(AC$23="",ISNA($B221)),"",IF(ISBLANK($B221),"",IFERROR(_xll.BDP(TICKER,"DEEP_MEASURE_PERIOD_BROKER_VALUE","DEEP_MEASURE_ID_OVERRIDE",$C221,"DEEP_BROKER_ID_OVERRIDE",AC$24,"DEEP_PERIOD_OVERRIDE",$H$19)*1,"")))</f>
        <v/>
      </c>
      <c r="AD221" t="str">
        <f>IF(OR(AD$23="",ISNA($B221)),"",IF(ISBLANK($B221),"",IFERROR(_xll.BDP(TICKER,"DEEP_MEASURE_PERIOD_BROKER_VALUE","DEEP_MEASURE_ID_OVERRIDE",$C221,"DEEP_BROKER_ID_OVERRIDE",AD$24,"DEEP_PERIOD_OVERRIDE",$H$19)*1,"")))</f>
        <v/>
      </c>
      <c r="AE221" t="str">
        <f>IF(OR(AE$23="",ISNA($B221)),"",IF(ISBLANK($B221),"",IFERROR(_xll.BDP(TICKER,"DEEP_MEASURE_PERIOD_BROKER_VALUE","DEEP_MEASURE_ID_OVERRIDE",$C221,"DEEP_BROKER_ID_OVERRIDE",AE$24,"DEEP_PERIOD_OVERRIDE",$H$19)*1,"")))</f>
        <v/>
      </c>
      <c r="AF221" t="str">
        <f>IF(OR(AF$23="",ISNA($B221)),"",IF(ISBLANK($B221),"",IFERROR(_xll.BDP(TICKER,"DEEP_MEASURE_PERIOD_BROKER_VALUE","DEEP_MEASURE_ID_OVERRIDE",$C221,"DEEP_BROKER_ID_OVERRIDE",AF$24,"DEEP_PERIOD_OVERRIDE",$H$19)*1,"")))</f>
        <v/>
      </c>
      <c r="AG221" t="str">
        <f>IF(OR(AG$23="",ISNA($B221)),"",IF(ISBLANK($B221),"",IFERROR(_xll.BDP(TICKER,"DEEP_MEASURE_PERIOD_BROKER_VALUE","DEEP_MEASURE_ID_OVERRIDE",$C221,"DEEP_BROKER_ID_OVERRIDE",AG$24,"DEEP_PERIOD_OVERRIDE",$H$19)*1,"")))</f>
        <v/>
      </c>
      <c r="AH221" t="str">
        <f>IF(OR(AH$23="",ISNA($B221)),"",IF(ISBLANK($B221),"",IFERROR(_xll.BDP(TICKER,"DEEP_MEASURE_PERIOD_BROKER_VALUE","DEEP_MEASURE_ID_OVERRIDE",$C221,"DEEP_BROKER_ID_OVERRIDE",AH$24,"DEEP_PERIOD_OVERRIDE",$H$19)*1,"")))</f>
        <v/>
      </c>
      <c r="AI221" t="str">
        <f>IF(OR(AI$23="",ISNA($B221)),"",IF(ISBLANK($B221),"",IFERROR(_xll.BDP(TICKER,"DEEP_MEASURE_PERIOD_BROKER_VALUE","DEEP_MEASURE_ID_OVERRIDE",$C221,"DEEP_BROKER_ID_OVERRIDE",AI$24,"DEEP_PERIOD_OVERRIDE",$H$19)*1,"")))</f>
        <v/>
      </c>
      <c r="AJ221" t="str">
        <f>IF(OR(AJ$23="",ISNA($B221)),"",IF(ISBLANK($B221),"",IFERROR(_xll.BDP(TICKER,"DEEP_MEASURE_PERIOD_BROKER_VALUE","DEEP_MEASURE_ID_OVERRIDE",$C221,"DEEP_BROKER_ID_OVERRIDE",AJ$24,"DEEP_PERIOD_OVERRIDE",$H$19)*1,"")))</f>
        <v/>
      </c>
      <c r="AK221" t="str">
        <f>IF(OR(AK$23="",ISNA($B221)),"",IF(ISBLANK($B221),"",IFERROR(_xll.BDP(TICKER,"DEEP_MEASURE_PERIOD_BROKER_VALUE","DEEP_MEASURE_ID_OVERRIDE",$C221,"DEEP_BROKER_ID_OVERRIDE",AK$24,"DEEP_PERIOD_OVERRIDE",$H$19)*1,"")))</f>
        <v/>
      </c>
      <c r="AL221" t="str">
        <f>IF(OR(AL$23="",ISNA($B221)),"",IF(ISBLANK($B221),"",IFERROR(_xll.BDP(TICKER,"DEEP_MEASURE_PERIOD_BROKER_VALUE","DEEP_MEASURE_ID_OVERRIDE",$C221,"DEEP_BROKER_ID_OVERRIDE",AL$24,"DEEP_PERIOD_OVERRIDE",$H$19)*1,"")))</f>
        <v/>
      </c>
      <c r="AM221" t="str">
        <f>IF(OR(AM$23="",ISNA($B221)),"",IF(ISBLANK($B221),"",IFERROR(_xll.BDP(TICKER,"DEEP_MEASURE_PERIOD_BROKER_VALUE","DEEP_MEASURE_ID_OVERRIDE",$C221,"DEEP_BROKER_ID_OVERRIDE",AM$24,"DEEP_PERIOD_OVERRIDE",$H$19)*1,"")))</f>
        <v/>
      </c>
      <c r="AN221" t="str">
        <f>IF(OR(AN$23="",ISNA($B221)),"",IF(ISBLANK($B221),"",IFERROR(_xll.BDP(TICKER,"DEEP_MEASURE_PERIOD_BROKER_VALUE","DEEP_MEASURE_ID_OVERRIDE",$C221,"DEEP_BROKER_ID_OVERRIDE",AN$24,"DEEP_PERIOD_OVERRIDE",$H$19)*1,"")))</f>
        <v/>
      </c>
      <c r="AO221" t="str">
        <f>IF(OR(AO$23="",ISNA($B221)),"",IF(ISBLANK($B221),"",IFERROR(_xll.BDP(TICKER,"DEEP_MEASURE_PERIOD_BROKER_VALUE","DEEP_MEASURE_ID_OVERRIDE",$C221,"DEEP_BROKER_ID_OVERRIDE",AO$24,"DEEP_PERIOD_OVERRIDE",$H$19)*1,"")))</f>
        <v/>
      </c>
      <c r="AP221" t="str">
        <f>IF(OR(AP$23="",ISNA($B221)),"",IF(ISBLANK($B221),"",IFERROR(_xll.BDP(TICKER,"DEEP_MEASURE_PERIOD_BROKER_VALUE","DEEP_MEASURE_ID_OVERRIDE",$C221,"DEEP_BROKER_ID_OVERRIDE",AP$24,"DEEP_PERIOD_OVERRIDE",$H$19)*1,"")))</f>
        <v/>
      </c>
      <c r="AQ221" t="str">
        <f>IF(OR(AQ$23="",ISNA($B221)),"",IF(ISBLANK($B221),"",IFERROR(_xll.BDP(TICKER,"DEEP_MEASURE_PERIOD_BROKER_VALUE","DEEP_MEASURE_ID_OVERRIDE",$C221,"DEEP_BROKER_ID_OVERRIDE",AQ$24,"DEEP_PERIOD_OVERRIDE",$H$19)*1,"")))</f>
        <v/>
      </c>
      <c r="AR221" t="str">
        <f>IF(OR(AR$23="",ISNA($B221)),"",IF(ISBLANK($B221),"",IFERROR(_xll.BDP(TICKER,"DEEP_MEASURE_PERIOD_BROKER_VALUE","DEEP_MEASURE_ID_OVERRIDE",$C221,"DEEP_BROKER_ID_OVERRIDE",AR$24,"DEEP_PERIOD_OVERRIDE",$H$19)*1,"")))</f>
        <v/>
      </c>
      <c r="AS221" t="str">
        <f>IF(OR(AS$23="",ISNA($B221)),"",IF(ISBLANK($B221),"",IFERROR(_xll.BDP(TICKER,"DEEP_MEASURE_PERIOD_BROKER_VALUE","DEEP_MEASURE_ID_OVERRIDE",$C221,"DEEP_BROKER_ID_OVERRIDE",AS$24,"DEEP_PERIOD_OVERRIDE",$H$19)*1,"")))</f>
        <v/>
      </c>
      <c r="AT221" t="str">
        <f>IF(OR(AT$23="",ISNA($B221)),"",IF(ISBLANK($B221),"",IFERROR(_xll.BDP(TICKER,"DEEP_MEASURE_PERIOD_BROKER_VALUE","DEEP_MEASURE_ID_OVERRIDE",$C221,"DEEP_BROKER_ID_OVERRIDE",AT$24,"DEEP_PERIOD_OVERRIDE",$H$19)*1,"")))</f>
        <v/>
      </c>
      <c r="AU221" t="str">
        <f>IF(OR(AU$23="",ISNA($B221)),"",IF(ISBLANK($B221),"",IFERROR(_xll.BDP(TICKER,"DEEP_MEASURE_PERIOD_BROKER_VALUE","DEEP_MEASURE_ID_OVERRIDE",$C221,"DEEP_BROKER_ID_OVERRIDE",AU$24,"DEEP_PERIOD_OVERRIDE",$H$19)*1,"")))</f>
        <v/>
      </c>
      <c r="AV221" t="str">
        <f>IF(OR(AV$23="",ISNA($B221)),"",IF(ISBLANK($B221),"",IFERROR(_xll.BDP(TICKER,"DEEP_MEASURE_PERIOD_BROKER_VALUE","DEEP_MEASURE_ID_OVERRIDE",$C221,"DEEP_BROKER_ID_OVERRIDE",AV$24,"DEEP_PERIOD_OVERRIDE",$H$19)*1,"")))</f>
        <v/>
      </c>
      <c r="AW221" t="str">
        <f>IF(OR(AW$23="",ISNA($B221)),"",IF(ISBLANK($B221),"",IFERROR(_xll.BDP(TICKER,"DEEP_MEASURE_PERIOD_BROKER_VALUE","DEEP_MEASURE_ID_OVERRIDE",$C221,"DEEP_BROKER_ID_OVERRIDE",AW$24,"DEEP_PERIOD_OVERRIDE",$H$19)*1,"")))</f>
        <v/>
      </c>
      <c r="AX221" t="str">
        <f>IF(OR(AX$23="",ISNA($B221)),"",IF(ISBLANK($B221),"",IFERROR(_xll.BDP(TICKER,"DEEP_MEASURE_PERIOD_BROKER_VALUE","DEEP_MEASURE_ID_OVERRIDE",$C221,"DEEP_BROKER_ID_OVERRIDE",AX$24,"DEEP_PERIOD_OVERRIDE",$H$19)*1,"")))</f>
        <v/>
      </c>
      <c r="AY221" t="str">
        <f>IF(OR(AY$23="",ISNA($B221)),"",IF(ISBLANK($B221),"",IFERROR(_xll.BDP(TICKER,"DEEP_MEASURE_PERIOD_BROKER_VALUE","DEEP_MEASURE_ID_OVERRIDE",$C221,"DEEP_BROKER_ID_OVERRIDE",AY$24,"DEEP_PERIOD_OVERRIDE",$H$19)*1,"")))</f>
        <v/>
      </c>
      <c r="AZ221" t="str">
        <f>IF(OR(AZ$23="",ISNA($B221)),"",IF(ISBLANK($B221),"",IFERROR(_xll.BDP(TICKER,"DEEP_MEASURE_PERIOD_BROKER_VALUE","DEEP_MEASURE_ID_OVERRIDE",$C221,"DEEP_BROKER_ID_OVERRIDE",AZ$24,"DEEP_PERIOD_OVERRIDE",$H$19)*1,"")))</f>
        <v/>
      </c>
      <c r="BA221" t="str">
        <f>IF(OR(BA$23="",ISNA($B221)),"",IF(ISBLANK($B221),"",IFERROR(_xll.BDP(TICKER,"DEEP_MEASURE_PERIOD_BROKER_VALUE","DEEP_MEASURE_ID_OVERRIDE",$C221,"DEEP_BROKER_ID_OVERRIDE",BA$24,"DEEP_PERIOD_OVERRIDE",$H$19)*1,"")))</f>
        <v/>
      </c>
      <c r="BB221" t="str">
        <f>IF(OR(BB$23="",ISNA($B221)),"",IF(ISBLANK($B221),"",IFERROR(_xll.BDP(TICKER,"DEEP_MEASURE_PERIOD_BROKER_VALUE","DEEP_MEASURE_ID_OVERRIDE",$C221,"DEEP_BROKER_ID_OVERRIDE",BB$24,"DEEP_PERIOD_OVERRIDE",$H$19)*1,"")))</f>
        <v/>
      </c>
      <c r="BC221" t="str">
        <f>IF(OR(BC$23="",ISNA($B221)),"",IF(ISBLANK($B221),"",IFERROR(_xll.BDP(TICKER,"DEEP_MEASURE_PERIOD_BROKER_VALUE","DEEP_MEASURE_ID_OVERRIDE",$C221,"DEEP_BROKER_ID_OVERRIDE",BC$24,"DEEP_PERIOD_OVERRIDE",$H$19)*1,"")))</f>
        <v/>
      </c>
      <c r="BD221" t="str">
        <f>IF(OR(BD$23="",ISNA($B221)),"",IF(ISBLANK($B221),"",IFERROR(_xll.BDP(TICKER,"DEEP_MEASURE_PERIOD_BROKER_VALUE","DEEP_MEASURE_ID_OVERRIDE",$C221,"DEEP_BROKER_ID_OVERRIDE",BD$24,"DEEP_PERIOD_OVERRIDE",$H$19)*1,"")))</f>
        <v/>
      </c>
      <c r="BE221" t="str">
        <f>IF(OR(BE$23="",ISNA($B221)),"",IF(ISBLANK($B221),"",IFERROR(_xll.BDP(TICKER,"DEEP_MEASURE_PERIOD_BROKER_VALUE","DEEP_MEASURE_ID_OVERRIDE",$C221,"DEEP_BROKER_ID_OVERRIDE",BE$24,"DEEP_PERIOD_OVERRIDE",$H$19)*1,"")))</f>
        <v/>
      </c>
      <c r="BF221" t="str">
        <f>IF(OR(BF$23="",ISNA($B221)),"",IF(ISBLANK($B221),"",IFERROR(_xll.BDP(TICKER,"DEEP_MEASURE_PERIOD_BROKER_VALUE","DEEP_MEASURE_ID_OVERRIDE",$C221,"DEEP_BROKER_ID_OVERRIDE",BF$24,"DEEP_PERIOD_OVERRIDE",$H$19)*1,"")))</f>
        <v/>
      </c>
      <c r="BG221" t="str">
        <f>IF(OR(BG$23="",ISNA($B221)),"",IF(ISBLANK($B221),"",IFERROR(_xll.BDP(TICKER,"DEEP_MEASURE_PERIOD_BROKER_VALUE","DEEP_MEASURE_ID_OVERRIDE",$C221,"DEEP_BROKER_ID_OVERRIDE",BG$24,"DEEP_PERIOD_OVERRIDE",$H$19)*1,"")))</f>
        <v/>
      </c>
      <c r="BH221" t="str">
        <f>IF(OR(BH$23="",ISNA($B221)),"",IF(ISBLANK($B221),"",IFERROR(_xll.BDP(TICKER,"DEEP_MEASURE_PERIOD_BROKER_VALUE","DEEP_MEASURE_ID_OVERRIDE",$C221,"DEEP_BROKER_ID_OVERRIDE",BH$24,"DEEP_PERIOD_OVERRIDE",$H$19)*1,"")))</f>
        <v/>
      </c>
      <c r="BI221" t="str">
        <f>IF(OR(BI$23="",ISNA($B221)),"",IF(ISBLANK($B221),"",IFERROR(_xll.BDP(TICKER,"DEEP_MEASURE_PERIOD_BROKER_VALUE","DEEP_MEASURE_ID_OVERRIDE",$C221,"DEEP_BROKER_ID_OVERRIDE",BI$24,"DEEP_PERIOD_OVERRIDE",$H$19)*1,"")))</f>
        <v/>
      </c>
      <c r="BJ221" t="str">
        <f>IF(OR(BJ$23="",ISNA($B221)),"",IF(ISBLANK($B221),"",IFERROR(_xll.BDP(TICKER,"DEEP_MEASURE_PERIOD_BROKER_VALUE","DEEP_MEASURE_ID_OVERRIDE",$C221,"DEEP_BROKER_ID_OVERRIDE",BJ$24,"DEEP_PERIOD_OVERRIDE",$H$19)*1,"")))</f>
        <v/>
      </c>
      <c r="BK221" t="str">
        <f>IF(OR(BK$23="",ISNA($B221)),"",IF(ISBLANK($B221),"",IFERROR(_xll.BDP(TICKER,"DEEP_MEASURE_PERIOD_BROKER_VALUE","DEEP_MEASURE_ID_OVERRIDE",$C221,"DEEP_BROKER_ID_OVERRIDE",BK$24,"DEEP_PERIOD_OVERRIDE",$H$19)*1,"")))</f>
        <v/>
      </c>
      <c r="BL221" t="str">
        <f>IF(OR(BL$23="",ISNA($B221)),"",IF(ISBLANK($B221),"",IFERROR(_xll.BDP(TICKER,"DEEP_MEASURE_PERIOD_BROKER_VALUE","DEEP_MEASURE_ID_OVERRIDE",$C221,"DEEP_BROKER_ID_OVERRIDE",BL$24,"DEEP_PERIOD_OVERRIDE",$H$19)*1,"")))</f>
        <v/>
      </c>
      <c r="BM221" t="str">
        <f>IF(OR(BM$23="",ISNA($B221)),"",IF(ISBLANK($B221),"",IFERROR(_xll.BDP(TICKER,"DEEP_MEASURE_PERIOD_BROKER_VALUE","DEEP_MEASURE_ID_OVERRIDE",$C221,"DEEP_BROKER_ID_OVERRIDE",BM$24,"DEEP_PERIOD_OVERRIDE",$H$19)*1,"")))</f>
        <v/>
      </c>
      <c r="BN221" t="str">
        <f>IF(OR(BN$23="",ISNA($B221)),"",IF(ISBLANK($B221),"",IFERROR(_xll.BDP(TICKER,"DEEP_MEASURE_PERIOD_BROKER_VALUE","DEEP_MEASURE_ID_OVERRIDE",$C221,"DEEP_BROKER_ID_OVERRIDE",BN$24,"DEEP_PERIOD_OVERRIDE",$H$19)*1,"")))</f>
        <v/>
      </c>
      <c r="BO221" t="str">
        <f>IF(OR(BO$23="",ISNA($B221)),"",IF(ISBLANK($B221),"",IFERROR(_xll.BDP(TICKER,"DEEP_MEASURE_PERIOD_BROKER_VALUE","DEEP_MEASURE_ID_OVERRIDE",$C221,"DEEP_BROKER_ID_OVERRIDE",BO$24,"DEEP_PERIOD_OVERRIDE",$H$19)*1,"")))</f>
        <v/>
      </c>
      <c r="BP221" t="str">
        <f>IF(OR(BP$23="",ISNA($B221)),"",IF(ISBLANK($B221),"",IFERROR(_xll.BDP(TICKER,"DEEP_MEASURE_PERIOD_BROKER_VALUE","DEEP_MEASURE_ID_OVERRIDE",$C221,"DEEP_BROKER_ID_OVERRIDE",BP$24,"DEEP_PERIOD_OVERRIDE",$H$19)*1,"")))</f>
        <v/>
      </c>
      <c r="BQ221" t="str">
        <f>IF(OR(BQ$23="",ISNA($B221)),"",IF(ISBLANK($B221),"",IFERROR(_xll.BDP(TICKER,"DEEP_MEASURE_PERIOD_BROKER_VALUE","DEEP_MEASURE_ID_OVERRIDE",$C221,"DEEP_BROKER_ID_OVERRIDE",BQ$24,"DEEP_PERIOD_OVERRIDE",$H$19)*1,"")))</f>
        <v/>
      </c>
      <c r="BR221" t="str">
        <f>IF(OR(BR$23="",ISNA($B221)),"",IF(ISBLANK($B221),"",IFERROR(_xll.BDP(TICKER,"DEEP_MEASURE_PERIOD_BROKER_VALUE","DEEP_MEASURE_ID_OVERRIDE",$C221,"DEEP_BROKER_ID_OVERRIDE",BR$24,"DEEP_PERIOD_OVERRIDE",$H$19)*1,"")))</f>
        <v/>
      </c>
      <c r="BS221" t="str">
        <f>IF(OR(BS$23="",ISNA($B221)),"",IF(ISBLANK($B221),"",IFERROR(_xll.BDP(TICKER,"DEEP_MEASURE_PERIOD_BROKER_VALUE","DEEP_MEASURE_ID_OVERRIDE",$C221,"DEEP_BROKER_ID_OVERRIDE",BS$24,"DEEP_PERIOD_OVERRIDE",$H$19)*1,"")))</f>
        <v/>
      </c>
      <c r="BT221" t="str">
        <f>IF(OR(BT$23="",ISNA($B221)),"",IF(ISBLANK($B221),"",IFERROR(_xll.BDP(TICKER,"DEEP_MEASURE_PERIOD_BROKER_VALUE","DEEP_MEASURE_ID_OVERRIDE",$C221,"DEEP_BROKER_ID_OVERRIDE",BT$24,"DEEP_PERIOD_OVERRIDE",$H$19)*1,"")))</f>
        <v/>
      </c>
      <c r="BU221" t="str">
        <f>IF(OR(BU$23="",ISNA($B221)),"",IF(ISBLANK($B221),"",IFERROR(_xll.BDP(TICKER,"DEEP_MEASURE_PERIOD_BROKER_VALUE","DEEP_MEASURE_ID_OVERRIDE",$C221,"DEEP_BROKER_ID_OVERRIDE",BU$24,"DEEP_PERIOD_OVERRIDE",$H$19)*1,"")))</f>
        <v/>
      </c>
      <c r="BV221" t="str">
        <f>IF(OR(BV$23="",ISNA($B221)),"",IF(ISBLANK($B221),"",IFERROR(_xll.BDP(TICKER,"DEEP_MEASURE_PERIOD_BROKER_VALUE","DEEP_MEASURE_ID_OVERRIDE",$C221,"DEEP_BROKER_ID_OVERRIDE",BV$24,"DEEP_PERIOD_OVERRIDE",$H$19)*1,"")))</f>
        <v/>
      </c>
      <c r="BW221" t="str">
        <f>IF(OR(BW$23="",ISNA($B221)),"",IF(ISBLANK($B221),"",IFERROR(_xll.BDP(TICKER,"DEEP_MEASURE_PERIOD_BROKER_VALUE","DEEP_MEASURE_ID_OVERRIDE",$C221,"DEEP_BROKER_ID_OVERRIDE",BW$24,"DEEP_PERIOD_OVERRIDE",$H$19)*1,"")))</f>
        <v/>
      </c>
      <c r="BX221" t="str">
        <f>IF(OR(BX$23="",ISNA($B221)),"",IF(ISBLANK($B221),"",IFERROR(_xll.BDP(TICKER,"DEEP_MEASURE_PERIOD_BROKER_VALUE","DEEP_MEASURE_ID_OVERRIDE",$C221,"DEEP_BROKER_ID_OVERRIDE",BX$24,"DEEP_PERIOD_OVERRIDE",$H$19)*1,"")))</f>
        <v/>
      </c>
      <c r="BY221" t="str">
        <f>IF(OR(BY$23="",ISNA($B221)),"",IF(ISBLANK($B221),"",IFERROR(_xll.BDP(TICKER,"DEEP_MEASURE_PERIOD_BROKER_VALUE","DEEP_MEASURE_ID_OVERRIDE",$C221,"DEEP_BROKER_ID_OVERRIDE",BY$24,"DEEP_PERIOD_OVERRIDE",$H$19)*1,"")))</f>
        <v/>
      </c>
      <c r="BZ221" t="str">
        <f>IF(OR(BZ$23="",ISNA($B221)),"",IF(ISBLANK($B221),"",IFERROR(_xll.BDP(TICKER,"DEEP_MEASURE_PERIOD_BROKER_VALUE","DEEP_MEASURE_ID_OVERRIDE",$C221,"DEEP_BROKER_ID_OVERRIDE",BZ$24,"DEEP_PERIOD_OVERRIDE",$H$19)*1,"")))</f>
        <v/>
      </c>
    </row>
    <row r="222" spans="2:78" x14ac:dyDescent="0.25">
      <c r="B222" t="s">
        <v>76</v>
      </c>
      <c r="C222">
        <v>5890</v>
      </c>
      <c r="H222" t="str">
        <f t="shared" si="4"/>
        <v>Free Cash Flow to Firm</v>
      </c>
      <c r="I222" t="str">
        <f>IF(OR(I$23="",ISNA($B222)),"",IF(ISBLANK($B222),"",IFERROR(_xll.BDP(TICKER,"DEEP_MEASURE_PERIOD_BROKER_VALUE","DEEP_MEASURE_ID_OVERRIDE",$C222,"DEEP_PERIOD_OVERRIDE",$H$19)*1,"")))</f>
        <v/>
      </c>
      <c r="J222" t="e">
        <f>IF(OR(J$23="",ISNA($B222)),"",IF(ISBLANK($B222),"",IFERROR(_xll.BDP(TICKER,"DEEP_MEASURE_PERIOD_BROKER_VALUE","DEEP_MEASURE_ID_OVERRIDE",$C222,"DEEP_BROKER_ID_OVERRIDE",J$24,"DEEP_PERIOD_OVERRIDE",$H$19)*1,"")))</f>
        <v>#REF!</v>
      </c>
      <c r="K222" t="str">
        <f>IF(OR(K$23="",ISNA($B222)),"",IF(ISBLANK($B222),"",IFERROR(_xll.BDP(TICKER,"DEEP_MEASURE_PERIOD_BROKER_VALUE","DEEP_MEASURE_ID_OVERRIDE",$C222,"DEEP_BROKER_ID_OVERRIDE",K$24,"DEEP_PERIOD_OVERRIDE",$H$19)*1,"")))</f>
        <v/>
      </c>
      <c r="L222" t="str">
        <f>IF(OR(L$23="",ISNA($B222)),"",IF(ISBLANK($B222),"",IFERROR(_xll.BDP(TICKER,"DEEP_MEASURE_PERIOD_BROKER_VALUE","DEEP_MEASURE_ID_OVERRIDE",$C222,"DEEP_BROKER_ID_OVERRIDE",L$24,"DEEP_PERIOD_OVERRIDE",$H$19)*1,"")))</f>
        <v/>
      </c>
      <c r="M222" t="str">
        <f>IF(OR(M$23="",ISNA($B222)),"",IF(ISBLANK($B222),"",IFERROR(_xll.BDP(TICKER,"DEEP_MEASURE_PERIOD_BROKER_VALUE","DEEP_MEASURE_ID_OVERRIDE",$C222,"DEEP_BROKER_ID_OVERRIDE",M$24,"DEEP_PERIOD_OVERRIDE",$H$19)*1,"")))</f>
        <v/>
      </c>
      <c r="N222" t="str">
        <f>IF(OR(N$23="",ISNA($B222)),"",IF(ISBLANK($B222),"",IFERROR(_xll.BDP(TICKER,"DEEP_MEASURE_PERIOD_BROKER_VALUE","DEEP_MEASURE_ID_OVERRIDE",$C222,"DEEP_BROKER_ID_OVERRIDE",N$24,"DEEP_PERIOD_OVERRIDE",$H$19)*1,"")))</f>
        <v/>
      </c>
      <c r="O222" t="str">
        <f>IF(OR(O$23="",ISNA($B222)),"",IF(ISBLANK($B222),"",IFERROR(_xll.BDP(TICKER,"DEEP_MEASURE_PERIOD_BROKER_VALUE","DEEP_MEASURE_ID_OVERRIDE",$C222,"DEEP_BROKER_ID_OVERRIDE",O$24,"DEEP_PERIOD_OVERRIDE",$H$19)*1,"")))</f>
        <v/>
      </c>
      <c r="P222" t="str">
        <f>IF(OR(P$23="",ISNA($B222)),"",IF(ISBLANK($B222),"",IFERROR(_xll.BDP(TICKER,"DEEP_MEASURE_PERIOD_BROKER_VALUE","DEEP_MEASURE_ID_OVERRIDE",$C222,"DEEP_BROKER_ID_OVERRIDE",P$24,"DEEP_PERIOD_OVERRIDE",$H$19)*1,"")))</f>
        <v/>
      </c>
      <c r="Q222" t="str">
        <f>IF(OR(Q$23="",ISNA($B222)),"",IF(ISBLANK($B222),"",IFERROR(_xll.BDP(TICKER,"DEEP_MEASURE_PERIOD_BROKER_VALUE","DEEP_MEASURE_ID_OVERRIDE",$C222,"DEEP_BROKER_ID_OVERRIDE",Q$24,"DEEP_PERIOD_OVERRIDE",$H$19)*1,"")))</f>
        <v/>
      </c>
      <c r="R222" t="str">
        <f>IF(OR(R$23="",ISNA($B222)),"",IF(ISBLANK($B222),"",IFERROR(_xll.BDP(TICKER,"DEEP_MEASURE_PERIOD_BROKER_VALUE","DEEP_MEASURE_ID_OVERRIDE",$C222,"DEEP_BROKER_ID_OVERRIDE",R$24,"DEEP_PERIOD_OVERRIDE",$H$19)*1,"")))</f>
        <v/>
      </c>
      <c r="S222" t="str">
        <f>IF(OR(S$23="",ISNA($B222)),"",IF(ISBLANK($B222),"",IFERROR(_xll.BDP(TICKER,"DEEP_MEASURE_PERIOD_BROKER_VALUE","DEEP_MEASURE_ID_OVERRIDE",$C222,"DEEP_BROKER_ID_OVERRIDE",S$24,"DEEP_PERIOD_OVERRIDE",$H$19)*1,"")))</f>
        <v/>
      </c>
      <c r="T222" t="str">
        <f>IF(OR(T$23="",ISNA($B222)),"",IF(ISBLANK($B222),"",IFERROR(_xll.BDP(TICKER,"DEEP_MEASURE_PERIOD_BROKER_VALUE","DEEP_MEASURE_ID_OVERRIDE",$C222,"DEEP_BROKER_ID_OVERRIDE",T$24,"DEEP_PERIOD_OVERRIDE",$H$19)*1,"")))</f>
        <v/>
      </c>
      <c r="U222" t="str">
        <f>IF(OR(U$23="",ISNA($B222)),"",IF(ISBLANK($B222),"",IFERROR(_xll.BDP(TICKER,"DEEP_MEASURE_PERIOD_BROKER_VALUE","DEEP_MEASURE_ID_OVERRIDE",$C222,"DEEP_BROKER_ID_OVERRIDE",U$24,"DEEP_PERIOD_OVERRIDE",$H$19)*1,"")))</f>
        <v/>
      </c>
      <c r="V222" t="str">
        <f>IF(OR(V$23="",ISNA($B222)),"",IF(ISBLANK($B222),"",IFERROR(_xll.BDP(TICKER,"DEEP_MEASURE_PERIOD_BROKER_VALUE","DEEP_MEASURE_ID_OVERRIDE",$C222,"DEEP_BROKER_ID_OVERRIDE",V$24,"DEEP_PERIOD_OVERRIDE",$H$19)*1,"")))</f>
        <v/>
      </c>
      <c r="W222" t="str">
        <f>IF(OR(W$23="",ISNA($B222)),"",IF(ISBLANK($B222),"",IFERROR(_xll.BDP(TICKER,"DEEP_MEASURE_PERIOD_BROKER_VALUE","DEEP_MEASURE_ID_OVERRIDE",$C222,"DEEP_BROKER_ID_OVERRIDE",W$24,"DEEP_PERIOD_OVERRIDE",$H$19)*1,"")))</f>
        <v/>
      </c>
      <c r="X222" t="str">
        <f>IF(OR(X$23="",ISNA($B222)),"",IF(ISBLANK($B222),"",IFERROR(_xll.BDP(TICKER,"DEEP_MEASURE_PERIOD_BROKER_VALUE","DEEP_MEASURE_ID_OVERRIDE",$C222,"DEEP_BROKER_ID_OVERRIDE",X$24,"DEEP_PERIOD_OVERRIDE",$H$19)*1,"")))</f>
        <v/>
      </c>
      <c r="Y222" t="str">
        <f>IF(OR(Y$23="",ISNA($B222)),"",IF(ISBLANK($B222),"",IFERROR(_xll.BDP(TICKER,"DEEP_MEASURE_PERIOD_BROKER_VALUE","DEEP_MEASURE_ID_OVERRIDE",$C222,"DEEP_BROKER_ID_OVERRIDE",Y$24,"DEEP_PERIOD_OVERRIDE",$H$19)*1,"")))</f>
        <v/>
      </c>
      <c r="Z222" t="str">
        <f>IF(OR(Z$23="",ISNA($B222)),"",IF(ISBLANK($B222),"",IFERROR(_xll.BDP(TICKER,"DEEP_MEASURE_PERIOD_BROKER_VALUE","DEEP_MEASURE_ID_OVERRIDE",$C222,"DEEP_BROKER_ID_OVERRIDE",Z$24,"DEEP_PERIOD_OVERRIDE",$H$19)*1,"")))</f>
        <v/>
      </c>
      <c r="AA222" t="str">
        <f>IF(OR(AA$23="",ISNA($B222)),"",IF(ISBLANK($B222),"",IFERROR(_xll.BDP(TICKER,"DEEP_MEASURE_PERIOD_BROKER_VALUE","DEEP_MEASURE_ID_OVERRIDE",$C222,"DEEP_BROKER_ID_OVERRIDE",AA$24,"DEEP_PERIOD_OVERRIDE",$H$19)*1,"")))</f>
        <v/>
      </c>
      <c r="AB222" t="str">
        <f>IF(OR(AB$23="",ISNA($B222)),"",IF(ISBLANK($B222),"",IFERROR(_xll.BDP(TICKER,"DEEP_MEASURE_PERIOD_BROKER_VALUE","DEEP_MEASURE_ID_OVERRIDE",$C222,"DEEP_BROKER_ID_OVERRIDE",AB$24,"DEEP_PERIOD_OVERRIDE",$H$19)*1,"")))</f>
        <v/>
      </c>
      <c r="AC222" t="str">
        <f>IF(OR(AC$23="",ISNA($B222)),"",IF(ISBLANK($B222),"",IFERROR(_xll.BDP(TICKER,"DEEP_MEASURE_PERIOD_BROKER_VALUE","DEEP_MEASURE_ID_OVERRIDE",$C222,"DEEP_BROKER_ID_OVERRIDE",AC$24,"DEEP_PERIOD_OVERRIDE",$H$19)*1,"")))</f>
        <v/>
      </c>
      <c r="AD222" t="str">
        <f>IF(OR(AD$23="",ISNA($B222)),"",IF(ISBLANK($B222),"",IFERROR(_xll.BDP(TICKER,"DEEP_MEASURE_PERIOD_BROKER_VALUE","DEEP_MEASURE_ID_OVERRIDE",$C222,"DEEP_BROKER_ID_OVERRIDE",AD$24,"DEEP_PERIOD_OVERRIDE",$H$19)*1,"")))</f>
        <v/>
      </c>
      <c r="AE222" t="str">
        <f>IF(OR(AE$23="",ISNA($B222)),"",IF(ISBLANK($B222),"",IFERROR(_xll.BDP(TICKER,"DEEP_MEASURE_PERIOD_BROKER_VALUE","DEEP_MEASURE_ID_OVERRIDE",$C222,"DEEP_BROKER_ID_OVERRIDE",AE$24,"DEEP_PERIOD_OVERRIDE",$H$19)*1,"")))</f>
        <v/>
      </c>
      <c r="AF222" t="str">
        <f>IF(OR(AF$23="",ISNA($B222)),"",IF(ISBLANK($B222),"",IFERROR(_xll.BDP(TICKER,"DEEP_MEASURE_PERIOD_BROKER_VALUE","DEEP_MEASURE_ID_OVERRIDE",$C222,"DEEP_BROKER_ID_OVERRIDE",AF$24,"DEEP_PERIOD_OVERRIDE",$H$19)*1,"")))</f>
        <v/>
      </c>
      <c r="AG222" t="str">
        <f>IF(OR(AG$23="",ISNA($B222)),"",IF(ISBLANK($B222),"",IFERROR(_xll.BDP(TICKER,"DEEP_MEASURE_PERIOD_BROKER_VALUE","DEEP_MEASURE_ID_OVERRIDE",$C222,"DEEP_BROKER_ID_OVERRIDE",AG$24,"DEEP_PERIOD_OVERRIDE",$H$19)*1,"")))</f>
        <v/>
      </c>
      <c r="AH222" t="str">
        <f>IF(OR(AH$23="",ISNA($B222)),"",IF(ISBLANK($B222),"",IFERROR(_xll.BDP(TICKER,"DEEP_MEASURE_PERIOD_BROKER_VALUE","DEEP_MEASURE_ID_OVERRIDE",$C222,"DEEP_BROKER_ID_OVERRIDE",AH$24,"DEEP_PERIOD_OVERRIDE",$H$19)*1,"")))</f>
        <v/>
      </c>
      <c r="AI222" t="str">
        <f>IF(OR(AI$23="",ISNA($B222)),"",IF(ISBLANK($B222),"",IFERROR(_xll.BDP(TICKER,"DEEP_MEASURE_PERIOD_BROKER_VALUE","DEEP_MEASURE_ID_OVERRIDE",$C222,"DEEP_BROKER_ID_OVERRIDE",AI$24,"DEEP_PERIOD_OVERRIDE",$H$19)*1,"")))</f>
        <v/>
      </c>
      <c r="AJ222" t="str">
        <f>IF(OR(AJ$23="",ISNA($B222)),"",IF(ISBLANK($B222),"",IFERROR(_xll.BDP(TICKER,"DEEP_MEASURE_PERIOD_BROKER_VALUE","DEEP_MEASURE_ID_OVERRIDE",$C222,"DEEP_BROKER_ID_OVERRIDE",AJ$24,"DEEP_PERIOD_OVERRIDE",$H$19)*1,"")))</f>
        <v/>
      </c>
      <c r="AK222" t="str">
        <f>IF(OR(AK$23="",ISNA($B222)),"",IF(ISBLANK($B222),"",IFERROR(_xll.BDP(TICKER,"DEEP_MEASURE_PERIOD_BROKER_VALUE","DEEP_MEASURE_ID_OVERRIDE",$C222,"DEEP_BROKER_ID_OVERRIDE",AK$24,"DEEP_PERIOD_OVERRIDE",$H$19)*1,"")))</f>
        <v/>
      </c>
      <c r="AL222" t="str">
        <f>IF(OR(AL$23="",ISNA($B222)),"",IF(ISBLANK($B222),"",IFERROR(_xll.BDP(TICKER,"DEEP_MEASURE_PERIOD_BROKER_VALUE","DEEP_MEASURE_ID_OVERRIDE",$C222,"DEEP_BROKER_ID_OVERRIDE",AL$24,"DEEP_PERIOD_OVERRIDE",$H$19)*1,"")))</f>
        <v/>
      </c>
      <c r="AM222" t="str">
        <f>IF(OR(AM$23="",ISNA($B222)),"",IF(ISBLANK($B222),"",IFERROR(_xll.BDP(TICKER,"DEEP_MEASURE_PERIOD_BROKER_VALUE","DEEP_MEASURE_ID_OVERRIDE",$C222,"DEEP_BROKER_ID_OVERRIDE",AM$24,"DEEP_PERIOD_OVERRIDE",$H$19)*1,"")))</f>
        <v/>
      </c>
      <c r="AN222" t="str">
        <f>IF(OR(AN$23="",ISNA($B222)),"",IF(ISBLANK($B222),"",IFERROR(_xll.BDP(TICKER,"DEEP_MEASURE_PERIOD_BROKER_VALUE","DEEP_MEASURE_ID_OVERRIDE",$C222,"DEEP_BROKER_ID_OVERRIDE",AN$24,"DEEP_PERIOD_OVERRIDE",$H$19)*1,"")))</f>
        <v/>
      </c>
      <c r="AO222" t="str">
        <f>IF(OR(AO$23="",ISNA($B222)),"",IF(ISBLANK($B222),"",IFERROR(_xll.BDP(TICKER,"DEEP_MEASURE_PERIOD_BROKER_VALUE","DEEP_MEASURE_ID_OVERRIDE",$C222,"DEEP_BROKER_ID_OVERRIDE",AO$24,"DEEP_PERIOD_OVERRIDE",$H$19)*1,"")))</f>
        <v/>
      </c>
      <c r="AP222" t="str">
        <f>IF(OR(AP$23="",ISNA($B222)),"",IF(ISBLANK($B222),"",IFERROR(_xll.BDP(TICKER,"DEEP_MEASURE_PERIOD_BROKER_VALUE","DEEP_MEASURE_ID_OVERRIDE",$C222,"DEEP_BROKER_ID_OVERRIDE",AP$24,"DEEP_PERIOD_OVERRIDE",$H$19)*1,"")))</f>
        <v/>
      </c>
      <c r="AQ222" t="str">
        <f>IF(OR(AQ$23="",ISNA($B222)),"",IF(ISBLANK($B222),"",IFERROR(_xll.BDP(TICKER,"DEEP_MEASURE_PERIOD_BROKER_VALUE","DEEP_MEASURE_ID_OVERRIDE",$C222,"DEEP_BROKER_ID_OVERRIDE",AQ$24,"DEEP_PERIOD_OVERRIDE",$H$19)*1,"")))</f>
        <v/>
      </c>
      <c r="AR222" t="str">
        <f>IF(OR(AR$23="",ISNA($B222)),"",IF(ISBLANK($B222),"",IFERROR(_xll.BDP(TICKER,"DEEP_MEASURE_PERIOD_BROKER_VALUE","DEEP_MEASURE_ID_OVERRIDE",$C222,"DEEP_BROKER_ID_OVERRIDE",AR$24,"DEEP_PERIOD_OVERRIDE",$H$19)*1,"")))</f>
        <v/>
      </c>
      <c r="AS222" t="str">
        <f>IF(OR(AS$23="",ISNA($B222)),"",IF(ISBLANK($B222),"",IFERROR(_xll.BDP(TICKER,"DEEP_MEASURE_PERIOD_BROKER_VALUE","DEEP_MEASURE_ID_OVERRIDE",$C222,"DEEP_BROKER_ID_OVERRIDE",AS$24,"DEEP_PERIOD_OVERRIDE",$H$19)*1,"")))</f>
        <v/>
      </c>
      <c r="AT222" t="str">
        <f>IF(OR(AT$23="",ISNA($B222)),"",IF(ISBLANK($B222),"",IFERROR(_xll.BDP(TICKER,"DEEP_MEASURE_PERIOD_BROKER_VALUE","DEEP_MEASURE_ID_OVERRIDE",$C222,"DEEP_BROKER_ID_OVERRIDE",AT$24,"DEEP_PERIOD_OVERRIDE",$H$19)*1,"")))</f>
        <v/>
      </c>
      <c r="AU222" t="str">
        <f>IF(OR(AU$23="",ISNA($B222)),"",IF(ISBLANK($B222),"",IFERROR(_xll.BDP(TICKER,"DEEP_MEASURE_PERIOD_BROKER_VALUE","DEEP_MEASURE_ID_OVERRIDE",$C222,"DEEP_BROKER_ID_OVERRIDE",AU$24,"DEEP_PERIOD_OVERRIDE",$H$19)*1,"")))</f>
        <v/>
      </c>
      <c r="AV222" t="str">
        <f>IF(OR(AV$23="",ISNA($B222)),"",IF(ISBLANK($B222),"",IFERROR(_xll.BDP(TICKER,"DEEP_MEASURE_PERIOD_BROKER_VALUE","DEEP_MEASURE_ID_OVERRIDE",$C222,"DEEP_BROKER_ID_OVERRIDE",AV$24,"DEEP_PERIOD_OVERRIDE",$H$19)*1,"")))</f>
        <v/>
      </c>
      <c r="AW222" t="str">
        <f>IF(OR(AW$23="",ISNA($B222)),"",IF(ISBLANK($B222),"",IFERROR(_xll.BDP(TICKER,"DEEP_MEASURE_PERIOD_BROKER_VALUE","DEEP_MEASURE_ID_OVERRIDE",$C222,"DEEP_BROKER_ID_OVERRIDE",AW$24,"DEEP_PERIOD_OVERRIDE",$H$19)*1,"")))</f>
        <v/>
      </c>
      <c r="AX222" t="str">
        <f>IF(OR(AX$23="",ISNA($B222)),"",IF(ISBLANK($B222),"",IFERROR(_xll.BDP(TICKER,"DEEP_MEASURE_PERIOD_BROKER_VALUE","DEEP_MEASURE_ID_OVERRIDE",$C222,"DEEP_BROKER_ID_OVERRIDE",AX$24,"DEEP_PERIOD_OVERRIDE",$H$19)*1,"")))</f>
        <v/>
      </c>
      <c r="AY222" t="str">
        <f>IF(OR(AY$23="",ISNA($B222)),"",IF(ISBLANK($B222),"",IFERROR(_xll.BDP(TICKER,"DEEP_MEASURE_PERIOD_BROKER_VALUE","DEEP_MEASURE_ID_OVERRIDE",$C222,"DEEP_BROKER_ID_OVERRIDE",AY$24,"DEEP_PERIOD_OVERRIDE",$H$19)*1,"")))</f>
        <v/>
      </c>
      <c r="AZ222" t="str">
        <f>IF(OR(AZ$23="",ISNA($B222)),"",IF(ISBLANK($B222),"",IFERROR(_xll.BDP(TICKER,"DEEP_MEASURE_PERIOD_BROKER_VALUE","DEEP_MEASURE_ID_OVERRIDE",$C222,"DEEP_BROKER_ID_OVERRIDE",AZ$24,"DEEP_PERIOD_OVERRIDE",$H$19)*1,"")))</f>
        <v/>
      </c>
      <c r="BA222" t="str">
        <f>IF(OR(BA$23="",ISNA($B222)),"",IF(ISBLANK($B222),"",IFERROR(_xll.BDP(TICKER,"DEEP_MEASURE_PERIOD_BROKER_VALUE","DEEP_MEASURE_ID_OVERRIDE",$C222,"DEEP_BROKER_ID_OVERRIDE",BA$24,"DEEP_PERIOD_OVERRIDE",$H$19)*1,"")))</f>
        <v/>
      </c>
      <c r="BB222" t="str">
        <f>IF(OR(BB$23="",ISNA($B222)),"",IF(ISBLANK($B222),"",IFERROR(_xll.BDP(TICKER,"DEEP_MEASURE_PERIOD_BROKER_VALUE","DEEP_MEASURE_ID_OVERRIDE",$C222,"DEEP_BROKER_ID_OVERRIDE",BB$24,"DEEP_PERIOD_OVERRIDE",$H$19)*1,"")))</f>
        <v/>
      </c>
      <c r="BC222" t="str">
        <f>IF(OR(BC$23="",ISNA($B222)),"",IF(ISBLANK($B222),"",IFERROR(_xll.BDP(TICKER,"DEEP_MEASURE_PERIOD_BROKER_VALUE","DEEP_MEASURE_ID_OVERRIDE",$C222,"DEEP_BROKER_ID_OVERRIDE",BC$24,"DEEP_PERIOD_OVERRIDE",$H$19)*1,"")))</f>
        <v/>
      </c>
      <c r="BD222" t="str">
        <f>IF(OR(BD$23="",ISNA($B222)),"",IF(ISBLANK($B222),"",IFERROR(_xll.BDP(TICKER,"DEEP_MEASURE_PERIOD_BROKER_VALUE","DEEP_MEASURE_ID_OVERRIDE",$C222,"DEEP_BROKER_ID_OVERRIDE",BD$24,"DEEP_PERIOD_OVERRIDE",$H$19)*1,"")))</f>
        <v/>
      </c>
      <c r="BE222" t="str">
        <f>IF(OR(BE$23="",ISNA($B222)),"",IF(ISBLANK($B222),"",IFERROR(_xll.BDP(TICKER,"DEEP_MEASURE_PERIOD_BROKER_VALUE","DEEP_MEASURE_ID_OVERRIDE",$C222,"DEEP_BROKER_ID_OVERRIDE",BE$24,"DEEP_PERIOD_OVERRIDE",$H$19)*1,"")))</f>
        <v/>
      </c>
      <c r="BF222" t="str">
        <f>IF(OR(BF$23="",ISNA($B222)),"",IF(ISBLANK($B222),"",IFERROR(_xll.BDP(TICKER,"DEEP_MEASURE_PERIOD_BROKER_VALUE","DEEP_MEASURE_ID_OVERRIDE",$C222,"DEEP_BROKER_ID_OVERRIDE",BF$24,"DEEP_PERIOD_OVERRIDE",$H$19)*1,"")))</f>
        <v/>
      </c>
      <c r="BG222" t="str">
        <f>IF(OR(BG$23="",ISNA($B222)),"",IF(ISBLANK($B222),"",IFERROR(_xll.BDP(TICKER,"DEEP_MEASURE_PERIOD_BROKER_VALUE","DEEP_MEASURE_ID_OVERRIDE",$C222,"DEEP_BROKER_ID_OVERRIDE",BG$24,"DEEP_PERIOD_OVERRIDE",$H$19)*1,"")))</f>
        <v/>
      </c>
      <c r="BH222" t="str">
        <f>IF(OR(BH$23="",ISNA($B222)),"",IF(ISBLANK($B222),"",IFERROR(_xll.BDP(TICKER,"DEEP_MEASURE_PERIOD_BROKER_VALUE","DEEP_MEASURE_ID_OVERRIDE",$C222,"DEEP_BROKER_ID_OVERRIDE",BH$24,"DEEP_PERIOD_OVERRIDE",$H$19)*1,"")))</f>
        <v/>
      </c>
      <c r="BI222" t="str">
        <f>IF(OR(BI$23="",ISNA($B222)),"",IF(ISBLANK($B222),"",IFERROR(_xll.BDP(TICKER,"DEEP_MEASURE_PERIOD_BROKER_VALUE","DEEP_MEASURE_ID_OVERRIDE",$C222,"DEEP_BROKER_ID_OVERRIDE",BI$24,"DEEP_PERIOD_OVERRIDE",$H$19)*1,"")))</f>
        <v/>
      </c>
      <c r="BJ222" t="str">
        <f>IF(OR(BJ$23="",ISNA($B222)),"",IF(ISBLANK($B222),"",IFERROR(_xll.BDP(TICKER,"DEEP_MEASURE_PERIOD_BROKER_VALUE","DEEP_MEASURE_ID_OVERRIDE",$C222,"DEEP_BROKER_ID_OVERRIDE",BJ$24,"DEEP_PERIOD_OVERRIDE",$H$19)*1,"")))</f>
        <v/>
      </c>
      <c r="BK222" t="str">
        <f>IF(OR(BK$23="",ISNA($B222)),"",IF(ISBLANK($B222),"",IFERROR(_xll.BDP(TICKER,"DEEP_MEASURE_PERIOD_BROKER_VALUE","DEEP_MEASURE_ID_OVERRIDE",$C222,"DEEP_BROKER_ID_OVERRIDE",BK$24,"DEEP_PERIOD_OVERRIDE",$H$19)*1,"")))</f>
        <v/>
      </c>
      <c r="BL222" t="str">
        <f>IF(OR(BL$23="",ISNA($B222)),"",IF(ISBLANK($B222),"",IFERROR(_xll.BDP(TICKER,"DEEP_MEASURE_PERIOD_BROKER_VALUE","DEEP_MEASURE_ID_OVERRIDE",$C222,"DEEP_BROKER_ID_OVERRIDE",BL$24,"DEEP_PERIOD_OVERRIDE",$H$19)*1,"")))</f>
        <v/>
      </c>
      <c r="BM222" t="str">
        <f>IF(OR(BM$23="",ISNA($B222)),"",IF(ISBLANK($B222),"",IFERROR(_xll.BDP(TICKER,"DEEP_MEASURE_PERIOD_BROKER_VALUE","DEEP_MEASURE_ID_OVERRIDE",$C222,"DEEP_BROKER_ID_OVERRIDE",BM$24,"DEEP_PERIOD_OVERRIDE",$H$19)*1,"")))</f>
        <v/>
      </c>
      <c r="BN222" t="str">
        <f>IF(OR(BN$23="",ISNA($B222)),"",IF(ISBLANK($B222),"",IFERROR(_xll.BDP(TICKER,"DEEP_MEASURE_PERIOD_BROKER_VALUE","DEEP_MEASURE_ID_OVERRIDE",$C222,"DEEP_BROKER_ID_OVERRIDE",BN$24,"DEEP_PERIOD_OVERRIDE",$H$19)*1,"")))</f>
        <v/>
      </c>
      <c r="BO222" t="str">
        <f>IF(OR(BO$23="",ISNA($B222)),"",IF(ISBLANK($B222),"",IFERROR(_xll.BDP(TICKER,"DEEP_MEASURE_PERIOD_BROKER_VALUE","DEEP_MEASURE_ID_OVERRIDE",$C222,"DEEP_BROKER_ID_OVERRIDE",BO$24,"DEEP_PERIOD_OVERRIDE",$H$19)*1,"")))</f>
        <v/>
      </c>
      <c r="BP222" t="str">
        <f>IF(OR(BP$23="",ISNA($B222)),"",IF(ISBLANK($B222),"",IFERROR(_xll.BDP(TICKER,"DEEP_MEASURE_PERIOD_BROKER_VALUE","DEEP_MEASURE_ID_OVERRIDE",$C222,"DEEP_BROKER_ID_OVERRIDE",BP$24,"DEEP_PERIOD_OVERRIDE",$H$19)*1,"")))</f>
        <v/>
      </c>
      <c r="BQ222" t="str">
        <f>IF(OR(BQ$23="",ISNA($B222)),"",IF(ISBLANK($B222),"",IFERROR(_xll.BDP(TICKER,"DEEP_MEASURE_PERIOD_BROKER_VALUE","DEEP_MEASURE_ID_OVERRIDE",$C222,"DEEP_BROKER_ID_OVERRIDE",BQ$24,"DEEP_PERIOD_OVERRIDE",$H$19)*1,"")))</f>
        <v/>
      </c>
      <c r="BR222" t="str">
        <f>IF(OR(BR$23="",ISNA($B222)),"",IF(ISBLANK($B222),"",IFERROR(_xll.BDP(TICKER,"DEEP_MEASURE_PERIOD_BROKER_VALUE","DEEP_MEASURE_ID_OVERRIDE",$C222,"DEEP_BROKER_ID_OVERRIDE",BR$24,"DEEP_PERIOD_OVERRIDE",$H$19)*1,"")))</f>
        <v/>
      </c>
      <c r="BS222" t="str">
        <f>IF(OR(BS$23="",ISNA($B222)),"",IF(ISBLANK($B222),"",IFERROR(_xll.BDP(TICKER,"DEEP_MEASURE_PERIOD_BROKER_VALUE","DEEP_MEASURE_ID_OVERRIDE",$C222,"DEEP_BROKER_ID_OVERRIDE",BS$24,"DEEP_PERIOD_OVERRIDE",$H$19)*1,"")))</f>
        <v/>
      </c>
      <c r="BT222" t="str">
        <f>IF(OR(BT$23="",ISNA($B222)),"",IF(ISBLANK($B222),"",IFERROR(_xll.BDP(TICKER,"DEEP_MEASURE_PERIOD_BROKER_VALUE","DEEP_MEASURE_ID_OVERRIDE",$C222,"DEEP_BROKER_ID_OVERRIDE",BT$24,"DEEP_PERIOD_OVERRIDE",$H$19)*1,"")))</f>
        <v/>
      </c>
      <c r="BU222" t="str">
        <f>IF(OR(BU$23="",ISNA($B222)),"",IF(ISBLANK($B222),"",IFERROR(_xll.BDP(TICKER,"DEEP_MEASURE_PERIOD_BROKER_VALUE","DEEP_MEASURE_ID_OVERRIDE",$C222,"DEEP_BROKER_ID_OVERRIDE",BU$24,"DEEP_PERIOD_OVERRIDE",$H$19)*1,"")))</f>
        <v/>
      </c>
      <c r="BV222" t="str">
        <f>IF(OR(BV$23="",ISNA($B222)),"",IF(ISBLANK($B222),"",IFERROR(_xll.BDP(TICKER,"DEEP_MEASURE_PERIOD_BROKER_VALUE","DEEP_MEASURE_ID_OVERRIDE",$C222,"DEEP_BROKER_ID_OVERRIDE",BV$24,"DEEP_PERIOD_OVERRIDE",$H$19)*1,"")))</f>
        <v/>
      </c>
      <c r="BW222" t="str">
        <f>IF(OR(BW$23="",ISNA($B222)),"",IF(ISBLANK($B222),"",IFERROR(_xll.BDP(TICKER,"DEEP_MEASURE_PERIOD_BROKER_VALUE","DEEP_MEASURE_ID_OVERRIDE",$C222,"DEEP_BROKER_ID_OVERRIDE",BW$24,"DEEP_PERIOD_OVERRIDE",$H$19)*1,"")))</f>
        <v/>
      </c>
      <c r="BX222" t="str">
        <f>IF(OR(BX$23="",ISNA($B222)),"",IF(ISBLANK($B222),"",IFERROR(_xll.BDP(TICKER,"DEEP_MEASURE_PERIOD_BROKER_VALUE","DEEP_MEASURE_ID_OVERRIDE",$C222,"DEEP_BROKER_ID_OVERRIDE",BX$24,"DEEP_PERIOD_OVERRIDE",$H$19)*1,"")))</f>
        <v/>
      </c>
      <c r="BY222" t="str">
        <f>IF(OR(BY$23="",ISNA($B222)),"",IF(ISBLANK($B222),"",IFERROR(_xll.BDP(TICKER,"DEEP_MEASURE_PERIOD_BROKER_VALUE","DEEP_MEASURE_ID_OVERRIDE",$C222,"DEEP_BROKER_ID_OVERRIDE",BY$24,"DEEP_PERIOD_OVERRIDE",$H$19)*1,"")))</f>
        <v/>
      </c>
      <c r="BZ222" t="str">
        <f>IF(OR(BZ$23="",ISNA($B222)),"",IF(ISBLANK($B222),"",IFERROR(_xll.BDP(TICKER,"DEEP_MEASURE_PERIOD_BROKER_VALUE","DEEP_MEASURE_ID_OVERRIDE",$C222,"DEEP_BROKER_ID_OVERRIDE",BZ$24,"DEEP_PERIOD_OVERRIDE",$H$19)*1,"")))</f>
        <v/>
      </c>
    </row>
    <row r="223" spans="2:78" x14ac:dyDescent="0.25">
      <c r="H223" t="str">
        <f t="shared" si="4"/>
        <v/>
      </c>
      <c r="I223" t="str">
        <f>IF(OR(I$23="",ISNA($B223)),"",IF(ISBLANK($B223),"",IFERROR(_xll.BDP(TICKER,"DEEP_MEASURE_PERIOD_BROKER_VALUE","DEEP_MEASURE_ID_OVERRIDE",$C223,"DEEP_PERIOD_OVERRIDE",$H$19)*1,"")))</f>
        <v/>
      </c>
      <c r="J223" t="e">
        <f>IF(OR(J$23="",ISNA($B223)),"",IF(ISBLANK($B223),"",IFERROR(_xll.BDP(TICKER,"DEEP_MEASURE_PERIOD_BROKER_VALUE","DEEP_MEASURE_ID_OVERRIDE",$C223,"DEEP_BROKER_ID_OVERRIDE",J$24,"DEEP_PERIOD_OVERRIDE",$H$19)*1,"")))</f>
        <v>#REF!</v>
      </c>
      <c r="K223" t="str">
        <f>IF(OR(K$23="",ISNA($B223)),"",IF(ISBLANK($B223),"",IFERROR(_xll.BDP(TICKER,"DEEP_MEASURE_PERIOD_BROKER_VALUE","DEEP_MEASURE_ID_OVERRIDE",$C223,"DEEP_BROKER_ID_OVERRIDE",K$24,"DEEP_PERIOD_OVERRIDE",$H$19)*1,"")))</f>
        <v/>
      </c>
      <c r="L223" t="str">
        <f>IF(OR(L$23="",ISNA($B223)),"",IF(ISBLANK($B223),"",IFERROR(_xll.BDP(TICKER,"DEEP_MEASURE_PERIOD_BROKER_VALUE","DEEP_MEASURE_ID_OVERRIDE",$C223,"DEEP_BROKER_ID_OVERRIDE",L$24,"DEEP_PERIOD_OVERRIDE",$H$19)*1,"")))</f>
        <v/>
      </c>
      <c r="M223" t="str">
        <f>IF(OR(M$23="",ISNA($B223)),"",IF(ISBLANK($B223),"",IFERROR(_xll.BDP(TICKER,"DEEP_MEASURE_PERIOD_BROKER_VALUE","DEEP_MEASURE_ID_OVERRIDE",$C223,"DEEP_BROKER_ID_OVERRIDE",M$24,"DEEP_PERIOD_OVERRIDE",$H$19)*1,"")))</f>
        <v/>
      </c>
      <c r="N223" t="str">
        <f>IF(OR(N$23="",ISNA($B223)),"",IF(ISBLANK($B223),"",IFERROR(_xll.BDP(TICKER,"DEEP_MEASURE_PERIOD_BROKER_VALUE","DEEP_MEASURE_ID_OVERRIDE",$C223,"DEEP_BROKER_ID_OVERRIDE",N$24,"DEEP_PERIOD_OVERRIDE",$H$19)*1,"")))</f>
        <v/>
      </c>
      <c r="O223" t="str">
        <f>IF(OR(O$23="",ISNA($B223)),"",IF(ISBLANK($B223),"",IFERROR(_xll.BDP(TICKER,"DEEP_MEASURE_PERIOD_BROKER_VALUE","DEEP_MEASURE_ID_OVERRIDE",$C223,"DEEP_BROKER_ID_OVERRIDE",O$24,"DEEP_PERIOD_OVERRIDE",$H$19)*1,"")))</f>
        <v/>
      </c>
      <c r="P223" t="str">
        <f>IF(OR(P$23="",ISNA($B223)),"",IF(ISBLANK($B223),"",IFERROR(_xll.BDP(TICKER,"DEEP_MEASURE_PERIOD_BROKER_VALUE","DEEP_MEASURE_ID_OVERRIDE",$C223,"DEEP_BROKER_ID_OVERRIDE",P$24,"DEEP_PERIOD_OVERRIDE",$H$19)*1,"")))</f>
        <v/>
      </c>
      <c r="Q223" t="str">
        <f>IF(OR(Q$23="",ISNA($B223)),"",IF(ISBLANK($B223),"",IFERROR(_xll.BDP(TICKER,"DEEP_MEASURE_PERIOD_BROKER_VALUE","DEEP_MEASURE_ID_OVERRIDE",$C223,"DEEP_BROKER_ID_OVERRIDE",Q$24,"DEEP_PERIOD_OVERRIDE",$H$19)*1,"")))</f>
        <v/>
      </c>
      <c r="R223" t="str">
        <f>IF(OR(R$23="",ISNA($B223)),"",IF(ISBLANK($B223),"",IFERROR(_xll.BDP(TICKER,"DEEP_MEASURE_PERIOD_BROKER_VALUE","DEEP_MEASURE_ID_OVERRIDE",$C223,"DEEP_BROKER_ID_OVERRIDE",R$24,"DEEP_PERIOD_OVERRIDE",$H$19)*1,"")))</f>
        <v/>
      </c>
      <c r="S223" t="str">
        <f>IF(OR(S$23="",ISNA($B223)),"",IF(ISBLANK($B223),"",IFERROR(_xll.BDP(TICKER,"DEEP_MEASURE_PERIOD_BROKER_VALUE","DEEP_MEASURE_ID_OVERRIDE",$C223,"DEEP_BROKER_ID_OVERRIDE",S$24,"DEEP_PERIOD_OVERRIDE",$H$19)*1,"")))</f>
        <v/>
      </c>
      <c r="T223" t="str">
        <f>IF(OR(T$23="",ISNA($B223)),"",IF(ISBLANK($B223),"",IFERROR(_xll.BDP(TICKER,"DEEP_MEASURE_PERIOD_BROKER_VALUE","DEEP_MEASURE_ID_OVERRIDE",$C223,"DEEP_BROKER_ID_OVERRIDE",T$24,"DEEP_PERIOD_OVERRIDE",$H$19)*1,"")))</f>
        <v/>
      </c>
      <c r="U223" t="str">
        <f>IF(OR(U$23="",ISNA($B223)),"",IF(ISBLANK($B223),"",IFERROR(_xll.BDP(TICKER,"DEEP_MEASURE_PERIOD_BROKER_VALUE","DEEP_MEASURE_ID_OVERRIDE",$C223,"DEEP_BROKER_ID_OVERRIDE",U$24,"DEEP_PERIOD_OVERRIDE",$H$19)*1,"")))</f>
        <v/>
      </c>
      <c r="V223" t="str">
        <f>IF(OR(V$23="",ISNA($B223)),"",IF(ISBLANK($B223),"",IFERROR(_xll.BDP(TICKER,"DEEP_MEASURE_PERIOD_BROKER_VALUE","DEEP_MEASURE_ID_OVERRIDE",$C223,"DEEP_BROKER_ID_OVERRIDE",V$24,"DEEP_PERIOD_OVERRIDE",$H$19)*1,"")))</f>
        <v/>
      </c>
      <c r="W223" t="str">
        <f>IF(OR(W$23="",ISNA($B223)),"",IF(ISBLANK($B223),"",IFERROR(_xll.BDP(TICKER,"DEEP_MEASURE_PERIOD_BROKER_VALUE","DEEP_MEASURE_ID_OVERRIDE",$C223,"DEEP_BROKER_ID_OVERRIDE",W$24,"DEEP_PERIOD_OVERRIDE",$H$19)*1,"")))</f>
        <v/>
      </c>
      <c r="X223" t="str">
        <f>IF(OR(X$23="",ISNA($B223)),"",IF(ISBLANK($B223),"",IFERROR(_xll.BDP(TICKER,"DEEP_MEASURE_PERIOD_BROKER_VALUE","DEEP_MEASURE_ID_OVERRIDE",$C223,"DEEP_BROKER_ID_OVERRIDE",X$24,"DEEP_PERIOD_OVERRIDE",$H$19)*1,"")))</f>
        <v/>
      </c>
      <c r="Y223" t="str">
        <f>IF(OR(Y$23="",ISNA($B223)),"",IF(ISBLANK($B223),"",IFERROR(_xll.BDP(TICKER,"DEEP_MEASURE_PERIOD_BROKER_VALUE","DEEP_MEASURE_ID_OVERRIDE",$C223,"DEEP_BROKER_ID_OVERRIDE",Y$24,"DEEP_PERIOD_OVERRIDE",$H$19)*1,"")))</f>
        <v/>
      </c>
      <c r="Z223" t="str">
        <f>IF(OR(Z$23="",ISNA($B223)),"",IF(ISBLANK($B223),"",IFERROR(_xll.BDP(TICKER,"DEEP_MEASURE_PERIOD_BROKER_VALUE","DEEP_MEASURE_ID_OVERRIDE",$C223,"DEEP_BROKER_ID_OVERRIDE",Z$24,"DEEP_PERIOD_OVERRIDE",$H$19)*1,"")))</f>
        <v/>
      </c>
      <c r="AA223" t="str">
        <f>IF(OR(AA$23="",ISNA($B223)),"",IF(ISBLANK($B223),"",IFERROR(_xll.BDP(TICKER,"DEEP_MEASURE_PERIOD_BROKER_VALUE","DEEP_MEASURE_ID_OVERRIDE",$C223,"DEEP_BROKER_ID_OVERRIDE",AA$24,"DEEP_PERIOD_OVERRIDE",$H$19)*1,"")))</f>
        <v/>
      </c>
      <c r="AB223" t="str">
        <f>IF(OR(AB$23="",ISNA($B223)),"",IF(ISBLANK($B223),"",IFERROR(_xll.BDP(TICKER,"DEEP_MEASURE_PERIOD_BROKER_VALUE","DEEP_MEASURE_ID_OVERRIDE",$C223,"DEEP_BROKER_ID_OVERRIDE",AB$24,"DEEP_PERIOD_OVERRIDE",$H$19)*1,"")))</f>
        <v/>
      </c>
      <c r="AC223" t="str">
        <f>IF(OR(AC$23="",ISNA($B223)),"",IF(ISBLANK($B223),"",IFERROR(_xll.BDP(TICKER,"DEEP_MEASURE_PERIOD_BROKER_VALUE","DEEP_MEASURE_ID_OVERRIDE",$C223,"DEEP_BROKER_ID_OVERRIDE",AC$24,"DEEP_PERIOD_OVERRIDE",$H$19)*1,"")))</f>
        <v/>
      </c>
      <c r="AD223" t="str">
        <f>IF(OR(AD$23="",ISNA($B223)),"",IF(ISBLANK($B223),"",IFERROR(_xll.BDP(TICKER,"DEEP_MEASURE_PERIOD_BROKER_VALUE","DEEP_MEASURE_ID_OVERRIDE",$C223,"DEEP_BROKER_ID_OVERRIDE",AD$24,"DEEP_PERIOD_OVERRIDE",$H$19)*1,"")))</f>
        <v/>
      </c>
      <c r="AE223" t="str">
        <f>IF(OR(AE$23="",ISNA($B223)),"",IF(ISBLANK($B223),"",IFERROR(_xll.BDP(TICKER,"DEEP_MEASURE_PERIOD_BROKER_VALUE","DEEP_MEASURE_ID_OVERRIDE",$C223,"DEEP_BROKER_ID_OVERRIDE",AE$24,"DEEP_PERIOD_OVERRIDE",$H$19)*1,"")))</f>
        <v/>
      </c>
      <c r="AF223" t="str">
        <f>IF(OR(AF$23="",ISNA($B223)),"",IF(ISBLANK($B223),"",IFERROR(_xll.BDP(TICKER,"DEEP_MEASURE_PERIOD_BROKER_VALUE","DEEP_MEASURE_ID_OVERRIDE",$C223,"DEEP_BROKER_ID_OVERRIDE",AF$24,"DEEP_PERIOD_OVERRIDE",$H$19)*1,"")))</f>
        <v/>
      </c>
      <c r="AG223" t="str">
        <f>IF(OR(AG$23="",ISNA($B223)),"",IF(ISBLANK($B223),"",IFERROR(_xll.BDP(TICKER,"DEEP_MEASURE_PERIOD_BROKER_VALUE","DEEP_MEASURE_ID_OVERRIDE",$C223,"DEEP_BROKER_ID_OVERRIDE",AG$24,"DEEP_PERIOD_OVERRIDE",$H$19)*1,"")))</f>
        <v/>
      </c>
      <c r="AH223" t="str">
        <f>IF(OR(AH$23="",ISNA($B223)),"",IF(ISBLANK($B223),"",IFERROR(_xll.BDP(TICKER,"DEEP_MEASURE_PERIOD_BROKER_VALUE","DEEP_MEASURE_ID_OVERRIDE",$C223,"DEEP_BROKER_ID_OVERRIDE",AH$24,"DEEP_PERIOD_OVERRIDE",$H$19)*1,"")))</f>
        <v/>
      </c>
      <c r="AI223" t="str">
        <f>IF(OR(AI$23="",ISNA($B223)),"",IF(ISBLANK($B223),"",IFERROR(_xll.BDP(TICKER,"DEEP_MEASURE_PERIOD_BROKER_VALUE","DEEP_MEASURE_ID_OVERRIDE",$C223,"DEEP_BROKER_ID_OVERRIDE",AI$24,"DEEP_PERIOD_OVERRIDE",$H$19)*1,"")))</f>
        <v/>
      </c>
      <c r="AJ223" t="str">
        <f>IF(OR(AJ$23="",ISNA($B223)),"",IF(ISBLANK($B223),"",IFERROR(_xll.BDP(TICKER,"DEEP_MEASURE_PERIOD_BROKER_VALUE","DEEP_MEASURE_ID_OVERRIDE",$C223,"DEEP_BROKER_ID_OVERRIDE",AJ$24,"DEEP_PERIOD_OVERRIDE",$H$19)*1,"")))</f>
        <v/>
      </c>
      <c r="AK223" t="str">
        <f>IF(OR(AK$23="",ISNA($B223)),"",IF(ISBLANK($B223),"",IFERROR(_xll.BDP(TICKER,"DEEP_MEASURE_PERIOD_BROKER_VALUE","DEEP_MEASURE_ID_OVERRIDE",$C223,"DEEP_BROKER_ID_OVERRIDE",AK$24,"DEEP_PERIOD_OVERRIDE",$H$19)*1,"")))</f>
        <v/>
      </c>
      <c r="AL223" t="str">
        <f>IF(OR(AL$23="",ISNA($B223)),"",IF(ISBLANK($B223),"",IFERROR(_xll.BDP(TICKER,"DEEP_MEASURE_PERIOD_BROKER_VALUE","DEEP_MEASURE_ID_OVERRIDE",$C223,"DEEP_BROKER_ID_OVERRIDE",AL$24,"DEEP_PERIOD_OVERRIDE",$H$19)*1,"")))</f>
        <v/>
      </c>
      <c r="AM223" t="str">
        <f>IF(OR(AM$23="",ISNA($B223)),"",IF(ISBLANK($B223),"",IFERROR(_xll.BDP(TICKER,"DEEP_MEASURE_PERIOD_BROKER_VALUE","DEEP_MEASURE_ID_OVERRIDE",$C223,"DEEP_BROKER_ID_OVERRIDE",AM$24,"DEEP_PERIOD_OVERRIDE",$H$19)*1,"")))</f>
        <v/>
      </c>
      <c r="AN223" t="str">
        <f>IF(OR(AN$23="",ISNA($B223)),"",IF(ISBLANK($B223),"",IFERROR(_xll.BDP(TICKER,"DEEP_MEASURE_PERIOD_BROKER_VALUE","DEEP_MEASURE_ID_OVERRIDE",$C223,"DEEP_BROKER_ID_OVERRIDE",AN$24,"DEEP_PERIOD_OVERRIDE",$H$19)*1,"")))</f>
        <v/>
      </c>
      <c r="AO223" t="str">
        <f>IF(OR(AO$23="",ISNA($B223)),"",IF(ISBLANK($B223),"",IFERROR(_xll.BDP(TICKER,"DEEP_MEASURE_PERIOD_BROKER_VALUE","DEEP_MEASURE_ID_OVERRIDE",$C223,"DEEP_BROKER_ID_OVERRIDE",AO$24,"DEEP_PERIOD_OVERRIDE",$H$19)*1,"")))</f>
        <v/>
      </c>
      <c r="AP223" t="str">
        <f>IF(OR(AP$23="",ISNA($B223)),"",IF(ISBLANK($B223),"",IFERROR(_xll.BDP(TICKER,"DEEP_MEASURE_PERIOD_BROKER_VALUE","DEEP_MEASURE_ID_OVERRIDE",$C223,"DEEP_BROKER_ID_OVERRIDE",AP$24,"DEEP_PERIOD_OVERRIDE",$H$19)*1,"")))</f>
        <v/>
      </c>
      <c r="AQ223" t="str">
        <f>IF(OR(AQ$23="",ISNA($B223)),"",IF(ISBLANK($B223),"",IFERROR(_xll.BDP(TICKER,"DEEP_MEASURE_PERIOD_BROKER_VALUE","DEEP_MEASURE_ID_OVERRIDE",$C223,"DEEP_BROKER_ID_OVERRIDE",AQ$24,"DEEP_PERIOD_OVERRIDE",$H$19)*1,"")))</f>
        <v/>
      </c>
      <c r="AR223" t="str">
        <f>IF(OR(AR$23="",ISNA($B223)),"",IF(ISBLANK($B223),"",IFERROR(_xll.BDP(TICKER,"DEEP_MEASURE_PERIOD_BROKER_VALUE","DEEP_MEASURE_ID_OVERRIDE",$C223,"DEEP_BROKER_ID_OVERRIDE",AR$24,"DEEP_PERIOD_OVERRIDE",$H$19)*1,"")))</f>
        <v/>
      </c>
      <c r="AS223" t="str">
        <f>IF(OR(AS$23="",ISNA($B223)),"",IF(ISBLANK($B223),"",IFERROR(_xll.BDP(TICKER,"DEEP_MEASURE_PERIOD_BROKER_VALUE","DEEP_MEASURE_ID_OVERRIDE",$C223,"DEEP_BROKER_ID_OVERRIDE",AS$24,"DEEP_PERIOD_OVERRIDE",$H$19)*1,"")))</f>
        <v/>
      </c>
      <c r="AT223" t="str">
        <f>IF(OR(AT$23="",ISNA($B223)),"",IF(ISBLANK($B223),"",IFERROR(_xll.BDP(TICKER,"DEEP_MEASURE_PERIOD_BROKER_VALUE","DEEP_MEASURE_ID_OVERRIDE",$C223,"DEEP_BROKER_ID_OVERRIDE",AT$24,"DEEP_PERIOD_OVERRIDE",$H$19)*1,"")))</f>
        <v/>
      </c>
      <c r="AU223" t="str">
        <f>IF(OR(AU$23="",ISNA($B223)),"",IF(ISBLANK($B223),"",IFERROR(_xll.BDP(TICKER,"DEEP_MEASURE_PERIOD_BROKER_VALUE","DEEP_MEASURE_ID_OVERRIDE",$C223,"DEEP_BROKER_ID_OVERRIDE",AU$24,"DEEP_PERIOD_OVERRIDE",$H$19)*1,"")))</f>
        <v/>
      </c>
      <c r="AV223" t="str">
        <f>IF(OR(AV$23="",ISNA($B223)),"",IF(ISBLANK($B223),"",IFERROR(_xll.BDP(TICKER,"DEEP_MEASURE_PERIOD_BROKER_VALUE","DEEP_MEASURE_ID_OVERRIDE",$C223,"DEEP_BROKER_ID_OVERRIDE",AV$24,"DEEP_PERIOD_OVERRIDE",$H$19)*1,"")))</f>
        <v/>
      </c>
      <c r="AW223" t="str">
        <f>IF(OR(AW$23="",ISNA($B223)),"",IF(ISBLANK($B223),"",IFERROR(_xll.BDP(TICKER,"DEEP_MEASURE_PERIOD_BROKER_VALUE","DEEP_MEASURE_ID_OVERRIDE",$C223,"DEEP_BROKER_ID_OVERRIDE",AW$24,"DEEP_PERIOD_OVERRIDE",$H$19)*1,"")))</f>
        <v/>
      </c>
      <c r="AX223" t="str">
        <f>IF(OR(AX$23="",ISNA($B223)),"",IF(ISBLANK($B223),"",IFERROR(_xll.BDP(TICKER,"DEEP_MEASURE_PERIOD_BROKER_VALUE","DEEP_MEASURE_ID_OVERRIDE",$C223,"DEEP_BROKER_ID_OVERRIDE",AX$24,"DEEP_PERIOD_OVERRIDE",$H$19)*1,"")))</f>
        <v/>
      </c>
      <c r="AY223" t="str">
        <f>IF(OR(AY$23="",ISNA($B223)),"",IF(ISBLANK($B223),"",IFERROR(_xll.BDP(TICKER,"DEEP_MEASURE_PERIOD_BROKER_VALUE","DEEP_MEASURE_ID_OVERRIDE",$C223,"DEEP_BROKER_ID_OVERRIDE",AY$24,"DEEP_PERIOD_OVERRIDE",$H$19)*1,"")))</f>
        <v/>
      </c>
      <c r="AZ223" t="str">
        <f>IF(OR(AZ$23="",ISNA($B223)),"",IF(ISBLANK($B223),"",IFERROR(_xll.BDP(TICKER,"DEEP_MEASURE_PERIOD_BROKER_VALUE","DEEP_MEASURE_ID_OVERRIDE",$C223,"DEEP_BROKER_ID_OVERRIDE",AZ$24,"DEEP_PERIOD_OVERRIDE",$H$19)*1,"")))</f>
        <v/>
      </c>
      <c r="BA223" t="str">
        <f>IF(OR(BA$23="",ISNA($B223)),"",IF(ISBLANK($B223),"",IFERROR(_xll.BDP(TICKER,"DEEP_MEASURE_PERIOD_BROKER_VALUE","DEEP_MEASURE_ID_OVERRIDE",$C223,"DEEP_BROKER_ID_OVERRIDE",BA$24,"DEEP_PERIOD_OVERRIDE",$H$19)*1,"")))</f>
        <v/>
      </c>
      <c r="BB223" t="str">
        <f>IF(OR(BB$23="",ISNA($B223)),"",IF(ISBLANK($B223),"",IFERROR(_xll.BDP(TICKER,"DEEP_MEASURE_PERIOD_BROKER_VALUE","DEEP_MEASURE_ID_OVERRIDE",$C223,"DEEP_BROKER_ID_OVERRIDE",BB$24,"DEEP_PERIOD_OVERRIDE",$H$19)*1,"")))</f>
        <v/>
      </c>
      <c r="BC223" t="str">
        <f>IF(OR(BC$23="",ISNA($B223)),"",IF(ISBLANK($B223),"",IFERROR(_xll.BDP(TICKER,"DEEP_MEASURE_PERIOD_BROKER_VALUE","DEEP_MEASURE_ID_OVERRIDE",$C223,"DEEP_BROKER_ID_OVERRIDE",BC$24,"DEEP_PERIOD_OVERRIDE",$H$19)*1,"")))</f>
        <v/>
      </c>
      <c r="BD223" t="str">
        <f>IF(OR(BD$23="",ISNA($B223)),"",IF(ISBLANK($B223),"",IFERROR(_xll.BDP(TICKER,"DEEP_MEASURE_PERIOD_BROKER_VALUE","DEEP_MEASURE_ID_OVERRIDE",$C223,"DEEP_BROKER_ID_OVERRIDE",BD$24,"DEEP_PERIOD_OVERRIDE",$H$19)*1,"")))</f>
        <v/>
      </c>
      <c r="BE223" t="str">
        <f>IF(OR(BE$23="",ISNA($B223)),"",IF(ISBLANK($B223),"",IFERROR(_xll.BDP(TICKER,"DEEP_MEASURE_PERIOD_BROKER_VALUE","DEEP_MEASURE_ID_OVERRIDE",$C223,"DEEP_BROKER_ID_OVERRIDE",BE$24,"DEEP_PERIOD_OVERRIDE",$H$19)*1,"")))</f>
        <v/>
      </c>
      <c r="BF223" t="str">
        <f>IF(OR(BF$23="",ISNA($B223)),"",IF(ISBLANK($B223),"",IFERROR(_xll.BDP(TICKER,"DEEP_MEASURE_PERIOD_BROKER_VALUE","DEEP_MEASURE_ID_OVERRIDE",$C223,"DEEP_BROKER_ID_OVERRIDE",BF$24,"DEEP_PERIOD_OVERRIDE",$H$19)*1,"")))</f>
        <v/>
      </c>
      <c r="BG223" t="str">
        <f>IF(OR(BG$23="",ISNA($B223)),"",IF(ISBLANK($B223),"",IFERROR(_xll.BDP(TICKER,"DEEP_MEASURE_PERIOD_BROKER_VALUE","DEEP_MEASURE_ID_OVERRIDE",$C223,"DEEP_BROKER_ID_OVERRIDE",BG$24,"DEEP_PERIOD_OVERRIDE",$H$19)*1,"")))</f>
        <v/>
      </c>
      <c r="BH223" t="str">
        <f>IF(OR(BH$23="",ISNA($B223)),"",IF(ISBLANK($B223),"",IFERROR(_xll.BDP(TICKER,"DEEP_MEASURE_PERIOD_BROKER_VALUE","DEEP_MEASURE_ID_OVERRIDE",$C223,"DEEP_BROKER_ID_OVERRIDE",BH$24,"DEEP_PERIOD_OVERRIDE",$H$19)*1,"")))</f>
        <v/>
      </c>
      <c r="BI223" t="str">
        <f>IF(OR(BI$23="",ISNA($B223)),"",IF(ISBLANK($B223),"",IFERROR(_xll.BDP(TICKER,"DEEP_MEASURE_PERIOD_BROKER_VALUE","DEEP_MEASURE_ID_OVERRIDE",$C223,"DEEP_BROKER_ID_OVERRIDE",BI$24,"DEEP_PERIOD_OVERRIDE",$H$19)*1,"")))</f>
        <v/>
      </c>
      <c r="BJ223" t="str">
        <f>IF(OR(BJ$23="",ISNA($B223)),"",IF(ISBLANK($B223),"",IFERROR(_xll.BDP(TICKER,"DEEP_MEASURE_PERIOD_BROKER_VALUE","DEEP_MEASURE_ID_OVERRIDE",$C223,"DEEP_BROKER_ID_OVERRIDE",BJ$24,"DEEP_PERIOD_OVERRIDE",$H$19)*1,"")))</f>
        <v/>
      </c>
      <c r="BK223" t="str">
        <f>IF(OR(BK$23="",ISNA($B223)),"",IF(ISBLANK($B223),"",IFERROR(_xll.BDP(TICKER,"DEEP_MEASURE_PERIOD_BROKER_VALUE","DEEP_MEASURE_ID_OVERRIDE",$C223,"DEEP_BROKER_ID_OVERRIDE",BK$24,"DEEP_PERIOD_OVERRIDE",$H$19)*1,"")))</f>
        <v/>
      </c>
      <c r="BL223" t="str">
        <f>IF(OR(BL$23="",ISNA($B223)),"",IF(ISBLANK($B223),"",IFERROR(_xll.BDP(TICKER,"DEEP_MEASURE_PERIOD_BROKER_VALUE","DEEP_MEASURE_ID_OVERRIDE",$C223,"DEEP_BROKER_ID_OVERRIDE",BL$24,"DEEP_PERIOD_OVERRIDE",$H$19)*1,"")))</f>
        <v/>
      </c>
      <c r="BM223" t="str">
        <f>IF(OR(BM$23="",ISNA($B223)),"",IF(ISBLANK($B223),"",IFERROR(_xll.BDP(TICKER,"DEEP_MEASURE_PERIOD_BROKER_VALUE","DEEP_MEASURE_ID_OVERRIDE",$C223,"DEEP_BROKER_ID_OVERRIDE",BM$24,"DEEP_PERIOD_OVERRIDE",$H$19)*1,"")))</f>
        <v/>
      </c>
      <c r="BN223" t="str">
        <f>IF(OR(BN$23="",ISNA($B223)),"",IF(ISBLANK($B223),"",IFERROR(_xll.BDP(TICKER,"DEEP_MEASURE_PERIOD_BROKER_VALUE","DEEP_MEASURE_ID_OVERRIDE",$C223,"DEEP_BROKER_ID_OVERRIDE",BN$24,"DEEP_PERIOD_OVERRIDE",$H$19)*1,"")))</f>
        <v/>
      </c>
      <c r="BO223" t="str">
        <f>IF(OR(BO$23="",ISNA($B223)),"",IF(ISBLANK($B223),"",IFERROR(_xll.BDP(TICKER,"DEEP_MEASURE_PERIOD_BROKER_VALUE","DEEP_MEASURE_ID_OVERRIDE",$C223,"DEEP_BROKER_ID_OVERRIDE",BO$24,"DEEP_PERIOD_OVERRIDE",$H$19)*1,"")))</f>
        <v/>
      </c>
      <c r="BP223" t="str">
        <f>IF(OR(BP$23="",ISNA($B223)),"",IF(ISBLANK($B223),"",IFERROR(_xll.BDP(TICKER,"DEEP_MEASURE_PERIOD_BROKER_VALUE","DEEP_MEASURE_ID_OVERRIDE",$C223,"DEEP_BROKER_ID_OVERRIDE",BP$24,"DEEP_PERIOD_OVERRIDE",$H$19)*1,"")))</f>
        <v/>
      </c>
      <c r="BQ223" t="str">
        <f>IF(OR(BQ$23="",ISNA($B223)),"",IF(ISBLANK($B223),"",IFERROR(_xll.BDP(TICKER,"DEEP_MEASURE_PERIOD_BROKER_VALUE","DEEP_MEASURE_ID_OVERRIDE",$C223,"DEEP_BROKER_ID_OVERRIDE",BQ$24,"DEEP_PERIOD_OVERRIDE",$H$19)*1,"")))</f>
        <v/>
      </c>
      <c r="BR223" t="str">
        <f>IF(OR(BR$23="",ISNA($B223)),"",IF(ISBLANK($B223),"",IFERROR(_xll.BDP(TICKER,"DEEP_MEASURE_PERIOD_BROKER_VALUE","DEEP_MEASURE_ID_OVERRIDE",$C223,"DEEP_BROKER_ID_OVERRIDE",BR$24,"DEEP_PERIOD_OVERRIDE",$H$19)*1,"")))</f>
        <v/>
      </c>
      <c r="BS223" t="str">
        <f>IF(OR(BS$23="",ISNA($B223)),"",IF(ISBLANK($B223),"",IFERROR(_xll.BDP(TICKER,"DEEP_MEASURE_PERIOD_BROKER_VALUE","DEEP_MEASURE_ID_OVERRIDE",$C223,"DEEP_BROKER_ID_OVERRIDE",BS$24,"DEEP_PERIOD_OVERRIDE",$H$19)*1,"")))</f>
        <v/>
      </c>
      <c r="BT223" t="str">
        <f>IF(OR(BT$23="",ISNA($B223)),"",IF(ISBLANK($B223),"",IFERROR(_xll.BDP(TICKER,"DEEP_MEASURE_PERIOD_BROKER_VALUE","DEEP_MEASURE_ID_OVERRIDE",$C223,"DEEP_BROKER_ID_OVERRIDE",BT$24,"DEEP_PERIOD_OVERRIDE",$H$19)*1,"")))</f>
        <v/>
      </c>
      <c r="BU223" t="str">
        <f>IF(OR(BU$23="",ISNA($B223)),"",IF(ISBLANK($B223),"",IFERROR(_xll.BDP(TICKER,"DEEP_MEASURE_PERIOD_BROKER_VALUE","DEEP_MEASURE_ID_OVERRIDE",$C223,"DEEP_BROKER_ID_OVERRIDE",BU$24,"DEEP_PERIOD_OVERRIDE",$H$19)*1,"")))</f>
        <v/>
      </c>
      <c r="BV223" t="str">
        <f>IF(OR(BV$23="",ISNA($B223)),"",IF(ISBLANK($B223),"",IFERROR(_xll.BDP(TICKER,"DEEP_MEASURE_PERIOD_BROKER_VALUE","DEEP_MEASURE_ID_OVERRIDE",$C223,"DEEP_BROKER_ID_OVERRIDE",BV$24,"DEEP_PERIOD_OVERRIDE",$H$19)*1,"")))</f>
        <v/>
      </c>
      <c r="BW223" t="str">
        <f>IF(OR(BW$23="",ISNA($B223)),"",IF(ISBLANK($B223),"",IFERROR(_xll.BDP(TICKER,"DEEP_MEASURE_PERIOD_BROKER_VALUE","DEEP_MEASURE_ID_OVERRIDE",$C223,"DEEP_BROKER_ID_OVERRIDE",BW$24,"DEEP_PERIOD_OVERRIDE",$H$19)*1,"")))</f>
        <v/>
      </c>
      <c r="BX223" t="str">
        <f>IF(OR(BX$23="",ISNA($B223)),"",IF(ISBLANK($B223),"",IFERROR(_xll.BDP(TICKER,"DEEP_MEASURE_PERIOD_BROKER_VALUE","DEEP_MEASURE_ID_OVERRIDE",$C223,"DEEP_BROKER_ID_OVERRIDE",BX$24,"DEEP_PERIOD_OVERRIDE",$H$19)*1,"")))</f>
        <v/>
      </c>
      <c r="BY223" t="str">
        <f>IF(OR(BY$23="",ISNA($B223)),"",IF(ISBLANK($B223),"",IFERROR(_xll.BDP(TICKER,"DEEP_MEASURE_PERIOD_BROKER_VALUE","DEEP_MEASURE_ID_OVERRIDE",$C223,"DEEP_BROKER_ID_OVERRIDE",BY$24,"DEEP_PERIOD_OVERRIDE",$H$19)*1,"")))</f>
        <v/>
      </c>
      <c r="BZ223" t="str">
        <f>IF(OR(BZ$23="",ISNA($B223)),"",IF(ISBLANK($B223),"",IFERROR(_xll.BDP(TICKER,"DEEP_MEASURE_PERIOD_BROKER_VALUE","DEEP_MEASURE_ID_OVERRIDE",$C223,"DEEP_BROKER_ID_OVERRIDE",BZ$24,"DEEP_PERIOD_OVERRIDE",$H$19)*1,"")))</f>
        <v/>
      </c>
    </row>
    <row r="224" spans="2:78" x14ac:dyDescent="0.25">
      <c r="H224" t="str">
        <f t="shared" si="4"/>
        <v/>
      </c>
      <c r="I224" t="str">
        <f>IF(OR(I$23="",ISNA($B224)),"",IF(ISBLANK($B224),"",IFERROR(_xll.BDP(TICKER,"DEEP_MEASURE_PERIOD_BROKER_VALUE","DEEP_MEASURE_ID_OVERRIDE",$C224,"DEEP_PERIOD_OVERRIDE",$H$19)*1,"")))</f>
        <v/>
      </c>
      <c r="J224" t="e">
        <f>IF(OR(J$23="",ISNA($B224)),"",IF(ISBLANK($B224),"",IFERROR(_xll.BDP(TICKER,"DEEP_MEASURE_PERIOD_BROKER_VALUE","DEEP_MEASURE_ID_OVERRIDE",$C224,"DEEP_BROKER_ID_OVERRIDE",J$24,"DEEP_PERIOD_OVERRIDE",$H$19)*1,"")))</f>
        <v>#REF!</v>
      </c>
      <c r="K224" t="str">
        <f>IF(OR(K$23="",ISNA($B224)),"",IF(ISBLANK($B224),"",IFERROR(_xll.BDP(TICKER,"DEEP_MEASURE_PERIOD_BROKER_VALUE","DEEP_MEASURE_ID_OVERRIDE",$C224,"DEEP_BROKER_ID_OVERRIDE",K$24,"DEEP_PERIOD_OVERRIDE",$H$19)*1,"")))</f>
        <v/>
      </c>
      <c r="L224" t="str">
        <f>IF(OR(L$23="",ISNA($B224)),"",IF(ISBLANK($B224),"",IFERROR(_xll.BDP(TICKER,"DEEP_MEASURE_PERIOD_BROKER_VALUE","DEEP_MEASURE_ID_OVERRIDE",$C224,"DEEP_BROKER_ID_OVERRIDE",L$24,"DEEP_PERIOD_OVERRIDE",$H$19)*1,"")))</f>
        <v/>
      </c>
      <c r="M224" t="str">
        <f>IF(OR(M$23="",ISNA($B224)),"",IF(ISBLANK($B224),"",IFERROR(_xll.BDP(TICKER,"DEEP_MEASURE_PERIOD_BROKER_VALUE","DEEP_MEASURE_ID_OVERRIDE",$C224,"DEEP_BROKER_ID_OVERRIDE",M$24,"DEEP_PERIOD_OVERRIDE",$H$19)*1,"")))</f>
        <v/>
      </c>
      <c r="N224" t="str">
        <f>IF(OR(N$23="",ISNA($B224)),"",IF(ISBLANK($B224),"",IFERROR(_xll.BDP(TICKER,"DEEP_MEASURE_PERIOD_BROKER_VALUE","DEEP_MEASURE_ID_OVERRIDE",$C224,"DEEP_BROKER_ID_OVERRIDE",N$24,"DEEP_PERIOD_OVERRIDE",$H$19)*1,"")))</f>
        <v/>
      </c>
      <c r="O224" t="str">
        <f>IF(OR(O$23="",ISNA($B224)),"",IF(ISBLANK($B224),"",IFERROR(_xll.BDP(TICKER,"DEEP_MEASURE_PERIOD_BROKER_VALUE","DEEP_MEASURE_ID_OVERRIDE",$C224,"DEEP_BROKER_ID_OVERRIDE",O$24,"DEEP_PERIOD_OVERRIDE",$H$19)*1,"")))</f>
        <v/>
      </c>
      <c r="P224" t="str">
        <f>IF(OR(P$23="",ISNA($B224)),"",IF(ISBLANK($B224),"",IFERROR(_xll.BDP(TICKER,"DEEP_MEASURE_PERIOD_BROKER_VALUE","DEEP_MEASURE_ID_OVERRIDE",$C224,"DEEP_BROKER_ID_OVERRIDE",P$24,"DEEP_PERIOD_OVERRIDE",$H$19)*1,"")))</f>
        <v/>
      </c>
      <c r="Q224" t="str">
        <f>IF(OR(Q$23="",ISNA($B224)),"",IF(ISBLANK($B224),"",IFERROR(_xll.BDP(TICKER,"DEEP_MEASURE_PERIOD_BROKER_VALUE","DEEP_MEASURE_ID_OVERRIDE",$C224,"DEEP_BROKER_ID_OVERRIDE",Q$24,"DEEP_PERIOD_OVERRIDE",$H$19)*1,"")))</f>
        <v/>
      </c>
      <c r="R224" t="str">
        <f>IF(OR(R$23="",ISNA($B224)),"",IF(ISBLANK($B224),"",IFERROR(_xll.BDP(TICKER,"DEEP_MEASURE_PERIOD_BROKER_VALUE","DEEP_MEASURE_ID_OVERRIDE",$C224,"DEEP_BROKER_ID_OVERRIDE",R$24,"DEEP_PERIOD_OVERRIDE",$H$19)*1,"")))</f>
        <v/>
      </c>
      <c r="S224" t="str">
        <f>IF(OR(S$23="",ISNA($B224)),"",IF(ISBLANK($B224),"",IFERROR(_xll.BDP(TICKER,"DEEP_MEASURE_PERIOD_BROKER_VALUE","DEEP_MEASURE_ID_OVERRIDE",$C224,"DEEP_BROKER_ID_OVERRIDE",S$24,"DEEP_PERIOD_OVERRIDE",$H$19)*1,"")))</f>
        <v/>
      </c>
      <c r="T224" t="str">
        <f>IF(OR(T$23="",ISNA($B224)),"",IF(ISBLANK($B224),"",IFERROR(_xll.BDP(TICKER,"DEEP_MEASURE_PERIOD_BROKER_VALUE","DEEP_MEASURE_ID_OVERRIDE",$C224,"DEEP_BROKER_ID_OVERRIDE",T$24,"DEEP_PERIOD_OVERRIDE",$H$19)*1,"")))</f>
        <v/>
      </c>
      <c r="U224" t="str">
        <f>IF(OR(U$23="",ISNA($B224)),"",IF(ISBLANK($B224),"",IFERROR(_xll.BDP(TICKER,"DEEP_MEASURE_PERIOD_BROKER_VALUE","DEEP_MEASURE_ID_OVERRIDE",$C224,"DEEP_BROKER_ID_OVERRIDE",U$24,"DEEP_PERIOD_OVERRIDE",$H$19)*1,"")))</f>
        <v/>
      </c>
      <c r="V224" t="str">
        <f>IF(OR(V$23="",ISNA($B224)),"",IF(ISBLANK($B224),"",IFERROR(_xll.BDP(TICKER,"DEEP_MEASURE_PERIOD_BROKER_VALUE","DEEP_MEASURE_ID_OVERRIDE",$C224,"DEEP_BROKER_ID_OVERRIDE",V$24,"DEEP_PERIOD_OVERRIDE",$H$19)*1,"")))</f>
        <v/>
      </c>
      <c r="W224" t="str">
        <f>IF(OR(W$23="",ISNA($B224)),"",IF(ISBLANK($B224),"",IFERROR(_xll.BDP(TICKER,"DEEP_MEASURE_PERIOD_BROKER_VALUE","DEEP_MEASURE_ID_OVERRIDE",$C224,"DEEP_BROKER_ID_OVERRIDE",W$24,"DEEP_PERIOD_OVERRIDE",$H$19)*1,"")))</f>
        <v/>
      </c>
      <c r="X224" t="str">
        <f>IF(OR(X$23="",ISNA($B224)),"",IF(ISBLANK($B224),"",IFERROR(_xll.BDP(TICKER,"DEEP_MEASURE_PERIOD_BROKER_VALUE","DEEP_MEASURE_ID_OVERRIDE",$C224,"DEEP_BROKER_ID_OVERRIDE",X$24,"DEEP_PERIOD_OVERRIDE",$H$19)*1,"")))</f>
        <v/>
      </c>
      <c r="Y224" t="str">
        <f>IF(OR(Y$23="",ISNA($B224)),"",IF(ISBLANK($B224),"",IFERROR(_xll.BDP(TICKER,"DEEP_MEASURE_PERIOD_BROKER_VALUE","DEEP_MEASURE_ID_OVERRIDE",$C224,"DEEP_BROKER_ID_OVERRIDE",Y$24,"DEEP_PERIOD_OVERRIDE",$H$19)*1,"")))</f>
        <v/>
      </c>
      <c r="Z224" t="str">
        <f>IF(OR(Z$23="",ISNA($B224)),"",IF(ISBLANK($B224),"",IFERROR(_xll.BDP(TICKER,"DEEP_MEASURE_PERIOD_BROKER_VALUE","DEEP_MEASURE_ID_OVERRIDE",$C224,"DEEP_BROKER_ID_OVERRIDE",Z$24,"DEEP_PERIOD_OVERRIDE",$H$19)*1,"")))</f>
        <v/>
      </c>
      <c r="AA224" t="str">
        <f>IF(OR(AA$23="",ISNA($B224)),"",IF(ISBLANK($B224),"",IFERROR(_xll.BDP(TICKER,"DEEP_MEASURE_PERIOD_BROKER_VALUE","DEEP_MEASURE_ID_OVERRIDE",$C224,"DEEP_BROKER_ID_OVERRIDE",AA$24,"DEEP_PERIOD_OVERRIDE",$H$19)*1,"")))</f>
        <v/>
      </c>
      <c r="AB224" t="str">
        <f>IF(OR(AB$23="",ISNA($B224)),"",IF(ISBLANK($B224),"",IFERROR(_xll.BDP(TICKER,"DEEP_MEASURE_PERIOD_BROKER_VALUE","DEEP_MEASURE_ID_OVERRIDE",$C224,"DEEP_BROKER_ID_OVERRIDE",AB$24,"DEEP_PERIOD_OVERRIDE",$H$19)*1,"")))</f>
        <v/>
      </c>
      <c r="AC224" t="str">
        <f>IF(OR(AC$23="",ISNA($B224)),"",IF(ISBLANK($B224),"",IFERROR(_xll.BDP(TICKER,"DEEP_MEASURE_PERIOD_BROKER_VALUE","DEEP_MEASURE_ID_OVERRIDE",$C224,"DEEP_BROKER_ID_OVERRIDE",AC$24,"DEEP_PERIOD_OVERRIDE",$H$19)*1,"")))</f>
        <v/>
      </c>
      <c r="AD224" t="str">
        <f>IF(OR(AD$23="",ISNA($B224)),"",IF(ISBLANK($B224),"",IFERROR(_xll.BDP(TICKER,"DEEP_MEASURE_PERIOD_BROKER_VALUE","DEEP_MEASURE_ID_OVERRIDE",$C224,"DEEP_BROKER_ID_OVERRIDE",AD$24,"DEEP_PERIOD_OVERRIDE",$H$19)*1,"")))</f>
        <v/>
      </c>
      <c r="AE224" t="str">
        <f>IF(OR(AE$23="",ISNA($B224)),"",IF(ISBLANK($B224),"",IFERROR(_xll.BDP(TICKER,"DEEP_MEASURE_PERIOD_BROKER_VALUE","DEEP_MEASURE_ID_OVERRIDE",$C224,"DEEP_BROKER_ID_OVERRIDE",AE$24,"DEEP_PERIOD_OVERRIDE",$H$19)*1,"")))</f>
        <v/>
      </c>
      <c r="AF224" t="str">
        <f>IF(OR(AF$23="",ISNA($B224)),"",IF(ISBLANK($B224),"",IFERROR(_xll.BDP(TICKER,"DEEP_MEASURE_PERIOD_BROKER_VALUE","DEEP_MEASURE_ID_OVERRIDE",$C224,"DEEP_BROKER_ID_OVERRIDE",AF$24,"DEEP_PERIOD_OVERRIDE",$H$19)*1,"")))</f>
        <v/>
      </c>
      <c r="AG224" t="str">
        <f>IF(OR(AG$23="",ISNA($B224)),"",IF(ISBLANK($B224),"",IFERROR(_xll.BDP(TICKER,"DEEP_MEASURE_PERIOD_BROKER_VALUE","DEEP_MEASURE_ID_OVERRIDE",$C224,"DEEP_BROKER_ID_OVERRIDE",AG$24,"DEEP_PERIOD_OVERRIDE",$H$19)*1,"")))</f>
        <v/>
      </c>
      <c r="AH224" t="str">
        <f>IF(OR(AH$23="",ISNA($B224)),"",IF(ISBLANK($B224),"",IFERROR(_xll.BDP(TICKER,"DEEP_MEASURE_PERIOD_BROKER_VALUE","DEEP_MEASURE_ID_OVERRIDE",$C224,"DEEP_BROKER_ID_OVERRIDE",AH$24,"DEEP_PERIOD_OVERRIDE",$H$19)*1,"")))</f>
        <v/>
      </c>
      <c r="AI224" t="str">
        <f>IF(OR(AI$23="",ISNA($B224)),"",IF(ISBLANK($B224),"",IFERROR(_xll.BDP(TICKER,"DEEP_MEASURE_PERIOD_BROKER_VALUE","DEEP_MEASURE_ID_OVERRIDE",$C224,"DEEP_BROKER_ID_OVERRIDE",AI$24,"DEEP_PERIOD_OVERRIDE",$H$19)*1,"")))</f>
        <v/>
      </c>
      <c r="AJ224" t="str">
        <f>IF(OR(AJ$23="",ISNA($B224)),"",IF(ISBLANK($B224),"",IFERROR(_xll.BDP(TICKER,"DEEP_MEASURE_PERIOD_BROKER_VALUE","DEEP_MEASURE_ID_OVERRIDE",$C224,"DEEP_BROKER_ID_OVERRIDE",AJ$24,"DEEP_PERIOD_OVERRIDE",$H$19)*1,"")))</f>
        <v/>
      </c>
      <c r="AK224" t="str">
        <f>IF(OR(AK$23="",ISNA($B224)),"",IF(ISBLANK($B224),"",IFERROR(_xll.BDP(TICKER,"DEEP_MEASURE_PERIOD_BROKER_VALUE","DEEP_MEASURE_ID_OVERRIDE",$C224,"DEEP_BROKER_ID_OVERRIDE",AK$24,"DEEP_PERIOD_OVERRIDE",$H$19)*1,"")))</f>
        <v/>
      </c>
      <c r="AL224" t="str">
        <f>IF(OR(AL$23="",ISNA($B224)),"",IF(ISBLANK($B224),"",IFERROR(_xll.BDP(TICKER,"DEEP_MEASURE_PERIOD_BROKER_VALUE","DEEP_MEASURE_ID_OVERRIDE",$C224,"DEEP_BROKER_ID_OVERRIDE",AL$24,"DEEP_PERIOD_OVERRIDE",$H$19)*1,"")))</f>
        <v/>
      </c>
      <c r="AM224" t="str">
        <f>IF(OR(AM$23="",ISNA($B224)),"",IF(ISBLANK($B224),"",IFERROR(_xll.BDP(TICKER,"DEEP_MEASURE_PERIOD_BROKER_VALUE","DEEP_MEASURE_ID_OVERRIDE",$C224,"DEEP_BROKER_ID_OVERRIDE",AM$24,"DEEP_PERIOD_OVERRIDE",$H$19)*1,"")))</f>
        <v/>
      </c>
      <c r="AN224" t="str">
        <f>IF(OR(AN$23="",ISNA($B224)),"",IF(ISBLANK($B224),"",IFERROR(_xll.BDP(TICKER,"DEEP_MEASURE_PERIOD_BROKER_VALUE","DEEP_MEASURE_ID_OVERRIDE",$C224,"DEEP_BROKER_ID_OVERRIDE",AN$24,"DEEP_PERIOD_OVERRIDE",$H$19)*1,"")))</f>
        <v/>
      </c>
      <c r="AO224" t="str">
        <f>IF(OR(AO$23="",ISNA($B224)),"",IF(ISBLANK($B224),"",IFERROR(_xll.BDP(TICKER,"DEEP_MEASURE_PERIOD_BROKER_VALUE","DEEP_MEASURE_ID_OVERRIDE",$C224,"DEEP_BROKER_ID_OVERRIDE",AO$24,"DEEP_PERIOD_OVERRIDE",$H$19)*1,"")))</f>
        <v/>
      </c>
      <c r="AP224" t="str">
        <f>IF(OR(AP$23="",ISNA($B224)),"",IF(ISBLANK($B224),"",IFERROR(_xll.BDP(TICKER,"DEEP_MEASURE_PERIOD_BROKER_VALUE","DEEP_MEASURE_ID_OVERRIDE",$C224,"DEEP_BROKER_ID_OVERRIDE",AP$24,"DEEP_PERIOD_OVERRIDE",$H$19)*1,"")))</f>
        <v/>
      </c>
      <c r="AQ224" t="str">
        <f>IF(OR(AQ$23="",ISNA($B224)),"",IF(ISBLANK($B224),"",IFERROR(_xll.BDP(TICKER,"DEEP_MEASURE_PERIOD_BROKER_VALUE","DEEP_MEASURE_ID_OVERRIDE",$C224,"DEEP_BROKER_ID_OVERRIDE",AQ$24,"DEEP_PERIOD_OVERRIDE",$H$19)*1,"")))</f>
        <v/>
      </c>
      <c r="AR224" t="str">
        <f>IF(OR(AR$23="",ISNA($B224)),"",IF(ISBLANK($B224),"",IFERROR(_xll.BDP(TICKER,"DEEP_MEASURE_PERIOD_BROKER_VALUE","DEEP_MEASURE_ID_OVERRIDE",$C224,"DEEP_BROKER_ID_OVERRIDE",AR$24,"DEEP_PERIOD_OVERRIDE",$H$19)*1,"")))</f>
        <v/>
      </c>
      <c r="AS224" t="str">
        <f>IF(OR(AS$23="",ISNA($B224)),"",IF(ISBLANK($B224),"",IFERROR(_xll.BDP(TICKER,"DEEP_MEASURE_PERIOD_BROKER_VALUE","DEEP_MEASURE_ID_OVERRIDE",$C224,"DEEP_BROKER_ID_OVERRIDE",AS$24,"DEEP_PERIOD_OVERRIDE",$H$19)*1,"")))</f>
        <v/>
      </c>
      <c r="AT224" t="str">
        <f>IF(OR(AT$23="",ISNA($B224)),"",IF(ISBLANK($B224),"",IFERROR(_xll.BDP(TICKER,"DEEP_MEASURE_PERIOD_BROKER_VALUE","DEEP_MEASURE_ID_OVERRIDE",$C224,"DEEP_BROKER_ID_OVERRIDE",AT$24,"DEEP_PERIOD_OVERRIDE",$H$19)*1,"")))</f>
        <v/>
      </c>
      <c r="AU224" t="str">
        <f>IF(OR(AU$23="",ISNA($B224)),"",IF(ISBLANK($B224),"",IFERROR(_xll.BDP(TICKER,"DEEP_MEASURE_PERIOD_BROKER_VALUE","DEEP_MEASURE_ID_OVERRIDE",$C224,"DEEP_BROKER_ID_OVERRIDE",AU$24,"DEEP_PERIOD_OVERRIDE",$H$19)*1,"")))</f>
        <v/>
      </c>
      <c r="AV224" t="str">
        <f>IF(OR(AV$23="",ISNA($B224)),"",IF(ISBLANK($B224),"",IFERROR(_xll.BDP(TICKER,"DEEP_MEASURE_PERIOD_BROKER_VALUE","DEEP_MEASURE_ID_OVERRIDE",$C224,"DEEP_BROKER_ID_OVERRIDE",AV$24,"DEEP_PERIOD_OVERRIDE",$H$19)*1,"")))</f>
        <v/>
      </c>
      <c r="AW224" t="str">
        <f>IF(OR(AW$23="",ISNA($B224)),"",IF(ISBLANK($B224),"",IFERROR(_xll.BDP(TICKER,"DEEP_MEASURE_PERIOD_BROKER_VALUE","DEEP_MEASURE_ID_OVERRIDE",$C224,"DEEP_BROKER_ID_OVERRIDE",AW$24,"DEEP_PERIOD_OVERRIDE",$H$19)*1,"")))</f>
        <v/>
      </c>
      <c r="AX224" t="str">
        <f>IF(OR(AX$23="",ISNA($B224)),"",IF(ISBLANK($B224),"",IFERROR(_xll.BDP(TICKER,"DEEP_MEASURE_PERIOD_BROKER_VALUE","DEEP_MEASURE_ID_OVERRIDE",$C224,"DEEP_BROKER_ID_OVERRIDE",AX$24,"DEEP_PERIOD_OVERRIDE",$H$19)*1,"")))</f>
        <v/>
      </c>
      <c r="AY224" t="str">
        <f>IF(OR(AY$23="",ISNA($B224)),"",IF(ISBLANK($B224),"",IFERROR(_xll.BDP(TICKER,"DEEP_MEASURE_PERIOD_BROKER_VALUE","DEEP_MEASURE_ID_OVERRIDE",$C224,"DEEP_BROKER_ID_OVERRIDE",AY$24,"DEEP_PERIOD_OVERRIDE",$H$19)*1,"")))</f>
        <v/>
      </c>
      <c r="AZ224" t="str">
        <f>IF(OR(AZ$23="",ISNA($B224)),"",IF(ISBLANK($B224),"",IFERROR(_xll.BDP(TICKER,"DEEP_MEASURE_PERIOD_BROKER_VALUE","DEEP_MEASURE_ID_OVERRIDE",$C224,"DEEP_BROKER_ID_OVERRIDE",AZ$24,"DEEP_PERIOD_OVERRIDE",$H$19)*1,"")))</f>
        <v/>
      </c>
      <c r="BA224" t="str">
        <f>IF(OR(BA$23="",ISNA($B224)),"",IF(ISBLANK($B224),"",IFERROR(_xll.BDP(TICKER,"DEEP_MEASURE_PERIOD_BROKER_VALUE","DEEP_MEASURE_ID_OVERRIDE",$C224,"DEEP_BROKER_ID_OVERRIDE",BA$24,"DEEP_PERIOD_OVERRIDE",$H$19)*1,"")))</f>
        <v/>
      </c>
      <c r="BB224" t="str">
        <f>IF(OR(BB$23="",ISNA($B224)),"",IF(ISBLANK($B224),"",IFERROR(_xll.BDP(TICKER,"DEEP_MEASURE_PERIOD_BROKER_VALUE","DEEP_MEASURE_ID_OVERRIDE",$C224,"DEEP_BROKER_ID_OVERRIDE",BB$24,"DEEP_PERIOD_OVERRIDE",$H$19)*1,"")))</f>
        <v/>
      </c>
      <c r="BC224" t="str">
        <f>IF(OR(BC$23="",ISNA($B224)),"",IF(ISBLANK($B224),"",IFERROR(_xll.BDP(TICKER,"DEEP_MEASURE_PERIOD_BROKER_VALUE","DEEP_MEASURE_ID_OVERRIDE",$C224,"DEEP_BROKER_ID_OVERRIDE",BC$24,"DEEP_PERIOD_OVERRIDE",$H$19)*1,"")))</f>
        <v/>
      </c>
      <c r="BD224" t="str">
        <f>IF(OR(BD$23="",ISNA($B224)),"",IF(ISBLANK($B224),"",IFERROR(_xll.BDP(TICKER,"DEEP_MEASURE_PERIOD_BROKER_VALUE","DEEP_MEASURE_ID_OVERRIDE",$C224,"DEEP_BROKER_ID_OVERRIDE",BD$24,"DEEP_PERIOD_OVERRIDE",$H$19)*1,"")))</f>
        <v/>
      </c>
      <c r="BE224" t="str">
        <f>IF(OR(BE$23="",ISNA($B224)),"",IF(ISBLANK($B224),"",IFERROR(_xll.BDP(TICKER,"DEEP_MEASURE_PERIOD_BROKER_VALUE","DEEP_MEASURE_ID_OVERRIDE",$C224,"DEEP_BROKER_ID_OVERRIDE",BE$24,"DEEP_PERIOD_OVERRIDE",$H$19)*1,"")))</f>
        <v/>
      </c>
      <c r="BF224" t="str">
        <f>IF(OR(BF$23="",ISNA($B224)),"",IF(ISBLANK($B224),"",IFERROR(_xll.BDP(TICKER,"DEEP_MEASURE_PERIOD_BROKER_VALUE","DEEP_MEASURE_ID_OVERRIDE",$C224,"DEEP_BROKER_ID_OVERRIDE",BF$24,"DEEP_PERIOD_OVERRIDE",$H$19)*1,"")))</f>
        <v/>
      </c>
      <c r="BG224" t="str">
        <f>IF(OR(BG$23="",ISNA($B224)),"",IF(ISBLANK($B224),"",IFERROR(_xll.BDP(TICKER,"DEEP_MEASURE_PERIOD_BROKER_VALUE","DEEP_MEASURE_ID_OVERRIDE",$C224,"DEEP_BROKER_ID_OVERRIDE",BG$24,"DEEP_PERIOD_OVERRIDE",$H$19)*1,"")))</f>
        <v/>
      </c>
      <c r="BH224" t="str">
        <f>IF(OR(BH$23="",ISNA($B224)),"",IF(ISBLANK($B224),"",IFERROR(_xll.BDP(TICKER,"DEEP_MEASURE_PERIOD_BROKER_VALUE","DEEP_MEASURE_ID_OVERRIDE",$C224,"DEEP_BROKER_ID_OVERRIDE",BH$24,"DEEP_PERIOD_OVERRIDE",$H$19)*1,"")))</f>
        <v/>
      </c>
      <c r="BI224" t="str">
        <f>IF(OR(BI$23="",ISNA($B224)),"",IF(ISBLANK($B224),"",IFERROR(_xll.BDP(TICKER,"DEEP_MEASURE_PERIOD_BROKER_VALUE","DEEP_MEASURE_ID_OVERRIDE",$C224,"DEEP_BROKER_ID_OVERRIDE",BI$24,"DEEP_PERIOD_OVERRIDE",$H$19)*1,"")))</f>
        <v/>
      </c>
      <c r="BJ224" t="str">
        <f>IF(OR(BJ$23="",ISNA($B224)),"",IF(ISBLANK($B224),"",IFERROR(_xll.BDP(TICKER,"DEEP_MEASURE_PERIOD_BROKER_VALUE","DEEP_MEASURE_ID_OVERRIDE",$C224,"DEEP_BROKER_ID_OVERRIDE",BJ$24,"DEEP_PERIOD_OVERRIDE",$H$19)*1,"")))</f>
        <v/>
      </c>
      <c r="BK224" t="str">
        <f>IF(OR(BK$23="",ISNA($B224)),"",IF(ISBLANK($B224),"",IFERROR(_xll.BDP(TICKER,"DEEP_MEASURE_PERIOD_BROKER_VALUE","DEEP_MEASURE_ID_OVERRIDE",$C224,"DEEP_BROKER_ID_OVERRIDE",BK$24,"DEEP_PERIOD_OVERRIDE",$H$19)*1,"")))</f>
        <v/>
      </c>
      <c r="BL224" t="str">
        <f>IF(OR(BL$23="",ISNA($B224)),"",IF(ISBLANK($B224),"",IFERROR(_xll.BDP(TICKER,"DEEP_MEASURE_PERIOD_BROKER_VALUE","DEEP_MEASURE_ID_OVERRIDE",$C224,"DEEP_BROKER_ID_OVERRIDE",BL$24,"DEEP_PERIOD_OVERRIDE",$H$19)*1,"")))</f>
        <v/>
      </c>
      <c r="BM224" t="str">
        <f>IF(OR(BM$23="",ISNA($B224)),"",IF(ISBLANK($B224),"",IFERROR(_xll.BDP(TICKER,"DEEP_MEASURE_PERIOD_BROKER_VALUE","DEEP_MEASURE_ID_OVERRIDE",$C224,"DEEP_BROKER_ID_OVERRIDE",BM$24,"DEEP_PERIOD_OVERRIDE",$H$19)*1,"")))</f>
        <v/>
      </c>
      <c r="BN224" t="str">
        <f>IF(OR(BN$23="",ISNA($B224)),"",IF(ISBLANK($B224),"",IFERROR(_xll.BDP(TICKER,"DEEP_MEASURE_PERIOD_BROKER_VALUE","DEEP_MEASURE_ID_OVERRIDE",$C224,"DEEP_BROKER_ID_OVERRIDE",BN$24,"DEEP_PERIOD_OVERRIDE",$H$19)*1,"")))</f>
        <v/>
      </c>
      <c r="BO224" t="str">
        <f>IF(OR(BO$23="",ISNA($B224)),"",IF(ISBLANK($B224),"",IFERROR(_xll.BDP(TICKER,"DEEP_MEASURE_PERIOD_BROKER_VALUE","DEEP_MEASURE_ID_OVERRIDE",$C224,"DEEP_BROKER_ID_OVERRIDE",BO$24,"DEEP_PERIOD_OVERRIDE",$H$19)*1,"")))</f>
        <v/>
      </c>
      <c r="BP224" t="str">
        <f>IF(OR(BP$23="",ISNA($B224)),"",IF(ISBLANK($B224),"",IFERROR(_xll.BDP(TICKER,"DEEP_MEASURE_PERIOD_BROKER_VALUE","DEEP_MEASURE_ID_OVERRIDE",$C224,"DEEP_BROKER_ID_OVERRIDE",BP$24,"DEEP_PERIOD_OVERRIDE",$H$19)*1,"")))</f>
        <v/>
      </c>
      <c r="BQ224" t="str">
        <f>IF(OR(BQ$23="",ISNA($B224)),"",IF(ISBLANK($B224),"",IFERROR(_xll.BDP(TICKER,"DEEP_MEASURE_PERIOD_BROKER_VALUE","DEEP_MEASURE_ID_OVERRIDE",$C224,"DEEP_BROKER_ID_OVERRIDE",BQ$24,"DEEP_PERIOD_OVERRIDE",$H$19)*1,"")))</f>
        <v/>
      </c>
      <c r="BR224" t="str">
        <f>IF(OR(BR$23="",ISNA($B224)),"",IF(ISBLANK($B224),"",IFERROR(_xll.BDP(TICKER,"DEEP_MEASURE_PERIOD_BROKER_VALUE","DEEP_MEASURE_ID_OVERRIDE",$C224,"DEEP_BROKER_ID_OVERRIDE",BR$24,"DEEP_PERIOD_OVERRIDE",$H$19)*1,"")))</f>
        <v/>
      </c>
      <c r="BS224" t="str">
        <f>IF(OR(BS$23="",ISNA($B224)),"",IF(ISBLANK($B224),"",IFERROR(_xll.BDP(TICKER,"DEEP_MEASURE_PERIOD_BROKER_VALUE","DEEP_MEASURE_ID_OVERRIDE",$C224,"DEEP_BROKER_ID_OVERRIDE",BS$24,"DEEP_PERIOD_OVERRIDE",$H$19)*1,"")))</f>
        <v/>
      </c>
      <c r="BT224" t="str">
        <f>IF(OR(BT$23="",ISNA($B224)),"",IF(ISBLANK($B224),"",IFERROR(_xll.BDP(TICKER,"DEEP_MEASURE_PERIOD_BROKER_VALUE","DEEP_MEASURE_ID_OVERRIDE",$C224,"DEEP_BROKER_ID_OVERRIDE",BT$24,"DEEP_PERIOD_OVERRIDE",$H$19)*1,"")))</f>
        <v/>
      </c>
      <c r="BU224" t="str">
        <f>IF(OR(BU$23="",ISNA($B224)),"",IF(ISBLANK($B224),"",IFERROR(_xll.BDP(TICKER,"DEEP_MEASURE_PERIOD_BROKER_VALUE","DEEP_MEASURE_ID_OVERRIDE",$C224,"DEEP_BROKER_ID_OVERRIDE",BU$24,"DEEP_PERIOD_OVERRIDE",$H$19)*1,"")))</f>
        <v/>
      </c>
      <c r="BV224" t="str">
        <f>IF(OR(BV$23="",ISNA($B224)),"",IF(ISBLANK($B224),"",IFERROR(_xll.BDP(TICKER,"DEEP_MEASURE_PERIOD_BROKER_VALUE","DEEP_MEASURE_ID_OVERRIDE",$C224,"DEEP_BROKER_ID_OVERRIDE",BV$24,"DEEP_PERIOD_OVERRIDE",$H$19)*1,"")))</f>
        <v/>
      </c>
      <c r="BW224" t="str">
        <f>IF(OR(BW$23="",ISNA($B224)),"",IF(ISBLANK($B224),"",IFERROR(_xll.BDP(TICKER,"DEEP_MEASURE_PERIOD_BROKER_VALUE","DEEP_MEASURE_ID_OVERRIDE",$C224,"DEEP_BROKER_ID_OVERRIDE",BW$24,"DEEP_PERIOD_OVERRIDE",$H$19)*1,"")))</f>
        <v/>
      </c>
      <c r="BX224" t="str">
        <f>IF(OR(BX$23="",ISNA($B224)),"",IF(ISBLANK($B224),"",IFERROR(_xll.BDP(TICKER,"DEEP_MEASURE_PERIOD_BROKER_VALUE","DEEP_MEASURE_ID_OVERRIDE",$C224,"DEEP_BROKER_ID_OVERRIDE",BX$24,"DEEP_PERIOD_OVERRIDE",$H$19)*1,"")))</f>
        <v/>
      </c>
      <c r="BY224" t="str">
        <f>IF(OR(BY$23="",ISNA($B224)),"",IF(ISBLANK($B224),"",IFERROR(_xll.BDP(TICKER,"DEEP_MEASURE_PERIOD_BROKER_VALUE","DEEP_MEASURE_ID_OVERRIDE",$C224,"DEEP_BROKER_ID_OVERRIDE",BY$24,"DEEP_PERIOD_OVERRIDE",$H$19)*1,"")))</f>
        <v/>
      </c>
      <c r="BZ224" t="str">
        <f>IF(OR(BZ$23="",ISNA($B224)),"",IF(ISBLANK($B224),"",IFERROR(_xll.BDP(TICKER,"DEEP_MEASURE_PERIOD_BROKER_VALUE","DEEP_MEASURE_ID_OVERRIDE",$C224,"DEEP_BROKER_ID_OVERRIDE",BZ$24,"DEEP_PERIOD_OVERRIDE",$H$19)*1,"")))</f>
        <v/>
      </c>
    </row>
    <row r="225" spans="8:78" x14ac:dyDescent="0.25">
      <c r="H225" t="str">
        <f t="shared" si="4"/>
        <v/>
      </c>
      <c r="I225" t="str">
        <f>IF(OR(I$23="",ISNA($B225)),"",IF(ISBLANK($B225),"",IFERROR(_xll.BDP(TICKER,"DEEP_MEASURE_PERIOD_BROKER_VALUE","DEEP_MEASURE_ID_OVERRIDE",$C225,"DEEP_PERIOD_OVERRIDE",$H$19)*1,"")))</f>
        <v/>
      </c>
      <c r="J225" t="e">
        <f>IF(OR(J$23="",ISNA($B225)),"",IF(ISBLANK($B225),"",IFERROR(_xll.BDP(TICKER,"DEEP_MEASURE_PERIOD_BROKER_VALUE","DEEP_MEASURE_ID_OVERRIDE",$C225,"DEEP_BROKER_ID_OVERRIDE",J$24,"DEEP_PERIOD_OVERRIDE",$H$19)*1,"")))</f>
        <v>#REF!</v>
      </c>
      <c r="K225" t="str">
        <f>IF(OR(K$23="",ISNA($B225)),"",IF(ISBLANK($B225),"",IFERROR(_xll.BDP(TICKER,"DEEP_MEASURE_PERIOD_BROKER_VALUE","DEEP_MEASURE_ID_OVERRIDE",$C225,"DEEP_BROKER_ID_OVERRIDE",K$24,"DEEP_PERIOD_OVERRIDE",$H$19)*1,"")))</f>
        <v/>
      </c>
      <c r="L225" t="str">
        <f>IF(OR(L$23="",ISNA($B225)),"",IF(ISBLANK($B225),"",IFERROR(_xll.BDP(TICKER,"DEEP_MEASURE_PERIOD_BROKER_VALUE","DEEP_MEASURE_ID_OVERRIDE",$C225,"DEEP_BROKER_ID_OVERRIDE",L$24,"DEEP_PERIOD_OVERRIDE",$H$19)*1,"")))</f>
        <v/>
      </c>
      <c r="M225" t="str">
        <f>IF(OR(M$23="",ISNA($B225)),"",IF(ISBLANK($B225),"",IFERROR(_xll.BDP(TICKER,"DEEP_MEASURE_PERIOD_BROKER_VALUE","DEEP_MEASURE_ID_OVERRIDE",$C225,"DEEP_BROKER_ID_OVERRIDE",M$24,"DEEP_PERIOD_OVERRIDE",$H$19)*1,"")))</f>
        <v/>
      </c>
      <c r="N225" t="str">
        <f>IF(OR(N$23="",ISNA($B225)),"",IF(ISBLANK($B225),"",IFERROR(_xll.BDP(TICKER,"DEEP_MEASURE_PERIOD_BROKER_VALUE","DEEP_MEASURE_ID_OVERRIDE",$C225,"DEEP_BROKER_ID_OVERRIDE",N$24,"DEEP_PERIOD_OVERRIDE",$H$19)*1,"")))</f>
        <v/>
      </c>
      <c r="O225" t="str">
        <f>IF(OR(O$23="",ISNA($B225)),"",IF(ISBLANK($B225),"",IFERROR(_xll.BDP(TICKER,"DEEP_MEASURE_PERIOD_BROKER_VALUE","DEEP_MEASURE_ID_OVERRIDE",$C225,"DEEP_BROKER_ID_OVERRIDE",O$24,"DEEP_PERIOD_OVERRIDE",$H$19)*1,"")))</f>
        <v/>
      </c>
      <c r="P225" t="str">
        <f>IF(OR(P$23="",ISNA($B225)),"",IF(ISBLANK($B225),"",IFERROR(_xll.BDP(TICKER,"DEEP_MEASURE_PERIOD_BROKER_VALUE","DEEP_MEASURE_ID_OVERRIDE",$C225,"DEEP_BROKER_ID_OVERRIDE",P$24,"DEEP_PERIOD_OVERRIDE",$H$19)*1,"")))</f>
        <v/>
      </c>
      <c r="Q225" t="str">
        <f>IF(OR(Q$23="",ISNA($B225)),"",IF(ISBLANK($B225),"",IFERROR(_xll.BDP(TICKER,"DEEP_MEASURE_PERIOD_BROKER_VALUE","DEEP_MEASURE_ID_OVERRIDE",$C225,"DEEP_BROKER_ID_OVERRIDE",Q$24,"DEEP_PERIOD_OVERRIDE",$H$19)*1,"")))</f>
        <v/>
      </c>
      <c r="R225" t="str">
        <f>IF(OR(R$23="",ISNA($B225)),"",IF(ISBLANK($B225),"",IFERROR(_xll.BDP(TICKER,"DEEP_MEASURE_PERIOD_BROKER_VALUE","DEEP_MEASURE_ID_OVERRIDE",$C225,"DEEP_BROKER_ID_OVERRIDE",R$24,"DEEP_PERIOD_OVERRIDE",$H$19)*1,"")))</f>
        <v/>
      </c>
      <c r="S225" t="str">
        <f>IF(OR(S$23="",ISNA($B225)),"",IF(ISBLANK($B225),"",IFERROR(_xll.BDP(TICKER,"DEEP_MEASURE_PERIOD_BROKER_VALUE","DEEP_MEASURE_ID_OVERRIDE",$C225,"DEEP_BROKER_ID_OVERRIDE",S$24,"DEEP_PERIOD_OVERRIDE",$H$19)*1,"")))</f>
        <v/>
      </c>
      <c r="T225" t="str">
        <f>IF(OR(T$23="",ISNA($B225)),"",IF(ISBLANK($B225),"",IFERROR(_xll.BDP(TICKER,"DEEP_MEASURE_PERIOD_BROKER_VALUE","DEEP_MEASURE_ID_OVERRIDE",$C225,"DEEP_BROKER_ID_OVERRIDE",T$24,"DEEP_PERIOD_OVERRIDE",$H$19)*1,"")))</f>
        <v/>
      </c>
      <c r="U225" t="str">
        <f>IF(OR(U$23="",ISNA($B225)),"",IF(ISBLANK($B225),"",IFERROR(_xll.BDP(TICKER,"DEEP_MEASURE_PERIOD_BROKER_VALUE","DEEP_MEASURE_ID_OVERRIDE",$C225,"DEEP_BROKER_ID_OVERRIDE",U$24,"DEEP_PERIOD_OVERRIDE",$H$19)*1,"")))</f>
        <v/>
      </c>
      <c r="V225" t="str">
        <f>IF(OR(V$23="",ISNA($B225)),"",IF(ISBLANK($B225),"",IFERROR(_xll.BDP(TICKER,"DEEP_MEASURE_PERIOD_BROKER_VALUE","DEEP_MEASURE_ID_OVERRIDE",$C225,"DEEP_BROKER_ID_OVERRIDE",V$24,"DEEP_PERIOD_OVERRIDE",$H$19)*1,"")))</f>
        <v/>
      </c>
      <c r="W225" t="str">
        <f>IF(OR(W$23="",ISNA($B225)),"",IF(ISBLANK($B225),"",IFERROR(_xll.BDP(TICKER,"DEEP_MEASURE_PERIOD_BROKER_VALUE","DEEP_MEASURE_ID_OVERRIDE",$C225,"DEEP_BROKER_ID_OVERRIDE",W$24,"DEEP_PERIOD_OVERRIDE",$H$19)*1,"")))</f>
        <v/>
      </c>
      <c r="X225" t="str">
        <f>IF(OR(X$23="",ISNA($B225)),"",IF(ISBLANK($B225),"",IFERROR(_xll.BDP(TICKER,"DEEP_MEASURE_PERIOD_BROKER_VALUE","DEEP_MEASURE_ID_OVERRIDE",$C225,"DEEP_BROKER_ID_OVERRIDE",X$24,"DEEP_PERIOD_OVERRIDE",$H$19)*1,"")))</f>
        <v/>
      </c>
      <c r="Y225" t="str">
        <f>IF(OR(Y$23="",ISNA($B225)),"",IF(ISBLANK($B225),"",IFERROR(_xll.BDP(TICKER,"DEEP_MEASURE_PERIOD_BROKER_VALUE","DEEP_MEASURE_ID_OVERRIDE",$C225,"DEEP_BROKER_ID_OVERRIDE",Y$24,"DEEP_PERIOD_OVERRIDE",$H$19)*1,"")))</f>
        <v/>
      </c>
      <c r="Z225" t="str">
        <f>IF(OR(Z$23="",ISNA($B225)),"",IF(ISBLANK($B225),"",IFERROR(_xll.BDP(TICKER,"DEEP_MEASURE_PERIOD_BROKER_VALUE","DEEP_MEASURE_ID_OVERRIDE",$C225,"DEEP_BROKER_ID_OVERRIDE",Z$24,"DEEP_PERIOD_OVERRIDE",$H$19)*1,"")))</f>
        <v/>
      </c>
      <c r="AA225" t="str">
        <f>IF(OR(AA$23="",ISNA($B225)),"",IF(ISBLANK($B225),"",IFERROR(_xll.BDP(TICKER,"DEEP_MEASURE_PERIOD_BROKER_VALUE","DEEP_MEASURE_ID_OVERRIDE",$C225,"DEEP_BROKER_ID_OVERRIDE",AA$24,"DEEP_PERIOD_OVERRIDE",$H$19)*1,"")))</f>
        <v/>
      </c>
      <c r="AB225" t="str">
        <f>IF(OR(AB$23="",ISNA($B225)),"",IF(ISBLANK($B225),"",IFERROR(_xll.BDP(TICKER,"DEEP_MEASURE_PERIOD_BROKER_VALUE","DEEP_MEASURE_ID_OVERRIDE",$C225,"DEEP_BROKER_ID_OVERRIDE",AB$24,"DEEP_PERIOD_OVERRIDE",$H$19)*1,"")))</f>
        <v/>
      </c>
      <c r="AC225" t="str">
        <f>IF(OR(AC$23="",ISNA($B225)),"",IF(ISBLANK($B225),"",IFERROR(_xll.BDP(TICKER,"DEEP_MEASURE_PERIOD_BROKER_VALUE","DEEP_MEASURE_ID_OVERRIDE",$C225,"DEEP_BROKER_ID_OVERRIDE",AC$24,"DEEP_PERIOD_OVERRIDE",$H$19)*1,"")))</f>
        <v/>
      </c>
      <c r="AD225" t="str">
        <f>IF(OR(AD$23="",ISNA($B225)),"",IF(ISBLANK($B225),"",IFERROR(_xll.BDP(TICKER,"DEEP_MEASURE_PERIOD_BROKER_VALUE","DEEP_MEASURE_ID_OVERRIDE",$C225,"DEEP_BROKER_ID_OVERRIDE",AD$24,"DEEP_PERIOD_OVERRIDE",$H$19)*1,"")))</f>
        <v/>
      </c>
      <c r="AE225" t="str">
        <f>IF(OR(AE$23="",ISNA($B225)),"",IF(ISBLANK($B225),"",IFERROR(_xll.BDP(TICKER,"DEEP_MEASURE_PERIOD_BROKER_VALUE","DEEP_MEASURE_ID_OVERRIDE",$C225,"DEEP_BROKER_ID_OVERRIDE",AE$24,"DEEP_PERIOD_OVERRIDE",$H$19)*1,"")))</f>
        <v/>
      </c>
      <c r="AF225" t="str">
        <f>IF(OR(AF$23="",ISNA($B225)),"",IF(ISBLANK($B225),"",IFERROR(_xll.BDP(TICKER,"DEEP_MEASURE_PERIOD_BROKER_VALUE","DEEP_MEASURE_ID_OVERRIDE",$C225,"DEEP_BROKER_ID_OVERRIDE",AF$24,"DEEP_PERIOD_OVERRIDE",$H$19)*1,"")))</f>
        <v/>
      </c>
      <c r="AG225" t="str">
        <f>IF(OR(AG$23="",ISNA($B225)),"",IF(ISBLANK($B225),"",IFERROR(_xll.BDP(TICKER,"DEEP_MEASURE_PERIOD_BROKER_VALUE","DEEP_MEASURE_ID_OVERRIDE",$C225,"DEEP_BROKER_ID_OVERRIDE",AG$24,"DEEP_PERIOD_OVERRIDE",$H$19)*1,"")))</f>
        <v/>
      </c>
      <c r="AH225" t="str">
        <f>IF(OR(AH$23="",ISNA($B225)),"",IF(ISBLANK($B225),"",IFERROR(_xll.BDP(TICKER,"DEEP_MEASURE_PERIOD_BROKER_VALUE","DEEP_MEASURE_ID_OVERRIDE",$C225,"DEEP_BROKER_ID_OVERRIDE",AH$24,"DEEP_PERIOD_OVERRIDE",$H$19)*1,"")))</f>
        <v/>
      </c>
      <c r="AI225" t="str">
        <f>IF(OR(AI$23="",ISNA($B225)),"",IF(ISBLANK($B225),"",IFERROR(_xll.BDP(TICKER,"DEEP_MEASURE_PERIOD_BROKER_VALUE","DEEP_MEASURE_ID_OVERRIDE",$C225,"DEEP_BROKER_ID_OVERRIDE",AI$24,"DEEP_PERIOD_OVERRIDE",$H$19)*1,"")))</f>
        <v/>
      </c>
      <c r="AJ225" t="str">
        <f>IF(OR(AJ$23="",ISNA($B225)),"",IF(ISBLANK($B225),"",IFERROR(_xll.BDP(TICKER,"DEEP_MEASURE_PERIOD_BROKER_VALUE","DEEP_MEASURE_ID_OVERRIDE",$C225,"DEEP_BROKER_ID_OVERRIDE",AJ$24,"DEEP_PERIOD_OVERRIDE",$H$19)*1,"")))</f>
        <v/>
      </c>
      <c r="AK225" t="str">
        <f>IF(OR(AK$23="",ISNA($B225)),"",IF(ISBLANK($B225),"",IFERROR(_xll.BDP(TICKER,"DEEP_MEASURE_PERIOD_BROKER_VALUE","DEEP_MEASURE_ID_OVERRIDE",$C225,"DEEP_BROKER_ID_OVERRIDE",AK$24,"DEEP_PERIOD_OVERRIDE",$H$19)*1,"")))</f>
        <v/>
      </c>
      <c r="AL225" t="str">
        <f>IF(OR(AL$23="",ISNA($B225)),"",IF(ISBLANK($B225),"",IFERROR(_xll.BDP(TICKER,"DEEP_MEASURE_PERIOD_BROKER_VALUE","DEEP_MEASURE_ID_OVERRIDE",$C225,"DEEP_BROKER_ID_OVERRIDE",AL$24,"DEEP_PERIOD_OVERRIDE",$H$19)*1,"")))</f>
        <v/>
      </c>
      <c r="AM225" t="str">
        <f>IF(OR(AM$23="",ISNA($B225)),"",IF(ISBLANK($B225),"",IFERROR(_xll.BDP(TICKER,"DEEP_MEASURE_PERIOD_BROKER_VALUE","DEEP_MEASURE_ID_OVERRIDE",$C225,"DEEP_BROKER_ID_OVERRIDE",AM$24,"DEEP_PERIOD_OVERRIDE",$H$19)*1,"")))</f>
        <v/>
      </c>
      <c r="AN225" t="str">
        <f>IF(OR(AN$23="",ISNA($B225)),"",IF(ISBLANK($B225),"",IFERROR(_xll.BDP(TICKER,"DEEP_MEASURE_PERIOD_BROKER_VALUE","DEEP_MEASURE_ID_OVERRIDE",$C225,"DEEP_BROKER_ID_OVERRIDE",AN$24,"DEEP_PERIOD_OVERRIDE",$H$19)*1,"")))</f>
        <v/>
      </c>
      <c r="AO225" t="str">
        <f>IF(OR(AO$23="",ISNA($B225)),"",IF(ISBLANK($B225),"",IFERROR(_xll.BDP(TICKER,"DEEP_MEASURE_PERIOD_BROKER_VALUE","DEEP_MEASURE_ID_OVERRIDE",$C225,"DEEP_BROKER_ID_OVERRIDE",AO$24,"DEEP_PERIOD_OVERRIDE",$H$19)*1,"")))</f>
        <v/>
      </c>
      <c r="AP225" t="str">
        <f>IF(OR(AP$23="",ISNA($B225)),"",IF(ISBLANK($B225),"",IFERROR(_xll.BDP(TICKER,"DEEP_MEASURE_PERIOD_BROKER_VALUE","DEEP_MEASURE_ID_OVERRIDE",$C225,"DEEP_BROKER_ID_OVERRIDE",AP$24,"DEEP_PERIOD_OVERRIDE",$H$19)*1,"")))</f>
        <v/>
      </c>
      <c r="AQ225" t="str">
        <f>IF(OR(AQ$23="",ISNA($B225)),"",IF(ISBLANK($B225),"",IFERROR(_xll.BDP(TICKER,"DEEP_MEASURE_PERIOD_BROKER_VALUE","DEEP_MEASURE_ID_OVERRIDE",$C225,"DEEP_BROKER_ID_OVERRIDE",AQ$24,"DEEP_PERIOD_OVERRIDE",$H$19)*1,"")))</f>
        <v/>
      </c>
      <c r="AR225" t="str">
        <f>IF(OR(AR$23="",ISNA($B225)),"",IF(ISBLANK($B225),"",IFERROR(_xll.BDP(TICKER,"DEEP_MEASURE_PERIOD_BROKER_VALUE","DEEP_MEASURE_ID_OVERRIDE",$C225,"DEEP_BROKER_ID_OVERRIDE",AR$24,"DEEP_PERIOD_OVERRIDE",$H$19)*1,"")))</f>
        <v/>
      </c>
      <c r="AS225" t="str">
        <f>IF(OR(AS$23="",ISNA($B225)),"",IF(ISBLANK($B225),"",IFERROR(_xll.BDP(TICKER,"DEEP_MEASURE_PERIOD_BROKER_VALUE","DEEP_MEASURE_ID_OVERRIDE",$C225,"DEEP_BROKER_ID_OVERRIDE",AS$24,"DEEP_PERIOD_OVERRIDE",$H$19)*1,"")))</f>
        <v/>
      </c>
      <c r="AT225" t="str">
        <f>IF(OR(AT$23="",ISNA($B225)),"",IF(ISBLANK($B225),"",IFERROR(_xll.BDP(TICKER,"DEEP_MEASURE_PERIOD_BROKER_VALUE","DEEP_MEASURE_ID_OVERRIDE",$C225,"DEEP_BROKER_ID_OVERRIDE",AT$24,"DEEP_PERIOD_OVERRIDE",$H$19)*1,"")))</f>
        <v/>
      </c>
      <c r="AU225" t="str">
        <f>IF(OR(AU$23="",ISNA($B225)),"",IF(ISBLANK($B225),"",IFERROR(_xll.BDP(TICKER,"DEEP_MEASURE_PERIOD_BROKER_VALUE","DEEP_MEASURE_ID_OVERRIDE",$C225,"DEEP_BROKER_ID_OVERRIDE",AU$24,"DEEP_PERIOD_OVERRIDE",$H$19)*1,"")))</f>
        <v/>
      </c>
      <c r="AV225" t="str">
        <f>IF(OR(AV$23="",ISNA($B225)),"",IF(ISBLANK($B225),"",IFERROR(_xll.BDP(TICKER,"DEEP_MEASURE_PERIOD_BROKER_VALUE","DEEP_MEASURE_ID_OVERRIDE",$C225,"DEEP_BROKER_ID_OVERRIDE",AV$24,"DEEP_PERIOD_OVERRIDE",$H$19)*1,"")))</f>
        <v/>
      </c>
      <c r="AW225" t="str">
        <f>IF(OR(AW$23="",ISNA($B225)),"",IF(ISBLANK($B225),"",IFERROR(_xll.BDP(TICKER,"DEEP_MEASURE_PERIOD_BROKER_VALUE","DEEP_MEASURE_ID_OVERRIDE",$C225,"DEEP_BROKER_ID_OVERRIDE",AW$24,"DEEP_PERIOD_OVERRIDE",$H$19)*1,"")))</f>
        <v/>
      </c>
      <c r="AX225" t="str">
        <f>IF(OR(AX$23="",ISNA($B225)),"",IF(ISBLANK($B225),"",IFERROR(_xll.BDP(TICKER,"DEEP_MEASURE_PERIOD_BROKER_VALUE","DEEP_MEASURE_ID_OVERRIDE",$C225,"DEEP_BROKER_ID_OVERRIDE",AX$24,"DEEP_PERIOD_OVERRIDE",$H$19)*1,"")))</f>
        <v/>
      </c>
      <c r="AY225" t="str">
        <f>IF(OR(AY$23="",ISNA($B225)),"",IF(ISBLANK($B225),"",IFERROR(_xll.BDP(TICKER,"DEEP_MEASURE_PERIOD_BROKER_VALUE","DEEP_MEASURE_ID_OVERRIDE",$C225,"DEEP_BROKER_ID_OVERRIDE",AY$24,"DEEP_PERIOD_OVERRIDE",$H$19)*1,"")))</f>
        <v/>
      </c>
      <c r="AZ225" t="str">
        <f>IF(OR(AZ$23="",ISNA($B225)),"",IF(ISBLANK($B225),"",IFERROR(_xll.BDP(TICKER,"DEEP_MEASURE_PERIOD_BROKER_VALUE","DEEP_MEASURE_ID_OVERRIDE",$C225,"DEEP_BROKER_ID_OVERRIDE",AZ$24,"DEEP_PERIOD_OVERRIDE",$H$19)*1,"")))</f>
        <v/>
      </c>
      <c r="BA225" t="str">
        <f>IF(OR(BA$23="",ISNA($B225)),"",IF(ISBLANK($B225),"",IFERROR(_xll.BDP(TICKER,"DEEP_MEASURE_PERIOD_BROKER_VALUE","DEEP_MEASURE_ID_OVERRIDE",$C225,"DEEP_BROKER_ID_OVERRIDE",BA$24,"DEEP_PERIOD_OVERRIDE",$H$19)*1,"")))</f>
        <v/>
      </c>
      <c r="BB225" t="str">
        <f>IF(OR(BB$23="",ISNA($B225)),"",IF(ISBLANK($B225),"",IFERROR(_xll.BDP(TICKER,"DEEP_MEASURE_PERIOD_BROKER_VALUE","DEEP_MEASURE_ID_OVERRIDE",$C225,"DEEP_BROKER_ID_OVERRIDE",BB$24,"DEEP_PERIOD_OVERRIDE",$H$19)*1,"")))</f>
        <v/>
      </c>
      <c r="BC225" t="str">
        <f>IF(OR(BC$23="",ISNA($B225)),"",IF(ISBLANK($B225),"",IFERROR(_xll.BDP(TICKER,"DEEP_MEASURE_PERIOD_BROKER_VALUE","DEEP_MEASURE_ID_OVERRIDE",$C225,"DEEP_BROKER_ID_OVERRIDE",BC$24,"DEEP_PERIOD_OVERRIDE",$H$19)*1,"")))</f>
        <v/>
      </c>
      <c r="BD225" t="str">
        <f>IF(OR(BD$23="",ISNA($B225)),"",IF(ISBLANK($B225),"",IFERROR(_xll.BDP(TICKER,"DEEP_MEASURE_PERIOD_BROKER_VALUE","DEEP_MEASURE_ID_OVERRIDE",$C225,"DEEP_BROKER_ID_OVERRIDE",BD$24,"DEEP_PERIOD_OVERRIDE",$H$19)*1,"")))</f>
        <v/>
      </c>
      <c r="BE225" t="str">
        <f>IF(OR(BE$23="",ISNA($B225)),"",IF(ISBLANK($B225),"",IFERROR(_xll.BDP(TICKER,"DEEP_MEASURE_PERIOD_BROKER_VALUE","DEEP_MEASURE_ID_OVERRIDE",$C225,"DEEP_BROKER_ID_OVERRIDE",BE$24,"DEEP_PERIOD_OVERRIDE",$H$19)*1,"")))</f>
        <v/>
      </c>
      <c r="BF225" t="str">
        <f>IF(OR(BF$23="",ISNA($B225)),"",IF(ISBLANK($B225),"",IFERROR(_xll.BDP(TICKER,"DEEP_MEASURE_PERIOD_BROKER_VALUE","DEEP_MEASURE_ID_OVERRIDE",$C225,"DEEP_BROKER_ID_OVERRIDE",BF$24,"DEEP_PERIOD_OVERRIDE",$H$19)*1,"")))</f>
        <v/>
      </c>
      <c r="BG225" t="str">
        <f>IF(OR(BG$23="",ISNA($B225)),"",IF(ISBLANK($B225),"",IFERROR(_xll.BDP(TICKER,"DEEP_MEASURE_PERIOD_BROKER_VALUE","DEEP_MEASURE_ID_OVERRIDE",$C225,"DEEP_BROKER_ID_OVERRIDE",BG$24,"DEEP_PERIOD_OVERRIDE",$H$19)*1,"")))</f>
        <v/>
      </c>
      <c r="BH225" t="str">
        <f>IF(OR(BH$23="",ISNA($B225)),"",IF(ISBLANK($B225),"",IFERROR(_xll.BDP(TICKER,"DEEP_MEASURE_PERIOD_BROKER_VALUE","DEEP_MEASURE_ID_OVERRIDE",$C225,"DEEP_BROKER_ID_OVERRIDE",BH$24,"DEEP_PERIOD_OVERRIDE",$H$19)*1,"")))</f>
        <v/>
      </c>
      <c r="BI225" t="str">
        <f>IF(OR(BI$23="",ISNA($B225)),"",IF(ISBLANK($B225),"",IFERROR(_xll.BDP(TICKER,"DEEP_MEASURE_PERIOD_BROKER_VALUE","DEEP_MEASURE_ID_OVERRIDE",$C225,"DEEP_BROKER_ID_OVERRIDE",BI$24,"DEEP_PERIOD_OVERRIDE",$H$19)*1,"")))</f>
        <v/>
      </c>
      <c r="BJ225" t="str">
        <f>IF(OR(BJ$23="",ISNA($B225)),"",IF(ISBLANK($B225),"",IFERROR(_xll.BDP(TICKER,"DEEP_MEASURE_PERIOD_BROKER_VALUE","DEEP_MEASURE_ID_OVERRIDE",$C225,"DEEP_BROKER_ID_OVERRIDE",BJ$24,"DEEP_PERIOD_OVERRIDE",$H$19)*1,"")))</f>
        <v/>
      </c>
      <c r="BK225" t="str">
        <f>IF(OR(BK$23="",ISNA($B225)),"",IF(ISBLANK($B225),"",IFERROR(_xll.BDP(TICKER,"DEEP_MEASURE_PERIOD_BROKER_VALUE","DEEP_MEASURE_ID_OVERRIDE",$C225,"DEEP_BROKER_ID_OVERRIDE",BK$24,"DEEP_PERIOD_OVERRIDE",$H$19)*1,"")))</f>
        <v/>
      </c>
      <c r="BL225" t="str">
        <f>IF(OR(BL$23="",ISNA($B225)),"",IF(ISBLANK($B225),"",IFERROR(_xll.BDP(TICKER,"DEEP_MEASURE_PERIOD_BROKER_VALUE","DEEP_MEASURE_ID_OVERRIDE",$C225,"DEEP_BROKER_ID_OVERRIDE",BL$24,"DEEP_PERIOD_OVERRIDE",$H$19)*1,"")))</f>
        <v/>
      </c>
      <c r="BM225" t="str">
        <f>IF(OR(BM$23="",ISNA($B225)),"",IF(ISBLANK($B225),"",IFERROR(_xll.BDP(TICKER,"DEEP_MEASURE_PERIOD_BROKER_VALUE","DEEP_MEASURE_ID_OVERRIDE",$C225,"DEEP_BROKER_ID_OVERRIDE",BM$24,"DEEP_PERIOD_OVERRIDE",$H$19)*1,"")))</f>
        <v/>
      </c>
      <c r="BN225" t="str">
        <f>IF(OR(BN$23="",ISNA($B225)),"",IF(ISBLANK($B225),"",IFERROR(_xll.BDP(TICKER,"DEEP_MEASURE_PERIOD_BROKER_VALUE","DEEP_MEASURE_ID_OVERRIDE",$C225,"DEEP_BROKER_ID_OVERRIDE",BN$24,"DEEP_PERIOD_OVERRIDE",$H$19)*1,"")))</f>
        <v/>
      </c>
      <c r="BO225" t="str">
        <f>IF(OR(BO$23="",ISNA($B225)),"",IF(ISBLANK($B225),"",IFERROR(_xll.BDP(TICKER,"DEEP_MEASURE_PERIOD_BROKER_VALUE","DEEP_MEASURE_ID_OVERRIDE",$C225,"DEEP_BROKER_ID_OVERRIDE",BO$24,"DEEP_PERIOD_OVERRIDE",$H$19)*1,"")))</f>
        <v/>
      </c>
      <c r="BP225" t="str">
        <f>IF(OR(BP$23="",ISNA($B225)),"",IF(ISBLANK($B225),"",IFERROR(_xll.BDP(TICKER,"DEEP_MEASURE_PERIOD_BROKER_VALUE","DEEP_MEASURE_ID_OVERRIDE",$C225,"DEEP_BROKER_ID_OVERRIDE",BP$24,"DEEP_PERIOD_OVERRIDE",$H$19)*1,"")))</f>
        <v/>
      </c>
      <c r="BQ225" t="str">
        <f>IF(OR(BQ$23="",ISNA($B225)),"",IF(ISBLANK($B225),"",IFERROR(_xll.BDP(TICKER,"DEEP_MEASURE_PERIOD_BROKER_VALUE","DEEP_MEASURE_ID_OVERRIDE",$C225,"DEEP_BROKER_ID_OVERRIDE",BQ$24,"DEEP_PERIOD_OVERRIDE",$H$19)*1,"")))</f>
        <v/>
      </c>
      <c r="BR225" t="str">
        <f>IF(OR(BR$23="",ISNA($B225)),"",IF(ISBLANK($B225),"",IFERROR(_xll.BDP(TICKER,"DEEP_MEASURE_PERIOD_BROKER_VALUE","DEEP_MEASURE_ID_OVERRIDE",$C225,"DEEP_BROKER_ID_OVERRIDE",BR$24,"DEEP_PERIOD_OVERRIDE",$H$19)*1,"")))</f>
        <v/>
      </c>
      <c r="BS225" t="str">
        <f>IF(OR(BS$23="",ISNA($B225)),"",IF(ISBLANK($B225),"",IFERROR(_xll.BDP(TICKER,"DEEP_MEASURE_PERIOD_BROKER_VALUE","DEEP_MEASURE_ID_OVERRIDE",$C225,"DEEP_BROKER_ID_OVERRIDE",BS$24,"DEEP_PERIOD_OVERRIDE",$H$19)*1,"")))</f>
        <v/>
      </c>
      <c r="BT225" t="str">
        <f>IF(OR(BT$23="",ISNA($B225)),"",IF(ISBLANK($B225),"",IFERROR(_xll.BDP(TICKER,"DEEP_MEASURE_PERIOD_BROKER_VALUE","DEEP_MEASURE_ID_OVERRIDE",$C225,"DEEP_BROKER_ID_OVERRIDE",BT$24,"DEEP_PERIOD_OVERRIDE",$H$19)*1,"")))</f>
        <v/>
      </c>
      <c r="BU225" t="str">
        <f>IF(OR(BU$23="",ISNA($B225)),"",IF(ISBLANK($B225),"",IFERROR(_xll.BDP(TICKER,"DEEP_MEASURE_PERIOD_BROKER_VALUE","DEEP_MEASURE_ID_OVERRIDE",$C225,"DEEP_BROKER_ID_OVERRIDE",BU$24,"DEEP_PERIOD_OVERRIDE",$H$19)*1,"")))</f>
        <v/>
      </c>
      <c r="BV225" t="str">
        <f>IF(OR(BV$23="",ISNA($B225)),"",IF(ISBLANK($B225),"",IFERROR(_xll.BDP(TICKER,"DEEP_MEASURE_PERIOD_BROKER_VALUE","DEEP_MEASURE_ID_OVERRIDE",$C225,"DEEP_BROKER_ID_OVERRIDE",BV$24,"DEEP_PERIOD_OVERRIDE",$H$19)*1,"")))</f>
        <v/>
      </c>
      <c r="BW225" t="str">
        <f>IF(OR(BW$23="",ISNA($B225)),"",IF(ISBLANK($B225),"",IFERROR(_xll.BDP(TICKER,"DEEP_MEASURE_PERIOD_BROKER_VALUE","DEEP_MEASURE_ID_OVERRIDE",$C225,"DEEP_BROKER_ID_OVERRIDE",BW$24,"DEEP_PERIOD_OVERRIDE",$H$19)*1,"")))</f>
        <v/>
      </c>
      <c r="BX225" t="str">
        <f>IF(OR(BX$23="",ISNA($B225)),"",IF(ISBLANK($B225),"",IFERROR(_xll.BDP(TICKER,"DEEP_MEASURE_PERIOD_BROKER_VALUE","DEEP_MEASURE_ID_OVERRIDE",$C225,"DEEP_BROKER_ID_OVERRIDE",BX$24,"DEEP_PERIOD_OVERRIDE",$H$19)*1,"")))</f>
        <v/>
      </c>
      <c r="BY225" t="str">
        <f>IF(OR(BY$23="",ISNA($B225)),"",IF(ISBLANK($B225),"",IFERROR(_xll.BDP(TICKER,"DEEP_MEASURE_PERIOD_BROKER_VALUE","DEEP_MEASURE_ID_OVERRIDE",$C225,"DEEP_BROKER_ID_OVERRIDE",BY$24,"DEEP_PERIOD_OVERRIDE",$H$19)*1,"")))</f>
        <v/>
      </c>
      <c r="BZ225" t="str">
        <f>IF(OR(BZ$23="",ISNA($B225)),"",IF(ISBLANK($B225),"",IFERROR(_xll.BDP(TICKER,"DEEP_MEASURE_PERIOD_BROKER_VALUE","DEEP_MEASURE_ID_OVERRIDE",$C225,"DEEP_BROKER_ID_OVERRIDE",BZ$24,"DEEP_PERIOD_OVERRIDE",$H$19)*1,"")))</f>
        <v/>
      </c>
    </row>
    <row r="226" spans="8:78" x14ac:dyDescent="0.25">
      <c r="H226" t="str">
        <f t="shared" si="4"/>
        <v/>
      </c>
      <c r="I226" t="str">
        <f>IF(OR(I$23="",ISNA($B226)),"",IF(ISBLANK($B226),"",IFERROR(_xll.BDP(TICKER,"DEEP_MEASURE_PERIOD_BROKER_VALUE","DEEP_MEASURE_ID_OVERRIDE",$C226,"DEEP_PERIOD_OVERRIDE",$H$19)*1,"")))</f>
        <v/>
      </c>
      <c r="J226" t="e">
        <f>IF(OR(J$23="",ISNA($B226)),"",IF(ISBLANK($B226),"",IFERROR(_xll.BDP(TICKER,"DEEP_MEASURE_PERIOD_BROKER_VALUE","DEEP_MEASURE_ID_OVERRIDE",$C226,"DEEP_BROKER_ID_OVERRIDE",J$24,"DEEP_PERIOD_OVERRIDE",$H$19)*1,"")))</f>
        <v>#REF!</v>
      </c>
      <c r="K226" t="str">
        <f>IF(OR(K$23="",ISNA($B226)),"",IF(ISBLANK($B226),"",IFERROR(_xll.BDP(TICKER,"DEEP_MEASURE_PERIOD_BROKER_VALUE","DEEP_MEASURE_ID_OVERRIDE",$C226,"DEEP_BROKER_ID_OVERRIDE",K$24,"DEEP_PERIOD_OVERRIDE",$H$19)*1,"")))</f>
        <v/>
      </c>
      <c r="L226" t="str">
        <f>IF(OR(L$23="",ISNA($B226)),"",IF(ISBLANK($B226),"",IFERROR(_xll.BDP(TICKER,"DEEP_MEASURE_PERIOD_BROKER_VALUE","DEEP_MEASURE_ID_OVERRIDE",$C226,"DEEP_BROKER_ID_OVERRIDE",L$24,"DEEP_PERIOD_OVERRIDE",$H$19)*1,"")))</f>
        <v/>
      </c>
      <c r="M226" t="str">
        <f>IF(OR(M$23="",ISNA($B226)),"",IF(ISBLANK($B226),"",IFERROR(_xll.BDP(TICKER,"DEEP_MEASURE_PERIOD_BROKER_VALUE","DEEP_MEASURE_ID_OVERRIDE",$C226,"DEEP_BROKER_ID_OVERRIDE",M$24,"DEEP_PERIOD_OVERRIDE",$H$19)*1,"")))</f>
        <v/>
      </c>
      <c r="N226" t="str">
        <f>IF(OR(N$23="",ISNA($B226)),"",IF(ISBLANK($B226),"",IFERROR(_xll.BDP(TICKER,"DEEP_MEASURE_PERIOD_BROKER_VALUE","DEEP_MEASURE_ID_OVERRIDE",$C226,"DEEP_BROKER_ID_OVERRIDE",N$24,"DEEP_PERIOD_OVERRIDE",$H$19)*1,"")))</f>
        <v/>
      </c>
      <c r="O226" t="str">
        <f>IF(OR(O$23="",ISNA($B226)),"",IF(ISBLANK($B226),"",IFERROR(_xll.BDP(TICKER,"DEEP_MEASURE_PERIOD_BROKER_VALUE","DEEP_MEASURE_ID_OVERRIDE",$C226,"DEEP_BROKER_ID_OVERRIDE",O$24,"DEEP_PERIOD_OVERRIDE",$H$19)*1,"")))</f>
        <v/>
      </c>
      <c r="P226" t="str">
        <f>IF(OR(P$23="",ISNA($B226)),"",IF(ISBLANK($B226),"",IFERROR(_xll.BDP(TICKER,"DEEP_MEASURE_PERIOD_BROKER_VALUE","DEEP_MEASURE_ID_OVERRIDE",$C226,"DEEP_BROKER_ID_OVERRIDE",P$24,"DEEP_PERIOD_OVERRIDE",$H$19)*1,"")))</f>
        <v/>
      </c>
      <c r="Q226" t="str">
        <f>IF(OR(Q$23="",ISNA($B226)),"",IF(ISBLANK($B226),"",IFERROR(_xll.BDP(TICKER,"DEEP_MEASURE_PERIOD_BROKER_VALUE","DEEP_MEASURE_ID_OVERRIDE",$C226,"DEEP_BROKER_ID_OVERRIDE",Q$24,"DEEP_PERIOD_OVERRIDE",$H$19)*1,"")))</f>
        <v/>
      </c>
      <c r="R226" t="str">
        <f>IF(OR(R$23="",ISNA($B226)),"",IF(ISBLANK($B226),"",IFERROR(_xll.BDP(TICKER,"DEEP_MEASURE_PERIOD_BROKER_VALUE","DEEP_MEASURE_ID_OVERRIDE",$C226,"DEEP_BROKER_ID_OVERRIDE",R$24,"DEEP_PERIOD_OVERRIDE",$H$19)*1,"")))</f>
        <v/>
      </c>
      <c r="S226" t="str">
        <f>IF(OR(S$23="",ISNA($B226)),"",IF(ISBLANK($B226),"",IFERROR(_xll.BDP(TICKER,"DEEP_MEASURE_PERIOD_BROKER_VALUE","DEEP_MEASURE_ID_OVERRIDE",$C226,"DEEP_BROKER_ID_OVERRIDE",S$24,"DEEP_PERIOD_OVERRIDE",$H$19)*1,"")))</f>
        <v/>
      </c>
      <c r="T226" t="str">
        <f>IF(OR(T$23="",ISNA($B226)),"",IF(ISBLANK($B226),"",IFERROR(_xll.BDP(TICKER,"DEEP_MEASURE_PERIOD_BROKER_VALUE","DEEP_MEASURE_ID_OVERRIDE",$C226,"DEEP_BROKER_ID_OVERRIDE",T$24,"DEEP_PERIOD_OVERRIDE",$H$19)*1,"")))</f>
        <v/>
      </c>
      <c r="U226" t="str">
        <f>IF(OR(U$23="",ISNA($B226)),"",IF(ISBLANK($B226),"",IFERROR(_xll.BDP(TICKER,"DEEP_MEASURE_PERIOD_BROKER_VALUE","DEEP_MEASURE_ID_OVERRIDE",$C226,"DEEP_BROKER_ID_OVERRIDE",U$24,"DEEP_PERIOD_OVERRIDE",$H$19)*1,"")))</f>
        <v/>
      </c>
      <c r="V226" t="str">
        <f>IF(OR(V$23="",ISNA($B226)),"",IF(ISBLANK($B226),"",IFERROR(_xll.BDP(TICKER,"DEEP_MEASURE_PERIOD_BROKER_VALUE","DEEP_MEASURE_ID_OVERRIDE",$C226,"DEEP_BROKER_ID_OVERRIDE",V$24,"DEEP_PERIOD_OVERRIDE",$H$19)*1,"")))</f>
        <v/>
      </c>
      <c r="W226" t="str">
        <f>IF(OR(W$23="",ISNA($B226)),"",IF(ISBLANK($B226),"",IFERROR(_xll.BDP(TICKER,"DEEP_MEASURE_PERIOD_BROKER_VALUE","DEEP_MEASURE_ID_OVERRIDE",$C226,"DEEP_BROKER_ID_OVERRIDE",W$24,"DEEP_PERIOD_OVERRIDE",$H$19)*1,"")))</f>
        <v/>
      </c>
      <c r="X226" t="str">
        <f>IF(OR(X$23="",ISNA($B226)),"",IF(ISBLANK($B226),"",IFERROR(_xll.BDP(TICKER,"DEEP_MEASURE_PERIOD_BROKER_VALUE","DEEP_MEASURE_ID_OVERRIDE",$C226,"DEEP_BROKER_ID_OVERRIDE",X$24,"DEEP_PERIOD_OVERRIDE",$H$19)*1,"")))</f>
        <v/>
      </c>
      <c r="Y226" t="str">
        <f>IF(OR(Y$23="",ISNA($B226)),"",IF(ISBLANK($B226),"",IFERROR(_xll.BDP(TICKER,"DEEP_MEASURE_PERIOD_BROKER_VALUE","DEEP_MEASURE_ID_OVERRIDE",$C226,"DEEP_BROKER_ID_OVERRIDE",Y$24,"DEEP_PERIOD_OVERRIDE",$H$19)*1,"")))</f>
        <v/>
      </c>
      <c r="Z226" t="str">
        <f>IF(OR(Z$23="",ISNA($B226)),"",IF(ISBLANK($B226),"",IFERROR(_xll.BDP(TICKER,"DEEP_MEASURE_PERIOD_BROKER_VALUE","DEEP_MEASURE_ID_OVERRIDE",$C226,"DEEP_BROKER_ID_OVERRIDE",Z$24,"DEEP_PERIOD_OVERRIDE",$H$19)*1,"")))</f>
        <v/>
      </c>
      <c r="AA226" t="str">
        <f>IF(OR(AA$23="",ISNA($B226)),"",IF(ISBLANK($B226),"",IFERROR(_xll.BDP(TICKER,"DEEP_MEASURE_PERIOD_BROKER_VALUE","DEEP_MEASURE_ID_OVERRIDE",$C226,"DEEP_BROKER_ID_OVERRIDE",AA$24,"DEEP_PERIOD_OVERRIDE",$H$19)*1,"")))</f>
        <v/>
      </c>
      <c r="AB226" t="str">
        <f>IF(OR(AB$23="",ISNA($B226)),"",IF(ISBLANK($B226),"",IFERROR(_xll.BDP(TICKER,"DEEP_MEASURE_PERIOD_BROKER_VALUE","DEEP_MEASURE_ID_OVERRIDE",$C226,"DEEP_BROKER_ID_OVERRIDE",AB$24,"DEEP_PERIOD_OVERRIDE",$H$19)*1,"")))</f>
        <v/>
      </c>
      <c r="AC226" t="str">
        <f>IF(OR(AC$23="",ISNA($B226)),"",IF(ISBLANK($B226),"",IFERROR(_xll.BDP(TICKER,"DEEP_MEASURE_PERIOD_BROKER_VALUE","DEEP_MEASURE_ID_OVERRIDE",$C226,"DEEP_BROKER_ID_OVERRIDE",AC$24,"DEEP_PERIOD_OVERRIDE",$H$19)*1,"")))</f>
        <v/>
      </c>
      <c r="AD226" t="str">
        <f>IF(OR(AD$23="",ISNA($B226)),"",IF(ISBLANK($B226),"",IFERROR(_xll.BDP(TICKER,"DEEP_MEASURE_PERIOD_BROKER_VALUE","DEEP_MEASURE_ID_OVERRIDE",$C226,"DEEP_BROKER_ID_OVERRIDE",AD$24,"DEEP_PERIOD_OVERRIDE",$H$19)*1,"")))</f>
        <v/>
      </c>
      <c r="AE226" t="str">
        <f>IF(OR(AE$23="",ISNA($B226)),"",IF(ISBLANK($B226),"",IFERROR(_xll.BDP(TICKER,"DEEP_MEASURE_PERIOD_BROKER_VALUE","DEEP_MEASURE_ID_OVERRIDE",$C226,"DEEP_BROKER_ID_OVERRIDE",AE$24,"DEEP_PERIOD_OVERRIDE",$H$19)*1,"")))</f>
        <v/>
      </c>
      <c r="AF226" t="str">
        <f>IF(OR(AF$23="",ISNA($B226)),"",IF(ISBLANK($B226),"",IFERROR(_xll.BDP(TICKER,"DEEP_MEASURE_PERIOD_BROKER_VALUE","DEEP_MEASURE_ID_OVERRIDE",$C226,"DEEP_BROKER_ID_OVERRIDE",AF$24,"DEEP_PERIOD_OVERRIDE",$H$19)*1,"")))</f>
        <v/>
      </c>
      <c r="AG226" t="str">
        <f>IF(OR(AG$23="",ISNA($B226)),"",IF(ISBLANK($B226),"",IFERROR(_xll.BDP(TICKER,"DEEP_MEASURE_PERIOD_BROKER_VALUE","DEEP_MEASURE_ID_OVERRIDE",$C226,"DEEP_BROKER_ID_OVERRIDE",AG$24,"DEEP_PERIOD_OVERRIDE",$H$19)*1,"")))</f>
        <v/>
      </c>
      <c r="AH226" t="str">
        <f>IF(OR(AH$23="",ISNA($B226)),"",IF(ISBLANK($B226),"",IFERROR(_xll.BDP(TICKER,"DEEP_MEASURE_PERIOD_BROKER_VALUE","DEEP_MEASURE_ID_OVERRIDE",$C226,"DEEP_BROKER_ID_OVERRIDE",AH$24,"DEEP_PERIOD_OVERRIDE",$H$19)*1,"")))</f>
        <v/>
      </c>
      <c r="AI226" t="str">
        <f>IF(OR(AI$23="",ISNA($B226)),"",IF(ISBLANK($B226),"",IFERROR(_xll.BDP(TICKER,"DEEP_MEASURE_PERIOD_BROKER_VALUE","DEEP_MEASURE_ID_OVERRIDE",$C226,"DEEP_BROKER_ID_OVERRIDE",AI$24,"DEEP_PERIOD_OVERRIDE",$H$19)*1,"")))</f>
        <v/>
      </c>
      <c r="AJ226" t="str">
        <f>IF(OR(AJ$23="",ISNA($B226)),"",IF(ISBLANK($B226),"",IFERROR(_xll.BDP(TICKER,"DEEP_MEASURE_PERIOD_BROKER_VALUE","DEEP_MEASURE_ID_OVERRIDE",$C226,"DEEP_BROKER_ID_OVERRIDE",AJ$24,"DEEP_PERIOD_OVERRIDE",$H$19)*1,"")))</f>
        <v/>
      </c>
      <c r="AK226" t="str">
        <f>IF(OR(AK$23="",ISNA($B226)),"",IF(ISBLANK($B226),"",IFERROR(_xll.BDP(TICKER,"DEEP_MEASURE_PERIOD_BROKER_VALUE","DEEP_MEASURE_ID_OVERRIDE",$C226,"DEEP_BROKER_ID_OVERRIDE",AK$24,"DEEP_PERIOD_OVERRIDE",$H$19)*1,"")))</f>
        <v/>
      </c>
      <c r="AL226" t="str">
        <f>IF(OR(AL$23="",ISNA($B226)),"",IF(ISBLANK($B226),"",IFERROR(_xll.BDP(TICKER,"DEEP_MEASURE_PERIOD_BROKER_VALUE","DEEP_MEASURE_ID_OVERRIDE",$C226,"DEEP_BROKER_ID_OVERRIDE",AL$24,"DEEP_PERIOD_OVERRIDE",$H$19)*1,"")))</f>
        <v/>
      </c>
      <c r="AM226" t="str">
        <f>IF(OR(AM$23="",ISNA($B226)),"",IF(ISBLANK($B226),"",IFERROR(_xll.BDP(TICKER,"DEEP_MEASURE_PERIOD_BROKER_VALUE","DEEP_MEASURE_ID_OVERRIDE",$C226,"DEEP_BROKER_ID_OVERRIDE",AM$24,"DEEP_PERIOD_OVERRIDE",$H$19)*1,"")))</f>
        <v/>
      </c>
      <c r="AN226" t="str">
        <f>IF(OR(AN$23="",ISNA($B226)),"",IF(ISBLANK($B226),"",IFERROR(_xll.BDP(TICKER,"DEEP_MEASURE_PERIOD_BROKER_VALUE","DEEP_MEASURE_ID_OVERRIDE",$C226,"DEEP_BROKER_ID_OVERRIDE",AN$24,"DEEP_PERIOD_OVERRIDE",$H$19)*1,"")))</f>
        <v/>
      </c>
      <c r="AO226" t="str">
        <f>IF(OR(AO$23="",ISNA($B226)),"",IF(ISBLANK($B226),"",IFERROR(_xll.BDP(TICKER,"DEEP_MEASURE_PERIOD_BROKER_VALUE","DEEP_MEASURE_ID_OVERRIDE",$C226,"DEEP_BROKER_ID_OVERRIDE",AO$24,"DEEP_PERIOD_OVERRIDE",$H$19)*1,"")))</f>
        <v/>
      </c>
      <c r="AP226" t="str">
        <f>IF(OR(AP$23="",ISNA($B226)),"",IF(ISBLANK($B226),"",IFERROR(_xll.BDP(TICKER,"DEEP_MEASURE_PERIOD_BROKER_VALUE","DEEP_MEASURE_ID_OVERRIDE",$C226,"DEEP_BROKER_ID_OVERRIDE",AP$24,"DEEP_PERIOD_OVERRIDE",$H$19)*1,"")))</f>
        <v/>
      </c>
      <c r="AQ226" t="str">
        <f>IF(OR(AQ$23="",ISNA($B226)),"",IF(ISBLANK($B226),"",IFERROR(_xll.BDP(TICKER,"DEEP_MEASURE_PERIOD_BROKER_VALUE","DEEP_MEASURE_ID_OVERRIDE",$C226,"DEEP_BROKER_ID_OVERRIDE",AQ$24,"DEEP_PERIOD_OVERRIDE",$H$19)*1,"")))</f>
        <v/>
      </c>
      <c r="AR226" t="str">
        <f>IF(OR(AR$23="",ISNA($B226)),"",IF(ISBLANK($B226),"",IFERROR(_xll.BDP(TICKER,"DEEP_MEASURE_PERIOD_BROKER_VALUE","DEEP_MEASURE_ID_OVERRIDE",$C226,"DEEP_BROKER_ID_OVERRIDE",AR$24,"DEEP_PERIOD_OVERRIDE",$H$19)*1,"")))</f>
        <v/>
      </c>
      <c r="AS226" t="str">
        <f>IF(OR(AS$23="",ISNA($B226)),"",IF(ISBLANK($B226),"",IFERROR(_xll.BDP(TICKER,"DEEP_MEASURE_PERIOD_BROKER_VALUE","DEEP_MEASURE_ID_OVERRIDE",$C226,"DEEP_BROKER_ID_OVERRIDE",AS$24,"DEEP_PERIOD_OVERRIDE",$H$19)*1,"")))</f>
        <v/>
      </c>
      <c r="AT226" t="str">
        <f>IF(OR(AT$23="",ISNA($B226)),"",IF(ISBLANK($B226),"",IFERROR(_xll.BDP(TICKER,"DEEP_MEASURE_PERIOD_BROKER_VALUE","DEEP_MEASURE_ID_OVERRIDE",$C226,"DEEP_BROKER_ID_OVERRIDE",AT$24,"DEEP_PERIOD_OVERRIDE",$H$19)*1,"")))</f>
        <v/>
      </c>
      <c r="AU226" t="str">
        <f>IF(OR(AU$23="",ISNA($B226)),"",IF(ISBLANK($B226),"",IFERROR(_xll.BDP(TICKER,"DEEP_MEASURE_PERIOD_BROKER_VALUE","DEEP_MEASURE_ID_OVERRIDE",$C226,"DEEP_BROKER_ID_OVERRIDE",AU$24,"DEEP_PERIOD_OVERRIDE",$H$19)*1,"")))</f>
        <v/>
      </c>
      <c r="AV226" t="str">
        <f>IF(OR(AV$23="",ISNA($B226)),"",IF(ISBLANK($B226),"",IFERROR(_xll.BDP(TICKER,"DEEP_MEASURE_PERIOD_BROKER_VALUE","DEEP_MEASURE_ID_OVERRIDE",$C226,"DEEP_BROKER_ID_OVERRIDE",AV$24,"DEEP_PERIOD_OVERRIDE",$H$19)*1,"")))</f>
        <v/>
      </c>
      <c r="AW226" t="str">
        <f>IF(OR(AW$23="",ISNA($B226)),"",IF(ISBLANK($B226),"",IFERROR(_xll.BDP(TICKER,"DEEP_MEASURE_PERIOD_BROKER_VALUE","DEEP_MEASURE_ID_OVERRIDE",$C226,"DEEP_BROKER_ID_OVERRIDE",AW$24,"DEEP_PERIOD_OVERRIDE",$H$19)*1,"")))</f>
        <v/>
      </c>
      <c r="AX226" t="str">
        <f>IF(OR(AX$23="",ISNA($B226)),"",IF(ISBLANK($B226),"",IFERROR(_xll.BDP(TICKER,"DEEP_MEASURE_PERIOD_BROKER_VALUE","DEEP_MEASURE_ID_OVERRIDE",$C226,"DEEP_BROKER_ID_OVERRIDE",AX$24,"DEEP_PERIOD_OVERRIDE",$H$19)*1,"")))</f>
        <v/>
      </c>
      <c r="AY226" t="str">
        <f>IF(OR(AY$23="",ISNA($B226)),"",IF(ISBLANK($B226),"",IFERROR(_xll.BDP(TICKER,"DEEP_MEASURE_PERIOD_BROKER_VALUE","DEEP_MEASURE_ID_OVERRIDE",$C226,"DEEP_BROKER_ID_OVERRIDE",AY$24,"DEEP_PERIOD_OVERRIDE",$H$19)*1,"")))</f>
        <v/>
      </c>
      <c r="AZ226" t="str">
        <f>IF(OR(AZ$23="",ISNA($B226)),"",IF(ISBLANK($B226),"",IFERROR(_xll.BDP(TICKER,"DEEP_MEASURE_PERIOD_BROKER_VALUE","DEEP_MEASURE_ID_OVERRIDE",$C226,"DEEP_BROKER_ID_OVERRIDE",AZ$24,"DEEP_PERIOD_OVERRIDE",$H$19)*1,"")))</f>
        <v/>
      </c>
      <c r="BA226" t="str">
        <f>IF(OR(BA$23="",ISNA($B226)),"",IF(ISBLANK($B226),"",IFERROR(_xll.BDP(TICKER,"DEEP_MEASURE_PERIOD_BROKER_VALUE","DEEP_MEASURE_ID_OVERRIDE",$C226,"DEEP_BROKER_ID_OVERRIDE",BA$24,"DEEP_PERIOD_OVERRIDE",$H$19)*1,"")))</f>
        <v/>
      </c>
      <c r="BB226" t="str">
        <f>IF(OR(BB$23="",ISNA($B226)),"",IF(ISBLANK($B226),"",IFERROR(_xll.BDP(TICKER,"DEEP_MEASURE_PERIOD_BROKER_VALUE","DEEP_MEASURE_ID_OVERRIDE",$C226,"DEEP_BROKER_ID_OVERRIDE",BB$24,"DEEP_PERIOD_OVERRIDE",$H$19)*1,"")))</f>
        <v/>
      </c>
      <c r="BC226" t="str">
        <f>IF(OR(BC$23="",ISNA($B226)),"",IF(ISBLANK($B226),"",IFERROR(_xll.BDP(TICKER,"DEEP_MEASURE_PERIOD_BROKER_VALUE","DEEP_MEASURE_ID_OVERRIDE",$C226,"DEEP_BROKER_ID_OVERRIDE",BC$24,"DEEP_PERIOD_OVERRIDE",$H$19)*1,"")))</f>
        <v/>
      </c>
      <c r="BD226" t="str">
        <f>IF(OR(BD$23="",ISNA($B226)),"",IF(ISBLANK($B226),"",IFERROR(_xll.BDP(TICKER,"DEEP_MEASURE_PERIOD_BROKER_VALUE","DEEP_MEASURE_ID_OVERRIDE",$C226,"DEEP_BROKER_ID_OVERRIDE",BD$24,"DEEP_PERIOD_OVERRIDE",$H$19)*1,"")))</f>
        <v/>
      </c>
      <c r="BE226" t="str">
        <f>IF(OR(BE$23="",ISNA($B226)),"",IF(ISBLANK($B226),"",IFERROR(_xll.BDP(TICKER,"DEEP_MEASURE_PERIOD_BROKER_VALUE","DEEP_MEASURE_ID_OVERRIDE",$C226,"DEEP_BROKER_ID_OVERRIDE",BE$24,"DEEP_PERIOD_OVERRIDE",$H$19)*1,"")))</f>
        <v/>
      </c>
      <c r="BF226" t="str">
        <f>IF(OR(BF$23="",ISNA($B226)),"",IF(ISBLANK($B226),"",IFERROR(_xll.BDP(TICKER,"DEEP_MEASURE_PERIOD_BROKER_VALUE","DEEP_MEASURE_ID_OVERRIDE",$C226,"DEEP_BROKER_ID_OVERRIDE",BF$24,"DEEP_PERIOD_OVERRIDE",$H$19)*1,"")))</f>
        <v/>
      </c>
      <c r="BG226" t="str">
        <f>IF(OR(BG$23="",ISNA($B226)),"",IF(ISBLANK($B226),"",IFERROR(_xll.BDP(TICKER,"DEEP_MEASURE_PERIOD_BROKER_VALUE","DEEP_MEASURE_ID_OVERRIDE",$C226,"DEEP_BROKER_ID_OVERRIDE",BG$24,"DEEP_PERIOD_OVERRIDE",$H$19)*1,"")))</f>
        <v/>
      </c>
      <c r="BH226" t="str">
        <f>IF(OR(BH$23="",ISNA($B226)),"",IF(ISBLANK($B226),"",IFERROR(_xll.BDP(TICKER,"DEEP_MEASURE_PERIOD_BROKER_VALUE","DEEP_MEASURE_ID_OVERRIDE",$C226,"DEEP_BROKER_ID_OVERRIDE",BH$24,"DEEP_PERIOD_OVERRIDE",$H$19)*1,"")))</f>
        <v/>
      </c>
      <c r="BI226" t="str">
        <f>IF(OR(BI$23="",ISNA($B226)),"",IF(ISBLANK($B226),"",IFERROR(_xll.BDP(TICKER,"DEEP_MEASURE_PERIOD_BROKER_VALUE","DEEP_MEASURE_ID_OVERRIDE",$C226,"DEEP_BROKER_ID_OVERRIDE",BI$24,"DEEP_PERIOD_OVERRIDE",$H$19)*1,"")))</f>
        <v/>
      </c>
      <c r="BJ226" t="str">
        <f>IF(OR(BJ$23="",ISNA($B226)),"",IF(ISBLANK($B226),"",IFERROR(_xll.BDP(TICKER,"DEEP_MEASURE_PERIOD_BROKER_VALUE","DEEP_MEASURE_ID_OVERRIDE",$C226,"DEEP_BROKER_ID_OVERRIDE",BJ$24,"DEEP_PERIOD_OVERRIDE",$H$19)*1,"")))</f>
        <v/>
      </c>
      <c r="BK226" t="str">
        <f>IF(OR(BK$23="",ISNA($B226)),"",IF(ISBLANK($B226),"",IFERROR(_xll.BDP(TICKER,"DEEP_MEASURE_PERIOD_BROKER_VALUE","DEEP_MEASURE_ID_OVERRIDE",$C226,"DEEP_BROKER_ID_OVERRIDE",BK$24,"DEEP_PERIOD_OVERRIDE",$H$19)*1,"")))</f>
        <v/>
      </c>
      <c r="BL226" t="str">
        <f>IF(OR(BL$23="",ISNA($B226)),"",IF(ISBLANK($B226),"",IFERROR(_xll.BDP(TICKER,"DEEP_MEASURE_PERIOD_BROKER_VALUE","DEEP_MEASURE_ID_OVERRIDE",$C226,"DEEP_BROKER_ID_OVERRIDE",BL$24,"DEEP_PERIOD_OVERRIDE",$H$19)*1,"")))</f>
        <v/>
      </c>
      <c r="BM226" t="str">
        <f>IF(OR(BM$23="",ISNA($B226)),"",IF(ISBLANK($B226),"",IFERROR(_xll.BDP(TICKER,"DEEP_MEASURE_PERIOD_BROKER_VALUE","DEEP_MEASURE_ID_OVERRIDE",$C226,"DEEP_BROKER_ID_OVERRIDE",BM$24,"DEEP_PERIOD_OVERRIDE",$H$19)*1,"")))</f>
        <v/>
      </c>
      <c r="BN226" t="str">
        <f>IF(OR(BN$23="",ISNA($B226)),"",IF(ISBLANK($B226),"",IFERROR(_xll.BDP(TICKER,"DEEP_MEASURE_PERIOD_BROKER_VALUE","DEEP_MEASURE_ID_OVERRIDE",$C226,"DEEP_BROKER_ID_OVERRIDE",BN$24,"DEEP_PERIOD_OVERRIDE",$H$19)*1,"")))</f>
        <v/>
      </c>
      <c r="BO226" t="str">
        <f>IF(OR(BO$23="",ISNA($B226)),"",IF(ISBLANK($B226),"",IFERROR(_xll.BDP(TICKER,"DEEP_MEASURE_PERIOD_BROKER_VALUE","DEEP_MEASURE_ID_OVERRIDE",$C226,"DEEP_BROKER_ID_OVERRIDE",BO$24,"DEEP_PERIOD_OVERRIDE",$H$19)*1,"")))</f>
        <v/>
      </c>
      <c r="BP226" t="str">
        <f>IF(OR(BP$23="",ISNA($B226)),"",IF(ISBLANK($B226),"",IFERROR(_xll.BDP(TICKER,"DEEP_MEASURE_PERIOD_BROKER_VALUE","DEEP_MEASURE_ID_OVERRIDE",$C226,"DEEP_BROKER_ID_OVERRIDE",BP$24,"DEEP_PERIOD_OVERRIDE",$H$19)*1,"")))</f>
        <v/>
      </c>
      <c r="BQ226" t="str">
        <f>IF(OR(BQ$23="",ISNA($B226)),"",IF(ISBLANK($B226),"",IFERROR(_xll.BDP(TICKER,"DEEP_MEASURE_PERIOD_BROKER_VALUE","DEEP_MEASURE_ID_OVERRIDE",$C226,"DEEP_BROKER_ID_OVERRIDE",BQ$24,"DEEP_PERIOD_OVERRIDE",$H$19)*1,"")))</f>
        <v/>
      </c>
      <c r="BR226" t="str">
        <f>IF(OR(BR$23="",ISNA($B226)),"",IF(ISBLANK($B226),"",IFERROR(_xll.BDP(TICKER,"DEEP_MEASURE_PERIOD_BROKER_VALUE","DEEP_MEASURE_ID_OVERRIDE",$C226,"DEEP_BROKER_ID_OVERRIDE",BR$24,"DEEP_PERIOD_OVERRIDE",$H$19)*1,"")))</f>
        <v/>
      </c>
      <c r="BS226" t="str">
        <f>IF(OR(BS$23="",ISNA($B226)),"",IF(ISBLANK($B226),"",IFERROR(_xll.BDP(TICKER,"DEEP_MEASURE_PERIOD_BROKER_VALUE","DEEP_MEASURE_ID_OVERRIDE",$C226,"DEEP_BROKER_ID_OVERRIDE",BS$24,"DEEP_PERIOD_OVERRIDE",$H$19)*1,"")))</f>
        <v/>
      </c>
      <c r="BT226" t="str">
        <f>IF(OR(BT$23="",ISNA($B226)),"",IF(ISBLANK($B226),"",IFERROR(_xll.BDP(TICKER,"DEEP_MEASURE_PERIOD_BROKER_VALUE","DEEP_MEASURE_ID_OVERRIDE",$C226,"DEEP_BROKER_ID_OVERRIDE",BT$24,"DEEP_PERIOD_OVERRIDE",$H$19)*1,"")))</f>
        <v/>
      </c>
      <c r="BU226" t="str">
        <f>IF(OR(BU$23="",ISNA($B226)),"",IF(ISBLANK($B226),"",IFERROR(_xll.BDP(TICKER,"DEEP_MEASURE_PERIOD_BROKER_VALUE","DEEP_MEASURE_ID_OVERRIDE",$C226,"DEEP_BROKER_ID_OVERRIDE",BU$24,"DEEP_PERIOD_OVERRIDE",$H$19)*1,"")))</f>
        <v/>
      </c>
      <c r="BV226" t="str">
        <f>IF(OR(BV$23="",ISNA($B226)),"",IF(ISBLANK($B226),"",IFERROR(_xll.BDP(TICKER,"DEEP_MEASURE_PERIOD_BROKER_VALUE","DEEP_MEASURE_ID_OVERRIDE",$C226,"DEEP_BROKER_ID_OVERRIDE",BV$24,"DEEP_PERIOD_OVERRIDE",$H$19)*1,"")))</f>
        <v/>
      </c>
      <c r="BW226" t="str">
        <f>IF(OR(BW$23="",ISNA($B226)),"",IF(ISBLANK($B226),"",IFERROR(_xll.BDP(TICKER,"DEEP_MEASURE_PERIOD_BROKER_VALUE","DEEP_MEASURE_ID_OVERRIDE",$C226,"DEEP_BROKER_ID_OVERRIDE",BW$24,"DEEP_PERIOD_OVERRIDE",$H$19)*1,"")))</f>
        <v/>
      </c>
      <c r="BX226" t="str">
        <f>IF(OR(BX$23="",ISNA($B226)),"",IF(ISBLANK($B226),"",IFERROR(_xll.BDP(TICKER,"DEEP_MEASURE_PERIOD_BROKER_VALUE","DEEP_MEASURE_ID_OVERRIDE",$C226,"DEEP_BROKER_ID_OVERRIDE",BX$24,"DEEP_PERIOD_OVERRIDE",$H$19)*1,"")))</f>
        <v/>
      </c>
      <c r="BY226" t="str">
        <f>IF(OR(BY$23="",ISNA($B226)),"",IF(ISBLANK($B226),"",IFERROR(_xll.BDP(TICKER,"DEEP_MEASURE_PERIOD_BROKER_VALUE","DEEP_MEASURE_ID_OVERRIDE",$C226,"DEEP_BROKER_ID_OVERRIDE",BY$24,"DEEP_PERIOD_OVERRIDE",$H$19)*1,"")))</f>
        <v/>
      </c>
      <c r="BZ226" t="str">
        <f>IF(OR(BZ$23="",ISNA($B226)),"",IF(ISBLANK($B226),"",IFERROR(_xll.BDP(TICKER,"DEEP_MEASURE_PERIOD_BROKER_VALUE","DEEP_MEASURE_ID_OVERRIDE",$C226,"DEEP_BROKER_ID_OVERRIDE",BZ$24,"DEEP_PERIOD_OVERRIDE",$H$19)*1,"")))</f>
        <v/>
      </c>
    </row>
    <row r="227" spans="8:78" x14ac:dyDescent="0.25">
      <c r="H227" t="str">
        <f t="shared" si="4"/>
        <v/>
      </c>
      <c r="I227" t="str">
        <f>IF(OR(I$23="",ISNA($B227)),"",IF(ISBLANK($B227),"",IFERROR(_xll.BDP(TICKER,"DEEP_MEASURE_PERIOD_BROKER_VALUE","DEEP_MEASURE_ID_OVERRIDE",$C227,"DEEP_PERIOD_OVERRIDE",$H$19)*1,"")))</f>
        <v/>
      </c>
      <c r="J227" t="e">
        <f>IF(OR(J$23="",ISNA($B227)),"",IF(ISBLANK($B227),"",IFERROR(_xll.BDP(TICKER,"DEEP_MEASURE_PERIOD_BROKER_VALUE","DEEP_MEASURE_ID_OVERRIDE",$C227,"DEEP_BROKER_ID_OVERRIDE",J$24,"DEEP_PERIOD_OVERRIDE",$H$19)*1,"")))</f>
        <v>#REF!</v>
      </c>
      <c r="K227" t="str">
        <f>IF(OR(K$23="",ISNA($B227)),"",IF(ISBLANK($B227),"",IFERROR(_xll.BDP(TICKER,"DEEP_MEASURE_PERIOD_BROKER_VALUE","DEEP_MEASURE_ID_OVERRIDE",$C227,"DEEP_BROKER_ID_OVERRIDE",K$24,"DEEP_PERIOD_OVERRIDE",$H$19)*1,"")))</f>
        <v/>
      </c>
      <c r="L227" t="str">
        <f>IF(OR(L$23="",ISNA($B227)),"",IF(ISBLANK($B227),"",IFERROR(_xll.BDP(TICKER,"DEEP_MEASURE_PERIOD_BROKER_VALUE","DEEP_MEASURE_ID_OVERRIDE",$C227,"DEEP_BROKER_ID_OVERRIDE",L$24,"DEEP_PERIOD_OVERRIDE",$H$19)*1,"")))</f>
        <v/>
      </c>
      <c r="M227" t="str">
        <f>IF(OR(M$23="",ISNA($B227)),"",IF(ISBLANK($B227),"",IFERROR(_xll.BDP(TICKER,"DEEP_MEASURE_PERIOD_BROKER_VALUE","DEEP_MEASURE_ID_OVERRIDE",$C227,"DEEP_BROKER_ID_OVERRIDE",M$24,"DEEP_PERIOD_OVERRIDE",$H$19)*1,"")))</f>
        <v/>
      </c>
      <c r="N227" t="str">
        <f>IF(OR(N$23="",ISNA($B227)),"",IF(ISBLANK($B227),"",IFERROR(_xll.BDP(TICKER,"DEEP_MEASURE_PERIOD_BROKER_VALUE","DEEP_MEASURE_ID_OVERRIDE",$C227,"DEEP_BROKER_ID_OVERRIDE",N$24,"DEEP_PERIOD_OVERRIDE",$H$19)*1,"")))</f>
        <v/>
      </c>
      <c r="O227" t="str">
        <f>IF(OR(O$23="",ISNA($B227)),"",IF(ISBLANK($B227),"",IFERROR(_xll.BDP(TICKER,"DEEP_MEASURE_PERIOD_BROKER_VALUE","DEEP_MEASURE_ID_OVERRIDE",$C227,"DEEP_BROKER_ID_OVERRIDE",O$24,"DEEP_PERIOD_OVERRIDE",$H$19)*1,"")))</f>
        <v/>
      </c>
      <c r="P227" t="str">
        <f>IF(OR(P$23="",ISNA($B227)),"",IF(ISBLANK($B227),"",IFERROR(_xll.BDP(TICKER,"DEEP_MEASURE_PERIOD_BROKER_VALUE","DEEP_MEASURE_ID_OVERRIDE",$C227,"DEEP_BROKER_ID_OVERRIDE",P$24,"DEEP_PERIOD_OVERRIDE",$H$19)*1,"")))</f>
        <v/>
      </c>
      <c r="Q227" t="str">
        <f>IF(OR(Q$23="",ISNA($B227)),"",IF(ISBLANK($B227),"",IFERROR(_xll.BDP(TICKER,"DEEP_MEASURE_PERIOD_BROKER_VALUE","DEEP_MEASURE_ID_OVERRIDE",$C227,"DEEP_BROKER_ID_OVERRIDE",Q$24,"DEEP_PERIOD_OVERRIDE",$H$19)*1,"")))</f>
        <v/>
      </c>
      <c r="R227" t="str">
        <f>IF(OR(R$23="",ISNA($B227)),"",IF(ISBLANK($B227),"",IFERROR(_xll.BDP(TICKER,"DEEP_MEASURE_PERIOD_BROKER_VALUE","DEEP_MEASURE_ID_OVERRIDE",$C227,"DEEP_BROKER_ID_OVERRIDE",R$24,"DEEP_PERIOD_OVERRIDE",$H$19)*1,"")))</f>
        <v/>
      </c>
      <c r="S227" t="str">
        <f>IF(OR(S$23="",ISNA($B227)),"",IF(ISBLANK($B227),"",IFERROR(_xll.BDP(TICKER,"DEEP_MEASURE_PERIOD_BROKER_VALUE","DEEP_MEASURE_ID_OVERRIDE",$C227,"DEEP_BROKER_ID_OVERRIDE",S$24,"DEEP_PERIOD_OVERRIDE",$H$19)*1,"")))</f>
        <v/>
      </c>
      <c r="T227" t="str">
        <f>IF(OR(T$23="",ISNA($B227)),"",IF(ISBLANK($B227),"",IFERROR(_xll.BDP(TICKER,"DEEP_MEASURE_PERIOD_BROKER_VALUE","DEEP_MEASURE_ID_OVERRIDE",$C227,"DEEP_BROKER_ID_OVERRIDE",T$24,"DEEP_PERIOD_OVERRIDE",$H$19)*1,"")))</f>
        <v/>
      </c>
      <c r="U227" t="str">
        <f>IF(OR(U$23="",ISNA($B227)),"",IF(ISBLANK($B227),"",IFERROR(_xll.BDP(TICKER,"DEEP_MEASURE_PERIOD_BROKER_VALUE","DEEP_MEASURE_ID_OVERRIDE",$C227,"DEEP_BROKER_ID_OVERRIDE",U$24,"DEEP_PERIOD_OVERRIDE",$H$19)*1,"")))</f>
        <v/>
      </c>
      <c r="V227" t="str">
        <f>IF(OR(V$23="",ISNA($B227)),"",IF(ISBLANK($B227),"",IFERROR(_xll.BDP(TICKER,"DEEP_MEASURE_PERIOD_BROKER_VALUE","DEEP_MEASURE_ID_OVERRIDE",$C227,"DEEP_BROKER_ID_OVERRIDE",V$24,"DEEP_PERIOD_OVERRIDE",$H$19)*1,"")))</f>
        <v/>
      </c>
      <c r="W227" t="str">
        <f>IF(OR(W$23="",ISNA($B227)),"",IF(ISBLANK($B227),"",IFERROR(_xll.BDP(TICKER,"DEEP_MEASURE_PERIOD_BROKER_VALUE","DEEP_MEASURE_ID_OVERRIDE",$C227,"DEEP_BROKER_ID_OVERRIDE",W$24,"DEEP_PERIOD_OVERRIDE",$H$19)*1,"")))</f>
        <v/>
      </c>
      <c r="X227" t="str">
        <f>IF(OR(X$23="",ISNA($B227)),"",IF(ISBLANK($B227),"",IFERROR(_xll.BDP(TICKER,"DEEP_MEASURE_PERIOD_BROKER_VALUE","DEEP_MEASURE_ID_OVERRIDE",$C227,"DEEP_BROKER_ID_OVERRIDE",X$24,"DEEP_PERIOD_OVERRIDE",$H$19)*1,"")))</f>
        <v/>
      </c>
      <c r="Y227" t="str">
        <f>IF(OR(Y$23="",ISNA($B227)),"",IF(ISBLANK($B227),"",IFERROR(_xll.BDP(TICKER,"DEEP_MEASURE_PERIOD_BROKER_VALUE","DEEP_MEASURE_ID_OVERRIDE",$C227,"DEEP_BROKER_ID_OVERRIDE",Y$24,"DEEP_PERIOD_OVERRIDE",$H$19)*1,"")))</f>
        <v/>
      </c>
      <c r="Z227" t="str">
        <f>IF(OR(Z$23="",ISNA($B227)),"",IF(ISBLANK($B227),"",IFERROR(_xll.BDP(TICKER,"DEEP_MEASURE_PERIOD_BROKER_VALUE","DEEP_MEASURE_ID_OVERRIDE",$C227,"DEEP_BROKER_ID_OVERRIDE",Z$24,"DEEP_PERIOD_OVERRIDE",$H$19)*1,"")))</f>
        <v/>
      </c>
      <c r="AA227" t="str">
        <f>IF(OR(AA$23="",ISNA($B227)),"",IF(ISBLANK($B227),"",IFERROR(_xll.BDP(TICKER,"DEEP_MEASURE_PERIOD_BROKER_VALUE","DEEP_MEASURE_ID_OVERRIDE",$C227,"DEEP_BROKER_ID_OVERRIDE",AA$24,"DEEP_PERIOD_OVERRIDE",$H$19)*1,"")))</f>
        <v/>
      </c>
      <c r="AB227" t="str">
        <f>IF(OR(AB$23="",ISNA($B227)),"",IF(ISBLANK($B227),"",IFERROR(_xll.BDP(TICKER,"DEEP_MEASURE_PERIOD_BROKER_VALUE","DEEP_MEASURE_ID_OVERRIDE",$C227,"DEEP_BROKER_ID_OVERRIDE",AB$24,"DEEP_PERIOD_OVERRIDE",$H$19)*1,"")))</f>
        <v/>
      </c>
      <c r="AC227" t="str">
        <f>IF(OR(AC$23="",ISNA($B227)),"",IF(ISBLANK($B227),"",IFERROR(_xll.BDP(TICKER,"DEEP_MEASURE_PERIOD_BROKER_VALUE","DEEP_MEASURE_ID_OVERRIDE",$C227,"DEEP_BROKER_ID_OVERRIDE",AC$24,"DEEP_PERIOD_OVERRIDE",$H$19)*1,"")))</f>
        <v/>
      </c>
      <c r="AD227" t="str">
        <f>IF(OR(AD$23="",ISNA($B227)),"",IF(ISBLANK($B227),"",IFERROR(_xll.BDP(TICKER,"DEEP_MEASURE_PERIOD_BROKER_VALUE","DEEP_MEASURE_ID_OVERRIDE",$C227,"DEEP_BROKER_ID_OVERRIDE",AD$24,"DEEP_PERIOD_OVERRIDE",$H$19)*1,"")))</f>
        <v/>
      </c>
      <c r="AE227" t="str">
        <f>IF(OR(AE$23="",ISNA($B227)),"",IF(ISBLANK($B227),"",IFERROR(_xll.BDP(TICKER,"DEEP_MEASURE_PERIOD_BROKER_VALUE","DEEP_MEASURE_ID_OVERRIDE",$C227,"DEEP_BROKER_ID_OVERRIDE",AE$24,"DEEP_PERIOD_OVERRIDE",$H$19)*1,"")))</f>
        <v/>
      </c>
      <c r="AF227" t="str">
        <f>IF(OR(AF$23="",ISNA($B227)),"",IF(ISBLANK($B227),"",IFERROR(_xll.BDP(TICKER,"DEEP_MEASURE_PERIOD_BROKER_VALUE","DEEP_MEASURE_ID_OVERRIDE",$C227,"DEEP_BROKER_ID_OVERRIDE",AF$24,"DEEP_PERIOD_OVERRIDE",$H$19)*1,"")))</f>
        <v/>
      </c>
      <c r="AG227" t="str">
        <f>IF(OR(AG$23="",ISNA($B227)),"",IF(ISBLANK($B227),"",IFERROR(_xll.BDP(TICKER,"DEEP_MEASURE_PERIOD_BROKER_VALUE","DEEP_MEASURE_ID_OVERRIDE",$C227,"DEEP_BROKER_ID_OVERRIDE",AG$24,"DEEP_PERIOD_OVERRIDE",$H$19)*1,"")))</f>
        <v/>
      </c>
      <c r="AH227" t="str">
        <f>IF(OR(AH$23="",ISNA($B227)),"",IF(ISBLANK($B227),"",IFERROR(_xll.BDP(TICKER,"DEEP_MEASURE_PERIOD_BROKER_VALUE","DEEP_MEASURE_ID_OVERRIDE",$C227,"DEEP_BROKER_ID_OVERRIDE",AH$24,"DEEP_PERIOD_OVERRIDE",$H$19)*1,"")))</f>
        <v/>
      </c>
      <c r="AI227" t="str">
        <f>IF(OR(AI$23="",ISNA($B227)),"",IF(ISBLANK($B227),"",IFERROR(_xll.BDP(TICKER,"DEEP_MEASURE_PERIOD_BROKER_VALUE","DEEP_MEASURE_ID_OVERRIDE",$C227,"DEEP_BROKER_ID_OVERRIDE",AI$24,"DEEP_PERIOD_OVERRIDE",$H$19)*1,"")))</f>
        <v/>
      </c>
      <c r="AJ227" t="str">
        <f>IF(OR(AJ$23="",ISNA($B227)),"",IF(ISBLANK($B227),"",IFERROR(_xll.BDP(TICKER,"DEEP_MEASURE_PERIOD_BROKER_VALUE","DEEP_MEASURE_ID_OVERRIDE",$C227,"DEEP_BROKER_ID_OVERRIDE",AJ$24,"DEEP_PERIOD_OVERRIDE",$H$19)*1,"")))</f>
        <v/>
      </c>
      <c r="AK227" t="str">
        <f>IF(OR(AK$23="",ISNA($B227)),"",IF(ISBLANK($B227),"",IFERROR(_xll.BDP(TICKER,"DEEP_MEASURE_PERIOD_BROKER_VALUE","DEEP_MEASURE_ID_OVERRIDE",$C227,"DEEP_BROKER_ID_OVERRIDE",AK$24,"DEEP_PERIOD_OVERRIDE",$H$19)*1,"")))</f>
        <v/>
      </c>
      <c r="AL227" t="str">
        <f>IF(OR(AL$23="",ISNA($B227)),"",IF(ISBLANK($B227),"",IFERROR(_xll.BDP(TICKER,"DEEP_MEASURE_PERIOD_BROKER_VALUE","DEEP_MEASURE_ID_OVERRIDE",$C227,"DEEP_BROKER_ID_OVERRIDE",AL$24,"DEEP_PERIOD_OVERRIDE",$H$19)*1,"")))</f>
        <v/>
      </c>
      <c r="AM227" t="str">
        <f>IF(OR(AM$23="",ISNA($B227)),"",IF(ISBLANK($B227),"",IFERROR(_xll.BDP(TICKER,"DEEP_MEASURE_PERIOD_BROKER_VALUE","DEEP_MEASURE_ID_OVERRIDE",$C227,"DEEP_BROKER_ID_OVERRIDE",AM$24,"DEEP_PERIOD_OVERRIDE",$H$19)*1,"")))</f>
        <v/>
      </c>
      <c r="AN227" t="str">
        <f>IF(OR(AN$23="",ISNA($B227)),"",IF(ISBLANK($B227),"",IFERROR(_xll.BDP(TICKER,"DEEP_MEASURE_PERIOD_BROKER_VALUE","DEEP_MEASURE_ID_OVERRIDE",$C227,"DEEP_BROKER_ID_OVERRIDE",AN$24,"DEEP_PERIOD_OVERRIDE",$H$19)*1,"")))</f>
        <v/>
      </c>
      <c r="AO227" t="str">
        <f>IF(OR(AO$23="",ISNA($B227)),"",IF(ISBLANK($B227),"",IFERROR(_xll.BDP(TICKER,"DEEP_MEASURE_PERIOD_BROKER_VALUE","DEEP_MEASURE_ID_OVERRIDE",$C227,"DEEP_BROKER_ID_OVERRIDE",AO$24,"DEEP_PERIOD_OVERRIDE",$H$19)*1,"")))</f>
        <v/>
      </c>
      <c r="AP227" t="str">
        <f>IF(OR(AP$23="",ISNA($B227)),"",IF(ISBLANK($B227),"",IFERROR(_xll.BDP(TICKER,"DEEP_MEASURE_PERIOD_BROKER_VALUE","DEEP_MEASURE_ID_OVERRIDE",$C227,"DEEP_BROKER_ID_OVERRIDE",AP$24,"DEEP_PERIOD_OVERRIDE",$H$19)*1,"")))</f>
        <v/>
      </c>
      <c r="AQ227" t="str">
        <f>IF(OR(AQ$23="",ISNA($B227)),"",IF(ISBLANK($B227),"",IFERROR(_xll.BDP(TICKER,"DEEP_MEASURE_PERIOD_BROKER_VALUE","DEEP_MEASURE_ID_OVERRIDE",$C227,"DEEP_BROKER_ID_OVERRIDE",AQ$24,"DEEP_PERIOD_OVERRIDE",$H$19)*1,"")))</f>
        <v/>
      </c>
      <c r="AR227" t="str">
        <f>IF(OR(AR$23="",ISNA($B227)),"",IF(ISBLANK($B227),"",IFERROR(_xll.BDP(TICKER,"DEEP_MEASURE_PERIOD_BROKER_VALUE","DEEP_MEASURE_ID_OVERRIDE",$C227,"DEEP_BROKER_ID_OVERRIDE",AR$24,"DEEP_PERIOD_OVERRIDE",$H$19)*1,"")))</f>
        <v/>
      </c>
      <c r="AS227" t="str">
        <f>IF(OR(AS$23="",ISNA($B227)),"",IF(ISBLANK($B227),"",IFERROR(_xll.BDP(TICKER,"DEEP_MEASURE_PERIOD_BROKER_VALUE","DEEP_MEASURE_ID_OVERRIDE",$C227,"DEEP_BROKER_ID_OVERRIDE",AS$24,"DEEP_PERIOD_OVERRIDE",$H$19)*1,"")))</f>
        <v/>
      </c>
      <c r="AT227" t="str">
        <f>IF(OR(AT$23="",ISNA($B227)),"",IF(ISBLANK($B227),"",IFERROR(_xll.BDP(TICKER,"DEEP_MEASURE_PERIOD_BROKER_VALUE","DEEP_MEASURE_ID_OVERRIDE",$C227,"DEEP_BROKER_ID_OVERRIDE",AT$24,"DEEP_PERIOD_OVERRIDE",$H$19)*1,"")))</f>
        <v/>
      </c>
      <c r="AU227" t="str">
        <f>IF(OR(AU$23="",ISNA($B227)),"",IF(ISBLANK($B227),"",IFERROR(_xll.BDP(TICKER,"DEEP_MEASURE_PERIOD_BROKER_VALUE","DEEP_MEASURE_ID_OVERRIDE",$C227,"DEEP_BROKER_ID_OVERRIDE",AU$24,"DEEP_PERIOD_OVERRIDE",$H$19)*1,"")))</f>
        <v/>
      </c>
      <c r="AV227" t="str">
        <f>IF(OR(AV$23="",ISNA($B227)),"",IF(ISBLANK($B227),"",IFERROR(_xll.BDP(TICKER,"DEEP_MEASURE_PERIOD_BROKER_VALUE","DEEP_MEASURE_ID_OVERRIDE",$C227,"DEEP_BROKER_ID_OVERRIDE",AV$24,"DEEP_PERIOD_OVERRIDE",$H$19)*1,"")))</f>
        <v/>
      </c>
      <c r="AW227" t="str">
        <f>IF(OR(AW$23="",ISNA($B227)),"",IF(ISBLANK($B227),"",IFERROR(_xll.BDP(TICKER,"DEEP_MEASURE_PERIOD_BROKER_VALUE","DEEP_MEASURE_ID_OVERRIDE",$C227,"DEEP_BROKER_ID_OVERRIDE",AW$24,"DEEP_PERIOD_OVERRIDE",$H$19)*1,"")))</f>
        <v/>
      </c>
      <c r="AX227" t="str">
        <f>IF(OR(AX$23="",ISNA($B227)),"",IF(ISBLANK($B227),"",IFERROR(_xll.BDP(TICKER,"DEEP_MEASURE_PERIOD_BROKER_VALUE","DEEP_MEASURE_ID_OVERRIDE",$C227,"DEEP_BROKER_ID_OVERRIDE",AX$24,"DEEP_PERIOD_OVERRIDE",$H$19)*1,"")))</f>
        <v/>
      </c>
      <c r="AY227" t="str">
        <f>IF(OR(AY$23="",ISNA($B227)),"",IF(ISBLANK($B227),"",IFERROR(_xll.BDP(TICKER,"DEEP_MEASURE_PERIOD_BROKER_VALUE","DEEP_MEASURE_ID_OVERRIDE",$C227,"DEEP_BROKER_ID_OVERRIDE",AY$24,"DEEP_PERIOD_OVERRIDE",$H$19)*1,"")))</f>
        <v/>
      </c>
      <c r="AZ227" t="str">
        <f>IF(OR(AZ$23="",ISNA($B227)),"",IF(ISBLANK($B227),"",IFERROR(_xll.BDP(TICKER,"DEEP_MEASURE_PERIOD_BROKER_VALUE","DEEP_MEASURE_ID_OVERRIDE",$C227,"DEEP_BROKER_ID_OVERRIDE",AZ$24,"DEEP_PERIOD_OVERRIDE",$H$19)*1,"")))</f>
        <v/>
      </c>
      <c r="BA227" t="str">
        <f>IF(OR(BA$23="",ISNA($B227)),"",IF(ISBLANK($B227),"",IFERROR(_xll.BDP(TICKER,"DEEP_MEASURE_PERIOD_BROKER_VALUE","DEEP_MEASURE_ID_OVERRIDE",$C227,"DEEP_BROKER_ID_OVERRIDE",BA$24,"DEEP_PERIOD_OVERRIDE",$H$19)*1,"")))</f>
        <v/>
      </c>
      <c r="BB227" t="str">
        <f>IF(OR(BB$23="",ISNA($B227)),"",IF(ISBLANK($B227),"",IFERROR(_xll.BDP(TICKER,"DEEP_MEASURE_PERIOD_BROKER_VALUE","DEEP_MEASURE_ID_OVERRIDE",$C227,"DEEP_BROKER_ID_OVERRIDE",BB$24,"DEEP_PERIOD_OVERRIDE",$H$19)*1,"")))</f>
        <v/>
      </c>
      <c r="BC227" t="str">
        <f>IF(OR(BC$23="",ISNA($B227)),"",IF(ISBLANK($B227),"",IFERROR(_xll.BDP(TICKER,"DEEP_MEASURE_PERIOD_BROKER_VALUE","DEEP_MEASURE_ID_OVERRIDE",$C227,"DEEP_BROKER_ID_OVERRIDE",BC$24,"DEEP_PERIOD_OVERRIDE",$H$19)*1,"")))</f>
        <v/>
      </c>
      <c r="BD227" t="str">
        <f>IF(OR(BD$23="",ISNA($B227)),"",IF(ISBLANK($B227),"",IFERROR(_xll.BDP(TICKER,"DEEP_MEASURE_PERIOD_BROKER_VALUE","DEEP_MEASURE_ID_OVERRIDE",$C227,"DEEP_BROKER_ID_OVERRIDE",BD$24,"DEEP_PERIOD_OVERRIDE",$H$19)*1,"")))</f>
        <v/>
      </c>
      <c r="BE227" t="str">
        <f>IF(OR(BE$23="",ISNA($B227)),"",IF(ISBLANK($B227),"",IFERROR(_xll.BDP(TICKER,"DEEP_MEASURE_PERIOD_BROKER_VALUE","DEEP_MEASURE_ID_OVERRIDE",$C227,"DEEP_BROKER_ID_OVERRIDE",BE$24,"DEEP_PERIOD_OVERRIDE",$H$19)*1,"")))</f>
        <v/>
      </c>
      <c r="BF227" t="str">
        <f>IF(OR(BF$23="",ISNA($B227)),"",IF(ISBLANK($B227),"",IFERROR(_xll.BDP(TICKER,"DEEP_MEASURE_PERIOD_BROKER_VALUE","DEEP_MEASURE_ID_OVERRIDE",$C227,"DEEP_BROKER_ID_OVERRIDE",BF$24,"DEEP_PERIOD_OVERRIDE",$H$19)*1,"")))</f>
        <v/>
      </c>
      <c r="BG227" t="str">
        <f>IF(OR(BG$23="",ISNA($B227)),"",IF(ISBLANK($B227),"",IFERROR(_xll.BDP(TICKER,"DEEP_MEASURE_PERIOD_BROKER_VALUE","DEEP_MEASURE_ID_OVERRIDE",$C227,"DEEP_BROKER_ID_OVERRIDE",BG$24,"DEEP_PERIOD_OVERRIDE",$H$19)*1,"")))</f>
        <v/>
      </c>
      <c r="BH227" t="str">
        <f>IF(OR(BH$23="",ISNA($B227)),"",IF(ISBLANK($B227),"",IFERROR(_xll.BDP(TICKER,"DEEP_MEASURE_PERIOD_BROKER_VALUE","DEEP_MEASURE_ID_OVERRIDE",$C227,"DEEP_BROKER_ID_OVERRIDE",BH$24,"DEEP_PERIOD_OVERRIDE",$H$19)*1,"")))</f>
        <v/>
      </c>
      <c r="BI227" t="str">
        <f>IF(OR(BI$23="",ISNA($B227)),"",IF(ISBLANK($B227),"",IFERROR(_xll.BDP(TICKER,"DEEP_MEASURE_PERIOD_BROKER_VALUE","DEEP_MEASURE_ID_OVERRIDE",$C227,"DEEP_BROKER_ID_OVERRIDE",BI$24,"DEEP_PERIOD_OVERRIDE",$H$19)*1,"")))</f>
        <v/>
      </c>
      <c r="BJ227" t="str">
        <f>IF(OR(BJ$23="",ISNA($B227)),"",IF(ISBLANK($B227),"",IFERROR(_xll.BDP(TICKER,"DEEP_MEASURE_PERIOD_BROKER_VALUE","DEEP_MEASURE_ID_OVERRIDE",$C227,"DEEP_BROKER_ID_OVERRIDE",BJ$24,"DEEP_PERIOD_OVERRIDE",$H$19)*1,"")))</f>
        <v/>
      </c>
      <c r="BK227" t="str">
        <f>IF(OR(BK$23="",ISNA($B227)),"",IF(ISBLANK($B227),"",IFERROR(_xll.BDP(TICKER,"DEEP_MEASURE_PERIOD_BROKER_VALUE","DEEP_MEASURE_ID_OVERRIDE",$C227,"DEEP_BROKER_ID_OVERRIDE",BK$24,"DEEP_PERIOD_OVERRIDE",$H$19)*1,"")))</f>
        <v/>
      </c>
      <c r="BL227" t="str">
        <f>IF(OR(BL$23="",ISNA($B227)),"",IF(ISBLANK($B227),"",IFERROR(_xll.BDP(TICKER,"DEEP_MEASURE_PERIOD_BROKER_VALUE","DEEP_MEASURE_ID_OVERRIDE",$C227,"DEEP_BROKER_ID_OVERRIDE",BL$24,"DEEP_PERIOD_OVERRIDE",$H$19)*1,"")))</f>
        <v/>
      </c>
      <c r="BM227" t="str">
        <f>IF(OR(BM$23="",ISNA($B227)),"",IF(ISBLANK($B227),"",IFERROR(_xll.BDP(TICKER,"DEEP_MEASURE_PERIOD_BROKER_VALUE","DEEP_MEASURE_ID_OVERRIDE",$C227,"DEEP_BROKER_ID_OVERRIDE",BM$24,"DEEP_PERIOD_OVERRIDE",$H$19)*1,"")))</f>
        <v/>
      </c>
      <c r="BN227" t="str">
        <f>IF(OR(BN$23="",ISNA($B227)),"",IF(ISBLANK($B227),"",IFERROR(_xll.BDP(TICKER,"DEEP_MEASURE_PERIOD_BROKER_VALUE","DEEP_MEASURE_ID_OVERRIDE",$C227,"DEEP_BROKER_ID_OVERRIDE",BN$24,"DEEP_PERIOD_OVERRIDE",$H$19)*1,"")))</f>
        <v/>
      </c>
      <c r="BO227" t="str">
        <f>IF(OR(BO$23="",ISNA($B227)),"",IF(ISBLANK($B227),"",IFERROR(_xll.BDP(TICKER,"DEEP_MEASURE_PERIOD_BROKER_VALUE","DEEP_MEASURE_ID_OVERRIDE",$C227,"DEEP_BROKER_ID_OVERRIDE",BO$24,"DEEP_PERIOD_OVERRIDE",$H$19)*1,"")))</f>
        <v/>
      </c>
      <c r="BP227" t="str">
        <f>IF(OR(BP$23="",ISNA($B227)),"",IF(ISBLANK($B227),"",IFERROR(_xll.BDP(TICKER,"DEEP_MEASURE_PERIOD_BROKER_VALUE","DEEP_MEASURE_ID_OVERRIDE",$C227,"DEEP_BROKER_ID_OVERRIDE",BP$24,"DEEP_PERIOD_OVERRIDE",$H$19)*1,"")))</f>
        <v/>
      </c>
      <c r="BQ227" t="str">
        <f>IF(OR(BQ$23="",ISNA($B227)),"",IF(ISBLANK($B227),"",IFERROR(_xll.BDP(TICKER,"DEEP_MEASURE_PERIOD_BROKER_VALUE","DEEP_MEASURE_ID_OVERRIDE",$C227,"DEEP_BROKER_ID_OVERRIDE",BQ$24,"DEEP_PERIOD_OVERRIDE",$H$19)*1,"")))</f>
        <v/>
      </c>
      <c r="BR227" t="str">
        <f>IF(OR(BR$23="",ISNA($B227)),"",IF(ISBLANK($B227),"",IFERROR(_xll.BDP(TICKER,"DEEP_MEASURE_PERIOD_BROKER_VALUE","DEEP_MEASURE_ID_OVERRIDE",$C227,"DEEP_BROKER_ID_OVERRIDE",BR$24,"DEEP_PERIOD_OVERRIDE",$H$19)*1,"")))</f>
        <v/>
      </c>
      <c r="BS227" t="str">
        <f>IF(OR(BS$23="",ISNA($B227)),"",IF(ISBLANK($B227),"",IFERROR(_xll.BDP(TICKER,"DEEP_MEASURE_PERIOD_BROKER_VALUE","DEEP_MEASURE_ID_OVERRIDE",$C227,"DEEP_BROKER_ID_OVERRIDE",BS$24,"DEEP_PERIOD_OVERRIDE",$H$19)*1,"")))</f>
        <v/>
      </c>
      <c r="BT227" t="str">
        <f>IF(OR(BT$23="",ISNA($B227)),"",IF(ISBLANK($B227),"",IFERROR(_xll.BDP(TICKER,"DEEP_MEASURE_PERIOD_BROKER_VALUE","DEEP_MEASURE_ID_OVERRIDE",$C227,"DEEP_BROKER_ID_OVERRIDE",BT$24,"DEEP_PERIOD_OVERRIDE",$H$19)*1,"")))</f>
        <v/>
      </c>
      <c r="BU227" t="str">
        <f>IF(OR(BU$23="",ISNA($B227)),"",IF(ISBLANK($B227),"",IFERROR(_xll.BDP(TICKER,"DEEP_MEASURE_PERIOD_BROKER_VALUE","DEEP_MEASURE_ID_OVERRIDE",$C227,"DEEP_BROKER_ID_OVERRIDE",BU$24,"DEEP_PERIOD_OVERRIDE",$H$19)*1,"")))</f>
        <v/>
      </c>
      <c r="BV227" t="str">
        <f>IF(OR(BV$23="",ISNA($B227)),"",IF(ISBLANK($B227),"",IFERROR(_xll.BDP(TICKER,"DEEP_MEASURE_PERIOD_BROKER_VALUE","DEEP_MEASURE_ID_OVERRIDE",$C227,"DEEP_BROKER_ID_OVERRIDE",BV$24,"DEEP_PERIOD_OVERRIDE",$H$19)*1,"")))</f>
        <v/>
      </c>
      <c r="BW227" t="str">
        <f>IF(OR(BW$23="",ISNA($B227)),"",IF(ISBLANK($B227),"",IFERROR(_xll.BDP(TICKER,"DEEP_MEASURE_PERIOD_BROKER_VALUE","DEEP_MEASURE_ID_OVERRIDE",$C227,"DEEP_BROKER_ID_OVERRIDE",BW$24,"DEEP_PERIOD_OVERRIDE",$H$19)*1,"")))</f>
        <v/>
      </c>
      <c r="BX227" t="str">
        <f>IF(OR(BX$23="",ISNA($B227)),"",IF(ISBLANK($B227),"",IFERROR(_xll.BDP(TICKER,"DEEP_MEASURE_PERIOD_BROKER_VALUE","DEEP_MEASURE_ID_OVERRIDE",$C227,"DEEP_BROKER_ID_OVERRIDE",BX$24,"DEEP_PERIOD_OVERRIDE",$H$19)*1,"")))</f>
        <v/>
      </c>
      <c r="BY227" t="str">
        <f>IF(OR(BY$23="",ISNA($B227)),"",IF(ISBLANK($B227),"",IFERROR(_xll.BDP(TICKER,"DEEP_MEASURE_PERIOD_BROKER_VALUE","DEEP_MEASURE_ID_OVERRIDE",$C227,"DEEP_BROKER_ID_OVERRIDE",BY$24,"DEEP_PERIOD_OVERRIDE",$H$19)*1,"")))</f>
        <v/>
      </c>
      <c r="BZ227" t="str">
        <f>IF(OR(BZ$23="",ISNA($B227)),"",IF(ISBLANK($B227),"",IFERROR(_xll.BDP(TICKER,"DEEP_MEASURE_PERIOD_BROKER_VALUE","DEEP_MEASURE_ID_OVERRIDE",$C227,"DEEP_BROKER_ID_OVERRIDE",BZ$24,"DEEP_PERIOD_OVERRIDE",$H$19)*1,"")))</f>
        <v/>
      </c>
    </row>
    <row r="228" spans="8:78" x14ac:dyDescent="0.25">
      <c r="H228" t="str">
        <f t="shared" si="4"/>
        <v/>
      </c>
      <c r="I228" t="str">
        <f>IF(OR(I$23="",ISNA($B228)),"",IF(ISBLANK($B228),"",IFERROR(_xll.BDP(TICKER,"DEEP_MEASURE_PERIOD_BROKER_VALUE","DEEP_MEASURE_ID_OVERRIDE",$C228,"DEEP_PERIOD_OVERRIDE",$H$19)*1,"")))</f>
        <v/>
      </c>
      <c r="J228" t="e">
        <f>IF(OR(J$23="",ISNA($B228)),"",IF(ISBLANK($B228),"",IFERROR(_xll.BDP(TICKER,"DEEP_MEASURE_PERIOD_BROKER_VALUE","DEEP_MEASURE_ID_OVERRIDE",$C228,"DEEP_BROKER_ID_OVERRIDE",J$24,"DEEP_PERIOD_OVERRIDE",$H$19)*1,"")))</f>
        <v>#REF!</v>
      </c>
      <c r="K228" t="str">
        <f>IF(OR(K$23="",ISNA($B228)),"",IF(ISBLANK($B228),"",IFERROR(_xll.BDP(TICKER,"DEEP_MEASURE_PERIOD_BROKER_VALUE","DEEP_MEASURE_ID_OVERRIDE",$C228,"DEEP_BROKER_ID_OVERRIDE",K$24,"DEEP_PERIOD_OVERRIDE",$H$19)*1,"")))</f>
        <v/>
      </c>
      <c r="L228" t="str">
        <f>IF(OR(L$23="",ISNA($B228)),"",IF(ISBLANK($B228),"",IFERROR(_xll.BDP(TICKER,"DEEP_MEASURE_PERIOD_BROKER_VALUE","DEEP_MEASURE_ID_OVERRIDE",$C228,"DEEP_BROKER_ID_OVERRIDE",L$24,"DEEP_PERIOD_OVERRIDE",$H$19)*1,"")))</f>
        <v/>
      </c>
      <c r="M228" t="str">
        <f>IF(OR(M$23="",ISNA($B228)),"",IF(ISBLANK($B228),"",IFERROR(_xll.BDP(TICKER,"DEEP_MEASURE_PERIOD_BROKER_VALUE","DEEP_MEASURE_ID_OVERRIDE",$C228,"DEEP_BROKER_ID_OVERRIDE",M$24,"DEEP_PERIOD_OVERRIDE",$H$19)*1,"")))</f>
        <v/>
      </c>
      <c r="N228" t="str">
        <f>IF(OR(N$23="",ISNA($B228)),"",IF(ISBLANK($B228),"",IFERROR(_xll.BDP(TICKER,"DEEP_MEASURE_PERIOD_BROKER_VALUE","DEEP_MEASURE_ID_OVERRIDE",$C228,"DEEP_BROKER_ID_OVERRIDE",N$24,"DEEP_PERIOD_OVERRIDE",$H$19)*1,"")))</f>
        <v/>
      </c>
      <c r="O228" t="str">
        <f>IF(OR(O$23="",ISNA($B228)),"",IF(ISBLANK($B228),"",IFERROR(_xll.BDP(TICKER,"DEEP_MEASURE_PERIOD_BROKER_VALUE","DEEP_MEASURE_ID_OVERRIDE",$C228,"DEEP_BROKER_ID_OVERRIDE",O$24,"DEEP_PERIOD_OVERRIDE",$H$19)*1,"")))</f>
        <v/>
      </c>
      <c r="P228" t="str">
        <f>IF(OR(P$23="",ISNA($B228)),"",IF(ISBLANK($B228),"",IFERROR(_xll.BDP(TICKER,"DEEP_MEASURE_PERIOD_BROKER_VALUE","DEEP_MEASURE_ID_OVERRIDE",$C228,"DEEP_BROKER_ID_OVERRIDE",P$24,"DEEP_PERIOD_OVERRIDE",$H$19)*1,"")))</f>
        <v/>
      </c>
      <c r="Q228" t="str">
        <f>IF(OR(Q$23="",ISNA($B228)),"",IF(ISBLANK($B228),"",IFERROR(_xll.BDP(TICKER,"DEEP_MEASURE_PERIOD_BROKER_VALUE","DEEP_MEASURE_ID_OVERRIDE",$C228,"DEEP_BROKER_ID_OVERRIDE",Q$24,"DEEP_PERIOD_OVERRIDE",$H$19)*1,"")))</f>
        <v/>
      </c>
      <c r="R228" t="str">
        <f>IF(OR(R$23="",ISNA($B228)),"",IF(ISBLANK($B228),"",IFERROR(_xll.BDP(TICKER,"DEEP_MEASURE_PERIOD_BROKER_VALUE","DEEP_MEASURE_ID_OVERRIDE",$C228,"DEEP_BROKER_ID_OVERRIDE",R$24,"DEEP_PERIOD_OVERRIDE",$H$19)*1,"")))</f>
        <v/>
      </c>
      <c r="S228" t="str">
        <f>IF(OR(S$23="",ISNA($B228)),"",IF(ISBLANK($B228),"",IFERROR(_xll.BDP(TICKER,"DEEP_MEASURE_PERIOD_BROKER_VALUE","DEEP_MEASURE_ID_OVERRIDE",$C228,"DEEP_BROKER_ID_OVERRIDE",S$24,"DEEP_PERIOD_OVERRIDE",$H$19)*1,"")))</f>
        <v/>
      </c>
      <c r="T228" t="str">
        <f>IF(OR(T$23="",ISNA($B228)),"",IF(ISBLANK($B228),"",IFERROR(_xll.BDP(TICKER,"DEEP_MEASURE_PERIOD_BROKER_VALUE","DEEP_MEASURE_ID_OVERRIDE",$C228,"DEEP_BROKER_ID_OVERRIDE",T$24,"DEEP_PERIOD_OVERRIDE",$H$19)*1,"")))</f>
        <v/>
      </c>
      <c r="U228" t="str">
        <f>IF(OR(U$23="",ISNA($B228)),"",IF(ISBLANK($B228),"",IFERROR(_xll.BDP(TICKER,"DEEP_MEASURE_PERIOD_BROKER_VALUE","DEEP_MEASURE_ID_OVERRIDE",$C228,"DEEP_BROKER_ID_OVERRIDE",U$24,"DEEP_PERIOD_OVERRIDE",$H$19)*1,"")))</f>
        <v/>
      </c>
      <c r="V228" t="str">
        <f>IF(OR(V$23="",ISNA($B228)),"",IF(ISBLANK($B228),"",IFERROR(_xll.BDP(TICKER,"DEEP_MEASURE_PERIOD_BROKER_VALUE","DEEP_MEASURE_ID_OVERRIDE",$C228,"DEEP_BROKER_ID_OVERRIDE",V$24,"DEEP_PERIOD_OVERRIDE",$H$19)*1,"")))</f>
        <v/>
      </c>
      <c r="W228" t="str">
        <f>IF(OR(W$23="",ISNA($B228)),"",IF(ISBLANK($B228),"",IFERROR(_xll.BDP(TICKER,"DEEP_MEASURE_PERIOD_BROKER_VALUE","DEEP_MEASURE_ID_OVERRIDE",$C228,"DEEP_BROKER_ID_OVERRIDE",W$24,"DEEP_PERIOD_OVERRIDE",$H$19)*1,"")))</f>
        <v/>
      </c>
      <c r="X228" t="str">
        <f>IF(OR(X$23="",ISNA($B228)),"",IF(ISBLANK($B228),"",IFERROR(_xll.BDP(TICKER,"DEEP_MEASURE_PERIOD_BROKER_VALUE","DEEP_MEASURE_ID_OVERRIDE",$C228,"DEEP_BROKER_ID_OVERRIDE",X$24,"DEEP_PERIOD_OVERRIDE",$H$19)*1,"")))</f>
        <v/>
      </c>
      <c r="Y228" t="str">
        <f>IF(OR(Y$23="",ISNA($B228)),"",IF(ISBLANK($B228),"",IFERROR(_xll.BDP(TICKER,"DEEP_MEASURE_PERIOD_BROKER_VALUE","DEEP_MEASURE_ID_OVERRIDE",$C228,"DEEP_BROKER_ID_OVERRIDE",Y$24,"DEEP_PERIOD_OVERRIDE",$H$19)*1,"")))</f>
        <v/>
      </c>
      <c r="Z228" t="str">
        <f>IF(OR(Z$23="",ISNA($B228)),"",IF(ISBLANK($B228),"",IFERROR(_xll.BDP(TICKER,"DEEP_MEASURE_PERIOD_BROKER_VALUE","DEEP_MEASURE_ID_OVERRIDE",$C228,"DEEP_BROKER_ID_OVERRIDE",Z$24,"DEEP_PERIOD_OVERRIDE",$H$19)*1,"")))</f>
        <v/>
      </c>
      <c r="AA228" t="str">
        <f>IF(OR(AA$23="",ISNA($B228)),"",IF(ISBLANK($B228),"",IFERROR(_xll.BDP(TICKER,"DEEP_MEASURE_PERIOD_BROKER_VALUE","DEEP_MEASURE_ID_OVERRIDE",$C228,"DEEP_BROKER_ID_OVERRIDE",AA$24,"DEEP_PERIOD_OVERRIDE",$H$19)*1,"")))</f>
        <v/>
      </c>
      <c r="AB228" t="str">
        <f>IF(OR(AB$23="",ISNA($B228)),"",IF(ISBLANK($B228),"",IFERROR(_xll.BDP(TICKER,"DEEP_MEASURE_PERIOD_BROKER_VALUE","DEEP_MEASURE_ID_OVERRIDE",$C228,"DEEP_BROKER_ID_OVERRIDE",AB$24,"DEEP_PERIOD_OVERRIDE",$H$19)*1,"")))</f>
        <v/>
      </c>
      <c r="AC228" t="str">
        <f>IF(OR(AC$23="",ISNA($B228)),"",IF(ISBLANK($B228),"",IFERROR(_xll.BDP(TICKER,"DEEP_MEASURE_PERIOD_BROKER_VALUE","DEEP_MEASURE_ID_OVERRIDE",$C228,"DEEP_BROKER_ID_OVERRIDE",AC$24,"DEEP_PERIOD_OVERRIDE",$H$19)*1,"")))</f>
        <v/>
      </c>
      <c r="AD228" t="str">
        <f>IF(OR(AD$23="",ISNA($B228)),"",IF(ISBLANK($B228),"",IFERROR(_xll.BDP(TICKER,"DEEP_MEASURE_PERIOD_BROKER_VALUE","DEEP_MEASURE_ID_OVERRIDE",$C228,"DEEP_BROKER_ID_OVERRIDE",AD$24,"DEEP_PERIOD_OVERRIDE",$H$19)*1,"")))</f>
        <v/>
      </c>
      <c r="AE228" t="str">
        <f>IF(OR(AE$23="",ISNA($B228)),"",IF(ISBLANK($B228),"",IFERROR(_xll.BDP(TICKER,"DEEP_MEASURE_PERIOD_BROKER_VALUE","DEEP_MEASURE_ID_OVERRIDE",$C228,"DEEP_BROKER_ID_OVERRIDE",AE$24,"DEEP_PERIOD_OVERRIDE",$H$19)*1,"")))</f>
        <v/>
      </c>
      <c r="AF228" t="str">
        <f>IF(OR(AF$23="",ISNA($B228)),"",IF(ISBLANK($B228),"",IFERROR(_xll.BDP(TICKER,"DEEP_MEASURE_PERIOD_BROKER_VALUE","DEEP_MEASURE_ID_OVERRIDE",$C228,"DEEP_BROKER_ID_OVERRIDE",AF$24,"DEEP_PERIOD_OVERRIDE",$H$19)*1,"")))</f>
        <v/>
      </c>
      <c r="AG228" t="str">
        <f>IF(OR(AG$23="",ISNA($B228)),"",IF(ISBLANK($B228),"",IFERROR(_xll.BDP(TICKER,"DEEP_MEASURE_PERIOD_BROKER_VALUE","DEEP_MEASURE_ID_OVERRIDE",$C228,"DEEP_BROKER_ID_OVERRIDE",AG$24,"DEEP_PERIOD_OVERRIDE",$H$19)*1,"")))</f>
        <v/>
      </c>
      <c r="AH228" t="str">
        <f>IF(OR(AH$23="",ISNA($B228)),"",IF(ISBLANK($B228),"",IFERROR(_xll.BDP(TICKER,"DEEP_MEASURE_PERIOD_BROKER_VALUE","DEEP_MEASURE_ID_OVERRIDE",$C228,"DEEP_BROKER_ID_OVERRIDE",AH$24,"DEEP_PERIOD_OVERRIDE",$H$19)*1,"")))</f>
        <v/>
      </c>
      <c r="AI228" t="str">
        <f>IF(OR(AI$23="",ISNA($B228)),"",IF(ISBLANK($B228),"",IFERROR(_xll.BDP(TICKER,"DEEP_MEASURE_PERIOD_BROKER_VALUE","DEEP_MEASURE_ID_OVERRIDE",$C228,"DEEP_BROKER_ID_OVERRIDE",AI$24,"DEEP_PERIOD_OVERRIDE",$H$19)*1,"")))</f>
        <v/>
      </c>
      <c r="AJ228" t="str">
        <f>IF(OR(AJ$23="",ISNA($B228)),"",IF(ISBLANK($B228),"",IFERROR(_xll.BDP(TICKER,"DEEP_MEASURE_PERIOD_BROKER_VALUE","DEEP_MEASURE_ID_OVERRIDE",$C228,"DEEP_BROKER_ID_OVERRIDE",AJ$24,"DEEP_PERIOD_OVERRIDE",$H$19)*1,"")))</f>
        <v/>
      </c>
      <c r="AK228" t="str">
        <f>IF(OR(AK$23="",ISNA($B228)),"",IF(ISBLANK($B228),"",IFERROR(_xll.BDP(TICKER,"DEEP_MEASURE_PERIOD_BROKER_VALUE","DEEP_MEASURE_ID_OVERRIDE",$C228,"DEEP_BROKER_ID_OVERRIDE",AK$24,"DEEP_PERIOD_OVERRIDE",$H$19)*1,"")))</f>
        <v/>
      </c>
      <c r="AL228" t="str">
        <f>IF(OR(AL$23="",ISNA($B228)),"",IF(ISBLANK($B228),"",IFERROR(_xll.BDP(TICKER,"DEEP_MEASURE_PERIOD_BROKER_VALUE","DEEP_MEASURE_ID_OVERRIDE",$C228,"DEEP_BROKER_ID_OVERRIDE",AL$24,"DEEP_PERIOD_OVERRIDE",$H$19)*1,"")))</f>
        <v/>
      </c>
      <c r="AM228" t="str">
        <f>IF(OR(AM$23="",ISNA($B228)),"",IF(ISBLANK($B228),"",IFERROR(_xll.BDP(TICKER,"DEEP_MEASURE_PERIOD_BROKER_VALUE","DEEP_MEASURE_ID_OVERRIDE",$C228,"DEEP_BROKER_ID_OVERRIDE",AM$24,"DEEP_PERIOD_OVERRIDE",$H$19)*1,"")))</f>
        <v/>
      </c>
      <c r="AN228" t="str">
        <f>IF(OR(AN$23="",ISNA($B228)),"",IF(ISBLANK($B228),"",IFERROR(_xll.BDP(TICKER,"DEEP_MEASURE_PERIOD_BROKER_VALUE","DEEP_MEASURE_ID_OVERRIDE",$C228,"DEEP_BROKER_ID_OVERRIDE",AN$24,"DEEP_PERIOD_OVERRIDE",$H$19)*1,"")))</f>
        <v/>
      </c>
      <c r="AO228" t="str">
        <f>IF(OR(AO$23="",ISNA($B228)),"",IF(ISBLANK($B228),"",IFERROR(_xll.BDP(TICKER,"DEEP_MEASURE_PERIOD_BROKER_VALUE","DEEP_MEASURE_ID_OVERRIDE",$C228,"DEEP_BROKER_ID_OVERRIDE",AO$24,"DEEP_PERIOD_OVERRIDE",$H$19)*1,"")))</f>
        <v/>
      </c>
      <c r="AP228" t="str">
        <f>IF(OR(AP$23="",ISNA($B228)),"",IF(ISBLANK($B228),"",IFERROR(_xll.BDP(TICKER,"DEEP_MEASURE_PERIOD_BROKER_VALUE","DEEP_MEASURE_ID_OVERRIDE",$C228,"DEEP_BROKER_ID_OVERRIDE",AP$24,"DEEP_PERIOD_OVERRIDE",$H$19)*1,"")))</f>
        <v/>
      </c>
      <c r="AQ228" t="str">
        <f>IF(OR(AQ$23="",ISNA($B228)),"",IF(ISBLANK($B228),"",IFERROR(_xll.BDP(TICKER,"DEEP_MEASURE_PERIOD_BROKER_VALUE","DEEP_MEASURE_ID_OVERRIDE",$C228,"DEEP_BROKER_ID_OVERRIDE",AQ$24,"DEEP_PERIOD_OVERRIDE",$H$19)*1,"")))</f>
        <v/>
      </c>
      <c r="AR228" t="str">
        <f>IF(OR(AR$23="",ISNA($B228)),"",IF(ISBLANK($B228),"",IFERROR(_xll.BDP(TICKER,"DEEP_MEASURE_PERIOD_BROKER_VALUE","DEEP_MEASURE_ID_OVERRIDE",$C228,"DEEP_BROKER_ID_OVERRIDE",AR$24,"DEEP_PERIOD_OVERRIDE",$H$19)*1,"")))</f>
        <v/>
      </c>
      <c r="AS228" t="str">
        <f>IF(OR(AS$23="",ISNA($B228)),"",IF(ISBLANK($B228),"",IFERROR(_xll.BDP(TICKER,"DEEP_MEASURE_PERIOD_BROKER_VALUE","DEEP_MEASURE_ID_OVERRIDE",$C228,"DEEP_BROKER_ID_OVERRIDE",AS$24,"DEEP_PERIOD_OVERRIDE",$H$19)*1,"")))</f>
        <v/>
      </c>
      <c r="AT228" t="str">
        <f>IF(OR(AT$23="",ISNA($B228)),"",IF(ISBLANK($B228),"",IFERROR(_xll.BDP(TICKER,"DEEP_MEASURE_PERIOD_BROKER_VALUE","DEEP_MEASURE_ID_OVERRIDE",$C228,"DEEP_BROKER_ID_OVERRIDE",AT$24,"DEEP_PERIOD_OVERRIDE",$H$19)*1,"")))</f>
        <v/>
      </c>
      <c r="AU228" t="str">
        <f>IF(OR(AU$23="",ISNA($B228)),"",IF(ISBLANK($B228),"",IFERROR(_xll.BDP(TICKER,"DEEP_MEASURE_PERIOD_BROKER_VALUE","DEEP_MEASURE_ID_OVERRIDE",$C228,"DEEP_BROKER_ID_OVERRIDE",AU$24,"DEEP_PERIOD_OVERRIDE",$H$19)*1,"")))</f>
        <v/>
      </c>
      <c r="AV228" t="str">
        <f>IF(OR(AV$23="",ISNA($B228)),"",IF(ISBLANK($B228),"",IFERROR(_xll.BDP(TICKER,"DEEP_MEASURE_PERIOD_BROKER_VALUE","DEEP_MEASURE_ID_OVERRIDE",$C228,"DEEP_BROKER_ID_OVERRIDE",AV$24,"DEEP_PERIOD_OVERRIDE",$H$19)*1,"")))</f>
        <v/>
      </c>
      <c r="AW228" t="str">
        <f>IF(OR(AW$23="",ISNA($B228)),"",IF(ISBLANK($B228),"",IFERROR(_xll.BDP(TICKER,"DEEP_MEASURE_PERIOD_BROKER_VALUE","DEEP_MEASURE_ID_OVERRIDE",$C228,"DEEP_BROKER_ID_OVERRIDE",AW$24,"DEEP_PERIOD_OVERRIDE",$H$19)*1,"")))</f>
        <v/>
      </c>
      <c r="AX228" t="str">
        <f>IF(OR(AX$23="",ISNA($B228)),"",IF(ISBLANK($B228),"",IFERROR(_xll.BDP(TICKER,"DEEP_MEASURE_PERIOD_BROKER_VALUE","DEEP_MEASURE_ID_OVERRIDE",$C228,"DEEP_BROKER_ID_OVERRIDE",AX$24,"DEEP_PERIOD_OVERRIDE",$H$19)*1,"")))</f>
        <v/>
      </c>
      <c r="AY228" t="str">
        <f>IF(OR(AY$23="",ISNA($B228)),"",IF(ISBLANK($B228),"",IFERROR(_xll.BDP(TICKER,"DEEP_MEASURE_PERIOD_BROKER_VALUE","DEEP_MEASURE_ID_OVERRIDE",$C228,"DEEP_BROKER_ID_OVERRIDE",AY$24,"DEEP_PERIOD_OVERRIDE",$H$19)*1,"")))</f>
        <v/>
      </c>
      <c r="AZ228" t="str">
        <f>IF(OR(AZ$23="",ISNA($B228)),"",IF(ISBLANK($B228),"",IFERROR(_xll.BDP(TICKER,"DEEP_MEASURE_PERIOD_BROKER_VALUE","DEEP_MEASURE_ID_OVERRIDE",$C228,"DEEP_BROKER_ID_OVERRIDE",AZ$24,"DEEP_PERIOD_OVERRIDE",$H$19)*1,"")))</f>
        <v/>
      </c>
      <c r="BA228" t="str">
        <f>IF(OR(BA$23="",ISNA($B228)),"",IF(ISBLANK($B228),"",IFERROR(_xll.BDP(TICKER,"DEEP_MEASURE_PERIOD_BROKER_VALUE","DEEP_MEASURE_ID_OVERRIDE",$C228,"DEEP_BROKER_ID_OVERRIDE",BA$24,"DEEP_PERIOD_OVERRIDE",$H$19)*1,"")))</f>
        <v/>
      </c>
      <c r="BB228" t="str">
        <f>IF(OR(BB$23="",ISNA($B228)),"",IF(ISBLANK($B228),"",IFERROR(_xll.BDP(TICKER,"DEEP_MEASURE_PERIOD_BROKER_VALUE","DEEP_MEASURE_ID_OVERRIDE",$C228,"DEEP_BROKER_ID_OVERRIDE",BB$24,"DEEP_PERIOD_OVERRIDE",$H$19)*1,"")))</f>
        <v/>
      </c>
      <c r="BC228" t="str">
        <f>IF(OR(BC$23="",ISNA($B228)),"",IF(ISBLANK($B228),"",IFERROR(_xll.BDP(TICKER,"DEEP_MEASURE_PERIOD_BROKER_VALUE","DEEP_MEASURE_ID_OVERRIDE",$C228,"DEEP_BROKER_ID_OVERRIDE",BC$24,"DEEP_PERIOD_OVERRIDE",$H$19)*1,"")))</f>
        <v/>
      </c>
      <c r="BD228" t="str">
        <f>IF(OR(BD$23="",ISNA($B228)),"",IF(ISBLANK($B228),"",IFERROR(_xll.BDP(TICKER,"DEEP_MEASURE_PERIOD_BROKER_VALUE","DEEP_MEASURE_ID_OVERRIDE",$C228,"DEEP_BROKER_ID_OVERRIDE",BD$24,"DEEP_PERIOD_OVERRIDE",$H$19)*1,"")))</f>
        <v/>
      </c>
      <c r="BE228" t="str">
        <f>IF(OR(BE$23="",ISNA($B228)),"",IF(ISBLANK($B228),"",IFERROR(_xll.BDP(TICKER,"DEEP_MEASURE_PERIOD_BROKER_VALUE","DEEP_MEASURE_ID_OVERRIDE",$C228,"DEEP_BROKER_ID_OVERRIDE",BE$24,"DEEP_PERIOD_OVERRIDE",$H$19)*1,"")))</f>
        <v/>
      </c>
      <c r="BF228" t="str">
        <f>IF(OR(BF$23="",ISNA($B228)),"",IF(ISBLANK($B228),"",IFERROR(_xll.BDP(TICKER,"DEEP_MEASURE_PERIOD_BROKER_VALUE","DEEP_MEASURE_ID_OVERRIDE",$C228,"DEEP_BROKER_ID_OVERRIDE",BF$24,"DEEP_PERIOD_OVERRIDE",$H$19)*1,"")))</f>
        <v/>
      </c>
      <c r="BG228" t="str">
        <f>IF(OR(BG$23="",ISNA($B228)),"",IF(ISBLANK($B228),"",IFERROR(_xll.BDP(TICKER,"DEEP_MEASURE_PERIOD_BROKER_VALUE","DEEP_MEASURE_ID_OVERRIDE",$C228,"DEEP_BROKER_ID_OVERRIDE",BG$24,"DEEP_PERIOD_OVERRIDE",$H$19)*1,"")))</f>
        <v/>
      </c>
      <c r="BH228" t="str">
        <f>IF(OR(BH$23="",ISNA($B228)),"",IF(ISBLANK($B228),"",IFERROR(_xll.BDP(TICKER,"DEEP_MEASURE_PERIOD_BROKER_VALUE","DEEP_MEASURE_ID_OVERRIDE",$C228,"DEEP_BROKER_ID_OVERRIDE",BH$24,"DEEP_PERIOD_OVERRIDE",$H$19)*1,"")))</f>
        <v/>
      </c>
      <c r="BI228" t="str">
        <f>IF(OR(BI$23="",ISNA($B228)),"",IF(ISBLANK($B228),"",IFERROR(_xll.BDP(TICKER,"DEEP_MEASURE_PERIOD_BROKER_VALUE","DEEP_MEASURE_ID_OVERRIDE",$C228,"DEEP_BROKER_ID_OVERRIDE",BI$24,"DEEP_PERIOD_OVERRIDE",$H$19)*1,"")))</f>
        <v/>
      </c>
      <c r="BJ228" t="str">
        <f>IF(OR(BJ$23="",ISNA($B228)),"",IF(ISBLANK($B228),"",IFERROR(_xll.BDP(TICKER,"DEEP_MEASURE_PERIOD_BROKER_VALUE","DEEP_MEASURE_ID_OVERRIDE",$C228,"DEEP_BROKER_ID_OVERRIDE",BJ$24,"DEEP_PERIOD_OVERRIDE",$H$19)*1,"")))</f>
        <v/>
      </c>
      <c r="BK228" t="str">
        <f>IF(OR(BK$23="",ISNA($B228)),"",IF(ISBLANK($B228),"",IFERROR(_xll.BDP(TICKER,"DEEP_MEASURE_PERIOD_BROKER_VALUE","DEEP_MEASURE_ID_OVERRIDE",$C228,"DEEP_BROKER_ID_OVERRIDE",BK$24,"DEEP_PERIOD_OVERRIDE",$H$19)*1,"")))</f>
        <v/>
      </c>
      <c r="BL228" t="str">
        <f>IF(OR(BL$23="",ISNA($B228)),"",IF(ISBLANK($B228),"",IFERROR(_xll.BDP(TICKER,"DEEP_MEASURE_PERIOD_BROKER_VALUE","DEEP_MEASURE_ID_OVERRIDE",$C228,"DEEP_BROKER_ID_OVERRIDE",BL$24,"DEEP_PERIOD_OVERRIDE",$H$19)*1,"")))</f>
        <v/>
      </c>
      <c r="BM228" t="str">
        <f>IF(OR(BM$23="",ISNA($B228)),"",IF(ISBLANK($B228),"",IFERROR(_xll.BDP(TICKER,"DEEP_MEASURE_PERIOD_BROKER_VALUE","DEEP_MEASURE_ID_OVERRIDE",$C228,"DEEP_BROKER_ID_OVERRIDE",BM$24,"DEEP_PERIOD_OVERRIDE",$H$19)*1,"")))</f>
        <v/>
      </c>
      <c r="BN228" t="str">
        <f>IF(OR(BN$23="",ISNA($B228)),"",IF(ISBLANK($B228),"",IFERROR(_xll.BDP(TICKER,"DEEP_MEASURE_PERIOD_BROKER_VALUE","DEEP_MEASURE_ID_OVERRIDE",$C228,"DEEP_BROKER_ID_OVERRIDE",BN$24,"DEEP_PERIOD_OVERRIDE",$H$19)*1,"")))</f>
        <v/>
      </c>
      <c r="BO228" t="str">
        <f>IF(OR(BO$23="",ISNA($B228)),"",IF(ISBLANK($B228),"",IFERROR(_xll.BDP(TICKER,"DEEP_MEASURE_PERIOD_BROKER_VALUE","DEEP_MEASURE_ID_OVERRIDE",$C228,"DEEP_BROKER_ID_OVERRIDE",BO$24,"DEEP_PERIOD_OVERRIDE",$H$19)*1,"")))</f>
        <v/>
      </c>
      <c r="BP228" t="str">
        <f>IF(OR(BP$23="",ISNA($B228)),"",IF(ISBLANK($B228),"",IFERROR(_xll.BDP(TICKER,"DEEP_MEASURE_PERIOD_BROKER_VALUE","DEEP_MEASURE_ID_OVERRIDE",$C228,"DEEP_BROKER_ID_OVERRIDE",BP$24,"DEEP_PERIOD_OVERRIDE",$H$19)*1,"")))</f>
        <v/>
      </c>
      <c r="BQ228" t="str">
        <f>IF(OR(BQ$23="",ISNA($B228)),"",IF(ISBLANK($B228),"",IFERROR(_xll.BDP(TICKER,"DEEP_MEASURE_PERIOD_BROKER_VALUE","DEEP_MEASURE_ID_OVERRIDE",$C228,"DEEP_BROKER_ID_OVERRIDE",BQ$24,"DEEP_PERIOD_OVERRIDE",$H$19)*1,"")))</f>
        <v/>
      </c>
      <c r="BR228" t="str">
        <f>IF(OR(BR$23="",ISNA($B228)),"",IF(ISBLANK($B228),"",IFERROR(_xll.BDP(TICKER,"DEEP_MEASURE_PERIOD_BROKER_VALUE","DEEP_MEASURE_ID_OVERRIDE",$C228,"DEEP_BROKER_ID_OVERRIDE",BR$24,"DEEP_PERIOD_OVERRIDE",$H$19)*1,"")))</f>
        <v/>
      </c>
      <c r="BS228" t="str">
        <f>IF(OR(BS$23="",ISNA($B228)),"",IF(ISBLANK($B228),"",IFERROR(_xll.BDP(TICKER,"DEEP_MEASURE_PERIOD_BROKER_VALUE","DEEP_MEASURE_ID_OVERRIDE",$C228,"DEEP_BROKER_ID_OVERRIDE",BS$24,"DEEP_PERIOD_OVERRIDE",$H$19)*1,"")))</f>
        <v/>
      </c>
      <c r="BT228" t="str">
        <f>IF(OR(BT$23="",ISNA($B228)),"",IF(ISBLANK($B228),"",IFERROR(_xll.BDP(TICKER,"DEEP_MEASURE_PERIOD_BROKER_VALUE","DEEP_MEASURE_ID_OVERRIDE",$C228,"DEEP_BROKER_ID_OVERRIDE",BT$24,"DEEP_PERIOD_OVERRIDE",$H$19)*1,"")))</f>
        <v/>
      </c>
      <c r="BU228" t="str">
        <f>IF(OR(BU$23="",ISNA($B228)),"",IF(ISBLANK($B228),"",IFERROR(_xll.BDP(TICKER,"DEEP_MEASURE_PERIOD_BROKER_VALUE","DEEP_MEASURE_ID_OVERRIDE",$C228,"DEEP_BROKER_ID_OVERRIDE",BU$24,"DEEP_PERIOD_OVERRIDE",$H$19)*1,"")))</f>
        <v/>
      </c>
      <c r="BV228" t="str">
        <f>IF(OR(BV$23="",ISNA($B228)),"",IF(ISBLANK($B228),"",IFERROR(_xll.BDP(TICKER,"DEEP_MEASURE_PERIOD_BROKER_VALUE","DEEP_MEASURE_ID_OVERRIDE",$C228,"DEEP_BROKER_ID_OVERRIDE",BV$24,"DEEP_PERIOD_OVERRIDE",$H$19)*1,"")))</f>
        <v/>
      </c>
      <c r="BW228" t="str">
        <f>IF(OR(BW$23="",ISNA($B228)),"",IF(ISBLANK($B228),"",IFERROR(_xll.BDP(TICKER,"DEEP_MEASURE_PERIOD_BROKER_VALUE","DEEP_MEASURE_ID_OVERRIDE",$C228,"DEEP_BROKER_ID_OVERRIDE",BW$24,"DEEP_PERIOD_OVERRIDE",$H$19)*1,"")))</f>
        <v/>
      </c>
      <c r="BX228" t="str">
        <f>IF(OR(BX$23="",ISNA($B228)),"",IF(ISBLANK($B228),"",IFERROR(_xll.BDP(TICKER,"DEEP_MEASURE_PERIOD_BROKER_VALUE","DEEP_MEASURE_ID_OVERRIDE",$C228,"DEEP_BROKER_ID_OVERRIDE",BX$24,"DEEP_PERIOD_OVERRIDE",$H$19)*1,"")))</f>
        <v/>
      </c>
      <c r="BY228" t="str">
        <f>IF(OR(BY$23="",ISNA($B228)),"",IF(ISBLANK($B228),"",IFERROR(_xll.BDP(TICKER,"DEEP_MEASURE_PERIOD_BROKER_VALUE","DEEP_MEASURE_ID_OVERRIDE",$C228,"DEEP_BROKER_ID_OVERRIDE",BY$24,"DEEP_PERIOD_OVERRIDE",$H$19)*1,"")))</f>
        <v/>
      </c>
      <c r="BZ228" t="str">
        <f>IF(OR(BZ$23="",ISNA($B228)),"",IF(ISBLANK($B228),"",IFERROR(_xll.BDP(TICKER,"DEEP_MEASURE_PERIOD_BROKER_VALUE","DEEP_MEASURE_ID_OVERRIDE",$C228,"DEEP_BROKER_ID_OVERRIDE",BZ$24,"DEEP_PERIOD_OVERRIDE",$H$19)*1,"")))</f>
        <v/>
      </c>
    </row>
    <row r="229" spans="8:78" x14ac:dyDescent="0.25">
      <c r="H229" t="str">
        <f t="shared" si="4"/>
        <v/>
      </c>
      <c r="I229" t="str">
        <f>IF(OR(I$23="",ISNA($B229)),"",IF(ISBLANK($B229),"",IFERROR(_xll.BDP(TICKER,"DEEP_MEASURE_PERIOD_BROKER_VALUE","DEEP_MEASURE_ID_OVERRIDE",$C229,"DEEP_PERIOD_OVERRIDE",$H$19)*1,"")))</f>
        <v/>
      </c>
      <c r="J229" t="e">
        <f>IF(OR(J$23="",ISNA($B229)),"",IF(ISBLANK($B229),"",IFERROR(_xll.BDP(TICKER,"DEEP_MEASURE_PERIOD_BROKER_VALUE","DEEP_MEASURE_ID_OVERRIDE",$C229,"DEEP_BROKER_ID_OVERRIDE",J$24,"DEEP_PERIOD_OVERRIDE",$H$19)*1,"")))</f>
        <v>#REF!</v>
      </c>
      <c r="K229" t="str">
        <f>IF(OR(K$23="",ISNA($B229)),"",IF(ISBLANK($B229),"",IFERROR(_xll.BDP(TICKER,"DEEP_MEASURE_PERIOD_BROKER_VALUE","DEEP_MEASURE_ID_OVERRIDE",$C229,"DEEP_BROKER_ID_OVERRIDE",K$24,"DEEP_PERIOD_OVERRIDE",$H$19)*1,"")))</f>
        <v/>
      </c>
      <c r="L229" t="str">
        <f>IF(OR(L$23="",ISNA($B229)),"",IF(ISBLANK($B229),"",IFERROR(_xll.BDP(TICKER,"DEEP_MEASURE_PERIOD_BROKER_VALUE","DEEP_MEASURE_ID_OVERRIDE",$C229,"DEEP_BROKER_ID_OVERRIDE",L$24,"DEEP_PERIOD_OVERRIDE",$H$19)*1,"")))</f>
        <v/>
      </c>
      <c r="M229" t="str">
        <f>IF(OR(M$23="",ISNA($B229)),"",IF(ISBLANK($B229),"",IFERROR(_xll.BDP(TICKER,"DEEP_MEASURE_PERIOD_BROKER_VALUE","DEEP_MEASURE_ID_OVERRIDE",$C229,"DEEP_BROKER_ID_OVERRIDE",M$24,"DEEP_PERIOD_OVERRIDE",$H$19)*1,"")))</f>
        <v/>
      </c>
      <c r="N229" t="str">
        <f>IF(OR(N$23="",ISNA($B229)),"",IF(ISBLANK($B229),"",IFERROR(_xll.BDP(TICKER,"DEEP_MEASURE_PERIOD_BROKER_VALUE","DEEP_MEASURE_ID_OVERRIDE",$C229,"DEEP_BROKER_ID_OVERRIDE",N$24,"DEEP_PERIOD_OVERRIDE",$H$19)*1,"")))</f>
        <v/>
      </c>
      <c r="O229" t="str">
        <f>IF(OR(O$23="",ISNA($B229)),"",IF(ISBLANK($B229),"",IFERROR(_xll.BDP(TICKER,"DEEP_MEASURE_PERIOD_BROKER_VALUE","DEEP_MEASURE_ID_OVERRIDE",$C229,"DEEP_BROKER_ID_OVERRIDE",O$24,"DEEP_PERIOD_OVERRIDE",$H$19)*1,"")))</f>
        <v/>
      </c>
      <c r="P229" t="str">
        <f>IF(OR(P$23="",ISNA($B229)),"",IF(ISBLANK($B229),"",IFERROR(_xll.BDP(TICKER,"DEEP_MEASURE_PERIOD_BROKER_VALUE","DEEP_MEASURE_ID_OVERRIDE",$C229,"DEEP_BROKER_ID_OVERRIDE",P$24,"DEEP_PERIOD_OVERRIDE",$H$19)*1,"")))</f>
        <v/>
      </c>
      <c r="Q229" t="str">
        <f>IF(OR(Q$23="",ISNA($B229)),"",IF(ISBLANK($B229),"",IFERROR(_xll.BDP(TICKER,"DEEP_MEASURE_PERIOD_BROKER_VALUE","DEEP_MEASURE_ID_OVERRIDE",$C229,"DEEP_BROKER_ID_OVERRIDE",Q$24,"DEEP_PERIOD_OVERRIDE",$H$19)*1,"")))</f>
        <v/>
      </c>
      <c r="R229" t="str">
        <f>IF(OR(R$23="",ISNA($B229)),"",IF(ISBLANK($B229),"",IFERROR(_xll.BDP(TICKER,"DEEP_MEASURE_PERIOD_BROKER_VALUE","DEEP_MEASURE_ID_OVERRIDE",$C229,"DEEP_BROKER_ID_OVERRIDE",R$24,"DEEP_PERIOD_OVERRIDE",$H$19)*1,"")))</f>
        <v/>
      </c>
      <c r="S229" t="str">
        <f>IF(OR(S$23="",ISNA($B229)),"",IF(ISBLANK($B229),"",IFERROR(_xll.BDP(TICKER,"DEEP_MEASURE_PERIOD_BROKER_VALUE","DEEP_MEASURE_ID_OVERRIDE",$C229,"DEEP_BROKER_ID_OVERRIDE",S$24,"DEEP_PERIOD_OVERRIDE",$H$19)*1,"")))</f>
        <v/>
      </c>
      <c r="T229" t="str">
        <f>IF(OR(T$23="",ISNA($B229)),"",IF(ISBLANK($B229),"",IFERROR(_xll.BDP(TICKER,"DEEP_MEASURE_PERIOD_BROKER_VALUE","DEEP_MEASURE_ID_OVERRIDE",$C229,"DEEP_BROKER_ID_OVERRIDE",T$24,"DEEP_PERIOD_OVERRIDE",$H$19)*1,"")))</f>
        <v/>
      </c>
      <c r="U229" t="str">
        <f>IF(OR(U$23="",ISNA($B229)),"",IF(ISBLANK($B229),"",IFERROR(_xll.BDP(TICKER,"DEEP_MEASURE_PERIOD_BROKER_VALUE","DEEP_MEASURE_ID_OVERRIDE",$C229,"DEEP_BROKER_ID_OVERRIDE",U$24,"DEEP_PERIOD_OVERRIDE",$H$19)*1,"")))</f>
        <v/>
      </c>
      <c r="V229" t="str">
        <f>IF(OR(V$23="",ISNA($B229)),"",IF(ISBLANK($B229),"",IFERROR(_xll.BDP(TICKER,"DEEP_MEASURE_PERIOD_BROKER_VALUE","DEEP_MEASURE_ID_OVERRIDE",$C229,"DEEP_BROKER_ID_OVERRIDE",V$24,"DEEP_PERIOD_OVERRIDE",$H$19)*1,"")))</f>
        <v/>
      </c>
      <c r="W229" t="str">
        <f>IF(OR(W$23="",ISNA($B229)),"",IF(ISBLANK($B229),"",IFERROR(_xll.BDP(TICKER,"DEEP_MEASURE_PERIOD_BROKER_VALUE","DEEP_MEASURE_ID_OVERRIDE",$C229,"DEEP_BROKER_ID_OVERRIDE",W$24,"DEEP_PERIOD_OVERRIDE",$H$19)*1,"")))</f>
        <v/>
      </c>
      <c r="X229" t="str">
        <f>IF(OR(X$23="",ISNA($B229)),"",IF(ISBLANK($B229),"",IFERROR(_xll.BDP(TICKER,"DEEP_MEASURE_PERIOD_BROKER_VALUE","DEEP_MEASURE_ID_OVERRIDE",$C229,"DEEP_BROKER_ID_OVERRIDE",X$24,"DEEP_PERIOD_OVERRIDE",$H$19)*1,"")))</f>
        <v/>
      </c>
      <c r="Y229" t="str">
        <f>IF(OR(Y$23="",ISNA($B229)),"",IF(ISBLANK($B229),"",IFERROR(_xll.BDP(TICKER,"DEEP_MEASURE_PERIOD_BROKER_VALUE","DEEP_MEASURE_ID_OVERRIDE",$C229,"DEEP_BROKER_ID_OVERRIDE",Y$24,"DEEP_PERIOD_OVERRIDE",$H$19)*1,"")))</f>
        <v/>
      </c>
      <c r="Z229" t="str">
        <f>IF(OR(Z$23="",ISNA($B229)),"",IF(ISBLANK($B229),"",IFERROR(_xll.BDP(TICKER,"DEEP_MEASURE_PERIOD_BROKER_VALUE","DEEP_MEASURE_ID_OVERRIDE",$C229,"DEEP_BROKER_ID_OVERRIDE",Z$24,"DEEP_PERIOD_OVERRIDE",$H$19)*1,"")))</f>
        <v/>
      </c>
      <c r="AA229" t="str">
        <f>IF(OR(AA$23="",ISNA($B229)),"",IF(ISBLANK($B229),"",IFERROR(_xll.BDP(TICKER,"DEEP_MEASURE_PERIOD_BROKER_VALUE","DEEP_MEASURE_ID_OVERRIDE",$C229,"DEEP_BROKER_ID_OVERRIDE",AA$24,"DEEP_PERIOD_OVERRIDE",$H$19)*1,"")))</f>
        <v/>
      </c>
      <c r="AB229" t="str">
        <f>IF(OR(AB$23="",ISNA($B229)),"",IF(ISBLANK($B229),"",IFERROR(_xll.BDP(TICKER,"DEEP_MEASURE_PERIOD_BROKER_VALUE","DEEP_MEASURE_ID_OVERRIDE",$C229,"DEEP_BROKER_ID_OVERRIDE",AB$24,"DEEP_PERIOD_OVERRIDE",$H$19)*1,"")))</f>
        <v/>
      </c>
      <c r="AC229" t="str">
        <f>IF(OR(AC$23="",ISNA($B229)),"",IF(ISBLANK($B229),"",IFERROR(_xll.BDP(TICKER,"DEEP_MEASURE_PERIOD_BROKER_VALUE","DEEP_MEASURE_ID_OVERRIDE",$C229,"DEEP_BROKER_ID_OVERRIDE",AC$24,"DEEP_PERIOD_OVERRIDE",$H$19)*1,"")))</f>
        <v/>
      </c>
      <c r="AD229" t="str">
        <f>IF(OR(AD$23="",ISNA($B229)),"",IF(ISBLANK($B229),"",IFERROR(_xll.BDP(TICKER,"DEEP_MEASURE_PERIOD_BROKER_VALUE","DEEP_MEASURE_ID_OVERRIDE",$C229,"DEEP_BROKER_ID_OVERRIDE",AD$24,"DEEP_PERIOD_OVERRIDE",$H$19)*1,"")))</f>
        <v/>
      </c>
      <c r="AE229" t="str">
        <f>IF(OR(AE$23="",ISNA($B229)),"",IF(ISBLANK($B229),"",IFERROR(_xll.BDP(TICKER,"DEEP_MEASURE_PERIOD_BROKER_VALUE","DEEP_MEASURE_ID_OVERRIDE",$C229,"DEEP_BROKER_ID_OVERRIDE",AE$24,"DEEP_PERIOD_OVERRIDE",$H$19)*1,"")))</f>
        <v/>
      </c>
      <c r="AF229" t="str">
        <f>IF(OR(AF$23="",ISNA($B229)),"",IF(ISBLANK($B229),"",IFERROR(_xll.BDP(TICKER,"DEEP_MEASURE_PERIOD_BROKER_VALUE","DEEP_MEASURE_ID_OVERRIDE",$C229,"DEEP_BROKER_ID_OVERRIDE",AF$24,"DEEP_PERIOD_OVERRIDE",$H$19)*1,"")))</f>
        <v/>
      </c>
      <c r="AG229" t="str">
        <f>IF(OR(AG$23="",ISNA($B229)),"",IF(ISBLANK($B229),"",IFERROR(_xll.BDP(TICKER,"DEEP_MEASURE_PERIOD_BROKER_VALUE","DEEP_MEASURE_ID_OVERRIDE",$C229,"DEEP_BROKER_ID_OVERRIDE",AG$24,"DEEP_PERIOD_OVERRIDE",$H$19)*1,"")))</f>
        <v/>
      </c>
      <c r="AH229" t="str">
        <f>IF(OR(AH$23="",ISNA($B229)),"",IF(ISBLANK($B229),"",IFERROR(_xll.BDP(TICKER,"DEEP_MEASURE_PERIOD_BROKER_VALUE","DEEP_MEASURE_ID_OVERRIDE",$C229,"DEEP_BROKER_ID_OVERRIDE",AH$24,"DEEP_PERIOD_OVERRIDE",$H$19)*1,"")))</f>
        <v/>
      </c>
      <c r="AI229" t="str">
        <f>IF(OR(AI$23="",ISNA($B229)),"",IF(ISBLANK($B229),"",IFERROR(_xll.BDP(TICKER,"DEEP_MEASURE_PERIOD_BROKER_VALUE","DEEP_MEASURE_ID_OVERRIDE",$C229,"DEEP_BROKER_ID_OVERRIDE",AI$24,"DEEP_PERIOD_OVERRIDE",$H$19)*1,"")))</f>
        <v/>
      </c>
      <c r="AJ229" t="str">
        <f>IF(OR(AJ$23="",ISNA($B229)),"",IF(ISBLANK($B229),"",IFERROR(_xll.BDP(TICKER,"DEEP_MEASURE_PERIOD_BROKER_VALUE","DEEP_MEASURE_ID_OVERRIDE",$C229,"DEEP_BROKER_ID_OVERRIDE",AJ$24,"DEEP_PERIOD_OVERRIDE",$H$19)*1,"")))</f>
        <v/>
      </c>
      <c r="AK229" t="str">
        <f>IF(OR(AK$23="",ISNA($B229)),"",IF(ISBLANK($B229),"",IFERROR(_xll.BDP(TICKER,"DEEP_MEASURE_PERIOD_BROKER_VALUE","DEEP_MEASURE_ID_OVERRIDE",$C229,"DEEP_BROKER_ID_OVERRIDE",AK$24,"DEEP_PERIOD_OVERRIDE",$H$19)*1,"")))</f>
        <v/>
      </c>
      <c r="AL229" t="str">
        <f>IF(OR(AL$23="",ISNA($B229)),"",IF(ISBLANK($B229),"",IFERROR(_xll.BDP(TICKER,"DEEP_MEASURE_PERIOD_BROKER_VALUE","DEEP_MEASURE_ID_OVERRIDE",$C229,"DEEP_BROKER_ID_OVERRIDE",AL$24,"DEEP_PERIOD_OVERRIDE",$H$19)*1,"")))</f>
        <v/>
      </c>
      <c r="AM229" t="str">
        <f>IF(OR(AM$23="",ISNA($B229)),"",IF(ISBLANK($B229),"",IFERROR(_xll.BDP(TICKER,"DEEP_MEASURE_PERIOD_BROKER_VALUE","DEEP_MEASURE_ID_OVERRIDE",$C229,"DEEP_BROKER_ID_OVERRIDE",AM$24,"DEEP_PERIOD_OVERRIDE",$H$19)*1,"")))</f>
        <v/>
      </c>
      <c r="AN229" t="str">
        <f>IF(OR(AN$23="",ISNA($B229)),"",IF(ISBLANK($B229),"",IFERROR(_xll.BDP(TICKER,"DEEP_MEASURE_PERIOD_BROKER_VALUE","DEEP_MEASURE_ID_OVERRIDE",$C229,"DEEP_BROKER_ID_OVERRIDE",AN$24,"DEEP_PERIOD_OVERRIDE",$H$19)*1,"")))</f>
        <v/>
      </c>
      <c r="AO229" t="str">
        <f>IF(OR(AO$23="",ISNA($B229)),"",IF(ISBLANK($B229),"",IFERROR(_xll.BDP(TICKER,"DEEP_MEASURE_PERIOD_BROKER_VALUE","DEEP_MEASURE_ID_OVERRIDE",$C229,"DEEP_BROKER_ID_OVERRIDE",AO$24,"DEEP_PERIOD_OVERRIDE",$H$19)*1,"")))</f>
        <v/>
      </c>
      <c r="AP229" t="str">
        <f>IF(OR(AP$23="",ISNA($B229)),"",IF(ISBLANK($B229),"",IFERROR(_xll.BDP(TICKER,"DEEP_MEASURE_PERIOD_BROKER_VALUE","DEEP_MEASURE_ID_OVERRIDE",$C229,"DEEP_BROKER_ID_OVERRIDE",AP$24,"DEEP_PERIOD_OVERRIDE",$H$19)*1,"")))</f>
        <v/>
      </c>
      <c r="AQ229" t="str">
        <f>IF(OR(AQ$23="",ISNA($B229)),"",IF(ISBLANK($B229),"",IFERROR(_xll.BDP(TICKER,"DEEP_MEASURE_PERIOD_BROKER_VALUE","DEEP_MEASURE_ID_OVERRIDE",$C229,"DEEP_BROKER_ID_OVERRIDE",AQ$24,"DEEP_PERIOD_OVERRIDE",$H$19)*1,"")))</f>
        <v/>
      </c>
      <c r="AR229" t="str">
        <f>IF(OR(AR$23="",ISNA($B229)),"",IF(ISBLANK($B229),"",IFERROR(_xll.BDP(TICKER,"DEEP_MEASURE_PERIOD_BROKER_VALUE","DEEP_MEASURE_ID_OVERRIDE",$C229,"DEEP_BROKER_ID_OVERRIDE",AR$24,"DEEP_PERIOD_OVERRIDE",$H$19)*1,"")))</f>
        <v/>
      </c>
      <c r="AS229" t="str">
        <f>IF(OR(AS$23="",ISNA($B229)),"",IF(ISBLANK($B229),"",IFERROR(_xll.BDP(TICKER,"DEEP_MEASURE_PERIOD_BROKER_VALUE","DEEP_MEASURE_ID_OVERRIDE",$C229,"DEEP_BROKER_ID_OVERRIDE",AS$24,"DEEP_PERIOD_OVERRIDE",$H$19)*1,"")))</f>
        <v/>
      </c>
      <c r="AT229" t="str">
        <f>IF(OR(AT$23="",ISNA($B229)),"",IF(ISBLANK($B229),"",IFERROR(_xll.BDP(TICKER,"DEEP_MEASURE_PERIOD_BROKER_VALUE","DEEP_MEASURE_ID_OVERRIDE",$C229,"DEEP_BROKER_ID_OVERRIDE",AT$24,"DEEP_PERIOD_OVERRIDE",$H$19)*1,"")))</f>
        <v/>
      </c>
      <c r="AU229" t="str">
        <f>IF(OR(AU$23="",ISNA($B229)),"",IF(ISBLANK($B229),"",IFERROR(_xll.BDP(TICKER,"DEEP_MEASURE_PERIOD_BROKER_VALUE","DEEP_MEASURE_ID_OVERRIDE",$C229,"DEEP_BROKER_ID_OVERRIDE",AU$24,"DEEP_PERIOD_OVERRIDE",$H$19)*1,"")))</f>
        <v/>
      </c>
      <c r="AV229" t="str">
        <f>IF(OR(AV$23="",ISNA($B229)),"",IF(ISBLANK($B229),"",IFERROR(_xll.BDP(TICKER,"DEEP_MEASURE_PERIOD_BROKER_VALUE","DEEP_MEASURE_ID_OVERRIDE",$C229,"DEEP_BROKER_ID_OVERRIDE",AV$24,"DEEP_PERIOD_OVERRIDE",$H$19)*1,"")))</f>
        <v/>
      </c>
      <c r="AW229" t="str">
        <f>IF(OR(AW$23="",ISNA($B229)),"",IF(ISBLANK($B229),"",IFERROR(_xll.BDP(TICKER,"DEEP_MEASURE_PERIOD_BROKER_VALUE","DEEP_MEASURE_ID_OVERRIDE",$C229,"DEEP_BROKER_ID_OVERRIDE",AW$24,"DEEP_PERIOD_OVERRIDE",$H$19)*1,"")))</f>
        <v/>
      </c>
      <c r="AX229" t="str">
        <f>IF(OR(AX$23="",ISNA($B229)),"",IF(ISBLANK($B229),"",IFERROR(_xll.BDP(TICKER,"DEEP_MEASURE_PERIOD_BROKER_VALUE","DEEP_MEASURE_ID_OVERRIDE",$C229,"DEEP_BROKER_ID_OVERRIDE",AX$24,"DEEP_PERIOD_OVERRIDE",$H$19)*1,"")))</f>
        <v/>
      </c>
      <c r="AY229" t="str">
        <f>IF(OR(AY$23="",ISNA($B229)),"",IF(ISBLANK($B229),"",IFERROR(_xll.BDP(TICKER,"DEEP_MEASURE_PERIOD_BROKER_VALUE","DEEP_MEASURE_ID_OVERRIDE",$C229,"DEEP_BROKER_ID_OVERRIDE",AY$24,"DEEP_PERIOD_OVERRIDE",$H$19)*1,"")))</f>
        <v/>
      </c>
      <c r="AZ229" t="str">
        <f>IF(OR(AZ$23="",ISNA($B229)),"",IF(ISBLANK($B229),"",IFERROR(_xll.BDP(TICKER,"DEEP_MEASURE_PERIOD_BROKER_VALUE","DEEP_MEASURE_ID_OVERRIDE",$C229,"DEEP_BROKER_ID_OVERRIDE",AZ$24,"DEEP_PERIOD_OVERRIDE",$H$19)*1,"")))</f>
        <v/>
      </c>
      <c r="BA229" t="str">
        <f>IF(OR(BA$23="",ISNA($B229)),"",IF(ISBLANK($B229),"",IFERROR(_xll.BDP(TICKER,"DEEP_MEASURE_PERIOD_BROKER_VALUE","DEEP_MEASURE_ID_OVERRIDE",$C229,"DEEP_BROKER_ID_OVERRIDE",BA$24,"DEEP_PERIOD_OVERRIDE",$H$19)*1,"")))</f>
        <v/>
      </c>
      <c r="BB229" t="str">
        <f>IF(OR(BB$23="",ISNA($B229)),"",IF(ISBLANK($B229),"",IFERROR(_xll.BDP(TICKER,"DEEP_MEASURE_PERIOD_BROKER_VALUE","DEEP_MEASURE_ID_OVERRIDE",$C229,"DEEP_BROKER_ID_OVERRIDE",BB$24,"DEEP_PERIOD_OVERRIDE",$H$19)*1,"")))</f>
        <v/>
      </c>
      <c r="BC229" t="str">
        <f>IF(OR(BC$23="",ISNA($B229)),"",IF(ISBLANK($B229),"",IFERROR(_xll.BDP(TICKER,"DEEP_MEASURE_PERIOD_BROKER_VALUE","DEEP_MEASURE_ID_OVERRIDE",$C229,"DEEP_BROKER_ID_OVERRIDE",BC$24,"DEEP_PERIOD_OVERRIDE",$H$19)*1,"")))</f>
        <v/>
      </c>
      <c r="BD229" t="str">
        <f>IF(OR(BD$23="",ISNA($B229)),"",IF(ISBLANK($B229),"",IFERROR(_xll.BDP(TICKER,"DEEP_MEASURE_PERIOD_BROKER_VALUE","DEEP_MEASURE_ID_OVERRIDE",$C229,"DEEP_BROKER_ID_OVERRIDE",BD$24,"DEEP_PERIOD_OVERRIDE",$H$19)*1,"")))</f>
        <v/>
      </c>
      <c r="BE229" t="str">
        <f>IF(OR(BE$23="",ISNA($B229)),"",IF(ISBLANK($B229),"",IFERROR(_xll.BDP(TICKER,"DEEP_MEASURE_PERIOD_BROKER_VALUE","DEEP_MEASURE_ID_OVERRIDE",$C229,"DEEP_BROKER_ID_OVERRIDE",BE$24,"DEEP_PERIOD_OVERRIDE",$H$19)*1,"")))</f>
        <v/>
      </c>
      <c r="BF229" t="str">
        <f>IF(OR(BF$23="",ISNA($B229)),"",IF(ISBLANK($B229),"",IFERROR(_xll.BDP(TICKER,"DEEP_MEASURE_PERIOD_BROKER_VALUE","DEEP_MEASURE_ID_OVERRIDE",$C229,"DEEP_BROKER_ID_OVERRIDE",BF$24,"DEEP_PERIOD_OVERRIDE",$H$19)*1,"")))</f>
        <v/>
      </c>
      <c r="BG229" t="str">
        <f>IF(OR(BG$23="",ISNA($B229)),"",IF(ISBLANK($B229),"",IFERROR(_xll.BDP(TICKER,"DEEP_MEASURE_PERIOD_BROKER_VALUE","DEEP_MEASURE_ID_OVERRIDE",$C229,"DEEP_BROKER_ID_OVERRIDE",BG$24,"DEEP_PERIOD_OVERRIDE",$H$19)*1,"")))</f>
        <v/>
      </c>
      <c r="BH229" t="str">
        <f>IF(OR(BH$23="",ISNA($B229)),"",IF(ISBLANK($B229),"",IFERROR(_xll.BDP(TICKER,"DEEP_MEASURE_PERIOD_BROKER_VALUE","DEEP_MEASURE_ID_OVERRIDE",$C229,"DEEP_BROKER_ID_OVERRIDE",BH$24,"DEEP_PERIOD_OVERRIDE",$H$19)*1,"")))</f>
        <v/>
      </c>
      <c r="BI229" t="str">
        <f>IF(OR(BI$23="",ISNA($B229)),"",IF(ISBLANK($B229),"",IFERROR(_xll.BDP(TICKER,"DEEP_MEASURE_PERIOD_BROKER_VALUE","DEEP_MEASURE_ID_OVERRIDE",$C229,"DEEP_BROKER_ID_OVERRIDE",BI$24,"DEEP_PERIOD_OVERRIDE",$H$19)*1,"")))</f>
        <v/>
      </c>
      <c r="BJ229" t="str">
        <f>IF(OR(BJ$23="",ISNA($B229)),"",IF(ISBLANK($B229),"",IFERROR(_xll.BDP(TICKER,"DEEP_MEASURE_PERIOD_BROKER_VALUE","DEEP_MEASURE_ID_OVERRIDE",$C229,"DEEP_BROKER_ID_OVERRIDE",BJ$24,"DEEP_PERIOD_OVERRIDE",$H$19)*1,"")))</f>
        <v/>
      </c>
      <c r="BK229" t="str">
        <f>IF(OR(BK$23="",ISNA($B229)),"",IF(ISBLANK($B229),"",IFERROR(_xll.BDP(TICKER,"DEEP_MEASURE_PERIOD_BROKER_VALUE","DEEP_MEASURE_ID_OVERRIDE",$C229,"DEEP_BROKER_ID_OVERRIDE",BK$24,"DEEP_PERIOD_OVERRIDE",$H$19)*1,"")))</f>
        <v/>
      </c>
      <c r="BL229" t="str">
        <f>IF(OR(BL$23="",ISNA($B229)),"",IF(ISBLANK($B229),"",IFERROR(_xll.BDP(TICKER,"DEEP_MEASURE_PERIOD_BROKER_VALUE","DEEP_MEASURE_ID_OVERRIDE",$C229,"DEEP_BROKER_ID_OVERRIDE",BL$24,"DEEP_PERIOD_OVERRIDE",$H$19)*1,"")))</f>
        <v/>
      </c>
      <c r="BM229" t="str">
        <f>IF(OR(BM$23="",ISNA($B229)),"",IF(ISBLANK($B229),"",IFERROR(_xll.BDP(TICKER,"DEEP_MEASURE_PERIOD_BROKER_VALUE","DEEP_MEASURE_ID_OVERRIDE",$C229,"DEEP_BROKER_ID_OVERRIDE",BM$24,"DEEP_PERIOD_OVERRIDE",$H$19)*1,"")))</f>
        <v/>
      </c>
      <c r="BN229" t="str">
        <f>IF(OR(BN$23="",ISNA($B229)),"",IF(ISBLANK($B229),"",IFERROR(_xll.BDP(TICKER,"DEEP_MEASURE_PERIOD_BROKER_VALUE","DEEP_MEASURE_ID_OVERRIDE",$C229,"DEEP_BROKER_ID_OVERRIDE",BN$24,"DEEP_PERIOD_OVERRIDE",$H$19)*1,"")))</f>
        <v/>
      </c>
      <c r="BO229" t="str">
        <f>IF(OR(BO$23="",ISNA($B229)),"",IF(ISBLANK($B229),"",IFERROR(_xll.BDP(TICKER,"DEEP_MEASURE_PERIOD_BROKER_VALUE","DEEP_MEASURE_ID_OVERRIDE",$C229,"DEEP_BROKER_ID_OVERRIDE",BO$24,"DEEP_PERIOD_OVERRIDE",$H$19)*1,"")))</f>
        <v/>
      </c>
      <c r="BP229" t="str">
        <f>IF(OR(BP$23="",ISNA($B229)),"",IF(ISBLANK($B229),"",IFERROR(_xll.BDP(TICKER,"DEEP_MEASURE_PERIOD_BROKER_VALUE","DEEP_MEASURE_ID_OVERRIDE",$C229,"DEEP_BROKER_ID_OVERRIDE",BP$24,"DEEP_PERIOD_OVERRIDE",$H$19)*1,"")))</f>
        <v/>
      </c>
      <c r="BQ229" t="str">
        <f>IF(OR(BQ$23="",ISNA($B229)),"",IF(ISBLANK($B229),"",IFERROR(_xll.BDP(TICKER,"DEEP_MEASURE_PERIOD_BROKER_VALUE","DEEP_MEASURE_ID_OVERRIDE",$C229,"DEEP_BROKER_ID_OVERRIDE",BQ$24,"DEEP_PERIOD_OVERRIDE",$H$19)*1,"")))</f>
        <v/>
      </c>
      <c r="BR229" t="str">
        <f>IF(OR(BR$23="",ISNA($B229)),"",IF(ISBLANK($B229),"",IFERROR(_xll.BDP(TICKER,"DEEP_MEASURE_PERIOD_BROKER_VALUE","DEEP_MEASURE_ID_OVERRIDE",$C229,"DEEP_BROKER_ID_OVERRIDE",BR$24,"DEEP_PERIOD_OVERRIDE",$H$19)*1,"")))</f>
        <v/>
      </c>
      <c r="BS229" t="str">
        <f>IF(OR(BS$23="",ISNA($B229)),"",IF(ISBLANK($B229),"",IFERROR(_xll.BDP(TICKER,"DEEP_MEASURE_PERIOD_BROKER_VALUE","DEEP_MEASURE_ID_OVERRIDE",$C229,"DEEP_BROKER_ID_OVERRIDE",BS$24,"DEEP_PERIOD_OVERRIDE",$H$19)*1,"")))</f>
        <v/>
      </c>
      <c r="BT229" t="str">
        <f>IF(OR(BT$23="",ISNA($B229)),"",IF(ISBLANK($B229),"",IFERROR(_xll.BDP(TICKER,"DEEP_MEASURE_PERIOD_BROKER_VALUE","DEEP_MEASURE_ID_OVERRIDE",$C229,"DEEP_BROKER_ID_OVERRIDE",BT$24,"DEEP_PERIOD_OVERRIDE",$H$19)*1,"")))</f>
        <v/>
      </c>
      <c r="BU229" t="str">
        <f>IF(OR(BU$23="",ISNA($B229)),"",IF(ISBLANK($B229),"",IFERROR(_xll.BDP(TICKER,"DEEP_MEASURE_PERIOD_BROKER_VALUE","DEEP_MEASURE_ID_OVERRIDE",$C229,"DEEP_BROKER_ID_OVERRIDE",BU$24,"DEEP_PERIOD_OVERRIDE",$H$19)*1,"")))</f>
        <v/>
      </c>
      <c r="BV229" t="str">
        <f>IF(OR(BV$23="",ISNA($B229)),"",IF(ISBLANK($B229),"",IFERROR(_xll.BDP(TICKER,"DEEP_MEASURE_PERIOD_BROKER_VALUE","DEEP_MEASURE_ID_OVERRIDE",$C229,"DEEP_BROKER_ID_OVERRIDE",BV$24,"DEEP_PERIOD_OVERRIDE",$H$19)*1,"")))</f>
        <v/>
      </c>
      <c r="BW229" t="str">
        <f>IF(OR(BW$23="",ISNA($B229)),"",IF(ISBLANK($B229),"",IFERROR(_xll.BDP(TICKER,"DEEP_MEASURE_PERIOD_BROKER_VALUE","DEEP_MEASURE_ID_OVERRIDE",$C229,"DEEP_BROKER_ID_OVERRIDE",BW$24,"DEEP_PERIOD_OVERRIDE",$H$19)*1,"")))</f>
        <v/>
      </c>
      <c r="BX229" t="str">
        <f>IF(OR(BX$23="",ISNA($B229)),"",IF(ISBLANK($B229),"",IFERROR(_xll.BDP(TICKER,"DEEP_MEASURE_PERIOD_BROKER_VALUE","DEEP_MEASURE_ID_OVERRIDE",$C229,"DEEP_BROKER_ID_OVERRIDE",BX$24,"DEEP_PERIOD_OVERRIDE",$H$19)*1,"")))</f>
        <v/>
      </c>
      <c r="BY229" t="str">
        <f>IF(OR(BY$23="",ISNA($B229)),"",IF(ISBLANK($B229),"",IFERROR(_xll.BDP(TICKER,"DEEP_MEASURE_PERIOD_BROKER_VALUE","DEEP_MEASURE_ID_OVERRIDE",$C229,"DEEP_BROKER_ID_OVERRIDE",BY$24,"DEEP_PERIOD_OVERRIDE",$H$19)*1,"")))</f>
        <v/>
      </c>
      <c r="BZ229" t="str">
        <f>IF(OR(BZ$23="",ISNA($B229)),"",IF(ISBLANK($B229),"",IFERROR(_xll.BDP(TICKER,"DEEP_MEASURE_PERIOD_BROKER_VALUE","DEEP_MEASURE_ID_OVERRIDE",$C229,"DEEP_BROKER_ID_OVERRIDE",BZ$24,"DEEP_PERIOD_OVERRIDE",$H$19)*1,"")))</f>
        <v/>
      </c>
    </row>
    <row r="230" spans="8:78" x14ac:dyDescent="0.25">
      <c r="H230" t="str">
        <f t="shared" si="4"/>
        <v/>
      </c>
      <c r="I230" t="str">
        <f>IF(OR(I$23="",ISNA($B230)),"",IF(ISBLANK($B230),"",IFERROR(_xll.BDP(TICKER,"DEEP_MEASURE_PERIOD_BROKER_VALUE","DEEP_MEASURE_ID_OVERRIDE",$C230,"DEEP_PERIOD_OVERRIDE",$H$19)*1,"")))</f>
        <v/>
      </c>
      <c r="J230" t="e">
        <f>IF(OR(J$23="",ISNA($B230)),"",IF(ISBLANK($B230),"",IFERROR(_xll.BDP(TICKER,"DEEP_MEASURE_PERIOD_BROKER_VALUE","DEEP_MEASURE_ID_OVERRIDE",$C230,"DEEP_BROKER_ID_OVERRIDE",J$24,"DEEP_PERIOD_OVERRIDE",$H$19)*1,"")))</f>
        <v>#REF!</v>
      </c>
      <c r="K230" t="str">
        <f>IF(OR(K$23="",ISNA($B230)),"",IF(ISBLANK($B230),"",IFERROR(_xll.BDP(TICKER,"DEEP_MEASURE_PERIOD_BROKER_VALUE","DEEP_MEASURE_ID_OVERRIDE",$C230,"DEEP_BROKER_ID_OVERRIDE",K$24,"DEEP_PERIOD_OVERRIDE",$H$19)*1,"")))</f>
        <v/>
      </c>
      <c r="L230" t="str">
        <f>IF(OR(L$23="",ISNA($B230)),"",IF(ISBLANK($B230),"",IFERROR(_xll.BDP(TICKER,"DEEP_MEASURE_PERIOD_BROKER_VALUE","DEEP_MEASURE_ID_OVERRIDE",$C230,"DEEP_BROKER_ID_OVERRIDE",L$24,"DEEP_PERIOD_OVERRIDE",$H$19)*1,"")))</f>
        <v/>
      </c>
      <c r="M230" t="str">
        <f>IF(OR(M$23="",ISNA($B230)),"",IF(ISBLANK($B230),"",IFERROR(_xll.BDP(TICKER,"DEEP_MEASURE_PERIOD_BROKER_VALUE","DEEP_MEASURE_ID_OVERRIDE",$C230,"DEEP_BROKER_ID_OVERRIDE",M$24,"DEEP_PERIOD_OVERRIDE",$H$19)*1,"")))</f>
        <v/>
      </c>
      <c r="N230" t="str">
        <f>IF(OR(N$23="",ISNA($B230)),"",IF(ISBLANK($B230),"",IFERROR(_xll.BDP(TICKER,"DEEP_MEASURE_PERIOD_BROKER_VALUE","DEEP_MEASURE_ID_OVERRIDE",$C230,"DEEP_BROKER_ID_OVERRIDE",N$24,"DEEP_PERIOD_OVERRIDE",$H$19)*1,"")))</f>
        <v/>
      </c>
      <c r="O230" t="str">
        <f>IF(OR(O$23="",ISNA($B230)),"",IF(ISBLANK($B230),"",IFERROR(_xll.BDP(TICKER,"DEEP_MEASURE_PERIOD_BROKER_VALUE","DEEP_MEASURE_ID_OVERRIDE",$C230,"DEEP_BROKER_ID_OVERRIDE",O$24,"DEEP_PERIOD_OVERRIDE",$H$19)*1,"")))</f>
        <v/>
      </c>
      <c r="P230" t="str">
        <f>IF(OR(P$23="",ISNA($B230)),"",IF(ISBLANK($B230),"",IFERROR(_xll.BDP(TICKER,"DEEP_MEASURE_PERIOD_BROKER_VALUE","DEEP_MEASURE_ID_OVERRIDE",$C230,"DEEP_BROKER_ID_OVERRIDE",P$24,"DEEP_PERIOD_OVERRIDE",$H$19)*1,"")))</f>
        <v/>
      </c>
      <c r="Q230" t="str">
        <f>IF(OR(Q$23="",ISNA($B230)),"",IF(ISBLANK($B230),"",IFERROR(_xll.BDP(TICKER,"DEEP_MEASURE_PERIOD_BROKER_VALUE","DEEP_MEASURE_ID_OVERRIDE",$C230,"DEEP_BROKER_ID_OVERRIDE",Q$24,"DEEP_PERIOD_OVERRIDE",$H$19)*1,"")))</f>
        <v/>
      </c>
      <c r="R230" t="str">
        <f>IF(OR(R$23="",ISNA($B230)),"",IF(ISBLANK($B230),"",IFERROR(_xll.BDP(TICKER,"DEEP_MEASURE_PERIOD_BROKER_VALUE","DEEP_MEASURE_ID_OVERRIDE",$C230,"DEEP_BROKER_ID_OVERRIDE",R$24,"DEEP_PERIOD_OVERRIDE",$H$19)*1,"")))</f>
        <v/>
      </c>
      <c r="S230" t="str">
        <f>IF(OR(S$23="",ISNA($B230)),"",IF(ISBLANK($B230),"",IFERROR(_xll.BDP(TICKER,"DEEP_MEASURE_PERIOD_BROKER_VALUE","DEEP_MEASURE_ID_OVERRIDE",$C230,"DEEP_BROKER_ID_OVERRIDE",S$24,"DEEP_PERIOD_OVERRIDE",$H$19)*1,"")))</f>
        <v/>
      </c>
      <c r="T230" t="str">
        <f>IF(OR(T$23="",ISNA($B230)),"",IF(ISBLANK($B230),"",IFERROR(_xll.BDP(TICKER,"DEEP_MEASURE_PERIOD_BROKER_VALUE","DEEP_MEASURE_ID_OVERRIDE",$C230,"DEEP_BROKER_ID_OVERRIDE",T$24,"DEEP_PERIOD_OVERRIDE",$H$19)*1,"")))</f>
        <v/>
      </c>
      <c r="U230" t="str">
        <f>IF(OR(U$23="",ISNA($B230)),"",IF(ISBLANK($B230),"",IFERROR(_xll.BDP(TICKER,"DEEP_MEASURE_PERIOD_BROKER_VALUE","DEEP_MEASURE_ID_OVERRIDE",$C230,"DEEP_BROKER_ID_OVERRIDE",U$24,"DEEP_PERIOD_OVERRIDE",$H$19)*1,"")))</f>
        <v/>
      </c>
      <c r="V230" t="str">
        <f>IF(OR(V$23="",ISNA($B230)),"",IF(ISBLANK($B230),"",IFERROR(_xll.BDP(TICKER,"DEEP_MEASURE_PERIOD_BROKER_VALUE","DEEP_MEASURE_ID_OVERRIDE",$C230,"DEEP_BROKER_ID_OVERRIDE",V$24,"DEEP_PERIOD_OVERRIDE",$H$19)*1,"")))</f>
        <v/>
      </c>
      <c r="W230" t="str">
        <f>IF(OR(W$23="",ISNA($B230)),"",IF(ISBLANK($B230),"",IFERROR(_xll.BDP(TICKER,"DEEP_MEASURE_PERIOD_BROKER_VALUE","DEEP_MEASURE_ID_OVERRIDE",$C230,"DEEP_BROKER_ID_OVERRIDE",W$24,"DEEP_PERIOD_OVERRIDE",$H$19)*1,"")))</f>
        <v/>
      </c>
      <c r="X230" t="str">
        <f>IF(OR(X$23="",ISNA($B230)),"",IF(ISBLANK($B230),"",IFERROR(_xll.BDP(TICKER,"DEEP_MEASURE_PERIOD_BROKER_VALUE","DEEP_MEASURE_ID_OVERRIDE",$C230,"DEEP_BROKER_ID_OVERRIDE",X$24,"DEEP_PERIOD_OVERRIDE",$H$19)*1,"")))</f>
        <v/>
      </c>
      <c r="Y230" t="str">
        <f>IF(OR(Y$23="",ISNA($B230)),"",IF(ISBLANK($B230),"",IFERROR(_xll.BDP(TICKER,"DEEP_MEASURE_PERIOD_BROKER_VALUE","DEEP_MEASURE_ID_OVERRIDE",$C230,"DEEP_BROKER_ID_OVERRIDE",Y$24,"DEEP_PERIOD_OVERRIDE",$H$19)*1,"")))</f>
        <v/>
      </c>
      <c r="Z230" t="str">
        <f>IF(OR(Z$23="",ISNA($B230)),"",IF(ISBLANK($B230),"",IFERROR(_xll.BDP(TICKER,"DEEP_MEASURE_PERIOD_BROKER_VALUE","DEEP_MEASURE_ID_OVERRIDE",$C230,"DEEP_BROKER_ID_OVERRIDE",Z$24,"DEEP_PERIOD_OVERRIDE",$H$19)*1,"")))</f>
        <v/>
      </c>
      <c r="AA230" t="str">
        <f>IF(OR(AA$23="",ISNA($B230)),"",IF(ISBLANK($B230),"",IFERROR(_xll.BDP(TICKER,"DEEP_MEASURE_PERIOD_BROKER_VALUE","DEEP_MEASURE_ID_OVERRIDE",$C230,"DEEP_BROKER_ID_OVERRIDE",AA$24,"DEEP_PERIOD_OVERRIDE",$H$19)*1,"")))</f>
        <v/>
      </c>
      <c r="AB230" t="str">
        <f>IF(OR(AB$23="",ISNA($B230)),"",IF(ISBLANK($B230),"",IFERROR(_xll.BDP(TICKER,"DEEP_MEASURE_PERIOD_BROKER_VALUE","DEEP_MEASURE_ID_OVERRIDE",$C230,"DEEP_BROKER_ID_OVERRIDE",AB$24,"DEEP_PERIOD_OVERRIDE",$H$19)*1,"")))</f>
        <v/>
      </c>
      <c r="AC230" t="str">
        <f>IF(OR(AC$23="",ISNA($B230)),"",IF(ISBLANK($B230),"",IFERROR(_xll.BDP(TICKER,"DEEP_MEASURE_PERIOD_BROKER_VALUE","DEEP_MEASURE_ID_OVERRIDE",$C230,"DEEP_BROKER_ID_OVERRIDE",AC$24,"DEEP_PERIOD_OVERRIDE",$H$19)*1,"")))</f>
        <v/>
      </c>
      <c r="AD230" t="str">
        <f>IF(OR(AD$23="",ISNA($B230)),"",IF(ISBLANK($B230),"",IFERROR(_xll.BDP(TICKER,"DEEP_MEASURE_PERIOD_BROKER_VALUE","DEEP_MEASURE_ID_OVERRIDE",$C230,"DEEP_BROKER_ID_OVERRIDE",AD$24,"DEEP_PERIOD_OVERRIDE",$H$19)*1,"")))</f>
        <v/>
      </c>
      <c r="AE230" t="str">
        <f>IF(OR(AE$23="",ISNA($B230)),"",IF(ISBLANK($B230),"",IFERROR(_xll.BDP(TICKER,"DEEP_MEASURE_PERIOD_BROKER_VALUE","DEEP_MEASURE_ID_OVERRIDE",$C230,"DEEP_BROKER_ID_OVERRIDE",AE$24,"DEEP_PERIOD_OVERRIDE",$H$19)*1,"")))</f>
        <v/>
      </c>
      <c r="AF230" t="str">
        <f>IF(OR(AF$23="",ISNA($B230)),"",IF(ISBLANK($B230),"",IFERROR(_xll.BDP(TICKER,"DEEP_MEASURE_PERIOD_BROKER_VALUE","DEEP_MEASURE_ID_OVERRIDE",$C230,"DEEP_BROKER_ID_OVERRIDE",AF$24,"DEEP_PERIOD_OVERRIDE",$H$19)*1,"")))</f>
        <v/>
      </c>
      <c r="AG230" t="str">
        <f>IF(OR(AG$23="",ISNA($B230)),"",IF(ISBLANK($B230),"",IFERROR(_xll.BDP(TICKER,"DEEP_MEASURE_PERIOD_BROKER_VALUE","DEEP_MEASURE_ID_OVERRIDE",$C230,"DEEP_BROKER_ID_OVERRIDE",AG$24,"DEEP_PERIOD_OVERRIDE",$H$19)*1,"")))</f>
        <v/>
      </c>
      <c r="AH230" t="str">
        <f>IF(OR(AH$23="",ISNA($B230)),"",IF(ISBLANK($B230),"",IFERROR(_xll.BDP(TICKER,"DEEP_MEASURE_PERIOD_BROKER_VALUE","DEEP_MEASURE_ID_OVERRIDE",$C230,"DEEP_BROKER_ID_OVERRIDE",AH$24,"DEEP_PERIOD_OVERRIDE",$H$19)*1,"")))</f>
        <v/>
      </c>
      <c r="AI230" t="str">
        <f>IF(OR(AI$23="",ISNA($B230)),"",IF(ISBLANK($B230),"",IFERROR(_xll.BDP(TICKER,"DEEP_MEASURE_PERIOD_BROKER_VALUE","DEEP_MEASURE_ID_OVERRIDE",$C230,"DEEP_BROKER_ID_OVERRIDE",AI$24,"DEEP_PERIOD_OVERRIDE",$H$19)*1,"")))</f>
        <v/>
      </c>
      <c r="AJ230" t="str">
        <f>IF(OR(AJ$23="",ISNA($B230)),"",IF(ISBLANK($B230),"",IFERROR(_xll.BDP(TICKER,"DEEP_MEASURE_PERIOD_BROKER_VALUE","DEEP_MEASURE_ID_OVERRIDE",$C230,"DEEP_BROKER_ID_OVERRIDE",AJ$24,"DEEP_PERIOD_OVERRIDE",$H$19)*1,"")))</f>
        <v/>
      </c>
      <c r="AK230" t="str">
        <f>IF(OR(AK$23="",ISNA($B230)),"",IF(ISBLANK($B230),"",IFERROR(_xll.BDP(TICKER,"DEEP_MEASURE_PERIOD_BROKER_VALUE","DEEP_MEASURE_ID_OVERRIDE",$C230,"DEEP_BROKER_ID_OVERRIDE",AK$24,"DEEP_PERIOD_OVERRIDE",$H$19)*1,"")))</f>
        <v/>
      </c>
      <c r="AL230" t="str">
        <f>IF(OR(AL$23="",ISNA($B230)),"",IF(ISBLANK($B230),"",IFERROR(_xll.BDP(TICKER,"DEEP_MEASURE_PERIOD_BROKER_VALUE","DEEP_MEASURE_ID_OVERRIDE",$C230,"DEEP_BROKER_ID_OVERRIDE",AL$24,"DEEP_PERIOD_OVERRIDE",$H$19)*1,"")))</f>
        <v/>
      </c>
      <c r="AM230" t="str">
        <f>IF(OR(AM$23="",ISNA($B230)),"",IF(ISBLANK($B230),"",IFERROR(_xll.BDP(TICKER,"DEEP_MEASURE_PERIOD_BROKER_VALUE","DEEP_MEASURE_ID_OVERRIDE",$C230,"DEEP_BROKER_ID_OVERRIDE",AM$24,"DEEP_PERIOD_OVERRIDE",$H$19)*1,"")))</f>
        <v/>
      </c>
      <c r="AN230" t="str">
        <f>IF(OR(AN$23="",ISNA($B230)),"",IF(ISBLANK($B230),"",IFERROR(_xll.BDP(TICKER,"DEEP_MEASURE_PERIOD_BROKER_VALUE","DEEP_MEASURE_ID_OVERRIDE",$C230,"DEEP_BROKER_ID_OVERRIDE",AN$24,"DEEP_PERIOD_OVERRIDE",$H$19)*1,"")))</f>
        <v/>
      </c>
      <c r="AO230" t="str">
        <f>IF(OR(AO$23="",ISNA($B230)),"",IF(ISBLANK($B230),"",IFERROR(_xll.BDP(TICKER,"DEEP_MEASURE_PERIOD_BROKER_VALUE","DEEP_MEASURE_ID_OVERRIDE",$C230,"DEEP_BROKER_ID_OVERRIDE",AO$24,"DEEP_PERIOD_OVERRIDE",$H$19)*1,"")))</f>
        <v/>
      </c>
      <c r="AP230" t="str">
        <f>IF(OR(AP$23="",ISNA($B230)),"",IF(ISBLANK($B230),"",IFERROR(_xll.BDP(TICKER,"DEEP_MEASURE_PERIOD_BROKER_VALUE","DEEP_MEASURE_ID_OVERRIDE",$C230,"DEEP_BROKER_ID_OVERRIDE",AP$24,"DEEP_PERIOD_OVERRIDE",$H$19)*1,"")))</f>
        <v/>
      </c>
      <c r="AQ230" t="str">
        <f>IF(OR(AQ$23="",ISNA($B230)),"",IF(ISBLANK($B230),"",IFERROR(_xll.BDP(TICKER,"DEEP_MEASURE_PERIOD_BROKER_VALUE","DEEP_MEASURE_ID_OVERRIDE",$C230,"DEEP_BROKER_ID_OVERRIDE",AQ$24,"DEEP_PERIOD_OVERRIDE",$H$19)*1,"")))</f>
        <v/>
      </c>
      <c r="AR230" t="str">
        <f>IF(OR(AR$23="",ISNA($B230)),"",IF(ISBLANK($B230),"",IFERROR(_xll.BDP(TICKER,"DEEP_MEASURE_PERIOD_BROKER_VALUE","DEEP_MEASURE_ID_OVERRIDE",$C230,"DEEP_BROKER_ID_OVERRIDE",AR$24,"DEEP_PERIOD_OVERRIDE",$H$19)*1,"")))</f>
        <v/>
      </c>
      <c r="AS230" t="str">
        <f>IF(OR(AS$23="",ISNA($B230)),"",IF(ISBLANK($B230),"",IFERROR(_xll.BDP(TICKER,"DEEP_MEASURE_PERIOD_BROKER_VALUE","DEEP_MEASURE_ID_OVERRIDE",$C230,"DEEP_BROKER_ID_OVERRIDE",AS$24,"DEEP_PERIOD_OVERRIDE",$H$19)*1,"")))</f>
        <v/>
      </c>
      <c r="AT230" t="str">
        <f>IF(OR(AT$23="",ISNA($B230)),"",IF(ISBLANK($B230),"",IFERROR(_xll.BDP(TICKER,"DEEP_MEASURE_PERIOD_BROKER_VALUE","DEEP_MEASURE_ID_OVERRIDE",$C230,"DEEP_BROKER_ID_OVERRIDE",AT$24,"DEEP_PERIOD_OVERRIDE",$H$19)*1,"")))</f>
        <v/>
      </c>
      <c r="AU230" t="str">
        <f>IF(OR(AU$23="",ISNA($B230)),"",IF(ISBLANK($B230),"",IFERROR(_xll.BDP(TICKER,"DEEP_MEASURE_PERIOD_BROKER_VALUE","DEEP_MEASURE_ID_OVERRIDE",$C230,"DEEP_BROKER_ID_OVERRIDE",AU$24,"DEEP_PERIOD_OVERRIDE",$H$19)*1,"")))</f>
        <v/>
      </c>
      <c r="AV230" t="str">
        <f>IF(OR(AV$23="",ISNA($B230)),"",IF(ISBLANK($B230),"",IFERROR(_xll.BDP(TICKER,"DEEP_MEASURE_PERIOD_BROKER_VALUE","DEEP_MEASURE_ID_OVERRIDE",$C230,"DEEP_BROKER_ID_OVERRIDE",AV$24,"DEEP_PERIOD_OVERRIDE",$H$19)*1,"")))</f>
        <v/>
      </c>
      <c r="AW230" t="str">
        <f>IF(OR(AW$23="",ISNA($B230)),"",IF(ISBLANK($B230),"",IFERROR(_xll.BDP(TICKER,"DEEP_MEASURE_PERIOD_BROKER_VALUE","DEEP_MEASURE_ID_OVERRIDE",$C230,"DEEP_BROKER_ID_OVERRIDE",AW$24,"DEEP_PERIOD_OVERRIDE",$H$19)*1,"")))</f>
        <v/>
      </c>
      <c r="AX230" t="str">
        <f>IF(OR(AX$23="",ISNA($B230)),"",IF(ISBLANK($B230),"",IFERROR(_xll.BDP(TICKER,"DEEP_MEASURE_PERIOD_BROKER_VALUE","DEEP_MEASURE_ID_OVERRIDE",$C230,"DEEP_BROKER_ID_OVERRIDE",AX$24,"DEEP_PERIOD_OVERRIDE",$H$19)*1,"")))</f>
        <v/>
      </c>
      <c r="AY230" t="str">
        <f>IF(OR(AY$23="",ISNA($B230)),"",IF(ISBLANK($B230),"",IFERROR(_xll.BDP(TICKER,"DEEP_MEASURE_PERIOD_BROKER_VALUE","DEEP_MEASURE_ID_OVERRIDE",$C230,"DEEP_BROKER_ID_OVERRIDE",AY$24,"DEEP_PERIOD_OVERRIDE",$H$19)*1,"")))</f>
        <v/>
      </c>
      <c r="AZ230" t="str">
        <f>IF(OR(AZ$23="",ISNA($B230)),"",IF(ISBLANK($B230),"",IFERROR(_xll.BDP(TICKER,"DEEP_MEASURE_PERIOD_BROKER_VALUE","DEEP_MEASURE_ID_OVERRIDE",$C230,"DEEP_BROKER_ID_OVERRIDE",AZ$24,"DEEP_PERIOD_OVERRIDE",$H$19)*1,"")))</f>
        <v/>
      </c>
      <c r="BA230" t="str">
        <f>IF(OR(BA$23="",ISNA($B230)),"",IF(ISBLANK($B230),"",IFERROR(_xll.BDP(TICKER,"DEEP_MEASURE_PERIOD_BROKER_VALUE","DEEP_MEASURE_ID_OVERRIDE",$C230,"DEEP_BROKER_ID_OVERRIDE",BA$24,"DEEP_PERIOD_OVERRIDE",$H$19)*1,"")))</f>
        <v/>
      </c>
      <c r="BB230" t="str">
        <f>IF(OR(BB$23="",ISNA($B230)),"",IF(ISBLANK($B230),"",IFERROR(_xll.BDP(TICKER,"DEEP_MEASURE_PERIOD_BROKER_VALUE","DEEP_MEASURE_ID_OVERRIDE",$C230,"DEEP_BROKER_ID_OVERRIDE",BB$24,"DEEP_PERIOD_OVERRIDE",$H$19)*1,"")))</f>
        <v/>
      </c>
      <c r="BC230" t="str">
        <f>IF(OR(BC$23="",ISNA($B230)),"",IF(ISBLANK($B230),"",IFERROR(_xll.BDP(TICKER,"DEEP_MEASURE_PERIOD_BROKER_VALUE","DEEP_MEASURE_ID_OVERRIDE",$C230,"DEEP_BROKER_ID_OVERRIDE",BC$24,"DEEP_PERIOD_OVERRIDE",$H$19)*1,"")))</f>
        <v/>
      </c>
      <c r="BD230" t="str">
        <f>IF(OR(BD$23="",ISNA($B230)),"",IF(ISBLANK($B230),"",IFERROR(_xll.BDP(TICKER,"DEEP_MEASURE_PERIOD_BROKER_VALUE","DEEP_MEASURE_ID_OVERRIDE",$C230,"DEEP_BROKER_ID_OVERRIDE",BD$24,"DEEP_PERIOD_OVERRIDE",$H$19)*1,"")))</f>
        <v/>
      </c>
      <c r="BE230" t="str">
        <f>IF(OR(BE$23="",ISNA($B230)),"",IF(ISBLANK($B230),"",IFERROR(_xll.BDP(TICKER,"DEEP_MEASURE_PERIOD_BROKER_VALUE","DEEP_MEASURE_ID_OVERRIDE",$C230,"DEEP_BROKER_ID_OVERRIDE",BE$24,"DEEP_PERIOD_OVERRIDE",$H$19)*1,"")))</f>
        <v/>
      </c>
      <c r="BF230" t="str">
        <f>IF(OR(BF$23="",ISNA($B230)),"",IF(ISBLANK($B230),"",IFERROR(_xll.BDP(TICKER,"DEEP_MEASURE_PERIOD_BROKER_VALUE","DEEP_MEASURE_ID_OVERRIDE",$C230,"DEEP_BROKER_ID_OVERRIDE",BF$24,"DEEP_PERIOD_OVERRIDE",$H$19)*1,"")))</f>
        <v/>
      </c>
      <c r="BG230" t="str">
        <f>IF(OR(BG$23="",ISNA($B230)),"",IF(ISBLANK($B230),"",IFERROR(_xll.BDP(TICKER,"DEEP_MEASURE_PERIOD_BROKER_VALUE","DEEP_MEASURE_ID_OVERRIDE",$C230,"DEEP_BROKER_ID_OVERRIDE",BG$24,"DEEP_PERIOD_OVERRIDE",$H$19)*1,"")))</f>
        <v/>
      </c>
      <c r="BH230" t="str">
        <f>IF(OR(BH$23="",ISNA($B230)),"",IF(ISBLANK($B230),"",IFERROR(_xll.BDP(TICKER,"DEEP_MEASURE_PERIOD_BROKER_VALUE","DEEP_MEASURE_ID_OVERRIDE",$C230,"DEEP_BROKER_ID_OVERRIDE",BH$24,"DEEP_PERIOD_OVERRIDE",$H$19)*1,"")))</f>
        <v/>
      </c>
      <c r="BI230" t="str">
        <f>IF(OR(BI$23="",ISNA($B230)),"",IF(ISBLANK($B230),"",IFERROR(_xll.BDP(TICKER,"DEEP_MEASURE_PERIOD_BROKER_VALUE","DEEP_MEASURE_ID_OVERRIDE",$C230,"DEEP_BROKER_ID_OVERRIDE",BI$24,"DEEP_PERIOD_OVERRIDE",$H$19)*1,"")))</f>
        <v/>
      </c>
      <c r="BJ230" t="str">
        <f>IF(OR(BJ$23="",ISNA($B230)),"",IF(ISBLANK($B230),"",IFERROR(_xll.BDP(TICKER,"DEEP_MEASURE_PERIOD_BROKER_VALUE","DEEP_MEASURE_ID_OVERRIDE",$C230,"DEEP_BROKER_ID_OVERRIDE",BJ$24,"DEEP_PERIOD_OVERRIDE",$H$19)*1,"")))</f>
        <v/>
      </c>
      <c r="BK230" t="str">
        <f>IF(OR(BK$23="",ISNA($B230)),"",IF(ISBLANK($B230),"",IFERROR(_xll.BDP(TICKER,"DEEP_MEASURE_PERIOD_BROKER_VALUE","DEEP_MEASURE_ID_OVERRIDE",$C230,"DEEP_BROKER_ID_OVERRIDE",BK$24,"DEEP_PERIOD_OVERRIDE",$H$19)*1,"")))</f>
        <v/>
      </c>
      <c r="BL230" t="str">
        <f>IF(OR(BL$23="",ISNA($B230)),"",IF(ISBLANK($B230),"",IFERROR(_xll.BDP(TICKER,"DEEP_MEASURE_PERIOD_BROKER_VALUE","DEEP_MEASURE_ID_OVERRIDE",$C230,"DEEP_BROKER_ID_OVERRIDE",BL$24,"DEEP_PERIOD_OVERRIDE",$H$19)*1,"")))</f>
        <v/>
      </c>
      <c r="BM230" t="str">
        <f>IF(OR(BM$23="",ISNA($B230)),"",IF(ISBLANK($B230),"",IFERROR(_xll.BDP(TICKER,"DEEP_MEASURE_PERIOD_BROKER_VALUE","DEEP_MEASURE_ID_OVERRIDE",$C230,"DEEP_BROKER_ID_OVERRIDE",BM$24,"DEEP_PERIOD_OVERRIDE",$H$19)*1,"")))</f>
        <v/>
      </c>
      <c r="BN230" t="str">
        <f>IF(OR(BN$23="",ISNA($B230)),"",IF(ISBLANK($B230),"",IFERROR(_xll.BDP(TICKER,"DEEP_MEASURE_PERIOD_BROKER_VALUE","DEEP_MEASURE_ID_OVERRIDE",$C230,"DEEP_BROKER_ID_OVERRIDE",BN$24,"DEEP_PERIOD_OVERRIDE",$H$19)*1,"")))</f>
        <v/>
      </c>
      <c r="BO230" t="str">
        <f>IF(OR(BO$23="",ISNA($B230)),"",IF(ISBLANK($B230),"",IFERROR(_xll.BDP(TICKER,"DEEP_MEASURE_PERIOD_BROKER_VALUE","DEEP_MEASURE_ID_OVERRIDE",$C230,"DEEP_BROKER_ID_OVERRIDE",BO$24,"DEEP_PERIOD_OVERRIDE",$H$19)*1,"")))</f>
        <v/>
      </c>
      <c r="BP230" t="str">
        <f>IF(OR(BP$23="",ISNA($B230)),"",IF(ISBLANK($B230),"",IFERROR(_xll.BDP(TICKER,"DEEP_MEASURE_PERIOD_BROKER_VALUE","DEEP_MEASURE_ID_OVERRIDE",$C230,"DEEP_BROKER_ID_OVERRIDE",BP$24,"DEEP_PERIOD_OVERRIDE",$H$19)*1,"")))</f>
        <v/>
      </c>
      <c r="BQ230" t="str">
        <f>IF(OR(BQ$23="",ISNA($B230)),"",IF(ISBLANK($B230),"",IFERROR(_xll.BDP(TICKER,"DEEP_MEASURE_PERIOD_BROKER_VALUE","DEEP_MEASURE_ID_OVERRIDE",$C230,"DEEP_BROKER_ID_OVERRIDE",BQ$24,"DEEP_PERIOD_OVERRIDE",$H$19)*1,"")))</f>
        <v/>
      </c>
      <c r="BR230" t="str">
        <f>IF(OR(BR$23="",ISNA($B230)),"",IF(ISBLANK($B230),"",IFERROR(_xll.BDP(TICKER,"DEEP_MEASURE_PERIOD_BROKER_VALUE","DEEP_MEASURE_ID_OVERRIDE",$C230,"DEEP_BROKER_ID_OVERRIDE",BR$24,"DEEP_PERIOD_OVERRIDE",$H$19)*1,"")))</f>
        <v/>
      </c>
      <c r="BS230" t="str">
        <f>IF(OR(BS$23="",ISNA($B230)),"",IF(ISBLANK($B230),"",IFERROR(_xll.BDP(TICKER,"DEEP_MEASURE_PERIOD_BROKER_VALUE","DEEP_MEASURE_ID_OVERRIDE",$C230,"DEEP_BROKER_ID_OVERRIDE",BS$24,"DEEP_PERIOD_OVERRIDE",$H$19)*1,"")))</f>
        <v/>
      </c>
      <c r="BT230" t="str">
        <f>IF(OR(BT$23="",ISNA($B230)),"",IF(ISBLANK($B230),"",IFERROR(_xll.BDP(TICKER,"DEEP_MEASURE_PERIOD_BROKER_VALUE","DEEP_MEASURE_ID_OVERRIDE",$C230,"DEEP_BROKER_ID_OVERRIDE",BT$24,"DEEP_PERIOD_OVERRIDE",$H$19)*1,"")))</f>
        <v/>
      </c>
      <c r="BU230" t="str">
        <f>IF(OR(BU$23="",ISNA($B230)),"",IF(ISBLANK($B230),"",IFERROR(_xll.BDP(TICKER,"DEEP_MEASURE_PERIOD_BROKER_VALUE","DEEP_MEASURE_ID_OVERRIDE",$C230,"DEEP_BROKER_ID_OVERRIDE",BU$24,"DEEP_PERIOD_OVERRIDE",$H$19)*1,"")))</f>
        <v/>
      </c>
      <c r="BV230" t="str">
        <f>IF(OR(BV$23="",ISNA($B230)),"",IF(ISBLANK($B230),"",IFERROR(_xll.BDP(TICKER,"DEEP_MEASURE_PERIOD_BROKER_VALUE","DEEP_MEASURE_ID_OVERRIDE",$C230,"DEEP_BROKER_ID_OVERRIDE",BV$24,"DEEP_PERIOD_OVERRIDE",$H$19)*1,"")))</f>
        <v/>
      </c>
      <c r="BW230" t="str">
        <f>IF(OR(BW$23="",ISNA($B230)),"",IF(ISBLANK($B230),"",IFERROR(_xll.BDP(TICKER,"DEEP_MEASURE_PERIOD_BROKER_VALUE","DEEP_MEASURE_ID_OVERRIDE",$C230,"DEEP_BROKER_ID_OVERRIDE",BW$24,"DEEP_PERIOD_OVERRIDE",$H$19)*1,"")))</f>
        <v/>
      </c>
      <c r="BX230" t="str">
        <f>IF(OR(BX$23="",ISNA($B230)),"",IF(ISBLANK($B230),"",IFERROR(_xll.BDP(TICKER,"DEEP_MEASURE_PERIOD_BROKER_VALUE","DEEP_MEASURE_ID_OVERRIDE",$C230,"DEEP_BROKER_ID_OVERRIDE",BX$24,"DEEP_PERIOD_OVERRIDE",$H$19)*1,"")))</f>
        <v/>
      </c>
      <c r="BY230" t="str">
        <f>IF(OR(BY$23="",ISNA($B230)),"",IF(ISBLANK($B230),"",IFERROR(_xll.BDP(TICKER,"DEEP_MEASURE_PERIOD_BROKER_VALUE","DEEP_MEASURE_ID_OVERRIDE",$C230,"DEEP_BROKER_ID_OVERRIDE",BY$24,"DEEP_PERIOD_OVERRIDE",$H$19)*1,"")))</f>
        <v/>
      </c>
      <c r="BZ230" t="str">
        <f>IF(OR(BZ$23="",ISNA($B230)),"",IF(ISBLANK($B230),"",IFERROR(_xll.BDP(TICKER,"DEEP_MEASURE_PERIOD_BROKER_VALUE","DEEP_MEASURE_ID_OVERRIDE",$C230,"DEEP_BROKER_ID_OVERRIDE",BZ$24,"DEEP_PERIOD_OVERRIDE",$H$19)*1,"")))</f>
        <v/>
      </c>
    </row>
    <row r="231" spans="8:78" x14ac:dyDescent="0.25">
      <c r="H231" t="str">
        <f t="shared" si="4"/>
        <v/>
      </c>
      <c r="I231" t="str">
        <f>IF(OR(I$23="",ISNA($B231)),"",IF(ISBLANK($B231),"",IFERROR(_xll.BDP(TICKER,"DEEP_MEASURE_PERIOD_BROKER_VALUE","DEEP_MEASURE_ID_OVERRIDE",$C231,"DEEP_PERIOD_OVERRIDE",$H$19)*1,"")))</f>
        <v/>
      </c>
      <c r="J231" t="e">
        <f>IF(OR(J$23="",ISNA($B231)),"",IF(ISBLANK($B231),"",IFERROR(_xll.BDP(TICKER,"DEEP_MEASURE_PERIOD_BROKER_VALUE","DEEP_MEASURE_ID_OVERRIDE",$C231,"DEEP_BROKER_ID_OVERRIDE",J$24,"DEEP_PERIOD_OVERRIDE",$H$19)*1,"")))</f>
        <v>#REF!</v>
      </c>
      <c r="K231" t="str">
        <f>IF(OR(K$23="",ISNA($B231)),"",IF(ISBLANK($B231),"",IFERROR(_xll.BDP(TICKER,"DEEP_MEASURE_PERIOD_BROKER_VALUE","DEEP_MEASURE_ID_OVERRIDE",$C231,"DEEP_BROKER_ID_OVERRIDE",K$24,"DEEP_PERIOD_OVERRIDE",$H$19)*1,"")))</f>
        <v/>
      </c>
      <c r="L231" t="str">
        <f>IF(OR(L$23="",ISNA($B231)),"",IF(ISBLANK($B231),"",IFERROR(_xll.BDP(TICKER,"DEEP_MEASURE_PERIOD_BROKER_VALUE","DEEP_MEASURE_ID_OVERRIDE",$C231,"DEEP_BROKER_ID_OVERRIDE",L$24,"DEEP_PERIOD_OVERRIDE",$H$19)*1,"")))</f>
        <v/>
      </c>
      <c r="M231" t="str">
        <f>IF(OR(M$23="",ISNA($B231)),"",IF(ISBLANK($B231),"",IFERROR(_xll.BDP(TICKER,"DEEP_MEASURE_PERIOD_BROKER_VALUE","DEEP_MEASURE_ID_OVERRIDE",$C231,"DEEP_BROKER_ID_OVERRIDE",M$24,"DEEP_PERIOD_OVERRIDE",$H$19)*1,"")))</f>
        <v/>
      </c>
      <c r="N231" t="str">
        <f>IF(OR(N$23="",ISNA($B231)),"",IF(ISBLANK($B231),"",IFERROR(_xll.BDP(TICKER,"DEEP_MEASURE_PERIOD_BROKER_VALUE","DEEP_MEASURE_ID_OVERRIDE",$C231,"DEEP_BROKER_ID_OVERRIDE",N$24,"DEEP_PERIOD_OVERRIDE",$H$19)*1,"")))</f>
        <v/>
      </c>
      <c r="O231" t="str">
        <f>IF(OR(O$23="",ISNA($B231)),"",IF(ISBLANK($B231),"",IFERROR(_xll.BDP(TICKER,"DEEP_MEASURE_PERIOD_BROKER_VALUE","DEEP_MEASURE_ID_OVERRIDE",$C231,"DEEP_BROKER_ID_OVERRIDE",O$24,"DEEP_PERIOD_OVERRIDE",$H$19)*1,"")))</f>
        <v/>
      </c>
      <c r="P231" t="str">
        <f>IF(OR(P$23="",ISNA($B231)),"",IF(ISBLANK($B231),"",IFERROR(_xll.BDP(TICKER,"DEEP_MEASURE_PERIOD_BROKER_VALUE","DEEP_MEASURE_ID_OVERRIDE",$C231,"DEEP_BROKER_ID_OVERRIDE",P$24,"DEEP_PERIOD_OVERRIDE",$H$19)*1,"")))</f>
        <v/>
      </c>
      <c r="Q231" t="str">
        <f>IF(OR(Q$23="",ISNA($B231)),"",IF(ISBLANK($B231),"",IFERROR(_xll.BDP(TICKER,"DEEP_MEASURE_PERIOD_BROKER_VALUE","DEEP_MEASURE_ID_OVERRIDE",$C231,"DEEP_BROKER_ID_OVERRIDE",Q$24,"DEEP_PERIOD_OVERRIDE",$H$19)*1,"")))</f>
        <v/>
      </c>
      <c r="R231" t="str">
        <f>IF(OR(R$23="",ISNA($B231)),"",IF(ISBLANK($B231),"",IFERROR(_xll.BDP(TICKER,"DEEP_MEASURE_PERIOD_BROKER_VALUE","DEEP_MEASURE_ID_OVERRIDE",$C231,"DEEP_BROKER_ID_OVERRIDE",R$24,"DEEP_PERIOD_OVERRIDE",$H$19)*1,"")))</f>
        <v/>
      </c>
      <c r="S231" t="str">
        <f>IF(OR(S$23="",ISNA($B231)),"",IF(ISBLANK($B231),"",IFERROR(_xll.BDP(TICKER,"DEEP_MEASURE_PERIOD_BROKER_VALUE","DEEP_MEASURE_ID_OVERRIDE",$C231,"DEEP_BROKER_ID_OVERRIDE",S$24,"DEEP_PERIOD_OVERRIDE",$H$19)*1,"")))</f>
        <v/>
      </c>
      <c r="T231" t="str">
        <f>IF(OR(T$23="",ISNA($B231)),"",IF(ISBLANK($B231),"",IFERROR(_xll.BDP(TICKER,"DEEP_MEASURE_PERIOD_BROKER_VALUE","DEEP_MEASURE_ID_OVERRIDE",$C231,"DEEP_BROKER_ID_OVERRIDE",T$24,"DEEP_PERIOD_OVERRIDE",$H$19)*1,"")))</f>
        <v/>
      </c>
      <c r="U231" t="str">
        <f>IF(OR(U$23="",ISNA($B231)),"",IF(ISBLANK($B231),"",IFERROR(_xll.BDP(TICKER,"DEEP_MEASURE_PERIOD_BROKER_VALUE","DEEP_MEASURE_ID_OVERRIDE",$C231,"DEEP_BROKER_ID_OVERRIDE",U$24,"DEEP_PERIOD_OVERRIDE",$H$19)*1,"")))</f>
        <v/>
      </c>
      <c r="V231" t="str">
        <f>IF(OR(V$23="",ISNA($B231)),"",IF(ISBLANK($B231),"",IFERROR(_xll.BDP(TICKER,"DEEP_MEASURE_PERIOD_BROKER_VALUE","DEEP_MEASURE_ID_OVERRIDE",$C231,"DEEP_BROKER_ID_OVERRIDE",V$24,"DEEP_PERIOD_OVERRIDE",$H$19)*1,"")))</f>
        <v/>
      </c>
      <c r="W231" t="str">
        <f>IF(OR(W$23="",ISNA($B231)),"",IF(ISBLANK($B231),"",IFERROR(_xll.BDP(TICKER,"DEEP_MEASURE_PERIOD_BROKER_VALUE","DEEP_MEASURE_ID_OVERRIDE",$C231,"DEEP_BROKER_ID_OVERRIDE",W$24,"DEEP_PERIOD_OVERRIDE",$H$19)*1,"")))</f>
        <v/>
      </c>
      <c r="X231" t="str">
        <f>IF(OR(X$23="",ISNA($B231)),"",IF(ISBLANK($B231),"",IFERROR(_xll.BDP(TICKER,"DEEP_MEASURE_PERIOD_BROKER_VALUE","DEEP_MEASURE_ID_OVERRIDE",$C231,"DEEP_BROKER_ID_OVERRIDE",X$24,"DEEP_PERIOD_OVERRIDE",$H$19)*1,"")))</f>
        <v/>
      </c>
      <c r="Y231" t="str">
        <f>IF(OR(Y$23="",ISNA($B231)),"",IF(ISBLANK($B231),"",IFERROR(_xll.BDP(TICKER,"DEEP_MEASURE_PERIOD_BROKER_VALUE","DEEP_MEASURE_ID_OVERRIDE",$C231,"DEEP_BROKER_ID_OVERRIDE",Y$24,"DEEP_PERIOD_OVERRIDE",$H$19)*1,"")))</f>
        <v/>
      </c>
      <c r="Z231" t="str">
        <f>IF(OR(Z$23="",ISNA($B231)),"",IF(ISBLANK($B231),"",IFERROR(_xll.BDP(TICKER,"DEEP_MEASURE_PERIOD_BROKER_VALUE","DEEP_MEASURE_ID_OVERRIDE",$C231,"DEEP_BROKER_ID_OVERRIDE",Z$24,"DEEP_PERIOD_OVERRIDE",$H$19)*1,"")))</f>
        <v/>
      </c>
      <c r="AA231" t="str">
        <f>IF(OR(AA$23="",ISNA($B231)),"",IF(ISBLANK($B231),"",IFERROR(_xll.BDP(TICKER,"DEEP_MEASURE_PERIOD_BROKER_VALUE","DEEP_MEASURE_ID_OVERRIDE",$C231,"DEEP_BROKER_ID_OVERRIDE",AA$24,"DEEP_PERIOD_OVERRIDE",$H$19)*1,"")))</f>
        <v/>
      </c>
      <c r="AB231" t="str">
        <f>IF(OR(AB$23="",ISNA($B231)),"",IF(ISBLANK($B231),"",IFERROR(_xll.BDP(TICKER,"DEEP_MEASURE_PERIOD_BROKER_VALUE","DEEP_MEASURE_ID_OVERRIDE",$C231,"DEEP_BROKER_ID_OVERRIDE",AB$24,"DEEP_PERIOD_OVERRIDE",$H$19)*1,"")))</f>
        <v/>
      </c>
      <c r="AC231" t="str">
        <f>IF(OR(AC$23="",ISNA($B231)),"",IF(ISBLANK($B231),"",IFERROR(_xll.BDP(TICKER,"DEEP_MEASURE_PERIOD_BROKER_VALUE","DEEP_MEASURE_ID_OVERRIDE",$C231,"DEEP_BROKER_ID_OVERRIDE",AC$24,"DEEP_PERIOD_OVERRIDE",$H$19)*1,"")))</f>
        <v/>
      </c>
      <c r="AD231" t="str">
        <f>IF(OR(AD$23="",ISNA($B231)),"",IF(ISBLANK($B231),"",IFERROR(_xll.BDP(TICKER,"DEEP_MEASURE_PERIOD_BROKER_VALUE","DEEP_MEASURE_ID_OVERRIDE",$C231,"DEEP_BROKER_ID_OVERRIDE",AD$24,"DEEP_PERIOD_OVERRIDE",$H$19)*1,"")))</f>
        <v/>
      </c>
      <c r="AE231" t="str">
        <f>IF(OR(AE$23="",ISNA($B231)),"",IF(ISBLANK($B231),"",IFERROR(_xll.BDP(TICKER,"DEEP_MEASURE_PERIOD_BROKER_VALUE","DEEP_MEASURE_ID_OVERRIDE",$C231,"DEEP_BROKER_ID_OVERRIDE",AE$24,"DEEP_PERIOD_OVERRIDE",$H$19)*1,"")))</f>
        <v/>
      </c>
      <c r="AF231" t="str">
        <f>IF(OR(AF$23="",ISNA($B231)),"",IF(ISBLANK($B231),"",IFERROR(_xll.BDP(TICKER,"DEEP_MEASURE_PERIOD_BROKER_VALUE","DEEP_MEASURE_ID_OVERRIDE",$C231,"DEEP_BROKER_ID_OVERRIDE",AF$24,"DEEP_PERIOD_OVERRIDE",$H$19)*1,"")))</f>
        <v/>
      </c>
      <c r="AG231" t="str">
        <f>IF(OR(AG$23="",ISNA($B231)),"",IF(ISBLANK($B231),"",IFERROR(_xll.BDP(TICKER,"DEEP_MEASURE_PERIOD_BROKER_VALUE","DEEP_MEASURE_ID_OVERRIDE",$C231,"DEEP_BROKER_ID_OVERRIDE",AG$24,"DEEP_PERIOD_OVERRIDE",$H$19)*1,"")))</f>
        <v/>
      </c>
      <c r="AH231" t="str">
        <f>IF(OR(AH$23="",ISNA($B231)),"",IF(ISBLANK($B231),"",IFERROR(_xll.BDP(TICKER,"DEEP_MEASURE_PERIOD_BROKER_VALUE","DEEP_MEASURE_ID_OVERRIDE",$C231,"DEEP_BROKER_ID_OVERRIDE",AH$24,"DEEP_PERIOD_OVERRIDE",$H$19)*1,"")))</f>
        <v/>
      </c>
      <c r="AI231" t="str">
        <f>IF(OR(AI$23="",ISNA($B231)),"",IF(ISBLANK($B231),"",IFERROR(_xll.BDP(TICKER,"DEEP_MEASURE_PERIOD_BROKER_VALUE","DEEP_MEASURE_ID_OVERRIDE",$C231,"DEEP_BROKER_ID_OVERRIDE",AI$24,"DEEP_PERIOD_OVERRIDE",$H$19)*1,"")))</f>
        <v/>
      </c>
      <c r="AJ231" t="str">
        <f>IF(OR(AJ$23="",ISNA($B231)),"",IF(ISBLANK($B231),"",IFERROR(_xll.BDP(TICKER,"DEEP_MEASURE_PERIOD_BROKER_VALUE","DEEP_MEASURE_ID_OVERRIDE",$C231,"DEEP_BROKER_ID_OVERRIDE",AJ$24,"DEEP_PERIOD_OVERRIDE",$H$19)*1,"")))</f>
        <v/>
      </c>
      <c r="AK231" t="str">
        <f>IF(OR(AK$23="",ISNA($B231)),"",IF(ISBLANK($B231),"",IFERROR(_xll.BDP(TICKER,"DEEP_MEASURE_PERIOD_BROKER_VALUE","DEEP_MEASURE_ID_OVERRIDE",$C231,"DEEP_BROKER_ID_OVERRIDE",AK$24,"DEEP_PERIOD_OVERRIDE",$H$19)*1,"")))</f>
        <v/>
      </c>
      <c r="AL231" t="str">
        <f>IF(OR(AL$23="",ISNA($B231)),"",IF(ISBLANK($B231),"",IFERROR(_xll.BDP(TICKER,"DEEP_MEASURE_PERIOD_BROKER_VALUE","DEEP_MEASURE_ID_OVERRIDE",$C231,"DEEP_BROKER_ID_OVERRIDE",AL$24,"DEEP_PERIOD_OVERRIDE",$H$19)*1,"")))</f>
        <v/>
      </c>
      <c r="AM231" t="str">
        <f>IF(OR(AM$23="",ISNA($B231)),"",IF(ISBLANK($B231),"",IFERROR(_xll.BDP(TICKER,"DEEP_MEASURE_PERIOD_BROKER_VALUE","DEEP_MEASURE_ID_OVERRIDE",$C231,"DEEP_BROKER_ID_OVERRIDE",AM$24,"DEEP_PERIOD_OVERRIDE",$H$19)*1,"")))</f>
        <v/>
      </c>
      <c r="AN231" t="str">
        <f>IF(OR(AN$23="",ISNA($B231)),"",IF(ISBLANK($B231),"",IFERROR(_xll.BDP(TICKER,"DEEP_MEASURE_PERIOD_BROKER_VALUE","DEEP_MEASURE_ID_OVERRIDE",$C231,"DEEP_BROKER_ID_OVERRIDE",AN$24,"DEEP_PERIOD_OVERRIDE",$H$19)*1,"")))</f>
        <v/>
      </c>
      <c r="AO231" t="str">
        <f>IF(OR(AO$23="",ISNA($B231)),"",IF(ISBLANK($B231),"",IFERROR(_xll.BDP(TICKER,"DEEP_MEASURE_PERIOD_BROKER_VALUE","DEEP_MEASURE_ID_OVERRIDE",$C231,"DEEP_BROKER_ID_OVERRIDE",AO$24,"DEEP_PERIOD_OVERRIDE",$H$19)*1,"")))</f>
        <v/>
      </c>
      <c r="AP231" t="str">
        <f>IF(OR(AP$23="",ISNA($B231)),"",IF(ISBLANK($B231),"",IFERROR(_xll.BDP(TICKER,"DEEP_MEASURE_PERIOD_BROKER_VALUE","DEEP_MEASURE_ID_OVERRIDE",$C231,"DEEP_BROKER_ID_OVERRIDE",AP$24,"DEEP_PERIOD_OVERRIDE",$H$19)*1,"")))</f>
        <v/>
      </c>
      <c r="AQ231" t="str">
        <f>IF(OR(AQ$23="",ISNA($B231)),"",IF(ISBLANK($B231),"",IFERROR(_xll.BDP(TICKER,"DEEP_MEASURE_PERIOD_BROKER_VALUE","DEEP_MEASURE_ID_OVERRIDE",$C231,"DEEP_BROKER_ID_OVERRIDE",AQ$24,"DEEP_PERIOD_OVERRIDE",$H$19)*1,"")))</f>
        <v/>
      </c>
      <c r="AR231" t="str">
        <f>IF(OR(AR$23="",ISNA($B231)),"",IF(ISBLANK($B231),"",IFERROR(_xll.BDP(TICKER,"DEEP_MEASURE_PERIOD_BROKER_VALUE","DEEP_MEASURE_ID_OVERRIDE",$C231,"DEEP_BROKER_ID_OVERRIDE",AR$24,"DEEP_PERIOD_OVERRIDE",$H$19)*1,"")))</f>
        <v/>
      </c>
      <c r="AS231" t="str">
        <f>IF(OR(AS$23="",ISNA($B231)),"",IF(ISBLANK($B231),"",IFERROR(_xll.BDP(TICKER,"DEEP_MEASURE_PERIOD_BROKER_VALUE","DEEP_MEASURE_ID_OVERRIDE",$C231,"DEEP_BROKER_ID_OVERRIDE",AS$24,"DEEP_PERIOD_OVERRIDE",$H$19)*1,"")))</f>
        <v/>
      </c>
      <c r="AT231" t="str">
        <f>IF(OR(AT$23="",ISNA($B231)),"",IF(ISBLANK($B231),"",IFERROR(_xll.BDP(TICKER,"DEEP_MEASURE_PERIOD_BROKER_VALUE","DEEP_MEASURE_ID_OVERRIDE",$C231,"DEEP_BROKER_ID_OVERRIDE",AT$24,"DEEP_PERIOD_OVERRIDE",$H$19)*1,"")))</f>
        <v/>
      </c>
      <c r="AU231" t="str">
        <f>IF(OR(AU$23="",ISNA($B231)),"",IF(ISBLANK($B231),"",IFERROR(_xll.BDP(TICKER,"DEEP_MEASURE_PERIOD_BROKER_VALUE","DEEP_MEASURE_ID_OVERRIDE",$C231,"DEEP_BROKER_ID_OVERRIDE",AU$24,"DEEP_PERIOD_OVERRIDE",$H$19)*1,"")))</f>
        <v/>
      </c>
      <c r="AV231" t="str">
        <f>IF(OR(AV$23="",ISNA($B231)),"",IF(ISBLANK($B231),"",IFERROR(_xll.BDP(TICKER,"DEEP_MEASURE_PERIOD_BROKER_VALUE","DEEP_MEASURE_ID_OVERRIDE",$C231,"DEEP_BROKER_ID_OVERRIDE",AV$24,"DEEP_PERIOD_OVERRIDE",$H$19)*1,"")))</f>
        <v/>
      </c>
      <c r="AW231" t="str">
        <f>IF(OR(AW$23="",ISNA($B231)),"",IF(ISBLANK($B231),"",IFERROR(_xll.BDP(TICKER,"DEEP_MEASURE_PERIOD_BROKER_VALUE","DEEP_MEASURE_ID_OVERRIDE",$C231,"DEEP_BROKER_ID_OVERRIDE",AW$24,"DEEP_PERIOD_OVERRIDE",$H$19)*1,"")))</f>
        <v/>
      </c>
      <c r="AX231" t="str">
        <f>IF(OR(AX$23="",ISNA($B231)),"",IF(ISBLANK($B231),"",IFERROR(_xll.BDP(TICKER,"DEEP_MEASURE_PERIOD_BROKER_VALUE","DEEP_MEASURE_ID_OVERRIDE",$C231,"DEEP_BROKER_ID_OVERRIDE",AX$24,"DEEP_PERIOD_OVERRIDE",$H$19)*1,"")))</f>
        <v/>
      </c>
      <c r="AY231" t="str">
        <f>IF(OR(AY$23="",ISNA($B231)),"",IF(ISBLANK($B231),"",IFERROR(_xll.BDP(TICKER,"DEEP_MEASURE_PERIOD_BROKER_VALUE","DEEP_MEASURE_ID_OVERRIDE",$C231,"DEEP_BROKER_ID_OVERRIDE",AY$24,"DEEP_PERIOD_OVERRIDE",$H$19)*1,"")))</f>
        <v/>
      </c>
      <c r="AZ231" t="str">
        <f>IF(OR(AZ$23="",ISNA($B231)),"",IF(ISBLANK($B231),"",IFERROR(_xll.BDP(TICKER,"DEEP_MEASURE_PERIOD_BROKER_VALUE","DEEP_MEASURE_ID_OVERRIDE",$C231,"DEEP_BROKER_ID_OVERRIDE",AZ$24,"DEEP_PERIOD_OVERRIDE",$H$19)*1,"")))</f>
        <v/>
      </c>
      <c r="BA231" t="str">
        <f>IF(OR(BA$23="",ISNA($B231)),"",IF(ISBLANK($B231),"",IFERROR(_xll.BDP(TICKER,"DEEP_MEASURE_PERIOD_BROKER_VALUE","DEEP_MEASURE_ID_OVERRIDE",$C231,"DEEP_BROKER_ID_OVERRIDE",BA$24,"DEEP_PERIOD_OVERRIDE",$H$19)*1,"")))</f>
        <v/>
      </c>
      <c r="BB231" t="str">
        <f>IF(OR(BB$23="",ISNA($B231)),"",IF(ISBLANK($B231),"",IFERROR(_xll.BDP(TICKER,"DEEP_MEASURE_PERIOD_BROKER_VALUE","DEEP_MEASURE_ID_OVERRIDE",$C231,"DEEP_BROKER_ID_OVERRIDE",BB$24,"DEEP_PERIOD_OVERRIDE",$H$19)*1,"")))</f>
        <v/>
      </c>
      <c r="BC231" t="str">
        <f>IF(OR(BC$23="",ISNA($B231)),"",IF(ISBLANK($B231),"",IFERROR(_xll.BDP(TICKER,"DEEP_MEASURE_PERIOD_BROKER_VALUE","DEEP_MEASURE_ID_OVERRIDE",$C231,"DEEP_BROKER_ID_OVERRIDE",BC$24,"DEEP_PERIOD_OVERRIDE",$H$19)*1,"")))</f>
        <v/>
      </c>
      <c r="BD231" t="str">
        <f>IF(OR(BD$23="",ISNA($B231)),"",IF(ISBLANK($B231),"",IFERROR(_xll.BDP(TICKER,"DEEP_MEASURE_PERIOD_BROKER_VALUE","DEEP_MEASURE_ID_OVERRIDE",$C231,"DEEP_BROKER_ID_OVERRIDE",BD$24,"DEEP_PERIOD_OVERRIDE",$H$19)*1,"")))</f>
        <v/>
      </c>
      <c r="BE231" t="str">
        <f>IF(OR(BE$23="",ISNA($B231)),"",IF(ISBLANK($B231),"",IFERROR(_xll.BDP(TICKER,"DEEP_MEASURE_PERIOD_BROKER_VALUE","DEEP_MEASURE_ID_OVERRIDE",$C231,"DEEP_BROKER_ID_OVERRIDE",BE$24,"DEEP_PERIOD_OVERRIDE",$H$19)*1,"")))</f>
        <v/>
      </c>
      <c r="BF231" t="str">
        <f>IF(OR(BF$23="",ISNA($B231)),"",IF(ISBLANK($B231),"",IFERROR(_xll.BDP(TICKER,"DEEP_MEASURE_PERIOD_BROKER_VALUE","DEEP_MEASURE_ID_OVERRIDE",$C231,"DEEP_BROKER_ID_OVERRIDE",BF$24,"DEEP_PERIOD_OVERRIDE",$H$19)*1,"")))</f>
        <v/>
      </c>
      <c r="BG231" t="str">
        <f>IF(OR(BG$23="",ISNA($B231)),"",IF(ISBLANK($B231),"",IFERROR(_xll.BDP(TICKER,"DEEP_MEASURE_PERIOD_BROKER_VALUE","DEEP_MEASURE_ID_OVERRIDE",$C231,"DEEP_BROKER_ID_OVERRIDE",BG$24,"DEEP_PERIOD_OVERRIDE",$H$19)*1,"")))</f>
        <v/>
      </c>
      <c r="BH231" t="str">
        <f>IF(OR(BH$23="",ISNA($B231)),"",IF(ISBLANK($B231),"",IFERROR(_xll.BDP(TICKER,"DEEP_MEASURE_PERIOD_BROKER_VALUE","DEEP_MEASURE_ID_OVERRIDE",$C231,"DEEP_BROKER_ID_OVERRIDE",BH$24,"DEEP_PERIOD_OVERRIDE",$H$19)*1,"")))</f>
        <v/>
      </c>
      <c r="BI231" t="str">
        <f>IF(OR(BI$23="",ISNA($B231)),"",IF(ISBLANK($B231),"",IFERROR(_xll.BDP(TICKER,"DEEP_MEASURE_PERIOD_BROKER_VALUE","DEEP_MEASURE_ID_OVERRIDE",$C231,"DEEP_BROKER_ID_OVERRIDE",BI$24,"DEEP_PERIOD_OVERRIDE",$H$19)*1,"")))</f>
        <v/>
      </c>
      <c r="BJ231" t="str">
        <f>IF(OR(BJ$23="",ISNA($B231)),"",IF(ISBLANK($B231),"",IFERROR(_xll.BDP(TICKER,"DEEP_MEASURE_PERIOD_BROKER_VALUE","DEEP_MEASURE_ID_OVERRIDE",$C231,"DEEP_BROKER_ID_OVERRIDE",BJ$24,"DEEP_PERIOD_OVERRIDE",$H$19)*1,"")))</f>
        <v/>
      </c>
      <c r="BK231" t="str">
        <f>IF(OR(BK$23="",ISNA($B231)),"",IF(ISBLANK($B231),"",IFERROR(_xll.BDP(TICKER,"DEEP_MEASURE_PERIOD_BROKER_VALUE","DEEP_MEASURE_ID_OVERRIDE",$C231,"DEEP_BROKER_ID_OVERRIDE",BK$24,"DEEP_PERIOD_OVERRIDE",$H$19)*1,"")))</f>
        <v/>
      </c>
      <c r="BL231" t="str">
        <f>IF(OR(BL$23="",ISNA($B231)),"",IF(ISBLANK($B231),"",IFERROR(_xll.BDP(TICKER,"DEEP_MEASURE_PERIOD_BROKER_VALUE","DEEP_MEASURE_ID_OVERRIDE",$C231,"DEEP_BROKER_ID_OVERRIDE",BL$24,"DEEP_PERIOD_OVERRIDE",$H$19)*1,"")))</f>
        <v/>
      </c>
      <c r="BM231" t="str">
        <f>IF(OR(BM$23="",ISNA($B231)),"",IF(ISBLANK($B231),"",IFERROR(_xll.BDP(TICKER,"DEEP_MEASURE_PERIOD_BROKER_VALUE","DEEP_MEASURE_ID_OVERRIDE",$C231,"DEEP_BROKER_ID_OVERRIDE",BM$24,"DEEP_PERIOD_OVERRIDE",$H$19)*1,"")))</f>
        <v/>
      </c>
      <c r="BN231" t="str">
        <f>IF(OR(BN$23="",ISNA($B231)),"",IF(ISBLANK($B231),"",IFERROR(_xll.BDP(TICKER,"DEEP_MEASURE_PERIOD_BROKER_VALUE","DEEP_MEASURE_ID_OVERRIDE",$C231,"DEEP_BROKER_ID_OVERRIDE",BN$24,"DEEP_PERIOD_OVERRIDE",$H$19)*1,"")))</f>
        <v/>
      </c>
      <c r="BO231" t="str">
        <f>IF(OR(BO$23="",ISNA($B231)),"",IF(ISBLANK($B231),"",IFERROR(_xll.BDP(TICKER,"DEEP_MEASURE_PERIOD_BROKER_VALUE","DEEP_MEASURE_ID_OVERRIDE",$C231,"DEEP_BROKER_ID_OVERRIDE",BO$24,"DEEP_PERIOD_OVERRIDE",$H$19)*1,"")))</f>
        <v/>
      </c>
      <c r="BP231" t="str">
        <f>IF(OR(BP$23="",ISNA($B231)),"",IF(ISBLANK($B231),"",IFERROR(_xll.BDP(TICKER,"DEEP_MEASURE_PERIOD_BROKER_VALUE","DEEP_MEASURE_ID_OVERRIDE",$C231,"DEEP_BROKER_ID_OVERRIDE",BP$24,"DEEP_PERIOD_OVERRIDE",$H$19)*1,"")))</f>
        <v/>
      </c>
      <c r="BQ231" t="str">
        <f>IF(OR(BQ$23="",ISNA($B231)),"",IF(ISBLANK($B231),"",IFERROR(_xll.BDP(TICKER,"DEEP_MEASURE_PERIOD_BROKER_VALUE","DEEP_MEASURE_ID_OVERRIDE",$C231,"DEEP_BROKER_ID_OVERRIDE",BQ$24,"DEEP_PERIOD_OVERRIDE",$H$19)*1,"")))</f>
        <v/>
      </c>
      <c r="BR231" t="str">
        <f>IF(OR(BR$23="",ISNA($B231)),"",IF(ISBLANK($B231),"",IFERROR(_xll.BDP(TICKER,"DEEP_MEASURE_PERIOD_BROKER_VALUE","DEEP_MEASURE_ID_OVERRIDE",$C231,"DEEP_BROKER_ID_OVERRIDE",BR$24,"DEEP_PERIOD_OVERRIDE",$H$19)*1,"")))</f>
        <v/>
      </c>
      <c r="BS231" t="str">
        <f>IF(OR(BS$23="",ISNA($B231)),"",IF(ISBLANK($B231),"",IFERROR(_xll.BDP(TICKER,"DEEP_MEASURE_PERIOD_BROKER_VALUE","DEEP_MEASURE_ID_OVERRIDE",$C231,"DEEP_BROKER_ID_OVERRIDE",BS$24,"DEEP_PERIOD_OVERRIDE",$H$19)*1,"")))</f>
        <v/>
      </c>
      <c r="BT231" t="str">
        <f>IF(OR(BT$23="",ISNA($B231)),"",IF(ISBLANK($B231),"",IFERROR(_xll.BDP(TICKER,"DEEP_MEASURE_PERIOD_BROKER_VALUE","DEEP_MEASURE_ID_OVERRIDE",$C231,"DEEP_BROKER_ID_OVERRIDE",BT$24,"DEEP_PERIOD_OVERRIDE",$H$19)*1,"")))</f>
        <v/>
      </c>
      <c r="BU231" t="str">
        <f>IF(OR(BU$23="",ISNA($B231)),"",IF(ISBLANK($B231),"",IFERROR(_xll.BDP(TICKER,"DEEP_MEASURE_PERIOD_BROKER_VALUE","DEEP_MEASURE_ID_OVERRIDE",$C231,"DEEP_BROKER_ID_OVERRIDE",BU$24,"DEEP_PERIOD_OVERRIDE",$H$19)*1,"")))</f>
        <v/>
      </c>
      <c r="BV231" t="str">
        <f>IF(OR(BV$23="",ISNA($B231)),"",IF(ISBLANK($B231),"",IFERROR(_xll.BDP(TICKER,"DEEP_MEASURE_PERIOD_BROKER_VALUE","DEEP_MEASURE_ID_OVERRIDE",$C231,"DEEP_BROKER_ID_OVERRIDE",BV$24,"DEEP_PERIOD_OVERRIDE",$H$19)*1,"")))</f>
        <v/>
      </c>
      <c r="BW231" t="str">
        <f>IF(OR(BW$23="",ISNA($B231)),"",IF(ISBLANK($B231),"",IFERROR(_xll.BDP(TICKER,"DEEP_MEASURE_PERIOD_BROKER_VALUE","DEEP_MEASURE_ID_OVERRIDE",$C231,"DEEP_BROKER_ID_OVERRIDE",BW$24,"DEEP_PERIOD_OVERRIDE",$H$19)*1,"")))</f>
        <v/>
      </c>
      <c r="BX231" t="str">
        <f>IF(OR(BX$23="",ISNA($B231)),"",IF(ISBLANK($B231),"",IFERROR(_xll.BDP(TICKER,"DEEP_MEASURE_PERIOD_BROKER_VALUE","DEEP_MEASURE_ID_OVERRIDE",$C231,"DEEP_BROKER_ID_OVERRIDE",BX$24,"DEEP_PERIOD_OVERRIDE",$H$19)*1,"")))</f>
        <v/>
      </c>
      <c r="BY231" t="str">
        <f>IF(OR(BY$23="",ISNA($B231)),"",IF(ISBLANK($B231),"",IFERROR(_xll.BDP(TICKER,"DEEP_MEASURE_PERIOD_BROKER_VALUE","DEEP_MEASURE_ID_OVERRIDE",$C231,"DEEP_BROKER_ID_OVERRIDE",BY$24,"DEEP_PERIOD_OVERRIDE",$H$19)*1,"")))</f>
        <v/>
      </c>
      <c r="BZ231" t="str">
        <f>IF(OR(BZ$23="",ISNA($B231)),"",IF(ISBLANK($B231),"",IFERROR(_xll.BDP(TICKER,"DEEP_MEASURE_PERIOD_BROKER_VALUE","DEEP_MEASURE_ID_OVERRIDE",$C231,"DEEP_BROKER_ID_OVERRIDE",BZ$24,"DEEP_PERIOD_OVERRIDE",$H$19)*1,"")))</f>
        <v/>
      </c>
    </row>
    <row r="232" spans="8:78" x14ac:dyDescent="0.25">
      <c r="H232" t="str">
        <f t="shared" si="4"/>
        <v/>
      </c>
      <c r="I232" t="str">
        <f>IF(OR(I$23="",ISNA($B232)),"",IF(ISBLANK($B232),"",IFERROR(_xll.BDP(TICKER,"DEEP_MEASURE_PERIOD_BROKER_VALUE","DEEP_MEASURE_ID_OVERRIDE",$C232,"DEEP_PERIOD_OVERRIDE",$H$19)*1,"")))</f>
        <v/>
      </c>
      <c r="J232" t="e">
        <f>IF(OR(J$23="",ISNA($B232)),"",IF(ISBLANK($B232),"",IFERROR(_xll.BDP(TICKER,"DEEP_MEASURE_PERIOD_BROKER_VALUE","DEEP_MEASURE_ID_OVERRIDE",$C232,"DEEP_BROKER_ID_OVERRIDE",J$24,"DEEP_PERIOD_OVERRIDE",$H$19)*1,"")))</f>
        <v>#REF!</v>
      </c>
      <c r="K232" t="str">
        <f>IF(OR(K$23="",ISNA($B232)),"",IF(ISBLANK($B232),"",IFERROR(_xll.BDP(TICKER,"DEEP_MEASURE_PERIOD_BROKER_VALUE","DEEP_MEASURE_ID_OVERRIDE",$C232,"DEEP_BROKER_ID_OVERRIDE",K$24,"DEEP_PERIOD_OVERRIDE",$H$19)*1,"")))</f>
        <v/>
      </c>
      <c r="L232" t="str">
        <f>IF(OR(L$23="",ISNA($B232)),"",IF(ISBLANK($B232),"",IFERROR(_xll.BDP(TICKER,"DEEP_MEASURE_PERIOD_BROKER_VALUE","DEEP_MEASURE_ID_OVERRIDE",$C232,"DEEP_BROKER_ID_OVERRIDE",L$24,"DEEP_PERIOD_OVERRIDE",$H$19)*1,"")))</f>
        <v/>
      </c>
      <c r="M232" t="str">
        <f>IF(OR(M$23="",ISNA($B232)),"",IF(ISBLANK($B232),"",IFERROR(_xll.BDP(TICKER,"DEEP_MEASURE_PERIOD_BROKER_VALUE","DEEP_MEASURE_ID_OVERRIDE",$C232,"DEEP_BROKER_ID_OVERRIDE",M$24,"DEEP_PERIOD_OVERRIDE",$H$19)*1,"")))</f>
        <v/>
      </c>
      <c r="N232" t="str">
        <f>IF(OR(N$23="",ISNA($B232)),"",IF(ISBLANK($B232),"",IFERROR(_xll.BDP(TICKER,"DEEP_MEASURE_PERIOD_BROKER_VALUE","DEEP_MEASURE_ID_OVERRIDE",$C232,"DEEP_BROKER_ID_OVERRIDE",N$24,"DEEP_PERIOD_OVERRIDE",$H$19)*1,"")))</f>
        <v/>
      </c>
      <c r="O232" t="str">
        <f>IF(OR(O$23="",ISNA($B232)),"",IF(ISBLANK($B232),"",IFERROR(_xll.BDP(TICKER,"DEEP_MEASURE_PERIOD_BROKER_VALUE","DEEP_MEASURE_ID_OVERRIDE",$C232,"DEEP_BROKER_ID_OVERRIDE",O$24,"DEEP_PERIOD_OVERRIDE",$H$19)*1,"")))</f>
        <v/>
      </c>
      <c r="P232" t="str">
        <f>IF(OR(P$23="",ISNA($B232)),"",IF(ISBLANK($B232),"",IFERROR(_xll.BDP(TICKER,"DEEP_MEASURE_PERIOD_BROKER_VALUE","DEEP_MEASURE_ID_OVERRIDE",$C232,"DEEP_BROKER_ID_OVERRIDE",P$24,"DEEP_PERIOD_OVERRIDE",$H$19)*1,"")))</f>
        <v/>
      </c>
      <c r="Q232" t="str">
        <f>IF(OR(Q$23="",ISNA($B232)),"",IF(ISBLANK($B232),"",IFERROR(_xll.BDP(TICKER,"DEEP_MEASURE_PERIOD_BROKER_VALUE","DEEP_MEASURE_ID_OVERRIDE",$C232,"DEEP_BROKER_ID_OVERRIDE",Q$24,"DEEP_PERIOD_OVERRIDE",$H$19)*1,"")))</f>
        <v/>
      </c>
      <c r="R232" t="str">
        <f>IF(OR(R$23="",ISNA($B232)),"",IF(ISBLANK($B232),"",IFERROR(_xll.BDP(TICKER,"DEEP_MEASURE_PERIOD_BROKER_VALUE","DEEP_MEASURE_ID_OVERRIDE",$C232,"DEEP_BROKER_ID_OVERRIDE",R$24,"DEEP_PERIOD_OVERRIDE",$H$19)*1,"")))</f>
        <v/>
      </c>
      <c r="S232" t="str">
        <f>IF(OR(S$23="",ISNA($B232)),"",IF(ISBLANK($B232),"",IFERROR(_xll.BDP(TICKER,"DEEP_MEASURE_PERIOD_BROKER_VALUE","DEEP_MEASURE_ID_OVERRIDE",$C232,"DEEP_BROKER_ID_OVERRIDE",S$24,"DEEP_PERIOD_OVERRIDE",$H$19)*1,"")))</f>
        <v/>
      </c>
      <c r="T232" t="str">
        <f>IF(OR(T$23="",ISNA($B232)),"",IF(ISBLANK($B232),"",IFERROR(_xll.BDP(TICKER,"DEEP_MEASURE_PERIOD_BROKER_VALUE","DEEP_MEASURE_ID_OVERRIDE",$C232,"DEEP_BROKER_ID_OVERRIDE",T$24,"DEEP_PERIOD_OVERRIDE",$H$19)*1,"")))</f>
        <v/>
      </c>
      <c r="U232" t="str">
        <f>IF(OR(U$23="",ISNA($B232)),"",IF(ISBLANK($B232),"",IFERROR(_xll.BDP(TICKER,"DEEP_MEASURE_PERIOD_BROKER_VALUE","DEEP_MEASURE_ID_OVERRIDE",$C232,"DEEP_BROKER_ID_OVERRIDE",U$24,"DEEP_PERIOD_OVERRIDE",$H$19)*1,"")))</f>
        <v/>
      </c>
      <c r="V232" t="str">
        <f>IF(OR(V$23="",ISNA($B232)),"",IF(ISBLANK($B232),"",IFERROR(_xll.BDP(TICKER,"DEEP_MEASURE_PERIOD_BROKER_VALUE","DEEP_MEASURE_ID_OVERRIDE",$C232,"DEEP_BROKER_ID_OVERRIDE",V$24,"DEEP_PERIOD_OVERRIDE",$H$19)*1,"")))</f>
        <v/>
      </c>
      <c r="W232" t="str">
        <f>IF(OR(W$23="",ISNA($B232)),"",IF(ISBLANK($B232),"",IFERROR(_xll.BDP(TICKER,"DEEP_MEASURE_PERIOD_BROKER_VALUE","DEEP_MEASURE_ID_OVERRIDE",$C232,"DEEP_BROKER_ID_OVERRIDE",W$24,"DEEP_PERIOD_OVERRIDE",$H$19)*1,"")))</f>
        <v/>
      </c>
      <c r="X232" t="str">
        <f>IF(OR(X$23="",ISNA($B232)),"",IF(ISBLANK($B232),"",IFERROR(_xll.BDP(TICKER,"DEEP_MEASURE_PERIOD_BROKER_VALUE","DEEP_MEASURE_ID_OVERRIDE",$C232,"DEEP_BROKER_ID_OVERRIDE",X$24,"DEEP_PERIOD_OVERRIDE",$H$19)*1,"")))</f>
        <v/>
      </c>
      <c r="Y232" t="str">
        <f>IF(OR(Y$23="",ISNA($B232)),"",IF(ISBLANK($B232),"",IFERROR(_xll.BDP(TICKER,"DEEP_MEASURE_PERIOD_BROKER_VALUE","DEEP_MEASURE_ID_OVERRIDE",$C232,"DEEP_BROKER_ID_OVERRIDE",Y$24,"DEEP_PERIOD_OVERRIDE",$H$19)*1,"")))</f>
        <v/>
      </c>
      <c r="Z232" t="str">
        <f>IF(OR(Z$23="",ISNA($B232)),"",IF(ISBLANK($B232),"",IFERROR(_xll.BDP(TICKER,"DEEP_MEASURE_PERIOD_BROKER_VALUE","DEEP_MEASURE_ID_OVERRIDE",$C232,"DEEP_BROKER_ID_OVERRIDE",Z$24,"DEEP_PERIOD_OVERRIDE",$H$19)*1,"")))</f>
        <v/>
      </c>
      <c r="AA232" t="str">
        <f>IF(OR(AA$23="",ISNA($B232)),"",IF(ISBLANK($B232),"",IFERROR(_xll.BDP(TICKER,"DEEP_MEASURE_PERIOD_BROKER_VALUE","DEEP_MEASURE_ID_OVERRIDE",$C232,"DEEP_BROKER_ID_OVERRIDE",AA$24,"DEEP_PERIOD_OVERRIDE",$H$19)*1,"")))</f>
        <v/>
      </c>
      <c r="AB232" t="str">
        <f>IF(OR(AB$23="",ISNA($B232)),"",IF(ISBLANK($B232),"",IFERROR(_xll.BDP(TICKER,"DEEP_MEASURE_PERIOD_BROKER_VALUE","DEEP_MEASURE_ID_OVERRIDE",$C232,"DEEP_BROKER_ID_OVERRIDE",AB$24,"DEEP_PERIOD_OVERRIDE",$H$19)*1,"")))</f>
        <v/>
      </c>
      <c r="AC232" t="str">
        <f>IF(OR(AC$23="",ISNA($B232)),"",IF(ISBLANK($B232),"",IFERROR(_xll.BDP(TICKER,"DEEP_MEASURE_PERIOD_BROKER_VALUE","DEEP_MEASURE_ID_OVERRIDE",$C232,"DEEP_BROKER_ID_OVERRIDE",AC$24,"DEEP_PERIOD_OVERRIDE",$H$19)*1,"")))</f>
        <v/>
      </c>
      <c r="AD232" t="str">
        <f>IF(OR(AD$23="",ISNA($B232)),"",IF(ISBLANK($B232),"",IFERROR(_xll.BDP(TICKER,"DEEP_MEASURE_PERIOD_BROKER_VALUE","DEEP_MEASURE_ID_OVERRIDE",$C232,"DEEP_BROKER_ID_OVERRIDE",AD$24,"DEEP_PERIOD_OVERRIDE",$H$19)*1,"")))</f>
        <v/>
      </c>
      <c r="AE232" t="str">
        <f>IF(OR(AE$23="",ISNA($B232)),"",IF(ISBLANK($B232),"",IFERROR(_xll.BDP(TICKER,"DEEP_MEASURE_PERIOD_BROKER_VALUE","DEEP_MEASURE_ID_OVERRIDE",$C232,"DEEP_BROKER_ID_OVERRIDE",AE$24,"DEEP_PERIOD_OVERRIDE",$H$19)*1,"")))</f>
        <v/>
      </c>
      <c r="AF232" t="str">
        <f>IF(OR(AF$23="",ISNA($B232)),"",IF(ISBLANK($B232),"",IFERROR(_xll.BDP(TICKER,"DEEP_MEASURE_PERIOD_BROKER_VALUE","DEEP_MEASURE_ID_OVERRIDE",$C232,"DEEP_BROKER_ID_OVERRIDE",AF$24,"DEEP_PERIOD_OVERRIDE",$H$19)*1,"")))</f>
        <v/>
      </c>
      <c r="AG232" t="str">
        <f>IF(OR(AG$23="",ISNA($B232)),"",IF(ISBLANK($B232),"",IFERROR(_xll.BDP(TICKER,"DEEP_MEASURE_PERIOD_BROKER_VALUE","DEEP_MEASURE_ID_OVERRIDE",$C232,"DEEP_BROKER_ID_OVERRIDE",AG$24,"DEEP_PERIOD_OVERRIDE",$H$19)*1,"")))</f>
        <v/>
      </c>
      <c r="AH232" t="str">
        <f>IF(OR(AH$23="",ISNA($B232)),"",IF(ISBLANK($B232),"",IFERROR(_xll.BDP(TICKER,"DEEP_MEASURE_PERIOD_BROKER_VALUE","DEEP_MEASURE_ID_OVERRIDE",$C232,"DEEP_BROKER_ID_OVERRIDE",AH$24,"DEEP_PERIOD_OVERRIDE",$H$19)*1,"")))</f>
        <v/>
      </c>
      <c r="AI232" t="str">
        <f>IF(OR(AI$23="",ISNA($B232)),"",IF(ISBLANK($B232),"",IFERROR(_xll.BDP(TICKER,"DEEP_MEASURE_PERIOD_BROKER_VALUE","DEEP_MEASURE_ID_OVERRIDE",$C232,"DEEP_BROKER_ID_OVERRIDE",AI$24,"DEEP_PERIOD_OVERRIDE",$H$19)*1,"")))</f>
        <v/>
      </c>
      <c r="AJ232" t="str">
        <f>IF(OR(AJ$23="",ISNA($B232)),"",IF(ISBLANK($B232),"",IFERROR(_xll.BDP(TICKER,"DEEP_MEASURE_PERIOD_BROKER_VALUE","DEEP_MEASURE_ID_OVERRIDE",$C232,"DEEP_BROKER_ID_OVERRIDE",AJ$24,"DEEP_PERIOD_OVERRIDE",$H$19)*1,"")))</f>
        <v/>
      </c>
      <c r="AK232" t="str">
        <f>IF(OR(AK$23="",ISNA($B232)),"",IF(ISBLANK($B232),"",IFERROR(_xll.BDP(TICKER,"DEEP_MEASURE_PERIOD_BROKER_VALUE","DEEP_MEASURE_ID_OVERRIDE",$C232,"DEEP_BROKER_ID_OVERRIDE",AK$24,"DEEP_PERIOD_OVERRIDE",$H$19)*1,"")))</f>
        <v/>
      </c>
      <c r="AL232" t="str">
        <f>IF(OR(AL$23="",ISNA($B232)),"",IF(ISBLANK($B232),"",IFERROR(_xll.BDP(TICKER,"DEEP_MEASURE_PERIOD_BROKER_VALUE","DEEP_MEASURE_ID_OVERRIDE",$C232,"DEEP_BROKER_ID_OVERRIDE",AL$24,"DEEP_PERIOD_OVERRIDE",$H$19)*1,"")))</f>
        <v/>
      </c>
      <c r="AM232" t="str">
        <f>IF(OR(AM$23="",ISNA($B232)),"",IF(ISBLANK($B232),"",IFERROR(_xll.BDP(TICKER,"DEEP_MEASURE_PERIOD_BROKER_VALUE","DEEP_MEASURE_ID_OVERRIDE",$C232,"DEEP_BROKER_ID_OVERRIDE",AM$24,"DEEP_PERIOD_OVERRIDE",$H$19)*1,"")))</f>
        <v/>
      </c>
      <c r="AN232" t="str">
        <f>IF(OR(AN$23="",ISNA($B232)),"",IF(ISBLANK($B232),"",IFERROR(_xll.BDP(TICKER,"DEEP_MEASURE_PERIOD_BROKER_VALUE","DEEP_MEASURE_ID_OVERRIDE",$C232,"DEEP_BROKER_ID_OVERRIDE",AN$24,"DEEP_PERIOD_OVERRIDE",$H$19)*1,"")))</f>
        <v/>
      </c>
      <c r="AO232" t="str">
        <f>IF(OR(AO$23="",ISNA($B232)),"",IF(ISBLANK($B232),"",IFERROR(_xll.BDP(TICKER,"DEEP_MEASURE_PERIOD_BROKER_VALUE","DEEP_MEASURE_ID_OVERRIDE",$C232,"DEEP_BROKER_ID_OVERRIDE",AO$24,"DEEP_PERIOD_OVERRIDE",$H$19)*1,"")))</f>
        <v/>
      </c>
      <c r="AP232" t="str">
        <f>IF(OR(AP$23="",ISNA($B232)),"",IF(ISBLANK($B232),"",IFERROR(_xll.BDP(TICKER,"DEEP_MEASURE_PERIOD_BROKER_VALUE","DEEP_MEASURE_ID_OVERRIDE",$C232,"DEEP_BROKER_ID_OVERRIDE",AP$24,"DEEP_PERIOD_OVERRIDE",$H$19)*1,"")))</f>
        <v/>
      </c>
      <c r="AQ232" t="str">
        <f>IF(OR(AQ$23="",ISNA($B232)),"",IF(ISBLANK($B232),"",IFERROR(_xll.BDP(TICKER,"DEEP_MEASURE_PERIOD_BROKER_VALUE","DEEP_MEASURE_ID_OVERRIDE",$C232,"DEEP_BROKER_ID_OVERRIDE",AQ$24,"DEEP_PERIOD_OVERRIDE",$H$19)*1,"")))</f>
        <v/>
      </c>
      <c r="AR232" t="str">
        <f>IF(OR(AR$23="",ISNA($B232)),"",IF(ISBLANK($B232),"",IFERROR(_xll.BDP(TICKER,"DEEP_MEASURE_PERIOD_BROKER_VALUE","DEEP_MEASURE_ID_OVERRIDE",$C232,"DEEP_BROKER_ID_OVERRIDE",AR$24,"DEEP_PERIOD_OVERRIDE",$H$19)*1,"")))</f>
        <v/>
      </c>
      <c r="AS232" t="str">
        <f>IF(OR(AS$23="",ISNA($B232)),"",IF(ISBLANK($B232),"",IFERROR(_xll.BDP(TICKER,"DEEP_MEASURE_PERIOD_BROKER_VALUE","DEEP_MEASURE_ID_OVERRIDE",$C232,"DEEP_BROKER_ID_OVERRIDE",AS$24,"DEEP_PERIOD_OVERRIDE",$H$19)*1,"")))</f>
        <v/>
      </c>
      <c r="AT232" t="str">
        <f>IF(OR(AT$23="",ISNA($B232)),"",IF(ISBLANK($B232),"",IFERROR(_xll.BDP(TICKER,"DEEP_MEASURE_PERIOD_BROKER_VALUE","DEEP_MEASURE_ID_OVERRIDE",$C232,"DEEP_BROKER_ID_OVERRIDE",AT$24,"DEEP_PERIOD_OVERRIDE",$H$19)*1,"")))</f>
        <v/>
      </c>
      <c r="AU232" t="str">
        <f>IF(OR(AU$23="",ISNA($B232)),"",IF(ISBLANK($B232),"",IFERROR(_xll.BDP(TICKER,"DEEP_MEASURE_PERIOD_BROKER_VALUE","DEEP_MEASURE_ID_OVERRIDE",$C232,"DEEP_BROKER_ID_OVERRIDE",AU$24,"DEEP_PERIOD_OVERRIDE",$H$19)*1,"")))</f>
        <v/>
      </c>
      <c r="AV232" t="str">
        <f>IF(OR(AV$23="",ISNA($B232)),"",IF(ISBLANK($B232),"",IFERROR(_xll.BDP(TICKER,"DEEP_MEASURE_PERIOD_BROKER_VALUE","DEEP_MEASURE_ID_OVERRIDE",$C232,"DEEP_BROKER_ID_OVERRIDE",AV$24,"DEEP_PERIOD_OVERRIDE",$H$19)*1,"")))</f>
        <v/>
      </c>
      <c r="AW232" t="str">
        <f>IF(OR(AW$23="",ISNA($B232)),"",IF(ISBLANK($B232),"",IFERROR(_xll.BDP(TICKER,"DEEP_MEASURE_PERIOD_BROKER_VALUE","DEEP_MEASURE_ID_OVERRIDE",$C232,"DEEP_BROKER_ID_OVERRIDE",AW$24,"DEEP_PERIOD_OVERRIDE",$H$19)*1,"")))</f>
        <v/>
      </c>
      <c r="AX232" t="str">
        <f>IF(OR(AX$23="",ISNA($B232)),"",IF(ISBLANK($B232),"",IFERROR(_xll.BDP(TICKER,"DEEP_MEASURE_PERIOD_BROKER_VALUE","DEEP_MEASURE_ID_OVERRIDE",$C232,"DEEP_BROKER_ID_OVERRIDE",AX$24,"DEEP_PERIOD_OVERRIDE",$H$19)*1,"")))</f>
        <v/>
      </c>
      <c r="AY232" t="str">
        <f>IF(OR(AY$23="",ISNA($B232)),"",IF(ISBLANK($B232),"",IFERROR(_xll.BDP(TICKER,"DEEP_MEASURE_PERIOD_BROKER_VALUE","DEEP_MEASURE_ID_OVERRIDE",$C232,"DEEP_BROKER_ID_OVERRIDE",AY$24,"DEEP_PERIOD_OVERRIDE",$H$19)*1,"")))</f>
        <v/>
      </c>
      <c r="AZ232" t="str">
        <f>IF(OR(AZ$23="",ISNA($B232)),"",IF(ISBLANK($B232),"",IFERROR(_xll.BDP(TICKER,"DEEP_MEASURE_PERIOD_BROKER_VALUE","DEEP_MEASURE_ID_OVERRIDE",$C232,"DEEP_BROKER_ID_OVERRIDE",AZ$24,"DEEP_PERIOD_OVERRIDE",$H$19)*1,"")))</f>
        <v/>
      </c>
      <c r="BA232" t="str">
        <f>IF(OR(BA$23="",ISNA($B232)),"",IF(ISBLANK($B232),"",IFERROR(_xll.BDP(TICKER,"DEEP_MEASURE_PERIOD_BROKER_VALUE","DEEP_MEASURE_ID_OVERRIDE",$C232,"DEEP_BROKER_ID_OVERRIDE",BA$24,"DEEP_PERIOD_OVERRIDE",$H$19)*1,"")))</f>
        <v/>
      </c>
      <c r="BB232" t="str">
        <f>IF(OR(BB$23="",ISNA($B232)),"",IF(ISBLANK($B232),"",IFERROR(_xll.BDP(TICKER,"DEEP_MEASURE_PERIOD_BROKER_VALUE","DEEP_MEASURE_ID_OVERRIDE",$C232,"DEEP_BROKER_ID_OVERRIDE",BB$24,"DEEP_PERIOD_OVERRIDE",$H$19)*1,"")))</f>
        <v/>
      </c>
      <c r="BC232" t="str">
        <f>IF(OR(BC$23="",ISNA($B232)),"",IF(ISBLANK($B232),"",IFERROR(_xll.BDP(TICKER,"DEEP_MEASURE_PERIOD_BROKER_VALUE","DEEP_MEASURE_ID_OVERRIDE",$C232,"DEEP_BROKER_ID_OVERRIDE",BC$24,"DEEP_PERIOD_OVERRIDE",$H$19)*1,"")))</f>
        <v/>
      </c>
      <c r="BD232" t="str">
        <f>IF(OR(BD$23="",ISNA($B232)),"",IF(ISBLANK($B232),"",IFERROR(_xll.BDP(TICKER,"DEEP_MEASURE_PERIOD_BROKER_VALUE","DEEP_MEASURE_ID_OVERRIDE",$C232,"DEEP_BROKER_ID_OVERRIDE",BD$24,"DEEP_PERIOD_OVERRIDE",$H$19)*1,"")))</f>
        <v/>
      </c>
      <c r="BE232" t="str">
        <f>IF(OR(BE$23="",ISNA($B232)),"",IF(ISBLANK($B232),"",IFERROR(_xll.BDP(TICKER,"DEEP_MEASURE_PERIOD_BROKER_VALUE","DEEP_MEASURE_ID_OVERRIDE",$C232,"DEEP_BROKER_ID_OVERRIDE",BE$24,"DEEP_PERIOD_OVERRIDE",$H$19)*1,"")))</f>
        <v/>
      </c>
      <c r="BF232" t="str">
        <f>IF(OR(BF$23="",ISNA($B232)),"",IF(ISBLANK($B232),"",IFERROR(_xll.BDP(TICKER,"DEEP_MEASURE_PERIOD_BROKER_VALUE","DEEP_MEASURE_ID_OVERRIDE",$C232,"DEEP_BROKER_ID_OVERRIDE",BF$24,"DEEP_PERIOD_OVERRIDE",$H$19)*1,"")))</f>
        <v/>
      </c>
      <c r="BG232" t="str">
        <f>IF(OR(BG$23="",ISNA($B232)),"",IF(ISBLANK($B232),"",IFERROR(_xll.BDP(TICKER,"DEEP_MEASURE_PERIOD_BROKER_VALUE","DEEP_MEASURE_ID_OVERRIDE",$C232,"DEEP_BROKER_ID_OVERRIDE",BG$24,"DEEP_PERIOD_OVERRIDE",$H$19)*1,"")))</f>
        <v/>
      </c>
      <c r="BH232" t="str">
        <f>IF(OR(BH$23="",ISNA($B232)),"",IF(ISBLANK($B232),"",IFERROR(_xll.BDP(TICKER,"DEEP_MEASURE_PERIOD_BROKER_VALUE","DEEP_MEASURE_ID_OVERRIDE",$C232,"DEEP_BROKER_ID_OVERRIDE",BH$24,"DEEP_PERIOD_OVERRIDE",$H$19)*1,"")))</f>
        <v/>
      </c>
      <c r="BI232" t="str">
        <f>IF(OR(BI$23="",ISNA($B232)),"",IF(ISBLANK($B232),"",IFERROR(_xll.BDP(TICKER,"DEEP_MEASURE_PERIOD_BROKER_VALUE","DEEP_MEASURE_ID_OVERRIDE",$C232,"DEEP_BROKER_ID_OVERRIDE",BI$24,"DEEP_PERIOD_OVERRIDE",$H$19)*1,"")))</f>
        <v/>
      </c>
      <c r="BJ232" t="str">
        <f>IF(OR(BJ$23="",ISNA($B232)),"",IF(ISBLANK($B232),"",IFERROR(_xll.BDP(TICKER,"DEEP_MEASURE_PERIOD_BROKER_VALUE","DEEP_MEASURE_ID_OVERRIDE",$C232,"DEEP_BROKER_ID_OVERRIDE",BJ$24,"DEEP_PERIOD_OVERRIDE",$H$19)*1,"")))</f>
        <v/>
      </c>
      <c r="BK232" t="str">
        <f>IF(OR(BK$23="",ISNA($B232)),"",IF(ISBLANK($B232),"",IFERROR(_xll.BDP(TICKER,"DEEP_MEASURE_PERIOD_BROKER_VALUE","DEEP_MEASURE_ID_OVERRIDE",$C232,"DEEP_BROKER_ID_OVERRIDE",BK$24,"DEEP_PERIOD_OVERRIDE",$H$19)*1,"")))</f>
        <v/>
      </c>
      <c r="BL232" t="str">
        <f>IF(OR(BL$23="",ISNA($B232)),"",IF(ISBLANK($B232),"",IFERROR(_xll.BDP(TICKER,"DEEP_MEASURE_PERIOD_BROKER_VALUE","DEEP_MEASURE_ID_OVERRIDE",$C232,"DEEP_BROKER_ID_OVERRIDE",BL$24,"DEEP_PERIOD_OVERRIDE",$H$19)*1,"")))</f>
        <v/>
      </c>
      <c r="BM232" t="str">
        <f>IF(OR(BM$23="",ISNA($B232)),"",IF(ISBLANK($B232),"",IFERROR(_xll.BDP(TICKER,"DEEP_MEASURE_PERIOD_BROKER_VALUE","DEEP_MEASURE_ID_OVERRIDE",$C232,"DEEP_BROKER_ID_OVERRIDE",BM$24,"DEEP_PERIOD_OVERRIDE",$H$19)*1,"")))</f>
        <v/>
      </c>
      <c r="BN232" t="str">
        <f>IF(OR(BN$23="",ISNA($B232)),"",IF(ISBLANK($B232),"",IFERROR(_xll.BDP(TICKER,"DEEP_MEASURE_PERIOD_BROKER_VALUE","DEEP_MEASURE_ID_OVERRIDE",$C232,"DEEP_BROKER_ID_OVERRIDE",BN$24,"DEEP_PERIOD_OVERRIDE",$H$19)*1,"")))</f>
        <v/>
      </c>
      <c r="BO232" t="str">
        <f>IF(OR(BO$23="",ISNA($B232)),"",IF(ISBLANK($B232),"",IFERROR(_xll.BDP(TICKER,"DEEP_MEASURE_PERIOD_BROKER_VALUE","DEEP_MEASURE_ID_OVERRIDE",$C232,"DEEP_BROKER_ID_OVERRIDE",BO$24,"DEEP_PERIOD_OVERRIDE",$H$19)*1,"")))</f>
        <v/>
      </c>
      <c r="BP232" t="str">
        <f>IF(OR(BP$23="",ISNA($B232)),"",IF(ISBLANK($B232),"",IFERROR(_xll.BDP(TICKER,"DEEP_MEASURE_PERIOD_BROKER_VALUE","DEEP_MEASURE_ID_OVERRIDE",$C232,"DEEP_BROKER_ID_OVERRIDE",BP$24,"DEEP_PERIOD_OVERRIDE",$H$19)*1,"")))</f>
        <v/>
      </c>
      <c r="BQ232" t="str">
        <f>IF(OR(BQ$23="",ISNA($B232)),"",IF(ISBLANK($B232),"",IFERROR(_xll.BDP(TICKER,"DEEP_MEASURE_PERIOD_BROKER_VALUE","DEEP_MEASURE_ID_OVERRIDE",$C232,"DEEP_BROKER_ID_OVERRIDE",BQ$24,"DEEP_PERIOD_OVERRIDE",$H$19)*1,"")))</f>
        <v/>
      </c>
      <c r="BR232" t="str">
        <f>IF(OR(BR$23="",ISNA($B232)),"",IF(ISBLANK($B232),"",IFERROR(_xll.BDP(TICKER,"DEEP_MEASURE_PERIOD_BROKER_VALUE","DEEP_MEASURE_ID_OVERRIDE",$C232,"DEEP_BROKER_ID_OVERRIDE",BR$24,"DEEP_PERIOD_OVERRIDE",$H$19)*1,"")))</f>
        <v/>
      </c>
      <c r="BS232" t="str">
        <f>IF(OR(BS$23="",ISNA($B232)),"",IF(ISBLANK($B232),"",IFERROR(_xll.BDP(TICKER,"DEEP_MEASURE_PERIOD_BROKER_VALUE","DEEP_MEASURE_ID_OVERRIDE",$C232,"DEEP_BROKER_ID_OVERRIDE",BS$24,"DEEP_PERIOD_OVERRIDE",$H$19)*1,"")))</f>
        <v/>
      </c>
      <c r="BT232" t="str">
        <f>IF(OR(BT$23="",ISNA($B232)),"",IF(ISBLANK($B232),"",IFERROR(_xll.BDP(TICKER,"DEEP_MEASURE_PERIOD_BROKER_VALUE","DEEP_MEASURE_ID_OVERRIDE",$C232,"DEEP_BROKER_ID_OVERRIDE",BT$24,"DEEP_PERIOD_OVERRIDE",$H$19)*1,"")))</f>
        <v/>
      </c>
      <c r="BU232" t="str">
        <f>IF(OR(BU$23="",ISNA($B232)),"",IF(ISBLANK($B232),"",IFERROR(_xll.BDP(TICKER,"DEEP_MEASURE_PERIOD_BROKER_VALUE","DEEP_MEASURE_ID_OVERRIDE",$C232,"DEEP_BROKER_ID_OVERRIDE",BU$24,"DEEP_PERIOD_OVERRIDE",$H$19)*1,"")))</f>
        <v/>
      </c>
      <c r="BV232" t="str">
        <f>IF(OR(BV$23="",ISNA($B232)),"",IF(ISBLANK($B232),"",IFERROR(_xll.BDP(TICKER,"DEEP_MEASURE_PERIOD_BROKER_VALUE","DEEP_MEASURE_ID_OVERRIDE",$C232,"DEEP_BROKER_ID_OVERRIDE",BV$24,"DEEP_PERIOD_OVERRIDE",$H$19)*1,"")))</f>
        <v/>
      </c>
      <c r="BW232" t="str">
        <f>IF(OR(BW$23="",ISNA($B232)),"",IF(ISBLANK($B232),"",IFERROR(_xll.BDP(TICKER,"DEEP_MEASURE_PERIOD_BROKER_VALUE","DEEP_MEASURE_ID_OVERRIDE",$C232,"DEEP_BROKER_ID_OVERRIDE",BW$24,"DEEP_PERIOD_OVERRIDE",$H$19)*1,"")))</f>
        <v/>
      </c>
      <c r="BX232" t="str">
        <f>IF(OR(BX$23="",ISNA($B232)),"",IF(ISBLANK($B232),"",IFERROR(_xll.BDP(TICKER,"DEEP_MEASURE_PERIOD_BROKER_VALUE","DEEP_MEASURE_ID_OVERRIDE",$C232,"DEEP_BROKER_ID_OVERRIDE",BX$24,"DEEP_PERIOD_OVERRIDE",$H$19)*1,"")))</f>
        <v/>
      </c>
      <c r="BY232" t="str">
        <f>IF(OR(BY$23="",ISNA($B232)),"",IF(ISBLANK($B232),"",IFERROR(_xll.BDP(TICKER,"DEEP_MEASURE_PERIOD_BROKER_VALUE","DEEP_MEASURE_ID_OVERRIDE",$C232,"DEEP_BROKER_ID_OVERRIDE",BY$24,"DEEP_PERIOD_OVERRIDE",$H$19)*1,"")))</f>
        <v/>
      </c>
      <c r="BZ232" t="str">
        <f>IF(OR(BZ$23="",ISNA($B232)),"",IF(ISBLANK($B232),"",IFERROR(_xll.BDP(TICKER,"DEEP_MEASURE_PERIOD_BROKER_VALUE","DEEP_MEASURE_ID_OVERRIDE",$C232,"DEEP_BROKER_ID_OVERRIDE",BZ$24,"DEEP_PERIOD_OVERRIDE",$H$19)*1,"")))</f>
        <v/>
      </c>
    </row>
    <row r="233" spans="8:78" x14ac:dyDescent="0.25">
      <c r="H233" t="str">
        <f t="shared" si="4"/>
        <v/>
      </c>
      <c r="I233" t="str">
        <f>IF(OR(I$23="",ISNA($B233)),"",IF(ISBLANK($B233),"",IFERROR(_xll.BDP(TICKER,"DEEP_MEASURE_PERIOD_BROKER_VALUE","DEEP_MEASURE_ID_OVERRIDE",$C233,"DEEP_PERIOD_OVERRIDE",$H$19)*1,"")))</f>
        <v/>
      </c>
      <c r="J233" t="e">
        <f>IF(OR(J$23="",ISNA($B233)),"",IF(ISBLANK($B233),"",IFERROR(_xll.BDP(TICKER,"DEEP_MEASURE_PERIOD_BROKER_VALUE","DEEP_MEASURE_ID_OVERRIDE",$C233,"DEEP_BROKER_ID_OVERRIDE",J$24,"DEEP_PERIOD_OVERRIDE",$H$19)*1,"")))</f>
        <v>#REF!</v>
      </c>
      <c r="K233" t="str">
        <f>IF(OR(K$23="",ISNA($B233)),"",IF(ISBLANK($B233),"",IFERROR(_xll.BDP(TICKER,"DEEP_MEASURE_PERIOD_BROKER_VALUE","DEEP_MEASURE_ID_OVERRIDE",$C233,"DEEP_BROKER_ID_OVERRIDE",K$24,"DEEP_PERIOD_OVERRIDE",$H$19)*1,"")))</f>
        <v/>
      </c>
      <c r="L233" t="str">
        <f>IF(OR(L$23="",ISNA($B233)),"",IF(ISBLANK($B233),"",IFERROR(_xll.BDP(TICKER,"DEEP_MEASURE_PERIOD_BROKER_VALUE","DEEP_MEASURE_ID_OVERRIDE",$C233,"DEEP_BROKER_ID_OVERRIDE",L$24,"DEEP_PERIOD_OVERRIDE",$H$19)*1,"")))</f>
        <v/>
      </c>
      <c r="M233" t="str">
        <f>IF(OR(M$23="",ISNA($B233)),"",IF(ISBLANK($B233),"",IFERROR(_xll.BDP(TICKER,"DEEP_MEASURE_PERIOD_BROKER_VALUE","DEEP_MEASURE_ID_OVERRIDE",$C233,"DEEP_BROKER_ID_OVERRIDE",M$24,"DEEP_PERIOD_OVERRIDE",$H$19)*1,"")))</f>
        <v/>
      </c>
      <c r="N233" t="str">
        <f>IF(OR(N$23="",ISNA($B233)),"",IF(ISBLANK($B233),"",IFERROR(_xll.BDP(TICKER,"DEEP_MEASURE_PERIOD_BROKER_VALUE","DEEP_MEASURE_ID_OVERRIDE",$C233,"DEEP_BROKER_ID_OVERRIDE",N$24,"DEEP_PERIOD_OVERRIDE",$H$19)*1,"")))</f>
        <v/>
      </c>
      <c r="O233" t="str">
        <f>IF(OR(O$23="",ISNA($B233)),"",IF(ISBLANK($B233),"",IFERROR(_xll.BDP(TICKER,"DEEP_MEASURE_PERIOD_BROKER_VALUE","DEEP_MEASURE_ID_OVERRIDE",$C233,"DEEP_BROKER_ID_OVERRIDE",O$24,"DEEP_PERIOD_OVERRIDE",$H$19)*1,"")))</f>
        <v/>
      </c>
      <c r="P233" t="str">
        <f>IF(OR(P$23="",ISNA($B233)),"",IF(ISBLANK($B233),"",IFERROR(_xll.BDP(TICKER,"DEEP_MEASURE_PERIOD_BROKER_VALUE","DEEP_MEASURE_ID_OVERRIDE",$C233,"DEEP_BROKER_ID_OVERRIDE",P$24,"DEEP_PERIOD_OVERRIDE",$H$19)*1,"")))</f>
        <v/>
      </c>
      <c r="Q233" t="str">
        <f>IF(OR(Q$23="",ISNA($B233)),"",IF(ISBLANK($B233),"",IFERROR(_xll.BDP(TICKER,"DEEP_MEASURE_PERIOD_BROKER_VALUE","DEEP_MEASURE_ID_OVERRIDE",$C233,"DEEP_BROKER_ID_OVERRIDE",Q$24,"DEEP_PERIOD_OVERRIDE",$H$19)*1,"")))</f>
        <v/>
      </c>
      <c r="R233" t="str">
        <f>IF(OR(R$23="",ISNA($B233)),"",IF(ISBLANK($B233),"",IFERROR(_xll.BDP(TICKER,"DEEP_MEASURE_PERIOD_BROKER_VALUE","DEEP_MEASURE_ID_OVERRIDE",$C233,"DEEP_BROKER_ID_OVERRIDE",R$24,"DEEP_PERIOD_OVERRIDE",$H$19)*1,"")))</f>
        <v/>
      </c>
      <c r="S233" t="str">
        <f>IF(OR(S$23="",ISNA($B233)),"",IF(ISBLANK($B233),"",IFERROR(_xll.BDP(TICKER,"DEEP_MEASURE_PERIOD_BROKER_VALUE","DEEP_MEASURE_ID_OVERRIDE",$C233,"DEEP_BROKER_ID_OVERRIDE",S$24,"DEEP_PERIOD_OVERRIDE",$H$19)*1,"")))</f>
        <v/>
      </c>
      <c r="T233" t="str">
        <f>IF(OR(T$23="",ISNA($B233)),"",IF(ISBLANK($B233),"",IFERROR(_xll.BDP(TICKER,"DEEP_MEASURE_PERIOD_BROKER_VALUE","DEEP_MEASURE_ID_OVERRIDE",$C233,"DEEP_BROKER_ID_OVERRIDE",T$24,"DEEP_PERIOD_OVERRIDE",$H$19)*1,"")))</f>
        <v/>
      </c>
      <c r="U233" t="str">
        <f>IF(OR(U$23="",ISNA($B233)),"",IF(ISBLANK($B233),"",IFERROR(_xll.BDP(TICKER,"DEEP_MEASURE_PERIOD_BROKER_VALUE","DEEP_MEASURE_ID_OVERRIDE",$C233,"DEEP_BROKER_ID_OVERRIDE",U$24,"DEEP_PERIOD_OVERRIDE",$H$19)*1,"")))</f>
        <v/>
      </c>
      <c r="V233" t="str">
        <f>IF(OR(V$23="",ISNA($B233)),"",IF(ISBLANK($B233),"",IFERROR(_xll.BDP(TICKER,"DEEP_MEASURE_PERIOD_BROKER_VALUE","DEEP_MEASURE_ID_OVERRIDE",$C233,"DEEP_BROKER_ID_OVERRIDE",V$24,"DEEP_PERIOD_OVERRIDE",$H$19)*1,"")))</f>
        <v/>
      </c>
      <c r="W233" t="str">
        <f>IF(OR(W$23="",ISNA($B233)),"",IF(ISBLANK($B233),"",IFERROR(_xll.BDP(TICKER,"DEEP_MEASURE_PERIOD_BROKER_VALUE","DEEP_MEASURE_ID_OVERRIDE",$C233,"DEEP_BROKER_ID_OVERRIDE",W$24,"DEEP_PERIOD_OVERRIDE",$H$19)*1,"")))</f>
        <v/>
      </c>
      <c r="X233" t="str">
        <f>IF(OR(X$23="",ISNA($B233)),"",IF(ISBLANK($B233),"",IFERROR(_xll.BDP(TICKER,"DEEP_MEASURE_PERIOD_BROKER_VALUE","DEEP_MEASURE_ID_OVERRIDE",$C233,"DEEP_BROKER_ID_OVERRIDE",X$24,"DEEP_PERIOD_OVERRIDE",$H$19)*1,"")))</f>
        <v/>
      </c>
      <c r="Y233" t="str">
        <f>IF(OR(Y$23="",ISNA($B233)),"",IF(ISBLANK($B233),"",IFERROR(_xll.BDP(TICKER,"DEEP_MEASURE_PERIOD_BROKER_VALUE","DEEP_MEASURE_ID_OVERRIDE",$C233,"DEEP_BROKER_ID_OVERRIDE",Y$24,"DEEP_PERIOD_OVERRIDE",$H$19)*1,"")))</f>
        <v/>
      </c>
      <c r="Z233" t="str">
        <f>IF(OR(Z$23="",ISNA($B233)),"",IF(ISBLANK($B233),"",IFERROR(_xll.BDP(TICKER,"DEEP_MEASURE_PERIOD_BROKER_VALUE","DEEP_MEASURE_ID_OVERRIDE",$C233,"DEEP_BROKER_ID_OVERRIDE",Z$24,"DEEP_PERIOD_OVERRIDE",$H$19)*1,"")))</f>
        <v/>
      </c>
      <c r="AA233" t="str">
        <f>IF(OR(AA$23="",ISNA($B233)),"",IF(ISBLANK($B233),"",IFERROR(_xll.BDP(TICKER,"DEEP_MEASURE_PERIOD_BROKER_VALUE","DEEP_MEASURE_ID_OVERRIDE",$C233,"DEEP_BROKER_ID_OVERRIDE",AA$24,"DEEP_PERIOD_OVERRIDE",$H$19)*1,"")))</f>
        <v/>
      </c>
      <c r="AB233" t="str">
        <f>IF(OR(AB$23="",ISNA($B233)),"",IF(ISBLANK($B233),"",IFERROR(_xll.BDP(TICKER,"DEEP_MEASURE_PERIOD_BROKER_VALUE","DEEP_MEASURE_ID_OVERRIDE",$C233,"DEEP_BROKER_ID_OVERRIDE",AB$24,"DEEP_PERIOD_OVERRIDE",$H$19)*1,"")))</f>
        <v/>
      </c>
      <c r="AC233" t="str">
        <f>IF(OR(AC$23="",ISNA($B233)),"",IF(ISBLANK($B233),"",IFERROR(_xll.BDP(TICKER,"DEEP_MEASURE_PERIOD_BROKER_VALUE","DEEP_MEASURE_ID_OVERRIDE",$C233,"DEEP_BROKER_ID_OVERRIDE",AC$24,"DEEP_PERIOD_OVERRIDE",$H$19)*1,"")))</f>
        <v/>
      </c>
      <c r="AD233" t="str">
        <f>IF(OR(AD$23="",ISNA($B233)),"",IF(ISBLANK($B233),"",IFERROR(_xll.BDP(TICKER,"DEEP_MEASURE_PERIOD_BROKER_VALUE","DEEP_MEASURE_ID_OVERRIDE",$C233,"DEEP_BROKER_ID_OVERRIDE",AD$24,"DEEP_PERIOD_OVERRIDE",$H$19)*1,"")))</f>
        <v/>
      </c>
      <c r="AE233" t="str">
        <f>IF(OR(AE$23="",ISNA($B233)),"",IF(ISBLANK($B233),"",IFERROR(_xll.BDP(TICKER,"DEEP_MEASURE_PERIOD_BROKER_VALUE","DEEP_MEASURE_ID_OVERRIDE",$C233,"DEEP_BROKER_ID_OVERRIDE",AE$24,"DEEP_PERIOD_OVERRIDE",$H$19)*1,"")))</f>
        <v/>
      </c>
      <c r="AF233" t="str">
        <f>IF(OR(AF$23="",ISNA($B233)),"",IF(ISBLANK($B233),"",IFERROR(_xll.BDP(TICKER,"DEEP_MEASURE_PERIOD_BROKER_VALUE","DEEP_MEASURE_ID_OVERRIDE",$C233,"DEEP_BROKER_ID_OVERRIDE",AF$24,"DEEP_PERIOD_OVERRIDE",$H$19)*1,"")))</f>
        <v/>
      </c>
      <c r="AG233" t="str">
        <f>IF(OR(AG$23="",ISNA($B233)),"",IF(ISBLANK($B233),"",IFERROR(_xll.BDP(TICKER,"DEEP_MEASURE_PERIOD_BROKER_VALUE","DEEP_MEASURE_ID_OVERRIDE",$C233,"DEEP_BROKER_ID_OVERRIDE",AG$24,"DEEP_PERIOD_OVERRIDE",$H$19)*1,"")))</f>
        <v/>
      </c>
      <c r="AH233" t="str">
        <f>IF(OR(AH$23="",ISNA($B233)),"",IF(ISBLANK($B233),"",IFERROR(_xll.BDP(TICKER,"DEEP_MEASURE_PERIOD_BROKER_VALUE","DEEP_MEASURE_ID_OVERRIDE",$C233,"DEEP_BROKER_ID_OVERRIDE",AH$24,"DEEP_PERIOD_OVERRIDE",$H$19)*1,"")))</f>
        <v/>
      </c>
      <c r="AI233" t="str">
        <f>IF(OR(AI$23="",ISNA($B233)),"",IF(ISBLANK($B233),"",IFERROR(_xll.BDP(TICKER,"DEEP_MEASURE_PERIOD_BROKER_VALUE","DEEP_MEASURE_ID_OVERRIDE",$C233,"DEEP_BROKER_ID_OVERRIDE",AI$24,"DEEP_PERIOD_OVERRIDE",$H$19)*1,"")))</f>
        <v/>
      </c>
      <c r="AJ233" t="str">
        <f>IF(OR(AJ$23="",ISNA($B233)),"",IF(ISBLANK($B233),"",IFERROR(_xll.BDP(TICKER,"DEEP_MEASURE_PERIOD_BROKER_VALUE","DEEP_MEASURE_ID_OVERRIDE",$C233,"DEEP_BROKER_ID_OVERRIDE",AJ$24,"DEEP_PERIOD_OVERRIDE",$H$19)*1,"")))</f>
        <v/>
      </c>
      <c r="AK233" t="str">
        <f>IF(OR(AK$23="",ISNA($B233)),"",IF(ISBLANK($B233),"",IFERROR(_xll.BDP(TICKER,"DEEP_MEASURE_PERIOD_BROKER_VALUE","DEEP_MEASURE_ID_OVERRIDE",$C233,"DEEP_BROKER_ID_OVERRIDE",AK$24,"DEEP_PERIOD_OVERRIDE",$H$19)*1,"")))</f>
        <v/>
      </c>
      <c r="AL233" t="str">
        <f>IF(OR(AL$23="",ISNA($B233)),"",IF(ISBLANK($B233),"",IFERROR(_xll.BDP(TICKER,"DEEP_MEASURE_PERIOD_BROKER_VALUE","DEEP_MEASURE_ID_OVERRIDE",$C233,"DEEP_BROKER_ID_OVERRIDE",AL$24,"DEEP_PERIOD_OVERRIDE",$H$19)*1,"")))</f>
        <v/>
      </c>
      <c r="AM233" t="str">
        <f>IF(OR(AM$23="",ISNA($B233)),"",IF(ISBLANK($B233),"",IFERROR(_xll.BDP(TICKER,"DEEP_MEASURE_PERIOD_BROKER_VALUE","DEEP_MEASURE_ID_OVERRIDE",$C233,"DEEP_BROKER_ID_OVERRIDE",AM$24,"DEEP_PERIOD_OVERRIDE",$H$19)*1,"")))</f>
        <v/>
      </c>
      <c r="AN233" t="str">
        <f>IF(OR(AN$23="",ISNA($B233)),"",IF(ISBLANK($B233),"",IFERROR(_xll.BDP(TICKER,"DEEP_MEASURE_PERIOD_BROKER_VALUE","DEEP_MEASURE_ID_OVERRIDE",$C233,"DEEP_BROKER_ID_OVERRIDE",AN$24,"DEEP_PERIOD_OVERRIDE",$H$19)*1,"")))</f>
        <v/>
      </c>
      <c r="AO233" t="str">
        <f>IF(OR(AO$23="",ISNA($B233)),"",IF(ISBLANK($B233),"",IFERROR(_xll.BDP(TICKER,"DEEP_MEASURE_PERIOD_BROKER_VALUE","DEEP_MEASURE_ID_OVERRIDE",$C233,"DEEP_BROKER_ID_OVERRIDE",AO$24,"DEEP_PERIOD_OVERRIDE",$H$19)*1,"")))</f>
        <v/>
      </c>
      <c r="AP233" t="str">
        <f>IF(OR(AP$23="",ISNA($B233)),"",IF(ISBLANK($B233),"",IFERROR(_xll.BDP(TICKER,"DEEP_MEASURE_PERIOD_BROKER_VALUE","DEEP_MEASURE_ID_OVERRIDE",$C233,"DEEP_BROKER_ID_OVERRIDE",AP$24,"DEEP_PERIOD_OVERRIDE",$H$19)*1,"")))</f>
        <v/>
      </c>
      <c r="AQ233" t="str">
        <f>IF(OR(AQ$23="",ISNA($B233)),"",IF(ISBLANK($B233),"",IFERROR(_xll.BDP(TICKER,"DEEP_MEASURE_PERIOD_BROKER_VALUE","DEEP_MEASURE_ID_OVERRIDE",$C233,"DEEP_BROKER_ID_OVERRIDE",AQ$24,"DEEP_PERIOD_OVERRIDE",$H$19)*1,"")))</f>
        <v/>
      </c>
      <c r="AR233" t="str">
        <f>IF(OR(AR$23="",ISNA($B233)),"",IF(ISBLANK($B233),"",IFERROR(_xll.BDP(TICKER,"DEEP_MEASURE_PERIOD_BROKER_VALUE","DEEP_MEASURE_ID_OVERRIDE",$C233,"DEEP_BROKER_ID_OVERRIDE",AR$24,"DEEP_PERIOD_OVERRIDE",$H$19)*1,"")))</f>
        <v/>
      </c>
      <c r="AS233" t="str">
        <f>IF(OR(AS$23="",ISNA($B233)),"",IF(ISBLANK($B233),"",IFERROR(_xll.BDP(TICKER,"DEEP_MEASURE_PERIOD_BROKER_VALUE","DEEP_MEASURE_ID_OVERRIDE",$C233,"DEEP_BROKER_ID_OVERRIDE",AS$24,"DEEP_PERIOD_OVERRIDE",$H$19)*1,"")))</f>
        <v/>
      </c>
      <c r="AT233" t="str">
        <f>IF(OR(AT$23="",ISNA($B233)),"",IF(ISBLANK($B233),"",IFERROR(_xll.BDP(TICKER,"DEEP_MEASURE_PERIOD_BROKER_VALUE","DEEP_MEASURE_ID_OVERRIDE",$C233,"DEEP_BROKER_ID_OVERRIDE",AT$24,"DEEP_PERIOD_OVERRIDE",$H$19)*1,"")))</f>
        <v/>
      </c>
      <c r="AU233" t="str">
        <f>IF(OR(AU$23="",ISNA($B233)),"",IF(ISBLANK($B233),"",IFERROR(_xll.BDP(TICKER,"DEEP_MEASURE_PERIOD_BROKER_VALUE","DEEP_MEASURE_ID_OVERRIDE",$C233,"DEEP_BROKER_ID_OVERRIDE",AU$24,"DEEP_PERIOD_OVERRIDE",$H$19)*1,"")))</f>
        <v/>
      </c>
      <c r="AV233" t="str">
        <f>IF(OR(AV$23="",ISNA($B233)),"",IF(ISBLANK($B233),"",IFERROR(_xll.BDP(TICKER,"DEEP_MEASURE_PERIOD_BROKER_VALUE","DEEP_MEASURE_ID_OVERRIDE",$C233,"DEEP_BROKER_ID_OVERRIDE",AV$24,"DEEP_PERIOD_OVERRIDE",$H$19)*1,"")))</f>
        <v/>
      </c>
      <c r="AW233" t="str">
        <f>IF(OR(AW$23="",ISNA($B233)),"",IF(ISBLANK($B233),"",IFERROR(_xll.BDP(TICKER,"DEEP_MEASURE_PERIOD_BROKER_VALUE","DEEP_MEASURE_ID_OVERRIDE",$C233,"DEEP_BROKER_ID_OVERRIDE",AW$24,"DEEP_PERIOD_OVERRIDE",$H$19)*1,"")))</f>
        <v/>
      </c>
      <c r="AX233" t="str">
        <f>IF(OR(AX$23="",ISNA($B233)),"",IF(ISBLANK($B233),"",IFERROR(_xll.BDP(TICKER,"DEEP_MEASURE_PERIOD_BROKER_VALUE","DEEP_MEASURE_ID_OVERRIDE",$C233,"DEEP_BROKER_ID_OVERRIDE",AX$24,"DEEP_PERIOD_OVERRIDE",$H$19)*1,"")))</f>
        <v/>
      </c>
      <c r="AY233" t="str">
        <f>IF(OR(AY$23="",ISNA($B233)),"",IF(ISBLANK($B233),"",IFERROR(_xll.BDP(TICKER,"DEEP_MEASURE_PERIOD_BROKER_VALUE","DEEP_MEASURE_ID_OVERRIDE",$C233,"DEEP_BROKER_ID_OVERRIDE",AY$24,"DEEP_PERIOD_OVERRIDE",$H$19)*1,"")))</f>
        <v/>
      </c>
      <c r="AZ233" t="str">
        <f>IF(OR(AZ$23="",ISNA($B233)),"",IF(ISBLANK($B233),"",IFERROR(_xll.BDP(TICKER,"DEEP_MEASURE_PERIOD_BROKER_VALUE","DEEP_MEASURE_ID_OVERRIDE",$C233,"DEEP_BROKER_ID_OVERRIDE",AZ$24,"DEEP_PERIOD_OVERRIDE",$H$19)*1,"")))</f>
        <v/>
      </c>
      <c r="BA233" t="str">
        <f>IF(OR(BA$23="",ISNA($B233)),"",IF(ISBLANK($B233),"",IFERROR(_xll.BDP(TICKER,"DEEP_MEASURE_PERIOD_BROKER_VALUE","DEEP_MEASURE_ID_OVERRIDE",$C233,"DEEP_BROKER_ID_OVERRIDE",BA$24,"DEEP_PERIOD_OVERRIDE",$H$19)*1,"")))</f>
        <v/>
      </c>
      <c r="BB233" t="str">
        <f>IF(OR(BB$23="",ISNA($B233)),"",IF(ISBLANK($B233),"",IFERROR(_xll.BDP(TICKER,"DEEP_MEASURE_PERIOD_BROKER_VALUE","DEEP_MEASURE_ID_OVERRIDE",$C233,"DEEP_BROKER_ID_OVERRIDE",BB$24,"DEEP_PERIOD_OVERRIDE",$H$19)*1,"")))</f>
        <v/>
      </c>
      <c r="BC233" t="str">
        <f>IF(OR(BC$23="",ISNA($B233)),"",IF(ISBLANK($B233),"",IFERROR(_xll.BDP(TICKER,"DEEP_MEASURE_PERIOD_BROKER_VALUE","DEEP_MEASURE_ID_OVERRIDE",$C233,"DEEP_BROKER_ID_OVERRIDE",BC$24,"DEEP_PERIOD_OVERRIDE",$H$19)*1,"")))</f>
        <v/>
      </c>
      <c r="BD233" t="str">
        <f>IF(OR(BD$23="",ISNA($B233)),"",IF(ISBLANK($B233),"",IFERROR(_xll.BDP(TICKER,"DEEP_MEASURE_PERIOD_BROKER_VALUE","DEEP_MEASURE_ID_OVERRIDE",$C233,"DEEP_BROKER_ID_OVERRIDE",BD$24,"DEEP_PERIOD_OVERRIDE",$H$19)*1,"")))</f>
        <v/>
      </c>
      <c r="BE233" t="str">
        <f>IF(OR(BE$23="",ISNA($B233)),"",IF(ISBLANK($B233),"",IFERROR(_xll.BDP(TICKER,"DEEP_MEASURE_PERIOD_BROKER_VALUE","DEEP_MEASURE_ID_OVERRIDE",$C233,"DEEP_BROKER_ID_OVERRIDE",BE$24,"DEEP_PERIOD_OVERRIDE",$H$19)*1,"")))</f>
        <v/>
      </c>
      <c r="BF233" t="str">
        <f>IF(OR(BF$23="",ISNA($B233)),"",IF(ISBLANK($B233),"",IFERROR(_xll.BDP(TICKER,"DEEP_MEASURE_PERIOD_BROKER_VALUE","DEEP_MEASURE_ID_OVERRIDE",$C233,"DEEP_BROKER_ID_OVERRIDE",BF$24,"DEEP_PERIOD_OVERRIDE",$H$19)*1,"")))</f>
        <v/>
      </c>
      <c r="BG233" t="str">
        <f>IF(OR(BG$23="",ISNA($B233)),"",IF(ISBLANK($B233),"",IFERROR(_xll.BDP(TICKER,"DEEP_MEASURE_PERIOD_BROKER_VALUE","DEEP_MEASURE_ID_OVERRIDE",$C233,"DEEP_BROKER_ID_OVERRIDE",BG$24,"DEEP_PERIOD_OVERRIDE",$H$19)*1,"")))</f>
        <v/>
      </c>
      <c r="BH233" t="str">
        <f>IF(OR(BH$23="",ISNA($B233)),"",IF(ISBLANK($B233),"",IFERROR(_xll.BDP(TICKER,"DEEP_MEASURE_PERIOD_BROKER_VALUE","DEEP_MEASURE_ID_OVERRIDE",$C233,"DEEP_BROKER_ID_OVERRIDE",BH$24,"DEEP_PERIOD_OVERRIDE",$H$19)*1,"")))</f>
        <v/>
      </c>
      <c r="BI233" t="str">
        <f>IF(OR(BI$23="",ISNA($B233)),"",IF(ISBLANK($B233),"",IFERROR(_xll.BDP(TICKER,"DEEP_MEASURE_PERIOD_BROKER_VALUE","DEEP_MEASURE_ID_OVERRIDE",$C233,"DEEP_BROKER_ID_OVERRIDE",BI$24,"DEEP_PERIOD_OVERRIDE",$H$19)*1,"")))</f>
        <v/>
      </c>
      <c r="BJ233" t="str">
        <f>IF(OR(BJ$23="",ISNA($B233)),"",IF(ISBLANK($B233),"",IFERROR(_xll.BDP(TICKER,"DEEP_MEASURE_PERIOD_BROKER_VALUE","DEEP_MEASURE_ID_OVERRIDE",$C233,"DEEP_BROKER_ID_OVERRIDE",BJ$24,"DEEP_PERIOD_OVERRIDE",$H$19)*1,"")))</f>
        <v/>
      </c>
      <c r="BK233" t="str">
        <f>IF(OR(BK$23="",ISNA($B233)),"",IF(ISBLANK($B233),"",IFERROR(_xll.BDP(TICKER,"DEEP_MEASURE_PERIOD_BROKER_VALUE","DEEP_MEASURE_ID_OVERRIDE",$C233,"DEEP_BROKER_ID_OVERRIDE",BK$24,"DEEP_PERIOD_OVERRIDE",$H$19)*1,"")))</f>
        <v/>
      </c>
      <c r="BL233" t="str">
        <f>IF(OR(BL$23="",ISNA($B233)),"",IF(ISBLANK($B233),"",IFERROR(_xll.BDP(TICKER,"DEEP_MEASURE_PERIOD_BROKER_VALUE","DEEP_MEASURE_ID_OVERRIDE",$C233,"DEEP_BROKER_ID_OVERRIDE",BL$24,"DEEP_PERIOD_OVERRIDE",$H$19)*1,"")))</f>
        <v/>
      </c>
      <c r="BM233" t="str">
        <f>IF(OR(BM$23="",ISNA($B233)),"",IF(ISBLANK($B233),"",IFERROR(_xll.BDP(TICKER,"DEEP_MEASURE_PERIOD_BROKER_VALUE","DEEP_MEASURE_ID_OVERRIDE",$C233,"DEEP_BROKER_ID_OVERRIDE",BM$24,"DEEP_PERIOD_OVERRIDE",$H$19)*1,"")))</f>
        <v/>
      </c>
      <c r="BN233" t="str">
        <f>IF(OR(BN$23="",ISNA($B233)),"",IF(ISBLANK($B233),"",IFERROR(_xll.BDP(TICKER,"DEEP_MEASURE_PERIOD_BROKER_VALUE","DEEP_MEASURE_ID_OVERRIDE",$C233,"DEEP_BROKER_ID_OVERRIDE",BN$24,"DEEP_PERIOD_OVERRIDE",$H$19)*1,"")))</f>
        <v/>
      </c>
      <c r="BO233" t="str">
        <f>IF(OR(BO$23="",ISNA($B233)),"",IF(ISBLANK($B233),"",IFERROR(_xll.BDP(TICKER,"DEEP_MEASURE_PERIOD_BROKER_VALUE","DEEP_MEASURE_ID_OVERRIDE",$C233,"DEEP_BROKER_ID_OVERRIDE",BO$24,"DEEP_PERIOD_OVERRIDE",$H$19)*1,"")))</f>
        <v/>
      </c>
      <c r="BP233" t="str">
        <f>IF(OR(BP$23="",ISNA($B233)),"",IF(ISBLANK($B233),"",IFERROR(_xll.BDP(TICKER,"DEEP_MEASURE_PERIOD_BROKER_VALUE","DEEP_MEASURE_ID_OVERRIDE",$C233,"DEEP_BROKER_ID_OVERRIDE",BP$24,"DEEP_PERIOD_OVERRIDE",$H$19)*1,"")))</f>
        <v/>
      </c>
      <c r="BQ233" t="str">
        <f>IF(OR(BQ$23="",ISNA($B233)),"",IF(ISBLANK($B233),"",IFERROR(_xll.BDP(TICKER,"DEEP_MEASURE_PERIOD_BROKER_VALUE","DEEP_MEASURE_ID_OVERRIDE",$C233,"DEEP_BROKER_ID_OVERRIDE",BQ$24,"DEEP_PERIOD_OVERRIDE",$H$19)*1,"")))</f>
        <v/>
      </c>
      <c r="BR233" t="str">
        <f>IF(OR(BR$23="",ISNA($B233)),"",IF(ISBLANK($B233),"",IFERROR(_xll.BDP(TICKER,"DEEP_MEASURE_PERIOD_BROKER_VALUE","DEEP_MEASURE_ID_OVERRIDE",$C233,"DEEP_BROKER_ID_OVERRIDE",BR$24,"DEEP_PERIOD_OVERRIDE",$H$19)*1,"")))</f>
        <v/>
      </c>
      <c r="BS233" t="str">
        <f>IF(OR(BS$23="",ISNA($B233)),"",IF(ISBLANK($B233),"",IFERROR(_xll.BDP(TICKER,"DEEP_MEASURE_PERIOD_BROKER_VALUE","DEEP_MEASURE_ID_OVERRIDE",$C233,"DEEP_BROKER_ID_OVERRIDE",BS$24,"DEEP_PERIOD_OVERRIDE",$H$19)*1,"")))</f>
        <v/>
      </c>
      <c r="BT233" t="str">
        <f>IF(OR(BT$23="",ISNA($B233)),"",IF(ISBLANK($B233),"",IFERROR(_xll.BDP(TICKER,"DEEP_MEASURE_PERIOD_BROKER_VALUE","DEEP_MEASURE_ID_OVERRIDE",$C233,"DEEP_BROKER_ID_OVERRIDE",BT$24,"DEEP_PERIOD_OVERRIDE",$H$19)*1,"")))</f>
        <v/>
      </c>
      <c r="BU233" t="str">
        <f>IF(OR(BU$23="",ISNA($B233)),"",IF(ISBLANK($B233),"",IFERROR(_xll.BDP(TICKER,"DEEP_MEASURE_PERIOD_BROKER_VALUE","DEEP_MEASURE_ID_OVERRIDE",$C233,"DEEP_BROKER_ID_OVERRIDE",BU$24,"DEEP_PERIOD_OVERRIDE",$H$19)*1,"")))</f>
        <v/>
      </c>
      <c r="BV233" t="str">
        <f>IF(OR(BV$23="",ISNA($B233)),"",IF(ISBLANK($B233),"",IFERROR(_xll.BDP(TICKER,"DEEP_MEASURE_PERIOD_BROKER_VALUE","DEEP_MEASURE_ID_OVERRIDE",$C233,"DEEP_BROKER_ID_OVERRIDE",BV$24,"DEEP_PERIOD_OVERRIDE",$H$19)*1,"")))</f>
        <v/>
      </c>
      <c r="BW233" t="str">
        <f>IF(OR(BW$23="",ISNA($B233)),"",IF(ISBLANK($B233),"",IFERROR(_xll.BDP(TICKER,"DEEP_MEASURE_PERIOD_BROKER_VALUE","DEEP_MEASURE_ID_OVERRIDE",$C233,"DEEP_BROKER_ID_OVERRIDE",BW$24,"DEEP_PERIOD_OVERRIDE",$H$19)*1,"")))</f>
        <v/>
      </c>
      <c r="BX233" t="str">
        <f>IF(OR(BX$23="",ISNA($B233)),"",IF(ISBLANK($B233),"",IFERROR(_xll.BDP(TICKER,"DEEP_MEASURE_PERIOD_BROKER_VALUE","DEEP_MEASURE_ID_OVERRIDE",$C233,"DEEP_BROKER_ID_OVERRIDE",BX$24,"DEEP_PERIOD_OVERRIDE",$H$19)*1,"")))</f>
        <v/>
      </c>
      <c r="BY233" t="str">
        <f>IF(OR(BY$23="",ISNA($B233)),"",IF(ISBLANK($B233),"",IFERROR(_xll.BDP(TICKER,"DEEP_MEASURE_PERIOD_BROKER_VALUE","DEEP_MEASURE_ID_OVERRIDE",$C233,"DEEP_BROKER_ID_OVERRIDE",BY$24,"DEEP_PERIOD_OVERRIDE",$H$19)*1,"")))</f>
        <v/>
      </c>
      <c r="BZ233" t="str">
        <f>IF(OR(BZ$23="",ISNA($B233)),"",IF(ISBLANK($B233),"",IFERROR(_xll.BDP(TICKER,"DEEP_MEASURE_PERIOD_BROKER_VALUE","DEEP_MEASURE_ID_OVERRIDE",$C233,"DEEP_BROKER_ID_OVERRIDE",BZ$24,"DEEP_PERIOD_OVERRIDE",$H$19)*1,"")))</f>
        <v/>
      </c>
    </row>
    <row r="234" spans="8:78" x14ac:dyDescent="0.25">
      <c r="H234" t="str">
        <f t="shared" si="4"/>
        <v/>
      </c>
      <c r="I234" t="str">
        <f>IF(OR(I$23="",ISNA($B234)),"",IF(ISBLANK($B234),"",IFERROR(_xll.BDP(TICKER,"DEEP_MEASURE_PERIOD_BROKER_VALUE","DEEP_MEASURE_ID_OVERRIDE",$C234,"DEEP_PERIOD_OVERRIDE",$H$19)*1,"")))</f>
        <v/>
      </c>
      <c r="J234" t="e">
        <f>IF(OR(J$23="",ISNA($B234)),"",IF(ISBLANK($B234),"",IFERROR(_xll.BDP(TICKER,"DEEP_MEASURE_PERIOD_BROKER_VALUE","DEEP_MEASURE_ID_OVERRIDE",$C234,"DEEP_BROKER_ID_OVERRIDE",J$24,"DEEP_PERIOD_OVERRIDE",$H$19)*1,"")))</f>
        <v>#REF!</v>
      </c>
      <c r="K234" t="str">
        <f>IF(OR(K$23="",ISNA($B234)),"",IF(ISBLANK($B234),"",IFERROR(_xll.BDP(TICKER,"DEEP_MEASURE_PERIOD_BROKER_VALUE","DEEP_MEASURE_ID_OVERRIDE",$C234,"DEEP_BROKER_ID_OVERRIDE",K$24,"DEEP_PERIOD_OVERRIDE",$H$19)*1,"")))</f>
        <v/>
      </c>
      <c r="L234" t="str">
        <f>IF(OR(L$23="",ISNA($B234)),"",IF(ISBLANK($B234),"",IFERROR(_xll.BDP(TICKER,"DEEP_MEASURE_PERIOD_BROKER_VALUE","DEEP_MEASURE_ID_OVERRIDE",$C234,"DEEP_BROKER_ID_OVERRIDE",L$24,"DEEP_PERIOD_OVERRIDE",$H$19)*1,"")))</f>
        <v/>
      </c>
      <c r="M234" t="str">
        <f>IF(OR(M$23="",ISNA($B234)),"",IF(ISBLANK($B234),"",IFERROR(_xll.BDP(TICKER,"DEEP_MEASURE_PERIOD_BROKER_VALUE","DEEP_MEASURE_ID_OVERRIDE",$C234,"DEEP_BROKER_ID_OVERRIDE",M$24,"DEEP_PERIOD_OVERRIDE",$H$19)*1,"")))</f>
        <v/>
      </c>
      <c r="N234" t="str">
        <f>IF(OR(N$23="",ISNA($B234)),"",IF(ISBLANK($B234),"",IFERROR(_xll.BDP(TICKER,"DEEP_MEASURE_PERIOD_BROKER_VALUE","DEEP_MEASURE_ID_OVERRIDE",$C234,"DEEP_BROKER_ID_OVERRIDE",N$24,"DEEP_PERIOD_OVERRIDE",$H$19)*1,"")))</f>
        <v/>
      </c>
      <c r="O234" t="str">
        <f>IF(OR(O$23="",ISNA($B234)),"",IF(ISBLANK($B234),"",IFERROR(_xll.BDP(TICKER,"DEEP_MEASURE_PERIOD_BROKER_VALUE","DEEP_MEASURE_ID_OVERRIDE",$C234,"DEEP_BROKER_ID_OVERRIDE",O$24,"DEEP_PERIOD_OVERRIDE",$H$19)*1,"")))</f>
        <v/>
      </c>
      <c r="P234" t="str">
        <f>IF(OR(P$23="",ISNA($B234)),"",IF(ISBLANK($B234),"",IFERROR(_xll.BDP(TICKER,"DEEP_MEASURE_PERIOD_BROKER_VALUE","DEEP_MEASURE_ID_OVERRIDE",$C234,"DEEP_BROKER_ID_OVERRIDE",P$24,"DEEP_PERIOD_OVERRIDE",$H$19)*1,"")))</f>
        <v/>
      </c>
      <c r="Q234" t="str">
        <f>IF(OR(Q$23="",ISNA($B234)),"",IF(ISBLANK($B234),"",IFERROR(_xll.BDP(TICKER,"DEEP_MEASURE_PERIOD_BROKER_VALUE","DEEP_MEASURE_ID_OVERRIDE",$C234,"DEEP_BROKER_ID_OVERRIDE",Q$24,"DEEP_PERIOD_OVERRIDE",$H$19)*1,"")))</f>
        <v/>
      </c>
      <c r="R234" t="str">
        <f>IF(OR(R$23="",ISNA($B234)),"",IF(ISBLANK($B234),"",IFERROR(_xll.BDP(TICKER,"DEEP_MEASURE_PERIOD_BROKER_VALUE","DEEP_MEASURE_ID_OVERRIDE",$C234,"DEEP_BROKER_ID_OVERRIDE",R$24,"DEEP_PERIOD_OVERRIDE",$H$19)*1,"")))</f>
        <v/>
      </c>
      <c r="S234" t="str">
        <f>IF(OR(S$23="",ISNA($B234)),"",IF(ISBLANK($B234),"",IFERROR(_xll.BDP(TICKER,"DEEP_MEASURE_PERIOD_BROKER_VALUE","DEEP_MEASURE_ID_OVERRIDE",$C234,"DEEP_BROKER_ID_OVERRIDE",S$24,"DEEP_PERIOD_OVERRIDE",$H$19)*1,"")))</f>
        <v/>
      </c>
      <c r="T234" t="str">
        <f>IF(OR(T$23="",ISNA($B234)),"",IF(ISBLANK($B234),"",IFERROR(_xll.BDP(TICKER,"DEEP_MEASURE_PERIOD_BROKER_VALUE","DEEP_MEASURE_ID_OVERRIDE",$C234,"DEEP_BROKER_ID_OVERRIDE",T$24,"DEEP_PERIOD_OVERRIDE",$H$19)*1,"")))</f>
        <v/>
      </c>
      <c r="U234" t="str">
        <f>IF(OR(U$23="",ISNA($B234)),"",IF(ISBLANK($B234),"",IFERROR(_xll.BDP(TICKER,"DEEP_MEASURE_PERIOD_BROKER_VALUE","DEEP_MEASURE_ID_OVERRIDE",$C234,"DEEP_BROKER_ID_OVERRIDE",U$24,"DEEP_PERIOD_OVERRIDE",$H$19)*1,"")))</f>
        <v/>
      </c>
      <c r="V234" t="str">
        <f>IF(OR(V$23="",ISNA($B234)),"",IF(ISBLANK($B234),"",IFERROR(_xll.BDP(TICKER,"DEEP_MEASURE_PERIOD_BROKER_VALUE","DEEP_MEASURE_ID_OVERRIDE",$C234,"DEEP_BROKER_ID_OVERRIDE",V$24,"DEEP_PERIOD_OVERRIDE",$H$19)*1,"")))</f>
        <v/>
      </c>
      <c r="W234" t="str">
        <f>IF(OR(W$23="",ISNA($B234)),"",IF(ISBLANK($B234),"",IFERROR(_xll.BDP(TICKER,"DEEP_MEASURE_PERIOD_BROKER_VALUE","DEEP_MEASURE_ID_OVERRIDE",$C234,"DEEP_BROKER_ID_OVERRIDE",W$24,"DEEP_PERIOD_OVERRIDE",$H$19)*1,"")))</f>
        <v/>
      </c>
      <c r="X234" t="str">
        <f>IF(OR(X$23="",ISNA($B234)),"",IF(ISBLANK($B234),"",IFERROR(_xll.BDP(TICKER,"DEEP_MEASURE_PERIOD_BROKER_VALUE","DEEP_MEASURE_ID_OVERRIDE",$C234,"DEEP_BROKER_ID_OVERRIDE",X$24,"DEEP_PERIOD_OVERRIDE",$H$19)*1,"")))</f>
        <v/>
      </c>
      <c r="Y234" t="str">
        <f>IF(OR(Y$23="",ISNA($B234)),"",IF(ISBLANK($B234),"",IFERROR(_xll.BDP(TICKER,"DEEP_MEASURE_PERIOD_BROKER_VALUE","DEEP_MEASURE_ID_OVERRIDE",$C234,"DEEP_BROKER_ID_OVERRIDE",Y$24,"DEEP_PERIOD_OVERRIDE",$H$19)*1,"")))</f>
        <v/>
      </c>
      <c r="Z234" t="str">
        <f>IF(OR(Z$23="",ISNA($B234)),"",IF(ISBLANK($B234),"",IFERROR(_xll.BDP(TICKER,"DEEP_MEASURE_PERIOD_BROKER_VALUE","DEEP_MEASURE_ID_OVERRIDE",$C234,"DEEP_BROKER_ID_OVERRIDE",Z$24,"DEEP_PERIOD_OVERRIDE",$H$19)*1,"")))</f>
        <v/>
      </c>
      <c r="AA234" t="str">
        <f>IF(OR(AA$23="",ISNA($B234)),"",IF(ISBLANK($B234),"",IFERROR(_xll.BDP(TICKER,"DEEP_MEASURE_PERIOD_BROKER_VALUE","DEEP_MEASURE_ID_OVERRIDE",$C234,"DEEP_BROKER_ID_OVERRIDE",AA$24,"DEEP_PERIOD_OVERRIDE",$H$19)*1,"")))</f>
        <v/>
      </c>
      <c r="AB234" t="str">
        <f>IF(OR(AB$23="",ISNA($B234)),"",IF(ISBLANK($B234),"",IFERROR(_xll.BDP(TICKER,"DEEP_MEASURE_PERIOD_BROKER_VALUE","DEEP_MEASURE_ID_OVERRIDE",$C234,"DEEP_BROKER_ID_OVERRIDE",AB$24,"DEEP_PERIOD_OVERRIDE",$H$19)*1,"")))</f>
        <v/>
      </c>
      <c r="AC234" t="str">
        <f>IF(OR(AC$23="",ISNA($B234)),"",IF(ISBLANK($B234),"",IFERROR(_xll.BDP(TICKER,"DEEP_MEASURE_PERIOD_BROKER_VALUE","DEEP_MEASURE_ID_OVERRIDE",$C234,"DEEP_BROKER_ID_OVERRIDE",AC$24,"DEEP_PERIOD_OVERRIDE",$H$19)*1,"")))</f>
        <v/>
      </c>
      <c r="AD234" t="str">
        <f>IF(OR(AD$23="",ISNA($B234)),"",IF(ISBLANK($B234),"",IFERROR(_xll.BDP(TICKER,"DEEP_MEASURE_PERIOD_BROKER_VALUE","DEEP_MEASURE_ID_OVERRIDE",$C234,"DEEP_BROKER_ID_OVERRIDE",AD$24,"DEEP_PERIOD_OVERRIDE",$H$19)*1,"")))</f>
        <v/>
      </c>
      <c r="AE234" t="str">
        <f>IF(OR(AE$23="",ISNA($B234)),"",IF(ISBLANK($B234),"",IFERROR(_xll.BDP(TICKER,"DEEP_MEASURE_PERIOD_BROKER_VALUE","DEEP_MEASURE_ID_OVERRIDE",$C234,"DEEP_BROKER_ID_OVERRIDE",AE$24,"DEEP_PERIOD_OVERRIDE",$H$19)*1,"")))</f>
        <v/>
      </c>
      <c r="AF234" t="str">
        <f>IF(OR(AF$23="",ISNA($B234)),"",IF(ISBLANK($B234),"",IFERROR(_xll.BDP(TICKER,"DEEP_MEASURE_PERIOD_BROKER_VALUE","DEEP_MEASURE_ID_OVERRIDE",$C234,"DEEP_BROKER_ID_OVERRIDE",AF$24,"DEEP_PERIOD_OVERRIDE",$H$19)*1,"")))</f>
        <v/>
      </c>
      <c r="AG234" t="str">
        <f>IF(OR(AG$23="",ISNA($B234)),"",IF(ISBLANK($B234),"",IFERROR(_xll.BDP(TICKER,"DEEP_MEASURE_PERIOD_BROKER_VALUE","DEEP_MEASURE_ID_OVERRIDE",$C234,"DEEP_BROKER_ID_OVERRIDE",AG$24,"DEEP_PERIOD_OVERRIDE",$H$19)*1,"")))</f>
        <v/>
      </c>
      <c r="AH234" t="str">
        <f>IF(OR(AH$23="",ISNA($B234)),"",IF(ISBLANK($B234),"",IFERROR(_xll.BDP(TICKER,"DEEP_MEASURE_PERIOD_BROKER_VALUE","DEEP_MEASURE_ID_OVERRIDE",$C234,"DEEP_BROKER_ID_OVERRIDE",AH$24,"DEEP_PERIOD_OVERRIDE",$H$19)*1,"")))</f>
        <v/>
      </c>
      <c r="AI234" t="str">
        <f>IF(OR(AI$23="",ISNA($B234)),"",IF(ISBLANK($B234),"",IFERROR(_xll.BDP(TICKER,"DEEP_MEASURE_PERIOD_BROKER_VALUE","DEEP_MEASURE_ID_OVERRIDE",$C234,"DEEP_BROKER_ID_OVERRIDE",AI$24,"DEEP_PERIOD_OVERRIDE",$H$19)*1,"")))</f>
        <v/>
      </c>
      <c r="AJ234" t="str">
        <f>IF(OR(AJ$23="",ISNA($B234)),"",IF(ISBLANK($B234),"",IFERROR(_xll.BDP(TICKER,"DEEP_MEASURE_PERIOD_BROKER_VALUE","DEEP_MEASURE_ID_OVERRIDE",$C234,"DEEP_BROKER_ID_OVERRIDE",AJ$24,"DEEP_PERIOD_OVERRIDE",$H$19)*1,"")))</f>
        <v/>
      </c>
      <c r="AK234" t="str">
        <f>IF(OR(AK$23="",ISNA($B234)),"",IF(ISBLANK($B234),"",IFERROR(_xll.BDP(TICKER,"DEEP_MEASURE_PERIOD_BROKER_VALUE","DEEP_MEASURE_ID_OVERRIDE",$C234,"DEEP_BROKER_ID_OVERRIDE",AK$24,"DEEP_PERIOD_OVERRIDE",$H$19)*1,"")))</f>
        <v/>
      </c>
      <c r="AL234" t="str">
        <f>IF(OR(AL$23="",ISNA($B234)),"",IF(ISBLANK($B234),"",IFERROR(_xll.BDP(TICKER,"DEEP_MEASURE_PERIOD_BROKER_VALUE","DEEP_MEASURE_ID_OVERRIDE",$C234,"DEEP_BROKER_ID_OVERRIDE",AL$24,"DEEP_PERIOD_OVERRIDE",$H$19)*1,"")))</f>
        <v/>
      </c>
      <c r="AM234" t="str">
        <f>IF(OR(AM$23="",ISNA($B234)),"",IF(ISBLANK($B234),"",IFERROR(_xll.BDP(TICKER,"DEEP_MEASURE_PERIOD_BROKER_VALUE","DEEP_MEASURE_ID_OVERRIDE",$C234,"DEEP_BROKER_ID_OVERRIDE",AM$24,"DEEP_PERIOD_OVERRIDE",$H$19)*1,"")))</f>
        <v/>
      </c>
      <c r="AN234" t="str">
        <f>IF(OR(AN$23="",ISNA($B234)),"",IF(ISBLANK($B234),"",IFERROR(_xll.BDP(TICKER,"DEEP_MEASURE_PERIOD_BROKER_VALUE","DEEP_MEASURE_ID_OVERRIDE",$C234,"DEEP_BROKER_ID_OVERRIDE",AN$24,"DEEP_PERIOD_OVERRIDE",$H$19)*1,"")))</f>
        <v/>
      </c>
      <c r="AO234" t="str">
        <f>IF(OR(AO$23="",ISNA($B234)),"",IF(ISBLANK($B234),"",IFERROR(_xll.BDP(TICKER,"DEEP_MEASURE_PERIOD_BROKER_VALUE","DEEP_MEASURE_ID_OVERRIDE",$C234,"DEEP_BROKER_ID_OVERRIDE",AO$24,"DEEP_PERIOD_OVERRIDE",$H$19)*1,"")))</f>
        <v/>
      </c>
      <c r="AP234" t="str">
        <f>IF(OR(AP$23="",ISNA($B234)),"",IF(ISBLANK($B234),"",IFERROR(_xll.BDP(TICKER,"DEEP_MEASURE_PERIOD_BROKER_VALUE","DEEP_MEASURE_ID_OVERRIDE",$C234,"DEEP_BROKER_ID_OVERRIDE",AP$24,"DEEP_PERIOD_OVERRIDE",$H$19)*1,"")))</f>
        <v/>
      </c>
      <c r="AQ234" t="str">
        <f>IF(OR(AQ$23="",ISNA($B234)),"",IF(ISBLANK($B234),"",IFERROR(_xll.BDP(TICKER,"DEEP_MEASURE_PERIOD_BROKER_VALUE","DEEP_MEASURE_ID_OVERRIDE",$C234,"DEEP_BROKER_ID_OVERRIDE",AQ$24,"DEEP_PERIOD_OVERRIDE",$H$19)*1,"")))</f>
        <v/>
      </c>
      <c r="AR234" t="str">
        <f>IF(OR(AR$23="",ISNA($B234)),"",IF(ISBLANK($B234),"",IFERROR(_xll.BDP(TICKER,"DEEP_MEASURE_PERIOD_BROKER_VALUE","DEEP_MEASURE_ID_OVERRIDE",$C234,"DEEP_BROKER_ID_OVERRIDE",AR$24,"DEEP_PERIOD_OVERRIDE",$H$19)*1,"")))</f>
        <v/>
      </c>
      <c r="AS234" t="str">
        <f>IF(OR(AS$23="",ISNA($B234)),"",IF(ISBLANK($B234),"",IFERROR(_xll.BDP(TICKER,"DEEP_MEASURE_PERIOD_BROKER_VALUE","DEEP_MEASURE_ID_OVERRIDE",$C234,"DEEP_BROKER_ID_OVERRIDE",AS$24,"DEEP_PERIOD_OVERRIDE",$H$19)*1,"")))</f>
        <v/>
      </c>
      <c r="AT234" t="str">
        <f>IF(OR(AT$23="",ISNA($B234)),"",IF(ISBLANK($B234),"",IFERROR(_xll.BDP(TICKER,"DEEP_MEASURE_PERIOD_BROKER_VALUE","DEEP_MEASURE_ID_OVERRIDE",$C234,"DEEP_BROKER_ID_OVERRIDE",AT$24,"DEEP_PERIOD_OVERRIDE",$H$19)*1,"")))</f>
        <v/>
      </c>
      <c r="AU234" t="str">
        <f>IF(OR(AU$23="",ISNA($B234)),"",IF(ISBLANK($B234),"",IFERROR(_xll.BDP(TICKER,"DEEP_MEASURE_PERIOD_BROKER_VALUE","DEEP_MEASURE_ID_OVERRIDE",$C234,"DEEP_BROKER_ID_OVERRIDE",AU$24,"DEEP_PERIOD_OVERRIDE",$H$19)*1,"")))</f>
        <v/>
      </c>
      <c r="AV234" t="str">
        <f>IF(OR(AV$23="",ISNA($B234)),"",IF(ISBLANK($B234),"",IFERROR(_xll.BDP(TICKER,"DEEP_MEASURE_PERIOD_BROKER_VALUE","DEEP_MEASURE_ID_OVERRIDE",$C234,"DEEP_BROKER_ID_OVERRIDE",AV$24,"DEEP_PERIOD_OVERRIDE",$H$19)*1,"")))</f>
        <v/>
      </c>
      <c r="AW234" t="str">
        <f>IF(OR(AW$23="",ISNA($B234)),"",IF(ISBLANK($B234),"",IFERROR(_xll.BDP(TICKER,"DEEP_MEASURE_PERIOD_BROKER_VALUE","DEEP_MEASURE_ID_OVERRIDE",$C234,"DEEP_BROKER_ID_OVERRIDE",AW$24,"DEEP_PERIOD_OVERRIDE",$H$19)*1,"")))</f>
        <v/>
      </c>
      <c r="AX234" t="str">
        <f>IF(OR(AX$23="",ISNA($B234)),"",IF(ISBLANK($B234),"",IFERROR(_xll.BDP(TICKER,"DEEP_MEASURE_PERIOD_BROKER_VALUE","DEEP_MEASURE_ID_OVERRIDE",$C234,"DEEP_BROKER_ID_OVERRIDE",AX$24,"DEEP_PERIOD_OVERRIDE",$H$19)*1,"")))</f>
        <v/>
      </c>
      <c r="AY234" t="str">
        <f>IF(OR(AY$23="",ISNA($B234)),"",IF(ISBLANK($B234),"",IFERROR(_xll.BDP(TICKER,"DEEP_MEASURE_PERIOD_BROKER_VALUE","DEEP_MEASURE_ID_OVERRIDE",$C234,"DEEP_BROKER_ID_OVERRIDE",AY$24,"DEEP_PERIOD_OVERRIDE",$H$19)*1,"")))</f>
        <v/>
      </c>
      <c r="AZ234" t="str">
        <f>IF(OR(AZ$23="",ISNA($B234)),"",IF(ISBLANK($B234),"",IFERROR(_xll.BDP(TICKER,"DEEP_MEASURE_PERIOD_BROKER_VALUE","DEEP_MEASURE_ID_OVERRIDE",$C234,"DEEP_BROKER_ID_OVERRIDE",AZ$24,"DEEP_PERIOD_OVERRIDE",$H$19)*1,"")))</f>
        <v/>
      </c>
      <c r="BA234" t="str">
        <f>IF(OR(BA$23="",ISNA($B234)),"",IF(ISBLANK($B234),"",IFERROR(_xll.BDP(TICKER,"DEEP_MEASURE_PERIOD_BROKER_VALUE","DEEP_MEASURE_ID_OVERRIDE",$C234,"DEEP_BROKER_ID_OVERRIDE",BA$24,"DEEP_PERIOD_OVERRIDE",$H$19)*1,"")))</f>
        <v/>
      </c>
      <c r="BB234" t="str">
        <f>IF(OR(BB$23="",ISNA($B234)),"",IF(ISBLANK($B234),"",IFERROR(_xll.BDP(TICKER,"DEEP_MEASURE_PERIOD_BROKER_VALUE","DEEP_MEASURE_ID_OVERRIDE",$C234,"DEEP_BROKER_ID_OVERRIDE",BB$24,"DEEP_PERIOD_OVERRIDE",$H$19)*1,"")))</f>
        <v/>
      </c>
      <c r="BC234" t="str">
        <f>IF(OR(BC$23="",ISNA($B234)),"",IF(ISBLANK($B234),"",IFERROR(_xll.BDP(TICKER,"DEEP_MEASURE_PERIOD_BROKER_VALUE","DEEP_MEASURE_ID_OVERRIDE",$C234,"DEEP_BROKER_ID_OVERRIDE",BC$24,"DEEP_PERIOD_OVERRIDE",$H$19)*1,"")))</f>
        <v/>
      </c>
      <c r="BD234" t="str">
        <f>IF(OR(BD$23="",ISNA($B234)),"",IF(ISBLANK($B234),"",IFERROR(_xll.BDP(TICKER,"DEEP_MEASURE_PERIOD_BROKER_VALUE","DEEP_MEASURE_ID_OVERRIDE",$C234,"DEEP_BROKER_ID_OVERRIDE",BD$24,"DEEP_PERIOD_OVERRIDE",$H$19)*1,"")))</f>
        <v/>
      </c>
      <c r="BE234" t="str">
        <f>IF(OR(BE$23="",ISNA($B234)),"",IF(ISBLANK($B234),"",IFERROR(_xll.BDP(TICKER,"DEEP_MEASURE_PERIOD_BROKER_VALUE","DEEP_MEASURE_ID_OVERRIDE",$C234,"DEEP_BROKER_ID_OVERRIDE",BE$24,"DEEP_PERIOD_OVERRIDE",$H$19)*1,"")))</f>
        <v/>
      </c>
      <c r="BF234" t="str">
        <f>IF(OR(BF$23="",ISNA($B234)),"",IF(ISBLANK($B234),"",IFERROR(_xll.BDP(TICKER,"DEEP_MEASURE_PERIOD_BROKER_VALUE","DEEP_MEASURE_ID_OVERRIDE",$C234,"DEEP_BROKER_ID_OVERRIDE",BF$24,"DEEP_PERIOD_OVERRIDE",$H$19)*1,"")))</f>
        <v/>
      </c>
      <c r="BG234" t="str">
        <f>IF(OR(BG$23="",ISNA($B234)),"",IF(ISBLANK($B234),"",IFERROR(_xll.BDP(TICKER,"DEEP_MEASURE_PERIOD_BROKER_VALUE","DEEP_MEASURE_ID_OVERRIDE",$C234,"DEEP_BROKER_ID_OVERRIDE",BG$24,"DEEP_PERIOD_OVERRIDE",$H$19)*1,"")))</f>
        <v/>
      </c>
      <c r="BH234" t="str">
        <f>IF(OR(BH$23="",ISNA($B234)),"",IF(ISBLANK($B234),"",IFERROR(_xll.BDP(TICKER,"DEEP_MEASURE_PERIOD_BROKER_VALUE","DEEP_MEASURE_ID_OVERRIDE",$C234,"DEEP_BROKER_ID_OVERRIDE",BH$24,"DEEP_PERIOD_OVERRIDE",$H$19)*1,"")))</f>
        <v/>
      </c>
      <c r="BI234" t="str">
        <f>IF(OR(BI$23="",ISNA($B234)),"",IF(ISBLANK($B234),"",IFERROR(_xll.BDP(TICKER,"DEEP_MEASURE_PERIOD_BROKER_VALUE","DEEP_MEASURE_ID_OVERRIDE",$C234,"DEEP_BROKER_ID_OVERRIDE",BI$24,"DEEP_PERIOD_OVERRIDE",$H$19)*1,"")))</f>
        <v/>
      </c>
      <c r="BJ234" t="str">
        <f>IF(OR(BJ$23="",ISNA($B234)),"",IF(ISBLANK($B234),"",IFERROR(_xll.BDP(TICKER,"DEEP_MEASURE_PERIOD_BROKER_VALUE","DEEP_MEASURE_ID_OVERRIDE",$C234,"DEEP_BROKER_ID_OVERRIDE",BJ$24,"DEEP_PERIOD_OVERRIDE",$H$19)*1,"")))</f>
        <v/>
      </c>
      <c r="BK234" t="str">
        <f>IF(OR(BK$23="",ISNA($B234)),"",IF(ISBLANK($B234),"",IFERROR(_xll.BDP(TICKER,"DEEP_MEASURE_PERIOD_BROKER_VALUE","DEEP_MEASURE_ID_OVERRIDE",$C234,"DEEP_BROKER_ID_OVERRIDE",BK$24,"DEEP_PERIOD_OVERRIDE",$H$19)*1,"")))</f>
        <v/>
      </c>
      <c r="BL234" t="str">
        <f>IF(OR(BL$23="",ISNA($B234)),"",IF(ISBLANK($B234),"",IFERROR(_xll.BDP(TICKER,"DEEP_MEASURE_PERIOD_BROKER_VALUE","DEEP_MEASURE_ID_OVERRIDE",$C234,"DEEP_BROKER_ID_OVERRIDE",BL$24,"DEEP_PERIOD_OVERRIDE",$H$19)*1,"")))</f>
        <v/>
      </c>
      <c r="BM234" t="str">
        <f>IF(OR(BM$23="",ISNA($B234)),"",IF(ISBLANK($B234),"",IFERROR(_xll.BDP(TICKER,"DEEP_MEASURE_PERIOD_BROKER_VALUE","DEEP_MEASURE_ID_OVERRIDE",$C234,"DEEP_BROKER_ID_OVERRIDE",BM$24,"DEEP_PERIOD_OVERRIDE",$H$19)*1,"")))</f>
        <v/>
      </c>
      <c r="BN234" t="str">
        <f>IF(OR(BN$23="",ISNA($B234)),"",IF(ISBLANK($B234),"",IFERROR(_xll.BDP(TICKER,"DEEP_MEASURE_PERIOD_BROKER_VALUE","DEEP_MEASURE_ID_OVERRIDE",$C234,"DEEP_BROKER_ID_OVERRIDE",BN$24,"DEEP_PERIOD_OVERRIDE",$H$19)*1,"")))</f>
        <v/>
      </c>
      <c r="BO234" t="str">
        <f>IF(OR(BO$23="",ISNA($B234)),"",IF(ISBLANK($B234),"",IFERROR(_xll.BDP(TICKER,"DEEP_MEASURE_PERIOD_BROKER_VALUE","DEEP_MEASURE_ID_OVERRIDE",$C234,"DEEP_BROKER_ID_OVERRIDE",BO$24,"DEEP_PERIOD_OVERRIDE",$H$19)*1,"")))</f>
        <v/>
      </c>
      <c r="BP234" t="str">
        <f>IF(OR(BP$23="",ISNA($B234)),"",IF(ISBLANK($B234),"",IFERROR(_xll.BDP(TICKER,"DEEP_MEASURE_PERIOD_BROKER_VALUE","DEEP_MEASURE_ID_OVERRIDE",$C234,"DEEP_BROKER_ID_OVERRIDE",BP$24,"DEEP_PERIOD_OVERRIDE",$H$19)*1,"")))</f>
        <v/>
      </c>
      <c r="BQ234" t="str">
        <f>IF(OR(BQ$23="",ISNA($B234)),"",IF(ISBLANK($B234),"",IFERROR(_xll.BDP(TICKER,"DEEP_MEASURE_PERIOD_BROKER_VALUE","DEEP_MEASURE_ID_OVERRIDE",$C234,"DEEP_BROKER_ID_OVERRIDE",BQ$24,"DEEP_PERIOD_OVERRIDE",$H$19)*1,"")))</f>
        <v/>
      </c>
      <c r="BR234" t="str">
        <f>IF(OR(BR$23="",ISNA($B234)),"",IF(ISBLANK($B234),"",IFERROR(_xll.BDP(TICKER,"DEEP_MEASURE_PERIOD_BROKER_VALUE","DEEP_MEASURE_ID_OVERRIDE",$C234,"DEEP_BROKER_ID_OVERRIDE",BR$24,"DEEP_PERIOD_OVERRIDE",$H$19)*1,"")))</f>
        <v/>
      </c>
      <c r="BS234" t="str">
        <f>IF(OR(BS$23="",ISNA($B234)),"",IF(ISBLANK($B234),"",IFERROR(_xll.BDP(TICKER,"DEEP_MEASURE_PERIOD_BROKER_VALUE","DEEP_MEASURE_ID_OVERRIDE",$C234,"DEEP_BROKER_ID_OVERRIDE",BS$24,"DEEP_PERIOD_OVERRIDE",$H$19)*1,"")))</f>
        <v/>
      </c>
      <c r="BT234" t="str">
        <f>IF(OR(BT$23="",ISNA($B234)),"",IF(ISBLANK($B234),"",IFERROR(_xll.BDP(TICKER,"DEEP_MEASURE_PERIOD_BROKER_VALUE","DEEP_MEASURE_ID_OVERRIDE",$C234,"DEEP_BROKER_ID_OVERRIDE",BT$24,"DEEP_PERIOD_OVERRIDE",$H$19)*1,"")))</f>
        <v/>
      </c>
      <c r="BU234" t="str">
        <f>IF(OR(BU$23="",ISNA($B234)),"",IF(ISBLANK($B234),"",IFERROR(_xll.BDP(TICKER,"DEEP_MEASURE_PERIOD_BROKER_VALUE","DEEP_MEASURE_ID_OVERRIDE",$C234,"DEEP_BROKER_ID_OVERRIDE",BU$24,"DEEP_PERIOD_OVERRIDE",$H$19)*1,"")))</f>
        <v/>
      </c>
      <c r="BV234" t="str">
        <f>IF(OR(BV$23="",ISNA($B234)),"",IF(ISBLANK($B234),"",IFERROR(_xll.BDP(TICKER,"DEEP_MEASURE_PERIOD_BROKER_VALUE","DEEP_MEASURE_ID_OVERRIDE",$C234,"DEEP_BROKER_ID_OVERRIDE",BV$24,"DEEP_PERIOD_OVERRIDE",$H$19)*1,"")))</f>
        <v/>
      </c>
      <c r="BW234" t="str">
        <f>IF(OR(BW$23="",ISNA($B234)),"",IF(ISBLANK($B234),"",IFERROR(_xll.BDP(TICKER,"DEEP_MEASURE_PERIOD_BROKER_VALUE","DEEP_MEASURE_ID_OVERRIDE",$C234,"DEEP_BROKER_ID_OVERRIDE",BW$24,"DEEP_PERIOD_OVERRIDE",$H$19)*1,"")))</f>
        <v/>
      </c>
      <c r="BX234" t="str">
        <f>IF(OR(BX$23="",ISNA($B234)),"",IF(ISBLANK($B234),"",IFERROR(_xll.BDP(TICKER,"DEEP_MEASURE_PERIOD_BROKER_VALUE","DEEP_MEASURE_ID_OVERRIDE",$C234,"DEEP_BROKER_ID_OVERRIDE",BX$24,"DEEP_PERIOD_OVERRIDE",$H$19)*1,"")))</f>
        <v/>
      </c>
      <c r="BY234" t="str">
        <f>IF(OR(BY$23="",ISNA($B234)),"",IF(ISBLANK($B234),"",IFERROR(_xll.BDP(TICKER,"DEEP_MEASURE_PERIOD_BROKER_VALUE","DEEP_MEASURE_ID_OVERRIDE",$C234,"DEEP_BROKER_ID_OVERRIDE",BY$24,"DEEP_PERIOD_OVERRIDE",$H$19)*1,"")))</f>
        <v/>
      </c>
      <c r="BZ234" t="str">
        <f>IF(OR(BZ$23="",ISNA($B234)),"",IF(ISBLANK($B234),"",IFERROR(_xll.BDP(TICKER,"DEEP_MEASURE_PERIOD_BROKER_VALUE","DEEP_MEASURE_ID_OVERRIDE",$C234,"DEEP_BROKER_ID_OVERRIDE",BZ$24,"DEEP_PERIOD_OVERRIDE",$H$19)*1,"")))</f>
        <v/>
      </c>
    </row>
    <row r="235" spans="8:78" x14ac:dyDescent="0.25">
      <c r="H235" t="str">
        <f t="shared" si="4"/>
        <v/>
      </c>
      <c r="I235" t="str">
        <f>IF(OR(I$23="",ISNA($B235)),"",IF(ISBLANK($B235),"",IFERROR(_xll.BDP(TICKER,"DEEP_MEASURE_PERIOD_BROKER_VALUE","DEEP_MEASURE_ID_OVERRIDE",$C235,"DEEP_PERIOD_OVERRIDE",$H$19)*1,"")))</f>
        <v/>
      </c>
      <c r="J235" t="e">
        <f>IF(OR(J$23="",ISNA($B235)),"",IF(ISBLANK($B235),"",IFERROR(_xll.BDP(TICKER,"DEEP_MEASURE_PERIOD_BROKER_VALUE","DEEP_MEASURE_ID_OVERRIDE",$C235,"DEEP_BROKER_ID_OVERRIDE",J$24,"DEEP_PERIOD_OVERRIDE",$H$19)*1,"")))</f>
        <v>#REF!</v>
      </c>
      <c r="K235" t="str">
        <f>IF(OR(K$23="",ISNA($B235)),"",IF(ISBLANK($B235),"",IFERROR(_xll.BDP(TICKER,"DEEP_MEASURE_PERIOD_BROKER_VALUE","DEEP_MEASURE_ID_OVERRIDE",$C235,"DEEP_BROKER_ID_OVERRIDE",K$24,"DEEP_PERIOD_OVERRIDE",$H$19)*1,"")))</f>
        <v/>
      </c>
      <c r="L235" t="str">
        <f>IF(OR(L$23="",ISNA($B235)),"",IF(ISBLANK($B235),"",IFERROR(_xll.BDP(TICKER,"DEEP_MEASURE_PERIOD_BROKER_VALUE","DEEP_MEASURE_ID_OVERRIDE",$C235,"DEEP_BROKER_ID_OVERRIDE",L$24,"DEEP_PERIOD_OVERRIDE",$H$19)*1,"")))</f>
        <v/>
      </c>
      <c r="M235" t="str">
        <f>IF(OR(M$23="",ISNA($B235)),"",IF(ISBLANK($B235),"",IFERROR(_xll.BDP(TICKER,"DEEP_MEASURE_PERIOD_BROKER_VALUE","DEEP_MEASURE_ID_OVERRIDE",$C235,"DEEP_BROKER_ID_OVERRIDE",M$24,"DEEP_PERIOD_OVERRIDE",$H$19)*1,"")))</f>
        <v/>
      </c>
      <c r="N235" t="str">
        <f>IF(OR(N$23="",ISNA($B235)),"",IF(ISBLANK($B235),"",IFERROR(_xll.BDP(TICKER,"DEEP_MEASURE_PERIOD_BROKER_VALUE","DEEP_MEASURE_ID_OVERRIDE",$C235,"DEEP_BROKER_ID_OVERRIDE",N$24,"DEEP_PERIOD_OVERRIDE",$H$19)*1,"")))</f>
        <v/>
      </c>
      <c r="O235" t="str">
        <f>IF(OR(O$23="",ISNA($B235)),"",IF(ISBLANK($B235),"",IFERROR(_xll.BDP(TICKER,"DEEP_MEASURE_PERIOD_BROKER_VALUE","DEEP_MEASURE_ID_OVERRIDE",$C235,"DEEP_BROKER_ID_OVERRIDE",O$24,"DEEP_PERIOD_OVERRIDE",$H$19)*1,"")))</f>
        <v/>
      </c>
      <c r="P235" t="str">
        <f>IF(OR(P$23="",ISNA($B235)),"",IF(ISBLANK($B235),"",IFERROR(_xll.BDP(TICKER,"DEEP_MEASURE_PERIOD_BROKER_VALUE","DEEP_MEASURE_ID_OVERRIDE",$C235,"DEEP_BROKER_ID_OVERRIDE",P$24,"DEEP_PERIOD_OVERRIDE",$H$19)*1,"")))</f>
        <v/>
      </c>
      <c r="Q235" t="str">
        <f>IF(OR(Q$23="",ISNA($B235)),"",IF(ISBLANK($B235),"",IFERROR(_xll.BDP(TICKER,"DEEP_MEASURE_PERIOD_BROKER_VALUE","DEEP_MEASURE_ID_OVERRIDE",$C235,"DEEP_BROKER_ID_OVERRIDE",Q$24,"DEEP_PERIOD_OVERRIDE",$H$19)*1,"")))</f>
        <v/>
      </c>
      <c r="R235" t="str">
        <f>IF(OR(R$23="",ISNA($B235)),"",IF(ISBLANK($B235),"",IFERROR(_xll.BDP(TICKER,"DEEP_MEASURE_PERIOD_BROKER_VALUE","DEEP_MEASURE_ID_OVERRIDE",$C235,"DEEP_BROKER_ID_OVERRIDE",R$24,"DEEP_PERIOD_OVERRIDE",$H$19)*1,"")))</f>
        <v/>
      </c>
      <c r="S235" t="str">
        <f>IF(OR(S$23="",ISNA($B235)),"",IF(ISBLANK($B235),"",IFERROR(_xll.BDP(TICKER,"DEEP_MEASURE_PERIOD_BROKER_VALUE","DEEP_MEASURE_ID_OVERRIDE",$C235,"DEEP_BROKER_ID_OVERRIDE",S$24,"DEEP_PERIOD_OVERRIDE",$H$19)*1,"")))</f>
        <v/>
      </c>
      <c r="T235" t="str">
        <f>IF(OR(T$23="",ISNA($B235)),"",IF(ISBLANK($B235),"",IFERROR(_xll.BDP(TICKER,"DEEP_MEASURE_PERIOD_BROKER_VALUE","DEEP_MEASURE_ID_OVERRIDE",$C235,"DEEP_BROKER_ID_OVERRIDE",T$24,"DEEP_PERIOD_OVERRIDE",$H$19)*1,"")))</f>
        <v/>
      </c>
      <c r="U235" t="str">
        <f>IF(OR(U$23="",ISNA($B235)),"",IF(ISBLANK($B235),"",IFERROR(_xll.BDP(TICKER,"DEEP_MEASURE_PERIOD_BROKER_VALUE","DEEP_MEASURE_ID_OVERRIDE",$C235,"DEEP_BROKER_ID_OVERRIDE",U$24,"DEEP_PERIOD_OVERRIDE",$H$19)*1,"")))</f>
        <v/>
      </c>
      <c r="V235" t="str">
        <f>IF(OR(V$23="",ISNA($B235)),"",IF(ISBLANK($B235),"",IFERROR(_xll.BDP(TICKER,"DEEP_MEASURE_PERIOD_BROKER_VALUE","DEEP_MEASURE_ID_OVERRIDE",$C235,"DEEP_BROKER_ID_OVERRIDE",V$24,"DEEP_PERIOD_OVERRIDE",$H$19)*1,"")))</f>
        <v/>
      </c>
      <c r="W235" t="str">
        <f>IF(OR(W$23="",ISNA($B235)),"",IF(ISBLANK($B235),"",IFERROR(_xll.BDP(TICKER,"DEEP_MEASURE_PERIOD_BROKER_VALUE","DEEP_MEASURE_ID_OVERRIDE",$C235,"DEEP_BROKER_ID_OVERRIDE",W$24,"DEEP_PERIOD_OVERRIDE",$H$19)*1,"")))</f>
        <v/>
      </c>
      <c r="X235" t="str">
        <f>IF(OR(X$23="",ISNA($B235)),"",IF(ISBLANK($B235),"",IFERROR(_xll.BDP(TICKER,"DEEP_MEASURE_PERIOD_BROKER_VALUE","DEEP_MEASURE_ID_OVERRIDE",$C235,"DEEP_BROKER_ID_OVERRIDE",X$24,"DEEP_PERIOD_OVERRIDE",$H$19)*1,"")))</f>
        <v/>
      </c>
      <c r="Y235" t="str">
        <f>IF(OR(Y$23="",ISNA($B235)),"",IF(ISBLANK($B235),"",IFERROR(_xll.BDP(TICKER,"DEEP_MEASURE_PERIOD_BROKER_VALUE","DEEP_MEASURE_ID_OVERRIDE",$C235,"DEEP_BROKER_ID_OVERRIDE",Y$24,"DEEP_PERIOD_OVERRIDE",$H$19)*1,"")))</f>
        <v/>
      </c>
      <c r="Z235" t="str">
        <f>IF(OR(Z$23="",ISNA($B235)),"",IF(ISBLANK($B235),"",IFERROR(_xll.BDP(TICKER,"DEEP_MEASURE_PERIOD_BROKER_VALUE","DEEP_MEASURE_ID_OVERRIDE",$C235,"DEEP_BROKER_ID_OVERRIDE",Z$24,"DEEP_PERIOD_OVERRIDE",$H$19)*1,"")))</f>
        <v/>
      </c>
      <c r="AA235" t="str">
        <f>IF(OR(AA$23="",ISNA($B235)),"",IF(ISBLANK($B235),"",IFERROR(_xll.BDP(TICKER,"DEEP_MEASURE_PERIOD_BROKER_VALUE","DEEP_MEASURE_ID_OVERRIDE",$C235,"DEEP_BROKER_ID_OVERRIDE",AA$24,"DEEP_PERIOD_OVERRIDE",$H$19)*1,"")))</f>
        <v/>
      </c>
      <c r="AB235" t="str">
        <f>IF(OR(AB$23="",ISNA($B235)),"",IF(ISBLANK($B235),"",IFERROR(_xll.BDP(TICKER,"DEEP_MEASURE_PERIOD_BROKER_VALUE","DEEP_MEASURE_ID_OVERRIDE",$C235,"DEEP_BROKER_ID_OVERRIDE",AB$24,"DEEP_PERIOD_OVERRIDE",$H$19)*1,"")))</f>
        <v/>
      </c>
      <c r="AC235" t="str">
        <f>IF(OR(AC$23="",ISNA($B235)),"",IF(ISBLANK($B235),"",IFERROR(_xll.BDP(TICKER,"DEEP_MEASURE_PERIOD_BROKER_VALUE","DEEP_MEASURE_ID_OVERRIDE",$C235,"DEEP_BROKER_ID_OVERRIDE",AC$24,"DEEP_PERIOD_OVERRIDE",$H$19)*1,"")))</f>
        <v/>
      </c>
      <c r="AD235" t="str">
        <f>IF(OR(AD$23="",ISNA($B235)),"",IF(ISBLANK($B235),"",IFERROR(_xll.BDP(TICKER,"DEEP_MEASURE_PERIOD_BROKER_VALUE","DEEP_MEASURE_ID_OVERRIDE",$C235,"DEEP_BROKER_ID_OVERRIDE",AD$24,"DEEP_PERIOD_OVERRIDE",$H$19)*1,"")))</f>
        <v/>
      </c>
      <c r="AE235" t="str">
        <f>IF(OR(AE$23="",ISNA($B235)),"",IF(ISBLANK($B235),"",IFERROR(_xll.BDP(TICKER,"DEEP_MEASURE_PERIOD_BROKER_VALUE","DEEP_MEASURE_ID_OVERRIDE",$C235,"DEEP_BROKER_ID_OVERRIDE",AE$24,"DEEP_PERIOD_OVERRIDE",$H$19)*1,"")))</f>
        <v/>
      </c>
      <c r="AF235" t="str">
        <f>IF(OR(AF$23="",ISNA($B235)),"",IF(ISBLANK($B235),"",IFERROR(_xll.BDP(TICKER,"DEEP_MEASURE_PERIOD_BROKER_VALUE","DEEP_MEASURE_ID_OVERRIDE",$C235,"DEEP_BROKER_ID_OVERRIDE",AF$24,"DEEP_PERIOD_OVERRIDE",$H$19)*1,"")))</f>
        <v/>
      </c>
      <c r="AG235" t="str">
        <f>IF(OR(AG$23="",ISNA($B235)),"",IF(ISBLANK($B235),"",IFERROR(_xll.BDP(TICKER,"DEEP_MEASURE_PERIOD_BROKER_VALUE","DEEP_MEASURE_ID_OVERRIDE",$C235,"DEEP_BROKER_ID_OVERRIDE",AG$24,"DEEP_PERIOD_OVERRIDE",$H$19)*1,"")))</f>
        <v/>
      </c>
      <c r="AH235" t="str">
        <f>IF(OR(AH$23="",ISNA($B235)),"",IF(ISBLANK($B235),"",IFERROR(_xll.BDP(TICKER,"DEEP_MEASURE_PERIOD_BROKER_VALUE","DEEP_MEASURE_ID_OVERRIDE",$C235,"DEEP_BROKER_ID_OVERRIDE",AH$24,"DEEP_PERIOD_OVERRIDE",$H$19)*1,"")))</f>
        <v/>
      </c>
      <c r="AI235" t="str">
        <f>IF(OR(AI$23="",ISNA($B235)),"",IF(ISBLANK($B235),"",IFERROR(_xll.BDP(TICKER,"DEEP_MEASURE_PERIOD_BROKER_VALUE","DEEP_MEASURE_ID_OVERRIDE",$C235,"DEEP_BROKER_ID_OVERRIDE",AI$24,"DEEP_PERIOD_OVERRIDE",$H$19)*1,"")))</f>
        <v/>
      </c>
      <c r="AJ235" t="str">
        <f>IF(OR(AJ$23="",ISNA($B235)),"",IF(ISBLANK($B235),"",IFERROR(_xll.BDP(TICKER,"DEEP_MEASURE_PERIOD_BROKER_VALUE","DEEP_MEASURE_ID_OVERRIDE",$C235,"DEEP_BROKER_ID_OVERRIDE",AJ$24,"DEEP_PERIOD_OVERRIDE",$H$19)*1,"")))</f>
        <v/>
      </c>
      <c r="AK235" t="str">
        <f>IF(OR(AK$23="",ISNA($B235)),"",IF(ISBLANK($B235),"",IFERROR(_xll.BDP(TICKER,"DEEP_MEASURE_PERIOD_BROKER_VALUE","DEEP_MEASURE_ID_OVERRIDE",$C235,"DEEP_BROKER_ID_OVERRIDE",AK$24,"DEEP_PERIOD_OVERRIDE",$H$19)*1,"")))</f>
        <v/>
      </c>
      <c r="AL235" t="str">
        <f>IF(OR(AL$23="",ISNA($B235)),"",IF(ISBLANK($B235),"",IFERROR(_xll.BDP(TICKER,"DEEP_MEASURE_PERIOD_BROKER_VALUE","DEEP_MEASURE_ID_OVERRIDE",$C235,"DEEP_BROKER_ID_OVERRIDE",AL$24,"DEEP_PERIOD_OVERRIDE",$H$19)*1,"")))</f>
        <v/>
      </c>
      <c r="AM235" t="str">
        <f>IF(OR(AM$23="",ISNA($B235)),"",IF(ISBLANK($B235),"",IFERROR(_xll.BDP(TICKER,"DEEP_MEASURE_PERIOD_BROKER_VALUE","DEEP_MEASURE_ID_OVERRIDE",$C235,"DEEP_BROKER_ID_OVERRIDE",AM$24,"DEEP_PERIOD_OVERRIDE",$H$19)*1,"")))</f>
        <v/>
      </c>
      <c r="AN235" t="str">
        <f>IF(OR(AN$23="",ISNA($B235)),"",IF(ISBLANK($B235),"",IFERROR(_xll.BDP(TICKER,"DEEP_MEASURE_PERIOD_BROKER_VALUE","DEEP_MEASURE_ID_OVERRIDE",$C235,"DEEP_BROKER_ID_OVERRIDE",AN$24,"DEEP_PERIOD_OVERRIDE",$H$19)*1,"")))</f>
        <v/>
      </c>
      <c r="AO235" t="str">
        <f>IF(OR(AO$23="",ISNA($B235)),"",IF(ISBLANK($B235),"",IFERROR(_xll.BDP(TICKER,"DEEP_MEASURE_PERIOD_BROKER_VALUE","DEEP_MEASURE_ID_OVERRIDE",$C235,"DEEP_BROKER_ID_OVERRIDE",AO$24,"DEEP_PERIOD_OVERRIDE",$H$19)*1,"")))</f>
        <v/>
      </c>
      <c r="AP235" t="str">
        <f>IF(OR(AP$23="",ISNA($B235)),"",IF(ISBLANK($B235),"",IFERROR(_xll.BDP(TICKER,"DEEP_MEASURE_PERIOD_BROKER_VALUE","DEEP_MEASURE_ID_OVERRIDE",$C235,"DEEP_BROKER_ID_OVERRIDE",AP$24,"DEEP_PERIOD_OVERRIDE",$H$19)*1,"")))</f>
        <v/>
      </c>
      <c r="AQ235" t="str">
        <f>IF(OR(AQ$23="",ISNA($B235)),"",IF(ISBLANK($B235),"",IFERROR(_xll.BDP(TICKER,"DEEP_MEASURE_PERIOD_BROKER_VALUE","DEEP_MEASURE_ID_OVERRIDE",$C235,"DEEP_BROKER_ID_OVERRIDE",AQ$24,"DEEP_PERIOD_OVERRIDE",$H$19)*1,"")))</f>
        <v/>
      </c>
      <c r="AR235" t="str">
        <f>IF(OR(AR$23="",ISNA($B235)),"",IF(ISBLANK($B235),"",IFERROR(_xll.BDP(TICKER,"DEEP_MEASURE_PERIOD_BROKER_VALUE","DEEP_MEASURE_ID_OVERRIDE",$C235,"DEEP_BROKER_ID_OVERRIDE",AR$24,"DEEP_PERIOD_OVERRIDE",$H$19)*1,"")))</f>
        <v/>
      </c>
      <c r="AS235" t="str">
        <f>IF(OR(AS$23="",ISNA($B235)),"",IF(ISBLANK($B235),"",IFERROR(_xll.BDP(TICKER,"DEEP_MEASURE_PERIOD_BROKER_VALUE","DEEP_MEASURE_ID_OVERRIDE",$C235,"DEEP_BROKER_ID_OVERRIDE",AS$24,"DEEP_PERIOD_OVERRIDE",$H$19)*1,"")))</f>
        <v/>
      </c>
      <c r="AT235" t="str">
        <f>IF(OR(AT$23="",ISNA($B235)),"",IF(ISBLANK($B235),"",IFERROR(_xll.BDP(TICKER,"DEEP_MEASURE_PERIOD_BROKER_VALUE","DEEP_MEASURE_ID_OVERRIDE",$C235,"DEEP_BROKER_ID_OVERRIDE",AT$24,"DEEP_PERIOD_OVERRIDE",$H$19)*1,"")))</f>
        <v/>
      </c>
      <c r="AU235" t="str">
        <f>IF(OR(AU$23="",ISNA($B235)),"",IF(ISBLANK($B235),"",IFERROR(_xll.BDP(TICKER,"DEEP_MEASURE_PERIOD_BROKER_VALUE","DEEP_MEASURE_ID_OVERRIDE",$C235,"DEEP_BROKER_ID_OVERRIDE",AU$24,"DEEP_PERIOD_OVERRIDE",$H$19)*1,"")))</f>
        <v/>
      </c>
      <c r="AV235" t="str">
        <f>IF(OR(AV$23="",ISNA($B235)),"",IF(ISBLANK($B235),"",IFERROR(_xll.BDP(TICKER,"DEEP_MEASURE_PERIOD_BROKER_VALUE","DEEP_MEASURE_ID_OVERRIDE",$C235,"DEEP_BROKER_ID_OVERRIDE",AV$24,"DEEP_PERIOD_OVERRIDE",$H$19)*1,"")))</f>
        <v/>
      </c>
      <c r="AW235" t="str">
        <f>IF(OR(AW$23="",ISNA($B235)),"",IF(ISBLANK($B235),"",IFERROR(_xll.BDP(TICKER,"DEEP_MEASURE_PERIOD_BROKER_VALUE","DEEP_MEASURE_ID_OVERRIDE",$C235,"DEEP_BROKER_ID_OVERRIDE",AW$24,"DEEP_PERIOD_OVERRIDE",$H$19)*1,"")))</f>
        <v/>
      </c>
      <c r="AX235" t="str">
        <f>IF(OR(AX$23="",ISNA($B235)),"",IF(ISBLANK($B235),"",IFERROR(_xll.BDP(TICKER,"DEEP_MEASURE_PERIOD_BROKER_VALUE","DEEP_MEASURE_ID_OVERRIDE",$C235,"DEEP_BROKER_ID_OVERRIDE",AX$24,"DEEP_PERIOD_OVERRIDE",$H$19)*1,"")))</f>
        <v/>
      </c>
      <c r="AY235" t="str">
        <f>IF(OR(AY$23="",ISNA($B235)),"",IF(ISBLANK($B235),"",IFERROR(_xll.BDP(TICKER,"DEEP_MEASURE_PERIOD_BROKER_VALUE","DEEP_MEASURE_ID_OVERRIDE",$C235,"DEEP_BROKER_ID_OVERRIDE",AY$24,"DEEP_PERIOD_OVERRIDE",$H$19)*1,"")))</f>
        <v/>
      </c>
      <c r="AZ235" t="str">
        <f>IF(OR(AZ$23="",ISNA($B235)),"",IF(ISBLANK($B235),"",IFERROR(_xll.BDP(TICKER,"DEEP_MEASURE_PERIOD_BROKER_VALUE","DEEP_MEASURE_ID_OVERRIDE",$C235,"DEEP_BROKER_ID_OVERRIDE",AZ$24,"DEEP_PERIOD_OVERRIDE",$H$19)*1,"")))</f>
        <v/>
      </c>
      <c r="BA235" t="str">
        <f>IF(OR(BA$23="",ISNA($B235)),"",IF(ISBLANK($B235),"",IFERROR(_xll.BDP(TICKER,"DEEP_MEASURE_PERIOD_BROKER_VALUE","DEEP_MEASURE_ID_OVERRIDE",$C235,"DEEP_BROKER_ID_OVERRIDE",BA$24,"DEEP_PERIOD_OVERRIDE",$H$19)*1,"")))</f>
        <v/>
      </c>
      <c r="BB235" t="str">
        <f>IF(OR(BB$23="",ISNA($B235)),"",IF(ISBLANK($B235),"",IFERROR(_xll.BDP(TICKER,"DEEP_MEASURE_PERIOD_BROKER_VALUE","DEEP_MEASURE_ID_OVERRIDE",$C235,"DEEP_BROKER_ID_OVERRIDE",BB$24,"DEEP_PERIOD_OVERRIDE",$H$19)*1,"")))</f>
        <v/>
      </c>
      <c r="BC235" t="str">
        <f>IF(OR(BC$23="",ISNA($B235)),"",IF(ISBLANK($B235),"",IFERROR(_xll.BDP(TICKER,"DEEP_MEASURE_PERIOD_BROKER_VALUE","DEEP_MEASURE_ID_OVERRIDE",$C235,"DEEP_BROKER_ID_OVERRIDE",BC$24,"DEEP_PERIOD_OVERRIDE",$H$19)*1,"")))</f>
        <v/>
      </c>
      <c r="BD235" t="str">
        <f>IF(OR(BD$23="",ISNA($B235)),"",IF(ISBLANK($B235),"",IFERROR(_xll.BDP(TICKER,"DEEP_MEASURE_PERIOD_BROKER_VALUE","DEEP_MEASURE_ID_OVERRIDE",$C235,"DEEP_BROKER_ID_OVERRIDE",BD$24,"DEEP_PERIOD_OVERRIDE",$H$19)*1,"")))</f>
        <v/>
      </c>
      <c r="BE235" t="str">
        <f>IF(OR(BE$23="",ISNA($B235)),"",IF(ISBLANK($B235),"",IFERROR(_xll.BDP(TICKER,"DEEP_MEASURE_PERIOD_BROKER_VALUE","DEEP_MEASURE_ID_OVERRIDE",$C235,"DEEP_BROKER_ID_OVERRIDE",BE$24,"DEEP_PERIOD_OVERRIDE",$H$19)*1,"")))</f>
        <v/>
      </c>
      <c r="BF235" t="str">
        <f>IF(OR(BF$23="",ISNA($B235)),"",IF(ISBLANK($B235),"",IFERROR(_xll.BDP(TICKER,"DEEP_MEASURE_PERIOD_BROKER_VALUE","DEEP_MEASURE_ID_OVERRIDE",$C235,"DEEP_BROKER_ID_OVERRIDE",BF$24,"DEEP_PERIOD_OVERRIDE",$H$19)*1,"")))</f>
        <v/>
      </c>
      <c r="BG235" t="str">
        <f>IF(OR(BG$23="",ISNA($B235)),"",IF(ISBLANK($B235),"",IFERROR(_xll.BDP(TICKER,"DEEP_MEASURE_PERIOD_BROKER_VALUE","DEEP_MEASURE_ID_OVERRIDE",$C235,"DEEP_BROKER_ID_OVERRIDE",BG$24,"DEEP_PERIOD_OVERRIDE",$H$19)*1,"")))</f>
        <v/>
      </c>
      <c r="BH235" t="str">
        <f>IF(OR(BH$23="",ISNA($B235)),"",IF(ISBLANK($B235),"",IFERROR(_xll.BDP(TICKER,"DEEP_MEASURE_PERIOD_BROKER_VALUE","DEEP_MEASURE_ID_OVERRIDE",$C235,"DEEP_BROKER_ID_OVERRIDE",BH$24,"DEEP_PERIOD_OVERRIDE",$H$19)*1,"")))</f>
        <v/>
      </c>
      <c r="BI235" t="str">
        <f>IF(OR(BI$23="",ISNA($B235)),"",IF(ISBLANK($B235),"",IFERROR(_xll.BDP(TICKER,"DEEP_MEASURE_PERIOD_BROKER_VALUE","DEEP_MEASURE_ID_OVERRIDE",$C235,"DEEP_BROKER_ID_OVERRIDE",BI$24,"DEEP_PERIOD_OVERRIDE",$H$19)*1,"")))</f>
        <v/>
      </c>
      <c r="BJ235" t="str">
        <f>IF(OR(BJ$23="",ISNA($B235)),"",IF(ISBLANK($B235),"",IFERROR(_xll.BDP(TICKER,"DEEP_MEASURE_PERIOD_BROKER_VALUE","DEEP_MEASURE_ID_OVERRIDE",$C235,"DEEP_BROKER_ID_OVERRIDE",BJ$24,"DEEP_PERIOD_OVERRIDE",$H$19)*1,"")))</f>
        <v/>
      </c>
      <c r="BK235" t="str">
        <f>IF(OR(BK$23="",ISNA($B235)),"",IF(ISBLANK($B235),"",IFERROR(_xll.BDP(TICKER,"DEEP_MEASURE_PERIOD_BROKER_VALUE","DEEP_MEASURE_ID_OVERRIDE",$C235,"DEEP_BROKER_ID_OVERRIDE",BK$24,"DEEP_PERIOD_OVERRIDE",$H$19)*1,"")))</f>
        <v/>
      </c>
      <c r="BL235" t="str">
        <f>IF(OR(BL$23="",ISNA($B235)),"",IF(ISBLANK($B235),"",IFERROR(_xll.BDP(TICKER,"DEEP_MEASURE_PERIOD_BROKER_VALUE","DEEP_MEASURE_ID_OVERRIDE",$C235,"DEEP_BROKER_ID_OVERRIDE",BL$24,"DEEP_PERIOD_OVERRIDE",$H$19)*1,"")))</f>
        <v/>
      </c>
      <c r="BM235" t="str">
        <f>IF(OR(BM$23="",ISNA($B235)),"",IF(ISBLANK($B235),"",IFERROR(_xll.BDP(TICKER,"DEEP_MEASURE_PERIOD_BROKER_VALUE","DEEP_MEASURE_ID_OVERRIDE",$C235,"DEEP_BROKER_ID_OVERRIDE",BM$24,"DEEP_PERIOD_OVERRIDE",$H$19)*1,"")))</f>
        <v/>
      </c>
      <c r="BN235" t="str">
        <f>IF(OR(BN$23="",ISNA($B235)),"",IF(ISBLANK($B235),"",IFERROR(_xll.BDP(TICKER,"DEEP_MEASURE_PERIOD_BROKER_VALUE","DEEP_MEASURE_ID_OVERRIDE",$C235,"DEEP_BROKER_ID_OVERRIDE",BN$24,"DEEP_PERIOD_OVERRIDE",$H$19)*1,"")))</f>
        <v/>
      </c>
      <c r="BO235" t="str">
        <f>IF(OR(BO$23="",ISNA($B235)),"",IF(ISBLANK($B235),"",IFERROR(_xll.BDP(TICKER,"DEEP_MEASURE_PERIOD_BROKER_VALUE","DEEP_MEASURE_ID_OVERRIDE",$C235,"DEEP_BROKER_ID_OVERRIDE",BO$24,"DEEP_PERIOD_OVERRIDE",$H$19)*1,"")))</f>
        <v/>
      </c>
      <c r="BP235" t="str">
        <f>IF(OR(BP$23="",ISNA($B235)),"",IF(ISBLANK($B235),"",IFERROR(_xll.BDP(TICKER,"DEEP_MEASURE_PERIOD_BROKER_VALUE","DEEP_MEASURE_ID_OVERRIDE",$C235,"DEEP_BROKER_ID_OVERRIDE",BP$24,"DEEP_PERIOD_OVERRIDE",$H$19)*1,"")))</f>
        <v/>
      </c>
      <c r="BQ235" t="str">
        <f>IF(OR(BQ$23="",ISNA($B235)),"",IF(ISBLANK($B235),"",IFERROR(_xll.BDP(TICKER,"DEEP_MEASURE_PERIOD_BROKER_VALUE","DEEP_MEASURE_ID_OVERRIDE",$C235,"DEEP_BROKER_ID_OVERRIDE",BQ$24,"DEEP_PERIOD_OVERRIDE",$H$19)*1,"")))</f>
        <v/>
      </c>
      <c r="BR235" t="str">
        <f>IF(OR(BR$23="",ISNA($B235)),"",IF(ISBLANK($B235),"",IFERROR(_xll.BDP(TICKER,"DEEP_MEASURE_PERIOD_BROKER_VALUE","DEEP_MEASURE_ID_OVERRIDE",$C235,"DEEP_BROKER_ID_OVERRIDE",BR$24,"DEEP_PERIOD_OVERRIDE",$H$19)*1,"")))</f>
        <v/>
      </c>
      <c r="BS235" t="str">
        <f>IF(OR(BS$23="",ISNA($B235)),"",IF(ISBLANK($B235),"",IFERROR(_xll.BDP(TICKER,"DEEP_MEASURE_PERIOD_BROKER_VALUE","DEEP_MEASURE_ID_OVERRIDE",$C235,"DEEP_BROKER_ID_OVERRIDE",BS$24,"DEEP_PERIOD_OVERRIDE",$H$19)*1,"")))</f>
        <v/>
      </c>
      <c r="BT235" t="str">
        <f>IF(OR(BT$23="",ISNA($B235)),"",IF(ISBLANK($B235),"",IFERROR(_xll.BDP(TICKER,"DEEP_MEASURE_PERIOD_BROKER_VALUE","DEEP_MEASURE_ID_OVERRIDE",$C235,"DEEP_BROKER_ID_OVERRIDE",BT$24,"DEEP_PERIOD_OVERRIDE",$H$19)*1,"")))</f>
        <v/>
      </c>
      <c r="BU235" t="str">
        <f>IF(OR(BU$23="",ISNA($B235)),"",IF(ISBLANK($B235),"",IFERROR(_xll.BDP(TICKER,"DEEP_MEASURE_PERIOD_BROKER_VALUE","DEEP_MEASURE_ID_OVERRIDE",$C235,"DEEP_BROKER_ID_OVERRIDE",BU$24,"DEEP_PERIOD_OVERRIDE",$H$19)*1,"")))</f>
        <v/>
      </c>
      <c r="BV235" t="str">
        <f>IF(OR(BV$23="",ISNA($B235)),"",IF(ISBLANK($B235),"",IFERROR(_xll.BDP(TICKER,"DEEP_MEASURE_PERIOD_BROKER_VALUE","DEEP_MEASURE_ID_OVERRIDE",$C235,"DEEP_BROKER_ID_OVERRIDE",BV$24,"DEEP_PERIOD_OVERRIDE",$H$19)*1,"")))</f>
        <v/>
      </c>
      <c r="BW235" t="str">
        <f>IF(OR(BW$23="",ISNA($B235)),"",IF(ISBLANK($B235),"",IFERROR(_xll.BDP(TICKER,"DEEP_MEASURE_PERIOD_BROKER_VALUE","DEEP_MEASURE_ID_OVERRIDE",$C235,"DEEP_BROKER_ID_OVERRIDE",BW$24,"DEEP_PERIOD_OVERRIDE",$H$19)*1,"")))</f>
        <v/>
      </c>
      <c r="BX235" t="str">
        <f>IF(OR(BX$23="",ISNA($B235)),"",IF(ISBLANK($B235),"",IFERROR(_xll.BDP(TICKER,"DEEP_MEASURE_PERIOD_BROKER_VALUE","DEEP_MEASURE_ID_OVERRIDE",$C235,"DEEP_BROKER_ID_OVERRIDE",BX$24,"DEEP_PERIOD_OVERRIDE",$H$19)*1,"")))</f>
        <v/>
      </c>
      <c r="BY235" t="str">
        <f>IF(OR(BY$23="",ISNA($B235)),"",IF(ISBLANK($B235),"",IFERROR(_xll.BDP(TICKER,"DEEP_MEASURE_PERIOD_BROKER_VALUE","DEEP_MEASURE_ID_OVERRIDE",$C235,"DEEP_BROKER_ID_OVERRIDE",BY$24,"DEEP_PERIOD_OVERRIDE",$H$19)*1,"")))</f>
        <v/>
      </c>
      <c r="BZ235" t="str">
        <f>IF(OR(BZ$23="",ISNA($B235)),"",IF(ISBLANK($B235),"",IFERROR(_xll.BDP(TICKER,"DEEP_MEASURE_PERIOD_BROKER_VALUE","DEEP_MEASURE_ID_OVERRIDE",$C235,"DEEP_BROKER_ID_OVERRIDE",BZ$24,"DEEP_PERIOD_OVERRIDE",$H$19)*1,"")))</f>
        <v/>
      </c>
    </row>
    <row r="236" spans="8:78" x14ac:dyDescent="0.25">
      <c r="H236" t="str">
        <f t="shared" si="4"/>
        <v/>
      </c>
      <c r="I236" t="str">
        <f>IF(OR(I$23="",ISNA($B236)),"",IF(ISBLANK($B236),"",IFERROR(_xll.BDP(TICKER,"DEEP_MEASURE_PERIOD_BROKER_VALUE","DEEP_MEASURE_ID_OVERRIDE",$C236,"DEEP_PERIOD_OVERRIDE",$H$19)*1,"")))</f>
        <v/>
      </c>
      <c r="J236" t="e">
        <f>IF(OR(J$23="",ISNA($B236)),"",IF(ISBLANK($B236),"",IFERROR(_xll.BDP(TICKER,"DEEP_MEASURE_PERIOD_BROKER_VALUE","DEEP_MEASURE_ID_OVERRIDE",$C236,"DEEP_BROKER_ID_OVERRIDE",J$24,"DEEP_PERIOD_OVERRIDE",$H$19)*1,"")))</f>
        <v>#REF!</v>
      </c>
      <c r="K236" t="str">
        <f>IF(OR(K$23="",ISNA($B236)),"",IF(ISBLANK($B236),"",IFERROR(_xll.BDP(TICKER,"DEEP_MEASURE_PERIOD_BROKER_VALUE","DEEP_MEASURE_ID_OVERRIDE",$C236,"DEEP_BROKER_ID_OVERRIDE",K$24,"DEEP_PERIOD_OVERRIDE",$H$19)*1,"")))</f>
        <v/>
      </c>
      <c r="L236" t="str">
        <f>IF(OR(L$23="",ISNA($B236)),"",IF(ISBLANK($B236),"",IFERROR(_xll.BDP(TICKER,"DEEP_MEASURE_PERIOD_BROKER_VALUE","DEEP_MEASURE_ID_OVERRIDE",$C236,"DEEP_BROKER_ID_OVERRIDE",L$24,"DEEP_PERIOD_OVERRIDE",$H$19)*1,"")))</f>
        <v/>
      </c>
      <c r="M236" t="str">
        <f>IF(OR(M$23="",ISNA($B236)),"",IF(ISBLANK($B236),"",IFERROR(_xll.BDP(TICKER,"DEEP_MEASURE_PERIOD_BROKER_VALUE","DEEP_MEASURE_ID_OVERRIDE",$C236,"DEEP_BROKER_ID_OVERRIDE",M$24,"DEEP_PERIOD_OVERRIDE",$H$19)*1,"")))</f>
        <v/>
      </c>
      <c r="N236" t="str">
        <f>IF(OR(N$23="",ISNA($B236)),"",IF(ISBLANK($B236),"",IFERROR(_xll.BDP(TICKER,"DEEP_MEASURE_PERIOD_BROKER_VALUE","DEEP_MEASURE_ID_OVERRIDE",$C236,"DEEP_BROKER_ID_OVERRIDE",N$24,"DEEP_PERIOD_OVERRIDE",$H$19)*1,"")))</f>
        <v/>
      </c>
      <c r="O236" t="str">
        <f>IF(OR(O$23="",ISNA($B236)),"",IF(ISBLANK($B236),"",IFERROR(_xll.BDP(TICKER,"DEEP_MEASURE_PERIOD_BROKER_VALUE","DEEP_MEASURE_ID_OVERRIDE",$C236,"DEEP_BROKER_ID_OVERRIDE",O$24,"DEEP_PERIOD_OVERRIDE",$H$19)*1,"")))</f>
        <v/>
      </c>
      <c r="P236" t="str">
        <f>IF(OR(P$23="",ISNA($B236)),"",IF(ISBLANK($B236),"",IFERROR(_xll.BDP(TICKER,"DEEP_MEASURE_PERIOD_BROKER_VALUE","DEEP_MEASURE_ID_OVERRIDE",$C236,"DEEP_BROKER_ID_OVERRIDE",P$24,"DEEP_PERIOD_OVERRIDE",$H$19)*1,"")))</f>
        <v/>
      </c>
      <c r="Q236" t="str">
        <f>IF(OR(Q$23="",ISNA($B236)),"",IF(ISBLANK($B236),"",IFERROR(_xll.BDP(TICKER,"DEEP_MEASURE_PERIOD_BROKER_VALUE","DEEP_MEASURE_ID_OVERRIDE",$C236,"DEEP_BROKER_ID_OVERRIDE",Q$24,"DEEP_PERIOD_OVERRIDE",$H$19)*1,"")))</f>
        <v/>
      </c>
      <c r="R236" t="str">
        <f>IF(OR(R$23="",ISNA($B236)),"",IF(ISBLANK($B236),"",IFERROR(_xll.BDP(TICKER,"DEEP_MEASURE_PERIOD_BROKER_VALUE","DEEP_MEASURE_ID_OVERRIDE",$C236,"DEEP_BROKER_ID_OVERRIDE",R$24,"DEEP_PERIOD_OVERRIDE",$H$19)*1,"")))</f>
        <v/>
      </c>
      <c r="S236" t="str">
        <f>IF(OR(S$23="",ISNA($B236)),"",IF(ISBLANK($B236),"",IFERROR(_xll.BDP(TICKER,"DEEP_MEASURE_PERIOD_BROKER_VALUE","DEEP_MEASURE_ID_OVERRIDE",$C236,"DEEP_BROKER_ID_OVERRIDE",S$24,"DEEP_PERIOD_OVERRIDE",$H$19)*1,"")))</f>
        <v/>
      </c>
      <c r="T236" t="str">
        <f>IF(OR(T$23="",ISNA($B236)),"",IF(ISBLANK($B236),"",IFERROR(_xll.BDP(TICKER,"DEEP_MEASURE_PERIOD_BROKER_VALUE","DEEP_MEASURE_ID_OVERRIDE",$C236,"DEEP_BROKER_ID_OVERRIDE",T$24,"DEEP_PERIOD_OVERRIDE",$H$19)*1,"")))</f>
        <v/>
      </c>
      <c r="U236" t="str">
        <f>IF(OR(U$23="",ISNA($B236)),"",IF(ISBLANK($B236),"",IFERROR(_xll.BDP(TICKER,"DEEP_MEASURE_PERIOD_BROKER_VALUE","DEEP_MEASURE_ID_OVERRIDE",$C236,"DEEP_BROKER_ID_OVERRIDE",U$24,"DEEP_PERIOD_OVERRIDE",$H$19)*1,"")))</f>
        <v/>
      </c>
      <c r="V236" t="str">
        <f>IF(OR(V$23="",ISNA($B236)),"",IF(ISBLANK($B236),"",IFERROR(_xll.BDP(TICKER,"DEEP_MEASURE_PERIOD_BROKER_VALUE","DEEP_MEASURE_ID_OVERRIDE",$C236,"DEEP_BROKER_ID_OVERRIDE",V$24,"DEEP_PERIOD_OVERRIDE",$H$19)*1,"")))</f>
        <v/>
      </c>
      <c r="W236" t="str">
        <f>IF(OR(W$23="",ISNA($B236)),"",IF(ISBLANK($B236),"",IFERROR(_xll.BDP(TICKER,"DEEP_MEASURE_PERIOD_BROKER_VALUE","DEEP_MEASURE_ID_OVERRIDE",$C236,"DEEP_BROKER_ID_OVERRIDE",W$24,"DEEP_PERIOD_OVERRIDE",$H$19)*1,"")))</f>
        <v/>
      </c>
      <c r="X236" t="str">
        <f>IF(OR(X$23="",ISNA($B236)),"",IF(ISBLANK($B236),"",IFERROR(_xll.BDP(TICKER,"DEEP_MEASURE_PERIOD_BROKER_VALUE","DEEP_MEASURE_ID_OVERRIDE",$C236,"DEEP_BROKER_ID_OVERRIDE",X$24,"DEEP_PERIOD_OVERRIDE",$H$19)*1,"")))</f>
        <v/>
      </c>
      <c r="Y236" t="str">
        <f>IF(OR(Y$23="",ISNA($B236)),"",IF(ISBLANK($B236),"",IFERROR(_xll.BDP(TICKER,"DEEP_MEASURE_PERIOD_BROKER_VALUE","DEEP_MEASURE_ID_OVERRIDE",$C236,"DEEP_BROKER_ID_OVERRIDE",Y$24,"DEEP_PERIOD_OVERRIDE",$H$19)*1,"")))</f>
        <v/>
      </c>
      <c r="Z236" t="str">
        <f>IF(OR(Z$23="",ISNA($B236)),"",IF(ISBLANK($B236),"",IFERROR(_xll.BDP(TICKER,"DEEP_MEASURE_PERIOD_BROKER_VALUE","DEEP_MEASURE_ID_OVERRIDE",$C236,"DEEP_BROKER_ID_OVERRIDE",Z$24,"DEEP_PERIOD_OVERRIDE",$H$19)*1,"")))</f>
        <v/>
      </c>
      <c r="AA236" t="str">
        <f>IF(OR(AA$23="",ISNA($B236)),"",IF(ISBLANK($B236),"",IFERROR(_xll.BDP(TICKER,"DEEP_MEASURE_PERIOD_BROKER_VALUE","DEEP_MEASURE_ID_OVERRIDE",$C236,"DEEP_BROKER_ID_OVERRIDE",AA$24,"DEEP_PERIOD_OVERRIDE",$H$19)*1,"")))</f>
        <v/>
      </c>
      <c r="AB236" t="str">
        <f>IF(OR(AB$23="",ISNA($B236)),"",IF(ISBLANK($B236),"",IFERROR(_xll.BDP(TICKER,"DEEP_MEASURE_PERIOD_BROKER_VALUE","DEEP_MEASURE_ID_OVERRIDE",$C236,"DEEP_BROKER_ID_OVERRIDE",AB$24,"DEEP_PERIOD_OVERRIDE",$H$19)*1,"")))</f>
        <v/>
      </c>
      <c r="AC236" t="str">
        <f>IF(OR(AC$23="",ISNA($B236)),"",IF(ISBLANK($B236),"",IFERROR(_xll.BDP(TICKER,"DEEP_MEASURE_PERIOD_BROKER_VALUE","DEEP_MEASURE_ID_OVERRIDE",$C236,"DEEP_BROKER_ID_OVERRIDE",AC$24,"DEEP_PERIOD_OVERRIDE",$H$19)*1,"")))</f>
        <v/>
      </c>
      <c r="AD236" t="str">
        <f>IF(OR(AD$23="",ISNA($B236)),"",IF(ISBLANK($B236),"",IFERROR(_xll.BDP(TICKER,"DEEP_MEASURE_PERIOD_BROKER_VALUE","DEEP_MEASURE_ID_OVERRIDE",$C236,"DEEP_BROKER_ID_OVERRIDE",AD$24,"DEEP_PERIOD_OVERRIDE",$H$19)*1,"")))</f>
        <v/>
      </c>
      <c r="AE236" t="str">
        <f>IF(OR(AE$23="",ISNA($B236)),"",IF(ISBLANK($B236),"",IFERROR(_xll.BDP(TICKER,"DEEP_MEASURE_PERIOD_BROKER_VALUE","DEEP_MEASURE_ID_OVERRIDE",$C236,"DEEP_BROKER_ID_OVERRIDE",AE$24,"DEEP_PERIOD_OVERRIDE",$H$19)*1,"")))</f>
        <v/>
      </c>
      <c r="AF236" t="str">
        <f>IF(OR(AF$23="",ISNA($B236)),"",IF(ISBLANK($B236),"",IFERROR(_xll.BDP(TICKER,"DEEP_MEASURE_PERIOD_BROKER_VALUE","DEEP_MEASURE_ID_OVERRIDE",$C236,"DEEP_BROKER_ID_OVERRIDE",AF$24,"DEEP_PERIOD_OVERRIDE",$H$19)*1,"")))</f>
        <v/>
      </c>
      <c r="AG236" t="str">
        <f>IF(OR(AG$23="",ISNA($B236)),"",IF(ISBLANK($B236),"",IFERROR(_xll.BDP(TICKER,"DEEP_MEASURE_PERIOD_BROKER_VALUE","DEEP_MEASURE_ID_OVERRIDE",$C236,"DEEP_BROKER_ID_OVERRIDE",AG$24,"DEEP_PERIOD_OVERRIDE",$H$19)*1,"")))</f>
        <v/>
      </c>
      <c r="AH236" t="str">
        <f>IF(OR(AH$23="",ISNA($B236)),"",IF(ISBLANK($B236),"",IFERROR(_xll.BDP(TICKER,"DEEP_MEASURE_PERIOD_BROKER_VALUE","DEEP_MEASURE_ID_OVERRIDE",$C236,"DEEP_BROKER_ID_OVERRIDE",AH$24,"DEEP_PERIOD_OVERRIDE",$H$19)*1,"")))</f>
        <v/>
      </c>
      <c r="AI236" t="str">
        <f>IF(OR(AI$23="",ISNA($B236)),"",IF(ISBLANK($B236),"",IFERROR(_xll.BDP(TICKER,"DEEP_MEASURE_PERIOD_BROKER_VALUE","DEEP_MEASURE_ID_OVERRIDE",$C236,"DEEP_BROKER_ID_OVERRIDE",AI$24,"DEEP_PERIOD_OVERRIDE",$H$19)*1,"")))</f>
        <v/>
      </c>
      <c r="AJ236" t="str">
        <f>IF(OR(AJ$23="",ISNA($B236)),"",IF(ISBLANK($B236),"",IFERROR(_xll.BDP(TICKER,"DEEP_MEASURE_PERIOD_BROKER_VALUE","DEEP_MEASURE_ID_OVERRIDE",$C236,"DEEP_BROKER_ID_OVERRIDE",AJ$24,"DEEP_PERIOD_OVERRIDE",$H$19)*1,"")))</f>
        <v/>
      </c>
      <c r="AK236" t="str">
        <f>IF(OR(AK$23="",ISNA($B236)),"",IF(ISBLANK($B236),"",IFERROR(_xll.BDP(TICKER,"DEEP_MEASURE_PERIOD_BROKER_VALUE","DEEP_MEASURE_ID_OVERRIDE",$C236,"DEEP_BROKER_ID_OVERRIDE",AK$24,"DEEP_PERIOD_OVERRIDE",$H$19)*1,"")))</f>
        <v/>
      </c>
      <c r="AL236" t="str">
        <f>IF(OR(AL$23="",ISNA($B236)),"",IF(ISBLANK($B236),"",IFERROR(_xll.BDP(TICKER,"DEEP_MEASURE_PERIOD_BROKER_VALUE","DEEP_MEASURE_ID_OVERRIDE",$C236,"DEEP_BROKER_ID_OVERRIDE",AL$24,"DEEP_PERIOD_OVERRIDE",$H$19)*1,"")))</f>
        <v/>
      </c>
      <c r="AM236" t="str">
        <f>IF(OR(AM$23="",ISNA($B236)),"",IF(ISBLANK($B236),"",IFERROR(_xll.BDP(TICKER,"DEEP_MEASURE_PERIOD_BROKER_VALUE","DEEP_MEASURE_ID_OVERRIDE",$C236,"DEEP_BROKER_ID_OVERRIDE",AM$24,"DEEP_PERIOD_OVERRIDE",$H$19)*1,"")))</f>
        <v/>
      </c>
      <c r="AN236" t="str">
        <f>IF(OR(AN$23="",ISNA($B236)),"",IF(ISBLANK($B236),"",IFERROR(_xll.BDP(TICKER,"DEEP_MEASURE_PERIOD_BROKER_VALUE","DEEP_MEASURE_ID_OVERRIDE",$C236,"DEEP_BROKER_ID_OVERRIDE",AN$24,"DEEP_PERIOD_OVERRIDE",$H$19)*1,"")))</f>
        <v/>
      </c>
      <c r="AO236" t="str">
        <f>IF(OR(AO$23="",ISNA($B236)),"",IF(ISBLANK($B236),"",IFERROR(_xll.BDP(TICKER,"DEEP_MEASURE_PERIOD_BROKER_VALUE","DEEP_MEASURE_ID_OVERRIDE",$C236,"DEEP_BROKER_ID_OVERRIDE",AO$24,"DEEP_PERIOD_OVERRIDE",$H$19)*1,"")))</f>
        <v/>
      </c>
      <c r="AP236" t="str">
        <f>IF(OR(AP$23="",ISNA($B236)),"",IF(ISBLANK($B236),"",IFERROR(_xll.BDP(TICKER,"DEEP_MEASURE_PERIOD_BROKER_VALUE","DEEP_MEASURE_ID_OVERRIDE",$C236,"DEEP_BROKER_ID_OVERRIDE",AP$24,"DEEP_PERIOD_OVERRIDE",$H$19)*1,"")))</f>
        <v/>
      </c>
      <c r="AQ236" t="str">
        <f>IF(OR(AQ$23="",ISNA($B236)),"",IF(ISBLANK($B236),"",IFERROR(_xll.BDP(TICKER,"DEEP_MEASURE_PERIOD_BROKER_VALUE","DEEP_MEASURE_ID_OVERRIDE",$C236,"DEEP_BROKER_ID_OVERRIDE",AQ$24,"DEEP_PERIOD_OVERRIDE",$H$19)*1,"")))</f>
        <v/>
      </c>
      <c r="AR236" t="str">
        <f>IF(OR(AR$23="",ISNA($B236)),"",IF(ISBLANK($B236),"",IFERROR(_xll.BDP(TICKER,"DEEP_MEASURE_PERIOD_BROKER_VALUE","DEEP_MEASURE_ID_OVERRIDE",$C236,"DEEP_BROKER_ID_OVERRIDE",AR$24,"DEEP_PERIOD_OVERRIDE",$H$19)*1,"")))</f>
        <v/>
      </c>
      <c r="AS236" t="str">
        <f>IF(OR(AS$23="",ISNA($B236)),"",IF(ISBLANK($B236),"",IFERROR(_xll.BDP(TICKER,"DEEP_MEASURE_PERIOD_BROKER_VALUE","DEEP_MEASURE_ID_OVERRIDE",$C236,"DEEP_BROKER_ID_OVERRIDE",AS$24,"DEEP_PERIOD_OVERRIDE",$H$19)*1,"")))</f>
        <v/>
      </c>
      <c r="AT236" t="str">
        <f>IF(OR(AT$23="",ISNA($B236)),"",IF(ISBLANK($B236),"",IFERROR(_xll.BDP(TICKER,"DEEP_MEASURE_PERIOD_BROKER_VALUE","DEEP_MEASURE_ID_OVERRIDE",$C236,"DEEP_BROKER_ID_OVERRIDE",AT$24,"DEEP_PERIOD_OVERRIDE",$H$19)*1,"")))</f>
        <v/>
      </c>
      <c r="AU236" t="str">
        <f>IF(OR(AU$23="",ISNA($B236)),"",IF(ISBLANK($B236),"",IFERROR(_xll.BDP(TICKER,"DEEP_MEASURE_PERIOD_BROKER_VALUE","DEEP_MEASURE_ID_OVERRIDE",$C236,"DEEP_BROKER_ID_OVERRIDE",AU$24,"DEEP_PERIOD_OVERRIDE",$H$19)*1,"")))</f>
        <v/>
      </c>
      <c r="AV236" t="str">
        <f>IF(OR(AV$23="",ISNA($B236)),"",IF(ISBLANK($B236),"",IFERROR(_xll.BDP(TICKER,"DEEP_MEASURE_PERIOD_BROKER_VALUE","DEEP_MEASURE_ID_OVERRIDE",$C236,"DEEP_BROKER_ID_OVERRIDE",AV$24,"DEEP_PERIOD_OVERRIDE",$H$19)*1,"")))</f>
        <v/>
      </c>
      <c r="AW236" t="str">
        <f>IF(OR(AW$23="",ISNA($B236)),"",IF(ISBLANK($B236),"",IFERROR(_xll.BDP(TICKER,"DEEP_MEASURE_PERIOD_BROKER_VALUE","DEEP_MEASURE_ID_OVERRIDE",$C236,"DEEP_BROKER_ID_OVERRIDE",AW$24,"DEEP_PERIOD_OVERRIDE",$H$19)*1,"")))</f>
        <v/>
      </c>
      <c r="AX236" t="str">
        <f>IF(OR(AX$23="",ISNA($B236)),"",IF(ISBLANK($B236),"",IFERROR(_xll.BDP(TICKER,"DEEP_MEASURE_PERIOD_BROKER_VALUE","DEEP_MEASURE_ID_OVERRIDE",$C236,"DEEP_BROKER_ID_OVERRIDE",AX$24,"DEEP_PERIOD_OVERRIDE",$H$19)*1,"")))</f>
        <v/>
      </c>
      <c r="AY236" t="str">
        <f>IF(OR(AY$23="",ISNA($B236)),"",IF(ISBLANK($B236),"",IFERROR(_xll.BDP(TICKER,"DEEP_MEASURE_PERIOD_BROKER_VALUE","DEEP_MEASURE_ID_OVERRIDE",$C236,"DEEP_BROKER_ID_OVERRIDE",AY$24,"DEEP_PERIOD_OVERRIDE",$H$19)*1,"")))</f>
        <v/>
      </c>
      <c r="AZ236" t="str">
        <f>IF(OR(AZ$23="",ISNA($B236)),"",IF(ISBLANK($B236),"",IFERROR(_xll.BDP(TICKER,"DEEP_MEASURE_PERIOD_BROKER_VALUE","DEEP_MEASURE_ID_OVERRIDE",$C236,"DEEP_BROKER_ID_OVERRIDE",AZ$24,"DEEP_PERIOD_OVERRIDE",$H$19)*1,"")))</f>
        <v/>
      </c>
      <c r="BA236" t="str">
        <f>IF(OR(BA$23="",ISNA($B236)),"",IF(ISBLANK($B236),"",IFERROR(_xll.BDP(TICKER,"DEEP_MEASURE_PERIOD_BROKER_VALUE","DEEP_MEASURE_ID_OVERRIDE",$C236,"DEEP_BROKER_ID_OVERRIDE",BA$24,"DEEP_PERIOD_OVERRIDE",$H$19)*1,"")))</f>
        <v/>
      </c>
      <c r="BB236" t="str">
        <f>IF(OR(BB$23="",ISNA($B236)),"",IF(ISBLANK($B236),"",IFERROR(_xll.BDP(TICKER,"DEEP_MEASURE_PERIOD_BROKER_VALUE","DEEP_MEASURE_ID_OVERRIDE",$C236,"DEEP_BROKER_ID_OVERRIDE",BB$24,"DEEP_PERIOD_OVERRIDE",$H$19)*1,"")))</f>
        <v/>
      </c>
      <c r="BC236" t="str">
        <f>IF(OR(BC$23="",ISNA($B236)),"",IF(ISBLANK($B236),"",IFERROR(_xll.BDP(TICKER,"DEEP_MEASURE_PERIOD_BROKER_VALUE","DEEP_MEASURE_ID_OVERRIDE",$C236,"DEEP_BROKER_ID_OVERRIDE",BC$24,"DEEP_PERIOD_OVERRIDE",$H$19)*1,"")))</f>
        <v/>
      </c>
      <c r="BD236" t="str">
        <f>IF(OR(BD$23="",ISNA($B236)),"",IF(ISBLANK($B236),"",IFERROR(_xll.BDP(TICKER,"DEEP_MEASURE_PERIOD_BROKER_VALUE","DEEP_MEASURE_ID_OVERRIDE",$C236,"DEEP_BROKER_ID_OVERRIDE",BD$24,"DEEP_PERIOD_OVERRIDE",$H$19)*1,"")))</f>
        <v/>
      </c>
      <c r="BE236" t="str">
        <f>IF(OR(BE$23="",ISNA($B236)),"",IF(ISBLANK($B236),"",IFERROR(_xll.BDP(TICKER,"DEEP_MEASURE_PERIOD_BROKER_VALUE","DEEP_MEASURE_ID_OVERRIDE",$C236,"DEEP_BROKER_ID_OVERRIDE",BE$24,"DEEP_PERIOD_OVERRIDE",$H$19)*1,"")))</f>
        <v/>
      </c>
      <c r="BF236" t="str">
        <f>IF(OR(BF$23="",ISNA($B236)),"",IF(ISBLANK($B236),"",IFERROR(_xll.BDP(TICKER,"DEEP_MEASURE_PERIOD_BROKER_VALUE","DEEP_MEASURE_ID_OVERRIDE",$C236,"DEEP_BROKER_ID_OVERRIDE",BF$24,"DEEP_PERIOD_OVERRIDE",$H$19)*1,"")))</f>
        <v/>
      </c>
      <c r="BG236" t="str">
        <f>IF(OR(BG$23="",ISNA($B236)),"",IF(ISBLANK($B236),"",IFERROR(_xll.BDP(TICKER,"DEEP_MEASURE_PERIOD_BROKER_VALUE","DEEP_MEASURE_ID_OVERRIDE",$C236,"DEEP_BROKER_ID_OVERRIDE",BG$24,"DEEP_PERIOD_OVERRIDE",$H$19)*1,"")))</f>
        <v/>
      </c>
      <c r="BH236" t="str">
        <f>IF(OR(BH$23="",ISNA($B236)),"",IF(ISBLANK($B236),"",IFERROR(_xll.BDP(TICKER,"DEEP_MEASURE_PERIOD_BROKER_VALUE","DEEP_MEASURE_ID_OVERRIDE",$C236,"DEEP_BROKER_ID_OVERRIDE",BH$24,"DEEP_PERIOD_OVERRIDE",$H$19)*1,"")))</f>
        <v/>
      </c>
      <c r="BI236" t="str">
        <f>IF(OR(BI$23="",ISNA($B236)),"",IF(ISBLANK($B236),"",IFERROR(_xll.BDP(TICKER,"DEEP_MEASURE_PERIOD_BROKER_VALUE","DEEP_MEASURE_ID_OVERRIDE",$C236,"DEEP_BROKER_ID_OVERRIDE",BI$24,"DEEP_PERIOD_OVERRIDE",$H$19)*1,"")))</f>
        <v/>
      </c>
      <c r="BJ236" t="str">
        <f>IF(OR(BJ$23="",ISNA($B236)),"",IF(ISBLANK($B236),"",IFERROR(_xll.BDP(TICKER,"DEEP_MEASURE_PERIOD_BROKER_VALUE","DEEP_MEASURE_ID_OVERRIDE",$C236,"DEEP_BROKER_ID_OVERRIDE",BJ$24,"DEEP_PERIOD_OVERRIDE",$H$19)*1,"")))</f>
        <v/>
      </c>
      <c r="BK236" t="str">
        <f>IF(OR(BK$23="",ISNA($B236)),"",IF(ISBLANK($B236),"",IFERROR(_xll.BDP(TICKER,"DEEP_MEASURE_PERIOD_BROKER_VALUE","DEEP_MEASURE_ID_OVERRIDE",$C236,"DEEP_BROKER_ID_OVERRIDE",BK$24,"DEEP_PERIOD_OVERRIDE",$H$19)*1,"")))</f>
        <v/>
      </c>
      <c r="BL236" t="str">
        <f>IF(OR(BL$23="",ISNA($B236)),"",IF(ISBLANK($B236),"",IFERROR(_xll.BDP(TICKER,"DEEP_MEASURE_PERIOD_BROKER_VALUE","DEEP_MEASURE_ID_OVERRIDE",$C236,"DEEP_BROKER_ID_OVERRIDE",BL$24,"DEEP_PERIOD_OVERRIDE",$H$19)*1,"")))</f>
        <v/>
      </c>
      <c r="BM236" t="str">
        <f>IF(OR(BM$23="",ISNA($B236)),"",IF(ISBLANK($B236),"",IFERROR(_xll.BDP(TICKER,"DEEP_MEASURE_PERIOD_BROKER_VALUE","DEEP_MEASURE_ID_OVERRIDE",$C236,"DEEP_BROKER_ID_OVERRIDE",BM$24,"DEEP_PERIOD_OVERRIDE",$H$19)*1,"")))</f>
        <v/>
      </c>
      <c r="BN236" t="str">
        <f>IF(OR(BN$23="",ISNA($B236)),"",IF(ISBLANK($B236),"",IFERROR(_xll.BDP(TICKER,"DEEP_MEASURE_PERIOD_BROKER_VALUE","DEEP_MEASURE_ID_OVERRIDE",$C236,"DEEP_BROKER_ID_OVERRIDE",BN$24,"DEEP_PERIOD_OVERRIDE",$H$19)*1,"")))</f>
        <v/>
      </c>
      <c r="BO236" t="str">
        <f>IF(OR(BO$23="",ISNA($B236)),"",IF(ISBLANK($B236),"",IFERROR(_xll.BDP(TICKER,"DEEP_MEASURE_PERIOD_BROKER_VALUE","DEEP_MEASURE_ID_OVERRIDE",$C236,"DEEP_BROKER_ID_OVERRIDE",BO$24,"DEEP_PERIOD_OVERRIDE",$H$19)*1,"")))</f>
        <v/>
      </c>
      <c r="BP236" t="str">
        <f>IF(OR(BP$23="",ISNA($B236)),"",IF(ISBLANK($B236),"",IFERROR(_xll.BDP(TICKER,"DEEP_MEASURE_PERIOD_BROKER_VALUE","DEEP_MEASURE_ID_OVERRIDE",$C236,"DEEP_BROKER_ID_OVERRIDE",BP$24,"DEEP_PERIOD_OVERRIDE",$H$19)*1,"")))</f>
        <v/>
      </c>
      <c r="BQ236" t="str">
        <f>IF(OR(BQ$23="",ISNA($B236)),"",IF(ISBLANK($B236),"",IFERROR(_xll.BDP(TICKER,"DEEP_MEASURE_PERIOD_BROKER_VALUE","DEEP_MEASURE_ID_OVERRIDE",$C236,"DEEP_BROKER_ID_OVERRIDE",BQ$24,"DEEP_PERIOD_OVERRIDE",$H$19)*1,"")))</f>
        <v/>
      </c>
      <c r="BR236" t="str">
        <f>IF(OR(BR$23="",ISNA($B236)),"",IF(ISBLANK($B236),"",IFERROR(_xll.BDP(TICKER,"DEEP_MEASURE_PERIOD_BROKER_VALUE","DEEP_MEASURE_ID_OVERRIDE",$C236,"DEEP_BROKER_ID_OVERRIDE",BR$24,"DEEP_PERIOD_OVERRIDE",$H$19)*1,"")))</f>
        <v/>
      </c>
      <c r="BS236" t="str">
        <f>IF(OR(BS$23="",ISNA($B236)),"",IF(ISBLANK($B236),"",IFERROR(_xll.BDP(TICKER,"DEEP_MEASURE_PERIOD_BROKER_VALUE","DEEP_MEASURE_ID_OVERRIDE",$C236,"DEEP_BROKER_ID_OVERRIDE",BS$24,"DEEP_PERIOD_OVERRIDE",$H$19)*1,"")))</f>
        <v/>
      </c>
      <c r="BT236" t="str">
        <f>IF(OR(BT$23="",ISNA($B236)),"",IF(ISBLANK($B236),"",IFERROR(_xll.BDP(TICKER,"DEEP_MEASURE_PERIOD_BROKER_VALUE","DEEP_MEASURE_ID_OVERRIDE",$C236,"DEEP_BROKER_ID_OVERRIDE",BT$24,"DEEP_PERIOD_OVERRIDE",$H$19)*1,"")))</f>
        <v/>
      </c>
      <c r="BU236" t="str">
        <f>IF(OR(BU$23="",ISNA($B236)),"",IF(ISBLANK($B236),"",IFERROR(_xll.BDP(TICKER,"DEEP_MEASURE_PERIOD_BROKER_VALUE","DEEP_MEASURE_ID_OVERRIDE",$C236,"DEEP_BROKER_ID_OVERRIDE",BU$24,"DEEP_PERIOD_OVERRIDE",$H$19)*1,"")))</f>
        <v/>
      </c>
      <c r="BV236" t="str">
        <f>IF(OR(BV$23="",ISNA($B236)),"",IF(ISBLANK($B236),"",IFERROR(_xll.BDP(TICKER,"DEEP_MEASURE_PERIOD_BROKER_VALUE","DEEP_MEASURE_ID_OVERRIDE",$C236,"DEEP_BROKER_ID_OVERRIDE",BV$24,"DEEP_PERIOD_OVERRIDE",$H$19)*1,"")))</f>
        <v/>
      </c>
      <c r="BW236" t="str">
        <f>IF(OR(BW$23="",ISNA($B236)),"",IF(ISBLANK($B236),"",IFERROR(_xll.BDP(TICKER,"DEEP_MEASURE_PERIOD_BROKER_VALUE","DEEP_MEASURE_ID_OVERRIDE",$C236,"DEEP_BROKER_ID_OVERRIDE",BW$24,"DEEP_PERIOD_OVERRIDE",$H$19)*1,"")))</f>
        <v/>
      </c>
      <c r="BX236" t="str">
        <f>IF(OR(BX$23="",ISNA($B236)),"",IF(ISBLANK($B236),"",IFERROR(_xll.BDP(TICKER,"DEEP_MEASURE_PERIOD_BROKER_VALUE","DEEP_MEASURE_ID_OVERRIDE",$C236,"DEEP_BROKER_ID_OVERRIDE",BX$24,"DEEP_PERIOD_OVERRIDE",$H$19)*1,"")))</f>
        <v/>
      </c>
      <c r="BY236" t="str">
        <f>IF(OR(BY$23="",ISNA($B236)),"",IF(ISBLANK($B236),"",IFERROR(_xll.BDP(TICKER,"DEEP_MEASURE_PERIOD_BROKER_VALUE","DEEP_MEASURE_ID_OVERRIDE",$C236,"DEEP_BROKER_ID_OVERRIDE",BY$24,"DEEP_PERIOD_OVERRIDE",$H$19)*1,"")))</f>
        <v/>
      </c>
      <c r="BZ236" t="str">
        <f>IF(OR(BZ$23="",ISNA($B236)),"",IF(ISBLANK($B236),"",IFERROR(_xll.BDP(TICKER,"DEEP_MEASURE_PERIOD_BROKER_VALUE","DEEP_MEASURE_ID_OVERRIDE",$C236,"DEEP_BROKER_ID_OVERRIDE",BZ$24,"DEEP_PERIOD_OVERRIDE",$H$19)*1,"")))</f>
        <v/>
      </c>
    </row>
    <row r="237" spans="8:78" x14ac:dyDescent="0.25">
      <c r="H237" t="str">
        <f t="shared" si="4"/>
        <v/>
      </c>
      <c r="I237" t="str">
        <f>IF(OR(I$23="",ISNA($B237)),"",IF(ISBLANK($B237),"",IFERROR(_xll.BDP(TICKER,"DEEP_MEASURE_PERIOD_BROKER_VALUE","DEEP_MEASURE_ID_OVERRIDE",$C237,"DEEP_PERIOD_OVERRIDE",$H$19)*1,"")))</f>
        <v/>
      </c>
      <c r="J237" t="e">
        <f>IF(OR(J$23="",ISNA($B237)),"",IF(ISBLANK($B237),"",IFERROR(_xll.BDP(TICKER,"DEEP_MEASURE_PERIOD_BROKER_VALUE","DEEP_MEASURE_ID_OVERRIDE",$C237,"DEEP_BROKER_ID_OVERRIDE",J$24,"DEEP_PERIOD_OVERRIDE",$H$19)*1,"")))</f>
        <v>#REF!</v>
      </c>
      <c r="K237" t="str">
        <f>IF(OR(K$23="",ISNA($B237)),"",IF(ISBLANK($B237),"",IFERROR(_xll.BDP(TICKER,"DEEP_MEASURE_PERIOD_BROKER_VALUE","DEEP_MEASURE_ID_OVERRIDE",$C237,"DEEP_BROKER_ID_OVERRIDE",K$24,"DEEP_PERIOD_OVERRIDE",$H$19)*1,"")))</f>
        <v/>
      </c>
      <c r="L237" t="str">
        <f>IF(OR(L$23="",ISNA($B237)),"",IF(ISBLANK($B237),"",IFERROR(_xll.BDP(TICKER,"DEEP_MEASURE_PERIOD_BROKER_VALUE","DEEP_MEASURE_ID_OVERRIDE",$C237,"DEEP_BROKER_ID_OVERRIDE",L$24,"DEEP_PERIOD_OVERRIDE",$H$19)*1,"")))</f>
        <v/>
      </c>
      <c r="M237" t="str">
        <f>IF(OR(M$23="",ISNA($B237)),"",IF(ISBLANK($B237),"",IFERROR(_xll.BDP(TICKER,"DEEP_MEASURE_PERIOD_BROKER_VALUE","DEEP_MEASURE_ID_OVERRIDE",$C237,"DEEP_BROKER_ID_OVERRIDE",M$24,"DEEP_PERIOD_OVERRIDE",$H$19)*1,"")))</f>
        <v/>
      </c>
      <c r="N237" t="str">
        <f>IF(OR(N$23="",ISNA($B237)),"",IF(ISBLANK($B237),"",IFERROR(_xll.BDP(TICKER,"DEEP_MEASURE_PERIOD_BROKER_VALUE","DEEP_MEASURE_ID_OVERRIDE",$C237,"DEEP_BROKER_ID_OVERRIDE",N$24,"DEEP_PERIOD_OVERRIDE",$H$19)*1,"")))</f>
        <v/>
      </c>
      <c r="O237" t="str">
        <f>IF(OR(O$23="",ISNA($B237)),"",IF(ISBLANK($B237),"",IFERROR(_xll.BDP(TICKER,"DEEP_MEASURE_PERIOD_BROKER_VALUE","DEEP_MEASURE_ID_OVERRIDE",$C237,"DEEP_BROKER_ID_OVERRIDE",O$24,"DEEP_PERIOD_OVERRIDE",$H$19)*1,"")))</f>
        <v/>
      </c>
      <c r="P237" t="str">
        <f>IF(OR(P$23="",ISNA($B237)),"",IF(ISBLANK($B237),"",IFERROR(_xll.BDP(TICKER,"DEEP_MEASURE_PERIOD_BROKER_VALUE","DEEP_MEASURE_ID_OVERRIDE",$C237,"DEEP_BROKER_ID_OVERRIDE",P$24,"DEEP_PERIOD_OVERRIDE",$H$19)*1,"")))</f>
        <v/>
      </c>
      <c r="Q237" t="str">
        <f>IF(OR(Q$23="",ISNA($B237)),"",IF(ISBLANK($B237),"",IFERROR(_xll.BDP(TICKER,"DEEP_MEASURE_PERIOD_BROKER_VALUE","DEEP_MEASURE_ID_OVERRIDE",$C237,"DEEP_BROKER_ID_OVERRIDE",Q$24,"DEEP_PERIOD_OVERRIDE",$H$19)*1,"")))</f>
        <v/>
      </c>
      <c r="R237" t="str">
        <f>IF(OR(R$23="",ISNA($B237)),"",IF(ISBLANK($B237),"",IFERROR(_xll.BDP(TICKER,"DEEP_MEASURE_PERIOD_BROKER_VALUE","DEEP_MEASURE_ID_OVERRIDE",$C237,"DEEP_BROKER_ID_OVERRIDE",R$24,"DEEP_PERIOD_OVERRIDE",$H$19)*1,"")))</f>
        <v/>
      </c>
      <c r="S237" t="str">
        <f>IF(OR(S$23="",ISNA($B237)),"",IF(ISBLANK($B237),"",IFERROR(_xll.BDP(TICKER,"DEEP_MEASURE_PERIOD_BROKER_VALUE","DEEP_MEASURE_ID_OVERRIDE",$C237,"DEEP_BROKER_ID_OVERRIDE",S$24,"DEEP_PERIOD_OVERRIDE",$H$19)*1,"")))</f>
        <v/>
      </c>
      <c r="T237" t="str">
        <f>IF(OR(T$23="",ISNA($B237)),"",IF(ISBLANK($B237),"",IFERROR(_xll.BDP(TICKER,"DEEP_MEASURE_PERIOD_BROKER_VALUE","DEEP_MEASURE_ID_OVERRIDE",$C237,"DEEP_BROKER_ID_OVERRIDE",T$24,"DEEP_PERIOD_OVERRIDE",$H$19)*1,"")))</f>
        <v/>
      </c>
      <c r="U237" t="str">
        <f>IF(OR(U$23="",ISNA($B237)),"",IF(ISBLANK($B237),"",IFERROR(_xll.BDP(TICKER,"DEEP_MEASURE_PERIOD_BROKER_VALUE","DEEP_MEASURE_ID_OVERRIDE",$C237,"DEEP_BROKER_ID_OVERRIDE",U$24,"DEEP_PERIOD_OVERRIDE",$H$19)*1,"")))</f>
        <v/>
      </c>
      <c r="V237" t="str">
        <f>IF(OR(V$23="",ISNA($B237)),"",IF(ISBLANK($B237),"",IFERROR(_xll.BDP(TICKER,"DEEP_MEASURE_PERIOD_BROKER_VALUE","DEEP_MEASURE_ID_OVERRIDE",$C237,"DEEP_BROKER_ID_OVERRIDE",V$24,"DEEP_PERIOD_OVERRIDE",$H$19)*1,"")))</f>
        <v/>
      </c>
      <c r="W237" t="str">
        <f>IF(OR(W$23="",ISNA($B237)),"",IF(ISBLANK($B237),"",IFERROR(_xll.BDP(TICKER,"DEEP_MEASURE_PERIOD_BROKER_VALUE","DEEP_MEASURE_ID_OVERRIDE",$C237,"DEEP_BROKER_ID_OVERRIDE",W$24,"DEEP_PERIOD_OVERRIDE",$H$19)*1,"")))</f>
        <v/>
      </c>
      <c r="X237" t="str">
        <f>IF(OR(X$23="",ISNA($B237)),"",IF(ISBLANK($B237),"",IFERROR(_xll.BDP(TICKER,"DEEP_MEASURE_PERIOD_BROKER_VALUE","DEEP_MEASURE_ID_OVERRIDE",$C237,"DEEP_BROKER_ID_OVERRIDE",X$24,"DEEP_PERIOD_OVERRIDE",$H$19)*1,"")))</f>
        <v/>
      </c>
      <c r="Y237" t="str">
        <f>IF(OR(Y$23="",ISNA($B237)),"",IF(ISBLANK($B237),"",IFERROR(_xll.BDP(TICKER,"DEEP_MEASURE_PERIOD_BROKER_VALUE","DEEP_MEASURE_ID_OVERRIDE",$C237,"DEEP_BROKER_ID_OVERRIDE",Y$24,"DEEP_PERIOD_OVERRIDE",$H$19)*1,"")))</f>
        <v/>
      </c>
      <c r="Z237" t="str">
        <f>IF(OR(Z$23="",ISNA($B237)),"",IF(ISBLANK($B237),"",IFERROR(_xll.BDP(TICKER,"DEEP_MEASURE_PERIOD_BROKER_VALUE","DEEP_MEASURE_ID_OVERRIDE",$C237,"DEEP_BROKER_ID_OVERRIDE",Z$24,"DEEP_PERIOD_OVERRIDE",$H$19)*1,"")))</f>
        <v/>
      </c>
      <c r="AA237" t="str">
        <f>IF(OR(AA$23="",ISNA($B237)),"",IF(ISBLANK($B237),"",IFERROR(_xll.BDP(TICKER,"DEEP_MEASURE_PERIOD_BROKER_VALUE","DEEP_MEASURE_ID_OVERRIDE",$C237,"DEEP_BROKER_ID_OVERRIDE",AA$24,"DEEP_PERIOD_OVERRIDE",$H$19)*1,"")))</f>
        <v/>
      </c>
      <c r="AB237" t="str">
        <f>IF(OR(AB$23="",ISNA($B237)),"",IF(ISBLANK($B237),"",IFERROR(_xll.BDP(TICKER,"DEEP_MEASURE_PERIOD_BROKER_VALUE","DEEP_MEASURE_ID_OVERRIDE",$C237,"DEEP_BROKER_ID_OVERRIDE",AB$24,"DEEP_PERIOD_OVERRIDE",$H$19)*1,"")))</f>
        <v/>
      </c>
      <c r="AC237" t="str">
        <f>IF(OR(AC$23="",ISNA($B237)),"",IF(ISBLANK($B237),"",IFERROR(_xll.BDP(TICKER,"DEEP_MEASURE_PERIOD_BROKER_VALUE","DEEP_MEASURE_ID_OVERRIDE",$C237,"DEEP_BROKER_ID_OVERRIDE",AC$24,"DEEP_PERIOD_OVERRIDE",$H$19)*1,"")))</f>
        <v/>
      </c>
      <c r="AD237" t="str">
        <f>IF(OR(AD$23="",ISNA($B237)),"",IF(ISBLANK($B237),"",IFERROR(_xll.BDP(TICKER,"DEEP_MEASURE_PERIOD_BROKER_VALUE","DEEP_MEASURE_ID_OVERRIDE",$C237,"DEEP_BROKER_ID_OVERRIDE",AD$24,"DEEP_PERIOD_OVERRIDE",$H$19)*1,"")))</f>
        <v/>
      </c>
      <c r="AE237" t="str">
        <f>IF(OR(AE$23="",ISNA($B237)),"",IF(ISBLANK($B237),"",IFERROR(_xll.BDP(TICKER,"DEEP_MEASURE_PERIOD_BROKER_VALUE","DEEP_MEASURE_ID_OVERRIDE",$C237,"DEEP_BROKER_ID_OVERRIDE",AE$24,"DEEP_PERIOD_OVERRIDE",$H$19)*1,"")))</f>
        <v/>
      </c>
      <c r="AF237" t="str">
        <f>IF(OR(AF$23="",ISNA($B237)),"",IF(ISBLANK($B237),"",IFERROR(_xll.BDP(TICKER,"DEEP_MEASURE_PERIOD_BROKER_VALUE","DEEP_MEASURE_ID_OVERRIDE",$C237,"DEEP_BROKER_ID_OVERRIDE",AF$24,"DEEP_PERIOD_OVERRIDE",$H$19)*1,"")))</f>
        <v/>
      </c>
      <c r="AG237" t="str">
        <f>IF(OR(AG$23="",ISNA($B237)),"",IF(ISBLANK($B237),"",IFERROR(_xll.BDP(TICKER,"DEEP_MEASURE_PERIOD_BROKER_VALUE","DEEP_MEASURE_ID_OVERRIDE",$C237,"DEEP_BROKER_ID_OVERRIDE",AG$24,"DEEP_PERIOD_OVERRIDE",$H$19)*1,"")))</f>
        <v/>
      </c>
      <c r="AH237" t="str">
        <f>IF(OR(AH$23="",ISNA($B237)),"",IF(ISBLANK($B237),"",IFERROR(_xll.BDP(TICKER,"DEEP_MEASURE_PERIOD_BROKER_VALUE","DEEP_MEASURE_ID_OVERRIDE",$C237,"DEEP_BROKER_ID_OVERRIDE",AH$24,"DEEP_PERIOD_OVERRIDE",$H$19)*1,"")))</f>
        <v/>
      </c>
      <c r="AI237" t="str">
        <f>IF(OR(AI$23="",ISNA($B237)),"",IF(ISBLANK($B237),"",IFERROR(_xll.BDP(TICKER,"DEEP_MEASURE_PERIOD_BROKER_VALUE","DEEP_MEASURE_ID_OVERRIDE",$C237,"DEEP_BROKER_ID_OVERRIDE",AI$24,"DEEP_PERIOD_OVERRIDE",$H$19)*1,"")))</f>
        <v/>
      </c>
      <c r="AJ237" t="str">
        <f>IF(OR(AJ$23="",ISNA($B237)),"",IF(ISBLANK($B237),"",IFERROR(_xll.BDP(TICKER,"DEEP_MEASURE_PERIOD_BROKER_VALUE","DEEP_MEASURE_ID_OVERRIDE",$C237,"DEEP_BROKER_ID_OVERRIDE",AJ$24,"DEEP_PERIOD_OVERRIDE",$H$19)*1,"")))</f>
        <v/>
      </c>
      <c r="AK237" t="str">
        <f>IF(OR(AK$23="",ISNA($B237)),"",IF(ISBLANK($B237),"",IFERROR(_xll.BDP(TICKER,"DEEP_MEASURE_PERIOD_BROKER_VALUE","DEEP_MEASURE_ID_OVERRIDE",$C237,"DEEP_BROKER_ID_OVERRIDE",AK$24,"DEEP_PERIOD_OVERRIDE",$H$19)*1,"")))</f>
        <v/>
      </c>
      <c r="AL237" t="str">
        <f>IF(OR(AL$23="",ISNA($B237)),"",IF(ISBLANK($B237),"",IFERROR(_xll.BDP(TICKER,"DEEP_MEASURE_PERIOD_BROKER_VALUE","DEEP_MEASURE_ID_OVERRIDE",$C237,"DEEP_BROKER_ID_OVERRIDE",AL$24,"DEEP_PERIOD_OVERRIDE",$H$19)*1,"")))</f>
        <v/>
      </c>
      <c r="AM237" t="str">
        <f>IF(OR(AM$23="",ISNA($B237)),"",IF(ISBLANK($B237),"",IFERROR(_xll.BDP(TICKER,"DEEP_MEASURE_PERIOD_BROKER_VALUE","DEEP_MEASURE_ID_OVERRIDE",$C237,"DEEP_BROKER_ID_OVERRIDE",AM$24,"DEEP_PERIOD_OVERRIDE",$H$19)*1,"")))</f>
        <v/>
      </c>
      <c r="AN237" t="str">
        <f>IF(OR(AN$23="",ISNA($B237)),"",IF(ISBLANK($B237),"",IFERROR(_xll.BDP(TICKER,"DEEP_MEASURE_PERIOD_BROKER_VALUE","DEEP_MEASURE_ID_OVERRIDE",$C237,"DEEP_BROKER_ID_OVERRIDE",AN$24,"DEEP_PERIOD_OVERRIDE",$H$19)*1,"")))</f>
        <v/>
      </c>
      <c r="AO237" t="str">
        <f>IF(OR(AO$23="",ISNA($B237)),"",IF(ISBLANK($B237),"",IFERROR(_xll.BDP(TICKER,"DEEP_MEASURE_PERIOD_BROKER_VALUE","DEEP_MEASURE_ID_OVERRIDE",$C237,"DEEP_BROKER_ID_OVERRIDE",AO$24,"DEEP_PERIOD_OVERRIDE",$H$19)*1,"")))</f>
        <v/>
      </c>
      <c r="AP237" t="str">
        <f>IF(OR(AP$23="",ISNA($B237)),"",IF(ISBLANK($B237),"",IFERROR(_xll.BDP(TICKER,"DEEP_MEASURE_PERIOD_BROKER_VALUE","DEEP_MEASURE_ID_OVERRIDE",$C237,"DEEP_BROKER_ID_OVERRIDE",AP$24,"DEEP_PERIOD_OVERRIDE",$H$19)*1,"")))</f>
        <v/>
      </c>
      <c r="AQ237" t="str">
        <f>IF(OR(AQ$23="",ISNA($B237)),"",IF(ISBLANK($B237),"",IFERROR(_xll.BDP(TICKER,"DEEP_MEASURE_PERIOD_BROKER_VALUE","DEEP_MEASURE_ID_OVERRIDE",$C237,"DEEP_BROKER_ID_OVERRIDE",AQ$24,"DEEP_PERIOD_OVERRIDE",$H$19)*1,"")))</f>
        <v/>
      </c>
      <c r="AR237" t="str">
        <f>IF(OR(AR$23="",ISNA($B237)),"",IF(ISBLANK($B237),"",IFERROR(_xll.BDP(TICKER,"DEEP_MEASURE_PERIOD_BROKER_VALUE","DEEP_MEASURE_ID_OVERRIDE",$C237,"DEEP_BROKER_ID_OVERRIDE",AR$24,"DEEP_PERIOD_OVERRIDE",$H$19)*1,"")))</f>
        <v/>
      </c>
      <c r="AS237" t="str">
        <f>IF(OR(AS$23="",ISNA($B237)),"",IF(ISBLANK($B237),"",IFERROR(_xll.BDP(TICKER,"DEEP_MEASURE_PERIOD_BROKER_VALUE","DEEP_MEASURE_ID_OVERRIDE",$C237,"DEEP_BROKER_ID_OVERRIDE",AS$24,"DEEP_PERIOD_OVERRIDE",$H$19)*1,"")))</f>
        <v/>
      </c>
      <c r="AT237" t="str">
        <f>IF(OR(AT$23="",ISNA($B237)),"",IF(ISBLANK($B237),"",IFERROR(_xll.BDP(TICKER,"DEEP_MEASURE_PERIOD_BROKER_VALUE","DEEP_MEASURE_ID_OVERRIDE",$C237,"DEEP_BROKER_ID_OVERRIDE",AT$24,"DEEP_PERIOD_OVERRIDE",$H$19)*1,"")))</f>
        <v/>
      </c>
      <c r="AU237" t="str">
        <f>IF(OR(AU$23="",ISNA($B237)),"",IF(ISBLANK($B237),"",IFERROR(_xll.BDP(TICKER,"DEEP_MEASURE_PERIOD_BROKER_VALUE","DEEP_MEASURE_ID_OVERRIDE",$C237,"DEEP_BROKER_ID_OVERRIDE",AU$24,"DEEP_PERIOD_OVERRIDE",$H$19)*1,"")))</f>
        <v/>
      </c>
      <c r="AV237" t="str">
        <f>IF(OR(AV$23="",ISNA($B237)),"",IF(ISBLANK($B237),"",IFERROR(_xll.BDP(TICKER,"DEEP_MEASURE_PERIOD_BROKER_VALUE","DEEP_MEASURE_ID_OVERRIDE",$C237,"DEEP_BROKER_ID_OVERRIDE",AV$24,"DEEP_PERIOD_OVERRIDE",$H$19)*1,"")))</f>
        <v/>
      </c>
      <c r="AW237" t="str">
        <f>IF(OR(AW$23="",ISNA($B237)),"",IF(ISBLANK($B237),"",IFERROR(_xll.BDP(TICKER,"DEEP_MEASURE_PERIOD_BROKER_VALUE","DEEP_MEASURE_ID_OVERRIDE",$C237,"DEEP_BROKER_ID_OVERRIDE",AW$24,"DEEP_PERIOD_OVERRIDE",$H$19)*1,"")))</f>
        <v/>
      </c>
      <c r="AX237" t="str">
        <f>IF(OR(AX$23="",ISNA($B237)),"",IF(ISBLANK($B237),"",IFERROR(_xll.BDP(TICKER,"DEEP_MEASURE_PERIOD_BROKER_VALUE","DEEP_MEASURE_ID_OVERRIDE",$C237,"DEEP_BROKER_ID_OVERRIDE",AX$24,"DEEP_PERIOD_OVERRIDE",$H$19)*1,"")))</f>
        <v/>
      </c>
      <c r="AY237" t="str">
        <f>IF(OR(AY$23="",ISNA($B237)),"",IF(ISBLANK($B237),"",IFERROR(_xll.BDP(TICKER,"DEEP_MEASURE_PERIOD_BROKER_VALUE","DEEP_MEASURE_ID_OVERRIDE",$C237,"DEEP_BROKER_ID_OVERRIDE",AY$24,"DEEP_PERIOD_OVERRIDE",$H$19)*1,"")))</f>
        <v/>
      </c>
      <c r="AZ237" t="str">
        <f>IF(OR(AZ$23="",ISNA($B237)),"",IF(ISBLANK($B237),"",IFERROR(_xll.BDP(TICKER,"DEEP_MEASURE_PERIOD_BROKER_VALUE","DEEP_MEASURE_ID_OVERRIDE",$C237,"DEEP_BROKER_ID_OVERRIDE",AZ$24,"DEEP_PERIOD_OVERRIDE",$H$19)*1,"")))</f>
        <v/>
      </c>
      <c r="BA237" t="str">
        <f>IF(OR(BA$23="",ISNA($B237)),"",IF(ISBLANK($B237),"",IFERROR(_xll.BDP(TICKER,"DEEP_MEASURE_PERIOD_BROKER_VALUE","DEEP_MEASURE_ID_OVERRIDE",$C237,"DEEP_BROKER_ID_OVERRIDE",BA$24,"DEEP_PERIOD_OVERRIDE",$H$19)*1,"")))</f>
        <v/>
      </c>
      <c r="BB237" t="str">
        <f>IF(OR(BB$23="",ISNA($B237)),"",IF(ISBLANK($B237),"",IFERROR(_xll.BDP(TICKER,"DEEP_MEASURE_PERIOD_BROKER_VALUE","DEEP_MEASURE_ID_OVERRIDE",$C237,"DEEP_BROKER_ID_OVERRIDE",BB$24,"DEEP_PERIOD_OVERRIDE",$H$19)*1,"")))</f>
        <v/>
      </c>
      <c r="BC237" t="str">
        <f>IF(OR(BC$23="",ISNA($B237)),"",IF(ISBLANK($B237),"",IFERROR(_xll.BDP(TICKER,"DEEP_MEASURE_PERIOD_BROKER_VALUE","DEEP_MEASURE_ID_OVERRIDE",$C237,"DEEP_BROKER_ID_OVERRIDE",BC$24,"DEEP_PERIOD_OVERRIDE",$H$19)*1,"")))</f>
        <v/>
      </c>
      <c r="BD237" t="str">
        <f>IF(OR(BD$23="",ISNA($B237)),"",IF(ISBLANK($B237),"",IFERROR(_xll.BDP(TICKER,"DEEP_MEASURE_PERIOD_BROKER_VALUE","DEEP_MEASURE_ID_OVERRIDE",$C237,"DEEP_BROKER_ID_OVERRIDE",BD$24,"DEEP_PERIOD_OVERRIDE",$H$19)*1,"")))</f>
        <v/>
      </c>
      <c r="BE237" t="str">
        <f>IF(OR(BE$23="",ISNA($B237)),"",IF(ISBLANK($B237),"",IFERROR(_xll.BDP(TICKER,"DEEP_MEASURE_PERIOD_BROKER_VALUE","DEEP_MEASURE_ID_OVERRIDE",$C237,"DEEP_BROKER_ID_OVERRIDE",BE$24,"DEEP_PERIOD_OVERRIDE",$H$19)*1,"")))</f>
        <v/>
      </c>
      <c r="BF237" t="str">
        <f>IF(OR(BF$23="",ISNA($B237)),"",IF(ISBLANK($B237),"",IFERROR(_xll.BDP(TICKER,"DEEP_MEASURE_PERIOD_BROKER_VALUE","DEEP_MEASURE_ID_OVERRIDE",$C237,"DEEP_BROKER_ID_OVERRIDE",BF$24,"DEEP_PERIOD_OVERRIDE",$H$19)*1,"")))</f>
        <v/>
      </c>
      <c r="BG237" t="str">
        <f>IF(OR(BG$23="",ISNA($B237)),"",IF(ISBLANK($B237),"",IFERROR(_xll.BDP(TICKER,"DEEP_MEASURE_PERIOD_BROKER_VALUE","DEEP_MEASURE_ID_OVERRIDE",$C237,"DEEP_BROKER_ID_OVERRIDE",BG$24,"DEEP_PERIOD_OVERRIDE",$H$19)*1,"")))</f>
        <v/>
      </c>
      <c r="BH237" t="str">
        <f>IF(OR(BH$23="",ISNA($B237)),"",IF(ISBLANK($B237),"",IFERROR(_xll.BDP(TICKER,"DEEP_MEASURE_PERIOD_BROKER_VALUE","DEEP_MEASURE_ID_OVERRIDE",$C237,"DEEP_BROKER_ID_OVERRIDE",BH$24,"DEEP_PERIOD_OVERRIDE",$H$19)*1,"")))</f>
        <v/>
      </c>
      <c r="BI237" t="str">
        <f>IF(OR(BI$23="",ISNA($B237)),"",IF(ISBLANK($B237),"",IFERROR(_xll.BDP(TICKER,"DEEP_MEASURE_PERIOD_BROKER_VALUE","DEEP_MEASURE_ID_OVERRIDE",$C237,"DEEP_BROKER_ID_OVERRIDE",BI$24,"DEEP_PERIOD_OVERRIDE",$H$19)*1,"")))</f>
        <v/>
      </c>
      <c r="BJ237" t="str">
        <f>IF(OR(BJ$23="",ISNA($B237)),"",IF(ISBLANK($B237),"",IFERROR(_xll.BDP(TICKER,"DEEP_MEASURE_PERIOD_BROKER_VALUE","DEEP_MEASURE_ID_OVERRIDE",$C237,"DEEP_BROKER_ID_OVERRIDE",BJ$24,"DEEP_PERIOD_OVERRIDE",$H$19)*1,"")))</f>
        <v/>
      </c>
      <c r="BK237" t="str">
        <f>IF(OR(BK$23="",ISNA($B237)),"",IF(ISBLANK($B237),"",IFERROR(_xll.BDP(TICKER,"DEEP_MEASURE_PERIOD_BROKER_VALUE","DEEP_MEASURE_ID_OVERRIDE",$C237,"DEEP_BROKER_ID_OVERRIDE",BK$24,"DEEP_PERIOD_OVERRIDE",$H$19)*1,"")))</f>
        <v/>
      </c>
      <c r="BL237" t="str">
        <f>IF(OR(BL$23="",ISNA($B237)),"",IF(ISBLANK($B237),"",IFERROR(_xll.BDP(TICKER,"DEEP_MEASURE_PERIOD_BROKER_VALUE","DEEP_MEASURE_ID_OVERRIDE",$C237,"DEEP_BROKER_ID_OVERRIDE",BL$24,"DEEP_PERIOD_OVERRIDE",$H$19)*1,"")))</f>
        <v/>
      </c>
      <c r="BM237" t="str">
        <f>IF(OR(BM$23="",ISNA($B237)),"",IF(ISBLANK($B237),"",IFERROR(_xll.BDP(TICKER,"DEEP_MEASURE_PERIOD_BROKER_VALUE","DEEP_MEASURE_ID_OVERRIDE",$C237,"DEEP_BROKER_ID_OVERRIDE",BM$24,"DEEP_PERIOD_OVERRIDE",$H$19)*1,"")))</f>
        <v/>
      </c>
      <c r="BN237" t="str">
        <f>IF(OR(BN$23="",ISNA($B237)),"",IF(ISBLANK($B237),"",IFERROR(_xll.BDP(TICKER,"DEEP_MEASURE_PERIOD_BROKER_VALUE","DEEP_MEASURE_ID_OVERRIDE",$C237,"DEEP_BROKER_ID_OVERRIDE",BN$24,"DEEP_PERIOD_OVERRIDE",$H$19)*1,"")))</f>
        <v/>
      </c>
      <c r="BO237" t="str">
        <f>IF(OR(BO$23="",ISNA($B237)),"",IF(ISBLANK($B237),"",IFERROR(_xll.BDP(TICKER,"DEEP_MEASURE_PERIOD_BROKER_VALUE","DEEP_MEASURE_ID_OVERRIDE",$C237,"DEEP_BROKER_ID_OVERRIDE",BO$24,"DEEP_PERIOD_OVERRIDE",$H$19)*1,"")))</f>
        <v/>
      </c>
      <c r="BP237" t="str">
        <f>IF(OR(BP$23="",ISNA($B237)),"",IF(ISBLANK($B237),"",IFERROR(_xll.BDP(TICKER,"DEEP_MEASURE_PERIOD_BROKER_VALUE","DEEP_MEASURE_ID_OVERRIDE",$C237,"DEEP_BROKER_ID_OVERRIDE",BP$24,"DEEP_PERIOD_OVERRIDE",$H$19)*1,"")))</f>
        <v/>
      </c>
      <c r="BQ237" t="str">
        <f>IF(OR(BQ$23="",ISNA($B237)),"",IF(ISBLANK($B237),"",IFERROR(_xll.BDP(TICKER,"DEEP_MEASURE_PERIOD_BROKER_VALUE","DEEP_MEASURE_ID_OVERRIDE",$C237,"DEEP_BROKER_ID_OVERRIDE",BQ$24,"DEEP_PERIOD_OVERRIDE",$H$19)*1,"")))</f>
        <v/>
      </c>
      <c r="BR237" t="str">
        <f>IF(OR(BR$23="",ISNA($B237)),"",IF(ISBLANK($B237),"",IFERROR(_xll.BDP(TICKER,"DEEP_MEASURE_PERIOD_BROKER_VALUE","DEEP_MEASURE_ID_OVERRIDE",$C237,"DEEP_BROKER_ID_OVERRIDE",BR$24,"DEEP_PERIOD_OVERRIDE",$H$19)*1,"")))</f>
        <v/>
      </c>
      <c r="BS237" t="str">
        <f>IF(OR(BS$23="",ISNA($B237)),"",IF(ISBLANK($B237),"",IFERROR(_xll.BDP(TICKER,"DEEP_MEASURE_PERIOD_BROKER_VALUE","DEEP_MEASURE_ID_OVERRIDE",$C237,"DEEP_BROKER_ID_OVERRIDE",BS$24,"DEEP_PERIOD_OVERRIDE",$H$19)*1,"")))</f>
        <v/>
      </c>
      <c r="BT237" t="str">
        <f>IF(OR(BT$23="",ISNA($B237)),"",IF(ISBLANK($B237),"",IFERROR(_xll.BDP(TICKER,"DEEP_MEASURE_PERIOD_BROKER_VALUE","DEEP_MEASURE_ID_OVERRIDE",$C237,"DEEP_BROKER_ID_OVERRIDE",BT$24,"DEEP_PERIOD_OVERRIDE",$H$19)*1,"")))</f>
        <v/>
      </c>
      <c r="BU237" t="str">
        <f>IF(OR(BU$23="",ISNA($B237)),"",IF(ISBLANK($B237),"",IFERROR(_xll.BDP(TICKER,"DEEP_MEASURE_PERIOD_BROKER_VALUE","DEEP_MEASURE_ID_OVERRIDE",$C237,"DEEP_BROKER_ID_OVERRIDE",BU$24,"DEEP_PERIOD_OVERRIDE",$H$19)*1,"")))</f>
        <v/>
      </c>
      <c r="BV237" t="str">
        <f>IF(OR(BV$23="",ISNA($B237)),"",IF(ISBLANK($B237),"",IFERROR(_xll.BDP(TICKER,"DEEP_MEASURE_PERIOD_BROKER_VALUE","DEEP_MEASURE_ID_OVERRIDE",$C237,"DEEP_BROKER_ID_OVERRIDE",BV$24,"DEEP_PERIOD_OVERRIDE",$H$19)*1,"")))</f>
        <v/>
      </c>
      <c r="BW237" t="str">
        <f>IF(OR(BW$23="",ISNA($B237)),"",IF(ISBLANK($B237),"",IFERROR(_xll.BDP(TICKER,"DEEP_MEASURE_PERIOD_BROKER_VALUE","DEEP_MEASURE_ID_OVERRIDE",$C237,"DEEP_BROKER_ID_OVERRIDE",BW$24,"DEEP_PERIOD_OVERRIDE",$H$19)*1,"")))</f>
        <v/>
      </c>
      <c r="BX237" t="str">
        <f>IF(OR(BX$23="",ISNA($B237)),"",IF(ISBLANK($B237),"",IFERROR(_xll.BDP(TICKER,"DEEP_MEASURE_PERIOD_BROKER_VALUE","DEEP_MEASURE_ID_OVERRIDE",$C237,"DEEP_BROKER_ID_OVERRIDE",BX$24,"DEEP_PERIOD_OVERRIDE",$H$19)*1,"")))</f>
        <v/>
      </c>
      <c r="BY237" t="str">
        <f>IF(OR(BY$23="",ISNA($B237)),"",IF(ISBLANK($B237),"",IFERROR(_xll.BDP(TICKER,"DEEP_MEASURE_PERIOD_BROKER_VALUE","DEEP_MEASURE_ID_OVERRIDE",$C237,"DEEP_BROKER_ID_OVERRIDE",BY$24,"DEEP_PERIOD_OVERRIDE",$H$19)*1,"")))</f>
        <v/>
      </c>
      <c r="BZ237" t="str">
        <f>IF(OR(BZ$23="",ISNA($B237)),"",IF(ISBLANK($B237),"",IFERROR(_xll.BDP(TICKER,"DEEP_MEASURE_PERIOD_BROKER_VALUE","DEEP_MEASURE_ID_OVERRIDE",$C237,"DEEP_BROKER_ID_OVERRIDE",BZ$24,"DEEP_PERIOD_OVERRIDE",$H$19)*1,"")))</f>
        <v/>
      </c>
    </row>
    <row r="238" spans="8:78" x14ac:dyDescent="0.25">
      <c r="H238" t="str">
        <f t="shared" si="4"/>
        <v/>
      </c>
      <c r="I238" t="str">
        <f>IF(OR(I$23="",ISNA($B238)),"",IF(ISBLANK($B238),"",IFERROR(_xll.BDP(TICKER,"DEEP_MEASURE_PERIOD_BROKER_VALUE","DEEP_MEASURE_ID_OVERRIDE",$C238,"DEEP_PERIOD_OVERRIDE",$H$19)*1,"")))</f>
        <v/>
      </c>
      <c r="J238" t="e">
        <f>IF(OR(J$23="",ISNA($B238)),"",IF(ISBLANK($B238),"",IFERROR(_xll.BDP(TICKER,"DEEP_MEASURE_PERIOD_BROKER_VALUE","DEEP_MEASURE_ID_OVERRIDE",$C238,"DEEP_BROKER_ID_OVERRIDE",J$24,"DEEP_PERIOD_OVERRIDE",$H$19)*1,"")))</f>
        <v>#REF!</v>
      </c>
      <c r="K238" t="str">
        <f>IF(OR(K$23="",ISNA($B238)),"",IF(ISBLANK($B238),"",IFERROR(_xll.BDP(TICKER,"DEEP_MEASURE_PERIOD_BROKER_VALUE","DEEP_MEASURE_ID_OVERRIDE",$C238,"DEEP_BROKER_ID_OVERRIDE",K$24,"DEEP_PERIOD_OVERRIDE",$H$19)*1,"")))</f>
        <v/>
      </c>
      <c r="L238" t="str">
        <f>IF(OR(L$23="",ISNA($B238)),"",IF(ISBLANK($B238),"",IFERROR(_xll.BDP(TICKER,"DEEP_MEASURE_PERIOD_BROKER_VALUE","DEEP_MEASURE_ID_OVERRIDE",$C238,"DEEP_BROKER_ID_OVERRIDE",L$24,"DEEP_PERIOD_OVERRIDE",$H$19)*1,"")))</f>
        <v/>
      </c>
      <c r="M238" t="str">
        <f>IF(OR(M$23="",ISNA($B238)),"",IF(ISBLANK($B238),"",IFERROR(_xll.BDP(TICKER,"DEEP_MEASURE_PERIOD_BROKER_VALUE","DEEP_MEASURE_ID_OVERRIDE",$C238,"DEEP_BROKER_ID_OVERRIDE",M$24,"DEEP_PERIOD_OVERRIDE",$H$19)*1,"")))</f>
        <v/>
      </c>
      <c r="N238" t="str">
        <f>IF(OR(N$23="",ISNA($B238)),"",IF(ISBLANK($B238),"",IFERROR(_xll.BDP(TICKER,"DEEP_MEASURE_PERIOD_BROKER_VALUE","DEEP_MEASURE_ID_OVERRIDE",$C238,"DEEP_BROKER_ID_OVERRIDE",N$24,"DEEP_PERIOD_OVERRIDE",$H$19)*1,"")))</f>
        <v/>
      </c>
      <c r="O238" t="str">
        <f>IF(OR(O$23="",ISNA($B238)),"",IF(ISBLANK($B238),"",IFERROR(_xll.BDP(TICKER,"DEEP_MEASURE_PERIOD_BROKER_VALUE","DEEP_MEASURE_ID_OVERRIDE",$C238,"DEEP_BROKER_ID_OVERRIDE",O$24,"DEEP_PERIOD_OVERRIDE",$H$19)*1,"")))</f>
        <v/>
      </c>
      <c r="P238" t="str">
        <f>IF(OR(P$23="",ISNA($B238)),"",IF(ISBLANK($B238),"",IFERROR(_xll.BDP(TICKER,"DEEP_MEASURE_PERIOD_BROKER_VALUE","DEEP_MEASURE_ID_OVERRIDE",$C238,"DEEP_BROKER_ID_OVERRIDE",P$24,"DEEP_PERIOD_OVERRIDE",$H$19)*1,"")))</f>
        <v/>
      </c>
      <c r="Q238" t="str">
        <f>IF(OR(Q$23="",ISNA($B238)),"",IF(ISBLANK($B238),"",IFERROR(_xll.BDP(TICKER,"DEEP_MEASURE_PERIOD_BROKER_VALUE","DEEP_MEASURE_ID_OVERRIDE",$C238,"DEEP_BROKER_ID_OVERRIDE",Q$24,"DEEP_PERIOD_OVERRIDE",$H$19)*1,"")))</f>
        <v/>
      </c>
      <c r="R238" t="str">
        <f>IF(OR(R$23="",ISNA($B238)),"",IF(ISBLANK($B238),"",IFERROR(_xll.BDP(TICKER,"DEEP_MEASURE_PERIOD_BROKER_VALUE","DEEP_MEASURE_ID_OVERRIDE",$C238,"DEEP_BROKER_ID_OVERRIDE",R$24,"DEEP_PERIOD_OVERRIDE",$H$19)*1,"")))</f>
        <v/>
      </c>
      <c r="S238" t="str">
        <f>IF(OR(S$23="",ISNA($B238)),"",IF(ISBLANK($B238),"",IFERROR(_xll.BDP(TICKER,"DEEP_MEASURE_PERIOD_BROKER_VALUE","DEEP_MEASURE_ID_OVERRIDE",$C238,"DEEP_BROKER_ID_OVERRIDE",S$24,"DEEP_PERIOD_OVERRIDE",$H$19)*1,"")))</f>
        <v/>
      </c>
      <c r="T238" t="str">
        <f>IF(OR(T$23="",ISNA($B238)),"",IF(ISBLANK($B238),"",IFERROR(_xll.BDP(TICKER,"DEEP_MEASURE_PERIOD_BROKER_VALUE","DEEP_MEASURE_ID_OVERRIDE",$C238,"DEEP_BROKER_ID_OVERRIDE",T$24,"DEEP_PERIOD_OVERRIDE",$H$19)*1,"")))</f>
        <v/>
      </c>
      <c r="U238" t="str">
        <f>IF(OR(U$23="",ISNA($B238)),"",IF(ISBLANK($B238),"",IFERROR(_xll.BDP(TICKER,"DEEP_MEASURE_PERIOD_BROKER_VALUE","DEEP_MEASURE_ID_OVERRIDE",$C238,"DEEP_BROKER_ID_OVERRIDE",U$24,"DEEP_PERIOD_OVERRIDE",$H$19)*1,"")))</f>
        <v/>
      </c>
      <c r="V238" t="str">
        <f>IF(OR(V$23="",ISNA($B238)),"",IF(ISBLANK($B238),"",IFERROR(_xll.BDP(TICKER,"DEEP_MEASURE_PERIOD_BROKER_VALUE","DEEP_MEASURE_ID_OVERRIDE",$C238,"DEEP_BROKER_ID_OVERRIDE",V$24,"DEEP_PERIOD_OVERRIDE",$H$19)*1,"")))</f>
        <v/>
      </c>
      <c r="W238" t="str">
        <f>IF(OR(W$23="",ISNA($B238)),"",IF(ISBLANK($B238),"",IFERROR(_xll.BDP(TICKER,"DEEP_MEASURE_PERIOD_BROKER_VALUE","DEEP_MEASURE_ID_OVERRIDE",$C238,"DEEP_BROKER_ID_OVERRIDE",W$24,"DEEP_PERIOD_OVERRIDE",$H$19)*1,"")))</f>
        <v/>
      </c>
      <c r="X238" t="str">
        <f>IF(OR(X$23="",ISNA($B238)),"",IF(ISBLANK($B238),"",IFERROR(_xll.BDP(TICKER,"DEEP_MEASURE_PERIOD_BROKER_VALUE","DEEP_MEASURE_ID_OVERRIDE",$C238,"DEEP_BROKER_ID_OVERRIDE",X$24,"DEEP_PERIOD_OVERRIDE",$H$19)*1,"")))</f>
        <v/>
      </c>
      <c r="Y238" t="str">
        <f>IF(OR(Y$23="",ISNA($B238)),"",IF(ISBLANK($B238),"",IFERROR(_xll.BDP(TICKER,"DEEP_MEASURE_PERIOD_BROKER_VALUE","DEEP_MEASURE_ID_OVERRIDE",$C238,"DEEP_BROKER_ID_OVERRIDE",Y$24,"DEEP_PERIOD_OVERRIDE",$H$19)*1,"")))</f>
        <v/>
      </c>
      <c r="Z238" t="str">
        <f>IF(OR(Z$23="",ISNA($B238)),"",IF(ISBLANK($B238),"",IFERROR(_xll.BDP(TICKER,"DEEP_MEASURE_PERIOD_BROKER_VALUE","DEEP_MEASURE_ID_OVERRIDE",$C238,"DEEP_BROKER_ID_OVERRIDE",Z$24,"DEEP_PERIOD_OVERRIDE",$H$19)*1,"")))</f>
        <v/>
      </c>
      <c r="AA238" t="str">
        <f>IF(OR(AA$23="",ISNA($B238)),"",IF(ISBLANK($B238),"",IFERROR(_xll.BDP(TICKER,"DEEP_MEASURE_PERIOD_BROKER_VALUE","DEEP_MEASURE_ID_OVERRIDE",$C238,"DEEP_BROKER_ID_OVERRIDE",AA$24,"DEEP_PERIOD_OVERRIDE",$H$19)*1,"")))</f>
        <v/>
      </c>
      <c r="AB238" t="str">
        <f>IF(OR(AB$23="",ISNA($B238)),"",IF(ISBLANK($B238),"",IFERROR(_xll.BDP(TICKER,"DEEP_MEASURE_PERIOD_BROKER_VALUE","DEEP_MEASURE_ID_OVERRIDE",$C238,"DEEP_BROKER_ID_OVERRIDE",AB$24,"DEEP_PERIOD_OVERRIDE",$H$19)*1,"")))</f>
        <v/>
      </c>
      <c r="AC238" t="str">
        <f>IF(OR(AC$23="",ISNA($B238)),"",IF(ISBLANK($B238),"",IFERROR(_xll.BDP(TICKER,"DEEP_MEASURE_PERIOD_BROKER_VALUE","DEEP_MEASURE_ID_OVERRIDE",$C238,"DEEP_BROKER_ID_OVERRIDE",AC$24,"DEEP_PERIOD_OVERRIDE",$H$19)*1,"")))</f>
        <v/>
      </c>
      <c r="AD238" t="str">
        <f>IF(OR(AD$23="",ISNA($B238)),"",IF(ISBLANK($B238),"",IFERROR(_xll.BDP(TICKER,"DEEP_MEASURE_PERIOD_BROKER_VALUE","DEEP_MEASURE_ID_OVERRIDE",$C238,"DEEP_BROKER_ID_OVERRIDE",AD$24,"DEEP_PERIOD_OVERRIDE",$H$19)*1,"")))</f>
        <v/>
      </c>
      <c r="AE238" t="str">
        <f>IF(OR(AE$23="",ISNA($B238)),"",IF(ISBLANK($B238),"",IFERROR(_xll.BDP(TICKER,"DEEP_MEASURE_PERIOD_BROKER_VALUE","DEEP_MEASURE_ID_OVERRIDE",$C238,"DEEP_BROKER_ID_OVERRIDE",AE$24,"DEEP_PERIOD_OVERRIDE",$H$19)*1,"")))</f>
        <v/>
      </c>
      <c r="AF238" t="str">
        <f>IF(OR(AF$23="",ISNA($B238)),"",IF(ISBLANK($B238),"",IFERROR(_xll.BDP(TICKER,"DEEP_MEASURE_PERIOD_BROKER_VALUE","DEEP_MEASURE_ID_OVERRIDE",$C238,"DEEP_BROKER_ID_OVERRIDE",AF$24,"DEEP_PERIOD_OVERRIDE",$H$19)*1,"")))</f>
        <v/>
      </c>
      <c r="AG238" t="str">
        <f>IF(OR(AG$23="",ISNA($B238)),"",IF(ISBLANK($B238),"",IFERROR(_xll.BDP(TICKER,"DEEP_MEASURE_PERIOD_BROKER_VALUE","DEEP_MEASURE_ID_OVERRIDE",$C238,"DEEP_BROKER_ID_OVERRIDE",AG$24,"DEEP_PERIOD_OVERRIDE",$H$19)*1,"")))</f>
        <v/>
      </c>
      <c r="AH238" t="str">
        <f>IF(OR(AH$23="",ISNA($B238)),"",IF(ISBLANK($B238),"",IFERROR(_xll.BDP(TICKER,"DEEP_MEASURE_PERIOD_BROKER_VALUE","DEEP_MEASURE_ID_OVERRIDE",$C238,"DEEP_BROKER_ID_OVERRIDE",AH$24,"DEEP_PERIOD_OVERRIDE",$H$19)*1,"")))</f>
        <v/>
      </c>
      <c r="AI238" t="str">
        <f>IF(OR(AI$23="",ISNA($B238)),"",IF(ISBLANK($B238),"",IFERROR(_xll.BDP(TICKER,"DEEP_MEASURE_PERIOD_BROKER_VALUE","DEEP_MEASURE_ID_OVERRIDE",$C238,"DEEP_BROKER_ID_OVERRIDE",AI$24,"DEEP_PERIOD_OVERRIDE",$H$19)*1,"")))</f>
        <v/>
      </c>
      <c r="AJ238" t="str">
        <f>IF(OR(AJ$23="",ISNA($B238)),"",IF(ISBLANK($B238),"",IFERROR(_xll.BDP(TICKER,"DEEP_MEASURE_PERIOD_BROKER_VALUE","DEEP_MEASURE_ID_OVERRIDE",$C238,"DEEP_BROKER_ID_OVERRIDE",AJ$24,"DEEP_PERIOD_OVERRIDE",$H$19)*1,"")))</f>
        <v/>
      </c>
      <c r="AK238" t="str">
        <f>IF(OR(AK$23="",ISNA($B238)),"",IF(ISBLANK($B238),"",IFERROR(_xll.BDP(TICKER,"DEEP_MEASURE_PERIOD_BROKER_VALUE","DEEP_MEASURE_ID_OVERRIDE",$C238,"DEEP_BROKER_ID_OVERRIDE",AK$24,"DEEP_PERIOD_OVERRIDE",$H$19)*1,"")))</f>
        <v/>
      </c>
      <c r="AL238" t="str">
        <f>IF(OR(AL$23="",ISNA($B238)),"",IF(ISBLANK($B238),"",IFERROR(_xll.BDP(TICKER,"DEEP_MEASURE_PERIOD_BROKER_VALUE","DEEP_MEASURE_ID_OVERRIDE",$C238,"DEEP_BROKER_ID_OVERRIDE",AL$24,"DEEP_PERIOD_OVERRIDE",$H$19)*1,"")))</f>
        <v/>
      </c>
      <c r="AM238" t="str">
        <f>IF(OR(AM$23="",ISNA($B238)),"",IF(ISBLANK($B238),"",IFERROR(_xll.BDP(TICKER,"DEEP_MEASURE_PERIOD_BROKER_VALUE","DEEP_MEASURE_ID_OVERRIDE",$C238,"DEEP_BROKER_ID_OVERRIDE",AM$24,"DEEP_PERIOD_OVERRIDE",$H$19)*1,"")))</f>
        <v/>
      </c>
      <c r="AN238" t="str">
        <f>IF(OR(AN$23="",ISNA($B238)),"",IF(ISBLANK($B238),"",IFERROR(_xll.BDP(TICKER,"DEEP_MEASURE_PERIOD_BROKER_VALUE","DEEP_MEASURE_ID_OVERRIDE",$C238,"DEEP_BROKER_ID_OVERRIDE",AN$24,"DEEP_PERIOD_OVERRIDE",$H$19)*1,"")))</f>
        <v/>
      </c>
      <c r="AO238" t="str">
        <f>IF(OR(AO$23="",ISNA($B238)),"",IF(ISBLANK($B238),"",IFERROR(_xll.BDP(TICKER,"DEEP_MEASURE_PERIOD_BROKER_VALUE","DEEP_MEASURE_ID_OVERRIDE",$C238,"DEEP_BROKER_ID_OVERRIDE",AO$24,"DEEP_PERIOD_OVERRIDE",$H$19)*1,"")))</f>
        <v/>
      </c>
      <c r="AP238" t="str">
        <f>IF(OR(AP$23="",ISNA($B238)),"",IF(ISBLANK($B238),"",IFERROR(_xll.BDP(TICKER,"DEEP_MEASURE_PERIOD_BROKER_VALUE","DEEP_MEASURE_ID_OVERRIDE",$C238,"DEEP_BROKER_ID_OVERRIDE",AP$24,"DEEP_PERIOD_OVERRIDE",$H$19)*1,"")))</f>
        <v/>
      </c>
      <c r="AQ238" t="str">
        <f>IF(OR(AQ$23="",ISNA($B238)),"",IF(ISBLANK($B238),"",IFERROR(_xll.BDP(TICKER,"DEEP_MEASURE_PERIOD_BROKER_VALUE","DEEP_MEASURE_ID_OVERRIDE",$C238,"DEEP_BROKER_ID_OVERRIDE",AQ$24,"DEEP_PERIOD_OVERRIDE",$H$19)*1,"")))</f>
        <v/>
      </c>
      <c r="AR238" t="str">
        <f>IF(OR(AR$23="",ISNA($B238)),"",IF(ISBLANK($B238),"",IFERROR(_xll.BDP(TICKER,"DEEP_MEASURE_PERIOD_BROKER_VALUE","DEEP_MEASURE_ID_OVERRIDE",$C238,"DEEP_BROKER_ID_OVERRIDE",AR$24,"DEEP_PERIOD_OVERRIDE",$H$19)*1,"")))</f>
        <v/>
      </c>
      <c r="AS238" t="str">
        <f>IF(OR(AS$23="",ISNA($B238)),"",IF(ISBLANK($B238),"",IFERROR(_xll.BDP(TICKER,"DEEP_MEASURE_PERIOD_BROKER_VALUE","DEEP_MEASURE_ID_OVERRIDE",$C238,"DEEP_BROKER_ID_OVERRIDE",AS$24,"DEEP_PERIOD_OVERRIDE",$H$19)*1,"")))</f>
        <v/>
      </c>
      <c r="AT238" t="str">
        <f>IF(OR(AT$23="",ISNA($B238)),"",IF(ISBLANK($B238),"",IFERROR(_xll.BDP(TICKER,"DEEP_MEASURE_PERIOD_BROKER_VALUE","DEEP_MEASURE_ID_OVERRIDE",$C238,"DEEP_BROKER_ID_OVERRIDE",AT$24,"DEEP_PERIOD_OVERRIDE",$H$19)*1,"")))</f>
        <v/>
      </c>
      <c r="AU238" t="str">
        <f>IF(OR(AU$23="",ISNA($B238)),"",IF(ISBLANK($B238),"",IFERROR(_xll.BDP(TICKER,"DEEP_MEASURE_PERIOD_BROKER_VALUE","DEEP_MEASURE_ID_OVERRIDE",$C238,"DEEP_BROKER_ID_OVERRIDE",AU$24,"DEEP_PERIOD_OVERRIDE",$H$19)*1,"")))</f>
        <v/>
      </c>
      <c r="AV238" t="str">
        <f>IF(OR(AV$23="",ISNA($B238)),"",IF(ISBLANK($B238),"",IFERROR(_xll.BDP(TICKER,"DEEP_MEASURE_PERIOD_BROKER_VALUE","DEEP_MEASURE_ID_OVERRIDE",$C238,"DEEP_BROKER_ID_OVERRIDE",AV$24,"DEEP_PERIOD_OVERRIDE",$H$19)*1,"")))</f>
        <v/>
      </c>
      <c r="AW238" t="str">
        <f>IF(OR(AW$23="",ISNA($B238)),"",IF(ISBLANK($B238),"",IFERROR(_xll.BDP(TICKER,"DEEP_MEASURE_PERIOD_BROKER_VALUE","DEEP_MEASURE_ID_OVERRIDE",$C238,"DEEP_BROKER_ID_OVERRIDE",AW$24,"DEEP_PERIOD_OVERRIDE",$H$19)*1,"")))</f>
        <v/>
      </c>
      <c r="AX238" t="str">
        <f>IF(OR(AX$23="",ISNA($B238)),"",IF(ISBLANK($B238),"",IFERROR(_xll.BDP(TICKER,"DEEP_MEASURE_PERIOD_BROKER_VALUE","DEEP_MEASURE_ID_OVERRIDE",$C238,"DEEP_BROKER_ID_OVERRIDE",AX$24,"DEEP_PERIOD_OVERRIDE",$H$19)*1,"")))</f>
        <v/>
      </c>
      <c r="AY238" t="str">
        <f>IF(OR(AY$23="",ISNA($B238)),"",IF(ISBLANK($B238),"",IFERROR(_xll.BDP(TICKER,"DEEP_MEASURE_PERIOD_BROKER_VALUE","DEEP_MEASURE_ID_OVERRIDE",$C238,"DEEP_BROKER_ID_OVERRIDE",AY$24,"DEEP_PERIOD_OVERRIDE",$H$19)*1,"")))</f>
        <v/>
      </c>
      <c r="AZ238" t="str">
        <f>IF(OR(AZ$23="",ISNA($B238)),"",IF(ISBLANK($B238),"",IFERROR(_xll.BDP(TICKER,"DEEP_MEASURE_PERIOD_BROKER_VALUE","DEEP_MEASURE_ID_OVERRIDE",$C238,"DEEP_BROKER_ID_OVERRIDE",AZ$24,"DEEP_PERIOD_OVERRIDE",$H$19)*1,"")))</f>
        <v/>
      </c>
      <c r="BA238" t="str">
        <f>IF(OR(BA$23="",ISNA($B238)),"",IF(ISBLANK($B238),"",IFERROR(_xll.BDP(TICKER,"DEEP_MEASURE_PERIOD_BROKER_VALUE","DEEP_MEASURE_ID_OVERRIDE",$C238,"DEEP_BROKER_ID_OVERRIDE",BA$24,"DEEP_PERIOD_OVERRIDE",$H$19)*1,"")))</f>
        <v/>
      </c>
      <c r="BB238" t="str">
        <f>IF(OR(BB$23="",ISNA($B238)),"",IF(ISBLANK($B238),"",IFERROR(_xll.BDP(TICKER,"DEEP_MEASURE_PERIOD_BROKER_VALUE","DEEP_MEASURE_ID_OVERRIDE",$C238,"DEEP_BROKER_ID_OVERRIDE",BB$24,"DEEP_PERIOD_OVERRIDE",$H$19)*1,"")))</f>
        <v/>
      </c>
      <c r="BC238" t="str">
        <f>IF(OR(BC$23="",ISNA($B238)),"",IF(ISBLANK($B238),"",IFERROR(_xll.BDP(TICKER,"DEEP_MEASURE_PERIOD_BROKER_VALUE","DEEP_MEASURE_ID_OVERRIDE",$C238,"DEEP_BROKER_ID_OVERRIDE",BC$24,"DEEP_PERIOD_OVERRIDE",$H$19)*1,"")))</f>
        <v/>
      </c>
      <c r="BD238" t="str">
        <f>IF(OR(BD$23="",ISNA($B238)),"",IF(ISBLANK($B238),"",IFERROR(_xll.BDP(TICKER,"DEEP_MEASURE_PERIOD_BROKER_VALUE","DEEP_MEASURE_ID_OVERRIDE",$C238,"DEEP_BROKER_ID_OVERRIDE",BD$24,"DEEP_PERIOD_OVERRIDE",$H$19)*1,"")))</f>
        <v/>
      </c>
      <c r="BE238" t="str">
        <f>IF(OR(BE$23="",ISNA($B238)),"",IF(ISBLANK($B238),"",IFERROR(_xll.BDP(TICKER,"DEEP_MEASURE_PERIOD_BROKER_VALUE","DEEP_MEASURE_ID_OVERRIDE",$C238,"DEEP_BROKER_ID_OVERRIDE",BE$24,"DEEP_PERIOD_OVERRIDE",$H$19)*1,"")))</f>
        <v/>
      </c>
      <c r="BF238" t="str">
        <f>IF(OR(BF$23="",ISNA($B238)),"",IF(ISBLANK($B238),"",IFERROR(_xll.BDP(TICKER,"DEEP_MEASURE_PERIOD_BROKER_VALUE","DEEP_MEASURE_ID_OVERRIDE",$C238,"DEEP_BROKER_ID_OVERRIDE",BF$24,"DEEP_PERIOD_OVERRIDE",$H$19)*1,"")))</f>
        <v/>
      </c>
      <c r="BG238" t="str">
        <f>IF(OR(BG$23="",ISNA($B238)),"",IF(ISBLANK($B238),"",IFERROR(_xll.BDP(TICKER,"DEEP_MEASURE_PERIOD_BROKER_VALUE","DEEP_MEASURE_ID_OVERRIDE",$C238,"DEEP_BROKER_ID_OVERRIDE",BG$24,"DEEP_PERIOD_OVERRIDE",$H$19)*1,"")))</f>
        <v/>
      </c>
      <c r="BH238" t="str">
        <f>IF(OR(BH$23="",ISNA($B238)),"",IF(ISBLANK($B238),"",IFERROR(_xll.BDP(TICKER,"DEEP_MEASURE_PERIOD_BROKER_VALUE","DEEP_MEASURE_ID_OVERRIDE",$C238,"DEEP_BROKER_ID_OVERRIDE",BH$24,"DEEP_PERIOD_OVERRIDE",$H$19)*1,"")))</f>
        <v/>
      </c>
      <c r="BI238" t="str">
        <f>IF(OR(BI$23="",ISNA($B238)),"",IF(ISBLANK($B238),"",IFERROR(_xll.BDP(TICKER,"DEEP_MEASURE_PERIOD_BROKER_VALUE","DEEP_MEASURE_ID_OVERRIDE",$C238,"DEEP_BROKER_ID_OVERRIDE",BI$24,"DEEP_PERIOD_OVERRIDE",$H$19)*1,"")))</f>
        <v/>
      </c>
      <c r="BJ238" t="str">
        <f>IF(OR(BJ$23="",ISNA($B238)),"",IF(ISBLANK($B238),"",IFERROR(_xll.BDP(TICKER,"DEEP_MEASURE_PERIOD_BROKER_VALUE","DEEP_MEASURE_ID_OVERRIDE",$C238,"DEEP_BROKER_ID_OVERRIDE",BJ$24,"DEEP_PERIOD_OVERRIDE",$H$19)*1,"")))</f>
        <v/>
      </c>
      <c r="BK238" t="str">
        <f>IF(OR(BK$23="",ISNA($B238)),"",IF(ISBLANK($B238),"",IFERROR(_xll.BDP(TICKER,"DEEP_MEASURE_PERIOD_BROKER_VALUE","DEEP_MEASURE_ID_OVERRIDE",$C238,"DEEP_BROKER_ID_OVERRIDE",BK$24,"DEEP_PERIOD_OVERRIDE",$H$19)*1,"")))</f>
        <v/>
      </c>
      <c r="BL238" t="str">
        <f>IF(OR(BL$23="",ISNA($B238)),"",IF(ISBLANK($B238),"",IFERROR(_xll.BDP(TICKER,"DEEP_MEASURE_PERIOD_BROKER_VALUE","DEEP_MEASURE_ID_OVERRIDE",$C238,"DEEP_BROKER_ID_OVERRIDE",BL$24,"DEEP_PERIOD_OVERRIDE",$H$19)*1,"")))</f>
        <v/>
      </c>
      <c r="BM238" t="str">
        <f>IF(OR(BM$23="",ISNA($B238)),"",IF(ISBLANK($B238),"",IFERROR(_xll.BDP(TICKER,"DEEP_MEASURE_PERIOD_BROKER_VALUE","DEEP_MEASURE_ID_OVERRIDE",$C238,"DEEP_BROKER_ID_OVERRIDE",BM$24,"DEEP_PERIOD_OVERRIDE",$H$19)*1,"")))</f>
        <v/>
      </c>
      <c r="BN238" t="str">
        <f>IF(OR(BN$23="",ISNA($B238)),"",IF(ISBLANK($B238),"",IFERROR(_xll.BDP(TICKER,"DEEP_MEASURE_PERIOD_BROKER_VALUE","DEEP_MEASURE_ID_OVERRIDE",$C238,"DEEP_BROKER_ID_OVERRIDE",BN$24,"DEEP_PERIOD_OVERRIDE",$H$19)*1,"")))</f>
        <v/>
      </c>
      <c r="BO238" t="str">
        <f>IF(OR(BO$23="",ISNA($B238)),"",IF(ISBLANK($B238),"",IFERROR(_xll.BDP(TICKER,"DEEP_MEASURE_PERIOD_BROKER_VALUE","DEEP_MEASURE_ID_OVERRIDE",$C238,"DEEP_BROKER_ID_OVERRIDE",BO$24,"DEEP_PERIOD_OVERRIDE",$H$19)*1,"")))</f>
        <v/>
      </c>
      <c r="BP238" t="str">
        <f>IF(OR(BP$23="",ISNA($B238)),"",IF(ISBLANK($B238),"",IFERROR(_xll.BDP(TICKER,"DEEP_MEASURE_PERIOD_BROKER_VALUE","DEEP_MEASURE_ID_OVERRIDE",$C238,"DEEP_BROKER_ID_OVERRIDE",BP$24,"DEEP_PERIOD_OVERRIDE",$H$19)*1,"")))</f>
        <v/>
      </c>
      <c r="BQ238" t="str">
        <f>IF(OR(BQ$23="",ISNA($B238)),"",IF(ISBLANK($B238),"",IFERROR(_xll.BDP(TICKER,"DEEP_MEASURE_PERIOD_BROKER_VALUE","DEEP_MEASURE_ID_OVERRIDE",$C238,"DEEP_BROKER_ID_OVERRIDE",BQ$24,"DEEP_PERIOD_OVERRIDE",$H$19)*1,"")))</f>
        <v/>
      </c>
      <c r="BR238" t="str">
        <f>IF(OR(BR$23="",ISNA($B238)),"",IF(ISBLANK($B238),"",IFERROR(_xll.BDP(TICKER,"DEEP_MEASURE_PERIOD_BROKER_VALUE","DEEP_MEASURE_ID_OVERRIDE",$C238,"DEEP_BROKER_ID_OVERRIDE",BR$24,"DEEP_PERIOD_OVERRIDE",$H$19)*1,"")))</f>
        <v/>
      </c>
      <c r="BS238" t="str">
        <f>IF(OR(BS$23="",ISNA($B238)),"",IF(ISBLANK($B238),"",IFERROR(_xll.BDP(TICKER,"DEEP_MEASURE_PERIOD_BROKER_VALUE","DEEP_MEASURE_ID_OVERRIDE",$C238,"DEEP_BROKER_ID_OVERRIDE",BS$24,"DEEP_PERIOD_OVERRIDE",$H$19)*1,"")))</f>
        <v/>
      </c>
      <c r="BT238" t="str">
        <f>IF(OR(BT$23="",ISNA($B238)),"",IF(ISBLANK($B238),"",IFERROR(_xll.BDP(TICKER,"DEEP_MEASURE_PERIOD_BROKER_VALUE","DEEP_MEASURE_ID_OVERRIDE",$C238,"DEEP_BROKER_ID_OVERRIDE",BT$24,"DEEP_PERIOD_OVERRIDE",$H$19)*1,"")))</f>
        <v/>
      </c>
      <c r="BU238" t="str">
        <f>IF(OR(BU$23="",ISNA($B238)),"",IF(ISBLANK($B238),"",IFERROR(_xll.BDP(TICKER,"DEEP_MEASURE_PERIOD_BROKER_VALUE","DEEP_MEASURE_ID_OVERRIDE",$C238,"DEEP_BROKER_ID_OVERRIDE",BU$24,"DEEP_PERIOD_OVERRIDE",$H$19)*1,"")))</f>
        <v/>
      </c>
      <c r="BV238" t="str">
        <f>IF(OR(BV$23="",ISNA($B238)),"",IF(ISBLANK($B238),"",IFERROR(_xll.BDP(TICKER,"DEEP_MEASURE_PERIOD_BROKER_VALUE","DEEP_MEASURE_ID_OVERRIDE",$C238,"DEEP_BROKER_ID_OVERRIDE",BV$24,"DEEP_PERIOD_OVERRIDE",$H$19)*1,"")))</f>
        <v/>
      </c>
      <c r="BW238" t="str">
        <f>IF(OR(BW$23="",ISNA($B238)),"",IF(ISBLANK($B238),"",IFERROR(_xll.BDP(TICKER,"DEEP_MEASURE_PERIOD_BROKER_VALUE","DEEP_MEASURE_ID_OVERRIDE",$C238,"DEEP_BROKER_ID_OVERRIDE",BW$24,"DEEP_PERIOD_OVERRIDE",$H$19)*1,"")))</f>
        <v/>
      </c>
      <c r="BX238" t="str">
        <f>IF(OR(BX$23="",ISNA($B238)),"",IF(ISBLANK($B238),"",IFERROR(_xll.BDP(TICKER,"DEEP_MEASURE_PERIOD_BROKER_VALUE","DEEP_MEASURE_ID_OVERRIDE",$C238,"DEEP_BROKER_ID_OVERRIDE",BX$24,"DEEP_PERIOD_OVERRIDE",$H$19)*1,"")))</f>
        <v/>
      </c>
      <c r="BY238" t="str">
        <f>IF(OR(BY$23="",ISNA($B238)),"",IF(ISBLANK($B238),"",IFERROR(_xll.BDP(TICKER,"DEEP_MEASURE_PERIOD_BROKER_VALUE","DEEP_MEASURE_ID_OVERRIDE",$C238,"DEEP_BROKER_ID_OVERRIDE",BY$24,"DEEP_PERIOD_OVERRIDE",$H$19)*1,"")))</f>
        <v/>
      </c>
      <c r="BZ238" t="str">
        <f>IF(OR(BZ$23="",ISNA($B238)),"",IF(ISBLANK($B238),"",IFERROR(_xll.BDP(TICKER,"DEEP_MEASURE_PERIOD_BROKER_VALUE","DEEP_MEASURE_ID_OVERRIDE",$C238,"DEEP_BROKER_ID_OVERRIDE",BZ$24,"DEEP_PERIOD_OVERRIDE",$H$19)*1,"")))</f>
        <v/>
      </c>
    </row>
    <row r="239" spans="8:78" x14ac:dyDescent="0.25">
      <c r="H239" t="str">
        <f t="shared" si="4"/>
        <v/>
      </c>
      <c r="I239" t="str">
        <f>IF(OR(I$23="",ISNA($B239)),"",IF(ISBLANK($B239),"",IFERROR(_xll.BDP(TICKER,"DEEP_MEASURE_PERIOD_BROKER_VALUE","DEEP_MEASURE_ID_OVERRIDE",$C239,"DEEP_PERIOD_OVERRIDE",$H$19)*1,"")))</f>
        <v/>
      </c>
      <c r="J239" t="e">
        <f>IF(OR(J$23="",ISNA($B239)),"",IF(ISBLANK($B239),"",IFERROR(_xll.BDP(TICKER,"DEEP_MEASURE_PERIOD_BROKER_VALUE","DEEP_MEASURE_ID_OVERRIDE",$C239,"DEEP_BROKER_ID_OVERRIDE",J$24,"DEEP_PERIOD_OVERRIDE",$H$19)*1,"")))</f>
        <v>#REF!</v>
      </c>
      <c r="K239" t="str">
        <f>IF(OR(K$23="",ISNA($B239)),"",IF(ISBLANK($B239),"",IFERROR(_xll.BDP(TICKER,"DEEP_MEASURE_PERIOD_BROKER_VALUE","DEEP_MEASURE_ID_OVERRIDE",$C239,"DEEP_BROKER_ID_OVERRIDE",K$24,"DEEP_PERIOD_OVERRIDE",$H$19)*1,"")))</f>
        <v/>
      </c>
      <c r="L239" t="str">
        <f>IF(OR(L$23="",ISNA($B239)),"",IF(ISBLANK($B239),"",IFERROR(_xll.BDP(TICKER,"DEEP_MEASURE_PERIOD_BROKER_VALUE","DEEP_MEASURE_ID_OVERRIDE",$C239,"DEEP_BROKER_ID_OVERRIDE",L$24,"DEEP_PERIOD_OVERRIDE",$H$19)*1,"")))</f>
        <v/>
      </c>
      <c r="M239" t="str">
        <f>IF(OR(M$23="",ISNA($B239)),"",IF(ISBLANK($B239),"",IFERROR(_xll.BDP(TICKER,"DEEP_MEASURE_PERIOD_BROKER_VALUE","DEEP_MEASURE_ID_OVERRIDE",$C239,"DEEP_BROKER_ID_OVERRIDE",M$24,"DEEP_PERIOD_OVERRIDE",$H$19)*1,"")))</f>
        <v/>
      </c>
      <c r="N239" t="str">
        <f>IF(OR(N$23="",ISNA($B239)),"",IF(ISBLANK($B239),"",IFERROR(_xll.BDP(TICKER,"DEEP_MEASURE_PERIOD_BROKER_VALUE","DEEP_MEASURE_ID_OVERRIDE",$C239,"DEEP_BROKER_ID_OVERRIDE",N$24,"DEEP_PERIOD_OVERRIDE",$H$19)*1,"")))</f>
        <v/>
      </c>
      <c r="O239" t="str">
        <f>IF(OR(O$23="",ISNA($B239)),"",IF(ISBLANK($B239),"",IFERROR(_xll.BDP(TICKER,"DEEP_MEASURE_PERIOD_BROKER_VALUE","DEEP_MEASURE_ID_OVERRIDE",$C239,"DEEP_BROKER_ID_OVERRIDE",O$24,"DEEP_PERIOD_OVERRIDE",$H$19)*1,"")))</f>
        <v/>
      </c>
      <c r="P239" t="str">
        <f>IF(OR(P$23="",ISNA($B239)),"",IF(ISBLANK($B239),"",IFERROR(_xll.BDP(TICKER,"DEEP_MEASURE_PERIOD_BROKER_VALUE","DEEP_MEASURE_ID_OVERRIDE",$C239,"DEEP_BROKER_ID_OVERRIDE",P$24,"DEEP_PERIOD_OVERRIDE",$H$19)*1,"")))</f>
        <v/>
      </c>
      <c r="Q239" t="str">
        <f>IF(OR(Q$23="",ISNA($B239)),"",IF(ISBLANK($B239),"",IFERROR(_xll.BDP(TICKER,"DEEP_MEASURE_PERIOD_BROKER_VALUE","DEEP_MEASURE_ID_OVERRIDE",$C239,"DEEP_BROKER_ID_OVERRIDE",Q$24,"DEEP_PERIOD_OVERRIDE",$H$19)*1,"")))</f>
        <v/>
      </c>
      <c r="R239" t="str">
        <f>IF(OR(R$23="",ISNA($B239)),"",IF(ISBLANK($B239),"",IFERROR(_xll.BDP(TICKER,"DEEP_MEASURE_PERIOD_BROKER_VALUE","DEEP_MEASURE_ID_OVERRIDE",$C239,"DEEP_BROKER_ID_OVERRIDE",R$24,"DEEP_PERIOD_OVERRIDE",$H$19)*1,"")))</f>
        <v/>
      </c>
      <c r="S239" t="str">
        <f>IF(OR(S$23="",ISNA($B239)),"",IF(ISBLANK($B239),"",IFERROR(_xll.BDP(TICKER,"DEEP_MEASURE_PERIOD_BROKER_VALUE","DEEP_MEASURE_ID_OVERRIDE",$C239,"DEEP_BROKER_ID_OVERRIDE",S$24,"DEEP_PERIOD_OVERRIDE",$H$19)*1,"")))</f>
        <v/>
      </c>
      <c r="T239" t="str">
        <f>IF(OR(T$23="",ISNA($B239)),"",IF(ISBLANK($B239),"",IFERROR(_xll.BDP(TICKER,"DEEP_MEASURE_PERIOD_BROKER_VALUE","DEEP_MEASURE_ID_OVERRIDE",$C239,"DEEP_BROKER_ID_OVERRIDE",T$24,"DEEP_PERIOD_OVERRIDE",$H$19)*1,"")))</f>
        <v/>
      </c>
      <c r="U239" t="str">
        <f>IF(OR(U$23="",ISNA($B239)),"",IF(ISBLANK($B239),"",IFERROR(_xll.BDP(TICKER,"DEEP_MEASURE_PERIOD_BROKER_VALUE","DEEP_MEASURE_ID_OVERRIDE",$C239,"DEEP_BROKER_ID_OVERRIDE",U$24,"DEEP_PERIOD_OVERRIDE",$H$19)*1,"")))</f>
        <v/>
      </c>
      <c r="V239" t="str">
        <f>IF(OR(V$23="",ISNA($B239)),"",IF(ISBLANK($B239),"",IFERROR(_xll.BDP(TICKER,"DEEP_MEASURE_PERIOD_BROKER_VALUE","DEEP_MEASURE_ID_OVERRIDE",$C239,"DEEP_BROKER_ID_OVERRIDE",V$24,"DEEP_PERIOD_OVERRIDE",$H$19)*1,"")))</f>
        <v/>
      </c>
      <c r="W239" t="str">
        <f>IF(OR(W$23="",ISNA($B239)),"",IF(ISBLANK($B239),"",IFERROR(_xll.BDP(TICKER,"DEEP_MEASURE_PERIOD_BROKER_VALUE","DEEP_MEASURE_ID_OVERRIDE",$C239,"DEEP_BROKER_ID_OVERRIDE",W$24,"DEEP_PERIOD_OVERRIDE",$H$19)*1,"")))</f>
        <v/>
      </c>
      <c r="X239" t="str">
        <f>IF(OR(X$23="",ISNA($B239)),"",IF(ISBLANK($B239),"",IFERROR(_xll.BDP(TICKER,"DEEP_MEASURE_PERIOD_BROKER_VALUE","DEEP_MEASURE_ID_OVERRIDE",$C239,"DEEP_BROKER_ID_OVERRIDE",X$24,"DEEP_PERIOD_OVERRIDE",$H$19)*1,"")))</f>
        <v/>
      </c>
      <c r="Y239" t="str">
        <f>IF(OR(Y$23="",ISNA($B239)),"",IF(ISBLANK($B239),"",IFERROR(_xll.BDP(TICKER,"DEEP_MEASURE_PERIOD_BROKER_VALUE","DEEP_MEASURE_ID_OVERRIDE",$C239,"DEEP_BROKER_ID_OVERRIDE",Y$24,"DEEP_PERIOD_OVERRIDE",$H$19)*1,"")))</f>
        <v/>
      </c>
      <c r="Z239" t="str">
        <f>IF(OR(Z$23="",ISNA($B239)),"",IF(ISBLANK($B239),"",IFERROR(_xll.BDP(TICKER,"DEEP_MEASURE_PERIOD_BROKER_VALUE","DEEP_MEASURE_ID_OVERRIDE",$C239,"DEEP_BROKER_ID_OVERRIDE",Z$24,"DEEP_PERIOD_OVERRIDE",$H$19)*1,"")))</f>
        <v/>
      </c>
      <c r="AA239" t="str">
        <f>IF(OR(AA$23="",ISNA($B239)),"",IF(ISBLANK($B239),"",IFERROR(_xll.BDP(TICKER,"DEEP_MEASURE_PERIOD_BROKER_VALUE","DEEP_MEASURE_ID_OVERRIDE",$C239,"DEEP_BROKER_ID_OVERRIDE",AA$24,"DEEP_PERIOD_OVERRIDE",$H$19)*1,"")))</f>
        <v/>
      </c>
      <c r="AB239" t="str">
        <f>IF(OR(AB$23="",ISNA($B239)),"",IF(ISBLANK($B239),"",IFERROR(_xll.BDP(TICKER,"DEEP_MEASURE_PERIOD_BROKER_VALUE","DEEP_MEASURE_ID_OVERRIDE",$C239,"DEEP_BROKER_ID_OVERRIDE",AB$24,"DEEP_PERIOD_OVERRIDE",$H$19)*1,"")))</f>
        <v/>
      </c>
      <c r="AC239" t="str">
        <f>IF(OR(AC$23="",ISNA($B239)),"",IF(ISBLANK($B239),"",IFERROR(_xll.BDP(TICKER,"DEEP_MEASURE_PERIOD_BROKER_VALUE","DEEP_MEASURE_ID_OVERRIDE",$C239,"DEEP_BROKER_ID_OVERRIDE",AC$24,"DEEP_PERIOD_OVERRIDE",$H$19)*1,"")))</f>
        <v/>
      </c>
      <c r="AD239" t="str">
        <f>IF(OR(AD$23="",ISNA($B239)),"",IF(ISBLANK($B239),"",IFERROR(_xll.BDP(TICKER,"DEEP_MEASURE_PERIOD_BROKER_VALUE","DEEP_MEASURE_ID_OVERRIDE",$C239,"DEEP_BROKER_ID_OVERRIDE",AD$24,"DEEP_PERIOD_OVERRIDE",$H$19)*1,"")))</f>
        <v/>
      </c>
      <c r="AE239" t="str">
        <f>IF(OR(AE$23="",ISNA($B239)),"",IF(ISBLANK($B239),"",IFERROR(_xll.BDP(TICKER,"DEEP_MEASURE_PERIOD_BROKER_VALUE","DEEP_MEASURE_ID_OVERRIDE",$C239,"DEEP_BROKER_ID_OVERRIDE",AE$24,"DEEP_PERIOD_OVERRIDE",$H$19)*1,"")))</f>
        <v/>
      </c>
      <c r="AF239" t="str">
        <f>IF(OR(AF$23="",ISNA($B239)),"",IF(ISBLANK($B239),"",IFERROR(_xll.BDP(TICKER,"DEEP_MEASURE_PERIOD_BROKER_VALUE","DEEP_MEASURE_ID_OVERRIDE",$C239,"DEEP_BROKER_ID_OVERRIDE",AF$24,"DEEP_PERIOD_OVERRIDE",$H$19)*1,"")))</f>
        <v/>
      </c>
      <c r="AG239" t="str">
        <f>IF(OR(AG$23="",ISNA($B239)),"",IF(ISBLANK($B239),"",IFERROR(_xll.BDP(TICKER,"DEEP_MEASURE_PERIOD_BROKER_VALUE","DEEP_MEASURE_ID_OVERRIDE",$C239,"DEEP_BROKER_ID_OVERRIDE",AG$24,"DEEP_PERIOD_OVERRIDE",$H$19)*1,"")))</f>
        <v/>
      </c>
      <c r="AH239" t="str">
        <f>IF(OR(AH$23="",ISNA($B239)),"",IF(ISBLANK($B239),"",IFERROR(_xll.BDP(TICKER,"DEEP_MEASURE_PERIOD_BROKER_VALUE","DEEP_MEASURE_ID_OVERRIDE",$C239,"DEEP_BROKER_ID_OVERRIDE",AH$24,"DEEP_PERIOD_OVERRIDE",$H$19)*1,"")))</f>
        <v/>
      </c>
      <c r="AI239" t="str">
        <f>IF(OR(AI$23="",ISNA($B239)),"",IF(ISBLANK($B239),"",IFERROR(_xll.BDP(TICKER,"DEEP_MEASURE_PERIOD_BROKER_VALUE","DEEP_MEASURE_ID_OVERRIDE",$C239,"DEEP_BROKER_ID_OVERRIDE",AI$24,"DEEP_PERIOD_OVERRIDE",$H$19)*1,"")))</f>
        <v/>
      </c>
      <c r="AJ239" t="str">
        <f>IF(OR(AJ$23="",ISNA($B239)),"",IF(ISBLANK($B239),"",IFERROR(_xll.BDP(TICKER,"DEEP_MEASURE_PERIOD_BROKER_VALUE","DEEP_MEASURE_ID_OVERRIDE",$C239,"DEEP_BROKER_ID_OVERRIDE",AJ$24,"DEEP_PERIOD_OVERRIDE",$H$19)*1,"")))</f>
        <v/>
      </c>
      <c r="AK239" t="str">
        <f>IF(OR(AK$23="",ISNA($B239)),"",IF(ISBLANK($B239),"",IFERROR(_xll.BDP(TICKER,"DEEP_MEASURE_PERIOD_BROKER_VALUE","DEEP_MEASURE_ID_OVERRIDE",$C239,"DEEP_BROKER_ID_OVERRIDE",AK$24,"DEEP_PERIOD_OVERRIDE",$H$19)*1,"")))</f>
        <v/>
      </c>
      <c r="AL239" t="str">
        <f>IF(OR(AL$23="",ISNA($B239)),"",IF(ISBLANK($B239),"",IFERROR(_xll.BDP(TICKER,"DEEP_MEASURE_PERIOD_BROKER_VALUE","DEEP_MEASURE_ID_OVERRIDE",$C239,"DEEP_BROKER_ID_OVERRIDE",AL$24,"DEEP_PERIOD_OVERRIDE",$H$19)*1,"")))</f>
        <v/>
      </c>
      <c r="AM239" t="str">
        <f>IF(OR(AM$23="",ISNA($B239)),"",IF(ISBLANK($B239),"",IFERROR(_xll.BDP(TICKER,"DEEP_MEASURE_PERIOD_BROKER_VALUE","DEEP_MEASURE_ID_OVERRIDE",$C239,"DEEP_BROKER_ID_OVERRIDE",AM$24,"DEEP_PERIOD_OVERRIDE",$H$19)*1,"")))</f>
        <v/>
      </c>
      <c r="AN239" t="str">
        <f>IF(OR(AN$23="",ISNA($B239)),"",IF(ISBLANK($B239),"",IFERROR(_xll.BDP(TICKER,"DEEP_MEASURE_PERIOD_BROKER_VALUE","DEEP_MEASURE_ID_OVERRIDE",$C239,"DEEP_BROKER_ID_OVERRIDE",AN$24,"DEEP_PERIOD_OVERRIDE",$H$19)*1,"")))</f>
        <v/>
      </c>
      <c r="AO239" t="str">
        <f>IF(OR(AO$23="",ISNA($B239)),"",IF(ISBLANK($B239),"",IFERROR(_xll.BDP(TICKER,"DEEP_MEASURE_PERIOD_BROKER_VALUE","DEEP_MEASURE_ID_OVERRIDE",$C239,"DEEP_BROKER_ID_OVERRIDE",AO$24,"DEEP_PERIOD_OVERRIDE",$H$19)*1,"")))</f>
        <v/>
      </c>
      <c r="AP239" t="str">
        <f>IF(OR(AP$23="",ISNA($B239)),"",IF(ISBLANK($B239),"",IFERROR(_xll.BDP(TICKER,"DEEP_MEASURE_PERIOD_BROKER_VALUE","DEEP_MEASURE_ID_OVERRIDE",$C239,"DEEP_BROKER_ID_OVERRIDE",AP$24,"DEEP_PERIOD_OVERRIDE",$H$19)*1,"")))</f>
        <v/>
      </c>
      <c r="AQ239" t="str">
        <f>IF(OR(AQ$23="",ISNA($B239)),"",IF(ISBLANK($B239),"",IFERROR(_xll.BDP(TICKER,"DEEP_MEASURE_PERIOD_BROKER_VALUE","DEEP_MEASURE_ID_OVERRIDE",$C239,"DEEP_BROKER_ID_OVERRIDE",AQ$24,"DEEP_PERIOD_OVERRIDE",$H$19)*1,"")))</f>
        <v/>
      </c>
      <c r="AR239" t="str">
        <f>IF(OR(AR$23="",ISNA($B239)),"",IF(ISBLANK($B239),"",IFERROR(_xll.BDP(TICKER,"DEEP_MEASURE_PERIOD_BROKER_VALUE","DEEP_MEASURE_ID_OVERRIDE",$C239,"DEEP_BROKER_ID_OVERRIDE",AR$24,"DEEP_PERIOD_OVERRIDE",$H$19)*1,"")))</f>
        <v/>
      </c>
      <c r="AS239" t="str">
        <f>IF(OR(AS$23="",ISNA($B239)),"",IF(ISBLANK($B239),"",IFERROR(_xll.BDP(TICKER,"DEEP_MEASURE_PERIOD_BROKER_VALUE","DEEP_MEASURE_ID_OVERRIDE",$C239,"DEEP_BROKER_ID_OVERRIDE",AS$24,"DEEP_PERIOD_OVERRIDE",$H$19)*1,"")))</f>
        <v/>
      </c>
      <c r="AT239" t="str">
        <f>IF(OR(AT$23="",ISNA($B239)),"",IF(ISBLANK($B239),"",IFERROR(_xll.BDP(TICKER,"DEEP_MEASURE_PERIOD_BROKER_VALUE","DEEP_MEASURE_ID_OVERRIDE",$C239,"DEEP_BROKER_ID_OVERRIDE",AT$24,"DEEP_PERIOD_OVERRIDE",$H$19)*1,"")))</f>
        <v/>
      </c>
      <c r="AU239" t="str">
        <f>IF(OR(AU$23="",ISNA($B239)),"",IF(ISBLANK($B239),"",IFERROR(_xll.BDP(TICKER,"DEEP_MEASURE_PERIOD_BROKER_VALUE","DEEP_MEASURE_ID_OVERRIDE",$C239,"DEEP_BROKER_ID_OVERRIDE",AU$24,"DEEP_PERIOD_OVERRIDE",$H$19)*1,"")))</f>
        <v/>
      </c>
      <c r="AV239" t="str">
        <f>IF(OR(AV$23="",ISNA($B239)),"",IF(ISBLANK($B239),"",IFERROR(_xll.BDP(TICKER,"DEEP_MEASURE_PERIOD_BROKER_VALUE","DEEP_MEASURE_ID_OVERRIDE",$C239,"DEEP_BROKER_ID_OVERRIDE",AV$24,"DEEP_PERIOD_OVERRIDE",$H$19)*1,"")))</f>
        <v/>
      </c>
      <c r="AW239" t="str">
        <f>IF(OR(AW$23="",ISNA($B239)),"",IF(ISBLANK($B239),"",IFERROR(_xll.BDP(TICKER,"DEEP_MEASURE_PERIOD_BROKER_VALUE","DEEP_MEASURE_ID_OVERRIDE",$C239,"DEEP_BROKER_ID_OVERRIDE",AW$24,"DEEP_PERIOD_OVERRIDE",$H$19)*1,"")))</f>
        <v/>
      </c>
      <c r="AX239" t="str">
        <f>IF(OR(AX$23="",ISNA($B239)),"",IF(ISBLANK($B239),"",IFERROR(_xll.BDP(TICKER,"DEEP_MEASURE_PERIOD_BROKER_VALUE","DEEP_MEASURE_ID_OVERRIDE",$C239,"DEEP_BROKER_ID_OVERRIDE",AX$24,"DEEP_PERIOD_OVERRIDE",$H$19)*1,"")))</f>
        <v/>
      </c>
      <c r="AY239" t="str">
        <f>IF(OR(AY$23="",ISNA($B239)),"",IF(ISBLANK($B239),"",IFERROR(_xll.BDP(TICKER,"DEEP_MEASURE_PERIOD_BROKER_VALUE","DEEP_MEASURE_ID_OVERRIDE",$C239,"DEEP_BROKER_ID_OVERRIDE",AY$24,"DEEP_PERIOD_OVERRIDE",$H$19)*1,"")))</f>
        <v/>
      </c>
      <c r="AZ239" t="str">
        <f>IF(OR(AZ$23="",ISNA($B239)),"",IF(ISBLANK($B239),"",IFERROR(_xll.BDP(TICKER,"DEEP_MEASURE_PERIOD_BROKER_VALUE","DEEP_MEASURE_ID_OVERRIDE",$C239,"DEEP_BROKER_ID_OVERRIDE",AZ$24,"DEEP_PERIOD_OVERRIDE",$H$19)*1,"")))</f>
        <v/>
      </c>
      <c r="BA239" t="str">
        <f>IF(OR(BA$23="",ISNA($B239)),"",IF(ISBLANK($B239),"",IFERROR(_xll.BDP(TICKER,"DEEP_MEASURE_PERIOD_BROKER_VALUE","DEEP_MEASURE_ID_OVERRIDE",$C239,"DEEP_BROKER_ID_OVERRIDE",BA$24,"DEEP_PERIOD_OVERRIDE",$H$19)*1,"")))</f>
        <v/>
      </c>
      <c r="BB239" t="str">
        <f>IF(OR(BB$23="",ISNA($B239)),"",IF(ISBLANK($B239),"",IFERROR(_xll.BDP(TICKER,"DEEP_MEASURE_PERIOD_BROKER_VALUE","DEEP_MEASURE_ID_OVERRIDE",$C239,"DEEP_BROKER_ID_OVERRIDE",BB$24,"DEEP_PERIOD_OVERRIDE",$H$19)*1,"")))</f>
        <v/>
      </c>
      <c r="BC239" t="str">
        <f>IF(OR(BC$23="",ISNA($B239)),"",IF(ISBLANK($B239),"",IFERROR(_xll.BDP(TICKER,"DEEP_MEASURE_PERIOD_BROKER_VALUE","DEEP_MEASURE_ID_OVERRIDE",$C239,"DEEP_BROKER_ID_OVERRIDE",BC$24,"DEEP_PERIOD_OVERRIDE",$H$19)*1,"")))</f>
        <v/>
      </c>
      <c r="BD239" t="str">
        <f>IF(OR(BD$23="",ISNA($B239)),"",IF(ISBLANK($B239),"",IFERROR(_xll.BDP(TICKER,"DEEP_MEASURE_PERIOD_BROKER_VALUE","DEEP_MEASURE_ID_OVERRIDE",$C239,"DEEP_BROKER_ID_OVERRIDE",BD$24,"DEEP_PERIOD_OVERRIDE",$H$19)*1,"")))</f>
        <v/>
      </c>
      <c r="BE239" t="str">
        <f>IF(OR(BE$23="",ISNA($B239)),"",IF(ISBLANK($B239),"",IFERROR(_xll.BDP(TICKER,"DEEP_MEASURE_PERIOD_BROKER_VALUE","DEEP_MEASURE_ID_OVERRIDE",$C239,"DEEP_BROKER_ID_OVERRIDE",BE$24,"DEEP_PERIOD_OVERRIDE",$H$19)*1,"")))</f>
        <v/>
      </c>
      <c r="BF239" t="str">
        <f>IF(OR(BF$23="",ISNA($B239)),"",IF(ISBLANK($B239),"",IFERROR(_xll.BDP(TICKER,"DEEP_MEASURE_PERIOD_BROKER_VALUE","DEEP_MEASURE_ID_OVERRIDE",$C239,"DEEP_BROKER_ID_OVERRIDE",BF$24,"DEEP_PERIOD_OVERRIDE",$H$19)*1,"")))</f>
        <v/>
      </c>
      <c r="BG239" t="str">
        <f>IF(OR(BG$23="",ISNA($B239)),"",IF(ISBLANK($B239),"",IFERROR(_xll.BDP(TICKER,"DEEP_MEASURE_PERIOD_BROKER_VALUE","DEEP_MEASURE_ID_OVERRIDE",$C239,"DEEP_BROKER_ID_OVERRIDE",BG$24,"DEEP_PERIOD_OVERRIDE",$H$19)*1,"")))</f>
        <v/>
      </c>
      <c r="BH239" t="str">
        <f>IF(OR(BH$23="",ISNA($B239)),"",IF(ISBLANK($B239),"",IFERROR(_xll.BDP(TICKER,"DEEP_MEASURE_PERIOD_BROKER_VALUE","DEEP_MEASURE_ID_OVERRIDE",$C239,"DEEP_BROKER_ID_OVERRIDE",BH$24,"DEEP_PERIOD_OVERRIDE",$H$19)*1,"")))</f>
        <v/>
      </c>
      <c r="BI239" t="str">
        <f>IF(OR(BI$23="",ISNA($B239)),"",IF(ISBLANK($B239),"",IFERROR(_xll.BDP(TICKER,"DEEP_MEASURE_PERIOD_BROKER_VALUE","DEEP_MEASURE_ID_OVERRIDE",$C239,"DEEP_BROKER_ID_OVERRIDE",BI$24,"DEEP_PERIOD_OVERRIDE",$H$19)*1,"")))</f>
        <v/>
      </c>
      <c r="BJ239" t="str">
        <f>IF(OR(BJ$23="",ISNA($B239)),"",IF(ISBLANK($B239),"",IFERROR(_xll.BDP(TICKER,"DEEP_MEASURE_PERIOD_BROKER_VALUE","DEEP_MEASURE_ID_OVERRIDE",$C239,"DEEP_BROKER_ID_OVERRIDE",BJ$24,"DEEP_PERIOD_OVERRIDE",$H$19)*1,"")))</f>
        <v/>
      </c>
      <c r="BK239" t="str">
        <f>IF(OR(BK$23="",ISNA($B239)),"",IF(ISBLANK($B239),"",IFERROR(_xll.BDP(TICKER,"DEEP_MEASURE_PERIOD_BROKER_VALUE","DEEP_MEASURE_ID_OVERRIDE",$C239,"DEEP_BROKER_ID_OVERRIDE",BK$24,"DEEP_PERIOD_OVERRIDE",$H$19)*1,"")))</f>
        <v/>
      </c>
      <c r="BL239" t="str">
        <f>IF(OR(BL$23="",ISNA($B239)),"",IF(ISBLANK($B239),"",IFERROR(_xll.BDP(TICKER,"DEEP_MEASURE_PERIOD_BROKER_VALUE","DEEP_MEASURE_ID_OVERRIDE",$C239,"DEEP_BROKER_ID_OVERRIDE",BL$24,"DEEP_PERIOD_OVERRIDE",$H$19)*1,"")))</f>
        <v/>
      </c>
      <c r="BM239" t="str">
        <f>IF(OR(BM$23="",ISNA($B239)),"",IF(ISBLANK($B239),"",IFERROR(_xll.BDP(TICKER,"DEEP_MEASURE_PERIOD_BROKER_VALUE","DEEP_MEASURE_ID_OVERRIDE",$C239,"DEEP_BROKER_ID_OVERRIDE",BM$24,"DEEP_PERIOD_OVERRIDE",$H$19)*1,"")))</f>
        <v/>
      </c>
      <c r="BN239" t="str">
        <f>IF(OR(BN$23="",ISNA($B239)),"",IF(ISBLANK($B239),"",IFERROR(_xll.BDP(TICKER,"DEEP_MEASURE_PERIOD_BROKER_VALUE","DEEP_MEASURE_ID_OVERRIDE",$C239,"DEEP_BROKER_ID_OVERRIDE",BN$24,"DEEP_PERIOD_OVERRIDE",$H$19)*1,"")))</f>
        <v/>
      </c>
      <c r="BO239" t="str">
        <f>IF(OR(BO$23="",ISNA($B239)),"",IF(ISBLANK($B239),"",IFERROR(_xll.BDP(TICKER,"DEEP_MEASURE_PERIOD_BROKER_VALUE","DEEP_MEASURE_ID_OVERRIDE",$C239,"DEEP_BROKER_ID_OVERRIDE",BO$24,"DEEP_PERIOD_OVERRIDE",$H$19)*1,"")))</f>
        <v/>
      </c>
      <c r="BP239" t="str">
        <f>IF(OR(BP$23="",ISNA($B239)),"",IF(ISBLANK($B239),"",IFERROR(_xll.BDP(TICKER,"DEEP_MEASURE_PERIOD_BROKER_VALUE","DEEP_MEASURE_ID_OVERRIDE",$C239,"DEEP_BROKER_ID_OVERRIDE",BP$24,"DEEP_PERIOD_OVERRIDE",$H$19)*1,"")))</f>
        <v/>
      </c>
      <c r="BQ239" t="str">
        <f>IF(OR(BQ$23="",ISNA($B239)),"",IF(ISBLANK($B239),"",IFERROR(_xll.BDP(TICKER,"DEEP_MEASURE_PERIOD_BROKER_VALUE","DEEP_MEASURE_ID_OVERRIDE",$C239,"DEEP_BROKER_ID_OVERRIDE",BQ$24,"DEEP_PERIOD_OVERRIDE",$H$19)*1,"")))</f>
        <v/>
      </c>
      <c r="BR239" t="str">
        <f>IF(OR(BR$23="",ISNA($B239)),"",IF(ISBLANK($B239),"",IFERROR(_xll.BDP(TICKER,"DEEP_MEASURE_PERIOD_BROKER_VALUE","DEEP_MEASURE_ID_OVERRIDE",$C239,"DEEP_BROKER_ID_OVERRIDE",BR$24,"DEEP_PERIOD_OVERRIDE",$H$19)*1,"")))</f>
        <v/>
      </c>
      <c r="BS239" t="str">
        <f>IF(OR(BS$23="",ISNA($B239)),"",IF(ISBLANK($B239),"",IFERROR(_xll.BDP(TICKER,"DEEP_MEASURE_PERIOD_BROKER_VALUE","DEEP_MEASURE_ID_OVERRIDE",$C239,"DEEP_BROKER_ID_OVERRIDE",BS$24,"DEEP_PERIOD_OVERRIDE",$H$19)*1,"")))</f>
        <v/>
      </c>
      <c r="BT239" t="str">
        <f>IF(OR(BT$23="",ISNA($B239)),"",IF(ISBLANK($B239),"",IFERROR(_xll.BDP(TICKER,"DEEP_MEASURE_PERIOD_BROKER_VALUE","DEEP_MEASURE_ID_OVERRIDE",$C239,"DEEP_BROKER_ID_OVERRIDE",BT$24,"DEEP_PERIOD_OVERRIDE",$H$19)*1,"")))</f>
        <v/>
      </c>
      <c r="BU239" t="str">
        <f>IF(OR(BU$23="",ISNA($B239)),"",IF(ISBLANK($B239),"",IFERROR(_xll.BDP(TICKER,"DEEP_MEASURE_PERIOD_BROKER_VALUE","DEEP_MEASURE_ID_OVERRIDE",$C239,"DEEP_BROKER_ID_OVERRIDE",BU$24,"DEEP_PERIOD_OVERRIDE",$H$19)*1,"")))</f>
        <v/>
      </c>
      <c r="BV239" t="str">
        <f>IF(OR(BV$23="",ISNA($B239)),"",IF(ISBLANK($B239),"",IFERROR(_xll.BDP(TICKER,"DEEP_MEASURE_PERIOD_BROKER_VALUE","DEEP_MEASURE_ID_OVERRIDE",$C239,"DEEP_BROKER_ID_OVERRIDE",BV$24,"DEEP_PERIOD_OVERRIDE",$H$19)*1,"")))</f>
        <v/>
      </c>
      <c r="BW239" t="str">
        <f>IF(OR(BW$23="",ISNA($B239)),"",IF(ISBLANK($B239),"",IFERROR(_xll.BDP(TICKER,"DEEP_MEASURE_PERIOD_BROKER_VALUE","DEEP_MEASURE_ID_OVERRIDE",$C239,"DEEP_BROKER_ID_OVERRIDE",BW$24,"DEEP_PERIOD_OVERRIDE",$H$19)*1,"")))</f>
        <v/>
      </c>
      <c r="BX239" t="str">
        <f>IF(OR(BX$23="",ISNA($B239)),"",IF(ISBLANK($B239),"",IFERROR(_xll.BDP(TICKER,"DEEP_MEASURE_PERIOD_BROKER_VALUE","DEEP_MEASURE_ID_OVERRIDE",$C239,"DEEP_BROKER_ID_OVERRIDE",BX$24,"DEEP_PERIOD_OVERRIDE",$H$19)*1,"")))</f>
        <v/>
      </c>
      <c r="BY239" t="str">
        <f>IF(OR(BY$23="",ISNA($B239)),"",IF(ISBLANK($B239),"",IFERROR(_xll.BDP(TICKER,"DEEP_MEASURE_PERIOD_BROKER_VALUE","DEEP_MEASURE_ID_OVERRIDE",$C239,"DEEP_BROKER_ID_OVERRIDE",BY$24,"DEEP_PERIOD_OVERRIDE",$H$19)*1,"")))</f>
        <v/>
      </c>
      <c r="BZ239" t="str">
        <f>IF(OR(BZ$23="",ISNA($B239)),"",IF(ISBLANK($B239),"",IFERROR(_xll.BDP(TICKER,"DEEP_MEASURE_PERIOD_BROKER_VALUE","DEEP_MEASURE_ID_OVERRIDE",$C239,"DEEP_BROKER_ID_OVERRIDE",BZ$24,"DEEP_PERIOD_OVERRIDE",$H$19)*1,"")))</f>
        <v/>
      </c>
    </row>
    <row r="240" spans="8:78" x14ac:dyDescent="0.25">
      <c r="H240" t="str">
        <f t="shared" si="4"/>
        <v/>
      </c>
      <c r="I240" t="str">
        <f>IF(OR(I$23="",ISNA($B240)),"",IF(ISBLANK($B240),"",IFERROR(_xll.BDP(TICKER,"DEEP_MEASURE_PERIOD_BROKER_VALUE","DEEP_MEASURE_ID_OVERRIDE",$C240,"DEEP_PERIOD_OVERRIDE",$H$19)*1,"")))</f>
        <v/>
      </c>
      <c r="J240" t="e">
        <f>IF(OR(J$23="",ISNA($B240)),"",IF(ISBLANK($B240),"",IFERROR(_xll.BDP(TICKER,"DEEP_MEASURE_PERIOD_BROKER_VALUE","DEEP_MEASURE_ID_OVERRIDE",$C240,"DEEP_BROKER_ID_OVERRIDE",J$24,"DEEP_PERIOD_OVERRIDE",$H$19)*1,"")))</f>
        <v>#REF!</v>
      </c>
      <c r="K240" t="str">
        <f>IF(OR(K$23="",ISNA($B240)),"",IF(ISBLANK($B240),"",IFERROR(_xll.BDP(TICKER,"DEEP_MEASURE_PERIOD_BROKER_VALUE","DEEP_MEASURE_ID_OVERRIDE",$C240,"DEEP_BROKER_ID_OVERRIDE",K$24,"DEEP_PERIOD_OVERRIDE",$H$19)*1,"")))</f>
        <v/>
      </c>
      <c r="L240" t="str">
        <f>IF(OR(L$23="",ISNA($B240)),"",IF(ISBLANK($B240),"",IFERROR(_xll.BDP(TICKER,"DEEP_MEASURE_PERIOD_BROKER_VALUE","DEEP_MEASURE_ID_OVERRIDE",$C240,"DEEP_BROKER_ID_OVERRIDE",L$24,"DEEP_PERIOD_OVERRIDE",$H$19)*1,"")))</f>
        <v/>
      </c>
      <c r="M240" t="str">
        <f>IF(OR(M$23="",ISNA($B240)),"",IF(ISBLANK($B240),"",IFERROR(_xll.BDP(TICKER,"DEEP_MEASURE_PERIOD_BROKER_VALUE","DEEP_MEASURE_ID_OVERRIDE",$C240,"DEEP_BROKER_ID_OVERRIDE",M$24,"DEEP_PERIOD_OVERRIDE",$H$19)*1,"")))</f>
        <v/>
      </c>
      <c r="N240" t="str">
        <f>IF(OR(N$23="",ISNA($B240)),"",IF(ISBLANK($B240),"",IFERROR(_xll.BDP(TICKER,"DEEP_MEASURE_PERIOD_BROKER_VALUE","DEEP_MEASURE_ID_OVERRIDE",$C240,"DEEP_BROKER_ID_OVERRIDE",N$24,"DEEP_PERIOD_OVERRIDE",$H$19)*1,"")))</f>
        <v/>
      </c>
      <c r="O240" t="str">
        <f>IF(OR(O$23="",ISNA($B240)),"",IF(ISBLANK($B240),"",IFERROR(_xll.BDP(TICKER,"DEEP_MEASURE_PERIOD_BROKER_VALUE","DEEP_MEASURE_ID_OVERRIDE",$C240,"DEEP_BROKER_ID_OVERRIDE",O$24,"DEEP_PERIOD_OVERRIDE",$H$19)*1,"")))</f>
        <v/>
      </c>
      <c r="P240" t="str">
        <f>IF(OR(P$23="",ISNA($B240)),"",IF(ISBLANK($B240),"",IFERROR(_xll.BDP(TICKER,"DEEP_MEASURE_PERIOD_BROKER_VALUE","DEEP_MEASURE_ID_OVERRIDE",$C240,"DEEP_BROKER_ID_OVERRIDE",P$24,"DEEP_PERIOD_OVERRIDE",$H$19)*1,"")))</f>
        <v/>
      </c>
      <c r="Q240" t="str">
        <f>IF(OR(Q$23="",ISNA($B240)),"",IF(ISBLANK($B240),"",IFERROR(_xll.BDP(TICKER,"DEEP_MEASURE_PERIOD_BROKER_VALUE","DEEP_MEASURE_ID_OVERRIDE",$C240,"DEEP_BROKER_ID_OVERRIDE",Q$24,"DEEP_PERIOD_OVERRIDE",$H$19)*1,"")))</f>
        <v/>
      </c>
      <c r="R240" t="str">
        <f>IF(OR(R$23="",ISNA($B240)),"",IF(ISBLANK($B240),"",IFERROR(_xll.BDP(TICKER,"DEEP_MEASURE_PERIOD_BROKER_VALUE","DEEP_MEASURE_ID_OVERRIDE",$C240,"DEEP_BROKER_ID_OVERRIDE",R$24,"DEEP_PERIOD_OVERRIDE",$H$19)*1,"")))</f>
        <v/>
      </c>
      <c r="S240" t="str">
        <f>IF(OR(S$23="",ISNA($B240)),"",IF(ISBLANK($B240),"",IFERROR(_xll.BDP(TICKER,"DEEP_MEASURE_PERIOD_BROKER_VALUE","DEEP_MEASURE_ID_OVERRIDE",$C240,"DEEP_BROKER_ID_OVERRIDE",S$24,"DEEP_PERIOD_OVERRIDE",$H$19)*1,"")))</f>
        <v/>
      </c>
      <c r="T240" t="str">
        <f>IF(OR(T$23="",ISNA($B240)),"",IF(ISBLANK($B240),"",IFERROR(_xll.BDP(TICKER,"DEEP_MEASURE_PERIOD_BROKER_VALUE","DEEP_MEASURE_ID_OVERRIDE",$C240,"DEEP_BROKER_ID_OVERRIDE",T$24,"DEEP_PERIOD_OVERRIDE",$H$19)*1,"")))</f>
        <v/>
      </c>
      <c r="U240" t="str">
        <f>IF(OR(U$23="",ISNA($B240)),"",IF(ISBLANK($B240),"",IFERROR(_xll.BDP(TICKER,"DEEP_MEASURE_PERIOD_BROKER_VALUE","DEEP_MEASURE_ID_OVERRIDE",$C240,"DEEP_BROKER_ID_OVERRIDE",U$24,"DEEP_PERIOD_OVERRIDE",$H$19)*1,"")))</f>
        <v/>
      </c>
      <c r="V240" t="str">
        <f>IF(OR(V$23="",ISNA($B240)),"",IF(ISBLANK($B240),"",IFERROR(_xll.BDP(TICKER,"DEEP_MEASURE_PERIOD_BROKER_VALUE","DEEP_MEASURE_ID_OVERRIDE",$C240,"DEEP_BROKER_ID_OVERRIDE",V$24,"DEEP_PERIOD_OVERRIDE",$H$19)*1,"")))</f>
        <v/>
      </c>
      <c r="W240" t="str">
        <f>IF(OR(W$23="",ISNA($B240)),"",IF(ISBLANK($B240),"",IFERROR(_xll.BDP(TICKER,"DEEP_MEASURE_PERIOD_BROKER_VALUE","DEEP_MEASURE_ID_OVERRIDE",$C240,"DEEP_BROKER_ID_OVERRIDE",W$24,"DEEP_PERIOD_OVERRIDE",$H$19)*1,"")))</f>
        <v/>
      </c>
      <c r="X240" t="str">
        <f>IF(OR(X$23="",ISNA($B240)),"",IF(ISBLANK($B240),"",IFERROR(_xll.BDP(TICKER,"DEEP_MEASURE_PERIOD_BROKER_VALUE","DEEP_MEASURE_ID_OVERRIDE",$C240,"DEEP_BROKER_ID_OVERRIDE",X$24,"DEEP_PERIOD_OVERRIDE",$H$19)*1,"")))</f>
        <v/>
      </c>
      <c r="Y240" t="str">
        <f>IF(OR(Y$23="",ISNA($B240)),"",IF(ISBLANK($B240),"",IFERROR(_xll.BDP(TICKER,"DEEP_MEASURE_PERIOD_BROKER_VALUE","DEEP_MEASURE_ID_OVERRIDE",$C240,"DEEP_BROKER_ID_OVERRIDE",Y$24,"DEEP_PERIOD_OVERRIDE",$H$19)*1,"")))</f>
        <v/>
      </c>
      <c r="Z240" t="str">
        <f>IF(OR(Z$23="",ISNA($B240)),"",IF(ISBLANK($B240),"",IFERROR(_xll.BDP(TICKER,"DEEP_MEASURE_PERIOD_BROKER_VALUE","DEEP_MEASURE_ID_OVERRIDE",$C240,"DEEP_BROKER_ID_OVERRIDE",Z$24,"DEEP_PERIOD_OVERRIDE",$H$19)*1,"")))</f>
        <v/>
      </c>
      <c r="AA240" t="str">
        <f>IF(OR(AA$23="",ISNA($B240)),"",IF(ISBLANK($B240),"",IFERROR(_xll.BDP(TICKER,"DEEP_MEASURE_PERIOD_BROKER_VALUE","DEEP_MEASURE_ID_OVERRIDE",$C240,"DEEP_BROKER_ID_OVERRIDE",AA$24,"DEEP_PERIOD_OVERRIDE",$H$19)*1,"")))</f>
        <v/>
      </c>
      <c r="AB240" t="str">
        <f>IF(OR(AB$23="",ISNA($B240)),"",IF(ISBLANK($B240),"",IFERROR(_xll.BDP(TICKER,"DEEP_MEASURE_PERIOD_BROKER_VALUE","DEEP_MEASURE_ID_OVERRIDE",$C240,"DEEP_BROKER_ID_OVERRIDE",AB$24,"DEEP_PERIOD_OVERRIDE",$H$19)*1,"")))</f>
        <v/>
      </c>
      <c r="AC240" t="str">
        <f>IF(OR(AC$23="",ISNA($B240)),"",IF(ISBLANK($B240),"",IFERROR(_xll.BDP(TICKER,"DEEP_MEASURE_PERIOD_BROKER_VALUE","DEEP_MEASURE_ID_OVERRIDE",$C240,"DEEP_BROKER_ID_OVERRIDE",AC$24,"DEEP_PERIOD_OVERRIDE",$H$19)*1,"")))</f>
        <v/>
      </c>
      <c r="AD240" t="str">
        <f>IF(OR(AD$23="",ISNA($B240)),"",IF(ISBLANK($B240),"",IFERROR(_xll.BDP(TICKER,"DEEP_MEASURE_PERIOD_BROKER_VALUE","DEEP_MEASURE_ID_OVERRIDE",$C240,"DEEP_BROKER_ID_OVERRIDE",AD$24,"DEEP_PERIOD_OVERRIDE",$H$19)*1,"")))</f>
        <v/>
      </c>
      <c r="AE240" t="str">
        <f>IF(OR(AE$23="",ISNA($B240)),"",IF(ISBLANK($B240),"",IFERROR(_xll.BDP(TICKER,"DEEP_MEASURE_PERIOD_BROKER_VALUE","DEEP_MEASURE_ID_OVERRIDE",$C240,"DEEP_BROKER_ID_OVERRIDE",AE$24,"DEEP_PERIOD_OVERRIDE",$H$19)*1,"")))</f>
        <v/>
      </c>
      <c r="AF240" t="str">
        <f>IF(OR(AF$23="",ISNA($B240)),"",IF(ISBLANK($B240),"",IFERROR(_xll.BDP(TICKER,"DEEP_MEASURE_PERIOD_BROKER_VALUE","DEEP_MEASURE_ID_OVERRIDE",$C240,"DEEP_BROKER_ID_OVERRIDE",AF$24,"DEEP_PERIOD_OVERRIDE",$H$19)*1,"")))</f>
        <v/>
      </c>
      <c r="AG240" t="str">
        <f>IF(OR(AG$23="",ISNA($B240)),"",IF(ISBLANK($B240),"",IFERROR(_xll.BDP(TICKER,"DEEP_MEASURE_PERIOD_BROKER_VALUE","DEEP_MEASURE_ID_OVERRIDE",$C240,"DEEP_BROKER_ID_OVERRIDE",AG$24,"DEEP_PERIOD_OVERRIDE",$H$19)*1,"")))</f>
        <v/>
      </c>
      <c r="AH240" t="str">
        <f>IF(OR(AH$23="",ISNA($B240)),"",IF(ISBLANK($B240),"",IFERROR(_xll.BDP(TICKER,"DEEP_MEASURE_PERIOD_BROKER_VALUE","DEEP_MEASURE_ID_OVERRIDE",$C240,"DEEP_BROKER_ID_OVERRIDE",AH$24,"DEEP_PERIOD_OVERRIDE",$H$19)*1,"")))</f>
        <v/>
      </c>
      <c r="AI240" t="str">
        <f>IF(OR(AI$23="",ISNA($B240)),"",IF(ISBLANK($B240),"",IFERROR(_xll.BDP(TICKER,"DEEP_MEASURE_PERIOD_BROKER_VALUE","DEEP_MEASURE_ID_OVERRIDE",$C240,"DEEP_BROKER_ID_OVERRIDE",AI$24,"DEEP_PERIOD_OVERRIDE",$H$19)*1,"")))</f>
        <v/>
      </c>
      <c r="AJ240" t="str">
        <f>IF(OR(AJ$23="",ISNA($B240)),"",IF(ISBLANK($B240),"",IFERROR(_xll.BDP(TICKER,"DEEP_MEASURE_PERIOD_BROKER_VALUE","DEEP_MEASURE_ID_OVERRIDE",$C240,"DEEP_BROKER_ID_OVERRIDE",AJ$24,"DEEP_PERIOD_OVERRIDE",$H$19)*1,"")))</f>
        <v/>
      </c>
      <c r="AK240" t="str">
        <f>IF(OR(AK$23="",ISNA($B240)),"",IF(ISBLANK($B240),"",IFERROR(_xll.BDP(TICKER,"DEEP_MEASURE_PERIOD_BROKER_VALUE","DEEP_MEASURE_ID_OVERRIDE",$C240,"DEEP_BROKER_ID_OVERRIDE",AK$24,"DEEP_PERIOD_OVERRIDE",$H$19)*1,"")))</f>
        <v/>
      </c>
      <c r="AL240" t="str">
        <f>IF(OR(AL$23="",ISNA($B240)),"",IF(ISBLANK($B240),"",IFERROR(_xll.BDP(TICKER,"DEEP_MEASURE_PERIOD_BROKER_VALUE","DEEP_MEASURE_ID_OVERRIDE",$C240,"DEEP_BROKER_ID_OVERRIDE",AL$24,"DEEP_PERIOD_OVERRIDE",$H$19)*1,"")))</f>
        <v/>
      </c>
      <c r="AM240" t="str">
        <f>IF(OR(AM$23="",ISNA($B240)),"",IF(ISBLANK($B240),"",IFERROR(_xll.BDP(TICKER,"DEEP_MEASURE_PERIOD_BROKER_VALUE","DEEP_MEASURE_ID_OVERRIDE",$C240,"DEEP_BROKER_ID_OVERRIDE",AM$24,"DEEP_PERIOD_OVERRIDE",$H$19)*1,"")))</f>
        <v/>
      </c>
      <c r="AN240" t="str">
        <f>IF(OR(AN$23="",ISNA($B240)),"",IF(ISBLANK($B240),"",IFERROR(_xll.BDP(TICKER,"DEEP_MEASURE_PERIOD_BROKER_VALUE","DEEP_MEASURE_ID_OVERRIDE",$C240,"DEEP_BROKER_ID_OVERRIDE",AN$24,"DEEP_PERIOD_OVERRIDE",$H$19)*1,"")))</f>
        <v/>
      </c>
      <c r="AO240" t="str">
        <f>IF(OR(AO$23="",ISNA($B240)),"",IF(ISBLANK($B240),"",IFERROR(_xll.BDP(TICKER,"DEEP_MEASURE_PERIOD_BROKER_VALUE","DEEP_MEASURE_ID_OVERRIDE",$C240,"DEEP_BROKER_ID_OVERRIDE",AO$24,"DEEP_PERIOD_OVERRIDE",$H$19)*1,"")))</f>
        <v/>
      </c>
      <c r="AP240" t="str">
        <f>IF(OR(AP$23="",ISNA($B240)),"",IF(ISBLANK($B240),"",IFERROR(_xll.BDP(TICKER,"DEEP_MEASURE_PERIOD_BROKER_VALUE","DEEP_MEASURE_ID_OVERRIDE",$C240,"DEEP_BROKER_ID_OVERRIDE",AP$24,"DEEP_PERIOD_OVERRIDE",$H$19)*1,"")))</f>
        <v/>
      </c>
      <c r="AQ240" t="str">
        <f>IF(OR(AQ$23="",ISNA($B240)),"",IF(ISBLANK($B240),"",IFERROR(_xll.BDP(TICKER,"DEEP_MEASURE_PERIOD_BROKER_VALUE","DEEP_MEASURE_ID_OVERRIDE",$C240,"DEEP_BROKER_ID_OVERRIDE",AQ$24,"DEEP_PERIOD_OVERRIDE",$H$19)*1,"")))</f>
        <v/>
      </c>
      <c r="AR240" t="str">
        <f>IF(OR(AR$23="",ISNA($B240)),"",IF(ISBLANK($B240),"",IFERROR(_xll.BDP(TICKER,"DEEP_MEASURE_PERIOD_BROKER_VALUE","DEEP_MEASURE_ID_OVERRIDE",$C240,"DEEP_BROKER_ID_OVERRIDE",AR$24,"DEEP_PERIOD_OVERRIDE",$H$19)*1,"")))</f>
        <v/>
      </c>
      <c r="AS240" t="str">
        <f>IF(OR(AS$23="",ISNA($B240)),"",IF(ISBLANK($B240),"",IFERROR(_xll.BDP(TICKER,"DEEP_MEASURE_PERIOD_BROKER_VALUE","DEEP_MEASURE_ID_OVERRIDE",$C240,"DEEP_BROKER_ID_OVERRIDE",AS$24,"DEEP_PERIOD_OVERRIDE",$H$19)*1,"")))</f>
        <v/>
      </c>
      <c r="AT240" t="str">
        <f>IF(OR(AT$23="",ISNA($B240)),"",IF(ISBLANK($B240),"",IFERROR(_xll.BDP(TICKER,"DEEP_MEASURE_PERIOD_BROKER_VALUE","DEEP_MEASURE_ID_OVERRIDE",$C240,"DEEP_BROKER_ID_OVERRIDE",AT$24,"DEEP_PERIOD_OVERRIDE",$H$19)*1,"")))</f>
        <v/>
      </c>
      <c r="AU240" t="str">
        <f>IF(OR(AU$23="",ISNA($B240)),"",IF(ISBLANK($B240),"",IFERROR(_xll.BDP(TICKER,"DEEP_MEASURE_PERIOD_BROKER_VALUE","DEEP_MEASURE_ID_OVERRIDE",$C240,"DEEP_BROKER_ID_OVERRIDE",AU$24,"DEEP_PERIOD_OVERRIDE",$H$19)*1,"")))</f>
        <v/>
      </c>
      <c r="AV240" t="str">
        <f>IF(OR(AV$23="",ISNA($B240)),"",IF(ISBLANK($B240),"",IFERROR(_xll.BDP(TICKER,"DEEP_MEASURE_PERIOD_BROKER_VALUE","DEEP_MEASURE_ID_OVERRIDE",$C240,"DEEP_BROKER_ID_OVERRIDE",AV$24,"DEEP_PERIOD_OVERRIDE",$H$19)*1,"")))</f>
        <v/>
      </c>
      <c r="AW240" t="str">
        <f>IF(OR(AW$23="",ISNA($B240)),"",IF(ISBLANK($B240),"",IFERROR(_xll.BDP(TICKER,"DEEP_MEASURE_PERIOD_BROKER_VALUE","DEEP_MEASURE_ID_OVERRIDE",$C240,"DEEP_BROKER_ID_OVERRIDE",AW$24,"DEEP_PERIOD_OVERRIDE",$H$19)*1,"")))</f>
        <v/>
      </c>
      <c r="AX240" t="str">
        <f>IF(OR(AX$23="",ISNA($B240)),"",IF(ISBLANK($B240),"",IFERROR(_xll.BDP(TICKER,"DEEP_MEASURE_PERIOD_BROKER_VALUE","DEEP_MEASURE_ID_OVERRIDE",$C240,"DEEP_BROKER_ID_OVERRIDE",AX$24,"DEEP_PERIOD_OVERRIDE",$H$19)*1,"")))</f>
        <v/>
      </c>
      <c r="AY240" t="str">
        <f>IF(OR(AY$23="",ISNA($B240)),"",IF(ISBLANK($B240),"",IFERROR(_xll.BDP(TICKER,"DEEP_MEASURE_PERIOD_BROKER_VALUE","DEEP_MEASURE_ID_OVERRIDE",$C240,"DEEP_BROKER_ID_OVERRIDE",AY$24,"DEEP_PERIOD_OVERRIDE",$H$19)*1,"")))</f>
        <v/>
      </c>
      <c r="AZ240" t="str">
        <f>IF(OR(AZ$23="",ISNA($B240)),"",IF(ISBLANK($B240),"",IFERROR(_xll.BDP(TICKER,"DEEP_MEASURE_PERIOD_BROKER_VALUE","DEEP_MEASURE_ID_OVERRIDE",$C240,"DEEP_BROKER_ID_OVERRIDE",AZ$24,"DEEP_PERIOD_OVERRIDE",$H$19)*1,"")))</f>
        <v/>
      </c>
      <c r="BA240" t="str">
        <f>IF(OR(BA$23="",ISNA($B240)),"",IF(ISBLANK($B240),"",IFERROR(_xll.BDP(TICKER,"DEEP_MEASURE_PERIOD_BROKER_VALUE","DEEP_MEASURE_ID_OVERRIDE",$C240,"DEEP_BROKER_ID_OVERRIDE",BA$24,"DEEP_PERIOD_OVERRIDE",$H$19)*1,"")))</f>
        <v/>
      </c>
      <c r="BB240" t="str">
        <f>IF(OR(BB$23="",ISNA($B240)),"",IF(ISBLANK($B240),"",IFERROR(_xll.BDP(TICKER,"DEEP_MEASURE_PERIOD_BROKER_VALUE","DEEP_MEASURE_ID_OVERRIDE",$C240,"DEEP_BROKER_ID_OVERRIDE",BB$24,"DEEP_PERIOD_OVERRIDE",$H$19)*1,"")))</f>
        <v/>
      </c>
      <c r="BC240" t="str">
        <f>IF(OR(BC$23="",ISNA($B240)),"",IF(ISBLANK($B240),"",IFERROR(_xll.BDP(TICKER,"DEEP_MEASURE_PERIOD_BROKER_VALUE","DEEP_MEASURE_ID_OVERRIDE",$C240,"DEEP_BROKER_ID_OVERRIDE",BC$24,"DEEP_PERIOD_OVERRIDE",$H$19)*1,"")))</f>
        <v/>
      </c>
      <c r="BD240" t="str">
        <f>IF(OR(BD$23="",ISNA($B240)),"",IF(ISBLANK($B240),"",IFERROR(_xll.BDP(TICKER,"DEEP_MEASURE_PERIOD_BROKER_VALUE","DEEP_MEASURE_ID_OVERRIDE",$C240,"DEEP_BROKER_ID_OVERRIDE",BD$24,"DEEP_PERIOD_OVERRIDE",$H$19)*1,"")))</f>
        <v/>
      </c>
      <c r="BE240" t="str">
        <f>IF(OR(BE$23="",ISNA($B240)),"",IF(ISBLANK($B240),"",IFERROR(_xll.BDP(TICKER,"DEEP_MEASURE_PERIOD_BROKER_VALUE","DEEP_MEASURE_ID_OVERRIDE",$C240,"DEEP_BROKER_ID_OVERRIDE",BE$24,"DEEP_PERIOD_OVERRIDE",$H$19)*1,"")))</f>
        <v/>
      </c>
      <c r="BF240" t="str">
        <f>IF(OR(BF$23="",ISNA($B240)),"",IF(ISBLANK($B240),"",IFERROR(_xll.BDP(TICKER,"DEEP_MEASURE_PERIOD_BROKER_VALUE","DEEP_MEASURE_ID_OVERRIDE",$C240,"DEEP_BROKER_ID_OVERRIDE",BF$24,"DEEP_PERIOD_OVERRIDE",$H$19)*1,"")))</f>
        <v/>
      </c>
      <c r="BG240" t="str">
        <f>IF(OR(BG$23="",ISNA($B240)),"",IF(ISBLANK($B240),"",IFERROR(_xll.BDP(TICKER,"DEEP_MEASURE_PERIOD_BROKER_VALUE","DEEP_MEASURE_ID_OVERRIDE",$C240,"DEEP_BROKER_ID_OVERRIDE",BG$24,"DEEP_PERIOD_OVERRIDE",$H$19)*1,"")))</f>
        <v/>
      </c>
      <c r="BH240" t="str">
        <f>IF(OR(BH$23="",ISNA($B240)),"",IF(ISBLANK($B240),"",IFERROR(_xll.BDP(TICKER,"DEEP_MEASURE_PERIOD_BROKER_VALUE","DEEP_MEASURE_ID_OVERRIDE",$C240,"DEEP_BROKER_ID_OVERRIDE",BH$24,"DEEP_PERIOD_OVERRIDE",$H$19)*1,"")))</f>
        <v/>
      </c>
      <c r="BI240" t="str">
        <f>IF(OR(BI$23="",ISNA($B240)),"",IF(ISBLANK($B240),"",IFERROR(_xll.BDP(TICKER,"DEEP_MEASURE_PERIOD_BROKER_VALUE","DEEP_MEASURE_ID_OVERRIDE",$C240,"DEEP_BROKER_ID_OVERRIDE",BI$24,"DEEP_PERIOD_OVERRIDE",$H$19)*1,"")))</f>
        <v/>
      </c>
      <c r="BJ240" t="str">
        <f>IF(OR(BJ$23="",ISNA($B240)),"",IF(ISBLANK($B240),"",IFERROR(_xll.BDP(TICKER,"DEEP_MEASURE_PERIOD_BROKER_VALUE","DEEP_MEASURE_ID_OVERRIDE",$C240,"DEEP_BROKER_ID_OVERRIDE",BJ$24,"DEEP_PERIOD_OVERRIDE",$H$19)*1,"")))</f>
        <v/>
      </c>
      <c r="BK240" t="str">
        <f>IF(OR(BK$23="",ISNA($B240)),"",IF(ISBLANK($B240),"",IFERROR(_xll.BDP(TICKER,"DEEP_MEASURE_PERIOD_BROKER_VALUE","DEEP_MEASURE_ID_OVERRIDE",$C240,"DEEP_BROKER_ID_OVERRIDE",BK$24,"DEEP_PERIOD_OVERRIDE",$H$19)*1,"")))</f>
        <v/>
      </c>
      <c r="BL240" t="str">
        <f>IF(OR(BL$23="",ISNA($B240)),"",IF(ISBLANK($B240),"",IFERROR(_xll.BDP(TICKER,"DEEP_MEASURE_PERIOD_BROKER_VALUE","DEEP_MEASURE_ID_OVERRIDE",$C240,"DEEP_BROKER_ID_OVERRIDE",BL$24,"DEEP_PERIOD_OVERRIDE",$H$19)*1,"")))</f>
        <v/>
      </c>
      <c r="BM240" t="str">
        <f>IF(OR(BM$23="",ISNA($B240)),"",IF(ISBLANK($B240),"",IFERROR(_xll.BDP(TICKER,"DEEP_MEASURE_PERIOD_BROKER_VALUE","DEEP_MEASURE_ID_OVERRIDE",$C240,"DEEP_BROKER_ID_OVERRIDE",BM$24,"DEEP_PERIOD_OVERRIDE",$H$19)*1,"")))</f>
        <v/>
      </c>
      <c r="BN240" t="str">
        <f>IF(OR(BN$23="",ISNA($B240)),"",IF(ISBLANK($B240),"",IFERROR(_xll.BDP(TICKER,"DEEP_MEASURE_PERIOD_BROKER_VALUE","DEEP_MEASURE_ID_OVERRIDE",$C240,"DEEP_BROKER_ID_OVERRIDE",BN$24,"DEEP_PERIOD_OVERRIDE",$H$19)*1,"")))</f>
        <v/>
      </c>
      <c r="BO240" t="str">
        <f>IF(OR(BO$23="",ISNA($B240)),"",IF(ISBLANK($B240),"",IFERROR(_xll.BDP(TICKER,"DEEP_MEASURE_PERIOD_BROKER_VALUE","DEEP_MEASURE_ID_OVERRIDE",$C240,"DEEP_BROKER_ID_OVERRIDE",BO$24,"DEEP_PERIOD_OVERRIDE",$H$19)*1,"")))</f>
        <v/>
      </c>
      <c r="BP240" t="str">
        <f>IF(OR(BP$23="",ISNA($B240)),"",IF(ISBLANK($B240),"",IFERROR(_xll.BDP(TICKER,"DEEP_MEASURE_PERIOD_BROKER_VALUE","DEEP_MEASURE_ID_OVERRIDE",$C240,"DEEP_BROKER_ID_OVERRIDE",BP$24,"DEEP_PERIOD_OVERRIDE",$H$19)*1,"")))</f>
        <v/>
      </c>
      <c r="BQ240" t="str">
        <f>IF(OR(BQ$23="",ISNA($B240)),"",IF(ISBLANK($B240),"",IFERROR(_xll.BDP(TICKER,"DEEP_MEASURE_PERIOD_BROKER_VALUE","DEEP_MEASURE_ID_OVERRIDE",$C240,"DEEP_BROKER_ID_OVERRIDE",BQ$24,"DEEP_PERIOD_OVERRIDE",$H$19)*1,"")))</f>
        <v/>
      </c>
      <c r="BR240" t="str">
        <f>IF(OR(BR$23="",ISNA($B240)),"",IF(ISBLANK($B240),"",IFERROR(_xll.BDP(TICKER,"DEEP_MEASURE_PERIOD_BROKER_VALUE","DEEP_MEASURE_ID_OVERRIDE",$C240,"DEEP_BROKER_ID_OVERRIDE",BR$24,"DEEP_PERIOD_OVERRIDE",$H$19)*1,"")))</f>
        <v/>
      </c>
      <c r="BS240" t="str">
        <f>IF(OR(BS$23="",ISNA($B240)),"",IF(ISBLANK($B240),"",IFERROR(_xll.BDP(TICKER,"DEEP_MEASURE_PERIOD_BROKER_VALUE","DEEP_MEASURE_ID_OVERRIDE",$C240,"DEEP_BROKER_ID_OVERRIDE",BS$24,"DEEP_PERIOD_OVERRIDE",$H$19)*1,"")))</f>
        <v/>
      </c>
      <c r="BT240" t="str">
        <f>IF(OR(BT$23="",ISNA($B240)),"",IF(ISBLANK($B240),"",IFERROR(_xll.BDP(TICKER,"DEEP_MEASURE_PERIOD_BROKER_VALUE","DEEP_MEASURE_ID_OVERRIDE",$C240,"DEEP_BROKER_ID_OVERRIDE",BT$24,"DEEP_PERIOD_OVERRIDE",$H$19)*1,"")))</f>
        <v/>
      </c>
      <c r="BU240" t="str">
        <f>IF(OR(BU$23="",ISNA($B240)),"",IF(ISBLANK($B240),"",IFERROR(_xll.BDP(TICKER,"DEEP_MEASURE_PERIOD_BROKER_VALUE","DEEP_MEASURE_ID_OVERRIDE",$C240,"DEEP_BROKER_ID_OVERRIDE",BU$24,"DEEP_PERIOD_OVERRIDE",$H$19)*1,"")))</f>
        <v/>
      </c>
      <c r="BV240" t="str">
        <f>IF(OR(BV$23="",ISNA($B240)),"",IF(ISBLANK($B240),"",IFERROR(_xll.BDP(TICKER,"DEEP_MEASURE_PERIOD_BROKER_VALUE","DEEP_MEASURE_ID_OVERRIDE",$C240,"DEEP_BROKER_ID_OVERRIDE",BV$24,"DEEP_PERIOD_OVERRIDE",$H$19)*1,"")))</f>
        <v/>
      </c>
      <c r="BW240" t="str">
        <f>IF(OR(BW$23="",ISNA($B240)),"",IF(ISBLANK($B240),"",IFERROR(_xll.BDP(TICKER,"DEEP_MEASURE_PERIOD_BROKER_VALUE","DEEP_MEASURE_ID_OVERRIDE",$C240,"DEEP_BROKER_ID_OVERRIDE",BW$24,"DEEP_PERIOD_OVERRIDE",$H$19)*1,"")))</f>
        <v/>
      </c>
      <c r="BX240" t="str">
        <f>IF(OR(BX$23="",ISNA($B240)),"",IF(ISBLANK($B240),"",IFERROR(_xll.BDP(TICKER,"DEEP_MEASURE_PERIOD_BROKER_VALUE","DEEP_MEASURE_ID_OVERRIDE",$C240,"DEEP_BROKER_ID_OVERRIDE",BX$24,"DEEP_PERIOD_OVERRIDE",$H$19)*1,"")))</f>
        <v/>
      </c>
      <c r="BY240" t="str">
        <f>IF(OR(BY$23="",ISNA($B240)),"",IF(ISBLANK($B240),"",IFERROR(_xll.BDP(TICKER,"DEEP_MEASURE_PERIOD_BROKER_VALUE","DEEP_MEASURE_ID_OVERRIDE",$C240,"DEEP_BROKER_ID_OVERRIDE",BY$24,"DEEP_PERIOD_OVERRIDE",$H$19)*1,"")))</f>
        <v/>
      </c>
      <c r="BZ240" t="str">
        <f>IF(OR(BZ$23="",ISNA($B240)),"",IF(ISBLANK($B240),"",IFERROR(_xll.BDP(TICKER,"DEEP_MEASURE_PERIOD_BROKER_VALUE","DEEP_MEASURE_ID_OVERRIDE",$C240,"DEEP_BROKER_ID_OVERRIDE",BZ$24,"DEEP_PERIOD_OVERRIDE",$H$19)*1,"")))</f>
        <v/>
      </c>
    </row>
    <row r="241" spans="8:78" x14ac:dyDescent="0.25">
      <c r="H241" t="str">
        <f t="shared" si="4"/>
        <v/>
      </c>
      <c r="I241" t="str">
        <f>IF(OR(I$23="",ISNA($B241)),"",IF(ISBLANK($B241),"",IFERROR(_xll.BDP(TICKER,"DEEP_MEASURE_PERIOD_BROKER_VALUE","DEEP_MEASURE_ID_OVERRIDE",$C241,"DEEP_PERIOD_OVERRIDE",$H$19)*1,"")))</f>
        <v/>
      </c>
      <c r="J241" t="e">
        <f>IF(OR(J$23="",ISNA($B241)),"",IF(ISBLANK($B241),"",IFERROR(_xll.BDP(TICKER,"DEEP_MEASURE_PERIOD_BROKER_VALUE","DEEP_MEASURE_ID_OVERRIDE",$C241,"DEEP_BROKER_ID_OVERRIDE",J$24,"DEEP_PERIOD_OVERRIDE",$H$19)*1,"")))</f>
        <v>#REF!</v>
      </c>
      <c r="K241" t="str">
        <f>IF(OR(K$23="",ISNA($B241)),"",IF(ISBLANK($B241),"",IFERROR(_xll.BDP(TICKER,"DEEP_MEASURE_PERIOD_BROKER_VALUE","DEEP_MEASURE_ID_OVERRIDE",$C241,"DEEP_BROKER_ID_OVERRIDE",K$24,"DEEP_PERIOD_OVERRIDE",$H$19)*1,"")))</f>
        <v/>
      </c>
      <c r="L241" t="str">
        <f>IF(OR(L$23="",ISNA($B241)),"",IF(ISBLANK($B241),"",IFERROR(_xll.BDP(TICKER,"DEEP_MEASURE_PERIOD_BROKER_VALUE","DEEP_MEASURE_ID_OVERRIDE",$C241,"DEEP_BROKER_ID_OVERRIDE",L$24,"DEEP_PERIOD_OVERRIDE",$H$19)*1,"")))</f>
        <v/>
      </c>
      <c r="M241" t="str">
        <f>IF(OR(M$23="",ISNA($B241)),"",IF(ISBLANK($B241),"",IFERROR(_xll.BDP(TICKER,"DEEP_MEASURE_PERIOD_BROKER_VALUE","DEEP_MEASURE_ID_OVERRIDE",$C241,"DEEP_BROKER_ID_OVERRIDE",M$24,"DEEP_PERIOD_OVERRIDE",$H$19)*1,"")))</f>
        <v/>
      </c>
      <c r="N241" t="str">
        <f>IF(OR(N$23="",ISNA($B241)),"",IF(ISBLANK($B241),"",IFERROR(_xll.BDP(TICKER,"DEEP_MEASURE_PERIOD_BROKER_VALUE","DEEP_MEASURE_ID_OVERRIDE",$C241,"DEEP_BROKER_ID_OVERRIDE",N$24,"DEEP_PERIOD_OVERRIDE",$H$19)*1,"")))</f>
        <v/>
      </c>
      <c r="O241" t="str">
        <f>IF(OR(O$23="",ISNA($B241)),"",IF(ISBLANK($B241),"",IFERROR(_xll.BDP(TICKER,"DEEP_MEASURE_PERIOD_BROKER_VALUE","DEEP_MEASURE_ID_OVERRIDE",$C241,"DEEP_BROKER_ID_OVERRIDE",O$24,"DEEP_PERIOD_OVERRIDE",$H$19)*1,"")))</f>
        <v/>
      </c>
      <c r="P241" t="str">
        <f>IF(OR(P$23="",ISNA($B241)),"",IF(ISBLANK($B241),"",IFERROR(_xll.BDP(TICKER,"DEEP_MEASURE_PERIOD_BROKER_VALUE","DEEP_MEASURE_ID_OVERRIDE",$C241,"DEEP_BROKER_ID_OVERRIDE",P$24,"DEEP_PERIOD_OVERRIDE",$H$19)*1,"")))</f>
        <v/>
      </c>
      <c r="Q241" t="str">
        <f>IF(OR(Q$23="",ISNA($B241)),"",IF(ISBLANK($B241),"",IFERROR(_xll.BDP(TICKER,"DEEP_MEASURE_PERIOD_BROKER_VALUE","DEEP_MEASURE_ID_OVERRIDE",$C241,"DEEP_BROKER_ID_OVERRIDE",Q$24,"DEEP_PERIOD_OVERRIDE",$H$19)*1,"")))</f>
        <v/>
      </c>
      <c r="R241" t="str">
        <f>IF(OR(R$23="",ISNA($B241)),"",IF(ISBLANK($B241),"",IFERROR(_xll.BDP(TICKER,"DEEP_MEASURE_PERIOD_BROKER_VALUE","DEEP_MEASURE_ID_OVERRIDE",$C241,"DEEP_BROKER_ID_OVERRIDE",R$24,"DEEP_PERIOD_OVERRIDE",$H$19)*1,"")))</f>
        <v/>
      </c>
      <c r="S241" t="str">
        <f>IF(OR(S$23="",ISNA($B241)),"",IF(ISBLANK($B241),"",IFERROR(_xll.BDP(TICKER,"DEEP_MEASURE_PERIOD_BROKER_VALUE","DEEP_MEASURE_ID_OVERRIDE",$C241,"DEEP_BROKER_ID_OVERRIDE",S$24,"DEEP_PERIOD_OVERRIDE",$H$19)*1,"")))</f>
        <v/>
      </c>
      <c r="T241" t="str">
        <f>IF(OR(T$23="",ISNA($B241)),"",IF(ISBLANK($B241),"",IFERROR(_xll.BDP(TICKER,"DEEP_MEASURE_PERIOD_BROKER_VALUE","DEEP_MEASURE_ID_OVERRIDE",$C241,"DEEP_BROKER_ID_OVERRIDE",T$24,"DEEP_PERIOD_OVERRIDE",$H$19)*1,"")))</f>
        <v/>
      </c>
      <c r="U241" t="str">
        <f>IF(OR(U$23="",ISNA($B241)),"",IF(ISBLANK($B241),"",IFERROR(_xll.BDP(TICKER,"DEEP_MEASURE_PERIOD_BROKER_VALUE","DEEP_MEASURE_ID_OVERRIDE",$C241,"DEEP_BROKER_ID_OVERRIDE",U$24,"DEEP_PERIOD_OVERRIDE",$H$19)*1,"")))</f>
        <v/>
      </c>
      <c r="V241" t="str">
        <f>IF(OR(V$23="",ISNA($B241)),"",IF(ISBLANK($B241),"",IFERROR(_xll.BDP(TICKER,"DEEP_MEASURE_PERIOD_BROKER_VALUE","DEEP_MEASURE_ID_OVERRIDE",$C241,"DEEP_BROKER_ID_OVERRIDE",V$24,"DEEP_PERIOD_OVERRIDE",$H$19)*1,"")))</f>
        <v/>
      </c>
      <c r="W241" t="str">
        <f>IF(OR(W$23="",ISNA($B241)),"",IF(ISBLANK($B241),"",IFERROR(_xll.BDP(TICKER,"DEEP_MEASURE_PERIOD_BROKER_VALUE","DEEP_MEASURE_ID_OVERRIDE",$C241,"DEEP_BROKER_ID_OVERRIDE",W$24,"DEEP_PERIOD_OVERRIDE",$H$19)*1,"")))</f>
        <v/>
      </c>
      <c r="X241" t="str">
        <f>IF(OR(X$23="",ISNA($B241)),"",IF(ISBLANK($B241),"",IFERROR(_xll.BDP(TICKER,"DEEP_MEASURE_PERIOD_BROKER_VALUE","DEEP_MEASURE_ID_OVERRIDE",$C241,"DEEP_BROKER_ID_OVERRIDE",X$24,"DEEP_PERIOD_OVERRIDE",$H$19)*1,"")))</f>
        <v/>
      </c>
      <c r="Y241" t="str">
        <f>IF(OR(Y$23="",ISNA($B241)),"",IF(ISBLANK($B241),"",IFERROR(_xll.BDP(TICKER,"DEEP_MEASURE_PERIOD_BROKER_VALUE","DEEP_MEASURE_ID_OVERRIDE",$C241,"DEEP_BROKER_ID_OVERRIDE",Y$24,"DEEP_PERIOD_OVERRIDE",$H$19)*1,"")))</f>
        <v/>
      </c>
      <c r="Z241" t="str">
        <f>IF(OR(Z$23="",ISNA($B241)),"",IF(ISBLANK($B241),"",IFERROR(_xll.BDP(TICKER,"DEEP_MEASURE_PERIOD_BROKER_VALUE","DEEP_MEASURE_ID_OVERRIDE",$C241,"DEEP_BROKER_ID_OVERRIDE",Z$24,"DEEP_PERIOD_OVERRIDE",$H$19)*1,"")))</f>
        <v/>
      </c>
      <c r="AA241" t="str">
        <f>IF(OR(AA$23="",ISNA($B241)),"",IF(ISBLANK($B241),"",IFERROR(_xll.BDP(TICKER,"DEEP_MEASURE_PERIOD_BROKER_VALUE","DEEP_MEASURE_ID_OVERRIDE",$C241,"DEEP_BROKER_ID_OVERRIDE",AA$24,"DEEP_PERIOD_OVERRIDE",$H$19)*1,"")))</f>
        <v/>
      </c>
      <c r="AB241" t="str">
        <f>IF(OR(AB$23="",ISNA($B241)),"",IF(ISBLANK($B241),"",IFERROR(_xll.BDP(TICKER,"DEEP_MEASURE_PERIOD_BROKER_VALUE","DEEP_MEASURE_ID_OVERRIDE",$C241,"DEEP_BROKER_ID_OVERRIDE",AB$24,"DEEP_PERIOD_OVERRIDE",$H$19)*1,"")))</f>
        <v/>
      </c>
      <c r="AC241" t="str">
        <f>IF(OR(AC$23="",ISNA($B241)),"",IF(ISBLANK($B241),"",IFERROR(_xll.BDP(TICKER,"DEEP_MEASURE_PERIOD_BROKER_VALUE","DEEP_MEASURE_ID_OVERRIDE",$C241,"DEEP_BROKER_ID_OVERRIDE",AC$24,"DEEP_PERIOD_OVERRIDE",$H$19)*1,"")))</f>
        <v/>
      </c>
      <c r="AD241" t="str">
        <f>IF(OR(AD$23="",ISNA($B241)),"",IF(ISBLANK($B241),"",IFERROR(_xll.BDP(TICKER,"DEEP_MEASURE_PERIOD_BROKER_VALUE","DEEP_MEASURE_ID_OVERRIDE",$C241,"DEEP_BROKER_ID_OVERRIDE",AD$24,"DEEP_PERIOD_OVERRIDE",$H$19)*1,"")))</f>
        <v/>
      </c>
      <c r="AE241" t="str">
        <f>IF(OR(AE$23="",ISNA($B241)),"",IF(ISBLANK($B241),"",IFERROR(_xll.BDP(TICKER,"DEEP_MEASURE_PERIOD_BROKER_VALUE","DEEP_MEASURE_ID_OVERRIDE",$C241,"DEEP_BROKER_ID_OVERRIDE",AE$24,"DEEP_PERIOD_OVERRIDE",$H$19)*1,"")))</f>
        <v/>
      </c>
      <c r="AF241" t="str">
        <f>IF(OR(AF$23="",ISNA($B241)),"",IF(ISBLANK($B241),"",IFERROR(_xll.BDP(TICKER,"DEEP_MEASURE_PERIOD_BROKER_VALUE","DEEP_MEASURE_ID_OVERRIDE",$C241,"DEEP_BROKER_ID_OVERRIDE",AF$24,"DEEP_PERIOD_OVERRIDE",$H$19)*1,"")))</f>
        <v/>
      </c>
      <c r="AG241" t="str">
        <f>IF(OR(AG$23="",ISNA($B241)),"",IF(ISBLANK($B241),"",IFERROR(_xll.BDP(TICKER,"DEEP_MEASURE_PERIOD_BROKER_VALUE","DEEP_MEASURE_ID_OVERRIDE",$C241,"DEEP_BROKER_ID_OVERRIDE",AG$24,"DEEP_PERIOD_OVERRIDE",$H$19)*1,"")))</f>
        <v/>
      </c>
      <c r="AH241" t="str">
        <f>IF(OR(AH$23="",ISNA($B241)),"",IF(ISBLANK($B241),"",IFERROR(_xll.BDP(TICKER,"DEEP_MEASURE_PERIOD_BROKER_VALUE","DEEP_MEASURE_ID_OVERRIDE",$C241,"DEEP_BROKER_ID_OVERRIDE",AH$24,"DEEP_PERIOD_OVERRIDE",$H$19)*1,"")))</f>
        <v/>
      </c>
      <c r="AI241" t="str">
        <f>IF(OR(AI$23="",ISNA($B241)),"",IF(ISBLANK($B241),"",IFERROR(_xll.BDP(TICKER,"DEEP_MEASURE_PERIOD_BROKER_VALUE","DEEP_MEASURE_ID_OVERRIDE",$C241,"DEEP_BROKER_ID_OVERRIDE",AI$24,"DEEP_PERIOD_OVERRIDE",$H$19)*1,"")))</f>
        <v/>
      </c>
      <c r="AJ241" t="str">
        <f>IF(OR(AJ$23="",ISNA($B241)),"",IF(ISBLANK($B241),"",IFERROR(_xll.BDP(TICKER,"DEEP_MEASURE_PERIOD_BROKER_VALUE","DEEP_MEASURE_ID_OVERRIDE",$C241,"DEEP_BROKER_ID_OVERRIDE",AJ$24,"DEEP_PERIOD_OVERRIDE",$H$19)*1,"")))</f>
        <v/>
      </c>
      <c r="AK241" t="str">
        <f>IF(OR(AK$23="",ISNA($B241)),"",IF(ISBLANK($B241),"",IFERROR(_xll.BDP(TICKER,"DEEP_MEASURE_PERIOD_BROKER_VALUE","DEEP_MEASURE_ID_OVERRIDE",$C241,"DEEP_BROKER_ID_OVERRIDE",AK$24,"DEEP_PERIOD_OVERRIDE",$H$19)*1,"")))</f>
        <v/>
      </c>
      <c r="AL241" t="str">
        <f>IF(OR(AL$23="",ISNA($B241)),"",IF(ISBLANK($B241),"",IFERROR(_xll.BDP(TICKER,"DEEP_MEASURE_PERIOD_BROKER_VALUE","DEEP_MEASURE_ID_OVERRIDE",$C241,"DEEP_BROKER_ID_OVERRIDE",AL$24,"DEEP_PERIOD_OVERRIDE",$H$19)*1,"")))</f>
        <v/>
      </c>
      <c r="AM241" t="str">
        <f>IF(OR(AM$23="",ISNA($B241)),"",IF(ISBLANK($B241),"",IFERROR(_xll.BDP(TICKER,"DEEP_MEASURE_PERIOD_BROKER_VALUE","DEEP_MEASURE_ID_OVERRIDE",$C241,"DEEP_BROKER_ID_OVERRIDE",AM$24,"DEEP_PERIOD_OVERRIDE",$H$19)*1,"")))</f>
        <v/>
      </c>
      <c r="AN241" t="str">
        <f>IF(OR(AN$23="",ISNA($B241)),"",IF(ISBLANK($B241),"",IFERROR(_xll.BDP(TICKER,"DEEP_MEASURE_PERIOD_BROKER_VALUE","DEEP_MEASURE_ID_OVERRIDE",$C241,"DEEP_BROKER_ID_OVERRIDE",AN$24,"DEEP_PERIOD_OVERRIDE",$H$19)*1,"")))</f>
        <v/>
      </c>
      <c r="AO241" t="str">
        <f>IF(OR(AO$23="",ISNA($B241)),"",IF(ISBLANK($B241),"",IFERROR(_xll.BDP(TICKER,"DEEP_MEASURE_PERIOD_BROKER_VALUE","DEEP_MEASURE_ID_OVERRIDE",$C241,"DEEP_BROKER_ID_OVERRIDE",AO$24,"DEEP_PERIOD_OVERRIDE",$H$19)*1,"")))</f>
        <v/>
      </c>
      <c r="AP241" t="str">
        <f>IF(OR(AP$23="",ISNA($B241)),"",IF(ISBLANK($B241),"",IFERROR(_xll.BDP(TICKER,"DEEP_MEASURE_PERIOD_BROKER_VALUE","DEEP_MEASURE_ID_OVERRIDE",$C241,"DEEP_BROKER_ID_OVERRIDE",AP$24,"DEEP_PERIOD_OVERRIDE",$H$19)*1,"")))</f>
        <v/>
      </c>
      <c r="AQ241" t="str">
        <f>IF(OR(AQ$23="",ISNA($B241)),"",IF(ISBLANK($B241),"",IFERROR(_xll.BDP(TICKER,"DEEP_MEASURE_PERIOD_BROKER_VALUE","DEEP_MEASURE_ID_OVERRIDE",$C241,"DEEP_BROKER_ID_OVERRIDE",AQ$24,"DEEP_PERIOD_OVERRIDE",$H$19)*1,"")))</f>
        <v/>
      </c>
      <c r="AR241" t="str">
        <f>IF(OR(AR$23="",ISNA($B241)),"",IF(ISBLANK($B241),"",IFERROR(_xll.BDP(TICKER,"DEEP_MEASURE_PERIOD_BROKER_VALUE","DEEP_MEASURE_ID_OVERRIDE",$C241,"DEEP_BROKER_ID_OVERRIDE",AR$24,"DEEP_PERIOD_OVERRIDE",$H$19)*1,"")))</f>
        <v/>
      </c>
      <c r="AS241" t="str">
        <f>IF(OR(AS$23="",ISNA($B241)),"",IF(ISBLANK($B241),"",IFERROR(_xll.BDP(TICKER,"DEEP_MEASURE_PERIOD_BROKER_VALUE","DEEP_MEASURE_ID_OVERRIDE",$C241,"DEEP_BROKER_ID_OVERRIDE",AS$24,"DEEP_PERIOD_OVERRIDE",$H$19)*1,"")))</f>
        <v/>
      </c>
      <c r="AT241" t="str">
        <f>IF(OR(AT$23="",ISNA($B241)),"",IF(ISBLANK($B241),"",IFERROR(_xll.BDP(TICKER,"DEEP_MEASURE_PERIOD_BROKER_VALUE","DEEP_MEASURE_ID_OVERRIDE",$C241,"DEEP_BROKER_ID_OVERRIDE",AT$24,"DEEP_PERIOD_OVERRIDE",$H$19)*1,"")))</f>
        <v/>
      </c>
      <c r="AU241" t="str">
        <f>IF(OR(AU$23="",ISNA($B241)),"",IF(ISBLANK($B241),"",IFERROR(_xll.BDP(TICKER,"DEEP_MEASURE_PERIOD_BROKER_VALUE","DEEP_MEASURE_ID_OVERRIDE",$C241,"DEEP_BROKER_ID_OVERRIDE",AU$24,"DEEP_PERIOD_OVERRIDE",$H$19)*1,"")))</f>
        <v/>
      </c>
      <c r="AV241" t="str">
        <f>IF(OR(AV$23="",ISNA($B241)),"",IF(ISBLANK($B241),"",IFERROR(_xll.BDP(TICKER,"DEEP_MEASURE_PERIOD_BROKER_VALUE","DEEP_MEASURE_ID_OVERRIDE",$C241,"DEEP_BROKER_ID_OVERRIDE",AV$24,"DEEP_PERIOD_OVERRIDE",$H$19)*1,"")))</f>
        <v/>
      </c>
      <c r="AW241" t="str">
        <f>IF(OR(AW$23="",ISNA($B241)),"",IF(ISBLANK($B241),"",IFERROR(_xll.BDP(TICKER,"DEEP_MEASURE_PERIOD_BROKER_VALUE","DEEP_MEASURE_ID_OVERRIDE",$C241,"DEEP_BROKER_ID_OVERRIDE",AW$24,"DEEP_PERIOD_OVERRIDE",$H$19)*1,"")))</f>
        <v/>
      </c>
      <c r="AX241" t="str">
        <f>IF(OR(AX$23="",ISNA($B241)),"",IF(ISBLANK($B241),"",IFERROR(_xll.BDP(TICKER,"DEEP_MEASURE_PERIOD_BROKER_VALUE","DEEP_MEASURE_ID_OVERRIDE",$C241,"DEEP_BROKER_ID_OVERRIDE",AX$24,"DEEP_PERIOD_OVERRIDE",$H$19)*1,"")))</f>
        <v/>
      </c>
      <c r="AY241" t="str">
        <f>IF(OR(AY$23="",ISNA($B241)),"",IF(ISBLANK($B241),"",IFERROR(_xll.BDP(TICKER,"DEEP_MEASURE_PERIOD_BROKER_VALUE","DEEP_MEASURE_ID_OVERRIDE",$C241,"DEEP_BROKER_ID_OVERRIDE",AY$24,"DEEP_PERIOD_OVERRIDE",$H$19)*1,"")))</f>
        <v/>
      </c>
      <c r="AZ241" t="str">
        <f>IF(OR(AZ$23="",ISNA($B241)),"",IF(ISBLANK($B241),"",IFERROR(_xll.BDP(TICKER,"DEEP_MEASURE_PERIOD_BROKER_VALUE","DEEP_MEASURE_ID_OVERRIDE",$C241,"DEEP_BROKER_ID_OVERRIDE",AZ$24,"DEEP_PERIOD_OVERRIDE",$H$19)*1,"")))</f>
        <v/>
      </c>
      <c r="BA241" t="str">
        <f>IF(OR(BA$23="",ISNA($B241)),"",IF(ISBLANK($B241),"",IFERROR(_xll.BDP(TICKER,"DEEP_MEASURE_PERIOD_BROKER_VALUE","DEEP_MEASURE_ID_OVERRIDE",$C241,"DEEP_BROKER_ID_OVERRIDE",BA$24,"DEEP_PERIOD_OVERRIDE",$H$19)*1,"")))</f>
        <v/>
      </c>
      <c r="BB241" t="str">
        <f>IF(OR(BB$23="",ISNA($B241)),"",IF(ISBLANK($B241),"",IFERROR(_xll.BDP(TICKER,"DEEP_MEASURE_PERIOD_BROKER_VALUE","DEEP_MEASURE_ID_OVERRIDE",$C241,"DEEP_BROKER_ID_OVERRIDE",BB$24,"DEEP_PERIOD_OVERRIDE",$H$19)*1,"")))</f>
        <v/>
      </c>
      <c r="BC241" t="str">
        <f>IF(OR(BC$23="",ISNA($B241)),"",IF(ISBLANK($B241),"",IFERROR(_xll.BDP(TICKER,"DEEP_MEASURE_PERIOD_BROKER_VALUE","DEEP_MEASURE_ID_OVERRIDE",$C241,"DEEP_BROKER_ID_OVERRIDE",BC$24,"DEEP_PERIOD_OVERRIDE",$H$19)*1,"")))</f>
        <v/>
      </c>
      <c r="BD241" t="str">
        <f>IF(OR(BD$23="",ISNA($B241)),"",IF(ISBLANK($B241),"",IFERROR(_xll.BDP(TICKER,"DEEP_MEASURE_PERIOD_BROKER_VALUE","DEEP_MEASURE_ID_OVERRIDE",$C241,"DEEP_BROKER_ID_OVERRIDE",BD$24,"DEEP_PERIOD_OVERRIDE",$H$19)*1,"")))</f>
        <v/>
      </c>
      <c r="BE241" t="str">
        <f>IF(OR(BE$23="",ISNA($B241)),"",IF(ISBLANK($B241),"",IFERROR(_xll.BDP(TICKER,"DEEP_MEASURE_PERIOD_BROKER_VALUE","DEEP_MEASURE_ID_OVERRIDE",$C241,"DEEP_BROKER_ID_OVERRIDE",BE$24,"DEEP_PERIOD_OVERRIDE",$H$19)*1,"")))</f>
        <v/>
      </c>
      <c r="BF241" t="str">
        <f>IF(OR(BF$23="",ISNA($B241)),"",IF(ISBLANK($B241),"",IFERROR(_xll.BDP(TICKER,"DEEP_MEASURE_PERIOD_BROKER_VALUE","DEEP_MEASURE_ID_OVERRIDE",$C241,"DEEP_BROKER_ID_OVERRIDE",BF$24,"DEEP_PERIOD_OVERRIDE",$H$19)*1,"")))</f>
        <v/>
      </c>
      <c r="BG241" t="str">
        <f>IF(OR(BG$23="",ISNA($B241)),"",IF(ISBLANK($B241),"",IFERROR(_xll.BDP(TICKER,"DEEP_MEASURE_PERIOD_BROKER_VALUE","DEEP_MEASURE_ID_OVERRIDE",$C241,"DEEP_BROKER_ID_OVERRIDE",BG$24,"DEEP_PERIOD_OVERRIDE",$H$19)*1,"")))</f>
        <v/>
      </c>
      <c r="BH241" t="str">
        <f>IF(OR(BH$23="",ISNA($B241)),"",IF(ISBLANK($B241),"",IFERROR(_xll.BDP(TICKER,"DEEP_MEASURE_PERIOD_BROKER_VALUE","DEEP_MEASURE_ID_OVERRIDE",$C241,"DEEP_BROKER_ID_OVERRIDE",BH$24,"DEEP_PERIOD_OVERRIDE",$H$19)*1,"")))</f>
        <v/>
      </c>
      <c r="BI241" t="str">
        <f>IF(OR(BI$23="",ISNA($B241)),"",IF(ISBLANK($B241),"",IFERROR(_xll.BDP(TICKER,"DEEP_MEASURE_PERIOD_BROKER_VALUE","DEEP_MEASURE_ID_OVERRIDE",$C241,"DEEP_BROKER_ID_OVERRIDE",BI$24,"DEEP_PERIOD_OVERRIDE",$H$19)*1,"")))</f>
        <v/>
      </c>
      <c r="BJ241" t="str">
        <f>IF(OR(BJ$23="",ISNA($B241)),"",IF(ISBLANK($B241),"",IFERROR(_xll.BDP(TICKER,"DEEP_MEASURE_PERIOD_BROKER_VALUE","DEEP_MEASURE_ID_OVERRIDE",$C241,"DEEP_BROKER_ID_OVERRIDE",BJ$24,"DEEP_PERIOD_OVERRIDE",$H$19)*1,"")))</f>
        <v/>
      </c>
      <c r="BK241" t="str">
        <f>IF(OR(BK$23="",ISNA($B241)),"",IF(ISBLANK($B241),"",IFERROR(_xll.BDP(TICKER,"DEEP_MEASURE_PERIOD_BROKER_VALUE","DEEP_MEASURE_ID_OVERRIDE",$C241,"DEEP_BROKER_ID_OVERRIDE",BK$24,"DEEP_PERIOD_OVERRIDE",$H$19)*1,"")))</f>
        <v/>
      </c>
      <c r="BL241" t="str">
        <f>IF(OR(BL$23="",ISNA($B241)),"",IF(ISBLANK($B241),"",IFERROR(_xll.BDP(TICKER,"DEEP_MEASURE_PERIOD_BROKER_VALUE","DEEP_MEASURE_ID_OVERRIDE",$C241,"DEEP_BROKER_ID_OVERRIDE",BL$24,"DEEP_PERIOD_OVERRIDE",$H$19)*1,"")))</f>
        <v/>
      </c>
      <c r="BM241" t="str">
        <f>IF(OR(BM$23="",ISNA($B241)),"",IF(ISBLANK($B241),"",IFERROR(_xll.BDP(TICKER,"DEEP_MEASURE_PERIOD_BROKER_VALUE","DEEP_MEASURE_ID_OVERRIDE",$C241,"DEEP_BROKER_ID_OVERRIDE",BM$24,"DEEP_PERIOD_OVERRIDE",$H$19)*1,"")))</f>
        <v/>
      </c>
      <c r="BN241" t="str">
        <f>IF(OR(BN$23="",ISNA($B241)),"",IF(ISBLANK($B241),"",IFERROR(_xll.BDP(TICKER,"DEEP_MEASURE_PERIOD_BROKER_VALUE","DEEP_MEASURE_ID_OVERRIDE",$C241,"DEEP_BROKER_ID_OVERRIDE",BN$24,"DEEP_PERIOD_OVERRIDE",$H$19)*1,"")))</f>
        <v/>
      </c>
      <c r="BO241" t="str">
        <f>IF(OR(BO$23="",ISNA($B241)),"",IF(ISBLANK($B241),"",IFERROR(_xll.BDP(TICKER,"DEEP_MEASURE_PERIOD_BROKER_VALUE","DEEP_MEASURE_ID_OVERRIDE",$C241,"DEEP_BROKER_ID_OVERRIDE",BO$24,"DEEP_PERIOD_OVERRIDE",$H$19)*1,"")))</f>
        <v/>
      </c>
      <c r="BP241" t="str">
        <f>IF(OR(BP$23="",ISNA($B241)),"",IF(ISBLANK($B241),"",IFERROR(_xll.BDP(TICKER,"DEEP_MEASURE_PERIOD_BROKER_VALUE","DEEP_MEASURE_ID_OVERRIDE",$C241,"DEEP_BROKER_ID_OVERRIDE",BP$24,"DEEP_PERIOD_OVERRIDE",$H$19)*1,"")))</f>
        <v/>
      </c>
      <c r="BQ241" t="str">
        <f>IF(OR(BQ$23="",ISNA($B241)),"",IF(ISBLANK($B241),"",IFERROR(_xll.BDP(TICKER,"DEEP_MEASURE_PERIOD_BROKER_VALUE","DEEP_MEASURE_ID_OVERRIDE",$C241,"DEEP_BROKER_ID_OVERRIDE",BQ$24,"DEEP_PERIOD_OVERRIDE",$H$19)*1,"")))</f>
        <v/>
      </c>
      <c r="BR241" t="str">
        <f>IF(OR(BR$23="",ISNA($B241)),"",IF(ISBLANK($B241),"",IFERROR(_xll.BDP(TICKER,"DEEP_MEASURE_PERIOD_BROKER_VALUE","DEEP_MEASURE_ID_OVERRIDE",$C241,"DEEP_BROKER_ID_OVERRIDE",BR$24,"DEEP_PERIOD_OVERRIDE",$H$19)*1,"")))</f>
        <v/>
      </c>
      <c r="BS241" t="str">
        <f>IF(OR(BS$23="",ISNA($B241)),"",IF(ISBLANK($B241),"",IFERROR(_xll.BDP(TICKER,"DEEP_MEASURE_PERIOD_BROKER_VALUE","DEEP_MEASURE_ID_OVERRIDE",$C241,"DEEP_BROKER_ID_OVERRIDE",BS$24,"DEEP_PERIOD_OVERRIDE",$H$19)*1,"")))</f>
        <v/>
      </c>
      <c r="BT241" t="str">
        <f>IF(OR(BT$23="",ISNA($B241)),"",IF(ISBLANK($B241),"",IFERROR(_xll.BDP(TICKER,"DEEP_MEASURE_PERIOD_BROKER_VALUE","DEEP_MEASURE_ID_OVERRIDE",$C241,"DEEP_BROKER_ID_OVERRIDE",BT$24,"DEEP_PERIOD_OVERRIDE",$H$19)*1,"")))</f>
        <v/>
      </c>
      <c r="BU241" t="str">
        <f>IF(OR(BU$23="",ISNA($B241)),"",IF(ISBLANK($B241),"",IFERROR(_xll.BDP(TICKER,"DEEP_MEASURE_PERIOD_BROKER_VALUE","DEEP_MEASURE_ID_OVERRIDE",$C241,"DEEP_BROKER_ID_OVERRIDE",BU$24,"DEEP_PERIOD_OVERRIDE",$H$19)*1,"")))</f>
        <v/>
      </c>
      <c r="BV241" t="str">
        <f>IF(OR(BV$23="",ISNA($B241)),"",IF(ISBLANK($B241),"",IFERROR(_xll.BDP(TICKER,"DEEP_MEASURE_PERIOD_BROKER_VALUE","DEEP_MEASURE_ID_OVERRIDE",$C241,"DEEP_BROKER_ID_OVERRIDE",BV$24,"DEEP_PERIOD_OVERRIDE",$H$19)*1,"")))</f>
        <v/>
      </c>
      <c r="BW241" t="str">
        <f>IF(OR(BW$23="",ISNA($B241)),"",IF(ISBLANK($B241),"",IFERROR(_xll.BDP(TICKER,"DEEP_MEASURE_PERIOD_BROKER_VALUE","DEEP_MEASURE_ID_OVERRIDE",$C241,"DEEP_BROKER_ID_OVERRIDE",BW$24,"DEEP_PERIOD_OVERRIDE",$H$19)*1,"")))</f>
        <v/>
      </c>
      <c r="BX241" t="str">
        <f>IF(OR(BX$23="",ISNA($B241)),"",IF(ISBLANK($B241),"",IFERROR(_xll.BDP(TICKER,"DEEP_MEASURE_PERIOD_BROKER_VALUE","DEEP_MEASURE_ID_OVERRIDE",$C241,"DEEP_BROKER_ID_OVERRIDE",BX$24,"DEEP_PERIOD_OVERRIDE",$H$19)*1,"")))</f>
        <v/>
      </c>
      <c r="BY241" t="str">
        <f>IF(OR(BY$23="",ISNA($B241)),"",IF(ISBLANK($B241),"",IFERROR(_xll.BDP(TICKER,"DEEP_MEASURE_PERIOD_BROKER_VALUE","DEEP_MEASURE_ID_OVERRIDE",$C241,"DEEP_BROKER_ID_OVERRIDE",BY$24,"DEEP_PERIOD_OVERRIDE",$H$19)*1,"")))</f>
        <v/>
      </c>
      <c r="BZ241" t="str">
        <f>IF(OR(BZ$23="",ISNA($B241)),"",IF(ISBLANK($B241),"",IFERROR(_xll.BDP(TICKER,"DEEP_MEASURE_PERIOD_BROKER_VALUE","DEEP_MEASURE_ID_OVERRIDE",$C241,"DEEP_BROKER_ID_OVERRIDE",BZ$24,"DEEP_PERIOD_OVERRIDE",$H$19)*1,"")))</f>
        <v/>
      </c>
    </row>
    <row r="242" spans="8:78" x14ac:dyDescent="0.25">
      <c r="H242" t="str">
        <f t="shared" si="4"/>
        <v/>
      </c>
      <c r="I242" t="str">
        <f>IF(OR(I$23="",ISNA($B242)),"",IF(ISBLANK($B242),"",IFERROR(_xll.BDP(TICKER,"DEEP_MEASURE_PERIOD_BROKER_VALUE","DEEP_MEASURE_ID_OVERRIDE",$C242,"DEEP_PERIOD_OVERRIDE",$H$19)*1,"")))</f>
        <v/>
      </c>
      <c r="J242" t="e">
        <f>IF(OR(J$23="",ISNA($B242)),"",IF(ISBLANK($B242),"",IFERROR(_xll.BDP(TICKER,"DEEP_MEASURE_PERIOD_BROKER_VALUE","DEEP_MEASURE_ID_OVERRIDE",$C242,"DEEP_BROKER_ID_OVERRIDE",J$24,"DEEP_PERIOD_OVERRIDE",$H$19)*1,"")))</f>
        <v>#REF!</v>
      </c>
      <c r="K242" t="str">
        <f>IF(OR(K$23="",ISNA($B242)),"",IF(ISBLANK($B242),"",IFERROR(_xll.BDP(TICKER,"DEEP_MEASURE_PERIOD_BROKER_VALUE","DEEP_MEASURE_ID_OVERRIDE",$C242,"DEEP_BROKER_ID_OVERRIDE",K$24,"DEEP_PERIOD_OVERRIDE",$H$19)*1,"")))</f>
        <v/>
      </c>
      <c r="L242" t="str">
        <f>IF(OR(L$23="",ISNA($B242)),"",IF(ISBLANK($B242),"",IFERROR(_xll.BDP(TICKER,"DEEP_MEASURE_PERIOD_BROKER_VALUE","DEEP_MEASURE_ID_OVERRIDE",$C242,"DEEP_BROKER_ID_OVERRIDE",L$24,"DEEP_PERIOD_OVERRIDE",$H$19)*1,"")))</f>
        <v/>
      </c>
      <c r="M242" t="str">
        <f>IF(OR(M$23="",ISNA($B242)),"",IF(ISBLANK($B242),"",IFERROR(_xll.BDP(TICKER,"DEEP_MEASURE_PERIOD_BROKER_VALUE","DEEP_MEASURE_ID_OVERRIDE",$C242,"DEEP_BROKER_ID_OVERRIDE",M$24,"DEEP_PERIOD_OVERRIDE",$H$19)*1,"")))</f>
        <v/>
      </c>
      <c r="N242" t="str">
        <f>IF(OR(N$23="",ISNA($B242)),"",IF(ISBLANK($B242),"",IFERROR(_xll.BDP(TICKER,"DEEP_MEASURE_PERIOD_BROKER_VALUE","DEEP_MEASURE_ID_OVERRIDE",$C242,"DEEP_BROKER_ID_OVERRIDE",N$24,"DEEP_PERIOD_OVERRIDE",$H$19)*1,"")))</f>
        <v/>
      </c>
      <c r="O242" t="str">
        <f>IF(OR(O$23="",ISNA($B242)),"",IF(ISBLANK($B242),"",IFERROR(_xll.BDP(TICKER,"DEEP_MEASURE_PERIOD_BROKER_VALUE","DEEP_MEASURE_ID_OVERRIDE",$C242,"DEEP_BROKER_ID_OVERRIDE",O$24,"DEEP_PERIOD_OVERRIDE",$H$19)*1,"")))</f>
        <v/>
      </c>
      <c r="P242" t="str">
        <f>IF(OR(P$23="",ISNA($B242)),"",IF(ISBLANK($B242),"",IFERROR(_xll.BDP(TICKER,"DEEP_MEASURE_PERIOD_BROKER_VALUE","DEEP_MEASURE_ID_OVERRIDE",$C242,"DEEP_BROKER_ID_OVERRIDE",P$24,"DEEP_PERIOD_OVERRIDE",$H$19)*1,"")))</f>
        <v/>
      </c>
      <c r="Q242" t="str">
        <f>IF(OR(Q$23="",ISNA($B242)),"",IF(ISBLANK($B242),"",IFERROR(_xll.BDP(TICKER,"DEEP_MEASURE_PERIOD_BROKER_VALUE","DEEP_MEASURE_ID_OVERRIDE",$C242,"DEEP_BROKER_ID_OVERRIDE",Q$24,"DEEP_PERIOD_OVERRIDE",$H$19)*1,"")))</f>
        <v/>
      </c>
      <c r="R242" t="str">
        <f>IF(OR(R$23="",ISNA($B242)),"",IF(ISBLANK($B242),"",IFERROR(_xll.BDP(TICKER,"DEEP_MEASURE_PERIOD_BROKER_VALUE","DEEP_MEASURE_ID_OVERRIDE",$C242,"DEEP_BROKER_ID_OVERRIDE",R$24,"DEEP_PERIOD_OVERRIDE",$H$19)*1,"")))</f>
        <v/>
      </c>
      <c r="S242" t="str">
        <f>IF(OR(S$23="",ISNA($B242)),"",IF(ISBLANK($B242),"",IFERROR(_xll.BDP(TICKER,"DEEP_MEASURE_PERIOD_BROKER_VALUE","DEEP_MEASURE_ID_OVERRIDE",$C242,"DEEP_BROKER_ID_OVERRIDE",S$24,"DEEP_PERIOD_OVERRIDE",$H$19)*1,"")))</f>
        <v/>
      </c>
      <c r="T242" t="str">
        <f>IF(OR(T$23="",ISNA($B242)),"",IF(ISBLANK($B242),"",IFERROR(_xll.BDP(TICKER,"DEEP_MEASURE_PERIOD_BROKER_VALUE","DEEP_MEASURE_ID_OVERRIDE",$C242,"DEEP_BROKER_ID_OVERRIDE",T$24,"DEEP_PERIOD_OVERRIDE",$H$19)*1,"")))</f>
        <v/>
      </c>
      <c r="U242" t="str">
        <f>IF(OR(U$23="",ISNA($B242)),"",IF(ISBLANK($B242),"",IFERROR(_xll.BDP(TICKER,"DEEP_MEASURE_PERIOD_BROKER_VALUE","DEEP_MEASURE_ID_OVERRIDE",$C242,"DEEP_BROKER_ID_OVERRIDE",U$24,"DEEP_PERIOD_OVERRIDE",$H$19)*1,"")))</f>
        <v/>
      </c>
      <c r="V242" t="str">
        <f>IF(OR(V$23="",ISNA($B242)),"",IF(ISBLANK($B242),"",IFERROR(_xll.BDP(TICKER,"DEEP_MEASURE_PERIOD_BROKER_VALUE","DEEP_MEASURE_ID_OVERRIDE",$C242,"DEEP_BROKER_ID_OVERRIDE",V$24,"DEEP_PERIOD_OVERRIDE",$H$19)*1,"")))</f>
        <v/>
      </c>
      <c r="W242" t="str">
        <f>IF(OR(W$23="",ISNA($B242)),"",IF(ISBLANK($B242),"",IFERROR(_xll.BDP(TICKER,"DEEP_MEASURE_PERIOD_BROKER_VALUE","DEEP_MEASURE_ID_OVERRIDE",$C242,"DEEP_BROKER_ID_OVERRIDE",W$24,"DEEP_PERIOD_OVERRIDE",$H$19)*1,"")))</f>
        <v/>
      </c>
      <c r="X242" t="str">
        <f>IF(OR(X$23="",ISNA($B242)),"",IF(ISBLANK($B242),"",IFERROR(_xll.BDP(TICKER,"DEEP_MEASURE_PERIOD_BROKER_VALUE","DEEP_MEASURE_ID_OVERRIDE",$C242,"DEEP_BROKER_ID_OVERRIDE",X$24,"DEEP_PERIOD_OVERRIDE",$H$19)*1,"")))</f>
        <v/>
      </c>
      <c r="Y242" t="str">
        <f>IF(OR(Y$23="",ISNA($B242)),"",IF(ISBLANK($B242),"",IFERROR(_xll.BDP(TICKER,"DEEP_MEASURE_PERIOD_BROKER_VALUE","DEEP_MEASURE_ID_OVERRIDE",$C242,"DEEP_BROKER_ID_OVERRIDE",Y$24,"DEEP_PERIOD_OVERRIDE",$H$19)*1,"")))</f>
        <v/>
      </c>
      <c r="Z242" t="str">
        <f>IF(OR(Z$23="",ISNA($B242)),"",IF(ISBLANK($B242),"",IFERROR(_xll.BDP(TICKER,"DEEP_MEASURE_PERIOD_BROKER_VALUE","DEEP_MEASURE_ID_OVERRIDE",$C242,"DEEP_BROKER_ID_OVERRIDE",Z$24,"DEEP_PERIOD_OVERRIDE",$H$19)*1,"")))</f>
        <v/>
      </c>
      <c r="AA242" t="str">
        <f>IF(OR(AA$23="",ISNA($B242)),"",IF(ISBLANK($B242),"",IFERROR(_xll.BDP(TICKER,"DEEP_MEASURE_PERIOD_BROKER_VALUE","DEEP_MEASURE_ID_OVERRIDE",$C242,"DEEP_BROKER_ID_OVERRIDE",AA$24,"DEEP_PERIOD_OVERRIDE",$H$19)*1,"")))</f>
        <v/>
      </c>
      <c r="AB242" t="str">
        <f>IF(OR(AB$23="",ISNA($B242)),"",IF(ISBLANK($B242),"",IFERROR(_xll.BDP(TICKER,"DEEP_MEASURE_PERIOD_BROKER_VALUE","DEEP_MEASURE_ID_OVERRIDE",$C242,"DEEP_BROKER_ID_OVERRIDE",AB$24,"DEEP_PERIOD_OVERRIDE",$H$19)*1,"")))</f>
        <v/>
      </c>
      <c r="AC242" t="str">
        <f>IF(OR(AC$23="",ISNA($B242)),"",IF(ISBLANK($B242),"",IFERROR(_xll.BDP(TICKER,"DEEP_MEASURE_PERIOD_BROKER_VALUE","DEEP_MEASURE_ID_OVERRIDE",$C242,"DEEP_BROKER_ID_OVERRIDE",AC$24,"DEEP_PERIOD_OVERRIDE",$H$19)*1,"")))</f>
        <v/>
      </c>
      <c r="AD242" t="str">
        <f>IF(OR(AD$23="",ISNA($B242)),"",IF(ISBLANK($B242),"",IFERROR(_xll.BDP(TICKER,"DEEP_MEASURE_PERIOD_BROKER_VALUE","DEEP_MEASURE_ID_OVERRIDE",$C242,"DEEP_BROKER_ID_OVERRIDE",AD$24,"DEEP_PERIOD_OVERRIDE",$H$19)*1,"")))</f>
        <v/>
      </c>
      <c r="AE242" t="str">
        <f>IF(OR(AE$23="",ISNA($B242)),"",IF(ISBLANK($B242),"",IFERROR(_xll.BDP(TICKER,"DEEP_MEASURE_PERIOD_BROKER_VALUE","DEEP_MEASURE_ID_OVERRIDE",$C242,"DEEP_BROKER_ID_OVERRIDE",AE$24,"DEEP_PERIOD_OVERRIDE",$H$19)*1,"")))</f>
        <v/>
      </c>
      <c r="AF242" t="str">
        <f>IF(OR(AF$23="",ISNA($B242)),"",IF(ISBLANK($B242),"",IFERROR(_xll.BDP(TICKER,"DEEP_MEASURE_PERIOD_BROKER_VALUE","DEEP_MEASURE_ID_OVERRIDE",$C242,"DEEP_BROKER_ID_OVERRIDE",AF$24,"DEEP_PERIOD_OVERRIDE",$H$19)*1,"")))</f>
        <v/>
      </c>
      <c r="AG242" t="str">
        <f>IF(OR(AG$23="",ISNA($B242)),"",IF(ISBLANK($B242),"",IFERROR(_xll.BDP(TICKER,"DEEP_MEASURE_PERIOD_BROKER_VALUE","DEEP_MEASURE_ID_OVERRIDE",$C242,"DEEP_BROKER_ID_OVERRIDE",AG$24,"DEEP_PERIOD_OVERRIDE",$H$19)*1,"")))</f>
        <v/>
      </c>
      <c r="AH242" t="str">
        <f>IF(OR(AH$23="",ISNA($B242)),"",IF(ISBLANK($B242),"",IFERROR(_xll.BDP(TICKER,"DEEP_MEASURE_PERIOD_BROKER_VALUE","DEEP_MEASURE_ID_OVERRIDE",$C242,"DEEP_BROKER_ID_OVERRIDE",AH$24,"DEEP_PERIOD_OVERRIDE",$H$19)*1,"")))</f>
        <v/>
      </c>
      <c r="AI242" t="str">
        <f>IF(OR(AI$23="",ISNA($B242)),"",IF(ISBLANK($B242),"",IFERROR(_xll.BDP(TICKER,"DEEP_MEASURE_PERIOD_BROKER_VALUE","DEEP_MEASURE_ID_OVERRIDE",$C242,"DEEP_BROKER_ID_OVERRIDE",AI$24,"DEEP_PERIOD_OVERRIDE",$H$19)*1,"")))</f>
        <v/>
      </c>
      <c r="AJ242" t="str">
        <f>IF(OR(AJ$23="",ISNA($B242)),"",IF(ISBLANK($B242),"",IFERROR(_xll.BDP(TICKER,"DEEP_MEASURE_PERIOD_BROKER_VALUE","DEEP_MEASURE_ID_OVERRIDE",$C242,"DEEP_BROKER_ID_OVERRIDE",AJ$24,"DEEP_PERIOD_OVERRIDE",$H$19)*1,"")))</f>
        <v/>
      </c>
      <c r="AK242" t="str">
        <f>IF(OR(AK$23="",ISNA($B242)),"",IF(ISBLANK($B242),"",IFERROR(_xll.BDP(TICKER,"DEEP_MEASURE_PERIOD_BROKER_VALUE","DEEP_MEASURE_ID_OVERRIDE",$C242,"DEEP_BROKER_ID_OVERRIDE",AK$24,"DEEP_PERIOD_OVERRIDE",$H$19)*1,"")))</f>
        <v/>
      </c>
      <c r="AL242" t="str">
        <f>IF(OR(AL$23="",ISNA($B242)),"",IF(ISBLANK($B242),"",IFERROR(_xll.BDP(TICKER,"DEEP_MEASURE_PERIOD_BROKER_VALUE","DEEP_MEASURE_ID_OVERRIDE",$C242,"DEEP_BROKER_ID_OVERRIDE",AL$24,"DEEP_PERIOD_OVERRIDE",$H$19)*1,"")))</f>
        <v/>
      </c>
      <c r="AM242" t="str">
        <f>IF(OR(AM$23="",ISNA($B242)),"",IF(ISBLANK($B242),"",IFERROR(_xll.BDP(TICKER,"DEEP_MEASURE_PERIOD_BROKER_VALUE","DEEP_MEASURE_ID_OVERRIDE",$C242,"DEEP_BROKER_ID_OVERRIDE",AM$24,"DEEP_PERIOD_OVERRIDE",$H$19)*1,"")))</f>
        <v/>
      </c>
      <c r="AN242" t="str">
        <f>IF(OR(AN$23="",ISNA($B242)),"",IF(ISBLANK($B242),"",IFERROR(_xll.BDP(TICKER,"DEEP_MEASURE_PERIOD_BROKER_VALUE","DEEP_MEASURE_ID_OVERRIDE",$C242,"DEEP_BROKER_ID_OVERRIDE",AN$24,"DEEP_PERIOD_OVERRIDE",$H$19)*1,"")))</f>
        <v/>
      </c>
      <c r="AO242" t="str">
        <f>IF(OR(AO$23="",ISNA($B242)),"",IF(ISBLANK($B242),"",IFERROR(_xll.BDP(TICKER,"DEEP_MEASURE_PERIOD_BROKER_VALUE","DEEP_MEASURE_ID_OVERRIDE",$C242,"DEEP_BROKER_ID_OVERRIDE",AO$24,"DEEP_PERIOD_OVERRIDE",$H$19)*1,"")))</f>
        <v/>
      </c>
      <c r="AP242" t="str">
        <f>IF(OR(AP$23="",ISNA($B242)),"",IF(ISBLANK($B242),"",IFERROR(_xll.BDP(TICKER,"DEEP_MEASURE_PERIOD_BROKER_VALUE","DEEP_MEASURE_ID_OVERRIDE",$C242,"DEEP_BROKER_ID_OVERRIDE",AP$24,"DEEP_PERIOD_OVERRIDE",$H$19)*1,"")))</f>
        <v/>
      </c>
      <c r="AQ242" t="str">
        <f>IF(OR(AQ$23="",ISNA($B242)),"",IF(ISBLANK($B242),"",IFERROR(_xll.BDP(TICKER,"DEEP_MEASURE_PERIOD_BROKER_VALUE","DEEP_MEASURE_ID_OVERRIDE",$C242,"DEEP_BROKER_ID_OVERRIDE",AQ$24,"DEEP_PERIOD_OVERRIDE",$H$19)*1,"")))</f>
        <v/>
      </c>
      <c r="AR242" t="str">
        <f>IF(OR(AR$23="",ISNA($B242)),"",IF(ISBLANK($B242),"",IFERROR(_xll.BDP(TICKER,"DEEP_MEASURE_PERIOD_BROKER_VALUE","DEEP_MEASURE_ID_OVERRIDE",$C242,"DEEP_BROKER_ID_OVERRIDE",AR$24,"DEEP_PERIOD_OVERRIDE",$H$19)*1,"")))</f>
        <v/>
      </c>
      <c r="AS242" t="str">
        <f>IF(OR(AS$23="",ISNA($B242)),"",IF(ISBLANK($B242),"",IFERROR(_xll.BDP(TICKER,"DEEP_MEASURE_PERIOD_BROKER_VALUE","DEEP_MEASURE_ID_OVERRIDE",$C242,"DEEP_BROKER_ID_OVERRIDE",AS$24,"DEEP_PERIOD_OVERRIDE",$H$19)*1,"")))</f>
        <v/>
      </c>
      <c r="AT242" t="str">
        <f>IF(OR(AT$23="",ISNA($B242)),"",IF(ISBLANK($B242),"",IFERROR(_xll.BDP(TICKER,"DEEP_MEASURE_PERIOD_BROKER_VALUE","DEEP_MEASURE_ID_OVERRIDE",$C242,"DEEP_BROKER_ID_OVERRIDE",AT$24,"DEEP_PERIOD_OVERRIDE",$H$19)*1,"")))</f>
        <v/>
      </c>
      <c r="AU242" t="str">
        <f>IF(OR(AU$23="",ISNA($B242)),"",IF(ISBLANK($B242),"",IFERROR(_xll.BDP(TICKER,"DEEP_MEASURE_PERIOD_BROKER_VALUE","DEEP_MEASURE_ID_OVERRIDE",$C242,"DEEP_BROKER_ID_OVERRIDE",AU$24,"DEEP_PERIOD_OVERRIDE",$H$19)*1,"")))</f>
        <v/>
      </c>
      <c r="AV242" t="str">
        <f>IF(OR(AV$23="",ISNA($B242)),"",IF(ISBLANK($B242),"",IFERROR(_xll.BDP(TICKER,"DEEP_MEASURE_PERIOD_BROKER_VALUE","DEEP_MEASURE_ID_OVERRIDE",$C242,"DEEP_BROKER_ID_OVERRIDE",AV$24,"DEEP_PERIOD_OVERRIDE",$H$19)*1,"")))</f>
        <v/>
      </c>
      <c r="AW242" t="str">
        <f>IF(OR(AW$23="",ISNA($B242)),"",IF(ISBLANK($B242),"",IFERROR(_xll.BDP(TICKER,"DEEP_MEASURE_PERIOD_BROKER_VALUE","DEEP_MEASURE_ID_OVERRIDE",$C242,"DEEP_BROKER_ID_OVERRIDE",AW$24,"DEEP_PERIOD_OVERRIDE",$H$19)*1,"")))</f>
        <v/>
      </c>
      <c r="AX242" t="str">
        <f>IF(OR(AX$23="",ISNA($B242)),"",IF(ISBLANK($B242),"",IFERROR(_xll.BDP(TICKER,"DEEP_MEASURE_PERIOD_BROKER_VALUE","DEEP_MEASURE_ID_OVERRIDE",$C242,"DEEP_BROKER_ID_OVERRIDE",AX$24,"DEEP_PERIOD_OVERRIDE",$H$19)*1,"")))</f>
        <v/>
      </c>
      <c r="AY242" t="str">
        <f>IF(OR(AY$23="",ISNA($B242)),"",IF(ISBLANK($B242),"",IFERROR(_xll.BDP(TICKER,"DEEP_MEASURE_PERIOD_BROKER_VALUE","DEEP_MEASURE_ID_OVERRIDE",$C242,"DEEP_BROKER_ID_OVERRIDE",AY$24,"DEEP_PERIOD_OVERRIDE",$H$19)*1,"")))</f>
        <v/>
      </c>
      <c r="AZ242" t="str">
        <f>IF(OR(AZ$23="",ISNA($B242)),"",IF(ISBLANK($B242),"",IFERROR(_xll.BDP(TICKER,"DEEP_MEASURE_PERIOD_BROKER_VALUE","DEEP_MEASURE_ID_OVERRIDE",$C242,"DEEP_BROKER_ID_OVERRIDE",AZ$24,"DEEP_PERIOD_OVERRIDE",$H$19)*1,"")))</f>
        <v/>
      </c>
      <c r="BA242" t="str">
        <f>IF(OR(BA$23="",ISNA($B242)),"",IF(ISBLANK($B242),"",IFERROR(_xll.BDP(TICKER,"DEEP_MEASURE_PERIOD_BROKER_VALUE","DEEP_MEASURE_ID_OVERRIDE",$C242,"DEEP_BROKER_ID_OVERRIDE",BA$24,"DEEP_PERIOD_OVERRIDE",$H$19)*1,"")))</f>
        <v/>
      </c>
      <c r="BB242" t="str">
        <f>IF(OR(BB$23="",ISNA($B242)),"",IF(ISBLANK($B242),"",IFERROR(_xll.BDP(TICKER,"DEEP_MEASURE_PERIOD_BROKER_VALUE","DEEP_MEASURE_ID_OVERRIDE",$C242,"DEEP_BROKER_ID_OVERRIDE",BB$24,"DEEP_PERIOD_OVERRIDE",$H$19)*1,"")))</f>
        <v/>
      </c>
      <c r="BC242" t="str">
        <f>IF(OR(BC$23="",ISNA($B242)),"",IF(ISBLANK($B242),"",IFERROR(_xll.BDP(TICKER,"DEEP_MEASURE_PERIOD_BROKER_VALUE","DEEP_MEASURE_ID_OVERRIDE",$C242,"DEEP_BROKER_ID_OVERRIDE",BC$24,"DEEP_PERIOD_OVERRIDE",$H$19)*1,"")))</f>
        <v/>
      </c>
      <c r="BD242" t="str">
        <f>IF(OR(BD$23="",ISNA($B242)),"",IF(ISBLANK($B242),"",IFERROR(_xll.BDP(TICKER,"DEEP_MEASURE_PERIOD_BROKER_VALUE","DEEP_MEASURE_ID_OVERRIDE",$C242,"DEEP_BROKER_ID_OVERRIDE",BD$24,"DEEP_PERIOD_OVERRIDE",$H$19)*1,"")))</f>
        <v/>
      </c>
      <c r="BE242" t="str">
        <f>IF(OR(BE$23="",ISNA($B242)),"",IF(ISBLANK($B242),"",IFERROR(_xll.BDP(TICKER,"DEEP_MEASURE_PERIOD_BROKER_VALUE","DEEP_MEASURE_ID_OVERRIDE",$C242,"DEEP_BROKER_ID_OVERRIDE",BE$24,"DEEP_PERIOD_OVERRIDE",$H$19)*1,"")))</f>
        <v/>
      </c>
      <c r="BF242" t="str">
        <f>IF(OR(BF$23="",ISNA($B242)),"",IF(ISBLANK($B242),"",IFERROR(_xll.BDP(TICKER,"DEEP_MEASURE_PERIOD_BROKER_VALUE","DEEP_MEASURE_ID_OVERRIDE",$C242,"DEEP_BROKER_ID_OVERRIDE",BF$24,"DEEP_PERIOD_OVERRIDE",$H$19)*1,"")))</f>
        <v/>
      </c>
      <c r="BG242" t="str">
        <f>IF(OR(BG$23="",ISNA($B242)),"",IF(ISBLANK($B242),"",IFERROR(_xll.BDP(TICKER,"DEEP_MEASURE_PERIOD_BROKER_VALUE","DEEP_MEASURE_ID_OVERRIDE",$C242,"DEEP_BROKER_ID_OVERRIDE",BG$24,"DEEP_PERIOD_OVERRIDE",$H$19)*1,"")))</f>
        <v/>
      </c>
      <c r="BH242" t="str">
        <f>IF(OR(BH$23="",ISNA($B242)),"",IF(ISBLANK($B242),"",IFERROR(_xll.BDP(TICKER,"DEEP_MEASURE_PERIOD_BROKER_VALUE","DEEP_MEASURE_ID_OVERRIDE",$C242,"DEEP_BROKER_ID_OVERRIDE",BH$24,"DEEP_PERIOD_OVERRIDE",$H$19)*1,"")))</f>
        <v/>
      </c>
      <c r="BI242" t="str">
        <f>IF(OR(BI$23="",ISNA($B242)),"",IF(ISBLANK($B242),"",IFERROR(_xll.BDP(TICKER,"DEEP_MEASURE_PERIOD_BROKER_VALUE","DEEP_MEASURE_ID_OVERRIDE",$C242,"DEEP_BROKER_ID_OVERRIDE",BI$24,"DEEP_PERIOD_OVERRIDE",$H$19)*1,"")))</f>
        <v/>
      </c>
      <c r="BJ242" t="str">
        <f>IF(OR(BJ$23="",ISNA($B242)),"",IF(ISBLANK($B242),"",IFERROR(_xll.BDP(TICKER,"DEEP_MEASURE_PERIOD_BROKER_VALUE","DEEP_MEASURE_ID_OVERRIDE",$C242,"DEEP_BROKER_ID_OVERRIDE",BJ$24,"DEEP_PERIOD_OVERRIDE",$H$19)*1,"")))</f>
        <v/>
      </c>
      <c r="BK242" t="str">
        <f>IF(OR(BK$23="",ISNA($B242)),"",IF(ISBLANK($B242),"",IFERROR(_xll.BDP(TICKER,"DEEP_MEASURE_PERIOD_BROKER_VALUE","DEEP_MEASURE_ID_OVERRIDE",$C242,"DEEP_BROKER_ID_OVERRIDE",BK$24,"DEEP_PERIOD_OVERRIDE",$H$19)*1,"")))</f>
        <v/>
      </c>
      <c r="BL242" t="str">
        <f>IF(OR(BL$23="",ISNA($B242)),"",IF(ISBLANK($B242),"",IFERROR(_xll.BDP(TICKER,"DEEP_MEASURE_PERIOD_BROKER_VALUE","DEEP_MEASURE_ID_OVERRIDE",$C242,"DEEP_BROKER_ID_OVERRIDE",BL$24,"DEEP_PERIOD_OVERRIDE",$H$19)*1,"")))</f>
        <v/>
      </c>
      <c r="BM242" t="str">
        <f>IF(OR(BM$23="",ISNA($B242)),"",IF(ISBLANK($B242),"",IFERROR(_xll.BDP(TICKER,"DEEP_MEASURE_PERIOD_BROKER_VALUE","DEEP_MEASURE_ID_OVERRIDE",$C242,"DEEP_BROKER_ID_OVERRIDE",BM$24,"DEEP_PERIOD_OVERRIDE",$H$19)*1,"")))</f>
        <v/>
      </c>
      <c r="BN242" t="str">
        <f>IF(OR(BN$23="",ISNA($B242)),"",IF(ISBLANK($B242),"",IFERROR(_xll.BDP(TICKER,"DEEP_MEASURE_PERIOD_BROKER_VALUE","DEEP_MEASURE_ID_OVERRIDE",$C242,"DEEP_BROKER_ID_OVERRIDE",BN$24,"DEEP_PERIOD_OVERRIDE",$H$19)*1,"")))</f>
        <v/>
      </c>
      <c r="BO242" t="str">
        <f>IF(OR(BO$23="",ISNA($B242)),"",IF(ISBLANK($B242),"",IFERROR(_xll.BDP(TICKER,"DEEP_MEASURE_PERIOD_BROKER_VALUE","DEEP_MEASURE_ID_OVERRIDE",$C242,"DEEP_BROKER_ID_OVERRIDE",BO$24,"DEEP_PERIOD_OVERRIDE",$H$19)*1,"")))</f>
        <v/>
      </c>
      <c r="BP242" t="str">
        <f>IF(OR(BP$23="",ISNA($B242)),"",IF(ISBLANK($B242),"",IFERROR(_xll.BDP(TICKER,"DEEP_MEASURE_PERIOD_BROKER_VALUE","DEEP_MEASURE_ID_OVERRIDE",$C242,"DEEP_BROKER_ID_OVERRIDE",BP$24,"DEEP_PERIOD_OVERRIDE",$H$19)*1,"")))</f>
        <v/>
      </c>
      <c r="BQ242" t="str">
        <f>IF(OR(BQ$23="",ISNA($B242)),"",IF(ISBLANK($B242),"",IFERROR(_xll.BDP(TICKER,"DEEP_MEASURE_PERIOD_BROKER_VALUE","DEEP_MEASURE_ID_OVERRIDE",$C242,"DEEP_BROKER_ID_OVERRIDE",BQ$24,"DEEP_PERIOD_OVERRIDE",$H$19)*1,"")))</f>
        <v/>
      </c>
      <c r="BR242" t="str">
        <f>IF(OR(BR$23="",ISNA($B242)),"",IF(ISBLANK($B242),"",IFERROR(_xll.BDP(TICKER,"DEEP_MEASURE_PERIOD_BROKER_VALUE","DEEP_MEASURE_ID_OVERRIDE",$C242,"DEEP_BROKER_ID_OVERRIDE",BR$24,"DEEP_PERIOD_OVERRIDE",$H$19)*1,"")))</f>
        <v/>
      </c>
      <c r="BS242" t="str">
        <f>IF(OR(BS$23="",ISNA($B242)),"",IF(ISBLANK($B242),"",IFERROR(_xll.BDP(TICKER,"DEEP_MEASURE_PERIOD_BROKER_VALUE","DEEP_MEASURE_ID_OVERRIDE",$C242,"DEEP_BROKER_ID_OVERRIDE",BS$24,"DEEP_PERIOD_OVERRIDE",$H$19)*1,"")))</f>
        <v/>
      </c>
      <c r="BT242" t="str">
        <f>IF(OR(BT$23="",ISNA($B242)),"",IF(ISBLANK($B242),"",IFERROR(_xll.BDP(TICKER,"DEEP_MEASURE_PERIOD_BROKER_VALUE","DEEP_MEASURE_ID_OVERRIDE",$C242,"DEEP_BROKER_ID_OVERRIDE",BT$24,"DEEP_PERIOD_OVERRIDE",$H$19)*1,"")))</f>
        <v/>
      </c>
      <c r="BU242" t="str">
        <f>IF(OR(BU$23="",ISNA($B242)),"",IF(ISBLANK($B242),"",IFERROR(_xll.BDP(TICKER,"DEEP_MEASURE_PERIOD_BROKER_VALUE","DEEP_MEASURE_ID_OVERRIDE",$C242,"DEEP_BROKER_ID_OVERRIDE",BU$24,"DEEP_PERIOD_OVERRIDE",$H$19)*1,"")))</f>
        <v/>
      </c>
      <c r="BV242" t="str">
        <f>IF(OR(BV$23="",ISNA($B242)),"",IF(ISBLANK($B242),"",IFERROR(_xll.BDP(TICKER,"DEEP_MEASURE_PERIOD_BROKER_VALUE","DEEP_MEASURE_ID_OVERRIDE",$C242,"DEEP_BROKER_ID_OVERRIDE",BV$24,"DEEP_PERIOD_OVERRIDE",$H$19)*1,"")))</f>
        <v/>
      </c>
      <c r="BW242" t="str">
        <f>IF(OR(BW$23="",ISNA($B242)),"",IF(ISBLANK($B242),"",IFERROR(_xll.BDP(TICKER,"DEEP_MEASURE_PERIOD_BROKER_VALUE","DEEP_MEASURE_ID_OVERRIDE",$C242,"DEEP_BROKER_ID_OVERRIDE",BW$24,"DEEP_PERIOD_OVERRIDE",$H$19)*1,"")))</f>
        <v/>
      </c>
      <c r="BX242" t="str">
        <f>IF(OR(BX$23="",ISNA($B242)),"",IF(ISBLANK($B242),"",IFERROR(_xll.BDP(TICKER,"DEEP_MEASURE_PERIOD_BROKER_VALUE","DEEP_MEASURE_ID_OVERRIDE",$C242,"DEEP_BROKER_ID_OVERRIDE",BX$24,"DEEP_PERIOD_OVERRIDE",$H$19)*1,"")))</f>
        <v/>
      </c>
      <c r="BY242" t="str">
        <f>IF(OR(BY$23="",ISNA($B242)),"",IF(ISBLANK($B242),"",IFERROR(_xll.BDP(TICKER,"DEEP_MEASURE_PERIOD_BROKER_VALUE","DEEP_MEASURE_ID_OVERRIDE",$C242,"DEEP_BROKER_ID_OVERRIDE",BY$24,"DEEP_PERIOD_OVERRIDE",$H$19)*1,"")))</f>
        <v/>
      </c>
      <c r="BZ242" t="str">
        <f>IF(OR(BZ$23="",ISNA($B242)),"",IF(ISBLANK($B242),"",IFERROR(_xll.BDP(TICKER,"DEEP_MEASURE_PERIOD_BROKER_VALUE","DEEP_MEASURE_ID_OVERRIDE",$C242,"DEEP_BROKER_ID_OVERRIDE",BZ$24,"DEEP_PERIOD_OVERRIDE",$H$19)*1,"")))</f>
        <v/>
      </c>
    </row>
    <row r="243" spans="8:78" x14ac:dyDescent="0.25">
      <c r="H243" t="str">
        <f t="shared" si="4"/>
        <v/>
      </c>
      <c r="I243" t="str">
        <f>IF(OR(I$23="",ISNA($B243)),"",IF(ISBLANK($B243),"",IFERROR(_xll.BDP(TICKER,"DEEP_MEASURE_PERIOD_BROKER_VALUE","DEEP_MEASURE_ID_OVERRIDE",$C243,"DEEP_PERIOD_OVERRIDE",$H$19)*1,"")))</f>
        <v/>
      </c>
      <c r="J243" t="e">
        <f>IF(OR(J$23="",ISNA($B243)),"",IF(ISBLANK($B243),"",IFERROR(_xll.BDP(TICKER,"DEEP_MEASURE_PERIOD_BROKER_VALUE","DEEP_MEASURE_ID_OVERRIDE",$C243,"DEEP_BROKER_ID_OVERRIDE",J$24,"DEEP_PERIOD_OVERRIDE",$H$19)*1,"")))</f>
        <v>#REF!</v>
      </c>
      <c r="K243" t="str">
        <f>IF(OR(K$23="",ISNA($B243)),"",IF(ISBLANK($B243),"",IFERROR(_xll.BDP(TICKER,"DEEP_MEASURE_PERIOD_BROKER_VALUE","DEEP_MEASURE_ID_OVERRIDE",$C243,"DEEP_BROKER_ID_OVERRIDE",K$24,"DEEP_PERIOD_OVERRIDE",$H$19)*1,"")))</f>
        <v/>
      </c>
      <c r="L243" t="str">
        <f>IF(OR(L$23="",ISNA($B243)),"",IF(ISBLANK($B243),"",IFERROR(_xll.BDP(TICKER,"DEEP_MEASURE_PERIOD_BROKER_VALUE","DEEP_MEASURE_ID_OVERRIDE",$C243,"DEEP_BROKER_ID_OVERRIDE",L$24,"DEEP_PERIOD_OVERRIDE",$H$19)*1,"")))</f>
        <v/>
      </c>
      <c r="M243" t="str">
        <f>IF(OR(M$23="",ISNA($B243)),"",IF(ISBLANK($B243),"",IFERROR(_xll.BDP(TICKER,"DEEP_MEASURE_PERIOD_BROKER_VALUE","DEEP_MEASURE_ID_OVERRIDE",$C243,"DEEP_BROKER_ID_OVERRIDE",M$24,"DEEP_PERIOD_OVERRIDE",$H$19)*1,"")))</f>
        <v/>
      </c>
      <c r="N243" t="str">
        <f>IF(OR(N$23="",ISNA($B243)),"",IF(ISBLANK($B243),"",IFERROR(_xll.BDP(TICKER,"DEEP_MEASURE_PERIOD_BROKER_VALUE","DEEP_MEASURE_ID_OVERRIDE",$C243,"DEEP_BROKER_ID_OVERRIDE",N$24,"DEEP_PERIOD_OVERRIDE",$H$19)*1,"")))</f>
        <v/>
      </c>
      <c r="O243" t="str">
        <f>IF(OR(O$23="",ISNA($B243)),"",IF(ISBLANK($B243),"",IFERROR(_xll.BDP(TICKER,"DEEP_MEASURE_PERIOD_BROKER_VALUE","DEEP_MEASURE_ID_OVERRIDE",$C243,"DEEP_BROKER_ID_OVERRIDE",O$24,"DEEP_PERIOD_OVERRIDE",$H$19)*1,"")))</f>
        <v/>
      </c>
      <c r="P243" t="str">
        <f>IF(OR(P$23="",ISNA($B243)),"",IF(ISBLANK($B243),"",IFERROR(_xll.BDP(TICKER,"DEEP_MEASURE_PERIOD_BROKER_VALUE","DEEP_MEASURE_ID_OVERRIDE",$C243,"DEEP_BROKER_ID_OVERRIDE",P$24,"DEEP_PERIOD_OVERRIDE",$H$19)*1,"")))</f>
        <v/>
      </c>
      <c r="Q243" t="str">
        <f>IF(OR(Q$23="",ISNA($B243)),"",IF(ISBLANK($B243),"",IFERROR(_xll.BDP(TICKER,"DEEP_MEASURE_PERIOD_BROKER_VALUE","DEEP_MEASURE_ID_OVERRIDE",$C243,"DEEP_BROKER_ID_OVERRIDE",Q$24,"DEEP_PERIOD_OVERRIDE",$H$19)*1,"")))</f>
        <v/>
      </c>
      <c r="R243" t="str">
        <f>IF(OR(R$23="",ISNA($B243)),"",IF(ISBLANK($B243),"",IFERROR(_xll.BDP(TICKER,"DEEP_MEASURE_PERIOD_BROKER_VALUE","DEEP_MEASURE_ID_OVERRIDE",$C243,"DEEP_BROKER_ID_OVERRIDE",R$24,"DEEP_PERIOD_OVERRIDE",$H$19)*1,"")))</f>
        <v/>
      </c>
      <c r="S243" t="str">
        <f>IF(OR(S$23="",ISNA($B243)),"",IF(ISBLANK($B243),"",IFERROR(_xll.BDP(TICKER,"DEEP_MEASURE_PERIOD_BROKER_VALUE","DEEP_MEASURE_ID_OVERRIDE",$C243,"DEEP_BROKER_ID_OVERRIDE",S$24,"DEEP_PERIOD_OVERRIDE",$H$19)*1,"")))</f>
        <v/>
      </c>
      <c r="T243" t="str">
        <f>IF(OR(T$23="",ISNA($B243)),"",IF(ISBLANK($B243),"",IFERROR(_xll.BDP(TICKER,"DEEP_MEASURE_PERIOD_BROKER_VALUE","DEEP_MEASURE_ID_OVERRIDE",$C243,"DEEP_BROKER_ID_OVERRIDE",T$24,"DEEP_PERIOD_OVERRIDE",$H$19)*1,"")))</f>
        <v/>
      </c>
      <c r="U243" t="str">
        <f>IF(OR(U$23="",ISNA($B243)),"",IF(ISBLANK($B243),"",IFERROR(_xll.BDP(TICKER,"DEEP_MEASURE_PERIOD_BROKER_VALUE","DEEP_MEASURE_ID_OVERRIDE",$C243,"DEEP_BROKER_ID_OVERRIDE",U$24,"DEEP_PERIOD_OVERRIDE",$H$19)*1,"")))</f>
        <v/>
      </c>
      <c r="V243" t="str">
        <f>IF(OR(V$23="",ISNA($B243)),"",IF(ISBLANK($B243),"",IFERROR(_xll.BDP(TICKER,"DEEP_MEASURE_PERIOD_BROKER_VALUE","DEEP_MEASURE_ID_OVERRIDE",$C243,"DEEP_BROKER_ID_OVERRIDE",V$24,"DEEP_PERIOD_OVERRIDE",$H$19)*1,"")))</f>
        <v/>
      </c>
      <c r="W243" t="str">
        <f>IF(OR(W$23="",ISNA($B243)),"",IF(ISBLANK($B243),"",IFERROR(_xll.BDP(TICKER,"DEEP_MEASURE_PERIOD_BROKER_VALUE","DEEP_MEASURE_ID_OVERRIDE",$C243,"DEEP_BROKER_ID_OVERRIDE",W$24,"DEEP_PERIOD_OVERRIDE",$H$19)*1,"")))</f>
        <v/>
      </c>
      <c r="X243" t="str">
        <f>IF(OR(X$23="",ISNA($B243)),"",IF(ISBLANK($B243),"",IFERROR(_xll.BDP(TICKER,"DEEP_MEASURE_PERIOD_BROKER_VALUE","DEEP_MEASURE_ID_OVERRIDE",$C243,"DEEP_BROKER_ID_OVERRIDE",X$24,"DEEP_PERIOD_OVERRIDE",$H$19)*1,"")))</f>
        <v/>
      </c>
      <c r="Y243" t="str">
        <f>IF(OR(Y$23="",ISNA($B243)),"",IF(ISBLANK($B243),"",IFERROR(_xll.BDP(TICKER,"DEEP_MEASURE_PERIOD_BROKER_VALUE","DEEP_MEASURE_ID_OVERRIDE",$C243,"DEEP_BROKER_ID_OVERRIDE",Y$24,"DEEP_PERIOD_OVERRIDE",$H$19)*1,"")))</f>
        <v/>
      </c>
      <c r="Z243" t="str">
        <f>IF(OR(Z$23="",ISNA($B243)),"",IF(ISBLANK($B243),"",IFERROR(_xll.BDP(TICKER,"DEEP_MEASURE_PERIOD_BROKER_VALUE","DEEP_MEASURE_ID_OVERRIDE",$C243,"DEEP_BROKER_ID_OVERRIDE",Z$24,"DEEP_PERIOD_OVERRIDE",$H$19)*1,"")))</f>
        <v/>
      </c>
      <c r="AA243" t="str">
        <f>IF(OR(AA$23="",ISNA($B243)),"",IF(ISBLANK($B243),"",IFERROR(_xll.BDP(TICKER,"DEEP_MEASURE_PERIOD_BROKER_VALUE","DEEP_MEASURE_ID_OVERRIDE",$C243,"DEEP_BROKER_ID_OVERRIDE",AA$24,"DEEP_PERIOD_OVERRIDE",$H$19)*1,"")))</f>
        <v/>
      </c>
      <c r="AB243" t="str">
        <f>IF(OR(AB$23="",ISNA($B243)),"",IF(ISBLANK($B243),"",IFERROR(_xll.BDP(TICKER,"DEEP_MEASURE_PERIOD_BROKER_VALUE","DEEP_MEASURE_ID_OVERRIDE",$C243,"DEEP_BROKER_ID_OVERRIDE",AB$24,"DEEP_PERIOD_OVERRIDE",$H$19)*1,"")))</f>
        <v/>
      </c>
      <c r="AC243" t="str">
        <f>IF(OR(AC$23="",ISNA($B243)),"",IF(ISBLANK($B243),"",IFERROR(_xll.BDP(TICKER,"DEEP_MEASURE_PERIOD_BROKER_VALUE","DEEP_MEASURE_ID_OVERRIDE",$C243,"DEEP_BROKER_ID_OVERRIDE",AC$24,"DEEP_PERIOD_OVERRIDE",$H$19)*1,"")))</f>
        <v/>
      </c>
      <c r="AD243" t="str">
        <f>IF(OR(AD$23="",ISNA($B243)),"",IF(ISBLANK($B243),"",IFERROR(_xll.BDP(TICKER,"DEEP_MEASURE_PERIOD_BROKER_VALUE","DEEP_MEASURE_ID_OVERRIDE",$C243,"DEEP_BROKER_ID_OVERRIDE",AD$24,"DEEP_PERIOD_OVERRIDE",$H$19)*1,"")))</f>
        <v/>
      </c>
      <c r="AE243" t="str">
        <f>IF(OR(AE$23="",ISNA($B243)),"",IF(ISBLANK($B243),"",IFERROR(_xll.BDP(TICKER,"DEEP_MEASURE_PERIOD_BROKER_VALUE","DEEP_MEASURE_ID_OVERRIDE",$C243,"DEEP_BROKER_ID_OVERRIDE",AE$24,"DEEP_PERIOD_OVERRIDE",$H$19)*1,"")))</f>
        <v/>
      </c>
      <c r="AF243" t="str">
        <f>IF(OR(AF$23="",ISNA($B243)),"",IF(ISBLANK($B243),"",IFERROR(_xll.BDP(TICKER,"DEEP_MEASURE_PERIOD_BROKER_VALUE","DEEP_MEASURE_ID_OVERRIDE",$C243,"DEEP_BROKER_ID_OVERRIDE",AF$24,"DEEP_PERIOD_OVERRIDE",$H$19)*1,"")))</f>
        <v/>
      </c>
      <c r="AG243" t="str">
        <f>IF(OR(AG$23="",ISNA($B243)),"",IF(ISBLANK($B243),"",IFERROR(_xll.BDP(TICKER,"DEEP_MEASURE_PERIOD_BROKER_VALUE","DEEP_MEASURE_ID_OVERRIDE",$C243,"DEEP_BROKER_ID_OVERRIDE",AG$24,"DEEP_PERIOD_OVERRIDE",$H$19)*1,"")))</f>
        <v/>
      </c>
      <c r="AH243" t="str">
        <f>IF(OR(AH$23="",ISNA($B243)),"",IF(ISBLANK($B243),"",IFERROR(_xll.BDP(TICKER,"DEEP_MEASURE_PERIOD_BROKER_VALUE","DEEP_MEASURE_ID_OVERRIDE",$C243,"DEEP_BROKER_ID_OVERRIDE",AH$24,"DEEP_PERIOD_OVERRIDE",$H$19)*1,"")))</f>
        <v/>
      </c>
      <c r="AI243" t="str">
        <f>IF(OR(AI$23="",ISNA($B243)),"",IF(ISBLANK($B243),"",IFERROR(_xll.BDP(TICKER,"DEEP_MEASURE_PERIOD_BROKER_VALUE","DEEP_MEASURE_ID_OVERRIDE",$C243,"DEEP_BROKER_ID_OVERRIDE",AI$24,"DEEP_PERIOD_OVERRIDE",$H$19)*1,"")))</f>
        <v/>
      </c>
      <c r="AJ243" t="str">
        <f>IF(OR(AJ$23="",ISNA($B243)),"",IF(ISBLANK($B243),"",IFERROR(_xll.BDP(TICKER,"DEEP_MEASURE_PERIOD_BROKER_VALUE","DEEP_MEASURE_ID_OVERRIDE",$C243,"DEEP_BROKER_ID_OVERRIDE",AJ$24,"DEEP_PERIOD_OVERRIDE",$H$19)*1,"")))</f>
        <v/>
      </c>
      <c r="AK243" t="str">
        <f>IF(OR(AK$23="",ISNA($B243)),"",IF(ISBLANK($B243),"",IFERROR(_xll.BDP(TICKER,"DEEP_MEASURE_PERIOD_BROKER_VALUE","DEEP_MEASURE_ID_OVERRIDE",$C243,"DEEP_BROKER_ID_OVERRIDE",AK$24,"DEEP_PERIOD_OVERRIDE",$H$19)*1,"")))</f>
        <v/>
      </c>
      <c r="AL243" t="str">
        <f>IF(OR(AL$23="",ISNA($B243)),"",IF(ISBLANK($B243),"",IFERROR(_xll.BDP(TICKER,"DEEP_MEASURE_PERIOD_BROKER_VALUE","DEEP_MEASURE_ID_OVERRIDE",$C243,"DEEP_BROKER_ID_OVERRIDE",AL$24,"DEEP_PERIOD_OVERRIDE",$H$19)*1,"")))</f>
        <v/>
      </c>
      <c r="AM243" t="str">
        <f>IF(OR(AM$23="",ISNA($B243)),"",IF(ISBLANK($B243),"",IFERROR(_xll.BDP(TICKER,"DEEP_MEASURE_PERIOD_BROKER_VALUE","DEEP_MEASURE_ID_OVERRIDE",$C243,"DEEP_BROKER_ID_OVERRIDE",AM$24,"DEEP_PERIOD_OVERRIDE",$H$19)*1,"")))</f>
        <v/>
      </c>
      <c r="AN243" t="str">
        <f>IF(OR(AN$23="",ISNA($B243)),"",IF(ISBLANK($B243),"",IFERROR(_xll.BDP(TICKER,"DEEP_MEASURE_PERIOD_BROKER_VALUE","DEEP_MEASURE_ID_OVERRIDE",$C243,"DEEP_BROKER_ID_OVERRIDE",AN$24,"DEEP_PERIOD_OVERRIDE",$H$19)*1,"")))</f>
        <v/>
      </c>
      <c r="AO243" t="str">
        <f>IF(OR(AO$23="",ISNA($B243)),"",IF(ISBLANK($B243),"",IFERROR(_xll.BDP(TICKER,"DEEP_MEASURE_PERIOD_BROKER_VALUE","DEEP_MEASURE_ID_OVERRIDE",$C243,"DEEP_BROKER_ID_OVERRIDE",AO$24,"DEEP_PERIOD_OVERRIDE",$H$19)*1,"")))</f>
        <v/>
      </c>
      <c r="AP243" t="str">
        <f>IF(OR(AP$23="",ISNA($B243)),"",IF(ISBLANK($B243),"",IFERROR(_xll.BDP(TICKER,"DEEP_MEASURE_PERIOD_BROKER_VALUE","DEEP_MEASURE_ID_OVERRIDE",$C243,"DEEP_BROKER_ID_OVERRIDE",AP$24,"DEEP_PERIOD_OVERRIDE",$H$19)*1,"")))</f>
        <v/>
      </c>
      <c r="AQ243" t="str">
        <f>IF(OR(AQ$23="",ISNA($B243)),"",IF(ISBLANK($B243),"",IFERROR(_xll.BDP(TICKER,"DEEP_MEASURE_PERIOD_BROKER_VALUE","DEEP_MEASURE_ID_OVERRIDE",$C243,"DEEP_BROKER_ID_OVERRIDE",AQ$24,"DEEP_PERIOD_OVERRIDE",$H$19)*1,"")))</f>
        <v/>
      </c>
      <c r="AR243" t="str">
        <f>IF(OR(AR$23="",ISNA($B243)),"",IF(ISBLANK($B243),"",IFERROR(_xll.BDP(TICKER,"DEEP_MEASURE_PERIOD_BROKER_VALUE","DEEP_MEASURE_ID_OVERRIDE",$C243,"DEEP_BROKER_ID_OVERRIDE",AR$24,"DEEP_PERIOD_OVERRIDE",$H$19)*1,"")))</f>
        <v/>
      </c>
      <c r="AS243" t="str">
        <f>IF(OR(AS$23="",ISNA($B243)),"",IF(ISBLANK($B243),"",IFERROR(_xll.BDP(TICKER,"DEEP_MEASURE_PERIOD_BROKER_VALUE","DEEP_MEASURE_ID_OVERRIDE",$C243,"DEEP_BROKER_ID_OVERRIDE",AS$24,"DEEP_PERIOD_OVERRIDE",$H$19)*1,"")))</f>
        <v/>
      </c>
      <c r="AT243" t="str">
        <f>IF(OR(AT$23="",ISNA($B243)),"",IF(ISBLANK($B243),"",IFERROR(_xll.BDP(TICKER,"DEEP_MEASURE_PERIOD_BROKER_VALUE","DEEP_MEASURE_ID_OVERRIDE",$C243,"DEEP_BROKER_ID_OVERRIDE",AT$24,"DEEP_PERIOD_OVERRIDE",$H$19)*1,"")))</f>
        <v/>
      </c>
      <c r="AU243" t="str">
        <f>IF(OR(AU$23="",ISNA($B243)),"",IF(ISBLANK($B243),"",IFERROR(_xll.BDP(TICKER,"DEEP_MEASURE_PERIOD_BROKER_VALUE","DEEP_MEASURE_ID_OVERRIDE",$C243,"DEEP_BROKER_ID_OVERRIDE",AU$24,"DEEP_PERIOD_OVERRIDE",$H$19)*1,"")))</f>
        <v/>
      </c>
      <c r="AV243" t="str">
        <f>IF(OR(AV$23="",ISNA($B243)),"",IF(ISBLANK($B243),"",IFERROR(_xll.BDP(TICKER,"DEEP_MEASURE_PERIOD_BROKER_VALUE","DEEP_MEASURE_ID_OVERRIDE",$C243,"DEEP_BROKER_ID_OVERRIDE",AV$24,"DEEP_PERIOD_OVERRIDE",$H$19)*1,"")))</f>
        <v/>
      </c>
      <c r="AW243" t="str">
        <f>IF(OR(AW$23="",ISNA($B243)),"",IF(ISBLANK($B243),"",IFERROR(_xll.BDP(TICKER,"DEEP_MEASURE_PERIOD_BROKER_VALUE","DEEP_MEASURE_ID_OVERRIDE",$C243,"DEEP_BROKER_ID_OVERRIDE",AW$24,"DEEP_PERIOD_OVERRIDE",$H$19)*1,"")))</f>
        <v/>
      </c>
      <c r="AX243" t="str">
        <f>IF(OR(AX$23="",ISNA($B243)),"",IF(ISBLANK($B243),"",IFERROR(_xll.BDP(TICKER,"DEEP_MEASURE_PERIOD_BROKER_VALUE","DEEP_MEASURE_ID_OVERRIDE",$C243,"DEEP_BROKER_ID_OVERRIDE",AX$24,"DEEP_PERIOD_OVERRIDE",$H$19)*1,"")))</f>
        <v/>
      </c>
      <c r="AY243" t="str">
        <f>IF(OR(AY$23="",ISNA($B243)),"",IF(ISBLANK($B243),"",IFERROR(_xll.BDP(TICKER,"DEEP_MEASURE_PERIOD_BROKER_VALUE","DEEP_MEASURE_ID_OVERRIDE",$C243,"DEEP_BROKER_ID_OVERRIDE",AY$24,"DEEP_PERIOD_OVERRIDE",$H$19)*1,"")))</f>
        <v/>
      </c>
      <c r="AZ243" t="str">
        <f>IF(OR(AZ$23="",ISNA($B243)),"",IF(ISBLANK($B243),"",IFERROR(_xll.BDP(TICKER,"DEEP_MEASURE_PERIOD_BROKER_VALUE","DEEP_MEASURE_ID_OVERRIDE",$C243,"DEEP_BROKER_ID_OVERRIDE",AZ$24,"DEEP_PERIOD_OVERRIDE",$H$19)*1,"")))</f>
        <v/>
      </c>
      <c r="BA243" t="str">
        <f>IF(OR(BA$23="",ISNA($B243)),"",IF(ISBLANK($B243),"",IFERROR(_xll.BDP(TICKER,"DEEP_MEASURE_PERIOD_BROKER_VALUE","DEEP_MEASURE_ID_OVERRIDE",$C243,"DEEP_BROKER_ID_OVERRIDE",BA$24,"DEEP_PERIOD_OVERRIDE",$H$19)*1,"")))</f>
        <v/>
      </c>
      <c r="BB243" t="str">
        <f>IF(OR(BB$23="",ISNA($B243)),"",IF(ISBLANK($B243),"",IFERROR(_xll.BDP(TICKER,"DEEP_MEASURE_PERIOD_BROKER_VALUE","DEEP_MEASURE_ID_OVERRIDE",$C243,"DEEP_BROKER_ID_OVERRIDE",BB$24,"DEEP_PERIOD_OVERRIDE",$H$19)*1,"")))</f>
        <v/>
      </c>
      <c r="BC243" t="str">
        <f>IF(OR(BC$23="",ISNA($B243)),"",IF(ISBLANK($B243),"",IFERROR(_xll.BDP(TICKER,"DEEP_MEASURE_PERIOD_BROKER_VALUE","DEEP_MEASURE_ID_OVERRIDE",$C243,"DEEP_BROKER_ID_OVERRIDE",BC$24,"DEEP_PERIOD_OVERRIDE",$H$19)*1,"")))</f>
        <v/>
      </c>
      <c r="BD243" t="str">
        <f>IF(OR(BD$23="",ISNA($B243)),"",IF(ISBLANK($B243),"",IFERROR(_xll.BDP(TICKER,"DEEP_MEASURE_PERIOD_BROKER_VALUE","DEEP_MEASURE_ID_OVERRIDE",$C243,"DEEP_BROKER_ID_OVERRIDE",BD$24,"DEEP_PERIOD_OVERRIDE",$H$19)*1,"")))</f>
        <v/>
      </c>
      <c r="BE243" t="str">
        <f>IF(OR(BE$23="",ISNA($B243)),"",IF(ISBLANK($B243),"",IFERROR(_xll.BDP(TICKER,"DEEP_MEASURE_PERIOD_BROKER_VALUE","DEEP_MEASURE_ID_OVERRIDE",$C243,"DEEP_BROKER_ID_OVERRIDE",BE$24,"DEEP_PERIOD_OVERRIDE",$H$19)*1,"")))</f>
        <v/>
      </c>
      <c r="BF243" t="str">
        <f>IF(OR(BF$23="",ISNA($B243)),"",IF(ISBLANK($B243),"",IFERROR(_xll.BDP(TICKER,"DEEP_MEASURE_PERIOD_BROKER_VALUE","DEEP_MEASURE_ID_OVERRIDE",$C243,"DEEP_BROKER_ID_OVERRIDE",BF$24,"DEEP_PERIOD_OVERRIDE",$H$19)*1,"")))</f>
        <v/>
      </c>
      <c r="BG243" t="str">
        <f>IF(OR(BG$23="",ISNA($B243)),"",IF(ISBLANK($B243),"",IFERROR(_xll.BDP(TICKER,"DEEP_MEASURE_PERIOD_BROKER_VALUE","DEEP_MEASURE_ID_OVERRIDE",$C243,"DEEP_BROKER_ID_OVERRIDE",BG$24,"DEEP_PERIOD_OVERRIDE",$H$19)*1,"")))</f>
        <v/>
      </c>
      <c r="BH243" t="str">
        <f>IF(OR(BH$23="",ISNA($B243)),"",IF(ISBLANK($B243),"",IFERROR(_xll.BDP(TICKER,"DEEP_MEASURE_PERIOD_BROKER_VALUE","DEEP_MEASURE_ID_OVERRIDE",$C243,"DEEP_BROKER_ID_OVERRIDE",BH$24,"DEEP_PERIOD_OVERRIDE",$H$19)*1,"")))</f>
        <v/>
      </c>
      <c r="BI243" t="str">
        <f>IF(OR(BI$23="",ISNA($B243)),"",IF(ISBLANK($B243),"",IFERROR(_xll.BDP(TICKER,"DEEP_MEASURE_PERIOD_BROKER_VALUE","DEEP_MEASURE_ID_OVERRIDE",$C243,"DEEP_BROKER_ID_OVERRIDE",BI$24,"DEEP_PERIOD_OVERRIDE",$H$19)*1,"")))</f>
        <v/>
      </c>
      <c r="BJ243" t="str">
        <f>IF(OR(BJ$23="",ISNA($B243)),"",IF(ISBLANK($B243),"",IFERROR(_xll.BDP(TICKER,"DEEP_MEASURE_PERIOD_BROKER_VALUE","DEEP_MEASURE_ID_OVERRIDE",$C243,"DEEP_BROKER_ID_OVERRIDE",BJ$24,"DEEP_PERIOD_OVERRIDE",$H$19)*1,"")))</f>
        <v/>
      </c>
      <c r="BK243" t="str">
        <f>IF(OR(BK$23="",ISNA($B243)),"",IF(ISBLANK($B243),"",IFERROR(_xll.BDP(TICKER,"DEEP_MEASURE_PERIOD_BROKER_VALUE","DEEP_MEASURE_ID_OVERRIDE",$C243,"DEEP_BROKER_ID_OVERRIDE",BK$24,"DEEP_PERIOD_OVERRIDE",$H$19)*1,"")))</f>
        <v/>
      </c>
      <c r="BL243" t="str">
        <f>IF(OR(BL$23="",ISNA($B243)),"",IF(ISBLANK($B243),"",IFERROR(_xll.BDP(TICKER,"DEEP_MEASURE_PERIOD_BROKER_VALUE","DEEP_MEASURE_ID_OVERRIDE",$C243,"DEEP_BROKER_ID_OVERRIDE",BL$24,"DEEP_PERIOD_OVERRIDE",$H$19)*1,"")))</f>
        <v/>
      </c>
      <c r="BM243" t="str">
        <f>IF(OR(BM$23="",ISNA($B243)),"",IF(ISBLANK($B243),"",IFERROR(_xll.BDP(TICKER,"DEEP_MEASURE_PERIOD_BROKER_VALUE","DEEP_MEASURE_ID_OVERRIDE",$C243,"DEEP_BROKER_ID_OVERRIDE",BM$24,"DEEP_PERIOD_OVERRIDE",$H$19)*1,"")))</f>
        <v/>
      </c>
      <c r="BN243" t="str">
        <f>IF(OR(BN$23="",ISNA($B243)),"",IF(ISBLANK($B243),"",IFERROR(_xll.BDP(TICKER,"DEEP_MEASURE_PERIOD_BROKER_VALUE","DEEP_MEASURE_ID_OVERRIDE",$C243,"DEEP_BROKER_ID_OVERRIDE",BN$24,"DEEP_PERIOD_OVERRIDE",$H$19)*1,"")))</f>
        <v/>
      </c>
      <c r="BO243" t="str">
        <f>IF(OR(BO$23="",ISNA($B243)),"",IF(ISBLANK($B243),"",IFERROR(_xll.BDP(TICKER,"DEEP_MEASURE_PERIOD_BROKER_VALUE","DEEP_MEASURE_ID_OVERRIDE",$C243,"DEEP_BROKER_ID_OVERRIDE",BO$24,"DEEP_PERIOD_OVERRIDE",$H$19)*1,"")))</f>
        <v/>
      </c>
      <c r="BP243" t="str">
        <f>IF(OR(BP$23="",ISNA($B243)),"",IF(ISBLANK($B243),"",IFERROR(_xll.BDP(TICKER,"DEEP_MEASURE_PERIOD_BROKER_VALUE","DEEP_MEASURE_ID_OVERRIDE",$C243,"DEEP_BROKER_ID_OVERRIDE",BP$24,"DEEP_PERIOD_OVERRIDE",$H$19)*1,"")))</f>
        <v/>
      </c>
      <c r="BQ243" t="str">
        <f>IF(OR(BQ$23="",ISNA($B243)),"",IF(ISBLANK($B243),"",IFERROR(_xll.BDP(TICKER,"DEEP_MEASURE_PERIOD_BROKER_VALUE","DEEP_MEASURE_ID_OVERRIDE",$C243,"DEEP_BROKER_ID_OVERRIDE",BQ$24,"DEEP_PERIOD_OVERRIDE",$H$19)*1,"")))</f>
        <v/>
      </c>
      <c r="BR243" t="str">
        <f>IF(OR(BR$23="",ISNA($B243)),"",IF(ISBLANK($B243),"",IFERROR(_xll.BDP(TICKER,"DEEP_MEASURE_PERIOD_BROKER_VALUE","DEEP_MEASURE_ID_OVERRIDE",$C243,"DEEP_BROKER_ID_OVERRIDE",BR$24,"DEEP_PERIOD_OVERRIDE",$H$19)*1,"")))</f>
        <v/>
      </c>
      <c r="BS243" t="str">
        <f>IF(OR(BS$23="",ISNA($B243)),"",IF(ISBLANK($B243),"",IFERROR(_xll.BDP(TICKER,"DEEP_MEASURE_PERIOD_BROKER_VALUE","DEEP_MEASURE_ID_OVERRIDE",$C243,"DEEP_BROKER_ID_OVERRIDE",BS$24,"DEEP_PERIOD_OVERRIDE",$H$19)*1,"")))</f>
        <v/>
      </c>
      <c r="BT243" t="str">
        <f>IF(OR(BT$23="",ISNA($B243)),"",IF(ISBLANK($B243),"",IFERROR(_xll.BDP(TICKER,"DEEP_MEASURE_PERIOD_BROKER_VALUE","DEEP_MEASURE_ID_OVERRIDE",$C243,"DEEP_BROKER_ID_OVERRIDE",BT$24,"DEEP_PERIOD_OVERRIDE",$H$19)*1,"")))</f>
        <v/>
      </c>
      <c r="BU243" t="str">
        <f>IF(OR(BU$23="",ISNA($B243)),"",IF(ISBLANK($B243),"",IFERROR(_xll.BDP(TICKER,"DEEP_MEASURE_PERIOD_BROKER_VALUE","DEEP_MEASURE_ID_OVERRIDE",$C243,"DEEP_BROKER_ID_OVERRIDE",BU$24,"DEEP_PERIOD_OVERRIDE",$H$19)*1,"")))</f>
        <v/>
      </c>
      <c r="BV243" t="str">
        <f>IF(OR(BV$23="",ISNA($B243)),"",IF(ISBLANK($B243),"",IFERROR(_xll.BDP(TICKER,"DEEP_MEASURE_PERIOD_BROKER_VALUE","DEEP_MEASURE_ID_OVERRIDE",$C243,"DEEP_BROKER_ID_OVERRIDE",BV$24,"DEEP_PERIOD_OVERRIDE",$H$19)*1,"")))</f>
        <v/>
      </c>
      <c r="BW243" t="str">
        <f>IF(OR(BW$23="",ISNA($B243)),"",IF(ISBLANK($B243),"",IFERROR(_xll.BDP(TICKER,"DEEP_MEASURE_PERIOD_BROKER_VALUE","DEEP_MEASURE_ID_OVERRIDE",$C243,"DEEP_BROKER_ID_OVERRIDE",BW$24,"DEEP_PERIOD_OVERRIDE",$H$19)*1,"")))</f>
        <v/>
      </c>
      <c r="BX243" t="str">
        <f>IF(OR(BX$23="",ISNA($B243)),"",IF(ISBLANK($B243),"",IFERROR(_xll.BDP(TICKER,"DEEP_MEASURE_PERIOD_BROKER_VALUE","DEEP_MEASURE_ID_OVERRIDE",$C243,"DEEP_BROKER_ID_OVERRIDE",BX$24,"DEEP_PERIOD_OVERRIDE",$H$19)*1,"")))</f>
        <v/>
      </c>
      <c r="BY243" t="str">
        <f>IF(OR(BY$23="",ISNA($B243)),"",IF(ISBLANK($B243),"",IFERROR(_xll.BDP(TICKER,"DEEP_MEASURE_PERIOD_BROKER_VALUE","DEEP_MEASURE_ID_OVERRIDE",$C243,"DEEP_BROKER_ID_OVERRIDE",BY$24,"DEEP_PERIOD_OVERRIDE",$H$19)*1,"")))</f>
        <v/>
      </c>
      <c r="BZ243" t="str">
        <f>IF(OR(BZ$23="",ISNA($B243)),"",IF(ISBLANK($B243),"",IFERROR(_xll.BDP(TICKER,"DEEP_MEASURE_PERIOD_BROKER_VALUE","DEEP_MEASURE_ID_OVERRIDE",$C243,"DEEP_BROKER_ID_OVERRIDE",BZ$24,"DEEP_PERIOD_OVERRIDE",$H$19)*1,"")))</f>
        <v/>
      </c>
    </row>
    <row r="244" spans="8:78" x14ac:dyDescent="0.25">
      <c r="H244" t="str">
        <f t="shared" si="4"/>
        <v/>
      </c>
      <c r="I244" t="str">
        <f>IF(OR(I$23="",ISNA($B244)),"",IF(ISBLANK($B244),"",IFERROR(_xll.BDP(TICKER,"DEEP_MEASURE_PERIOD_BROKER_VALUE","DEEP_MEASURE_ID_OVERRIDE",$C244,"DEEP_PERIOD_OVERRIDE",$H$19)*1,"")))</f>
        <v/>
      </c>
      <c r="J244" t="e">
        <f>IF(OR(J$23="",ISNA($B244)),"",IF(ISBLANK($B244),"",IFERROR(_xll.BDP(TICKER,"DEEP_MEASURE_PERIOD_BROKER_VALUE","DEEP_MEASURE_ID_OVERRIDE",$C244,"DEEP_BROKER_ID_OVERRIDE",J$24,"DEEP_PERIOD_OVERRIDE",$H$19)*1,"")))</f>
        <v>#REF!</v>
      </c>
      <c r="K244" t="str">
        <f>IF(OR(K$23="",ISNA($B244)),"",IF(ISBLANK($B244),"",IFERROR(_xll.BDP(TICKER,"DEEP_MEASURE_PERIOD_BROKER_VALUE","DEEP_MEASURE_ID_OVERRIDE",$C244,"DEEP_BROKER_ID_OVERRIDE",K$24,"DEEP_PERIOD_OVERRIDE",$H$19)*1,"")))</f>
        <v/>
      </c>
      <c r="L244" t="str">
        <f>IF(OR(L$23="",ISNA($B244)),"",IF(ISBLANK($B244),"",IFERROR(_xll.BDP(TICKER,"DEEP_MEASURE_PERIOD_BROKER_VALUE","DEEP_MEASURE_ID_OVERRIDE",$C244,"DEEP_BROKER_ID_OVERRIDE",L$24,"DEEP_PERIOD_OVERRIDE",$H$19)*1,"")))</f>
        <v/>
      </c>
      <c r="M244" t="str">
        <f>IF(OR(M$23="",ISNA($B244)),"",IF(ISBLANK($B244),"",IFERROR(_xll.BDP(TICKER,"DEEP_MEASURE_PERIOD_BROKER_VALUE","DEEP_MEASURE_ID_OVERRIDE",$C244,"DEEP_BROKER_ID_OVERRIDE",M$24,"DEEP_PERIOD_OVERRIDE",$H$19)*1,"")))</f>
        <v/>
      </c>
      <c r="N244" t="str">
        <f>IF(OR(N$23="",ISNA($B244)),"",IF(ISBLANK($B244),"",IFERROR(_xll.BDP(TICKER,"DEEP_MEASURE_PERIOD_BROKER_VALUE","DEEP_MEASURE_ID_OVERRIDE",$C244,"DEEP_BROKER_ID_OVERRIDE",N$24,"DEEP_PERIOD_OVERRIDE",$H$19)*1,"")))</f>
        <v/>
      </c>
      <c r="O244" t="str">
        <f>IF(OR(O$23="",ISNA($B244)),"",IF(ISBLANK($B244),"",IFERROR(_xll.BDP(TICKER,"DEEP_MEASURE_PERIOD_BROKER_VALUE","DEEP_MEASURE_ID_OVERRIDE",$C244,"DEEP_BROKER_ID_OVERRIDE",O$24,"DEEP_PERIOD_OVERRIDE",$H$19)*1,"")))</f>
        <v/>
      </c>
      <c r="P244" t="str">
        <f>IF(OR(P$23="",ISNA($B244)),"",IF(ISBLANK($B244),"",IFERROR(_xll.BDP(TICKER,"DEEP_MEASURE_PERIOD_BROKER_VALUE","DEEP_MEASURE_ID_OVERRIDE",$C244,"DEEP_BROKER_ID_OVERRIDE",P$24,"DEEP_PERIOD_OVERRIDE",$H$19)*1,"")))</f>
        <v/>
      </c>
      <c r="Q244" t="str">
        <f>IF(OR(Q$23="",ISNA($B244)),"",IF(ISBLANK($B244),"",IFERROR(_xll.BDP(TICKER,"DEEP_MEASURE_PERIOD_BROKER_VALUE","DEEP_MEASURE_ID_OVERRIDE",$C244,"DEEP_BROKER_ID_OVERRIDE",Q$24,"DEEP_PERIOD_OVERRIDE",$H$19)*1,"")))</f>
        <v/>
      </c>
      <c r="R244" t="str">
        <f>IF(OR(R$23="",ISNA($B244)),"",IF(ISBLANK($B244),"",IFERROR(_xll.BDP(TICKER,"DEEP_MEASURE_PERIOD_BROKER_VALUE","DEEP_MEASURE_ID_OVERRIDE",$C244,"DEEP_BROKER_ID_OVERRIDE",R$24,"DEEP_PERIOD_OVERRIDE",$H$19)*1,"")))</f>
        <v/>
      </c>
      <c r="S244" t="str">
        <f>IF(OR(S$23="",ISNA($B244)),"",IF(ISBLANK($B244),"",IFERROR(_xll.BDP(TICKER,"DEEP_MEASURE_PERIOD_BROKER_VALUE","DEEP_MEASURE_ID_OVERRIDE",$C244,"DEEP_BROKER_ID_OVERRIDE",S$24,"DEEP_PERIOD_OVERRIDE",$H$19)*1,"")))</f>
        <v/>
      </c>
      <c r="T244" t="str">
        <f>IF(OR(T$23="",ISNA($B244)),"",IF(ISBLANK($B244),"",IFERROR(_xll.BDP(TICKER,"DEEP_MEASURE_PERIOD_BROKER_VALUE","DEEP_MEASURE_ID_OVERRIDE",$C244,"DEEP_BROKER_ID_OVERRIDE",T$24,"DEEP_PERIOD_OVERRIDE",$H$19)*1,"")))</f>
        <v/>
      </c>
      <c r="U244" t="str">
        <f>IF(OR(U$23="",ISNA($B244)),"",IF(ISBLANK($B244),"",IFERROR(_xll.BDP(TICKER,"DEEP_MEASURE_PERIOD_BROKER_VALUE","DEEP_MEASURE_ID_OVERRIDE",$C244,"DEEP_BROKER_ID_OVERRIDE",U$24,"DEEP_PERIOD_OVERRIDE",$H$19)*1,"")))</f>
        <v/>
      </c>
      <c r="V244" t="str">
        <f>IF(OR(V$23="",ISNA($B244)),"",IF(ISBLANK($B244),"",IFERROR(_xll.BDP(TICKER,"DEEP_MEASURE_PERIOD_BROKER_VALUE","DEEP_MEASURE_ID_OVERRIDE",$C244,"DEEP_BROKER_ID_OVERRIDE",V$24,"DEEP_PERIOD_OVERRIDE",$H$19)*1,"")))</f>
        <v/>
      </c>
      <c r="W244" t="str">
        <f>IF(OR(W$23="",ISNA($B244)),"",IF(ISBLANK($B244),"",IFERROR(_xll.BDP(TICKER,"DEEP_MEASURE_PERIOD_BROKER_VALUE","DEEP_MEASURE_ID_OVERRIDE",$C244,"DEEP_BROKER_ID_OVERRIDE",W$24,"DEEP_PERIOD_OVERRIDE",$H$19)*1,"")))</f>
        <v/>
      </c>
      <c r="X244" t="str">
        <f>IF(OR(X$23="",ISNA($B244)),"",IF(ISBLANK($B244),"",IFERROR(_xll.BDP(TICKER,"DEEP_MEASURE_PERIOD_BROKER_VALUE","DEEP_MEASURE_ID_OVERRIDE",$C244,"DEEP_BROKER_ID_OVERRIDE",X$24,"DEEP_PERIOD_OVERRIDE",$H$19)*1,"")))</f>
        <v/>
      </c>
      <c r="Y244" t="str">
        <f>IF(OR(Y$23="",ISNA($B244)),"",IF(ISBLANK($B244),"",IFERROR(_xll.BDP(TICKER,"DEEP_MEASURE_PERIOD_BROKER_VALUE","DEEP_MEASURE_ID_OVERRIDE",$C244,"DEEP_BROKER_ID_OVERRIDE",Y$24,"DEEP_PERIOD_OVERRIDE",$H$19)*1,"")))</f>
        <v/>
      </c>
      <c r="Z244" t="str">
        <f>IF(OR(Z$23="",ISNA($B244)),"",IF(ISBLANK($B244),"",IFERROR(_xll.BDP(TICKER,"DEEP_MEASURE_PERIOD_BROKER_VALUE","DEEP_MEASURE_ID_OVERRIDE",$C244,"DEEP_BROKER_ID_OVERRIDE",Z$24,"DEEP_PERIOD_OVERRIDE",$H$19)*1,"")))</f>
        <v/>
      </c>
      <c r="AA244" t="str">
        <f>IF(OR(AA$23="",ISNA($B244)),"",IF(ISBLANK($B244),"",IFERROR(_xll.BDP(TICKER,"DEEP_MEASURE_PERIOD_BROKER_VALUE","DEEP_MEASURE_ID_OVERRIDE",$C244,"DEEP_BROKER_ID_OVERRIDE",AA$24,"DEEP_PERIOD_OVERRIDE",$H$19)*1,"")))</f>
        <v/>
      </c>
      <c r="AB244" t="str">
        <f>IF(OR(AB$23="",ISNA($B244)),"",IF(ISBLANK($B244),"",IFERROR(_xll.BDP(TICKER,"DEEP_MEASURE_PERIOD_BROKER_VALUE","DEEP_MEASURE_ID_OVERRIDE",$C244,"DEEP_BROKER_ID_OVERRIDE",AB$24,"DEEP_PERIOD_OVERRIDE",$H$19)*1,"")))</f>
        <v/>
      </c>
      <c r="AC244" t="str">
        <f>IF(OR(AC$23="",ISNA($B244)),"",IF(ISBLANK($B244),"",IFERROR(_xll.BDP(TICKER,"DEEP_MEASURE_PERIOD_BROKER_VALUE","DEEP_MEASURE_ID_OVERRIDE",$C244,"DEEP_BROKER_ID_OVERRIDE",AC$24,"DEEP_PERIOD_OVERRIDE",$H$19)*1,"")))</f>
        <v/>
      </c>
      <c r="AD244" t="str">
        <f>IF(OR(AD$23="",ISNA($B244)),"",IF(ISBLANK($B244),"",IFERROR(_xll.BDP(TICKER,"DEEP_MEASURE_PERIOD_BROKER_VALUE","DEEP_MEASURE_ID_OVERRIDE",$C244,"DEEP_BROKER_ID_OVERRIDE",AD$24,"DEEP_PERIOD_OVERRIDE",$H$19)*1,"")))</f>
        <v/>
      </c>
      <c r="AE244" t="str">
        <f>IF(OR(AE$23="",ISNA($B244)),"",IF(ISBLANK($B244),"",IFERROR(_xll.BDP(TICKER,"DEEP_MEASURE_PERIOD_BROKER_VALUE","DEEP_MEASURE_ID_OVERRIDE",$C244,"DEEP_BROKER_ID_OVERRIDE",AE$24,"DEEP_PERIOD_OVERRIDE",$H$19)*1,"")))</f>
        <v/>
      </c>
      <c r="AF244" t="str">
        <f>IF(OR(AF$23="",ISNA($B244)),"",IF(ISBLANK($B244),"",IFERROR(_xll.BDP(TICKER,"DEEP_MEASURE_PERIOD_BROKER_VALUE","DEEP_MEASURE_ID_OVERRIDE",$C244,"DEEP_BROKER_ID_OVERRIDE",AF$24,"DEEP_PERIOD_OVERRIDE",$H$19)*1,"")))</f>
        <v/>
      </c>
      <c r="AG244" t="str">
        <f>IF(OR(AG$23="",ISNA($B244)),"",IF(ISBLANK($B244),"",IFERROR(_xll.BDP(TICKER,"DEEP_MEASURE_PERIOD_BROKER_VALUE","DEEP_MEASURE_ID_OVERRIDE",$C244,"DEEP_BROKER_ID_OVERRIDE",AG$24,"DEEP_PERIOD_OVERRIDE",$H$19)*1,"")))</f>
        <v/>
      </c>
      <c r="AH244" t="str">
        <f>IF(OR(AH$23="",ISNA($B244)),"",IF(ISBLANK($B244),"",IFERROR(_xll.BDP(TICKER,"DEEP_MEASURE_PERIOD_BROKER_VALUE","DEEP_MEASURE_ID_OVERRIDE",$C244,"DEEP_BROKER_ID_OVERRIDE",AH$24,"DEEP_PERIOD_OVERRIDE",$H$19)*1,"")))</f>
        <v/>
      </c>
      <c r="AI244" t="str">
        <f>IF(OR(AI$23="",ISNA($B244)),"",IF(ISBLANK($B244),"",IFERROR(_xll.BDP(TICKER,"DEEP_MEASURE_PERIOD_BROKER_VALUE","DEEP_MEASURE_ID_OVERRIDE",$C244,"DEEP_BROKER_ID_OVERRIDE",AI$24,"DEEP_PERIOD_OVERRIDE",$H$19)*1,"")))</f>
        <v/>
      </c>
      <c r="AJ244" t="str">
        <f>IF(OR(AJ$23="",ISNA($B244)),"",IF(ISBLANK($B244),"",IFERROR(_xll.BDP(TICKER,"DEEP_MEASURE_PERIOD_BROKER_VALUE","DEEP_MEASURE_ID_OVERRIDE",$C244,"DEEP_BROKER_ID_OVERRIDE",AJ$24,"DEEP_PERIOD_OVERRIDE",$H$19)*1,"")))</f>
        <v/>
      </c>
      <c r="AK244" t="str">
        <f>IF(OR(AK$23="",ISNA($B244)),"",IF(ISBLANK($B244),"",IFERROR(_xll.BDP(TICKER,"DEEP_MEASURE_PERIOD_BROKER_VALUE","DEEP_MEASURE_ID_OVERRIDE",$C244,"DEEP_BROKER_ID_OVERRIDE",AK$24,"DEEP_PERIOD_OVERRIDE",$H$19)*1,"")))</f>
        <v/>
      </c>
      <c r="AL244" t="str">
        <f>IF(OR(AL$23="",ISNA($B244)),"",IF(ISBLANK($B244),"",IFERROR(_xll.BDP(TICKER,"DEEP_MEASURE_PERIOD_BROKER_VALUE","DEEP_MEASURE_ID_OVERRIDE",$C244,"DEEP_BROKER_ID_OVERRIDE",AL$24,"DEEP_PERIOD_OVERRIDE",$H$19)*1,"")))</f>
        <v/>
      </c>
      <c r="AM244" t="str">
        <f>IF(OR(AM$23="",ISNA($B244)),"",IF(ISBLANK($B244),"",IFERROR(_xll.BDP(TICKER,"DEEP_MEASURE_PERIOD_BROKER_VALUE","DEEP_MEASURE_ID_OVERRIDE",$C244,"DEEP_BROKER_ID_OVERRIDE",AM$24,"DEEP_PERIOD_OVERRIDE",$H$19)*1,"")))</f>
        <v/>
      </c>
      <c r="AN244" t="str">
        <f>IF(OR(AN$23="",ISNA($B244)),"",IF(ISBLANK($B244),"",IFERROR(_xll.BDP(TICKER,"DEEP_MEASURE_PERIOD_BROKER_VALUE","DEEP_MEASURE_ID_OVERRIDE",$C244,"DEEP_BROKER_ID_OVERRIDE",AN$24,"DEEP_PERIOD_OVERRIDE",$H$19)*1,"")))</f>
        <v/>
      </c>
      <c r="AO244" t="str">
        <f>IF(OR(AO$23="",ISNA($B244)),"",IF(ISBLANK($B244),"",IFERROR(_xll.BDP(TICKER,"DEEP_MEASURE_PERIOD_BROKER_VALUE","DEEP_MEASURE_ID_OVERRIDE",$C244,"DEEP_BROKER_ID_OVERRIDE",AO$24,"DEEP_PERIOD_OVERRIDE",$H$19)*1,"")))</f>
        <v/>
      </c>
      <c r="AP244" t="str">
        <f>IF(OR(AP$23="",ISNA($B244)),"",IF(ISBLANK($B244),"",IFERROR(_xll.BDP(TICKER,"DEEP_MEASURE_PERIOD_BROKER_VALUE","DEEP_MEASURE_ID_OVERRIDE",$C244,"DEEP_BROKER_ID_OVERRIDE",AP$24,"DEEP_PERIOD_OVERRIDE",$H$19)*1,"")))</f>
        <v/>
      </c>
      <c r="AQ244" t="str">
        <f>IF(OR(AQ$23="",ISNA($B244)),"",IF(ISBLANK($B244),"",IFERROR(_xll.BDP(TICKER,"DEEP_MEASURE_PERIOD_BROKER_VALUE","DEEP_MEASURE_ID_OVERRIDE",$C244,"DEEP_BROKER_ID_OVERRIDE",AQ$24,"DEEP_PERIOD_OVERRIDE",$H$19)*1,"")))</f>
        <v/>
      </c>
      <c r="AR244" t="str">
        <f>IF(OR(AR$23="",ISNA($B244)),"",IF(ISBLANK($B244),"",IFERROR(_xll.BDP(TICKER,"DEEP_MEASURE_PERIOD_BROKER_VALUE","DEEP_MEASURE_ID_OVERRIDE",$C244,"DEEP_BROKER_ID_OVERRIDE",AR$24,"DEEP_PERIOD_OVERRIDE",$H$19)*1,"")))</f>
        <v/>
      </c>
      <c r="AS244" t="str">
        <f>IF(OR(AS$23="",ISNA($B244)),"",IF(ISBLANK($B244),"",IFERROR(_xll.BDP(TICKER,"DEEP_MEASURE_PERIOD_BROKER_VALUE","DEEP_MEASURE_ID_OVERRIDE",$C244,"DEEP_BROKER_ID_OVERRIDE",AS$24,"DEEP_PERIOD_OVERRIDE",$H$19)*1,"")))</f>
        <v/>
      </c>
      <c r="AT244" t="str">
        <f>IF(OR(AT$23="",ISNA($B244)),"",IF(ISBLANK($B244),"",IFERROR(_xll.BDP(TICKER,"DEEP_MEASURE_PERIOD_BROKER_VALUE","DEEP_MEASURE_ID_OVERRIDE",$C244,"DEEP_BROKER_ID_OVERRIDE",AT$24,"DEEP_PERIOD_OVERRIDE",$H$19)*1,"")))</f>
        <v/>
      </c>
      <c r="AU244" t="str">
        <f>IF(OR(AU$23="",ISNA($B244)),"",IF(ISBLANK($B244),"",IFERROR(_xll.BDP(TICKER,"DEEP_MEASURE_PERIOD_BROKER_VALUE","DEEP_MEASURE_ID_OVERRIDE",$C244,"DEEP_BROKER_ID_OVERRIDE",AU$24,"DEEP_PERIOD_OVERRIDE",$H$19)*1,"")))</f>
        <v/>
      </c>
      <c r="AV244" t="str">
        <f>IF(OR(AV$23="",ISNA($B244)),"",IF(ISBLANK($B244),"",IFERROR(_xll.BDP(TICKER,"DEEP_MEASURE_PERIOD_BROKER_VALUE","DEEP_MEASURE_ID_OVERRIDE",$C244,"DEEP_BROKER_ID_OVERRIDE",AV$24,"DEEP_PERIOD_OVERRIDE",$H$19)*1,"")))</f>
        <v/>
      </c>
      <c r="AW244" t="str">
        <f>IF(OR(AW$23="",ISNA($B244)),"",IF(ISBLANK($B244),"",IFERROR(_xll.BDP(TICKER,"DEEP_MEASURE_PERIOD_BROKER_VALUE","DEEP_MEASURE_ID_OVERRIDE",$C244,"DEEP_BROKER_ID_OVERRIDE",AW$24,"DEEP_PERIOD_OVERRIDE",$H$19)*1,"")))</f>
        <v/>
      </c>
      <c r="AX244" t="str">
        <f>IF(OR(AX$23="",ISNA($B244)),"",IF(ISBLANK($B244),"",IFERROR(_xll.BDP(TICKER,"DEEP_MEASURE_PERIOD_BROKER_VALUE","DEEP_MEASURE_ID_OVERRIDE",$C244,"DEEP_BROKER_ID_OVERRIDE",AX$24,"DEEP_PERIOD_OVERRIDE",$H$19)*1,"")))</f>
        <v/>
      </c>
      <c r="AY244" t="str">
        <f>IF(OR(AY$23="",ISNA($B244)),"",IF(ISBLANK($B244),"",IFERROR(_xll.BDP(TICKER,"DEEP_MEASURE_PERIOD_BROKER_VALUE","DEEP_MEASURE_ID_OVERRIDE",$C244,"DEEP_BROKER_ID_OVERRIDE",AY$24,"DEEP_PERIOD_OVERRIDE",$H$19)*1,"")))</f>
        <v/>
      </c>
      <c r="AZ244" t="str">
        <f>IF(OR(AZ$23="",ISNA($B244)),"",IF(ISBLANK($B244),"",IFERROR(_xll.BDP(TICKER,"DEEP_MEASURE_PERIOD_BROKER_VALUE","DEEP_MEASURE_ID_OVERRIDE",$C244,"DEEP_BROKER_ID_OVERRIDE",AZ$24,"DEEP_PERIOD_OVERRIDE",$H$19)*1,"")))</f>
        <v/>
      </c>
      <c r="BA244" t="str">
        <f>IF(OR(BA$23="",ISNA($B244)),"",IF(ISBLANK($B244),"",IFERROR(_xll.BDP(TICKER,"DEEP_MEASURE_PERIOD_BROKER_VALUE","DEEP_MEASURE_ID_OVERRIDE",$C244,"DEEP_BROKER_ID_OVERRIDE",BA$24,"DEEP_PERIOD_OVERRIDE",$H$19)*1,"")))</f>
        <v/>
      </c>
      <c r="BB244" t="str">
        <f>IF(OR(BB$23="",ISNA($B244)),"",IF(ISBLANK($B244),"",IFERROR(_xll.BDP(TICKER,"DEEP_MEASURE_PERIOD_BROKER_VALUE","DEEP_MEASURE_ID_OVERRIDE",$C244,"DEEP_BROKER_ID_OVERRIDE",BB$24,"DEEP_PERIOD_OVERRIDE",$H$19)*1,"")))</f>
        <v/>
      </c>
      <c r="BC244" t="str">
        <f>IF(OR(BC$23="",ISNA($B244)),"",IF(ISBLANK($B244),"",IFERROR(_xll.BDP(TICKER,"DEEP_MEASURE_PERIOD_BROKER_VALUE","DEEP_MEASURE_ID_OVERRIDE",$C244,"DEEP_BROKER_ID_OVERRIDE",BC$24,"DEEP_PERIOD_OVERRIDE",$H$19)*1,"")))</f>
        <v/>
      </c>
      <c r="BD244" t="str">
        <f>IF(OR(BD$23="",ISNA($B244)),"",IF(ISBLANK($B244),"",IFERROR(_xll.BDP(TICKER,"DEEP_MEASURE_PERIOD_BROKER_VALUE","DEEP_MEASURE_ID_OVERRIDE",$C244,"DEEP_BROKER_ID_OVERRIDE",BD$24,"DEEP_PERIOD_OVERRIDE",$H$19)*1,"")))</f>
        <v/>
      </c>
      <c r="BE244" t="str">
        <f>IF(OR(BE$23="",ISNA($B244)),"",IF(ISBLANK($B244),"",IFERROR(_xll.BDP(TICKER,"DEEP_MEASURE_PERIOD_BROKER_VALUE","DEEP_MEASURE_ID_OVERRIDE",$C244,"DEEP_BROKER_ID_OVERRIDE",BE$24,"DEEP_PERIOD_OVERRIDE",$H$19)*1,"")))</f>
        <v/>
      </c>
      <c r="BF244" t="str">
        <f>IF(OR(BF$23="",ISNA($B244)),"",IF(ISBLANK($B244),"",IFERROR(_xll.BDP(TICKER,"DEEP_MEASURE_PERIOD_BROKER_VALUE","DEEP_MEASURE_ID_OVERRIDE",$C244,"DEEP_BROKER_ID_OVERRIDE",BF$24,"DEEP_PERIOD_OVERRIDE",$H$19)*1,"")))</f>
        <v/>
      </c>
      <c r="BG244" t="str">
        <f>IF(OR(BG$23="",ISNA($B244)),"",IF(ISBLANK($B244),"",IFERROR(_xll.BDP(TICKER,"DEEP_MEASURE_PERIOD_BROKER_VALUE","DEEP_MEASURE_ID_OVERRIDE",$C244,"DEEP_BROKER_ID_OVERRIDE",BG$24,"DEEP_PERIOD_OVERRIDE",$H$19)*1,"")))</f>
        <v/>
      </c>
      <c r="BH244" t="str">
        <f>IF(OR(BH$23="",ISNA($B244)),"",IF(ISBLANK($B244),"",IFERROR(_xll.BDP(TICKER,"DEEP_MEASURE_PERIOD_BROKER_VALUE","DEEP_MEASURE_ID_OVERRIDE",$C244,"DEEP_BROKER_ID_OVERRIDE",BH$24,"DEEP_PERIOD_OVERRIDE",$H$19)*1,"")))</f>
        <v/>
      </c>
      <c r="BI244" t="str">
        <f>IF(OR(BI$23="",ISNA($B244)),"",IF(ISBLANK($B244),"",IFERROR(_xll.BDP(TICKER,"DEEP_MEASURE_PERIOD_BROKER_VALUE","DEEP_MEASURE_ID_OVERRIDE",$C244,"DEEP_BROKER_ID_OVERRIDE",BI$24,"DEEP_PERIOD_OVERRIDE",$H$19)*1,"")))</f>
        <v/>
      </c>
      <c r="BJ244" t="str">
        <f>IF(OR(BJ$23="",ISNA($B244)),"",IF(ISBLANK($B244),"",IFERROR(_xll.BDP(TICKER,"DEEP_MEASURE_PERIOD_BROKER_VALUE","DEEP_MEASURE_ID_OVERRIDE",$C244,"DEEP_BROKER_ID_OVERRIDE",BJ$24,"DEEP_PERIOD_OVERRIDE",$H$19)*1,"")))</f>
        <v/>
      </c>
      <c r="BK244" t="str">
        <f>IF(OR(BK$23="",ISNA($B244)),"",IF(ISBLANK($B244),"",IFERROR(_xll.BDP(TICKER,"DEEP_MEASURE_PERIOD_BROKER_VALUE","DEEP_MEASURE_ID_OVERRIDE",$C244,"DEEP_BROKER_ID_OVERRIDE",BK$24,"DEEP_PERIOD_OVERRIDE",$H$19)*1,"")))</f>
        <v/>
      </c>
      <c r="BL244" t="str">
        <f>IF(OR(BL$23="",ISNA($B244)),"",IF(ISBLANK($B244),"",IFERROR(_xll.BDP(TICKER,"DEEP_MEASURE_PERIOD_BROKER_VALUE","DEEP_MEASURE_ID_OVERRIDE",$C244,"DEEP_BROKER_ID_OVERRIDE",BL$24,"DEEP_PERIOD_OVERRIDE",$H$19)*1,"")))</f>
        <v/>
      </c>
      <c r="BM244" t="str">
        <f>IF(OR(BM$23="",ISNA($B244)),"",IF(ISBLANK($B244),"",IFERROR(_xll.BDP(TICKER,"DEEP_MEASURE_PERIOD_BROKER_VALUE","DEEP_MEASURE_ID_OVERRIDE",$C244,"DEEP_BROKER_ID_OVERRIDE",BM$24,"DEEP_PERIOD_OVERRIDE",$H$19)*1,"")))</f>
        <v/>
      </c>
      <c r="BN244" t="str">
        <f>IF(OR(BN$23="",ISNA($B244)),"",IF(ISBLANK($B244),"",IFERROR(_xll.BDP(TICKER,"DEEP_MEASURE_PERIOD_BROKER_VALUE","DEEP_MEASURE_ID_OVERRIDE",$C244,"DEEP_BROKER_ID_OVERRIDE",BN$24,"DEEP_PERIOD_OVERRIDE",$H$19)*1,"")))</f>
        <v/>
      </c>
      <c r="BO244" t="str">
        <f>IF(OR(BO$23="",ISNA($B244)),"",IF(ISBLANK($B244),"",IFERROR(_xll.BDP(TICKER,"DEEP_MEASURE_PERIOD_BROKER_VALUE","DEEP_MEASURE_ID_OVERRIDE",$C244,"DEEP_BROKER_ID_OVERRIDE",BO$24,"DEEP_PERIOD_OVERRIDE",$H$19)*1,"")))</f>
        <v/>
      </c>
      <c r="BP244" t="str">
        <f>IF(OR(BP$23="",ISNA($B244)),"",IF(ISBLANK($B244),"",IFERROR(_xll.BDP(TICKER,"DEEP_MEASURE_PERIOD_BROKER_VALUE","DEEP_MEASURE_ID_OVERRIDE",$C244,"DEEP_BROKER_ID_OVERRIDE",BP$24,"DEEP_PERIOD_OVERRIDE",$H$19)*1,"")))</f>
        <v/>
      </c>
      <c r="BQ244" t="str">
        <f>IF(OR(BQ$23="",ISNA($B244)),"",IF(ISBLANK($B244),"",IFERROR(_xll.BDP(TICKER,"DEEP_MEASURE_PERIOD_BROKER_VALUE","DEEP_MEASURE_ID_OVERRIDE",$C244,"DEEP_BROKER_ID_OVERRIDE",BQ$24,"DEEP_PERIOD_OVERRIDE",$H$19)*1,"")))</f>
        <v/>
      </c>
      <c r="BR244" t="str">
        <f>IF(OR(BR$23="",ISNA($B244)),"",IF(ISBLANK($B244),"",IFERROR(_xll.BDP(TICKER,"DEEP_MEASURE_PERIOD_BROKER_VALUE","DEEP_MEASURE_ID_OVERRIDE",$C244,"DEEP_BROKER_ID_OVERRIDE",BR$24,"DEEP_PERIOD_OVERRIDE",$H$19)*1,"")))</f>
        <v/>
      </c>
      <c r="BS244" t="str">
        <f>IF(OR(BS$23="",ISNA($B244)),"",IF(ISBLANK($B244),"",IFERROR(_xll.BDP(TICKER,"DEEP_MEASURE_PERIOD_BROKER_VALUE","DEEP_MEASURE_ID_OVERRIDE",$C244,"DEEP_BROKER_ID_OVERRIDE",BS$24,"DEEP_PERIOD_OVERRIDE",$H$19)*1,"")))</f>
        <v/>
      </c>
      <c r="BT244" t="str">
        <f>IF(OR(BT$23="",ISNA($B244)),"",IF(ISBLANK($B244),"",IFERROR(_xll.BDP(TICKER,"DEEP_MEASURE_PERIOD_BROKER_VALUE","DEEP_MEASURE_ID_OVERRIDE",$C244,"DEEP_BROKER_ID_OVERRIDE",BT$24,"DEEP_PERIOD_OVERRIDE",$H$19)*1,"")))</f>
        <v/>
      </c>
      <c r="BU244" t="str">
        <f>IF(OR(BU$23="",ISNA($B244)),"",IF(ISBLANK($B244),"",IFERROR(_xll.BDP(TICKER,"DEEP_MEASURE_PERIOD_BROKER_VALUE","DEEP_MEASURE_ID_OVERRIDE",$C244,"DEEP_BROKER_ID_OVERRIDE",BU$24,"DEEP_PERIOD_OVERRIDE",$H$19)*1,"")))</f>
        <v/>
      </c>
      <c r="BV244" t="str">
        <f>IF(OR(BV$23="",ISNA($B244)),"",IF(ISBLANK($B244),"",IFERROR(_xll.BDP(TICKER,"DEEP_MEASURE_PERIOD_BROKER_VALUE","DEEP_MEASURE_ID_OVERRIDE",$C244,"DEEP_BROKER_ID_OVERRIDE",BV$24,"DEEP_PERIOD_OVERRIDE",$H$19)*1,"")))</f>
        <v/>
      </c>
      <c r="BW244" t="str">
        <f>IF(OR(BW$23="",ISNA($B244)),"",IF(ISBLANK($B244),"",IFERROR(_xll.BDP(TICKER,"DEEP_MEASURE_PERIOD_BROKER_VALUE","DEEP_MEASURE_ID_OVERRIDE",$C244,"DEEP_BROKER_ID_OVERRIDE",BW$24,"DEEP_PERIOD_OVERRIDE",$H$19)*1,"")))</f>
        <v/>
      </c>
      <c r="BX244" t="str">
        <f>IF(OR(BX$23="",ISNA($B244)),"",IF(ISBLANK($B244),"",IFERROR(_xll.BDP(TICKER,"DEEP_MEASURE_PERIOD_BROKER_VALUE","DEEP_MEASURE_ID_OVERRIDE",$C244,"DEEP_BROKER_ID_OVERRIDE",BX$24,"DEEP_PERIOD_OVERRIDE",$H$19)*1,"")))</f>
        <v/>
      </c>
      <c r="BY244" t="str">
        <f>IF(OR(BY$23="",ISNA($B244)),"",IF(ISBLANK($B244),"",IFERROR(_xll.BDP(TICKER,"DEEP_MEASURE_PERIOD_BROKER_VALUE","DEEP_MEASURE_ID_OVERRIDE",$C244,"DEEP_BROKER_ID_OVERRIDE",BY$24,"DEEP_PERIOD_OVERRIDE",$H$19)*1,"")))</f>
        <v/>
      </c>
      <c r="BZ244" t="str">
        <f>IF(OR(BZ$23="",ISNA($B244)),"",IF(ISBLANK($B244),"",IFERROR(_xll.BDP(TICKER,"DEEP_MEASURE_PERIOD_BROKER_VALUE","DEEP_MEASURE_ID_OVERRIDE",$C244,"DEEP_BROKER_ID_OVERRIDE",BZ$24,"DEEP_PERIOD_OVERRIDE",$H$19)*1,"")))</f>
        <v/>
      </c>
    </row>
    <row r="245" spans="8:78" x14ac:dyDescent="0.25">
      <c r="H245" t="str">
        <f t="shared" si="4"/>
        <v/>
      </c>
      <c r="I245" t="str">
        <f>IF(OR(I$23="",ISNA($B245)),"",IF(ISBLANK($B245),"",IFERROR(_xll.BDP(TICKER,"DEEP_MEASURE_PERIOD_BROKER_VALUE","DEEP_MEASURE_ID_OVERRIDE",$C245,"DEEP_PERIOD_OVERRIDE",$H$19)*1,"")))</f>
        <v/>
      </c>
      <c r="J245" t="e">
        <f>IF(OR(J$23="",ISNA($B245)),"",IF(ISBLANK($B245),"",IFERROR(_xll.BDP(TICKER,"DEEP_MEASURE_PERIOD_BROKER_VALUE","DEEP_MEASURE_ID_OVERRIDE",$C245,"DEEP_BROKER_ID_OVERRIDE",J$24,"DEEP_PERIOD_OVERRIDE",$H$19)*1,"")))</f>
        <v>#REF!</v>
      </c>
      <c r="K245" t="str">
        <f>IF(OR(K$23="",ISNA($B245)),"",IF(ISBLANK($B245),"",IFERROR(_xll.BDP(TICKER,"DEEP_MEASURE_PERIOD_BROKER_VALUE","DEEP_MEASURE_ID_OVERRIDE",$C245,"DEEP_BROKER_ID_OVERRIDE",K$24,"DEEP_PERIOD_OVERRIDE",$H$19)*1,"")))</f>
        <v/>
      </c>
      <c r="L245" t="str">
        <f>IF(OR(L$23="",ISNA($B245)),"",IF(ISBLANK($B245),"",IFERROR(_xll.BDP(TICKER,"DEEP_MEASURE_PERIOD_BROKER_VALUE","DEEP_MEASURE_ID_OVERRIDE",$C245,"DEEP_BROKER_ID_OVERRIDE",L$24,"DEEP_PERIOD_OVERRIDE",$H$19)*1,"")))</f>
        <v/>
      </c>
      <c r="M245" t="str">
        <f>IF(OR(M$23="",ISNA($B245)),"",IF(ISBLANK($B245),"",IFERROR(_xll.BDP(TICKER,"DEEP_MEASURE_PERIOD_BROKER_VALUE","DEEP_MEASURE_ID_OVERRIDE",$C245,"DEEP_BROKER_ID_OVERRIDE",M$24,"DEEP_PERIOD_OVERRIDE",$H$19)*1,"")))</f>
        <v/>
      </c>
      <c r="N245" t="str">
        <f>IF(OR(N$23="",ISNA($B245)),"",IF(ISBLANK($B245),"",IFERROR(_xll.BDP(TICKER,"DEEP_MEASURE_PERIOD_BROKER_VALUE","DEEP_MEASURE_ID_OVERRIDE",$C245,"DEEP_BROKER_ID_OVERRIDE",N$24,"DEEP_PERIOD_OVERRIDE",$H$19)*1,"")))</f>
        <v/>
      </c>
      <c r="O245" t="str">
        <f>IF(OR(O$23="",ISNA($B245)),"",IF(ISBLANK($B245),"",IFERROR(_xll.BDP(TICKER,"DEEP_MEASURE_PERIOD_BROKER_VALUE","DEEP_MEASURE_ID_OVERRIDE",$C245,"DEEP_BROKER_ID_OVERRIDE",O$24,"DEEP_PERIOD_OVERRIDE",$H$19)*1,"")))</f>
        <v/>
      </c>
      <c r="P245" t="str">
        <f>IF(OR(P$23="",ISNA($B245)),"",IF(ISBLANK($B245),"",IFERROR(_xll.BDP(TICKER,"DEEP_MEASURE_PERIOD_BROKER_VALUE","DEEP_MEASURE_ID_OVERRIDE",$C245,"DEEP_BROKER_ID_OVERRIDE",P$24,"DEEP_PERIOD_OVERRIDE",$H$19)*1,"")))</f>
        <v/>
      </c>
      <c r="Q245" t="str">
        <f>IF(OR(Q$23="",ISNA($B245)),"",IF(ISBLANK($B245),"",IFERROR(_xll.BDP(TICKER,"DEEP_MEASURE_PERIOD_BROKER_VALUE","DEEP_MEASURE_ID_OVERRIDE",$C245,"DEEP_BROKER_ID_OVERRIDE",Q$24,"DEEP_PERIOD_OVERRIDE",$H$19)*1,"")))</f>
        <v/>
      </c>
      <c r="R245" t="str">
        <f>IF(OR(R$23="",ISNA($B245)),"",IF(ISBLANK($B245),"",IFERROR(_xll.BDP(TICKER,"DEEP_MEASURE_PERIOD_BROKER_VALUE","DEEP_MEASURE_ID_OVERRIDE",$C245,"DEEP_BROKER_ID_OVERRIDE",R$24,"DEEP_PERIOD_OVERRIDE",$H$19)*1,"")))</f>
        <v/>
      </c>
      <c r="S245" t="str">
        <f>IF(OR(S$23="",ISNA($B245)),"",IF(ISBLANK($B245),"",IFERROR(_xll.BDP(TICKER,"DEEP_MEASURE_PERIOD_BROKER_VALUE","DEEP_MEASURE_ID_OVERRIDE",$C245,"DEEP_BROKER_ID_OVERRIDE",S$24,"DEEP_PERIOD_OVERRIDE",$H$19)*1,"")))</f>
        <v/>
      </c>
      <c r="T245" t="str">
        <f>IF(OR(T$23="",ISNA($B245)),"",IF(ISBLANK($B245),"",IFERROR(_xll.BDP(TICKER,"DEEP_MEASURE_PERIOD_BROKER_VALUE","DEEP_MEASURE_ID_OVERRIDE",$C245,"DEEP_BROKER_ID_OVERRIDE",T$24,"DEEP_PERIOD_OVERRIDE",$H$19)*1,"")))</f>
        <v/>
      </c>
      <c r="U245" t="str">
        <f>IF(OR(U$23="",ISNA($B245)),"",IF(ISBLANK($B245),"",IFERROR(_xll.BDP(TICKER,"DEEP_MEASURE_PERIOD_BROKER_VALUE","DEEP_MEASURE_ID_OVERRIDE",$C245,"DEEP_BROKER_ID_OVERRIDE",U$24,"DEEP_PERIOD_OVERRIDE",$H$19)*1,"")))</f>
        <v/>
      </c>
      <c r="V245" t="str">
        <f>IF(OR(V$23="",ISNA($B245)),"",IF(ISBLANK($B245),"",IFERROR(_xll.BDP(TICKER,"DEEP_MEASURE_PERIOD_BROKER_VALUE","DEEP_MEASURE_ID_OVERRIDE",$C245,"DEEP_BROKER_ID_OVERRIDE",V$24,"DEEP_PERIOD_OVERRIDE",$H$19)*1,"")))</f>
        <v/>
      </c>
      <c r="W245" t="str">
        <f>IF(OR(W$23="",ISNA($B245)),"",IF(ISBLANK($B245),"",IFERROR(_xll.BDP(TICKER,"DEEP_MEASURE_PERIOD_BROKER_VALUE","DEEP_MEASURE_ID_OVERRIDE",$C245,"DEEP_BROKER_ID_OVERRIDE",W$24,"DEEP_PERIOD_OVERRIDE",$H$19)*1,"")))</f>
        <v/>
      </c>
      <c r="X245" t="str">
        <f>IF(OR(X$23="",ISNA($B245)),"",IF(ISBLANK($B245),"",IFERROR(_xll.BDP(TICKER,"DEEP_MEASURE_PERIOD_BROKER_VALUE","DEEP_MEASURE_ID_OVERRIDE",$C245,"DEEP_BROKER_ID_OVERRIDE",X$24,"DEEP_PERIOD_OVERRIDE",$H$19)*1,"")))</f>
        <v/>
      </c>
      <c r="Y245" t="str">
        <f>IF(OR(Y$23="",ISNA($B245)),"",IF(ISBLANK($B245),"",IFERROR(_xll.BDP(TICKER,"DEEP_MEASURE_PERIOD_BROKER_VALUE","DEEP_MEASURE_ID_OVERRIDE",$C245,"DEEP_BROKER_ID_OVERRIDE",Y$24,"DEEP_PERIOD_OVERRIDE",$H$19)*1,"")))</f>
        <v/>
      </c>
      <c r="Z245" t="str">
        <f>IF(OR(Z$23="",ISNA($B245)),"",IF(ISBLANK($B245),"",IFERROR(_xll.BDP(TICKER,"DEEP_MEASURE_PERIOD_BROKER_VALUE","DEEP_MEASURE_ID_OVERRIDE",$C245,"DEEP_BROKER_ID_OVERRIDE",Z$24,"DEEP_PERIOD_OVERRIDE",$H$19)*1,"")))</f>
        <v/>
      </c>
      <c r="AA245" t="str">
        <f>IF(OR(AA$23="",ISNA($B245)),"",IF(ISBLANK($B245),"",IFERROR(_xll.BDP(TICKER,"DEEP_MEASURE_PERIOD_BROKER_VALUE","DEEP_MEASURE_ID_OVERRIDE",$C245,"DEEP_BROKER_ID_OVERRIDE",AA$24,"DEEP_PERIOD_OVERRIDE",$H$19)*1,"")))</f>
        <v/>
      </c>
      <c r="AB245" t="str">
        <f>IF(OR(AB$23="",ISNA($B245)),"",IF(ISBLANK($B245),"",IFERROR(_xll.BDP(TICKER,"DEEP_MEASURE_PERIOD_BROKER_VALUE","DEEP_MEASURE_ID_OVERRIDE",$C245,"DEEP_BROKER_ID_OVERRIDE",AB$24,"DEEP_PERIOD_OVERRIDE",$H$19)*1,"")))</f>
        <v/>
      </c>
      <c r="AC245" t="str">
        <f>IF(OR(AC$23="",ISNA($B245)),"",IF(ISBLANK($B245),"",IFERROR(_xll.BDP(TICKER,"DEEP_MEASURE_PERIOD_BROKER_VALUE","DEEP_MEASURE_ID_OVERRIDE",$C245,"DEEP_BROKER_ID_OVERRIDE",AC$24,"DEEP_PERIOD_OVERRIDE",$H$19)*1,"")))</f>
        <v/>
      </c>
      <c r="AD245" t="str">
        <f>IF(OR(AD$23="",ISNA($B245)),"",IF(ISBLANK($B245),"",IFERROR(_xll.BDP(TICKER,"DEEP_MEASURE_PERIOD_BROKER_VALUE","DEEP_MEASURE_ID_OVERRIDE",$C245,"DEEP_BROKER_ID_OVERRIDE",AD$24,"DEEP_PERIOD_OVERRIDE",$H$19)*1,"")))</f>
        <v/>
      </c>
      <c r="AE245" t="str">
        <f>IF(OR(AE$23="",ISNA($B245)),"",IF(ISBLANK($B245),"",IFERROR(_xll.BDP(TICKER,"DEEP_MEASURE_PERIOD_BROKER_VALUE","DEEP_MEASURE_ID_OVERRIDE",$C245,"DEEP_BROKER_ID_OVERRIDE",AE$24,"DEEP_PERIOD_OVERRIDE",$H$19)*1,"")))</f>
        <v/>
      </c>
      <c r="AF245" t="str">
        <f>IF(OR(AF$23="",ISNA($B245)),"",IF(ISBLANK($B245),"",IFERROR(_xll.BDP(TICKER,"DEEP_MEASURE_PERIOD_BROKER_VALUE","DEEP_MEASURE_ID_OVERRIDE",$C245,"DEEP_BROKER_ID_OVERRIDE",AF$24,"DEEP_PERIOD_OVERRIDE",$H$19)*1,"")))</f>
        <v/>
      </c>
      <c r="AG245" t="str">
        <f>IF(OR(AG$23="",ISNA($B245)),"",IF(ISBLANK($B245),"",IFERROR(_xll.BDP(TICKER,"DEEP_MEASURE_PERIOD_BROKER_VALUE","DEEP_MEASURE_ID_OVERRIDE",$C245,"DEEP_BROKER_ID_OVERRIDE",AG$24,"DEEP_PERIOD_OVERRIDE",$H$19)*1,"")))</f>
        <v/>
      </c>
      <c r="AH245" t="str">
        <f>IF(OR(AH$23="",ISNA($B245)),"",IF(ISBLANK($B245),"",IFERROR(_xll.BDP(TICKER,"DEEP_MEASURE_PERIOD_BROKER_VALUE","DEEP_MEASURE_ID_OVERRIDE",$C245,"DEEP_BROKER_ID_OVERRIDE",AH$24,"DEEP_PERIOD_OVERRIDE",$H$19)*1,"")))</f>
        <v/>
      </c>
      <c r="AI245" t="str">
        <f>IF(OR(AI$23="",ISNA($B245)),"",IF(ISBLANK($B245),"",IFERROR(_xll.BDP(TICKER,"DEEP_MEASURE_PERIOD_BROKER_VALUE","DEEP_MEASURE_ID_OVERRIDE",$C245,"DEEP_BROKER_ID_OVERRIDE",AI$24,"DEEP_PERIOD_OVERRIDE",$H$19)*1,"")))</f>
        <v/>
      </c>
      <c r="AJ245" t="str">
        <f>IF(OR(AJ$23="",ISNA($B245)),"",IF(ISBLANK($B245),"",IFERROR(_xll.BDP(TICKER,"DEEP_MEASURE_PERIOD_BROKER_VALUE","DEEP_MEASURE_ID_OVERRIDE",$C245,"DEEP_BROKER_ID_OVERRIDE",AJ$24,"DEEP_PERIOD_OVERRIDE",$H$19)*1,"")))</f>
        <v/>
      </c>
      <c r="AK245" t="str">
        <f>IF(OR(AK$23="",ISNA($B245)),"",IF(ISBLANK($B245),"",IFERROR(_xll.BDP(TICKER,"DEEP_MEASURE_PERIOD_BROKER_VALUE","DEEP_MEASURE_ID_OVERRIDE",$C245,"DEEP_BROKER_ID_OVERRIDE",AK$24,"DEEP_PERIOD_OVERRIDE",$H$19)*1,"")))</f>
        <v/>
      </c>
      <c r="AL245" t="str">
        <f>IF(OR(AL$23="",ISNA($B245)),"",IF(ISBLANK($B245),"",IFERROR(_xll.BDP(TICKER,"DEEP_MEASURE_PERIOD_BROKER_VALUE","DEEP_MEASURE_ID_OVERRIDE",$C245,"DEEP_BROKER_ID_OVERRIDE",AL$24,"DEEP_PERIOD_OVERRIDE",$H$19)*1,"")))</f>
        <v/>
      </c>
      <c r="AM245" t="str">
        <f>IF(OR(AM$23="",ISNA($B245)),"",IF(ISBLANK($B245),"",IFERROR(_xll.BDP(TICKER,"DEEP_MEASURE_PERIOD_BROKER_VALUE","DEEP_MEASURE_ID_OVERRIDE",$C245,"DEEP_BROKER_ID_OVERRIDE",AM$24,"DEEP_PERIOD_OVERRIDE",$H$19)*1,"")))</f>
        <v/>
      </c>
      <c r="AN245" t="str">
        <f>IF(OR(AN$23="",ISNA($B245)),"",IF(ISBLANK($B245),"",IFERROR(_xll.BDP(TICKER,"DEEP_MEASURE_PERIOD_BROKER_VALUE","DEEP_MEASURE_ID_OVERRIDE",$C245,"DEEP_BROKER_ID_OVERRIDE",AN$24,"DEEP_PERIOD_OVERRIDE",$H$19)*1,"")))</f>
        <v/>
      </c>
      <c r="AO245" t="str">
        <f>IF(OR(AO$23="",ISNA($B245)),"",IF(ISBLANK($B245),"",IFERROR(_xll.BDP(TICKER,"DEEP_MEASURE_PERIOD_BROKER_VALUE","DEEP_MEASURE_ID_OVERRIDE",$C245,"DEEP_BROKER_ID_OVERRIDE",AO$24,"DEEP_PERIOD_OVERRIDE",$H$19)*1,"")))</f>
        <v/>
      </c>
      <c r="AP245" t="str">
        <f>IF(OR(AP$23="",ISNA($B245)),"",IF(ISBLANK($B245),"",IFERROR(_xll.BDP(TICKER,"DEEP_MEASURE_PERIOD_BROKER_VALUE","DEEP_MEASURE_ID_OVERRIDE",$C245,"DEEP_BROKER_ID_OVERRIDE",AP$24,"DEEP_PERIOD_OVERRIDE",$H$19)*1,"")))</f>
        <v/>
      </c>
      <c r="AQ245" t="str">
        <f>IF(OR(AQ$23="",ISNA($B245)),"",IF(ISBLANK($B245),"",IFERROR(_xll.BDP(TICKER,"DEEP_MEASURE_PERIOD_BROKER_VALUE","DEEP_MEASURE_ID_OVERRIDE",$C245,"DEEP_BROKER_ID_OVERRIDE",AQ$24,"DEEP_PERIOD_OVERRIDE",$H$19)*1,"")))</f>
        <v/>
      </c>
      <c r="AR245" t="str">
        <f>IF(OR(AR$23="",ISNA($B245)),"",IF(ISBLANK($B245),"",IFERROR(_xll.BDP(TICKER,"DEEP_MEASURE_PERIOD_BROKER_VALUE","DEEP_MEASURE_ID_OVERRIDE",$C245,"DEEP_BROKER_ID_OVERRIDE",AR$24,"DEEP_PERIOD_OVERRIDE",$H$19)*1,"")))</f>
        <v/>
      </c>
      <c r="AS245" t="str">
        <f>IF(OR(AS$23="",ISNA($B245)),"",IF(ISBLANK($B245),"",IFERROR(_xll.BDP(TICKER,"DEEP_MEASURE_PERIOD_BROKER_VALUE","DEEP_MEASURE_ID_OVERRIDE",$C245,"DEEP_BROKER_ID_OVERRIDE",AS$24,"DEEP_PERIOD_OVERRIDE",$H$19)*1,"")))</f>
        <v/>
      </c>
      <c r="AT245" t="str">
        <f>IF(OR(AT$23="",ISNA($B245)),"",IF(ISBLANK($B245),"",IFERROR(_xll.BDP(TICKER,"DEEP_MEASURE_PERIOD_BROKER_VALUE","DEEP_MEASURE_ID_OVERRIDE",$C245,"DEEP_BROKER_ID_OVERRIDE",AT$24,"DEEP_PERIOD_OVERRIDE",$H$19)*1,"")))</f>
        <v/>
      </c>
      <c r="AU245" t="str">
        <f>IF(OR(AU$23="",ISNA($B245)),"",IF(ISBLANK($B245),"",IFERROR(_xll.BDP(TICKER,"DEEP_MEASURE_PERIOD_BROKER_VALUE","DEEP_MEASURE_ID_OVERRIDE",$C245,"DEEP_BROKER_ID_OVERRIDE",AU$24,"DEEP_PERIOD_OVERRIDE",$H$19)*1,"")))</f>
        <v/>
      </c>
      <c r="AV245" t="str">
        <f>IF(OR(AV$23="",ISNA($B245)),"",IF(ISBLANK($B245),"",IFERROR(_xll.BDP(TICKER,"DEEP_MEASURE_PERIOD_BROKER_VALUE","DEEP_MEASURE_ID_OVERRIDE",$C245,"DEEP_BROKER_ID_OVERRIDE",AV$24,"DEEP_PERIOD_OVERRIDE",$H$19)*1,"")))</f>
        <v/>
      </c>
      <c r="AW245" t="str">
        <f>IF(OR(AW$23="",ISNA($B245)),"",IF(ISBLANK($B245),"",IFERROR(_xll.BDP(TICKER,"DEEP_MEASURE_PERIOD_BROKER_VALUE","DEEP_MEASURE_ID_OVERRIDE",$C245,"DEEP_BROKER_ID_OVERRIDE",AW$24,"DEEP_PERIOD_OVERRIDE",$H$19)*1,"")))</f>
        <v/>
      </c>
      <c r="AX245" t="str">
        <f>IF(OR(AX$23="",ISNA($B245)),"",IF(ISBLANK($B245),"",IFERROR(_xll.BDP(TICKER,"DEEP_MEASURE_PERIOD_BROKER_VALUE","DEEP_MEASURE_ID_OVERRIDE",$C245,"DEEP_BROKER_ID_OVERRIDE",AX$24,"DEEP_PERIOD_OVERRIDE",$H$19)*1,"")))</f>
        <v/>
      </c>
      <c r="AY245" t="str">
        <f>IF(OR(AY$23="",ISNA($B245)),"",IF(ISBLANK($B245),"",IFERROR(_xll.BDP(TICKER,"DEEP_MEASURE_PERIOD_BROKER_VALUE","DEEP_MEASURE_ID_OVERRIDE",$C245,"DEEP_BROKER_ID_OVERRIDE",AY$24,"DEEP_PERIOD_OVERRIDE",$H$19)*1,"")))</f>
        <v/>
      </c>
      <c r="AZ245" t="str">
        <f>IF(OR(AZ$23="",ISNA($B245)),"",IF(ISBLANK($B245),"",IFERROR(_xll.BDP(TICKER,"DEEP_MEASURE_PERIOD_BROKER_VALUE","DEEP_MEASURE_ID_OVERRIDE",$C245,"DEEP_BROKER_ID_OVERRIDE",AZ$24,"DEEP_PERIOD_OVERRIDE",$H$19)*1,"")))</f>
        <v/>
      </c>
      <c r="BA245" t="str">
        <f>IF(OR(BA$23="",ISNA($B245)),"",IF(ISBLANK($B245),"",IFERROR(_xll.BDP(TICKER,"DEEP_MEASURE_PERIOD_BROKER_VALUE","DEEP_MEASURE_ID_OVERRIDE",$C245,"DEEP_BROKER_ID_OVERRIDE",BA$24,"DEEP_PERIOD_OVERRIDE",$H$19)*1,"")))</f>
        <v/>
      </c>
      <c r="BB245" t="str">
        <f>IF(OR(BB$23="",ISNA($B245)),"",IF(ISBLANK($B245),"",IFERROR(_xll.BDP(TICKER,"DEEP_MEASURE_PERIOD_BROKER_VALUE","DEEP_MEASURE_ID_OVERRIDE",$C245,"DEEP_BROKER_ID_OVERRIDE",BB$24,"DEEP_PERIOD_OVERRIDE",$H$19)*1,"")))</f>
        <v/>
      </c>
      <c r="BC245" t="str">
        <f>IF(OR(BC$23="",ISNA($B245)),"",IF(ISBLANK($B245),"",IFERROR(_xll.BDP(TICKER,"DEEP_MEASURE_PERIOD_BROKER_VALUE","DEEP_MEASURE_ID_OVERRIDE",$C245,"DEEP_BROKER_ID_OVERRIDE",BC$24,"DEEP_PERIOD_OVERRIDE",$H$19)*1,"")))</f>
        <v/>
      </c>
      <c r="BD245" t="str">
        <f>IF(OR(BD$23="",ISNA($B245)),"",IF(ISBLANK($B245),"",IFERROR(_xll.BDP(TICKER,"DEEP_MEASURE_PERIOD_BROKER_VALUE","DEEP_MEASURE_ID_OVERRIDE",$C245,"DEEP_BROKER_ID_OVERRIDE",BD$24,"DEEP_PERIOD_OVERRIDE",$H$19)*1,"")))</f>
        <v/>
      </c>
      <c r="BE245" t="str">
        <f>IF(OR(BE$23="",ISNA($B245)),"",IF(ISBLANK($B245),"",IFERROR(_xll.BDP(TICKER,"DEEP_MEASURE_PERIOD_BROKER_VALUE","DEEP_MEASURE_ID_OVERRIDE",$C245,"DEEP_BROKER_ID_OVERRIDE",BE$24,"DEEP_PERIOD_OVERRIDE",$H$19)*1,"")))</f>
        <v/>
      </c>
      <c r="BF245" t="str">
        <f>IF(OR(BF$23="",ISNA($B245)),"",IF(ISBLANK($B245),"",IFERROR(_xll.BDP(TICKER,"DEEP_MEASURE_PERIOD_BROKER_VALUE","DEEP_MEASURE_ID_OVERRIDE",$C245,"DEEP_BROKER_ID_OVERRIDE",BF$24,"DEEP_PERIOD_OVERRIDE",$H$19)*1,"")))</f>
        <v/>
      </c>
      <c r="BG245" t="str">
        <f>IF(OR(BG$23="",ISNA($B245)),"",IF(ISBLANK($B245),"",IFERROR(_xll.BDP(TICKER,"DEEP_MEASURE_PERIOD_BROKER_VALUE","DEEP_MEASURE_ID_OVERRIDE",$C245,"DEEP_BROKER_ID_OVERRIDE",BG$24,"DEEP_PERIOD_OVERRIDE",$H$19)*1,"")))</f>
        <v/>
      </c>
      <c r="BH245" t="str">
        <f>IF(OR(BH$23="",ISNA($B245)),"",IF(ISBLANK($B245),"",IFERROR(_xll.BDP(TICKER,"DEEP_MEASURE_PERIOD_BROKER_VALUE","DEEP_MEASURE_ID_OVERRIDE",$C245,"DEEP_BROKER_ID_OVERRIDE",BH$24,"DEEP_PERIOD_OVERRIDE",$H$19)*1,"")))</f>
        <v/>
      </c>
      <c r="BI245" t="str">
        <f>IF(OR(BI$23="",ISNA($B245)),"",IF(ISBLANK($B245),"",IFERROR(_xll.BDP(TICKER,"DEEP_MEASURE_PERIOD_BROKER_VALUE","DEEP_MEASURE_ID_OVERRIDE",$C245,"DEEP_BROKER_ID_OVERRIDE",BI$24,"DEEP_PERIOD_OVERRIDE",$H$19)*1,"")))</f>
        <v/>
      </c>
      <c r="BJ245" t="str">
        <f>IF(OR(BJ$23="",ISNA($B245)),"",IF(ISBLANK($B245),"",IFERROR(_xll.BDP(TICKER,"DEEP_MEASURE_PERIOD_BROKER_VALUE","DEEP_MEASURE_ID_OVERRIDE",$C245,"DEEP_BROKER_ID_OVERRIDE",BJ$24,"DEEP_PERIOD_OVERRIDE",$H$19)*1,"")))</f>
        <v/>
      </c>
      <c r="BK245" t="str">
        <f>IF(OR(BK$23="",ISNA($B245)),"",IF(ISBLANK($B245),"",IFERROR(_xll.BDP(TICKER,"DEEP_MEASURE_PERIOD_BROKER_VALUE","DEEP_MEASURE_ID_OVERRIDE",$C245,"DEEP_BROKER_ID_OVERRIDE",BK$24,"DEEP_PERIOD_OVERRIDE",$H$19)*1,"")))</f>
        <v/>
      </c>
      <c r="BL245" t="str">
        <f>IF(OR(BL$23="",ISNA($B245)),"",IF(ISBLANK($B245),"",IFERROR(_xll.BDP(TICKER,"DEEP_MEASURE_PERIOD_BROKER_VALUE","DEEP_MEASURE_ID_OVERRIDE",$C245,"DEEP_BROKER_ID_OVERRIDE",BL$24,"DEEP_PERIOD_OVERRIDE",$H$19)*1,"")))</f>
        <v/>
      </c>
      <c r="BM245" t="str">
        <f>IF(OR(BM$23="",ISNA($B245)),"",IF(ISBLANK($B245),"",IFERROR(_xll.BDP(TICKER,"DEEP_MEASURE_PERIOD_BROKER_VALUE","DEEP_MEASURE_ID_OVERRIDE",$C245,"DEEP_BROKER_ID_OVERRIDE",BM$24,"DEEP_PERIOD_OVERRIDE",$H$19)*1,"")))</f>
        <v/>
      </c>
      <c r="BN245" t="str">
        <f>IF(OR(BN$23="",ISNA($B245)),"",IF(ISBLANK($B245),"",IFERROR(_xll.BDP(TICKER,"DEEP_MEASURE_PERIOD_BROKER_VALUE","DEEP_MEASURE_ID_OVERRIDE",$C245,"DEEP_BROKER_ID_OVERRIDE",BN$24,"DEEP_PERIOD_OVERRIDE",$H$19)*1,"")))</f>
        <v/>
      </c>
      <c r="BO245" t="str">
        <f>IF(OR(BO$23="",ISNA($B245)),"",IF(ISBLANK($B245),"",IFERROR(_xll.BDP(TICKER,"DEEP_MEASURE_PERIOD_BROKER_VALUE","DEEP_MEASURE_ID_OVERRIDE",$C245,"DEEP_BROKER_ID_OVERRIDE",BO$24,"DEEP_PERIOD_OVERRIDE",$H$19)*1,"")))</f>
        <v/>
      </c>
      <c r="BP245" t="str">
        <f>IF(OR(BP$23="",ISNA($B245)),"",IF(ISBLANK($B245),"",IFERROR(_xll.BDP(TICKER,"DEEP_MEASURE_PERIOD_BROKER_VALUE","DEEP_MEASURE_ID_OVERRIDE",$C245,"DEEP_BROKER_ID_OVERRIDE",BP$24,"DEEP_PERIOD_OVERRIDE",$H$19)*1,"")))</f>
        <v/>
      </c>
      <c r="BQ245" t="str">
        <f>IF(OR(BQ$23="",ISNA($B245)),"",IF(ISBLANK($B245),"",IFERROR(_xll.BDP(TICKER,"DEEP_MEASURE_PERIOD_BROKER_VALUE","DEEP_MEASURE_ID_OVERRIDE",$C245,"DEEP_BROKER_ID_OVERRIDE",BQ$24,"DEEP_PERIOD_OVERRIDE",$H$19)*1,"")))</f>
        <v/>
      </c>
      <c r="BR245" t="str">
        <f>IF(OR(BR$23="",ISNA($B245)),"",IF(ISBLANK($B245),"",IFERROR(_xll.BDP(TICKER,"DEEP_MEASURE_PERIOD_BROKER_VALUE","DEEP_MEASURE_ID_OVERRIDE",$C245,"DEEP_BROKER_ID_OVERRIDE",BR$24,"DEEP_PERIOD_OVERRIDE",$H$19)*1,"")))</f>
        <v/>
      </c>
      <c r="BS245" t="str">
        <f>IF(OR(BS$23="",ISNA($B245)),"",IF(ISBLANK($B245),"",IFERROR(_xll.BDP(TICKER,"DEEP_MEASURE_PERIOD_BROKER_VALUE","DEEP_MEASURE_ID_OVERRIDE",$C245,"DEEP_BROKER_ID_OVERRIDE",BS$24,"DEEP_PERIOD_OVERRIDE",$H$19)*1,"")))</f>
        <v/>
      </c>
      <c r="BT245" t="str">
        <f>IF(OR(BT$23="",ISNA($B245)),"",IF(ISBLANK($B245),"",IFERROR(_xll.BDP(TICKER,"DEEP_MEASURE_PERIOD_BROKER_VALUE","DEEP_MEASURE_ID_OVERRIDE",$C245,"DEEP_BROKER_ID_OVERRIDE",BT$24,"DEEP_PERIOD_OVERRIDE",$H$19)*1,"")))</f>
        <v/>
      </c>
      <c r="BU245" t="str">
        <f>IF(OR(BU$23="",ISNA($B245)),"",IF(ISBLANK($B245),"",IFERROR(_xll.BDP(TICKER,"DEEP_MEASURE_PERIOD_BROKER_VALUE","DEEP_MEASURE_ID_OVERRIDE",$C245,"DEEP_BROKER_ID_OVERRIDE",BU$24,"DEEP_PERIOD_OVERRIDE",$H$19)*1,"")))</f>
        <v/>
      </c>
      <c r="BV245" t="str">
        <f>IF(OR(BV$23="",ISNA($B245)),"",IF(ISBLANK($B245),"",IFERROR(_xll.BDP(TICKER,"DEEP_MEASURE_PERIOD_BROKER_VALUE","DEEP_MEASURE_ID_OVERRIDE",$C245,"DEEP_BROKER_ID_OVERRIDE",BV$24,"DEEP_PERIOD_OVERRIDE",$H$19)*1,"")))</f>
        <v/>
      </c>
      <c r="BW245" t="str">
        <f>IF(OR(BW$23="",ISNA($B245)),"",IF(ISBLANK($B245),"",IFERROR(_xll.BDP(TICKER,"DEEP_MEASURE_PERIOD_BROKER_VALUE","DEEP_MEASURE_ID_OVERRIDE",$C245,"DEEP_BROKER_ID_OVERRIDE",BW$24,"DEEP_PERIOD_OVERRIDE",$H$19)*1,"")))</f>
        <v/>
      </c>
      <c r="BX245" t="str">
        <f>IF(OR(BX$23="",ISNA($B245)),"",IF(ISBLANK($B245),"",IFERROR(_xll.BDP(TICKER,"DEEP_MEASURE_PERIOD_BROKER_VALUE","DEEP_MEASURE_ID_OVERRIDE",$C245,"DEEP_BROKER_ID_OVERRIDE",BX$24,"DEEP_PERIOD_OVERRIDE",$H$19)*1,"")))</f>
        <v/>
      </c>
      <c r="BY245" t="str">
        <f>IF(OR(BY$23="",ISNA($B245)),"",IF(ISBLANK($B245),"",IFERROR(_xll.BDP(TICKER,"DEEP_MEASURE_PERIOD_BROKER_VALUE","DEEP_MEASURE_ID_OVERRIDE",$C245,"DEEP_BROKER_ID_OVERRIDE",BY$24,"DEEP_PERIOD_OVERRIDE",$H$19)*1,"")))</f>
        <v/>
      </c>
      <c r="BZ245" t="str">
        <f>IF(OR(BZ$23="",ISNA($B245)),"",IF(ISBLANK($B245),"",IFERROR(_xll.BDP(TICKER,"DEEP_MEASURE_PERIOD_BROKER_VALUE","DEEP_MEASURE_ID_OVERRIDE",$C245,"DEEP_BROKER_ID_OVERRIDE",BZ$24,"DEEP_PERIOD_OVERRIDE",$H$19)*1,"")))</f>
        <v/>
      </c>
    </row>
    <row r="246" spans="8:78" x14ac:dyDescent="0.25">
      <c r="H246" t="str">
        <f t="shared" si="4"/>
        <v/>
      </c>
      <c r="I246" t="str">
        <f>IF(OR(I$23="",ISNA($B246)),"",IF(ISBLANK($B246),"",IFERROR(_xll.BDP(TICKER,"DEEP_MEASURE_PERIOD_BROKER_VALUE","DEEP_MEASURE_ID_OVERRIDE",$C246,"DEEP_PERIOD_OVERRIDE",$H$19)*1,"")))</f>
        <v/>
      </c>
      <c r="J246" t="e">
        <f>IF(OR(J$23="",ISNA($B246)),"",IF(ISBLANK($B246),"",IFERROR(_xll.BDP(TICKER,"DEEP_MEASURE_PERIOD_BROKER_VALUE","DEEP_MEASURE_ID_OVERRIDE",$C246,"DEEP_BROKER_ID_OVERRIDE",J$24,"DEEP_PERIOD_OVERRIDE",$H$19)*1,"")))</f>
        <v>#REF!</v>
      </c>
      <c r="K246" t="str">
        <f>IF(OR(K$23="",ISNA($B246)),"",IF(ISBLANK($B246),"",IFERROR(_xll.BDP(TICKER,"DEEP_MEASURE_PERIOD_BROKER_VALUE","DEEP_MEASURE_ID_OVERRIDE",$C246,"DEEP_BROKER_ID_OVERRIDE",K$24,"DEEP_PERIOD_OVERRIDE",$H$19)*1,"")))</f>
        <v/>
      </c>
      <c r="L246" t="str">
        <f>IF(OR(L$23="",ISNA($B246)),"",IF(ISBLANK($B246),"",IFERROR(_xll.BDP(TICKER,"DEEP_MEASURE_PERIOD_BROKER_VALUE","DEEP_MEASURE_ID_OVERRIDE",$C246,"DEEP_BROKER_ID_OVERRIDE",L$24,"DEEP_PERIOD_OVERRIDE",$H$19)*1,"")))</f>
        <v/>
      </c>
      <c r="M246" t="str">
        <f>IF(OR(M$23="",ISNA($B246)),"",IF(ISBLANK($B246),"",IFERROR(_xll.BDP(TICKER,"DEEP_MEASURE_PERIOD_BROKER_VALUE","DEEP_MEASURE_ID_OVERRIDE",$C246,"DEEP_BROKER_ID_OVERRIDE",M$24,"DEEP_PERIOD_OVERRIDE",$H$19)*1,"")))</f>
        <v/>
      </c>
      <c r="N246" t="str">
        <f>IF(OR(N$23="",ISNA($B246)),"",IF(ISBLANK($B246),"",IFERROR(_xll.BDP(TICKER,"DEEP_MEASURE_PERIOD_BROKER_VALUE","DEEP_MEASURE_ID_OVERRIDE",$C246,"DEEP_BROKER_ID_OVERRIDE",N$24,"DEEP_PERIOD_OVERRIDE",$H$19)*1,"")))</f>
        <v/>
      </c>
      <c r="O246" t="str">
        <f>IF(OR(O$23="",ISNA($B246)),"",IF(ISBLANK($B246),"",IFERROR(_xll.BDP(TICKER,"DEEP_MEASURE_PERIOD_BROKER_VALUE","DEEP_MEASURE_ID_OVERRIDE",$C246,"DEEP_BROKER_ID_OVERRIDE",O$24,"DEEP_PERIOD_OVERRIDE",$H$19)*1,"")))</f>
        <v/>
      </c>
      <c r="P246" t="str">
        <f>IF(OR(P$23="",ISNA($B246)),"",IF(ISBLANK($B246),"",IFERROR(_xll.BDP(TICKER,"DEEP_MEASURE_PERIOD_BROKER_VALUE","DEEP_MEASURE_ID_OVERRIDE",$C246,"DEEP_BROKER_ID_OVERRIDE",P$24,"DEEP_PERIOD_OVERRIDE",$H$19)*1,"")))</f>
        <v/>
      </c>
      <c r="Q246" t="str">
        <f>IF(OR(Q$23="",ISNA($B246)),"",IF(ISBLANK($B246),"",IFERROR(_xll.BDP(TICKER,"DEEP_MEASURE_PERIOD_BROKER_VALUE","DEEP_MEASURE_ID_OVERRIDE",$C246,"DEEP_BROKER_ID_OVERRIDE",Q$24,"DEEP_PERIOD_OVERRIDE",$H$19)*1,"")))</f>
        <v/>
      </c>
      <c r="R246" t="str">
        <f>IF(OR(R$23="",ISNA($B246)),"",IF(ISBLANK($B246),"",IFERROR(_xll.BDP(TICKER,"DEEP_MEASURE_PERIOD_BROKER_VALUE","DEEP_MEASURE_ID_OVERRIDE",$C246,"DEEP_BROKER_ID_OVERRIDE",R$24,"DEEP_PERIOD_OVERRIDE",$H$19)*1,"")))</f>
        <v/>
      </c>
      <c r="S246" t="str">
        <f>IF(OR(S$23="",ISNA($B246)),"",IF(ISBLANK($B246),"",IFERROR(_xll.BDP(TICKER,"DEEP_MEASURE_PERIOD_BROKER_VALUE","DEEP_MEASURE_ID_OVERRIDE",$C246,"DEEP_BROKER_ID_OVERRIDE",S$24,"DEEP_PERIOD_OVERRIDE",$H$19)*1,"")))</f>
        <v/>
      </c>
      <c r="T246" t="str">
        <f>IF(OR(T$23="",ISNA($B246)),"",IF(ISBLANK($B246),"",IFERROR(_xll.BDP(TICKER,"DEEP_MEASURE_PERIOD_BROKER_VALUE","DEEP_MEASURE_ID_OVERRIDE",$C246,"DEEP_BROKER_ID_OVERRIDE",T$24,"DEEP_PERIOD_OVERRIDE",$H$19)*1,"")))</f>
        <v/>
      </c>
      <c r="U246" t="str">
        <f>IF(OR(U$23="",ISNA($B246)),"",IF(ISBLANK($B246),"",IFERROR(_xll.BDP(TICKER,"DEEP_MEASURE_PERIOD_BROKER_VALUE","DEEP_MEASURE_ID_OVERRIDE",$C246,"DEEP_BROKER_ID_OVERRIDE",U$24,"DEEP_PERIOD_OVERRIDE",$H$19)*1,"")))</f>
        <v/>
      </c>
      <c r="V246" t="str">
        <f>IF(OR(V$23="",ISNA($B246)),"",IF(ISBLANK($B246),"",IFERROR(_xll.BDP(TICKER,"DEEP_MEASURE_PERIOD_BROKER_VALUE","DEEP_MEASURE_ID_OVERRIDE",$C246,"DEEP_BROKER_ID_OVERRIDE",V$24,"DEEP_PERIOD_OVERRIDE",$H$19)*1,"")))</f>
        <v/>
      </c>
      <c r="W246" t="str">
        <f>IF(OR(W$23="",ISNA($B246)),"",IF(ISBLANK($B246),"",IFERROR(_xll.BDP(TICKER,"DEEP_MEASURE_PERIOD_BROKER_VALUE","DEEP_MEASURE_ID_OVERRIDE",$C246,"DEEP_BROKER_ID_OVERRIDE",W$24,"DEEP_PERIOD_OVERRIDE",$H$19)*1,"")))</f>
        <v/>
      </c>
      <c r="X246" t="str">
        <f>IF(OR(X$23="",ISNA($B246)),"",IF(ISBLANK($B246),"",IFERROR(_xll.BDP(TICKER,"DEEP_MEASURE_PERIOD_BROKER_VALUE","DEEP_MEASURE_ID_OVERRIDE",$C246,"DEEP_BROKER_ID_OVERRIDE",X$24,"DEEP_PERIOD_OVERRIDE",$H$19)*1,"")))</f>
        <v/>
      </c>
      <c r="Y246" t="str">
        <f>IF(OR(Y$23="",ISNA($B246)),"",IF(ISBLANK($B246),"",IFERROR(_xll.BDP(TICKER,"DEEP_MEASURE_PERIOD_BROKER_VALUE","DEEP_MEASURE_ID_OVERRIDE",$C246,"DEEP_BROKER_ID_OVERRIDE",Y$24,"DEEP_PERIOD_OVERRIDE",$H$19)*1,"")))</f>
        <v/>
      </c>
      <c r="Z246" t="str">
        <f>IF(OR(Z$23="",ISNA($B246)),"",IF(ISBLANK($B246),"",IFERROR(_xll.BDP(TICKER,"DEEP_MEASURE_PERIOD_BROKER_VALUE","DEEP_MEASURE_ID_OVERRIDE",$C246,"DEEP_BROKER_ID_OVERRIDE",Z$24,"DEEP_PERIOD_OVERRIDE",$H$19)*1,"")))</f>
        <v/>
      </c>
      <c r="AA246" t="str">
        <f>IF(OR(AA$23="",ISNA($B246)),"",IF(ISBLANK($B246),"",IFERROR(_xll.BDP(TICKER,"DEEP_MEASURE_PERIOD_BROKER_VALUE","DEEP_MEASURE_ID_OVERRIDE",$C246,"DEEP_BROKER_ID_OVERRIDE",AA$24,"DEEP_PERIOD_OVERRIDE",$H$19)*1,"")))</f>
        <v/>
      </c>
      <c r="AB246" t="str">
        <f>IF(OR(AB$23="",ISNA($B246)),"",IF(ISBLANK($B246),"",IFERROR(_xll.BDP(TICKER,"DEEP_MEASURE_PERIOD_BROKER_VALUE","DEEP_MEASURE_ID_OVERRIDE",$C246,"DEEP_BROKER_ID_OVERRIDE",AB$24,"DEEP_PERIOD_OVERRIDE",$H$19)*1,"")))</f>
        <v/>
      </c>
      <c r="AC246" t="str">
        <f>IF(OR(AC$23="",ISNA($B246)),"",IF(ISBLANK($B246),"",IFERROR(_xll.BDP(TICKER,"DEEP_MEASURE_PERIOD_BROKER_VALUE","DEEP_MEASURE_ID_OVERRIDE",$C246,"DEEP_BROKER_ID_OVERRIDE",AC$24,"DEEP_PERIOD_OVERRIDE",$H$19)*1,"")))</f>
        <v/>
      </c>
      <c r="AD246" t="str">
        <f>IF(OR(AD$23="",ISNA($B246)),"",IF(ISBLANK($B246),"",IFERROR(_xll.BDP(TICKER,"DEEP_MEASURE_PERIOD_BROKER_VALUE","DEEP_MEASURE_ID_OVERRIDE",$C246,"DEEP_BROKER_ID_OVERRIDE",AD$24,"DEEP_PERIOD_OVERRIDE",$H$19)*1,"")))</f>
        <v/>
      </c>
      <c r="AE246" t="str">
        <f>IF(OR(AE$23="",ISNA($B246)),"",IF(ISBLANK($B246),"",IFERROR(_xll.BDP(TICKER,"DEEP_MEASURE_PERIOD_BROKER_VALUE","DEEP_MEASURE_ID_OVERRIDE",$C246,"DEEP_BROKER_ID_OVERRIDE",AE$24,"DEEP_PERIOD_OVERRIDE",$H$19)*1,"")))</f>
        <v/>
      </c>
      <c r="AF246" t="str">
        <f>IF(OR(AF$23="",ISNA($B246)),"",IF(ISBLANK($B246),"",IFERROR(_xll.BDP(TICKER,"DEEP_MEASURE_PERIOD_BROKER_VALUE","DEEP_MEASURE_ID_OVERRIDE",$C246,"DEEP_BROKER_ID_OVERRIDE",AF$24,"DEEP_PERIOD_OVERRIDE",$H$19)*1,"")))</f>
        <v/>
      </c>
      <c r="AG246" t="str">
        <f>IF(OR(AG$23="",ISNA($B246)),"",IF(ISBLANK($B246),"",IFERROR(_xll.BDP(TICKER,"DEEP_MEASURE_PERIOD_BROKER_VALUE","DEEP_MEASURE_ID_OVERRIDE",$C246,"DEEP_BROKER_ID_OVERRIDE",AG$24,"DEEP_PERIOD_OVERRIDE",$H$19)*1,"")))</f>
        <v/>
      </c>
      <c r="AH246" t="str">
        <f>IF(OR(AH$23="",ISNA($B246)),"",IF(ISBLANK($B246),"",IFERROR(_xll.BDP(TICKER,"DEEP_MEASURE_PERIOD_BROKER_VALUE","DEEP_MEASURE_ID_OVERRIDE",$C246,"DEEP_BROKER_ID_OVERRIDE",AH$24,"DEEP_PERIOD_OVERRIDE",$H$19)*1,"")))</f>
        <v/>
      </c>
      <c r="AI246" t="str">
        <f>IF(OR(AI$23="",ISNA($B246)),"",IF(ISBLANK($B246),"",IFERROR(_xll.BDP(TICKER,"DEEP_MEASURE_PERIOD_BROKER_VALUE","DEEP_MEASURE_ID_OVERRIDE",$C246,"DEEP_BROKER_ID_OVERRIDE",AI$24,"DEEP_PERIOD_OVERRIDE",$H$19)*1,"")))</f>
        <v/>
      </c>
      <c r="AJ246" t="str">
        <f>IF(OR(AJ$23="",ISNA($B246)),"",IF(ISBLANK($B246),"",IFERROR(_xll.BDP(TICKER,"DEEP_MEASURE_PERIOD_BROKER_VALUE","DEEP_MEASURE_ID_OVERRIDE",$C246,"DEEP_BROKER_ID_OVERRIDE",AJ$24,"DEEP_PERIOD_OVERRIDE",$H$19)*1,"")))</f>
        <v/>
      </c>
      <c r="AK246" t="str">
        <f>IF(OR(AK$23="",ISNA($B246)),"",IF(ISBLANK($B246),"",IFERROR(_xll.BDP(TICKER,"DEEP_MEASURE_PERIOD_BROKER_VALUE","DEEP_MEASURE_ID_OVERRIDE",$C246,"DEEP_BROKER_ID_OVERRIDE",AK$24,"DEEP_PERIOD_OVERRIDE",$H$19)*1,"")))</f>
        <v/>
      </c>
      <c r="AL246" t="str">
        <f>IF(OR(AL$23="",ISNA($B246)),"",IF(ISBLANK($B246),"",IFERROR(_xll.BDP(TICKER,"DEEP_MEASURE_PERIOD_BROKER_VALUE","DEEP_MEASURE_ID_OVERRIDE",$C246,"DEEP_BROKER_ID_OVERRIDE",AL$24,"DEEP_PERIOD_OVERRIDE",$H$19)*1,"")))</f>
        <v/>
      </c>
      <c r="AM246" t="str">
        <f>IF(OR(AM$23="",ISNA($B246)),"",IF(ISBLANK($B246),"",IFERROR(_xll.BDP(TICKER,"DEEP_MEASURE_PERIOD_BROKER_VALUE","DEEP_MEASURE_ID_OVERRIDE",$C246,"DEEP_BROKER_ID_OVERRIDE",AM$24,"DEEP_PERIOD_OVERRIDE",$H$19)*1,"")))</f>
        <v/>
      </c>
      <c r="AN246" t="str">
        <f>IF(OR(AN$23="",ISNA($B246)),"",IF(ISBLANK($B246),"",IFERROR(_xll.BDP(TICKER,"DEEP_MEASURE_PERIOD_BROKER_VALUE","DEEP_MEASURE_ID_OVERRIDE",$C246,"DEEP_BROKER_ID_OVERRIDE",AN$24,"DEEP_PERIOD_OVERRIDE",$H$19)*1,"")))</f>
        <v/>
      </c>
      <c r="AO246" t="str">
        <f>IF(OR(AO$23="",ISNA($B246)),"",IF(ISBLANK($B246),"",IFERROR(_xll.BDP(TICKER,"DEEP_MEASURE_PERIOD_BROKER_VALUE","DEEP_MEASURE_ID_OVERRIDE",$C246,"DEEP_BROKER_ID_OVERRIDE",AO$24,"DEEP_PERIOD_OVERRIDE",$H$19)*1,"")))</f>
        <v/>
      </c>
      <c r="AP246" t="str">
        <f>IF(OR(AP$23="",ISNA($B246)),"",IF(ISBLANK($B246),"",IFERROR(_xll.BDP(TICKER,"DEEP_MEASURE_PERIOD_BROKER_VALUE","DEEP_MEASURE_ID_OVERRIDE",$C246,"DEEP_BROKER_ID_OVERRIDE",AP$24,"DEEP_PERIOD_OVERRIDE",$H$19)*1,"")))</f>
        <v/>
      </c>
      <c r="AQ246" t="str">
        <f>IF(OR(AQ$23="",ISNA($B246)),"",IF(ISBLANK($B246),"",IFERROR(_xll.BDP(TICKER,"DEEP_MEASURE_PERIOD_BROKER_VALUE","DEEP_MEASURE_ID_OVERRIDE",$C246,"DEEP_BROKER_ID_OVERRIDE",AQ$24,"DEEP_PERIOD_OVERRIDE",$H$19)*1,"")))</f>
        <v/>
      </c>
      <c r="AR246" t="str">
        <f>IF(OR(AR$23="",ISNA($B246)),"",IF(ISBLANK($B246),"",IFERROR(_xll.BDP(TICKER,"DEEP_MEASURE_PERIOD_BROKER_VALUE","DEEP_MEASURE_ID_OVERRIDE",$C246,"DEEP_BROKER_ID_OVERRIDE",AR$24,"DEEP_PERIOD_OVERRIDE",$H$19)*1,"")))</f>
        <v/>
      </c>
      <c r="AS246" t="str">
        <f>IF(OR(AS$23="",ISNA($B246)),"",IF(ISBLANK($B246),"",IFERROR(_xll.BDP(TICKER,"DEEP_MEASURE_PERIOD_BROKER_VALUE","DEEP_MEASURE_ID_OVERRIDE",$C246,"DEEP_BROKER_ID_OVERRIDE",AS$24,"DEEP_PERIOD_OVERRIDE",$H$19)*1,"")))</f>
        <v/>
      </c>
      <c r="AT246" t="str">
        <f>IF(OR(AT$23="",ISNA($B246)),"",IF(ISBLANK($B246),"",IFERROR(_xll.BDP(TICKER,"DEEP_MEASURE_PERIOD_BROKER_VALUE","DEEP_MEASURE_ID_OVERRIDE",$C246,"DEEP_BROKER_ID_OVERRIDE",AT$24,"DEEP_PERIOD_OVERRIDE",$H$19)*1,"")))</f>
        <v/>
      </c>
      <c r="AU246" t="str">
        <f>IF(OR(AU$23="",ISNA($B246)),"",IF(ISBLANK($B246),"",IFERROR(_xll.BDP(TICKER,"DEEP_MEASURE_PERIOD_BROKER_VALUE","DEEP_MEASURE_ID_OVERRIDE",$C246,"DEEP_BROKER_ID_OVERRIDE",AU$24,"DEEP_PERIOD_OVERRIDE",$H$19)*1,"")))</f>
        <v/>
      </c>
      <c r="AV246" t="str">
        <f>IF(OR(AV$23="",ISNA($B246)),"",IF(ISBLANK($B246),"",IFERROR(_xll.BDP(TICKER,"DEEP_MEASURE_PERIOD_BROKER_VALUE","DEEP_MEASURE_ID_OVERRIDE",$C246,"DEEP_BROKER_ID_OVERRIDE",AV$24,"DEEP_PERIOD_OVERRIDE",$H$19)*1,"")))</f>
        <v/>
      </c>
      <c r="AW246" t="str">
        <f>IF(OR(AW$23="",ISNA($B246)),"",IF(ISBLANK($B246),"",IFERROR(_xll.BDP(TICKER,"DEEP_MEASURE_PERIOD_BROKER_VALUE","DEEP_MEASURE_ID_OVERRIDE",$C246,"DEEP_BROKER_ID_OVERRIDE",AW$24,"DEEP_PERIOD_OVERRIDE",$H$19)*1,"")))</f>
        <v/>
      </c>
      <c r="AX246" t="str">
        <f>IF(OR(AX$23="",ISNA($B246)),"",IF(ISBLANK($B246),"",IFERROR(_xll.BDP(TICKER,"DEEP_MEASURE_PERIOD_BROKER_VALUE","DEEP_MEASURE_ID_OVERRIDE",$C246,"DEEP_BROKER_ID_OVERRIDE",AX$24,"DEEP_PERIOD_OVERRIDE",$H$19)*1,"")))</f>
        <v/>
      </c>
      <c r="AY246" t="str">
        <f>IF(OR(AY$23="",ISNA($B246)),"",IF(ISBLANK($B246),"",IFERROR(_xll.BDP(TICKER,"DEEP_MEASURE_PERIOD_BROKER_VALUE","DEEP_MEASURE_ID_OVERRIDE",$C246,"DEEP_BROKER_ID_OVERRIDE",AY$24,"DEEP_PERIOD_OVERRIDE",$H$19)*1,"")))</f>
        <v/>
      </c>
      <c r="AZ246" t="str">
        <f>IF(OR(AZ$23="",ISNA($B246)),"",IF(ISBLANK($B246),"",IFERROR(_xll.BDP(TICKER,"DEEP_MEASURE_PERIOD_BROKER_VALUE","DEEP_MEASURE_ID_OVERRIDE",$C246,"DEEP_BROKER_ID_OVERRIDE",AZ$24,"DEEP_PERIOD_OVERRIDE",$H$19)*1,"")))</f>
        <v/>
      </c>
      <c r="BA246" t="str">
        <f>IF(OR(BA$23="",ISNA($B246)),"",IF(ISBLANK($B246),"",IFERROR(_xll.BDP(TICKER,"DEEP_MEASURE_PERIOD_BROKER_VALUE","DEEP_MEASURE_ID_OVERRIDE",$C246,"DEEP_BROKER_ID_OVERRIDE",BA$24,"DEEP_PERIOD_OVERRIDE",$H$19)*1,"")))</f>
        <v/>
      </c>
      <c r="BB246" t="str">
        <f>IF(OR(BB$23="",ISNA($B246)),"",IF(ISBLANK($B246),"",IFERROR(_xll.BDP(TICKER,"DEEP_MEASURE_PERIOD_BROKER_VALUE","DEEP_MEASURE_ID_OVERRIDE",$C246,"DEEP_BROKER_ID_OVERRIDE",BB$24,"DEEP_PERIOD_OVERRIDE",$H$19)*1,"")))</f>
        <v/>
      </c>
      <c r="BC246" t="str">
        <f>IF(OR(BC$23="",ISNA($B246)),"",IF(ISBLANK($B246),"",IFERROR(_xll.BDP(TICKER,"DEEP_MEASURE_PERIOD_BROKER_VALUE","DEEP_MEASURE_ID_OVERRIDE",$C246,"DEEP_BROKER_ID_OVERRIDE",BC$24,"DEEP_PERIOD_OVERRIDE",$H$19)*1,"")))</f>
        <v/>
      </c>
      <c r="BD246" t="str">
        <f>IF(OR(BD$23="",ISNA($B246)),"",IF(ISBLANK($B246),"",IFERROR(_xll.BDP(TICKER,"DEEP_MEASURE_PERIOD_BROKER_VALUE","DEEP_MEASURE_ID_OVERRIDE",$C246,"DEEP_BROKER_ID_OVERRIDE",BD$24,"DEEP_PERIOD_OVERRIDE",$H$19)*1,"")))</f>
        <v/>
      </c>
      <c r="BE246" t="str">
        <f>IF(OR(BE$23="",ISNA($B246)),"",IF(ISBLANK($B246),"",IFERROR(_xll.BDP(TICKER,"DEEP_MEASURE_PERIOD_BROKER_VALUE","DEEP_MEASURE_ID_OVERRIDE",$C246,"DEEP_BROKER_ID_OVERRIDE",BE$24,"DEEP_PERIOD_OVERRIDE",$H$19)*1,"")))</f>
        <v/>
      </c>
      <c r="BF246" t="str">
        <f>IF(OR(BF$23="",ISNA($B246)),"",IF(ISBLANK($B246),"",IFERROR(_xll.BDP(TICKER,"DEEP_MEASURE_PERIOD_BROKER_VALUE","DEEP_MEASURE_ID_OVERRIDE",$C246,"DEEP_BROKER_ID_OVERRIDE",BF$24,"DEEP_PERIOD_OVERRIDE",$H$19)*1,"")))</f>
        <v/>
      </c>
      <c r="BG246" t="str">
        <f>IF(OR(BG$23="",ISNA($B246)),"",IF(ISBLANK($B246),"",IFERROR(_xll.BDP(TICKER,"DEEP_MEASURE_PERIOD_BROKER_VALUE","DEEP_MEASURE_ID_OVERRIDE",$C246,"DEEP_BROKER_ID_OVERRIDE",BG$24,"DEEP_PERIOD_OVERRIDE",$H$19)*1,"")))</f>
        <v/>
      </c>
      <c r="BH246" t="str">
        <f>IF(OR(BH$23="",ISNA($B246)),"",IF(ISBLANK($B246),"",IFERROR(_xll.BDP(TICKER,"DEEP_MEASURE_PERIOD_BROKER_VALUE","DEEP_MEASURE_ID_OVERRIDE",$C246,"DEEP_BROKER_ID_OVERRIDE",BH$24,"DEEP_PERIOD_OVERRIDE",$H$19)*1,"")))</f>
        <v/>
      </c>
      <c r="BI246" t="str">
        <f>IF(OR(BI$23="",ISNA($B246)),"",IF(ISBLANK($B246),"",IFERROR(_xll.BDP(TICKER,"DEEP_MEASURE_PERIOD_BROKER_VALUE","DEEP_MEASURE_ID_OVERRIDE",$C246,"DEEP_BROKER_ID_OVERRIDE",BI$24,"DEEP_PERIOD_OVERRIDE",$H$19)*1,"")))</f>
        <v/>
      </c>
      <c r="BJ246" t="str">
        <f>IF(OR(BJ$23="",ISNA($B246)),"",IF(ISBLANK($B246),"",IFERROR(_xll.BDP(TICKER,"DEEP_MEASURE_PERIOD_BROKER_VALUE","DEEP_MEASURE_ID_OVERRIDE",$C246,"DEEP_BROKER_ID_OVERRIDE",BJ$24,"DEEP_PERIOD_OVERRIDE",$H$19)*1,"")))</f>
        <v/>
      </c>
      <c r="BK246" t="str">
        <f>IF(OR(BK$23="",ISNA($B246)),"",IF(ISBLANK($B246),"",IFERROR(_xll.BDP(TICKER,"DEEP_MEASURE_PERIOD_BROKER_VALUE","DEEP_MEASURE_ID_OVERRIDE",$C246,"DEEP_BROKER_ID_OVERRIDE",BK$24,"DEEP_PERIOD_OVERRIDE",$H$19)*1,"")))</f>
        <v/>
      </c>
      <c r="BL246" t="str">
        <f>IF(OR(BL$23="",ISNA($B246)),"",IF(ISBLANK($B246),"",IFERROR(_xll.BDP(TICKER,"DEEP_MEASURE_PERIOD_BROKER_VALUE","DEEP_MEASURE_ID_OVERRIDE",$C246,"DEEP_BROKER_ID_OVERRIDE",BL$24,"DEEP_PERIOD_OVERRIDE",$H$19)*1,"")))</f>
        <v/>
      </c>
      <c r="BM246" t="str">
        <f>IF(OR(BM$23="",ISNA($B246)),"",IF(ISBLANK($B246),"",IFERROR(_xll.BDP(TICKER,"DEEP_MEASURE_PERIOD_BROKER_VALUE","DEEP_MEASURE_ID_OVERRIDE",$C246,"DEEP_BROKER_ID_OVERRIDE",BM$24,"DEEP_PERIOD_OVERRIDE",$H$19)*1,"")))</f>
        <v/>
      </c>
      <c r="BN246" t="str">
        <f>IF(OR(BN$23="",ISNA($B246)),"",IF(ISBLANK($B246),"",IFERROR(_xll.BDP(TICKER,"DEEP_MEASURE_PERIOD_BROKER_VALUE","DEEP_MEASURE_ID_OVERRIDE",$C246,"DEEP_BROKER_ID_OVERRIDE",BN$24,"DEEP_PERIOD_OVERRIDE",$H$19)*1,"")))</f>
        <v/>
      </c>
      <c r="BO246" t="str">
        <f>IF(OR(BO$23="",ISNA($B246)),"",IF(ISBLANK($B246),"",IFERROR(_xll.BDP(TICKER,"DEEP_MEASURE_PERIOD_BROKER_VALUE","DEEP_MEASURE_ID_OVERRIDE",$C246,"DEEP_BROKER_ID_OVERRIDE",BO$24,"DEEP_PERIOD_OVERRIDE",$H$19)*1,"")))</f>
        <v/>
      </c>
      <c r="BP246" t="str">
        <f>IF(OR(BP$23="",ISNA($B246)),"",IF(ISBLANK($B246),"",IFERROR(_xll.BDP(TICKER,"DEEP_MEASURE_PERIOD_BROKER_VALUE","DEEP_MEASURE_ID_OVERRIDE",$C246,"DEEP_BROKER_ID_OVERRIDE",BP$24,"DEEP_PERIOD_OVERRIDE",$H$19)*1,"")))</f>
        <v/>
      </c>
      <c r="BQ246" t="str">
        <f>IF(OR(BQ$23="",ISNA($B246)),"",IF(ISBLANK($B246),"",IFERROR(_xll.BDP(TICKER,"DEEP_MEASURE_PERIOD_BROKER_VALUE","DEEP_MEASURE_ID_OVERRIDE",$C246,"DEEP_BROKER_ID_OVERRIDE",BQ$24,"DEEP_PERIOD_OVERRIDE",$H$19)*1,"")))</f>
        <v/>
      </c>
      <c r="BR246" t="str">
        <f>IF(OR(BR$23="",ISNA($B246)),"",IF(ISBLANK($B246),"",IFERROR(_xll.BDP(TICKER,"DEEP_MEASURE_PERIOD_BROKER_VALUE","DEEP_MEASURE_ID_OVERRIDE",$C246,"DEEP_BROKER_ID_OVERRIDE",BR$24,"DEEP_PERIOD_OVERRIDE",$H$19)*1,"")))</f>
        <v/>
      </c>
      <c r="BS246" t="str">
        <f>IF(OR(BS$23="",ISNA($B246)),"",IF(ISBLANK($B246),"",IFERROR(_xll.BDP(TICKER,"DEEP_MEASURE_PERIOD_BROKER_VALUE","DEEP_MEASURE_ID_OVERRIDE",$C246,"DEEP_BROKER_ID_OVERRIDE",BS$24,"DEEP_PERIOD_OVERRIDE",$H$19)*1,"")))</f>
        <v/>
      </c>
      <c r="BT246" t="str">
        <f>IF(OR(BT$23="",ISNA($B246)),"",IF(ISBLANK($B246),"",IFERROR(_xll.BDP(TICKER,"DEEP_MEASURE_PERIOD_BROKER_VALUE","DEEP_MEASURE_ID_OVERRIDE",$C246,"DEEP_BROKER_ID_OVERRIDE",BT$24,"DEEP_PERIOD_OVERRIDE",$H$19)*1,"")))</f>
        <v/>
      </c>
      <c r="BU246" t="str">
        <f>IF(OR(BU$23="",ISNA($B246)),"",IF(ISBLANK($B246),"",IFERROR(_xll.BDP(TICKER,"DEEP_MEASURE_PERIOD_BROKER_VALUE","DEEP_MEASURE_ID_OVERRIDE",$C246,"DEEP_BROKER_ID_OVERRIDE",BU$24,"DEEP_PERIOD_OVERRIDE",$H$19)*1,"")))</f>
        <v/>
      </c>
      <c r="BV246" t="str">
        <f>IF(OR(BV$23="",ISNA($B246)),"",IF(ISBLANK($B246),"",IFERROR(_xll.BDP(TICKER,"DEEP_MEASURE_PERIOD_BROKER_VALUE","DEEP_MEASURE_ID_OVERRIDE",$C246,"DEEP_BROKER_ID_OVERRIDE",BV$24,"DEEP_PERIOD_OVERRIDE",$H$19)*1,"")))</f>
        <v/>
      </c>
      <c r="BW246" t="str">
        <f>IF(OR(BW$23="",ISNA($B246)),"",IF(ISBLANK($B246),"",IFERROR(_xll.BDP(TICKER,"DEEP_MEASURE_PERIOD_BROKER_VALUE","DEEP_MEASURE_ID_OVERRIDE",$C246,"DEEP_BROKER_ID_OVERRIDE",BW$24,"DEEP_PERIOD_OVERRIDE",$H$19)*1,"")))</f>
        <v/>
      </c>
      <c r="BX246" t="str">
        <f>IF(OR(BX$23="",ISNA($B246)),"",IF(ISBLANK($B246),"",IFERROR(_xll.BDP(TICKER,"DEEP_MEASURE_PERIOD_BROKER_VALUE","DEEP_MEASURE_ID_OVERRIDE",$C246,"DEEP_BROKER_ID_OVERRIDE",BX$24,"DEEP_PERIOD_OVERRIDE",$H$19)*1,"")))</f>
        <v/>
      </c>
      <c r="BY246" t="str">
        <f>IF(OR(BY$23="",ISNA($B246)),"",IF(ISBLANK($B246),"",IFERROR(_xll.BDP(TICKER,"DEEP_MEASURE_PERIOD_BROKER_VALUE","DEEP_MEASURE_ID_OVERRIDE",$C246,"DEEP_BROKER_ID_OVERRIDE",BY$24,"DEEP_PERIOD_OVERRIDE",$H$19)*1,"")))</f>
        <v/>
      </c>
      <c r="BZ246" t="str">
        <f>IF(OR(BZ$23="",ISNA($B246)),"",IF(ISBLANK($B246),"",IFERROR(_xll.BDP(TICKER,"DEEP_MEASURE_PERIOD_BROKER_VALUE","DEEP_MEASURE_ID_OVERRIDE",$C246,"DEEP_BROKER_ID_OVERRIDE",BZ$24,"DEEP_PERIOD_OVERRIDE",$H$19)*1,"")))</f>
        <v/>
      </c>
    </row>
    <row r="247" spans="8:78" x14ac:dyDescent="0.25">
      <c r="H247" t="str">
        <f t="shared" si="4"/>
        <v/>
      </c>
      <c r="I247" t="str">
        <f>IF(OR(I$23="",ISNA($B247)),"",IF(ISBLANK($B247),"",IFERROR(_xll.BDP(TICKER,"DEEP_MEASURE_PERIOD_BROKER_VALUE","DEEP_MEASURE_ID_OVERRIDE",$C247,"DEEP_PERIOD_OVERRIDE",$H$19)*1,"")))</f>
        <v/>
      </c>
      <c r="J247" t="e">
        <f>IF(OR(J$23="",ISNA($B247)),"",IF(ISBLANK($B247),"",IFERROR(_xll.BDP(TICKER,"DEEP_MEASURE_PERIOD_BROKER_VALUE","DEEP_MEASURE_ID_OVERRIDE",$C247,"DEEP_BROKER_ID_OVERRIDE",J$24,"DEEP_PERIOD_OVERRIDE",$H$19)*1,"")))</f>
        <v>#REF!</v>
      </c>
      <c r="K247" t="str">
        <f>IF(OR(K$23="",ISNA($B247)),"",IF(ISBLANK($B247),"",IFERROR(_xll.BDP(TICKER,"DEEP_MEASURE_PERIOD_BROKER_VALUE","DEEP_MEASURE_ID_OVERRIDE",$C247,"DEEP_BROKER_ID_OVERRIDE",K$24,"DEEP_PERIOD_OVERRIDE",$H$19)*1,"")))</f>
        <v/>
      </c>
      <c r="L247" t="str">
        <f>IF(OR(L$23="",ISNA($B247)),"",IF(ISBLANK($B247),"",IFERROR(_xll.BDP(TICKER,"DEEP_MEASURE_PERIOD_BROKER_VALUE","DEEP_MEASURE_ID_OVERRIDE",$C247,"DEEP_BROKER_ID_OVERRIDE",L$24,"DEEP_PERIOD_OVERRIDE",$H$19)*1,"")))</f>
        <v/>
      </c>
      <c r="M247" t="str">
        <f>IF(OR(M$23="",ISNA($B247)),"",IF(ISBLANK($B247),"",IFERROR(_xll.BDP(TICKER,"DEEP_MEASURE_PERIOD_BROKER_VALUE","DEEP_MEASURE_ID_OVERRIDE",$C247,"DEEP_BROKER_ID_OVERRIDE",M$24,"DEEP_PERIOD_OVERRIDE",$H$19)*1,"")))</f>
        <v/>
      </c>
      <c r="N247" t="str">
        <f>IF(OR(N$23="",ISNA($B247)),"",IF(ISBLANK($B247),"",IFERROR(_xll.BDP(TICKER,"DEEP_MEASURE_PERIOD_BROKER_VALUE","DEEP_MEASURE_ID_OVERRIDE",$C247,"DEEP_BROKER_ID_OVERRIDE",N$24,"DEEP_PERIOD_OVERRIDE",$H$19)*1,"")))</f>
        <v/>
      </c>
      <c r="O247" t="str">
        <f>IF(OR(O$23="",ISNA($B247)),"",IF(ISBLANK($B247),"",IFERROR(_xll.BDP(TICKER,"DEEP_MEASURE_PERIOD_BROKER_VALUE","DEEP_MEASURE_ID_OVERRIDE",$C247,"DEEP_BROKER_ID_OVERRIDE",O$24,"DEEP_PERIOD_OVERRIDE",$H$19)*1,"")))</f>
        <v/>
      </c>
      <c r="P247" t="str">
        <f>IF(OR(P$23="",ISNA($B247)),"",IF(ISBLANK($B247),"",IFERROR(_xll.BDP(TICKER,"DEEP_MEASURE_PERIOD_BROKER_VALUE","DEEP_MEASURE_ID_OVERRIDE",$C247,"DEEP_BROKER_ID_OVERRIDE",P$24,"DEEP_PERIOD_OVERRIDE",$H$19)*1,"")))</f>
        <v/>
      </c>
      <c r="Q247" t="str">
        <f>IF(OR(Q$23="",ISNA($B247)),"",IF(ISBLANK($B247),"",IFERROR(_xll.BDP(TICKER,"DEEP_MEASURE_PERIOD_BROKER_VALUE","DEEP_MEASURE_ID_OVERRIDE",$C247,"DEEP_BROKER_ID_OVERRIDE",Q$24,"DEEP_PERIOD_OVERRIDE",$H$19)*1,"")))</f>
        <v/>
      </c>
      <c r="R247" t="str">
        <f>IF(OR(R$23="",ISNA($B247)),"",IF(ISBLANK($B247),"",IFERROR(_xll.BDP(TICKER,"DEEP_MEASURE_PERIOD_BROKER_VALUE","DEEP_MEASURE_ID_OVERRIDE",$C247,"DEEP_BROKER_ID_OVERRIDE",R$24,"DEEP_PERIOD_OVERRIDE",$H$19)*1,"")))</f>
        <v/>
      </c>
      <c r="S247" t="str">
        <f>IF(OR(S$23="",ISNA($B247)),"",IF(ISBLANK($B247),"",IFERROR(_xll.BDP(TICKER,"DEEP_MEASURE_PERIOD_BROKER_VALUE","DEEP_MEASURE_ID_OVERRIDE",$C247,"DEEP_BROKER_ID_OVERRIDE",S$24,"DEEP_PERIOD_OVERRIDE",$H$19)*1,"")))</f>
        <v/>
      </c>
      <c r="T247" t="str">
        <f>IF(OR(T$23="",ISNA($B247)),"",IF(ISBLANK($B247),"",IFERROR(_xll.BDP(TICKER,"DEEP_MEASURE_PERIOD_BROKER_VALUE","DEEP_MEASURE_ID_OVERRIDE",$C247,"DEEP_BROKER_ID_OVERRIDE",T$24,"DEEP_PERIOD_OVERRIDE",$H$19)*1,"")))</f>
        <v/>
      </c>
      <c r="U247" t="str">
        <f>IF(OR(U$23="",ISNA($B247)),"",IF(ISBLANK($B247),"",IFERROR(_xll.BDP(TICKER,"DEEP_MEASURE_PERIOD_BROKER_VALUE","DEEP_MEASURE_ID_OVERRIDE",$C247,"DEEP_BROKER_ID_OVERRIDE",U$24,"DEEP_PERIOD_OVERRIDE",$H$19)*1,"")))</f>
        <v/>
      </c>
      <c r="V247" t="str">
        <f>IF(OR(V$23="",ISNA($B247)),"",IF(ISBLANK($B247),"",IFERROR(_xll.BDP(TICKER,"DEEP_MEASURE_PERIOD_BROKER_VALUE","DEEP_MEASURE_ID_OVERRIDE",$C247,"DEEP_BROKER_ID_OVERRIDE",V$24,"DEEP_PERIOD_OVERRIDE",$H$19)*1,"")))</f>
        <v/>
      </c>
      <c r="W247" t="str">
        <f>IF(OR(W$23="",ISNA($B247)),"",IF(ISBLANK($B247),"",IFERROR(_xll.BDP(TICKER,"DEEP_MEASURE_PERIOD_BROKER_VALUE","DEEP_MEASURE_ID_OVERRIDE",$C247,"DEEP_BROKER_ID_OVERRIDE",W$24,"DEEP_PERIOD_OVERRIDE",$H$19)*1,"")))</f>
        <v/>
      </c>
      <c r="X247" t="str">
        <f>IF(OR(X$23="",ISNA($B247)),"",IF(ISBLANK($B247),"",IFERROR(_xll.BDP(TICKER,"DEEP_MEASURE_PERIOD_BROKER_VALUE","DEEP_MEASURE_ID_OVERRIDE",$C247,"DEEP_BROKER_ID_OVERRIDE",X$24,"DEEP_PERIOD_OVERRIDE",$H$19)*1,"")))</f>
        <v/>
      </c>
      <c r="Y247" t="str">
        <f>IF(OR(Y$23="",ISNA($B247)),"",IF(ISBLANK($B247),"",IFERROR(_xll.BDP(TICKER,"DEEP_MEASURE_PERIOD_BROKER_VALUE","DEEP_MEASURE_ID_OVERRIDE",$C247,"DEEP_BROKER_ID_OVERRIDE",Y$24,"DEEP_PERIOD_OVERRIDE",$H$19)*1,"")))</f>
        <v/>
      </c>
      <c r="Z247" t="str">
        <f>IF(OR(Z$23="",ISNA($B247)),"",IF(ISBLANK($B247),"",IFERROR(_xll.BDP(TICKER,"DEEP_MEASURE_PERIOD_BROKER_VALUE","DEEP_MEASURE_ID_OVERRIDE",$C247,"DEEP_BROKER_ID_OVERRIDE",Z$24,"DEEP_PERIOD_OVERRIDE",$H$19)*1,"")))</f>
        <v/>
      </c>
      <c r="AA247" t="str">
        <f>IF(OR(AA$23="",ISNA($B247)),"",IF(ISBLANK($B247),"",IFERROR(_xll.BDP(TICKER,"DEEP_MEASURE_PERIOD_BROKER_VALUE","DEEP_MEASURE_ID_OVERRIDE",$C247,"DEEP_BROKER_ID_OVERRIDE",AA$24,"DEEP_PERIOD_OVERRIDE",$H$19)*1,"")))</f>
        <v/>
      </c>
      <c r="AB247" t="str">
        <f>IF(OR(AB$23="",ISNA($B247)),"",IF(ISBLANK($B247),"",IFERROR(_xll.BDP(TICKER,"DEEP_MEASURE_PERIOD_BROKER_VALUE","DEEP_MEASURE_ID_OVERRIDE",$C247,"DEEP_BROKER_ID_OVERRIDE",AB$24,"DEEP_PERIOD_OVERRIDE",$H$19)*1,"")))</f>
        <v/>
      </c>
      <c r="AC247" t="str">
        <f>IF(OR(AC$23="",ISNA($B247)),"",IF(ISBLANK($B247),"",IFERROR(_xll.BDP(TICKER,"DEEP_MEASURE_PERIOD_BROKER_VALUE","DEEP_MEASURE_ID_OVERRIDE",$C247,"DEEP_BROKER_ID_OVERRIDE",AC$24,"DEEP_PERIOD_OVERRIDE",$H$19)*1,"")))</f>
        <v/>
      </c>
      <c r="AD247" t="str">
        <f>IF(OR(AD$23="",ISNA($B247)),"",IF(ISBLANK($B247),"",IFERROR(_xll.BDP(TICKER,"DEEP_MEASURE_PERIOD_BROKER_VALUE","DEEP_MEASURE_ID_OVERRIDE",$C247,"DEEP_BROKER_ID_OVERRIDE",AD$24,"DEEP_PERIOD_OVERRIDE",$H$19)*1,"")))</f>
        <v/>
      </c>
      <c r="AE247" t="str">
        <f>IF(OR(AE$23="",ISNA($B247)),"",IF(ISBLANK($B247),"",IFERROR(_xll.BDP(TICKER,"DEEP_MEASURE_PERIOD_BROKER_VALUE","DEEP_MEASURE_ID_OVERRIDE",$C247,"DEEP_BROKER_ID_OVERRIDE",AE$24,"DEEP_PERIOD_OVERRIDE",$H$19)*1,"")))</f>
        <v/>
      </c>
      <c r="AF247" t="str">
        <f>IF(OR(AF$23="",ISNA($B247)),"",IF(ISBLANK($B247),"",IFERROR(_xll.BDP(TICKER,"DEEP_MEASURE_PERIOD_BROKER_VALUE","DEEP_MEASURE_ID_OVERRIDE",$C247,"DEEP_BROKER_ID_OVERRIDE",AF$24,"DEEP_PERIOD_OVERRIDE",$H$19)*1,"")))</f>
        <v/>
      </c>
      <c r="AG247" t="str">
        <f>IF(OR(AG$23="",ISNA($B247)),"",IF(ISBLANK($B247),"",IFERROR(_xll.BDP(TICKER,"DEEP_MEASURE_PERIOD_BROKER_VALUE","DEEP_MEASURE_ID_OVERRIDE",$C247,"DEEP_BROKER_ID_OVERRIDE",AG$24,"DEEP_PERIOD_OVERRIDE",$H$19)*1,"")))</f>
        <v/>
      </c>
      <c r="AH247" t="str">
        <f>IF(OR(AH$23="",ISNA($B247)),"",IF(ISBLANK($B247),"",IFERROR(_xll.BDP(TICKER,"DEEP_MEASURE_PERIOD_BROKER_VALUE","DEEP_MEASURE_ID_OVERRIDE",$C247,"DEEP_BROKER_ID_OVERRIDE",AH$24,"DEEP_PERIOD_OVERRIDE",$H$19)*1,"")))</f>
        <v/>
      </c>
      <c r="AI247" t="str">
        <f>IF(OR(AI$23="",ISNA($B247)),"",IF(ISBLANK($B247),"",IFERROR(_xll.BDP(TICKER,"DEEP_MEASURE_PERIOD_BROKER_VALUE","DEEP_MEASURE_ID_OVERRIDE",$C247,"DEEP_BROKER_ID_OVERRIDE",AI$24,"DEEP_PERIOD_OVERRIDE",$H$19)*1,"")))</f>
        <v/>
      </c>
      <c r="AJ247" t="str">
        <f>IF(OR(AJ$23="",ISNA($B247)),"",IF(ISBLANK($B247),"",IFERROR(_xll.BDP(TICKER,"DEEP_MEASURE_PERIOD_BROKER_VALUE","DEEP_MEASURE_ID_OVERRIDE",$C247,"DEEP_BROKER_ID_OVERRIDE",AJ$24,"DEEP_PERIOD_OVERRIDE",$H$19)*1,"")))</f>
        <v/>
      </c>
      <c r="AK247" t="str">
        <f>IF(OR(AK$23="",ISNA($B247)),"",IF(ISBLANK($B247),"",IFERROR(_xll.BDP(TICKER,"DEEP_MEASURE_PERIOD_BROKER_VALUE","DEEP_MEASURE_ID_OVERRIDE",$C247,"DEEP_BROKER_ID_OVERRIDE",AK$24,"DEEP_PERIOD_OVERRIDE",$H$19)*1,"")))</f>
        <v/>
      </c>
      <c r="AL247" t="str">
        <f>IF(OR(AL$23="",ISNA($B247)),"",IF(ISBLANK($B247),"",IFERROR(_xll.BDP(TICKER,"DEEP_MEASURE_PERIOD_BROKER_VALUE","DEEP_MEASURE_ID_OVERRIDE",$C247,"DEEP_BROKER_ID_OVERRIDE",AL$24,"DEEP_PERIOD_OVERRIDE",$H$19)*1,"")))</f>
        <v/>
      </c>
      <c r="AM247" t="str">
        <f>IF(OR(AM$23="",ISNA($B247)),"",IF(ISBLANK($B247),"",IFERROR(_xll.BDP(TICKER,"DEEP_MEASURE_PERIOD_BROKER_VALUE","DEEP_MEASURE_ID_OVERRIDE",$C247,"DEEP_BROKER_ID_OVERRIDE",AM$24,"DEEP_PERIOD_OVERRIDE",$H$19)*1,"")))</f>
        <v/>
      </c>
      <c r="AN247" t="str">
        <f>IF(OR(AN$23="",ISNA($B247)),"",IF(ISBLANK($B247),"",IFERROR(_xll.BDP(TICKER,"DEEP_MEASURE_PERIOD_BROKER_VALUE","DEEP_MEASURE_ID_OVERRIDE",$C247,"DEEP_BROKER_ID_OVERRIDE",AN$24,"DEEP_PERIOD_OVERRIDE",$H$19)*1,"")))</f>
        <v/>
      </c>
      <c r="AO247" t="str">
        <f>IF(OR(AO$23="",ISNA($B247)),"",IF(ISBLANK($B247),"",IFERROR(_xll.BDP(TICKER,"DEEP_MEASURE_PERIOD_BROKER_VALUE","DEEP_MEASURE_ID_OVERRIDE",$C247,"DEEP_BROKER_ID_OVERRIDE",AO$24,"DEEP_PERIOD_OVERRIDE",$H$19)*1,"")))</f>
        <v/>
      </c>
      <c r="AP247" t="str">
        <f>IF(OR(AP$23="",ISNA($B247)),"",IF(ISBLANK($B247),"",IFERROR(_xll.BDP(TICKER,"DEEP_MEASURE_PERIOD_BROKER_VALUE","DEEP_MEASURE_ID_OVERRIDE",$C247,"DEEP_BROKER_ID_OVERRIDE",AP$24,"DEEP_PERIOD_OVERRIDE",$H$19)*1,"")))</f>
        <v/>
      </c>
      <c r="AQ247" t="str">
        <f>IF(OR(AQ$23="",ISNA($B247)),"",IF(ISBLANK($B247),"",IFERROR(_xll.BDP(TICKER,"DEEP_MEASURE_PERIOD_BROKER_VALUE","DEEP_MEASURE_ID_OVERRIDE",$C247,"DEEP_BROKER_ID_OVERRIDE",AQ$24,"DEEP_PERIOD_OVERRIDE",$H$19)*1,"")))</f>
        <v/>
      </c>
      <c r="AR247" t="str">
        <f>IF(OR(AR$23="",ISNA($B247)),"",IF(ISBLANK($B247),"",IFERROR(_xll.BDP(TICKER,"DEEP_MEASURE_PERIOD_BROKER_VALUE","DEEP_MEASURE_ID_OVERRIDE",$C247,"DEEP_BROKER_ID_OVERRIDE",AR$24,"DEEP_PERIOD_OVERRIDE",$H$19)*1,"")))</f>
        <v/>
      </c>
      <c r="AS247" t="str">
        <f>IF(OR(AS$23="",ISNA($B247)),"",IF(ISBLANK($B247),"",IFERROR(_xll.BDP(TICKER,"DEEP_MEASURE_PERIOD_BROKER_VALUE","DEEP_MEASURE_ID_OVERRIDE",$C247,"DEEP_BROKER_ID_OVERRIDE",AS$24,"DEEP_PERIOD_OVERRIDE",$H$19)*1,"")))</f>
        <v/>
      </c>
      <c r="AT247" t="str">
        <f>IF(OR(AT$23="",ISNA($B247)),"",IF(ISBLANK($B247),"",IFERROR(_xll.BDP(TICKER,"DEEP_MEASURE_PERIOD_BROKER_VALUE","DEEP_MEASURE_ID_OVERRIDE",$C247,"DEEP_BROKER_ID_OVERRIDE",AT$24,"DEEP_PERIOD_OVERRIDE",$H$19)*1,"")))</f>
        <v/>
      </c>
      <c r="AU247" t="str">
        <f>IF(OR(AU$23="",ISNA($B247)),"",IF(ISBLANK($B247),"",IFERROR(_xll.BDP(TICKER,"DEEP_MEASURE_PERIOD_BROKER_VALUE","DEEP_MEASURE_ID_OVERRIDE",$C247,"DEEP_BROKER_ID_OVERRIDE",AU$24,"DEEP_PERIOD_OVERRIDE",$H$19)*1,"")))</f>
        <v/>
      </c>
      <c r="AV247" t="str">
        <f>IF(OR(AV$23="",ISNA($B247)),"",IF(ISBLANK($B247),"",IFERROR(_xll.BDP(TICKER,"DEEP_MEASURE_PERIOD_BROKER_VALUE","DEEP_MEASURE_ID_OVERRIDE",$C247,"DEEP_BROKER_ID_OVERRIDE",AV$24,"DEEP_PERIOD_OVERRIDE",$H$19)*1,"")))</f>
        <v/>
      </c>
      <c r="AW247" t="str">
        <f>IF(OR(AW$23="",ISNA($B247)),"",IF(ISBLANK($B247),"",IFERROR(_xll.BDP(TICKER,"DEEP_MEASURE_PERIOD_BROKER_VALUE","DEEP_MEASURE_ID_OVERRIDE",$C247,"DEEP_BROKER_ID_OVERRIDE",AW$24,"DEEP_PERIOD_OVERRIDE",$H$19)*1,"")))</f>
        <v/>
      </c>
      <c r="AX247" t="str">
        <f>IF(OR(AX$23="",ISNA($B247)),"",IF(ISBLANK($B247),"",IFERROR(_xll.BDP(TICKER,"DEEP_MEASURE_PERIOD_BROKER_VALUE","DEEP_MEASURE_ID_OVERRIDE",$C247,"DEEP_BROKER_ID_OVERRIDE",AX$24,"DEEP_PERIOD_OVERRIDE",$H$19)*1,"")))</f>
        <v/>
      </c>
      <c r="AY247" t="str">
        <f>IF(OR(AY$23="",ISNA($B247)),"",IF(ISBLANK($B247),"",IFERROR(_xll.BDP(TICKER,"DEEP_MEASURE_PERIOD_BROKER_VALUE","DEEP_MEASURE_ID_OVERRIDE",$C247,"DEEP_BROKER_ID_OVERRIDE",AY$24,"DEEP_PERIOD_OVERRIDE",$H$19)*1,"")))</f>
        <v/>
      </c>
      <c r="AZ247" t="str">
        <f>IF(OR(AZ$23="",ISNA($B247)),"",IF(ISBLANK($B247),"",IFERROR(_xll.BDP(TICKER,"DEEP_MEASURE_PERIOD_BROKER_VALUE","DEEP_MEASURE_ID_OVERRIDE",$C247,"DEEP_BROKER_ID_OVERRIDE",AZ$24,"DEEP_PERIOD_OVERRIDE",$H$19)*1,"")))</f>
        <v/>
      </c>
      <c r="BA247" t="str">
        <f>IF(OR(BA$23="",ISNA($B247)),"",IF(ISBLANK($B247),"",IFERROR(_xll.BDP(TICKER,"DEEP_MEASURE_PERIOD_BROKER_VALUE","DEEP_MEASURE_ID_OVERRIDE",$C247,"DEEP_BROKER_ID_OVERRIDE",BA$24,"DEEP_PERIOD_OVERRIDE",$H$19)*1,"")))</f>
        <v/>
      </c>
      <c r="BB247" t="str">
        <f>IF(OR(BB$23="",ISNA($B247)),"",IF(ISBLANK($B247),"",IFERROR(_xll.BDP(TICKER,"DEEP_MEASURE_PERIOD_BROKER_VALUE","DEEP_MEASURE_ID_OVERRIDE",$C247,"DEEP_BROKER_ID_OVERRIDE",BB$24,"DEEP_PERIOD_OVERRIDE",$H$19)*1,"")))</f>
        <v/>
      </c>
      <c r="BC247" t="str">
        <f>IF(OR(BC$23="",ISNA($B247)),"",IF(ISBLANK($B247),"",IFERROR(_xll.BDP(TICKER,"DEEP_MEASURE_PERIOD_BROKER_VALUE","DEEP_MEASURE_ID_OVERRIDE",$C247,"DEEP_BROKER_ID_OVERRIDE",BC$24,"DEEP_PERIOD_OVERRIDE",$H$19)*1,"")))</f>
        <v/>
      </c>
      <c r="BD247" t="str">
        <f>IF(OR(BD$23="",ISNA($B247)),"",IF(ISBLANK($B247),"",IFERROR(_xll.BDP(TICKER,"DEEP_MEASURE_PERIOD_BROKER_VALUE","DEEP_MEASURE_ID_OVERRIDE",$C247,"DEEP_BROKER_ID_OVERRIDE",BD$24,"DEEP_PERIOD_OVERRIDE",$H$19)*1,"")))</f>
        <v/>
      </c>
      <c r="BE247" t="str">
        <f>IF(OR(BE$23="",ISNA($B247)),"",IF(ISBLANK($B247),"",IFERROR(_xll.BDP(TICKER,"DEEP_MEASURE_PERIOD_BROKER_VALUE","DEEP_MEASURE_ID_OVERRIDE",$C247,"DEEP_BROKER_ID_OVERRIDE",BE$24,"DEEP_PERIOD_OVERRIDE",$H$19)*1,"")))</f>
        <v/>
      </c>
      <c r="BF247" t="str">
        <f>IF(OR(BF$23="",ISNA($B247)),"",IF(ISBLANK($B247),"",IFERROR(_xll.BDP(TICKER,"DEEP_MEASURE_PERIOD_BROKER_VALUE","DEEP_MEASURE_ID_OVERRIDE",$C247,"DEEP_BROKER_ID_OVERRIDE",BF$24,"DEEP_PERIOD_OVERRIDE",$H$19)*1,"")))</f>
        <v/>
      </c>
      <c r="BG247" t="str">
        <f>IF(OR(BG$23="",ISNA($B247)),"",IF(ISBLANK($B247),"",IFERROR(_xll.BDP(TICKER,"DEEP_MEASURE_PERIOD_BROKER_VALUE","DEEP_MEASURE_ID_OVERRIDE",$C247,"DEEP_BROKER_ID_OVERRIDE",BG$24,"DEEP_PERIOD_OVERRIDE",$H$19)*1,"")))</f>
        <v/>
      </c>
      <c r="BH247" t="str">
        <f>IF(OR(BH$23="",ISNA($B247)),"",IF(ISBLANK($B247),"",IFERROR(_xll.BDP(TICKER,"DEEP_MEASURE_PERIOD_BROKER_VALUE","DEEP_MEASURE_ID_OVERRIDE",$C247,"DEEP_BROKER_ID_OVERRIDE",BH$24,"DEEP_PERIOD_OVERRIDE",$H$19)*1,"")))</f>
        <v/>
      </c>
      <c r="BI247" t="str">
        <f>IF(OR(BI$23="",ISNA($B247)),"",IF(ISBLANK($B247),"",IFERROR(_xll.BDP(TICKER,"DEEP_MEASURE_PERIOD_BROKER_VALUE","DEEP_MEASURE_ID_OVERRIDE",$C247,"DEEP_BROKER_ID_OVERRIDE",BI$24,"DEEP_PERIOD_OVERRIDE",$H$19)*1,"")))</f>
        <v/>
      </c>
      <c r="BJ247" t="str">
        <f>IF(OR(BJ$23="",ISNA($B247)),"",IF(ISBLANK($B247),"",IFERROR(_xll.BDP(TICKER,"DEEP_MEASURE_PERIOD_BROKER_VALUE","DEEP_MEASURE_ID_OVERRIDE",$C247,"DEEP_BROKER_ID_OVERRIDE",BJ$24,"DEEP_PERIOD_OVERRIDE",$H$19)*1,"")))</f>
        <v/>
      </c>
      <c r="BK247" t="str">
        <f>IF(OR(BK$23="",ISNA($B247)),"",IF(ISBLANK($B247),"",IFERROR(_xll.BDP(TICKER,"DEEP_MEASURE_PERIOD_BROKER_VALUE","DEEP_MEASURE_ID_OVERRIDE",$C247,"DEEP_BROKER_ID_OVERRIDE",BK$24,"DEEP_PERIOD_OVERRIDE",$H$19)*1,"")))</f>
        <v/>
      </c>
      <c r="BL247" t="str">
        <f>IF(OR(BL$23="",ISNA($B247)),"",IF(ISBLANK($B247),"",IFERROR(_xll.BDP(TICKER,"DEEP_MEASURE_PERIOD_BROKER_VALUE","DEEP_MEASURE_ID_OVERRIDE",$C247,"DEEP_BROKER_ID_OVERRIDE",BL$24,"DEEP_PERIOD_OVERRIDE",$H$19)*1,"")))</f>
        <v/>
      </c>
      <c r="BM247" t="str">
        <f>IF(OR(BM$23="",ISNA($B247)),"",IF(ISBLANK($B247),"",IFERROR(_xll.BDP(TICKER,"DEEP_MEASURE_PERIOD_BROKER_VALUE","DEEP_MEASURE_ID_OVERRIDE",$C247,"DEEP_BROKER_ID_OVERRIDE",BM$24,"DEEP_PERIOD_OVERRIDE",$H$19)*1,"")))</f>
        <v/>
      </c>
      <c r="BN247" t="str">
        <f>IF(OR(BN$23="",ISNA($B247)),"",IF(ISBLANK($B247),"",IFERROR(_xll.BDP(TICKER,"DEEP_MEASURE_PERIOD_BROKER_VALUE","DEEP_MEASURE_ID_OVERRIDE",$C247,"DEEP_BROKER_ID_OVERRIDE",BN$24,"DEEP_PERIOD_OVERRIDE",$H$19)*1,"")))</f>
        <v/>
      </c>
      <c r="BO247" t="str">
        <f>IF(OR(BO$23="",ISNA($B247)),"",IF(ISBLANK($B247),"",IFERROR(_xll.BDP(TICKER,"DEEP_MEASURE_PERIOD_BROKER_VALUE","DEEP_MEASURE_ID_OVERRIDE",$C247,"DEEP_BROKER_ID_OVERRIDE",BO$24,"DEEP_PERIOD_OVERRIDE",$H$19)*1,"")))</f>
        <v/>
      </c>
      <c r="BP247" t="str">
        <f>IF(OR(BP$23="",ISNA($B247)),"",IF(ISBLANK($B247),"",IFERROR(_xll.BDP(TICKER,"DEEP_MEASURE_PERIOD_BROKER_VALUE","DEEP_MEASURE_ID_OVERRIDE",$C247,"DEEP_BROKER_ID_OVERRIDE",BP$24,"DEEP_PERIOD_OVERRIDE",$H$19)*1,"")))</f>
        <v/>
      </c>
      <c r="BQ247" t="str">
        <f>IF(OR(BQ$23="",ISNA($B247)),"",IF(ISBLANK($B247),"",IFERROR(_xll.BDP(TICKER,"DEEP_MEASURE_PERIOD_BROKER_VALUE","DEEP_MEASURE_ID_OVERRIDE",$C247,"DEEP_BROKER_ID_OVERRIDE",BQ$24,"DEEP_PERIOD_OVERRIDE",$H$19)*1,"")))</f>
        <v/>
      </c>
      <c r="BR247" t="str">
        <f>IF(OR(BR$23="",ISNA($B247)),"",IF(ISBLANK($B247),"",IFERROR(_xll.BDP(TICKER,"DEEP_MEASURE_PERIOD_BROKER_VALUE","DEEP_MEASURE_ID_OVERRIDE",$C247,"DEEP_BROKER_ID_OVERRIDE",BR$24,"DEEP_PERIOD_OVERRIDE",$H$19)*1,"")))</f>
        <v/>
      </c>
      <c r="BS247" t="str">
        <f>IF(OR(BS$23="",ISNA($B247)),"",IF(ISBLANK($B247),"",IFERROR(_xll.BDP(TICKER,"DEEP_MEASURE_PERIOD_BROKER_VALUE","DEEP_MEASURE_ID_OVERRIDE",$C247,"DEEP_BROKER_ID_OVERRIDE",BS$24,"DEEP_PERIOD_OVERRIDE",$H$19)*1,"")))</f>
        <v/>
      </c>
      <c r="BT247" t="str">
        <f>IF(OR(BT$23="",ISNA($B247)),"",IF(ISBLANK($B247),"",IFERROR(_xll.BDP(TICKER,"DEEP_MEASURE_PERIOD_BROKER_VALUE","DEEP_MEASURE_ID_OVERRIDE",$C247,"DEEP_BROKER_ID_OVERRIDE",BT$24,"DEEP_PERIOD_OVERRIDE",$H$19)*1,"")))</f>
        <v/>
      </c>
      <c r="BU247" t="str">
        <f>IF(OR(BU$23="",ISNA($B247)),"",IF(ISBLANK($B247),"",IFERROR(_xll.BDP(TICKER,"DEEP_MEASURE_PERIOD_BROKER_VALUE","DEEP_MEASURE_ID_OVERRIDE",$C247,"DEEP_BROKER_ID_OVERRIDE",BU$24,"DEEP_PERIOD_OVERRIDE",$H$19)*1,"")))</f>
        <v/>
      </c>
      <c r="BV247" t="str">
        <f>IF(OR(BV$23="",ISNA($B247)),"",IF(ISBLANK($B247),"",IFERROR(_xll.BDP(TICKER,"DEEP_MEASURE_PERIOD_BROKER_VALUE","DEEP_MEASURE_ID_OVERRIDE",$C247,"DEEP_BROKER_ID_OVERRIDE",BV$24,"DEEP_PERIOD_OVERRIDE",$H$19)*1,"")))</f>
        <v/>
      </c>
      <c r="BW247" t="str">
        <f>IF(OR(BW$23="",ISNA($B247)),"",IF(ISBLANK($B247),"",IFERROR(_xll.BDP(TICKER,"DEEP_MEASURE_PERIOD_BROKER_VALUE","DEEP_MEASURE_ID_OVERRIDE",$C247,"DEEP_BROKER_ID_OVERRIDE",BW$24,"DEEP_PERIOD_OVERRIDE",$H$19)*1,"")))</f>
        <v/>
      </c>
      <c r="BX247" t="str">
        <f>IF(OR(BX$23="",ISNA($B247)),"",IF(ISBLANK($B247),"",IFERROR(_xll.BDP(TICKER,"DEEP_MEASURE_PERIOD_BROKER_VALUE","DEEP_MEASURE_ID_OVERRIDE",$C247,"DEEP_BROKER_ID_OVERRIDE",BX$24,"DEEP_PERIOD_OVERRIDE",$H$19)*1,"")))</f>
        <v/>
      </c>
      <c r="BY247" t="str">
        <f>IF(OR(BY$23="",ISNA($B247)),"",IF(ISBLANK($B247),"",IFERROR(_xll.BDP(TICKER,"DEEP_MEASURE_PERIOD_BROKER_VALUE","DEEP_MEASURE_ID_OVERRIDE",$C247,"DEEP_BROKER_ID_OVERRIDE",BY$24,"DEEP_PERIOD_OVERRIDE",$H$19)*1,"")))</f>
        <v/>
      </c>
      <c r="BZ247" t="str">
        <f>IF(OR(BZ$23="",ISNA($B247)),"",IF(ISBLANK($B247),"",IFERROR(_xll.BDP(TICKER,"DEEP_MEASURE_PERIOD_BROKER_VALUE","DEEP_MEASURE_ID_OVERRIDE",$C247,"DEEP_BROKER_ID_OVERRIDE",BZ$24,"DEEP_PERIOD_OVERRIDE",$H$19)*1,"")))</f>
        <v/>
      </c>
    </row>
    <row r="248" spans="8:78" x14ac:dyDescent="0.25">
      <c r="H248" t="str">
        <f t="shared" si="4"/>
        <v/>
      </c>
      <c r="I248" t="str">
        <f>IF(OR(I$23="",ISNA($B248)),"",IF(ISBLANK($B248),"",IFERROR(_xll.BDP(TICKER,"DEEP_MEASURE_PERIOD_BROKER_VALUE","DEEP_MEASURE_ID_OVERRIDE",$C248,"DEEP_PERIOD_OVERRIDE",$H$19)*1,"")))</f>
        <v/>
      </c>
      <c r="J248" t="e">
        <f>IF(OR(J$23="",ISNA($B248)),"",IF(ISBLANK($B248),"",IFERROR(_xll.BDP(TICKER,"DEEP_MEASURE_PERIOD_BROKER_VALUE","DEEP_MEASURE_ID_OVERRIDE",$C248,"DEEP_BROKER_ID_OVERRIDE",J$24,"DEEP_PERIOD_OVERRIDE",$H$19)*1,"")))</f>
        <v>#REF!</v>
      </c>
      <c r="K248" t="str">
        <f>IF(OR(K$23="",ISNA($B248)),"",IF(ISBLANK($B248),"",IFERROR(_xll.BDP(TICKER,"DEEP_MEASURE_PERIOD_BROKER_VALUE","DEEP_MEASURE_ID_OVERRIDE",$C248,"DEEP_BROKER_ID_OVERRIDE",K$24,"DEEP_PERIOD_OVERRIDE",$H$19)*1,"")))</f>
        <v/>
      </c>
      <c r="L248" t="str">
        <f>IF(OR(L$23="",ISNA($B248)),"",IF(ISBLANK($B248),"",IFERROR(_xll.BDP(TICKER,"DEEP_MEASURE_PERIOD_BROKER_VALUE","DEEP_MEASURE_ID_OVERRIDE",$C248,"DEEP_BROKER_ID_OVERRIDE",L$24,"DEEP_PERIOD_OVERRIDE",$H$19)*1,"")))</f>
        <v/>
      </c>
      <c r="M248" t="str">
        <f>IF(OR(M$23="",ISNA($B248)),"",IF(ISBLANK($B248),"",IFERROR(_xll.BDP(TICKER,"DEEP_MEASURE_PERIOD_BROKER_VALUE","DEEP_MEASURE_ID_OVERRIDE",$C248,"DEEP_BROKER_ID_OVERRIDE",M$24,"DEEP_PERIOD_OVERRIDE",$H$19)*1,"")))</f>
        <v/>
      </c>
      <c r="N248" t="str">
        <f>IF(OR(N$23="",ISNA($B248)),"",IF(ISBLANK($B248),"",IFERROR(_xll.BDP(TICKER,"DEEP_MEASURE_PERIOD_BROKER_VALUE","DEEP_MEASURE_ID_OVERRIDE",$C248,"DEEP_BROKER_ID_OVERRIDE",N$24,"DEEP_PERIOD_OVERRIDE",$H$19)*1,"")))</f>
        <v/>
      </c>
      <c r="O248" t="str">
        <f>IF(OR(O$23="",ISNA($B248)),"",IF(ISBLANK($B248),"",IFERROR(_xll.BDP(TICKER,"DEEP_MEASURE_PERIOD_BROKER_VALUE","DEEP_MEASURE_ID_OVERRIDE",$C248,"DEEP_BROKER_ID_OVERRIDE",O$24,"DEEP_PERIOD_OVERRIDE",$H$19)*1,"")))</f>
        <v/>
      </c>
      <c r="P248" t="str">
        <f>IF(OR(P$23="",ISNA($B248)),"",IF(ISBLANK($B248),"",IFERROR(_xll.BDP(TICKER,"DEEP_MEASURE_PERIOD_BROKER_VALUE","DEEP_MEASURE_ID_OVERRIDE",$C248,"DEEP_BROKER_ID_OVERRIDE",P$24,"DEEP_PERIOD_OVERRIDE",$H$19)*1,"")))</f>
        <v/>
      </c>
      <c r="Q248" t="str">
        <f>IF(OR(Q$23="",ISNA($B248)),"",IF(ISBLANK($B248),"",IFERROR(_xll.BDP(TICKER,"DEEP_MEASURE_PERIOD_BROKER_VALUE","DEEP_MEASURE_ID_OVERRIDE",$C248,"DEEP_BROKER_ID_OVERRIDE",Q$24,"DEEP_PERIOD_OVERRIDE",$H$19)*1,"")))</f>
        <v/>
      </c>
      <c r="R248" t="str">
        <f>IF(OR(R$23="",ISNA($B248)),"",IF(ISBLANK($B248),"",IFERROR(_xll.BDP(TICKER,"DEEP_MEASURE_PERIOD_BROKER_VALUE","DEEP_MEASURE_ID_OVERRIDE",$C248,"DEEP_BROKER_ID_OVERRIDE",R$24,"DEEP_PERIOD_OVERRIDE",$H$19)*1,"")))</f>
        <v/>
      </c>
      <c r="S248" t="str">
        <f>IF(OR(S$23="",ISNA($B248)),"",IF(ISBLANK($B248),"",IFERROR(_xll.BDP(TICKER,"DEEP_MEASURE_PERIOD_BROKER_VALUE","DEEP_MEASURE_ID_OVERRIDE",$C248,"DEEP_BROKER_ID_OVERRIDE",S$24,"DEEP_PERIOD_OVERRIDE",$H$19)*1,"")))</f>
        <v/>
      </c>
      <c r="T248" t="str">
        <f>IF(OR(T$23="",ISNA($B248)),"",IF(ISBLANK($B248),"",IFERROR(_xll.BDP(TICKER,"DEEP_MEASURE_PERIOD_BROKER_VALUE","DEEP_MEASURE_ID_OVERRIDE",$C248,"DEEP_BROKER_ID_OVERRIDE",T$24,"DEEP_PERIOD_OVERRIDE",$H$19)*1,"")))</f>
        <v/>
      </c>
      <c r="U248" t="str">
        <f>IF(OR(U$23="",ISNA($B248)),"",IF(ISBLANK($B248),"",IFERROR(_xll.BDP(TICKER,"DEEP_MEASURE_PERIOD_BROKER_VALUE","DEEP_MEASURE_ID_OVERRIDE",$C248,"DEEP_BROKER_ID_OVERRIDE",U$24,"DEEP_PERIOD_OVERRIDE",$H$19)*1,"")))</f>
        <v/>
      </c>
      <c r="V248" t="str">
        <f>IF(OR(V$23="",ISNA($B248)),"",IF(ISBLANK($B248),"",IFERROR(_xll.BDP(TICKER,"DEEP_MEASURE_PERIOD_BROKER_VALUE","DEEP_MEASURE_ID_OVERRIDE",$C248,"DEEP_BROKER_ID_OVERRIDE",V$24,"DEEP_PERIOD_OVERRIDE",$H$19)*1,"")))</f>
        <v/>
      </c>
      <c r="W248" t="str">
        <f>IF(OR(W$23="",ISNA($B248)),"",IF(ISBLANK($B248),"",IFERROR(_xll.BDP(TICKER,"DEEP_MEASURE_PERIOD_BROKER_VALUE","DEEP_MEASURE_ID_OVERRIDE",$C248,"DEEP_BROKER_ID_OVERRIDE",W$24,"DEEP_PERIOD_OVERRIDE",$H$19)*1,"")))</f>
        <v/>
      </c>
      <c r="X248" t="str">
        <f>IF(OR(X$23="",ISNA($B248)),"",IF(ISBLANK($B248),"",IFERROR(_xll.BDP(TICKER,"DEEP_MEASURE_PERIOD_BROKER_VALUE","DEEP_MEASURE_ID_OVERRIDE",$C248,"DEEP_BROKER_ID_OVERRIDE",X$24,"DEEP_PERIOD_OVERRIDE",$H$19)*1,"")))</f>
        <v/>
      </c>
      <c r="Y248" t="str">
        <f>IF(OR(Y$23="",ISNA($B248)),"",IF(ISBLANK($B248),"",IFERROR(_xll.BDP(TICKER,"DEEP_MEASURE_PERIOD_BROKER_VALUE","DEEP_MEASURE_ID_OVERRIDE",$C248,"DEEP_BROKER_ID_OVERRIDE",Y$24,"DEEP_PERIOD_OVERRIDE",$H$19)*1,"")))</f>
        <v/>
      </c>
      <c r="Z248" t="str">
        <f>IF(OR(Z$23="",ISNA($B248)),"",IF(ISBLANK($B248),"",IFERROR(_xll.BDP(TICKER,"DEEP_MEASURE_PERIOD_BROKER_VALUE","DEEP_MEASURE_ID_OVERRIDE",$C248,"DEEP_BROKER_ID_OVERRIDE",Z$24,"DEEP_PERIOD_OVERRIDE",$H$19)*1,"")))</f>
        <v/>
      </c>
      <c r="AA248" t="str">
        <f>IF(OR(AA$23="",ISNA($B248)),"",IF(ISBLANK($B248),"",IFERROR(_xll.BDP(TICKER,"DEEP_MEASURE_PERIOD_BROKER_VALUE","DEEP_MEASURE_ID_OVERRIDE",$C248,"DEEP_BROKER_ID_OVERRIDE",AA$24,"DEEP_PERIOD_OVERRIDE",$H$19)*1,"")))</f>
        <v/>
      </c>
      <c r="AB248" t="str">
        <f>IF(OR(AB$23="",ISNA($B248)),"",IF(ISBLANK($B248),"",IFERROR(_xll.BDP(TICKER,"DEEP_MEASURE_PERIOD_BROKER_VALUE","DEEP_MEASURE_ID_OVERRIDE",$C248,"DEEP_BROKER_ID_OVERRIDE",AB$24,"DEEP_PERIOD_OVERRIDE",$H$19)*1,"")))</f>
        <v/>
      </c>
      <c r="AC248" t="str">
        <f>IF(OR(AC$23="",ISNA($B248)),"",IF(ISBLANK($B248),"",IFERROR(_xll.BDP(TICKER,"DEEP_MEASURE_PERIOD_BROKER_VALUE","DEEP_MEASURE_ID_OVERRIDE",$C248,"DEEP_BROKER_ID_OVERRIDE",AC$24,"DEEP_PERIOD_OVERRIDE",$H$19)*1,"")))</f>
        <v/>
      </c>
      <c r="AD248" t="str">
        <f>IF(OR(AD$23="",ISNA($B248)),"",IF(ISBLANK($B248),"",IFERROR(_xll.BDP(TICKER,"DEEP_MEASURE_PERIOD_BROKER_VALUE","DEEP_MEASURE_ID_OVERRIDE",$C248,"DEEP_BROKER_ID_OVERRIDE",AD$24,"DEEP_PERIOD_OVERRIDE",$H$19)*1,"")))</f>
        <v/>
      </c>
      <c r="AE248" t="str">
        <f>IF(OR(AE$23="",ISNA($B248)),"",IF(ISBLANK($B248),"",IFERROR(_xll.BDP(TICKER,"DEEP_MEASURE_PERIOD_BROKER_VALUE","DEEP_MEASURE_ID_OVERRIDE",$C248,"DEEP_BROKER_ID_OVERRIDE",AE$24,"DEEP_PERIOD_OVERRIDE",$H$19)*1,"")))</f>
        <v/>
      </c>
      <c r="AF248" t="str">
        <f>IF(OR(AF$23="",ISNA($B248)),"",IF(ISBLANK($B248),"",IFERROR(_xll.BDP(TICKER,"DEEP_MEASURE_PERIOD_BROKER_VALUE","DEEP_MEASURE_ID_OVERRIDE",$C248,"DEEP_BROKER_ID_OVERRIDE",AF$24,"DEEP_PERIOD_OVERRIDE",$H$19)*1,"")))</f>
        <v/>
      </c>
      <c r="AG248" t="str">
        <f>IF(OR(AG$23="",ISNA($B248)),"",IF(ISBLANK($B248),"",IFERROR(_xll.BDP(TICKER,"DEEP_MEASURE_PERIOD_BROKER_VALUE","DEEP_MEASURE_ID_OVERRIDE",$C248,"DEEP_BROKER_ID_OVERRIDE",AG$24,"DEEP_PERIOD_OVERRIDE",$H$19)*1,"")))</f>
        <v/>
      </c>
      <c r="AH248" t="str">
        <f>IF(OR(AH$23="",ISNA($B248)),"",IF(ISBLANK($B248),"",IFERROR(_xll.BDP(TICKER,"DEEP_MEASURE_PERIOD_BROKER_VALUE","DEEP_MEASURE_ID_OVERRIDE",$C248,"DEEP_BROKER_ID_OVERRIDE",AH$24,"DEEP_PERIOD_OVERRIDE",$H$19)*1,"")))</f>
        <v/>
      </c>
      <c r="AI248" t="str">
        <f>IF(OR(AI$23="",ISNA($B248)),"",IF(ISBLANK($B248),"",IFERROR(_xll.BDP(TICKER,"DEEP_MEASURE_PERIOD_BROKER_VALUE","DEEP_MEASURE_ID_OVERRIDE",$C248,"DEEP_BROKER_ID_OVERRIDE",AI$24,"DEEP_PERIOD_OVERRIDE",$H$19)*1,"")))</f>
        <v/>
      </c>
      <c r="AJ248" t="str">
        <f>IF(OR(AJ$23="",ISNA($B248)),"",IF(ISBLANK($B248),"",IFERROR(_xll.BDP(TICKER,"DEEP_MEASURE_PERIOD_BROKER_VALUE","DEEP_MEASURE_ID_OVERRIDE",$C248,"DEEP_BROKER_ID_OVERRIDE",AJ$24,"DEEP_PERIOD_OVERRIDE",$H$19)*1,"")))</f>
        <v/>
      </c>
      <c r="AK248" t="str">
        <f>IF(OR(AK$23="",ISNA($B248)),"",IF(ISBLANK($B248),"",IFERROR(_xll.BDP(TICKER,"DEEP_MEASURE_PERIOD_BROKER_VALUE","DEEP_MEASURE_ID_OVERRIDE",$C248,"DEEP_BROKER_ID_OVERRIDE",AK$24,"DEEP_PERIOD_OVERRIDE",$H$19)*1,"")))</f>
        <v/>
      </c>
      <c r="AL248" t="str">
        <f>IF(OR(AL$23="",ISNA($B248)),"",IF(ISBLANK($B248),"",IFERROR(_xll.BDP(TICKER,"DEEP_MEASURE_PERIOD_BROKER_VALUE","DEEP_MEASURE_ID_OVERRIDE",$C248,"DEEP_BROKER_ID_OVERRIDE",AL$24,"DEEP_PERIOD_OVERRIDE",$H$19)*1,"")))</f>
        <v/>
      </c>
      <c r="AM248" t="str">
        <f>IF(OR(AM$23="",ISNA($B248)),"",IF(ISBLANK($B248),"",IFERROR(_xll.BDP(TICKER,"DEEP_MEASURE_PERIOD_BROKER_VALUE","DEEP_MEASURE_ID_OVERRIDE",$C248,"DEEP_BROKER_ID_OVERRIDE",AM$24,"DEEP_PERIOD_OVERRIDE",$H$19)*1,"")))</f>
        <v/>
      </c>
      <c r="AN248" t="str">
        <f>IF(OR(AN$23="",ISNA($B248)),"",IF(ISBLANK($B248),"",IFERROR(_xll.BDP(TICKER,"DEEP_MEASURE_PERIOD_BROKER_VALUE","DEEP_MEASURE_ID_OVERRIDE",$C248,"DEEP_BROKER_ID_OVERRIDE",AN$24,"DEEP_PERIOD_OVERRIDE",$H$19)*1,"")))</f>
        <v/>
      </c>
      <c r="AO248" t="str">
        <f>IF(OR(AO$23="",ISNA($B248)),"",IF(ISBLANK($B248),"",IFERROR(_xll.BDP(TICKER,"DEEP_MEASURE_PERIOD_BROKER_VALUE","DEEP_MEASURE_ID_OVERRIDE",$C248,"DEEP_BROKER_ID_OVERRIDE",AO$24,"DEEP_PERIOD_OVERRIDE",$H$19)*1,"")))</f>
        <v/>
      </c>
      <c r="AP248" t="str">
        <f>IF(OR(AP$23="",ISNA($B248)),"",IF(ISBLANK($B248),"",IFERROR(_xll.BDP(TICKER,"DEEP_MEASURE_PERIOD_BROKER_VALUE","DEEP_MEASURE_ID_OVERRIDE",$C248,"DEEP_BROKER_ID_OVERRIDE",AP$24,"DEEP_PERIOD_OVERRIDE",$H$19)*1,"")))</f>
        <v/>
      </c>
      <c r="AQ248" t="str">
        <f>IF(OR(AQ$23="",ISNA($B248)),"",IF(ISBLANK($B248),"",IFERROR(_xll.BDP(TICKER,"DEEP_MEASURE_PERIOD_BROKER_VALUE","DEEP_MEASURE_ID_OVERRIDE",$C248,"DEEP_BROKER_ID_OVERRIDE",AQ$24,"DEEP_PERIOD_OVERRIDE",$H$19)*1,"")))</f>
        <v/>
      </c>
      <c r="AR248" t="str">
        <f>IF(OR(AR$23="",ISNA($B248)),"",IF(ISBLANK($B248),"",IFERROR(_xll.BDP(TICKER,"DEEP_MEASURE_PERIOD_BROKER_VALUE","DEEP_MEASURE_ID_OVERRIDE",$C248,"DEEP_BROKER_ID_OVERRIDE",AR$24,"DEEP_PERIOD_OVERRIDE",$H$19)*1,"")))</f>
        <v/>
      </c>
      <c r="AS248" t="str">
        <f>IF(OR(AS$23="",ISNA($B248)),"",IF(ISBLANK($B248),"",IFERROR(_xll.BDP(TICKER,"DEEP_MEASURE_PERIOD_BROKER_VALUE","DEEP_MEASURE_ID_OVERRIDE",$C248,"DEEP_BROKER_ID_OVERRIDE",AS$24,"DEEP_PERIOD_OVERRIDE",$H$19)*1,"")))</f>
        <v/>
      </c>
      <c r="AT248" t="str">
        <f>IF(OR(AT$23="",ISNA($B248)),"",IF(ISBLANK($B248),"",IFERROR(_xll.BDP(TICKER,"DEEP_MEASURE_PERIOD_BROKER_VALUE","DEEP_MEASURE_ID_OVERRIDE",$C248,"DEEP_BROKER_ID_OVERRIDE",AT$24,"DEEP_PERIOD_OVERRIDE",$H$19)*1,"")))</f>
        <v/>
      </c>
      <c r="AU248" t="str">
        <f>IF(OR(AU$23="",ISNA($B248)),"",IF(ISBLANK($B248),"",IFERROR(_xll.BDP(TICKER,"DEEP_MEASURE_PERIOD_BROKER_VALUE","DEEP_MEASURE_ID_OVERRIDE",$C248,"DEEP_BROKER_ID_OVERRIDE",AU$24,"DEEP_PERIOD_OVERRIDE",$H$19)*1,"")))</f>
        <v/>
      </c>
      <c r="AV248" t="str">
        <f>IF(OR(AV$23="",ISNA($B248)),"",IF(ISBLANK($B248),"",IFERROR(_xll.BDP(TICKER,"DEEP_MEASURE_PERIOD_BROKER_VALUE","DEEP_MEASURE_ID_OVERRIDE",$C248,"DEEP_BROKER_ID_OVERRIDE",AV$24,"DEEP_PERIOD_OVERRIDE",$H$19)*1,"")))</f>
        <v/>
      </c>
      <c r="AW248" t="str">
        <f>IF(OR(AW$23="",ISNA($B248)),"",IF(ISBLANK($B248),"",IFERROR(_xll.BDP(TICKER,"DEEP_MEASURE_PERIOD_BROKER_VALUE","DEEP_MEASURE_ID_OVERRIDE",$C248,"DEEP_BROKER_ID_OVERRIDE",AW$24,"DEEP_PERIOD_OVERRIDE",$H$19)*1,"")))</f>
        <v/>
      </c>
      <c r="AX248" t="str">
        <f>IF(OR(AX$23="",ISNA($B248)),"",IF(ISBLANK($B248),"",IFERROR(_xll.BDP(TICKER,"DEEP_MEASURE_PERIOD_BROKER_VALUE","DEEP_MEASURE_ID_OVERRIDE",$C248,"DEEP_BROKER_ID_OVERRIDE",AX$24,"DEEP_PERIOD_OVERRIDE",$H$19)*1,"")))</f>
        <v/>
      </c>
      <c r="AY248" t="str">
        <f>IF(OR(AY$23="",ISNA($B248)),"",IF(ISBLANK($B248),"",IFERROR(_xll.BDP(TICKER,"DEEP_MEASURE_PERIOD_BROKER_VALUE","DEEP_MEASURE_ID_OVERRIDE",$C248,"DEEP_BROKER_ID_OVERRIDE",AY$24,"DEEP_PERIOD_OVERRIDE",$H$19)*1,"")))</f>
        <v/>
      </c>
      <c r="AZ248" t="str">
        <f>IF(OR(AZ$23="",ISNA($B248)),"",IF(ISBLANK($B248),"",IFERROR(_xll.BDP(TICKER,"DEEP_MEASURE_PERIOD_BROKER_VALUE","DEEP_MEASURE_ID_OVERRIDE",$C248,"DEEP_BROKER_ID_OVERRIDE",AZ$24,"DEEP_PERIOD_OVERRIDE",$H$19)*1,"")))</f>
        <v/>
      </c>
      <c r="BA248" t="str">
        <f>IF(OR(BA$23="",ISNA($B248)),"",IF(ISBLANK($B248),"",IFERROR(_xll.BDP(TICKER,"DEEP_MEASURE_PERIOD_BROKER_VALUE","DEEP_MEASURE_ID_OVERRIDE",$C248,"DEEP_BROKER_ID_OVERRIDE",BA$24,"DEEP_PERIOD_OVERRIDE",$H$19)*1,"")))</f>
        <v/>
      </c>
      <c r="BB248" t="str">
        <f>IF(OR(BB$23="",ISNA($B248)),"",IF(ISBLANK($B248),"",IFERROR(_xll.BDP(TICKER,"DEEP_MEASURE_PERIOD_BROKER_VALUE","DEEP_MEASURE_ID_OVERRIDE",$C248,"DEEP_BROKER_ID_OVERRIDE",BB$24,"DEEP_PERIOD_OVERRIDE",$H$19)*1,"")))</f>
        <v/>
      </c>
      <c r="BC248" t="str">
        <f>IF(OR(BC$23="",ISNA($B248)),"",IF(ISBLANK($B248),"",IFERROR(_xll.BDP(TICKER,"DEEP_MEASURE_PERIOD_BROKER_VALUE","DEEP_MEASURE_ID_OVERRIDE",$C248,"DEEP_BROKER_ID_OVERRIDE",BC$24,"DEEP_PERIOD_OVERRIDE",$H$19)*1,"")))</f>
        <v/>
      </c>
      <c r="BD248" t="str">
        <f>IF(OR(BD$23="",ISNA($B248)),"",IF(ISBLANK($B248),"",IFERROR(_xll.BDP(TICKER,"DEEP_MEASURE_PERIOD_BROKER_VALUE","DEEP_MEASURE_ID_OVERRIDE",$C248,"DEEP_BROKER_ID_OVERRIDE",BD$24,"DEEP_PERIOD_OVERRIDE",$H$19)*1,"")))</f>
        <v/>
      </c>
      <c r="BE248" t="str">
        <f>IF(OR(BE$23="",ISNA($B248)),"",IF(ISBLANK($B248),"",IFERROR(_xll.BDP(TICKER,"DEEP_MEASURE_PERIOD_BROKER_VALUE","DEEP_MEASURE_ID_OVERRIDE",$C248,"DEEP_BROKER_ID_OVERRIDE",BE$24,"DEEP_PERIOD_OVERRIDE",$H$19)*1,"")))</f>
        <v/>
      </c>
      <c r="BF248" t="str">
        <f>IF(OR(BF$23="",ISNA($B248)),"",IF(ISBLANK($B248),"",IFERROR(_xll.BDP(TICKER,"DEEP_MEASURE_PERIOD_BROKER_VALUE","DEEP_MEASURE_ID_OVERRIDE",$C248,"DEEP_BROKER_ID_OVERRIDE",BF$24,"DEEP_PERIOD_OVERRIDE",$H$19)*1,"")))</f>
        <v/>
      </c>
      <c r="BG248" t="str">
        <f>IF(OR(BG$23="",ISNA($B248)),"",IF(ISBLANK($B248),"",IFERROR(_xll.BDP(TICKER,"DEEP_MEASURE_PERIOD_BROKER_VALUE","DEEP_MEASURE_ID_OVERRIDE",$C248,"DEEP_BROKER_ID_OVERRIDE",BG$24,"DEEP_PERIOD_OVERRIDE",$H$19)*1,"")))</f>
        <v/>
      </c>
      <c r="BH248" t="str">
        <f>IF(OR(BH$23="",ISNA($B248)),"",IF(ISBLANK($B248),"",IFERROR(_xll.BDP(TICKER,"DEEP_MEASURE_PERIOD_BROKER_VALUE","DEEP_MEASURE_ID_OVERRIDE",$C248,"DEEP_BROKER_ID_OVERRIDE",BH$24,"DEEP_PERIOD_OVERRIDE",$H$19)*1,"")))</f>
        <v/>
      </c>
      <c r="BI248" t="str">
        <f>IF(OR(BI$23="",ISNA($B248)),"",IF(ISBLANK($B248),"",IFERROR(_xll.BDP(TICKER,"DEEP_MEASURE_PERIOD_BROKER_VALUE","DEEP_MEASURE_ID_OVERRIDE",$C248,"DEEP_BROKER_ID_OVERRIDE",BI$24,"DEEP_PERIOD_OVERRIDE",$H$19)*1,"")))</f>
        <v/>
      </c>
      <c r="BJ248" t="str">
        <f>IF(OR(BJ$23="",ISNA($B248)),"",IF(ISBLANK($B248),"",IFERROR(_xll.BDP(TICKER,"DEEP_MEASURE_PERIOD_BROKER_VALUE","DEEP_MEASURE_ID_OVERRIDE",$C248,"DEEP_BROKER_ID_OVERRIDE",BJ$24,"DEEP_PERIOD_OVERRIDE",$H$19)*1,"")))</f>
        <v/>
      </c>
      <c r="BK248" t="str">
        <f>IF(OR(BK$23="",ISNA($B248)),"",IF(ISBLANK($B248),"",IFERROR(_xll.BDP(TICKER,"DEEP_MEASURE_PERIOD_BROKER_VALUE","DEEP_MEASURE_ID_OVERRIDE",$C248,"DEEP_BROKER_ID_OVERRIDE",BK$24,"DEEP_PERIOD_OVERRIDE",$H$19)*1,"")))</f>
        <v/>
      </c>
      <c r="BL248" t="str">
        <f>IF(OR(BL$23="",ISNA($B248)),"",IF(ISBLANK($B248),"",IFERROR(_xll.BDP(TICKER,"DEEP_MEASURE_PERIOD_BROKER_VALUE","DEEP_MEASURE_ID_OVERRIDE",$C248,"DEEP_BROKER_ID_OVERRIDE",BL$24,"DEEP_PERIOD_OVERRIDE",$H$19)*1,"")))</f>
        <v/>
      </c>
      <c r="BM248" t="str">
        <f>IF(OR(BM$23="",ISNA($B248)),"",IF(ISBLANK($B248),"",IFERROR(_xll.BDP(TICKER,"DEEP_MEASURE_PERIOD_BROKER_VALUE","DEEP_MEASURE_ID_OVERRIDE",$C248,"DEEP_BROKER_ID_OVERRIDE",BM$24,"DEEP_PERIOD_OVERRIDE",$H$19)*1,"")))</f>
        <v/>
      </c>
      <c r="BN248" t="str">
        <f>IF(OR(BN$23="",ISNA($B248)),"",IF(ISBLANK($B248),"",IFERROR(_xll.BDP(TICKER,"DEEP_MEASURE_PERIOD_BROKER_VALUE","DEEP_MEASURE_ID_OVERRIDE",$C248,"DEEP_BROKER_ID_OVERRIDE",BN$24,"DEEP_PERIOD_OVERRIDE",$H$19)*1,"")))</f>
        <v/>
      </c>
      <c r="BO248" t="str">
        <f>IF(OR(BO$23="",ISNA($B248)),"",IF(ISBLANK($B248),"",IFERROR(_xll.BDP(TICKER,"DEEP_MEASURE_PERIOD_BROKER_VALUE","DEEP_MEASURE_ID_OVERRIDE",$C248,"DEEP_BROKER_ID_OVERRIDE",BO$24,"DEEP_PERIOD_OVERRIDE",$H$19)*1,"")))</f>
        <v/>
      </c>
      <c r="BP248" t="str">
        <f>IF(OR(BP$23="",ISNA($B248)),"",IF(ISBLANK($B248),"",IFERROR(_xll.BDP(TICKER,"DEEP_MEASURE_PERIOD_BROKER_VALUE","DEEP_MEASURE_ID_OVERRIDE",$C248,"DEEP_BROKER_ID_OVERRIDE",BP$24,"DEEP_PERIOD_OVERRIDE",$H$19)*1,"")))</f>
        <v/>
      </c>
      <c r="BQ248" t="str">
        <f>IF(OR(BQ$23="",ISNA($B248)),"",IF(ISBLANK($B248),"",IFERROR(_xll.BDP(TICKER,"DEEP_MEASURE_PERIOD_BROKER_VALUE","DEEP_MEASURE_ID_OVERRIDE",$C248,"DEEP_BROKER_ID_OVERRIDE",BQ$24,"DEEP_PERIOD_OVERRIDE",$H$19)*1,"")))</f>
        <v/>
      </c>
      <c r="BR248" t="str">
        <f>IF(OR(BR$23="",ISNA($B248)),"",IF(ISBLANK($B248),"",IFERROR(_xll.BDP(TICKER,"DEEP_MEASURE_PERIOD_BROKER_VALUE","DEEP_MEASURE_ID_OVERRIDE",$C248,"DEEP_BROKER_ID_OVERRIDE",BR$24,"DEEP_PERIOD_OVERRIDE",$H$19)*1,"")))</f>
        <v/>
      </c>
      <c r="BS248" t="str">
        <f>IF(OR(BS$23="",ISNA($B248)),"",IF(ISBLANK($B248),"",IFERROR(_xll.BDP(TICKER,"DEEP_MEASURE_PERIOD_BROKER_VALUE","DEEP_MEASURE_ID_OVERRIDE",$C248,"DEEP_BROKER_ID_OVERRIDE",BS$24,"DEEP_PERIOD_OVERRIDE",$H$19)*1,"")))</f>
        <v/>
      </c>
      <c r="BT248" t="str">
        <f>IF(OR(BT$23="",ISNA($B248)),"",IF(ISBLANK($B248),"",IFERROR(_xll.BDP(TICKER,"DEEP_MEASURE_PERIOD_BROKER_VALUE","DEEP_MEASURE_ID_OVERRIDE",$C248,"DEEP_BROKER_ID_OVERRIDE",BT$24,"DEEP_PERIOD_OVERRIDE",$H$19)*1,"")))</f>
        <v/>
      </c>
      <c r="BU248" t="str">
        <f>IF(OR(BU$23="",ISNA($B248)),"",IF(ISBLANK($B248),"",IFERROR(_xll.BDP(TICKER,"DEEP_MEASURE_PERIOD_BROKER_VALUE","DEEP_MEASURE_ID_OVERRIDE",$C248,"DEEP_BROKER_ID_OVERRIDE",BU$24,"DEEP_PERIOD_OVERRIDE",$H$19)*1,"")))</f>
        <v/>
      </c>
      <c r="BV248" t="str">
        <f>IF(OR(BV$23="",ISNA($B248)),"",IF(ISBLANK($B248),"",IFERROR(_xll.BDP(TICKER,"DEEP_MEASURE_PERIOD_BROKER_VALUE","DEEP_MEASURE_ID_OVERRIDE",$C248,"DEEP_BROKER_ID_OVERRIDE",BV$24,"DEEP_PERIOD_OVERRIDE",$H$19)*1,"")))</f>
        <v/>
      </c>
      <c r="BW248" t="str">
        <f>IF(OR(BW$23="",ISNA($B248)),"",IF(ISBLANK($B248),"",IFERROR(_xll.BDP(TICKER,"DEEP_MEASURE_PERIOD_BROKER_VALUE","DEEP_MEASURE_ID_OVERRIDE",$C248,"DEEP_BROKER_ID_OVERRIDE",BW$24,"DEEP_PERIOD_OVERRIDE",$H$19)*1,"")))</f>
        <v/>
      </c>
      <c r="BX248" t="str">
        <f>IF(OR(BX$23="",ISNA($B248)),"",IF(ISBLANK($B248),"",IFERROR(_xll.BDP(TICKER,"DEEP_MEASURE_PERIOD_BROKER_VALUE","DEEP_MEASURE_ID_OVERRIDE",$C248,"DEEP_BROKER_ID_OVERRIDE",BX$24,"DEEP_PERIOD_OVERRIDE",$H$19)*1,"")))</f>
        <v/>
      </c>
      <c r="BY248" t="str">
        <f>IF(OR(BY$23="",ISNA($B248)),"",IF(ISBLANK($B248),"",IFERROR(_xll.BDP(TICKER,"DEEP_MEASURE_PERIOD_BROKER_VALUE","DEEP_MEASURE_ID_OVERRIDE",$C248,"DEEP_BROKER_ID_OVERRIDE",BY$24,"DEEP_PERIOD_OVERRIDE",$H$19)*1,"")))</f>
        <v/>
      </c>
      <c r="BZ248" t="str">
        <f>IF(OR(BZ$23="",ISNA($B248)),"",IF(ISBLANK($B248),"",IFERROR(_xll.BDP(TICKER,"DEEP_MEASURE_PERIOD_BROKER_VALUE","DEEP_MEASURE_ID_OVERRIDE",$C248,"DEEP_BROKER_ID_OVERRIDE",BZ$24,"DEEP_PERIOD_OVERRIDE",$H$19)*1,"")))</f>
        <v/>
      </c>
    </row>
    <row r="249" spans="8:78" x14ac:dyDescent="0.25">
      <c r="H249" t="str">
        <f t="shared" si="4"/>
        <v/>
      </c>
      <c r="I249" t="str">
        <f>IF(OR(I$23="",ISNA($B249)),"",IF(ISBLANK($B249),"",IFERROR(_xll.BDP(TICKER,"DEEP_MEASURE_PERIOD_BROKER_VALUE","DEEP_MEASURE_ID_OVERRIDE",$C249,"DEEP_PERIOD_OVERRIDE",$H$19)*1,"")))</f>
        <v/>
      </c>
      <c r="J249" t="e">
        <f>IF(OR(J$23="",ISNA($B249)),"",IF(ISBLANK($B249),"",IFERROR(_xll.BDP(TICKER,"DEEP_MEASURE_PERIOD_BROKER_VALUE","DEEP_MEASURE_ID_OVERRIDE",$C249,"DEEP_BROKER_ID_OVERRIDE",J$24,"DEEP_PERIOD_OVERRIDE",$H$19)*1,"")))</f>
        <v>#REF!</v>
      </c>
      <c r="K249" t="str">
        <f>IF(OR(K$23="",ISNA($B249)),"",IF(ISBLANK($B249),"",IFERROR(_xll.BDP(TICKER,"DEEP_MEASURE_PERIOD_BROKER_VALUE","DEEP_MEASURE_ID_OVERRIDE",$C249,"DEEP_BROKER_ID_OVERRIDE",K$24,"DEEP_PERIOD_OVERRIDE",$H$19)*1,"")))</f>
        <v/>
      </c>
      <c r="L249" t="str">
        <f>IF(OR(L$23="",ISNA($B249)),"",IF(ISBLANK($B249),"",IFERROR(_xll.BDP(TICKER,"DEEP_MEASURE_PERIOD_BROKER_VALUE","DEEP_MEASURE_ID_OVERRIDE",$C249,"DEEP_BROKER_ID_OVERRIDE",L$24,"DEEP_PERIOD_OVERRIDE",$H$19)*1,"")))</f>
        <v/>
      </c>
      <c r="M249" t="str">
        <f>IF(OR(M$23="",ISNA($B249)),"",IF(ISBLANK($B249),"",IFERROR(_xll.BDP(TICKER,"DEEP_MEASURE_PERIOD_BROKER_VALUE","DEEP_MEASURE_ID_OVERRIDE",$C249,"DEEP_BROKER_ID_OVERRIDE",M$24,"DEEP_PERIOD_OVERRIDE",$H$19)*1,"")))</f>
        <v/>
      </c>
      <c r="N249" t="str">
        <f>IF(OR(N$23="",ISNA($B249)),"",IF(ISBLANK($B249),"",IFERROR(_xll.BDP(TICKER,"DEEP_MEASURE_PERIOD_BROKER_VALUE","DEEP_MEASURE_ID_OVERRIDE",$C249,"DEEP_BROKER_ID_OVERRIDE",N$24,"DEEP_PERIOD_OVERRIDE",$H$19)*1,"")))</f>
        <v/>
      </c>
      <c r="O249" t="str">
        <f>IF(OR(O$23="",ISNA($B249)),"",IF(ISBLANK($B249),"",IFERROR(_xll.BDP(TICKER,"DEEP_MEASURE_PERIOD_BROKER_VALUE","DEEP_MEASURE_ID_OVERRIDE",$C249,"DEEP_BROKER_ID_OVERRIDE",O$24,"DEEP_PERIOD_OVERRIDE",$H$19)*1,"")))</f>
        <v/>
      </c>
      <c r="P249" t="str">
        <f>IF(OR(P$23="",ISNA($B249)),"",IF(ISBLANK($B249),"",IFERROR(_xll.BDP(TICKER,"DEEP_MEASURE_PERIOD_BROKER_VALUE","DEEP_MEASURE_ID_OVERRIDE",$C249,"DEEP_BROKER_ID_OVERRIDE",P$24,"DEEP_PERIOD_OVERRIDE",$H$19)*1,"")))</f>
        <v/>
      </c>
      <c r="Q249" t="str">
        <f>IF(OR(Q$23="",ISNA($B249)),"",IF(ISBLANK($B249),"",IFERROR(_xll.BDP(TICKER,"DEEP_MEASURE_PERIOD_BROKER_VALUE","DEEP_MEASURE_ID_OVERRIDE",$C249,"DEEP_BROKER_ID_OVERRIDE",Q$24,"DEEP_PERIOD_OVERRIDE",$H$19)*1,"")))</f>
        <v/>
      </c>
      <c r="R249" t="str">
        <f>IF(OR(R$23="",ISNA($B249)),"",IF(ISBLANK($B249),"",IFERROR(_xll.BDP(TICKER,"DEEP_MEASURE_PERIOD_BROKER_VALUE","DEEP_MEASURE_ID_OVERRIDE",$C249,"DEEP_BROKER_ID_OVERRIDE",R$24,"DEEP_PERIOD_OVERRIDE",$H$19)*1,"")))</f>
        <v/>
      </c>
      <c r="S249" t="str">
        <f>IF(OR(S$23="",ISNA($B249)),"",IF(ISBLANK($B249),"",IFERROR(_xll.BDP(TICKER,"DEEP_MEASURE_PERIOD_BROKER_VALUE","DEEP_MEASURE_ID_OVERRIDE",$C249,"DEEP_BROKER_ID_OVERRIDE",S$24,"DEEP_PERIOD_OVERRIDE",$H$19)*1,"")))</f>
        <v/>
      </c>
      <c r="T249" t="str">
        <f>IF(OR(T$23="",ISNA($B249)),"",IF(ISBLANK($B249),"",IFERROR(_xll.BDP(TICKER,"DEEP_MEASURE_PERIOD_BROKER_VALUE","DEEP_MEASURE_ID_OVERRIDE",$C249,"DEEP_BROKER_ID_OVERRIDE",T$24,"DEEP_PERIOD_OVERRIDE",$H$19)*1,"")))</f>
        <v/>
      </c>
      <c r="U249" t="str">
        <f>IF(OR(U$23="",ISNA($B249)),"",IF(ISBLANK($B249),"",IFERROR(_xll.BDP(TICKER,"DEEP_MEASURE_PERIOD_BROKER_VALUE","DEEP_MEASURE_ID_OVERRIDE",$C249,"DEEP_BROKER_ID_OVERRIDE",U$24,"DEEP_PERIOD_OVERRIDE",$H$19)*1,"")))</f>
        <v/>
      </c>
      <c r="V249" t="str">
        <f>IF(OR(V$23="",ISNA($B249)),"",IF(ISBLANK($B249),"",IFERROR(_xll.BDP(TICKER,"DEEP_MEASURE_PERIOD_BROKER_VALUE","DEEP_MEASURE_ID_OVERRIDE",$C249,"DEEP_BROKER_ID_OVERRIDE",V$24,"DEEP_PERIOD_OVERRIDE",$H$19)*1,"")))</f>
        <v/>
      </c>
      <c r="W249" t="str">
        <f>IF(OR(W$23="",ISNA($B249)),"",IF(ISBLANK($B249),"",IFERROR(_xll.BDP(TICKER,"DEEP_MEASURE_PERIOD_BROKER_VALUE","DEEP_MEASURE_ID_OVERRIDE",$C249,"DEEP_BROKER_ID_OVERRIDE",W$24,"DEEP_PERIOD_OVERRIDE",$H$19)*1,"")))</f>
        <v/>
      </c>
      <c r="X249" t="str">
        <f>IF(OR(X$23="",ISNA($B249)),"",IF(ISBLANK($B249),"",IFERROR(_xll.BDP(TICKER,"DEEP_MEASURE_PERIOD_BROKER_VALUE","DEEP_MEASURE_ID_OVERRIDE",$C249,"DEEP_BROKER_ID_OVERRIDE",X$24,"DEEP_PERIOD_OVERRIDE",$H$19)*1,"")))</f>
        <v/>
      </c>
      <c r="Y249" t="str">
        <f>IF(OR(Y$23="",ISNA($B249)),"",IF(ISBLANK($B249),"",IFERROR(_xll.BDP(TICKER,"DEEP_MEASURE_PERIOD_BROKER_VALUE","DEEP_MEASURE_ID_OVERRIDE",$C249,"DEEP_BROKER_ID_OVERRIDE",Y$24,"DEEP_PERIOD_OVERRIDE",$H$19)*1,"")))</f>
        <v/>
      </c>
      <c r="Z249" t="str">
        <f>IF(OR(Z$23="",ISNA($B249)),"",IF(ISBLANK($B249),"",IFERROR(_xll.BDP(TICKER,"DEEP_MEASURE_PERIOD_BROKER_VALUE","DEEP_MEASURE_ID_OVERRIDE",$C249,"DEEP_BROKER_ID_OVERRIDE",Z$24,"DEEP_PERIOD_OVERRIDE",$H$19)*1,"")))</f>
        <v/>
      </c>
      <c r="AA249" t="str">
        <f>IF(OR(AA$23="",ISNA($B249)),"",IF(ISBLANK($B249),"",IFERROR(_xll.BDP(TICKER,"DEEP_MEASURE_PERIOD_BROKER_VALUE","DEEP_MEASURE_ID_OVERRIDE",$C249,"DEEP_BROKER_ID_OVERRIDE",AA$24,"DEEP_PERIOD_OVERRIDE",$H$19)*1,"")))</f>
        <v/>
      </c>
      <c r="AB249" t="str">
        <f>IF(OR(AB$23="",ISNA($B249)),"",IF(ISBLANK($B249),"",IFERROR(_xll.BDP(TICKER,"DEEP_MEASURE_PERIOD_BROKER_VALUE","DEEP_MEASURE_ID_OVERRIDE",$C249,"DEEP_BROKER_ID_OVERRIDE",AB$24,"DEEP_PERIOD_OVERRIDE",$H$19)*1,"")))</f>
        <v/>
      </c>
      <c r="AC249" t="str">
        <f>IF(OR(AC$23="",ISNA($B249)),"",IF(ISBLANK($B249),"",IFERROR(_xll.BDP(TICKER,"DEEP_MEASURE_PERIOD_BROKER_VALUE","DEEP_MEASURE_ID_OVERRIDE",$C249,"DEEP_BROKER_ID_OVERRIDE",AC$24,"DEEP_PERIOD_OVERRIDE",$H$19)*1,"")))</f>
        <v/>
      </c>
      <c r="AD249" t="str">
        <f>IF(OR(AD$23="",ISNA($B249)),"",IF(ISBLANK($B249),"",IFERROR(_xll.BDP(TICKER,"DEEP_MEASURE_PERIOD_BROKER_VALUE","DEEP_MEASURE_ID_OVERRIDE",$C249,"DEEP_BROKER_ID_OVERRIDE",AD$24,"DEEP_PERIOD_OVERRIDE",$H$19)*1,"")))</f>
        <v/>
      </c>
      <c r="AE249" t="str">
        <f>IF(OR(AE$23="",ISNA($B249)),"",IF(ISBLANK($B249),"",IFERROR(_xll.BDP(TICKER,"DEEP_MEASURE_PERIOD_BROKER_VALUE","DEEP_MEASURE_ID_OVERRIDE",$C249,"DEEP_BROKER_ID_OVERRIDE",AE$24,"DEEP_PERIOD_OVERRIDE",$H$19)*1,"")))</f>
        <v/>
      </c>
      <c r="AF249" t="str">
        <f>IF(OR(AF$23="",ISNA($B249)),"",IF(ISBLANK($B249),"",IFERROR(_xll.BDP(TICKER,"DEEP_MEASURE_PERIOD_BROKER_VALUE","DEEP_MEASURE_ID_OVERRIDE",$C249,"DEEP_BROKER_ID_OVERRIDE",AF$24,"DEEP_PERIOD_OVERRIDE",$H$19)*1,"")))</f>
        <v/>
      </c>
      <c r="AG249" t="str">
        <f>IF(OR(AG$23="",ISNA($B249)),"",IF(ISBLANK($B249),"",IFERROR(_xll.BDP(TICKER,"DEEP_MEASURE_PERIOD_BROKER_VALUE","DEEP_MEASURE_ID_OVERRIDE",$C249,"DEEP_BROKER_ID_OVERRIDE",AG$24,"DEEP_PERIOD_OVERRIDE",$H$19)*1,"")))</f>
        <v/>
      </c>
      <c r="AH249" t="str">
        <f>IF(OR(AH$23="",ISNA($B249)),"",IF(ISBLANK($B249),"",IFERROR(_xll.BDP(TICKER,"DEEP_MEASURE_PERIOD_BROKER_VALUE","DEEP_MEASURE_ID_OVERRIDE",$C249,"DEEP_BROKER_ID_OVERRIDE",AH$24,"DEEP_PERIOD_OVERRIDE",$H$19)*1,"")))</f>
        <v/>
      </c>
      <c r="AI249" t="str">
        <f>IF(OR(AI$23="",ISNA($B249)),"",IF(ISBLANK($B249),"",IFERROR(_xll.BDP(TICKER,"DEEP_MEASURE_PERIOD_BROKER_VALUE","DEEP_MEASURE_ID_OVERRIDE",$C249,"DEEP_BROKER_ID_OVERRIDE",AI$24,"DEEP_PERIOD_OVERRIDE",$H$19)*1,"")))</f>
        <v/>
      </c>
      <c r="AJ249" t="str">
        <f>IF(OR(AJ$23="",ISNA($B249)),"",IF(ISBLANK($B249),"",IFERROR(_xll.BDP(TICKER,"DEEP_MEASURE_PERIOD_BROKER_VALUE","DEEP_MEASURE_ID_OVERRIDE",$C249,"DEEP_BROKER_ID_OVERRIDE",AJ$24,"DEEP_PERIOD_OVERRIDE",$H$19)*1,"")))</f>
        <v/>
      </c>
      <c r="AK249" t="str">
        <f>IF(OR(AK$23="",ISNA($B249)),"",IF(ISBLANK($B249),"",IFERROR(_xll.BDP(TICKER,"DEEP_MEASURE_PERIOD_BROKER_VALUE","DEEP_MEASURE_ID_OVERRIDE",$C249,"DEEP_BROKER_ID_OVERRIDE",AK$24,"DEEP_PERIOD_OVERRIDE",$H$19)*1,"")))</f>
        <v/>
      </c>
      <c r="AL249" t="str">
        <f>IF(OR(AL$23="",ISNA($B249)),"",IF(ISBLANK($B249),"",IFERROR(_xll.BDP(TICKER,"DEEP_MEASURE_PERIOD_BROKER_VALUE","DEEP_MEASURE_ID_OVERRIDE",$C249,"DEEP_BROKER_ID_OVERRIDE",AL$24,"DEEP_PERIOD_OVERRIDE",$H$19)*1,"")))</f>
        <v/>
      </c>
      <c r="AM249" t="str">
        <f>IF(OR(AM$23="",ISNA($B249)),"",IF(ISBLANK($B249),"",IFERROR(_xll.BDP(TICKER,"DEEP_MEASURE_PERIOD_BROKER_VALUE","DEEP_MEASURE_ID_OVERRIDE",$C249,"DEEP_BROKER_ID_OVERRIDE",AM$24,"DEEP_PERIOD_OVERRIDE",$H$19)*1,"")))</f>
        <v/>
      </c>
      <c r="AN249" t="str">
        <f>IF(OR(AN$23="",ISNA($B249)),"",IF(ISBLANK($B249),"",IFERROR(_xll.BDP(TICKER,"DEEP_MEASURE_PERIOD_BROKER_VALUE","DEEP_MEASURE_ID_OVERRIDE",$C249,"DEEP_BROKER_ID_OVERRIDE",AN$24,"DEEP_PERIOD_OVERRIDE",$H$19)*1,"")))</f>
        <v/>
      </c>
      <c r="AO249" t="str">
        <f>IF(OR(AO$23="",ISNA($B249)),"",IF(ISBLANK($B249),"",IFERROR(_xll.BDP(TICKER,"DEEP_MEASURE_PERIOD_BROKER_VALUE","DEEP_MEASURE_ID_OVERRIDE",$C249,"DEEP_BROKER_ID_OVERRIDE",AO$24,"DEEP_PERIOD_OVERRIDE",$H$19)*1,"")))</f>
        <v/>
      </c>
      <c r="AP249" t="str">
        <f>IF(OR(AP$23="",ISNA($B249)),"",IF(ISBLANK($B249),"",IFERROR(_xll.BDP(TICKER,"DEEP_MEASURE_PERIOD_BROKER_VALUE","DEEP_MEASURE_ID_OVERRIDE",$C249,"DEEP_BROKER_ID_OVERRIDE",AP$24,"DEEP_PERIOD_OVERRIDE",$H$19)*1,"")))</f>
        <v/>
      </c>
      <c r="AQ249" t="str">
        <f>IF(OR(AQ$23="",ISNA($B249)),"",IF(ISBLANK($B249),"",IFERROR(_xll.BDP(TICKER,"DEEP_MEASURE_PERIOD_BROKER_VALUE","DEEP_MEASURE_ID_OVERRIDE",$C249,"DEEP_BROKER_ID_OVERRIDE",AQ$24,"DEEP_PERIOD_OVERRIDE",$H$19)*1,"")))</f>
        <v/>
      </c>
      <c r="AR249" t="str">
        <f>IF(OR(AR$23="",ISNA($B249)),"",IF(ISBLANK($B249),"",IFERROR(_xll.BDP(TICKER,"DEEP_MEASURE_PERIOD_BROKER_VALUE","DEEP_MEASURE_ID_OVERRIDE",$C249,"DEEP_BROKER_ID_OVERRIDE",AR$24,"DEEP_PERIOD_OVERRIDE",$H$19)*1,"")))</f>
        <v/>
      </c>
      <c r="AS249" t="str">
        <f>IF(OR(AS$23="",ISNA($B249)),"",IF(ISBLANK($B249),"",IFERROR(_xll.BDP(TICKER,"DEEP_MEASURE_PERIOD_BROKER_VALUE","DEEP_MEASURE_ID_OVERRIDE",$C249,"DEEP_BROKER_ID_OVERRIDE",AS$24,"DEEP_PERIOD_OVERRIDE",$H$19)*1,"")))</f>
        <v/>
      </c>
      <c r="AT249" t="str">
        <f>IF(OR(AT$23="",ISNA($B249)),"",IF(ISBLANK($B249),"",IFERROR(_xll.BDP(TICKER,"DEEP_MEASURE_PERIOD_BROKER_VALUE","DEEP_MEASURE_ID_OVERRIDE",$C249,"DEEP_BROKER_ID_OVERRIDE",AT$24,"DEEP_PERIOD_OVERRIDE",$H$19)*1,"")))</f>
        <v/>
      </c>
      <c r="AU249" t="str">
        <f>IF(OR(AU$23="",ISNA($B249)),"",IF(ISBLANK($B249),"",IFERROR(_xll.BDP(TICKER,"DEEP_MEASURE_PERIOD_BROKER_VALUE","DEEP_MEASURE_ID_OVERRIDE",$C249,"DEEP_BROKER_ID_OVERRIDE",AU$24,"DEEP_PERIOD_OVERRIDE",$H$19)*1,"")))</f>
        <v/>
      </c>
      <c r="AV249" t="str">
        <f>IF(OR(AV$23="",ISNA($B249)),"",IF(ISBLANK($B249),"",IFERROR(_xll.BDP(TICKER,"DEEP_MEASURE_PERIOD_BROKER_VALUE","DEEP_MEASURE_ID_OVERRIDE",$C249,"DEEP_BROKER_ID_OVERRIDE",AV$24,"DEEP_PERIOD_OVERRIDE",$H$19)*1,"")))</f>
        <v/>
      </c>
      <c r="AW249" t="str">
        <f>IF(OR(AW$23="",ISNA($B249)),"",IF(ISBLANK($B249),"",IFERROR(_xll.BDP(TICKER,"DEEP_MEASURE_PERIOD_BROKER_VALUE","DEEP_MEASURE_ID_OVERRIDE",$C249,"DEEP_BROKER_ID_OVERRIDE",AW$24,"DEEP_PERIOD_OVERRIDE",$H$19)*1,"")))</f>
        <v/>
      </c>
      <c r="AX249" t="str">
        <f>IF(OR(AX$23="",ISNA($B249)),"",IF(ISBLANK($B249),"",IFERROR(_xll.BDP(TICKER,"DEEP_MEASURE_PERIOD_BROKER_VALUE","DEEP_MEASURE_ID_OVERRIDE",$C249,"DEEP_BROKER_ID_OVERRIDE",AX$24,"DEEP_PERIOD_OVERRIDE",$H$19)*1,"")))</f>
        <v/>
      </c>
      <c r="AY249" t="str">
        <f>IF(OR(AY$23="",ISNA($B249)),"",IF(ISBLANK($B249),"",IFERROR(_xll.BDP(TICKER,"DEEP_MEASURE_PERIOD_BROKER_VALUE","DEEP_MEASURE_ID_OVERRIDE",$C249,"DEEP_BROKER_ID_OVERRIDE",AY$24,"DEEP_PERIOD_OVERRIDE",$H$19)*1,"")))</f>
        <v/>
      </c>
      <c r="AZ249" t="str">
        <f>IF(OR(AZ$23="",ISNA($B249)),"",IF(ISBLANK($B249),"",IFERROR(_xll.BDP(TICKER,"DEEP_MEASURE_PERIOD_BROKER_VALUE","DEEP_MEASURE_ID_OVERRIDE",$C249,"DEEP_BROKER_ID_OVERRIDE",AZ$24,"DEEP_PERIOD_OVERRIDE",$H$19)*1,"")))</f>
        <v/>
      </c>
      <c r="BA249" t="str">
        <f>IF(OR(BA$23="",ISNA($B249)),"",IF(ISBLANK($B249),"",IFERROR(_xll.BDP(TICKER,"DEEP_MEASURE_PERIOD_BROKER_VALUE","DEEP_MEASURE_ID_OVERRIDE",$C249,"DEEP_BROKER_ID_OVERRIDE",BA$24,"DEEP_PERIOD_OVERRIDE",$H$19)*1,"")))</f>
        <v/>
      </c>
      <c r="BB249" t="str">
        <f>IF(OR(BB$23="",ISNA($B249)),"",IF(ISBLANK($B249),"",IFERROR(_xll.BDP(TICKER,"DEEP_MEASURE_PERIOD_BROKER_VALUE","DEEP_MEASURE_ID_OVERRIDE",$C249,"DEEP_BROKER_ID_OVERRIDE",BB$24,"DEEP_PERIOD_OVERRIDE",$H$19)*1,"")))</f>
        <v/>
      </c>
      <c r="BC249" t="str">
        <f>IF(OR(BC$23="",ISNA($B249)),"",IF(ISBLANK($B249),"",IFERROR(_xll.BDP(TICKER,"DEEP_MEASURE_PERIOD_BROKER_VALUE","DEEP_MEASURE_ID_OVERRIDE",$C249,"DEEP_BROKER_ID_OVERRIDE",BC$24,"DEEP_PERIOD_OVERRIDE",$H$19)*1,"")))</f>
        <v/>
      </c>
      <c r="BD249" t="str">
        <f>IF(OR(BD$23="",ISNA($B249)),"",IF(ISBLANK($B249),"",IFERROR(_xll.BDP(TICKER,"DEEP_MEASURE_PERIOD_BROKER_VALUE","DEEP_MEASURE_ID_OVERRIDE",$C249,"DEEP_BROKER_ID_OVERRIDE",BD$24,"DEEP_PERIOD_OVERRIDE",$H$19)*1,"")))</f>
        <v/>
      </c>
      <c r="BE249" t="str">
        <f>IF(OR(BE$23="",ISNA($B249)),"",IF(ISBLANK($B249),"",IFERROR(_xll.BDP(TICKER,"DEEP_MEASURE_PERIOD_BROKER_VALUE","DEEP_MEASURE_ID_OVERRIDE",$C249,"DEEP_BROKER_ID_OVERRIDE",BE$24,"DEEP_PERIOD_OVERRIDE",$H$19)*1,"")))</f>
        <v/>
      </c>
      <c r="BF249" t="str">
        <f>IF(OR(BF$23="",ISNA($B249)),"",IF(ISBLANK($B249),"",IFERROR(_xll.BDP(TICKER,"DEEP_MEASURE_PERIOD_BROKER_VALUE","DEEP_MEASURE_ID_OVERRIDE",$C249,"DEEP_BROKER_ID_OVERRIDE",BF$24,"DEEP_PERIOD_OVERRIDE",$H$19)*1,"")))</f>
        <v/>
      </c>
      <c r="BG249" t="str">
        <f>IF(OR(BG$23="",ISNA($B249)),"",IF(ISBLANK($B249),"",IFERROR(_xll.BDP(TICKER,"DEEP_MEASURE_PERIOD_BROKER_VALUE","DEEP_MEASURE_ID_OVERRIDE",$C249,"DEEP_BROKER_ID_OVERRIDE",BG$24,"DEEP_PERIOD_OVERRIDE",$H$19)*1,"")))</f>
        <v/>
      </c>
      <c r="BH249" t="str">
        <f>IF(OR(BH$23="",ISNA($B249)),"",IF(ISBLANK($B249),"",IFERROR(_xll.BDP(TICKER,"DEEP_MEASURE_PERIOD_BROKER_VALUE","DEEP_MEASURE_ID_OVERRIDE",$C249,"DEEP_BROKER_ID_OVERRIDE",BH$24,"DEEP_PERIOD_OVERRIDE",$H$19)*1,"")))</f>
        <v/>
      </c>
      <c r="BI249" t="str">
        <f>IF(OR(BI$23="",ISNA($B249)),"",IF(ISBLANK($B249),"",IFERROR(_xll.BDP(TICKER,"DEEP_MEASURE_PERIOD_BROKER_VALUE","DEEP_MEASURE_ID_OVERRIDE",$C249,"DEEP_BROKER_ID_OVERRIDE",BI$24,"DEEP_PERIOD_OVERRIDE",$H$19)*1,"")))</f>
        <v/>
      </c>
      <c r="BJ249" t="str">
        <f>IF(OR(BJ$23="",ISNA($B249)),"",IF(ISBLANK($B249),"",IFERROR(_xll.BDP(TICKER,"DEEP_MEASURE_PERIOD_BROKER_VALUE","DEEP_MEASURE_ID_OVERRIDE",$C249,"DEEP_BROKER_ID_OVERRIDE",BJ$24,"DEEP_PERIOD_OVERRIDE",$H$19)*1,"")))</f>
        <v/>
      </c>
      <c r="BK249" t="str">
        <f>IF(OR(BK$23="",ISNA($B249)),"",IF(ISBLANK($B249),"",IFERROR(_xll.BDP(TICKER,"DEEP_MEASURE_PERIOD_BROKER_VALUE","DEEP_MEASURE_ID_OVERRIDE",$C249,"DEEP_BROKER_ID_OVERRIDE",BK$24,"DEEP_PERIOD_OVERRIDE",$H$19)*1,"")))</f>
        <v/>
      </c>
      <c r="BL249" t="str">
        <f>IF(OR(BL$23="",ISNA($B249)),"",IF(ISBLANK($B249),"",IFERROR(_xll.BDP(TICKER,"DEEP_MEASURE_PERIOD_BROKER_VALUE","DEEP_MEASURE_ID_OVERRIDE",$C249,"DEEP_BROKER_ID_OVERRIDE",BL$24,"DEEP_PERIOD_OVERRIDE",$H$19)*1,"")))</f>
        <v/>
      </c>
      <c r="BM249" t="str">
        <f>IF(OR(BM$23="",ISNA($B249)),"",IF(ISBLANK($B249),"",IFERROR(_xll.BDP(TICKER,"DEEP_MEASURE_PERIOD_BROKER_VALUE","DEEP_MEASURE_ID_OVERRIDE",$C249,"DEEP_BROKER_ID_OVERRIDE",BM$24,"DEEP_PERIOD_OVERRIDE",$H$19)*1,"")))</f>
        <v/>
      </c>
      <c r="BN249" t="str">
        <f>IF(OR(BN$23="",ISNA($B249)),"",IF(ISBLANK($B249),"",IFERROR(_xll.BDP(TICKER,"DEEP_MEASURE_PERIOD_BROKER_VALUE","DEEP_MEASURE_ID_OVERRIDE",$C249,"DEEP_BROKER_ID_OVERRIDE",BN$24,"DEEP_PERIOD_OVERRIDE",$H$19)*1,"")))</f>
        <v/>
      </c>
      <c r="BO249" t="str">
        <f>IF(OR(BO$23="",ISNA($B249)),"",IF(ISBLANK($B249),"",IFERROR(_xll.BDP(TICKER,"DEEP_MEASURE_PERIOD_BROKER_VALUE","DEEP_MEASURE_ID_OVERRIDE",$C249,"DEEP_BROKER_ID_OVERRIDE",BO$24,"DEEP_PERIOD_OVERRIDE",$H$19)*1,"")))</f>
        <v/>
      </c>
      <c r="BP249" t="str">
        <f>IF(OR(BP$23="",ISNA($B249)),"",IF(ISBLANK($B249),"",IFERROR(_xll.BDP(TICKER,"DEEP_MEASURE_PERIOD_BROKER_VALUE","DEEP_MEASURE_ID_OVERRIDE",$C249,"DEEP_BROKER_ID_OVERRIDE",BP$24,"DEEP_PERIOD_OVERRIDE",$H$19)*1,"")))</f>
        <v/>
      </c>
      <c r="BQ249" t="str">
        <f>IF(OR(BQ$23="",ISNA($B249)),"",IF(ISBLANK($B249),"",IFERROR(_xll.BDP(TICKER,"DEEP_MEASURE_PERIOD_BROKER_VALUE","DEEP_MEASURE_ID_OVERRIDE",$C249,"DEEP_BROKER_ID_OVERRIDE",BQ$24,"DEEP_PERIOD_OVERRIDE",$H$19)*1,"")))</f>
        <v/>
      </c>
      <c r="BR249" t="str">
        <f>IF(OR(BR$23="",ISNA($B249)),"",IF(ISBLANK($B249),"",IFERROR(_xll.BDP(TICKER,"DEEP_MEASURE_PERIOD_BROKER_VALUE","DEEP_MEASURE_ID_OVERRIDE",$C249,"DEEP_BROKER_ID_OVERRIDE",BR$24,"DEEP_PERIOD_OVERRIDE",$H$19)*1,"")))</f>
        <v/>
      </c>
      <c r="BS249" t="str">
        <f>IF(OR(BS$23="",ISNA($B249)),"",IF(ISBLANK($B249),"",IFERROR(_xll.BDP(TICKER,"DEEP_MEASURE_PERIOD_BROKER_VALUE","DEEP_MEASURE_ID_OVERRIDE",$C249,"DEEP_BROKER_ID_OVERRIDE",BS$24,"DEEP_PERIOD_OVERRIDE",$H$19)*1,"")))</f>
        <v/>
      </c>
      <c r="BT249" t="str">
        <f>IF(OR(BT$23="",ISNA($B249)),"",IF(ISBLANK($B249),"",IFERROR(_xll.BDP(TICKER,"DEEP_MEASURE_PERIOD_BROKER_VALUE","DEEP_MEASURE_ID_OVERRIDE",$C249,"DEEP_BROKER_ID_OVERRIDE",BT$24,"DEEP_PERIOD_OVERRIDE",$H$19)*1,"")))</f>
        <v/>
      </c>
      <c r="BU249" t="str">
        <f>IF(OR(BU$23="",ISNA($B249)),"",IF(ISBLANK($B249),"",IFERROR(_xll.BDP(TICKER,"DEEP_MEASURE_PERIOD_BROKER_VALUE","DEEP_MEASURE_ID_OVERRIDE",$C249,"DEEP_BROKER_ID_OVERRIDE",BU$24,"DEEP_PERIOD_OVERRIDE",$H$19)*1,"")))</f>
        <v/>
      </c>
      <c r="BV249" t="str">
        <f>IF(OR(BV$23="",ISNA($B249)),"",IF(ISBLANK($B249),"",IFERROR(_xll.BDP(TICKER,"DEEP_MEASURE_PERIOD_BROKER_VALUE","DEEP_MEASURE_ID_OVERRIDE",$C249,"DEEP_BROKER_ID_OVERRIDE",BV$24,"DEEP_PERIOD_OVERRIDE",$H$19)*1,"")))</f>
        <v/>
      </c>
      <c r="BW249" t="str">
        <f>IF(OR(BW$23="",ISNA($B249)),"",IF(ISBLANK($B249),"",IFERROR(_xll.BDP(TICKER,"DEEP_MEASURE_PERIOD_BROKER_VALUE","DEEP_MEASURE_ID_OVERRIDE",$C249,"DEEP_BROKER_ID_OVERRIDE",BW$24,"DEEP_PERIOD_OVERRIDE",$H$19)*1,"")))</f>
        <v/>
      </c>
      <c r="BX249" t="str">
        <f>IF(OR(BX$23="",ISNA($B249)),"",IF(ISBLANK($B249),"",IFERROR(_xll.BDP(TICKER,"DEEP_MEASURE_PERIOD_BROKER_VALUE","DEEP_MEASURE_ID_OVERRIDE",$C249,"DEEP_BROKER_ID_OVERRIDE",BX$24,"DEEP_PERIOD_OVERRIDE",$H$19)*1,"")))</f>
        <v/>
      </c>
      <c r="BY249" t="str">
        <f>IF(OR(BY$23="",ISNA($B249)),"",IF(ISBLANK($B249),"",IFERROR(_xll.BDP(TICKER,"DEEP_MEASURE_PERIOD_BROKER_VALUE","DEEP_MEASURE_ID_OVERRIDE",$C249,"DEEP_BROKER_ID_OVERRIDE",BY$24,"DEEP_PERIOD_OVERRIDE",$H$19)*1,"")))</f>
        <v/>
      </c>
      <c r="BZ249" t="str">
        <f>IF(OR(BZ$23="",ISNA($B249)),"",IF(ISBLANK($B249),"",IFERROR(_xll.BDP(TICKER,"DEEP_MEASURE_PERIOD_BROKER_VALUE","DEEP_MEASURE_ID_OVERRIDE",$C249,"DEEP_BROKER_ID_OVERRIDE",BZ$24,"DEEP_PERIOD_OVERRIDE",$H$19)*1,"")))</f>
        <v/>
      </c>
    </row>
    <row r="250" spans="8:78" x14ac:dyDescent="0.25">
      <c r="H250" t="str">
        <f t="shared" si="4"/>
        <v/>
      </c>
      <c r="I250" t="str">
        <f>IF(OR(I$23="",ISNA($B250)),"",IF(ISBLANK($B250),"",IFERROR(_xll.BDP(TICKER,"DEEP_MEASURE_PERIOD_BROKER_VALUE","DEEP_MEASURE_ID_OVERRIDE",$C250,"DEEP_PERIOD_OVERRIDE",$H$19)*1,"")))</f>
        <v/>
      </c>
      <c r="J250" t="e">
        <f>IF(OR(J$23="",ISNA($B250)),"",IF(ISBLANK($B250),"",IFERROR(_xll.BDP(TICKER,"DEEP_MEASURE_PERIOD_BROKER_VALUE","DEEP_MEASURE_ID_OVERRIDE",$C250,"DEEP_BROKER_ID_OVERRIDE",J$24,"DEEP_PERIOD_OVERRIDE",$H$19)*1,"")))</f>
        <v>#REF!</v>
      </c>
      <c r="K250" t="str">
        <f>IF(OR(K$23="",ISNA($B250)),"",IF(ISBLANK($B250),"",IFERROR(_xll.BDP(TICKER,"DEEP_MEASURE_PERIOD_BROKER_VALUE","DEEP_MEASURE_ID_OVERRIDE",$C250,"DEEP_BROKER_ID_OVERRIDE",K$24,"DEEP_PERIOD_OVERRIDE",$H$19)*1,"")))</f>
        <v/>
      </c>
      <c r="L250" t="str">
        <f>IF(OR(L$23="",ISNA($B250)),"",IF(ISBLANK($B250),"",IFERROR(_xll.BDP(TICKER,"DEEP_MEASURE_PERIOD_BROKER_VALUE","DEEP_MEASURE_ID_OVERRIDE",$C250,"DEEP_BROKER_ID_OVERRIDE",L$24,"DEEP_PERIOD_OVERRIDE",$H$19)*1,"")))</f>
        <v/>
      </c>
      <c r="M250" t="str">
        <f>IF(OR(M$23="",ISNA($B250)),"",IF(ISBLANK($B250),"",IFERROR(_xll.BDP(TICKER,"DEEP_MEASURE_PERIOD_BROKER_VALUE","DEEP_MEASURE_ID_OVERRIDE",$C250,"DEEP_BROKER_ID_OVERRIDE",M$24,"DEEP_PERIOD_OVERRIDE",$H$19)*1,"")))</f>
        <v/>
      </c>
      <c r="N250" t="str">
        <f>IF(OR(N$23="",ISNA($B250)),"",IF(ISBLANK($B250),"",IFERROR(_xll.BDP(TICKER,"DEEP_MEASURE_PERIOD_BROKER_VALUE","DEEP_MEASURE_ID_OVERRIDE",$C250,"DEEP_BROKER_ID_OVERRIDE",N$24,"DEEP_PERIOD_OVERRIDE",$H$19)*1,"")))</f>
        <v/>
      </c>
      <c r="O250" t="str">
        <f>IF(OR(O$23="",ISNA($B250)),"",IF(ISBLANK($B250),"",IFERROR(_xll.BDP(TICKER,"DEEP_MEASURE_PERIOD_BROKER_VALUE","DEEP_MEASURE_ID_OVERRIDE",$C250,"DEEP_BROKER_ID_OVERRIDE",O$24,"DEEP_PERIOD_OVERRIDE",$H$19)*1,"")))</f>
        <v/>
      </c>
      <c r="P250" t="str">
        <f>IF(OR(P$23="",ISNA($B250)),"",IF(ISBLANK($B250),"",IFERROR(_xll.BDP(TICKER,"DEEP_MEASURE_PERIOD_BROKER_VALUE","DEEP_MEASURE_ID_OVERRIDE",$C250,"DEEP_BROKER_ID_OVERRIDE",P$24,"DEEP_PERIOD_OVERRIDE",$H$19)*1,"")))</f>
        <v/>
      </c>
      <c r="Q250" t="str">
        <f>IF(OR(Q$23="",ISNA($B250)),"",IF(ISBLANK($B250),"",IFERROR(_xll.BDP(TICKER,"DEEP_MEASURE_PERIOD_BROKER_VALUE","DEEP_MEASURE_ID_OVERRIDE",$C250,"DEEP_BROKER_ID_OVERRIDE",Q$24,"DEEP_PERIOD_OVERRIDE",$H$19)*1,"")))</f>
        <v/>
      </c>
      <c r="R250" t="str">
        <f>IF(OR(R$23="",ISNA($B250)),"",IF(ISBLANK($B250),"",IFERROR(_xll.BDP(TICKER,"DEEP_MEASURE_PERIOD_BROKER_VALUE","DEEP_MEASURE_ID_OVERRIDE",$C250,"DEEP_BROKER_ID_OVERRIDE",R$24,"DEEP_PERIOD_OVERRIDE",$H$19)*1,"")))</f>
        <v/>
      </c>
      <c r="S250" t="str">
        <f>IF(OR(S$23="",ISNA($B250)),"",IF(ISBLANK($B250),"",IFERROR(_xll.BDP(TICKER,"DEEP_MEASURE_PERIOD_BROKER_VALUE","DEEP_MEASURE_ID_OVERRIDE",$C250,"DEEP_BROKER_ID_OVERRIDE",S$24,"DEEP_PERIOD_OVERRIDE",$H$19)*1,"")))</f>
        <v/>
      </c>
      <c r="T250" t="str">
        <f>IF(OR(T$23="",ISNA($B250)),"",IF(ISBLANK($B250),"",IFERROR(_xll.BDP(TICKER,"DEEP_MEASURE_PERIOD_BROKER_VALUE","DEEP_MEASURE_ID_OVERRIDE",$C250,"DEEP_BROKER_ID_OVERRIDE",T$24,"DEEP_PERIOD_OVERRIDE",$H$19)*1,"")))</f>
        <v/>
      </c>
      <c r="U250" t="str">
        <f>IF(OR(U$23="",ISNA($B250)),"",IF(ISBLANK($B250),"",IFERROR(_xll.BDP(TICKER,"DEEP_MEASURE_PERIOD_BROKER_VALUE","DEEP_MEASURE_ID_OVERRIDE",$C250,"DEEP_BROKER_ID_OVERRIDE",U$24,"DEEP_PERIOD_OVERRIDE",$H$19)*1,"")))</f>
        <v/>
      </c>
      <c r="V250" t="str">
        <f>IF(OR(V$23="",ISNA($B250)),"",IF(ISBLANK($B250),"",IFERROR(_xll.BDP(TICKER,"DEEP_MEASURE_PERIOD_BROKER_VALUE","DEEP_MEASURE_ID_OVERRIDE",$C250,"DEEP_BROKER_ID_OVERRIDE",V$24,"DEEP_PERIOD_OVERRIDE",$H$19)*1,"")))</f>
        <v/>
      </c>
      <c r="W250" t="str">
        <f>IF(OR(W$23="",ISNA($B250)),"",IF(ISBLANK($B250),"",IFERROR(_xll.BDP(TICKER,"DEEP_MEASURE_PERIOD_BROKER_VALUE","DEEP_MEASURE_ID_OVERRIDE",$C250,"DEEP_BROKER_ID_OVERRIDE",W$24,"DEEP_PERIOD_OVERRIDE",$H$19)*1,"")))</f>
        <v/>
      </c>
      <c r="X250" t="str">
        <f>IF(OR(X$23="",ISNA($B250)),"",IF(ISBLANK($B250),"",IFERROR(_xll.BDP(TICKER,"DEEP_MEASURE_PERIOD_BROKER_VALUE","DEEP_MEASURE_ID_OVERRIDE",$C250,"DEEP_BROKER_ID_OVERRIDE",X$24,"DEEP_PERIOD_OVERRIDE",$H$19)*1,"")))</f>
        <v/>
      </c>
      <c r="Y250" t="str">
        <f>IF(OR(Y$23="",ISNA($B250)),"",IF(ISBLANK($B250),"",IFERROR(_xll.BDP(TICKER,"DEEP_MEASURE_PERIOD_BROKER_VALUE","DEEP_MEASURE_ID_OVERRIDE",$C250,"DEEP_BROKER_ID_OVERRIDE",Y$24,"DEEP_PERIOD_OVERRIDE",$H$19)*1,"")))</f>
        <v/>
      </c>
      <c r="Z250" t="str">
        <f>IF(OR(Z$23="",ISNA($B250)),"",IF(ISBLANK($B250),"",IFERROR(_xll.BDP(TICKER,"DEEP_MEASURE_PERIOD_BROKER_VALUE","DEEP_MEASURE_ID_OVERRIDE",$C250,"DEEP_BROKER_ID_OVERRIDE",Z$24,"DEEP_PERIOD_OVERRIDE",$H$19)*1,"")))</f>
        <v/>
      </c>
      <c r="AA250" t="str">
        <f>IF(OR(AA$23="",ISNA($B250)),"",IF(ISBLANK($B250),"",IFERROR(_xll.BDP(TICKER,"DEEP_MEASURE_PERIOD_BROKER_VALUE","DEEP_MEASURE_ID_OVERRIDE",$C250,"DEEP_BROKER_ID_OVERRIDE",AA$24,"DEEP_PERIOD_OVERRIDE",$H$19)*1,"")))</f>
        <v/>
      </c>
      <c r="AB250" t="str">
        <f>IF(OR(AB$23="",ISNA($B250)),"",IF(ISBLANK($B250),"",IFERROR(_xll.BDP(TICKER,"DEEP_MEASURE_PERIOD_BROKER_VALUE","DEEP_MEASURE_ID_OVERRIDE",$C250,"DEEP_BROKER_ID_OVERRIDE",AB$24,"DEEP_PERIOD_OVERRIDE",$H$19)*1,"")))</f>
        <v/>
      </c>
      <c r="AC250" t="str">
        <f>IF(OR(AC$23="",ISNA($B250)),"",IF(ISBLANK($B250),"",IFERROR(_xll.BDP(TICKER,"DEEP_MEASURE_PERIOD_BROKER_VALUE","DEEP_MEASURE_ID_OVERRIDE",$C250,"DEEP_BROKER_ID_OVERRIDE",AC$24,"DEEP_PERIOD_OVERRIDE",$H$19)*1,"")))</f>
        <v/>
      </c>
      <c r="AD250" t="str">
        <f>IF(OR(AD$23="",ISNA($B250)),"",IF(ISBLANK($B250),"",IFERROR(_xll.BDP(TICKER,"DEEP_MEASURE_PERIOD_BROKER_VALUE","DEEP_MEASURE_ID_OVERRIDE",$C250,"DEEP_BROKER_ID_OVERRIDE",AD$24,"DEEP_PERIOD_OVERRIDE",$H$19)*1,"")))</f>
        <v/>
      </c>
      <c r="AE250" t="str">
        <f>IF(OR(AE$23="",ISNA($B250)),"",IF(ISBLANK($B250),"",IFERROR(_xll.BDP(TICKER,"DEEP_MEASURE_PERIOD_BROKER_VALUE","DEEP_MEASURE_ID_OVERRIDE",$C250,"DEEP_BROKER_ID_OVERRIDE",AE$24,"DEEP_PERIOD_OVERRIDE",$H$19)*1,"")))</f>
        <v/>
      </c>
      <c r="AF250" t="str">
        <f>IF(OR(AF$23="",ISNA($B250)),"",IF(ISBLANK($B250),"",IFERROR(_xll.BDP(TICKER,"DEEP_MEASURE_PERIOD_BROKER_VALUE","DEEP_MEASURE_ID_OVERRIDE",$C250,"DEEP_BROKER_ID_OVERRIDE",AF$24,"DEEP_PERIOD_OVERRIDE",$H$19)*1,"")))</f>
        <v/>
      </c>
      <c r="AG250" t="str">
        <f>IF(OR(AG$23="",ISNA($B250)),"",IF(ISBLANK($B250),"",IFERROR(_xll.BDP(TICKER,"DEEP_MEASURE_PERIOD_BROKER_VALUE","DEEP_MEASURE_ID_OVERRIDE",$C250,"DEEP_BROKER_ID_OVERRIDE",AG$24,"DEEP_PERIOD_OVERRIDE",$H$19)*1,"")))</f>
        <v/>
      </c>
      <c r="AH250" t="str">
        <f>IF(OR(AH$23="",ISNA($B250)),"",IF(ISBLANK($B250),"",IFERROR(_xll.BDP(TICKER,"DEEP_MEASURE_PERIOD_BROKER_VALUE","DEEP_MEASURE_ID_OVERRIDE",$C250,"DEEP_BROKER_ID_OVERRIDE",AH$24,"DEEP_PERIOD_OVERRIDE",$H$19)*1,"")))</f>
        <v/>
      </c>
      <c r="AI250" t="str">
        <f>IF(OR(AI$23="",ISNA($B250)),"",IF(ISBLANK($B250),"",IFERROR(_xll.BDP(TICKER,"DEEP_MEASURE_PERIOD_BROKER_VALUE","DEEP_MEASURE_ID_OVERRIDE",$C250,"DEEP_BROKER_ID_OVERRIDE",AI$24,"DEEP_PERIOD_OVERRIDE",$H$19)*1,"")))</f>
        <v/>
      </c>
      <c r="AJ250" t="str">
        <f>IF(OR(AJ$23="",ISNA($B250)),"",IF(ISBLANK($B250),"",IFERROR(_xll.BDP(TICKER,"DEEP_MEASURE_PERIOD_BROKER_VALUE","DEEP_MEASURE_ID_OVERRIDE",$C250,"DEEP_BROKER_ID_OVERRIDE",AJ$24,"DEEP_PERIOD_OVERRIDE",$H$19)*1,"")))</f>
        <v/>
      </c>
      <c r="AK250" t="str">
        <f>IF(OR(AK$23="",ISNA($B250)),"",IF(ISBLANK($B250),"",IFERROR(_xll.BDP(TICKER,"DEEP_MEASURE_PERIOD_BROKER_VALUE","DEEP_MEASURE_ID_OVERRIDE",$C250,"DEEP_BROKER_ID_OVERRIDE",AK$24,"DEEP_PERIOD_OVERRIDE",$H$19)*1,"")))</f>
        <v/>
      </c>
      <c r="AL250" t="str">
        <f>IF(OR(AL$23="",ISNA($B250)),"",IF(ISBLANK($B250),"",IFERROR(_xll.BDP(TICKER,"DEEP_MEASURE_PERIOD_BROKER_VALUE","DEEP_MEASURE_ID_OVERRIDE",$C250,"DEEP_BROKER_ID_OVERRIDE",AL$24,"DEEP_PERIOD_OVERRIDE",$H$19)*1,"")))</f>
        <v/>
      </c>
      <c r="AM250" t="str">
        <f>IF(OR(AM$23="",ISNA($B250)),"",IF(ISBLANK($B250),"",IFERROR(_xll.BDP(TICKER,"DEEP_MEASURE_PERIOD_BROKER_VALUE","DEEP_MEASURE_ID_OVERRIDE",$C250,"DEEP_BROKER_ID_OVERRIDE",AM$24,"DEEP_PERIOD_OVERRIDE",$H$19)*1,"")))</f>
        <v/>
      </c>
      <c r="AN250" t="str">
        <f>IF(OR(AN$23="",ISNA($B250)),"",IF(ISBLANK($B250),"",IFERROR(_xll.BDP(TICKER,"DEEP_MEASURE_PERIOD_BROKER_VALUE","DEEP_MEASURE_ID_OVERRIDE",$C250,"DEEP_BROKER_ID_OVERRIDE",AN$24,"DEEP_PERIOD_OVERRIDE",$H$19)*1,"")))</f>
        <v/>
      </c>
      <c r="AO250" t="str">
        <f>IF(OR(AO$23="",ISNA($B250)),"",IF(ISBLANK($B250),"",IFERROR(_xll.BDP(TICKER,"DEEP_MEASURE_PERIOD_BROKER_VALUE","DEEP_MEASURE_ID_OVERRIDE",$C250,"DEEP_BROKER_ID_OVERRIDE",AO$24,"DEEP_PERIOD_OVERRIDE",$H$19)*1,"")))</f>
        <v/>
      </c>
      <c r="AP250" t="str">
        <f>IF(OR(AP$23="",ISNA($B250)),"",IF(ISBLANK($B250),"",IFERROR(_xll.BDP(TICKER,"DEEP_MEASURE_PERIOD_BROKER_VALUE","DEEP_MEASURE_ID_OVERRIDE",$C250,"DEEP_BROKER_ID_OVERRIDE",AP$24,"DEEP_PERIOD_OVERRIDE",$H$19)*1,"")))</f>
        <v/>
      </c>
      <c r="AQ250" t="str">
        <f>IF(OR(AQ$23="",ISNA($B250)),"",IF(ISBLANK($B250),"",IFERROR(_xll.BDP(TICKER,"DEEP_MEASURE_PERIOD_BROKER_VALUE","DEEP_MEASURE_ID_OVERRIDE",$C250,"DEEP_BROKER_ID_OVERRIDE",AQ$24,"DEEP_PERIOD_OVERRIDE",$H$19)*1,"")))</f>
        <v/>
      </c>
      <c r="AR250" t="str">
        <f>IF(OR(AR$23="",ISNA($B250)),"",IF(ISBLANK($B250),"",IFERROR(_xll.BDP(TICKER,"DEEP_MEASURE_PERIOD_BROKER_VALUE","DEEP_MEASURE_ID_OVERRIDE",$C250,"DEEP_BROKER_ID_OVERRIDE",AR$24,"DEEP_PERIOD_OVERRIDE",$H$19)*1,"")))</f>
        <v/>
      </c>
      <c r="AS250" t="str">
        <f>IF(OR(AS$23="",ISNA($B250)),"",IF(ISBLANK($B250),"",IFERROR(_xll.BDP(TICKER,"DEEP_MEASURE_PERIOD_BROKER_VALUE","DEEP_MEASURE_ID_OVERRIDE",$C250,"DEEP_BROKER_ID_OVERRIDE",AS$24,"DEEP_PERIOD_OVERRIDE",$H$19)*1,"")))</f>
        <v/>
      </c>
      <c r="AT250" t="str">
        <f>IF(OR(AT$23="",ISNA($B250)),"",IF(ISBLANK($B250),"",IFERROR(_xll.BDP(TICKER,"DEEP_MEASURE_PERIOD_BROKER_VALUE","DEEP_MEASURE_ID_OVERRIDE",$C250,"DEEP_BROKER_ID_OVERRIDE",AT$24,"DEEP_PERIOD_OVERRIDE",$H$19)*1,"")))</f>
        <v/>
      </c>
      <c r="AU250" t="str">
        <f>IF(OR(AU$23="",ISNA($B250)),"",IF(ISBLANK($B250),"",IFERROR(_xll.BDP(TICKER,"DEEP_MEASURE_PERIOD_BROKER_VALUE","DEEP_MEASURE_ID_OVERRIDE",$C250,"DEEP_BROKER_ID_OVERRIDE",AU$24,"DEEP_PERIOD_OVERRIDE",$H$19)*1,"")))</f>
        <v/>
      </c>
      <c r="AV250" t="str">
        <f>IF(OR(AV$23="",ISNA($B250)),"",IF(ISBLANK($B250),"",IFERROR(_xll.BDP(TICKER,"DEEP_MEASURE_PERIOD_BROKER_VALUE","DEEP_MEASURE_ID_OVERRIDE",$C250,"DEEP_BROKER_ID_OVERRIDE",AV$24,"DEEP_PERIOD_OVERRIDE",$H$19)*1,"")))</f>
        <v/>
      </c>
      <c r="AW250" t="str">
        <f>IF(OR(AW$23="",ISNA($B250)),"",IF(ISBLANK($B250),"",IFERROR(_xll.BDP(TICKER,"DEEP_MEASURE_PERIOD_BROKER_VALUE","DEEP_MEASURE_ID_OVERRIDE",$C250,"DEEP_BROKER_ID_OVERRIDE",AW$24,"DEEP_PERIOD_OVERRIDE",$H$19)*1,"")))</f>
        <v/>
      </c>
      <c r="AX250" t="str">
        <f>IF(OR(AX$23="",ISNA($B250)),"",IF(ISBLANK($B250),"",IFERROR(_xll.BDP(TICKER,"DEEP_MEASURE_PERIOD_BROKER_VALUE","DEEP_MEASURE_ID_OVERRIDE",$C250,"DEEP_BROKER_ID_OVERRIDE",AX$24,"DEEP_PERIOD_OVERRIDE",$H$19)*1,"")))</f>
        <v/>
      </c>
      <c r="AY250" t="str">
        <f>IF(OR(AY$23="",ISNA($B250)),"",IF(ISBLANK($B250),"",IFERROR(_xll.BDP(TICKER,"DEEP_MEASURE_PERIOD_BROKER_VALUE","DEEP_MEASURE_ID_OVERRIDE",$C250,"DEEP_BROKER_ID_OVERRIDE",AY$24,"DEEP_PERIOD_OVERRIDE",$H$19)*1,"")))</f>
        <v/>
      </c>
      <c r="AZ250" t="str">
        <f>IF(OR(AZ$23="",ISNA($B250)),"",IF(ISBLANK($B250),"",IFERROR(_xll.BDP(TICKER,"DEEP_MEASURE_PERIOD_BROKER_VALUE","DEEP_MEASURE_ID_OVERRIDE",$C250,"DEEP_BROKER_ID_OVERRIDE",AZ$24,"DEEP_PERIOD_OVERRIDE",$H$19)*1,"")))</f>
        <v/>
      </c>
      <c r="BA250" t="str">
        <f>IF(OR(BA$23="",ISNA($B250)),"",IF(ISBLANK($B250),"",IFERROR(_xll.BDP(TICKER,"DEEP_MEASURE_PERIOD_BROKER_VALUE","DEEP_MEASURE_ID_OVERRIDE",$C250,"DEEP_BROKER_ID_OVERRIDE",BA$24,"DEEP_PERIOD_OVERRIDE",$H$19)*1,"")))</f>
        <v/>
      </c>
      <c r="BB250" t="str">
        <f>IF(OR(BB$23="",ISNA($B250)),"",IF(ISBLANK($B250),"",IFERROR(_xll.BDP(TICKER,"DEEP_MEASURE_PERIOD_BROKER_VALUE","DEEP_MEASURE_ID_OVERRIDE",$C250,"DEEP_BROKER_ID_OVERRIDE",BB$24,"DEEP_PERIOD_OVERRIDE",$H$19)*1,"")))</f>
        <v/>
      </c>
      <c r="BC250" t="str">
        <f>IF(OR(BC$23="",ISNA($B250)),"",IF(ISBLANK($B250),"",IFERROR(_xll.BDP(TICKER,"DEEP_MEASURE_PERIOD_BROKER_VALUE","DEEP_MEASURE_ID_OVERRIDE",$C250,"DEEP_BROKER_ID_OVERRIDE",BC$24,"DEEP_PERIOD_OVERRIDE",$H$19)*1,"")))</f>
        <v/>
      </c>
      <c r="BD250" t="str">
        <f>IF(OR(BD$23="",ISNA($B250)),"",IF(ISBLANK($B250),"",IFERROR(_xll.BDP(TICKER,"DEEP_MEASURE_PERIOD_BROKER_VALUE","DEEP_MEASURE_ID_OVERRIDE",$C250,"DEEP_BROKER_ID_OVERRIDE",BD$24,"DEEP_PERIOD_OVERRIDE",$H$19)*1,"")))</f>
        <v/>
      </c>
      <c r="BE250" t="str">
        <f>IF(OR(BE$23="",ISNA($B250)),"",IF(ISBLANK($B250),"",IFERROR(_xll.BDP(TICKER,"DEEP_MEASURE_PERIOD_BROKER_VALUE","DEEP_MEASURE_ID_OVERRIDE",$C250,"DEEP_BROKER_ID_OVERRIDE",BE$24,"DEEP_PERIOD_OVERRIDE",$H$19)*1,"")))</f>
        <v/>
      </c>
      <c r="BF250" t="str">
        <f>IF(OR(BF$23="",ISNA($B250)),"",IF(ISBLANK($B250),"",IFERROR(_xll.BDP(TICKER,"DEEP_MEASURE_PERIOD_BROKER_VALUE","DEEP_MEASURE_ID_OVERRIDE",$C250,"DEEP_BROKER_ID_OVERRIDE",BF$24,"DEEP_PERIOD_OVERRIDE",$H$19)*1,"")))</f>
        <v/>
      </c>
      <c r="BG250" t="str">
        <f>IF(OR(BG$23="",ISNA($B250)),"",IF(ISBLANK($B250),"",IFERROR(_xll.BDP(TICKER,"DEEP_MEASURE_PERIOD_BROKER_VALUE","DEEP_MEASURE_ID_OVERRIDE",$C250,"DEEP_BROKER_ID_OVERRIDE",BG$24,"DEEP_PERIOD_OVERRIDE",$H$19)*1,"")))</f>
        <v/>
      </c>
      <c r="BH250" t="str">
        <f>IF(OR(BH$23="",ISNA($B250)),"",IF(ISBLANK($B250),"",IFERROR(_xll.BDP(TICKER,"DEEP_MEASURE_PERIOD_BROKER_VALUE","DEEP_MEASURE_ID_OVERRIDE",$C250,"DEEP_BROKER_ID_OVERRIDE",BH$24,"DEEP_PERIOD_OVERRIDE",$H$19)*1,"")))</f>
        <v/>
      </c>
      <c r="BI250" t="str">
        <f>IF(OR(BI$23="",ISNA($B250)),"",IF(ISBLANK($B250),"",IFERROR(_xll.BDP(TICKER,"DEEP_MEASURE_PERIOD_BROKER_VALUE","DEEP_MEASURE_ID_OVERRIDE",$C250,"DEEP_BROKER_ID_OVERRIDE",BI$24,"DEEP_PERIOD_OVERRIDE",$H$19)*1,"")))</f>
        <v/>
      </c>
      <c r="BJ250" t="str">
        <f>IF(OR(BJ$23="",ISNA($B250)),"",IF(ISBLANK($B250),"",IFERROR(_xll.BDP(TICKER,"DEEP_MEASURE_PERIOD_BROKER_VALUE","DEEP_MEASURE_ID_OVERRIDE",$C250,"DEEP_BROKER_ID_OVERRIDE",BJ$24,"DEEP_PERIOD_OVERRIDE",$H$19)*1,"")))</f>
        <v/>
      </c>
      <c r="BK250" t="str">
        <f>IF(OR(BK$23="",ISNA($B250)),"",IF(ISBLANK($B250),"",IFERROR(_xll.BDP(TICKER,"DEEP_MEASURE_PERIOD_BROKER_VALUE","DEEP_MEASURE_ID_OVERRIDE",$C250,"DEEP_BROKER_ID_OVERRIDE",BK$24,"DEEP_PERIOD_OVERRIDE",$H$19)*1,"")))</f>
        <v/>
      </c>
      <c r="BL250" t="str">
        <f>IF(OR(BL$23="",ISNA($B250)),"",IF(ISBLANK($B250),"",IFERROR(_xll.BDP(TICKER,"DEEP_MEASURE_PERIOD_BROKER_VALUE","DEEP_MEASURE_ID_OVERRIDE",$C250,"DEEP_BROKER_ID_OVERRIDE",BL$24,"DEEP_PERIOD_OVERRIDE",$H$19)*1,"")))</f>
        <v/>
      </c>
      <c r="BM250" t="str">
        <f>IF(OR(BM$23="",ISNA($B250)),"",IF(ISBLANK($B250),"",IFERROR(_xll.BDP(TICKER,"DEEP_MEASURE_PERIOD_BROKER_VALUE","DEEP_MEASURE_ID_OVERRIDE",$C250,"DEEP_BROKER_ID_OVERRIDE",BM$24,"DEEP_PERIOD_OVERRIDE",$H$19)*1,"")))</f>
        <v/>
      </c>
      <c r="BN250" t="str">
        <f>IF(OR(BN$23="",ISNA($B250)),"",IF(ISBLANK($B250),"",IFERROR(_xll.BDP(TICKER,"DEEP_MEASURE_PERIOD_BROKER_VALUE","DEEP_MEASURE_ID_OVERRIDE",$C250,"DEEP_BROKER_ID_OVERRIDE",BN$24,"DEEP_PERIOD_OVERRIDE",$H$19)*1,"")))</f>
        <v/>
      </c>
      <c r="BO250" t="str">
        <f>IF(OR(BO$23="",ISNA($B250)),"",IF(ISBLANK($B250),"",IFERROR(_xll.BDP(TICKER,"DEEP_MEASURE_PERIOD_BROKER_VALUE","DEEP_MEASURE_ID_OVERRIDE",$C250,"DEEP_BROKER_ID_OVERRIDE",BO$24,"DEEP_PERIOD_OVERRIDE",$H$19)*1,"")))</f>
        <v/>
      </c>
      <c r="BP250" t="str">
        <f>IF(OR(BP$23="",ISNA($B250)),"",IF(ISBLANK($B250),"",IFERROR(_xll.BDP(TICKER,"DEEP_MEASURE_PERIOD_BROKER_VALUE","DEEP_MEASURE_ID_OVERRIDE",$C250,"DEEP_BROKER_ID_OVERRIDE",BP$24,"DEEP_PERIOD_OVERRIDE",$H$19)*1,"")))</f>
        <v/>
      </c>
      <c r="BQ250" t="str">
        <f>IF(OR(BQ$23="",ISNA($B250)),"",IF(ISBLANK($B250),"",IFERROR(_xll.BDP(TICKER,"DEEP_MEASURE_PERIOD_BROKER_VALUE","DEEP_MEASURE_ID_OVERRIDE",$C250,"DEEP_BROKER_ID_OVERRIDE",BQ$24,"DEEP_PERIOD_OVERRIDE",$H$19)*1,"")))</f>
        <v/>
      </c>
      <c r="BR250" t="str">
        <f>IF(OR(BR$23="",ISNA($B250)),"",IF(ISBLANK($B250),"",IFERROR(_xll.BDP(TICKER,"DEEP_MEASURE_PERIOD_BROKER_VALUE","DEEP_MEASURE_ID_OVERRIDE",$C250,"DEEP_BROKER_ID_OVERRIDE",BR$24,"DEEP_PERIOD_OVERRIDE",$H$19)*1,"")))</f>
        <v/>
      </c>
      <c r="BS250" t="str">
        <f>IF(OR(BS$23="",ISNA($B250)),"",IF(ISBLANK($B250),"",IFERROR(_xll.BDP(TICKER,"DEEP_MEASURE_PERIOD_BROKER_VALUE","DEEP_MEASURE_ID_OVERRIDE",$C250,"DEEP_BROKER_ID_OVERRIDE",BS$24,"DEEP_PERIOD_OVERRIDE",$H$19)*1,"")))</f>
        <v/>
      </c>
      <c r="BT250" t="str">
        <f>IF(OR(BT$23="",ISNA($B250)),"",IF(ISBLANK($B250),"",IFERROR(_xll.BDP(TICKER,"DEEP_MEASURE_PERIOD_BROKER_VALUE","DEEP_MEASURE_ID_OVERRIDE",$C250,"DEEP_BROKER_ID_OVERRIDE",BT$24,"DEEP_PERIOD_OVERRIDE",$H$19)*1,"")))</f>
        <v/>
      </c>
      <c r="BU250" t="str">
        <f>IF(OR(BU$23="",ISNA($B250)),"",IF(ISBLANK($B250),"",IFERROR(_xll.BDP(TICKER,"DEEP_MEASURE_PERIOD_BROKER_VALUE","DEEP_MEASURE_ID_OVERRIDE",$C250,"DEEP_BROKER_ID_OVERRIDE",BU$24,"DEEP_PERIOD_OVERRIDE",$H$19)*1,"")))</f>
        <v/>
      </c>
      <c r="BV250" t="str">
        <f>IF(OR(BV$23="",ISNA($B250)),"",IF(ISBLANK($B250),"",IFERROR(_xll.BDP(TICKER,"DEEP_MEASURE_PERIOD_BROKER_VALUE","DEEP_MEASURE_ID_OVERRIDE",$C250,"DEEP_BROKER_ID_OVERRIDE",BV$24,"DEEP_PERIOD_OVERRIDE",$H$19)*1,"")))</f>
        <v/>
      </c>
      <c r="BW250" t="str">
        <f>IF(OR(BW$23="",ISNA($B250)),"",IF(ISBLANK($B250),"",IFERROR(_xll.BDP(TICKER,"DEEP_MEASURE_PERIOD_BROKER_VALUE","DEEP_MEASURE_ID_OVERRIDE",$C250,"DEEP_BROKER_ID_OVERRIDE",BW$24,"DEEP_PERIOD_OVERRIDE",$H$19)*1,"")))</f>
        <v/>
      </c>
      <c r="BX250" t="str">
        <f>IF(OR(BX$23="",ISNA($B250)),"",IF(ISBLANK($B250),"",IFERROR(_xll.BDP(TICKER,"DEEP_MEASURE_PERIOD_BROKER_VALUE","DEEP_MEASURE_ID_OVERRIDE",$C250,"DEEP_BROKER_ID_OVERRIDE",BX$24,"DEEP_PERIOD_OVERRIDE",$H$19)*1,"")))</f>
        <v/>
      </c>
      <c r="BY250" t="str">
        <f>IF(OR(BY$23="",ISNA($B250)),"",IF(ISBLANK($B250),"",IFERROR(_xll.BDP(TICKER,"DEEP_MEASURE_PERIOD_BROKER_VALUE","DEEP_MEASURE_ID_OVERRIDE",$C250,"DEEP_BROKER_ID_OVERRIDE",BY$24,"DEEP_PERIOD_OVERRIDE",$H$19)*1,"")))</f>
        <v/>
      </c>
      <c r="BZ250" t="str">
        <f>IF(OR(BZ$23="",ISNA($B250)),"",IF(ISBLANK($B250),"",IFERROR(_xll.BDP(TICKER,"DEEP_MEASURE_PERIOD_BROKER_VALUE","DEEP_MEASURE_ID_OVERRIDE",$C250,"DEEP_BROKER_ID_OVERRIDE",BZ$24,"DEEP_PERIOD_OVERRIDE",$H$19)*1,"")))</f>
        <v/>
      </c>
    </row>
    <row r="251" spans="8:78" x14ac:dyDescent="0.25">
      <c r="H251" t="str">
        <f t="shared" si="4"/>
        <v/>
      </c>
      <c r="I251" t="str">
        <f>IF(OR(I$23="",ISNA($B251)),"",IF(ISBLANK($B251),"",IFERROR(_xll.BDP(TICKER,"DEEP_MEASURE_PERIOD_BROKER_VALUE","DEEP_MEASURE_ID_OVERRIDE",$C251,"DEEP_PERIOD_OVERRIDE",$H$19)*1,"")))</f>
        <v/>
      </c>
      <c r="J251" t="e">
        <f>IF(OR(J$23="",ISNA($B251)),"",IF(ISBLANK($B251),"",IFERROR(_xll.BDP(TICKER,"DEEP_MEASURE_PERIOD_BROKER_VALUE","DEEP_MEASURE_ID_OVERRIDE",$C251,"DEEP_BROKER_ID_OVERRIDE",J$24,"DEEP_PERIOD_OVERRIDE",$H$19)*1,"")))</f>
        <v>#REF!</v>
      </c>
      <c r="K251" t="str">
        <f>IF(OR(K$23="",ISNA($B251)),"",IF(ISBLANK($B251),"",IFERROR(_xll.BDP(TICKER,"DEEP_MEASURE_PERIOD_BROKER_VALUE","DEEP_MEASURE_ID_OVERRIDE",$C251,"DEEP_BROKER_ID_OVERRIDE",K$24,"DEEP_PERIOD_OVERRIDE",$H$19)*1,"")))</f>
        <v/>
      </c>
      <c r="L251" t="str">
        <f>IF(OR(L$23="",ISNA($B251)),"",IF(ISBLANK($B251),"",IFERROR(_xll.BDP(TICKER,"DEEP_MEASURE_PERIOD_BROKER_VALUE","DEEP_MEASURE_ID_OVERRIDE",$C251,"DEEP_BROKER_ID_OVERRIDE",L$24,"DEEP_PERIOD_OVERRIDE",$H$19)*1,"")))</f>
        <v/>
      </c>
      <c r="M251" t="str">
        <f>IF(OR(M$23="",ISNA($B251)),"",IF(ISBLANK($B251),"",IFERROR(_xll.BDP(TICKER,"DEEP_MEASURE_PERIOD_BROKER_VALUE","DEEP_MEASURE_ID_OVERRIDE",$C251,"DEEP_BROKER_ID_OVERRIDE",M$24,"DEEP_PERIOD_OVERRIDE",$H$19)*1,"")))</f>
        <v/>
      </c>
      <c r="N251" t="str">
        <f>IF(OR(N$23="",ISNA($B251)),"",IF(ISBLANK($B251),"",IFERROR(_xll.BDP(TICKER,"DEEP_MEASURE_PERIOD_BROKER_VALUE","DEEP_MEASURE_ID_OVERRIDE",$C251,"DEEP_BROKER_ID_OVERRIDE",N$24,"DEEP_PERIOD_OVERRIDE",$H$19)*1,"")))</f>
        <v/>
      </c>
      <c r="O251" t="str">
        <f>IF(OR(O$23="",ISNA($B251)),"",IF(ISBLANK($B251),"",IFERROR(_xll.BDP(TICKER,"DEEP_MEASURE_PERIOD_BROKER_VALUE","DEEP_MEASURE_ID_OVERRIDE",$C251,"DEEP_BROKER_ID_OVERRIDE",O$24,"DEEP_PERIOD_OVERRIDE",$H$19)*1,"")))</f>
        <v/>
      </c>
      <c r="P251" t="str">
        <f>IF(OR(P$23="",ISNA($B251)),"",IF(ISBLANK($B251),"",IFERROR(_xll.BDP(TICKER,"DEEP_MEASURE_PERIOD_BROKER_VALUE","DEEP_MEASURE_ID_OVERRIDE",$C251,"DEEP_BROKER_ID_OVERRIDE",P$24,"DEEP_PERIOD_OVERRIDE",$H$19)*1,"")))</f>
        <v/>
      </c>
      <c r="Q251" t="str">
        <f>IF(OR(Q$23="",ISNA($B251)),"",IF(ISBLANK($B251),"",IFERROR(_xll.BDP(TICKER,"DEEP_MEASURE_PERIOD_BROKER_VALUE","DEEP_MEASURE_ID_OVERRIDE",$C251,"DEEP_BROKER_ID_OVERRIDE",Q$24,"DEEP_PERIOD_OVERRIDE",$H$19)*1,"")))</f>
        <v/>
      </c>
      <c r="R251" t="str">
        <f>IF(OR(R$23="",ISNA($B251)),"",IF(ISBLANK($B251),"",IFERROR(_xll.BDP(TICKER,"DEEP_MEASURE_PERIOD_BROKER_VALUE","DEEP_MEASURE_ID_OVERRIDE",$C251,"DEEP_BROKER_ID_OVERRIDE",R$24,"DEEP_PERIOD_OVERRIDE",$H$19)*1,"")))</f>
        <v/>
      </c>
      <c r="S251" t="str">
        <f>IF(OR(S$23="",ISNA($B251)),"",IF(ISBLANK($B251),"",IFERROR(_xll.BDP(TICKER,"DEEP_MEASURE_PERIOD_BROKER_VALUE","DEEP_MEASURE_ID_OVERRIDE",$C251,"DEEP_BROKER_ID_OVERRIDE",S$24,"DEEP_PERIOD_OVERRIDE",$H$19)*1,"")))</f>
        <v/>
      </c>
      <c r="T251" t="str">
        <f>IF(OR(T$23="",ISNA($B251)),"",IF(ISBLANK($B251),"",IFERROR(_xll.BDP(TICKER,"DEEP_MEASURE_PERIOD_BROKER_VALUE","DEEP_MEASURE_ID_OVERRIDE",$C251,"DEEP_BROKER_ID_OVERRIDE",T$24,"DEEP_PERIOD_OVERRIDE",$H$19)*1,"")))</f>
        <v/>
      </c>
      <c r="U251" t="str">
        <f>IF(OR(U$23="",ISNA($B251)),"",IF(ISBLANK($B251),"",IFERROR(_xll.BDP(TICKER,"DEEP_MEASURE_PERIOD_BROKER_VALUE","DEEP_MEASURE_ID_OVERRIDE",$C251,"DEEP_BROKER_ID_OVERRIDE",U$24,"DEEP_PERIOD_OVERRIDE",$H$19)*1,"")))</f>
        <v/>
      </c>
      <c r="V251" t="str">
        <f>IF(OR(V$23="",ISNA($B251)),"",IF(ISBLANK($B251),"",IFERROR(_xll.BDP(TICKER,"DEEP_MEASURE_PERIOD_BROKER_VALUE","DEEP_MEASURE_ID_OVERRIDE",$C251,"DEEP_BROKER_ID_OVERRIDE",V$24,"DEEP_PERIOD_OVERRIDE",$H$19)*1,"")))</f>
        <v/>
      </c>
      <c r="W251" t="str">
        <f>IF(OR(W$23="",ISNA($B251)),"",IF(ISBLANK($B251),"",IFERROR(_xll.BDP(TICKER,"DEEP_MEASURE_PERIOD_BROKER_VALUE","DEEP_MEASURE_ID_OVERRIDE",$C251,"DEEP_BROKER_ID_OVERRIDE",W$24,"DEEP_PERIOD_OVERRIDE",$H$19)*1,"")))</f>
        <v/>
      </c>
      <c r="X251" t="str">
        <f>IF(OR(X$23="",ISNA($B251)),"",IF(ISBLANK($B251),"",IFERROR(_xll.BDP(TICKER,"DEEP_MEASURE_PERIOD_BROKER_VALUE","DEEP_MEASURE_ID_OVERRIDE",$C251,"DEEP_BROKER_ID_OVERRIDE",X$24,"DEEP_PERIOD_OVERRIDE",$H$19)*1,"")))</f>
        <v/>
      </c>
      <c r="Y251" t="str">
        <f>IF(OR(Y$23="",ISNA($B251)),"",IF(ISBLANK($B251),"",IFERROR(_xll.BDP(TICKER,"DEEP_MEASURE_PERIOD_BROKER_VALUE","DEEP_MEASURE_ID_OVERRIDE",$C251,"DEEP_BROKER_ID_OVERRIDE",Y$24,"DEEP_PERIOD_OVERRIDE",$H$19)*1,"")))</f>
        <v/>
      </c>
      <c r="Z251" t="str">
        <f>IF(OR(Z$23="",ISNA($B251)),"",IF(ISBLANK($B251),"",IFERROR(_xll.BDP(TICKER,"DEEP_MEASURE_PERIOD_BROKER_VALUE","DEEP_MEASURE_ID_OVERRIDE",$C251,"DEEP_BROKER_ID_OVERRIDE",Z$24,"DEEP_PERIOD_OVERRIDE",$H$19)*1,"")))</f>
        <v/>
      </c>
      <c r="AA251" t="str">
        <f>IF(OR(AA$23="",ISNA($B251)),"",IF(ISBLANK($B251),"",IFERROR(_xll.BDP(TICKER,"DEEP_MEASURE_PERIOD_BROKER_VALUE","DEEP_MEASURE_ID_OVERRIDE",$C251,"DEEP_BROKER_ID_OVERRIDE",AA$24,"DEEP_PERIOD_OVERRIDE",$H$19)*1,"")))</f>
        <v/>
      </c>
      <c r="AB251" t="str">
        <f>IF(OR(AB$23="",ISNA($B251)),"",IF(ISBLANK($B251),"",IFERROR(_xll.BDP(TICKER,"DEEP_MEASURE_PERIOD_BROKER_VALUE","DEEP_MEASURE_ID_OVERRIDE",$C251,"DEEP_BROKER_ID_OVERRIDE",AB$24,"DEEP_PERIOD_OVERRIDE",$H$19)*1,"")))</f>
        <v/>
      </c>
      <c r="AC251" t="str">
        <f>IF(OR(AC$23="",ISNA($B251)),"",IF(ISBLANK($B251),"",IFERROR(_xll.BDP(TICKER,"DEEP_MEASURE_PERIOD_BROKER_VALUE","DEEP_MEASURE_ID_OVERRIDE",$C251,"DEEP_BROKER_ID_OVERRIDE",AC$24,"DEEP_PERIOD_OVERRIDE",$H$19)*1,"")))</f>
        <v/>
      </c>
      <c r="AD251" t="str">
        <f>IF(OR(AD$23="",ISNA($B251)),"",IF(ISBLANK($B251),"",IFERROR(_xll.BDP(TICKER,"DEEP_MEASURE_PERIOD_BROKER_VALUE","DEEP_MEASURE_ID_OVERRIDE",$C251,"DEEP_BROKER_ID_OVERRIDE",AD$24,"DEEP_PERIOD_OVERRIDE",$H$19)*1,"")))</f>
        <v/>
      </c>
      <c r="AE251" t="str">
        <f>IF(OR(AE$23="",ISNA($B251)),"",IF(ISBLANK($B251),"",IFERROR(_xll.BDP(TICKER,"DEEP_MEASURE_PERIOD_BROKER_VALUE","DEEP_MEASURE_ID_OVERRIDE",$C251,"DEEP_BROKER_ID_OVERRIDE",AE$24,"DEEP_PERIOD_OVERRIDE",$H$19)*1,"")))</f>
        <v/>
      </c>
      <c r="AF251" t="str">
        <f>IF(OR(AF$23="",ISNA($B251)),"",IF(ISBLANK($B251),"",IFERROR(_xll.BDP(TICKER,"DEEP_MEASURE_PERIOD_BROKER_VALUE","DEEP_MEASURE_ID_OVERRIDE",$C251,"DEEP_BROKER_ID_OVERRIDE",AF$24,"DEEP_PERIOD_OVERRIDE",$H$19)*1,"")))</f>
        <v/>
      </c>
      <c r="AG251" t="str">
        <f>IF(OR(AG$23="",ISNA($B251)),"",IF(ISBLANK($B251),"",IFERROR(_xll.BDP(TICKER,"DEEP_MEASURE_PERIOD_BROKER_VALUE","DEEP_MEASURE_ID_OVERRIDE",$C251,"DEEP_BROKER_ID_OVERRIDE",AG$24,"DEEP_PERIOD_OVERRIDE",$H$19)*1,"")))</f>
        <v/>
      </c>
      <c r="AH251" t="str">
        <f>IF(OR(AH$23="",ISNA($B251)),"",IF(ISBLANK($B251),"",IFERROR(_xll.BDP(TICKER,"DEEP_MEASURE_PERIOD_BROKER_VALUE","DEEP_MEASURE_ID_OVERRIDE",$C251,"DEEP_BROKER_ID_OVERRIDE",AH$24,"DEEP_PERIOD_OVERRIDE",$H$19)*1,"")))</f>
        <v/>
      </c>
      <c r="AI251" t="str">
        <f>IF(OR(AI$23="",ISNA($B251)),"",IF(ISBLANK($B251),"",IFERROR(_xll.BDP(TICKER,"DEEP_MEASURE_PERIOD_BROKER_VALUE","DEEP_MEASURE_ID_OVERRIDE",$C251,"DEEP_BROKER_ID_OVERRIDE",AI$24,"DEEP_PERIOD_OVERRIDE",$H$19)*1,"")))</f>
        <v/>
      </c>
      <c r="AJ251" t="str">
        <f>IF(OR(AJ$23="",ISNA($B251)),"",IF(ISBLANK($B251),"",IFERROR(_xll.BDP(TICKER,"DEEP_MEASURE_PERIOD_BROKER_VALUE","DEEP_MEASURE_ID_OVERRIDE",$C251,"DEEP_BROKER_ID_OVERRIDE",AJ$24,"DEEP_PERIOD_OVERRIDE",$H$19)*1,"")))</f>
        <v/>
      </c>
      <c r="AK251" t="str">
        <f>IF(OR(AK$23="",ISNA($B251)),"",IF(ISBLANK($B251),"",IFERROR(_xll.BDP(TICKER,"DEEP_MEASURE_PERIOD_BROKER_VALUE","DEEP_MEASURE_ID_OVERRIDE",$C251,"DEEP_BROKER_ID_OVERRIDE",AK$24,"DEEP_PERIOD_OVERRIDE",$H$19)*1,"")))</f>
        <v/>
      </c>
      <c r="AL251" t="str">
        <f>IF(OR(AL$23="",ISNA($B251)),"",IF(ISBLANK($B251),"",IFERROR(_xll.BDP(TICKER,"DEEP_MEASURE_PERIOD_BROKER_VALUE","DEEP_MEASURE_ID_OVERRIDE",$C251,"DEEP_BROKER_ID_OVERRIDE",AL$24,"DEEP_PERIOD_OVERRIDE",$H$19)*1,"")))</f>
        <v/>
      </c>
      <c r="AM251" t="str">
        <f>IF(OR(AM$23="",ISNA($B251)),"",IF(ISBLANK($B251),"",IFERROR(_xll.BDP(TICKER,"DEEP_MEASURE_PERIOD_BROKER_VALUE","DEEP_MEASURE_ID_OVERRIDE",$C251,"DEEP_BROKER_ID_OVERRIDE",AM$24,"DEEP_PERIOD_OVERRIDE",$H$19)*1,"")))</f>
        <v/>
      </c>
      <c r="AN251" t="str">
        <f>IF(OR(AN$23="",ISNA($B251)),"",IF(ISBLANK($B251),"",IFERROR(_xll.BDP(TICKER,"DEEP_MEASURE_PERIOD_BROKER_VALUE","DEEP_MEASURE_ID_OVERRIDE",$C251,"DEEP_BROKER_ID_OVERRIDE",AN$24,"DEEP_PERIOD_OVERRIDE",$H$19)*1,"")))</f>
        <v/>
      </c>
      <c r="AO251" t="str">
        <f>IF(OR(AO$23="",ISNA($B251)),"",IF(ISBLANK($B251),"",IFERROR(_xll.BDP(TICKER,"DEEP_MEASURE_PERIOD_BROKER_VALUE","DEEP_MEASURE_ID_OVERRIDE",$C251,"DEEP_BROKER_ID_OVERRIDE",AO$24,"DEEP_PERIOD_OVERRIDE",$H$19)*1,"")))</f>
        <v/>
      </c>
      <c r="AP251" t="str">
        <f>IF(OR(AP$23="",ISNA($B251)),"",IF(ISBLANK($B251),"",IFERROR(_xll.BDP(TICKER,"DEEP_MEASURE_PERIOD_BROKER_VALUE","DEEP_MEASURE_ID_OVERRIDE",$C251,"DEEP_BROKER_ID_OVERRIDE",AP$24,"DEEP_PERIOD_OVERRIDE",$H$19)*1,"")))</f>
        <v/>
      </c>
      <c r="AQ251" t="str">
        <f>IF(OR(AQ$23="",ISNA($B251)),"",IF(ISBLANK($B251),"",IFERROR(_xll.BDP(TICKER,"DEEP_MEASURE_PERIOD_BROKER_VALUE","DEEP_MEASURE_ID_OVERRIDE",$C251,"DEEP_BROKER_ID_OVERRIDE",AQ$24,"DEEP_PERIOD_OVERRIDE",$H$19)*1,"")))</f>
        <v/>
      </c>
      <c r="AR251" t="str">
        <f>IF(OR(AR$23="",ISNA($B251)),"",IF(ISBLANK($B251),"",IFERROR(_xll.BDP(TICKER,"DEEP_MEASURE_PERIOD_BROKER_VALUE","DEEP_MEASURE_ID_OVERRIDE",$C251,"DEEP_BROKER_ID_OVERRIDE",AR$24,"DEEP_PERIOD_OVERRIDE",$H$19)*1,"")))</f>
        <v/>
      </c>
      <c r="AS251" t="str">
        <f>IF(OR(AS$23="",ISNA($B251)),"",IF(ISBLANK($B251),"",IFERROR(_xll.BDP(TICKER,"DEEP_MEASURE_PERIOD_BROKER_VALUE","DEEP_MEASURE_ID_OVERRIDE",$C251,"DEEP_BROKER_ID_OVERRIDE",AS$24,"DEEP_PERIOD_OVERRIDE",$H$19)*1,"")))</f>
        <v/>
      </c>
      <c r="AT251" t="str">
        <f>IF(OR(AT$23="",ISNA($B251)),"",IF(ISBLANK($B251),"",IFERROR(_xll.BDP(TICKER,"DEEP_MEASURE_PERIOD_BROKER_VALUE","DEEP_MEASURE_ID_OVERRIDE",$C251,"DEEP_BROKER_ID_OVERRIDE",AT$24,"DEEP_PERIOD_OVERRIDE",$H$19)*1,"")))</f>
        <v/>
      </c>
      <c r="AU251" t="str">
        <f>IF(OR(AU$23="",ISNA($B251)),"",IF(ISBLANK($B251),"",IFERROR(_xll.BDP(TICKER,"DEEP_MEASURE_PERIOD_BROKER_VALUE","DEEP_MEASURE_ID_OVERRIDE",$C251,"DEEP_BROKER_ID_OVERRIDE",AU$24,"DEEP_PERIOD_OVERRIDE",$H$19)*1,"")))</f>
        <v/>
      </c>
      <c r="AV251" t="str">
        <f>IF(OR(AV$23="",ISNA($B251)),"",IF(ISBLANK($B251),"",IFERROR(_xll.BDP(TICKER,"DEEP_MEASURE_PERIOD_BROKER_VALUE","DEEP_MEASURE_ID_OVERRIDE",$C251,"DEEP_BROKER_ID_OVERRIDE",AV$24,"DEEP_PERIOD_OVERRIDE",$H$19)*1,"")))</f>
        <v/>
      </c>
      <c r="AW251" t="str">
        <f>IF(OR(AW$23="",ISNA($B251)),"",IF(ISBLANK($B251),"",IFERROR(_xll.BDP(TICKER,"DEEP_MEASURE_PERIOD_BROKER_VALUE","DEEP_MEASURE_ID_OVERRIDE",$C251,"DEEP_BROKER_ID_OVERRIDE",AW$24,"DEEP_PERIOD_OVERRIDE",$H$19)*1,"")))</f>
        <v/>
      </c>
      <c r="AX251" t="str">
        <f>IF(OR(AX$23="",ISNA($B251)),"",IF(ISBLANK($B251),"",IFERROR(_xll.BDP(TICKER,"DEEP_MEASURE_PERIOD_BROKER_VALUE","DEEP_MEASURE_ID_OVERRIDE",$C251,"DEEP_BROKER_ID_OVERRIDE",AX$24,"DEEP_PERIOD_OVERRIDE",$H$19)*1,"")))</f>
        <v/>
      </c>
      <c r="AY251" t="str">
        <f>IF(OR(AY$23="",ISNA($B251)),"",IF(ISBLANK($B251),"",IFERROR(_xll.BDP(TICKER,"DEEP_MEASURE_PERIOD_BROKER_VALUE","DEEP_MEASURE_ID_OVERRIDE",$C251,"DEEP_BROKER_ID_OVERRIDE",AY$24,"DEEP_PERIOD_OVERRIDE",$H$19)*1,"")))</f>
        <v/>
      </c>
      <c r="AZ251" t="str">
        <f>IF(OR(AZ$23="",ISNA($B251)),"",IF(ISBLANK($B251),"",IFERROR(_xll.BDP(TICKER,"DEEP_MEASURE_PERIOD_BROKER_VALUE","DEEP_MEASURE_ID_OVERRIDE",$C251,"DEEP_BROKER_ID_OVERRIDE",AZ$24,"DEEP_PERIOD_OVERRIDE",$H$19)*1,"")))</f>
        <v/>
      </c>
      <c r="BA251" t="str">
        <f>IF(OR(BA$23="",ISNA($B251)),"",IF(ISBLANK($B251),"",IFERROR(_xll.BDP(TICKER,"DEEP_MEASURE_PERIOD_BROKER_VALUE","DEEP_MEASURE_ID_OVERRIDE",$C251,"DEEP_BROKER_ID_OVERRIDE",BA$24,"DEEP_PERIOD_OVERRIDE",$H$19)*1,"")))</f>
        <v/>
      </c>
      <c r="BB251" t="str">
        <f>IF(OR(BB$23="",ISNA($B251)),"",IF(ISBLANK($B251),"",IFERROR(_xll.BDP(TICKER,"DEEP_MEASURE_PERIOD_BROKER_VALUE","DEEP_MEASURE_ID_OVERRIDE",$C251,"DEEP_BROKER_ID_OVERRIDE",BB$24,"DEEP_PERIOD_OVERRIDE",$H$19)*1,"")))</f>
        <v/>
      </c>
      <c r="BC251" t="str">
        <f>IF(OR(BC$23="",ISNA($B251)),"",IF(ISBLANK($B251),"",IFERROR(_xll.BDP(TICKER,"DEEP_MEASURE_PERIOD_BROKER_VALUE","DEEP_MEASURE_ID_OVERRIDE",$C251,"DEEP_BROKER_ID_OVERRIDE",BC$24,"DEEP_PERIOD_OVERRIDE",$H$19)*1,"")))</f>
        <v/>
      </c>
      <c r="BD251" t="str">
        <f>IF(OR(BD$23="",ISNA($B251)),"",IF(ISBLANK($B251),"",IFERROR(_xll.BDP(TICKER,"DEEP_MEASURE_PERIOD_BROKER_VALUE","DEEP_MEASURE_ID_OVERRIDE",$C251,"DEEP_BROKER_ID_OVERRIDE",BD$24,"DEEP_PERIOD_OVERRIDE",$H$19)*1,"")))</f>
        <v/>
      </c>
      <c r="BE251" t="str">
        <f>IF(OR(BE$23="",ISNA($B251)),"",IF(ISBLANK($B251),"",IFERROR(_xll.BDP(TICKER,"DEEP_MEASURE_PERIOD_BROKER_VALUE","DEEP_MEASURE_ID_OVERRIDE",$C251,"DEEP_BROKER_ID_OVERRIDE",BE$24,"DEEP_PERIOD_OVERRIDE",$H$19)*1,"")))</f>
        <v/>
      </c>
      <c r="BF251" t="str">
        <f>IF(OR(BF$23="",ISNA($B251)),"",IF(ISBLANK($B251),"",IFERROR(_xll.BDP(TICKER,"DEEP_MEASURE_PERIOD_BROKER_VALUE","DEEP_MEASURE_ID_OVERRIDE",$C251,"DEEP_BROKER_ID_OVERRIDE",BF$24,"DEEP_PERIOD_OVERRIDE",$H$19)*1,"")))</f>
        <v/>
      </c>
      <c r="BG251" t="str">
        <f>IF(OR(BG$23="",ISNA($B251)),"",IF(ISBLANK($B251),"",IFERROR(_xll.BDP(TICKER,"DEEP_MEASURE_PERIOD_BROKER_VALUE","DEEP_MEASURE_ID_OVERRIDE",$C251,"DEEP_BROKER_ID_OVERRIDE",BG$24,"DEEP_PERIOD_OVERRIDE",$H$19)*1,"")))</f>
        <v/>
      </c>
      <c r="BH251" t="str">
        <f>IF(OR(BH$23="",ISNA($B251)),"",IF(ISBLANK($B251),"",IFERROR(_xll.BDP(TICKER,"DEEP_MEASURE_PERIOD_BROKER_VALUE","DEEP_MEASURE_ID_OVERRIDE",$C251,"DEEP_BROKER_ID_OVERRIDE",BH$24,"DEEP_PERIOD_OVERRIDE",$H$19)*1,"")))</f>
        <v/>
      </c>
      <c r="BI251" t="str">
        <f>IF(OR(BI$23="",ISNA($B251)),"",IF(ISBLANK($B251),"",IFERROR(_xll.BDP(TICKER,"DEEP_MEASURE_PERIOD_BROKER_VALUE","DEEP_MEASURE_ID_OVERRIDE",$C251,"DEEP_BROKER_ID_OVERRIDE",BI$24,"DEEP_PERIOD_OVERRIDE",$H$19)*1,"")))</f>
        <v/>
      </c>
      <c r="BJ251" t="str">
        <f>IF(OR(BJ$23="",ISNA($B251)),"",IF(ISBLANK($B251),"",IFERROR(_xll.BDP(TICKER,"DEEP_MEASURE_PERIOD_BROKER_VALUE","DEEP_MEASURE_ID_OVERRIDE",$C251,"DEEP_BROKER_ID_OVERRIDE",BJ$24,"DEEP_PERIOD_OVERRIDE",$H$19)*1,"")))</f>
        <v/>
      </c>
      <c r="BK251" t="str">
        <f>IF(OR(BK$23="",ISNA($B251)),"",IF(ISBLANK($B251),"",IFERROR(_xll.BDP(TICKER,"DEEP_MEASURE_PERIOD_BROKER_VALUE","DEEP_MEASURE_ID_OVERRIDE",$C251,"DEEP_BROKER_ID_OVERRIDE",BK$24,"DEEP_PERIOD_OVERRIDE",$H$19)*1,"")))</f>
        <v/>
      </c>
      <c r="BL251" t="str">
        <f>IF(OR(BL$23="",ISNA($B251)),"",IF(ISBLANK($B251),"",IFERROR(_xll.BDP(TICKER,"DEEP_MEASURE_PERIOD_BROKER_VALUE","DEEP_MEASURE_ID_OVERRIDE",$C251,"DEEP_BROKER_ID_OVERRIDE",BL$24,"DEEP_PERIOD_OVERRIDE",$H$19)*1,"")))</f>
        <v/>
      </c>
      <c r="BM251" t="str">
        <f>IF(OR(BM$23="",ISNA($B251)),"",IF(ISBLANK($B251),"",IFERROR(_xll.BDP(TICKER,"DEEP_MEASURE_PERIOD_BROKER_VALUE","DEEP_MEASURE_ID_OVERRIDE",$C251,"DEEP_BROKER_ID_OVERRIDE",BM$24,"DEEP_PERIOD_OVERRIDE",$H$19)*1,"")))</f>
        <v/>
      </c>
      <c r="BN251" t="str">
        <f>IF(OR(BN$23="",ISNA($B251)),"",IF(ISBLANK($B251),"",IFERROR(_xll.BDP(TICKER,"DEEP_MEASURE_PERIOD_BROKER_VALUE","DEEP_MEASURE_ID_OVERRIDE",$C251,"DEEP_BROKER_ID_OVERRIDE",BN$24,"DEEP_PERIOD_OVERRIDE",$H$19)*1,"")))</f>
        <v/>
      </c>
      <c r="BO251" t="str">
        <f>IF(OR(BO$23="",ISNA($B251)),"",IF(ISBLANK($B251),"",IFERROR(_xll.BDP(TICKER,"DEEP_MEASURE_PERIOD_BROKER_VALUE","DEEP_MEASURE_ID_OVERRIDE",$C251,"DEEP_BROKER_ID_OVERRIDE",BO$24,"DEEP_PERIOD_OVERRIDE",$H$19)*1,"")))</f>
        <v/>
      </c>
      <c r="BP251" t="str">
        <f>IF(OR(BP$23="",ISNA($B251)),"",IF(ISBLANK($B251),"",IFERROR(_xll.BDP(TICKER,"DEEP_MEASURE_PERIOD_BROKER_VALUE","DEEP_MEASURE_ID_OVERRIDE",$C251,"DEEP_BROKER_ID_OVERRIDE",BP$24,"DEEP_PERIOD_OVERRIDE",$H$19)*1,"")))</f>
        <v/>
      </c>
      <c r="BQ251" t="str">
        <f>IF(OR(BQ$23="",ISNA($B251)),"",IF(ISBLANK($B251),"",IFERROR(_xll.BDP(TICKER,"DEEP_MEASURE_PERIOD_BROKER_VALUE","DEEP_MEASURE_ID_OVERRIDE",$C251,"DEEP_BROKER_ID_OVERRIDE",BQ$24,"DEEP_PERIOD_OVERRIDE",$H$19)*1,"")))</f>
        <v/>
      </c>
      <c r="BR251" t="str">
        <f>IF(OR(BR$23="",ISNA($B251)),"",IF(ISBLANK($B251),"",IFERROR(_xll.BDP(TICKER,"DEEP_MEASURE_PERIOD_BROKER_VALUE","DEEP_MEASURE_ID_OVERRIDE",$C251,"DEEP_BROKER_ID_OVERRIDE",BR$24,"DEEP_PERIOD_OVERRIDE",$H$19)*1,"")))</f>
        <v/>
      </c>
      <c r="BS251" t="str">
        <f>IF(OR(BS$23="",ISNA($B251)),"",IF(ISBLANK($B251),"",IFERROR(_xll.BDP(TICKER,"DEEP_MEASURE_PERIOD_BROKER_VALUE","DEEP_MEASURE_ID_OVERRIDE",$C251,"DEEP_BROKER_ID_OVERRIDE",BS$24,"DEEP_PERIOD_OVERRIDE",$H$19)*1,"")))</f>
        <v/>
      </c>
      <c r="BT251" t="str">
        <f>IF(OR(BT$23="",ISNA($B251)),"",IF(ISBLANK($B251),"",IFERROR(_xll.BDP(TICKER,"DEEP_MEASURE_PERIOD_BROKER_VALUE","DEEP_MEASURE_ID_OVERRIDE",$C251,"DEEP_BROKER_ID_OVERRIDE",BT$24,"DEEP_PERIOD_OVERRIDE",$H$19)*1,"")))</f>
        <v/>
      </c>
      <c r="BU251" t="str">
        <f>IF(OR(BU$23="",ISNA($B251)),"",IF(ISBLANK($B251),"",IFERROR(_xll.BDP(TICKER,"DEEP_MEASURE_PERIOD_BROKER_VALUE","DEEP_MEASURE_ID_OVERRIDE",$C251,"DEEP_BROKER_ID_OVERRIDE",BU$24,"DEEP_PERIOD_OVERRIDE",$H$19)*1,"")))</f>
        <v/>
      </c>
      <c r="BV251" t="str">
        <f>IF(OR(BV$23="",ISNA($B251)),"",IF(ISBLANK($B251),"",IFERROR(_xll.BDP(TICKER,"DEEP_MEASURE_PERIOD_BROKER_VALUE","DEEP_MEASURE_ID_OVERRIDE",$C251,"DEEP_BROKER_ID_OVERRIDE",BV$24,"DEEP_PERIOD_OVERRIDE",$H$19)*1,"")))</f>
        <v/>
      </c>
      <c r="BW251" t="str">
        <f>IF(OR(BW$23="",ISNA($B251)),"",IF(ISBLANK($B251),"",IFERROR(_xll.BDP(TICKER,"DEEP_MEASURE_PERIOD_BROKER_VALUE","DEEP_MEASURE_ID_OVERRIDE",$C251,"DEEP_BROKER_ID_OVERRIDE",BW$24,"DEEP_PERIOD_OVERRIDE",$H$19)*1,"")))</f>
        <v/>
      </c>
      <c r="BX251" t="str">
        <f>IF(OR(BX$23="",ISNA($B251)),"",IF(ISBLANK($B251),"",IFERROR(_xll.BDP(TICKER,"DEEP_MEASURE_PERIOD_BROKER_VALUE","DEEP_MEASURE_ID_OVERRIDE",$C251,"DEEP_BROKER_ID_OVERRIDE",BX$24,"DEEP_PERIOD_OVERRIDE",$H$19)*1,"")))</f>
        <v/>
      </c>
      <c r="BY251" t="str">
        <f>IF(OR(BY$23="",ISNA($B251)),"",IF(ISBLANK($B251),"",IFERROR(_xll.BDP(TICKER,"DEEP_MEASURE_PERIOD_BROKER_VALUE","DEEP_MEASURE_ID_OVERRIDE",$C251,"DEEP_BROKER_ID_OVERRIDE",BY$24,"DEEP_PERIOD_OVERRIDE",$H$19)*1,"")))</f>
        <v/>
      </c>
      <c r="BZ251" t="str">
        <f>IF(OR(BZ$23="",ISNA($B251)),"",IF(ISBLANK($B251),"",IFERROR(_xll.BDP(TICKER,"DEEP_MEASURE_PERIOD_BROKER_VALUE","DEEP_MEASURE_ID_OVERRIDE",$C251,"DEEP_BROKER_ID_OVERRIDE",BZ$24,"DEEP_PERIOD_OVERRIDE",$H$19)*1,"")))</f>
        <v/>
      </c>
    </row>
    <row r="252" spans="8:78" x14ac:dyDescent="0.25">
      <c r="H252" t="str">
        <f t="shared" si="4"/>
        <v/>
      </c>
      <c r="I252" t="str">
        <f>IF(OR(I$23="",ISNA($B252)),"",IF(ISBLANK($B252),"",IFERROR(_xll.BDP(TICKER,"DEEP_MEASURE_PERIOD_BROKER_VALUE","DEEP_MEASURE_ID_OVERRIDE",$C252,"DEEP_PERIOD_OVERRIDE",$H$19)*1,"")))</f>
        <v/>
      </c>
      <c r="J252" t="e">
        <f>IF(OR(J$23="",ISNA($B252)),"",IF(ISBLANK($B252),"",IFERROR(_xll.BDP(TICKER,"DEEP_MEASURE_PERIOD_BROKER_VALUE","DEEP_MEASURE_ID_OVERRIDE",$C252,"DEEP_BROKER_ID_OVERRIDE",J$24,"DEEP_PERIOD_OVERRIDE",$H$19)*1,"")))</f>
        <v>#REF!</v>
      </c>
      <c r="K252" t="str">
        <f>IF(OR(K$23="",ISNA($B252)),"",IF(ISBLANK($B252),"",IFERROR(_xll.BDP(TICKER,"DEEP_MEASURE_PERIOD_BROKER_VALUE","DEEP_MEASURE_ID_OVERRIDE",$C252,"DEEP_BROKER_ID_OVERRIDE",K$24,"DEEP_PERIOD_OVERRIDE",$H$19)*1,"")))</f>
        <v/>
      </c>
      <c r="L252" t="str">
        <f>IF(OR(L$23="",ISNA($B252)),"",IF(ISBLANK($B252),"",IFERROR(_xll.BDP(TICKER,"DEEP_MEASURE_PERIOD_BROKER_VALUE","DEEP_MEASURE_ID_OVERRIDE",$C252,"DEEP_BROKER_ID_OVERRIDE",L$24,"DEEP_PERIOD_OVERRIDE",$H$19)*1,"")))</f>
        <v/>
      </c>
      <c r="M252" t="str">
        <f>IF(OR(M$23="",ISNA($B252)),"",IF(ISBLANK($B252),"",IFERROR(_xll.BDP(TICKER,"DEEP_MEASURE_PERIOD_BROKER_VALUE","DEEP_MEASURE_ID_OVERRIDE",$C252,"DEEP_BROKER_ID_OVERRIDE",M$24,"DEEP_PERIOD_OVERRIDE",$H$19)*1,"")))</f>
        <v/>
      </c>
      <c r="N252" t="str">
        <f>IF(OR(N$23="",ISNA($B252)),"",IF(ISBLANK($B252),"",IFERROR(_xll.BDP(TICKER,"DEEP_MEASURE_PERIOD_BROKER_VALUE","DEEP_MEASURE_ID_OVERRIDE",$C252,"DEEP_BROKER_ID_OVERRIDE",N$24,"DEEP_PERIOD_OVERRIDE",$H$19)*1,"")))</f>
        <v/>
      </c>
      <c r="O252" t="str">
        <f>IF(OR(O$23="",ISNA($B252)),"",IF(ISBLANK($B252),"",IFERROR(_xll.BDP(TICKER,"DEEP_MEASURE_PERIOD_BROKER_VALUE","DEEP_MEASURE_ID_OVERRIDE",$C252,"DEEP_BROKER_ID_OVERRIDE",O$24,"DEEP_PERIOD_OVERRIDE",$H$19)*1,"")))</f>
        <v/>
      </c>
      <c r="P252" t="str">
        <f>IF(OR(P$23="",ISNA($B252)),"",IF(ISBLANK($B252),"",IFERROR(_xll.BDP(TICKER,"DEEP_MEASURE_PERIOD_BROKER_VALUE","DEEP_MEASURE_ID_OVERRIDE",$C252,"DEEP_BROKER_ID_OVERRIDE",P$24,"DEEP_PERIOD_OVERRIDE",$H$19)*1,"")))</f>
        <v/>
      </c>
      <c r="Q252" t="str">
        <f>IF(OR(Q$23="",ISNA($B252)),"",IF(ISBLANK($B252),"",IFERROR(_xll.BDP(TICKER,"DEEP_MEASURE_PERIOD_BROKER_VALUE","DEEP_MEASURE_ID_OVERRIDE",$C252,"DEEP_BROKER_ID_OVERRIDE",Q$24,"DEEP_PERIOD_OVERRIDE",$H$19)*1,"")))</f>
        <v/>
      </c>
      <c r="R252" t="str">
        <f>IF(OR(R$23="",ISNA($B252)),"",IF(ISBLANK($B252),"",IFERROR(_xll.BDP(TICKER,"DEEP_MEASURE_PERIOD_BROKER_VALUE","DEEP_MEASURE_ID_OVERRIDE",$C252,"DEEP_BROKER_ID_OVERRIDE",R$24,"DEEP_PERIOD_OVERRIDE",$H$19)*1,"")))</f>
        <v/>
      </c>
      <c r="S252" t="str">
        <f>IF(OR(S$23="",ISNA($B252)),"",IF(ISBLANK($B252),"",IFERROR(_xll.BDP(TICKER,"DEEP_MEASURE_PERIOD_BROKER_VALUE","DEEP_MEASURE_ID_OVERRIDE",$C252,"DEEP_BROKER_ID_OVERRIDE",S$24,"DEEP_PERIOD_OVERRIDE",$H$19)*1,"")))</f>
        <v/>
      </c>
      <c r="T252" t="str">
        <f>IF(OR(T$23="",ISNA($B252)),"",IF(ISBLANK($B252),"",IFERROR(_xll.BDP(TICKER,"DEEP_MEASURE_PERIOD_BROKER_VALUE","DEEP_MEASURE_ID_OVERRIDE",$C252,"DEEP_BROKER_ID_OVERRIDE",T$24,"DEEP_PERIOD_OVERRIDE",$H$19)*1,"")))</f>
        <v/>
      </c>
      <c r="U252" t="str">
        <f>IF(OR(U$23="",ISNA($B252)),"",IF(ISBLANK($B252),"",IFERROR(_xll.BDP(TICKER,"DEEP_MEASURE_PERIOD_BROKER_VALUE","DEEP_MEASURE_ID_OVERRIDE",$C252,"DEEP_BROKER_ID_OVERRIDE",U$24,"DEEP_PERIOD_OVERRIDE",$H$19)*1,"")))</f>
        <v/>
      </c>
      <c r="V252" t="str">
        <f>IF(OR(V$23="",ISNA($B252)),"",IF(ISBLANK($B252),"",IFERROR(_xll.BDP(TICKER,"DEEP_MEASURE_PERIOD_BROKER_VALUE","DEEP_MEASURE_ID_OVERRIDE",$C252,"DEEP_BROKER_ID_OVERRIDE",V$24,"DEEP_PERIOD_OVERRIDE",$H$19)*1,"")))</f>
        <v/>
      </c>
      <c r="W252" t="str">
        <f>IF(OR(W$23="",ISNA($B252)),"",IF(ISBLANK($B252),"",IFERROR(_xll.BDP(TICKER,"DEEP_MEASURE_PERIOD_BROKER_VALUE","DEEP_MEASURE_ID_OVERRIDE",$C252,"DEEP_BROKER_ID_OVERRIDE",W$24,"DEEP_PERIOD_OVERRIDE",$H$19)*1,"")))</f>
        <v/>
      </c>
      <c r="X252" t="str">
        <f>IF(OR(X$23="",ISNA($B252)),"",IF(ISBLANK($B252),"",IFERROR(_xll.BDP(TICKER,"DEEP_MEASURE_PERIOD_BROKER_VALUE","DEEP_MEASURE_ID_OVERRIDE",$C252,"DEEP_BROKER_ID_OVERRIDE",X$24,"DEEP_PERIOD_OVERRIDE",$H$19)*1,"")))</f>
        <v/>
      </c>
      <c r="Y252" t="str">
        <f>IF(OR(Y$23="",ISNA($B252)),"",IF(ISBLANK($B252),"",IFERROR(_xll.BDP(TICKER,"DEEP_MEASURE_PERIOD_BROKER_VALUE","DEEP_MEASURE_ID_OVERRIDE",$C252,"DEEP_BROKER_ID_OVERRIDE",Y$24,"DEEP_PERIOD_OVERRIDE",$H$19)*1,"")))</f>
        <v/>
      </c>
      <c r="Z252" t="str">
        <f>IF(OR(Z$23="",ISNA($B252)),"",IF(ISBLANK($B252),"",IFERROR(_xll.BDP(TICKER,"DEEP_MEASURE_PERIOD_BROKER_VALUE","DEEP_MEASURE_ID_OVERRIDE",$C252,"DEEP_BROKER_ID_OVERRIDE",Z$24,"DEEP_PERIOD_OVERRIDE",$H$19)*1,"")))</f>
        <v/>
      </c>
      <c r="AA252" t="str">
        <f>IF(OR(AA$23="",ISNA($B252)),"",IF(ISBLANK($B252),"",IFERROR(_xll.BDP(TICKER,"DEEP_MEASURE_PERIOD_BROKER_VALUE","DEEP_MEASURE_ID_OVERRIDE",$C252,"DEEP_BROKER_ID_OVERRIDE",AA$24,"DEEP_PERIOD_OVERRIDE",$H$19)*1,"")))</f>
        <v/>
      </c>
      <c r="AB252" t="str">
        <f>IF(OR(AB$23="",ISNA($B252)),"",IF(ISBLANK($B252),"",IFERROR(_xll.BDP(TICKER,"DEEP_MEASURE_PERIOD_BROKER_VALUE","DEEP_MEASURE_ID_OVERRIDE",$C252,"DEEP_BROKER_ID_OVERRIDE",AB$24,"DEEP_PERIOD_OVERRIDE",$H$19)*1,"")))</f>
        <v/>
      </c>
      <c r="AC252" t="str">
        <f>IF(OR(AC$23="",ISNA($B252)),"",IF(ISBLANK($B252),"",IFERROR(_xll.BDP(TICKER,"DEEP_MEASURE_PERIOD_BROKER_VALUE","DEEP_MEASURE_ID_OVERRIDE",$C252,"DEEP_BROKER_ID_OVERRIDE",AC$24,"DEEP_PERIOD_OVERRIDE",$H$19)*1,"")))</f>
        <v/>
      </c>
      <c r="AD252" t="str">
        <f>IF(OR(AD$23="",ISNA($B252)),"",IF(ISBLANK($B252),"",IFERROR(_xll.BDP(TICKER,"DEEP_MEASURE_PERIOD_BROKER_VALUE","DEEP_MEASURE_ID_OVERRIDE",$C252,"DEEP_BROKER_ID_OVERRIDE",AD$24,"DEEP_PERIOD_OVERRIDE",$H$19)*1,"")))</f>
        <v/>
      </c>
      <c r="AE252" t="str">
        <f>IF(OR(AE$23="",ISNA($B252)),"",IF(ISBLANK($B252),"",IFERROR(_xll.BDP(TICKER,"DEEP_MEASURE_PERIOD_BROKER_VALUE","DEEP_MEASURE_ID_OVERRIDE",$C252,"DEEP_BROKER_ID_OVERRIDE",AE$24,"DEEP_PERIOD_OVERRIDE",$H$19)*1,"")))</f>
        <v/>
      </c>
      <c r="AF252" t="str">
        <f>IF(OR(AF$23="",ISNA($B252)),"",IF(ISBLANK($B252),"",IFERROR(_xll.BDP(TICKER,"DEEP_MEASURE_PERIOD_BROKER_VALUE","DEEP_MEASURE_ID_OVERRIDE",$C252,"DEEP_BROKER_ID_OVERRIDE",AF$24,"DEEP_PERIOD_OVERRIDE",$H$19)*1,"")))</f>
        <v/>
      </c>
      <c r="AG252" t="str">
        <f>IF(OR(AG$23="",ISNA($B252)),"",IF(ISBLANK($B252),"",IFERROR(_xll.BDP(TICKER,"DEEP_MEASURE_PERIOD_BROKER_VALUE","DEEP_MEASURE_ID_OVERRIDE",$C252,"DEEP_BROKER_ID_OVERRIDE",AG$24,"DEEP_PERIOD_OVERRIDE",$H$19)*1,"")))</f>
        <v/>
      </c>
      <c r="AH252" t="str">
        <f>IF(OR(AH$23="",ISNA($B252)),"",IF(ISBLANK($B252),"",IFERROR(_xll.BDP(TICKER,"DEEP_MEASURE_PERIOD_BROKER_VALUE","DEEP_MEASURE_ID_OVERRIDE",$C252,"DEEP_BROKER_ID_OVERRIDE",AH$24,"DEEP_PERIOD_OVERRIDE",$H$19)*1,"")))</f>
        <v/>
      </c>
      <c r="AI252" t="str">
        <f>IF(OR(AI$23="",ISNA($B252)),"",IF(ISBLANK($B252),"",IFERROR(_xll.BDP(TICKER,"DEEP_MEASURE_PERIOD_BROKER_VALUE","DEEP_MEASURE_ID_OVERRIDE",$C252,"DEEP_BROKER_ID_OVERRIDE",AI$24,"DEEP_PERIOD_OVERRIDE",$H$19)*1,"")))</f>
        <v/>
      </c>
      <c r="AJ252" t="str">
        <f>IF(OR(AJ$23="",ISNA($B252)),"",IF(ISBLANK($B252),"",IFERROR(_xll.BDP(TICKER,"DEEP_MEASURE_PERIOD_BROKER_VALUE","DEEP_MEASURE_ID_OVERRIDE",$C252,"DEEP_BROKER_ID_OVERRIDE",AJ$24,"DEEP_PERIOD_OVERRIDE",$H$19)*1,"")))</f>
        <v/>
      </c>
      <c r="AK252" t="str">
        <f>IF(OR(AK$23="",ISNA($B252)),"",IF(ISBLANK($B252),"",IFERROR(_xll.BDP(TICKER,"DEEP_MEASURE_PERIOD_BROKER_VALUE","DEEP_MEASURE_ID_OVERRIDE",$C252,"DEEP_BROKER_ID_OVERRIDE",AK$24,"DEEP_PERIOD_OVERRIDE",$H$19)*1,"")))</f>
        <v/>
      </c>
      <c r="AL252" t="str">
        <f>IF(OR(AL$23="",ISNA($B252)),"",IF(ISBLANK($B252),"",IFERROR(_xll.BDP(TICKER,"DEEP_MEASURE_PERIOD_BROKER_VALUE","DEEP_MEASURE_ID_OVERRIDE",$C252,"DEEP_BROKER_ID_OVERRIDE",AL$24,"DEEP_PERIOD_OVERRIDE",$H$19)*1,"")))</f>
        <v/>
      </c>
      <c r="AM252" t="str">
        <f>IF(OR(AM$23="",ISNA($B252)),"",IF(ISBLANK($B252),"",IFERROR(_xll.BDP(TICKER,"DEEP_MEASURE_PERIOD_BROKER_VALUE","DEEP_MEASURE_ID_OVERRIDE",$C252,"DEEP_BROKER_ID_OVERRIDE",AM$24,"DEEP_PERIOD_OVERRIDE",$H$19)*1,"")))</f>
        <v/>
      </c>
      <c r="AN252" t="str">
        <f>IF(OR(AN$23="",ISNA($B252)),"",IF(ISBLANK($B252),"",IFERROR(_xll.BDP(TICKER,"DEEP_MEASURE_PERIOD_BROKER_VALUE","DEEP_MEASURE_ID_OVERRIDE",$C252,"DEEP_BROKER_ID_OVERRIDE",AN$24,"DEEP_PERIOD_OVERRIDE",$H$19)*1,"")))</f>
        <v/>
      </c>
      <c r="AO252" t="str">
        <f>IF(OR(AO$23="",ISNA($B252)),"",IF(ISBLANK($B252),"",IFERROR(_xll.BDP(TICKER,"DEEP_MEASURE_PERIOD_BROKER_VALUE","DEEP_MEASURE_ID_OVERRIDE",$C252,"DEEP_BROKER_ID_OVERRIDE",AO$24,"DEEP_PERIOD_OVERRIDE",$H$19)*1,"")))</f>
        <v/>
      </c>
      <c r="AP252" t="str">
        <f>IF(OR(AP$23="",ISNA($B252)),"",IF(ISBLANK($B252),"",IFERROR(_xll.BDP(TICKER,"DEEP_MEASURE_PERIOD_BROKER_VALUE","DEEP_MEASURE_ID_OVERRIDE",$C252,"DEEP_BROKER_ID_OVERRIDE",AP$24,"DEEP_PERIOD_OVERRIDE",$H$19)*1,"")))</f>
        <v/>
      </c>
      <c r="AQ252" t="str">
        <f>IF(OR(AQ$23="",ISNA($B252)),"",IF(ISBLANK($B252),"",IFERROR(_xll.BDP(TICKER,"DEEP_MEASURE_PERIOD_BROKER_VALUE","DEEP_MEASURE_ID_OVERRIDE",$C252,"DEEP_BROKER_ID_OVERRIDE",AQ$24,"DEEP_PERIOD_OVERRIDE",$H$19)*1,"")))</f>
        <v/>
      </c>
      <c r="AR252" t="str">
        <f>IF(OR(AR$23="",ISNA($B252)),"",IF(ISBLANK($B252),"",IFERROR(_xll.BDP(TICKER,"DEEP_MEASURE_PERIOD_BROKER_VALUE","DEEP_MEASURE_ID_OVERRIDE",$C252,"DEEP_BROKER_ID_OVERRIDE",AR$24,"DEEP_PERIOD_OVERRIDE",$H$19)*1,"")))</f>
        <v/>
      </c>
      <c r="AS252" t="str">
        <f>IF(OR(AS$23="",ISNA($B252)),"",IF(ISBLANK($B252),"",IFERROR(_xll.BDP(TICKER,"DEEP_MEASURE_PERIOD_BROKER_VALUE","DEEP_MEASURE_ID_OVERRIDE",$C252,"DEEP_BROKER_ID_OVERRIDE",AS$24,"DEEP_PERIOD_OVERRIDE",$H$19)*1,"")))</f>
        <v/>
      </c>
      <c r="AT252" t="str">
        <f>IF(OR(AT$23="",ISNA($B252)),"",IF(ISBLANK($B252),"",IFERROR(_xll.BDP(TICKER,"DEEP_MEASURE_PERIOD_BROKER_VALUE","DEEP_MEASURE_ID_OVERRIDE",$C252,"DEEP_BROKER_ID_OVERRIDE",AT$24,"DEEP_PERIOD_OVERRIDE",$H$19)*1,"")))</f>
        <v/>
      </c>
      <c r="AU252" t="str">
        <f>IF(OR(AU$23="",ISNA($B252)),"",IF(ISBLANK($B252),"",IFERROR(_xll.BDP(TICKER,"DEEP_MEASURE_PERIOD_BROKER_VALUE","DEEP_MEASURE_ID_OVERRIDE",$C252,"DEEP_BROKER_ID_OVERRIDE",AU$24,"DEEP_PERIOD_OVERRIDE",$H$19)*1,"")))</f>
        <v/>
      </c>
      <c r="AV252" t="str">
        <f>IF(OR(AV$23="",ISNA($B252)),"",IF(ISBLANK($B252),"",IFERROR(_xll.BDP(TICKER,"DEEP_MEASURE_PERIOD_BROKER_VALUE","DEEP_MEASURE_ID_OVERRIDE",$C252,"DEEP_BROKER_ID_OVERRIDE",AV$24,"DEEP_PERIOD_OVERRIDE",$H$19)*1,"")))</f>
        <v/>
      </c>
      <c r="AW252" t="str">
        <f>IF(OR(AW$23="",ISNA($B252)),"",IF(ISBLANK($B252),"",IFERROR(_xll.BDP(TICKER,"DEEP_MEASURE_PERIOD_BROKER_VALUE","DEEP_MEASURE_ID_OVERRIDE",$C252,"DEEP_BROKER_ID_OVERRIDE",AW$24,"DEEP_PERIOD_OVERRIDE",$H$19)*1,"")))</f>
        <v/>
      </c>
      <c r="AX252" t="str">
        <f>IF(OR(AX$23="",ISNA($B252)),"",IF(ISBLANK($B252),"",IFERROR(_xll.BDP(TICKER,"DEEP_MEASURE_PERIOD_BROKER_VALUE","DEEP_MEASURE_ID_OVERRIDE",$C252,"DEEP_BROKER_ID_OVERRIDE",AX$24,"DEEP_PERIOD_OVERRIDE",$H$19)*1,"")))</f>
        <v/>
      </c>
      <c r="AY252" t="str">
        <f>IF(OR(AY$23="",ISNA($B252)),"",IF(ISBLANK($B252),"",IFERROR(_xll.BDP(TICKER,"DEEP_MEASURE_PERIOD_BROKER_VALUE","DEEP_MEASURE_ID_OVERRIDE",$C252,"DEEP_BROKER_ID_OVERRIDE",AY$24,"DEEP_PERIOD_OVERRIDE",$H$19)*1,"")))</f>
        <v/>
      </c>
      <c r="AZ252" t="str">
        <f>IF(OR(AZ$23="",ISNA($B252)),"",IF(ISBLANK($B252),"",IFERROR(_xll.BDP(TICKER,"DEEP_MEASURE_PERIOD_BROKER_VALUE","DEEP_MEASURE_ID_OVERRIDE",$C252,"DEEP_BROKER_ID_OVERRIDE",AZ$24,"DEEP_PERIOD_OVERRIDE",$H$19)*1,"")))</f>
        <v/>
      </c>
      <c r="BA252" t="str">
        <f>IF(OR(BA$23="",ISNA($B252)),"",IF(ISBLANK($B252),"",IFERROR(_xll.BDP(TICKER,"DEEP_MEASURE_PERIOD_BROKER_VALUE","DEEP_MEASURE_ID_OVERRIDE",$C252,"DEEP_BROKER_ID_OVERRIDE",BA$24,"DEEP_PERIOD_OVERRIDE",$H$19)*1,"")))</f>
        <v/>
      </c>
      <c r="BB252" t="str">
        <f>IF(OR(BB$23="",ISNA($B252)),"",IF(ISBLANK($B252),"",IFERROR(_xll.BDP(TICKER,"DEEP_MEASURE_PERIOD_BROKER_VALUE","DEEP_MEASURE_ID_OVERRIDE",$C252,"DEEP_BROKER_ID_OVERRIDE",BB$24,"DEEP_PERIOD_OVERRIDE",$H$19)*1,"")))</f>
        <v/>
      </c>
      <c r="BC252" t="str">
        <f>IF(OR(BC$23="",ISNA($B252)),"",IF(ISBLANK($B252),"",IFERROR(_xll.BDP(TICKER,"DEEP_MEASURE_PERIOD_BROKER_VALUE","DEEP_MEASURE_ID_OVERRIDE",$C252,"DEEP_BROKER_ID_OVERRIDE",BC$24,"DEEP_PERIOD_OVERRIDE",$H$19)*1,"")))</f>
        <v/>
      </c>
      <c r="BD252" t="str">
        <f>IF(OR(BD$23="",ISNA($B252)),"",IF(ISBLANK($B252),"",IFERROR(_xll.BDP(TICKER,"DEEP_MEASURE_PERIOD_BROKER_VALUE","DEEP_MEASURE_ID_OVERRIDE",$C252,"DEEP_BROKER_ID_OVERRIDE",BD$24,"DEEP_PERIOD_OVERRIDE",$H$19)*1,"")))</f>
        <v/>
      </c>
      <c r="BE252" t="str">
        <f>IF(OR(BE$23="",ISNA($B252)),"",IF(ISBLANK($B252),"",IFERROR(_xll.BDP(TICKER,"DEEP_MEASURE_PERIOD_BROKER_VALUE","DEEP_MEASURE_ID_OVERRIDE",$C252,"DEEP_BROKER_ID_OVERRIDE",BE$24,"DEEP_PERIOD_OVERRIDE",$H$19)*1,"")))</f>
        <v/>
      </c>
      <c r="BF252" t="str">
        <f>IF(OR(BF$23="",ISNA($B252)),"",IF(ISBLANK($B252),"",IFERROR(_xll.BDP(TICKER,"DEEP_MEASURE_PERIOD_BROKER_VALUE","DEEP_MEASURE_ID_OVERRIDE",$C252,"DEEP_BROKER_ID_OVERRIDE",BF$24,"DEEP_PERIOD_OVERRIDE",$H$19)*1,"")))</f>
        <v/>
      </c>
      <c r="BG252" t="str">
        <f>IF(OR(BG$23="",ISNA($B252)),"",IF(ISBLANK($B252),"",IFERROR(_xll.BDP(TICKER,"DEEP_MEASURE_PERIOD_BROKER_VALUE","DEEP_MEASURE_ID_OVERRIDE",$C252,"DEEP_BROKER_ID_OVERRIDE",BG$24,"DEEP_PERIOD_OVERRIDE",$H$19)*1,"")))</f>
        <v/>
      </c>
      <c r="BH252" t="str">
        <f>IF(OR(BH$23="",ISNA($B252)),"",IF(ISBLANK($B252),"",IFERROR(_xll.BDP(TICKER,"DEEP_MEASURE_PERIOD_BROKER_VALUE","DEEP_MEASURE_ID_OVERRIDE",$C252,"DEEP_BROKER_ID_OVERRIDE",BH$24,"DEEP_PERIOD_OVERRIDE",$H$19)*1,"")))</f>
        <v/>
      </c>
      <c r="BI252" t="str">
        <f>IF(OR(BI$23="",ISNA($B252)),"",IF(ISBLANK($B252),"",IFERROR(_xll.BDP(TICKER,"DEEP_MEASURE_PERIOD_BROKER_VALUE","DEEP_MEASURE_ID_OVERRIDE",$C252,"DEEP_BROKER_ID_OVERRIDE",BI$24,"DEEP_PERIOD_OVERRIDE",$H$19)*1,"")))</f>
        <v/>
      </c>
      <c r="BJ252" t="str">
        <f>IF(OR(BJ$23="",ISNA($B252)),"",IF(ISBLANK($B252),"",IFERROR(_xll.BDP(TICKER,"DEEP_MEASURE_PERIOD_BROKER_VALUE","DEEP_MEASURE_ID_OVERRIDE",$C252,"DEEP_BROKER_ID_OVERRIDE",BJ$24,"DEEP_PERIOD_OVERRIDE",$H$19)*1,"")))</f>
        <v/>
      </c>
      <c r="BK252" t="str">
        <f>IF(OR(BK$23="",ISNA($B252)),"",IF(ISBLANK($B252),"",IFERROR(_xll.BDP(TICKER,"DEEP_MEASURE_PERIOD_BROKER_VALUE","DEEP_MEASURE_ID_OVERRIDE",$C252,"DEEP_BROKER_ID_OVERRIDE",BK$24,"DEEP_PERIOD_OVERRIDE",$H$19)*1,"")))</f>
        <v/>
      </c>
      <c r="BL252" t="str">
        <f>IF(OR(BL$23="",ISNA($B252)),"",IF(ISBLANK($B252),"",IFERROR(_xll.BDP(TICKER,"DEEP_MEASURE_PERIOD_BROKER_VALUE","DEEP_MEASURE_ID_OVERRIDE",$C252,"DEEP_BROKER_ID_OVERRIDE",BL$24,"DEEP_PERIOD_OVERRIDE",$H$19)*1,"")))</f>
        <v/>
      </c>
      <c r="BM252" t="str">
        <f>IF(OR(BM$23="",ISNA($B252)),"",IF(ISBLANK($B252),"",IFERROR(_xll.BDP(TICKER,"DEEP_MEASURE_PERIOD_BROKER_VALUE","DEEP_MEASURE_ID_OVERRIDE",$C252,"DEEP_BROKER_ID_OVERRIDE",BM$24,"DEEP_PERIOD_OVERRIDE",$H$19)*1,"")))</f>
        <v/>
      </c>
      <c r="BN252" t="str">
        <f>IF(OR(BN$23="",ISNA($B252)),"",IF(ISBLANK($B252),"",IFERROR(_xll.BDP(TICKER,"DEEP_MEASURE_PERIOD_BROKER_VALUE","DEEP_MEASURE_ID_OVERRIDE",$C252,"DEEP_BROKER_ID_OVERRIDE",BN$24,"DEEP_PERIOD_OVERRIDE",$H$19)*1,"")))</f>
        <v/>
      </c>
      <c r="BO252" t="str">
        <f>IF(OR(BO$23="",ISNA($B252)),"",IF(ISBLANK($B252),"",IFERROR(_xll.BDP(TICKER,"DEEP_MEASURE_PERIOD_BROKER_VALUE","DEEP_MEASURE_ID_OVERRIDE",$C252,"DEEP_BROKER_ID_OVERRIDE",BO$24,"DEEP_PERIOD_OVERRIDE",$H$19)*1,"")))</f>
        <v/>
      </c>
      <c r="BP252" t="str">
        <f>IF(OR(BP$23="",ISNA($B252)),"",IF(ISBLANK($B252),"",IFERROR(_xll.BDP(TICKER,"DEEP_MEASURE_PERIOD_BROKER_VALUE","DEEP_MEASURE_ID_OVERRIDE",$C252,"DEEP_BROKER_ID_OVERRIDE",BP$24,"DEEP_PERIOD_OVERRIDE",$H$19)*1,"")))</f>
        <v/>
      </c>
      <c r="BQ252" t="str">
        <f>IF(OR(BQ$23="",ISNA($B252)),"",IF(ISBLANK($B252),"",IFERROR(_xll.BDP(TICKER,"DEEP_MEASURE_PERIOD_BROKER_VALUE","DEEP_MEASURE_ID_OVERRIDE",$C252,"DEEP_BROKER_ID_OVERRIDE",BQ$24,"DEEP_PERIOD_OVERRIDE",$H$19)*1,"")))</f>
        <v/>
      </c>
      <c r="BR252" t="str">
        <f>IF(OR(BR$23="",ISNA($B252)),"",IF(ISBLANK($B252),"",IFERROR(_xll.BDP(TICKER,"DEEP_MEASURE_PERIOD_BROKER_VALUE","DEEP_MEASURE_ID_OVERRIDE",$C252,"DEEP_BROKER_ID_OVERRIDE",BR$24,"DEEP_PERIOD_OVERRIDE",$H$19)*1,"")))</f>
        <v/>
      </c>
      <c r="BS252" t="str">
        <f>IF(OR(BS$23="",ISNA($B252)),"",IF(ISBLANK($B252),"",IFERROR(_xll.BDP(TICKER,"DEEP_MEASURE_PERIOD_BROKER_VALUE","DEEP_MEASURE_ID_OVERRIDE",$C252,"DEEP_BROKER_ID_OVERRIDE",BS$24,"DEEP_PERIOD_OVERRIDE",$H$19)*1,"")))</f>
        <v/>
      </c>
      <c r="BT252" t="str">
        <f>IF(OR(BT$23="",ISNA($B252)),"",IF(ISBLANK($B252),"",IFERROR(_xll.BDP(TICKER,"DEEP_MEASURE_PERIOD_BROKER_VALUE","DEEP_MEASURE_ID_OVERRIDE",$C252,"DEEP_BROKER_ID_OVERRIDE",BT$24,"DEEP_PERIOD_OVERRIDE",$H$19)*1,"")))</f>
        <v/>
      </c>
      <c r="BU252" t="str">
        <f>IF(OR(BU$23="",ISNA($B252)),"",IF(ISBLANK($B252),"",IFERROR(_xll.BDP(TICKER,"DEEP_MEASURE_PERIOD_BROKER_VALUE","DEEP_MEASURE_ID_OVERRIDE",$C252,"DEEP_BROKER_ID_OVERRIDE",BU$24,"DEEP_PERIOD_OVERRIDE",$H$19)*1,"")))</f>
        <v/>
      </c>
      <c r="BV252" t="str">
        <f>IF(OR(BV$23="",ISNA($B252)),"",IF(ISBLANK($B252),"",IFERROR(_xll.BDP(TICKER,"DEEP_MEASURE_PERIOD_BROKER_VALUE","DEEP_MEASURE_ID_OVERRIDE",$C252,"DEEP_BROKER_ID_OVERRIDE",BV$24,"DEEP_PERIOD_OVERRIDE",$H$19)*1,"")))</f>
        <v/>
      </c>
      <c r="BW252" t="str">
        <f>IF(OR(BW$23="",ISNA($B252)),"",IF(ISBLANK($B252),"",IFERROR(_xll.BDP(TICKER,"DEEP_MEASURE_PERIOD_BROKER_VALUE","DEEP_MEASURE_ID_OVERRIDE",$C252,"DEEP_BROKER_ID_OVERRIDE",BW$24,"DEEP_PERIOD_OVERRIDE",$H$19)*1,"")))</f>
        <v/>
      </c>
      <c r="BX252" t="str">
        <f>IF(OR(BX$23="",ISNA($B252)),"",IF(ISBLANK($B252),"",IFERROR(_xll.BDP(TICKER,"DEEP_MEASURE_PERIOD_BROKER_VALUE","DEEP_MEASURE_ID_OVERRIDE",$C252,"DEEP_BROKER_ID_OVERRIDE",BX$24,"DEEP_PERIOD_OVERRIDE",$H$19)*1,"")))</f>
        <v/>
      </c>
      <c r="BY252" t="str">
        <f>IF(OR(BY$23="",ISNA($B252)),"",IF(ISBLANK($B252),"",IFERROR(_xll.BDP(TICKER,"DEEP_MEASURE_PERIOD_BROKER_VALUE","DEEP_MEASURE_ID_OVERRIDE",$C252,"DEEP_BROKER_ID_OVERRIDE",BY$24,"DEEP_PERIOD_OVERRIDE",$H$19)*1,"")))</f>
        <v/>
      </c>
      <c r="BZ252" t="str">
        <f>IF(OR(BZ$23="",ISNA($B252)),"",IF(ISBLANK($B252),"",IFERROR(_xll.BDP(TICKER,"DEEP_MEASURE_PERIOD_BROKER_VALUE","DEEP_MEASURE_ID_OVERRIDE",$C252,"DEEP_BROKER_ID_OVERRIDE",BZ$24,"DEEP_PERIOD_OVERRIDE",$H$19)*1,"")))</f>
        <v/>
      </c>
    </row>
    <row r="253" spans="8:78" x14ac:dyDescent="0.25">
      <c r="H253" t="str">
        <f t="shared" si="4"/>
        <v/>
      </c>
      <c r="I253" t="str">
        <f>IF(OR(I$23="",ISNA($B253)),"",IF(ISBLANK($B253),"",IFERROR(_xll.BDP(TICKER,"DEEP_MEASURE_PERIOD_BROKER_VALUE","DEEP_MEASURE_ID_OVERRIDE",$C253,"DEEP_PERIOD_OVERRIDE",$H$19)*1,"")))</f>
        <v/>
      </c>
      <c r="J253" t="e">
        <f>IF(OR(J$23="",ISNA($B253)),"",IF(ISBLANK($B253),"",IFERROR(_xll.BDP(TICKER,"DEEP_MEASURE_PERIOD_BROKER_VALUE","DEEP_MEASURE_ID_OVERRIDE",$C253,"DEEP_BROKER_ID_OVERRIDE",J$24,"DEEP_PERIOD_OVERRIDE",$H$19)*1,"")))</f>
        <v>#REF!</v>
      </c>
      <c r="K253" t="str">
        <f>IF(OR(K$23="",ISNA($B253)),"",IF(ISBLANK($B253),"",IFERROR(_xll.BDP(TICKER,"DEEP_MEASURE_PERIOD_BROKER_VALUE","DEEP_MEASURE_ID_OVERRIDE",$C253,"DEEP_BROKER_ID_OVERRIDE",K$24,"DEEP_PERIOD_OVERRIDE",$H$19)*1,"")))</f>
        <v/>
      </c>
      <c r="L253" t="str">
        <f>IF(OR(L$23="",ISNA($B253)),"",IF(ISBLANK($B253),"",IFERROR(_xll.BDP(TICKER,"DEEP_MEASURE_PERIOD_BROKER_VALUE","DEEP_MEASURE_ID_OVERRIDE",$C253,"DEEP_BROKER_ID_OVERRIDE",L$24,"DEEP_PERIOD_OVERRIDE",$H$19)*1,"")))</f>
        <v/>
      </c>
      <c r="M253" t="str">
        <f>IF(OR(M$23="",ISNA($B253)),"",IF(ISBLANK($B253),"",IFERROR(_xll.BDP(TICKER,"DEEP_MEASURE_PERIOD_BROKER_VALUE","DEEP_MEASURE_ID_OVERRIDE",$C253,"DEEP_BROKER_ID_OVERRIDE",M$24,"DEEP_PERIOD_OVERRIDE",$H$19)*1,"")))</f>
        <v/>
      </c>
      <c r="N253" t="str">
        <f>IF(OR(N$23="",ISNA($B253)),"",IF(ISBLANK($B253),"",IFERROR(_xll.BDP(TICKER,"DEEP_MEASURE_PERIOD_BROKER_VALUE","DEEP_MEASURE_ID_OVERRIDE",$C253,"DEEP_BROKER_ID_OVERRIDE",N$24,"DEEP_PERIOD_OVERRIDE",$H$19)*1,"")))</f>
        <v/>
      </c>
      <c r="O253" t="str">
        <f>IF(OR(O$23="",ISNA($B253)),"",IF(ISBLANK($B253),"",IFERROR(_xll.BDP(TICKER,"DEEP_MEASURE_PERIOD_BROKER_VALUE","DEEP_MEASURE_ID_OVERRIDE",$C253,"DEEP_BROKER_ID_OVERRIDE",O$24,"DEEP_PERIOD_OVERRIDE",$H$19)*1,"")))</f>
        <v/>
      </c>
      <c r="P253" t="str">
        <f>IF(OR(P$23="",ISNA($B253)),"",IF(ISBLANK($B253),"",IFERROR(_xll.BDP(TICKER,"DEEP_MEASURE_PERIOD_BROKER_VALUE","DEEP_MEASURE_ID_OVERRIDE",$C253,"DEEP_BROKER_ID_OVERRIDE",P$24,"DEEP_PERIOD_OVERRIDE",$H$19)*1,"")))</f>
        <v/>
      </c>
      <c r="Q253" t="str">
        <f>IF(OR(Q$23="",ISNA($B253)),"",IF(ISBLANK($B253),"",IFERROR(_xll.BDP(TICKER,"DEEP_MEASURE_PERIOD_BROKER_VALUE","DEEP_MEASURE_ID_OVERRIDE",$C253,"DEEP_BROKER_ID_OVERRIDE",Q$24,"DEEP_PERIOD_OVERRIDE",$H$19)*1,"")))</f>
        <v/>
      </c>
      <c r="R253" t="str">
        <f>IF(OR(R$23="",ISNA($B253)),"",IF(ISBLANK($B253),"",IFERROR(_xll.BDP(TICKER,"DEEP_MEASURE_PERIOD_BROKER_VALUE","DEEP_MEASURE_ID_OVERRIDE",$C253,"DEEP_BROKER_ID_OVERRIDE",R$24,"DEEP_PERIOD_OVERRIDE",$H$19)*1,"")))</f>
        <v/>
      </c>
      <c r="S253" t="str">
        <f>IF(OR(S$23="",ISNA($B253)),"",IF(ISBLANK($B253),"",IFERROR(_xll.BDP(TICKER,"DEEP_MEASURE_PERIOD_BROKER_VALUE","DEEP_MEASURE_ID_OVERRIDE",$C253,"DEEP_BROKER_ID_OVERRIDE",S$24,"DEEP_PERIOD_OVERRIDE",$H$19)*1,"")))</f>
        <v/>
      </c>
      <c r="T253" t="str">
        <f>IF(OR(T$23="",ISNA($B253)),"",IF(ISBLANK($B253),"",IFERROR(_xll.BDP(TICKER,"DEEP_MEASURE_PERIOD_BROKER_VALUE","DEEP_MEASURE_ID_OVERRIDE",$C253,"DEEP_BROKER_ID_OVERRIDE",T$24,"DEEP_PERIOD_OVERRIDE",$H$19)*1,"")))</f>
        <v/>
      </c>
      <c r="U253" t="str">
        <f>IF(OR(U$23="",ISNA($B253)),"",IF(ISBLANK($B253),"",IFERROR(_xll.BDP(TICKER,"DEEP_MEASURE_PERIOD_BROKER_VALUE","DEEP_MEASURE_ID_OVERRIDE",$C253,"DEEP_BROKER_ID_OVERRIDE",U$24,"DEEP_PERIOD_OVERRIDE",$H$19)*1,"")))</f>
        <v/>
      </c>
      <c r="V253" t="str">
        <f>IF(OR(V$23="",ISNA($B253)),"",IF(ISBLANK($B253),"",IFERROR(_xll.BDP(TICKER,"DEEP_MEASURE_PERIOD_BROKER_VALUE","DEEP_MEASURE_ID_OVERRIDE",$C253,"DEEP_BROKER_ID_OVERRIDE",V$24,"DEEP_PERIOD_OVERRIDE",$H$19)*1,"")))</f>
        <v/>
      </c>
      <c r="W253" t="str">
        <f>IF(OR(W$23="",ISNA($B253)),"",IF(ISBLANK($B253),"",IFERROR(_xll.BDP(TICKER,"DEEP_MEASURE_PERIOD_BROKER_VALUE","DEEP_MEASURE_ID_OVERRIDE",$C253,"DEEP_BROKER_ID_OVERRIDE",W$24,"DEEP_PERIOD_OVERRIDE",$H$19)*1,"")))</f>
        <v/>
      </c>
      <c r="X253" t="str">
        <f>IF(OR(X$23="",ISNA($B253)),"",IF(ISBLANK($B253),"",IFERROR(_xll.BDP(TICKER,"DEEP_MEASURE_PERIOD_BROKER_VALUE","DEEP_MEASURE_ID_OVERRIDE",$C253,"DEEP_BROKER_ID_OVERRIDE",X$24,"DEEP_PERIOD_OVERRIDE",$H$19)*1,"")))</f>
        <v/>
      </c>
      <c r="Y253" t="str">
        <f>IF(OR(Y$23="",ISNA($B253)),"",IF(ISBLANK($B253),"",IFERROR(_xll.BDP(TICKER,"DEEP_MEASURE_PERIOD_BROKER_VALUE","DEEP_MEASURE_ID_OVERRIDE",$C253,"DEEP_BROKER_ID_OVERRIDE",Y$24,"DEEP_PERIOD_OVERRIDE",$H$19)*1,"")))</f>
        <v/>
      </c>
      <c r="Z253" t="str">
        <f>IF(OR(Z$23="",ISNA($B253)),"",IF(ISBLANK($B253),"",IFERROR(_xll.BDP(TICKER,"DEEP_MEASURE_PERIOD_BROKER_VALUE","DEEP_MEASURE_ID_OVERRIDE",$C253,"DEEP_BROKER_ID_OVERRIDE",Z$24,"DEEP_PERIOD_OVERRIDE",$H$19)*1,"")))</f>
        <v/>
      </c>
      <c r="AA253" t="str">
        <f>IF(OR(AA$23="",ISNA($B253)),"",IF(ISBLANK($B253),"",IFERROR(_xll.BDP(TICKER,"DEEP_MEASURE_PERIOD_BROKER_VALUE","DEEP_MEASURE_ID_OVERRIDE",$C253,"DEEP_BROKER_ID_OVERRIDE",AA$24,"DEEP_PERIOD_OVERRIDE",$H$19)*1,"")))</f>
        <v/>
      </c>
      <c r="AB253" t="str">
        <f>IF(OR(AB$23="",ISNA($B253)),"",IF(ISBLANK($B253),"",IFERROR(_xll.BDP(TICKER,"DEEP_MEASURE_PERIOD_BROKER_VALUE","DEEP_MEASURE_ID_OVERRIDE",$C253,"DEEP_BROKER_ID_OVERRIDE",AB$24,"DEEP_PERIOD_OVERRIDE",$H$19)*1,"")))</f>
        <v/>
      </c>
      <c r="AC253" t="str">
        <f>IF(OR(AC$23="",ISNA($B253)),"",IF(ISBLANK($B253),"",IFERROR(_xll.BDP(TICKER,"DEEP_MEASURE_PERIOD_BROKER_VALUE","DEEP_MEASURE_ID_OVERRIDE",$C253,"DEEP_BROKER_ID_OVERRIDE",AC$24,"DEEP_PERIOD_OVERRIDE",$H$19)*1,"")))</f>
        <v/>
      </c>
      <c r="AD253" t="str">
        <f>IF(OR(AD$23="",ISNA($B253)),"",IF(ISBLANK($B253),"",IFERROR(_xll.BDP(TICKER,"DEEP_MEASURE_PERIOD_BROKER_VALUE","DEEP_MEASURE_ID_OVERRIDE",$C253,"DEEP_BROKER_ID_OVERRIDE",AD$24,"DEEP_PERIOD_OVERRIDE",$H$19)*1,"")))</f>
        <v/>
      </c>
      <c r="AE253" t="str">
        <f>IF(OR(AE$23="",ISNA($B253)),"",IF(ISBLANK($B253),"",IFERROR(_xll.BDP(TICKER,"DEEP_MEASURE_PERIOD_BROKER_VALUE","DEEP_MEASURE_ID_OVERRIDE",$C253,"DEEP_BROKER_ID_OVERRIDE",AE$24,"DEEP_PERIOD_OVERRIDE",$H$19)*1,"")))</f>
        <v/>
      </c>
      <c r="AF253" t="str">
        <f>IF(OR(AF$23="",ISNA($B253)),"",IF(ISBLANK($B253),"",IFERROR(_xll.BDP(TICKER,"DEEP_MEASURE_PERIOD_BROKER_VALUE","DEEP_MEASURE_ID_OVERRIDE",$C253,"DEEP_BROKER_ID_OVERRIDE",AF$24,"DEEP_PERIOD_OVERRIDE",$H$19)*1,"")))</f>
        <v/>
      </c>
      <c r="AG253" t="str">
        <f>IF(OR(AG$23="",ISNA($B253)),"",IF(ISBLANK($B253),"",IFERROR(_xll.BDP(TICKER,"DEEP_MEASURE_PERIOD_BROKER_VALUE","DEEP_MEASURE_ID_OVERRIDE",$C253,"DEEP_BROKER_ID_OVERRIDE",AG$24,"DEEP_PERIOD_OVERRIDE",$H$19)*1,"")))</f>
        <v/>
      </c>
      <c r="AH253" t="str">
        <f>IF(OR(AH$23="",ISNA($B253)),"",IF(ISBLANK($B253),"",IFERROR(_xll.BDP(TICKER,"DEEP_MEASURE_PERIOD_BROKER_VALUE","DEEP_MEASURE_ID_OVERRIDE",$C253,"DEEP_BROKER_ID_OVERRIDE",AH$24,"DEEP_PERIOD_OVERRIDE",$H$19)*1,"")))</f>
        <v/>
      </c>
      <c r="AI253" t="str">
        <f>IF(OR(AI$23="",ISNA($B253)),"",IF(ISBLANK($B253),"",IFERROR(_xll.BDP(TICKER,"DEEP_MEASURE_PERIOD_BROKER_VALUE","DEEP_MEASURE_ID_OVERRIDE",$C253,"DEEP_BROKER_ID_OVERRIDE",AI$24,"DEEP_PERIOD_OVERRIDE",$H$19)*1,"")))</f>
        <v/>
      </c>
      <c r="AJ253" t="str">
        <f>IF(OR(AJ$23="",ISNA($B253)),"",IF(ISBLANK($B253),"",IFERROR(_xll.BDP(TICKER,"DEEP_MEASURE_PERIOD_BROKER_VALUE","DEEP_MEASURE_ID_OVERRIDE",$C253,"DEEP_BROKER_ID_OVERRIDE",AJ$24,"DEEP_PERIOD_OVERRIDE",$H$19)*1,"")))</f>
        <v/>
      </c>
      <c r="AK253" t="str">
        <f>IF(OR(AK$23="",ISNA($B253)),"",IF(ISBLANK($B253),"",IFERROR(_xll.BDP(TICKER,"DEEP_MEASURE_PERIOD_BROKER_VALUE","DEEP_MEASURE_ID_OVERRIDE",$C253,"DEEP_BROKER_ID_OVERRIDE",AK$24,"DEEP_PERIOD_OVERRIDE",$H$19)*1,"")))</f>
        <v/>
      </c>
      <c r="AL253" t="str">
        <f>IF(OR(AL$23="",ISNA($B253)),"",IF(ISBLANK($B253),"",IFERROR(_xll.BDP(TICKER,"DEEP_MEASURE_PERIOD_BROKER_VALUE","DEEP_MEASURE_ID_OVERRIDE",$C253,"DEEP_BROKER_ID_OVERRIDE",AL$24,"DEEP_PERIOD_OVERRIDE",$H$19)*1,"")))</f>
        <v/>
      </c>
      <c r="AM253" t="str">
        <f>IF(OR(AM$23="",ISNA($B253)),"",IF(ISBLANK($B253),"",IFERROR(_xll.BDP(TICKER,"DEEP_MEASURE_PERIOD_BROKER_VALUE","DEEP_MEASURE_ID_OVERRIDE",$C253,"DEEP_BROKER_ID_OVERRIDE",AM$24,"DEEP_PERIOD_OVERRIDE",$H$19)*1,"")))</f>
        <v/>
      </c>
      <c r="AN253" t="str">
        <f>IF(OR(AN$23="",ISNA($B253)),"",IF(ISBLANK($B253),"",IFERROR(_xll.BDP(TICKER,"DEEP_MEASURE_PERIOD_BROKER_VALUE","DEEP_MEASURE_ID_OVERRIDE",$C253,"DEEP_BROKER_ID_OVERRIDE",AN$24,"DEEP_PERIOD_OVERRIDE",$H$19)*1,"")))</f>
        <v/>
      </c>
      <c r="AO253" t="str">
        <f>IF(OR(AO$23="",ISNA($B253)),"",IF(ISBLANK($B253),"",IFERROR(_xll.BDP(TICKER,"DEEP_MEASURE_PERIOD_BROKER_VALUE","DEEP_MEASURE_ID_OVERRIDE",$C253,"DEEP_BROKER_ID_OVERRIDE",AO$24,"DEEP_PERIOD_OVERRIDE",$H$19)*1,"")))</f>
        <v/>
      </c>
      <c r="AP253" t="str">
        <f>IF(OR(AP$23="",ISNA($B253)),"",IF(ISBLANK($B253),"",IFERROR(_xll.BDP(TICKER,"DEEP_MEASURE_PERIOD_BROKER_VALUE","DEEP_MEASURE_ID_OVERRIDE",$C253,"DEEP_BROKER_ID_OVERRIDE",AP$24,"DEEP_PERIOD_OVERRIDE",$H$19)*1,"")))</f>
        <v/>
      </c>
      <c r="AQ253" t="str">
        <f>IF(OR(AQ$23="",ISNA($B253)),"",IF(ISBLANK($B253),"",IFERROR(_xll.BDP(TICKER,"DEEP_MEASURE_PERIOD_BROKER_VALUE","DEEP_MEASURE_ID_OVERRIDE",$C253,"DEEP_BROKER_ID_OVERRIDE",AQ$24,"DEEP_PERIOD_OVERRIDE",$H$19)*1,"")))</f>
        <v/>
      </c>
      <c r="AR253" t="str">
        <f>IF(OR(AR$23="",ISNA($B253)),"",IF(ISBLANK($B253),"",IFERROR(_xll.BDP(TICKER,"DEEP_MEASURE_PERIOD_BROKER_VALUE","DEEP_MEASURE_ID_OVERRIDE",$C253,"DEEP_BROKER_ID_OVERRIDE",AR$24,"DEEP_PERIOD_OVERRIDE",$H$19)*1,"")))</f>
        <v/>
      </c>
      <c r="AS253" t="str">
        <f>IF(OR(AS$23="",ISNA($B253)),"",IF(ISBLANK($B253),"",IFERROR(_xll.BDP(TICKER,"DEEP_MEASURE_PERIOD_BROKER_VALUE","DEEP_MEASURE_ID_OVERRIDE",$C253,"DEEP_BROKER_ID_OVERRIDE",AS$24,"DEEP_PERIOD_OVERRIDE",$H$19)*1,"")))</f>
        <v/>
      </c>
      <c r="AT253" t="str">
        <f>IF(OR(AT$23="",ISNA($B253)),"",IF(ISBLANK($B253),"",IFERROR(_xll.BDP(TICKER,"DEEP_MEASURE_PERIOD_BROKER_VALUE","DEEP_MEASURE_ID_OVERRIDE",$C253,"DEEP_BROKER_ID_OVERRIDE",AT$24,"DEEP_PERIOD_OVERRIDE",$H$19)*1,"")))</f>
        <v/>
      </c>
      <c r="AU253" t="str">
        <f>IF(OR(AU$23="",ISNA($B253)),"",IF(ISBLANK($B253),"",IFERROR(_xll.BDP(TICKER,"DEEP_MEASURE_PERIOD_BROKER_VALUE","DEEP_MEASURE_ID_OVERRIDE",$C253,"DEEP_BROKER_ID_OVERRIDE",AU$24,"DEEP_PERIOD_OVERRIDE",$H$19)*1,"")))</f>
        <v/>
      </c>
      <c r="AV253" t="str">
        <f>IF(OR(AV$23="",ISNA($B253)),"",IF(ISBLANK($B253),"",IFERROR(_xll.BDP(TICKER,"DEEP_MEASURE_PERIOD_BROKER_VALUE","DEEP_MEASURE_ID_OVERRIDE",$C253,"DEEP_BROKER_ID_OVERRIDE",AV$24,"DEEP_PERIOD_OVERRIDE",$H$19)*1,"")))</f>
        <v/>
      </c>
      <c r="AW253" t="str">
        <f>IF(OR(AW$23="",ISNA($B253)),"",IF(ISBLANK($B253),"",IFERROR(_xll.BDP(TICKER,"DEEP_MEASURE_PERIOD_BROKER_VALUE","DEEP_MEASURE_ID_OVERRIDE",$C253,"DEEP_BROKER_ID_OVERRIDE",AW$24,"DEEP_PERIOD_OVERRIDE",$H$19)*1,"")))</f>
        <v/>
      </c>
      <c r="AX253" t="str">
        <f>IF(OR(AX$23="",ISNA($B253)),"",IF(ISBLANK($B253),"",IFERROR(_xll.BDP(TICKER,"DEEP_MEASURE_PERIOD_BROKER_VALUE","DEEP_MEASURE_ID_OVERRIDE",$C253,"DEEP_BROKER_ID_OVERRIDE",AX$24,"DEEP_PERIOD_OVERRIDE",$H$19)*1,"")))</f>
        <v/>
      </c>
      <c r="AY253" t="str">
        <f>IF(OR(AY$23="",ISNA($B253)),"",IF(ISBLANK($B253),"",IFERROR(_xll.BDP(TICKER,"DEEP_MEASURE_PERIOD_BROKER_VALUE","DEEP_MEASURE_ID_OVERRIDE",$C253,"DEEP_BROKER_ID_OVERRIDE",AY$24,"DEEP_PERIOD_OVERRIDE",$H$19)*1,"")))</f>
        <v/>
      </c>
      <c r="AZ253" t="str">
        <f>IF(OR(AZ$23="",ISNA($B253)),"",IF(ISBLANK($B253),"",IFERROR(_xll.BDP(TICKER,"DEEP_MEASURE_PERIOD_BROKER_VALUE","DEEP_MEASURE_ID_OVERRIDE",$C253,"DEEP_BROKER_ID_OVERRIDE",AZ$24,"DEEP_PERIOD_OVERRIDE",$H$19)*1,"")))</f>
        <v/>
      </c>
      <c r="BA253" t="str">
        <f>IF(OR(BA$23="",ISNA($B253)),"",IF(ISBLANK($B253),"",IFERROR(_xll.BDP(TICKER,"DEEP_MEASURE_PERIOD_BROKER_VALUE","DEEP_MEASURE_ID_OVERRIDE",$C253,"DEEP_BROKER_ID_OVERRIDE",BA$24,"DEEP_PERIOD_OVERRIDE",$H$19)*1,"")))</f>
        <v/>
      </c>
      <c r="BB253" t="str">
        <f>IF(OR(BB$23="",ISNA($B253)),"",IF(ISBLANK($B253),"",IFERROR(_xll.BDP(TICKER,"DEEP_MEASURE_PERIOD_BROKER_VALUE","DEEP_MEASURE_ID_OVERRIDE",$C253,"DEEP_BROKER_ID_OVERRIDE",BB$24,"DEEP_PERIOD_OVERRIDE",$H$19)*1,"")))</f>
        <v/>
      </c>
      <c r="BC253" t="str">
        <f>IF(OR(BC$23="",ISNA($B253)),"",IF(ISBLANK($B253),"",IFERROR(_xll.BDP(TICKER,"DEEP_MEASURE_PERIOD_BROKER_VALUE","DEEP_MEASURE_ID_OVERRIDE",$C253,"DEEP_BROKER_ID_OVERRIDE",BC$24,"DEEP_PERIOD_OVERRIDE",$H$19)*1,"")))</f>
        <v/>
      </c>
      <c r="BD253" t="str">
        <f>IF(OR(BD$23="",ISNA($B253)),"",IF(ISBLANK($B253),"",IFERROR(_xll.BDP(TICKER,"DEEP_MEASURE_PERIOD_BROKER_VALUE","DEEP_MEASURE_ID_OVERRIDE",$C253,"DEEP_BROKER_ID_OVERRIDE",BD$24,"DEEP_PERIOD_OVERRIDE",$H$19)*1,"")))</f>
        <v/>
      </c>
      <c r="BE253" t="str">
        <f>IF(OR(BE$23="",ISNA($B253)),"",IF(ISBLANK($B253),"",IFERROR(_xll.BDP(TICKER,"DEEP_MEASURE_PERIOD_BROKER_VALUE","DEEP_MEASURE_ID_OVERRIDE",$C253,"DEEP_BROKER_ID_OVERRIDE",BE$24,"DEEP_PERIOD_OVERRIDE",$H$19)*1,"")))</f>
        <v/>
      </c>
      <c r="BF253" t="str">
        <f>IF(OR(BF$23="",ISNA($B253)),"",IF(ISBLANK($B253),"",IFERROR(_xll.BDP(TICKER,"DEEP_MEASURE_PERIOD_BROKER_VALUE","DEEP_MEASURE_ID_OVERRIDE",$C253,"DEEP_BROKER_ID_OVERRIDE",BF$24,"DEEP_PERIOD_OVERRIDE",$H$19)*1,"")))</f>
        <v/>
      </c>
      <c r="BG253" t="str">
        <f>IF(OR(BG$23="",ISNA($B253)),"",IF(ISBLANK($B253),"",IFERROR(_xll.BDP(TICKER,"DEEP_MEASURE_PERIOD_BROKER_VALUE","DEEP_MEASURE_ID_OVERRIDE",$C253,"DEEP_BROKER_ID_OVERRIDE",BG$24,"DEEP_PERIOD_OVERRIDE",$H$19)*1,"")))</f>
        <v/>
      </c>
      <c r="BH253" t="str">
        <f>IF(OR(BH$23="",ISNA($B253)),"",IF(ISBLANK($B253),"",IFERROR(_xll.BDP(TICKER,"DEEP_MEASURE_PERIOD_BROKER_VALUE","DEEP_MEASURE_ID_OVERRIDE",$C253,"DEEP_BROKER_ID_OVERRIDE",BH$24,"DEEP_PERIOD_OVERRIDE",$H$19)*1,"")))</f>
        <v/>
      </c>
      <c r="BI253" t="str">
        <f>IF(OR(BI$23="",ISNA($B253)),"",IF(ISBLANK($B253),"",IFERROR(_xll.BDP(TICKER,"DEEP_MEASURE_PERIOD_BROKER_VALUE","DEEP_MEASURE_ID_OVERRIDE",$C253,"DEEP_BROKER_ID_OVERRIDE",BI$24,"DEEP_PERIOD_OVERRIDE",$H$19)*1,"")))</f>
        <v/>
      </c>
      <c r="BJ253" t="str">
        <f>IF(OR(BJ$23="",ISNA($B253)),"",IF(ISBLANK($B253),"",IFERROR(_xll.BDP(TICKER,"DEEP_MEASURE_PERIOD_BROKER_VALUE","DEEP_MEASURE_ID_OVERRIDE",$C253,"DEEP_BROKER_ID_OVERRIDE",BJ$24,"DEEP_PERIOD_OVERRIDE",$H$19)*1,"")))</f>
        <v/>
      </c>
      <c r="BK253" t="str">
        <f>IF(OR(BK$23="",ISNA($B253)),"",IF(ISBLANK($B253),"",IFERROR(_xll.BDP(TICKER,"DEEP_MEASURE_PERIOD_BROKER_VALUE","DEEP_MEASURE_ID_OVERRIDE",$C253,"DEEP_BROKER_ID_OVERRIDE",BK$24,"DEEP_PERIOD_OVERRIDE",$H$19)*1,"")))</f>
        <v/>
      </c>
      <c r="BL253" t="str">
        <f>IF(OR(BL$23="",ISNA($B253)),"",IF(ISBLANK($B253),"",IFERROR(_xll.BDP(TICKER,"DEEP_MEASURE_PERIOD_BROKER_VALUE","DEEP_MEASURE_ID_OVERRIDE",$C253,"DEEP_BROKER_ID_OVERRIDE",BL$24,"DEEP_PERIOD_OVERRIDE",$H$19)*1,"")))</f>
        <v/>
      </c>
      <c r="BM253" t="str">
        <f>IF(OR(BM$23="",ISNA($B253)),"",IF(ISBLANK($B253),"",IFERROR(_xll.BDP(TICKER,"DEEP_MEASURE_PERIOD_BROKER_VALUE","DEEP_MEASURE_ID_OVERRIDE",$C253,"DEEP_BROKER_ID_OVERRIDE",BM$24,"DEEP_PERIOD_OVERRIDE",$H$19)*1,"")))</f>
        <v/>
      </c>
      <c r="BN253" t="str">
        <f>IF(OR(BN$23="",ISNA($B253)),"",IF(ISBLANK($B253),"",IFERROR(_xll.BDP(TICKER,"DEEP_MEASURE_PERIOD_BROKER_VALUE","DEEP_MEASURE_ID_OVERRIDE",$C253,"DEEP_BROKER_ID_OVERRIDE",BN$24,"DEEP_PERIOD_OVERRIDE",$H$19)*1,"")))</f>
        <v/>
      </c>
      <c r="BO253" t="str">
        <f>IF(OR(BO$23="",ISNA($B253)),"",IF(ISBLANK($B253),"",IFERROR(_xll.BDP(TICKER,"DEEP_MEASURE_PERIOD_BROKER_VALUE","DEEP_MEASURE_ID_OVERRIDE",$C253,"DEEP_BROKER_ID_OVERRIDE",BO$24,"DEEP_PERIOD_OVERRIDE",$H$19)*1,"")))</f>
        <v/>
      </c>
      <c r="BP253" t="str">
        <f>IF(OR(BP$23="",ISNA($B253)),"",IF(ISBLANK($B253),"",IFERROR(_xll.BDP(TICKER,"DEEP_MEASURE_PERIOD_BROKER_VALUE","DEEP_MEASURE_ID_OVERRIDE",$C253,"DEEP_BROKER_ID_OVERRIDE",BP$24,"DEEP_PERIOD_OVERRIDE",$H$19)*1,"")))</f>
        <v/>
      </c>
      <c r="BQ253" t="str">
        <f>IF(OR(BQ$23="",ISNA($B253)),"",IF(ISBLANK($B253),"",IFERROR(_xll.BDP(TICKER,"DEEP_MEASURE_PERIOD_BROKER_VALUE","DEEP_MEASURE_ID_OVERRIDE",$C253,"DEEP_BROKER_ID_OVERRIDE",BQ$24,"DEEP_PERIOD_OVERRIDE",$H$19)*1,"")))</f>
        <v/>
      </c>
      <c r="BR253" t="str">
        <f>IF(OR(BR$23="",ISNA($B253)),"",IF(ISBLANK($B253),"",IFERROR(_xll.BDP(TICKER,"DEEP_MEASURE_PERIOD_BROKER_VALUE","DEEP_MEASURE_ID_OVERRIDE",$C253,"DEEP_BROKER_ID_OVERRIDE",BR$24,"DEEP_PERIOD_OVERRIDE",$H$19)*1,"")))</f>
        <v/>
      </c>
      <c r="BS253" t="str">
        <f>IF(OR(BS$23="",ISNA($B253)),"",IF(ISBLANK($B253),"",IFERROR(_xll.BDP(TICKER,"DEEP_MEASURE_PERIOD_BROKER_VALUE","DEEP_MEASURE_ID_OVERRIDE",$C253,"DEEP_BROKER_ID_OVERRIDE",BS$24,"DEEP_PERIOD_OVERRIDE",$H$19)*1,"")))</f>
        <v/>
      </c>
      <c r="BT253" t="str">
        <f>IF(OR(BT$23="",ISNA($B253)),"",IF(ISBLANK($B253),"",IFERROR(_xll.BDP(TICKER,"DEEP_MEASURE_PERIOD_BROKER_VALUE","DEEP_MEASURE_ID_OVERRIDE",$C253,"DEEP_BROKER_ID_OVERRIDE",BT$24,"DEEP_PERIOD_OVERRIDE",$H$19)*1,"")))</f>
        <v/>
      </c>
      <c r="BU253" t="str">
        <f>IF(OR(BU$23="",ISNA($B253)),"",IF(ISBLANK($B253),"",IFERROR(_xll.BDP(TICKER,"DEEP_MEASURE_PERIOD_BROKER_VALUE","DEEP_MEASURE_ID_OVERRIDE",$C253,"DEEP_BROKER_ID_OVERRIDE",BU$24,"DEEP_PERIOD_OVERRIDE",$H$19)*1,"")))</f>
        <v/>
      </c>
      <c r="BV253" t="str">
        <f>IF(OR(BV$23="",ISNA($B253)),"",IF(ISBLANK($B253),"",IFERROR(_xll.BDP(TICKER,"DEEP_MEASURE_PERIOD_BROKER_VALUE","DEEP_MEASURE_ID_OVERRIDE",$C253,"DEEP_BROKER_ID_OVERRIDE",BV$24,"DEEP_PERIOD_OVERRIDE",$H$19)*1,"")))</f>
        <v/>
      </c>
      <c r="BW253" t="str">
        <f>IF(OR(BW$23="",ISNA($B253)),"",IF(ISBLANK($B253),"",IFERROR(_xll.BDP(TICKER,"DEEP_MEASURE_PERIOD_BROKER_VALUE","DEEP_MEASURE_ID_OVERRIDE",$C253,"DEEP_BROKER_ID_OVERRIDE",BW$24,"DEEP_PERIOD_OVERRIDE",$H$19)*1,"")))</f>
        <v/>
      </c>
      <c r="BX253" t="str">
        <f>IF(OR(BX$23="",ISNA($B253)),"",IF(ISBLANK($B253),"",IFERROR(_xll.BDP(TICKER,"DEEP_MEASURE_PERIOD_BROKER_VALUE","DEEP_MEASURE_ID_OVERRIDE",$C253,"DEEP_BROKER_ID_OVERRIDE",BX$24,"DEEP_PERIOD_OVERRIDE",$H$19)*1,"")))</f>
        <v/>
      </c>
      <c r="BY253" t="str">
        <f>IF(OR(BY$23="",ISNA($B253)),"",IF(ISBLANK($B253),"",IFERROR(_xll.BDP(TICKER,"DEEP_MEASURE_PERIOD_BROKER_VALUE","DEEP_MEASURE_ID_OVERRIDE",$C253,"DEEP_BROKER_ID_OVERRIDE",BY$24,"DEEP_PERIOD_OVERRIDE",$H$19)*1,"")))</f>
        <v/>
      </c>
      <c r="BZ253" t="str">
        <f>IF(OR(BZ$23="",ISNA($B253)),"",IF(ISBLANK($B253),"",IFERROR(_xll.BDP(TICKER,"DEEP_MEASURE_PERIOD_BROKER_VALUE","DEEP_MEASURE_ID_OVERRIDE",$C253,"DEEP_BROKER_ID_OVERRIDE",BZ$24,"DEEP_PERIOD_OVERRIDE",$H$19)*1,"")))</f>
        <v/>
      </c>
    </row>
    <row r="254" spans="8:78" x14ac:dyDescent="0.25">
      <c r="H254" t="str">
        <f t="shared" si="4"/>
        <v/>
      </c>
      <c r="I254" t="str">
        <f>IF(OR(I$23="",ISNA($B254)),"",IF(ISBLANK($B254),"",IFERROR(_xll.BDP(TICKER,"DEEP_MEASURE_PERIOD_BROKER_VALUE","DEEP_MEASURE_ID_OVERRIDE",$C254,"DEEP_PERIOD_OVERRIDE",$H$19)*1,"")))</f>
        <v/>
      </c>
      <c r="J254" t="e">
        <f>IF(OR(J$23="",ISNA($B254)),"",IF(ISBLANK($B254),"",IFERROR(_xll.BDP(TICKER,"DEEP_MEASURE_PERIOD_BROKER_VALUE","DEEP_MEASURE_ID_OVERRIDE",$C254,"DEEP_BROKER_ID_OVERRIDE",J$24,"DEEP_PERIOD_OVERRIDE",$H$19)*1,"")))</f>
        <v>#REF!</v>
      </c>
      <c r="K254" t="str">
        <f>IF(OR(K$23="",ISNA($B254)),"",IF(ISBLANK($B254),"",IFERROR(_xll.BDP(TICKER,"DEEP_MEASURE_PERIOD_BROKER_VALUE","DEEP_MEASURE_ID_OVERRIDE",$C254,"DEEP_BROKER_ID_OVERRIDE",K$24,"DEEP_PERIOD_OVERRIDE",$H$19)*1,"")))</f>
        <v/>
      </c>
      <c r="L254" t="str">
        <f>IF(OR(L$23="",ISNA($B254)),"",IF(ISBLANK($B254),"",IFERROR(_xll.BDP(TICKER,"DEEP_MEASURE_PERIOD_BROKER_VALUE","DEEP_MEASURE_ID_OVERRIDE",$C254,"DEEP_BROKER_ID_OVERRIDE",L$24,"DEEP_PERIOD_OVERRIDE",$H$19)*1,"")))</f>
        <v/>
      </c>
      <c r="M254" t="str">
        <f>IF(OR(M$23="",ISNA($B254)),"",IF(ISBLANK($B254),"",IFERROR(_xll.BDP(TICKER,"DEEP_MEASURE_PERIOD_BROKER_VALUE","DEEP_MEASURE_ID_OVERRIDE",$C254,"DEEP_BROKER_ID_OVERRIDE",M$24,"DEEP_PERIOD_OVERRIDE",$H$19)*1,"")))</f>
        <v/>
      </c>
      <c r="N254" t="str">
        <f>IF(OR(N$23="",ISNA($B254)),"",IF(ISBLANK($B254),"",IFERROR(_xll.BDP(TICKER,"DEEP_MEASURE_PERIOD_BROKER_VALUE","DEEP_MEASURE_ID_OVERRIDE",$C254,"DEEP_BROKER_ID_OVERRIDE",N$24,"DEEP_PERIOD_OVERRIDE",$H$19)*1,"")))</f>
        <v/>
      </c>
      <c r="O254" t="str">
        <f>IF(OR(O$23="",ISNA($B254)),"",IF(ISBLANK($B254),"",IFERROR(_xll.BDP(TICKER,"DEEP_MEASURE_PERIOD_BROKER_VALUE","DEEP_MEASURE_ID_OVERRIDE",$C254,"DEEP_BROKER_ID_OVERRIDE",O$24,"DEEP_PERIOD_OVERRIDE",$H$19)*1,"")))</f>
        <v/>
      </c>
      <c r="P254" t="str">
        <f>IF(OR(P$23="",ISNA($B254)),"",IF(ISBLANK($B254),"",IFERROR(_xll.BDP(TICKER,"DEEP_MEASURE_PERIOD_BROKER_VALUE","DEEP_MEASURE_ID_OVERRIDE",$C254,"DEEP_BROKER_ID_OVERRIDE",P$24,"DEEP_PERIOD_OVERRIDE",$H$19)*1,"")))</f>
        <v/>
      </c>
      <c r="Q254" t="str">
        <f>IF(OR(Q$23="",ISNA($B254)),"",IF(ISBLANK($B254),"",IFERROR(_xll.BDP(TICKER,"DEEP_MEASURE_PERIOD_BROKER_VALUE","DEEP_MEASURE_ID_OVERRIDE",$C254,"DEEP_BROKER_ID_OVERRIDE",Q$24,"DEEP_PERIOD_OVERRIDE",$H$19)*1,"")))</f>
        <v/>
      </c>
      <c r="R254" t="str">
        <f>IF(OR(R$23="",ISNA($B254)),"",IF(ISBLANK($B254),"",IFERROR(_xll.BDP(TICKER,"DEEP_MEASURE_PERIOD_BROKER_VALUE","DEEP_MEASURE_ID_OVERRIDE",$C254,"DEEP_BROKER_ID_OVERRIDE",R$24,"DEEP_PERIOD_OVERRIDE",$H$19)*1,"")))</f>
        <v/>
      </c>
      <c r="S254" t="str">
        <f>IF(OR(S$23="",ISNA($B254)),"",IF(ISBLANK($B254),"",IFERROR(_xll.BDP(TICKER,"DEEP_MEASURE_PERIOD_BROKER_VALUE","DEEP_MEASURE_ID_OVERRIDE",$C254,"DEEP_BROKER_ID_OVERRIDE",S$24,"DEEP_PERIOD_OVERRIDE",$H$19)*1,"")))</f>
        <v/>
      </c>
      <c r="T254" t="str">
        <f>IF(OR(T$23="",ISNA($B254)),"",IF(ISBLANK($B254),"",IFERROR(_xll.BDP(TICKER,"DEEP_MEASURE_PERIOD_BROKER_VALUE","DEEP_MEASURE_ID_OVERRIDE",$C254,"DEEP_BROKER_ID_OVERRIDE",T$24,"DEEP_PERIOD_OVERRIDE",$H$19)*1,"")))</f>
        <v/>
      </c>
      <c r="U254" t="str">
        <f>IF(OR(U$23="",ISNA($B254)),"",IF(ISBLANK($B254),"",IFERROR(_xll.BDP(TICKER,"DEEP_MEASURE_PERIOD_BROKER_VALUE","DEEP_MEASURE_ID_OVERRIDE",$C254,"DEEP_BROKER_ID_OVERRIDE",U$24,"DEEP_PERIOD_OVERRIDE",$H$19)*1,"")))</f>
        <v/>
      </c>
      <c r="V254" t="str">
        <f>IF(OR(V$23="",ISNA($B254)),"",IF(ISBLANK($B254),"",IFERROR(_xll.BDP(TICKER,"DEEP_MEASURE_PERIOD_BROKER_VALUE","DEEP_MEASURE_ID_OVERRIDE",$C254,"DEEP_BROKER_ID_OVERRIDE",V$24,"DEEP_PERIOD_OVERRIDE",$H$19)*1,"")))</f>
        <v/>
      </c>
      <c r="W254" t="str">
        <f>IF(OR(W$23="",ISNA($B254)),"",IF(ISBLANK($B254),"",IFERROR(_xll.BDP(TICKER,"DEEP_MEASURE_PERIOD_BROKER_VALUE","DEEP_MEASURE_ID_OVERRIDE",$C254,"DEEP_BROKER_ID_OVERRIDE",W$24,"DEEP_PERIOD_OVERRIDE",$H$19)*1,"")))</f>
        <v/>
      </c>
      <c r="X254" t="str">
        <f>IF(OR(X$23="",ISNA($B254)),"",IF(ISBLANK($B254),"",IFERROR(_xll.BDP(TICKER,"DEEP_MEASURE_PERIOD_BROKER_VALUE","DEEP_MEASURE_ID_OVERRIDE",$C254,"DEEP_BROKER_ID_OVERRIDE",X$24,"DEEP_PERIOD_OVERRIDE",$H$19)*1,"")))</f>
        <v/>
      </c>
      <c r="Y254" t="str">
        <f>IF(OR(Y$23="",ISNA($B254)),"",IF(ISBLANK($B254),"",IFERROR(_xll.BDP(TICKER,"DEEP_MEASURE_PERIOD_BROKER_VALUE","DEEP_MEASURE_ID_OVERRIDE",$C254,"DEEP_BROKER_ID_OVERRIDE",Y$24,"DEEP_PERIOD_OVERRIDE",$H$19)*1,"")))</f>
        <v/>
      </c>
      <c r="Z254" t="str">
        <f>IF(OR(Z$23="",ISNA($B254)),"",IF(ISBLANK($B254),"",IFERROR(_xll.BDP(TICKER,"DEEP_MEASURE_PERIOD_BROKER_VALUE","DEEP_MEASURE_ID_OVERRIDE",$C254,"DEEP_BROKER_ID_OVERRIDE",Z$24,"DEEP_PERIOD_OVERRIDE",$H$19)*1,"")))</f>
        <v/>
      </c>
      <c r="AA254" t="str">
        <f>IF(OR(AA$23="",ISNA($B254)),"",IF(ISBLANK($B254),"",IFERROR(_xll.BDP(TICKER,"DEEP_MEASURE_PERIOD_BROKER_VALUE","DEEP_MEASURE_ID_OVERRIDE",$C254,"DEEP_BROKER_ID_OVERRIDE",AA$24,"DEEP_PERIOD_OVERRIDE",$H$19)*1,"")))</f>
        <v/>
      </c>
      <c r="AB254" t="str">
        <f>IF(OR(AB$23="",ISNA($B254)),"",IF(ISBLANK($B254),"",IFERROR(_xll.BDP(TICKER,"DEEP_MEASURE_PERIOD_BROKER_VALUE","DEEP_MEASURE_ID_OVERRIDE",$C254,"DEEP_BROKER_ID_OVERRIDE",AB$24,"DEEP_PERIOD_OVERRIDE",$H$19)*1,"")))</f>
        <v/>
      </c>
      <c r="AC254" t="str">
        <f>IF(OR(AC$23="",ISNA($B254)),"",IF(ISBLANK($B254),"",IFERROR(_xll.BDP(TICKER,"DEEP_MEASURE_PERIOD_BROKER_VALUE","DEEP_MEASURE_ID_OVERRIDE",$C254,"DEEP_BROKER_ID_OVERRIDE",AC$24,"DEEP_PERIOD_OVERRIDE",$H$19)*1,"")))</f>
        <v/>
      </c>
      <c r="AD254" t="str">
        <f>IF(OR(AD$23="",ISNA($B254)),"",IF(ISBLANK($B254),"",IFERROR(_xll.BDP(TICKER,"DEEP_MEASURE_PERIOD_BROKER_VALUE","DEEP_MEASURE_ID_OVERRIDE",$C254,"DEEP_BROKER_ID_OVERRIDE",AD$24,"DEEP_PERIOD_OVERRIDE",$H$19)*1,"")))</f>
        <v/>
      </c>
      <c r="AE254" t="str">
        <f>IF(OR(AE$23="",ISNA($B254)),"",IF(ISBLANK($B254),"",IFERROR(_xll.BDP(TICKER,"DEEP_MEASURE_PERIOD_BROKER_VALUE","DEEP_MEASURE_ID_OVERRIDE",$C254,"DEEP_BROKER_ID_OVERRIDE",AE$24,"DEEP_PERIOD_OVERRIDE",$H$19)*1,"")))</f>
        <v/>
      </c>
      <c r="AF254" t="str">
        <f>IF(OR(AF$23="",ISNA($B254)),"",IF(ISBLANK($B254),"",IFERROR(_xll.BDP(TICKER,"DEEP_MEASURE_PERIOD_BROKER_VALUE","DEEP_MEASURE_ID_OVERRIDE",$C254,"DEEP_BROKER_ID_OVERRIDE",AF$24,"DEEP_PERIOD_OVERRIDE",$H$19)*1,"")))</f>
        <v/>
      </c>
      <c r="AG254" t="str">
        <f>IF(OR(AG$23="",ISNA($B254)),"",IF(ISBLANK($B254),"",IFERROR(_xll.BDP(TICKER,"DEEP_MEASURE_PERIOD_BROKER_VALUE","DEEP_MEASURE_ID_OVERRIDE",$C254,"DEEP_BROKER_ID_OVERRIDE",AG$24,"DEEP_PERIOD_OVERRIDE",$H$19)*1,"")))</f>
        <v/>
      </c>
      <c r="AH254" t="str">
        <f>IF(OR(AH$23="",ISNA($B254)),"",IF(ISBLANK($B254),"",IFERROR(_xll.BDP(TICKER,"DEEP_MEASURE_PERIOD_BROKER_VALUE","DEEP_MEASURE_ID_OVERRIDE",$C254,"DEEP_BROKER_ID_OVERRIDE",AH$24,"DEEP_PERIOD_OVERRIDE",$H$19)*1,"")))</f>
        <v/>
      </c>
      <c r="AI254" t="str">
        <f>IF(OR(AI$23="",ISNA($B254)),"",IF(ISBLANK($B254),"",IFERROR(_xll.BDP(TICKER,"DEEP_MEASURE_PERIOD_BROKER_VALUE","DEEP_MEASURE_ID_OVERRIDE",$C254,"DEEP_BROKER_ID_OVERRIDE",AI$24,"DEEP_PERIOD_OVERRIDE",$H$19)*1,"")))</f>
        <v/>
      </c>
      <c r="AJ254" t="str">
        <f>IF(OR(AJ$23="",ISNA($B254)),"",IF(ISBLANK($B254),"",IFERROR(_xll.BDP(TICKER,"DEEP_MEASURE_PERIOD_BROKER_VALUE","DEEP_MEASURE_ID_OVERRIDE",$C254,"DEEP_BROKER_ID_OVERRIDE",AJ$24,"DEEP_PERIOD_OVERRIDE",$H$19)*1,"")))</f>
        <v/>
      </c>
      <c r="AK254" t="str">
        <f>IF(OR(AK$23="",ISNA($B254)),"",IF(ISBLANK($B254),"",IFERROR(_xll.BDP(TICKER,"DEEP_MEASURE_PERIOD_BROKER_VALUE","DEEP_MEASURE_ID_OVERRIDE",$C254,"DEEP_BROKER_ID_OVERRIDE",AK$24,"DEEP_PERIOD_OVERRIDE",$H$19)*1,"")))</f>
        <v/>
      </c>
      <c r="AL254" t="str">
        <f>IF(OR(AL$23="",ISNA($B254)),"",IF(ISBLANK($B254),"",IFERROR(_xll.BDP(TICKER,"DEEP_MEASURE_PERIOD_BROKER_VALUE","DEEP_MEASURE_ID_OVERRIDE",$C254,"DEEP_BROKER_ID_OVERRIDE",AL$24,"DEEP_PERIOD_OVERRIDE",$H$19)*1,"")))</f>
        <v/>
      </c>
      <c r="AM254" t="str">
        <f>IF(OR(AM$23="",ISNA($B254)),"",IF(ISBLANK($B254),"",IFERROR(_xll.BDP(TICKER,"DEEP_MEASURE_PERIOD_BROKER_VALUE","DEEP_MEASURE_ID_OVERRIDE",$C254,"DEEP_BROKER_ID_OVERRIDE",AM$24,"DEEP_PERIOD_OVERRIDE",$H$19)*1,"")))</f>
        <v/>
      </c>
      <c r="AN254" t="str">
        <f>IF(OR(AN$23="",ISNA($B254)),"",IF(ISBLANK($B254),"",IFERROR(_xll.BDP(TICKER,"DEEP_MEASURE_PERIOD_BROKER_VALUE","DEEP_MEASURE_ID_OVERRIDE",$C254,"DEEP_BROKER_ID_OVERRIDE",AN$24,"DEEP_PERIOD_OVERRIDE",$H$19)*1,"")))</f>
        <v/>
      </c>
      <c r="AO254" t="str">
        <f>IF(OR(AO$23="",ISNA($B254)),"",IF(ISBLANK($B254),"",IFERROR(_xll.BDP(TICKER,"DEEP_MEASURE_PERIOD_BROKER_VALUE","DEEP_MEASURE_ID_OVERRIDE",$C254,"DEEP_BROKER_ID_OVERRIDE",AO$24,"DEEP_PERIOD_OVERRIDE",$H$19)*1,"")))</f>
        <v/>
      </c>
      <c r="AP254" t="str">
        <f>IF(OR(AP$23="",ISNA($B254)),"",IF(ISBLANK($B254),"",IFERROR(_xll.BDP(TICKER,"DEEP_MEASURE_PERIOD_BROKER_VALUE","DEEP_MEASURE_ID_OVERRIDE",$C254,"DEEP_BROKER_ID_OVERRIDE",AP$24,"DEEP_PERIOD_OVERRIDE",$H$19)*1,"")))</f>
        <v/>
      </c>
      <c r="AQ254" t="str">
        <f>IF(OR(AQ$23="",ISNA($B254)),"",IF(ISBLANK($B254),"",IFERROR(_xll.BDP(TICKER,"DEEP_MEASURE_PERIOD_BROKER_VALUE","DEEP_MEASURE_ID_OVERRIDE",$C254,"DEEP_BROKER_ID_OVERRIDE",AQ$24,"DEEP_PERIOD_OVERRIDE",$H$19)*1,"")))</f>
        <v/>
      </c>
      <c r="AR254" t="str">
        <f>IF(OR(AR$23="",ISNA($B254)),"",IF(ISBLANK($B254),"",IFERROR(_xll.BDP(TICKER,"DEEP_MEASURE_PERIOD_BROKER_VALUE","DEEP_MEASURE_ID_OVERRIDE",$C254,"DEEP_BROKER_ID_OVERRIDE",AR$24,"DEEP_PERIOD_OVERRIDE",$H$19)*1,"")))</f>
        <v/>
      </c>
      <c r="AS254" t="str">
        <f>IF(OR(AS$23="",ISNA($B254)),"",IF(ISBLANK($B254),"",IFERROR(_xll.BDP(TICKER,"DEEP_MEASURE_PERIOD_BROKER_VALUE","DEEP_MEASURE_ID_OVERRIDE",$C254,"DEEP_BROKER_ID_OVERRIDE",AS$24,"DEEP_PERIOD_OVERRIDE",$H$19)*1,"")))</f>
        <v/>
      </c>
      <c r="AT254" t="str">
        <f>IF(OR(AT$23="",ISNA($B254)),"",IF(ISBLANK($B254),"",IFERROR(_xll.BDP(TICKER,"DEEP_MEASURE_PERIOD_BROKER_VALUE","DEEP_MEASURE_ID_OVERRIDE",$C254,"DEEP_BROKER_ID_OVERRIDE",AT$24,"DEEP_PERIOD_OVERRIDE",$H$19)*1,"")))</f>
        <v/>
      </c>
      <c r="AU254" t="str">
        <f>IF(OR(AU$23="",ISNA($B254)),"",IF(ISBLANK($B254),"",IFERROR(_xll.BDP(TICKER,"DEEP_MEASURE_PERIOD_BROKER_VALUE","DEEP_MEASURE_ID_OVERRIDE",$C254,"DEEP_BROKER_ID_OVERRIDE",AU$24,"DEEP_PERIOD_OVERRIDE",$H$19)*1,"")))</f>
        <v/>
      </c>
      <c r="AV254" t="str">
        <f>IF(OR(AV$23="",ISNA($B254)),"",IF(ISBLANK($B254),"",IFERROR(_xll.BDP(TICKER,"DEEP_MEASURE_PERIOD_BROKER_VALUE","DEEP_MEASURE_ID_OVERRIDE",$C254,"DEEP_BROKER_ID_OVERRIDE",AV$24,"DEEP_PERIOD_OVERRIDE",$H$19)*1,"")))</f>
        <v/>
      </c>
      <c r="AW254" t="str">
        <f>IF(OR(AW$23="",ISNA($B254)),"",IF(ISBLANK($B254),"",IFERROR(_xll.BDP(TICKER,"DEEP_MEASURE_PERIOD_BROKER_VALUE","DEEP_MEASURE_ID_OVERRIDE",$C254,"DEEP_BROKER_ID_OVERRIDE",AW$24,"DEEP_PERIOD_OVERRIDE",$H$19)*1,"")))</f>
        <v/>
      </c>
      <c r="AX254" t="str">
        <f>IF(OR(AX$23="",ISNA($B254)),"",IF(ISBLANK($B254),"",IFERROR(_xll.BDP(TICKER,"DEEP_MEASURE_PERIOD_BROKER_VALUE","DEEP_MEASURE_ID_OVERRIDE",$C254,"DEEP_BROKER_ID_OVERRIDE",AX$24,"DEEP_PERIOD_OVERRIDE",$H$19)*1,"")))</f>
        <v/>
      </c>
      <c r="AY254" t="str">
        <f>IF(OR(AY$23="",ISNA($B254)),"",IF(ISBLANK($B254),"",IFERROR(_xll.BDP(TICKER,"DEEP_MEASURE_PERIOD_BROKER_VALUE","DEEP_MEASURE_ID_OVERRIDE",$C254,"DEEP_BROKER_ID_OVERRIDE",AY$24,"DEEP_PERIOD_OVERRIDE",$H$19)*1,"")))</f>
        <v/>
      </c>
      <c r="AZ254" t="str">
        <f>IF(OR(AZ$23="",ISNA($B254)),"",IF(ISBLANK($B254),"",IFERROR(_xll.BDP(TICKER,"DEEP_MEASURE_PERIOD_BROKER_VALUE","DEEP_MEASURE_ID_OVERRIDE",$C254,"DEEP_BROKER_ID_OVERRIDE",AZ$24,"DEEP_PERIOD_OVERRIDE",$H$19)*1,"")))</f>
        <v/>
      </c>
      <c r="BA254" t="str">
        <f>IF(OR(BA$23="",ISNA($B254)),"",IF(ISBLANK($B254),"",IFERROR(_xll.BDP(TICKER,"DEEP_MEASURE_PERIOD_BROKER_VALUE","DEEP_MEASURE_ID_OVERRIDE",$C254,"DEEP_BROKER_ID_OVERRIDE",BA$24,"DEEP_PERIOD_OVERRIDE",$H$19)*1,"")))</f>
        <v/>
      </c>
      <c r="BB254" t="str">
        <f>IF(OR(BB$23="",ISNA($B254)),"",IF(ISBLANK($B254),"",IFERROR(_xll.BDP(TICKER,"DEEP_MEASURE_PERIOD_BROKER_VALUE","DEEP_MEASURE_ID_OVERRIDE",$C254,"DEEP_BROKER_ID_OVERRIDE",BB$24,"DEEP_PERIOD_OVERRIDE",$H$19)*1,"")))</f>
        <v/>
      </c>
      <c r="BC254" t="str">
        <f>IF(OR(BC$23="",ISNA($B254)),"",IF(ISBLANK($B254),"",IFERROR(_xll.BDP(TICKER,"DEEP_MEASURE_PERIOD_BROKER_VALUE","DEEP_MEASURE_ID_OVERRIDE",$C254,"DEEP_BROKER_ID_OVERRIDE",BC$24,"DEEP_PERIOD_OVERRIDE",$H$19)*1,"")))</f>
        <v/>
      </c>
      <c r="BD254" t="str">
        <f>IF(OR(BD$23="",ISNA($B254)),"",IF(ISBLANK($B254),"",IFERROR(_xll.BDP(TICKER,"DEEP_MEASURE_PERIOD_BROKER_VALUE","DEEP_MEASURE_ID_OVERRIDE",$C254,"DEEP_BROKER_ID_OVERRIDE",BD$24,"DEEP_PERIOD_OVERRIDE",$H$19)*1,"")))</f>
        <v/>
      </c>
      <c r="BE254" t="str">
        <f>IF(OR(BE$23="",ISNA($B254)),"",IF(ISBLANK($B254),"",IFERROR(_xll.BDP(TICKER,"DEEP_MEASURE_PERIOD_BROKER_VALUE","DEEP_MEASURE_ID_OVERRIDE",$C254,"DEEP_BROKER_ID_OVERRIDE",BE$24,"DEEP_PERIOD_OVERRIDE",$H$19)*1,"")))</f>
        <v/>
      </c>
      <c r="BF254" t="str">
        <f>IF(OR(BF$23="",ISNA($B254)),"",IF(ISBLANK($B254),"",IFERROR(_xll.BDP(TICKER,"DEEP_MEASURE_PERIOD_BROKER_VALUE","DEEP_MEASURE_ID_OVERRIDE",$C254,"DEEP_BROKER_ID_OVERRIDE",BF$24,"DEEP_PERIOD_OVERRIDE",$H$19)*1,"")))</f>
        <v/>
      </c>
      <c r="BG254" t="str">
        <f>IF(OR(BG$23="",ISNA($B254)),"",IF(ISBLANK($B254),"",IFERROR(_xll.BDP(TICKER,"DEEP_MEASURE_PERIOD_BROKER_VALUE","DEEP_MEASURE_ID_OVERRIDE",$C254,"DEEP_BROKER_ID_OVERRIDE",BG$24,"DEEP_PERIOD_OVERRIDE",$H$19)*1,"")))</f>
        <v/>
      </c>
      <c r="BH254" t="str">
        <f>IF(OR(BH$23="",ISNA($B254)),"",IF(ISBLANK($B254),"",IFERROR(_xll.BDP(TICKER,"DEEP_MEASURE_PERIOD_BROKER_VALUE","DEEP_MEASURE_ID_OVERRIDE",$C254,"DEEP_BROKER_ID_OVERRIDE",BH$24,"DEEP_PERIOD_OVERRIDE",$H$19)*1,"")))</f>
        <v/>
      </c>
      <c r="BI254" t="str">
        <f>IF(OR(BI$23="",ISNA($B254)),"",IF(ISBLANK($B254),"",IFERROR(_xll.BDP(TICKER,"DEEP_MEASURE_PERIOD_BROKER_VALUE","DEEP_MEASURE_ID_OVERRIDE",$C254,"DEEP_BROKER_ID_OVERRIDE",BI$24,"DEEP_PERIOD_OVERRIDE",$H$19)*1,"")))</f>
        <v/>
      </c>
      <c r="BJ254" t="str">
        <f>IF(OR(BJ$23="",ISNA($B254)),"",IF(ISBLANK($B254),"",IFERROR(_xll.BDP(TICKER,"DEEP_MEASURE_PERIOD_BROKER_VALUE","DEEP_MEASURE_ID_OVERRIDE",$C254,"DEEP_BROKER_ID_OVERRIDE",BJ$24,"DEEP_PERIOD_OVERRIDE",$H$19)*1,"")))</f>
        <v/>
      </c>
      <c r="BK254" t="str">
        <f>IF(OR(BK$23="",ISNA($B254)),"",IF(ISBLANK($B254),"",IFERROR(_xll.BDP(TICKER,"DEEP_MEASURE_PERIOD_BROKER_VALUE","DEEP_MEASURE_ID_OVERRIDE",$C254,"DEEP_BROKER_ID_OVERRIDE",BK$24,"DEEP_PERIOD_OVERRIDE",$H$19)*1,"")))</f>
        <v/>
      </c>
      <c r="BL254" t="str">
        <f>IF(OR(BL$23="",ISNA($B254)),"",IF(ISBLANK($B254),"",IFERROR(_xll.BDP(TICKER,"DEEP_MEASURE_PERIOD_BROKER_VALUE","DEEP_MEASURE_ID_OVERRIDE",$C254,"DEEP_BROKER_ID_OVERRIDE",BL$24,"DEEP_PERIOD_OVERRIDE",$H$19)*1,"")))</f>
        <v/>
      </c>
      <c r="BM254" t="str">
        <f>IF(OR(BM$23="",ISNA($B254)),"",IF(ISBLANK($B254),"",IFERROR(_xll.BDP(TICKER,"DEEP_MEASURE_PERIOD_BROKER_VALUE","DEEP_MEASURE_ID_OVERRIDE",$C254,"DEEP_BROKER_ID_OVERRIDE",BM$24,"DEEP_PERIOD_OVERRIDE",$H$19)*1,"")))</f>
        <v/>
      </c>
      <c r="BN254" t="str">
        <f>IF(OR(BN$23="",ISNA($B254)),"",IF(ISBLANK($B254),"",IFERROR(_xll.BDP(TICKER,"DEEP_MEASURE_PERIOD_BROKER_VALUE","DEEP_MEASURE_ID_OVERRIDE",$C254,"DEEP_BROKER_ID_OVERRIDE",BN$24,"DEEP_PERIOD_OVERRIDE",$H$19)*1,"")))</f>
        <v/>
      </c>
      <c r="BO254" t="str">
        <f>IF(OR(BO$23="",ISNA($B254)),"",IF(ISBLANK($B254),"",IFERROR(_xll.BDP(TICKER,"DEEP_MEASURE_PERIOD_BROKER_VALUE","DEEP_MEASURE_ID_OVERRIDE",$C254,"DEEP_BROKER_ID_OVERRIDE",BO$24,"DEEP_PERIOD_OVERRIDE",$H$19)*1,"")))</f>
        <v/>
      </c>
      <c r="BP254" t="str">
        <f>IF(OR(BP$23="",ISNA($B254)),"",IF(ISBLANK($B254),"",IFERROR(_xll.BDP(TICKER,"DEEP_MEASURE_PERIOD_BROKER_VALUE","DEEP_MEASURE_ID_OVERRIDE",$C254,"DEEP_BROKER_ID_OVERRIDE",BP$24,"DEEP_PERIOD_OVERRIDE",$H$19)*1,"")))</f>
        <v/>
      </c>
      <c r="BQ254" t="str">
        <f>IF(OR(BQ$23="",ISNA($B254)),"",IF(ISBLANK($B254),"",IFERROR(_xll.BDP(TICKER,"DEEP_MEASURE_PERIOD_BROKER_VALUE","DEEP_MEASURE_ID_OVERRIDE",$C254,"DEEP_BROKER_ID_OVERRIDE",BQ$24,"DEEP_PERIOD_OVERRIDE",$H$19)*1,"")))</f>
        <v/>
      </c>
      <c r="BR254" t="str">
        <f>IF(OR(BR$23="",ISNA($B254)),"",IF(ISBLANK($B254),"",IFERROR(_xll.BDP(TICKER,"DEEP_MEASURE_PERIOD_BROKER_VALUE","DEEP_MEASURE_ID_OVERRIDE",$C254,"DEEP_BROKER_ID_OVERRIDE",BR$24,"DEEP_PERIOD_OVERRIDE",$H$19)*1,"")))</f>
        <v/>
      </c>
      <c r="BS254" t="str">
        <f>IF(OR(BS$23="",ISNA($B254)),"",IF(ISBLANK($B254),"",IFERROR(_xll.BDP(TICKER,"DEEP_MEASURE_PERIOD_BROKER_VALUE","DEEP_MEASURE_ID_OVERRIDE",$C254,"DEEP_BROKER_ID_OVERRIDE",BS$24,"DEEP_PERIOD_OVERRIDE",$H$19)*1,"")))</f>
        <v/>
      </c>
      <c r="BT254" t="str">
        <f>IF(OR(BT$23="",ISNA($B254)),"",IF(ISBLANK($B254),"",IFERROR(_xll.BDP(TICKER,"DEEP_MEASURE_PERIOD_BROKER_VALUE","DEEP_MEASURE_ID_OVERRIDE",$C254,"DEEP_BROKER_ID_OVERRIDE",BT$24,"DEEP_PERIOD_OVERRIDE",$H$19)*1,"")))</f>
        <v/>
      </c>
      <c r="BU254" t="str">
        <f>IF(OR(BU$23="",ISNA($B254)),"",IF(ISBLANK($B254),"",IFERROR(_xll.BDP(TICKER,"DEEP_MEASURE_PERIOD_BROKER_VALUE","DEEP_MEASURE_ID_OVERRIDE",$C254,"DEEP_BROKER_ID_OVERRIDE",BU$24,"DEEP_PERIOD_OVERRIDE",$H$19)*1,"")))</f>
        <v/>
      </c>
      <c r="BV254" t="str">
        <f>IF(OR(BV$23="",ISNA($B254)),"",IF(ISBLANK($B254),"",IFERROR(_xll.BDP(TICKER,"DEEP_MEASURE_PERIOD_BROKER_VALUE","DEEP_MEASURE_ID_OVERRIDE",$C254,"DEEP_BROKER_ID_OVERRIDE",BV$24,"DEEP_PERIOD_OVERRIDE",$H$19)*1,"")))</f>
        <v/>
      </c>
      <c r="BW254" t="str">
        <f>IF(OR(BW$23="",ISNA($B254)),"",IF(ISBLANK($B254),"",IFERROR(_xll.BDP(TICKER,"DEEP_MEASURE_PERIOD_BROKER_VALUE","DEEP_MEASURE_ID_OVERRIDE",$C254,"DEEP_BROKER_ID_OVERRIDE",BW$24,"DEEP_PERIOD_OVERRIDE",$H$19)*1,"")))</f>
        <v/>
      </c>
      <c r="BX254" t="str">
        <f>IF(OR(BX$23="",ISNA($B254)),"",IF(ISBLANK($B254),"",IFERROR(_xll.BDP(TICKER,"DEEP_MEASURE_PERIOD_BROKER_VALUE","DEEP_MEASURE_ID_OVERRIDE",$C254,"DEEP_BROKER_ID_OVERRIDE",BX$24,"DEEP_PERIOD_OVERRIDE",$H$19)*1,"")))</f>
        <v/>
      </c>
      <c r="BY254" t="str">
        <f>IF(OR(BY$23="",ISNA($B254)),"",IF(ISBLANK($B254),"",IFERROR(_xll.BDP(TICKER,"DEEP_MEASURE_PERIOD_BROKER_VALUE","DEEP_MEASURE_ID_OVERRIDE",$C254,"DEEP_BROKER_ID_OVERRIDE",BY$24,"DEEP_PERIOD_OVERRIDE",$H$19)*1,"")))</f>
        <v/>
      </c>
      <c r="BZ254" t="str">
        <f>IF(OR(BZ$23="",ISNA($B254)),"",IF(ISBLANK($B254),"",IFERROR(_xll.BDP(TICKER,"DEEP_MEASURE_PERIOD_BROKER_VALUE","DEEP_MEASURE_ID_OVERRIDE",$C254,"DEEP_BROKER_ID_OVERRIDE",BZ$24,"DEEP_PERIOD_OVERRIDE",$H$19)*1,"")))</f>
        <v/>
      </c>
    </row>
    <row r="255" spans="8:78" x14ac:dyDescent="0.25">
      <c r="H255" t="str">
        <f t="shared" si="4"/>
        <v/>
      </c>
      <c r="I255" t="str">
        <f>IF(OR(I$23="",ISNA($B255)),"",IF(ISBLANK($B255),"",IFERROR(_xll.BDP(TICKER,"DEEP_MEASURE_PERIOD_BROKER_VALUE","DEEP_MEASURE_ID_OVERRIDE",$C255,"DEEP_PERIOD_OVERRIDE",$H$19)*1,"")))</f>
        <v/>
      </c>
      <c r="J255" t="e">
        <f>IF(OR(J$23="",ISNA($B255)),"",IF(ISBLANK($B255),"",IFERROR(_xll.BDP(TICKER,"DEEP_MEASURE_PERIOD_BROKER_VALUE","DEEP_MEASURE_ID_OVERRIDE",$C255,"DEEP_BROKER_ID_OVERRIDE",J$24,"DEEP_PERIOD_OVERRIDE",$H$19)*1,"")))</f>
        <v>#REF!</v>
      </c>
      <c r="K255" t="str">
        <f>IF(OR(K$23="",ISNA($B255)),"",IF(ISBLANK($B255),"",IFERROR(_xll.BDP(TICKER,"DEEP_MEASURE_PERIOD_BROKER_VALUE","DEEP_MEASURE_ID_OVERRIDE",$C255,"DEEP_BROKER_ID_OVERRIDE",K$24,"DEEP_PERIOD_OVERRIDE",$H$19)*1,"")))</f>
        <v/>
      </c>
      <c r="L255" t="str">
        <f>IF(OR(L$23="",ISNA($B255)),"",IF(ISBLANK($B255),"",IFERROR(_xll.BDP(TICKER,"DEEP_MEASURE_PERIOD_BROKER_VALUE","DEEP_MEASURE_ID_OVERRIDE",$C255,"DEEP_BROKER_ID_OVERRIDE",L$24,"DEEP_PERIOD_OVERRIDE",$H$19)*1,"")))</f>
        <v/>
      </c>
      <c r="M255" t="str">
        <f>IF(OR(M$23="",ISNA($B255)),"",IF(ISBLANK($B255),"",IFERROR(_xll.BDP(TICKER,"DEEP_MEASURE_PERIOD_BROKER_VALUE","DEEP_MEASURE_ID_OVERRIDE",$C255,"DEEP_BROKER_ID_OVERRIDE",M$24,"DEEP_PERIOD_OVERRIDE",$H$19)*1,"")))</f>
        <v/>
      </c>
      <c r="N255" t="str">
        <f>IF(OR(N$23="",ISNA($B255)),"",IF(ISBLANK($B255),"",IFERROR(_xll.BDP(TICKER,"DEEP_MEASURE_PERIOD_BROKER_VALUE","DEEP_MEASURE_ID_OVERRIDE",$C255,"DEEP_BROKER_ID_OVERRIDE",N$24,"DEEP_PERIOD_OVERRIDE",$H$19)*1,"")))</f>
        <v/>
      </c>
      <c r="O255" t="str">
        <f>IF(OR(O$23="",ISNA($B255)),"",IF(ISBLANK($B255),"",IFERROR(_xll.BDP(TICKER,"DEEP_MEASURE_PERIOD_BROKER_VALUE","DEEP_MEASURE_ID_OVERRIDE",$C255,"DEEP_BROKER_ID_OVERRIDE",O$24,"DEEP_PERIOD_OVERRIDE",$H$19)*1,"")))</f>
        <v/>
      </c>
      <c r="P255" t="str">
        <f>IF(OR(P$23="",ISNA($B255)),"",IF(ISBLANK($B255),"",IFERROR(_xll.BDP(TICKER,"DEEP_MEASURE_PERIOD_BROKER_VALUE","DEEP_MEASURE_ID_OVERRIDE",$C255,"DEEP_BROKER_ID_OVERRIDE",P$24,"DEEP_PERIOD_OVERRIDE",$H$19)*1,"")))</f>
        <v/>
      </c>
      <c r="Q255" t="str">
        <f>IF(OR(Q$23="",ISNA($B255)),"",IF(ISBLANK($B255),"",IFERROR(_xll.BDP(TICKER,"DEEP_MEASURE_PERIOD_BROKER_VALUE","DEEP_MEASURE_ID_OVERRIDE",$C255,"DEEP_BROKER_ID_OVERRIDE",Q$24,"DEEP_PERIOD_OVERRIDE",$H$19)*1,"")))</f>
        <v/>
      </c>
      <c r="R255" t="str">
        <f>IF(OR(R$23="",ISNA($B255)),"",IF(ISBLANK($B255),"",IFERROR(_xll.BDP(TICKER,"DEEP_MEASURE_PERIOD_BROKER_VALUE","DEEP_MEASURE_ID_OVERRIDE",$C255,"DEEP_BROKER_ID_OVERRIDE",R$24,"DEEP_PERIOD_OVERRIDE",$H$19)*1,"")))</f>
        <v/>
      </c>
      <c r="S255" t="str">
        <f>IF(OR(S$23="",ISNA($B255)),"",IF(ISBLANK($B255),"",IFERROR(_xll.BDP(TICKER,"DEEP_MEASURE_PERIOD_BROKER_VALUE","DEEP_MEASURE_ID_OVERRIDE",$C255,"DEEP_BROKER_ID_OVERRIDE",S$24,"DEEP_PERIOD_OVERRIDE",$H$19)*1,"")))</f>
        <v/>
      </c>
      <c r="T255" t="str">
        <f>IF(OR(T$23="",ISNA($B255)),"",IF(ISBLANK($B255),"",IFERROR(_xll.BDP(TICKER,"DEEP_MEASURE_PERIOD_BROKER_VALUE","DEEP_MEASURE_ID_OVERRIDE",$C255,"DEEP_BROKER_ID_OVERRIDE",T$24,"DEEP_PERIOD_OVERRIDE",$H$19)*1,"")))</f>
        <v/>
      </c>
      <c r="U255" t="str">
        <f>IF(OR(U$23="",ISNA($B255)),"",IF(ISBLANK($B255),"",IFERROR(_xll.BDP(TICKER,"DEEP_MEASURE_PERIOD_BROKER_VALUE","DEEP_MEASURE_ID_OVERRIDE",$C255,"DEEP_BROKER_ID_OVERRIDE",U$24,"DEEP_PERIOD_OVERRIDE",$H$19)*1,"")))</f>
        <v/>
      </c>
      <c r="V255" t="str">
        <f>IF(OR(V$23="",ISNA($B255)),"",IF(ISBLANK($B255),"",IFERROR(_xll.BDP(TICKER,"DEEP_MEASURE_PERIOD_BROKER_VALUE","DEEP_MEASURE_ID_OVERRIDE",$C255,"DEEP_BROKER_ID_OVERRIDE",V$24,"DEEP_PERIOD_OVERRIDE",$H$19)*1,"")))</f>
        <v/>
      </c>
      <c r="W255" t="str">
        <f>IF(OR(W$23="",ISNA($B255)),"",IF(ISBLANK($B255),"",IFERROR(_xll.BDP(TICKER,"DEEP_MEASURE_PERIOD_BROKER_VALUE","DEEP_MEASURE_ID_OVERRIDE",$C255,"DEEP_BROKER_ID_OVERRIDE",W$24,"DEEP_PERIOD_OVERRIDE",$H$19)*1,"")))</f>
        <v/>
      </c>
      <c r="X255" t="str">
        <f>IF(OR(X$23="",ISNA($B255)),"",IF(ISBLANK($B255),"",IFERROR(_xll.BDP(TICKER,"DEEP_MEASURE_PERIOD_BROKER_VALUE","DEEP_MEASURE_ID_OVERRIDE",$C255,"DEEP_BROKER_ID_OVERRIDE",X$24,"DEEP_PERIOD_OVERRIDE",$H$19)*1,"")))</f>
        <v/>
      </c>
      <c r="Y255" t="str">
        <f>IF(OR(Y$23="",ISNA($B255)),"",IF(ISBLANK($B255),"",IFERROR(_xll.BDP(TICKER,"DEEP_MEASURE_PERIOD_BROKER_VALUE","DEEP_MEASURE_ID_OVERRIDE",$C255,"DEEP_BROKER_ID_OVERRIDE",Y$24,"DEEP_PERIOD_OVERRIDE",$H$19)*1,"")))</f>
        <v/>
      </c>
      <c r="Z255" t="str">
        <f>IF(OR(Z$23="",ISNA($B255)),"",IF(ISBLANK($B255),"",IFERROR(_xll.BDP(TICKER,"DEEP_MEASURE_PERIOD_BROKER_VALUE","DEEP_MEASURE_ID_OVERRIDE",$C255,"DEEP_BROKER_ID_OVERRIDE",Z$24,"DEEP_PERIOD_OVERRIDE",$H$19)*1,"")))</f>
        <v/>
      </c>
      <c r="AA255" t="str">
        <f>IF(OR(AA$23="",ISNA($B255)),"",IF(ISBLANK($B255),"",IFERROR(_xll.BDP(TICKER,"DEEP_MEASURE_PERIOD_BROKER_VALUE","DEEP_MEASURE_ID_OVERRIDE",$C255,"DEEP_BROKER_ID_OVERRIDE",AA$24,"DEEP_PERIOD_OVERRIDE",$H$19)*1,"")))</f>
        <v/>
      </c>
      <c r="AB255" t="str">
        <f>IF(OR(AB$23="",ISNA($B255)),"",IF(ISBLANK($B255),"",IFERROR(_xll.BDP(TICKER,"DEEP_MEASURE_PERIOD_BROKER_VALUE","DEEP_MEASURE_ID_OVERRIDE",$C255,"DEEP_BROKER_ID_OVERRIDE",AB$24,"DEEP_PERIOD_OVERRIDE",$H$19)*1,"")))</f>
        <v/>
      </c>
      <c r="AC255" t="str">
        <f>IF(OR(AC$23="",ISNA($B255)),"",IF(ISBLANK($B255),"",IFERROR(_xll.BDP(TICKER,"DEEP_MEASURE_PERIOD_BROKER_VALUE","DEEP_MEASURE_ID_OVERRIDE",$C255,"DEEP_BROKER_ID_OVERRIDE",AC$24,"DEEP_PERIOD_OVERRIDE",$H$19)*1,"")))</f>
        <v/>
      </c>
      <c r="AD255" t="str">
        <f>IF(OR(AD$23="",ISNA($B255)),"",IF(ISBLANK($B255),"",IFERROR(_xll.BDP(TICKER,"DEEP_MEASURE_PERIOD_BROKER_VALUE","DEEP_MEASURE_ID_OVERRIDE",$C255,"DEEP_BROKER_ID_OVERRIDE",AD$24,"DEEP_PERIOD_OVERRIDE",$H$19)*1,"")))</f>
        <v/>
      </c>
      <c r="AE255" t="str">
        <f>IF(OR(AE$23="",ISNA($B255)),"",IF(ISBLANK($B255),"",IFERROR(_xll.BDP(TICKER,"DEEP_MEASURE_PERIOD_BROKER_VALUE","DEEP_MEASURE_ID_OVERRIDE",$C255,"DEEP_BROKER_ID_OVERRIDE",AE$24,"DEEP_PERIOD_OVERRIDE",$H$19)*1,"")))</f>
        <v/>
      </c>
      <c r="AF255" t="str">
        <f>IF(OR(AF$23="",ISNA($B255)),"",IF(ISBLANK($B255),"",IFERROR(_xll.BDP(TICKER,"DEEP_MEASURE_PERIOD_BROKER_VALUE","DEEP_MEASURE_ID_OVERRIDE",$C255,"DEEP_BROKER_ID_OVERRIDE",AF$24,"DEEP_PERIOD_OVERRIDE",$H$19)*1,"")))</f>
        <v/>
      </c>
      <c r="AG255" t="str">
        <f>IF(OR(AG$23="",ISNA($B255)),"",IF(ISBLANK($B255),"",IFERROR(_xll.BDP(TICKER,"DEEP_MEASURE_PERIOD_BROKER_VALUE","DEEP_MEASURE_ID_OVERRIDE",$C255,"DEEP_BROKER_ID_OVERRIDE",AG$24,"DEEP_PERIOD_OVERRIDE",$H$19)*1,"")))</f>
        <v/>
      </c>
      <c r="AH255" t="str">
        <f>IF(OR(AH$23="",ISNA($B255)),"",IF(ISBLANK($B255),"",IFERROR(_xll.BDP(TICKER,"DEEP_MEASURE_PERIOD_BROKER_VALUE","DEEP_MEASURE_ID_OVERRIDE",$C255,"DEEP_BROKER_ID_OVERRIDE",AH$24,"DEEP_PERIOD_OVERRIDE",$H$19)*1,"")))</f>
        <v/>
      </c>
      <c r="AI255" t="str">
        <f>IF(OR(AI$23="",ISNA($B255)),"",IF(ISBLANK($B255),"",IFERROR(_xll.BDP(TICKER,"DEEP_MEASURE_PERIOD_BROKER_VALUE","DEEP_MEASURE_ID_OVERRIDE",$C255,"DEEP_BROKER_ID_OVERRIDE",AI$24,"DEEP_PERIOD_OVERRIDE",$H$19)*1,"")))</f>
        <v/>
      </c>
      <c r="AJ255" t="str">
        <f>IF(OR(AJ$23="",ISNA($B255)),"",IF(ISBLANK($B255),"",IFERROR(_xll.BDP(TICKER,"DEEP_MEASURE_PERIOD_BROKER_VALUE","DEEP_MEASURE_ID_OVERRIDE",$C255,"DEEP_BROKER_ID_OVERRIDE",AJ$24,"DEEP_PERIOD_OVERRIDE",$H$19)*1,"")))</f>
        <v/>
      </c>
      <c r="AK255" t="str">
        <f>IF(OR(AK$23="",ISNA($B255)),"",IF(ISBLANK($B255),"",IFERROR(_xll.BDP(TICKER,"DEEP_MEASURE_PERIOD_BROKER_VALUE","DEEP_MEASURE_ID_OVERRIDE",$C255,"DEEP_BROKER_ID_OVERRIDE",AK$24,"DEEP_PERIOD_OVERRIDE",$H$19)*1,"")))</f>
        <v/>
      </c>
      <c r="AL255" t="str">
        <f>IF(OR(AL$23="",ISNA($B255)),"",IF(ISBLANK($B255),"",IFERROR(_xll.BDP(TICKER,"DEEP_MEASURE_PERIOD_BROKER_VALUE","DEEP_MEASURE_ID_OVERRIDE",$C255,"DEEP_BROKER_ID_OVERRIDE",AL$24,"DEEP_PERIOD_OVERRIDE",$H$19)*1,"")))</f>
        <v/>
      </c>
      <c r="AM255" t="str">
        <f>IF(OR(AM$23="",ISNA($B255)),"",IF(ISBLANK($B255),"",IFERROR(_xll.BDP(TICKER,"DEEP_MEASURE_PERIOD_BROKER_VALUE","DEEP_MEASURE_ID_OVERRIDE",$C255,"DEEP_BROKER_ID_OVERRIDE",AM$24,"DEEP_PERIOD_OVERRIDE",$H$19)*1,"")))</f>
        <v/>
      </c>
      <c r="AN255" t="str">
        <f>IF(OR(AN$23="",ISNA($B255)),"",IF(ISBLANK($B255),"",IFERROR(_xll.BDP(TICKER,"DEEP_MEASURE_PERIOD_BROKER_VALUE","DEEP_MEASURE_ID_OVERRIDE",$C255,"DEEP_BROKER_ID_OVERRIDE",AN$24,"DEEP_PERIOD_OVERRIDE",$H$19)*1,"")))</f>
        <v/>
      </c>
      <c r="AO255" t="str">
        <f>IF(OR(AO$23="",ISNA($B255)),"",IF(ISBLANK($B255),"",IFERROR(_xll.BDP(TICKER,"DEEP_MEASURE_PERIOD_BROKER_VALUE","DEEP_MEASURE_ID_OVERRIDE",$C255,"DEEP_BROKER_ID_OVERRIDE",AO$24,"DEEP_PERIOD_OVERRIDE",$H$19)*1,"")))</f>
        <v/>
      </c>
      <c r="AP255" t="str">
        <f>IF(OR(AP$23="",ISNA($B255)),"",IF(ISBLANK($B255),"",IFERROR(_xll.BDP(TICKER,"DEEP_MEASURE_PERIOD_BROKER_VALUE","DEEP_MEASURE_ID_OVERRIDE",$C255,"DEEP_BROKER_ID_OVERRIDE",AP$24,"DEEP_PERIOD_OVERRIDE",$H$19)*1,"")))</f>
        <v/>
      </c>
      <c r="AQ255" t="str">
        <f>IF(OR(AQ$23="",ISNA($B255)),"",IF(ISBLANK($B255),"",IFERROR(_xll.BDP(TICKER,"DEEP_MEASURE_PERIOD_BROKER_VALUE","DEEP_MEASURE_ID_OVERRIDE",$C255,"DEEP_BROKER_ID_OVERRIDE",AQ$24,"DEEP_PERIOD_OVERRIDE",$H$19)*1,"")))</f>
        <v/>
      </c>
      <c r="AR255" t="str">
        <f>IF(OR(AR$23="",ISNA($B255)),"",IF(ISBLANK($B255),"",IFERROR(_xll.BDP(TICKER,"DEEP_MEASURE_PERIOD_BROKER_VALUE","DEEP_MEASURE_ID_OVERRIDE",$C255,"DEEP_BROKER_ID_OVERRIDE",AR$24,"DEEP_PERIOD_OVERRIDE",$H$19)*1,"")))</f>
        <v/>
      </c>
      <c r="AS255" t="str">
        <f>IF(OR(AS$23="",ISNA($B255)),"",IF(ISBLANK($B255),"",IFERROR(_xll.BDP(TICKER,"DEEP_MEASURE_PERIOD_BROKER_VALUE","DEEP_MEASURE_ID_OVERRIDE",$C255,"DEEP_BROKER_ID_OVERRIDE",AS$24,"DEEP_PERIOD_OVERRIDE",$H$19)*1,"")))</f>
        <v/>
      </c>
      <c r="AT255" t="str">
        <f>IF(OR(AT$23="",ISNA($B255)),"",IF(ISBLANK($B255),"",IFERROR(_xll.BDP(TICKER,"DEEP_MEASURE_PERIOD_BROKER_VALUE","DEEP_MEASURE_ID_OVERRIDE",$C255,"DEEP_BROKER_ID_OVERRIDE",AT$24,"DEEP_PERIOD_OVERRIDE",$H$19)*1,"")))</f>
        <v/>
      </c>
      <c r="AU255" t="str">
        <f>IF(OR(AU$23="",ISNA($B255)),"",IF(ISBLANK($B255),"",IFERROR(_xll.BDP(TICKER,"DEEP_MEASURE_PERIOD_BROKER_VALUE","DEEP_MEASURE_ID_OVERRIDE",$C255,"DEEP_BROKER_ID_OVERRIDE",AU$24,"DEEP_PERIOD_OVERRIDE",$H$19)*1,"")))</f>
        <v/>
      </c>
      <c r="AV255" t="str">
        <f>IF(OR(AV$23="",ISNA($B255)),"",IF(ISBLANK($B255),"",IFERROR(_xll.BDP(TICKER,"DEEP_MEASURE_PERIOD_BROKER_VALUE","DEEP_MEASURE_ID_OVERRIDE",$C255,"DEEP_BROKER_ID_OVERRIDE",AV$24,"DEEP_PERIOD_OVERRIDE",$H$19)*1,"")))</f>
        <v/>
      </c>
      <c r="AW255" t="str">
        <f>IF(OR(AW$23="",ISNA($B255)),"",IF(ISBLANK($B255),"",IFERROR(_xll.BDP(TICKER,"DEEP_MEASURE_PERIOD_BROKER_VALUE","DEEP_MEASURE_ID_OVERRIDE",$C255,"DEEP_BROKER_ID_OVERRIDE",AW$24,"DEEP_PERIOD_OVERRIDE",$H$19)*1,"")))</f>
        <v/>
      </c>
      <c r="AX255" t="str">
        <f>IF(OR(AX$23="",ISNA($B255)),"",IF(ISBLANK($B255),"",IFERROR(_xll.BDP(TICKER,"DEEP_MEASURE_PERIOD_BROKER_VALUE","DEEP_MEASURE_ID_OVERRIDE",$C255,"DEEP_BROKER_ID_OVERRIDE",AX$24,"DEEP_PERIOD_OVERRIDE",$H$19)*1,"")))</f>
        <v/>
      </c>
      <c r="AY255" t="str">
        <f>IF(OR(AY$23="",ISNA($B255)),"",IF(ISBLANK($B255),"",IFERROR(_xll.BDP(TICKER,"DEEP_MEASURE_PERIOD_BROKER_VALUE","DEEP_MEASURE_ID_OVERRIDE",$C255,"DEEP_BROKER_ID_OVERRIDE",AY$24,"DEEP_PERIOD_OVERRIDE",$H$19)*1,"")))</f>
        <v/>
      </c>
      <c r="AZ255" t="str">
        <f>IF(OR(AZ$23="",ISNA($B255)),"",IF(ISBLANK($B255),"",IFERROR(_xll.BDP(TICKER,"DEEP_MEASURE_PERIOD_BROKER_VALUE","DEEP_MEASURE_ID_OVERRIDE",$C255,"DEEP_BROKER_ID_OVERRIDE",AZ$24,"DEEP_PERIOD_OVERRIDE",$H$19)*1,"")))</f>
        <v/>
      </c>
      <c r="BA255" t="str">
        <f>IF(OR(BA$23="",ISNA($B255)),"",IF(ISBLANK($B255),"",IFERROR(_xll.BDP(TICKER,"DEEP_MEASURE_PERIOD_BROKER_VALUE","DEEP_MEASURE_ID_OVERRIDE",$C255,"DEEP_BROKER_ID_OVERRIDE",BA$24,"DEEP_PERIOD_OVERRIDE",$H$19)*1,"")))</f>
        <v/>
      </c>
      <c r="BB255" t="str">
        <f>IF(OR(BB$23="",ISNA($B255)),"",IF(ISBLANK($B255),"",IFERROR(_xll.BDP(TICKER,"DEEP_MEASURE_PERIOD_BROKER_VALUE","DEEP_MEASURE_ID_OVERRIDE",$C255,"DEEP_BROKER_ID_OVERRIDE",BB$24,"DEEP_PERIOD_OVERRIDE",$H$19)*1,"")))</f>
        <v/>
      </c>
      <c r="BC255" t="str">
        <f>IF(OR(BC$23="",ISNA($B255)),"",IF(ISBLANK($B255),"",IFERROR(_xll.BDP(TICKER,"DEEP_MEASURE_PERIOD_BROKER_VALUE","DEEP_MEASURE_ID_OVERRIDE",$C255,"DEEP_BROKER_ID_OVERRIDE",BC$24,"DEEP_PERIOD_OVERRIDE",$H$19)*1,"")))</f>
        <v/>
      </c>
      <c r="BD255" t="str">
        <f>IF(OR(BD$23="",ISNA($B255)),"",IF(ISBLANK($B255),"",IFERROR(_xll.BDP(TICKER,"DEEP_MEASURE_PERIOD_BROKER_VALUE","DEEP_MEASURE_ID_OVERRIDE",$C255,"DEEP_BROKER_ID_OVERRIDE",BD$24,"DEEP_PERIOD_OVERRIDE",$H$19)*1,"")))</f>
        <v/>
      </c>
      <c r="BE255" t="str">
        <f>IF(OR(BE$23="",ISNA($B255)),"",IF(ISBLANK($B255),"",IFERROR(_xll.BDP(TICKER,"DEEP_MEASURE_PERIOD_BROKER_VALUE","DEEP_MEASURE_ID_OVERRIDE",$C255,"DEEP_BROKER_ID_OVERRIDE",BE$24,"DEEP_PERIOD_OVERRIDE",$H$19)*1,"")))</f>
        <v/>
      </c>
      <c r="BF255" t="str">
        <f>IF(OR(BF$23="",ISNA($B255)),"",IF(ISBLANK($B255),"",IFERROR(_xll.BDP(TICKER,"DEEP_MEASURE_PERIOD_BROKER_VALUE","DEEP_MEASURE_ID_OVERRIDE",$C255,"DEEP_BROKER_ID_OVERRIDE",BF$24,"DEEP_PERIOD_OVERRIDE",$H$19)*1,"")))</f>
        <v/>
      </c>
      <c r="BG255" t="str">
        <f>IF(OR(BG$23="",ISNA($B255)),"",IF(ISBLANK($B255),"",IFERROR(_xll.BDP(TICKER,"DEEP_MEASURE_PERIOD_BROKER_VALUE","DEEP_MEASURE_ID_OVERRIDE",$C255,"DEEP_BROKER_ID_OVERRIDE",BG$24,"DEEP_PERIOD_OVERRIDE",$H$19)*1,"")))</f>
        <v/>
      </c>
      <c r="BH255" t="str">
        <f>IF(OR(BH$23="",ISNA($B255)),"",IF(ISBLANK($B255),"",IFERROR(_xll.BDP(TICKER,"DEEP_MEASURE_PERIOD_BROKER_VALUE","DEEP_MEASURE_ID_OVERRIDE",$C255,"DEEP_BROKER_ID_OVERRIDE",BH$24,"DEEP_PERIOD_OVERRIDE",$H$19)*1,"")))</f>
        <v/>
      </c>
      <c r="BI255" t="str">
        <f>IF(OR(BI$23="",ISNA($B255)),"",IF(ISBLANK($B255),"",IFERROR(_xll.BDP(TICKER,"DEEP_MEASURE_PERIOD_BROKER_VALUE","DEEP_MEASURE_ID_OVERRIDE",$C255,"DEEP_BROKER_ID_OVERRIDE",BI$24,"DEEP_PERIOD_OVERRIDE",$H$19)*1,"")))</f>
        <v/>
      </c>
      <c r="BJ255" t="str">
        <f>IF(OR(BJ$23="",ISNA($B255)),"",IF(ISBLANK($B255),"",IFERROR(_xll.BDP(TICKER,"DEEP_MEASURE_PERIOD_BROKER_VALUE","DEEP_MEASURE_ID_OVERRIDE",$C255,"DEEP_BROKER_ID_OVERRIDE",BJ$24,"DEEP_PERIOD_OVERRIDE",$H$19)*1,"")))</f>
        <v/>
      </c>
      <c r="BK255" t="str">
        <f>IF(OR(BK$23="",ISNA($B255)),"",IF(ISBLANK($B255),"",IFERROR(_xll.BDP(TICKER,"DEEP_MEASURE_PERIOD_BROKER_VALUE","DEEP_MEASURE_ID_OVERRIDE",$C255,"DEEP_BROKER_ID_OVERRIDE",BK$24,"DEEP_PERIOD_OVERRIDE",$H$19)*1,"")))</f>
        <v/>
      </c>
      <c r="BL255" t="str">
        <f>IF(OR(BL$23="",ISNA($B255)),"",IF(ISBLANK($B255),"",IFERROR(_xll.BDP(TICKER,"DEEP_MEASURE_PERIOD_BROKER_VALUE","DEEP_MEASURE_ID_OVERRIDE",$C255,"DEEP_BROKER_ID_OVERRIDE",BL$24,"DEEP_PERIOD_OVERRIDE",$H$19)*1,"")))</f>
        <v/>
      </c>
      <c r="BM255" t="str">
        <f>IF(OR(BM$23="",ISNA($B255)),"",IF(ISBLANK($B255),"",IFERROR(_xll.BDP(TICKER,"DEEP_MEASURE_PERIOD_BROKER_VALUE","DEEP_MEASURE_ID_OVERRIDE",$C255,"DEEP_BROKER_ID_OVERRIDE",BM$24,"DEEP_PERIOD_OVERRIDE",$H$19)*1,"")))</f>
        <v/>
      </c>
      <c r="BN255" t="str">
        <f>IF(OR(BN$23="",ISNA($B255)),"",IF(ISBLANK($B255),"",IFERROR(_xll.BDP(TICKER,"DEEP_MEASURE_PERIOD_BROKER_VALUE","DEEP_MEASURE_ID_OVERRIDE",$C255,"DEEP_BROKER_ID_OVERRIDE",BN$24,"DEEP_PERIOD_OVERRIDE",$H$19)*1,"")))</f>
        <v/>
      </c>
      <c r="BO255" t="str">
        <f>IF(OR(BO$23="",ISNA($B255)),"",IF(ISBLANK($B255),"",IFERROR(_xll.BDP(TICKER,"DEEP_MEASURE_PERIOD_BROKER_VALUE","DEEP_MEASURE_ID_OVERRIDE",$C255,"DEEP_BROKER_ID_OVERRIDE",BO$24,"DEEP_PERIOD_OVERRIDE",$H$19)*1,"")))</f>
        <v/>
      </c>
      <c r="BP255" t="str">
        <f>IF(OR(BP$23="",ISNA($B255)),"",IF(ISBLANK($B255),"",IFERROR(_xll.BDP(TICKER,"DEEP_MEASURE_PERIOD_BROKER_VALUE","DEEP_MEASURE_ID_OVERRIDE",$C255,"DEEP_BROKER_ID_OVERRIDE",BP$24,"DEEP_PERIOD_OVERRIDE",$H$19)*1,"")))</f>
        <v/>
      </c>
      <c r="BQ255" t="str">
        <f>IF(OR(BQ$23="",ISNA($B255)),"",IF(ISBLANK($B255),"",IFERROR(_xll.BDP(TICKER,"DEEP_MEASURE_PERIOD_BROKER_VALUE","DEEP_MEASURE_ID_OVERRIDE",$C255,"DEEP_BROKER_ID_OVERRIDE",BQ$24,"DEEP_PERIOD_OVERRIDE",$H$19)*1,"")))</f>
        <v/>
      </c>
      <c r="BR255" t="str">
        <f>IF(OR(BR$23="",ISNA($B255)),"",IF(ISBLANK($B255),"",IFERROR(_xll.BDP(TICKER,"DEEP_MEASURE_PERIOD_BROKER_VALUE","DEEP_MEASURE_ID_OVERRIDE",$C255,"DEEP_BROKER_ID_OVERRIDE",BR$24,"DEEP_PERIOD_OVERRIDE",$H$19)*1,"")))</f>
        <v/>
      </c>
      <c r="BS255" t="str">
        <f>IF(OR(BS$23="",ISNA($B255)),"",IF(ISBLANK($B255),"",IFERROR(_xll.BDP(TICKER,"DEEP_MEASURE_PERIOD_BROKER_VALUE","DEEP_MEASURE_ID_OVERRIDE",$C255,"DEEP_BROKER_ID_OVERRIDE",BS$24,"DEEP_PERIOD_OVERRIDE",$H$19)*1,"")))</f>
        <v/>
      </c>
      <c r="BT255" t="str">
        <f>IF(OR(BT$23="",ISNA($B255)),"",IF(ISBLANK($B255),"",IFERROR(_xll.BDP(TICKER,"DEEP_MEASURE_PERIOD_BROKER_VALUE","DEEP_MEASURE_ID_OVERRIDE",$C255,"DEEP_BROKER_ID_OVERRIDE",BT$24,"DEEP_PERIOD_OVERRIDE",$H$19)*1,"")))</f>
        <v/>
      </c>
      <c r="BU255" t="str">
        <f>IF(OR(BU$23="",ISNA($B255)),"",IF(ISBLANK($B255),"",IFERROR(_xll.BDP(TICKER,"DEEP_MEASURE_PERIOD_BROKER_VALUE","DEEP_MEASURE_ID_OVERRIDE",$C255,"DEEP_BROKER_ID_OVERRIDE",BU$24,"DEEP_PERIOD_OVERRIDE",$H$19)*1,"")))</f>
        <v/>
      </c>
      <c r="BV255" t="str">
        <f>IF(OR(BV$23="",ISNA($B255)),"",IF(ISBLANK($B255),"",IFERROR(_xll.BDP(TICKER,"DEEP_MEASURE_PERIOD_BROKER_VALUE","DEEP_MEASURE_ID_OVERRIDE",$C255,"DEEP_BROKER_ID_OVERRIDE",BV$24,"DEEP_PERIOD_OVERRIDE",$H$19)*1,"")))</f>
        <v/>
      </c>
      <c r="BW255" t="str">
        <f>IF(OR(BW$23="",ISNA($B255)),"",IF(ISBLANK($B255),"",IFERROR(_xll.BDP(TICKER,"DEEP_MEASURE_PERIOD_BROKER_VALUE","DEEP_MEASURE_ID_OVERRIDE",$C255,"DEEP_BROKER_ID_OVERRIDE",BW$24,"DEEP_PERIOD_OVERRIDE",$H$19)*1,"")))</f>
        <v/>
      </c>
      <c r="BX255" t="str">
        <f>IF(OR(BX$23="",ISNA($B255)),"",IF(ISBLANK($B255),"",IFERROR(_xll.BDP(TICKER,"DEEP_MEASURE_PERIOD_BROKER_VALUE","DEEP_MEASURE_ID_OVERRIDE",$C255,"DEEP_BROKER_ID_OVERRIDE",BX$24,"DEEP_PERIOD_OVERRIDE",$H$19)*1,"")))</f>
        <v/>
      </c>
      <c r="BY255" t="str">
        <f>IF(OR(BY$23="",ISNA($B255)),"",IF(ISBLANK($B255),"",IFERROR(_xll.BDP(TICKER,"DEEP_MEASURE_PERIOD_BROKER_VALUE","DEEP_MEASURE_ID_OVERRIDE",$C255,"DEEP_BROKER_ID_OVERRIDE",BY$24,"DEEP_PERIOD_OVERRIDE",$H$19)*1,"")))</f>
        <v/>
      </c>
      <c r="BZ255" t="str">
        <f>IF(OR(BZ$23="",ISNA($B255)),"",IF(ISBLANK($B255),"",IFERROR(_xll.BDP(TICKER,"DEEP_MEASURE_PERIOD_BROKER_VALUE","DEEP_MEASURE_ID_OVERRIDE",$C255,"DEEP_BROKER_ID_OVERRIDE",BZ$24,"DEEP_PERIOD_OVERRIDE",$H$19)*1,"")))</f>
        <v/>
      </c>
    </row>
    <row r="256" spans="8:78" x14ac:dyDescent="0.25">
      <c r="H256" t="str">
        <f t="shared" si="4"/>
        <v/>
      </c>
      <c r="I256" t="str">
        <f>IF(OR(I$23="",ISNA($B256)),"",IF(ISBLANK($B256),"",IFERROR(_xll.BDP(TICKER,"DEEP_MEASURE_PERIOD_BROKER_VALUE","DEEP_MEASURE_ID_OVERRIDE",$C256,"DEEP_PERIOD_OVERRIDE",$H$19)*1,"")))</f>
        <v/>
      </c>
      <c r="J256" t="e">
        <f>IF(OR(J$23="",ISNA($B256)),"",IF(ISBLANK($B256),"",IFERROR(_xll.BDP(TICKER,"DEEP_MEASURE_PERIOD_BROKER_VALUE","DEEP_MEASURE_ID_OVERRIDE",$C256,"DEEP_BROKER_ID_OVERRIDE",J$24,"DEEP_PERIOD_OVERRIDE",$H$19)*1,"")))</f>
        <v>#REF!</v>
      </c>
      <c r="K256" t="str">
        <f>IF(OR(K$23="",ISNA($B256)),"",IF(ISBLANK($B256),"",IFERROR(_xll.BDP(TICKER,"DEEP_MEASURE_PERIOD_BROKER_VALUE","DEEP_MEASURE_ID_OVERRIDE",$C256,"DEEP_BROKER_ID_OVERRIDE",K$24,"DEEP_PERIOD_OVERRIDE",$H$19)*1,"")))</f>
        <v/>
      </c>
      <c r="L256" t="str">
        <f>IF(OR(L$23="",ISNA($B256)),"",IF(ISBLANK($B256),"",IFERROR(_xll.BDP(TICKER,"DEEP_MEASURE_PERIOD_BROKER_VALUE","DEEP_MEASURE_ID_OVERRIDE",$C256,"DEEP_BROKER_ID_OVERRIDE",L$24,"DEEP_PERIOD_OVERRIDE",$H$19)*1,"")))</f>
        <v/>
      </c>
      <c r="M256" t="str">
        <f>IF(OR(M$23="",ISNA($B256)),"",IF(ISBLANK($B256),"",IFERROR(_xll.BDP(TICKER,"DEEP_MEASURE_PERIOD_BROKER_VALUE","DEEP_MEASURE_ID_OVERRIDE",$C256,"DEEP_BROKER_ID_OVERRIDE",M$24,"DEEP_PERIOD_OVERRIDE",$H$19)*1,"")))</f>
        <v/>
      </c>
      <c r="N256" t="str">
        <f>IF(OR(N$23="",ISNA($B256)),"",IF(ISBLANK($B256),"",IFERROR(_xll.BDP(TICKER,"DEEP_MEASURE_PERIOD_BROKER_VALUE","DEEP_MEASURE_ID_OVERRIDE",$C256,"DEEP_BROKER_ID_OVERRIDE",N$24,"DEEP_PERIOD_OVERRIDE",$H$19)*1,"")))</f>
        <v/>
      </c>
      <c r="O256" t="str">
        <f>IF(OR(O$23="",ISNA($B256)),"",IF(ISBLANK($B256),"",IFERROR(_xll.BDP(TICKER,"DEEP_MEASURE_PERIOD_BROKER_VALUE","DEEP_MEASURE_ID_OVERRIDE",$C256,"DEEP_BROKER_ID_OVERRIDE",O$24,"DEEP_PERIOD_OVERRIDE",$H$19)*1,"")))</f>
        <v/>
      </c>
      <c r="P256" t="str">
        <f>IF(OR(P$23="",ISNA($B256)),"",IF(ISBLANK($B256),"",IFERROR(_xll.BDP(TICKER,"DEEP_MEASURE_PERIOD_BROKER_VALUE","DEEP_MEASURE_ID_OVERRIDE",$C256,"DEEP_BROKER_ID_OVERRIDE",P$24,"DEEP_PERIOD_OVERRIDE",$H$19)*1,"")))</f>
        <v/>
      </c>
      <c r="Q256" t="str">
        <f>IF(OR(Q$23="",ISNA($B256)),"",IF(ISBLANK($B256),"",IFERROR(_xll.BDP(TICKER,"DEEP_MEASURE_PERIOD_BROKER_VALUE","DEEP_MEASURE_ID_OVERRIDE",$C256,"DEEP_BROKER_ID_OVERRIDE",Q$24,"DEEP_PERIOD_OVERRIDE",$H$19)*1,"")))</f>
        <v/>
      </c>
      <c r="R256" t="str">
        <f>IF(OR(R$23="",ISNA($B256)),"",IF(ISBLANK($B256),"",IFERROR(_xll.BDP(TICKER,"DEEP_MEASURE_PERIOD_BROKER_VALUE","DEEP_MEASURE_ID_OVERRIDE",$C256,"DEEP_BROKER_ID_OVERRIDE",R$24,"DEEP_PERIOD_OVERRIDE",$H$19)*1,"")))</f>
        <v/>
      </c>
      <c r="S256" t="str">
        <f>IF(OR(S$23="",ISNA($B256)),"",IF(ISBLANK($B256),"",IFERROR(_xll.BDP(TICKER,"DEEP_MEASURE_PERIOD_BROKER_VALUE","DEEP_MEASURE_ID_OVERRIDE",$C256,"DEEP_BROKER_ID_OVERRIDE",S$24,"DEEP_PERIOD_OVERRIDE",$H$19)*1,"")))</f>
        <v/>
      </c>
      <c r="T256" t="str">
        <f>IF(OR(T$23="",ISNA($B256)),"",IF(ISBLANK($B256),"",IFERROR(_xll.BDP(TICKER,"DEEP_MEASURE_PERIOD_BROKER_VALUE","DEEP_MEASURE_ID_OVERRIDE",$C256,"DEEP_BROKER_ID_OVERRIDE",T$24,"DEEP_PERIOD_OVERRIDE",$H$19)*1,"")))</f>
        <v/>
      </c>
      <c r="U256" t="str">
        <f>IF(OR(U$23="",ISNA($B256)),"",IF(ISBLANK($B256),"",IFERROR(_xll.BDP(TICKER,"DEEP_MEASURE_PERIOD_BROKER_VALUE","DEEP_MEASURE_ID_OVERRIDE",$C256,"DEEP_BROKER_ID_OVERRIDE",U$24,"DEEP_PERIOD_OVERRIDE",$H$19)*1,"")))</f>
        <v/>
      </c>
      <c r="V256" t="str">
        <f>IF(OR(V$23="",ISNA($B256)),"",IF(ISBLANK($B256),"",IFERROR(_xll.BDP(TICKER,"DEEP_MEASURE_PERIOD_BROKER_VALUE","DEEP_MEASURE_ID_OVERRIDE",$C256,"DEEP_BROKER_ID_OVERRIDE",V$24,"DEEP_PERIOD_OVERRIDE",$H$19)*1,"")))</f>
        <v/>
      </c>
      <c r="W256" t="str">
        <f>IF(OR(W$23="",ISNA($B256)),"",IF(ISBLANK($B256),"",IFERROR(_xll.BDP(TICKER,"DEEP_MEASURE_PERIOD_BROKER_VALUE","DEEP_MEASURE_ID_OVERRIDE",$C256,"DEEP_BROKER_ID_OVERRIDE",W$24,"DEEP_PERIOD_OVERRIDE",$H$19)*1,"")))</f>
        <v/>
      </c>
      <c r="X256" t="str">
        <f>IF(OR(X$23="",ISNA($B256)),"",IF(ISBLANK($B256),"",IFERROR(_xll.BDP(TICKER,"DEEP_MEASURE_PERIOD_BROKER_VALUE","DEEP_MEASURE_ID_OVERRIDE",$C256,"DEEP_BROKER_ID_OVERRIDE",X$24,"DEEP_PERIOD_OVERRIDE",$H$19)*1,"")))</f>
        <v/>
      </c>
      <c r="Y256" t="str">
        <f>IF(OR(Y$23="",ISNA($B256)),"",IF(ISBLANK($B256),"",IFERROR(_xll.BDP(TICKER,"DEEP_MEASURE_PERIOD_BROKER_VALUE","DEEP_MEASURE_ID_OVERRIDE",$C256,"DEEP_BROKER_ID_OVERRIDE",Y$24,"DEEP_PERIOD_OVERRIDE",$H$19)*1,"")))</f>
        <v/>
      </c>
      <c r="Z256" t="str">
        <f>IF(OR(Z$23="",ISNA($B256)),"",IF(ISBLANK($B256),"",IFERROR(_xll.BDP(TICKER,"DEEP_MEASURE_PERIOD_BROKER_VALUE","DEEP_MEASURE_ID_OVERRIDE",$C256,"DEEP_BROKER_ID_OVERRIDE",Z$24,"DEEP_PERIOD_OVERRIDE",$H$19)*1,"")))</f>
        <v/>
      </c>
      <c r="AA256" t="str">
        <f>IF(OR(AA$23="",ISNA($B256)),"",IF(ISBLANK($B256),"",IFERROR(_xll.BDP(TICKER,"DEEP_MEASURE_PERIOD_BROKER_VALUE","DEEP_MEASURE_ID_OVERRIDE",$C256,"DEEP_BROKER_ID_OVERRIDE",AA$24,"DEEP_PERIOD_OVERRIDE",$H$19)*1,"")))</f>
        <v/>
      </c>
      <c r="AB256" t="str">
        <f>IF(OR(AB$23="",ISNA($B256)),"",IF(ISBLANK($B256),"",IFERROR(_xll.BDP(TICKER,"DEEP_MEASURE_PERIOD_BROKER_VALUE","DEEP_MEASURE_ID_OVERRIDE",$C256,"DEEP_BROKER_ID_OVERRIDE",AB$24,"DEEP_PERIOD_OVERRIDE",$H$19)*1,"")))</f>
        <v/>
      </c>
      <c r="AC256" t="str">
        <f>IF(OR(AC$23="",ISNA($B256)),"",IF(ISBLANK($B256),"",IFERROR(_xll.BDP(TICKER,"DEEP_MEASURE_PERIOD_BROKER_VALUE","DEEP_MEASURE_ID_OVERRIDE",$C256,"DEEP_BROKER_ID_OVERRIDE",AC$24,"DEEP_PERIOD_OVERRIDE",$H$19)*1,"")))</f>
        <v/>
      </c>
      <c r="AD256" t="str">
        <f>IF(OR(AD$23="",ISNA($B256)),"",IF(ISBLANK($B256),"",IFERROR(_xll.BDP(TICKER,"DEEP_MEASURE_PERIOD_BROKER_VALUE","DEEP_MEASURE_ID_OVERRIDE",$C256,"DEEP_BROKER_ID_OVERRIDE",AD$24,"DEEP_PERIOD_OVERRIDE",$H$19)*1,"")))</f>
        <v/>
      </c>
      <c r="AE256" t="str">
        <f>IF(OR(AE$23="",ISNA($B256)),"",IF(ISBLANK($B256),"",IFERROR(_xll.BDP(TICKER,"DEEP_MEASURE_PERIOD_BROKER_VALUE","DEEP_MEASURE_ID_OVERRIDE",$C256,"DEEP_BROKER_ID_OVERRIDE",AE$24,"DEEP_PERIOD_OVERRIDE",$H$19)*1,"")))</f>
        <v/>
      </c>
      <c r="AF256" t="str">
        <f>IF(OR(AF$23="",ISNA($B256)),"",IF(ISBLANK($B256),"",IFERROR(_xll.BDP(TICKER,"DEEP_MEASURE_PERIOD_BROKER_VALUE","DEEP_MEASURE_ID_OVERRIDE",$C256,"DEEP_BROKER_ID_OVERRIDE",AF$24,"DEEP_PERIOD_OVERRIDE",$H$19)*1,"")))</f>
        <v/>
      </c>
      <c r="AG256" t="str">
        <f>IF(OR(AG$23="",ISNA($B256)),"",IF(ISBLANK($B256),"",IFERROR(_xll.BDP(TICKER,"DEEP_MEASURE_PERIOD_BROKER_VALUE","DEEP_MEASURE_ID_OVERRIDE",$C256,"DEEP_BROKER_ID_OVERRIDE",AG$24,"DEEP_PERIOD_OVERRIDE",$H$19)*1,"")))</f>
        <v/>
      </c>
      <c r="AH256" t="str">
        <f>IF(OR(AH$23="",ISNA($B256)),"",IF(ISBLANK($B256),"",IFERROR(_xll.BDP(TICKER,"DEEP_MEASURE_PERIOD_BROKER_VALUE","DEEP_MEASURE_ID_OVERRIDE",$C256,"DEEP_BROKER_ID_OVERRIDE",AH$24,"DEEP_PERIOD_OVERRIDE",$H$19)*1,"")))</f>
        <v/>
      </c>
      <c r="AI256" t="str">
        <f>IF(OR(AI$23="",ISNA($B256)),"",IF(ISBLANK($B256),"",IFERROR(_xll.BDP(TICKER,"DEEP_MEASURE_PERIOD_BROKER_VALUE","DEEP_MEASURE_ID_OVERRIDE",$C256,"DEEP_BROKER_ID_OVERRIDE",AI$24,"DEEP_PERIOD_OVERRIDE",$H$19)*1,"")))</f>
        <v/>
      </c>
      <c r="AJ256" t="str">
        <f>IF(OR(AJ$23="",ISNA($B256)),"",IF(ISBLANK($B256),"",IFERROR(_xll.BDP(TICKER,"DEEP_MEASURE_PERIOD_BROKER_VALUE","DEEP_MEASURE_ID_OVERRIDE",$C256,"DEEP_BROKER_ID_OVERRIDE",AJ$24,"DEEP_PERIOD_OVERRIDE",$H$19)*1,"")))</f>
        <v/>
      </c>
      <c r="AK256" t="str">
        <f>IF(OR(AK$23="",ISNA($B256)),"",IF(ISBLANK($B256),"",IFERROR(_xll.BDP(TICKER,"DEEP_MEASURE_PERIOD_BROKER_VALUE","DEEP_MEASURE_ID_OVERRIDE",$C256,"DEEP_BROKER_ID_OVERRIDE",AK$24,"DEEP_PERIOD_OVERRIDE",$H$19)*1,"")))</f>
        <v/>
      </c>
      <c r="AL256" t="str">
        <f>IF(OR(AL$23="",ISNA($B256)),"",IF(ISBLANK($B256),"",IFERROR(_xll.BDP(TICKER,"DEEP_MEASURE_PERIOD_BROKER_VALUE","DEEP_MEASURE_ID_OVERRIDE",$C256,"DEEP_BROKER_ID_OVERRIDE",AL$24,"DEEP_PERIOD_OVERRIDE",$H$19)*1,"")))</f>
        <v/>
      </c>
      <c r="AM256" t="str">
        <f>IF(OR(AM$23="",ISNA($B256)),"",IF(ISBLANK($B256),"",IFERROR(_xll.BDP(TICKER,"DEEP_MEASURE_PERIOD_BROKER_VALUE","DEEP_MEASURE_ID_OVERRIDE",$C256,"DEEP_BROKER_ID_OVERRIDE",AM$24,"DEEP_PERIOD_OVERRIDE",$H$19)*1,"")))</f>
        <v/>
      </c>
      <c r="AN256" t="str">
        <f>IF(OR(AN$23="",ISNA($B256)),"",IF(ISBLANK($B256),"",IFERROR(_xll.BDP(TICKER,"DEEP_MEASURE_PERIOD_BROKER_VALUE","DEEP_MEASURE_ID_OVERRIDE",$C256,"DEEP_BROKER_ID_OVERRIDE",AN$24,"DEEP_PERIOD_OVERRIDE",$H$19)*1,"")))</f>
        <v/>
      </c>
      <c r="AO256" t="str">
        <f>IF(OR(AO$23="",ISNA($B256)),"",IF(ISBLANK($B256),"",IFERROR(_xll.BDP(TICKER,"DEEP_MEASURE_PERIOD_BROKER_VALUE","DEEP_MEASURE_ID_OVERRIDE",$C256,"DEEP_BROKER_ID_OVERRIDE",AO$24,"DEEP_PERIOD_OVERRIDE",$H$19)*1,"")))</f>
        <v/>
      </c>
      <c r="AP256" t="str">
        <f>IF(OR(AP$23="",ISNA($B256)),"",IF(ISBLANK($B256),"",IFERROR(_xll.BDP(TICKER,"DEEP_MEASURE_PERIOD_BROKER_VALUE","DEEP_MEASURE_ID_OVERRIDE",$C256,"DEEP_BROKER_ID_OVERRIDE",AP$24,"DEEP_PERIOD_OVERRIDE",$H$19)*1,"")))</f>
        <v/>
      </c>
      <c r="AQ256" t="str">
        <f>IF(OR(AQ$23="",ISNA($B256)),"",IF(ISBLANK($B256),"",IFERROR(_xll.BDP(TICKER,"DEEP_MEASURE_PERIOD_BROKER_VALUE","DEEP_MEASURE_ID_OVERRIDE",$C256,"DEEP_BROKER_ID_OVERRIDE",AQ$24,"DEEP_PERIOD_OVERRIDE",$H$19)*1,"")))</f>
        <v/>
      </c>
      <c r="AR256" t="str">
        <f>IF(OR(AR$23="",ISNA($B256)),"",IF(ISBLANK($B256),"",IFERROR(_xll.BDP(TICKER,"DEEP_MEASURE_PERIOD_BROKER_VALUE","DEEP_MEASURE_ID_OVERRIDE",$C256,"DEEP_BROKER_ID_OVERRIDE",AR$24,"DEEP_PERIOD_OVERRIDE",$H$19)*1,"")))</f>
        <v/>
      </c>
      <c r="AS256" t="str">
        <f>IF(OR(AS$23="",ISNA($B256)),"",IF(ISBLANK($B256),"",IFERROR(_xll.BDP(TICKER,"DEEP_MEASURE_PERIOD_BROKER_VALUE","DEEP_MEASURE_ID_OVERRIDE",$C256,"DEEP_BROKER_ID_OVERRIDE",AS$24,"DEEP_PERIOD_OVERRIDE",$H$19)*1,"")))</f>
        <v/>
      </c>
      <c r="AT256" t="str">
        <f>IF(OR(AT$23="",ISNA($B256)),"",IF(ISBLANK($B256),"",IFERROR(_xll.BDP(TICKER,"DEEP_MEASURE_PERIOD_BROKER_VALUE","DEEP_MEASURE_ID_OVERRIDE",$C256,"DEEP_BROKER_ID_OVERRIDE",AT$24,"DEEP_PERIOD_OVERRIDE",$H$19)*1,"")))</f>
        <v/>
      </c>
      <c r="AU256" t="str">
        <f>IF(OR(AU$23="",ISNA($B256)),"",IF(ISBLANK($B256),"",IFERROR(_xll.BDP(TICKER,"DEEP_MEASURE_PERIOD_BROKER_VALUE","DEEP_MEASURE_ID_OVERRIDE",$C256,"DEEP_BROKER_ID_OVERRIDE",AU$24,"DEEP_PERIOD_OVERRIDE",$H$19)*1,"")))</f>
        <v/>
      </c>
      <c r="AV256" t="str">
        <f>IF(OR(AV$23="",ISNA($B256)),"",IF(ISBLANK($B256),"",IFERROR(_xll.BDP(TICKER,"DEEP_MEASURE_PERIOD_BROKER_VALUE","DEEP_MEASURE_ID_OVERRIDE",$C256,"DEEP_BROKER_ID_OVERRIDE",AV$24,"DEEP_PERIOD_OVERRIDE",$H$19)*1,"")))</f>
        <v/>
      </c>
      <c r="AW256" t="str">
        <f>IF(OR(AW$23="",ISNA($B256)),"",IF(ISBLANK($B256),"",IFERROR(_xll.BDP(TICKER,"DEEP_MEASURE_PERIOD_BROKER_VALUE","DEEP_MEASURE_ID_OVERRIDE",$C256,"DEEP_BROKER_ID_OVERRIDE",AW$24,"DEEP_PERIOD_OVERRIDE",$H$19)*1,"")))</f>
        <v/>
      </c>
      <c r="AX256" t="str">
        <f>IF(OR(AX$23="",ISNA($B256)),"",IF(ISBLANK($B256),"",IFERROR(_xll.BDP(TICKER,"DEEP_MEASURE_PERIOD_BROKER_VALUE","DEEP_MEASURE_ID_OVERRIDE",$C256,"DEEP_BROKER_ID_OVERRIDE",AX$24,"DEEP_PERIOD_OVERRIDE",$H$19)*1,"")))</f>
        <v/>
      </c>
      <c r="AY256" t="str">
        <f>IF(OR(AY$23="",ISNA($B256)),"",IF(ISBLANK($B256),"",IFERROR(_xll.BDP(TICKER,"DEEP_MEASURE_PERIOD_BROKER_VALUE","DEEP_MEASURE_ID_OVERRIDE",$C256,"DEEP_BROKER_ID_OVERRIDE",AY$24,"DEEP_PERIOD_OVERRIDE",$H$19)*1,"")))</f>
        <v/>
      </c>
      <c r="AZ256" t="str">
        <f>IF(OR(AZ$23="",ISNA($B256)),"",IF(ISBLANK($B256),"",IFERROR(_xll.BDP(TICKER,"DEEP_MEASURE_PERIOD_BROKER_VALUE","DEEP_MEASURE_ID_OVERRIDE",$C256,"DEEP_BROKER_ID_OVERRIDE",AZ$24,"DEEP_PERIOD_OVERRIDE",$H$19)*1,"")))</f>
        <v/>
      </c>
      <c r="BA256" t="str">
        <f>IF(OR(BA$23="",ISNA($B256)),"",IF(ISBLANK($B256),"",IFERROR(_xll.BDP(TICKER,"DEEP_MEASURE_PERIOD_BROKER_VALUE","DEEP_MEASURE_ID_OVERRIDE",$C256,"DEEP_BROKER_ID_OVERRIDE",BA$24,"DEEP_PERIOD_OVERRIDE",$H$19)*1,"")))</f>
        <v/>
      </c>
      <c r="BB256" t="str">
        <f>IF(OR(BB$23="",ISNA($B256)),"",IF(ISBLANK($B256),"",IFERROR(_xll.BDP(TICKER,"DEEP_MEASURE_PERIOD_BROKER_VALUE","DEEP_MEASURE_ID_OVERRIDE",$C256,"DEEP_BROKER_ID_OVERRIDE",BB$24,"DEEP_PERIOD_OVERRIDE",$H$19)*1,"")))</f>
        <v/>
      </c>
      <c r="BC256" t="str">
        <f>IF(OR(BC$23="",ISNA($B256)),"",IF(ISBLANK($B256),"",IFERROR(_xll.BDP(TICKER,"DEEP_MEASURE_PERIOD_BROKER_VALUE","DEEP_MEASURE_ID_OVERRIDE",$C256,"DEEP_BROKER_ID_OVERRIDE",BC$24,"DEEP_PERIOD_OVERRIDE",$H$19)*1,"")))</f>
        <v/>
      </c>
      <c r="BD256" t="str">
        <f>IF(OR(BD$23="",ISNA($B256)),"",IF(ISBLANK($B256),"",IFERROR(_xll.BDP(TICKER,"DEEP_MEASURE_PERIOD_BROKER_VALUE","DEEP_MEASURE_ID_OVERRIDE",$C256,"DEEP_BROKER_ID_OVERRIDE",BD$24,"DEEP_PERIOD_OVERRIDE",$H$19)*1,"")))</f>
        <v/>
      </c>
      <c r="BE256" t="str">
        <f>IF(OR(BE$23="",ISNA($B256)),"",IF(ISBLANK($B256),"",IFERROR(_xll.BDP(TICKER,"DEEP_MEASURE_PERIOD_BROKER_VALUE","DEEP_MEASURE_ID_OVERRIDE",$C256,"DEEP_BROKER_ID_OVERRIDE",BE$24,"DEEP_PERIOD_OVERRIDE",$H$19)*1,"")))</f>
        <v/>
      </c>
      <c r="BF256" t="str">
        <f>IF(OR(BF$23="",ISNA($B256)),"",IF(ISBLANK($B256),"",IFERROR(_xll.BDP(TICKER,"DEEP_MEASURE_PERIOD_BROKER_VALUE","DEEP_MEASURE_ID_OVERRIDE",$C256,"DEEP_BROKER_ID_OVERRIDE",BF$24,"DEEP_PERIOD_OVERRIDE",$H$19)*1,"")))</f>
        <v/>
      </c>
      <c r="BG256" t="str">
        <f>IF(OR(BG$23="",ISNA($B256)),"",IF(ISBLANK($B256),"",IFERROR(_xll.BDP(TICKER,"DEEP_MEASURE_PERIOD_BROKER_VALUE","DEEP_MEASURE_ID_OVERRIDE",$C256,"DEEP_BROKER_ID_OVERRIDE",BG$24,"DEEP_PERIOD_OVERRIDE",$H$19)*1,"")))</f>
        <v/>
      </c>
      <c r="BH256" t="str">
        <f>IF(OR(BH$23="",ISNA($B256)),"",IF(ISBLANK($B256),"",IFERROR(_xll.BDP(TICKER,"DEEP_MEASURE_PERIOD_BROKER_VALUE","DEEP_MEASURE_ID_OVERRIDE",$C256,"DEEP_BROKER_ID_OVERRIDE",BH$24,"DEEP_PERIOD_OVERRIDE",$H$19)*1,"")))</f>
        <v/>
      </c>
      <c r="BI256" t="str">
        <f>IF(OR(BI$23="",ISNA($B256)),"",IF(ISBLANK($B256),"",IFERROR(_xll.BDP(TICKER,"DEEP_MEASURE_PERIOD_BROKER_VALUE","DEEP_MEASURE_ID_OVERRIDE",$C256,"DEEP_BROKER_ID_OVERRIDE",BI$24,"DEEP_PERIOD_OVERRIDE",$H$19)*1,"")))</f>
        <v/>
      </c>
      <c r="BJ256" t="str">
        <f>IF(OR(BJ$23="",ISNA($B256)),"",IF(ISBLANK($B256),"",IFERROR(_xll.BDP(TICKER,"DEEP_MEASURE_PERIOD_BROKER_VALUE","DEEP_MEASURE_ID_OVERRIDE",$C256,"DEEP_BROKER_ID_OVERRIDE",BJ$24,"DEEP_PERIOD_OVERRIDE",$H$19)*1,"")))</f>
        <v/>
      </c>
      <c r="BK256" t="str">
        <f>IF(OR(BK$23="",ISNA($B256)),"",IF(ISBLANK($B256),"",IFERROR(_xll.BDP(TICKER,"DEEP_MEASURE_PERIOD_BROKER_VALUE","DEEP_MEASURE_ID_OVERRIDE",$C256,"DEEP_BROKER_ID_OVERRIDE",BK$24,"DEEP_PERIOD_OVERRIDE",$H$19)*1,"")))</f>
        <v/>
      </c>
      <c r="BL256" t="str">
        <f>IF(OR(BL$23="",ISNA($B256)),"",IF(ISBLANK($B256),"",IFERROR(_xll.BDP(TICKER,"DEEP_MEASURE_PERIOD_BROKER_VALUE","DEEP_MEASURE_ID_OVERRIDE",$C256,"DEEP_BROKER_ID_OVERRIDE",BL$24,"DEEP_PERIOD_OVERRIDE",$H$19)*1,"")))</f>
        <v/>
      </c>
      <c r="BM256" t="str">
        <f>IF(OR(BM$23="",ISNA($B256)),"",IF(ISBLANK($B256),"",IFERROR(_xll.BDP(TICKER,"DEEP_MEASURE_PERIOD_BROKER_VALUE","DEEP_MEASURE_ID_OVERRIDE",$C256,"DEEP_BROKER_ID_OVERRIDE",BM$24,"DEEP_PERIOD_OVERRIDE",$H$19)*1,"")))</f>
        <v/>
      </c>
      <c r="BN256" t="str">
        <f>IF(OR(BN$23="",ISNA($B256)),"",IF(ISBLANK($B256),"",IFERROR(_xll.BDP(TICKER,"DEEP_MEASURE_PERIOD_BROKER_VALUE","DEEP_MEASURE_ID_OVERRIDE",$C256,"DEEP_BROKER_ID_OVERRIDE",BN$24,"DEEP_PERIOD_OVERRIDE",$H$19)*1,"")))</f>
        <v/>
      </c>
      <c r="BO256" t="str">
        <f>IF(OR(BO$23="",ISNA($B256)),"",IF(ISBLANK($B256),"",IFERROR(_xll.BDP(TICKER,"DEEP_MEASURE_PERIOD_BROKER_VALUE","DEEP_MEASURE_ID_OVERRIDE",$C256,"DEEP_BROKER_ID_OVERRIDE",BO$24,"DEEP_PERIOD_OVERRIDE",$H$19)*1,"")))</f>
        <v/>
      </c>
      <c r="BP256" t="str">
        <f>IF(OR(BP$23="",ISNA($B256)),"",IF(ISBLANK($B256),"",IFERROR(_xll.BDP(TICKER,"DEEP_MEASURE_PERIOD_BROKER_VALUE","DEEP_MEASURE_ID_OVERRIDE",$C256,"DEEP_BROKER_ID_OVERRIDE",BP$24,"DEEP_PERIOD_OVERRIDE",$H$19)*1,"")))</f>
        <v/>
      </c>
      <c r="BQ256" t="str">
        <f>IF(OR(BQ$23="",ISNA($B256)),"",IF(ISBLANK($B256),"",IFERROR(_xll.BDP(TICKER,"DEEP_MEASURE_PERIOD_BROKER_VALUE","DEEP_MEASURE_ID_OVERRIDE",$C256,"DEEP_BROKER_ID_OVERRIDE",BQ$24,"DEEP_PERIOD_OVERRIDE",$H$19)*1,"")))</f>
        <v/>
      </c>
      <c r="BR256" t="str">
        <f>IF(OR(BR$23="",ISNA($B256)),"",IF(ISBLANK($B256),"",IFERROR(_xll.BDP(TICKER,"DEEP_MEASURE_PERIOD_BROKER_VALUE","DEEP_MEASURE_ID_OVERRIDE",$C256,"DEEP_BROKER_ID_OVERRIDE",BR$24,"DEEP_PERIOD_OVERRIDE",$H$19)*1,"")))</f>
        <v/>
      </c>
      <c r="BS256" t="str">
        <f>IF(OR(BS$23="",ISNA($B256)),"",IF(ISBLANK($B256),"",IFERROR(_xll.BDP(TICKER,"DEEP_MEASURE_PERIOD_BROKER_VALUE","DEEP_MEASURE_ID_OVERRIDE",$C256,"DEEP_BROKER_ID_OVERRIDE",BS$24,"DEEP_PERIOD_OVERRIDE",$H$19)*1,"")))</f>
        <v/>
      </c>
      <c r="BT256" t="str">
        <f>IF(OR(BT$23="",ISNA($B256)),"",IF(ISBLANK($B256),"",IFERROR(_xll.BDP(TICKER,"DEEP_MEASURE_PERIOD_BROKER_VALUE","DEEP_MEASURE_ID_OVERRIDE",$C256,"DEEP_BROKER_ID_OVERRIDE",BT$24,"DEEP_PERIOD_OVERRIDE",$H$19)*1,"")))</f>
        <v/>
      </c>
      <c r="BU256" t="str">
        <f>IF(OR(BU$23="",ISNA($B256)),"",IF(ISBLANK($B256),"",IFERROR(_xll.BDP(TICKER,"DEEP_MEASURE_PERIOD_BROKER_VALUE","DEEP_MEASURE_ID_OVERRIDE",$C256,"DEEP_BROKER_ID_OVERRIDE",BU$24,"DEEP_PERIOD_OVERRIDE",$H$19)*1,"")))</f>
        <v/>
      </c>
      <c r="BV256" t="str">
        <f>IF(OR(BV$23="",ISNA($B256)),"",IF(ISBLANK($B256),"",IFERROR(_xll.BDP(TICKER,"DEEP_MEASURE_PERIOD_BROKER_VALUE","DEEP_MEASURE_ID_OVERRIDE",$C256,"DEEP_BROKER_ID_OVERRIDE",BV$24,"DEEP_PERIOD_OVERRIDE",$H$19)*1,"")))</f>
        <v/>
      </c>
      <c r="BW256" t="str">
        <f>IF(OR(BW$23="",ISNA($B256)),"",IF(ISBLANK($B256),"",IFERROR(_xll.BDP(TICKER,"DEEP_MEASURE_PERIOD_BROKER_VALUE","DEEP_MEASURE_ID_OVERRIDE",$C256,"DEEP_BROKER_ID_OVERRIDE",BW$24,"DEEP_PERIOD_OVERRIDE",$H$19)*1,"")))</f>
        <v/>
      </c>
      <c r="BX256" t="str">
        <f>IF(OR(BX$23="",ISNA($B256)),"",IF(ISBLANK($B256),"",IFERROR(_xll.BDP(TICKER,"DEEP_MEASURE_PERIOD_BROKER_VALUE","DEEP_MEASURE_ID_OVERRIDE",$C256,"DEEP_BROKER_ID_OVERRIDE",BX$24,"DEEP_PERIOD_OVERRIDE",$H$19)*1,"")))</f>
        <v/>
      </c>
      <c r="BY256" t="str">
        <f>IF(OR(BY$23="",ISNA($B256)),"",IF(ISBLANK($B256),"",IFERROR(_xll.BDP(TICKER,"DEEP_MEASURE_PERIOD_BROKER_VALUE","DEEP_MEASURE_ID_OVERRIDE",$C256,"DEEP_BROKER_ID_OVERRIDE",BY$24,"DEEP_PERIOD_OVERRIDE",$H$19)*1,"")))</f>
        <v/>
      </c>
      <c r="BZ256" t="str">
        <f>IF(OR(BZ$23="",ISNA($B256)),"",IF(ISBLANK($B256),"",IFERROR(_xll.BDP(TICKER,"DEEP_MEASURE_PERIOD_BROKER_VALUE","DEEP_MEASURE_ID_OVERRIDE",$C256,"DEEP_BROKER_ID_OVERRIDE",BZ$24,"DEEP_PERIOD_OVERRIDE",$H$19)*1,"")))</f>
        <v/>
      </c>
    </row>
    <row r="257" spans="8:78" x14ac:dyDescent="0.25">
      <c r="H257" t="str">
        <f t="shared" si="4"/>
        <v/>
      </c>
      <c r="I257" t="str">
        <f>IF(OR(I$23="",ISNA($B257)),"",IF(ISBLANK($B257),"",IFERROR(_xll.BDP(TICKER,"DEEP_MEASURE_PERIOD_BROKER_VALUE","DEEP_MEASURE_ID_OVERRIDE",$C257,"DEEP_PERIOD_OVERRIDE",$H$19)*1,"")))</f>
        <v/>
      </c>
      <c r="J257" t="e">
        <f>IF(OR(J$23="",ISNA($B257)),"",IF(ISBLANK($B257),"",IFERROR(_xll.BDP(TICKER,"DEEP_MEASURE_PERIOD_BROKER_VALUE","DEEP_MEASURE_ID_OVERRIDE",$C257,"DEEP_BROKER_ID_OVERRIDE",J$24,"DEEP_PERIOD_OVERRIDE",$H$19)*1,"")))</f>
        <v>#REF!</v>
      </c>
      <c r="K257" t="str">
        <f>IF(OR(K$23="",ISNA($B257)),"",IF(ISBLANK($B257),"",IFERROR(_xll.BDP(TICKER,"DEEP_MEASURE_PERIOD_BROKER_VALUE","DEEP_MEASURE_ID_OVERRIDE",$C257,"DEEP_BROKER_ID_OVERRIDE",K$24,"DEEP_PERIOD_OVERRIDE",$H$19)*1,"")))</f>
        <v/>
      </c>
      <c r="L257" t="str">
        <f>IF(OR(L$23="",ISNA($B257)),"",IF(ISBLANK($B257),"",IFERROR(_xll.BDP(TICKER,"DEEP_MEASURE_PERIOD_BROKER_VALUE","DEEP_MEASURE_ID_OVERRIDE",$C257,"DEEP_BROKER_ID_OVERRIDE",L$24,"DEEP_PERIOD_OVERRIDE",$H$19)*1,"")))</f>
        <v/>
      </c>
      <c r="M257" t="str">
        <f>IF(OR(M$23="",ISNA($B257)),"",IF(ISBLANK($B257),"",IFERROR(_xll.BDP(TICKER,"DEEP_MEASURE_PERIOD_BROKER_VALUE","DEEP_MEASURE_ID_OVERRIDE",$C257,"DEEP_BROKER_ID_OVERRIDE",M$24,"DEEP_PERIOD_OVERRIDE",$H$19)*1,"")))</f>
        <v/>
      </c>
      <c r="N257" t="str">
        <f>IF(OR(N$23="",ISNA($B257)),"",IF(ISBLANK($B257),"",IFERROR(_xll.BDP(TICKER,"DEEP_MEASURE_PERIOD_BROKER_VALUE","DEEP_MEASURE_ID_OVERRIDE",$C257,"DEEP_BROKER_ID_OVERRIDE",N$24,"DEEP_PERIOD_OVERRIDE",$H$19)*1,"")))</f>
        <v/>
      </c>
      <c r="O257" t="str">
        <f>IF(OR(O$23="",ISNA($B257)),"",IF(ISBLANK($B257),"",IFERROR(_xll.BDP(TICKER,"DEEP_MEASURE_PERIOD_BROKER_VALUE","DEEP_MEASURE_ID_OVERRIDE",$C257,"DEEP_BROKER_ID_OVERRIDE",O$24,"DEEP_PERIOD_OVERRIDE",$H$19)*1,"")))</f>
        <v/>
      </c>
      <c r="P257" t="str">
        <f>IF(OR(P$23="",ISNA($B257)),"",IF(ISBLANK($B257),"",IFERROR(_xll.BDP(TICKER,"DEEP_MEASURE_PERIOD_BROKER_VALUE","DEEP_MEASURE_ID_OVERRIDE",$C257,"DEEP_BROKER_ID_OVERRIDE",P$24,"DEEP_PERIOD_OVERRIDE",$H$19)*1,"")))</f>
        <v/>
      </c>
      <c r="Q257" t="str">
        <f>IF(OR(Q$23="",ISNA($B257)),"",IF(ISBLANK($B257),"",IFERROR(_xll.BDP(TICKER,"DEEP_MEASURE_PERIOD_BROKER_VALUE","DEEP_MEASURE_ID_OVERRIDE",$C257,"DEEP_BROKER_ID_OVERRIDE",Q$24,"DEEP_PERIOD_OVERRIDE",$H$19)*1,"")))</f>
        <v/>
      </c>
      <c r="R257" t="str">
        <f>IF(OR(R$23="",ISNA($B257)),"",IF(ISBLANK($B257),"",IFERROR(_xll.BDP(TICKER,"DEEP_MEASURE_PERIOD_BROKER_VALUE","DEEP_MEASURE_ID_OVERRIDE",$C257,"DEEP_BROKER_ID_OVERRIDE",R$24,"DEEP_PERIOD_OVERRIDE",$H$19)*1,"")))</f>
        <v/>
      </c>
      <c r="S257" t="str">
        <f>IF(OR(S$23="",ISNA($B257)),"",IF(ISBLANK($B257),"",IFERROR(_xll.BDP(TICKER,"DEEP_MEASURE_PERIOD_BROKER_VALUE","DEEP_MEASURE_ID_OVERRIDE",$C257,"DEEP_BROKER_ID_OVERRIDE",S$24,"DEEP_PERIOD_OVERRIDE",$H$19)*1,"")))</f>
        <v/>
      </c>
      <c r="T257" t="str">
        <f>IF(OR(T$23="",ISNA($B257)),"",IF(ISBLANK($B257),"",IFERROR(_xll.BDP(TICKER,"DEEP_MEASURE_PERIOD_BROKER_VALUE","DEEP_MEASURE_ID_OVERRIDE",$C257,"DEEP_BROKER_ID_OVERRIDE",T$24,"DEEP_PERIOD_OVERRIDE",$H$19)*1,"")))</f>
        <v/>
      </c>
      <c r="U257" t="str">
        <f>IF(OR(U$23="",ISNA($B257)),"",IF(ISBLANK($B257),"",IFERROR(_xll.BDP(TICKER,"DEEP_MEASURE_PERIOD_BROKER_VALUE","DEEP_MEASURE_ID_OVERRIDE",$C257,"DEEP_BROKER_ID_OVERRIDE",U$24,"DEEP_PERIOD_OVERRIDE",$H$19)*1,"")))</f>
        <v/>
      </c>
      <c r="V257" t="str">
        <f>IF(OR(V$23="",ISNA($B257)),"",IF(ISBLANK($B257),"",IFERROR(_xll.BDP(TICKER,"DEEP_MEASURE_PERIOD_BROKER_VALUE","DEEP_MEASURE_ID_OVERRIDE",$C257,"DEEP_BROKER_ID_OVERRIDE",V$24,"DEEP_PERIOD_OVERRIDE",$H$19)*1,"")))</f>
        <v/>
      </c>
      <c r="W257" t="str">
        <f>IF(OR(W$23="",ISNA($B257)),"",IF(ISBLANK($B257),"",IFERROR(_xll.BDP(TICKER,"DEEP_MEASURE_PERIOD_BROKER_VALUE","DEEP_MEASURE_ID_OVERRIDE",$C257,"DEEP_BROKER_ID_OVERRIDE",W$24,"DEEP_PERIOD_OVERRIDE",$H$19)*1,"")))</f>
        <v/>
      </c>
      <c r="X257" t="str">
        <f>IF(OR(X$23="",ISNA($B257)),"",IF(ISBLANK($B257),"",IFERROR(_xll.BDP(TICKER,"DEEP_MEASURE_PERIOD_BROKER_VALUE","DEEP_MEASURE_ID_OVERRIDE",$C257,"DEEP_BROKER_ID_OVERRIDE",X$24,"DEEP_PERIOD_OVERRIDE",$H$19)*1,"")))</f>
        <v/>
      </c>
      <c r="Y257" t="str">
        <f>IF(OR(Y$23="",ISNA($B257)),"",IF(ISBLANK($B257),"",IFERROR(_xll.BDP(TICKER,"DEEP_MEASURE_PERIOD_BROKER_VALUE","DEEP_MEASURE_ID_OVERRIDE",$C257,"DEEP_BROKER_ID_OVERRIDE",Y$24,"DEEP_PERIOD_OVERRIDE",$H$19)*1,"")))</f>
        <v/>
      </c>
      <c r="Z257" t="str">
        <f>IF(OR(Z$23="",ISNA($B257)),"",IF(ISBLANK($B257),"",IFERROR(_xll.BDP(TICKER,"DEEP_MEASURE_PERIOD_BROKER_VALUE","DEEP_MEASURE_ID_OVERRIDE",$C257,"DEEP_BROKER_ID_OVERRIDE",Z$24,"DEEP_PERIOD_OVERRIDE",$H$19)*1,"")))</f>
        <v/>
      </c>
      <c r="AA257" t="str">
        <f>IF(OR(AA$23="",ISNA($B257)),"",IF(ISBLANK($B257),"",IFERROR(_xll.BDP(TICKER,"DEEP_MEASURE_PERIOD_BROKER_VALUE","DEEP_MEASURE_ID_OVERRIDE",$C257,"DEEP_BROKER_ID_OVERRIDE",AA$24,"DEEP_PERIOD_OVERRIDE",$H$19)*1,"")))</f>
        <v/>
      </c>
      <c r="AB257" t="str">
        <f>IF(OR(AB$23="",ISNA($B257)),"",IF(ISBLANK($B257),"",IFERROR(_xll.BDP(TICKER,"DEEP_MEASURE_PERIOD_BROKER_VALUE","DEEP_MEASURE_ID_OVERRIDE",$C257,"DEEP_BROKER_ID_OVERRIDE",AB$24,"DEEP_PERIOD_OVERRIDE",$H$19)*1,"")))</f>
        <v/>
      </c>
      <c r="AC257" t="str">
        <f>IF(OR(AC$23="",ISNA($B257)),"",IF(ISBLANK($B257),"",IFERROR(_xll.BDP(TICKER,"DEEP_MEASURE_PERIOD_BROKER_VALUE","DEEP_MEASURE_ID_OVERRIDE",$C257,"DEEP_BROKER_ID_OVERRIDE",AC$24,"DEEP_PERIOD_OVERRIDE",$H$19)*1,"")))</f>
        <v/>
      </c>
      <c r="AD257" t="str">
        <f>IF(OR(AD$23="",ISNA($B257)),"",IF(ISBLANK($B257),"",IFERROR(_xll.BDP(TICKER,"DEEP_MEASURE_PERIOD_BROKER_VALUE","DEEP_MEASURE_ID_OVERRIDE",$C257,"DEEP_BROKER_ID_OVERRIDE",AD$24,"DEEP_PERIOD_OVERRIDE",$H$19)*1,"")))</f>
        <v/>
      </c>
      <c r="AE257" t="str">
        <f>IF(OR(AE$23="",ISNA($B257)),"",IF(ISBLANK($B257),"",IFERROR(_xll.BDP(TICKER,"DEEP_MEASURE_PERIOD_BROKER_VALUE","DEEP_MEASURE_ID_OVERRIDE",$C257,"DEEP_BROKER_ID_OVERRIDE",AE$24,"DEEP_PERIOD_OVERRIDE",$H$19)*1,"")))</f>
        <v/>
      </c>
      <c r="AF257" t="str">
        <f>IF(OR(AF$23="",ISNA($B257)),"",IF(ISBLANK($B257),"",IFERROR(_xll.BDP(TICKER,"DEEP_MEASURE_PERIOD_BROKER_VALUE","DEEP_MEASURE_ID_OVERRIDE",$C257,"DEEP_BROKER_ID_OVERRIDE",AF$24,"DEEP_PERIOD_OVERRIDE",$H$19)*1,"")))</f>
        <v/>
      </c>
      <c r="AG257" t="str">
        <f>IF(OR(AG$23="",ISNA($B257)),"",IF(ISBLANK($B257),"",IFERROR(_xll.BDP(TICKER,"DEEP_MEASURE_PERIOD_BROKER_VALUE","DEEP_MEASURE_ID_OVERRIDE",$C257,"DEEP_BROKER_ID_OVERRIDE",AG$24,"DEEP_PERIOD_OVERRIDE",$H$19)*1,"")))</f>
        <v/>
      </c>
      <c r="AH257" t="str">
        <f>IF(OR(AH$23="",ISNA($B257)),"",IF(ISBLANK($B257),"",IFERROR(_xll.BDP(TICKER,"DEEP_MEASURE_PERIOD_BROKER_VALUE","DEEP_MEASURE_ID_OVERRIDE",$C257,"DEEP_BROKER_ID_OVERRIDE",AH$24,"DEEP_PERIOD_OVERRIDE",$H$19)*1,"")))</f>
        <v/>
      </c>
      <c r="AI257" t="str">
        <f>IF(OR(AI$23="",ISNA($B257)),"",IF(ISBLANK($B257),"",IFERROR(_xll.BDP(TICKER,"DEEP_MEASURE_PERIOD_BROKER_VALUE","DEEP_MEASURE_ID_OVERRIDE",$C257,"DEEP_BROKER_ID_OVERRIDE",AI$24,"DEEP_PERIOD_OVERRIDE",$H$19)*1,"")))</f>
        <v/>
      </c>
      <c r="AJ257" t="str">
        <f>IF(OR(AJ$23="",ISNA($B257)),"",IF(ISBLANK($B257),"",IFERROR(_xll.BDP(TICKER,"DEEP_MEASURE_PERIOD_BROKER_VALUE","DEEP_MEASURE_ID_OVERRIDE",$C257,"DEEP_BROKER_ID_OVERRIDE",AJ$24,"DEEP_PERIOD_OVERRIDE",$H$19)*1,"")))</f>
        <v/>
      </c>
      <c r="AK257" t="str">
        <f>IF(OR(AK$23="",ISNA($B257)),"",IF(ISBLANK($B257),"",IFERROR(_xll.BDP(TICKER,"DEEP_MEASURE_PERIOD_BROKER_VALUE","DEEP_MEASURE_ID_OVERRIDE",$C257,"DEEP_BROKER_ID_OVERRIDE",AK$24,"DEEP_PERIOD_OVERRIDE",$H$19)*1,"")))</f>
        <v/>
      </c>
      <c r="AL257" t="str">
        <f>IF(OR(AL$23="",ISNA($B257)),"",IF(ISBLANK($B257),"",IFERROR(_xll.BDP(TICKER,"DEEP_MEASURE_PERIOD_BROKER_VALUE","DEEP_MEASURE_ID_OVERRIDE",$C257,"DEEP_BROKER_ID_OVERRIDE",AL$24,"DEEP_PERIOD_OVERRIDE",$H$19)*1,"")))</f>
        <v/>
      </c>
      <c r="AM257" t="str">
        <f>IF(OR(AM$23="",ISNA($B257)),"",IF(ISBLANK($B257),"",IFERROR(_xll.BDP(TICKER,"DEEP_MEASURE_PERIOD_BROKER_VALUE","DEEP_MEASURE_ID_OVERRIDE",$C257,"DEEP_BROKER_ID_OVERRIDE",AM$24,"DEEP_PERIOD_OVERRIDE",$H$19)*1,"")))</f>
        <v/>
      </c>
      <c r="AN257" t="str">
        <f>IF(OR(AN$23="",ISNA($B257)),"",IF(ISBLANK($B257),"",IFERROR(_xll.BDP(TICKER,"DEEP_MEASURE_PERIOD_BROKER_VALUE","DEEP_MEASURE_ID_OVERRIDE",$C257,"DEEP_BROKER_ID_OVERRIDE",AN$24,"DEEP_PERIOD_OVERRIDE",$H$19)*1,"")))</f>
        <v/>
      </c>
      <c r="AO257" t="str">
        <f>IF(OR(AO$23="",ISNA($B257)),"",IF(ISBLANK($B257),"",IFERROR(_xll.BDP(TICKER,"DEEP_MEASURE_PERIOD_BROKER_VALUE","DEEP_MEASURE_ID_OVERRIDE",$C257,"DEEP_BROKER_ID_OVERRIDE",AO$24,"DEEP_PERIOD_OVERRIDE",$H$19)*1,"")))</f>
        <v/>
      </c>
      <c r="AP257" t="str">
        <f>IF(OR(AP$23="",ISNA($B257)),"",IF(ISBLANK($B257),"",IFERROR(_xll.BDP(TICKER,"DEEP_MEASURE_PERIOD_BROKER_VALUE","DEEP_MEASURE_ID_OVERRIDE",$C257,"DEEP_BROKER_ID_OVERRIDE",AP$24,"DEEP_PERIOD_OVERRIDE",$H$19)*1,"")))</f>
        <v/>
      </c>
      <c r="AQ257" t="str">
        <f>IF(OR(AQ$23="",ISNA($B257)),"",IF(ISBLANK($B257),"",IFERROR(_xll.BDP(TICKER,"DEEP_MEASURE_PERIOD_BROKER_VALUE","DEEP_MEASURE_ID_OVERRIDE",$C257,"DEEP_BROKER_ID_OVERRIDE",AQ$24,"DEEP_PERIOD_OVERRIDE",$H$19)*1,"")))</f>
        <v/>
      </c>
      <c r="AR257" t="str">
        <f>IF(OR(AR$23="",ISNA($B257)),"",IF(ISBLANK($B257),"",IFERROR(_xll.BDP(TICKER,"DEEP_MEASURE_PERIOD_BROKER_VALUE","DEEP_MEASURE_ID_OVERRIDE",$C257,"DEEP_BROKER_ID_OVERRIDE",AR$24,"DEEP_PERIOD_OVERRIDE",$H$19)*1,"")))</f>
        <v/>
      </c>
      <c r="AS257" t="str">
        <f>IF(OR(AS$23="",ISNA($B257)),"",IF(ISBLANK($B257),"",IFERROR(_xll.BDP(TICKER,"DEEP_MEASURE_PERIOD_BROKER_VALUE","DEEP_MEASURE_ID_OVERRIDE",$C257,"DEEP_BROKER_ID_OVERRIDE",AS$24,"DEEP_PERIOD_OVERRIDE",$H$19)*1,"")))</f>
        <v/>
      </c>
      <c r="AT257" t="str">
        <f>IF(OR(AT$23="",ISNA($B257)),"",IF(ISBLANK($B257),"",IFERROR(_xll.BDP(TICKER,"DEEP_MEASURE_PERIOD_BROKER_VALUE","DEEP_MEASURE_ID_OVERRIDE",$C257,"DEEP_BROKER_ID_OVERRIDE",AT$24,"DEEP_PERIOD_OVERRIDE",$H$19)*1,"")))</f>
        <v/>
      </c>
      <c r="AU257" t="str">
        <f>IF(OR(AU$23="",ISNA($B257)),"",IF(ISBLANK($B257),"",IFERROR(_xll.BDP(TICKER,"DEEP_MEASURE_PERIOD_BROKER_VALUE","DEEP_MEASURE_ID_OVERRIDE",$C257,"DEEP_BROKER_ID_OVERRIDE",AU$24,"DEEP_PERIOD_OVERRIDE",$H$19)*1,"")))</f>
        <v/>
      </c>
      <c r="AV257" t="str">
        <f>IF(OR(AV$23="",ISNA($B257)),"",IF(ISBLANK($B257),"",IFERROR(_xll.BDP(TICKER,"DEEP_MEASURE_PERIOD_BROKER_VALUE","DEEP_MEASURE_ID_OVERRIDE",$C257,"DEEP_BROKER_ID_OVERRIDE",AV$24,"DEEP_PERIOD_OVERRIDE",$H$19)*1,"")))</f>
        <v/>
      </c>
      <c r="AW257" t="str">
        <f>IF(OR(AW$23="",ISNA($B257)),"",IF(ISBLANK($B257),"",IFERROR(_xll.BDP(TICKER,"DEEP_MEASURE_PERIOD_BROKER_VALUE","DEEP_MEASURE_ID_OVERRIDE",$C257,"DEEP_BROKER_ID_OVERRIDE",AW$24,"DEEP_PERIOD_OVERRIDE",$H$19)*1,"")))</f>
        <v/>
      </c>
      <c r="AX257" t="str">
        <f>IF(OR(AX$23="",ISNA($B257)),"",IF(ISBLANK($B257),"",IFERROR(_xll.BDP(TICKER,"DEEP_MEASURE_PERIOD_BROKER_VALUE","DEEP_MEASURE_ID_OVERRIDE",$C257,"DEEP_BROKER_ID_OVERRIDE",AX$24,"DEEP_PERIOD_OVERRIDE",$H$19)*1,"")))</f>
        <v/>
      </c>
      <c r="AY257" t="str">
        <f>IF(OR(AY$23="",ISNA($B257)),"",IF(ISBLANK($B257),"",IFERROR(_xll.BDP(TICKER,"DEEP_MEASURE_PERIOD_BROKER_VALUE","DEEP_MEASURE_ID_OVERRIDE",$C257,"DEEP_BROKER_ID_OVERRIDE",AY$24,"DEEP_PERIOD_OVERRIDE",$H$19)*1,"")))</f>
        <v/>
      </c>
      <c r="AZ257" t="str">
        <f>IF(OR(AZ$23="",ISNA($B257)),"",IF(ISBLANK($B257),"",IFERROR(_xll.BDP(TICKER,"DEEP_MEASURE_PERIOD_BROKER_VALUE","DEEP_MEASURE_ID_OVERRIDE",$C257,"DEEP_BROKER_ID_OVERRIDE",AZ$24,"DEEP_PERIOD_OVERRIDE",$H$19)*1,"")))</f>
        <v/>
      </c>
      <c r="BA257" t="str">
        <f>IF(OR(BA$23="",ISNA($B257)),"",IF(ISBLANK($B257),"",IFERROR(_xll.BDP(TICKER,"DEEP_MEASURE_PERIOD_BROKER_VALUE","DEEP_MEASURE_ID_OVERRIDE",$C257,"DEEP_BROKER_ID_OVERRIDE",BA$24,"DEEP_PERIOD_OVERRIDE",$H$19)*1,"")))</f>
        <v/>
      </c>
      <c r="BB257" t="str">
        <f>IF(OR(BB$23="",ISNA($B257)),"",IF(ISBLANK($B257),"",IFERROR(_xll.BDP(TICKER,"DEEP_MEASURE_PERIOD_BROKER_VALUE","DEEP_MEASURE_ID_OVERRIDE",$C257,"DEEP_BROKER_ID_OVERRIDE",BB$24,"DEEP_PERIOD_OVERRIDE",$H$19)*1,"")))</f>
        <v/>
      </c>
      <c r="BC257" t="str">
        <f>IF(OR(BC$23="",ISNA($B257)),"",IF(ISBLANK($B257),"",IFERROR(_xll.BDP(TICKER,"DEEP_MEASURE_PERIOD_BROKER_VALUE","DEEP_MEASURE_ID_OVERRIDE",$C257,"DEEP_BROKER_ID_OVERRIDE",BC$24,"DEEP_PERIOD_OVERRIDE",$H$19)*1,"")))</f>
        <v/>
      </c>
      <c r="BD257" t="str">
        <f>IF(OR(BD$23="",ISNA($B257)),"",IF(ISBLANK($B257),"",IFERROR(_xll.BDP(TICKER,"DEEP_MEASURE_PERIOD_BROKER_VALUE","DEEP_MEASURE_ID_OVERRIDE",$C257,"DEEP_BROKER_ID_OVERRIDE",BD$24,"DEEP_PERIOD_OVERRIDE",$H$19)*1,"")))</f>
        <v/>
      </c>
      <c r="BE257" t="str">
        <f>IF(OR(BE$23="",ISNA($B257)),"",IF(ISBLANK($B257),"",IFERROR(_xll.BDP(TICKER,"DEEP_MEASURE_PERIOD_BROKER_VALUE","DEEP_MEASURE_ID_OVERRIDE",$C257,"DEEP_BROKER_ID_OVERRIDE",BE$24,"DEEP_PERIOD_OVERRIDE",$H$19)*1,"")))</f>
        <v/>
      </c>
      <c r="BF257" t="str">
        <f>IF(OR(BF$23="",ISNA($B257)),"",IF(ISBLANK($B257),"",IFERROR(_xll.BDP(TICKER,"DEEP_MEASURE_PERIOD_BROKER_VALUE","DEEP_MEASURE_ID_OVERRIDE",$C257,"DEEP_BROKER_ID_OVERRIDE",BF$24,"DEEP_PERIOD_OVERRIDE",$H$19)*1,"")))</f>
        <v/>
      </c>
      <c r="BG257" t="str">
        <f>IF(OR(BG$23="",ISNA($B257)),"",IF(ISBLANK($B257),"",IFERROR(_xll.BDP(TICKER,"DEEP_MEASURE_PERIOD_BROKER_VALUE","DEEP_MEASURE_ID_OVERRIDE",$C257,"DEEP_BROKER_ID_OVERRIDE",BG$24,"DEEP_PERIOD_OVERRIDE",$H$19)*1,"")))</f>
        <v/>
      </c>
      <c r="BH257" t="str">
        <f>IF(OR(BH$23="",ISNA($B257)),"",IF(ISBLANK($B257),"",IFERROR(_xll.BDP(TICKER,"DEEP_MEASURE_PERIOD_BROKER_VALUE","DEEP_MEASURE_ID_OVERRIDE",$C257,"DEEP_BROKER_ID_OVERRIDE",BH$24,"DEEP_PERIOD_OVERRIDE",$H$19)*1,"")))</f>
        <v/>
      </c>
      <c r="BI257" t="str">
        <f>IF(OR(BI$23="",ISNA($B257)),"",IF(ISBLANK($B257),"",IFERROR(_xll.BDP(TICKER,"DEEP_MEASURE_PERIOD_BROKER_VALUE","DEEP_MEASURE_ID_OVERRIDE",$C257,"DEEP_BROKER_ID_OVERRIDE",BI$24,"DEEP_PERIOD_OVERRIDE",$H$19)*1,"")))</f>
        <v/>
      </c>
      <c r="BJ257" t="str">
        <f>IF(OR(BJ$23="",ISNA($B257)),"",IF(ISBLANK($B257),"",IFERROR(_xll.BDP(TICKER,"DEEP_MEASURE_PERIOD_BROKER_VALUE","DEEP_MEASURE_ID_OVERRIDE",$C257,"DEEP_BROKER_ID_OVERRIDE",BJ$24,"DEEP_PERIOD_OVERRIDE",$H$19)*1,"")))</f>
        <v/>
      </c>
      <c r="BK257" t="str">
        <f>IF(OR(BK$23="",ISNA($B257)),"",IF(ISBLANK($B257),"",IFERROR(_xll.BDP(TICKER,"DEEP_MEASURE_PERIOD_BROKER_VALUE","DEEP_MEASURE_ID_OVERRIDE",$C257,"DEEP_BROKER_ID_OVERRIDE",BK$24,"DEEP_PERIOD_OVERRIDE",$H$19)*1,"")))</f>
        <v/>
      </c>
      <c r="BL257" t="str">
        <f>IF(OR(BL$23="",ISNA($B257)),"",IF(ISBLANK($B257),"",IFERROR(_xll.BDP(TICKER,"DEEP_MEASURE_PERIOD_BROKER_VALUE","DEEP_MEASURE_ID_OVERRIDE",$C257,"DEEP_BROKER_ID_OVERRIDE",BL$24,"DEEP_PERIOD_OVERRIDE",$H$19)*1,"")))</f>
        <v/>
      </c>
      <c r="BM257" t="str">
        <f>IF(OR(BM$23="",ISNA($B257)),"",IF(ISBLANK($B257),"",IFERROR(_xll.BDP(TICKER,"DEEP_MEASURE_PERIOD_BROKER_VALUE","DEEP_MEASURE_ID_OVERRIDE",$C257,"DEEP_BROKER_ID_OVERRIDE",BM$24,"DEEP_PERIOD_OVERRIDE",$H$19)*1,"")))</f>
        <v/>
      </c>
      <c r="BN257" t="str">
        <f>IF(OR(BN$23="",ISNA($B257)),"",IF(ISBLANK($B257),"",IFERROR(_xll.BDP(TICKER,"DEEP_MEASURE_PERIOD_BROKER_VALUE","DEEP_MEASURE_ID_OVERRIDE",$C257,"DEEP_BROKER_ID_OVERRIDE",BN$24,"DEEP_PERIOD_OVERRIDE",$H$19)*1,"")))</f>
        <v/>
      </c>
      <c r="BO257" t="str">
        <f>IF(OR(BO$23="",ISNA($B257)),"",IF(ISBLANK($B257),"",IFERROR(_xll.BDP(TICKER,"DEEP_MEASURE_PERIOD_BROKER_VALUE","DEEP_MEASURE_ID_OVERRIDE",$C257,"DEEP_BROKER_ID_OVERRIDE",BO$24,"DEEP_PERIOD_OVERRIDE",$H$19)*1,"")))</f>
        <v/>
      </c>
      <c r="BP257" t="str">
        <f>IF(OR(BP$23="",ISNA($B257)),"",IF(ISBLANK($B257),"",IFERROR(_xll.BDP(TICKER,"DEEP_MEASURE_PERIOD_BROKER_VALUE","DEEP_MEASURE_ID_OVERRIDE",$C257,"DEEP_BROKER_ID_OVERRIDE",BP$24,"DEEP_PERIOD_OVERRIDE",$H$19)*1,"")))</f>
        <v/>
      </c>
      <c r="BQ257" t="str">
        <f>IF(OR(BQ$23="",ISNA($B257)),"",IF(ISBLANK($B257),"",IFERROR(_xll.BDP(TICKER,"DEEP_MEASURE_PERIOD_BROKER_VALUE","DEEP_MEASURE_ID_OVERRIDE",$C257,"DEEP_BROKER_ID_OVERRIDE",BQ$24,"DEEP_PERIOD_OVERRIDE",$H$19)*1,"")))</f>
        <v/>
      </c>
      <c r="BR257" t="str">
        <f>IF(OR(BR$23="",ISNA($B257)),"",IF(ISBLANK($B257),"",IFERROR(_xll.BDP(TICKER,"DEEP_MEASURE_PERIOD_BROKER_VALUE","DEEP_MEASURE_ID_OVERRIDE",$C257,"DEEP_BROKER_ID_OVERRIDE",BR$24,"DEEP_PERIOD_OVERRIDE",$H$19)*1,"")))</f>
        <v/>
      </c>
      <c r="BS257" t="str">
        <f>IF(OR(BS$23="",ISNA($B257)),"",IF(ISBLANK($B257),"",IFERROR(_xll.BDP(TICKER,"DEEP_MEASURE_PERIOD_BROKER_VALUE","DEEP_MEASURE_ID_OVERRIDE",$C257,"DEEP_BROKER_ID_OVERRIDE",BS$24,"DEEP_PERIOD_OVERRIDE",$H$19)*1,"")))</f>
        <v/>
      </c>
      <c r="BT257" t="str">
        <f>IF(OR(BT$23="",ISNA($B257)),"",IF(ISBLANK($B257),"",IFERROR(_xll.BDP(TICKER,"DEEP_MEASURE_PERIOD_BROKER_VALUE","DEEP_MEASURE_ID_OVERRIDE",$C257,"DEEP_BROKER_ID_OVERRIDE",BT$24,"DEEP_PERIOD_OVERRIDE",$H$19)*1,"")))</f>
        <v/>
      </c>
      <c r="BU257" t="str">
        <f>IF(OR(BU$23="",ISNA($B257)),"",IF(ISBLANK($B257),"",IFERROR(_xll.BDP(TICKER,"DEEP_MEASURE_PERIOD_BROKER_VALUE","DEEP_MEASURE_ID_OVERRIDE",$C257,"DEEP_BROKER_ID_OVERRIDE",BU$24,"DEEP_PERIOD_OVERRIDE",$H$19)*1,"")))</f>
        <v/>
      </c>
      <c r="BV257" t="str">
        <f>IF(OR(BV$23="",ISNA($B257)),"",IF(ISBLANK($B257),"",IFERROR(_xll.BDP(TICKER,"DEEP_MEASURE_PERIOD_BROKER_VALUE","DEEP_MEASURE_ID_OVERRIDE",$C257,"DEEP_BROKER_ID_OVERRIDE",BV$24,"DEEP_PERIOD_OVERRIDE",$H$19)*1,"")))</f>
        <v/>
      </c>
      <c r="BW257" t="str">
        <f>IF(OR(BW$23="",ISNA($B257)),"",IF(ISBLANK($B257),"",IFERROR(_xll.BDP(TICKER,"DEEP_MEASURE_PERIOD_BROKER_VALUE","DEEP_MEASURE_ID_OVERRIDE",$C257,"DEEP_BROKER_ID_OVERRIDE",BW$24,"DEEP_PERIOD_OVERRIDE",$H$19)*1,"")))</f>
        <v/>
      </c>
      <c r="BX257" t="str">
        <f>IF(OR(BX$23="",ISNA($B257)),"",IF(ISBLANK($B257),"",IFERROR(_xll.BDP(TICKER,"DEEP_MEASURE_PERIOD_BROKER_VALUE","DEEP_MEASURE_ID_OVERRIDE",$C257,"DEEP_BROKER_ID_OVERRIDE",BX$24,"DEEP_PERIOD_OVERRIDE",$H$19)*1,"")))</f>
        <v/>
      </c>
      <c r="BY257" t="str">
        <f>IF(OR(BY$23="",ISNA($B257)),"",IF(ISBLANK($B257),"",IFERROR(_xll.BDP(TICKER,"DEEP_MEASURE_PERIOD_BROKER_VALUE","DEEP_MEASURE_ID_OVERRIDE",$C257,"DEEP_BROKER_ID_OVERRIDE",BY$24,"DEEP_PERIOD_OVERRIDE",$H$19)*1,"")))</f>
        <v/>
      </c>
      <c r="BZ257" t="str">
        <f>IF(OR(BZ$23="",ISNA($B257)),"",IF(ISBLANK($B257),"",IFERROR(_xll.BDP(TICKER,"DEEP_MEASURE_PERIOD_BROKER_VALUE","DEEP_MEASURE_ID_OVERRIDE",$C257,"DEEP_BROKER_ID_OVERRIDE",BZ$24,"DEEP_PERIOD_OVERRIDE",$H$19)*1,"")))</f>
        <v/>
      </c>
    </row>
    <row r="258" spans="8:78" x14ac:dyDescent="0.25">
      <c r="H258" t="str">
        <f t="shared" si="4"/>
        <v/>
      </c>
      <c r="I258" t="str">
        <f>IF(OR(I$23="",ISNA($B258)),"",IF(ISBLANK($B258),"",IFERROR(_xll.BDP(TICKER,"DEEP_MEASURE_PERIOD_BROKER_VALUE","DEEP_MEASURE_ID_OVERRIDE",$C258,"DEEP_PERIOD_OVERRIDE",$H$19)*1,"")))</f>
        <v/>
      </c>
      <c r="J258" t="e">
        <f>IF(OR(J$23="",ISNA($B258)),"",IF(ISBLANK($B258),"",IFERROR(_xll.BDP(TICKER,"DEEP_MEASURE_PERIOD_BROKER_VALUE","DEEP_MEASURE_ID_OVERRIDE",$C258,"DEEP_BROKER_ID_OVERRIDE",J$24,"DEEP_PERIOD_OVERRIDE",$H$19)*1,"")))</f>
        <v>#REF!</v>
      </c>
      <c r="K258" t="str">
        <f>IF(OR(K$23="",ISNA($B258)),"",IF(ISBLANK($B258),"",IFERROR(_xll.BDP(TICKER,"DEEP_MEASURE_PERIOD_BROKER_VALUE","DEEP_MEASURE_ID_OVERRIDE",$C258,"DEEP_BROKER_ID_OVERRIDE",K$24,"DEEP_PERIOD_OVERRIDE",$H$19)*1,"")))</f>
        <v/>
      </c>
      <c r="L258" t="str">
        <f>IF(OR(L$23="",ISNA($B258)),"",IF(ISBLANK($B258),"",IFERROR(_xll.BDP(TICKER,"DEEP_MEASURE_PERIOD_BROKER_VALUE","DEEP_MEASURE_ID_OVERRIDE",$C258,"DEEP_BROKER_ID_OVERRIDE",L$24,"DEEP_PERIOD_OVERRIDE",$H$19)*1,"")))</f>
        <v/>
      </c>
      <c r="M258" t="str">
        <f>IF(OR(M$23="",ISNA($B258)),"",IF(ISBLANK($B258),"",IFERROR(_xll.BDP(TICKER,"DEEP_MEASURE_PERIOD_BROKER_VALUE","DEEP_MEASURE_ID_OVERRIDE",$C258,"DEEP_BROKER_ID_OVERRIDE",M$24,"DEEP_PERIOD_OVERRIDE",$H$19)*1,"")))</f>
        <v/>
      </c>
      <c r="N258" t="str">
        <f>IF(OR(N$23="",ISNA($B258)),"",IF(ISBLANK($B258),"",IFERROR(_xll.BDP(TICKER,"DEEP_MEASURE_PERIOD_BROKER_VALUE","DEEP_MEASURE_ID_OVERRIDE",$C258,"DEEP_BROKER_ID_OVERRIDE",N$24,"DEEP_PERIOD_OVERRIDE",$H$19)*1,"")))</f>
        <v/>
      </c>
      <c r="O258" t="str">
        <f>IF(OR(O$23="",ISNA($B258)),"",IF(ISBLANK($B258),"",IFERROR(_xll.BDP(TICKER,"DEEP_MEASURE_PERIOD_BROKER_VALUE","DEEP_MEASURE_ID_OVERRIDE",$C258,"DEEP_BROKER_ID_OVERRIDE",O$24,"DEEP_PERIOD_OVERRIDE",$H$19)*1,"")))</f>
        <v/>
      </c>
      <c r="P258" t="str">
        <f>IF(OR(P$23="",ISNA($B258)),"",IF(ISBLANK($B258),"",IFERROR(_xll.BDP(TICKER,"DEEP_MEASURE_PERIOD_BROKER_VALUE","DEEP_MEASURE_ID_OVERRIDE",$C258,"DEEP_BROKER_ID_OVERRIDE",P$24,"DEEP_PERIOD_OVERRIDE",$H$19)*1,"")))</f>
        <v/>
      </c>
      <c r="Q258" t="str">
        <f>IF(OR(Q$23="",ISNA($B258)),"",IF(ISBLANK($B258),"",IFERROR(_xll.BDP(TICKER,"DEEP_MEASURE_PERIOD_BROKER_VALUE","DEEP_MEASURE_ID_OVERRIDE",$C258,"DEEP_BROKER_ID_OVERRIDE",Q$24,"DEEP_PERIOD_OVERRIDE",$H$19)*1,"")))</f>
        <v/>
      </c>
      <c r="R258" t="str">
        <f>IF(OR(R$23="",ISNA($B258)),"",IF(ISBLANK($B258),"",IFERROR(_xll.BDP(TICKER,"DEEP_MEASURE_PERIOD_BROKER_VALUE","DEEP_MEASURE_ID_OVERRIDE",$C258,"DEEP_BROKER_ID_OVERRIDE",R$24,"DEEP_PERIOD_OVERRIDE",$H$19)*1,"")))</f>
        <v/>
      </c>
      <c r="S258" t="str">
        <f>IF(OR(S$23="",ISNA($B258)),"",IF(ISBLANK($B258),"",IFERROR(_xll.BDP(TICKER,"DEEP_MEASURE_PERIOD_BROKER_VALUE","DEEP_MEASURE_ID_OVERRIDE",$C258,"DEEP_BROKER_ID_OVERRIDE",S$24,"DEEP_PERIOD_OVERRIDE",$H$19)*1,"")))</f>
        <v/>
      </c>
      <c r="T258" t="str">
        <f>IF(OR(T$23="",ISNA($B258)),"",IF(ISBLANK($B258),"",IFERROR(_xll.BDP(TICKER,"DEEP_MEASURE_PERIOD_BROKER_VALUE","DEEP_MEASURE_ID_OVERRIDE",$C258,"DEEP_BROKER_ID_OVERRIDE",T$24,"DEEP_PERIOD_OVERRIDE",$H$19)*1,"")))</f>
        <v/>
      </c>
      <c r="U258" t="str">
        <f>IF(OR(U$23="",ISNA($B258)),"",IF(ISBLANK($B258),"",IFERROR(_xll.BDP(TICKER,"DEEP_MEASURE_PERIOD_BROKER_VALUE","DEEP_MEASURE_ID_OVERRIDE",$C258,"DEEP_BROKER_ID_OVERRIDE",U$24,"DEEP_PERIOD_OVERRIDE",$H$19)*1,"")))</f>
        <v/>
      </c>
      <c r="V258" t="str">
        <f>IF(OR(V$23="",ISNA($B258)),"",IF(ISBLANK($B258),"",IFERROR(_xll.BDP(TICKER,"DEEP_MEASURE_PERIOD_BROKER_VALUE","DEEP_MEASURE_ID_OVERRIDE",$C258,"DEEP_BROKER_ID_OVERRIDE",V$24,"DEEP_PERIOD_OVERRIDE",$H$19)*1,"")))</f>
        <v/>
      </c>
      <c r="W258" t="str">
        <f>IF(OR(W$23="",ISNA($B258)),"",IF(ISBLANK($B258),"",IFERROR(_xll.BDP(TICKER,"DEEP_MEASURE_PERIOD_BROKER_VALUE","DEEP_MEASURE_ID_OVERRIDE",$C258,"DEEP_BROKER_ID_OVERRIDE",W$24,"DEEP_PERIOD_OVERRIDE",$H$19)*1,"")))</f>
        <v/>
      </c>
      <c r="X258" t="str">
        <f>IF(OR(X$23="",ISNA($B258)),"",IF(ISBLANK($B258),"",IFERROR(_xll.BDP(TICKER,"DEEP_MEASURE_PERIOD_BROKER_VALUE","DEEP_MEASURE_ID_OVERRIDE",$C258,"DEEP_BROKER_ID_OVERRIDE",X$24,"DEEP_PERIOD_OVERRIDE",$H$19)*1,"")))</f>
        <v/>
      </c>
      <c r="Y258" t="str">
        <f>IF(OR(Y$23="",ISNA($B258)),"",IF(ISBLANK($B258),"",IFERROR(_xll.BDP(TICKER,"DEEP_MEASURE_PERIOD_BROKER_VALUE","DEEP_MEASURE_ID_OVERRIDE",$C258,"DEEP_BROKER_ID_OVERRIDE",Y$24,"DEEP_PERIOD_OVERRIDE",$H$19)*1,"")))</f>
        <v/>
      </c>
      <c r="Z258" t="str">
        <f>IF(OR(Z$23="",ISNA($B258)),"",IF(ISBLANK($B258),"",IFERROR(_xll.BDP(TICKER,"DEEP_MEASURE_PERIOD_BROKER_VALUE","DEEP_MEASURE_ID_OVERRIDE",$C258,"DEEP_BROKER_ID_OVERRIDE",Z$24,"DEEP_PERIOD_OVERRIDE",$H$19)*1,"")))</f>
        <v/>
      </c>
      <c r="AA258" t="str">
        <f>IF(OR(AA$23="",ISNA($B258)),"",IF(ISBLANK($B258),"",IFERROR(_xll.BDP(TICKER,"DEEP_MEASURE_PERIOD_BROKER_VALUE","DEEP_MEASURE_ID_OVERRIDE",$C258,"DEEP_BROKER_ID_OVERRIDE",AA$24,"DEEP_PERIOD_OVERRIDE",$H$19)*1,"")))</f>
        <v/>
      </c>
      <c r="AB258" t="str">
        <f>IF(OR(AB$23="",ISNA($B258)),"",IF(ISBLANK($B258),"",IFERROR(_xll.BDP(TICKER,"DEEP_MEASURE_PERIOD_BROKER_VALUE","DEEP_MEASURE_ID_OVERRIDE",$C258,"DEEP_BROKER_ID_OVERRIDE",AB$24,"DEEP_PERIOD_OVERRIDE",$H$19)*1,"")))</f>
        <v/>
      </c>
      <c r="AC258" t="str">
        <f>IF(OR(AC$23="",ISNA($B258)),"",IF(ISBLANK($B258),"",IFERROR(_xll.BDP(TICKER,"DEEP_MEASURE_PERIOD_BROKER_VALUE","DEEP_MEASURE_ID_OVERRIDE",$C258,"DEEP_BROKER_ID_OVERRIDE",AC$24,"DEEP_PERIOD_OVERRIDE",$H$19)*1,"")))</f>
        <v/>
      </c>
      <c r="AD258" t="str">
        <f>IF(OR(AD$23="",ISNA($B258)),"",IF(ISBLANK($B258),"",IFERROR(_xll.BDP(TICKER,"DEEP_MEASURE_PERIOD_BROKER_VALUE","DEEP_MEASURE_ID_OVERRIDE",$C258,"DEEP_BROKER_ID_OVERRIDE",AD$24,"DEEP_PERIOD_OVERRIDE",$H$19)*1,"")))</f>
        <v/>
      </c>
      <c r="AE258" t="str">
        <f>IF(OR(AE$23="",ISNA($B258)),"",IF(ISBLANK($B258),"",IFERROR(_xll.BDP(TICKER,"DEEP_MEASURE_PERIOD_BROKER_VALUE","DEEP_MEASURE_ID_OVERRIDE",$C258,"DEEP_BROKER_ID_OVERRIDE",AE$24,"DEEP_PERIOD_OVERRIDE",$H$19)*1,"")))</f>
        <v/>
      </c>
      <c r="AF258" t="str">
        <f>IF(OR(AF$23="",ISNA($B258)),"",IF(ISBLANK($B258),"",IFERROR(_xll.BDP(TICKER,"DEEP_MEASURE_PERIOD_BROKER_VALUE","DEEP_MEASURE_ID_OVERRIDE",$C258,"DEEP_BROKER_ID_OVERRIDE",AF$24,"DEEP_PERIOD_OVERRIDE",$H$19)*1,"")))</f>
        <v/>
      </c>
      <c r="AG258" t="str">
        <f>IF(OR(AG$23="",ISNA($B258)),"",IF(ISBLANK($B258),"",IFERROR(_xll.BDP(TICKER,"DEEP_MEASURE_PERIOD_BROKER_VALUE","DEEP_MEASURE_ID_OVERRIDE",$C258,"DEEP_BROKER_ID_OVERRIDE",AG$24,"DEEP_PERIOD_OVERRIDE",$H$19)*1,"")))</f>
        <v/>
      </c>
      <c r="AH258" t="str">
        <f>IF(OR(AH$23="",ISNA($B258)),"",IF(ISBLANK($B258),"",IFERROR(_xll.BDP(TICKER,"DEEP_MEASURE_PERIOD_BROKER_VALUE","DEEP_MEASURE_ID_OVERRIDE",$C258,"DEEP_BROKER_ID_OVERRIDE",AH$24,"DEEP_PERIOD_OVERRIDE",$H$19)*1,"")))</f>
        <v/>
      </c>
      <c r="AI258" t="str">
        <f>IF(OR(AI$23="",ISNA($B258)),"",IF(ISBLANK($B258),"",IFERROR(_xll.BDP(TICKER,"DEEP_MEASURE_PERIOD_BROKER_VALUE","DEEP_MEASURE_ID_OVERRIDE",$C258,"DEEP_BROKER_ID_OVERRIDE",AI$24,"DEEP_PERIOD_OVERRIDE",$H$19)*1,"")))</f>
        <v/>
      </c>
      <c r="AJ258" t="str">
        <f>IF(OR(AJ$23="",ISNA($B258)),"",IF(ISBLANK($B258),"",IFERROR(_xll.BDP(TICKER,"DEEP_MEASURE_PERIOD_BROKER_VALUE","DEEP_MEASURE_ID_OVERRIDE",$C258,"DEEP_BROKER_ID_OVERRIDE",AJ$24,"DEEP_PERIOD_OVERRIDE",$H$19)*1,"")))</f>
        <v/>
      </c>
      <c r="AK258" t="str">
        <f>IF(OR(AK$23="",ISNA($B258)),"",IF(ISBLANK($B258),"",IFERROR(_xll.BDP(TICKER,"DEEP_MEASURE_PERIOD_BROKER_VALUE","DEEP_MEASURE_ID_OVERRIDE",$C258,"DEEP_BROKER_ID_OVERRIDE",AK$24,"DEEP_PERIOD_OVERRIDE",$H$19)*1,"")))</f>
        <v/>
      </c>
      <c r="AL258" t="str">
        <f>IF(OR(AL$23="",ISNA($B258)),"",IF(ISBLANK($B258),"",IFERROR(_xll.BDP(TICKER,"DEEP_MEASURE_PERIOD_BROKER_VALUE","DEEP_MEASURE_ID_OVERRIDE",$C258,"DEEP_BROKER_ID_OVERRIDE",AL$24,"DEEP_PERIOD_OVERRIDE",$H$19)*1,"")))</f>
        <v/>
      </c>
      <c r="AM258" t="str">
        <f>IF(OR(AM$23="",ISNA($B258)),"",IF(ISBLANK($B258),"",IFERROR(_xll.BDP(TICKER,"DEEP_MEASURE_PERIOD_BROKER_VALUE","DEEP_MEASURE_ID_OVERRIDE",$C258,"DEEP_BROKER_ID_OVERRIDE",AM$24,"DEEP_PERIOD_OVERRIDE",$H$19)*1,"")))</f>
        <v/>
      </c>
      <c r="AN258" t="str">
        <f>IF(OR(AN$23="",ISNA($B258)),"",IF(ISBLANK($B258),"",IFERROR(_xll.BDP(TICKER,"DEEP_MEASURE_PERIOD_BROKER_VALUE","DEEP_MEASURE_ID_OVERRIDE",$C258,"DEEP_BROKER_ID_OVERRIDE",AN$24,"DEEP_PERIOD_OVERRIDE",$H$19)*1,"")))</f>
        <v/>
      </c>
      <c r="AO258" t="str">
        <f>IF(OR(AO$23="",ISNA($B258)),"",IF(ISBLANK($B258),"",IFERROR(_xll.BDP(TICKER,"DEEP_MEASURE_PERIOD_BROKER_VALUE","DEEP_MEASURE_ID_OVERRIDE",$C258,"DEEP_BROKER_ID_OVERRIDE",AO$24,"DEEP_PERIOD_OVERRIDE",$H$19)*1,"")))</f>
        <v/>
      </c>
      <c r="AP258" t="str">
        <f>IF(OR(AP$23="",ISNA($B258)),"",IF(ISBLANK($B258),"",IFERROR(_xll.BDP(TICKER,"DEEP_MEASURE_PERIOD_BROKER_VALUE","DEEP_MEASURE_ID_OVERRIDE",$C258,"DEEP_BROKER_ID_OVERRIDE",AP$24,"DEEP_PERIOD_OVERRIDE",$H$19)*1,"")))</f>
        <v/>
      </c>
      <c r="AQ258" t="str">
        <f>IF(OR(AQ$23="",ISNA($B258)),"",IF(ISBLANK($B258),"",IFERROR(_xll.BDP(TICKER,"DEEP_MEASURE_PERIOD_BROKER_VALUE","DEEP_MEASURE_ID_OVERRIDE",$C258,"DEEP_BROKER_ID_OVERRIDE",AQ$24,"DEEP_PERIOD_OVERRIDE",$H$19)*1,"")))</f>
        <v/>
      </c>
      <c r="AR258" t="str">
        <f>IF(OR(AR$23="",ISNA($B258)),"",IF(ISBLANK($B258),"",IFERROR(_xll.BDP(TICKER,"DEEP_MEASURE_PERIOD_BROKER_VALUE","DEEP_MEASURE_ID_OVERRIDE",$C258,"DEEP_BROKER_ID_OVERRIDE",AR$24,"DEEP_PERIOD_OVERRIDE",$H$19)*1,"")))</f>
        <v/>
      </c>
      <c r="AS258" t="str">
        <f>IF(OR(AS$23="",ISNA($B258)),"",IF(ISBLANK($B258),"",IFERROR(_xll.BDP(TICKER,"DEEP_MEASURE_PERIOD_BROKER_VALUE","DEEP_MEASURE_ID_OVERRIDE",$C258,"DEEP_BROKER_ID_OVERRIDE",AS$24,"DEEP_PERIOD_OVERRIDE",$H$19)*1,"")))</f>
        <v/>
      </c>
      <c r="AT258" t="str">
        <f>IF(OR(AT$23="",ISNA($B258)),"",IF(ISBLANK($B258),"",IFERROR(_xll.BDP(TICKER,"DEEP_MEASURE_PERIOD_BROKER_VALUE","DEEP_MEASURE_ID_OVERRIDE",$C258,"DEEP_BROKER_ID_OVERRIDE",AT$24,"DEEP_PERIOD_OVERRIDE",$H$19)*1,"")))</f>
        <v/>
      </c>
      <c r="AU258" t="str">
        <f>IF(OR(AU$23="",ISNA($B258)),"",IF(ISBLANK($B258),"",IFERROR(_xll.BDP(TICKER,"DEEP_MEASURE_PERIOD_BROKER_VALUE","DEEP_MEASURE_ID_OVERRIDE",$C258,"DEEP_BROKER_ID_OVERRIDE",AU$24,"DEEP_PERIOD_OVERRIDE",$H$19)*1,"")))</f>
        <v/>
      </c>
      <c r="AV258" t="str">
        <f>IF(OR(AV$23="",ISNA($B258)),"",IF(ISBLANK($B258),"",IFERROR(_xll.BDP(TICKER,"DEEP_MEASURE_PERIOD_BROKER_VALUE","DEEP_MEASURE_ID_OVERRIDE",$C258,"DEEP_BROKER_ID_OVERRIDE",AV$24,"DEEP_PERIOD_OVERRIDE",$H$19)*1,"")))</f>
        <v/>
      </c>
      <c r="AW258" t="str">
        <f>IF(OR(AW$23="",ISNA($B258)),"",IF(ISBLANK($B258),"",IFERROR(_xll.BDP(TICKER,"DEEP_MEASURE_PERIOD_BROKER_VALUE","DEEP_MEASURE_ID_OVERRIDE",$C258,"DEEP_BROKER_ID_OVERRIDE",AW$24,"DEEP_PERIOD_OVERRIDE",$H$19)*1,"")))</f>
        <v/>
      </c>
      <c r="AX258" t="str">
        <f>IF(OR(AX$23="",ISNA($B258)),"",IF(ISBLANK($B258),"",IFERROR(_xll.BDP(TICKER,"DEEP_MEASURE_PERIOD_BROKER_VALUE","DEEP_MEASURE_ID_OVERRIDE",$C258,"DEEP_BROKER_ID_OVERRIDE",AX$24,"DEEP_PERIOD_OVERRIDE",$H$19)*1,"")))</f>
        <v/>
      </c>
      <c r="AY258" t="str">
        <f>IF(OR(AY$23="",ISNA($B258)),"",IF(ISBLANK($B258),"",IFERROR(_xll.BDP(TICKER,"DEEP_MEASURE_PERIOD_BROKER_VALUE","DEEP_MEASURE_ID_OVERRIDE",$C258,"DEEP_BROKER_ID_OVERRIDE",AY$24,"DEEP_PERIOD_OVERRIDE",$H$19)*1,"")))</f>
        <v/>
      </c>
      <c r="AZ258" t="str">
        <f>IF(OR(AZ$23="",ISNA($B258)),"",IF(ISBLANK($B258),"",IFERROR(_xll.BDP(TICKER,"DEEP_MEASURE_PERIOD_BROKER_VALUE","DEEP_MEASURE_ID_OVERRIDE",$C258,"DEEP_BROKER_ID_OVERRIDE",AZ$24,"DEEP_PERIOD_OVERRIDE",$H$19)*1,"")))</f>
        <v/>
      </c>
      <c r="BA258" t="str">
        <f>IF(OR(BA$23="",ISNA($B258)),"",IF(ISBLANK($B258),"",IFERROR(_xll.BDP(TICKER,"DEEP_MEASURE_PERIOD_BROKER_VALUE","DEEP_MEASURE_ID_OVERRIDE",$C258,"DEEP_BROKER_ID_OVERRIDE",BA$24,"DEEP_PERIOD_OVERRIDE",$H$19)*1,"")))</f>
        <v/>
      </c>
      <c r="BB258" t="str">
        <f>IF(OR(BB$23="",ISNA($B258)),"",IF(ISBLANK($B258),"",IFERROR(_xll.BDP(TICKER,"DEEP_MEASURE_PERIOD_BROKER_VALUE","DEEP_MEASURE_ID_OVERRIDE",$C258,"DEEP_BROKER_ID_OVERRIDE",BB$24,"DEEP_PERIOD_OVERRIDE",$H$19)*1,"")))</f>
        <v/>
      </c>
      <c r="BC258" t="str">
        <f>IF(OR(BC$23="",ISNA($B258)),"",IF(ISBLANK($B258),"",IFERROR(_xll.BDP(TICKER,"DEEP_MEASURE_PERIOD_BROKER_VALUE","DEEP_MEASURE_ID_OVERRIDE",$C258,"DEEP_BROKER_ID_OVERRIDE",BC$24,"DEEP_PERIOD_OVERRIDE",$H$19)*1,"")))</f>
        <v/>
      </c>
      <c r="BD258" t="str">
        <f>IF(OR(BD$23="",ISNA($B258)),"",IF(ISBLANK($B258),"",IFERROR(_xll.BDP(TICKER,"DEEP_MEASURE_PERIOD_BROKER_VALUE","DEEP_MEASURE_ID_OVERRIDE",$C258,"DEEP_BROKER_ID_OVERRIDE",BD$24,"DEEP_PERIOD_OVERRIDE",$H$19)*1,"")))</f>
        <v/>
      </c>
      <c r="BE258" t="str">
        <f>IF(OR(BE$23="",ISNA($B258)),"",IF(ISBLANK($B258),"",IFERROR(_xll.BDP(TICKER,"DEEP_MEASURE_PERIOD_BROKER_VALUE","DEEP_MEASURE_ID_OVERRIDE",$C258,"DEEP_BROKER_ID_OVERRIDE",BE$24,"DEEP_PERIOD_OVERRIDE",$H$19)*1,"")))</f>
        <v/>
      </c>
      <c r="BF258" t="str">
        <f>IF(OR(BF$23="",ISNA($B258)),"",IF(ISBLANK($B258),"",IFERROR(_xll.BDP(TICKER,"DEEP_MEASURE_PERIOD_BROKER_VALUE","DEEP_MEASURE_ID_OVERRIDE",$C258,"DEEP_BROKER_ID_OVERRIDE",BF$24,"DEEP_PERIOD_OVERRIDE",$H$19)*1,"")))</f>
        <v/>
      </c>
      <c r="BG258" t="str">
        <f>IF(OR(BG$23="",ISNA($B258)),"",IF(ISBLANK($B258),"",IFERROR(_xll.BDP(TICKER,"DEEP_MEASURE_PERIOD_BROKER_VALUE","DEEP_MEASURE_ID_OVERRIDE",$C258,"DEEP_BROKER_ID_OVERRIDE",BG$24,"DEEP_PERIOD_OVERRIDE",$H$19)*1,"")))</f>
        <v/>
      </c>
      <c r="BH258" t="str">
        <f>IF(OR(BH$23="",ISNA($B258)),"",IF(ISBLANK($B258),"",IFERROR(_xll.BDP(TICKER,"DEEP_MEASURE_PERIOD_BROKER_VALUE","DEEP_MEASURE_ID_OVERRIDE",$C258,"DEEP_BROKER_ID_OVERRIDE",BH$24,"DEEP_PERIOD_OVERRIDE",$H$19)*1,"")))</f>
        <v/>
      </c>
      <c r="BI258" t="str">
        <f>IF(OR(BI$23="",ISNA($B258)),"",IF(ISBLANK($B258),"",IFERROR(_xll.BDP(TICKER,"DEEP_MEASURE_PERIOD_BROKER_VALUE","DEEP_MEASURE_ID_OVERRIDE",$C258,"DEEP_BROKER_ID_OVERRIDE",BI$24,"DEEP_PERIOD_OVERRIDE",$H$19)*1,"")))</f>
        <v/>
      </c>
      <c r="BJ258" t="str">
        <f>IF(OR(BJ$23="",ISNA($B258)),"",IF(ISBLANK($B258),"",IFERROR(_xll.BDP(TICKER,"DEEP_MEASURE_PERIOD_BROKER_VALUE","DEEP_MEASURE_ID_OVERRIDE",$C258,"DEEP_BROKER_ID_OVERRIDE",BJ$24,"DEEP_PERIOD_OVERRIDE",$H$19)*1,"")))</f>
        <v/>
      </c>
      <c r="BK258" t="str">
        <f>IF(OR(BK$23="",ISNA($B258)),"",IF(ISBLANK($B258),"",IFERROR(_xll.BDP(TICKER,"DEEP_MEASURE_PERIOD_BROKER_VALUE","DEEP_MEASURE_ID_OVERRIDE",$C258,"DEEP_BROKER_ID_OVERRIDE",BK$24,"DEEP_PERIOD_OVERRIDE",$H$19)*1,"")))</f>
        <v/>
      </c>
      <c r="BL258" t="str">
        <f>IF(OR(BL$23="",ISNA($B258)),"",IF(ISBLANK($B258),"",IFERROR(_xll.BDP(TICKER,"DEEP_MEASURE_PERIOD_BROKER_VALUE","DEEP_MEASURE_ID_OVERRIDE",$C258,"DEEP_BROKER_ID_OVERRIDE",BL$24,"DEEP_PERIOD_OVERRIDE",$H$19)*1,"")))</f>
        <v/>
      </c>
      <c r="BM258" t="str">
        <f>IF(OR(BM$23="",ISNA($B258)),"",IF(ISBLANK($B258),"",IFERROR(_xll.BDP(TICKER,"DEEP_MEASURE_PERIOD_BROKER_VALUE","DEEP_MEASURE_ID_OVERRIDE",$C258,"DEEP_BROKER_ID_OVERRIDE",BM$24,"DEEP_PERIOD_OVERRIDE",$H$19)*1,"")))</f>
        <v/>
      </c>
      <c r="BN258" t="str">
        <f>IF(OR(BN$23="",ISNA($B258)),"",IF(ISBLANK($B258),"",IFERROR(_xll.BDP(TICKER,"DEEP_MEASURE_PERIOD_BROKER_VALUE","DEEP_MEASURE_ID_OVERRIDE",$C258,"DEEP_BROKER_ID_OVERRIDE",BN$24,"DEEP_PERIOD_OVERRIDE",$H$19)*1,"")))</f>
        <v/>
      </c>
      <c r="BO258" t="str">
        <f>IF(OR(BO$23="",ISNA($B258)),"",IF(ISBLANK($B258),"",IFERROR(_xll.BDP(TICKER,"DEEP_MEASURE_PERIOD_BROKER_VALUE","DEEP_MEASURE_ID_OVERRIDE",$C258,"DEEP_BROKER_ID_OVERRIDE",BO$24,"DEEP_PERIOD_OVERRIDE",$H$19)*1,"")))</f>
        <v/>
      </c>
      <c r="BP258" t="str">
        <f>IF(OR(BP$23="",ISNA($B258)),"",IF(ISBLANK($B258),"",IFERROR(_xll.BDP(TICKER,"DEEP_MEASURE_PERIOD_BROKER_VALUE","DEEP_MEASURE_ID_OVERRIDE",$C258,"DEEP_BROKER_ID_OVERRIDE",BP$24,"DEEP_PERIOD_OVERRIDE",$H$19)*1,"")))</f>
        <v/>
      </c>
      <c r="BQ258" t="str">
        <f>IF(OR(BQ$23="",ISNA($B258)),"",IF(ISBLANK($B258),"",IFERROR(_xll.BDP(TICKER,"DEEP_MEASURE_PERIOD_BROKER_VALUE","DEEP_MEASURE_ID_OVERRIDE",$C258,"DEEP_BROKER_ID_OVERRIDE",BQ$24,"DEEP_PERIOD_OVERRIDE",$H$19)*1,"")))</f>
        <v/>
      </c>
      <c r="BR258" t="str">
        <f>IF(OR(BR$23="",ISNA($B258)),"",IF(ISBLANK($B258),"",IFERROR(_xll.BDP(TICKER,"DEEP_MEASURE_PERIOD_BROKER_VALUE","DEEP_MEASURE_ID_OVERRIDE",$C258,"DEEP_BROKER_ID_OVERRIDE",BR$24,"DEEP_PERIOD_OVERRIDE",$H$19)*1,"")))</f>
        <v/>
      </c>
      <c r="BS258" t="str">
        <f>IF(OR(BS$23="",ISNA($B258)),"",IF(ISBLANK($B258),"",IFERROR(_xll.BDP(TICKER,"DEEP_MEASURE_PERIOD_BROKER_VALUE","DEEP_MEASURE_ID_OVERRIDE",$C258,"DEEP_BROKER_ID_OVERRIDE",BS$24,"DEEP_PERIOD_OVERRIDE",$H$19)*1,"")))</f>
        <v/>
      </c>
      <c r="BT258" t="str">
        <f>IF(OR(BT$23="",ISNA($B258)),"",IF(ISBLANK($B258),"",IFERROR(_xll.BDP(TICKER,"DEEP_MEASURE_PERIOD_BROKER_VALUE","DEEP_MEASURE_ID_OVERRIDE",$C258,"DEEP_BROKER_ID_OVERRIDE",BT$24,"DEEP_PERIOD_OVERRIDE",$H$19)*1,"")))</f>
        <v/>
      </c>
      <c r="BU258" t="str">
        <f>IF(OR(BU$23="",ISNA($B258)),"",IF(ISBLANK($B258),"",IFERROR(_xll.BDP(TICKER,"DEEP_MEASURE_PERIOD_BROKER_VALUE","DEEP_MEASURE_ID_OVERRIDE",$C258,"DEEP_BROKER_ID_OVERRIDE",BU$24,"DEEP_PERIOD_OVERRIDE",$H$19)*1,"")))</f>
        <v/>
      </c>
      <c r="BV258" t="str">
        <f>IF(OR(BV$23="",ISNA($B258)),"",IF(ISBLANK($B258),"",IFERROR(_xll.BDP(TICKER,"DEEP_MEASURE_PERIOD_BROKER_VALUE","DEEP_MEASURE_ID_OVERRIDE",$C258,"DEEP_BROKER_ID_OVERRIDE",BV$24,"DEEP_PERIOD_OVERRIDE",$H$19)*1,"")))</f>
        <v/>
      </c>
      <c r="BW258" t="str">
        <f>IF(OR(BW$23="",ISNA($B258)),"",IF(ISBLANK($B258),"",IFERROR(_xll.BDP(TICKER,"DEEP_MEASURE_PERIOD_BROKER_VALUE","DEEP_MEASURE_ID_OVERRIDE",$C258,"DEEP_BROKER_ID_OVERRIDE",BW$24,"DEEP_PERIOD_OVERRIDE",$H$19)*1,"")))</f>
        <v/>
      </c>
      <c r="BX258" t="str">
        <f>IF(OR(BX$23="",ISNA($B258)),"",IF(ISBLANK($B258),"",IFERROR(_xll.BDP(TICKER,"DEEP_MEASURE_PERIOD_BROKER_VALUE","DEEP_MEASURE_ID_OVERRIDE",$C258,"DEEP_BROKER_ID_OVERRIDE",BX$24,"DEEP_PERIOD_OVERRIDE",$H$19)*1,"")))</f>
        <v/>
      </c>
      <c r="BY258" t="str">
        <f>IF(OR(BY$23="",ISNA($B258)),"",IF(ISBLANK($B258),"",IFERROR(_xll.BDP(TICKER,"DEEP_MEASURE_PERIOD_BROKER_VALUE","DEEP_MEASURE_ID_OVERRIDE",$C258,"DEEP_BROKER_ID_OVERRIDE",BY$24,"DEEP_PERIOD_OVERRIDE",$H$19)*1,"")))</f>
        <v/>
      </c>
      <c r="BZ258" t="str">
        <f>IF(OR(BZ$23="",ISNA($B258)),"",IF(ISBLANK($B258),"",IFERROR(_xll.BDP(TICKER,"DEEP_MEASURE_PERIOD_BROKER_VALUE","DEEP_MEASURE_ID_OVERRIDE",$C258,"DEEP_BROKER_ID_OVERRIDE",BZ$24,"DEEP_PERIOD_OVERRIDE",$H$19)*1,"")))</f>
        <v/>
      </c>
    </row>
    <row r="259" spans="8:78" x14ac:dyDescent="0.25">
      <c r="H259" t="str">
        <f t="shared" si="4"/>
        <v/>
      </c>
      <c r="I259" t="str">
        <f>IF(OR(I$23="",ISNA($B259)),"",IF(ISBLANK($B259),"",IFERROR(_xll.BDP(TICKER,"DEEP_MEASURE_PERIOD_BROKER_VALUE","DEEP_MEASURE_ID_OVERRIDE",$C259,"DEEP_PERIOD_OVERRIDE",$H$19)*1,"")))</f>
        <v/>
      </c>
      <c r="J259" t="e">
        <f>IF(OR(J$23="",ISNA($B259)),"",IF(ISBLANK($B259),"",IFERROR(_xll.BDP(TICKER,"DEEP_MEASURE_PERIOD_BROKER_VALUE","DEEP_MEASURE_ID_OVERRIDE",$C259,"DEEP_BROKER_ID_OVERRIDE",J$24,"DEEP_PERIOD_OVERRIDE",$H$19)*1,"")))</f>
        <v>#REF!</v>
      </c>
      <c r="K259" t="str">
        <f>IF(OR(K$23="",ISNA($B259)),"",IF(ISBLANK($B259),"",IFERROR(_xll.BDP(TICKER,"DEEP_MEASURE_PERIOD_BROKER_VALUE","DEEP_MEASURE_ID_OVERRIDE",$C259,"DEEP_BROKER_ID_OVERRIDE",K$24,"DEEP_PERIOD_OVERRIDE",$H$19)*1,"")))</f>
        <v/>
      </c>
      <c r="L259" t="str">
        <f>IF(OR(L$23="",ISNA($B259)),"",IF(ISBLANK($B259),"",IFERROR(_xll.BDP(TICKER,"DEEP_MEASURE_PERIOD_BROKER_VALUE","DEEP_MEASURE_ID_OVERRIDE",$C259,"DEEP_BROKER_ID_OVERRIDE",L$24,"DEEP_PERIOD_OVERRIDE",$H$19)*1,"")))</f>
        <v/>
      </c>
      <c r="M259" t="str">
        <f>IF(OR(M$23="",ISNA($B259)),"",IF(ISBLANK($B259),"",IFERROR(_xll.BDP(TICKER,"DEEP_MEASURE_PERIOD_BROKER_VALUE","DEEP_MEASURE_ID_OVERRIDE",$C259,"DEEP_BROKER_ID_OVERRIDE",M$24,"DEEP_PERIOD_OVERRIDE",$H$19)*1,"")))</f>
        <v/>
      </c>
      <c r="N259" t="str">
        <f>IF(OR(N$23="",ISNA($B259)),"",IF(ISBLANK($B259),"",IFERROR(_xll.BDP(TICKER,"DEEP_MEASURE_PERIOD_BROKER_VALUE","DEEP_MEASURE_ID_OVERRIDE",$C259,"DEEP_BROKER_ID_OVERRIDE",N$24,"DEEP_PERIOD_OVERRIDE",$H$19)*1,"")))</f>
        <v/>
      </c>
      <c r="O259" t="str">
        <f>IF(OR(O$23="",ISNA($B259)),"",IF(ISBLANK($B259),"",IFERROR(_xll.BDP(TICKER,"DEEP_MEASURE_PERIOD_BROKER_VALUE","DEEP_MEASURE_ID_OVERRIDE",$C259,"DEEP_BROKER_ID_OVERRIDE",O$24,"DEEP_PERIOD_OVERRIDE",$H$19)*1,"")))</f>
        <v/>
      </c>
      <c r="P259" t="str">
        <f>IF(OR(P$23="",ISNA($B259)),"",IF(ISBLANK($B259),"",IFERROR(_xll.BDP(TICKER,"DEEP_MEASURE_PERIOD_BROKER_VALUE","DEEP_MEASURE_ID_OVERRIDE",$C259,"DEEP_BROKER_ID_OVERRIDE",P$24,"DEEP_PERIOD_OVERRIDE",$H$19)*1,"")))</f>
        <v/>
      </c>
      <c r="Q259" t="str">
        <f>IF(OR(Q$23="",ISNA($B259)),"",IF(ISBLANK($B259),"",IFERROR(_xll.BDP(TICKER,"DEEP_MEASURE_PERIOD_BROKER_VALUE","DEEP_MEASURE_ID_OVERRIDE",$C259,"DEEP_BROKER_ID_OVERRIDE",Q$24,"DEEP_PERIOD_OVERRIDE",$H$19)*1,"")))</f>
        <v/>
      </c>
      <c r="R259" t="str">
        <f>IF(OR(R$23="",ISNA($B259)),"",IF(ISBLANK($B259),"",IFERROR(_xll.BDP(TICKER,"DEEP_MEASURE_PERIOD_BROKER_VALUE","DEEP_MEASURE_ID_OVERRIDE",$C259,"DEEP_BROKER_ID_OVERRIDE",R$24,"DEEP_PERIOD_OVERRIDE",$H$19)*1,"")))</f>
        <v/>
      </c>
      <c r="S259" t="str">
        <f>IF(OR(S$23="",ISNA($B259)),"",IF(ISBLANK($B259),"",IFERROR(_xll.BDP(TICKER,"DEEP_MEASURE_PERIOD_BROKER_VALUE","DEEP_MEASURE_ID_OVERRIDE",$C259,"DEEP_BROKER_ID_OVERRIDE",S$24,"DEEP_PERIOD_OVERRIDE",$H$19)*1,"")))</f>
        <v/>
      </c>
      <c r="T259" t="str">
        <f>IF(OR(T$23="",ISNA($B259)),"",IF(ISBLANK($B259),"",IFERROR(_xll.BDP(TICKER,"DEEP_MEASURE_PERIOD_BROKER_VALUE","DEEP_MEASURE_ID_OVERRIDE",$C259,"DEEP_BROKER_ID_OVERRIDE",T$24,"DEEP_PERIOD_OVERRIDE",$H$19)*1,"")))</f>
        <v/>
      </c>
      <c r="U259" t="str">
        <f>IF(OR(U$23="",ISNA($B259)),"",IF(ISBLANK($B259),"",IFERROR(_xll.BDP(TICKER,"DEEP_MEASURE_PERIOD_BROKER_VALUE","DEEP_MEASURE_ID_OVERRIDE",$C259,"DEEP_BROKER_ID_OVERRIDE",U$24,"DEEP_PERIOD_OVERRIDE",$H$19)*1,"")))</f>
        <v/>
      </c>
      <c r="V259" t="str">
        <f>IF(OR(V$23="",ISNA($B259)),"",IF(ISBLANK($B259),"",IFERROR(_xll.BDP(TICKER,"DEEP_MEASURE_PERIOD_BROKER_VALUE","DEEP_MEASURE_ID_OVERRIDE",$C259,"DEEP_BROKER_ID_OVERRIDE",V$24,"DEEP_PERIOD_OVERRIDE",$H$19)*1,"")))</f>
        <v/>
      </c>
      <c r="W259" t="str">
        <f>IF(OR(W$23="",ISNA($B259)),"",IF(ISBLANK($B259),"",IFERROR(_xll.BDP(TICKER,"DEEP_MEASURE_PERIOD_BROKER_VALUE","DEEP_MEASURE_ID_OVERRIDE",$C259,"DEEP_BROKER_ID_OVERRIDE",W$24,"DEEP_PERIOD_OVERRIDE",$H$19)*1,"")))</f>
        <v/>
      </c>
      <c r="X259" t="str">
        <f>IF(OR(X$23="",ISNA($B259)),"",IF(ISBLANK($B259),"",IFERROR(_xll.BDP(TICKER,"DEEP_MEASURE_PERIOD_BROKER_VALUE","DEEP_MEASURE_ID_OVERRIDE",$C259,"DEEP_BROKER_ID_OVERRIDE",X$24,"DEEP_PERIOD_OVERRIDE",$H$19)*1,"")))</f>
        <v/>
      </c>
      <c r="Y259" t="str">
        <f>IF(OR(Y$23="",ISNA($B259)),"",IF(ISBLANK($B259),"",IFERROR(_xll.BDP(TICKER,"DEEP_MEASURE_PERIOD_BROKER_VALUE","DEEP_MEASURE_ID_OVERRIDE",$C259,"DEEP_BROKER_ID_OVERRIDE",Y$24,"DEEP_PERIOD_OVERRIDE",$H$19)*1,"")))</f>
        <v/>
      </c>
      <c r="Z259" t="str">
        <f>IF(OR(Z$23="",ISNA($B259)),"",IF(ISBLANK($B259),"",IFERROR(_xll.BDP(TICKER,"DEEP_MEASURE_PERIOD_BROKER_VALUE","DEEP_MEASURE_ID_OVERRIDE",$C259,"DEEP_BROKER_ID_OVERRIDE",Z$24,"DEEP_PERIOD_OVERRIDE",$H$19)*1,"")))</f>
        <v/>
      </c>
      <c r="AA259" t="str">
        <f>IF(OR(AA$23="",ISNA($B259)),"",IF(ISBLANK($B259),"",IFERROR(_xll.BDP(TICKER,"DEEP_MEASURE_PERIOD_BROKER_VALUE","DEEP_MEASURE_ID_OVERRIDE",$C259,"DEEP_BROKER_ID_OVERRIDE",AA$24,"DEEP_PERIOD_OVERRIDE",$H$19)*1,"")))</f>
        <v/>
      </c>
      <c r="AB259" t="str">
        <f>IF(OR(AB$23="",ISNA($B259)),"",IF(ISBLANK($B259),"",IFERROR(_xll.BDP(TICKER,"DEEP_MEASURE_PERIOD_BROKER_VALUE","DEEP_MEASURE_ID_OVERRIDE",$C259,"DEEP_BROKER_ID_OVERRIDE",AB$24,"DEEP_PERIOD_OVERRIDE",$H$19)*1,"")))</f>
        <v/>
      </c>
      <c r="AC259" t="str">
        <f>IF(OR(AC$23="",ISNA($B259)),"",IF(ISBLANK($B259),"",IFERROR(_xll.BDP(TICKER,"DEEP_MEASURE_PERIOD_BROKER_VALUE","DEEP_MEASURE_ID_OVERRIDE",$C259,"DEEP_BROKER_ID_OVERRIDE",AC$24,"DEEP_PERIOD_OVERRIDE",$H$19)*1,"")))</f>
        <v/>
      </c>
      <c r="AD259" t="str">
        <f>IF(OR(AD$23="",ISNA($B259)),"",IF(ISBLANK($B259),"",IFERROR(_xll.BDP(TICKER,"DEEP_MEASURE_PERIOD_BROKER_VALUE","DEEP_MEASURE_ID_OVERRIDE",$C259,"DEEP_BROKER_ID_OVERRIDE",AD$24,"DEEP_PERIOD_OVERRIDE",$H$19)*1,"")))</f>
        <v/>
      </c>
      <c r="AE259" t="str">
        <f>IF(OR(AE$23="",ISNA($B259)),"",IF(ISBLANK($B259),"",IFERROR(_xll.BDP(TICKER,"DEEP_MEASURE_PERIOD_BROKER_VALUE","DEEP_MEASURE_ID_OVERRIDE",$C259,"DEEP_BROKER_ID_OVERRIDE",AE$24,"DEEP_PERIOD_OVERRIDE",$H$19)*1,"")))</f>
        <v/>
      </c>
      <c r="AF259" t="str">
        <f>IF(OR(AF$23="",ISNA($B259)),"",IF(ISBLANK($B259),"",IFERROR(_xll.BDP(TICKER,"DEEP_MEASURE_PERIOD_BROKER_VALUE","DEEP_MEASURE_ID_OVERRIDE",$C259,"DEEP_BROKER_ID_OVERRIDE",AF$24,"DEEP_PERIOD_OVERRIDE",$H$19)*1,"")))</f>
        <v/>
      </c>
      <c r="AG259" t="str">
        <f>IF(OR(AG$23="",ISNA($B259)),"",IF(ISBLANK($B259),"",IFERROR(_xll.BDP(TICKER,"DEEP_MEASURE_PERIOD_BROKER_VALUE","DEEP_MEASURE_ID_OVERRIDE",$C259,"DEEP_BROKER_ID_OVERRIDE",AG$24,"DEEP_PERIOD_OVERRIDE",$H$19)*1,"")))</f>
        <v/>
      </c>
      <c r="AH259" t="str">
        <f>IF(OR(AH$23="",ISNA($B259)),"",IF(ISBLANK($B259),"",IFERROR(_xll.BDP(TICKER,"DEEP_MEASURE_PERIOD_BROKER_VALUE","DEEP_MEASURE_ID_OVERRIDE",$C259,"DEEP_BROKER_ID_OVERRIDE",AH$24,"DEEP_PERIOD_OVERRIDE",$H$19)*1,"")))</f>
        <v/>
      </c>
      <c r="AI259" t="str">
        <f>IF(OR(AI$23="",ISNA($B259)),"",IF(ISBLANK($B259),"",IFERROR(_xll.BDP(TICKER,"DEEP_MEASURE_PERIOD_BROKER_VALUE","DEEP_MEASURE_ID_OVERRIDE",$C259,"DEEP_BROKER_ID_OVERRIDE",AI$24,"DEEP_PERIOD_OVERRIDE",$H$19)*1,"")))</f>
        <v/>
      </c>
      <c r="AJ259" t="str">
        <f>IF(OR(AJ$23="",ISNA($B259)),"",IF(ISBLANK($B259),"",IFERROR(_xll.BDP(TICKER,"DEEP_MEASURE_PERIOD_BROKER_VALUE","DEEP_MEASURE_ID_OVERRIDE",$C259,"DEEP_BROKER_ID_OVERRIDE",AJ$24,"DEEP_PERIOD_OVERRIDE",$H$19)*1,"")))</f>
        <v/>
      </c>
      <c r="AK259" t="str">
        <f>IF(OR(AK$23="",ISNA($B259)),"",IF(ISBLANK($B259),"",IFERROR(_xll.BDP(TICKER,"DEEP_MEASURE_PERIOD_BROKER_VALUE","DEEP_MEASURE_ID_OVERRIDE",$C259,"DEEP_BROKER_ID_OVERRIDE",AK$24,"DEEP_PERIOD_OVERRIDE",$H$19)*1,"")))</f>
        <v/>
      </c>
      <c r="AL259" t="str">
        <f>IF(OR(AL$23="",ISNA($B259)),"",IF(ISBLANK($B259),"",IFERROR(_xll.BDP(TICKER,"DEEP_MEASURE_PERIOD_BROKER_VALUE","DEEP_MEASURE_ID_OVERRIDE",$C259,"DEEP_BROKER_ID_OVERRIDE",AL$24,"DEEP_PERIOD_OVERRIDE",$H$19)*1,"")))</f>
        <v/>
      </c>
      <c r="AM259" t="str">
        <f>IF(OR(AM$23="",ISNA($B259)),"",IF(ISBLANK($B259),"",IFERROR(_xll.BDP(TICKER,"DEEP_MEASURE_PERIOD_BROKER_VALUE","DEEP_MEASURE_ID_OVERRIDE",$C259,"DEEP_BROKER_ID_OVERRIDE",AM$24,"DEEP_PERIOD_OVERRIDE",$H$19)*1,"")))</f>
        <v/>
      </c>
      <c r="AN259" t="str">
        <f>IF(OR(AN$23="",ISNA($B259)),"",IF(ISBLANK($B259),"",IFERROR(_xll.BDP(TICKER,"DEEP_MEASURE_PERIOD_BROKER_VALUE","DEEP_MEASURE_ID_OVERRIDE",$C259,"DEEP_BROKER_ID_OVERRIDE",AN$24,"DEEP_PERIOD_OVERRIDE",$H$19)*1,"")))</f>
        <v/>
      </c>
      <c r="AO259" t="str">
        <f>IF(OR(AO$23="",ISNA($B259)),"",IF(ISBLANK($B259),"",IFERROR(_xll.BDP(TICKER,"DEEP_MEASURE_PERIOD_BROKER_VALUE","DEEP_MEASURE_ID_OVERRIDE",$C259,"DEEP_BROKER_ID_OVERRIDE",AO$24,"DEEP_PERIOD_OVERRIDE",$H$19)*1,"")))</f>
        <v/>
      </c>
      <c r="AP259" t="str">
        <f>IF(OR(AP$23="",ISNA($B259)),"",IF(ISBLANK($B259),"",IFERROR(_xll.BDP(TICKER,"DEEP_MEASURE_PERIOD_BROKER_VALUE","DEEP_MEASURE_ID_OVERRIDE",$C259,"DEEP_BROKER_ID_OVERRIDE",AP$24,"DEEP_PERIOD_OVERRIDE",$H$19)*1,"")))</f>
        <v/>
      </c>
      <c r="AQ259" t="str">
        <f>IF(OR(AQ$23="",ISNA($B259)),"",IF(ISBLANK($B259),"",IFERROR(_xll.BDP(TICKER,"DEEP_MEASURE_PERIOD_BROKER_VALUE","DEEP_MEASURE_ID_OVERRIDE",$C259,"DEEP_BROKER_ID_OVERRIDE",AQ$24,"DEEP_PERIOD_OVERRIDE",$H$19)*1,"")))</f>
        <v/>
      </c>
      <c r="AR259" t="str">
        <f>IF(OR(AR$23="",ISNA($B259)),"",IF(ISBLANK($B259),"",IFERROR(_xll.BDP(TICKER,"DEEP_MEASURE_PERIOD_BROKER_VALUE","DEEP_MEASURE_ID_OVERRIDE",$C259,"DEEP_BROKER_ID_OVERRIDE",AR$24,"DEEP_PERIOD_OVERRIDE",$H$19)*1,"")))</f>
        <v/>
      </c>
      <c r="AS259" t="str">
        <f>IF(OR(AS$23="",ISNA($B259)),"",IF(ISBLANK($B259),"",IFERROR(_xll.BDP(TICKER,"DEEP_MEASURE_PERIOD_BROKER_VALUE","DEEP_MEASURE_ID_OVERRIDE",$C259,"DEEP_BROKER_ID_OVERRIDE",AS$24,"DEEP_PERIOD_OVERRIDE",$H$19)*1,"")))</f>
        <v/>
      </c>
      <c r="AT259" t="str">
        <f>IF(OR(AT$23="",ISNA($B259)),"",IF(ISBLANK($B259),"",IFERROR(_xll.BDP(TICKER,"DEEP_MEASURE_PERIOD_BROKER_VALUE","DEEP_MEASURE_ID_OVERRIDE",$C259,"DEEP_BROKER_ID_OVERRIDE",AT$24,"DEEP_PERIOD_OVERRIDE",$H$19)*1,"")))</f>
        <v/>
      </c>
      <c r="AU259" t="str">
        <f>IF(OR(AU$23="",ISNA($B259)),"",IF(ISBLANK($B259),"",IFERROR(_xll.BDP(TICKER,"DEEP_MEASURE_PERIOD_BROKER_VALUE","DEEP_MEASURE_ID_OVERRIDE",$C259,"DEEP_BROKER_ID_OVERRIDE",AU$24,"DEEP_PERIOD_OVERRIDE",$H$19)*1,"")))</f>
        <v/>
      </c>
      <c r="AV259" t="str">
        <f>IF(OR(AV$23="",ISNA($B259)),"",IF(ISBLANK($B259),"",IFERROR(_xll.BDP(TICKER,"DEEP_MEASURE_PERIOD_BROKER_VALUE","DEEP_MEASURE_ID_OVERRIDE",$C259,"DEEP_BROKER_ID_OVERRIDE",AV$24,"DEEP_PERIOD_OVERRIDE",$H$19)*1,"")))</f>
        <v/>
      </c>
      <c r="AW259" t="str">
        <f>IF(OR(AW$23="",ISNA($B259)),"",IF(ISBLANK($B259),"",IFERROR(_xll.BDP(TICKER,"DEEP_MEASURE_PERIOD_BROKER_VALUE","DEEP_MEASURE_ID_OVERRIDE",$C259,"DEEP_BROKER_ID_OVERRIDE",AW$24,"DEEP_PERIOD_OVERRIDE",$H$19)*1,"")))</f>
        <v/>
      </c>
      <c r="AX259" t="str">
        <f>IF(OR(AX$23="",ISNA($B259)),"",IF(ISBLANK($B259),"",IFERROR(_xll.BDP(TICKER,"DEEP_MEASURE_PERIOD_BROKER_VALUE","DEEP_MEASURE_ID_OVERRIDE",$C259,"DEEP_BROKER_ID_OVERRIDE",AX$24,"DEEP_PERIOD_OVERRIDE",$H$19)*1,"")))</f>
        <v/>
      </c>
      <c r="AY259" t="str">
        <f>IF(OR(AY$23="",ISNA($B259)),"",IF(ISBLANK($B259),"",IFERROR(_xll.BDP(TICKER,"DEEP_MEASURE_PERIOD_BROKER_VALUE","DEEP_MEASURE_ID_OVERRIDE",$C259,"DEEP_BROKER_ID_OVERRIDE",AY$24,"DEEP_PERIOD_OVERRIDE",$H$19)*1,"")))</f>
        <v/>
      </c>
      <c r="AZ259" t="str">
        <f>IF(OR(AZ$23="",ISNA($B259)),"",IF(ISBLANK($B259),"",IFERROR(_xll.BDP(TICKER,"DEEP_MEASURE_PERIOD_BROKER_VALUE","DEEP_MEASURE_ID_OVERRIDE",$C259,"DEEP_BROKER_ID_OVERRIDE",AZ$24,"DEEP_PERIOD_OVERRIDE",$H$19)*1,"")))</f>
        <v/>
      </c>
      <c r="BA259" t="str">
        <f>IF(OR(BA$23="",ISNA($B259)),"",IF(ISBLANK($B259),"",IFERROR(_xll.BDP(TICKER,"DEEP_MEASURE_PERIOD_BROKER_VALUE","DEEP_MEASURE_ID_OVERRIDE",$C259,"DEEP_BROKER_ID_OVERRIDE",BA$24,"DEEP_PERIOD_OVERRIDE",$H$19)*1,"")))</f>
        <v/>
      </c>
      <c r="BB259" t="str">
        <f>IF(OR(BB$23="",ISNA($B259)),"",IF(ISBLANK($B259),"",IFERROR(_xll.BDP(TICKER,"DEEP_MEASURE_PERIOD_BROKER_VALUE","DEEP_MEASURE_ID_OVERRIDE",$C259,"DEEP_BROKER_ID_OVERRIDE",BB$24,"DEEP_PERIOD_OVERRIDE",$H$19)*1,"")))</f>
        <v/>
      </c>
      <c r="BC259" t="str">
        <f>IF(OR(BC$23="",ISNA($B259)),"",IF(ISBLANK($B259),"",IFERROR(_xll.BDP(TICKER,"DEEP_MEASURE_PERIOD_BROKER_VALUE","DEEP_MEASURE_ID_OVERRIDE",$C259,"DEEP_BROKER_ID_OVERRIDE",BC$24,"DEEP_PERIOD_OVERRIDE",$H$19)*1,"")))</f>
        <v/>
      </c>
      <c r="BD259" t="str">
        <f>IF(OR(BD$23="",ISNA($B259)),"",IF(ISBLANK($B259),"",IFERROR(_xll.BDP(TICKER,"DEEP_MEASURE_PERIOD_BROKER_VALUE","DEEP_MEASURE_ID_OVERRIDE",$C259,"DEEP_BROKER_ID_OVERRIDE",BD$24,"DEEP_PERIOD_OVERRIDE",$H$19)*1,"")))</f>
        <v/>
      </c>
      <c r="BE259" t="str">
        <f>IF(OR(BE$23="",ISNA($B259)),"",IF(ISBLANK($B259),"",IFERROR(_xll.BDP(TICKER,"DEEP_MEASURE_PERIOD_BROKER_VALUE","DEEP_MEASURE_ID_OVERRIDE",$C259,"DEEP_BROKER_ID_OVERRIDE",BE$24,"DEEP_PERIOD_OVERRIDE",$H$19)*1,"")))</f>
        <v/>
      </c>
      <c r="BF259" t="str">
        <f>IF(OR(BF$23="",ISNA($B259)),"",IF(ISBLANK($B259),"",IFERROR(_xll.BDP(TICKER,"DEEP_MEASURE_PERIOD_BROKER_VALUE","DEEP_MEASURE_ID_OVERRIDE",$C259,"DEEP_BROKER_ID_OVERRIDE",BF$24,"DEEP_PERIOD_OVERRIDE",$H$19)*1,"")))</f>
        <v/>
      </c>
      <c r="BG259" t="str">
        <f>IF(OR(BG$23="",ISNA($B259)),"",IF(ISBLANK($B259),"",IFERROR(_xll.BDP(TICKER,"DEEP_MEASURE_PERIOD_BROKER_VALUE","DEEP_MEASURE_ID_OVERRIDE",$C259,"DEEP_BROKER_ID_OVERRIDE",BG$24,"DEEP_PERIOD_OVERRIDE",$H$19)*1,"")))</f>
        <v/>
      </c>
      <c r="BH259" t="str">
        <f>IF(OR(BH$23="",ISNA($B259)),"",IF(ISBLANK($B259),"",IFERROR(_xll.BDP(TICKER,"DEEP_MEASURE_PERIOD_BROKER_VALUE","DEEP_MEASURE_ID_OVERRIDE",$C259,"DEEP_BROKER_ID_OVERRIDE",BH$24,"DEEP_PERIOD_OVERRIDE",$H$19)*1,"")))</f>
        <v/>
      </c>
      <c r="BI259" t="str">
        <f>IF(OR(BI$23="",ISNA($B259)),"",IF(ISBLANK($B259),"",IFERROR(_xll.BDP(TICKER,"DEEP_MEASURE_PERIOD_BROKER_VALUE","DEEP_MEASURE_ID_OVERRIDE",$C259,"DEEP_BROKER_ID_OVERRIDE",BI$24,"DEEP_PERIOD_OVERRIDE",$H$19)*1,"")))</f>
        <v/>
      </c>
      <c r="BJ259" t="str">
        <f>IF(OR(BJ$23="",ISNA($B259)),"",IF(ISBLANK($B259),"",IFERROR(_xll.BDP(TICKER,"DEEP_MEASURE_PERIOD_BROKER_VALUE","DEEP_MEASURE_ID_OVERRIDE",$C259,"DEEP_BROKER_ID_OVERRIDE",BJ$24,"DEEP_PERIOD_OVERRIDE",$H$19)*1,"")))</f>
        <v/>
      </c>
      <c r="BK259" t="str">
        <f>IF(OR(BK$23="",ISNA($B259)),"",IF(ISBLANK($B259),"",IFERROR(_xll.BDP(TICKER,"DEEP_MEASURE_PERIOD_BROKER_VALUE","DEEP_MEASURE_ID_OVERRIDE",$C259,"DEEP_BROKER_ID_OVERRIDE",BK$24,"DEEP_PERIOD_OVERRIDE",$H$19)*1,"")))</f>
        <v/>
      </c>
      <c r="BL259" t="str">
        <f>IF(OR(BL$23="",ISNA($B259)),"",IF(ISBLANK($B259),"",IFERROR(_xll.BDP(TICKER,"DEEP_MEASURE_PERIOD_BROKER_VALUE","DEEP_MEASURE_ID_OVERRIDE",$C259,"DEEP_BROKER_ID_OVERRIDE",BL$24,"DEEP_PERIOD_OVERRIDE",$H$19)*1,"")))</f>
        <v/>
      </c>
      <c r="BM259" t="str">
        <f>IF(OR(BM$23="",ISNA($B259)),"",IF(ISBLANK($B259),"",IFERROR(_xll.BDP(TICKER,"DEEP_MEASURE_PERIOD_BROKER_VALUE","DEEP_MEASURE_ID_OVERRIDE",$C259,"DEEP_BROKER_ID_OVERRIDE",BM$24,"DEEP_PERIOD_OVERRIDE",$H$19)*1,"")))</f>
        <v/>
      </c>
      <c r="BN259" t="str">
        <f>IF(OR(BN$23="",ISNA($B259)),"",IF(ISBLANK($B259),"",IFERROR(_xll.BDP(TICKER,"DEEP_MEASURE_PERIOD_BROKER_VALUE","DEEP_MEASURE_ID_OVERRIDE",$C259,"DEEP_BROKER_ID_OVERRIDE",BN$24,"DEEP_PERIOD_OVERRIDE",$H$19)*1,"")))</f>
        <v/>
      </c>
      <c r="BO259" t="str">
        <f>IF(OR(BO$23="",ISNA($B259)),"",IF(ISBLANK($B259),"",IFERROR(_xll.BDP(TICKER,"DEEP_MEASURE_PERIOD_BROKER_VALUE","DEEP_MEASURE_ID_OVERRIDE",$C259,"DEEP_BROKER_ID_OVERRIDE",BO$24,"DEEP_PERIOD_OVERRIDE",$H$19)*1,"")))</f>
        <v/>
      </c>
      <c r="BP259" t="str">
        <f>IF(OR(BP$23="",ISNA($B259)),"",IF(ISBLANK($B259),"",IFERROR(_xll.BDP(TICKER,"DEEP_MEASURE_PERIOD_BROKER_VALUE","DEEP_MEASURE_ID_OVERRIDE",$C259,"DEEP_BROKER_ID_OVERRIDE",BP$24,"DEEP_PERIOD_OVERRIDE",$H$19)*1,"")))</f>
        <v/>
      </c>
      <c r="BQ259" t="str">
        <f>IF(OR(BQ$23="",ISNA($B259)),"",IF(ISBLANK($B259),"",IFERROR(_xll.BDP(TICKER,"DEEP_MEASURE_PERIOD_BROKER_VALUE","DEEP_MEASURE_ID_OVERRIDE",$C259,"DEEP_BROKER_ID_OVERRIDE",BQ$24,"DEEP_PERIOD_OVERRIDE",$H$19)*1,"")))</f>
        <v/>
      </c>
      <c r="BR259" t="str">
        <f>IF(OR(BR$23="",ISNA($B259)),"",IF(ISBLANK($B259),"",IFERROR(_xll.BDP(TICKER,"DEEP_MEASURE_PERIOD_BROKER_VALUE","DEEP_MEASURE_ID_OVERRIDE",$C259,"DEEP_BROKER_ID_OVERRIDE",BR$24,"DEEP_PERIOD_OVERRIDE",$H$19)*1,"")))</f>
        <v/>
      </c>
      <c r="BS259" t="str">
        <f>IF(OR(BS$23="",ISNA($B259)),"",IF(ISBLANK($B259),"",IFERROR(_xll.BDP(TICKER,"DEEP_MEASURE_PERIOD_BROKER_VALUE","DEEP_MEASURE_ID_OVERRIDE",$C259,"DEEP_BROKER_ID_OVERRIDE",BS$24,"DEEP_PERIOD_OVERRIDE",$H$19)*1,"")))</f>
        <v/>
      </c>
      <c r="BT259" t="str">
        <f>IF(OR(BT$23="",ISNA($B259)),"",IF(ISBLANK($B259),"",IFERROR(_xll.BDP(TICKER,"DEEP_MEASURE_PERIOD_BROKER_VALUE","DEEP_MEASURE_ID_OVERRIDE",$C259,"DEEP_BROKER_ID_OVERRIDE",BT$24,"DEEP_PERIOD_OVERRIDE",$H$19)*1,"")))</f>
        <v/>
      </c>
      <c r="BU259" t="str">
        <f>IF(OR(BU$23="",ISNA($B259)),"",IF(ISBLANK($B259),"",IFERROR(_xll.BDP(TICKER,"DEEP_MEASURE_PERIOD_BROKER_VALUE","DEEP_MEASURE_ID_OVERRIDE",$C259,"DEEP_BROKER_ID_OVERRIDE",BU$24,"DEEP_PERIOD_OVERRIDE",$H$19)*1,"")))</f>
        <v/>
      </c>
      <c r="BV259" t="str">
        <f>IF(OR(BV$23="",ISNA($B259)),"",IF(ISBLANK($B259),"",IFERROR(_xll.BDP(TICKER,"DEEP_MEASURE_PERIOD_BROKER_VALUE","DEEP_MEASURE_ID_OVERRIDE",$C259,"DEEP_BROKER_ID_OVERRIDE",BV$24,"DEEP_PERIOD_OVERRIDE",$H$19)*1,"")))</f>
        <v/>
      </c>
      <c r="BW259" t="str">
        <f>IF(OR(BW$23="",ISNA($B259)),"",IF(ISBLANK($B259),"",IFERROR(_xll.BDP(TICKER,"DEEP_MEASURE_PERIOD_BROKER_VALUE","DEEP_MEASURE_ID_OVERRIDE",$C259,"DEEP_BROKER_ID_OVERRIDE",BW$24,"DEEP_PERIOD_OVERRIDE",$H$19)*1,"")))</f>
        <v/>
      </c>
      <c r="BX259" t="str">
        <f>IF(OR(BX$23="",ISNA($B259)),"",IF(ISBLANK($B259),"",IFERROR(_xll.BDP(TICKER,"DEEP_MEASURE_PERIOD_BROKER_VALUE","DEEP_MEASURE_ID_OVERRIDE",$C259,"DEEP_BROKER_ID_OVERRIDE",BX$24,"DEEP_PERIOD_OVERRIDE",$H$19)*1,"")))</f>
        <v/>
      </c>
      <c r="BY259" t="str">
        <f>IF(OR(BY$23="",ISNA($B259)),"",IF(ISBLANK($B259),"",IFERROR(_xll.BDP(TICKER,"DEEP_MEASURE_PERIOD_BROKER_VALUE","DEEP_MEASURE_ID_OVERRIDE",$C259,"DEEP_BROKER_ID_OVERRIDE",BY$24,"DEEP_PERIOD_OVERRIDE",$H$19)*1,"")))</f>
        <v/>
      </c>
      <c r="BZ259" t="str">
        <f>IF(OR(BZ$23="",ISNA($B259)),"",IF(ISBLANK($B259),"",IFERROR(_xll.BDP(TICKER,"DEEP_MEASURE_PERIOD_BROKER_VALUE","DEEP_MEASURE_ID_OVERRIDE",$C259,"DEEP_BROKER_ID_OVERRIDE",BZ$24,"DEEP_PERIOD_OVERRIDE",$H$19)*1,"")))</f>
        <v/>
      </c>
    </row>
    <row r="260" spans="8:78" x14ac:dyDescent="0.25">
      <c r="H260" t="str">
        <f t="shared" si="4"/>
        <v/>
      </c>
      <c r="I260" t="str">
        <f>IF(OR(I$23="",ISNA($B260)),"",IF(ISBLANK($B260),"",IFERROR(_xll.BDP(TICKER,"DEEP_MEASURE_PERIOD_BROKER_VALUE","DEEP_MEASURE_ID_OVERRIDE",$C260,"DEEP_PERIOD_OVERRIDE",$H$19)*1,"")))</f>
        <v/>
      </c>
      <c r="J260" t="e">
        <f>IF(OR(J$23="",ISNA($B260)),"",IF(ISBLANK($B260),"",IFERROR(_xll.BDP(TICKER,"DEEP_MEASURE_PERIOD_BROKER_VALUE","DEEP_MEASURE_ID_OVERRIDE",$C260,"DEEP_BROKER_ID_OVERRIDE",J$24,"DEEP_PERIOD_OVERRIDE",$H$19)*1,"")))</f>
        <v>#REF!</v>
      </c>
      <c r="K260" t="str">
        <f>IF(OR(K$23="",ISNA($B260)),"",IF(ISBLANK($B260),"",IFERROR(_xll.BDP(TICKER,"DEEP_MEASURE_PERIOD_BROKER_VALUE","DEEP_MEASURE_ID_OVERRIDE",$C260,"DEEP_BROKER_ID_OVERRIDE",K$24,"DEEP_PERIOD_OVERRIDE",$H$19)*1,"")))</f>
        <v/>
      </c>
      <c r="L260" t="str">
        <f>IF(OR(L$23="",ISNA($B260)),"",IF(ISBLANK($B260),"",IFERROR(_xll.BDP(TICKER,"DEEP_MEASURE_PERIOD_BROKER_VALUE","DEEP_MEASURE_ID_OVERRIDE",$C260,"DEEP_BROKER_ID_OVERRIDE",L$24,"DEEP_PERIOD_OVERRIDE",$H$19)*1,"")))</f>
        <v/>
      </c>
      <c r="M260" t="str">
        <f>IF(OR(M$23="",ISNA($B260)),"",IF(ISBLANK($B260),"",IFERROR(_xll.BDP(TICKER,"DEEP_MEASURE_PERIOD_BROKER_VALUE","DEEP_MEASURE_ID_OVERRIDE",$C260,"DEEP_BROKER_ID_OVERRIDE",M$24,"DEEP_PERIOD_OVERRIDE",$H$19)*1,"")))</f>
        <v/>
      </c>
      <c r="N260" t="str">
        <f>IF(OR(N$23="",ISNA($B260)),"",IF(ISBLANK($B260),"",IFERROR(_xll.BDP(TICKER,"DEEP_MEASURE_PERIOD_BROKER_VALUE","DEEP_MEASURE_ID_OVERRIDE",$C260,"DEEP_BROKER_ID_OVERRIDE",N$24,"DEEP_PERIOD_OVERRIDE",$H$19)*1,"")))</f>
        <v/>
      </c>
      <c r="O260" t="str">
        <f>IF(OR(O$23="",ISNA($B260)),"",IF(ISBLANK($B260),"",IFERROR(_xll.BDP(TICKER,"DEEP_MEASURE_PERIOD_BROKER_VALUE","DEEP_MEASURE_ID_OVERRIDE",$C260,"DEEP_BROKER_ID_OVERRIDE",O$24,"DEEP_PERIOD_OVERRIDE",$H$19)*1,"")))</f>
        <v/>
      </c>
      <c r="P260" t="str">
        <f>IF(OR(P$23="",ISNA($B260)),"",IF(ISBLANK($B260),"",IFERROR(_xll.BDP(TICKER,"DEEP_MEASURE_PERIOD_BROKER_VALUE","DEEP_MEASURE_ID_OVERRIDE",$C260,"DEEP_BROKER_ID_OVERRIDE",P$24,"DEEP_PERIOD_OVERRIDE",$H$19)*1,"")))</f>
        <v/>
      </c>
      <c r="Q260" t="str">
        <f>IF(OR(Q$23="",ISNA($B260)),"",IF(ISBLANK($B260),"",IFERROR(_xll.BDP(TICKER,"DEEP_MEASURE_PERIOD_BROKER_VALUE","DEEP_MEASURE_ID_OVERRIDE",$C260,"DEEP_BROKER_ID_OVERRIDE",Q$24,"DEEP_PERIOD_OVERRIDE",$H$19)*1,"")))</f>
        <v/>
      </c>
      <c r="R260" t="str">
        <f>IF(OR(R$23="",ISNA($B260)),"",IF(ISBLANK($B260),"",IFERROR(_xll.BDP(TICKER,"DEEP_MEASURE_PERIOD_BROKER_VALUE","DEEP_MEASURE_ID_OVERRIDE",$C260,"DEEP_BROKER_ID_OVERRIDE",R$24,"DEEP_PERIOD_OVERRIDE",$H$19)*1,"")))</f>
        <v/>
      </c>
      <c r="S260" t="str">
        <f>IF(OR(S$23="",ISNA($B260)),"",IF(ISBLANK($B260),"",IFERROR(_xll.BDP(TICKER,"DEEP_MEASURE_PERIOD_BROKER_VALUE","DEEP_MEASURE_ID_OVERRIDE",$C260,"DEEP_BROKER_ID_OVERRIDE",S$24,"DEEP_PERIOD_OVERRIDE",$H$19)*1,"")))</f>
        <v/>
      </c>
      <c r="T260" t="str">
        <f>IF(OR(T$23="",ISNA($B260)),"",IF(ISBLANK($B260),"",IFERROR(_xll.BDP(TICKER,"DEEP_MEASURE_PERIOD_BROKER_VALUE","DEEP_MEASURE_ID_OVERRIDE",$C260,"DEEP_BROKER_ID_OVERRIDE",T$24,"DEEP_PERIOD_OVERRIDE",$H$19)*1,"")))</f>
        <v/>
      </c>
      <c r="U260" t="str">
        <f>IF(OR(U$23="",ISNA($B260)),"",IF(ISBLANK($B260),"",IFERROR(_xll.BDP(TICKER,"DEEP_MEASURE_PERIOD_BROKER_VALUE","DEEP_MEASURE_ID_OVERRIDE",$C260,"DEEP_BROKER_ID_OVERRIDE",U$24,"DEEP_PERIOD_OVERRIDE",$H$19)*1,"")))</f>
        <v/>
      </c>
      <c r="V260" t="str">
        <f>IF(OR(V$23="",ISNA($B260)),"",IF(ISBLANK($B260),"",IFERROR(_xll.BDP(TICKER,"DEEP_MEASURE_PERIOD_BROKER_VALUE","DEEP_MEASURE_ID_OVERRIDE",$C260,"DEEP_BROKER_ID_OVERRIDE",V$24,"DEEP_PERIOD_OVERRIDE",$H$19)*1,"")))</f>
        <v/>
      </c>
      <c r="W260" t="str">
        <f>IF(OR(W$23="",ISNA($B260)),"",IF(ISBLANK($B260),"",IFERROR(_xll.BDP(TICKER,"DEEP_MEASURE_PERIOD_BROKER_VALUE","DEEP_MEASURE_ID_OVERRIDE",$C260,"DEEP_BROKER_ID_OVERRIDE",W$24,"DEEP_PERIOD_OVERRIDE",$H$19)*1,"")))</f>
        <v/>
      </c>
      <c r="X260" t="str">
        <f>IF(OR(X$23="",ISNA($B260)),"",IF(ISBLANK($B260),"",IFERROR(_xll.BDP(TICKER,"DEEP_MEASURE_PERIOD_BROKER_VALUE","DEEP_MEASURE_ID_OVERRIDE",$C260,"DEEP_BROKER_ID_OVERRIDE",X$24,"DEEP_PERIOD_OVERRIDE",$H$19)*1,"")))</f>
        <v/>
      </c>
      <c r="Y260" t="str">
        <f>IF(OR(Y$23="",ISNA($B260)),"",IF(ISBLANK($B260),"",IFERROR(_xll.BDP(TICKER,"DEEP_MEASURE_PERIOD_BROKER_VALUE","DEEP_MEASURE_ID_OVERRIDE",$C260,"DEEP_BROKER_ID_OVERRIDE",Y$24,"DEEP_PERIOD_OVERRIDE",$H$19)*1,"")))</f>
        <v/>
      </c>
      <c r="Z260" t="str">
        <f>IF(OR(Z$23="",ISNA($B260)),"",IF(ISBLANK($B260),"",IFERROR(_xll.BDP(TICKER,"DEEP_MEASURE_PERIOD_BROKER_VALUE","DEEP_MEASURE_ID_OVERRIDE",$C260,"DEEP_BROKER_ID_OVERRIDE",Z$24,"DEEP_PERIOD_OVERRIDE",$H$19)*1,"")))</f>
        <v/>
      </c>
      <c r="AA260" t="str">
        <f>IF(OR(AA$23="",ISNA($B260)),"",IF(ISBLANK($B260),"",IFERROR(_xll.BDP(TICKER,"DEEP_MEASURE_PERIOD_BROKER_VALUE","DEEP_MEASURE_ID_OVERRIDE",$C260,"DEEP_BROKER_ID_OVERRIDE",AA$24,"DEEP_PERIOD_OVERRIDE",$H$19)*1,"")))</f>
        <v/>
      </c>
      <c r="AB260" t="str">
        <f>IF(OR(AB$23="",ISNA($B260)),"",IF(ISBLANK($B260),"",IFERROR(_xll.BDP(TICKER,"DEEP_MEASURE_PERIOD_BROKER_VALUE","DEEP_MEASURE_ID_OVERRIDE",$C260,"DEEP_BROKER_ID_OVERRIDE",AB$24,"DEEP_PERIOD_OVERRIDE",$H$19)*1,"")))</f>
        <v/>
      </c>
      <c r="AC260" t="str">
        <f>IF(OR(AC$23="",ISNA($B260)),"",IF(ISBLANK($B260),"",IFERROR(_xll.BDP(TICKER,"DEEP_MEASURE_PERIOD_BROKER_VALUE","DEEP_MEASURE_ID_OVERRIDE",$C260,"DEEP_BROKER_ID_OVERRIDE",AC$24,"DEEP_PERIOD_OVERRIDE",$H$19)*1,"")))</f>
        <v/>
      </c>
      <c r="AD260" t="str">
        <f>IF(OR(AD$23="",ISNA($B260)),"",IF(ISBLANK($B260),"",IFERROR(_xll.BDP(TICKER,"DEEP_MEASURE_PERIOD_BROKER_VALUE","DEEP_MEASURE_ID_OVERRIDE",$C260,"DEEP_BROKER_ID_OVERRIDE",AD$24,"DEEP_PERIOD_OVERRIDE",$H$19)*1,"")))</f>
        <v/>
      </c>
      <c r="AE260" t="str">
        <f>IF(OR(AE$23="",ISNA($B260)),"",IF(ISBLANK($B260),"",IFERROR(_xll.BDP(TICKER,"DEEP_MEASURE_PERIOD_BROKER_VALUE","DEEP_MEASURE_ID_OVERRIDE",$C260,"DEEP_BROKER_ID_OVERRIDE",AE$24,"DEEP_PERIOD_OVERRIDE",$H$19)*1,"")))</f>
        <v/>
      </c>
      <c r="AF260" t="str">
        <f>IF(OR(AF$23="",ISNA($B260)),"",IF(ISBLANK($B260),"",IFERROR(_xll.BDP(TICKER,"DEEP_MEASURE_PERIOD_BROKER_VALUE","DEEP_MEASURE_ID_OVERRIDE",$C260,"DEEP_BROKER_ID_OVERRIDE",AF$24,"DEEP_PERIOD_OVERRIDE",$H$19)*1,"")))</f>
        <v/>
      </c>
      <c r="AG260" t="str">
        <f>IF(OR(AG$23="",ISNA($B260)),"",IF(ISBLANK($B260),"",IFERROR(_xll.BDP(TICKER,"DEEP_MEASURE_PERIOD_BROKER_VALUE","DEEP_MEASURE_ID_OVERRIDE",$C260,"DEEP_BROKER_ID_OVERRIDE",AG$24,"DEEP_PERIOD_OVERRIDE",$H$19)*1,"")))</f>
        <v/>
      </c>
      <c r="AH260" t="str">
        <f>IF(OR(AH$23="",ISNA($B260)),"",IF(ISBLANK($B260),"",IFERROR(_xll.BDP(TICKER,"DEEP_MEASURE_PERIOD_BROKER_VALUE","DEEP_MEASURE_ID_OVERRIDE",$C260,"DEEP_BROKER_ID_OVERRIDE",AH$24,"DEEP_PERIOD_OVERRIDE",$H$19)*1,"")))</f>
        <v/>
      </c>
      <c r="AI260" t="str">
        <f>IF(OR(AI$23="",ISNA($B260)),"",IF(ISBLANK($B260),"",IFERROR(_xll.BDP(TICKER,"DEEP_MEASURE_PERIOD_BROKER_VALUE","DEEP_MEASURE_ID_OVERRIDE",$C260,"DEEP_BROKER_ID_OVERRIDE",AI$24,"DEEP_PERIOD_OVERRIDE",$H$19)*1,"")))</f>
        <v/>
      </c>
      <c r="AJ260" t="str">
        <f>IF(OR(AJ$23="",ISNA($B260)),"",IF(ISBLANK($B260),"",IFERROR(_xll.BDP(TICKER,"DEEP_MEASURE_PERIOD_BROKER_VALUE","DEEP_MEASURE_ID_OVERRIDE",$C260,"DEEP_BROKER_ID_OVERRIDE",AJ$24,"DEEP_PERIOD_OVERRIDE",$H$19)*1,"")))</f>
        <v/>
      </c>
      <c r="AK260" t="str">
        <f>IF(OR(AK$23="",ISNA($B260)),"",IF(ISBLANK($B260),"",IFERROR(_xll.BDP(TICKER,"DEEP_MEASURE_PERIOD_BROKER_VALUE","DEEP_MEASURE_ID_OVERRIDE",$C260,"DEEP_BROKER_ID_OVERRIDE",AK$24,"DEEP_PERIOD_OVERRIDE",$H$19)*1,"")))</f>
        <v/>
      </c>
      <c r="AL260" t="str">
        <f>IF(OR(AL$23="",ISNA($B260)),"",IF(ISBLANK($B260),"",IFERROR(_xll.BDP(TICKER,"DEEP_MEASURE_PERIOD_BROKER_VALUE","DEEP_MEASURE_ID_OVERRIDE",$C260,"DEEP_BROKER_ID_OVERRIDE",AL$24,"DEEP_PERIOD_OVERRIDE",$H$19)*1,"")))</f>
        <v/>
      </c>
      <c r="AM260" t="str">
        <f>IF(OR(AM$23="",ISNA($B260)),"",IF(ISBLANK($B260),"",IFERROR(_xll.BDP(TICKER,"DEEP_MEASURE_PERIOD_BROKER_VALUE","DEEP_MEASURE_ID_OVERRIDE",$C260,"DEEP_BROKER_ID_OVERRIDE",AM$24,"DEEP_PERIOD_OVERRIDE",$H$19)*1,"")))</f>
        <v/>
      </c>
      <c r="AN260" t="str">
        <f>IF(OR(AN$23="",ISNA($B260)),"",IF(ISBLANK($B260),"",IFERROR(_xll.BDP(TICKER,"DEEP_MEASURE_PERIOD_BROKER_VALUE","DEEP_MEASURE_ID_OVERRIDE",$C260,"DEEP_BROKER_ID_OVERRIDE",AN$24,"DEEP_PERIOD_OVERRIDE",$H$19)*1,"")))</f>
        <v/>
      </c>
      <c r="AO260" t="str">
        <f>IF(OR(AO$23="",ISNA($B260)),"",IF(ISBLANK($B260),"",IFERROR(_xll.BDP(TICKER,"DEEP_MEASURE_PERIOD_BROKER_VALUE","DEEP_MEASURE_ID_OVERRIDE",$C260,"DEEP_BROKER_ID_OVERRIDE",AO$24,"DEEP_PERIOD_OVERRIDE",$H$19)*1,"")))</f>
        <v/>
      </c>
      <c r="AP260" t="str">
        <f>IF(OR(AP$23="",ISNA($B260)),"",IF(ISBLANK($B260),"",IFERROR(_xll.BDP(TICKER,"DEEP_MEASURE_PERIOD_BROKER_VALUE","DEEP_MEASURE_ID_OVERRIDE",$C260,"DEEP_BROKER_ID_OVERRIDE",AP$24,"DEEP_PERIOD_OVERRIDE",$H$19)*1,"")))</f>
        <v/>
      </c>
      <c r="AQ260" t="str">
        <f>IF(OR(AQ$23="",ISNA($B260)),"",IF(ISBLANK($B260),"",IFERROR(_xll.BDP(TICKER,"DEEP_MEASURE_PERIOD_BROKER_VALUE","DEEP_MEASURE_ID_OVERRIDE",$C260,"DEEP_BROKER_ID_OVERRIDE",AQ$24,"DEEP_PERIOD_OVERRIDE",$H$19)*1,"")))</f>
        <v/>
      </c>
      <c r="AR260" t="str">
        <f>IF(OR(AR$23="",ISNA($B260)),"",IF(ISBLANK($B260),"",IFERROR(_xll.BDP(TICKER,"DEEP_MEASURE_PERIOD_BROKER_VALUE","DEEP_MEASURE_ID_OVERRIDE",$C260,"DEEP_BROKER_ID_OVERRIDE",AR$24,"DEEP_PERIOD_OVERRIDE",$H$19)*1,"")))</f>
        <v/>
      </c>
      <c r="AS260" t="str">
        <f>IF(OR(AS$23="",ISNA($B260)),"",IF(ISBLANK($B260),"",IFERROR(_xll.BDP(TICKER,"DEEP_MEASURE_PERIOD_BROKER_VALUE","DEEP_MEASURE_ID_OVERRIDE",$C260,"DEEP_BROKER_ID_OVERRIDE",AS$24,"DEEP_PERIOD_OVERRIDE",$H$19)*1,"")))</f>
        <v/>
      </c>
      <c r="AT260" t="str">
        <f>IF(OR(AT$23="",ISNA($B260)),"",IF(ISBLANK($B260),"",IFERROR(_xll.BDP(TICKER,"DEEP_MEASURE_PERIOD_BROKER_VALUE","DEEP_MEASURE_ID_OVERRIDE",$C260,"DEEP_BROKER_ID_OVERRIDE",AT$24,"DEEP_PERIOD_OVERRIDE",$H$19)*1,"")))</f>
        <v/>
      </c>
      <c r="AU260" t="str">
        <f>IF(OR(AU$23="",ISNA($B260)),"",IF(ISBLANK($B260),"",IFERROR(_xll.BDP(TICKER,"DEEP_MEASURE_PERIOD_BROKER_VALUE","DEEP_MEASURE_ID_OVERRIDE",$C260,"DEEP_BROKER_ID_OVERRIDE",AU$24,"DEEP_PERIOD_OVERRIDE",$H$19)*1,"")))</f>
        <v/>
      </c>
      <c r="AV260" t="str">
        <f>IF(OR(AV$23="",ISNA($B260)),"",IF(ISBLANK($B260),"",IFERROR(_xll.BDP(TICKER,"DEEP_MEASURE_PERIOD_BROKER_VALUE","DEEP_MEASURE_ID_OVERRIDE",$C260,"DEEP_BROKER_ID_OVERRIDE",AV$24,"DEEP_PERIOD_OVERRIDE",$H$19)*1,"")))</f>
        <v/>
      </c>
      <c r="AW260" t="str">
        <f>IF(OR(AW$23="",ISNA($B260)),"",IF(ISBLANK($B260),"",IFERROR(_xll.BDP(TICKER,"DEEP_MEASURE_PERIOD_BROKER_VALUE","DEEP_MEASURE_ID_OVERRIDE",$C260,"DEEP_BROKER_ID_OVERRIDE",AW$24,"DEEP_PERIOD_OVERRIDE",$H$19)*1,"")))</f>
        <v/>
      </c>
      <c r="AX260" t="str">
        <f>IF(OR(AX$23="",ISNA($B260)),"",IF(ISBLANK($B260),"",IFERROR(_xll.BDP(TICKER,"DEEP_MEASURE_PERIOD_BROKER_VALUE","DEEP_MEASURE_ID_OVERRIDE",$C260,"DEEP_BROKER_ID_OVERRIDE",AX$24,"DEEP_PERIOD_OVERRIDE",$H$19)*1,"")))</f>
        <v/>
      </c>
      <c r="AY260" t="str">
        <f>IF(OR(AY$23="",ISNA($B260)),"",IF(ISBLANK($B260),"",IFERROR(_xll.BDP(TICKER,"DEEP_MEASURE_PERIOD_BROKER_VALUE","DEEP_MEASURE_ID_OVERRIDE",$C260,"DEEP_BROKER_ID_OVERRIDE",AY$24,"DEEP_PERIOD_OVERRIDE",$H$19)*1,"")))</f>
        <v/>
      </c>
      <c r="AZ260" t="str">
        <f>IF(OR(AZ$23="",ISNA($B260)),"",IF(ISBLANK($B260),"",IFERROR(_xll.BDP(TICKER,"DEEP_MEASURE_PERIOD_BROKER_VALUE","DEEP_MEASURE_ID_OVERRIDE",$C260,"DEEP_BROKER_ID_OVERRIDE",AZ$24,"DEEP_PERIOD_OVERRIDE",$H$19)*1,"")))</f>
        <v/>
      </c>
      <c r="BA260" t="str">
        <f>IF(OR(BA$23="",ISNA($B260)),"",IF(ISBLANK($B260),"",IFERROR(_xll.BDP(TICKER,"DEEP_MEASURE_PERIOD_BROKER_VALUE","DEEP_MEASURE_ID_OVERRIDE",$C260,"DEEP_BROKER_ID_OVERRIDE",BA$24,"DEEP_PERIOD_OVERRIDE",$H$19)*1,"")))</f>
        <v/>
      </c>
      <c r="BB260" t="str">
        <f>IF(OR(BB$23="",ISNA($B260)),"",IF(ISBLANK($B260),"",IFERROR(_xll.BDP(TICKER,"DEEP_MEASURE_PERIOD_BROKER_VALUE","DEEP_MEASURE_ID_OVERRIDE",$C260,"DEEP_BROKER_ID_OVERRIDE",BB$24,"DEEP_PERIOD_OVERRIDE",$H$19)*1,"")))</f>
        <v/>
      </c>
      <c r="BC260" t="str">
        <f>IF(OR(BC$23="",ISNA($B260)),"",IF(ISBLANK($B260),"",IFERROR(_xll.BDP(TICKER,"DEEP_MEASURE_PERIOD_BROKER_VALUE","DEEP_MEASURE_ID_OVERRIDE",$C260,"DEEP_BROKER_ID_OVERRIDE",BC$24,"DEEP_PERIOD_OVERRIDE",$H$19)*1,"")))</f>
        <v/>
      </c>
      <c r="BD260" t="str">
        <f>IF(OR(BD$23="",ISNA($B260)),"",IF(ISBLANK($B260),"",IFERROR(_xll.BDP(TICKER,"DEEP_MEASURE_PERIOD_BROKER_VALUE","DEEP_MEASURE_ID_OVERRIDE",$C260,"DEEP_BROKER_ID_OVERRIDE",BD$24,"DEEP_PERIOD_OVERRIDE",$H$19)*1,"")))</f>
        <v/>
      </c>
      <c r="BE260" t="str">
        <f>IF(OR(BE$23="",ISNA($B260)),"",IF(ISBLANK($B260),"",IFERROR(_xll.BDP(TICKER,"DEEP_MEASURE_PERIOD_BROKER_VALUE","DEEP_MEASURE_ID_OVERRIDE",$C260,"DEEP_BROKER_ID_OVERRIDE",BE$24,"DEEP_PERIOD_OVERRIDE",$H$19)*1,"")))</f>
        <v/>
      </c>
      <c r="BF260" t="str">
        <f>IF(OR(BF$23="",ISNA($B260)),"",IF(ISBLANK($B260),"",IFERROR(_xll.BDP(TICKER,"DEEP_MEASURE_PERIOD_BROKER_VALUE","DEEP_MEASURE_ID_OVERRIDE",$C260,"DEEP_BROKER_ID_OVERRIDE",BF$24,"DEEP_PERIOD_OVERRIDE",$H$19)*1,"")))</f>
        <v/>
      </c>
      <c r="BG260" t="str">
        <f>IF(OR(BG$23="",ISNA($B260)),"",IF(ISBLANK($B260),"",IFERROR(_xll.BDP(TICKER,"DEEP_MEASURE_PERIOD_BROKER_VALUE","DEEP_MEASURE_ID_OVERRIDE",$C260,"DEEP_BROKER_ID_OVERRIDE",BG$24,"DEEP_PERIOD_OVERRIDE",$H$19)*1,"")))</f>
        <v/>
      </c>
      <c r="BH260" t="str">
        <f>IF(OR(BH$23="",ISNA($B260)),"",IF(ISBLANK($B260),"",IFERROR(_xll.BDP(TICKER,"DEEP_MEASURE_PERIOD_BROKER_VALUE","DEEP_MEASURE_ID_OVERRIDE",$C260,"DEEP_BROKER_ID_OVERRIDE",BH$24,"DEEP_PERIOD_OVERRIDE",$H$19)*1,"")))</f>
        <v/>
      </c>
      <c r="BI260" t="str">
        <f>IF(OR(BI$23="",ISNA($B260)),"",IF(ISBLANK($B260),"",IFERROR(_xll.BDP(TICKER,"DEEP_MEASURE_PERIOD_BROKER_VALUE","DEEP_MEASURE_ID_OVERRIDE",$C260,"DEEP_BROKER_ID_OVERRIDE",BI$24,"DEEP_PERIOD_OVERRIDE",$H$19)*1,"")))</f>
        <v/>
      </c>
      <c r="BJ260" t="str">
        <f>IF(OR(BJ$23="",ISNA($B260)),"",IF(ISBLANK($B260),"",IFERROR(_xll.BDP(TICKER,"DEEP_MEASURE_PERIOD_BROKER_VALUE","DEEP_MEASURE_ID_OVERRIDE",$C260,"DEEP_BROKER_ID_OVERRIDE",BJ$24,"DEEP_PERIOD_OVERRIDE",$H$19)*1,"")))</f>
        <v/>
      </c>
      <c r="BK260" t="str">
        <f>IF(OR(BK$23="",ISNA($B260)),"",IF(ISBLANK($B260),"",IFERROR(_xll.BDP(TICKER,"DEEP_MEASURE_PERIOD_BROKER_VALUE","DEEP_MEASURE_ID_OVERRIDE",$C260,"DEEP_BROKER_ID_OVERRIDE",BK$24,"DEEP_PERIOD_OVERRIDE",$H$19)*1,"")))</f>
        <v/>
      </c>
      <c r="BL260" t="str">
        <f>IF(OR(BL$23="",ISNA($B260)),"",IF(ISBLANK($B260),"",IFERROR(_xll.BDP(TICKER,"DEEP_MEASURE_PERIOD_BROKER_VALUE","DEEP_MEASURE_ID_OVERRIDE",$C260,"DEEP_BROKER_ID_OVERRIDE",BL$24,"DEEP_PERIOD_OVERRIDE",$H$19)*1,"")))</f>
        <v/>
      </c>
      <c r="BM260" t="str">
        <f>IF(OR(BM$23="",ISNA($B260)),"",IF(ISBLANK($B260),"",IFERROR(_xll.BDP(TICKER,"DEEP_MEASURE_PERIOD_BROKER_VALUE","DEEP_MEASURE_ID_OVERRIDE",$C260,"DEEP_BROKER_ID_OVERRIDE",BM$24,"DEEP_PERIOD_OVERRIDE",$H$19)*1,"")))</f>
        <v/>
      </c>
      <c r="BN260" t="str">
        <f>IF(OR(BN$23="",ISNA($B260)),"",IF(ISBLANK($B260),"",IFERROR(_xll.BDP(TICKER,"DEEP_MEASURE_PERIOD_BROKER_VALUE","DEEP_MEASURE_ID_OVERRIDE",$C260,"DEEP_BROKER_ID_OVERRIDE",BN$24,"DEEP_PERIOD_OVERRIDE",$H$19)*1,"")))</f>
        <v/>
      </c>
      <c r="BO260" t="str">
        <f>IF(OR(BO$23="",ISNA($B260)),"",IF(ISBLANK($B260),"",IFERROR(_xll.BDP(TICKER,"DEEP_MEASURE_PERIOD_BROKER_VALUE","DEEP_MEASURE_ID_OVERRIDE",$C260,"DEEP_BROKER_ID_OVERRIDE",BO$24,"DEEP_PERIOD_OVERRIDE",$H$19)*1,"")))</f>
        <v/>
      </c>
      <c r="BP260" t="str">
        <f>IF(OR(BP$23="",ISNA($B260)),"",IF(ISBLANK($B260),"",IFERROR(_xll.BDP(TICKER,"DEEP_MEASURE_PERIOD_BROKER_VALUE","DEEP_MEASURE_ID_OVERRIDE",$C260,"DEEP_BROKER_ID_OVERRIDE",BP$24,"DEEP_PERIOD_OVERRIDE",$H$19)*1,"")))</f>
        <v/>
      </c>
      <c r="BQ260" t="str">
        <f>IF(OR(BQ$23="",ISNA($B260)),"",IF(ISBLANK($B260),"",IFERROR(_xll.BDP(TICKER,"DEEP_MEASURE_PERIOD_BROKER_VALUE","DEEP_MEASURE_ID_OVERRIDE",$C260,"DEEP_BROKER_ID_OVERRIDE",BQ$24,"DEEP_PERIOD_OVERRIDE",$H$19)*1,"")))</f>
        <v/>
      </c>
      <c r="BR260" t="str">
        <f>IF(OR(BR$23="",ISNA($B260)),"",IF(ISBLANK($B260),"",IFERROR(_xll.BDP(TICKER,"DEEP_MEASURE_PERIOD_BROKER_VALUE","DEEP_MEASURE_ID_OVERRIDE",$C260,"DEEP_BROKER_ID_OVERRIDE",BR$24,"DEEP_PERIOD_OVERRIDE",$H$19)*1,"")))</f>
        <v/>
      </c>
      <c r="BS260" t="str">
        <f>IF(OR(BS$23="",ISNA($B260)),"",IF(ISBLANK($B260),"",IFERROR(_xll.BDP(TICKER,"DEEP_MEASURE_PERIOD_BROKER_VALUE","DEEP_MEASURE_ID_OVERRIDE",$C260,"DEEP_BROKER_ID_OVERRIDE",BS$24,"DEEP_PERIOD_OVERRIDE",$H$19)*1,"")))</f>
        <v/>
      </c>
      <c r="BT260" t="str">
        <f>IF(OR(BT$23="",ISNA($B260)),"",IF(ISBLANK($B260),"",IFERROR(_xll.BDP(TICKER,"DEEP_MEASURE_PERIOD_BROKER_VALUE","DEEP_MEASURE_ID_OVERRIDE",$C260,"DEEP_BROKER_ID_OVERRIDE",BT$24,"DEEP_PERIOD_OVERRIDE",$H$19)*1,"")))</f>
        <v/>
      </c>
      <c r="BU260" t="str">
        <f>IF(OR(BU$23="",ISNA($B260)),"",IF(ISBLANK($B260),"",IFERROR(_xll.BDP(TICKER,"DEEP_MEASURE_PERIOD_BROKER_VALUE","DEEP_MEASURE_ID_OVERRIDE",$C260,"DEEP_BROKER_ID_OVERRIDE",BU$24,"DEEP_PERIOD_OVERRIDE",$H$19)*1,"")))</f>
        <v/>
      </c>
      <c r="BV260" t="str">
        <f>IF(OR(BV$23="",ISNA($B260)),"",IF(ISBLANK($B260),"",IFERROR(_xll.BDP(TICKER,"DEEP_MEASURE_PERIOD_BROKER_VALUE","DEEP_MEASURE_ID_OVERRIDE",$C260,"DEEP_BROKER_ID_OVERRIDE",BV$24,"DEEP_PERIOD_OVERRIDE",$H$19)*1,"")))</f>
        <v/>
      </c>
      <c r="BW260" t="str">
        <f>IF(OR(BW$23="",ISNA($B260)),"",IF(ISBLANK($B260),"",IFERROR(_xll.BDP(TICKER,"DEEP_MEASURE_PERIOD_BROKER_VALUE","DEEP_MEASURE_ID_OVERRIDE",$C260,"DEEP_BROKER_ID_OVERRIDE",BW$24,"DEEP_PERIOD_OVERRIDE",$H$19)*1,"")))</f>
        <v/>
      </c>
      <c r="BX260" t="str">
        <f>IF(OR(BX$23="",ISNA($B260)),"",IF(ISBLANK($B260),"",IFERROR(_xll.BDP(TICKER,"DEEP_MEASURE_PERIOD_BROKER_VALUE","DEEP_MEASURE_ID_OVERRIDE",$C260,"DEEP_BROKER_ID_OVERRIDE",BX$24,"DEEP_PERIOD_OVERRIDE",$H$19)*1,"")))</f>
        <v/>
      </c>
      <c r="BY260" t="str">
        <f>IF(OR(BY$23="",ISNA($B260)),"",IF(ISBLANK($B260),"",IFERROR(_xll.BDP(TICKER,"DEEP_MEASURE_PERIOD_BROKER_VALUE","DEEP_MEASURE_ID_OVERRIDE",$C260,"DEEP_BROKER_ID_OVERRIDE",BY$24,"DEEP_PERIOD_OVERRIDE",$H$19)*1,"")))</f>
        <v/>
      </c>
      <c r="BZ260" t="str">
        <f>IF(OR(BZ$23="",ISNA($B260)),"",IF(ISBLANK($B260),"",IFERROR(_xll.BDP(TICKER,"DEEP_MEASURE_PERIOD_BROKER_VALUE","DEEP_MEASURE_ID_OVERRIDE",$C260,"DEEP_BROKER_ID_OVERRIDE",BZ$24,"DEEP_PERIOD_OVERRIDE",$H$19)*1,"")))</f>
        <v/>
      </c>
    </row>
    <row r="261" spans="8:78" x14ac:dyDescent="0.25">
      <c r="H261" t="str">
        <f t="shared" si="4"/>
        <v/>
      </c>
      <c r="I261" t="str">
        <f>IF(OR(I$23="",ISNA($B261)),"",IF(ISBLANK($B261),"",IFERROR(_xll.BDP(TICKER,"DEEP_MEASURE_PERIOD_BROKER_VALUE","DEEP_MEASURE_ID_OVERRIDE",$C261,"DEEP_PERIOD_OVERRIDE",$H$19)*1,"")))</f>
        <v/>
      </c>
      <c r="J261" t="e">
        <f>IF(OR(J$23="",ISNA($B261)),"",IF(ISBLANK($B261),"",IFERROR(_xll.BDP(TICKER,"DEEP_MEASURE_PERIOD_BROKER_VALUE","DEEP_MEASURE_ID_OVERRIDE",$C261,"DEEP_BROKER_ID_OVERRIDE",J$24,"DEEP_PERIOD_OVERRIDE",$H$19)*1,"")))</f>
        <v>#REF!</v>
      </c>
      <c r="K261" t="str">
        <f>IF(OR(K$23="",ISNA($B261)),"",IF(ISBLANK($B261),"",IFERROR(_xll.BDP(TICKER,"DEEP_MEASURE_PERIOD_BROKER_VALUE","DEEP_MEASURE_ID_OVERRIDE",$C261,"DEEP_BROKER_ID_OVERRIDE",K$24,"DEEP_PERIOD_OVERRIDE",$H$19)*1,"")))</f>
        <v/>
      </c>
      <c r="L261" t="str">
        <f>IF(OR(L$23="",ISNA($B261)),"",IF(ISBLANK($B261),"",IFERROR(_xll.BDP(TICKER,"DEEP_MEASURE_PERIOD_BROKER_VALUE","DEEP_MEASURE_ID_OVERRIDE",$C261,"DEEP_BROKER_ID_OVERRIDE",L$24,"DEEP_PERIOD_OVERRIDE",$H$19)*1,"")))</f>
        <v/>
      </c>
      <c r="M261" t="str">
        <f>IF(OR(M$23="",ISNA($B261)),"",IF(ISBLANK($B261),"",IFERROR(_xll.BDP(TICKER,"DEEP_MEASURE_PERIOD_BROKER_VALUE","DEEP_MEASURE_ID_OVERRIDE",$C261,"DEEP_BROKER_ID_OVERRIDE",M$24,"DEEP_PERIOD_OVERRIDE",$H$19)*1,"")))</f>
        <v/>
      </c>
      <c r="N261" t="str">
        <f>IF(OR(N$23="",ISNA($B261)),"",IF(ISBLANK($B261),"",IFERROR(_xll.BDP(TICKER,"DEEP_MEASURE_PERIOD_BROKER_VALUE","DEEP_MEASURE_ID_OVERRIDE",$C261,"DEEP_BROKER_ID_OVERRIDE",N$24,"DEEP_PERIOD_OVERRIDE",$H$19)*1,"")))</f>
        <v/>
      </c>
      <c r="O261" t="str">
        <f>IF(OR(O$23="",ISNA($B261)),"",IF(ISBLANK($B261),"",IFERROR(_xll.BDP(TICKER,"DEEP_MEASURE_PERIOD_BROKER_VALUE","DEEP_MEASURE_ID_OVERRIDE",$C261,"DEEP_BROKER_ID_OVERRIDE",O$24,"DEEP_PERIOD_OVERRIDE",$H$19)*1,"")))</f>
        <v/>
      </c>
      <c r="P261" t="str">
        <f>IF(OR(P$23="",ISNA($B261)),"",IF(ISBLANK($B261),"",IFERROR(_xll.BDP(TICKER,"DEEP_MEASURE_PERIOD_BROKER_VALUE","DEEP_MEASURE_ID_OVERRIDE",$C261,"DEEP_BROKER_ID_OVERRIDE",P$24,"DEEP_PERIOD_OVERRIDE",$H$19)*1,"")))</f>
        <v/>
      </c>
      <c r="Q261" t="str">
        <f>IF(OR(Q$23="",ISNA($B261)),"",IF(ISBLANK($B261),"",IFERROR(_xll.BDP(TICKER,"DEEP_MEASURE_PERIOD_BROKER_VALUE","DEEP_MEASURE_ID_OVERRIDE",$C261,"DEEP_BROKER_ID_OVERRIDE",Q$24,"DEEP_PERIOD_OVERRIDE",$H$19)*1,"")))</f>
        <v/>
      </c>
      <c r="R261" t="str">
        <f>IF(OR(R$23="",ISNA($B261)),"",IF(ISBLANK($B261),"",IFERROR(_xll.BDP(TICKER,"DEEP_MEASURE_PERIOD_BROKER_VALUE","DEEP_MEASURE_ID_OVERRIDE",$C261,"DEEP_BROKER_ID_OVERRIDE",R$24,"DEEP_PERIOD_OVERRIDE",$H$19)*1,"")))</f>
        <v/>
      </c>
      <c r="S261" t="str">
        <f>IF(OR(S$23="",ISNA($B261)),"",IF(ISBLANK($B261),"",IFERROR(_xll.BDP(TICKER,"DEEP_MEASURE_PERIOD_BROKER_VALUE","DEEP_MEASURE_ID_OVERRIDE",$C261,"DEEP_BROKER_ID_OVERRIDE",S$24,"DEEP_PERIOD_OVERRIDE",$H$19)*1,"")))</f>
        <v/>
      </c>
      <c r="T261" t="str">
        <f>IF(OR(T$23="",ISNA($B261)),"",IF(ISBLANK($B261),"",IFERROR(_xll.BDP(TICKER,"DEEP_MEASURE_PERIOD_BROKER_VALUE","DEEP_MEASURE_ID_OVERRIDE",$C261,"DEEP_BROKER_ID_OVERRIDE",T$24,"DEEP_PERIOD_OVERRIDE",$H$19)*1,"")))</f>
        <v/>
      </c>
      <c r="U261" t="str">
        <f>IF(OR(U$23="",ISNA($B261)),"",IF(ISBLANK($B261),"",IFERROR(_xll.BDP(TICKER,"DEEP_MEASURE_PERIOD_BROKER_VALUE","DEEP_MEASURE_ID_OVERRIDE",$C261,"DEEP_BROKER_ID_OVERRIDE",U$24,"DEEP_PERIOD_OVERRIDE",$H$19)*1,"")))</f>
        <v/>
      </c>
      <c r="V261" t="str">
        <f>IF(OR(V$23="",ISNA($B261)),"",IF(ISBLANK($B261),"",IFERROR(_xll.BDP(TICKER,"DEEP_MEASURE_PERIOD_BROKER_VALUE","DEEP_MEASURE_ID_OVERRIDE",$C261,"DEEP_BROKER_ID_OVERRIDE",V$24,"DEEP_PERIOD_OVERRIDE",$H$19)*1,"")))</f>
        <v/>
      </c>
      <c r="W261" t="str">
        <f>IF(OR(W$23="",ISNA($B261)),"",IF(ISBLANK($B261),"",IFERROR(_xll.BDP(TICKER,"DEEP_MEASURE_PERIOD_BROKER_VALUE","DEEP_MEASURE_ID_OVERRIDE",$C261,"DEEP_BROKER_ID_OVERRIDE",W$24,"DEEP_PERIOD_OVERRIDE",$H$19)*1,"")))</f>
        <v/>
      </c>
      <c r="X261" t="str">
        <f>IF(OR(X$23="",ISNA($B261)),"",IF(ISBLANK($B261),"",IFERROR(_xll.BDP(TICKER,"DEEP_MEASURE_PERIOD_BROKER_VALUE","DEEP_MEASURE_ID_OVERRIDE",$C261,"DEEP_BROKER_ID_OVERRIDE",X$24,"DEEP_PERIOD_OVERRIDE",$H$19)*1,"")))</f>
        <v/>
      </c>
      <c r="Y261" t="str">
        <f>IF(OR(Y$23="",ISNA($B261)),"",IF(ISBLANK($B261),"",IFERROR(_xll.BDP(TICKER,"DEEP_MEASURE_PERIOD_BROKER_VALUE","DEEP_MEASURE_ID_OVERRIDE",$C261,"DEEP_BROKER_ID_OVERRIDE",Y$24,"DEEP_PERIOD_OVERRIDE",$H$19)*1,"")))</f>
        <v/>
      </c>
      <c r="Z261" t="str">
        <f>IF(OR(Z$23="",ISNA($B261)),"",IF(ISBLANK($B261),"",IFERROR(_xll.BDP(TICKER,"DEEP_MEASURE_PERIOD_BROKER_VALUE","DEEP_MEASURE_ID_OVERRIDE",$C261,"DEEP_BROKER_ID_OVERRIDE",Z$24,"DEEP_PERIOD_OVERRIDE",$H$19)*1,"")))</f>
        <v/>
      </c>
      <c r="AA261" t="str">
        <f>IF(OR(AA$23="",ISNA($B261)),"",IF(ISBLANK($B261),"",IFERROR(_xll.BDP(TICKER,"DEEP_MEASURE_PERIOD_BROKER_VALUE","DEEP_MEASURE_ID_OVERRIDE",$C261,"DEEP_BROKER_ID_OVERRIDE",AA$24,"DEEP_PERIOD_OVERRIDE",$H$19)*1,"")))</f>
        <v/>
      </c>
      <c r="AB261" t="str">
        <f>IF(OR(AB$23="",ISNA($B261)),"",IF(ISBLANK($B261),"",IFERROR(_xll.BDP(TICKER,"DEEP_MEASURE_PERIOD_BROKER_VALUE","DEEP_MEASURE_ID_OVERRIDE",$C261,"DEEP_BROKER_ID_OVERRIDE",AB$24,"DEEP_PERIOD_OVERRIDE",$H$19)*1,"")))</f>
        <v/>
      </c>
      <c r="AC261" t="str">
        <f>IF(OR(AC$23="",ISNA($B261)),"",IF(ISBLANK($B261),"",IFERROR(_xll.BDP(TICKER,"DEEP_MEASURE_PERIOD_BROKER_VALUE","DEEP_MEASURE_ID_OVERRIDE",$C261,"DEEP_BROKER_ID_OVERRIDE",AC$24,"DEEP_PERIOD_OVERRIDE",$H$19)*1,"")))</f>
        <v/>
      </c>
      <c r="AD261" t="str">
        <f>IF(OR(AD$23="",ISNA($B261)),"",IF(ISBLANK($B261),"",IFERROR(_xll.BDP(TICKER,"DEEP_MEASURE_PERIOD_BROKER_VALUE","DEEP_MEASURE_ID_OVERRIDE",$C261,"DEEP_BROKER_ID_OVERRIDE",AD$24,"DEEP_PERIOD_OVERRIDE",$H$19)*1,"")))</f>
        <v/>
      </c>
      <c r="AE261" t="str">
        <f>IF(OR(AE$23="",ISNA($B261)),"",IF(ISBLANK($B261),"",IFERROR(_xll.BDP(TICKER,"DEEP_MEASURE_PERIOD_BROKER_VALUE","DEEP_MEASURE_ID_OVERRIDE",$C261,"DEEP_BROKER_ID_OVERRIDE",AE$24,"DEEP_PERIOD_OVERRIDE",$H$19)*1,"")))</f>
        <v/>
      </c>
      <c r="AF261" t="str">
        <f>IF(OR(AF$23="",ISNA($B261)),"",IF(ISBLANK($B261),"",IFERROR(_xll.BDP(TICKER,"DEEP_MEASURE_PERIOD_BROKER_VALUE","DEEP_MEASURE_ID_OVERRIDE",$C261,"DEEP_BROKER_ID_OVERRIDE",AF$24,"DEEP_PERIOD_OVERRIDE",$H$19)*1,"")))</f>
        <v/>
      </c>
      <c r="AG261" t="str">
        <f>IF(OR(AG$23="",ISNA($B261)),"",IF(ISBLANK($B261),"",IFERROR(_xll.BDP(TICKER,"DEEP_MEASURE_PERIOD_BROKER_VALUE","DEEP_MEASURE_ID_OVERRIDE",$C261,"DEEP_BROKER_ID_OVERRIDE",AG$24,"DEEP_PERIOD_OVERRIDE",$H$19)*1,"")))</f>
        <v/>
      </c>
      <c r="AH261" t="str">
        <f>IF(OR(AH$23="",ISNA($B261)),"",IF(ISBLANK($B261),"",IFERROR(_xll.BDP(TICKER,"DEEP_MEASURE_PERIOD_BROKER_VALUE","DEEP_MEASURE_ID_OVERRIDE",$C261,"DEEP_BROKER_ID_OVERRIDE",AH$24,"DEEP_PERIOD_OVERRIDE",$H$19)*1,"")))</f>
        <v/>
      </c>
      <c r="AI261" t="str">
        <f>IF(OR(AI$23="",ISNA($B261)),"",IF(ISBLANK($B261),"",IFERROR(_xll.BDP(TICKER,"DEEP_MEASURE_PERIOD_BROKER_VALUE","DEEP_MEASURE_ID_OVERRIDE",$C261,"DEEP_BROKER_ID_OVERRIDE",AI$24,"DEEP_PERIOD_OVERRIDE",$H$19)*1,"")))</f>
        <v/>
      </c>
      <c r="AJ261" t="str">
        <f>IF(OR(AJ$23="",ISNA($B261)),"",IF(ISBLANK($B261),"",IFERROR(_xll.BDP(TICKER,"DEEP_MEASURE_PERIOD_BROKER_VALUE","DEEP_MEASURE_ID_OVERRIDE",$C261,"DEEP_BROKER_ID_OVERRIDE",AJ$24,"DEEP_PERIOD_OVERRIDE",$H$19)*1,"")))</f>
        <v/>
      </c>
      <c r="AK261" t="str">
        <f>IF(OR(AK$23="",ISNA($B261)),"",IF(ISBLANK($B261),"",IFERROR(_xll.BDP(TICKER,"DEEP_MEASURE_PERIOD_BROKER_VALUE","DEEP_MEASURE_ID_OVERRIDE",$C261,"DEEP_BROKER_ID_OVERRIDE",AK$24,"DEEP_PERIOD_OVERRIDE",$H$19)*1,"")))</f>
        <v/>
      </c>
      <c r="AL261" t="str">
        <f>IF(OR(AL$23="",ISNA($B261)),"",IF(ISBLANK($B261),"",IFERROR(_xll.BDP(TICKER,"DEEP_MEASURE_PERIOD_BROKER_VALUE","DEEP_MEASURE_ID_OVERRIDE",$C261,"DEEP_BROKER_ID_OVERRIDE",AL$24,"DEEP_PERIOD_OVERRIDE",$H$19)*1,"")))</f>
        <v/>
      </c>
      <c r="AM261" t="str">
        <f>IF(OR(AM$23="",ISNA($B261)),"",IF(ISBLANK($B261),"",IFERROR(_xll.BDP(TICKER,"DEEP_MEASURE_PERIOD_BROKER_VALUE","DEEP_MEASURE_ID_OVERRIDE",$C261,"DEEP_BROKER_ID_OVERRIDE",AM$24,"DEEP_PERIOD_OVERRIDE",$H$19)*1,"")))</f>
        <v/>
      </c>
      <c r="AN261" t="str">
        <f>IF(OR(AN$23="",ISNA($B261)),"",IF(ISBLANK($B261),"",IFERROR(_xll.BDP(TICKER,"DEEP_MEASURE_PERIOD_BROKER_VALUE","DEEP_MEASURE_ID_OVERRIDE",$C261,"DEEP_BROKER_ID_OVERRIDE",AN$24,"DEEP_PERIOD_OVERRIDE",$H$19)*1,"")))</f>
        <v/>
      </c>
      <c r="AO261" t="str">
        <f>IF(OR(AO$23="",ISNA($B261)),"",IF(ISBLANK($B261),"",IFERROR(_xll.BDP(TICKER,"DEEP_MEASURE_PERIOD_BROKER_VALUE","DEEP_MEASURE_ID_OVERRIDE",$C261,"DEEP_BROKER_ID_OVERRIDE",AO$24,"DEEP_PERIOD_OVERRIDE",$H$19)*1,"")))</f>
        <v/>
      </c>
      <c r="AP261" t="str">
        <f>IF(OR(AP$23="",ISNA($B261)),"",IF(ISBLANK($B261),"",IFERROR(_xll.BDP(TICKER,"DEEP_MEASURE_PERIOD_BROKER_VALUE","DEEP_MEASURE_ID_OVERRIDE",$C261,"DEEP_BROKER_ID_OVERRIDE",AP$24,"DEEP_PERIOD_OVERRIDE",$H$19)*1,"")))</f>
        <v/>
      </c>
      <c r="AQ261" t="str">
        <f>IF(OR(AQ$23="",ISNA($B261)),"",IF(ISBLANK($B261),"",IFERROR(_xll.BDP(TICKER,"DEEP_MEASURE_PERIOD_BROKER_VALUE","DEEP_MEASURE_ID_OVERRIDE",$C261,"DEEP_BROKER_ID_OVERRIDE",AQ$24,"DEEP_PERIOD_OVERRIDE",$H$19)*1,"")))</f>
        <v/>
      </c>
      <c r="AR261" t="str">
        <f>IF(OR(AR$23="",ISNA($B261)),"",IF(ISBLANK($B261),"",IFERROR(_xll.BDP(TICKER,"DEEP_MEASURE_PERIOD_BROKER_VALUE","DEEP_MEASURE_ID_OVERRIDE",$C261,"DEEP_BROKER_ID_OVERRIDE",AR$24,"DEEP_PERIOD_OVERRIDE",$H$19)*1,"")))</f>
        <v/>
      </c>
      <c r="AS261" t="str">
        <f>IF(OR(AS$23="",ISNA($B261)),"",IF(ISBLANK($B261),"",IFERROR(_xll.BDP(TICKER,"DEEP_MEASURE_PERIOD_BROKER_VALUE","DEEP_MEASURE_ID_OVERRIDE",$C261,"DEEP_BROKER_ID_OVERRIDE",AS$24,"DEEP_PERIOD_OVERRIDE",$H$19)*1,"")))</f>
        <v/>
      </c>
      <c r="AT261" t="str">
        <f>IF(OR(AT$23="",ISNA($B261)),"",IF(ISBLANK($B261),"",IFERROR(_xll.BDP(TICKER,"DEEP_MEASURE_PERIOD_BROKER_VALUE","DEEP_MEASURE_ID_OVERRIDE",$C261,"DEEP_BROKER_ID_OVERRIDE",AT$24,"DEEP_PERIOD_OVERRIDE",$H$19)*1,"")))</f>
        <v/>
      </c>
      <c r="AU261" t="str">
        <f>IF(OR(AU$23="",ISNA($B261)),"",IF(ISBLANK($B261),"",IFERROR(_xll.BDP(TICKER,"DEEP_MEASURE_PERIOD_BROKER_VALUE","DEEP_MEASURE_ID_OVERRIDE",$C261,"DEEP_BROKER_ID_OVERRIDE",AU$24,"DEEP_PERIOD_OVERRIDE",$H$19)*1,"")))</f>
        <v/>
      </c>
      <c r="AV261" t="str">
        <f>IF(OR(AV$23="",ISNA($B261)),"",IF(ISBLANK($B261),"",IFERROR(_xll.BDP(TICKER,"DEEP_MEASURE_PERIOD_BROKER_VALUE","DEEP_MEASURE_ID_OVERRIDE",$C261,"DEEP_BROKER_ID_OVERRIDE",AV$24,"DEEP_PERIOD_OVERRIDE",$H$19)*1,"")))</f>
        <v/>
      </c>
      <c r="AW261" t="str">
        <f>IF(OR(AW$23="",ISNA($B261)),"",IF(ISBLANK($B261),"",IFERROR(_xll.BDP(TICKER,"DEEP_MEASURE_PERIOD_BROKER_VALUE","DEEP_MEASURE_ID_OVERRIDE",$C261,"DEEP_BROKER_ID_OVERRIDE",AW$24,"DEEP_PERIOD_OVERRIDE",$H$19)*1,"")))</f>
        <v/>
      </c>
      <c r="AX261" t="str">
        <f>IF(OR(AX$23="",ISNA($B261)),"",IF(ISBLANK($B261),"",IFERROR(_xll.BDP(TICKER,"DEEP_MEASURE_PERIOD_BROKER_VALUE","DEEP_MEASURE_ID_OVERRIDE",$C261,"DEEP_BROKER_ID_OVERRIDE",AX$24,"DEEP_PERIOD_OVERRIDE",$H$19)*1,"")))</f>
        <v/>
      </c>
      <c r="AY261" t="str">
        <f>IF(OR(AY$23="",ISNA($B261)),"",IF(ISBLANK($B261),"",IFERROR(_xll.BDP(TICKER,"DEEP_MEASURE_PERIOD_BROKER_VALUE","DEEP_MEASURE_ID_OVERRIDE",$C261,"DEEP_BROKER_ID_OVERRIDE",AY$24,"DEEP_PERIOD_OVERRIDE",$H$19)*1,"")))</f>
        <v/>
      </c>
      <c r="AZ261" t="str">
        <f>IF(OR(AZ$23="",ISNA($B261)),"",IF(ISBLANK($B261),"",IFERROR(_xll.BDP(TICKER,"DEEP_MEASURE_PERIOD_BROKER_VALUE","DEEP_MEASURE_ID_OVERRIDE",$C261,"DEEP_BROKER_ID_OVERRIDE",AZ$24,"DEEP_PERIOD_OVERRIDE",$H$19)*1,"")))</f>
        <v/>
      </c>
      <c r="BA261" t="str">
        <f>IF(OR(BA$23="",ISNA($B261)),"",IF(ISBLANK($B261),"",IFERROR(_xll.BDP(TICKER,"DEEP_MEASURE_PERIOD_BROKER_VALUE","DEEP_MEASURE_ID_OVERRIDE",$C261,"DEEP_BROKER_ID_OVERRIDE",BA$24,"DEEP_PERIOD_OVERRIDE",$H$19)*1,"")))</f>
        <v/>
      </c>
      <c r="BB261" t="str">
        <f>IF(OR(BB$23="",ISNA($B261)),"",IF(ISBLANK($B261),"",IFERROR(_xll.BDP(TICKER,"DEEP_MEASURE_PERIOD_BROKER_VALUE","DEEP_MEASURE_ID_OVERRIDE",$C261,"DEEP_BROKER_ID_OVERRIDE",BB$24,"DEEP_PERIOD_OVERRIDE",$H$19)*1,"")))</f>
        <v/>
      </c>
      <c r="BC261" t="str">
        <f>IF(OR(BC$23="",ISNA($B261)),"",IF(ISBLANK($B261),"",IFERROR(_xll.BDP(TICKER,"DEEP_MEASURE_PERIOD_BROKER_VALUE","DEEP_MEASURE_ID_OVERRIDE",$C261,"DEEP_BROKER_ID_OVERRIDE",BC$24,"DEEP_PERIOD_OVERRIDE",$H$19)*1,"")))</f>
        <v/>
      </c>
      <c r="BD261" t="str">
        <f>IF(OR(BD$23="",ISNA($B261)),"",IF(ISBLANK($B261),"",IFERROR(_xll.BDP(TICKER,"DEEP_MEASURE_PERIOD_BROKER_VALUE","DEEP_MEASURE_ID_OVERRIDE",$C261,"DEEP_BROKER_ID_OVERRIDE",BD$24,"DEEP_PERIOD_OVERRIDE",$H$19)*1,"")))</f>
        <v/>
      </c>
      <c r="BE261" t="str">
        <f>IF(OR(BE$23="",ISNA($B261)),"",IF(ISBLANK($B261),"",IFERROR(_xll.BDP(TICKER,"DEEP_MEASURE_PERIOD_BROKER_VALUE","DEEP_MEASURE_ID_OVERRIDE",$C261,"DEEP_BROKER_ID_OVERRIDE",BE$24,"DEEP_PERIOD_OVERRIDE",$H$19)*1,"")))</f>
        <v/>
      </c>
      <c r="BF261" t="str">
        <f>IF(OR(BF$23="",ISNA($B261)),"",IF(ISBLANK($B261),"",IFERROR(_xll.BDP(TICKER,"DEEP_MEASURE_PERIOD_BROKER_VALUE","DEEP_MEASURE_ID_OVERRIDE",$C261,"DEEP_BROKER_ID_OVERRIDE",BF$24,"DEEP_PERIOD_OVERRIDE",$H$19)*1,"")))</f>
        <v/>
      </c>
      <c r="BG261" t="str">
        <f>IF(OR(BG$23="",ISNA($B261)),"",IF(ISBLANK($B261),"",IFERROR(_xll.BDP(TICKER,"DEEP_MEASURE_PERIOD_BROKER_VALUE","DEEP_MEASURE_ID_OVERRIDE",$C261,"DEEP_BROKER_ID_OVERRIDE",BG$24,"DEEP_PERIOD_OVERRIDE",$H$19)*1,"")))</f>
        <v/>
      </c>
      <c r="BH261" t="str">
        <f>IF(OR(BH$23="",ISNA($B261)),"",IF(ISBLANK($B261),"",IFERROR(_xll.BDP(TICKER,"DEEP_MEASURE_PERIOD_BROKER_VALUE","DEEP_MEASURE_ID_OVERRIDE",$C261,"DEEP_BROKER_ID_OVERRIDE",BH$24,"DEEP_PERIOD_OVERRIDE",$H$19)*1,"")))</f>
        <v/>
      </c>
      <c r="BI261" t="str">
        <f>IF(OR(BI$23="",ISNA($B261)),"",IF(ISBLANK($B261),"",IFERROR(_xll.BDP(TICKER,"DEEP_MEASURE_PERIOD_BROKER_VALUE","DEEP_MEASURE_ID_OVERRIDE",$C261,"DEEP_BROKER_ID_OVERRIDE",BI$24,"DEEP_PERIOD_OVERRIDE",$H$19)*1,"")))</f>
        <v/>
      </c>
      <c r="BJ261" t="str">
        <f>IF(OR(BJ$23="",ISNA($B261)),"",IF(ISBLANK($B261),"",IFERROR(_xll.BDP(TICKER,"DEEP_MEASURE_PERIOD_BROKER_VALUE","DEEP_MEASURE_ID_OVERRIDE",$C261,"DEEP_BROKER_ID_OVERRIDE",BJ$24,"DEEP_PERIOD_OVERRIDE",$H$19)*1,"")))</f>
        <v/>
      </c>
      <c r="BK261" t="str">
        <f>IF(OR(BK$23="",ISNA($B261)),"",IF(ISBLANK($B261),"",IFERROR(_xll.BDP(TICKER,"DEEP_MEASURE_PERIOD_BROKER_VALUE","DEEP_MEASURE_ID_OVERRIDE",$C261,"DEEP_BROKER_ID_OVERRIDE",BK$24,"DEEP_PERIOD_OVERRIDE",$H$19)*1,"")))</f>
        <v/>
      </c>
      <c r="BL261" t="str">
        <f>IF(OR(BL$23="",ISNA($B261)),"",IF(ISBLANK($B261),"",IFERROR(_xll.BDP(TICKER,"DEEP_MEASURE_PERIOD_BROKER_VALUE","DEEP_MEASURE_ID_OVERRIDE",$C261,"DEEP_BROKER_ID_OVERRIDE",BL$24,"DEEP_PERIOD_OVERRIDE",$H$19)*1,"")))</f>
        <v/>
      </c>
      <c r="BM261" t="str">
        <f>IF(OR(BM$23="",ISNA($B261)),"",IF(ISBLANK($B261),"",IFERROR(_xll.BDP(TICKER,"DEEP_MEASURE_PERIOD_BROKER_VALUE","DEEP_MEASURE_ID_OVERRIDE",$C261,"DEEP_BROKER_ID_OVERRIDE",BM$24,"DEEP_PERIOD_OVERRIDE",$H$19)*1,"")))</f>
        <v/>
      </c>
      <c r="BN261" t="str">
        <f>IF(OR(BN$23="",ISNA($B261)),"",IF(ISBLANK($B261),"",IFERROR(_xll.BDP(TICKER,"DEEP_MEASURE_PERIOD_BROKER_VALUE","DEEP_MEASURE_ID_OVERRIDE",$C261,"DEEP_BROKER_ID_OVERRIDE",BN$24,"DEEP_PERIOD_OVERRIDE",$H$19)*1,"")))</f>
        <v/>
      </c>
      <c r="BO261" t="str">
        <f>IF(OR(BO$23="",ISNA($B261)),"",IF(ISBLANK($B261),"",IFERROR(_xll.BDP(TICKER,"DEEP_MEASURE_PERIOD_BROKER_VALUE","DEEP_MEASURE_ID_OVERRIDE",$C261,"DEEP_BROKER_ID_OVERRIDE",BO$24,"DEEP_PERIOD_OVERRIDE",$H$19)*1,"")))</f>
        <v/>
      </c>
      <c r="BP261" t="str">
        <f>IF(OR(BP$23="",ISNA($B261)),"",IF(ISBLANK($B261),"",IFERROR(_xll.BDP(TICKER,"DEEP_MEASURE_PERIOD_BROKER_VALUE","DEEP_MEASURE_ID_OVERRIDE",$C261,"DEEP_BROKER_ID_OVERRIDE",BP$24,"DEEP_PERIOD_OVERRIDE",$H$19)*1,"")))</f>
        <v/>
      </c>
      <c r="BQ261" t="str">
        <f>IF(OR(BQ$23="",ISNA($B261)),"",IF(ISBLANK($B261),"",IFERROR(_xll.BDP(TICKER,"DEEP_MEASURE_PERIOD_BROKER_VALUE","DEEP_MEASURE_ID_OVERRIDE",$C261,"DEEP_BROKER_ID_OVERRIDE",BQ$24,"DEEP_PERIOD_OVERRIDE",$H$19)*1,"")))</f>
        <v/>
      </c>
      <c r="BR261" t="str">
        <f>IF(OR(BR$23="",ISNA($B261)),"",IF(ISBLANK($B261),"",IFERROR(_xll.BDP(TICKER,"DEEP_MEASURE_PERIOD_BROKER_VALUE","DEEP_MEASURE_ID_OVERRIDE",$C261,"DEEP_BROKER_ID_OVERRIDE",BR$24,"DEEP_PERIOD_OVERRIDE",$H$19)*1,"")))</f>
        <v/>
      </c>
      <c r="BS261" t="str">
        <f>IF(OR(BS$23="",ISNA($B261)),"",IF(ISBLANK($B261),"",IFERROR(_xll.BDP(TICKER,"DEEP_MEASURE_PERIOD_BROKER_VALUE","DEEP_MEASURE_ID_OVERRIDE",$C261,"DEEP_BROKER_ID_OVERRIDE",BS$24,"DEEP_PERIOD_OVERRIDE",$H$19)*1,"")))</f>
        <v/>
      </c>
      <c r="BT261" t="str">
        <f>IF(OR(BT$23="",ISNA($B261)),"",IF(ISBLANK($B261),"",IFERROR(_xll.BDP(TICKER,"DEEP_MEASURE_PERIOD_BROKER_VALUE","DEEP_MEASURE_ID_OVERRIDE",$C261,"DEEP_BROKER_ID_OVERRIDE",BT$24,"DEEP_PERIOD_OVERRIDE",$H$19)*1,"")))</f>
        <v/>
      </c>
      <c r="BU261" t="str">
        <f>IF(OR(BU$23="",ISNA($B261)),"",IF(ISBLANK($B261),"",IFERROR(_xll.BDP(TICKER,"DEEP_MEASURE_PERIOD_BROKER_VALUE","DEEP_MEASURE_ID_OVERRIDE",$C261,"DEEP_BROKER_ID_OVERRIDE",BU$24,"DEEP_PERIOD_OVERRIDE",$H$19)*1,"")))</f>
        <v/>
      </c>
      <c r="BV261" t="str">
        <f>IF(OR(BV$23="",ISNA($B261)),"",IF(ISBLANK($B261),"",IFERROR(_xll.BDP(TICKER,"DEEP_MEASURE_PERIOD_BROKER_VALUE","DEEP_MEASURE_ID_OVERRIDE",$C261,"DEEP_BROKER_ID_OVERRIDE",BV$24,"DEEP_PERIOD_OVERRIDE",$H$19)*1,"")))</f>
        <v/>
      </c>
      <c r="BW261" t="str">
        <f>IF(OR(BW$23="",ISNA($B261)),"",IF(ISBLANK($B261),"",IFERROR(_xll.BDP(TICKER,"DEEP_MEASURE_PERIOD_BROKER_VALUE","DEEP_MEASURE_ID_OVERRIDE",$C261,"DEEP_BROKER_ID_OVERRIDE",BW$24,"DEEP_PERIOD_OVERRIDE",$H$19)*1,"")))</f>
        <v/>
      </c>
      <c r="BX261" t="str">
        <f>IF(OR(BX$23="",ISNA($B261)),"",IF(ISBLANK($B261),"",IFERROR(_xll.BDP(TICKER,"DEEP_MEASURE_PERIOD_BROKER_VALUE","DEEP_MEASURE_ID_OVERRIDE",$C261,"DEEP_BROKER_ID_OVERRIDE",BX$24,"DEEP_PERIOD_OVERRIDE",$H$19)*1,"")))</f>
        <v/>
      </c>
      <c r="BY261" t="str">
        <f>IF(OR(BY$23="",ISNA($B261)),"",IF(ISBLANK($B261),"",IFERROR(_xll.BDP(TICKER,"DEEP_MEASURE_PERIOD_BROKER_VALUE","DEEP_MEASURE_ID_OVERRIDE",$C261,"DEEP_BROKER_ID_OVERRIDE",BY$24,"DEEP_PERIOD_OVERRIDE",$H$19)*1,"")))</f>
        <v/>
      </c>
      <c r="BZ261" t="str">
        <f>IF(OR(BZ$23="",ISNA($B261)),"",IF(ISBLANK($B261),"",IFERROR(_xll.BDP(TICKER,"DEEP_MEASURE_PERIOD_BROKER_VALUE","DEEP_MEASURE_ID_OVERRIDE",$C261,"DEEP_BROKER_ID_OVERRIDE",BZ$24,"DEEP_PERIOD_OVERRIDE",$H$19)*1,"")))</f>
        <v/>
      </c>
    </row>
    <row r="262" spans="8:78" x14ac:dyDescent="0.25">
      <c r="H262" t="str">
        <f t="shared" si="4"/>
        <v/>
      </c>
      <c r="I262" t="str">
        <f>IF(OR(I$23="",ISNA($B262)),"",IF(ISBLANK($B262),"",IFERROR(_xll.BDP(TICKER,"DEEP_MEASURE_PERIOD_BROKER_VALUE","DEEP_MEASURE_ID_OVERRIDE",$C262,"DEEP_PERIOD_OVERRIDE",$H$19)*1,"")))</f>
        <v/>
      </c>
      <c r="J262" t="e">
        <f>IF(OR(J$23="",ISNA($B262)),"",IF(ISBLANK($B262),"",IFERROR(_xll.BDP(TICKER,"DEEP_MEASURE_PERIOD_BROKER_VALUE","DEEP_MEASURE_ID_OVERRIDE",$C262,"DEEP_BROKER_ID_OVERRIDE",J$24,"DEEP_PERIOD_OVERRIDE",$H$19)*1,"")))</f>
        <v>#REF!</v>
      </c>
      <c r="K262" t="str">
        <f>IF(OR(K$23="",ISNA($B262)),"",IF(ISBLANK($B262),"",IFERROR(_xll.BDP(TICKER,"DEEP_MEASURE_PERIOD_BROKER_VALUE","DEEP_MEASURE_ID_OVERRIDE",$C262,"DEEP_BROKER_ID_OVERRIDE",K$24,"DEEP_PERIOD_OVERRIDE",$H$19)*1,"")))</f>
        <v/>
      </c>
      <c r="L262" t="str">
        <f>IF(OR(L$23="",ISNA($B262)),"",IF(ISBLANK($B262),"",IFERROR(_xll.BDP(TICKER,"DEEP_MEASURE_PERIOD_BROKER_VALUE","DEEP_MEASURE_ID_OVERRIDE",$C262,"DEEP_BROKER_ID_OVERRIDE",L$24,"DEEP_PERIOD_OVERRIDE",$H$19)*1,"")))</f>
        <v/>
      </c>
      <c r="M262" t="str">
        <f>IF(OR(M$23="",ISNA($B262)),"",IF(ISBLANK($B262),"",IFERROR(_xll.BDP(TICKER,"DEEP_MEASURE_PERIOD_BROKER_VALUE","DEEP_MEASURE_ID_OVERRIDE",$C262,"DEEP_BROKER_ID_OVERRIDE",M$24,"DEEP_PERIOD_OVERRIDE",$H$19)*1,"")))</f>
        <v/>
      </c>
      <c r="N262" t="str">
        <f>IF(OR(N$23="",ISNA($B262)),"",IF(ISBLANK($B262),"",IFERROR(_xll.BDP(TICKER,"DEEP_MEASURE_PERIOD_BROKER_VALUE","DEEP_MEASURE_ID_OVERRIDE",$C262,"DEEP_BROKER_ID_OVERRIDE",N$24,"DEEP_PERIOD_OVERRIDE",$H$19)*1,"")))</f>
        <v/>
      </c>
      <c r="O262" t="str">
        <f>IF(OR(O$23="",ISNA($B262)),"",IF(ISBLANK($B262),"",IFERROR(_xll.BDP(TICKER,"DEEP_MEASURE_PERIOD_BROKER_VALUE","DEEP_MEASURE_ID_OVERRIDE",$C262,"DEEP_BROKER_ID_OVERRIDE",O$24,"DEEP_PERIOD_OVERRIDE",$H$19)*1,"")))</f>
        <v/>
      </c>
      <c r="P262" t="str">
        <f>IF(OR(P$23="",ISNA($B262)),"",IF(ISBLANK($B262),"",IFERROR(_xll.BDP(TICKER,"DEEP_MEASURE_PERIOD_BROKER_VALUE","DEEP_MEASURE_ID_OVERRIDE",$C262,"DEEP_BROKER_ID_OVERRIDE",P$24,"DEEP_PERIOD_OVERRIDE",$H$19)*1,"")))</f>
        <v/>
      </c>
      <c r="Q262" t="str">
        <f>IF(OR(Q$23="",ISNA($B262)),"",IF(ISBLANK($B262),"",IFERROR(_xll.BDP(TICKER,"DEEP_MEASURE_PERIOD_BROKER_VALUE","DEEP_MEASURE_ID_OVERRIDE",$C262,"DEEP_BROKER_ID_OVERRIDE",Q$24,"DEEP_PERIOD_OVERRIDE",$H$19)*1,"")))</f>
        <v/>
      </c>
      <c r="R262" t="str">
        <f>IF(OR(R$23="",ISNA($B262)),"",IF(ISBLANK($B262),"",IFERROR(_xll.BDP(TICKER,"DEEP_MEASURE_PERIOD_BROKER_VALUE","DEEP_MEASURE_ID_OVERRIDE",$C262,"DEEP_BROKER_ID_OVERRIDE",R$24,"DEEP_PERIOD_OVERRIDE",$H$19)*1,"")))</f>
        <v/>
      </c>
      <c r="S262" t="str">
        <f>IF(OR(S$23="",ISNA($B262)),"",IF(ISBLANK($B262),"",IFERROR(_xll.BDP(TICKER,"DEEP_MEASURE_PERIOD_BROKER_VALUE","DEEP_MEASURE_ID_OVERRIDE",$C262,"DEEP_BROKER_ID_OVERRIDE",S$24,"DEEP_PERIOD_OVERRIDE",$H$19)*1,"")))</f>
        <v/>
      </c>
      <c r="T262" t="str">
        <f>IF(OR(T$23="",ISNA($B262)),"",IF(ISBLANK($B262),"",IFERROR(_xll.BDP(TICKER,"DEEP_MEASURE_PERIOD_BROKER_VALUE","DEEP_MEASURE_ID_OVERRIDE",$C262,"DEEP_BROKER_ID_OVERRIDE",T$24,"DEEP_PERIOD_OVERRIDE",$H$19)*1,"")))</f>
        <v/>
      </c>
      <c r="U262" t="str">
        <f>IF(OR(U$23="",ISNA($B262)),"",IF(ISBLANK($B262),"",IFERROR(_xll.BDP(TICKER,"DEEP_MEASURE_PERIOD_BROKER_VALUE","DEEP_MEASURE_ID_OVERRIDE",$C262,"DEEP_BROKER_ID_OVERRIDE",U$24,"DEEP_PERIOD_OVERRIDE",$H$19)*1,"")))</f>
        <v/>
      </c>
      <c r="V262" t="str">
        <f>IF(OR(V$23="",ISNA($B262)),"",IF(ISBLANK($B262),"",IFERROR(_xll.BDP(TICKER,"DEEP_MEASURE_PERIOD_BROKER_VALUE","DEEP_MEASURE_ID_OVERRIDE",$C262,"DEEP_BROKER_ID_OVERRIDE",V$24,"DEEP_PERIOD_OVERRIDE",$H$19)*1,"")))</f>
        <v/>
      </c>
      <c r="W262" t="str">
        <f>IF(OR(W$23="",ISNA($B262)),"",IF(ISBLANK($B262),"",IFERROR(_xll.BDP(TICKER,"DEEP_MEASURE_PERIOD_BROKER_VALUE","DEEP_MEASURE_ID_OVERRIDE",$C262,"DEEP_BROKER_ID_OVERRIDE",W$24,"DEEP_PERIOD_OVERRIDE",$H$19)*1,"")))</f>
        <v/>
      </c>
      <c r="X262" t="str">
        <f>IF(OR(X$23="",ISNA($B262)),"",IF(ISBLANK($B262),"",IFERROR(_xll.BDP(TICKER,"DEEP_MEASURE_PERIOD_BROKER_VALUE","DEEP_MEASURE_ID_OVERRIDE",$C262,"DEEP_BROKER_ID_OVERRIDE",X$24,"DEEP_PERIOD_OVERRIDE",$H$19)*1,"")))</f>
        <v/>
      </c>
      <c r="Y262" t="str">
        <f>IF(OR(Y$23="",ISNA($B262)),"",IF(ISBLANK($B262),"",IFERROR(_xll.BDP(TICKER,"DEEP_MEASURE_PERIOD_BROKER_VALUE","DEEP_MEASURE_ID_OVERRIDE",$C262,"DEEP_BROKER_ID_OVERRIDE",Y$24,"DEEP_PERIOD_OVERRIDE",$H$19)*1,"")))</f>
        <v/>
      </c>
      <c r="Z262" t="str">
        <f>IF(OR(Z$23="",ISNA($B262)),"",IF(ISBLANK($B262),"",IFERROR(_xll.BDP(TICKER,"DEEP_MEASURE_PERIOD_BROKER_VALUE","DEEP_MEASURE_ID_OVERRIDE",$C262,"DEEP_BROKER_ID_OVERRIDE",Z$24,"DEEP_PERIOD_OVERRIDE",$H$19)*1,"")))</f>
        <v/>
      </c>
      <c r="AA262" t="str">
        <f>IF(OR(AA$23="",ISNA($B262)),"",IF(ISBLANK($B262),"",IFERROR(_xll.BDP(TICKER,"DEEP_MEASURE_PERIOD_BROKER_VALUE","DEEP_MEASURE_ID_OVERRIDE",$C262,"DEEP_BROKER_ID_OVERRIDE",AA$24,"DEEP_PERIOD_OVERRIDE",$H$19)*1,"")))</f>
        <v/>
      </c>
      <c r="AB262" t="str">
        <f>IF(OR(AB$23="",ISNA($B262)),"",IF(ISBLANK($B262),"",IFERROR(_xll.BDP(TICKER,"DEEP_MEASURE_PERIOD_BROKER_VALUE","DEEP_MEASURE_ID_OVERRIDE",$C262,"DEEP_BROKER_ID_OVERRIDE",AB$24,"DEEP_PERIOD_OVERRIDE",$H$19)*1,"")))</f>
        <v/>
      </c>
      <c r="AC262" t="str">
        <f>IF(OR(AC$23="",ISNA($B262)),"",IF(ISBLANK($B262),"",IFERROR(_xll.BDP(TICKER,"DEEP_MEASURE_PERIOD_BROKER_VALUE","DEEP_MEASURE_ID_OVERRIDE",$C262,"DEEP_BROKER_ID_OVERRIDE",AC$24,"DEEP_PERIOD_OVERRIDE",$H$19)*1,"")))</f>
        <v/>
      </c>
      <c r="AD262" t="str">
        <f>IF(OR(AD$23="",ISNA($B262)),"",IF(ISBLANK($B262),"",IFERROR(_xll.BDP(TICKER,"DEEP_MEASURE_PERIOD_BROKER_VALUE","DEEP_MEASURE_ID_OVERRIDE",$C262,"DEEP_BROKER_ID_OVERRIDE",AD$24,"DEEP_PERIOD_OVERRIDE",$H$19)*1,"")))</f>
        <v/>
      </c>
      <c r="AE262" t="str">
        <f>IF(OR(AE$23="",ISNA($B262)),"",IF(ISBLANK($B262),"",IFERROR(_xll.BDP(TICKER,"DEEP_MEASURE_PERIOD_BROKER_VALUE","DEEP_MEASURE_ID_OVERRIDE",$C262,"DEEP_BROKER_ID_OVERRIDE",AE$24,"DEEP_PERIOD_OVERRIDE",$H$19)*1,"")))</f>
        <v/>
      </c>
      <c r="AF262" t="str">
        <f>IF(OR(AF$23="",ISNA($B262)),"",IF(ISBLANK($B262),"",IFERROR(_xll.BDP(TICKER,"DEEP_MEASURE_PERIOD_BROKER_VALUE","DEEP_MEASURE_ID_OVERRIDE",$C262,"DEEP_BROKER_ID_OVERRIDE",AF$24,"DEEP_PERIOD_OVERRIDE",$H$19)*1,"")))</f>
        <v/>
      </c>
      <c r="AG262" t="str">
        <f>IF(OR(AG$23="",ISNA($B262)),"",IF(ISBLANK($B262),"",IFERROR(_xll.BDP(TICKER,"DEEP_MEASURE_PERIOD_BROKER_VALUE","DEEP_MEASURE_ID_OVERRIDE",$C262,"DEEP_BROKER_ID_OVERRIDE",AG$24,"DEEP_PERIOD_OVERRIDE",$H$19)*1,"")))</f>
        <v/>
      </c>
      <c r="AH262" t="str">
        <f>IF(OR(AH$23="",ISNA($B262)),"",IF(ISBLANK($B262),"",IFERROR(_xll.BDP(TICKER,"DEEP_MEASURE_PERIOD_BROKER_VALUE","DEEP_MEASURE_ID_OVERRIDE",$C262,"DEEP_BROKER_ID_OVERRIDE",AH$24,"DEEP_PERIOD_OVERRIDE",$H$19)*1,"")))</f>
        <v/>
      </c>
      <c r="AI262" t="str">
        <f>IF(OR(AI$23="",ISNA($B262)),"",IF(ISBLANK($B262),"",IFERROR(_xll.BDP(TICKER,"DEEP_MEASURE_PERIOD_BROKER_VALUE","DEEP_MEASURE_ID_OVERRIDE",$C262,"DEEP_BROKER_ID_OVERRIDE",AI$24,"DEEP_PERIOD_OVERRIDE",$H$19)*1,"")))</f>
        <v/>
      </c>
      <c r="AJ262" t="str">
        <f>IF(OR(AJ$23="",ISNA($B262)),"",IF(ISBLANK($B262),"",IFERROR(_xll.BDP(TICKER,"DEEP_MEASURE_PERIOD_BROKER_VALUE","DEEP_MEASURE_ID_OVERRIDE",$C262,"DEEP_BROKER_ID_OVERRIDE",AJ$24,"DEEP_PERIOD_OVERRIDE",$H$19)*1,"")))</f>
        <v/>
      </c>
      <c r="AK262" t="str">
        <f>IF(OR(AK$23="",ISNA($B262)),"",IF(ISBLANK($B262),"",IFERROR(_xll.BDP(TICKER,"DEEP_MEASURE_PERIOD_BROKER_VALUE","DEEP_MEASURE_ID_OVERRIDE",$C262,"DEEP_BROKER_ID_OVERRIDE",AK$24,"DEEP_PERIOD_OVERRIDE",$H$19)*1,"")))</f>
        <v/>
      </c>
      <c r="AL262" t="str">
        <f>IF(OR(AL$23="",ISNA($B262)),"",IF(ISBLANK($B262),"",IFERROR(_xll.BDP(TICKER,"DEEP_MEASURE_PERIOD_BROKER_VALUE","DEEP_MEASURE_ID_OVERRIDE",$C262,"DEEP_BROKER_ID_OVERRIDE",AL$24,"DEEP_PERIOD_OVERRIDE",$H$19)*1,"")))</f>
        <v/>
      </c>
      <c r="AM262" t="str">
        <f>IF(OR(AM$23="",ISNA($B262)),"",IF(ISBLANK($B262),"",IFERROR(_xll.BDP(TICKER,"DEEP_MEASURE_PERIOD_BROKER_VALUE","DEEP_MEASURE_ID_OVERRIDE",$C262,"DEEP_BROKER_ID_OVERRIDE",AM$24,"DEEP_PERIOD_OVERRIDE",$H$19)*1,"")))</f>
        <v/>
      </c>
      <c r="AN262" t="str">
        <f>IF(OR(AN$23="",ISNA($B262)),"",IF(ISBLANK($B262),"",IFERROR(_xll.BDP(TICKER,"DEEP_MEASURE_PERIOD_BROKER_VALUE","DEEP_MEASURE_ID_OVERRIDE",$C262,"DEEP_BROKER_ID_OVERRIDE",AN$24,"DEEP_PERIOD_OVERRIDE",$H$19)*1,"")))</f>
        <v/>
      </c>
      <c r="AO262" t="str">
        <f>IF(OR(AO$23="",ISNA($B262)),"",IF(ISBLANK($B262),"",IFERROR(_xll.BDP(TICKER,"DEEP_MEASURE_PERIOD_BROKER_VALUE","DEEP_MEASURE_ID_OVERRIDE",$C262,"DEEP_BROKER_ID_OVERRIDE",AO$24,"DEEP_PERIOD_OVERRIDE",$H$19)*1,"")))</f>
        <v/>
      </c>
      <c r="AP262" t="str">
        <f>IF(OR(AP$23="",ISNA($B262)),"",IF(ISBLANK($B262),"",IFERROR(_xll.BDP(TICKER,"DEEP_MEASURE_PERIOD_BROKER_VALUE","DEEP_MEASURE_ID_OVERRIDE",$C262,"DEEP_BROKER_ID_OVERRIDE",AP$24,"DEEP_PERIOD_OVERRIDE",$H$19)*1,"")))</f>
        <v/>
      </c>
      <c r="AQ262" t="str">
        <f>IF(OR(AQ$23="",ISNA($B262)),"",IF(ISBLANK($B262),"",IFERROR(_xll.BDP(TICKER,"DEEP_MEASURE_PERIOD_BROKER_VALUE","DEEP_MEASURE_ID_OVERRIDE",$C262,"DEEP_BROKER_ID_OVERRIDE",AQ$24,"DEEP_PERIOD_OVERRIDE",$H$19)*1,"")))</f>
        <v/>
      </c>
      <c r="AR262" t="str">
        <f>IF(OR(AR$23="",ISNA($B262)),"",IF(ISBLANK($B262),"",IFERROR(_xll.BDP(TICKER,"DEEP_MEASURE_PERIOD_BROKER_VALUE","DEEP_MEASURE_ID_OVERRIDE",$C262,"DEEP_BROKER_ID_OVERRIDE",AR$24,"DEEP_PERIOD_OVERRIDE",$H$19)*1,"")))</f>
        <v/>
      </c>
      <c r="AS262" t="str">
        <f>IF(OR(AS$23="",ISNA($B262)),"",IF(ISBLANK($B262),"",IFERROR(_xll.BDP(TICKER,"DEEP_MEASURE_PERIOD_BROKER_VALUE","DEEP_MEASURE_ID_OVERRIDE",$C262,"DEEP_BROKER_ID_OVERRIDE",AS$24,"DEEP_PERIOD_OVERRIDE",$H$19)*1,"")))</f>
        <v/>
      </c>
      <c r="AT262" t="str">
        <f>IF(OR(AT$23="",ISNA($B262)),"",IF(ISBLANK($B262),"",IFERROR(_xll.BDP(TICKER,"DEEP_MEASURE_PERIOD_BROKER_VALUE","DEEP_MEASURE_ID_OVERRIDE",$C262,"DEEP_BROKER_ID_OVERRIDE",AT$24,"DEEP_PERIOD_OVERRIDE",$H$19)*1,"")))</f>
        <v/>
      </c>
      <c r="AU262" t="str">
        <f>IF(OR(AU$23="",ISNA($B262)),"",IF(ISBLANK($B262),"",IFERROR(_xll.BDP(TICKER,"DEEP_MEASURE_PERIOD_BROKER_VALUE","DEEP_MEASURE_ID_OVERRIDE",$C262,"DEEP_BROKER_ID_OVERRIDE",AU$24,"DEEP_PERIOD_OVERRIDE",$H$19)*1,"")))</f>
        <v/>
      </c>
      <c r="AV262" t="str">
        <f>IF(OR(AV$23="",ISNA($B262)),"",IF(ISBLANK($B262),"",IFERROR(_xll.BDP(TICKER,"DEEP_MEASURE_PERIOD_BROKER_VALUE","DEEP_MEASURE_ID_OVERRIDE",$C262,"DEEP_BROKER_ID_OVERRIDE",AV$24,"DEEP_PERIOD_OVERRIDE",$H$19)*1,"")))</f>
        <v/>
      </c>
      <c r="AW262" t="str">
        <f>IF(OR(AW$23="",ISNA($B262)),"",IF(ISBLANK($B262),"",IFERROR(_xll.BDP(TICKER,"DEEP_MEASURE_PERIOD_BROKER_VALUE","DEEP_MEASURE_ID_OVERRIDE",$C262,"DEEP_BROKER_ID_OVERRIDE",AW$24,"DEEP_PERIOD_OVERRIDE",$H$19)*1,"")))</f>
        <v/>
      </c>
      <c r="AX262" t="str">
        <f>IF(OR(AX$23="",ISNA($B262)),"",IF(ISBLANK($B262),"",IFERROR(_xll.BDP(TICKER,"DEEP_MEASURE_PERIOD_BROKER_VALUE","DEEP_MEASURE_ID_OVERRIDE",$C262,"DEEP_BROKER_ID_OVERRIDE",AX$24,"DEEP_PERIOD_OVERRIDE",$H$19)*1,"")))</f>
        <v/>
      </c>
      <c r="AY262" t="str">
        <f>IF(OR(AY$23="",ISNA($B262)),"",IF(ISBLANK($B262),"",IFERROR(_xll.BDP(TICKER,"DEEP_MEASURE_PERIOD_BROKER_VALUE","DEEP_MEASURE_ID_OVERRIDE",$C262,"DEEP_BROKER_ID_OVERRIDE",AY$24,"DEEP_PERIOD_OVERRIDE",$H$19)*1,"")))</f>
        <v/>
      </c>
      <c r="AZ262" t="str">
        <f>IF(OR(AZ$23="",ISNA($B262)),"",IF(ISBLANK($B262),"",IFERROR(_xll.BDP(TICKER,"DEEP_MEASURE_PERIOD_BROKER_VALUE","DEEP_MEASURE_ID_OVERRIDE",$C262,"DEEP_BROKER_ID_OVERRIDE",AZ$24,"DEEP_PERIOD_OVERRIDE",$H$19)*1,"")))</f>
        <v/>
      </c>
      <c r="BA262" t="str">
        <f>IF(OR(BA$23="",ISNA($B262)),"",IF(ISBLANK($B262),"",IFERROR(_xll.BDP(TICKER,"DEEP_MEASURE_PERIOD_BROKER_VALUE","DEEP_MEASURE_ID_OVERRIDE",$C262,"DEEP_BROKER_ID_OVERRIDE",BA$24,"DEEP_PERIOD_OVERRIDE",$H$19)*1,"")))</f>
        <v/>
      </c>
      <c r="BB262" t="str">
        <f>IF(OR(BB$23="",ISNA($B262)),"",IF(ISBLANK($B262),"",IFERROR(_xll.BDP(TICKER,"DEEP_MEASURE_PERIOD_BROKER_VALUE","DEEP_MEASURE_ID_OVERRIDE",$C262,"DEEP_BROKER_ID_OVERRIDE",BB$24,"DEEP_PERIOD_OVERRIDE",$H$19)*1,"")))</f>
        <v/>
      </c>
      <c r="BC262" t="str">
        <f>IF(OR(BC$23="",ISNA($B262)),"",IF(ISBLANK($B262),"",IFERROR(_xll.BDP(TICKER,"DEEP_MEASURE_PERIOD_BROKER_VALUE","DEEP_MEASURE_ID_OVERRIDE",$C262,"DEEP_BROKER_ID_OVERRIDE",BC$24,"DEEP_PERIOD_OVERRIDE",$H$19)*1,"")))</f>
        <v/>
      </c>
      <c r="BD262" t="str">
        <f>IF(OR(BD$23="",ISNA($B262)),"",IF(ISBLANK($B262),"",IFERROR(_xll.BDP(TICKER,"DEEP_MEASURE_PERIOD_BROKER_VALUE","DEEP_MEASURE_ID_OVERRIDE",$C262,"DEEP_BROKER_ID_OVERRIDE",BD$24,"DEEP_PERIOD_OVERRIDE",$H$19)*1,"")))</f>
        <v/>
      </c>
      <c r="BE262" t="str">
        <f>IF(OR(BE$23="",ISNA($B262)),"",IF(ISBLANK($B262),"",IFERROR(_xll.BDP(TICKER,"DEEP_MEASURE_PERIOD_BROKER_VALUE","DEEP_MEASURE_ID_OVERRIDE",$C262,"DEEP_BROKER_ID_OVERRIDE",BE$24,"DEEP_PERIOD_OVERRIDE",$H$19)*1,"")))</f>
        <v/>
      </c>
      <c r="BF262" t="str">
        <f>IF(OR(BF$23="",ISNA($B262)),"",IF(ISBLANK($B262),"",IFERROR(_xll.BDP(TICKER,"DEEP_MEASURE_PERIOD_BROKER_VALUE","DEEP_MEASURE_ID_OVERRIDE",$C262,"DEEP_BROKER_ID_OVERRIDE",BF$24,"DEEP_PERIOD_OVERRIDE",$H$19)*1,"")))</f>
        <v/>
      </c>
      <c r="BG262" t="str">
        <f>IF(OR(BG$23="",ISNA($B262)),"",IF(ISBLANK($B262),"",IFERROR(_xll.BDP(TICKER,"DEEP_MEASURE_PERIOD_BROKER_VALUE","DEEP_MEASURE_ID_OVERRIDE",$C262,"DEEP_BROKER_ID_OVERRIDE",BG$24,"DEEP_PERIOD_OVERRIDE",$H$19)*1,"")))</f>
        <v/>
      </c>
      <c r="BH262" t="str">
        <f>IF(OR(BH$23="",ISNA($B262)),"",IF(ISBLANK($B262),"",IFERROR(_xll.BDP(TICKER,"DEEP_MEASURE_PERIOD_BROKER_VALUE","DEEP_MEASURE_ID_OVERRIDE",$C262,"DEEP_BROKER_ID_OVERRIDE",BH$24,"DEEP_PERIOD_OVERRIDE",$H$19)*1,"")))</f>
        <v/>
      </c>
      <c r="BI262" t="str">
        <f>IF(OR(BI$23="",ISNA($B262)),"",IF(ISBLANK($B262),"",IFERROR(_xll.BDP(TICKER,"DEEP_MEASURE_PERIOD_BROKER_VALUE","DEEP_MEASURE_ID_OVERRIDE",$C262,"DEEP_BROKER_ID_OVERRIDE",BI$24,"DEEP_PERIOD_OVERRIDE",$H$19)*1,"")))</f>
        <v/>
      </c>
      <c r="BJ262" t="str">
        <f>IF(OR(BJ$23="",ISNA($B262)),"",IF(ISBLANK($B262),"",IFERROR(_xll.BDP(TICKER,"DEEP_MEASURE_PERIOD_BROKER_VALUE","DEEP_MEASURE_ID_OVERRIDE",$C262,"DEEP_BROKER_ID_OVERRIDE",BJ$24,"DEEP_PERIOD_OVERRIDE",$H$19)*1,"")))</f>
        <v/>
      </c>
      <c r="BK262" t="str">
        <f>IF(OR(BK$23="",ISNA($B262)),"",IF(ISBLANK($B262),"",IFERROR(_xll.BDP(TICKER,"DEEP_MEASURE_PERIOD_BROKER_VALUE","DEEP_MEASURE_ID_OVERRIDE",$C262,"DEEP_BROKER_ID_OVERRIDE",BK$24,"DEEP_PERIOD_OVERRIDE",$H$19)*1,"")))</f>
        <v/>
      </c>
      <c r="BL262" t="str">
        <f>IF(OR(BL$23="",ISNA($B262)),"",IF(ISBLANK($B262),"",IFERROR(_xll.BDP(TICKER,"DEEP_MEASURE_PERIOD_BROKER_VALUE","DEEP_MEASURE_ID_OVERRIDE",$C262,"DEEP_BROKER_ID_OVERRIDE",BL$24,"DEEP_PERIOD_OVERRIDE",$H$19)*1,"")))</f>
        <v/>
      </c>
      <c r="BM262" t="str">
        <f>IF(OR(BM$23="",ISNA($B262)),"",IF(ISBLANK($B262),"",IFERROR(_xll.BDP(TICKER,"DEEP_MEASURE_PERIOD_BROKER_VALUE","DEEP_MEASURE_ID_OVERRIDE",$C262,"DEEP_BROKER_ID_OVERRIDE",BM$24,"DEEP_PERIOD_OVERRIDE",$H$19)*1,"")))</f>
        <v/>
      </c>
      <c r="BN262" t="str">
        <f>IF(OR(BN$23="",ISNA($B262)),"",IF(ISBLANK($B262),"",IFERROR(_xll.BDP(TICKER,"DEEP_MEASURE_PERIOD_BROKER_VALUE","DEEP_MEASURE_ID_OVERRIDE",$C262,"DEEP_BROKER_ID_OVERRIDE",BN$24,"DEEP_PERIOD_OVERRIDE",$H$19)*1,"")))</f>
        <v/>
      </c>
      <c r="BO262" t="str">
        <f>IF(OR(BO$23="",ISNA($B262)),"",IF(ISBLANK($B262),"",IFERROR(_xll.BDP(TICKER,"DEEP_MEASURE_PERIOD_BROKER_VALUE","DEEP_MEASURE_ID_OVERRIDE",$C262,"DEEP_BROKER_ID_OVERRIDE",BO$24,"DEEP_PERIOD_OVERRIDE",$H$19)*1,"")))</f>
        <v/>
      </c>
      <c r="BP262" t="str">
        <f>IF(OR(BP$23="",ISNA($B262)),"",IF(ISBLANK($B262),"",IFERROR(_xll.BDP(TICKER,"DEEP_MEASURE_PERIOD_BROKER_VALUE","DEEP_MEASURE_ID_OVERRIDE",$C262,"DEEP_BROKER_ID_OVERRIDE",BP$24,"DEEP_PERIOD_OVERRIDE",$H$19)*1,"")))</f>
        <v/>
      </c>
      <c r="BQ262" t="str">
        <f>IF(OR(BQ$23="",ISNA($B262)),"",IF(ISBLANK($B262),"",IFERROR(_xll.BDP(TICKER,"DEEP_MEASURE_PERIOD_BROKER_VALUE","DEEP_MEASURE_ID_OVERRIDE",$C262,"DEEP_BROKER_ID_OVERRIDE",BQ$24,"DEEP_PERIOD_OVERRIDE",$H$19)*1,"")))</f>
        <v/>
      </c>
      <c r="BR262" t="str">
        <f>IF(OR(BR$23="",ISNA($B262)),"",IF(ISBLANK($B262),"",IFERROR(_xll.BDP(TICKER,"DEEP_MEASURE_PERIOD_BROKER_VALUE","DEEP_MEASURE_ID_OVERRIDE",$C262,"DEEP_BROKER_ID_OVERRIDE",BR$24,"DEEP_PERIOD_OVERRIDE",$H$19)*1,"")))</f>
        <v/>
      </c>
      <c r="BS262" t="str">
        <f>IF(OR(BS$23="",ISNA($B262)),"",IF(ISBLANK($B262),"",IFERROR(_xll.BDP(TICKER,"DEEP_MEASURE_PERIOD_BROKER_VALUE","DEEP_MEASURE_ID_OVERRIDE",$C262,"DEEP_BROKER_ID_OVERRIDE",BS$24,"DEEP_PERIOD_OVERRIDE",$H$19)*1,"")))</f>
        <v/>
      </c>
      <c r="BT262" t="str">
        <f>IF(OR(BT$23="",ISNA($B262)),"",IF(ISBLANK($B262),"",IFERROR(_xll.BDP(TICKER,"DEEP_MEASURE_PERIOD_BROKER_VALUE","DEEP_MEASURE_ID_OVERRIDE",$C262,"DEEP_BROKER_ID_OVERRIDE",BT$24,"DEEP_PERIOD_OVERRIDE",$H$19)*1,"")))</f>
        <v/>
      </c>
      <c r="BU262" t="str">
        <f>IF(OR(BU$23="",ISNA($B262)),"",IF(ISBLANK($B262),"",IFERROR(_xll.BDP(TICKER,"DEEP_MEASURE_PERIOD_BROKER_VALUE","DEEP_MEASURE_ID_OVERRIDE",$C262,"DEEP_BROKER_ID_OVERRIDE",BU$24,"DEEP_PERIOD_OVERRIDE",$H$19)*1,"")))</f>
        <v/>
      </c>
      <c r="BV262" t="str">
        <f>IF(OR(BV$23="",ISNA($B262)),"",IF(ISBLANK($B262),"",IFERROR(_xll.BDP(TICKER,"DEEP_MEASURE_PERIOD_BROKER_VALUE","DEEP_MEASURE_ID_OVERRIDE",$C262,"DEEP_BROKER_ID_OVERRIDE",BV$24,"DEEP_PERIOD_OVERRIDE",$H$19)*1,"")))</f>
        <v/>
      </c>
      <c r="BW262" t="str">
        <f>IF(OR(BW$23="",ISNA($B262)),"",IF(ISBLANK($B262),"",IFERROR(_xll.BDP(TICKER,"DEEP_MEASURE_PERIOD_BROKER_VALUE","DEEP_MEASURE_ID_OVERRIDE",$C262,"DEEP_BROKER_ID_OVERRIDE",BW$24,"DEEP_PERIOD_OVERRIDE",$H$19)*1,"")))</f>
        <v/>
      </c>
      <c r="BX262" t="str">
        <f>IF(OR(BX$23="",ISNA($B262)),"",IF(ISBLANK($B262),"",IFERROR(_xll.BDP(TICKER,"DEEP_MEASURE_PERIOD_BROKER_VALUE","DEEP_MEASURE_ID_OVERRIDE",$C262,"DEEP_BROKER_ID_OVERRIDE",BX$24,"DEEP_PERIOD_OVERRIDE",$H$19)*1,"")))</f>
        <v/>
      </c>
      <c r="BY262" t="str">
        <f>IF(OR(BY$23="",ISNA($B262)),"",IF(ISBLANK($B262),"",IFERROR(_xll.BDP(TICKER,"DEEP_MEASURE_PERIOD_BROKER_VALUE","DEEP_MEASURE_ID_OVERRIDE",$C262,"DEEP_BROKER_ID_OVERRIDE",BY$24,"DEEP_PERIOD_OVERRIDE",$H$19)*1,"")))</f>
        <v/>
      </c>
      <c r="BZ262" t="str">
        <f>IF(OR(BZ$23="",ISNA($B262)),"",IF(ISBLANK($B262),"",IFERROR(_xll.BDP(TICKER,"DEEP_MEASURE_PERIOD_BROKER_VALUE","DEEP_MEASURE_ID_OVERRIDE",$C262,"DEEP_BROKER_ID_OVERRIDE",BZ$24,"DEEP_PERIOD_OVERRIDE",$H$19)*1,"")))</f>
        <v/>
      </c>
    </row>
    <row r="263" spans="8:78" x14ac:dyDescent="0.25">
      <c r="H263" t="str">
        <f t="shared" si="4"/>
        <v/>
      </c>
      <c r="I263" t="str">
        <f>IF(OR(I$23="",ISNA($B263)),"",IF(ISBLANK($B263),"",IFERROR(_xll.BDP(TICKER,"DEEP_MEASURE_PERIOD_BROKER_VALUE","DEEP_MEASURE_ID_OVERRIDE",$C263,"DEEP_PERIOD_OVERRIDE",$H$19)*1,"")))</f>
        <v/>
      </c>
      <c r="J263" t="e">
        <f>IF(OR(J$23="",ISNA($B263)),"",IF(ISBLANK($B263),"",IFERROR(_xll.BDP(TICKER,"DEEP_MEASURE_PERIOD_BROKER_VALUE","DEEP_MEASURE_ID_OVERRIDE",$C263,"DEEP_BROKER_ID_OVERRIDE",J$24,"DEEP_PERIOD_OVERRIDE",$H$19)*1,"")))</f>
        <v>#REF!</v>
      </c>
      <c r="K263" t="str">
        <f>IF(OR(K$23="",ISNA($B263)),"",IF(ISBLANK($B263),"",IFERROR(_xll.BDP(TICKER,"DEEP_MEASURE_PERIOD_BROKER_VALUE","DEEP_MEASURE_ID_OVERRIDE",$C263,"DEEP_BROKER_ID_OVERRIDE",K$24,"DEEP_PERIOD_OVERRIDE",$H$19)*1,"")))</f>
        <v/>
      </c>
      <c r="L263" t="str">
        <f>IF(OR(L$23="",ISNA($B263)),"",IF(ISBLANK($B263),"",IFERROR(_xll.BDP(TICKER,"DEEP_MEASURE_PERIOD_BROKER_VALUE","DEEP_MEASURE_ID_OVERRIDE",$C263,"DEEP_BROKER_ID_OVERRIDE",L$24,"DEEP_PERIOD_OVERRIDE",$H$19)*1,"")))</f>
        <v/>
      </c>
      <c r="M263" t="str">
        <f>IF(OR(M$23="",ISNA($B263)),"",IF(ISBLANK($B263),"",IFERROR(_xll.BDP(TICKER,"DEEP_MEASURE_PERIOD_BROKER_VALUE","DEEP_MEASURE_ID_OVERRIDE",$C263,"DEEP_BROKER_ID_OVERRIDE",M$24,"DEEP_PERIOD_OVERRIDE",$H$19)*1,"")))</f>
        <v/>
      </c>
      <c r="N263" t="str">
        <f>IF(OR(N$23="",ISNA($B263)),"",IF(ISBLANK($B263),"",IFERROR(_xll.BDP(TICKER,"DEEP_MEASURE_PERIOD_BROKER_VALUE","DEEP_MEASURE_ID_OVERRIDE",$C263,"DEEP_BROKER_ID_OVERRIDE",N$24,"DEEP_PERIOD_OVERRIDE",$H$19)*1,"")))</f>
        <v/>
      </c>
      <c r="O263" t="str">
        <f>IF(OR(O$23="",ISNA($B263)),"",IF(ISBLANK($B263),"",IFERROR(_xll.BDP(TICKER,"DEEP_MEASURE_PERIOD_BROKER_VALUE","DEEP_MEASURE_ID_OVERRIDE",$C263,"DEEP_BROKER_ID_OVERRIDE",O$24,"DEEP_PERIOD_OVERRIDE",$H$19)*1,"")))</f>
        <v/>
      </c>
      <c r="P263" t="str">
        <f>IF(OR(P$23="",ISNA($B263)),"",IF(ISBLANK($B263),"",IFERROR(_xll.BDP(TICKER,"DEEP_MEASURE_PERIOD_BROKER_VALUE","DEEP_MEASURE_ID_OVERRIDE",$C263,"DEEP_BROKER_ID_OVERRIDE",P$24,"DEEP_PERIOD_OVERRIDE",$H$19)*1,"")))</f>
        <v/>
      </c>
      <c r="Q263" t="str">
        <f>IF(OR(Q$23="",ISNA($B263)),"",IF(ISBLANK($B263),"",IFERROR(_xll.BDP(TICKER,"DEEP_MEASURE_PERIOD_BROKER_VALUE","DEEP_MEASURE_ID_OVERRIDE",$C263,"DEEP_BROKER_ID_OVERRIDE",Q$24,"DEEP_PERIOD_OVERRIDE",$H$19)*1,"")))</f>
        <v/>
      </c>
      <c r="R263" t="str">
        <f>IF(OR(R$23="",ISNA($B263)),"",IF(ISBLANK($B263),"",IFERROR(_xll.BDP(TICKER,"DEEP_MEASURE_PERIOD_BROKER_VALUE","DEEP_MEASURE_ID_OVERRIDE",$C263,"DEEP_BROKER_ID_OVERRIDE",R$24,"DEEP_PERIOD_OVERRIDE",$H$19)*1,"")))</f>
        <v/>
      </c>
      <c r="S263" t="str">
        <f>IF(OR(S$23="",ISNA($B263)),"",IF(ISBLANK($B263),"",IFERROR(_xll.BDP(TICKER,"DEEP_MEASURE_PERIOD_BROKER_VALUE","DEEP_MEASURE_ID_OVERRIDE",$C263,"DEEP_BROKER_ID_OVERRIDE",S$24,"DEEP_PERIOD_OVERRIDE",$H$19)*1,"")))</f>
        <v/>
      </c>
      <c r="T263" t="str">
        <f>IF(OR(T$23="",ISNA($B263)),"",IF(ISBLANK($B263),"",IFERROR(_xll.BDP(TICKER,"DEEP_MEASURE_PERIOD_BROKER_VALUE","DEEP_MEASURE_ID_OVERRIDE",$C263,"DEEP_BROKER_ID_OVERRIDE",T$24,"DEEP_PERIOD_OVERRIDE",$H$19)*1,"")))</f>
        <v/>
      </c>
      <c r="U263" t="str">
        <f>IF(OR(U$23="",ISNA($B263)),"",IF(ISBLANK($B263),"",IFERROR(_xll.BDP(TICKER,"DEEP_MEASURE_PERIOD_BROKER_VALUE","DEEP_MEASURE_ID_OVERRIDE",$C263,"DEEP_BROKER_ID_OVERRIDE",U$24,"DEEP_PERIOD_OVERRIDE",$H$19)*1,"")))</f>
        <v/>
      </c>
      <c r="V263" t="str">
        <f>IF(OR(V$23="",ISNA($B263)),"",IF(ISBLANK($B263),"",IFERROR(_xll.BDP(TICKER,"DEEP_MEASURE_PERIOD_BROKER_VALUE","DEEP_MEASURE_ID_OVERRIDE",$C263,"DEEP_BROKER_ID_OVERRIDE",V$24,"DEEP_PERIOD_OVERRIDE",$H$19)*1,"")))</f>
        <v/>
      </c>
      <c r="W263" t="str">
        <f>IF(OR(W$23="",ISNA($B263)),"",IF(ISBLANK($B263),"",IFERROR(_xll.BDP(TICKER,"DEEP_MEASURE_PERIOD_BROKER_VALUE","DEEP_MEASURE_ID_OVERRIDE",$C263,"DEEP_BROKER_ID_OVERRIDE",W$24,"DEEP_PERIOD_OVERRIDE",$H$19)*1,"")))</f>
        <v/>
      </c>
      <c r="X263" t="str">
        <f>IF(OR(X$23="",ISNA($B263)),"",IF(ISBLANK($B263),"",IFERROR(_xll.BDP(TICKER,"DEEP_MEASURE_PERIOD_BROKER_VALUE","DEEP_MEASURE_ID_OVERRIDE",$C263,"DEEP_BROKER_ID_OVERRIDE",X$24,"DEEP_PERIOD_OVERRIDE",$H$19)*1,"")))</f>
        <v/>
      </c>
      <c r="Y263" t="str">
        <f>IF(OR(Y$23="",ISNA($B263)),"",IF(ISBLANK($B263),"",IFERROR(_xll.BDP(TICKER,"DEEP_MEASURE_PERIOD_BROKER_VALUE","DEEP_MEASURE_ID_OVERRIDE",$C263,"DEEP_BROKER_ID_OVERRIDE",Y$24,"DEEP_PERIOD_OVERRIDE",$H$19)*1,"")))</f>
        <v/>
      </c>
      <c r="Z263" t="str">
        <f>IF(OR(Z$23="",ISNA($B263)),"",IF(ISBLANK($B263),"",IFERROR(_xll.BDP(TICKER,"DEEP_MEASURE_PERIOD_BROKER_VALUE","DEEP_MEASURE_ID_OVERRIDE",$C263,"DEEP_BROKER_ID_OVERRIDE",Z$24,"DEEP_PERIOD_OVERRIDE",$H$19)*1,"")))</f>
        <v/>
      </c>
      <c r="AA263" t="str">
        <f>IF(OR(AA$23="",ISNA($B263)),"",IF(ISBLANK($B263),"",IFERROR(_xll.BDP(TICKER,"DEEP_MEASURE_PERIOD_BROKER_VALUE","DEEP_MEASURE_ID_OVERRIDE",$C263,"DEEP_BROKER_ID_OVERRIDE",AA$24,"DEEP_PERIOD_OVERRIDE",$H$19)*1,"")))</f>
        <v/>
      </c>
      <c r="AB263" t="str">
        <f>IF(OR(AB$23="",ISNA($B263)),"",IF(ISBLANK($B263),"",IFERROR(_xll.BDP(TICKER,"DEEP_MEASURE_PERIOD_BROKER_VALUE","DEEP_MEASURE_ID_OVERRIDE",$C263,"DEEP_BROKER_ID_OVERRIDE",AB$24,"DEEP_PERIOD_OVERRIDE",$H$19)*1,"")))</f>
        <v/>
      </c>
      <c r="AC263" t="str">
        <f>IF(OR(AC$23="",ISNA($B263)),"",IF(ISBLANK($B263),"",IFERROR(_xll.BDP(TICKER,"DEEP_MEASURE_PERIOD_BROKER_VALUE","DEEP_MEASURE_ID_OVERRIDE",$C263,"DEEP_BROKER_ID_OVERRIDE",AC$24,"DEEP_PERIOD_OVERRIDE",$H$19)*1,"")))</f>
        <v/>
      </c>
      <c r="AD263" t="str">
        <f>IF(OR(AD$23="",ISNA($B263)),"",IF(ISBLANK($B263),"",IFERROR(_xll.BDP(TICKER,"DEEP_MEASURE_PERIOD_BROKER_VALUE","DEEP_MEASURE_ID_OVERRIDE",$C263,"DEEP_BROKER_ID_OVERRIDE",AD$24,"DEEP_PERIOD_OVERRIDE",$H$19)*1,"")))</f>
        <v/>
      </c>
      <c r="AE263" t="str">
        <f>IF(OR(AE$23="",ISNA($B263)),"",IF(ISBLANK($B263),"",IFERROR(_xll.BDP(TICKER,"DEEP_MEASURE_PERIOD_BROKER_VALUE","DEEP_MEASURE_ID_OVERRIDE",$C263,"DEEP_BROKER_ID_OVERRIDE",AE$24,"DEEP_PERIOD_OVERRIDE",$H$19)*1,"")))</f>
        <v/>
      </c>
      <c r="AF263" t="str">
        <f>IF(OR(AF$23="",ISNA($B263)),"",IF(ISBLANK($B263),"",IFERROR(_xll.BDP(TICKER,"DEEP_MEASURE_PERIOD_BROKER_VALUE","DEEP_MEASURE_ID_OVERRIDE",$C263,"DEEP_BROKER_ID_OVERRIDE",AF$24,"DEEP_PERIOD_OVERRIDE",$H$19)*1,"")))</f>
        <v/>
      </c>
      <c r="AG263" t="str">
        <f>IF(OR(AG$23="",ISNA($B263)),"",IF(ISBLANK($B263),"",IFERROR(_xll.BDP(TICKER,"DEEP_MEASURE_PERIOD_BROKER_VALUE","DEEP_MEASURE_ID_OVERRIDE",$C263,"DEEP_BROKER_ID_OVERRIDE",AG$24,"DEEP_PERIOD_OVERRIDE",$H$19)*1,"")))</f>
        <v/>
      </c>
      <c r="AH263" t="str">
        <f>IF(OR(AH$23="",ISNA($B263)),"",IF(ISBLANK($B263),"",IFERROR(_xll.BDP(TICKER,"DEEP_MEASURE_PERIOD_BROKER_VALUE","DEEP_MEASURE_ID_OVERRIDE",$C263,"DEEP_BROKER_ID_OVERRIDE",AH$24,"DEEP_PERIOD_OVERRIDE",$H$19)*1,"")))</f>
        <v/>
      </c>
      <c r="AI263" t="str">
        <f>IF(OR(AI$23="",ISNA($B263)),"",IF(ISBLANK($B263),"",IFERROR(_xll.BDP(TICKER,"DEEP_MEASURE_PERIOD_BROKER_VALUE","DEEP_MEASURE_ID_OVERRIDE",$C263,"DEEP_BROKER_ID_OVERRIDE",AI$24,"DEEP_PERIOD_OVERRIDE",$H$19)*1,"")))</f>
        <v/>
      </c>
      <c r="AJ263" t="str">
        <f>IF(OR(AJ$23="",ISNA($B263)),"",IF(ISBLANK($B263),"",IFERROR(_xll.BDP(TICKER,"DEEP_MEASURE_PERIOD_BROKER_VALUE","DEEP_MEASURE_ID_OVERRIDE",$C263,"DEEP_BROKER_ID_OVERRIDE",AJ$24,"DEEP_PERIOD_OVERRIDE",$H$19)*1,"")))</f>
        <v/>
      </c>
      <c r="AK263" t="str">
        <f>IF(OR(AK$23="",ISNA($B263)),"",IF(ISBLANK($B263),"",IFERROR(_xll.BDP(TICKER,"DEEP_MEASURE_PERIOD_BROKER_VALUE","DEEP_MEASURE_ID_OVERRIDE",$C263,"DEEP_BROKER_ID_OVERRIDE",AK$24,"DEEP_PERIOD_OVERRIDE",$H$19)*1,"")))</f>
        <v/>
      </c>
      <c r="AL263" t="str">
        <f>IF(OR(AL$23="",ISNA($B263)),"",IF(ISBLANK($B263),"",IFERROR(_xll.BDP(TICKER,"DEEP_MEASURE_PERIOD_BROKER_VALUE","DEEP_MEASURE_ID_OVERRIDE",$C263,"DEEP_BROKER_ID_OVERRIDE",AL$24,"DEEP_PERIOD_OVERRIDE",$H$19)*1,"")))</f>
        <v/>
      </c>
      <c r="AM263" t="str">
        <f>IF(OR(AM$23="",ISNA($B263)),"",IF(ISBLANK($B263),"",IFERROR(_xll.BDP(TICKER,"DEEP_MEASURE_PERIOD_BROKER_VALUE","DEEP_MEASURE_ID_OVERRIDE",$C263,"DEEP_BROKER_ID_OVERRIDE",AM$24,"DEEP_PERIOD_OVERRIDE",$H$19)*1,"")))</f>
        <v/>
      </c>
      <c r="AN263" t="str">
        <f>IF(OR(AN$23="",ISNA($B263)),"",IF(ISBLANK($B263),"",IFERROR(_xll.BDP(TICKER,"DEEP_MEASURE_PERIOD_BROKER_VALUE","DEEP_MEASURE_ID_OVERRIDE",$C263,"DEEP_BROKER_ID_OVERRIDE",AN$24,"DEEP_PERIOD_OVERRIDE",$H$19)*1,"")))</f>
        <v/>
      </c>
      <c r="AO263" t="str">
        <f>IF(OR(AO$23="",ISNA($B263)),"",IF(ISBLANK($B263),"",IFERROR(_xll.BDP(TICKER,"DEEP_MEASURE_PERIOD_BROKER_VALUE","DEEP_MEASURE_ID_OVERRIDE",$C263,"DEEP_BROKER_ID_OVERRIDE",AO$24,"DEEP_PERIOD_OVERRIDE",$H$19)*1,"")))</f>
        <v/>
      </c>
      <c r="AP263" t="str">
        <f>IF(OR(AP$23="",ISNA($B263)),"",IF(ISBLANK($B263),"",IFERROR(_xll.BDP(TICKER,"DEEP_MEASURE_PERIOD_BROKER_VALUE","DEEP_MEASURE_ID_OVERRIDE",$C263,"DEEP_BROKER_ID_OVERRIDE",AP$24,"DEEP_PERIOD_OVERRIDE",$H$19)*1,"")))</f>
        <v/>
      </c>
      <c r="AQ263" t="str">
        <f>IF(OR(AQ$23="",ISNA($B263)),"",IF(ISBLANK($B263),"",IFERROR(_xll.BDP(TICKER,"DEEP_MEASURE_PERIOD_BROKER_VALUE","DEEP_MEASURE_ID_OVERRIDE",$C263,"DEEP_BROKER_ID_OVERRIDE",AQ$24,"DEEP_PERIOD_OVERRIDE",$H$19)*1,"")))</f>
        <v/>
      </c>
      <c r="AR263" t="str">
        <f>IF(OR(AR$23="",ISNA($B263)),"",IF(ISBLANK($B263),"",IFERROR(_xll.BDP(TICKER,"DEEP_MEASURE_PERIOD_BROKER_VALUE","DEEP_MEASURE_ID_OVERRIDE",$C263,"DEEP_BROKER_ID_OVERRIDE",AR$24,"DEEP_PERIOD_OVERRIDE",$H$19)*1,"")))</f>
        <v/>
      </c>
      <c r="AS263" t="str">
        <f>IF(OR(AS$23="",ISNA($B263)),"",IF(ISBLANK($B263),"",IFERROR(_xll.BDP(TICKER,"DEEP_MEASURE_PERIOD_BROKER_VALUE","DEEP_MEASURE_ID_OVERRIDE",$C263,"DEEP_BROKER_ID_OVERRIDE",AS$24,"DEEP_PERIOD_OVERRIDE",$H$19)*1,"")))</f>
        <v/>
      </c>
      <c r="AT263" t="str">
        <f>IF(OR(AT$23="",ISNA($B263)),"",IF(ISBLANK($B263),"",IFERROR(_xll.BDP(TICKER,"DEEP_MEASURE_PERIOD_BROKER_VALUE","DEEP_MEASURE_ID_OVERRIDE",$C263,"DEEP_BROKER_ID_OVERRIDE",AT$24,"DEEP_PERIOD_OVERRIDE",$H$19)*1,"")))</f>
        <v/>
      </c>
      <c r="AU263" t="str">
        <f>IF(OR(AU$23="",ISNA($B263)),"",IF(ISBLANK($B263),"",IFERROR(_xll.BDP(TICKER,"DEEP_MEASURE_PERIOD_BROKER_VALUE","DEEP_MEASURE_ID_OVERRIDE",$C263,"DEEP_BROKER_ID_OVERRIDE",AU$24,"DEEP_PERIOD_OVERRIDE",$H$19)*1,"")))</f>
        <v/>
      </c>
      <c r="AV263" t="str">
        <f>IF(OR(AV$23="",ISNA($B263)),"",IF(ISBLANK($B263),"",IFERROR(_xll.BDP(TICKER,"DEEP_MEASURE_PERIOD_BROKER_VALUE","DEEP_MEASURE_ID_OVERRIDE",$C263,"DEEP_BROKER_ID_OVERRIDE",AV$24,"DEEP_PERIOD_OVERRIDE",$H$19)*1,"")))</f>
        <v/>
      </c>
      <c r="AW263" t="str">
        <f>IF(OR(AW$23="",ISNA($B263)),"",IF(ISBLANK($B263),"",IFERROR(_xll.BDP(TICKER,"DEEP_MEASURE_PERIOD_BROKER_VALUE","DEEP_MEASURE_ID_OVERRIDE",$C263,"DEEP_BROKER_ID_OVERRIDE",AW$24,"DEEP_PERIOD_OVERRIDE",$H$19)*1,"")))</f>
        <v/>
      </c>
      <c r="AX263" t="str">
        <f>IF(OR(AX$23="",ISNA($B263)),"",IF(ISBLANK($B263),"",IFERROR(_xll.BDP(TICKER,"DEEP_MEASURE_PERIOD_BROKER_VALUE","DEEP_MEASURE_ID_OVERRIDE",$C263,"DEEP_BROKER_ID_OVERRIDE",AX$24,"DEEP_PERIOD_OVERRIDE",$H$19)*1,"")))</f>
        <v/>
      </c>
      <c r="AY263" t="str">
        <f>IF(OR(AY$23="",ISNA($B263)),"",IF(ISBLANK($B263),"",IFERROR(_xll.BDP(TICKER,"DEEP_MEASURE_PERIOD_BROKER_VALUE","DEEP_MEASURE_ID_OVERRIDE",$C263,"DEEP_BROKER_ID_OVERRIDE",AY$24,"DEEP_PERIOD_OVERRIDE",$H$19)*1,"")))</f>
        <v/>
      </c>
      <c r="AZ263" t="str">
        <f>IF(OR(AZ$23="",ISNA($B263)),"",IF(ISBLANK($B263),"",IFERROR(_xll.BDP(TICKER,"DEEP_MEASURE_PERIOD_BROKER_VALUE","DEEP_MEASURE_ID_OVERRIDE",$C263,"DEEP_BROKER_ID_OVERRIDE",AZ$24,"DEEP_PERIOD_OVERRIDE",$H$19)*1,"")))</f>
        <v/>
      </c>
      <c r="BA263" t="str">
        <f>IF(OR(BA$23="",ISNA($B263)),"",IF(ISBLANK($B263),"",IFERROR(_xll.BDP(TICKER,"DEEP_MEASURE_PERIOD_BROKER_VALUE","DEEP_MEASURE_ID_OVERRIDE",$C263,"DEEP_BROKER_ID_OVERRIDE",BA$24,"DEEP_PERIOD_OVERRIDE",$H$19)*1,"")))</f>
        <v/>
      </c>
      <c r="BB263" t="str">
        <f>IF(OR(BB$23="",ISNA($B263)),"",IF(ISBLANK($B263),"",IFERROR(_xll.BDP(TICKER,"DEEP_MEASURE_PERIOD_BROKER_VALUE","DEEP_MEASURE_ID_OVERRIDE",$C263,"DEEP_BROKER_ID_OVERRIDE",BB$24,"DEEP_PERIOD_OVERRIDE",$H$19)*1,"")))</f>
        <v/>
      </c>
      <c r="BC263" t="str">
        <f>IF(OR(BC$23="",ISNA($B263)),"",IF(ISBLANK($B263),"",IFERROR(_xll.BDP(TICKER,"DEEP_MEASURE_PERIOD_BROKER_VALUE","DEEP_MEASURE_ID_OVERRIDE",$C263,"DEEP_BROKER_ID_OVERRIDE",BC$24,"DEEP_PERIOD_OVERRIDE",$H$19)*1,"")))</f>
        <v/>
      </c>
      <c r="BD263" t="str">
        <f>IF(OR(BD$23="",ISNA($B263)),"",IF(ISBLANK($B263),"",IFERROR(_xll.BDP(TICKER,"DEEP_MEASURE_PERIOD_BROKER_VALUE","DEEP_MEASURE_ID_OVERRIDE",$C263,"DEEP_BROKER_ID_OVERRIDE",BD$24,"DEEP_PERIOD_OVERRIDE",$H$19)*1,"")))</f>
        <v/>
      </c>
      <c r="BE263" t="str">
        <f>IF(OR(BE$23="",ISNA($B263)),"",IF(ISBLANK($B263),"",IFERROR(_xll.BDP(TICKER,"DEEP_MEASURE_PERIOD_BROKER_VALUE","DEEP_MEASURE_ID_OVERRIDE",$C263,"DEEP_BROKER_ID_OVERRIDE",BE$24,"DEEP_PERIOD_OVERRIDE",$H$19)*1,"")))</f>
        <v/>
      </c>
      <c r="BF263" t="str">
        <f>IF(OR(BF$23="",ISNA($B263)),"",IF(ISBLANK($B263),"",IFERROR(_xll.BDP(TICKER,"DEEP_MEASURE_PERIOD_BROKER_VALUE","DEEP_MEASURE_ID_OVERRIDE",$C263,"DEEP_BROKER_ID_OVERRIDE",BF$24,"DEEP_PERIOD_OVERRIDE",$H$19)*1,"")))</f>
        <v/>
      </c>
      <c r="BG263" t="str">
        <f>IF(OR(BG$23="",ISNA($B263)),"",IF(ISBLANK($B263),"",IFERROR(_xll.BDP(TICKER,"DEEP_MEASURE_PERIOD_BROKER_VALUE","DEEP_MEASURE_ID_OVERRIDE",$C263,"DEEP_BROKER_ID_OVERRIDE",BG$24,"DEEP_PERIOD_OVERRIDE",$H$19)*1,"")))</f>
        <v/>
      </c>
      <c r="BH263" t="str">
        <f>IF(OR(BH$23="",ISNA($B263)),"",IF(ISBLANK($B263),"",IFERROR(_xll.BDP(TICKER,"DEEP_MEASURE_PERIOD_BROKER_VALUE","DEEP_MEASURE_ID_OVERRIDE",$C263,"DEEP_BROKER_ID_OVERRIDE",BH$24,"DEEP_PERIOD_OVERRIDE",$H$19)*1,"")))</f>
        <v/>
      </c>
      <c r="BI263" t="str">
        <f>IF(OR(BI$23="",ISNA($B263)),"",IF(ISBLANK($B263),"",IFERROR(_xll.BDP(TICKER,"DEEP_MEASURE_PERIOD_BROKER_VALUE","DEEP_MEASURE_ID_OVERRIDE",$C263,"DEEP_BROKER_ID_OVERRIDE",BI$24,"DEEP_PERIOD_OVERRIDE",$H$19)*1,"")))</f>
        <v/>
      </c>
      <c r="BJ263" t="str">
        <f>IF(OR(BJ$23="",ISNA($B263)),"",IF(ISBLANK($B263),"",IFERROR(_xll.BDP(TICKER,"DEEP_MEASURE_PERIOD_BROKER_VALUE","DEEP_MEASURE_ID_OVERRIDE",$C263,"DEEP_BROKER_ID_OVERRIDE",BJ$24,"DEEP_PERIOD_OVERRIDE",$H$19)*1,"")))</f>
        <v/>
      </c>
      <c r="BK263" t="str">
        <f>IF(OR(BK$23="",ISNA($B263)),"",IF(ISBLANK($B263),"",IFERROR(_xll.BDP(TICKER,"DEEP_MEASURE_PERIOD_BROKER_VALUE","DEEP_MEASURE_ID_OVERRIDE",$C263,"DEEP_BROKER_ID_OVERRIDE",BK$24,"DEEP_PERIOD_OVERRIDE",$H$19)*1,"")))</f>
        <v/>
      </c>
      <c r="BL263" t="str">
        <f>IF(OR(BL$23="",ISNA($B263)),"",IF(ISBLANK($B263),"",IFERROR(_xll.BDP(TICKER,"DEEP_MEASURE_PERIOD_BROKER_VALUE","DEEP_MEASURE_ID_OVERRIDE",$C263,"DEEP_BROKER_ID_OVERRIDE",BL$24,"DEEP_PERIOD_OVERRIDE",$H$19)*1,"")))</f>
        <v/>
      </c>
      <c r="BM263" t="str">
        <f>IF(OR(BM$23="",ISNA($B263)),"",IF(ISBLANK($B263),"",IFERROR(_xll.BDP(TICKER,"DEEP_MEASURE_PERIOD_BROKER_VALUE","DEEP_MEASURE_ID_OVERRIDE",$C263,"DEEP_BROKER_ID_OVERRIDE",BM$24,"DEEP_PERIOD_OVERRIDE",$H$19)*1,"")))</f>
        <v/>
      </c>
      <c r="BN263" t="str">
        <f>IF(OR(BN$23="",ISNA($B263)),"",IF(ISBLANK($B263),"",IFERROR(_xll.BDP(TICKER,"DEEP_MEASURE_PERIOD_BROKER_VALUE","DEEP_MEASURE_ID_OVERRIDE",$C263,"DEEP_BROKER_ID_OVERRIDE",BN$24,"DEEP_PERIOD_OVERRIDE",$H$19)*1,"")))</f>
        <v/>
      </c>
      <c r="BO263" t="str">
        <f>IF(OR(BO$23="",ISNA($B263)),"",IF(ISBLANK($B263),"",IFERROR(_xll.BDP(TICKER,"DEEP_MEASURE_PERIOD_BROKER_VALUE","DEEP_MEASURE_ID_OVERRIDE",$C263,"DEEP_BROKER_ID_OVERRIDE",BO$24,"DEEP_PERIOD_OVERRIDE",$H$19)*1,"")))</f>
        <v/>
      </c>
      <c r="BP263" t="str">
        <f>IF(OR(BP$23="",ISNA($B263)),"",IF(ISBLANK($B263),"",IFERROR(_xll.BDP(TICKER,"DEEP_MEASURE_PERIOD_BROKER_VALUE","DEEP_MEASURE_ID_OVERRIDE",$C263,"DEEP_BROKER_ID_OVERRIDE",BP$24,"DEEP_PERIOD_OVERRIDE",$H$19)*1,"")))</f>
        <v/>
      </c>
      <c r="BQ263" t="str">
        <f>IF(OR(BQ$23="",ISNA($B263)),"",IF(ISBLANK($B263),"",IFERROR(_xll.BDP(TICKER,"DEEP_MEASURE_PERIOD_BROKER_VALUE","DEEP_MEASURE_ID_OVERRIDE",$C263,"DEEP_BROKER_ID_OVERRIDE",BQ$24,"DEEP_PERIOD_OVERRIDE",$H$19)*1,"")))</f>
        <v/>
      </c>
      <c r="BR263" t="str">
        <f>IF(OR(BR$23="",ISNA($B263)),"",IF(ISBLANK($B263),"",IFERROR(_xll.BDP(TICKER,"DEEP_MEASURE_PERIOD_BROKER_VALUE","DEEP_MEASURE_ID_OVERRIDE",$C263,"DEEP_BROKER_ID_OVERRIDE",BR$24,"DEEP_PERIOD_OVERRIDE",$H$19)*1,"")))</f>
        <v/>
      </c>
      <c r="BS263" t="str">
        <f>IF(OR(BS$23="",ISNA($B263)),"",IF(ISBLANK($B263),"",IFERROR(_xll.BDP(TICKER,"DEEP_MEASURE_PERIOD_BROKER_VALUE","DEEP_MEASURE_ID_OVERRIDE",$C263,"DEEP_BROKER_ID_OVERRIDE",BS$24,"DEEP_PERIOD_OVERRIDE",$H$19)*1,"")))</f>
        <v/>
      </c>
      <c r="BT263" t="str">
        <f>IF(OR(BT$23="",ISNA($B263)),"",IF(ISBLANK($B263),"",IFERROR(_xll.BDP(TICKER,"DEEP_MEASURE_PERIOD_BROKER_VALUE","DEEP_MEASURE_ID_OVERRIDE",$C263,"DEEP_BROKER_ID_OVERRIDE",BT$24,"DEEP_PERIOD_OVERRIDE",$H$19)*1,"")))</f>
        <v/>
      </c>
      <c r="BU263" t="str">
        <f>IF(OR(BU$23="",ISNA($B263)),"",IF(ISBLANK($B263),"",IFERROR(_xll.BDP(TICKER,"DEEP_MEASURE_PERIOD_BROKER_VALUE","DEEP_MEASURE_ID_OVERRIDE",$C263,"DEEP_BROKER_ID_OVERRIDE",BU$24,"DEEP_PERIOD_OVERRIDE",$H$19)*1,"")))</f>
        <v/>
      </c>
      <c r="BV263" t="str">
        <f>IF(OR(BV$23="",ISNA($B263)),"",IF(ISBLANK($B263),"",IFERROR(_xll.BDP(TICKER,"DEEP_MEASURE_PERIOD_BROKER_VALUE","DEEP_MEASURE_ID_OVERRIDE",$C263,"DEEP_BROKER_ID_OVERRIDE",BV$24,"DEEP_PERIOD_OVERRIDE",$H$19)*1,"")))</f>
        <v/>
      </c>
      <c r="BW263" t="str">
        <f>IF(OR(BW$23="",ISNA($B263)),"",IF(ISBLANK($B263),"",IFERROR(_xll.BDP(TICKER,"DEEP_MEASURE_PERIOD_BROKER_VALUE","DEEP_MEASURE_ID_OVERRIDE",$C263,"DEEP_BROKER_ID_OVERRIDE",BW$24,"DEEP_PERIOD_OVERRIDE",$H$19)*1,"")))</f>
        <v/>
      </c>
      <c r="BX263" t="str">
        <f>IF(OR(BX$23="",ISNA($B263)),"",IF(ISBLANK($B263),"",IFERROR(_xll.BDP(TICKER,"DEEP_MEASURE_PERIOD_BROKER_VALUE","DEEP_MEASURE_ID_OVERRIDE",$C263,"DEEP_BROKER_ID_OVERRIDE",BX$24,"DEEP_PERIOD_OVERRIDE",$H$19)*1,"")))</f>
        <v/>
      </c>
      <c r="BY263" t="str">
        <f>IF(OR(BY$23="",ISNA($B263)),"",IF(ISBLANK($B263),"",IFERROR(_xll.BDP(TICKER,"DEEP_MEASURE_PERIOD_BROKER_VALUE","DEEP_MEASURE_ID_OVERRIDE",$C263,"DEEP_BROKER_ID_OVERRIDE",BY$24,"DEEP_PERIOD_OVERRIDE",$H$19)*1,"")))</f>
        <v/>
      </c>
      <c r="BZ263" t="str">
        <f>IF(OR(BZ$23="",ISNA($B263)),"",IF(ISBLANK($B263),"",IFERROR(_xll.BDP(TICKER,"DEEP_MEASURE_PERIOD_BROKER_VALUE","DEEP_MEASURE_ID_OVERRIDE",$C263,"DEEP_BROKER_ID_OVERRIDE",BZ$24,"DEEP_PERIOD_OVERRIDE",$H$19)*1,"")))</f>
        <v/>
      </c>
    </row>
    <row r="264" spans="8:78" x14ac:dyDescent="0.25">
      <c r="H264" t="str">
        <f t="shared" si="4"/>
        <v/>
      </c>
      <c r="I264" t="str">
        <f>IF(OR(I$23="",ISNA($B264)),"",IF(ISBLANK($B264),"",IFERROR(_xll.BDP(TICKER,"DEEP_MEASURE_PERIOD_BROKER_VALUE","DEEP_MEASURE_ID_OVERRIDE",$C264,"DEEP_PERIOD_OVERRIDE",$H$19)*1,"")))</f>
        <v/>
      </c>
      <c r="J264" t="e">
        <f>IF(OR(J$23="",ISNA($B264)),"",IF(ISBLANK($B264),"",IFERROR(_xll.BDP(TICKER,"DEEP_MEASURE_PERIOD_BROKER_VALUE","DEEP_MEASURE_ID_OVERRIDE",$C264,"DEEP_BROKER_ID_OVERRIDE",J$24,"DEEP_PERIOD_OVERRIDE",$H$19)*1,"")))</f>
        <v>#REF!</v>
      </c>
      <c r="K264" t="str">
        <f>IF(OR(K$23="",ISNA($B264)),"",IF(ISBLANK($B264),"",IFERROR(_xll.BDP(TICKER,"DEEP_MEASURE_PERIOD_BROKER_VALUE","DEEP_MEASURE_ID_OVERRIDE",$C264,"DEEP_BROKER_ID_OVERRIDE",K$24,"DEEP_PERIOD_OVERRIDE",$H$19)*1,"")))</f>
        <v/>
      </c>
      <c r="L264" t="str">
        <f>IF(OR(L$23="",ISNA($B264)),"",IF(ISBLANK($B264),"",IFERROR(_xll.BDP(TICKER,"DEEP_MEASURE_PERIOD_BROKER_VALUE","DEEP_MEASURE_ID_OVERRIDE",$C264,"DEEP_BROKER_ID_OVERRIDE",L$24,"DEEP_PERIOD_OVERRIDE",$H$19)*1,"")))</f>
        <v/>
      </c>
      <c r="M264" t="str">
        <f>IF(OR(M$23="",ISNA($B264)),"",IF(ISBLANK($B264),"",IFERROR(_xll.BDP(TICKER,"DEEP_MEASURE_PERIOD_BROKER_VALUE","DEEP_MEASURE_ID_OVERRIDE",$C264,"DEEP_BROKER_ID_OVERRIDE",M$24,"DEEP_PERIOD_OVERRIDE",$H$19)*1,"")))</f>
        <v/>
      </c>
      <c r="N264" t="str">
        <f>IF(OR(N$23="",ISNA($B264)),"",IF(ISBLANK($B264),"",IFERROR(_xll.BDP(TICKER,"DEEP_MEASURE_PERIOD_BROKER_VALUE","DEEP_MEASURE_ID_OVERRIDE",$C264,"DEEP_BROKER_ID_OVERRIDE",N$24,"DEEP_PERIOD_OVERRIDE",$H$19)*1,"")))</f>
        <v/>
      </c>
      <c r="O264" t="str">
        <f>IF(OR(O$23="",ISNA($B264)),"",IF(ISBLANK($B264),"",IFERROR(_xll.BDP(TICKER,"DEEP_MEASURE_PERIOD_BROKER_VALUE","DEEP_MEASURE_ID_OVERRIDE",$C264,"DEEP_BROKER_ID_OVERRIDE",O$24,"DEEP_PERIOD_OVERRIDE",$H$19)*1,"")))</f>
        <v/>
      </c>
      <c r="P264" t="str">
        <f>IF(OR(P$23="",ISNA($B264)),"",IF(ISBLANK($B264),"",IFERROR(_xll.BDP(TICKER,"DEEP_MEASURE_PERIOD_BROKER_VALUE","DEEP_MEASURE_ID_OVERRIDE",$C264,"DEEP_BROKER_ID_OVERRIDE",P$24,"DEEP_PERIOD_OVERRIDE",$H$19)*1,"")))</f>
        <v/>
      </c>
      <c r="Q264" t="str">
        <f>IF(OR(Q$23="",ISNA($B264)),"",IF(ISBLANK($B264),"",IFERROR(_xll.BDP(TICKER,"DEEP_MEASURE_PERIOD_BROKER_VALUE","DEEP_MEASURE_ID_OVERRIDE",$C264,"DEEP_BROKER_ID_OVERRIDE",Q$24,"DEEP_PERIOD_OVERRIDE",$H$19)*1,"")))</f>
        <v/>
      </c>
      <c r="R264" t="str">
        <f>IF(OR(R$23="",ISNA($B264)),"",IF(ISBLANK($B264),"",IFERROR(_xll.BDP(TICKER,"DEEP_MEASURE_PERIOD_BROKER_VALUE","DEEP_MEASURE_ID_OVERRIDE",$C264,"DEEP_BROKER_ID_OVERRIDE",R$24,"DEEP_PERIOD_OVERRIDE",$H$19)*1,"")))</f>
        <v/>
      </c>
      <c r="S264" t="str">
        <f>IF(OR(S$23="",ISNA($B264)),"",IF(ISBLANK($B264),"",IFERROR(_xll.BDP(TICKER,"DEEP_MEASURE_PERIOD_BROKER_VALUE","DEEP_MEASURE_ID_OVERRIDE",$C264,"DEEP_BROKER_ID_OVERRIDE",S$24,"DEEP_PERIOD_OVERRIDE",$H$19)*1,"")))</f>
        <v/>
      </c>
      <c r="T264" t="str">
        <f>IF(OR(T$23="",ISNA($B264)),"",IF(ISBLANK($B264),"",IFERROR(_xll.BDP(TICKER,"DEEP_MEASURE_PERIOD_BROKER_VALUE","DEEP_MEASURE_ID_OVERRIDE",$C264,"DEEP_BROKER_ID_OVERRIDE",T$24,"DEEP_PERIOD_OVERRIDE",$H$19)*1,"")))</f>
        <v/>
      </c>
      <c r="U264" t="str">
        <f>IF(OR(U$23="",ISNA($B264)),"",IF(ISBLANK($B264),"",IFERROR(_xll.BDP(TICKER,"DEEP_MEASURE_PERIOD_BROKER_VALUE","DEEP_MEASURE_ID_OVERRIDE",$C264,"DEEP_BROKER_ID_OVERRIDE",U$24,"DEEP_PERIOD_OVERRIDE",$H$19)*1,"")))</f>
        <v/>
      </c>
      <c r="V264" t="str">
        <f>IF(OR(V$23="",ISNA($B264)),"",IF(ISBLANK($B264),"",IFERROR(_xll.BDP(TICKER,"DEEP_MEASURE_PERIOD_BROKER_VALUE","DEEP_MEASURE_ID_OVERRIDE",$C264,"DEEP_BROKER_ID_OVERRIDE",V$24,"DEEP_PERIOD_OVERRIDE",$H$19)*1,"")))</f>
        <v/>
      </c>
      <c r="W264" t="str">
        <f>IF(OR(W$23="",ISNA($B264)),"",IF(ISBLANK($B264),"",IFERROR(_xll.BDP(TICKER,"DEEP_MEASURE_PERIOD_BROKER_VALUE","DEEP_MEASURE_ID_OVERRIDE",$C264,"DEEP_BROKER_ID_OVERRIDE",W$24,"DEEP_PERIOD_OVERRIDE",$H$19)*1,"")))</f>
        <v/>
      </c>
      <c r="X264" t="str">
        <f>IF(OR(X$23="",ISNA($B264)),"",IF(ISBLANK($B264),"",IFERROR(_xll.BDP(TICKER,"DEEP_MEASURE_PERIOD_BROKER_VALUE","DEEP_MEASURE_ID_OVERRIDE",$C264,"DEEP_BROKER_ID_OVERRIDE",X$24,"DEEP_PERIOD_OVERRIDE",$H$19)*1,"")))</f>
        <v/>
      </c>
      <c r="Y264" t="str">
        <f>IF(OR(Y$23="",ISNA($B264)),"",IF(ISBLANK($B264),"",IFERROR(_xll.BDP(TICKER,"DEEP_MEASURE_PERIOD_BROKER_VALUE","DEEP_MEASURE_ID_OVERRIDE",$C264,"DEEP_BROKER_ID_OVERRIDE",Y$24,"DEEP_PERIOD_OVERRIDE",$H$19)*1,"")))</f>
        <v/>
      </c>
      <c r="Z264" t="str">
        <f>IF(OR(Z$23="",ISNA($B264)),"",IF(ISBLANK($B264),"",IFERROR(_xll.BDP(TICKER,"DEEP_MEASURE_PERIOD_BROKER_VALUE","DEEP_MEASURE_ID_OVERRIDE",$C264,"DEEP_BROKER_ID_OVERRIDE",Z$24,"DEEP_PERIOD_OVERRIDE",$H$19)*1,"")))</f>
        <v/>
      </c>
      <c r="AA264" t="str">
        <f>IF(OR(AA$23="",ISNA($B264)),"",IF(ISBLANK($B264),"",IFERROR(_xll.BDP(TICKER,"DEEP_MEASURE_PERIOD_BROKER_VALUE","DEEP_MEASURE_ID_OVERRIDE",$C264,"DEEP_BROKER_ID_OVERRIDE",AA$24,"DEEP_PERIOD_OVERRIDE",$H$19)*1,"")))</f>
        <v/>
      </c>
      <c r="AB264" t="str">
        <f>IF(OR(AB$23="",ISNA($B264)),"",IF(ISBLANK($B264),"",IFERROR(_xll.BDP(TICKER,"DEEP_MEASURE_PERIOD_BROKER_VALUE","DEEP_MEASURE_ID_OVERRIDE",$C264,"DEEP_BROKER_ID_OVERRIDE",AB$24,"DEEP_PERIOD_OVERRIDE",$H$19)*1,"")))</f>
        <v/>
      </c>
      <c r="AC264" t="str">
        <f>IF(OR(AC$23="",ISNA($B264)),"",IF(ISBLANK($B264),"",IFERROR(_xll.BDP(TICKER,"DEEP_MEASURE_PERIOD_BROKER_VALUE","DEEP_MEASURE_ID_OVERRIDE",$C264,"DEEP_BROKER_ID_OVERRIDE",AC$24,"DEEP_PERIOD_OVERRIDE",$H$19)*1,"")))</f>
        <v/>
      </c>
      <c r="AD264" t="str">
        <f>IF(OR(AD$23="",ISNA($B264)),"",IF(ISBLANK($B264),"",IFERROR(_xll.BDP(TICKER,"DEEP_MEASURE_PERIOD_BROKER_VALUE","DEEP_MEASURE_ID_OVERRIDE",$C264,"DEEP_BROKER_ID_OVERRIDE",AD$24,"DEEP_PERIOD_OVERRIDE",$H$19)*1,"")))</f>
        <v/>
      </c>
      <c r="AE264" t="str">
        <f>IF(OR(AE$23="",ISNA($B264)),"",IF(ISBLANK($B264),"",IFERROR(_xll.BDP(TICKER,"DEEP_MEASURE_PERIOD_BROKER_VALUE","DEEP_MEASURE_ID_OVERRIDE",$C264,"DEEP_BROKER_ID_OVERRIDE",AE$24,"DEEP_PERIOD_OVERRIDE",$H$19)*1,"")))</f>
        <v/>
      </c>
      <c r="AF264" t="str">
        <f>IF(OR(AF$23="",ISNA($B264)),"",IF(ISBLANK($B264),"",IFERROR(_xll.BDP(TICKER,"DEEP_MEASURE_PERIOD_BROKER_VALUE","DEEP_MEASURE_ID_OVERRIDE",$C264,"DEEP_BROKER_ID_OVERRIDE",AF$24,"DEEP_PERIOD_OVERRIDE",$H$19)*1,"")))</f>
        <v/>
      </c>
      <c r="AG264" t="str">
        <f>IF(OR(AG$23="",ISNA($B264)),"",IF(ISBLANK($B264),"",IFERROR(_xll.BDP(TICKER,"DEEP_MEASURE_PERIOD_BROKER_VALUE","DEEP_MEASURE_ID_OVERRIDE",$C264,"DEEP_BROKER_ID_OVERRIDE",AG$24,"DEEP_PERIOD_OVERRIDE",$H$19)*1,"")))</f>
        <v/>
      </c>
      <c r="AH264" t="str">
        <f>IF(OR(AH$23="",ISNA($B264)),"",IF(ISBLANK($B264),"",IFERROR(_xll.BDP(TICKER,"DEEP_MEASURE_PERIOD_BROKER_VALUE","DEEP_MEASURE_ID_OVERRIDE",$C264,"DEEP_BROKER_ID_OVERRIDE",AH$24,"DEEP_PERIOD_OVERRIDE",$H$19)*1,"")))</f>
        <v/>
      </c>
      <c r="AI264" t="str">
        <f>IF(OR(AI$23="",ISNA($B264)),"",IF(ISBLANK($B264),"",IFERROR(_xll.BDP(TICKER,"DEEP_MEASURE_PERIOD_BROKER_VALUE","DEEP_MEASURE_ID_OVERRIDE",$C264,"DEEP_BROKER_ID_OVERRIDE",AI$24,"DEEP_PERIOD_OVERRIDE",$H$19)*1,"")))</f>
        <v/>
      </c>
      <c r="AJ264" t="str">
        <f>IF(OR(AJ$23="",ISNA($B264)),"",IF(ISBLANK($B264),"",IFERROR(_xll.BDP(TICKER,"DEEP_MEASURE_PERIOD_BROKER_VALUE","DEEP_MEASURE_ID_OVERRIDE",$C264,"DEEP_BROKER_ID_OVERRIDE",AJ$24,"DEEP_PERIOD_OVERRIDE",$H$19)*1,"")))</f>
        <v/>
      </c>
      <c r="AK264" t="str">
        <f>IF(OR(AK$23="",ISNA($B264)),"",IF(ISBLANK($B264),"",IFERROR(_xll.BDP(TICKER,"DEEP_MEASURE_PERIOD_BROKER_VALUE","DEEP_MEASURE_ID_OVERRIDE",$C264,"DEEP_BROKER_ID_OVERRIDE",AK$24,"DEEP_PERIOD_OVERRIDE",$H$19)*1,"")))</f>
        <v/>
      </c>
      <c r="AL264" t="str">
        <f>IF(OR(AL$23="",ISNA($B264)),"",IF(ISBLANK($B264),"",IFERROR(_xll.BDP(TICKER,"DEEP_MEASURE_PERIOD_BROKER_VALUE","DEEP_MEASURE_ID_OVERRIDE",$C264,"DEEP_BROKER_ID_OVERRIDE",AL$24,"DEEP_PERIOD_OVERRIDE",$H$19)*1,"")))</f>
        <v/>
      </c>
      <c r="AM264" t="str">
        <f>IF(OR(AM$23="",ISNA($B264)),"",IF(ISBLANK($B264),"",IFERROR(_xll.BDP(TICKER,"DEEP_MEASURE_PERIOD_BROKER_VALUE","DEEP_MEASURE_ID_OVERRIDE",$C264,"DEEP_BROKER_ID_OVERRIDE",AM$24,"DEEP_PERIOD_OVERRIDE",$H$19)*1,"")))</f>
        <v/>
      </c>
      <c r="AN264" t="str">
        <f>IF(OR(AN$23="",ISNA($B264)),"",IF(ISBLANK($B264),"",IFERROR(_xll.BDP(TICKER,"DEEP_MEASURE_PERIOD_BROKER_VALUE","DEEP_MEASURE_ID_OVERRIDE",$C264,"DEEP_BROKER_ID_OVERRIDE",AN$24,"DEEP_PERIOD_OVERRIDE",$H$19)*1,"")))</f>
        <v/>
      </c>
      <c r="AO264" t="str">
        <f>IF(OR(AO$23="",ISNA($B264)),"",IF(ISBLANK($B264),"",IFERROR(_xll.BDP(TICKER,"DEEP_MEASURE_PERIOD_BROKER_VALUE","DEEP_MEASURE_ID_OVERRIDE",$C264,"DEEP_BROKER_ID_OVERRIDE",AO$24,"DEEP_PERIOD_OVERRIDE",$H$19)*1,"")))</f>
        <v/>
      </c>
      <c r="AP264" t="str">
        <f>IF(OR(AP$23="",ISNA($B264)),"",IF(ISBLANK($B264),"",IFERROR(_xll.BDP(TICKER,"DEEP_MEASURE_PERIOD_BROKER_VALUE","DEEP_MEASURE_ID_OVERRIDE",$C264,"DEEP_BROKER_ID_OVERRIDE",AP$24,"DEEP_PERIOD_OVERRIDE",$H$19)*1,"")))</f>
        <v/>
      </c>
      <c r="AQ264" t="str">
        <f>IF(OR(AQ$23="",ISNA($B264)),"",IF(ISBLANK($B264),"",IFERROR(_xll.BDP(TICKER,"DEEP_MEASURE_PERIOD_BROKER_VALUE","DEEP_MEASURE_ID_OVERRIDE",$C264,"DEEP_BROKER_ID_OVERRIDE",AQ$24,"DEEP_PERIOD_OVERRIDE",$H$19)*1,"")))</f>
        <v/>
      </c>
      <c r="AR264" t="str">
        <f>IF(OR(AR$23="",ISNA($B264)),"",IF(ISBLANK($B264),"",IFERROR(_xll.BDP(TICKER,"DEEP_MEASURE_PERIOD_BROKER_VALUE","DEEP_MEASURE_ID_OVERRIDE",$C264,"DEEP_BROKER_ID_OVERRIDE",AR$24,"DEEP_PERIOD_OVERRIDE",$H$19)*1,"")))</f>
        <v/>
      </c>
      <c r="AS264" t="str">
        <f>IF(OR(AS$23="",ISNA($B264)),"",IF(ISBLANK($B264),"",IFERROR(_xll.BDP(TICKER,"DEEP_MEASURE_PERIOD_BROKER_VALUE","DEEP_MEASURE_ID_OVERRIDE",$C264,"DEEP_BROKER_ID_OVERRIDE",AS$24,"DEEP_PERIOD_OVERRIDE",$H$19)*1,"")))</f>
        <v/>
      </c>
      <c r="AT264" t="str">
        <f>IF(OR(AT$23="",ISNA($B264)),"",IF(ISBLANK($B264),"",IFERROR(_xll.BDP(TICKER,"DEEP_MEASURE_PERIOD_BROKER_VALUE","DEEP_MEASURE_ID_OVERRIDE",$C264,"DEEP_BROKER_ID_OVERRIDE",AT$24,"DEEP_PERIOD_OVERRIDE",$H$19)*1,"")))</f>
        <v/>
      </c>
      <c r="AU264" t="str">
        <f>IF(OR(AU$23="",ISNA($B264)),"",IF(ISBLANK($B264),"",IFERROR(_xll.BDP(TICKER,"DEEP_MEASURE_PERIOD_BROKER_VALUE","DEEP_MEASURE_ID_OVERRIDE",$C264,"DEEP_BROKER_ID_OVERRIDE",AU$24,"DEEP_PERIOD_OVERRIDE",$H$19)*1,"")))</f>
        <v/>
      </c>
      <c r="AV264" t="str">
        <f>IF(OR(AV$23="",ISNA($B264)),"",IF(ISBLANK($B264),"",IFERROR(_xll.BDP(TICKER,"DEEP_MEASURE_PERIOD_BROKER_VALUE","DEEP_MEASURE_ID_OVERRIDE",$C264,"DEEP_BROKER_ID_OVERRIDE",AV$24,"DEEP_PERIOD_OVERRIDE",$H$19)*1,"")))</f>
        <v/>
      </c>
      <c r="AW264" t="str">
        <f>IF(OR(AW$23="",ISNA($B264)),"",IF(ISBLANK($B264),"",IFERROR(_xll.BDP(TICKER,"DEEP_MEASURE_PERIOD_BROKER_VALUE","DEEP_MEASURE_ID_OVERRIDE",$C264,"DEEP_BROKER_ID_OVERRIDE",AW$24,"DEEP_PERIOD_OVERRIDE",$H$19)*1,"")))</f>
        <v/>
      </c>
      <c r="AX264" t="str">
        <f>IF(OR(AX$23="",ISNA($B264)),"",IF(ISBLANK($B264),"",IFERROR(_xll.BDP(TICKER,"DEEP_MEASURE_PERIOD_BROKER_VALUE","DEEP_MEASURE_ID_OVERRIDE",$C264,"DEEP_BROKER_ID_OVERRIDE",AX$24,"DEEP_PERIOD_OVERRIDE",$H$19)*1,"")))</f>
        <v/>
      </c>
      <c r="AY264" t="str">
        <f>IF(OR(AY$23="",ISNA($B264)),"",IF(ISBLANK($B264),"",IFERROR(_xll.BDP(TICKER,"DEEP_MEASURE_PERIOD_BROKER_VALUE","DEEP_MEASURE_ID_OVERRIDE",$C264,"DEEP_BROKER_ID_OVERRIDE",AY$24,"DEEP_PERIOD_OVERRIDE",$H$19)*1,"")))</f>
        <v/>
      </c>
      <c r="AZ264" t="str">
        <f>IF(OR(AZ$23="",ISNA($B264)),"",IF(ISBLANK($B264),"",IFERROR(_xll.BDP(TICKER,"DEEP_MEASURE_PERIOD_BROKER_VALUE","DEEP_MEASURE_ID_OVERRIDE",$C264,"DEEP_BROKER_ID_OVERRIDE",AZ$24,"DEEP_PERIOD_OVERRIDE",$H$19)*1,"")))</f>
        <v/>
      </c>
      <c r="BA264" t="str">
        <f>IF(OR(BA$23="",ISNA($B264)),"",IF(ISBLANK($B264),"",IFERROR(_xll.BDP(TICKER,"DEEP_MEASURE_PERIOD_BROKER_VALUE","DEEP_MEASURE_ID_OVERRIDE",$C264,"DEEP_BROKER_ID_OVERRIDE",BA$24,"DEEP_PERIOD_OVERRIDE",$H$19)*1,"")))</f>
        <v/>
      </c>
      <c r="BB264" t="str">
        <f>IF(OR(BB$23="",ISNA($B264)),"",IF(ISBLANK($B264),"",IFERROR(_xll.BDP(TICKER,"DEEP_MEASURE_PERIOD_BROKER_VALUE","DEEP_MEASURE_ID_OVERRIDE",$C264,"DEEP_BROKER_ID_OVERRIDE",BB$24,"DEEP_PERIOD_OVERRIDE",$H$19)*1,"")))</f>
        <v/>
      </c>
      <c r="BC264" t="str">
        <f>IF(OR(BC$23="",ISNA($B264)),"",IF(ISBLANK($B264),"",IFERROR(_xll.BDP(TICKER,"DEEP_MEASURE_PERIOD_BROKER_VALUE","DEEP_MEASURE_ID_OVERRIDE",$C264,"DEEP_BROKER_ID_OVERRIDE",BC$24,"DEEP_PERIOD_OVERRIDE",$H$19)*1,"")))</f>
        <v/>
      </c>
      <c r="BD264" t="str">
        <f>IF(OR(BD$23="",ISNA($B264)),"",IF(ISBLANK($B264),"",IFERROR(_xll.BDP(TICKER,"DEEP_MEASURE_PERIOD_BROKER_VALUE","DEEP_MEASURE_ID_OVERRIDE",$C264,"DEEP_BROKER_ID_OVERRIDE",BD$24,"DEEP_PERIOD_OVERRIDE",$H$19)*1,"")))</f>
        <v/>
      </c>
      <c r="BE264" t="str">
        <f>IF(OR(BE$23="",ISNA($B264)),"",IF(ISBLANK($B264),"",IFERROR(_xll.BDP(TICKER,"DEEP_MEASURE_PERIOD_BROKER_VALUE","DEEP_MEASURE_ID_OVERRIDE",$C264,"DEEP_BROKER_ID_OVERRIDE",BE$24,"DEEP_PERIOD_OVERRIDE",$H$19)*1,"")))</f>
        <v/>
      </c>
      <c r="BF264" t="str">
        <f>IF(OR(BF$23="",ISNA($B264)),"",IF(ISBLANK($B264),"",IFERROR(_xll.BDP(TICKER,"DEEP_MEASURE_PERIOD_BROKER_VALUE","DEEP_MEASURE_ID_OVERRIDE",$C264,"DEEP_BROKER_ID_OVERRIDE",BF$24,"DEEP_PERIOD_OVERRIDE",$H$19)*1,"")))</f>
        <v/>
      </c>
      <c r="BG264" t="str">
        <f>IF(OR(BG$23="",ISNA($B264)),"",IF(ISBLANK($B264),"",IFERROR(_xll.BDP(TICKER,"DEEP_MEASURE_PERIOD_BROKER_VALUE","DEEP_MEASURE_ID_OVERRIDE",$C264,"DEEP_BROKER_ID_OVERRIDE",BG$24,"DEEP_PERIOD_OVERRIDE",$H$19)*1,"")))</f>
        <v/>
      </c>
      <c r="BH264" t="str">
        <f>IF(OR(BH$23="",ISNA($B264)),"",IF(ISBLANK($B264),"",IFERROR(_xll.BDP(TICKER,"DEEP_MEASURE_PERIOD_BROKER_VALUE","DEEP_MEASURE_ID_OVERRIDE",$C264,"DEEP_BROKER_ID_OVERRIDE",BH$24,"DEEP_PERIOD_OVERRIDE",$H$19)*1,"")))</f>
        <v/>
      </c>
      <c r="BI264" t="str">
        <f>IF(OR(BI$23="",ISNA($B264)),"",IF(ISBLANK($B264),"",IFERROR(_xll.BDP(TICKER,"DEEP_MEASURE_PERIOD_BROKER_VALUE","DEEP_MEASURE_ID_OVERRIDE",$C264,"DEEP_BROKER_ID_OVERRIDE",BI$24,"DEEP_PERIOD_OVERRIDE",$H$19)*1,"")))</f>
        <v/>
      </c>
      <c r="BJ264" t="str">
        <f>IF(OR(BJ$23="",ISNA($B264)),"",IF(ISBLANK($B264),"",IFERROR(_xll.BDP(TICKER,"DEEP_MEASURE_PERIOD_BROKER_VALUE","DEEP_MEASURE_ID_OVERRIDE",$C264,"DEEP_BROKER_ID_OVERRIDE",BJ$24,"DEEP_PERIOD_OVERRIDE",$H$19)*1,"")))</f>
        <v/>
      </c>
      <c r="BK264" t="str">
        <f>IF(OR(BK$23="",ISNA($B264)),"",IF(ISBLANK($B264),"",IFERROR(_xll.BDP(TICKER,"DEEP_MEASURE_PERIOD_BROKER_VALUE","DEEP_MEASURE_ID_OVERRIDE",$C264,"DEEP_BROKER_ID_OVERRIDE",BK$24,"DEEP_PERIOD_OVERRIDE",$H$19)*1,"")))</f>
        <v/>
      </c>
      <c r="BL264" t="str">
        <f>IF(OR(BL$23="",ISNA($B264)),"",IF(ISBLANK($B264),"",IFERROR(_xll.BDP(TICKER,"DEEP_MEASURE_PERIOD_BROKER_VALUE","DEEP_MEASURE_ID_OVERRIDE",$C264,"DEEP_BROKER_ID_OVERRIDE",BL$24,"DEEP_PERIOD_OVERRIDE",$H$19)*1,"")))</f>
        <v/>
      </c>
      <c r="BM264" t="str">
        <f>IF(OR(BM$23="",ISNA($B264)),"",IF(ISBLANK($B264),"",IFERROR(_xll.BDP(TICKER,"DEEP_MEASURE_PERIOD_BROKER_VALUE","DEEP_MEASURE_ID_OVERRIDE",$C264,"DEEP_BROKER_ID_OVERRIDE",BM$24,"DEEP_PERIOD_OVERRIDE",$H$19)*1,"")))</f>
        <v/>
      </c>
      <c r="BN264" t="str">
        <f>IF(OR(BN$23="",ISNA($B264)),"",IF(ISBLANK($B264),"",IFERROR(_xll.BDP(TICKER,"DEEP_MEASURE_PERIOD_BROKER_VALUE","DEEP_MEASURE_ID_OVERRIDE",$C264,"DEEP_BROKER_ID_OVERRIDE",BN$24,"DEEP_PERIOD_OVERRIDE",$H$19)*1,"")))</f>
        <v/>
      </c>
      <c r="BO264" t="str">
        <f>IF(OR(BO$23="",ISNA($B264)),"",IF(ISBLANK($B264),"",IFERROR(_xll.BDP(TICKER,"DEEP_MEASURE_PERIOD_BROKER_VALUE","DEEP_MEASURE_ID_OVERRIDE",$C264,"DEEP_BROKER_ID_OVERRIDE",BO$24,"DEEP_PERIOD_OVERRIDE",$H$19)*1,"")))</f>
        <v/>
      </c>
      <c r="BP264" t="str">
        <f>IF(OR(BP$23="",ISNA($B264)),"",IF(ISBLANK($B264),"",IFERROR(_xll.BDP(TICKER,"DEEP_MEASURE_PERIOD_BROKER_VALUE","DEEP_MEASURE_ID_OVERRIDE",$C264,"DEEP_BROKER_ID_OVERRIDE",BP$24,"DEEP_PERIOD_OVERRIDE",$H$19)*1,"")))</f>
        <v/>
      </c>
      <c r="BQ264" t="str">
        <f>IF(OR(BQ$23="",ISNA($B264)),"",IF(ISBLANK($B264),"",IFERROR(_xll.BDP(TICKER,"DEEP_MEASURE_PERIOD_BROKER_VALUE","DEEP_MEASURE_ID_OVERRIDE",$C264,"DEEP_BROKER_ID_OVERRIDE",BQ$24,"DEEP_PERIOD_OVERRIDE",$H$19)*1,"")))</f>
        <v/>
      </c>
      <c r="BR264" t="str">
        <f>IF(OR(BR$23="",ISNA($B264)),"",IF(ISBLANK($B264),"",IFERROR(_xll.BDP(TICKER,"DEEP_MEASURE_PERIOD_BROKER_VALUE","DEEP_MEASURE_ID_OVERRIDE",$C264,"DEEP_BROKER_ID_OVERRIDE",BR$24,"DEEP_PERIOD_OVERRIDE",$H$19)*1,"")))</f>
        <v/>
      </c>
      <c r="BS264" t="str">
        <f>IF(OR(BS$23="",ISNA($B264)),"",IF(ISBLANK($B264),"",IFERROR(_xll.BDP(TICKER,"DEEP_MEASURE_PERIOD_BROKER_VALUE","DEEP_MEASURE_ID_OVERRIDE",$C264,"DEEP_BROKER_ID_OVERRIDE",BS$24,"DEEP_PERIOD_OVERRIDE",$H$19)*1,"")))</f>
        <v/>
      </c>
      <c r="BT264" t="str">
        <f>IF(OR(BT$23="",ISNA($B264)),"",IF(ISBLANK($B264),"",IFERROR(_xll.BDP(TICKER,"DEEP_MEASURE_PERIOD_BROKER_VALUE","DEEP_MEASURE_ID_OVERRIDE",$C264,"DEEP_BROKER_ID_OVERRIDE",BT$24,"DEEP_PERIOD_OVERRIDE",$H$19)*1,"")))</f>
        <v/>
      </c>
      <c r="BU264" t="str">
        <f>IF(OR(BU$23="",ISNA($B264)),"",IF(ISBLANK($B264),"",IFERROR(_xll.BDP(TICKER,"DEEP_MEASURE_PERIOD_BROKER_VALUE","DEEP_MEASURE_ID_OVERRIDE",$C264,"DEEP_BROKER_ID_OVERRIDE",BU$24,"DEEP_PERIOD_OVERRIDE",$H$19)*1,"")))</f>
        <v/>
      </c>
      <c r="BV264" t="str">
        <f>IF(OR(BV$23="",ISNA($B264)),"",IF(ISBLANK($B264),"",IFERROR(_xll.BDP(TICKER,"DEEP_MEASURE_PERIOD_BROKER_VALUE","DEEP_MEASURE_ID_OVERRIDE",$C264,"DEEP_BROKER_ID_OVERRIDE",BV$24,"DEEP_PERIOD_OVERRIDE",$H$19)*1,"")))</f>
        <v/>
      </c>
      <c r="BW264" t="str">
        <f>IF(OR(BW$23="",ISNA($B264)),"",IF(ISBLANK($B264),"",IFERROR(_xll.BDP(TICKER,"DEEP_MEASURE_PERIOD_BROKER_VALUE","DEEP_MEASURE_ID_OVERRIDE",$C264,"DEEP_BROKER_ID_OVERRIDE",BW$24,"DEEP_PERIOD_OVERRIDE",$H$19)*1,"")))</f>
        <v/>
      </c>
      <c r="BX264" t="str">
        <f>IF(OR(BX$23="",ISNA($B264)),"",IF(ISBLANK($B264),"",IFERROR(_xll.BDP(TICKER,"DEEP_MEASURE_PERIOD_BROKER_VALUE","DEEP_MEASURE_ID_OVERRIDE",$C264,"DEEP_BROKER_ID_OVERRIDE",BX$24,"DEEP_PERIOD_OVERRIDE",$H$19)*1,"")))</f>
        <v/>
      </c>
      <c r="BY264" t="str">
        <f>IF(OR(BY$23="",ISNA($B264)),"",IF(ISBLANK($B264),"",IFERROR(_xll.BDP(TICKER,"DEEP_MEASURE_PERIOD_BROKER_VALUE","DEEP_MEASURE_ID_OVERRIDE",$C264,"DEEP_BROKER_ID_OVERRIDE",BY$24,"DEEP_PERIOD_OVERRIDE",$H$19)*1,"")))</f>
        <v/>
      </c>
      <c r="BZ264" t="str">
        <f>IF(OR(BZ$23="",ISNA($B264)),"",IF(ISBLANK($B264),"",IFERROR(_xll.BDP(TICKER,"DEEP_MEASURE_PERIOD_BROKER_VALUE","DEEP_MEASURE_ID_OVERRIDE",$C264,"DEEP_BROKER_ID_OVERRIDE",BZ$24,"DEEP_PERIOD_OVERRIDE",$H$19)*1,"")))</f>
        <v/>
      </c>
    </row>
    <row r="265" spans="8:78" x14ac:dyDescent="0.25">
      <c r="H265" t="str">
        <f t="shared" si="4"/>
        <v/>
      </c>
      <c r="I265" t="str">
        <f>IF(OR(I$23="",ISNA($B265)),"",IF(ISBLANK($B265),"",IFERROR(_xll.BDP(TICKER,"DEEP_MEASURE_PERIOD_BROKER_VALUE","DEEP_MEASURE_ID_OVERRIDE",$C265,"DEEP_PERIOD_OVERRIDE",$H$19)*1,"")))</f>
        <v/>
      </c>
      <c r="J265" t="e">
        <f>IF(OR(J$23="",ISNA($B265)),"",IF(ISBLANK($B265),"",IFERROR(_xll.BDP(TICKER,"DEEP_MEASURE_PERIOD_BROKER_VALUE","DEEP_MEASURE_ID_OVERRIDE",$C265,"DEEP_BROKER_ID_OVERRIDE",J$24,"DEEP_PERIOD_OVERRIDE",$H$19)*1,"")))</f>
        <v>#REF!</v>
      </c>
      <c r="K265" t="str">
        <f>IF(OR(K$23="",ISNA($B265)),"",IF(ISBLANK($B265),"",IFERROR(_xll.BDP(TICKER,"DEEP_MEASURE_PERIOD_BROKER_VALUE","DEEP_MEASURE_ID_OVERRIDE",$C265,"DEEP_BROKER_ID_OVERRIDE",K$24,"DEEP_PERIOD_OVERRIDE",$H$19)*1,"")))</f>
        <v/>
      </c>
      <c r="L265" t="str">
        <f>IF(OR(L$23="",ISNA($B265)),"",IF(ISBLANK($B265),"",IFERROR(_xll.BDP(TICKER,"DEEP_MEASURE_PERIOD_BROKER_VALUE","DEEP_MEASURE_ID_OVERRIDE",$C265,"DEEP_BROKER_ID_OVERRIDE",L$24,"DEEP_PERIOD_OVERRIDE",$H$19)*1,"")))</f>
        <v/>
      </c>
      <c r="M265" t="str">
        <f>IF(OR(M$23="",ISNA($B265)),"",IF(ISBLANK($B265),"",IFERROR(_xll.BDP(TICKER,"DEEP_MEASURE_PERIOD_BROKER_VALUE","DEEP_MEASURE_ID_OVERRIDE",$C265,"DEEP_BROKER_ID_OVERRIDE",M$24,"DEEP_PERIOD_OVERRIDE",$H$19)*1,"")))</f>
        <v/>
      </c>
      <c r="N265" t="str">
        <f>IF(OR(N$23="",ISNA($B265)),"",IF(ISBLANK($B265),"",IFERROR(_xll.BDP(TICKER,"DEEP_MEASURE_PERIOD_BROKER_VALUE","DEEP_MEASURE_ID_OVERRIDE",$C265,"DEEP_BROKER_ID_OVERRIDE",N$24,"DEEP_PERIOD_OVERRIDE",$H$19)*1,"")))</f>
        <v/>
      </c>
      <c r="O265" t="str">
        <f>IF(OR(O$23="",ISNA($B265)),"",IF(ISBLANK($B265),"",IFERROR(_xll.BDP(TICKER,"DEEP_MEASURE_PERIOD_BROKER_VALUE","DEEP_MEASURE_ID_OVERRIDE",$C265,"DEEP_BROKER_ID_OVERRIDE",O$24,"DEEP_PERIOD_OVERRIDE",$H$19)*1,"")))</f>
        <v/>
      </c>
      <c r="P265" t="str">
        <f>IF(OR(P$23="",ISNA($B265)),"",IF(ISBLANK($B265),"",IFERROR(_xll.BDP(TICKER,"DEEP_MEASURE_PERIOD_BROKER_VALUE","DEEP_MEASURE_ID_OVERRIDE",$C265,"DEEP_BROKER_ID_OVERRIDE",P$24,"DEEP_PERIOD_OVERRIDE",$H$19)*1,"")))</f>
        <v/>
      </c>
      <c r="Q265" t="str">
        <f>IF(OR(Q$23="",ISNA($B265)),"",IF(ISBLANK($B265),"",IFERROR(_xll.BDP(TICKER,"DEEP_MEASURE_PERIOD_BROKER_VALUE","DEEP_MEASURE_ID_OVERRIDE",$C265,"DEEP_BROKER_ID_OVERRIDE",Q$24,"DEEP_PERIOD_OVERRIDE",$H$19)*1,"")))</f>
        <v/>
      </c>
      <c r="R265" t="str">
        <f>IF(OR(R$23="",ISNA($B265)),"",IF(ISBLANK($B265),"",IFERROR(_xll.BDP(TICKER,"DEEP_MEASURE_PERIOD_BROKER_VALUE","DEEP_MEASURE_ID_OVERRIDE",$C265,"DEEP_BROKER_ID_OVERRIDE",R$24,"DEEP_PERIOD_OVERRIDE",$H$19)*1,"")))</f>
        <v/>
      </c>
      <c r="S265" t="str">
        <f>IF(OR(S$23="",ISNA($B265)),"",IF(ISBLANK($B265),"",IFERROR(_xll.BDP(TICKER,"DEEP_MEASURE_PERIOD_BROKER_VALUE","DEEP_MEASURE_ID_OVERRIDE",$C265,"DEEP_BROKER_ID_OVERRIDE",S$24,"DEEP_PERIOD_OVERRIDE",$H$19)*1,"")))</f>
        <v/>
      </c>
      <c r="T265" t="str">
        <f>IF(OR(T$23="",ISNA($B265)),"",IF(ISBLANK($B265),"",IFERROR(_xll.BDP(TICKER,"DEEP_MEASURE_PERIOD_BROKER_VALUE","DEEP_MEASURE_ID_OVERRIDE",$C265,"DEEP_BROKER_ID_OVERRIDE",T$24,"DEEP_PERIOD_OVERRIDE",$H$19)*1,"")))</f>
        <v/>
      </c>
      <c r="U265" t="str">
        <f>IF(OR(U$23="",ISNA($B265)),"",IF(ISBLANK($B265),"",IFERROR(_xll.BDP(TICKER,"DEEP_MEASURE_PERIOD_BROKER_VALUE","DEEP_MEASURE_ID_OVERRIDE",$C265,"DEEP_BROKER_ID_OVERRIDE",U$24,"DEEP_PERIOD_OVERRIDE",$H$19)*1,"")))</f>
        <v/>
      </c>
      <c r="V265" t="str">
        <f>IF(OR(V$23="",ISNA($B265)),"",IF(ISBLANK($B265),"",IFERROR(_xll.BDP(TICKER,"DEEP_MEASURE_PERIOD_BROKER_VALUE","DEEP_MEASURE_ID_OVERRIDE",$C265,"DEEP_BROKER_ID_OVERRIDE",V$24,"DEEP_PERIOD_OVERRIDE",$H$19)*1,"")))</f>
        <v/>
      </c>
      <c r="W265" t="str">
        <f>IF(OR(W$23="",ISNA($B265)),"",IF(ISBLANK($B265),"",IFERROR(_xll.BDP(TICKER,"DEEP_MEASURE_PERIOD_BROKER_VALUE","DEEP_MEASURE_ID_OVERRIDE",$C265,"DEEP_BROKER_ID_OVERRIDE",W$24,"DEEP_PERIOD_OVERRIDE",$H$19)*1,"")))</f>
        <v/>
      </c>
      <c r="X265" t="str">
        <f>IF(OR(X$23="",ISNA($B265)),"",IF(ISBLANK($B265),"",IFERROR(_xll.BDP(TICKER,"DEEP_MEASURE_PERIOD_BROKER_VALUE","DEEP_MEASURE_ID_OVERRIDE",$C265,"DEEP_BROKER_ID_OVERRIDE",X$24,"DEEP_PERIOD_OVERRIDE",$H$19)*1,"")))</f>
        <v/>
      </c>
      <c r="Y265" t="str">
        <f>IF(OR(Y$23="",ISNA($B265)),"",IF(ISBLANK($B265),"",IFERROR(_xll.BDP(TICKER,"DEEP_MEASURE_PERIOD_BROKER_VALUE","DEEP_MEASURE_ID_OVERRIDE",$C265,"DEEP_BROKER_ID_OVERRIDE",Y$24,"DEEP_PERIOD_OVERRIDE",$H$19)*1,"")))</f>
        <v/>
      </c>
      <c r="Z265" t="str">
        <f>IF(OR(Z$23="",ISNA($B265)),"",IF(ISBLANK($B265),"",IFERROR(_xll.BDP(TICKER,"DEEP_MEASURE_PERIOD_BROKER_VALUE","DEEP_MEASURE_ID_OVERRIDE",$C265,"DEEP_BROKER_ID_OVERRIDE",Z$24,"DEEP_PERIOD_OVERRIDE",$H$19)*1,"")))</f>
        <v/>
      </c>
      <c r="AA265" t="str">
        <f>IF(OR(AA$23="",ISNA($B265)),"",IF(ISBLANK($B265),"",IFERROR(_xll.BDP(TICKER,"DEEP_MEASURE_PERIOD_BROKER_VALUE","DEEP_MEASURE_ID_OVERRIDE",$C265,"DEEP_BROKER_ID_OVERRIDE",AA$24,"DEEP_PERIOD_OVERRIDE",$H$19)*1,"")))</f>
        <v/>
      </c>
      <c r="AB265" t="str">
        <f>IF(OR(AB$23="",ISNA($B265)),"",IF(ISBLANK($B265),"",IFERROR(_xll.BDP(TICKER,"DEEP_MEASURE_PERIOD_BROKER_VALUE","DEEP_MEASURE_ID_OVERRIDE",$C265,"DEEP_BROKER_ID_OVERRIDE",AB$24,"DEEP_PERIOD_OVERRIDE",$H$19)*1,"")))</f>
        <v/>
      </c>
      <c r="AC265" t="str">
        <f>IF(OR(AC$23="",ISNA($B265)),"",IF(ISBLANK($B265),"",IFERROR(_xll.BDP(TICKER,"DEEP_MEASURE_PERIOD_BROKER_VALUE","DEEP_MEASURE_ID_OVERRIDE",$C265,"DEEP_BROKER_ID_OVERRIDE",AC$24,"DEEP_PERIOD_OVERRIDE",$H$19)*1,"")))</f>
        <v/>
      </c>
      <c r="AD265" t="str">
        <f>IF(OR(AD$23="",ISNA($B265)),"",IF(ISBLANK($B265),"",IFERROR(_xll.BDP(TICKER,"DEEP_MEASURE_PERIOD_BROKER_VALUE","DEEP_MEASURE_ID_OVERRIDE",$C265,"DEEP_BROKER_ID_OVERRIDE",AD$24,"DEEP_PERIOD_OVERRIDE",$H$19)*1,"")))</f>
        <v/>
      </c>
      <c r="AE265" t="str">
        <f>IF(OR(AE$23="",ISNA($B265)),"",IF(ISBLANK($B265),"",IFERROR(_xll.BDP(TICKER,"DEEP_MEASURE_PERIOD_BROKER_VALUE","DEEP_MEASURE_ID_OVERRIDE",$C265,"DEEP_BROKER_ID_OVERRIDE",AE$24,"DEEP_PERIOD_OVERRIDE",$H$19)*1,"")))</f>
        <v/>
      </c>
      <c r="AF265" t="str">
        <f>IF(OR(AF$23="",ISNA($B265)),"",IF(ISBLANK($B265),"",IFERROR(_xll.BDP(TICKER,"DEEP_MEASURE_PERIOD_BROKER_VALUE","DEEP_MEASURE_ID_OVERRIDE",$C265,"DEEP_BROKER_ID_OVERRIDE",AF$24,"DEEP_PERIOD_OVERRIDE",$H$19)*1,"")))</f>
        <v/>
      </c>
      <c r="AG265" t="str">
        <f>IF(OR(AG$23="",ISNA($B265)),"",IF(ISBLANK($B265),"",IFERROR(_xll.BDP(TICKER,"DEEP_MEASURE_PERIOD_BROKER_VALUE","DEEP_MEASURE_ID_OVERRIDE",$C265,"DEEP_BROKER_ID_OVERRIDE",AG$24,"DEEP_PERIOD_OVERRIDE",$H$19)*1,"")))</f>
        <v/>
      </c>
      <c r="AH265" t="str">
        <f>IF(OR(AH$23="",ISNA($B265)),"",IF(ISBLANK($B265),"",IFERROR(_xll.BDP(TICKER,"DEEP_MEASURE_PERIOD_BROKER_VALUE","DEEP_MEASURE_ID_OVERRIDE",$C265,"DEEP_BROKER_ID_OVERRIDE",AH$24,"DEEP_PERIOD_OVERRIDE",$H$19)*1,"")))</f>
        <v/>
      </c>
      <c r="AI265" t="str">
        <f>IF(OR(AI$23="",ISNA($B265)),"",IF(ISBLANK($B265),"",IFERROR(_xll.BDP(TICKER,"DEEP_MEASURE_PERIOD_BROKER_VALUE","DEEP_MEASURE_ID_OVERRIDE",$C265,"DEEP_BROKER_ID_OVERRIDE",AI$24,"DEEP_PERIOD_OVERRIDE",$H$19)*1,"")))</f>
        <v/>
      </c>
      <c r="AJ265" t="str">
        <f>IF(OR(AJ$23="",ISNA($B265)),"",IF(ISBLANK($B265),"",IFERROR(_xll.BDP(TICKER,"DEEP_MEASURE_PERIOD_BROKER_VALUE","DEEP_MEASURE_ID_OVERRIDE",$C265,"DEEP_BROKER_ID_OVERRIDE",AJ$24,"DEEP_PERIOD_OVERRIDE",$H$19)*1,"")))</f>
        <v/>
      </c>
      <c r="AK265" t="str">
        <f>IF(OR(AK$23="",ISNA($B265)),"",IF(ISBLANK($B265),"",IFERROR(_xll.BDP(TICKER,"DEEP_MEASURE_PERIOD_BROKER_VALUE","DEEP_MEASURE_ID_OVERRIDE",$C265,"DEEP_BROKER_ID_OVERRIDE",AK$24,"DEEP_PERIOD_OVERRIDE",$H$19)*1,"")))</f>
        <v/>
      </c>
      <c r="AL265" t="str">
        <f>IF(OR(AL$23="",ISNA($B265)),"",IF(ISBLANK($B265),"",IFERROR(_xll.BDP(TICKER,"DEEP_MEASURE_PERIOD_BROKER_VALUE","DEEP_MEASURE_ID_OVERRIDE",$C265,"DEEP_BROKER_ID_OVERRIDE",AL$24,"DEEP_PERIOD_OVERRIDE",$H$19)*1,"")))</f>
        <v/>
      </c>
      <c r="AM265" t="str">
        <f>IF(OR(AM$23="",ISNA($B265)),"",IF(ISBLANK($B265),"",IFERROR(_xll.BDP(TICKER,"DEEP_MEASURE_PERIOD_BROKER_VALUE","DEEP_MEASURE_ID_OVERRIDE",$C265,"DEEP_BROKER_ID_OVERRIDE",AM$24,"DEEP_PERIOD_OVERRIDE",$H$19)*1,"")))</f>
        <v/>
      </c>
      <c r="AN265" t="str">
        <f>IF(OR(AN$23="",ISNA($B265)),"",IF(ISBLANK($B265),"",IFERROR(_xll.BDP(TICKER,"DEEP_MEASURE_PERIOD_BROKER_VALUE","DEEP_MEASURE_ID_OVERRIDE",$C265,"DEEP_BROKER_ID_OVERRIDE",AN$24,"DEEP_PERIOD_OVERRIDE",$H$19)*1,"")))</f>
        <v/>
      </c>
      <c r="AO265" t="str">
        <f>IF(OR(AO$23="",ISNA($B265)),"",IF(ISBLANK($B265),"",IFERROR(_xll.BDP(TICKER,"DEEP_MEASURE_PERIOD_BROKER_VALUE","DEEP_MEASURE_ID_OVERRIDE",$C265,"DEEP_BROKER_ID_OVERRIDE",AO$24,"DEEP_PERIOD_OVERRIDE",$H$19)*1,"")))</f>
        <v/>
      </c>
      <c r="AP265" t="str">
        <f>IF(OR(AP$23="",ISNA($B265)),"",IF(ISBLANK($B265),"",IFERROR(_xll.BDP(TICKER,"DEEP_MEASURE_PERIOD_BROKER_VALUE","DEEP_MEASURE_ID_OVERRIDE",$C265,"DEEP_BROKER_ID_OVERRIDE",AP$24,"DEEP_PERIOD_OVERRIDE",$H$19)*1,"")))</f>
        <v/>
      </c>
      <c r="AQ265" t="str">
        <f>IF(OR(AQ$23="",ISNA($B265)),"",IF(ISBLANK($B265),"",IFERROR(_xll.BDP(TICKER,"DEEP_MEASURE_PERIOD_BROKER_VALUE","DEEP_MEASURE_ID_OVERRIDE",$C265,"DEEP_BROKER_ID_OVERRIDE",AQ$24,"DEEP_PERIOD_OVERRIDE",$H$19)*1,"")))</f>
        <v/>
      </c>
      <c r="AR265" t="str">
        <f>IF(OR(AR$23="",ISNA($B265)),"",IF(ISBLANK($B265),"",IFERROR(_xll.BDP(TICKER,"DEEP_MEASURE_PERIOD_BROKER_VALUE","DEEP_MEASURE_ID_OVERRIDE",$C265,"DEEP_BROKER_ID_OVERRIDE",AR$24,"DEEP_PERIOD_OVERRIDE",$H$19)*1,"")))</f>
        <v/>
      </c>
      <c r="AS265" t="str">
        <f>IF(OR(AS$23="",ISNA($B265)),"",IF(ISBLANK($B265),"",IFERROR(_xll.BDP(TICKER,"DEEP_MEASURE_PERIOD_BROKER_VALUE","DEEP_MEASURE_ID_OVERRIDE",$C265,"DEEP_BROKER_ID_OVERRIDE",AS$24,"DEEP_PERIOD_OVERRIDE",$H$19)*1,"")))</f>
        <v/>
      </c>
      <c r="AT265" t="str">
        <f>IF(OR(AT$23="",ISNA($B265)),"",IF(ISBLANK($B265),"",IFERROR(_xll.BDP(TICKER,"DEEP_MEASURE_PERIOD_BROKER_VALUE","DEEP_MEASURE_ID_OVERRIDE",$C265,"DEEP_BROKER_ID_OVERRIDE",AT$24,"DEEP_PERIOD_OVERRIDE",$H$19)*1,"")))</f>
        <v/>
      </c>
      <c r="AU265" t="str">
        <f>IF(OR(AU$23="",ISNA($B265)),"",IF(ISBLANK($B265),"",IFERROR(_xll.BDP(TICKER,"DEEP_MEASURE_PERIOD_BROKER_VALUE","DEEP_MEASURE_ID_OVERRIDE",$C265,"DEEP_BROKER_ID_OVERRIDE",AU$24,"DEEP_PERIOD_OVERRIDE",$H$19)*1,"")))</f>
        <v/>
      </c>
      <c r="AV265" t="str">
        <f>IF(OR(AV$23="",ISNA($B265)),"",IF(ISBLANK($B265),"",IFERROR(_xll.BDP(TICKER,"DEEP_MEASURE_PERIOD_BROKER_VALUE","DEEP_MEASURE_ID_OVERRIDE",$C265,"DEEP_BROKER_ID_OVERRIDE",AV$24,"DEEP_PERIOD_OVERRIDE",$H$19)*1,"")))</f>
        <v/>
      </c>
      <c r="AW265" t="str">
        <f>IF(OR(AW$23="",ISNA($B265)),"",IF(ISBLANK($B265),"",IFERROR(_xll.BDP(TICKER,"DEEP_MEASURE_PERIOD_BROKER_VALUE","DEEP_MEASURE_ID_OVERRIDE",$C265,"DEEP_BROKER_ID_OVERRIDE",AW$24,"DEEP_PERIOD_OVERRIDE",$H$19)*1,"")))</f>
        <v/>
      </c>
      <c r="AX265" t="str">
        <f>IF(OR(AX$23="",ISNA($B265)),"",IF(ISBLANK($B265),"",IFERROR(_xll.BDP(TICKER,"DEEP_MEASURE_PERIOD_BROKER_VALUE","DEEP_MEASURE_ID_OVERRIDE",$C265,"DEEP_BROKER_ID_OVERRIDE",AX$24,"DEEP_PERIOD_OVERRIDE",$H$19)*1,"")))</f>
        <v/>
      </c>
      <c r="AY265" t="str">
        <f>IF(OR(AY$23="",ISNA($B265)),"",IF(ISBLANK($B265),"",IFERROR(_xll.BDP(TICKER,"DEEP_MEASURE_PERIOD_BROKER_VALUE","DEEP_MEASURE_ID_OVERRIDE",$C265,"DEEP_BROKER_ID_OVERRIDE",AY$24,"DEEP_PERIOD_OVERRIDE",$H$19)*1,"")))</f>
        <v/>
      </c>
      <c r="AZ265" t="str">
        <f>IF(OR(AZ$23="",ISNA($B265)),"",IF(ISBLANK($B265),"",IFERROR(_xll.BDP(TICKER,"DEEP_MEASURE_PERIOD_BROKER_VALUE","DEEP_MEASURE_ID_OVERRIDE",$C265,"DEEP_BROKER_ID_OVERRIDE",AZ$24,"DEEP_PERIOD_OVERRIDE",$H$19)*1,"")))</f>
        <v/>
      </c>
      <c r="BA265" t="str">
        <f>IF(OR(BA$23="",ISNA($B265)),"",IF(ISBLANK($B265),"",IFERROR(_xll.BDP(TICKER,"DEEP_MEASURE_PERIOD_BROKER_VALUE","DEEP_MEASURE_ID_OVERRIDE",$C265,"DEEP_BROKER_ID_OVERRIDE",BA$24,"DEEP_PERIOD_OVERRIDE",$H$19)*1,"")))</f>
        <v/>
      </c>
      <c r="BB265" t="str">
        <f>IF(OR(BB$23="",ISNA($B265)),"",IF(ISBLANK($B265),"",IFERROR(_xll.BDP(TICKER,"DEEP_MEASURE_PERIOD_BROKER_VALUE","DEEP_MEASURE_ID_OVERRIDE",$C265,"DEEP_BROKER_ID_OVERRIDE",BB$24,"DEEP_PERIOD_OVERRIDE",$H$19)*1,"")))</f>
        <v/>
      </c>
      <c r="BC265" t="str">
        <f>IF(OR(BC$23="",ISNA($B265)),"",IF(ISBLANK($B265),"",IFERROR(_xll.BDP(TICKER,"DEEP_MEASURE_PERIOD_BROKER_VALUE","DEEP_MEASURE_ID_OVERRIDE",$C265,"DEEP_BROKER_ID_OVERRIDE",BC$24,"DEEP_PERIOD_OVERRIDE",$H$19)*1,"")))</f>
        <v/>
      </c>
      <c r="BD265" t="str">
        <f>IF(OR(BD$23="",ISNA($B265)),"",IF(ISBLANK($B265),"",IFERROR(_xll.BDP(TICKER,"DEEP_MEASURE_PERIOD_BROKER_VALUE","DEEP_MEASURE_ID_OVERRIDE",$C265,"DEEP_BROKER_ID_OVERRIDE",BD$24,"DEEP_PERIOD_OVERRIDE",$H$19)*1,"")))</f>
        <v/>
      </c>
      <c r="BE265" t="str">
        <f>IF(OR(BE$23="",ISNA($B265)),"",IF(ISBLANK($B265),"",IFERROR(_xll.BDP(TICKER,"DEEP_MEASURE_PERIOD_BROKER_VALUE","DEEP_MEASURE_ID_OVERRIDE",$C265,"DEEP_BROKER_ID_OVERRIDE",BE$24,"DEEP_PERIOD_OVERRIDE",$H$19)*1,"")))</f>
        <v/>
      </c>
      <c r="BF265" t="str">
        <f>IF(OR(BF$23="",ISNA($B265)),"",IF(ISBLANK($B265),"",IFERROR(_xll.BDP(TICKER,"DEEP_MEASURE_PERIOD_BROKER_VALUE","DEEP_MEASURE_ID_OVERRIDE",$C265,"DEEP_BROKER_ID_OVERRIDE",BF$24,"DEEP_PERIOD_OVERRIDE",$H$19)*1,"")))</f>
        <v/>
      </c>
      <c r="BG265" t="str">
        <f>IF(OR(BG$23="",ISNA($B265)),"",IF(ISBLANK($B265),"",IFERROR(_xll.BDP(TICKER,"DEEP_MEASURE_PERIOD_BROKER_VALUE","DEEP_MEASURE_ID_OVERRIDE",$C265,"DEEP_BROKER_ID_OVERRIDE",BG$24,"DEEP_PERIOD_OVERRIDE",$H$19)*1,"")))</f>
        <v/>
      </c>
      <c r="BH265" t="str">
        <f>IF(OR(BH$23="",ISNA($B265)),"",IF(ISBLANK($B265),"",IFERROR(_xll.BDP(TICKER,"DEEP_MEASURE_PERIOD_BROKER_VALUE","DEEP_MEASURE_ID_OVERRIDE",$C265,"DEEP_BROKER_ID_OVERRIDE",BH$24,"DEEP_PERIOD_OVERRIDE",$H$19)*1,"")))</f>
        <v/>
      </c>
      <c r="BI265" t="str">
        <f>IF(OR(BI$23="",ISNA($B265)),"",IF(ISBLANK($B265),"",IFERROR(_xll.BDP(TICKER,"DEEP_MEASURE_PERIOD_BROKER_VALUE","DEEP_MEASURE_ID_OVERRIDE",$C265,"DEEP_BROKER_ID_OVERRIDE",BI$24,"DEEP_PERIOD_OVERRIDE",$H$19)*1,"")))</f>
        <v/>
      </c>
      <c r="BJ265" t="str">
        <f>IF(OR(BJ$23="",ISNA($B265)),"",IF(ISBLANK($B265),"",IFERROR(_xll.BDP(TICKER,"DEEP_MEASURE_PERIOD_BROKER_VALUE","DEEP_MEASURE_ID_OVERRIDE",$C265,"DEEP_BROKER_ID_OVERRIDE",BJ$24,"DEEP_PERIOD_OVERRIDE",$H$19)*1,"")))</f>
        <v/>
      </c>
      <c r="BK265" t="str">
        <f>IF(OR(BK$23="",ISNA($B265)),"",IF(ISBLANK($B265),"",IFERROR(_xll.BDP(TICKER,"DEEP_MEASURE_PERIOD_BROKER_VALUE","DEEP_MEASURE_ID_OVERRIDE",$C265,"DEEP_BROKER_ID_OVERRIDE",BK$24,"DEEP_PERIOD_OVERRIDE",$H$19)*1,"")))</f>
        <v/>
      </c>
      <c r="BL265" t="str">
        <f>IF(OR(BL$23="",ISNA($B265)),"",IF(ISBLANK($B265),"",IFERROR(_xll.BDP(TICKER,"DEEP_MEASURE_PERIOD_BROKER_VALUE","DEEP_MEASURE_ID_OVERRIDE",$C265,"DEEP_BROKER_ID_OVERRIDE",BL$24,"DEEP_PERIOD_OVERRIDE",$H$19)*1,"")))</f>
        <v/>
      </c>
      <c r="BM265" t="str">
        <f>IF(OR(BM$23="",ISNA($B265)),"",IF(ISBLANK($B265),"",IFERROR(_xll.BDP(TICKER,"DEEP_MEASURE_PERIOD_BROKER_VALUE","DEEP_MEASURE_ID_OVERRIDE",$C265,"DEEP_BROKER_ID_OVERRIDE",BM$24,"DEEP_PERIOD_OVERRIDE",$H$19)*1,"")))</f>
        <v/>
      </c>
      <c r="BN265" t="str">
        <f>IF(OR(BN$23="",ISNA($B265)),"",IF(ISBLANK($B265),"",IFERROR(_xll.BDP(TICKER,"DEEP_MEASURE_PERIOD_BROKER_VALUE","DEEP_MEASURE_ID_OVERRIDE",$C265,"DEEP_BROKER_ID_OVERRIDE",BN$24,"DEEP_PERIOD_OVERRIDE",$H$19)*1,"")))</f>
        <v/>
      </c>
      <c r="BO265" t="str">
        <f>IF(OR(BO$23="",ISNA($B265)),"",IF(ISBLANK($B265),"",IFERROR(_xll.BDP(TICKER,"DEEP_MEASURE_PERIOD_BROKER_VALUE","DEEP_MEASURE_ID_OVERRIDE",$C265,"DEEP_BROKER_ID_OVERRIDE",BO$24,"DEEP_PERIOD_OVERRIDE",$H$19)*1,"")))</f>
        <v/>
      </c>
      <c r="BP265" t="str">
        <f>IF(OR(BP$23="",ISNA($B265)),"",IF(ISBLANK($B265),"",IFERROR(_xll.BDP(TICKER,"DEEP_MEASURE_PERIOD_BROKER_VALUE","DEEP_MEASURE_ID_OVERRIDE",$C265,"DEEP_BROKER_ID_OVERRIDE",BP$24,"DEEP_PERIOD_OVERRIDE",$H$19)*1,"")))</f>
        <v/>
      </c>
      <c r="BQ265" t="str">
        <f>IF(OR(BQ$23="",ISNA($B265)),"",IF(ISBLANK($B265),"",IFERROR(_xll.BDP(TICKER,"DEEP_MEASURE_PERIOD_BROKER_VALUE","DEEP_MEASURE_ID_OVERRIDE",$C265,"DEEP_BROKER_ID_OVERRIDE",BQ$24,"DEEP_PERIOD_OVERRIDE",$H$19)*1,"")))</f>
        <v/>
      </c>
      <c r="BR265" t="str">
        <f>IF(OR(BR$23="",ISNA($B265)),"",IF(ISBLANK($B265),"",IFERROR(_xll.BDP(TICKER,"DEEP_MEASURE_PERIOD_BROKER_VALUE","DEEP_MEASURE_ID_OVERRIDE",$C265,"DEEP_BROKER_ID_OVERRIDE",BR$24,"DEEP_PERIOD_OVERRIDE",$H$19)*1,"")))</f>
        <v/>
      </c>
      <c r="BS265" t="str">
        <f>IF(OR(BS$23="",ISNA($B265)),"",IF(ISBLANK($B265),"",IFERROR(_xll.BDP(TICKER,"DEEP_MEASURE_PERIOD_BROKER_VALUE","DEEP_MEASURE_ID_OVERRIDE",$C265,"DEEP_BROKER_ID_OVERRIDE",BS$24,"DEEP_PERIOD_OVERRIDE",$H$19)*1,"")))</f>
        <v/>
      </c>
      <c r="BT265" t="str">
        <f>IF(OR(BT$23="",ISNA($B265)),"",IF(ISBLANK($B265),"",IFERROR(_xll.BDP(TICKER,"DEEP_MEASURE_PERIOD_BROKER_VALUE","DEEP_MEASURE_ID_OVERRIDE",$C265,"DEEP_BROKER_ID_OVERRIDE",BT$24,"DEEP_PERIOD_OVERRIDE",$H$19)*1,"")))</f>
        <v/>
      </c>
      <c r="BU265" t="str">
        <f>IF(OR(BU$23="",ISNA($B265)),"",IF(ISBLANK($B265),"",IFERROR(_xll.BDP(TICKER,"DEEP_MEASURE_PERIOD_BROKER_VALUE","DEEP_MEASURE_ID_OVERRIDE",$C265,"DEEP_BROKER_ID_OVERRIDE",BU$24,"DEEP_PERIOD_OVERRIDE",$H$19)*1,"")))</f>
        <v/>
      </c>
      <c r="BV265" t="str">
        <f>IF(OR(BV$23="",ISNA($B265)),"",IF(ISBLANK($B265),"",IFERROR(_xll.BDP(TICKER,"DEEP_MEASURE_PERIOD_BROKER_VALUE","DEEP_MEASURE_ID_OVERRIDE",$C265,"DEEP_BROKER_ID_OVERRIDE",BV$24,"DEEP_PERIOD_OVERRIDE",$H$19)*1,"")))</f>
        <v/>
      </c>
      <c r="BW265" t="str">
        <f>IF(OR(BW$23="",ISNA($B265)),"",IF(ISBLANK($B265),"",IFERROR(_xll.BDP(TICKER,"DEEP_MEASURE_PERIOD_BROKER_VALUE","DEEP_MEASURE_ID_OVERRIDE",$C265,"DEEP_BROKER_ID_OVERRIDE",BW$24,"DEEP_PERIOD_OVERRIDE",$H$19)*1,"")))</f>
        <v/>
      </c>
      <c r="BX265" t="str">
        <f>IF(OR(BX$23="",ISNA($B265)),"",IF(ISBLANK($B265),"",IFERROR(_xll.BDP(TICKER,"DEEP_MEASURE_PERIOD_BROKER_VALUE","DEEP_MEASURE_ID_OVERRIDE",$C265,"DEEP_BROKER_ID_OVERRIDE",BX$24,"DEEP_PERIOD_OVERRIDE",$H$19)*1,"")))</f>
        <v/>
      </c>
      <c r="BY265" t="str">
        <f>IF(OR(BY$23="",ISNA($B265)),"",IF(ISBLANK($B265),"",IFERROR(_xll.BDP(TICKER,"DEEP_MEASURE_PERIOD_BROKER_VALUE","DEEP_MEASURE_ID_OVERRIDE",$C265,"DEEP_BROKER_ID_OVERRIDE",BY$24,"DEEP_PERIOD_OVERRIDE",$H$19)*1,"")))</f>
        <v/>
      </c>
      <c r="BZ265" t="str">
        <f>IF(OR(BZ$23="",ISNA($B265)),"",IF(ISBLANK($B265),"",IFERROR(_xll.BDP(TICKER,"DEEP_MEASURE_PERIOD_BROKER_VALUE","DEEP_MEASURE_ID_OVERRIDE",$C265,"DEEP_BROKER_ID_OVERRIDE",BZ$24,"DEEP_PERIOD_OVERRIDE",$H$19)*1,"")))</f>
        <v/>
      </c>
    </row>
    <row r="266" spans="8:78" x14ac:dyDescent="0.25">
      <c r="H266" t="str">
        <f t="shared" si="4"/>
        <v/>
      </c>
      <c r="I266" t="str">
        <f>IF(OR(I$23="",ISNA($B266)),"",IF(ISBLANK($B266),"",IFERROR(_xll.BDP(TICKER,"DEEP_MEASURE_PERIOD_BROKER_VALUE","DEEP_MEASURE_ID_OVERRIDE",$C266,"DEEP_PERIOD_OVERRIDE",$H$19)*1,"")))</f>
        <v/>
      </c>
      <c r="J266" t="e">
        <f>IF(OR(J$23="",ISNA($B266)),"",IF(ISBLANK($B266),"",IFERROR(_xll.BDP(TICKER,"DEEP_MEASURE_PERIOD_BROKER_VALUE","DEEP_MEASURE_ID_OVERRIDE",$C266,"DEEP_BROKER_ID_OVERRIDE",J$24,"DEEP_PERIOD_OVERRIDE",$H$19)*1,"")))</f>
        <v>#REF!</v>
      </c>
      <c r="K266" t="str">
        <f>IF(OR(K$23="",ISNA($B266)),"",IF(ISBLANK($B266),"",IFERROR(_xll.BDP(TICKER,"DEEP_MEASURE_PERIOD_BROKER_VALUE","DEEP_MEASURE_ID_OVERRIDE",$C266,"DEEP_BROKER_ID_OVERRIDE",K$24,"DEEP_PERIOD_OVERRIDE",$H$19)*1,"")))</f>
        <v/>
      </c>
      <c r="L266" t="str">
        <f>IF(OR(L$23="",ISNA($B266)),"",IF(ISBLANK($B266),"",IFERROR(_xll.BDP(TICKER,"DEEP_MEASURE_PERIOD_BROKER_VALUE","DEEP_MEASURE_ID_OVERRIDE",$C266,"DEEP_BROKER_ID_OVERRIDE",L$24,"DEEP_PERIOD_OVERRIDE",$H$19)*1,"")))</f>
        <v/>
      </c>
      <c r="M266" t="str">
        <f>IF(OR(M$23="",ISNA($B266)),"",IF(ISBLANK($B266),"",IFERROR(_xll.BDP(TICKER,"DEEP_MEASURE_PERIOD_BROKER_VALUE","DEEP_MEASURE_ID_OVERRIDE",$C266,"DEEP_BROKER_ID_OVERRIDE",M$24,"DEEP_PERIOD_OVERRIDE",$H$19)*1,"")))</f>
        <v/>
      </c>
      <c r="N266" t="str">
        <f>IF(OR(N$23="",ISNA($B266)),"",IF(ISBLANK($B266),"",IFERROR(_xll.BDP(TICKER,"DEEP_MEASURE_PERIOD_BROKER_VALUE","DEEP_MEASURE_ID_OVERRIDE",$C266,"DEEP_BROKER_ID_OVERRIDE",N$24,"DEEP_PERIOD_OVERRIDE",$H$19)*1,"")))</f>
        <v/>
      </c>
      <c r="O266" t="str">
        <f>IF(OR(O$23="",ISNA($B266)),"",IF(ISBLANK($B266),"",IFERROR(_xll.BDP(TICKER,"DEEP_MEASURE_PERIOD_BROKER_VALUE","DEEP_MEASURE_ID_OVERRIDE",$C266,"DEEP_BROKER_ID_OVERRIDE",O$24,"DEEP_PERIOD_OVERRIDE",$H$19)*1,"")))</f>
        <v/>
      </c>
      <c r="P266" t="str">
        <f>IF(OR(P$23="",ISNA($B266)),"",IF(ISBLANK($B266),"",IFERROR(_xll.BDP(TICKER,"DEEP_MEASURE_PERIOD_BROKER_VALUE","DEEP_MEASURE_ID_OVERRIDE",$C266,"DEEP_BROKER_ID_OVERRIDE",P$24,"DEEP_PERIOD_OVERRIDE",$H$19)*1,"")))</f>
        <v/>
      </c>
      <c r="Q266" t="str">
        <f>IF(OR(Q$23="",ISNA($B266)),"",IF(ISBLANK($B266),"",IFERROR(_xll.BDP(TICKER,"DEEP_MEASURE_PERIOD_BROKER_VALUE","DEEP_MEASURE_ID_OVERRIDE",$C266,"DEEP_BROKER_ID_OVERRIDE",Q$24,"DEEP_PERIOD_OVERRIDE",$H$19)*1,"")))</f>
        <v/>
      </c>
      <c r="R266" t="str">
        <f>IF(OR(R$23="",ISNA($B266)),"",IF(ISBLANK($B266),"",IFERROR(_xll.BDP(TICKER,"DEEP_MEASURE_PERIOD_BROKER_VALUE","DEEP_MEASURE_ID_OVERRIDE",$C266,"DEEP_BROKER_ID_OVERRIDE",R$24,"DEEP_PERIOD_OVERRIDE",$H$19)*1,"")))</f>
        <v/>
      </c>
      <c r="S266" t="str">
        <f>IF(OR(S$23="",ISNA($B266)),"",IF(ISBLANK($B266),"",IFERROR(_xll.BDP(TICKER,"DEEP_MEASURE_PERIOD_BROKER_VALUE","DEEP_MEASURE_ID_OVERRIDE",$C266,"DEEP_BROKER_ID_OVERRIDE",S$24,"DEEP_PERIOD_OVERRIDE",$H$19)*1,"")))</f>
        <v/>
      </c>
      <c r="T266" t="str">
        <f>IF(OR(T$23="",ISNA($B266)),"",IF(ISBLANK($B266),"",IFERROR(_xll.BDP(TICKER,"DEEP_MEASURE_PERIOD_BROKER_VALUE","DEEP_MEASURE_ID_OVERRIDE",$C266,"DEEP_BROKER_ID_OVERRIDE",T$24,"DEEP_PERIOD_OVERRIDE",$H$19)*1,"")))</f>
        <v/>
      </c>
      <c r="U266" t="str">
        <f>IF(OR(U$23="",ISNA($B266)),"",IF(ISBLANK($B266),"",IFERROR(_xll.BDP(TICKER,"DEEP_MEASURE_PERIOD_BROKER_VALUE","DEEP_MEASURE_ID_OVERRIDE",$C266,"DEEP_BROKER_ID_OVERRIDE",U$24,"DEEP_PERIOD_OVERRIDE",$H$19)*1,"")))</f>
        <v/>
      </c>
      <c r="V266" t="str">
        <f>IF(OR(V$23="",ISNA($B266)),"",IF(ISBLANK($B266),"",IFERROR(_xll.BDP(TICKER,"DEEP_MEASURE_PERIOD_BROKER_VALUE","DEEP_MEASURE_ID_OVERRIDE",$C266,"DEEP_BROKER_ID_OVERRIDE",V$24,"DEEP_PERIOD_OVERRIDE",$H$19)*1,"")))</f>
        <v/>
      </c>
      <c r="W266" t="str">
        <f>IF(OR(W$23="",ISNA($B266)),"",IF(ISBLANK($B266),"",IFERROR(_xll.BDP(TICKER,"DEEP_MEASURE_PERIOD_BROKER_VALUE","DEEP_MEASURE_ID_OVERRIDE",$C266,"DEEP_BROKER_ID_OVERRIDE",W$24,"DEEP_PERIOD_OVERRIDE",$H$19)*1,"")))</f>
        <v/>
      </c>
      <c r="X266" t="str">
        <f>IF(OR(X$23="",ISNA($B266)),"",IF(ISBLANK($B266),"",IFERROR(_xll.BDP(TICKER,"DEEP_MEASURE_PERIOD_BROKER_VALUE","DEEP_MEASURE_ID_OVERRIDE",$C266,"DEEP_BROKER_ID_OVERRIDE",X$24,"DEEP_PERIOD_OVERRIDE",$H$19)*1,"")))</f>
        <v/>
      </c>
      <c r="Y266" t="str">
        <f>IF(OR(Y$23="",ISNA($B266)),"",IF(ISBLANK($B266),"",IFERROR(_xll.BDP(TICKER,"DEEP_MEASURE_PERIOD_BROKER_VALUE","DEEP_MEASURE_ID_OVERRIDE",$C266,"DEEP_BROKER_ID_OVERRIDE",Y$24,"DEEP_PERIOD_OVERRIDE",$H$19)*1,"")))</f>
        <v/>
      </c>
      <c r="Z266" t="str">
        <f>IF(OR(Z$23="",ISNA($B266)),"",IF(ISBLANK($B266),"",IFERROR(_xll.BDP(TICKER,"DEEP_MEASURE_PERIOD_BROKER_VALUE","DEEP_MEASURE_ID_OVERRIDE",$C266,"DEEP_BROKER_ID_OVERRIDE",Z$24,"DEEP_PERIOD_OVERRIDE",$H$19)*1,"")))</f>
        <v/>
      </c>
      <c r="AA266" t="str">
        <f>IF(OR(AA$23="",ISNA($B266)),"",IF(ISBLANK($B266),"",IFERROR(_xll.BDP(TICKER,"DEEP_MEASURE_PERIOD_BROKER_VALUE","DEEP_MEASURE_ID_OVERRIDE",$C266,"DEEP_BROKER_ID_OVERRIDE",AA$24,"DEEP_PERIOD_OVERRIDE",$H$19)*1,"")))</f>
        <v/>
      </c>
      <c r="AB266" t="str">
        <f>IF(OR(AB$23="",ISNA($B266)),"",IF(ISBLANK($B266),"",IFERROR(_xll.BDP(TICKER,"DEEP_MEASURE_PERIOD_BROKER_VALUE","DEEP_MEASURE_ID_OVERRIDE",$C266,"DEEP_BROKER_ID_OVERRIDE",AB$24,"DEEP_PERIOD_OVERRIDE",$H$19)*1,"")))</f>
        <v/>
      </c>
      <c r="AC266" t="str">
        <f>IF(OR(AC$23="",ISNA($B266)),"",IF(ISBLANK($B266),"",IFERROR(_xll.BDP(TICKER,"DEEP_MEASURE_PERIOD_BROKER_VALUE","DEEP_MEASURE_ID_OVERRIDE",$C266,"DEEP_BROKER_ID_OVERRIDE",AC$24,"DEEP_PERIOD_OVERRIDE",$H$19)*1,"")))</f>
        <v/>
      </c>
      <c r="AD266" t="str">
        <f>IF(OR(AD$23="",ISNA($B266)),"",IF(ISBLANK($B266),"",IFERROR(_xll.BDP(TICKER,"DEEP_MEASURE_PERIOD_BROKER_VALUE","DEEP_MEASURE_ID_OVERRIDE",$C266,"DEEP_BROKER_ID_OVERRIDE",AD$24,"DEEP_PERIOD_OVERRIDE",$H$19)*1,"")))</f>
        <v/>
      </c>
      <c r="AE266" t="str">
        <f>IF(OR(AE$23="",ISNA($B266)),"",IF(ISBLANK($B266),"",IFERROR(_xll.BDP(TICKER,"DEEP_MEASURE_PERIOD_BROKER_VALUE","DEEP_MEASURE_ID_OVERRIDE",$C266,"DEEP_BROKER_ID_OVERRIDE",AE$24,"DEEP_PERIOD_OVERRIDE",$H$19)*1,"")))</f>
        <v/>
      </c>
      <c r="AF266" t="str">
        <f>IF(OR(AF$23="",ISNA($B266)),"",IF(ISBLANK($B266),"",IFERROR(_xll.BDP(TICKER,"DEEP_MEASURE_PERIOD_BROKER_VALUE","DEEP_MEASURE_ID_OVERRIDE",$C266,"DEEP_BROKER_ID_OVERRIDE",AF$24,"DEEP_PERIOD_OVERRIDE",$H$19)*1,"")))</f>
        <v/>
      </c>
      <c r="AG266" t="str">
        <f>IF(OR(AG$23="",ISNA($B266)),"",IF(ISBLANK($B266),"",IFERROR(_xll.BDP(TICKER,"DEEP_MEASURE_PERIOD_BROKER_VALUE","DEEP_MEASURE_ID_OVERRIDE",$C266,"DEEP_BROKER_ID_OVERRIDE",AG$24,"DEEP_PERIOD_OVERRIDE",$H$19)*1,"")))</f>
        <v/>
      </c>
      <c r="AH266" t="str">
        <f>IF(OR(AH$23="",ISNA($B266)),"",IF(ISBLANK($B266),"",IFERROR(_xll.BDP(TICKER,"DEEP_MEASURE_PERIOD_BROKER_VALUE","DEEP_MEASURE_ID_OVERRIDE",$C266,"DEEP_BROKER_ID_OVERRIDE",AH$24,"DEEP_PERIOD_OVERRIDE",$H$19)*1,"")))</f>
        <v/>
      </c>
      <c r="AI266" t="str">
        <f>IF(OR(AI$23="",ISNA($B266)),"",IF(ISBLANK($B266),"",IFERROR(_xll.BDP(TICKER,"DEEP_MEASURE_PERIOD_BROKER_VALUE","DEEP_MEASURE_ID_OVERRIDE",$C266,"DEEP_BROKER_ID_OVERRIDE",AI$24,"DEEP_PERIOD_OVERRIDE",$H$19)*1,"")))</f>
        <v/>
      </c>
      <c r="AJ266" t="str">
        <f>IF(OR(AJ$23="",ISNA($B266)),"",IF(ISBLANK($B266),"",IFERROR(_xll.BDP(TICKER,"DEEP_MEASURE_PERIOD_BROKER_VALUE","DEEP_MEASURE_ID_OVERRIDE",$C266,"DEEP_BROKER_ID_OVERRIDE",AJ$24,"DEEP_PERIOD_OVERRIDE",$H$19)*1,"")))</f>
        <v/>
      </c>
      <c r="AK266" t="str">
        <f>IF(OR(AK$23="",ISNA($B266)),"",IF(ISBLANK($B266),"",IFERROR(_xll.BDP(TICKER,"DEEP_MEASURE_PERIOD_BROKER_VALUE","DEEP_MEASURE_ID_OVERRIDE",$C266,"DEEP_BROKER_ID_OVERRIDE",AK$24,"DEEP_PERIOD_OVERRIDE",$H$19)*1,"")))</f>
        <v/>
      </c>
      <c r="AL266" t="str">
        <f>IF(OR(AL$23="",ISNA($B266)),"",IF(ISBLANK($B266),"",IFERROR(_xll.BDP(TICKER,"DEEP_MEASURE_PERIOD_BROKER_VALUE","DEEP_MEASURE_ID_OVERRIDE",$C266,"DEEP_BROKER_ID_OVERRIDE",AL$24,"DEEP_PERIOD_OVERRIDE",$H$19)*1,"")))</f>
        <v/>
      </c>
      <c r="AM266" t="str">
        <f>IF(OR(AM$23="",ISNA($B266)),"",IF(ISBLANK($B266),"",IFERROR(_xll.BDP(TICKER,"DEEP_MEASURE_PERIOD_BROKER_VALUE","DEEP_MEASURE_ID_OVERRIDE",$C266,"DEEP_BROKER_ID_OVERRIDE",AM$24,"DEEP_PERIOD_OVERRIDE",$H$19)*1,"")))</f>
        <v/>
      </c>
      <c r="AN266" t="str">
        <f>IF(OR(AN$23="",ISNA($B266)),"",IF(ISBLANK($B266),"",IFERROR(_xll.BDP(TICKER,"DEEP_MEASURE_PERIOD_BROKER_VALUE","DEEP_MEASURE_ID_OVERRIDE",$C266,"DEEP_BROKER_ID_OVERRIDE",AN$24,"DEEP_PERIOD_OVERRIDE",$H$19)*1,"")))</f>
        <v/>
      </c>
      <c r="AO266" t="str">
        <f>IF(OR(AO$23="",ISNA($B266)),"",IF(ISBLANK($B266),"",IFERROR(_xll.BDP(TICKER,"DEEP_MEASURE_PERIOD_BROKER_VALUE","DEEP_MEASURE_ID_OVERRIDE",$C266,"DEEP_BROKER_ID_OVERRIDE",AO$24,"DEEP_PERIOD_OVERRIDE",$H$19)*1,"")))</f>
        <v/>
      </c>
      <c r="AP266" t="str">
        <f>IF(OR(AP$23="",ISNA($B266)),"",IF(ISBLANK($B266),"",IFERROR(_xll.BDP(TICKER,"DEEP_MEASURE_PERIOD_BROKER_VALUE","DEEP_MEASURE_ID_OVERRIDE",$C266,"DEEP_BROKER_ID_OVERRIDE",AP$24,"DEEP_PERIOD_OVERRIDE",$H$19)*1,"")))</f>
        <v/>
      </c>
      <c r="AQ266" t="str">
        <f>IF(OR(AQ$23="",ISNA($B266)),"",IF(ISBLANK($B266),"",IFERROR(_xll.BDP(TICKER,"DEEP_MEASURE_PERIOD_BROKER_VALUE","DEEP_MEASURE_ID_OVERRIDE",$C266,"DEEP_BROKER_ID_OVERRIDE",AQ$24,"DEEP_PERIOD_OVERRIDE",$H$19)*1,"")))</f>
        <v/>
      </c>
      <c r="AR266" t="str">
        <f>IF(OR(AR$23="",ISNA($B266)),"",IF(ISBLANK($B266),"",IFERROR(_xll.BDP(TICKER,"DEEP_MEASURE_PERIOD_BROKER_VALUE","DEEP_MEASURE_ID_OVERRIDE",$C266,"DEEP_BROKER_ID_OVERRIDE",AR$24,"DEEP_PERIOD_OVERRIDE",$H$19)*1,"")))</f>
        <v/>
      </c>
      <c r="AS266" t="str">
        <f>IF(OR(AS$23="",ISNA($B266)),"",IF(ISBLANK($B266),"",IFERROR(_xll.BDP(TICKER,"DEEP_MEASURE_PERIOD_BROKER_VALUE","DEEP_MEASURE_ID_OVERRIDE",$C266,"DEEP_BROKER_ID_OVERRIDE",AS$24,"DEEP_PERIOD_OVERRIDE",$H$19)*1,"")))</f>
        <v/>
      </c>
      <c r="AT266" t="str">
        <f>IF(OR(AT$23="",ISNA($B266)),"",IF(ISBLANK($B266),"",IFERROR(_xll.BDP(TICKER,"DEEP_MEASURE_PERIOD_BROKER_VALUE","DEEP_MEASURE_ID_OVERRIDE",$C266,"DEEP_BROKER_ID_OVERRIDE",AT$24,"DEEP_PERIOD_OVERRIDE",$H$19)*1,"")))</f>
        <v/>
      </c>
      <c r="AU266" t="str">
        <f>IF(OR(AU$23="",ISNA($B266)),"",IF(ISBLANK($B266),"",IFERROR(_xll.BDP(TICKER,"DEEP_MEASURE_PERIOD_BROKER_VALUE","DEEP_MEASURE_ID_OVERRIDE",$C266,"DEEP_BROKER_ID_OVERRIDE",AU$24,"DEEP_PERIOD_OVERRIDE",$H$19)*1,"")))</f>
        <v/>
      </c>
      <c r="AV266" t="str">
        <f>IF(OR(AV$23="",ISNA($B266)),"",IF(ISBLANK($B266),"",IFERROR(_xll.BDP(TICKER,"DEEP_MEASURE_PERIOD_BROKER_VALUE","DEEP_MEASURE_ID_OVERRIDE",$C266,"DEEP_BROKER_ID_OVERRIDE",AV$24,"DEEP_PERIOD_OVERRIDE",$H$19)*1,"")))</f>
        <v/>
      </c>
      <c r="AW266" t="str">
        <f>IF(OR(AW$23="",ISNA($B266)),"",IF(ISBLANK($B266),"",IFERROR(_xll.BDP(TICKER,"DEEP_MEASURE_PERIOD_BROKER_VALUE","DEEP_MEASURE_ID_OVERRIDE",$C266,"DEEP_BROKER_ID_OVERRIDE",AW$24,"DEEP_PERIOD_OVERRIDE",$H$19)*1,"")))</f>
        <v/>
      </c>
      <c r="AX266" t="str">
        <f>IF(OR(AX$23="",ISNA($B266)),"",IF(ISBLANK($B266),"",IFERROR(_xll.BDP(TICKER,"DEEP_MEASURE_PERIOD_BROKER_VALUE","DEEP_MEASURE_ID_OVERRIDE",$C266,"DEEP_BROKER_ID_OVERRIDE",AX$24,"DEEP_PERIOD_OVERRIDE",$H$19)*1,"")))</f>
        <v/>
      </c>
      <c r="AY266" t="str">
        <f>IF(OR(AY$23="",ISNA($B266)),"",IF(ISBLANK($B266),"",IFERROR(_xll.BDP(TICKER,"DEEP_MEASURE_PERIOD_BROKER_VALUE","DEEP_MEASURE_ID_OVERRIDE",$C266,"DEEP_BROKER_ID_OVERRIDE",AY$24,"DEEP_PERIOD_OVERRIDE",$H$19)*1,"")))</f>
        <v/>
      </c>
      <c r="AZ266" t="str">
        <f>IF(OR(AZ$23="",ISNA($B266)),"",IF(ISBLANK($B266),"",IFERROR(_xll.BDP(TICKER,"DEEP_MEASURE_PERIOD_BROKER_VALUE","DEEP_MEASURE_ID_OVERRIDE",$C266,"DEEP_BROKER_ID_OVERRIDE",AZ$24,"DEEP_PERIOD_OVERRIDE",$H$19)*1,"")))</f>
        <v/>
      </c>
      <c r="BA266" t="str">
        <f>IF(OR(BA$23="",ISNA($B266)),"",IF(ISBLANK($B266),"",IFERROR(_xll.BDP(TICKER,"DEEP_MEASURE_PERIOD_BROKER_VALUE","DEEP_MEASURE_ID_OVERRIDE",$C266,"DEEP_BROKER_ID_OVERRIDE",BA$24,"DEEP_PERIOD_OVERRIDE",$H$19)*1,"")))</f>
        <v/>
      </c>
      <c r="BB266" t="str">
        <f>IF(OR(BB$23="",ISNA($B266)),"",IF(ISBLANK($B266),"",IFERROR(_xll.BDP(TICKER,"DEEP_MEASURE_PERIOD_BROKER_VALUE","DEEP_MEASURE_ID_OVERRIDE",$C266,"DEEP_BROKER_ID_OVERRIDE",BB$24,"DEEP_PERIOD_OVERRIDE",$H$19)*1,"")))</f>
        <v/>
      </c>
      <c r="BC266" t="str">
        <f>IF(OR(BC$23="",ISNA($B266)),"",IF(ISBLANK($B266),"",IFERROR(_xll.BDP(TICKER,"DEEP_MEASURE_PERIOD_BROKER_VALUE","DEEP_MEASURE_ID_OVERRIDE",$C266,"DEEP_BROKER_ID_OVERRIDE",BC$24,"DEEP_PERIOD_OVERRIDE",$H$19)*1,"")))</f>
        <v/>
      </c>
      <c r="BD266" t="str">
        <f>IF(OR(BD$23="",ISNA($B266)),"",IF(ISBLANK($B266),"",IFERROR(_xll.BDP(TICKER,"DEEP_MEASURE_PERIOD_BROKER_VALUE","DEEP_MEASURE_ID_OVERRIDE",$C266,"DEEP_BROKER_ID_OVERRIDE",BD$24,"DEEP_PERIOD_OVERRIDE",$H$19)*1,"")))</f>
        <v/>
      </c>
      <c r="BE266" t="str">
        <f>IF(OR(BE$23="",ISNA($B266)),"",IF(ISBLANK($B266),"",IFERROR(_xll.BDP(TICKER,"DEEP_MEASURE_PERIOD_BROKER_VALUE","DEEP_MEASURE_ID_OVERRIDE",$C266,"DEEP_BROKER_ID_OVERRIDE",BE$24,"DEEP_PERIOD_OVERRIDE",$H$19)*1,"")))</f>
        <v/>
      </c>
      <c r="BF266" t="str">
        <f>IF(OR(BF$23="",ISNA($B266)),"",IF(ISBLANK($B266),"",IFERROR(_xll.BDP(TICKER,"DEEP_MEASURE_PERIOD_BROKER_VALUE","DEEP_MEASURE_ID_OVERRIDE",$C266,"DEEP_BROKER_ID_OVERRIDE",BF$24,"DEEP_PERIOD_OVERRIDE",$H$19)*1,"")))</f>
        <v/>
      </c>
      <c r="BG266" t="str">
        <f>IF(OR(BG$23="",ISNA($B266)),"",IF(ISBLANK($B266),"",IFERROR(_xll.BDP(TICKER,"DEEP_MEASURE_PERIOD_BROKER_VALUE","DEEP_MEASURE_ID_OVERRIDE",$C266,"DEEP_BROKER_ID_OVERRIDE",BG$24,"DEEP_PERIOD_OVERRIDE",$H$19)*1,"")))</f>
        <v/>
      </c>
      <c r="BH266" t="str">
        <f>IF(OR(BH$23="",ISNA($B266)),"",IF(ISBLANK($B266),"",IFERROR(_xll.BDP(TICKER,"DEEP_MEASURE_PERIOD_BROKER_VALUE","DEEP_MEASURE_ID_OVERRIDE",$C266,"DEEP_BROKER_ID_OVERRIDE",BH$24,"DEEP_PERIOD_OVERRIDE",$H$19)*1,"")))</f>
        <v/>
      </c>
      <c r="BI266" t="str">
        <f>IF(OR(BI$23="",ISNA($B266)),"",IF(ISBLANK($B266),"",IFERROR(_xll.BDP(TICKER,"DEEP_MEASURE_PERIOD_BROKER_VALUE","DEEP_MEASURE_ID_OVERRIDE",$C266,"DEEP_BROKER_ID_OVERRIDE",BI$24,"DEEP_PERIOD_OVERRIDE",$H$19)*1,"")))</f>
        <v/>
      </c>
      <c r="BJ266" t="str">
        <f>IF(OR(BJ$23="",ISNA($B266)),"",IF(ISBLANK($B266),"",IFERROR(_xll.BDP(TICKER,"DEEP_MEASURE_PERIOD_BROKER_VALUE","DEEP_MEASURE_ID_OVERRIDE",$C266,"DEEP_BROKER_ID_OVERRIDE",BJ$24,"DEEP_PERIOD_OVERRIDE",$H$19)*1,"")))</f>
        <v/>
      </c>
      <c r="BK266" t="str">
        <f>IF(OR(BK$23="",ISNA($B266)),"",IF(ISBLANK($B266),"",IFERROR(_xll.BDP(TICKER,"DEEP_MEASURE_PERIOD_BROKER_VALUE","DEEP_MEASURE_ID_OVERRIDE",$C266,"DEEP_BROKER_ID_OVERRIDE",BK$24,"DEEP_PERIOD_OVERRIDE",$H$19)*1,"")))</f>
        <v/>
      </c>
      <c r="BL266" t="str">
        <f>IF(OR(BL$23="",ISNA($B266)),"",IF(ISBLANK($B266),"",IFERROR(_xll.BDP(TICKER,"DEEP_MEASURE_PERIOD_BROKER_VALUE","DEEP_MEASURE_ID_OVERRIDE",$C266,"DEEP_BROKER_ID_OVERRIDE",BL$24,"DEEP_PERIOD_OVERRIDE",$H$19)*1,"")))</f>
        <v/>
      </c>
      <c r="BM266" t="str">
        <f>IF(OR(BM$23="",ISNA($B266)),"",IF(ISBLANK($B266),"",IFERROR(_xll.BDP(TICKER,"DEEP_MEASURE_PERIOD_BROKER_VALUE","DEEP_MEASURE_ID_OVERRIDE",$C266,"DEEP_BROKER_ID_OVERRIDE",BM$24,"DEEP_PERIOD_OVERRIDE",$H$19)*1,"")))</f>
        <v/>
      </c>
      <c r="BN266" t="str">
        <f>IF(OR(BN$23="",ISNA($B266)),"",IF(ISBLANK($B266),"",IFERROR(_xll.BDP(TICKER,"DEEP_MEASURE_PERIOD_BROKER_VALUE","DEEP_MEASURE_ID_OVERRIDE",$C266,"DEEP_BROKER_ID_OVERRIDE",BN$24,"DEEP_PERIOD_OVERRIDE",$H$19)*1,"")))</f>
        <v/>
      </c>
      <c r="BO266" t="str">
        <f>IF(OR(BO$23="",ISNA($B266)),"",IF(ISBLANK($B266),"",IFERROR(_xll.BDP(TICKER,"DEEP_MEASURE_PERIOD_BROKER_VALUE","DEEP_MEASURE_ID_OVERRIDE",$C266,"DEEP_BROKER_ID_OVERRIDE",BO$24,"DEEP_PERIOD_OVERRIDE",$H$19)*1,"")))</f>
        <v/>
      </c>
      <c r="BP266" t="str">
        <f>IF(OR(BP$23="",ISNA($B266)),"",IF(ISBLANK($B266),"",IFERROR(_xll.BDP(TICKER,"DEEP_MEASURE_PERIOD_BROKER_VALUE","DEEP_MEASURE_ID_OVERRIDE",$C266,"DEEP_BROKER_ID_OVERRIDE",BP$24,"DEEP_PERIOD_OVERRIDE",$H$19)*1,"")))</f>
        <v/>
      </c>
      <c r="BQ266" t="str">
        <f>IF(OR(BQ$23="",ISNA($B266)),"",IF(ISBLANK($B266),"",IFERROR(_xll.BDP(TICKER,"DEEP_MEASURE_PERIOD_BROKER_VALUE","DEEP_MEASURE_ID_OVERRIDE",$C266,"DEEP_BROKER_ID_OVERRIDE",BQ$24,"DEEP_PERIOD_OVERRIDE",$H$19)*1,"")))</f>
        <v/>
      </c>
      <c r="BR266" t="str">
        <f>IF(OR(BR$23="",ISNA($B266)),"",IF(ISBLANK($B266),"",IFERROR(_xll.BDP(TICKER,"DEEP_MEASURE_PERIOD_BROKER_VALUE","DEEP_MEASURE_ID_OVERRIDE",$C266,"DEEP_BROKER_ID_OVERRIDE",BR$24,"DEEP_PERIOD_OVERRIDE",$H$19)*1,"")))</f>
        <v/>
      </c>
      <c r="BS266" t="str">
        <f>IF(OR(BS$23="",ISNA($B266)),"",IF(ISBLANK($B266),"",IFERROR(_xll.BDP(TICKER,"DEEP_MEASURE_PERIOD_BROKER_VALUE","DEEP_MEASURE_ID_OVERRIDE",$C266,"DEEP_BROKER_ID_OVERRIDE",BS$24,"DEEP_PERIOD_OVERRIDE",$H$19)*1,"")))</f>
        <v/>
      </c>
      <c r="BT266" t="str">
        <f>IF(OR(BT$23="",ISNA($B266)),"",IF(ISBLANK($B266),"",IFERROR(_xll.BDP(TICKER,"DEEP_MEASURE_PERIOD_BROKER_VALUE","DEEP_MEASURE_ID_OVERRIDE",$C266,"DEEP_BROKER_ID_OVERRIDE",BT$24,"DEEP_PERIOD_OVERRIDE",$H$19)*1,"")))</f>
        <v/>
      </c>
      <c r="BU266" t="str">
        <f>IF(OR(BU$23="",ISNA($B266)),"",IF(ISBLANK($B266),"",IFERROR(_xll.BDP(TICKER,"DEEP_MEASURE_PERIOD_BROKER_VALUE","DEEP_MEASURE_ID_OVERRIDE",$C266,"DEEP_BROKER_ID_OVERRIDE",BU$24,"DEEP_PERIOD_OVERRIDE",$H$19)*1,"")))</f>
        <v/>
      </c>
      <c r="BV266" t="str">
        <f>IF(OR(BV$23="",ISNA($B266)),"",IF(ISBLANK($B266),"",IFERROR(_xll.BDP(TICKER,"DEEP_MEASURE_PERIOD_BROKER_VALUE","DEEP_MEASURE_ID_OVERRIDE",$C266,"DEEP_BROKER_ID_OVERRIDE",BV$24,"DEEP_PERIOD_OVERRIDE",$H$19)*1,"")))</f>
        <v/>
      </c>
      <c r="BW266" t="str">
        <f>IF(OR(BW$23="",ISNA($B266)),"",IF(ISBLANK($B266),"",IFERROR(_xll.BDP(TICKER,"DEEP_MEASURE_PERIOD_BROKER_VALUE","DEEP_MEASURE_ID_OVERRIDE",$C266,"DEEP_BROKER_ID_OVERRIDE",BW$24,"DEEP_PERIOD_OVERRIDE",$H$19)*1,"")))</f>
        <v/>
      </c>
      <c r="BX266" t="str">
        <f>IF(OR(BX$23="",ISNA($B266)),"",IF(ISBLANK($B266),"",IFERROR(_xll.BDP(TICKER,"DEEP_MEASURE_PERIOD_BROKER_VALUE","DEEP_MEASURE_ID_OVERRIDE",$C266,"DEEP_BROKER_ID_OVERRIDE",BX$24,"DEEP_PERIOD_OVERRIDE",$H$19)*1,"")))</f>
        <v/>
      </c>
      <c r="BY266" t="str">
        <f>IF(OR(BY$23="",ISNA($B266)),"",IF(ISBLANK($B266),"",IFERROR(_xll.BDP(TICKER,"DEEP_MEASURE_PERIOD_BROKER_VALUE","DEEP_MEASURE_ID_OVERRIDE",$C266,"DEEP_BROKER_ID_OVERRIDE",BY$24,"DEEP_PERIOD_OVERRIDE",$H$19)*1,"")))</f>
        <v/>
      </c>
      <c r="BZ266" t="str">
        <f>IF(OR(BZ$23="",ISNA($B266)),"",IF(ISBLANK($B266),"",IFERROR(_xll.BDP(TICKER,"DEEP_MEASURE_PERIOD_BROKER_VALUE","DEEP_MEASURE_ID_OVERRIDE",$C266,"DEEP_BROKER_ID_OVERRIDE",BZ$24,"DEEP_PERIOD_OVERRIDE",$H$19)*1,"")))</f>
        <v/>
      </c>
    </row>
    <row r="267" spans="8:78" x14ac:dyDescent="0.25">
      <c r="H267" t="str">
        <f t="shared" si="4"/>
        <v/>
      </c>
      <c r="I267" t="str">
        <f>IF(OR(I$23="",ISNA($B267)),"",IF(ISBLANK($B267),"",IFERROR(_xll.BDP(TICKER,"DEEP_MEASURE_PERIOD_BROKER_VALUE","DEEP_MEASURE_ID_OVERRIDE",$C267,"DEEP_PERIOD_OVERRIDE",$H$19)*1,"")))</f>
        <v/>
      </c>
      <c r="J267" t="e">
        <f>IF(OR(J$23="",ISNA($B267)),"",IF(ISBLANK($B267),"",IFERROR(_xll.BDP(TICKER,"DEEP_MEASURE_PERIOD_BROKER_VALUE","DEEP_MEASURE_ID_OVERRIDE",$C267,"DEEP_BROKER_ID_OVERRIDE",J$24,"DEEP_PERIOD_OVERRIDE",$H$19)*1,"")))</f>
        <v>#REF!</v>
      </c>
      <c r="K267" t="str">
        <f>IF(OR(K$23="",ISNA($B267)),"",IF(ISBLANK($B267),"",IFERROR(_xll.BDP(TICKER,"DEEP_MEASURE_PERIOD_BROKER_VALUE","DEEP_MEASURE_ID_OVERRIDE",$C267,"DEEP_BROKER_ID_OVERRIDE",K$24,"DEEP_PERIOD_OVERRIDE",$H$19)*1,"")))</f>
        <v/>
      </c>
      <c r="L267" t="str">
        <f>IF(OR(L$23="",ISNA($B267)),"",IF(ISBLANK($B267),"",IFERROR(_xll.BDP(TICKER,"DEEP_MEASURE_PERIOD_BROKER_VALUE","DEEP_MEASURE_ID_OVERRIDE",$C267,"DEEP_BROKER_ID_OVERRIDE",L$24,"DEEP_PERIOD_OVERRIDE",$H$19)*1,"")))</f>
        <v/>
      </c>
      <c r="M267" t="str">
        <f>IF(OR(M$23="",ISNA($B267)),"",IF(ISBLANK($B267),"",IFERROR(_xll.BDP(TICKER,"DEEP_MEASURE_PERIOD_BROKER_VALUE","DEEP_MEASURE_ID_OVERRIDE",$C267,"DEEP_BROKER_ID_OVERRIDE",M$24,"DEEP_PERIOD_OVERRIDE",$H$19)*1,"")))</f>
        <v/>
      </c>
      <c r="N267" t="str">
        <f>IF(OR(N$23="",ISNA($B267)),"",IF(ISBLANK($B267),"",IFERROR(_xll.BDP(TICKER,"DEEP_MEASURE_PERIOD_BROKER_VALUE","DEEP_MEASURE_ID_OVERRIDE",$C267,"DEEP_BROKER_ID_OVERRIDE",N$24,"DEEP_PERIOD_OVERRIDE",$H$19)*1,"")))</f>
        <v/>
      </c>
      <c r="O267" t="str">
        <f>IF(OR(O$23="",ISNA($B267)),"",IF(ISBLANK($B267),"",IFERROR(_xll.BDP(TICKER,"DEEP_MEASURE_PERIOD_BROKER_VALUE","DEEP_MEASURE_ID_OVERRIDE",$C267,"DEEP_BROKER_ID_OVERRIDE",O$24,"DEEP_PERIOD_OVERRIDE",$H$19)*1,"")))</f>
        <v/>
      </c>
      <c r="P267" t="str">
        <f>IF(OR(P$23="",ISNA($B267)),"",IF(ISBLANK($B267),"",IFERROR(_xll.BDP(TICKER,"DEEP_MEASURE_PERIOD_BROKER_VALUE","DEEP_MEASURE_ID_OVERRIDE",$C267,"DEEP_BROKER_ID_OVERRIDE",P$24,"DEEP_PERIOD_OVERRIDE",$H$19)*1,"")))</f>
        <v/>
      </c>
      <c r="Q267" t="str">
        <f>IF(OR(Q$23="",ISNA($B267)),"",IF(ISBLANK($B267),"",IFERROR(_xll.BDP(TICKER,"DEEP_MEASURE_PERIOD_BROKER_VALUE","DEEP_MEASURE_ID_OVERRIDE",$C267,"DEEP_BROKER_ID_OVERRIDE",Q$24,"DEEP_PERIOD_OVERRIDE",$H$19)*1,"")))</f>
        <v/>
      </c>
      <c r="R267" t="str">
        <f>IF(OR(R$23="",ISNA($B267)),"",IF(ISBLANK($B267),"",IFERROR(_xll.BDP(TICKER,"DEEP_MEASURE_PERIOD_BROKER_VALUE","DEEP_MEASURE_ID_OVERRIDE",$C267,"DEEP_BROKER_ID_OVERRIDE",R$24,"DEEP_PERIOD_OVERRIDE",$H$19)*1,"")))</f>
        <v/>
      </c>
      <c r="S267" t="str">
        <f>IF(OR(S$23="",ISNA($B267)),"",IF(ISBLANK($B267),"",IFERROR(_xll.BDP(TICKER,"DEEP_MEASURE_PERIOD_BROKER_VALUE","DEEP_MEASURE_ID_OVERRIDE",$C267,"DEEP_BROKER_ID_OVERRIDE",S$24,"DEEP_PERIOD_OVERRIDE",$H$19)*1,"")))</f>
        <v/>
      </c>
      <c r="T267" t="str">
        <f>IF(OR(T$23="",ISNA($B267)),"",IF(ISBLANK($B267),"",IFERROR(_xll.BDP(TICKER,"DEEP_MEASURE_PERIOD_BROKER_VALUE","DEEP_MEASURE_ID_OVERRIDE",$C267,"DEEP_BROKER_ID_OVERRIDE",T$24,"DEEP_PERIOD_OVERRIDE",$H$19)*1,"")))</f>
        <v/>
      </c>
      <c r="U267" t="str">
        <f>IF(OR(U$23="",ISNA($B267)),"",IF(ISBLANK($B267),"",IFERROR(_xll.BDP(TICKER,"DEEP_MEASURE_PERIOD_BROKER_VALUE","DEEP_MEASURE_ID_OVERRIDE",$C267,"DEEP_BROKER_ID_OVERRIDE",U$24,"DEEP_PERIOD_OVERRIDE",$H$19)*1,"")))</f>
        <v/>
      </c>
      <c r="V267" t="str">
        <f>IF(OR(V$23="",ISNA($B267)),"",IF(ISBLANK($B267),"",IFERROR(_xll.BDP(TICKER,"DEEP_MEASURE_PERIOD_BROKER_VALUE","DEEP_MEASURE_ID_OVERRIDE",$C267,"DEEP_BROKER_ID_OVERRIDE",V$24,"DEEP_PERIOD_OVERRIDE",$H$19)*1,"")))</f>
        <v/>
      </c>
      <c r="W267" t="str">
        <f>IF(OR(W$23="",ISNA($B267)),"",IF(ISBLANK($B267),"",IFERROR(_xll.BDP(TICKER,"DEEP_MEASURE_PERIOD_BROKER_VALUE","DEEP_MEASURE_ID_OVERRIDE",$C267,"DEEP_BROKER_ID_OVERRIDE",W$24,"DEEP_PERIOD_OVERRIDE",$H$19)*1,"")))</f>
        <v/>
      </c>
      <c r="X267" t="str">
        <f>IF(OR(X$23="",ISNA($B267)),"",IF(ISBLANK($B267),"",IFERROR(_xll.BDP(TICKER,"DEEP_MEASURE_PERIOD_BROKER_VALUE","DEEP_MEASURE_ID_OVERRIDE",$C267,"DEEP_BROKER_ID_OVERRIDE",X$24,"DEEP_PERIOD_OVERRIDE",$H$19)*1,"")))</f>
        <v/>
      </c>
      <c r="Y267" t="str">
        <f>IF(OR(Y$23="",ISNA($B267)),"",IF(ISBLANK($B267),"",IFERROR(_xll.BDP(TICKER,"DEEP_MEASURE_PERIOD_BROKER_VALUE","DEEP_MEASURE_ID_OVERRIDE",$C267,"DEEP_BROKER_ID_OVERRIDE",Y$24,"DEEP_PERIOD_OVERRIDE",$H$19)*1,"")))</f>
        <v/>
      </c>
      <c r="Z267" t="str">
        <f>IF(OR(Z$23="",ISNA($B267)),"",IF(ISBLANK($B267),"",IFERROR(_xll.BDP(TICKER,"DEEP_MEASURE_PERIOD_BROKER_VALUE","DEEP_MEASURE_ID_OVERRIDE",$C267,"DEEP_BROKER_ID_OVERRIDE",Z$24,"DEEP_PERIOD_OVERRIDE",$H$19)*1,"")))</f>
        <v/>
      </c>
      <c r="AA267" t="str">
        <f>IF(OR(AA$23="",ISNA($B267)),"",IF(ISBLANK($B267),"",IFERROR(_xll.BDP(TICKER,"DEEP_MEASURE_PERIOD_BROKER_VALUE","DEEP_MEASURE_ID_OVERRIDE",$C267,"DEEP_BROKER_ID_OVERRIDE",AA$24,"DEEP_PERIOD_OVERRIDE",$H$19)*1,"")))</f>
        <v/>
      </c>
      <c r="AB267" t="str">
        <f>IF(OR(AB$23="",ISNA($B267)),"",IF(ISBLANK($B267),"",IFERROR(_xll.BDP(TICKER,"DEEP_MEASURE_PERIOD_BROKER_VALUE","DEEP_MEASURE_ID_OVERRIDE",$C267,"DEEP_BROKER_ID_OVERRIDE",AB$24,"DEEP_PERIOD_OVERRIDE",$H$19)*1,"")))</f>
        <v/>
      </c>
      <c r="AC267" t="str">
        <f>IF(OR(AC$23="",ISNA($B267)),"",IF(ISBLANK($B267),"",IFERROR(_xll.BDP(TICKER,"DEEP_MEASURE_PERIOD_BROKER_VALUE","DEEP_MEASURE_ID_OVERRIDE",$C267,"DEEP_BROKER_ID_OVERRIDE",AC$24,"DEEP_PERIOD_OVERRIDE",$H$19)*1,"")))</f>
        <v/>
      </c>
      <c r="AD267" t="str">
        <f>IF(OR(AD$23="",ISNA($B267)),"",IF(ISBLANK($B267),"",IFERROR(_xll.BDP(TICKER,"DEEP_MEASURE_PERIOD_BROKER_VALUE","DEEP_MEASURE_ID_OVERRIDE",$C267,"DEEP_BROKER_ID_OVERRIDE",AD$24,"DEEP_PERIOD_OVERRIDE",$H$19)*1,"")))</f>
        <v/>
      </c>
      <c r="AE267" t="str">
        <f>IF(OR(AE$23="",ISNA($B267)),"",IF(ISBLANK($B267),"",IFERROR(_xll.BDP(TICKER,"DEEP_MEASURE_PERIOD_BROKER_VALUE","DEEP_MEASURE_ID_OVERRIDE",$C267,"DEEP_BROKER_ID_OVERRIDE",AE$24,"DEEP_PERIOD_OVERRIDE",$H$19)*1,"")))</f>
        <v/>
      </c>
      <c r="AF267" t="str">
        <f>IF(OR(AF$23="",ISNA($B267)),"",IF(ISBLANK($B267),"",IFERROR(_xll.BDP(TICKER,"DEEP_MEASURE_PERIOD_BROKER_VALUE","DEEP_MEASURE_ID_OVERRIDE",$C267,"DEEP_BROKER_ID_OVERRIDE",AF$24,"DEEP_PERIOD_OVERRIDE",$H$19)*1,"")))</f>
        <v/>
      </c>
      <c r="AG267" t="str">
        <f>IF(OR(AG$23="",ISNA($B267)),"",IF(ISBLANK($B267),"",IFERROR(_xll.BDP(TICKER,"DEEP_MEASURE_PERIOD_BROKER_VALUE","DEEP_MEASURE_ID_OVERRIDE",$C267,"DEEP_BROKER_ID_OVERRIDE",AG$24,"DEEP_PERIOD_OVERRIDE",$H$19)*1,"")))</f>
        <v/>
      </c>
      <c r="AH267" t="str">
        <f>IF(OR(AH$23="",ISNA($B267)),"",IF(ISBLANK($B267),"",IFERROR(_xll.BDP(TICKER,"DEEP_MEASURE_PERIOD_BROKER_VALUE","DEEP_MEASURE_ID_OVERRIDE",$C267,"DEEP_BROKER_ID_OVERRIDE",AH$24,"DEEP_PERIOD_OVERRIDE",$H$19)*1,"")))</f>
        <v/>
      </c>
      <c r="AI267" t="str">
        <f>IF(OR(AI$23="",ISNA($B267)),"",IF(ISBLANK($B267),"",IFERROR(_xll.BDP(TICKER,"DEEP_MEASURE_PERIOD_BROKER_VALUE","DEEP_MEASURE_ID_OVERRIDE",$C267,"DEEP_BROKER_ID_OVERRIDE",AI$24,"DEEP_PERIOD_OVERRIDE",$H$19)*1,"")))</f>
        <v/>
      </c>
      <c r="AJ267" t="str">
        <f>IF(OR(AJ$23="",ISNA($B267)),"",IF(ISBLANK($B267),"",IFERROR(_xll.BDP(TICKER,"DEEP_MEASURE_PERIOD_BROKER_VALUE","DEEP_MEASURE_ID_OVERRIDE",$C267,"DEEP_BROKER_ID_OVERRIDE",AJ$24,"DEEP_PERIOD_OVERRIDE",$H$19)*1,"")))</f>
        <v/>
      </c>
      <c r="AK267" t="str">
        <f>IF(OR(AK$23="",ISNA($B267)),"",IF(ISBLANK($B267),"",IFERROR(_xll.BDP(TICKER,"DEEP_MEASURE_PERIOD_BROKER_VALUE","DEEP_MEASURE_ID_OVERRIDE",$C267,"DEEP_BROKER_ID_OVERRIDE",AK$24,"DEEP_PERIOD_OVERRIDE",$H$19)*1,"")))</f>
        <v/>
      </c>
      <c r="AL267" t="str">
        <f>IF(OR(AL$23="",ISNA($B267)),"",IF(ISBLANK($B267),"",IFERROR(_xll.BDP(TICKER,"DEEP_MEASURE_PERIOD_BROKER_VALUE","DEEP_MEASURE_ID_OVERRIDE",$C267,"DEEP_BROKER_ID_OVERRIDE",AL$24,"DEEP_PERIOD_OVERRIDE",$H$19)*1,"")))</f>
        <v/>
      </c>
      <c r="AM267" t="str">
        <f>IF(OR(AM$23="",ISNA($B267)),"",IF(ISBLANK($B267),"",IFERROR(_xll.BDP(TICKER,"DEEP_MEASURE_PERIOD_BROKER_VALUE","DEEP_MEASURE_ID_OVERRIDE",$C267,"DEEP_BROKER_ID_OVERRIDE",AM$24,"DEEP_PERIOD_OVERRIDE",$H$19)*1,"")))</f>
        <v/>
      </c>
      <c r="AN267" t="str">
        <f>IF(OR(AN$23="",ISNA($B267)),"",IF(ISBLANK($B267),"",IFERROR(_xll.BDP(TICKER,"DEEP_MEASURE_PERIOD_BROKER_VALUE","DEEP_MEASURE_ID_OVERRIDE",$C267,"DEEP_BROKER_ID_OVERRIDE",AN$24,"DEEP_PERIOD_OVERRIDE",$H$19)*1,"")))</f>
        <v/>
      </c>
      <c r="AO267" t="str">
        <f>IF(OR(AO$23="",ISNA($B267)),"",IF(ISBLANK($B267),"",IFERROR(_xll.BDP(TICKER,"DEEP_MEASURE_PERIOD_BROKER_VALUE","DEEP_MEASURE_ID_OVERRIDE",$C267,"DEEP_BROKER_ID_OVERRIDE",AO$24,"DEEP_PERIOD_OVERRIDE",$H$19)*1,"")))</f>
        <v/>
      </c>
      <c r="AP267" t="str">
        <f>IF(OR(AP$23="",ISNA($B267)),"",IF(ISBLANK($B267),"",IFERROR(_xll.BDP(TICKER,"DEEP_MEASURE_PERIOD_BROKER_VALUE","DEEP_MEASURE_ID_OVERRIDE",$C267,"DEEP_BROKER_ID_OVERRIDE",AP$24,"DEEP_PERIOD_OVERRIDE",$H$19)*1,"")))</f>
        <v/>
      </c>
      <c r="AQ267" t="str">
        <f>IF(OR(AQ$23="",ISNA($B267)),"",IF(ISBLANK($B267),"",IFERROR(_xll.BDP(TICKER,"DEEP_MEASURE_PERIOD_BROKER_VALUE","DEEP_MEASURE_ID_OVERRIDE",$C267,"DEEP_BROKER_ID_OVERRIDE",AQ$24,"DEEP_PERIOD_OVERRIDE",$H$19)*1,"")))</f>
        <v/>
      </c>
      <c r="AR267" t="str">
        <f>IF(OR(AR$23="",ISNA($B267)),"",IF(ISBLANK($B267),"",IFERROR(_xll.BDP(TICKER,"DEEP_MEASURE_PERIOD_BROKER_VALUE","DEEP_MEASURE_ID_OVERRIDE",$C267,"DEEP_BROKER_ID_OVERRIDE",AR$24,"DEEP_PERIOD_OVERRIDE",$H$19)*1,"")))</f>
        <v/>
      </c>
      <c r="AS267" t="str">
        <f>IF(OR(AS$23="",ISNA($B267)),"",IF(ISBLANK($B267),"",IFERROR(_xll.BDP(TICKER,"DEEP_MEASURE_PERIOD_BROKER_VALUE","DEEP_MEASURE_ID_OVERRIDE",$C267,"DEEP_BROKER_ID_OVERRIDE",AS$24,"DEEP_PERIOD_OVERRIDE",$H$19)*1,"")))</f>
        <v/>
      </c>
      <c r="AT267" t="str">
        <f>IF(OR(AT$23="",ISNA($B267)),"",IF(ISBLANK($B267),"",IFERROR(_xll.BDP(TICKER,"DEEP_MEASURE_PERIOD_BROKER_VALUE","DEEP_MEASURE_ID_OVERRIDE",$C267,"DEEP_BROKER_ID_OVERRIDE",AT$24,"DEEP_PERIOD_OVERRIDE",$H$19)*1,"")))</f>
        <v/>
      </c>
      <c r="AU267" t="str">
        <f>IF(OR(AU$23="",ISNA($B267)),"",IF(ISBLANK($B267),"",IFERROR(_xll.BDP(TICKER,"DEEP_MEASURE_PERIOD_BROKER_VALUE","DEEP_MEASURE_ID_OVERRIDE",$C267,"DEEP_BROKER_ID_OVERRIDE",AU$24,"DEEP_PERIOD_OVERRIDE",$H$19)*1,"")))</f>
        <v/>
      </c>
      <c r="AV267" t="str">
        <f>IF(OR(AV$23="",ISNA($B267)),"",IF(ISBLANK($B267),"",IFERROR(_xll.BDP(TICKER,"DEEP_MEASURE_PERIOD_BROKER_VALUE","DEEP_MEASURE_ID_OVERRIDE",$C267,"DEEP_BROKER_ID_OVERRIDE",AV$24,"DEEP_PERIOD_OVERRIDE",$H$19)*1,"")))</f>
        <v/>
      </c>
      <c r="AW267" t="str">
        <f>IF(OR(AW$23="",ISNA($B267)),"",IF(ISBLANK($B267),"",IFERROR(_xll.BDP(TICKER,"DEEP_MEASURE_PERIOD_BROKER_VALUE","DEEP_MEASURE_ID_OVERRIDE",$C267,"DEEP_BROKER_ID_OVERRIDE",AW$24,"DEEP_PERIOD_OVERRIDE",$H$19)*1,"")))</f>
        <v/>
      </c>
      <c r="AX267" t="str">
        <f>IF(OR(AX$23="",ISNA($B267)),"",IF(ISBLANK($B267),"",IFERROR(_xll.BDP(TICKER,"DEEP_MEASURE_PERIOD_BROKER_VALUE","DEEP_MEASURE_ID_OVERRIDE",$C267,"DEEP_BROKER_ID_OVERRIDE",AX$24,"DEEP_PERIOD_OVERRIDE",$H$19)*1,"")))</f>
        <v/>
      </c>
      <c r="AY267" t="str">
        <f>IF(OR(AY$23="",ISNA($B267)),"",IF(ISBLANK($B267),"",IFERROR(_xll.BDP(TICKER,"DEEP_MEASURE_PERIOD_BROKER_VALUE","DEEP_MEASURE_ID_OVERRIDE",$C267,"DEEP_BROKER_ID_OVERRIDE",AY$24,"DEEP_PERIOD_OVERRIDE",$H$19)*1,"")))</f>
        <v/>
      </c>
      <c r="AZ267" t="str">
        <f>IF(OR(AZ$23="",ISNA($B267)),"",IF(ISBLANK($B267),"",IFERROR(_xll.BDP(TICKER,"DEEP_MEASURE_PERIOD_BROKER_VALUE","DEEP_MEASURE_ID_OVERRIDE",$C267,"DEEP_BROKER_ID_OVERRIDE",AZ$24,"DEEP_PERIOD_OVERRIDE",$H$19)*1,"")))</f>
        <v/>
      </c>
      <c r="BA267" t="str">
        <f>IF(OR(BA$23="",ISNA($B267)),"",IF(ISBLANK($B267),"",IFERROR(_xll.BDP(TICKER,"DEEP_MEASURE_PERIOD_BROKER_VALUE","DEEP_MEASURE_ID_OVERRIDE",$C267,"DEEP_BROKER_ID_OVERRIDE",BA$24,"DEEP_PERIOD_OVERRIDE",$H$19)*1,"")))</f>
        <v/>
      </c>
      <c r="BB267" t="str">
        <f>IF(OR(BB$23="",ISNA($B267)),"",IF(ISBLANK($B267),"",IFERROR(_xll.BDP(TICKER,"DEEP_MEASURE_PERIOD_BROKER_VALUE","DEEP_MEASURE_ID_OVERRIDE",$C267,"DEEP_BROKER_ID_OVERRIDE",BB$24,"DEEP_PERIOD_OVERRIDE",$H$19)*1,"")))</f>
        <v/>
      </c>
      <c r="BC267" t="str">
        <f>IF(OR(BC$23="",ISNA($B267)),"",IF(ISBLANK($B267),"",IFERROR(_xll.BDP(TICKER,"DEEP_MEASURE_PERIOD_BROKER_VALUE","DEEP_MEASURE_ID_OVERRIDE",$C267,"DEEP_BROKER_ID_OVERRIDE",BC$24,"DEEP_PERIOD_OVERRIDE",$H$19)*1,"")))</f>
        <v/>
      </c>
      <c r="BD267" t="str">
        <f>IF(OR(BD$23="",ISNA($B267)),"",IF(ISBLANK($B267),"",IFERROR(_xll.BDP(TICKER,"DEEP_MEASURE_PERIOD_BROKER_VALUE","DEEP_MEASURE_ID_OVERRIDE",$C267,"DEEP_BROKER_ID_OVERRIDE",BD$24,"DEEP_PERIOD_OVERRIDE",$H$19)*1,"")))</f>
        <v/>
      </c>
      <c r="BE267" t="str">
        <f>IF(OR(BE$23="",ISNA($B267)),"",IF(ISBLANK($B267),"",IFERROR(_xll.BDP(TICKER,"DEEP_MEASURE_PERIOD_BROKER_VALUE","DEEP_MEASURE_ID_OVERRIDE",$C267,"DEEP_BROKER_ID_OVERRIDE",BE$24,"DEEP_PERIOD_OVERRIDE",$H$19)*1,"")))</f>
        <v/>
      </c>
      <c r="BF267" t="str">
        <f>IF(OR(BF$23="",ISNA($B267)),"",IF(ISBLANK($B267),"",IFERROR(_xll.BDP(TICKER,"DEEP_MEASURE_PERIOD_BROKER_VALUE","DEEP_MEASURE_ID_OVERRIDE",$C267,"DEEP_BROKER_ID_OVERRIDE",BF$24,"DEEP_PERIOD_OVERRIDE",$H$19)*1,"")))</f>
        <v/>
      </c>
      <c r="BG267" t="str">
        <f>IF(OR(BG$23="",ISNA($B267)),"",IF(ISBLANK($B267),"",IFERROR(_xll.BDP(TICKER,"DEEP_MEASURE_PERIOD_BROKER_VALUE","DEEP_MEASURE_ID_OVERRIDE",$C267,"DEEP_BROKER_ID_OVERRIDE",BG$24,"DEEP_PERIOD_OVERRIDE",$H$19)*1,"")))</f>
        <v/>
      </c>
      <c r="BH267" t="str">
        <f>IF(OR(BH$23="",ISNA($B267)),"",IF(ISBLANK($B267),"",IFERROR(_xll.BDP(TICKER,"DEEP_MEASURE_PERIOD_BROKER_VALUE","DEEP_MEASURE_ID_OVERRIDE",$C267,"DEEP_BROKER_ID_OVERRIDE",BH$24,"DEEP_PERIOD_OVERRIDE",$H$19)*1,"")))</f>
        <v/>
      </c>
      <c r="BI267" t="str">
        <f>IF(OR(BI$23="",ISNA($B267)),"",IF(ISBLANK($B267),"",IFERROR(_xll.BDP(TICKER,"DEEP_MEASURE_PERIOD_BROKER_VALUE","DEEP_MEASURE_ID_OVERRIDE",$C267,"DEEP_BROKER_ID_OVERRIDE",BI$24,"DEEP_PERIOD_OVERRIDE",$H$19)*1,"")))</f>
        <v/>
      </c>
      <c r="BJ267" t="str">
        <f>IF(OR(BJ$23="",ISNA($B267)),"",IF(ISBLANK($B267),"",IFERROR(_xll.BDP(TICKER,"DEEP_MEASURE_PERIOD_BROKER_VALUE","DEEP_MEASURE_ID_OVERRIDE",$C267,"DEEP_BROKER_ID_OVERRIDE",BJ$24,"DEEP_PERIOD_OVERRIDE",$H$19)*1,"")))</f>
        <v/>
      </c>
      <c r="BK267" t="str">
        <f>IF(OR(BK$23="",ISNA($B267)),"",IF(ISBLANK($B267),"",IFERROR(_xll.BDP(TICKER,"DEEP_MEASURE_PERIOD_BROKER_VALUE","DEEP_MEASURE_ID_OVERRIDE",$C267,"DEEP_BROKER_ID_OVERRIDE",BK$24,"DEEP_PERIOD_OVERRIDE",$H$19)*1,"")))</f>
        <v/>
      </c>
      <c r="BL267" t="str">
        <f>IF(OR(BL$23="",ISNA($B267)),"",IF(ISBLANK($B267),"",IFERROR(_xll.BDP(TICKER,"DEEP_MEASURE_PERIOD_BROKER_VALUE","DEEP_MEASURE_ID_OVERRIDE",$C267,"DEEP_BROKER_ID_OVERRIDE",BL$24,"DEEP_PERIOD_OVERRIDE",$H$19)*1,"")))</f>
        <v/>
      </c>
      <c r="BM267" t="str">
        <f>IF(OR(BM$23="",ISNA($B267)),"",IF(ISBLANK($B267),"",IFERROR(_xll.BDP(TICKER,"DEEP_MEASURE_PERIOD_BROKER_VALUE","DEEP_MEASURE_ID_OVERRIDE",$C267,"DEEP_BROKER_ID_OVERRIDE",BM$24,"DEEP_PERIOD_OVERRIDE",$H$19)*1,"")))</f>
        <v/>
      </c>
      <c r="BN267" t="str">
        <f>IF(OR(BN$23="",ISNA($B267)),"",IF(ISBLANK($B267),"",IFERROR(_xll.BDP(TICKER,"DEEP_MEASURE_PERIOD_BROKER_VALUE","DEEP_MEASURE_ID_OVERRIDE",$C267,"DEEP_BROKER_ID_OVERRIDE",BN$24,"DEEP_PERIOD_OVERRIDE",$H$19)*1,"")))</f>
        <v/>
      </c>
      <c r="BO267" t="str">
        <f>IF(OR(BO$23="",ISNA($B267)),"",IF(ISBLANK($B267),"",IFERROR(_xll.BDP(TICKER,"DEEP_MEASURE_PERIOD_BROKER_VALUE","DEEP_MEASURE_ID_OVERRIDE",$C267,"DEEP_BROKER_ID_OVERRIDE",BO$24,"DEEP_PERIOD_OVERRIDE",$H$19)*1,"")))</f>
        <v/>
      </c>
      <c r="BP267" t="str">
        <f>IF(OR(BP$23="",ISNA($B267)),"",IF(ISBLANK($B267),"",IFERROR(_xll.BDP(TICKER,"DEEP_MEASURE_PERIOD_BROKER_VALUE","DEEP_MEASURE_ID_OVERRIDE",$C267,"DEEP_BROKER_ID_OVERRIDE",BP$24,"DEEP_PERIOD_OVERRIDE",$H$19)*1,"")))</f>
        <v/>
      </c>
      <c r="BQ267" t="str">
        <f>IF(OR(BQ$23="",ISNA($B267)),"",IF(ISBLANK($B267),"",IFERROR(_xll.BDP(TICKER,"DEEP_MEASURE_PERIOD_BROKER_VALUE","DEEP_MEASURE_ID_OVERRIDE",$C267,"DEEP_BROKER_ID_OVERRIDE",BQ$24,"DEEP_PERIOD_OVERRIDE",$H$19)*1,"")))</f>
        <v/>
      </c>
      <c r="BR267" t="str">
        <f>IF(OR(BR$23="",ISNA($B267)),"",IF(ISBLANK($B267),"",IFERROR(_xll.BDP(TICKER,"DEEP_MEASURE_PERIOD_BROKER_VALUE","DEEP_MEASURE_ID_OVERRIDE",$C267,"DEEP_BROKER_ID_OVERRIDE",BR$24,"DEEP_PERIOD_OVERRIDE",$H$19)*1,"")))</f>
        <v/>
      </c>
      <c r="BS267" t="str">
        <f>IF(OR(BS$23="",ISNA($B267)),"",IF(ISBLANK($B267),"",IFERROR(_xll.BDP(TICKER,"DEEP_MEASURE_PERIOD_BROKER_VALUE","DEEP_MEASURE_ID_OVERRIDE",$C267,"DEEP_BROKER_ID_OVERRIDE",BS$24,"DEEP_PERIOD_OVERRIDE",$H$19)*1,"")))</f>
        <v/>
      </c>
      <c r="BT267" t="str">
        <f>IF(OR(BT$23="",ISNA($B267)),"",IF(ISBLANK($B267),"",IFERROR(_xll.BDP(TICKER,"DEEP_MEASURE_PERIOD_BROKER_VALUE","DEEP_MEASURE_ID_OVERRIDE",$C267,"DEEP_BROKER_ID_OVERRIDE",BT$24,"DEEP_PERIOD_OVERRIDE",$H$19)*1,"")))</f>
        <v/>
      </c>
      <c r="BU267" t="str">
        <f>IF(OR(BU$23="",ISNA($B267)),"",IF(ISBLANK($B267),"",IFERROR(_xll.BDP(TICKER,"DEEP_MEASURE_PERIOD_BROKER_VALUE","DEEP_MEASURE_ID_OVERRIDE",$C267,"DEEP_BROKER_ID_OVERRIDE",BU$24,"DEEP_PERIOD_OVERRIDE",$H$19)*1,"")))</f>
        <v/>
      </c>
      <c r="BV267" t="str">
        <f>IF(OR(BV$23="",ISNA($B267)),"",IF(ISBLANK($B267),"",IFERROR(_xll.BDP(TICKER,"DEEP_MEASURE_PERIOD_BROKER_VALUE","DEEP_MEASURE_ID_OVERRIDE",$C267,"DEEP_BROKER_ID_OVERRIDE",BV$24,"DEEP_PERIOD_OVERRIDE",$H$19)*1,"")))</f>
        <v/>
      </c>
      <c r="BW267" t="str">
        <f>IF(OR(BW$23="",ISNA($B267)),"",IF(ISBLANK($B267),"",IFERROR(_xll.BDP(TICKER,"DEEP_MEASURE_PERIOD_BROKER_VALUE","DEEP_MEASURE_ID_OVERRIDE",$C267,"DEEP_BROKER_ID_OVERRIDE",BW$24,"DEEP_PERIOD_OVERRIDE",$H$19)*1,"")))</f>
        <v/>
      </c>
      <c r="BX267" t="str">
        <f>IF(OR(BX$23="",ISNA($B267)),"",IF(ISBLANK($B267),"",IFERROR(_xll.BDP(TICKER,"DEEP_MEASURE_PERIOD_BROKER_VALUE","DEEP_MEASURE_ID_OVERRIDE",$C267,"DEEP_BROKER_ID_OVERRIDE",BX$24,"DEEP_PERIOD_OVERRIDE",$H$19)*1,"")))</f>
        <v/>
      </c>
      <c r="BY267" t="str">
        <f>IF(OR(BY$23="",ISNA($B267)),"",IF(ISBLANK($B267),"",IFERROR(_xll.BDP(TICKER,"DEEP_MEASURE_PERIOD_BROKER_VALUE","DEEP_MEASURE_ID_OVERRIDE",$C267,"DEEP_BROKER_ID_OVERRIDE",BY$24,"DEEP_PERIOD_OVERRIDE",$H$19)*1,"")))</f>
        <v/>
      </c>
      <c r="BZ267" t="str">
        <f>IF(OR(BZ$23="",ISNA($B267)),"",IF(ISBLANK($B267),"",IFERROR(_xll.BDP(TICKER,"DEEP_MEASURE_PERIOD_BROKER_VALUE","DEEP_MEASURE_ID_OVERRIDE",$C267,"DEEP_BROKER_ID_OVERRIDE",BZ$24,"DEEP_PERIOD_OVERRIDE",$H$19)*1,"")))</f>
        <v/>
      </c>
    </row>
    <row r="268" spans="8:78" x14ac:dyDescent="0.25">
      <c r="H268" t="str">
        <f t="shared" si="4"/>
        <v/>
      </c>
      <c r="I268" t="str">
        <f>IF(OR(I$23="",ISNA($B268)),"",IF(ISBLANK($B268),"",IFERROR(_xll.BDP(TICKER,"DEEP_MEASURE_PERIOD_BROKER_VALUE","DEEP_MEASURE_ID_OVERRIDE",$C268,"DEEP_PERIOD_OVERRIDE",$H$19)*1,"")))</f>
        <v/>
      </c>
      <c r="J268" t="e">
        <f>IF(OR(J$23="",ISNA($B268)),"",IF(ISBLANK($B268),"",IFERROR(_xll.BDP(TICKER,"DEEP_MEASURE_PERIOD_BROKER_VALUE","DEEP_MEASURE_ID_OVERRIDE",$C268,"DEEP_BROKER_ID_OVERRIDE",J$24,"DEEP_PERIOD_OVERRIDE",$H$19)*1,"")))</f>
        <v>#REF!</v>
      </c>
      <c r="K268" t="str">
        <f>IF(OR(K$23="",ISNA($B268)),"",IF(ISBLANK($B268),"",IFERROR(_xll.BDP(TICKER,"DEEP_MEASURE_PERIOD_BROKER_VALUE","DEEP_MEASURE_ID_OVERRIDE",$C268,"DEEP_BROKER_ID_OVERRIDE",K$24,"DEEP_PERIOD_OVERRIDE",$H$19)*1,"")))</f>
        <v/>
      </c>
      <c r="L268" t="str">
        <f>IF(OR(L$23="",ISNA($B268)),"",IF(ISBLANK($B268),"",IFERROR(_xll.BDP(TICKER,"DEEP_MEASURE_PERIOD_BROKER_VALUE","DEEP_MEASURE_ID_OVERRIDE",$C268,"DEEP_BROKER_ID_OVERRIDE",L$24,"DEEP_PERIOD_OVERRIDE",$H$19)*1,"")))</f>
        <v/>
      </c>
      <c r="M268" t="str">
        <f>IF(OR(M$23="",ISNA($B268)),"",IF(ISBLANK($B268),"",IFERROR(_xll.BDP(TICKER,"DEEP_MEASURE_PERIOD_BROKER_VALUE","DEEP_MEASURE_ID_OVERRIDE",$C268,"DEEP_BROKER_ID_OVERRIDE",M$24,"DEEP_PERIOD_OVERRIDE",$H$19)*1,"")))</f>
        <v/>
      </c>
      <c r="N268" t="str">
        <f>IF(OR(N$23="",ISNA($B268)),"",IF(ISBLANK($B268),"",IFERROR(_xll.BDP(TICKER,"DEEP_MEASURE_PERIOD_BROKER_VALUE","DEEP_MEASURE_ID_OVERRIDE",$C268,"DEEP_BROKER_ID_OVERRIDE",N$24,"DEEP_PERIOD_OVERRIDE",$H$19)*1,"")))</f>
        <v/>
      </c>
      <c r="O268" t="str">
        <f>IF(OR(O$23="",ISNA($B268)),"",IF(ISBLANK($B268),"",IFERROR(_xll.BDP(TICKER,"DEEP_MEASURE_PERIOD_BROKER_VALUE","DEEP_MEASURE_ID_OVERRIDE",$C268,"DEEP_BROKER_ID_OVERRIDE",O$24,"DEEP_PERIOD_OVERRIDE",$H$19)*1,"")))</f>
        <v/>
      </c>
      <c r="P268" t="str">
        <f>IF(OR(P$23="",ISNA($B268)),"",IF(ISBLANK($B268),"",IFERROR(_xll.BDP(TICKER,"DEEP_MEASURE_PERIOD_BROKER_VALUE","DEEP_MEASURE_ID_OVERRIDE",$C268,"DEEP_BROKER_ID_OVERRIDE",P$24,"DEEP_PERIOD_OVERRIDE",$H$19)*1,"")))</f>
        <v/>
      </c>
      <c r="Q268" t="str">
        <f>IF(OR(Q$23="",ISNA($B268)),"",IF(ISBLANK($B268),"",IFERROR(_xll.BDP(TICKER,"DEEP_MEASURE_PERIOD_BROKER_VALUE","DEEP_MEASURE_ID_OVERRIDE",$C268,"DEEP_BROKER_ID_OVERRIDE",Q$24,"DEEP_PERIOD_OVERRIDE",$H$19)*1,"")))</f>
        <v/>
      </c>
      <c r="R268" t="str">
        <f>IF(OR(R$23="",ISNA($B268)),"",IF(ISBLANK($B268),"",IFERROR(_xll.BDP(TICKER,"DEEP_MEASURE_PERIOD_BROKER_VALUE","DEEP_MEASURE_ID_OVERRIDE",$C268,"DEEP_BROKER_ID_OVERRIDE",R$24,"DEEP_PERIOD_OVERRIDE",$H$19)*1,"")))</f>
        <v/>
      </c>
      <c r="S268" t="str">
        <f>IF(OR(S$23="",ISNA($B268)),"",IF(ISBLANK($B268),"",IFERROR(_xll.BDP(TICKER,"DEEP_MEASURE_PERIOD_BROKER_VALUE","DEEP_MEASURE_ID_OVERRIDE",$C268,"DEEP_BROKER_ID_OVERRIDE",S$24,"DEEP_PERIOD_OVERRIDE",$H$19)*1,"")))</f>
        <v/>
      </c>
      <c r="T268" t="str">
        <f>IF(OR(T$23="",ISNA($B268)),"",IF(ISBLANK($B268),"",IFERROR(_xll.BDP(TICKER,"DEEP_MEASURE_PERIOD_BROKER_VALUE","DEEP_MEASURE_ID_OVERRIDE",$C268,"DEEP_BROKER_ID_OVERRIDE",T$24,"DEEP_PERIOD_OVERRIDE",$H$19)*1,"")))</f>
        <v/>
      </c>
      <c r="U268" t="str">
        <f>IF(OR(U$23="",ISNA($B268)),"",IF(ISBLANK($B268),"",IFERROR(_xll.BDP(TICKER,"DEEP_MEASURE_PERIOD_BROKER_VALUE","DEEP_MEASURE_ID_OVERRIDE",$C268,"DEEP_BROKER_ID_OVERRIDE",U$24,"DEEP_PERIOD_OVERRIDE",$H$19)*1,"")))</f>
        <v/>
      </c>
      <c r="V268" t="str">
        <f>IF(OR(V$23="",ISNA($B268)),"",IF(ISBLANK($B268),"",IFERROR(_xll.BDP(TICKER,"DEEP_MEASURE_PERIOD_BROKER_VALUE","DEEP_MEASURE_ID_OVERRIDE",$C268,"DEEP_BROKER_ID_OVERRIDE",V$24,"DEEP_PERIOD_OVERRIDE",$H$19)*1,"")))</f>
        <v/>
      </c>
      <c r="W268" t="str">
        <f>IF(OR(W$23="",ISNA($B268)),"",IF(ISBLANK($B268),"",IFERROR(_xll.BDP(TICKER,"DEEP_MEASURE_PERIOD_BROKER_VALUE","DEEP_MEASURE_ID_OVERRIDE",$C268,"DEEP_BROKER_ID_OVERRIDE",W$24,"DEEP_PERIOD_OVERRIDE",$H$19)*1,"")))</f>
        <v/>
      </c>
      <c r="X268" t="str">
        <f>IF(OR(X$23="",ISNA($B268)),"",IF(ISBLANK($B268),"",IFERROR(_xll.BDP(TICKER,"DEEP_MEASURE_PERIOD_BROKER_VALUE","DEEP_MEASURE_ID_OVERRIDE",$C268,"DEEP_BROKER_ID_OVERRIDE",X$24,"DEEP_PERIOD_OVERRIDE",$H$19)*1,"")))</f>
        <v/>
      </c>
      <c r="Y268" t="str">
        <f>IF(OR(Y$23="",ISNA($B268)),"",IF(ISBLANK($B268),"",IFERROR(_xll.BDP(TICKER,"DEEP_MEASURE_PERIOD_BROKER_VALUE","DEEP_MEASURE_ID_OVERRIDE",$C268,"DEEP_BROKER_ID_OVERRIDE",Y$24,"DEEP_PERIOD_OVERRIDE",$H$19)*1,"")))</f>
        <v/>
      </c>
      <c r="Z268" t="str">
        <f>IF(OR(Z$23="",ISNA($B268)),"",IF(ISBLANK($B268),"",IFERROR(_xll.BDP(TICKER,"DEEP_MEASURE_PERIOD_BROKER_VALUE","DEEP_MEASURE_ID_OVERRIDE",$C268,"DEEP_BROKER_ID_OVERRIDE",Z$24,"DEEP_PERIOD_OVERRIDE",$H$19)*1,"")))</f>
        <v/>
      </c>
      <c r="AA268" t="str">
        <f>IF(OR(AA$23="",ISNA($B268)),"",IF(ISBLANK($B268),"",IFERROR(_xll.BDP(TICKER,"DEEP_MEASURE_PERIOD_BROKER_VALUE","DEEP_MEASURE_ID_OVERRIDE",$C268,"DEEP_BROKER_ID_OVERRIDE",AA$24,"DEEP_PERIOD_OVERRIDE",$H$19)*1,"")))</f>
        <v/>
      </c>
      <c r="AB268" t="str">
        <f>IF(OR(AB$23="",ISNA($B268)),"",IF(ISBLANK($B268),"",IFERROR(_xll.BDP(TICKER,"DEEP_MEASURE_PERIOD_BROKER_VALUE","DEEP_MEASURE_ID_OVERRIDE",$C268,"DEEP_BROKER_ID_OVERRIDE",AB$24,"DEEP_PERIOD_OVERRIDE",$H$19)*1,"")))</f>
        <v/>
      </c>
      <c r="AC268" t="str">
        <f>IF(OR(AC$23="",ISNA($B268)),"",IF(ISBLANK($B268),"",IFERROR(_xll.BDP(TICKER,"DEEP_MEASURE_PERIOD_BROKER_VALUE","DEEP_MEASURE_ID_OVERRIDE",$C268,"DEEP_BROKER_ID_OVERRIDE",AC$24,"DEEP_PERIOD_OVERRIDE",$H$19)*1,"")))</f>
        <v/>
      </c>
      <c r="AD268" t="str">
        <f>IF(OR(AD$23="",ISNA($B268)),"",IF(ISBLANK($B268),"",IFERROR(_xll.BDP(TICKER,"DEEP_MEASURE_PERIOD_BROKER_VALUE","DEEP_MEASURE_ID_OVERRIDE",$C268,"DEEP_BROKER_ID_OVERRIDE",AD$24,"DEEP_PERIOD_OVERRIDE",$H$19)*1,"")))</f>
        <v/>
      </c>
      <c r="AE268" t="str">
        <f>IF(OR(AE$23="",ISNA($B268)),"",IF(ISBLANK($B268),"",IFERROR(_xll.BDP(TICKER,"DEEP_MEASURE_PERIOD_BROKER_VALUE","DEEP_MEASURE_ID_OVERRIDE",$C268,"DEEP_BROKER_ID_OVERRIDE",AE$24,"DEEP_PERIOD_OVERRIDE",$H$19)*1,"")))</f>
        <v/>
      </c>
      <c r="AF268" t="str">
        <f>IF(OR(AF$23="",ISNA($B268)),"",IF(ISBLANK($B268),"",IFERROR(_xll.BDP(TICKER,"DEEP_MEASURE_PERIOD_BROKER_VALUE","DEEP_MEASURE_ID_OVERRIDE",$C268,"DEEP_BROKER_ID_OVERRIDE",AF$24,"DEEP_PERIOD_OVERRIDE",$H$19)*1,"")))</f>
        <v/>
      </c>
      <c r="AG268" t="str">
        <f>IF(OR(AG$23="",ISNA($B268)),"",IF(ISBLANK($B268),"",IFERROR(_xll.BDP(TICKER,"DEEP_MEASURE_PERIOD_BROKER_VALUE","DEEP_MEASURE_ID_OVERRIDE",$C268,"DEEP_BROKER_ID_OVERRIDE",AG$24,"DEEP_PERIOD_OVERRIDE",$H$19)*1,"")))</f>
        <v/>
      </c>
      <c r="AH268" t="str">
        <f>IF(OR(AH$23="",ISNA($B268)),"",IF(ISBLANK($B268),"",IFERROR(_xll.BDP(TICKER,"DEEP_MEASURE_PERIOD_BROKER_VALUE","DEEP_MEASURE_ID_OVERRIDE",$C268,"DEEP_BROKER_ID_OVERRIDE",AH$24,"DEEP_PERIOD_OVERRIDE",$H$19)*1,"")))</f>
        <v/>
      </c>
      <c r="AI268" t="str">
        <f>IF(OR(AI$23="",ISNA($B268)),"",IF(ISBLANK($B268),"",IFERROR(_xll.BDP(TICKER,"DEEP_MEASURE_PERIOD_BROKER_VALUE","DEEP_MEASURE_ID_OVERRIDE",$C268,"DEEP_BROKER_ID_OVERRIDE",AI$24,"DEEP_PERIOD_OVERRIDE",$H$19)*1,"")))</f>
        <v/>
      </c>
      <c r="AJ268" t="str">
        <f>IF(OR(AJ$23="",ISNA($B268)),"",IF(ISBLANK($B268),"",IFERROR(_xll.BDP(TICKER,"DEEP_MEASURE_PERIOD_BROKER_VALUE","DEEP_MEASURE_ID_OVERRIDE",$C268,"DEEP_BROKER_ID_OVERRIDE",AJ$24,"DEEP_PERIOD_OVERRIDE",$H$19)*1,"")))</f>
        <v/>
      </c>
      <c r="AK268" t="str">
        <f>IF(OR(AK$23="",ISNA($B268)),"",IF(ISBLANK($B268),"",IFERROR(_xll.BDP(TICKER,"DEEP_MEASURE_PERIOD_BROKER_VALUE","DEEP_MEASURE_ID_OVERRIDE",$C268,"DEEP_BROKER_ID_OVERRIDE",AK$24,"DEEP_PERIOD_OVERRIDE",$H$19)*1,"")))</f>
        <v/>
      </c>
      <c r="AL268" t="str">
        <f>IF(OR(AL$23="",ISNA($B268)),"",IF(ISBLANK($B268),"",IFERROR(_xll.BDP(TICKER,"DEEP_MEASURE_PERIOD_BROKER_VALUE","DEEP_MEASURE_ID_OVERRIDE",$C268,"DEEP_BROKER_ID_OVERRIDE",AL$24,"DEEP_PERIOD_OVERRIDE",$H$19)*1,"")))</f>
        <v/>
      </c>
      <c r="AM268" t="str">
        <f>IF(OR(AM$23="",ISNA($B268)),"",IF(ISBLANK($B268),"",IFERROR(_xll.BDP(TICKER,"DEEP_MEASURE_PERIOD_BROKER_VALUE","DEEP_MEASURE_ID_OVERRIDE",$C268,"DEEP_BROKER_ID_OVERRIDE",AM$24,"DEEP_PERIOD_OVERRIDE",$H$19)*1,"")))</f>
        <v/>
      </c>
      <c r="AN268" t="str">
        <f>IF(OR(AN$23="",ISNA($B268)),"",IF(ISBLANK($B268),"",IFERROR(_xll.BDP(TICKER,"DEEP_MEASURE_PERIOD_BROKER_VALUE","DEEP_MEASURE_ID_OVERRIDE",$C268,"DEEP_BROKER_ID_OVERRIDE",AN$24,"DEEP_PERIOD_OVERRIDE",$H$19)*1,"")))</f>
        <v/>
      </c>
      <c r="AO268" t="str">
        <f>IF(OR(AO$23="",ISNA($B268)),"",IF(ISBLANK($B268),"",IFERROR(_xll.BDP(TICKER,"DEEP_MEASURE_PERIOD_BROKER_VALUE","DEEP_MEASURE_ID_OVERRIDE",$C268,"DEEP_BROKER_ID_OVERRIDE",AO$24,"DEEP_PERIOD_OVERRIDE",$H$19)*1,"")))</f>
        <v/>
      </c>
      <c r="AP268" t="str">
        <f>IF(OR(AP$23="",ISNA($B268)),"",IF(ISBLANK($B268),"",IFERROR(_xll.BDP(TICKER,"DEEP_MEASURE_PERIOD_BROKER_VALUE","DEEP_MEASURE_ID_OVERRIDE",$C268,"DEEP_BROKER_ID_OVERRIDE",AP$24,"DEEP_PERIOD_OVERRIDE",$H$19)*1,"")))</f>
        <v/>
      </c>
      <c r="AQ268" t="str">
        <f>IF(OR(AQ$23="",ISNA($B268)),"",IF(ISBLANK($B268),"",IFERROR(_xll.BDP(TICKER,"DEEP_MEASURE_PERIOD_BROKER_VALUE","DEEP_MEASURE_ID_OVERRIDE",$C268,"DEEP_BROKER_ID_OVERRIDE",AQ$24,"DEEP_PERIOD_OVERRIDE",$H$19)*1,"")))</f>
        <v/>
      </c>
      <c r="AR268" t="str">
        <f>IF(OR(AR$23="",ISNA($B268)),"",IF(ISBLANK($B268),"",IFERROR(_xll.BDP(TICKER,"DEEP_MEASURE_PERIOD_BROKER_VALUE","DEEP_MEASURE_ID_OVERRIDE",$C268,"DEEP_BROKER_ID_OVERRIDE",AR$24,"DEEP_PERIOD_OVERRIDE",$H$19)*1,"")))</f>
        <v/>
      </c>
      <c r="AS268" t="str">
        <f>IF(OR(AS$23="",ISNA($B268)),"",IF(ISBLANK($B268),"",IFERROR(_xll.BDP(TICKER,"DEEP_MEASURE_PERIOD_BROKER_VALUE","DEEP_MEASURE_ID_OVERRIDE",$C268,"DEEP_BROKER_ID_OVERRIDE",AS$24,"DEEP_PERIOD_OVERRIDE",$H$19)*1,"")))</f>
        <v/>
      </c>
      <c r="AT268" t="str">
        <f>IF(OR(AT$23="",ISNA($B268)),"",IF(ISBLANK($B268),"",IFERROR(_xll.BDP(TICKER,"DEEP_MEASURE_PERIOD_BROKER_VALUE","DEEP_MEASURE_ID_OVERRIDE",$C268,"DEEP_BROKER_ID_OVERRIDE",AT$24,"DEEP_PERIOD_OVERRIDE",$H$19)*1,"")))</f>
        <v/>
      </c>
      <c r="AU268" t="str">
        <f>IF(OR(AU$23="",ISNA($B268)),"",IF(ISBLANK($B268),"",IFERROR(_xll.BDP(TICKER,"DEEP_MEASURE_PERIOD_BROKER_VALUE","DEEP_MEASURE_ID_OVERRIDE",$C268,"DEEP_BROKER_ID_OVERRIDE",AU$24,"DEEP_PERIOD_OVERRIDE",$H$19)*1,"")))</f>
        <v/>
      </c>
      <c r="AV268" t="str">
        <f>IF(OR(AV$23="",ISNA($B268)),"",IF(ISBLANK($B268),"",IFERROR(_xll.BDP(TICKER,"DEEP_MEASURE_PERIOD_BROKER_VALUE","DEEP_MEASURE_ID_OVERRIDE",$C268,"DEEP_BROKER_ID_OVERRIDE",AV$24,"DEEP_PERIOD_OVERRIDE",$H$19)*1,"")))</f>
        <v/>
      </c>
      <c r="AW268" t="str">
        <f>IF(OR(AW$23="",ISNA($B268)),"",IF(ISBLANK($B268),"",IFERROR(_xll.BDP(TICKER,"DEEP_MEASURE_PERIOD_BROKER_VALUE","DEEP_MEASURE_ID_OVERRIDE",$C268,"DEEP_BROKER_ID_OVERRIDE",AW$24,"DEEP_PERIOD_OVERRIDE",$H$19)*1,"")))</f>
        <v/>
      </c>
      <c r="AX268" t="str">
        <f>IF(OR(AX$23="",ISNA($B268)),"",IF(ISBLANK($B268),"",IFERROR(_xll.BDP(TICKER,"DEEP_MEASURE_PERIOD_BROKER_VALUE","DEEP_MEASURE_ID_OVERRIDE",$C268,"DEEP_BROKER_ID_OVERRIDE",AX$24,"DEEP_PERIOD_OVERRIDE",$H$19)*1,"")))</f>
        <v/>
      </c>
      <c r="AY268" t="str">
        <f>IF(OR(AY$23="",ISNA($B268)),"",IF(ISBLANK($B268),"",IFERROR(_xll.BDP(TICKER,"DEEP_MEASURE_PERIOD_BROKER_VALUE","DEEP_MEASURE_ID_OVERRIDE",$C268,"DEEP_BROKER_ID_OVERRIDE",AY$24,"DEEP_PERIOD_OVERRIDE",$H$19)*1,"")))</f>
        <v/>
      </c>
      <c r="AZ268" t="str">
        <f>IF(OR(AZ$23="",ISNA($B268)),"",IF(ISBLANK($B268),"",IFERROR(_xll.BDP(TICKER,"DEEP_MEASURE_PERIOD_BROKER_VALUE","DEEP_MEASURE_ID_OVERRIDE",$C268,"DEEP_BROKER_ID_OVERRIDE",AZ$24,"DEEP_PERIOD_OVERRIDE",$H$19)*1,"")))</f>
        <v/>
      </c>
      <c r="BA268" t="str">
        <f>IF(OR(BA$23="",ISNA($B268)),"",IF(ISBLANK($B268),"",IFERROR(_xll.BDP(TICKER,"DEEP_MEASURE_PERIOD_BROKER_VALUE","DEEP_MEASURE_ID_OVERRIDE",$C268,"DEEP_BROKER_ID_OVERRIDE",BA$24,"DEEP_PERIOD_OVERRIDE",$H$19)*1,"")))</f>
        <v/>
      </c>
      <c r="BB268" t="str">
        <f>IF(OR(BB$23="",ISNA($B268)),"",IF(ISBLANK($B268),"",IFERROR(_xll.BDP(TICKER,"DEEP_MEASURE_PERIOD_BROKER_VALUE","DEEP_MEASURE_ID_OVERRIDE",$C268,"DEEP_BROKER_ID_OVERRIDE",BB$24,"DEEP_PERIOD_OVERRIDE",$H$19)*1,"")))</f>
        <v/>
      </c>
      <c r="BC268" t="str">
        <f>IF(OR(BC$23="",ISNA($B268)),"",IF(ISBLANK($B268),"",IFERROR(_xll.BDP(TICKER,"DEEP_MEASURE_PERIOD_BROKER_VALUE","DEEP_MEASURE_ID_OVERRIDE",$C268,"DEEP_BROKER_ID_OVERRIDE",BC$24,"DEEP_PERIOD_OVERRIDE",$H$19)*1,"")))</f>
        <v/>
      </c>
      <c r="BD268" t="str">
        <f>IF(OR(BD$23="",ISNA($B268)),"",IF(ISBLANK($B268),"",IFERROR(_xll.BDP(TICKER,"DEEP_MEASURE_PERIOD_BROKER_VALUE","DEEP_MEASURE_ID_OVERRIDE",$C268,"DEEP_BROKER_ID_OVERRIDE",BD$24,"DEEP_PERIOD_OVERRIDE",$H$19)*1,"")))</f>
        <v/>
      </c>
      <c r="BE268" t="str">
        <f>IF(OR(BE$23="",ISNA($B268)),"",IF(ISBLANK($B268),"",IFERROR(_xll.BDP(TICKER,"DEEP_MEASURE_PERIOD_BROKER_VALUE","DEEP_MEASURE_ID_OVERRIDE",$C268,"DEEP_BROKER_ID_OVERRIDE",BE$24,"DEEP_PERIOD_OVERRIDE",$H$19)*1,"")))</f>
        <v/>
      </c>
      <c r="BF268" t="str">
        <f>IF(OR(BF$23="",ISNA($B268)),"",IF(ISBLANK($B268),"",IFERROR(_xll.BDP(TICKER,"DEEP_MEASURE_PERIOD_BROKER_VALUE","DEEP_MEASURE_ID_OVERRIDE",$C268,"DEEP_BROKER_ID_OVERRIDE",BF$24,"DEEP_PERIOD_OVERRIDE",$H$19)*1,"")))</f>
        <v/>
      </c>
      <c r="BG268" t="str">
        <f>IF(OR(BG$23="",ISNA($B268)),"",IF(ISBLANK($B268),"",IFERROR(_xll.BDP(TICKER,"DEEP_MEASURE_PERIOD_BROKER_VALUE","DEEP_MEASURE_ID_OVERRIDE",$C268,"DEEP_BROKER_ID_OVERRIDE",BG$24,"DEEP_PERIOD_OVERRIDE",$H$19)*1,"")))</f>
        <v/>
      </c>
      <c r="BH268" t="str">
        <f>IF(OR(BH$23="",ISNA($B268)),"",IF(ISBLANK($B268),"",IFERROR(_xll.BDP(TICKER,"DEEP_MEASURE_PERIOD_BROKER_VALUE","DEEP_MEASURE_ID_OVERRIDE",$C268,"DEEP_BROKER_ID_OVERRIDE",BH$24,"DEEP_PERIOD_OVERRIDE",$H$19)*1,"")))</f>
        <v/>
      </c>
      <c r="BI268" t="str">
        <f>IF(OR(BI$23="",ISNA($B268)),"",IF(ISBLANK($B268),"",IFERROR(_xll.BDP(TICKER,"DEEP_MEASURE_PERIOD_BROKER_VALUE","DEEP_MEASURE_ID_OVERRIDE",$C268,"DEEP_BROKER_ID_OVERRIDE",BI$24,"DEEP_PERIOD_OVERRIDE",$H$19)*1,"")))</f>
        <v/>
      </c>
      <c r="BJ268" t="str">
        <f>IF(OR(BJ$23="",ISNA($B268)),"",IF(ISBLANK($B268),"",IFERROR(_xll.BDP(TICKER,"DEEP_MEASURE_PERIOD_BROKER_VALUE","DEEP_MEASURE_ID_OVERRIDE",$C268,"DEEP_BROKER_ID_OVERRIDE",BJ$24,"DEEP_PERIOD_OVERRIDE",$H$19)*1,"")))</f>
        <v/>
      </c>
      <c r="BK268" t="str">
        <f>IF(OR(BK$23="",ISNA($B268)),"",IF(ISBLANK($B268),"",IFERROR(_xll.BDP(TICKER,"DEEP_MEASURE_PERIOD_BROKER_VALUE","DEEP_MEASURE_ID_OVERRIDE",$C268,"DEEP_BROKER_ID_OVERRIDE",BK$24,"DEEP_PERIOD_OVERRIDE",$H$19)*1,"")))</f>
        <v/>
      </c>
      <c r="BL268" t="str">
        <f>IF(OR(BL$23="",ISNA($B268)),"",IF(ISBLANK($B268),"",IFERROR(_xll.BDP(TICKER,"DEEP_MEASURE_PERIOD_BROKER_VALUE","DEEP_MEASURE_ID_OVERRIDE",$C268,"DEEP_BROKER_ID_OVERRIDE",BL$24,"DEEP_PERIOD_OVERRIDE",$H$19)*1,"")))</f>
        <v/>
      </c>
      <c r="BM268" t="str">
        <f>IF(OR(BM$23="",ISNA($B268)),"",IF(ISBLANK($B268),"",IFERROR(_xll.BDP(TICKER,"DEEP_MEASURE_PERIOD_BROKER_VALUE","DEEP_MEASURE_ID_OVERRIDE",$C268,"DEEP_BROKER_ID_OVERRIDE",BM$24,"DEEP_PERIOD_OVERRIDE",$H$19)*1,"")))</f>
        <v/>
      </c>
      <c r="BN268" t="str">
        <f>IF(OR(BN$23="",ISNA($B268)),"",IF(ISBLANK($B268),"",IFERROR(_xll.BDP(TICKER,"DEEP_MEASURE_PERIOD_BROKER_VALUE","DEEP_MEASURE_ID_OVERRIDE",$C268,"DEEP_BROKER_ID_OVERRIDE",BN$24,"DEEP_PERIOD_OVERRIDE",$H$19)*1,"")))</f>
        <v/>
      </c>
      <c r="BO268" t="str">
        <f>IF(OR(BO$23="",ISNA($B268)),"",IF(ISBLANK($B268),"",IFERROR(_xll.BDP(TICKER,"DEEP_MEASURE_PERIOD_BROKER_VALUE","DEEP_MEASURE_ID_OVERRIDE",$C268,"DEEP_BROKER_ID_OVERRIDE",BO$24,"DEEP_PERIOD_OVERRIDE",$H$19)*1,"")))</f>
        <v/>
      </c>
      <c r="BP268" t="str">
        <f>IF(OR(BP$23="",ISNA($B268)),"",IF(ISBLANK($B268),"",IFERROR(_xll.BDP(TICKER,"DEEP_MEASURE_PERIOD_BROKER_VALUE","DEEP_MEASURE_ID_OVERRIDE",$C268,"DEEP_BROKER_ID_OVERRIDE",BP$24,"DEEP_PERIOD_OVERRIDE",$H$19)*1,"")))</f>
        <v/>
      </c>
      <c r="BQ268" t="str">
        <f>IF(OR(BQ$23="",ISNA($B268)),"",IF(ISBLANK($B268),"",IFERROR(_xll.BDP(TICKER,"DEEP_MEASURE_PERIOD_BROKER_VALUE","DEEP_MEASURE_ID_OVERRIDE",$C268,"DEEP_BROKER_ID_OVERRIDE",BQ$24,"DEEP_PERIOD_OVERRIDE",$H$19)*1,"")))</f>
        <v/>
      </c>
      <c r="BR268" t="str">
        <f>IF(OR(BR$23="",ISNA($B268)),"",IF(ISBLANK($B268),"",IFERROR(_xll.BDP(TICKER,"DEEP_MEASURE_PERIOD_BROKER_VALUE","DEEP_MEASURE_ID_OVERRIDE",$C268,"DEEP_BROKER_ID_OVERRIDE",BR$24,"DEEP_PERIOD_OVERRIDE",$H$19)*1,"")))</f>
        <v/>
      </c>
      <c r="BS268" t="str">
        <f>IF(OR(BS$23="",ISNA($B268)),"",IF(ISBLANK($B268),"",IFERROR(_xll.BDP(TICKER,"DEEP_MEASURE_PERIOD_BROKER_VALUE","DEEP_MEASURE_ID_OVERRIDE",$C268,"DEEP_BROKER_ID_OVERRIDE",BS$24,"DEEP_PERIOD_OVERRIDE",$H$19)*1,"")))</f>
        <v/>
      </c>
      <c r="BT268" t="str">
        <f>IF(OR(BT$23="",ISNA($B268)),"",IF(ISBLANK($B268),"",IFERROR(_xll.BDP(TICKER,"DEEP_MEASURE_PERIOD_BROKER_VALUE","DEEP_MEASURE_ID_OVERRIDE",$C268,"DEEP_BROKER_ID_OVERRIDE",BT$24,"DEEP_PERIOD_OVERRIDE",$H$19)*1,"")))</f>
        <v/>
      </c>
      <c r="BU268" t="str">
        <f>IF(OR(BU$23="",ISNA($B268)),"",IF(ISBLANK($B268),"",IFERROR(_xll.BDP(TICKER,"DEEP_MEASURE_PERIOD_BROKER_VALUE","DEEP_MEASURE_ID_OVERRIDE",$C268,"DEEP_BROKER_ID_OVERRIDE",BU$24,"DEEP_PERIOD_OVERRIDE",$H$19)*1,"")))</f>
        <v/>
      </c>
      <c r="BV268" t="str">
        <f>IF(OR(BV$23="",ISNA($B268)),"",IF(ISBLANK($B268),"",IFERROR(_xll.BDP(TICKER,"DEEP_MEASURE_PERIOD_BROKER_VALUE","DEEP_MEASURE_ID_OVERRIDE",$C268,"DEEP_BROKER_ID_OVERRIDE",BV$24,"DEEP_PERIOD_OVERRIDE",$H$19)*1,"")))</f>
        <v/>
      </c>
      <c r="BW268" t="str">
        <f>IF(OR(BW$23="",ISNA($B268)),"",IF(ISBLANK($B268),"",IFERROR(_xll.BDP(TICKER,"DEEP_MEASURE_PERIOD_BROKER_VALUE","DEEP_MEASURE_ID_OVERRIDE",$C268,"DEEP_BROKER_ID_OVERRIDE",BW$24,"DEEP_PERIOD_OVERRIDE",$H$19)*1,"")))</f>
        <v/>
      </c>
      <c r="BX268" t="str">
        <f>IF(OR(BX$23="",ISNA($B268)),"",IF(ISBLANK($B268),"",IFERROR(_xll.BDP(TICKER,"DEEP_MEASURE_PERIOD_BROKER_VALUE","DEEP_MEASURE_ID_OVERRIDE",$C268,"DEEP_BROKER_ID_OVERRIDE",BX$24,"DEEP_PERIOD_OVERRIDE",$H$19)*1,"")))</f>
        <v/>
      </c>
      <c r="BY268" t="str">
        <f>IF(OR(BY$23="",ISNA($B268)),"",IF(ISBLANK($B268),"",IFERROR(_xll.BDP(TICKER,"DEEP_MEASURE_PERIOD_BROKER_VALUE","DEEP_MEASURE_ID_OVERRIDE",$C268,"DEEP_BROKER_ID_OVERRIDE",BY$24,"DEEP_PERIOD_OVERRIDE",$H$19)*1,"")))</f>
        <v/>
      </c>
      <c r="BZ268" t="str">
        <f>IF(OR(BZ$23="",ISNA($B268)),"",IF(ISBLANK($B268),"",IFERROR(_xll.BDP(TICKER,"DEEP_MEASURE_PERIOD_BROKER_VALUE","DEEP_MEASURE_ID_OVERRIDE",$C268,"DEEP_BROKER_ID_OVERRIDE",BZ$24,"DEEP_PERIOD_OVERRIDE",$H$19)*1,"")))</f>
        <v/>
      </c>
    </row>
    <row r="269" spans="8:78" x14ac:dyDescent="0.25">
      <c r="H269" t="str">
        <f t="shared" si="4"/>
        <v/>
      </c>
      <c r="I269" t="str">
        <f>IF(OR(I$23="",ISNA($B269)),"",IF(ISBLANK($B269),"",IFERROR(_xll.BDP(TICKER,"DEEP_MEASURE_PERIOD_BROKER_VALUE","DEEP_MEASURE_ID_OVERRIDE",$C269,"DEEP_PERIOD_OVERRIDE",$H$19)*1,"")))</f>
        <v/>
      </c>
      <c r="J269" t="e">
        <f>IF(OR(J$23="",ISNA($B269)),"",IF(ISBLANK($B269),"",IFERROR(_xll.BDP(TICKER,"DEEP_MEASURE_PERIOD_BROKER_VALUE","DEEP_MEASURE_ID_OVERRIDE",$C269,"DEEP_BROKER_ID_OVERRIDE",J$24,"DEEP_PERIOD_OVERRIDE",$H$19)*1,"")))</f>
        <v>#REF!</v>
      </c>
      <c r="K269" t="str">
        <f>IF(OR(K$23="",ISNA($B269)),"",IF(ISBLANK($B269),"",IFERROR(_xll.BDP(TICKER,"DEEP_MEASURE_PERIOD_BROKER_VALUE","DEEP_MEASURE_ID_OVERRIDE",$C269,"DEEP_BROKER_ID_OVERRIDE",K$24,"DEEP_PERIOD_OVERRIDE",$H$19)*1,"")))</f>
        <v/>
      </c>
      <c r="L269" t="str">
        <f>IF(OR(L$23="",ISNA($B269)),"",IF(ISBLANK($B269),"",IFERROR(_xll.BDP(TICKER,"DEEP_MEASURE_PERIOD_BROKER_VALUE","DEEP_MEASURE_ID_OVERRIDE",$C269,"DEEP_BROKER_ID_OVERRIDE",L$24,"DEEP_PERIOD_OVERRIDE",$H$19)*1,"")))</f>
        <v/>
      </c>
      <c r="M269" t="str">
        <f>IF(OR(M$23="",ISNA($B269)),"",IF(ISBLANK($B269),"",IFERROR(_xll.BDP(TICKER,"DEEP_MEASURE_PERIOD_BROKER_VALUE","DEEP_MEASURE_ID_OVERRIDE",$C269,"DEEP_BROKER_ID_OVERRIDE",M$24,"DEEP_PERIOD_OVERRIDE",$H$19)*1,"")))</f>
        <v/>
      </c>
      <c r="N269" t="str">
        <f>IF(OR(N$23="",ISNA($B269)),"",IF(ISBLANK($B269),"",IFERROR(_xll.BDP(TICKER,"DEEP_MEASURE_PERIOD_BROKER_VALUE","DEEP_MEASURE_ID_OVERRIDE",$C269,"DEEP_BROKER_ID_OVERRIDE",N$24,"DEEP_PERIOD_OVERRIDE",$H$19)*1,"")))</f>
        <v/>
      </c>
      <c r="O269" t="str">
        <f>IF(OR(O$23="",ISNA($B269)),"",IF(ISBLANK($B269),"",IFERROR(_xll.BDP(TICKER,"DEEP_MEASURE_PERIOD_BROKER_VALUE","DEEP_MEASURE_ID_OVERRIDE",$C269,"DEEP_BROKER_ID_OVERRIDE",O$24,"DEEP_PERIOD_OVERRIDE",$H$19)*1,"")))</f>
        <v/>
      </c>
      <c r="P269" t="str">
        <f>IF(OR(P$23="",ISNA($B269)),"",IF(ISBLANK($B269),"",IFERROR(_xll.BDP(TICKER,"DEEP_MEASURE_PERIOD_BROKER_VALUE","DEEP_MEASURE_ID_OVERRIDE",$C269,"DEEP_BROKER_ID_OVERRIDE",P$24,"DEEP_PERIOD_OVERRIDE",$H$19)*1,"")))</f>
        <v/>
      </c>
      <c r="Q269" t="str">
        <f>IF(OR(Q$23="",ISNA($B269)),"",IF(ISBLANK($B269),"",IFERROR(_xll.BDP(TICKER,"DEEP_MEASURE_PERIOD_BROKER_VALUE","DEEP_MEASURE_ID_OVERRIDE",$C269,"DEEP_BROKER_ID_OVERRIDE",Q$24,"DEEP_PERIOD_OVERRIDE",$H$19)*1,"")))</f>
        <v/>
      </c>
      <c r="R269" t="str">
        <f>IF(OR(R$23="",ISNA($B269)),"",IF(ISBLANK($B269),"",IFERROR(_xll.BDP(TICKER,"DEEP_MEASURE_PERIOD_BROKER_VALUE","DEEP_MEASURE_ID_OVERRIDE",$C269,"DEEP_BROKER_ID_OVERRIDE",R$24,"DEEP_PERIOD_OVERRIDE",$H$19)*1,"")))</f>
        <v/>
      </c>
      <c r="S269" t="str">
        <f>IF(OR(S$23="",ISNA($B269)),"",IF(ISBLANK($B269),"",IFERROR(_xll.BDP(TICKER,"DEEP_MEASURE_PERIOD_BROKER_VALUE","DEEP_MEASURE_ID_OVERRIDE",$C269,"DEEP_BROKER_ID_OVERRIDE",S$24,"DEEP_PERIOD_OVERRIDE",$H$19)*1,"")))</f>
        <v/>
      </c>
      <c r="T269" t="str">
        <f>IF(OR(T$23="",ISNA($B269)),"",IF(ISBLANK($B269),"",IFERROR(_xll.BDP(TICKER,"DEEP_MEASURE_PERIOD_BROKER_VALUE","DEEP_MEASURE_ID_OVERRIDE",$C269,"DEEP_BROKER_ID_OVERRIDE",T$24,"DEEP_PERIOD_OVERRIDE",$H$19)*1,"")))</f>
        <v/>
      </c>
      <c r="U269" t="str">
        <f>IF(OR(U$23="",ISNA($B269)),"",IF(ISBLANK($B269),"",IFERROR(_xll.BDP(TICKER,"DEEP_MEASURE_PERIOD_BROKER_VALUE","DEEP_MEASURE_ID_OVERRIDE",$C269,"DEEP_BROKER_ID_OVERRIDE",U$24,"DEEP_PERIOD_OVERRIDE",$H$19)*1,"")))</f>
        <v/>
      </c>
      <c r="V269" t="str">
        <f>IF(OR(V$23="",ISNA($B269)),"",IF(ISBLANK($B269),"",IFERROR(_xll.BDP(TICKER,"DEEP_MEASURE_PERIOD_BROKER_VALUE","DEEP_MEASURE_ID_OVERRIDE",$C269,"DEEP_BROKER_ID_OVERRIDE",V$24,"DEEP_PERIOD_OVERRIDE",$H$19)*1,"")))</f>
        <v/>
      </c>
      <c r="W269" t="str">
        <f>IF(OR(W$23="",ISNA($B269)),"",IF(ISBLANK($B269),"",IFERROR(_xll.BDP(TICKER,"DEEP_MEASURE_PERIOD_BROKER_VALUE","DEEP_MEASURE_ID_OVERRIDE",$C269,"DEEP_BROKER_ID_OVERRIDE",W$24,"DEEP_PERIOD_OVERRIDE",$H$19)*1,"")))</f>
        <v/>
      </c>
      <c r="X269" t="str">
        <f>IF(OR(X$23="",ISNA($B269)),"",IF(ISBLANK($B269),"",IFERROR(_xll.BDP(TICKER,"DEEP_MEASURE_PERIOD_BROKER_VALUE","DEEP_MEASURE_ID_OVERRIDE",$C269,"DEEP_BROKER_ID_OVERRIDE",X$24,"DEEP_PERIOD_OVERRIDE",$H$19)*1,"")))</f>
        <v/>
      </c>
      <c r="Y269" t="str">
        <f>IF(OR(Y$23="",ISNA($B269)),"",IF(ISBLANK($B269),"",IFERROR(_xll.BDP(TICKER,"DEEP_MEASURE_PERIOD_BROKER_VALUE","DEEP_MEASURE_ID_OVERRIDE",$C269,"DEEP_BROKER_ID_OVERRIDE",Y$24,"DEEP_PERIOD_OVERRIDE",$H$19)*1,"")))</f>
        <v/>
      </c>
      <c r="Z269" t="str">
        <f>IF(OR(Z$23="",ISNA($B269)),"",IF(ISBLANK($B269),"",IFERROR(_xll.BDP(TICKER,"DEEP_MEASURE_PERIOD_BROKER_VALUE","DEEP_MEASURE_ID_OVERRIDE",$C269,"DEEP_BROKER_ID_OVERRIDE",Z$24,"DEEP_PERIOD_OVERRIDE",$H$19)*1,"")))</f>
        <v/>
      </c>
      <c r="AA269" t="str">
        <f>IF(OR(AA$23="",ISNA($B269)),"",IF(ISBLANK($B269),"",IFERROR(_xll.BDP(TICKER,"DEEP_MEASURE_PERIOD_BROKER_VALUE","DEEP_MEASURE_ID_OVERRIDE",$C269,"DEEP_BROKER_ID_OVERRIDE",AA$24,"DEEP_PERIOD_OVERRIDE",$H$19)*1,"")))</f>
        <v/>
      </c>
      <c r="AB269" t="str">
        <f>IF(OR(AB$23="",ISNA($B269)),"",IF(ISBLANK($B269),"",IFERROR(_xll.BDP(TICKER,"DEEP_MEASURE_PERIOD_BROKER_VALUE","DEEP_MEASURE_ID_OVERRIDE",$C269,"DEEP_BROKER_ID_OVERRIDE",AB$24,"DEEP_PERIOD_OVERRIDE",$H$19)*1,"")))</f>
        <v/>
      </c>
      <c r="AC269" t="str">
        <f>IF(OR(AC$23="",ISNA($B269)),"",IF(ISBLANK($B269),"",IFERROR(_xll.BDP(TICKER,"DEEP_MEASURE_PERIOD_BROKER_VALUE","DEEP_MEASURE_ID_OVERRIDE",$C269,"DEEP_BROKER_ID_OVERRIDE",AC$24,"DEEP_PERIOD_OVERRIDE",$H$19)*1,"")))</f>
        <v/>
      </c>
      <c r="AD269" t="str">
        <f>IF(OR(AD$23="",ISNA($B269)),"",IF(ISBLANK($B269),"",IFERROR(_xll.BDP(TICKER,"DEEP_MEASURE_PERIOD_BROKER_VALUE","DEEP_MEASURE_ID_OVERRIDE",$C269,"DEEP_BROKER_ID_OVERRIDE",AD$24,"DEEP_PERIOD_OVERRIDE",$H$19)*1,"")))</f>
        <v/>
      </c>
      <c r="AE269" t="str">
        <f>IF(OR(AE$23="",ISNA($B269)),"",IF(ISBLANK($B269),"",IFERROR(_xll.BDP(TICKER,"DEEP_MEASURE_PERIOD_BROKER_VALUE","DEEP_MEASURE_ID_OVERRIDE",$C269,"DEEP_BROKER_ID_OVERRIDE",AE$24,"DEEP_PERIOD_OVERRIDE",$H$19)*1,"")))</f>
        <v/>
      </c>
      <c r="AF269" t="str">
        <f>IF(OR(AF$23="",ISNA($B269)),"",IF(ISBLANK($B269),"",IFERROR(_xll.BDP(TICKER,"DEEP_MEASURE_PERIOD_BROKER_VALUE","DEEP_MEASURE_ID_OVERRIDE",$C269,"DEEP_BROKER_ID_OVERRIDE",AF$24,"DEEP_PERIOD_OVERRIDE",$H$19)*1,"")))</f>
        <v/>
      </c>
      <c r="AG269" t="str">
        <f>IF(OR(AG$23="",ISNA($B269)),"",IF(ISBLANK($B269),"",IFERROR(_xll.BDP(TICKER,"DEEP_MEASURE_PERIOD_BROKER_VALUE","DEEP_MEASURE_ID_OVERRIDE",$C269,"DEEP_BROKER_ID_OVERRIDE",AG$24,"DEEP_PERIOD_OVERRIDE",$H$19)*1,"")))</f>
        <v/>
      </c>
      <c r="AH269" t="str">
        <f>IF(OR(AH$23="",ISNA($B269)),"",IF(ISBLANK($B269),"",IFERROR(_xll.BDP(TICKER,"DEEP_MEASURE_PERIOD_BROKER_VALUE","DEEP_MEASURE_ID_OVERRIDE",$C269,"DEEP_BROKER_ID_OVERRIDE",AH$24,"DEEP_PERIOD_OVERRIDE",$H$19)*1,"")))</f>
        <v/>
      </c>
      <c r="AI269" t="str">
        <f>IF(OR(AI$23="",ISNA($B269)),"",IF(ISBLANK($B269),"",IFERROR(_xll.BDP(TICKER,"DEEP_MEASURE_PERIOD_BROKER_VALUE","DEEP_MEASURE_ID_OVERRIDE",$C269,"DEEP_BROKER_ID_OVERRIDE",AI$24,"DEEP_PERIOD_OVERRIDE",$H$19)*1,"")))</f>
        <v/>
      </c>
      <c r="AJ269" t="str">
        <f>IF(OR(AJ$23="",ISNA($B269)),"",IF(ISBLANK($B269),"",IFERROR(_xll.BDP(TICKER,"DEEP_MEASURE_PERIOD_BROKER_VALUE","DEEP_MEASURE_ID_OVERRIDE",$C269,"DEEP_BROKER_ID_OVERRIDE",AJ$24,"DEEP_PERIOD_OVERRIDE",$H$19)*1,"")))</f>
        <v/>
      </c>
      <c r="AK269" t="str">
        <f>IF(OR(AK$23="",ISNA($B269)),"",IF(ISBLANK($B269),"",IFERROR(_xll.BDP(TICKER,"DEEP_MEASURE_PERIOD_BROKER_VALUE","DEEP_MEASURE_ID_OVERRIDE",$C269,"DEEP_BROKER_ID_OVERRIDE",AK$24,"DEEP_PERIOD_OVERRIDE",$H$19)*1,"")))</f>
        <v/>
      </c>
      <c r="AL269" t="str">
        <f>IF(OR(AL$23="",ISNA($B269)),"",IF(ISBLANK($B269),"",IFERROR(_xll.BDP(TICKER,"DEEP_MEASURE_PERIOD_BROKER_VALUE","DEEP_MEASURE_ID_OVERRIDE",$C269,"DEEP_BROKER_ID_OVERRIDE",AL$24,"DEEP_PERIOD_OVERRIDE",$H$19)*1,"")))</f>
        <v/>
      </c>
      <c r="AM269" t="str">
        <f>IF(OR(AM$23="",ISNA($B269)),"",IF(ISBLANK($B269),"",IFERROR(_xll.BDP(TICKER,"DEEP_MEASURE_PERIOD_BROKER_VALUE","DEEP_MEASURE_ID_OVERRIDE",$C269,"DEEP_BROKER_ID_OVERRIDE",AM$24,"DEEP_PERIOD_OVERRIDE",$H$19)*1,"")))</f>
        <v/>
      </c>
      <c r="AN269" t="str">
        <f>IF(OR(AN$23="",ISNA($B269)),"",IF(ISBLANK($B269),"",IFERROR(_xll.BDP(TICKER,"DEEP_MEASURE_PERIOD_BROKER_VALUE","DEEP_MEASURE_ID_OVERRIDE",$C269,"DEEP_BROKER_ID_OVERRIDE",AN$24,"DEEP_PERIOD_OVERRIDE",$H$19)*1,"")))</f>
        <v/>
      </c>
      <c r="AO269" t="str">
        <f>IF(OR(AO$23="",ISNA($B269)),"",IF(ISBLANK($B269),"",IFERROR(_xll.BDP(TICKER,"DEEP_MEASURE_PERIOD_BROKER_VALUE","DEEP_MEASURE_ID_OVERRIDE",$C269,"DEEP_BROKER_ID_OVERRIDE",AO$24,"DEEP_PERIOD_OVERRIDE",$H$19)*1,"")))</f>
        <v/>
      </c>
      <c r="AP269" t="str">
        <f>IF(OR(AP$23="",ISNA($B269)),"",IF(ISBLANK($B269),"",IFERROR(_xll.BDP(TICKER,"DEEP_MEASURE_PERIOD_BROKER_VALUE","DEEP_MEASURE_ID_OVERRIDE",$C269,"DEEP_BROKER_ID_OVERRIDE",AP$24,"DEEP_PERIOD_OVERRIDE",$H$19)*1,"")))</f>
        <v/>
      </c>
      <c r="AQ269" t="str">
        <f>IF(OR(AQ$23="",ISNA($B269)),"",IF(ISBLANK($B269),"",IFERROR(_xll.BDP(TICKER,"DEEP_MEASURE_PERIOD_BROKER_VALUE","DEEP_MEASURE_ID_OVERRIDE",$C269,"DEEP_BROKER_ID_OVERRIDE",AQ$24,"DEEP_PERIOD_OVERRIDE",$H$19)*1,"")))</f>
        <v/>
      </c>
      <c r="AR269" t="str">
        <f>IF(OR(AR$23="",ISNA($B269)),"",IF(ISBLANK($B269),"",IFERROR(_xll.BDP(TICKER,"DEEP_MEASURE_PERIOD_BROKER_VALUE","DEEP_MEASURE_ID_OVERRIDE",$C269,"DEEP_BROKER_ID_OVERRIDE",AR$24,"DEEP_PERIOD_OVERRIDE",$H$19)*1,"")))</f>
        <v/>
      </c>
      <c r="AS269" t="str">
        <f>IF(OR(AS$23="",ISNA($B269)),"",IF(ISBLANK($B269),"",IFERROR(_xll.BDP(TICKER,"DEEP_MEASURE_PERIOD_BROKER_VALUE","DEEP_MEASURE_ID_OVERRIDE",$C269,"DEEP_BROKER_ID_OVERRIDE",AS$24,"DEEP_PERIOD_OVERRIDE",$H$19)*1,"")))</f>
        <v/>
      </c>
      <c r="AT269" t="str">
        <f>IF(OR(AT$23="",ISNA($B269)),"",IF(ISBLANK($B269),"",IFERROR(_xll.BDP(TICKER,"DEEP_MEASURE_PERIOD_BROKER_VALUE","DEEP_MEASURE_ID_OVERRIDE",$C269,"DEEP_BROKER_ID_OVERRIDE",AT$24,"DEEP_PERIOD_OVERRIDE",$H$19)*1,"")))</f>
        <v/>
      </c>
      <c r="AU269" t="str">
        <f>IF(OR(AU$23="",ISNA($B269)),"",IF(ISBLANK($B269),"",IFERROR(_xll.BDP(TICKER,"DEEP_MEASURE_PERIOD_BROKER_VALUE","DEEP_MEASURE_ID_OVERRIDE",$C269,"DEEP_BROKER_ID_OVERRIDE",AU$24,"DEEP_PERIOD_OVERRIDE",$H$19)*1,"")))</f>
        <v/>
      </c>
      <c r="AV269" t="str">
        <f>IF(OR(AV$23="",ISNA($B269)),"",IF(ISBLANK($B269),"",IFERROR(_xll.BDP(TICKER,"DEEP_MEASURE_PERIOD_BROKER_VALUE","DEEP_MEASURE_ID_OVERRIDE",$C269,"DEEP_BROKER_ID_OVERRIDE",AV$24,"DEEP_PERIOD_OVERRIDE",$H$19)*1,"")))</f>
        <v/>
      </c>
      <c r="AW269" t="str">
        <f>IF(OR(AW$23="",ISNA($B269)),"",IF(ISBLANK($B269),"",IFERROR(_xll.BDP(TICKER,"DEEP_MEASURE_PERIOD_BROKER_VALUE","DEEP_MEASURE_ID_OVERRIDE",$C269,"DEEP_BROKER_ID_OVERRIDE",AW$24,"DEEP_PERIOD_OVERRIDE",$H$19)*1,"")))</f>
        <v/>
      </c>
      <c r="AX269" t="str">
        <f>IF(OR(AX$23="",ISNA($B269)),"",IF(ISBLANK($B269),"",IFERROR(_xll.BDP(TICKER,"DEEP_MEASURE_PERIOD_BROKER_VALUE","DEEP_MEASURE_ID_OVERRIDE",$C269,"DEEP_BROKER_ID_OVERRIDE",AX$24,"DEEP_PERIOD_OVERRIDE",$H$19)*1,"")))</f>
        <v/>
      </c>
      <c r="AY269" t="str">
        <f>IF(OR(AY$23="",ISNA($B269)),"",IF(ISBLANK($B269),"",IFERROR(_xll.BDP(TICKER,"DEEP_MEASURE_PERIOD_BROKER_VALUE","DEEP_MEASURE_ID_OVERRIDE",$C269,"DEEP_BROKER_ID_OVERRIDE",AY$24,"DEEP_PERIOD_OVERRIDE",$H$19)*1,"")))</f>
        <v/>
      </c>
      <c r="AZ269" t="str">
        <f>IF(OR(AZ$23="",ISNA($B269)),"",IF(ISBLANK($B269),"",IFERROR(_xll.BDP(TICKER,"DEEP_MEASURE_PERIOD_BROKER_VALUE","DEEP_MEASURE_ID_OVERRIDE",$C269,"DEEP_BROKER_ID_OVERRIDE",AZ$24,"DEEP_PERIOD_OVERRIDE",$H$19)*1,"")))</f>
        <v/>
      </c>
      <c r="BA269" t="str">
        <f>IF(OR(BA$23="",ISNA($B269)),"",IF(ISBLANK($B269),"",IFERROR(_xll.BDP(TICKER,"DEEP_MEASURE_PERIOD_BROKER_VALUE","DEEP_MEASURE_ID_OVERRIDE",$C269,"DEEP_BROKER_ID_OVERRIDE",BA$24,"DEEP_PERIOD_OVERRIDE",$H$19)*1,"")))</f>
        <v/>
      </c>
      <c r="BB269" t="str">
        <f>IF(OR(BB$23="",ISNA($B269)),"",IF(ISBLANK($B269),"",IFERROR(_xll.BDP(TICKER,"DEEP_MEASURE_PERIOD_BROKER_VALUE","DEEP_MEASURE_ID_OVERRIDE",$C269,"DEEP_BROKER_ID_OVERRIDE",BB$24,"DEEP_PERIOD_OVERRIDE",$H$19)*1,"")))</f>
        <v/>
      </c>
      <c r="BC269" t="str">
        <f>IF(OR(BC$23="",ISNA($B269)),"",IF(ISBLANK($B269),"",IFERROR(_xll.BDP(TICKER,"DEEP_MEASURE_PERIOD_BROKER_VALUE","DEEP_MEASURE_ID_OVERRIDE",$C269,"DEEP_BROKER_ID_OVERRIDE",BC$24,"DEEP_PERIOD_OVERRIDE",$H$19)*1,"")))</f>
        <v/>
      </c>
      <c r="BD269" t="str">
        <f>IF(OR(BD$23="",ISNA($B269)),"",IF(ISBLANK($B269),"",IFERROR(_xll.BDP(TICKER,"DEEP_MEASURE_PERIOD_BROKER_VALUE","DEEP_MEASURE_ID_OVERRIDE",$C269,"DEEP_BROKER_ID_OVERRIDE",BD$24,"DEEP_PERIOD_OVERRIDE",$H$19)*1,"")))</f>
        <v/>
      </c>
      <c r="BE269" t="str">
        <f>IF(OR(BE$23="",ISNA($B269)),"",IF(ISBLANK($B269),"",IFERROR(_xll.BDP(TICKER,"DEEP_MEASURE_PERIOD_BROKER_VALUE","DEEP_MEASURE_ID_OVERRIDE",$C269,"DEEP_BROKER_ID_OVERRIDE",BE$24,"DEEP_PERIOD_OVERRIDE",$H$19)*1,"")))</f>
        <v/>
      </c>
      <c r="BF269" t="str">
        <f>IF(OR(BF$23="",ISNA($B269)),"",IF(ISBLANK($B269),"",IFERROR(_xll.BDP(TICKER,"DEEP_MEASURE_PERIOD_BROKER_VALUE","DEEP_MEASURE_ID_OVERRIDE",$C269,"DEEP_BROKER_ID_OVERRIDE",BF$24,"DEEP_PERIOD_OVERRIDE",$H$19)*1,"")))</f>
        <v/>
      </c>
      <c r="BG269" t="str">
        <f>IF(OR(BG$23="",ISNA($B269)),"",IF(ISBLANK($B269),"",IFERROR(_xll.BDP(TICKER,"DEEP_MEASURE_PERIOD_BROKER_VALUE","DEEP_MEASURE_ID_OVERRIDE",$C269,"DEEP_BROKER_ID_OVERRIDE",BG$24,"DEEP_PERIOD_OVERRIDE",$H$19)*1,"")))</f>
        <v/>
      </c>
      <c r="BH269" t="str">
        <f>IF(OR(BH$23="",ISNA($B269)),"",IF(ISBLANK($B269),"",IFERROR(_xll.BDP(TICKER,"DEEP_MEASURE_PERIOD_BROKER_VALUE","DEEP_MEASURE_ID_OVERRIDE",$C269,"DEEP_BROKER_ID_OVERRIDE",BH$24,"DEEP_PERIOD_OVERRIDE",$H$19)*1,"")))</f>
        <v/>
      </c>
      <c r="BI269" t="str">
        <f>IF(OR(BI$23="",ISNA($B269)),"",IF(ISBLANK($B269),"",IFERROR(_xll.BDP(TICKER,"DEEP_MEASURE_PERIOD_BROKER_VALUE","DEEP_MEASURE_ID_OVERRIDE",$C269,"DEEP_BROKER_ID_OVERRIDE",BI$24,"DEEP_PERIOD_OVERRIDE",$H$19)*1,"")))</f>
        <v/>
      </c>
      <c r="BJ269" t="str">
        <f>IF(OR(BJ$23="",ISNA($B269)),"",IF(ISBLANK($B269),"",IFERROR(_xll.BDP(TICKER,"DEEP_MEASURE_PERIOD_BROKER_VALUE","DEEP_MEASURE_ID_OVERRIDE",$C269,"DEEP_BROKER_ID_OVERRIDE",BJ$24,"DEEP_PERIOD_OVERRIDE",$H$19)*1,"")))</f>
        <v/>
      </c>
      <c r="BK269" t="str">
        <f>IF(OR(BK$23="",ISNA($B269)),"",IF(ISBLANK($B269),"",IFERROR(_xll.BDP(TICKER,"DEEP_MEASURE_PERIOD_BROKER_VALUE","DEEP_MEASURE_ID_OVERRIDE",$C269,"DEEP_BROKER_ID_OVERRIDE",BK$24,"DEEP_PERIOD_OVERRIDE",$H$19)*1,"")))</f>
        <v/>
      </c>
      <c r="BL269" t="str">
        <f>IF(OR(BL$23="",ISNA($B269)),"",IF(ISBLANK($B269),"",IFERROR(_xll.BDP(TICKER,"DEEP_MEASURE_PERIOD_BROKER_VALUE","DEEP_MEASURE_ID_OVERRIDE",$C269,"DEEP_BROKER_ID_OVERRIDE",BL$24,"DEEP_PERIOD_OVERRIDE",$H$19)*1,"")))</f>
        <v/>
      </c>
      <c r="BM269" t="str">
        <f>IF(OR(BM$23="",ISNA($B269)),"",IF(ISBLANK($B269),"",IFERROR(_xll.BDP(TICKER,"DEEP_MEASURE_PERIOD_BROKER_VALUE","DEEP_MEASURE_ID_OVERRIDE",$C269,"DEEP_BROKER_ID_OVERRIDE",BM$24,"DEEP_PERIOD_OVERRIDE",$H$19)*1,"")))</f>
        <v/>
      </c>
      <c r="BN269" t="str">
        <f>IF(OR(BN$23="",ISNA($B269)),"",IF(ISBLANK($B269),"",IFERROR(_xll.BDP(TICKER,"DEEP_MEASURE_PERIOD_BROKER_VALUE","DEEP_MEASURE_ID_OVERRIDE",$C269,"DEEP_BROKER_ID_OVERRIDE",BN$24,"DEEP_PERIOD_OVERRIDE",$H$19)*1,"")))</f>
        <v/>
      </c>
      <c r="BO269" t="str">
        <f>IF(OR(BO$23="",ISNA($B269)),"",IF(ISBLANK($B269),"",IFERROR(_xll.BDP(TICKER,"DEEP_MEASURE_PERIOD_BROKER_VALUE","DEEP_MEASURE_ID_OVERRIDE",$C269,"DEEP_BROKER_ID_OVERRIDE",BO$24,"DEEP_PERIOD_OVERRIDE",$H$19)*1,"")))</f>
        <v/>
      </c>
      <c r="BP269" t="str">
        <f>IF(OR(BP$23="",ISNA($B269)),"",IF(ISBLANK($B269),"",IFERROR(_xll.BDP(TICKER,"DEEP_MEASURE_PERIOD_BROKER_VALUE","DEEP_MEASURE_ID_OVERRIDE",$C269,"DEEP_BROKER_ID_OVERRIDE",BP$24,"DEEP_PERIOD_OVERRIDE",$H$19)*1,"")))</f>
        <v/>
      </c>
      <c r="BQ269" t="str">
        <f>IF(OR(BQ$23="",ISNA($B269)),"",IF(ISBLANK($B269),"",IFERROR(_xll.BDP(TICKER,"DEEP_MEASURE_PERIOD_BROKER_VALUE","DEEP_MEASURE_ID_OVERRIDE",$C269,"DEEP_BROKER_ID_OVERRIDE",BQ$24,"DEEP_PERIOD_OVERRIDE",$H$19)*1,"")))</f>
        <v/>
      </c>
      <c r="BR269" t="str">
        <f>IF(OR(BR$23="",ISNA($B269)),"",IF(ISBLANK($B269),"",IFERROR(_xll.BDP(TICKER,"DEEP_MEASURE_PERIOD_BROKER_VALUE","DEEP_MEASURE_ID_OVERRIDE",$C269,"DEEP_BROKER_ID_OVERRIDE",BR$24,"DEEP_PERIOD_OVERRIDE",$H$19)*1,"")))</f>
        <v/>
      </c>
      <c r="BS269" t="str">
        <f>IF(OR(BS$23="",ISNA($B269)),"",IF(ISBLANK($B269),"",IFERROR(_xll.BDP(TICKER,"DEEP_MEASURE_PERIOD_BROKER_VALUE","DEEP_MEASURE_ID_OVERRIDE",$C269,"DEEP_BROKER_ID_OVERRIDE",BS$24,"DEEP_PERIOD_OVERRIDE",$H$19)*1,"")))</f>
        <v/>
      </c>
      <c r="BT269" t="str">
        <f>IF(OR(BT$23="",ISNA($B269)),"",IF(ISBLANK($B269),"",IFERROR(_xll.BDP(TICKER,"DEEP_MEASURE_PERIOD_BROKER_VALUE","DEEP_MEASURE_ID_OVERRIDE",$C269,"DEEP_BROKER_ID_OVERRIDE",BT$24,"DEEP_PERIOD_OVERRIDE",$H$19)*1,"")))</f>
        <v/>
      </c>
      <c r="BU269" t="str">
        <f>IF(OR(BU$23="",ISNA($B269)),"",IF(ISBLANK($B269),"",IFERROR(_xll.BDP(TICKER,"DEEP_MEASURE_PERIOD_BROKER_VALUE","DEEP_MEASURE_ID_OVERRIDE",$C269,"DEEP_BROKER_ID_OVERRIDE",BU$24,"DEEP_PERIOD_OVERRIDE",$H$19)*1,"")))</f>
        <v/>
      </c>
      <c r="BV269" t="str">
        <f>IF(OR(BV$23="",ISNA($B269)),"",IF(ISBLANK($B269),"",IFERROR(_xll.BDP(TICKER,"DEEP_MEASURE_PERIOD_BROKER_VALUE","DEEP_MEASURE_ID_OVERRIDE",$C269,"DEEP_BROKER_ID_OVERRIDE",BV$24,"DEEP_PERIOD_OVERRIDE",$H$19)*1,"")))</f>
        <v/>
      </c>
      <c r="BW269" t="str">
        <f>IF(OR(BW$23="",ISNA($B269)),"",IF(ISBLANK($B269),"",IFERROR(_xll.BDP(TICKER,"DEEP_MEASURE_PERIOD_BROKER_VALUE","DEEP_MEASURE_ID_OVERRIDE",$C269,"DEEP_BROKER_ID_OVERRIDE",BW$24,"DEEP_PERIOD_OVERRIDE",$H$19)*1,"")))</f>
        <v/>
      </c>
      <c r="BX269" t="str">
        <f>IF(OR(BX$23="",ISNA($B269)),"",IF(ISBLANK($B269),"",IFERROR(_xll.BDP(TICKER,"DEEP_MEASURE_PERIOD_BROKER_VALUE","DEEP_MEASURE_ID_OVERRIDE",$C269,"DEEP_BROKER_ID_OVERRIDE",BX$24,"DEEP_PERIOD_OVERRIDE",$H$19)*1,"")))</f>
        <v/>
      </c>
      <c r="BY269" t="str">
        <f>IF(OR(BY$23="",ISNA($B269)),"",IF(ISBLANK($B269),"",IFERROR(_xll.BDP(TICKER,"DEEP_MEASURE_PERIOD_BROKER_VALUE","DEEP_MEASURE_ID_OVERRIDE",$C269,"DEEP_BROKER_ID_OVERRIDE",BY$24,"DEEP_PERIOD_OVERRIDE",$H$19)*1,"")))</f>
        <v/>
      </c>
      <c r="BZ269" t="str">
        <f>IF(OR(BZ$23="",ISNA($B269)),"",IF(ISBLANK($B269),"",IFERROR(_xll.BDP(TICKER,"DEEP_MEASURE_PERIOD_BROKER_VALUE","DEEP_MEASURE_ID_OVERRIDE",$C269,"DEEP_BROKER_ID_OVERRIDE",BZ$24,"DEEP_PERIOD_OVERRIDE",$H$19)*1,"")))</f>
        <v/>
      </c>
    </row>
    <row r="270" spans="8:78" x14ac:dyDescent="0.25">
      <c r="H270" t="str">
        <f t="shared" si="4"/>
        <v/>
      </c>
      <c r="I270" t="str">
        <f>IF(OR(I$23="",ISNA($B270)),"",IF(ISBLANK($B270),"",IFERROR(_xll.BDP(TICKER,"DEEP_MEASURE_PERIOD_BROKER_VALUE","DEEP_MEASURE_ID_OVERRIDE",$C270,"DEEP_PERIOD_OVERRIDE",$H$19)*1,"")))</f>
        <v/>
      </c>
      <c r="J270" t="e">
        <f>IF(OR(J$23="",ISNA($B270)),"",IF(ISBLANK($B270),"",IFERROR(_xll.BDP(TICKER,"DEEP_MEASURE_PERIOD_BROKER_VALUE","DEEP_MEASURE_ID_OVERRIDE",$C270,"DEEP_BROKER_ID_OVERRIDE",J$24,"DEEP_PERIOD_OVERRIDE",$H$19)*1,"")))</f>
        <v>#REF!</v>
      </c>
      <c r="K270" t="str">
        <f>IF(OR(K$23="",ISNA($B270)),"",IF(ISBLANK($B270),"",IFERROR(_xll.BDP(TICKER,"DEEP_MEASURE_PERIOD_BROKER_VALUE","DEEP_MEASURE_ID_OVERRIDE",$C270,"DEEP_BROKER_ID_OVERRIDE",K$24,"DEEP_PERIOD_OVERRIDE",$H$19)*1,"")))</f>
        <v/>
      </c>
      <c r="L270" t="str">
        <f>IF(OR(L$23="",ISNA($B270)),"",IF(ISBLANK($B270),"",IFERROR(_xll.BDP(TICKER,"DEEP_MEASURE_PERIOD_BROKER_VALUE","DEEP_MEASURE_ID_OVERRIDE",$C270,"DEEP_BROKER_ID_OVERRIDE",L$24,"DEEP_PERIOD_OVERRIDE",$H$19)*1,"")))</f>
        <v/>
      </c>
      <c r="M270" t="str">
        <f>IF(OR(M$23="",ISNA($B270)),"",IF(ISBLANK($B270),"",IFERROR(_xll.BDP(TICKER,"DEEP_MEASURE_PERIOD_BROKER_VALUE","DEEP_MEASURE_ID_OVERRIDE",$C270,"DEEP_BROKER_ID_OVERRIDE",M$24,"DEEP_PERIOD_OVERRIDE",$H$19)*1,"")))</f>
        <v/>
      </c>
      <c r="N270" t="str">
        <f>IF(OR(N$23="",ISNA($B270)),"",IF(ISBLANK($B270),"",IFERROR(_xll.BDP(TICKER,"DEEP_MEASURE_PERIOD_BROKER_VALUE","DEEP_MEASURE_ID_OVERRIDE",$C270,"DEEP_BROKER_ID_OVERRIDE",N$24,"DEEP_PERIOD_OVERRIDE",$H$19)*1,"")))</f>
        <v/>
      </c>
      <c r="O270" t="str">
        <f>IF(OR(O$23="",ISNA($B270)),"",IF(ISBLANK($B270),"",IFERROR(_xll.BDP(TICKER,"DEEP_MEASURE_PERIOD_BROKER_VALUE","DEEP_MEASURE_ID_OVERRIDE",$C270,"DEEP_BROKER_ID_OVERRIDE",O$24,"DEEP_PERIOD_OVERRIDE",$H$19)*1,"")))</f>
        <v/>
      </c>
      <c r="P270" t="str">
        <f>IF(OR(P$23="",ISNA($B270)),"",IF(ISBLANK($B270),"",IFERROR(_xll.BDP(TICKER,"DEEP_MEASURE_PERIOD_BROKER_VALUE","DEEP_MEASURE_ID_OVERRIDE",$C270,"DEEP_BROKER_ID_OVERRIDE",P$24,"DEEP_PERIOD_OVERRIDE",$H$19)*1,"")))</f>
        <v/>
      </c>
      <c r="Q270" t="str">
        <f>IF(OR(Q$23="",ISNA($B270)),"",IF(ISBLANK($B270),"",IFERROR(_xll.BDP(TICKER,"DEEP_MEASURE_PERIOD_BROKER_VALUE","DEEP_MEASURE_ID_OVERRIDE",$C270,"DEEP_BROKER_ID_OVERRIDE",Q$24,"DEEP_PERIOD_OVERRIDE",$H$19)*1,"")))</f>
        <v/>
      </c>
      <c r="R270" t="str">
        <f>IF(OR(R$23="",ISNA($B270)),"",IF(ISBLANK($B270),"",IFERROR(_xll.BDP(TICKER,"DEEP_MEASURE_PERIOD_BROKER_VALUE","DEEP_MEASURE_ID_OVERRIDE",$C270,"DEEP_BROKER_ID_OVERRIDE",R$24,"DEEP_PERIOD_OVERRIDE",$H$19)*1,"")))</f>
        <v/>
      </c>
      <c r="S270" t="str">
        <f>IF(OR(S$23="",ISNA($B270)),"",IF(ISBLANK($B270),"",IFERROR(_xll.BDP(TICKER,"DEEP_MEASURE_PERIOD_BROKER_VALUE","DEEP_MEASURE_ID_OVERRIDE",$C270,"DEEP_BROKER_ID_OVERRIDE",S$24,"DEEP_PERIOD_OVERRIDE",$H$19)*1,"")))</f>
        <v/>
      </c>
      <c r="T270" t="str">
        <f>IF(OR(T$23="",ISNA($B270)),"",IF(ISBLANK($B270),"",IFERROR(_xll.BDP(TICKER,"DEEP_MEASURE_PERIOD_BROKER_VALUE","DEEP_MEASURE_ID_OVERRIDE",$C270,"DEEP_BROKER_ID_OVERRIDE",T$24,"DEEP_PERIOD_OVERRIDE",$H$19)*1,"")))</f>
        <v/>
      </c>
      <c r="U270" t="str">
        <f>IF(OR(U$23="",ISNA($B270)),"",IF(ISBLANK($B270),"",IFERROR(_xll.BDP(TICKER,"DEEP_MEASURE_PERIOD_BROKER_VALUE","DEEP_MEASURE_ID_OVERRIDE",$C270,"DEEP_BROKER_ID_OVERRIDE",U$24,"DEEP_PERIOD_OVERRIDE",$H$19)*1,"")))</f>
        <v/>
      </c>
      <c r="V270" t="str">
        <f>IF(OR(V$23="",ISNA($B270)),"",IF(ISBLANK($B270),"",IFERROR(_xll.BDP(TICKER,"DEEP_MEASURE_PERIOD_BROKER_VALUE","DEEP_MEASURE_ID_OVERRIDE",$C270,"DEEP_BROKER_ID_OVERRIDE",V$24,"DEEP_PERIOD_OVERRIDE",$H$19)*1,"")))</f>
        <v/>
      </c>
      <c r="W270" t="str">
        <f>IF(OR(W$23="",ISNA($B270)),"",IF(ISBLANK($B270),"",IFERROR(_xll.BDP(TICKER,"DEEP_MEASURE_PERIOD_BROKER_VALUE","DEEP_MEASURE_ID_OVERRIDE",$C270,"DEEP_BROKER_ID_OVERRIDE",W$24,"DEEP_PERIOD_OVERRIDE",$H$19)*1,"")))</f>
        <v/>
      </c>
      <c r="X270" t="str">
        <f>IF(OR(X$23="",ISNA($B270)),"",IF(ISBLANK($B270),"",IFERROR(_xll.BDP(TICKER,"DEEP_MEASURE_PERIOD_BROKER_VALUE","DEEP_MEASURE_ID_OVERRIDE",$C270,"DEEP_BROKER_ID_OVERRIDE",X$24,"DEEP_PERIOD_OVERRIDE",$H$19)*1,"")))</f>
        <v/>
      </c>
      <c r="Y270" t="str">
        <f>IF(OR(Y$23="",ISNA($B270)),"",IF(ISBLANK($B270),"",IFERROR(_xll.BDP(TICKER,"DEEP_MEASURE_PERIOD_BROKER_VALUE","DEEP_MEASURE_ID_OVERRIDE",$C270,"DEEP_BROKER_ID_OVERRIDE",Y$24,"DEEP_PERIOD_OVERRIDE",$H$19)*1,"")))</f>
        <v/>
      </c>
      <c r="Z270" t="str">
        <f>IF(OR(Z$23="",ISNA($B270)),"",IF(ISBLANK($B270),"",IFERROR(_xll.BDP(TICKER,"DEEP_MEASURE_PERIOD_BROKER_VALUE","DEEP_MEASURE_ID_OVERRIDE",$C270,"DEEP_BROKER_ID_OVERRIDE",Z$24,"DEEP_PERIOD_OVERRIDE",$H$19)*1,"")))</f>
        <v/>
      </c>
      <c r="AA270" t="str">
        <f>IF(OR(AA$23="",ISNA($B270)),"",IF(ISBLANK($B270),"",IFERROR(_xll.BDP(TICKER,"DEEP_MEASURE_PERIOD_BROKER_VALUE","DEEP_MEASURE_ID_OVERRIDE",$C270,"DEEP_BROKER_ID_OVERRIDE",AA$24,"DEEP_PERIOD_OVERRIDE",$H$19)*1,"")))</f>
        <v/>
      </c>
      <c r="AB270" t="str">
        <f>IF(OR(AB$23="",ISNA($B270)),"",IF(ISBLANK($B270),"",IFERROR(_xll.BDP(TICKER,"DEEP_MEASURE_PERIOD_BROKER_VALUE","DEEP_MEASURE_ID_OVERRIDE",$C270,"DEEP_BROKER_ID_OVERRIDE",AB$24,"DEEP_PERIOD_OVERRIDE",$H$19)*1,"")))</f>
        <v/>
      </c>
      <c r="AC270" t="str">
        <f>IF(OR(AC$23="",ISNA($B270)),"",IF(ISBLANK($B270),"",IFERROR(_xll.BDP(TICKER,"DEEP_MEASURE_PERIOD_BROKER_VALUE","DEEP_MEASURE_ID_OVERRIDE",$C270,"DEEP_BROKER_ID_OVERRIDE",AC$24,"DEEP_PERIOD_OVERRIDE",$H$19)*1,"")))</f>
        <v/>
      </c>
      <c r="AD270" t="str">
        <f>IF(OR(AD$23="",ISNA($B270)),"",IF(ISBLANK($B270),"",IFERROR(_xll.BDP(TICKER,"DEEP_MEASURE_PERIOD_BROKER_VALUE","DEEP_MEASURE_ID_OVERRIDE",$C270,"DEEP_BROKER_ID_OVERRIDE",AD$24,"DEEP_PERIOD_OVERRIDE",$H$19)*1,"")))</f>
        <v/>
      </c>
      <c r="AE270" t="str">
        <f>IF(OR(AE$23="",ISNA($B270)),"",IF(ISBLANK($B270),"",IFERROR(_xll.BDP(TICKER,"DEEP_MEASURE_PERIOD_BROKER_VALUE","DEEP_MEASURE_ID_OVERRIDE",$C270,"DEEP_BROKER_ID_OVERRIDE",AE$24,"DEEP_PERIOD_OVERRIDE",$H$19)*1,"")))</f>
        <v/>
      </c>
      <c r="AF270" t="str">
        <f>IF(OR(AF$23="",ISNA($B270)),"",IF(ISBLANK($B270),"",IFERROR(_xll.BDP(TICKER,"DEEP_MEASURE_PERIOD_BROKER_VALUE","DEEP_MEASURE_ID_OVERRIDE",$C270,"DEEP_BROKER_ID_OVERRIDE",AF$24,"DEEP_PERIOD_OVERRIDE",$H$19)*1,"")))</f>
        <v/>
      </c>
      <c r="AG270" t="str">
        <f>IF(OR(AG$23="",ISNA($B270)),"",IF(ISBLANK($B270),"",IFERROR(_xll.BDP(TICKER,"DEEP_MEASURE_PERIOD_BROKER_VALUE","DEEP_MEASURE_ID_OVERRIDE",$C270,"DEEP_BROKER_ID_OVERRIDE",AG$24,"DEEP_PERIOD_OVERRIDE",$H$19)*1,"")))</f>
        <v/>
      </c>
      <c r="AH270" t="str">
        <f>IF(OR(AH$23="",ISNA($B270)),"",IF(ISBLANK($B270),"",IFERROR(_xll.BDP(TICKER,"DEEP_MEASURE_PERIOD_BROKER_VALUE","DEEP_MEASURE_ID_OVERRIDE",$C270,"DEEP_BROKER_ID_OVERRIDE",AH$24,"DEEP_PERIOD_OVERRIDE",$H$19)*1,"")))</f>
        <v/>
      </c>
      <c r="AI270" t="str">
        <f>IF(OR(AI$23="",ISNA($B270)),"",IF(ISBLANK($B270),"",IFERROR(_xll.BDP(TICKER,"DEEP_MEASURE_PERIOD_BROKER_VALUE","DEEP_MEASURE_ID_OVERRIDE",$C270,"DEEP_BROKER_ID_OVERRIDE",AI$24,"DEEP_PERIOD_OVERRIDE",$H$19)*1,"")))</f>
        <v/>
      </c>
      <c r="AJ270" t="str">
        <f>IF(OR(AJ$23="",ISNA($B270)),"",IF(ISBLANK($B270),"",IFERROR(_xll.BDP(TICKER,"DEEP_MEASURE_PERIOD_BROKER_VALUE","DEEP_MEASURE_ID_OVERRIDE",$C270,"DEEP_BROKER_ID_OVERRIDE",AJ$24,"DEEP_PERIOD_OVERRIDE",$H$19)*1,"")))</f>
        <v/>
      </c>
      <c r="AK270" t="str">
        <f>IF(OR(AK$23="",ISNA($B270)),"",IF(ISBLANK($B270),"",IFERROR(_xll.BDP(TICKER,"DEEP_MEASURE_PERIOD_BROKER_VALUE","DEEP_MEASURE_ID_OVERRIDE",$C270,"DEEP_BROKER_ID_OVERRIDE",AK$24,"DEEP_PERIOD_OVERRIDE",$H$19)*1,"")))</f>
        <v/>
      </c>
      <c r="AL270" t="str">
        <f>IF(OR(AL$23="",ISNA($B270)),"",IF(ISBLANK($B270),"",IFERROR(_xll.BDP(TICKER,"DEEP_MEASURE_PERIOD_BROKER_VALUE","DEEP_MEASURE_ID_OVERRIDE",$C270,"DEEP_BROKER_ID_OVERRIDE",AL$24,"DEEP_PERIOD_OVERRIDE",$H$19)*1,"")))</f>
        <v/>
      </c>
      <c r="AM270" t="str">
        <f>IF(OR(AM$23="",ISNA($B270)),"",IF(ISBLANK($B270),"",IFERROR(_xll.BDP(TICKER,"DEEP_MEASURE_PERIOD_BROKER_VALUE","DEEP_MEASURE_ID_OVERRIDE",$C270,"DEEP_BROKER_ID_OVERRIDE",AM$24,"DEEP_PERIOD_OVERRIDE",$H$19)*1,"")))</f>
        <v/>
      </c>
      <c r="AN270" t="str">
        <f>IF(OR(AN$23="",ISNA($B270)),"",IF(ISBLANK($B270),"",IFERROR(_xll.BDP(TICKER,"DEEP_MEASURE_PERIOD_BROKER_VALUE","DEEP_MEASURE_ID_OVERRIDE",$C270,"DEEP_BROKER_ID_OVERRIDE",AN$24,"DEEP_PERIOD_OVERRIDE",$H$19)*1,"")))</f>
        <v/>
      </c>
      <c r="AO270" t="str">
        <f>IF(OR(AO$23="",ISNA($B270)),"",IF(ISBLANK($B270),"",IFERROR(_xll.BDP(TICKER,"DEEP_MEASURE_PERIOD_BROKER_VALUE","DEEP_MEASURE_ID_OVERRIDE",$C270,"DEEP_BROKER_ID_OVERRIDE",AO$24,"DEEP_PERIOD_OVERRIDE",$H$19)*1,"")))</f>
        <v/>
      </c>
      <c r="AP270" t="str">
        <f>IF(OR(AP$23="",ISNA($B270)),"",IF(ISBLANK($B270),"",IFERROR(_xll.BDP(TICKER,"DEEP_MEASURE_PERIOD_BROKER_VALUE","DEEP_MEASURE_ID_OVERRIDE",$C270,"DEEP_BROKER_ID_OVERRIDE",AP$24,"DEEP_PERIOD_OVERRIDE",$H$19)*1,"")))</f>
        <v/>
      </c>
      <c r="AQ270" t="str">
        <f>IF(OR(AQ$23="",ISNA($B270)),"",IF(ISBLANK($B270),"",IFERROR(_xll.BDP(TICKER,"DEEP_MEASURE_PERIOD_BROKER_VALUE","DEEP_MEASURE_ID_OVERRIDE",$C270,"DEEP_BROKER_ID_OVERRIDE",AQ$24,"DEEP_PERIOD_OVERRIDE",$H$19)*1,"")))</f>
        <v/>
      </c>
      <c r="AR270" t="str">
        <f>IF(OR(AR$23="",ISNA($B270)),"",IF(ISBLANK($B270),"",IFERROR(_xll.BDP(TICKER,"DEEP_MEASURE_PERIOD_BROKER_VALUE","DEEP_MEASURE_ID_OVERRIDE",$C270,"DEEP_BROKER_ID_OVERRIDE",AR$24,"DEEP_PERIOD_OVERRIDE",$H$19)*1,"")))</f>
        <v/>
      </c>
      <c r="AS270" t="str">
        <f>IF(OR(AS$23="",ISNA($B270)),"",IF(ISBLANK($B270),"",IFERROR(_xll.BDP(TICKER,"DEEP_MEASURE_PERIOD_BROKER_VALUE","DEEP_MEASURE_ID_OVERRIDE",$C270,"DEEP_BROKER_ID_OVERRIDE",AS$24,"DEEP_PERIOD_OVERRIDE",$H$19)*1,"")))</f>
        <v/>
      </c>
      <c r="AT270" t="str">
        <f>IF(OR(AT$23="",ISNA($B270)),"",IF(ISBLANK($B270),"",IFERROR(_xll.BDP(TICKER,"DEEP_MEASURE_PERIOD_BROKER_VALUE","DEEP_MEASURE_ID_OVERRIDE",$C270,"DEEP_BROKER_ID_OVERRIDE",AT$24,"DEEP_PERIOD_OVERRIDE",$H$19)*1,"")))</f>
        <v/>
      </c>
      <c r="AU270" t="str">
        <f>IF(OR(AU$23="",ISNA($B270)),"",IF(ISBLANK($B270),"",IFERROR(_xll.BDP(TICKER,"DEEP_MEASURE_PERIOD_BROKER_VALUE","DEEP_MEASURE_ID_OVERRIDE",$C270,"DEEP_BROKER_ID_OVERRIDE",AU$24,"DEEP_PERIOD_OVERRIDE",$H$19)*1,"")))</f>
        <v/>
      </c>
      <c r="AV270" t="str">
        <f>IF(OR(AV$23="",ISNA($B270)),"",IF(ISBLANK($B270),"",IFERROR(_xll.BDP(TICKER,"DEEP_MEASURE_PERIOD_BROKER_VALUE","DEEP_MEASURE_ID_OVERRIDE",$C270,"DEEP_BROKER_ID_OVERRIDE",AV$24,"DEEP_PERIOD_OVERRIDE",$H$19)*1,"")))</f>
        <v/>
      </c>
      <c r="AW270" t="str">
        <f>IF(OR(AW$23="",ISNA($B270)),"",IF(ISBLANK($B270),"",IFERROR(_xll.BDP(TICKER,"DEEP_MEASURE_PERIOD_BROKER_VALUE","DEEP_MEASURE_ID_OVERRIDE",$C270,"DEEP_BROKER_ID_OVERRIDE",AW$24,"DEEP_PERIOD_OVERRIDE",$H$19)*1,"")))</f>
        <v/>
      </c>
      <c r="AX270" t="str">
        <f>IF(OR(AX$23="",ISNA($B270)),"",IF(ISBLANK($B270),"",IFERROR(_xll.BDP(TICKER,"DEEP_MEASURE_PERIOD_BROKER_VALUE","DEEP_MEASURE_ID_OVERRIDE",$C270,"DEEP_BROKER_ID_OVERRIDE",AX$24,"DEEP_PERIOD_OVERRIDE",$H$19)*1,"")))</f>
        <v/>
      </c>
      <c r="AY270" t="str">
        <f>IF(OR(AY$23="",ISNA($B270)),"",IF(ISBLANK($B270),"",IFERROR(_xll.BDP(TICKER,"DEEP_MEASURE_PERIOD_BROKER_VALUE","DEEP_MEASURE_ID_OVERRIDE",$C270,"DEEP_BROKER_ID_OVERRIDE",AY$24,"DEEP_PERIOD_OVERRIDE",$H$19)*1,"")))</f>
        <v/>
      </c>
      <c r="AZ270" t="str">
        <f>IF(OR(AZ$23="",ISNA($B270)),"",IF(ISBLANK($B270),"",IFERROR(_xll.BDP(TICKER,"DEEP_MEASURE_PERIOD_BROKER_VALUE","DEEP_MEASURE_ID_OVERRIDE",$C270,"DEEP_BROKER_ID_OVERRIDE",AZ$24,"DEEP_PERIOD_OVERRIDE",$H$19)*1,"")))</f>
        <v/>
      </c>
      <c r="BA270" t="str">
        <f>IF(OR(BA$23="",ISNA($B270)),"",IF(ISBLANK($B270),"",IFERROR(_xll.BDP(TICKER,"DEEP_MEASURE_PERIOD_BROKER_VALUE","DEEP_MEASURE_ID_OVERRIDE",$C270,"DEEP_BROKER_ID_OVERRIDE",BA$24,"DEEP_PERIOD_OVERRIDE",$H$19)*1,"")))</f>
        <v/>
      </c>
      <c r="BB270" t="str">
        <f>IF(OR(BB$23="",ISNA($B270)),"",IF(ISBLANK($B270),"",IFERROR(_xll.BDP(TICKER,"DEEP_MEASURE_PERIOD_BROKER_VALUE","DEEP_MEASURE_ID_OVERRIDE",$C270,"DEEP_BROKER_ID_OVERRIDE",BB$24,"DEEP_PERIOD_OVERRIDE",$H$19)*1,"")))</f>
        <v/>
      </c>
      <c r="BC270" t="str">
        <f>IF(OR(BC$23="",ISNA($B270)),"",IF(ISBLANK($B270),"",IFERROR(_xll.BDP(TICKER,"DEEP_MEASURE_PERIOD_BROKER_VALUE","DEEP_MEASURE_ID_OVERRIDE",$C270,"DEEP_BROKER_ID_OVERRIDE",BC$24,"DEEP_PERIOD_OVERRIDE",$H$19)*1,"")))</f>
        <v/>
      </c>
      <c r="BD270" t="str">
        <f>IF(OR(BD$23="",ISNA($B270)),"",IF(ISBLANK($B270),"",IFERROR(_xll.BDP(TICKER,"DEEP_MEASURE_PERIOD_BROKER_VALUE","DEEP_MEASURE_ID_OVERRIDE",$C270,"DEEP_BROKER_ID_OVERRIDE",BD$24,"DEEP_PERIOD_OVERRIDE",$H$19)*1,"")))</f>
        <v/>
      </c>
      <c r="BE270" t="str">
        <f>IF(OR(BE$23="",ISNA($B270)),"",IF(ISBLANK($B270),"",IFERROR(_xll.BDP(TICKER,"DEEP_MEASURE_PERIOD_BROKER_VALUE","DEEP_MEASURE_ID_OVERRIDE",$C270,"DEEP_BROKER_ID_OVERRIDE",BE$24,"DEEP_PERIOD_OVERRIDE",$H$19)*1,"")))</f>
        <v/>
      </c>
      <c r="BF270" t="str">
        <f>IF(OR(BF$23="",ISNA($B270)),"",IF(ISBLANK($B270),"",IFERROR(_xll.BDP(TICKER,"DEEP_MEASURE_PERIOD_BROKER_VALUE","DEEP_MEASURE_ID_OVERRIDE",$C270,"DEEP_BROKER_ID_OVERRIDE",BF$24,"DEEP_PERIOD_OVERRIDE",$H$19)*1,"")))</f>
        <v/>
      </c>
      <c r="BG270" t="str">
        <f>IF(OR(BG$23="",ISNA($B270)),"",IF(ISBLANK($B270),"",IFERROR(_xll.BDP(TICKER,"DEEP_MEASURE_PERIOD_BROKER_VALUE","DEEP_MEASURE_ID_OVERRIDE",$C270,"DEEP_BROKER_ID_OVERRIDE",BG$24,"DEEP_PERIOD_OVERRIDE",$H$19)*1,"")))</f>
        <v/>
      </c>
      <c r="BH270" t="str">
        <f>IF(OR(BH$23="",ISNA($B270)),"",IF(ISBLANK($B270),"",IFERROR(_xll.BDP(TICKER,"DEEP_MEASURE_PERIOD_BROKER_VALUE","DEEP_MEASURE_ID_OVERRIDE",$C270,"DEEP_BROKER_ID_OVERRIDE",BH$24,"DEEP_PERIOD_OVERRIDE",$H$19)*1,"")))</f>
        <v/>
      </c>
      <c r="BI270" t="str">
        <f>IF(OR(BI$23="",ISNA($B270)),"",IF(ISBLANK($B270),"",IFERROR(_xll.BDP(TICKER,"DEEP_MEASURE_PERIOD_BROKER_VALUE","DEEP_MEASURE_ID_OVERRIDE",$C270,"DEEP_BROKER_ID_OVERRIDE",BI$24,"DEEP_PERIOD_OVERRIDE",$H$19)*1,"")))</f>
        <v/>
      </c>
      <c r="BJ270" t="str">
        <f>IF(OR(BJ$23="",ISNA($B270)),"",IF(ISBLANK($B270),"",IFERROR(_xll.BDP(TICKER,"DEEP_MEASURE_PERIOD_BROKER_VALUE","DEEP_MEASURE_ID_OVERRIDE",$C270,"DEEP_BROKER_ID_OVERRIDE",BJ$24,"DEEP_PERIOD_OVERRIDE",$H$19)*1,"")))</f>
        <v/>
      </c>
      <c r="BK270" t="str">
        <f>IF(OR(BK$23="",ISNA($B270)),"",IF(ISBLANK($B270),"",IFERROR(_xll.BDP(TICKER,"DEEP_MEASURE_PERIOD_BROKER_VALUE","DEEP_MEASURE_ID_OVERRIDE",$C270,"DEEP_BROKER_ID_OVERRIDE",BK$24,"DEEP_PERIOD_OVERRIDE",$H$19)*1,"")))</f>
        <v/>
      </c>
      <c r="BL270" t="str">
        <f>IF(OR(BL$23="",ISNA($B270)),"",IF(ISBLANK($B270),"",IFERROR(_xll.BDP(TICKER,"DEEP_MEASURE_PERIOD_BROKER_VALUE","DEEP_MEASURE_ID_OVERRIDE",$C270,"DEEP_BROKER_ID_OVERRIDE",BL$24,"DEEP_PERIOD_OVERRIDE",$H$19)*1,"")))</f>
        <v/>
      </c>
      <c r="BM270" t="str">
        <f>IF(OR(BM$23="",ISNA($B270)),"",IF(ISBLANK($B270),"",IFERROR(_xll.BDP(TICKER,"DEEP_MEASURE_PERIOD_BROKER_VALUE","DEEP_MEASURE_ID_OVERRIDE",$C270,"DEEP_BROKER_ID_OVERRIDE",BM$24,"DEEP_PERIOD_OVERRIDE",$H$19)*1,"")))</f>
        <v/>
      </c>
      <c r="BN270" t="str">
        <f>IF(OR(BN$23="",ISNA($B270)),"",IF(ISBLANK($B270),"",IFERROR(_xll.BDP(TICKER,"DEEP_MEASURE_PERIOD_BROKER_VALUE","DEEP_MEASURE_ID_OVERRIDE",$C270,"DEEP_BROKER_ID_OVERRIDE",BN$24,"DEEP_PERIOD_OVERRIDE",$H$19)*1,"")))</f>
        <v/>
      </c>
      <c r="BO270" t="str">
        <f>IF(OR(BO$23="",ISNA($B270)),"",IF(ISBLANK($B270),"",IFERROR(_xll.BDP(TICKER,"DEEP_MEASURE_PERIOD_BROKER_VALUE","DEEP_MEASURE_ID_OVERRIDE",$C270,"DEEP_BROKER_ID_OVERRIDE",BO$24,"DEEP_PERIOD_OVERRIDE",$H$19)*1,"")))</f>
        <v/>
      </c>
      <c r="BP270" t="str">
        <f>IF(OR(BP$23="",ISNA($B270)),"",IF(ISBLANK($B270),"",IFERROR(_xll.BDP(TICKER,"DEEP_MEASURE_PERIOD_BROKER_VALUE","DEEP_MEASURE_ID_OVERRIDE",$C270,"DEEP_BROKER_ID_OVERRIDE",BP$24,"DEEP_PERIOD_OVERRIDE",$H$19)*1,"")))</f>
        <v/>
      </c>
      <c r="BQ270" t="str">
        <f>IF(OR(BQ$23="",ISNA($B270)),"",IF(ISBLANK($B270),"",IFERROR(_xll.BDP(TICKER,"DEEP_MEASURE_PERIOD_BROKER_VALUE","DEEP_MEASURE_ID_OVERRIDE",$C270,"DEEP_BROKER_ID_OVERRIDE",BQ$24,"DEEP_PERIOD_OVERRIDE",$H$19)*1,"")))</f>
        <v/>
      </c>
      <c r="BR270" t="str">
        <f>IF(OR(BR$23="",ISNA($B270)),"",IF(ISBLANK($B270),"",IFERROR(_xll.BDP(TICKER,"DEEP_MEASURE_PERIOD_BROKER_VALUE","DEEP_MEASURE_ID_OVERRIDE",$C270,"DEEP_BROKER_ID_OVERRIDE",BR$24,"DEEP_PERIOD_OVERRIDE",$H$19)*1,"")))</f>
        <v/>
      </c>
      <c r="BS270" t="str">
        <f>IF(OR(BS$23="",ISNA($B270)),"",IF(ISBLANK($B270),"",IFERROR(_xll.BDP(TICKER,"DEEP_MEASURE_PERIOD_BROKER_VALUE","DEEP_MEASURE_ID_OVERRIDE",$C270,"DEEP_BROKER_ID_OVERRIDE",BS$24,"DEEP_PERIOD_OVERRIDE",$H$19)*1,"")))</f>
        <v/>
      </c>
      <c r="BT270" t="str">
        <f>IF(OR(BT$23="",ISNA($B270)),"",IF(ISBLANK($B270),"",IFERROR(_xll.BDP(TICKER,"DEEP_MEASURE_PERIOD_BROKER_VALUE","DEEP_MEASURE_ID_OVERRIDE",$C270,"DEEP_BROKER_ID_OVERRIDE",BT$24,"DEEP_PERIOD_OVERRIDE",$H$19)*1,"")))</f>
        <v/>
      </c>
      <c r="BU270" t="str">
        <f>IF(OR(BU$23="",ISNA($B270)),"",IF(ISBLANK($B270),"",IFERROR(_xll.BDP(TICKER,"DEEP_MEASURE_PERIOD_BROKER_VALUE","DEEP_MEASURE_ID_OVERRIDE",$C270,"DEEP_BROKER_ID_OVERRIDE",BU$24,"DEEP_PERIOD_OVERRIDE",$H$19)*1,"")))</f>
        <v/>
      </c>
      <c r="BV270" t="str">
        <f>IF(OR(BV$23="",ISNA($B270)),"",IF(ISBLANK($B270),"",IFERROR(_xll.BDP(TICKER,"DEEP_MEASURE_PERIOD_BROKER_VALUE","DEEP_MEASURE_ID_OVERRIDE",$C270,"DEEP_BROKER_ID_OVERRIDE",BV$24,"DEEP_PERIOD_OVERRIDE",$H$19)*1,"")))</f>
        <v/>
      </c>
      <c r="BW270" t="str">
        <f>IF(OR(BW$23="",ISNA($B270)),"",IF(ISBLANK($B270),"",IFERROR(_xll.BDP(TICKER,"DEEP_MEASURE_PERIOD_BROKER_VALUE","DEEP_MEASURE_ID_OVERRIDE",$C270,"DEEP_BROKER_ID_OVERRIDE",BW$24,"DEEP_PERIOD_OVERRIDE",$H$19)*1,"")))</f>
        <v/>
      </c>
      <c r="BX270" t="str">
        <f>IF(OR(BX$23="",ISNA($B270)),"",IF(ISBLANK($B270),"",IFERROR(_xll.BDP(TICKER,"DEEP_MEASURE_PERIOD_BROKER_VALUE","DEEP_MEASURE_ID_OVERRIDE",$C270,"DEEP_BROKER_ID_OVERRIDE",BX$24,"DEEP_PERIOD_OVERRIDE",$H$19)*1,"")))</f>
        <v/>
      </c>
      <c r="BY270" t="str">
        <f>IF(OR(BY$23="",ISNA($B270)),"",IF(ISBLANK($B270),"",IFERROR(_xll.BDP(TICKER,"DEEP_MEASURE_PERIOD_BROKER_VALUE","DEEP_MEASURE_ID_OVERRIDE",$C270,"DEEP_BROKER_ID_OVERRIDE",BY$24,"DEEP_PERIOD_OVERRIDE",$H$19)*1,"")))</f>
        <v/>
      </c>
      <c r="BZ270" t="str">
        <f>IF(OR(BZ$23="",ISNA($B270)),"",IF(ISBLANK($B270),"",IFERROR(_xll.BDP(TICKER,"DEEP_MEASURE_PERIOD_BROKER_VALUE","DEEP_MEASURE_ID_OVERRIDE",$C270,"DEEP_BROKER_ID_OVERRIDE",BZ$24,"DEEP_PERIOD_OVERRIDE",$H$19)*1,"")))</f>
        <v/>
      </c>
    </row>
    <row r="271" spans="8:78" x14ac:dyDescent="0.25">
      <c r="H271" t="str">
        <f t="shared" si="4"/>
        <v/>
      </c>
      <c r="I271" t="str">
        <f>IF(OR(I$23="",ISNA($B271)),"",IF(ISBLANK($B271),"",IFERROR(_xll.BDP(TICKER,"DEEP_MEASURE_PERIOD_BROKER_VALUE","DEEP_MEASURE_ID_OVERRIDE",$C271,"DEEP_PERIOD_OVERRIDE",$H$19)*1,"")))</f>
        <v/>
      </c>
      <c r="J271" t="e">
        <f>IF(OR(J$23="",ISNA($B271)),"",IF(ISBLANK($B271),"",IFERROR(_xll.BDP(TICKER,"DEEP_MEASURE_PERIOD_BROKER_VALUE","DEEP_MEASURE_ID_OVERRIDE",$C271,"DEEP_BROKER_ID_OVERRIDE",J$24,"DEEP_PERIOD_OVERRIDE",$H$19)*1,"")))</f>
        <v>#REF!</v>
      </c>
      <c r="K271" t="str">
        <f>IF(OR(K$23="",ISNA($B271)),"",IF(ISBLANK($B271),"",IFERROR(_xll.BDP(TICKER,"DEEP_MEASURE_PERIOD_BROKER_VALUE","DEEP_MEASURE_ID_OVERRIDE",$C271,"DEEP_BROKER_ID_OVERRIDE",K$24,"DEEP_PERIOD_OVERRIDE",$H$19)*1,"")))</f>
        <v/>
      </c>
      <c r="L271" t="str">
        <f>IF(OR(L$23="",ISNA($B271)),"",IF(ISBLANK($B271),"",IFERROR(_xll.BDP(TICKER,"DEEP_MEASURE_PERIOD_BROKER_VALUE","DEEP_MEASURE_ID_OVERRIDE",$C271,"DEEP_BROKER_ID_OVERRIDE",L$24,"DEEP_PERIOD_OVERRIDE",$H$19)*1,"")))</f>
        <v/>
      </c>
      <c r="M271" t="str">
        <f>IF(OR(M$23="",ISNA($B271)),"",IF(ISBLANK($B271),"",IFERROR(_xll.BDP(TICKER,"DEEP_MEASURE_PERIOD_BROKER_VALUE","DEEP_MEASURE_ID_OVERRIDE",$C271,"DEEP_BROKER_ID_OVERRIDE",M$24,"DEEP_PERIOD_OVERRIDE",$H$19)*1,"")))</f>
        <v/>
      </c>
      <c r="N271" t="str">
        <f>IF(OR(N$23="",ISNA($B271)),"",IF(ISBLANK($B271),"",IFERROR(_xll.BDP(TICKER,"DEEP_MEASURE_PERIOD_BROKER_VALUE","DEEP_MEASURE_ID_OVERRIDE",$C271,"DEEP_BROKER_ID_OVERRIDE",N$24,"DEEP_PERIOD_OVERRIDE",$H$19)*1,"")))</f>
        <v/>
      </c>
      <c r="O271" t="str">
        <f>IF(OR(O$23="",ISNA($B271)),"",IF(ISBLANK($B271),"",IFERROR(_xll.BDP(TICKER,"DEEP_MEASURE_PERIOD_BROKER_VALUE","DEEP_MEASURE_ID_OVERRIDE",$C271,"DEEP_BROKER_ID_OVERRIDE",O$24,"DEEP_PERIOD_OVERRIDE",$H$19)*1,"")))</f>
        <v/>
      </c>
      <c r="P271" t="str">
        <f>IF(OR(P$23="",ISNA($B271)),"",IF(ISBLANK($B271),"",IFERROR(_xll.BDP(TICKER,"DEEP_MEASURE_PERIOD_BROKER_VALUE","DEEP_MEASURE_ID_OVERRIDE",$C271,"DEEP_BROKER_ID_OVERRIDE",P$24,"DEEP_PERIOD_OVERRIDE",$H$19)*1,"")))</f>
        <v/>
      </c>
      <c r="Q271" t="str">
        <f>IF(OR(Q$23="",ISNA($B271)),"",IF(ISBLANK($B271),"",IFERROR(_xll.BDP(TICKER,"DEEP_MEASURE_PERIOD_BROKER_VALUE","DEEP_MEASURE_ID_OVERRIDE",$C271,"DEEP_BROKER_ID_OVERRIDE",Q$24,"DEEP_PERIOD_OVERRIDE",$H$19)*1,"")))</f>
        <v/>
      </c>
      <c r="R271" t="str">
        <f>IF(OR(R$23="",ISNA($B271)),"",IF(ISBLANK($B271),"",IFERROR(_xll.BDP(TICKER,"DEEP_MEASURE_PERIOD_BROKER_VALUE","DEEP_MEASURE_ID_OVERRIDE",$C271,"DEEP_BROKER_ID_OVERRIDE",R$24,"DEEP_PERIOD_OVERRIDE",$H$19)*1,"")))</f>
        <v/>
      </c>
      <c r="S271" t="str">
        <f>IF(OR(S$23="",ISNA($B271)),"",IF(ISBLANK($B271),"",IFERROR(_xll.BDP(TICKER,"DEEP_MEASURE_PERIOD_BROKER_VALUE","DEEP_MEASURE_ID_OVERRIDE",$C271,"DEEP_BROKER_ID_OVERRIDE",S$24,"DEEP_PERIOD_OVERRIDE",$H$19)*1,"")))</f>
        <v/>
      </c>
      <c r="T271" t="str">
        <f>IF(OR(T$23="",ISNA($B271)),"",IF(ISBLANK($B271),"",IFERROR(_xll.BDP(TICKER,"DEEP_MEASURE_PERIOD_BROKER_VALUE","DEEP_MEASURE_ID_OVERRIDE",$C271,"DEEP_BROKER_ID_OVERRIDE",T$24,"DEEP_PERIOD_OVERRIDE",$H$19)*1,"")))</f>
        <v/>
      </c>
      <c r="U271" t="str">
        <f>IF(OR(U$23="",ISNA($B271)),"",IF(ISBLANK($B271),"",IFERROR(_xll.BDP(TICKER,"DEEP_MEASURE_PERIOD_BROKER_VALUE","DEEP_MEASURE_ID_OVERRIDE",$C271,"DEEP_BROKER_ID_OVERRIDE",U$24,"DEEP_PERIOD_OVERRIDE",$H$19)*1,"")))</f>
        <v/>
      </c>
      <c r="V271" t="str">
        <f>IF(OR(V$23="",ISNA($B271)),"",IF(ISBLANK($B271),"",IFERROR(_xll.BDP(TICKER,"DEEP_MEASURE_PERIOD_BROKER_VALUE","DEEP_MEASURE_ID_OVERRIDE",$C271,"DEEP_BROKER_ID_OVERRIDE",V$24,"DEEP_PERIOD_OVERRIDE",$H$19)*1,"")))</f>
        <v/>
      </c>
      <c r="W271" t="str">
        <f>IF(OR(W$23="",ISNA($B271)),"",IF(ISBLANK($B271),"",IFERROR(_xll.BDP(TICKER,"DEEP_MEASURE_PERIOD_BROKER_VALUE","DEEP_MEASURE_ID_OVERRIDE",$C271,"DEEP_BROKER_ID_OVERRIDE",W$24,"DEEP_PERIOD_OVERRIDE",$H$19)*1,"")))</f>
        <v/>
      </c>
      <c r="X271" t="str">
        <f>IF(OR(X$23="",ISNA($B271)),"",IF(ISBLANK($B271),"",IFERROR(_xll.BDP(TICKER,"DEEP_MEASURE_PERIOD_BROKER_VALUE","DEEP_MEASURE_ID_OVERRIDE",$C271,"DEEP_BROKER_ID_OVERRIDE",X$24,"DEEP_PERIOD_OVERRIDE",$H$19)*1,"")))</f>
        <v/>
      </c>
      <c r="Y271" t="str">
        <f>IF(OR(Y$23="",ISNA($B271)),"",IF(ISBLANK($B271),"",IFERROR(_xll.BDP(TICKER,"DEEP_MEASURE_PERIOD_BROKER_VALUE","DEEP_MEASURE_ID_OVERRIDE",$C271,"DEEP_BROKER_ID_OVERRIDE",Y$24,"DEEP_PERIOD_OVERRIDE",$H$19)*1,"")))</f>
        <v/>
      </c>
      <c r="Z271" t="str">
        <f>IF(OR(Z$23="",ISNA($B271)),"",IF(ISBLANK($B271),"",IFERROR(_xll.BDP(TICKER,"DEEP_MEASURE_PERIOD_BROKER_VALUE","DEEP_MEASURE_ID_OVERRIDE",$C271,"DEEP_BROKER_ID_OVERRIDE",Z$24,"DEEP_PERIOD_OVERRIDE",$H$19)*1,"")))</f>
        <v/>
      </c>
      <c r="AA271" t="str">
        <f>IF(OR(AA$23="",ISNA($B271)),"",IF(ISBLANK($B271),"",IFERROR(_xll.BDP(TICKER,"DEEP_MEASURE_PERIOD_BROKER_VALUE","DEEP_MEASURE_ID_OVERRIDE",$C271,"DEEP_BROKER_ID_OVERRIDE",AA$24,"DEEP_PERIOD_OVERRIDE",$H$19)*1,"")))</f>
        <v/>
      </c>
      <c r="AB271" t="str">
        <f>IF(OR(AB$23="",ISNA($B271)),"",IF(ISBLANK($B271),"",IFERROR(_xll.BDP(TICKER,"DEEP_MEASURE_PERIOD_BROKER_VALUE","DEEP_MEASURE_ID_OVERRIDE",$C271,"DEEP_BROKER_ID_OVERRIDE",AB$24,"DEEP_PERIOD_OVERRIDE",$H$19)*1,"")))</f>
        <v/>
      </c>
      <c r="AC271" t="str">
        <f>IF(OR(AC$23="",ISNA($B271)),"",IF(ISBLANK($B271),"",IFERROR(_xll.BDP(TICKER,"DEEP_MEASURE_PERIOD_BROKER_VALUE","DEEP_MEASURE_ID_OVERRIDE",$C271,"DEEP_BROKER_ID_OVERRIDE",AC$24,"DEEP_PERIOD_OVERRIDE",$H$19)*1,"")))</f>
        <v/>
      </c>
      <c r="AD271" t="str">
        <f>IF(OR(AD$23="",ISNA($B271)),"",IF(ISBLANK($B271),"",IFERROR(_xll.BDP(TICKER,"DEEP_MEASURE_PERIOD_BROKER_VALUE","DEEP_MEASURE_ID_OVERRIDE",$C271,"DEEP_BROKER_ID_OVERRIDE",AD$24,"DEEP_PERIOD_OVERRIDE",$H$19)*1,"")))</f>
        <v/>
      </c>
      <c r="AE271" t="str">
        <f>IF(OR(AE$23="",ISNA($B271)),"",IF(ISBLANK($B271),"",IFERROR(_xll.BDP(TICKER,"DEEP_MEASURE_PERIOD_BROKER_VALUE","DEEP_MEASURE_ID_OVERRIDE",$C271,"DEEP_BROKER_ID_OVERRIDE",AE$24,"DEEP_PERIOD_OVERRIDE",$H$19)*1,"")))</f>
        <v/>
      </c>
      <c r="AF271" t="str">
        <f>IF(OR(AF$23="",ISNA($B271)),"",IF(ISBLANK($B271),"",IFERROR(_xll.BDP(TICKER,"DEEP_MEASURE_PERIOD_BROKER_VALUE","DEEP_MEASURE_ID_OVERRIDE",$C271,"DEEP_BROKER_ID_OVERRIDE",AF$24,"DEEP_PERIOD_OVERRIDE",$H$19)*1,"")))</f>
        <v/>
      </c>
      <c r="AG271" t="str">
        <f>IF(OR(AG$23="",ISNA($B271)),"",IF(ISBLANK($B271),"",IFERROR(_xll.BDP(TICKER,"DEEP_MEASURE_PERIOD_BROKER_VALUE","DEEP_MEASURE_ID_OVERRIDE",$C271,"DEEP_BROKER_ID_OVERRIDE",AG$24,"DEEP_PERIOD_OVERRIDE",$H$19)*1,"")))</f>
        <v/>
      </c>
      <c r="AH271" t="str">
        <f>IF(OR(AH$23="",ISNA($B271)),"",IF(ISBLANK($B271),"",IFERROR(_xll.BDP(TICKER,"DEEP_MEASURE_PERIOD_BROKER_VALUE","DEEP_MEASURE_ID_OVERRIDE",$C271,"DEEP_BROKER_ID_OVERRIDE",AH$24,"DEEP_PERIOD_OVERRIDE",$H$19)*1,"")))</f>
        <v/>
      </c>
      <c r="AI271" t="str">
        <f>IF(OR(AI$23="",ISNA($B271)),"",IF(ISBLANK($B271),"",IFERROR(_xll.BDP(TICKER,"DEEP_MEASURE_PERIOD_BROKER_VALUE","DEEP_MEASURE_ID_OVERRIDE",$C271,"DEEP_BROKER_ID_OVERRIDE",AI$24,"DEEP_PERIOD_OVERRIDE",$H$19)*1,"")))</f>
        <v/>
      </c>
      <c r="AJ271" t="str">
        <f>IF(OR(AJ$23="",ISNA($B271)),"",IF(ISBLANK($B271),"",IFERROR(_xll.BDP(TICKER,"DEEP_MEASURE_PERIOD_BROKER_VALUE","DEEP_MEASURE_ID_OVERRIDE",$C271,"DEEP_BROKER_ID_OVERRIDE",AJ$24,"DEEP_PERIOD_OVERRIDE",$H$19)*1,"")))</f>
        <v/>
      </c>
      <c r="AK271" t="str">
        <f>IF(OR(AK$23="",ISNA($B271)),"",IF(ISBLANK($B271),"",IFERROR(_xll.BDP(TICKER,"DEEP_MEASURE_PERIOD_BROKER_VALUE","DEEP_MEASURE_ID_OVERRIDE",$C271,"DEEP_BROKER_ID_OVERRIDE",AK$24,"DEEP_PERIOD_OVERRIDE",$H$19)*1,"")))</f>
        <v/>
      </c>
      <c r="AL271" t="str">
        <f>IF(OR(AL$23="",ISNA($B271)),"",IF(ISBLANK($B271),"",IFERROR(_xll.BDP(TICKER,"DEEP_MEASURE_PERIOD_BROKER_VALUE","DEEP_MEASURE_ID_OVERRIDE",$C271,"DEEP_BROKER_ID_OVERRIDE",AL$24,"DEEP_PERIOD_OVERRIDE",$H$19)*1,"")))</f>
        <v/>
      </c>
      <c r="AM271" t="str">
        <f>IF(OR(AM$23="",ISNA($B271)),"",IF(ISBLANK($B271),"",IFERROR(_xll.BDP(TICKER,"DEEP_MEASURE_PERIOD_BROKER_VALUE","DEEP_MEASURE_ID_OVERRIDE",$C271,"DEEP_BROKER_ID_OVERRIDE",AM$24,"DEEP_PERIOD_OVERRIDE",$H$19)*1,"")))</f>
        <v/>
      </c>
      <c r="AN271" t="str">
        <f>IF(OR(AN$23="",ISNA($B271)),"",IF(ISBLANK($B271),"",IFERROR(_xll.BDP(TICKER,"DEEP_MEASURE_PERIOD_BROKER_VALUE","DEEP_MEASURE_ID_OVERRIDE",$C271,"DEEP_BROKER_ID_OVERRIDE",AN$24,"DEEP_PERIOD_OVERRIDE",$H$19)*1,"")))</f>
        <v/>
      </c>
      <c r="AO271" t="str">
        <f>IF(OR(AO$23="",ISNA($B271)),"",IF(ISBLANK($B271),"",IFERROR(_xll.BDP(TICKER,"DEEP_MEASURE_PERIOD_BROKER_VALUE","DEEP_MEASURE_ID_OVERRIDE",$C271,"DEEP_BROKER_ID_OVERRIDE",AO$24,"DEEP_PERIOD_OVERRIDE",$H$19)*1,"")))</f>
        <v/>
      </c>
      <c r="AP271" t="str">
        <f>IF(OR(AP$23="",ISNA($B271)),"",IF(ISBLANK($B271),"",IFERROR(_xll.BDP(TICKER,"DEEP_MEASURE_PERIOD_BROKER_VALUE","DEEP_MEASURE_ID_OVERRIDE",$C271,"DEEP_BROKER_ID_OVERRIDE",AP$24,"DEEP_PERIOD_OVERRIDE",$H$19)*1,"")))</f>
        <v/>
      </c>
      <c r="AQ271" t="str">
        <f>IF(OR(AQ$23="",ISNA($B271)),"",IF(ISBLANK($B271),"",IFERROR(_xll.BDP(TICKER,"DEEP_MEASURE_PERIOD_BROKER_VALUE","DEEP_MEASURE_ID_OVERRIDE",$C271,"DEEP_BROKER_ID_OVERRIDE",AQ$24,"DEEP_PERIOD_OVERRIDE",$H$19)*1,"")))</f>
        <v/>
      </c>
      <c r="AR271" t="str">
        <f>IF(OR(AR$23="",ISNA($B271)),"",IF(ISBLANK($B271),"",IFERROR(_xll.BDP(TICKER,"DEEP_MEASURE_PERIOD_BROKER_VALUE","DEEP_MEASURE_ID_OVERRIDE",$C271,"DEEP_BROKER_ID_OVERRIDE",AR$24,"DEEP_PERIOD_OVERRIDE",$H$19)*1,"")))</f>
        <v/>
      </c>
      <c r="AS271" t="str">
        <f>IF(OR(AS$23="",ISNA($B271)),"",IF(ISBLANK($B271),"",IFERROR(_xll.BDP(TICKER,"DEEP_MEASURE_PERIOD_BROKER_VALUE","DEEP_MEASURE_ID_OVERRIDE",$C271,"DEEP_BROKER_ID_OVERRIDE",AS$24,"DEEP_PERIOD_OVERRIDE",$H$19)*1,"")))</f>
        <v/>
      </c>
      <c r="AT271" t="str">
        <f>IF(OR(AT$23="",ISNA($B271)),"",IF(ISBLANK($B271),"",IFERROR(_xll.BDP(TICKER,"DEEP_MEASURE_PERIOD_BROKER_VALUE","DEEP_MEASURE_ID_OVERRIDE",$C271,"DEEP_BROKER_ID_OVERRIDE",AT$24,"DEEP_PERIOD_OVERRIDE",$H$19)*1,"")))</f>
        <v/>
      </c>
      <c r="AU271" t="str">
        <f>IF(OR(AU$23="",ISNA($B271)),"",IF(ISBLANK($B271),"",IFERROR(_xll.BDP(TICKER,"DEEP_MEASURE_PERIOD_BROKER_VALUE","DEEP_MEASURE_ID_OVERRIDE",$C271,"DEEP_BROKER_ID_OVERRIDE",AU$24,"DEEP_PERIOD_OVERRIDE",$H$19)*1,"")))</f>
        <v/>
      </c>
      <c r="AV271" t="str">
        <f>IF(OR(AV$23="",ISNA($B271)),"",IF(ISBLANK($B271),"",IFERROR(_xll.BDP(TICKER,"DEEP_MEASURE_PERIOD_BROKER_VALUE","DEEP_MEASURE_ID_OVERRIDE",$C271,"DEEP_BROKER_ID_OVERRIDE",AV$24,"DEEP_PERIOD_OVERRIDE",$H$19)*1,"")))</f>
        <v/>
      </c>
      <c r="AW271" t="str">
        <f>IF(OR(AW$23="",ISNA($B271)),"",IF(ISBLANK($B271),"",IFERROR(_xll.BDP(TICKER,"DEEP_MEASURE_PERIOD_BROKER_VALUE","DEEP_MEASURE_ID_OVERRIDE",$C271,"DEEP_BROKER_ID_OVERRIDE",AW$24,"DEEP_PERIOD_OVERRIDE",$H$19)*1,"")))</f>
        <v/>
      </c>
      <c r="AX271" t="str">
        <f>IF(OR(AX$23="",ISNA($B271)),"",IF(ISBLANK($B271),"",IFERROR(_xll.BDP(TICKER,"DEEP_MEASURE_PERIOD_BROKER_VALUE","DEEP_MEASURE_ID_OVERRIDE",$C271,"DEEP_BROKER_ID_OVERRIDE",AX$24,"DEEP_PERIOD_OVERRIDE",$H$19)*1,"")))</f>
        <v/>
      </c>
      <c r="AY271" t="str">
        <f>IF(OR(AY$23="",ISNA($B271)),"",IF(ISBLANK($B271),"",IFERROR(_xll.BDP(TICKER,"DEEP_MEASURE_PERIOD_BROKER_VALUE","DEEP_MEASURE_ID_OVERRIDE",$C271,"DEEP_BROKER_ID_OVERRIDE",AY$24,"DEEP_PERIOD_OVERRIDE",$H$19)*1,"")))</f>
        <v/>
      </c>
      <c r="AZ271" t="str">
        <f>IF(OR(AZ$23="",ISNA($B271)),"",IF(ISBLANK($B271),"",IFERROR(_xll.BDP(TICKER,"DEEP_MEASURE_PERIOD_BROKER_VALUE","DEEP_MEASURE_ID_OVERRIDE",$C271,"DEEP_BROKER_ID_OVERRIDE",AZ$24,"DEEP_PERIOD_OVERRIDE",$H$19)*1,"")))</f>
        <v/>
      </c>
      <c r="BA271" t="str">
        <f>IF(OR(BA$23="",ISNA($B271)),"",IF(ISBLANK($B271),"",IFERROR(_xll.BDP(TICKER,"DEEP_MEASURE_PERIOD_BROKER_VALUE","DEEP_MEASURE_ID_OVERRIDE",$C271,"DEEP_BROKER_ID_OVERRIDE",BA$24,"DEEP_PERIOD_OVERRIDE",$H$19)*1,"")))</f>
        <v/>
      </c>
      <c r="BB271" t="str">
        <f>IF(OR(BB$23="",ISNA($B271)),"",IF(ISBLANK($B271),"",IFERROR(_xll.BDP(TICKER,"DEEP_MEASURE_PERIOD_BROKER_VALUE","DEEP_MEASURE_ID_OVERRIDE",$C271,"DEEP_BROKER_ID_OVERRIDE",BB$24,"DEEP_PERIOD_OVERRIDE",$H$19)*1,"")))</f>
        <v/>
      </c>
      <c r="BC271" t="str">
        <f>IF(OR(BC$23="",ISNA($B271)),"",IF(ISBLANK($B271),"",IFERROR(_xll.BDP(TICKER,"DEEP_MEASURE_PERIOD_BROKER_VALUE","DEEP_MEASURE_ID_OVERRIDE",$C271,"DEEP_BROKER_ID_OVERRIDE",BC$24,"DEEP_PERIOD_OVERRIDE",$H$19)*1,"")))</f>
        <v/>
      </c>
      <c r="BD271" t="str">
        <f>IF(OR(BD$23="",ISNA($B271)),"",IF(ISBLANK($B271),"",IFERROR(_xll.BDP(TICKER,"DEEP_MEASURE_PERIOD_BROKER_VALUE","DEEP_MEASURE_ID_OVERRIDE",$C271,"DEEP_BROKER_ID_OVERRIDE",BD$24,"DEEP_PERIOD_OVERRIDE",$H$19)*1,"")))</f>
        <v/>
      </c>
      <c r="BE271" t="str">
        <f>IF(OR(BE$23="",ISNA($B271)),"",IF(ISBLANK($B271),"",IFERROR(_xll.BDP(TICKER,"DEEP_MEASURE_PERIOD_BROKER_VALUE","DEEP_MEASURE_ID_OVERRIDE",$C271,"DEEP_BROKER_ID_OVERRIDE",BE$24,"DEEP_PERIOD_OVERRIDE",$H$19)*1,"")))</f>
        <v/>
      </c>
      <c r="BF271" t="str">
        <f>IF(OR(BF$23="",ISNA($B271)),"",IF(ISBLANK($B271),"",IFERROR(_xll.BDP(TICKER,"DEEP_MEASURE_PERIOD_BROKER_VALUE","DEEP_MEASURE_ID_OVERRIDE",$C271,"DEEP_BROKER_ID_OVERRIDE",BF$24,"DEEP_PERIOD_OVERRIDE",$H$19)*1,"")))</f>
        <v/>
      </c>
      <c r="BG271" t="str">
        <f>IF(OR(BG$23="",ISNA($B271)),"",IF(ISBLANK($B271),"",IFERROR(_xll.BDP(TICKER,"DEEP_MEASURE_PERIOD_BROKER_VALUE","DEEP_MEASURE_ID_OVERRIDE",$C271,"DEEP_BROKER_ID_OVERRIDE",BG$24,"DEEP_PERIOD_OVERRIDE",$H$19)*1,"")))</f>
        <v/>
      </c>
      <c r="BH271" t="str">
        <f>IF(OR(BH$23="",ISNA($B271)),"",IF(ISBLANK($B271),"",IFERROR(_xll.BDP(TICKER,"DEEP_MEASURE_PERIOD_BROKER_VALUE","DEEP_MEASURE_ID_OVERRIDE",$C271,"DEEP_BROKER_ID_OVERRIDE",BH$24,"DEEP_PERIOD_OVERRIDE",$H$19)*1,"")))</f>
        <v/>
      </c>
      <c r="BI271" t="str">
        <f>IF(OR(BI$23="",ISNA($B271)),"",IF(ISBLANK($B271),"",IFERROR(_xll.BDP(TICKER,"DEEP_MEASURE_PERIOD_BROKER_VALUE","DEEP_MEASURE_ID_OVERRIDE",$C271,"DEEP_BROKER_ID_OVERRIDE",BI$24,"DEEP_PERIOD_OVERRIDE",$H$19)*1,"")))</f>
        <v/>
      </c>
      <c r="BJ271" t="str">
        <f>IF(OR(BJ$23="",ISNA($B271)),"",IF(ISBLANK($B271),"",IFERROR(_xll.BDP(TICKER,"DEEP_MEASURE_PERIOD_BROKER_VALUE","DEEP_MEASURE_ID_OVERRIDE",$C271,"DEEP_BROKER_ID_OVERRIDE",BJ$24,"DEEP_PERIOD_OVERRIDE",$H$19)*1,"")))</f>
        <v/>
      </c>
      <c r="BK271" t="str">
        <f>IF(OR(BK$23="",ISNA($B271)),"",IF(ISBLANK($B271),"",IFERROR(_xll.BDP(TICKER,"DEEP_MEASURE_PERIOD_BROKER_VALUE","DEEP_MEASURE_ID_OVERRIDE",$C271,"DEEP_BROKER_ID_OVERRIDE",BK$24,"DEEP_PERIOD_OVERRIDE",$H$19)*1,"")))</f>
        <v/>
      </c>
      <c r="BL271" t="str">
        <f>IF(OR(BL$23="",ISNA($B271)),"",IF(ISBLANK($B271),"",IFERROR(_xll.BDP(TICKER,"DEEP_MEASURE_PERIOD_BROKER_VALUE","DEEP_MEASURE_ID_OVERRIDE",$C271,"DEEP_BROKER_ID_OVERRIDE",BL$24,"DEEP_PERIOD_OVERRIDE",$H$19)*1,"")))</f>
        <v/>
      </c>
      <c r="BM271" t="str">
        <f>IF(OR(BM$23="",ISNA($B271)),"",IF(ISBLANK($B271),"",IFERROR(_xll.BDP(TICKER,"DEEP_MEASURE_PERIOD_BROKER_VALUE","DEEP_MEASURE_ID_OVERRIDE",$C271,"DEEP_BROKER_ID_OVERRIDE",BM$24,"DEEP_PERIOD_OVERRIDE",$H$19)*1,"")))</f>
        <v/>
      </c>
      <c r="BN271" t="str">
        <f>IF(OR(BN$23="",ISNA($B271)),"",IF(ISBLANK($B271),"",IFERROR(_xll.BDP(TICKER,"DEEP_MEASURE_PERIOD_BROKER_VALUE","DEEP_MEASURE_ID_OVERRIDE",$C271,"DEEP_BROKER_ID_OVERRIDE",BN$24,"DEEP_PERIOD_OVERRIDE",$H$19)*1,"")))</f>
        <v/>
      </c>
      <c r="BO271" t="str">
        <f>IF(OR(BO$23="",ISNA($B271)),"",IF(ISBLANK($B271),"",IFERROR(_xll.BDP(TICKER,"DEEP_MEASURE_PERIOD_BROKER_VALUE","DEEP_MEASURE_ID_OVERRIDE",$C271,"DEEP_BROKER_ID_OVERRIDE",BO$24,"DEEP_PERIOD_OVERRIDE",$H$19)*1,"")))</f>
        <v/>
      </c>
      <c r="BP271" t="str">
        <f>IF(OR(BP$23="",ISNA($B271)),"",IF(ISBLANK($B271),"",IFERROR(_xll.BDP(TICKER,"DEEP_MEASURE_PERIOD_BROKER_VALUE","DEEP_MEASURE_ID_OVERRIDE",$C271,"DEEP_BROKER_ID_OVERRIDE",BP$24,"DEEP_PERIOD_OVERRIDE",$H$19)*1,"")))</f>
        <v/>
      </c>
      <c r="BQ271" t="str">
        <f>IF(OR(BQ$23="",ISNA($B271)),"",IF(ISBLANK($B271),"",IFERROR(_xll.BDP(TICKER,"DEEP_MEASURE_PERIOD_BROKER_VALUE","DEEP_MEASURE_ID_OVERRIDE",$C271,"DEEP_BROKER_ID_OVERRIDE",BQ$24,"DEEP_PERIOD_OVERRIDE",$H$19)*1,"")))</f>
        <v/>
      </c>
      <c r="BR271" t="str">
        <f>IF(OR(BR$23="",ISNA($B271)),"",IF(ISBLANK($B271),"",IFERROR(_xll.BDP(TICKER,"DEEP_MEASURE_PERIOD_BROKER_VALUE","DEEP_MEASURE_ID_OVERRIDE",$C271,"DEEP_BROKER_ID_OVERRIDE",BR$24,"DEEP_PERIOD_OVERRIDE",$H$19)*1,"")))</f>
        <v/>
      </c>
      <c r="BS271" t="str">
        <f>IF(OR(BS$23="",ISNA($B271)),"",IF(ISBLANK($B271),"",IFERROR(_xll.BDP(TICKER,"DEEP_MEASURE_PERIOD_BROKER_VALUE","DEEP_MEASURE_ID_OVERRIDE",$C271,"DEEP_BROKER_ID_OVERRIDE",BS$24,"DEEP_PERIOD_OVERRIDE",$H$19)*1,"")))</f>
        <v/>
      </c>
      <c r="BT271" t="str">
        <f>IF(OR(BT$23="",ISNA($B271)),"",IF(ISBLANK($B271),"",IFERROR(_xll.BDP(TICKER,"DEEP_MEASURE_PERIOD_BROKER_VALUE","DEEP_MEASURE_ID_OVERRIDE",$C271,"DEEP_BROKER_ID_OVERRIDE",BT$24,"DEEP_PERIOD_OVERRIDE",$H$19)*1,"")))</f>
        <v/>
      </c>
      <c r="BU271" t="str">
        <f>IF(OR(BU$23="",ISNA($B271)),"",IF(ISBLANK($B271),"",IFERROR(_xll.BDP(TICKER,"DEEP_MEASURE_PERIOD_BROKER_VALUE","DEEP_MEASURE_ID_OVERRIDE",$C271,"DEEP_BROKER_ID_OVERRIDE",BU$24,"DEEP_PERIOD_OVERRIDE",$H$19)*1,"")))</f>
        <v/>
      </c>
      <c r="BV271" t="str">
        <f>IF(OR(BV$23="",ISNA($B271)),"",IF(ISBLANK($B271),"",IFERROR(_xll.BDP(TICKER,"DEEP_MEASURE_PERIOD_BROKER_VALUE","DEEP_MEASURE_ID_OVERRIDE",$C271,"DEEP_BROKER_ID_OVERRIDE",BV$24,"DEEP_PERIOD_OVERRIDE",$H$19)*1,"")))</f>
        <v/>
      </c>
      <c r="BW271" t="str">
        <f>IF(OR(BW$23="",ISNA($B271)),"",IF(ISBLANK($B271),"",IFERROR(_xll.BDP(TICKER,"DEEP_MEASURE_PERIOD_BROKER_VALUE","DEEP_MEASURE_ID_OVERRIDE",$C271,"DEEP_BROKER_ID_OVERRIDE",BW$24,"DEEP_PERIOD_OVERRIDE",$H$19)*1,"")))</f>
        <v/>
      </c>
      <c r="BX271" t="str">
        <f>IF(OR(BX$23="",ISNA($B271)),"",IF(ISBLANK($B271),"",IFERROR(_xll.BDP(TICKER,"DEEP_MEASURE_PERIOD_BROKER_VALUE","DEEP_MEASURE_ID_OVERRIDE",$C271,"DEEP_BROKER_ID_OVERRIDE",BX$24,"DEEP_PERIOD_OVERRIDE",$H$19)*1,"")))</f>
        <v/>
      </c>
      <c r="BY271" t="str">
        <f>IF(OR(BY$23="",ISNA($B271)),"",IF(ISBLANK($B271),"",IFERROR(_xll.BDP(TICKER,"DEEP_MEASURE_PERIOD_BROKER_VALUE","DEEP_MEASURE_ID_OVERRIDE",$C271,"DEEP_BROKER_ID_OVERRIDE",BY$24,"DEEP_PERIOD_OVERRIDE",$H$19)*1,"")))</f>
        <v/>
      </c>
      <c r="BZ271" t="str">
        <f>IF(OR(BZ$23="",ISNA($B271)),"",IF(ISBLANK($B271),"",IFERROR(_xll.BDP(TICKER,"DEEP_MEASURE_PERIOD_BROKER_VALUE","DEEP_MEASURE_ID_OVERRIDE",$C271,"DEEP_BROKER_ID_OVERRIDE",BZ$24,"DEEP_PERIOD_OVERRIDE",$H$19)*1,"")))</f>
        <v/>
      </c>
    </row>
    <row r="272" spans="8:78" x14ac:dyDescent="0.25">
      <c r="H272" t="str">
        <f t="shared" si="4"/>
        <v/>
      </c>
      <c r="I272" t="str">
        <f>IF(OR(I$23="",ISNA($B272)),"",IF(ISBLANK($B272),"",IFERROR(_xll.BDP(TICKER,"DEEP_MEASURE_PERIOD_BROKER_VALUE","DEEP_MEASURE_ID_OVERRIDE",$C272,"DEEP_PERIOD_OVERRIDE",$H$19)*1,"")))</f>
        <v/>
      </c>
      <c r="J272" t="e">
        <f>IF(OR(J$23="",ISNA($B272)),"",IF(ISBLANK($B272),"",IFERROR(_xll.BDP(TICKER,"DEEP_MEASURE_PERIOD_BROKER_VALUE","DEEP_MEASURE_ID_OVERRIDE",$C272,"DEEP_BROKER_ID_OVERRIDE",J$24,"DEEP_PERIOD_OVERRIDE",$H$19)*1,"")))</f>
        <v>#REF!</v>
      </c>
      <c r="K272" t="str">
        <f>IF(OR(K$23="",ISNA($B272)),"",IF(ISBLANK($B272),"",IFERROR(_xll.BDP(TICKER,"DEEP_MEASURE_PERIOD_BROKER_VALUE","DEEP_MEASURE_ID_OVERRIDE",$C272,"DEEP_BROKER_ID_OVERRIDE",K$24,"DEEP_PERIOD_OVERRIDE",$H$19)*1,"")))</f>
        <v/>
      </c>
      <c r="L272" t="str">
        <f>IF(OR(L$23="",ISNA($B272)),"",IF(ISBLANK($B272),"",IFERROR(_xll.BDP(TICKER,"DEEP_MEASURE_PERIOD_BROKER_VALUE","DEEP_MEASURE_ID_OVERRIDE",$C272,"DEEP_BROKER_ID_OVERRIDE",L$24,"DEEP_PERIOD_OVERRIDE",$H$19)*1,"")))</f>
        <v/>
      </c>
      <c r="M272" t="str">
        <f>IF(OR(M$23="",ISNA($B272)),"",IF(ISBLANK($B272),"",IFERROR(_xll.BDP(TICKER,"DEEP_MEASURE_PERIOD_BROKER_VALUE","DEEP_MEASURE_ID_OVERRIDE",$C272,"DEEP_BROKER_ID_OVERRIDE",M$24,"DEEP_PERIOD_OVERRIDE",$H$19)*1,"")))</f>
        <v/>
      </c>
      <c r="N272" t="str">
        <f>IF(OR(N$23="",ISNA($B272)),"",IF(ISBLANK($B272),"",IFERROR(_xll.BDP(TICKER,"DEEP_MEASURE_PERIOD_BROKER_VALUE","DEEP_MEASURE_ID_OVERRIDE",$C272,"DEEP_BROKER_ID_OVERRIDE",N$24,"DEEP_PERIOD_OVERRIDE",$H$19)*1,"")))</f>
        <v/>
      </c>
      <c r="O272" t="str">
        <f>IF(OR(O$23="",ISNA($B272)),"",IF(ISBLANK($B272),"",IFERROR(_xll.BDP(TICKER,"DEEP_MEASURE_PERIOD_BROKER_VALUE","DEEP_MEASURE_ID_OVERRIDE",$C272,"DEEP_BROKER_ID_OVERRIDE",O$24,"DEEP_PERIOD_OVERRIDE",$H$19)*1,"")))</f>
        <v/>
      </c>
      <c r="P272" t="str">
        <f>IF(OR(P$23="",ISNA($B272)),"",IF(ISBLANK($B272),"",IFERROR(_xll.BDP(TICKER,"DEEP_MEASURE_PERIOD_BROKER_VALUE","DEEP_MEASURE_ID_OVERRIDE",$C272,"DEEP_BROKER_ID_OVERRIDE",P$24,"DEEP_PERIOD_OVERRIDE",$H$19)*1,"")))</f>
        <v/>
      </c>
      <c r="Q272" t="str">
        <f>IF(OR(Q$23="",ISNA($B272)),"",IF(ISBLANK($B272),"",IFERROR(_xll.BDP(TICKER,"DEEP_MEASURE_PERIOD_BROKER_VALUE","DEEP_MEASURE_ID_OVERRIDE",$C272,"DEEP_BROKER_ID_OVERRIDE",Q$24,"DEEP_PERIOD_OVERRIDE",$H$19)*1,"")))</f>
        <v/>
      </c>
      <c r="R272" t="str">
        <f>IF(OR(R$23="",ISNA($B272)),"",IF(ISBLANK($B272),"",IFERROR(_xll.BDP(TICKER,"DEEP_MEASURE_PERIOD_BROKER_VALUE","DEEP_MEASURE_ID_OVERRIDE",$C272,"DEEP_BROKER_ID_OVERRIDE",R$24,"DEEP_PERIOD_OVERRIDE",$H$19)*1,"")))</f>
        <v/>
      </c>
      <c r="S272" t="str">
        <f>IF(OR(S$23="",ISNA($B272)),"",IF(ISBLANK($B272),"",IFERROR(_xll.BDP(TICKER,"DEEP_MEASURE_PERIOD_BROKER_VALUE","DEEP_MEASURE_ID_OVERRIDE",$C272,"DEEP_BROKER_ID_OVERRIDE",S$24,"DEEP_PERIOD_OVERRIDE",$H$19)*1,"")))</f>
        <v/>
      </c>
      <c r="T272" t="str">
        <f>IF(OR(T$23="",ISNA($B272)),"",IF(ISBLANK($B272),"",IFERROR(_xll.BDP(TICKER,"DEEP_MEASURE_PERIOD_BROKER_VALUE","DEEP_MEASURE_ID_OVERRIDE",$C272,"DEEP_BROKER_ID_OVERRIDE",T$24,"DEEP_PERIOD_OVERRIDE",$H$19)*1,"")))</f>
        <v/>
      </c>
      <c r="U272" t="str">
        <f>IF(OR(U$23="",ISNA($B272)),"",IF(ISBLANK($B272),"",IFERROR(_xll.BDP(TICKER,"DEEP_MEASURE_PERIOD_BROKER_VALUE","DEEP_MEASURE_ID_OVERRIDE",$C272,"DEEP_BROKER_ID_OVERRIDE",U$24,"DEEP_PERIOD_OVERRIDE",$H$19)*1,"")))</f>
        <v/>
      </c>
      <c r="V272" t="str">
        <f>IF(OR(V$23="",ISNA($B272)),"",IF(ISBLANK($B272),"",IFERROR(_xll.BDP(TICKER,"DEEP_MEASURE_PERIOD_BROKER_VALUE","DEEP_MEASURE_ID_OVERRIDE",$C272,"DEEP_BROKER_ID_OVERRIDE",V$24,"DEEP_PERIOD_OVERRIDE",$H$19)*1,"")))</f>
        <v/>
      </c>
      <c r="W272" t="str">
        <f>IF(OR(W$23="",ISNA($B272)),"",IF(ISBLANK($B272),"",IFERROR(_xll.BDP(TICKER,"DEEP_MEASURE_PERIOD_BROKER_VALUE","DEEP_MEASURE_ID_OVERRIDE",$C272,"DEEP_BROKER_ID_OVERRIDE",W$24,"DEEP_PERIOD_OVERRIDE",$H$19)*1,"")))</f>
        <v/>
      </c>
      <c r="X272" t="str">
        <f>IF(OR(X$23="",ISNA($B272)),"",IF(ISBLANK($B272),"",IFERROR(_xll.BDP(TICKER,"DEEP_MEASURE_PERIOD_BROKER_VALUE","DEEP_MEASURE_ID_OVERRIDE",$C272,"DEEP_BROKER_ID_OVERRIDE",X$24,"DEEP_PERIOD_OVERRIDE",$H$19)*1,"")))</f>
        <v/>
      </c>
      <c r="Y272" t="str">
        <f>IF(OR(Y$23="",ISNA($B272)),"",IF(ISBLANK($B272),"",IFERROR(_xll.BDP(TICKER,"DEEP_MEASURE_PERIOD_BROKER_VALUE","DEEP_MEASURE_ID_OVERRIDE",$C272,"DEEP_BROKER_ID_OVERRIDE",Y$24,"DEEP_PERIOD_OVERRIDE",$H$19)*1,"")))</f>
        <v/>
      </c>
      <c r="Z272" t="str">
        <f>IF(OR(Z$23="",ISNA($B272)),"",IF(ISBLANK($B272),"",IFERROR(_xll.BDP(TICKER,"DEEP_MEASURE_PERIOD_BROKER_VALUE","DEEP_MEASURE_ID_OVERRIDE",$C272,"DEEP_BROKER_ID_OVERRIDE",Z$24,"DEEP_PERIOD_OVERRIDE",$H$19)*1,"")))</f>
        <v/>
      </c>
      <c r="AA272" t="str">
        <f>IF(OR(AA$23="",ISNA($B272)),"",IF(ISBLANK($B272),"",IFERROR(_xll.BDP(TICKER,"DEEP_MEASURE_PERIOD_BROKER_VALUE","DEEP_MEASURE_ID_OVERRIDE",$C272,"DEEP_BROKER_ID_OVERRIDE",AA$24,"DEEP_PERIOD_OVERRIDE",$H$19)*1,"")))</f>
        <v/>
      </c>
      <c r="AB272" t="str">
        <f>IF(OR(AB$23="",ISNA($B272)),"",IF(ISBLANK($B272),"",IFERROR(_xll.BDP(TICKER,"DEEP_MEASURE_PERIOD_BROKER_VALUE","DEEP_MEASURE_ID_OVERRIDE",$C272,"DEEP_BROKER_ID_OVERRIDE",AB$24,"DEEP_PERIOD_OVERRIDE",$H$19)*1,"")))</f>
        <v/>
      </c>
      <c r="AC272" t="str">
        <f>IF(OR(AC$23="",ISNA($B272)),"",IF(ISBLANK($B272),"",IFERROR(_xll.BDP(TICKER,"DEEP_MEASURE_PERIOD_BROKER_VALUE","DEEP_MEASURE_ID_OVERRIDE",$C272,"DEEP_BROKER_ID_OVERRIDE",AC$24,"DEEP_PERIOD_OVERRIDE",$H$19)*1,"")))</f>
        <v/>
      </c>
      <c r="AD272" t="str">
        <f>IF(OR(AD$23="",ISNA($B272)),"",IF(ISBLANK($B272),"",IFERROR(_xll.BDP(TICKER,"DEEP_MEASURE_PERIOD_BROKER_VALUE","DEEP_MEASURE_ID_OVERRIDE",$C272,"DEEP_BROKER_ID_OVERRIDE",AD$24,"DEEP_PERIOD_OVERRIDE",$H$19)*1,"")))</f>
        <v/>
      </c>
      <c r="AE272" t="str">
        <f>IF(OR(AE$23="",ISNA($B272)),"",IF(ISBLANK($B272),"",IFERROR(_xll.BDP(TICKER,"DEEP_MEASURE_PERIOD_BROKER_VALUE","DEEP_MEASURE_ID_OVERRIDE",$C272,"DEEP_BROKER_ID_OVERRIDE",AE$24,"DEEP_PERIOD_OVERRIDE",$H$19)*1,"")))</f>
        <v/>
      </c>
      <c r="AF272" t="str">
        <f>IF(OR(AF$23="",ISNA($B272)),"",IF(ISBLANK($B272),"",IFERROR(_xll.BDP(TICKER,"DEEP_MEASURE_PERIOD_BROKER_VALUE","DEEP_MEASURE_ID_OVERRIDE",$C272,"DEEP_BROKER_ID_OVERRIDE",AF$24,"DEEP_PERIOD_OVERRIDE",$H$19)*1,"")))</f>
        <v/>
      </c>
      <c r="AG272" t="str">
        <f>IF(OR(AG$23="",ISNA($B272)),"",IF(ISBLANK($B272),"",IFERROR(_xll.BDP(TICKER,"DEEP_MEASURE_PERIOD_BROKER_VALUE","DEEP_MEASURE_ID_OVERRIDE",$C272,"DEEP_BROKER_ID_OVERRIDE",AG$24,"DEEP_PERIOD_OVERRIDE",$H$19)*1,"")))</f>
        <v/>
      </c>
      <c r="AH272" t="str">
        <f>IF(OR(AH$23="",ISNA($B272)),"",IF(ISBLANK($B272),"",IFERROR(_xll.BDP(TICKER,"DEEP_MEASURE_PERIOD_BROKER_VALUE","DEEP_MEASURE_ID_OVERRIDE",$C272,"DEEP_BROKER_ID_OVERRIDE",AH$24,"DEEP_PERIOD_OVERRIDE",$H$19)*1,"")))</f>
        <v/>
      </c>
      <c r="AI272" t="str">
        <f>IF(OR(AI$23="",ISNA($B272)),"",IF(ISBLANK($B272),"",IFERROR(_xll.BDP(TICKER,"DEEP_MEASURE_PERIOD_BROKER_VALUE","DEEP_MEASURE_ID_OVERRIDE",$C272,"DEEP_BROKER_ID_OVERRIDE",AI$24,"DEEP_PERIOD_OVERRIDE",$H$19)*1,"")))</f>
        <v/>
      </c>
      <c r="AJ272" t="str">
        <f>IF(OR(AJ$23="",ISNA($B272)),"",IF(ISBLANK($B272),"",IFERROR(_xll.BDP(TICKER,"DEEP_MEASURE_PERIOD_BROKER_VALUE","DEEP_MEASURE_ID_OVERRIDE",$C272,"DEEP_BROKER_ID_OVERRIDE",AJ$24,"DEEP_PERIOD_OVERRIDE",$H$19)*1,"")))</f>
        <v/>
      </c>
      <c r="AK272" t="str">
        <f>IF(OR(AK$23="",ISNA($B272)),"",IF(ISBLANK($B272),"",IFERROR(_xll.BDP(TICKER,"DEEP_MEASURE_PERIOD_BROKER_VALUE","DEEP_MEASURE_ID_OVERRIDE",$C272,"DEEP_BROKER_ID_OVERRIDE",AK$24,"DEEP_PERIOD_OVERRIDE",$H$19)*1,"")))</f>
        <v/>
      </c>
      <c r="AL272" t="str">
        <f>IF(OR(AL$23="",ISNA($B272)),"",IF(ISBLANK($B272),"",IFERROR(_xll.BDP(TICKER,"DEEP_MEASURE_PERIOD_BROKER_VALUE","DEEP_MEASURE_ID_OVERRIDE",$C272,"DEEP_BROKER_ID_OVERRIDE",AL$24,"DEEP_PERIOD_OVERRIDE",$H$19)*1,"")))</f>
        <v/>
      </c>
      <c r="AM272" t="str">
        <f>IF(OR(AM$23="",ISNA($B272)),"",IF(ISBLANK($B272),"",IFERROR(_xll.BDP(TICKER,"DEEP_MEASURE_PERIOD_BROKER_VALUE","DEEP_MEASURE_ID_OVERRIDE",$C272,"DEEP_BROKER_ID_OVERRIDE",AM$24,"DEEP_PERIOD_OVERRIDE",$H$19)*1,"")))</f>
        <v/>
      </c>
      <c r="AN272" t="str">
        <f>IF(OR(AN$23="",ISNA($B272)),"",IF(ISBLANK($B272),"",IFERROR(_xll.BDP(TICKER,"DEEP_MEASURE_PERIOD_BROKER_VALUE","DEEP_MEASURE_ID_OVERRIDE",$C272,"DEEP_BROKER_ID_OVERRIDE",AN$24,"DEEP_PERIOD_OVERRIDE",$H$19)*1,"")))</f>
        <v/>
      </c>
      <c r="AO272" t="str">
        <f>IF(OR(AO$23="",ISNA($B272)),"",IF(ISBLANK($B272),"",IFERROR(_xll.BDP(TICKER,"DEEP_MEASURE_PERIOD_BROKER_VALUE","DEEP_MEASURE_ID_OVERRIDE",$C272,"DEEP_BROKER_ID_OVERRIDE",AO$24,"DEEP_PERIOD_OVERRIDE",$H$19)*1,"")))</f>
        <v/>
      </c>
      <c r="AP272" t="str">
        <f>IF(OR(AP$23="",ISNA($B272)),"",IF(ISBLANK($B272),"",IFERROR(_xll.BDP(TICKER,"DEEP_MEASURE_PERIOD_BROKER_VALUE","DEEP_MEASURE_ID_OVERRIDE",$C272,"DEEP_BROKER_ID_OVERRIDE",AP$24,"DEEP_PERIOD_OVERRIDE",$H$19)*1,"")))</f>
        <v/>
      </c>
      <c r="AQ272" t="str">
        <f>IF(OR(AQ$23="",ISNA($B272)),"",IF(ISBLANK($B272),"",IFERROR(_xll.BDP(TICKER,"DEEP_MEASURE_PERIOD_BROKER_VALUE","DEEP_MEASURE_ID_OVERRIDE",$C272,"DEEP_BROKER_ID_OVERRIDE",AQ$24,"DEEP_PERIOD_OVERRIDE",$H$19)*1,"")))</f>
        <v/>
      </c>
      <c r="AR272" t="str">
        <f>IF(OR(AR$23="",ISNA($B272)),"",IF(ISBLANK($B272),"",IFERROR(_xll.BDP(TICKER,"DEEP_MEASURE_PERIOD_BROKER_VALUE","DEEP_MEASURE_ID_OVERRIDE",$C272,"DEEP_BROKER_ID_OVERRIDE",AR$24,"DEEP_PERIOD_OVERRIDE",$H$19)*1,"")))</f>
        <v/>
      </c>
      <c r="AS272" t="str">
        <f>IF(OR(AS$23="",ISNA($B272)),"",IF(ISBLANK($B272),"",IFERROR(_xll.BDP(TICKER,"DEEP_MEASURE_PERIOD_BROKER_VALUE","DEEP_MEASURE_ID_OVERRIDE",$C272,"DEEP_BROKER_ID_OVERRIDE",AS$24,"DEEP_PERIOD_OVERRIDE",$H$19)*1,"")))</f>
        <v/>
      </c>
      <c r="AT272" t="str">
        <f>IF(OR(AT$23="",ISNA($B272)),"",IF(ISBLANK($B272),"",IFERROR(_xll.BDP(TICKER,"DEEP_MEASURE_PERIOD_BROKER_VALUE","DEEP_MEASURE_ID_OVERRIDE",$C272,"DEEP_BROKER_ID_OVERRIDE",AT$24,"DEEP_PERIOD_OVERRIDE",$H$19)*1,"")))</f>
        <v/>
      </c>
      <c r="AU272" t="str">
        <f>IF(OR(AU$23="",ISNA($B272)),"",IF(ISBLANK($B272),"",IFERROR(_xll.BDP(TICKER,"DEEP_MEASURE_PERIOD_BROKER_VALUE","DEEP_MEASURE_ID_OVERRIDE",$C272,"DEEP_BROKER_ID_OVERRIDE",AU$24,"DEEP_PERIOD_OVERRIDE",$H$19)*1,"")))</f>
        <v/>
      </c>
      <c r="AV272" t="str">
        <f>IF(OR(AV$23="",ISNA($B272)),"",IF(ISBLANK($B272),"",IFERROR(_xll.BDP(TICKER,"DEEP_MEASURE_PERIOD_BROKER_VALUE","DEEP_MEASURE_ID_OVERRIDE",$C272,"DEEP_BROKER_ID_OVERRIDE",AV$24,"DEEP_PERIOD_OVERRIDE",$H$19)*1,"")))</f>
        <v/>
      </c>
      <c r="AW272" t="str">
        <f>IF(OR(AW$23="",ISNA($B272)),"",IF(ISBLANK($B272),"",IFERROR(_xll.BDP(TICKER,"DEEP_MEASURE_PERIOD_BROKER_VALUE","DEEP_MEASURE_ID_OVERRIDE",$C272,"DEEP_BROKER_ID_OVERRIDE",AW$24,"DEEP_PERIOD_OVERRIDE",$H$19)*1,"")))</f>
        <v/>
      </c>
      <c r="AX272" t="str">
        <f>IF(OR(AX$23="",ISNA($B272)),"",IF(ISBLANK($B272),"",IFERROR(_xll.BDP(TICKER,"DEEP_MEASURE_PERIOD_BROKER_VALUE","DEEP_MEASURE_ID_OVERRIDE",$C272,"DEEP_BROKER_ID_OVERRIDE",AX$24,"DEEP_PERIOD_OVERRIDE",$H$19)*1,"")))</f>
        <v/>
      </c>
      <c r="AY272" t="str">
        <f>IF(OR(AY$23="",ISNA($B272)),"",IF(ISBLANK($B272),"",IFERROR(_xll.BDP(TICKER,"DEEP_MEASURE_PERIOD_BROKER_VALUE","DEEP_MEASURE_ID_OVERRIDE",$C272,"DEEP_BROKER_ID_OVERRIDE",AY$24,"DEEP_PERIOD_OVERRIDE",$H$19)*1,"")))</f>
        <v/>
      </c>
      <c r="AZ272" t="str">
        <f>IF(OR(AZ$23="",ISNA($B272)),"",IF(ISBLANK($B272),"",IFERROR(_xll.BDP(TICKER,"DEEP_MEASURE_PERIOD_BROKER_VALUE","DEEP_MEASURE_ID_OVERRIDE",$C272,"DEEP_BROKER_ID_OVERRIDE",AZ$24,"DEEP_PERIOD_OVERRIDE",$H$19)*1,"")))</f>
        <v/>
      </c>
      <c r="BA272" t="str">
        <f>IF(OR(BA$23="",ISNA($B272)),"",IF(ISBLANK($B272),"",IFERROR(_xll.BDP(TICKER,"DEEP_MEASURE_PERIOD_BROKER_VALUE","DEEP_MEASURE_ID_OVERRIDE",$C272,"DEEP_BROKER_ID_OVERRIDE",BA$24,"DEEP_PERIOD_OVERRIDE",$H$19)*1,"")))</f>
        <v/>
      </c>
      <c r="BB272" t="str">
        <f>IF(OR(BB$23="",ISNA($B272)),"",IF(ISBLANK($B272),"",IFERROR(_xll.BDP(TICKER,"DEEP_MEASURE_PERIOD_BROKER_VALUE","DEEP_MEASURE_ID_OVERRIDE",$C272,"DEEP_BROKER_ID_OVERRIDE",BB$24,"DEEP_PERIOD_OVERRIDE",$H$19)*1,"")))</f>
        <v/>
      </c>
      <c r="BC272" t="str">
        <f>IF(OR(BC$23="",ISNA($B272)),"",IF(ISBLANK($B272),"",IFERROR(_xll.BDP(TICKER,"DEEP_MEASURE_PERIOD_BROKER_VALUE","DEEP_MEASURE_ID_OVERRIDE",$C272,"DEEP_BROKER_ID_OVERRIDE",BC$24,"DEEP_PERIOD_OVERRIDE",$H$19)*1,"")))</f>
        <v/>
      </c>
      <c r="BD272" t="str">
        <f>IF(OR(BD$23="",ISNA($B272)),"",IF(ISBLANK($B272),"",IFERROR(_xll.BDP(TICKER,"DEEP_MEASURE_PERIOD_BROKER_VALUE","DEEP_MEASURE_ID_OVERRIDE",$C272,"DEEP_BROKER_ID_OVERRIDE",BD$24,"DEEP_PERIOD_OVERRIDE",$H$19)*1,"")))</f>
        <v/>
      </c>
      <c r="BE272" t="str">
        <f>IF(OR(BE$23="",ISNA($B272)),"",IF(ISBLANK($B272),"",IFERROR(_xll.BDP(TICKER,"DEEP_MEASURE_PERIOD_BROKER_VALUE","DEEP_MEASURE_ID_OVERRIDE",$C272,"DEEP_BROKER_ID_OVERRIDE",BE$24,"DEEP_PERIOD_OVERRIDE",$H$19)*1,"")))</f>
        <v/>
      </c>
      <c r="BF272" t="str">
        <f>IF(OR(BF$23="",ISNA($B272)),"",IF(ISBLANK($B272),"",IFERROR(_xll.BDP(TICKER,"DEEP_MEASURE_PERIOD_BROKER_VALUE","DEEP_MEASURE_ID_OVERRIDE",$C272,"DEEP_BROKER_ID_OVERRIDE",BF$24,"DEEP_PERIOD_OVERRIDE",$H$19)*1,"")))</f>
        <v/>
      </c>
      <c r="BG272" t="str">
        <f>IF(OR(BG$23="",ISNA($B272)),"",IF(ISBLANK($B272),"",IFERROR(_xll.BDP(TICKER,"DEEP_MEASURE_PERIOD_BROKER_VALUE","DEEP_MEASURE_ID_OVERRIDE",$C272,"DEEP_BROKER_ID_OVERRIDE",BG$24,"DEEP_PERIOD_OVERRIDE",$H$19)*1,"")))</f>
        <v/>
      </c>
      <c r="BH272" t="str">
        <f>IF(OR(BH$23="",ISNA($B272)),"",IF(ISBLANK($B272),"",IFERROR(_xll.BDP(TICKER,"DEEP_MEASURE_PERIOD_BROKER_VALUE","DEEP_MEASURE_ID_OVERRIDE",$C272,"DEEP_BROKER_ID_OVERRIDE",BH$24,"DEEP_PERIOD_OVERRIDE",$H$19)*1,"")))</f>
        <v/>
      </c>
      <c r="BI272" t="str">
        <f>IF(OR(BI$23="",ISNA($B272)),"",IF(ISBLANK($B272),"",IFERROR(_xll.BDP(TICKER,"DEEP_MEASURE_PERIOD_BROKER_VALUE","DEEP_MEASURE_ID_OVERRIDE",$C272,"DEEP_BROKER_ID_OVERRIDE",BI$24,"DEEP_PERIOD_OVERRIDE",$H$19)*1,"")))</f>
        <v/>
      </c>
      <c r="BJ272" t="str">
        <f>IF(OR(BJ$23="",ISNA($B272)),"",IF(ISBLANK($B272),"",IFERROR(_xll.BDP(TICKER,"DEEP_MEASURE_PERIOD_BROKER_VALUE","DEEP_MEASURE_ID_OVERRIDE",$C272,"DEEP_BROKER_ID_OVERRIDE",BJ$24,"DEEP_PERIOD_OVERRIDE",$H$19)*1,"")))</f>
        <v/>
      </c>
      <c r="BK272" t="str">
        <f>IF(OR(BK$23="",ISNA($B272)),"",IF(ISBLANK($B272),"",IFERROR(_xll.BDP(TICKER,"DEEP_MEASURE_PERIOD_BROKER_VALUE","DEEP_MEASURE_ID_OVERRIDE",$C272,"DEEP_BROKER_ID_OVERRIDE",BK$24,"DEEP_PERIOD_OVERRIDE",$H$19)*1,"")))</f>
        <v/>
      </c>
      <c r="BL272" t="str">
        <f>IF(OR(BL$23="",ISNA($B272)),"",IF(ISBLANK($B272),"",IFERROR(_xll.BDP(TICKER,"DEEP_MEASURE_PERIOD_BROKER_VALUE","DEEP_MEASURE_ID_OVERRIDE",$C272,"DEEP_BROKER_ID_OVERRIDE",BL$24,"DEEP_PERIOD_OVERRIDE",$H$19)*1,"")))</f>
        <v/>
      </c>
      <c r="BM272" t="str">
        <f>IF(OR(BM$23="",ISNA($B272)),"",IF(ISBLANK($B272),"",IFERROR(_xll.BDP(TICKER,"DEEP_MEASURE_PERIOD_BROKER_VALUE","DEEP_MEASURE_ID_OVERRIDE",$C272,"DEEP_BROKER_ID_OVERRIDE",BM$24,"DEEP_PERIOD_OVERRIDE",$H$19)*1,"")))</f>
        <v/>
      </c>
      <c r="BN272" t="str">
        <f>IF(OR(BN$23="",ISNA($B272)),"",IF(ISBLANK($B272),"",IFERROR(_xll.BDP(TICKER,"DEEP_MEASURE_PERIOD_BROKER_VALUE","DEEP_MEASURE_ID_OVERRIDE",$C272,"DEEP_BROKER_ID_OVERRIDE",BN$24,"DEEP_PERIOD_OVERRIDE",$H$19)*1,"")))</f>
        <v/>
      </c>
      <c r="BO272" t="str">
        <f>IF(OR(BO$23="",ISNA($B272)),"",IF(ISBLANK($B272),"",IFERROR(_xll.BDP(TICKER,"DEEP_MEASURE_PERIOD_BROKER_VALUE","DEEP_MEASURE_ID_OVERRIDE",$C272,"DEEP_BROKER_ID_OVERRIDE",BO$24,"DEEP_PERIOD_OVERRIDE",$H$19)*1,"")))</f>
        <v/>
      </c>
      <c r="BP272" t="str">
        <f>IF(OR(BP$23="",ISNA($B272)),"",IF(ISBLANK($B272),"",IFERROR(_xll.BDP(TICKER,"DEEP_MEASURE_PERIOD_BROKER_VALUE","DEEP_MEASURE_ID_OVERRIDE",$C272,"DEEP_BROKER_ID_OVERRIDE",BP$24,"DEEP_PERIOD_OVERRIDE",$H$19)*1,"")))</f>
        <v/>
      </c>
      <c r="BQ272" t="str">
        <f>IF(OR(BQ$23="",ISNA($B272)),"",IF(ISBLANK($B272),"",IFERROR(_xll.BDP(TICKER,"DEEP_MEASURE_PERIOD_BROKER_VALUE","DEEP_MEASURE_ID_OVERRIDE",$C272,"DEEP_BROKER_ID_OVERRIDE",BQ$24,"DEEP_PERIOD_OVERRIDE",$H$19)*1,"")))</f>
        <v/>
      </c>
      <c r="BR272" t="str">
        <f>IF(OR(BR$23="",ISNA($B272)),"",IF(ISBLANK($B272),"",IFERROR(_xll.BDP(TICKER,"DEEP_MEASURE_PERIOD_BROKER_VALUE","DEEP_MEASURE_ID_OVERRIDE",$C272,"DEEP_BROKER_ID_OVERRIDE",BR$24,"DEEP_PERIOD_OVERRIDE",$H$19)*1,"")))</f>
        <v/>
      </c>
      <c r="BS272" t="str">
        <f>IF(OR(BS$23="",ISNA($B272)),"",IF(ISBLANK($B272),"",IFERROR(_xll.BDP(TICKER,"DEEP_MEASURE_PERIOD_BROKER_VALUE","DEEP_MEASURE_ID_OVERRIDE",$C272,"DEEP_BROKER_ID_OVERRIDE",BS$24,"DEEP_PERIOD_OVERRIDE",$H$19)*1,"")))</f>
        <v/>
      </c>
      <c r="BT272" t="str">
        <f>IF(OR(BT$23="",ISNA($B272)),"",IF(ISBLANK($B272),"",IFERROR(_xll.BDP(TICKER,"DEEP_MEASURE_PERIOD_BROKER_VALUE","DEEP_MEASURE_ID_OVERRIDE",$C272,"DEEP_BROKER_ID_OVERRIDE",BT$24,"DEEP_PERIOD_OVERRIDE",$H$19)*1,"")))</f>
        <v/>
      </c>
      <c r="BU272" t="str">
        <f>IF(OR(BU$23="",ISNA($B272)),"",IF(ISBLANK($B272),"",IFERROR(_xll.BDP(TICKER,"DEEP_MEASURE_PERIOD_BROKER_VALUE","DEEP_MEASURE_ID_OVERRIDE",$C272,"DEEP_BROKER_ID_OVERRIDE",BU$24,"DEEP_PERIOD_OVERRIDE",$H$19)*1,"")))</f>
        <v/>
      </c>
      <c r="BV272" t="str">
        <f>IF(OR(BV$23="",ISNA($B272)),"",IF(ISBLANK($B272),"",IFERROR(_xll.BDP(TICKER,"DEEP_MEASURE_PERIOD_BROKER_VALUE","DEEP_MEASURE_ID_OVERRIDE",$C272,"DEEP_BROKER_ID_OVERRIDE",BV$24,"DEEP_PERIOD_OVERRIDE",$H$19)*1,"")))</f>
        <v/>
      </c>
      <c r="BW272" t="str">
        <f>IF(OR(BW$23="",ISNA($B272)),"",IF(ISBLANK($B272),"",IFERROR(_xll.BDP(TICKER,"DEEP_MEASURE_PERIOD_BROKER_VALUE","DEEP_MEASURE_ID_OVERRIDE",$C272,"DEEP_BROKER_ID_OVERRIDE",BW$24,"DEEP_PERIOD_OVERRIDE",$H$19)*1,"")))</f>
        <v/>
      </c>
      <c r="BX272" t="str">
        <f>IF(OR(BX$23="",ISNA($B272)),"",IF(ISBLANK($B272),"",IFERROR(_xll.BDP(TICKER,"DEEP_MEASURE_PERIOD_BROKER_VALUE","DEEP_MEASURE_ID_OVERRIDE",$C272,"DEEP_BROKER_ID_OVERRIDE",BX$24,"DEEP_PERIOD_OVERRIDE",$H$19)*1,"")))</f>
        <v/>
      </c>
      <c r="BY272" t="str">
        <f>IF(OR(BY$23="",ISNA($B272)),"",IF(ISBLANK($B272),"",IFERROR(_xll.BDP(TICKER,"DEEP_MEASURE_PERIOD_BROKER_VALUE","DEEP_MEASURE_ID_OVERRIDE",$C272,"DEEP_BROKER_ID_OVERRIDE",BY$24,"DEEP_PERIOD_OVERRIDE",$H$19)*1,"")))</f>
        <v/>
      </c>
      <c r="BZ272" t="str">
        <f>IF(OR(BZ$23="",ISNA($B272)),"",IF(ISBLANK($B272),"",IFERROR(_xll.BDP(TICKER,"DEEP_MEASURE_PERIOD_BROKER_VALUE","DEEP_MEASURE_ID_OVERRIDE",$C272,"DEEP_BROKER_ID_OVERRIDE",BZ$24,"DEEP_PERIOD_OVERRIDE",$H$19)*1,"")))</f>
        <v/>
      </c>
    </row>
    <row r="273" spans="8:78" x14ac:dyDescent="0.25">
      <c r="H273" t="str">
        <f t="shared" si="4"/>
        <v/>
      </c>
      <c r="I273" t="str">
        <f>IF(OR(I$23="",ISNA($B273)),"",IF(ISBLANK($B273),"",IFERROR(_xll.BDP(TICKER,"DEEP_MEASURE_PERIOD_BROKER_VALUE","DEEP_MEASURE_ID_OVERRIDE",$C273,"DEEP_PERIOD_OVERRIDE",$H$19)*1,"")))</f>
        <v/>
      </c>
      <c r="J273" t="e">
        <f>IF(OR(J$23="",ISNA($B273)),"",IF(ISBLANK($B273),"",IFERROR(_xll.BDP(TICKER,"DEEP_MEASURE_PERIOD_BROKER_VALUE","DEEP_MEASURE_ID_OVERRIDE",$C273,"DEEP_BROKER_ID_OVERRIDE",J$24,"DEEP_PERIOD_OVERRIDE",$H$19)*1,"")))</f>
        <v>#REF!</v>
      </c>
      <c r="K273" t="str">
        <f>IF(OR(K$23="",ISNA($B273)),"",IF(ISBLANK($B273),"",IFERROR(_xll.BDP(TICKER,"DEEP_MEASURE_PERIOD_BROKER_VALUE","DEEP_MEASURE_ID_OVERRIDE",$C273,"DEEP_BROKER_ID_OVERRIDE",K$24,"DEEP_PERIOD_OVERRIDE",$H$19)*1,"")))</f>
        <v/>
      </c>
      <c r="L273" t="str">
        <f>IF(OR(L$23="",ISNA($B273)),"",IF(ISBLANK($B273),"",IFERROR(_xll.BDP(TICKER,"DEEP_MEASURE_PERIOD_BROKER_VALUE","DEEP_MEASURE_ID_OVERRIDE",$C273,"DEEP_BROKER_ID_OVERRIDE",L$24,"DEEP_PERIOD_OVERRIDE",$H$19)*1,"")))</f>
        <v/>
      </c>
      <c r="M273" t="str">
        <f>IF(OR(M$23="",ISNA($B273)),"",IF(ISBLANK($B273),"",IFERROR(_xll.BDP(TICKER,"DEEP_MEASURE_PERIOD_BROKER_VALUE","DEEP_MEASURE_ID_OVERRIDE",$C273,"DEEP_BROKER_ID_OVERRIDE",M$24,"DEEP_PERIOD_OVERRIDE",$H$19)*1,"")))</f>
        <v/>
      </c>
      <c r="N273" t="str">
        <f>IF(OR(N$23="",ISNA($B273)),"",IF(ISBLANK($B273),"",IFERROR(_xll.BDP(TICKER,"DEEP_MEASURE_PERIOD_BROKER_VALUE","DEEP_MEASURE_ID_OVERRIDE",$C273,"DEEP_BROKER_ID_OVERRIDE",N$24,"DEEP_PERIOD_OVERRIDE",$H$19)*1,"")))</f>
        <v/>
      </c>
      <c r="O273" t="str">
        <f>IF(OR(O$23="",ISNA($B273)),"",IF(ISBLANK($B273),"",IFERROR(_xll.BDP(TICKER,"DEEP_MEASURE_PERIOD_BROKER_VALUE","DEEP_MEASURE_ID_OVERRIDE",$C273,"DEEP_BROKER_ID_OVERRIDE",O$24,"DEEP_PERIOD_OVERRIDE",$H$19)*1,"")))</f>
        <v/>
      </c>
      <c r="P273" t="str">
        <f>IF(OR(P$23="",ISNA($B273)),"",IF(ISBLANK($B273),"",IFERROR(_xll.BDP(TICKER,"DEEP_MEASURE_PERIOD_BROKER_VALUE","DEEP_MEASURE_ID_OVERRIDE",$C273,"DEEP_BROKER_ID_OVERRIDE",P$24,"DEEP_PERIOD_OVERRIDE",$H$19)*1,"")))</f>
        <v/>
      </c>
      <c r="Q273" t="str">
        <f>IF(OR(Q$23="",ISNA($B273)),"",IF(ISBLANK($B273),"",IFERROR(_xll.BDP(TICKER,"DEEP_MEASURE_PERIOD_BROKER_VALUE","DEEP_MEASURE_ID_OVERRIDE",$C273,"DEEP_BROKER_ID_OVERRIDE",Q$24,"DEEP_PERIOD_OVERRIDE",$H$19)*1,"")))</f>
        <v/>
      </c>
      <c r="R273" t="str">
        <f>IF(OR(R$23="",ISNA($B273)),"",IF(ISBLANK($B273),"",IFERROR(_xll.BDP(TICKER,"DEEP_MEASURE_PERIOD_BROKER_VALUE","DEEP_MEASURE_ID_OVERRIDE",$C273,"DEEP_BROKER_ID_OVERRIDE",R$24,"DEEP_PERIOD_OVERRIDE",$H$19)*1,"")))</f>
        <v/>
      </c>
      <c r="S273" t="str">
        <f>IF(OR(S$23="",ISNA($B273)),"",IF(ISBLANK($B273),"",IFERROR(_xll.BDP(TICKER,"DEEP_MEASURE_PERIOD_BROKER_VALUE","DEEP_MEASURE_ID_OVERRIDE",$C273,"DEEP_BROKER_ID_OVERRIDE",S$24,"DEEP_PERIOD_OVERRIDE",$H$19)*1,"")))</f>
        <v/>
      </c>
      <c r="T273" t="str">
        <f>IF(OR(T$23="",ISNA($B273)),"",IF(ISBLANK($B273),"",IFERROR(_xll.BDP(TICKER,"DEEP_MEASURE_PERIOD_BROKER_VALUE","DEEP_MEASURE_ID_OVERRIDE",$C273,"DEEP_BROKER_ID_OVERRIDE",T$24,"DEEP_PERIOD_OVERRIDE",$H$19)*1,"")))</f>
        <v/>
      </c>
      <c r="U273" t="str">
        <f>IF(OR(U$23="",ISNA($B273)),"",IF(ISBLANK($B273),"",IFERROR(_xll.BDP(TICKER,"DEEP_MEASURE_PERIOD_BROKER_VALUE","DEEP_MEASURE_ID_OVERRIDE",$C273,"DEEP_BROKER_ID_OVERRIDE",U$24,"DEEP_PERIOD_OVERRIDE",$H$19)*1,"")))</f>
        <v/>
      </c>
      <c r="V273" t="str">
        <f>IF(OR(V$23="",ISNA($B273)),"",IF(ISBLANK($B273),"",IFERROR(_xll.BDP(TICKER,"DEEP_MEASURE_PERIOD_BROKER_VALUE","DEEP_MEASURE_ID_OVERRIDE",$C273,"DEEP_BROKER_ID_OVERRIDE",V$24,"DEEP_PERIOD_OVERRIDE",$H$19)*1,"")))</f>
        <v/>
      </c>
      <c r="W273" t="str">
        <f>IF(OR(W$23="",ISNA($B273)),"",IF(ISBLANK($B273),"",IFERROR(_xll.BDP(TICKER,"DEEP_MEASURE_PERIOD_BROKER_VALUE","DEEP_MEASURE_ID_OVERRIDE",$C273,"DEEP_BROKER_ID_OVERRIDE",W$24,"DEEP_PERIOD_OVERRIDE",$H$19)*1,"")))</f>
        <v/>
      </c>
      <c r="X273" t="str">
        <f>IF(OR(X$23="",ISNA($B273)),"",IF(ISBLANK($B273),"",IFERROR(_xll.BDP(TICKER,"DEEP_MEASURE_PERIOD_BROKER_VALUE","DEEP_MEASURE_ID_OVERRIDE",$C273,"DEEP_BROKER_ID_OVERRIDE",X$24,"DEEP_PERIOD_OVERRIDE",$H$19)*1,"")))</f>
        <v/>
      </c>
      <c r="Y273" t="str">
        <f>IF(OR(Y$23="",ISNA($B273)),"",IF(ISBLANK($B273),"",IFERROR(_xll.BDP(TICKER,"DEEP_MEASURE_PERIOD_BROKER_VALUE","DEEP_MEASURE_ID_OVERRIDE",$C273,"DEEP_BROKER_ID_OVERRIDE",Y$24,"DEEP_PERIOD_OVERRIDE",$H$19)*1,"")))</f>
        <v/>
      </c>
      <c r="Z273" t="str">
        <f>IF(OR(Z$23="",ISNA($B273)),"",IF(ISBLANK($B273),"",IFERROR(_xll.BDP(TICKER,"DEEP_MEASURE_PERIOD_BROKER_VALUE","DEEP_MEASURE_ID_OVERRIDE",$C273,"DEEP_BROKER_ID_OVERRIDE",Z$24,"DEEP_PERIOD_OVERRIDE",$H$19)*1,"")))</f>
        <v/>
      </c>
      <c r="AA273" t="str">
        <f>IF(OR(AA$23="",ISNA($B273)),"",IF(ISBLANK($B273),"",IFERROR(_xll.BDP(TICKER,"DEEP_MEASURE_PERIOD_BROKER_VALUE","DEEP_MEASURE_ID_OVERRIDE",$C273,"DEEP_BROKER_ID_OVERRIDE",AA$24,"DEEP_PERIOD_OVERRIDE",$H$19)*1,"")))</f>
        <v/>
      </c>
      <c r="AB273" t="str">
        <f>IF(OR(AB$23="",ISNA($B273)),"",IF(ISBLANK($B273),"",IFERROR(_xll.BDP(TICKER,"DEEP_MEASURE_PERIOD_BROKER_VALUE","DEEP_MEASURE_ID_OVERRIDE",$C273,"DEEP_BROKER_ID_OVERRIDE",AB$24,"DEEP_PERIOD_OVERRIDE",$H$19)*1,"")))</f>
        <v/>
      </c>
      <c r="AC273" t="str">
        <f>IF(OR(AC$23="",ISNA($B273)),"",IF(ISBLANK($B273),"",IFERROR(_xll.BDP(TICKER,"DEEP_MEASURE_PERIOD_BROKER_VALUE","DEEP_MEASURE_ID_OVERRIDE",$C273,"DEEP_BROKER_ID_OVERRIDE",AC$24,"DEEP_PERIOD_OVERRIDE",$H$19)*1,"")))</f>
        <v/>
      </c>
      <c r="AD273" t="str">
        <f>IF(OR(AD$23="",ISNA($B273)),"",IF(ISBLANK($B273),"",IFERROR(_xll.BDP(TICKER,"DEEP_MEASURE_PERIOD_BROKER_VALUE","DEEP_MEASURE_ID_OVERRIDE",$C273,"DEEP_BROKER_ID_OVERRIDE",AD$24,"DEEP_PERIOD_OVERRIDE",$H$19)*1,"")))</f>
        <v/>
      </c>
      <c r="AE273" t="str">
        <f>IF(OR(AE$23="",ISNA($B273)),"",IF(ISBLANK($B273),"",IFERROR(_xll.BDP(TICKER,"DEEP_MEASURE_PERIOD_BROKER_VALUE","DEEP_MEASURE_ID_OVERRIDE",$C273,"DEEP_BROKER_ID_OVERRIDE",AE$24,"DEEP_PERIOD_OVERRIDE",$H$19)*1,"")))</f>
        <v/>
      </c>
      <c r="AF273" t="str">
        <f>IF(OR(AF$23="",ISNA($B273)),"",IF(ISBLANK($B273),"",IFERROR(_xll.BDP(TICKER,"DEEP_MEASURE_PERIOD_BROKER_VALUE","DEEP_MEASURE_ID_OVERRIDE",$C273,"DEEP_BROKER_ID_OVERRIDE",AF$24,"DEEP_PERIOD_OVERRIDE",$H$19)*1,"")))</f>
        <v/>
      </c>
      <c r="AG273" t="str">
        <f>IF(OR(AG$23="",ISNA($B273)),"",IF(ISBLANK($B273),"",IFERROR(_xll.BDP(TICKER,"DEEP_MEASURE_PERIOD_BROKER_VALUE","DEEP_MEASURE_ID_OVERRIDE",$C273,"DEEP_BROKER_ID_OVERRIDE",AG$24,"DEEP_PERIOD_OVERRIDE",$H$19)*1,"")))</f>
        <v/>
      </c>
      <c r="AH273" t="str">
        <f>IF(OR(AH$23="",ISNA($B273)),"",IF(ISBLANK($B273),"",IFERROR(_xll.BDP(TICKER,"DEEP_MEASURE_PERIOD_BROKER_VALUE","DEEP_MEASURE_ID_OVERRIDE",$C273,"DEEP_BROKER_ID_OVERRIDE",AH$24,"DEEP_PERIOD_OVERRIDE",$H$19)*1,"")))</f>
        <v/>
      </c>
      <c r="AI273" t="str">
        <f>IF(OR(AI$23="",ISNA($B273)),"",IF(ISBLANK($B273),"",IFERROR(_xll.BDP(TICKER,"DEEP_MEASURE_PERIOD_BROKER_VALUE","DEEP_MEASURE_ID_OVERRIDE",$C273,"DEEP_BROKER_ID_OVERRIDE",AI$24,"DEEP_PERIOD_OVERRIDE",$H$19)*1,"")))</f>
        <v/>
      </c>
      <c r="AJ273" t="str">
        <f>IF(OR(AJ$23="",ISNA($B273)),"",IF(ISBLANK($B273),"",IFERROR(_xll.BDP(TICKER,"DEEP_MEASURE_PERIOD_BROKER_VALUE","DEEP_MEASURE_ID_OVERRIDE",$C273,"DEEP_BROKER_ID_OVERRIDE",AJ$24,"DEEP_PERIOD_OVERRIDE",$H$19)*1,"")))</f>
        <v/>
      </c>
      <c r="AK273" t="str">
        <f>IF(OR(AK$23="",ISNA($B273)),"",IF(ISBLANK($B273),"",IFERROR(_xll.BDP(TICKER,"DEEP_MEASURE_PERIOD_BROKER_VALUE","DEEP_MEASURE_ID_OVERRIDE",$C273,"DEEP_BROKER_ID_OVERRIDE",AK$24,"DEEP_PERIOD_OVERRIDE",$H$19)*1,"")))</f>
        <v/>
      </c>
      <c r="AL273" t="str">
        <f>IF(OR(AL$23="",ISNA($B273)),"",IF(ISBLANK($B273),"",IFERROR(_xll.BDP(TICKER,"DEEP_MEASURE_PERIOD_BROKER_VALUE","DEEP_MEASURE_ID_OVERRIDE",$C273,"DEEP_BROKER_ID_OVERRIDE",AL$24,"DEEP_PERIOD_OVERRIDE",$H$19)*1,"")))</f>
        <v/>
      </c>
      <c r="AM273" t="str">
        <f>IF(OR(AM$23="",ISNA($B273)),"",IF(ISBLANK($B273),"",IFERROR(_xll.BDP(TICKER,"DEEP_MEASURE_PERIOD_BROKER_VALUE","DEEP_MEASURE_ID_OVERRIDE",$C273,"DEEP_BROKER_ID_OVERRIDE",AM$24,"DEEP_PERIOD_OVERRIDE",$H$19)*1,"")))</f>
        <v/>
      </c>
      <c r="AN273" t="str">
        <f>IF(OR(AN$23="",ISNA($B273)),"",IF(ISBLANK($B273),"",IFERROR(_xll.BDP(TICKER,"DEEP_MEASURE_PERIOD_BROKER_VALUE","DEEP_MEASURE_ID_OVERRIDE",$C273,"DEEP_BROKER_ID_OVERRIDE",AN$24,"DEEP_PERIOD_OVERRIDE",$H$19)*1,"")))</f>
        <v/>
      </c>
      <c r="AO273" t="str">
        <f>IF(OR(AO$23="",ISNA($B273)),"",IF(ISBLANK($B273),"",IFERROR(_xll.BDP(TICKER,"DEEP_MEASURE_PERIOD_BROKER_VALUE","DEEP_MEASURE_ID_OVERRIDE",$C273,"DEEP_BROKER_ID_OVERRIDE",AO$24,"DEEP_PERIOD_OVERRIDE",$H$19)*1,"")))</f>
        <v/>
      </c>
      <c r="AP273" t="str">
        <f>IF(OR(AP$23="",ISNA($B273)),"",IF(ISBLANK($B273),"",IFERROR(_xll.BDP(TICKER,"DEEP_MEASURE_PERIOD_BROKER_VALUE","DEEP_MEASURE_ID_OVERRIDE",$C273,"DEEP_BROKER_ID_OVERRIDE",AP$24,"DEEP_PERIOD_OVERRIDE",$H$19)*1,"")))</f>
        <v/>
      </c>
      <c r="AQ273" t="str">
        <f>IF(OR(AQ$23="",ISNA($B273)),"",IF(ISBLANK($B273),"",IFERROR(_xll.BDP(TICKER,"DEEP_MEASURE_PERIOD_BROKER_VALUE","DEEP_MEASURE_ID_OVERRIDE",$C273,"DEEP_BROKER_ID_OVERRIDE",AQ$24,"DEEP_PERIOD_OVERRIDE",$H$19)*1,"")))</f>
        <v/>
      </c>
      <c r="AR273" t="str">
        <f>IF(OR(AR$23="",ISNA($B273)),"",IF(ISBLANK($B273),"",IFERROR(_xll.BDP(TICKER,"DEEP_MEASURE_PERIOD_BROKER_VALUE","DEEP_MEASURE_ID_OVERRIDE",$C273,"DEEP_BROKER_ID_OVERRIDE",AR$24,"DEEP_PERIOD_OVERRIDE",$H$19)*1,"")))</f>
        <v/>
      </c>
      <c r="AS273" t="str">
        <f>IF(OR(AS$23="",ISNA($B273)),"",IF(ISBLANK($B273),"",IFERROR(_xll.BDP(TICKER,"DEEP_MEASURE_PERIOD_BROKER_VALUE","DEEP_MEASURE_ID_OVERRIDE",$C273,"DEEP_BROKER_ID_OVERRIDE",AS$24,"DEEP_PERIOD_OVERRIDE",$H$19)*1,"")))</f>
        <v/>
      </c>
      <c r="AT273" t="str">
        <f>IF(OR(AT$23="",ISNA($B273)),"",IF(ISBLANK($B273),"",IFERROR(_xll.BDP(TICKER,"DEEP_MEASURE_PERIOD_BROKER_VALUE","DEEP_MEASURE_ID_OVERRIDE",$C273,"DEEP_BROKER_ID_OVERRIDE",AT$24,"DEEP_PERIOD_OVERRIDE",$H$19)*1,"")))</f>
        <v/>
      </c>
      <c r="AU273" t="str">
        <f>IF(OR(AU$23="",ISNA($B273)),"",IF(ISBLANK($B273),"",IFERROR(_xll.BDP(TICKER,"DEEP_MEASURE_PERIOD_BROKER_VALUE","DEEP_MEASURE_ID_OVERRIDE",$C273,"DEEP_BROKER_ID_OVERRIDE",AU$24,"DEEP_PERIOD_OVERRIDE",$H$19)*1,"")))</f>
        <v/>
      </c>
      <c r="AV273" t="str">
        <f>IF(OR(AV$23="",ISNA($B273)),"",IF(ISBLANK($B273),"",IFERROR(_xll.BDP(TICKER,"DEEP_MEASURE_PERIOD_BROKER_VALUE","DEEP_MEASURE_ID_OVERRIDE",$C273,"DEEP_BROKER_ID_OVERRIDE",AV$24,"DEEP_PERIOD_OVERRIDE",$H$19)*1,"")))</f>
        <v/>
      </c>
      <c r="AW273" t="str">
        <f>IF(OR(AW$23="",ISNA($B273)),"",IF(ISBLANK($B273),"",IFERROR(_xll.BDP(TICKER,"DEEP_MEASURE_PERIOD_BROKER_VALUE","DEEP_MEASURE_ID_OVERRIDE",$C273,"DEEP_BROKER_ID_OVERRIDE",AW$24,"DEEP_PERIOD_OVERRIDE",$H$19)*1,"")))</f>
        <v/>
      </c>
      <c r="AX273" t="str">
        <f>IF(OR(AX$23="",ISNA($B273)),"",IF(ISBLANK($B273),"",IFERROR(_xll.BDP(TICKER,"DEEP_MEASURE_PERIOD_BROKER_VALUE","DEEP_MEASURE_ID_OVERRIDE",$C273,"DEEP_BROKER_ID_OVERRIDE",AX$24,"DEEP_PERIOD_OVERRIDE",$H$19)*1,"")))</f>
        <v/>
      </c>
      <c r="AY273" t="str">
        <f>IF(OR(AY$23="",ISNA($B273)),"",IF(ISBLANK($B273),"",IFERROR(_xll.BDP(TICKER,"DEEP_MEASURE_PERIOD_BROKER_VALUE","DEEP_MEASURE_ID_OVERRIDE",$C273,"DEEP_BROKER_ID_OVERRIDE",AY$24,"DEEP_PERIOD_OVERRIDE",$H$19)*1,"")))</f>
        <v/>
      </c>
      <c r="AZ273" t="str">
        <f>IF(OR(AZ$23="",ISNA($B273)),"",IF(ISBLANK($B273),"",IFERROR(_xll.BDP(TICKER,"DEEP_MEASURE_PERIOD_BROKER_VALUE","DEEP_MEASURE_ID_OVERRIDE",$C273,"DEEP_BROKER_ID_OVERRIDE",AZ$24,"DEEP_PERIOD_OVERRIDE",$H$19)*1,"")))</f>
        <v/>
      </c>
      <c r="BA273" t="str">
        <f>IF(OR(BA$23="",ISNA($B273)),"",IF(ISBLANK($B273),"",IFERROR(_xll.BDP(TICKER,"DEEP_MEASURE_PERIOD_BROKER_VALUE","DEEP_MEASURE_ID_OVERRIDE",$C273,"DEEP_BROKER_ID_OVERRIDE",BA$24,"DEEP_PERIOD_OVERRIDE",$H$19)*1,"")))</f>
        <v/>
      </c>
      <c r="BB273" t="str">
        <f>IF(OR(BB$23="",ISNA($B273)),"",IF(ISBLANK($B273),"",IFERROR(_xll.BDP(TICKER,"DEEP_MEASURE_PERIOD_BROKER_VALUE","DEEP_MEASURE_ID_OVERRIDE",$C273,"DEEP_BROKER_ID_OVERRIDE",BB$24,"DEEP_PERIOD_OVERRIDE",$H$19)*1,"")))</f>
        <v/>
      </c>
      <c r="BC273" t="str">
        <f>IF(OR(BC$23="",ISNA($B273)),"",IF(ISBLANK($B273),"",IFERROR(_xll.BDP(TICKER,"DEEP_MEASURE_PERIOD_BROKER_VALUE","DEEP_MEASURE_ID_OVERRIDE",$C273,"DEEP_BROKER_ID_OVERRIDE",BC$24,"DEEP_PERIOD_OVERRIDE",$H$19)*1,"")))</f>
        <v/>
      </c>
      <c r="BD273" t="str">
        <f>IF(OR(BD$23="",ISNA($B273)),"",IF(ISBLANK($B273),"",IFERROR(_xll.BDP(TICKER,"DEEP_MEASURE_PERIOD_BROKER_VALUE","DEEP_MEASURE_ID_OVERRIDE",$C273,"DEEP_BROKER_ID_OVERRIDE",BD$24,"DEEP_PERIOD_OVERRIDE",$H$19)*1,"")))</f>
        <v/>
      </c>
      <c r="BE273" t="str">
        <f>IF(OR(BE$23="",ISNA($B273)),"",IF(ISBLANK($B273),"",IFERROR(_xll.BDP(TICKER,"DEEP_MEASURE_PERIOD_BROKER_VALUE","DEEP_MEASURE_ID_OVERRIDE",$C273,"DEEP_BROKER_ID_OVERRIDE",BE$24,"DEEP_PERIOD_OVERRIDE",$H$19)*1,"")))</f>
        <v/>
      </c>
      <c r="BF273" t="str">
        <f>IF(OR(BF$23="",ISNA($B273)),"",IF(ISBLANK($B273),"",IFERROR(_xll.BDP(TICKER,"DEEP_MEASURE_PERIOD_BROKER_VALUE","DEEP_MEASURE_ID_OVERRIDE",$C273,"DEEP_BROKER_ID_OVERRIDE",BF$24,"DEEP_PERIOD_OVERRIDE",$H$19)*1,"")))</f>
        <v/>
      </c>
      <c r="BG273" t="str">
        <f>IF(OR(BG$23="",ISNA($B273)),"",IF(ISBLANK($B273),"",IFERROR(_xll.BDP(TICKER,"DEEP_MEASURE_PERIOD_BROKER_VALUE","DEEP_MEASURE_ID_OVERRIDE",$C273,"DEEP_BROKER_ID_OVERRIDE",BG$24,"DEEP_PERIOD_OVERRIDE",$H$19)*1,"")))</f>
        <v/>
      </c>
      <c r="BH273" t="str">
        <f>IF(OR(BH$23="",ISNA($B273)),"",IF(ISBLANK($B273),"",IFERROR(_xll.BDP(TICKER,"DEEP_MEASURE_PERIOD_BROKER_VALUE","DEEP_MEASURE_ID_OVERRIDE",$C273,"DEEP_BROKER_ID_OVERRIDE",BH$24,"DEEP_PERIOD_OVERRIDE",$H$19)*1,"")))</f>
        <v/>
      </c>
      <c r="BI273" t="str">
        <f>IF(OR(BI$23="",ISNA($B273)),"",IF(ISBLANK($B273),"",IFERROR(_xll.BDP(TICKER,"DEEP_MEASURE_PERIOD_BROKER_VALUE","DEEP_MEASURE_ID_OVERRIDE",$C273,"DEEP_BROKER_ID_OVERRIDE",BI$24,"DEEP_PERIOD_OVERRIDE",$H$19)*1,"")))</f>
        <v/>
      </c>
      <c r="BJ273" t="str">
        <f>IF(OR(BJ$23="",ISNA($B273)),"",IF(ISBLANK($B273),"",IFERROR(_xll.BDP(TICKER,"DEEP_MEASURE_PERIOD_BROKER_VALUE","DEEP_MEASURE_ID_OVERRIDE",$C273,"DEEP_BROKER_ID_OVERRIDE",BJ$24,"DEEP_PERIOD_OVERRIDE",$H$19)*1,"")))</f>
        <v/>
      </c>
      <c r="BK273" t="str">
        <f>IF(OR(BK$23="",ISNA($B273)),"",IF(ISBLANK($B273),"",IFERROR(_xll.BDP(TICKER,"DEEP_MEASURE_PERIOD_BROKER_VALUE","DEEP_MEASURE_ID_OVERRIDE",$C273,"DEEP_BROKER_ID_OVERRIDE",BK$24,"DEEP_PERIOD_OVERRIDE",$H$19)*1,"")))</f>
        <v/>
      </c>
      <c r="BL273" t="str">
        <f>IF(OR(BL$23="",ISNA($B273)),"",IF(ISBLANK($B273),"",IFERROR(_xll.BDP(TICKER,"DEEP_MEASURE_PERIOD_BROKER_VALUE","DEEP_MEASURE_ID_OVERRIDE",$C273,"DEEP_BROKER_ID_OVERRIDE",BL$24,"DEEP_PERIOD_OVERRIDE",$H$19)*1,"")))</f>
        <v/>
      </c>
      <c r="BM273" t="str">
        <f>IF(OR(BM$23="",ISNA($B273)),"",IF(ISBLANK($B273),"",IFERROR(_xll.BDP(TICKER,"DEEP_MEASURE_PERIOD_BROKER_VALUE","DEEP_MEASURE_ID_OVERRIDE",$C273,"DEEP_BROKER_ID_OVERRIDE",BM$24,"DEEP_PERIOD_OVERRIDE",$H$19)*1,"")))</f>
        <v/>
      </c>
      <c r="BN273" t="str">
        <f>IF(OR(BN$23="",ISNA($B273)),"",IF(ISBLANK($B273),"",IFERROR(_xll.BDP(TICKER,"DEEP_MEASURE_PERIOD_BROKER_VALUE","DEEP_MEASURE_ID_OVERRIDE",$C273,"DEEP_BROKER_ID_OVERRIDE",BN$24,"DEEP_PERIOD_OVERRIDE",$H$19)*1,"")))</f>
        <v/>
      </c>
      <c r="BO273" t="str">
        <f>IF(OR(BO$23="",ISNA($B273)),"",IF(ISBLANK($B273),"",IFERROR(_xll.BDP(TICKER,"DEEP_MEASURE_PERIOD_BROKER_VALUE","DEEP_MEASURE_ID_OVERRIDE",$C273,"DEEP_BROKER_ID_OVERRIDE",BO$24,"DEEP_PERIOD_OVERRIDE",$H$19)*1,"")))</f>
        <v/>
      </c>
      <c r="BP273" t="str">
        <f>IF(OR(BP$23="",ISNA($B273)),"",IF(ISBLANK($B273),"",IFERROR(_xll.BDP(TICKER,"DEEP_MEASURE_PERIOD_BROKER_VALUE","DEEP_MEASURE_ID_OVERRIDE",$C273,"DEEP_BROKER_ID_OVERRIDE",BP$24,"DEEP_PERIOD_OVERRIDE",$H$19)*1,"")))</f>
        <v/>
      </c>
      <c r="BQ273" t="str">
        <f>IF(OR(BQ$23="",ISNA($B273)),"",IF(ISBLANK($B273),"",IFERROR(_xll.BDP(TICKER,"DEEP_MEASURE_PERIOD_BROKER_VALUE","DEEP_MEASURE_ID_OVERRIDE",$C273,"DEEP_BROKER_ID_OVERRIDE",BQ$24,"DEEP_PERIOD_OVERRIDE",$H$19)*1,"")))</f>
        <v/>
      </c>
      <c r="BR273" t="str">
        <f>IF(OR(BR$23="",ISNA($B273)),"",IF(ISBLANK($B273),"",IFERROR(_xll.BDP(TICKER,"DEEP_MEASURE_PERIOD_BROKER_VALUE","DEEP_MEASURE_ID_OVERRIDE",$C273,"DEEP_BROKER_ID_OVERRIDE",BR$24,"DEEP_PERIOD_OVERRIDE",$H$19)*1,"")))</f>
        <v/>
      </c>
      <c r="BS273" t="str">
        <f>IF(OR(BS$23="",ISNA($B273)),"",IF(ISBLANK($B273),"",IFERROR(_xll.BDP(TICKER,"DEEP_MEASURE_PERIOD_BROKER_VALUE","DEEP_MEASURE_ID_OVERRIDE",$C273,"DEEP_BROKER_ID_OVERRIDE",BS$24,"DEEP_PERIOD_OVERRIDE",$H$19)*1,"")))</f>
        <v/>
      </c>
      <c r="BT273" t="str">
        <f>IF(OR(BT$23="",ISNA($B273)),"",IF(ISBLANK($B273),"",IFERROR(_xll.BDP(TICKER,"DEEP_MEASURE_PERIOD_BROKER_VALUE","DEEP_MEASURE_ID_OVERRIDE",$C273,"DEEP_BROKER_ID_OVERRIDE",BT$24,"DEEP_PERIOD_OVERRIDE",$H$19)*1,"")))</f>
        <v/>
      </c>
      <c r="BU273" t="str">
        <f>IF(OR(BU$23="",ISNA($B273)),"",IF(ISBLANK($B273),"",IFERROR(_xll.BDP(TICKER,"DEEP_MEASURE_PERIOD_BROKER_VALUE","DEEP_MEASURE_ID_OVERRIDE",$C273,"DEEP_BROKER_ID_OVERRIDE",BU$24,"DEEP_PERIOD_OVERRIDE",$H$19)*1,"")))</f>
        <v/>
      </c>
      <c r="BV273" t="str">
        <f>IF(OR(BV$23="",ISNA($B273)),"",IF(ISBLANK($B273),"",IFERROR(_xll.BDP(TICKER,"DEEP_MEASURE_PERIOD_BROKER_VALUE","DEEP_MEASURE_ID_OVERRIDE",$C273,"DEEP_BROKER_ID_OVERRIDE",BV$24,"DEEP_PERIOD_OVERRIDE",$H$19)*1,"")))</f>
        <v/>
      </c>
      <c r="BW273" t="str">
        <f>IF(OR(BW$23="",ISNA($B273)),"",IF(ISBLANK($B273),"",IFERROR(_xll.BDP(TICKER,"DEEP_MEASURE_PERIOD_BROKER_VALUE","DEEP_MEASURE_ID_OVERRIDE",$C273,"DEEP_BROKER_ID_OVERRIDE",BW$24,"DEEP_PERIOD_OVERRIDE",$H$19)*1,"")))</f>
        <v/>
      </c>
      <c r="BX273" t="str">
        <f>IF(OR(BX$23="",ISNA($B273)),"",IF(ISBLANK($B273),"",IFERROR(_xll.BDP(TICKER,"DEEP_MEASURE_PERIOD_BROKER_VALUE","DEEP_MEASURE_ID_OVERRIDE",$C273,"DEEP_BROKER_ID_OVERRIDE",BX$24,"DEEP_PERIOD_OVERRIDE",$H$19)*1,"")))</f>
        <v/>
      </c>
      <c r="BY273" t="str">
        <f>IF(OR(BY$23="",ISNA($B273)),"",IF(ISBLANK($B273),"",IFERROR(_xll.BDP(TICKER,"DEEP_MEASURE_PERIOD_BROKER_VALUE","DEEP_MEASURE_ID_OVERRIDE",$C273,"DEEP_BROKER_ID_OVERRIDE",BY$24,"DEEP_PERIOD_OVERRIDE",$H$19)*1,"")))</f>
        <v/>
      </c>
      <c r="BZ273" t="str">
        <f>IF(OR(BZ$23="",ISNA($B273)),"",IF(ISBLANK($B273),"",IFERROR(_xll.BDP(TICKER,"DEEP_MEASURE_PERIOD_BROKER_VALUE","DEEP_MEASURE_ID_OVERRIDE",$C273,"DEEP_BROKER_ID_OVERRIDE",BZ$24,"DEEP_PERIOD_OVERRIDE",$H$19)*1,"")))</f>
        <v/>
      </c>
    </row>
    <row r="274" spans="8:78" x14ac:dyDescent="0.25">
      <c r="H274" t="str">
        <f t="shared" si="4"/>
        <v/>
      </c>
      <c r="I274" t="str">
        <f>IF(OR(I$23="",ISNA($B274)),"",IF(ISBLANK($B274),"",IFERROR(_xll.BDP(TICKER,"DEEP_MEASURE_PERIOD_BROKER_VALUE","DEEP_MEASURE_ID_OVERRIDE",$C274,"DEEP_PERIOD_OVERRIDE",$H$19)*1,"")))</f>
        <v/>
      </c>
      <c r="J274" t="e">
        <f>IF(OR(J$23="",ISNA($B274)),"",IF(ISBLANK($B274),"",IFERROR(_xll.BDP(TICKER,"DEEP_MEASURE_PERIOD_BROKER_VALUE","DEEP_MEASURE_ID_OVERRIDE",$C274,"DEEP_BROKER_ID_OVERRIDE",J$24,"DEEP_PERIOD_OVERRIDE",$H$19)*1,"")))</f>
        <v>#REF!</v>
      </c>
      <c r="K274" t="str">
        <f>IF(OR(K$23="",ISNA($B274)),"",IF(ISBLANK($B274),"",IFERROR(_xll.BDP(TICKER,"DEEP_MEASURE_PERIOD_BROKER_VALUE","DEEP_MEASURE_ID_OVERRIDE",$C274,"DEEP_BROKER_ID_OVERRIDE",K$24,"DEEP_PERIOD_OVERRIDE",$H$19)*1,"")))</f>
        <v/>
      </c>
      <c r="L274" t="str">
        <f>IF(OR(L$23="",ISNA($B274)),"",IF(ISBLANK($B274),"",IFERROR(_xll.BDP(TICKER,"DEEP_MEASURE_PERIOD_BROKER_VALUE","DEEP_MEASURE_ID_OVERRIDE",$C274,"DEEP_BROKER_ID_OVERRIDE",L$24,"DEEP_PERIOD_OVERRIDE",$H$19)*1,"")))</f>
        <v/>
      </c>
      <c r="M274" t="str">
        <f>IF(OR(M$23="",ISNA($B274)),"",IF(ISBLANK($B274),"",IFERROR(_xll.BDP(TICKER,"DEEP_MEASURE_PERIOD_BROKER_VALUE","DEEP_MEASURE_ID_OVERRIDE",$C274,"DEEP_BROKER_ID_OVERRIDE",M$24,"DEEP_PERIOD_OVERRIDE",$H$19)*1,"")))</f>
        <v/>
      </c>
      <c r="N274" t="str">
        <f>IF(OR(N$23="",ISNA($B274)),"",IF(ISBLANK($B274),"",IFERROR(_xll.BDP(TICKER,"DEEP_MEASURE_PERIOD_BROKER_VALUE","DEEP_MEASURE_ID_OVERRIDE",$C274,"DEEP_BROKER_ID_OVERRIDE",N$24,"DEEP_PERIOD_OVERRIDE",$H$19)*1,"")))</f>
        <v/>
      </c>
      <c r="O274" t="str">
        <f>IF(OR(O$23="",ISNA($B274)),"",IF(ISBLANK($B274),"",IFERROR(_xll.BDP(TICKER,"DEEP_MEASURE_PERIOD_BROKER_VALUE","DEEP_MEASURE_ID_OVERRIDE",$C274,"DEEP_BROKER_ID_OVERRIDE",O$24,"DEEP_PERIOD_OVERRIDE",$H$19)*1,"")))</f>
        <v/>
      </c>
      <c r="P274" t="str">
        <f>IF(OR(P$23="",ISNA($B274)),"",IF(ISBLANK($B274),"",IFERROR(_xll.BDP(TICKER,"DEEP_MEASURE_PERIOD_BROKER_VALUE","DEEP_MEASURE_ID_OVERRIDE",$C274,"DEEP_BROKER_ID_OVERRIDE",P$24,"DEEP_PERIOD_OVERRIDE",$H$19)*1,"")))</f>
        <v/>
      </c>
      <c r="Q274" t="str">
        <f>IF(OR(Q$23="",ISNA($B274)),"",IF(ISBLANK($B274),"",IFERROR(_xll.BDP(TICKER,"DEEP_MEASURE_PERIOD_BROKER_VALUE","DEEP_MEASURE_ID_OVERRIDE",$C274,"DEEP_BROKER_ID_OVERRIDE",Q$24,"DEEP_PERIOD_OVERRIDE",$H$19)*1,"")))</f>
        <v/>
      </c>
      <c r="R274" t="str">
        <f>IF(OR(R$23="",ISNA($B274)),"",IF(ISBLANK($B274),"",IFERROR(_xll.BDP(TICKER,"DEEP_MEASURE_PERIOD_BROKER_VALUE","DEEP_MEASURE_ID_OVERRIDE",$C274,"DEEP_BROKER_ID_OVERRIDE",R$24,"DEEP_PERIOD_OVERRIDE",$H$19)*1,"")))</f>
        <v/>
      </c>
      <c r="S274" t="str">
        <f>IF(OR(S$23="",ISNA($B274)),"",IF(ISBLANK($B274),"",IFERROR(_xll.BDP(TICKER,"DEEP_MEASURE_PERIOD_BROKER_VALUE","DEEP_MEASURE_ID_OVERRIDE",$C274,"DEEP_BROKER_ID_OVERRIDE",S$24,"DEEP_PERIOD_OVERRIDE",$H$19)*1,"")))</f>
        <v/>
      </c>
      <c r="T274" t="str">
        <f>IF(OR(T$23="",ISNA($B274)),"",IF(ISBLANK($B274),"",IFERROR(_xll.BDP(TICKER,"DEEP_MEASURE_PERIOD_BROKER_VALUE","DEEP_MEASURE_ID_OVERRIDE",$C274,"DEEP_BROKER_ID_OVERRIDE",T$24,"DEEP_PERIOD_OVERRIDE",$H$19)*1,"")))</f>
        <v/>
      </c>
      <c r="U274" t="str">
        <f>IF(OR(U$23="",ISNA($B274)),"",IF(ISBLANK($B274),"",IFERROR(_xll.BDP(TICKER,"DEEP_MEASURE_PERIOD_BROKER_VALUE","DEEP_MEASURE_ID_OVERRIDE",$C274,"DEEP_BROKER_ID_OVERRIDE",U$24,"DEEP_PERIOD_OVERRIDE",$H$19)*1,"")))</f>
        <v/>
      </c>
      <c r="V274" t="str">
        <f>IF(OR(V$23="",ISNA($B274)),"",IF(ISBLANK($B274),"",IFERROR(_xll.BDP(TICKER,"DEEP_MEASURE_PERIOD_BROKER_VALUE","DEEP_MEASURE_ID_OVERRIDE",$C274,"DEEP_BROKER_ID_OVERRIDE",V$24,"DEEP_PERIOD_OVERRIDE",$H$19)*1,"")))</f>
        <v/>
      </c>
      <c r="W274" t="str">
        <f>IF(OR(W$23="",ISNA($B274)),"",IF(ISBLANK($B274),"",IFERROR(_xll.BDP(TICKER,"DEEP_MEASURE_PERIOD_BROKER_VALUE","DEEP_MEASURE_ID_OVERRIDE",$C274,"DEEP_BROKER_ID_OVERRIDE",W$24,"DEEP_PERIOD_OVERRIDE",$H$19)*1,"")))</f>
        <v/>
      </c>
      <c r="X274" t="str">
        <f>IF(OR(X$23="",ISNA($B274)),"",IF(ISBLANK($B274),"",IFERROR(_xll.BDP(TICKER,"DEEP_MEASURE_PERIOD_BROKER_VALUE","DEEP_MEASURE_ID_OVERRIDE",$C274,"DEEP_BROKER_ID_OVERRIDE",X$24,"DEEP_PERIOD_OVERRIDE",$H$19)*1,"")))</f>
        <v/>
      </c>
      <c r="Y274" t="str">
        <f>IF(OR(Y$23="",ISNA($B274)),"",IF(ISBLANK($B274),"",IFERROR(_xll.BDP(TICKER,"DEEP_MEASURE_PERIOD_BROKER_VALUE","DEEP_MEASURE_ID_OVERRIDE",$C274,"DEEP_BROKER_ID_OVERRIDE",Y$24,"DEEP_PERIOD_OVERRIDE",$H$19)*1,"")))</f>
        <v/>
      </c>
      <c r="Z274" t="str">
        <f>IF(OR(Z$23="",ISNA($B274)),"",IF(ISBLANK($B274),"",IFERROR(_xll.BDP(TICKER,"DEEP_MEASURE_PERIOD_BROKER_VALUE","DEEP_MEASURE_ID_OVERRIDE",$C274,"DEEP_BROKER_ID_OVERRIDE",Z$24,"DEEP_PERIOD_OVERRIDE",$H$19)*1,"")))</f>
        <v/>
      </c>
      <c r="AA274" t="str">
        <f>IF(OR(AA$23="",ISNA($B274)),"",IF(ISBLANK($B274),"",IFERROR(_xll.BDP(TICKER,"DEEP_MEASURE_PERIOD_BROKER_VALUE","DEEP_MEASURE_ID_OVERRIDE",$C274,"DEEP_BROKER_ID_OVERRIDE",AA$24,"DEEP_PERIOD_OVERRIDE",$H$19)*1,"")))</f>
        <v/>
      </c>
      <c r="AB274" t="str">
        <f>IF(OR(AB$23="",ISNA($B274)),"",IF(ISBLANK($B274),"",IFERROR(_xll.BDP(TICKER,"DEEP_MEASURE_PERIOD_BROKER_VALUE","DEEP_MEASURE_ID_OVERRIDE",$C274,"DEEP_BROKER_ID_OVERRIDE",AB$24,"DEEP_PERIOD_OVERRIDE",$H$19)*1,"")))</f>
        <v/>
      </c>
      <c r="AC274" t="str">
        <f>IF(OR(AC$23="",ISNA($B274)),"",IF(ISBLANK($B274),"",IFERROR(_xll.BDP(TICKER,"DEEP_MEASURE_PERIOD_BROKER_VALUE","DEEP_MEASURE_ID_OVERRIDE",$C274,"DEEP_BROKER_ID_OVERRIDE",AC$24,"DEEP_PERIOD_OVERRIDE",$H$19)*1,"")))</f>
        <v/>
      </c>
      <c r="AD274" t="str">
        <f>IF(OR(AD$23="",ISNA($B274)),"",IF(ISBLANK($B274),"",IFERROR(_xll.BDP(TICKER,"DEEP_MEASURE_PERIOD_BROKER_VALUE","DEEP_MEASURE_ID_OVERRIDE",$C274,"DEEP_BROKER_ID_OVERRIDE",AD$24,"DEEP_PERIOD_OVERRIDE",$H$19)*1,"")))</f>
        <v/>
      </c>
      <c r="AE274" t="str">
        <f>IF(OR(AE$23="",ISNA($B274)),"",IF(ISBLANK($B274),"",IFERROR(_xll.BDP(TICKER,"DEEP_MEASURE_PERIOD_BROKER_VALUE","DEEP_MEASURE_ID_OVERRIDE",$C274,"DEEP_BROKER_ID_OVERRIDE",AE$24,"DEEP_PERIOD_OVERRIDE",$H$19)*1,"")))</f>
        <v/>
      </c>
      <c r="AF274" t="str">
        <f>IF(OR(AF$23="",ISNA($B274)),"",IF(ISBLANK($B274),"",IFERROR(_xll.BDP(TICKER,"DEEP_MEASURE_PERIOD_BROKER_VALUE","DEEP_MEASURE_ID_OVERRIDE",$C274,"DEEP_BROKER_ID_OVERRIDE",AF$24,"DEEP_PERIOD_OVERRIDE",$H$19)*1,"")))</f>
        <v/>
      </c>
      <c r="AG274" t="str">
        <f>IF(OR(AG$23="",ISNA($B274)),"",IF(ISBLANK($B274),"",IFERROR(_xll.BDP(TICKER,"DEEP_MEASURE_PERIOD_BROKER_VALUE","DEEP_MEASURE_ID_OVERRIDE",$C274,"DEEP_BROKER_ID_OVERRIDE",AG$24,"DEEP_PERIOD_OVERRIDE",$H$19)*1,"")))</f>
        <v/>
      </c>
      <c r="AH274" t="str">
        <f>IF(OR(AH$23="",ISNA($B274)),"",IF(ISBLANK($B274),"",IFERROR(_xll.BDP(TICKER,"DEEP_MEASURE_PERIOD_BROKER_VALUE","DEEP_MEASURE_ID_OVERRIDE",$C274,"DEEP_BROKER_ID_OVERRIDE",AH$24,"DEEP_PERIOD_OVERRIDE",$H$19)*1,"")))</f>
        <v/>
      </c>
      <c r="AI274" t="str">
        <f>IF(OR(AI$23="",ISNA($B274)),"",IF(ISBLANK($B274),"",IFERROR(_xll.BDP(TICKER,"DEEP_MEASURE_PERIOD_BROKER_VALUE","DEEP_MEASURE_ID_OVERRIDE",$C274,"DEEP_BROKER_ID_OVERRIDE",AI$24,"DEEP_PERIOD_OVERRIDE",$H$19)*1,"")))</f>
        <v/>
      </c>
      <c r="AJ274" t="str">
        <f>IF(OR(AJ$23="",ISNA($B274)),"",IF(ISBLANK($B274),"",IFERROR(_xll.BDP(TICKER,"DEEP_MEASURE_PERIOD_BROKER_VALUE","DEEP_MEASURE_ID_OVERRIDE",$C274,"DEEP_BROKER_ID_OVERRIDE",AJ$24,"DEEP_PERIOD_OVERRIDE",$H$19)*1,"")))</f>
        <v/>
      </c>
      <c r="AK274" t="str">
        <f>IF(OR(AK$23="",ISNA($B274)),"",IF(ISBLANK($B274),"",IFERROR(_xll.BDP(TICKER,"DEEP_MEASURE_PERIOD_BROKER_VALUE","DEEP_MEASURE_ID_OVERRIDE",$C274,"DEEP_BROKER_ID_OVERRIDE",AK$24,"DEEP_PERIOD_OVERRIDE",$H$19)*1,"")))</f>
        <v/>
      </c>
      <c r="AL274" t="str">
        <f>IF(OR(AL$23="",ISNA($B274)),"",IF(ISBLANK($B274),"",IFERROR(_xll.BDP(TICKER,"DEEP_MEASURE_PERIOD_BROKER_VALUE","DEEP_MEASURE_ID_OVERRIDE",$C274,"DEEP_BROKER_ID_OVERRIDE",AL$24,"DEEP_PERIOD_OVERRIDE",$H$19)*1,"")))</f>
        <v/>
      </c>
      <c r="AM274" t="str">
        <f>IF(OR(AM$23="",ISNA($B274)),"",IF(ISBLANK($B274),"",IFERROR(_xll.BDP(TICKER,"DEEP_MEASURE_PERIOD_BROKER_VALUE","DEEP_MEASURE_ID_OVERRIDE",$C274,"DEEP_BROKER_ID_OVERRIDE",AM$24,"DEEP_PERIOD_OVERRIDE",$H$19)*1,"")))</f>
        <v/>
      </c>
      <c r="AN274" t="str">
        <f>IF(OR(AN$23="",ISNA($B274)),"",IF(ISBLANK($B274),"",IFERROR(_xll.BDP(TICKER,"DEEP_MEASURE_PERIOD_BROKER_VALUE","DEEP_MEASURE_ID_OVERRIDE",$C274,"DEEP_BROKER_ID_OVERRIDE",AN$24,"DEEP_PERIOD_OVERRIDE",$H$19)*1,"")))</f>
        <v/>
      </c>
      <c r="AO274" t="str">
        <f>IF(OR(AO$23="",ISNA($B274)),"",IF(ISBLANK($B274),"",IFERROR(_xll.BDP(TICKER,"DEEP_MEASURE_PERIOD_BROKER_VALUE","DEEP_MEASURE_ID_OVERRIDE",$C274,"DEEP_BROKER_ID_OVERRIDE",AO$24,"DEEP_PERIOD_OVERRIDE",$H$19)*1,"")))</f>
        <v/>
      </c>
      <c r="AP274" t="str">
        <f>IF(OR(AP$23="",ISNA($B274)),"",IF(ISBLANK($B274),"",IFERROR(_xll.BDP(TICKER,"DEEP_MEASURE_PERIOD_BROKER_VALUE","DEEP_MEASURE_ID_OVERRIDE",$C274,"DEEP_BROKER_ID_OVERRIDE",AP$24,"DEEP_PERIOD_OVERRIDE",$H$19)*1,"")))</f>
        <v/>
      </c>
      <c r="AQ274" t="str">
        <f>IF(OR(AQ$23="",ISNA($B274)),"",IF(ISBLANK($B274),"",IFERROR(_xll.BDP(TICKER,"DEEP_MEASURE_PERIOD_BROKER_VALUE","DEEP_MEASURE_ID_OVERRIDE",$C274,"DEEP_BROKER_ID_OVERRIDE",AQ$24,"DEEP_PERIOD_OVERRIDE",$H$19)*1,"")))</f>
        <v/>
      </c>
      <c r="AR274" t="str">
        <f>IF(OR(AR$23="",ISNA($B274)),"",IF(ISBLANK($B274),"",IFERROR(_xll.BDP(TICKER,"DEEP_MEASURE_PERIOD_BROKER_VALUE","DEEP_MEASURE_ID_OVERRIDE",$C274,"DEEP_BROKER_ID_OVERRIDE",AR$24,"DEEP_PERIOD_OVERRIDE",$H$19)*1,"")))</f>
        <v/>
      </c>
      <c r="AS274" t="str">
        <f>IF(OR(AS$23="",ISNA($B274)),"",IF(ISBLANK($B274),"",IFERROR(_xll.BDP(TICKER,"DEEP_MEASURE_PERIOD_BROKER_VALUE","DEEP_MEASURE_ID_OVERRIDE",$C274,"DEEP_BROKER_ID_OVERRIDE",AS$24,"DEEP_PERIOD_OVERRIDE",$H$19)*1,"")))</f>
        <v/>
      </c>
      <c r="AT274" t="str">
        <f>IF(OR(AT$23="",ISNA($B274)),"",IF(ISBLANK($B274),"",IFERROR(_xll.BDP(TICKER,"DEEP_MEASURE_PERIOD_BROKER_VALUE","DEEP_MEASURE_ID_OVERRIDE",$C274,"DEEP_BROKER_ID_OVERRIDE",AT$24,"DEEP_PERIOD_OVERRIDE",$H$19)*1,"")))</f>
        <v/>
      </c>
      <c r="AU274" t="str">
        <f>IF(OR(AU$23="",ISNA($B274)),"",IF(ISBLANK($B274),"",IFERROR(_xll.BDP(TICKER,"DEEP_MEASURE_PERIOD_BROKER_VALUE","DEEP_MEASURE_ID_OVERRIDE",$C274,"DEEP_BROKER_ID_OVERRIDE",AU$24,"DEEP_PERIOD_OVERRIDE",$H$19)*1,"")))</f>
        <v/>
      </c>
      <c r="AV274" t="str">
        <f>IF(OR(AV$23="",ISNA($B274)),"",IF(ISBLANK($B274),"",IFERROR(_xll.BDP(TICKER,"DEEP_MEASURE_PERIOD_BROKER_VALUE","DEEP_MEASURE_ID_OVERRIDE",$C274,"DEEP_BROKER_ID_OVERRIDE",AV$24,"DEEP_PERIOD_OVERRIDE",$H$19)*1,"")))</f>
        <v/>
      </c>
      <c r="AW274" t="str">
        <f>IF(OR(AW$23="",ISNA($B274)),"",IF(ISBLANK($B274),"",IFERROR(_xll.BDP(TICKER,"DEEP_MEASURE_PERIOD_BROKER_VALUE","DEEP_MEASURE_ID_OVERRIDE",$C274,"DEEP_BROKER_ID_OVERRIDE",AW$24,"DEEP_PERIOD_OVERRIDE",$H$19)*1,"")))</f>
        <v/>
      </c>
      <c r="AX274" t="str">
        <f>IF(OR(AX$23="",ISNA($B274)),"",IF(ISBLANK($B274),"",IFERROR(_xll.BDP(TICKER,"DEEP_MEASURE_PERIOD_BROKER_VALUE","DEEP_MEASURE_ID_OVERRIDE",$C274,"DEEP_BROKER_ID_OVERRIDE",AX$24,"DEEP_PERIOD_OVERRIDE",$H$19)*1,"")))</f>
        <v/>
      </c>
      <c r="AY274" t="str">
        <f>IF(OR(AY$23="",ISNA($B274)),"",IF(ISBLANK($B274),"",IFERROR(_xll.BDP(TICKER,"DEEP_MEASURE_PERIOD_BROKER_VALUE","DEEP_MEASURE_ID_OVERRIDE",$C274,"DEEP_BROKER_ID_OVERRIDE",AY$24,"DEEP_PERIOD_OVERRIDE",$H$19)*1,"")))</f>
        <v/>
      </c>
      <c r="AZ274" t="str">
        <f>IF(OR(AZ$23="",ISNA($B274)),"",IF(ISBLANK($B274),"",IFERROR(_xll.BDP(TICKER,"DEEP_MEASURE_PERIOD_BROKER_VALUE","DEEP_MEASURE_ID_OVERRIDE",$C274,"DEEP_BROKER_ID_OVERRIDE",AZ$24,"DEEP_PERIOD_OVERRIDE",$H$19)*1,"")))</f>
        <v/>
      </c>
      <c r="BA274" t="str">
        <f>IF(OR(BA$23="",ISNA($B274)),"",IF(ISBLANK($B274),"",IFERROR(_xll.BDP(TICKER,"DEEP_MEASURE_PERIOD_BROKER_VALUE","DEEP_MEASURE_ID_OVERRIDE",$C274,"DEEP_BROKER_ID_OVERRIDE",BA$24,"DEEP_PERIOD_OVERRIDE",$H$19)*1,"")))</f>
        <v/>
      </c>
      <c r="BB274" t="str">
        <f>IF(OR(BB$23="",ISNA($B274)),"",IF(ISBLANK($B274),"",IFERROR(_xll.BDP(TICKER,"DEEP_MEASURE_PERIOD_BROKER_VALUE","DEEP_MEASURE_ID_OVERRIDE",$C274,"DEEP_BROKER_ID_OVERRIDE",BB$24,"DEEP_PERIOD_OVERRIDE",$H$19)*1,"")))</f>
        <v/>
      </c>
      <c r="BC274" t="str">
        <f>IF(OR(BC$23="",ISNA($B274)),"",IF(ISBLANK($B274),"",IFERROR(_xll.BDP(TICKER,"DEEP_MEASURE_PERIOD_BROKER_VALUE","DEEP_MEASURE_ID_OVERRIDE",$C274,"DEEP_BROKER_ID_OVERRIDE",BC$24,"DEEP_PERIOD_OVERRIDE",$H$19)*1,"")))</f>
        <v/>
      </c>
      <c r="BD274" t="str">
        <f>IF(OR(BD$23="",ISNA($B274)),"",IF(ISBLANK($B274),"",IFERROR(_xll.BDP(TICKER,"DEEP_MEASURE_PERIOD_BROKER_VALUE","DEEP_MEASURE_ID_OVERRIDE",$C274,"DEEP_BROKER_ID_OVERRIDE",BD$24,"DEEP_PERIOD_OVERRIDE",$H$19)*1,"")))</f>
        <v/>
      </c>
      <c r="BE274" t="str">
        <f>IF(OR(BE$23="",ISNA($B274)),"",IF(ISBLANK($B274),"",IFERROR(_xll.BDP(TICKER,"DEEP_MEASURE_PERIOD_BROKER_VALUE","DEEP_MEASURE_ID_OVERRIDE",$C274,"DEEP_BROKER_ID_OVERRIDE",BE$24,"DEEP_PERIOD_OVERRIDE",$H$19)*1,"")))</f>
        <v/>
      </c>
      <c r="BF274" t="str">
        <f>IF(OR(BF$23="",ISNA($B274)),"",IF(ISBLANK($B274),"",IFERROR(_xll.BDP(TICKER,"DEEP_MEASURE_PERIOD_BROKER_VALUE","DEEP_MEASURE_ID_OVERRIDE",$C274,"DEEP_BROKER_ID_OVERRIDE",BF$24,"DEEP_PERIOD_OVERRIDE",$H$19)*1,"")))</f>
        <v/>
      </c>
      <c r="BG274" t="str">
        <f>IF(OR(BG$23="",ISNA($B274)),"",IF(ISBLANK($B274),"",IFERROR(_xll.BDP(TICKER,"DEEP_MEASURE_PERIOD_BROKER_VALUE","DEEP_MEASURE_ID_OVERRIDE",$C274,"DEEP_BROKER_ID_OVERRIDE",BG$24,"DEEP_PERIOD_OVERRIDE",$H$19)*1,"")))</f>
        <v/>
      </c>
      <c r="BH274" t="str">
        <f>IF(OR(BH$23="",ISNA($B274)),"",IF(ISBLANK($B274),"",IFERROR(_xll.BDP(TICKER,"DEEP_MEASURE_PERIOD_BROKER_VALUE","DEEP_MEASURE_ID_OVERRIDE",$C274,"DEEP_BROKER_ID_OVERRIDE",BH$24,"DEEP_PERIOD_OVERRIDE",$H$19)*1,"")))</f>
        <v/>
      </c>
      <c r="BI274" t="str">
        <f>IF(OR(BI$23="",ISNA($B274)),"",IF(ISBLANK($B274),"",IFERROR(_xll.BDP(TICKER,"DEEP_MEASURE_PERIOD_BROKER_VALUE","DEEP_MEASURE_ID_OVERRIDE",$C274,"DEEP_BROKER_ID_OVERRIDE",BI$24,"DEEP_PERIOD_OVERRIDE",$H$19)*1,"")))</f>
        <v/>
      </c>
      <c r="BJ274" t="str">
        <f>IF(OR(BJ$23="",ISNA($B274)),"",IF(ISBLANK($B274),"",IFERROR(_xll.BDP(TICKER,"DEEP_MEASURE_PERIOD_BROKER_VALUE","DEEP_MEASURE_ID_OVERRIDE",$C274,"DEEP_BROKER_ID_OVERRIDE",BJ$24,"DEEP_PERIOD_OVERRIDE",$H$19)*1,"")))</f>
        <v/>
      </c>
      <c r="BK274" t="str">
        <f>IF(OR(BK$23="",ISNA($B274)),"",IF(ISBLANK($B274),"",IFERROR(_xll.BDP(TICKER,"DEEP_MEASURE_PERIOD_BROKER_VALUE","DEEP_MEASURE_ID_OVERRIDE",$C274,"DEEP_BROKER_ID_OVERRIDE",BK$24,"DEEP_PERIOD_OVERRIDE",$H$19)*1,"")))</f>
        <v/>
      </c>
      <c r="BL274" t="str">
        <f>IF(OR(BL$23="",ISNA($B274)),"",IF(ISBLANK($B274),"",IFERROR(_xll.BDP(TICKER,"DEEP_MEASURE_PERIOD_BROKER_VALUE","DEEP_MEASURE_ID_OVERRIDE",$C274,"DEEP_BROKER_ID_OVERRIDE",BL$24,"DEEP_PERIOD_OVERRIDE",$H$19)*1,"")))</f>
        <v/>
      </c>
      <c r="BM274" t="str">
        <f>IF(OR(BM$23="",ISNA($B274)),"",IF(ISBLANK($B274),"",IFERROR(_xll.BDP(TICKER,"DEEP_MEASURE_PERIOD_BROKER_VALUE","DEEP_MEASURE_ID_OVERRIDE",$C274,"DEEP_BROKER_ID_OVERRIDE",BM$24,"DEEP_PERIOD_OVERRIDE",$H$19)*1,"")))</f>
        <v/>
      </c>
      <c r="BN274" t="str">
        <f>IF(OR(BN$23="",ISNA($B274)),"",IF(ISBLANK($B274),"",IFERROR(_xll.BDP(TICKER,"DEEP_MEASURE_PERIOD_BROKER_VALUE","DEEP_MEASURE_ID_OVERRIDE",$C274,"DEEP_BROKER_ID_OVERRIDE",BN$24,"DEEP_PERIOD_OVERRIDE",$H$19)*1,"")))</f>
        <v/>
      </c>
      <c r="BO274" t="str">
        <f>IF(OR(BO$23="",ISNA($B274)),"",IF(ISBLANK($B274),"",IFERROR(_xll.BDP(TICKER,"DEEP_MEASURE_PERIOD_BROKER_VALUE","DEEP_MEASURE_ID_OVERRIDE",$C274,"DEEP_BROKER_ID_OVERRIDE",BO$24,"DEEP_PERIOD_OVERRIDE",$H$19)*1,"")))</f>
        <v/>
      </c>
      <c r="BP274" t="str">
        <f>IF(OR(BP$23="",ISNA($B274)),"",IF(ISBLANK($B274),"",IFERROR(_xll.BDP(TICKER,"DEEP_MEASURE_PERIOD_BROKER_VALUE","DEEP_MEASURE_ID_OVERRIDE",$C274,"DEEP_BROKER_ID_OVERRIDE",BP$24,"DEEP_PERIOD_OVERRIDE",$H$19)*1,"")))</f>
        <v/>
      </c>
      <c r="BQ274" t="str">
        <f>IF(OR(BQ$23="",ISNA($B274)),"",IF(ISBLANK($B274),"",IFERROR(_xll.BDP(TICKER,"DEEP_MEASURE_PERIOD_BROKER_VALUE","DEEP_MEASURE_ID_OVERRIDE",$C274,"DEEP_BROKER_ID_OVERRIDE",BQ$24,"DEEP_PERIOD_OVERRIDE",$H$19)*1,"")))</f>
        <v/>
      </c>
      <c r="BR274" t="str">
        <f>IF(OR(BR$23="",ISNA($B274)),"",IF(ISBLANK($B274),"",IFERROR(_xll.BDP(TICKER,"DEEP_MEASURE_PERIOD_BROKER_VALUE","DEEP_MEASURE_ID_OVERRIDE",$C274,"DEEP_BROKER_ID_OVERRIDE",BR$24,"DEEP_PERIOD_OVERRIDE",$H$19)*1,"")))</f>
        <v/>
      </c>
      <c r="BS274" t="str">
        <f>IF(OR(BS$23="",ISNA($B274)),"",IF(ISBLANK($B274),"",IFERROR(_xll.BDP(TICKER,"DEEP_MEASURE_PERIOD_BROKER_VALUE","DEEP_MEASURE_ID_OVERRIDE",$C274,"DEEP_BROKER_ID_OVERRIDE",BS$24,"DEEP_PERIOD_OVERRIDE",$H$19)*1,"")))</f>
        <v/>
      </c>
      <c r="BT274" t="str">
        <f>IF(OR(BT$23="",ISNA($B274)),"",IF(ISBLANK($B274),"",IFERROR(_xll.BDP(TICKER,"DEEP_MEASURE_PERIOD_BROKER_VALUE","DEEP_MEASURE_ID_OVERRIDE",$C274,"DEEP_BROKER_ID_OVERRIDE",BT$24,"DEEP_PERIOD_OVERRIDE",$H$19)*1,"")))</f>
        <v/>
      </c>
      <c r="BU274" t="str">
        <f>IF(OR(BU$23="",ISNA($B274)),"",IF(ISBLANK($B274),"",IFERROR(_xll.BDP(TICKER,"DEEP_MEASURE_PERIOD_BROKER_VALUE","DEEP_MEASURE_ID_OVERRIDE",$C274,"DEEP_BROKER_ID_OVERRIDE",BU$24,"DEEP_PERIOD_OVERRIDE",$H$19)*1,"")))</f>
        <v/>
      </c>
      <c r="BV274" t="str">
        <f>IF(OR(BV$23="",ISNA($B274)),"",IF(ISBLANK($B274),"",IFERROR(_xll.BDP(TICKER,"DEEP_MEASURE_PERIOD_BROKER_VALUE","DEEP_MEASURE_ID_OVERRIDE",$C274,"DEEP_BROKER_ID_OVERRIDE",BV$24,"DEEP_PERIOD_OVERRIDE",$H$19)*1,"")))</f>
        <v/>
      </c>
      <c r="BW274" t="str">
        <f>IF(OR(BW$23="",ISNA($B274)),"",IF(ISBLANK($B274),"",IFERROR(_xll.BDP(TICKER,"DEEP_MEASURE_PERIOD_BROKER_VALUE","DEEP_MEASURE_ID_OVERRIDE",$C274,"DEEP_BROKER_ID_OVERRIDE",BW$24,"DEEP_PERIOD_OVERRIDE",$H$19)*1,"")))</f>
        <v/>
      </c>
      <c r="BX274" t="str">
        <f>IF(OR(BX$23="",ISNA($B274)),"",IF(ISBLANK($B274),"",IFERROR(_xll.BDP(TICKER,"DEEP_MEASURE_PERIOD_BROKER_VALUE","DEEP_MEASURE_ID_OVERRIDE",$C274,"DEEP_BROKER_ID_OVERRIDE",BX$24,"DEEP_PERIOD_OVERRIDE",$H$19)*1,"")))</f>
        <v/>
      </c>
      <c r="BY274" t="str">
        <f>IF(OR(BY$23="",ISNA($B274)),"",IF(ISBLANK($B274),"",IFERROR(_xll.BDP(TICKER,"DEEP_MEASURE_PERIOD_BROKER_VALUE","DEEP_MEASURE_ID_OVERRIDE",$C274,"DEEP_BROKER_ID_OVERRIDE",BY$24,"DEEP_PERIOD_OVERRIDE",$H$19)*1,"")))</f>
        <v/>
      </c>
      <c r="BZ274" t="str">
        <f>IF(OR(BZ$23="",ISNA($B274)),"",IF(ISBLANK($B274),"",IFERROR(_xll.BDP(TICKER,"DEEP_MEASURE_PERIOD_BROKER_VALUE","DEEP_MEASURE_ID_OVERRIDE",$C274,"DEEP_BROKER_ID_OVERRIDE",BZ$24,"DEEP_PERIOD_OVERRIDE",$H$19)*1,"")))</f>
        <v/>
      </c>
    </row>
    <row r="275" spans="8:78" x14ac:dyDescent="0.25">
      <c r="H275" t="str">
        <f t="shared" si="4"/>
        <v/>
      </c>
      <c r="I275" t="str">
        <f>IF(OR(I$23="",ISNA($B275)),"",IF(ISBLANK($B275),"",IFERROR(_xll.BDP(TICKER,"DEEP_MEASURE_PERIOD_BROKER_VALUE","DEEP_MEASURE_ID_OVERRIDE",$C275,"DEEP_PERIOD_OVERRIDE",$H$19)*1,"")))</f>
        <v/>
      </c>
      <c r="J275" t="e">
        <f>IF(OR(J$23="",ISNA($B275)),"",IF(ISBLANK($B275),"",IFERROR(_xll.BDP(TICKER,"DEEP_MEASURE_PERIOD_BROKER_VALUE","DEEP_MEASURE_ID_OVERRIDE",$C275,"DEEP_BROKER_ID_OVERRIDE",J$24,"DEEP_PERIOD_OVERRIDE",$H$19)*1,"")))</f>
        <v>#REF!</v>
      </c>
      <c r="K275" t="str">
        <f>IF(OR(K$23="",ISNA($B275)),"",IF(ISBLANK($B275),"",IFERROR(_xll.BDP(TICKER,"DEEP_MEASURE_PERIOD_BROKER_VALUE","DEEP_MEASURE_ID_OVERRIDE",$C275,"DEEP_BROKER_ID_OVERRIDE",K$24,"DEEP_PERIOD_OVERRIDE",$H$19)*1,"")))</f>
        <v/>
      </c>
      <c r="L275" t="str">
        <f>IF(OR(L$23="",ISNA($B275)),"",IF(ISBLANK($B275),"",IFERROR(_xll.BDP(TICKER,"DEEP_MEASURE_PERIOD_BROKER_VALUE","DEEP_MEASURE_ID_OVERRIDE",$C275,"DEEP_BROKER_ID_OVERRIDE",L$24,"DEEP_PERIOD_OVERRIDE",$H$19)*1,"")))</f>
        <v/>
      </c>
      <c r="M275" t="str">
        <f>IF(OR(M$23="",ISNA($B275)),"",IF(ISBLANK($B275),"",IFERROR(_xll.BDP(TICKER,"DEEP_MEASURE_PERIOD_BROKER_VALUE","DEEP_MEASURE_ID_OVERRIDE",$C275,"DEEP_BROKER_ID_OVERRIDE",M$24,"DEEP_PERIOD_OVERRIDE",$H$19)*1,"")))</f>
        <v/>
      </c>
      <c r="N275" t="str">
        <f>IF(OR(N$23="",ISNA($B275)),"",IF(ISBLANK($B275),"",IFERROR(_xll.BDP(TICKER,"DEEP_MEASURE_PERIOD_BROKER_VALUE","DEEP_MEASURE_ID_OVERRIDE",$C275,"DEEP_BROKER_ID_OVERRIDE",N$24,"DEEP_PERIOD_OVERRIDE",$H$19)*1,"")))</f>
        <v/>
      </c>
      <c r="O275" t="str">
        <f>IF(OR(O$23="",ISNA($B275)),"",IF(ISBLANK($B275),"",IFERROR(_xll.BDP(TICKER,"DEEP_MEASURE_PERIOD_BROKER_VALUE","DEEP_MEASURE_ID_OVERRIDE",$C275,"DEEP_BROKER_ID_OVERRIDE",O$24,"DEEP_PERIOD_OVERRIDE",$H$19)*1,"")))</f>
        <v/>
      </c>
      <c r="P275" t="str">
        <f>IF(OR(P$23="",ISNA($B275)),"",IF(ISBLANK($B275),"",IFERROR(_xll.BDP(TICKER,"DEEP_MEASURE_PERIOD_BROKER_VALUE","DEEP_MEASURE_ID_OVERRIDE",$C275,"DEEP_BROKER_ID_OVERRIDE",P$24,"DEEP_PERIOD_OVERRIDE",$H$19)*1,"")))</f>
        <v/>
      </c>
      <c r="Q275" t="str">
        <f>IF(OR(Q$23="",ISNA($B275)),"",IF(ISBLANK($B275),"",IFERROR(_xll.BDP(TICKER,"DEEP_MEASURE_PERIOD_BROKER_VALUE","DEEP_MEASURE_ID_OVERRIDE",$C275,"DEEP_BROKER_ID_OVERRIDE",Q$24,"DEEP_PERIOD_OVERRIDE",$H$19)*1,"")))</f>
        <v/>
      </c>
      <c r="R275" t="str">
        <f>IF(OR(R$23="",ISNA($B275)),"",IF(ISBLANK($B275),"",IFERROR(_xll.BDP(TICKER,"DEEP_MEASURE_PERIOD_BROKER_VALUE","DEEP_MEASURE_ID_OVERRIDE",$C275,"DEEP_BROKER_ID_OVERRIDE",R$24,"DEEP_PERIOD_OVERRIDE",$H$19)*1,"")))</f>
        <v/>
      </c>
      <c r="S275" t="str">
        <f>IF(OR(S$23="",ISNA($B275)),"",IF(ISBLANK($B275),"",IFERROR(_xll.BDP(TICKER,"DEEP_MEASURE_PERIOD_BROKER_VALUE","DEEP_MEASURE_ID_OVERRIDE",$C275,"DEEP_BROKER_ID_OVERRIDE",S$24,"DEEP_PERIOD_OVERRIDE",$H$19)*1,"")))</f>
        <v/>
      </c>
      <c r="T275" t="str">
        <f>IF(OR(T$23="",ISNA($B275)),"",IF(ISBLANK($B275),"",IFERROR(_xll.BDP(TICKER,"DEEP_MEASURE_PERIOD_BROKER_VALUE","DEEP_MEASURE_ID_OVERRIDE",$C275,"DEEP_BROKER_ID_OVERRIDE",T$24,"DEEP_PERIOD_OVERRIDE",$H$19)*1,"")))</f>
        <v/>
      </c>
      <c r="U275" t="str">
        <f>IF(OR(U$23="",ISNA($B275)),"",IF(ISBLANK($B275),"",IFERROR(_xll.BDP(TICKER,"DEEP_MEASURE_PERIOD_BROKER_VALUE","DEEP_MEASURE_ID_OVERRIDE",$C275,"DEEP_BROKER_ID_OVERRIDE",U$24,"DEEP_PERIOD_OVERRIDE",$H$19)*1,"")))</f>
        <v/>
      </c>
      <c r="V275" t="str">
        <f>IF(OR(V$23="",ISNA($B275)),"",IF(ISBLANK($B275),"",IFERROR(_xll.BDP(TICKER,"DEEP_MEASURE_PERIOD_BROKER_VALUE","DEEP_MEASURE_ID_OVERRIDE",$C275,"DEEP_BROKER_ID_OVERRIDE",V$24,"DEEP_PERIOD_OVERRIDE",$H$19)*1,"")))</f>
        <v/>
      </c>
      <c r="W275" t="str">
        <f>IF(OR(W$23="",ISNA($B275)),"",IF(ISBLANK($B275),"",IFERROR(_xll.BDP(TICKER,"DEEP_MEASURE_PERIOD_BROKER_VALUE","DEEP_MEASURE_ID_OVERRIDE",$C275,"DEEP_BROKER_ID_OVERRIDE",W$24,"DEEP_PERIOD_OVERRIDE",$H$19)*1,"")))</f>
        <v/>
      </c>
      <c r="X275" t="str">
        <f>IF(OR(X$23="",ISNA($B275)),"",IF(ISBLANK($B275),"",IFERROR(_xll.BDP(TICKER,"DEEP_MEASURE_PERIOD_BROKER_VALUE","DEEP_MEASURE_ID_OVERRIDE",$C275,"DEEP_BROKER_ID_OVERRIDE",X$24,"DEEP_PERIOD_OVERRIDE",$H$19)*1,"")))</f>
        <v/>
      </c>
      <c r="Y275" t="str">
        <f>IF(OR(Y$23="",ISNA($B275)),"",IF(ISBLANK($B275),"",IFERROR(_xll.BDP(TICKER,"DEEP_MEASURE_PERIOD_BROKER_VALUE","DEEP_MEASURE_ID_OVERRIDE",$C275,"DEEP_BROKER_ID_OVERRIDE",Y$24,"DEEP_PERIOD_OVERRIDE",$H$19)*1,"")))</f>
        <v/>
      </c>
      <c r="Z275" t="str">
        <f>IF(OR(Z$23="",ISNA($B275)),"",IF(ISBLANK($B275),"",IFERROR(_xll.BDP(TICKER,"DEEP_MEASURE_PERIOD_BROKER_VALUE","DEEP_MEASURE_ID_OVERRIDE",$C275,"DEEP_BROKER_ID_OVERRIDE",Z$24,"DEEP_PERIOD_OVERRIDE",$H$19)*1,"")))</f>
        <v/>
      </c>
      <c r="AA275" t="str">
        <f>IF(OR(AA$23="",ISNA($B275)),"",IF(ISBLANK($B275),"",IFERROR(_xll.BDP(TICKER,"DEEP_MEASURE_PERIOD_BROKER_VALUE","DEEP_MEASURE_ID_OVERRIDE",$C275,"DEEP_BROKER_ID_OVERRIDE",AA$24,"DEEP_PERIOD_OVERRIDE",$H$19)*1,"")))</f>
        <v/>
      </c>
      <c r="AB275" t="str">
        <f>IF(OR(AB$23="",ISNA($B275)),"",IF(ISBLANK($B275),"",IFERROR(_xll.BDP(TICKER,"DEEP_MEASURE_PERIOD_BROKER_VALUE","DEEP_MEASURE_ID_OVERRIDE",$C275,"DEEP_BROKER_ID_OVERRIDE",AB$24,"DEEP_PERIOD_OVERRIDE",$H$19)*1,"")))</f>
        <v/>
      </c>
      <c r="AC275" t="str">
        <f>IF(OR(AC$23="",ISNA($B275)),"",IF(ISBLANK($B275),"",IFERROR(_xll.BDP(TICKER,"DEEP_MEASURE_PERIOD_BROKER_VALUE","DEEP_MEASURE_ID_OVERRIDE",$C275,"DEEP_BROKER_ID_OVERRIDE",AC$24,"DEEP_PERIOD_OVERRIDE",$H$19)*1,"")))</f>
        <v/>
      </c>
      <c r="AD275" t="str">
        <f>IF(OR(AD$23="",ISNA($B275)),"",IF(ISBLANK($B275),"",IFERROR(_xll.BDP(TICKER,"DEEP_MEASURE_PERIOD_BROKER_VALUE","DEEP_MEASURE_ID_OVERRIDE",$C275,"DEEP_BROKER_ID_OVERRIDE",AD$24,"DEEP_PERIOD_OVERRIDE",$H$19)*1,"")))</f>
        <v/>
      </c>
      <c r="AE275" t="str">
        <f>IF(OR(AE$23="",ISNA($B275)),"",IF(ISBLANK($B275),"",IFERROR(_xll.BDP(TICKER,"DEEP_MEASURE_PERIOD_BROKER_VALUE","DEEP_MEASURE_ID_OVERRIDE",$C275,"DEEP_BROKER_ID_OVERRIDE",AE$24,"DEEP_PERIOD_OVERRIDE",$H$19)*1,"")))</f>
        <v/>
      </c>
      <c r="AF275" t="str">
        <f>IF(OR(AF$23="",ISNA($B275)),"",IF(ISBLANK($B275),"",IFERROR(_xll.BDP(TICKER,"DEEP_MEASURE_PERIOD_BROKER_VALUE","DEEP_MEASURE_ID_OVERRIDE",$C275,"DEEP_BROKER_ID_OVERRIDE",AF$24,"DEEP_PERIOD_OVERRIDE",$H$19)*1,"")))</f>
        <v/>
      </c>
      <c r="AG275" t="str">
        <f>IF(OR(AG$23="",ISNA($B275)),"",IF(ISBLANK($B275),"",IFERROR(_xll.BDP(TICKER,"DEEP_MEASURE_PERIOD_BROKER_VALUE","DEEP_MEASURE_ID_OVERRIDE",$C275,"DEEP_BROKER_ID_OVERRIDE",AG$24,"DEEP_PERIOD_OVERRIDE",$H$19)*1,"")))</f>
        <v/>
      </c>
      <c r="AH275" t="str">
        <f>IF(OR(AH$23="",ISNA($B275)),"",IF(ISBLANK($B275),"",IFERROR(_xll.BDP(TICKER,"DEEP_MEASURE_PERIOD_BROKER_VALUE","DEEP_MEASURE_ID_OVERRIDE",$C275,"DEEP_BROKER_ID_OVERRIDE",AH$24,"DEEP_PERIOD_OVERRIDE",$H$19)*1,"")))</f>
        <v/>
      </c>
      <c r="AI275" t="str">
        <f>IF(OR(AI$23="",ISNA($B275)),"",IF(ISBLANK($B275),"",IFERROR(_xll.BDP(TICKER,"DEEP_MEASURE_PERIOD_BROKER_VALUE","DEEP_MEASURE_ID_OVERRIDE",$C275,"DEEP_BROKER_ID_OVERRIDE",AI$24,"DEEP_PERIOD_OVERRIDE",$H$19)*1,"")))</f>
        <v/>
      </c>
      <c r="AJ275" t="str">
        <f>IF(OR(AJ$23="",ISNA($B275)),"",IF(ISBLANK($B275),"",IFERROR(_xll.BDP(TICKER,"DEEP_MEASURE_PERIOD_BROKER_VALUE","DEEP_MEASURE_ID_OVERRIDE",$C275,"DEEP_BROKER_ID_OVERRIDE",AJ$24,"DEEP_PERIOD_OVERRIDE",$H$19)*1,"")))</f>
        <v/>
      </c>
      <c r="AK275" t="str">
        <f>IF(OR(AK$23="",ISNA($B275)),"",IF(ISBLANK($B275),"",IFERROR(_xll.BDP(TICKER,"DEEP_MEASURE_PERIOD_BROKER_VALUE","DEEP_MEASURE_ID_OVERRIDE",$C275,"DEEP_BROKER_ID_OVERRIDE",AK$24,"DEEP_PERIOD_OVERRIDE",$H$19)*1,"")))</f>
        <v/>
      </c>
      <c r="AL275" t="str">
        <f>IF(OR(AL$23="",ISNA($B275)),"",IF(ISBLANK($B275),"",IFERROR(_xll.BDP(TICKER,"DEEP_MEASURE_PERIOD_BROKER_VALUE","DEEP_MEASURE_ID_OVERRIDE",$C275,"DEEP_BROKER_ID_OVERRIDE",AL$24,"DEEP_PERIOD_OVERRIDE",$H$19)*1,"")))</f>
        <v/>
      </c>
      <c r="AM275" t="str">
        <f>IF(OR(AM$23="",ISNA($B275)),"",IF(ISBLANK($B275),"",IFERROR(_xll.BDP(TICKER,"DEEP_MEASURE_PERIOD_BROKER_VALUE","DEEP_MEASURE_ID_OVERRIDE",$C275,"DEEP_BROKER_ID_OVERRIDE",AM$24,"DEEP_PERIOD_OVERRIDE",$H$19)*1,"")))</f>
        <v/>
      </c>
      <c r="AN275" t="str">
        <f>IF(OR(AN$23="",ISNA($B275)),"",IF(ISBLANK($B275),"",IFERROR(_xll.BDP(TICKER,"DEEP_MEASURE_PERIOD_BROKER_VALUE","DEEP_MEASURE_ID_OVERRIDE",$C275,"DEEP_BROKER_ID_OVERRIDE",AN$24,"DEEP_PERIOD_OVERRIDE",$H$19)*1,"")))</f>
        <v/>
      </c>
      <c r="AO275" t="str">
        <f>IF(OR(AO$23="",ISNA($B275)),"",IF(ISBLANK($B275),"",IFERROR(_xll.BDP(TICKER,"DEEP_MEASURE_PERIOD_BROKER_VALUE","DEEP_MEASURE_ID_OVERRIDE",$C275,"DEEP_BROKER_ID_OVERRIDE",AO$24,"DEEP_PERIOD_OVERRIDE",$H$19)*1,"")))</f>
        <v/>
      </c>
      <c r="AP275" t="str">
        <f>IF(OR(AP$23="",ISNA($B275)),"",IF(ISBLANK($B275),"",IFERROR(_xll.BDP(TICKER,"DEEP_MEASURE_PERIOD_BROKER_VALUE","DEEP_MEASURE_ID_OVERRIDE",$C275,"DEEP_BROKER_ID_OVERRIDE",AP$24,"DEEP_PERIOD_OVERRIDE",$H$19)*1,"")))</f>
        <v/>
      </c>
      <c r="AQ275" t="str">
        <f>IF(OR(AQ$23="",ISNA($B275)),"",IF(ISBLANK($B275),"",IFERROR(_xll.BDP(TICKER,"DEEP_MEASURE_PERIOD_BROKER_VALUE","DEEP_MEASURE_ID_OVERRIDE",$C275,"DEEP_BROKER_ID_OVERRIDE",AQ$24,"DEEP_PERIOD_OVERRIDE",$H$19)*1,"")))</f>
        <v/>
      </c>
      <c r="AR275" t="str">
        <f>IF(OR(AR$23="",ISNA($B275)),"",IF(ISBLANK($B275),"",IFERROR(_xll.BDP(TICKER,"DEEP_MEASURE_PERIOD_BROKER_VALUE","DEEP_MEASURE_ID_OVERRIDE",$C275,"DEEP_BROKER_ID_OVERRIDE",AR$24,"DEEP_PERIOD_OVERRIDE",$H$19)*1,"")))</f>
        <v/>
      </c>
      <c r="AS275" t="str">
        <f>IF(OR(AS$23="",ISNA($B275)),"",IF(ISBLANK($B275),"",IFERROR(_xll.BDP(TICKER,"DEEP_MEASURE_PERIOD_BROKER_VALUE","DEEP_MEASURE_ID_OVERRIDE",$C275,"DEEP_BROKER_ID_OVERRIDE",AS$24,"DEEP_PERIOD_OVERRIDE",$H$19)*1,"")))</f>
        <v/>
      </c>
      <c r="AT275" t="str">
        <f>IF(OR(AT$23="",ISNA($B275)),"",IF(ISBLANK($B275),"",IFERROR(_xll.BDP(TICKER,"DEEP_MEASURE_PERIOD_BROKER_VALUE","DEEP_MEASURE_ID_OVERRIDE",$C275,"DEEP_BROKER_ID_OVERRIDE",AT$24,"DEEP_PERIOD_OVERRIDE",$H$19)*1,"")))</f>
        <v/>
      </c>
      <c r="AU275" t="str">
        <f>IF(OR(AU$23="",ISNA($B275)),"",IF(ISBLANK($B275),"",IFERROR(_xll.BDP(TICKER,"DEEP_MEASURE_PERIOD_BROKER_VALUE","DEEP_MEASURE_ID_OVERRIDE",$C275,"DEEP_BROKER_ID_OVERRIDE",AU$24,"DEEP_PERIOD_OVERRIDE",$H$19)*1,"")))</f>
        <v/>
      </c>
      <c r="AV275" t="str">
        <f>IF(OR(AV$23="",ISNA($B275)),"",IF(ISBLANK($B275),"",IFERROR(_xll.BDP(TICKER,"DEEP_MEASURE_PERIOD_BROKER_VALUE","DEEP_MEASURE_ID_OVERRIDE",$C275,"DEEP_BROKER_ID_OVERRIDE",AV$24,"DEEP_PERIOD_OVERRIDE",$H$19)*1,"")))</f>
        <v/>
      </c>
      <c r="AW275" t="str">
        <f>IF(OR(AW$23="",ISNA($B275)),"",IF(ISBLANK($B275),"",IFERROR(_xll.BDP(TICKER,"DEEP_MEASURE_PERIOD_BROKER_VALUE","DEEP_MEASURE_ID_OVERRIDE",$C275,"DEEP_BROKER_ID_OVERRIDE",AW$24,"DEEP_PERIOD_OVERRIDE",$H$19)*1,"")))</f>
        <v/>
      </c>
      <c r="AX275" t="str">
        <f>IF(OR(AX$23="",ISNA($B275)),"",IF(ISBLANK($B275),"",IFERROR(_xll.BDP(TICKER,"DEEP_MEASURE_PERIOD_BROKER_VALUE","DEEP_MEASURE_ID_OVERRIDE",$C275,"DEEP_BROKER_ID_OVERRIDE",AX$24,"DEEP_PERIOD_OVERRIDE",$H$19)*1,"")))</f>
        <v/>
      </c>
      <c r="AY275" t="str">
        <f>IF(OR(AY$23="",ISNA($B275)),"",IF(ISBLANK($B275),"",IFERROR(_xll.BDP(TICKER,"DEEP_MEASURE_PERIOD_BROKER_VALUE","DEEP_MEASURE_ID_OVERRIDE",$C275,"DEEP_BROKER_ID_OVERRIDE",AY$24,"DEEP_PERIOD_OVERRIDE",$H$19)*1,"")))</f>
        <v/>
      </c>
      <c r="AZ275" t="str">
        <f>IF(OR(AZ$23="",ISNA($B275)),"",IF(ISBLANK($B275),"",IFERROR(_xll.BDP(TICKER,"DEEP_MEASURE_PERIOD_BROKER_VALUE","DEEP_MEASURE_ID_OVERRIDE",$C275,"DEEP_BROKER_ID_OVERRIDE",AZ$24,"DEEP_PERIOD_OVERRIDE",$H$19)*1,"")))</f>
        <v/>
      </c>
      <c r="BA275" t="str">
        <f>IF(OR(BA$23="",ISNA($B275)),"",IF(ISBLANK($B275),"",IFERROR(_xll.BDP(TICKER,"DEEP_MEASURE_PERIOD_BROKER_VALUE","DEEP_MEASURE_ID_OVERRIDE",$C275,"DEEP_BROKER_ID_OVERRIDE",BA$24,"DEEP_PERIOD_OVERRIDE",$H$19)*1,"")))</f>
        <v/>
      </c>
      <c r="BB275" t="str">
        <f>IF(OR(BB$23="",ISNA($B275)),"",IF(ISBLANK($B275),"",IFERROR(_xll.BDP(TICKER,"DEEP_MEASURE_PERIOD_BROKER_VALUE","DEEP_MEASURE_ID_OVERRIDE",$C275,"DEEP_BROKER_ID_OVERRIDE",BB$24,"DEEP_PERIOD_OVERRIDE",$H$19)*1,"")))</f>
        <v/>
      </c>
      <c r="BC275" t="str">
        <f>IF(OR(BC$23="",ISNA($B275)),"",IF(ISBLANK($B275),"",IFERROR(_xll.BDP(TICKER,"DEEP_MEASURE_PERIOD_BROKER_VALUE","DEEP_MEASURE_ID_OVERRIDE",$C275,"DEEP_BROKER_ID_OVERRIDE",BC$24,"DEEP_PERIOD_OVERRIDE",$H$19)*1,"")))</f>
        <v/>
      </c>
      <c r="BD275" t="str">
        <f>IF(OR(BD$23="",ISNA($B275)),"",IF(ISBLANK($B275),"",IFERROR(_xll.BDP(TICKER,"DEEP_MEASURE_PERIOD_BROKER_VALUE","DEEP_MEASURE_ID_OVERRIDE",$C275,"DEEP_BROKER_ID_OVERRIDE",BD$24,"DEEP_PERIOD_OVERRIDE",$H$19)*1,"")))</f>
        <v/>
      </c>
      <c r="BE275" t="str">
        <f>IF(OR(BE$23="",ISNA($B275)),"",IF(ISBLANK($B275),"",IFERROR(_xll.BDP(TICKER,"DEEP_MEASURE_PERIOD_BROKER_VALUE","DEEP_MEASURE_ID_OVERRIDE",$C275,"DEEP_BROKER_ID_OVERRIDE",BE$24,"DEEP_PERIOD_OVERRIDE",$H$19)*1,"")))</f>
        <v/>
      </c>
      <c r="BF275" t="str">
        <f>IF(OR(BF$23="",ISNA($B275)),"",IF(ISBLANK($B275),"",IFERROR(_xll.BDP(TICKER,"DEEP_MEASURE_PERIOD_BROKER_VALUE","DEEP_MEASURE_ID_OVERRIDE",$C275,"DEEP_BROKER_ID_OVERRIDE",BF$24,"DEEP_PERIOD_OVERRIDE",$H$19)*1,"")))</f>
        <v/>
      </c>
      <c r="BG275" t="str">
        <f>IF(OR(BG$23="",ISNA($B275)),"",IF(ISBLANK($B275),"",IFERROR(_xll.BDP(TICKER,"DEEP_MEASURE_PERIOD_BROKER_VALUE","DEEP_MEASURE_ID_OVERRIDE",$C275,"DEEP_BROKER_ID_OVERRIDE",BG$24,"DEEP_PERIOD_OVERRIDE",$H$19)*1,"")))</f>
        <v/>
      </c>
      <c r="BH275" t="str">
        <f>IF(OR(BH$23="",ISNA($B275)),"",IF(ISBLANK($B275),"",IFERROR(_xll.BDP(TICKER,"DEEP_MEASURE_PERIOD_BROKER_VALUE","DEEP_MEASURE_ID_OVERRIDE",$C275,"DEEP_BROKER_ID_OVERRIDE",BH$24,"DEEP_PERIOD_OVERRIDE",$H$19)*1,"")))</f>
        <v/>
      </c>
      <c r="BI275" t="str">
        <f>IF(OR(BI$23="",ISNA($B275)),"",IF(ISBLANK($B275),"",IFERROR(_xll.BDP(TICKER,"DEEP_MEASURE_PERIOD_BROKER_VALUE","DEEP_MEASURE_ID_OVERRIDE",$C275,"DEEP_BROKER_ID_OVERRIDE",BI$24,"DEEP_PERIOD_OVERRIDE",$H$19)*1,"")))</f>
        <v/>
      </c>
      <c r="BJ275" t="str">
        <f>IF(OR(BJ$23="",ISNA($B275)),"",IF(ISBLANK($B275),"",IFERROR(_xll.BDP(TICKER,"DEEP_MEASURE_PERIOD_BROKER_VALUE","DEEP_MEASURE_ID_OVERRIDE",$C275,"DEEP_BROKER_ID_OVERRIDE",BJ$24,"DEEP_PERIOD_OVERRIDE",$H$19)*1,"")))</f>
        <v/>
      </c>
      <c r="BK275" t="str">
        <f>IF(OR(BK$23="",ISNA($B275)),"",IF(ISBLANK($B275),"",IFERROR(_xll.BDP(TICKER,"DEEP_MEASURE_PERIOD_BROKER_VALUE","DEEP_MEASURE_ID_OVERRIDE",$C275,"DEEP_BROKER_ID_OVERRIDE",BK$24,"DEEP_PERIOD_OVERRIDE",$H$19)*1,"")))</f>
        <v/>
      </c>
      <c r="BL275" t="str">
        <f>IF(OR(BL$23="",ISNA($B275)),"",IF(ISBLANK($B275),"",IFERROR(_xll.BDP(TICKER,"DEEP_MEASURE_PERIOD_BROKER_VALUE","DEEP_MEASURE_ID_OVERRIDE",$C275,"DEEP_BROKER_ID_OVERRIDE",BL$24,"DEEP_PERIOD_OVERRIDE",$H$19)*1,"")))</f>
        <v/>
      </c>
      <c r="BM275" t="str">
        <f>IF(OR(BM$23="",ISNA($B275)),"",IF(ISBLANK($B275),"",IFERROR(_xll.BDP(TICKER,"DEEP_MEASURE_PERIOD_BROKER_VALUE","DEEP_MEASURE_ID_OVERRIDE",$C275,"DEEP_BROKER_ID_OVERRIDE",BM$24,"DEEP_PERIOD_OVERRIDE",$H$19)*1,"")))</f>
        <v/>
      </c>
      <c r="BN275" t="str">
        <f>IF(OR(BN$23="",ISNA($B275)),"",IF(ISBLANK($B275),"",IFERROR(_xll.BDP(TICKER,"DEEP_MEASURE_PERIOD_BROKER_VALUE","DEEP_MEASURE_ID_OVERRIDE",$C275,"DEEP_BROKER_ID_OVERRIDE",BN$24,"DEEP_PERIOD_OVERRIDE",$H$19)*1,"")))</f>
        <v/>
      </c>
      <c r="BO275" t="str">
        <f>IF(OR(BO$23="",ISNA($B275)),"",IF(ISBLANK($B275),"",IFERROR(_xll.BDP(TICKER,"DEEP_MEASURE_PERIOD_BROKER_VALUE","DEEP_MEASURE_ID_OVERRIDE",$C275,"DEEP_BROKER_ID_OVERRIDE",BO$24,"DEEP_PERIOD_OVERRIDE",$H$19)*1,"")))</f>
        <v/>
      </c>
      <c r="BP275" t="str">
        <f>IF(OR(BP$23="",ISNA($B275)),"",IF(ISBLANK($B275),"",IFERROR(_xll.BDP(TICKER,"DEEP_MEASURE_PERIOD_BROKER_VALUE","DEEP_MEASURE_ID_OVERRIDE",$C275,"DEEP_BROKER_ID_OVERRIDE",BP$24,"DEEP_PERIOD_OVERRIDE",$H$19)*1,"")))</f>
        <v/>
      </c>
      <c r="BQ275" t="str">
        <f>IF(OR(BQ$23="",ISNA($B275)),"",IF(ISBLANK($B275),"",IFERROR(_xll.BDP(TICKER,"DEEP_MEASURE_PERIOD_BROKER_VALUE","DEEP_MEASURE_ID_OVERRIDE",$C275,"DEEP_BROKER_ID_OVERRIDE",BQ$24,"DEEP_PERIOD_OVERRIDE",$H$19)*1,"")))</f>
        <v/>
      </c>
      <c r="BR275" t="str">
        <f>IF(OR(BR$23="",ISNA($B275)),"",IF(ISBLANK($B275),"",IFERROR(_xll.BDP(TICKER,"DEEP_MEASURE_PERIOD_BROKER_VALUE","DEEP_MEASURE_ID_OVERRIDE",$C275,"DEEP_BROKER_ID_OVERRIDE",BR$24,"DEEP_PERIOD_OVERRIDE",$H$19)*1,"")))</f>
        <v/>
      </c>
      <c r="BS275" t="str">
        <f>IF(OR(BS$23="",ISNA($B275)),"",IF(ISBLANK($B275),"",IFERROR(_xll.BDP(TICKER,"DEEP_MEASURE_PERIOD_BROKER_VALUE","DEEP_MEASURE_ID_OVERRIDE",$C275,"DEEP_BROKER_ID_OVERRIDE",BS$24,"DEEP_PERIOD_OVERRIDE",$H$19)*1,"")))</f>
        <v/>
      </c>
      <c r="BT275" t="str">
        <f>IF(OR(BT$23="",ISNA($B275)),"",IF(ISBLANK($B275),"",IFERROR(_xll.BDP(TICKER,"DEEP_MEASURE_PERIOD_BROKER_VALUE","DEEP_MEASURE_ID_OVERRIDE",$C275,"DEEP_BROKER_ID_OVERRIDE",BT$24,"DEEP_PERIOD_OVERRIDE",$H$19)*1,"")))</f>
        <v/>
      </c>
      <c r="BU275" t="str">
        <f>IF(OR(BU$23="",ISNA($B275)),"",IF(ISBLANK($B275),"",IFERROR(_xll.BDP(TICKER,"DEEP_MEASURE_PERIOD_BROKER_VALUE","DEEP_MEASURE_ID_OVERRIDE",$C275,"DEEP_BROKER_ID_OVERRIDE",BU$24,"DEEP_PERIOD_OVERRIDE",$H$19)*1,"")))</f>
        <v/>
      </c>
      <c r="BV275" t="str">
        <f>IF(OR(BV$23="",ISNA($B275)),"",IF(ISBLANK($B275),"",IFERROR(_xll.BDP(TICKER,"DEEP_MEASURE_PERIOD_BROKER_VALUE","DEEP_MEASURE_ID_OVERRIDE",$C275,"DEEP_BROKER_ID_OVERRIDE",BV$24,"DEEP_PERIOD_OVERRIDE",$H$19)*1,"")))</f>
        <v/>
      </c>
      <c r="BW275" t="str">
        <f>IF(OR(BW$23="",ISNA($B275)),"",IF(ISBLANK($B275),"",IFERROR(_xll.BDP(TICKER,"DEEP_MEASURE_PERIOD_BROKER_VALUE","DEEP_MEASURE_ID_OVERRIDE",$C275,"DEEP_BROKER_ID_OVERRIDE",BW$24,"DEEP_PERIOD_OVERRIDE",$H$19)*1,"")))</f>
        <v/>
      </c>
      <c r="BX275" t="str">
        <f>IF(OR(BX$23="",ISNA($B275)),"",IF(ISBLANK($B275),"",IFERROR(_xll.BDP(TICKER,"DEEP_MEASURE_PERIOD_BROKER_VALUE","DEEP_MEASURE_ID_OVERRIDE",$C275,"DEEP_BROKER_ID_OVERRIDE",BX$24,"DEEP_PERIOD_OVERRIDE",$H$19)*1,"")))</f>
        <v/>
      </c>
      <c r="BY275" t="str">
        <f>IF(OR(BY$23="",ISNA($B275)),"",IF(ISBLANK($B275),"",IFERROR(_xll.BDP(TICKER,"DEEP_MEASURE_PERIOD_BROKER_VALUE","DEEP_MEASURE_ID_OVERRIDE",$C275,"DEEP_BROKER_ID_OVERRIDE",BY$24,"DEEP_PERIOD_OVERRIDE",$H$19)*1,"")))</f>
        <v/>
      </c>
      <c r="BZ275" t="str">
        <f>IF(OR(BZ$23="",ISNA($B275)),"",IF(ISBLANK($B275),"",IFERROR(_xll.BDP(TICKER,"DEEP_MEASURE_PERIOD_BROKER_VALUE","DEEP_MEASURE_ID_OVERRIDE",$C275,"DEEP_BROKER_ID_OVERRIDE",BZ$24,"DEEP_PERIOD_OVERRIDE",$H$19)*1,"")))</f>
        <v/>
      </c>
    </row>
    <row r="276" spans="8:78" x14ac:dyDescent="0.25">
      <c r="H276" t="str">
        <f t="shared" si="4"/>
        <v/>
      </c>
      <c r="I276" t="str">
        <f>IF(OR(I$23="",ISNA($B276)),"",IF(ISBLANK($B276),"",IFERROR(_xll.BDP(TICKER,"DEEP_MEASURE_PERIOD_BROKER_VALUE","DEEP_MEASURE_ID_OVERRIDE",$C276,"DEEP_PERIOD_OVERRIDE",$H$19)*1,"")))</f>
        <v/>
      </c>
      <c r="J276" t="e">
        <f>IF(OR(J$23="",ISNA($B276)),"",IF(ISBLANK($B276),"",IFERROR(_xll.BDP(TICKER,"DEEP_MEASURE_PERIOD_BROKER_VALUE","DEEP_MEASURE_ID_OVERRIDE",$C276,"DEEP_BROKER_ID_OVERRIDE",J$24,"DEEP_PERIOD_OVERRIDE",$H$19)*1,"")))</f>
        <v>#REF!</v>
      </c>
      <c r="K276" t="str">
        <f>IF(OR(K$23="",ISNA($B276)),"",IF(ISBLANK($B276),"",IFERROR(_xll.BDP(TICKER,"DEEP_MEASURE_PERIOD_BROKER_VALUE","DEEP_MEASURE_ID_OVERRIDE",$C276,"DEEP_BROKER_ID_OVERRIDE",K$24,"DEEP_PERIOD_OVERRIDE",$H$19)*1,"")))</f>
        <v/>
      </c>
      <c r="L276" t="str">
        <f>IF(OR(L$23="",ISNA($B276)),"",IF(ISBLANK($B276),"",IFERROR(_xll.BDP(TICKER,"DEEP_MEASURE_PERIOD_BROKER_VALUE","DEEP_MEASURE_ID_OVERRIDE",$C276,"DEEP_BROKER_ID_OVERRIDE",L$24,"DEEP_PERIOD_OVERRIDE",$H$19)*1,"")))</f>
        <v/>
      </c>
      <c r="M276" t="str">
        <f>IF(OR(M$23="",ISNA($B276)),"",IF(ISBLANK($B276),"",IFERROR(_xll.BDP(TICKER,"DEEP_MEASURE_PERIOD_BROKER_VALUE","DEEP_MEASURE_ID_OVERRIDE",$C276,"DEEP_BROKER_ID_OVERRIDE",M$24,"DEEP_PERIOD_OVERRIDE",$H$19)*1,"")))</f>
        <v/>
      </c>
      <c r="N276" t="str">
        <f>IF(OR(N$23="",ISNA($B276)),"",IF(ISBLANK($B276),"",IFERROR(_xll.BDP(TICKER,"DEEP_MEASURE_PERIOD_BROKER_VALUE","DEEP_MEASURE_ID_OVERRIDE",$C276,"DEEP_BROKER_ID_OVERRIDE",N$24,"DEEP_PERIOD_OVERRIDE",$H$19)*1,"")))</f>
        <v/>
      </c>
      <c r="O276" t="str">
        <f>IF(OR(O$23="",ISNA($B276)),"",IF(ISBLANK($B276),"",IFERROR(_xll.BDP(TICKER,"DEEP_MEASURE_PERIOD_BROKER_VALUE","DEEP_MEASURE_ID_OVERRIDE",$C276,"DEEP_BROKER_ID_OVERRIDE",O$24,"DEEP_PERIOD_OVERRIDE",$H$19)*1,"")))</f>
        <v/>
      </c>
      <c r="P276" t="str">
        <f>IF(OR(P$23="",ISNA($B276)),"",IF(ISBLANK($B276),"",IFERROR(_xll.BDP(TICKER,"DEEP_MEASURE_PERIOD_BROKER_VALUE","DEEP_MEASURE_ID_OVERRIDE",$C276,"DEEP_BROKER_ID_OVERRIDE",P$24,"DEEP_PERIOD_OVERRIDE",$H$19)*1,"")))</f>
        <v/>
      </c>
      <c r="Q276" t="str">
        <f>IF(OR(Q$23="",ISNA($B276)),"",IF(ISBLANK($B276),"",IFERROR(_xll.BDP(TICKER,"DEEP_MEASURE_PERIOD_BROKER_VALUE","DEEP_MEASURE_ID_OVERRIDE",$C276,"DEEP_BROKER_ID_OVERRIDE",Q$24,"DEEP_PERIOD_OVERRIDE",$H$19)*1,"")))</f>
        <v/>
      </c>
      <c r="R276" t="str">
        <f>IF(OR(R$23="",ISNA($B276)),"",IF(ISBLANK($B276),"",IFERROR(_xll.BDP(TICKER,"DEEP_MEASURE_PERIOD_BROKER_VALUE","DEEP_MEASURE_ID_OVERRIDE",$C276,"DEEP_BROKER_ID_OVERRIDE",R$24,"DEEP_PERIOD_OVERRIDE",$H$19)*1,"")))</f>
        <v/>
      </c>
      <c r="S276" t="str">
        <f>IF(OR(S$23="",ISNA($B276)),"",IF(ISBLANK($B276),"",IFERROR(_xll.BDP(TICKER,"DEEP_MEASURE_PERIOD_BROKER_VALUE","DEEP_MEASURE_ID_OVERRIDE",$C276,"DEEP_BROKER_ID_OVERRIDE",S$24,"DEEP_PERIOD_OVERRIDE",$H$19)*1,"")))</f>
        <v/>
      </c>
      <c r="T276" t="str">
        <f>IF(OR(T$23="",ISNA($B276)),"",IF(ISBLANK($B276),"",IFERROR(_xll.BDP(TICKER,"DEEP_MEASURE_PERIOD_BROKER_VALUE","DEEP_MEASURE_ID_OVERRIDE",$C276,"DEEP_BROKER_ID_OVERRIDE",T$24,"DEEP_PERIOD_OVERRIDE",$H$19)*1,"")))</f>
        <v/>
      </c>
      <c r="U276" t="str">
        <f>IF(OR(U$23="",ISNA($B276)),"",IF(ISBLANK($B276),"",IFERROR(_xll.BDP(TICKER,"DEEP_MEASURE_PERIOD_BROKER_VALUE","DEEP_MEASURE_ID_OVERRIDE",$C276,"DEEP_BROKER_ID_OVERRIDE",U$24,"DEEP_PERIOD_OVERRIDE",$H$19)*1,"")))</f>
        <v/>
      </c>
      <c r="V276" t="str">
        <f>IF(OR(V$23="",ISNA($B276)),"",IF(ISBLANK($B276),"",IFERROR(_xll.BDP(TICKER,"DEEP_MEASURE_PERIOD_BROKER_VALUE","DEEP_MEASURE_ID_OVERRIDE",$C276,"DEEP_BROKER_ID_OVERRIDE",V$24,"DEEP_PERIOD_OVERRIDE",$H$19)*1,"")))</f>
        <v/>
      </c>
      <c r="W276" t="str">
        <f>IF(OR(W$23="",ISNA($B276)),"",IF(ISBLANK($B276),"",IFERROR(_xll.BDP(TICKER,"DEEP_MEASURE_PERIOD_BROKER_VALUE","DEEP_MEASURE_ID_OVERRIDE",$C276,"DEEP_BROKER_ID_OVERRIDE",W$24,"DEEP_PERIOD_OVERRIDE",$H$19)*1,"")))</f>
        <v/>
      </c>
      <c r="X276" t="str">
        <f>IF(OR(X$23="",ISNA($B276)),"",IF(ISBLANK($B276),"",IFERROR(_xll.BDP(TICKER,"DEEP_MEASURE_PERIOD_BROKER_VALUE","DEEP_MEASURE_ID_OVERRIDE",$C276,"DEEP_BROKER_ID_OVERRIDE",X$24,"DEEP_PERIOD_OVERRIDE",$H$19)*1,"")))</f>
        <v/>
      </c>
      <c r="Y276" t="str">
        <f>IF(OR(Y$23="",ISNA($B276)),"",IF(ISBLANK($B276),"",IFERROR(_xll.BDP(TICKER,"DEEP_MEASURE_PERIOD_BROKER_VALUE","DEEP_MEASURE_ID_OVERRIDE",$C276,"DEEP_BROKER_ID_OVERRIDE",Y$24,"DEEP_PERIOD_OVERRIDE",$H$19)*1,"")))</f>
        <v/>
      </c>
      <c r="Z276" t="str">
        <f>IF(OR(Z$23="",ISNA($B276)),"",IF(ISBLANK($B276),"",IFERROR(_xll.BDP(TICKER,"DEEP_MEASURE_PERIOD_BROKER_VALUE","DEEP_MEASURE_ID_OVERRIDE",$C276,"DEEP_BROKER_ID_OVERRIDE",Z$24,"DEEP_PERIOD_OVERRIDE",$H$19)*1,"")))</f>
        <v/>
      </c>
      <c r="AA276" t="str">
        <f>IF(OR(AA$23="",ISNA($B276)),"",IF(ISBLANK($B276),"",IFERROR(_xll.BDP(TICKER,"DEEP_MEASURE_PERIOD_BROKER_VALUE","DEEP_MEASURE_ID_OVERRIDE",$C276,"DEEP_BROKER_ID_OVERRIDE",AA$24,"DEEP_PERIOD_OVERRIDE",$H$19)*1,"")))</f>
        <v/>
      </c>
      <c r="AB276" t="str">
        <f>IF(OR(AB$23="",ISNA($B276)),"",IF(ISBLANK($B276),"",IFERROR(_xll.BDP(TICKER,"DEEP_MEASURE_PERIOD_BROKER_VALUE","DEEP_MEASURE_ID_OVERRIDE",$C276,"DEEP_BROKER_ID_OVERRIDE",AB$24,"DEEP_PERIOD_OVERRIDE",$H$19)*1,"")))</f>
        <v/>
      </c>
      <c r="AC276" t="str">
        <f>IF(OR(AC$23="",ISNA($B276)),"",IF(ISBLANK($B276),"",IFERROR(_xll.BDP(TICKER,"DEEP_MEASURE_PERIOD_BROKER_VALUE","DEEP_MEASURE_ID_OVERRIDE",$C276,"DEEP_BROKER_ID_OVERRIDE",AC$24,"DEEP_PERIOD_OVERRIDE",$H$19)*1,"")))</f>
        <v/>
      </c>
      <c r="AD276" t="str">
        <f>IF(OR(AD$23="",ISNA($B276)),"",IF(ISBLANK($B276),"",IFERROR(_xll.BDP(TICKER,"DEEP_MEASURE_PERIOD_BROKER_VALUE","DEEP_MEASURE_ID_OVERRIDE",$C276,"DEEP_BROKER_ID_OVERRIDE",AD$24,"DEEP_PERIOD_OVERRIDE",$H$19)*1,"")))</f>
        <v/>
      </c>
      <c r="AE276" t="str">
        <f>IF(OR(AE$23="",ISNA($B276)),"",IF(ISBLANK($B276),"",IFERROR(_xll.BDP(TICKER,"DEEP_MEASURE_PERIOD_BROKER_VALUE","DEEP_MEASURE_ID_OVERRIDE",$C276,"DEEP_BROKER_ID_OVERRIDE",AE$24,"DEEP_PERIOD_OVERRIDE",$H$19)*1,"")))</f>
        <v/>
      </c>
      <c r="AF276" t="str">
        <f>IF(OR(AF$23="",ISNA($B276)),"",IF(ISBLANK($B276),"",IFERROR(_xll.BDP(TICKER,"DEEP_MEASURE_PERIOD_BROKER_VALUE","DEEP_MEASURE_ID_OVERRIDE",$C276,"DEEP_BROKER_ID_OVERRIDE",AF$24,"DEEP_PERIOD_OVERRIDE",$H$19)*1,"")))</f>
        <v/>
      </c>
      <c r="AG276" t="str">
        <f>IF(OR(AG$23="",ISNA($B276)),"",IF(ISBLANK($B276),"",IFERROR(_xll.BDP(TICKER,"DEEP_MEASURE_PERIOD_BROKER_VALUE","DEEP_MEASURE_ID_OVERRIDE",$C276,"DEEP_BROKER_ID_OVERRIDE",AG$24,"DEEP_PERIOD_OVERRIDE",$H$19)*1,"")))</f>
        <v/>
      </c>
      <c r="AH276" t="str">
        <f>IF(OR(AH$23="",ISNA($B276)),"",IF(ISBLANK($B276),"",IFERROR(_xll.BDP(TICKER,"DEEP_MEASURE_PERIOD_BROKER_VALUE","DEEP_MEASURE_ID_OVERRIDE",$C276,"DEEP_BROKER_ID_OVERRIDE",AH$24,"DEEP_PERIOD_OVERRIDE",$H$19)*1,"")))</f>
        <v/>
      </c>
      <c r="AI276" t="str">
        <f>IF(OR(AI$23="",ISNA($B276)),"",IF(ISBLANK($B276),"",IFERROR(_xll.BDP(TICKER,"DEEP_MEASURE_PERIOD_BROKER_VALUE","DEEP_MEASURE_ID_OVERRIDE",$C276,"DEEP_BROKER_ID_OVERRIDE",AI$24,"DEEP_PERIOD_OVERRIDE",$H$19)*1,"")))</f>
        <v/>
      </c>
      <c r="AJ276" t="str">
        <f>IF(OR(AJ$23="",ISNA($B276)),"",IF(ISBLANK($B276),"",IFERROR(_xll.BDP(TICKER,"DEEP_MEASURE_PERIOD_BROKER_VALUE","DEEP_MEASURE_ID_OVERRIDE",$C276,"DEEP_BROKER_ID_OVERRIDE",AJ$24,"DEEP_PERIOD_OVERRIDE",$H$19)*1,"")))</f>
        <v/>
      </c>
      <c r="AK276" t="str">
        <f>IF(OR(AK$23="",ISNA($B276)),"",IF(ISBLANK($B276),"",IFERROR(_xll.BDP(TICKER,"DEEP_MEASURE_PERIOD_BROKER_VALUE","DEEP_MEASURE_ID_OVERRIDE",$C276,"DEEP_BROKER_ID_OVERRIDE",AK$24,"DEEP_PERIOD_OVERRIDE",$H$19)*1,"")))</f>
        <v/>
      </c>
      <c r="AL276" t="str">
        <f>IF(OR(AL$23="",ISNA($B276)),"",IF(ISBLANK($B276),"",IFERROR(_xll.BDP(TICKER,"DEEP_MEASURE_PERIOD_BROKER_VALUE","DEEP_MEASURE_ID_OVERRIDE",$C276,"DEEP_BROKER_ID_OVERRIDE",AL$24,"DEEP_PERIOD_OVERRIDE",$H$19)*1,"")))</f>
        <v/>
      </c>
      <c r="AM276" t="str">
        <f>IF(OR(AM$23="",ISNA($B276)),"",IF(ISBLANK($B276),"",IFERROR(_xll.BDP(TICKER,"DEEP_MEASURE_PERIOD_BROKER_VALUE","DEEP_MEASURE_ID_OVERRIDE",$C276,"DEEP_BROKER_ID_OVERRIDE",AM$24,"DEEP_PERIOD_OVERRIDE",$H$19)*1,"")))</f>
        <v/>
      </c>
      <c r="AN276" t="str">
        <f>IF(OR(AN$23="",ISNA($B276)),"",IF(ISBLANK($B276),"",IFERROR(_xll.BDP(TICKER,"DEEP_MEASURE_PERIOD_BROKER_VALUE","DEEP_MEASURE_ID_OVERRIDE",$C276,"DEEP_BROKER_ID_OVERRIDE",AN$24,"DEEP_PERIOD_OVERRIDE",$H$19)*1,"")))</f>
        <v/>
      </c>
      <c r="AO276" t="str">
        <f>IF(OR(AO$23="",ISNA($B276)),"",IF(ISBLANK($B276),"",IFERROR(_xll.BDP(TICKER,"DEEP_MEASURE_PERIOD_BROKER_VALUE","DEEP_MEASURE_ID_OVERRIDE",$C276,"DEEP_BROKER_ID_OVERRIDE",AO$24,"DEEP_PERIOD_OVERRIDE",$H$19)*1,"")))</f>
        <v/>
      </c>
      <c r="AP276" t="str">
        <f>IF(OR(AP$23="",ISNA($B276)),"",IF(ISBLANK($B276),"",IFERROR(_xll.BDP(TICKER,"DEEP_MEASURE_PERIOD_BROKER_VALUE","DEEP_MEASURE_ID_OVERRIDE",$C276,"DEEP_BROKER_ID_OVERRIDE",AP$24,"DEEP_PERIOD_OVERRIDE",$H$19)*1,"")))</f>
        <v/>
      </c>
      <c r="AQ276" t="str">
        <f>IF(OR(AQ$23="",ISNA($B276)),"",IF(ISBLANK($B276),"",IFERROR(_xll.BDP(TICKER,"DEEP_MEASURE_PERIOD_BROKER_VALUE","DEEP_MEASURE_ID_OVERRIDE",$C276,"DEEP_BROKER_ID_OVERRIDE",AQ$24,"DEEP_PERIOD_OVERRIDE",$H$19)*1,"")))</f>
        <v/>
      </c>
      <c r="AR276" t="str">
        <f>IF(OR(AR$23="",ISNA($B276)),"",IF(ISBLANK($B276),"",IFERROR(_xll.BDP(TICKER,"DEEP_MEASURE_PERIOD_BROKER_VALUE","DEEP_MEASURE_ID_OVERRIDE",$C276,"DEEP_BROKER_ID_OVERRIDE",AR$24,"DEEP_PERIOD_OVERRIDE",$H$19)*1,"")))</f>
        <v/>
      </c>
      <c r="AS276" t="str">
        <f>IF(OR(AS$23="",ISNA($B276)),"",IF(ISBLANK($B276),"",IFERROR(_xll.BDP(TICKER,"DEEP_MEASURE_PERIOD_BROKER_VALUE","DEEP_MEASURE_ID_OVERRIDE",$C276,"DEEP_BROKER_ID_OVERRIDE",AS$24,"DEEP_PERIOD_OVERRIDE",$H$19)*1,"")))</f>
        <v/>
      </c>
      <c r="AT276" t="str">
        <f>IF(OR(AT$23="",ISNA($B276)),"",IF(ISBLANK($B276),"",IFERROR(_xll.BDP(TICKER,"DEEP_MEASURE_PERIOD_BROKER_VALUE","DEEP_MEASURE_ID_OVERRIDE",$C276,"DEEP_BROKER_ID_OVERRIDE",AT$24,"DEEP_PERIOD_OVERRIDE",$H$19)*1,"")))</f>
        <v/>
      </c>
      <c r="AU276" t="str">
        <f>IF(OR(AU$23="",ISNA($B276)),"",IF(ISBLANK($B276),"",IFERROR(_xll.BDP(TICKER,"DEEP_MEASURE_PERIOD_BROKER_VALUE","DEEP_MEASURE_ID_OVERRIDE",$C276,"DEEP_BROKER_ID_OVERRIDE",AU$24,"DEEP_PERIOD_OVERRIDE",$H$19)*1,"")))</f>
        <v/>
      </c>
      <c r="AV276" t="str">
        <f>IF(OR(AV$23="",ISNA($B276)),"",IF(ISBLANK($B276),"",IFERROR(_xll.BDP(TICKER,"DEEP_MEASURE_PERIOD_BROKER_VALUE","DEEP_MEASURE_ID_OVERRIDE",$C276,"DEEP_BROKER_ID_OVERRIDE",AV$24,"DEEP_PERIOD_OVERRIDE",$H$19)*1,"")))</f>
        <v/>
      </c>
      <c r="AW276" t="str">
        <f>IF(OR(AW$23="",ISNA($B276)),"",IF(ISBLANK($B276),"",IFERROR(_xll.BDP(TICKER,"DEEP_MEASURE_PERIOD_BROKER_VALUE","DEEP_MEASURE_ID_OVERRIDE",$C276,"DEEP_BROKER_ID_OVERRIDE",AW$24,"DEEP_PERIOD_OVERRIDE",$H$19)*1,"")))</f>
        <v/>
      </c>
      <c r="AX276" t="str">
        <f>IF(OR(AX$23="",ISNA($B276)),"",IF(ISBLANK($B276),"",IFERROR(_xll.BDP(TICKER,"DEEP_MEASURE_PERIOD_BROKER_VALUE","DEEP_MEASURE_ID_OVERRIDE",$C276,"DEEP_BROKER_ID_OVERRIDE",AX$24,"DEEP_PERIOD_OVERRIDE",$H$19)*1,"")))</f>
        <v/>
      </c>
      <c r="AY276" t="str">
        <f>IF(OR(AY$23="",ISNA($B276)),"",IF(ISBLANK($B276),"",IFERROR(_xll.BDP(TICKER,"DEEP_MEASURE_PERIOD_BROKER_VALUE","DEEP_MEASURE_ID_OVERRIDE",$C276,"DEEP_BROKER_ID_OVERRIDE",AY$24,"DEEP_PERIOD_OVERRIDE",$H$19)*1,"")))</f>
        <v/>
      </c>
      <c r="AZ276" t="str">
        <f>IF(OR(AZ$23="",ISNA($B276)),"",IF(ISBLANK($B276),"",IFERROR(_xll.BDP(TICKER,"DEEP_MEASURE_PERIOD_BROKER_VALUE","DEEP_MEASURE_ID_OVERRIDE",$C276,"DEEP_BROKER_ID_OVERRIDE",AZ$24,"DEEP_PERIOD_OVERRIDE",$H$19)*1,"")))</f>
        <v/>
      </c>
      <c r="BA276" t="str">
        <f>IF(OR(BA$23="",ISNA($B276)),"",IF(ISBLANK($B276),"",IFERROR(_xll.BDP(TICKER,"DEEP_MEASURE_PERIOD_BROKER_VALUE","DEEP_MEASURE_ID_OVERRIDE",$C276,"DEEP_BROKER_ID_OVERRIDE",BA$24,"DEEP_PERIOD_OVERRIDE",$H$19)*1,"")))</f>
        <v/>
      </c>
      <c r="BB276" t="str">
        <f>IF(OR(BB$23="",ISNA($B276)),"",IF(ISBLANK($B276),"",IFERROR(_xll.BDP(TICKER,"DEEP_MEASURE_PERIOD_BROKER_VALUE","DEEP_MEASURE_ID_OVERRIDE",$C276,"DEEP_BROKER_ID_OVERRIDE",BB$24,"DEEP_PERIOD_OVERRIDE",$H$19)*1,"")))</f>
        <v/>
      </c>
      <c r="BC276" t="str">
        <f>IF(OR(BC$23="",ISNA($B276)),"",IF(ISBLANK($B276),"",IFERROR(_xll.BDP(TICKER,"DEEP_MEASURE_PERIOD_BROKER_VALUE","DEEP_MEASURE_ID_OVERRIDE",$C276,"DEEP_BROKER_ID_OVERRIDE",BC$24,"DEEP_PERIOD_OVERRIDE",$H$19)*1,"")))</f>
        <v/>
      </c>
      <c r="BD276" t="str">
        <f>IF(OR(BD$23="",ISNA($B276)),"",IF(ISBLANK($B276),"",IFERROR(_xll.BDP(TICKER,"DEEP_MEASURE_PERIOD_BROKER_VALUE","DEEP_MEASURE_ID_OVERRIDE",$C276,"DEEP_BROKER_ID_OVERRIDE",BD$24,"DEEP_PERIOD_OVERRIDE",$H$19)*1,"")))</f>
        <v/>
      </c>
      <c r="BE276" t="str">
        <f>IF(OR(BE$23="",ISNA($B276)),"",IF(ISBLANK($B276),"",IFERROR(_xll.BDP(TICKER,"DEEP_MEASURE_PERIOD_BROKER_VALUE","DEEP_MEASURE_ID_OVERRIDE",$C276,"DEEP_BROKER_ID_OVERRIDE",BE$24,"DEEP_PERIOD_OVERRIDE",$H$19)*1,"")))</f>
        <v/>
      </c>
      <c r="BF276" t="str">
        <f>IF(OR(BF$23="",ISNA($B276)),"",IF(ISBLANK($B276),"",IFERROR(_xll.BDP(TICKER,"DEEP_MEASURE_PERIOD_BROKER_VALUE","DEEP_MEASURE_ID_OVERRIDE",$C276,"DEEP_BROKER_ID_OVERRIDE",BF$24,"DEEP_PERIOD_OVERRIDE",$H$19)*1,"")))</f>
        <v/>
      </c>
      <c r="BG276" t="str">
        <f>IF(OR(BG$23="",ISNA($B276)),"",IF(ISBLANK($B276),"",IFERROR(_xll.BDP(TICKER,"DEEP_MEASURE_PERIOD_BROKER_VALUE","DEEP_MEASURE_ID_OVERRIDE",$C276,"DEEP_BROKER_ID_OVERRIDE",BG$24,"DEEP_PERIOD_OVERRIDE",$H$19)*1,"")))</f>
        <v/>
      </c>
      <c r="BH276" t="str">
        <f>IF(OR(BH$23="",ISNA($B276)),"",IF(ISBLANK($B276),"",IFERROR(_xll.BDP(TICKER,"DEEP_MEASURE_PERIOD_BROKER_VALUE","DEEP_MEASURE_ID_OVERRIDE",$C276,"DEEP_BROKER_ID_OVERRIDE",BH$24,"DEEP_PERIOD_OVERRIDE",$H$19)*1,"")))</f>
        <v/>
      </c>
      <c r="BI276" t="str">
        <f>IF(OR(BI$23="",ISNA($B276)),"",IF(ISBLANK($B276),"",IFERROR(_xll.BDP(TICKER,"DEEP_MEASURE_PERIOD_BROKER_VALUE","DEEP_MEASURE_ID_OVERRIDE",$C276,"DEEP_BROKER_ID_OVERRIDE",BI$24,"DEEP_PERIOD_OVERRIDE",$H$19)*1,"")))</f>
        <v/>
      </c>
      <c r="BJ276" t="str">
        <f>IF(OR(BJ$23="",ISNA($B276)),"",IF(ISBLANK($B276),"",IFERROR(_xll.BDP(TICKER,"DEEP_MEASURE_PERIOD_BROKER_VALUE","DEEP_MEASURE_ID_OVERRIDE",$C276,"DEEP_BROKER_ID_OVERRIDE",BJ$24,"DEEP_PERIOD_OVERRIDE",$H$19)*1,"")))</f>
        <v/>
      </c>
      <c r="BK276" t="str">
        <f>IF(OR(BK$23="",ISNA($B276)),"",IF(ISBLANK($B276),"",IFERROR(_xll.BDP(TICKER,"DEEP_MEASURE_PERIOD_BROKER_VALUE","DEEP_MEASURE_ID_OVERRIDE",$C276,"DEEP_BROKER_ID_OVERRIDE",BK$24,"DEEP_PERIOD_OVERRIDE",$H$19)*1,"")))</f>
        <v/>
      </c>
      <c r="BL276" t="str">
        <f>IF(OR(BL$23="",ISNA($B276)),"",IF(ISBLANK($B276),"",IFERROR(_xll.BDP(TICKER,"DEEP_MEASURE_PERIOD_BROKER_VALUE","DEEP_MEASURE_ID_OVERRIDE",$C276,"DEEP_BROKER_ID_OVERRIDE",BL$24,"DEEP_PERIOD_OVERRIDE",$H$19)*1,"")))</f>
        <v/>
      </c>
      <c r="BM276" t="str">
        <f>IF(OR(BM$23="",ISNA($B276)),"",IF(ISBLANK($B276),"",IFERROR(_xll.BDP(TICKER,"DEEP_MEASURE_PERIOD_BROKER_VALUE","DEEP_MEASURE_ID_OVERRIDE",$C276,"DEEP_BROKER_ID_OVERRIDE",BM$24,"DEEP_PERIOD_OVERRIDE",$H$19)*1,"")))</f>
        <v/>
      </c>
      <c r="BN276" t="str">
        <f>IF(OR(BN$23="",ISNA($B276)),"",IF(ISBLANK($B276),"",IFERROR(_xll.BDP(TICKER,"DEEP_MEASURE_PERIOD_BROKER_VALUE","DEEP_MEASURE_ID_OVERRIDE",$C276,"DEEP_BROKER_ID_OVERRIDE",BN$24,"DEEP_PERIOD_OVERRIDE",$H$19)*1,"")))</f>
        <v/>
      </c>
      <c r="BO276" t="str">
        <f>IF(OR(BO$23="",ISNA($B276)),"",IF(ISBLANK($B276),"",IFERROR(_xll.BDP(TICKER,"DEEP_MEASURE_PERIOD_BROKER_VALUE","DEEP_MEASURE_ID_OVERRIDE",$C276,"DEEP_BROKER_ID_OVERRIDE",BO$24,"DEEP_PERIOD_OVERRIDE",$H$19)*1,"")))</f>
        <v/>
      </c>
      <c r="BP276" t="str">
        <f>IF(OR(BP$23="",ISNA($B276)),"",IF(ISBLANK($B276),"",IFERROR(_xll.BDP(TICKER,"DEEP_MEASURE_PERIOD_BROKER_VALUE","DEEP_MEASURE_ID_OVERRIDE",$C276,"DEEP_BROKER_ID_OVERRIDE",BP$24,"DEEP_PERIOD_OVERRIDE",$H$19)*1,"")))</f>
        <v/>
      </c>
      <c r="BQ276" t="str">
        <f>IF(OR(BQ$23="",ISNA($B276)),"",IF(ISBLANK($B276),"",IFERROR(_xll.BDP(TICKER,"DEEP_MEASURE_PERIOD_BROKER_VALUE","DEEP_MEASURE_ID_OVERRIDE",$C276,"DEEP_BROKER_ID_OVERRIDE",BQ$24,"DEEP_PERIOD_OVERRIDE",$H$19)*1,"")))</f>
        <v/>
      </c>
      <c r="BR276" t="str">
        <f>IF(OR(BR$23="",ISNA($B276)),"",IF(ISBLANK($B276),"",IFERROR(_xll.BDP(TICKER,"DEEP_MEASURE_PERIOD_BROKER_VALUE","DEEP_MEASURE_ID_OVERRIDE",$C276,"DEEP_BROKER_ID_OVERRIDE",BR$24,"DEEP_PERIOD_OVERRIDE",$H$19)*1,"")))</f>
        <v/>
      </c>
      <c r="BS276" t="str">
        <f>IF(OR(BS$23="",ISNA($B276)),"",IF(ISBLANK($B276),"",IFERROR(_xll.BDP(TICKER,"DEEP_MEASURE_PERIOD_BROKER_VALUE","DEEP_MEASURE_ID_OVERRIDE",$C276,"DEEP_BROKER_ID_OVERRIDE",BS$24,"DEEP_PERIOD_OVERRIDE",$H$19)*1,"")))</f>
        <v/>
      </c>
      <c r="BT276" t="str">
        <f>IF(OR(BT$23="",ISNA($B276)),"",IF(ISBLANK($B276),"",IFERROR(_xll.BDP(TICKER,"DEEP_MEASURE_PERIOD_BROKER_VALUE","DEEP_MEASURE_ID_OVERRIDE",$C276,"DEEP_BROKER_ID_OVERRIDE",BT$24,"DEEP_PERIOD_OVERRIDE",$H$19)*1,"")))</f>
        <v/>
      </c>
      <c r="BU276" t="str">
        <f>IF(OR(BU$23="",ISNA($B276)),"",IF(ISBLANK($B276),"",IFERROR(_xll.BDP(TICKER,"DEEP_MEASURE_PERIOD_BROKER_VALUE","DEEP_MEASURE_ID_OVERRIDE",$C276,"DEEP_BROKER_ID_OVERRIDE",BU$24,"DEEP_PERIOD_OVERRIDE",$H$19)*1,"")))</f>
        <v/>
      </c>
      <c r="BV276" t="str">
        <f>IF(OR(BV$23="",ISNA($B276)),"",IF(ISBLANK($B276),"",IFERROR(_xll.BDP(TICKER,"DEEP_MEASURE_PERIOD_BROKER_VALUE","DEEP_MEASURE_ID_OVERRIDE",$C276,"DEEP_BROKER_ID_OVERRIDE",BV$24,"DEEP_PERIOD_OVERRIDE",$H$19)*1,"")))</f>
        <v/>
      </c>
      <c r="BW276" t="str">
        <f>IF(OR(BW$23="",ISNA($B276)),"",IF(ISBLANK($B276),"",IFERROR(_xll.BDP(TICKER,"DEEP_MEASURE_PERIOD_BROKER_VALUE","DEEP_MEASURE_ID_OVERRIDE",$C276,"DEEP_BROKER_ID_OVERRIDE",BW$24,"DEEP_PERIOD_OVERRIDE",$H$19)*1,"")))</f>
        <v/>
      </c>
      <c r="BX276" t="str">
        <f>IF(OR(BX$23="",ISNA($B276)),"",IF(ISBLANK($B276),"",IFERROR(_xll.BDP(TICKER,"DEEP_MEASURE_PERIOD_BROKER_VALUE","DEEP_MEASURE_ID_OVERRIDE",$C276,"DEEP_BROKER_ID_OVERRIDE",BX$24,"DEEP_PERIOD_OVERRIDE",$H$19)*1,"")))</f>
        <v/>
      </c>
      <c r="BY276" t="str">
        <f>IF(OR(BY$23="",ISNA($B276)),"",IF(ISBLANK($B276),"",IFERROR(_xll.BDP(TICKER,"DEEP_MEASURE_PERIOD_BROKER_VALUE","DEEP_MEASURE_ID_OVERRIDE",$C276,"DEEP_BROKER_ID_OVERRIDE",BY$24,"DEEP_PERIOD_OVERRIDE",$H$19)*1,"")))</f>
        <v/>
      </c>
      <c r="BZ276" t="str">
        <f>IF(OR(BZ$23="",ISNA($B276)),"",IF(ISBLANK($B276),"",IFERROR(_xll.BDP(TICKER,"DEEP_MEASURE_PERIOD_BROKER_VALUE","DEEP_MEASURE_ID_OVERRIDE",$C276,"DEEP_BROKER_ID_OVERRIDE",BZ$24,"DEEP_PERIOD_OVERRIDE",$H$19)*1,"")))</f>
        <v/>
      </c>
    </row>
    <row r="277" spans="8:78" x14ac:dyDescent="0.25">
      <c r="H277" t="str">
        <f t="shared" si="4"/>
        <v/>
      </c>
      <c r="I277" t="str">
        <f>IF(OR(I$23="",ISNA($B277)),"",IF(ISBLANK($B277),"",IFERROR(_xll.BDP(TICKER,"DEEP_MEASURE_PERIOD_BROKER_VALUE","DEEP_MEASURE_ID_OVERRIDE",$C277,"DEEP_PERIOD_OVERRIDE",$H$19)*1,"")))</f>
        <v/>
      </c>
      <c r="J277" t="e">
        <f>IF(OR(J$23="",ISNA($B277)),"",IF(ISBLANK($B277),"",IFERROR(_xll.BDP(TICKER,"DEEP_MEASURE_PERIOD_BROKER_VALUE","DEEP_MEASURE_ID_OVERRIDE",$C277,"DEEP_BROKER_ID_OVERRIDE",J$24,"DEEP_PERIOD_OVERRIDE",$H$19)*1,"")))</f>
        <v>#REF!</v>
      </c>
      <c r="K277" t="str">
        <f>IF(OR(K$23="",ISNA($B277)),"",IF(ISBLANK($B277),"",IFERROR(_xll.BDP(TICKER,"DEEP_MEASURE_PERIOD_BROKER_VALUE","DEEP_MEASURE_ID_OVERRIDE",$C277,"DEEP_BROKER_ID_OVERRIDE",K$24,"DEEP_PERIOD_OVERRIDE",$H$19)*1,"")))</f>
        <v/>
      </c>
      <c r="L277" t="str">
        <f>IF(OR(L$23="",ISNA($B277)),"",IF(ISBLANK($B277),"",IFERROR(_xll.BDP(TICKER,"DEEP_MEASURE_PERIOD_BROKER_VALUE","DEEP_MEASURE_ID_OVERRIDE",$C277,"DEEP_BROKER_ID_OVERRIDE",L$24,"DEEP_PERIOD_OVERRIDE",$H$19)*1,"")))</f>
        <v/>
      </c>
      <c r="M277" t="str">
        <f>IF(OR(M$23="",ISNA($B277)),"",IF(ISBLANK($B277),"",IFERROR(_xll.BDP(TICKER,"DEEP_MEASURE_PERIOD_BROKER_VALUE","DEEP_MEASURE_ID_OVERRIDE",$C277,"DEEP_BROKER_ID_OVERRIDE",M$24,"DEEP_PERIOD_OVERRIDE",$H$19)*1,"")))</f>
        <v/>
      </c>
      <c r="N277" t="str">
        <f>IF(OR(N$23="",ISNA($B277)),"",IF(ISBLANK($B277),"",IFERROR(_xll.BDP(TICKER,"DEEP_MEASURE_PERIOD_BROKER_VALUE","DEEP_MEASURE_ID_OVERRIDE",$C277,"DEEP_BROKER_ID_OVERRIDE",N$24,"DEEP_PERIOD_OVERRIDE",$H$19)*1,"")))</f>
        <v/>
      </c>
      <c r="O277" t="str">
        <f>IF(OR(O$23="",ISNA($B277)),"",IF(ISBLANK($B277),"",IFERROR(_xll.BDP(TICKER,"DEEP_MEASURE_PERIOD_BROKER_VALUE","DEEP_MEASURE_ID_OVERRIDE",$C277,"DEEP_BROKER_ID_OVERRIDE",O$24,"DEEP_PERIOD_OVERRIDE",$H$19)*1,"")))</f>
        <v/>
      </c>
      <c r="P277" t="str">
        <f>IF(OR(P$23="",ISNA($B277)),"",IF(ISBLANK($B277),"",IFERROR(_xll.BDP(TICKER,"DEEP_MEASURE_PERIOD_BROKER_VALUE","DEEP_MEASURE_ID_OVERRIDE",$C277,"DEEP_BROKER_ID_OVERRIDE",P$24,"DEEP_PERIOD_OVERRIDE",$H$19)*1,"")))</f>
        <v/>
      </c>
      <c r="Q277" t="str">
        <f>IF(OR(Q$23="",ISNA($B277)),"",IF(ISBLANK($B277),"",IFERROR(_xll.BDP(TICKER,"DEEP_MEASURE_PERIOD_BROKER_VALUE","DEEP_MEASURE_ID_OVERRIDE",$C277,"DEEP_BROKER_ID_OVERRIDE",Q$24,"DEEP_PERIOD_OVERRIDE",$H$19)*1,"")))</f>
        <v/>
      </c>
      <c r="R277" t="str">
        <f>IF(OR(R$23="",ISNA($B277)),"",IF(ISBLANK($B277),"",IFERROR(_xll.BDP(TICKER,"DEEP_MEASURE_PERIOD_BROKER_VALUE","DEEP_MEASURE_ID_OVERRIDE",$C277,"DEEP_BROKER_ID_OVERRIDE",R$24,"DEEP_PERIOD_OVERRIDE",$H$19)*1,"")))</f>
        <v/>
      </c>
      <c r="S277" t="str">
        <f>IF(OR(S$23="",ISNA($B277)),"",IF(ISBLANK($B277),"",IFERROR(_xll.BDP(TICKER,"DEEP_MEASURE_PERIOD_BROKER_VALUE","DEEP_MEASURE_ID_OVERRIDE",$C277,"DEEP_BROKER_ID_OVERRIDE",S$24,"DEEP_PERIOD_OVERRIDE",$H$19)*1,"")))</f>
        <v/>
      </c>
      <c r="T277" t="str">
        <f>IF(OR(T$23="",ISNA($B277)),"",IF(ISBLANK($B277),"",IFERROR(_xll.BDP(TICKER,"DEEP_MEASURE_PERIOD_BROKER_VALUE","DEEP_MEASURE_ID_OVERRIDE",$C277,"DEEP_BROKER_ID_OVERRIDE",T$24,"DEEP_PERIOD_OVERRIDE",$H$19)*1,"")))</f>
        <v/>
      </c>
      <c r="U277" t="str">
        <f>IF(OR(U$23="",ISNA($B277)),"",IF(ISBLANK($B277),"",IFERROR(_xll.BDP(TICKER,"DEEP_MEASURE_PERIOD_BROKER_VALUE","DEEP_MEASURE_ID_OVERRIDE",$C277,"DEEP_BROKER_ID_OVERRIDE",U$24,"DEEP_PERIOD_OVERRIDE",$H$19)*1,"")))</f>
        <v/>
      </c>
      <c r="V277" t="str">
        <f>IF(OR(V$23="",ISNA($B277)),"",IF(ISBLANK($B277),"",IFERROR(_xll.BDP(TICKER,"DEEP_MEASURE_PERIOD_BROKER_VALUE","DEEP_MEASURE_ID_OVERRIDE",$C277,"DEEP_BROKER_ID_OVERRIDE",V$24,"DEEP_PERIOD_OVERRIDE",$H$19)*1,"")))</f>
        <v/>
      </c>
      <c r="W277" t="str">
        <f>IF(OR(W$23="",ISNA($B277)),"",IF(ISBLANK($B277),"",IFERROR(_xll.BDP(TICKER,"DEEP_MEASURE_PERIOD_BROKER_VALUE","DEEP_MEASURE_ID_OVERRIDE",$C277,"DEEP_BROKER_ID_OVERRIDE",W$24,"DEEP_PERIOD_OVERRIDE",$H$19)*1,"")))</f>
        <v/>
      </c>
      <c r="X277" t="str">
        <f>IF(OR(X$23="",ISNA($B277)),"",IF(ISBLANK($B277),"",IFERROR(_xll.BDP(TICKER,"DEEP_MEASURE_PERIOD_BROKER_VALUE","DEEP_MEASURE_ID_OVERRIDE",$C277,"DEEP_BROKER_ID_OVERRIDE",X$24,"DEEP_PERIOD_OVERRIDE",$H$19)*1,"")))</f>
        <v/>
      </c>
      <c r="Y277" t="str">
        <f>IF(OR(Y$23="",ISNA($B277)),"",IF(ISBLANK($B277),"",IFERROR(_xll.BDP(TICKER,"DEEP_MEASURE_PERIOD_BROKER_VALUE","DEEP_MEASURE_ID_OVERRIDE",$C277,"DEEP_BROKER_ID_OVERRIDE",Y$24,"DEEP_PERIOD_OVERRIDE",$H$19)*1,"")))</f>
        <v/>
      </c>
      <c r="Z277" t="str">
        <f>IF(OR(Z$23="",ISNA($B277)),"",IF(ISBLANK($B277),"",IFERROR(_xll.BDP(TICKER,"DEEP_MEASURE_PERIOD_BROKER_VALUE","DEEP_MEASURE_ID_OVERRIDE",$C277,"DEEP_BROKER_ID_OVERRIDE",Z$24,"DEEP_PERIOD_OVERRIDE",$H$19)*1,"")))</f>
        <v/>
      </c>
      <c r="AA277" t="str">
        <f>IF(OR(AA$23="",ISNA($B277)),"",IF(ISBLANK($B277),"",IFERROR(_xll.BDP(TICKER,"DEEP_MEASURE_PERIOD_BROKER_VALUE","DEEP_MEASURE_ID_OVERRIDE",$C277,"DEEP_BROKER_ID_OVERRIDE",AA$24,"DEEP_PERIOD_OVERRIDE",$H$19)*1,"")))</f>
        <v/>
      </c>
      <c r="AB277" t="str">
        <f>IF(OR(AB$23="",ISNA($B277)),"",IF(ISBLANK($B277),"",IFERROR(_xll.BDP(TICKER,"DEEP_MEASURE_PERIOD_BROKER_VALUE","DEEP_MEASURE_ID_OVERRIDE",$C277,"DEEP_BROKER_ID_OVERRIDE",AB$24,"DEEP_PERIOD_OVERRIDE",$H$19)*1,"")))</f>
        <v/>
      </c>
      <c r="AC277" t="str">
        <f>IF(OR(AC$23="",ISNA($B277)),"",IF(ISBLANK($B277),"",IFERROR(_xll.BDP(TICKER,"DEEP_MEASURE_PERIOD_BROKER_VALUE","DEEP_MEASURE_ID_OVERRIDE",$C277,"DEEP_BROKER_ID_OVERRIDE",AC$24,"DEEP_PERIOD_OVERRIDE",$H$19)*1,"")))</f>
        <v/>
      </c>
      <c r="AD277" t="str">
        <f>IF(OR(AD$23="",ISNA($B277)),"",IF(ISBLANK($B277),"",IFERROR(_xll.BDP(TICKER,"DEEP_MEASURE_PERIOD_BROKER_VALUE","DEEP_MEASURE_ID_OVERRIDE",$C277,"DEEP_BROKER_ID_OVERRIDE",AD$24,"DEEP_PERIOD_OVERRIDE",$H$19)*1,"")))</f>
        <v/>
      </c>
      <c r="AE277" t="str">
        <f>IF(OR(AE$23="",ISNA($B277)),"",IF(ISBLANK($B277),"",IFERROR(_xll.BDP(TICKER,"DEEP_MEASURE_PERIOD_BROKER_VALUE","DEEP_MEASURE_ID_OVERRIDE",$C277,"DEEP_BROKER_ID_OVERRIDE",AE$24,"DEEP_PERIOD_OVERRIDE",$H$19)*1,"")))</f>
        <v/>
      </c>
      <c r="AF277" t="str">
        <f>IF(OR(AF$23="",ISNA($B277)),"",IF(ISBLANK($B277),"",IFERROR(_xll.BDP(TICKER,"DEEP_MEASURE_PERIOD_BROKER_VALUE","DEEP_MEASURE_ID_OVERRIDE",$C277,"DEEP_BROKER_ID_OVERRIDE",AF$24,"DEEP_PERIOD_OVERRIDE",$H$19)*1,"")))</f>
        <v/>
      </c>
      <c r="AG277" t="str">
        <f>IF(OR(AG$23="",ISNA($B277)),"",IF(ISBLANK($B277),"",IFERROR(_xll.BDP(TICKER,"DEEP_MEASURE_PERIOD_BROKER_VALUE","DEEP_MEASURE_ID_OVERRIDE",$C277,"DEEP_BROKER_ID_OVERRIDE",AG$24,"DEEP_PERIOD_OVERRIDE",$H$19)*1,"")))</f>
        <v/>
      </c>
      <c r="AH277" t="str">
        <f>IF(OR(AH$23="",ISNA($B277)),"",IF(ISBLANK($B277),"",IFERROR(_xll.BDP(TICKER,"DEEP_MEASURE_PERIOD_BROKER_VALUE","DEEP_MEASURE_ID_OVERRIDE",$C277,"DEEP_BROKER_ID_OVERRIDE",AH$24,"DEEP_PERIOD_OVERRIDE",$H$19)*1,"")))</f>
        <v/>
      </c>
      <c r="AI277" t="str">
        <f>IF(OR(AI$23="",ISNA($B277)),"",IF(ISBLANK($B277),"",IFERROR(_xll.BDP(TICKER,"DEEP_MEASURE_PERIOD_BROKER_VALUE","DEEP_MEASURE_ID_OVERRIDE",$C277,"DEEP_BROKER_ID_OVERRIDE",AI$24,"DEEP_PERIOD_OVERRIDE",$H$19)*1,"")))</f>
        <v/>
      </c>
      <c r="AJ277" t="str">
        <f>IF(OR(AJ$23="",ISNA($B277)),"",IF(ISBLANK($B277),"",IFERROR(_xll.BDP(TICKER,"DEEP_MEASURE_PERIOD_BROKER_VALUE","DEEP_MEASURE_ID_OVERRIDE",$C277,"DEEP_BROKER_ID_OVERRIDE",AJ$24,"DEEP_PERIOD_OVERRIDE",$H$19)*1,"")))</f>
        <v/>
      </c>
      <c r="AK277" t="str">
        <f>IF(OR(AK$23="",ISNA($B277)),"",IF(ISBLANK($B277),"",IFERROR(_xll.BDP(TICKER,"DEEP_MEASURE_PERIOD_BROKER_VALUE","DEEP_MEASURE_ID_OVERRIDE",$C277,"DEEP_BROKER_ID_OVERRIDE",AK$24,"DEEP_PERIOD_OVERRIDE",$H$19)*1,"")))</f>
        <v/>
      </c>
      <c r="AL277" t="str">
        <f>IF(OR(AL$23="",ISNA($B277)),"",IF(ISBLANK($B277),"",IFERROR(_xll.BDP(TICKER,"DEEP_MEASURE_PERIOD_BROKER_VALUE","DEEP_MEASURE_ID_OVERRIDE",$C277,"DEEP_BROKER_ID_OVERRIDE",AL$24,"DEEP_PERIOD_OVERRIDE",$H$19)*1,"")))</f>
        <v/>
      </c>
      <c r="AM277" t="str">
        <f>IF(OR(AM$23="",ISNA($B277)),"",IF(ISBLANK($B277),"",IFERROR(_xll.BDP(TICKER,"DEEP_MEASURE_PERIOD_BROKER_VALUE","DEEP_MEASURE_ID_OVERRIDE",$C277,"DEEP_BROKER_ID_OVERRIDE",AM$24,"DEEP_PERIOD_OVERRIDE",$H$19)*1,"")))</f>
        <v/>
      </c>
      <c r="AN277" t="str">
        <f>IF(OR(AN$23="",ISNA($B277)),"",IF(ISBLANK($B277),"",IFERROR(_xll.BDP(TICKER,"DEEP_MEASURE_PERIOD_BROKER_VALUE","DEEP_MEASURE_ID_OVERRIDE",$C277,"DEEP_BROKER_ID_OVERRIDE",AN$24,"DEEP_PERIOD_OVERRIDE",$H$19)*1,"")))</f>
        <v/>
      </c>
      <c r="AO277" t="str">
        <f>IF(OR(AO$23="",ISNA($B277)),"",IF(ISBLANK($B277),"",IFERROR(_xll.BDP(TICKER,"DEEP_MEASURE_PERIOD_BROKER_VALUE","DEEP_MEASURE_ID_OVERRIDE",$C277,"DEEP_BROKER_ID_OVERRIDE",AO$24,"DEEP_PERIOD_OVERRIDE",$H$19)*1,"")))</f>
        <v/>
      </c>
      <c r="AP277" t="str">
        <f>IF(OR(AP$23="",ISNA($B277)),"",IF(ISBLANK($B277),"",IFERROR(_xll.BDP(TICKER,"DEEP_MEASURE_PERIOD_BROKER_VALUE","DEEP_MEASURE_ID_OVERRIDE",$C277,"DEEP_BROKER_ID_OVERRIDE",AP$24,"DEEP_PERIOD_OVERRIDE",$H$19)*1,"")))</f>
        <v/>
      </c>
      <c r="AQ277" t="str">
        <f>IF(OR(AQ$23="",ISNA($B277)),"",IF(ISBLANK($B277),"",IFERROR(_xll.BDP(TICKER,"DEEP_MEASURE_PERIOD_BROKER_VALUE","DEEP_MEASURE_ID_OVERRIDE",$C277,"DEEP_BROKER_ID_OVERRIDE",AQ$24,"DEEP_PERIOD_OVERRIDE",$H$19)*1,"")))</f>
        <v/>
      </c>
      <c r="AR277" t="str">
        <f>IF(OR(AR$23="",ISNA($B277)),"",IF(ISBLANK($B277),"",IFERROR(_xll.BDP(TICKER,"DEEP_MEASURE_PERIOD_BROKER_VALUE","DEEP_MEASURE_ID_OVERRIDE",$C277,"DEEP_BROKER_ID_OVERRIDE",AR$24,"DEEP_PERIOD_OVERRIDE",$H$19)*1,"")))</f>
        <v/>
      </c>
      <c r="AS277" t="str">
        <f>IF(OR(AS$23="",ISNA($B277)),"",IF(ISBLANK($B277),"",IFERROR(_xll.BDP(TICKER,"DEEP_MEASURE_PERIOD_BROKER_VALUE","DEEP_MEASURE_ID_OVERRIDE",$C277,"DEEP_BROKER_ID_OVERRIDE",AS$24,"DEEP_PERIOD_OVERRIDE",$H$19)*1,"")))</f>
        <v/>
      </c>
      <c r="AT277" t="str">
        <f>IF(OR(AT$23="",ISNA($B277)),"",IF(ISBLANK($B277),"",IFERROR(_xll.BDP(TICKER,"DEEP_MEASURE_PERIOD_BROKER_VALUE","DEEP_MEASURE_ID_OVERRIDE",$C277,"DEEP_BROKER_ID_OVERRIDE",AT$24,"DEEP_PERIOD_OVERRIDE",$H$19)*1,"")))</f>
        <v/>
      </c>
      <c r="AU277" t="str">
        <f>IF(OR(AU$23="",ISNA($B277)),"",IF(ISBLANK($B277),"",IFERROR(_xll.BDP(TICKER,"DEEP_MEASURE_PERIOD_BROKER_VALUE","DEEP_MEASURE_ID_OVERRIDE",$C277,"DEEP_BROKER_ID_OVERRIDE",AU$24,"DEEP_PERIOD_OVERRIDE",$H$19)*1,"")))</f>
        <v/>
      </c>
      <c r="AV277" t="str">
        <f>IF(OR(AV$23="",ISNA($B277)),"",IF(ISBLANK($B277),"",IFERROR(_xll.BDP(TICKER,"DEEP_MEASURE_PERIOD_BROKER_VALUE","DEEP_MEASURE_ID_OVERRIDE",$C277,"DEEP_BROKER_ID_OVERRIDE",AV$24,"DEEP_PERIOD_OVERRIDE",$H$19)*1,"")))</f>
        <v/>
      </c>
      <c r="AW277" t="str">
        <f>IF(OR(AW$23="",ISNA($B277)),"",IF(ISBLANK($B277),"",IFERROR(_xll.BDP(TICKER,"DEEP_MEASURE_PERIOD_BROKER_VALUE","DEEP_MEASURE_ID_OVERRIDE",$C277,"DEEP_BROKER_ID_OVERRIDE",AW$24,"DEEP_PERIOD_OVERRIDE",$H$19)*1,"")))</f>
        <v/>
      </c>
      <c r="AX277" t="str">
        <f>IF(OR(AX$23="",ISNA($B277)),"",IF(ISBLANK($B277),"",IFERROR(_xll.BDP(TICKER,"DEEP_MEASURE_PERIOD_BROKER_VALUE","DEEP_MEASURE_ID_OVERRIDE",$C277,"DEEP_BROKER_ID_OVERRIDE",AX$24,"DEEP_PERIOD_OVERRIDE",$H$19)*1,"")))</f>
        <v/>
      </c>
      <c r="AY277" t="str">
        <f>IF(OR(AY$23="",ISNA($B277)),"",IF(ISBLANK($B277),"",IFERROR(_xll.BDP(TICKER,"DEEP_MEASURE_PERIOD_BROKER_VALUE","DEEP_MEASURE_ID_OVERRIDE",$C277,"DEEP_BROKER_ID_OVERRIDE",AY$24,"DEEP_PERIOD_OVERRIDE",$H$19)*1,"")))</f>
        <v/>
      </c>
      <c r="AZ277" t="str">
        <f>IF(OR(AZ$23="",ISNA($B277)),"",IF(ISBLANK($B277),"",IFERROR(_xll.BDP(TICKER,"DEEP_MEASURE_PERIOD_BROKER_VALUE","DEEP_MEASURE_ID_OVERRIDE",$C277,"DEEP_BROKER_ID_OVERRIDE",AZ$24,"DEEP_PERIOD_OVERRIDE",$H$19)*1,"")))</f>
        <v/>
      </c>
      <c r="BA277" t="str">
        <f>IF(OR(BA$23="",ISNA($B277)),"",IF(ISBLANK($B277),"",IFERROR(_xll.BDP(TICKER,"DEEP_MEASURE_PERIOD_BROKER_VALUE","DEEP_MEASURE_ID_OVERRIDE",$C277,"DEEP_BROKER_ID_OVERRIDE",BA$24,"DEEP_PERIOD_OVERRIDE",$H$19)*1,"")))</f>
        <v/>
      </c>
      <c r="BB277" t="str">
        <f>IF(OR(BB$23="",ISNA($B277)),"",IF(ISBLANK($B277),"",IFERROR(_xll.BDP(TICKER,"DEEP_MEASURE_PERIOD_BROKER_VALUE","DEEP_MEASURE_ID_OVERRIDE",$C277,"DEEP_BROKER_ID_OVERRIDE",BB$24,"DEEP_PERIOD_OVERRIDE",$H$19)*1,"")))</f>
        <v/>
      </c>
      <c r="BC277" t="str">
        <f>IF(OR(BC$23="",ISNA($B277)),"",IF(ISBLANK($B277),"",IFERROR(_xll.BDP(TICKER,"DEEP_MEASURE_PERIOD_BROKER_VALUE","DEEP_MEASURE_ID_OVERRIDE",$C277,"DEEP_BROKER_ID_OVERRIDE",BC$24,"DEEP_PERIOD_OVERRIDE",$H$19)*1,"")))</f>
        <v/>
      </c>
      <c r="BD277" t="str">
        <f>IF(OR(BD$23="",ISNA($B277)),"",IF(ISBLANK($B277),"",IFERROR(_xll.BDP(TICKER,"DEEP_MEASURE_PERIOD_BROKER_VALUE","DEEP_MEASURE_ID_OVERRIDE",$C277,"DEEP_BROKER_ID_OVERRIDE",BD$24,"DEEP_PERIOD_OVERRIDE",$H$19)*1,"")))</f>
        <v/>
      </c>
      <c r="BE277" t="str">
        <f>IF(OR(BE$23="",ISNA($B277)),"",IF(ISBLANK($B277),"",IFERROR(_xll.BDP(TICKER,"DEEP_MEASURE_PERIOD_BROKER_VALUE","DEEP_MEASURE_ID_OVERRIDE",$C277,"DEEP_BROKER_ID_OVERRIDE",BE$24,"DEEP_PERIOD_OVERRIDE",$H$19)*1,"")))</f>
        <v/>
      </c>
      <c r="BF277" t="str">
        <f>IF(OR(BF$23="",ISNA($B277)),"",IF(ISBLANK($B277),"",IFERROR(_xll.BDP(TICKER,"DEEP_MEASURE_PERIOD_BROKER_VALUE","DEEP_MEASURE_ID_OVERRIDE",$C277,"DEEP_BROKER_ID_OVERRIDE",BF$24,"DEEP_PERIOD_OVERRIDE",$H$19)*1,"")))</f>
        <v/>
      </c>
      <c r="BG277" t="str">
        <f>IF(OR(BG$23="",ISNA($B277)),"",IF(ISBLANK($B277),"",IFERROR(_xll.BDP(TICKER,"DEEP_MEASURE_PERIOD_BROKER_VALUE","DEEP_MEASURE_ID_OVERRIDE",$C277,"DEEP_BROKER_ID_OVERRIDE",BG$24,"DEEP_PERIOD_OVERRIDE",$H$19)*1,"")))</f>
        <v/>
      </c>
      <c r="BH277" t="str">
        <f>IF(OR(BH$23="",ISNA($B277)),"",IF(ISBLANK($B277),"",IFERROR(_xll.BDP(TICKER,"DEEP_MEASURE_PERIOD_BROKER_VALUE","DEEP_MEASURE_ID_OVERRIDE",$C277,"DEEP_BROKER_ID_OVERRIDE",BH$24,"DEEP_PERIOD_OVERRIDE",$H$19)*1,"")))</f>
        <v/>
      </c>
      <c r="BI277" t="str">
        <f>IF(OR(BI$23="",ISNA($B277)),"",IF(ISBLANK($B277),"",IFERROR(_xll.BDP(TICKER,"DEEP_MEASURE_PERIOD_BROKER_VALUE","DEEP_MEASURE_ID_OVERRIDE",$C277,"DEEP_BROKER_ID_OVERRIDE",BI$24,"DEEP_PERIOD_OVERRIDE",$H$19)*1,"")))</f>
        <v/>
      </c>
      <c r="BJ277" t="str">
        <f>IF(OR(BJ$23="",ISNA($B277)),"",IF(ISBLANK($B277),"",IFERROR(_xll.BDP(TICKER,"DEEP_MEASURE_PERIOD_BROKER_VALUE","DEEP_MEASURE_ID_OVERRIDE",$C277,"DEEP_BROKER_ID_OVERRIDE",BJ$24,"DEEP_PERIOD_OVERRIDE",$H$19)*1,"")))</f>
        <v/>
      </c>
      <c r="BK277" t="str">
        <f>IF(OR(BK$23="",ISNA($B277)),"",IF(ISBLANK($B277),"",IFERROR(_xll.BDP(TICKER,"DEEP_MEASURE_PERIOD_BROKER_VALUE","DEEP_MEASURE_ID_OVERRIDE",$C277,"DEEP_BROKER_ID_OVERRIDE",BK$24,"DEEP_PERIOD_OVERRIDE",$H$19)*1,"")))</f>
        <v/>
      </c>
      <c r="BL277" t="str">
        <f>IF(OR(BL$23="",ISNA($B277)),"",IF(ISBLANK($B277),"",IFERROR(_xll.BDP(TICKER,"DEEP_MEASURE_PERIOD_BROKER_VALUE","DEEP_MEASURE_ID_OVERRIDE",$C277,"DEEP_BROKER_ID_OVERRIDE",BL$24,"DEEP_PERIOD_OVERRIDE",$H$19)*1,"")))</f>
        <v/>
      </c>
      <c r="BM277" t="str">
        <f>IF(OR(BM$23="",ISNA($B277)),"",IF(ISBLANK($B277),"",IFERROR(_xll.BDP(TICKER,"DEEP_MEASURE_PERIOD_BROKER_VALUE","DEEP_MEASURE_ID_OVERRIDE",$C277,"DEEP_BROKER_ID_OVERRIDE",BM$24,"DEEP_PERIOD_OVERRIDE",$H$19)*1,"")))</f>
        <v/>
      </c>
      <c r="BN277" t="str">
        <f>IF(OR(BN$23="",ISNA($B277)),"",IF(ISBLANK($B277),"",IFERROR(_xll.BDP(TICKER,"DEEP_MEASURE_PERIOD_BROKER_VALUE","DEEP_MEASURE_ID_OVERRIDE",$C277,"DEEP_BROKER_ID_OVERRIDE",BN$24,"DEEP_PERIOD_OVERRIDE",$H$19)*1,"")))</f>
        <v/>
      </c>
      <c r="BO277" t="str">
        <f>IF(OR(BO$23="",ISNA($B277)),"",IF(ISBLANK($B277),"",IFERROR(_xll.BDP(TICKER,"DEEP_MEASURE_PERIOD_BROKER_VALUE","DEEP_MEASURE_ID_OVERRIDE",$C277,"DEEP_BROKER_ID_OVERRIDE",BO$24,"DEEP_PERIOD_OVERRIDE",$H$19)*1,"")))</f>
        <v/>
      </c>
      <c r="BP277" t="str">
        <f>IF(OR(BP$23="",ISNA($B277)),"",IF(ISBLANK($B277),"",IFERROR(_xll.BDP(TICKER,"DEEP_MEASURE_PERIOD_BROKER_VALUE","DEEP_MEASURE_ID_OVERRIDE",$C277,"DEEP_BROKER_ID_OVERRIDE",BP$24,"DEEP_PERIOD_OVERRIDE",$H$19)*1,"")))</f>
        <v/>
      </c>
      <c r="BQ277" t="str">
        <f>IF(OR(BQ$23="",ISNA($B277)),"",IF(ISBLANK($B277),"",IFERROR(_xll.BDP(TICKER,"DEEP_MEASURE_PERIOD_BROKER_VALUE","DEEP_MEASURE_ID_OVERRIDE",$C277,"DEEP_BROKER_ID_OVERRIDE",BQ$24,"DEEP_PERIOD_OVERRIDE",$H$19)*1,"")))</f>
        <v/>
      </c>
      <c r="BR277" t="str">
        <f>IF(OR(BR$23="",ISNA($B277)),"",IF(ISBLANK($B277),"",IFERROR(_xll.BDP(TICKER,"DEEP_MEASURE_PERIOD_BROKER_VALUE","DEEP_MEASURE_ID_OVERRIDE",$C277,"DEEP_BROKER_ID_OVERRIDE",BR$24,"DEEP_PERIOD_OVERRIDE",$H$19)*1,"")))</f>
        <v/>
      </c>
      <c r="BS277" t="str">
        <f>IF(OR(BS$23="",ISNA($B277)),"",IF(ISBLANK($B277),"",IFERROR(_xll.BDP(TICKER,"DEEP_MEASURE_PERIOD_BROKER_VALUE","DEEP_MEASURE_ID_OVERRIDE",$C277,"DEEP_BROKER_ID_OVERRIDE",BS$24,"DEEP_PERIOD_OVERRIDE",$H$19)*1,"")))</f>
        <v/>
      </c>
      <c r="BT277" t="str">
        <f>IF(OR(BT$23="",ISNA($B277)),"",IF(ISBLANK($B277),"",IFERROR(_xll.BDP(TICKER,"DEEP_MEASURE_PERIOD_BROKER_VALUE","DEEP_MEASURE_ID_OVERRIDE",$C277,"DEEP_BROKER_ID_OVERRIDE",BT$24,"DEEP_PERIOD_OVERRIDE",$H$19)*1,"")))</f>
        <v/>
      </c>
      <c r="BU277" t="str">
        <f>IF(OR(BU$23="",ISNA($B277)),"",IF(ISBLANK($B277),"",IFERROR(_xll.BDP(TICKER,"DEEP_MEASURE_PERIOD_BROKER_VALUE","DEEP_MEASURE_ID_OVERRIDE",$C277,"DEEP_BROKER_ID_OVERRIDE",BU$24,"DEEP_PERIOD_OVERRIDE",$H$19)*1,"")))</f>
        <v/>
      </c>
      <c r="BV277" t="str">
        <f>IF(OR(BV$23="",ISNA($B277)),"",IF(ISBLANK($B277),"",IFERROR(_xll.BDP(TICKER,"DEEP_MEASURE_PERIOD_BROKER_VALUE","DEEP_MEASURE_ID_OVERRIDE",$C277,"DEEP_BROKER_ID_OVERRIDE",BV$24,"DEEP_PERIOD_OVERRIDE",$H$19)*1,"")))</f>
        <v/>
      </c>
      <c r="BW277" t="str">
        <f>IF(OR(BW$23="",ISNA($B277)),"",IF(ISBLANK($B277),"",IFERROR(_xll.BDP(TICKER,"DEEP_MEASURE_PERIOD_BROKER_VALUE","DEEP_MEASURE_ID_OVERRIDE",$C277,"DEEP_BROKER_ID_OVERRIDE",BW$24,"DEEP_PERIOD_OVERRIDE",$H$19)*1,"")))</f>
        <v/>
      </c>
      <c r="BX277" t="str">
        <f>IF(OR(BX$23="",ISNA($B277)),"",IF(ISBLANK($B277),"",IFERROR(_xll.BDP(TICKER,"DEEP_MEASURE_PERIOD_BROKER_VALUE","DEEP_MEASURE_ID_OVERRIDE",$C277,"DEEP_BROKER_ID_OVERRIDE",BX$24,"DEEP_PERIOD_OVERRIDE",$H$19)*1,"")))</f>
        <v/>
      </c>
      <c r="BY277" t="str">
        <f>IF(OR(BY$23="",ISNA($B277)),"",IF(ISBLANK($B277),"",IFERROR(_xll.BDP(TICKER,"DEEP_MEASURE_PERIOD_BROKER_VALUE","DEEP_MEASURE_ID_OVERRIDE",$C277,"DEEP_BROKER_ID_OVERRIDE",BY$24,"DEEP_PERIOD_OVERRIDE",$H$19)*1,"")))</f>
        <v/>
      </c>
      <c r="BZ277" t="str">
        <f>IF(OR(BZ$23="",ISNA($B277)),"",IF(ISBLANK($B277),"",IFERROR(_xll.BDP(TICKER,"DEEP_MEASURE_PERIOD_BROKER_VALUE","DEEP_MEASURE_ID_OVERRIDE",$C277,"DEEP_BROKER_ID_OVERRIDE",BZ$24,"DEEP_PERIOD_OVERRIDE",$H$19)*1,"")))</f>
        <v/>
      </c>
    </row>
    <row r="278" spans="8:78" x14ac:dyDescent="0.25">
      <c r="H278" t="str">
        <f t="shared" si="4"/>
        <v/>
      </c>
      <c r="I278" t="str">
        <f>IF(OR(I$23="",ISNA($B278)),"",IF(ISBLANK($B278),"",IFERROR(_xll.BDP(TICKER,"DEEP_MEASURE_PERIOD_BROKER_VALUE","DEEP_MEASURE_ID_OVERRIDE",$C278,"DEEP_PERIOD_OVERRIDE",$H$19)*1,"")))</f>
        <v/>
      </c>
      <c r="J278" t="e">
        <f>IF(OR(J$23="",ISNA($B278)),"",IF(ISBLANK($B278),"",IFERROR(_xll.BDP(TICKER,"DEEP_MEASURE_PERIOD_BROKER_VALUE","DEEP_MEASURE_ID_OVERRIDE",$C278,"DEEP_BROKER_ID_OVERRIDE",J$24,"DEEP_PERIOD_OVERRIDE",$H$19)*1,"")))</f>
        <v>#REF!</v>
      </c>
      <c r="K278" t="str">
        <f>IF(OR(K$23="",ISNA($B278)),"",IF(ISBLANK($B278),"",IFERROR(_xll.BDP(TICKER,"DEEP_MEASURE_PERIOD_BROKER_VALUE","DEEP_MEASURE_ID_OVERRIDE",$C278,"DEEP_BROKER_ID_OVERRIDE",K$24,"DEEP_PERIOD_OVERRIDE",$H$19)*1,"")))</f>
        <v/>
      </c>
      <c r="L278" t="str">
        <f>IF(OR(L$23="",ISNA($B278)),"",IF(ISBLANK($B278),"",IFERROR(_xll.BDP(TICKER,"DEEP_MEASURE_PERIOD_BROKER_VALUE","DEEP_MEASURE_ID_OVERRIDE",$C278,"DEEP_BROKER_ID_OVERRIDE",L$24,"DEEP_PERIOD_OVERRIDE",$H$19)*1,"")))</f>
        <v/>
      </c>
      <c r="M278" t="str">
        <f>IF(OR(M$23="",ISNA($B278)),"",IF(ISBLANK($B278),"",IFERROR(_xll.BDP(TICKER,"DEEP_MEASURE_PERIOD_BROKER_VALUE","DEEP_MEASURE_ID_OVERRIDE",$C278,"DEEP_BROKER_ID_OVERRIDE",M$24,"DEEP_PERIOD_OVERRIDE",$H$19)*1,"")))</f>
        <v/>
      </c>
      <c r="N278" t="str">
        <f>IF(OR(N$23="",ISNA($B278)),"",IF(ISBLANK($B278),"",IFERROR(_xll.BDP(TICKER,"DEEP_MEASURE_PERIOD_BROKER_VALUE","DEEP_MEASURE_ID_OVERRIDE",$C278,"DEEP_BROKER_ID_OVERRIDE",N$24,"DEEP_PERIOD_OVERRIDE",$H$19)*1,"")))</f>
        <v/>
      </c>
      <c r="O278" t="str">
        <f>IF(OR(O$23="",ISNA($B278)),"",IF(ISBLANK($B278),"",IFERROR(_xll.BDP(TICKER,"DEEP_MEASURE_PERIOD_BROKER_VALUE","DEEP_MEASURE_ID_OVERRIDE",$C278,"DEEP_BROKER_ID_OVERRIDE",O$24,"DEEP_PERIOD_OVERRIDE",$H$19)*1,"")))</f>
        <v/>
      </c>
      <c r="P278" t="str">
        <f>IF(OR(P$23="",ISNA($B278)),"",IF(ISBLANK($B278),"",IFERROR(_xll.BDP(TICKER,"DEEP_MEASURE_PERIOD_BROKER_VALUE","DEEP_MEASURE_ID_OVERRIDE",$C278,"DEEP_BROKER_ID_OVERRIDE",P$24,"DEEP_PERIOD_OVERRIDE",$H$19)*1,"")))</f>
        <v/>
      </c>
      <c r="Q278" t="str">
        <f>IF(OR(Q$23="",ISNA($B278)),"",IF(ISBLANK($B278),"",IFERROR(_xll.BDP(TICKER,"DEEP_MEASURE_PERIOD_BROKER_VALUE","DEEP_MEASURE_ID_OVERRIDE",$C278,"DEEP_BROKER_ID_OVERRIDE",Q$24,"DEEP_PERIOD_OVERRIDE",$H$19)*1,"")))</f>
        <v/>
      </c>
      <c r="R278" t="str">
        <f>IF(OR(R$23="",ISNA($B278)),"",IF(ISBLANK($B278),"",IFERROR(_xll.BDP(TICKER,"DEEP_MEASURE_PERIOD_BROKER_VALUE","DEEP_MEASURE_ID_OVERRIDE",$C278,"DEEP_BROKER_ID_OVERRIDE",R$24,"DEEP_PERIOD_OVERRIDE",$H$19)*1,"")))</f>
        <v/>
      </c>
      <c r="S278" t="str">
        <f>IF(OR(S$23="",ISNA($B278)),"",IF(ISBLANK($B278),"",IFERROR(_xll.BDP(TICKER,"DEEP_MEASURE_PERIOD_BROKER_VALUE","DEEP_MEASURE_ID_OVERRIDE",$C278,"DEEP_BROKER_ID_OVERRIDE",S$24,"DEEP_PERIOD_OVERRIDE",$H$19)*1,"")))</f>
        <v/>
      </c>
      <c r="T278" t="str">
        <f>IF(OR(T$23="",ISNA($B278)),"",IF(ISBLANK($B278),"",IFERROR(_xll.BDP(TICKER,"DEEP_MEASURE_PERIOD_BROKER_VALUE","DEEP_MEASURE_ID_OVERRIDE",$C278,"DEEP_BROKER_ID_OVERRIDE",T$24,"DEEP_PERIOD_OVERRIDE",$H$19)*1,"")))</f>
        <v/>
      </c>
      <c r="U278" t="str">
        <f>IF(OR(U$23="",ISNA($B278)),"",IF(ISBLANK($B278),"",IFERROR(_xll.BDP(TICKER,"DEEP_MEASURE_PERIOD_BROKER_VALUE","DEEP_MEASURE_ID_OVERRIDE",$C278,"DEEP_BROKER_ID_OVERRIDE",U$24,"DEEP_PERIOD_OVERRIDE",$H$19)*1,"")))</f>
        <v/>
      </c>
      <c r="V278" t="str">
        <f>IF(OR(V$23="",ISNA($B278)),"",IF(ISBLANK($B278),"",IFERROR(_xll.BDP(TICKER,"DEEP_MEASURE_PERIOD_BROKER_VALUE","DEEP_MEASURE_ID_OVERRIDE",$C278,"DEEP_BROKER_ID_OVERRIDE",V$24,"DEEP_PERIOD_OVERRIDE",$H$19)*1,"")))</f>
        <v/>
      </c>
      <c r="W278" t="str">
        <f>IF(OR(W$23="",ISNA($B278)),"",IF(ISBLANK($B278),"",IFERROR(_xll.BDP(TICKER,"DEEP_MEASURE_PERIOD_BROKER_VALUE","DEEP_MEASURE_ID_OVERRIDE",$C278,"DEEP_BROKER_ID_OVERRIDE",W$24,"DEEP_PERIOD_OVERRIDE",$H$19)*1,"")))</f>
        <v/>
      </c>
      <c r="X278" t="str">
        <f>IF(OR(X$23="",ISNA($B278)),"",IF(ISBLANK($B278),"",IFERROR(_xll.BDP(TICKER,"DEEP_MEASURE_PERIOD_BROKER_VALUE","DEEP_MEASURE_ID_OVERRIDE",$C278,"DEEP_BROKER_ID_OVERRIDE",X$24,"DEEP_PERIOD_OVERRIDE",$H$19)*1,"")))</f>
        <v/>
      </c>
      <c r="Y278" t="str">
        <f>IF(OR(Y$23="",ISNA($B278)),"",IF(ISBLANK($B278),"",IFERROR(_xll.BDP(TICKER,"DEEP_MEASURE_PERIOD_BROKER_VALUE","DEEP_MEASURE_ID_OVERRIDE",$C278,"DEEP_BROKER_ID_OVERRIDE",Y$24,"DEEP_PERIOD_OVERRIDE",$H$19)*1,"")))</f>
        <v/>
      </c>
      <c r="Z278" t="str">
        <f>IF(OR(Z$23="",ISNA($B278)),"",IF(ISBLANK($B278),"",IFERROR(_xll.BDP(TICKER,"DEEP_MEASURE_PERIOD_BROKER_VALUE","DEEP_MEASURE_ID_OVERRIDE",$C278,"DEEP_BROKER_ID_OVERRIDE",Z$24,"DEEP_PERIOD_OVERRIDE",$H$19)*1,"")))</f>
        <v/>
      </c>
      <c r="AA278" t="str">
        <f>IF(OR(AA$23="",ISNA($B278)),"",IF(ISBLANK($B278),"",IFERROR(_xll.BDP(TICKER,"DEEP_MEASURE_PERIOD_BROKER_VALUE","DEEP_MEASURE_ID_OVERRIDE",$C278,"DEEP_BROKER_ID_OVERRIDE",AA$24,"DEEP_PERIOD_OVERRIDE",$H$19)*1,"")))</f>
        <v/>
      </c>
      <c r="AB278" t="str">
        <f>IF(OR(AB$23="",ISNA($B278)),"",IF(ISBLANK($B278),"",IFERROR(_xll.BDP(TICKER,"DEEP_MEASURE_PERIOD_BROKER_VALUE","DEEP_MEASURE_ID_OVERRIDE",$C278,"DEEP_BROKER_ID_OVERRIDE",AB$24,"DEEP_PERIOD_OVERRIDE",$H$19)*1,"")))</f>
        <v/>
      </c>
      <c r="AC278" t="str">
        <f>IF(OR(AC$23="",ISNA($B278)),"",IF(ISBLANK($B278),"",IFERROR(_xll.BDP(TICKER,"DEEP_MEASURE_PERIOD_BROKER_VALUE","DEEP_MEASURE_ID_OVERRIDE",$C278,"DEEP_BROKER_ID_OVERRIDE",AC$24,"DEEP_PERIOD_OVERRIDE",$H$19)*1,"")))</f>
        <v/>
      </c>
      <c r="AD278" t="str">
        <f>IF(OR(AD$23="",ISNA($B278)),"",IF(ISBLANK($B278),"",IFERROR(_xll.BDP(TICKER,"DEEP_MEASURE_PERIOD_BROKER_VALUE","DEEP_MEASURE_ID_OVERRIDE",$C278,"DEEP_BROKER_ID_OVERRIDE",AD$24,"DEEP_PERIOD_OVERRIDE",$H$19)*1,"")))</f>
        <v/>
      </c>
      <c r="AE278" t="str">
        <f>IF(OR(AE$23="",ISNA($B278)),"",IF(ISBLANK($B278),"",IFERROR(_xll.BDP(TICKER,"DEEP_MEASURE_PERIOD_BROKER_VALUE","DEEP_MEASURE_ID_OVERRIDE",$C278,"DEEP_BROKER_ID_OVERRIDE",AE$24,"DEEP_PERIOD_OVERRIDE",$H$19)*1,"")))</f>
        <v/>
      </c>
      <c r="AF278" t="str">
        <f>IF(OR(AF$23="",ISNA($B278)),"",IF(ISBLANK($B278),"",IFERROR(_xll.BDP(TICKER,"DEEP_MEASURE_PERIOD_BROKER_VALUE","DEEP_MEASURE_ID_OVERRIDE",$C278,"DEEP_BROKER_ID_OVERRIDE",AF$24,"DEEP_PERIOD_OVERRIDE",$H$19)*1,"")))</f>
        <v/>
      </c>
      <c r="AG278" t="str">
        <f>IF(OR(AG$23="",ISNA($B278)),"",IF(ISBLANK($B278),"",IFERROR(_xll.BDP(TICKER,"DEEP_MEASURE_PERIOD_BROKER_VALUE","DEEP_MEASURE_ID_OVERRIDE",$C278,"DEEP_BROKER_ID_OVERRIDE",AG$24,"DEEP_PERIOD_OVERRIDE",$H$19)*1,"")))</f>
        <v/>
      </c>
      <c r="AH278" t="str">
        <f>IF(OR(AH$23="",ISNA($B278)),"",IF(ISBLANK($B278),"",IFERROR(_xll.BDP(TICKER,"DEEP_MEASURE_PERIOD_BROKER_VALUE","DEEP_MEASURE_ID_OVERRIDE",$C278,"DEEP_BROKER_ID_OVERRIDE",AH$24,"DEEP_PERIOD_OVERRIDE",$H$19)*1,"")))</f>
        <v/>
      </c>
      <c r="AI278" t="str">
        <f>IF(OR(AI$23="",ISNA($B278)),"",IF(ISBLANK($B278),"",IFERROR(_xll.BDP(TICKER,"DEEP_MEASURE_PERIOD_BROKER_VALUE","DEEP_MEASURE_ID_OVERRIDE",$C278,"DEEP_BROKER_ID_OVERRIDE",AI$24,"DEEP_PERIOD_OVERRIDE",$H$19)*1,"")))</f>
        <v/>
      </c>
      <c r="AJ278" t="str">
        <f>IF(OR(AJ$23="",ISNA($B278)),"",IF(ISBLANK($B278),"",IFERROR(_xll.BDP(TICKER,"DEEP_MEASURE_PERIOD_BROKER_VALUE","DEEP_MEASURE_ID_OVERRIDE",$C278,"DEEP_BROKER_ID_OVERRIDE",AJ$24,"DEEP_PERIOD_OVERRIDE",$H$19)*1,"")))</f>
        <v/>
      </c>
      <c r="AK278" t="str">
        <f>IF(OR(AK$23="",ISNA($B278)),"",IF(ISBLANK($B278),"",IFERROR(_xll.BDP(TICKER,"DEEP_MEASURE_PERIOD_BROKER_VALUE","DEEP_MEASURE_ID_OVERRIDE",$C278,"DEEP_BROKER_ID_OVERRIDE",AK$24,"DEEP_PERIOD_OVERRIDE",$H$19)*1,"")))</f>
        <v/>
      </c>
      <c r="AL278" t="str">
        <f>IF(OR(AL$23="",ISNA($B278)),"",IF(ISBLANK($B278),"",IFERROR(_xll.BDP(TICKER,"DEEP_MEASURE_PERIOD_BROKER_VALUE","DEEP_MEASURE_ID_OVERRIDE",$C278,"DEEP_BROKER_ID_OVERRIDE",AL$24,"DEEP_PERIOD_OVERRIDE",$H$19)*1,"")))</f>
        <v/>
      </c>
      <c r="AM278" t="str">
        <f>IF(OR(AM$23="",ISNA($B278)),"",IF(ISBLANK($B278),"",IFERROR(_xll.BDP(TICKER,"DEEP_MEASURE_PERIOD_BROKER_VALUE","DEEP_MEASURE_ID_OVERRIDE",$C278,"DEEP_BROKER_ID_OVERRIDE",AM$24,"DEEP_PERIOD_OVERRIDE",$H$19)*1,"")))</f>
        <v/>
      </c>
      <c r="AN278" t="str">
        <f>IF(OR(AN$23="",ISNA($B278)),"",IF(ISBLANK($B278),"",IFERROR(_xll.BDP(TICKER,"DEEP_MEASURE_PERIOD_BROKER_VALUE","DEEP_MEASURE_ID_OVERRIDE",$C278,"DEEP_BROKER_ID_OVERRIDE",AN$24,"DEEP_PERIOD_OVERRIDE",$H$19)*1,"")))</f>
        <v/>
      </c>
      <c r="AO278" t="str">
        <f>IF(OR(AO$23="",ISNA($B278)),"",IF(ISBLANK($B278),"",IFERROR(_xll.BDP(TICKER,"DEEP_MEASURE_PERIOD_BROKER_VALUE","DEEP_MEASURE_ID_OVERRIDE",$C278,"DEEP_BROKER_ID_OVERRIDE",AO$24,"DEEP_PERIOD_OVERRIDE",$H$19)*1,"")))</f>
        <v/>
      </c>
      <c r="AP278" t="str">
        <f>IF(OR(AP$23="",ISNA($B278)),"",IF(ISBLANK($B278),"",IFERROR(_xll.BDP(TICKER,"DEEP_MEASURE_PERIOD_BROKER_VALUE","DEEP_MEASURE_ID_OVERRIDE",$C278,"DEEP_BROKER_ID_OVERRIDE",AP$24,"DEEP_PERIOD_OVERRIDE",$H$19)*1,"")))</f>
        <v/>
      </c>
      <c r="AQ278" t="str">
        <f>IF(OR(AQ$23="",ISNA($B278)),"",IF(ISBLANK($B278),"",IFERROR(_xll.BDP(TICKER,"DEEP_MEASURE_PERIOD_BROKER_VALUE","DEEP_MEASURE_ID_OVERRIDE",$C278,"DEEP_BROKER_ID_OVERRIDE",AQ$24,"DEEP_PERIOD_OVERRIDE",$H$19)*1,"")))</f>
        <v/>
      </c>
      <c r="AR278" t="str">
        <f>IF(OR(AR$23="",ISNA($B278)),"",IF(ISBLANK($B278),"",IFERROR(_xll.BDP(TICKER,"DEEP_MEASURE_PERIOD_BROKER_VALUE","DEEP_MEASURE_ID_OVERRIDE",$C278,"DEEP_BROKER_ID_OVERRIDE",AR$24,"DEEP_PERIOD_OVERRIDE",$H$19)*1,"")))</f>
        <v/>
      </c>
      <c r="AS278" t="str">
        <f>IF(OR(AS$23="",ISNA($B278)),"",IF(ISBLANK($B278),"",IFERROR(_xll.BDP(TICKER,"DEEP_MEASURE_PERIOD_BROKER_VALUE","DEEP_MEASURE_ID_OVERRIDE",$C278,"DEEP_BROKER_ID_OVERRIDE",AS$24,"DEEP_PERIOD_OVERRIDE",$H$19)*1,"")))</f>
        <v/>
      </c>
      <c r="AT278" t="str">
        <f>IF(OR(AT$23="",ISNA($B278)),"",IF(ISBLANK($B278),"",IFERROR(_xll.BDP(TICKER,"DEEP_MEASURE_PERIOD_BROKER_VALUE","DEEP_MEASURE_ID_OVERRIDE",$C278,"DEEP_BROKER_ID_OVERRIDE",AT$24,"DEEP_PERIOD_OVERRIDE",$H$19)*1,"")))</f>
        <v/>
      </c>
      <c r="AU278" t="str">
        <f>IF(OR(AU$23="",ISNA($B278)),"",IF(ISBLANK($B278),"",IFERROR(_xll.BDP(TICKER,"DEEP_MEASURE_PERIOD_BROKER_VALUE","DEEP_MEASURE_ID_OVERRIDE",$C278,"DEEP_BROKER_ID_OVERRIDE",AU$24,"DEEP_PERIOD_OVERRIDE",$H$19)*1,"")))</f>
        <v/>
      </c>
      <c r="AV278" t="str">
        <f>IF(OR(AV$23="",ISNA($B278)),"",IF(ISBLANK($B278),"",IFERROR(_xll.BDP(TICKER,"DEEP_MEASURE_PERIOD_BROKER_VALUE","DEEP_MEASURE_ID_OVERRIDE",$C278,"DEEP_BROKER_ID_OVERRIDE",AV$24,"DEEP_PERIOD_OVERRIDE",$H$19)*1,"")))</f>
        <v/>
      </c>
      <c r="AW278" t="str">
        <f>IF(OR(AW$23="",ISNA($B278)),"",IF(ISBLANK($B278),"",IFERROR(_xll.BDP(TICKER,"DEEP_MEASURE_PERIOD_BROKER_VALUE","DEEP_MEASURE_ID_OVERRIDE",$C278,"DEEP_BROKER_ID_OVERRIDE",AW$24,"DEEP_PERIOD_OVERRIDE",$H$19)*1,"")))</f>
        <v/>
      </c>
      <c r="AX278" t="str">
        <f>IF(OR(AX$23="",ISNA($B278)),"",IF(ISBLANK($B278),"",IFERROR(_xll.BDP(TICKER,"DEEP_MEASURE_PERIOD_BROKER_VALUE","DEEP_MEASURE_ID_OVERRIDE",$C278,"DEEP_BROKER_ID_OVERRIDE",AX$24,"DEEP_PERIOD_OVERRIDE",$H$19)*1,"")))</f>
        <v/>
      </c>
      <c r="AY278" t="str">
        <f>IF(OR(AY$23="",ISNA($B278)),"",IF(ISBLANK($B278),"",IFERROR(_xll.BDP(TICKER,"DEEP_MEASURE_PERIOD_BROKER_VALUE","DEEP_MEASURE_ID_OVERRIDE",$C278,"DEEP_BROKER_ID_OVERRIDE",AY$24,"DEEP_PERIOD_OVERRIDE",$H$19)*1,"")))</f>
        <v/>
      </c>
      <c r="AZ278" t="str">
        <f>IF(OR(AZ$23="",ISNA($B278)),"",IF(ISBLANK($B278),"",IFERROR(_xll.BDP(TICKER,"DEEP_MEASURE_PERIOD_BROKER_VALUE","DEEP_MEASURE_ID_OVERRIDE",$C278,"DEEP_BROKER_ID_OVERRIDE",AZ$24,"DEEP_PERIOD_OVERRIDE",$H$19)*1,"")))</f>
        <v/>
      </c>
      <c r="BA278" t="str">
        <f>IF(OR(BA$23="",ISNA($B278)),"",IF(ISBLANK($B278),"",IFERROR(_xll.BDP(TICKER,"DEEP_MEASURE_PERIOD_BROKER_VALUE","DEEP_MEASURE_ID_OVERRIDE",$C278,"DEEP_BROKER_ID_OVERRIDE",BA$24,"DEEP_PERIOD_OVERRIDE",$H$19)*1,"")))</f>
        <v/>
      </c>
      <c r="BB278" t="str">
        <f>IF(OR(BB$23="",ISNA($B278)),"",IF(ISBLANK($B278),"",IFERROR(_xll.BDP(TICKER,"DEEP_MEASURE_PERIOD_BROKER_VALUE","DEEP_MEASURE_ID_OVERRIDE",$C278,"DEEP_BROKER_ID_OVERRIDE",BB$24,"DEEP_PERIOD_OVERRIDE",$H$19)*1,"")))</f>
        <v/>
      </c>
      <c r="BC278" t="str">
        <f>IF(OR(BC$23="",ISNA($B278)),"",IF(ISBLANK($B278),"",IFERROR(_xll.BDP(TICKER,"DEEP_MEASURE_PERIOD_BROKER_VALUE","DEEP_MEASURE_ID_OVERRIDE",$C278,"DEEP_BROKER_ID_OVERRIDE",BC$24,"DEEP_PERIOD_OVERRIDE",$H$19)*1,"")))</f>
        <v/>
      </c>
      <c r="BD278" t="str">
        <f>IF(OR(BD$23="",ISNA($B278)),"",IF(ISBLANK($B278),"",IFERROR(_xll.BDP(TICKER,"DEEP_MEASURE_PERIOD_BROKER_VALUE","DEEP_MEASURE_ID_OVERRIDE",$C278,"DEEP_BROKER_ID_OVERRIDE",BD$24,"DEEP_PERIOD_OVERRIDE",$H$19)*1,"")))</f>
        <v/>
      </c>
      <c r="BE278" t="str">
        <f>IF(OR(BE$23="",ISNA($B278)),"",IF(ISBLANK($B278),"",IFERROR(_xll.BDP(TICKER,"DEEP_MEASURE_PERIOD_BROKER_VALUE","DEEP_MEASURE_ID_OVERRIDE",$C278,"DEEP_BROKER_ID_OVERRIDE",BE$24,"DEEP_PERIOD_OVERRIDE",$H$19)*1,"")))</f>
        <v/>
      </c>
      <c r="BF278" t="str">
        <f>IF(OR(BF$23="",ISNA($B278)),"",IF(ISBLANK($B278),"",IFERROR(_xll.BDP(TICKER,"DEEP_MEASURE_PERIOD_BROKER_VALUE","DEEP_MEASURE_ID_OVERRIDE",$C278,"DEEP_BROKER_ID_OVERRIDE",BF$24,"DEEP_PERIOD_OVERRIDE",$H$19)*1,"")))</f>
        <v/>
      </c>
      <c r="BG278" t="str">
        <f>IF(OR(BG$23="",ISNA($B278)),"",IF(ISBLANK($B278),"",IFERROR(_xll.BDP(TICKER,"DEEP_MEASURE_PERIOD_BROKER_VALUE","DEEP_MEASURE_ID_OVERRIDE",$C278,"DEEP_BROKER_ID_OVERRIDE",BG$24,"DEEP_PERIOD_OVERRIDE",$H$19)*1,"")))</f>
        <v/>
      </c>
      <c r="BH278" t="str">
        <f>IF(OR(BH$23="",ISNA($B278)),"",IF(ISBLANK($B278),"",IFERROR(_xll.BDP(TICKER,"DEEP_MEASURE_PERIOD_BROKER_VALUE","DEEP_MEASURE_ID_OVERRIDE",$C278,"DEEP_BROKER_ID_OVERRIDE",BH$24,"DEEP_PERIOD_OVERRIDE",$H$19)*1,"")))</f>
        <v/>
      </c>
      <c r="BI278" t="str">
        <f>IF(OR(BI$23="",ISNA($B278)),"",IF(ISBLANK($B278),"",IFERROR(_xll.BDP(TICKER,"DEEP_MEASURE_PERIOD_BROKER_VALUE","DEEP_MEASURE_ID_OVERRIDE",$C278,"DEEP_BROKER_ID_OVERRIDE",BI$24,"DEEP_PERIOD_OVERRIDE",$H$19)*1,"")))</f>
        <v/>
      </c>
      <c r="BJ278" t="str">
        <f>IF(OR(BJ$23="",ISNA($B278)),"",IF(ISBLANK($B278),"",IFERROR(_xll.BDP(TICKER,"DEEP_MEASURE_PERIOD_BROKER_VALUE","DEEP_MEASURE_ID_OVERRIDE",$C278,"DEEP_BROKER_ID_OVERRIDE",BJ$24,"DEEP_PERIOD_OVERRIDE",$H$19)*1,"")))</f>
        <v/>
      </c>
      <c r="BK278" t="str">
        <f>IF(OR(BK$23="",ISNA($B278)),"",IF(ISBLANK($B278),"",IFERROR(_xll.BDP(TICKER,"DEEP_MEASURE_PERIOD_BROKER_VALUE","DEEP_MEASURE_ID_OVERRIDE",$C278,"DEEP_BROKER_ID_OVERRIDE",BK$24,"DEEP_PERIOD_OVERRIDE",$H$19)*1,"")))</f>
        <v/>
      </c>
      <c r="BL278" t="str">
        <f>IF(OR(BL$23="",ISNA($B278)),"",IF(ISBLANK($B278),"",IFERROR(_xll.BDP(TICKER,"DEEP_MEASURE_PERIOD_BROKER_VALUE","DEEP_MEASURE_ID_OVERRIDE",$C278,"DEEP_BROKER_ID_OVERRIDE",BL$24,"DEEP_PERIOD_OVERRIDE",$H$19)*1,"")))</f>
        <v/>
      </c>
      <c r="BM278" t="str">
        <f>IF(OR(BM$23="",ISNA($B278)),"",IF(ISBLANK($B278),"",IFERROR(_xll.BDP(TICKER,"DEEP_MEASURE_PERIOD_BROKER_VALUE","DEEP_MEASURE_ID_OVERRIDE",$C278,"DEEP_BROKER_ID_OVERRIDE",BM$24,"DEEP_PERIOD_OVERRIDE",$H$19)*1,"")))</f>
        <v/>
      </c>
      <c r="BN278" t="str">
        <f>IF(OR(BN$23="",ISNA($B278)),"",IF(ISBLANK($B278),"",IFERROR(_xll.BDP(TICKER,"DEEP_MEASURE_PERIOD_BROKER_VALUE","DEEP_MEASURE_ID_OVERRIDE",$C278,"DEEP_BROKER_ID_OVERRIDE",BN$24,"DEEP_PERIOD_OVERRIDE",$H$19)*1,"")))</f>
        <v/>
      </c>
      <c r="BO278" t="str">
        <f>IF(OR(BO$23="",ISNA($B278)),"",IF(ISBLANK($B278),"",IFERROR(_xll.BDP(TICKER,"DEEP_MEASURE_PERIOD_BROKER_VALUE","DEEP_MEASURE_ID_OVERRIDE",$C278,"DEEP_BROKER_ID_OVERRIDE",BO$24,"DEEP_PERIOD_OVERRIDE",$H$19)*1,"")))</f>
        <v/>
      </c>
      <c r="BP278" t="str">
        <f>IF(OR(BP$23="",ISNA($B278)),"",IF(ISBLANK($B278),"",IFERROR(_xll.BDP(TICKER,"DEEP_MEASURE_PERIOD_BROKER_VALUE","DEEP_MEASURE_ID_OVERRIDE",$C278,"DEEP_BROKER_ID_OVERRIDE",BP$24,"DEEP_PERIOD_OVERRIDE",$H$19)*1,"")))</f>
        <v/>
      </c>
      <c r="BQ278" t="str">
        <f>IF(OR(BQ$23="",ISNA($B278)),"",IF(ISBLANK($B278),"",IFERROR(_xll.BDP(TICKER,"DEEP_MEASURE_PERIOD_BROKER_VALUE","DEEP_MEASURE_ID_OVERRIDE",$C278,"DEEP_BROKER_ID_OVERRIDE",BQ$24,"DEEP_PERIOD_OVERRIDE",$H$19)*1,"")))</f>
        <v/>
      </c>
      <c r="BR278" t="str">
        <f>IF(OR(BR$23="",ISNA($B278)),"",IF(ISBLANK($B278),"",IFERROR(_xll.BDP(TICKER,"DEEP_MEASURE_PERIOD_BROKER_VALUE","DEEP_MEASURE_ID_OVERRIDE",$C278,"DEEP_BROKER_ID_OVERRIDE",BR$24,"DEEP_PERIOD_OVERRIDE",$H$19)*1,"")))</f>
        <v/>
      </c>
      <c r="BS278" t="str">
        <f>IF(OR(BS$23="",ISNA($B278)),"",IF(ISBLANK($B278),"",IFERROR(_xll.BDP(TICKER,"DEEP_MEASURE_PERIOD_BROKER_VALUE","DEEP_MEASURE_ID_OVERRIDE",$C278,"DEEP_BROKER_ID_OVERRIDE",BS$24,"DEEP_PERIOD_OVERRIDE",$H$19)*1,"")))</f>
        <v/>
      </c>
      <c r="BT278" t="str">
        <f>IF(OR(BT$23="",ISNA($B278)),"",IF(ISBLANK($B278),"",IFERROR(_xll.BDP(TICKER,"DEEP_MEASURE_PERIOD_BROKER_VALUE","DEEP_MEASURE_ID_OVERRIDE",$C278,"DEEP_BROKER_ID_OVERRIDE",BT$24,"DEEP_PERIOD_OVERRIDE",$H$19)*1,"")))</f>
        <v/>
      </c>
      <c r="BU278" t="str">
        <f>IF(OR(BU$23="",ISNA($B278)),"",IF(ISBLANK($B278),"",IFERROR(_xll.BDP(TICKER,"DEEP_MEASURE_PERIOD_BROKER_VALUE","DEEP_MEASURE_ID_OVERRIDE",$C278,"DEEP_BROKER_ID_OVERRIDE",BU$24,"DEEP_PERIOD_OVERRIDE",$H$19)*1,"")))</f>
        <v/>
      </c>
      <c r="BV278" t="str">
        <f>IF(OR(BV$23="",ISNA($B278)),"",IF(ISBLANK($B278),"",IFERROR(_xll.BDP(TICKER,"DEEP_MEASURE_PERIOD_BROKER_VALUE","DEEP_MEASURE_ID_OVERRIDE",$C278,"DEEP_BROKER_ID_OVERRIDE",BV$24,"DEEP_PERIOD_OVERRIDE",$H$19)*1,"")))</f>
        <v/>
      </c>
      <c r="BW278" t="str">
        <f>IF(OR(BW$23="",ISNA($B278)),"",IF(ISBLANK($B278),"",IFERROR(_xll.BDP(TICKER,"DEEP_MEASURE_PERIOD_BROKER_VALUE","DEEP_MEASURE_ID_OVERRIDE",$C278,"DEEP_BROKER_ID_OVERRIDE",BW$24,"DEEP_PERIOD_OVERRIDE",$H$19)*1,"")))</f>
        <v/>
      </c>
      <c r="BX278" t="str">
        <f>IF(OR(BX$23="",ISNA($B278)),"",IF(ISBLANK($B278),"",IFERROR(_xll.BDP(TICKER,"DEEP_MEASURE_PERIOD_BROKER_VALUE","DEEP_MEASURE_ID_OVERRIDE",$C278,"DEEP_BROKER_ID_OVERRIDE",BX$24,"DEEP_PERIOD_OVERRIDE",$H$19)*1,"")))</f>
        <v/>
      </c>
      <c r="BY278" t="str">
        <f>IF(OR(BY$23="",ISNA($B278)),"",IF(ISBLANK($B278),"",IFERROR(_xll.BDP(TICKER,"DEEP_MEASURE_PERIOD_BROKER_VALUE","DEEP_MEASURE_ID_OVERRIDE",$C278,"DEEP_BROKER_ID_OVERRIDE",BY$24,"DEEP_PERIOD_OVERRIDE",$H$19)*1,"")))</f>
        <v/>
      </c>
      <c r="BZ278" t="str">
        <f>IF(OR(BZ$23="",ISNA($B278)),"",IF(ISBLANK($B278),"",IFERROR(_xll.BDP(TICKER,"DEEP_MEASURE_PERIOD_BROKER_VALUE","DEEP_MEASURE_ID_OVERRIDE",$C278,"DEEP_BROKER_ID_OVERRIDE",BZ$24,"DEEP_PERIOD_OVERRIDE",$H$19)*1,"")))</f>
        <v/>
      </c>
    </row>
    <row r="279" spans="8:78" x14ac:dyDescent="0.25">
      <c r="H279" t="str">
        <f t="shared" si="4"/>
        <v/>
      </c>
      <c r="I279" t="str">
        <f>IF(OR(I$23="",ISNA($B279)),"",IF(ISBLANK($B279),"",IFERROR(_xll.BDP(TICKER,"DEEP_MEASURE_PERIOD_BROKER_VALUE","DEEP_MEASURE_ID_OVERRIDE",$C279,"DEEP_PERIOD_OVERRIDE",$H$19)*1,"")))</f>
        <v/>
      </c>
      <c r="J279" t="e">
        <f>IF(OR(J$23="",ISNA($B279)),"",IF(ISBLANK($B279),"",IFERROR(_xll.BDP(TICKER,"DEEP_MEASURE_PERIOD_BROKER_VALUE","DEEP_MEASURE_ID_OVERRIDE",$C279,"DEEP_BROKER_ID_OVERRIDE",J$24,"DEEP_PERIOD_OVERRIDE",$H$19)*1,"")))</f>
        <v>#REF!</v>
      </c>
      <c r="K279" t="str">
        <f>IF(OR(K$23="",ISNA($B279)),"",IF(ISBLANK($B279),"",IFERROR(_xll.BDP(TICKER,"DEEP_MEASURE_PERIOD_BROKER_VALUE","DEEP_MEASURE_ID_OVERRIDE",$C279,"DEEP_BROKER_ID_OVERRIDE",K$24,"DEEP_PERIOD_OVERRIDE",$H$19)*1,"")))</f>
        <v/>
      </c>
      <c r="L279" t="str">
        <f>IF(OR(L$23="",ISNA($B279)),"",IF(ISBLANK($B279),"",IFERROR(_xll.BDP(TICKER,"DEEP_MEASURE_PERIOD_BROKER_VALUE","DEEP_MEASURE_ID_OVERRIDE",$C279,"DEEP_BROKER_ID_OVERRIDE",L$24,"DEEP_PERIOD_OVERRIDE",$H$19)*1,"")))</f>
        <v/>
      </c>
      <c r="M279" t="str">
        <f>IF(OR(M$23="",ISNA($B279)),"",IF(ISBLANK($B279),"",IFERROR(_xll.BDP(TICKER,"DEEP_MEASURE_PERIOD_BROKER_VALUE","DEEP_MEASURE_ID_OVERRIDE",$C279,"DEEP_BROKER_ID_OVERRIDE",M$24,"DEEP_PERIOD_OVERRIDE",$H$19)*1,"")))</f>
        <v/>
      </c>
      <c r="N279" t="str">
        <f>IF(OR(N$23="",ISNA($B279)),"",IF(ISBLANK($B279),"",IFERROR(_xll.BDP(TICKER,"DEEP_MEASURE_PERIOD_BROKER_VALUE","DEEP_MEASURE_ID_OVERRIDE",$C279,"DEEP_BROKER_ID_OVERRIDE",N$24,"DEEP_PERIOD_OVERRIDE",$H$19)*1,"")))</f>
        <v/>
      </c>
      <c r="O279" t="str">
        <f>IF(OR(O$23="",ISNA($B279)),"",IF(ISBLANK($B279),"",IFERROR(_xll.BDP(TICKER,"DEEP_MEASURE_PERIOD_BROKER_VALUE","DEEP_MEASURE_ID_OVERRIDE",$C279,"DEEP_BROKER_ID_OVERRIDE",O$24,"DEEP_PERIOD_OVERRIDE",$H$19)*1,"")))</f>
        <v/>
      </c>
      <c r="P279" t="str">
        <f>IF(OR(P$23="",ISNA($B279)),"",IF(ISBLANK($B279),"",IFERROR(_xll.BDP(TICKER,"DEEP_MEASURE_PERIOD_BROKER_VALUE","DEEP_MEASURE_ID_OVERRIDE",$C279,"DEEP_BROKER_ID_OVERRIDE",P$24,"DEEP_PERIOD_OVERRIDE",$H$19)*1,"")))</f>
        <v/>
      </c>
      <c r="Q279" t="str">
        <f>IF(OR(Q$23="",ISNA($B279)),"",IF(ISBLANK($B279),"",IFERROR(_xll.BDP(TICKER,"DEEP_MEASURE_PERIOD_BROKER_VALUE","DEEP_MEASURE_ID_OVERRIDE",$C279,"DEEP_BROKER_ID_OVERRIDE",Q$24,"DEEP_PERIOD_OVERRIDE",$H$19)*1,"")))</f>
        <v/>
      </c>
      <c r="R279" t="str">
        <f>IF(OR(R$23="",ISNA($B279)),"",IF(ISBLANK($B279),"",IFERROR(_xll.BDP(TICKER,"DEEP_MEASURE_PERIOD_BROKER_VALUE","DEEP_MEASURE_ID_OVERRIDE",$C279,"DEEP_BROKER_ID_OVERRIDE",R$24,"DEEP_PERIOD_OVERRIDE",$H$19)*1,"")))</f>
        <v/>
      </c>
      <c r="S279" t="str">
        <f>IF(OR(S$23="",ISNA($B279)),"",IF(ISBLANK($B279),"",IFERROR(_xll.BDP(TICKER,"DEEP_MEASURE_PERIOD_BROKER_VALUE","DEEP_MEASURE_ID_OVERRIDE",$C279,"DEEP_BROKER_ID_OVERRIDE",S$24,"DEEP_PERIOD_OVERRIDE",$H$19)*1,"")))</f>
        <v/>
      </c>
      <c r="T279" t="str">
        <f>IF(OR(T$23="",ISNA($B279)),"",IF(ISBLANK($B279),"",IFERROR(_xll.BDP(TICKER,"DEEP_MEASURE_PERIOD_BROKER_VALUE","DEEP_MEASURE_ID_OVERRIDE",$C279,"DEEP_BROKER_ID_OVERRIDE",T$24,"DEEP_PERIOD_OVERRIDE",$H$19)*1,"")))</f>
        <v/>
      </c>
      <c r="U279" t="str">
        <f>IF(OR(U$23="",ISNA($B279)),"",IF(ISBLANK($B279),"",IFERROR(_xll.BDP(TICKER,"DEEP_MEASURE_PERIOD_BROKER_VALUE","DEEP_MEASURE_ID_OVERRIDE",$C279,"DEEP_BROKER_ID_OVERRIDE",U$24,"DEEP_PERIOD_OVERRIDE",$H$19)*1,"")))</f>
        <v/>
      </c>
      <c r="V279" t="str">
        <f>IF(OR(V$23="",ISNA($B279)),"",IF(ISBLANK($B279),"",IFERROR(_xll.BDP(TICKER,"DEEP_MEASURE_PERIOD_BROKER_VALUE","DEEP_MEASURE_ID_OVERRIDE",$C279,"DEEP_BROKER_ID_OVERRIDE",V$24,"DEEP_PERIOD_OVERRIDE",$H$19)*1,"")))</f>
        <v/>
      </c>
      <c r="W279" t="str">
        <f>IF(OR(W$23="",ISNA($B279)),"",IF(ISBLANK($B279),"",IFERROR(_xll.BDP(TICKER,"DEEP_MEASURE_PERIOD_BROKER_VALUE","DEEP_MEASURE_ID_OVERRIDE",$C279,"DEEP_BROKER_ID_OVERRIDE",W$24,"DEEP_PERIOD_OVERRIDE",$H$19)*1,"")))</f>
        <v/>
      </c>
      <c r="X279" t="str">
        <f>IF(OR(X$23="",ISNA($B279)),"",IF(ISBLANK($B279),"",IFERROR(_xll.BDP(TICKER,"DEEP_MEASURE_PERIOD_BROKER_VALUE","DEEP_MEASURE_ID_OVERRIDE",$C279,"DEEP_BROKER_ID_OVERRIDE",X$24,"DEEP_PERIOD_OVERRIDE",$H$19)*1,"")))</f>
        <v/>
      </c>
      <c r="Y279" t="str">
        <f>IF(OR(Y$23="",ISNA($B279)),"",IF(ISBLANK($B279),"",IFERROR(_xll.BDP(TICKER,"DEEP_MEASURE_PERIOD_BROKER_VALUE","DEEP_MEASURE_ID_OVERRIDE",$C279,"DEEP_BROKER_ID_OVERRIDE",Y$24,"DEEP_PERIOD_OVERRIDE",$H$19)*1,"")))</f>
        <v/>
      </c>
      <c r="Z279" t="str">
        <f>IF(OR(Z$23="",ISNA($B279)),"",IF(ISBLANK($B279),"",IFERROR(_xll.BDP(TICKER,"DEEP_MEASURE_PERIOD_BROKER_VALUE","DEEP_MEASURE_ID_OVERRIDE",$C279,"DEEP_BROKER_ID_OVERRIDE",Z$24,"DEEP_PERIOD_OVERRIDE",$H$19)*1,"")))</f>
        <v/>
      </c>
      <c r="AA279" t="str">
        <f>IF(OR(AA$23="",ISNA($B279)),"",IF(ISBLANK($B279),"",IFERROR(_xll.BDP(TICKER,"DEEP_MEASURE_PERIOD_BROKER_VALUE","DEEP_MEASURE_ID_OVERRIDE",$C279,"DEEP_BROKER_ID_OVERRIDE",AA$24,"DEEP_PERIOD_OVERRIDE",$H$19)*1,"")))</f>
        <v/>
      </c>
      <c r="AB279" t="str">
        <f>IF(OR(AB$23="",ISNA($B279)),"",IF(ISBLANK($B279),"",IFERROR(_xll.BDP(TICKER,"DEEP_MEASURE_PERIOD_BROKER_VALUE","DEEP_MEASURE_ID_OVERRIDE",$C279,"DEEP_BROKER_ID_OVERRIDE",AB$24,"DEEP_PERIOD_OVERRIDE",$H$19)*1,"")))</f>
        <v/>
      </c>
      <c r="AC279" t="str">
        <f>IF(OR(AC$23="",ISNA($B279)),"",IF(ISBLANK($B279),"",IFERROR(_xll.BDP(TICKER,"DEEP_MEASURE_PERIOD_BROKER_VALUE","DEEP_MEASURE_ID_OVERRIDE",$C279,"DEEP_BROKER_ID_OVERRIDE",AC$24,"DEEP_PERIOD_OVERRIDE",$H$19)*1,"")))</f>
        <v/>
      </c>
      <c r="AD279" t="str">
        <f>IF(OR(AD$23="",ISNA($B279)),"",IF(ISBLANK($B279),"",IFERROR(_xll.BDP(TICKER,"DEEP_MEASURE_PERIOD_BROKER_VALUE","DEEP_MEASURE_ID_OVERRIDE",$C279,"DEEP_BROKER_ID_OVERRIDE",AD$24,"DEEP_PERIOD_OVERRIDE",$H$19)*1,"")))</f>
        <v/>
      </c>
      <c r="AE279" t="str">
        <f>IF(OR(AE$23="",ISNA($B279)),"",IF(ISBLANK($B279),"",IFERROR(_xll.BDP(TICKER,"DEEP_MEASURE_PERIOD_BROKER_VALUE","DEEP_MEASURE_ID_OVERRIDE",$C279,"DEEP_BROKER_ID_OVERRIDE",AE$24,"DEEP_PERIOD_OVERRIDE",$H$19)*1,"")))</f>
        <v/>
      </c>
      <c r="AF279" t="str">
        <f>IF(OR(AF$23="",ISNA($B279)),"",IF(ISBLANK($B279),"",IFERROR(_xll.BDP(TICKER,"DEEP_MEASURE_PERIOD_BROKER_VALUE","DEEP_MEASURE_ID_OVERRIDE",$C279,"DEEP_BROKER_ID_OVERRIDE",AF$24,"DEEP_PERIOD_OVERRIDE",$H$19)*1,"")))</f>
        <v/>
      </c>
      <c r="AG279" t="str">
        <f>IF(OR(AG$23="",ISNA($B279)),"",IF(ISBLANK($B279),"",IFERROR(_xll.BDP(TICKER,"DEEP_MEASURE_PERIOD_BROKER_VALUE","DEEP_MEASURE_ID_OVERRIDE",$C279,"DEEP_BROKER_ID_OVERRIDE",AG$24,"DEEP_PERIOD_OVERRIDE",$H$19)*1,"")))</f>
        <v/>
      </c>
      <c r="AH279" t="str">
        <f>IF(OR(AH$23="",ISNA($B279)),"",IF(ISBLANK($B279),"",IFERROR(_xll.BDP(TICKER,"DEEP_MEASURE_PERIOD_BROKER_VALUE","DEEP_MEASURE_ID_OVERRIDE",$C279,"DEEP_BROKER_ID_OVERRIDE",AH$24,"DEEP_PERIOD_OVERRIDE",$H$19)*1,"")))</f>
        <v/>
      </c>
      <c r="AI279" t="str">
        <f>IF(OR(AI$23="",ISNA($B279)),"",IF(ISBLANK($B279),"",IFERROR(_xll.BDP(TICKER,"DEEP_MEASURE_PERIOD_BROKER_VALUE","DEEP_MEASURE_ID_OVERRIDE",$C279,"DEEP_BROKER_ID_OVERRIDE",AI$24,"DEEP_PERIOD_OVERRIDE",$H$19)*1,"")))</f>
        <v/>
      </c>
      <c r="AJ279" t="str">
        <f>IF(OR(AJ$23="",ISNA($B279)),"",IF(ISBLANK($B279),"",IFERROR(_xll.BDP(TICKER,"DEEP_MEASURE_PERIOD_BROKER_VALUE","DEEP_MEASURE_ID_OVERRIDE",$C279,"DEEP_BROKER_ID_OVERRIDE",AJ$24,"DEEP_PERIOD_OVERRIDE",$H$19)*1,"")))</f>
        <v/>
      </c>
      <c r="AK279" t="str">
        <f>IF(OR(AK$23="",ISNA($B279)),"",IF(ISBLANK($B279),"",IFERROR(_xll.BDP(TICKER,"DEEP_MEASURE_PERIOD_BROKER_VALUE","DEEP_MEASURE_ID_OVERRIDE",$C279,"DEEP_BROKER_ID_OVERRIDE",AK$24,"DEEP_PERIOD_OVERRIDE",$H$19)*1,"")))</f>
        <v/>
      </c>
      <c r="AL279" t="str">
        <f>IF(OR(AL$23="",ISNA($B279)),"",IF(ISBLANK($B279),"",IFERROR(_xll.BDP(TICKER,"DEEP_MEASURE_PERIOD_BROKER_VALUE","DEEP_MEASURE_ID_OVERRIDE",$C279,"DEEP_BROKER_ID_OVERRIDE",AL$24,"DEEP_PERIOD_OVERRIDE",$H$19)*1,"")))</f>
        <v/>
      </c>
      <c r="AM279" t="str">
        <f>IF(OR(AM$23="",ISNA($B279)),"",IF(ISBLANK($B279),"",IFERROR(_xll.BDP(TICKER,"DEEP_MEASURE_PERIOD_BROKER_VALUE","DEEP_MEASURE_ID_OVERRIDE",$C279,"DEEP_BROKER_ID_OVERRIDE",AM$24,"DEEP_PERIOD_OVERRIDE",$H$19)*1,"")))</f>
        <v/>
      </c>
      <c r="AN279" t="str">
        <f>IF(OR(AN$23="",ISNA($B279)),"",IF(ISBLANK($B279),"",IFERROR(_xll.BDP(TICKER,"DEEP_MEASURE_PERIOD_BROKER_VALUE","DEEP_MEASURE_ID_OVERRIDE",$C279,"DEEP_BROKER_ID_OVERRIDE",AN$24,"DEEP_PERIOD_OVERRIDE",$H$19)*1,"")))</f>
        <v/>
      </c>
      <c r="AO279" t="str">
        <f>IF(OR(AO$23="",ISNA($B279)),"",IF(ISBLANK($B279),"",IFERROR(_xll.BDP(TICKER,"DEEP_MEASURE_PERIOD_BROKER_VALUE","DEEP_MEASURE_ID_OVERRIDE",$C279,"DEEP_BROKER_ID_OVERRIDE",AO$24,"DEEP_PERIOD_OVERRIDE",$H$19)*1,"")))</f>
        <v/>
      </c>
      <c r="AP279" t="str">
        <f>IF(OR(AP$23="",ISNA($B279)),"",IF(ISBLANK($B279),"",IFERROR(_xll.BDP(TICKER,"DEEP_MEASURE_PERIOD_BROKER_VALUE","DEEP_MEASURE_ID_OVERRIDE",$C279,"DEEP_BROKER_ID_OVERRIDE",AP$24,"DEEP_PERIOD_OVERRIDE",$H$19)*1,"")))</f>
        <v/>
      </c>
      <c r="AQ279" t="str">
        <f>IF(OR(AQ$23="",ISNA($B279)),"",IF(ISBLANK($B279),"",IFERROR(_xll.BDP(TICKER,"DEEP_MEASURE_PERIOD_BROKER_VALUE","DEEP_MEASURE_ID_OVERRIDE",$C279,"DEEP_BROKER_ID_OVERRIDE",AQ$24,"DEEP_PERIOD_OVERRIDE",$H$19)*1,"")))</f>
        <v/>
      </c>
      <c r="AR279" t="str">
        <f>IF(OR(AR$23="",ISNA($B279)),"",IF(ISBLANK($B279),"",IFERROR(_xll.BDP(TICKER,"DEEP_MEASURE_PERIOD_BROKER_VALUE","DEEP_MEASURE_ID_OVERRIDE",$C279,"DEEP_BROKER_ID_OVERRIDE",AR$24,"DEEP_PERIOD_OVERRIDE",$H$19)*1,"")))</f>
        <v/>
      </c>
      <c r="AS279" t="str">
        <f>IF(OR(AS$23="",ISNA($B279)),"",IF(ISBLANK($B279),"",IFERROR(_xll.BDP(TICKER,"DEEP_MEASURE_PERIOD_BROKER_VALUE","DEEP_MEASURE_ID_OVERRIDE",$C279,"DEEP_BROKER_ID_OVERRIDE",AS$24,"DEEP_PERIOD_OVERRIDE",$H$19)*1,"")))</f>
        <v/>
      </c>
      <c r="AT279" t="str">
        <f>IF(OR(AT$23="",ISNA($B279)),"",IF(ISBLANK($B279),"",IFERROR(_xll.BDP(TICKER,"DEEP_MEASURE_PERIOD_BROKER_VALUE","DEEP_MEASURE_ID_OVERRIDE",$C279,"DEEP_BROKER_ID_OVERRIDE",AT$24,"DEEP_PERIOD_OVERRIDE",$H$19)*1,"")))</f>
        <v/>
      </c>
      <c r="AU279" t="str">
        <f>IF(OR(AU$23="",ISNA($B279)),"",IF(ISBLANK($B279),"",IFERROR(_xll.BDP(TICKER,"DEEP_MEASURE_PERIOD_BROKER_VALUE","DEEP_MEASURE_ID_OVERRIDE",$C279,"DEEP_BROKER_ID_OVERRIDE",AU$24,"DEEP_PERIOD_OVERRIDE",$H$19)*1,"")))</f>
        <v/>
      </c>
      <c r="AV279" t="str">
        <f>IF(OR(AV$23="",ISNA($B279)),"",IF(ISBLANK($B279),"",IFERROR(_xll.BDP(TICKER,"DEEP_MEASURE_PERIOD_BROKER_VALUE","DEEP_MEASURE_ID_OVERRIDE",$C279,"DEEP_BROKER_ID_OVERRIDE",AV$24,"DEEP_PERIOD_OVERRIDE",$H$19)*1,"")))</f>
        <v/>
      </c>
      <c r="AW279" t="str">
        <f>IF(OR(AW$23="",ISNA($B279)),"",IF(ISBLANK($B279),"",IFERROR(_xll.BDP(TICKER,"DEEP_MEASURE_PERIOD_BROKER_VALUE","DEEP_MEASURE_ID_OVERRIDE",$C279,"DEEP_BROKER_ID_OVERRIDE",AW$24,"DEEP_PERIOD_OVERRIDE",$H$19)*1,"")))</f>
        <v/>
      </c>
      <c r="AX279" t="str">
        <f>IF(OR(AX$23="",ISNA($B279)),"",IF(ISBLANK($B279),"",IFERROR(_xll.BDP(TICKER,"DEEP_MEASURE_PERIOD_BROKER_VALUE","DEEP_MEASURE_ID_OVERRIDE",$C279,"DEEP_BROKER_ID_OVERRIDE",AX$24,"DEEP_PERIOD_OVERRIDE",$H$19)*1,"")))</f>
        <v/>
      </c>
      <c r="AY279" t="str">
        <f>IF(OR(AY$23="",ISNA($B279)),"",IF(ISBLANK($B279),"",IFERROR(_xll.BDP(TICKER,"DEEP_MEASURE_PERIOD_BROKER_VALUE","DEEP_MEASURE_ID_OVERRIDE",$C279,"DEEP_BROKER_ID_OVERRIDE",AY$24,"DEEP_PERIOD_OVERRIDE",$H$19)*1,"")))</f>
        <v/>
      </c>
      <c r="AZ279" t="str">
        <f>IF(OR(AZ$23="",ISNA($B279)),"",IF(ISBLANK($B279),"",IFERROR(_xll.BDP(TICKER,"DEEP_MEASURE_PERIOD_BROKER_VALUE","DEEP_MEASURE_ID_OVERRIDE",$C279,"DEEP_BROKER_ID_OVERRIDE",AZ$24,"DEEP_PERIOD_OVERRIDE",$H$19)*1,"")))</f>
        <v/>
      </c>
      <c r="BA279" t="str">
        <f>IF(OR(BA$23="",ISNA($B279)),"",IF(ISBLANK($B279),"",IFERROR(_xll.BDP(TICKER,"DEEP_MEASURE_PERIOD_BROKER_VALUE","DEEP_MEASURE_ID_OVERRIDE",$C279,"DEEP_BROKER_ID_OVERRIDE",BA$24,"DEEP_PERIOD_OVERRIDE",$H$19)*1,"")))</f>
        <v/>
      </c>
      <c r="BB279" t="str">
        <f>IF(OR(BB$23="",ISNA($B279)),"",IF(ISBLANK($B279),"",IFERROR(_xll.BDP(TICKER,"DEEP_MEASURE_PERIOD_BROKER_VALUE","DEEP_MEASURE_ID_OVERRIDE",$C279,"DEEP_BROKER_ID_OVERRIDE",BB$24,"DEEP_PERIOD_OVERRIDE",$H$19)*1,"")))</f>
        <v/>
      </c>
      <c r="BC279" t="str">
        <f>IF(OR(BC$23="",ISNA($B279)),"",IF(ISBLANK($B279),"",IFERROR(_xll.BDP(TICKER,"DEEP_MEASURE_PERIOD_BROKER_VALUE","DEEP_MEASURE_ID_OVERRIDE",$C279,"DEEP_BROKER_ID_OVERRIDE",BC$24,"DEEP_PERIOD_OVERRIDE",$H$19)*1,"")))</f>
        <v/>
      </c>
      <c r="BD279" t="str">
        <f>IF(OR(BD$23="",ISNA($B279)),"",IF(ISBLANK($B279),"",IFERROR(_xll.BDP(TICKER,"DEEP_MEASURE_PERIOD_BROKER_VALUE","DEEP_MEASURE_ID_OVERRIDE",$C279,"DEEP_BROKER_ID_OVERRIDE",BD$24,"DEEP_PERIOD_OVERRIDE",$H$19)*1,"")))</f>
        <v/>
      </c>
      <c r="BE279" t="str">
        <f>IF(OR(BE$23="",ISNA($B279)),"",IF(ISBLANK($B279),"",IFERROR(_xll.BDP(TICKER,"DEEP_MEASURE_PERIOD_BROKER_VALUE","DEEP_MEASURE_ID_OVERRIDE",$C279,"DEEP_BROKER_ID_OVERRIDE",BE$24,"DEEP_PERIOD_OVERRIDE",$H$19)*1,"")))</f>
        <v/>
      </c>
      <c r="BF279" t="str">
        <f>IF(OR(BF$23="",ISNA($B279)),"",IF(ISBLANK($B279),"",IFERROR(_xll.BDP(TICKER,"DEEP_MEASURE_PERIOD_BROKER_VALUE","DEEP_MEASURE_ID_OVERRIDE",$C279,"DEEP_BROKER_ID_OVERRIDE",BF$24,"DEEP_PERIOD_OVERRIDE",$H$19)*1,"")))</f>
        <v/>
      </c>
      <c r="BG279" t="str">
        <f>IF(OR(BG$23="",ISNA($B279)),"",IF(ISBLANK($B279),"",IFERROR(_xll.BDP(TICKER,"DEEP_MEASURE_PERIOD_BROKER_VALUE","DEEP_MEASURE_ID_OVERRIDE",$C279,"DEEP_BROKER_ID_OVERRIDE",BG$24,"DEEP_PERIOD_OVERRIDE",$H$19)*1,"")))</f>
        <v/>
      </c>
      <c r="BH279" t="str">
        <f>IF(OR(BH$23="",ISNA($B279)),"",IF(ISBLANK($B279),"",IFERROR(_xll.BDP(TICKER,"DEEP_MEASURE_PERIOD_BROKER_VALUE","DEEP_MEASURE_ID_OVERRIDE",$C279,"DEEP_BROKER_ID_OVERRIDE",BH$24,"DEEP_PERIOD_OVERRIDE",$H$19)*1,"")))</f>
        <v/>
      </c>
      <c r="BI279" t="str">
        <f>IF(OR(BI$23="",ISNA($B279)),"",IF(ISBLANK($B279),"",IFERROR(_xll.BDP(TICKER,"DEEP_MEASURE_PERIOD_BROKER_VALUE","DEEP_MEASURE_ID_OVERRIDE",$C279,"DEEP_BROKER_ID_OVERRIDE",BI$24,"DEEP_PERIOD_OVERRIDE",$H$19)*1,"")))</f>
        <v/>
      </c>
      <c r="BJ279" t="str">
        <f>IF(OR(BJ$23="",ISNA($B279)),"",IF(ISBLANK($B279),"",IFERROR(_xll.BDP(TICKER,"DEEP_MEASURE_PERIOD_BROKER_VALUE","DEEP_MEASURE_ID_OVERRIDE",$C279,"DEEP_BROKER_ID_OVERRIDE",BJ$24,"DEEP_PERIOD_OVERRIDE",$H$19)*1,"")))</f>
        <v/>
      </c>
      <c r="BK279" t="str">
        <f>IF(OR(BK$23="",ISNA($B279)),"",IF(ISBLANK($B279),"",IFERROR(_xll.BDP(TICKER,"DEEP_MEASURE_PERIOD_BROKER_VALUE","DEEP_MEASURE_ID_OVERRIDE",$C279,"DEEP_BROKER_ID_OVERRIDE",BK$24,"DEEP_PERIOD_OVERRIDE",$H$19)*1,"")))</f>
        <v/>
      </c>
      <c r="BL279" t="str">
        <f>IF(OR(BL$23="",ISNA($B279)),"",IF(ISBLANK($B279),"",IFERROR(_xll.BDP(TICKER,"DEEP_MEASURE_PERIOD_BROKER_VALUE","DEEP_MEASURE_ID_OVERRIDE",$C279,"DEEP_BROKER_ID_OVERRIDE",BL$24,"DEEP_PERIOD_OVERRIDE",$H$19)*1,"")))</f>
        <v/>
      </c>
      <c r="BM279" t="str">
        <f>IF(OR(BM$23="",ISNA($B279)),"",IF(ISBLANK($B279),"",IFERROR(_xll.BDP(TICKER,"DEEP_MEASURE_PERIOD_BROKER_VALUE","DEEP_MEASURE_ID_OVERRIDE",$C279,"DEEP_BROKER_ID_OVERRIDE",BM$24,"DEEP_PERIOD_OVERRIDE",$H$19)*1,"")))</f>
        <v/>
      </c>
      <c r="BN279" t="str">
        <f>IF(OR(BN$23="",ISNA($B279)),"",IF(ISBLANK($B279),"",IFERROR(_xll.BDP(TICKER,"DEEP_MEASURE_PERIOD_BROKER_VALUE","DEEP_MEASURE_ID_OVERRIDE",$C279,"DEEP_BROKER_ID_OVERRIDE",BN$24,"DEEP_PERIOD_OVERRIDE",$H$19)*1,"")))</f>
        <v/>
      </c>
      <c r="BO279" t="str">
        <f>IF(OR(BO$23="",ISNA($B279)),"",IF(ISBLANK($B279),"",IFERROR(_xll.BDP(TICKER,"DEEP_MEASURE_PERIOD_BROKER_VALUE","DEEP_MEASURE_ID_OVERRIDE",$C279,"DEEP_BROKER_ID_OVERRIDE",BO$24,"DEEP_PERIOD_OVERRIDE",$H$19)*1,"")))</f>
        <v/>
      </c>
      <c r="BP279" t="str">
        <f>IF(OR(BP$23="",ISNA($B279)),"",IF(ISBLANK($B279),"",IFERROR(_xll.BDP(TICKER,"DEEP_MEASURE_PERIOD_BROKER_VALUE","DEEP_MEASURE_ID_OVERRIDE",$C279,"DEEP_BROKER_ID_OVERRIDE",BP$24,"DEEP_PERIOD_OVERRIDE",$H$19)*1,"")))</f>
        <v/>
      </c>
      <c r="BQ279" t="str">
        <f>IF(OR(BQ$23="",ISNA($B279)),"",IF(ISBLANK($B279),"",IFERROR(_xll.BDP(TICKER,"DEEP_MEASURE_PERIOD_BROKER_VALUE","DEEP_MEASURE_ID_OVERRIDE",$C279,"DEEP_BROKER_ID_OVERRIDE",BQ$24,"DEEP_PERIOD_OVERRIDE",$H$19)*1,"")))</f>
        <v/>
      </c>
      <c r="BR279" t="str">
        <f>IF(OR(BR$23="",ISNA($B279)),"",IF(ISBLANK($B279),"",IFERROR(_xll.BDP(TICKER,"DEEP_MEASURE_PERIOD_BROKER_VALUE","DEEP_MEASURE_ID_OVERRIDE",$C279,"DEEP_BROKER_ID_OVERRIDE",BR$24,"DEEP_PERIOD_OVERRIDE",$H$19)*1,"")))</f>
        <v/>
      </c>
      <c r="BS279" t="str">
        <f>IF(OR(BS$23="",ISNA($B279)),"",IF(ISBLANK($B279),"",IFERROR(_xll.BDP(TICKER,"DEEP_MEASURE_PERIOD_BROKER_VALUE","DEEP_MEASURE_ID_OVERRIDE",$C279,"DEEP_BROKER_ID_OVERRIDE",BS$24,"DEEP_PERIOD_OVERRIDE",$H$19)*1,"")))</f>
        <v/>
      </c>
      <c r="BT279" t="str">
        <f>IF(OR(BT$23="",ISNA($B279)),"",IF(ISBLANK($B279),"",IFERROR(_xll.BDP(TICKER,"DEEP_MEASURE_PERIOD_BROKER_VALUE","DEEP_MEASURE_ID_OVERRIDE",$C279,"DEEP_BROKER_ID_OVERRIDE",BT$24,"DEEP_PERIOD_OVERRIDE",$H$19)*1,"")))</f>
        <v/>
      </c>
      <c r="BU279" t="str">
        <f>IF(OR(BU$23="",ISNA($B279)),"",IF(ISBLANK($B279),"",IFERROR(_xll.BDP(TICKER,"DEEP_MEASURE_PERIOD_BROKER_VALUE","DEEP_MEASURE_ID_OVERRIDE",$C279,"DEEP_BROKER_ID_OVERRIDE",BU$24,"DEEP_PERIOD_OVERRIDE",$H$19)*1,"")))</f>
        <v/>
      </c>
      <c r="BV279" t="str">
        <f>IF(OR(BV$23="",ISNA($B279)),"",IF(ISBLANK($B279),"",IFERROR(_xll.BDP(TICKER,"DEEP_MEASURE_PERIOD_BROKER_VALUE","DEEP_MEASURE_ID_OVERRIDE",$C279,"DEEP_BROKER_ID_OVERRIDE",BV$24,"DEEP_PERIOD_OVERRIDE",$H$19)*1,"")))</f>
        <v/>
      </c>
      <c r="BW279" t="str">
        <f>IF(OR(BW$23="",ISNA($B279)),"",IF(ISBLANK($B279),"",IFERROR(_xll.BDP(TICKER,"DEEP_MEASURE_PERIOD_BROKER_VALUE","DEEP_MEASURE_ID_OVERRIDE",$C279,"DEEP_BROKER_ID_OVERRIDE",BW$24,"DEEP_PERIOD_OVERRIDE",$H$19)*1,"")))</f>
        <v/>
      </c>
      <c r="BX279" t="str">
        <f>IF(OR(BX$23="",ISNA($B279)),"",IF(ISBLANK($B279),"",IFERROR(_xll.BDP(TICKER,"DEEP_MEASURE_PERIOD_BROKER_VALUE","DEEP_MEASURE_ID_OVERRIDE",$C279,"DEEP_BROKER_ID_OVERRIDE",BX$24,"DEEP_PERIOD_OVERRIDE",$H$19)*1,"")))</f>
        <v/>
      </c>
      <c r="BY279" t="str">
        <f>IF(OR(BY$23="",ISNA($B279)),"",IF(ISBLANK($B279),"",IFERROR(_xll.BDP(TICKER,"DEEP_MEASURE_PERIOD_BROKER_VALUE","DEEP_MEASURE_ID_OVERRIDE",$C279,"DEEP_BROKER_ID_OVERRIDE",BY$24,"DEEP_PERIOD_OVERRIDE",$H$19)*1,"")))</f>
        <v/>
      </c>
      <c r="BZ279" t="str">
        <f>IF(OR(BZ$23="",ISNA($B279)),"",IF(ISBLANK($B279),"",IFERROR(_xll.BDP(TICKER,"DEEP_MEASURE_PERIOD_BROKER_VALUE","DEEP_MEASURE_ID_OVERRIDE",$C279,"DEEP_BROKER_ID_OVERRIDE",BZ$24,"DEEP_PERIOD_OVERRIDE",$H$19)*1,"")))</f>
        <v/>
      </c>
    </row>
    <row r="280" spans="8:78" x14ac:dyDescent="0.25">
      <c r="H280" t="str">
        <f t="shared" si="4"/>
        <v/>
      </c>
      <c r="I280" t="str">
        <f>IF(OR(I$23="",ISNA($B280)),"",IF(ISBLANK($B280),"",IFERROR(_xll.BDP(TICKER,"DEEP_MEASURE_PERIOD_BROKER_VALUE","DEEP_MEASURE_ID_OVERRIDE",$C280,"DEEP_PERIOD_OVERRIDE",$H$19)*1,"")))</f>
        <v/>
      </c>
      <c r="J280" t="e">
        <f>IF(OR(J$23="",ISNA($B280)),"",IF(ISBLANK($B280),"",IFERROR(_xll.BDP(TICKER,"DEEP_MEASURE_PERIOD_BROKER_VALUE","DEEP_MEASURE_ID_OVERRIDE",$C280,"DEEP_BROKER_ID_OVERRIDE",J$24,"DEEP_PERIOD_OVERRIDE",$H$19)*1,"")))</f>
        <v>#REF!</v>
      </c>
      <c r="K280" t="str">
        <f>IF(OR(K$23="",ISNA($B280)),"",IF(ISBLANK($B280),"",IFERROR(_xll.BDP(TICKER,"DEEP_MEASURE_PERIOD_BROKER_VALUE","DEEP_MEASURE_ID_OVERRIDE",$C280,"DEEP_BROKER_ID_OVERRIDE",K$24,"DEEP_PERIOD_OVERRIDE",$H$19)*1,"")))</f>
        <v/>
      </c>
      <c r="L280" t="str">
        <f>IF(OR(L$23="",ISNA($B280)),"",IF(ISBLANK($B280),"",IFERROR(_xll.BDP(TICKER,"DEEP_MEASURE_PERIOD_BROKER_VALUE","DEEP_MEASURE_ID_OVERRIDE",$C280,"DEEP_BROKER_ID_OVERRIDE",L$24,"DEEP_PERIOD_OVERRIDE",$H$19)*1,"")))</f>
        <v/>
      </c>
      <c r="M280" t="str">
        <f>IF(OR(M$23="",ISNA($B280)),"",IF(ISBLANK($B280),"",IFERROR(_xll.BDP(TICKER,"DEEP_MEASURE_PERIOD_BROKER_VALUE","DEEP_MEASURE_ID_OVERRIDE",$C280,"DEEP_BROKER_ID_OVERRIDE",M$24,"DEEP_PERIOD_OVERRIDE",$H$19)*1,"")))</f>
        <v/>
      </c>
      <c r="N280" t="str">
        <f>IF(OR(N$23="",ISNA($B280)),"",IF(ISBLANK($B280),"",IFERROR(_xll.BDP(TICKER,"DEEP_MEASURE_PERIOD_BROKER_VALUE","DEEP_MEASURE_ID_OVERRIDE",$C280,"DEEP_BROKER_ID_OVERRIDE",N$24,"DEEP_PERIOD_OVERRIDE",$H$19)*1,"")))</f>
        <v/>
      </c>
      <c r="O280" t="str">
        <f>IF(OR(O$23="",ISNA($B280)),"",IF(ISBLANK($B280),"",IFERROR(_xll.BDP(TICKER,"DEEP_MEASURE_PERIOD_BROKER_VALUE","DEEP_MEASURE_ID_OVERRIDE",$C280,"DEEP_BROKER_ID_OVERRIDE",O$24,"DEEP_PERIOD_OVERRIDE",$H$19)*1,"")))</f>
        <v/>
      </c>
      <c r="P280" t="str">
        <f>IF(OR(P$23="",ISNA($B280)),"",IF(ISBLANK($B280),"",IFERROR(_xll.BDP(TICKER,"DEEP_MEASURE_PERIOD_BROKER_VALUE","DEEP_MEASURE_ID_OVERRIDE",$C280,"DEEP_BROKER_ID_OVERRIDE",P$24,"DEEP_PERIOD_OVERRIDE",$H$19)*1,"")))</f>
        <v/>
      </c>
      <c r="Q280" t="str">
        <f>IF(OR(Q$23="",ISNA($B280)),"",IF(ISBLANK($B280),"",IFERROR(_xll.BDP(TICKER,"DEEP_MEASURE_PERIOD_BROKER_VALUE","DEEP_MEASURE_ID_OVERRIDE",$C280,"DEEP_BROKER_ID_OVERRIDE",Q$24,"DEEP_PERIOD_OVERRIDE",$H$19)*1,"")))</f>
        <v/>
      </c>
      <c r="R280" t="str">
        <f>IF(OR(R$23="",ISNA($B280)),"",IF(ISBLANK($B280),"",IFERROR(_xll.BDP(TICKER,"DEEP_MEASURE_PERIOD_BROKER_VALUE","DEEP_MEASURE_ID_OVERRIDE",$C280,"DEEP_BROKER_ID_OVERRIDE",R$24,"DEEP_PERIOD_OVERRIDE",$H$19)*1,"")))</f>
        <v/>
      </c>
      <c r="S280" t="str">
        <f>IF(OR(S$23="",ISNA($B280)),"",IF(ISBLANK($B280),"",IFERROR(_xll.BDP(TICKER,"DEEP_MEASURE_PERIOD_BROKER_VALUE","DEEP_MEASURE_ID_OVERRIDE",$C280,"DEEP_BROKER_ID_OVERRIDE",S$24,"DEEP_PERIOD_OVERRIDE",$H$19)*1,"")))</f>
        <v/>
      </c>
      <c r="T280" t="str">
        <f>IF(OR(T$23="",ISNA($B280)),"",IF(ISBLANK($B280),"",IFERROR(_xll.BDP(TICKER,"DEEP_MEASURE_PERIOD_BROKER_VALUE","DEEP_MEASURE_ID_OVERRIDE",$C280,"DEEP_BROKER_ID_OVERRIDE",T$24,"DEEP_PERIOD_OVERRIDE",$H$19)*1,"")))</f>
        <v/>
      </c>
      <c r="U280" t="str">
        <f>IF(OR(U$23="",ISNA($B280)),"",IF(ISBLANK($B280),"",IFERROR(_xll.BDP(TICKER,"DEEP_MEASURE_PERIOD_BROKER_VALUE","DEEP_MEASURE_ID_OVERRIDE",$C280,"DEEP_BROKER_ID_OVERRIDE",U$24,"DEEP_PERIOD_OVERRIDE",$H$19)*1,"")))</f>
        <v/>
      </c>
      <c r="V280" t="str">
        <f>IF(OR(V$23="",ISNA($B280)),"",IF(ISBLANK($B280),"",IFERROR(_xll.BDP(TICKER,"DEEP_MEASURE_PERIOD_BROKER_VALUE","DEEP_MEASURE_ID_OVERRIDE",$C280,"DEEP_BROKER_ID_OVERRIDE",V$24,"DEEP_PERIOD_OVERRIDE",$H$19)*1,"")))</f>
        <v/>
      </c>
      <c r="W280" t="str">
        <f>IF(OR(W$23="",ISNA($B280)),"",IF(ISBLANK($B280),"",IFERROR(_xll.BDP(TICKER,"DEEP_MEASURE_PERIOD_BROKER_VALUE","DEEP_MEASURE_ID_OVERRIDE",$C280,"DEEP_BROKER_ID_OVERRIDE",W$24,"DEEP_PERIOD_OVERRIDE",$H$19)*1,"")))</f>
        <v/>
      </c>
      <c r="X280" t="str">
        <f>IF(OR(X$23="",ISNA($B280)),"",IF(ISBLANK($B280),"",IFERROR(_xll.BDP(TICKER,"DEEP_MEASURE_PERIOD_BROKER_VALUE","DEEP_MEASURE_ID_OVERRIDE",$C280,"DEEP_BROKER_ID_OVERRIDE",X$24,"DEEP_PERIOD_OVERRIDE",$H$19)*1,"")))</f>
        <v/>
      </c>
      <c r="Y280" t="str">
        <f>IF(OR(Y$23="",ISNA($B280)),"",IF(ISBLANK($B280),"",IFERROR(_xll.BDP(TICKER,"DEEP_MEASURE_PERIOD_BROKER_VALUE","DEEP_MEASURE_ID_OVERRIDE",$C280,"DEEP_BROKER_ID_OVERRIDE",Y$24,"DEEP_PERIOD_OVERRIDE",$H$19)*1,"")))</f>
        <v/>
      </c>
      <c r="Z280" t="str">
        <f>IF(OR(Z$23="",ISNA($B280)),"",IF(ISBLANK($B280),"",IFERROR(_xll.BDP(TICKER,"DEEP_MEASURE_PERIOD_BROKER_VALUE","DEEP_MEASURE_ID_OVERRIDE",$C280,"DEEP_BROKER_ID_OVERRIDE",Z$24,"DEEP_PERIOD_OVERRIDE",$H$19)*1,"")))</f>
        <v/>
      </c>
      <c r="AA280" t="str">
        <f>IF(OR(AA$23="",ISNA($B280)),"",IF(ISBLANK($B280),"",IFERROR(_xll.BDP(TICKER,"DEEP_MEASURE_PERIOD_BROKER_VALUE","DEEP_MEASURE_ID_OVERRIDE",$C280,"DEEP_BROKER_ID_OVERRIDE",AA$24,"DEEP_PERIOD_OVERRIDE",$H$19)*1,"")))</f>
        <v/>
      </c>
      <c r="AB280" t="str">
        <f>IF(OR(AB$23="",ISNA($B280)),"",IF(ISBLANK($B280),"",IFERROR(_xll.BDP(TICKER,"DEEP_MEASURE_PERIOD_BROKER_VALUE","DEEP_MEASURE_ID_OVERRIDE",$C280,"DEEP_BROKER_ID_OVERRIDE",AB$24,"DEEP_PERIOD_OVERRIDE",$H$19)*1,"")))</f>
        <v/>
      </c>
      <c r="AC280" t="str">
        <f>IF(OR(AC$23="",ISNA($B280)),"",IF(ISBLANK($B280),"",IFERROR(_xll.BDP(TICKER,"DEEP_MEASURE_PERIOD_BROKER_VALUE","DEEP_MEASURE_ID_OVERRIDE",$C280,"DEEP_BROKER_ID_OVERRIDE",AC$24,"DEEP_PERIOD_OVERRIDE",$H$19)*1,"")))</f>
        <v/>
      </c>
      <c r="AD280" t="str">
        <f>IF(OR(AD$23="",ISNA($B280)),"",IF(ISBLANK($B280),"",IFERROR(_xll.BDP(TICKER,"DEEP_MEASURE_PERIOD_BROKER_VALUE","DEEP_MEASURE_ID_OVERRIDE",$C280,"DEEP_BROKER_ID_OVERRIDE",AD$24,"DEEP_PERIOD_OVERRIDE",$H$19)*1,"")))</f>
        <v/>
      </c>
      <c r="AE280" t="str">
        <f>IF(OR(AE$23="",ISNA($B280)),"",IF(ISBLANK($B280),"",IFERROR(_xll.BDP(TICKER,"DEEP_MEASURE_PERIOD_BROKER_VALUE","DEEP_MEASURE_ID_OVERRIDE",$C280,"DEEP_BROKER_ID_OVERRIDE",AE$24,"DEEP_PERIOD_OVERRIDE",$H$19)*1,"")))</f>
        <v/>
      </c>
      <c r="AF280" t="str">
        <f>IF(OR(AF$23="",ISNA($B280)),"",IF(ISBLANK($B280),"",IFERROR(_xll.BDP(TICKER,"DEEP_MEASURE_PERIOD_BROKER_VALUE","DEEP_MEASURE_ID_OVERRIDE",$C280,"DEEP_BROKER_ID_OVERRIDE",AF$24,"DEEP_PERIOD_OVERRIDE",$H$19)*1,"")))</f>
        <v/>
      </c>
      <c r="AG280" t="str">
        <f>IF(OR(AG$23="",ISNA($B280)),"",IF(ISBLANK($B280),"",IFERROR(_xll.BDP(TICKER,"DEEP_MEASURE_PERIOD_BROKER_VALUE","DEEP_MEASURE_ID_OVERRIDE",$C280,"DEEP_BROKER_ID_OVERRIDE",AG$24,"DEEP_PERIOD_OVERRIDE",$H$19)*1,"")))</f>
        <v/>
      </c>
      <c r="AH280" t="str">
        <f>IF(OR(AH$23="",ISNA($B280)),"",IF(ISBLANK($B280),"",IFERROR(_xll.BDP(TICKER,"DEEP_MEASURE_PERIOD_BROKER_VALUE","DEEP_MEASURE_ID_OVERRIDE",$C280,"DEEP_BROKER_ID_OVERRIDE",AH$24,"DEEP_PERIOD_OVERRIDE",$H$19)*1,"")))</f>
        <v/>
      </c>
      <c r="AI280" t="str">
        <f>IF(OR(AI$23="",ISNA($B280)),"",IF(ISBLANK($B280),"",IFERROR(_xll.BDP(TICKER,"DEEP_MEASURE_PERIOD_BROKER_VALUE","DEEP_MEASURE_ID_OVERRIDE",$C280,"DEEP_BROKER_ID_OVERRIDE",AI$24,"DEEP_PERIOD_OVERRIDE",$H$19)*1,"")))</f>
        <v/>
      </c>
      <c r="AJ280" t="str">
        <f>IF(OR(AJ$23="",ISNA($B280)),"",IF(ISBLANK($B280),"",IFERROR(_xll.BDP(TICKER,"DEEP_MEASURE_PERIOD_BROKER_VALUE","DEEP_MEASURE_ID_OVERRIDE",$C280,"DEEP_BROKER_ID_OVERRIDE",AJ$24,"DEEP_PERIOD_OVERRIDE",$H$19)*1,"")))</f>
        <v/>
      </c>
      <c r="AK280" t="str">
        <f>IF(OR(AK$23="",ISNA($B280)),"",IF(ISBLANK($B280),"",IFERROR(_xll.BDP(TICKER,"DEEP_MEASURE_PERIOD_BROKER_VALUE","DEEP_MEASURE_ID_OVERRIDE",$C280,"DEEP_BROKER_ID_OVERRIDE",AK$24,"DEEP_PERIOD_OVERRIDE",$H$19)*1,"")))</f>
        <v/>
      </c>
      <c r="AL280" t="str">
        <f>IF(OR(AL$23="",ISNA($B280)),"",IF(ISBLANK($B280),"",IFERROR(_xll.BDP(TICKER,"DEEP_MEASURE_PERIOD_BROKER_VALUE","DEEP_MEASURE_ID_OVERRIDE",$C280,"DEEP_BROKER_ID_OVERRIDE",AL$24,"DEEP_PERIOD_OVERRIDE",$H$19)*1,"")))</f>
        <v/>
      </c>
      <c r="AM280" t="str">
        <f>IF(OR(AM$23="",ISNA($B280)),"",IF(ISBLANK($B280),"",IFERROR(_xll.BDP(TICKER,"DEEP_MEASURE_PERIOD_BROKER_VALUE","DEEP_MEASURE_ID_OVERRIDE",$C280,"DEEP_BROKER_ID_OVERRIDE",AM$24,"DEEP_PERIOD_OVERRIDE",$H$19)*1,"")))</f>
        <v/>
      </c>
      <c r="AN280" t="str">
        <f>IF(OR(AN$23="",ISNA($B280)),"",IF(ISBLANK($B280),"",IFERROR(_xll.BDP(TICKER,"DEEP_MEASURE_PERIOD_BROKER_VALUE","DEEP_MEASURE_ID_OVERRIDE",$C280,"DEEP_BROKER_ID_OVERRIDE",AN$24,"DEEP_PERIOD_OVERRIDE",$H$19)*1,"")))</f>
        <v/>
      </c>
      <c r="AO280" t="str">
        <f>IF(OR(AO$23="",ISNA($B280)),"",IF(ISBLANK($B280),"",IFERROR(_xll.BDP(TICKER,"DEEP_MEASURE_PERIOD_BROKER_VALUE","DEEP_MEASURE_ID_OVERRIDE",$C280,"DEEP_BROKER_ID_OVERRIDE",AO$24,"DEEP_PERIOD_OVERRIDE",$H$19)*1,"")))</f>
        <v/>
      </c>
      <c r="AP280" t="str">
        <f>IF(OR(AP$23="",ISNA($B280)),"",IF(ISBLANK($B280),"",IFERROR(_xll.BDP(TICKER,"DEEP_MEASURE_PERIOD_BROKER_VALUE","DEEP_MEASURE_ID_OVERRIDE",$C280,"DEEP_BROKER_ID_OVERRIDE",AP$24,"DEEP_PERIOD_OVERRIDE",$H$19)*1,"")))</f>
        <v/>
      </c>
      <c r="AQ280" t="str">
        <f>IF(OR(AQ$23="",ISNA($B280)),"",IF(ISBLANK($B280),"",IFERROR(_xll.BDP(TICKER,"DEEP_MEASURE_PERIOD_BROKER_VALUE","DEEP_MEASURE_ID_OVERRIDE",$C280,"DEEP_BROKER_ID_OVERRIDE",AQ$24,"DEEP_PERIOD_OVERRIDE",$H$19)*1,"")))</f>
        <v/>
      </c>
      <c r="AR280" t="str">
        <f>IF(OR(AR$23="",ISNA($B280)),"",IF(ISBLANK($B280),"",IFERROR(_xll.BDP(TICKER,"DEEP_MEASURE_PERIOD_BROKER_VALUE","DEEP_MEASURE_ID_OVERRIDE",$C280,"DEEP_BROKER_ID_OVERRIDE",AR$24,"DEEP_PERIOD_OVERRIDE",$H$19)*1,"")))</f>
        <v/>
      </c>
      <c r="AS280" t="str">
        <f>IF(OR(AS$23="",ISNA($B280)),"",IF(ISBLANK($B280),"",IFERROR(_xll.BDP(TICKER,"DEEP_MEASURE_PERIOD_BROKER_VALUE","DEEP_MEASURE_ID_OVERRIDE",$C280,"DEEP_BROKER_ID_OVERRIDE",AS$24,"DEEP_PERIOD_OVERRIDE",$H$19)*1,"")))</f>
        <v/>
      </c>
      <c r="AT280" t="str">
        <f>IF(OR(AT$23="",ISNA($B280)),"",IF(ISBLANK($B280),"",IFERROR(_xll.BDP(TICKER,"DEEP_MEASURE_PERIOD_BROKER_VALUE","DEEP_MEASURE_ID_OVERRIDE",$C280,"DEEP_BROKER_ID_OVERRIDE",AT$24,"DEEP_PERIOD_OVERRIDE",$H$19)*1,"")))</f>
        <v/>
      </c>
      <c r="AU280" t="str">
        <f>IF(OR(AU$23="",ISNA($B280)),"",IF(ISBLANK($B280),"",IFERROR(_xll.BDP(TICKER,"DEEP_MEASURE_PERIOD_BROKER_VALUE","DEEP_MEASURE_ID_OVERRIDE",$C280,"DEEP_BROKER_ID_OVERRIDE",AU$24,"DEEP_PERIOD_OVERRIDE",$H$19)*1,"")))</f>
        <v/>
      </c>
      <c r="AV280" t="str">
        <f>IF(OR(AV$23="",ISNA($B280)),"",IF(ISBLANK($B280),"",IFERROR(_xll.BDP(TICKER,"DEEP_MEASURE_PERIOD_BROKER_VALUE","DEEP_MEASURE_ID_OVERRIDE",$C280,"DEEP_BROKER_ID_OVERRIDE",AV$24,"DEEP_PERIOD_OVERRIDE",$H$19)*1,"")))</f>
        <v/>
      </c>
      <c r="AW280" t="str">
        <f>IF(OR(AW$23="",ISNA($B280)),"",IF(ISBLANK($B280),"",IFERROR(_xll.BDP(TICKER,"DEEP_MEASURE_PERIOD_BROKER_VALUE","DEEP_MEASURE_ID_OVERRIDE",$C280,"DEEP_BROKER_ID_OVERRIDE",AW$24,"DEEP_PERIOD_OVERRIDE",$H$19)*1,"")))</f>
        <v/>
      </c>
      <c r="AX280" t="str">
        <f>IF(OR(AX$23="",ISNA($B280)),"",IF(ISBLANK($B280),"",IFERROR(_xll.BDP(TICKER,"DEEP_MEASURE_PERIOD_BROKER_VALUE","DEEP_MEASURE_ID_OVERRIDE",$C280,"DEEP_BROKER_ID_OVERRIDE",AX$24,"DEEP_PERIOD_OVERRIDE",$H$19)*1,"")))</f>
        <v/>
      </c>
      <c r="AY280" t="str">
        <f>IF(OR(AY$23="",ISNA($B280)),"",IF(ISBLANK($B280),"",IFERROR(_xll.BDP(TICKER,"DEEP_MEASURE_PERIOD_BROKER_VALUE","DEEP_MEASURE_ID_OVERRIDE",$C280,"DEEP_BROKER_ID_OVERRIDE",AY$24,"DEEP_PERIOD_OVERRIDE",$H$19)*1,"")))</f>
        <v/>
      </c>
      <c r="AZ280" t="str">
        <f>IF(OR(AZ$23="",ISNA($B280)),"",IF(ISBLANK($B280),"",IFERROR(_xll.BDP(TICKER,"DEEP_MEASURE_PERIOD_BROKER_VALUE","DEEP_MEASURE_ID_OVERRIDE",$C280,"DEEP_BROKER_ID_OVERRIDE",AZ$24,"DEEP_PERIOD_OVERRIDE",$H$19)*1,"")))</f>
        <v/>
      </c>
      <c r="BA280" t="str">
        <f>IF(OR(BA$23="",ISNA($B280)),"",IF(ISBLANK($B280),"",IFERROR(_xll.BDP(TICKER,"DEEP_MEASURE_PERIOD_BROKER_VALUE","DEEP_MEASURE_ID_OVERRIDE",$C280,"DEEP_BROKER_ID_OVERRIDE",BA$24,"DEEP_PERIOD_OVERRIDE",$H$19)*1,"")))</f>
        <v/>
      </c>
      <c r="BB280" t="str">
        <f>IF(OR(BB$23="",ISNA($B280)),"",IF(ISBLANK($B280),"",IFERROR(_xll.BDP(TICKER,"DEEP_MEASURE_PERIOD_BROKER_VALUE","DEEP_MEASURE_ID_OVERRIDE",$C280,"DEEP_BROKER_ID_OVERRIDE",BB$24,"DEEP_PERIOD_OVERRIDE",$H$19)*1,"")))</f>
        <v/>
      </c>
      <c r="BC280" t="str">
        <f>IF(OR(BC$23="",ISNA($B280)),"",IF(ISBLANK($B280),"",IFERROR(_xll.BDP(TICKER,"DEEP_MEASURE_PERIOD_BROKER_VALUE","DEEP_MEASURE_ID_OVERRIDE",$C280,"DEEP_BROKER_ID_OVERRIDE",BC$24,"DEEP_PERIOD_OVERRIDE",$H$19)*1,"")))</f>
        <v/>
      </c>
      <c r="BD280" t="str">
        <f>IF(OR(BD$23="",ISNA($B280)),"",IF(ISBLANK($B280),"",IFERROR(_xll.BDP(TICKER,"DEEP_MEASURE_PERIOD_BROKER_VALUE","DEEP_MEASURE_ID_OVERRIDE",$C280,"DEEP_BROKER_ID_OVERRIDE",BD$24,"DEEP_PERIOD_OVERRIDE",$H$19)*1,"")))</f>
        <v/>
      </c>
      <c r="BE280" t="str">
        <f>IF(OR(BE$23="",ISNA($B280)),"",IF(ISBLANK($B280),"",IFERROR(_xll.BDP(TICKER,"DEEP_MEASURE_PERIOD_BROKER_VALUE","DEEP_MEASURE_ID_OVERRIDE",$C280,"DEEP_BROKER_ID_OVERRIDE",BE$24,"DEEP_PERIOD_OVERRIDE",$H$19)*1,"")))</f>
        <v/>
      </c>
      <c r="BF280" t="str">
        <f>IF(OR(BF$23="",ISNA($B280)),"",IF(ISBLANK($B280),"",IFERROR(_xll.BDP(TICKER,"DEEP_MEASURE_PERIOD_BROKER_VALUE","DEEP_MEASURE_ID_OVERRIDE",$C280,"DEEP_BROKER_ID_OVERRIDE",BF$24,"DEEP_PERIOD_OVERRIDE",$H$19)*1,"")))</f>
        <v/>
      </c>
      <c r="BG280" t="str">
        <f>IF(OR(BG$23="",ISNA($B280)),"",IF(ISBLANK($B280),"",IFERROR(_xll.BDP(TICKER,"DEEP_MEASURE_PERIOD_BROKER_VALUE","DEEP_MEASURE_ID_OVERRIDE",$C280,"DEEP_BROKER_ID_OVERRIDE",BG$24,"DEEP_PERIOD_OVERRIDE",$H$19)*1,"")))</f>
        <v/>
      </c>
      <c r="BH280" t="str">
        <f>IF(OR(BH$23="",ISNA($B280)),"",IF(ISBLANK($B280),"",IFERROR(_xll.BDP(TICKER,"DEEP_MEASURE_PERIOD_BROKER_VALUE","DEEP_MEASURE_ID_OVERRIDE",$C280,"DEEP_BROKER_ID_OVERRIDE",BH$24,"DEEP_PERIOD_OVERRIDE",$H$19)*1,"")))</f>
        <v/>
      </c>
      <c r="BI280" t="str">
        <f>IF(OR(BI$23="",ISNA($B280)),"",IF(ISBLANK($B280),"",IFERROR(_xll.BDP(TICKER,"DEEP_MEASURE_PERIOD_BROKER_VALUE","DEEP_MEASURE_ID_OVERRIDE",$C280,"DEEP_BROKER_ID_OVERRIDE",BI$24,"DEEP_PERIOD_OVERRIDE",$H$19)*1,"")))</f>
        <v/>
      </c>
      <c r="BJ280" t="str">
        <f>IF(OR(BJ$23="",ISNA($B280)),"",IF(ISBLANK($B280),"",IFERROR(_xll.BDP(TICKER,"DEEP_MEASURE_PERIOD_BROKER_VALUE","DEEP_MEASURE_ID_OVERRIDE",$C280,"DEEP_BROKER_ID_OVERRIDE",BJ$24,"DEEP_PERIOD_OVERRIDE",$H$19)*1,"")))</f>
        <v/>
      </c>
      <c r="BK280" t="str">
        <f>IF(OR(BK$23="",ISNA($B280)),"",IF(ISBLANK($B280),"",IFERROR(_xll.BDP(TICKER,"DEEP_MEASURE_PERIOD_BROKER_VALUE","DEEP_MEASURE_ID_OVERRIDE",$C280,"DEEP_BROKER_ID_OVERRIDE",BK$24,"DEEP_PERIOD_OVERRIDE",$H$19)*1,"")))</f>
        <v/>
      </c>
      <c r="BL280" t="str">
        <f>IF(OR(BL$23="",ISNA($B280)),"",IF(ISBLANK($B280),"",IFERROR(_xll.BDP(TICKER,"DEEP_MEASURE_PERIOD_BROKER_VALUE","DEEP_MEASURE_ID_OVERRIDE",$C280,"DEEP_BROKER_ID_OVERRIDE",BL$24,"DEEP_PERIOD_OVERRIDE",$H$19)*1,"")))</f>
        <v/>
      </c>
      <c r="BM280" t="str">
        <f>IF(OR(BM$23="",ISNA($B280)),"",IF(ISBLANK($B280),"",IFERROR(_xll.BDP(TICKER,"DEEP_MEASURE_PERIOD_BROKER_VALUE","DEEP_MEASURE_ID_OVERRIDE",$C280,"DEEP_BROKER_ID_OVERRIDE",BM$24,"DEEP_PERIOD_OVERRIDE",$H$19)*1,"")))</f>
        <v/>
      </c>
      <c r="BN280" t="str">
        <f>IF(OR(BN$23="",ISNA($B280)),"",IF(ISBLANK($B280),"",IFERROR(_xll.BDP(TICKER,"DEEP_MEASURE_PERIOD_BROKER_VALUE","DEEP_MEASURE_ID_OVERRIDE",$C280,"DEEP_BROKER_ID_OVERRIDE",BN$24,"DEEP_PERIOD_OVERRIDE",$H$19)*1,"")))</f>
        <v/>
      </c>
      <c r="BO280" t="str">
        <f>IF(OR(BO$23="",ISNA($B280)),"",IF(ISBLANK($B280),"",IFERROR(_xll.BDP(TICKER,"DEEP_MEASURE_PERIOD_BROKER_VALUE","DEEP_MEASURE_ID_OVERRIDE",$C280,"DEEP_BROKER_ID_OVERRIDE",BO$24,"DEEP_PERIOD_OVERRIDE",$H$19)*1,"")))</f>
        <v/>
      </c>
      <c r="BP280" t="str">
        <f>IF(OR(BP$23="",ISNA($B280)),"",IF(ISBLANK($B280),"",IFERROR(_xll.BDP(TICKER,"DEEP_MEASURE_PERIOD_BROKER_VALUE","DEEP_MEASURE_ID_OVERRIDE",$C280,"DEEP_BROKER_ID_OVERRIDE",BP$24,"DEEP_PERIOD_OVERRIDE",$H$19)*1,"")))</f>
        <v/>
      </c>
      <c r="BQ280" t="str">
        <f>IF(OR(BQ$23="",ISNA($B280)),"",IF(ISBLANK($B280),"",IFERROR(_xll.BDP(TICKER,"DEEP_MEASURE_PERIOD_BROKER_VALUE","DEEP_MEASURE_ID_OVERRIDE",$C280,"DEEP_BROKER_ID_OVERRIDE",BQ$24,"DEEP_PERIOD_OVERRIDE",$H$19)*1,"")))</f>
        <v/>
      </c>
      <c r="BR280" t="str">
        <f>IF(OR(BR$23="",ISNA($B280)),"",IF(ISBLANK($B280),"",IFERROR(_xll.BDP(TICKER,"DEEP_MEASURE_PERIOD_BROKER_VALUE","DEEP_MEASURE_ID_OVERRIDE",$C280,"DEEP_BROKER_ID_OVERRIDE",BR$24,"DEEP_PERIOD_OVERRIDE",$H$19)*1,"")))</f>
        <v/>
      </c>
      <c r="BS280" t="str">
        <f>IF(OR(BS$23="",ISNA($B280)),"",IF(ISBLANK($B280),"",IFERROR(_xll.BDP(TICKER,"DEEP_MEASURE_PERIOD_BROKER_VALUE","DEEP_MEASURE_ID_OVERRIDE",$C280,"DEEP_BROKER_ID_OVERRIDE",BS$24,"DEEP_PERIOD_OVERRIDE",$H$19)*1,"")))</f>
        <v/>
      </c>
      <c r="BT280" t="str">
        <f>IF(OR(BT$23="",ISNA($B280)),"",IF(ISBLANK($B280),"",IFERROR(_xll.BDP(TICKER,"DEEP_MEASURE_PERIOD_BROKER_VALUE","DEEP_MEASURE_ID_OVERRIDE",$C280,"DEEP_BROKER_ID_OVERRIDE",BT$24,"DEEP_PERIOD_OVERRIDE",$H$19)*1,"")))</f>
        <v/>
      </c>
      <c r="BU280" t="str">
        <f>IF(OR(BU$23="",ISNA($B280)),"",IF(ISBLANK($B280),"",IFERROR(_xll.BDP(TICKER,"DEEP_MEASURE_PERIOD_BROKER_VALUE","DEEP_MEASURE_ID_OVERRIDE",$C280,"DEEP_BROKER_ID_OVERRIDE",BU$24,"DEEP_PERIOD_OVERRIDE",$H$19)*1,"")))</f>
        <v/>
      </c>
      <c r="BV280" t="str">
        <f>IF(OR(BV$23="",ISNA($B280)),"",IF(ISBLANK($B280),"",IFERROR(_xll.BDP(TICKER,"DEEP_MEASURE_PERIOD_BROKER_VALUE","DEEP_MEASURE_ID_OVERRIDE",$C280,"DEEP_BROKER_ID_OVERRIDE",BV$24,"DEEP_PERIOD_OVERRIDE",$H$19)*1,"")))</f>
        <v/>
      </c>
      <c r="BW280" t="str">
        <f>IF(OR(BW$23="",ISNA($B280)),"",IF(ISBLANK($B280),"",IFERROR(_xll.BDP(TICKER,"DEEP_MEASURE_PERIOD_BROKER_VALUE","DEEP_MEASURE_ID_OVERRIDE",$C280,"DEEP_BROKER_ID_OVERRIDE",BW$24,"DEEP_PERIOD_OVERRIDE",$H$19)*1,"")))</f>
        <v/>
      </c>
      <c r="BX280" t="str">
        <f>IF(OR(BX$23="",ISNA($B280)),"",IF(ISBLANK($B280),"",IFERROR(_xll.BDP(TICKER,"DEEP_MEASURE_PERIOD_BROKER_VALUE","DEEP_MEASURE_ID_OVERRIDE",$C280,"DEEP_BROKER_ID_OVERRIDE",BX$24,"DEEP_PERIOD_OVERRIDE",$H$19)*1,"")))</f>
        <v/>
      </c>
      <c r="BY280" t="str">
        <f>IF(OR(BY$23="",ISNA($B280)),"",IF(ISBLANK($B280),"",IFERROR(_xll.BDP(TICKER,"DEEP_MEASURE_PERIOD_BROKER_VALUE","DEEP_MEASURE_ID_OVERRIDE",$C280,"DEEP_BROKER_ID_OVERRIDE",BY$24,"DEEP_PERIOD_OVERRIDE",$H$19)*1,"")))</f>
        <v/>
      </c>
      <c r="BZ280" t="str">
        <f>IF(OR(BZ$23="",ISNA($B280)),"",IF(ISBLANK($B280),"",IFERROR(_xll.BDP(TICKER,"DEEP_MEASURE_PERIOD_BROKER_VALUE","DEEP_MEASURE_ID_OVERRIDE",$C280,"DEEP_BROKER_ID_OVERRIDE",BZ$24,"DEEP_PERIOD_OVERRIDE",$H$19)*1,"")))</f>
        <v/>
      </c>
    </row>
    <row r="281" spans="8:78" x14ac:dyDescent="0.25">
      <c r="H281" t="str">
        <f t="shared" si="4"/>
        <v/>
      </c>
      <c r="I281" t="str">
        <f>IF(OR(I$23="",ISNA($B281)),"",IF(ISBLANK($B281),"",IFERROR(_xll.BDP(TICKER,"DEEP_MEASURE_PERIOD_BROKER_VALUE","DEEP_MEASURE_ID_OVERRIDE",$C281,"DEEP_PERIOD_OVERRIDE",$H$19)*1,"")))</f>
        <v/>
      </c>
      <c r="J281" t="e">
        <f>IF(OR(J$23="",ISNA($B281)),"",IF(ISBLANK($B281),"",IFERROR(_xll.BDP(TICKER,"DEEP_MEASURE_PERIOD_BROKER_VALUE","DEEP_MEASURE_ID_OVERRIDE",$C281,"DEEP_BROKER_ID_OVERRIDE",J$24,"DEEP_PERIOD_OVERRIDE",$H$19)*1,"")))</f>
        <v>#REF!</v>
      </c>
      <c r="K281" t="str">
        <f>IF(OR(K$23="",ISNA($B281)),"",IF(ISBLANK($B281),"",IFERROR(_xll.BDP(TICKER,"DEEP_MEASURE_PERIOD_BROKER_VALUE","DEEP_MEASURE_ID_OVERRIDE",$C281,"DEEP_BROKER_ID_OVERRIDE",K$24,"DEEP_PERIOD_OVERRIDE",$H$19)*1,"")))</f>
        <v/>
      </c>
      <c r="L281" t="str">
        <f>IF(OR(L$23="",ISNA($B281)),"",IF(ISBLANK($B281),"",IFERROR(_xll.BDP(TICKER,"DEEP_MEASURE_PERIOD_BROKER_VALUE","DEEP_MEASURE_ID_OVERRIDE",$C281,"DEEP_BROKER_ID_OVERRIDE",L$24,"DEEP_PERIOD_OVERRIDE",$H$19)*1,"")))</f>
        <v/>
      </c>
      <c r="M281" t="str">
        <f>IF(OR(M$23="",ISNA($B281)),"",IF(ISBLANK($B281),"",IFERROR(_xll.BDP(TICKER,"DEEP_MEASURE_PERIOD_BROKER_VALUE","DEEP_MEASURE_ID_OVERRIDE",$C281,"DEEP_BROKER_ID_OVERRIDE",M$24,"DEEP_PERIOD_OVERRIDE",$H$19)*1,"")))</f>
        <v/>
      </c>
      <c r="N281" t="str">
        <f>IF(OR(N$23="",ISNA($B281)),"",IF(ISBLANK($B281),"",IFERROR(_xll.BDP(TICKER,"DEEP_MEASURE_PERIOD_BROKER_VALUE","DEEP_MEASURE_ID_OVERRIDE",$C281,"DEEP_BROKER_ID_OVERRIDE",N$24,"DEEP_PERIOD_OVERRIDE",$H$19)*1,"")))</f>
        <v/>
      </c>
      <c r="O281" t="str">
        <f>IF(OR(O$23="",ISNA($B281)),"",IF(ISBLANK($B281),"",IFERROR(_xll.BDP(TICKER,"DEEP_MEASURE_PERIOD_BROKER_VALUE","DEEP_MEASURE_ID_OVERRIDE",$C281,"DEEP_BROKER_ID_OVERRIDE",O$24,"DEEP_PERIOD_OVERRIDE",$H$19)*1,"")))</f>
        <v/>
      </c>
      <c r="P281" t="str">
        <f>IF(OR(P$23="",ISNA($B281)),"",IF(ISBLANK($B281),"",IFERROR(_xll.BDP(TICKER,"DEEP_MEASURE_PERIOD_BROKER_VALUE","DEEP_MEASURE_ID_OVERRIDE",$C281,"DEEP_BROKER_ID_OVERRIDE",P$24,"DEEP_PERIOD_OVERRIDE",$H$19)*1,"")))</f>
        <v/>
      </c>
      <c r="Q281" t="str">
        <f>IF(OR(Q$23="",ISNA($B281)),"",IF(ISBLANK($B281),"",IFERROR(_xll.BDP(TICKER,"DEEP_MEASURE_PERIOD_BROKER_VALUE","DEEP_MEASURE_ID_OVERRIDE",$C281,"DEEP_BROKER_ID_OVERRIDE",Q$24,"DEEP_PERIOD_OVERRIDE",$H$19)*1,"")))</f>
        <v/>
      </c>
      <c r="R281" t="str">
        <f>IF(OR(R$23="",ISNA($B281)),"",IF(ISBLANK($B281),"",IFERROR(_xll.BDP(TICKER,"DEEP_MEASURE_PERIOD_BROKER_VALUE","DEEP_MEASURE_ID_OVERRIDE",$C281,"DEEP_BROKER_ID_OVERRIDE",R$24,"DEEP_PERIOD_OVERRIDE",$H$19)*1,"")))</f>
        <v/>
      </c>
      <c r="S281" t="str">
        <f>IF(OR(S$23="",ISNA($B281)),"",IF(ISBLANK($B281),"",IFERROR(_xll.BDP(TICKER,"DEEP_MEASURE_PERIOD_BROKER_VALUE","DEEP_MEASURE_ID_OVERRIDE",$C281,"DEEP_BROKER_ID_OVERRIDE",S$24,"DEEP_PERIOD_OVERRIDE",$H$19)*1,"")))</f>
        <v/>
      </c>
      <c r="T281" t="str">
        <f>IF(OR(T$23="",ISNA($B281)),"",IF(ISBLANK($B281),"",IFERROR(_xll.BDP(TICKER,"DEEP_MEASURE_PERIOD_BROKER_VALUE","DEEP_MEASURE_ID_OVERRIDE",$C281,"DEEP_BROKER_ID_OVERRIDE",T$24,"DEEP_PERIOD_OVERRIDE",$H$19)*1,"")))</f>
        <v/>
      </c>
      <c r="U281" t="str">
        <f>IF(OR(U$23="",ISNA($B281)),"",IF(ISBLANK($B281),"",IFERROR(_xll.BDP(TICKER,"DEEP_MEASURE_PERIOD_BROKER_VALUE","DEEP_MEASURE_ID_OVERRIDE",$C281,"DEEP_BROKER_ID_OVERRIDE",U$24,"DEEP_PERIOD_OVERRIDE",$H$19)*1,"")))</f>
        <v/>
      </c>
      <c r="V281" t="str">
        <f>IF(OR(V$23="",ISNA($B281)),"",IF(ISBLANK($B281),"",IFERROR(_xll.BDP(TICKER,"DEEP_MEASURE_PERIOD_BROKER_VALUE","DEEP_MEASURE_ID_OVERRIDE",$C281,"DEEP_BROKER_ID_OVERRIDE",V$24,"DEEP_PERIOD_OVERRIDE",$H$19)*1,"")))</f>
        <v/>
      </c>
      <c r="W281" t="str">
        <f>IF(OR(W$23="",ISNA($B281)),"",IF(ISBLANK($B281),"",IFERROR(_xll.BDP(TICKER,"DEEP_MEASURE_PERIOD_BROKER_VALUE","DEEP_MEASURE_ID_OVERRIDE",$C281,"DEEP_BROKER_ID_OVERRIDE",W$24,"DEEP_PERIOD_OVERRIDE",$H$19)*1,"")))</f>
        <v/>
      </c>
      <c r="X281" t="str">
        <f>IF(OR(X$23="",ISNA($B281)),"",IF(ISBLANK($B281),"",IFERROR(_xll.BDP(TICKER,"DEEP_MEASURE_PERIOD_BROKER_VALUE","DEEP_MEASURE_ID_OVERRIDE",$C281,"DEEP_BROKER_ID_OVERRIDE",X$24,"DEEP_PERIOD_OVERRIDE",$H$19)*1,"")))</f>
        <v/>
      </c>
      <c r="Y281" t="str">
        <f>IF(OR(Y$23="",ISNA($B281)),"",IF(ISBLANK($B281),"",IFERROR(_xll.BDP(TICKER,"DEEP_MEASURE_PERIOD_BROKER_VALUE","DEEP_MEASURE_ID_OVERRIDE",$C281,"DEEP_BROKER_ID_OVERRIDE",Y$24,"DEEP_PERIOD_OVERRIDE",$H$19)*1,"")))</f>
        <v/>
      </c>
      <c r="Z281" t="str">
        <f>IF(OR(Z$23="",ISNA($B281)),"",IF(ISBLANK($B281),"",IFERROR(_xll.BDP(TICKER,"DEEP_MEASURE_PERIOD_BROKER_VALUE","DEEP_MEASURE_ID_OVERRIDE",$C281,"DEEP_BROKER_ID_OVERRIDE",Z$24,"DEEP_PERIOD_OVERRIDE",$H$19)*1,"")))</f>
        <v/>
      </c>
      <c r="AA281" t="str">
        <f>IF(OR(AA$23="",ISNA($B281)),"",IF(ISBLANK($B281),"",IFERROR(_xll.BDP(TICKER,"DEEP_MEASURE_PERIOD_BROKER_VALUE","DEEP_MEASURE_ID_OVERRIDE",$C281,"DEEP_BROKER_ID_OVERRIDE",AA$24,"DEEP_PERIOD_OVERRIDE",$H$19)*1,"")))</f>
        <v/>
      </c>
      <c r="AB281" t="str">
        <f>IF(OR(AB$23="",ISNA($B281)),"",IF(ISBLANK($B281),"",IFERROR(_xll.BDP(TICKER,"DEEP_MEASURE_PERIOD_BROKER_VALUE","DEEP_MEASURE_ID_OVERRIDE",$C281,"DEEP_BROKER_ID_OVERRIDE",AB$24,"DEEP_PERIOD_OVERRIDE",$H$19)*1,"")))</f>
        <v/>
      </c>
      <c r="AC281" t="str">
        <f>IF(OR(AC$23="",ISNA($B281)),"",IF(ISBLANK($B281),"",IFERROR(_xll.BDP(TICKER,"DEEP_MEASURE_PERIOD_BROKER_VALUE","DEEP_MEASURE_ID_OVERRIDE",$C281,"DEEP_BROKER_ID_OVERRIDE",AC$24,"DEEP_PERIOD_OVERRIDE",$H$19)*1,"")))</f>
        <v/>
      </c>
      <c r="AD281" t="str">
        <f>IF(OR(AD$23="",ISNA($B281)),"",IF(ISBLANK($B281),"",IFERROR(_xll.BDP(TICKER,"DEEP_MEASURE_PERIOD_BROKER_VALUE","DEEP_MEASURE_ID_OVERRIDE",$C281,"DEEP_BROKER_ID_OVERRIDE",AD$24,"DEEP_PERIOD_OVERRIDE",$H$19)*1,"")))</f>
        <v/>
      </c>
      <c r="AE281" t="str">
        <f>IF(OR(AE$23="",ISNA($B281)),"",IF(ISBLANK($B281),"",IFERROR(_xll.BDP(TICKER,"DEEP_MEASURE_PERIOD_BROKER_VALUE","DEEP_MEASURE_ID_OVERRIDE",$C281,"DEEP_BROKER_ID_OVERRIDE",AE$24,"DEEP_PERIOD_OVERRIDE",$H$19)*1,"")))</f>
        <v/>
      </c>
      <c r="AF281" t="str">
        <f>IF(OR(AF$23="",ISNA($B281)),"",IF(ISBLANK($B281),"",IFERROR(_xll.BDP(TICKER,"DEEP_MEASURE_PERIOD_BROKER_VALUE","DEEP_MEASURE_ID_OVERRIDE",$C281,"DEEP_BROKER_ID_OVERRIDE",AF$24,"DEEP_PERIOD_OVERRIDE",$H$19)*1,"")))</f>
        <v/>
      </c>
      <c r="AG281" t="str">
        <f>IF(OR(AG$23="",ISNA($B281)),"",IF(ISBLANK($B281),"",IFERROR(_xll.BDP(TICKER,"DEEP_MEASURE_PERIOD_BROKER_VALUE","DEEP_MEASURE_ID_OVERRIDE",$C281,"DEEP_BROKER_ID_OVERRIDE",AG$24,"DEEP_PERIOD_OVERRIDE",$H$19)*1,"")))</f>
        <v/>
      </c>
      <c r="AH281" t="str">
        <f>IF(OR(AH$23="",ISNA($B281)),"",IF(ISBLANK($B281),"",IFERROR(_xll.BDP(TICKER,"DEEP_MEASURE_PERIOD_BROKER_VALUE","DEEP_MEASURE_ID_OVERRIDE",$C281,"DEEP_BROKER_ID_OVERRIDE",AH$24,"DEEP_PERIOD_OVERRIDE",$H$19)*1,"")))</f>
        <v/>
      </c>
      <c r="AI281" t="str">
        <f>IF(OR(AI$23="",ISNA($B281)),"",IF(ISBLANK($B281),"",IFERROR(_xll.BDP(TICKER,"DEEP_MEASURE_PERIOD_BROKER_VALUE","DEEP_MEASURE_ID_OVERRIDE",$C281,"DEEP_BROKER_ID_OVERRIDE",AI$24,"DEEP_PERIOD_OVERRIDE",$H$19)*1,"")))</f>
        <v/>
      </c>
      <c r="AJ281" t="str">
        <f>IF(OR(AJ$23="",ISNA($B281)),"",IF(ISBLANK($B281),"",IFERROR(_xll.BDP(TICKER,"DEEP_MEASURE_PERIOD_BROKER_VALUE","DEEP_MEASURE_ID_OVERRIDE",$C281,"DEEP_BROKER_ID_OVERRIDE",AJ$24,"DEEP_PERIOD_OVERRIDE",$H$19)*1,"")))</f>
        <v/>
      </c>
      <c r="AK281" t="str">
        <f>IF(OR(AK$23="",ISNA($B281)),"",IF(ISBLANK($B281),"",IFERROR(_xll.BDP(TICKER,"DEEP_MEASURE_PERIOD_BROKER_VALUE","DEEP_MEASURE_ID_OVERRIDE",$C281,"DEEP_BROKER_ID_OVERRIDE",AK$24,"DEEP_PERIOD_OVERRIDE",$H$19)*1,"")))</f>
        <v/>
      </c>
      <c r="AL281" t="str">
        <f>IF(OR(AL$23="",ISNA($B281)),"",IF(ISBLANK($B281),"",IFERROR(_xll.BDP(TICKER,"DEEP_MEASURE_PERIOD_BROKER_VALUE","DEEP_MEASURE_ID_OVERRIDE",$C281,"DEEP_BROKER_ID_OVERRIDE",AL$24,"DEEP_PERIOD_OVERRIDE",$H$19)*1,"")))</f>
        <v/>
      </c>
      <c r="AM281" t="str">
        <f>IF(OR(AM$23="",ISNA($B281)),"",IF(ISBLANK($B281),"",IFERROR(_xll.BDP(TICKER,"DEEP_MEASURE_PERIOD_BROKER_VALUE","DEEP_MEASURE_ID_OVERRIDE",$C281,"DEEP_BROKER_ID_OVERRIDE",AM$24,"DEEP_PERIOD_OVERRIDE",$H$19)*1,"")))</f>
        <v/>
      </c>
      <c r="AN281" t="str">
        <f>IF(OR(AN$23="",ISNA($B281)),"",IF(ISBLANK($B281),"",IFERROR(_xll.BDP(TICKER,"DEEP_MEASURE_PERIOD_BROKER_VALUE","DEEP_MEASURE_ID_OVERRIDE",$C281,"DEEP_BROKER_ID_OVERRIDE",AN$24,"DEEP_PERIOD_OVERRIDE",$H$19)*1,"")))</f>
        <v/>
      </c>
      <c r="AO281" t="str">
        <f>IF(OR(AO$23="",ISNA($B281)),"",IF(ISBLANK($B281),"",IFERROR(_xll.BDP(TICKER,"DEEP_MEASURE_PERIOD_BROKER_VALUE","DEEP_MEASURE_ID_OVERRIDE",$C281,"DEEP_BROKER_ID_OVERRIDE",AO$24,"DEEP_PERIOD_OVERRIDE",$H$19)*1,"")))</f>
        <v/>
      </c>
      <c r="AP281" t="str">
        <f>IF(OR(AP$23="",ISNA($B281)),"",IF(ISBLANK($B281),"",IFERROR(_xll.BDP(TICKER,"DEEP_MEASURE_PERIOD_BROKER_VALUE","DEEP_MEASURE_ID_OVERRIDE",$C281,"DEEP_BROKER_ID_OVERRIDE",AP$24,"DEEP_PERIOD_OVERRIDE",$H$19)*1,"")))</f>
        <v/>
      </c>
      <c r="AQ281" t="str">
        <f>IF(OR(AQ$23="",ISNA($B281)),"",IF(ISBLANK($B281),"",IFERROR(_xll.BDP(TICKER,"DEEP_MEASURE_PERIOD_BROKER_VALUE","DEEP_MEASURE_ID_OVERRIDE",$C281,"DEEP_BROKER_ID_OVERRIDE",AQ$24,"DEEP_PERIOD_OVERRIDE",$H$19)*1,"")))</f>
        <v/>
      </c>
      <c r="AR281" t="str">
        <f>IF(OR(AR$23="",ISNA($B281)),"",IF(ISBLANK($B281),"",IFERROR(_xll.BDP(TICKER,"DEEP_MEASURE_PERIOD_BROKER_VALUE","DEEP_MEASURE_ID_OVERRIDE",$C281,"DEEP_BROKER_ID_OVERRIDE",AR$24,"DEEP_PERIOD_OVERRIDE",$H$19)*1,"")))</f>
        <v/>
      </c>
      <c r="AS281" t="str">
        <f>IF(OR(AS$23="",ISNA($B281)),"",IF(ISBLANK($B281),"",IFERROR(_xll.BDP(TICKER,"DEEP_MEASURE_PERIOD_BROKER_VALUE","DEEP_MEASURE_ID_OVERRIDE",$C281,"DEEP_BROKER_ID_OVERRIDE",AS$24,"DEEP_PERIOD_OVERRIDE",$H$19)*1,"")))</f>
        <v/>
      </c>
      <c r="AT281" t="str">
        <f>IF(OR(AT$23="",ISNA($B281)),"",IF(ISBLANK($B281),"",IFERROR(_xll.BDP(TICKER,"DEEP_MEASURE_PERIOD_BROKER_VALUE","DEEP_MEASURE_ID_OVERRIDE",$C281,"DEEP_BROKER_ID_OVERRIDE",AT$24,"DEEP_PERIOD_OVERRIDE",$H$19)*1,"")))</f>
        <v/>
      </c>
      <c r="AU281" t="str">
        <f>IF(OR(AU$23="",ISNA($B281)),"",IF(ISBLANK($B281),"",IFERROR(_xll.BDP(TICKER,"DEEP_MEASURE_PERIOD_BROKER_VALUE","DEEP_MEASURE_ID_OVERRIDE",$C281,"DEEP_BROKER_ID_OVERRIDE",AU$24,"DEEP_PERIOD_OVERRIDE",$H$19)*1,"")))</f>
        <v/>
      </c>
      <c r="AV281" t="str">
        <f>IF(OR(AV$23="",ISNA($B281)),"",IF(ISBLANK($B281),"",IFERROR(_xll.BDP(TICKER,"DEEP_MEASURE_PERIOD_BROKER_VALUE","DEEP_MEASURE_ID_OVERRIDE",$C281,"DEEP_BROKER_ID_OVERRIDE",AV$24,"DEEP_PERIOD_OVERRIDE",$H$19)*1,"")))</f>
        <v/>
      </c>
      <c r="AW281" t="str">
        <f>IF(OR(AW$23="",ISNA($B281)),"",IF(ISBLANK($B281),"",IFERROR(_xll.BDP(TICKER,"DEEP_MEASURE_PERIOD_BROKER_VALUE","DEEP_MEASURE_ID_OVERRIDE",$C281,"DEEP_BROKER_ID_OVERRIDE",AW$24,"DEEP_PERIOD_OVERRIDE",$H$19)*1,"")))</f>
        <v/>
      </c>
      <c r="AX281" t="str">
        <f>IF(OR(AX$23="",ISNA($B281)),"",IF(ISBLANK($B281),"",IFERROR(_xll.BDP(TICKER,"DEEP_MEASURE_PERIOD_BROKER_VALUE","DEEP_MEASURE_ID_OVERRIDE",$C281,"DEEP_BROKER_ID_OVERRIDE",AX$24,"DEEP_PERIOD_OVERRIDE",$H$19)*1,"")))</f>
        <v/>
      </c>
      <c r="AY281" t="str">
        <f>IF(OR(AY$23="",ISNA($B281)),"",IF(ISBLANK($B281),"",IFERROR(_xll.BDP(TICKER,"DEEP_MEASURE_PERIOD_BROKER_VALUE","DEEP_MEASURE_ID_OVERRIDE",$C281,"DEEP_BROKER_ID_OVERRIDE",AY$24,"DEEP_PERIOD_OVERRIDE",$H$19)*1,"")))</f>
        <v/>
      </c>
      <c r="AZ281" t="str">
        <f>IF(OR(AZ$23="",ISNA($B281)),"",IF(ISBLANK($B281),"",IFERROR(_xll.BDP(TICKER,"DEEP_MEASURE_PERIOD_BROKER_VALUE","DEEP_MEASURE_ID_OVERRIDE",$C281,"DEEP_BROKER_ID_OVERRIDE",AZ$24,"DEEP_PERIOD_OVERRIDE",$H$19)*1,"")))</f>
        <v/>
      </c>
      <c r="BA281" t="str">
        <f>IF(OR(BA$23="",ISNA($B281)),"",IF(ISBLANK($B281),"",IFERROR(_xll.BDP(TICKER,"DEEP_MEASURE_PERIOD_BROKER_VALUE","DEEP_MEASURE_ID_OVERRIDE",$C281,"DEEP_BROKER_ID_OVERRIDE",BA$24,"DEEP_PERIOD_OVERRIDE",$H$19)*1,"")))</f>
        <v/>
      </c>
      <c r="BB281" t="str">
        <f>IF(OR(BB$23="",ISNA($B281)),"",IF(ISBLANK($B281),"",IFERROR(_xll.BDP(TICKER,"DEEP_MEASURE_PERIOD_BROKER_VALUE","DEEP_MEASURE_ID_OVERRIDE",$C281,"DEEP_BROKER_ID_OVERRIDE",BB$24,"DEEP_PERIOD_OVERRIDE",$H$19)*1,"")))</f>
        <v/>
      </c>
      <c r="BC281" t="str">
        <f>IF(OR(BC$23="",ISNA($B281)),"",IF(ISBLANK($B281),"",IFERROR(_xll.BDP(TICKER,"DEEP_MEASURE_PERIOD_BROKER_VALUE","DEEP_MEASURE_ID_OVERRIDE",$C281,"DEEP_BROKER_ID_OVERRIDE",BC$24,"DEEP_PERIOD_OVERRIDE",$H$19)*1,"")))</f>
        <v/>
      </c>
      <c r="BD281" t="str">
        <f>IF(OR(BD$23="",ISNA($B281)),"",IF(ISBLANK($B281),"",IFERROR(_xll.BDP(TICKER,"DEEP_MEASURE_PERIOD_BROKER_VALUE","DEEP_MEASURE_ID_OVERRIDE",$C281,"DEEP_BROKER_ID_OVERRIDE",BD$24,"DEEP_PERIOD_OVERRIDE",$H$19)*1,"")))</f>
        <v/>
      </c>
      <c r="BE281" t="str">
        <f>IF(OR(BE$23="",ISNA($B281)),"",IF(ISBLANK($B281),"",IFERROR(_xll.BDP(TICKER,"DEEP_MEASURE_PERIOD_BROKER_VALUE","DEEP_MEASURE_ID_OVERRIDE",$C281,"DEEP_BROKER_ID_OVERRIDE",BE$24,"DEEP_PERIOD_OVERRIDE",$H$19)*1,"")))</f>
        <v/>
      </c>
      <c r="BF281" t="str">
        <f>IF(OR(BF$23="",ISNA($B281)),"",IF(ISBLANK($B281),"",IFERROR(_xll.BDP(TICKER,"DEEP_MEASURE_PERIOD_BROKER_VALUE","DEEP_MEASURE_ID_OVERRIDE",$C281,"DEEP_BROKER_ID_OVERRIDE",BF$24,"DEEP_PERIOD_OVERRIDE",$H$19)*1,"")))</f>
        <v/>
      </c>
      <c r="BG281" t="str">
        <f>IF(OR(BG$23="",ISNA($B281)),"",IF(ISBLANK($B281),"",IFERROR(_xll.BDP(TICKER,"DEEP_MEASURE_PERIOD_BROKER_VALUE","DEEP_MEASURE_ID_OVERRIDE",$C281,"DEEP_BROKER_ID_OVERRIDE",BG$24,"DEEP_PERIOD_OVERRIDE",$H$19)*1,"")))</f>
        <v/>
      </c>
      <c r="BH281" t="str">
        <f>IF(OR(BH$23="",ISNA($B281)),"",IF(ISBLANK($B281),"",IFERROR(_xll.BDP(TICKER,"DEEP_MEASURE_PERIOD_BROKER_VALUE","DEEP_MEASURE_ID_OVERRIDE",$C281,"DEEP_BROKER_ID_OVERRIDE",BH$24,"DEEP_PERIOD_OVERRIDE",$H$19)*1,"")))</f>
        <v/>
      </c>
      <c r="BI281" t="str">
        <f>IF(OR(BI$23="",ISNA($B281)),"",IF(ISBLANK($B281),"",IFERROR(_xll.BDP(TICKER,"DEEP_MEASURE_PERIOD_BROKER_VALUE","DEEP_MEASURE_ID_OVERRIDE",$C281,"DEEP_BROKER_ID_OVERRIDE",BI$24,"DEEP_PERIOD_OVERRIDE",$H$19)*1,"")))</f>
        <v/>
      </c>
      <c r="BJ281" t="str">
        <f>IF(OR(BJ$23="",ISNA($B281)),"",IF(ISBLANK($B281),"",IFERROR(_xll.BDP(TICKER,"DEEP_MEASURE_PERIOD_BROKER_VALUE","DEEP_MEASURE_ID_OVERRIDE",$C281,"DEEP_BROKER_ID_OVERRIDE",BJ$24,"DEEP_PERIOD_OVERRIDE",$H$19)*1,"")))</f>
        <v/>
      </c>
      <c r="BK281" t="str">
        <f>IF(OR(BK$23="",ISNA($B281)),"",IF(ISBLANK($B281),"",IFERROR(_xll.BDP(TICKER,"DEEP_MEASURE_PERIOD_BROKER_VALUE","DEEP_MEASURE_ID_OVERRIDE",$C281,"DEEP_BROKER_ID_OVERRIDE",BK$24,"DEEP_PERIOD_OVERRIDE",$H$19)*1,"")))</f>
        <v/>
      </c>
      <c r="BL281" t="str">
        <f>IF(OR(BL$23="",ISNA($B281)),"",IF(ISBLANK($B281),"",IFERROR(_xll.BDP(TICKER,"DEEP_MEASURE_PERIOD_BROKER_VALUE","DEEP_MEASURE_ID_OVERRIDE",$C281,"DEEP_BROKER_ID_OVERRIDE",BL$24,"DEEP_PERIOD_OVERRIDE",$H$19)*1,"")))</f>
        <v/>
      </c>
      <c r="BM281" t="str">
        <f>IF(OR(BM$23="",ISNA($B281)),"",IF(ISBLANK($B281),"",IFERROR(_xll.BDP(TICKER,"DEEP_MEASURE_PERIOD_BROKER_VALUE","DEEP_MEASURE_ID_OVERRIDE",$C281,"DEEP_BROKER_ID_OVERRIDE",BM$24,"DEEP_PERIOD_OVERRIDE",$H$19)*1,"")))</f>
        <v/>
      </c>
      <c r="BN281" t="str">
        <f>IF(OR(BN$23="",ISNA($B281)),"",IF(ISBLANK($B281),"",IFERROR(_xll.BDP(TICKER,"DEEP_MEASURE_PERIOD_BROKER_VALUE","DEEP_MEASURE_ID_OVERRIDE",$C281,"DEEP_BROKER_ID_OVERRIDE",BN$24,"DEEP_PERIOD_OVERRIDE",$H$19)*1,"")))</f>
        <v/>
      </c>
      <c r="BO281" t="str">
        <f>IF(OR(BO$23="",ISNA($B281)),"",IF(ISBLANK($B281),"",IFERROR(_xll.BDP(TICKER,"DEEP_MEASURE_PERIOD_BROKER_VALUE","DEEP_MEASURE_ID_OVERRIDE",$C281,"DEEP_BROKER_ID_OVERRIDE",BO$24,"DEEP_PERIOD_OVERRIDE",$H$19)*1,"")))</f>
        <v/>
      </c>
      <c r="BP281" t="str">
        <f>IF(OR(BP$23="",ISNA($B281)),"",IF(ISBLANK($B281),"",IFERROR(_xll.BDP(TICKER,"DEEP_MEASURE_PERIOD_BROKER_VALUE","DEEP_MEASURE_ID_OVERRIDE",$C281,"DEEP_BROKER_ID_OVERRIDE",BP$24,"DEEP_PERIOD_OVERRIDE",$H$19)*1,"")))</f>
        <v/>
      </c>
      <c r="BQ281" t="str">
        <f>IF(OR(BQ$23="",ISNA($B281)),"",IF(ISBLANK($B281),"",IFERROR(_xll.BDP(TICKER,"DEEP_MEASURE_PERIOD_BROKER_VALUE","DEEP_MEASURE_ID_OVERRIDE",$C281,"DEEP_BROKER_ID_OVERRIDE",BQ$24,"DEEP_PERIOD_OVERRIDE",$H$19)*1,"")))</f>
        <v/>
      </c>
      <c r="BR281" t="str">
        <f>IF(OR(BR$23="",ISNA($B281)),"",IF(ISBLANK($B281),"",IFERROR(_xll.BDP(TICKER,"DEEP_MEASURE_PERIOD_BROKER_VALUE","DEEP_MEASURE_ID_OVERRIDE",$C281,"DEEP_BROKER_ID_OVERRIDE",BR$24,"DEEP_PERIOD_OVERRIDE",$H$19)*1,"")))</f>
        <v/>
      </c>
      <c r="BS281" t="str">
        <f>IF(OR(BS$23="",ISNA($B281)),"",IF(ISBLANK($B281),"",IFERROR(_xll.BDP(TICKER,"DEEP_MEASURE_PERIOD_BROKER_VALUE","DEEP_MEASURE_ID_OVERRIDE",$C281,"DEEP_BROKER_ID_OVERRIDE",BS$24,"DEEP_PERIOD_OVERRIDE",$H$19)*1,"")))</f>
        <v/>
      </c>
      <c r="BT281" t="str">
        <f>IF(OR(BT$23="",ISNA($B281)),"",IF(ISBLANK($B281),"",IFERROR(_xll.BDP(TICKER,"DEEP_MEASURE_PERIOD_BROKER_VALUE","DEEP_MEASURE_ID_OVERRIDE",$C281,"DEEP_BROKER_ID_OVERRIDE",BT$24,"DEEP_PERIOD_OVERRIDE",$H$19)*1,"")))</f>
        <v/>
      </c>
      <c r="BU281" t="str">
        <f>IF(OR(BU$23="",ISNA($B281)),"",IF(ISBLANK($B281),"",IFERROR(_xll.BDP(TICKER,"DEEP_MEASURE_PERIOD_BROKER_VALUE","DEEP_MEASURE_ID_OVERRIDE",$C281,"DEEP_BROKER_ID_OVERRIDE",BU$24,"DEEP_PERIOD_OVERRIDE",$H$19)*1,"")))</f>
        <v/>
      </c>
      <c r="BV281" t="str">
        <f>IF(OR(BV$23="",ISNA($B281)),"",IF(ISBLANK($B281),"",IFERROR(_xll.BDP(TICKER,"DEEP_MEASURE_PERIOD_BROKER_VALUE","DEEP_MEASURE_ID_OVERRIDE",$C281,"DEEP_BROKER_ID_OVERRIDE",BV$24,"DEEP_PERIOD_OVERRIDE",$H$19)*1,"")))</f>
        <v/>
      </c>
      <c r="BW281" t="str">
        <f>IF(OR(BW$23="",ISNA($B281)),"",IF(ISBLANK($B281),"",IFERROR(_xll.BDP(TICKER,"DEEP_MEASURE_PERIOD_BROKER_VALUE","DEEP_MEASURE_ID_OVERRIDE",$C281,"DEEP_BROKER_ID_OVERRIDE",BW$24,"DEEP_PERIOD_OVERRIDE",$H$19)*1,"")))</f>
        <v/>
      </c>
      <c r="BX281" t="str">
        <f>IF(OR(BX$23="",ISNA($B281)),"",IF(ISBLANK($B281),"",IFERROR(_xll.BDP(TICKER,"DEEP_MEASURE_PERIOD_BROKER_VALUE","DEEP_MEASURE_ID_OVERRIDE",$C281,"DEEP_BROKER_ID_OVERRIDE",BX$24,"DEEP_PERIOD_OVERRIDE",$H$19)*1,"")))</f>
        <v/>
      </c>
      <c r="BY281" t="str">
        <f>IF(OR(BY$23="",ISNA($B281)),"",IF(ISBLANK($B281),"",IFERROR(_xll.BDP(TICKER,"DEEP_MEASURE_PERIOD_BROKER_VALUE","DEEP_MEASURE_ID_OVERRIDE",$C281,"DEEP_BROKER_ID_OVERRIDE",BY$24,"DEEP_PERIOD_OVERRIDE",$H$19)*1,"")))</f>
        <v/>
      </c>
      <c r="BZ281" t="str">
        <f>IF(OR(BZ$23="",ISNA($B281)),"",IF(ISBLANK($B281),"",IFERROR(_xll.BDP(TICKER,"DEEP_MEASURE_PERIOD_BROKER_VALUE","DEEP_MEASURE_ID_OVERRIDE",$C281,"DEEP_BROKER_ID_OVERRIDE",BZ$24,"DEEP_PERIOD_OVERRIDE",$H$19)*1,"")))</f>
        <v/>
      </c>
    </row>
    <row r="282" spans="8:78" x14ac:dyDescent="0.25">
      <c r="H282" t="str">
        <f t="shared" ref="H282:H300" si="5">IF(ISNA($B282),"",IF(ISBLANK($B282),"",$B282))</f>
        <v/>
      </c>
      <c r="I282" t="str">
        <f>IF(OR(I$23="",ISNA($B282)),"",IF(ISBLANK($B282),"",IFERROR(_xll.BDP(TICKER,"DEEP_MEASURE_PERIOD_BROKER_VALUE","DEEP_MEASURE_ID_OVERRIDE",$C282,"DEEP_PERIOD_OVERRIDE",$H$19)*1,"")))</f>
        <v/>
      </c>
      <c r="J282" t="e">
        <f>IF(OR(J$23="",ISNA($B282)),"",IF(ISBLANK($B282),"",IFERROR(_xll.BDP(TICKER,"DEEP_MEASURE_PERIOD_BROKER_VALUE","DEEP_MEASURE_ID_OVERRIDE",$C282,"DEEP_BROKER_ID_OVERRIDE",J$24,"DEEP_PERIOD_OVERRIDE",$H$19)*1,"")))</f>
        <v>#REF!</v>
      </c>
      <c r="K282" t="str">
        <f>IF(OR(K$23="",ISNA($B282)),"",IF(ISBLANK($B282),"",IFERROR(_xll.BDP(TICKER,"DEEP_MEASURE_PERIOD_BROKER_VALUE","DEEP_MEASURE_ID_OVERRIDE",$C282,"DEEP_BROKER_ID_OVERRIDE",K$24,"DEEP_PERIOD_OVERRIDE",$H$19)*1,"")))</f>
        <v/>
      </c>
      <c r="L282" t="str">
        <f>IF(OR(L$23="",ISNA($B282)),"",IF(ISBLANK($B282),"",IFERROR(_xll.BDP(TICKER,"DEEP_MEASURE_PERIOD_BROKER_VALUE","DEEP_MEASURE_ID_OVERRIDE",$C282,"DEEP_BROKER_ID_OVERRIDE",L$24,"DEEP_PERIOD_OVERRIDE",$H$19)*1,"")))</f>
        <v/>
      </c>
      <c r="M282" t="str">
        <f>IF(OR(M$23="",ISNA($B282)),"",IF(ISBLANK($B282),"",IFERROR(_xll.BDP(TICKER,"DEEP_MEASURE_PERIOD_BROKER_VALUE","DEEP_MEASURE_ID_OVERRIDE",$C282,"DEEP_BROKER_ID_OVERRIDE",M$24,"DEEP_PERIOD_OVERRIDE",$H$19)*1,"")))</f>
        <v/>
      </c>
      <c r="N282" t="str">
        <f>IF(OR(N$23="",ISNA($B282)),"",IF(ISBLANK($B282),"",IFERROR(_xll.BDP(TICKER,"DEEP_MEASURE_PERIOD_BROKER_VALUE","DEEP_MEASURE_ID_OVERRIDE",$C282,"DEEP_BROKER_ID_OVERRIDE",N$24,"DEEP_PERIOD_OVERRIDE",$H$19)*1,"")))</f>
        <v/>
      </c>
      <c r="O282" t="str">
        <f>IF(OR(O$23="",ISNA($B282)),"",IF(ISBLANK($B282),"",IFERROR(_xll.BDP(TICKER,"DEEP_MEASURE_PERIOD_BROKER_VALUE","DEEP_MEASURE_ID_OVERRIDE",$C282,"DEEP_BROKER_ID_OVERRIDE",O$24,"DEEP_PERIOD_OVERRIDE",$H$19)*1,"")))</f>
        <v/>
      </c>
      <c r="P282" t="str">
        <f>IF(OR(P$23="",ISNA($B282)),"",IF(ISBLANK($B282),"",IFERROR(_xll.BDP(TICKER,"DEEP_MEASURE_PERIOD_BROKER_VALUE","DEEP_MEASURE_ID_OVERRIDE",$C282,"DEEP_BROKER_ID_OVERRIDE",P$24,"DEEP_PERIOD_OVERRIDE",$H$19)*1,"")))</f>
        <v/>
      </c>
      <c r="Q282" t="str">
        <f>IF(OR(Q$23="",ISNA($B282)),"",IF(ISBLANK($B282),"",IFERROR(_xll.BDP(TICKER,"DEEP_MEASURE_PERIOD_BROKER_VALUE","DEEP_MEASURE_ID_OVERRIDE",$C282,"DEEP_BROKER_ID_OVERRIDE",Q$24,"DEEP_PERIOD_OVERRIDE",$H$19)*1,"")))</f>
        <v/>
      </c>
      <c r="R282" t="str">
        <f>IF(OR(R$23="",ISNA($B282)),"",IF(ISBLANK($B282),"",IFERROR(_xll.BDP(TICKER,"DEEP_MEASURE_PERIOD_BROKER_VALUE","DEEP_MEASURE_ID_OVERRIDE",$C282,"DEEP_BROKER_ID_OVERRIDE",R$24,"DEEP_PERIOD_OVERRIDE",$H$19)*1,"")))</f>
        <v/>
      </c>
      <c r="S282" t="str">
        <f>IF(OR(S$23="",ISNA($B282)),"",IF(ISBLANK($B282),"",IFERROR(_xll.BDP(TICKER,"DEEP_MEASURE_PERIOD_BROKER_VALUE","DEEP_MEASURE_ID_OVERRIDE",$C282,"DEEP_BROKER_ID_OVERRIDE",S$24,"DEEP_PERIOD_OVERRIDE",$H$19)*1,"")))</f>
        <v/>
      </c>
      <c r="T282" t="str">
        <f>IF(OR(T$23="",ISNA($B282)),"",IF(ISBLANK($B282),"",IFERROR(_xll.BDP(TICKER,"DEEP_MEASURE_PERIOD_BROKER_VALUE","DEEP_MEASURE_ID_OVERRIDE",$C282,"DEEP_BROKER_ID_OVERRIDE",T$24,"DEEP_PERIOD_OVERRIDE",$H$19)*1,"")))</f>
        <v/>
      </c>
      <c r="U282" t="str">
        <f>IF(OR(U$23="",ISNA($B282)),"",IF(ISBLANK($B282),"",IFERROR(_xll.BDP(TICKER,"DEEP_MEASURE_PERIOD_BROKER_VALUE","DEEP_MEASURE_ID_OVERRIDE",$C282,"DEEP_BROKER_ID_OVERRIDE",U$24,"DEEP_PERIOD_OVERRIDE",$H$19)*1,"")))</f>
        <v/>
      </c>
      <c r="V282" t="str">
        <f>IF(OR(V$23="",ISNA($B282)),"",IF(ISBLANK($B282),"",IFERROR(_xll.BDP(TICKER,"DEEP_MEASURE_PERIOD_BROKER_VALUE","DEEP_MEASURE_ID_OVERRIDE",$C282,"DEEP_BROKER_ID_OVERRIDE",V$24,"DEEP_PERIOD_OVERRIDE",$H$19)*1,"")))</f>
        <v/>
      </c>
      <c r="W282" t="str">
        <f>IF(OR(W$23="",ISNA($B282)),"",IF(ISBLANK($B282),"",IFERROR(_xll.BDP(TICKER,"DEEP_MEASURE_PERIOD_BROKER_VALUE","DEEP_MEASURE_ID_OVERRIDE",$C282,"DEEP_BROKER_ID_OVERRIDE",W$24,"DEEP_PERIOD_OVERRIDE",$H$19)*1,"")))</f>
        <v/>
      </c>
      <c r="X282" t="str">
        <f>IF(OR(X$23="",ISNA($B282)),"",IF(ISBLANK($B282),"",IFERROR(_xll.BDP(TICKER,"DEEP_MEASURE_PERIOD_BROKER_VALUE","DEEP_MEASURE_ID_OVERRIDE",$C282,"DEEP_BROKER_ID_OVERRIDE",X$24,"DEEP_PERIOD_OVERRIDE",$H$19)*1,"")))</f>
        <v/>
      </c>
      <c r="Y282" t="str">
        <f>IF(OR(Y$23="",ISNA($B282)),"",IF(ISBLANK($B282),"",IFERROR(_xll.BDP(TICKER,"DEEP_MEASURE_PERIOD_BROKER_VALUE","DEEP_MEASURE_ID_OVERRIDE",$C282,"DEEP_BROKER_ID_OVERRIDE",Y$24,"DEEP_PERIOD_OVERRIDE",$H$19)*1,"")))</f>
        <v/>
      </c>
      <c r="Z282" t="str">
        <f>IF(OR(Z$23="",ISNA($B282)),"",IF(ISBLANK($B282),"",IFERROR(_xll.BDP(TICKER,"DEEP_MEASURE_PERIOD_BROKER_VALUE","DEEP_MEASURE_ID_OVERRIDE",$C282,"DEEP_BROKER_ID_OVERRIDE",Z$24,"DEEP_PERIOD_OVERRIDE",$H$19)*1,"")))</f>
        <v/>
      </c>
      <c r="AA282" t="str">
        <f>IF(OR(AA$23="",ISNA($B282)),"",IF(ISBLANK($B282),"",IFERROR(_xll.BDP(TICKER,"DEEP_MEASURE_PERIOD_BROKER_VALUE","DEEP_MEASURE_ID_OVERRIDE",$C282,"DEEP_BROKER_ID_OVERRIDE",AA$24,"DEEP_PERIOD_OVERRIDE",$H$19)*1,"")))</f>
        <v/>
      </c>
      <c r="AB282" t="str">
        <f>IF(OR(AB$23="",ISNA($B282)),"",IF(ISBLANK($B282),"",IFERROR(_xll.BDP(TICKER,"DEEP_MEASURE_PERIOD_BROKER_VALUE","DEEP_MEASURE_ID_OVERRIDE",$C282,"DEEP_BROKER_ID_OVERRIDE",AB$24,"DEEP_PERIOD_OVERRIDE",$H$19)*1,"")))</f>
        <v/>
      </c>
      <c r="AC282" t="str">
        <f>IF(OR(AC$23="",ISNA($B282)),"",IF(ISBLANK($B282),"",IFERROR(_xll.BDP(TICKER,"DEEP_MEASURE_PERIOD_BROKER_VALUE","DEEP_MEASURE_ID_OVERRIDE",$C282,"DEEP_BROKER_ID_OVERRIDE",AC$24,"DEEP_PERIOD_OVERRIDE",$H$19)*1,"")))</f>
        <v/>
      </c>
      <c r="AD282" t="str">
        <f>IF(OR(AD$23="",ISNA($B282)),"",IF(ISBLANK($B282),"",IFERROR(_xll.BDP(TICKER,"DEEP_MEASURE_PERIOD_BROKER_VALUE","DEEP_MEASURE_ID_OVERRIDE",$C282,"DEEP_BROKER_ID_OVERRIDE",AD$24,"DEEP_PERIOD_OVERRIDE",$H$19)*1,"")))</f>
        <v/>
      </c>
      <c r="AE282" t="str">
        <f>IF(OR(AE$23="",ISNA($B282)),"",IF(ISBLANK($B282),"",IFERROR(_xll.BDP(TICKER,"DEEP_MEASURE_PERIOD_BROKER_VALUE","DEEP_MEASURE_ID_OVERRIDE",$C282,"DEEP_BROKER_ID_OVERRIDE",AE$24,"DEEP_PERIOD_OVERRIDE",$H$19)*1,"")))</f>
        <v/>
      </c>
      <c r="AF282" t="str">
        <f>IF(OR(AF$23="",ISNA($B282)),"",IF(ISBLANK($B282),"",IFERROR(_xll.BDP(TICKER,"DEEP_MEASURE_PERIOD_BROKER_VALUE","DEEP_MEASURE_ID_OVERRIDE",$C282,"DEEP_BROKER_ID_OVERRIDE",AF$24,"DEEP_PERIOD_OVERRIDE",$H$19)*1,"")))</f>
        <v/>
      </c>
      <c r="AG282" t="str">
        <f>IF(OR(AG$23="",ISNA($B282)),"",IF(ISBLANK($B282),"",IFERROR(_xll.BDP(TICKER,"DEEP_MEASURE_PERIOD_BROKER_VALUE","DEEP_MEASURE_ID_OVERRIDE",$C282,"DEEP_BROKER_ID_OVERRIDE",AG$24,"DEEP_PERIOD_OVERRIDE",$H$19)*1,"")))</f>
        <v/>
      </c>
      <c r="AH282" t="str">
        <f>IF(OR(AH$23="",ISNA($B282)),"",IF(ISBLANK($B282),"",IFERROR(_xll.BDP(TICKER,"DEEP_MEASURE_PERIOD_BROKER_VALUE","DEEP_MEASURE_ID_OVERRIDE",$C282,"DEEP_BROKER_ID_OVERRIDE",AH$24,"DEEP_PERIOD_OVERRIDE",$H$19)*1,"")))</f>
        <v/>
      </c>
      <c r="AI282" t="str">
        <f>IF(OR(AI$23="",ISNA($B282)),"",IF(ISBLANK($B282),"",IFERROR(_xll.BDP(TICKER,"DEEP_MEASURE_PERIOD_BROKER_VALUE","DEEP_MEASURE_ID_OVERRIDE",$C282,"DEEP_BROKER_ID_OVERRIDE",AI$24,"DEEP_PERIOD_OVERRIDE",$H$19)*1,"")))</f>
        <v/>
      </c>
      <c r="AJ282" t="str">
        <f>IF(OR(AJ$23="",ISNA($B282)),"",IF(ISBLANK($B282),"",IFERROR(_xll.BDP(TICKER,"DEEP_MEASURE_PERIOD_BROKER_VALUE","DEEP_MEASURE_ID_OVERRIDE",$C282,"DEEP_BROKER_ID_OVERRIDE",AJ$24,"DEEP_PERIOD_OVERRIDE",$H$19)*1,"")))</f>
        <v/>
      </c>
      <c r="AK282" t="str">
        <f>IF(OR(AK$23="",ISNA($B282)),"",IF(ISBLANK($B282),"",IFERROR(_xll.BDP(TICKER,"DEEP_MEASURE_PERIOD_BROKER_VALUE","DEEP_MEASURE_ID_OVERRIDE",$C282,"DEEP_BROKER_ID_OVERRIDE",AK$24,"DEEP_PERIOD_OVERRIDE",$H$19)*1,"")))</f>
        <v/>
      </c>
      <c r="AL282" t="str">
        <f>IF(OR(AL$23="",ISNA($B282)),"",IF(ISBLANK($B282),"",IFERROR(_xll.BDP(TICKER,"DEEP_MEASURE_PERIOD_BROKER_VALUE","DEEP_MEASURE_ID_OVERRIDE",$C282,"DEEP_BROKER_ID_OVERRIDE",AL$24,"DEEP_PERIOD_OVERRIDE",$H$19)*1,"")))</f>
        <v/>
      </c>
      <c r="AM282" t="str">
        <f>IF(OR(AM$23="",ISNA($B282)),"",IF(ISBLANK($B282),"",IFERROR(_xll.BDP(TICKER,"DEEP_MEASURE_PERIOD_BROKER_VALUE","DEEP_MEASURE_ID_OVERRIDE",$C282,"DEEP_BROKER_ID_OVERRIDE",AM$24,"DEEP_PERIOD_OVERRIDE",$H$19)*1,"")))</f>
        <v/>
      </c>
      <c r="AN282" t="str">
        <f>IF(OR(AN$23="",ISNA($B282)),"",IF(ISBLANK($B282),"",IFERROR(_xll.BDP(TICKER,"DEEP_MEASURE_PERIOD_BROKER_VALUE","DEEP_MEASURE_ID_OVERRIDE",$C282,"DEEP_BROKER_ID_OVERRIDE",AN$24,"DEEP_PERIOD_OVERRIDE",$H$19)*1,"")))</f>
        <v/>
      </c>
      <c r="AO282" t="str">
        <f>IF(OR(AO$23="",ISNA($B282)),"",IF(ISBLANK($B282),"",IFERROR(_xll.BDP(TICKER,"DEEP_MEASURE_PERIOD_BROKER_VALUE","DEEP_MEASURE_ID_OVERRIDE",$C282,"DEEP_BROKER_ID_OVERRIDE",AO$24,"DEEP_PERIOD_OVERRIDE",$H$19)*1,"")))</f>
        <v/>
      </c>
      <c r="AP282" t="str">
        <f>IF(OR(AP$23="",ISNA($B282)),"",IF(ISBLANK($B282),"",IFERROR(_xll.BDP(TICKER,"DEEP_MEASURE_PERIOD_BROKER_VALUE","DEEP_MEASURE_ID_OVERRIDE",$C282,"DEEP_BROKER_ID_OVERRIDE",AP$24,"DEEP_PERIOD_OVERRIDE",$H$19)*1,"")))</f>
        <v/>
      </c>
      <c r="AQ282" t="str">
        <f>IF(OR(AQ$23="",ISNA($B282)),"",IF(ISBLANK($B282),"",IFERROR(_xll.BDP(TICKER,"DEEP_MEASURE_PERIOD_BROKER_VALUE","DEEP_MEASURE_ID_OVERRIDE",$C282,"DEEP_BROKER_ID_OVERRIDE",AQ$24,"DEEP_PERIOD_OVERRIDE",$H$19)*1,"")))</f>
        <v/>
      </c>
      <c r="AR282" t="str">
        <f>IF(OR(AR$23="",ISNA($B282)),"",IF(ISBLANK($B282),"",IFERROR(_xll.BDP(TICKER,"DEEP_MEASURE_PERIOD_BROKER_VALUE","DEEP_MEASURE_ID_OVERRIDE",$C282,"DEEP_BROKER_ID_OVERRIDE",AR$24,"DEEP_PERIOD_OVERRIDE",$H$19)*1,"")))</f>
        <v/>
      </c>
      <c r="AS282" t="str">
        <f>IF(OR(AS$23="",ISNA($B282)),"",IF(ISBLANK($B282),"",IFERROR(_xll.BDP(TICKER,"DEEP_MEASURE_PERIOD_BROKER_VALUE","DEEP_MEASURE_ID_OVERRIDE",$C282,"DEEP_BROKER_ID_OVERRIDE",AS$24,"DEEP_PERIOD_OVERRIDE",$H$19)*1,"")))</f>
        <v/>
      </c>
      <c r="AT282" t="str">
        <f>IF(OR(AT$23="",ISNA($B282)),"",IF(ISBLANK($B282),"",IFERROR(_xll.BDP(TICKER,"DEEP_MEASURE_PERIOD_BROKER_VALUE","DEEP_MEASURE_ID_OVERRIDE",$C282,"DEEP_BROKER_ID_OVERRIDE",AT$24,"DEEP_PERIOD_OVERRIDE",$H$19)*1,"")))</f>
        <v/>
      </c>
      <c r="AU282" t="str">
        <f>IF(OR(AU$23="",ISNA($B282)),"",IF(ISBLANK($B282),"",IFERROR(_xll.BDP(TICKER,"DEEP_MEASURE_PERIOD_BROKER_VALUE","DEEP_MEASURE_ID_OVERRIDE",$C282,"DEEP_BROKER_ID_OVERRIDE",AU$24,"DEEP_PERIOD_OVERRIDE",$H$19)*1,"")))</f>
        <v/>
      </c>
      <c r="AV282" t="str">
        <f>IF(OR(AV$23="",ISNA($B282)),"",IF(ISBLANK($B282),"",IFERROR(_xll.BDP(TICKER,"DEEP_MEASURE_PERIOD_BROKER_VALUE","DEEP_MEASURE_ID_OVERRIDE",$C282,"DEEP_BROKER_ID_OVERRIDE",AV$24,"DEEP_PERIOD_OVERRIDE",$H$19)*1,"")))</f>
        <v/>
      </c>
      <c r="AW282" t="str">
        <f>IF(OR(AW$23="",ISNA($B282)),"",IF(ISBLANK($B282),"",IFERROR(_xll.BDP(TICKER,"DEEP_MEASURE_PERIOD_BROKER_VALUE","DEEP_MEASURE_ID_OVERRIDE",$C282,"DEEP_BROKER_ID_OVERRIDE",AW$24,"DEEP_PERIOD_OVERRIDE",$H$19)*1,"")))</f>
        <v/>
      </c>
      <c r="AX282" t="str">
        <f>IF(OR(AX$23="",ISNA($B282)),"",IF(ISBLANK($B282),"",IFERROR(_xll.BDP(TICKER,"DEEP_MEASURE_PERIOD_BROKER_VALUE","DEEP_MEASURE_ID_OVERRIDE",$C282,"DEEP_BROKER_ID_OVERRIDE",AX$24,"DEEP_PERIOD_OVERRIDE",$H$19)*1,"")))</f>
        <v/>
      </c>
      <c r="AY282" t="str">
        <f>IF(OR(AY$23="",ISNA($B282)),"",IF(ISBLANK($B282),"",IFERROR(_xll.BDP(TICKER,"DEEP_MEASURE_PERIOD_BROKER_VALUE","DEEP_MEASURE_ID_OVERRIDE",$C282,"DEEP_BROKER_ID_OVERRIDE",AY$24,"DEEP_PERIOD_OVERRIDE",$H$19)*1,"")))</f>
        <v/>
      </c>
      <c r="AZ282" t="str">
        <f>IF(OR(AZ$23="",ISNA($B282)),"",IF(ISBLANK($B282),"",IFERROR(_xll.BDP(TICKER,"DEEP_MEASURE_PERIOD_BROKER_VALUE","DEEP_MEASURE_ID_OVERRIDE",$C282,"DEEP_BROKER_ID_OVERRIDE",AZ$24,"DEEP_PERIOD_OVERRIDE",$H$19)*1,"")))</f>
        <v/>
      </c>
      <c r="BA282" t="str">
        <f>IF(OR(BA$23="",ISNA($B282)),"",IF(ISBLANK($B282),"",IFERROR(_xll.BDP(TICKER,"DEEP_MEASURE_PERIOD_BROKER_VALUE","DEEP_MEASURE_ID_OVERRIDE",$C282,"DEEP_BROKER_ID_OVERRIDE",BA$24,"DEEP_PERIOD_OVERRIDE",$H$19)*1,"")))</f>
        <v/>
      </c>
      <c r="BB282" t="str">
        <f>IF(OR(BB$23="",ISNA($B282)),"",IF(ISBLANK($B282),"",IFERROR(_xll.BDP(TICKER,"DEEP_MEASURE_PERIOD_BROKER_VALUE","DEEP_MEASURE_ID_OVERRIDE",$C282,"DEEP_BROKER_ID_OVERRIDE",BB$24,"DEEP_PERIOD_OVERRIDE",$H$19)*1,"")))</f>
        <v/>
      </c>
      <c r="BC282" t="str">
        <f>IF(OR(BC$23="",ISNA($B282)),"",IF(ISBLANK($B282),"",IFERROR(_xll.BDP(TICKER,"DEEP_MEASURE_PERIOD_BROKER_VALUE","DEEP_MEASURE_ID_OVERRIDE",$C282,"DEEP_BROKER_ID_OVERRIDE",BC$24,"DEEP_PERIOD_OVERRIDE",$H$19)*1,"")))</f>
        <v/>
      </c>
      <c r="BD282" t="str">
        <f>IF(OR(BD$23="",ISNA($B282)),"",IF(ISBLANK($B282),"",IFERROR(_xll.BDP(TICKER,"DEEP_MEASURE_PERIOD_BROKER_VALUE","DEEP_MEASURE_ID_OVERRIDE",$C282,"DEEP_BROKER_ID_OVERRIDE",BD$24,"DEEP_PERIOD_OVERRIDE",$H$19)*1,"")))</f>
        <v/>
      </c>
      <c r="BE282" t="str">
        <f>IF(OR(BE$23="",ISNA($B282)),"",IF(ISBLANK($B282),"",IFERROR(_xll.BDP(TICKER,"DEEP_MEASURE_PERIOD_BROKER_VALUE","DEEP_MEASURE_ID_OVERRIDE",$C282,"DEEP_BROKER_ID_OVERRIDE",BE$24,"DEEP_PERIOD_OVERRIDE",$H$19)*1,"")))</f>
        <v/>
      </c>
      <c r="BF282" t="str">
        <f>IF(OR(BF$23="",ISNA($B282)),"",IF(ISBLANK($B282),"",IFERROR(_xll.BDP(TICKER,"DEEP_MEASURE_PERIOD_BROKER_VALUE","DEEP_MEASURE_ID_OVERRIDE",$C282,"DEEP_BROKER_ID_OVERRIDE",BF$24,"DEEP_PERIOD_OVERRIDE",$H$19)*1,"")))</f>
        <v/>
      </c>
      <c r="BG282" t="str">
        <f>IF(OR(BG$23="",ISNA($B282)),"",IF(ISBLANK($B282),"",IFERROR(_xll.BDP(TICKER,"DEEP_MEASURE_PERIOD_BROKER_VALUE","DEEP_MEASURE_ID_OVERRIDE",$C282,"DEEP_BROKER_ID_OVERRIDE",BG$24,"DEEP_PERIOD_OVERRIDE",$H$19)*1,"")))</f>
        <v/>
      </c>
      <c r="BH282" t="str">
        <f>IF(OR(BH$23="",ISNA($B282)),"",IF(ISBLANK($B282),"",IFERROR(_xll.BDP(TICKER,"DEEP_MEASURE_PERIOD_BROKER_VALUE","DEEP_MEASURE_ID_OVERRIDE",$C282,"DEEP_BROKER_ID_OVERRIDE",BH$24,"DEEP_PERIOD_OVERRIDE",$H$19)*1,"")))</f>
        <v/>
      </c>
      <c r="BI282" t="str">
        <f>IF(OR(BI$23="",ISNA($B282)),"",IF(ISBLANK($B282),"",IFERROR(_xll.BDP(TICKER,"DEEP_MEASURE_PERIOD_BROKER_VALUE","DEEP_MEASURE_ID_OVERRIDE",$C282,"DEEP_BROKER_ID_OVERRIDE",BI$24,"DEEP_PERIOD_OVERRIDE",$H$19)*1,"")))</f>
        <v/>
      </c>
      <c r="BJ282" t="str">
        <f>IF(OR(BJ$23="",ISNA($B282)),"",IF(ISBLANK($B282),"",IFERROR(_xll.BDP(TICKER,"DEEP_MEASURE_PERIOD_BROKER_VALUE","DEEP_MEASURE_ID_OVERRIDE",$C282,"DEEP_BROKER_ID_OVERRIDE",BJ$24,"DEEP_PERIOD_OVERRIDE",$H$19)*1,"")))</f>
        <v/>
      </c>
      <c r="BK282" t="str">
        <f>IF(OR(BK$23="",ISNA($B282)),"",IF(ISBLANK($B282),"",IFERROR(_xll.BDP(TICKER,"DEEP_MEASURE_PERIOD_BROKER_VALUE","DEEP_MEASURE_ID_OVERRIDE",$C282,"DEEP_BROKER_ID_OVERRIDE",BK$24,"DEEP_PERIOD_OVERRIDE",$H$19)*1,"")))</f>
        <v/>
      </c>
      <c r="BL282" t="str">
        <f>IF(OR(BL$23="",ISNA($B282)),"",IF(ISBLANK($B282),"",IFERROR(_xll.BDP(TICKER,"DEEP_MEASURE_PERIOD_BROKER_VALUE","DEEP_MEASURE_ID_OVERRIDE",$C282,"DEEP_BROKER_ID_OVERRIDE",BL$24,"DEEP_PERIOD_OVERRIDE",$H$19)*1,"")))</f>
        <v/>
      </c>
      <c r="BM282" t="str">
        <f>IF(OR(BM$23="",ISNA($B282)),"",IF(ISBLANK($B282),"",IFERROR(_xll.BDP(TICKER,"DEEP_MEASURE_PERIOD_BROKER_VALUE","DEEP_MEASURE_ID_OVERRIDE",$C282,"DEEP_BROKER_ID_OVERRIDE",BM$24,"DEEP_PERIOD_OVERRIDE",$H$19)*1,"")))</f>
        <v/>
      </c>
      <c r="BN282" t="str">
        <f>IF(OR(BN$23="",ISNA($B282)),"",IF(ISBLANK($B282),"",IFERROR(_xll.BDP(TICKER,"DEEP_MEASURE_PERIOD_BROKER_VALUE","DEEP_MEASURE_ID_OVERRIDE",$C282,"DEEP_BROKER_ID_OVERRIDE",BN$24,"DEEP_PERIOD_OVERRIDE",$H$19)*1,"")))</f>
        <v/>
      </c>
      <c r="BO282" t="str">
        <f>IF(OR(BO$23="",ISNA($B282)),"",IF(ISBLANK($B282),"",IFERROR(_xll.BDP(TICKER,"DEEP_MEASURE_PERIOD_BROKER_VALUE","DEEP_MEASURE_ID_OVERRIDE",$C282,"DEEP_BROKER_ID_OVERRIDE",BO$24,"DEEP_PERIOD_OVERRIDE",$H$19)*1,"")))</f>
        <v/>
      </c>
      <c r="BP282" t="str">
        <f>IF(OR(BP$23="",ISNA($B282)),"",IF(ISBLANK($B282),"",IFERROR(_xll.BDP(TICKER,"DEEP_MEASURE_PERIOD_BROKER_VALUE","DEEP_MEASURE_ID_OVERRIDE",$C282,"DEEP_BROKER_ID_OVERRIDE",BP$24,"DEEP_PERIOD_OVERRIDE",$H$19)*1,"")))</f>
        <v/>
      </c>
      <c r="BQ282" t="str">
        <f>IF(OR(BQ$23="",ISNA($B282)),"",IF(ISBLANK($B282),"",IFERROR(_xll.BDP(TICKER,"DEEP_MEASURE_PERIOD_BROKER_VALUE","DEEP_MEASURE_ID_OVERRIDE",$C282,"DEEP_BROKER_ID_OVERRIDE",BQ$24,"DEEP_PERIOD_OVERRIDE",$H$19)*1,"")))</f>
        <v/>
      </c>
      <c r="BR282" t="str">
        <f>IF(OR(BR$23="",ISNA($B282)),"",IF(ISBLANK($B282),"",IFERROR(_xll.BDP(TICKER,"DEEP_MEASURE_PERIOD_BROKER_VALUE","DEEP_MEASURE_ID_OVERRIDE",$C282,"DEEP_BROKER_ID_OVERRIDE",BR$24,"DEEP_PERIOD_OVERRIDE",$H$19)*1,"")))</f>
        <v/>
      </c>
      <c r="BS282" t="str">
        <f>IF(OR(BS$23="",ISNA($B282)),"",IF(ISBLANK($B282),"",IFERROR(_xll.BDP(TICKER,"DEEP_MEASURE_PERIOD_BROKER_VALUE","DEEP_MEASURE_ID_OVERRIDE",$C282,"DEEP_BROKER_ID_OVERRIDE",BS$24,"DEEP_PERIOD_OVERRIDE",$H$19)*1,"")))</f>
        <v/>
      </c>
      <c r="BT282" t="str">
        <f>IF(OR(BT$23="",ISNA($B282)),"",IF(ISBLANK($B282),"",IFERROR(_xll.BDP(TICKER,"DEEP_MEASURE_PERIOD_BROKER_VALUE","DEEP_MEASURE_ID_OVERRIDE",$C282,"DEEP_BROKER_ID_OVERRIDE",BT$24,"DEEP_PERIOD_OVERRIDE",$H$19)*1,"")))</f>
        <v/>
      </c>
      <c r="BU282" t="str">
        <f>IF(OR(BU$23="",ISNA($B282)),"",IF(ISBLANK($B282),"",IFERROR(_xll.BDP(TICKER,"DEEP_MEASURE_PERIOD_BROKER_VALUE","DEEP_MEASURE_ID_OVERRIDE",$C282,"DEEP_BROKER_ID_OVERRIDE",BU$24,"DEEP_PERIOD_OVERRIDE",$H$19)*1,"")))</f>
        <v/>
      </c>
      <c r="BV282" t="str">
        <f>IF(OR(BV$23="",ISNA($B282)),"",IF(ISBLANK($B282),"",IFERROR(_xll.BDP(TICKER,"DEEP_MEASURE_PERIOD_BROKER_VALUE","DEEP_MEASURE_ID_OVERRIDE",$C282,"DEEP_BROKER_ID_OVERRIDE",BV$24,"DEEP_PERIOD_OVERRIDE",$H$19)*1,"")))</f>
        <v/>
      </c>
      <c r="BW282" t="str">
        <f>IF(OR(BW$23="",ISNA($B282)),"",IF(ISBLANK($B282),"",IFERROR(_xll.BDP(TICKER,"DEEP_MEASURE_PERIOD_BROKER_VALUE","DEEP_MEASURE_ID_OVERRIDE",$C282,"DEEP_BROKER_ID_OVERRIDE",BW$24,"DEEP_PERIOD_OVERRIDE",$H$19)*1,"")))</f>
        <v/>
      </c>
      <c r="BX282" t="str">
        <f>IF(OR(BX$23="",ISNA($B282)),"",IF(ISBLANK($B282),"",IFERROR(_xll.BDP(TICKER,"DEEP_MEASURE_PERIOD_BROKER_VALUE","DEEP_MEASURE_ID_OVERRIDE",$C282,"DEEP_BROKER_ID_OVERRIDE",BX$24,"DEEP_PERIOD_OVERRIDE",$H$19)*1,"")))</f>
        <v/>
      </c>
      <c r="BY282" t="str">
        <f>IF(OR(BY$23="",ISNA($B282)),"",IF(ISBLANK($B282),"",IFERROR(_xll.BDP(TICKER,"DEEP_MEASURE_PERIOD_BROKER_VALUE","DEEP_MEASURE_ID_OVERRIDE",$C282,"DEEP_BROKER_ID_OVERRIDE",BY$24,"DEEP_PERIOD_OVERRIDE",$H$19)*1,"")))</f>
        <v/>
      </c>
      <c r="BZ282" t="str">
        <f>IF(OR(BZ$23="",ISNA($B282)),"",IF(ISBLANK($B282),"",IFERROR(_xll.BDP(TICKER,"DEEP_MEASURE_PERIOD_BROKER_VALUE","DEEP_MEASURE_ID_OVERRIDE",$C282,"DEEP_BROKER_ID_OVERRIDE",BZ$24,"DEEP_PERIOD_OVERRIDE",$H$19)*1,"")))</f>
        <v/>
      </c>
    </row>
    <row r="283" spans="8:78" x14ac:dyDescent="0.25">
      <c r="H283" t="str">
        <f t="shared" si="5"/>
        <v/>
      </c>
      <c r="I283" t="str">
        <f>IF(OR(I$23="",ISNA($B283)),"",IF(ISBLANK($B283),"",IFERROR(_xll.BDP(TICKER,"DEEP_MEASURE_PERIOD_BROKER_VALUE","DEEP_MEASURE_ID_OVERRIDE",$C283,"DEEP_PERIOD_OVERRIDE",$H$19)*1,"")))</f>
        <v/>
      </c>
      <c r="J283" t="e">
        <f>IF(OR(J$23="",ISNA($B283)),"",IF(ISBLANK($B283),"",IFERROR(_xll.BDP(TICKER,"DEEP_MEASURE_PERIOD_BROKER_VALUE","DEEP_MEASURE_ID_OVERRIDE",$C283,"DEEP_BROKER_ID_OVERRIDE",J$24,"DEEP_PERIOD_OVERRIDE",$H$19)*1,"")))</f>
        <v>#REF!</v>
      </c>
      <c r="K283" t="str">
        <f>IF(OR(K$23="",ISNA($B283)),"",IF(ISBLANK($B283),"",IFERROR(_xll.BDP(TICKER,"DEEP_MEASURE_PERIOD_BROKER_VALUE","DEEP_MEASURE_ID_OVERRIDE",$C283,"DEEP_BROKER_ID_OVERRIDE",K$24,"DEEP_PERIOD_OVERRIDE",$H$19)*1,"")))</f>
        <v/>
      </c>
      <c r="L283" t="str">
        <f>IF(OR(L$23="",ISNA($B283)),"",IF(ISBLANK($B283),"",IFERROR(_xll.BDP(TICKER,"DEEP_MEASURE_PERIOD_BROKER_VALUE","DEEP_MEASURE_ID_OVERRIDE",$C283,"DEEP_BROKER_ID_OVERRIDE",L$24,"DEEP_PERIOD_OVERRIDE",$H$19)*1,"")))</f>
        <v/>
      </c>
      <c r="M283" t="str">
        <f>IF(OR(M$23="",ISNA($B283)),"",IF(ISBLANK($B283),"",IFERROR(_xll.BDP(TICKER,"DEEP_MEASURE_PERIOD_BROKER_VALUE","DEEP_MEASURE_ID_OVERRIDE",$C283,"DEEP_BROKER_ID_OVERRIDE",M$24,"DEEP_PERIOD_OVERRIDE",$H$19)*1,"")))</f>
        <v/>
      </c>
      <c r="N283" t="str">
        <f>IF(OR(N$23="",ISNA($B283)),"",IF(ISBLANK($B283),"",IFERROR(_xll.BDP(TICKER,"DEEP_MEASURE_PERIOD_BROKER_VALUE","DEEP_MEASURE_ID_OVERRIDE",$C283,"DEEP_BROKER_ID_OVERRIDE",N$24,"DEEP_PERIOD_OVERRIDE",$H$19)*1,"")))</f>
        <v/>
      </c>
      <c r="O283" t="str">
        <f>IF(OR(O$23="",ISNA($B283)),"",IF(ISBLANK($B283),"",IFERROR(_xll.BDP(TICKER,"DEEP_MEASURE_PERIOD_BROKER_VALUE","DEEP_MEASURE_ID_OVERRIDE",$C283,"DEEP_BROKER_ID_OVERRIDE",O$24,"DEEP_PERIOD_OVERRIDE",$H$19)*1,"")))</f>
        <v/>
      </c>
      <c r="P283" t="str">
        <f>IF(OR(P$23="",ISNA($B283)),"",IF(ISBLANK($B283),"",IFERROR(_xll.BDP(TICKER,"DEEP_MEASURE_PERIOD_BROKER_VALUE","DEEP_MEASURE_ID_OVERRIDE",$C283,"DEEP_BROKER_ID_OVERRIDE",P$24,"DEEP_PERIOD_OVERRIDE",$H$19)*1,"")))</f>
        <v/>
      </c>
      <c r="Q283" t="str">
        <f>IF(OR(Q$23="",ISNA($B283)),"",IF(ISBLANK($B283),"",IFERROR(_xll.BDP(TICKER,"DEEP_MEASURE_PERIOD_BROKER_VALUE","DEEP_MEASURE_ID_OVERRIDE",$C283,"DEEP_BROKER_ID_OVERRIDE",Q$24,"DEEP_PERIOD_OVERRIDE",$H$19)*1,"")))</f>
        <v/>
      </c>
      <c r="R283" t="str">
        <f>IF(OR(R$23="",ISNA($B283)),"",IF(ISBLANK($B283),"",IFERROR(_xll.BDP(TICKER,"DEEP_MEASURE_PERIOD_BROKER_VALUE","DEEP_MEASURE_ID_OVERRIDE",$C283,"DEEP_BROKER_ID_OVERRIDE",R$24,"DEEP_PERIOD_OVERRIDE",$H$19)*1,"")))</f>
        <v/>
      </c>
      <c r="S283" t="str">
        <f>IF(OR(S$23="",ISNA($B283)),"",IF(ISBLANK($B283),"",IFERROR(_xll.BDP(TICKER,"DEEP_MEASURE_PERIOD_BROKER_VALUE","DEEP_MEASURE_ID_OVERRIDE",$C283,"DEEP_BROKER_ID_OVERRIDE",S$24,"DEEP_PERIOD_OVERRIDE",$H$19)*1,"")))</f>
        <v/>
      </c>
      <c r="T283" t="str">
        <f>IF(OR(T$23="",ISNA($B283)),"",IF(ISBLANK($B283),"",IFERROR(_xll.BDP(TICKER,"DEEP_MEASURE_PERIOD_BROKER_VALUE","DEEP_MEASURE_ID_OVERRIDE",$C283,"DEEP_BROKER_ID_OVERRIDE",T$24,"DEEP_PERIOD_OVERRIDE",$H$19)*1,"")))</f>
        <v/>
      </c>
      <c r="U283" t="str">
        <f>IF(OR(U$23="",ISNA($B283)),"",IF(ISBLANK($B283),"",IFERROR(_xll.BDP(TICKER,"DEEP_MEASURE_PERIOD_BROKER_VALUE","DEEP_MEASURE_ID_OVERRIDE",$C283,"DEEP_BROKER_ID_OVERRIDE",U$24,"DEEP_PERIOD_OVERRIDE",$H$19)*1,"")))</f>
        <v/>
      </c>
      <c r="V283" t="str">
        <f>IF(OR(V$23="",ISNA($B283)),"",IF(ISBLANK($B283),"",IFERROR(_xll.BDP(TICKER,"DEEP_MEASURE_PERIOD_BROKER_VALUE","DEEP_MEASURE_ID_OVERRIDE",$C283,"DEEP_BROKER_ID_OVERRIDE",V$24,"DEEP_PERIOD_OVERRIDE",$H$19)*1,"")))</f>
        <v/>
      </c>
      <c r="W283" t="str">
        <f>IF(OR(W$23="",ISNA($B283)),"",IF(ISBLANK($B283),"",IFERROR(_xll.BDP(TICKER,"DEEP_MEASURE_PERIOD_BROKER_VALUE","DEEP_MEASURE_ID_OVERRIDE",$C283,"DEEP_BROKER_ID_OVERRIDE",W$24,"DEEP_PERIOD_OVERRIDE",$H$19)*1,"")))</f>
        <v/>
      </c>
      <c r="X283" t="str">
        <f>IF(OR(X$23="",ISNA($B283)),"",IF(ISBLANK($B283),"",IFERROR(_xll.BDP(TICKER,"DEEP_MEASURE_PERIOD_BROKER_VALUE","DEEP_MEASURE_ID_OVERRIDE",$C283,"DEEP_BROKER_ID_OVERRIDE",X$24,"DEEP_PERIOD_OVERRIDE",$H$19)*1,"")))</f>
        <v/>
      </c>
      <c r="Y283" t="str">
        <f>IF(OR(Y$23="",ISNA($B283)),"",IF(ISBLANK($B283),"",IFERROR(_xll.BDP(TICKER,"DEEP_MEASURE_PERIOD_BROKER_VALUE","DEEP_MEASURE_ID_OVERRIDE",$C283,"DEEP_BROKER_ID_OVERRIDE",Y$24,"DEEP_PERIOD_OVERRIDE",$H$19)*1,"")))</f>
        <v/>
      </c>
      <c r="Z283" t="str">
        <f>IF(OR(Z$23="",ISNA($B283)),"",IF(ISBLANK($B283),"",IFERROR(_xll.BDP(TICKER,"DEEP_MEASURE_PERIOD_BROKER_VALUE","DEEP_MEASURE_ID_OVERRIDE",$C283,"DEEP_BROKER_ID_OVERRIDE",Z$24,"DEEP_PERIOD_OVERRIDE",$H$19)*1,"")))</f>
        <v/>
      </c>
      <c r="AA283" t="str">
        <f>IF(OR(AA$23="",ISNA($B283)),"",IF(ISBLANK($B283),"",IFERROR(_xll.BDP(TICKER,"DEEP_MEASURE_PERIOD_BROKER_VALUE","DEEP_MEASURE_ID_OVERRIDE",$C283,"DEEP_BROKER_ID_OVERRIDE",AA$24,"DEEP_PERIOD_OVERRIDE",$H$19)*1,"")))</f>
        <v/>
      </c>
      <c r="AB283" t="str">
        <f>IF(OR(AB$23="",ISNA($B283)),"",IF(ISBLANK($B283),"",IFERROR(_xll.BDP(TICKER,"DEEP_MEASURE_PERIOD_BROKER_VALUE","DEEP_MEASURE_ID_OVERRIDE",$C283,"DEEP_BROKER_ID_OVERRIDE",AB$24,"DEEP_PERIOD_OVERRIDE",$H$19)*1,"")))</f>
        <v/>
      </c>
      <c r="AC283" t="str">
        <f>IF(OR(AC$23="",ISNA($B283)),"",IF(ISBLANK($B283),"",IFERROR(_xll.BDP(TICKER,"DEEP_MEASURE_PERIOD_BROKER_VALUE","DEEP_MEASURE_ID_OVERRIDE",$C283,"DEEP_BROKER_ID_OVERRIDE",AC$24,"DEEP_PERIOD_OVERRIDE",$H$19)*1,"")))</f>
        <v/>
      </c>
      <c r="AD283" t="str">
        <f>IF(OR(AD$23="",ISNA($B283)),"",IF(ISBLANK($B283),"",IFERROR(_xll.BDP(TICKER,"DEEP_MEASURE_PERIOD_BROKER_VALUE","DEEP_MEASURE_ID_OVERRIDE",$C283,"DEEP_BROKER_ID_OVERRIDE",AD$24,"DEEP_PERIOD_OVERRIDE",$H$19)*1,"")))</f>
        <v/>
      </c>
      <c r="AE283" t="str">
        <f>IF(OR(AE$23="",ISNA($B283)),"",IF(ISBLANK($B283),"",IFERROR(_xll.BDP(TICKER,"DEEP_MEASURE_PERIOD_BROKER_VALUE","DEEP_MEASURE_ID_OVERRIDE",$C283,"DEEP_BROKER_ID_OVERRIDE",AE$24,"DEEP_PERIOD_OVERRIDE",$H$19)*1,"")))</f>
        <v/>
      </c>
      <c r="AF283" t="str">
        <f>IF(OR(AF$23="",ISNA($B283)),"",IF(ISBLANK($B283),"",IFERROR(_xll.BDP(TICKER,"DEEP_MEASURE_PERIOD_BROKER_VALUE","DEEP_MEASURE_ID_OVERRIDE",$C283,"DEEP_BROKER_ID_OVERRIDE",AF$24,"DEEP_PERIOD_OVERRIDE",$H$19)*1,"")))</f>
        <v/>
      </c>
      <c r="AG283" t="str">
        <f>IF(OR(AG$23="",ISNA($B283)),"",IF(ISBLANK($B283),"",IFERROR(_xll.BDP(TICKER,"DEEP_MEASURE_PERIOD_BROKER_VALUE","DEEP_MEASURE_ID_OVERRIDE",$C283,"DEEP_BROKER_ID_OVERRIDE",AG$24,"DEEP_PERIOD_OVERRIDE",$H$19)*1,"")))</f>
        <v/>
      </c>
      <c r="AH283" t="str">
        <f>IF(OR(AH$23="",ISNA($B283)),"",IF(ISBLANK($B283),"",IFERROR(_xll.BDP(TICKER,"DEEP_MEASURE_PERIOD_BROKER_VALUE","DEEP_MEASURE_ID_OVERRIDE",$C283,"DEEP_BROKER_ID_OVERRIDE",AH$24,"DEEP_PERIOD_OVERRIDE",$H$19)*1,"")))</f>
        <v/>
      </c>
      <c r="AI283" t="str">
        <f>IF(OR(AI$23="",ISNA($B283)),"",IF(ISBLANK($B283),"",IFERROR(_xll.BDP(TICKER,"DEEP_MEASURE_PERIOD_BROKER_VALUE","DEEP_MEASURE_ID_OVERRIDE",$C283,"DEEP_BROKER_ID_OVERRIDE",AI$24,"DEEP_PERIOD_OVERRIDE",$H$19)*1,"")))</f>
        <v/>
      </c>
      <c r="AJ283" t="str">
        <f>IF(OR(AJ$23="",ISNA($B283)),"",IF(ISBLANK($B283),"",IFERROR(_xll.BDP(TICKER,"DEEP_MEASURE_PERIOD_BROKER_VALUE","DEEP_MEASURE_ID_OVERRIDE",$C283,"DEEP_BROKER_ID_OVERRIDE",AJ$24,"DEEP_PERIOD_OVERRIDE",$H$19)*1,"")))</f>
        <v/>
      </c>
      <c r="AK283" t="str">
        <f>IF(OR(AK$23="",ISNA($B283)),"",IF(ISBLANK($B283),"",IFERROR(_xll.BDP(TICKER,"DEEP_MEASURE_PERIOD_BROKER_VALUE","DEEP_MEASURE_ID_OVERRIDE",$C283,"DEEP_BROKER_ID_OVERRIDE",AK$24,"DEEP_PERIOD_OVERRIDE",$H$19)*1,"")))</f>
        <v/>
      </c>
      <c r="AL283" t="str">
        <f>IF(OR(AL$23="",ISNA($B283)),"",IF(ISBLANK($B283),"",IFERROR(_xll.BDP(TICKER,"DEEP_MEASURE_PERIOD_BROKER_VALUE","DEEP_MEASURE_ID_OVERRIDE",$C283,"DEEP_BROKER_ID_OVERRIDE",AL$24,"DEEP_PERIOD_OVERRIDE",$H$19)*1,"")))</f>
        <v/>
      </c>
      <c r="AM283" t="str">
        <f>IF(OR(AM$23="",ISNA($B283)),"",IF(ISBLANK($B283),"",IFERROR(_xll.BDP(TICKER,"DEEP_MEASURE_PERIOD_BROKER_VALUE","DEEP_MEASURE_ID_OVERRIDE",$C283,"DEEP_BROKER_ID_OVERRIDE",AM$24,"DEEP_PERIOD_OVERRIDE",$H$19)*1,"")))</f>
        <v/>
      </c>
      <c r="AN283" t="str">
        <f>IF(OR(AN$23="",ISNA($B283)),"",IF(ISBLANK($B283),"",IFERROR(_xll.BDP(TICKER,"DEEP_MEASURE_PERIOD_BROKER_VALUE","DEEP_MEASURE_ID_OVERRIDE",$C283,"DEEP_BROKER_ID_OVERRIDE",AN$24,"DEEP_PERIOD_OVERRIDE",$H$19)*1,"")))</f>
        <v/>
      </c>
      <c r="AO283" t="str">
        <f>IF(OR(AO$23="",ISNA($B283)),"",IF(ISBLANK($B283),"",IFERROR(_xll.BDP(TICKER,"DEEP_MEASURE_PERIOD_BROKER_VALUE","DEEP_MEASURE_ID_OVERRIDE",$C283,"DEEP_BROKER_ID_OVERRIDE",AO$24,"DEEP_PERIOD_OVERRIDE",$H$19)*1,"")))</f>
        <v/>
      </c>
      <c r="AP283" t="str">
        <f>IF(OR(AP$23="",ISNA($B283)),"",IF(ISBLANK($B283),"",IFERROR(_xll.BDP(TICKER,"DEEP_MEASURE_PERIOD_BROKER_VALUE","DEEP_MEASURE_ID_OVERRIDE",$C283,"DEEP_BROKER_ID_OVERRIDE",AP$24,"DEEP_PERIOD_OVERRIDE",$H$19)*1,"")))</f>
        <v/>
      </c>
      <c r="AQ283" t="str">
        <f>IF(OR(AQ$23="",ISNA($B283)),"",IF(ISBLANK($B283),"",IFERROR(_xll.BDP(TICKER,"DEEP_MEASURE_PERIOD_BROKER_VALUE","DEEP_MEASURE_ID_OVERRIDE",$C283,"DEEP_BROKER_ID_OVERRIDE",AQ$24,"DEEP_PERIOD_OVERRIDE",$H$19)*1,"")))</f>
        <v/>
      </c>
      <c r="AR283" t="str">
        <f>IF(OR(AR$23="",ISNA($B283)),"",IF(ISBLANK($B283),"",IFERROR(_xll.BDP(TICKER,"DEEP_MEASURE_PERIOD_BROKER_VALUE","DEEP_MEASURE_ID_OVERRIDE",$C283,"DEEP_BROKER_ID_OVERRIDE",AR$24,"DEEP_PERIOD_OVERRIDE",$H$19)*1,"")))</f>
        <v/>
      </c>
      <c r="AS283" t="str">
        <f>IF(OR(AS$23="",ISNA($B283)),"",IF(ISBLANK($B283),"",IFERROR(_xll.BDP(TICKER,"DEEP_MEASURE_PERIOD_BROKER_VALUE","DEEP_MEASURE_ID_OVERRIDE",$C283,"DEEP_BROKER_ID_OVERRIDE",AS$24,"DEEP_PERIOD_OVERRIDE",$H$19)*1,"")))</f>
        <v/>
      </c>
      <c r="AT283" t="str">
        <f>IF(OR(AT$23="",ISNA($B283)),"",IF(ISBLANK($B283),"",IFERROR(_xll.BDP(TICKER,"DEEP_MEASURE_PERIOD_BROKER_VALUE","DEEP_MEASURE_ID_OVERRIDE",$C283,"DEEP_BROKER_ID_OVERRIDE",AT$24,"DEEP_PERIOD_OVERRIDE",$H$19)*1,"")))</f>
        <v/>
      </c>
      <c r="AU283" t="str">
        <f>IF(OR(AU$23="",ISNA($B283)),"",IF(ISBLANK($B283),"",IFERROR(_xll.BDP(TICKER,"DEEP_MEASURE_PERIOD_BROKER_VALUE","DEEP_MEASURE_ID_OVERRIDE",$C283,"DEEP_BROKER_ID_OVERRIDE",AU$24,"DEEP_PERIOD_OVERRIDE",$H$19)*1,"")))</f>
        <v/>
      </c>
      <c r="AV283" t="str">
        <f>IF(OR(AV$23="",ISNA($B283)),"",IF(ISBLANK($B283),"",IFERROR(_xll.BDP(TICKER,"DEEP_MEASURE_PERIOD_BROKER_VALUE","DEEP_MEASURE_ID_OVERRIDE",$C283,"DEEP_BROKER_ID_OVERRIDE",AV$24,"DEEP_PERIOD_OVERRIDE",$H$19)*1,"")))</f>
        <v/>
      </c>
      <c r="AW283" t="str">
        <f>IF(OR(AW$23="",ISNA($B283)),"",IF(ISBLANK($B283),"",IFERROR(_xll.BDP(TICKER,"DEEP_MEASURE_PERIOD_BROKER_VALUE","DEEP_MEASURE_ID_OVERRIDE",$C283,"DEEP_BROKER_ID_OVERRIDE",AW$24,"DEEP_PERIOD_OVERRIDE",$H$19)*1,"")))</f>
        <v/>
      </c>
      <c r="AX283" t="str">
        <f>IF(OR(AX$23="",ISNA($B283)),"",IF(ISBLANK($B283),"",IFERROR(_xll.BDP(TICKER,"DEEP_MEASURE_PERIOD_BROKER_VALUE","DEEP_MEASURE_ID_OVERRIDE",$C283,"DEEP_BROKER_ID_OVERRIDE",AX$24,"DEEP_PERIOD_OVERRIDE",$H$19)*1,"")))</f>
        <v/>
      </c>
      <c r="AY283" t="str">
        <f>IF(OR(AY$23="",ISNA($B283)),"",IF(ISBLANK($B283),"",IFERROR(_xll.BDP(TICKER,"DEEP_MEASURE_PERIOD_BROKER_VALUE","DEEP_MEASURE_ID_OVERRIDE",$C283,"DEEP_BROKER_ID_OVERRIDE",AY$24,"DEEP_PERIOD_OVERRIDE",$H$19)*1,"")))</f>
        <v/>
      </c>
      <c r="AZ283" t="str">
        <f>IF(OR(AZ$23="",ISNA($B283)),"",IF(ISBLANK($B283),"",IFERROR(_xll.BDP(TICKER,"DEEP_MEASURE_PERIOD_BROKER_VALUE","DEEP_MEASURE_ID_OVERRIDE",$C283,"DEEP_BROKER_ID_OVERRIDE",AZ$24,"DEEP_PERIOD_OVERRIDE",$H$19)*1,"")))</f>
        <v/>
      </c>
      <c r="BA283" t="str">
        <f>IF(OR(BA$23="",ISNA($B283)),"",IF(ISBLANK($B283),"",IFERROR(_xll.BDP(TICKER,"DEEP_MEASURE_PERIOD_BROKER_VALUE","DEEP_MEASURE_ID_OVERRIDE",$C283,"DEEP_BROKER_ID_OVERRIDE",BA$24,"DEEP_PERIOD_OVERRIDE",$H$19)*1,"")))</f>
        <v/>
      </c>
      <c r="BB283" t="str">
        <f>IF(OR(BB$23="",ISNA($B283)),"",IF(ISBLANK($B283),"",IFERROR(_xll.BDP(TICKER,"DEEP_MEASURE_PERIOD_BROKER_VALUE","DEEP_MEASURE_ID_OVERRIDE",$C283,"DEEP_BROKER_ID_OVERRIDE",BB$24,"DEEP_PERIOD_OVERRIDE",$H$19)*1,"")))</f>
        <v/>
      </c>
      <c r="BC283" t="str">
        <f>IF(OR(BC$23="",ISNA($B283)),"",IF(ISBLANK($B283),"",IFERROR(_xll.BDP(TICKER,"DEEP_MEASURE_PERIOD_BROKER_VALUE","DEEP_MEASURE_ID_OVERRIDE",$C283,"DEEP_BROKER_ID_OVERRIDE",BC$24,"DEEP_PERIOD_OVERRIDE",$H$19)*1,"")))</f>
        <v/>
      </c>
      <c r="BD283" t="str">
        <f>IF(OR(BD$23="",ISNA($B283)),"",IF(ISBLANK($B283),"",IFERROR(_xll.BDP(TICKER,"DEEP_MEASURE_PERIOD_BROKER_VALUE","DEEP_MEASURE_ID_OVERRIDE",$C283,"DEEP_BROKER_ID_OVERRIDE",BD$24,"DEEP_PERIOD_OVERRIDE",$H$19)*1,"")))</f>
        <v/>
      </c>
      <c r="BE283" t="str">
        <f>IF(OR(BE$23="",ISNA($B283)),"",IF(ISBLANK($B283),"",IFERROR(_xll.BDP(TICKER,"DEEP_MEASURE_PERIOD_BROKER_VALUE","DEEP_MEASURE_ID_OVERRIDE",$C283,"DEEP_BROKER_ID_OVERRIDE",BE$24,"DEEP_PERIOD_OVERRIDE",$H$19)*1,"")))</f>
        <v/>
      </c>
      <c r="BF283" t="str">
        <f>IF(OR(BF$23="",ISNA($B283)),"",IF(ISBLANK($B283),"",IFERROR(_xll.BDP(TICKER,"DEEP_MEASURE_PERIOD_BROKER_VALUE","DEEP_MEASURE_ID_OVERRIDE",$C283,"DEEP_BROKER_ID_OVERRIDE",BF$24,"DEEP_PERIOD_OVERRIDE",$H$19)*1,"")))</f>
        <v/>
      </c>
      <c r="BG283" t="str">
        <f>IF(OR(BG$23="",ISNA($B283)),"",IF(ISBLANK($B283),"",IFERROR(_xll.BDP(TICKER,"DEEP_MEASURE_PERIOD_BROKER_VALUE","DEEP_MEASURE_ID_OVERRIDE",$C283,"DEEP_BROKER_ID_OVERRIDE",BG$24,"DEEP_PERIOD_OVERRIDE",$H$19)*1,"")))</f>
        <v/>
      </c>
      <c r="BH283" t="str">
        <f>IF(OR(BH$23="",ISNA($B283)),"",IF(ISBLANK($B283),"",IFERROR(_xll.BDP(TICKER,"DEEP_MEASURE_PERIOD_BROKER_VALUE","DEEP_MEASURE_ID_OVERRIDE",$C283,"DEEP_BROKER_ID_OVERRIDE",BH$24,"DEEP_PERIOD_OVERRIDE",$H$19)*1,"")))</f>
        <v/>
      </c>
      <c r="BI283" t="str">
        <f>IF(OR(BI$23="",ISNA($B283)),"",IF(ISBLANK($B283),"",IFERROR(_xll.BDP(TICKER,"DEEP_MEASURE_PERIOD_BROKER_VALUE","DEEP_MEASURE_ID_OVERRIDE",$C283,"DEEP_BROKER_ID_OVERRIDE",BI$24,"DEEP_PERIOD_OVERRIDE",$H$19)*1,"")))</f>
        <v/>
      </c>
      <c r="BJ283" t="str">
        <f>IF(OR(BJ$23="",ISNA($B283)),"",IF(ISBLANK($B283),"",IFERROR(_xll.BDP(TICKER,"DEEP_MEASURE_PERIOD_BROKER_VALUE","DEEP_MEASURE_ID_OVERRIDE",$C283,"DEEP_BROKER_ID_OVERRIDE",BJ$24,"DEEP_PERIOD_OVERRIDE",$H$19)*1,"")))</f>
        <v/>
      </c>
      <c r="BK283" t="str">
        <f>IF(OR(BK$23="",ISNA($B283)),"",IF(ISBLANK($B283),"",IFERROR(_xll.BDP(TICKER,"DEEP_MEASURE_PERIOD_BROKER_VALUE","DEEP_MEASURE_ID_OVERRIDE",$C283,"DEEP_BROKER_ID_OVERRIDE",BK$24,"DEEP_PERIOD_OVERRIDE",$H$19)*1,"")))</f>
        <v/>
      </c>
      <c r="BL283" t="str">
        <f>IF(OR(BL$23="",ISNA($B283)),"",IF(ISBLANK($B283),"",IFERROR(_xll.BDP(TICKER,"DEEP_MEASURE_PERIOD_BROKER_VALUE","DEEP_MEASURE_ID_OVERRIDE",$C283,"DEEP_BROKER_ID_OVERRIDE",BL$24,"DEEP_PERIOD_OVERRIDE",$H$19)*1,"")))</f>
        <v/>
      </c>
      <c r="BM283" t="str">
        <f>IF(OR(BM$23="",ISNA($B283)),"",IF(ISBLANK($B283),"",IFERROR(_xll.BDP(TICKER,"DEEP_MEASURE_PERIOD_BROKER_VALUE","DEEP_MEASURE_ID_OVERRIDE",$C283,"DEEP_BROKER_ID_OVERRIDE",BM$24,"DEEP_PERIOD_OVERRIDE",$H$19)*1,"")))</f>
        <v/>
      </c>
      <c r="BN283" t="str">
        <f>IF(OR(BN$23="",ISNA($B283)),"",IF(ISBLANK($B283),"",IFERROR(_xll.BDP(TICKER,"DEEP_MEASURE_PERIOD_BROKER_VALUE","DEEP_MEASURE_ID_OVERRIDE",$C283,"DEEP_BROKER_ID_OVERRIDE",BN$24,"DEEP_PERIOD_OVERRIDE",$H$19)*1,"")))</f>
        <v/>
      </c>
      <c r="BO283" t="str">
        <f>IF(OR(BO$23="",ISNA($B283)),"",IF(ISBLANK($B283),"",IFERROR(_xll.BDP(TICKER,"DEEP_MEASURE_PERIOD_BROKER_VALUE","DEEP_MEASURE_ID_OVERRIDE",$C283,"DEEP_BROKER_ID_OVERRIDE",BO$24,"DEEP_PERIOD_OVERRIDE",$H$19)*1,"")))</f>
        <v/>
      </c>
      <c r="BP283" t="str">
        <f>IF(OR(BP$23="",ISNA($B283)),"",IF(ISBLANK($B283),"",IFERROR(_xll.BDP(TICKER,"DEEP_MEASURE_PERIOD_BROKER_VALUE","DEEP_MEASURE_ID_OVERRIDE",$C283,"DEEP_BROKER_ID_OVERRIDE",BP$24,"DEEP_PERIOD_OVERRIDE",$H$19)*1,"")))</f>
        <v/>
      </c>
      <c r="BQ283" t="str">
        <f>IF(OR(BQ$23="",ISNA($B283)),"",IF(ISBLANK($B283),"",IFERROR(_xll.BDP(TICKER,"DEEP_MEASURE_PERIOD_BROKER_VALUE","DEEP_MEASURE_ID_OVERRIDE",$C283,"DEEP_BROKER_ID_OVERRIDE",BQ$24,"DEEP_PERIOD_OVERRIDE",$H$19)*1,"")))</f>
        <v/>
      </c>
      <c r="BR283" t="str">
        <f>IF(OR(BR$23="",ISNA($B283)),"",IF(ISBLANK($B283),"",IFERROR(_xll.BDP(TICKER,"DEEP_MEASURE_PERIOD_BROKER_VALUE","DEEP_MEASURE_ID_OVERRIDE",$C283,"DEEP_BROKER_ID_OVERRIDE",BR$24,"DEEP_PERIOD_OVERRIDE",$H$19)*1,"")))</f>
        <v/>
      </c>
      <c r="BS283" t="str">
        <f>IF(OR(BS$23="",ISNA($B283)),"",IF(ISBLANK($B283),"",IFERROR(_xll.BDP(TICKER,"DEEP_MEASURE_PERIOD_BROKER_VALUE","DEEP_MEASURE_ID_OVERRIDE",$C283,"DEEP_BROKER_ID_OVERRIDE",BS$24,"DEEP_PERIOD_OVERRIDE",$H$19)*1,"")))</f>
        <v/>
      </c>
      <c r="BT283" t="str">
        <f>IF(OR(BT$23="",ISNA($B283)),"",IF(ISBLANK($B283),"",IFERROR(_xll.BDP(TICKER,"DEEP_MEASURE_PERIOD_BROKER_VALUE","DEEP_MEASURE_ID_OVERRIDE",$C283,"DEEP_BROKER_ID_OVERRIDE",BT$24,"DEEP_PERIOD_OVERRIDE",$H$19)*1,"")))</f>
        <v/>
      </c>
      <c r="BU283" t="str">
        <f>IF(OR(BU$23="",ISNA($B283)),"",IF(ISBLANK($B283),"",IFERROR(_xll.BDP(TICKER,"DEEP_MEASURE_PERIOD_BROKER_VALUE","DEEP_MEASURE_ID_OVERRIDE",$C283,"DEEP_BROKER_ID_OVERRIDE",BU$24,"DEEP_PERIOD_OVERRIDE",$H$19)*1,"")))</f>
        <v/>
      </c>
      <c r="BV283" t="str">
        <f>IF(OR(BV$23="",ISNA($B283)),"",IF(ISBLANK($B283),"",IFERROR(_xll.BDP(TICKER,"DEEP_MEASURE_PERIOD_BROKER_VALUE","DEEP_MEASURE_ID_OVERRIDE",$C283,"DEEP_BROKER_ID_OVERRIDE",BV$24,"DEEP_PERIOD_OVERRIDE",$H$19)*1,"")))</f>
        <v/>
      </c>
      <c r="BW283" t="str">
        <f>IF(OR(BW$23="",ISNA($B283)),"",IF(ISBLANK($B283),"",IFERROR(_xll.BDP(TICKER,"DEEP_MEASURE_PERIOD_BROKER_VALUE","DEEP_MEASURE_ID_OVERRIDE",$C283,"DEEP_BROKER_ID_OVERRIDE",BW$24,"DEEP_PERIOD_OVERRIDE",$H$19)*1,"")))</f>
        <v/>
      </c>
      <c r="BX283" t="str">
        <f>IF(OR(BX$23="",ISNA($B283)),"",IF(ISBLANK($B283),"",IFERROR(_xll.BDP(TICKER,"DEEP_MEASURE_PERIOD_BROKER_VALUE","DEEP_MEASURE_ID_OVERRIDE",$C283,"DEEP_BROKER_ID_OVERRIDE",BX$24,"DEEP_PERIOD_OVERRIDE",$H$19)*1,"")))</f>
        <v/>
      </c>
      <c r="BY283" t="str">
        <f>IF(OR(BY$23="",ISNA($B283)),"",IF(ISBLANK($B283),"",IFERROR(_xll.BDP(TICKER,"DEEP_MEASURE_PERIOD_BROKER_VALUE","DEEP_MEASURE_ID_OVERRIDE",$C283,"DEEP_BROKER_ID_OVERRIDE",BY$24,"DEEP_PERIOD_OVERRIDE",$H$19)*1,"")))</f>
        <v/>
      </c>
      <c r="BZ283" t="str">
        <f>IF(OR(BZ$23="",ISNA($B283)),"",IF(ISBLANK($B283),"",IFERROR(_xll.BDP(TICKER,"DEEP_MEASURE_PERIOD_BROKER_VALUE","DEEP_MEASURE_ID_OVERRIDE",$C283,"DEEP_BROKER_ID_OVERRIDE",BZ$24,"DEEP_PERIOD_OVERRIDE",$H$19)*1,"")))</f>
        <v/>
      </c>
    </row>
    <row r="284" spans="8:78" x14ac:dyDescent="0.25">
      <c r="H284" t="str">
        <f t="shared" si="5"/>
        <v/>
      </c>
      <c r="I284" t="str">
        <f>IF(OR(I$23="",ISNA($B284)),"",IF(ISBLANK($B284),"",IFERROR(_xll.BDP(TICKER,"DEEP_MEASURE_PERIOD_BROKER_VALUE","DEEP_MEASURE_ID_OVERRIDE",$C284,"DEEP_PERIOD_OVERRIDE",$H$19)*1,"")))</f>
        <v/>
      </c>
      <c r="J284" t="e">
        <f>IF(OR(J$23="",ISNA($B284)),"",IF(ISBLANK($B284),"",IFERROR(_xll.BDP(TICKER,"DEEP_MEASURE_PERIOD_BROKER_VALUE","DEEP_MEASURE_ID_OVERRIDE",$C284,"DEEP_BROKER_ID_OVERRIDE",J$24,"DEEP_PERIOD_OVERRIDE",$H$19)*1,"")))</f>
        <v>#REF!</v>
      </c>
      <c r="K284" t="str">
        <f>IF(OR(K$23="",ISNA($B284)),"",IF(ISBLANK($B284),"",IFERROR(_xll.BDP(TICKER,"DEEP_MEASURE_PERIOD_BROKER_VALUE","DEEP_MEASURE_ID_OVERRIDE",$C284,"DEEP_BROKER_ID_OVERRIDE",K$24,"DEEP_PERIOD_OVERRIDE",$H$19)*1,"")))</f>
        <v/>
      </c>
      <c r="L284" t="str">
        <f>IF(OR(L$23="",ISNA($B284)),"",IF(ISBLANK($B284),"",IFERROR(_xll.BDP(TICKER,"DEEP_MEASURE_PERIOD_BROKER_VALUE","DEEP_MEASURE_ID_OVERRIDE",$C284,"DEEP_BROKER_ID_OVERRIDE",L$24,"DEEP_PERIOD_OVERRIDE",$H$19)*1,"")))</f>
        <v/>
      </c>
      <c r="M284" t="str">
        <f>IF(OR(M$23="",ISNA($B284)),"",IF(ISBLANK($B284),"",IFERROR(_xll.BDP(TICKER,"DEEP_MEASURE_PERIOD_BROKER_VALUE","DEEP_MEASURE_ID_OVERRIDE",$C284,"DEEP_BROKER_ID_OVERRIDE",M$24,"DEEP_PERIOD_OVERRIDE",$H$19)*1,"")))</f>
        <v/>
      </c>
      <c r="N284" t="str">
        <f>IF(OR(N$23="",ISNA($B284)),"",IF(ISBLANK($B284),"",IFERROR(_xll.BDP(TICKER,"DEEP_MEASURE_PERIOD_BROKER_VALUE","DEEP_MEASURE_ID_OVERRIDE",$C284,"DEEP_BROKER_ID_OVERRIDE",N$24,"DEEP_PERIOD_OVERRIDE",$H$19)*1,"")))</f>
        <v/>
      </c>
      <c r="O284" t="str">
        <f>IF(OR(O$23="",ISNA($B284)),"",IF(ISBLANK($B284),"",IFERROR(_xll.BDP(TICKER,"DEEP_MEASURE_PERIOD_BROKER_VALUE","DEEP_MEASURE_ID_OVERRIDE",$C284,"DEEP_BROKER_ID_OVERRIDE",O$24,"DEEP_PERIOD_OVERRIDE",$H$19)*1,"")))</f>
        <v/>
      </c>
      <c r="P284" t="str">
        <f>IF(OR(P$23="",ISNA($B284)),"",IF(ISBLANK($B284),"",IFERROR(_xll.BDP(TICKER,"DEEP_MEASURE_PERIOD_BROKER_VALUE","DEEP_MEASURE_ID_OVERRIDE",$C284,"DEEP_BROKER_ID_OVERRIDE",P$24,"DEEP_PERIOD_OVERRIDE",$H$19)*1,"")))</f>
        <v/>
      </c>
      <c r="Q284" t="str">
        <f>IF(OR(Q$23="",ISNA($B284)),"",IF(ISBLANK($B284),"",IFERROR(_xll.BDP(TICKER,"DEEP_MEASURE_PERIOD_BROKER_VALUE","DEEP_MEASURE_ID_OVERRIDE",$C284,"DEEP_BROKER_ID_OVERRIDE",Q$24,"DEEP_PERIOD_OVERRIDE",$H$19)*1,"")))</f>
        <v/>
      </c>
      <c r="R284" t="str">
        <f>IF(OR(R$23="",ISNA($B284)),"",IF(ISBLANK($B284),"",IFERROR(_xll.BDP(TICKER,"DEEP_MEASURE_PERIOD_BROKER_VALUE","DEEP_MEASURE_ID_OVERRIDE",$C284,"DEEP_BROKER_ID_OVERRIDE",R$24,"DEEP_PERIOD_OVERRIDE",$H$19)*1,"")))</f>
        <v/>
      </c>
      <c r="S284" t="str">
        <f>IF(OR(S$23="",ISNA($B284)),"",IF(ISBLANK($B284),"",IFERROR(_xll.BDP(TICKER,"DEEP_MEASURE_PERIOD_BROKER_VALUE","DEEP_MEASURE_ID_OVERRIDE",$C284,"DEEP_BROKER_ID_OVERRIDE",S$24,"DEEP_PERIOD_OVERRIDE",$H$19)*1,"")))</f>
        <v/>
      </c>
      <c r="T284" t="str">
        <f>IF(OR(T$23="",ISNA($B284)),"",IF(ISBLANK($B284),"",IFERROR(_xll.BDP(TICKER,"DEEP_MEASURE_PERIOD_BROKER_VALUE","DEEP_MEASURE_ID_OVERRIDE",$C284,"DEEP_BROKER_ID_OVERRIDE",T$24,"DEEP_PERIOD_OVERRIDE",$H$19)*1,"")))</f>
        <v/>
      </c>
      <c r="U284" t="str">
        <f>IF(OR(U$23="",ISNA($B284)),"",IF(ISBLANK($B284),"",IFERROR(_xll.BDP(TICKER,"DEEP_MEASURE_PERIOD_BROKER_VALUE","DEEP_MEASURE_ID_OVERRIDE",$C284,"DEEP_BROKER_ID_OVERRIDE",U$24,"DEEP_PERIOD_OVERRIDE",$H$19)*1,"")))</f>
        <v/>
      </c>
      <c r="V284" t="str">
        <f>IF(OR(V$23="",ISNA($B284)),"",IF(ISBLANK($B284),"",IFERROR(_xll.BDP(TICKER,"DEEP_MEASURE_PERIOD_BROKER_VALUE","DEEP_MEASURE_ID_OVERRIDE",$C284,"DEEP_BROKER_ID_OVERRIDE",V$24,"DEEP_PERIOD_OVERRIDE",$H$19)*1,"")))</f>
        <v/>
      </c>
      <c r="W284" t="str">
        <f>IF(OR(W$23="",ISNA($B284)),"",IF(ISBLANK($B284),"",IFERROR(_xll.BDP(TICKER,"DEEP_MEASURE_PERIOD_BROKER_VALUE","DEEP_MEASURE_ID_OVERRIDE",$C284,"DEEP_BROKER_ID_OVERRIDE",W$24,"DEEP_PERIOD_OVERRIDE",$H$19)*1,"")))</f>
        <v/>
      </c>
      <c r="X284" t="str">
        <f>IF(OR(X$23="",ISNA($B284)),"",IF(ISBLANK($B284),"",IFERROR(_xll.BDP(TICKER,"DEEP_MEASURE_PERIOD_BROKER_VALUE","DEEP_MEASURE_ID_OVERRIDE",$C284,"DEEP_BROKER_ID_OVERRIDE",X$24,"DEEP_PERIOD_OVERRIDE",$H$19)*1,"")))</f>
        <v/>
      </c>
      <c r="Y284" t="str">
        <f>IF(OR(Y$23="",ISNA($B284)),"",IF(ISBLANK($B284),"",IFERROR(_xll.BDP(TICKER,"DEEP_MEASURE_PERIOD_BROKER_VALUE","DEEP_MEASURE_ID_OVERRIDE",$C284,"DEEP_BROKER_ID_OVERRIDE",Y$24,"DEEP_PERIOD_OVERRIDE",$H$19)*1,"")))</f>
        <v/>
      </c>
      <c r="Z284" t="str">
        <f>IF(OR(Z$23="",ISNA($B284)),"",IF(ISBLANK($B284),"",IFERROR(_xll.BDP(TICKER,"DEEP_MEASURE_PERIOD_BROKER_VALUE","DEEP_MEASURE_ID_OVERRIDE",$C284,"DEEP_BROKER_ID_OVERRIDE",Z$24,"DEEP_PERIOD_OVERRIDE",$H$19)*1,"")))</f>
        <v/>
      </c>
      <c r="AA284" t="str">
        <f>IF(OR(AA$23="",ISNA($B284)),"",IF(ISBLANK($B284),"",IFERROR(_xll.BDP(TICKER,"DEEP_MEASURE_PERIOD_BROKER_VALUE","DEEP_MEASURE_ID_OVERRIDE",$C284,"DEEP_BROKER_ID_OVERRIDE",AA$24,"DEEP_PERIOD_OVERRIDE",$H$19)*1,"")))</f>
        <v/>
      </c>
      <c r="AB284" t="str">
        <f>IF(OR(AB$23="",ISNA($B284)),"",IF(ISBLANK($B284),"",IFERROR(_xll.BDP(TICKER,"DEEP_MEASURE_PERIOD_BROKER_VALUE","DEEP_MEASURE_ID_OVERRIDE",$C284,"DEEP_BROKER_ID_OVERRIDE",AB$24,"DEEP_PERIOD_OVERRIDE",$H$19)*1,"")))</f>
        <v/>
      </c>
      <c r="AC284" t="str">
        <f>IF(OR(AC$23="",ISNA($B284)),"",IF(ISBLANK($B284),"",IFERROR(_xll.BDP(TICKER,"DEEP_MEASURE_PERIOD_BROKER_VALUE","DEEP_MEASURE_ID_OVERRIDE",$C284,"DEEP_BROKER_ID_OVERRIDE",AC$24,"DEEP_PERIOD_OVERRIDE",$H$19)*1,"")))</f>
        <v/>
      </c>
      <c r="AD284" t="str">
        <f>IF(OR(AD$23="",ISNA($B284)),"",IF(ISBLANK($B284),"",IFERROR(_xll.BDP(TICKER,"DEEP_MEASURE_PERIOD_BROKER_VALUE","DEEP_MEASURE_ID_OVERRIDE",$C284,"DEEP_BROKER_ID_OVERRIDE",AD$24,"DEEP_PERIOD_OVERRIDE",$H$19)*1,"")))</f>
        <v/>
      </c>
      <c r="AE284" t="str">
        <f>IF(OR(AE$23="",ISNA($B284)),"",IF(ISBLANK($B284),"",IFERROR(_xll.BDP(TICKER,"DEEP_MEASURE_PERIOD_BROKER_VALUE","DEEP_MEASURE_ID_OVERRIDE",$C284,"DEEP_BROKER_ID_OVERRIDE",AE$24,"DEEP_PERIOD_OVERRIDE",$H$19)*1,"")))</f>
        <v/>
      </c>
      <c r="AF284" t="str">
        <f>IF(OR(AF$23="",ISNA($B284)),"",IF(ISBLANK($B284),"",IFERROR(_xll.BDP(TICKER,"DEEP_MEASURE_PERIOD_BROKER_VALUE","DEEP_MEASURE_ID_OVERRIDE",$C284,"DEEP_BROKER_ID_OVERRIDE",AF$24,"DEEP_PERIOD_OVERRIDE",$H$19)*1,"")))</f>
        <v/>
      </c>
      <c r="AG284" t="str">
        <f>IF(OR(AG$23="",ISNA($B284)),"",IF(ISBLANK($B284),"",IFERROR(_xll.BDP(TICKER,"DEEP_MEASURE_PERIOD_BROKER_VALUE","DEEP_MEASURE_ID_OVERRIDE",$C284,"DEEP_BROKER_ID_OVERRIDE",AG$24,"DEEP_PERIOD_OVERRIDE",$H$19)*1,"")))</f>
        <v/>
      </c>
      <c r="AH284" t="str">
        <f>IF(OR(AH$23="",ISNA($B284)),"",IF(ISBLANK($B284),"",IFERROR(_xll.BDP(TICKER,"DEEP_MEASURE_PERIOD_BROKER_VALUE","DEEP_MEASURE_ID_OVERRIDE",$C284,"DEEP_BROKER_ID_OVERRIDE",AH$24,"DEEP_PERIOD_OVERRIDE",$H$19)*1,"")))</f>
        <v/>
      </c>
      <c r="AI284" t="str">
        <f>IF(OR(AI$23="",ISNA($B284)),"",IF(ISBLANK($B284),"",IFERROR(_xll.BDP(TICKER,"DEEP_MEASURE_PERIOD_BROKER_VALUE","DEEP_MEASURE_ID_OVERRIDE",$C284,"DEEP_BROKER_ID_OVERRIDE",AI$24,"DEEP_PERIOD_OVERRIDE",$H$19)*1,"")))</f>
        <v/>
      </c>
      <c r="AJ284" t="str">
        <f>IF(OR(AJ$23="",ISNA($B284)),"",IF(ISBLANK($B284),"",IFERROR(_xll.BDP(TICKER,"DEEP_MEASURE_PERIOD_BROKER_VALUE","DEEP_MEASURE_ID_OVERRIDE",$C284,"DEEP_BROKER_ID_OVERRIDE",AJ$24,"DEEP_PERIOD_OVERRIDE",$H$19)*1,"")))</f>
        <v/>
      </c>
      <c r="AK284" t="str">
        <f>IF(OR(AK$23="",ISNA($B284)),"",IF(ISBLANK($B284),"",IFERROR(_xll.BDP(TICKER,"DEEP_MEASURE_PERIOD_BROKER_VALUE","DEEP_MEASURE_ID_OVERRIDE",$C284,"DEEP_BROKER_ID_OVERRIDE",AK$24,"DEEP_PERIOD_OVERRIDE",$H$19)*1,"")))</f>
        <v/>
      </c>
      <c r="AL284" t="str">
        <f>IF(OR(AL$23="",ISNA($B284)),"",IF(ISBLANK($B284),"",IFERROR(_xll.BDP(TICKER,"DEEP_MEASURE_PERIOD_BROKER_VALUE","DEEP_MEASURE_ID_OVERRIDE",$C284,"DEEP_BROKER_ID_OVERRIDE",AL$24,"DEEP_PERIOD_OVERRIDE",$H$19)*1,"")))</f>
        <v/>
      </c>
      <c r="AM284" t="str">
        <f>IF(OR(AM$23="",ISNA($B284)),"",IF(ISBLANK($B284),"",IFERROR(_xll.BDP(TICKER,"DEEP_MEASURE_PERIOD_BROKER_VALUE","DEEP_MEASURE_ID_OVERRIDE",$C284,"DEEP_BROKER_ID_OVERRIDE",AM$24,"DEEP_PERIOD_OVERRIDE",$H$19)*1,"")))</f>
        <v/>
      </c>
      <c r="AN284" t="str">
        <f>IF(OR(AN$23="",ISNA($B284)),"",IF(ISBLANK($B284),"",IFERROR(_xll.BDP(TICKER,"DEEP_MEASURE_PERIOD_BROKER_VALUE","DEEP_MEASURE_ID_OVERRIDE",$C284,"DEEP_BROKER_ID_OVERRIDE",AN$24,"DEEP_PERIOD_OVERRIDE",$H$19)*1,"")))</f>
        <v/>
      </c>
      <c r="AO284" t="str">
        <f>IF(OR(AO$23="",ISNA($B284)),"",IF(ISBLANK($B284),"",IFERROR(_xll.BDP(TICKER,"DEEP_MEASURE_PERIOD_BROKER_VALUE","DEEP_MEASURE_ID_OVERRIDE",$C284,"DEEP_BROKER_ID_OVERRIDE",AO$24,"DEEP_PERIOD_OVERRIDE",$H$19)*1,"")))</f>
        <v/>
      </c>
      <c r="AP284" t="str">
        <f>IF(OR(AP$23="",ISNA($B284)),"",IF(ISBLANK($B284),"",IFERROR(_xll.BDP(TICKER,"DEEP_MEASURE_PERIOD_BROKER_VALUE","DEEP_MEASURE_ID_OVERRIDE",$C284,"DEEP_BROKER_ID_OVERRIDE",AP$24,"DEEP_PERIOD_OVERRIDE",$H$19)*1,"")))</f>
        <v/>
      </c>
      <c r="AQ284" t="str">
        <f>IF(OR(AQ$23="",ISNA($B284)),"",IF(ISBLANK($B284),"",IFERROR(_xll.BDP(TICKER,"DEEP_MEASURE_PERIOD_BROKER_VALUE","DEEP_MEASURE_ID_OVERRIDE",$C284,"DEEP_BROKER_ID_OVERRIDE",AQ$24,"DEEP_PERIOD_OVERRIDE",$H$19)*1,"")))</f>
        <v/>
      </c>
      <c r="AR284" t="str">
        <f>IF(OR(AR$23="",ISNA($B284)),"",IF(ISBLANK($B284),"",IFERROR(_xll.BDP(TICKER,"DEEP_MEASURE_PERIOD_BROKER_VALUE","DEEP_MEASURE_ID_OVERRIDE",$C284,"DEEP_BROKER_ID_OVERRIDE",AR$24,"DEEP_PERIOD_OVERRIDE",$H$19)*1,"")))</f>
        <v/>
      </c>
      <c r="AS284" t="str">
        <f>IF(OR(AS$23="",ISNA($B284)),"",IF(ISBLANK($B284),"",IFERROR(_xll.BDP(TICKER,"DEEP_MEASURE_PERIOD_BROKER_VALUE","DEEP_MEASURE_ID_OVERRIDE",$C284,"DEEP_BROKER_ID_OVERRIDE",AS$24,"DEEP_PERIOD_OVERRIDE",$H$19)*1,"")))</f>
        <v/>
      </c>
      <c r="AT284" t="str">
        <f>IF(OR(AT$23="",ISNA($B284)),"",IF(ISBLANK($B284),"",IFERROR(_xll.BDP(TICKER,"DEEP_MEASURE_PERIOD_BROKER_VALUE","DEEP_MEASURE_ID_OVERRIDE",$C284,"DEEP_BROKER_ID_OVERRIDE",AT$24,"DEEP_PERIOD_OVERRIDE",$H$19)*1,"")))</f>
        <v/>
      </c>
      <c r="AU284" t="str">
        <f>IF(OR(AU$23="",ISNA($B284)),"",IF(ISBLANK($B284),"",IFERROR(_xll.BDP(TICKER,"DEEP_MEASURE_PERIOD_BROKER_VALUE","DEEP_MEASURE_ID_OVERRIDE",$C284,"DEEP_BROKER_ID_OVERRIDE",AU$24,"DEEP_PERIOD_OVERRIDE",$H$19)*1,"")))</f>
        <v/>
      </c>
      <c r="AV284" t="str">
        <f>IF(OR(AV$23="",ISNA($B284)),"",IF(ISBLANK($B284),"",IFERROR(_xll.BDP(TICKER,"DEEP_MEASURE_PERIOD_BROKER_VALUE","DEEP_MEASURE_ID_OVERRIDE",$C284,"DEEP_BROKER_ID_OVERRIDE",AV$24,"DEEP_PERIOD_OVERRIDE",$H$19)*1,"")))</f>
        <v/>
      </c>
      <c r="AW284" t="str">
        <f>IF(OR(AW$23="",ISNA($B284)),"",IF(ISBLANK($B284),"",IFERROR(_xll.BDP(TICKER,"DEEP_MEASURE_PERIOD_BROKER_VALUE","DEEP_MEASURE_ID_OVERRIDE",$C284,"DEEP_BROKER_ID_OVERRIDE",AW$24,"DEEP_PERIOD_OVERRIDE",$H$19)*1,"")))</f>
        <v/>
      </c>
      <c r="AX284" t="str">
        <f>IF(OR(AX$23="",ISNA($B284)),"",IF(ISBLANK($B284),"",IFERROR(_xll.BDP(TICKER,"DEEP_MEASURE_PERIOD_BROKER_VALUE","DEEP_MEASURE_ID_OVERRIDE",$C284,"DEEP_BROKER_ID_OVERRIDE",AX$24,"DEEP_PERIOD_OVERRIDE",$H$19)*1,"")))</f>
        <v/>
      </c>
      <c r="AY284" t="str">
        <f>IF(OR(AY$23="",ISNA($B284)),"",IF(ISBLANK($B284),"",IFERROR(_xll.BDP(TICKER,"DEEP_MEASURE_PERIOD_BROKER_VALUE","DEEP_MEASURE_ID_OVERRIDE",$C284,"DEEP_BROKER_ID_OVERRIDE",AY$24,"DEEP_PERIOD_OVERRIDE",$H$19)*1,"")))</f>
        <v/>
      </c>
      <c r="AZ284" t="str">
        <f>IF(OR(AZ$23="",ISNA($B284)),"",IF(ISBLANK($B284),"",IFERROR(_xll.BDP(TICKER,"DEEP_MEASURE_PERIOD_BROKER_VALUE","DEEP_MEASURE_ID_OVERRIDE",$C284,"DEEP_BROKER_ID_OVERRIDE",AZ$24,"DEEP_PERIOD_OVERRIDE",$H$19)*1,"")))</f>
        <v/>
      </c>
      <c r="BA284" t="str">
        <f>IF(OR(BA$23="",ISNA($B284)),"",IF(ISBLANK($B284),"",IFERROR(_xll.BDP(TICKER,"DEEP_MEASURE_PERIOD_BROKER_VALUE","DEEP_MEASURE_ID_OVERRIDE",$C284,"DEEP_BROKER_ID_OVERRIDE",BA$24,"DEEP_PERIOD_OVERRIDE",$H$19)*1,"")))</f>
        <v/>
      </c>
      <c r="BB284" t="str">
        <f>IF(OR(BB$23="",ISNA($B284)),"",IF(ISBLANK($B284),"",IFERROR(_xll.BDP(TICKER,"DEEP_MEASURE_PERIOD_BROKER_VALUE","DEEP_MEASURE_ID_OVERRIDE",$C284,"DEEP_BROKER_ID_OVERRIDE",BB$24,"DEEP_PERIOD_OVERRIDE",$H$19)*1,"")))</f>
        <v/>
      </c>
      <c r="BC284" t="str">
        <f>IF(OR(BC$23="",ISNA($B284)),"",IF(ISBLANK($B284),"",IFERROR(_xll.BDP(TICKER,"DEEP_MEASURE_PERIOD_BROKER_VALUE","DEEP_MEASURE_ID_OVERRIDE",$C284,"DEEP_BROKER_ID_OVERRIDE",BC$24,"DEEP_PERIOD_OVERRIDE",$H$19)*1,"")))</f>
        <v/>
      </c>
      <c r="BD284" t="str">
        <f>IF(OR(BD$23="",ISNA($B284)),"",IF(ISBLANK($B284),"",IFERROR(_xll.BDP(TICKER,"DEEP_MEASURE_PERIOD_BROKER_VALUE","DEEP_MEASURE_ID_OVERRIDE",$C284,"DEEP_BROKER_ID_OVERRIDE",BD$24,"DEEP_PERIOD_OVERRIDE",$H$19)*1,"")))</f>
        <v/>
      </c>
      <c r="BE284" t="str">
        <f>IF(OR(BE$23="",ISNA($B284)),"",IF(ISBLANK($B284),"",IFERROR(_xll.BDP(TICKER,"DEEP_MEASURE_PERIOD_BROKER_VALUE","DEEP_MEASURE_ID_OVERRIDE",$C284,"DEEP_BROKER_ID_OVERRIDE",BE$24,"DEEP_PERIOD_OVERRIDE",$H$19)*1,"")))</f>
        <v/>
      </c>
      <c r="BF284" t="str">
        <f>IF(OR(BF$23="",ISNA($B284)),"",IF(ISBLANK($B284),"",IFERROR(_xll.BDP(TICKER,"DEEP_MEASURE_PERIOD_BROKER_VALUE","DEEP_MEASURE_ID_OVERRIDE",$C284,"DEEP_BROKER_ID_OVERRIDE",BF$24,"DEEP_PERIOD_OVERRIDE",$H$19)*1,"")))</f>
        <v/>
      </c>
      <c r="BG284" t="str">
        <f>IF(OR(BG$23="",ISNA($B284)),"",IF(ISBLANK($B284),"",IFERROR(_xll.BDP(TICKER,"DEEP_MEASURE_PERIOD_BROKER_VALUE","DEEP_MEASURE_ID_OVERRIDE",$C284,"DEEP_BROKER_ID_OVERRIDE",BG$24,"DEEP_PERIOD_OVERRIDE",$H$19)*1,"")))</f>
        <v/>
      </c>
      <c r="BH284" t="str">
        <f>IF(OR(BH$23="",ISNA($B284)),"",IF(ISBLANK($B284),"",IFERROR(_xll.BDP(TICKER,"DEEP_MEASURE_PERIOD_BROKER_VALUE","DEEP_MEASURE_ID_OVERRIDE",$C284,"DEEP_BROKER_ID_OVERRIDE",BH$24,"DEEP_PERIOD_OVERRIDE",$H$19)*1,"")))</f>
        <v/>
      </c>
      <c r="BI284" t="str">
        <f>IF(OR(BI$23="",ISNA($B284)),"",IF(ISBLANK($B284),"",IFERROR(_xll.BDP(TICKER,"DEEP_MEASURE_PERIOD_BROKER_VALUE","DEEP_MEASURE_ID_OVERRIDE",$C284,"DEEP_BROKER_ID_OVERRIDE",BI$24,"DEEP_PERIOD_OVERRIDE",$H$19)*1,"")))</f>
        <v/>
      </c>
      <c r="BJ284" t="str">
        <f>IF(OR(BJ$23="",ISNA($B284)),"",IF(ISBLANK($B284),"",IFERROR(_xll.BDP(TICKER,"DEEP_MEASURE_PERIOD_BROKER_VALUE","DEEP_MEASURE_ID_OVERRIDE",$C284,"DEEP_BROKER_ID_OVERRIDE",BJ$24,"DEEP_PERIOD_OVERRIDE",$H$19)*1,"")))</f>
        <v/>
      </c>
      <c r="BK284" t="str">
        <f>IF(OR(BK$23="",ISNA($B284)),"",IF(ISBLANK($B284),"",IFERROR(_xll.BDP(TICKER,"DEEP_MEASURE_PERIOD_BROKER_VALUE","DEEP_MEASURE_ID_OVERRIDE",$C284,"DEEP_BROKER_ID_OVERRIDE",BK$24,"DEEP_PERIOD_OVERRIDE",$H$19)*1,"")))</f>
        <v/>
      </c>
      <c r="BL284" t="str">
        <f>IF(OR(BL$23="",ISNA($B284)),"",IF(ISBLANK($B284),"",IFERROR(_xll.BDP(TICKER,"DEEP_MEASURE_PERIOD_BROKER_VALUE","DEEP_MEASURE_ID_OVERRIDE",$C284,"DEEP_BROKER_ID_OVERRIDE",BL$24,"DEEP_PERIOD_OVERRIDE",$H$19)*1,"")))</f>
        <v/>
      </c>
      <c r="BM284" t="str">
        <f>IF(OR(BM$23="",ISNA($B284)),"",IF(ISBLANK($B284),"",IFERROR(_xll.BDP(TICKER,"DEEP_MEASURE_PERIOD_BROKER_VALUE","DEEP_MEASURE_ID_OVERRIDE",$C284,"DEEP_BROKER_ID_OVERRIDE",BM$24,"DEEP_PERIOD_OVERRIDE",$H$19)*1,"")))</f>
        <v/>
      </c>
      <c r="BN284" t="str">
        <f>IF(OR(BN$23="",ISNA($B284)),"",IF(ISBLANK($B284),"",IFERROR(_xll.BDP(TICKER,"DEEP_MEASURE_PERIOD_BROKER_VALUE","DEEP_MEASURE_ID_OVERRIDE",$C284,"DEEP_BROKER_ID_OVERRIDE",BN$24,"DEEP_PERIOD_OVERRIDE",$H$19)*1,"")))</f>
        <v/>
      </c>
      <c r="BO284" t="str">
        <f>IF(OR(BO$23="",ISNA($B284)),"",IF(ISBLANK($B284),"",IFERROR(_xll.BDP(TICKER,"DEEP_MEASURE_PERIOD_BROKER_VALUE","DEEP_MEASURE_ID_OVERRIDE",$C284,"DEEP_BROKER_ID_OVERRIDE",BO$24,"DEEP_PERIOD_OVERRIDE",$H$19)*1,"")))</f>
        <v/>
      </c>
      <c r="BP284" t="str">
        <f>IF(OR(BP$23="",ISNA($B284)),"",IF(ISBLANK($B284),"",IFERROR(_xll.BDP(TICKER,"DEEP_MEASURE_PERIOD_BROKER_VALUE","DEEP_MEASURE_ID_OVERRIDE",$C284,"DEEP_BROKER_ID_OVERRIDE",BP$24,"DEEP_PERIOD_OVERRIDE",$H$19)*1,"")))</f>
        <v/>
      </c>
      <c r="BQ284" t="str">
        <f>IF(OR(BQ$23="",ISNA($B284)),"",IF(ISBLANK($B284),"",IFERROR(_xll.BDP(TICKER,"DEEP_MEASURE_PERIOD_BROKER_VALUE","DEEP_MEASURE_ID_OVERRIDE",$C284,"DEEP_BROKER_ID_OVERRIDE",BQ$24,"DEEP_PERIOD_OVERRIDE",$H$19)*1,"")))</f>
        <v/>
      </c>
      <c r="BR284" t="str">
        <f>IF(OR(BR$23="",ISNA($B284)),"",IF(ISBLANK($B284),"",IFERROR(_xll.BDP(TICKER,"DEEP_MEASURE_PERIOD_BROKER_VALUE","DEEP_MEASURE_ID_OVERRIDE",$C284,"DEEP_BROKER_ID_OVERRIDE",BR$24,"DEEP_PERIOD_OVERRIDE",$H$19)*1,"")))</f>
        <v/>
      </c>
      <c r="BS284" t="str">
        <f>IF(OR(BS$23="",ISNA($B284)),"",IF(ISBLANK($B284),"",IFERROR(_xll.BDP(TICKER,"DEEP_MEASURE_PERIOD_BROKER_VALUE","DEEP_MEASURE_ID_OVERRIDE",$C284,"DEEP_BROKER_ID_OVERRIDE",BS$24,"DEEP_PERIOD_OVERRIDE",$H$19)*1,"")))</f>
        <v/>
      </c>
      <c r="BT284" t="str">
        <f>IF(OR(BT$23="",ISNA($B284)),"",IF(ISBLANK($B284),"",IFERROR(_xll.BDP(TICKER,"DEEP_MEASURE_PERIOD_BROKER_VALUE","DEEP_MEASURE_ID_OVERRIDE",$C284,"DEEP_BROKER_ID_OVERRIDE",BT$24,"DEEP_PERIOD_OVERRIDE",$H$19)*1,"")))</f>
        <v/>
      </c>
      <c r="BU284" t="str">
        <f>IF(OR(BU$23="",ISNA($B284)),"",IF(ISBLANK($B284),"",IFERROR(_xll.BDP(TICKER,"DEEP_MEASURE_PERIOD_BROKER_VALUE","DEEP_MEASURE_ID_OVERRIDE",$C284,"DEEP_BROKER_ID_OVERRIDE",BU$24,"DEEP_PERIOD_OVERRIDE",$H$19)*1,"")))</f>
        <v/>
      </c>
      <c r="BV284" t="str">
        <f>IF(OR(BV$23="",ISNA($B284)),"",IF(ISBLANK($B284),"",IFERROR(_xll.BDP(TICKER,"DEEP_MEASURE_PERIOD_BROKER_VALUE","DEEP_MEASURE_ID_OVERRIDE",$C284,"DEEP_BROKER_ID_OVERRIDE",BV$24,"DEEP_PERIOD_OVERRIDE",$H$19)*1,"")))</f>
        <v/>
      </c>
      <c r="BW284" t="str">
        <f>IF(OR(BW$23="",ISNA($B284)),"",IF(ISBLANK($B284),"",IFERROR(_xll.BDP(TICKER,"DEEP_MEASURE_PERIOD_BROKER_VALUE","DEEP_MEASURE_ID_OVERRIDE",$C284,"DEEP_BROKER_ID_OVERRIDE",BW$24,"DEEP_PERIOD_OVERRIDE",$H$19)*1,"")))</f>
        <v/>
      </c>
      <c r="BX284" t="str">
        <f>IF(OR(BX$23="",ISNA($B284)),"",IF(ISBLANK($B284),"",IFERROR(_xll.BDP(TICKER,"DEEP_MEASURE_PERIOD_BROKER_VALUE","DEEP_MEASURE_ID_OVERRIDE",$C284,"DEEP_BROKER_ID_OVERRIDE",BX$24,"DEEP_PERIOD_OVERRIDE",$H$19)*1,"")))</f>
        <v/>
      </c>
      <c r="BY284" t="str">
        <f>IF(OR(BY$23="",ISNA($B284)),"",IF(ISBLANK($B284),"",IFERROR(_xll.BDP(TICKER,"DEEP_MEASURE_PERIOD_BROKER_VALUE","DEEP_MEASURE_ID_OVERRIDE",$C284,"DEEP_BROKER_ID_OVERRIDE",BY$24,"DEEP_PERIOD_OVERRIDE",$H$19)*1,"")))</f>
        <v/>
      </c>
      <c r="BZ284" t="str">
        <f>IF(OR(BZ$23="",ISNA($B284)),"",IF(ISBLANK($B284),"",IFERROR(_xll.BDP(TICKER,"DEEP_MEASURE_PERIOD_BROKER_VALUE","DEEP_MEASURE_ID_OVERRIDE",$C284,"DEEP_BROKER_ID_OVERRIDE",BZ$24,"DEEP_PERIOD_OVERRIDE",$H$19)*1,"")))</f>
        <v/>
      </c>
    </row>
    <row r="285" spans="8:78" x14ac:dyDescent="0.25">
      <c r="H285" t="str">
        <f t="shared" si="5"/>
        <v/>
      </c>
      <c r="I285" t="str">
        <f>IF(OR(I$23="",ISNA($B285)),"",IF(ISBLANK($B285),"",IFERROR(_xll.BDP(TICKER,"DEEP_MEASURE_PERIOD_BROKER_VALUE","DEEP_MEASURE_ID_OVERRIDE",$C285,"DEEP_PERIOD_OVERRIDE",$H$19)*1,"")))</f>
        <v/>
      </c>
      <c r="J285" t="e">
        <f>IF(OR(J$23="",ISNA($B285)),"",IF(ISBLANK($B285),"",IFERROR(_xll.BDP(TICKER,"DEEP_MEASURE_PERIOD_BROKER_VALUE","DEEP_MEASURE_ID_OVERRIDE",$C285,"DEEP_BROKER_ID_OVERRIDE",J$24,"DEEP_PERIOD_OVERRIDE",$H$19)*1,"")))</f>
        <v>#REF!</v>
      </c>
      <c r="K285" t="str">
        <f>IF(OR(K$23="",ISNA($B285)),"",IF(ISBLANK($B285),"",IFERROR(_xll.BDP(TICKER,"DEEP_MEASURE_PERIOD_BROKER_VALUE","DEEP_MEASURE_ID_OVERRIDE",$C285,"DEEP_BROKER_ID_OVERRIDE",K$24,"DEEP_PERIOD_OVERRIDE",$H$19)*1,"")))</f>
        <v/>
      </c>
      <c r="L285" t="str">
        <f>IF(OR(L$23="",ISNA($B285)),"",IF(ISBLANK($B285),"",IFERROR(_xll.BDP(TICKER,"DEEP_MEASURE_PERIOD_BROKER_VALUE","DEEP_MEASURE_ID_OVERRIDE",$C285,"DEEP_BROKER_ID_OVERRIDE",L$24,"DEEP_PERIOD_OVERRIDE",$H$19)*1,"")))</f>
        <v/>
      </c>
      <c r="M285" t="str">
        <f>IF(OR(M$23="",ISNA($B285)),"",IF(ISBLANK($B285),"",IFERROR(_xll.BDP(TICKER,"DEEP_MEASURE_PERIOD_BROKER_VALUE","DEEP_MEASURE_ID_OVERRIDE",$C285,"DEEP_BROKER_ID_OVERRIDE",M$24,"DEEP_PERIOD_OVERRIDE",$H$19)*1,"")))</f>
        <v/>
      </c>
      <c r="N285" t="str">
        <f>IF(OR(N$23="",ISNA($B285)),"",IF(ISBLANK($B285),"",IFERROR(_xll.BDP(TICKER,"DEEP_MEASURE_PERIOD_BROKER_VALUE","DEEP_MEASURE_ID_OVERRIDE",$C285,"DEEP_BROKER_ID_OVERRIDE",N$24,"DEEP_PERIOD_OVERRIDE",$H$19)*1,"")))</f>
        <v/>
      </c>
      <c r="O285" t="str">
        <f>IF(OR(O$23="",ISNA($B285)),"",IF(ISBLANK($B285),"",IFERROR(_xll.BDP(TICKER,"DEEP_MEASURE_PERIOD_BROKER_VALUE","DEEP_MEASURE_ID_OVERRIDE",$C285,"DEEP_BROKER_ID_OVERRIDE",O$24,"DEEP_PERIOD_OVERRIDE",$H$19)*1,"")))</f>
        <v/>
      </c>
      <c r="P285" t="str">
        <f>IF(OR(P$23="",ISNA($B285)),"",IF(ISBLANK($B285),"",IFERROR(_xll.BDP(TICKER,"DEEP_MEASURE_PERIOD_BROKER_VALUE","DEEP_MEASURE_ID_OVERRIDE",$C285,"DEEP_BROKER_ID_OVERRIDE",P$24,"DEEP_PERIOD_OVERRIDE",$H$19)*1,"")))</f>
        <v/>
      </c>
      <c r="Q285" t="str">
        <f>IF(OR(Q$23="",ISNA($B285)),"",IF(ISBLANK($B285),"",IFERROR(_xll.BDP(TICKER,"DEEP_MEASURE_PERIOD_BROKER_VALUE","DEEP_MEASURE_ID_OVERRIDE",$C285,"DEEP_BROKER_ID_OVERRIDE",Q$24,"DEEP_PERIOD_OVERRIDE",$H$19)*1,"")))</f>
        <v/>
      </c>
      <c r="R285" t="str">
        <f>IF(OR(R$23="",ISNA($B285)),"",IF(ISBLANK($B285),"",IFERROR(_xll.BDP(TICKER,"DEEP_MEASURE_PERIOD_BROKER_VALUE","DEEP_MEASURE_ID_OVERRIDE",$C285,"DEEP_BROKER_ID_OVERRIDE",R$24,"DEEP_PERIOD_OVERRIDE",$H$19)*1,"")))</f>
        <v/>
      </c>
      <c r="S285" t="str">
        <f>IF(OR(S$23="",ISNA($B285)),"",IF(ISBLANK($B285),"",IFERROR(_xll.BDP(TICKER,"DEEP_MEASURE_PERIOD_BROKER_VALUE","DEEP_MEASURE_ID_OVERRIDE",$C285,"DEEP_BROKER_ID_OVERRIDE",S$24,"DEEP_PERIOD_OVERRIDE",$H$19)*1,"")))</f>
        <v/>
      </c>
      <c r="T285" t="str">
        <f>IF(OR(T$23="",ISNA($B285)),"",IF(ISBLANK($B285),"",IFERROR(_xll.BDP(TICKER,"DEEP_MEASURE_PERIOD_BROKER_VALUE","DEEP_MEASURE_ID_OVERRIDE",$C285,"DEEP_BROKER_ID_OVERRIDE",T$24,"DEEP_PERIOD_OVERRIDE",$H$19)*1,"")))</f>
        <v/>
      </c>
      <c r="U285" t="str">
        <f>IF(OR(U$23="",ISNA($B285)),"",IF(ISBLANK($B285),"",IFERROR(_xll.BDP(TICKER,"DEEP_MEASURE_PERIOD_BROKER_VALUE","DEEP_MEASURE_ID_OVERRIDE",$C285,"DEEP_BROKER_ID_OVERRIDE",U$24,"DEEP_PERIOD_OVERRIDE",$H$19)*1,"")))</f>
        <v/>
      </c>
      <c r="V285" t="str">
        <f>IF(OR(V$23="",ISNA($B285)),"",IF(ISBLANK($B285),"",IFERROR(_xll.BDP(TICKER,"DEEP_MEASURE_PERIOD_BROKER_VALUE","DEEP_MEASURE_ID_OVERRIDE",$C285,"DEEP_BROKER_ID_OVERRIDE",V$24,"DEEP_PERIOD_OVERRIDE",$H$19)*1,"")))</f>
        <v/>
      </c>
      <c r="W285" t="str">
        <f>IF(OR(W$23="",ISNA($B285)),"",IF(ISBLANK($B285),"",IFERROR(_xll.BDP(TICKER,"DEEP_MEASURE_PERIOD_BROKER_VALUE","DEEP_MEASURE_ID_OVERRIDE",$C285,"DEEP_BROKER_ID_OVERRIDE",W$24,"DEEP_PERIOD_OVERRIDE",$H$19)*1,"")))</f>
        <v/>
      </c>
      <c r="X285" t="str">
        <f>IF(OR(X$23="",ISNA($B285)),"",IF(ISBLANK($B285),"",IFERROR(_xll.BDP(TICKER,"DEEP_MEASURE_PERIOD_BROKER_VALUE","DEEP_MEASURE_ID_OVERRIDE",$C285,"DEEP_BROKER_ID_OVERRIDE",X$24,"DEEP_PERIOD_OVERRIDE",$H$19)*1,"")))</f>
        <v/>
      </c>
      <c r="Y285" t="str">
        <f>IF(OR(Y$23="",ISNA($B285)),"",IF(ISBLANK($B285),"",IFERROR(_xll.BDP(TICKER,"DEEP_MEASURE_PERIOD_BROKER_VALUE","DEEP_MEASURE_ID_OVERRIDE",$C285,"DEEP_BROKER_ID_OVERRIDE",Y$24,"DEEP_PERIOD_OVERRIDE",$H$19)*1,"")))</f>
        <v/>
      </c>
      <c r="Z285" t="str">
        <f>IF(OR(Z$23="",ISNA($B285)),"",IF(ISBLANK($B285),"",IFERROR(_xll.BDP(TICKER,"DEEP_MEASURE_PERIOD_BROKER_VALUE","DEEP_MEASURE_ID_OVERRIDE",$C285,"DEEP_BROKER_ID_OVERRIDE",Z$24,"DEEP_PERIOD_OVERRIDE",$H$19)*1,"")))</f>
        <v/>
      </c>
      <c r="AA285" t="str">
        <f>IF(OR(AA$23="",ISNA($B285)),"",IF(ISBLANK($B285),"",IFERROR(_xll.BDP(TICKER,"DEEP_MEASURE_PERIOD_BROKER_VALUE","DEEP_MEASURE_ID_OVERRIDE",$C285,"DEEP_BROKER_ID_OVERRIDE",AA$24,"DEEP_PERIOD_OVERRIDE",$H$19)*1,"")))</f>
        <v/>
      </c>
      <c r="AB285" t="str">
        <f>IF(OR(AB$23="",ISNA($B285)),"",IF(ISBLANK($B285),"",IFERROR(_xll.BDP(TICKER,"DEEP_MEASURE_PERIOD_BROKER_VALUE","DEEP_MEASURE_ID_OVERRIDE",$C285,"DEEP_BROKER_ID_OVERRIDE",AB$24,"DEEP_PERIOD_OVERRIDE",$H$19)*1,"")))</f>
        <v/>
      </c>
      <c r="AC285" t="str">
        <f>IF(OR(AC$23="",ISNA($B285)),"",IF(ISBLANK($B285),"",IFERROR(_xll.BDP(TICKER,"DEEP_MEASURE_PERIOD_BROKER_VALUE","DEEP_MEASURE_ID_OVERRIDE",$C285,"DEEP_BROKER_ID_OVERRIDE",AC$24,"DEEP_PERIOD_OVERRIDE",$H$19)*1,"")))</f>
        <v/>
      </c>
      <c r="AD285" t="str">
        <f>IF(OR(AD$23="",ISNA($B285)),"",IF(ISBLANK($B285),"",IFERROR(_xll.BDP(TICKER,"DEEP_MEASURE_PERIOD_BROKER_VALUE","DEEP_MEASURE_ID_OVERRIDE",$C285,"DEEP_BROKER_ID_OVERRIDE",AD$24,"DEEP_PERIOD_OVERRIDE",$H$19)*1,"")))</f>
        <v/>
      </c>
      <c r="AE285" t="str">
        <f>IF(OR(AE$23="",ISNA($B285)),"",IF(ISBLANK($B285),"",IFERROR(_xll.BDP(TICKER,"DEEP_MEASURE_PERIOD_BROKER_VALUE","DEEP_MEASURE_ID_OVERRIDE",$C285,"DEEP_BROKER_ID_OVERRIDE",AE$24,"DEEP_PERIOD_OVERRIDE",$H$19)*1,"")))</f>
        <v/>
      </c>
      <c r="AF285" t="str">
        <f>IF(OR(AF$23="",ISNA($B285)),"",IF(ISBLANK($B285),"",IFERROR(_xll.BDP(TICKER,"DEEP_MEASURE_PERIOD_BROKER_VALUE","DEEP_MEASURE_ID_OVERRIDE",$C285,"DEEP_BROKER_ID_OVERRIDE",AF$24,"DEEP_PERIOD_OVERRIDE",$H$19)*1,"")))</f>
        <v/>
      </c>
      <c r="AG285" t="str">
        <f>IF(OR(AG$23="",ISNA($B285)),"",IF(ISBLANK($B285),"",IFERROR(_xll.BDP(TICKER,"DEEP_MEASURE_PERIOD_BROKER_VALUE","DEEP_MEASURE_ID_OVERRIDE",$C285,"DEEP_BROKER_ID_OVERRIDE",AG$24,"DEEP_PERIOD_OVERRIDE",$H$19)*1,"")))</f>
        <v/>
      </c>
      <c r="AH285" t="str">
        <f>IF(OR(AH$23="",ISNA($B285)),"",IF(ISBLANK($B285),"",IFERROR(_xll.BDP(TICKER,"DEEP_MEASURE_PERIOD_BROKER_VALUE","DEEP_MEASURE_ID_OVERRIDE",$C285,"DEEP_BROKER_ID_OVERRIDE",AH$24,"DEEP_PERIOD_OVERRIDE",$H$19)*1,"")))</f>
        <v/>
      </c>
      <c r="AI285" t="str">
        <f>IF(OR(AI$23="",ISNA($B285)),"",IF(ISBLANK($B285),"",IFERROR(_xll.BDP(TICKER,"DEEP_MEASURE_PERIOD_BROKER_VALUE","DEEP_MEASURE_ID_OVERRIDE",$C285,"DEEP_BROKER_ID_OVERRIDE",AI$24,"DEEP_PERIOD_OVERRIDE",$H$19)*1,"")))</f>
        <v/>
      </c>
      <c r="AJ285" t="str">
        <f>IF(OR(AJ$23="",ISNA($B285)),"",IF(ISBLANK($B285),"",IFERROR(_xll.BDP(TICKER,"DEEP_MEASURE_PERIOD_BROKER_VALUE","DEEP_MEASURE_ID_OVERRIDE",$C285,"DEEP_BROKER_ID_OVERRIDE",AJ$24,"DEEP_PERIOD_OVERRIDE",$H$19)*1,"")))</f>
        <v/>
      </c>
      <c r="AK285" t="str">
        <f>IF(OR(AK$23="",ISNA($B285)),"",IF(ISBLANK($B285),"",IFERROR(_xll.BDP(TICKER,"DEEP_MEASURE_PERIOD_BROKER_VALUE","DEEP_MEASURE_ID_OVERRIDE",$C285,"DEEP_BROKER_ID_OVERRIDE",AK$24,"DEEP_PERIOD_OVERRIDE",$H$19)*1,"")))</f>
        <v/>
      </c>
      <c r="AL285" t="str">
        <f>IF(OR(AL$23="",ISNA($B285)),"",IF(ISBLANK($B285),"",IFERROR(_xll.BDP(TICKER,"DEEP_MEASURE_PERIOD_BROKER_VALUE","DEEP_MEASURE_ID_OVERRIDE",$C285,"DEEP_BROKER_ID_OVERRIDE",AL$24,"DEEP_PERIOD_OVERRIDE",$H$19)*1,"")))</f>
        <v/>
      </c>
      <c r="AM285" t="str">
        <f>IF(OR(AM$23="",ISNA($B285)),"",IF(ISBLANK($B285),"",IFERROR(_xll.BDP(TICKER,"DEEP_MEASURE_PERIOD_BROKER_VALUE","DEEP_MEASURE_ID_OVERRIDE",$C285,"DEEP_BROKER_ID_OVERRIDE",AM$24,"DEEP_PERIOD_OVERRIDE",$H$19)*1,"")))</f>
        <v/>
      </c>
      <c r="AN285" t="str">
        <f>IF(OR(AN$23="",ISNA($B285)),"",IF(ISBLANK($B285),"",IFERROR(_xll.BDP(TICKER,"DEEP_MEASURE_PERIOD_BROKER_VALUE","DEEP_MEASURE_ID_OVERRIDE",$C285,"DEEP_BROKER_ID_OVERRIDE",AN$24,"DEEP_PERIOD_OVERRIDE",$H$19)*1,"")))</f>
        <v/>
      </c>
      <c r="AO285" t="str">
        <f>IF(OR(AO$23="",ISNA($B285)),"",IF(ISBLANK($B285),"",IFERROR(_xll.BDP(TICKER,"DEEP_MEASURE_PERIOD_BROKER_VALUE","DEEP_MEASURE_ID_OVERRIDE",$C285,"DEEP_BROKER_ID_OVERRIDE",AO$24,"DEEP_PERIOD_OVERRIDE",$H$19)*1,"")))</f>
        <v/>
      </c>
      <c r="AP285" t="str">
        <f>IF(OR(AP$23="",ISNA($B285)),"",IF(ISBLANK($B285),"",IFERROR(_xll.BDP(TICKER,"DEEP_MEASURE_PERIOD_BROKER_VALUE","DEEP_MEASURE_ID_OVERRIDE",$C285,"DEEP_BROKER_ID_OVERRIDE",AP$24,"DEEP_PERIOD_OVERRIDE",$H$19)*1,"")))</f>
        <v/>
      </c>
      <c r="AQ285" t="str">
        <f>IF(OR(AQ$23="",ISNA($B285)),"",IF(ISBLANK($B285),"",IFERROR(_xll.BDP(TICKER,"DEEP_MEASURE_PERIOD_BROKER_VALUE","DEEP_MEASURE_ID_OVERRIDE",$C285,"DEEP_BROKER_ID_OVERRIDE",AQ$24,"DEEP_PERIOD_OVERRIDE",$H$19)*1,"")))</f>
        <v/>
      </c>
      <c r="AR285" t="str">
        <f>IF(OR(AR$23="",ISNA($B285)),"",IF(ISBLANK($B285),"",IFERROR(_xll.BDP(TICKER,"DEEP_MEASURE_PERIOD_BROKER_VALUE","DEEP_MEASURE_ID_OVERRIDE",$C285,"DEEP_BROKER_ID_OVERRIDE",AR$24,"DEEP_PERIOD_OVERRIDE",$H$19)*1,"")))</f>
        <v/>
      </c>
      <c r="AS285" t="str">
        <f>IF(OR(AS$23="",ISNA($B285)),"",IF(ISBLANK($B285),"",IFERROR(_xll.BDP(TICKER,"DEEP_MEASURE_PERIOD_BROKER_VALUE","DEEP_MEASURE_ID_OVERRIDE",$C285,"DEEP_BROKER_ID_OVERRIDE",AS$24,"DEEP_PERIOD_OVERRIDE",$H$19)*1,"")))</f>
        <v/>
      </c>
      <c r="AT285" t="str">
        <f>IF(OR(AT$23="",ISNA($B285)),"",IF(ISBLANK($B285),"",IFERROR(_xll.BDP(TICKER,"DEEP_MEASURE_PERIOD_BROKER_VALUE","DEEP_MEASURE_ID_OVERRIDE",$C285,"DEEP_BROKER_ID_OVERRIDE",AT$24,"DEEP_PERIOD_OVERRIDE",$H$19)*1,"")))</f>
        <v/>
      </c>
      <c r="AU285" t="str">
        <f>IF(OR(AU$23="",ISNA($B285)),"",IF(ISBLANK($B285),"",IFERROR(_xll.BDP(TICKER,"DEEP_MEASURE_PERIOD_BROKER_VALUE","DEEP_MEASURE_ID_OVERRIDE",$C285,"DEEP_BROKER_ID_OVERRIDE",AU$24,"DEEP_PERIOD_OVERRIDE",$H$19)*1,"")))</f>
        <v/>
      </c>
      <c r="AV285" t="str">
        <f>IF(OR(AV$23="",ISNA($B285)),"",IF(ISBLANK($B285),"",IFERROR(_xll.BDP(TICKER,"DEEP_MEASURE_PERIOD_BROKER_VALUE","DEEP_MEASURE_ID_OVERRIDE",$C285,"DEEP_BROKER_ID_OVERRIDE",AV$24,"DEEP_PERIOD_OVERRIDE",$H$19)*1,"")))</f>
        <v/>
      </c>
      <c r="AW285" t="str">
        <f>IF(OR(AW$23="",ISNA($B285)),"",IF(ISBLANK($B285),"",IFERROR(_xll.BDP(TICKER,"DEEP_MEASURE_PERIOD_BROKER_VALUE","DEEP_MEASURE_ID_OVERRIDE",$C285,"DEEP_BROKER_ID_OVERRIDE",AW$24,"DEEP_PERIOD_OVERRIDE",$H$19)*1,"")))</f>
        <v/>
      </c>
      <c r="AX285" t="str">
        <f>IF(OR(AX$23="",ISNA($B285)),"",IF(ISBLANK($B285),"",IFERROR(_xll.BDP(TICKER,"DEEP_MEASURE_PERIOD_BROKER_VALUE","DEEP_MEASURE_ID_OVERRIDE",$C285,"DEEP_BROKER_ID_OVERRIDE",AX$24,"DEEP_PERIOD_OVERRIDE",$H$19)*1,"")))</f>
        <v/>
      </c>
      <c r="AY285" t="str">
        <f>IF(OR(AY$23="",ISNA($B285)),"",IF(ISBLANK($B285),"",IFERROR(_xll.BDP(TICKER,"DEEP_MEASURE_PERIOD_BROKER_VALUE","DEEP_MEASURE_ID_OVERRIDE",$C285,"DEEP_BROKER_ID_OVERRIDE",AY$24,"DEEP_PERIOD_OVERRIDE",$H$19)*1,"")))</f>
        <v/>
      </c>
      <c r="AZ285" t="str">
        <f>IF(OR(AZ$23="",ISNA($B285)),"",IF(ISBLANK($B285),"",IFERROR(_xll.BDP(TICKER,"DEEP_MEASURE_PERIOD_BROKER_VALUE","DEEP_MEASURE_ID_OVERRIDE",$C285,"DEEP_BROKER_ID_OVERRIDE",AZ$24,"DEEP_PERIOD_OVERRIDE",$H$19)*1,"")))</f>
        <v/>
      </c>
      <c r="BA285" t="str">
        <f>IF(OR(BA$23="",ISNA($B285)),"",IF(ISBLANK($B285),"",IFERROR(_xll.BDP(TICKER,"DEEP_MEASURE_PERIOD_BROKER_VALUE","DEEP_MEASURE_ID_OVERRIDE",$C285,"DEEP_BROKER_ID_OVERRIDE",BA$24,"DEEP_PERIOD_OVERRIDE",$H$19)*1,"")))</f>
        <v/>
      </c>
      <c r="BB285" t="str">
        <f>IF(OR(BB$23="",ISNA($B285)),"",IF(ISBLANK($B285),"",IFERROR(_xll.BDP(TICKER,"DEEP_MEASURE_PERIOD_BROKER_VALUE","DEEP_MEASURE_ID_OVERRIDE",$C285,"DEEP_BROKER_ID_OVERRIDE",BB$24,"DEEP_PERIOD_OVERRIDE",$H$19)*1,"")))</f>
        <v/>
      </c>
      <c r="BC285" t="str">
        <f>IF(OR(BC$23="",ISNA($B285)),"",IF(ISBLANK($B285),"",IFERROR(_xll.BDP(TICKER,"DEEP_MEASURE_PERIOD_BROKER_VALUE","DEEP_MEASURE_ID_OVERRIDE",$C285,"DEEP_BROKER_ID_OVERRIDE",BC$24,"DEEP_PERIOD_OVERRIDE",$H$19)*1,"")))</f>
        <v/>
      </c>
      <c r="BD285" t="str">
        <f>IF(OR(BD$23="",ISNA($B285)),"",IF(ISBLANK($B285),"",IFERROR(_xll.BDP(TICKER,"DEEP_MEASURE_PERIOD_BROKER_VALUE","DEEP_MEASURE_ID_OVERRIDE",$C285,"DEEP_BROKER_ID_OVERRIDE",BD$24,"DEEP_PERIOD_OVERRIDE",$H$19)*1,"")))</f>
        <v/>
      </c>
      <c r="BE285" t="str">
        <f>IF(OR(BE$23="",ISNA($B285)),"",IF(ISBLANK($B285),"",IFERROR(_xll.BDP(TICKER,"DEEP_MEASURE_PERIOD_BROKER_VALUE","DEEP_MEASURE_ID_OVERRIDE",$C285,"DEEP_BROKER_ID_OVERRIDE",BE$24,"DEEP_PERIOD_OVERRIDE",$H$19)*1,"")))</f>
        <v/>
      </c>
      <c r="BF285" t="str">
        <f>IF(OR(BF$23="",ISNA($B285)),"",IF(ISBLANK($B285),"",IFERROR(_xll.BDP(TICKER,"DEEP_MEASURE_PERIOD_BROKER_VALUE","DEEP_MEASURE_ID_OVERRIDE",$C285,"DEEP_BROKER_ID_OVERRIDE",BF$24,"DEEP_PERIOD_OVERRIDE",$H$19)*1,"")))</f>
        <v/>
      </c>
      <c r="BG285" t="str">
        <f>IF(OR(BG$23="",ISNA($B285)),"",IF(ISBLANK($B285),"",IFERROR(_xll.BDP(TICKER,"DEEP_MEASURE_PERIOD_BROKER_VALUE","DEEP_MEASURE_ID_OVERRIDE",$C285,"DEEP_BROKER_ID_OVERRIDE",BG$24,"DEEP_PERIOD_OVERRIDE",$H$19)*1,"")))</f>
        <v/>
      </c>
      <c r="BH285" t="str">
        <f>IF(OR(BH$23="",ISNA($B285)),"",IF(ISBLANK($B285),"",IFERROR(_xll.BDP(TICKER,"DEEP_MEASURE_PERIOD_BROKER_VALUE","DEEP_MEASURE_ID_OVERRIDE",$C285,"DEEP_BROKER_ID_OVERRIDE",BH$24,"DEEP_PERIOD_OVERRIDE",$H$19)*1,"")))</f>
        <v/>
      </c>
      <c r="BI285" t="str">
        <f>IF(OR(BI$23="",ISNA($B285)),"",IF(ISBLANK($B285),"",IFERROR(_xll.BDP(TICKER,"DEEP_MEASURE_PERIOD_BROKER_VALUE","DEEP_MEASURE_ID_OVERRIDE",$C285,"DEEP_BROKER_ID_OVERRIDE",BI$24,"DEEP_PERIOD_OVERRIDE",$H$19)*1,"")))</f>
        <v/>
      </c>
      <c r="BJ285" t="str">
        <f>IF(OR(BJ$23="",ISNA($B285)),"",IF(ISBLANK($B285),"",IFERROR(_xll.BDP(TICKER,"DEEP_MEASURE_PERIOD_BROKER_VALUE","DEEP_MEASURE_ID_OVERRIDE",$C285,"DEEP_BROKER_ID_OVERRIDE",BJ$24,"DEEP_PERIOD_OVERRIDE",$H$19)*1,"")))</f>
        <v/>
      </c>
      <c r="BK285" t="str">
        <f>IF(OR(BK$23="",ISNA($B285)),"",IF(ISBLANK($B285),"",IFERROR(_xll.BDP(TICKER,"DEEP_MEASURE_PERIOD_BROKER_VALUE","DEEP_MEASURE_ID_OVERRIDE",$C285,"DEEP_BROKER_ID_OVERRIDE",BK$24,"DEEP_PERIOD_OVERRIDE",$H$19)*1,"")))</f>
        <v/>
      </c>
      <c r="BL285" t="str">
        <f>IF(OR(BL$23="",ISNA($B285)),"",IF(ISBLANK($B285),"",IFERROR(_xll.BDP(TICKER,"DEEP_MEASURE_PERIOD_BROKER_VALUE","DEEP_MEASURE_ID_OVERRIDE",$C285,"DEEP_BROKER_ID_OVERRIDE",BL$24,"DEEP_PERIOD_OVERRIDE",$H$19)*1,"")))</f>
        <v/>
      </c>
      <c r="BM285" t="str">
        <f>IF(OR(BM$23="",ISNA($B285)),"",IF(ISBLANK($B285),"",IFERROR(_xll.BDP(TICKER,"DEEP_MEASURE_PERIOD_BROKER_VALUE","DEEP_MEASURE_ID_OVERRIDE",$C285,"DEEP_BROKER_ID_OVERRIDE",BM$24,"DEEP_PERIOD_OVERRIDE",$H$19)*1,"")))</f>
        <v/>
      </c>
      <c r="BN285" t="str">
        <f>IF(OR(BN$23="",ISNA($B285)),"",IF(ISBLANK($B285),"",IFERROR(_xll.BDP(TICKER,"DEEP_MEASURE_PERIOD_BROKER_VALUE","DEEP_MEASURE_ID_OVERRIDE",$C285,"DEEP_BROKER_ID_OVERRIDE",BN$24,"DEEP_PERIOD_OVERRIDE",$H$19)*1,"")))</f>
        <v/>
      </c>
      <c r="BO285" t="str">
        <f>IF(OR(BO$23="",ISNA($B285)),"",IF(ISBLANK($B285),"",IFERROR(_xll.BDP(TICKER,"DEEP_MEASURE_PERIOD_BROKER_VALUE","DEEP_MEASURE_ID_OVERRIDE",$C285,"DEEP_BROKER_ID_OVERRIDE",BO$24,"DEEP_PERIOD_OVERRIDE",$H$19)*1,"")))</f>
        <v/>
      </c>
      <c r="BP285" t="str">
        <f>IF(OR(BP$23="",ISNA($B285)),"",IF(ISBLANK($B285),"",IFERROR(_xll.BDP(TICKER,"DEEP_MEASURE_PERIOD_BROKER_VALUE","DEEP_MEASURE_ID_OVERRIDE",$C285,"DEEP_BROKER_ID_OVERRIDE",BP$24,"DEEP_PERIOD_OVERRIDE",$H$19)*1,"")))</f>
        <v/>
      </c>
      <c r="BQ285" t="str">
        <f>IF(OR(BQ$23="",ISNA($B285)),"",IF(ISBLANK($B285),"",IFERROR(_xll.BDP(TICKER,"DEEP_MEASURE_PERIOD_BROKER_VALUE","DEEP_MEASURE_ID_OVERRIDE",$C285,"DEEP_BROKER_ID_OVERRIDE",BQ$24,"DEEP_PERIOD_OVERRIDE",$H$19)*1,"")))</f>
        <v/>
      </c>
      <c r="BR285" t="str">
        <f>IF(OR(BR$23="",ISNA($B285)),"",IF(ISBLANK($B285),"",IFERROR(_xll.BDP(TICKER,"DEEP_MEASURE_PERIOD_BROKER_VALUE","DEEP_MEASURE_ID_OVERRIDE",$C285,"DEEP_BROKER_ID_OVERRIDE",BR$24,"DEEP_PERIOD_OVERRIDE",$H$19)*1,"")))</f>
        <v/>
      </c>
      <c r="BS285" t="str">
        <f>IF(OR(BS$23="",ISNA($B285)),"",IF(ISBLANK($B285),"",IFERROR(_xll.BDP(TICKER,"DEEP_MEASURE_PERIOD_BROKER_VALUE","DEEP_MEASURE_ID_OVERRIDE",$C285,"DEEP_BROKER_ID_OVERRIDE",BS$24,"DEEP_PERIOD_OVERRIDE",$H$19)*1,"")))</f>
        <v/>
      </c>
      <c r="BT285" t="str">
        <f>IF(OR(BT$23="",ISNA($B285)),"",IF(ISBLANK($B285),"",IFERROR(_xll.BDP(TICKER,"DEEP_MEASURE_PERIOD_BROKER_VALUE","DEEP_MEASURE_ID_OVERRIDE",$C285,"DEEP_BROKER_ID_OVERRIDE",BT$24,"DEEP_PERIOD_OVERRIDE",$H$19)*1,"")))</f>
        <v/>
      </c>
      <c r="BU285" t="str">
        <f>IF(OR(BU$23="",ISNA($B285)),"",IF(ISBLANK($B285),"",IFERROR(_xll.BDP(TICKER,"DEEP_MEASURE_PERIOD_BROKER_VALUE","DEEP_MEASURE_ID_OVERRIDE",$C285,"DEEP_BROKER_ID_OVERRIDE",BU$24,"DEEP_PERIOD_OVERRIDE",$H$19)*1,"")))</f>
        <v/>
      </c>
      <c r="BV285" t="str">
        <f>IF(OR(BV$23="",ISNA($B285)),"",IF(ISBLANK($B285),"",IFERROR(_xll.BDP(TICKER,"DEEP_MEASURE_PERIOD_BROKER_VALUE","DEEP_MEASURE_ID_OVERRIDE",$C285,"DEEP_BROKER_ID_OVERRIDE",BV$24,"DEEP_PERIOD_OVERRIDE",$H$19)*1,"")))</f>
        <v/>
      </c>
      <c r="BW285" t="str">
        <f>IF(OR(BW$23="",ISNA($B285)),"",IF(ISBLANK($B285),"",IFERROR(_xll.BDP(TICKER,"DEEP_MEASURE_PERIOD_BROKER_VALUE","DEEP_MEASURE_ID_OVERRIDE",$C285,"DEEP_BROKER_ID_OVERRIDE",BW$24,"DEEP_PERIOD_OVERRIDE",$H$19)*1,"")))</f>
        <v/>
      </c>
      <c r="BX285" t="str">
        <f>IF(OR(BX$23="",ISNA($B285)),"",IF(ISBLANK($B285),"",IFERROR(_xll.BDP(TICKER,"DEEP_MEASURE_PERIOD_BROKER_VALUE","DEEP_MEASURE_ID_OVERRIDE",$C285,"DEEP_BROKER_ID_OVERRIDE",BX$24,"DEEP_PERIOD_OVERRIDE",$H$19)*1,"")))</f>
        <v/>
      </c>
      <c r="BY285" t="str">
        <f>IF(OR(BY$23="",ISNA($B285)),"",IF(ISBLANK($B285),"",IFERROR(_xll.BDP(TICKER,"DEEP_MEASURE_PERIOD_BROKER_VALUE","DEEP_MEASURE_ID_OVERRIDE",$C285,"DEEP_BROKER_ID_OVERRIDE",BY$24,"DEEP_PERIOD_OVERRIDE",$H$19)*1,"")))</f>
        <v/>
      </c>
      <c r="BZ285" t="str">
        <f>IF(OR(BZ$23="",ISNA($B285)),"",IF(ISBLANK($B285),"",IFERROR(_xll.BDP(TICKER,"DEEP_MEASURE_PERIOD_BROKER_VALUE","DEEP_MEASURE_ID_OVERRIDE",$C285,"DEEP_BROKER_ID_OVERRIDE",BZ$24,"DEEP_PERIOD_OVERRIDE",$H$19)*1,"")))</f>
        <v/>
      </c>
    </row>
    <row r="286" spans="8:78" x14ac:dyDescent="0.25">
      <c r="H286" t="str">
        <f t="shared" si="5"/>
        <v/>
      </c>
      <c r="I286" t="str">
        <f>IF(OR(I$23="",ISNA($B286)),"",IF(ISBLANK($B286),"",IFERROR(_xll.BDP(TICKER,"DEEP_MEASURE_PERIOD_BROKER_VALUE","DEEP_MEASURE_ID_OVERRIDE",$C286,"DEEP_PERIOD_OVERRIDE",$H$19)*1,"")))</f>
        <v/>
      </c>
      <c r="J286" t="e">
        <f>IF(OR(J$23="",ISNA($B286)),"",IF(ISBLANK($B286),"",IFERROR(_xll.BDP(TICKER,"DEEP_MEASURE_PERIOD_BROKER_VALUE","DEEP_MEASURE_ID_OVERRIDE",$C286,"DEEP_BROKER_ID_OVERRIDE",J$24,"DEEP_PERIOD_OVERRIDE",$H$19)*1,"")))</f>
        <v>#REF!</v>
      </c>
      <c r="K286" t="str">
        <f>IF(OR(K$23="",ISNA($B286)),"",IF(ISBLANK($B286),"",IFERROR(_xll.BDP(TICKER,"DEEP_MEASURE_PERIOD_BROKER_VALUE","DEEP_MEASURE_ID_OVERRIDE",$C286,"DEEP_BROKER_ID_OVERRIDE",K$24,"DEEP_PERIOD_OVERRIDE",$H$19)*1,"")))</f>
        <v/>
      </c>
      <c r="L286" t="str">
        <f>IF(OR(L$23="",ISNA($B286)),"",IF(ISBLANK($B286),"",IFERROR(_xll.BDP(TICKER,"DEEP_MEASURE_PERIOD_BROKER_VALUE","DEEP_MEASURE_ID_OVERRIDE",$C286,"DEEP_BROKER_ID_OVERRIDE",L$24,"DEEP_PERIOD_OVERRIDE",$H$19)*1,"")))</f>
        <v/>
      </c>
      <c r="M286" t="str">
        <f>IF(OR(M$23="",ISNA($B286)),"",IF(ISBLANK($B286),"",IFERROR(_xll.BDP(TICKER,"DEEP_MEASURE_PERIOD_BROKER_VALUE","DEEP_MEASURE_ID_OVERRIDE",$C286,"DEEP_BROKER_ID_OVERRIDE",M$24,"DEEP_PERIOD_OVERRIDE",$H$19)*1,"")))</f>
        <v/>
      </c>
      <c r="N286" t="str">
        <f>IF(OR(N$23="",ISNA($B286)),"",IF(ISBLANK($B286),"",IFERROR(_xll.BDP(TICKER,"DEEP_MEASURE_PERIOD_BROKER_VALUE","DEEP_MEASURE_ID_OVERRIDE",$C286,"DEEP_BROKER_ID_OVERRIDE",N$24,"DEEP_PERIOD_OVERRIDE",$H$19)*1,"")))</f>
        <v/>
      </c>
      <c r="O286" t="str">
        <f>IF(OR(O$23="",ISNA($B286)),"",IF(ISBLANK($B286),"",IFERROR(_xll.BDP(TICKER,"DEEP_MEASURE_PERIOD_BROKER_VALUE","DEEP_MEASURE_ID_OVERRIDE",$C286,"DEEP_BROKER_ID_OVERRIDE",O$24,"DEEP_PERIOD_OVERRIDE",$H$19)*1,"")))</f>
        <v/>
      </c>
      <c r="P286" t="str">
        <f>IF(OR(P$23="",ISNA($B286)),"",IF(ISBLANK($B286),"",IFERROR(_xll.BDP(TICKER,"DEEP_MEASURE_PERIOD_BROKER_VALUE","DEEP_MEASURE_ID_OVERRIDE",$C286,"DEEP_BROKER_ID_OVERRIDE",P$24,"DEEP_PERIOD_OVERRIDE",$H$19)*1,"")))</f>
        <v/>
      </c>
      <c r="Q286" t="str">
        <f>IF(OR(Q$23="",ISNA($B286)),"",IF(ISBLANK($B286),"",IFERROR(_xll.BDP(TICKER,"DEEP_MEASURE_PERIOD_BROKER_VALUE","DEEP_MEASURE_ID_OVERRIDE",$C286,"DEEP_BROKER_ID_OVERRIDE",Q$24,"DEEP_PERIOD_OVERRIDE",$H$19)*1,"")))</f>
        <v/>
      </c>
      <c r="R286" t="str">
        <f>IF(OR(R$23="",ISNA($B286)),"",IF(ISBLANK($B286),"",IFERROR(_xll.BDP(TICKER,"DEEP_MEASURE_PERIOD_BROKER_VALUE","DEEP_MEASURE_ID_OVERRIDE",$C286,"DEEP_BROKER_ID_OVERRIDE",R$24,"DEEP_PERIOD_OVERRIDE",$H$19)*1,"")))</f>
        <v/>
      </c>
      <c r="S286" t="str">
        <f>IF(OR(S$23="",ISNA($B286)),"",IF(ISBLANK($B286),"",IFERROR(_xll.BDP(TICKER,"DEEP_MEASURE_PERIOD_BROKER_VALUE","DEEP_MEASURE_ID_OVERRIDE",$C286,"DEEP_BROKER_ID_OVERRIDE",S$24,"DEEP_PERIOD_OVERRIDE",$H$19)*1,"")))</f>
        <v/>
      </c>
      <c r="T286" t="str">
        <f>IF(OR(T$23="",ISNA($B286)),"",IF(ISBLANK($B286),"",IFERROR(_xll.BDP(TICKER,"DEEP_MEASURE_PERIOD_BROKER_VALUE","DEEP_MEASURE_ID_OVERRIDE",$C286,"DEEP_BROKER_ID_OVERRIDE",T$24,"DEEP_PERIOD_OVERRIDE",$H$19)*1,"")))</f>
        <v/>
      </c>
      <c r="U286" t="str">
        <f>IF(OR(U$23="",ISNA($B286)),"",IF(ISBLANK($B286),"",IFERROR(_xll.BDP(TICKER,"DEEP_MEASURE_PERIOD_BROKER_VALUE","DEEP_MEASURE_ID_OVERRIDE",$C286,"DEEP_BROKER_ID_OVERRIDE",U$24,"DEEP_PERIOD_OVERRIDE",$H$19)*1,"")))</f>
        <v/>
      </c>
      <c r="V286" t="str">
        <f>IF(OR(V$23="",ISNA($B286)),"",IF(ISBLANK($B286),"",IFERROR(_xll.BDP(TICKER,"DEEP_MEASURE_PERIOD_BROKER_VALUE","DEEP_MEASURE_ID_OVERRIDE",$C286,"DEEP_BROKER_ID_OVERRIDE",V$24,"DEEP_PERIOD_OVERRIDE",$H$19)*1,"")))</f>
        <v/>
      </c>
      <c r="W286" t="str">
        <f>IF(OR(W$23="",ISNA($B286)),"",IF(ISBLANK($B286),"",IFERROR(_xll.BDP(TICKER,"DEEP_MEASURE_PERIOD_BROKER_VALUE","DEEP_MEASURE_ID_OVERRIDE",$C286,"DEEP_BROKER_ID_OVERRIDE",W$24,"DEEP_PERIOD_OVERRIDE",$H$19)*1,"")))</f>
        <v/>
      </c>
      <c r="X286" t="str">
        <f>IF(OR(X$23="",ISNA($B286)),"",IF(ISBLANK($B286),"",IFERROR(_xll.BDP(TICKER,"DEEP_MEASURE_PERIOD_BROKER_VALUE","DEEP_MEASURE_ID_OVERRIDE",$C286,"DEEP_BROKER_ID_OVERRIDE",X$24,"DEEP_PERIOD_OVERRIDE",$H$19)*1,"")))</f>
        <v/>
      </c>
      <c r="Y286" t="str">
        <f>IF(OR(Y$23="",ISNA($B286)),"",IF(ISBLANK($B286),"",IFERROR(_xll.BDP(TICKER,"DEEP_MEASURE_PERIOD_BROKER_VALUE","DEEP_MEASURE_ID_OVERRIDE",$C286,"DEEP_BROKER_ID_OVERRIDE",Y$24,"DEEP_PERIOD_OVERRIDE",$H$19)*1,"")))</f>
        <v/>
      </c>
      <c r="Z286" t="str">
        <f>IF(OR(Z$23="",ISNA($B286)),"",IF(ISBLANK($B286),"",IFERROR(_xll.BDP(TICKER,"DEEP_MEASURE_PERIOD_BROKER_VALUE","DEEP_MEASURE_ID_OVERRIDE",$C286,"DEEP_BROKER_ID_OVERRIDE",Z$24,"DEEP_PERIOD_OVERRIDE",$H$19)*1,"")))</f>
        <v/>
      </c>
      <c r="AA286" t="str">
        <f>IF(OR(AA$23="",ISNA($B286)),"",IF(ISBLANK($B286),"",IFERROR(_xll.BDP(TICKER,"DEEP_MEASURE_PERIOD_BROKER_VALUE","DEEP_MEASURE_ID_OVERRIDE",$C286,"DEEP_BROKER_ID_OVERRIDE",AA$24,"DEEP_PERIOD_OVERRIDE",$H$19)*1,"")))</f>
        <v/>
      </c>
      <c r="AB286" t="str">
        <f>IF(OR(AB$23="",ISNA($B286)),"",IF(ISBLANK($B286),"",IFERROR(_xll.BDP(TICKER,"DEEP_MEASURE_PERIOD_BROKER_VALUE","DEEP_MEASURE_ID_OVERRIDE",$C286,"DEEP_BROKER_ID_OVERRIDE",AB$24,"DEEP_PERIOD_OVERRIDE",$H$19)*1,"")))</f>
        <v/>
      </c>
      <c r="AC286" t="str">
        <f>IF(OR(AC$23="",ISNA($B286)),"",IF(ISBLANK($B286),"",IFERROR(_xll.BDP(TICKER,"DEEP_MEASURE_PERIOD_BROKER_VALUE","DEEP_MEASURE_ID_OVERRIDE",$C286,"DEEP_BROKER_ID_OVERRIDE",AC$24,"DEEP_PERIOD_OVERRIDE",$H$19)*1,"")))</f>
        <v/>
      </c>
      <c r="AD286" t="str">
        <f>IF(OR(AD$23="",ISNA($B286)),"",IF(ISBLANK($B286),"",IFERROR(_xll.BDP(TICKER,"DEEP_MEASURE_PERIOD_BROKER_VALUE","DEEP_MEASURE_ID_OVERRIDE",$C286,"DEEP_BROKER_ID_OVERRIDE",AD$24,"DEEP_PERIOD_OVERRIDE",$H$19)*1,"")))</f>
        <v/>
      </c>
      <c r="AE286" t="str">
        <f>IF(OR(AE$23="",ISNA($B286)),"",IF(ISBLANK($B286),"",IFERROR(_xll.BDP(TICKER,"DEEP_MEASURE_PERIOD_BROKER_VALUE","DEEP_MEASURE_ID_OVERRIDE",$C286,"DEEP_BROKER_ID_OVERRIDE",AE$24,"DEEP_PERIOD_OVERRIDE",$H$19)*1,"")))</f>
        <v/>
      </c>
      <c r="AF286" t="str">
        <f>IF(OR(AF$23="",ISNA($B286)),"",IF(ISBLANK($B286),"",IFERROR(_xll.BDP(TICKER,"DEEP_MEASURE_PERIOD_BROKER_VALUE","DEEP_MEASURE_ID_OVERRIDE",$C286,"DEEP_BROKER_ID_OVERRIDE",AF$24,"DEEP_PERIOD_OVERRIDE",$H$19)*1,"")))</f>
        <v/>
      </c>
      <c r="AG286" t="str">
        <f>IF(OR(AG$23="",ISNA($B286)),"",IF(ISBLANK($B286),"",IFERROR(_xll.BDP(TICKER,"DEEP_MEASURE_PERIOD_BROKER_VALUE","DEEP_MEASURE_ID_OVERRIDE",$C286,"DEEP_BROKER_ID_OVERRIDE",AG$24,"DEEP_PERIOD_OVERRIDE",$H$19)*1,"")))</f>
        <v/>
      </c>
      <c r="AH286" t="str">
        <f>IF(OR(AH$23="",ISNA($B286)),"",IF(ISBLANK($B286),"",IFERROR(_xll.BDP(TICKER,"DEEP_MEASURE_PERIOD_BROKER_VALUE","DEEP_MEASURE_ID_OVERRIDE",$C286,"DEEP_BROKER_ID_OVERRIDE",AH$24,"DEEP_PERIOD_OVERRIDE",$H$19)*1,"")))</f>
        <v/>
      </c>
      <c r="AI286" t="str">
        <f>IF(OR(AI$23="",ISNA($B286)),"",IF(ISBLANK($B286),"",IFERROR(_xll.BDP(TICKER,"DEEP_MEASURE_PERIOD_BROKER_VALUE","DEEP_MEASURE_ID_OVERRIDE",$C286,"DEEP_BROKER_ID_OVERRIDE",AI$24,"DEEP_PERIOD_OVERRIDE",$H$19)*1,"")))</f>
        <v/>
      </c>
      <c r="AJ286" t="str">
        <f>IF(OR(AJ$23="",ISNA($B286)),"",IF(ISBLANK($B286),"",IFERROR(_xll.BDP(TICKER,"DEEP_MEASURE_PERIOD_BROKER_VALUE","DEEP_MEASURE_ID_OVERRIDE",$C286,"DEEP_BROKER_ID_OVERRIDE",AJ$24,"DEEP_PERIOD_OVERRIDE",$H$19)*1,"")))</f>
        <v/>
      </c>
      <c r="AK286" t="str">
        <f>IF(OR(AK$23="",ISNA($B286)),"",IF(ISBLANK($B286),"",IFERROR(_xll.BDP(TICKER,"DEEP_MEASURE_PERIOD_BROKER_VALUE","DEEP_MEASURE_ID_OVERRIDE",$C286,"DEEP_BROKER_ID_OVERRIDE",AK$24,"DEEP_PERIOD_OVERRIDE",$H$19)*1,"")))</f>
        <v/>
      </c>
      <c r="AL286" t="str">
        <f>IF(OR(AL$23="",ISNA($B286)),"",IF(ISBLANK($B286),"",IFERROR(_xll.BDP(TICKER,"DEEP_MEASURE_PERIOD_BROKER_VALUE","DEEP_MEASURE_ID_OVERRIDE",$C286,"DEEP_BROKER_ID_OVERRIDE",AL$24,"DEEP_PERIOD_OVERRIDE",$H$19)*1,"")))</f>
        <v/>
      </c>
      <c r="AM286" t="str">
        <f>IF(OR(AM$23="",ISNA($B286)),"",IF(ISBLANK($B286),"",IFERROR(_xll.BDP(TICKER,"DEEP_MEASURE_PERIOD_BROKER_VALUE","DEEP_MEASURE_ID_OVERRIDE",$C286,"DEEP_BROKER_ID_OVERRIDE",AM$24,"DEEP_PERIOD_OVERRIDE",$H$19)*1,"")))</f>
        <v/>
      </c>
      <c r="AN286" t="str">
        <f>IF(OR(AN$23="",ISNA($B286)),"",IF(ISBLANK($B286),"",IFERROR(_xll.BDP(TICKER,"DEEP_MEASURE_PERIOD_BROKER_VALUE","DEEP_MEASURE_ID_OVERRIDE",$C286,"DEEP_BROKER_ID_OVERRIDE",AN$24,"DEEP_PERIOD_OVERRIDE",$H$19)*1,"")))</f>
        <v/>
      </c>
      <c r="AO286" t="str">
        <f>IF(OR(AO$23="",ISNA($B286)),"",IF(ISBLANK($B286),"",IFERROR(_xll.BDP(TICKER,"DEEP_MEASURE_PERIOD_BROKER_VALUE","DEEP_MEASURE_ID_OVERRIDE",$C286,"DEEP_BROKER_ID_OVERRIDE",AO$24,"DEEP_PERIOD_OVERRIDE",$H$19)*1,"")))</f>
        <v/>
      </c>
      <c r="AP286" t="str">
        <f>IF(OR(AP$23="",ISNA($B286)),"",IF(ISBLANK($B286),"",IFERROR(_xll.BDP(TICKER,"DEEP_MEASURE_PERIOD_BROKER_VALUE","DEEP_MEASURE_ID_OVERRIDE",$C286,"DEEP_BROKER_ID_OVERRIDE",AP$24,"DEEP_PERIOD_OVERRIDE",$H$19)*1,"")))</f>
        <v/>
      </c>
      <c r="AQ286" t="str">
        <f>IF(OR(AQ$23="",ISNA($B286)),"",IF(ISBLANK($B286),"",IFERROR(_xll.BDP(TICKER,"DEEP_MEASURE_PERIOD_BROKER_VALUE","DEEP_MEASURE_ID_OVERRIDE",$C286,"DEEP_BROKER_ID_OVERRIDE",AQ$24,"DEEP_PERIOD_OVERRIDE",$H$19)*1,"")))</f>
        <v/>
      </c>
      <c r="AR286" t="str">
        <f>IF(OR(AR$23="",ISNA($B286)),"",IF(ISBLANK($B286),"",IFERROR(_xll.BDP(TICKER,"DEEP_MEASURE_PERIOD_BROKER_VALUE","DEEP_MEASURE_ID_OVERRIDE",$C286,"DEEP_BROKER_ID_OVERRIDE",AR$24,"DEEP_PERIOD_OVERRIDE",$H$19)*1,"")))</f>
        <v/>
      </c>
      <c r="AS286" t="str">
        <f>IF(OR(AS$23="",ISNA($B286)),"",IF(ISBLANK($B286),"",IFERROR(_xll.BDP(TICKER,"DEEP_MEASURE_PERIOD_BROKER_VALUE","DEEP_MEASURE_ID_OVERRIDE",$C286,"DEEP_BROKER_ID_OVERRIDE",AS$24,"DEEP_PERIOD_OVERRIDE",$H$19)*1,"")))</f>
        <v/>
      </c>
      <c r="AT286" t="str">
        <f>IF(OR(AT$23="",ISNA($B286)),"",IF(ISBLANK($B286),"",IFERROR(_xll.BDP(TICKER,"DEEP_MEASURE_PERIOD_BROKER_VALUE","DEEP_MEASURE_ID_OVERRIDE",$C286,"DEEP_BROKER_ID_OVERRIDE",AT$24,"DEEP_PERIOD_OVERRIDE",$H$19)*1,"")))</f>
        <v/>
      </c>
      <c r="AU286" t="str">
        <f>IF(OR(AU$23="",ISNA($B286)),"",IF(ISBLANK($B286),"",IFERROR(_xll.BDP(TICKER,"DEEP_MEASURE_PERIOD_BROKER_VALUE","DEEP_MEASURE_ID_OVERRIDE",$C286,"DEEP_BROKER_ID_OVERRIDE",AU$24,"DEEP_PERIOD_OVERRIDE",$H$19)*1,"")))</f>
        <v/>
      </c>
      <c r="AV286" t="str">
        <f>IF(OR(AV$23="",ISNA($B286)),"",IF(ISBLANK($B286),"",IFERROR(_xll.BDP(TICKER,"DEEP_MEASURE_PERIOD_BROKER_VALUE","DEEP_MEASURE_ID_OVERRIDE",$C286,"DEEP_BROKER_ID_OVERRIDE",AV$24,"DEEP_PERIOD_OVERRIDE",$H$19)*1,"")))</f>
        <v/>
      </c>
      <c r="AW286" t="str">
        <f>IF(OR(AW$23="",ISNA($B286)),"",IF(ISBLANK($B286),"",IFERROR(_xll.BDP(TICKER,"DEEP_MEASURE_PERIOD_BROKER_VALUE","DEEP_MEASURE_ID_OVERRIDE",$C286,"DEEP_BROKER_ID_OVERRIDE",AW$24,"DEEP_PERIOD_OVERRIDE",$H$19)*1,"")))</f>
        <v/>
      </c>
      <c r="AX286" t="str">
        <f>IF(OR(AX$23="",ISNA($B286)),"",IF(ISBLANK($B286),"",IFERROR(_xll.BDP(TICKER,"DEEP_MEASURE_PERIOD_BROKER_VALUE","DEEP_MEASURE_ID_OVERRIDE",$C286,"DEEP_BROKER_ID_OVERRIDE",AX$24,"DEEP_PERIOD_OVERRIDE",$H$19)*1,"")))</f>
        <v/>
      </c>
      <c r="AY286" t="str">
        <f>IF(OR(AY$23="",ISNA($B286)),"",IF(ISBLANK($B286),"",IFERROR(_xll.BDP(TICKER,"DEEP_MEASURE_PERIOD_BROKER_VALUE","DEEP_MEASURE_ID_OVERRIDE",$C286,"DEEP_BROKER_ID_OVERRIDE",AY$24,"DEEP_PERIOD_OVERRIDE",$H$19)*1,"")))</f>
        <v/>
      </c>
      <c r="AZ286" t="str">
        <f>IF(OR(AZ$23="",ISNA($B286)),"",IF(ISBLANK($B286),"",IFERROR(_xll.BDP(TICKER,"DEEP_MEASURE_PERIOD_BROKER_VALUE","DEEP_MEASURE_ID_OVERRIDE",$C286,"DEEP_BROKER_ID_OVERRIDE",AZ$24,"DEEP_PERIOD_OVERRIDE",$H$19)*1,"")))</f>
        <v/>
      </c>
      <c r="BA286" t="str">
        <f>IF(OR(BA$23="",ISNA($B286)),"",IF(ISBLANK($B286),"",IFERROR(_xll.BDP(TICKER,"DEEP_MEASURE_PERIOD_BROKER_VALUE","DEEP_MEASURE_ID_OVERRIDE",$C286,"DEEP_BROKER_ID_OVERRIDE",BA$24,"DEEP_PERIOD_OVERRIDE",$H$19)*1,"")))</f>
        <v/>
      </c>
      <c r="BB286" t="str">
        <f>IF(OR(BB$23="",ISNA($B286)),"",IF(ISBLANK($B286),"",IFERROR(_xll.BDP(TICKER,"DEEP_MEASURE_PERIOD_BROKER_VALUE","DEEP_MEASURE_ID_OVERRIDE",$C286,"DEEP_BROKER_ID_OVERRIDE",BB$24,"DEEP_PERIOD_OVERRIDE",$H$19)*1,"")))</f>
        <v/>
      </c>
      <c r="BC286" t="str">
        <f>IF(OR(BC$23="",ISNA($B286)),"",IF(ISBLANK($B286),"",IFERROR(_xll.BDP(TICKER,"DEEP_MEASURE_PERIOD_BROKER_VALUE","DEEP_MEASURE_ID_OVERRIDE",$C286,"DEEP_BROKER_ID_OVERRIDE",BC$24,"DEEP_PERIOD_OVERRIDE",$H$19)*1,"")))</f>
        <v/>
      </c>
      <c r="BD286" t="str">
        <f>IF(OR(BD$23="",ISNA($B286)),"",IF(ISBLANK($B286),"",IFERROR(_xll.BDP(TICKER,"DEEP_MEASURE_PERIOD_BROKER_VALUE","DEEP_MEASURE_ID_OVERRIDE",$C286,"DEEP_BROKER_ID_OVERRIDE",BD$24,"DEEP_PERIOD_OVERRIDE",$H$19)*1,"")))</f>
        <v/>
      </c>
      <c r="BE286" t="str">
        <f>IF(OR(BE$23="",ISNA($B286)),"",IF(ISBLANK($B286),"",IFERROR(_xll.BDP(TICKER,"DEEP_MEASURE_PERIOD_BROKER_VALUE","DEEP_MEASURE_ID_OVERRIDE",$C286,"DEEP_BROKER_ID_OVERRIDE",BE$24,"DEEP_PERIOD_OVERRIDE",$H$19)*1,"")))</f>
        <v/>
      </c>
      <c r="BF286" t="str">
        <f>IF(OR(BF$23="",ISNA($B286)),"",IF(ISBLANK($B286),"",IFERROR(_xll.BDP(TICKER,"DEEP_MEASURE_PERIOD_BROKER_VALUE","DEEP_MEASURE_ID_OVERRIDE",$C286,"DEEP_BROKER_ID_OVERRIDE",BF$24,"DEEP_PERIOD_OVERRIDE",$H$19)*1,"")))</f>
        <v/>
      </c>
      <c r="BG286" t="str">
        <f>IF(OR(BG$23="",ISNA($B286)),"",IF(ISBLANK($B286),"",IFERROR(_xll.BDP(TICKER,"DEEP_MEASURE_PERIOD_BROKER_VALUE","DEEP_MEASURE_ID_OVERRIDE",$C286,"DEEP_BROKER_ID_OVERRIDE",BG$24,"DEEP_PERIOD_OVERRIDE",$H$19)*1,"")))</f>
        <v/>
      </c>
      <c r="BH286" t="str">
        <f>IF(OR(BH$23="",ISNA($B286)),"",IF(ISBLANK($B286),"",IFERROR(_xll.BDP(TICKER,"DEEP_MEASURE_PERIOD_BROKER_VALUE","DEEP_MEASURE_ID_OVERRIDE",$C286,"DEEP_BROKER_ID_OVERRIDE",BH$24,"DEEP_PERIOD_OVERRIDE",$H$19)*1,"")))</f>
        <v/>
      </c>
      <c r="BI286" t="str">
        <f>IF(OR(BI$23="",ISNA($B286)),"",IF(ISBLANK($B286),"",IFERROR(_xll.BDP(TICKER,"DEEP_MEASURE_PERIOD_BROKER_VALUE","DEEP_MEASURE_ID_OVERRIDE",$C286,"DEEP_BROKER_ID_OVERRIDE",BI$24,"DEEP_PERIOD_OVERRIDE",$H$19)*1,"")))</f>
        <v/>
      </c>
      <c r="BJ286" t="str">
        <f>IF(OR(BJ$23="",ISNA($B286)),"",IF(ISBLANK($B286),"",IFERROR(_xll.BDP(TICKER,"DEEP_MEASURE_PERIOD_BROKER_VALUE","DEEP_MEASURE_ID_OVERRIDE",$C286,"DEEP_BROKER_ID_OVERRIDE",BJ$24,"DEEP_PERIOD_OVERRIDE",$H$19)*1,"")))</f>
        <v/>
      </c>
      <c r="BK286" t="str">
        <f>IF(OR(BK$23="",ISNA($B286)),"",IF(ISBLANK($B286),"",IFERROR(_xll.BDP(TICKER,"DEEP_MEASURE_PERIOD_BROKER_VALUE","DEEP_MEASURE_ID_OVERRIDE",$C286,"DEEP_BROKER_ID_OVERRIDE",BK$24,"DEEP_PERIOD_OVERRIDE",$H$19)*1,"")))</f>
        <v/>
      </c>
      <c r="BL286" t="str">
        <f>IF(OR(BL$23="",ISNA($B286)),"",IF(ISBLANK($B286),"",IFERROR(_xll.BDP(TICKER,"DEEP_MEASURE_PERIOD_BROKER_VALUE","DEEP_MEASURE_ID_OVERRIDE",$C286,"DEEP_BROKER_ID_OVERRIDE",BL$24,"DEEP_PERIOD_OVERRIDE",$H$19)*1,"")))</f>
        <v/>
      </c>
      <c r="BM286" t="str">
        <f>IF(OR(BM$23="",ISNA($B286)),"",IF(ISBLANK($B286),"",IFERROR(_xll.BDP(TICKER,"DEEP_MEASURE_PERIOD_BROKER_VALUE","DEEP_MEASURE_ID_OVERRIDE",$C286,"DEEP_BROKER_ID_OVERRIDE",BM$24,"DEEP_PERIOD_OVERRIDE",$H$19)*1,"")))</f>
        <v/>
      </c>
      <c r="BN286" t="str">
        <f>IF(OR(BN$23="",ISNA($B286)),"",IF(ISBLANK($B286),"",IFERROR(_xll.BDP(TICKER,"DEEP_MEASURE_PERIOD_BROKER_VALUE","DEEP_MEASURE_ID_OVERRIDE",$C286,"DEEP_BROKER_ID_OVERRIDE",BN$24,"DEEP_PERIOD_OVERRIDE",$H$19)*1,"")))</f>
        <v/>
      </c>
      <c r="BO286" t="str">
        <f>IF(OR(BO$23="",ISNA($B286)),"",IF(ISBLANK($B286),"",IFERROR(_xll.BDP(TICKER,"DEEP_MEASURE_PERIOD_BROKER_VALUE","DEEP_MEASURE_ID_OVERRIDE",$C286,"DEEP_BROKER_ID_OVERRIDE",BO$24,"DEEP_PERIOD_OVERRIDE",$H$19)*1,"")))</f>
        <v/>
      </c>
      <c r="BP286" t="str">
        <f>IF(OR(BP$23="",ISNA($B286)),"",IF(ISBLANK($B286),"",IFERROR(_xll.BDP(TICKER,"DEEP_MEASURE_PERIOD_BROKER_VALUE","DEEP_MEASURE_ID_OVERRIDE",$C286,"DEEP_BROKER_ID_OVERRIDE",BP$24,"DEEP_PERIOD_OVERRIDE",$H$19)*1,"")))</f>
        <v/>
      </c>
      <c r="BQ286" t="str">
        <f>IF(OR(BQ$23="",ISNA($B286)),"",IF(ISBLANK($B286),"",IFERROR(_xll.BDP(TICKER,"DEEP_MEASURE_PERIOD_BROKER_VALUE","DEEP_MEASURE_ID_OVERRIDE",$C286,"DEEP_BROKER_ID_OVERRIDE",BQ$24,"DEEP_PERIOD_OVERRIDE",$H$19)*1,"")))</f>
        <v/>
      </c>
      <c r="BR286" t="str">
        <f>IF(OR(BR$23="",ISNA($B286)),"",IF(ISBLANK($B286),"",IFERROR(_xll.BDP(TICKER,"DEEP_MEASURE_PERIOD_BROKER_VALUE","DEEP_MEASURE_ID_OVERRIDE",$C286,"DEEP_BROKER_ID_OVERRIDE",BR$24,"DEEP_PERIOD_OVERRIDE",$H$19)*1,"")))</f>
        <v/>
      </c>
      <c r="BS286" t="str">
        <f>IF(OR(BS$23="",ISNA($B286)),"",IF(ISBLANK($B286),"",IFERROR(_xll.BDP(TICKER,"DEEP_MEASURE_PERIOD_BROKER_VALUE","DEEP_MEASURE_ID_OVERRIDE",$C286,"DEEP_BROKER_ID_OVERRIDE",BS$24,"DEEP_PERIOD_OVERRIDE",$H$19)*1,"")))</f>
        <v/>
      </c>
      <c r="BT286" t="str">
        <f>IF(OR(BT$23="",ISNA($B286)),"",IF(ISBLANK($B286),"",IFERROR(_xll.BDP(TICKER,"DEEP_MEASURE_PERIOD_BROKER_VALUE","DEEP_MEASURE_ID_OVERRIDE",$C286,"DEEP_BROKER_ID_OVERRIDE",BT$24,"DEEP_PERIOD_OVERRIDE",$H$19)*1,"")))</f>
        <v/>
      </c>
      <c r="BU286" t="str">
        <f>IF(OR(BU$23="",ISNA($B286)),"",IF(ISBLANK($B286),"",IFERROR(_xll.BDP(TICKER,"DEEP_MEASURE_PERIOD_BROKER_VALUE","DEEP_MEASURE_ID_OVERRIDE",$C286,"DEEP_BROKER_ID_OVERRIDE",BU$24,"DEEP_PERIOD_OVERRIDE",$H$19)*1,"")))</f>
        <v/>
      </c>
      <c r="BV286" t="str">
        <f>IF(OR(BV$23="",ISNA($B286)),"",IF(ISBLANK($B286),"",IFERROR(_xll.BDP(TICKER,"DEEP_MEASURE_PERIOD_BROKER_VALUE","DEEP_MEASURE_ID_OVERRIDE",$C286,"DEEP_BROKER_ID_OVERRIDE",BV$24,"DEEP_PERIOD_OVERRIDE",$H$19)*1,"")))</f>
        <v/>
      </c>
      <c r="BW286" t="str">
        <f>IF(OR(BW$23="",ISNA($B286)),"",IF(ISBLANK($B286),"",IFERROR(_xll.BDP(TICKER,"DEEP_MEASURE_PERIOD_BROKER_VALUE","DEEP_MEASURE_ID_OVERRIDE",$C286,"DEEP_BROKER_ID_OVERRIDE",BW$24,"DEEP_PERIOD_OVERRIDE",$H$19)*1,"")))</f>
        <v/>
      </c>
      <c r="BX286" t="str">
        <f>IF(OR(BX$23="",ISNA($B286)),"",IF(ISBLANK($B286),"",IFERROR(_xll.BDP(TICKER,"DEEP_MEASURE_PERIOD_BROKER_VALUE","DEEP_MEASURE_ID_OVERRIDE",$C286,"DEEP_BROKER_ID_OVERRIDE",BX$24,"DEEP_PERIOD_OVERRIDE",$H$19)*1,"")))</f>
        <v/>
      </c>
      <c r="BY286" t="str">
        <f>IF(OR(BY$23="",ISNA($B286)),"",IF(ISBLANK($B286),"",IFERROR(_xll.BDP(TICKER,"DEEP_MEASURE_PERIOD_BROKER_VALUE","DEEP_MEASURE_ID_OVERRIDE",$C286,"DEEP_BROKER_ID_OVERRIDE",BY$24,"DEEP_PERIOD_OVERRIDE",$H$19)*1,"")))</f>
        <v/>
      </c>
      <c r="BZ286" t="str">
        <f>IF(OR(BZ$23="",ISNA($B286)),"",IF(ISBLANK($B286),"",IFERROR(_xll.BDP(TICKER,"DEEP_MEASURE_PERIOD_BROKER_VALUE","DEEP_MEASURE_ID_OVERRIDE",$C286,"DEEP_BROKER_ID_OVERRIDE",BZ$24,"DEEP_PERIOD_OVERRIDE",$H$19)*1,"")))</f>
        <v/>
      </c>
    </row>
    <row r="287" spans="8:78" x14ac:dyDescent="0.25">
      <c r="H287" t="str">
        <f t="shared" si="5"/>
        <v/>
      </c>
      <c r="I287" t="str">
        <f>IF(OR(I$23="",ISNA($B287)),"",IF(ISBLANK($B287),"",IFERROR(_xll.BDP(TICKER,"DEEP_MEASURE_PERIOD_BROKER_VALUE","DEEP_MEASURE_ID_OVERRIDE",$C287,"DEEP_PERIOD_OVERRIDE",$H$19)*1,"")))</f>
        <v/>
      </c>
      <c r="J287" t="e">
        <f>IF(OR(J$23="",ISNA($B287)),"",IF(ISBLANK($B287),"",IFERROR(_xll.BDP(TICKER,"DEEP_MEASURE_PERIOD_BROKER_VALUE","DEEP_MEASURE_ID_OVERRIDE",$C287,"DEEP_BROKER_ID_OVERRIDE",J$24,"DEEP_PERIOD_OVERRIDE",$H$19)*1,"")))</f>
        <v>#REF!</v>
      </c>
      <c r="K287" t="str">
        <f>IF(OR(K$23="",ISNA($B287)),"",IF(ISBLANK($B287),"",IFERROR(_xll.BDP(TICKER,"DEEP_MEASURE_PERIOD_BROKER_VALUE","DEEP_MEASURE_ID_OVERRIDE",$C287,"DEEP_BROKER_ID_OVERRIDE",K$24,"DEEP_PERIOD_OVERRIDE",$H$19)*1,"")))</f>
        <v/>
      </c>
      <c r="L287" t="str">
        <f>IF(OR(L$23="",ISNA($B287)),"",IF(ISBLANK($B287),"",IFERROR(_xll.BDP(TICKER,"DEEP_MEASURE_PERIOD_BROKER_VALUE","DEEP_MEASURE_ID_OVERRIDE",$C287,"DEEP_BROKER_ID_OVERRIDE",L$24,"DEEP_PERIOD_OVERRIDE",$H$19)*1,"")))</f>
        <v/>
      </c>
      <c r="M287" t="str">
        <f>IF(OR(M$23="",ISNA($B287)),"",IF(ISBLANK($B287),"",IFERROR(_xll.BDP(TICKER,"DEEP_MEASURE_PERIOD_BROKER_VALUE","DEEP_MEASURE_ID_OVERRIDE",$C287,"DEEP_BROKER_ID_OVERRIDE",M$24,"DEEP_PERIOD_OVERRIDE",$H$19)*1,"")))</f>
        <v/>
      </c>
      <c r="N287" t="str">
        <f>IF(OR(N$23="",ISNA($B287)),"",IF(ISBLANK($B287),"",IFERROR(_xll.BDP(TICKER,"DEEP_MEASURE_PERIOD_BROKER_VALUE","DEEP_MEASURE_ID_OVERRIDE",$C287,"DEEP_BROKER_ID_OVERRIDE",N$24,"DEEP_PERIOD_OVERRIDE",$H$19)*1,"")))</f>
        <v/>
      </c>
      <c r="O287" t="str">
        <f>IF(OR(O$23="",ISNA($B287)),"",IF(ISBLANK($B287),"",IFERROR(_xll.BDP(TICKER,"DEEP_MEASURE_PERIOD_BROKER_VALUE","DEEP_MEASURE_ID_OVERRIDE",$C287,"DEEP_BROKER_ID_OVERRIDE",O$24,"DEEP_PERIOD_OVERRIDE",$H$19)*1,"")))</f>
        <v/>
      </c>
      <c r="P287" t="str">
        <f>IF(OR(P$23="",ISNA($B287)),"",IF(ISBLANK($B287),"",IFERROR(_xll.BDP(TICKER,"DEEP_MEASURE_PERIOD_BROKER_VALUE","DEEP_MEASURE_ID_OVERRIDE",$C287,"DEEP_BROKER_ID_OVERRIDE",P$24,"DEEP_PERIOD_OVERRIDE",$H$19)*1,"")))</f>
        <v/>
      </c>
      <c r="Q287" t="str">
        <f>IF(OR(Q$23="",ISNA($B287)),"",IF(ISBLANK($B287),"",IFERROR(_xll.BDP(TICKER,"DEEP_MEASURE_PERIOD_BROKER_VALUE","DEEP_MEASURE_ID_OVERRIDE",$C287,"DEEP_BROKER_ID_OVERRIDE",Q$24,"DEEP_PERIOD_OVERRIDE",$H$19)*1,"")))</f>
        <v/>
      </c>
      <c r="R287" t="str">
        <f>IF(OR(R$23="",ISNA($B287)),"",IF(ISBLANK($B287),"",IFERROR(_xll.BDP(TICKER,"DEEP_MEASURE_PERIOD_BROKER_VALUE","DEEP_MEASURE_ID_OVERRIDE",$C287,"DEEP_BROKER_ID_OVERRIDE",R$24,"DEEP_PERIOD_OVERRIDE",$H$19)*1,"")))</f>
        <v/>
      </c>
      <c r="S287" t="str">
        <f>IF(OR(S$23="",ISNA($B287)),"",IF(ISBLANK($B287),"",IFERROR(_xll.BDP(TICKER,"DEEP_MEASURE_PERIOD_BROKER_VALUE","DEEP_MEASURE_ID_OVERRIDE",$C287,"DEEP_BROKER_ID_OVERRIDE",S$24,"DEEP_PERIOD_OVERRIDE",$H$19)*1,"")))</f>
        <v/>
      </c>
      <c r="T287" t="str">
        <f>IF(OR(T$23="",ISNA($B287)),"",IF(ISBLANK($B287),"",IFERROR(_xll.BDP(TICKER,"DEEP_MEASURE_PERIOD_BROKER_VALUE","DEEP_MEASURE_ID_OVERRIDE",$C287,"DEEP_BROKER_ID_OVERRIDE",T$24,"DEEP_PERIOD_OVERRIDE",$H$19)*1,"")))</f>
        <v/>
      </c>
      <c r="U287" t="str">
        <f>IF(OR(U$23="",ISNA($B287)),"",IF(ISBLANK($B287),"",IFERROR(_xll.BDP(TICKER,"DEEP_MEASURE_PERIOD_BROKER_VALUE","DEEP_MEASURE_ID_OVERRIDE",$C287,"DEEP_BROKER_ID_OVERRIDE",U$24,"DEEP_PERIOD_OVERRIDE",$H$19)*1,"")))</f>
        <v/>
      </c>
      <c r="V287" t="str">
        <f>IF(OR(V$23="",ISNA($B287)),"",IF(ISBLANK($B287),"",IFERROR(_xll.BDP(TICKER,"DEEP_MEASURE_PERIOD_BROKER_VALUE","DEEP_MEASURE_ID_OVERRIDE",$C287,"DEEP_BROKER_ID_OVERRIDE",V$24,"DEEP_PERIOD_OVERRIDE",$H$19)*1,"")))</f>
        <v/>
      </c>
      <c r="W287" t="str">
        <f>IF(OR(W$23="",ISNA($B287)),"",IF(ISBLANK($B287),"",IFERROR(_xll.BDP(TICKER,"DEEP_MEASURE_PERIOD_BROKER_VALUE","DEEP_MEASURE_ID_OVERRIDE",$C287,"DEEP_BROKER_ID_OVERRIDE",W$24,"DEEP_PERIOD_OVERRIDE",$H$19)*1,"")))</f>
        <v/>
      </c>
      <c r="X287" t="str">
        <f>IF(OR(X$23="",ISNA($B287)),"",IF(ISBLANK($B287),"",IFERROR(_xll.BDP(TICKER,"DEEP_MEASURE_PERIOD_BROKER_VALUE","DEEP_MEASURE_ID_OVERRIDE",$C287,"DEEP_BROKER_ID_OVERRIDE",X$24,"DEEP_PERIOD_OVERRIDE",$H$19)*1,"")))</f>
        <v/>
      </c>
      <c r="Y287" t="str">
        <f>IF(OR(Y$23="",ISNA($B287)),"",IF(ISBLANK($B287),"",IFERROR(_xll.BDP(TICKER,"DEEP_MEASURE_PERIOD_BROKER_VALUE","DEEP_MEASURE_ID_OVERRIDE",$C287,"DEEP_BROKER_ID_OVERRIDE",Y$24,"DEEP_PERIOD_OVERRIDE",$H$19)*1,"")))</f>
        <v/>
      </c>
      <c r="Z287" t="str">
        <f>IF(OR(Z$23="",ISNA($B287)),"",IF(ISBLANK($B287),"",IFERROR(_xll.BDP(TICKER,"DEEP_MEASURE_PERIOD_BROKER_VALUE","DEEP_MEASURE_ID_OVERRIDE",$C287,"DEEP_BROKER_ID_OVERRIDE",Z$24,"DEEP_PERIOD_OVERRIDE",$H$19)*1,"")))</f>
        <v/>
      </c>
      <c r="AA287" t="str">
        <f>IF(OR(AA$23="",ISNA($B287)),"",IF(ISBLANK($B287),"",IFERROR(_xll.BDP(TICKER,"DEEP_MEASURE_PERIOD_BROKER_VALUE","DEEP_MEASURE_ID_OVERRIDE",$C287,"DEEP_BROKER_ID_OVERRIDE",AA$24,"DEEP_PERIOD_OVERRIDE",$H$19)*1,"")))</f>
        <v/>
      </c>
      <c r="AB287" t="str">
        <f>IF(OR(AB$23="",ISNA($B287)),"",IF(ISBLANK($B287),"",IFERROR(_xll.BDP(TICKER,"DEEP_MEASURE_PERIOD_BROKER_VALUE","DEEP_MEASURE_ID_OVERRIDE",$C287,"DEEP_BROKER_ID_OVERRIDE",AB$24,"DEEP_PERIOD_OVERRIDE",$H$19)*1,"")))</f>
        <v/>
      </c>
      <c r="AC287" t="str">
        <f>IF(OR(AC$23="",ISNA($B287)),"",IF(ISBLANK($B287),"",IFERROR(_xll.BDP(TICKER,"DEEP_MEASURE_PERIOD_BROKER_VALUE","DEEP_MEASURE_ID_OVERRIDE",$C287,"DEEP_BROKER_ID_OVERRIDE",AC$24,"DEEP_PERIOD_OVERRIDE",$H$19)*1,"")))</f>
        <v/>
      </c>
      <c r="AD287" t="str">
        <f>IF(OR(AD$23="",ISNA($B287)),"",IF(ISBLANK($B287),"",IFERROR(_xll.BDP(TICKER,"DEEP_MEASURE_PERIOD_BROKER_VALUE","DEEP_MEASURE_ID_OVERRIDE",$C287,"DEEP_BROKER_ID_OVERRIDE",AD$24,"DEEP_PERIOD_OVERRIDE",$H$19)*1,"")))</f>
        <v/>
      </c>
      <c r="AE287" t="str">
        <f>IF(OR(AE$23="",ISNA($B287)),"",IF(ISBLANK($B287),"",IFERROR(_xll.BDP(TICKER,"DEEP_MEASURE_PERIOD_BROKER_VALUE","DEEP_MEASURE_ID_OVERRIDE",$C287,"DEEP_BROKER_ID_OVERRIDE",AE$24,"DEEP_PERIOD_OVERRIDE",$H$19)*1,"")))</f>
        <v/>
      </c>
      <c r="AF287" t="str">
        <f>IF(OR(AF$23="",ISNA($B287)),"",IF(ISBLANK($B287),"",IFERROR(_xll.BDP(TICKER,"DEEP_MEASURE_PERIOD_BROKER_VALUE","DEEP_MEASURE_ID_OVERRIDE",$C287,"DEEP_BROKER_ID_OVERRIDE",AF$24,"DEEP_PERIOD_OVERRIDE",$H$19)*1,"")))</f>
        <v/>
      </c>
      <c r="AG287" t="str">
        <f>IF(OR(AG$23="",ISNA($B287)),"",IF(ISBLANK($B287),"",IFERROR(_xll.BDP(TICKER,"DEEP_MEASURE_PERIOD_BROKER_VALUE","DEEP_MEASURE_ID_OVERRIDE",$C287,"DEEP_BROKER_ID_OVERRIDE",AG$24,"DEEP_PERIOD_OVERRIDE",$H$19)*1,"")))</f>
        <v/>
      </c>
      <c r="AH287" t="str">
        <f>IF(OR(AH$23="",ISNA($B287)),"",IF(ISBLANK($B287),"",IFERROR(_xll.BDP(TICKER,"DEEP_MEASURE_PERIOD_BROKER_VALUE","DEEP_MEASURE_ID_OVERRIDE",$C287,"DEEP_BROKER_ID_OVERRIDE",AH$24,"DEEP_PERIOD_OVERRIDE",$H$19)*1,"")))</f>
        <v/>
      </c>
      <c r="AI287" t="str">
        <f>IF(OR(AI$23="",ISNA($B287)),"",IF(ISBLANK($B287),"",IFERROR(_xll.BDP(TICKER,"DEEP_MEASURE_PERIOD_BROKER_VALUE","DEEP_MEASURE_ID_OVERRIDE",$C287,"DEEP_BROKER_ID_OVERRIDE",AI$24,"DEEP_PERIOD_OVERRIDE",$H$19)*1,"")))</f>
        <v/>
      </c>
      <c r="AJ287" t="str">
        <f>IF(OR(AJ$23="",ISNA($B287)),"",IF(ISBLANK($B287),"",IFERROR(_xll.BDP(TICKER,"DEEP_MEASURE_PERIOD_BROKER_VALUE","DEEP_MEASURE_ID_OVERRIDE",$C287,"DEEP_BROKER_ID_OVERRIDE",AJ$24,"DEEP_PERIOD_OVERRIDE",$H$19)*1,"")))</f>
        <v/>
      </c>
      <c r="AK287" t="str">
        <f>IF(OR(AK$23="",ISNA($B287)),"",IF(ISBLANK($B287),"",IFERROR(_xll.BDP(TICKER,"DEEP_MEASURE_PERIOD_BROKER_VALUE","DEEP_MEASURE_ID_OVERRIDE",$C287,"DEEP_BROKER_ID_OVERRIDE",AK$24,"DEEP_PERIOD_OVERRIDE",$H$19)*1,"")))</f>
        <v/>
      </c>
      <c r="AL287" t="str">
        <f>IF(OR(AL$23="",ISNA($B287)),"",IF(ISBLANK($B287),"",IFERROR(_xll.BDP(TICKER,"DEEP_MEASURE_PERIOD_BROKER_VALUE","DEEP_MEASURE_ID_OVERRIDE",$C287,"DEEP_BROKER_ID_OVERRIDE",AL$24,"DEEP_PERIOD_OVERRIDE",$H$19)*1,"")))</f>
        <v/>
      </c>
      <c r="AM287" t="str">
        <f>IF(OR(AM$23="",ISNA($B287)),"",IF(ISBLANK($B287),"",IFERROR(_xll.BDP(TICKER,"DEEP_MEASURE_PERIOD_BROKER_VALUE","DEEP_MEASURE_ID_OVERRIDE",$C287,"DEEP_BROKER_ID_OVERRIDE",AM$24,"DEEP_PERIOD_OVERRIDE",$H$19)*1,"")))</f>
        <v/>
      </c>
      <c r="AN287" t="str">
        <f>IF(OR(AN$23="",ISNA($B287)),"",IF(ISBLANK($B287),"",IFERROR(_xll.BDP(TICKER,"DEEP_MEASURE_PERIOD_BROKER_VALUE","DEEP_MEASURE_ID_OVERRIDE",$C287,"DEEP_BROKER_ID_OVERRIDE",AN$24,"DEEP_PERIOD_OVERRIDE",$H$19)*1,"")))</f>
        <v/>
      </c>
      <c r="AO287" t="str">
        <f>IF(OR(AO$23="",ISNA($B287)),"",IF(ISBLANK($B287),"",IFERROR(_xll.BDP(TICKER,"DEEP_MEASURE_PERIOD_BROKER_VALUE","DEEP_MEASURE_ID_OVERRIDE",$C287,"DEEP_BROKER_ID_OVERRIDE",AO$24,"DEEP_PERIOD_OVERRIDE",$H$19)*1,"")))</f>
        <v/>
      </c>
      <c r="AP287" t="str">
        <f>IF(OR(AP$23="",ISNA($B287)),"",IF(ISBLANK($B287),"",IFERROR(_xll.BDP(TICKER,"DEEP_MEASURE_PERIOD_BROKER_VALUE","DEEP_MEASURE_ID_OVERRIDE",$C287,"DEEP_BROKER_ID_OVERRIDE",AP$24,"DEEP_PERIOD_OVERRIDE",$H$19)*1,"")))</f>
        <v/>
      </c>
      <c r="AQ287" t="str">
        <f>IF(OR(AQ$23="",ISNA($B287)),"",IF(ISBLANK($B287),"",IFERROR(_xll.BDP(TICKER,"DEEP_MEASURE_PERIOD_BROKER_VALUE","DEEP_MEASURE_ID_OVERRIDE",$C287,"DEEP_BROKER_ID_OVERRIDE",AQ$24,"DEEP_PERIOD_OVERRIDE",$H$19)*1,"")))</f>
        <v/>
      </c>
      <c r="AR287" t="str">
        <f>IF(OR(AR$23="",ISNA($B287)),"",IF(ISBLANK($B287),"",IFERROR(_xll.BDP(TICKER,"DEEP_MEASURE_PERIOD_BROKER_VALUE","DEEP_MEASURE_ID_OVERRIDE",$C287,"DEEP_BROKER_ID_OVERRIDE",AR$24,"DEEP_PERIOD_OVERRIDE",$H$19)*1,"")))</f>
        <v/>
      </c>
      <c r="AS287" t="str">
        <f>IF(OR(AS$23="",ISNA($B287)),"",IF(ISBLANK($B287),"",IFERROR(_xll.BDP(TICKER,"DEEP_MEASURE_PERIOD_BROKER_VALUE","DEEP_MEASURE_ID_OVERRIDE",$C287,"DEEP_BROKER_ID_OVERRIDE",AS$24,"DEEP_PERIOD_OVERRIDE",$H$19)*1,"")))</f>
        <v/>
      </c>
      <c r="AT287" t="str">
        <f>IF(OR(AT$23="",ISNA($B287)),"",IF(ISBLANK($B287),"",IFERROR(_xll.BDP(TICKER,"DEEP_MEASURE_PERIOD_BROKER_VALUE","DEEP_MEASURE_ID_OVERRIDE",$C287,"DEEP_BROKER_ID_OVERRIDE",AT$24,"DEEP_PERIOD_OVERRIDE",$H$19)*1,"")))</f>
        <v/>
      </c>
      <c r="AU287" t="str">
        <f>IF(OR(AU$23="",ISNA($B287)),"",IF(ISBLANK($B287),"",IFERROR(_xll.BDP(TICKER,"DEEP_MEASURE_PERIOD_BROKER_VALUE","DEEP_MEASURE_ID_OVERRIDE",$C287,"DEEP_BROKER_ID_OVERRIDE",AU$24,"DEEP_PERIOD_OVERRIDE",$H$19)*1,"")))</f>
        <v/>
      </c>
      <c r="AV287" t="str">
        <f>IF(OR(AV$23="",ISNA($B287)),"",IF(ISBLANK($B287),"",IFERROR(_xll.BDP(TICKER,"DEEP_MEASURE_PERIOD_BROKER_VALUE","DEEP_MEASURE_ID_OVERRIDE",$C287,"DEEP_BROKER_ID_OVERRIDE",AV$24,"DEEP_PERIOD_OVERRIDE",$H$19)*1,"")))</f>
        <v/>
      </c>
      <c r="AW287" t="str">
        <f>IF(OR(AW$23="",ISNA($B287)),"",IF(ISBLANK($B287),"",IFERROR(_xll.BDP(TICKER,"DEEP_MEASURE_PERIOD_BROKER_VALUE","DEEP_MEASURE_ID_OVERRIDE",$C287,"DEEP_BROKER_ID_OVERRIDE",AW$24,"DEEP_PERIOD_OVERRIDE",$H$19)*1,"")))</f>
        <v/>
      </c>
      <c r="AX287" t="str">
        <f>IF(OR(AX$23="",ISNA($B287)),"",IF(ISBLANK($B287),"",IFERROR(_xll.BDP(TICKER,"DEEP_MEASURE_PERIOD_BROKER_VALUE","DEEP_MEASURE_ID_OVERRIDE",$C287,"DEEP_BROKER_ID_OVERRIDE",AX$24,"DEEP_PERIOD_OVERRIDE",$H$19)*1,"")))</f>
        <v/>
      </c>
      <c r="AY287" t="str">
        <f>IF(OR(AY$23="",ISNA($B287)),"",IF(ISBLANK($B287),"",IFERROR(_xll.BDP(TICKER,"DEEP_MEASURE_PERIOD_BROKER_VALUE","DEEP_MEASURE_ID_OVERRIDE",$C287,"DEEP_BROKER_ID_OVERRIDE",AY$24,"DEEP_PERIOD_OVERRIDE",$H$19)*1,"")))</f>
        <v/>
      </c>
      <c r="AZ287" t="str">
        <f>IF(OR(AZ$23="",ISNA($B287)),"",IF(ISBLANK($B287),"",IFERROR(_xll.BDP(TICKER,"DEEP_MEASURE_PERIOD_BROKER_VALUE","DEEP_MEASURE_ID_OVERRIDE",$C287,"DEEP_BROKER_ID_OVERRIDE",AZ$24,"DEEP_PERIOD_OVERRIDE",$H$19)*1,"")))</f>
        <v/>
      </c>
      <c r="BA287" t="str">
        <f>IF(OR(BA$23="",ISNA($B287)),"",IF(ISBLANK($B287),"",IFERROR(_xll.BDP(TICKER,"DEEP_MEASURE_PERIOD_BROKER_VALUE","DEEP_MEASURE_ID_OVERRIDE",$C287,"DEEP_BROKER_ID_OVERRIDE",BA$24,"DEEP_PERIOD_OVERRIDE",$H$19)*1,"")))</f>
        <v/>
      </c>
      <c r="BB287" t="str">
        <f>IF(OR(BB$23="",ISNA($B287)),"",IF(ISBLANK($B287),"",IFERROR(_xll.BDP(TICKER,"DEEP_MEASURE_PERIOD_BROKER_VALUE","DEEP_MEASURE_ID_OVERRIDE",$C287,"DEEP_BROKER_ID_OVERRIDE",BB$24,"DEEP_PERIOD_OVERRIDE",$H$19)*1,"")))</f>
        <v/>
      </c>
      <c r="BC287" t="str">
        <f>IF(OR(BC$23="",ISNA($B287)),"",IF(ISBLANK($B287),"",IFERROR(_xll.BDP(TICKER,"DEEP_MEASURE_PERIOD_BROKER_VALUE","DEEP_MEASURE_ID_OVERRIDE",$C287,"DEEP_BROKER_ID_OVERRIDE",BC$24,"DEEP_PERIOD_OVERRIDE",$H$19)*1,"")))</f>
        <v/>
      </c>
      <c r="BD287" t="str">
        <f>IF(OR(BD$23="",ISNA($B287)),"",IF(ISBLANK($B287),"",IFERROR(_xll.BDP(TICKER,"DEEP_MEASURE_PERIOD_BROKER_VALUE","DEEP_MEASURE_ID_OVERRIDE",$C287,"DEEP_BROKER_ID_OVERRIDE",BD$24,"DEEP_PERIOD_OVERRIDE",$H$19)*1,"")))</f>
        <v/>
      </c>
      <c r="BE287" t="str">
        <f>IF(OR(BE$23="",ISNA($B287)),"",IF(ISBLANK($B287),"",IFERROR(_xll.BDP(TICKER,"DEEP_MEASURE_PERIOD_BROKER_VALUE","DEEP_MEASURE_ID_OVERRIDE",$C287,"DEEP_BROKER_ID_OVERRIDE",BE$24,"DEEP_PERIOD_OVERRIDE",$H$19)*1,"")))</f>
        <v/>
      </c>
      <c r="BF287" t="str">
        <f>IF(OR(BF$23="",ISNA($B287)),"",IF(ISBLANK($B287),"",IFERROR(_xll.BDP(TICKER,"DEEP_MEASURE_PERIOD_BROKER_VALUE","DEEP_MEASURE_ID_OVERRIDE",$C287,"DEEP_BROKER_ID_OVERRIDE",BF$24,"DEEP_PERIOD_OVERRIDE",$H$19)*1,"")))</f>
        <v/>
      </c>
      <c r="BG287" t="str">
        <f>IF(OR(BG$23="",ISNA($B287)),"",IF(ISBLANK($B287),"",IFERROR(_xll.BDP(TICKER,"DEEP_MEASURE_PERIOD_BROKER_VALUE","DEEP_MEASURE_ID_OVERRIDE",$C287,"DEEP_BROKER_ID_OVERRIDE",BG$24,"DEEP_PERIOD_OVERRIDE",$H$19)*1,"")))</f>
        <v/>
      </c>
      <c r="BH287" t="str">
        <f>IF(OR(BH$23="",ISNA($B287)),"",IF(ISBLANK($B287),"",IFERROR(_xll.BDP(TICKER,"DEEP_MEASURE_PERIOD_BROKER_VALUE","DEEP_MEASURE_ID_OVERRIDE",$C287,"DEEP_BROKER_ID_OVERRIDE",BH$24,"DEEP_PERIOD_OVERRIDE",$H$19)*1,"")))</f>
        <v/>
      </c>
      <c r="BI287" t="str">
        <f>IF(OR(BI$23="",ISNA($B287)),"",IF(ISBLANK($B287),"",IFERROR(_xll.BDP(TICKER,"DEEP_MEASURE_PERIOD_BROKER_VALUE","DEEP_MEASURE_ID_OVERRIDE",$C287,"DEEP_BROKER_ID_OVERRIDE",BI$24,"DEEP_PERIOD_OVERRIDE",$H$19)*1,"")))</f>
        <v/>
      </c>
      <c r="BJ287" t="str">
        <f>IF(OR(BJ$23="",ISNA($B287)),"",IF(ISBLANK($B287),"",IFERROR(_xll.BDP(TICKER,"DEEP_MEASURE_PERIOD_BROKER_VALUE","DEEP_MEASURE_ID_OVERRIDE",$C287,"DEEP_BROKER_ID_OVERRIDE",BJ$24,"DEEP_PERIOD_OVERRIDE",$H$19)*1,"")))</f>
        <v/>
      </c>
      <c r="BK287" t="str">
        <f>IF(OR(BK$23="",ISNA($B287)),"",IF(ISBLANK($B287),"",IFERROR(_xll.BDP(TICKER,"DEEP_MEASURE_PERIOD_BROKER_VALUE","DEEP_MEASURE_ID_OVERRIDE",$C287,"DEEP_BROKER_ID_OVERRIDE",BK$24,"DEEP_PERIOD_OVERRIDE",$H$19)*1,"")))</f>
        <v/>
      </c>
      <c r="BL287" t="str">
        <f>IF(OR(BL$23="",ISNA($B287)),"",IF(ISBLANK($B287),"",IFERROR(_xll.BDP(TICKER,"DEEP_MEASURE_PERIOD_BROKER_VALUE","DEEP_MEASURE_ID_OVERRIDE",$C287,"DEEP_BROKER_ID_OVERRIDE",BL$24,"DEEP_PERIOD_OVERRIDE",$H$19)*1,"")))</f>
        <v/>
      </c>
      <c r="BM287" t="str">
        <f>IF(OR(BM$23="",ISNA($B287)),"",IF(ISBLANK($B287),"",IFERROR(_xll.BDP(TICKER,"DEEP_MEASURE_PERIOD_BROKER_VALUE","DEEP_MEASURE_ID_OVERRIDE",$C287,"DEEP_BROKER_ID_OVERRIDE",BM$24,"DEEP_PERIOD_OVERRIDE",$H$19)*1,"")))</f>
        <v/>
      </c>
      <c r="BN287" t="str">
        <f>IF(OR(BN$23="",ISNA($B287)),"",IF(ISBLANK($B287),"",IFERROR(_xll.BDP(TICKER,"DEEP_MEASURE_PERIOD_BROKER_VALUE","DEEP_MEASURE_ID_OVERRIDE",$C287,"DEEP_BROKER_ID_OVERRIDE",BN$24,"DEEP_PERIOD_OVERRIDE",$H$19)*1,"")))</f>
        <v/>
      </c>
      <c r="BO287" t="str">
        <f>IF(OR(BO$23="",ISNA($B287)),"",IF(ISBLANK($B287),"",IFERROR(_xll.BDP(TICKER,"DEEP_MEASURE_PERIOD_BROKER_VALUE","DEEP_MEASURE_ID_OVERRIDE",$C287,"DEEP_BROKER_ID_OVERRIDE",BO$24,"DEEP_PERIOD_OVERRIDE",$H$19)*1,"")))</f>
        <v/>
      </c>
      <c r="BP287" t="str">
        <f>IF(OR(BP$23="",ISNA($B287)),"",IF(ISBLANK($B287),"",IFERROR(_xll.BDP(TICKER,"DEEP_MEASURE_PERIOD_BROKER_VALUE","DEEP_MEASURE_ID_OVERRIDE",$C287,"DEEP_BROKER_ID_OVERRIDE",BP$24,"DEEP_PERIOD_OVERRIDE",$H$19)*1,"")))</f>
        <v/>
      </c>
      <c r="BQ287" t="str">
        <f>IF(OR(BQ$23="",ISNA($B287)),"",IF(ISBLANK($B287),"",IFERROR(_xll.BDP(TICKER,"DEEP_MEASURE_PERIOD_BROKER_VALUE","DEEP_MEASURE_ID_OVERRIDE",$C287,"DEEP_BROKER_ID_OVERRIDE",BQ$24,"DEEP_PERIOD_OVERRIDE",$H$19)*1,"")))</f>
        <v/>
      </c>
      <c r="BR287" t="str">
        <f>IF(OR(BR$23="",ISNA($B287)),"",IF(ISBLANK($B287),"",IFERROR(_xll.BDP(TICKER,"DEEP_MEASURE_PERIOD_BROKER_VALUE","DEEP_MEASURE_ID_OVERRIDE",$C287,"DEEP_BROKER_ID_OVERRIDE",BR$24,"DEEP_PERIOD_OVERRIDE",$H$19)*1,"")))</f>
        <v/>
      </c>
      <c r="BS287" t="str">
        <f>IF(OR(BS$23="",ISNA($B287)),"",IF(ISBLANK($B287),"",IFERROR(_xll.BDP(TICKER,"DEEP_MEASURE_PERIOD_BROKER_VALUE","DEEP_MEASURE_ID_OVERRIDE",$C287,"DEEP_BROKER_ID_OVERRIDE",BS$24,"DEEP_PERIOD_OVERRIDE",$H$19)*1,"")))</f>
        <v/>
      </c>
      <c r="BT287" t="str">
        <f>IF(OR(BT$23="",ISNA($B287)),"",IF(ISBLANK($B287),"",IFERROR(_xll.BDP(TICKER,"DEEP_MEASURE_PERIOD_BROKER_VALUE","DEEP_MEASURE_ID_OVERRIDE",$C287,"DEEP_BROKER_ID_OVERRIDE",BT$24,"DEEP_PERIOD_OVERRIDE",$H$19)*1,"")))</f>
        <v/>
      </c>
      <c r="BU287" t="str">
        <f>IF(OR(BU$23="",ISNA($B287)),"",IF(ISBLANK($B287),"",IFERROR(_xll.BDP(TICKER,"DEEP_MEASURE_PERIOD_BROKER_VALUE","DEEP_MEASURE_ID_OVERRIDE",$C287,"DEEP_BROKER_ID_OVERRIDE",BU$24,"DEEP_PERIOD_OVERRIDE",$H$19)*1,"")))</f>
        <v/>
      </c>
      <c r="BV287" t="str">
        <f>IF(OR(BV$23="",ISNA($B287)),"",IF(ISBLANK($B287),"",IFERROR(_xll.BDP(TICKER,"DEEP_MEASURE_PERIOD_BROKER_VALUE","DEEP_MEASURE_ID_OVERRIDE",$C287,"DEEP_BROKER_ID_OVERRIDE",BV$24,"DEEP_PERIOD_OVERRIDE",$H$19)*1,"")))</f>
        <v/>
      </c>
      <c r="BW287" t="str">
        <f>IF(OR(BW$23="",ISNA($B287)),"",IF(ISBLANK($B287),"",IFERROR(_xll.BDP(TICKER,"DEEP_MEASURE_PERIOD_BROKER_VALUE","DEEP_MEASURE_ID_OVERRIDE",$C287,"DEEP_BROKER_ID_OVERRIDE",BW$24,"DEEP_PERIOD_OVERRIDE",$H$19)*1,"")))</f>
        <v/>
      </c>
      <c r="BX287" t="str">
        <f>IF(OR(BX$23="",ISNA($B287)),"",IF(ISBLANK($B287),"",IFERROR(_xll.BDP(TICKER,"DEEP_MEASURE_PERIOD_BROKER_VALUE","DEEP_MEASURE_ID_OVERRIDE",$C287,"DEEP_BROKER_ID_OVERRIDE",BX$24,"DEEP_PERIOD_OVERRIDE",$H$19)*1,"")))</f>
        <v/>
      </c>
      <c r="BY287" t="str">
        <f>IF(OR(BY$23="",ISNA($B287)),"",IF(ISBLANK($B287),"",IFERROR(_xll.BDP(TICKER,"DEEP_MEASURE_PERIOD_BROKER_VALUE","DEEP_MEASURE_ID_OVERRIDE",$C287,"DEEP_BROKER_ID_OVERRIDE",BY$24,"DEEP_PERIOD_OVERRIDE",$H$19)*1,"")))</f>
        <v/>
      </c>
      <c r="BZ287" t="str">
        <f>IF(OR(BZ$23="",ISNA($B287)),"",IF(ISBLANK($B287),"",IFERROR(_xll.BDP(TICKER,"DEEP_MEASURE_PERIOD_BROKER_VALUE","DEEP_MEASURE_ID_OVERRIDE",$C287,"DEEP_BROKER_ID_OVERRIDE",BZ$24,"DEEP_PERIOD_OVERRIDE",$H$19)*1,"")))</f>
        <v/>
      </c>
    </row>
    <row r="288" spans="8:78" x14ac:dyDescent="0.25">
      <c r="H288" t="str">
        <f t="shared" si="5"/>
        <v/>
      </c>
      <c r="I288" t="str">
        <f>IF(OR(I$23="",ISNA($B288)),"",IF(ISBLANK($B288),"",IFERROR(_xll.BDP(TICKER,"DEEP_MEASURE_PERIOD_BROKER_VALUE","DEEP_MEASURE_ID_OVERRIDE",$C288,"DEEP_PERIOD_OVERRIDE",$H$19)*1,"")))</f>
        <v/>
      </c>
      <c r="J288" t="e">
        <f>IF(OR(J$23="",ISNA($B288)),"",IF(ISBLANK($B288),"",IFERROR(_xll.BDP(TICKER,"DEEP_MEASURE_PERIOD_BROKER_VALUE","DEEP_MEASURE_ID_OVERRIDE",$C288,"DEEP_BROKER_ID_OVERRIDE",J$24,"DEEP_PERIOD_OVERRIDE",$H$19)*1,"")))</f>
        <v>#REF!</v>
      </c>
      <c r="K288" t="str">
        <f>IF(OR(K$23="",ISNA($B288)),"",IF(ISBLANK($B288),"",IFERROR(_xll.BDP(TICKER,"DEEP_MEASURE_PERIOD_BROKER_VALUE","DEEP_MEASURE_ID_OVERRIDE",$C288,"DEEP_BROKER_ID_OVERRIDE",K$24,"DEEP_PERIOD_OVERRIDE",$H$19)*1,"")))</f>
        <v/>
      </c>
      <c r="L288" t="str">
        <f>IF(OR(L$23="",ISNA($B288)),"",IF(ISBLANK($B288),"",IFERROR(_xll.BDP(TICKER,"DEEP_MEASURE_PERIOD_BROKER_VALUE","DEEP_MEASURE_ID_OVERRIDE",$C288,"DEEP_BROKER_ID_OVERRIDE",L$24,"DEEP_PERIOD_OVERRIDE",$H$19)*1,"")))</f>
        <v/>
      </c>
      <c r="M288" t="str">
        <f>IF(OR(M$23="",ISNA($B288)),"",IF(ISBLANK($B288),"",IFERROR(_xll.BDP(TICKER,"DEEP_MEASURE_PERIOD_BROKER_VALUE","DEEP_MEASURE_ID_OVERRIDE",$C288,"DEEP_BROKER_ID_OVERRIDE",M$24,"DEEP_PERIOD_OVERRIDE",$H$19)*1,"")))</f>
        <v/>
      </c>
      <c r="N288" t="str">
        <f>IF(OR(N$23="",ISNA($B288)),"",IF(ISBLANK($B288),"",IFERROR(_xll.BDP(TICKER,"DEEP_MEASURE_PERIOD_BROKER_VALUE","DEEP_MEASURE_ID_OVERRIDE",$C288,"DEEP_BROKER_ID_OVERRIDE",N$24,"DEEP_PERIOD_OVERRIDE",$H$19)*1,"")))</f>
        <v/>
      </c>
      <c r="O288" t="str">
        <f>IF(OR(O$23="",ISNA($B288)),"",IF(ISBLANK($B288),"",IFERROR(_xll.BDP(TICKER,"DEEP_MEASURE_PERIOD_BROKER_VALUE","DEEP_MEASURE_ID_OVERRIDE",$C288,"DEEP_BROKER_ID_OVERRIDE",O$24,"DEEP_PERIOD_OVERRIDE",$H$19)*1,"")))</f>
        <v/>
      </c>
      <c r="P288" t="str">
        <f>IF(OR(P$23="",ISNA($B288)),"",IF(ISBLANK($B288),"",IFERROR(_xll.BDP(TICKER,"DEEP_MEASURE_PERIOD_BROKER_VALUE","DEEP_MEASURE_ID_OVERRIDE",$C288,"DEEP_BROKER_ID_OVERRIDE",P$24,"DEEP_PERIOD_OVERRIDE",$H$19)*1,"")))</f>
        <v/>
      </c>
      <c r="Q288" t="str">
        <f>IF(OR(Q$23="",ISNA($B288)),"",IF(ISBLANK($B288),"",IFERROR(_xll.BDP(TICKER,"DEEP_MEASURE_PERIOD_BROKER_VALUE","DEEP_MEASURE_ID_OVERRIDE",$C288,"DEEP_BROKER_ID_OVERRIDE",Q$24,"DEEP_PERIOD_OVERRIDE",$H$19)*1,"")))</f>
        <v/>
      </c>
      <c r="R288" t="str">
        <f>IF(OR(R$23="",ISNA($B288)),"",IF(ISBLANK($B288),"",IFERROR(_xll.BDP(TICKER,"DEEP_MEASURE_PERIOD_BROKER_VALUE","DEEP_MEASURE_ID_OVERRIDE",$C288,"DEEP_BROKER_ID_OVERRIDE",R$24,"DEEP_PERIOD_OVERRIDE",$H$19)*1,"")))</f>
        <v/>
      </c>
      <c r="S288" t="str">
        <f>IF(OR(S$23="",ISNA($B288)),"",IF(ISBLANK($B288),"",IFERROR(_xll.BDP(TICKER,"DEEP_MEASURE_PERIOD_BROKER_VALUE","DEEP_MEASURE_ID_OVERRIDE",$C288,"DEEP_BROKER_ID_OVERRIDE",S$24,"DEEP_PERIOD_OVERRIDE",$H$19)*1,"")))</f>
        <v/>
      </c>
      <c r="T288" t="str">
        <f>IF(OR(T$23="",ISNA($B288)),"",IF(ISBLANK($B288),"",IFERROR(_xll.BDP(TICKER,"DEEP_MEASURE_PERIOD_BROKER_VALUE","DEEP_MEASURE_ID_OVERRIDE",$C288,"DEEP_BROKER_ID_OVERRIDE",T$24,"DEEP_PERIOD_OVERRIDE",$H$19)*1,"")))</f>
        <v/>
      </c>
      <c r="U288" t="str">
        <f>IF(OR(U$23="",ISNA($B288)),"",IF(ISBLANK($B288),"",IFERROR(_xll.BDP(TICKER,"DEEP_MEASURE_PERIOD_BROKER_VALUE","DEEP_MEASURE_ID_OVERRIDE",$C288,"DEEP_BROKER_ID_OVERRIDE",U$24,"DEEP_PERIOD_OVERRIDE",$H$19)*1,"")))</f>
        <v/>
      </c>
      <c r="V288" t="str">
        <f>IF(OR(V$23="",ISNA($B288)),"",IF(ISBLANK($B288),"",IFERROR(_xll.BDP(TICKER,"DEEP_MEASURE_PERIOD_BROKER_VALUE","DEEP_MEASURE_ID_OVERRIDE",$C288,"DEEP_BROKER_ID_OVERRIDE",V$24,"DEEP_PERIOD_OVERRIDE",$H$19)*1,"")))</f>
        <v/>
      </c>
      <c r="W288" t="str">
        <f>IF(OR(W$23="",ISNA($B288)),"",IF(ISBLANK($B288),"",IFERROR(_xll.BDP(TICKER,"DEEP_MEASURE_PERIOD_BROKER_VALUE","DEEP_MEASURE_ID_OVERRIDE",$C288,"DEEP_BROKER_ID_OVERRIDE",W$24,"DEEP_PERIOD_OVERRIDE",$H$19)*1,"")))</f>
        <v/>
      </c>
      <c r="X288" t="str">
        <f>IF(OR(X$23="",ISNA($B288)),"",IF(ISBLANK($B288),"",IFERROR(_xll.BDP(TICKER,"DEEP_MEASURE_PERIOD_BROKER_VALUE","DEEP_MEASURE_ID_OVERRIDE",$C288,"DEEP_BROKER_ID_OVERRIDE",X$24,"DEEP_PERIOD_OVERRIDE",$H$19)*1,"")))</f>
        <v/>
      </c>
      <c r="Y288" t="str">
        <f>IF(OR(Y$23="",ISNA($B288)),"",IF(ISBLANK($B288),"",IFERROR(_xll.BDP(TICKER,"DEEP_MEASURE_PERIOD_BROKER_VALUE","DEEP_MEASURE_ID_OVERRIDE",$C288,"DEEP_BROKER_ID_OVERRIDE",Y$24,"DEEP_PERIOD_OVERRIDE",$H$19)*1,"")))</f>
        <v/>
      </c>
      <c r="Z288" t="str">
        <f>IF(OR(Z$23="",ISNA($B288)),"",IF(ISBLANK($B288),"",IFERROR(_xll.BDP(TICKER,"DEEP_MEASURE_PERIOD_BROKER_VALUE","DEEP_MEASURE_ID_OVERRIDE",$C288,"DEEP_BROKER_ID_OVERRIDE",Z$24,"DEEP_PERIOD_OVERRIDE",$H$19)*1,"")))</f>
        <v/>
      </c>
      <c r="AA288" t="str">
        <f>IF(OR(AA$23="",ISNA($B288)),"",IF(ISBLANK($B288),"",IFERROR(_xll.BDP(TICKER,"DEEP_MEASURE_PERIOD_BROKER_VALUE","DEEP_MEASURE_ID_OVERRIDE",$C288,"DEEP_BROKER_ID_OVERRIDE",AA$24,"DEEP_PERIOD_OVERRIDE",$H$19)*1,"")))</f>
        <v/>
      </c>
      <c r="AB288" t="str">
        <f>IF(OR(AB$23="",ISNA($B288)),"",IF(ISBLANK($B288),"",IFERROR(_xll.BDP(TICKER,"DEEP_MEASURE_PERIOD_BROKER_VALUE","DEEP_MEASURE_ID_OVERRIDE",$C288,"DEEP_BROKER_ID_OVERRIDE",AB$24,"DEEP_PERIOD_OVERRIDE",$H$19)*1,"")))</f>
        <v/>
      </c>
      <c r="AC288" t="str">
        <f>IF(OR(AC$23="",ISNA($B288)),"",IF(ISBLANK($B288),"",IFERROR(_xll.BDP(TICKER,"DEEP_MEASURE_PERIOD_BROKER_VALUE","DEEP_MEASURE_ID_OVERRIDE",$C288,"DEEP_BROKER_ID_OVERRIDE",AC$24,"DEEP_PERIOD_OVERRIDE",$H$19)*1,"")))</f>
        <v/>
      </c>
      <c r="AD288" t="str">
        <f>IF(OR(AD$23="",ISNA($B288)),"",IF(ISBLANK($B288),"",IFERROR(_xll.BDP(TICKER,"DEEP_MEASURE_PERIOD_BROKER_VALUE","DEEP_MEASURE_ID_OVERRIDE",$C288,"DEEP_BROKER_ID_OVERRIDE",AD$24,"DEEP_PERIOD_OVERRIDE",$H$19)*1,"")))</f>
        <v/>
      </c>
      <c r="AE288" t="str">
        <f>IF(OR(AE$23="",ISNA($B288)),"",IF(ISBLANK($B288),"",IFERROR(_xll.BDP(TICKER,"DEEP_MEASURE_PERIOD_BROKER_VALUE","DEEP_MEASURE_ID_OVERRIDE",$C288,"DEEP_BROKER_ID_OVERRIDE",AE$24,"DEEP_PERIOD_OVERRIDE",$H$19)*1,"")))</f>
        <v/>
      </c>
      <c r="AF288" t="str">
        <f>IF(OR(AF$23="",ISNA($B288)),"",IF(ISBLANK($B288),"",IFERROR(_xll.BDP(TICKER,"DEEP_MEASURE_PERIOD_BROKER_VALUE","DEEP_MEASURE_ID_OVERRIDE",$C288,"DEEP_BROKER_ID_OVERRIDE",AF$24,"DEEP_PERIOD_OVERRIDE",$H$19)*1,"")))</f>
        <v/>
      </c>
      <c r="AG288" t="str">
        <f>IF(OR(AG$23="",ISNA($B288)),"",IF(ISBLANK($B288),"",IFERROR(_xll.BDP(TICKER,"DEEP_MEASURE_PERIOD_BROKER_VALUE","DEEP_MEASURE_ID_OVERRIDE",$C288,"DEEP_BROKER_ID_OVERRIDE",AG$24,"DEEP_PERIOD_OVERRIDE",$H$19)*1,"")))</f>
        <v/>
      </c>
      <c r="AH288" t="str">
        <f>IF(OR(AH$23="",ISNA($B288)),"",IF(ISBLANK($B288),"",IFERROR(_xll.BDP(TICKER,"DEEP_MEASURE_PERIOD_BROKER_VALUE","DEEP_MEASURE_ID_OVERRIDE",$C288,"DEEP_BROKER_ID_OVERRIDE",AH$24,"DEEP_PERIOD_OVERRIDE",$H$19)*1,"")))</f>
        <v/>
      </c>
      <c r="AI288" t="str">
        <f>IF(OR(AI$23="",ISNA($B288)),"",IF(ISBLANK($B288),"",IFERROR(_xll.BDP(TICKER,"DEEP_MEASURE_PERIOD_BROKER_VALUE","DEEP_MEASURE_ID_OVERRIDE",$C288,"DEEP_BROKER_ID_OVERRIDE",AI$24,"DEEP_PERIOD_OVERRIDE",$H$19)*1,"")))</f>
        <v/>
      </c>
      <c r="AJ288" t="str">
        <f>IF(OR(AJ$23="",ISNA($B288)),"",IF(ISBLANK($B288),"",IFERROR(_xll.BDP(TICKER,"DEEP_MEASURE_PERIOD_BROKER_VALUE","DEEP_MEASURE_ID_OVERRIDE",$C288,"DEEP_BROKER_ID_OVERRIDE",AJ$24,"DEEP_PERIOD_OVERRIDE",$H$19)*1,"")))</f>
        <v/>
      </c>
      <c r="AK288" t="str">
        <f>IF(OR(AK$23="",ISNA($B288)),"",IF(ISBLANK($B288),"",IFERROR(_xll.BDP(TICKER,"DEEP_MEASURE_PERIOD_BROKER_VALUE","DEEP_MEASURE_ID_OVERRIDE",$C288,"DEEP_BROKER_ID_OVERRIDE",AK$24,"DEEP_PERIOD_OVERRIDE",$H$19)*1,"")))</f>
        <v/>
      </c>
      <c r="AL288" t="str">
        <f>IF(OR(AL$23="",ISNA($B288)),"",IF(ISBLANK($B288),"",IFERROR(_xll.BDP(TICKER,"DEEP_MEASURE_PERIOD_BROKER_VALUE","DEEP_MEASURE_ID_OVERRIDE",$C288,"DEEP_BROKER_ID_OVERRIDE",AL$24,"DEEP_PERIOD_OVERRIDE",$H$19)*1,"")))</f>
        <v/>
      </c>
      <c r="AM288" t="str">
        <f>IF(OR(AM$23="",ISNA($B288)),"",IF(ISBLANK($B288),"",IFERROR(_xll.BDP(TICKER,"DEEP_MEASURE_PERIOD_BROKER_VALUE","DEEP_MEASURE_ID_OVERRIDE",$C288,"DEEP_BROKER_ID_OVERRIDE",AM$24,"DEEP_PERIOD_OVERRIDE",$H$19)*1,"")))</f>
        <v/>
      </c>
      <c r="AN288" t="str">
        <f>IF(OR(AN$23="",ISNA($B288)),"",IF(ISBLANK($B288),"",IFERROR(_xll.BDP(TICKER,"DEEP_MEASURE_PERIOD_BROKER_VALUE","DEEP_MEASURE_ID_OVERRIDE",$C288,"DEEP_BROKER_ID_OVERRIDE",AN$24,"DEEP_PERIOD_OVERRIDE",$H$19)*1,"")))</f>
        <v/>
      </c>
      <c r="AO288" t="str">
        <f>IF(OR(AO$23="",ISNA($B288)),"",IF(ISBLANK($B288),"",IFERROR(_xll.BDP(TICKER,"DEEP_MEASURE_PERIOD_BROKER_VALUE","DEEP_MEASURE_ID_OVERRIDE",$C288,"DEEP_BROKER_ID_OVERRIDE",AO$24,"DEEP_PERIOD_OVERRIDE",$H$19)*1,"")))</f>
        <v/>
      </c>
      <c r="AP288" t="str">
        <f>IF(OR(AP$23="",ISNA($B288)),"",IF(ISBLANK($B288),"",IFERROR(_xll.BDP(TICKER,"DEEP_MEASURE_PERIOD_BROKER_VALUE","DEEP_MEASURE_ID_OVERRIDE",$C288,"DEEP_BROKER_ID_OVERRIDE",AP$24,"DEEP_PERIOD_OVERRIDE",$H$19)*1,"")))</f>
        <v/>
      </c>
      <c r="AQ288" t="str">
        <f>IF(OR(AQ$23="",ISNA($B288)),"",IF(ISBLANK($B288),"",IFERROR(_xll.BDP(TICKER,"DEEP_MEASURE_PERIOD_BROKER_VALUE","DEEP_MEASURE_ID_OVERRIDE",$C288,"DEEP_BROKER_ID_OVERRIDE",AQ$24,"DEEP_PERIOD_OVERRIDE",$H$19)*1,"")))</f>
        <v/>
      </c>
      <c r="AR288" t="str">
        <f>IF(OR(AR$23="",ISNA($B288)),"",IF(ISBLANK($B288),"",IFERROR(_xll.BDP(TICKER,"DEEP_MEASURE_PERIOD_BROKER_VALUE","DEEP_MEASURE_ID_OVERRIDE",$C288,"DEEP_BROKER_ID_OVERRIDE",AR$24,"DEEP_PERIOD_OVERRIDE",$H$19)*1,"")))</f>
        <v/>
      </c>
      <c r="AS288" t="str">
        <f>IF(OR(AS$23="",ISNA($B288)),"",IF(ISBLANK($B288),"",IFERROR(_xll.BDP(TICKER,"DEEP_MEASURE_PERIOD_BROKER_VALUE","DEEP_MEASURE_ID_OVERRIDE",$C288,"DEEP_BROKER_ID_OVERRIDE",AS$24,"DEEP_PERIOD_OVERRIDE",$H$19)*1,"")))</f>
        <v/>
      </c>
      <c r="AT288" t="str">
        <f>IF(OR(AT$23="",ISNA($B288)),"",IF(ISBLANK($B288),"",IFERROR(_xll.BDP(TICKER,"DEEP_MEASURE_PERIOD_BROKER_VALUE","DEEP_MEASURE_ID_OVERRIDE",$C288,"DEEP_BROKER_ID_OVERRIDE",AT$24,"DEEP_PERIOD_OVERRIDE",$H$19)*1,"")))</f>
        <v/>
      </c>
      <c r="AU288" t="str">
        <f>IF(OR(AU$23="",ISNA($B288)),"",IF(ISBLANK($B288),"",IFERROR(_xll.BDP(TICKER,"DEEP_MEASURE_PERIOD_BROKER_VALUE","DEEP_MEASURE_ID_OVERRIDE",$C288,"DEEP_BROKER_ID_OVERRIDE",AU$24,"DEEP_PERIOD_OVERRIDE",$H$19)*1,"")))</f>
        <v/>
      </c>
      <c r="AV288" t="str">
        <f>IF(OR(AV$23="",ISNA($B288)),"",IF(ISBLANK($B288),"",IFERROR(_xll.BDP(TICKER,"DEEP_MEASURE_PERIOD_BROKER_VALUE","DEEP_MEASURE_ID_OVERRIDE",$C288,"DEEP_BROKER_ID_OVERRIDE",AV$24,"DEEP_PERIOD_OVERRIDE",$H$19)*1,"")))</f>
        <v/>
      </c>
      <c r="AW288" t="str">
        <f>IF(OR(AW$23="",ISNA($B288)),"",IF(ISBLANK($B288),"",IFERROR(_xll.BDP(TICKER,"DEEP_MEASURE_PERIOD_BROKER_VALUE","DEEP_MEASURE_ID_OVERRIDE",$C288,"DEEP_BROKER_ID_OVERRIDE",AW$24,"DEEP_PERIOD_OVERRIDE",$H$19)*1,"")))</f>
        <v/>
      </c>
      <c r="AX288" t="str">
        <f>IF(OR(AX$23="",ISNA($B288)),"",IF(ISBLANK($B288),"",IFERROR(_xll.BDP(TICKER,"DEEP_MEASURE_PERIOD_BROKER_VALUE","DEEP_MEASURE_ID_OVERRIDE",$C288,"DEEP_BROKER_ID_OVERRIDE",AX$24,"DEEP_PERIOD_OVERRIDE",$H$19)*1,"")))</f>
        <v/>
      </c>
      <c r="AY288" t="str">
        <f>IF(OR(AY$23="",ISNA($B288)),"",IF(ISBLANK($B288),"",IFERROR(_xll.BDP(TICKER,"DEEP_MEASURE_PERIOD_BROKER_VALUE","DEEP_MEASURE_ID_OVERRIDE",$C288,"DEEP_BROKER_ID_OVERRIDE",AY$24,"DEEP_PERIOD_OVERRIDE",$H$19)*1,"")))</f>
        <v/>
      </c>
      <c r="AZ288" t="str">
        <f>IF(OR(AZ$23="",ISNA($B288)),"",IF(ISBLANK($B288),"",IFERROR(_xll.BDP(TICKER,"DEEP_MEASURE_PERIOD_BROKER_VALUE","DEEP_MEASURE_ID_OVERRIDE",$C288,"DEEP_BROKER_ID_OVERRIDE",AZ$24,"DEEP_PERIOD_OVERRIDE",$H$19)*1,"")))</f>
        <v/>
      </c>
      <c r="BA288" t="str">
        <f>IF(OR(BA$23="",ISNA($B288)),"",IF(ISBLANK($B288),"",IFERROR(_xll.BDP(TICKER,"DEEP_MEASURE_PERIOD_BROKER_VALUE","DEEP_MEASURE_ID_OVERRIDE",$C288,"DEEP_BROKER_ID_OVERRIDE",BA$24,"DEEP_PERIOD_OVERRIDE",$H$19)*1,"")))</f>
        <v/>
      </c>
      <c r="BB288" t="str">
        <f>IF(OR(BB$23="",ISNA($B288)),"",IF(ISBLANK($B288),"",IFERROR(_xll.BDP(TICKER,"DEEP_MEASURE_PERIOD_BROKER_VALUE","DEEP_MEASURE_ID_OVERRIDE",$C288,"DEEP_BROKER_ID_OVERRIDE",BB$24,"DEEP_PERIOD_OVERRIDE",$H$19)*1,"")))</f>
        <v/>
      </c>
      <c r="BC288" t="str">
        <f>IF(OR(BC$23="",ISNA($B288)),"",IF(ISBLANK($B288),"",IFERROR(_xll.BDP(TICKER,"DEEP_MEASURE_PERIOD_BROKER_VALUE","DEEP_MEASURE_ID_OVERRIDE",$C288,"DEEP_BROKER_ID_OVERRIDE",BC$24,"DEEP_PERIOD_OVERRIDE",$H$19)*1,"")))</f>
        <v/>
      </c>
      <c r="BD288" t="str">
        <f>IF(OR(BD$23="",ISNA($B288)),"",IF(ISBLANK($B288),"",IFERROR(_xll.BDP(TICKER,"DEEP_MEASURE_PERIOD_BROKER_VALUE","DEEP_MEASURE_ID_OVERRIDE",$C288,"DEEP_BROKER_ID_OVERRIDE",BD$24,"DEEP_PERIOD_OVERRIDE",$H$19)*1,"")))</f>
        <v/>
      </c>
      <c r="BE288" t="str">
        <f>IF(OR(BE$23="",ISNA($B288)),"",IF(ISBLANK($B288),"",IFERROR(_xll.BDP(TICKER,"DEEP_MEASURE_PERIOD_BROKER_VALUE","DEEP_MEASURE_ID_OVERRIDE",$C288,"DEEP_BROKER_ID_OVERRIDE",BE$24,"DEEP_PERIOD_OVERRIDE",$H$19)*1,"")))</f>
        <v/>
      </c>
      <c r="BF288" t="str">
        <f>IF(OR(BF$23="",ISNA($B288)),"",IF(ISBLANK($B288),"",IFERROR(_xll.BDP(TICKER,"DEEP_MEASURE_PERIOD_BROKER_VALUE","DEEP_MEASURE_ID_OVERRIDE",$C288,"DEEP_BROKER_ID_OVERRIDE",BF$24,"DEEP_PERIOD_OVERRIDE",$H$19)*1,"")))</f>
        <v/>
      </c>
      <c r="BG288" t="str">
        <f>IF(OR(BG$23="",ISNA($B288)),"",IF(ISBLANK($B288),"",IFERROR(_xll.BDP(TICKER,"DEEP_MEASURE_PERIOD_BROKER_VALUE","DEEP_MEASURE_ID_OVERRIDE",$C288,"DEEP_BROKER_ID_OVERRIDE",BG$24,"DEEP_PERIOD_OVERRIDE",$H$19)*1,"")))</f>
        <v/>
      </c>
      <c r="BH288" t="str">
        <f>IF(OR(BH$23="",ISNA($B288)),"",IF(ISBLANK($B288),"",IFERROR(_xll.BDP(TICKER,"DEEP_MEASURE_PERIOD_BROKER_VALUE","DEEP_MEASURE_ID_OVERRIDE",$C288,"DEEP_BROKER_ID_OVERRIDE",BH$24,"DEEP_PERIOD_OVERRIDE",$H$19)*1,"")))</f>
        <v/>
      </c>
      <c r="BI288" t="str">
        <f>IF(OR(BI$23="",ISNA($B288)),"",IF(ISBLANK($B288),"",IFERROR(_xll.BDP(TICKER,"DEEP_MEASURE_PERIOD_BROKER_VALUE","DEEP_MEASURE_ID_OVERRIDE",$C288,"DEEP_BROKER_ID_OVERRIDE",BI$24,"DEEP_PERIOD_OVERRIDE",$H$19)*1,"")))</f>
        <v/>
      </c>
      <c r="BJ288" t="str">
        <f>IF(OR(BJ$23="",ISNA($B288)),"",IF(ISBLANK($B288),"",IFERROR(_xll.BDP(TICKER,"DEEP_MEASURE_PERIOD_BROKER_VALUE","DEEP_MEASURE_ID_OVERRIDE",$C288,"DEEP_BROKER_ID_OVERRIDE",BJ$24,"DEEP_PERIOD_OVERRIDE",$H$19)*1,"")))</f>
        <v/>
      </c>
      <c r="BK288" t="str">
        <f>IF(OR(BK$23="",ISNA($B288)),"",IF(ISBLANK($B288),"",IFERROR(_xll.BDP(TICKER,"DEEP_MEASURE_PERIOD_BROKER_VALUE","DEEP_MEASURE_ID_OVERRIDE",$C288,"DEEP_BROKER_ID_OVERRIDE",BK$24,"DEEP_PERIOD_OVERRIDE",$H$19)*1,"")))</f>
        <v/>
      </c>
      <c r="BL288" t="str">
        <f>IF(OR(BL$23="",ISNA($B288)),"",IF(ISBLANK($B288),"",IFERROR(_xll.BDP(TICKER,"DEEP_MEASURE_PERIOD_BROKER_VALUE","DEEP_MEASURE_ID_OVERRIDE",$C288,"DEEP_BROKER_ID_OVERRIDE",BL$24,"DEEP_PERIOD_OVERRIDE",$H$19)*1,"")))</f>
        <v/>
      </c>
      <c r="BM288" t="str">
        <f>IF(OR(BM$23="",ISNA($B288)),"",IF(ISBLANK($B288),"",IFERROR(_xll.BDP(TICKER,"DEEP_MEASURE_PERIOD_BROKER_VALUE","DEEP_MEASURE_ID_OVERRIDE",$C288,"DEEP_BROKER_ID_OVERRIDE",BM$24,"DEEP_PERIOD_OVERRIDE",$H$19)*1,"")))</f>
        <v/>
      </c>
      <c r="BN288" t="str">
        <f>IF(OR(BN$23="",ISNA($B288)),"",IF(ISBLANK($B288),"",IFERROR(_xll.BDP(TICKER,"DEEP_MEASURE_PERIOD_BROKER_VALUE","DEEP_MEASURE_ID_OVERRIDE",$C288,"DEEP_BROKER_ID_OVERRIDE",BN$24,"DEEP_PERIOD_OVERRIDE",$H$19)*1,"")))</f>
        <v/>
      </c>
      <c r="BO288" t="str">
        <f>IF(OR(BO$23="",ISNA($B288)),"",IF(ISBLANK($B288),"",IFERROR(_xll.BDP(TICKER,"DEEP_MEASURE_PERIOD_BROKER_VALUE","DEEP_MEASURE_ID_OVERRIDE",$C288,"DEEP_BROKER_ID_OVERRIDE",BO$24,"DEEP_PERIOD_OVERRIDE",$H$19)*1,"")))</f>
        <v/>
      </c>
      <c r="BP288" t="str">
        <f>IF(OR(BP$23="",ISNA($B288)),"",IF(ISBLANK($B288),"",IFERROR(_xll.BDP(TICKER,"DEEP_MEASURE_PERIOD_BROKER_VALUE","DEEP_MEASURE_ID_OVERRIDE",$C288,"DEEP_BROKER_ID_OVERRIDE",BP$24,"DEEP_PERIOD_OVERRIDE",$H$19)*1,"")))</f>
        <v/>
      </c>
      <c r="BQ288" t="str">
        <f>IF(OR(BQ$23="",ISNA($B288)),"",IF(ISBLANK($B288),"",IFERROR(_xll.BDP(TICKER,"DEEP_MEASURE_PERIOD_BROKER_VALUE","DEEP_MEASURE_ID_OVERRIDE",$C288,"DEEP_BROKER_ID_OVERRIDE",BQ$24,"DEEP_PERIOD_OVERRIDE",$H$19)*1,"")))</f>
        <v/>
      </c>
      <c r="BR288" t="str">
        <f>IF(OR(BR$23="",ISNA($B288)),"",IF(ISBLANK($B288),"",IFERROR(_xll.BDP(TICKER,"DEEP_MEASURE_PERIOD_BROKER_VALUE","DEEP_MEASURE_ID_OVERRIDE",$C288,"DEEP_BROKER_ID_OVERRIDE",BR$24,"DEEP_PERIOD_OVERRIDE",$H$19)*1,"")))</f>
        <v/>
      </c>
      <c r="BS288" t="str">
        <f>IF(OR(BS$23="",ISNA($B288)),"",IF(ISBLANK($B288),"",IFERROR(_xll.BDP(TICKER,"DEEP_MEASURE_PERIOD_BROKER_VALUE","DEEP_MEASURE_ID_OVERRIDE",$C288,"DEEP_BROKER_ID_OVERRIDE",BS$24,"DEEP_PERIOD_OVERRIDE",$H$19)*1,"")))</f>
        <v/>
      </c>
      <c r="BT288" t="str">
        <f>IF(OR(BT$23="",ISNA($B288)),"",IF(ISBLANK($B288),"",IFERROR(_xll.BDP(TICKER,"DEEP_MEASURE_PERIOD_BROKER_VALUE","DEEP_MEASURE_ID_OVERRIDE",$C288,"DEEP_BROKER_ID_OVERRIDE",BT$24,"DEEP_PERIOD_OVERRIDE",$H$19)*1,"")))</f>
        <v/>
      </c>
      <c r="BU288" t="str">
        <f>IF(OR(BU$23="",ISNA($B288)),"",IF(ISBLANK($B288),"",IFERROR(_xll.BDP(TICKER,"DEEP_MEASURE_PERIOD_BROKER_VALUE","DEEP_MEASURE_ID_OVERRIDE",$C288,"DEEP_BROKER_ID_OVERRIDE",BU$24,"DEEP_PERIOD_OVERRIDE",$H$19)*1,"")))</f>
        <v/>
      </c>
      <c r="BV288" t="str">
        <f>IF(OR(BV$23="",ISNA($B288)),"",IF(ISBLANK($B288),"",IFERROR(_xll.BDP(TICKER,"DEEP_MEASURE_PERIOD_BROKER_VALUE","DEEP_MEASURE_ID_OVERRIDE",$C288,"DEEP_BROKER_ID_OVERRIDE",BV$24,"DEEP_PERIOD_OVERRIDE",$H$19)*1,"")))</f>
        <v/>
      </c>
      <c r="BW288" t="str">
        <f>IF(OR(BW$23="",ISNA($B288)),"",IF(ISBLANK($B288),"",IFERROR(_xll.BDP(TICKER,"DEEP_MEASURE_PERIOD_BROKER_VALUE","DEEP_MEASURE_ID_OVERRIDE",$C288,"DEEP_BROKER_ID_OVERRIDE",BW$24,"DEEP_PERIOD_OVERRIDE",$H$19)*1,"")))</f>
        <v/>
      </c>
      <c r="BX288" t="str">
        <f>IF(OR(BX$23="",ISNA($B288)),"",IF(ISBLANK($B288),"",IFERROR(_xll.BDP(TICKER,"DEEP_MEASURE_PERIOD_BROKER_VALUE","DEEP_MEASURE_ID_OVERRIDE",$C288,"DEEP_BROKER_ID_OVERRIDE",BX$24,"DEEP_PERIOD_OVERRIDE",$H$19)*1,"")))</f>
        <v/>
      </c>
      <c r="BY288" t="str">
        <f>IF(OR(BY$23="",ISNA($B288)),"",IF(ISBLANK($B288),"",IFERROR(_xll.BDP(TICKER,"DEEP_MEASURE_PERIOD_BROKER_VALUE","DEEP_MEASURE_ID_OVERRIDE",$C288,"DEEP_BROKER_ID_OVERRIDE",BY$24,"DEEP_PERIOD_OVERRIDE",$H$19)*1,"")))</f>
        <v/>
      </c>
      <c r="BZ288" t="str">
        <f>IF(OR(BZ$23="",ISNA($B288)),"",IF(ISBLANK($B288),"",IFERROR(_xll.BDP(TICKER,"DEEP_MEASURE_PERIOD_BROKER_VALUE","DEEP_MEASURE_ID_OVERRIDE",$C288,"DEEP_BROKER_ID_OVERRIDE",BZ$24,"DEEP_PERIOD_OVERRIDE",$H$19)*1,"")))</f>
        <v/>
      </c>
    </row>
    <row r="289" spans="8:78" x14ac:dyDescent="0.25">
      <c r="H289" t="str">
        <f t="shared" si="5"/>
        <v/>
      </c>
      <c r="I289" t="str">
        <f>IF(OR(I$23="",ISNA($B289)),"",IF(ISBLANK($B289),"",IFERROR(_xll.BDP(TICKER,"DEEP_MEASURE_PERIOD_BROKER_VALUE","DEEP_MEASURE_ID_OVERRIDE",$C289,"DEEP_PERIOD_OVERRIDE",$H$19)*1,"")))</f>
        <v/>
      </c>
      <c r="J289" t="e">
        <f>IF(OR(J$23="",ISNA($B289)),"",IF(ISBLANK($B289),"",IFERROR(_xll.BDP(TICKER,"DEEP_MEASURE_PERIOD_BROKER_VALUE","DEEP_MEASURE_ID_OVERRIDE",$C289,"DEEP_BROKER_ID_OVERRIDE",J$24,"DEEP_PERIOD_OVERRIDE",$H$19)*1,"")))</f>
        <v>#REF!</v>
      </c>
      <c r="K289" t="str">
        <f>IF(OR(K$23="",ISNA($B289)),"",IF(ISBLANK($B289),"",IFERROR(_xll.BDP(TICKER,"DEEP_MEASURE_PERIOD_BROKER_VALUE","DEEP_MEASURE_ID_OVERRIDE",$C289,"DEEP_BROKER_ID_OVERRIDE",K$24,"DEEP_PERIOD_OVERRIDE",$H$19)*1,"")))</f>
        <v/>
      </c>
      <c r="L289" t="str">
        <f>IF(OR(L$23="",ISNA($B289)),"",IF(ISBLANK($B289),"",IFERROR(_xll.BDP(TICKER,"DEEP_MEASURE_PERIOD_BROKER_VALUE","DEEP_MEASURE_ID_OVERRIDE",$C289,"DEEP_BROKER_ID_OVERRIDE",L$24,"DEEP_PERIOD_OVERRIDE",$H$19)*1,"")))</f>
        <v/>
      </c>
      <c r="M289" t="str">
        <f>IF(OR(M$23="",ISNA($B289)),"",IF(ISBLANK($B289),"",IFERROR(_xll.BDP(TICKER,"DEEP_MEASURE_PERIOD_BROKER_VALUE","DEEP_MEASURE_ID_OVERRIDE",$C289,"DEEP_BROKER_ID_OVERRIDE",M$24,"DEEP_PERIOD_OVERRIDE",$H$19)*1,"")))</f>
        <v/>
      </c>
      <c r="N289" t="str">
        <f>IF(OR(N$23="",ISNA($B289)),"",IF(ISBLANK($B289),"",IFERROR(_xll.BDP(TICKER,"DEEP_MEASURE_PERIOD_BROKER_VALUE","DEEP_MEASURE_ID_OVERRIDE",$C289,"DEEP_BROKER_ID_OVERRIDE",N$24,"DEEP_PERIOD_OVERRIDE",$H$19)*1,"")))</f>
        <v/>
      </c>
      <c r="O289" t="str">
        <f>IF(OR(O$23="",ISNA($B289)),"",IF(ISBLANK($B289),"",IFERROR(_xll.BDP(TICKER,"DEEP_MEASURE_PERIOD_BROKER_VALUE","DEEP_MEASURE_ID_OVERRIDE",$C289,"DEEP_BROKER_ID_OVERRIDE",O$24,"DEEP_PERIOD_OVERRIDE",$H$19)*1,"")))</f>
        <v/>
      </c>
      <c r="P289" t="str">
        <f>IF(OR(P$23="",ISNA($B289)),"",IF(ISBLANK($B289),"",IFERROR(_xll.BDP(TICKER,"DEEP_MEASURE_PERIOD_BROKER_VALUE","DEEP_MEASURE_ID_OVERRIDE",$C289,"DEEP_BROKER_ID_OVERRIDE",P$24,"DEEP_PERIOD_OVERRIDE",$H$19)*1,"")))</f>
        <v/>
      </c>
      <c r="Q289" t="str">
        <f>IF(OR(Q$23="",ISNA($B289)),"",IF(ISBLANK($B289),"",IFERROR(_xll.BDP(TICKER,"DEEP_MEASURE_PERIOD_BROKER_VALUE","DEEP_MEASURE_ID_OVERRIDE",$C289,"DEEP_BROKER_ID_OVERRIDE",Q$24,"DEEP_PERIOD_OVERRIDE",$H$19)*1,"")))</f>
        <v/>
      </c>
      <c r="R289" t="str">
        <f>IF(OR(R$23="",ISNA($B289)),"",IF(ISBLANK($B289),"",IFERROR(_xll.BDP(TICKER,"DEEP_MEASURE_PERIOD_BROKER_VALUE","DEEP_MEASURE_ID_OVERRIDE",$C289,"DEEP_BROKER_ID_OVERRIDE",R$24,"DEEP_PERIOD_OVERRIDE",$H$19)*1,"")))</f>
        <v/>
      </c>
      <c r="S289" t="str">
        <f>IF(OR(S$23="",ISNA($B289)),"",IF(ISBLANK($B289),"",IFERROR(_xll.BDP(TICKER,"DEEP_MEASURE_PERIOD_BROKER_VALUE","DEEP_MEASURE_ID_OVERRIDE",$C289,"DEEP_BROKER_ID_OVERRIDE",S$24,"DEEP_PERIOD_OVERRIDE",$H$19)*1,"")))</f>
        <v/>
      </c>
      <c r="T289" t="str">
        <f>IF(OR(T$23="",ISNA($B289)),"",IF(ISBLANK($B289),"",IFERROR(_xll.BDP(TICKER,"DEEP_MEASURE_PERIOD_BROKER_VALUE","DEEP_MEASURE_ID_OVERRIDE",$C289,"DEEP_BROKER_ID_OVERRIDE",T$24,"DEEP_PERIOD_OVERRIDE",$H$19)*1,"")))</f>
        <v/>
      </c>
      <c r="U289" t="str">
        <f>IF(OR(U$23="",ISNA($B289)),"",IF(ISBLANK($B289),"",IFERROR(_xll.BDP(TICKER,"DEEP_MEASURE_PERIOD_BROKER_VALUE","DEEP_MEASURE_ID_OVERRIDE",$C289,"DEEP_BROKER_ID_OVERRIDE",U$24,"DEEP_PERIOD_OVERRIDE",$H$19)*1,"")))</f>
        <v/>
      </c>
      <c r="V289" t="str">
        <f>IF(OR(V$23="",ISNA($B289)),"",IF(ISBLANK($B289),"",IFERROR(_xll.BDP(TICKER,"DEEP_MEASURE_PERIOD_BROKER_VALUE","DEEP_MEASURE_ID_OVERRIDE",$C289,"DEEP_BROKER_ID_OVERRIDE",V$24,"DEEP_PERIOD_OVERRIDE",$H$19)*1,"")))</f>
        <v/>
      </c>
      <c r="W289" t="str">
        <f>IF(OR(W$23="",ISNA($B289)),"",IF(ISBLANK($B289),"",IFERROR(_xll.BDP(TICKER,"DEEP_MEASURE_PERIOD_BROKER_VALUE","DEEP_MEASURE_ID_OVERRIDE",$C289,"DEEP_BROKER_ID_OVERRIDE",W$24,"DEEP_PERIOD_OVERRIDE",$H$19)*1,"")))</f>
        <v/>
      </c>
      <c r="X289" t="str">
        <f>IF(OR(X$23="",ISNA($B289)),"",IF(ISBLANK($B289),"",IFERROR(_xll.BDP(TICKER,"DEEP_MEASURE_PERIOD_BROKER_VALUE","DEEP_MEASURE_ID_OVERRIDE",$C289,"DEEP_BROKER_ID_OVERRIDE",X$24,"DEEP_PERIOD_OVERRIDE",$H$19)*1,"")))</f>
        <v/>
      </c>
      <c r="Y289" t="str">
        <f>IF(OR(Y$23="",ISNA($B289)),"",IF(ISBLANK($B289),"",IFERROR(_xll.BDP(TICKER,"DEEP_MEASURE_PERIOD_BROKER_VALUE","DEEP_MEASURE_ID_OVERRIDE",$C289,"DEEP_BROKER_ID_OVERRIDE",Y$24,"DEEP_PERIOD_OVERRIDE",$H$19)*1,"")))</f>
        <v/>
      </c>
      <c r="Z289" t="str">
        <f>IF(OR(Z$23="",ISNA($B289)),"",IF(ISBLANK($B289),"",IFERROR(_xll.BDP(TICKER,"DEEP_MEASURE_PERIOD_BROKER_VALUE","DEEP_MEASURE_ID_OVERRIDE",$C289,"DEEP_BROKER_ID_OVERRIDE",Z$24,"DEEP_PERIOD_OVERRIDE",$H$19)*1,"")))</f>
        <v/>
      </c>
      <c r="AA289" t="str">
        <f>IF(OR(AA$23="",ISNA($B289)),"",IF(ISBLANK($B289),"",IFERROR(_xll.BDP(TICKER,"DEEP_MEASURE_PERIOD_BROKER_VALUE","DEEP_MEASURE_ID_OVERRIDE",$C289,"DEEP_BROKER_ID_OVERRIDE",AA$24,"DEEP_PERIOD_OVERRIDE",$H$19)*1,"")))</f>
        <v/>
      </c>
      <c r="AB289" t="str">
        <f>IF(OR(AB$23="",ISNA($B289)),"",IF(ISBLANK($B289),"",IFERROR(_xll.BDP(TICKER,"DEEP_MEASURE_PERIOD_BROKER_VALUE","DEEP_MEASURE_ID_OVERRIDE",$C289,"DEEP_BROKER_ID_OVERRIDE",AB$24,"DEEP_PERIOD_OVERRIDE",$H$19)*1,"")))</f>
        <v/>
      </c>
      <c r="AC289" t="str">
        <f>IF(OR(AC$23="",ISNA($B289)),"",IF(ISBLANK($B289),"",IFERROR(_xll.BDP(TICKER,"DEEP_MEASURE_PERIOD_BROKER_VALUE","DEEP_MEASURE_ID_OVERRIDE",$C289,"DEEP_BROKER_ID_OVERRIDE",AC$24,"DEEP_PERIOD_OVERRIDE",$H$19)*1,"")))</f>
        <v/>
      </c>
      <c r="AD289" t="str">
        <f>IF(OR(AD$23="",ISNA($B289)),"",IF(ISBLANK($B289),"",IFERROR(_xll.BDP(TICKER,"DEEP_MEASURE_PERIOD_BROKER_VALUE","DEEP_MEASURE_ID_OVERRIDE",$C289,"DEEP_BROKER_ID_OVERRIDE",AD$24,"DEEP_PERIOD_OVERRIDE",$H$19)*1,"")))</f>
        <v/>
      </c>
      <c r="AE289" t="str">
        <f>IF(OR(AE$23="",ISNA($B289)),"",IF(ISBLANK($B289),"",IFERROR(_xll.BDP(TICKER,"DEEP_MEASURE_PERIOD_BROKER_VALUE","DEEP_MEASURE_ID_OVERRIDE",$C289,"DEEP_BROKER_ID_OVERRIDE",AE$24,"DEEP_PERIOD_OVERRIDE",$H$19)*1,"")))</f>
        <v/>
      </c>
      <c r="AF289" t="str">
        <f>IF(OR(AF$23="",ISNA($B289)),"",IF(ISBLANK($B289),"",IFERROR(_xll.BDP(TICKER,"DEEP_MEASURE_PERIOD_BROKER_VALUE","DEEP_MEASURE_ID_OVERRIDE",$C289,"DEEP_BROKER_ID_OVERRIDE",AF$24,"DEEP_PERIOD_OVERRIDE",$H$19)*1,"")))</f>
        <v/>
      </c>
      <c r="AG289" t="str">
        <f>IF(OR(AG$23="",ISNA($B289)),"",IF(ISBLANK($B289),"",IFERROR(_xll.BDP(TICKER,"DEEP_MEASURE_PERIOD_BROKER_VALUE","DEEP_MEASURE_ID_OVERRIDE",$C289,"DEEP_BROKER_ID_OVERRIDE",AG$24,"DEEP_PERIOD_OVERRIDE",$H$19)*1,"")))</f>
        <v/>
      </c>
      <c r="AH289" t="str">
        <f>IF(OR(AH$23="",ISNA($B289)),"",IF(ISBLANK($B289),"",IFERROR(_xll.BDP(TICKER,"DEEP_MEASURE_PERIOD_BROKER_VALUE","DEEP_MEASURE_ID_OVERRIDE",$C289,"DEEP_BROKER_ID_OVERRIDE",AH$24,"DEEP_PERIOD_OVERRIDE",$H$19)*1,"")))</f>
        <v/>
      </c>
      <c r="AI289" t="str">
        <f>IF(OR(AI$23="",ISNA($B289)),"",IF(ISBLANK($B289),"",IFERROR(_xll.BDP(TICKER,"DEEP_MEASURE_PERIOD_BROKER_VALUE","DEEP_MEASURE_ID_OVERRIDE",$C289,"DEEP_BROKER_ID_OVERRIDE",AI$24,"DEEP_PERIOD_OVERRIDE",$H$19)*1,"")))</f>
        <v/>
      </c>
      <c r="AJ289" t="str">
        <f>IF(OR(AJ$23="",ISNA($B289)),"",IF(ISBLANK($B289),"",IFERROR(_xll.BDP(TICKER,"DEEP_MEASURE_PERIOD_BROKER_VALUE","DEEP_MEASURE_ID_OVERRIDE",$C289,"DEEP_BROKER_ID_OVERRIDE",AJ$24,"DEEP_PERIOD_OVERRIDE",$H$19)*1,"")))</f>
        <v/>
      </c>
      <c r="AK289" t="str">
        <f>IF(OR(AK$23="",ISNA($B289)),"",IF(ISBLANK($B289),"",IFERROR(_xll.BDP(TICKER,"DEEP_MEASURE_PERIOD_BROKER_VALUE","DEEP_MEASURE_ID_OVERRIDE",$C289,"DEEP_BROKER_ID_OVERRIDE",AK$24,"DEEP_PERIOD_OVERRIDE",$H$19)*1,"")))</f>
        <v/>
      </c>
      <c r="AL289" t="str">
        <f>IF(OR(AL$23="",ISNA($B289)),"",IF(ISBLANK($B289),"",IFERROR(_xll.BDP(TICKER,"DEEP_MEASURE_PERIOD_BROKER_VALUE","DEEP_MEASURE_ID_OVERRIDE",$C289,"DEEP_BROKER_ID_OVERRIDE",AL$24,"DEEP_PERIOD_OVERRIDE",$H$19)*1,"")))</f>
        <v/>
      </c>
      <c r="AM289" t="str">
        <f>IF(OR(AM$23="",ISNA($B289)),"",IF(ISBLANK($B289),"",IFERROR(_xll.BDP(TICKER,"DEEP_MEASURE_PERIOD_BROKER_VALUE","DEEP_MEASURE_ID_OVERRIDE",$C289,"DEEP_BROKER_ID_OVERRIDE",AM$24,"DEEP_PERIOD_OVERRIDE",$H$19)*1,"")))</f>
        <v/>
      </c>
      <c r="AN289" t="str">
        <f>IF(OR(AN$23="",ISNA($B289)),"",IF(ISBLANK($B289),"",IFERROR(_xll.BDP(TICKER,"DEEP_MEASURE_PERIOD_BROKER_VALUE","DEEP_MEASURE_ID_OVERRIDE",$C289,"DEEP_BROKER_ID_OVERRIDE",AN$24,"DEEP_PERIOD_OVERRIDE",$H$19)*1,"")))</f>
        <v/>
      </c>
      <c r="AO289" t="str">
        <f>IF(OR(AO$23="",ISNA($B289)),"",IF(ISBLANK($B289),"",IFERROR(_xll.BDP(TICKER,"DEEP_MEASURE_PERIOD_BROKER_VALUE","DEEP_MEASURE_ID_OVERRIDE",$C289,"DEEP_BROKER_ID_OVERRIDE",AO$24,"DEEP_PERIOD_OVERRIDE",$H$19)*1,"")))</f>
        <v/>
      </c>
      <c r="AP289" t="str">
        <f>IF(OR(AP$23="",ISNA($B289)),"",IF(ISBLANK($B289),"",IFERROR(_xll.BDP(TICKER,"DEEP_MEASURE_PERIOD_BROKER_VALUE","DEEP_MEASURE_ID_OVERRIDE",$C289,"DEEP_BROKER_ID_OVERRIDE",AP$24,"DEEP_PERIOD_OVERRIDE",$H$19)*1,"")))</f>
        <v/>
      </c>
      <c r="AQ289" t="str">
        <f>IF(OR(AQ$23="",ISNA($B289)),"",IF(ISBLANK($B289),"",IFERROR(_xll.BDP(TICKER,"DEEP_MEASURE_PERIOD_BROKER_VALUE","DEEP_MEASURE_ID_OVERRIDE",$C289,"DEEP_BROKER_ID_OVERRIDE",AQ$24,"DEEP_PERIOD_OVERRIDE",$H$19)*1,"")))</f>
        <v/>
      </c>
      <c r="AR289" t="str">
        <f>IF(OR(AR$23="",ISNA($B289)),"",IF(ISBLANK($B289),"",IFERROR(_xll.BDP(TICKER,"DEEP_MEASURE_PERIOD_BROKER_VALUE","DEEP_MEASURE_ID_OVERRIDE",$C289,"DEEP_BROKER_ID_OVERRIDE",AR$24,"DEEP_PERIOD_OVERRIDE",$H$19)*1,"")))</f>
        <v/>
      </c>
      <c r="AS289" t="str">
        <f>IF(OR(AS$23="",ISNA($B289)),"",IF(ISBLANK($B289),"",IFERROR(_xll.BDP(TICKER,"DEEP_MEASURE_PERIOD_BROKER_VALUE","DEEP_MEASURE_ID_OVERRIDE",$C289,"DEEP_BROKER_ID_OVERRIDE",AS$24,"DEEP_PERIOD_OVERRIDE",$H$19)*1,"")))</f>
        <v/>
      </c>
      <c r="AT289" t="str">
        <f>IF(OR(AT$23="",ISNA($B289)),"",IF(ISBLANK($B289),"",IFERROR(_xll.BDP(TICKER,"DEEP_MEASURE_PERIOD_BROKER_VALUE","DEEP_MEASURE_ID_OVERRIDE",$C289,"DEEP_BROKER_ID_OVERRIDE",AT$24,"DEEP_PERIOD_OVERRIDE",$H$19)*1,"")))</f>
        <v/>
      </c>
      <c r="AU289" t="str">
        <f>IF(OR(AU$23="",ISNA($B289)),"",IF(ISBLANK($B289),"",IFERROR(_xll.BDP(TICKER,"DEEP_MEASURE_PERIOD_BROKER_VALUE","DEEP_MEASURE_ID_OVERRIDE",$C289,"DEEP_BROKER_ID_OVERRIDE",AU$24,"DEEP_PERIOD_OVERRIDE",$H$19)*1,"")))</f>
        <v/>
      </c>
      <c r="AV289" t="str">
        <f>IF(OR(AV$23="",ISNA($B289)),"",IF(ISBLANK($B289),"",IFERROR(_xll.BDP(TICKER,"DEEP_MEASURE_PERIOD_BROKER_VALUE","DEEP_MEASURE_ID_OVERRIDE",$C289,"DEEP_BROKER_ID_OVERRIDE",AV$24,"DEEP_PERIOD_OVERRIDE",$H$19)*1,"")))</f>
        <v/>
      </c>
      <c r="AW289" t="str">
        <f>IF(OR(AW$23="",ISNA($B289)),"",IF(ISBLANK($B289),"",IFERROR(_xll.BDP(TICKER,"DEEP_MEASURE_PERIOD_BROKER_VALUE","DEEP_MEASURE_ID_OVERRIDE",$C289,"DEEP_BROKER_ID_OVERRIDE",AW$24,"DEEP_PERIOD_OVERRIDE",$H$19)*1,"")))</f>
        <v/>
      </c>
      <c r="AX289" t="str">
        <f>IF(OR(AX$23="",ISNA($B289)),"",IF(ISBLANK($B289),"",IFERROR(_xll.BDP(TICKER,"DEEP_MEASURE_PERIOD_BROKER_VALUE","DEEP_MEASURE_ID_OVERRIDE",$C289,"DEEP_BROKER_ID_OVERRIDE",AX$24,"DEEP_PERIOD_OVERRIDE",$H$19)*1,"")))</f>
        <v/>
      </c>
      <c r="AY289" t="str">
        <f>IF(OR(AY$23="",ISNA($B289)),"",IF(ISBLANK($B289),"",IFERROR(_xll.BDP(TICKER,"DEEP_MEASURE_PERIOD_BROKER_VALUE","DEEP_MEASURE_ID_OVERRIDE",$C289,"DEEP_BROKER_ID_OVERRIDE",AY$24,"DEEP_PERIOD_OVERRIDE",$H$19)*1,"")))</f>
        <v/>
      </c>
      <c r="AZ289" t="str">
        <f>IF(OR(AZ$23="",ISNA($B289)),"",IF(ISBLANK($B289),"",IFERROR(_xll.BDP(TICKER,"DEEP_MEASURE_PERIOD_BROKER_VALUE","DEEP_MEASURE_ID_OVERRIDE",$C289,"DEEP_BROKER_ID_OVERRIDE",AZ$24,"DEEP_PERIOD_OVERRIDE",$H$19)*1,"")))</f>
        <v/>
      </c>
      <c r="BA289" t="str">
        <f>IF(OR(BA$23="",ISNA($B289)),"",IF(ISBLANK($B289),"",IFERROR(_xll.BDP(TICKER,"DEEP_MEASURE_PERIOD_BROKER_VALUE","DEEP_MEASURE_ID_OVERRIDE",$C289,"DEEP_BROKER_ID_OVERRIDE",BA$24,"DEEP_PERIOD_OVERRIDE",$H$19)*1,"")))</f>
        <v/>
      </c>
      <c r="BB289" t="str">
        <f>IF(OR(BB$23="",ISNA($B289)),"",IF(ISBLANK($B289),"",IFERROR(_xll.BDP(TICKER,"DEEP_MEASURE_PERIOD_BROKER_VALUE","DEEP_MEASURE_ID_OVERRIDE",$C289,"DEEP_BROKER_ID_OVERRIDE",BB$24,"DEEP_PERIOD_OVERRIDE",$H$19)*1,"")))</f>
        <v/>
      </c>
      <c r="BC289" t="str">
        <f>IF(OR(BC$23="",ISNA($B289)),"",IF(ISBLANK($B289),"",IFERROR(_xll.BDP(TICKER,"DEEP_MEASURE_PERIOD_BROKER_VALUE","DEEP_MEASURE_ID_OVERRIDE",$C289,"DEEP_BROKER_ID_OVERRIDE",BC$24,"DEEP_PERIOD_OVERRIDE",$H$19)*1,"")))</f>
        <v/>
      </c>
      <c r="BD289" t="str">
        <f>IF(OR(BD$23="",ISNA($B289)),"",IF(ISBLANK($B289),"",IFERROR(_xll.BDP(TICKER,"DEEP_MEASURE_PERIOD_BROKER_VALUE","DEEP_MEASURE_ID_OVERRIDE",$C289,"DEEP_BROKER_ID_OVERRIDE",BD$24,"DEEP_PERIOD_OVERRIDE",$H$19)*1,"")))</f>
        <v/>
      </c>
      <c r="BE289" t="str">
        <f>IF(OR(BE$23="",ISNA($B289)),"",IF(ISBLANK($B289),"",IFERROR(_xll.BDP(TICKER,"DEEP_MEASURE_PERIOD_BROKER_VALUE","DEEP_MEASURE_ID_OVERRIDE",$C289,"DEEP_BROKER_ID_OVERRIDE",BE$24,"DEEP_PERIOD_OVERRIDE",$H$19)*1,"")))</f>
        <v/>
      </c>
      <c r="BF289" t="str">
        <f>IF(OR(BF$23="",ISNA($B289)),"",IF(ISBLANK($B289),"",IFERROR(_xll.BDP(TICKER,"DEEP_MEASURE_PERIOD_BROKER_VALUE","DEEP_MEASURE_ID_OVERRIDE",$C289,"DEEP_BROKER_ID_OVERRIDE",BF$24,"DEEP_PERIOD_OVERRIDE",$H$19)*1,"")))</f>
        <v/>
      </c>
      <c r="BG289" t="str">
        <f>IF(OR(BG$23="",ISNA($B289)),"",IF(ISBLANK($B289),"",IFERROR(_xll.BDP(TICKER,"DEEP_MEASURE_PERIOD_BROKER_VALUE","DEEP_MEASURE_ID_OVERRIDE",$C289,"DEEP_BROKER_ID_OVERRIDE",BG$24,"DEEP_PERIOD_OVERRIDE",$H$19)*1,"")))</f>
        <v/>
      </c>
      <c r="BH289" t="str">
        <f>IF(OR(BH$23="",ISNA($B289)),"",IF(ISBLANK($B289),"",IFERROR(_xll.BDP(TICKER,"DEEP_MEASURE_PERIOD_BROKER_VALUE","DEEP_MEASURE_ID_OVERRIDE",$C289,"DEEP_BROKER_ID_OVERRIDE",BH$24,"DEEP_PERIOD_OVERRIDE",$H$19)*1,"")))</f>
        <v/>
      </c>
      <c r="BI289" t="str">
        <f>IF(OR(BI$23="",ISNA($B289)),"",IF(ISBLANK($B289),"",IFERROR(_xll.BDP(TICKER,"DEEP_MEASURE_PERIOD_BROKER_VALUE","DEEP_MEASURE_ID_OVERRIDE",$C289,"DEEP_BROKER_ID_OVERRIDE",BI$24,"DEEP_PERIOD_OVERRIDE",$H$19)*1,"")))</f>
        <v/>
      </c>
      <c r="BJ289" t="str">
        <f>IF(OR(BJ$23="",ISNA($B289)),"",IF(ISBLANK($B289),"",IFERROR(_xll.BDP(TICKER,"DEEP_MEASURE_PERIOD_BROKER_VALUE","DEEP_MEASURE_ID_OVERRIDE",$C289,"DEEP_BROKER_ID_OVERRIDE",BJ$24,"DEEP_PERIOD_OVERRIDE",$H$19)*1,"")))</f>
        <v/>
      </c>
      <c r="BK289" t="str">
        <f>IF(OR(BK$23="",ISNA($B289)),"",IF(ISBLANK($B289),"",IFERROR(_xll.BDP(TICKER,"DEEP_MEASURE_PERIOD_BROKER_VALUE","DEEP_MEASURE_ID_OVERRIDE",$C289,"DEEP_BROKER_ID_OVERRIDE",BK$24,"DEEP_PERIOD_OVERRIDE",$H$19)*1,"")))</f>
        <v/>
      </c>
      <c r="BL289" t="str">
        <f>IF(OR(BL$23="",ISNA($B289)),"",IF(ISBLANK($B289),"",IFERROR(_xll.BDP(TICKER,"DEEP_MEASURE_PERIOD_BROKER_VALUE","DEEP_MEASURE_ID_OVERRIDE",$C289,"DEEP_BROKER_ID_OVERRIDE",BL$24,"DEEP_PERIOD_OVERRIDE",$H$19)*1,"")))</f>
        <v/>
      </c>
      <c r="BM289" t="str">
        <f>IF(OR(BM$23="",ISNA($B289)),"",IF(ISBLANK($B289),"",IFERROR(_xll.BDP(TICKER,"DEEP_MEASURE_PERIOD_BROKER_VALUE","DEEP_MEASURE_ID_OVERRIDE",$C289,"DEEP_BROKER_ID_OVERRIDE",BM$24,"DEEP_PERIOD_OVERRIDE",$H$19)*1,"")))</f>
        <v/>
      </c>
      <c r="BN289" t="str">
        <f>IF(OR(BN$23="",ISNA($B289)),"",IF(ISBLANK($B289),"",IFERROR(_xll.BDP(TICKER,"DEEP_MEASURE_PERIOD_BROKER_VALUE","DEEP_MEASURE_ID_OVERRIDE",$C289,"DEEP_BROKER_ID_OVERRIDE",BN$24,"DEEP_PERIOD_OVERRIDE",$H$19)*1,"")))</f>
        <v/>
      </c>
      <c r="BO289" t="str">
        <f>IF(OR(BO$23="",ISNA($B289)),"",IF(ISBLANK($B289),"",IFERROR(_xll.BDP(TICKER,"DEEP_MEASURE_PERIOD_BROKER_VALUE","DEEP_MEASURE_ID_OVERRIDE",$C289,"DEEP_BROKER_ID_OVERRIDE",BO$24,"DEEP_PERIOD_OVERRIDE",$H$19)*1,"")))</f>
        <v/>
      </c>
      <c r="BP289" t="str">
        <f>IF(OR(BP$23="",ISNA($B289)),"",IF(ISBLANK($B289),"",IFERROR(_xll.BDP(TICKER,"DEEP_MEASURE_PERIOD_BROKER_VALUE","DEEP_MEASURE_ID_OVERRIDE",$C289,"DEEP_BROKER_ID_OVERRIDE",BP$24,"DEEP_PERIOD_OVERRIDE",$H$19)*1,"")))</f>
        <v/>
      </c>
      <c r="BQ289" t="str">
        <f>IF(OR(BQ$23="",ISNA($B289)),"",IF(ISBLANK($B289),"",IFERROR(_xll.BDP(TICKER,"DEEP_MEASURE_PERIOD_BROKER_VALUE","DEEP_MEASURE_ID_OVERRIDE",$C289,"DEEP_BROKER_ID_OVERRIDE",BQ$24,"DEEP_PERIOD_OVERRIDE",$H$19)*1,"")))</f>
        <v/>
      </c>
      <c r="BR289" t="str">
        <f>IF(OR(BR$23="",ISNA($B289)),"",IF(ISBLANK($B289),"",IFERROR(_xll.BDP(TICKER,"DEEP_MEASURE_PERIOD_BROKER_VALUE","DEEP_MEASURE_ID_OVERRIDE",$C289,"DEEP_BROKER_ID_OVERRIDE",BR$24,"DEEP_PERIOD_OVERRIDE",$H$19)*1,"")))</f>
        <v/>
      </c>
      <c r="BS289" t="str">
        <f>IF(OR(BS$23="",ISNA($B289)),"",IF(ISBLANK($B289),"",IFERROR(_xll.BDP(TICKER,"DEEP_MEASURE_PERIOD_BROKER_VALUE","DEEP_MEASURE_ID_OVERRIDE",$C289,"DEEP_BROKER_ID_OVERRIDE",BS$24,"DEEP_PERIOD_OVERRIDE",$H$19)*1,"")))</f>
        <v/>
      </c>
      <c r="BT289" t="str">
        <f>IF(OR(BT$23="",ISNA($B289)),"",IF(ISBLANK($B289),"",IFERROR(_xll.BDP(TICKER,"DEEP_MEASURE_PERIOD_BROKER_VALUE","DEEP_MEASURE_ID_OVERRIDE",$C289,"DEEP_BROKER_ID_OVERRIDE",BT$24,"DEEP_PERIOD_OVERRIDE",$H$19)*1,"")))</f>
        <v/>
      </c>
      <c r="BU289" t="str">
        <f>IF(OR(BU$23="",ISNA($B289)),"",IF(ISBLANK($B289),"",IFERROR(_xll.BDP(TICKER,"DEEP_MEASURE_PERIOD_BROKER_VALUE","DEEP_MEASURE_ID_OVERRIDE",$C289,"DEEP_BROKER_ID_OVERRIDE",BU$24,"DEEP_PERIOD_OVERRIDE",$H$19)*1,"")))</f>
        <v/>
      </c>
      <c r="BV289" t="str">
        <f>IF(OR(BV$23="",ISNA($B289)),"",IF(ISBLANK($B289),"",IFERROR(_xll.BDP(TICKER,"DEEP_MEASURE_PERIOD_BROKER_VALUE","DEEP_MEASURE_ID_OVERRIDE",$C289,"DEEP_BROKER_ID_OVERRIDE",BV$24,"DEEP_PERIOD_OVERRIDE",$H$19)*1,"")))</f>
        <v/>
      </c>
      <c r="BW289" t="str">
        <f>IF(OR(BW$23="",ISNA($B289)),"",IF(ISBLANK($B289),"",IFERROR(_xll.BDP(TICKER,"DEEP_MEASURE_PERIOD_BROKER_VALUE","DEEP_MEASURE_ID_OVERRIDE",$C289,"DEEP_BROKER_ID_OVERRIDE",BW$24,"DEEP_PERIOD_OVERRIDE",$H$19)*1,"")))</f>
        <v/>
      </c>
      <c r="BX289" t="str">
        <f>IF(OR(BX$23="",ISNA($B289)),"",IF(ISBLANK($B289),"",IFERROR(_xll.BDP(TICKER,"DEEP_MEASURE_PERIOD_BROKER_VALUE","DEEP_MEASURE_ID_OVERRIDE",$C289,"DEEP_BROKER_ID_OVERRIDE",BX$24,"DEEP_PERIOD_OVERRIDE",$H$19)*1,"")))</f>
        <v/>
      </c>
      <c r="BY289" t="str">
        <f>IF(OR(BY$23="",ISNA($B289)),"",IF(ISBLANK($B289),"",IFERROR(_xll.BDP(TICKER,"DEEP_MEASURE_PERIOD_BROKER_VALUE","DEEP_MEASURE_ID_OVERRIDE",$C289,"DEEP_BROKER_ID_OVERRIDE",BY$24,"DEEP_PERIOD_OVERRIDE",$H$19)*1,"")))</f>
        <v/>
      </c>
      <c r="BZ289" t="str">
        <f>IF(OR(BZ$23="",ISNA($B289)),"",IF(ISBLANK($B289),"",IFERROR(_xll.BDP(TICKER,"DEEP_MEASURE_PERIOD_BROKER_VALUE","DEEP_MEASURE_ID_OVERRIDE",$C289,"DEEP_BROKER_ID_OVERRIDE",BZ$24,"DEEP_PERIOD_OVERRIDE",$H$19)*1,"")))</f>
        <v/>
      </c>
    </row>
    <row r="290" spans="8:78" x14ac:dyDescent="0.25">
      <c r="H290" t="str">
        <f t="shared" si="5"/>
        <v/>
      </c>
      <c r="I290" t="str">
        <f>IF(OR(I$23="",ISNA($B290)),"",IF(ISBLANK($B290),"",IFERROR(_xll.BDP(TICKER,"DEEP_MEASURE_PERIOD_BROKER_VALUE","DEEP_MEASURE_ID_OVERRIDE",$C290,"DEEP_PERIOD_OVERRIDE",$H$19)*1,"")))</f>
        <v/>
      </c>
      <c r="J290" t="e">
        <f>IF(OR(J$23="",ISNA($B290)),"",IF(ISBLANK($B290),"",IFERROR(_xll.BDP(TICKER,"DEEP_MEASURE_PERIOD_BROKER_VALUE","DEEP_MEASURE_ID_OVERRIDE",$C290,"DEEP_BROKER_ID_OVERRIDE",J$24,"DEEP_PERIOD_OVERRIDE",$H$19)*1,"")))</f>
        <v>#REF!</v>
      </c>
      <c r="K290" t="str">
        <f>IF(OR(K$23="",ISNA($B290)),"",IF(ISBLANK($B290),"",IFERROR(_xll.BDP(TICKER,"DEEP_MEASURE_PERIOD_BROKER_VALUE","DEEP_MEASURE_ID_OVERRIDE",$C290,"DEEP_BROKER_ID_OVERRIDE",K$24,"DEEP_PERIOD_OVERRIDE",$H$19)*1,"")))</f>
        <v/>
      </c>
      <c r="L290" t="str">
        <f>IF(OR(L$23="",ISNA($B290)),"",IF(ISBLANK($B290),"",IFERROR(_xll.BDP(TICKER,"DEEP_MEASURE_PERIOD_BROKER_VALUE","DEEP_MEASURE_ID_OVERRIDE",$C290,"DEEP_BROKER_ID_OVERRIDE",L$24,"DEEP_PERIOD_OVERRIDE",$H$19)*1,"")))</f>
        <v/>
      </c>
      <c r="M290" t="str">
        <f>IF(OR(M$23="",ISNA($B290)),"",IF(ISBLANK($B290),"",IFERROR(_xll.BDP(TICKER,"DEEP_MEASURE_PERIOD_BROKER_VALUE","DEEP_MEASURE_ID_OVERRIDE",$C290,"DEEP_BROKER_ID_OVERRIDE",M$24,"DEEP_PERIOD_OVERRIDE",$H$19)*1,"")))</f>
        <v/>
      </c>
      <c r="N290" t="str">
        <f>IF(OR(N$23="",ISNA($B290)),"",IF(ISBLANK($B290),"",IFERROR(_xll.BDP(TICKER,"DEEP_MEASURE_PERIOD_BROKER_VALUE","DEEP_MEASURE_ID_OVERRIDE",$C290,"DEEP_BROKER_ID_OVERRIDE",N$24,"DEEP_PERIOD_OVERRIDE",$H$19)*1,"")))</f>
        <v/>
      </c>
      <c r="O290" t="str">
        <f>IF(OR(O$23="",ISNA($B290)),"",IF(ISBLANK($B290),"",IFERROR(_xll.BDP(TICKER,"DEEP_MEASURE_PERIOD_BROKER_VALUE","DEEP_MEASURE_ID_OVERRIDE",$C290,"DEEP_BROKER_ID_OVERRIDE",O$24,"DEEP_PERIOD_OVERRIDE",$H$19)*1,"")))</f>
        <v/>
      </c>
      <c r="P290" t="str">
        <f>IF(OR(P$23="",ISNA($B290)),"",IF(ISBLANK($B290),"",IFERROR(_xll.BDP(TICKER,"DEEP_MEASURE_PERIOD_BROKER_VALUE","DEEP_MEASURE_ID_OVERRIDE",$C290,"DEEP_BROKER_ID_OVERRIDE",P$24,"DEEP_PERIOD_OVERRIDE",$H$19)*1,"")))</f>
        <v/>
      </c>
      <c r="Q290" t="str">
        <f>IF(OR(Q$23="",ISNA($B290)),"",IF(ISBLANK($B290),"",IFERROR(_xll.BDP(TICKER,"DEEP_MEASURE_PERIOD_BROKER_VALUE","DEEP_MEASURE_ID_OVERRIDE",$C290,"DEEP_BROKER_ID_OVERRIDE",Q$24,"DEEP_PERIOD_OVERRIDE",$H$19)*1,"")))</f>
        <v/>
      </c>
      <c r="R290" t="str">
        <f>IF(OR(R$23="",ISNA($B290)),"",IF(ISBLANK($B290),"",IFERROR(_xll.BDP(TICKER,"DEEP_MEASURE_PERIOD_BROKER_VALUE","DEEP_MEASURE_ID_OVERRIDE",$C290,"DEEP_BROKER_ID_OVERRIDE",R$24,"DEEP_PERIOD_OVERRIDE",$H$19)*1,"")))</f>
        <v/>
      </c>
      <c r="S290" t="str">
        <f>IF(OR(S$23="",ISNA($B290)),"",IF(ISBLANK($B290),"",IFERROR(_xll.BDP(TICKER,"DEEP_MEASURE_PERIOD_BROKER_VALUE","DEEP_MEASURE_ID_OVERRIDE",$C290,"DEEP_BROKER_ID_OVERRIDE",S$24,"DEEP_PERIOD_OVERRIDE",$H$19)*1,"")))</f>
        <v/>
      </c>
      <c r="T290" t="str">
        <f>IF(OR(T$23="",ISNA($B290)),"",IF(ISBLANK($B290),"",IFERROR(_xll.BDP(TICKER,"DEEP_MEASURE_PERIOD_BROKER_VALUE","DEEP_MEASURE_ID_OVERRIDE",$C290,"DEEP_BROKER_ID_OVERRIDE",T$24,"DEEP_PERIOD_OVERRIDE",$H$19)*1,"")))</f>
        <v/>
      </c>
      <c r="U290" t="str">
        <f>IF(OR(U$23="",ISNA($B290)),"",IF(ISBLANK($B290),"",IFERROR(_xll.BDP(TICKER,"DEEP_MEASURE_PERIOD_BROKER_VALUE","DEEP_MEASURE_ID_OVERRIDE",$C290,"DEEP_BROKER_ID_OVERRIDE",U$24,"DEEP_PERIOD_OVERRIDE",$H$19)*1,"")))</f>
        <v/>
      </c>
      <c r="V290" t="str">
        <f>IF(OR(V$23="",ISNA($B290)),"",IF(ISBLANK($B290),"",IFERROR(_xll.BDP(TICKER,"DEEP_MEASURE_PERIOD_BROKER_VALUE","DEEP_MEASURE_ID_OVERRIDE",$C290,"DEEP_BROKER_ID_OVERRIDE",V$24,"DEEP_PERIOD_OVERRIDE",$H$19)*1,"")))</f>
        <v/>
      </c>
      <c r="W290" t="str">
        <f>IF(OR(W$23="",ISNA($B290)),"",IF(ISBLANK($B290),"",IFERROR(_xll.BDP(TICKER,"DEEP_MEASURE_PERIOD_BROKER_VALUE","DEEP_MEASURE_ID_OVERRIDE",$C290,"DEEP_BROKER_ID_OVERRIDE",W$24,"DEEP_PERIOD_OVERRIDE",$H$19)*1,"")))</f>
        <v/>
      </c>
      <c r="X290" t="str">
        <f>IF(OR(X$23="",ISNA($B290)),"",IF(ISBLANK($B290),"",IFERROR(_xll.BDP(TICKER,"DEEP_MEASURE_PERIOD_BROKER_VALUE","DEEP_MEASURE_ID_OVERRIDE",$C290,"DEEP_BROKER_ID_OVERRIDE",X$24,"DEEP_PERIOD_OVERRIDE",$H$19)*1,"")))</f>
        <v/>
      </c>
      <c r="Y290" t="str">
        <f>IF(OR(Y$23="",ISNA($B290)),"",IF(ISBLANK($B290),"",IFERROR(_xll.BDP(TICKER,"DEEP_MEASURE_PERIOD_BROKER_VALUE","DEEP_MEASURE_ID_OVERRIDE",$C290,"DEEP_BROKER_ID_OVERRIDE",Y$24,"DEEP_PERIOD_OVERRIDE",$H$19)*1,"")))</f>
        <v/>
      </c>
      <c r="Z290" t="str">
        <f>IF(OR(Z$23="",ISNA($B290)),"",IF(ISBLANK($B290),"",IFERROR(_xll.BDP(TICKER,"DEEP_MEASURE_PERIOD_BROKER_VALUE","DEEP_MEASURE_ID_OVERRIDE",$C290,"DEEP_BROKER_ID_OVERRIDE",Z$24,"DEEP_PERIOD_OVERRIDE",$H$19)*1,"")))</f>
        <v/>
      </c>
      <c r="AA290" t="str">
        <f>IF(OR(AA$23="",ISNA($B290)),"",IF(ISBLANK($B290),"",IFERROR(_xll.BDP(TICKER,"DEEP_MEASURE_PERIOD_BROKER_VALUE","DEEP_MEASURE_ID_OVERRIDE",$C290,"DEEP_BROKER_ID_OVERRIDE",AA$24,"DEEP_PERIOD_OVERRIDE",$H$19)*1,"")))</f>
        <v/>
      </c>
      <c r="AB290" t="str">
        <f>IF(OR(AB$23="",ISNA($B290)),"",IF(ISBLANK($B290),"",IFERROR(_xll.BDP(TICKER,"DEEP_MEASURE_PERIOD_BROKER_VALUE","DEEP_MEASURE_ID_OVERRIDE",$C290,"DEEP_BROKER_ID_OVERRIDE",AB$24,"DEEP_PERIOD_OVERRIDE",$H$19)*1,"")))</f>
        <v/>
      </c>
      <c r="AC290" t="str">
        <f>IF(OR(AC$23="",ISNA($B290)),"",IF(ISBLANK($B290),"",IFERROR(_xll.BDP(TICKER,"DEEP_MEASURE_PERIOD_BROKER_VALUE","DEEP_MEASURE_ID_OVERRIDE",$C290,"DEEP_BROKER_ID_OVERRIDE",AC$24,"DEEP_PERIOD_OVERRIDE",$H$19)*1,"")))</f>
        <v/>
      </c>
      <c r="AD290" t="str">
        <f>IF(OR(AD$23="",ISNA($B290)),"",IF(ISBLANK($B290),"",IFERROR(_xll.BDP(TICKER,"DEEP_MEASURE_PERIOD_BROKER_VALUE","DEEP_MEASURE_ID_OVERRIDE",$C290,"DEEP_BROKER_ID_OVERRIDE",AD$24,"DEEP_PERIOD_OVERRIDE",$H$19)*1,"")))</f>
        <v/>
      </c>
      <c r="AE290" t="str">
        <f>IF(OR(AE$23="",ISNA($B290)),"",IF(ISBLANK($B290),"",IFERROR(_xll.BDP(TICKER,"DEEP_MEASURE_PERIOD_BROKER_VALUE","DEEP_MEASURE_ID_OVERRIDE",$C290,"DEEP_BROKER_ID_OVERRIDE",AE$24,"DEEP_PERIOD_OVERRIDE",$H$19)*1,"")))</f>
        <v/>
      </c>
      <c r="AF290" t="str">
        <f>IF(OR(AF$23="",ISNA($B290)),"",IF(ISBLANK($B290),"",IFERROR(_xll.BDP(TICKER,"DEEP_MEASURE_PERIOD_BROKER_VALUE","DEEP_MEASURE_ID_OVERRIDE",$C290,"DEEP_BROKER_ID_OVERRIDE",AF$24,"DEEP_PERIOD_OVERRIDE",$H$19)*1,"")))</f>
        <v/>
      </c>
      <c r="AG290" t="str">
        <f>IF(OR(AG$23="",ISNA($B290)),"",IF(ISBLANK($B290),"",IFERROR(_xll.BDP(TICKER,"DEEP_MEASURE_PERIOD_BROKER_VALUE","DEEP_MEASURE_ID_OVERRIDE",$C290,"DEEP_BROKER_ID_OVERRIDE",AG$24,"DEEP_PERIOD_OVERRIDE",$H$19)*1,"")))</f>
        <v/>
      </c>
      <c r="AH290" t="str">
        <f>IF(OR(AH$23="",ISNA($B290)),"",IF(ISBLANK($B290),"",IFERROR(_xll.BDP(TICKER,"DEEP_MEASURE_PERIOD_BROKER_VALUE","DEEP_MEASURE_ID_OVERRIDE",$C290,"DEEP_BROKER_ID_OVERRIDE",AH$24,"DEEP_PERIOD_OVERRIDE",$H$19)*1,"")))</f>
        <v/>
      </c>
      <c r="AI290" t="str">
        <f>IF(OR(AI$23="",ISNA($B290)),"",IF(ISBLANK($B290),"",IFERROR(_xll.BDP(TICKER,"DEEP_MEASURE_PERIOD_BROKER_VALUE","DEEP_MEASURE_ID_OVERRIDE",$C290,"DEEP_BROKER_ID_OVERRIDE",AI$24,"DEEP_PERIOD_OVERRIDE",$H$19)*1,"")))</f>
        <v/>
      </c>
      <c r="AJ290" t="str">
        <f>IF(OR(AJ$23="",ISNA($B290)),"",IF(ISBLANK($B290),"",IFERROR(_xll.BDP(TICKER,"DEEP_MEASURE_PERIOD_BROKER_VALUE","DEEP_MEASURE_ID_OVERRIDE",$C290,"DEEP_BROKER_ID_OVERRIDE",AJ$24,"DEEP_PERIOD_OVERRIDE",$H$19)*1,"")))</f>
        <v/>
      </c>
      <c r="AK290" t="str">
        <f>IF(OR(AK$23="",ISNA($B290)),"",IF(ISBLANK($B290),"",IFERROR(_xll.BDP(TICKER,"DEEP_MEASURE_PERIOD_BROKER_VALUE","DEEP_MEASURE_ID_OVERRIDE",$C290,"DEEP_BROKER_ID_OVERRIDE",AK$24,"DEEP_PERIOD_OVERRIDE",$H$19)*1,"")))</f>
        <v/>
      </c>
      <c r="AL290" t="str">
        <f>IF(OR(AL$23="",ISNA($B290)),"",IF(ISBLANK($B290),"",IFERROR(_xll.BDP(TICKER,"DEEP_MEASURE_PERIOD_BROKER_VALUE","DEEP_MEASURE_ID_OVERRIDE",$C290,"DEEP_BROKER_ID_OVERRIDE",AL$24,"DEEP_PERIOD_OVERRIDE",$H$19)*1,"")))</f>
        <v/>
      </c>
      <c r="AM290" t="str">
        <f>IF(OR(AM$23="",ISNA($B290)),"",IF(ISBLANK($B290),"",IFERROR(_xll.BDP(TICKER,"DEEP_MEASURE_PERIOD_BROKER_VALUE","DEEP_MEASURE_ID_OVERRIDE",$C290,"DEEP_BROKER_ID_OVERRIDE",AM$24,"DEEP_PERIOD_OVERRIDE",$H$19)*1,"")))</f>
        <v/>
      </c>
      <c r="AN290" t="str">
        <f>IF(OR(AN$23="",ISNA($B290)),"",IF(ISBLANK($B290),"",IFERROR(_xll.BDP(TICKER,"DEEP_MEASURE_PERIOD_BROKER_VALUE","DEEP_MEASURE_ID_OVERRIDE",$C290,"DEEP_BROKER_ID_OVERRIDE",AN$24,"DEEP_PERIOD_OVERRIDE",$H$19)*1,"")))</f>
        <v/>
      </c>
      <c r="AO290" t="str">
        <f>IF(OR(AO$23="",ISNA($B290)),"",IF(ISBLANK($B290),"",IFERROR(_xll.BDP(TICKER,"DEEP_MEASURE_PERIOD_BROKER_VALUE","DEEP_MEASURE_ID_OVERRIDE",$C290,"DEEP_BROKER_ID_OVERRIDE",AO$24,"DEEP_PERIOD_OVERRIDE",$H$19)*1,"")))</f>
        <v/>
      </c>
      <c r="AP290" t="str">
        <f>IF(OR(AP$23="",ISNA($B290)),"",IF(ISBLANK($B290),"",IFERROR(_xll.BDP(TICKER,"DEEP_MEASURE_PERIOD_BROKER_VALUE","DEEP_MEASURE_ID_OVERRIDE",$C290,"DEEP_BROKER_ID_OVERRIDE",AP$24,"DEEP_PERIOD_OVERRIDE",$H$19)*1,"")))</f>
        <v/>
      </c>
      <c r="AQ290" t="str">
        <f>IF(OR(AQ$23="",ISNA($B290)),"",IF(ISBLANK($B290),"",IFERROR(_xll.BDP(TICKER,"DEEP_MEASURE_PERIOD_BROKER_VALUE","DEEP_MEASURE_ID_OVERRIDE",$C290,"DEEP_BROKER_ID_OVERRIDE",AQ$24,"DEEP_PERIOD_OVERRIDE",$H$19)*1,"")))</f>
        <v/>
      </c>
      <c r="AR290" t="str">
        <f>IF(OR(AR$23="",ISNA($B290)),"",IF(ISBLANK($B290),"",IFERROR(_xll.BDP(TICKER,"DEEP_MEASURE_PERIOD_BROKER_VALUE","DEEP_MEASURE_ID_OVERRIDE",$C290,"DEEP_BROKER_ID_OVERRIDE",AR$24,"DEEP_PERIOD_OVERRIDE",$H$19)*1,"")))</f>
        <v/>
      </c>
      <c r="AS290" t="str">
        <f>IF(OR(AS$23="",ISNA($B290)),"",IF(ISBLANK($B290),"",IFERROR(_xll.BDP(TICKER,"DEEP_MEASURE_PERIOD_BROKER_VALUE","DEEP_MEASURE_ID_OVERRIDE",$C290,"DEEP_BROKER_ID_OVERRIDE",AS$24,"DEEP_PERIOD_OVERRIDE",$H$19)*1,"")))</f>
        <v/>
      </c>
      <c r="AT290" t="str">
        <f>IF(OR(AT$23="",ISNA($B290)),"",IF(ISBLANK($B290),"",IFERROR(_xll.BDP(TICKER,"DEEP_MEASURE_PERIOD_BROKER_VALUE","DEEP_MEASURE_ID_OVERRIDE",$C290,"DEEP_BROKER_ID_OVERRIDE",AT$24,"DEEP_PERIOD_OVERRIDE",$H$19)*1,"")))</f>
        <v/>
      </c>
      <c r="AU290" t="str">
        <f>IF(OR(AU$23="",ISNA($B290)),"",IF(ISBLANK($B290),"",IFERROR(_xll.BDP(TICKER,"DEEP_MEASURE_PERIOD_BROKER_VALUE","DEEP_MEASURE_ID_OVERRIDE",$C290,"DEEP_BROKER_ID_OVERRIDE",AU$24,"DEEP_PERIOD_OVERRIDE",$H$19)*1,"")))</f>
        <v/>
      </c>
      <c r="AV290" t="str">
        <f>IF(OR(AV$23="",ISNA($B290)),"",IF(ISBLANK($B290),"",IFERROR(_xll.BDP(TICKER,"DEEP_MEASURE_PERIOD_BROKER_VALUE","DEEP_MEASURE_ID_OVERRIDE",$C290,"DEEP_BROKER_ID_OVERRIDE",AV$24,"DEEP_PERIOD_OVERRIDE",$H$19)*1,"")))</f>
        <v/>
      </c>
      <c r="AW290" t="str">
        <f>IF(OR(AW$23="",ISNA($B290)),"",IF(ISBLANK($B290),"",IFERROR(_xll.BDP(TICKER,"DEEP_MEASURE_PERIOD_BROKER_VALUE","DEEP_MEASURE_ID_OVERRIDE",$C290,"DEEP_BROKER_ID_OVERRIDE",AW$24,"DEEP_PERIOD_OVERRIDE",$H$19)*1,"")))</f>
        <v/>
      </c>
      <c r="AX290" t="str">
        <f>IF(OR(AX$23="",ISNA($B290)),"",IF(ISBLANK($B290),"",IFERROR(_xll.BDP(TICKER,"DEEP_MEASURE_PERIOD_BROKER_VALUE","DEEP_MEASURE_ID_OVERRIDE",$C290,"DEEP_BROKER_ID_OVERRIDE",AX$24,"DEEP_PERIOD_OVERRIDE",$H$19)*1,"")))</f>
        <v/>
      </c>
      <c r="AY290" t="str">
        <f>IF(OR(AY$23="",ISNA($B290)),"",IF(ISBLANK($B290),"",IFERROR(_xll.BDP(TICKER,"DEEP_MEASURE_PERIOD_BROKER_VALUE","DEEP_MEASURE_ID_OVERRIDE",$C290,"DEEP_BROKER_ID_OVERRIDE",AY$24,"DEEP_PERIOD_OVERRIDE",$H$19)*1,"")))</f>
        <v/>
      </c>
      <c r="AZ290" t="str">
        <f>IF(OR(AZ$23="",ISNA($B290)),"",IF(ISBLANK($B290),"",IFERROR(_xll.BDP(TICKER,"DEEP_MEASURE_PERIOD_BROKER_VALUE","DEEP_MEASURE_ID_OVERRIDE",$C290,"DEEP_BROKER_ID_OVERRIDE",AZ$24,"DEEP_PERIOD_OVERRIDE",$H$19)*1,"")))</f>
        <v/>
      </c>
      <c r="BA290" t="str">
        <f>IF(OR(BA$23="",ISNA($B290)),"",IF(ISBLANK($B290),"",IFERROR(_xll.BDP(TICKER,"DEEP_MEASURE_PERIOD_BROKER_VALUE","DEEP_MEASURE_ID_OVERRIDE",$C290,"DEEP_BROKER_ID_OVERRIDE",BA$24,"DEEP_PERIOD_OVERRIDE",$H$19)*1,"")))</f>
        <v/>
      </c>
      <c r="BB290" t="str">
        <f>IF(OR(BB$23="",ISNA($B290)),"",IF(ISBLANK($B290),"",IFERROR(_xll.BDP(TICKER,"DEEP_MEASURE_PERIOD_BROKER_VALUE","DEEP_MEASURE_ID_OVERRIDE",$C290,"DEEP_BROKER_ID_OVERRIDE",BB$24,"DEEP_PERIOD_OVERRIDE",$H$19)*1,"")))</f>
        <v/>
      </c>
      <c r="BC290" t="str">
        <f>IF(OR(BC$23="",ISNA($B290)),"",IF(ISBLANK($B290),"",IFERROR(_xll.BDP(TICKER,"DEEP_MEASURE_PERIOD_BROKER_VALUE","DEEP_MEASURE_ID_OVERRIDE",$C290,"DEEP_BROKER_ID_OVERRIDE",BC$24,"DEEP_PERIOD_OVERRIDE",$H$19)*1,"")))</f>
        <v/>
      </c>
      <c r="BD290" t="str">
        <f>IF(OR(BD$23="",ISNA($B290)),"",IF(ISBLANK($B290),"",IFERROR(_xll.BDP(TICKER,"DEEP_MEASURE_PERIOD_BROKER_VALUE","DEEP_MEASURE_ID_OVERRIDE",$C290,"DEEP_BROKER_ID_OVERRIDE",BD$24,"DEEP_PERIOD_OVERRIDE",$H$19)*1,"")))</f>
        <v/>
      </c>
      <c r="BE290" t="str">
        <f>IF(OR(BE$23="",ISNA($B290)),"",IF(ISBLANK($B290),"",IFERROR(_xll.BDP(TICKER,"DEEP_MEASURE_PERIOD_BROKER_VALUE","DEEP_MEASURE_ID_OVERRIDE",$C290,"DEEP_BROKER_ID_OVERRIDE",BE$24,"DEEP_PERIOD_OVERRIDE",$H$19)*1,"")))</f>
        <v/>
      </c>
      <c r="BF290" t="str">
        <f>IF(OR(BF$23="",ISNA($B290)),"",IF(ISBLANK($B290),"",IFERROR(_xll.BDP(TICKER,"DEEP_MEASURE_PERIOD_BROKER_VALUE","DEEP_MEASURE_ID_OVERRIDE",$C290,"DEEP_BROKER_ID_OVERRIDE",BF$24,"DEEP_PERIOD_OVERRIDE",$H$19)*1,"")))</f>
        <v/>
      </c>
      <c r="BG290" t="str">
        <f>IF(OR(BG$23="",ISNA($B290)),"",IF(ISBLANK($B290),"",IFERROR(_xll.BDP(TICKER,"DEEP_MEASURE_PERIOD_BROKER_VALUE","DEEP_MEASURE_ID_OVERRIDE",$C290,"DEEP_BROKER_ID_OVERRIDE",BG$24,"DEEP_PERIOD_OVERRIDE",$H$19)*1,"")))</f>
        <v/>
      </c>
      <c r="BH290" t="str">
        <f>IF(OR(BH$23="",ISNA($B290)),"",IF(ISBLANK($B290),"",IFERROR(_xll.BDP(TICKER,"DEEP_MEASURE_PERIOD_BROKER_VALUE","DEEP_MEASURE_ID_OVERRIDE",$C290,"DEEP_BROKER_ID_OVERRIDE",BH$24,"DEEP_PERIOD_OVERRIDE",$H$19)*1,"")))</f>
        <v/>
      </c>
      <c r="BI290" t="str">
        <f>IF(OR(BI$23="",ISNA($B290)),"",IF(ISBLANK($B290),"",IFERROR(_xll.BDP(TICKER,"DEEP_MEASURE_PERIOD_BROKER_VALUE","DEEP_MEASURE_ID_OVERRIDE",$C290,"DEEP_BROKER_ID_OVERRIDE",BI$24,"DEEP_PERIOD_OVERRIDE",$H$19)*1,"")))</f>
        <v/>
      </c>
      <c r="BJ290" t="str">
        <f>IF(OR(BJ$23="",ISNA($B290)),"",IF(ISBLANK($B290),"",IFERROR(_xll.BDP(TICKER,"DEEP_MEASURE_PERIOD_BROKER_VALUE","DEEP_MEASURE_ID_OVERRIDE",$C290,"DEEP_BROKER_ID_OVERRIDE",BJ$24,"DEEP_PERIOD_OVERRIDE",$H$19)*1,"")))</f>
        <v/>
      </c>
      <c r="BK290" t="str">
        <f>IF(OR(BK$23="",ISNA($B290)),"",IF(ISBLANK($B290),"",IFERROR(_xll.BDP(TICKER,"DEEP_MEASURE_PERIOD_BROKER_VALUE","DEEP_MEASURE_ID_OVERRIDE",$C290,"DEEP_BROKER_ID_OVERRIDE",BK$24,"DEEP_PERIOD_OVERRIDE",$H$19)*1,"")))</f>
        <v/>
      </c>
      <c r="BL290" t="str">
        <f>IF(OR(BL$23="",ISNA($B290)),"",IF(ISBLANK($B290),"",IFERROR(_xll.BDP(TICKER,"DEEP_MEASURE_PERIOD_BROKER_VALUE","DEEP_MEASURE_ID_OVERRIDE",$C290,"DEEP_BROKER_ID_OVERRIDE",BL$24,"DEEP_PERIOD_OVERRIDE",$H$19)*1,"")))</f>
        <v/>
      </c>
      <c r="BM290" t="str">
        <f>IF(OR(BM$23="",ISNA($B290)),"",IF(ISBLANK($B290),"",IFERROR(_xll.BDP(TICKER,"DEEP_MEASURE_PERIOD_BROKER_VALUE","DEEP_MEASURE_ID_OVERRIDE",$C290,"DEEP_BROKER_ID_OVERRIDE",BM$24,"DEEP_PERIOD_OVERRIDE",$H$19)*1,"")))</f>
        <v/>
      </c>
      <c r="BN290" t="str">
        <f>IF(OR(BN$23="",ISNA($B290)),"",IF(ISBLANK($B290),"",IFERROR(_xll.BDP(TICKER,"DEEP_MEASURE_PERIOD_BROKER_VALUE","DEEP_MEASURE_ID_OVERRIDE",$C290,"DEEP_BROKER_ID_OVERRIDE",BN$24,"DEEP_PERIOD_OVERRIDE",$H$19)*1,"")))</f>
        <v/>
      </c>
      <c r="BO290" t="str">
        <f>IF(OR(BO$23="",ISNA($B290)),"",IF(ISBLANK($B290),"",IFERROR(_xll.BDP(TICKER,"DEEP_MEASURE_PERIOD_BROKER_VALUE","DEEP_MEASURE_ID_OVERRIDE",$C290,"DEEP_BROKER_ID_OVERRIDE",BO$24,"DEEP_PERIOD_OVERRIDE",$H$19)*1,"")))</f>
        <v/>
      </c>
      <c r="BP290" t="str">
        <f>IF(OR(BP$23="",ISNA($B290)),"",IF(ISBLANK($B290),"",IFERROR(_xll.BDP(TICKER,"DEEP_MEASURE_PERIOD_BROKER_VALUE","DEEP_MEASURE_ID_OVERRIDE",$C290,"DEEP_BROKER_ID_OVERRIDE",BP$24,"DEEP_PERIOD_OVERRIDE",$H$19)*1,"")))</f>
        <v/>
      </c>
      <c r="BQ290" t="str">
        <f>IF(OR(BQ$23="",ISNA($B290)),"",IF(ISBLANK($B290),"",IFERROR(_xll.BDP(TICKER,"DEEP_MEASURE_PERIOD_BROKER_VALUE","DEEP_MEASURE_ID_OVERRIDE",$C290,"DEEP_BROKER_ID_OVERRIDE",BQ$24,"DEEP_PERIOD_OVERRIDE",$H$19)*1,"")))</f>
        <v/>
      </c>
      <c r="BR290" t="str">
        <f>IF(OR(BR$23="",ISNA($B290)),"",IF(ISBLANK($B290),"",IFERROR(_xll.BDP(TICKER,"DEEP_MEASURE_PERIOD_BROKER_VALUE","DEEP_MEASURE_ID_OVERRIDE",$C290,"DEEP_BROKER_ID_OVERRIDE",BR$24,"DEEP_PERIOD_OVERRIDE",$H$19)*1,"")))</f>
        <v/>
      </c>
      <c r="BS290" t="str">
        <f>IF(OR(BS$23="",ISNA($B290)),"",IF(ISBLANK($B290),"",IFERROR(_xll.BDP(TICKER,"DEEP_MEASURE_PERIOD_BROKER_VALUE","DEEP_MEASURE_ID_OVERRIDE",$C290,"DEEP_BROKER_ID_OVERRIDE",BS$24,"DEEP_PERIOD_OVERRIDE",$H$19)*1,"")))</f>
        <v/>
      </c>
      <c r="BT290" t="str">
        <f>IF(OR(BT$23="",ISNA($B290)),"",IF(ISBLANK($B290),"",IFERROR(_xll.BDP(TICKER,"DEEP_MEASURE_PERIOD_BROKER_VALUE","DEEP_MEASURE_ID_OVERRIDE",$C290,"DEEP_BROKER_ID_OVERRIDE",BT$24,"DEEP_PERIOD_OVERRIDE",$H$19)*1,"")))</f>
        <v/>
      </c>
      <c r="BU290" t="str">
        <f>IF(OR(BU$23="",ISNA($B290)),"",IF(ISBLANK($B290),"",IFERROR(_xll.BDP(TICKER,"DEEP_MEASURE_PERIOD_BROKER_VALUE","DEEP_MEASURE_ID_OVERRIDE",$C290,"DEEP_BROKER_ID_OVERRIDE",BU$24,"DEEP_PERIOD_OVERRIDE",$H$19)*1,"")))</f>
        <v/>
      </c>
      <c r="BV290" t="str">
        <f>IF(OR(BV$23="",ISNA($B290)),"",IF(ISBLANK($B290),"",IFERROR(_xll.BDP(TICKER,"DEEP_MEASURE_PERIOD_BROKER_VALUE","DEEP_MEASURE_ID_OVERRIDE",$C290,"DEEP_BROKER_ID_OVERRIDE",BV$24,"DEEP_PERIOD_OVERRIDE",$H$19)*1,"")))</f>
        <v/>
      </c>
      <c r="BW290" t="str">
        <f>IF(OR(BW$23="",ISNA($B290)),"",IF(ISBLANK($B290),"",IFERROR(_xll.BDP(TICKER,"DEEP_MEASURE_PERIOD_BROKER_VALUE","DEEP_MEASURE_ID_OVERRIDE",$C290,"DEEP_BROKER_ID_OVERRIDE",BW$24,"DEEP_PERIOD_OVERRIDE",$H$19)*1,"")))</f>
        <v/>
      </c>
      <c r="BX290" t="str">
        <f>IF(OR(BX$23="",ISNA($B290)),"",IF(ISBLANK($B290),"",IFERROR(_xll.BDP(TICKER,"DEEP_MEASURE_PERIOD_BROKER_VALUE","DEEP_MEASURE_ID_OVERRIDE",$C290,"DEEP_BROKER_ID_OVERRIDE",BX$24,"DEEP_PERIOD_OVERRIDE",$H$19)*1,"")))</f>
        <v/>
      </c>
      <c r="BY290" t="str">
        <f>IF(OR(BY$23="",ISNA($B290)),"",IF(ISBLANK($B290),"",IFERROR(_xll.BDP(TICKER,"DEEP_MEASURE_PERIOD_BROKER_VALUE","DEEP_MEASURE_ID_OVERRIDE",$C290,"DEEP_BROKER_ID_OVERRIDE",BY$24,"DEEP_PERIOD_OVERRIDE",$H$19)*1,"")))</f>
        <v/>
      </c>
      <c r="BZ290" t="str">
        <f>IF(OR(BZ$23="",ISNA($B290)),"",IF(ISBLANK($B290),"",IFERROR(_xll.BDP(TICKER,"DEEP_MEASURE_PERIOD_BROKER_VALUE","DEEP_MEASURE_ID_OVERRIDE",$C290,"DEEP_BROKER_ID_OVERRIDE",BZ$24,"DEEP_PERIOD_OVERRIDE",$H$19)*1,"")))</f>
        <v/>
      </c>
    </row>
    <row r="291" spans="8:78" x14ac:dyDescent="0.25">
      <c r="H291" t="str">
        <f t="shared" si="5"/>
        <v/>
      </c>
      <c r="I291" t="str">
        <f>IF(OR(I$23="",ISNA($B291)),"",IF(ISBLANK($B291),"",IFERROR(_xll.BDP(TICKER,"DEEP_MEASURE_PERIOD_BROKER_VALUE","DEEP_MEASURE_ID_OVERRIDE",$C291,"DEEP_PERIOD_OVERRIDE",$H$19)*1,"")))</f>
        <v/>
      </c>
      <c r="J291" t="e">
        <f>IF(OR(J$23="",ISNA($B291)),"",IF(ISBLANK($B291),"",IFERROR(_xll.BDP(TICKER,"DEEP_MEASURE_PERIOD_BROKER_VALUE","DEEP_MEASURE_ID_OVERRIDE",$C291,"DEEP_BROKER_ID_OVERRIDE",J$24,"DEEP_PERIOD_OVERRIDE",$H$19)*1,"")))</f>
        <v>#REF!</v>
      </c>
      <c r="K291" t="str">
        <f>IF(OR(K$23="",ISNA($B291)),"",IF(ISBLANK($B291),"",IFERROR(_xll.BDP(TICKER,"DEEP_MEASURE_PERIOD_BROKER_VALUE","DEEP_MEASURE_ID_OVERRIDE",$C291,"DEEP_BROKER_ID_OVERRIDE",K$24,"DEEP_PERIOD_OVERRIDE",$H$19)*1,"")))</f>
        <v/>
      </c>
      <c r="L291" t="str">
        <f>IF(OR(L$23="",ISNA($B291)),"",IF(ISBLANK($B291),"",IFERROR(_xll.BDP(TICKER,"DEEP_MEASURE_PERIOD_BROKER_VALUE","DEEP_MEASURE_ID_OVERRIDE",$C291,"DEEP_BROKER_ID_OVERRIDE",L$24,"DEEP_PERIOD_OVERRIDE",$H$19)*1,"")))</f>
        <v/>
      </c>
      <c r="M291" t="str">
        <f>IF(OR(M$23="",ISNA($B291)),"",IF(ISBLANK($B291),"",IFERROR(_xll.BDP(TICKER,"DEEP_MEASURE_PERIOD_BROKER_VALUE","DEEP_MEASURE_ID_OVERRIDE",$C291,"DEEP_BROKER_ID_OVERRIDE",M$24,"DEEP_PERIOD_OVERRIDE",$H$19)*1,"")))</f>
        <v/>
      </c>
      <c r="N291" t="str">
        <f>IF(OR(N$23="",ISNA($B291)),"",IF(ISBLANK($B291),"",IFERROR(_xll.BDP(TICKER,"DEEP_MEASURE_PERIOD_BROKER_VALUE","DEEP_MEASURE_ID_OVERRIDE",$C291,"DEEP_BROKER_ID_OVERRIDE",N$24,"DEEP_PERIOD_OVERRIDE",$H$19)*1,"")))</f>
        <v/>
      </c>
      <c r="O291" t="str">
        <f>IF(OR(O$23="",ISNA($B291)),"",IF(ISBLANK($B291),"",IFERROR(_xll.BDP(TICKER,"DEEP_MEASURE_PERIOD_BROKER_VALUE","DEEP_MEASURE_ID_OVERRIDE",$C291,"DEEP_BROKER_ID_OVERRIDE",O$24,"DEEP_PERIOD_OVERRIDE",$H$19)*1,"")))</f>
        <v/>
      </c>
      <c r="P291" t="str">
        <f>IF(OR(P$23="",ISNA($B291)),"",IF(ISBLANK($B291),"",IFERROR(_xll.BDP(TICKER,"DEEP_MEASURE_PERIOD_BROKER_VALUE","DEEP_MEASURE_ID_OVERRIDE",$C291,"DEEP_BROKER_ID_OVERRIDE",P$24,"DEEP_PERIOD_OVERRIDE",$H$19)*1,"")))</f>
        <v/>
      </c>
      <c r="Q291" t="str">
        <f>IF(OR(Q$23="",ISNA($B291)),"",IF(ISBLANK($B291),"",IFERROR(_xll.BDP(TICKER,"DEEP_MEASURE_PERIOD_BROKER_VALUE","DEEP_MEASURE_ID_OVERRIDE",$C291,"DEEP_BROKER_ID_OVERRIDE",Q$24,"DEEP_PERIOD_OVERRIDE",$H$19)*1,"")))</f>
        <v/>
      </c>
      <c r="R291" t="str">
        <f>IF(OR(R$23="",ISNA($B291)),"",IF(ISBLANK($B291),"",IFERROR(_xll.BDP(TICKER,"DEEP_MEASURE_PERIOD_BROKER_VALUE","DEEP_MEASURE_ID_OVERRIDE",$C291,"DEEP_BROKER_ID_OVERRIDE",R$24,"DEEP_PERIOD_OVERRIDE",$H$19)*1,"")))</f>
        <v/>
      </c>
      <c r="S291" t="str">
        <f>IF(OR(S$23="",ISNA($B291)),"",IF(ISBLANK($B291),"",IFERROR(_xll.BDP(TICKER,"DEEP_MEASURE_PERIOD_BROKER_VALUE","DEEP_MEASURE_ID_OVERRIDE",$C291,"DEEP_BROKER_ID_OVERRIDE",S$24,"DEEP_PERIOD_OVERRIDE",$H$19)*1,"")))</f>
        <v/>
      </c>
      <c r="T291" t="str">
        <f>IF(OR(T$23="",ISNA($B291)),"",IF(ISBLANK($B291),"",IFERROR(_xll.BDP(TICKER,"DEEP_MEASURE_PERIOD_BROKER_VALUE","DEEP_MEASURE_ID_OVERRIDE",$C291,"DEEP_BROKER_ID_OVERRIDE",T$24,"DEEP_PERIOD_OVERRIDE",$H$19)*1,"")))</f>
        <v/>
      </c>
      <c r="U291" t="str">
        <f>IF(OR(U$23="",ISNA($B291)),"",IF(ISBLANK($B291),"",IFERROR(_xll.BDP(TICKER,"DEEP_MEASURE_PERIOD_BROKER_VALUE","DEEP_MEASURE_ID_OVERRIDE",$C291,"DEEP_BROKER_ID_OVERRIDE",U$24,"DEEP_PERIOD_OVERRIDE",$H$19)*1,"")))</f>
        <v/>
      </c>
      <c r="V291" t="str">
        <f>IF(OR(V$23="",ISNA($B291)),"",IF(ISBLANK($B291),"",IFERROR(_xll.BDP(TICKER,"DEEP_MEASURE_PERIOD_BROKER_VALUE","DEEP_MEASURE_ID_OVERRIDE",$C291,"DEEP_BROKER_ID_OVERRIDE",V$24,"DEEP_PERIOD_OVERRIDE",$H$19)*1,"")))</f>
        <v/>
      </c>
      <c r="W291" t="str">
        <f>IF(OR(W$23="",ISNA($B291)),"",IF(ISBLANK($B291),"",IFERROR(_xll.BDP(TICKER,"DEEP_MEASURE_PERIOD_BROKER_VALUE","DEEP_MEASURE_ID_OVERRIDE",$C291,"DEEP_BROKER_ID_OVERRIDE",W$24,"DEEP_PERIOD_OVERRIDE",$H$19)*1,"")))</f>
        <v/>
      </c>
      <c r="X291" t="str">
        <f>IF(OR(X$23="",ISNA($B291)),"",IF(ISBLANK($B291),"",IFERROR(_xll.BDP(TICKER,"DEEP_MEASURE_PERIOD_BROKER_VALUE","DEEP_MEASURE_ID_OVERRIDE",$C291,"DEEP_BROKER_ID_OVERRIDE",X$24,"DEEP_PERIOD_OVERRIDE",$H$19)*1,"")))</f>
        <v/>
      </c>
      <c r="Y291" t="str">
        <f>IF(OR(Y$23="",ISNA($B291)),"",IF(ISBLANK($B291),"",IFERROR(_xll.BDP(TICKER,"DEEP_MEASURE_PERIOD_BROKER_VALUE","DEEP_MEASURE_ID_OVERRIDE",$C291,"DEEP_BROKER_ID_OVERRIDE",Y$24,"DEEP_PERIOD_OVERRIDE",$H$19)*1,"")))</f>
        <v/>
      </c>
      <c r="Z291" t="str">
        <f>IF(OR(Z$23="",ISNA($B291)),"",IF(ISBLANK($B291),"",IFERROR(_xll.BDP(TICKER,"DEEP_MEASURE_PERIOD_BROKER_VALUE","DEEP_MEASURE_ID_OVERRIDE",$C291,"DEEP_BROKER_ID_OVERRIDE",Z$24,"DEEP_PERIOD_OVERRIDE",$H$19)*1,"")))</f>
        <v/>
      </c>
      <c r="AA291" t="str">
        <f>IF(OR(AA$23="",ISNA($B291)),"",IF(ISBLANK($B291),"",IFERROR(_xll.BDP(TICKER,"DEEP_MEASURE_PERIOD_BROKER_VALUE","DEEP_MEASURE_ID_OVERRIDE",$C291,"DEEP_BROKER_ID_OVERRIDE",AA$24,"DEEP_PERIOD_OVERRIDE",$H$19)*1,"")))</f>
        <v/>
      </c>
      <c r="AB291" t="str">
        <f>IF(OR(AB$23="",ISNA($B291)),"",IF(ISBLANK($B291),"",IFERROR(_xll.BDP(TICKER,"DEEP_MEASURE_PERIOD_BROKER_VALUE","DEEP_MEASURE_ID_OVERRIDE",$C291,"DEEP_BROKER_ID_OVERRIDE",AB$24,"DEEP_PERIOD_OVERRIDE",$H$19)*1,"")))</f>
        <v/>
      </c>
      <c r="AC291" t="str">
        <f>IF(OR(AC$23="",ISNA($B291)),"",IF(ISBLANK($B291),"",IFERROR(_xll.BDP(TICKER,"DEEP_MEASURE_PERIOD_BROKER_VALUE","DEEP_MEASURE_ID_OVERRIDE",$C291,"DEEP_BROKER_ID_OVERRIDE",AC$24,"DEEP_PERIOD_OVERRIDE",$H$19)*1,"")))</f>
        <v/>
      </c>
      <c r="AD291" t="str">
        <f>IF(OR(AD$23="",ISNA($B291)),"",IF(ISBLANK($B291),"",IFERROR(_xll.BDP(TICKER,"DEEP_MEASURE_PERIOD_BROKER_VALUE","DEEP_MEASURE_ID_OVERRIDE",$C291,"DEEP_BROKER_ID_OVERRIDE",AD$24,"DEEP_PERIOD_OVERRIDE",$H$19)*1,"")))</f>
        <v/>
      </c>
      <c r="AE291" t="str">
        <f>IF(OR(AE$23="",ISNA($B291)),"",IF(ISBLANK($B291),"",IFERROR(_xll.BDP(TICKER,"DEEP_MEASURE_PERIOD_BROKER_VALUE","DEEP_MEASURE_ID_OVERRIDE",$C291,"DEEP_BROKER_ID_OVERRIDE",AE$24,"DEEP_PERIOD_OVERRIDE",$H$19)*1,"")))</f>
        <v/>
      </c>
      <c r="AF291" t="str">
        <f>IF(OR(AF$23="",ISNA($B291)),"",IF(ISBLANK($B291),"",IFERROR(_xll.BDP(TICKER,"DEEP_MEASURE_PERIOD_BROKER_VALUE","DEEP_MEASURE_ID_OVERRIDE",$C291,"DEEP_BROKER_ID_OVERRIDE",AF$24,"DEEP_PERIOD_OVERRIDE",$H$19)*1,"")))</f>
        <v/>
      </c>
      <c r="AG291" t="str">
        <f>IF(OR(AG$23="",ISNA($B291)),"",IF(ISBLANK($B291),"",IFERROR(_xll.BDP(TICKER,"DEEP_MEASURE_PERIOD_BROKER_VALUE","DEEP_MEASURE_ID_OVERRIDE",$C291,"DEEP_BROKER_ID_OVERRIDE",AG$24,"DEEP_PERIOD_OVERRIDE",$H$19)*1,"")))</f>
        <v/>
      </c>
      <c r="AH291" t="str">
        <f>IF(OR(AH$23="",ISNA($B291)),"",IF(ISBLANK($B291),"",IFERROR(_xll.BDP(TICKER,"DEEP_MEASURE_PERIOD_BROKER_VALUE","DEEP_MEASURE_ID_OVERRIDE",$C291,"DEEP_BROKER_ID_OVERRIDE",AH$24,"DEEP_PERIOD_OVERRIDE",$H$19)*1,"")))</f>
        <v/>
      </c>
      <c r="AI291" t="str">
        <f>IF(OR(AI$23="",ISNA($B291)),"",IF(ISBLANK($B291),"",IFERROR(_xll.BDP(TICKER,"DEEP_MEASURE_PERIOD_BROKER_VALUE","DEEP_MEASURE_ID_OVERRIDE",$C291,"DEEP_BROKER_ID_OVERRIDE",AI$24,"DEEP_PERIOD_OVERRIDE",$H$19)*1,"")))</f>
        <v/>
      </c>
      <c r="AJ291" t="str">
        <f>IF(OR(AJ$23="",ISNA($B291)),"",IF(ISBLANK($B291),"",IFERROR(_xll.BDP(TICKER,"DEEP_MEASURE_PERIOD_BROKER_VALUE","DEEP_MEASURE_ID_OVERRIDE",$C291,"DEEP_BROKER_ID_OVERRIDE",AJ$24,"DEEP_PERIOD_OVERRIDE",$H$19)*1,"")))</f>
        <v/>
      </c>
      <c r="AK291" t="str">
        <f>IF(OR(AK$23="",ISNA($B291)),"",IF(ISBLANK($B291),"",IFERROR(_xll.BDP(TICKER,"DEEP_MEASURE_PERIOD_BROKER_VALUE","DEEP_MEASURE_ID_OVERRIDE",$C291,"DEEP_BROKER_ID_OVERRIDE",AK$24,"DEEP_PERIOD_OVERRIDE",$H$19)*1,"")))</f>
        <v/>
      </c>
      <c r="AL291" t="str">
        <f>IF(OR(AL$23="",ISNA($B291)),"",IF(ISBLANK($B291),"",IFERROR(_xll.BDP(TICKER,"DEEP_MEASURE_PERIOD_BROKER_VALUE","DEEP_MEASURE_ID_OVERRIDE",$C291,"DEEP_BROKER_ID_OVERRIDE",AL$24,"DEEP_PERIOD_OVERRIDE",$H$19)*1,"")))</f>
        <v/>
      </c>
      <c r="AM291" t="str">
        <f>IF(OR(AM$23="",ISNA($B291)),"",IF(ISBLANK($B291),"",IFERROR(_xll.BDP(TICKER,"DEEP_MEASURE_PERIOD_BROKER_VALUE","DEEP_MEASURE_ID_OVERRIDE",$C291,"DEEP_BROKER_ID_OVERRIDE",AM$24,"DEEP_PERIOD_OVERRIDE",$H$19)*1,"")))</f>
        <v/>
      </c>
      <c r="AN291" t="str">
        <f>IF(OR(AN$23="",ISNA($B291)),"",IF(ISBLANK($B291),"",IFERROR(_xll.BDP(TICKER,"DEEP_MEASURE_PERIOD_BROKER_VALUE","DEEP_MEASURE_ID_OVERRIDE",$C291,"DEEP_BROKER_ID_OVERRIDE",AN$24,"DEEP_PERIOD_OVERRIDE",$H$19)*1,"")))</f>
        <v/>
      </c>
      <c r="AO291" t="str">
        <f>IF(OR(AO$23="",ISNA($B291)),"",IF(ISBLANK($B291),"",IFERROR(_xll.BDP(TICKER,"DEEP_MEASURE_PERIOD_BROKER_VALUE","DEEP_MEASURE_ID_OVERRIDE",$C291,"DEEP_BROKER_ID_OVERRIDE",AO$24,"DEEP_PERIOD_OVERRIDE",$H$19)*1,"")))</f>
        <v/>
      </c>
      <c r="AP291" t="str">
        <f>IF(OR(AP$23="",ISNA($B291)),"",IF(ISBLANK($B291),"",IFERROR(_xll.BDP(TICKER,"DEEP_MEASURE_PERIOD_BROKER_VALUE","DEEP_MEASURE_ID_OVERRIDE",$C291,"DEEP_BROKER_ID_OVERRIDE",AP$24,"DEEP_PERIOD_OVERRIDE",$H$19)*1,"")))</f>
        <v/>
      </c>
      <c r="AQ291" t="str">
        <f>IF(OR(AQ$23="",ISNA($B291)),"",IF(ISBLANK($B291),"",IFERROR(_xll.BDP(TICKER,"DEEP_MEASURE_PERIOD_BROKER_VALUE","DEEP_MEASURE_ID_OVERRIDE",$C291,"DEEP_BROKER_ID_OVERRIDE",AQ$24,"DEEP_PERIOD_OVERRIDE",$H$19)*1,"")))</f>
        <v/>
      </c>
      <c r="AR291" t="str">
        <f>IF(OR(AR$23="",ISNA($B291)),"",IF(ISBLANK($B291),"",IFERROR(_xll.BDP(TICKER,"DEEP_MEASURE_PERIOD_BROKER_VALUE","DEEP_MEASURE_ID_OVERRIDE",$C291,"DEEP_BROKER_ID_OVERRIDE",AR$24,"DEEP_PERIOD_OVERRIDE",$H$19)*1,"")))</f>
        <v/>
      </c>
      <c r="AS291" t="str">
        <f>IF(OR(AS$23="",ISNA($B291)),"",IF(ISBLANK($B291),"",IFERROR(_xll.BDP(TICKER,"DEEP_MEASURE_PERIOD_BROKER_VALUE","DEEP_MEASURE_ID_OVERRIDE",$C291,"DEEP_BROKER_ID_OVERRIDE",AS$24,"DEEP_PERIOD_OVERRIDE",$H$19)*1,"")))</f>
        <v/>
      </c>
      <c r="AT291" t="str">
        <f>IF(OR(AT$23="",ISNA($B291)),"",IF(ISBLANK($B291),"",IFERROR(_xll.BDP(TICKER,"DEEP_MEASURE_PERIOD_BROKER_VALUE","DEEP_MEASURE_ID_OVERRIDE",$C291,"DEEP_BROKER_ID_OVERRIDE",AT$24,"DEEP_PERIOD_OVERRIDE",$H$19)*1,"")))</f>
        <v/>
      </c>
      <c r="AU291" t="str">
        <f>IF(OR(AU$23="",ISNA($B291)),"",IF(ISBLANK($B291),"",IFERROR(_xll.BDP(TICKER,"DEEP_MEASURE_PERIOD_BROKER_VALUE","DEEP_MEASURE_ID_OVERRIDE",$C291,"DEEP_BROKER_ID_OVERRIDE",AU$24,"DEEP_PERIOD_OVERRIDE",$H$19)*1,"")))</f>
        <v/>
      </c>
      <c r="AV291" t="str">
        <f>IF(OR(AV$23="",ISNA($B291)),"",IF(ISBLANK($B291),"",IFERROR(_xll.BDP(TICKER,"DEEP_MEASURE_PERIOD_BROKER_VALUE","DEEP_MEASURE_ID_OVERRIDE",$C291,"DEEP_BROKER_ID_OVERRIDE",AV$24,"DEEP_PERIOD_OVERRIDE",$H$19)*1,"")))</f>
        <v/>
      </c>
      <c r="AW291" t="str">
        <f>IF(OR(AW$23="",ISNA($B291)),"",IF(ISBLANK($B291),"",IFERROR(_xll.BDP(TICKER,"DEEP_MEASURE_PERIOD_BROKER_VALUE","DEEP_MEASURE_ID_OVERRIDE",$C291,"DEEP_BROKER_ID_OVERRIDE",AW$24,"DEEP_PERIOD_OVERRIDE",$H$19)*1,"")))</f>
        <v/>
      </c>
      <c r="AX291" t="str">
        <f>IF(OR(AX$23="",ISNA($B291)),"",IF(ISBLANK($B291),"",IFERROR(_xll.BDP(TICKER,"DEEP_MEASURE_PERIOD_BROKER_VALUE","DEEP_MEASURE_ID_OVERRIDE",$C291,"DEEP_BROKER_ID_OVERRIDE",AX$24,"DEEP_PERIOD_OVERRIDE",$H$19)*1,"")))</f>
        <v/>
      </c>
      <c r="AY291" t="str">
        <f>IF(OR(AY$23="",ISNA($B291)),"",IF(ISBLANK($B291),"",IFERROR(_xll.BDP(TICKER,"DEEP_MEASURE_PERIOD_BROKER_VALUE","DEEP_MEASURE_ID_OVERRIDE",$C291,"DEEP_BROKER_ID_OVERRIDE",AY$24,"DEEP_PERIOD_OVERRIDE",$H$19)*1,"")))</f>
        <v/>
      </c>
      <c r="AZ291" t="str">
        <f>IF(OR(AZ$23="",ISNA($B291)),"",IF(ISBLANK($B291),"",IFERROR(_xll.BDP(TICKER,"DEEP_MEASURE_PERIOD_BROKER_VALUE","DEEP_MEASURE_ID_OVERRIDE",$C291,"DEEP_BROKER_ID_OVERRIDE",AZ$24,"DEEP_PERIOD_OVERRIDE",$H$19)*1,"")))</f>
        <v/>
      </c>
      <c r="BA291" t="str">
        <f>IF(OR(BA$23="",ISNA($B291)),"",IF(ISBLANK($B291),"",IFERROR(_xll.BDP(TICKER,"DEEP_MEASURE_PERIOD_BROKER_VALUE","DEEP_MEASURE_ID_OVERRIDE",$C291,"DEEP_BROKER_ID_OVERRIDE",BA$24,"DEEP_PERIOD_OVERRIDE",$H$19)*1,"")))</f>
        <v/>
      </c>
      <c r="BB291" t="str">
        <f>IF(OR(BB$23="",ISNA($B291)),"",IF(ISBLANK($B291),"",IFERROR(_xll.BDP(TICKER,"DEEP_MEASURE_PERIOD_BROKER_VALUE","DEEP_MEASURE_ID_OVERRIDE",$C291,"DEEP_BROKER_ID_OVERRIDE",BB$24,"DEEP_PERIOD_OVERRIDE",$H$19)*1,"")))</f>
        <v/>
      </c>
      <c r="BC291" t="str">
        <f>IF(OR(BC$23="",ISNA($B291)),"",IF(ISBLANK($B291),"",IFERROR(_xll.BDP(TICKER,"DEEP_MEASURE_PERIOD_BROKER_VALUE","DEEP_MEASURE_ID_OVERRIDE",$C291,"DEEP_BROKER_ID_OVERRIDE",BC$24,"DEEP_PERIOD_OVERRIDE",$H$19)*1,"")))</f>
        <v/>
      </c>
      <c r="BD291" t="str">
        <f>IF(OR(BD$23="",ISNA($B291)),"",IF(ISBLANK($B291),"",IFERROR(_xll.BDP(TICKER,"DEEP_MEASURE_PERIOD_BROKER_VALUE","DEEP_MEASURE_ID_OVERRIDE",$C291,"DEEP_BROKER_ID_OVERRIDE",BD$24,"DEEP_PERIOD_OVERRIDE",$H$19)*1,"")))</f>
        <v/>
      </c>
      <c r="BE291" t="str">
        <f>IF(OR(BE$23="",ISNA($B291)),"",IF(ISBLANK($B291),"",IFERROR(_xll.BDP(TICKER,"DEEP_MEASURE_PERIOD_BROKER_VALUE","DEEP_MEASURE_ID_OVERRIDE",$C291,"DEEP_BROKER_ID_OVERRIDE",BE$24,"DEEP_PERIOD_OVERRIDE",$H$19)*1,"")))</f>
        <v/>
      </c>
      <c r="BF291" t="str">
        <f>IF(OR(BF$23="",ISNA($B291)),"",IF(ISBLANK($B291),"",IFERROR(_xll.BDP(TICKER,"DEEP_MEASURE_PERIOD_BROKER_VALUE","DEEP_MEASURE_ID_OVERRIDE",$C291,"DEEP_BROKER_ID_OVERRIDE",BF$24,"DEEP_PERIOD_OVERRIDE",$H$19)*1,"")))</f>
        <v/>
      </c>
      <c r="BG291" t="str">
        <f>IF(OR(BG$23="",ISNA($B291)),"",IF(ISBLANK($B291),"",IFERROR(_xll.BDP(TICKER,"DEEP_MEASURE_PERIOD_BROKER_VALUE","DEEP_MEASURE_ID_OVERRIDE",$C291,"DEEP_BROKER_ID_OVERRIDE",BG$24,"DEEP_PERIOD_OVERRIDE",$H$19)*1,"")))</f>
        <v/>
      </c>
      <c r="BH291" t="str">
        <f>IF(OR(BH$23="",ISNA($B291)),"",IF(ISBLANK($B291),"",IFERROR(_xll.BDP(TICKER,"DEEP_MEASURE_PERIOD_BROKER_VALUE","DEEP_MEASURE_ID_OVERRIDE",$C291,"DEEP_BROKER_ID_OVERRIDE",BH$24,"DEEP_PERIOD_OVERRIDE",$H$19)*1,"")))</f>
        <v/>
      </c>
      <c r="BI291" t="str">
        <f>IF(OR(BI$23="",ISNA($B291)),"",IF(ISBLANK($B291),"",IFERROR(_xll.BDP(TICKER,"DEEP_MEASURE_PERIOD_BROKER_VALUE","DEEP_MEASURE_ID_OVERRIDE",$C291,"DEEP_BROKER_ID_OVERRIDE",BI$24,"DEEP_PERIOD_OVERRIDE",$H$19)*1,"")))</f>
        <v/>
      </c>
      <c r="BJ291" t="str">
        <f>IF(OR(BJ$23="",ISNA($B291)),"",IF(ISBLANK($B291),"",IFERROR(_xll.BDP(TICKER,"DEEP_MEASURE_PERIOD_BROKER_VALUE","DEEP_MEASURE_ID_OVERRIDE",$C291,"DEEP_BROKER_ID_OVERRIDE",BJ$24,"DEEP_PERIOD_OVERRIDE",$H$19)*1,"")))</f>
        <v/>
      </c>
      <c r="BK291" t="str">
        <f>IF(OR(BK$23="",ISNA($B291)),"",IF(ISBLANK($B291),"",IFERROR(_xll.BDP(TICKER,"DEEP_MEASURE_PERIOD_BROKER_VALUE","DEEP_MEASURE_ID_OVERRIDE",$C291,"DEEP_BROKER_ID_OVERRIDE",BK$24,"DEEP_PERIOD_OVERRIDE",$H$19)*1,"")))</f>
        <v/>
      </c>
      <c r="BL291" t="str">
        <f>IF(OR(BL$23="",ISNA($B291)),"",IF(ISBLANK($B291),"",IFERROR(_xll.BDP(TICKER,"DEEP_MEASURE_PERIOD_BROKER_VALUE","DEEP_MEASURE_ID_OVERRIDE",$C291,"DEEP_BROKER_ID_OVERRIDE",BL$24,"DEEP_PERIOD_OVERRIDE",$H$19)*1,"")))</f>
        <v/>
      </c>
      <c r="BM291" t="str">
        <f>IF(OR(BM$23="",ISNA($B291)),"",IF(ISBLANK($B291),"",IFERROR(_xll.BDP(TICKER,"DEEP_MEASURE_PERIOD_BROKER_VALUE","DEEP_MEASURE_ID_OVERRIDE",$C291,"DEEP_BROKER_ID_OVERRIDE",BM$24,"DEEP_PERIOD_OVERRIDE",$H$19)*1,"")))</f>
        <v/>
      </c>
      <c r="BN291" t="str">
        <f>IF(OR(BN$23="",ISNA($B291)),"",IF(ISBLANK($B291),"",IFERROR(_xll.BDP(TICKER,"DEEP_MEASURE_PERIOD_BROKER_VALUE","DEEP_MEASURE_ID_OVERRIDE",$C291,"DEEP_BROKER_ID_OVERRIDE",BN$24,"DEEP_PERIOD_OVERRIDE",$H$19)*1,"")))</f>
        <v/>
      </c>
      <c r="BO291" t="str">
        <f>IF(OR(BO$23="",ISNA($B291)),"",IF(ISBLANK($B291),"",IFERROR(_xll.BDP(TICKER,"DEEP_MEASURE_PERIOD_BROKER_VALUE","DEEP_MEASURE_ID_OVERRIDE",$C291,"DEEP_BROKER_ID_OVERRIDE",BO$24,"DEEP_PERIOD_OVERRIDE",$H$19)*1,"")))</f>
        <v/>
      </c>
      <c r="BP291" t="str">
        <f>IF(OR(BP$23="",ISNA($B291)),"",IF(ISBLANK($B291),"",IFERROR(_xll.BDP(TICKER,"DEEP_MEASURE_PERIOD_BROKER_VALUE","DEEP_MEASURE_ID_OVERRIDE",$C291,"DEEP_BROKER_ID_OVERRIDE",BP$24,"DEEP_PERIOD_OVERRIDE",$H$19)*1,"")))</f>
        <v/>
      </c>
      <c r="BQ291" t="str">
        <f>IF(OR(BQ$23="",ISNA($B291)),"",IF(ISBLANK($B291),"",IFERROR(_xll.BDP(TICKER,"DEEP_MEASURE_PERIOD_BROKER_VALUE","DEEP_MEASURE_ID_OVERRIDE",$C291,"DEEP_BROKER_ID_OVERRIDE",BQ$24,"DEEP_PERIOD_OVERRIDE",$H$19)*1,"")))</f>
        <v/>
      </c>
      <c r="BR291" t="str">
        <f>IF(OR(BR$23="",ISNA($B291)),"",IF(ISBLANK($B291),"",IFERROR(_xll.BDP(TICKER,"DEEP_MEASURE_PERIOD_BROKER_VALUE","DEEP_MEASURE_ID_OVERRIDE",$C291,"DEEP_BROKER_ID_OVERRIDE",BR$24,"DEEP_PERIOD_OVERRIDE",$H$19)*1,"")))</f>
        <v/>
      </c>
      <c r="BS291" t="str">
        <f>IF(OR(BS$23="",ISNA($B291)),"",IF(ISBLANK($B291),"",IFERROR(_xll.BDP(TICKER,"DEEP_MEASURE_PERIOD_BROKER_VALUE","DEEP_MEASURE_ID_OVERRIDE",$C291,"DEEP_BROKER_ID_OVERRIDE",BS$24,"DEEP_PERIOD_OVERRIDE",$H$19)*1,"")))</f>
        <v/>
      </c>
      <c r="BT291" t="str">
        <f>IF(OR(BT$23="",ISNA($B291)),"",IF(ISBLANK($B291),"",IFERROR(_xll.BDP(TICKER,"DEEP_MEASURE_PERIOD_BROKER_VALUE","DEEP_MEASURE_ID_OVERRIDE",$C291,"DEEP_BROKER_ID_OVERRIDE",BT$24,"DEEP_PERIOD_OVERRIDE",$H$19)*1,"")))</f>
        <v/>
      </c>
      <c r="BU291" t="str">
        <f>IF(OR(BU$23="",ISNA($B291)),"",IF(ISBLANK($B291),"",IFERROR(_xll.BDP(TICKER,"DEEP_MEASURE_PERIOD_BROKER_VALUE","DEEP_MEASURE_ID_OVERRIDE",$C291,"DEEP_BROKER_ID_OVERRIDE",BU$24,"DEEP_PERIOD_OVERRIDE",$H$19)*1,"")))</f>
        <v/>
      </c>
      <c r="BV291" t="str">
        <f>IF(OR(BV$23="",ISNA($B291)),"",IF(ISBLANK($B291),"",IFERROR(_xll.BDP(TICKER,"DEEP_MEASURE_PERIOD_BROKER_VALUE","DEEP_MEASURE_ID_OVERRIDE",$C291,"DEEP_BROKER_ID_OVERRIDE",BV$24,"DEEP_PERIOD_OVERRIDE",$H$19)*1,"")))</f>
        <v/>
      </c>
      <c r="BW291" t="str">
        <f>IF(OR(BW$23="",ISNA($B291)),"",IF(ISBLANK($B291),"",IFERROR(_xll.BDP(TICKER,"DEEP_MEASURE_PERIOD_BROKER_VALUE","DEEP_MEASURE_ID_OVERRIDE",$C291,"DEEP_BROKER_ID_OVERRIDE",BW$24,"DEEP_PERIOD_OVERRIDE",$H$19)*1,"")))</f>
        <v/>
      </c>
      <c r="BX291" t="str">
        <f>IF(OR(BX$23="",ISNA($B291)),"",IF(ISBLANK($B291),"",IFERROR(_xll.BDP(TICKER,"DEEP_MEASURE_PERIOD_BROKER_VALUE","DEEP_MEASURE_ID_OVERRIDE",$C291,"DEEP_BROKER_ID_OVERRIDE",BX$24,"DEEP_PERIOD_OVERRIDE",$H$19)*1,"")))</f>
        <v/>
      </c>
      <c r="BY291" t="str">
        <f>IF(OR(BY$23="",ISNA($B291)),"",IF(ISBLANK($B291),"",IFERROR(_xll.BDP(TICKER,"DEEP_MEASURE_PERIOD_BROKER_VALUE","DEEP_MEASURE_ID_OVERRIDE",$C291,"DEEP_BROKER_ID_OVERRIDE",BY$24,"DEEP_PERIOD_OVERRIDE",$H$19)*1,"")))</f>
        <v/>
      </c>
      <c r="BZ291" t="str">
        <f>IF(OR(BZ$23="",ISNA($B291)),"",IF(ISBLANK($B291),"",IFERROR(_xll.BDP(TICKER,"DEEP_MEASURE_PERIOD_BROKER_VALUE","DEEP_MEASURE_ID_OVERRIDE",$C291,"DEEP_BROKER_ID_OVERRIDE",BZ$24,"DEEP_PERIOD_OVERRIDE",$H$19)*1,"")))</f>
        <v/>
      </c>
    </row>
    <row r="292" spans="8:78" x14ac:dyDescent="0.25">
      <c r="H292" t="str">
        <f t="shared" si="5"/>
        <v/>
      </c>
      <c r="I292" t="str">
        <f>IF(OR(I$23="",ISNA($B292)),"",IF(ISBLANK($B292),"",IFERROR(_xll.BDP(TICKER,"DEEP_MEASURE_PERIOD_BROKER_VALUE","DEEP_MEASURE_ID_OVERRIDE",$C292,"DEEP_PERIOD_OVERRIDE",$H$19)*1,"")))</f>
        <v/>
      </c>
      <c r="J292" t="e">
        <f>IF(OR(J$23="",ISNA($B292)),"",IF(ISBLANK($B292),"",IFERROR(_xll.BDP(TICKER,"DEEP_MEASURE_PERIOD_BROKER_VALUE","DEEP_MEASURE_ID_OVERRIDE",$C292,"DEEP_BROKER_ID_OVERRIDE",J$24,"DEEP_PERIOD_OVERRIDE",$H$19)*1,"")))</f>
        <v>#REF!</v>
      </c>
      <c r="K292" t="str">
        <f>IF(OR(K$23="",ISNA($B292)),"",IF(ISBLANK($B292),"",IFERROR(_xll.BDP(TICKER,"DEEP_MEASURE_PERIOD_BROKER_VALUE","DEEP_MEASURE_ID_OVERRIDE",$C292,"DEEP_BROKER_ID_OVERRIDE",K$24,"DEEP_PERIOD_OVERRIDE",$H$19)*1,"")))</f>
        <v/>
      </c>
      <c r="L292" t="str">
        <f>IF(OR(L$23="",ISNA($B292)),"",IF(ISBLANK($B292),"",IFERROR(_xll.BDP(TICKER,"DEEP_MEASURE_PERIOD_BROKER_VALUE","DEEP_MEASURE_ID_OVERRIDE",$C292,"DEEP_BROKER_ID_OVERRIDE",L$24,"DEEP_PERIOD_OVERRIDE",$H$19)*1,"")))</f>
        <v/>
      </c>
      <c r="M292" t="str">
        <f>IF(OR(M$23="",ISNA($B292)),"",IF(ISBLANK($B292),"",IFERROR(_xll.BDP(TICKER,"DEEP_MEASURE_PERIOD_BROKER_VALUE","DEEP_MEASURE_ID_OVERRIDE",$C292,"DEEP_BROKER_ID_OVERRIDE",M$24,"DEEP_PERIOD_OVERRIDE",$H$19)*1,"")))</f>
        <v/>
      </c>
      <c r="N292" t="str">
        <f>IF(OR(N$23="",ISNA($B292)),"",IF(ISBLANK($B292),"",IFERROR(_xll.BDP(TICKER,"DEEP_MEASURE_PERIOD_BROKER_VALUE","DEEP_MEASURE_ID_OVERRIDE",$C292,"DEEP_BROKER_ID_OVERRIDE",N$24,"DEEP_PERIOD_OVERRIDE",$H$19)*1,"")))</f>
        <v/>
      </c>
      <c r="O292" t="str">
        <f>IF(OR(O$23="",ISNA($B292)),"",IF(ISBLANK($B292),"",IFERROR(_xll.BDP(TICKER,"DEEP_MEASURE_PERIOD_BROKER_VALUE","DEEP_MEASURE_ID_OVERRIDE",$C292,"DEEP_BROKER_ID_OVERRIDE",O$24,"DEEP_PERIOD_OVERRIDE",$H$19)*1,"")))</f>
        <v/>
      </c>
      <c r="P292" t="str">
        <f>IF(OR(P$23="",ISNA($B292)),"",IF(ISBLANK($B292),"",IFERROR(_xll.BDP(TICKER,"DEEP_MEASURE_PERIOD_BROKER_VALUE","DEEP_MEASURE_ID_OVERRIDE",$C292,"DEEP_BROKER_ID_OVERRIDE",P$24,"DEEP_PERIOD_OVERRIDE",$H$19)*1,"")))</f>
        <v/>
      </c>
      <c r="Q292" t="str">
        <f>IF(OR(Q$23="",ISNA($B292)),"",IF(ISBLANK($B292),"",IFERROR(_xll.BDP(TICKER,"DEEP_MEASURE_PERIOD_BROKER_VALUE","DEEP_MEASURE_ID_OVERRIDE",$C292,"DEEP_BROKER_ID_OVERRIDE",Q$24,"DEEP_PERIOD_OVERRIDE",$H$19)*1,"")))</f>
        <v/>
      </c>
      <c r="R292" t="str">
        <f>IF(OR(R$23="",ISNA($B292)),"",IF(ISBLANK($B292),"",IFERROR(_xll.BDP(TICKER,"DEEP_MEASURE_PERIOD_BROKER_VALUE","DEEP_MEASURE_ID_OVERRIDE",$C292,"DEEP_BROKER_ID_OVERRIDE",R$24,"DEEP_PERIOD_OVERRIDE",$H$19)*1,"")))</f>
        <v/>
      </c>
      <c r="S292" t="str">
        <f>IF(OR(S$23="",ISNA($B292)),"",IF(ISBLANK($B292),"",IFERROR(_xll.BDP(TICKER,"DEEP_MEASURE_PERIOD_BROKER_VALUE","DEEP_MEASURE_ID_OVERRIDE",$C292,"DEEP_BROKER_ID_OVERRIDE",S$24,"DEEP_PERIOD_OVERRIDE",$H$19)*1,"")))</f>
        <v/>
      </c>
      <c r="T292" t="str">
        <f>IF(OR(T$23="",ISNA($B292)),"",IF(ISBLANK($B292),"",IFERROR(_xll.BDP(TICKER,"DEEP_MEASURE_PERIOD_BROKER_VALUE","DEEP_MEASURE_ID_OVERRIDE",$C292,"DEEP_BROKER_ID_OVERRIDE",T$24,"DEEP_PERIOD_OVERRIDE",$H$19)*1,"")))</f>
        <v/>
      </c>
      <c r="U292" t="str">
        <f>IF(OR(U$23="",ISNA($B292)),"",IF(ISBLANK($B292),"",IFERROR(_xll.BDP(TICKER,"DEEP_MEASURE_PERIOD_BROKER_VALUE","DEEP_MEASURE_ID_OVERRIDE",$C292,"DEEP_BROKER_ID_OVERRIDE",U$24,"DEEP_PERIOD_OVERRIDE",$H$19)*1,"")))</f>
        <v/>
      </c>
      <c r="V292" t="str">
        <f>IF(OR(V$23="",ISNA($B292)),"",IF(ISBLANK($B292),"",IFERROR(_xll.BDP(TICKER,"DEEP_MEASURE_PERIOD_BROKER_VALUE","DEEP_MEASURE_ID_OVERRIDE",$C292,"DEEP_BROKER_ID_OVERRIDE",V$24,"DEEP_PERIOD_OVERRIDE",$H$19)*1,"")))</f>
        <v/>
      </c>
      <c r="W292" t="str">
        <f>IF(OR(W$23="",ISNA($B292)),"",IF(ISBLANK($B292),"",IFERROR(_xll.BDP(TICKER,"DEEP_MEASURE_PERIOD_BROKER_VALUE","DEEP_MEASURE_ID_OVERRIDE",$C292,"DEEP_BROKER_ID_OVERRIDE",W$24,"DEEP_PERIOD_OVERRIDE",$H$19)*1,"")))</f>
        <v/>
      </c>
      <c r="X292" t="str">
        <f>IF(OR(X$23="",ISNA($B292)),"",IF(ISBLANK($B292),"",IFERROR(_xll.BDP(TICKER,"DEEP_MEASURE_PERIOD_BROKER_VALUE","DEEP_MEASURE_ID_OVERRIDE",$C292,"DEEP_BROKER_ID_OVERRIDE",X$24,"DEEP_PERIOD_OVERRIDE",$H$19)*1,"")))</f>
        <v/>
      </c>
      <c r="Y292" t="str">
        <f>IF(OR(Y$23="",ISNA($B292)),"",IF(ISBLANK($B292),"",IFERROR(_xll.BDP(TICKER,"DEEP_MEASURE_PERIOD_BROKER_VALUE","DEEP_MEASURE_ID_OVERRIDE",$C292,"DEEP_BROKER_ID_OVERRIDE",Y$24,"DEEP_PERIOD_OVERRIDE",$H$19)*1,"")))</f>
        <v/>
      </c>
      <c r="Z292" t="str">
        <f>IF(OR(Z$23="",ISNA($B292)),"",IF(ISBLANK($B292),"",IFERROR(_xll.BDP(TICKER,"DEEP_MEASURE_PERIOD_BROKER_VALUE","DEEP_MEASURE_ID_OVERRIDE",$C292,"DEEP_BROKER_ID_OVERRIDE",Z$24,"DEEP_PERIOD_OVERRIDE",$H$19)*1,"")))</f>
        <v/>
      </c>
      <c r="AA292" t="str">
        <f>IF(OR(AA$23="",ISNA($B292)),"",IF(ISBLANK($B292),"",IFERROR(_xll.BDP(TICKER,"DEEP_MEASURE_PERIOD_BROKER_VALUE","DEEP_MEASURE_ID_OVERRIDE",$C292,"DEEP_BROKER_ID_OVERRIDE",AA$24,"DEEP_PERIOD_OVERRIDE",$H$19)*1,"")))</f>
        <v/>
      </c>
      <c r="AB292" t="str">
        <f>IF(OR(AB$23="",ISNA($B292)),"",IF(ISBLANK($B292),"",IFERROR(_xll.BDP(TICKER,"DEEP_MEASURE_PERIOD_BROKER_VALUE","DEEP_MEASURE_ID_OVERRIDE",$C292,"DEEP_BROKER_ID_OVERRIDE",AB$24,"DEEP_PERIOD_OVERRIDE",$H$19)*1,"")))</f>
        <v/>
      </c>
      <c r="AC292" t="str">
        <f>IF(OR(AC$23="",ISNA($B292)),"",IF(ISBLANK($B292),"",IFERROR(_xll.BDP(TICKER,"DEEP_MEASURE_PERIOD_BROKER_VALUE","DEEP_MEASURE_ID_OVERRIDE",$C292,"DEEP_BROKER_ID_OVERRIDE",AC$24,"DEEP_PERIOD_OVERRIDE",$H$19)*1,"")))</f>
        <v/>
      </c>
      <c r="AD292" t="str">
        <f>IF(OR(AD$23="",ISNA($B292)),"",IF(ISBLANK($B292),"",IFERROR(_xll.BDP(TICKER,"DEEP_MEASURE_PERIOD_BROKER_VALUE","DEEP_MEASURE_ID_OVERRIDE",$C292,"DEEP_BROKER_ID_OVERRIDE",AD$24,"DEEP_PERIOD_OVERRIDE",$H$19)*1,"")))</f>
        <v/>
      </c>
      <c r="AE292" t="str">
        <f>IF(OR(AE$23="",ISNA($B292)),"",IF(ISBLANK($B292),"",IFERROR(_xll.BDP(TICKER,"DEEP_MEASURE_PERIOD_BROKER_VALUE","DEEP_MEASURE_ID_OVERRIDE",$C292,"DEEP_BROKER_ID_OVERRIDE",AE$24,"DEEP_PERIOD_OVERRIDE",$H$19)*1,"")))</f>
        <v/>
      </c>
      <c r="AF292" t="str">
        <f>IF(OR(AF$23="",ISNA($B292)),"",IF(ISBLANK($B292),"",IFERROR(_xll.BDP(TICKER,"DEEP_MEASURE_PERIOD_BROKER_VALUE","DEEP_MEASURE_ID_OVERRIDE",$C292,"DEEP_BROKER_ID_OVERRIDE",AF$24,"DEEP_PERIOD_OVERRIDE",$H$19)*1,"")))</f>
        <v/>
      </c>
      <c r="AG292" t="str">
        <f>IF(OR(AG$23="",ISNA($B292)),"",IF(ISBLANK($B292),"",IFERROR(_xll.BDP(TICKER,"DEEP_MEASURE_PERIOD_BROKER_VALUE","DEEP_MEASURE_ID_OVERRIDE",$C292,"DEEP_BROKER_ID_OVERRIDE",AG$24,"DEEP_PERIOD_OVERRIDE",$H$19)*1,"")))</f>
        <v/>
      </c>
      <c r="AH292" t="str">
        <f>IF(OR(AH$23="",ISNA($B292)),"",IF(ISBLANK($B292),"",IFERROR(_xll.BDP(TICKER,"DEEP_MEASURE_PERIOD_BROKER_VALUE","DEEP_MEASURE_ID_OVERRIDE",$C292,"DEEP_BROKER_ID_OVERRIDE",AH$24,"DEEP_PERIOD_OVERRIDE",$H$19)*1,"")))</f>
        <v/>
      </c>
      <c r="AI292" t="str">
        <f>IF(OR(AI$23="",ISNA($B292)),"",IF(ISBLANK($B292),"",IFERROR(_xll.BDP(TICKER,"DEEP_MEASURE_PERIOD_BROKER_VALUE","DEEP_MEASURE_ID_OVERRIDE",$C292,"DEEP_BROKER_ID_OVERRIDE",AI$24,"DEEP_PERIOD_OVERRIDE",$H$19)*1,"")))</f>
        <v/>
      </c>
      <c r="AJ292" t="str">
        <f>IF(OR(AJ$23="",ISNA($B292)),"",IF(ISBLANK($B292),"",IFERROR(_xll.BDP(TICKER,"DEEP_MEASURE_PERIOD_BROKER_VALUE","DEEP_MEASURE_ID_OVERRIDE",$C292,"DEEP_BROKER_ID_OVERRIDE",AJ$24,"DEEP_PERIOD_OVERRIDE",$H$19)*1,"")))</f>
        <v/>
      </c>
      <c r="AK292" t="str">
        <f>IF(OR(AK$23="",ISNA($B292)),"",IF(ISBLANK($B292),"",IFERROR(_xll.BDP(TICKER,"DEEP_MEASURE_PERIOD_BROKER_VALUE","DEEP_MEASURE_ID_OVERRIDE",$C292,"DEEP_BROKER_ID_OVERRIDE",AK$24,"DEEP_PERIOD_OVERRIDE",$H$19)*1,"")))</f>
        <v/>
      </c>
      <c r="AL292" t="str">
        <f>IF(OR(AL$23="",ISNA($B292)),"",IF(ISBLANK($B292),"",IFERROR(_xll.BDP(TICKER,"DEEP_MEASURE_PERIOD_BROKER_VALUE","DEEP_MEASURE_ID_OVERRIDE",$C292,"DEEP_BROKER_ID_OVERRIDE",AL$24,"DEEP_PERIOD_OVERRIDE",$H$19)*1,"")))</f>
        <v/>
      </c>
      <c r="AM292" t="str">
        <f>IF(OR(AM$23="",ISNA($B292)),"",IF(ISBLANK($B292),"",IFERROR(_xll.BDP(TICKER,"DEEP_MEASURE_PERIOD_BROKER_VALUE","DEEP_MEASURE_ID_OVERRIDE",$C292,"DEEP_BROKER_ID_OVERRIDE",AM$24,"DEEP_PERIOD_OVERRIDE",$H$19)*1,"")))</f>
        <v/>
      </c>
      <c r="AN292" t="str">
        <f>IF(OR(AN$23="",ISNA($B292)),"",IF(ISBLANK($B292),"",IFERROR(_xll.BDP(TICKER,"DEEP_MEASURE_PERIOD_BROKER_VALUE","DEEP_MEASURE_ID_OVERRIDE",$C292,"DEEP_BROKER_ID_OVERRIDE",AN$24,"DEEP_PERIOD_OVERRIDE",$H$19)*1,"")))</f>
        <v/>
      </c>
      <c r="AO292" t="str">
        <f>IF(OR(AO$23="",ISNA($B292)),"",IF(ISBLANK($B292),"",IFERROR(_xll.BDP(TICKER,"DEEP_MEASURE_PERIOD_BROKER_VALUE","DEEP_MEASURE_ID_OVERRIDE",$C292,"DEEP_BROKER_ID_OVERRIDE",AO$24,"DEEP_PERIOD_OVERRIDE",$H$19)*1,"")))</f>
        <v/>
      </c>
      <c r="AP292" t="str">
        <f>IF(OR(AP$23="",ISNA($B292)),"",IF(ISBLANK($B292),"",IFERROR(_xll.BDP(TICKER,"DEEP_MEASURE_PERIOD_BROKER_VALUE","DEEP_MEASURE_ID_OVERRIDE",$C292,"DEEP_BROKER_ID_OVERRIDE",AP$24,"DEEP_PERIOD_OVERRIDE",$H$19)*1,"")))</f>
        <v/>
      </c>
      <c r="AQ292" t="str">
        <f>IF(OR(AQ$23="",ISNA($B292)),"",IF(ISBLANK($B292),"",IFERROR(_xll.BDP(TICKER,"DEEP_MEASURE_PERIOD_BROKER_VALUE","DEEP_MEASURE_ID_OVERRIDE",$C292,"DEEP_BROKER_ID_OVERRIDE",AQ$24,"DEEP_PERIOD_OVERRIDE",$H$19)*1,"")))</f>
        <v/>
      </c>
      <c r="AR292" t="str">
        <f>IF(OR(AR$23="",ISNA($B292)),"",IF(ISBLANK($B292),"",IFERROR(_xll.BDP(TICKER,"DEEP_MEASURE_PERIOD_BROKER_VALUE","DEEP_MEASURE_ID_OVERRIDE",$C292,"DEEP_BROKER_ID_OVERRIDE",AR$24,"DEEP_PERIOD_OVERRIDE",$H$19)*1,"")))</f>
        <v/>
      </c>
      <c r="AS292" t="str">
        <f>IF(OR(AS$23="",ISNA($B292)),"",IF(ISBLANK($B292),"",IFERROR(_xll.BDP(TICKER,"DEEP_MEASURE_PERIOD_BROKER_VALUE","DEEP_MEASURE_ID_OVERRIDE",$C292,"DEEP_BROKER_ID_OVERRIDE",AS$24,"DEEP_PERIOD_OVERRIDE",$H$19)*1,"")))</f>
        <v/>
      </c>
      <c r="AT292" t="str">
        <f>IF(OR(AT$23="",ISNA($B292)),"",IF(ISBLANK($B292),"",IFERROR(_xll.BDP(TICKER,"DEEP_MEASURE_PERIOD_BROKER_VALUE","DEEP_MEASURE_ID_OVERRIDE",$C292,"DEEP_BROKER_ID_OVERRIDE",AT$24,"DEEP_PERIOD_OVERRIDE",$H$19)*1,"")))</f>
        <v/>
      </c>
      <c r="AU292" t="str">
        <f>IF(OR(AU$23="",ISNA($B292)),"",IF(ISBLANK($B292),"",IFERROR(_xll.BDP(TICKER,"DEEP_MEASURE_PERIOD_BROKER_VALUE","DEEP_MEASURE_ID_OVERRIDE",$C292,"DEEP_BROKER_ID_OVERRIDE",AU$24,"DEEP_PERIOD_OVERRIDE",$H$19)*1,"")))</f>
        <v/>
      </c>
      <c r="AV292" t="str">
        <f>IF(OR(AV$23="",ISNA($B292)),"",IF(ISBLANK($B292),"",IFERROR(_xll.BDP(TICKER,"DEEP_MEASURE_PERIOD_BROKER_VALUE","DEEP_MEASURE_ID_OVERRIDE",$C292,"DEEP_BROKER_ID_OVERRIDE",AV$24,"DEEP_PERIOD_OVERRIDE",$H$19)*1,"")))</f>
        <v/>
      </c>
      <c r="AW292" t="str">
        <f>IF(OR(AW$23="",ISNA($B292)),"",IF(ISBLANK($B292),"",IFERROR(_xll.BDP(TICKER,"DEEP_MEASURE_PERIOD_BROKER_VALUE","DEEP_MEASURE_ID_OVERRIDE",$C292,"DEEP_BROKER_ID_OVERRIDE",AW$24,"DEEP_PERIOD_OVERRIDE",$H$19)*1,"")))</f>
        <v/>
      </c>
      <c r="AX292" t="str">
        <f>IF(OR(AX$23="",ISNA($B292)),"",IF(ISBLANK($B292),"",IFERROR(_xll.BDP(TICKER,"DEEP_MEASURE_PERIOD_BROKER_VALUE","DEEP_MEASURE_ID_OVERRIDE",$C292,"DEEP_BROKER_ID_OVERRIDE",AX$24,"DEEP_PERIOD_OVERRIDE",$H$19)*1,"")))</f>
        <v/>
      </c>
      <c r="AY292" t="str">
        <f>IF(OR(AY$23="",ISNA($B292)),"",IF(ISBLANK($B292),"",IFERROR(_xll.BDP(TICKER,"DEEP_MEASURE_PERIOD_BROKER_VALUE","DEEP_MEASURE_ID_OVERRIDE",$C292,"DEEP_BROKER_ID_OVERRIDE",AY$24,"DEEP_PERIOD_OVERRIDE",$H$19)*1,"")))</f>
        <v/>
      </c>
      <c r="AZ292" t="str">
        <f>IF(OR(AZ$23="",ISNA($B292)),"",IF(ISBLANK($B292),"",IFERROR(_xll.BDP(TICKER,"DEEP_MEASURE_PERIOD_BROKER_VALUE","DEEP_MEASURE_ID_OVERRIDE",$C292,"DEEP_BROKER_ID_OVERRIDE",AZ$24,"DEEP_PERIOD_OVERRIDE",$H$19)*1,"")))</f>
        <v/>
      </c>
      <c r="BA292" t="str">
        <f>IF(OR(BA$23="",ISNA($B292)),"",IF(ISBLANK($B292),"",IFERROR(_xll.BDP(TICKER,"DEEP_MEASURE_PERIOD_BROKER_VALUE","DEEP_MEASURE_ID_OVERRIDE",$C292,"DEEP_BROKER_ID_OVERRIDE",BA$24,"DEEP_PERIOD_OVERRIDE",$H$19)*1,"")))</f>
        <v/>
      </c>
      <c r="BB292" t="str">
        <f>IF(OR(BB$23="",ISNA($B292)),"",IF(ISBLANK($B292),"",IFERROR(_xll.BDP(TICKER,"DEEP_MEASURE_PERIOD_BROKER_VALUE","DEEP_MEASURE_ID_OVERRIDE",$C292,"DEEP_BROKER_ID_OVERRIDE",BB$24,"DEEP_PERIOD_OVERRIDE",$H$19)*1,"")))</f>
        <v/>
      </c>
      <c r="BC292" t="str">
        <f>IF(OR(BC$23="",ISNA($B292)),"",IF(ISBLANK($B292),"",IFERROR(_xll.BDP(TICKER,"DEEP_MEASURE_PERIOD_BROKER_VALUE","DEEP_MEASURE_ID_OVERRIDE",$C292,"DEEP_BROKER_ID_OVERRIDE",BC$24,"DEEP_PERIOD_OVERRIDE",$H$19)*1,"")))</f>
        <v/>
      </c>
      <c r="BD292" t="str">
        <f>IF(OR(BD$23="",ISNA($B292)),"",IF(ISBLANK($B292),"",IFERROR(_xll.BDP(TICKER,"DEEP_MEASURE_PERIOD_BROKER_VALUE","DEEP_MEASURE_ID_OVERRIDE",$C292,"DEEP_BROKER_ID_OVERRIDE",BD$24,"DEEP_PERIOD_OVERRIDE",$H$19)*1,"")))</f>
        <v/>
      </c>
      <c r="BE292" t="str">
        <f>IF(OR(BE$23="",ISNA($B292)),"",IF(ISBLANK($B292),"",IFERROR(_xll.BDP(TICKER,"DEEP_MEASURE_PERIOD_BROKER_VALUE","DEEP_MEASURE_ID_OVERRIDE",$C292,"DEEP_BROKER_ID_OVERRIDE",BE$24,"DEEP_PERIOD_OVERRIDE",$H$19)*1,"")))</f>
        <v/>
      </c>
      <c r="BF292" t="str">
        <f>IF(OR(BF$23="",ISNA($B292)),"",IF(ISBLANK($B292),"",IFERROR(_xll.BDP(TICKER,"DEEP_MEASURE_PERIOD_BROKER_VALUE","DEEP_MEASURE_ID_OVERRIDE",$C292,"DEEP_BROKER_ID_OVERRIDE",BF$24,"DEEP_PERIOD_OVERRIDE",$H$19)*1,"")))</f>
        <v/>
      </c>
      <c r="BG292" t="str">
        <f>IF(OR(BG$23="",ISNA($B292)),"",IF(ISBLANK($B292),"",IFERROR(_xll.BDP(TICKER,"DEEP_MEASURE_PERIOD_BROKER_VALUE","DEEP_MEASURE_ID_OVERRIDE",$C292,"DEEP_BROKER_ID_OVERRIDE",BG$24,"DEEP_PERIOD_OVERRIDE",$H$19)*1,"")))</f>
        <v/>
      </c>
      <c r="BH292" t="str">
        <f>IF(OR(BH$23="",ISNA($B292)),"",IF(ISBLANK($B292),"",IFERROR(_xll.BDP(TICKER,"DEEP_MEASURE_PERIOD_BROKER_VALUE","DEEP_MEASURE_ID_OVERRIDE",$C292,"DEEP_BROKER_ID_OVERRIDE",BH$24,"DEEP_PERIOD_OVERRIDE",$H$19)*1,"")))</f>
        <v/>
      </c>
      <c r="BI292" t="str">
        <f>IF(OR(BI$23="",ISNA($B292)),"",IF(ISBLANK($B292),"",IFERROR(_xll.BDP(TICKER,"DEEP_MEASURE_PERIOD_BROKER_VALUE","DEEP_MEASURE_ID_OVERRIDE",$C292,"DEEP_BROKER_ID_OVERRIDE",BI$24,"DEEP_PERIOD_OVERRIDE",$H$19)*1,"")))</f>
        <v/>
      </c>
      <c r="BJ292" t="str">
        <f>IF(OR(BJ$23="",ISNA($B292)),"",IF(ISBLANK($B292),"",IFERROR(_xll.BDP(TICKER,"DEEP_MEASURE_PERIOD_BROKER_VALUE","DEEP_MEASURE_ID_OVERRIDE",$C292,"DEEP_BROKER_ID_OVERRIDE",BJ$24,"DEEP_PERIOD_OVERRIDE",$H$19)*1,"")))</f>
        <v/>
      </c>
      <c r="BK292" t="str">
        <f>IF(OR(BK$23="",ISNA($B292)),"",IF(ISBLANK($B292),"",IFERROR(_xll.BDP(TICKER,"DEEP_MEASURE_PERIOD_BROKER_VALUE","DEEP_MEASURE_ID_OVERRIDE",$C292,"DEEP_BROKER_ID_OVERRIDE",BK$24,"DEEP_PERIOD_OVERRIDE",$H$19)*1,"")))</f>
        <v/>
      </c>
      <c r="BL292" t="str">
        <f>IF(OR(BL$23="",ISNA($B292)),"",IF(ISBLANK($B292),"",IFERROR(_xll.BDP(TICKER,"DEEP_MEASURE_PERIOD_BROKER_VALUE","DEEP_MEASURE_ID_OVERRIDE",$C292,"DEEP_BROKER_ID_OVERRIDE",BL$24,"DEEP_PERIOD_OVERRIDE",$H$19)*1,"")))</f>
        <v/>
      </c>
      <c r="BM292" t="str">
        <f>IF(OR(BM$23="",ISNA($B292)),"",IF(ISBLANK($B292),"",IFERROR(_xll.BDP(TICKER,"DEEP_MEASURE_PERIOD_BROKER_VALUE","DEEP_MEASURE_ID_OVERRIDE",$C292,"DEEP_BROKER_ID_OVERRIDE",BM$24,"DEEP_PERIOD_OVERRIDE",$H$19)*1,"")))</f>
        <v/>
      </c>
      <c r="BN292" t="str">
        <f>IF(OR(BN$23="",ISNA($B292)),"",IF(ISBLANK($B292),"",IFERROR(_xll.BDP(TICKER,"DEEP_MEASURE_PERIOD_BROKER_VALUE","DEEP_MEASURE_ID_OVERRIDE",$C292,"DEEP_BROKER_ID_OVERRIDE",BN$24,"DEEP_PERIOD_OVERRIDE",$H$19)*1,"")))</f>
        <v/>
      </c>
      <c r="BO292" t="str">
        <f>IF(OR(BO$23="",ISNA($B292)),"",IF(ISBLANK($B292),"",IFERROR(_xll.BDP(TICKER,"DEEP_MEASURE_PERIOD_BROKER_VALUE","DEEP_MEASURE_ID_OVERRIDE",$C292,"DEEP_BROKER_ID_OVERRIDE",BO$24,"DEEP_PERIOD_OVERRIDE",$H$19)*1,"")))</f>
        <v/>
      </c>
      <c r="BP292" t="str">
        <f>IF(OR(BP$23="",ISNA($B292)),"",IF(ISBLANK($B292),"",IFERROR(_xll.BDP(TICKER,"DEEP_MEASURE_PERIOD_BROKER_VALUE","DEEP_MEASURE_ID_OVERRIDE",$C292,"DEEP_BROKER_ID_OVERRIDE",BP$24,"DEEP_PERIOD_OVERRIDE",$H$19)*1,"")))</f>
        <v/>
      </c>
      <c r="BQ292" t="str">
        <f>IF(OR(BQ$23="",ISNA($B292)),"",IF(ISBLANK($B292),"",IFERROR(_xll.BDP(TICKER,"DEEP_MEASURE_PERIOD_BROKER_VALUE","DEEP_MEASURE_ID_OVERRIDE",$C292,"DEEP_BROKER_ID_OVERRIDE",BQ$24,"DEEP_PERIOD_OVERRIDE",$H$19)*1,"")))</f>
        <v/>
      </c>
      <c r="BR292" t="str">
        <f>IF(OR(BR$23="",ISNA($B292)),"",IF(ISBLANK($B292),"",IFERROR(_xll.BDP(TICKER,"DEEP_MEASURE_PERIOD_BROKER_VALUE","DEEP_MEASURE_ID_OVERRIDE",$C292,"DEEP_BROKER_ID_OVERRIDE",BR$24,"DEEP_PERIOD_OVERRIDE",$H$19)*1,"")))</f>
        <v/>
      </c>
      <c r="BS292" t="str">
        <f>IF(OR(BS$23="",ISNA($B292)),"",IF(ISBLANK($B292),"",IFERROR(_xll.BDP(TICKER,"DEEP_MEASURE_PERIOD_BROKER_VALUE","DEEP_MEASURE_ID_OVERRIDE",$C292,"DEEP_BROKER_ID_OVERRIDE",BS$24,"DEEP_PERIOD_OVERRIDE",$H$19)*1,"")))</f>
        <v/>
      </c>
      <c r="BT292" t="str">
        <f>IF(OR(BT$23="",ISNA($B292)),"",IF(ISBLANK($B292),"",IFERROR(_xll.BDP(TICKER,"DEEP_MEASURE_PERIOD_BROKER_VALUE","DEEP_MEASURE_ID_OVERRIDE",$C292,"DEEP_BROKER_ID_OVERRIDE",BT$24,"DEEP_PERIOD_OVERRIDE",$H$19)*1,"")))</f>
        <v/>
      </c>
      <c r="BU292" t="str">
        <f>IF(OR(BU$23="",ISNA($B292)),"",IF(ISBLANK($B292),"",IFERROR(_xll.BDP(TICKER,"DEEP_MEASURE_PERIOD_BROKER_VALUE","DEEP_MEASURE_ID_OVERRIDE",$C292,"DEEP_BROKER_ID_OVERRIDE",BU$24,"DEEP_PERIOD_OVERRIDE",$H$19)*1,"")))</f>
        <v/>
      </c>
      <c r="BV292" t="str">
        <f>IF(OR(BV$23="",ISNA($B292)),"",IF(ISBLANK($B292),"",IFERROR(_xll.BDP(TICKER,"DEEP_MEASURE_PERIOD_BROKER_VALUE","DEEP_MEASURE_ID_OVERRIDE",$C292,"DEEP_BROKER_ID_OVERRIDE",BV$24,"DEEP_PERIOD_OVERRIDE",$H$19)*1,"")))</f>
        <v/>
      </c>
      <c r="BW292" t="str">
        <f>IF(OR(BW$23="",ISNA($B292)),"",IF(ISBLANK($B292),"",IFERROR(_xll.BDP(TICKER,"DEEP_MEASURE_PERIOD_BROKER_VALUE","DEEP_MEASURE_ID_OVERRIDE",$C292,"DEEP_BROKER_ID_OVERRIDE",BW$24,"DEEP_PERIOD_OVERRIDE",$H$19)*1,"")))</f>
        <v/>
      </c>
      <c r="BX292" t="str">
        <f>IF(OR(BX$23="",ISNA($B292)),"",IF(ISBLANK($B292),"",IFERROR(_xll.BDP(TICKER,"DEEP_MEASURE_PERIOD_BROKER_VALUE","DEEP_MEASURE_ID_OVERRIDE",$C292,"DEEP_BROKER_ID_OVERRIDE",BX$24,"DEEP_PERIOD_OVERRIDE",$H$19)*1,"")))</f>
        <v/>
      </c>
      <c r="BY292" t="str">
        <f>IF(OR(BY$23="",ISNA($B292)),"",IF(ISBLANK($B292),"",IFERROR(_xll.BDP(TICKER,"DEEP_MEASURE_PERIOD_BROKER_VALUE","DEEP_MEASURE_ID_OVERRIDE",$C292,"DEEP_BROKER_ID_OVERRIDE",BY$24,"DEEP_PERIOD_OVERRIDE",$H$19)*1,"")))</f>
        <v/>
      </c>
      <c r="BZ292" t="str">
        <f>IF(OR(BZ$23="",ISNA($B292)),"",IF(ISBLANK($B292),"",IFERROR(_xll.BDP(TICKER,"DEEP_MEASURE_PERIOD_BROKER_VALUE","DEEP_MEASURE_ID_OVERRIDE",$C292,"DEEP_BROKER_ID_OVERRIDE",BZ$24,"DEEP_PERIOD_OVERRIDE",$H$19)*1,"")))</f>
        <v/>
      </c>
    </row>
    <row r="293" spans="8:78" x14ac:dyDescent="0.25">
      <c r="H293" t="str">
        <f t="shared" si="5"/>
        <v/>
      </c>
      <c r="I293" t="str">
        <f>IF(OR(I$23="",ISNA($B293)),"",IF(ISBLANK($B293),"",IFERROR(_xll.BDP(TICKER,"DEEP_MEASURE_PERIOD_BROKER_VALUE","DEEP_MEASURE_ID_OVERRIDE",$C293,"DEEP_PERIOD_OVERRIDE",$H$19)*1,"")))</f>
        <v/>
      </c>
      <c r="J293" t="e">
        <f>IF(OR(J$23="",ISNA($B293)),"",IF(ISBLANK($B293),"",IFERROR(_xll.BDP(TICKER,"DEEP_MEASURE_PERIOD_BROKER_VALUE","DEEP_MEASURE_ID_OVERRIDE",$C293,"DEEP_BROKER_ID_OVERRIDE",J$24,"DEEP_PERIOD_OVERRIDE",$H$19)*1,"")))</f>
        <v>#REF!</v>
      </c>
      <c r="K293" t="str">
        <f>IF(OR(K$23="",ISNA($B293)),"",IF(ISBLANK($B293),"",IFERROR(_xll.BDP(TICKER,"DEEP_MEASURE_PERIOD_BROKER_VALUE","DEEP_MEASURE_ID_OVERRIDE",$C293,"DEEP_BROKER_ID_OVERRIDE",K$24,"DEEP_PERIOD_OVERRIDE",$H$19)*1,"")))</f>
        <v/>
      </c>
      <c r="L293" t="str">
        <f>IF(OR(L$23="",ISNA($B293)),"",IF(ISBLANK($B293),"",IFERROR(_xll.BDP(TICKER,"DEEP_MEASURE_PERIOD_BROKER_VALUE","DEEP_MEASURE_ID_OVERRIDE",$C293,"DEEP_BROKER_ID_OVERRIDE",L$24,"DEEP_PERIOD_OVERRIDE",$H$19)*1,"")))</f>
        <v/>
      </c>
      <c r="M293" t="str">
        <f>IF(OR(M$23="",ISNA($B293)),"",IF(ISBLANK($B293),"",IFERROR(_xll.BDP(TICKER,"DEEP_MEASURE_PERIOD_BROKER_VALUE","DEEP_MEASURE_ID_OVERRIDE",$C293,"DEEP_BROKER_ID_OVERRIDE",M$24,"DEEP_PERIOD_OVERRIDE",$H$19)*1,"")))</f>
        <v/>
      </c>
      <c r="N293" t="str">
        <f>IF(OR(N$23="",ISNA($B293)),"",IF(ISBLANK($B293),"",IFERROR(_xll.BDP(TICKER,"DEEP_MEASURE_PERIOD_BROKER_VALUE","DEEP_MEASURE_ID_OVERRIDE",$C293,"DEEP_BROKER_ID_OVERRIDE",N$24,"DEEP_PERIOD_OVERRIDE",$H$19)*1,"")))</f>
        <v/>
      </c>
      <c r="O293" t="str">
        <f>IF(OR(O$23="",ISNA($B293)),"",IF(ISBLANK($B293),"",IFERROR(_xll.BDP(TICKER,"DEEP_MEASURE_PERIOD_BROKER_VALUE","DEEP_MEASURE_ID_OVERRIDE",$C293,"DEEP_BROKER_ID_OVERRIDE",O$24,"DEEP_PERIOD_OVERRIDE",$H$19)*1,"")))</f>
        <v/>
      </c>
      <c r="P293" t="str">
        <f>IF(OR(P$23="",ISNA($B293)),"",IF(ISBLANK($B293),"",IFERROR(_xll.BDP(TICKER,"DEEP_MEASURE_PERIOD_BROKER_VALUE","DEEP_MEASURE_ID_OVERRIDE",$C293,"DEEP_BROKER_ID_OVERRIDE",P$24,"DEEP_PERIOD_OVERRIDE",$H$19)*1,"")))</f>
        <v/>
      </c>
      <c r="Q293" t="str">
        <f>IF(OR(Q$23="",ISNA($B293)),"",IF(ISBLANK($B293),"",IFERROR(_xll.BDP(TICKER,"DEEP_MEASURE_PERIOD_BROKER_VALUE","DEEP_MEASURE_ID_OVERRIDE",$C293,"DEEP_BROKER_ID_OVERRIDE",Q$24,"DEEP_PERIOD_OVERRIDE",$H$19)*1,"")))</f>
        <v/>
      </c>
      <c r="R293" t="str">
        <f>IF(OR(R$23="",ISNA($B293)),"",IF(ISBLANK($B293),"",IFERROR(_xll.BDP(TICKER,"DEEP_MEASURE_PERIOD_BROKER_VALUE","DEEP_MEASURE_ID_OVERRIDE",$C293,"DEEP_BROKER_ID_OVERRIDE",R$24,"DEEP_PERIOD_OVERRIDE",$H$19)*1,"")))</f>
        <v/>
      </c>
      <c r="S293" t="str">
        <f>IF(OR(S$23="",ISNA($B293)),"",IF(ISBLANK($B293),"",IFERROR(_xll.BDP(TICKER,"DEEP_MEASURE_PERIOD_BROKER_VALUE","DEEP_MEASURE_ID_OVERRIDE",$C293,"DEEP_BROKER_ID_OVERRIDE",S$24,"DEEP_PERIOD_OVERRIDE",$H$19)*1,"")))</f>
        <v/>
      </c>
      <c r="T293" t="str">
        <f>IF(OR(T$23="",ISNA($B293)),"",IF(ISBLANK($B293),"",IFERROR(_xll.BDP(TICKER,"DEEP_MEASURE_PERIOD_BROKER_VALUE","DEEP_MEASURE_ID_OVERRIDE",$C293,"DEEP_BROKER_ID_OVERRIDE",T$24,"DEEP_PERIOD_OVERRIDE",$H$19)*1,"")))</f>
        <v/>
      </c>
      <c r="U293" t="str">
        <f>IF(OR(U$23="",ISNA($B293)),"",IF(ISBLANK($B293),"",IFERROR(_xll.BDP(TICKER,"DEEP_MEASURE_PERIOD_BROKER_VALUE","DEEP_MEASURE_ID_OVERRIDE",$C293,"DEEP_BROKER_ID_OVERRIDE",U$24,"DEEP_PERIOD_OVERRIDE",$H$19)*1,"")))</f>
        <v/>
      </c>
      <c r="V293" t="str">
        <f>IF(OR(V$23="",ISNA($B293)),"",IF(ISBLANK($B293),"",IFERROR(_xll.BDP(TICKER,"DEEP_MEASURE_PERIOD_BROKER_VALUE","DEEP_MEASURE_ID_OVERRIDE",$C293,"DEEP_BROKER_ID_OVERRIDE",V$24,"DEEP_PERIOD_OVERRIDE",$H$19)*1,"")))</f>
        <v/>
      </c>
      <c r="W293" t="str">
        <f>IF(OR(W$23="",ISNA($B293)),"",IF(ISBLANK($B293),"",IFERROR(_xll.BDP(TICKER,"DEEP_MEASURE_PERIOD_BROKER_VALUE","DEEP_MEASURE_ID_OVERRIDE",$C293,"DEEP_BROKER_ID_OVERRIDE",W$24,"DEEP_PERIOD_OVERRIDE",$H$19)*1,"")))</f>
        <v/>
      </c>
      <c r="X293" t="str">
        <f>IF(OR(X$23="",ISNA($B293)),"",IF(ISBLANK($B293),"",IFERROR(_xll.BDP(TICKER,"DEEP_MEASURE_PERIOD_BROKER_VALUE","DEEP_MEASURE_ID_OVERRIDE",$C293,"DEEP_BROKER_ID_OVERRIDE",X$24,"DEEP_PERIOD_OVERRIDE",$H$19)*1,"")))</f>
        <v/>
      </c>
      <c r="Y293" t="str">
        <f>IF(OR(Y$23="",ISNA($B293)),"",IF(ISBLANK($B293),"",IFERROR(_xll.BDP(TICKER,"DEEP_MEASURE_PERIOD_BROKER_VALUE","DEEP_MEASURE_ID_OVERRIDE",$C293,"DEEP_BROKER_ID_OVERRIDE",Y$24,"DEEP_PERIOD_OVERRIDE",$H$19)*1,"")))</f>
        <v/>
      </c>
      <c r="Z293" t="str">
        <f>IF(OR(Z$23="",ISNA($B293)),"",IF(ISBLANK($B293),"",IFERROR(_xll.BDP(TICKER,"DEEP_MEASURE_PERIOD_BROKER_VALUE","DEEP_MEASURE_ID_OVERRIDE",$C293,"DEEP_BROKER_ID_OVERRIDE",Z$24,"DEEP_PERIOD_OVERRIDE",$H$19)*1,"")))</f>
        <v/>
      </c>
      <c r="AA293" t="str">
        <f>IF(OR(AA$23="",ISNA($B293)),"",IF(ISBLANK($B293),"",IFERROR(_xll.BDP(TICKER,"DEEP_MEASURE_PERIOD_BROKER_VALUE","DEEP_MEASURE_ID_OVERRIDE",$C293,"DEEP_BROKER_ID_OVERRIDE",AA$24,"DEEP_PERIOD_OVERRIDE",$H$19)*1,"")))</f>
        <v/>
      </c>
      <c r="AB293" t="str">
        <f>IF(OR(AB$23="",ISNA($B293)),"",IF(ISBLANK($B293),"",IFERROR(_xll.BDP(TICKER,"DEEP_MEASURE_PERIOD_BROKER_VALUE","DEEP_MEASURE_ID_OVERRIDE",$C293,"DEEP_BROKER_ID_OVERRIDE",AB$24,"DEEP_PERIOD_OVERRIDE",$H$19)*1,"")))</f>
        <v/>
      </c>
      <c r="AC293" t="str">
        <f>IF(OR(AC$23="",ISNA($B293)),"",IF(ISBLANK($B293),"",IFERROR(_xll.BDP(TICKER,"DEEP_MEASURE_PERIOD_BROKER_VALUE","DEEP_MEASURE_ID_OVERRIDE",$C293,"DEEP_BROKER_ID_OVERRIDE",AC$24,"DEEP_PERIOD_OVERRIDE",$H$19)*1,"")))</f>
        <v/>
      </c>
      <c r="AD293" t="str">
        <f>IF(OR(AD$23="",ISNA($B293)),"",IF(ISBLANK($B293),"",IFERROR(_xll.BDP(TICKER,"DEEP_MEASURE_PERIOD_BROKER_VALUE","DEEP_MEASURE_ID_OVERRIDE",$C293,"DEEP_BROKER_ID_OVERRIDE",AD$24,"DEEP_PERIOD_OVERRIDE",$H$19)*1,"")))</f>
        <v/>
      </c>
      <c r="AE293" t="str">
        <f>IF(OR(AE$23="",ISNA($B293)),"",IF(ISBLANK($B293),"",IFERROR(_xll.BDP(TICKER,"DEEP_MEASURE_PERIOD_BROKER_VALUE","DEEP_MEASURE_ID_OVERRIDE",$C293,"DEEP_BROKER_ID_OVERRIDE",AE$24,"DEEP_PERIOD_OVERRIDE",$H$19)*1,"")))</f>
        <v/>
      </c>
      <c r="AF293" t="str">
        <f>IF(OR(AF$23="",ISNA($B293)),"",IF(ISBLANK($B293),"",IFERROR(_xll.BDP(TICKER,"DEEP_MEASURE_PERIOD_BROKER_VALUE","DEEP_MEASURE_ID_OVERRIDE",$C293,"DEEP_BROKER_ID_OVERRIDE",AF$24,"DEEP_PERIOD_OVERRIDE",$H$19)*1,"")))</f>
        <v/>
      </c>
      <c r="AG293" t="str">
        <f>IF(OR(AG$23="",ISNA($B293)),"",IF(ISBLANK($B293),"",IFERROR(_xll.BDP(TICKER,"DEEP_MEASURE_PERIOD_BROKER_VALUE","DEEP_MEASURE_ID_OVERRIDE",$C293,"DEEP_BROKER_ID_OVERRIDE",AG$24,"DEEP_PERIOD_OVERRIDE",$H$19)*1,"")))</f>
        <v/>
      </c>
      <c r="AH293" t="str">
        <f>IF(OR(AH$23="",ISNA($B293)),"",IF(ISBLANK($B293),"",IFERROR(_xll.BDP(TICKER,"DEEP_MEASURE_PERIOD_BROKER_VALUE","DEEP_MEASURE_ID_OVERRIDE",$C293,"DEEP_BROKER_ID_OVERRIDE",AH$24,"DEEP_PERIOD_OVERRIDE",$H$19)*1,"")))</f>
        <v/>
      </c>
      <c r="AI293" t="str">
        <f>IF(OR(AI$23="",ISNA($B293)),"",IF(ISBLANK($B293),"",IFERROR(_xll.BDP(TICKER,"DEEP_MEASURE_PERIOD_BROKER_VALUE","DEEP_MEASURE_ID_OVERRIDE",$C293,"DEEP_BROKER_ID_OVERRIDE",AI$24,"DEEP_PERIOD_OVERRIDE",$H$19)*1,"")))</f>
        <v/>
      </c>
      <c r="AJ293" t="str">
        <f>IF(OR(AJ$23="",ISNA($B293)),"",IF(ISBLANK($B293),"",IFERROR(_xll.BDP(TICKER,"DEEP_MEASURE_PERIOD_BROKER_VALUE","DEEP_MEASURE_ID_OVERRIDE",$C293,"DEEP_BROKER_ID_OVERRIDE",AJ$24,"DEEP_PERIOD_OVERRIDE",$H$19)*1,"")))</f>
        <v/>
      </c>
      <c r="AK293" t="str">
        <f>IF(OR(AK$23="",ISNA($B293)),"",IF(ISBLANK($B293),"",IFERROR(_xll.BDP(TICKER,"DEEP_MEASURE_PERIOD_BROKER_VALUE","DEEP_MEASURE_ID_OVERRIDE",$C293,"DEEP_BROKER_ID_OVERRIDE",AK$24,"DEEP_PERIOD_OVERRIDE",$H$19)*1,"")))</f>
        <v/>
      </c>
      <c r="AL293" t="str">
        <f>IF(OR(AL$23="",ISNA($B293)),"",IF(ISBLANK($B293),"",IFERROR(_xll.BDP(TICKER,"DEEP_MEASURE_PERIOD_BROKER_VALUE","DEEP_MEASURE_ID_OVERRIDE",$C293,"DEEP_BROKER_ID_OVERRIDE",AL$24,"DEEP_PERIOD_OVERRIDE",$H$19)*1,"")))</f>
        <v/>
      </c>
      <c r="AM293" t="str">
        <f>IF(OR(AM$23="",ISNA($B293)),"",IF(ISBLANK($B293),"",IFERROR(_xll.BDP(TICKER,"DEEP_MEASURE_PERIOD_BROKER_VALUE","DEEP_MEASURE_ID_OVERRIDE",$C293,"DEEP_BROKER_ID_OVERRIDE",AM$24,"DEEP_PERIOD_OVERRIDE",$H$19)*1,"")))</f>
        <v/>
      </c>
      <c r="AN293" t="str">
        <f>IF(OR(AN$23="",ISNA($B293)),"",IF(ISBLANK($B293),"",IFERROR(_xll.BDP(TICKER,"DEEP_MEASURE_PERIOD_BROKER_VALUE","DEEP_MEASURE_ID_OVERRIDE",$C293,"DEEP_BROKER_ID_OVERRIDE",AN$24,"DEEP_PERIOD_OVERRIDE",$H$19)*1,"")))</f>
        <v/>
      </c>
      <c r="AO293" t="str">
        <f>IF(OR(AO$23="",ISNA($B293)),"",IF(ISBLANK($B293),"",IFERROR(_xll.BDP(TICKER,"DEEP_MEASURE_PERIOD_BROKER_VALUE","DEEP_MEASURE_ID_OVERRIDE",$C293,"DEEP_BROKER_ID_OVERRIDE",AO$24,"DEEP_PERIOD_OVERRIDE",$H$19)*1,"")))</f>
        <v/>
      </c>
      <c r="AP293" t="str">
        <f>IF(OR(AP$23="",ISNA($B293)),"",IF(ISBLANK($B293),"",IFERROR(_xll.BDP(TICKER,"DEEP_MEASURE_PERIOD_BROKER_VALUE","DEEP_MEASURE_ID_OVERRIDE",$C293,"DEEP_BROKER_ID_OVERRIDE",AP$24,"DEEP_PERIOD_OVERRIDE",$H$19)*1,"")))</f>
        <v/>
      </c>
      <c r="AQ293" t="str">
        <f>IF(OR(AQ$23="",ISNA($B293)),"",IF(ISBLANK($B293),"",IFERROR(_xll.BDP(TICKER,"DEEP_MEASURE_PERIOD_BROKER_VALUE","DEEP_MEASURE_ID_OVERRIDE",$C293,"DEEP_BROKER_ID_OVERRIDE",AQ$24,"DEEP_PERIOD_OVERRIDE",$H$19)*1,"")))</f>
        <v/>
      </c>
      <c r="AR293" t="str">
        <f>IF(OR(AR$23="",ISNA($B293)),"",IF(ISBLANK($B293),"",IFERROR(_xll.BDP(TICKER,"DEEP_MEASURE_PERIOD_BROKER_VALUE","DEEP_MEASURE_ID_OVERRIDE",$C293,"DEEP_BROKER_ID_OVERRIDE",AR$24,"DEEP_PERIOD_OVERRIDE",$H$19)*1,"")))</f>
        <v/>
      </c>
      <c r="AS293" t="str">
        <f>IF(OR(AS$23="",ISNA($B293)),"",IF(ISBLANK($B293),"",IFERROR(_xll.BDP(TICKER,"DEEP_MEASURE_PERIOD_BROKER_VALUE","DEEP_MEASURE_ID_OVERRIDE",$C293,"DEEP_BROKER_ID_OVERRIDE",AS$24,"DEEP_PERIOD_OVERRIDE",$H$19)*1,"")))</f>
        <v/>
      </c>
      <c r="AT293" t="str">
        <f>IF(OR(AT$23="",ISNA($B293)),"",IF(ISBLANK($B293),"",IFERROR(_xll.BDP(TICKER,"DEEP_MEASURE_PERIOD_BROKER_VALUE","DEEP_MEASURE_ID_OVERRIDE",$C293,"DEEP_BROKER_ID_OVERRIDE",AT$24,"DEEP_PERIOD_OVERRIDE",$H$19)*1,"")))</f>
        <v/>
      </c>
      <c r="AU293" t="str">
        <f>IF(OR(AU$23="",ISNA($B293)),"",IF(ISBLANK($B293),"",IFERROR(_xll.BDP(TICKER,"DEEP_MEASURE_PERIOD_BROKER_VALUE","DEEP_MEASURE_ID_OVERRIDE",$C293,"DEEP_BROKER_ID_OVERRIDE",AU$24,"DEEP_PERIOD_OVERRIDE",$H$19)*1,"")))</f>
        <v/>
      </c>
      <c r="AV293" t="str">
        <f>IF(OR(AV$23="",ISNA($B293)),"",IF(ISBLANK($B293),"",IFERROR(_xll.BDP(TICKER,"DEEP_MEASURE_PERIOD_BROKER_VALUE","DEEP_MEASURE_ID_OVERRIDE",$C293,"DEEP_BROKER_ID_OVERRIDE",AV$24,"DEEP_PERIOD_OVERRIDE",$H$19)*1,"")))</f>
        <v/>
      </c>
      <c r="AW293" t="str">
        <f>IF(OR(AW$23="",ISNA($B293)),"",IF(ISBLANK($B293),"",IFERROR(_xll.BDP(TICKER,"DEEP_MEASURE_PERIOD_BROKER_VALUE","DEEP_MEASURE_ID_OVERRIDE",$C293,"DEEP_BROKER_ID_OVERRIDE",AW$24,"DEEP_PERIOD_OVERRIDE",$H$19)*1,"")))</f>
        <v/>
      </c>
      <c r="AX293" t="str">
        <f>IF(OR(AX$23="",ISNA($B293)),"",IF(ISBLANK($B293),"",IFERROR(_xll.BDP(TICKER,"DEEP_MEASURE_PERIOD_BROKER_VALUE","DEEP_MEASURE_ID_OVERRIDE",$C293,"DEEP_BROKER_ID_OVERRIDE",AX$24,"DEEP_PERIOD_OVERRIDE",$H$19)*1,"")))</f>
        <v/>
      </c>
      <c r="AY293" t="str">
        <f>IF(OR(AY$23="",ISNA($B293)),"",IF(ISBLANK($B293),"",IFERROR(_xll.BDP(TICKER,"DEEP_MEASURE_PERIOD_BROKER_VALUE","DEEP_MEASURE_ID_OVERRIDE",$C293,"DEEP_BROKER_ID_OVERRIDE",AY$24,"DEEP_PERIOD_OVERRIDE",$H$19)*1,"")))</f>
        <v/>
      </c>
      <c r="AZ293" t="str">
        <f>IF(OR(AZ$23="",ISNA($B293)),"",IF(ISBLANK($B293),"",IFERROR(_xll.BDP(TICKER,"DEEP_MEASURE_PERIOD_BROKER_VALUE","DEEP_MEASURE_ID_OVERRIDE",$C293,"DEEP_BROKER_ID_OVERRIDE",AZ$24,"DEEP_PERIOD_OVERRIDE",$H$19)*1,"")))</f>
        <v/>
      </c>
      <c r="BA293" t="str">
        <f>IF(OR(BA$23="",ISNA($B293)),"",IF(ISBLANK($B293),"",IFERROR(_xll.BDP(TICKER,"DEEP_MEASURE_PERIOD_BROKER_VALUE","DEEP_MEASURE_ID_OVERRIDE",$C293,"DEEP_BROKER_ID_OVERRIDE",BA$24,"DEEP_PERIOD_OVERRIDE",$H$19)*1,"")))</f>
        <v/>
      </c>
      <c r="BB293" t="str">
        <f>IF(OR(BB$23="",ISNA($B293)),"",IF(ISBLANK($B293),"",IFERROR(_xll.BDP(TICKER,"DEEP_MEASURE_PERIOD_BROKER_VALUE","DEEP_MEASURE_ID_OVERRIDE",$C293,"DEEP_BROKER_ID_OVERRIDE",BB$24,"DEEP_PERIOD_OVERRIDE",$H$19)*1,"")))</f>
        <v/>
      </c>
      <c r="BC293" t="str">
        <f>IF(OR(BC$23="",ISNA($B293)),"",IF(ISBLANK($B293),"",IFERROR(_xll.BDP(TICKER,"DEEP_MEASURE_PERIOD_BROKER_VALUE","DEEP_MEASURE_ID_OVERRIDE",$C293,"DEEP_BROKER_ID_OVERRIDE",BC$24,"DEEP_PERIOD_OVERRIDE",$H$19)*1,"")))</f>
        <v/>
      </c>
      <c r="BD293" t="str">
        <f>IF(OR(BD$23="",ISNA($B293)),"",IF(ISBLANK($B293),"",IFERROR(_xll.BDP(TICKER,"DEEP_MEASURE_PERIOD_BROKER_VALUE","DEEP_MEASURE_ID_OVERRIDE",$C293,"DEEP_BROKER_ID_OVERRIDE",BD$24,"DEEP_PERIOD_OVERRIDE",$H$19)*1,"")))</f>
        <v/>
      </c>
      <c r="BE293" t="str">
        <f>IF(OR(BE$23="",ISNA($B293)),"",IF(ISBLANK($B293),"",IFERROR(_xll.BDP(TICKER,"DEEP_MEASURE_PERIOD_BROKER_VALUE","DEEP_MEASURE_ID_OVERRIDE",$C293,"DEEP_BROKER_ID_OVERRIDE",BE$24,"DEEP_PERIOD_OVERRIDE",$H$19)*1,"")))</f>
        <v/>
      </c>
      <c r="BF293" t="str">
        <f>IF(OR(BF$23="",ISNA($B293)),"",IF(ISBLANK($B293),"",IFERROR(_xll.BDP(TICKER,"DEEP_MEASURE_PERIOD_BROKER_VALUE","DEEP_MEASURE_ID_OVERRIDE",$C293,"DEEP_BROKER_ID_OVERRIDE",BF$24,"DEEP_PERIOD_OVERRIDE",$H$19)*1,"")))</f>
        <v/>
      </c>
      <c r="BG293" t="str">
        <f>IF(OR(BG$23="",ISNA($B293)),"",IF(ISBLANK($B293),"",IFERROR(_xll.BDP(TICKER,"DEEP_MEASURE_PERIOD_BROKER_VALUE","DEEP_MEASURE_ID_OVERRIDE",$C293,"DEEP_BROKER_ID_OVERRIDE",BG$24,"DEEP_PERIOD_OVERRIDE",$H$19)*1,"")))</f>
        <v/>
      </c>
      <c r="BH293" t="str">
        <f>IF(OR(BH$23="",ISNA($B293)),"",IF(ISBLANK($B293),"",IFERROR(_xll.BDP(TICKER,"DEEP_MEASURE_PERIOD_BROKER_VALUE","DEEP_MEASURE_ID_OVERRIDE",$C293,"DEEP_BROKER_ID_OVERRIDE",BH$24,"DEEP_PERIOD_OVERRIDE",$H$19)*1,"")))</f>
        <v/>
      </c>
      <c r="BI293" t="str">
        <f>IF(OR(BI$23="",ISNA($B293)),"",IF(ISBLANK($B293),"",IFERROR(_xll.BDP(TICKER,"DEEP_MEASURE_PERIOD_BROKER_VALUE","DEEP_MEASURE_ID_OVERRIDE",$C293,"DEEP_BROKER_ID_OVERRIDE",BI$24,"DEEP_PERIOD_OVERRIDE",$H$19)*1,"")))</f>
        <v/>
      </c>
      <c r="BJ293" t="str">
        <f>IF(OR(BJ$23="",ISNA($B293)),"",IF(ISBLANK($B293),"",IFERROR(_xll.BDP(TICKER,"DEEP_MEASURE_PERIOD_BROKER_VALUE","DEEP_MEASURE_ID_OVERRIDE",$C293,"DEEP_BROKER_ID_OVERRIDE",BJ$24,"DEEP_PERIOD_OVERRIDE",$H$19)*1,"")))</f>
        <v/>
      </c>
      <c r="BK293" t="str">
        <f>IF(OR(BK$23="",ISNA($B293)),"",IF(ISBLANK($B293),"",IFERROR(_xll.BDP(TICKER,"DEEP_MEASURE_PERIOD_BROKER_VALUE","DEEP_MEASURE_ID_OVERRIDE",$C293,"DEEP_BROKER_ID_OVERRIDE",BK$24,"DEEP_PERIOD_OVERRIDE",$H$19)*1,"")))</f>
        <v/>
      </c>
      <c r="BL293" t="str">
        <f>IF(OR(BL$23="",ISNA($B293)),"",IF(ISBLANK($B293),"",IFERROR(_xll.BDP(TICKER,"DEEP_MEASURE_PERIOD_BROKER_VALUE","DEEP_MEASURE_ID_OVERRIDE",$C293,"DEEP_BROKER_ID_OVERRIDE",BL$24,"DEEP_PERIOD_OVERRIDE",$H$19)*1,"")))</f>
        <v/>
      </c>
      <c r="BM293" t="str">
        <f>IF(OR(BM$23="",ISNA($B293)),"",IF(ISBLANK($B293),"",IFERROR(_xll.BDP(TICKER,"DEEP_MEASURE_PERIOD_BROKER_VALUE","DEEP_MEASURE_ID_OVERRIDE",$C293,"DEEP_BROKER_ID_OVERRIDE",BM$24,"DEEP_PERIOD_OVERRIDE",$H$19)*1,"")))</f>
        <v/>
      </c>
      <c r="BN293" t="str">
        <f>IF(OR(BN$23="",ISNA($B293)),"",IF(ISBLANK($B293),"",IFERROR(_xll.BDP(TICKER,"DEEP_MEASURE_PERIOD_BROKER_VALUE","DEEP_MEASURE_ID_OVERRIDE",$C293,"DEEP_BROKER_ID_OVERRIDE",BN$24,"DEEP_PERIOD_OVERRIDE",$H$19)*1,"")))</f>
        <v/>
      </c>
      <c r="BO293" t="str">
        <f>IF(OR(BO$23="",ISNA($B293)),"",IF(ISBLANK($B293),"",IFERROR(_xll.BDP(TICKER,"DEEP_MEASURE_PERIOD_BROKER_VALUE","DEEP_MEASURE_ID_OVERRIDE",$C293,"DEEP_BROKER_ID_OVERRIDE",BO$24,"DEEP_PERIOD_OVERRIDE",$H$19)*1,"")))</f>
        <v/>
      </c>
      <c r="BP293" t="str">
        <f>IF(OR(BP$23="",ISNA($B293)),"",IF(ISBLANK($B293),"",IFERROR(_xll.BDP(TICKER,"DEEP_MEASURE_PERIOD_BROKER_VALUE","DEEP_MEASURE_ID_OVERRIDE",$C293,"DEEP_BROKER_ID_OVERRIDE",BP$24,"DEEP_PERIOD_OVERRIDE",$H$19)*1,"")))</f>
        <v/>
      </c>
      <c r="BQ293" t="str">
        <f>IF(OR(BQ$23="",ISNA($B293)),"",IF(ISBLANK($B293),"",IFERROR(_xll.BDP(TICKER,"DEEP_MEASURE_PERIOD_BROKER_VALUE","DEEP_MEASURE_ID_OVERRIDE",$C293,"DEEP_BROKER_ID_OVERRIDE",BQ$24,"DEEP_PERIOD_OVERRIDE",$H$19)*1,"")))</f>
        <v/>
      </c>
      <c r="BR293" t="str">
        <f>IF(OR(BR$23="",ISNA($B293)),"",IF(ISBLANK($B293),"",IFERROR(_xll.BDP(TICKER,"DEEP_MEASURE_PERIOD_BROKER_VALUE","DEEP_MEASURE_ID_OVERRIDE",$C293,"DEEP_BROKER_ID_OVERRIDE",BR$24,"DEEP_PERIOD_OVERRIDE",$H$19)*1,"")))</f>
        <v/>
      </c>
      <c r="BS293" t="str">
        <f>IF(OR(BS$23="",ISNA($B293)),"",IF(ISBLANK($B293),"",IFERROR(_xll.BDP(TICKER,"DEEP_MEASURE_PERIOD_BROKER_VALUE","DEEP_MEASURE_ID_OVERRIDE",$C293,"DEEP_BROKER_ID_OVERRIDE",BS$24,"DEEP_PERIOD_OVERRIDE",$H$19)*1,"")))</f>
        <v/>
      </c>
      <c r="BT293" t="str">
        <f>IF(OR(BT$23="",ISNA($B293)),"",IF(ISBLANK($B293),"",IFERROR(_xll.BDP(TICKER,"DEEP_MEASURE_PERIOD_BROKER_VALUE","DEEP_MEASURE_ID_OVERRIDE",$C293,"DEEP_BROKER_ID_OVERRIDE",BT$24,"DEEP_PERIOD_OVERRIDE",$H$19)*1,"")))</f>
        <v/>
      </c>
      <c r="BU293" t="str">
        <f>IF(OR(BU$23="",ISNA($B293)),"",IF(ISBLANK($B293),"",IFERROR(_xll.BDP(TICKER,"DEEP_MEASURE_PERIOD_BROKER_VALUE","DEEP_MEASURE_ID_OVERRIDE",$C293,"DEEP_BROKER_ID_OVERRIDE",BU$24,"DEEP_PERIOD_OVERRIDE",$H$19)*1,"")))</f>
        <v/>
      </c>
      <c r="BV293" t="str">
        <f>IF(OR(BV$23="",ISNA($B293)),"",IF(ISBLANK($B293),"",IFERROR(_xll.BDP(TICKER,"DEEP_MEASURE_PERIOD_BROKER_VALUE","DEEP_MEASURE_ID_OVERRIDE",$C293,"DEEP_BROKER_ID_OVERRIDE",BV$24,"DEEP_PERIOD_OVERRIDE",$H$19)*1,"")))</f>
        <v/>
      </c>
      <c r="BW293" t="str">
        <f>IF(OR(BW$23="",ISNA($B293)),"",IF(ISBLANK($B293),"",IFERROR(_xll.BDP(TICKER,"DEEP_MEASURE_PERIOD_BROKER_VALUE","DEEP_MEASURE_ID_OVERRIDE",$C293,"DEEP_BROKER_ID_OVERRIDE",BW$24,"DEEP_PERIOD_OVERRIDE",$H$19)*1,"")))</f>
        <v/>
      </c>
      <c r="BX293" t="str">
        <f>IF(OR(BX$23="",ISNA($B293)),"",IF(ISBLANK($B293),"",IFERROR(_xll.BDP(TICKER,"DEEP_MEASURE_PERIOD_BROKER_VALUE","DEEP_MEASURE_ID_OVERRIDE",$C293,"DEEP_BROKER_ID_OVERRIDE",BX$24,"DEEP_PERIOD_OVERRIDE",$H$19)*1,"")))</f>
        <v/>
      </c>
      <c r="BY293" t="str">
        <f>IF(OR(BY$23="",ISNA($B293)),"",IF(ISBLANK($B293),"",IFERROR(_xll.BDP(TICKER,"DEEP_MEASURE_PERIOD_BROKER_VALUE","DEEP_MEASURE_ID_OVERRIDE",$C293,"DEEP_BROKER_ID_OVERRIDE",BY$24,"DEEP_PERIOD_OVERRIDE",$H$19)*1,"")))</f>
        <v/>
      </c>
      <c r="BZ293" t="str">
        <f>IF(OR(BZ$23="",ISNA($B293)),"",IF(ISBLANK($B293),"",IFERROR(_xll.BDP(TICKER,"DEEP_MEASURE_PERIOD_BROKER_VALUE","DEEP_MEASURE_ID_OVERRIDE",$C293,"DEEP_BROKER_ID_OVERRIDE",BZ$24,"DEEP_PERIOD_OVERRIDE",$H$19)*1,"")))</f>
        <v/>
      </c>
    </row>
    <row r="294" spans="8:78" x14ac:dyDescent="0.25">
      <c r="H294" t="str">
        <f t="shared" si="5"/>
        <v/>
      </c>
      <c r="I294" t="str">
        <f>IF(OR(I$23="",ISNA($B294)),"",IF(ISBLANK($B294),"",IFERROR(_xll.BDP(TICKER,"DEEP_MEASURE_PERIOD_BROKER_VALUE","DEEP_MEASURE_ID_OVERRIDE",$C294,"DEEP_PERIOD_OVERRIDE",$H$19)*1,"")))</f>
        <v/>
      </c>
      <c r="J294" t="e">
        <f>IF(OR(J$23="",ISNA($B294)),"",IF(ISBLANK($B294),"",IFERROR(_xll.BDP(TICKER,"DEEP_MEASURE_PERIOD_BROKER_VALUE","DEEP_MEASURE_ID_OVERRIDE",$C294,"DEEP_BROKER_ID_OVERRIDE",J$24,"DEEP_PERIOD_OVERRIDE",$H$19)*1,"")))</f>
        <v>#REF!</v>
      </c>
      <c r="K294" t="str">
        <f>IF(OR(K$23="",ISNA($B294)),"",IF(ISBLANK($B294),"",IFERROR(_xll.BDP(TICKER,"DEEP_MEASURE_PERIOD_BROKER_VALUE","DEEP_MEASURE_ID_OVERRIDE",$C294,"DEEP_BROKER_ID_OVERRIDE",K$24,"DEEP_PERIOD_OVERRIDE",$H$19)*1,"")))</f>
        <v/>
      </c>
      <c r="L294" t="str">
        <f>IF(OR(L$23="",ISNA($B294)),"",IF(ISBLANK($B294),"",IFERROR(_xll.BDP(TICKER,"DEEP_MEASURE_PERIOD_BROKER_VALUE","DEEP_MEASURE_ID_OVERRIDE",$C294,"DEEP_BROKER_ID_OVERRIDE",L$24,"DEEP_PERIOD_OVERRIDE",$H$19)*1,"")))</f>
        <v/>
      </c>
      <c r="M294" t="str">
        <f>IF(OR(M$23="",ISNA($B294)),"",IF(ISBLANK($B294),"",IFERROR(_xll.BDP(TICKER,"DEEP_MEASURE_PERIOD_BROKER_VALUE","DEEP_MEASURE_ID_OVERRIDE",$C294,"DEEP_BROKER_ID_OVERRIDE",M$24,"DEEP_PERIOD_OVERRIDE",$H$19)*1,"")))</f>
        <v/>
      </c>
      <c r="N294" t="str">
        <f>IF(OR(N$23="",ISNA($B294)),"",IF(ISBLANK($B294),"",IFERROR(_xll.BDP(TICKER,"DEEP_MEASURE_PERIOD_BROKER_VALUE","DEEP_MEASURE_ID_OVERRIDE",$C294,"DEEP_BROKER_ID_OVERRIDE",N$24,"DEEP_PERIOD_OVERRIDE",$H$19)*1,"")))</f>
        <v/>
      </c>
      <c r="O294" t="str">
        <f>IF(OR(O$23="",ISNA($B294)),"",IF(ISBLANK($B294),"",IFERROR(_xll.BDP(TICKER,"DEEP_MEASURE_PERIOD_BROKER_VALUE","DEEP_MEASURE_ID_OVERRIDE",$C294,"DEEP_BROKER_ID_OVERRIDE",O$24,"DEEP_PERIOD_OVERRIDE",$H$19)*1,"")))</f>
        <v/>
      </c>
      <c r="P294" t="str">
        <f>IF(OR(P$23="",ISNA($B294)),"",IF(ISBLANK($B294),"",IFERROR(_xll.BDP(TICKER,"DEEP_MEASURE_PERIOD_BROKER_VALUE","DEEP_MEASURE_ID_OVERRIDE",$C294,"DEEP_BROKER_ID_OVERRIDE",P$24,"DEEP_PERIOD_OVERRIDE",$H$19)*1,"")))</f>
        <v/>
      </c>
      <c r="Q294" t="str">
        <f>IF(OR(Q$23="",ISNA($B294)),"",IF(ISBLANK($B294),"",IFERROR(_xll.BDP(TICKER,"DEEP_MEASURE_PERIOD_BROKER_VALUE","DEEP_MEASURE_ID_OVERRIDE",$C294,"DEEP_BROKER_ID_OVERRIDE",Q$24,"DEEP_PERIOD_OVERRIDE",$H$19)*1,"")))</f>
        <v/>
      </c>
      <c r="R294" t="str">
        <f>IF(OR(R$23="",ISNA($B294)),"",IF(ISBLANK($B294),"",IFERROR(_xll.BDP(TICKER,"DEEP_MEASURE_PERIOD_BROKER_VALUE","DEEP_MEASURE_ID_OVERRIDE",$C294,"DEEP_BROKER_ID_OVERRIDE",R$24,"DEEP_PERIOD_OVERRIDE",$H$19)*1,"")))</f>
        <v/>
      </c>
      <c r="S294" t="str">
        <f>IF(OR(S$23="",ISNA($B294)),"",IF(ISBLANK($B294),"",IFERROR(_xll.BDP(TICKER,"DEEP_MEASURE_PERIOD_BROKER_VALUE","DEEP_MEASURE_ID_OVERRIDE",$C294,"DEEP_BROKER_ID_OVERRIDE",S$24,"DEEP_PERIOD_OVERRIDE",$H$19)*1,"")))</f>
        <v/>
      </c>
      <c r="T294" t="str">
        <f>IF(OR(T$23="",ISNA($B294)),"",IF(ISBLANK($B294),"",IFERROR(_xll.BDP(TICKER,"DEEP_MEASURE_PERIOD_BROKER_VALUE","DEEP_MEASURE_ID_OVERRIDE",$C294,"DEEP_BROKER_ID_OVERRIDE",T$24,"DEEP_PERIOD_OVERRIDE",$H$19)*1,"")))</f>
        <v/>
      </c>
      <c r="U294" t="str">
        <f>IF(OR(U$23="",ISNA($B294)),"",IF(ISBLANK($B294),"",IFERROR(_xll.BDP(TICKER,"DEEP_MEASURE_PERIOD_BROKER_VALUE","DEEP_MEASURE_ID_OVERRIDE",$C294,"DEEP_BROKER_ID_OVERRIDE",U$24,"DEEP_PERIOD_OVERRIDE",$H$19)*1,"")))</f>
        <v/>
      </c>
      <c r="V294" t="str">
        <f>IF(OR(V$23="",ISNA($B294)),"",IF(ISBLANK($B294),"",IFERROR(_xll.BDP(TICKER,"DEEP_MEASURE_PERIOD_BROKER_VALUE","DEEP_MEASURE_ID_OVERRIDE",$C294,"DEEP_BROKER_ID_OVERRIDE",V$24,"DEEP_PERIOD_OVERRIDE",$H$19)*1,"")))</f>
        <v/>
      </c>
      <c r="W294" t="str">
        <f>IF(OR(W$23="",ISNA($B294)),"",IF(ISBLANK($B294),"",IFERROR(_xll.BDP(TICKER,"DEEP_MEASURE_PERIOD_BROKER_VALUE","DEEP_MEASURE_ID_OVERRIDE",$C294,"DEEP_BROKER_ID_OVERRIDE",W$24,"DEEP_PERIOD_OVERRIDE",$H$19)*1,"")))</f>
        <v/>
      </c>
      <c r="X294" t="str">
        <f>IF(OR(X$23="",ISNA($B294)),"",IF(ISBLANK($B294),"",IFERROR(_xll.BDP(TICKER,"DEEP_MEASURE_PERIOD_BROKER_VALUE","DEEP_MEASURE_ID_OVERRIDE",$C294,"DEEP_BROKER_ID_OVERRIDE",X$24,"DEEP_PERIOD_OVERRIDE",$H$19)*1,"")))</f>
        <v/>
      </c>
      <c r="Y294" t="str">
        <f>IF(OR(Y$23="",ISNA($B294)),"",IF(ISBLANK($B294),"",IFERROR(_xll.BDP(TICKER,"DEEP_MEASURE_PERIOD_BROKER_VALUE","DEEP_MEASURE_ID_OVERRIDE",$C294,"DEEP_BROKER_ID_OVERRIDE",Y$24,"DEEP_PERIOD_OVERRIDE",$H$19)*1,"")))</f>
        <v/>
      </c>
      <c r="Z294" t="str">
        <f>IF(OR(Z$23="",ISNA($B294)),"",IF(ISBLANK($B294),"",IFERROR(_xll.BDP(TICKER,"DEEP_MEASURE_PERIOD_BROKER_VALUE","DEEP_MEASURE_ID_OVERRIDE",$C294,"DEEP_BROKER_ID_OVERRIDE",Z$24,"DEEP_PERIOD_OVERRIDE",$H$19)*1,"")))</f>
        <v/>
      </c>
      <c r="AA294" t="str">
        <f>IF(OR(AA$23="",ISNA($B294)),"",IF(ISBLANK($B294),"",IFERROR(_xll.BDP(TICKER,"DEEP_MEASURE_PERIOD_BROKER_VALUE","DEEP_MEASURE_ID_OVERRIDE",$C294,"DEEP_BROKER_ID_OVERRIDE",AA$24,"DEEP_PERIOD_OVERRIDE",$H$19)*1,"")))</f>
        <v/>
      </c>
      <c r="AB294" t="str">
        <f>IF(OR(AB$23="",ISNA($B294)),"",IF(ISBLANK($B294),"",IFERROR(_xll.BDP(TICKER,"DEEP_MEASURE_PERIOD_BROKER_VALUE","DEEP_MEASURE_ID_OVERRIDE",$C294,"DEEP_BROKER_ID_OVERRIDE",AB$24,"DEEP_PERIOD_OVERRIDE",$H$19)*1,"")))</f>
        <v/>
      </c>
      <c r="AC294" t="str">
        <f>IF(OR(AC$23="",ISNA($B294)),"",IF(ISBLANK($B294),"",IFERROR(_xll.BDP(TICKER,"DEEP_MEASURE_PERIOD_BROKER_VALUE","DEEP_MEASURE_ID_OVERRIDE",$C294,"DEEP_BROKER_ID_OVERRIDE",AC$24,"DEEP_PERIOD_OVERRIDE",$H$19)*1,"")))</f>
        <v/>
      </c>
      <c r="AD294" t="str">
        <f>IF(OR(AD$23="",ISNA($B294)),"",IF(ISBLANK($B294),"",IFERROR(_xll.BDP(TICKER,"DEEP_MEASURE_PERIOD_BROKER_VALUE","DEEP_MEASURE_ID_OVERRIDE",$C294,"DEEP_BROKER_ID_OVERRIDE",AD$24,"DEEP_PERIOD_OVERRIDE",$H$19)*1,"")))</f>
        <v/>
      </c>
      <c r="AE294" t="str">
        <f>IF(OR(AE$23="",ISNA($B294)),"",IF(ISBLANK($B294),"",IFERROR(_xll.BDP(TICKER,"DEEP_MEASURE_PERIOD_BROKER_VALUE","DEEP_MEASURE_ID_OVERRIDE",$C294,"DEEP_BROKER_ID_OVERRIDE",AE$24,"DEEP_PERIOD_OVERRIDE",$H$19)*1,"")))</f>
        <v/>
      </c>
      <c r="AF294" t="str">
        <f>IF(OR(AF$23="",ISNA($B294)),"",IF(ISBLANK($B294),"",IFERROR(_xll.BDP(TICKER,"DEEP_MEASURE_PERIOD_BROKER_VALUE","DEEP_MEASURE_ID_OVERRIDE",$C294,"DEEP_BROKER_ID_OVERRIDE",AF$24,"DEEP_PERIOD_OVERRIDE",$H$19)*1,"")))</f>
        <v/>
      </c>
      <c r="AG294" t="str">
        <f>IF(OR(AG$23="",ISNA($B294)),"",IF(ISBLANK($B294),"",IFERROR(_xll.BDP(TICKER,"DEEP_MEASURE_PERIOD_BROKER_VALUE","DEEP_MEASURE_ID_OVERRIDE",$C294,"DEEP_BROKER_ID_OVERRIDE",AG$24,"DEEP_PERIOD_OVERRIDE",$H$19)*1,"")))</f>
        <v/>
      </c>
      <c r="AH294" t="str">
        <f>IF(OR(AH$23="",ISNA($B294)),"",IF(ISBLANK($B294),"",IFERROR(_xll.BDP(TICKER,"DEEP_MEASURE_PERIOD_BROKER_VALUE","DEEP_MEASURE_ID_OVERRIDE",$C294,"DEEP_BROKER_ID_OVERRIDE",AH$24,"DEEP_PERIOD_OVERRIDE",$H$19)*1,"")))</f>
        <v/>
      </c>
      <c r="AI294" t="str">
        <f>IF(OR(AI$23="",ISNA($B294)),"",IF(ISBLANK($B294),"",IFERROR(_xll.BDP(TICKER,"DEEP_MEASURE_PERIOD_BROKER_VALUE","DEEP_MEASURE_ID_OVERRIDE",$C294,"DEEP_BROKER_ID_OVERRIDE",AI$24,"DEEP_PERIOD_OVERRIDE",$H$19)*1,"")))</f>
        <v/>
      </c>
      <c r="AJ294" t="str">
        <f>IF(OR(AJ$23="",ISNA($B294)),"",IF(ISBLANK($B294),"",IFERROR(_xll.BDP(TICKER,"DEEP_MEASURE_PERIOD_BROKER_VALUE","DEEP_MEASURE_ID_OVERRIDE",$C294,"DEEP_BROKER_ID_OVERRIDE",AJ$24,"DEEP_PERIOD_OVERRIDE",$H$19)*1,"")))</f>
        <v/>
      </c>
      <c r="AK294" t="str">
        <f>IF(OR(AK$23="",ISNA($B294)),"",IF(ISBLANK($B294),"",IFERROR(_xll.BDP(TICKER,"DEEP_MEASURE_PERIOD_BROKER_VALUE","DEEP_MEASURE_ID_OVERRIDE",$C294,"DEEP_BROKER_ID_OVERRIDE",AK$24,"DEEP_PERIOD_OVERRIDE",$H$19)*1,"")))</f>
        <v/>
      </c>
      <c r="AL294" t="str">
        <f>IF(OR(AL$23="",ISNA($B294)),"",IF(ISBLANK($B294),"",IFERROR(_xll.BDP(TICKER,"DEEP_MEASURE_PERIOD_BROKER_VALUE","DEEP_MEASURE_ID_OVERRIDE",$C294,"DEEP_BROKER_ID_OVERRIDE",AL$24,"DEEP_PERIOD_OVERRIDE",$H$19)*1,"")))</f>
        <v/>
      </c>
      <c r="AM294" t="str">
        <f>IF(OR(AM$23="",ISNA($B294)),"",IF(ISBLANK($B294),"",IFERROR(_xll.BDP(TICKER,"DEEP_MEASURE_PERIOD_BROKER_VALUE","DEEP_MEASURE_ID_OVERRIDE",$C294,"DEEP_BROKER_ID_OVERRIDE",AM$24,"DEEP_PERIOD_OVERRIDE",$H$19)*1,"")))</f>
        <v/>
      </c>
      <c r="AN294" t="str">
        <f>IF(OR(AN$23="",ISNA($B294)),"",IF(ISBLANK($B294),"",IFERROR(_xll.BDP(TICKER,"DEEP_MEASURE_PERIOD_BROKER_VALUE","DEEP_MEASURE_ID_OVERRIDE",$C294,"DEEP_BROKER_ID_OVERRIDE",AN$24,"DEEP_PERIOD_OVERRIDE",$H$19)*1,"")))</f>
        <v/>
      </c>
      <c r="AO294" t="str">
        <f>IF(OR(AO$23="",ISNA($B294)),"",IF(ISBLANK($B294),"",IFERROR(_xll.BDP(TICKER,"DEEP_MEASURE_PERIOD_BROKER_VALUE","DEEP_MEASURE_ID_OVERRIDE",$C294,"DEEP_BROKER_ID_OVERRIDE",AO$24,"DEEP_PERIOD_OVERRIDE",$H$19)*1,"")))</f>
        <v/>
      </c>
      <c r="AP294" t="str">
        <f>IF(OR(AP$23="",ISNA($B294)),"",IF(ISBLANK($B294),"",IFERROR(_xll.BDP(TICKER,"DEEP_MEASURE_PERIOD_BROKER_VALUE","DEEP_MEASURE_ID_OVERRIDE",$C294,"DEEP_BROKER_ID_OVERRIDE",AP$24,"DEEP_PERIOD_OVERRIDE",$H$19)*1,"")))</f>
        <v/>
      </c>
      <c r="AQ294" t="str">
        <f>IF(OR(AQ$23="",ISNA($B294)),"",IF(ISBLANK($B294),"",IFERROR(_xll.BDP(TICKER,"DEEP_MEASURE_PERIOD_BROKER_VALUE","DEEP_MEASURE_ID_OVERRIDE",$C294,"DEEP_BROKER_ID_OVERRIDE",AQ$24,"DEEP_PERIOD_OVERRIDE",$H$19)*1,"")))</f>
        <v/>
      </c>
      <c r="AR294" t="str">
        <f>IF(OR(AR$23="",ISNA($B294)),"",IF(ISBLANK($B294),"",IFERROR(_xll.BDP(TICKER,"DEEP_MEASURE_PERIOD_BROKER_VALUE","DEEP_MEASURE_ID_OVERRIDE",$C294,"DEEP_BROKER_ID_OVERRIDE",AR$24,"DEEP_PERIOD_OVERRIDE",$H$19)*1,"")))</f>
        <v/>
      </c>
      <c r="AS294" t="str">
        <f>IF(OR(AS$23="",ISNA($B294)),"",IF(ISBLANK($B294),"",IFERROR(_xll.BDP(TICKER,"DEEP_MEASURE_PERIOD_BROKER_VALUE","DEEP_MEASURE_ID_OVERRIDE",$C294,"DEEP_BROKER_ID_OVERRIDE",AS$24,"DEEP_PERIOD_OVERRIDE",$H$19)*1,"")))</f>
        <v/>
      </c>
      <c r="AT294" t="str">
        <f>IF(OR(AT$23="",ISNA($B294)),"",IF(ISBLANK($B294),"",IFERROR(_xll.BDP(TICKER,"DEEP_MEASURE_PERIOD_BROKER_VALUE","DEEP_MEASURE_ID_OVERRIDE",$C294,"DEEP_BROKER_ID_OVERRIDE",AT$24,"DEEP_PERIOD_OVERRIDE",$H$19)*1,"")))</f>
        <v/>
      </c>
      <c r="AU294" t="str">
        <f>IF(OR(AU$23="",ISNA($B294)),"",IF(ISBLANK($B294),"",IFERROR(_xll.BDP(TICKER,"DEEP_MEASURE_PERIOD_BROKER_VALUE","DEEP_MEASURE_ID_OVERRIDE",$C294,"DEEP_BROKER_ID_OVERRIDE",AU$24,"DEEP_PERIOD_OVERRIDE",$H$19)*1,"")))</f>
        <v/>
      </c>
      <c r="AV294" t="str">
        <f>IF(OR(AV$23="",ISNA($B294)),"",IF(ISBLANK($B294),"",IFERROR(_xll.BDP(TICKER,"DEEP_MEASURE_PERIOD_BROKER_VALUE","DEEP_MEASURE_ID_OVERRIDE",$C294,"DEEP_BROKER_ID_OVERRIDE",AV$24,"DEEP_PERIOD_OVERRIDE",$H$19)*1,"")))</f>
        <v/>
      </c>
      <c r="AW294" t="str">
        <f>IF(OR(AW$23="",ISNA($B294)),"",IF(ISBLANK($B294),"",IFERROR(_xll.BDP(TICKER,"DEEP_MEASURE_PERIOD_BROKER_VALUE","DEEP_MEASURE_ID_OVERRIDE",$C294,"DEEP_BROKER_ID_OVERRIDE",AW$24,"DEEP_PERIOD_OVERRIDE",$H$19)*1,"")))</f>
        <v/>
      </c>
      <c r="AX294" t="str">
        <f>IF(OR(AX$23="",ISNA($B294)),"",IF(ISBLANK($B294),"",IFERROR(_xll.BDP(TICKER,"DEEP_MEASURE_PERIOD_BROKER_VALUE","DEEP_MEASURE_ID_OVERRIDE",$C294,"DEEP_BROKER_ID_OVERRIDE",AX$24,"DEEP_PERIOD_OVERRIDE",$H$19)*1,"")))</f>
        <v/>
      </c>
      <c r="AY294" t="str">
        <f>IF(OR(AY$23="",ISNA($B294)),"",IF(ISBLANK($B294),"",IFERROR(_xll.BDP(TICKER,"DEEP_MEASURE_PERIOD_BROKER_VALUE","DEEP_MEASURE_ID_OVERRIDE",$C294,"DEEP_BROKER_ID_OVERRIDE",AY$24,"DEEP_PERIOD_OVERRIDE",$H$19)*1,"")))</f>
        <v/>
      </c>
      <c r="AZ294" t="str">
        <f>IF(OR(AZ$23="",ISNA($B294)),"",IF(ISBLANK($B294),"",IFERROR(_xll.BDP(TICKER,"DEEP_MEASURE_PERIOD_BROKER_VALUE","DEEP_MEASURE_ID_OVERRIDE",$C294,"DEEP_BROKER_ID_OVERRIDE",AZ$24,"DEEP_PERIOD_OVERRIDE",$H$19)*1,"")))</f>
        <v/>
      </c>
      <c r="BA294" t="str">
        <f>IF(OR(BA$23="",ISNA($B294)),"",IF(ISBLANK($B294),"",IFERROR(_xll.BDP(TICKER,"DEEP_MEASURE_PERIOD_BROKER_VALUE","DEEP_MEASURE_ID_OVERRIDE",$C294,"DEEP_BROKER_ID_OVERRIDE",BA$24,"DEEP_PERIOD_OVERRIDE",$H$19)*1,"")))</f>
        <v/>
      </c>
      <c r="BB294" t="str">
        <f>IF(OR(BB$23="",ISNA($B294)),"",IF(ISBLANK($B294),"",IFERROR(_xll.BDP(TICKER,"DEEP_MEASURE_PERIOD_BROKER_VALUE","DEEP_MEASURE_ID_OVERRIDE",$C294,"DEEP_BROKER_ID_OVERRIDE",BB$24,"DEEP_PERIOD_OVERRIDE",$H$19)*1,"")))</f>
        <v/>
      </c>
      <c r="BC294" t="str">
        <f>IF(OR(BC$23="",ISNA($B294)),"",IF(ISBLANK($B294),"",IFERROR(_xll.BDP(TICKER,"DEEP_MEASURE_PERIOD_BROKER_VALUE","DEEP_MEASURE_ID_OVERRIDE",$C294,"DEEP_BROKER_ID_OVERRIDE",BC$24,"DEEP_PERIOD_OVERRIDE",$H$19)*1,"")))</f>
        <v/>
      </c>
      <c r="BD294" t="str">
        <f>IF(OR(BD$23="",ISNA($B294)),"",IF(ISBLANK($B294),"",IFERROR(_xll.BDP(TICKER,"DEEP_MEASURE_PERIOD_BROKER_VALUE","DEEP_MEASURE_ID_OVERRIDE",$C294,"DEEP_BROKER_ID_OVERRIDE",BD$24,"DEEP_PERIOD_OVERRIDE",$H$19)*1,"")))</f>
        <v/>
      </c>
      <c r="BE294" t="str">
        <f>IF(OR(BE$23="",ISNA($B294)),"",IF(ISBLANK($B294),"",IFERROR(_xll.BDP(TICKER,"DEEP_MEASURE_PERIOD_BROKER_VALUE","DEEP_MEASURE_ID_OVERRIDE",$C294,"DEEP_BROKER_ID_OVERRIDE",BE$24,"DEEP_PERIOD_OVERRIDE",$H$19)*1,"")))</f>
        <v/>
      </c>
      <c r="BF294" t="str">
        <f>IF(OR(BF$23="",ISNA($B294)),"",IF(ISBLANK($B294),"",IFERROR(_xll.BDP(TICKER,"DEEP_MEASURE_PERIOD_BROKER_VALUE","DEEP_MEASURE_ID_OVERRIDE",$C294,"DEEP_BROKER_ID_OVERRIDE",BF$24,"DEEP_PERIOD_OVERRIDE",$H$19)*1,"")))</f>
        <v/>
      </c>
      <c r="BG294" t="str">
        <f>IF(OR(BG$23="",ISNA($B294)),"",IF(ISBLANK($B294),"",IFERROR(_xll.BDP(TICKER,"DEEP_MEASURE_PERIOD_BROKER_VALUE","DEEP_MEASURE_ID_OVERRIDE",$C294,"DEEP_BROKER_ID_OVERRIDE",BG$24,"DEEP_PERIOD_OVERRIDE",$H$19)*1,"")))</f>
        <v/>
      </c>
      <c r="BH294" t="str">
        <f>IF(OR(BH$23="",ISNA($B294)),"",IF(ISBLANK($B294),"",IFERROR(_xll.BDP(TICKER,"DEEP_MEASURE_PERIOD_BROKER_VALUE","DEEP_MEASURE_ID_OVERRIDE",$C294,"DEEP_BROKER_ID_OVERRIDE",BH$24,"DEEP_PERIOD_OVERRIDE",$H$19)*1,"")))</f>
        <v/>
      </c>
      <c r="BI294" t="str">
        <f>IF(OR(BI$23="",ISNA($B294)),"",IF(ISBLANK($B294),"",IFERROR(_xll.BDP(TICKER,"DEEP_MEASURE_PERIOD_BROKER_VALUE","DEEP_MEASURE_ID_OVERRIDE",$C294,"DEEP_BROKER_ID_OVERRIDE",BI$24,"DEEP_PERIOD_OVERRIDE",$H$19)*1,"")))</f>
        <v/>
      </c>
      <c r="BJ294" t="str">
        <f>IF(OR(BJ$23="",ISNA($B294)),"",IF(ISBLANK($B294),"",IFERROR(_xll.BDP(TICKER,"DEEP_MEASURE_PERIOD_BROKER_VALUE","DEEP_MEASURE_ID_OVERRIDE",$C294,"DEEP_BROKER_ID_OVERRIDE",BJ$24,"DEEP_PERIOD_OVERRIDE",$H$19)*1,"")))</f>
        <v/>
      </c>
      <c r="BK294" t="str">
        <f>IF(OR(BK$23="",ISNA($B294)),"",IF(ISBLANK($B294),"",IFERROR(_xll.BDP(TICKER,"DEEP_MEASURE_PERIOD_BROKER_VALUE","DEEP_MEASURE_ID_OVERRIDE",$C294,"DEEP_BROKER_ID_OVERRIDE",BK$24,"DEEP_PERIOD_OVERRIDE",$H$19)*1,"")))</f>
        <v/>
      </c>
      <c r="BL294" t="str">
        <f>IF(OR(BL$23="",ISNA($B294)),"",IF(ISBLANK($B294),"",IFERROR(_xll.BDP(TICKER,"DEEP_MEASURE_PERIOD_BROKER_VALUE","DEEP_MEASURE_ID_OVERRIDE",$C294,"DEEP_BROKER_ID_OVERRIDE",BL$24,"DEEP_PERIOD_OVERRIDE",$H$19)*1,"")))</f>
        <v/>
      </c>
      <c r="BM294" t="str">
        <f>IF(OR(BM$23="",ISNA($B294)),"",IF(ISBLANK($B294),"",IFERROR(_xll.BDP(TICKER,"DEEP_MEASURE_PERIOD_BROKER_VALUE","DEEP_MEASURE_ID_OVERRIDE",$C294,"DEEP_BROKER_ID_OVERRIDE",BM$24,"DEEP_PERIOD_OVERRIDE",$H$19)*1,"")))</f>
        <v/>
      </c>
      <c r="BN294" t="str">
        <f>IF(OR(BN$23="",ISNA($B294)),"",IF(ISBLANK($B294),"",IFERROR(_xll.BDP(TICKER,"DEEP_MEASURE_PERIOD_BROKER_VALUE","DEEP_MEASURE_ID_OVERRIDE",$C294,"DEEP_BROKER_ID_OVERRIDE",BN$24,"DEEP_PERIOD_OVERRIDE",$H$19)*1,"")))</f>
        <v/>
      </c>
      <c r="BO294" t="str">
        <f>IF(OR(BO$23="",ISNA($B294)),"",IF(ISBLANK($B294),"",IFERROR(_xll.BDP(TICKER,"DEEP_MEASURE_PERIOD_BROKER_VALUE","DEEP_MEASURE_ID_OVERRIDE",$C294,"DEEP_BROKER_ID_OVERRIDE",BO$24,"DEEP_PERIOD_OVERRIDE",$H$19)*1,"")))</f>
        <v/>
      </c>
      <c r="BP294" t="str">
        <f>IF(OR(BP$23="",ISNA($B294)),"",IF(ISBLANK($B294),"",IFERROR(_xll.BDP(TICKER,"DEEP_MEASURE_PERIOD_BROKER_VALUE","DEEP_MEASURE_ID_OVERRIDE",$C294,"DEEP_BROKER_ID_OVERRIDE",BP$24,"DEEP_PERIOD_OVERRIDE",$H$19)*1,"")))</f>
        <v/>
      </c>
      <c r="BQ294" t="str">
        <f>IF(OR(BQ$23="",ISNA($B294)),"",IF(ISBLANK($B294),"",IFERROR(_xll.BDP(TICKER,"DEEP_MEASURE_PERIOD_BROKER_VALUE","DEEP_MEASURE_ID_OVERRIDE",$C294,"DEEP_BROKER_ID_OVERRIDE",BQ$24,"DEEP_PERIOD_OVERRIDE",$H$19)*1,"")))</f>
        <v/>
      </c>
      <c r="BR294" t="str">
        <f>IF(OR(BR$23="",ISNA($B294)),"",IF(ISBLANK($B294),"",IFERROR(_xll.BDP(TICKER,"DEEP_MEASURE_PERIOD_BROKER_VALUE","DEEP_MEASURE_ID_OVERRIDE",$C294,"DEEP_BROKER_ID_OVERRIDE",BR$24,"DEEP_PERIOD_OVERRIDE",$H$19)*1,"")))</f>
        <v/>
      </c>
      <c r="BS294" t="str">
        <f>IF(OR(BS$23="",ISNA($B294)),"",IF(ISBLANK($B294),"",IFERROR(_xll.BDP(TICKER,"DEEP_MEASURE_PERIOD_BROKER_VALUE","DEEP_MEASURE_ID_OVERRIDE",$C294,"DEEP_BROKER_ID_OVERRIDE",BS$24,"DEEP_PERIOD_OVERRIDE",$H$19)*1,"")))</f>
        <v/>
      </c>
      <c r="BT294" t="str">
        <f>IF(OR(BT$23="",ISNA($B294)),"",IF(ISBLANK($B294),"",IFERROR(_xll.BDP(TICKER,"DEEP_MEASURE_PERIOD_BROKER_VALUE","DEEP_MEASURE_ID_OVERRIDE",$C294,"DEEP_BROKER_ID_OVERRIDE",BT$24,"DEEP_PERIOD_OVERRIDE",$H$19)*1,"")))</f>
        <v/>
      </c>
      <c r="BU294" t="str">
        <f>IF(OR(BU$23="",ISNA($B294)),"",IF(ISBLANK($B294),"",IFERROR(_xll.BDP(TICKER,"DEEP_MEASURE_PERIOD_BROKER_VALUE","DEEP_MEASURE_ID_OVERRIDE",$C294,"DEEP_BROKER_ID_OVERRIDE",BU$24,"DEEP_PERIOD_OVERRIDE",$H$19)*1,"")))</f>
        <v/>
      </c>
      <c r="BV294" t="str">
        <f>IF(OR(BV$23="",ISNA($B294)),"",IF(ISBLANK($B294),"",IFERROR(_xll.BDP(TICKER,"DEEP_MEASURE_PERIOD_BROKER_VALUE","DEEP_MEASURE_ID_OVERRIDE",$C294,"DEEP_BROKER_ID_OVERRIDE",BV$24,"DEEP_PERIOD_OVERRIDE",$H$19)*1,"")))</f>
        <v/>
      </c>
      <c r="BW294" t="str">
        <f>IF(OR(BW$23="",ISNA($B294)),"",IF(ISBLANK($B294),"",IFERROR(_xll.BDP(TICKER,"DEEP_MEASURE_PERIOD_BROKER_VALUE","DEEP_MEASURE_ID_OVERRIDE",$C294,"DEEP_BROKER_ID_OVERRIDE",BW$24,"DEEP_PERIOD_OVERRIDE",$H$19)*1,"")))</f>
        <v/>
      </c>
      <c r="BX294" t="str">
        <f>IF(OR(BX$23="",ISNA($B294)),"",IF(ISBLANK($B294),"",IFERROR(_xll.BDP(TICKER,"DEEP_MEASURE_PERIOD_BROKER_VALUE","DEEP_MEASURE_ID_OVERRIDE",$C294,"DEEP_BROKER_ID_OVERRIDE",BX$24,"DEEP_PERIOD_OVERRIDE",$H$19)*1,"")))</f>
        <v/>
      </c>
      <c r="BY294" t="str">
        <f>IF(OR(BY$23="",ISNA($B294)),"",IF(ISBLANK($B294),"",IFERROR(_xll.BDP(TICKER,"DEEP_MEASURE_PERIOD_BROKER_VALUE","DEEP_MEASURE_ID_OVERRIDE",$C294,"DEEP_BROKER_ID_OVERRIDE",BY$24,"DEEP_PERIOD_OVERRIDE",$H$19)*1,"")))</f>
        <v/>
      </c>
      <c r="BZ294" t="str">
        <f>IF(OR(BZ$23="",ISNA($B294)),"",IF(ISBLANK($B294),"",IFERROR(_xll.BDP(TICKER,"DEEP_MEASURE_PERIOD_BROKER_VALUE","DEEP_MEASURE_ID_OVERRIDE",$C294,"DEEP_BROKER_ID_OVERRIDE",BZ$24,"DEEP_PERIOD_OVERRIDE",$H$19)*1,"")))</f>
        <v/>
      </c>
    </row>
    <row r="295" spans="8:78" x14ac:dyDescent="0.25">
      <c r="H295" t="str">
        <f t="shared" si="5"/>
        <v/>
      </c>
      <c r="I295" t="str">
        <f>IF(OR(I$23="",ISNA($B295)),"",IF(ISBLANK($B295),"",IFERROR(_xll.BDP(TICKER,"DEEP_MEASURE_PERIOD_BROKER_VALUE","DEEP_MEASURE_ID_OVERRIDE",$C295,"DEEP_PERIOD_OVERRIDE",$H$19)*1,"")))</f>
        <v/>
      </c>
      <c r="J295" t="e">
        <f>IF(OR(J$23="",ISNA($B295)),"",IF(ISBLANK($B295),"",IFERROR(_xll.BDP(TICKER,"DEEP_MEASURE_PERIOD_BROKER_VALUE","DEEP_MEASURE_ID_OVERRIDE",$C295,"DEEP_BROKER_ID_OVERRIDE",J$24,"DEEP_PERIOD_OVERRIDE",$H$19)*1,"")))</f>
        <v>#REF!</v>
      </c>
      <c r="K295" t="str">
        <f>IF(OR(K$23="",ISNA($B295)),"",IF(ISBLANK($B295),"",IFERROR(_xll.BDP(TICKER,"DEEP_MEASURE_PERIOD_BROKER_VALUE","DEEP_MEASURE_ID_OVERRIDE",$C295,"DEEP_BROKER_ID_OVERRIDE",K$24,"DEEP_PERIOD_OVERRIDE",$H$19)*1,"")))</f>
        <v/>
      </c>
      <c r="L295" t="str">
        <f>IF(OR(L$23="",ISNA($B295)),"",IF(ISBLANK($B295),"",IFERROR(_xll.BDP(TICKER,"DEEP_MEASURE_PERIOD_BROKER_VALUE","DEEP_MEASURE_ID_OVERRIDE",$C295,"DEEP_BROKER_ID_OVERRIDE",L$24,"DEEP_PERIOD_OVERRIDE",$H$19)*1,"")))</f>
        <v/>
      </c>
      <c r="M295" t="str">
        <f>IF(OR(M$23="",ISNA($B295)),"",IF(ISBLANK($B295),"",IFERROR(_xll.BDP(TICKER,"DEEP_MEASURE_PERIOD_BROKER_VALUE","DEEP_MEASURE_ID_OVERRIDE",$C295,"DEEP_BROKER_ID_OVERRIDE",M$24,"DEEP_PERIOD_OVERRIDE",$H$19)*1,"")))</f>
        <v/>
      </c>
      <c r="N295" t="str">
        <f>IF(OR(N$23="",ISNA($B295)),"",IF(ISBLANK($B295),"",IFERROR(_xll.BDP(TICKER,"DEEP_MEASURE_PERIOD_BROKER_VALUE","DEEP_MEASURE_ID_OVERRIDE",$C295,"DEEP_BROKER_ID_OVERRIDE",N$24,"DEEP_PERIOD_OVERRIDE",$H$19)*1,"")))</f>
        <v/>
      </c>
      <c r="O295" t="str">
        <f>IF(OR(O$23="",ISNA($B295)),"",IF(ISBLANK($B295),"",IFERROR(_xll.BDP(TICKER,"DEEP_MEASURE_PERIOD_BROKER_VALUE","DEEP_MEASURE_ID_OVERRIDE",$C295,"DEEP_BROKER_ID_OVERRIDE",O$24,"DEEP_PERIOD_OVERRIDE",$H$19)*1,"")))</f>
        <v/>
      </c>
      <c r="P295" t="str">
        <f>IF(OR(P$23="",ISNA($B295)),"",IF(ISBLANK($B295),"",IFERROR(_xll.BDP(TICKER,"DEEP_MEASURE_PERIOD_BROKER_VALUE","DEEP_MEASURE_ID_OVERRIDE",$C295,"DEEP_BROKER_ID_OVERRIDE",P$24,"DEEP_PERIOD_OVERRIDE",$H$19)*1,"")))</f>
        <v/>
      </c>
      <c r="Q295" t="str">
        <f>IF(OR(Q$23="",ISNA($B295)),"",IF(ISBLANK($B295),"",IFERROR(_xll.BDP(TICKER,"DEEP_MEASURE_PERIOD_BROKER_VALUE","DEEP_MEASURE_ID_OVERRIDE",$C295,"DEEP_BROKER_ID_OVERRIDE",Q$24,"DEEP_PERIOD_OVERRIDE",$H$19)*1,"")))</f>
        <v/>
      </c>
      <c r="R295" t="str">
        <f>IF(OR(R$23="",ISNA($B295)),"",IF(ISBLANK($B295),"",IFERROR(_xll.BDP(TICKER,"DEEP_MEASURE_PERIOD_BROKER_VALUE","DEEP_MEASURE_ID_OVERRIDE",$C295,"DEEP_BROKER_ID_OVERRIDE",R$24,"DEEP_PERIOD_OVERRIDE",$H$19)*1,"")))</f>
        <v/>
      </c>
      <c r="S295" t="str">
        <f>IF(OR(S$23="",ISNA($B295)),"",IF(ISBLANK($B295),"",IFERROR(_xll.BDP(TICKER,"DEEP_MEASURE_PERIOD_BROKER_VALUE","DEEP_MEASURE_ID_OVERRIDE",$C295,"DEEP_BROKER_ID_OVERRIDE",S$24,"DEEP_PERIOD_OVERRIDE",$H$19)*1,"")))</f>
        <v/>
      </c>
      <c r="T295" t="str">
        <f>IF(OR(T$23="",ISNA($B295)),"",IF(ISBLANK($B295),"",IFERROR(_xll.BDP(TICKER,"DEEP_MEASURE_PERIOD_BROKER_VALUE","DEEP_MEASURE_ID_OVERRIDE",$C295,"DEEP_BROKER_ID_OVERRIDE",T$24,"DEEP_PERIOD_OVERRIDE",$H$19)*1,"")))</f>
        <v/>
      </c>
      <c r="U295" t="str">
        <f>IF(OR(U$23="",ISNA($B295)),"",IF(ISBLANK($B295),"",IFERROR(_xll.BDP(TICKER,"DEEP_MEASURE_PERIOD_BROKER_VALUE","DEEP_MEASURE_ID_OVERRIDE",$C295,"DEEP_BROKER_ID_OVERRIDE",U$24,"DEEP_PERIOD_OVERRIDE",$H$19)*1,"")))</f>
        <v/>
      </c>
      <c r="V295" t="str">
        <f>IF(OR(V$23="",ISNA($B295)),"",IF(ISBLANK($B295),"",IFERROR(_xll.BDP(TICKER,"DEEP_MEASURE_PERIOD_BROKER_VALUE","DEEP_MEASURE_ID_OVERRIDE",$C295,"DEEP_BROKER_ID_OVERRIDE",V$24,"DEEP_PERIOD_OVERRIDE",$H$19)*1,"")))</f>
        <v/>
      </c>
      <c r="W295" t="str">
        <f>IF(OR(W$23="",ISNA($B295)),"",IF(ISBLANK($B295),"",IFERROR(_xll.BDP(TICKER,"DEEP_MEASURE_PERIOD_BROKER_VALUE","DEEP_MEASURE_ID_OVERRIDE",$C295,"DEEP_BROKER_ID_OVERRIDE",W$24,"DEEP_PERIOD_OVERRIDE",$H$19)*1,"")))</f>
        <v/>
      </c>
      <c r="X295" t="str">
        <f>IF(OR(X$23="",ISNA($B295)),"",IF(ISBLANK($B295),"",IFERROR(_xll.BDP(TICKER,"DEEP_MEASURE_PERIOD_BROKER_VALUE","DEEP_MEASURE_ID_OVERRIDE",$C295,"DEEP_BROKER_ID_OVERRIDE",X$24,"DEEP_PERIOD_OVERRIDE",$H$19)*1,"")))</f>
        <v/>
      </c>
      <c r="Y295" t="str">
        <f>IF(OR(Y$23="",ISNA($B295)),"",IF(ISBLANK($B295),"",IFERROR(_xll.BDP(TICKER,"DEEP_MEASURE_PERIOD_BROKER_VALUE","DEEP_MEASURE_ID_OVERRIDE",$C295,"DEEP_BROKER_ID_OVERRIDE",Y$24,"DEEP_PERIOD_OVERRIDE",$H$19)*1,"")))</f>
        <v/>
      </c>
      <c r="Z295" t="str">
        <f>IF(OR(Z$23="",ISNA($B295)),"",IF(ISBLANK($B295),"",IFERROR(_xll.BDP(TICKER,"DEEP_MEASURE_PERIOD_BROKER_VALUE","DEEP_MEASURE_ID_OVERRIDE",$C295,"DEEP_BROKER_ID_OVERRIDE",Z$24,"DEEP_PERIOD_OVERRIDE",$H$19)*1,"")))</f>
        <v/>
      </c>
      <c r="AA295" t="str">
        <f>IF(OR(AA$23="",ISNA($B295)),"",IF(ISBLANK($B295),"",IFERROR(_xll.BDP(TICKER,"DEEP_MEASURE_PERIOD_BROKER_VALUE","DEEP_MEASURE_ID_OVERRIDE",$C295,"DEEP_BROKER_ID_OVERRIDE",AA$24,"DEEP_PERIOD_OVERRIDE",$H$19)*1,"")))</f>
        <v/>
      </c>
      <c r="AB295" t="str">
        <f>IF(OR(AB$23="",ISNA($B295)),"",IF(ISBLANK($B295),"",IFERROR(_xll.BDP(TICKER,"DEEP_MEASURE_PERIOD_BROKER_VALUE","DEEP_MEASURE_ID_OVERRIDE",$C295,"DEEP_BROKER_ID_OVERRIDE",AB$24,"DEEP_PERIOD_OVERRIDE",$H$19)*1,"")))</f>
        <v/>
      </c>
      <c r="AC295" t="str">
        <f>IF(OR(AC$23="",ISNA($B295)),"",IF(ISBLANK($B295),"",IFERROR(_xll.BDP(TICKER,"DEEP_MEASURE_PERIOD_BROKER_VALUE","DEEP_MEASURE_ID_OVERRIDE",$C295,"DEEP_BROKER_ID_OVERRIDE",AC$24,"DEEP_PERIOD_OVERRIDE",$H$19)*1,"")))</f>
        <v/>
      </c>
      <c r="AD295" t="str">
        <f>IF(OR(AD$23="",ISNA($B295)),"",IF(ISBLANK($B295),"",IFERROR(_xll.BDP(TICKER,"DEEP_MEASURE_PERIOD_BROKER_VALUE","DEEP_MEASURE_ID_OVERRIDE",$C295,"DEEP_BROKER_ID_OVERRIDE",AD$24,"DEEP_PERIOD_OVERRIDE",$H$19)*1,"")))</f>
        <v/>
      </c>
      <c r="AE295" t="str">
        <f>IF(OR(AE$23="",ISNA($B295)),"",IF(ISBLANK($B295),"",IFERROR(_xll.BDP(TICKER,"DEEP_MEASURE_PERIOD_BROKER_VALUE","DEEP_MEASURE_ID_OVERRIDE",$C295,"DEEP_BROKER_ID_OVERRIDE",AE$24,"DEEP_PERIOD_OVERRIDE",$H$19)*1,"")))</f>
        <v/>
      </c>
      <c r="AF295" t="str">
        <f>IF(OR(AF$23="",ISNA($B295)),"",IF(ISBLANK($B295),"",IFERROR(_xll.BDP(TICKER,"DEEP_MEASURE_PERIOD_BROKER_VALUE","DEEP_MEASURE_ID_OVERRIDE",$C295,"DEEP_BROKER_ID_OVERRIDE",AF$24,"DEEP_PERIOD_OVERRIDE",$H$19)*1,"")))</f>
        <v/>
      </c>
      <c r="AG295" t="str">
        <f>IF(OR(AG$23="",ISNA($B295)),"",IF(ISBLANK($B295),"",IFERROR(_xll.BDP(TICKER,"DEEP_MEASURE_PERIOD_BROKER_VALUE","DEEP_MEASURE_ID_OVERRIDE",$C295,"DEEP_BROKER_ID_OVERRIDE",AG$24,"DEEP_PERIOD_OVERRIDE",$H$19)*1,"")))</f>
        <v/>
      </c>
      <c r="AH295" t="str">
        <f>IF(OR(AH$23="",ISNA($B295)),"",IF(ISBLANK($B295),"",IFERROR(_xll.BDP(TICKER,"DEEP_MEASURE_PERIOD_BROKER_VALUE","DEEP_MEASURE_ID_OVERRIDE",$C295,"DEEP_BROKER_ID_OVERRIDE",AH$24,"DEEP_PERIOD_OVERRIDE",$H$19)*1,"")))</f>
        <v/>
      </c>
      <c r="AI295" t="str">
        <f>IF(OR(AI$23="",ISNA($B295)),"",IF(ISBLANK($B295),"",IFERROR(_xll.BDP(TICKER,"DEEP_MEASURE_PERIOD_BROKER_VALUE","DEEP_MEASURE_ID_OVERRIDE",$C295,"DEEP_BROKER_ID_OVERRIDE",AI$24,"DEEP_PERIOD_OVERRIDE",$H$19)*1,"")))</f>
        <v/>
      </c>
      <c r="AJ295" t="str">
        <f>IF(OR(AJ$23="",ISNA($B295)),"",IF(ISBLANK($B295),"",IFERROR(_xll.BDP(TICKER,"DEEP_MEASURE_PERIOD_BROKER_VALUE","DEEP_MEASURE_ID_OVERRIDE",$C295,"DEEP_BROKER_ID_OVERRIDE",AJ$24,"DEEP_PERIOD_OVERRIDE",$H$19)*1,"")))</f>
        <v/>
      </c>
      <c r="AK295" t="str">
        <f>IF(OR(AK$23="",ISNA($B295)),"",IF(ISBLANK($B295),"",IFERROR(_xll.BDP(TICKER,"DEEP_MEASURE_PERIOD_BROKER_VALUE","DEEP_MEASURE_ID_OVERRIDE",$C295,"DEEP_BROKER_ID_OVERRIDE",AK$24,"DEEP_PERIOD_OVERRIDE",$H$19)*1,"")))</f>
        <v/>
      </c>
      <c r="AL295" t="str">
        <f>IF(OR(AL$23="",ISNA($B295)),"",IF(ISBLANK($B295),"",IFERROR(_xll.BDP(TICKER,"DEEP_MEASURE_PERIOD_BROKER_VALUE","DEEP_MEASURE_ID_OVERRIDE",$C295,"DEEP_BROKER_ID_OVERRIDE",AL$24,"DEEP_PERIOD_OVERRIDE",$H$19)*1,"")))</f>
        <v/>
      </c>
      <c r="AM295" t="str">
        <f>IF(OR(AM$23="",ISNA($B295)),"",IF(ISBLANK($B295),"",IFERROR(_xll.BDP(TICKER,"DEEP_MEASURE_PERIOD_BROKER_VALUE","DEEP_MEASURE_ID_OVERRIDE",$C295,"DEEP_BROKER_ID_OVERRIDE",AM$24,"DEEP_PERIOD_OVERRIDE",$H$19)*1,"")))</f>
        <v/>
      </c>
      <c r="AN295" t="str">
        <f>IF(OR(AN$23="",ISNA($B295)),"",IF(ISBLANK($B295),"",IFERROR(_xll.BDP(TICKER,"DEEP_MEASURE_PERIOD_BROKER_VALUE","DEEP_MEASURE_ID_OVERRIDE",$C295,"DEEP_BROKER_ID_OVERRIDE",AN$24,"DEEP_PERIOD_OVERRIDE",$H$19)*1,"")))</f>
        <v/>
      </c>
      <c r="AO295" t="str">
        <f>IF(OR(AO$23="",ISNA($B295)),"",IF(ISBLANK($B295),"",IFERROR(_xll.BDP(TICKER,"DEEP_MEASURE_PERIOD_BROKER_VALUE","DEEP_MEASURE_ID_OVERRIDE",$C295,"DEEP_BROKER_ID_OVERRIDE",AO$24,"DEEP_PERIOD_OVERRIDE",$H$19)*1,"")))</f>
        <v/>
      </c>
      <c r="AP295" t="str">
        <f>IF(OR(AP$23="",ISNA($B295)),"",IF(ISBLANK($B295),"",IFERROR(_xll.BDP(TICKER,"DEEP_MEASURE_PERIOD_BROKER_VALUE","DEEP_MEASURE_ID_OVERRIDE",$C295,"DEEP_BROKER_ID_OVERRIDE",AP$24,"DEEP_PERIOD_OVERRIDE",$H$19)*1,"")))</f>
        <v/>
      </c>
      <c r="AQ295" t="str">
        <f>IF(OR(AQ$23="",ISNA($B295)),"",IF(ISBLANK($B295),"",IFERROR(_xll.BDP(TICKER,"DEEP_MEASURE_PERIOD_BROKER_VALUE","DEEP_MEASURE_ID_OVERRIDE",$C295,"DEEP_BROKER_ID_OVERRIDE",AQ$24,"DEEP_PERIOD_OVERRIDE",$H$19)*1,"")))</f>
        <v/>
      </c>
      <c r="AR295" t="str">
        <f>IF(OR(AR$23="",ISNA($B295)),"",IF(ISBLANK($B295),"",IFERROR(_xll.BDP(TICKER,"DEEP_MEASURE_PERIOD_BROKER_VALUE","DEEP_MEASURE_ID_OVERRIDE",$C295,"DEEP_BROKER_ID_OVERRIDE",AR$24,"DEEP_PERIOD_OVERRIDE",$H$19)*1,"")))</f>
        <v/>
      </c>
      <c r="AS295" t="str">
        <f>IF(OR(AS$23="",ISNA($B295)),"",IF(ISBLANK($B295),"",IFERROR(_xll.BDP(TICKER,"DEEP_MEASURE_PERIOD_BROKER_VALUE","DEEP_MEASURE_ID_OVERRIDE",$C295,"DEEP_BROKER_ID_OVERRIDE",AS$24,"DEEP_PERIOD_OVERRIDE",$H$19)*1,"")))</f>
        <v/>
      </c>
      <c r="AT295" t="str">
        <f>IF(OR(AT$23="",ISNA($B295)),"",IF(ISBLANK($B295),"",IFERROR(_xll.BDP(TICKER,"DEEP_MEASURE_PERIOD_BROKER_VALUE","DEEP_MEASURE_ID_OVERRIDE",$C295,"DEEP_BROKER_ID_OVERRIDE",AT$24,"DEEP_PERIOD_OVERRIDE",$H$19)*1,"")))</f>
        <v/>
      </c>
      <c r="AU295" t="str">
        <f>IF(OR(AU$23="",ISNA($B295)),"",IF(ISBLANK($B295),"",IFERROR(_xll.BDP(TICKER,"DEEP_MEASURE_PERIOD_BROKER_VALUE","DEEP_MEASURE_ID_OVERRIDE",$C295,"DEEP_BROKER_ID_OVERRIDE",AU$24,"DEEP_PERIOD_OVERRIDE",$H$19)*1,"")))</f>
        <v/>
      </c>
      <c r="AV295" t="str">
        <f>IF(OR(AV$23="",ISNA($B295)),"",IF(ISBLANK($B295),"",IFERROR(_xll.BDP(TICKER,"DEEP_MEASURE_PERIOD_BROKER_VALUE","DEEP_MEASURE_ID_OVERRIDE",$C295,"DEEP_BROKER_ID_OVERRIDE",AV$24,"DEEP_PERIOD_OVERRIDE",$H$19)*1,"")))</f>
        <v/>
      </c>
      <c r="AW295" t="str">
        <f>IF(OR(AW$23="",ISNA($B295)),"",IF(ISBLANK($B295),"",IFERROR(_xll.BDP(TICKER,"DEEP_MEASURE_PERIOD_BROKER_VALUE","DEEP_MEASURE_ID_OVERRIDE",$C295,"DEEP_BROKER_ID_OVERRIDE",AW$24,"DEEP_PERIOD_OVERRIDE",$H$19)*1,"")))</f>
        <v/>
      </c>
      <c r="AX295" t="str">
        <f>IF(OR(AX$23="",ISNA($B295)),"",IF(ISBLANK($B295),"",IFERROR(_xll.BDP(TICKER,"DEEP_MEASURE_PERIOD_BROKER_VALUE","DEEP_MEASURE_ID_OVERRIDE",$C295,"DEEP_BROKER_ID_OVERRIDE",AX$24,"DEEP_PERIOD_OVERRIDE",$H$19)*1,"")))</f>
        <v/>
      </c>
      <c r="AY295" t="str">
        <f>IF(OR(AY$23="",ISNA($B295)),"",IF(ISBLANK($B295),"",IFERROR(_xll.BDP(TICKER,"DEEP_MEASURE_PERIOD_BROKER_VALUE","DEEP_MEASURE_ID_OVERRIDE",$C295,"DEEP_BROKER_ID_OVERRIDE",AY$24,"DEEP_PERIOD_OVERRIDE",$H$19)*1,"")))</f>
        <v/>
      </c>
      <c r="AZ295" t="str">
        <f>IF(OR(AZ$23="",ISNA($B295)),"",IF(ISBLANK($B295),"",IFERROR(_xll.BDP(TICKER,"DEEP_MEASURE_PERIOD_BROKER_VALUE","DEEP_MEASURE_ID_OVERRIDE",$C295,"DEEP_BROKER_ID_OVERRIDE",AZ$24,"DEEP_PERIOD_OVERRIDE",$H$19)*1,"")))</f>
        <v/>
      </c>
      <c r="BA295" t="str">
        <f>IF(OR(BA$23="",ISNA($B295)),"",IF(ISBLANK($B295),"",IFERROR(_xll.BDP(TICKER,"DEEP_MEASURE_PERIOD_BROKER_VALUE","DEEP_MEASURE_ID_OVERRIDE",$C295,"DEEP_BROKER_ID_OVERRIDE",BA$24,"DEEP_PERIOD_OVERRIDE",$H$19)*1,"")))</f>
        <v/>
      </c>
      <c r="BB295" t="str">
        <f>IF(OR(BB$23="",ISNA($B295)),"",IF(ISBLANK($B295),"",IFERROR(_xll.BDP(TICKER,"DEEP_MEASURE_PERIOD_BROKER_VALUE","DEEP_MEASURE_ID_OVERRIDE",$C295,"DEEP_BROKER_ID_OVERRIDE",BB$24,"DEEP_PERIOD_OVERRIDE",$H$19)*1,"")))</f>
        <v/>
      </c>
      <c r="BC295" t="str">
        <f>IF(OR(BC$23="",ISNA($B295)),"",IF(ISBLANK($B295),"",IFERROR(_xll.BDP(TICKER,"DEEP_MEASURE_PERIOD_BROKER_VALUE","DEEP_MEASURE_ID_OVERRIDE",$C295,"DEEP_BROKER_ID_OVERRIDE",BC$24,"DEEP_PERIOD_OVERRIDE",$H$19)*1,"")))</f>
        <v/>
      </c>
      <c r="BD295" t="str">
        <f>IF(OR(BD$23="",ISNA($B295)),"",IF(ISBLANK($B295),"",IFERROR(_xll.BDP(TICKER,"DEEP_MEASURE_PERIOD_BROKER_VALUE","DEEP_MEASURE_ID_OVERRIDE",$C295,"DEEP_BROKER_ID_OVERRIDE",BD$24,"DEEP_PERIOD_OVERRIDE",$H$19)*1,"")))</f>
        <v/>
      </c>
      <c r="BE295" t="str">
        <f>IF(OR(BE$23="",ISNA($B295)),"",IF(ISBLANK($B295),"",IFERROR(_xll.BDP(TICKER,"DEEP_MEASURE_PERIOD_BROKER_VALUE","DEEP_MEASURE_ID_OVERRIDE",$C295,"DEEP_BROKER_ID_OVERRIDE",BE$24,"DEEP_PERIOD_OVERRIDE",$H$19)*1,"")))</f>
        <v/>
      </c>
      <c r="BF295" t="str">
        <f>IF(OR(BF$23="",ISNA($B295)),"",IF(ISBLANK($B295),"",IFERROR(_xll.BDP(TICKER,"DEEP_MEASURE_PERIOD_BROKER_VALUE","DEEP_MEASURE_ID_OVERRIDE",$C295,"DEEP_BROKER_ID_OVERRIDE",BF$24,"DEEP_PERIOD_OVERRIDE",$H$19)*1,"")))</f>
        <v/>
      </c>
      <c r="BG295" t="str">
        <f>IF(OR(BG$23="",ISNA($B295)),"",IF(ISBLANK($B295),"",IFERROR(_xll.BDP(TICKER,"DEEP_MEASURE_PERIOD_BROKER_VALUE","DEEP_MEASURE_ID_OVERRIDE",$C295,"DEEP_BROKER_ID_OVERRIDE",BG$24,"DEEP_PERIOD_OVERRIDE",$H$19)*1,"")))</f>
        <v/>
      </c>
      <c r="BH295" t="str">
        <f>IF(OR(BH$23="",ISNA($B295)),"",IF(ISBLANK($B295),"",IFERROR(_xll.BDP(TICKER,"DEEP_MEASURE_PERIOD_BROKER_VALUE","DEEP_MEASURE_ID_OVERRIDE",$C295,"DEEP_BROKER_ID_OVERRIDE",BH$24,"DEEP_PERIOD_OVERRIDE",$H$19)*1,"")))</f>
        <v/>
      </c>
      <c r="BI295" t="str">
        <f>IF(OR(BI$23="",ISNA($B295)),"",IF(ISBLANK($B295),"",IFERROR(_xll.BDP(TICKER,"DEEP_MEASURE_PERIOD_BROKER_VALUE","DEEP_MEASURE_ID_OVERRIDE",$C295,"DEEP_BROKER_ID_OVERRIDE",BI$24,"DEEP_PERIOD_OVERRIDE",$H$19)*1,"")))</f>
        <v/>
      </c>
      <c r="BJ295" t="str">
        <f>IF(OR(BJ$23="",ISNA($B295)),"",IF(ISBLANK($B295),"",IFERROR(_xll.BDP(TICKER,"DEEP_MEASURE_PERIOD_BROKER_VALUE","DEEP_MEASURE_ID_OVERRIDE",$C295,"DEEP_BROKER_ID_OVERRIDE",BJ$24,"DEEP_PERIOD_OVERRIDE",$H$19)*1,"")))</f>
        <v/>
      </c>
      <c r="BK295" t="str">
        <f>IF(OR(BK$23="",ISNA($B295)),"",IF(ISBLANK($B295),"",IFERROR(_xll.BDP(TICKER,"DEEP_MEASURE_PERIOD_BROKER_VALUE","DEEP_MEASURE_ID_OVERRIDE",$C295,"DEEP_BROKER_ID_OVERRIDE",BK$24,"DEEP_PERIOD_OVERRIDE",$H$19)*1,"")))</f>
        <v/>
      </c>
      <c r="BL295" t="str">
        <f>IF(OR(BL$23="",ISNA($B295)),"",IF(ISBLANK($B295),"",IFERROR(_xll.BDP(TICKER,"DEEP_MEASURE_PERIOD_BROKER_VALUE","DEEP_MEASURE_ID_OVERRIDE",$C295,"DEEP_BROKER_ID_OVERRIDE",BL$24,"DEEP_PERIOD_OVERRIDE",$H$19)*1,"")))</f>
        <v/>
      </c>
      <c r="BM295" t="str">
        <f>IF(OR(BM$23="",ISNA($B295)),"",IF(ISBLANK($B295),"",IFERROR(_xll.BDP(TICKER,"DEEP_MEASURE_PERIOD_BROKER_VALUE","DEEP_MEASURE_ID_OVERRIDE",$C295,"DEEP_BROKER_ID_OVERRIDE",BM$24,"DEEP_PERIOD_OVERRIDE",$H$19)*1,"")))</f>
        <v/>
      </c>
      <c r="BN295" t="str">
        <f>IF(OR(BN$23="",ISNA($B295)),"",IF(ISBLANK($B295),"",IFERROR(_xll.BDP(TICKER,"DEEP_MEASURE_PERIOD_BROKER_VALUE","DEEP_MEASURE_ID_OVERRIDE",$C295,"DEEP_BROKER_ID_OVERRIDE",BN$24,"DEEP_PERIOD_OVERRIDE",$H$19)*1,"")))</f>
        <v/>
      </c>
      <c r="BO295" t="str">
        <f>IF(OR(BO$23="",ISNA($B295)),"",IF(ISBLANK($B295),"",IFERROR(_xll.BDP(TICKER,"DEEP_MEASURE_PERIOD_BROKER_VALUE","DEEP_MEASURE_ID_OVERRIDE",$C295,"DEEP_BROKER_ID_OVERRIDE",BO$24,"DEEP_PERIOD_OVERRIDE",$H$19)*1,"")))</f>
        <v/>
      </c>
      <c r="BP295" t="str">
        <f>IF(OR(BP$23="",ISNA($B295)),"",IF(ISBLANK($B295),"",IFERROR(_xll.BDP(TICKER,"DEEP_MEASURE_PERIOD_BROKER_VALUE","DEEP_MEASURE_ID_OVERRIDE",$C295,"DEEP_BROKER_ID_OVERRIDE",BP$24,"DEEP_PERIOD_OVERRIDE",$H$19)*1,"")))</f>
        <v/>
      </c>
      <c r="BQ295" t="str">
        <f>IF(OR(BQ$23="",ISNA($B295)),"",IF(ISBLANK($B295),"",IFERROR(_xll.BDP(TICKER,"DEEP_MEASURE_PERIOD_BROKER_VALUE","DEEP_MEASURE_ID_OVERRIDE",$C295,"DEEP_BROKER_ID_OVERRIDE",BQ$24,"DEEP_PERIOD_OVERRIDE",$H$19)*1,"")))</f>
        <v/>
      </c>
      <c r="BR295" t="str">
        <f>IF(OR(BR$23="",ISNA($B295)),"",IF(ISBLANK($B295),"",IFERROR(_xll.BDP(TICKER,"DEEP_MEASURE_PERIOD_BROKER_VALUE","DEEP_MEASURE_ID_OVERRIDE",$C295,"DEEP_BROKER_ID_OVERRIDE",BR$24,"DEEP_PERIOD_OVERRIDE",$H$19)*1,"")))</f>
        <v/>
      </c>
      <c r="BS295" t="str">
        <f>IF(OR(BS$23="",ISNA($B295)),"",IF(ISBLANK($B295),"",IFERROR(_xll.BDP(TICKER,"DEEP_MEASURE_PERIOD_BROKER_VALUE","DEEP_MEASURE_ID_OVERRIDE",$C295,"DEEP_BROKER_ID_OVERRIDE",BS$24,"DEEP_PERIOD_OVERRIDE",$H$19)*1,"")))</f>
        <v/>
      </c>
      <c r="BT295" t="str">
        <f>IF(OR(BT$23="",ISNA($B295)),"",IF(ISBLANK($B295),"",IFERROR(_xll.BDP(TICKER,"DEEP_MEASURE_PERIOD_BROKER_VALUE","DEEP_MEASURE_ID_OVERRIDE",$C295,"DEEP_BROKER_ID_OVERRIDE",BT$24,"DEEP_PERIOD_OVERRIDE",$H$19)*1,"")))</f>
        <v/>
      </c>
      <c r="BU295" t="str">
        <f>IF(OR(BU$23="",ISNA($B295)),"",IF(ISBLANK($B295),"",IFERROR(_xll.BDP(TICKER,"DEEP_MEASURE_PERIOD_BROKER_VALUE","DEEP_MEASURE_ID_OVERRIDE",$C295,"DEEP_BROKER_ID_OVERRIDE",BU$24,"DEEP_PERIOD_OVERRIDE",$H$19)*1,"")))</f>
        <v/>
      </c>
      <c r="BV295" t="str">
        <f>IF(OR(BV$23="",ISNA($B295)),"",IF(ISBLANK($B295),"",IFERROR(_xll.BDP(TICKER,"DEEP_MEASURE_PERIOD_BROKER_VALUE","DEEP_MEASURE_ID_OVERRIDE",$C295,"DEEP_BROKER_ID_OVERRIDE",BV$24,"DEEP_PERIOD_OVERRIDE",$H$19)*1,"")))</f>
        <v/>
      </c>
      <c r="BW295" t="str">
        <f>IF(OR(BW$23="",ISNA($B295)),"",IF(ISBLANK($B295),"",IFERROR(_xll.BDP(TICKER,"DEEP_MEASURE_PERIOD_BROKER_VALUE","DEEP_MEASURE_ID_OVERRIDE",$C295,"DEEP_BROKER_ID_OVERRIDE",BW$24,"DEEP_PERIOD_OVERRIDE",$H$19)*1,"")))</f>
        <v/>
      </c>
      <c r="BX295" t="str">
        <f>IF(OR(BX$23="",ISNA($B295)),"",IF(ISBLANK($B295),"",IFERROR(_xll.BDP(TICKER,"DEEP_MEASURE_PERIOD_BROKER_VALUE","DEEP_MEASURE_ID_OVERRIDE",$C295,"DEEP_BROKER_ID_OVERRIDE",BX$24,"DEEP_PERIOD_OVERRIDE",$H$19)*1,"")))</f>
        <v/>
      </c>
      <c r="BY295" t="str">
        <f>IF(OR(BY$23="",ISNA($B295)),"",IF(ISBLANK($B295),"",IFERROR(_xll.BDP(TICKER,"DEEP_MEASURE_PERIOD_BROKER_VALUE","DEEP_MEASURE_ID_OVERRIDE",$C295,"DEEP_BROKER_ID_OVERRIDE",BY$24,"DEEP_PERIOD_OVERRIDE",$H$19)*1,"")))</f>
        <v/>
      </c>
      <c r="BZ295" t="str">
        <f>IF(OR(BZ$23="",ISNA($B295)),"",IF(ISBLANK($B295),"",IFERROR(_xll.BDP(TICKER,"DEEP_MEASURE_PERIOD_BROKER_VALUE","DEEP_MEASURE_ID_OVERRIDE",$C295,"DEEP_BROKER_ID_OVERRIDE",BZ$24,"DEEP_PERIOD_OVERRIDE",$H$19)*1,"")))</f>
        <v/>
      </c>
    </row>
    <row r="296" spans="8:78" x14ac:dyDescent="0.25">
      <c r="H296" t="str">
        <f t="shared" si="5"/>
        <v/>
      </c>
      <c r="I296" t="str">
        <f>IF(OR(I$23="",ISNA($B296)),"",IF(ISBLANK($B296),"",IFERROR(_xll.BDP(TICKER,"DEEP_MEASURE_PERIOD_BROKER_VALUE","DEEP_MEASURE_ID_OVERRIDE",$C296,"DEEP_PERIOD_OVERRIDE",$H$19)*1,"")))</f>
        <v/>
      </c>
      <c r="J296" t="e">
        <f>IF(OR(J$23="",ISNA($B296)),"",IF(ISBLANK($B296),"",IFERROR(_xll.BDP(TICKER,"DEEP_MEASURE_PERIOD_BROKER_VALUE","DEEP_MEASURE_ID_OVERRIDE",$C296,"DEEP_BROKER_ID_OVERRIDE",J$24,"DEEP_PERIOD_OVERRIDE",$H$19)*1,"")))</f>
        <v>#REF!</v>
      </c>
      <c r="K296" t="str">
        <f>IF(OR(K$23="",ISNA($B296)),"",IF(ISBLANK($B296),"",IFERROR(_xll.BDP(TICKER,"DEEP_MEASURE_PERIOD_BROKER_VALUE","DEEP_MEASURE_ID_OVERRIDE",$C296,"DEEP_BROKER_ID_OVERRIDE",K$24,"DEEP_PERIOD_OVERRIDE",$H$19)*1,"")))</f>
        <v/>
      </c>
      <c r="L296" t="str">
        <f>IF(OR(L$23="",ISNA($B296)),"",IF(ISBLANK($B296),"",IFERROR(_xll.BDP(TICKER,"DEEP_MEASURE_PERIOD_BROKER_VALUE","DEEP_MEASURE_ID_OVERRIDE",$C296,"DEEP_BROKER_ID_OVERRIDE",L$24,"DEEP_PERIOD_OVERRIDE",$H$19)*1,"")))</f>
        <v/>
      </c>
      <c r="M296" t="str">
        <f>IF(OR(M$23="",ISNA($B296)),"",IF(ISBLANK($B296),"",IFERROR(_xll.BDP(TICKER,"DEEP_MEASURE_PERIOD_BROKER_VALUE","DEEP_MEASURE_ID_OVERRIDE",$C296,"DEEP_BROKER_ID_OVERRIDE",M$24,"DEEP_PERIOD_OVERRIDE",$H$19)*1,"")))</f>
        <v/>
      </c>
      <c r="N296" t="str">
        <f>IF(OR(N$23="",ISNA($B296)),"",IF(ISBLANK($B296),"",IFERROR(_xll.BDP(TICKER,"DEEP_MEASURE_PERIOD_BROKER_VALUE","DEEP_MEASURE_ID_OVERRIDE",$C296,"DEEP_BROKER_ID_OVERRIDE",N$24,"DEEP_PERIOD_OVERRIDE",$H$19)*1,"")))</f>
        <v/>
      </c>
      <c r="O296" t="str">
        <f>IF(OR(O$23="",ISNA($B296)),"",IF(ISBLANK($B296),"",IFERROR(_xll.BDP(TICKER,"DEEP_MEASURE_PERIOD_BROKER_VALUE","DEEP_MEASURE_ID_OVERRIDE",$C296,"DEEP_BROKER_ID_OVERRIDE",O$24,"DEEP_PERIOD_OVERRIDE",$H$19)*1,"")))</f>
        <v/>
      </c>
      <c r="P296" t="str">
        <f>IF(OR(P$23="",ISNA($B296)),"",IF(ISBLANK($B296),"",IFERROR(_xll.BDP(TICKER,"DEEP_MEASURE_PERIOD_BROKER_VALUE","DEEP_MEASURE_ID_OVERRIDE",$C296,"DEEP_BROKER_ID_OVERRIDE",P$24,"DEEP_PERIOD_OVERRIDE",$H$19)*1,"")))</f>
        <v/>
      </c>
      <c r="Q296" t="str">
        <f>IF(OR(Q$23="",ISNA($B296)),"",IF(ISBLANK($B296),"",IFERROR(_xll.BDP(TICKER,"DEEP_MEASURE_PERIOD_BROKER_VALUE","DEEP_MEASURE_ID_OVERRIDE",$C296,"DEEP_BROKER_ID_OVERRIDE",Q$24,"DEEP_PERIOD_OVERRIDE",$H$19)*1,"")))</f>
        <v/>
      </c>
      <c r="R296" t="str">
        <f>IF(OR(R$23="",ISNA($B296)),"",IF(ISBLANK($B296),"",IFERROR(_xll.BDP(TICKER,"DEEP_MEASURE_PERIOD_BROKER_VALUE","DEEP_MEASURE_ID_OVERRIDE",$C296,"DEEP_BROKER_ID_OVERRIDE",R$24,"DEEP_PERIOD_OVERRIDE",$H$19)*1,"")))</f>
        <v/>
      </c>
      <c r="S296" t="str">
        <f>IF(OR(S$23="",ISNA($B296)),"",IF(ISBLANK($B296),"",IFERROR(_xll.BDP(TICKER,"DEEP_MEASURE_PERIOD_BROKER_VALUE","DEEP_MEASURE_ID_OVERRIDE",$C296,"DEEP_BROKER_ID_OVERRIDE",S$24,"DEEP_PERIOD_OVERRIDE",$H$19)*1,"")))</f>
        <v/>
      </c>
      <c r="T296" t="str">
        <f>IF(OR(T$23="",ISNA($B296)),"",IF(ISBLANK($B296),"",IFERROR(_xll.BDP(TICKER,"DEEP_MEASURE_PERIOD_BROKER_VALUE","DEEP_MEASURE_ID_OVERRIDE",$C296,"DEEP_BROKER_ID_OVERRIDE",T$24,"DEEP_PERIOD_OVERRIDE",$H$19)*1,"")))</f>
        <v/>
      </c>
      <c r="U296" t="str">
        <f>IF(OR(U$23="",ISNA($B296)),"",IF(ISBLANK($B296),"",IFERROR(_xll.BDP(TICKER,"DEEP_MEASURE_PERIOD_BROKER_VALUE","DEEP_MEASURE_ID_OVERRIDE",$C296,"DEEP_BROKER_ID_OVERRIDE",U$24,"DEEP_PERIOD_OVERRIDE",$H$19)*1,"")))</f>
        <v/>
      </c>
      <c r="V296" t="str">
        <f>IF(OR(V$23="",ISNA($B296)),"",IF(ISBLANK($B296),"",IFERROR(_xll.BDP(TICKER,"DEEP_MEASURE_PERIOD_BROKER_VALUE","DEEP_MEASURE_ID_OVERRIDE",$C296,"DEEP_BROKER_ID_OVERRIDE",V$24,"DEEP_PERIOD_OVERRIDE",$H$19)*1,"")))</f>
        <v/>
      </c>
      <c r="W296" t="str">
        <f>IF(OR(W$23="",ISNA($B296)),"",IF(ISBLANK($B296),"",IFERROR(_xll.BDP(TICKER,"DEEP_MEASURE_PERIOD_BROKER_VALUE","DEEP_MEASURE_ID_OVERRIDE",$C296,"DEEP_BROKER_ID_OVERRIDE",W$24,"DEEP_PERIOD_OVERRIDE",$H$19)*1,"")))</f>
        <v/>
      </c>
      <c r="X296" t="str">
        <f>IF(OR(X$23="",ISNA($B296)),"",IF(ISBLANK($B296),"",IFERROR(_xll.BDP(TICKER,"DEEP_MEASURE_PERIOD_BROKER_VALUE","DEEP_MEASURE_ID_OVERRIDE",$C296,"DEEP_BROKER_ID_OVERRIDE",X$24,"DEEP_PERIOD_OVERRIDE",$H$19)*1,"")))</f>
        <v/>
      </c>
      <c r="Y296" t="str">
        <f>IF(OR(Y$23="",ISNA($B296)),"",IF(ISBLANK($B296),"",IFERROR(_xll.BDP(TICKER,"DEEP_MEASURE_PERIOD_BROKER_VALUE","DEEP_MEASURE_ID_OVERRIDE",$C296,"DEEP_BROKER_ID_OVERRIDE",Y$24,"DEEP_PERIOD_OVERRIDE",$H$19)*1,"")))</f>
        <v/>
      </c>
      <c r="Z296" t="str">
        <f>IF(OR(Z$23="",ISNA($B296)),"",IF(ISBLANK($B296),"",IFERROR(_xll.BDP(TICKER,"DEEP_MEASURE_PERIOD_BROKER_VALUE","DEEP_MEASURE_ID_OVERRIDE",$C296,"DEEP_BROKER_ID_OVERRIDE",Z$24,"DEEP_PERIOD_OVERRIDE",$H$19)*1,"")))</f>
        <v/>
      </c>
      <c r="AA296" t="str">
        <f>IF(OR(AA$23="",ISNA($B296)),"",IF(ISBLANK($B296),"",IFERROR(_xll.BDP(TICKER,"DEEP_MEASURE_PERIOD_BROKER_VALUE","DEEP_MEASURE_ID_OVERRIDE",$C296,"DEEP_BROKER_ID_OVERRIDE",AA$24,"DEEP_PERIOD_OVERRIDE",$H$19)*1,"")))</f>
        <v/>
      </c>
      <c r="AB296" t="str">
        <f>IF(OR(AB$23="",ISNA($B296)),"",IF(ISBLANK($B296),"",IFERROR(_xll.BDP(TICKER,"DEEP_MEASURE_PERIOD_BROKER_VALUE","DEEP_MEASURE_ID_OVERRIDE",$C296,"DEEP_BROKER_ID_OVERRIDE",AB$24,"DEEP_PERIOD_OVERRIDE",$H$19)*1,"")))</f>
        <v/>
      </c>
      <c r="AC296" t="str">
        <f>IF(OR(AC$23="",ISNA($B296)),"",IF(ISBLANK($B296),"",IFERROR(_xll.BDP(TICKER,"DEEP_MEASURE_PERIOD_BROKER_VALUE","DEEP_MEASURE_ID_OVERRIDE",$C296,"DEEP_BROKER_ID_OVERRIDE",AC$24,"DEEP_PERIOD_OVERRIDE",$H$19)*1,"")))</f>
        <v/>
      </c>
      <c r="AD296" t="str">
        <f>IF(OR(AD$23="",ISNA($B296)),"",IF(ISBLANK($B296),"",IFERROR(_xll.BDP(TICKER,"DEEP_MEASURE_PERIOD_BROKER_VALUE","DEEP_MEASURE_ID_OVERRIDE",$C296,"DEEP_BROKER_ID_OVERRIDE",AD$24,"DEEP_PERIOD_OVERRIDE",$H$19)*1,"")))</f>
        <v/>
      </c>
      <c r="AE296" t="str">
        <f>IF(OR(AE$23="",ISNA($B296)),"",IF(ISBLANK($B296),"",IFERROR(_xll.BDP(TICKER,"DEEP_MEASURE_PERIOD_BROKER_VALUE","DEEP_MEASURE_ID_OVERRIDE",$C296,"DEEP_BROKER_ID_OVERRIDE",AE$24,"DEEP_PERIOD_OVERRIDE",$H$19)*1,"")))</f>
        <v/>
      </c>
      <c r="AF296" t="str">
        <f>IF(OR(AF$23="",ISNA($B296)),"",IF(ISBLANK($B296),"",IFERROR(_xll.BDP(TICKER,"DEEP_MEASURE_PERIOD_BROKER_VALUE","DEEP_MEASURE_ID_OVERRIDE",$C296,"DEEP_BROKER_ID_OVERRIDE",AF$24,"DEEP_PERIOD_OVERRIDE",$H$19)*1,"")))</f>
        <v/>
      </c>
      <c r="AG296" t="str">
        <f>IF(OR(AG$23="",ISNA($B296)),"",IF(ISBLANK($B296),"",IFERROR(_xll.BDP(TICKER,"DEEP_MEASURE_PERIOD_BROKER_VALUE","DEEP_MEASURE_ID_OVERRIDE",$C296,"DEEP_BROKER_ID_OVERRIDE",AG$24,"DEEP_PERIOD_OVERRIDE",$H$19)*1,"")))</f>
        <v/>
      </c>
      <c r="AH296" t="str">
        <f>IF(OR(AH$23="",ISNA($B296)),"",IF(ISBLANK($B296),"",IFERROR(_xll.BDP(TICKER,"DEEP_MEASURE_PERIOD_BROKER_VALUE","DEEP_MEASURE_ID_OVERRIDE",$C296,"DEEP_BROKER_ID_OVERRIDE",AH$24,"DEEP_PERIOD_OVERRIDE",$H$19)*1,"")))</f>
        <v/>
      </c>
      <c r="AI296" t="str">
        <f>IF(OR(AI$23="",ISNA($B296)),"",IF(ISBLANK($B296),"",IFERROR(_xll.BDP(TICKER,"DEEP_MEASURE_PERIOD_BROKER_VALUE","DEEP_MEASURE_ID_OVERRIDE",$C296,"DEEP_BROKER_ID_OVERRIDE",AI$24,"DEEP_PERIOD_OVERRIDE",$H$19)*1,"")))</f>
        <v/>
      </c>
      <c r="AJ296" t="str">
        <f>IF(OR(AJ$23="",ISNA($B296)),"",IF(ISBLANK($B296),"",IFERROR(_xll.BDP(TICKER,"DEEP_MEASURE_PERIOD_BROKER_VALUE","DEEP_MEASURE_ID_OVERRIDE",$C296,"DEEP_BROKER_ID_OVERRIDE",AJ$24,"DEEP_PERIOD_OVERRIDE",$H$19)*1,"")))</f>
        <v/>
      </c>
      <c r="AK296" t="str">
        <f>IF(OR(AK$23="",ISNA($B296)),"",IF(ISBLANK($B296),"",IFERROR(_xll.BDP(TICKER,"DEEP_MEASURE_PERIOD_BROKER_VALUE","DEEP_MEASURE_ID_OVERRIDE",$C296,"DEEP_BROKER_ID_OVERRIDE",AK$24,"DEEP_PERIOD_OVERRIDE",$H$19)*1,"")))</f>
        <v/>
      </c>
      <c r="AL296" t="str">
        <f>IF(OR(AL$23="",ISNA($B296)),"",IF(ISBLANK($B296),"",IFERROR(_xll.BDP(TICKER,"DEEP_MEASURE_PERIOD_BROKER_VALUE","DEEP_MEASURE_ID_OVERRIDE",$C296,"DEEP_BROKER_ID_OVERRIDE",AL$24,"DEEP_PERIOD_OVERRIDE",$H$19)*1,"")))</f>
        <v/>
      </c>
      <c r="AM296" t="str">
        <f>IF(OR(AM$23="",ISNA($B296)),"",IF(ISBLANK($B296),"",IFERROR(_xll.BDP(TICKER,"DEEP_MEASURE_PERIOD_BROKER_VALUE","DEEP_MEASURE_ID_OVERRIDE",$C296,"DEEP_BROKER_ID_OVERRIDE",AM$24,"DEEP_PERIOD_OVERRIDE",$H$19)*1,"")))</f>
        <v/>
      </c>
      <c r="AN296" t="str">
        <f>IF(OR(AN$23="",ISNA($B296)),"",IF(ISBLANK($B296),"",IFERROR(_xll.BDP(TICKER,"DEEP_MEASURE_PERIOD_BROKER_VALUE","DEEP_MEASURE_ID_OVERRIDE",$C296,"DEEP_BROKER_ID_OVERRIDE",AN$24,"DEEP_PERIOD_OVERRIDE",$H$19)*1,"")))</f>
        <v/>
      </c>
      <c r="AO296" t="str">
        <f>IF(OR(AO$23="",ISNA($B296)),"",IF(ISBLANK($B296),"",IFERROR(_xll.BDP(TICKER,"DEEP_MEASURE_PERIOD_BROKER_VALUE","DEEP_MEASURE_ID_OVERRIDE",$C296,"DEEP_BROKER_ID_OVERRIDE",AO$24,"DEEP_PERIOD_OVERRIDE",$H$19)*1,"")))</f>
        <v/>
      </c>
      <c r="AP296" t="str">
        <f>IF(OR(AP$23="",ISNA($B296)),"",IF(ISBLANK($B296),"",IFERROR(_xll.BDP(TICKER,"DEEP_MEASURE_PERIOD_BROKER_VALUE","DEEP_MEASURE_ID_OVERRIDE",$C296,"DEEP_BROKER_ID_OVERRIDE",AP$24,"DEEP_PERIOD_OVERRIDE",$H$19)*1,"")))</f>
        <v/>
      </c>
      <c r="AQ296" t="str">
        <f>IF(OR(AQ$23="",ISNA($B296)),"",IF(ISBLANK($B296),"",IFERROR(_xll.BDP(TICKER,"DEEP_MEASURE_PERIOD_BROKER_VALUE","DEEP_MEASURE_ID_OVERRIDE",$C296,"DEEP_BROKER_ID_OVERRIDE",AQ$24,"DEEP_PERIOD_OVERRIDE",$H$19)*1,"")))</f>
        <v/>
      </c>
      <c r="AR296" t="str">
        <f>IF(OR(AR$23="",ISNA($B296)),"",IF(ISBLANK($B296),"",IFERROR(_xll.BDP(TICKER,"DEEP_MEASURE_PERIOD_BROKER_VALUE","DEEP_MEASURE_ID_OVERRIDE",$C296,"DEEP_BROKER_ID_OVERRIDE",AR$24,"DEEP_PERIOD_OVERRIDE",$H$19)*1,"")))</f>
        <v/>
      </c>
      <c r="AS296" t="str">
        <f>IF(OR(AS$23="",ISNA($B296)),"",IF(ISBLANK($B296),"",IFERROR(_xll.BDP(TICKER,"DEEP_MEASURE_PERIOD_BROKER_VALUE","DEEP_MEASURE_ID_OVERRIDE",$C296,"DEEP_BROKER_ID_OVERRIDE",AS$24,"DEEP_PERIOD_OVERRIDE",$H$19)*1,"")))</f>
        <v/>
      </c>
      <c r="AT296" t="str">
        <f>IF(OR(AT$23="",ISNA($B296)),"",IF(ISBLANK($B296),"",IFERROR(_xll.BDP(TICKER,"DEEP_MEASURE_PERIOD_BROKER_VALUE","DEEP_MEASURE_ID_OVERRIDE",$C296,"DEEP_BROKER_ID_OVERRIDE",AT$24,"DEEP_PERIOD_OVERRIDE",$H$19)*1,"")))</f>
        <v/>
      </c>
      <c r="AU296" t="str">
        <f>IF(OR(AU$23="",ISNA($B296)),"",IF(ISBLANK($B296),"",IFERROR(_xll.BDP(TICKER,"DEEP_MEASURE_PERIOD_BROKER_VALUE","DEEP_MEASURE_ID_OVERRIDE",$C296,"DEEP_BROKER_ID_OVERRIDE",AU$24,"DEEP_PERIOD_OVERRIDE",$H$19)*1,"")))</f>
        <v/>
      </c>
      <c r="AV296" t="str">
        <f>IF(OR(AV$23="",ISNA($B296)),"",IF(ISBLANK($B296),"",IFERROR(_xll.BDP(TICKER,"DEEP_MEASURE_PERIOD_BROKER_VALUE","DEEP_MEASURE_ID_OVERRIDE",$C296,"DEEP_BROKER_ID_OVERRIDE",AV$24,"DEEP_PERIOD_OVERRIDE",$H$19)*1,"")))</f>
        <v/>
      </c>
      <c r="AW296" t="str">
        <f>IF(OR(AW$23="",ISNA($B296)),"",IF(ISBLANK($B296),"",IFERROR(_xll.BDP(TICKER,"DEEP_MEASURE_PERIOD_BROKER_VALUE","DEEP_MEASURE_ID_OVERRIDE",$C296,"DEEP_BROKER_ID_OVERRIDE",AW$24,"DEEP_PERIOD_OVERRIDE",$H$19)*1,"")))</f>
        <v/>
      </c>
      <c r="AX296" t="str">
        <f>IF(OR(AX$23="",ISNA($B296)),"",IF(ISBLANK($B296),"",IFERROR(_xll.BDP(TICKER,"DEEP_MEASURE_PERIOD_BROKER_VALUE","DEEP_MEASURE_ID_OVERRIDE",$C296,"DEEP_BROKER_ID_OVERRIDE",AX$24,"DEEP_PERIOD_OVERRIDE",$H$19)*1,"")))</f>
        <v/>
      </c>
      <c r="AY296" t="str">
        <f>IF(OR(AY$23="",ISNA($B296)),"",IF(ISBLANK($B296),"",IFERROR(_xll.BDP(TICKER,"DEEP_MEASURE_PERIOD_BROKER_VALUE","DEEP_MEASURE_ID_OVERRIDE",$C296,"DEEP_BROKER_ID_OVERRIDE",AY$24,"DEEP_PERIOD_OVERRIDE",$H$19)*1,"")))</f>
        <v/>
      </c>
      <c r="AZ296" t="str">
        <f>IF(OR(AZ$23="",ISNA($B296)),"",IF(ISBLANK($B296),"",IFERROR(_xll.BDP(TICKER,"DEEP_MEASURE_PERIOD_BROKER_VALUE","DEEP_MEASURE_ID_OVERRIDE",$C296,"DEEP_BROKER_ID_OVERRIDE",AZ$24,"DEEP_PERIOD_OVERRIDE",$H$19)*1,"")))</f>
        <v/>
      </c>
      <c r="BA296" t="str">
        <f>IF(OR(BA$23="",ISNA($B296)),"",IF(ISBLANK($B296),"",IFERROR(_xll.BDP(TICKER,"DEEP_MEASURE_PERIOD_BROKER_VALUE","DEEP_MEASURE_ID_OVERRIDE",$C296,"DEEP_BROKER_ID_OVERRIDE",BA$24,"DEEP_PERIOD_OVERRIDE",$H$19)*1,"")))</f>
        <v/>
      </c>
      <c r="BB296" t="str">
        <f>IF(OR(BB$23="",ISNA($B296)),"",IF(ISBLANK($B296),"",IFERROR(_xll.BDP(TICKER,"DEEP_MEASURE_PERIOD_BROKER_VALUE","DEEP_MEASURE_ID_OVERRIDE",$C296,"DEEP_BROKER_ID_OVERRIDE",BB$24,"DEEP_PERIOD_OVERRIDE",$H$19)*1,"")))</f>
        <v/>
      </c>
      <c r="BC296" t="str">
        <f>IF(OR(BC$23="",ISNA($B296)),"",IF(ISBLANK($B296),"",IFERROR(_xll.BDP(TICKER,"DEEP_MEASURE_PERIOD_BROKER_VALUE","DEEP_MEASURE_ID_OVERRIDE",$C296,"DEEP_BROKER_ID_OVERRIDE",BC$24,"DEEP_PERIOD_OVERRIDE",$H$19)*1,"")))</f>
        <v/>
      </c>
      <c r="BD296" t="str">
        <f>IF(OR(BD$23="",ISNA($B296)),"",IF(ISBLANK($B296),"",IFERROR(_xll.BDP(TICKER,"DEEP_MEASURE_PERIOD_BROKER_VALUE","DEEP_MEASURE_ID_OVERRIDE",$C296,"DEEP_BROKER_ID_OVERRIDE",BD$24,"DEEP_PERIOD_OVERRIDE",$H$19)*1,"")))</f>
        <v/>
      </c>
      <c r="BE296" t="str">
        <f>IF(OR(BE$23="",ISNA($B296)),"",IF(ISBLANK($B296),"",IFERROR(_xll.BDP(TICKER,"DEEP_MEASURE_PERIOD_BROKER_VALUE","DEEP_MEASURE_ID_OVERRIDE",$C296,"DEEP_BROKER_ID_OVERRIDE",BE$24,"DEEP_PERIOD_OVERRIDE",$H$19)*1,"")))</f>
        <v/>
      </c>
      <c r="BF296" t="str">
        <f>IF(OR(BF$23="",ISNA($B296)),"",IF(ISBLANK($B296),"",IFERROR(_xll.BDP(TICKER,"DEEP_MEASURE_PERIOD_BROKER_VALUE","DEEP_MEASURE_ID_OVERRIDE",$C296,"DEEP_BROKER_ID_OVERRIDE",BF$24,"DEEP_PERIOD_OVERRIDE",$H$19)*1,"")))</f>
        <v/>
      </c>
      <c r="BG296" t="str">
        <f>IF(OR(BG$23="",ISNA($B296)),"",IF(ISBLANK($B296),"",IFERROR(_xll.BDP(TICKER,"DEEP_MEASURE_PERIOD_BROKER_VALUE","DEEP_MEASURE_ID_OVERRIDE",$C296,"DEEP_BROKER_ID_OVERRIDE",BG$24,"DEEP_PERIOD_OVERRIDE",$H$19)*1,"")))</f>
        <v/>
      </c>
      <c r="BH296" t="str">
        <f>IF(OR(BH$23="",ISNA($B296)),"",IF(ISBLANK($B296),"",IFERROR(_xll.BDP(TICKER,"DEEP_MEASURE_PERIOD_BROKER_VALUE","DEEP_MEASURE_ID_OVERRIDE",$C296,"DEEP_BROKER_ID_OVERRIDE",BH$24,"DEEP_PERIOD_OVERRIDE",$H$19)*1,"")))</f>
        <v/>
      </c>
      <c r="BI296" t="str">
        <f>IF(OR(BI$23="",ISNA($B296)),"",IF(ISBLANK($B296),"",IFERROR(_xll.BDP(TICKER,"DEEP_MEASURE_PERIOD_BROKER_VALUE","DEEP_MEASURE_ID_OVERRIDE",$C296,"DEEP_BROKER_ID_OVERRIDE",BI$24,"DEEP_PERIOD_OVERRIDE",$H$19)*1,"")))</f>
        <v/>
      </c>
      <c r="BJ296" t="str">
        <f>IF(OR(BJ$23="",ISNA($B296)),"",IF(ISBLANK($B296),"",IFERROR(_xll.BDP(TICKER,"DEEP_MEASURE_PERIOD_BROKER_VALUE","DEEP_MEASURE_ID_OVERRIDE",$C296,"DEEP_BROKER_ID_OVERRIDE",BJ$24,"DEEP_PERIOD_OVERRIDE",$H$19)*1,"")))</f>
        <v/>
      </c>
      <c r="BK296" t="str">
        <f>IF(OR(BK$23="",ISNA($B296)),"",IF(ISBLANK($B296),"",IFERROR(_xll.BDP(TICKER,"DEEP_MEASURE_PERIOD_BROKER_VALUE","DEEP_MEASURE_ID_OVERRIDE",$C296,"DEEP_BROKER_ID_OVERRIDE",BK$24,"DEEP_PERIOD_OVERRIDE",$H$19)*1,"")))</f>
        <v/>
      </c>
      <c r="BL296" t="str">
        <f>IF(OR(BL$23="",ISNA($B296)),"",IF(ISBLANK($B296),"",IFERROR(_xll.BDP(TICKER,"DEEP_MEASURE_PERIOD_BROKER_VALUE","DEEP_MEASURE_ID_OVERRIDE",$C296,"DEEP_BROKER_ID_OVERRIDE",BL$24,"DEEP_PERIOD_OVERRIDE",$H$19)*1,"")))</f>
        <v/>
      </c>
      <c r="BM296" t="str">
        <f>IF(OR(BM$23="",ISNA($B296)),"",IF(ISBLANK($B296),"",IFERROR(_xll.BDP(TICKER,"DEEP_MEASURE_PERIOD_BROKER_VALUE","DEEP_MEASURE_ID_OVERRIDE",$C296,"DEEP_BROKER_ID_OVERRIDE",BM$24,"DEEP_PERIOD_OVERRIDE",$H$19)*1,"")))</f>
        <v/>
      </c>
      <c r="BN296" t="str">
        <f>IF(OR(BN$23="",ISNA($B296)),"",IF(ISBLANK($B296),"",IFERROR(_xll.BDP(TICKER,"DEEP_MEASURE_PERIOD_BROKER_VALUE","DEEP_MEASURE_ID_OVERRIDE",$C296,"DEEP_BROKER_ID_OVERRIDE",BN$24,"DEEP_PERIOD_OVERRIDE",$H$19)*1,"")))</f>
        <v/>
      </c>
      <c r="BO296" t="str">
        <f>IF(OR(BO$23="",ISNA($B296)),"",IF(ISBLANK($B296),"",IFERROR(_xll.BDP(TICKER,"DEEP_MEASURE_PERIOD_BROKER_VALUE","DEEP_MEASURE_ID_OVERRIDE",$C296,"DEEP_BROKER_ID_OVERRIDE",BO$24,"DEEP_PERIOD_OVERRIDE",$H$19)*1,"")))</f>
        <v/>
      </c>
      <c r="BP296" t="str">
        <f>IF(OR(BP$23="",ISNA($B296)),"",IF(ISBLANK($B296),"",IFERROR(_xll.BDP(TICKER,"DEEP_MEASURE_PERIOD_BROKER_VALUE","DEEP_MEASURE_ID_OVERRIDE",$C296,"DEEP_BROKER_ID_OVERRIDE",BP$24,"DEEP_PERIOD_OVERRIDE",$H$19)*1,"")))</f>
        <v/>
      </c>
      <c r="BQ296" t="str">
        <f>IF(OR(BQ$23="",ISNA($B296)),"",IF(ISBLANK($B296),"",IFERROR(_xll.BDP(TICKER,"DEEP_MEASURE_PERIOD_BROKER_VALUE","DEEP_MEASURE_ID_OVERRIDE",$C296,"DEEP_BROKER_ID_OVERRIDE",BQ$24,"DEEP_PERIOD_OVERRIDE",$H$19)*1,"")))</f>
        <v/>
      </c>
      <c r="BR296" t="str">
        <f>IF(OR(BR$23="",ISNA($B296)),"",IF(ISBLANK($B296),"",IFERROR(_xll.BDP(TICKER,"DEEP_MEASURE_PERIOD_BROKER_VALUE","DEEP_MEASURE_ID_OVERRIDE",$C296,"DEEP_BROKER_ID_OVERRIDE",BR$24,"DEEP_PERIOD_OVERRIDE",$H$19)*1,"")))</f>
        <v/>
      </c>
      <c r="BS296" t="str">
        <f>IF(OR(BS$23="",ISNA($B296)),"",IF(ISBLANK($B296),"",IFERROR(_xll.BDP(TICKER,"DEEP_MEASURE_PERIOD_BROKER_VALUE","DEEP_MEASURE_ID_OVERRIDE",$C296,"DEEP_BROKER_ID_OVERRIDE",BS$24,"DEEP_PERIOD_OVERRIDE",$H$19)*1,"")))</f>
        <v/>
      </c>
      <c r="BT296" t="str">
        <f>IF(OR(BT$23="",ISNA($B296)),"",IF(ISBLANK($B296),"",IFERROR(_xll.BDP(TICKER,"DEEP_MEASURE_PERIOD_BROKER_VALUE","DEEP_MEASURE_ID_OVERRIDE",$C296,"DEEP_BROKER_ID_OVERRIDE",BT$24,"DEEP_PERIOD_OVERRIDE",$H$19)*1,"")))</f>
        <v/>
      </c>
      <c r="BU296" t="str">
        <f>IF(OR(BU$23="",ISNA($B296)),"",IF(ISBLANK($B296),"",IFERROR(_xll.BDP(TICKER,"DEEP_MEASURE_PERIOD_BROKER_VALUE","DEEP_MEASURE_ID_OVERRIDE",$C296,"DEEP_BROKER_ID_OVERRIDE",BU$24,"DEEP_PERIOD_OVERRIDE",$H$19)*1,"")))</f>
        <v/>
      </c>
      <c r="BV296" t="str">
        <f>IF(OR(BV$23="",ISNA($B296)),"",IF(ISBLANK($B296),"",IFERROR(_xll.BDP(TICKER,"DEEP_MEASURE_PERIOD_BROKER_VALUE","DEEP_MEASURE_ID_OVERRIDE",$C296,"DEEP_BROKER_ID_OVERRIDE",BV$24,"DEEP_PERIOD_OVERRIDE",$H$19)*1,"")))</f>
        <v/>
      </c>
      <c r="BW296" t="str">
        <f>IF(OR(BW$23="",ISNA($B296)),"",IF(ISBLANK($B296),"",IFERROR(_xll.BDP(TICKER,"DEEP_MEASURE_PERIOD_BROKER_VALUE","DEEP_MEASURE_ID_OVERRIDE",$C296,"DEEP_BROKER_ID_OVERRIDE",BW$24,"DEEP_PERIOD_OVERRIDE",$H$19)*1,"")))</f>
        <v/>
      </c>
      <c r="BX296" t="str">
        <f>IF(OR(BX$23="",ISNA($B296)),"",IF(ISBLANK($B296),"",IFERROR(_xll.BDP(TICKER,"DEEP_MEASURE_PERIOD_BROKER_VALUE","DEEP_MEASURE_ID_OVERRIDE",$C296,"DEEP_BROKER_ID_OVERRIDE",BX$24,"DEEP_PERIOD_OVERRIDE",$H$19)*1,"")))</f>
        <v/>
      </c>
      <c r="BY296" t="str">
        <f>IF(OR(BY$23="",ISNA($B296)),"",IF(ISBLANK($B296),"",IFERROR(_xll.BDP(TICKER,"DEEP_MEASURE_PERIOD_BROKER_VALUE","DEEP_MEASURE_ID_OVERRIDE",$C296,"DEEP_BROKER_ID_OVERRIDE",BY$24,"DEEP_PERIOD_OVERRIDE",$H$19)*1,"")))</f>
        <v/>
      </c>
      <c r="BZ296" t="str">
        <f>IF(OR(BZ$23="",ISNA($B296)),"",IF(ISBLANK($B296),"",IFERROR(_xll.BDP(TICKER,"DEEP_MEASURE_PERIOD_BROKER_VALUE","DEEP_MEASURE_ID_OVERRIDE",$C296,"DEEP_BROKER_ID_OVERRIDE",BZ$24,"DEEP_PERIOD_OVERRIDE",$H$19)*1,"")))</f>
        <v/>
      </c>
    </row>
    <row r="297" spans="8:78" x14ac:dyDescent="0.25">
      <c r="H297" t="str">
        <f t="shared" si="5"/>
        <v/>
      </c>
      <c r="I297" t="str">
        <f>IF(OR(I$23="",ISNA($B297)),"",IF(ISBLANK($B297),"",IFERROR(_xll.BDP(TICKER,"DEEP_MEASURE_PERIOD_BROKER_VALUE","DEEP_MEASURE_ID_OVERRIDE",$C297,"DEEP_PERIOD_OVERRIDE",$H$19)*1,"")))</f>
        <v/>
      </c>
      <c r="J297" t="e">
        <f>IF(OR(J$23="",ISNA($B297)),"",IF(ISBLANK($B297),"",IFERROR(_xll.BDP(TICKER,"DEEP_MEASURE_PERIOD_BROKER_VALUE","DEEP_MEASURE_ID_OVERRIDE",$C297,"DEEP_BROKER_ID_OVERRIDE",J$24,"DEEP_PERIOD_OVERRIDE",$H$19)*1,"")))</f>
        <v>#REF!</v>
      </c>
      <c r="K297" t="str">
        <f>IF(OR(K$23="",ISNA($B297)),"",IF(ISBLANK($B297),"",IFERROR(_xll.BDP(TICKER,"DEEP_MEASURE_PERIOD_BROKER_VALUE","DEEP_MEASURE_ID_OVERRIDE",$C297,"DEEP_BROKER_ID_OVERRIDE",K$24,"DEEP_PERIOD_OVERRIDE",$H$19)*1,"")))</f>
        <v/>
      </c>
      <c r="L297" t="str">
        <f>IF(OR(L$23="",ISNA($B297)),"",IF(ISBLANK($B297),"",IFERROR(_xll.BDP(TICKER,"DEEP_MEASURE_PERIOD_BROKER_VALUE","DEEP_MEASURE_ID_OVERRIDE",$C297,"DEEP_BROKER_ID_OVERRIDE",L$24,"DEEP_PERIOD_OVERRIDE",$H$19)*1,"")))</f>
        <v/>
      </c>
      <c r="M297" t="str">
        <f>IF(OR(M$23="",ISNA($B297)),"",IF(ISBLANK($B297),"",IFERROR(_xll.BDP(TICKER,"DEEP_MEASURE_PERIOD_BROKER_VALUE","DEEP_MEASURE_ID_OVERRIDE",$C297,"DEEP_BROKER_ID_OVERRIDE",M$24,"DEEP_PERIOD_OVERRIDE",$H$19)*1,"")))</f>
        <v/>
      </c>
      <c r="N297" t="str">
        <f>IF(OR(N$23="",ISNA($B297)),"",IF(ISBLANK($B297),"",IFERROR(_xll.BDP(TICKER,"DEEP_MEASURE_PERIOD_BROKER_VALUE","DEEP_MEASURE_ID_OVERRIDE",$C297,"DEEP_BROKER_ID_OVERRIDE",N$24,"DEEP_PERIOD_OVERRIDE",$H$19)*1,"")))</f>
        <v/>
      </c>
      <c r="O297" t="str">
        <f>IF(OR(O$23="",ISNA($B297)),"",IF(ISBLANK($B297),"",IFERROR(_xll.BDP(TICKER,"DEEP_MEASURE_PERIOD_BROKER_VALUE","DEEP_MEASURE_ID_OVERRIDE",$C297,"DEEP_BROKER_ID_OVERRIDE",O$24,"DEEP_PERIOD_OVERRIDE",$H$19)*1,"")))</f>
        <v/>
      </c>
      <c r="P297" t="str">
        <f>IF(OR(P$23="",ISNA($B297)),"",IF(ISBLANK($B297),"",IFERROR(_xll.BDP(TICKER,"DEEP_MEASURE_PERIOD_BROKER_VALUE","DEEP_MEASURE_ID_OVERRIDE",$C297,"DEEP_BROKER_ID_OVERRIDE",P$24,"DEEP_PERIOD_OVERRIDE",$H$19)*1,"")))</f>
        <v/>
      </c>
      <c r="Q297" t="str">
        <f>IF(OR(Q$23="",ISNA($B297)),"",IF(ISBLANK($B297),"",IFERROR(_xll.BDP(TICKER,"DEEP_MEASURE_PERIOD_BROKER_VALUE","DEEP_MEASURE_ID_OVERRIDE",$C297,"DEEP_BROKER_ID_OVERRIDE",Q$24,"DEEP_PERIOD_OVERRIDE",$H$19)*1,"")))</f>
        <v/>
      </c>
      <c r="R297" t="str">
        <f>IF(OR(R$23="",ISNA($B297)),"",IF(ISBLANK($B297),"",IFERROR(_xll.BDP(TICKER,"DEEP_MEASURE_PERIOD_BROKER_VALUE","DEEP_MEASURE_ID_OVERRIDE",$C297,"DEEP_BROKER_ID_OVERRIDE",R$24,"DEEP_PERIOD_OVERRIDE",$H$19)*1,"")))</f>
        <v/>
      </c>
      <c r="S297" t="str">
        <f>IF(OR(S$23="",ISNA($B297)),"",IF(ISBLANK($B297),"",IFERROR(_xll.BDP(TICKER,"DEEP_MEASURE_PERIOD_BROKER_VALUE","DEEP_MEASURE_ID_OVERRIDE",$C297,"DEEP_BROKER_ID_OVERRIDE",S$24,"DEEP_PERIOD_OVERRIDE",$H$19)*1,"")))</f>
        <v/>
      </c>
      <c r="T297" t="str">
        <f>IF(OR(T$23="",ISNA($B297)),"",IF(ISBLANK($B297),"",IFERROR(_xll.BDP(TICKER,"DEEP_MEASURE_PERIOD_BROKER_VALUE","DEEP_MEASURE_ID_OVERRIDE",$C297,"DEEP_BROKER_ID_OVERRIDE",T$24,"DEEP_PERIOD_OVERRIDE",$H$19)*1,"")))</f>
        <v/>
      </c>
      <c r="U297" t="str">
        <f>IF(OR(U$23="",ISNA($B297)),"",IF(ISBLANK($B297),"",IFERROR(_xll.BDP(TICKER,"DEEP_MEASURE_PERIOD_BROKER_VALUE","DEEP_MEASURE_ID_OVERRIDE",$C297,"DEEP_BROKER_ID_OVERRIDE",U$24,"DEEP_PERIOD_OVERRIDE",$H$19)*1,"")))</f>
        <v/>
      </c>
      <c r="V297" t="str">
        <f>IF(OR(V$23="",ISNA($B297)),"",IF(ISBLANK($B297),"",IFERROR(_xll.BDP(TICKER,"DEEP_MEASURE_PERIOD_BROKER_VALUE","DEEP_MEASURE_ID_OVERRIDE",$C297,"DEEP_BROKER_ID_OVERRIDE",V$24,"DEEP_PERIOD_OVERRIDE",$H$19)*1,"")))</f>
        <v/>
      </c>
      <c r="W297" t="str">
        <f>IF(OR(W$23="",ISNA($B297)),"",IF(ISBLANK($B297),"",IFERROR(_xll.BDP(TICKER,"DEEP_MEASURE_PERIOD_BROKER_VALUE","DEEP_MEASURE_ID_OVERRIDE",$C297,"DEEP_BROKER_ID_OVERRIDE",W$24,"DEEP_PERIOD_OVERRIDE",$H$19)*1,"")))</f>
        <v/>
      </c>
      <c r="X297" t="str">
        <f>IF(OR(X$23="",ISNA($B297)),"",IF(ISBLANK($B297),"",IFERROR(_xll.BDP(TICKER,"DEEP_MEASURE_PERIOD_BROKER_VALUE","DEEP_MEASURE_ID_OVERRIDE",$C297,"DEEP_BROKER_ID_OVERRIDE",X$24,"DEEP_PERIOD_OVERRIDE",$H$19)*1,"")))</f>
        <v/>
      </c>
      <c r="Y297" t="str">
        <f>IF(OR(Y$23="",ISNA($B297)),"",IF(ISBLANK($B297),"",IFERROR(_xll.BDP(TICKER,"DEEP_MEASURE_PERIOD_BROKER_VALUE","DEEP_MEASURE_ID_OVERRIDE",$C297,"DEEP_BROKER_ID_OVERRIDE",Y$24,"DEEP_PERIOD_OVERRIDE",$H$19)*1,"")))</f>
        <v/>
      </c>
      <c r="Z297" t="str">
        <f>IF(OR(Z$23="",ISNA($B297)),"",IF(ISBLANK($B297),"",IFERROR(_xll.BDP(TICKER,"DEEP_MEASURE_PERIOD_BROKER_VALUE","DEEP_MEASURE_ID_OVERRIDE",$C297,"DEEP_BROKER_ID_OVERRIDE",Z$24,"DEEP_PERIOD_OVERRIDE",$H$19)*1,"")))</f>
        <v/>
      </c>
      <c r="AA297" t="str">
        <f>IF(OR(AA$23="",ISNA($B297)),"",IF(ISBLANK($B297),"",IFERROR(_xll.BDP(TICKER,"DEEP_MEASURE_PERIOD_BROKER_VALUE","DEEP_MEASURE_ID_OVERRIDE",$C297,"DEEP_BROKER_ID_OVERRIDE",AA$24,"DEEP_PERIOD_OVERRIDE",$H$19)*1,"")))</f>
        <v/>
      </c>
      <c r="AB297" t="str">
        <f>IF(OR(AB$23="",ISNA($B297)),"",IF(ISBLANK($B297),"",IFERROR(_xll.BDP(TICKER,"DEEP_MEASURE_PERIOD_BROKER_VALUE","DEEP_MEASURE_ID_OVERRIDE",$C297,"DEEP_BROKER_ID_OVERRIDE",AB$24,"DEEP_PERIOD_OVERRIDE",$H$19)*1,"")))</f>
        <v/>
      </c>
      <c r="AC297" t="str">
        <f>IF(OR(AC$23="",ISNA($B297)),"",IF(ISBLANK($B297),"",IFERROR(_xll.BDP(TICKER,"DEEP_MEASURE_PERIOD_BROKER_VALUE","DEEP_MEASURE_ID_OVERRIDE",$C297,"DEEP_BROKER_ID_OVERRIDE",AC$24,"DEEP_PERIOD_OVERRIDE",$H$19)*1,"")))</f>
        <v/>
      </c>
      <c r="AD297" t="str">
        <f>IF(OR(AD$23="",ISNA($B297)),"",IF(ISBLANK($B297),"",IFERROR(_xll.BDP(TICKER,"DEEP_MEASURE_PERIOD_BROKER_VALUE","DEEP_MEASURE_ID_OVERRIDE",$C297,"DEEP_BROKER_ID_OVERRIDE",AD$24,"DEEP_PERIOD_OVERRIDE",$H$19)*1,"")))</f>
        <v/>
      </c>
      <c r="AE297" t="str">
        <f>IF(OR(AE$23="",ISNA($B297)),"",IF(ISBLANK($B297),"",IFERROR(_xll.BDP(TICKER,"DEEP_MEASURE_PERIOD_BROKER_VALUE","DEEP_MEASURE_ID_OVERRIDE",$C297,"DEEP_BROKER_ID_OVERRIDE",AE$24,"DEEP_PERIOD_OVERRIDE",$H$19)*1,"")))</f>
        <v/>
      </c>
      <c r="AF297" t="str">
        <f>IF(OR(AF$23="",ISNA($B297)),"",IF(ISBLANK($B297),"",IFERROR(_xll.BDP(TICKER,"DEEP_MEASURE_PERIOD_BROKER_VALUE","DEEP_MEASURE_ID_OVERRIDE",$C297,"DEEP_BROKER_ID_OVERRIDE",AF$24,"DEEP_PERIOD_OVERRIDE",$H$19)*1,"")))</f>
        <v/>
      </c>
      <c r="AG297" t="str">
        <f>IF(OR(AG$23="",ISNA($B297)),"",IF(ISBLANK($B297),"",IFERROR(_xll.BDP(TICKER,"DEEP_MEASURE_PERIOD_BROKER_VALUE","DEEP_MEASURE_ID_OVERRIDE",$C297,"DEEP_BROKER_ID_OVERRIDE",AG$24,"DEEP_PERIOD_OVERRIDE",$H$19)*1,"")))</f>
        <v/>
      </c>
      <c r="AH297" t="str">
        <f>IF(OR(AH$23="",ISNA($B297)),"",IF(ISBLANK($B297),"",IFERROR(_xll.BDP(TICKER,"DEEP_MEASURE_PERIOD_BROKER_VALUE","DEEP_MEASURE_ID_OVERRIDE",$C297,"DEEP_BROKER_ID_OVERRIDE",AH$24,"DEEP_PERIOD_OVERRIDE",$H$19)*1,"")))</f>
        <v/>
      </c>
      <c r="AI297" t="str">
        <f>IF(OR(AI$23="",ISNA($B297)),"",IF(ISBLANK($B297),"",IFERROR(_xll.BDP(TICKER,"DEEP_MEASURE_PERIOD_BROKER_VALUE","DEEP_MEASURE_ID_OVERRIDE",$C297,"DEEP_BROKER_ID_OVERRIDE",AI$24,"DEEP_PERIOD_OVERRIDE",$H$19)*1,"")))</f>
        <v/>
      </c>
      <c r="AJ297" t="str">
        <f>IF(OR(AJ$23="",ISNA($B297)),"",IF(ISBLANK($B297),"",IFERROR(_xll.BDP(TICKER,"DEEP_MEASURE_PERIOD_BROKER_VALUE","DEEP_MEASURE_ID_OVERRIDE",$C297,"DEEP_BROKER_ID_OVERRIDE",AJ$24,"DEEP_PERIOD_OVERRIDE",$H$19)*1,"")))</f>
        <v/>
      </c>
      <c r="AK297" t="str">
        <f>IF(OR(AK$23="",ISNA($B297)),"",IF(ISBLANK($B297),"",IFERROR(_xll.BDP(TICKER,"DEEP_MEASURE_PERIOD_BROKER_VALUE","DEEP_MEASURE_ID_OVERRIDE",$C297,"DEEP_BROKER_ID_OVERRIDE",AK$24,"DEEP_PERIOD_OVERRIDE",$H$19)*1,"")))</f>
        <v/>
      </c>
      <c r="AL297" t="str">
        <f>IF(OR(AL$23="",ISNA($B297)),"",IF(ISBLANK($B297),"",IFERROR(_xll.BDP(TICKER,"DEEP_MEASURE_PERIOD_BROKER_VALUE","DEEP_MEASURE_ID_OVERRIDE",$C297,"DEEP_BROKER_ID_OVERRIDE",AL$24,"DEEP_PERIOD_OVERRIDE",$H$19)*1,"")))</f>
        <v/>
      </c>
      <c r="AM297" t="str">
        <f>IF(OR(AM$23="",ISNA($B297)),"",IF(ISBLANK($B297),"",IFERROR(_xll.BDP(TICKER,"DEEP_MEASURE_PERIOD_BROKER_VALUE","DEEP_MEASURE_ID_OVERRIDE",$C297,"DEEP_BROKER_ID_OVERRIDE",AM$24,"DEEP_PERIOD_OVERRIDE",$H$19)*1,"")))</f>
        <v/>
      </c>
      <c r="AN297" t="str">
        <f>IF(OR(AN$23="",ISNA($B297)),"",IF(ISBLANK($B297),"",IFERROR(_xll.BDP(TICKER,"DEEP_MEASURE_PERIOD_BROKER_VALUE","DEEP_MEASURE_ID_OVERRIDE",$C297,"DEEP_BROKER_ID_OVERRIDE",AN$24,"DEEP_PERIOD_OVERRIDE",$H$19)*1,"")))</f>
        <v/>
      </c>
      <c r="AO297" t="str">
        <f>IF(OR(AO$23="",ISNA($B297)),"",IF(ISBLANK($B297),"",IFERROR(_xll.BDP(TICKER,"DEEP_MEASURE_PERIOD_BROKER_VALUE","DEEP_MEASURE_ID_OVERRIDE",$C297,"DEEP_BROKER_ID_OVERRIDE",AO$24,"DEEP_PERIOD_OVERRIDE",$H$19)*1,"")))</f>
        <v/>
      </c>
      <c r="AP297" t="str">
        <f>IF(OR(AP$23="",ISNA($B297)),"",IF(ISBLANK($B297),"",IFERROR(_xll.BDP(TICKER,"DEEP_MEASURE_PERIOD_BROKER_VALUE","DEEP_MEASURE_ID_OVERRIDE",$C297,"DEEP_BROKER_ID_OVERRIDE",AP$24,"DEEP_PERIOD_OVERRIDE",$H$19)*1,"")))</f>
        <v/>
      </c>
      <c r="AQ297" t="str">
        <f>IF(OR(AQ$23="",ISNA($B297)),"",IF(ISBLANK($B297),"",IFERROR(_xll.BDP(TICKER,"DEEP_MEASURE_PERIOD_BROKER_VALUE","DEEP_MEASURE_ID_OVERRIDE",$C297,"DEEP_BROKER_ID_OVERRIDE",AQ$24,"DEEP_PERIOD_OVERRIDE",$H$19)*1,"")))</f>
        <v/>
      </c>
      <c r="AR297" t="str">
        <f>IF(OR(AR$23="",ISNA($B297)),"",IF(ISBLANK($B297),"",IFERROR(_xll.BDP(TICKER,"DEEP_MEASURE_PERIOD_BROKER_VALUE","DEEP_MEASURE_ID_OVERRIDE",$C297,"DEEP_BROKER_ID_OVERRIDE",AR$24,"DEEP_PERIOD_OVERRIDE",$H$19)*1,"")))</f>
        <v/>
      </c>
      <c r="AS297" t="str">
        <f>IF(OR(AS$23="",ISNA($B297)),"",IF(ISBLANK($B297),"",IFERROR(_xll.BDP(TICKER,"DEEP_MEASURE_PERIOD_BROKER_VALUE","DEEP_MEASURE_ID_OVERRIDE",$C297,"DEEP_BROKER_ID_OVERRIDE",AS$24,"DEEP_PERIOD_OVERRIDE",$H$19)*1,"")))</f>
        <v/>
      </c>
      <c r="AT297" t="str">
        <f>IF(OR(AT$23="",ISNA($B297)),"",IF(ISBLANK($B297),"",IFERROR(_xll.BDP(TICKER,"DEEP_MEASURE_PERIOD_BROKER_VALUE","DEEP_MEASURE_ID_OVERRIDE",$C297,"DEEP_BROKER_ID_OVERRIDE",AT$24,"DEEP_PERIOD_OVERRIDE",$H$19)*1,"")))</f>
        <v/>
      </c>
      <c r="AU297" t="str">
        <f>IF(OR(AU$23="",ISNA($B297)),"",IF(ISBLANK($B297),"",IFERROR(_xll.BDP(TICKER,"DEEP_MEASURE_PERIOD_BROKER_VALUE","DEEP_MEASURE_ID_OVERRIDE",$C297,"DEEP_BROKER_ID_OVERRIDE",AU$24,"DEEP_PERIOD_OVERRIDE",$H$19)*1,"")))</f>
        <v/>
      </c>
      <c r="AV297" t="str">
        <f>IF(OR(AV$23="",ISNA($B297)),"",IF(ISBLANK($B297),"",IFERROR(_xll.BDP(TICKER,"DEEP_MEASURE_PERIOD_BROKER_VALUE","DEEP_MEASURE_ID_OVERRIDE",$C297,"DEEP_BROKER_ID_OVERRIDE",AV$24,"DEEP_PERIOD_OVERRIDE",$H$19)*1,"")))</f>
        <v/>
      </c>
      <c r="AW297" t="str">
        <f>IF(OR(AW$23="",ISNA($B297)),"",IF(ISBLANK($B297),"",IFERROR(_xll.BDP(TICKER,"DEEP_MEASURE_PERIOD_BROKER_VALUE","DEEP_MEASURE_ID_OVERRIDE",$C297,"DEEP_BROKER_ID_OVERRIDE",AW$24,"DEEP_PERIOD_OVERRIDE",$H$19)*1,"")))</f>
        <v/>
      </c>
      <c r="AX297" t="str">
        <f>IF(OR(AX$23="",ISNA($B297)),"",IF(ISBLANK($B297),"",IFERROR(_xll.BDP(TICKER,"DEEP_MEASURE_PERIOD_BROKER_VALUE","DEEP_MEASURE_ID_OVERRIDE",$C297,"DEEP_BROKER_ID_OVERRIDE",AX$24,"DEEP_PERIOD_OVERRIDE",$H$19)*1,"")))</f>
        <v/>
      </c>
      <c r="AY297" t="str">
        <f>IF(OR(AY$23="",ISNA($B297)),"",IF(ISBLANK($B297),"",IFERROR(_xll.BDP(TICKER,"DEEP_MEASURE_PERIOD_BROKER_VALUE","DEEP_MEASURE_ID_OVERRIDE",$C297,"DEEP_BROKER_ID_OVERRIDE",AY$24,"DEEP_PERIOD_OVERRIDE",$H$19)*1,"")))</f>
        <v/>
      </c>
      <c r="AZ297" t="str">
        <f>IF(OR(AZ$23="",ISNA($B297)),"",IF(ISBLANK($B297),"",IFERROR(_xll.BDP(TICKER,"DEEP_MEASURE_PERIOD_BROKER_VALUE","DEEP_MEASURE_ID_OVERRIDE",$C297,"DEEP_BROKER_ID_OVERRIDE",AZ$24,"DEEP_PERIOD_OVERRIDE",$H$19)*1,"")))</f>
        <v/>
      </c>
      <c r="BA297" t="str">
        <f>IF(OR(BA$23="",ISNA($B297)),"",IF(ISBLANK($B297),"",IFERROR(_xll.BDP(TICKER,"DEEP_MEASURE_PERIOD_BROKER_VALUE","DEEP_MEASURE_ID_OVERRIDE",$C297,"DEEP_BROKER_ID_OVERRIDE",BA$24,"DEEP_PERIOD_OVERRIDE",$H$19)*1,"")))</f>
        <v/>
      </c>
      <c r="BB297" t="str">
        <f>IF(OR(BB$23="",ISNA($B297)),"",IF(ISBLANK($B297),"",IFERROR(_xll.BDP(TICKER,"DEEP_MEASURE_PERIOD_BROKER_VALUE","DEEP_MEASURE_ID_OVERRIDE",$C297,"DEEP_BROKER_ID_OVERRIDE",BB$24,"DEEP_PERIOD_OVERRIDE",$H$19)*1,"")))</f>
        <v/>
      </c>
      <c r="BC297" t="str">
        <f>IF(OR(BC$23="",ISNA($B297)),"",IF(ISBLANK($B297),"",IFERROR(_xll.BDP(TICKER,"DEEP_MEASURE_PERIOD_BROKER_VALUE","DEEP_MEASURE_ID_OVERRIDE",$C297,"DEEP_BROKER_ID_OVERRIDE",BC$24,"DEEP_PERIOD_OVERRIDE",$H$19)*1,"")))</f>
        <v/>
      </c>
      <c r="BD297" t="str">
        <f>IF(OR(BD$23="",ISNA($B297)),"",IF(ISBLANK($B297),"",IFERROR(_xll.BDP(TICKER,"DEEP_MEASURE_PERIOD_BROKER_VALUE","DEEP_MEASURE_ID_OVERRIDE",$C297,"DEEP_BROKER_ID_OVERRIDE",BD$24,"DEEP_PERIOD_OVERRIDE",$H$19)*1,"")))</f>
        <v/>
      </c>
      <c r="BE297" t="str">
        <f>IF(OR(BE$23="",ISNA($B297)),"",IF(ISBLANK($B297),"",IFERROR(_xll.BDP(TICKER,"DEEP_MEASURE_PERIOD_BROKER_VALUE","DEEP_MEASURE_ID_OVERRIDE",$C297,"DEEP_BROKER_ID_OVERRIDE",BE$24,"DEEP_PERIOD_OVERRIDE",$H$19)*1,"")))</f>
        <v/>
      </c>
      <c r="BF297" t="str">
        <f>IF(OR(BF$23="",ISNA($B297)),"",IF(ISBLANK($B297),"",IFERROR(_xll.BDP(TICKER,"DEEP_MEASURE_PERIOD_BROKER_VALUE","DEEP_MEASURE_ID_OVERRIDE",$C297,"DEEP_BROKER_ID_OVERRIDE",BF$24,"DEEP_PERIOD_OVERRIDE",$H$19)*1,"")))</f>
        <v/>
      </c>
      <c r="BG297" t="str">
        <f>IF(OR(BG$23="",ISNA($B297)),"",IF(ISBLANK($B297),"",IFERROR(_xll.BDP(TICKER,"DEEP_MEASURE_PERIOD_BROKER_VALUE","DEEP_MEASURE_ID_OVERRIDE",$C297,"DEEP_BROKER_ID_OVERRIDE",BG$24,"DEEP_PERIOD_OVERRIDE",$H$19)*1,"")))</f>
        <v/>
      </c>
      <c r="BH297" t="str">
        <f>IF(OR(BH$23="",ISNA($B297)),"",IF(ISBLANK($B297),"",IFERROR(_xll.BDP(TICKER,"DEEP_MEASURE_PERIOD_BROKER_VALUE","DEEP_MEASURE_ID_OVERRIDE",$C297,"DEEP_BROKER_ID_OVERRIDE",BH$24,"DEEP_PERIOD_OVERRIDE",$H$19)*1,"")))</f>
        <v/>
      </c>
      <c r="BI297" t="str">
        <f>IF(OR(BI$23="",ISNA($B297)),"",IF(ISBLANK($B297),"",IFERROR(_xll.BDP(TICKER,"DEEP_MEASURE_PERIOD_BROKER_VALUE","DEEP_MEASURE_ID_OVERRIDE",$C297,"DEEP_BROKER_ID_OVERRIDE",BI$24,"DEEP_PERIOD_OVERRIDE",$H$19)*1,"")))</f>
        <v/>
      </c>
      <c r="BJ297" t="str">
        <f>IF(OR(BJ$23="",ISNA($B297)),"",IF(ISBLANK($B297),"",IFERROR(_xll.BDP(TICKER,"DEEP_MEASURE_PERIOD_BROKER_VALUE","DEEP_MEASURE_ID_OVERRIDE",$C297,"DEEP_BROKER_ID_OVERRIDE",BJ$24,"DEEP_PERIOD_OVERRIDE",$H$19)*1,"")))</f>
        <v/>
      </c>
      <c r="BK297" t="str">
        <f>IF(OR(BK$23="",ISNA($B297)),"",IF(ISBLANK($B297),"",IFERROR(_xll.BDP(TICKER,"DEEP_MEASURE_PERIOD_BROKER_VALUE","DEEP_MEASURE_ID_OVERRIDE",$C297,"DEEP_BROKER_ID_OVERRIDE",BK$24,"DEEP_PERIOD_OVERRIDE",$H$19)*1,"")))</f>
        <v/>
      </c>
      <c r="BL297" t="str">
        <f>IF(OR(BL$23="",ISNA($B297)),"",IF(ISBLANK($B297),"",IFERROR(_xll.BDP(TICKER,"DEEP_MEASURE_PERIOD_BROKER_VALUE","DEEP_MEASURE_ID_OVERRIDE",$C297,"DEEP_BROKER_ID_OVERRIDE",BL$24,"DEEP_PERIOD_OVERRIDE",$H$19)*1,"")))</f>
        <v/>
      </c>
      <c r="BM297" t="str">
        <f>IF(OR(BM$23="",ISNA($B297)),"",IF(ISBLANK($B297),"",IFERROR(_xll.BDP(TICKER,"DEEP_MEASURE_PERIOD_BROKER_VALUE","DEEP_MEASURE_ID_OVERRIDE",$C297,"DEEP_BROKER_ID_OVERRIDE",BM$24,"DEEP_PERIOD_OVERRIDE",$H$19)*1,"")))</f>
        <v/>
      </c>
      <c r="BN297" t="str">
        <f>IF(OR(BN$23="",ISNA($B297)),"",IF(ISBLANK($B297),"",IFERROR(_xll.BDP(TICKER,"DEEP_MEASURE_PERIOD_BROKER_VALUE","DEEP_MEASURE_ID_OVERRIDE",$C297,"DEEP_BROKER_ID_OVERRIDE",BN$24,"DEEP_PERIOD_OVERRIDE",$H$19)*1,"")))</f>
        <v/>
      </c>
      <c r="BO297" t="str">
        <f>IF(OR(BO$23="",ISNA($B297)),"",IF(ISBLANK($B297),"",IFERROR(_xll.BDP(TICKER,"DEEP_MEASURE_PERIOD_BROKER_VALUE","DEEP_MEASURE_ID_OVERRIDE",$C297,"DEEP_BROKER_ID_OVERRIDE",BO$24,"DEEP_PERIOD_OVERRIDE",$H$19)*1,"")))</f>
        <v/>
      </c>
      <c r="BP297" t="str">
        <f>IF(OR(BP$23="",ISNA($B297)),"",IF(ISBLANK($B297),"",IFERROR(_xll.BDP(TICKER,"DEEP_MEASURE_PERIOD_BROKER_VALUE","DEEP_MEASURE_ID_OVERRIDE",$C297,"DEEP_BROKER_ID_OVERRIDE",BP$24,"DEEP_PERIOD_OVERRIDE",$H$19)*1,"")))</f>
        <v/>
      </c>
      <c r="BQ297" t="str">
        <f>IF(OR(BQ$23="",ISNA($B297)),"",IF(ISBLANK($B297),"",IFERROR(_xll.BDP(TICKER,"DEEP_MEASURE_PERIOD_BROKER_VALUE","DEEP_MEASURE_ID_OVERRIDE",$C297,"DEEP_BROKER_ID_OVERRIDE",BQ$24,"DEEP_PERIOD_OVERRIDE",$H$19)*1,"")))</f>
        <v/>
      </c>
      <c r="BR297" t="str">
        <f>IF(OR(BR$23="",ISNA($B297)),"",IF(ISBLANK($B297),"",IFERROR(_xll.BDP(TICKER,"DEEP_MEASURE_PERIOD_BROKER_VALUE","DEEP_MEASURE_ID_OVERRIDE",$C297,"DEEP_BROKER_ID_OVERRIDE",BR$24,"DEEP_PERIOD_OVERRIDE",$H$19)*1,"")))</f>
        <v/>
      </c>
      <c r="BS297" t="str">
        <f>IF(OR(BS$23="",ISNA($B297)),"",IF(ISBLANK($B297),"",IFERROR(_xll.BDP(TICKER,"DEEP_MEASURE_PERIOD_BROKER_VALUE","DEEP_MEASURE_ID_OVERRIDE",$C297,"DEEP_BROKER_ID_OVERRIDE",BS$24,"DEEP_PERIOD_OVERRIDE",$H$19)*1,"")))</f>
        <v/>
      </c>
      <c r="BT297" t="str">
        <f>IF(OR(BT$23="",ISNA($B297)),"",IF(ISBLANK($B297),"",IFERROR(_xll.BDP(TICKER,"DEEP_MEASURE_PERIOD_BROKER_VALUE","DEEP_MEASURE_ID_OVERRIDE",$C297,"DEEP_BROKER_ID_OVERRIDE",BT$24,"DEEP_PERIOD_OVERRIDE",$H$19)*1,"")))</f>
        <v/>
      </c>
      <c r="BU297" t="str">
        <f>IF(OR(BU$23="",ISNA($B297)),"",IF(ISBLANK($B297),"",IFERROR(_xll.BDP(TICKER,"DEEP_MEASURE_PERIOD_BROKER_VALUE","DEEP_MEASURE_ID_OVERRIDE",$C297,"DEEP_BROKER_ID_OVERRIDE",BU$24,"DEEP_PERIOD_OVERRIDE",$H$19)*1,"")))</f>
        <v/>
      </c>
      <c r="BV297" t="str">
        <f>IF(OR(BV$23="",ISNA($B297)),"",IF(ISBLANK($B297),"",IFERROR(_xll.BDP(TICKER,"DEEP_MEASURE_PERIOD_BROKER_VALUE","DEEP_MEASURE_ID_OVERRIDE",$C297,"DEEP_BROKER_ID_OVERRIDE",BV$24,"DEEP_PERIOD_OVERRIDE",$H$19)*1,"")))</f>
        <v/>
      </c>
      <c r="BW297" t="str">
        <f>IF(OR(BW$23="",ISNA($B297)),"",IF(ISBLANK($B297),"",IFERROR(_xll.BDP(TICKER,"DEEP_MEASURE_PERIOD_BROKER_VALUE","DEEP_MEASURE_ID_OVERRIDE",$C297,"DEEP_BROKER_ID_OVERRIDE",BW$24,"DEEP_PERIOD_OVERRIDE",$H$19)*1,"")))</f>
        <v/>
      </c>
      <c r="BX297" t="str">
        <f>IF(OR(BX$23="",ISNA($B297)),"",IF(ISBLANK($B297),"",IFERROR(_xll.BDP(TICKER,"DEEP_MEASURE_PERIOD_BROKER_VALUE","DEEP_MEASURE_ID_OVERRIDE",$C297,"DEEP_BROKER_ID_OVERRIDE",BX$24,"DEEP_PERIOD_OVERRIDE",$H$19)*1,"")))</f>
        <v/>
      </c>
      <c r="BY297" t="str">
        <f>IF(OR(BY$23="",ISNA($B297)),"",IF(ISBLANK($B297),"",IFERROR(_xll.BDP(TICKER,"DEEP_MEASURE_PERIOD_BROKER_VALUE","DEEP_MEASURE_ID_OVERRIDE",$C297,"DEEP_BROKER_ID_OVERRIDE",BY$24,"DEEP_PERIOD_OVERRIDE",$H$19)*1,"")))</f>
        <v/>
      </c>
      <c r="BZ297" t="str">
        <f>IF(OR(BZ$23="",ISNA($B297)),"",IF(ISBLANK($B297),"",IFERROR(_xll.BDP(TICKER,"DEEP_MEASURE_PERIOD_BROKER_VALUE","DEEP_MEASURE_ID_OVERRIDE",$C297,"DEEP_BROKER_ID_OVERRIDE",BZ$24,"DEEP_PERIOD_OVERRIDE",$H$19)*1,"")))</f>
        <v/>
      </c>
    </row>
    <row r="298" spans="8:78" x14ac:dyDescent="0.25">
      <c r="H298" t="str">
        <f t="shared" si="5"/>
        <v/>
      </c>
      <c r="I298" t="str">
        <f>IF(OR(I$23="",ISNA($B298)),"",IF(ISBLANK($B298),"",IFERROR(_xll.BDP(TICKER,"DEEP_MEASURE_PERIOD_BROKER_VALUE","DEEP_MEASURE_ID_OVERRIDE",$C298,"DEEP_PERIOD_OVERRIDE",$H$19)*1,"")))</f>
        <v/>
      </c>
      <c r="J298" t="e">
        <f>IF(OR(J$23="",ISNA($B298)),"",IF(ISBLANK($B298),"",IFERROR(_xll.BDP(TICKER,"DEEP_MEASURE_PERIOD_BROKER_VALUE","DEEP_MEASURE_ID_OVERRIDE",$C298,"DEEP_BROKER_ID_OVERRIDE",J$24,"DEEP_PERIOD_OVERRIDE",$H$19)*1,"")))</f>
        <v>#REF!</v>
      </c>
      <c r="K298" t="str">
        <f>IF(OR(K$23="",ISNA($B298)),"",IF(ISBLANK($B298),"",IFERROR(_xll.BDP(TICKER,"DEEP_MEASURE_PERIOD_BROKER_VALUE","DEEP_MEASURE_ID_OVERRIDE",$C298,"DEEP_BROKER_ID_OVERRIDE",K$24,"DEEP_PERIOD_OVERRIDE",$H$19)*1,"")))</f>
        <v/>
      </c>
      <c r="L298" t="str">
        <f>IF(OR(L$23="",ISNA($B298)),"",IF(ISBLANK($B298),"",IFERROR(_xll.BDP(TICKER,"DEEP_MEASURE_PERIOD_BROKER_VALUE","DEEP_MEASURE_ID_OVERRIDE",$C298,"DEEP_BROKER_ID_OVERRIDE",L$24,"DEEP_PERIOD_OVERRIDE",$H$19)*1,"")))</f>
        <v/>
      </c>
      <c r="M298" t="str">
        <f>IF(OR(M$23="",ISNA($B298)),"",IF(ISBLANK($B298),"",IFERROR(_xll.BDP(TICKER,"DEEP_MEASURE_PERIOD_BROKER_VALUE","DEEP_MEASURE_ID_OVERRIDE",$C298,"DEEP_BROKER_ID_OVERRIDE",M$24,"DEEP_PERIOD_OVERRIDE",$H$19)*1,"")))</f>
        <v/>
      </c>
      <c r="N298" t="str">
        <f>IF(OR(N$23="",ISNA($B298)),"",IF(ISBLANK($B298),"",IFERROR(_xll.BDP(TICKER,"DEEP_MEASURE_PERIOD_BROKER_VALUE","DEEP_MEASURE_ID_OVERRIDE",$C298,"DEEP_BROKER_ID_OVERRIDE",N$24,"DEEP_PERIOD_OVERRIDE",$H$19)*1,"")))</f>
        <v/>
      </c>
      <c r="O298" t="str">
        <f>IF(OR(O$23="",ISNA($B298)),"",IF(ISBLANK($B298),"",IFERROR(_xll.BDP(TICKER,"DEEP_MEASURE_PERIOD_BROKER_VALUE","DEEP_MEASURE_ID_OVERRIDE",$C298,"DEEP_BROKER_ID_OVERRIDE",O$24,"DEEP_PERIOD_OVERRIDE",$H$19)*1,"")))</f>
        <v/>
      </c>
      <c r="P298" t="str">
        <f>IF(OR(P$23="",ISNA($B298)),"",IF(ISBLANK($B298),"",IFERROR(_xll.BDP(TICKER,"DEEP_MEASURE_PERIOD_BROKER_VALUE","DEEP_MEASURE_ID_OVERRIDE",$C298,"DEEP_BROKER_ID_OVERRIDE",P$24,"DEEP_PERIOD_OVERRIDE",$H$19)*1,"")))</f>
        <v/>
      </c>
      <c r="Q298" t="str">
        <f>IF(OR(Q$23="",ISNA($B298)),"",IF(ISBLANK($B298),"",IFERROR(_xll.BDP(TICKER,"DEEP_MEASURE_PERIOD_BROKER_VALUE","DEEP_MEASURE_ID_OVERRIDE",$C298,"DEEP_BROKER_ID_OVERRIDE",Q$24,"DEEP_PERIOD_OVERRIDE",$H$19)*1,"")))</f>
        <v/>
      </c>
      <c r="R298" t="str">
        <f>IF(OR(R$23="",ISNA($B298)),"",IF(ISBLANK($B298),"",IFERROR(_xll.BDP(TICKER,"DEEP_MEASURE_PERIOD_BROKER_VALUE","DEEP_MEASURE_ID_OVERRIDE",$C298,"DEEP_BROKER_ID_OVERRIDE",R$24,"DEEP_PERIOD_OVERRIDE",$H$19)*1,"")))</f>
        <v/>
      </c>
      <c r="S298" t="str">
        <f>IF(OR(S$23="",ISNA($B298)),"",IF(ISBLANK($B298),"",IFERROR(_xll.BDP(TICKER,"DEEP_MEASURE_PERIOD_BROKER_VALUE","DEEP_MEASURE_ID_OVERRIDE",$C298,"DEEP_BROKER_ID_OVERRIDE",S$24,"DEEP_PERIOD_OVERRIDE",$H$19)*1,"")))</f>
        <v/>
      </c>
      <c r="T298" t="str">
        <f>IF(OR(T$23="",ISNA($B298)),"",IF(ISBLANK($B298),"",IFERROR(_xll.BDP(TICKER,"DEEP_MEASURE_PERIOD_BROKER_VALUE","DEEP_MEASURE_ID_OVERRIDE",$C298,"DEEP_BROKER_ID_OVERRIDE",T$24,"DEEP_PERIOD_OVERRIDE",$H$19)*1,"")))</f>
        <v/>
      </c>
      <c r="U298" t="str">
        <f>IF(OR(U$23="",ISNA($B298)),"",IF(ISBLANK($B298),"",IFERROR(_xll.BDP(TICKER,"DEEP_MEASURE_PERIOD_BROKER_VALUE","DEEP_MEASURE_ID_OVERRIDE",$C298,"DEEP_BROKER_ID_OVERRIDE",U$24,"DEEP_PERIOD_OVERRIDE",$H$19)*1,"")))</f>
        <v/>
      </c>
      <c r="V298" t="str">
        <f>IF(OR(V$23="",ISNA($B298)),"",IF(ISBLANK($B298),"",IFERROR(_xll.BDP(TICKER,"DEEP_MEASURE_PERIOD_BROKER_VALUE","DEEP_MEASURE_ID_OVERRIDE",$C298,"DEEP_BROKER_ID_OVERRIDE",V$24,"DEEP_PERIOD_OVERRIDE",$H$19)*1,"")))</f>
        <v/>
      </c>
      <c r="W298" t="str">
        <f>IF(OR(W$23="",ISNA($B298)),"",IF(ISBLANK($B298),"",IFERROR(_xll.BDP(TICKER,"DEEP_MEASURE_PERIOD_BROKER_VALUE","DEEP_MEASURE_ID_OVERRIDE",$C298,"DEEP_BROKER_ID_OVERRIDE",W$24,"DEEP_PERIOD_OVERRIDE",$H$19)*1,"")))</f>
        <v/>
      </c>
      <c r="X298" t="str">
        <f>IF(OR(X$23="",ISNA($B298)),"",IF(ISBLANK($B298),"",IFERROR(_xll.BDP(TICKER,"DEEP_MEASURE_PERIOD_BROKER_VALUE","DEEP_MEASURE_ID_OVERRIDE",$C298,"DEEP_BROKER_ID_OVERRIDE",X$24,"DEEP_PERIOD_OVERRIDE",$H$19)*1,"")))</f>
        <v/>
      </c>
      <c r="Y298" t="str">
        <f>IF(OR(Y$23="",ISNA($B298)),"",IF(ISBLANK($B298),"",IFERROR(_xll.BDP(TICKER,"DEEP_MEASURE_PERIOD_BROKER_VALUE","DEEP_MEASURE_ID_OVERRIDE",$C298,"DEEP_BROKER_ID_OVERRIDE",Y$24,"DEEP_PERIOD_OVERRIDE",$H$19)*1,"")))</f>
        <v/>
      </c>
      <c r="Z298" t="str">
        <f>IF(OR(Z$23="",ISNA($B298)),"",IF(ISBLANK($B298),"",IFERROR(_xll.BDP(TICKER,"DEEP_MEASURE_PERIOD_BROKER_VALUE","DEEP_MEASURE_ID_OVERRIDE",$C298,"DEEP_BROKER_ID_OVERRIDE",Z$24,"DEEP_PERIOD_OVERRIDE",$H$19)*1,"")))</f>
        <v/>
      </c>
      <c r="AA298" t="str">
        <f>IF(OR(AA$23="",ISNA($B298)),"",IF(ISBLANK($B298),"",IFERROR(_xll.BDP(TICKER,"DEEP_MEASURE_PERIOD_BROKER_VALUE","DEEP_MEASURE_ID_OVERRIDE",$C298,"DEEP_BROKER_ID_OVERRIDE",AA$24,"DEEP_PERIOD_OVERRIDE",$H$19)*1,"")))</f>
        <v/>
      </c>
      <c r="AB298" t="str">
        <f>IF(OR(AB$23="",ISNA($B298)),"",IF(ISBLANK($B298),"",IFERROR(_xll.BDP(TICKER,"DEEP_MEASURE_PERIOD_BROKER_VALUE","DEEP_MEASURE_ID_OVERRIDE",$C298,"DEEP_BROKER_ID_OVERRIDE",AB$24,"DEEP_PERIOD_OVERRIDE",$H$19)*1,"")))</f>
        <v/>
      </c>
      <c r="AC298" t="str">
        <f>IF(OR(AC$23="",ISNA($B298)),"",IF(ISBLANK($B298),"",IFERROR(_xll.BDP(TICKER,"DEEP_MEASURE_PERIOD_BROKER_VALUE","DEEP_MEASURE_ID_OVERRIDE",$C298,"DEEP_BROKER_ID_OVERRIDE",AC$24,"DEEP_PERIOD_OVERRIDE",$H$19)*1,"")))</f>
        <v/>
      </c>
      <c r="AD298" t="str">
        <f>IF(OR(AD$23="",ISNA($B298)),"",IF(ISBLANK($B298),"",IFERROR(_xll.BDP(TICKER,"DEEP_MEASURE_PERIOD_BROKER_VALUE","DEEP_MEASURE_ID_OVERRIDE",$C298,"DEEP_BROKER_ID_OVERRIDE",AD$24,"DEEP_PERIOD_OVERRIDE",$H$19)*1,"")))</f>
        <v/>
      </c>
      <c r="AE298" t="str">
        <f>IF(OR(AE$23="",ISNA($B298)),"",IF(ISBLANK($B298),"",IFERROR(_xll.BDP(TICKER,"DEEP_MEASURE_PERIOD_BROKER_VALUE","DEEP_MEASURE_ID_OVERRIDE",$C298,"DEEP_BROKER_ID_OVERRIDE",AE$24,"DEEP_PERIOD_OVERRIDE",$H$19)*1,"")))</f>
        <v/>
      </c>
      <c r="AF298" t="str">
        <f>IF(OR(AF$23="",ISNA($B298)),"",IF(ISBLANK($B298),"",IFERROR(_xll.BDP(TICKER,"DEEP_MEASURE_PERIOD_BROKER_VALUE","DEEP_MEASURE_ID_OVERRIDE",$C298,"DEEP_BROKER_ID_OVERRIDE",AF$24,"DEEP_PERIOD_OVERRIDE",$H$19)*1,"")))</f>
        <v/>
      </c>
      <c r="AG298" t="str">
        <f>IF(OR(AG$23="",ISNA($B298)),"",IF(ISBLANK($B298),"",IFERROR(_xll.BDP(TICKER,"DEEP_MEASURE_PERIOD_BROKER_VALUE","DEEP_MEASURE_ID_OVERRIDE",$C298,"DEEP_BROKER_ID_OVERRIDE",AG$24,"DEEP_PERIOD_OVERRIDE",$H$19)*1,"")))</f>
        <v/>
      </c>
      <c r="AH298" t="str">
        <f>IF(OR(AH$23="",ISNA($B298)),"",IF(ISBLANK($B298),"",IFERROR(_xll.BDP(TICKER,"DEEP_MEASURE_PERIOD_BROKER_VALUE","DEEP_MEASURE_ID_OVERRIDE",$C298,"DEEP_BROKER_ID_OVERRIDE",AH$24,"DEEP_PERIOD_OVERRIDE",$H$19)*1,"")))</f>
        <v/>
      </c>
      <c r="AI298" t="str">
        <f>IF(OR(AI$23="",ISNA($B298)),"",IF(ISBLANK($B298),"",IFERROR(_xll.BDP(TICKER,"DEEP_MEASURE_PERIOD_BROKER_VALUE","DEEP_MEASURE_ID_OVERRIDE",$C298,"DEEP_BROKER_ID_OVERRIDE",AI$24,"DEEP_PERIOD_OVERRIDE",$H$19)*1,"")))</f>
        <v/>
      </c>
      <c r="AJ298" t="str">
        <f>IF(OR(AJ$23="",ISNA($B298)),"",IF(ISBLANK($B298),"",IFERROR(_xll.BDP(TICKER,"DEEP_MEASURE_PERIOD_BROKER_VALUE","DEEP_MEASURE_ID_OVERRIDE",$C298,"DEEP_BROKER_ID_OVERRIDE",AJ$24,"DEEP_PERIOD_OVERRIDE",$H$19)*1,"")))</f>
        <v/>
      </c>
      <c r="AK298" t="str">
        <f>IF(OR(AK$23="",ISNA($B298)),"",IF(ISBLANK($B298),"",IFERROR(_xll.BDP(TICKER,"DEEP_MEASURE_PERIOD_BROKER_VALUE","DEEP_MEASURE_ID_OVERRIDE",$C298,"DEEP_BROKER_ID_OVERRIDE",AK$24,"DEEP_PERIOD_OVERRIDE",$H$19)*1,"")))</f>
        <v/>
      </c>
      <c r="AL298" t="str">
        <f>IF(OR(AL$23="",ISNA($B298)),"",IF(ISBLANK($B298),"",IFERROR(_xll.BDP(TICKER,"DEEP_MEASURE_PERIOD_BROKER_VALUE","DEEP_MEASURE_ID_OVERRIDE",$C298,"DEEP_BROKER_ID_OVERRIDE",AL$24,"DEEP_PERIOD_OVERRIDE",$H$19)*1,"")))</f>
        <v/>
      </c>
      <c r="AM298" t="str">
        <f>IF(OR(AM$23="",ISNA($B298)),"",IF(ISBLANK($B298),"",IFERROR(_xll.BDP(TICKER,"DEEP_MEASURE_PERIOD_BROKER_VALUE","DEEP_MEASURE_ID_OVERRIDE",$C298,"DEEP_BROKER_ID_OVERRIDE",AM$24,"DEEP_PERIOD_OVERRIDE",$H$19)*1,"")))</f>
        <v/>
      </c>
      <c r="AN298" t="str">
        <f>IF(OR(AN$23="",ISNA($B298)),"",IF(ISBLANK($B298),"",IFERROR(_xll.BDP(TICKER,"DEEP_MEASURE_PERIOD_BROKER_VALUE","DEEP_MEASURE_ID_OVERRIDE",$C298,"DEEP_BROKER_ID_OVERRIDE",AN$24,"DEEP_PERIOD_OVERRIDE",$H$19)*1,"")))</f>
        <v/>
      </c>
      <c r="AO298" t="str">
        <f>IF(OR(AO$23="",ISNA($B298)),"",IF(ISBLANK($B298),"",IFERROR(_xll.BDP(TICKER,"DEEP_MEASURE_PERIOD_BROKER_VALUE","DEEP_MEASURE_ID_OVERRIDE",$C298,"DEEP_BROKER_ID_OVERRIDE",AO$24,"DEEP_PERIOD_OVERRIDE",$H$19)*1,"")))</f>
        <v/>
      </c>
      <c r="AP298" t="str">
        <f>IF(OR(AP$23="",ISNA($B298)),"",IF(ISBLANK($B298),"",IFERROR(_xll.BDP(TICKER,"DEEP_MEASURE_PERIOD_BROKER_VALUE","DEEP_MEASURE_ID_OVERRIDE",$C298,"DEEP_BROKER_ID_OVERRIDE",AP$24,"DEEP_PERIOD_OVERRIDE",$H$19)*1,"")))</f>
        <v/>
      </c>
      <c r="AQ298" t="str">
        <f>IF(OR(AQ$23="",ISNA($B298)),"",IF(ISBLANK($B298),"",IFERROR(_xll.BDP(TICKER,"DEEP_MEASURE_PERIOD_BROKER_VALUE","DEEP_MEASURE_ID_OVERRIDE",$C298,"DEEP_BROKER_ID_OVERRIDE",AQ$24,"DEEP_PERIOD_OVERRIDE",$H$19)*1,"")))</f>
        <v/>
      </c>
      <c r="AR298" t="str">
        <f>IF(OR(AR$23="",ISNA($B298)),"",IF(ISBLANK($B298),"",IFERROR(_xll.BDP(TICKER,"DEEP_MEASURE_PERIOD_BROKER_VALUE","DEEP_MEASURE_ID_OVERRIDE",$C298,"DEEP_BROKER_ID_OVERRIDE",AR$24,"DEEP_PERIOD_OVERRIDE",$H$19)*1,"")))</f>
        <v/>
      </c>
      <c r="AS298" t="str">
        <f>IF(OR(AS$23="",ISNA($B298)),"",IF(ISBLANK($B298),"",IFERROR(_xll.BDP(TICKER,"DEEP_MEASURE_PERIOD_BROKER_VALUE","DEEP_MEASURE_ID_OVERRIDE",$C298,"DEEP_BROKER_ID_OVERRIDE",AS$24,"DEEP_PERIOD_OVERRIDE",$H$19)*1,"")))</f>
        <v/>
      </c>
      <c r="AT298" t="str">
        <f>IF(OR(AT$23="",ISNA($B298)),"",IF(ISBLANK($B298),"",IFERROR(_xll.BDP(TICKER,"DEEP_MEASURE_PERIOD_BROKER_VALUE","DEEP_MEASURE_ID_OVERRIDE",$C298,"DEEP_BROKER_ID_OVERRIDE",AT$24,"DEEP_PERIOD_OVERRIDE",$H$19)*1,"")))</f>
        <v/>
      </c>
      <c r="AU298" t="str">
        <f>IF(OR(AU$23="",ISNA($B298)),"",IF(ISBLANK($B298),"",IFERROR(_xll.BDP(TICKER,"DEEP_MEASURE_PERIOD_BROKER_VALUE","DEEP_MEASURE_ID_OVERRIDE",$C298,"DEEP_BROKER_ID_OVERRIDE",AU$24,"DEEP_PERIOD_OVERRIDE",$H$19)*1,"")))</f>
        <v/>
      </c>
      <c r="AV298" t="str">
        <f>IF(OR(AV$23="",ISNA($B298)),"",IF(ISBLANK($B298),"",IFERROR(_xll.BDP(TICKER,"DEEP_MEASURE_PERIOD_BROKER_VALUE","DEEP_MEASURE_ID_OVERRIDE",$C298,"DEEP_BROKER_ID_OVERRIDE",AV$24,"DEEP_PERIOD_OVERRIDE",$H$19)*1,"")))</f>
        <v/>
      </c>
      <c r="AW298" t="str">
        <f>IF(OR(AW$23="",ISNA($B298)),"",IF(ISBLANK($B298),"",IFERROR(_xll.BDP(TICKER,"DEEP_MEASURE_PERIOD_BROKER_VALUE","DEEP_MEASURE_ID_OVERRIDE",$C298,"DEEP_BROKER_ID_OVERRIDE",AW$24,"DEEP_PERIOD_OVERRIDE",$H$19)*1,"")))</f>
        <v/>
      </c>
      <c r="AX298" t="str">
        <f>IF(OR(AX$23="",ISNA($B298)),"",IF(ISBLANK($B298),"",IFERROR(_xll.BDP(TICKER,"DEEP_MEASURE_PERIOD_BROKER_VALUE","DEEP_MEASURE_ID_OVERRIDE",$C298,"DEEP_BROKER_ID_OVERRIDE",AX$24,"DEEP_PERIOD_OVERRIDE",$H$19)*1,"")))</f>
        <v/>
      </c>
      <c r="AY298" t="str">
        <f>IF(OR(AY$23="",ISNA($B298)),"",IF(ISBLANK($B298),"",IFERROR(_xll.BDP(TICKER,"DEEP_MEASURE_PERIOD_BROKER_VALUE","DEEP_MEASURE_ID_OVERRIDE",$C298,"DEEP_BROKER_ID_OVERRIDE",AY$24,"DEEP_PERIOD_OVERRIDE",$H$19)*1,"")))</f>
        <v/>
      </c>
      <c r="AZ298" t="str">
        <f>IF(OR(AZ$23="",ISNA($B298)),"",IF(ISBLANK($B298),"",IFERROR(_xll.BDP(TICKER,"DEEP_MEASURE_PERIOD_BROKER_VALUE","DEEP_MEASURE_ID_OVERRIDE",$C298,"DEEP_BROKER_ID_OVERRIDE",AZ$24,"DEEP_PERIOD_OVERRIDE",$H$19)*1,"")))</f>
        <v/>
      </c>
      <c r="BA298" t="str">
        <f>IF(OR(BA$23="",ISNA($B298)),"",IF(ISBLANK($B298),"",IFERROR(_xll.BDP(TICKER,"DEEP_MEASURE_PERIOD_BROKER_VALUE","DEEP_MEASURE_ID_OVERRIDE",$C298,"DEEP_BROKER_ID_OVERRIDE",BA$24,"DEEP_PERIOD_OVERRIDE",$H$19)*1,"")))</f>
        <v/>
      </c>
      <c r="BB298" t="str">
        <f>IF(OR(BB$23="",ISNA($B298)),"",IF(ISBLANK($B298),"",IFERROR(_xll.BDP(TICKER,"DEEP_MEASURE_PERIOD_BROKER_VALUE","DEEP_MEASURE_ID_OVERRIDE",$C298,"DEEP_BROKER_ID_OVERRIDE",BB$24,"DEEP_PERIOD_OVERRIDE",$H$19)*1,"")))</f>
        <v/>
      </c>
      <c r="BC298" t="str">
        <f>IF(OR(BC$23="",ISNA($B298)),"",IF(ISBLANK($B298),"",IFERROR(_xll.BDP(TICKER,"DEEP_MEASURE_PERIOD_BROKER_VALUE","DEEP_MEASURE_ID_OVERRIDE",$C298,"DEEP_BROKER_ID_OVERRIDE",BC$24,"DEEP_PERIOD_OVERRIDE",$H$19)*1,"")))</f>
        <v/>
      </c>
      <c r="BD298" t="str">
        <f>IF(OR(BD$23="",ISNA($B298)),"",IF(ISBLANK($B298),"",IFERROR(_xll.BDP(TICKER,"DEEP_MEASURE_PERIOD_BROKER_VALUE","DEEP_MEASURE_ID_OVERRIDE",$C298,"DEEP_BROKER_ID_OVERRIDE",BD$24,"DEEP_PERIOD_OVERRIDE",$H$19)*1,"")))</f>
        <v/>
      </c>
      <c r="BE298" t="str">
        <f>IF(OR(BE$23="",ISNA($B298)),"",IF(ISBLANK($B298),"",IFERROR(_xll.BDP(TICKER,"DEEP_MEASURE_PERIOD_BROKER_VALUE","DEEP_MEASURE_ID_OVERRIDE",$C298,"DEEP_BROKER_ID_OVERRIDE",BE$24,"DEEP_PERIOD_OVERRIDE",$H$19)*1,"")))</f>
        <v/>
      </c>
      <c r="BF298" t="str">
        <f>IF(OR(BF$23="",ISNA($B298)),"",IF(ISBLANK($B298),"",IFERROR(_xll.BDP(TICKER,"DEEP_MEASURE_PERIOD_BROKER_VALUE","DEEP_MEASURE_ID_OVERRIDE",$C298,"DEEP_BROKER_ID_OVERRIDE",BF$24,"DEEP_PERIOD_OVERRIDE",$H$19)*1,"")))</f>
        <v/>
      </c>
      <c r="BG298" t="str">
        <f>IF(OR(BG$23="",ISNA($B298)),"",IF(ISBLANK($B298),"",IFERROR(_xll.BDP(TICKER,"DEEP_MEASURE_PERIOD_BROKER_VALUE","DEEP_MEASURE_ID_OVERRIDE",$C298,"DEEP_BROKER_ID_OVERRIDE",BG$24,"DEEP_PERIOD_OVERRIDE",$H$19)*1,"")))</f>
        <v/>
      </c>
      <c r="BH298" t="str">
        <f>IF(OR(BH$23="",ISNA($B298)),"",IF(ISBLANK($B298),"",IFERROR(_xll.BDP(TICKER,"DEEP_MEASURE_PERIOD_BROKER_VALUE","DEEP_MEASURE_ID_OVERRIDE",$C298,"DEEP_BROKER_ID_OVERRIDE",BH$24,"DEEP_PERIOD_OVERRIDE",$H$19)*1,"")))</f>
        <v/>
      </c>
      <c r="BI298" t="str">
        <f>IF(OR(BI$23="",ISNA($B298)),"",IF(ISBLANK($B298),"",IFERROR(_xll.BDP(TICKER,"DEEP_MEASURE_PERIOD_BROKER_VALUE","DEEP_MEASURE_ID_OVERRIDE",$C298,"DEEP_BROKER_ID_OVERRIDE",BI$24,"DEEP_PERIOD_OVERRIDE",$H$19)*1,"")))</f>
        <v/>
      </c>
      <c r="BJ298" t="str">
        <f>IF(OR(BJ$23="",ISNA($B298)),"",IF(ISBLANK($B298),"",IFERROR(_xll.BDP(TICKER,"DEEP_MEASURE_PERIOD_BROKER_VALUE","DEEP_MEASURE_ID_OVERRIDE",$C298,"DEEP_BROKER_ID_OVERRIDE",BJ$24,"DEEP_PERIOD_OVERRIDE",$H$19)*1,"")))</f>
        <v/>
      </c>
      <c r="BK298" t="str">
        <f>IF(OR(BK$23="",ISNA($B298)),"",IF(ISBLANK($B298),"",IFERROR(_xll.BDP(TICKER,"DEEP_MEASURE_PERIOD_BROKER_VALUE","DEEP_MEASURE_ID_OVERRIDE",$C298,"DEEP_BROKER_ID_OVERRIDE",BK$24,"DEEP_PERIOD_OVERRIDE",$H$19)*1,"")))</f>
        <v/>
      </c>
      <c r="BL298" t="str">
        <f>IF(OR(BL$23="",ISNA($B298)),"",IF(ISBLANK($B298),"",IFERROR(_xll.BDP(TICKER,"DEEP_MEASURE_PERIOD_BROKER_VALUE","DEEP_MEASURE_ID_OVERRIDE",$C298,"DEEP_BROKER_ID_OVERRIDE",BL$24,"DEEP_PERIOD_OVERRIDE",$H$19)*1,"")))</f>
        <v/>
      </c>
      <c r="BM298" t="str">
        <f>IF(OR(BM$23="",ISNA($B298)),"",IF(ISBLANK($B298),"",IFERROR(_xll.BDP(TICKER,"DEEP_MEASURE_PERIOD_BROKER_VALUE","DEEP_MEASURE_ID_OVERRIDE",$C298,"DEEP_BROKER_ID_OVERRIDE",BM$24,"DEEP_PERIOD_OVERRIDE",$H$19)*1,"")))</f>
        <v/>
      </c>
      <c r="BN298" t="str">
        <f>IF(OR(BN$23="",ISNA($B298)),"",IF(ISBLANK($B298),"",IFERROR(_xll.BDP(TICKER,"DEEP_MEASURE_PERIOD_BROKER_VALUE","DEEP_MEASURE_ID_OVERRIDE",$C298,"DEEP_BROKER_ID_OVERRIDE",BN$24,"DEEP_PERIOD_OVERRIDE",$H$19)*1,"")))</f>
        <v/>
      </c>
      <c r="BO298" t="str">
        <f>IF(OR(BO$23="",ISNA($B298)),"",IF(ISBLANK($B298),"",IFERROR(_xll.BDP(TICKER,"DEEP_MEASURE_PERIOD_BROKER_VALUE","DEEP_MEASURE_ID_OVERRIDE",$C298,"DEEP_BROKER_ID_OVERRIDE",BO$24,"DEEP_PERIOD_OVERRIDE",$H$19)*1,"")))</f>
        <v/>
      </c>
      <c r="BP298" t="str">
        <f>IF(OR(BP$23="",ISNA($B298)),"",IF(ISBLANK($B298),"",IFERROR(_xll.BDP(TICKER,"DEEP_MEASURE_PERIOD_BROKER_VALUE","DEEP_MEASURE_ID_OVERRIDE",$C298,"DEEP_BROKER_ID_OVERRIDE",BP$24,"DEEP_PERIOD_OVERRIDE",$H$19)*1,"")))</f>
        <v/>
      </c>
      <c r="BQ298" t="str">
        <f>IF(OR(BQ$23="",ISNA($B298)),"",IF(ISBLANK($B298),"",IFERROR(_xll.BDP(TICKER,"DEEP_MEASURE_PERIOD_BROKER_VALUE","DEEP_MEASURE_ID_OVERRIDE",$C298,"DEEP_BROKER_ID_OVERRIDE",BQ$24,"DEEP_PERIOD_OVERRIDE",$H$19)*1,"")))</f>
        <v/>
      </c>
      <c r="BR298" t="str">
        <f>IF(OR(BR$23="",ISNA($B298)),"",IF(ISBLANK($B298),"",IFERROR(_xll.BDP(TICKER,"DEEP_MEASURE_PERIOD_BROKER_VALUE","DEEP_MEASURE_ID_OVERRIDE",$C298,"DEEP_BROKER_ID_OVERRIDE",BR$24,"DEEP_PERIOD_OVERRIDE",$H$19)*1,"")))</f>
        <v/>
      </c>
      <c r="BS298" t="str">
        <f>IF(OR(BS$23="",ISNA($B298)),"",IF(ISBLANK($B298),"",IFERROR(_xll.BDP(TICKER,"DEEP_MEASURE_PERIOD_BROKER_VALUE","DEEP_MEASURE_ID_OVERRIDE",$C298,"DEEP_BROKER_ID_OVERRIDE",BS$24,"DEEP_PERIOD_OVERRIDE",$H$19)*1,"")))</f>
        <v/>
      </c>
      <c r="BT298" t="str">
        <f>IF(OR(BT$23="",ISNA($B298)),"",IF(ISBLANK($B298),"",IFERROR(_xll.BDP(TICKER,"DEEP_MEASURE_PERIOD_BROKER_VALUE","DEEP_MEASURE_ID_OVERRIDE",$C298,"DEEP_BROKER_ID_OVERRIDE",BT$24,"DEEP_PERIOD_OVERRIDE",$H$19)*1,"")))</f>
        <v/>
      </c>
      <c r="BU298" t="str">
        <f>IF(OR(BU$23="",ISNA($B298)),"",IF(ISBLANK($B298),"",IFERROR(_xll.BDP(TICKER,"DEEP_MEASURE_PERIOD_BROKER_VALUE","DEEP_MEASURE_ID_OVERRIDE",$C298,"DEEP_BROKER_ID_OVERRIDE",BU$24,"DEEP_PERIOD_OVERRIDE",$H$19)*1,"")))</f>
        <v/>
      </c>
      <c r="BV298" t="str">
        <f>IF(OR(BV$23="",ISNA($B298)),"",IF(ISBLANK($B298),"",IFERROR(_xll.BDP(TICKER,"DEEP_MEASURE_PERIOD_BROKER_VALUE","DEEP_MEASURE_ID_OVERRIDE",$C298,"DEEP_BROKER_ID_OVERRIDE",BV$24,"DEEP_PERIOD_OVERRIDE",$H$19)*1,"")))</f>
        <v/>
      </c>
      <c r="BW298" t="str">
        <f>IF(OR(BW$23="",ISNA($B298)),"",IF(ISBLANK($B298),"",IFERROR(_xll.BDP(TICKER,"DEEP_MEASURE_PERIOD_BROKER_VALUE","DEEP_MEASURE_ID_OVERRIDE",$C298,"DEEP_BROKER_ID_OVERRIDE",BW$24,"DEEP_PERIOD_OVERRIDE",$H$19)*1,"")))</f>
        <v/>
      </c>
      <c r="BX298" t="str">
        <f>IF(OR(BX$23="",ISNA($B298)),"",IF(ISBLANK($B298),"",IFERROR(_xll.BDP(TICKER,"DEEP_MEASURE_PERIOD_BROKER_VALUE","DEEP_MEASURE_ID_OVERRIDE",$C298,"DEEP_BROKER_ID_OVERRIDE",BX$24,"DEEP_PERIOD_OVERRIDE",$H$19)*1,"")))</f>
        <v/>
      </c>
      <c r="BY298" t="str">
        <f>IF(OR(BY$23="",ISNA($B298)),"",IF(ISBLANK($B298),"",IFERROR(_xll.BDP(TICKER,"DEEP_MEASURE_PERIOD_BROKER_VALUE","DEEP_MEASURE_ID_OVERRIDE",$C298,"DEEP_BROKER_ID_OVERRIDE",BY$24,"DEEP_PERIOD_OVERRIDE",$H$19)*1,"")))</f>
        <v/>
      </c>
      <c r="BZ298" t="str">
        <f>IF(OR(BZ$23="",ISNA($B298)),"",IF(ISBLANK($B298),"",IFERROR(_xll.BDP(TICKER,"DEEP_MEASURE_PERIOD_BROKER_VALUE","DEEP_MEASURE_ID_OVERRIDE",$C298,"DEEP_BROKER_ID_OVERRIDE",BZ$24,"DEEP_PERIOD_OVERRIDE",$H$19)*1,"")))</f>
        <v/>
      </c>
    </row>
    <row r="299" spans="8:78" x14ac:dyDescent="0.25">
      <c r="H299" t="str">
        <f t="shared" si="5"/>
        <v/>
      </c>
      <c r="I299" t="str">
        <f>IF(OR(I$23="",ISNA($B299)),"",IF(ISBLANK($B299),"",IFERROR(_xll.BDP(TICKER,"DEEP_MEASURE_PERIOD_BROKER_VALUE","DEEP_MEASURE_ID_OVERRIDE",$C299,"DEEP_PERIOD_OVERRIDE",$H$19)*1,"")))</f>
        <v/>
      </c>
      <c r="J299" t="e">
        <f>IF(OR(J$23="",ISNA($B299)),"",IF(ISBLANK($B299),"",IFERROR(_xll.BDP(TICKER,"DEEP_MEASURE_PERIOD_BROKER_VALUE","DEEP_MEASURE_ID_OVERRIDE",$C299,"DEEP_BROKER_ID_OVERRIDE",J$24,"DEEP_PERIOD_OVERRIDE",$H$19)*1,"")))</f>
        <v>#REF!</v>
      </c>
      <c r="K299" t="str">
        <f>IF(OR(K$23="",ISNA($B299)),"",IF(ISBLANK($B299),"",IFERROR(_xll.BDP(TICKER,"DEEP_MEASURE_PERIOD_BROKER_VALUE","DEEP_MEASURE_ID_OVERRIDE",$C299,"DEEP_BROKER_ID_OVERRIDE",K$24,"DEEP_PERIOD_OVERRIDE",$H$19)*1,"")))</f>
        <v/>
      </c>
      <c r="L299" t="str">
        <f>IF(OR(L$23="",ISNA($B299)),"",IF(ISBLANK($B299),"",IFERROR(_xll.BDP(TICKER,"DEEP_MEASURE_PERIOD_BROKER_VALUE","DEEP_MEASURE_ID_OVERRIDE",$C299,"DEEP_BROKER_ID_OVERRIDE",L$24,"DEEP_PERIOD_OVERRIDE",$H$19)*1,"")))</f>
        <v/>
      </c>
      <c r="M299" t="str">
        <f>IF(OR(M$23="",ISNA($B299)),"",IF(ISBLANK($B299),"",IFERROR(_xll.BDP(TICKER,"DEEP_MEASURE_PERIOD_BROKER_VALUE","DEEP_MEASURE_ID_OVERRIDE",$C299,"DEEP_BROKER_ID_OVERRIDE",M$24,"DEEP_PERIOD_OVERRIDE",$H$19)*1,"")))</f>
        <v/>
      </c>
      <c r="N299" t="str">
        <f>IF(OR(N$23="",ISNA($B299)),"",IF(ISBLANK($B299),"",IFERROR(_xll.BDP(TICKER,"DEEP_MEASURE_PERIOD_BROKER_VALUE","DEEP_MEASURE_ID_OVERRIDE",$C299,"DEEP_BROKER_ID_OVERRIDE",N$24,"DEEP_PERIOD_OVERRIDE",$H$19)*1,"")))</f>
        <v/>
      </c>
      <c r="O299" t="str">
        <f>IF(OR(O$23="",ISNA($B299)),"",IF(ISBLANK($B299),"",IFERROR(_xll.BDP(TICKER,"DEEP_MEASURE_PERIOD_BROKER_VALUE","DEEP_MEASURE_ID_OVERRIDE",$C299,"DEEP_BROKER_ID_OVERRIDE",O$24,"DEEP_PERIOD_OVERRIDE",$H$19)*1,"")))</f>
        <v/>
      </c>
      <c r="P299" t="str">
        <f>IF(OR(P$23="",ISNA($B299)),"",IF(ISBLANK($B299),"",IFERROR(_xll.BDP(TICKER,"DEEP_MEASURE_PERIOD_BROKER_VALUE","DEEP_MEASURE_ID_OVERRIDE",$C299,"DEEP_BROKER_ID_OVERRIDE",P$24,"DEEP_PERIOD_OVERRIDE",$H$19)*1,"")))</f>
        <v/>
      </c>
      <c r="Q299" t="str">
        <f>IF(OR(Q$23="",ISNA($B299)),"",IF(ISBLANK($B299),"",IFERROR(_xll.BDP(TICKER,"DEEP_MEASURE_PERIOD_BROKER_VALUE","DEEP_MEASURE_ID_OVERRIDE",$C299,"DEEP_BROKER_ID_OVERRIDE",Q$24,"DEEP_PERIOD_OVERRIDE",$H$19)*1,"")))</f>
        <v/>
      </c>
      <c r="R299" t="str">
        <f>IF(OR(R$23="",ISNA($B299)),"",IF(ISBLANK($B299),"",IFERROR(_xll.BDP(TICKER,"DEEP_MEASURE_PERIOD_BROKER_VALUE","DEEP_MEASURE_ID_OVERRIDE",$C299,"DEEP_BROKER_ID_OVERRIDE",R$24,"DEEP_PERIOD_OVERRIDE",$H$19)*1,"")))</f>
        <v/>
      </c>
      <c r="S299" t="str">
        <f>IF(OR(S$23="",ISNA($B299)),"",IF(ISBLANK($B299),"",IFERROR(_xll.BDP(TICKER,"DEEP_MEASURE_PERIOD_BROKER_VALUE","DEEP_MEASURE_ID_OVERRIDE",$C299,"DEEP_BROKER_ID_OVERRIDE",S$24,"DEEP_PERIOD_OVERRIDE",$H$19)*1,"")))</f>
        <v/>
      </c>
      <c r="T299" t="str">
        <f>IF(OR(T$23="",ISNA($B299)),"",IF(ISBLANK($B299),"",IFERROR(_xll.BDP(TICKER,"DEEP_MEASURE_PERIOD_BROKER_VALUE","DEEP_MEASURE_ID_OVERRIDE",$C299,"DEEP_BROKER_ID_OVERRIDE",T$24,"DEEP_PERIOD_OVERRIDE",$H$19)*1,"")))</f>
        <v/>
      </c>
      <c r="U299" t="str">
        <f>IF(OR(U$23="",ISNA($B299)),"",IF(ISBLANK($B299),"",IFERROR(_xll.BDP(TICKER,"DEEP_MEASURE_PERIOD_BROKER_VALUE","DEEP_MEASURE_ID_OVERRIDE",$C299,"DEEP_BROKER_ID_OVERRIDE",U$24,"DEEP_PERIOD_OVERRIDE",$H$19)*1,"")))</f>
        <v/>
      </c>
      <c r="V299" t="str">
        <f>IF(OR(V$23="",ISNA($B299)),"",IF(ISBLANK($B299),"",IFERROR(_xll.BDP(TICKER,"DEEP_MEASURE_PERIOD_BROKER_VALUE","DEEP_MEASURE_ID_OVERRIDE",$C299,"DEEP_BROKER_ID_OVERRIDE",V$24,"DEEP_PERIOD_OVERRIDE",$H$19)*1,"")))</f>
        <v/>
      </c>
      <c r="W299" t="str">
        <f>IF(OR(W$23="",ISNA($B299)),"",IF(ISBLANK($B299),"",IFERROR(_xll.BDP(TICKER,"DEEP_MEASURE_PERIOD_BROKER_VALUE","DEEP_MEASURE_ID_OVERRIDE",$C299,"DEEP_BROKER_ID_OVERRIDE",W$24,"DEEP_PERIOD_OVERRIDE",$H$19)*1,"")))</f>
        <v/>
      </c>
      <c r="X299" t="str">
        <f>IF(OR(X$23="",ISNA($B299)),"",IF(ISBLANK($B299),"",IFERROR(_xll.BDP(TICKER,"DEEP_MEASURE_PERIOD_BROKER_VALUE","DEEP_MEASURE_ID_OVERRIDE",$C299,"DEEP_BROKER_ID_OVERRIDE",X$24,"DEEP_PERIOD_OVERRIDE",$H$19)*1,"")))</f>
        <v/>
      </c>
      <c r="Y299" t="str">
        <f>IF(OR(Y$23="",ISNA($B299)),"",IF(ISBLANK($B299),"",IFERROR(_xll.BDP(TICKER,"DEEP_MEASURE_PERIOD_BROKER_VALUE","DEEP_MEASURE_ID_OVERRIDE",$C299,"DEEP_BROKER_ID_OVERRIDE",Y$24,"DEEP_PERIOD_OVERRIDE",$H$19)*1,"")))</f>
        <v/>
      </c>
      <c r="Z299" t="str">
        <f>IF(OR(Z$23="",ISNA($B299)),"",IF(ISBLANK($B299),"",IFERROR(_xll.BDP(TICKER,"DEEP_MEASURE_PERIOD_BROKER_VALUE","DEEP_MEASURE_ID_OVERRIDE",$C299,"DEEP_BROKER_ID_OVERRIDE",Z$24,"DEEP_PERIOD_OVERRIDE",$H$19)*1,"")))</f>
        <v/>
      </c>
      <c r="AA299" t="str">
        <f>IF(OR(AA$23="",ISNA($B299)),"",IF(ISBLANK($B299),"",IFERROR(_xll.BDP(TICKER,"DEEP_MEASURE_PERIOD_BROKER_VALUE","DEEP_MEASURE_ID_OVERRIDE",$C299,"DEEP_BROKER_ID_OVERRIDE",AA$24,"DEEP_PERIOD_OVERRIDE",$H$19)*1,"")))</f>
        <v/>
      </c>
      <c r="AB299" t="str">
        <f>IF(OR(AB$23="",ISNA($B299)),"",IF(ISBLANK($B299),"",IFERROR(_xll.BDP(TICKER,"DEEP_MEASURE_PERIOD_BROKER_VALUE","DEEP_MEASURE_ID_OVERRIDE",$C299,"DEEP_BROKER_ID_OVERRIDE",AB$24,"DEEP_PERIOD_OVERRIDE",$H$19)*1,"")))</f>
        <v/>
      </c>
      <c r="AC299" t="str">
        <f>IF(OR(AC$23="",ISNA($B299)),"",IF(ISBLANK($B299),"",IFERROR(_xll.BDP(TICKER,"DEEP_MEASURE_PERIOD_BROKER_VALUE","DEEP_MEASURE_ID_OVERRIDE",$C299,"DEEP_BROKER_ID_OVERRIDE",AC$24,"DEEP_PERIOD_OVERRIDE",$H$19)*1,"")))</f>
        <v/>
      </c>
      <c r="AD299" t="str">
        <f>IF(OR(AD$23="",ISNA($B299)),"",IF(ISBLANK($B299),"",IFERROR(_xll.BDP(TICKER,"DEEP_MEASURE_PERIOD_BROKER_VALUE","DEEP_MEASURE_ID_OVERRIDE",$C299,"DEEP_BROKER_ID_OVERRIDE",AD$24,"DEEP_PERIOD_OVERRIDE",$H$19)*1,"")))</f>
        <v/>
      </c>
      <c r="AE299" t="str">
        <f>IF(OR(AE$23="",ISNA($B299)),"",IF(ISBLANK($B299),"",IFERROR(_xll.BDP(TICKER,"DEEP_MEASURE_PERIOD_BROKER_VALUE","DEEP_MEASURE_ID_OVERRIDE",$C299,"DEEP_BROKER_ID_OVERRIDE",AE$24,"DEEP_PERIOD_OVERRIDE",$H$19)*1,"")))</f>
        <v/>
      </c>
      <c r="AF299" t="str">
        <f>IF(OR(AF$23="",ISNA($B299)),"",IF(ISBLANK($B299),"",IFERROR(_xll.BDP(TICKER,"DEEP_MEASURE_PERIOD_BROKER_VALUE","DEEP_MEASURE_ID_OVERRIDE",$C299,"DEEP_BROKER_ID_OVERRIDE",AF$24,"DEEP_PERIOD_OVERRIDE",$H$19)*1,"")))</f>
        <v/>
      </c>
      <c r="AG299" t="str">
        <f>IF(OR(AG$23="",ISNA($B299)),"",IF(ISBLANK($B299),"",IFERROR(_xll.BDP(TICKER,"DEEP_MEASURE_PERIOD_BROKER_VALUE","DEEP_MEASURE_ID_OVERRIDE",$C299,"DEEP_BROKER_ID_OVERRIDE",AG$24,"DEEP_PERIOD_OVERRIDE",$H$19)*1,"")))</f>
        <v/>
      </c>
      <c r="AH299" t="str">
        <f>IF(OR(AH$23="",ISNA($B299)),"",IF(ISBLANK($B299),"",IFERROR(_xll.BDP(TICKER,"DEEP_MEASURE_PERIOD_BROKER_VALUE","DEEP_MEASURE_ID_OVERRIDE",$C299,"DEEP_BROKER_ID_OVERRIDE",AH$24,"DEEP_PERIOD_OVERRIDE",$H$19)*1,"")))</f>
        <v/>
      </c>
      <c r="AI299" t="str">
        <f>IF(OR(AI$23="",ISNA($B299)),"",IF(ISBLANK($B299),"",IFERROR(_xll.BDP(TICKER,"DEEP_MEASURE_PERIOD_BROKER_VALUE","DEEP_MEASURE_ID_OVERRIDE",$C299,"DEEP_BROKER_ID_OVERRIDE",AI$24,"DEEP_PERIOD_OVERRIDE",$H$19)*1,"")))</f>
        <v/>
      </c>
      <c r="AJ299" t="str">
        <f>IF(OR(AJ$23="",ISNA($B299)),"",IF(ISBLANK($B299),"",IFERROR(_xll.BDP(TICKER,"DEEP_MEASURE_PERIOD_BROKER_VALUE","DEEP_MEASURE_ID_OVERRIDE",$C299,"DEEP_BROKER_ID_OVERRIDE",AJ$24,"DEEP_PERIOD_OVERRIDE",$H$19)*1,"")))</f>
        <v/>
      </c>
      <c r="AK299" t="str">
        <f>IF(OR(AK$23="",ISNA($B299)),"",IF(ISBLANK($B299),"",IFERROR(_xll.BDP(TICKER,"DEEP_MEASURE_PERIOD_BROKER_VALUE","DEEP_MEASURE_ID_OVERRIDE",$C299,"DEEP_BROKER_ID_OVERRIDE",AK$24,"DEEP_PERIOD_OVERRIDE",$H$19)*1,"")))</f>
        <v/>
      </c>
      <c r="AL299" t="str">
        <f>IF(OR(AL$23="",ISNA($B299)),"",IF(ISBLANK($B299),"",IFERROR(_xll.BDP(TICKER,"DEEP_MEASURE_PERIOD_BROKER_VALUE","DEEP_MEASURE_ID_OVERRIDE",$C299,"DEEP_BROKER_ID_OVERRIDE",AL$24,"DEEP_PERIOD_OVERRIDE",$H$19)*1,"")))</f>
        <v/>
      </c>
      <c r="AM299" t="str">
        <f>IF(OR(AM$23="",ISNA($B299)),"",IF(ISBLANK($B299),"",IFERROR(_xll.BDP(TICKER,"DEEP_MEASURE_PERIOD_BROKER_VALUE","DEEP_MEASURE_ID_OVERRIDE",$C299,"DEEP_BROKER_ID_OVERRIDE",AM$24,"DEEP_PERIOD_OVERRIDE",$H$19)*1,"")))</f>
        <v/>
      </c>
      <c r="AN299" t="str">
        <f>IF(OR(AN$23="",ISNA($B299)),"",IF(ISBLANK($B299),"",IFERROR(_xll.BDP(TICKER,"DEEP_MEASURE_PERIOD_BROKER_VALUE","DEEP_MEASURE_ID_OVERRIDE",$C299,"DEEP_BROKER_ID_OVERRIDE",AN$24,"DEEP_PERIOD_OVERRIDE",$H$19)*1,"")))</f>
        <v/>
      </c>
      <c r="AO299" t="str">
        <f>IF(OR(AO$23="",ISNA($B299)),"",IF(ISBLANK($B299),"",IFERROR(_xll.BDP(TICKER,"DEEP_MEASURE_PERIOD_BROKER_VALUE","DEEP_MEASURE_ID_OVERRIDE",$C299,"DEEP_BROKER_ID_OVERRIDE",AO$24,"DEEP_PERIOD_OVERRIDE",$H$19)*1,"")))</f>
        <v/>
      </c>
      <c r="AP299" t="str">
        <f>IF(OR(AP$23="",ISNA($B299)),"",IF(ISBLANK($B299),"",IFERROR(_xll.BDP(TICKER,"DEEP_MEASURE_PERIOD_BROKER_VALUE","DEEP_MEASURE_ID_OVERRIDE",$C299,"DEEP_BROKER_ID_OVERRIDE",AP$24,"DEEP_PERIOD_OVERRIDE",$H$19)*1,"")))</f>
        <v/>
      </c>
      <c r="AQ299" t="str">
        <f>IF(OR(AQ$23="",ISNA($B299)),"",IF(ISBLANK($B299),"",IFERROR(_xll.BDP(TICKER,"DEEP_MEASURE_PERIOD_BROKER_VALUE","DEEP_MEASURE_ID_OVERRIDE",$C299,"DEEP_BROKER_ID_OVERRIDE",AQ$24,"DEEP_PERIOD_OVERRIDE",$H$19)*1,"")))</f>
        <v/>
      </c>
      <c r="AR299" t="str">
        <f>IF(OR(AR$23="",ISNA($B299)),"",IF(ISBLANK($B299),"",IFERROR(_xll.BDP(TICKER,"DEEP_MEASURE_PERIOD_BROKER_VALUE","DEEP_MEASURE_ID_OVERRIDE",$C299,"DEEP_BROKER_ID_OVERRIDE",AR$24,"DEEP_PERIOD_OVERRIDE",$H$19)*1,"")))</f>
        <v/>
      </c>
      <c r="AS299" t="str">
        <f>IF(OR(AS$23="",ISNA($B299)),"",IF(ISBLANK($B299),"",IFERROR(_xll.BDP(TICKER,"DEEP_MEASURE_PERIOD_BROKER_VALUE","DEEP_MEASURE_ID_OVERRIDE",$C299,"DEEP_BROKER_ID_OVERRIDE",AS$24,"DEEP_PERIOD_OVERRIDE",$H$19)*1,"")))</f>
        <v/>
      </c>
      <c r="AT299" t="str">
        <f>IF(OR(AT$23="",ISNA($B299)),"",IF(ISBLANK($B299),"",IFERROR(_xll.BDP(TICKER,"DEEP_MEASURE_PERIOD_BROKER_VALUE","DEEP_MEASURE_ID_OVERRIDE",$C299,"DEEP_BROKER_ID_OVERRIDE",AT$24,"DEEP_PERIOD_OVERRIDE",$H$19)*1,"")))</f>
        <v/>
      </c>
      <c r="AU299" t="str">
        <f>IF(OR(AU$23="",ISNA($B299)),"",IF(ISBLANK($B299),"",IFERROR(_xll.BDP(TICKER,"DEEP_MEASURE_PERIOD_BROKER_VALUE","DEEP_MEASURE_ID_OVERRIDE",$C299,"DEEP_BROKER_ID_OVERRIDE",AU$24,"DEEP_PERIOD_OVERRIDE",$H$19)*1,"")))</f>
        <v/>
      </c>
      <c r="AV299" t="str">
        <f>IF(OR(AV$23="",ISNA($B299)),"",IF(ISBLANK($B299),"",IFERROR(_xll.BDP(TICKER,"DEEP_MEASURE_PERIOD_BROKER_VALUE","DEEP_MEASURE_ID_OVERRIDE",$C299,"DEEP_BROKER_ID_OVERRIDE",AV$24,"DEEP_PERIOD_OVERRIDE",$H$19)*1,"")))</f>
        <v/>
      </c>
      <c r="AW299" t="str">
        <f>IF(OR(AW$23="",ISNA($B299)),"",IF(ISBLANK($B299),"",IFERROR(_xll.BDP(TICKER,"DEEP_MEASURE_PERIOD_BROKER_VALUE","DEEP_MEASURE_ID_OVERRIDE",$C299,"DEEP_BROKER_ID_OVERRIDE",AW$24,"DEEP_PERIOD_OVERRIDE",$H$19)*1,"")))</f>
        <v/>
      </c>
      <c r="AX299" t="str">
        <f>IF(OR(AX$23="",ISNA($B299)),"",IF(ISBLANK($B299),"",IFERROR(_xll.BDP(TICKER,"DEEP_MEASURE_PERIOD_BROKER_VALUE","DEEP_MEASURE_ID_OVERRIDE",$C299,"DEEP_BROKER_ID_OVERRIDE",AX$24,"DEEP_PERIOD_OVERRIDE",$H$19)*1,"")))</f>
        <v/>
      </c>
      <c r="AY299" t="str">
        <f>IF(OR(AY$23="",ISNA($B299)),"",IF(ISBLANK($B299),"",IFERROR(_xll.BDP(TICKER,"DEEP_MEASURE_PERIOD_BROKER_VALUE","DEEP_MEASURE_ID_OVERRIDE",$C299,"DEEP_BROKER_ID_OVERRIDE",AY$24,"DEEP_PERIOD_OVERRIDE",$H$19)*1,"")))</f>
        <v/>
      </c>
      <c r="AZ299" t="str">
        <f>IF(OR(AZ$23="",ISNA($B299)),"",IF(ISBLANK($B299),"",IFERROR(_xll.BDP(TICKER,"DEEP_MEASURE_PERIOD_BROKER_VALUE","DEEP_MEASURE_ID_OVERRIDE",$C299,"DEEP_BROKER_ID_OVERRIDE",AZ$24,"DEEP_PERIOD_OVERRIDE",$H$19)*1,"")))</f>
        <v/>
      </c>
      <c r="BA299" t="str">
        <f>IF(OR(BA$23="",ISNA($B299)),"",IF(ISBLANK($B299),"",IFERROR(_xll.BDP(TICKER,"DEEP_MEASURE_PERIOD_BROKER_VALUE","DEEP_MEASURE_ID_OVERRIDE",$C299,"DEEP_BROKER_ID_OVERRIDE",BA$24,"DEEP_PERIOD_OVERRIDE",$H$19)*1,"")))</f>
        <v/>
      </c>
      <c r="BB299" t="str">
        <f>IF(OR(BB$23="",ISNA($B299)),"",IF(ISBLANK($B299),"",IFERROR(_xll.BDP(TICKER,"DEEP_MEASURE_PERIOD_BROKER_VALUE","DEEP_MEASURE_ID_OVERRIDE",$C299,"DEEP_BROKER_ID_OVERRIDE",BB$24,"DEEP_PERIOD_OVERRIDE",$H$19)*1,"")))</f>
        <v/>
      </c>
      <c r="BC299" t="str">
        <f>IF(OR(BC$23="",ISNA($B299)),"",IF(ISBLANK($B299),"",IFERROR(_xll.BDP(TICKER,"DEEP_MEASURE_PERIOD_BROKER_VALUE","DEEP_MEASURE_ID_OVERRIDE",$C299,"DEEP_BROKER_ID_OVERRIDE",BC$24,"DEEP_PERIOD_OVERRIDE",$H$19)*1,"")))</f>
        <v/>
      </c>
      <c r="BD299" t="str">
        <f>IF(OR(BD$23="",ISNA($B299)),"",IF(ISBLANK($B299),"",IFERROR(_xll.BDP(TICKER,"DEEP_MEASURE_PERIOD_BROKER_VALUE","DEEP_MEASURE_ID_OVERRIDE",$C299,"DEEP_BROKER_ID_OVERRIDE",BD$24,"DEEP_PERIOD_OVERRIDE",$H$19)*1,"")))</f>
        <v/>
      </c>
      <c r="BE299" t="str">
        <f>IF(OR(BE$23="",ISNA($B299)),"",IF(ISBLANK($B299),"",IFERROR(_xll.BDP(TICKER,"DEEP_MEASURE_PERIOD_BROKER_VALUE","DEEP_MEASURE_ID_OVERRIDE",$C299,"DEEP_BROKER_ID_OVERRIDE",BE$24,"DEEP_PERIOD_OVERRIDE",$H$19)*1,"")))</f>
        <v/>
      </c>
      <c r="BF299" t="str">
        <f>IF(OR(BF$23="",ISNA($B299)),"",IF(ISBLANK($B299),"",IFERROR(_xll.BDP(TICKER,"DEEP_MEASURE_PERIOD_BROKER_VALUE","DEEP_MEASURE_ID_OVERRIDE",$C299,"DEEP_BROKER_ID_OVERRIDE",BF$24,"DEEP_PERIOD_OVERRIDE",$H$19)*1,"")))</f>
        <v/>
      </c>
      <c r="BG299" t="str">
        <f>IF(OR(BG$23="",ISNA($B299)),"",IF(ISBLANK($B299),"",IFERROR(_xll.BDP(TICKER,"DEEP_MEASURE_PERIOD_BROKER_VALUE","DEEP_MEASURE_ID_OVERRIDE",$C299,"DEEP_BROKER_ID_OVERRIDE",BG$24,"DEEP_PERIOD_OVERRIDE",$H$19)*1,"")))</f>
        <v/>
      </c>
      <c r="BH299" t="str">
        <f>IF(OR(BH$23="",ISNA($B299)),"",IF(ISBLANK($B299),"",IFERROR(_xll.BDP(TICKER,"DEEP_MEASURE_PERIOD_BROKER_VALUE","DEEP_MEASURE_ID_OVERRIDE",$C299,"DEEP_BROKER_ID_OVERRIDE",BH$24,"DEEP_PERIOD_OVERRIDE",$H$19)*1,"")))</f>
        <v/>
      </c>
      <c r="BI299" t="str">
        <f>IF(OR(BI$23="",ISNA($B299)),"",IF(ISBLANK($B299),"",IFERROR(_xll.BDP(TICKER,"DEEP_MEASURE_PERIOD_BROKER_VALUE","DEEP_MEASURE_ID_OVERRIDE",$C299,"DEEP_BROKER_ID_OVERRIDE",BI$24,"DEEP_PERIOD_OVERRIDE",$H$19)*1,"")))</f>
        <v/>
      </c>
      <c r="BJ299" t="str">
        <f>IF(OR(BJ$23="",ISNA($B299)),"",IF(ISBLANK($B299),"",IFERROR(_xll.BDP(TICKER,"DEEP_MEASURE_PERIOD_BROKER_VALUE","DEEP_MEASURE_ID_OVERRIDE",$C299,"DEEP_BROKER_ID_OVERRIDE",BJ$24,"DEEP_PERIOD_OVERRIDE",$H$19)*1,"")))</f>
        <v/>
      </c>
      <c r="BK299" t="str">
        <f>IF(OR(BK$23="",ISNA($B299)),"",IF(ISBLANK($B299),"",IFERROR(_xll.BDP(TICKER,"DEEP_MEASURE_PERIOD_BROKER_VALUE","DEEP_MEASURE_ID_OVERRIDE",$C299,"DEEP_BROKER_ID_OVERRIDE",BK$24,"DEEP_PERIOD_OVERRIDE",$H$19)*1,"")))</f>
        <v/>
      </c>
      <c r="BL299" t="str">
        <f>IF(OR(BL$23="",ISNA($B299)),"",IF(ISBLANK($B299),"",IFERROR(_xll.BDP(TICKER,"DEEP_MEASURE_PERIOD_BROKER_VALUE","DEEP_MEASURE_ID_OVERRIDE",$C299,"DEEP_BROKER_ID_OVERRIDE",BL$24,"DEEP_PERIOD_OVERRIDE",$H$19)*1,"")))</f>
        <v/>
      </c>
      <c r="BM299" t="str">
        <f>IF(OR(BM$23="",ISNA($B299)),"",IF(ISBLANK($B299),"",IFERROR(_xll.BDP(TICKER,"DEEP_MEASURE_PERIOD_BROKER_VALUE","DEEP_MEASURE_ID_OVERRIDE",$C299,"DEEP_BROKER_ID_OVERRIDE",BM$24,"DEEP_PERIOD_OVERRIDE",$H$19)*1,"")))</f>
        <v/>
      </c>
      <c r="BN299" t="str">
        <f>IF(OR(BN$23="",ISNA($B299)),"",IF(ISBLANK($B299),"",IFERROR(_xll.BDP(TICKER,"DEEP_MEASURE_PERIOD_BROKER_VALUE","DEEP_MEASURE_ID_OVERRIDE",$C299,"DEEP_BROKER_ID_OVERRIDE",BN$24,"DEEP_PERIOD_OVERRIDE",$H$19)*1,"")))</f>
        <v/>
      </c>
      <c r="BO299" t="str">
        <f>IF(OR(BO$23="",ISNA($B299)),"",IF(ISBLANK($B299),"",IFERROR(_xll.BDP(TICKER,"DEEP_MEASURE_PERIOD_BROKER_VALUE","DEEP_MEASURE_ID_OVERRIDE",$C299,"DEEP_BROKER_ID_OVERRIDE",BO$24,"DEEP_PERIOD_OVERRIDE",$H$19)*1,"")))</f>
        <v/>
      </c>
      <c r="BP299" t="str">
        <f>IF(OR(BP$23="",ISNA($B299)),"",IF(ISBLANK($B299),"",IFERROR(_xll.BDP(TICKER,"DEEP_MEASURE_PERIOD_BROKER_VALUE","DEEP_MEASURE_ID_OVERRIDE",$C299,"DEEP_BROKER_ID_OVERRIDE",BP$24,"DEEP_PERIOD_OVERRIDE",$H$19)*1,"")))</f>
        <v/>
      </c>
      <c r="BQ299" t="str">
        <f>IF(OR(BQ$23="",ISNA($B299)),"",IF(ISBLANK($B299),"",IFERROR(_xll.BDP(TICKER,"DEEP_MEASURE_PERIOD_BROKER_VALUE","DEEP_MEASURE_ID_OVERRIDE",$C299,"DEEP_BROKER_ID_OVERRIDE",BQ$24,"DEEP_PERIOD_OVERRIDE",$H$19)*1,"")))</f>
        <v/>
      </c>
      <c r="BR299" t="str">
        <f>IF(OR(BR$23="",ISNA($B299)),"",IF(ISBLANK($B299),"",IFERROR(_xll.BDP(TICKER,"DEEP_MEASURE_PERIOD_BROKER_VALUE","DEEP_MEASURE_ID_OVERRIDE",$C299,"DEEP_BROKER_ID_OVERRIDE",BR$24,"DEEP_PERIOD_OVERRIDE",$H$19)*1,"")))</f>
        <v/>
      </c>
      <c r="BS299" t="str">
        <f>IF(OR(BS$23="",ISNA($B299)),"",IF(ISBLANK($B299),"",IFERROR(_xll.BDP(TICKER,"DEEP_MEASURE_PERIOD_BROKER_VALUE","DEEP_MEASURE_ID_OVERRIDE",$C299,"DEEP_BROKER_ID_OVERRIDE",BS$24,"DEEP_PERIOD_OVERRIDE",$H$19)*1,"")))</f>
        <v/>
      </c>
      <c r="BT299" t="str">
        <f>IF(OR(BT$23="",ISNA($B299)),"",IF(ISBLANK($B299),"",IFERROR(_xll.BDP(TICKER,"DEEP_MEASURE_PERIOD_BROKER_VALUE","DEEP_MEASURE_ID_OVERRIDE",$C299,"DEEP_BROKER_ID_OVERRIDE",BT$24,"DEEP_PERIOD_OVERRIDE",$H$19)*1,"")))</f>
        <v/>
      </c>
      <c r="BU299" t="str">
        <f>IF(OR(BU$23="",ISNA($B299)),"",IF(ISBLANK($B299),"",IFERROR(_xll.BDP(TICKER,"DEEP_MEASURE_PERIOD_BROKER_VALUE","DEEP_MEASURE_ID_OVERRIDE",$C299,"DEEP_BROKER_ID_OVERRIDE",BU$24,"DEEP_PERIOD_OVERRIDE",$H$19)*1,"")))</f>
        <v/>
      </c>
      <c r="BV299" t="str">
        <f>IF(OR(BV$23="",ISNA($B299)),"",IF(ISBLANK($B299),"",IFERROR(_xll.BDP(TICKER,"DEEP_MEASURE_PERIOD_BROKER_VALUE","DEEP_MEASURE_ID_OVERRIDE",$C299,"DEEP_BROKER_ID_OVERRIDE",BV$24,"DEEP_PERIOD_OVERRIDE",$H$19)*1,"")))</f>
        <v/>
      </c>
      <c r="BW299" t="str">
        <f>IF(OR(BW$23="",ISNA($B299)),"",IF(ISBLANK($B299),"",IFERROR(_xll.BDP(TICKER,"DEEP_MEASURE_PERIOD_BROKER_VALUE","DEEP_MEASURE_ID_OVERRIDE",$C299,"DEEP_BROKER_ID_OVERRIDE",BW$24,"DEEP_PERIOD_OVERRIDE",$H$19)*1,"")))</f>
        <v/>
      </c>
      <c r="BX299" t="str">
        <f>IF(OR(BX$23="",ISNA($B299)),"",IF(ISBLANK($B299),"",IFERROR(_xll.BDP(TICKER,"DEEP_MEASURE_PERIOD_BROKER_VALUE","DEEP_MEASURE_ID_OVERRIDE",$C299,"DEEP_BROKER_ID_OVERRIDE",BX$24,"DEEP_PERIOD_OVERRIDE",$H$19)*1,"")))</f>
        <v/>
      </c>
      <c r="BY299" t="str">
        <f>IF(OR(BY$23="",ISNA($B299)),"",IF(ISBLANK($B299),"",IFERROR(_xll.BDP(TICKER,"DEEP_MEASURE_PERIOD_BROKER_VALUE","DEEP_MEASURE_ID_OVERRIDE",$C299,"DEEP_BROKER_ID_OVERRIDE",BY$24,"DEEP_PERIOD_OVERRIDE",$H$19)*1,"")))</f>
        <v/>
      </c>
      <c r="BZ299" t="str">
        <f>IF(OR(BZ$23="",ISNA($B299)),"",IF(ISBLANK($B299),"",IFERROR(_xll.BDP(TICKER,"DEEP_MEASURE_PERIOD_BROKER_VALUE","DEEP_MEASURE_ID_OVERRIDE",$C299,"DEEP_BROKER_ID_OVERRIDE",BZ$24,"DEEP_PERIOD_OVERRIDE",$H$19)*1,"")))</f>
        <v/>
      </c>
    </row>
    <row r="300" spans="8:78" x14ac:dyDescent="0.25">
      <c r="H300" t="str">
        <f t="shared" si="5"/>
        <v/>
      </c>
      <c r="I300" t="str">
        <f>IF(OR(I$23="",ISNA($B300)),"",IF(ISBLANK($B300),"",IFERROR(_xll.BDP(TICKER,"DEEP_MEASURE_PERIOD_BROKER_VALUE","DEEP_MEASURE_ID_OVERRIDE",$C300,"DEEP_PERIOD_OVERRIDE",$H$19)*1,"")))</f>
        <v/>
      </c>
      <c r="J300" t="e">
        <f>IF(OR(J$23="",ISNA($B300)),"",IF(ISBLANK($B300),"",IFERROR(_xll.BDP(TICKER,"DEEP_MEASURE_PERIOD_BROKER_VALUE","DEEP_MEASURE_ID_OVERRIDE",$C300,"DEEP_BROKER_ID_OVERRIDE",J$24,"DEEP_PERIOD_OVERRIDE",$H$19)*1,"")))</f>
        <v>#REF!</v>
      </c>
      <c r="K300" t="str">
        <f>IF(OR(K$23="",ISNA($B300)),"",IF(ISBLANK($B300),"",IFERROR(_xll.BDP(TICKER,"DEEP_MEASURE_PERIOD_BROKER_VALUE","DEEP_MEASURE_ID_OVERRIDE",$C300,"DEEP_BROKER_ID_OVERRIDE",K$24,"DEEP_PERIOD_OVERRIDE",$H$19)*1,"")))</f>
        <v/>
      </c>
      <c r="L300" t="str">
        <f>IF(OR(L$23="",ISNA($B300)),"",IF(ISBLANK($B300),"",IFERROR(_xll.BDP(TICKER,"DEEP_MEASURE_PERIOD_BROKER_VALUE","DEEP_MEASURE_ID_OVERRIDE",$C300,"DEEP_BROKER_ID_OVERRIDE",L$24,"DEEP_PERIOD_OVERRIDE",$H$19)*1,"")))</f>
        <v/>
      </c>
      <c r="M300" t="str">
        <f>IF(OR(M$23="",ISNA($B300)),"",IF(ISBLANK($B300),"",IFERROR(_xll.BDP(TICKER,"DEEP_MEASURE_PERIOD_BROKER_VALUE","DEEP_MEASURE_ID_OVERRIDE",$C300,"DEEP_BROKER_ID_OVERRIDE",M$24,"DEEP_PERIOD_OVERRIDE",$H$19)*1,"")))</f>
        <v/>
      </c>
      <c r="N300" t="str">
        <f>IF(OR(N$23="",ISNA($B300)),"",IF(ISBLANK($B300),"",IFERROR(_xll.BDP(TICKER,"DEEP_MEASURE_PERIOD_BROKER_VALUE","DEEP_MEASURE_ID_OVERRIDE",$C300,"DEEP_BROKER_ID_OVERRIDE",N$24,"DEEP_PERIOD_OVERRIDE",$H$19)*1,"")))</f>
        <v/>
      </c>
      <c r="O300" t="str">
        <f>IF(OR(O$23="",ISNA($B300)),"",IF(ISBLANK($B300),"",IFERROR(_xll.BDP(TICKER,"DEEP_MEASURE_PERIOD_BROKER_VALUE","DEEP_MEASURE_ID_OVERRIDE",$C300,"DEEP_BROKER_ID_OVERRIDE",O$24,"DEEP_PERIOD_OVERRIDE",$H$19)*1,"")))</f>
        <v/>
      </c>
      <c r="P300" t="str">
        <f>IF(OR(P$23="",ISNA($B300)),"",IF(ISBLANK($B300),"",IFERROR(_xll.BDP(TICKER,"DEEP_MEASURE_PERIOD_BROKER_VALUE","DEEP_MEASURE_ID_OVERRIDE",$C300,"DEEP_BROKER_ID_OVERRIDE",P$24,"DEEP_PERIOD_OVERRIDE",$H$19)*1,"")))</f>
        <v/>
      </c>
      <c r="Q300" t="str">
        <f>IF(OR(Q$23="",ISNA($B300)),"",IF(ISBLANK($B300),"",IFERROR(_xll.BDP(TICKER,"DEEP_MEASURE_PERIOD_BROKER_VALUE","DEEP_MEASURE_ID_OVERRIDE",$C300,"DEEP_BROKER_ID_OVERRIDE",Q$24,"DEEP_PERIOD_OVERRIDE",$H$19)*1,"")))</f>
        <v/>
      </c>
      <c r="R300" t="str">
        <f>IF(OR(R$23="",ISNA($B300)),"",IF(ISBLANK($B300),"",IFERROR(_xll.BDP(TICKER,"DEEP_MEASURE_PERIOD_BROKER_VALUE","DEEP_MEASURE_ID_OVERRIDE",$C300,"DEEP_BROKER_ID_OVERRIDE",R$24,"DEEP_PERIOD_OVERRIDE",$H$19)*1,"")))</f>
        <v/>
      </c>
      <c r="S300" t="str">
        <f>IF(OR(S$23="",ISNA($B300)),"",IF(ISBLANK($B300),"",IFERROR(_xll.BDP(TICKER,"DEEP_MEASURE_PERIOD_BROKER_VALUE","DEEP_MEASURE_ID_OVERRIDE",$C300,"DEEP_BROKER_ID_OVERRIDE",S$24,"DEEP_PERIOD_OVERRIDE",$H$19)*1,"")))</f>
        <v/>
      </c>
      <c r="T300" t="str">
        <f>IF(OR(T$23="",ISNA($B300)),"",IF(ISBLANK($B300),"",IFERROR(_xll.BDP(TICKER,"DEEP_MEASURE_PERIOD_BROKER_VALUE","DEEP_MEASURE_ID_OVERRIDE",$C300,"DEEP_BROKER_ID_OVERRIDE",T$24,"DEEP_PERIOD_OVERRIDE",$H$19)*1,"")))</f>
        <v/>
      </c>
      <c r="U300" t="str">
        <f>IF(OR(U$23="",ISNA($B300)),"",IF(ISBLANK($B300),"",IFERROR(_xll.BDP(TICKER,"DEEP_MEASURE_PERIOD_BROKER_VALUE","DEEP_MEASURE_ID_OVERRIDE",$C300,"DEEP_BROKER_ID_OVERRIDE",U$24,"DEEP_PERIOD_OVERRIDE",$H$19)*1,"")))</f>
        <v/>
      </c>
      <c r="V300" t="str">
        <f>IF(OR(V$23="",ISNA($B300)),"",IF(ISBLANK($B300),"",IFERROR(_xll.BDP(TICKER,"DEEP_MEASURE_PERIOD_BROKER_VALUE","DEEP_MEASURE_ID_OVERRIDE",$C300,"DEEP_BROKER_ID_OVERRIDE",V$24,"DEEP_PERIOD_OVERRIDE",$H$19)*1,"")))</f>
        <v/>
      </c>
      <c r="W300" t="str">
        <f>IF(OR(W$23="",ISNA($B300)),"",IF(ISBLANK($B300),"",IFERROR(_xll.BDP(TICKER,"DEEP_MEASURE_PERIOD_BROKER_VALUE","DEEP_MEASURE_ID_OVERRIDE",$C300,"DEEP_BROKER_ID_OVERRIDE",W$24,"DEEP_PERIOD_OVERRIDE",$H$19)*1,"")))</f>
        <v/>
      </c>
      <c r="X300" t="str">
        <f>IF(OR(X$23="",ISNA($B300)),"",IF(ISBLANK($B300),"",IFERROR(_xll.BDP(TICKER,"DEEP_MEASURE_PERIOD_BROKER_VALUE","DEEP_MEASURE_ID_OVERRIDE",$C300,"DEEP_BROKER_ID_OVERRIDE",X$24,"DEEP_PERIOD_OVERRIDE",$H$19)*1,"")))</f>
        <v/>
      </c>
      <c r="Y300" t="str">
        <f>IF(OR(Y$23="",ISNA($B300)),"",IF(ISBLANK($B300),"",IFERROR(_xll.BDP(TICKER,"DEEP_MEASURE_PERIOD_BROKER_VALUE","DEEP_MEASURE_ID_OVERRIDE",$C300,"DEEP_BROKER_ID_OVERRIDE",Y$24,"DEEP_PERIOD_OVERRIDE",$H$19)*1,"")))</f>
        <v/>
      </c>
      <c r="Z300" t="str">
        <f>IF(OR(Z$23="",ISNA($B300)),"",IF(ISBLANK($B300),"",IFERROR(_xll.BDP(TICKER,"DEEP_MEASURE_PERIOD_BROKER_VALUE","DEEP_MEASURE_ID_OVERRIDE",$C300,"DEEP_BROKER_ID_OVERRIDE",Z$24,"DEEP_PERIOD_OVERRIDE",$H$19)*1,"")))</f>
        <v/>
      </c>
      <c r="AA300" t="str">
        <f>IF(OR(AA$23="",ISNA($B300)),"",IF(ISBLANK($B300),"",IFERROR(_xll.BDP(TICKER,"DEEP_MEASURE_PERIOD_BROKER_VALUE","DEEP_MEASURE_ID_OVERRIDE",$C300,"DEEP_BROKER_ID_OVERRIDE",AA$24,"DEEP_PERIOD_OVERRIDE",$H$19)*1,"")))</f>
        <v/>
      </c>
      <c r="AB300" t="str">
        <f>IF(OR(AB$23="",ISNA($B300)),"",IF(ISBLANK($B300),"",IFERROR(_xll.BDP(TICKER,"DEEP_MEASURE_PERIOD_BROKER_VALUE","DEEP_MEASURE_ID_OVERRIDE",$C300,"DEEP_BROKER_ID_OVERRIDE",AB$24,"DEEP_PERIOD_OVERRIDE",$H$19)*1,"")))</f>
        <v/>
      </c>
      <c r="AC300" t="str">
        <f>IF(OR(AC$23="",ISNA($B300)),"",IF(ISBLANK($B300),"",IFERROR(_xll.BDP(TICKER,"DEEP_MEASURE_PERIOD_BROKER_VALUE","DEEP_MEASURE_ID_OVERRIDE",$C300,"DEEP_BROKER_ID_OVERRIDE",AC$24,"DEEP_PERIOD_OVERRIDE",$H$19)*1,"")))</f>
        <v/>
      </c>
      <c r="AD300" t="str">
        <f>IF(OR(AD$23="",ISNA($B300)),"",IF(ISBLANK($B300),"",IFERROR(_xll.BDP(TICKER,"DEEP_MEASURE_PERIOD_BROKER_VALUE","DEEP_MEASURE_ID_OVERRIDE",$C300,"DEEP_BROKER_ID_OVERRIDE",AD$24,"DEEP_PERIOD_OVERRIDE",$H$19)*1,"")))</f>
        <v/>
      </c>
      <c r="AE300" t="str">
        <f>IF(OR(AE$23="",ISNA($B300)),"",IF(ISBLANK($B300),"",IFERROR(_xll.BDP(TICKER,"DEEP_MEASURE_PERIOD_BROKER_VALUE","DEEP_MEASURE_ID_OVERRIDE",$C300,"DEEP_BROKER_ID_OVERRIDE",AE$24,"DEEP_PERIOD_OVERRIDE",$H$19)*1,"")))</f>
        <v/>
      </c>
      <c r="AF300" t="str">
        <f>IF(OR(AF$23="",ISNA($B300)),"",IF(ISBLANK($B300),"",IFERROR(_xll.BDP(TICKER,"DEEP_MEASURE_PERIOD_BROKER_VALUE","DEEP_MEASURE_ID_OVERRIDE",$C300,"DEEP_BROKER_ID_OVERRIDE",AF$24,"DEEP_PERIOD_OVERRIDE",$H$19)*1,"")))</f>
        <v/>
      </c>
      <c r="AG300" t="str">
        <f>IF(OR(AG$23="",ISNA($B300)),"",IF(ISBLANK($B300),"",IFERROR(_xll.BDP(TICKER,"DEEP_MEASURE_PERIOD_BROKER_VALUE","DEEP_MEASURE_ID_OVERRIDE",$C300,"DEEP_BROKER_ID_OVERRIDE",AG$24,"DEEP_PERIOD_OVERRIDE",$H$19)*1,"")))</f>
        <v/>
      </c>
      <c r="AH300" t="str">
        <f>IF(OR(AH$23="",ISNA($B300)),"",IF(ISBLANK($B300),"",IFERROR(_xll.BDP(TICKER,"DEEP_MEASURE_PERIOD_BROKER_VALUE","DEEP_MEASURE_ID_OVERRIDE",$C300,"DEEP_BROKER_ID_OVERRIDE",AH$24,"DEEP_PERIOD_OVERRIDE",$H$19)*1,"")))</f>
        <v/>
      </c>
      <c r="AI300" t="str">
        <f>IF(OR(AI$23="",ISNA($B300)),"",IF(ISBLANK($B300),"",IFERROR(_xll.BDP(TICKER,"DEEP_MEASURE_PERIOD_BROKER_VALUE","DEEP_MEASURE_ID_OVERRIDE",$C300,"DEEP_BROKER_ID_OVERRIDE",AI$24,"DEEP_PERIOD_OVERRIDE",$H$19)*1,"")))</f>
        <v/>
      </c>
      <c r="AJ300" t="str">
        <f>IF(OR(AJ$23="",ISNA($B300)),"",IF(ISBLANK($B300),"",IFERROR(_xll.BDP(TICKER,"DEEP_MEASURE_PERIOD_BROKER_VALUE","DEEP_MEASURE_ID_OVERRIDE",$C300,"DEEP_BROKER_ID_OVERRIDE",AJ$24,"DEEP_PERIOD_OVERRIDE",$H$19)*1,"")))</f>
        <v/>
      </c>
      <c r="AK300" t="str">
        <f>IF(OR(AK$23="",ISNA($B300)),"",IF(ISBLANK($B300),"",IFERROR(_xll.BDP(TICKER,"DEEP_MEASURE_PERIOD_BROKER_VALUE","DEEP_MEASURE_ID_OVERRIDE",$C300,"DEEP_BROKER_ID_OVERRIDE",AK$24,"DEEP_PERIOD_OVERRIDE",$H$19)*1,"")))</f>
        <v/>
      </c>
      <c r="AL300" t="str">
        <f>IF(OR(AL$23="",ISNA($B300)),"",IF(ISBLANK($B300),"",IFERROR(_xll.BDP(TICKER,"DEEP_MEASURE_PERIOD_BROKER_VALUE","DEEP_MEASURE_ID_OVERRIDE",$C300,"DEEP_BROKER_ID_OVERRIDE",AL$24,"DEEP_PERIOD_OVERRIDE",$H$19)*1,"")))</f>
        <v/>
      </c>
      <c r="AM300" t="str">
        <f>IF(OR(AM$23="",ISNA($B300)),"",IF(ISBLANK($B300),"",IFERROR(_xll.BDP(TICKER,"DEEP_MEASURE_PERIOD_BROKER_VALUE","DEEP_MEASURE_ID_OVERRIDE",$C300,"DEEP_BROKER_ID_OVERRIDE",AM$24,"DEEP_PERIOD_OVERRIDE",$H$19)*1,"")))</f>
        <v/>
      </c>
      <c r="AN300" t="str">
        <f>IF(OR(AN$23="",ISNA($B300)),"",IF(ISBLANK($B300),"",IFERROR(_xll.BDP(TICKER,"DEEP_MEASURE_PERIOD_BROKER_VALUE","DEEP_MEASURE_ID_OVERRIDE",$C300,"DEEP_BROKER_ID_OVERRIDE",AN$24,"DEEP_PERIOD_OVERRIDE",$H$19)*1,"")))</f>
        <v/>
      </c>
      <c r="AO300" t="str">
        <f>IF(OR(AO$23="",ISNA($B300)),"",IF(ISBLANK($B300),"",IFERROR(_xll.BDP(TICKER,"DEEP_MEASURE_PERIOD_BROKER_VALUE","DEEP_MEASURE_ID_OVERRIDE",$C300,"DEEP_BROKER_ID_OVERRIDE",AO$24,"DEEP_PERIOD_OVERRIDE",$H$19)*1,"")))</f>
        <v/>
      </c>
      <c r="AP300" t="str">
        <f>IF(OR(AP$23="",ISNA($B300)),"",IF(ISBLANK($B300),"",IFERROR(_xll.BDP(TICKER,"DEEP_MEASURE_PERIOD_BROKER_VALUE","DEEP_MEASURE_ID_OVERRIDE",$C300,"DEEP_BROKER_ID_OVERRIDE",AP$24,"DEEP_PERIOD_OVERRIDE",$H$19)*1,"")))</f>
        <v/>
      </c>
      <c r="AQ300" t="str">
        <f>IF(OR(AQ$23="",ISNA($B300)),"",IF(ISBLANK($B300),"",IFERROR(_xll.BDP(TICKER,"DEEP_MEASURE_PERIOD_BROKER_VALUE","DEEP_MEASURE_ID_OVERRIDE",$C300,"DEEP_BROKER_ID_OVERRIDE",AQ$24,"DEEP_PERIOD_OVERRIDE",$H$19)*1,"")))</f>
        <v/>
      </c>
      <c r="AR300" t="str">
        <f>IF(OR(AR$23="",ISNA($B300)),"",IF(ISBLANK($B300),"",IFERROR(_xll.BDP(TICKER,"DEEP_MEASURE_PERIOD_BROKER_VALUE","DEEP_MEASURE_ID_OVERRIDE",$C300,"DEEP_BROKER_ID_OVERRIDE",AR$24,"DEEP_PERIOD_OVERRIDE",$H$19)*1,"")))</f>
        <v/>
      </c>
      <c r="AS300" t="str">
        <f>IF(OR(AS$23="",ISNA($B300)),"",IF(ISBLANK($B300),"",IFERROR(_xll.BDP(TICKER,"DEEP_MEASURE_PERIOD_BROKER_VALUE","DEEP_MEASURE_ID_OVERRIDE",$C300,"DEEP_BROKER_ID_OVERRIDE",AS$24,"DEEP_PERIOD_OVERRIDE",$H$19)*1,"")))</f>
        <v/>
      </c>
      <c r="AT300" t="str">
        <f>IF(OR(AT$23="",ISNA($B300)),"",IF(ISBLANK($B300),"",IFERROR(_xll.BDP(TICKER,"DEEP_MEASURE_PERIOD_BROKER_VALUE","DEEP_MEASURE_ID_OVERRIDE",$C300,"DEEP_BROKER_ID_OVERRIDE",AT$24,"DEEP_PERIOD_OVERRIDE",$H$19)*1,"")))</f>
        <v/>
      </c>
      <c r="AU300" t="str">
        <f>IF(OR(AU$23="",ISNA($B300)),"",IF(ISBLANK($B300),"",IFERROR(_xll.BDP(TICKER,"DEEP_MEASURE_PERIOD_BROKER_VALUE","DEEP_MEASURE_ID_OVERRIDE",$C300,"DEEP_BROKER_ID_OVERRIDE",AU$24,"DEEP_PERIOD_OVERRIDE",$H$19)*1,"")))</f>
        <v/>
      </c>
      <c r="AV300" t="str">
        <f>IF(OR(AV$23="",ISNA($B300)),"",IF(ISBLANK($B300),"",IFERROR(_xll.BDP(TICKER,"DEEP_MEASURE_PERIOD_BROKER_VALUE","DEEP_MEASURE_ID_OVERRIDE",$C300,"DEEP_BROKER_ID_OVERRIDE",AV$24,"DEEP_PERIOD_OVERRIDE",$H$19)*1,"")))</f>
        <v/>
      </c>
      <c r="AW300" t="str">
        <f>IF(OR(AW$23="",ISNA($B300)),"",IF(ISBLANK($B300),"",IFERROR(_xll.BDP(TICKER,"DEEP_MEASURE_PERIOD_BROKER_VALUE","DEEP_MEASURE_ID_OVERRIDE",$C300,"DEEP_BROKER_ID_OVERRIDE",AW$24,"DEEP_PERIOD_OVERRIDE",$H$19)*1,"")))</f>
        <v/>
      </c>
      <c r="AX300" t="str">
        <f>IF(OR(AX$23="",ISNA($B300)),"",IF(ISBLANK($B300),"",IFERROR(_xll.BDP(TICKER,"DEEP_MEASURE_PERIOD_BROKER_VALUE","DEEP_MEASURE_ID_OVERRIDE",$C300,"DEEP_BROKER_ID_OVERRIDE",AX$24,"DEEP_PERIOD_OVERRIDE",$H$19)*1,"")))</f>
        <v/>
      </c>
      <c r="AY300" t="str">
        <f>IF(OR(AY$23="",ISNA($B300)),"",IF(ISBLANK($B300),"",IFERROR(_xll.BDP(TICKER,"DEEP_MEASURE_PERIOD_BROKER_VALUE","DEEP_MEASURE_ID_OVERRIDE",$C300,"DEEP_BROKER_ID_OVERRIDE",AY$24,"DEEP_PERIOD_OVERRIDE",$H$19)*1,"")))</f>
        <v/>
      </c>
      <c r="AZ300" t="str">
        <f>IF(OR(AZ$23="",ISNA($B300)),"",IF(ISBLANK($B300),"",IFERROR(_xll.BDP(TICKER,"DEEP_MEASURE_PERIOD_BROKER_VALUE","DEEP_MEASURE_ID_OVERRIDE",$C300,"DEEP_BROKER_ID_OVERRIDE",AZ$24,"DEEP_PERIOD_OVERRIDE",$H$19)*1,"")))</f>
        <v/>
      </c>
      <c r="BA300" t="str">
        <f>IF(OR(BA$23="",ISNA($B300)),"",IF(ISBLANK($B300),"",IFERROR(_xll.BDP(TICKER,"DEEP_MEASURE_PERIOD_BROKER_VALUE","DEEP_MEASURE_ID_OVERRIDE",$C300,"DEEP_BROKER_ID_OVERRIDE",BA$24,"DEEP_PERIOD_OVERRIDE",$H$19)*1,"")))</f>
        <v/>
      </c>
      <c r="BB300" t="str">
        <f>IF(OR(BB$23="",ISNA($B300)),"",IF(ISBLANK($B300),"",IFERROR(_xll.BDP(TICKER,"DEEP_MEASURE_PERIOD_BROKER_VALUE","DEEP_MEASURE_ID_OVERRIDE",$C300,"DEEP_BROKER_ID_OVERRIDE",BB$24,"DEEP_PERIOD_OVERRIDE",$H$19)*1,"")))</f>
        <v/>
      </c>
      <c r="BC300" t="str">
        <f>IF(OR(BC$23="",ISNA($B300)),"",IF(ISBLANK($B300),"",IFERROR(_xll.BDP(TICKER,"DEEP_MEASURE_PERIOD_BROKER_VALUE","DEEP_MEASURE_ID_OVERRIDE",$C300,"DEEP_BROKER_ID_OVERRIDE",BC$24,"DEEP_PERIOD_OVERRIDE",$H$19)*1,"")))</f>
        <v/>
      </c>
      <c r="BD300" t="str">
        <f>IF(OR(BD$23="",ISNA($B300)),"",IF(ISBLANK($B300),"",IFERROR(_xll.BDP(TICKER,"DEEP_MEASURE_PERIOD_BROKER_VALUE","DEEP_MEASURE_ID_OVERRIDE",$C300,"DEEP_BROKER_ID_OVERRIDE",BD$24,"DEEP_PERIOD_OVERRIDE",$H$19)*1,"")))</f>
        <v/>
      </c>
      <c r="BE300" t="str">
        <f>IF(OR(BE$23="",ISNA($B300)),"",IF(ISBLANK($B300),"",IFERROR(_xll.BDP(TICKER,"DEEP_MEASURE_PERIOD_BROKER_VALUE","DEEP_MEASURE_ID_OVERRIDE",$C300,"DEEP_BROKER_ID_OVERRIDE",BE$24,"DEEP_PERIOD_OVERRIDE",$H$19)*1,"")))</f>
        <v/>
      </c>
      <c r="BF300" t="str">
        <f>IF(OR(BF$23="",ISNA($B300)),"",IF(ISBLANK($B300),"",IFERROR(_xll.BDP(TICKER,"DEEP_MEASURE_PERIOD_BROKER_VALUE","DEEP_MEASURE_ID_OVERRIDE",$C300,"DEEP_BROKER_ID_OVERRIDE",BF$24,"DEEP_PERIOD_OVERRIDE",$H$19)*1,"")))</f>
        <v/>
      </c>
      <c r="BG300" t="str">
        <f>IF(OR(BG$23="",ISNA($B300)),"",IF(ISBLANK($B300),"",IFERROR(_xll.BDP(TICKER,"DEEP_MEASURE_PERIOD_BROKER_VALUE","DEEP_MEASURE_ID_OVERRIDE",$C300,"DEEP_BROKER_ID_OVERRIDE",BG$24,"DEEP_PERIOD_OVERRIDE",$H$19)*1,"")))</f>
        <v/>
      </c>
      <c r="BH300" t="str">
        <f>IF(OR(BH$23="",ISNA($B300)),"",IF(ISBLANK($B300),"",IFERROR(_xll.BDP(TICKER,"DEEP_MEASURE_PERIOD_BROKER_VALUE","DEEP_MEASURE_ID_OVERRIDE",$C300,"DEEP_BROKER_ID_OVERRIDE",BH$24,"DEEP_PERIOD_OVERRIDE",$H$19)*1,"")))</f>
        <v/>
      </c>
      <c r="BI300" t="str">
        <f>IF(OR(BI$23="",ISNA($B300)),"",IF(ISBLANK($B300),"",IFERROR(_xll.BDP(TICKER,"DEEP_MEASURE_PERIOD_BROKER_VALUE","DEEP_MEASURE_ID_OVERRIDE",$C300,"DEEP_BROKER_ID_OVERRIDE",BI$24,"DEEP_PERIOD_OVERRIDE",$H$19)*1,"")))</f>
        <v/>
      </c>
      <c r="BJ300" t="str">
        <f>IF(OR(BJ$23="",ISNA($B300)),"",IF(ISBLANK($B300),"",IFERROR(_xll.BDP(TICKER,"DEEP_MEASURE_PERIOD_BROKER_VALUE","DEEP_MEASURE_ID_OVERRIDE",$C300,"DEEP_BROKER_ID_OVERRIDE",BJ$24,"DEEP_PERIOD_OVERRIDE",$H$19)*1,"")))</f>
        <v/>
      </c>
      <c r="BK300" t="str">
        <f>IF(OR(BK$23="",ISNA($B300)),"",IF(ISBLANK($B300),"",IFERROR(_xll.BDP(TICKER,"DEEP_MEASURE_PERIOD_BROKER_VALUE","DEEP_MEASURE_ID_OVERRIDE",$C300,"DEEP_BROKER_ID_OVERRIDE",BK$24,"DEEP_PERIOD_OVERRIDE",$H$19)*1,"")))</f>
        <v/>
      </c>
      <c r="BL300" t="str">
        <f>IF(OR(BL$23="",ISNA($B300)),"",IF(ISBLANK($B300),"",IFERROR(_xll.BDP(TICKER,"DEEP_MEASURE_PERIOD_BROKER_VALUE","DEEP_MEASURE_ID_OVERRIDE",$C300,"DEEP_BROKER_ID_OVERRIDE",BL$24,"DEEP_PERIOD_OVERRIDE",$H$19)*1,"")))</f>
        <v/>
      </c>
      <c r="BM300" t="str">
        <f>IF(OR(BM$23="",ISNA($B300)),"",IF(ISBLANK($B300),"",IFERROR(_xll.BDP(TICKER,"DEEP_MEASURE_PERIOD_BROKER_VALUE","DEEP_MEASURE_ID_OVERRIDE",$C300,"DEEP_BROKER_ID_OVERRIDE",BM$24,"DEEP_PERIOD_OVERRIDE",$H$19)*1,"")))</f>
        <v/>
      </c>
      <c r="BN300" t="str">
        <f>IF(OR(BN$23="",ISNA($B300)),"",IF(ISBLANK($B300),"",IFERROR(_xll.BDP(TICKER,"DEEP_MEASURE_PERIOD_BROKER_VALUE","DEEP_MEASURE_ID_OVERRIDE",$C300,"DEEP_BROKER_ID_OVERRIDE",BN$24,"DEEP_PERIOD_OVERRIDE",$H$19)*1,"")))</f>
        <v/>
      </c>
      <c r="BO300" t="str">
        <f>IF(OR(BO$23="",ISNA($B300)),"",IF(ISBLANK($B300),"",IFERROR(_xll.BDP(TICKER,"DEEP_MEASURE_PERIOD_BROKER_VALUE","DEEP_MEASURE_ID_OVERRIDE",$C300,"DEEP_BROKER_ID_OVERRIDE",BO$24,"DEEP_PERIOD_OVERRIDE",$H$19)*1,"")))</f>
        <v/>
      </c>
      <c r="BP300" t="str">
        <f>IF(OR(BP$23="",ISNA($B300)),"",IF(ISBLANK($B300),"",IFERROR(_xll.BDP(TICKER,"DEEP_MEASURE_PERIOD_BROKER_VALUE","DEEP_MEASURE_ID_OVERRIDE",$C300,"DEEP_BROKER_ID_OVERRIDE",BP$24,"DEEP_PERIOD_OVERRIDE",$H$19)*1,"")))</f>
        <v/>
      </c>
      <c r="BQ300" t="str">
        <f>IF(OR(BQ$23="",ISNA($B300)),"",IF(ISBLANK($B300),"",IFERROR(_xll.BDP(TICKER,"DEEP_MEASURE_PERIOD_BROKER_VALUE","DEEP_MEASURE_ID_OVERRIDE",$C300,"DEEP_BROKER_ID_OVERRIDE",BQ$24,"DEEP_PERIOD_OVERRIDE",$H$19)*1,"")))</f>
        <v/>
      </c>
      <c r="BR300" t="str">
        <f>IF(OR(BR$23="",ISNA($B300)),"",IF(ISBLANK($B300),"",IFERROR(_xll.BDP(TICKER,"DEEP_MEASURE_PERIOD_BROKER_VALUE","DEEP_MEASURE_ID_OVERRIDE",$C300,"DEEP_BROKER_ID_OVERRIDE",BR$24,"DEEP_PERIOD_OVERRIDE",$H$19)*1,"")))</f>
        <v/>
      </c>
      <c r="BS300" t="str">
        <f>IF(OR(BS$23="",ISNA($B300)),"",IF(ISBLANK($B300),"",IFERROR(_xll.BDP(TICKER,"DEEP_MEASURE_PERIOD_BROKER_VALUE","DEEP_MEASURE_ID_OVERRIDE",$C300,"DEEP_BROKER_ID_OVERRIDE",BS$24,"DEEP_PERIOD_OVERRIDE",$H$19)*1,"")))</f>
        <v/>
      </c>
      <c r="BT300" t="str">
        <f>IF(OR(BT$23="",ISNA($B300)),"",IF(ISBLANK($B300),"",IFERROR(_xll.BDP(TICKER,"DEEP_MEASURE_PERIOD_BROKER_VALUE","DEEP_MEASURE_ID_OVERRIDE",$C300,"DEEP_BROKER_ID_OVERRIDE",BT$24,"DEEP_PERIOD_OVERRIDE",$H$19)*1,"")))</f>
        <v/>
      </c>
      <c r="BU300" t="str">
        <f>IF(OR(BU$23="",ISNA($B300)),"",IF(ISBLANK($B300),"",IFERROR(_xll.BDP(TICKER,"DEEP_MEASURE_PERIOD_BROKER_VALUE","DEEP_MEASURE_ID_OVERRIDE",$C300,"DEEP_BROKER_ID_OVERRIDE",BU$24,"DEEP_PERIOD_OVERRIDE",$H$19)*1,"")))</f>
        <v/>
      </c>
      <c r="BV300" t="str">
        <f>IF(OR(BV$23="",ISNA($B300)),"",IF(ISBLANK($B300),"",IFERROR(_xll.BDP(TICKER,"DEEP_MEASURE_PERIOD_BROKER_VALUE","DEEP_MEASURE_ID_OVERRIDE",$C300,"DEEP_BROKER_ID_OVERRIDE",BV$24,"DEEP_PERIOD_OVERRIDE",$H$19)*1,"")))</f>
        <v/>
      </c>
      <c r="BW300" t="str">
        <f>IF(OR(BW$23="",ISNA($B300)),"",IF(ISBLANK($B300),"",IFERROR(_xll.BDP(TICKER,"DEEP_MEASURE_PERIOD_BROKER_VALUE","DEEP_MEASURE_ID_OVERRIDE",$C300,"DEEP_BROKER_ID_OVERRIDE",BW$24,"DEEP_PERIOD_OVERRIDE",$H$19)*1,"")))</f>
        <v/>
      </c>
      <c r="BX300" t="str">
        <f>IF(OR(BX$23="",ISNA($B300)),"",IF(ISBLANK($B300),"",IFERROR(_xll.BDP(TICKER,"DEEP_MEASURE_PERIOD_BROKER_VALUE","DEEP_MEASURE_ID_OVERRIDE",$C300,"DEEP_BROKER_ID_OVERRIDE",BX$24,"DEEP_PERIOD_OVERRIDE",$H$19)*1,"")))</f>
        <v/>
      </c>
      <c r="BY300" t="str">
        <f>IF(OR(BY$23="",ISNA($B300)),"",IF(ISBLANK($B300),"",IFERROR(_xll.BDP(TICKER,"DEEP_MEASURE_PERIOD_BROKER_VALUE","DEEP_MEASURE_ID_OVERRIDE",$C300,"DEEP_BROKER_ID_OVERRIDE",BY$24,"DEEP_PERIOD_OVERRIDE",$H$19)*1,"")))</f>
        <v/>
      </c>
      <c r="BZ300" t="str">
        <f>IF(OR(BZ$23="",ISNA($B300)),"",IF(ISBLANK($B300),"",IFERROR(_xll.BDP(TICKER,"DEEP_MEASURE_PERIOD_BROKER_VALUE","DEEP_MEASURE_ID_OVERRIDE",$C300,"DEEP_BROKER_ID_OVERRIDE",BZ$24,"DEEP_PERIOD_OVERRIDE",$H$19)*1,"")))</f>
        <v/>
      </c>
    </row>
  </sheetData>
  <conditionalFormatting sqref="H16">
    <cfRule type="expression" dxfId="1" priority="2">
      <formula>IF(#REF!=TRUE,1,0)</formula>
    </cfRule>
  </conditionalFormatting>
  <conditionalFormatting sqref="H13">
    <cfRule type="expression" dxfId="0" priority="1">
      <formula>IF(#REF!=TRUE,1,0)</formula>
    </cfRule>
  </conditionalFormatting>
  <dataValidations count="1">
    <dataValidation type="list" allowBlank="1" showInputMessage="1" showErrorMessage="1" sqref="H23">
      <formula1>$L$18:$AR$18</formula1>
    </dataValidation>
  </dataValidations>
  <pageMargins left="0.7" right="0.7" top="0.75" bottom="0.75" header="0.3" footer="0.3"/>
  <drawing r:id="rId1"/>
</worksheet>
</file>

<file path=xl/worksheets/sheet3.xml><?xml version="1.0" encoding="utf-8"?>
<x:worksheet xmlns:x="http://schemas.openxmlformats.org/spreadsheetml/2006/main">
  <x:cols>
    <x:col min="1" max="1" width="52.328571428571429" customWidth="1"/>
    <x:col min="2" max="2" width="18.077142857142857" customWidth="1"/>
  </x:cols>
  <x:sheetData>
    <x:row r="1">
      <x:c r="A1" t="s">
        <x:v>7</x:v>
      </x:c>
      <x:c r="B1" t="s">
        <x:v>219</x:v>
      </x:c>
    </x:row>
    <x:row r="2">
      <x:c r="A2" t="s">
        <x:v>220</x:v>
      </x:c>
      <x:c r="B2" t="s">
        <x:v>218</x:v>
      </x:c>
    </x:row>
    <x:row r="3">
      <x:c r="A3" t="s">
        <x:v>221</x:v>
      </x:c>
      <x:c r="B3" t="s">
        <x:v>222</x:v>
      </x:c>
    </x:row>
    <x:row r="4">
      <x:c r="A4" t="s">
        <x:v>223</x:v>
      </x:c>
      <x:c r="B4" t="n">
        <x:v>2022</x:v>
      </x:c>
    </x:row>
  </x:sheetData>
</x: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Deep Estimates - Source</vt:lpstr>
      <vt:lpstr>Deep Estimates - Period</vt:lpstr>
      <vt:lpstr>BB_DEEP_EST_BROKER</vt:lpstr>
      <vt:lpstr>BB_DEEP_EST_PERIOD</vt:lpstr>
      <vt:lpstr>BB_TICKER_PERIOD</vt:lpstr>
      <vt:lpstr>BB_TICKER_SOURCE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mkitt5</dc:creator>
  <cp:lastModifiedBy>mkitt5</cp:lastModifiedBy>
  <dcterms:created xsi:type="dcterms:W3CDTF">2018-12-21T13:46:54Z</dcterms:created>
  <dcterms:modified xsi:type="dcterms:W3CDTF">2019-09-18T13:15:20Z</dcterms:modified>
</cp:coreProperties>
</file>